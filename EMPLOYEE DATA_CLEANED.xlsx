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ead" sheetId="1" state="hidden" r:id="rId1"/>
    <sheet xmlns:r="http://schemas.openxmlformats.org/officeDocument/2006/relationships" name="CONFIG_MODUL" sheetId="2" state="visible" r:id="rId2"/>
    <sheet xmlns:r="http://schemas.openxmlformats.org/officeDocument/2006/relationships" name="JADWAL_SHIFT" sheetId="3" state="visible" r:id="rId3"/>
    <sheet xmlns:r="http://schemas.openxmlformats.org/officeDocument/2006/relationships" name="KARYAWAN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BINDING_KARTU_MK" sheetId="6" state="visible" r:id="rId6"/>
    <sheet xmlns:r="http://schemas.openxmlformats.org/officeDocument/2006/relationships" name="REGISTRASI SAAT MASUK PABRIK" sheetId="7" state="visible" r:id="rId7"/>
    <sheet xmlns:r="http://schemas.openxmlformats.org/officeDocument/2006/relationships" name="STAFF AKTIF" sheetId="8" state="hidden" r:id="rId8"/>
    <sheet xmlns:r="http://schemas.openxmlformats.org/officeDocument/2006/relationships" name="NON STAFF" sheetId="9" state="hidden" r:id="rId9"/>
    <sheet xmlns:r="http://schemas.openxmlformats.org/officeDocument/2006/relationships" name="MITRA KERJA" sheetId="10" state="hidden" r:id="rId10"/>
    <sheet xmlns:r="http://schemas.openxmlformats.org/officeDocument/2006/relationships" name="STAFF NON AKTIF" sheetId="11" state="hidden" r:id="rId11"/>
    <sheet xmlns:r="http://schemas.openxmlformats.org/officeDocument/2006/relationships" name="REGISTRASI SAAT KELUAR PABRIK" sheetId="12" state="visible" r:id="rId12"/>
    <sheet xmlns:r="http://schemas.openxmlformats.org/officeDocument/2006/relationships" name="ABSEN IN OUT MK" sheetId="13" state="visible" r:id="rId13"/>
    <sheet xmlns:r="http://schemas.openxmlformats.org/officeDocument/2006/relationships" name="REGISTRASI MASUK KELUAR AREA KE" sheetId="14" state="visible" r:id="rId14"/>
    <sheet xmlns:r="http://schemas.openxmlformats.org/officeDocument/2006/relationships" name="Sheet9" sheetId="15" state="hidden" r:id="rId15"/>
    <sheet xmlns:r="http://schemas.openxmlformats.org/officeDocument/2006/relationships" name="LOG" sheetId="16" state="hidden" r:id="rId16"/>
    <sheet xmlns:r="http://schemas.openxmlformats.org/officeDocument/2006/relationships" name="PROD" sheetId="17" state="hidden" r:id="rId17"/>
    <sheet xmlns:r="http://schemas.openxmlformats.org/officeDocument/2006/relationships" name="STAFF PROD DES 24" sheetId="18" state="hidden" r:id="rId18"/>
    <sheet xmlns:r="http://schemas.openxmlformats.org/officeDocument/2006/relationships" name="STAFF NONPROD DES 24" sheetId="19" state="hidden" r:id="rId19"/>
    <sheet xmlns:r="http://schemas.openxmlformats.org/officeDocument/2006/relationships" name="Prod Mesin 1" sheetId="20" state="hidden" r:id="rId20"/>
    <sheet xmlns:r="http://schemas.openxmlformats.org/officeDocument/2006/relationships" name="ENG" sheetId="21" state="hidden" r:id="rId21"/>
    <sheet xmlns:r="http://schemas.openxmlformats.org/officeDocument/2006/relationships" name="QC" sheetId="22" state="hidden" r:id="rId22"/>
    <sheet xmlns:r="http://schemas.openxmlformats.org/officeDocument/2006/relationships" name="HR GA" sheetId="23" state="hidden" r:id="rId23"/>
    <sheet xmlns:r="http://schemas.openxmlformats.org/officeDocument/2006/relationships" name="Sheet7" sheetId="24" state="hidden" r:id="rId24"/>
    <sheet xmlns:r="http://schemas.openxmlformats.org/officeDocument/2006/relationships" name="Pivot Table 3" sheetId="25" state="hidden" r:id="rId25"/>
    <sheet xmlns:r="http://schemas.openxmlformats.org/officeDocument/2006/relationships" name="Sheet5" sheetId="26" state="hidden" r:id="rId26"/>
    <sheet xmlns:r="http://schemas.openxmlformats.org/officeDocument/2006/relationships" name="Kak Meirin" sheetId="27" state="hidden" r:id="rId27"/>
  </sheets>
  <definedNames>
    <definedName name="_xlnm._FilterDatabase" localSheetId="3" hidden="1">'KARYAWAN'!$A$1:$G$875</definedName>
    <definedName name="_xlnm._FilterDatabase" localSheetId="6" hidden="1">'REGISTRASI SAAT MASUK PABRIK'!$A$1:$Z$2416</definedName>
    <definedName name="_xlnm._FilterDatabase" localSheetId="14" hidden="1">'Sheet9'!$A$1:$F$174</definedName>
    <definedName name="_xlnm._FilterDatabase" localSheetId="23" hidden="1">'Sheet7'!$A$1:$Y$176</definedName>
  </definedNames>
  <calcPr calcId="124519" fullCalcOnLoad="1"/>
  <pivotCaches>
    <pivotCache xmlns:r="http://schemas.openxmlformats.org/officeDocument/2006/relationships" cacheId="0" r:id="rId28"/>
  </pivotCaches>
</workbook>
</file>

<file path=xl/styles.xml><?xml version="1.0" encoding="utf-8"?>
<styleSheet xmlns="http://schemas.openxmlformats.org/spreadsheetml/2006/main">
  <numFmts count="6">
    <numFmt numFmtId="164" formatCode="dd/MM/yyyy HH:mm:ss"/>
    <numFmt numFmtId="165" formatCode="dd/MM/yyyy"/>
    <numFmt numFmtId="166" formatCode="yyyy-mm-dd"/>
    <numFmt numFmtId="167" formatCode="mm/dd/yyyy"/>
    <numFmt numFmtId="168" formatCode="mm/dd/yyyy h:mm:ss"/>
    <numFmt numFmtId="169" formatCode="d&quot;-&quot;mmm&quot;-&quot;yyyy"/>
  </numFmts>
  <fonts count="25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CCCCCC"/>
    </font>
    <font>
      <name val="Arial"/>
      <color theme="1"/>
    </font>
    <font>
      <name val="&quot;Segoe WPC&quot;"/>
      <color rgb="FFCCCCCC"/>
    </font>
    <font>
      <name val="&quot;Segoe WPC&quot;"/>
      <b val="1"/>
      <color rgb="FFCCCCCC"/>
    </font>
    <font>
      <name val="Arial"/>
      <color theme="1"/>
      <sz val="10"/>
    </font>
    <font>
      <name val="Calibri"/>
      <color theme="1"/>
      <sz val="11"/>
    </font>
    <font>
      <name val="Ui-monospace"/>
      <color rgb="FFD7BA7D"/>
      <u val="single"/>
    </font>
    <font>
      <color rgb="FF0000FF"/>
      <u val="single"/>
    </font>
    <font>
      <name val="Calibri"/>
      <color theme="1"/>
    </font>
    <font/>
    <font>
      <name val="Arial"/>
      <b val="1"/>
      <color theme="1"/>
    </font>
    <font>
      <name val="Calibri"/>
      <b val="1"/>
      <color theme="1"/>
      <sz val="11"/>
    </font>
    <font>
      <name val="Arial"/>
      <b val="1"/>
      <color theme="1"/>
      <sz val="13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theme="1"/>
      <sz val="12"/>
    </font>
    <font>
      <name val="Quattrocento Sans"/>
      <b val="1"/>
      <color theme="1"/>
    </font>
    <font>
      <name val="Arial"/>
      <color theme="1"/>
      <sz val="12"/>
    </font>
    <font>
      <name val="Arial"/>
      <b val="1"/>
      <color theme="1"/>
      <sz val="11"/>
    </font>
    <font>
      <name val="Quattrocento Sans"/>
      <color theme="1"/>
    </font>
    <font>
      <name val="Quattrocento Sans"/>
      <color theme="1"/>
      <sz val="11"/>
    </font>
    <font>
      <name val="Arial"/>
      <color theme="1"/>
      <sz val="11"/>
    </font>
    <font>
      <name val="Calibri"/>
      <color rgb="FF080808"/>
      <sz val="12"/>
    </font>
  </fonts>
  <fills count="21">
    <fill>
      <patternFill/>
    </fill>
    <fill>
      <patternFill patternType="lightGray"/>
    </fill>
    <fill>
      <patternFill patternType="solid">
        <fgColor rgb="FF00212B"/>
        <bgColor rgb="FF00212B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BFBFBF"/>
        <bgColor rgb="FFBFBFBF"/>
      </patternFill>
    </fill>
    <fill>
      <patternFill patternType="solid">
        <fgColor rgb="FFDDEBF7"/>
        <bgColor rgb="FFDDEBF7"/>
      </patternFill>
    </fill>
    <fill>
      <patternFill patternType="solid">
        <fgColor rgb="FFF7CBAC"/>
        <bgColor rgb="FFF7CBAC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95B3D7"/>
        <bgColor rgb="FF95B3D7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18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18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2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bottom"/>
    </xf>
    <xf numFmtId="0" fontId="3" fillId="3" borderId="3" applyAlignment="1" pivotButton="0" quotePrefix="0" xfId="0">
      <alignment vertical="bottom"/>
    </xf>
    <xf numFmtId="0" fontId="6" fillId="0" borderId="3" applyAlignment="1" pivotButton="0" quotePrefix="0" xfId="0">
      <alignment horizontal="center"/>
    </xf>
    <xf numFmtId="0" fontId="3" fillId="0" borderId="0" pivotButton="0" quotePrefix="0" xfId="0"/>
    <xf numFmtId="0" fontId="7" fillId="3" borderId="3" applyAlignment="1" pivotButton="0" quotePrefix="0" xfId="0">
      <alignment horizontal="center" vertical="bottom"/>
    </xf>
    <xf numFmtId="0" fontId="8" fillId="3" borderId="0" applyAlignment="1" pivotButton="0" quotePrefix="0" xfId="0">
      <alignment horizontal="left"/>
    </xf>
    <xf numFmtId="0" fontId="7" fillId="4" borderId="3" applyAlignment="1" pivotButton="0" quotePrefix="0" xfId="0">
      <alignment vertical="bottom"/>
    </xf>
    <xf numFmtId="0" fontId="1" fillId="0" borderId="0" pivotButton="0" quotePrefix="0" xfId="0"/>
    <xf numFmtId="0" fontId="9" fillId="0" borderId="0" pivotButton="0" quotePrefix="0" xfId="0"/>
    <xf numFmtId="0" fontId="3" fillId="0" borderId="3" applyAlignment="1" pivotButton="0" quotePrefix="0" xfId="0">
      <alignment horizontal="center"/>
    </xf>
    <xf numFmtId="0" fontId="3" fillId="3" borderId="3" pivotButton="0" quotePrefix="0" xfId="0"/>
    <xf numFmtId="0" fontId="7" fillId="0" borderId="3" applyAlignment="1" pivotButton="0" quotePrefix="0" xfId="0">
      <alignment horizontal="center" vertical="bottom"/>
    </xf>
    <xf numFmtId="0" fontId="3" fillId="3" borderId="3" applyAlignment="1" pivotButton="0" quotePrefix="0" xfId="0">
      <alignment horizontal="center"/>
    </xf>
    <xf numFmtId="0" fontId="3" fillId="0" borderId="3" applyAlignment="1" pivotButton="0" quotePrefix="0" xfId="0">
      <alignment vertical="bottom"/>
    </xf>
    <xf numFmtId="0" fontId="6" fillId="0" borderId="3" applyAlignment="1" pivotButton="0" quotePrefix="0" xfId="0">
      <alignment horizontal="center" vertical="center"/>
    </xf>
    <xf numFmtId="0" fontId="10" fillId="4" borderId="3" applyAlignment="1" pivotButton="0" quotePrefix="0" xfId="0">
      <alignment vertical="bottom"/>
    </xf>
    <xf numFmtId="0" fontId="3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2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11" fillId="0" borderId="5" pivotButton="0" quotePrefix="0" xfId="0"/>
    <xf numFmtId="1" fontId="3" fillId="0" borderId="3" pivotButton="0" quotePrefix="0" xfId="0"/>
    <xf numFmtId="166" fontId="3" fillId="0" borderId="3" applyAlignment="1" pivotButton="0" quotePrefix="0" xfId="0">
      <alignment horizontal="center"/>
    </xf>
    <xf numFmtId="1" fontId="3" fillId="5" borderId="3" pivotButton="0" quotePrefix="0" xfId="0"/>
    <xf numFmtId="0" fontId="3" fillId="5" borderId="3" pivotButton="0" quotePrefix="0" xfId="0"/>
    <xf numFmtId="166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0" pivotButton="0" quotePrefix="0" xfId="0"/>
    <xf numFmtId="166" fontId="3" fillId="0" borderId="3" pivotButton="0" quotePrefix="0" xfId="0"/>
    <xf numFmtId="1" fontId="3" fillId="0" borderId="0" pivotButton="0" quotePrefix="0" xfId="0"/>
    <xf numFmtId="166" fontId="3" fillId="0" borderId="0" pivotButton="0" quotePrefix="0" xfId="0"/>
    <xf numFmtId="0" fontId="12" fillId="6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" fontId="7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center"/>
    </xf>
    <xf numFmtId="168" fontId="1" fillId="0" borderId="0" pivotButton="0" quotePrefix="0" xfId="0"/>
    <xf numFmtId="165" fontId="1" fillId="0" borderId="0" pivotButton="0" quotePrefix="0" xfId="0"/>
    <xf numFmtId="165" fontId="1" fillId="0" borderId="0" pivotButton="0" quotePrefix="0" xfId="0"/>
    <xf numFmtId="21" fontId="1" fillId="0" borderId="0" pivotButton="0" quotePrefix="0" xfId="0"/>
    <xf numFmtId="0" fontId="3" fillId="0" borderId="3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2" fillId="0" borderId="3" pivotButton="0" quotePrefix="0" xfId="0"/>
    <xf numFmtId="0" fontId="12" fillId="0" borderId="3" applyAlignment="1" pivotButton="0" quotePrefix="0" xfId="0">
      <alignment horizontal="center"/>
    </xf>
    <xf numFmtId="0" fontId="14" fillId="0" borderId="0" pivotButton="0" quotePrefix="0" xfId="0"/>
    <xf numFmtId="0" fontId="14" fillId="0" borderId="3" pivotButton="0" quotePrefix="0" xfId="0"/>
    <xf numFmtId="0" fontId="3" fillId="7" borderId="3" applyAlignment="1" pivotButton="0" quotePrefix="0" xfId="0">
      <alignment horizontal="center"/>
    </xf>
    <xf numFmtId="3" fontId="3" fillId="0" borderId="3" pivotButton="0" quotePrefix="0" xfId="0"/>
    <xf numFmtId="4" fontId="3" fillId="0" borderId="0" pivotButton="0" quotePrefix="0" xfId="0"/>
    <xf numFmtId="0" fontId="15" fillId="0" borderId="3" applyAlignment="1" pivotButton="0" quotePrefix="0" xfId="0">
      <alignment horizontal="center" vertical="bottom"/>
    </xf>
    <xf numFmtId="0" fontId="16" fillId="0" borderId="0" applyAlignment="1" pivotButton="0" quotePrefix="0" xfId="0">
      <alignment/>
    </xf>
    <xf numFmtId="0" fontId="15" fillId="0" borderId="0" applyAlignment="1" pivotButton="0" quotePrefix="0" xfId="0">
      <alignment/>
    </xf>
    <xf numFmtId="0" fontId="15" fillId="0" borderId="0" applyAlignment="1" pivotButton="0" quotePrefix="0" xfId="0">
      <alignment horizontal="center"/>
    </xf>
    <xf numFmtId="0" fontId="16" fillId="8" borderId="3" applyAlignment="1" pivotButton="0" quotePrefix="0" xfId="0">
      <alignment horizontal="center"/>
    </xf>
    <xf numFmtId="0" fontId="15" fillId="9" borderId="3" applyAlignment="1" pivotButton="0" quotePrefix="0" xfId="0">
      <alignment horizontal="center"/>
    </xf>
    <xf numFmtId="0" fontId="15" fillId="9" borderId="3" applyAlignment="1" pivotButton="0" quotePrefix="0" xfId="0">
      <alignment horizontal="right"/>
    </xf>
    <xf numFmtId="0" fontId="15" fillId="9" borderId="3" applyAlignment="1" pivotButton="0" quotePrefix="0" xfId="0">
      <alignment horizontal="left"/>
    </xf>
    <xf numFmtId="0" fontId="15" fillId="9" borderId="3" applyAlignment="1" pivotButton="0" quotePrefix="0" xfId="0">
      <alignment vertical="bottom"/>
    </xf>
    <xf numFmtId="0" fontId="15" fillId="0" borderId="3" applyAlignment="1" pivotButton="0" quotePrefix="0" xfId="0">
      <alignment horizontal="center"/>
    </xf>
    <xf numFmtId="0" fontId="15" fillId="0" borderId="3" applyAlignment="1" pivotButton="0" quotePrefix="0" xfId="0">
      <alignment horizontal="right"/>
    </xf>
    <xf numFmtId="0" fontId="15" fillId="0" borderId="3" applyAlignment="1" pivotButton="0" quotePrefix="0" xfId="0">
      <alignment/>
    </xf>
    <xf numFmtId="0" fontId="15" fillId="0" borderId="3" applyAlignment="1" pivotButton="0" quotePrefix="0" xfId="0">
      <alignment vertical="bottom"/>
    </xf>
    <xf numFmtId="0" fontId="15" fillId="0" borderId="3" applyAlignment="1" pivotButton="0" quotePrefix="0" xfId="0">
      <alignment horizontal="left" vertical="bottom"/>
    </xf>
    <xf numFmtId="0" fontId="15" fillId="0" borderId="3" applyAlignment="1" pivotButton="0" quotePrefix="0" xfId="0">
      <alignment horizontal="left"/>
    </xf>
    <xf numFmtId="0" fontId="16" fillId="0" borderId="0" applyAlignment="1" pivotButton="0" quotePrefix="0" xfId="0">
      <alignment horizontal="center" vertical="bottom"/>
    </xf>
    <xf numFmtId="0" fontId="16" fillId="10" borderId="3" applyAlignment="1" pivotButton="0" quotePrefix="0" xfId="0">
      <alignment horizontal="center" vertical="bottom"/>
    </xf>
    <xf numFmtId="0" fontId="15" fillId="11" borderId="3" applyAlignment="1" pivotButton="0" quotePrefix="0" xfId="0">
      <alignment vertical="bottom"/>
    </xf>
    <xf numFmtId="0" fontId="15" fillId="0" borderId="3" applyAlignment="1" pivotButton="0" quotePrefix="0" xfId="0">
      <alignment horizontal="right" vertical="bottom"/>
    </xf>
    <xf numFmtId="0" fontId="3" fillId="0" borderId="0" applyAlignment="1" pivotButton="0" quotePrefix="0" xfId="0">
      <alignment vertical="center"/>
    </xf>
    <xf numFmtId="0" fontId="17" fillId="0" borderId="3" applyAlignment="1" pivotButton="0" quotePrefix="0" xfId="0">
      <alignment horizontal="center" vertical="bottom"/>
    </xf>
    <xf numFmtId="0" fontId="17" fillId="0" borderId="3" applyAlignment="1" pivotButton="0" quotePrefix="0" xfId="0">
      <alignment horizontal="right" vertical="bottom"/>
    </xf>
    <xf numFmtId="49" fontId="17" fillId="0" borderId="3" applyAlignment="1" pivotButton="0" quotePrefix="0" xfId="0">
      <alignment vertical="bottom"/>
    </xf>
    <xf numFmtId="0" fontId="17" fillId="0" borderId="3" applyAlignment="1" pivotButton="0" quotePrefix="1" xfId="0">
      <alignment horizontal="center" vertical="bottom"/>
    </xf>
    <xf numFmtId="0" fontId="3" fillId="12" borderId="3" pivotButton="0" quotePrefix="0" xfId="0"/>
    <xf numFmtId="0" fontId="15" fillId="13" borderId="3" applyAlignment="1" pivotButton="0" quotePrefix="0" xfId="0">
      <alignment vertical="bottom"/>
    </xf>
    <xf numFmtId="0" fontId="3" fillId="0" borderId="0" applyAlignment="1" pivotButton="0" quotePrefix="0" xfId="0">
      <alignment vertical="center" wrapText="1"/>
    </xf>
    <xf numFmtId="0" fontId="15" fillId="12" borderId="3" applyAlignment="1" pivotButton="0" quotePrefix="0" xfId="0">
      <alignment horizontal="right" vertical="bottom"/>
    </xf>
    <xf numFmtId="0" fontId="13" fillId="14" borderId="0" applyAlignment="1" pivotButton="0" quotePrefix="0" xfId="0">
      <alignment horizontal="center" vertical="bottom"/>
    </xf>
    <xf numFmtId="0" fontId="13" fillId="14" borderId="6" applyAlignment="1" pivotButton="0" quotePrefix="0" xfId="0">
      <alignment horizontal="center" vertical="bottom"/>
    </xf>
    <xf numFmtId="0" fontId="7" fillId="0" borderId="6" applyAlignment="1" pivotButton="0" quotePrefix="0" xfId="0">
      <alignment vertical="bottom"/>
    </xf>
    <xf numFmtId="0" fontId="7" fillId="0" borderId="6" applyAlignment="1" pivotButton="0" quotePrefix="0" xfId="0">
      <alignment horizontal="center" vertical="bottom"/>
    </xf>
    <xf numFmtId="0" fontId="13" fillId="15" borderId="7" applyAlignment="1" pivotButton="0" quotePrefix="0" xfId="0">
      <alignment vertical="bottom"/>
    </xf>
    <xf numFmtId="0" fontId="13" fillId="15" borderId="7" applyAlignment="1" pivotButton="0" quotePrefix="0" xfId="0">
      <alignment horizontal="center" vertical="bottom"/>
    </xf>
    <xf numFmtId="0" fontId="13" fillId="14" borderId="3" applyAlignment="1" pivotButton="0" quotePrefix="0" xfId="0">
      <alignment horizontal="center" vertical="bottom"/>
    </xf>
    <xf numFmtId="0" fontId="7" fillId="0" borderId="3" applyAlignment="1" pivotButton="0" quotePrefix="0" xfId="0">
      <alignment vertical="bottom"/>
    </xf>
    <xf numFmtId="0" fontId="13" fillId="15" borderId="3" applyAlignment="1" pivotButton="0" quotePrefix="0" xfId="0">
      <alignment vertical="bottom"/>
    </xf>
    <xf numFmtId="0" fontId="13" fillId="15" borderId="3" applyAlignment="1" pivotButton="0" quotePrefix="0" xfId="0">
      <alignment horizontal="center" vertical="bottom"/>
    </xf>
    <xf numFmtId="167" fontId="1" fillId="0" borderId="0" pivotButton="0" quotePrefix="0" xfId="0"/>
    <xf numFmtId="0" fontId="18" fillId="16" borderId="3" applyAlignment="1" pivotButton="0" quotePrefix="0" xfId="0">
      <alignment horizontal="center"/>
    </xf>
    <xf numFmtId="0" fontId="18" fillId="16" borderId="8" applyAlignment="1" pivotButton="0" quotePrefix="0" xfId="0">
      <alignment horizontal="center"/>
    </xf>
    <xf numFmtId="0" fontId="7" fillId="16" borderId="4" pivotButton="0" quotePrefix="0" xfId="0"/>
    <xf numFmtId="0" fontId="18" fillId="0" borderId="9" applyAlignment="1" pivotButton="0" quotePrefix="0" xfId="0">
      <alignment horizontal="center"/>
    </xf>
    <xf numFmtId="0" fontId="11" fillId="0" borderId="9" pivotButton="0" quotePrefix="0" xfId="0"/>
    <xf numFmtId="0" fontId="7" fillId="16" borderId="5" pivotButton="0" quotePrefix="0" xfId="0"/>
    <xf numFmtId="0" fontId="19" fillId="0" borderId="3" applyAlignment="1" pivotButton="0" quotePrefix="0" xfId="0">
      <alignment horizontal="center"/>
    </xf>
    <xf numFmtId="0" fontId="19" fillId="17" borderId="3" applyAlignment="1" pivotButton="0" quotePrefix="0" xfId="0">
      <alignment horizontal="center"/>
    </xf>
    <xf numFmtId="0" fontId="18" fillId="16" borderId="4" applyAlignment="1" pivotButton="0" quotePrefix="0" xfId="0">
      <alignment horizontal="center"/>
    </xf>
    <xf numFmtId="0" fontId="19" fillId="0" borderId="3" applyAlignment="1" pivotButton="0" quotePrefix="0" xfId="0">
      <alignment horizontal="left"/>
    </xf>
    <xf numFmtId="0" fontId="18" fillId="16" borderId="0" applyAlignment="1" pivotButton="0" quotePrefix="0" xfId="0">
      <alignment horizontal="center"/>
    </xf>
    <xf numFmtId="0" fontId="18" fillId="18" borderId="10" applyAlignment="1" pivotButton="0" quotePrefix="0" xfId="0">
      <alignment horizontal="center"/>
    </xf>
    <xf numFmtId="0" fontId="12" fillId="18" borderId="11" applyAlignment="1" pivotButton="0" quotePrefix="0" xfId="0">
      <alignment horizontal="center"/>
    </xf>
    <xf numFmtId="0" fontId="18" fillId="18" borderId="11" applyAlignment="1" pivotButton="0" quotePrefix="0" xfId="0">
      <alignment horizontal="center"/>
    </xf>
    <xf numFmtId="0" fontId="12" fillId="18" borderId="10" applyAlignment="1" pivotButton="0" quotePrefix="0" xfId="0">
      <alignment horizontal="center"/>
    </xf>
    <xf numFmtId="0" fontId="7" fillId="16" borderId="3" pivotButton="0" quotePrefix="0" xfId="0"/>
    <xf numFmtId="0" fontId="7" fillId="16" borderId="12" pivotButton="0" quotePrefix="0" xfId="0"/>
    <xf numFmtId="0" fontId="20" fillId="0" borderId="13" applyAlignment="1" pivotButton="0" quotePrefix="0" xfId="0">
      <alignment horizontal="center" vertical="top"/>
    </xf>
    <xf numFmtId="0" fontId="20" fillId="0" borderId="10" applyAlignment="1" pivotButton="0" quotePrefix="0" xfId="0">
      <alignment horizontal="center" vertical="top"/>
    </xf>
    <xf numFmtId="0" fontId="7" fillId="16" borderId="0" pivotButton="0" quotePrefix="0" xfId="0"/>
    <xf numFmtId="0" fontId="11" fillId="0" borderId="14" pivotButton="0" quotePrefix="0" xfId="0"/>
    <xf numFmtId="0" fontId="11" fillId="0" borderId="1" pivotButton="0" quotePrefix="0" xfId="0"/>
    <xf numFmtId="0" fontId="21" fillId="3" borderId="3" applyAlignment="1" pivotButton="0" quotePrefix="0" xfId="0">
      <alignment horizontal="center"/>
    </xf>
    <xf numFmtId="0" fontId="22" fillId="3" borderId="3" applyAlignment="1" pivotButton="0" quotePrefix="0" xfId="0">
      <alignment horizontal="center"/>
    </xf>
    <xf numFmtId="0" fontId="21" fillId="0" borderId="3" applyAlignment="1" pivotButton="0" quotePrefix="0" xfId="0">
      <alignment/>
    </xf>
    <xf numFmtId="0" fontId="23" fillId="0" borderId="3" applyAlignment="1" pivotButton="0" quotePrefix="0" xfId="0">
      <alignment vertical="bottom"/>
    </xf>
    <xf numFmtId="0" fontId="12" fillId="0" borderId="4" applyAlignment="1" pivotButton="0" quotePrefix="0" xfId="0">
      <alignment horizontal="right"/>
    </xf>
    <xf numFmtId="169" fontId="21" fillId="3" borderId="3" applyAlignment="1" pivotButton="0" quotePrefix="0" xfId="0">
      <alignment/>
    </xf>
    <xf numFmtId="0" fontId="21" fillId="3" borderId="3" applyAlignment="1" pivotButton="0" quotePrefix="0" xfId="0">
      <alignment/>
    </xf>
    <xf numFmtId="1" fontId="21" fillId="3" borderId="3" applyAlignment="1" pivotButton="0" quotePrefix="0" xfId="0">
      <alignment horizontal="center"/>
    </xf>
    <xf numFmtId="1" fontId="21" fillId="3" borderId="3" applyAlignment="1" pivotButton="0" quotePrefix="0" xfId="0">
      <alignment/>
    </xf>
    <xf numFmtId="2" fontId="21" fillId="3" borderId="3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3" applyAlignment="1" pivotButton="0" quotePrefix="0" xfId="0">
      <alignment horizontal="center" vertical="bottom"/>
    </xf>
    <xf numFmtId="0" fontId="21" fillId="0" borderId="3" applyAlignment="1" pivotButton="0" quotePrefix="0" xfId="0">
      <alignment vertical="bottom"/>
    </xf>
    <xf numFmtId="0" fontId="21" fillId="19" borderId="3" applyAlignment="1" pivotButton="0" quotePrefix="0" xfId="0">
      <alignment horizontal="center" vertical="bottom"/>
    </xf>
    <xf numFmtId="0" fontId="21" fillId="20" borderId="3" applyAlignment="1" pivotButton="0" quotePrefix="0" xfId="0">
      <alignment horizontal="center" vertical="bottom"/>
    </xf>
    <xf numFmtId="0" fontId="7" fillId="3" borderId="3" pivotButton="0" quotePrefix="0" xfId="0"/>
    <xf numFmtId="1" fontId="3" fillId="20" borderId="3" pivotButton="0" quotePrefix="0" xfId="0"/>
    <xf numFmtId="0" fontId="3" fillId="20" borderId="3" pivotButton="0" quotePrefix="0" xfId="0"/>
    <xf numFmtId="1" fontId="3" fillId="13" borderId="3" pivotButton="0" quotePrefix="0" xfId="0"/>
    <xf numFmtId="0" fontId="3" fillId="13" borderId="3" pivotButton="0" quotePrefix="0" xfId="0"/>
    <xf numFmtId="0" fontId="22" fillId="0" borderId="3" applyAlignment="1" pivotButton="0" quotePrefix="0" xfId="0">
      <alignment vertical="bottom"/>
    </xf>
    <xf numFmtId="0" fontId="21" fillId="3" borderId="3" applyAlignment="1" pivotButton="0" quotePrefix="1" xfId="0">
      <alignment horizontal="center"/>
    </xf>
    <xf numFmtId="0" fontId="21" fillId="3" borderId="3" applyAlignment="1" pivotButton="0" quotePrefix="0" xfId="0">
      <alignment horizontal="center" vertical="bottom"/>
    </xf>
    <xf numFmtId="0" fontId="21" fillId="0" borderId="13" applyAlignment="1" pivotButton="0" quotePrefix="0" xfId="0">
      <alignment horizontal="center" vertical="bottom"/>
    </xf>
    <xf numFmtId="0" fontId="21" fillId="0" borderId="3" applyAlignment="1" pivotButton="0" quotePrefix="0" xfId="0">
      <alignment vertical="bottom"/>
    </xf>
    <xf numFmtId="0" fontId="21" fillId="3" borderId="3" applyAlignment="1" pivotButton="0" quotePrefix="0" xfId="0">
      <alignment vertical="bottom"/>
    </xf>
    <xf numFmtId="0" fontId="21" fillId="3" borderId="3" applyAlignment="1" pivotButton="0" quotePrefix="0" xfId="0">
      <alignment horizontal="center" vertical="bottom"/>
    </xf>
    <xf numFmtId="0" fontId="21" fillId="3" borderId="0" applyAlignment="1" pivotButton="0" quotePrefix="0" xfId="0">
      <alignment horizontal="center" vertical="bottom"/>
    </xf>
    <xf numFmtId="0" fontId="7" fillId="3" borderId="3" applyAlignment="1" pivotButton="0" quotePrefix="0" xfId="0">
      <alignment vertical="bottom"/>
    </xf>
    <xf numFmtId="0" fontId="21" fillId="3" borderId="3" applyAlignment="1" pivotButton="0" quotePrefix="0" xfId="0">
      <alignment horizontal="right" vertical="bottom"/>
    </xf>
    <xf numFmtId="0" fontId="21" fillId="3" borderId="3" applyAlignment="1" pivotButton="0" quotePrefix="1" xfId="0">
      <alignment horizontal="center" vertical="bottom"/>
    </xf>
    <xf numFmtId="0" fontId="24" fillId="0" borderId="3" applyAlignment="1" pivotButton="0" quotePrefix="0" xfId="0">
      <alignment vertical="bottom"/>
    </xf>
    <xf numFmtId="0" fontId="21" fillId="0" borderId="14" applyAlignment="1" pivotButton="0" quotePrefix="0" xfId="0">
      <alignment horizontal="center" vertical="bottom"/>
    </xf>
    <xf numFmtId="0" fontId="21" fillId="20" borderId="3" applyAlignment="1" pivotButton="0" quotePrefix="1" xfId="0">
      <alignment horizontal="center" vertical="bottom"/>
    </xf>
    <xf numFmtId="0" fontId="3" fillId="20" borderId="3" applyAlignment="1" pivotButton="0" quotePrefix="0" xfId="0">
      <alignment vertical="bottom"/>
    </xf>
    <xf numFmtId="0" fontId="3" fillId="19" borderId="3" applyAlignment="1" pivotButton="0" quotePrefix="0" xfId="0">
      <alignment vertical="bottom"/>
    </xf>
    <xf numFmtId="0" fontId="10" fillId="20" borderId="3" applyAlignment="1" pivotButton="0" quotePrefix="0" xfId="0">
      <alignment horizontal="center" vertical="bottom"/>
    </xf>
    <xf numFmtId="0" fontId="7" fillId="17" borderId="3" applyAlignment="1" pivotButton="0" quotePrefix="0" xfId="0">
      <alignment horizontal="center" vertical="bottom"/>
    </xf>
    <xf numFmtId="0" fontId="21" fillId="17" borderId="3" applyAlignment="1" pivotButton="0" quotePrefix="0" xfId="0">
      <alignment horizontal="center" vertical="bottom"/>
    </xf>
    <xf numFmtId="0" fontId="21" fillId="17" borderId="3" applyAlignment="1" pivotButton="0" quotePrefix="0" xfId="0">
      <alignment vertical="bottom"/>
    </xf>
    <xf numFmtId="0" fontId="3" fillId="17" borderId="3" applyAlignment="1" pivotButton="0" quotePrefix="0" xfId="0">
      <alignment vertical="bottom"/>
    </xf>
    <xf numFmtId="0" fontId="21" fillId="17" borderId="13" applyAlignment="1" pivotButton="0" quotePrefix="0" xfId="0">
      <alignment horizontal="center" vertical="bottom"/>
    </xf>
    <xf numFmtId="169" fontId="7" fillId="3" borderId="3" pivotButton="0" quotePrefix="0" xfId="0"/>
    <xf numFmtId="0" fontId="7" fillId="3" borderId="0" applyAlignment="1" pivotButton="0" quotePrefix="0" xfId="0">
      <alignment vertical="bottom"/>
    </xf>
    <xf numFmtId="0" fontId="21" fillId="0" borderId="10" applyAlignment="1" pivotButton="0" quotePrefix="0" xfId="0">
      <alignment horizontal="center" vertical="bottom"/>
    </xf>
    <xf numFmtId="0" fontId="21" fillId="3" borderId="10" applyAlignment="1" pivotButton="0" quotePrefix="0" xfId="0">
      <alignment horizontal="center" vertical="bottom"/>
    </xf>
    <xf numFmtId="0" fontId="21" fillId="3" borderId="3" applyAlignment="1" pivotButton="0" quotePrefix="0" xfId="0">
      <alignment vertical="bottom"/>
    </xf>
    <xf numFmtId="0" fontId="0" fillId="0" borderId="0" pivotButton="0" quotePrefix="0" xfId="0"/>
    <xf numFmtId="164" fontId="1" fillId="0" borderId="0" pivotButton="0" quotePrefix="0" xfId="0"/>
    <xf numFmtId="165" fontId="1" fillId="0" borderId="0" applyAlignment="1" pivotButton="0" quotePrefix="0" xfId="0">
      <alignment horizontal="center"/>
    </xf>
    <xf numFmtId="0" fontId="0" fillId="0" borderId="5" pivotButton="0" quotePrefix="0" xfId="0"/>
    <xf numFmtId="166" fontId="3" fillId="0" borderId="3" applyAlignment="1" pivotButton="0" quotePrefix="0" xfId="0">
      <alignment horizontal="center"/>
    </xf>
    <xf numFmtId="166" fontId="3" fillId="5" borderId="3" applyAlignment="1" pivotButton="0" quotePrefix="0" xfId="0">
      <alignment horizontal="center"/>
    </xf>
    <xf numFmtId="166" fontId="3" fillId="0" borderId="3" pivotButton="0" quotePrefix="0" xfId="0"/>
    <xf numFmtId="166" fontId="3" fillId="0" borderId="0" pivotButton="0" quotePrefix="0" xfId="0"/>
    <xf numFmtId="165" fontId="1" fillId="0" borderId="0" pivotButton="0" quotePrefix="0" xfId="0"/>
    <xf numFmtId="0" fontId="0" fillId="0" borderId="9" pivotButton="0" quotePrefix="0" xfId="0"/>
    <xf numFmtId="0" fontId="18" fillId="18" borderId="3" applyAlignment="1" pivotButton="0" quotePrefix="0" xfId="0">
      <alignment horizontal="center"/>
    </xf>
    <xf numFmtId="0" fontId="12" fillId="18" borderId="5" applyAlignment="1" pivotButton="0" quotePrefix="0" xfId="0">
      <alignment horizontal="center"/>
    </xf>
    <xf numFmtId="0" fontId="18" fillId="18" borderId="5" applyAlignment="1" pivotButton="0" quotePrefix="0" xfId="0">
      <alignment horizontal="center"/>
    </xf>
    <xf numFmtId="0" fontId="12" fillId="18" borderId="3" applyAlignment="1" pivotButton="0" quotePrefix="0" xfId="0">
      <alignment horizontal="center"/>
    </xf>
    <xf numFmtId="0" fontId="0" fillId="0" borderId="14" pivotButton="0" quotePrefix="0" xfId="0"/>
    <xf numFmtId="0" fontId="0" fillId="0" borderId="1" pivotButton="0" quotePrefix="0" xfId="0"/>
    <xf numFmtId="0" fontId="12" fillId="0" borderId="3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pivotCacheDefinition" Target="/xl/pivotCache/pivotCacheDefinition1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J176" sheet="Sheet7"/>
  </cacheSource>
  <cacheFields count="10">
    <cacheField name=" NIK" uniqueList="1" numFmtId="0" sqlType="0" hierarchy="0" level="0" databaseField="1">
      <sharedItems count="175" containsInteger="1" containsNumber="1" containsSemiMixedTypes="0" containsString="0">
        <n v="328000001"/>
        <n v="328000004"/>
        <n v="328000005"/>
        <n v="328000006"/>
        <n v="328000008"/>
        <n v="328000009"/>
        <n v="328000010"/>
        <n v="328000011"/>
        <n v="328000013"/>
        <n v="328000016"/>
        <n v="328000019"/>
        <n v="328000020"/>
        <n v="328000022"/>
        <n v="328000023"/>
        <n v="328000024"/>
        <n v="328000026"/>
        <n v="328000027"/>
        <n v="328000028"/>
        <n v="328000030"/>
        <n v="328000032"/>
        <n v="328000033"/>
        <n v="328000036"/>
        <n v="328000037"/>
        <n v="328000040"/>
        <n v="328000052"/>
        <n v="328000063"/>
        <n v="328000067"/>
        <n v="328000070"/>
        <n v="328000080"/>
        <n v="328000081"/>
        <n v="328000083"/>
        <n v="328000086"/>
        <n v="328000095"/>
        <n v="328000097"/>
        <n v="328000100"/>
        <n v="328000108"/>
        <n v="328000109"/>
        <n v="328000110"/>
        <n v="328000122"/>
        <n v="328000124"/>
        <n v="328000129"/>
        <n v="328000130"/>
        <n v="328000134"/>
        <n v="328000135"/>
        <n v="328000136"/>
        <n v="328000137"/>
        <n v="328000140"/>
        <n v="328000147"/>
        <n v="328000149"/>
        <n v="328000150"/>
        <n v="328000173"/>
        <n v="328000175"/>
        <n v="328000178"/>
        <n v="328000179"/>
        <n v="328000180"/>
        <n v="328000184"/>
        <n v="328000185"/>
        <n v="328000207"/>
        <n v="328000216"/>
        <n v="328000217"/>
        <n v="328000221"/>
        <n v="328000225"/>
        <n v="328000226"/>
        <n v="328000228"/>
        <n v="328000230"/>
        <n v="328000231"/>
        <n v="328000237"/>
        <n v="328000251"/>
        <n v="328000253"/>
        <n v="328000254"/>
        <n v="328000255"/>
        <n v="328000256"/>
        <n v="328000257"/>
        <n v="328000259"/>
        <n v="328000260"/>
        <n v="328000262"/>
        <n v="328000263"/>
        <n v="328000265"/>
        <n v="328000271"/>
        <n v="328000272"/>
        <n v="328000273"/>
        <n v="328000283"/>
        <n v="328000285"/>
        <n v="328000288"/>
        <n v="328000289"/>
        <n v="328000294"/>
        <n v="328000295"/>
        <n v="328000300"/>
        <n v="328000304"/>
        <n v="328000306"/>
        <n v="328000311"/>
        <n v="328000315"/>
        <n v="328000317"/>
        <n v="328000319"/>
        <n v="328000320"/>
        <n v="328000323"/>
        <n v="328000325"/>
        <n v="328000330"/>
        <n v="328000332"/>
        <n v="328000334"/>
        <n v="328000335"/>
        <n v="328000336"/>
        <n v="328000339"/>
        <n v="328000340"/>
        <n v="328000341"/>
        <n v="328000344"/>
        <n v="328000346"/>
        <n v="328000349"/>
        <n v="328000355"/>
        <n v="328000358"/>
        <n v="328000361"/>
        <n v="328000362"/>
        <n v="328000375"/>
        <n v="328000376"/>
        <n v="328000378"/>
        <n v="328000386"/>
        <n v="328000389"/>
        <n v="328000391"/>
        <n v="328000396"/>
        <n v="328000400"/>
        <n v="328000409"/>
        <n v="328000410"/>
        <n v="328000416"/>
        <n v="328000417"/>
        <n v="328000419"/>
        <n v="328000422"/>
        <n v="328000423"/>
        <n v="328000425"/>
        <n v="328000427"/>
        <n v="328000429"/>
        <n v="328000431"/>
        <n v="128000001"/>
        <n v="128000003"/>
        <n v="128000010"/>
        <n v="128000013"/>
        <n v="128000017"/>
        <n v="128000019"/>
        <n v="128000022"/>
        <n v="128000023"/>
        <n v="128000024"/>
        <n v="128000027"/>
        <n v="128000029"/>
        <n v="128000030"/>
        <n v="128000031"/>
        <n v="128000032"/>
        <n v="128000033"/>
        <n v="128000034"/>
        <n v="128000035"/>
        <n v="128000036"/>
        <n v="128000039"/>
        <n v="128000040"/>
        <n v="128000041"/>
        <n v="128000042"/>
        <n v="128000043"/>
        <n v="128000049"/>
        <n v="128000056"/>
        <n v="128000057"/>
        <n v="128000059"/>
        <n v="128000063"/>
        <n v="128000064"/>
        <n v="128000067"/>
        <n v="128000068"/>
        <n v="128000070"/>
        <n v="128000073"/>
        <n v="128000076"/>
        <n v="128000078"/>
        <n v="128000079"/>
        <n v="128000082"/>
        <n v="128000086"/>
        <n v="128000088"/>
        <n v="128000089"/>
        <n v="128000090"/>
        <n v="128000091"/>
        <n v="128000093"/>
        <n v="128000095"/>
      </sharedItems>
    </cacheField>
    <cacheField name=" Nama" uniqueList="1" numFmtId="0" sqlType="0" hierarchy="0" level="0" databaseField="1">
      <sharedItems count="175">
        <s v="Rio Gustiawan"/>
        <s v="Dangis Munggaran"/>
        <s v="Irgi Fauzi"/>
        <s v="Rizki"/>
        <s v="Ridho Ramdhan Putra"/>
        <s v="Rezza Febriana"/>
        <s v="Diaz Ghery Juniarsyah"/>
        <s v="Deni Kusnadi"/>
        <s v="Adil Sugihartono"/>
        <s v="Ramdan Abdullah"/>
        <s v="Dadang Saputra"/>
        <s v="Agus Gunawan"/>
        <s v="Azhar Aizad Alfaridzi"/>
        <s v="Kepin Nugraha"/>
        <s v="Arul Meilana"/>
        <s v="Dede Wahyudin"/>
        <s v="Gigin Ginanjar"/>
        <s v="Tisna Ginanjar"/>
        <s v="Dava Putra Yudiansyah"/>
        <s v="Ruby Subastian"/>
        <s v="Hendra"/>
        <s v="Fesal Fauzan"/>
        <s v="Kurniadi"/>
        <s v="Asep Kamaludin"/>
        <s v="Dimas Nugroho"/>
        <s v="Rizki Agung"/>
        <s v="Alip Rangga Alpajrin"/>
        <s v="Bayu Ajie Pangestu"/>
        <s v="Ilham Paoji Muharom"/>
        <s v="M. Qori Almahmud"/>
        <s v="Aldi Sutrisna"/>
        <s v="Aria Permana Zidane"/>
        <s v="Agus Joni"/>
        <s v="Yogi Rudianto"/>
        <s v="Fikrie Abi Hasan"/>
        <s v="Ahmad Nur Fajar"/>
        <s v="Rizky Pradana R"/>
        <s v="Pratama Wahyu Saputro"/>
        <s v="Sendi"/>
        <s v="Muhammad Sugih Nugraha"/>
        <s v="Ahmad Syaefudin Latief"/>
        <s v="Agil Agustiawan"/>
        <s v="Asep Septiana"/>
        <s v="Harry Panca"/>
        <s v="Syahrifaldi Rama Putra"/>
        <s v="Muhammad Aldy Ramadhan"/>
        <s v="Jerry Gunawan"/>
        <s v="Ahmad Pajri Maulana"/>
        <s v="Ira Ridayanti"/>
        <s v="Mufti Anam"/>
        <s v="Rifqi Fadiilah"/>
        <s v="Fadilah Ramadhan"/>
        <s v="Bambang Artian Herlambang"/>
        <s v="Muhammad Nofaldi Radhitia"/>
        <s v="Oktavio Kusuma"/>
        <s v="Wahyu Ramdani"/>
        <s v="Fajar Nursyamsi"/>
        <s v="MUHAMMAD ALVIANSYAH ZULFIKAR"/>
        <s v="Muhamad Adam Yanuar"/>
        <s v="BAYU ANDRIANSYAH"/>
        <s v="Suhendra Putra"/>
        <s v="Muhamad Rizal"/>
        <s v="Paisyal Zulfazila Ibrahim"/>
        <s v="Juliantoro Sonjaya"/>
        <s v="Muhamad Akbar Fauzan"/>
        <s v="Mara Maulana"/>
        <s v="Muhamad Gaman"/>
        <s v="Dede Saman Nursamsi"/>
        <s v="Doni Subhada"/>
        <s v="Ari Muhamad Ridwan"/>
        <s v="Fahri"/>
        <s v="Miftahus Salam"/>
        <s v="Agung Bagaskara"/>
        <s v="Hendri indriyanto"/>
        <s v="Ali Ramdhan"/>
        <s v="Jujun Junaedi"/>
        <s v="Magie Maghfira"/>
        <s v="Nelson Mandela"/>
        <s v="Nuryana"/>
        <s v="Akbar Saepuloh"/>
        <s v="Ramdani"/>
        <s v="Taufik Mustopa"/>
        <s v="M. Yoga Pamungkas"/>
        <s v="Andika Al Aqbar"/>
        <s v="Karya"/>
        <s v="Bambang Irawan"/>
        <s v="Reva Herlambang"/>
        <s v="Ega Anggara"/>
        <s v="Riezal Aulia Dienilhaq"/>
        <s v="Aldy Bintang Syahputra"/>
        <s v="Aras Ath Thariq"/>
        <s v="Fikri Haikal"/>
        <s v="Hadiyono"/>
        <s v="Ari Pebrianto"/>
        <s v="Alfazri Samsi Arya Ginandjar"/>
        <s v="Muhammad Bayu Taufan"/>
        <s v="Mohamad Aldiawan"/>
        <s v="Wendika Rizki Kurniawan"/>
        <s v="Anin Hernawan"/>
        <s v="Nana Purwanto"/>
        <s v="Muhamad Sandi"/>
        <s v="Andri Saputra"/>
        <s v="Mohammad Rafi Rustaman"/>
        <s v="Iyan Supriyanto"/>
        <s v="Riki Septiadi"/>
        <s v="Rizwan Maulana"/>
        <s v="Muhamad Fadilah Faqih"/>
        <s v="Nanda Agustian"/>
        <s v="Irvan Andrian"/>
        <s v="Kiki Muzaki"/>
        <s v="Nabil Fathurohman"/>
        <s v="Iqbal Herman"/>
        <s v="Adam Hidir Malkan"/>
        <s v="Hendry Kurniawan"/>
        <s v="Jauhar Alamanda A. Hilda"/>
        <s v="Muhammad Hanif Alghifari"/>
        <s v="Dede Arman Maulana"/>
        <s v="Rangga Aditya"/>
        <s v="M. Zidan Juniar"/>
        <s v="M Karsim Septian"/>
        <s v="Suhendi"/>
        <s v="Kelvin Febriansyah"/>
        <s v="Ahmad Ramdani"/>
        <s v="Raja Aditia"/>
        <s v="Cecep Sukma Wijaya"/>
        <s v="Kevin Prakoso"/>
        <s v="Fachmi Chaerul Iman"/>
        <s v="Priyanto Sandika"/>
        <s v="Rizky Muhamad Reyhan"/>
        <s v="Faidah Arrasid"/>
        <s v="Sahrul Roy Ramadan"/>
        <s v="Iman Nurchaedi S."/>
        <s v="Andre Santosa"/>
        <s v="Dendy Saputra"/>
        <s v="Aminulloh"/>
        <s v="Sandi Iswanto"/>
        <s v="Yeni Ferianto"/>
        <s v="Hendra Setiawan"/>
        <s v="Iman Muaimin"/>
        <s v="Taufik Faturochman"/>
        <s v="Gembong Hagung Harsanto"/>
        <s v="Angga Setyawan"/>
        <s v="Kelik Aji Sambudi"/>
        <s v="Abdu Fuad Arrazy"/>
        <s v="Ardi Akbar Rian Saputra"/>
        <s v="Susep Triwibowo"/>
        <s v="Antonius Cahyo Novianto"/>
        <s v="Sarino Suprianto"/>
        <s v="Novan Satyawardhana"/>
        <s v="Saka Marga Redi"/>
        <s v="Gilang Anugerah Hernanda"/>
        <s v="Alief Akbar Rafsanzani"/>
        <s v="Ahmad Afrizal"/>
        <s v="Muhammad Rival Firdaus"/>
        <s v="Ragil Febriansyah"/>
        <s v="Syahrul Naufal Kurnia"/>
        <s v="Taufik Hidayatulloh"/>
        <s v="Muhamad Maftuh Ihsan"/>
        <s v="Reynaldi Pratama"/>
        <s v="Toni Kurniawan"/>
        <s v="Adi Iswanto"/>
        <s v="Irnando Arkadiantika"/>
        <s v="Bey Muhammad"/>
        <s v="Rahandi Ardiansyah"/>
        <s v="Asep Prasetyo"/>
        <s v="Andi Widiawanto"/>
        <s v="Rokhimin"/>
        <s v="Fathurrahman Himra"/>
        <s v="I Wayan Gede Widyantara"/>
        <s v="Tyas Muhammad Hafizh"/>
        <s v="Alvin Rizhaldi"/>
        <s v="Ryandra Diotama Subagja"/>
        <s v="Dava Raihan Pranoto"/>
        <s v="Muhammad Ilhamdi Akbar"/>
        <s v="Ferdiansyah Dwi Pratama"/>
      </sharedItems>
    </cacheField>
    <cacheField name=" Tgl Masuk" uniqueList="1" sqlType="0" hierarchy="0" level="0" databaseField="1">
      <sharedItems count="83" containsDate="1" containsMixedTypes="1">
        <d v="2023-07-04T00:00:00"/>
        <d v="2023-08-28T00:00:00"/>
        <d v="2023-09-11T00:00:00"/>
        <d v="2023-04-11T00:00:00"/>
        <d v="2023-09-22T00:00:00"/>
        <d v="2023-09-25T00:00:00"/>
        <d v="2023-09-29T00:00:00"/>
        <d v="2023-10-02T00:00:00"/>
        <d v="2023-10-06T00:00:00"/>
        <d v="2023-10-07T00:00:00"/>
        <d v="2023-10-17T00:00:00"/>
        <d v="2023-10-20T00:00:00"/>
        <d v="2023-10-28T00:00:00"/>
        <d v="2023-11-01T00:00:00"/>
        <d v="2023-11-24T00:00:00"/>
        <d v="2023-11-25T00:00:00"/>
        <d v="2023-12-18T00:00:00"/>
        <d v="2024-01-19T00:00:00"/>
        <d v="2024-02-03T00:00:00"/>
        <d v="2024-02-21T00:00:00"/>
        <d v="2024-02-24T00:00:00"/>
        <d v="2024-03-01T00:00:00"/>
        <d v="2024-03-07T00:00:00"/>
        <d v="2024-03-09T00:00:00"/>
        <d v="2024-03-26T00:00:00"/>
        <d v="2024-05-11T00:00:00"/>
        <d v="2024-05-16T00:00:00"/>
        <d v="2024-05-21T00:00:00"/>
        <d v="2024-05-30T00:00:00"/>
        <d v="2024-05-27T00:00:00"/>
        <d v="2024-06-15T00:00:00"/>
        <d v="2024-06-19T00:00:00"/>
        <d v="2024-06-24T00:00:00"/>
        <d v="2024-07-06T00:00:00"/>
        <d v="2024-07-18T00:00:00"/>
        <d v="2024-07-23T00:00:00"/>
        <d v="2024-07-25T00:00:00"/>
        <d v="2024-09-11T00:00:00"/>
        <d v="2024-09-24T00:00:00"/>
        <d v="2024-10-08T00:00:00"/>
        <d v="2024-10-16T00:00:00"/>
        <d v="2024-10-23T00:00:00"/>
        <d v="2024-10-22T00:00:00"/>
        <d v="2024-12-02T00:00:00"/>
        <d v="2025-01-02T00:00:00"/>
        <d v="2025-01-13T00:00:00"/>
        <d v="2025-01-17T00:00:00"/>
        <d v="2025-02-19T00:00:00"/>
        <d v="2025-02-26T00:00:00"/>
        <d v="2025-03-25T00:00:00"/>
        <d v="2025-03-28T00:00:00"/>
        <d v="2025-04-08T00:00:00"/>
        <d v="2025-04-14T00:00:00"/>
        <d v="2025-04-23T00:00:00"/>
        <d v="2025-04-24T00:00:00"/>
        <d v="2025-04-30T00:00:00"/>
        <d v="2025-05-02T00:00:00"/>
        <d v="2025-05-06T00:00:00"/>
        <d v="2025-05-07T00:00:00"/>
        <d v="2025-05-20T00:00:00"/>
        <d v="2025-05-26T00:00:00"/>
        <d v="2025-06-02T00:00:00"/>
        <d v="2025-06-07T00:00:00"/>
        <d v="2025-06-09T00:00:00"/>
        <d v="2025-06-14T00:00:00"/>
        <d v="2025-06-24T00:00:00"/>
        <d v="2025-06-28T00:00:00"/>
        <d v="2025-07-12T00:00:00"/>
        <d v="2025-07-20T00:00:00"/>
        <d v="2025-07-30T00:00:00"/>
        <d v="2025-08-01T00:00:00"/>
        <d v="2025-08-16T00:00:00"/>
        <d v="2025-08-26T00:00:00"/>
        <d v="2025-09-02T00:00:00"/>
        <d v="2025-09-12T00:00:00"/>
        <d v="2025-09-16T00:00:00"/>
        <d v="2025-09-19T00:00:00"/>
        <s v="Production"/>
        <s v="Engineering"/>
        <s v="Logistic"/>
        <s v="Quality and Research &amp; Development"/>
        <s v="HRD &amp; GA"/>
        <s v="Manufacture Excellence"/>
      </sharedItems>
    </cacheField>
    <cacheField name=" Masa Kerja" uniqueList="1" numFmtId="0" sqlType="0" hierarchy="0" level="0" databaseField="1">
      <sharedItems count="78" containsBlank="1">
        <s v="2 tahun, 2 bulan, 14 hari"/>
        <s v="2 tahun, 0 bulan, 21 hari"/>
        <s v="2 tahun, 0 bulan, 7 hari"/>
        <s v="2 tahun, 5 bulan, 7 hari"/>
        <s v="1 tahun, 11 bulan, 27 hari"/>
        <s v="1 tahun, 11 bulan, 24 hari"/>
        <s v="1 tahun, 11 bulan, 20 hari"/>
        <s v="1 tahun, 11 bulan, 16 hari"/>
        <s v="1 tahun, 11 bulan, 12 hari"/>
        <s v="1 tahun, 11 bulan, 11 hari"/>
        <s v="1 tahun, 11 bulan, 1 hari"/>
        <s v="1 tahun, 10 bulan, 29 hari"/>
        <s v="1 tahun, 10 bulan, 21 hari"/>
        <s v="1 tahun, 10 bulan, 17 hari"/>
        <s v="1 tahun, 9 bulan, 25 hari"/>
        <s v="1 tahun, 9 bulan, 24 hari"/>
        <s v="1 tahun, 9 bulan, 0 hari"/>
        <s v="1 tahun, 7 bulan, 30 hari"/>
        <s v="1 tahun, 7 bulan, 15 hari"/>
        <s v="1 tahun, 6 bulan, 28 hari"/>
        <s v="1 tahun, 6 bulan, 25 hari"/>
        <s v="1 tahun, 6 bulan, 17 hari"/>
        <s v="1 tahun, 6 bulan, 11 hari"/>
        <s v="1 tahun, 6 bulan, 9 hari"/>
        <s v="1 tahun, 5 bulan, 23 hari"/>
        <s v="1 tahun, 4 bulan, 7 hari"/>
        <s v="1 tahun, 4 bulan, 2 hari"/>
        <s v="1 tahun, 3 bulan, 28 hari"/>
        <s v="1 tahun, 3 bulan, 19 hari"/>
        <s v="1 tahun, 3 bulan, 22 hari"/>
        <s v="1 tahun, 3 bulan, 3 hari"/>
        <s v="1 tahun, 2 bulan, 30 hari"/>
        <s v="1 tahun, 2 bulan, 25 hari"/>
        <s v="1 tahun, 2 bulan, 12 hari"/>
        <s v="1 tahun, 2 bulan, 0 hari"/>
        <s v="1 tahun, 1 bulan, 26 hari"/>
        <s v="1 tahun, 1 bulan, 24 hari"/>
        <s v="1 tahun, 0 bulan, 7 hari"/>
        <s v="0 tahun, 11 bulan, 25 hari"/>
        <s v="0 tahun, 11 bulan, 10 hari"/>
        <s v="0 tahun, 11 bulan, 2 hari"/>
        <s v="0 tahun, 10 bulan, 26 hari"/>
        <s v="0 tahun, 10 bulan, 27 hari"/>
        <s v="0 tahun, 9 bulan, 16 hari"/>
        <s v="0 tahun, 8 bulan, 16 hari"/>
        <s v="0 tahun, 8 bulan, 5 hari"/>
        <s v="0 tahun, 8 bulan, 1 hari"/>
        <s v="0 tahun, 6 bulan, 30 hari"/>
        <s v="0 tahun, 6 bulan, 23 hari"/>
        <s v="0 tahun, 5 bulan, 24 hari"/>
        <s v="0 tahun, 5 bulan, 21 hari"/>
        <s v="0 tahun, 5 bulan, 10 hari"/>
        <s v="0 tahun, 5 bulan, 4 hari"/>
        <s v="0 tahun, 4 bulan, 26 hari"/>
        <s v="0 tahun, 4 bulan, 25 hari"/>
        <s v="0 tahun, 4 bulan, 19 hari"/>
        <s v="0 tahun, 4 bulan, 16 hari"/>
        <s v="0 tahun, 4 bulan, 12 hari"/>
        <s v="0 tahun, 4 bulan, 11 hari"/>
        <s v="0 tahun, 3 bulan, 29 hari"/>
        <s v="0 tahun, 3 bulan, 23 hari"/>
        <s v="0 tahun, 3 bulan, 16 hari"/>
        <s v="0 tahun, 3 bulan, 11 hari"/>
        <s v="0 tahun, 3 bulan, 9 hari"/>
        <s v="0 tahun, 3 bulan, 4 hari"/>
        <s v="0 tahun, 2 bulan, 25 hari"/>
        <s v="0 tahun, 2 bulan, 21 hari"/>
        <s v="0 tahun, 2 bulan, 6 hari"/>
        <s v="0 tahun, 1 bulan, 29 hari"/>
        <s v="0 tahun, 1 bulan, 19 hari"/>
        <s v="0 tahun, 1 bulan, 17 hari"/>
        <s v="0 tahun, 1 bulan, 2 hari"/>
        <s v="0 tahun, 0 bulan, 23 hari"/>
        <s v="0 tahun, 0 bulan, 16 hari"/>
        <s v="0 tahun, 0 bulan, 6 hari"/>
        <s v="0 tahun, 0 bulan, 2 hari"/>
        <s v="#NUM!"/>
        <m/>
      </sharedItems>
    </cacheField>
    <cacheField name=" Departmen" uniqueList="1" numFmtId="0" sqlType="0" hierarchy="0" level="0" databaseField="1">
      <sharedItems count="5" containsBlank="1">
        <s v="Engineering"/>
        <s v="Logistic"/>
        <s v="Production"/>
        <s v="Quality and Research &amp; Development"/>
        <m/>
      </sharedItems>
    </cacheField>
    <cacheField name=" Section" uniqueList="1" numFmtId="0" sqlType="0" hierarchy="0" level="0" databaseField="1">
      <sharedItems count="10" containsBlank="1">
        <s v="Engineering"/>
        <s v="Warehouse Sparepart"/>
        <s v="Timbangan"/>
        <s v="Production Diapers"/>
        <s v="Production Adult"/>
        <s v="QC - Diapers"/>
        <s v="Warehouse Raw Material"/>
        <s v="Warehouse Finish Good"/>
        <s v="EHS"/>
        <m/>
      </sharedItems>
    </cacheField>
    <cacheField name=" Jabatan" uniqueList="1" numFmtId="0" sqlType="0" hierarchy="0" level="0" databaseField="1">
      <sharedItems count="24" containsBlank="1">
        <s v="Utility, Electricity &amp; MHE Maintenance"/>
        <s v="Mechanical Machine Maintenance"/>
        <s v="Machine Maintenance Shift"/>
        <s v="Ite Maintenance"/>
        <s v="Electricity &amp; Supporting Machine Maintenance"/>
        <s v="Admin WSP"/>
        <s v="Fabricator"/>
        <s v="Admin Timbangan"/>
        <s v="Operator Produksi"/>
        <s v="QC Patrol"/>
        <s v="Admin TSP"/>
        <s v="Operator Forklift"/>
        <s v="PIC Area"/>
        <s v="Admin WRM"/>
        <s v="QC Produksi"/>
        <s v="Admin Planner"/>
        <s v="Packer"/>
        <s v="QC Incoming"/>
        <s v="Checker"/>
        <s v="Admin WFG"/>
        <s v="Ehs Support"/>
        <s v="Operator"/>
        <s v="Glue Machine Maintenance"/>
        <m/>
      </sharedItems>
    </cacheField>
    <cacheField name=" Jenis Kelamin" uniqueList="1" numFmtId="0" sqlType="0" hierarchy="0" level="0" databaseField="1">
      <sharedItems count="1">
        <s v="L"/>
      </sharedItems>
    </cacheField>
    <cacheField name=" PWS" uniqueList="1" numFmtId="0" sqlType="0" hierarchy="0" level="0" databaseField="1">
      <sharedItems count="30">
        <s v="1ENG4"/>
        <s v="1ENG2"/>
        <s v="4D2"/>
        <s v="1NS1"/>
        <s v="4A2"/>
        <s v="4B2"/>
        <s v="1ENG3"/>
        <s v="3D2"/>
        <s v="4C2"/>
        <s v="3GSPRD3B"/>
        <s v="3GSPRD1G"/>
        <s v="2LOGB5"/>
        <s v="2LOGA5"/>
        <s v="3GSPRD2S"/>
        <s v="QC22G2S"/>
        <s v="1NS1LOG"/>
        <s v="1NSLOG11"/>
        <s v="1ENG1"/>
        <s v="1NSLOG10"/>
        <s v="QC12G2S"/>
        <s v="3GSENG4"/>
        <s v="3GSENG3"/>
        <s v="3GSENG2"/>
        <s v="2NSB1"/>
        <s v="2NSA1"/>
        <s v="3GSPRD2"/>
        <s v="3GSPRD1"/>
        <s v="2LOG2G2S"/>
        <s v="3GSPRD3"/>
        <s v="1LOG2G2S"/>
      </sharedItems>
    </cacheField>
    <cacheField name=" Agama" uniqueList="1" numFmtId="0" sqlType="0" hierarchy="0" level="0" databaseField="1">
      <sharedItems count="3">
        <s v="ISLAM"/>
        <s v="Katholik"/>
        <s v="Hindu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 Table 3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E33" firstHeaderRow="0" firstDataRow="1" firstDataCol="1"/>
  <pivotFields count="10">
    <pivotField name=" NIK" showDropDowns="1" compact="0" outline="0" subtotalTop="1" dragToRow="1" dragToCol="1" multipleItemSelectionAllowed="1" dragToPage="1" dragToData="1" dragOff="1" showAll="0" topAutoShow="1" itemPageCount="10" sortType="manual" defaultSubtotal="1">
      <items count="17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efault" sd="1"/>
      </items>
    </pivotField>
    <pivotField name=" Nama" showDropDowns="1" compact="0" outline="0" subtotalTop="1" dragToRow="1" dragToCol="1" multipleItemSelectionAllowed="1" dragToPage="1" dragToData="1" dragOff="1" showAll="0" topAutoShow="1" itemPageCount="10" sortType="manual" defaultSubtotal="1">
      <items count="17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efault" sd="1"/>
      </items>
    </pivotField>
    <pivotField name=" Tgl Masuk" showDropDowns="1" compact="0" outline="0" subtotalTop="1" dragToRow="1" dragToCol="1" multipleItemSelectionAllowed="1" dragToPage="1" dragToData="1" dragOff="1" showAll="0" topAutoShow="1" itemPageCount="10" sortType="manual" defaultSubtotal="1">
      <items count="8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efault" sd="1"/>
      </items>
    </pivotField>
    <pivotField name=" Masa Kerja" showDropDowns="1" compact="0" outline="0" subtotalTop="1" dragToRow="1" dragToCol="1" multipleItemSelectionAllowed="1" dragToPage="1" dragToData="1" dragOff="1" showAll="0" topAutoShow="1" itemPageCount="10" sortType="manual" defaultSubtotal="1">
      <items count="7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efault" sd="1"/>
      </items>
    </pivotField>
    <pivotField name=" Departmen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 Section" showDropDowns="1" compact="0" outline="0" subtotalTop="1" dragToRow="1" dragToCol="1" multipleItemSelectionAllowed="1" dragToPage="1" dragToData="1" dragOff="1" showAll="0" topAutoShow="1" itemPageCount="10" sortType="manual" defaultSubtotal="1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efault" sd="1"/>
      </items>
    </pivotField>
    <pivotField name=" Jabatan" showDropDowns="1" compact="0" outline="0" subtotalTop="1" dragToRow="1" dragToCol="1" multipleItemSelectionAllowed="1" dragToPage="1" dragToData="1" dragOff="1" showAll="0" topAutoShow="1" itemPageCount="10" sortType="manual" defaultSubtotal="1">
      <items count="2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efault" sd="1"/>
      </items>
    </pivotField>
    <pivotField name=" Jenis Kelamin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 PWS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1">
        <item t="data" sd="1" x="17"/>
        <item t="data" sd="1" x="1"/>
        <item t="data" sd="1" x="6"/>
        <item t="data" sd="1" x="0"/>
        <item t="data" sd="1" x="29"/>
        <item t="data" sd="1" x="3"/>
        <item t="data" sd="1" x="15"/>
        <item t="data" sd="1" x="18"/>
        <item t="data" sd="1" x="16"/>
        <item t="data" sd="1" x="27"/>
        <item t="data" sd="1" x="12"/>
        <item t="data" sd="1" x="11"/>
        <item t="data" sd="1" x="24"/>
        <item t="data" sd="1" x="23"/>
        <item t="data" sd="1" x="7"/>
        <item t="data" sd="1" x="22"/>
        <item t="data" sd="1" x="21"/>
        <item t="data" sd="1" x="20"/>
        <item t="data" sd="1" x="26"/>
        <item t="data" sd="1" x="10"/>
        <item t="data" sd="1" x="25"/>
        <item t="data" sd="1" x="13"/>
        <item t="data" sd="1" x="28"/>
        <item t="data" sd="1" x="9"/>
        <item t="data" sd="1" x="4"/>
        <item t="data" sd="1" x="5"/>
        <item t="data" sd="1" x="8"/>
        <item t="data" sd="1" x="2"/>
        <item t="data" sd="1" x="19"/>
        <item t="data" sd="1" x="14"/>
        <item t="default" sd="1"/>
      </items>
    </pivotField>
    <pivotField name=" Agama" axis="axisCol" dataField="1" showDropDowns="1" compact="0" outline="0" subtotalTop="1" dragToRow="1" dragToCol="1" multipleItemSelectionAllowed="1" dragToPage="1" dragToData="1" dragOff="1" showAll="0" topAutoShow="1" itemPageCount="10" sortType="ascending" defaultSubtotal="1">
      <items count="4">
        <item t="data" sd="1" x="2"/>
        <item t="data" sd="1" x="0"/>
        <item t="data" sd="1" x="1"/>
        <item t="default" sd="1"/>
      </items>
    </pivotField>
  </pivotFields>
  <rowFields count="1">
    <field x="8"/>
  </rowFields>
  <colFields count="1">
    <field x="9"/>
  </colFields>
  <dataFields count="1">
    <dataField name="COUNTA of  Agama" fld="9" subtotal="count" showDataAs="normal" baseField="0" baseItem="1048832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script.google.com/macros/s/AKfycbyjQ36Nlastyw1xBgzvojgX6QH2oPxB6462YKg0sELBb3gb08dYQuKHz5X_RLFntfoV9g/exec" TargetMode="External" Id="rId1"/><Relationship Type="http://schemas.openxmlformats.org/officeDocument/2006/relationships/hyperlink" Target="https://script.google.com/macros/s/AKfycbyu6uW7XgdZPtJysgtf3x0i3E7cxR5Hrb_dZNKYns0QJ6Lef7xzbC0mT3uP_rREHz5ypA/exec" TargetMode="External" Id="rId2"/><Relationship Type="http://schemas.openxmlformats.org/officeDocument/2006/relationships/hyperlink" Target="https://script.google.com/macros/s/AKfycbycdcUt4y9RdoQIOTnIzWs6AxyZe5JayFhbk6f9abnv5kr3VAWapXicdVvRGn3o53BS/exec" TargetMode="External" Id="rId3"/><Relationship Type="http://schemas.openxmlformats.org/officeDocument/2006/relationships/hyperlink" Target="https://script.google.com/macros/s/AKfycbzVN4Z58pluVPnUG1jBOBc4hLggJjDAlrSekiW9DtkHqvk8rEsSKuhvhWHTbsHbaP8m/exec" TargetMode="External" Id="rId4"/></Relationships>
</file>

<file path=xl/worksheets/_rels/sheet25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9" min="1" max="1"/>
    <col width="19.88" customWidth="1" style="169" min="2" max="2"/>
    <col width="30.75" customWidth="1" style="169" min="3" max="3"/>
    <col width="12.63" customWidth="1" style="169" min="4" max="5"/>
    <col width="19.13" customWidth="1" style="169" min="6" max="6"/>
  </cols>
  <sheetData>
    <row r="1" ht="15.75" customHeight="1" s="169">
      <c r="A1" s="22" t="inlineStr">
        <is>
          <t>NIK AMG</t>
        </is>
      </c>
      <c r="E1" s="22" t="inlineStr">
        <is>
          <t>NIK DAM</t>
        </is>
      </c>
    </row>
    <row r="2" ht="15.75" customHeight="1" s="169">
      <c r="A2" s="6" t="n">
        <v>119000001</v>
      </c>
      <c r="B2" s="7" t="inlineStr">
        <is>
          <t>Herman Suwanto</t>
        </is>
      </c>
      <c r="C2" s="8" t="inlineStr">
        <is>
          <t>Manufacturing Head</t>
        </is>
      </c>
      <c r="E2" s="10" t="n">
        <v>128000005</v>
      </c>
      <c r="F2" s="12" t="inlineStr">
        <is>
          <t>Sartono</t>
        </is>
      </c>
    </row>
    <row r="3" ht="15.75" customHeight="1" s="169">
      <c r="A3" s="15" t="n">
        <v>119000004</v>
      </c>
      <c r="B3" s="16" t="inlineStr">
        <is>
          <t>Angela Stephanie</t>
        </is>
      </c>
      <c r="C3" s="8" t="inlineStr">
        <is>
          <t>QC and R&amp;D Deputy Manager</t>
        </is>
      </c>
      <c r="E3" s="10" t="n">
        <v>128000006</v>
      </c>
      <c r="F3" s="12" t="inlineStr">
        <is>
          <t>Agnes Vivi Cahyani</t>
        </is>
      </c>
    </row>
    <row r="4" ht="15.75" customHeight="1" s="169">
      <c r="A4" s="6" t="n">
        <v>119000010</v>
      </c>
      <c r="B4" s="7" t="inlineStr">
        <is>
          <t>Nathan Wilman</t>
        </is>
      </c>
      <c r="C4" s="8" t="inlineStr">
        <is>
          <t>Accounting Chief SPV 2</t>
        </is>
      </c>
      <c r="E4" s="17" t="n">
        <v>128000007</v>
      </c>
      <c r="F4" s="12" t="inlineStr">
        <is>
          <t>Stevanus Cahya Pratama</t>
        </is>
      </c>
    </row>
    <row r="5" ht="15.75" customHeight="1" s="169">
      <c r="A5" s="18" t="n">
        <v>119000138</v>
      </c>
      <c r="B5" s="7" t="inlineStr">
        <is>
          <t>Agnes Vivi Cahyani</t>
        </is>
      </c>
      <c r="C5" s="8" t="inlineStr">
        <is>
          <t>HRD &amp; GA Deputy Manager</t>
        </is>
      </c>
      <c r="E5" s="10" t="n">
        <v>128000008</v>
      </c>
      <c r="F5" s="12" t="inlineStr">
        <is>
          <t>Natalia Gunawan</t>
        </is>
      </c>
    </row>
    <row r="6" ht="15.75" customHeight="1" s="169">
      <c r="A6" s="6" t="n">
        <v>119000223</v>
      </c>
      <c r="B6" s="19" t="inlineStr">
        <is>
          <t>Margaret Emmanuel K</t>
        </is>
      </c>
      <c r="C6" s="8" t="inlineStr">
        <is>
          <t>HRD &amp; GA Deputy Manager</t>
        </is>
      </c>
      <c r="E6" s="10" t="n">
        <v>128000009</v>
      </c>
      <c r="F6" s="12" t="inlineStr">
        <is>
          <t>Angela stephanie</t>
        </is>
      </c>
    </row>
    <row r="7" ht="15.75" customHeight="1" s="169">
      <c r="A7" s="6" t="n">
        <v>119000162</v>
      </c>
      <c r="B7" s="19" t="inlineStr">
        <is>
          <t>Stevanus Cahya Pratama</t>
        </is>
      </c>
      <c r="C7" s="8" t="inlineStr">
        <is>
          <t>Manager ACC</t>
        </is>
      </c>
      <c r="E7" s="17" t="n">
        <v>128000045</v>
      </c>
      <c r="F7" s="12" t="inlineStr">
        <is>
          <t>NATHANIA HARTONO</t>
        </is>
      </c>
    </row>
    <row r="8" ht="15.75" customHeight="1" s="169">
      <c r="A8" s="6" t="n">
        <v>119000029</v>
      </c>
      <c r="B8" s="7" t="inlineStr">
        <is>
          <t>Sartono</t>
        </is>
      </c>
      <c r="C8" s="20" t="inlineStr">
        <is>
          <t>Logistic Deputy Manager</t>
        </is>
      </c>
      <c r="E8" s="17" t="n">
        <v>128000046</v>
      </c>
      <c r="F8" s="21" t="inlineStr">
        <is>
          <t>NATHAN WILMAN</t>
        </is>
      </c>
    </row>
    <row r="9" ht="15.75" customHeight="1" s="169">
      <c r="A9" s="6" t="n">
        <v>119000078</v>
      </c>
      <c r="B9" s="7" t="inlineStr">
        <is>
          <t>Nathania Hartono</t>
        </is>
      </c>
      <c r="C9" s="20" t="inlineStr">
        <is>
          <t>Supervisor Purchasing</t>
        </is>
      </c>
      <c r="E9" s="17" t="n">
        <v>128000047</v>
      </c>
      <c r="F9" s="21" t="inlineStr">
        <is>
          <t>Joan Imanuela</t>
        </is>
      </c>
    </row>
    <row r="10" ht="15.75" customHeight="1" s="169">
      <c r="A10" s="6" t="n">
        <v>119000082</v>
      </c>
      <c r="B10" s="7" t="inlineStr">
        <is>
          <t>Joan Imanuela</t>
        </is>
      </c>
      <c r="C10" s="20" t="inlineStr">
        <is>
          <t>Supervisor Material Plan &amp; Raw Material</t>
        </is>
      </c>
      <c r="E10" s="17" t="n">
        <v>128000050</v>
      </c>
      <c r="F10" s="12" t="inlineStr">
        <is>
          <t>Herman Suwanto</t>
        </is>
      </c>
    </row>
    <row r="11" ht="15.75" customHeight="1" s="169">
      <c r="E11" s="17" t="n">
        <v>128000085</v>
      </c>
      <c r="F11" s="19" t="inlineStr">
        <is>
          <t>Margaret Emmanuel K</t>
        </is>
      </c>
    </row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5"/>
  <sheetViews>
    <sheetView workbookViewId="0">
      <selection activeCell="A1" sqref="A1"/>
    </sheetView>
  </sheetViews>
  <sheetFormatPr baseColWidth="8" defaultColWidth="12.63" defaultRowHeight="15" customHeight="1"/>
  <cols>
    <col width="20.63" customWidth="1" style="169" min="1" max="1"/>
    <col width="104.5" customWidth="1" style="169" min="2" max="2"/>
  </cols>
  <sheetData>
    <row r="1">
      <c r="A1" s="2" t="inlineStr">
        <is>
          <t>S</t>
        </is>
      </c>
      <c r="B1" s="4" t="inlineStr">
        <is>
          <t>LINK_MODUL</t>
        </is>
      </c>
    </row>
    <row r="2">
      <c r="A2" s="5" t="inlineStr">
        <is>
          <t>GATE_PABRIK</t>
        </is>
      </c>
      <c r="B2" s="11" t="inlineStr">
        <is>
          <t>https://script.google.com/macros/s/AKfycbyjQ36Nlastyw1xBgzvojgX6QH2oPxB6462YKg0sELBb3gb08dYQuKHz5X_RLFntfoV9g/exec</t>
        </is>
      </c>
    </row>
    <row r="3">
      <c r="A3" s="5" t="inlineStr">
        <is>
          <t>AREA_KERJA</t>
        </is>
      </c>
      <c r="B3" s="11" t="inlineStr">
        <is>
          <t>https://script.google.com/macros/s/AKfycbyu6uW7XgdZPtJysgtf3x0i3E7cxR5Hrb_dZNKYns0QJ6Lef7xzbC0mT3uP_rREHz5ypA/exec</t>
        </is>
      </c>
    </row>
    <row r="4">
      <c r="A4" s="5" t="inlineStr">
        <is>
          <t>REPORT</t>
        </is>
      </c>
      <c r="B4" s="11" t="inlineStr">
        <is>
          <t>https://script.google.com/macros/s/AKfycbycdcUt4y9RdoQIOTnIzWs6AxyZe5JayFhbk6f9abnv5kr3VAWapXicdVvRGn3o53BS/exec</t>
        </is>
      </c>
    </row>
    <row r="5">
      <c r="A5" s="13" t="inlineStr">
        <is>
          <t>HOME_PORTAL</t>
        </is>
      </c>
      <c r="B5" s="14" t="inlineStr">
        <is>
          <t>https://script.google.com/macros/s/AKfycbzVN4Z58pluVPnUG1jBOBc4hLggJjDAlrSekiW9DtkHqvk8rEsSKuhvhWHTbsHbaP8m/exec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>
      <c r="A1" s="13" t="inlineStr">
        <is>
          <t>NIK</t>
        </is>
      </c>
      <c r="B1" s="13" t="inlineStr">
        <is>
          <t>NAMA</t>
        </is>
      </c>
      <c r="C1" s="13" t="inlineStr">
        <is>
          <t>DEPT</t>
        </is>
      </c>
      <c r="D1" s="13" t="inlineStr">
        <is>
          <t>SHIFT</t>
        </is>
      </c>
      <c r="E1" s="13" t="inlineStr">
        <is>
          <t>TANGGAL_MULAI</t>
        </is>
      </c>
      <c r="F1" s="13" t="inlineStr">
        <is>
          <t>TANGGAL_SELESAI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8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9.380000000000001" customWidth="1" style="169" min="1" max="1"/>
    <col width="33.25" customWidth="1" style="169" min="2" max="2"/>
    <col width="16.13" customWidth="1" style="169" min="3" max="3"/>
    <col width="15.13" customWidth="1" style="169" min="4" max="4"/>
    <col width="48.25" customWidth="1" style="169" min="5" max="5"/>
    <col width="14.63" customWidth="1" style="169" min="6" max="6"/>
    <col width="36.5" customWidth="1" style="169" min="10" max="10"/>
  </cols>
  <sheetData>
    <row r="1" ht="15.75" customHeight="1" s="169">
      <c r="A1" s="22" t="inlineStr">
        <is>
          <t>NIK</t>
        </is>
      </c>
      <c r="B1" s="22" t="inlineStr">
        <is>
          <t>NAMA</t>
        </is>
      </c>
      <c r="C1" s="22" t="inlineStr">
        <is>
          <t>TYPE KAYARAWAN</t>
        </is>
      </c>
      <c r="D1" s="22" t="inlineStr">
        <is>
          <t>DEPT</t>
        </is>
      </c>
      <c r="E1" s="22" t="inlineStr">
        <is>
          <t>JABATAN</t>
        </is>
      </c>
      <c r="F1" s="13" t="inlineStr">
        <is>
          <t>USER LEVEL</t>
        </is>
      </c>
      <c r="G1" s="13" t="inlineStr">
        <is>
          <t>PASSWORD</t>
        </is>
      </c>
    </row>
    <row r="2" ht="15.75" customHeight="1" s="169">
      <c r="A2" s="22" t="n">
        <v>128000001</v>
      </c>
      <c r="B2" s="22" t="inlineStr">
        <is>
          <t>Iman Nurchaedi S.</t>
        </is>
      </c>
      <c r="C2" s="22" t="inlineStr">
        <is>
          <t>STAFF</t>
        </is>
      </c>
      <c r="D2" s="22" t="inlineStr">
        <is>
          <t>PROD</t>
        </is>
      </c>
      <c r="E2" s="22" t="inlineStr">
        <is>
          <t>Plant Manager</t>
        </is>
      </c>
      <c r="F2" s="13" t="inlineStr">
        <is>
          <t>ADMINISTRATOR</t>
        </is>
      </c>
      <c r="G2" s="13" t="inlineStr">
        <is>
          <t>ADM0912</t>
        </is>
      </c>
    </row>
    <row r="3" ht="15.75" customHeight="1" s="169">
      <c r="A3" s="22" t="n">
        <v>128000003</v>
      </c>
      <c r="B3" s="22" t="inlineStr">
        <is>
          <t>Andre Santosa</t>
        </is>
      </c>
      <c r="C3" s="22" t="inlineStr">
        <is>
          <t>STAFF</t>
        </is>
      </c>
      <c r="D3" s="22" t="inlineStr">
        <is>
          <t>ENG</t>
        </is>
      </c>
      <c r="E3" s="22" t="inlineStr">
        <is>
          <t>Engineering Deputy Manager</t>
        </is>
      </c>
      <c r="F3" s="13" t="inlineStr">
        <is>
          <t>ADMINISTRATOR</t>
        </is>
      </c>
      <c r="G3" s="13" t="inlineStr">
        <is>
          <t>ADM0912</t>
        </is>
      </c>
    </row>
    <row r="4" ht="15.75" customHeight="1" s="169">
      <c r="A4" s="22" t="n">
        <v>128000010</v>
      </c>
      <c r="B4" s="22" t="inlineStr">
        <is>
          <t>Dendy Saputra</t>
        </is>
      </c>
      <c r="C4" s="22" t="inlineStr">
        <is>
          <t>STAFF</t>
        </is>
      </c>
      <c r="D4" s="22" t="inlineStr">
        <is>
          <t>PROD</t>
        </is>
      </c>
      <c r="E4" s="22" t="inlineStr">
        <is>
          <t>Line Leader</t>
        </is>
      </c>
      <c r="F4" s="13" t="inlineStr">
        <is>
          <t>PENGAWAS</t>
        </is>
      </c>
      <c r="G4" s="13" t="inlineStr">
        <is>
          <t>PGW0912</t>
        </is>
      </c>
    </row>
    <row r="5" ht="15.75" customHeight="1" s="169">
      <c r="A5" s="22" t="n">
        <v>128000012</v>
      </c>
      <c r="B5" s="22" t="inlineStr">
        <is>
          <t>Evita</t>
        </is>
      </c>
      <c r="C5" s="22" t="inlineStr">
        <is>
          <t>STAFF</t>
        </is>
      </c>
      <c r="D5" s="22" t="inlineStr">
        <is>
          <t>PROD</t>
        </is>
      </c>
      <c r="E5" s="22" t="inlineStr">
        <is>
          <t>Production Chief SPV 1</t>
        </is>
      </c>
      <c r="F5" s="13" t="inlineStr">
        <is>
          <t>ADMINISTRATOR</t>
        </is>
      </c>
      <c r="G5" s="13" t="inlineStr">
        <is>
          <t>ADM0912</t>
        </is>
      </c>
    </row>
    <row r="6" ht="15.75" customHeight="1" s="169">
      <c r="A6" s="22" t="n">
        <v>128000013</v>
      </c>
      <c r="B6" s="22" t="inlineStr">
        <is>
          <t>Aminulloh</t>
        </is>
      </c>
      <c r="C6" s="22" t="inlineStr">
        <is>
          <t>STAFF</t>
        </is>
      </c>
      <c r="D6" s="22" t="inlineStr">
        <is>
          <t>LOG</t>
        </is>
      </c>
      <c r="E6" s="22" t="inlineStr">
        <is>
          <t>Staff Warehouse Sparepart</t>
        </is>
      </c>
      <c r="F6" s="13" t="inlineStr">
        <is>
          <t>PENGAWAS</t>
        </is>
      </c>
      <c r="G6" s="13" t="inlineStr">
        <is>
          <t>PGW0912</t>
        </is>
      </c>
    </row>
    <row r="7" ht="15.75" customHeight="1" s="169">
      <c r="A7" s="22" t="n">
        <v>128000017</v>
      </c>
      <c r="B7" s="22" t="inlineStr">
        <is>
          <t>Sandi Iswanto</t>
        </is>
      </c>
      <c r="C7" s="22" t="inlineStr">
        <is>
          <t>STAFF</t>
        </is>
      </c>
      <c r="D7" s="22" t="inlineStr">
        <is>
          <t>QRD</t>
        </is>
      </c>
      <c r="E7" s="22" t="inlineStr">
        <is>
          <t>Staff Quality Control Production</t>
        </is>
      </c>
      <c r="F7" s="13" t="inlineStr">
        <is>
          <t>PENGAWAS</t>
        </is>
      </c>
      <c r="G7" s="13" t="inlineStr">
        <is>
          <t>PGW0912</t>
        </is>
      </c>
    </row>
    <row r="8" ht="15.75" customHeight="1" s="169">
      <c r="A8" s="22" t="n">
        <v>128000019</v>
      </c>
      <c r="B8" s="22" t="inlineStr">
        <is>
          <t>Yeni Ferianto</t>
        </is>
      </c>
      <c r="C8" s="22" t="inlineStr">
        <is>
          <t>STAFF</t>
        </is>
      </c>
      <c r="D8" s="22" t="inlineStr">
        <is>
          <t>QRD</t>
        </is>
      </c>
      <c r="E8" s="22" t="inlineStr">
        <is>
          <t>Staff Quality Control Production</t>
        </is>
      </c>
      <c r="F8" s="13" t="inlineStr">
        <is>
          <t>PENGAWAS</t>
        </is>
      </c>
      <c r="G8" s="13" t="inlineStr">
        <is>
          <t>PGW0912</t>
        </is>
      </c>
    </row>
    <row r="9" ht="15.75" customHeight="1" s="169">
      <c r="A9" s="22" t="n">
        <v>128000020</v>
      </c>
      <c r="B9" s="22" t="inlineStr">
        <is>
          <t>Adeliana Dewi Putri Salihah</t>
        </is>
      </c>
      <c r="C9" s="22" t="inlineStr">
        <is>
          <t>STAFF</t>
        </is>
      </c>
      <c r="D9" s="22" t="inlineStr">
        <is>
          <t>HRGA</t>
        </is>
      </c>
      <c r="E9" s="22" t="inlineStr">
        <is>
          <t>Sr. Staff Talent Acquisition</t>
        </is>
      </c>
      <c r="F9" s="13" t="inlineStr">
        <is>
          <t>PENGAWAS</t>
        </is>
      </c>
      <c r="G9" s="13" t="inlineStr">
        <is>
          <t>PGW0912</t>
        </is>
      </c>
    </row>
    <row r="10" ht="15.75" customHeight="1" s="169">
      <c r="A10" s="22" t="n">
        <v>128000022</v>
      </c>
      <c r="B10" s="22" t="inlineStr">
        <is>
          <t>Hendra Setiawan</t>
        </is>
      </c>
      <c r="C10" s="22" t="inlineStr">
        <is>
          <t>STAFF</t>
        </is>
      </c>
      <c r="D10" s="22" t="inlineStr">
        <is>
          <t>PROD</t>
        </is>
      </c>
      <c r="E10" s="22" t="inlineStr">
        <is>
          <t>Production Engineer</t>
        </is>
      </c>
      <c r="F10" s="13" t="inlineStr">
        <is>
          <t>PENGAWAS</t>
        </is>
      </c>
      <c r="G10" s="13" t="inlineStr">
        <is>
          <t>PGW0912</t>
        </is>
      </c>
    </row>
    <row r="11" ht="15.75" customHeight="1" s="169">
      <c r="A11" s="22" t="n">
        <v>128000023</v>
      </c>
      <c r="B11" s="22" t="inlineStr">
        <is>
          <t>Iman Muaimin</t>
        </is>
      </c>
      <c r="C11" s="22" t="inlineStr">
        <is>
          <t>STAFF</t>
        </is>
      </c>
      <c r="D11" s="22" t="inlineStr">
        <is>
          <t>LOG</t>
        </is>
      </c>
      <c r="E11" s="22" t="inlineStr">
        <is>
          <t>Sr. Staff Warehouse Raw Material</t>
        </is>
      </c>
      <c r="F11" s="13" t="inlineStr">
        <is>
          <t>PENGAWAS</t>
        </is>
      </c>
      <c r="G11" s="13" t="inlineStr">
        <is>
          <t>PGW0912</t>
        </is>
      </c>
    </row>
    <row r="12" ht="15.75" customHeight="1" s="169">
      <c r="A12" s="22" t="n">
        <v>128000024</v>
      </c>
      <c r="B12" s="22" t="inlineStr">
        <is>
          <t>Taufik Faturochman</t>
        </is>
      </c>
      <c r="C12" s="22" t="inlineStr">
        <is>
          <t>STAFF</t>
        </is>
      </c>
      <c r="D12" s="22" t="inlineStr">
        <is>
          <t>LOG</t>
        </is>
      </c>
      <c r="E12" s="22" t="inlineStr">
        <is>
          <t>Warehouse Supervisor</t>
        </is>
      </c>
      <c r="F12" s="13" t="inlineStr">
        <is>
          <t>ADMINISTRATOR</t>
        </is>
      </c>
      <c r="G12" s="13" t="inlineStr">
        <is>
          <t>ADM0912</t>
        </is>
      </c>
    </row>
    <row r="13" ht="15.75" customHeight="1" s="169">
      <c r="A13" s="22" t="n">
        <v>128000027</v>
      </c>
      <c r="B13" s="22" t="inlineStr">
        <is>
          <t>Gembong Hagung Harsanto</t>
        </is>
      </c>
      <c r="C13" s="22" t="inlineStr">
        <is>
          <t>STAFF</t>
        </is>
      </c>
      <c r="D13" s="22" t="inlineStr">
        <is>
          <t>ENG</t>
        </is>
      </c>
      <c r="E13" s="22" t="inlineStr">
        <is>
          <t>Engineering Chief Spv 1</t>
        </is>
      </c>
      <c r="F13" s="13" t="inlineStr">
        <is>
          <t>ADMINISTRATOR</t>
        </is>
      </c>
      <c r="G13" s="13" t="inlineStr">
        <is>
          <t>ADM0912</t>
        </is>
      </c>
    </row>
    <row r="14" ht="15.75" customHeight="1" s="169">
      <c r="A14" s="22" t="n">
        <v>128000029</v>
      </c>
      <c r="B14" s="22" t="inlineStr">
        <is>
          <t>Angga Setyawan</t>
        </is>
      </c>
      <c r="C14" s="22" t="inlineStr">
        <is>
          <t>STAFF</t>
        </is>
      </c>
      <c r="D14" s="22" t="inlineStr">
        <is>
          <t>PROD</t>
        </is>
      </c>
      <c r="E14" s="22" t="inlineStr">
        <is>
          <t>Shift Leader</t>
        </is>
      </c>
      <c r="F14" s="13" t="inlineStr">
        <is>
          <t>PENGAWAS</t>
        </is>
      </c>
      <c r="G14" s="13" t="inlineStr">
        <is>
          <t>PGW0912</t>
        </is>
      </c>
    </row>
    <row r="15" ht="15.75" customHeight="1" s="169">
      <c r="A15" s="22" t="n">
        <v>128000030</v>
      </c>
      <c r="B15" s="22" t="inlineStr">
        <is>
          <t>Kelik Aji Sambudi</t>
        </is>
      </c>
      <c r="C15" s="22" t="inlineStr">
        <is>
          <t>STAFF</t>
        </is>
      </c>
      <c r="D15" s="22" t="inlineStr">
        <is>
          <t>PROD</t>
        </is>
      </c>
      <c r="E15" s="22" t="inlineStr">
        <is>
          <t>Shift Leader</t>
        </is>
      </c>
      <c r="F15" s="13" t="inlineStr">
        <is>
          <t>PENGAWAS</t>
        </is>
      </c>
      <c r="G15" s="13" t="inlineStr">
        <is>
          <t>PGW0912</t>
        </is>
      </c>
    </row>
    <row r="16" ht="15.75" customHeight="1" s="169">
      <c r="A16" s="22" t="n">
        <v>128000031</v>
      </c>
      <c r="B16" s="22" t="inlineStr">
        <is>
          <t>Abdu Fuad Arrazy</t>
        </is>
      </c>
      <c r="C16" s="22" t="inlineStr">
        <is>
          <t>STAFF</t>
        </is>
      </c>
      <c r="D16" s="22" t="inlineStr">
        <is>
          <t>PROD</t>
        </is>
      </c>
      <c r="E16" s="22" t="inlineStr">
        <is>
          <t>Shift Leader</t>
        </is>
      </c>
      <c r="F16" s="13" t="inlineStr">
        <is>
          <t>PENGAWAS</t>
        </is>
      </c>
      <c r="G16" s="13" t="inlineStr">
        <is>
          <t>PGW0912</t>
        </is>
      </c>
    </row>
    <row r="17" ht="15.75" customHeight="1" s="169">
      <c r="A17" s="22" t="n">
        <v>128000032</v>
      </c>
      <c r="B17" s="22" t="inlineStr">
        <is>
          <t>Ardi Akbar Rian Saputra</t>
        </is>
      </c>
      <c r="C17" s="22" t="inlineStr">
        <is>
          <t>STAFF</t>
        </is>
      </c>
      <c r="D17" s="22" t="inlineStr">
        <is>
          <t>ENG</t>
        </is>
      </c>
      <c r="E17" s="22" t="inlineStr">
        <is>
          <t>Sr. Staff Machine &amp; Glue Maintenance And Workshop Assembly</t>
        </is>
      </c>
      <c r="F17" s="13" t="inlineStr">
        <is>
          <t>PENGAWAS</t>
        </is>
      </c>
      <c r="G17" s="13" t="inlineStr">
        <is>
          <t>PGW0912</t>
        </is>
      </c>
    </row>
    <row r="18" ht="15.75" customHeight="1" s="169">
      <c r="A18" s="22" t="n">
        <v>128000033</v>
      </c>
      <c r="B18" s="22" t="inlineStr">
        <is>
          <t>Susep Triwibowo</t>
        </is>
      </c>
      <c r="C18" s="22" t="inlineStr">
        <is>
          <t>STAFF</t>
        </is>
      </c>
      <c r="D18" s="22" t="inlineStr">
        <is>
          <t>ENG</t>
        </is>
      </c>
      <c r="E18" s="22" t="inlineStr">
        <is>
          <t>Sr. Staff Machine Maintenance &amp; Utility Shift</t>
        </is>
      </c>
      <c r="F18" s="13" t="inlineStr">
        <is>
          <t>PENGAWAS</t>
        </is>
      </c>
      <c r="G18" s="13" t="inlineStr">
        <is>
          <t>PGW0912</t>
        </is>
      </c>
    </row>
    <row r="19" ht="15.75" customHeight="1" s="169">
      <c r="A19" s="22" t="n">
        <v>128000034</v>
      </c>
      <c r="B19" s="22" t="inlineStr">
        <is>
          <t>Antonius Cahyo Novianto</t>
        </is>
      </c>
      <c r="C19" s="22" t="inlineStr">
        <is>
          <t>STAFF</t>
        </is>
      </c>
      <c r="D19" s="22" t="inlineStr">
        <is>
          <t>QRD</t>
        </is>
      </c>
      <c r="E19" s="22" t="inlineStr">
        <is>
          <t>Sr. Staff Quality Incoming &amp; Lab</t>
        </is>
      </c>
      <c r="F19" s="13" t="inlineStr">
        <is>
          <t>PENGAWAS</t>
        </is>
      </c>
      <c r="G19" s="13" t="inlineStr">
        <is>
          <t>PGW0912</t>
        </is>
      </c>
    </row>
    <row r="20" ht="15.75" customHeight="1" s="169">
      <c r="A20" s="22" t="n">
        <v>128000035</v>
      </c>
      <c r="B20" s="22" t="inlineStr">
        <is>
          <t>Sarino Suprianto</t>
        </is>
      </c>
      <c r="C20" s="22" t="inlineStr">
        <is>
          <t>STAFF</t>
        </is>
      </c>
      <c r="D20" s="22" t="inlineStr">
        <is>
          <t>LOG</t>
        </is>
      </c>
      <c r="E20" s="22" t="inlineStr">
        <is>
          <t>Sr. Staff Ekspedisi &amp; Timbangan</t>
        </is>
      </c>
      <c r="F20" s="13" t="inlineStr">
        <is>
          <t>PENGAWAS</t>
        </is>
      </c>
      <c r="G20" s="13" t="inlineStr">
        <is>
          <t>PGW0912</t>
        </is>
      </c>
    </row>
    <row r="21" ht="15.75" customHeight="1" s="169">
      <c r="A21" s="22" t="n">
        <v>128000036</v>
      </c>
      <c r="B21" s="22" t="inlineStr">
        <is>
          <t>Novan Satyawardhana</t>
        </is>
      </c>
      <c r="C21" s="22" t="inlineStr">
        <is>
          <t>STAFF</t>
        </is>
      </c>
      <c r="D21" s="22" t="inlineStr">
        <is>
          <t>ENG</t>
        </is>
      </c>
      <c r="E21" s="22" t="inlineStr">
        <is>
          <t>Sr. Staff Machine Maintenance &amp; Utility Shift</t>
        </is>
      </c>
      <c r="F21" s="13" t="inlineStr">
        <is>
          <t>PENGAWAS</t>
        </is>
      </c>
      <c r="G21" s="13" t="inlineStr">
        <is>
          <t>PGW0912</t>
        </is>
      </c>
    </row>
    <row r="22" ht="15.75" customHeight="1" s="169">
      <c r="A22" s="22" t="n">
        <v>128000037</v>
      </c>
      <c r="B22" s="22" t="inlineStr">
        <is>
          <t>Isma Lestari</t>
        </is>
      </c>
      <c r="C22" s="22" t="inlineStr">
        <is>
          <t>STAFF</t>
        </is>
      </c>
      <c r="D22" s="22" t="inlineStr">
        <is>
          <t>QRD</t>
        </is>
      </c>
      <c r="E22" s="22" t="inlineStr">
        <is>
          <t>Staff Quality Control Production</t>
        </is>
      </c>
      <c r="F22" s="13" t="inlineStr">
        <is>
          <t>PENGAWAS</t>
        </is>
      </c>
      <c r="G22" s="13" t="inlineStr">
        <is>
          <t>PGW0912</t>
        </is>
      </c>
    </row>
    <row r="23" ht="15.75" customHeight="1" s="169">
      <c r="A23" s="22" t="n">
        <v>128000039</v>
      </c>
      <c r="B23" s="22" t="inlineStr">
        <is>
          <t>Saka Marga Redi</t>
        </is>
      </c>
      <c r="C23" s="22" t="inlineStr">
        <is>
          <t>STAFF</t>
        </is>
      </c>
      <c r="D23" s="22" t="inlineStr">
        <is>
          <t>PROD</t>
        </is>
      </c>
      <c r="E23" s="22" t="inlineStr">
        <is>
          <t>Line Leader</t>
        </is>
      </c>
      <c r="F23" s="13" t="inlineStr">
        <is>
          <t>PENGAWAS</t>
        </is>
      </c>
      <c r="G23" s="13" t="inlineStr">
        <is>
          <t>PGW0912</t>
        </is>
      </c>
    </row>
    <row r="24" ht="15.75" customHeight="1" s="169">
      <c r="A24" s="22" t="n">
        <v>128000041</v>
      </c>
      <c r="B24" s="22" t="inlineStr">
        <is>
          <t>Alief Akbar Rafsanzani</t>
        </is>
      </c>
      <c r="C24" s="22" t="inlineStr">
        <is>
          <t>STAFF</t>
        </is>
      </c>
      <c r="D24" s="22" t="inlineStr">
        <is>
          <t>PROD</t>
        </is>
      </c>
      <c r="E24" s="22" t="inlineStr">
        <is>
          <t>Shift Leader</t>
        </is>
      </c>
      <c r="F24" s="13" t="inlineStr">
        <is>
          <t>PENGAWAS</t>
        </is>
      </c>
      <c r="G24" s="13" t="inlineStr">
        <is>
          <t>PGW0912</t>
        </is>
      </c>
    </row>
    <row r="25" ht="15.75" customHeight="1" s="169">
      <c r="A25" s="22" t="n">
        <v>128000042</v>
      </c>
      <c r="B25" s="22" t="inlineStr">
        <is>
          <t>Ahmad Afrizal</t>
        </is>
      </c>
      <c r="C25" s="22" t="inlineStr">
        <is>
          <t>STAFF</t>
        </is>
      </c>
      <c r="D25" s="22" t="inlineStr">
        <is>
          <t>PROD</t>
        </is>
      </c>
      <c r="E25" s="22" t="inlineStr">
        <is>
          <t>Line Leader</t>
        </is>
      </c>
      <c r="F25" s="13" t="inlineStr">
        <is>
          <t>PENGAWAS</t>
        </is>
      </c>
      <c r="G25" s="13" t="inlineStr">
        <is>
          <t>PGW0912</t>
        </is>
      </c>
    </row>
    <row r="26" ht="15.75" customHeight="1" s="169">
      <c r="A26" s="22" t="n">
        <v>128000049</v>
      </c>
      <c r="B26" s="22" t="inlineStr">
        <is>
          <t>Ragil Febriansyah</t>
        </is>
      </c>
      <c r="C26" s="22" t="inlineStr">
        <is>
          <t>STAFF</t>
        </is>
      </c>
      <c r="D26" s="22" t="inlineStr">
        <is>
          <t>ENG</t>
        </is>
      </c>
      <c r="E26" s="22" t="inlineStr">
        <is>
          <t>Staff ITE</t>
        </is>
      </c>
      <c r="F26" s="13" t="inlineStr">
        <is>
          <t>PENGAWAS</t>
        </is>
      </c>
      <c r="G26" s="13" t="inlineStr">
        <is>
          <t>PGW0912</t>
        </is>
      </c>
    </row>
    <row r="27" ht="15.75" customHeight="1" s="169">
      <c r="A27" s="22" t="n">
        <v>128000053</v>
      </c>
      <c r="B27" s="22" t="inlineStr">
        <is>
          <t>Sisca Dewi Septiani</t>
        </is>
      </c>
      <c r="C27" s="22" t="inlineStr">
        <is>
          <t>STAFF</t>
        </is>
      </c>
      <c r="D27" s="22" t="inlineStr">
        <is>
          <t>PPIC</t>
        </is>
      </c>
      <c r="E27" s="22" t="inlineStr">
        <is>
          <t>PPIC Officer</t>
        </is>
      </c>
      <c r="F27" s="13" t="inlineStr">
        <is>
          <t>PENGAWAS</t>
        </is>
      </c>
      <c r="G27" s="13" t="inlineStr">
        <is>
          <t>PGW0912</t>
        </is>
      </c>
    </row>
    <row r="28" ht="15.75" customHeight="1" s="169">
      <c r="A28" s="22" t="n">
        <v>128000054</v>
      </c>
      <c r="B28" s="22" t="inlineStr">
        <is>
          <t>Nurhaslinda Lubis</t>
        </is>
      </c>
      <c r="C28" s="22" t="inlineStr">
        <is>
          <t>STAFF</t>
        </is>
      </c>
      <c r="D28" s="22" t="inlineStr">
        <is>
          <t>HRGA</t>
        </is>
      </c>
      <c r="E28" s="22" t="inlineStr">
        <is>
          <t>General Affair Officer</t>
        </is>
      </c>
      <c r="F28" s="13" t="inlineStr">
        <is>
          <t>ADMINISTRATOR</t>
        </is>
      </c>
      <c r="G28" s="13" t="inlineStr">
        <is>
          <t>ADM0912</t>
        </is>
      </c>
    </row>
    <row r="29" ht="15.75" customHeight="1" s="169">
      <c r="A29" s="22" t="n">
        <v>128000057</v>
      </c>
      <c r="B29" s="22" t="inlineStr">
        <is>
          <t>Taufik Hidayatulloh</t>
        </is>
      </c>
      <c r="C29" s="22" t="inlineStr">
        <is>
          <t>STAFF</t>
        </is>
      </c>
      <c r="D29" s="22" t="inlineStr">
        <is>
          <t>ENG</t>
        </is>
      </c>
      <c r="E29" s="22" t="inlineStr">
        <is>
          <t>Staff Utility &amp; Facility Maintenance</t>
        </is>
      </c>
      <c r="F29" s="13" t="inlineStr">
        <is>
          <t>PENGAWAS</t>
        </is>
      </c>
      <c r="G29" s="13" t="inlineStr">
        <is>
          <t>PGW0912</t>
        </is>
      </c>
    </row>
    <row r="30" ht="15.75" customHeight="1" s="169">
      <c r="A30" s="22" t="n">
        <v>128000059</v>
      </c>
      <c r="B30" s="22" t="inlineStr">
        <is>
          <t>Muhamad Maftuh Ihsan</t>
        </is>
      </c>
      <c r="C30" s="22" t="inlineStr">
        <is>
          <t>STAFF</t>
        </is>
      </c>
      <c r="D30" s="22" t="inlineStr">
        <is>
          <t>ENG</t>
        </is>
      </c>
      <c r="E30" s="22" t="inlineStr">
        <is>
          <t>Sr. Staff EHS</t>
        </is>
      </c>
      <c r="F30" s="13" t="inlineStr">
        <is>
          <t>PENGAWAS</t>
        </is>
      </c>
      <c r="G30" s="13" t="inlineStr">
        <is>
          <t>PGW0912</t>
        </is>
      </c>
    </row>
    <row r="31" ht="15.75" customHeight="1" s="169">
      <c r="A31" s="22" t="n">
        <v>128000061</v>
      </c>
      <c r="B31" s="22" t="inlineStr">
        <is>
          <t>Fany</t>
        </is>
      </c>
      <c r="C31" s="22" t="inlineStr">
        <is>
          <t>STAFF</t>
        </is>
      </c>
      <c r="D31" s="22" t="inlineStr">
        <is>
          <t>FIN</t>
        </is>
      </c>
      <c r="E31" s="22" t="inlineStr">
        <is>
          <t>Sr. Staff Accounting</t>
        </is>
      </c>
      <c r="F31" s="13" t="inlineStr">
        <is>
          <t>PENGAWAS</t>
        </is>
      </c>
      <c r="G31" s="13" t="inlineStr">
        <is>
          <t>PGW0912</t>
        </is>
      </c>
    </row>
    <row r="32" ht="15.75" customHeight="1" s="169">
      <c r="A32" s="22" t="n">
        <v>128000062</v>
      </c>
      <c r="B32" s="22" t="inlineStr">
        <is>
          <t>Wina Savana Almuharima</t>
        </is>
      </c>
      <c r="C32" s="22" t="inlineStr">
        <is>
          <t>STAFF</t>
        </is>
      </c>
      <c r="D32" s="22" t="inlineStr">
        <is>
          <t>HRGA</t>
        </is>
      </c>
      <c r="E32" s="22" t="inlineStr">
        <is>
          <t>Sr. Staff Payroll &amp; Time Management</t>
        </is>
      </c>
      <c r="F32" s="13" t="inlineStr">
        <is>
          <t>ADMINISTRATOR</t>
        </is>
      </c>
      <c r="G32" s="13" t="inlineStr">
        <is>
          <t>ADM0912</t>
        </is>
      </c>
    </row>
    <row r="33" ht="15.75" customHeight="1" s="169">
      <c r="A33" s="22" t="n">
        <v>128000063</v>
      </c>
      <c r="B33" s="22" t="inlineStr">
        <is>
          <t>Reynaldi Pratama</t>
        </is>
      </c>
      <c r="C33" s="22" t="inlineStr">
        <is>
          <t>STAFF</t>
        </is>
      </c>
      <c r="D33" s="22" t="inlineStr">
        <is>
          <t>ENG</t>
        </is>
      </c>
      <c r="E33" s="22" t="inlineStr">
        <is>
          <t>Sr. Staff Machine Maintenance &amp; Utility Shift</t>
        </is>
      </c>
      <c r="F33" s="13" t="inlineStr">
        <is>
          <t>PENGAWAS</t>
        </is>
      </c>
      <c r="G33" s="13" t="inlineStr">
        <is>
          <t>PGW0912</t>
        </is>
      </c>
    </row>
    <row r="34" ht="15.75" customHeight="1" s="169">
      <c r="A34" s="22" t="n">
        <v>128000064</v>
      </c>
      <c r="B34" s="22" t="inlineStr">
        <is>
          <t>Toni Kurniawan</t>
        </is>
      </c>
      <c r="C34" s="22" t="inlineStr">
        <is>
          <t>STAFF</t>
        </is>
      </c>
      <c r="D34" s="22" t="inlineStr">
        <is>
          <t>ENG</t>
        </is>
      </c>
      <c r="E34" s="22" t="inlineStr">
        <is>
          <t>Staff Machine Maintenance &amp; Utility Shift</t>
        </is>
      </c>
      <c r="F34" s="13" t="inlineStr">
        <is>
          <t>PENGAWAS</t>
        </is>
      </c>
      <c r="G34" s="13" t="inlineStr">
        <is>
          <t>PGW0912</t>
        </is>
      </c>
    </row>
    <row r="35" ht="15.75" customHeight="1" s="169">
      <c r="A35" s="22" t="n">
        <v>128000066</v>
      </c>
      <c r="B35" s="22" t="inlineStr">
        <is>
          <t>Meirin Catherina.S</t>
        </is>
      </c>
      <c r="C35" s="22" t="inlineStr">
        <is>
          <t>STAFF</t>
        </is>
      </c>
      <c r="D35" s="22" t="inlineStr">
        <is>
          <t>QRD</t>
        </is>
      </c>
      <c r="E35" s="22" t="inlineStr">
        <is>
          <t>QC &amp; RnD Chief Spv 1</t>
        </is>
      </c>
      <c r="F35" s="13" t="inlineStr">
        <is>
          <t>ADMINISTRATOR</t>
        </is>
      </c>
      <c r="G35" s="13" t="inlineStr">
        <is>
          <t>ADM0912</t>
        </is>
      </c>
    </row>
    <row r="36" ht="15.75" customHeight="1" s="169">
      <c r="A36" s="22" t="n">
        <v>128000067</v>
      </c>
      <c r="B36" s="22" t="inlineStr">
        <is>
          <t>Adi Iswanto</t>
        </is>
      </c>
      <c r="C36" s="22" t="inlineStr">
        <is>
          <t>STAFF</t>
        </is>
      </c>
      <c r="D36" s="22" t="inlineStr">
        <is>
          <t>MANEX</t>
        </is>
      </c>
      <c r="E36" s="22" t="inlineStr">
        <is>
          <t>Staff Manufacturing Excellence</t>
        </is>
      </c>
      <c r="F36" s="13" t="inlineStr">
        <is>
          <t>PENGAWAS</t>
        </is>
      </c>
      <c r="G36" s="13" t="inlineStr">
        <is>
          <t>PGW0912</t>
        </is>
      </c>
    </row>
    <row r="37" ht="15.75" customHeight="1" s="169">
      <c r="A37" s="22" t="n">
        <v>128000068</v>
      </c>
      <c r="B37" s="22" t="inlineStr">
        <is>
          <t>Irnando Arkadiantika</t>
        </is>
      </c>
      <c r="C37" s="22" t="inlineStr">
        <is>
          <t>STAFF</t>
        </is>
      </c>
      <c r="D37" s="22" t="inlineStr">
        <is>
          <t>LOG</t>
        </is>
      </c>
      <c r="E37" s="22" t="inlineStr">
        <is>
          <t>Staff Warehouse Finished Good</t>
        </is>
      </c>
      <c r="F37" s="13" t="inlineStr">
        <is>
          <t>PENGAWAS</t>
        </is>
      </c>
      <c r="G37" s="13" t="inlineStr">
        <is>
          <t>PGW0912</t>
        </is>
      </c>
    </row>
    <row r="38" ht="15.75" customHeight="1" s="169">
      <c r="A38" s="22" t="n">
        <v>128000070</v>
      </c>
      <c r="B38" s="22" t="inlineStr">
        <is>
          <t>Bey Muhammad</t>
        </is>
      </c>
      <c r="C38" s="22" t="inlineStr">
        <is>
          <t>STAFF</t>
        </is>
      </c>
      <c r="D38" s="22" t="inlineStr">
        <is>
          <t>PROD</t>
        </is>
      </c>
      <c r="E38" s="22" t="inlineStr">
        <is>
          <t>Line Leader</t>
        </is>
      </c>
      <c r="F38" s="13" t="inlineStr">
        <is>
          <t>PENGAWAS</t>
        </is>
      </c>
      <c r="G38" s="13" t="inlineStr">
        <is>
          <t>PGW0912</t>
        </is>
      </c>
    </row>
    <row r="39" ht="15.75" customHeight="1" s="169">
      <c r="A39" s="22" t="n">
        <v>128000078</v>
      </c>
      <c r="B39" s="22" t="inlineStr">
        <is>
          <t>Andi Widiawanto</t>
        </is>
      </c>
      <c r="C39" s="22" t="inlineStr">
        <is>
          <t>STAFF</t>
        </is>
      </c>
      <c r="D39" s="22" t="inlineStr">
        <is>
          <t>LOG</t>
        </is>
      </c>
      <c r="E39" s="22" t="inlineStr">
        <is>
          <t>Logistic Chief Spv 2</t>
        </is>
      </c>
      <c r="F39" s="13" t="inlineStr">
        <is>
          <t>ADMINISTRATOR</t>
        </is>
      </c>
      <c r="G39" s="13" t="inlineStr">
        <is>
          <t>ADM0912</t>
        </is>
      </c>
    </row>
    <row r="40" ht="15.75" customHeight="1" s="169">
      <c r="A40" s="22" t="n">
        <v>128000080</v>
      </c>
      <c r="B40" s="22" t="inlineStr">
        <is>
          <t>Miftahul Nurul Jannah</t>
        </is>
      </c>
      <c r="C40" s="22" t="inlineStr">
        <is>
          <t>STAFF</t>
        </is>
      </c>
      <c r="D40" s="22" t="inlineStr">
        <is>
          <t>MANEX</t>
        </is>
      </c>
      <c r="E40" s="22" t="inlineStr">
        <is>
          <t>Manufacture Excellence Officer</t>
        </is>
      </c>
      <c r="F40" s="13" t="inlineStr">
        <is>
          <t>PENGAWAS</t>
        </is>
      </c>
      <c r="G40" s="13" t="inlineStr">
        <is>
          <t>PGW0912</t>
        </is>
      </c>
    </row>
    <row r="41" ht="15.75" customHeight="1" s="169">
      <c r="A41" s="22" t="n">
        <v>128000081</v>
      </c>
      <c r="B41" s="22" t="inlineStr">
        <is>
          <t>Clarissa Lorita Pakpahan</t>
        </is>
      </c>
      <c r="C41" s="22" t="inlineStr">
        <is>
          <t>STAFF</t>
        </is>
      </c>
      <c r="D41" s="22" t="inlineStr">
        <is>
          <t>FIN</t>
        </is>
      </c>
      <c r="E41" s="22" t="inlineStr">
        <is>
          <t>Sr. Staff Cost Control</t>
        </is>
      </c>
      <c r="F41" s="13" t="inlineStr">
        <is>
          <t>PENGAWAS</t>
        </is>
      </c>
      <c r="G41" s="13" t="inlineStr">
        <is>
          <t>PGW0912</t>
        </is>
      </c>
    </row>
    <row r="42" ht="15.75" customHeight="1" s="169">
      <c r="A42" s="22" t="n">
        <v>128000082</v>
      </c>
      <c r="B42" s="22" t="inlineStr">
        <is>
          <t>Fathurrahman Himra</t>
        </is>
      </c>
      <c r="C42" s="22" t="inlineStr">
        <is>
          <t>STAFF</t>
        </is>
      </c>
      <c r="D42" s="22" t="inlineStr">
        <is>
          <t>PROD</t>
        </is>
      </c>
      <c r="E42" s="22" t="inlineStr">
        <is>
          <t>Line Leader</t>
        </is>
      </c>
      <c r="F42" s="13" t="inlineStr">
        <is>
          <t>PENGAWAS</t>
        </is>
      </c>
      <c r="G42" s="13" t="inlineStr">
        <is>
          <t>PGW0912</t>
        </is>
      </c>
    </row>
    <row r="43" ht="15.75" customHeight="1" s="169">
      <c r="A43" s="22" t="n">
        <v>128000086</v>
      </c>
      <c r="B43" s="22" t="inlineStr">
        <is>
          <t>I Wayan Gede Widyantara</t>
        </is>
      </c>
      <c r="C43" s="22" t="inlineStr">
        <is>
          <t>STAFF</t>
        </is>
      </c>
      <c r="D43" s="22" t="inlineStr">
        <is>
          <t>ENG</t>
        </is>
      </c>
      <c r="E43" s="22" t="inlineStr">
        <is>
          <t>Maintenance Planner Officer</t>
        </is>
      </c>
      <c r="F43" s="13" t="inlineStr">
        <is>
          <t>PENGAWAS</t>
        </is>
      </c>
      <c r="G43" s="13" t="inlineStr">
        <is>
          <t>PGW0912</t>
        </is>
      </c>
    </row>
    <row r="44" ht="15.75" customHeight="1" s="169">
      <c r="A44" s="22" t="n">
        <v>128000094</v>
      </c>
      <c r="B44" s="22" t="inlineStr">
        <is>
          <t>Paulina Putri</t>
        </is>
      </c>
      <c r="C44" s="22" t="inlineStr">
        <is>
          <t>STAFF</t>
        </is>
      </c>
      <c r="D44" s="22" t="inlineStr">
        <is>
          <t>FIN</t>
        </is>
      </c>
      <c r="E44" s="22" t="inlineStr">
        <is>
          <t>Staff Petty Cash</t>
        </is>
      </c>
      <c r="F44" s="13" t="inlineStr">
        <is>
          <t>PENGAWAS</t>
        </is>
      </c>
      <c r="G44" s="13" t="inlineStr">
        <is>
          <t>PGW0912</t>
        </is>
      </c>
    </row>
    <row r="45" ht="15.75" customHeight="1" s="169">
      <c r="A45" s="22" t="n">
        <v>128000095</v>
      </c>
      <c r="B45" s="22" t="inlineStr">
        <is>
          <t>Ferdiansyah Dwi Pratama</t>
        </is>
      </c>
      <c r="C45" s="22" t="inlineStr">
        <is>
          <t>STAFF</t>
        </is>
      </c>
      <c r="D45" s="22" t="inlineStr">
        <is>
          <t>ENG</t>
        </is>
      </c>
      <c r="E45" s="22" t="inlineStr">
        <is>
          <t>Staff Machine Maintenance &amp; Utility Shift</t>
        </is>
      </c>
      <c r="F45" s="13" t="inlineStr">
        <is>
          <t>PENGAWAS</t>
        </is>
      </c>
      <c r="G45" s="13" t="inlineStr">
        <is>
          <t>PGW0912</t>
        </is>
      </c>
    </row>
    <row r="46" ht="15.75" customHeight="1" s="169">
      <c r="A46" s="22" t="n">
        <v>128000096</v>
      </c>
      <c r="B46" s="22" t="inlineStr">
        <is>
          <t>Khoerul Anwar</t>
        </is>
      </c>
      <c r="C46" s="22" t="inlineStr">
        <is>
          <t>STAFF</t>
        </is>
      </c>
      <c r="D46" s="22" t="inlineStr">
        <is>
          <t>PROD</t>
        </is>
      </c>
      <c r="E46" s="22" t="inlineStr">
        <is>
          <t>Line Leader</t>
        </is>
      </c>
      <c r="F46" s="13" t="inlineStr">
        <is>
          <t>PENGAWAS</t>
        </is>
      </c>
      <c r="G46" s="13" t="inlineStr">
        <is>
          <t>PGW0912</t>
        </is>
      </c>
    </row>
    <row r="47" ht="15.75" customHeight="1" s="169">
      <c r="A47" s="22" t="n">
        <v>128000097</v>
      </c>
      <c r="B47" s="22" t="inlineStr">
        <is>
          <t>Dede Gilang Permana</t>
        </is>
      </c>
      <c r="C47" s="22" t="inlineStr">
        <is>
          <t>STAFF</t>
        </is>
      </c>
      <c r="D47" s="22" t="inlineStr">
        <is>
          <t>PROD</t>
        </is>
      </c>
      <c r="E47" s="22" t="inlineStr">
        <is>
          <t>Line Leader</t>
        </is>
      </c>
      <c r="F47" s="13" t="inlineStr">
        <is>
          <t>PENGAWAS</t>
        </is>
      </c>
      <c r="G47" s="13" t="inlineStr">
        <is>
          <t>PGW0912</t>
        </is>
      </c>
    </row>
    <row r="48" ht="15.75" customHeight="1" s="169">
      <c r="A48" s="22" t="n">
        <v>128000100</v>
      </c>
      <c r="B48" s="22" t="inlineStr">
        <is>
          <t>M Rif'an Fuadi</t>
        </is>
      </c>
      <c r="C48" s="22" t="inlineStr">
        <is>
          <t>STAFF</t>
        </is>
      </c>
      <c r="D48" s="22" t="inlineStr">
        <is>
          <t>PROD</t>
        </is>
      </c>
      <c r="E48" s="22" t="inlineStr">
        <is>
          <t>Line Leader</t>
        </is>
      </c>
      <c r="F48" s="13" t="inlineStr">
        <is>
          <t>PENGAWAS</t>
        </is>
      </c>
      <c r="G48" s="13" t="inlineStr">
        <is>
          <t>PGW0912</t>
        </is>
      </c>
    </row>
    <row r="49" ht="15.75" customHeight="1" s="169">
      <c r="A49" s="22" t="n">
        <v>128000101</v>
      </c>
      <c r="B49" s="22" t="inlineStr">
        <is>
          <t>Ahmad Shofiul Falah</t>
        </is>
      </c>
      <c r="C49" s="22" t="inlineStr">
        <is>
          <t>STAFF</t>
        </is>
      </c>
      <c r="D49" s="22" t="inlineStr">
        <is>
          <t>PROD</t>
        </is>
      </c>
      <c r="E49" s="22" t="inlineStr">
        <is>
          <t>Line Leader</t>
        </is>
      </c>
      <c r="F49" s="13" t="inlineStr">
        <is>
          <t>PENGAWAS</t>
        </is>
      </c>
      <c r="G49" s="13" t="inlineStr">
        <is>
          <t>PGW0912</t>
        </is>
      </c>
    </row>
    <row r="50" ht="15.75" customHeight="1" s="169">
      <c r="A50" s="22" t="n">
        <v>128000102</v>
      </c>
      <c r="B50" s="22" t="inlineStr">
        <is>
          <t>Fahmi Rahka Krisna Wicaksono</t>
        </is>
      </c>
      <c r="C50" s="22" t="inlineStr">
        <is>
          <t>STAFF</t>
        </is>
      </c>
      <c r="D50" s="22" t="inlineStr">
        <is>
          <t>ENG</t>
        </is>
      </c>
      <c r="E50" s="22" t="inlineStr">
        <is>
          <t>Staff Machine Maintenance &amp; Utility Shift</t>
        </is>
      </c>
      <c r="F50" s="13" t="inlineStr">
        <is>
          <t>PENGAWAS</t>
        </is>
      </c>
      <c r="G50" s="13" t="inlineStr">
        <is>
          <t>PGW0912</t>
        </is>
      </c>
    </row>
    <row r="51" ht="15.75" customHeight="1" s="169">
      <c r="A51" s="22" t="n">
        <v>128000104</v>
      </c>
      <c r="B51" s="22" t="inlineStr">
        <is>
          <t>Ahmad Pajri Maulana</t>
        </is>
      </c>
      <c r="C51" s="22" t="inlineStr">
        <is>
          <t>STAFF</t>
        </is>
      </c>
      <c r="D51" s="22" t="inlineStr">
        <is>
          <t>PROD</t>
        </is>
      </c>
      <c r="E51" s="22" t="inlineStr">
        <is>
          <t>Line Leader</t>
        </is>
      </c>
      <c r="F51" s="13" t="inlineStr">
        <is>
          <t>PENGAWAS</t>
        </is>
      </c>
      <c r="G51" s="13" t="inlineStr">
        <is>
          <t>PGW0912</t>
        </is>
      </c>
    </row>
    <row r="52" ht="15.75" customHeight="1" s="169">
      <c r="A52" s="22" t="n">
        <v>128000105</v>
      </c>
      <c r="B52" s="22" t="inlineStr">
        <is>
          <t>Dadang Saputra</t>
        </is>
      </c>
      <c r="C52" s="22" t="inlineStr">
        <is>
          <t>STAFF</t>
        </is>
      </c>
      <c r="D52" s="22" t="inlineStr">
        <is>
          <t>PROD</t>
        </is>
      </c>
      <c r="E52" s="22" t="inlineStr">
        <is>
          <t>Line Leader</t>
        </is>
      </c>
      <c r="F52" s="13" t="inlineStr">
        <is>
          <t>PENGAWAS</t>
        </is>
      </c>
      <c r="G52" s="13" t="inlineStr">
        <is>
          <t>PGW0912</t>
        </is>
      </c>
    </row>
    <row r="53" ht="15.75" customHeight="1" s="169">
      <c r="A53" s="22" t="n">
        <v>128000106</v>
      </c>
      <c r="B53" s="22" t="inlineStr">
        <is>
          <t>Syahri Faldi Rama Putra</t>
        </is>
      </c>
      <c r="C53" s="22" t="inlineStr">
        <is>
          <t>STAFF</t>
        </is>
      </c>
      <c r="D53" s="22" t="inlineStr">
        <is>
          <t>PROD</t>
        </is>
      </c>
      <c r="E53" s="22" t="inlineStr">
        <is>
          <t>Line Leader</t>
        </is>
      </c>
      <c r="F53" s="13" t="inlineStr">
        <is>
          <t>PENGAWAS</t>
        </is>
      </c>
      <c r="G53" s="13" t="inlineStr">
        <is>
          <t>PGW0912</t>
        </is>
      </c>
    </row>
    <row r="54" ht="15.75" customHeight="1" s="169">
      <c r="A54" s="22" t="n">
        <v>128000107</v>
      </c>
      <c r="B54" s="22" t="inlineStr">
        <is>
          <t>Nicholas Satria Putra Guntoro</t>
        </is>
      </c>
      <c r="C54" s="22" t="inlineStr">
        <is>
          <t>STAFF</t>
        </is>
      </c>
      <c r="D54" s="22" t="inlineStr">
        <is>
          <t>PROD</t>
        </is>
      </c>
      <c r="E54" s="22" t="inlineStr">
        <is>
          <t>Sr. Staff Production Admin</t>
        </is>
      </c>
      <c r="F54" s="13" t="inlineStr">
        <is>
          <t>PENGAWAS</t>
        </is>
      </c>
      <c r="G54" s="13" t="inlineStr">
        <is>
          <t>PGW0912</t>
        </is>
      </c>
    </row>
    <row r="55" ht="15.75" customHeight="1" s="169">
      <c r="A55" s="22" t="n">
        <v>128000108</v>
      </c>
      <c r="B55" s="22" t="inlineStr">
        <is>
          <t>Arul Meilana</t>
        </is>
      </c>
      <c r="C55" s="22" t="inlineStr">
        <is>
          <t>STAFF</t>
        </is>
      </c>
      <c r="D55" s="22" t="inlineStr">
        <is>
          <t>PROD</t>
        </is>
      </c>
      <c r="E55" s="22" t="inlineStr">
        <is>
          <t>Line Leader</t>
        </is>
      </c>
      <c r="F55" s="13" t="inlineStr">
        <is>
          <t>PENGAWAS</t>
        </is>
      </c>
      <c r="G55" s="13" t="inlineStr">
        <is>
          <t>PGW0912</t>
        </is>
      </c>
    </row>
    <row r="56" ht="15.75" customHeight="1" s="169">
      <c r="A56" s="22" t="n">
        <v>128000109</v>
      </c>
      <c r="B56" s="22" t="inlineStr">
        <is>
          <t>Ajitio Puspo Utomo</t>
        </is>
      </c>
      <c r="C56" s="22" t="inlineStr">
        <is>
          <t>STAFF</t>
        </is>
      </c>
      <c r="D56" s="22" t="inlineStr">
        <is>
          <t>LOG</t>
        </is>
      </c>
      <c r="E56" s="22" t="inlineStr">
        <is>
          <t>Staff Warehouse Finished Good</t>
        </is>
      </c>
      <c r="F56" s="13" t="inlineStr">
        <is>
          <t>PENGAWAS</t>
        </is>
      </c>
      <c r="G56" s="13" t="inlineStr">
        <is>
          <t>PGW0912</t>
        </is>
      </c>
    </row>
    <row r="57" ht="15.75" customHeight="1" s="169">
      <c r="A57" s="22" t="n">
        <v>128000110</v>
      </c>
      <c r="B57" s="22" t="inlineStr">
        <is>
          <t>Rafli Aldigunawan</t>
        </is>
      </c>
      <c r="C57" s="22" t="inlineStr">
        <is>
          <t>STAFF</t>
        </is>
      </c>
      <c r="D57" s="22" t="inlineStr">
        <is>
          <t>LOG</t>
        </is>
      </c>
      <c r="E57" s="22" t="inlineStr">
        <is>
          <t>Staff Warehouse Material</t>
        </is>
      </c>
      <c r="F57" s="13" t="inlineStr">
        <is>
          <t>PENGAWAS</t>
        </is>
      </c>
      <c r="G57" s="13" t="inlineStr">
        <is>
          <t>PGW0912</t>
        </is>
      </c>
    </row>
    <row r="58" ht="15.75" customHeight="1" s="169">
      <c r="A58" s="22" t="n">
        <v>128000111</v>
      </c>
      <c r="B58" s="22" t="inlineStr">
        <is>
          <t>Wisnu Dwi Wibowo</t>
        </is>
      </c>
      <c r="C58" s="22" t="inlineStr">
        <is>
          <t>STAFF</t>
        </is>
      </c>
      <c r="D58" s="22" t="inlineStr">
        <is>
          <t>ENG</t>
        </is>
      </c>
      <c r="E58" s="22" t="inlineStr">
        <is>
          <t>Staff Machine Maintenance &amp; Utility Shift</t>
        </is>
      </c>
      <c r="F58" s="13" t="inlineStr">
        <is>
          <t>PENGAWAS</t>
        </is>
      </c>
      <c r="G58" s="13" t="inlineStr">
        <is>
          <t>PGW0912</t>
        </is>
      </c>
    </row>
    <row r="59" ht="15.75" customHeight="1" s="169">
      <c r="A59" s="22" t="n">
        <v>128000112</v>
      </c>
      <c r="B59" s="22" t="inlineStr">
        <is>
          <t>Faruq Yaafi</t>
        </is>
      </c>
      <c r="C59" s="22" t="inlineStr">
        <is>
          <t>STAFF</t>
        </is>
      </c>
      <c r="D59" s="22" t="inlineStr">
        <is>
          <t>PROD</t>
        </is>
      </c>
      <c r="E59" s="22" t="inlineStr">
        <is>
          <t>Line Leader</t>
        </is>
      </c>
      <c r="F59" s="13" t="inlineStr">
        <is>
          <t>PENGAWAS</t>
        </is>
      </c>
      <c r="G59" s="13" t="inlineStr">
        <is>
          <t>PGW0912</t>
        </is>
      </c>
    </row>
    <row r="60" ht="15.75" customHeight="1" s="169">
      <c r="A60" s="22" t="n">
        <v>128000113</v>
      </c>
      <c r="B60" s="22" t="inlineStr">
        <is>
          <t>Ridho Ramadhan Putra</t>
        </is>
      </c>
      <c r="C60" s="22" t="inlineStr">
        <is>
          <t>STAFF</t>
        </is>
      </c>
      <c r="D60" s="22" t="inlineStr">
        <is>
          <t>ENG</t>
        </is>
      </c>
      <c r="E60" s="22" t="inlineStr">
        <is>
          <t>Staff Machine Maintenance &amp; Utility Shift</t>
        </is>
      </c>
      <c r="F60" s="13" t="inlineStr">
        <is>
          <t>PENGAWAS</t>
        </is>
      </c>
      <c r="G60" s="13" t="inlineStr">
        <is>
          <t>PGW0912</t>
        </is>
      </c>
    </row>
    <row r="61" ht="15.75" customHeight="1" s="169">
      <c r="A61" s="22" t="n">
        <v>128000114</v>
      </c>
      <c r="B61" s="22" t="inlineStr">
        <is>
          <t>Evline Carla Iskandar</t>
        </is>
      </c>
      <c r="C61" s="22" t="inlineStr">
        <is>
          <t>STAFF</t>
        </is>
      </c>
      <c r="D61" s="22" t="inlineStr">
        <is>
          <t>FIN</t>
        </is>
      </c>
      <c r="E61" s="22" t="inlineStr">
        <is>
          <t>Accounting &amp; Tax Officer</t>
        </is>
      </c>
      <c r="F61" s="13" t="inlineStr">
        <is>
          <t>PENGAWAS</t>
        </is>
      </c>
      <c r="G61" s="13" t="inlineStr">
        <is>
          <t>PGW0912</t>
        </is>
      </c>
    </row>
    <row r="62" ht="15.75" customHeight="1" s="169">
      <c r="A62" s="22" t="n">
        <v>128000115</v>
      </c>
      <c r="B62" s="22" t="inlineStr">
        <is>
          <t>Ahmad Fauzi Ardiansyah</t>
        </is>
      </c>
      <c r="C62" s="22" t="inlineStr">
        <is>
          <t>STAFF</t>
        </is>
      </c>
      <c r="D62" s="22" t="inlineStr">
        <is>
          <t>ENG</t>
        </is>
      </c>
      <c r="E62" s="22" t="inlineStr">
        <is>
          <t>Staff Drafter</t>
        </is>
      </c>
      <c r="F62" s="13" t="inlineStr">
        <is>
          <t>PENGAWAS</t>
        </is>
      </c>
      <c r="G62" s="13" t="inlineStr">
        <is>
          <t>PGW0912</t>
        </is>
      </c>
    </row>
    <row r="63" ht="15.75" customHeight="1" s="169">
      <c r="A63" s="22" t="n">
        <v>128000116</v>
      </c>
      <c r="B63" s="22" t="inlineStr">
        <is>
          <t>Lina</t>
        </is>
      </c>
      <c r="C63" s="22" t="inlineStr">
        <is>
          <t>STAFF</t>
        </is>
      </c>
      <c r="D63" s="22" t="inlineStr">
        <is>
          <t>HRGA</t>
        </is>
      </c>
      <c r="E63" s="22" t="inlineStr">
        <is>
          <t>HRGA Deputy Manager</t>
        </is>
      </c>
      <c r="F63" s="13" t="inlineStr">
        <is>
          <t>ADMINISTRATOR</t>
        </is>
      </c>
      <c r="G63" s="13" t="inlineStr">
        <is>
          <t>ADM0912</t>
        </is>
      </c>
    </row>
    <row r="64" ht="15.75" customHeight="1" s="169">
      <c r="A64" s="22" t="n">
        <v>128000117</v>
      </c>
      <c r="B64" s="22" t="inlineStr">
        <is>
          <t>Natalia Agatha Samosir</t>
        </is>
      </c>
      <c r="C64" s="22" t="inlineStr">
        <is>
          <t>STAFF</t>
        </is>
      </c>
      <c r="D64" s="22" t="inlineStr">
        <is>
          <t>FIN</t>
        </is>
      </c>
      <c r="E64" s="22" t="inlineStr">
        <is>
          <t>Staff Petty Cash</t>
        </is>
      </c>
      <c r="F64" s="13" t="inlineStr">
        <is>
          <t>PENGAWAS</t>
        </is>
      </c>
      <c r="G64" s="13" t="inlineStr">
        <is>
          <t>PGW0912</t>
        </is>
      </c>
    </row>
    <row r="65" ht="15.75" customHeight="1" s="169">
      <c r="A65" s="22" t="n">
        <v>128000118</v>
      </c>
      <c r="B65" s="22" t="inlineStr">
        <is>
          <t>Asep Kamaludin</t>
        </is>
      </c>
      <c r="C65" s="22" t="inlineStr">
        <is>
          <t>STAFF</t>
        </is>
      </c>
      <c r="D65" s="22" t="inlineStr">
        <is>
          <t>QRD</t>
        </is>
      </c>
      <c r="E65" s="22" t="inlineStr">
        <is>
          <t>Staff Quality Control Production</t>
        </is>
      </c>
      <c r="F65" s="13" t="inlineStr">
        <is>
          <t>PENGAWAS</t>
        </is>
      </c>
      <c r="G65" s="13" t="inlineStr">
        <is>
          <t>PGW0912</t>
        </is>
      </c>
    </row>
    <row r="66" ht="15.75" customHeight="1" s="169">
      <c r="A66" s="22" t="n">
        <v>128000119</v>
      </c>
      <c r="B66" s="22" t="inlineStr">
        <is>
          <t>Yulius Kevin Wijanarka</t>
        </is>
      </c>
      <c r="C66" s="22" t="inlineStr">
        <is>
          <t>STAFF</t>
        </is>
      </c>
      <c r="D66" s="22" t="inlineStr">
        <is>
          <t>HRGA</t>
        </is>
      </c>
      <c r="E66" s="22" t="inlineStr">
        <is>
          <t>HRD &amp; GA Chief Spv 1</t>
        </is>
      </c>
      <c r="F66" s="13" t="inlineStr">
        <is>
          <t>ADMINISTRATOR</t>
        </is>
      </c>
      <c r="G66" s="13" t="inlineStr">
        <is>
          <t>ADM0912</t>
        </is>
      </c>
    </row>
    <row r="67" ht="15.75" customHeight="1" s="169">
      <c r="A67" s="22" t="n">
        <v>128000120</v>
      </c>
      <c r="B67" s="22" t="inlineStr">
        <is>
          <t>I Wayan Rangga Krisnata</t>
        </is>
      </c>
      <c r="C67" s="22" t="inlineStr">
        <is>
          <t>STAFF</t>
        </is>
      </c>
      <c r="D67" s="22" t="inlineStr">
        <is>
          <t>ENG</t>
        </is>
      </c>
      <c r="E67" s="22" t="inlineStr">
        <is>
          <t>Staff Machine Maintenance Shift</t>
        </is>
      </c>
      <c r="F67" s="13" t="inlineStr">
        <is>
          <t>PENGAWAS</t>
        </is>
      </c>
      <c r="G67" s="13" t="inlineStr">
        <is>
          <t>PGW0912</t>
        </is>
      </c>
    </row>
    <row r="68" ht="15.75" customHeight="1" s="169">
      <c r="A68" s="22" t="n">
        <v>128000121</v>
      </c>
      <c r="B68" s="22" t="inlineStr">
        <is>
          <t>Endang Fahrozy</t>
        </is>
      </c>
      <c r="C68" s="22" t="inlineStr">
        <is>
          <t>STAFF</t>
        </is>
      </c>
      <c r="D68" s="22" t="inlineStr">
        <is>
          <t>PROD</t>
        </is>
      </c>
      <c r="E68" s="22" t="inlineStr">
        <is>
          <t>Line Leader</t>
        </is>
      </c>
      <c r="F68" s="13" t="inlineStr">
        <is>
          <t>PENGAWAS</t>
        </is>
      </c>
      <c r="G68" s="13" t="inlineStr">
        <is>
          <t>PGW0912</t>
        </is>
      </c>
    </row>
    <row r="69" ht="15.75" customHeight="1" s="169">
      <c r="A69" s="22" t="n">
        <v>128000122</v>
      </c>
      <c r="B69" s="22" t="inlineStr">
        <is>
          <t>Acep Rohmat</t>
        </is>
      </c>
      <c r="C69" s="22" t="inlineStr">
        <is>
          <t>STAFF</t>
        </is>
      </c>
      <c r="D69" s="22" t="inlineStr">
        <is>
          <t>PROD</t>
        </is>
      </c>
      <c r="E69" s="22" t="inlineStr">
        <is>
          <t>Line Leader</t>
        </is>
      </c>
      <c r="F69" s="13" t="inlineStr">
        <is>
          <t>PENGAWAS</t>
        </is>
      </c>
      <c r="G69" s="13" t="inlineStr">
        <is>
          <t>PGW0912</t>
        </is>
      </c>
    </row>
    <row r="70" ht="15.75" customHeight="1" s="169">
      <c r="A70" s="22" t="n">
        <v>128000123</v>
      </c>
      <c r="B70" s="22" t="inlineStr">
        <is>
          <t>Ivan Jovian</t>
        </is>
      </c>
      <c r="C70" s="22" t="inlineStr">
        <is>
          <t>STAFF</t>
        </is>
      </c>
      <c r="D70" s="22" t="inlineStr">
        <is>
          <t>ENG</t>
        </is>
      </c>
      <c r="E70" s="22" t="inlineStr">
        <is>
          <t>Staff ITE</t>
        </is>
      </c>
      <c r="F70" s="13" t="inlineStr">
        <is>
          <t>PENGAWAS</t>
        </is>
      </c>
      <c r="G70" s="13" t="inlineStr">
        <is>
          <t>PGW0912</t>
        </is>
      </c>
    </row>
    <row r="71" ht="15.75" customHeight="1" s="169">
      <c r="A71" s="22" t="n">
        <v>328000001</v>
      </c>
      <c r="B71" s="22" t="inlineStr">
        <is>
          <t>RIO GUSTIAWAN</t>
        </is>
      </c>
      <c r="C71" s="22" t="inlineStr">
        <is>
          <t>NON STAFF</t>
        </is>
      </c>
      <c r="D71" s="22" t="inlineStr">
        <is>
          <t>ENG</t>
        </is>
      </c>
      <c r="E71" s="22" t="inlineStr">
        <is>
          <t>ELECTRICAL MAINTENANCE</t>
        </is>
      </c>
      <c r="F71" s="13" t="inlineStr">
        <is>
          <t>KARYAWAN</t>
        </is>
      </c>
    </row>
    <row r="72" ht="15.75" customHeight="1" s="169">
      <c r="A72" s="22" t="n">
        <v>328000005</v>
      </c>
      <c r="B72" s="22" t="inlineStr">
        <is>
          <t>IRGI FAUZI</t>
        </is>
      </c>
      <c r="C72" s="22" t="inlineStr">
        <is>
          <t>NON STAFF</t>
        </is>
      </c>
      <c r="D72" s="22" t="inlineStr">
        <is>
          <t>ENG</t>
        </is>
      </c>
      <c r="E72" s="22" t="inlineStr">
        <is>
          <t>TECHNICIAN</t>
        </is>
      </c>
      <c r="F72" s="13" t="inlineStr">
        <is>
          <t>KARYAWAN</t>
        </is>
      </c>
    </row>
    <row r="73" ht="15.75" customHeight="1" s="169">
      <c r="A73" s="22" t="n">
        <v>328000006</v>
      </c>
      <c r="B73" s="22" t="inlineStr">
        <is>
          <t>RIZKI</t>
        </is>
      </c>
      <c r="C73" s="22" t="inlineStr">
        <is>
          <t>NON STAFF</t>
        </is>
      </c>
      <c r="D73" s="22" t="inlineStr">
        <is>
          <t>ENG</t>
        </is>
      </c>
      <c r="E73" s="22" t="inlineStr">
        <is>
          <t>TECHNICIAN</t>
        </is>
      </c>
      <c r="F73" s="13" t="inlineStr">
        <is>
          <t>KARYAWAN</t>
        </is>
      </c>
    </row>
    <row r="74" ht="15.75" customHeight="1" s="169">
      <c r="A74" s="22" t="n">
        <v>328000009</v>
      </c>
      <c r="B74" s="22" t="inlineStr">
        <is>
          <t>REZZA FEBRIANA</t>
        </is>
      </c>
      <c r="C74" s="22" t="inlineStr">
        <is>
          <t>NON STAFF</t>
        </is>
      </c>
      <c r="D74" s="22" t="inlineStr">
        <is>
          <t>ENG</t>
        </is>
      </c>
      <c r="E74" s="22" t="inlineStr">
        <is>
          <t>TECHNICIAN</t>
        </is>
      </c>
      <c r="F74" s="13" t="inlineStr">
        <is>
          <t>KARYAWAN</t>
        </is>
      </c>
    </row>
    <row r="75" ht="15.75" customHeight="1" s="169">
      <c r="A75" s="22" t="n">
        <v>328000010</v>
      </c>
      <c r="B75" s="22" t="inlineStr">
        <is>
          <t>DIAZ GHERY JUNIARSYAH RAHMAN</t>
        </is>
      </c>
      <c r="C75" s="22" t="inlineStr">
        <is>
          <t>NON STAFF</t>
        </is>
      </c>
      <c r="D75" s="22" t="inlineStr">
        <is>
          <t>ENG</t>
        </is>
      </c>
      <c r="E75" s="22" t="inlineStr">
        <is>
          <t>TECHNICIAN</t>
        </is>
      </c>
      <c r="F75" s="13" t="inlineStr">
        <is>
          <t>KARYAWAN</t>
        </is>
      </c>
    </row>
    <row r="76" ht="15.75" customHeight="1" s="169">
      <c r="A76" s="22" t="n">
        <v>328000011</v>
      </c>
      <c r="B76" s="22" t="inlineStr">
        <is>
          <t>DENI KUSNADI</t>
        </is>
      </c>
      <c r="C76" s="22" t="inlineStr">
        <is>
          <t>NON STAFF</t>
        </is>
      </c>
      <c r="D76" s="22" t="inlineStr">
        <is>
          <t>LOG</t>
        </is>
      </c>
      <c r="E76" s="22" t="inlineStr">
        <is>
          <t>ADMIN WSP</t>
        </is>
      </c>
      <c r="F76" s="13" t="inlineStr">
        <is>
          <t>KARYAWAN</t>
        </is>
      </c>
    </row>
    <row r="77" ht="15.75" customHeight="1" s="169">
      <c r="A77" s="22" t="n">
        <v>328000022</v>
      </c>
      <c r="B77" s="22" t="inlineStr">
        <is>
          <t>AZHAR AIZAD ALFARIDZI</t>
        </is>
      </c>
      <c r="C77" s="22" t="inlineStr">
        <is>
          <t>NON STAFF</t>
        </is>
      </c>
      <c r="D77" s="22" t="inlineStr">
        <is>
          <t>PROD</t>
        </is>
      </c>
      <c r="E77" s="22" t="inlineStr">
        <is>
          <t>OPERATOR</t>
        </is>
      </c>
      <c r="F77" s="13" t="inlineStr">
        <is>
          <t>KARYAWAN</t>
        </is>
      </c>
    </row>
    <row r="78" ht="15.75" customHeight="1" s="169">
      <c r="A78" s="22" t="n">
        <v>328000023</v>
      </c>
      <c r="B78" s="22" t="inlineStr">
        <is>
          <t>KEPIN NUGRAHA</t>
        </is>
      </c>
      <c r="C78" s="22" t="inlineStr">
        <is>
          <t>NON STAFF</t>
        </is>
      </c>
      <c r="D78" s="22" t="inlineStr">
        <is>
          <t>PROD</t>
        </is>
      </c>
      <c r="E78" s="22" t="inlineStr">
        <is>
          <t>OPERATOR</t>
        </is>
      </c>
      <c r="F78" s="13" t="inlineStr">
        <is>
          <t>KARYAWAN</t>
        </is>
      </c>
    </row>
    <row r="79" ht="15.75" customHeight="1" s="169">
      <c r="A79" s="22" t="n">
        <v>328000026</v>
      </c>
      <c r="B79" s="22" t="inlineStr">
        <is>
          <t>DEDE WAHYUDIN</t>
        </is>
      </c>
      <c r="C79" s="22" t="inlineStr">
        <is>
          <t>NON STAFF</t>
        </is>
      </c>
      <c r="D79" s="22" t="inlineStr">
        <is>
          <t>PROD</t>
        </is>
      </c>
      <c r="E79" s="22" t="inlineStr">
        <is>
          <t>OPERATOR</t>
        </is>
      </c>
      <c r="F79" s="13" t="inlineStr">
        <is>
          <t>KARYAWAN</t>
        </is>
      </c>
    </row>
    <row r="80" ht="15.75" customHeight="1" s="169">
      <c r="A80" s="22" t="n">
        <v>328000027</v>
      </c>
      <c r="B80" s="22" t="inlineStr">
        <is>
          <t>GIGIN GINANJAR</t>
        </is>
      </c>
      <c r="C80" s="22" t="inlineStr">
        <is>
          <t>NON STAFF</t>
        </is>
      </c>
      <c r="D80" s="22" t="inlineStr">
        <is>
          <t>PROD</t>
        </is>
      </c>
      <c r="E80" s="22" t="inlineStr">
        <is>
          <t>OPERATOR</t>
        </is>
      </c>
      <c r="F80" s="13" t="inlineStr">
        <is>
          <t>KARYAWAN</t>
        </is>
      </c>
    </row>
    <row r="81" ht="15.75" customHeight="1" s="169">
      <c r="A81" s="22" t="n">
        <v>328000028</v>
      </c>
      <c r="B81" s="22" t="inlineStr">
        <is>
          <t>TISNA GINANJAR</t>
        </is>
      </c>
      <c r="C81" s="22" t="inlineStr">
        <is>
          <t>NON STAFF</t>
        </is>
      </c>
      <c r="D81" s="22" t="inlineStr">
        <is>
          <t>PROD</t>
        </is>
      </c>
      <c r="E81" s="22" t="inlineStr">
        <is>
          <t>OPERATOR</t>
        </is>
      </c>
      <c r="F81" s="13" t="inlineStr">
        <is>
          <t>KARYAWAN</t>
        </is>
      </c>
    </row>
    <row r="82" ht="15.75" customHeight="1" s="169">
      <c r="A82" s="22" t="n">
        <v>328000030</v>
      </c>
      <c r="B82" s="22" t="inlineStr">
        <is>
          <t>DAVA PUTRA YUDIANSYAH</t>
        </is>
      </c>
      <c r="C82" s="22" t="inlineStr">
        <is>
          <t>NON STAFF</t>
        </is>
      </c>
      <c r="D82" s="22" t="inlineStr">
        <is>
          <t>PROD</t>
        </is>
      </c>
      <c r="E82" s="22" t="inlineStr">
        <is>
          <t>OPERATOR</t>
        </is>
      </c>
      <c r="F82" s="13" t="inlineStr">
        <is>
          <t>KARYAWAN</t>
        </is>
      </c>
    </row>
    <row r="83" ht="15.75" customHeight="1" s="169">
      <c r="A83" s="22" t="n">
        <v>328000032</v>
      </c>
      <c r="B83" s="22" t="inlineStr">
        <is>
          <t>RUBY SUBASTIAN</t>
        </is>
      </c>
      <c r="C83" s="22" t="inlineStr">
        <is>
          <t>NON STAFF</t>
        </is>
      </c>
      <c r="D83" s="22" t="inlineStr">
        <is>
          <t>PROD</t>
        </is>
      </c>
      <c r="E83" s="22" t="inlineStr">
        <is>
          <t>OPERATOR</t>
        </is>
      </c>
      <c r="F83" s="13" t="inlineStr">
        <is>
          <t>KARYAWAN</t>
        </is>
      </c>
    </row>
    <row r="84" ht="15.75" customHeight="1" s="169">
      <c r="A84" s="22" t="n">
        <v>328000033</v>
      </c>
      <c r="B84" s="22" t="inlineStr">
        <is>
          <t>HENDRA</t>
        </is>
      </c>
      <c r="C84" s="22" t="inlineStr">
        <is>
          <t>NON STAFF</t>
        </is>
      </c>
      <c r="D84" s="22" t="inlineStr">
        <is>
          <t>PROD</t>
        </is>
      </c>
      <c r="E84" s="22" t="inlineStr">
        <is>
          <t>OPERATOR</t>
        </is>
      </c>
      <c r="F84" s="13" t="inlineStr">
        <is>
          <t>KARYAWAN</t>
        </is>
      </c>
    </row>
    <row r="85" ht="15.75" customHeight="1" s="169">
      <c r="A85" s="22" t="n">
        <v>328000037</v>
      </c>
      <c r="B85" s="22" t="inlineStr">
        <is>
          <t>KURNIADI</t>
        </is>
      </c>
      <c r="C85" s="22" t="inlineStr">
        <is>
          <t>NON STAFF</t>
        </is>
      </c>
      <c r="D85" s="22" t="inlineStr">
        <is>
          <t>PROD</t>
        </is>
      </c>
      <c r="E85" s="22" t="inlineStr">
        <is>
          <t>OPERATOR</t>
        </is>
      </c>
      <c r="F85" s="13" t="inlineStr">
        <is>
          <t>KARYAWAN</t>
        </is>
      </c>
    </row>
    <row r="86" ht="15.75" customHeight="1" s="169">
      <c r="A86" s="22" t="n">
        <v>328000038</v>
      </c>
      <c r="B86" s="22" t="inlineStr">
        <is>
          <t>MESTHY PEBRIYANTI</t>
        </is>
      </c>
      <c r="C86" s="22" t="inlineStr">
        <is>
          <t>NON STAFF</t>
        </is>
      </c>
      <c r="D86" s="22" t="inlineStr">
        <is>
          <t>QRD</t>
        </is>
      </c>
      <c r="E86" s="22" t="inlineStr">
        <is>
          <t>QC LAB</t>
        </is>
      </c>
      <c r="F86" s="13" t="inlineStr">
        <is>
          <t>KARYAWAN</t>
        </is>
      </c>
    </row>
    <row r="87" ht="15.75" customHeight="1" s="169">
      <c r="A87" s="22" t="n">
        <v>328000039</v>
      </c>
      <c r="B87" s="22" t="inlineStr">
        <is>
          <t>DESTY MARLIANI</t>
        </is>
      </c>
      <c r="C87" s="22" t="inlineStr">
        <is>
          <t>NON STAFF</t>
        </is>
      </c>
      <c r="D87" s="22" t="inlineStr">
        <is>
          <t>QRD</t>
        </is>
      </c>
      <c r="E87" s="22" t="inlineStr">
        <is>
          <t>QC LAB</t>
        </is>
      </c>
      <c r="F87" s="13" t="inlineStr">
        <is>
          <t>KARYAWAN</t>
        </is>
      </c>
    </row>
    <row r="88" ht="15.75" customHeight="1" s="169">
      <c r="A88" s="22" t="n">
        <v>328000041</v>
      </c>
      <c r="B88" s="22" t="inlineStr">
        <is>
          <t>BUNGA ADELIYA</t>
        </is>
      </c>
      <c r="C88" s="22" t="inlineStr">
        <is>
          <t>NON STAFF</t>
        </is>
      </c>
      <c r="D88" s="22" t="inlineStr">
        <is>
          <t>PROD</t>
        </is>
      </c>
      <c r="E88" s="22" t="inlineStr">
        <is>
          <t>PACKER</t>
        </is>
      </c>
      <c r="F88" s="13" t="inlineStr">
        <is>
          <t>KARYAWAN</t>
        </is>
      </c>
    </row>
    <row r="89" ht="15.75" customHeight="1" s="169">
      <c r="A89" s="22" t="n">
        <v>328000043</v>
      </c>
      <c r="B89" s="22" t="inlineStr">
        <is>
          <t>ANDINI NOVIA RAMADANI</t>
        </is>
      </c>
      <c r="C89" s="22" t="inlineStr">
        <is>
          <t>NON STAFF</t>
        </is>
      </c>
      <c r="D89" s="22" t="inlineStr">
        <is>
          <t>PROD</t>
        </is>
      </c>
      <c r="E89" s="22" t="inlineStr">
        <is>
          <t>PACKER</t>
        </is>
      </c>
      <c r="F89" s="13" t="inlineStr">
        <is>
          <t>KARYAWAN</t>
        </is>
      </c>
    </row>
    <row r="90" ht="15.75" customHeight="1" s="169">
      <c r="A90" s="22" t="n">
        <v>328000052</v>
      </c>
      <c r="B90" s="22" t="inlineStr">
        <is>
          <t>DIMAS NUGROHO</t>
        </is>
      </c>
      <c r="C90" s="22" t="inlineStr">
        <is>
          <t>NON STAFF</t>
        </is>
      </c>
      <c r="D90" s="22" t="inlineStr">
        <is>
          <t>LOG</t>
        </is>
      </c>
      <c r="E90" s="22" t="inlineStr">
        <is>
          <t>ADMIN WSP</t>
        </is>
      </c>
      <c r="F90" s="13" t="inlineStr">
        <is>
          <t>KARYAWAN</t>
        </is>
      </c>
    </row>
    <row r="91" ht="15.75" customHeight="1" s="169">
      <c r="A91" s="22" t="n">
        <v>328000053</v>
      </c>
      <c r="B91" s="22" t="inlineStr">
        <is>
          <t>VERA PURBA</t>
        </is>
      </c>
      <c r="C91" s="22" t="inlineStr">
        <is>
          <t>NON STAFF</t>
        </is>
      </c>
      <c r="D91" s="22" t="inlineStr">
        <is>
          <t>PROD</t>
        </is>
      </c>
      <c r="E91" s="22" t="inlineStr">
        <is>
          <t>PRODUCTION ADMIN</t>
        </is>
      </c>
      <c r="F91" s="13" t="inlineStr">
        <is>
          <t>KARYAWAN</t>
        </is>
      </c>
    </row>
    <row r="92" ht="15.75" customHeight="1" s="169">
      <c r="A92" s="22" t="n">
        <v>328000063</v>
      </c>
      <c r="B92" s="22" t="inlineStr">
        <is>
          <t>RIZKI AGUNG</t>
        </is>
      </c>
      <c r="C92" s="22" t="inlineStr">
        <is>
          <t>NON STAFF</t>
        </is>
      </c>
      <c r="D92" s="22" t="inlineStr">
        <is>
          <t>PROD</t>
        </is>
      </c>
      <c r="E92" s="22" t="inlineStr">
        <is>
          <t>OPERATOR</t>
        </is>
      </c>
      <c r="F92" s="13" t="inlineStr">
        <is>
          <t>KARYAWAN</t>
        </is>
      </c>
    </row>
    <row r="93" ht="15.75" customHeight="1" s="169">
      <c r="A93" s="22" t="n">
        <v>328000066</v>
      </c>
      <c r="B93" s="22" t="inlineStr">
        <is>
          <t>NADILA NAZIWA SOPIAN</t>
        </is>
      </c>
      <c r="C93" s="22" t="inlineStr">
        <is>
          <t>NON STAFF</t>
        </is>
      </c>
      <c r="D93" s="22" t="inlineStr">
        <is>
          <t>QRD</t>
        </is>
      </c>
      <c r="E93" s="22" t="inlineStr">
        <is>
          <t>QC LAB</t>
        </is>
      </c>
      <c r="F93" s="13" t="inlineStr">
        <is>
          <t>KARYAWAN</t>
        </is>
      </c>
    </row>
    <row r="94" ht="15.75" customHeight="1" s="169">
      <c r="A94" s="22" t="n">
        <v>328000067</v>
      </c>
      <c r="B94" s="22" t="inlineStr">
        <is>
          <t>ALIP RANGGA ALPAJRIN</t>
        </is>
      </c>
      <c r="C94" s="22" t="inlineStr">
        <is>
          <t>NON STAFF</t>
        </is>
      </c>
      <c r="D94" s="22" t="inlineStr">
        <is>
          <t>PROD</t>
        </is>
      </c>
      <c r="E94" s="22" t="inlineStr">
        <is>
          <t>TSP</t>
        </is>
      </c>
      <c r="F94" s="13" t="inlineStr">
        <is>
          <t>KARYAWAN</t>
        </is>
      </c>
    </row>
    <row r="95" ht="15.75" customHeight="1" s="169">
      <c r="A95" s="22" t="n">
        <v>328000068</v>
      </c>
      <c r="B95" s="22" t="inlineStr">
        <is>
          <t>NADINE RIEZKI GHEFIRA</t>
        </is>
      </c>
      <c r="C95" s="22" t="inlineStr">
        <is>
          <t>NON STAFF</t>
        </is>
      </c>
      <c r="D95" s="22" t="inlineStr">
        <is>
          <t>QRD</t>
        </is>
      </c>
      <c r="E95" s="22" t="inlineStr">
        <is>
          <t>QC LAB</t>
        </is>
      </c>
      <c r="F95" s="13" t="inlineStr">
        <is>
          <t>KARYAWAN</t>
        </is>
      </c>
    </row>
    <row r="96" ht="15.75" customHeight="1" s="169">
      <c r="A96" s="22" t="n">
        <v>328000070</v>
      </c>
      <c r="B96" s="22" t="inlineStr">
        <is>
          <t>BAYU AJIE PANGESTU</t>
        </is>
      </c>
      <c r="C96" s="22" t="inlineStr">
        <is>
          <t>NON STAFF</t>
        </is>
      </c>
      <c r="D96" s="22" t="inlineStr">
        <is>
          <t>QRD</t>
        </is>
      </c>
      <c r="E96" s="22" t="inlineStr">
        <is>
          <t>QC PATROL</t>
        </is>
      </c>
      <c r="F96" s="13" t="inlineStr">
        <is>
          <t>KARYAWAN</t>
        </is>
      </c>
    </row>
    <row r="97" ht="15.75" customHeight="1" s="169">
      <c r="A97" s="22" t="n">
        <v>328000072</v>
      </c>
      <c r="B97" s="22" t="inlineStr">
        <is>
          <t>ANISA FITALOKA</t>
        </is>
      </c>
      <c r="C97" s="22" t="inlineStr">
        <is>
          <t>NON STAFF</t>
        </is>
      </c>
      <c r="D97" s="22" t="inlineStr">
        <is>
          <t>PROD</t>
        </is>
      </c>
      <c r="E97" s="22" t="inlineStr">
        <is>
          <t>RF</t>
        </is>
      </c>
      <c r="F97" s="13" t="inlineStr">
        <is>
          <t>KARYAWAN</t>
        </is>
      </c>
    </row>
    <row r="98" ht="15.75" customHeight="1" s="169">
      <c r="A98" s="22" t="n">
        <v>328000080</v>
      </c>
      <c r="B98" s="22" t="inlineStr">
        <is>
          <t>ILHAM PAOJI MUHAROM</t>
        </is>
      </c>
      <c r="C98" s="22" t="inlineStr">
        <is>
          <t>NON STAFF</t>
        </is>
      </c>
      <c r="D98" s="22" t="inlineStr">
        <is>
          <t>LOG</t>
        </is>
      </c>
      <c r="E98" s="22" t="inlineStr">
        <is>
          <t>OPERATOR FORKLIFT</t>
        </is>
      </c>
      <c r="F98" s="13" t="inlineStr">
        <is>
          <t>KARYAWAN</t>
        </is>
      </c>
    </row>
    <row r="99" ht="15.75" customHeight="1" s="169">
      <c r="A99" s="22" t="n">
        <v>328000088</v>
      </c>
      <c r="B99" s="22" t="inlineStr">
        <is>
          <t>MEISY TRESA HANDAYANI</t>
        </is>
      </c>
      <c r="C99" s="22" t="inlineStr">
        <is>
          <t>NON STAFF</t>
        </is>
      </c>
      <c r="D99" s="22" t="inlineStr">
        <is>
          <t>PROD</t>
        </is>
      </c>
      <c r="E99" s="22" t="inlineStr">
        <is>
          <t>RF</t>
        </is>
      </c>
      <c r="F99" s="13" t="inlineStr">
        <is>
          <t>KARYAWAN</t>
        </is>
      </c>
    </row>
    <row r="100" ht="15.75" customHeight="1" s="169">
      <c r="A100" s="22" t="n">
        <v>328000095</v>
      </c>
      <c r="B100" s="22" t="inlineStr">
        <is>
          <t>AGUS JONI</t>
        </is>
      </c>
      <c r="C100" s="22" t="inlineStr">
        <is>
          <t>NON STAFF</t>
        </is>
      </c>
      <c r="D100" s="22" t="inlineStr">
        <is>
          <t>PROD</t>
        </is>
      </c>
      <c r="E100" s="22" t="inlineStr">
        <is>
          <t>OPERATOR</t>
        </is>
      </c>
      <c r="F100" s="13" t="inlineStr">
        <is>
          <t>KARYAWAN</t>
        </is>
      </c>
    </row>
    <row r="101" ht="15.75" customHeight="1" s="169">
      <c r="A101" s="22" t="n">
        <v>328000097</v>
      </c>
      <c r="B101" s="22" t="inlineStr">
        <is>
          <t>YOGI RUDIYANTO</t>
        </is>
      </c>
      <c r="C101" s="22" t="inlineStr">
        <is>
          <t>NON STAFF</t>
        </is>
      </c>
      <c r="D101" s="22" t="inlineStr">
        <is>
          <t>LOG</t>
        </is>
      </c>
      <c r="E101" s="22" t="inlineStr">
        <is>
          <t>PIC AREA</t>
        </is>
      </c>
      <c r="F101" s="13" t="inlineStr">
        <is>
          <t>KARYAWAN</t>
        </is>
      </c>
    </row>
    <row r="102" ht="15.75" customHeight="1" s="169">
      <c r="A102" s="22" t="n">
        <v>328000100</v>
      </c>
      <c r="B102" s="22" t="inlineStr">
        <is>
          <t>FIKRIE ABI HASAN</t>
        </is>
      </c>
      <c r="C102" s="22" t="inlineStr">
        <is>
          <t>NON STAFF</t>
        </is>
      </c>
      <c r="D102" s="22" t="inlineStr">
        <is>
          <t>LOG</t>
        </is>
      </c>
      <c r="E102" s="22" t="inlineStr">
        <is>
          <t>ADMIN WSP</t>
        </is>
      </c>
      <c r="F102" s="13" t="inlineStr">
        <is>
          <t>KARYAWAN</t>
        </is>
      </c>
    </row>
    <row r="103" ht="15.75" customHeight="1" s="169">
      <c r="A103" s="22" t="n">
        <v>328000104</v>
      </c>
      <c r="B103" s="22" t="inlineStr">
        <is>
          <t>TASYA APRIANI</t>
        </is>
      </c>
      <c r="C103" s="22" t="inlineStr">
        <is>
          <t>NON STAFF</t>
        </is>
      </c>
      <c r="D103" s="22" t="inlineStr">
        <is>
          <t>PROD</t>
        </is>
      </c>
      <c r="E103" s="22" t="inlineStr">
        <is>
          <t>PACKER</t>
        </is>
      </c>
      <c r="F103" s="13" t="inlineStr">
        <is>
          <t>KARYAWAN</t>
        </is>
      </c>
    </row>
    <row r="104" ht="15.75" customHeight="1" s="169">
      <c r="A104" s="22" t="n">
        <v>328000106</v>
      </c>
      <c r="B104" s="22" t="inlineStr">
        <is>
          <t>FANY FEBRYANI WARDOYO</t>
        </is>
      </c>
      <c r="C104" s="22" t="inlineStr">
        <is>
          <t>NON STAFF</t>
        </is>
      </c>
      <c r="D104" s="22" t="inlineStr">
        <is>
          <t>QRD</t>
        </is>
      </c>
      <c r="E104" s="22" t="inlineStr">
        <is>
          <t>QC PRODUKSI</t>
        </is>
      </c>
      <c r="F104" s="13" t="inlineStr">
        <is>
          <t>KARYAWAN</t>
        </is>
      </c>
    </row>
    <row r="105" ht="15.75" customHeight="1" s="169">
      <c r="A105" s="22" t="n">
        <v>328000108</v>
      </c>
      <c r="B105" s="22" t="inlineStr">
        <is>
          <t>AHMAD NUR FAJAR</t>
        </is>
      </c>
      <c r="C105" s="22" t="inlineStr">
        <is>
          <t>NON STAFF</t>
        </is>
      </c>
      <c r="D105" s="22" t="inlineStr">
        <is>
          <t>PROD</t>
        </is>
      </c>
      <c r="E105" s="22" t="inlineStr">
        <is>
          <t>OPERATOR</t>
        </is>
      </c>
      <c r="F105" s="13" t="inlineStr">
        <is>
          <t>KARYAWAN</t>
        </is>
      </c>
    </row>
    <row r="106" ht="15.75" customHeight="1" s="169">
      <c r="A106" s="22" t="n">
        <v>328000109</v>
      </c>
      <c r="B106" s="22" t="inlineStr">
        <is>
          <t>RIZKY PRADANA R</t>
        </is>
      </c>
      <c r="C106" s="22" t="inlineStr">
        <is>
          <t>NON STAFF</t>
        </is>
      </c>
      <c r="D106" s="22" t="inlineStr">
        <is>
          <t>PROD</t>
        </is>
      </c>
      <c r="E106" s="22" t="inlineStr">
        <is>
          <t>OPERATOR</t>
        </is>
      </c>
      <c r="F106" s="13" t="inlineStr">
        <is>
          <t>KARYAWAN</t>
        </is>
      </c>
    </row>
    <row r="107" ht="15.75" customHeight="1" s="169">
      <c r="A107" s="22" t="n">
        <v>328000110</v>
      </c>
      <c r="B107" s="22" t="inlineStr">
        <is>
          <t>PRATAMA WAHYU SAPUTRO</t>
        </is>
      </c>
      <c r="C107" s="22" t="inlineStr">
        <is>
          <t>NON STAFF</t>
        </is>
      </c>
      <c r="D107" s="22" t="inlineStr">
        <is>
          <t>PROD</t>
        </is>
      </c>
      <c r="E107" s="22" t="inlineStr">
        <is>
          <t>OPERATOR</t>
        </is>
      </c>
      <c r="F107" s="13" t="inlineStr">
        <is>
          <t>KARYAWAN</t>
        </is>
      </c>
    </row>
    <row r="108" ht="15.75" customHeight="1" s="169">
      <c r="A108" s="22" t="n">
        <v>328000111</v>
      </c>
      <c r="B108" s="22" t="inlineStr">
        <is>
          <t>KESLERIA</t>
        </is>
      </c>
      <c r="C108" s="22" t="inlineStr">
        <is>
          <t>NON STAFF</t>
        </is>
      </c>
      <c r="D108" s="22" t="inlineStr">
        <is>
          <t>PROD</t>
        </is>
      </c>
      <c r="E108" s="22" t="inlineStr">
        <is>
          <t>PACKER</t>
        </is>
      </c>
      <c r="F108" s="13" t="inlineStr">
        <is>
          <t>KARYAWAN</t>
        </is>
      </c>
    </row>
    <row r="109" ht="15.75" customHeight="1" s="169">
      <c r="A109" s="22" t="n">
        <v>328000112</v>
      </c>
      <c r="B109" s="22" t="inlineStr">
        <is>
          <t>FIRDAWATI</t>
        </is>
      </c>
      <c r="C109" s="22" t="inlineStr">
        <is>
          <t>NON STAFF</t>
        </is>
      </c>
      <c r="D109" s="22" t="inlineStr">
        <is>
          <t>PROD</t>
        </is>
      </c>
      <c r="E109" s="22" t="inlineStr">
        <is>
          <t>PACKER</t>
        </is>
      </c>
      <c r="F109" s="13" t="inlineStr">
        <is>
          <t>KARYAWAN</t>
        </is>
      </c>
    </row>
    <row r="110" ht="15.75" customHeight="1" s="169">
      <c r="A110" s="22" t="n">
        <v>328000115</v>
      </c>
      <c r="B110" s="22" t="inlineStr">
        <is>
          <t>SELY RISDIYANI</t>
        </is>
      </c>
      <c r="C110" s="22" t="inlineStr">
        <is>
          <t>NON STAFF</t>
        </is>
      </c>
      <c r="D110" s="22" t="inlineStr">
        <is>
          <t>PROD</t>
        </is>
      </c>
      <c r="E110" s="22" t="inlineStr">
        <is>
          <t>PACKER</t>
        </is>
      </c>
      <c r="F110" s="13" t="inlineStr">
        <is>
          <t>KARYAWAN</t>
        </is>
      </c>
    </row>
    <row r="111" ht="15.75" customHeight="1" s="169">
      <c r="A111" s="22" t="n">
        <v>328000122</v>
      </c>
      <c r="B111" s="22" t="inlineStr">
        <is>
          <t>SENDI</t>
        </is>
      </c>
      <c r="C111" s="22" t="inlineStr">
        <is>
          <t>NON STAFF</t>
        </is>
      </c>
      <c r="D111" s="22" t="inlineStr">
        <is>
          <t>PROD</t>
        </is>
      </c>
      <c r="E111" s="22" t="inlineStr">
        <is>
          <t>OPERATOR</t>
        </is>
      </c>
      <c r="F111" s="13" t="inlineStr">
        <is>
          <t>KARYAWAN</t>
        </is>
      </c>
    </row>
    <row r="112" ht="15.75" customHeight="1" s="169">
      <c r="A112" s="22" t="n">
        <v>328000129</v>
      </c>
      <c r="B112" s="22" t="inlineStr">
        <is>
          <t>AHMAD SYAEFUDIN LATIEF</t>
        </is>
      </c>
      <c r="C112" s="22" t="inlineStr">
        <is>
          <t>NON STAFF</t>
        </is>
      </c>
      <c r="D112" s="22" t="inlineStr">
        <is>
          <t>PROD</t>
        </is>
      </c>
      <c r="E112" s="22" t="inlineStr">
        <is>
          <t>OPERATOR</t>
        </is>
      </c>
      <c r="F112" s="13" t="inlineStr">
        <is>
          <t>KARYAWAN</t>
        </is>
      </c>
    </row>
    <row r="113" ht="15.75" customHeight="1" s="169">
      <c r="A113" s="22" t="n">
        <v>328000130</v>
      </c>
      <c r="B113" s="22" t="inlineStr">
        <is>
          <t>AGIL AGUSTIAWAN</t>
        </is>
      </c>
      <c r="C113" s="22" t="inlineStr">
        <is>
          <t>NON STAFF</t>
        </is>
      </c>
      <c r="D113" s="22" t="inlineStr">
        <is>
          <t>PROD</t>
        </is>
      </c>
      <c r="E113" s="22" t="inlineStr">
        <is>
          <t>OPERATOR</t>
        </is>
      </c>
      <c r="F113" s="13" t="inlineStr">
        <is>
          <t>KARYAWAN</t>
        </is>
      </c>
    </row>
    <row r="114" ht="15.75" customHeight="1" s="169">
      <c r="A114" s="22" t="n">
        <v>328000132</v>
      </c>
      <c r="B114" s="22" t="inlineStr">
        <is>
          <t>FIRYAL FITRIYAH ABID SADIAH</t>
        </is>
      </c>
      <c r="C114" s="22" t="inlineStr">
        <is>
          <t>NON STAFF</t>
        </is>
      </c>
      <c r="D114" s="22" t="inlineStr">
        <is>
          <t>QRD</t>
        </is>
      </c>
      <c r="E114" s="22" t="inlineStr">
        <is>
          <t>QC PATROL</t>
        </is>
      </c>
      <c r="F114" s="13" t="inlineStr">
        <is>
          <t>KARYAWAN</t>
        </is>
      </c>
    </row>
    <row r="115" ht="15.75" customHeight="1" s="169">
      <c r="A115" s="22" t="n">
        <v>328000133</v>
      </c>
      <c r="B115" s="22" t="inlineStr">
        <is>
          <t>AMALIA INDRATAMA</t>
        </is>
      </c>
      <c r="C115" s="22" t="inlineStr">
        <is>
          <t>NON STAFF</t>
        </is>
      </c>
      <c r="D115" s="22" t="inlineStr">
        <is>
          <t>QRD</t>
        </is>
      </c>
      <c r="E115" s="22" t="inlineStr">
        <is>
          <t>QC PATROL</t>
        </is>
      </c>
      <c r="F115" s="13" t="inlineStr">
        <is>
          <t>KARYAWAN</t>
        </is>
      </c>
    </row>
    <row r="116" ht="15.75" customHeight="1" s="169">
      <c r="A116" s="22" t="n">
        <v>328000134</v>
      </c>
      <c r="B116" s="22" t="inlineStr">
        <is>
          <t>ASEP SEPTIANA</t>
        </is>
      </c>
      <c r="C116" s="22" t="inlineStr">
        <is>
          <t>NON STAFF</t>
        </is>
      </c>
      <c r="D116" s="22" t="inlineStr">
        <is>
          <t>PROD</t>
        </is>
      </c>
      <c r="E116" s="22" t="inlineStr">
        <is>
          <t>OPERATOR</t>
        </is>
      </c>
      <c r="F116" s="13" t="inlineStr">
        <is>
          <t>KARYAWAN</t>
        </is>
      </c>
    </row>
    <row r="117" ht="15.75" customHeight="1" s="169">
      <c r="A117" s="22" t="n">
        <v>328000135</v>
      </c>
      <c r="B117" s="22" t="inlineStr">
        <is>
          <t>HARRY PANCA</t>
        </is>
      </c>
      <c r="C117" s="22" t="inlineStr">
        <is>
          <t>NON STAFF</t>
        </is>
      </c>
      <c r="D117" s="22" t="inlineStr">
        <is>
          <t>PROD</t>
        </is>
      </c>
      <c r="E117" s="22" t="inlineStr">
        <is>
          <t>OPERATOR</t>
        </is>
      </c>
      <c r="F117" s="13" t="inlineStr">
        <is>
          <t>KARYAWAN</t>
        </is>
      </c>
    </row>
    <row r="118" ht="15.75" customHeight="1" s="169">
      <c r="A118" s="22" t="n">
        <v>328000140</v>
      </c>
      <c r="B118" s="22" t="inlineStr">
        <is>
          <t>JERY GUNAWAN</t>
        </is>
      </c>
      <c r="C118" s="22" t="inlineStr">
        <is>
          <t>NON STAFF</t>
        </is>
      </c>
      <c r="D118" s="22" t="inlineStr">
        <is>
          <t>PROD</t>
        </is>
      </c>
      <c r="E118" s="22" t="inlineStr">
        <is>
          <t>OPERATOR</t>
        </is>
      </c>
      <c r="F118" s="13" t="inlineStr">
        <is>
          <t>KARYAWAN</t>
        </is>
      </c>
    </row>
    <row r="119" ht="15.75" customHeight="1" s="169">
      <c r="A119" s="22" t="n">
        <v>328000141</v>
      </c>
      <c r="B119" s="22" t="inlineStr">
        <is>
          <t>MAIMUNAH</t>
        </is>
      </c>
      <c r="C119" s="22" t="inlineStr">
        <is>
          <t>NON STAFF</t>
        </is>
      </c>
      <c r="D119" s="22" t="inlineStr">
        <is>
          <t>PROD</t>
        </is>
      </c>
      <c r="E119" s="22" t="inlineStr">
        <is>
          <t>PACKER</t>
        </is>
      </c>
      <c r="F119" s="13" t="inlineStr">
        <is>
          <t>KARYAWAN</t>
        </is>
      </c>
    </row>
    <row r="120" ht="15.75" customHeight="1" s="169">
      <c r="A120" s="22" t="n">
        <v>328000149</v>
      </c>
      <c r="B120" s="22" t="inlineStr">
        <is>
          <t>IRA RIDAYANTI</t>
        </is>
      </c>
      <c r="C120" s="22" t="inlineStr">
        <is>
          <t>NON STAFF</t>
        </is>
      </c>
      <c r="D120" s="22" t="inlineStr">
        <is>
          <t>QRD</t>
        </is>
      </c>
      <c r="E120" s="22" t="inlineStr">
        <is>
          <t>QC PRODUKSI</t>
        </is>
      </c>
      <c r="F120" s="13" t="inlineStr">
        <is>
          <t>KARYAWAN</t>
        </is>
      </c>
    </row>
    <row r="121" ht="15.75" customHeight="1" s="169">
      <c r="A121" s="22" t="n">
        <v>328000148</v>
      </c>
      <c r="B121" s="22" t="inlineStr">
        <is>
          <t>MUHAMMAD ALFIKRI</t>
        </is>
      </c>
      <c r="C121" s="22" t="inlineStr">
        <is>
          <t>NON STAFF</t>
        </is>
      </c>
      <c r="D121" s="22" t="inlineStr">
        <is>
          <t>LOG</t>
        </is>
      </c>
      <c r="E121" s="22" t="inlineStr">
        <is>
          <t>CHECKER</t>
        </is>
      </c>
      <c r="F121" s="13" t="inlineStr">
        <is>
          <t>KARYAWAN</t>
        </is>
      </c>
    </row>
    <row r="122" ht="15.75" customHeight="1" s="169">
      <c r="A122" s="22" t="n">
        <v>328000150</v>
      </c>
      <c r="B122" s="22" t="inlineStr">
        <is>
          <t>MUFTI ANAM</t>
        </is>
      </c>
      <c r="C122" s="22" t="inlineStr">
        <is>
          <t>NON STAFF</t>
        </is>
      </c>
      <c r="D122" s="22" t="inlineStr">
        <is>
          <t>QRD</t>
        </is>
      </c>
      <c r="E122" s="22" t="inlineStr">
        <is>
          <t>QC PATROL</t>
        </is>
      </c>
      <c r="F122" s="13" t="inlineStr">
        <is>
          <t>KARYAWAN</t>
        </is>
      </c>
    </row>
    <row r="123" ht="15.75" customHeight="1" s="169">
      <c r="A123" s="22" t="n">
        <v>328000153</v>
      </c>
      <c r="B123" s="22" t="inlineStr">
        <is>
          <t>SUSILAWATI</t>
        </is>
      </c>
      <c r="C123" s="22" t="inlineStr">
        <is>
          <t>NON STAFF</t>
        </is>
      </c>
      <c r="D123" s="22" t="inlineStr">
        <is>
          <t>PROD</t>
        </is>
      </c>
      <c r="E123" s="22" t="inlineStr">
        <is>
          <t>PACKER</t>
        </is>
      </c>
      <c r="F123" s="13" t="inlineStr">
        <is>
          <t>KARYAWAN</t>
        </is>
      </c>
    </row>
    <row r="124" ht="15.75" customHeight="1" s="169">
      <c r="A124" s="22" t="n">
        <v>328000157</v>
      </c>
      <c r="B124" s="22" t="inlineStr">
        <is>
          <t>VIVI NABIYA PUTRI</t>
        </is>
      </c>
      <c r="C124" s="22" t="inlineStr">
        <is>
          <t>NON STAFF</t>
        </is>
      </c>
      <c r="D124" s="22" t="inlineStr">
        <is>
          <t>PROD</t>
        </is>
      </c>
      <c r="E124" s="22" t="inlineStr">
        <is>
          <t>PACKER</t>
        </is>
      </c>
      <c r="F124" s="13" t="inlineStr">
        <is>
          <t>KARYAWAN</t>
        </is>
      </c>
    </row>
    <row r="125" ht="15.75" customHeight="1" s="169">
      <c r="A125" s="22" t="n">
        <v>328000159</v>
      </c>
      <c r="B125" s="22" t="inlineStr">
        <is>
          <t>LINDA NURUL AULIA</t>
        </is>
      </c>
      <c r="C125" s="22" t="inlineStr">
        <is>
          <t>NON STAFF</t>
        </is>
      </c>
      <c r="D125" s="22" t="inlineStr">
        <is>
          <t>QRD</t>
        </is>
      </c>
      <c r="E125" s="22" t="inlineStr">
        <is>
          <t>QC PRODUKSI</t>
        </is>
      </c>
      <c r="F125" s="13" t="inlineStr">
        <is>
          <t>KARYAWAN</t>
        </is>
      </c>
    </row>
    <row r="126" ht="15.75" customHeight="1" s="169">
      <c r="A126" s="22" t="n">
        <v>328000161</v>
      </c>
      <c r="B126" s="22" t="inlineStr">
        <is>
          <t>NURUL NAJAH</t>
        </is>
      </c>
      <c r="C126" s="22" t="inlineStr">
        <is>
          <t>NON STAFF</t>
        </is>
      </c>
      <c r="D126" s="22" t="inlineStr">
        <is>
          <t>QRD</t>
        </is>
      </c>
      <c r="E126" s="22" t="inlineStr">
        <is>
          <t>QC PRODUKSI</t>
        </is>
      </c>
      <c r="F126" s="13" t="inlineStr">
        <is>
          <t>KARYAWAN</t>
        </is>
      </c>
    </row>
    <row r="127" ht="15.75" customHeight="1" s="169">
      <c r="A127" s="22" t="n">
        <v>328000164</v>
      </c>
      <c r="B127" s="22" t="inlineStr">
        <is>
          <t>RANI</t>
        </is>
      </c>
      <c r="C127" s="22" t="inlineStr">
        <is>
          <t>NON STAFF</t>
        </is>
      </c>
      <c r="D127" s="22" t="inlineStr">
        <is>
          <t>QRD</t>
        </is>
      </c>
      <c r="E127" s="22" t="inlineStr">
        <is>
          <t>QC PRODUKSI</t>
        </is>
      </c>
      <c r="F127" s="13" t="inlineStr">
        <is>
          <t>KARYAWAN</t>
        </is>
      </c>
    </row>
    <row r="128" ht="15.75" customHeight="1" s="169">
      <c r="A128" s="22" t="n">
        <v>328000173</v>
      </c>
      <c r="B128" s="22" t="inlineStr">
        <is>
          <t>RIFQI FADIILAH</t>
        </is>
      </c>
      <c r="C128" s="22" t="inlineStr">
        <is>
          <t>NON STAFF</t>
        </is>
      </c>
      <c r="D128" s="22" t="inlineStr">
        <is>
          <t>PROD</t>
        </is>
      </c>
      <c r="E128" s="22" t="inlineStr">
        <is>
          <t>OPERATOR</t>
        </is>
      </c>
      <c r="F128" s="13" t="inlineStr">
        <is>
          <t>KARYAWAN</t>
        </is>
      </c>
    </row>
    <row r="129" ht="15.75" customHeight="1" s="169">
      <c r="A129" s="22" t="n">
        <v>328000175</v>
      </c>
      <c r="B129" s="22" t="inlineStr">
        <is>
          <t>FADILLAH RAMADHAN</t>
        </is>
      </c>
      <c r="C129" s="22" t="inlineStr">
        <is>
          <t>NON STAFF</t>
        </is>
      </c>
      <c r="D129" s="22" t="inlineStr">
        <is>
          <t>PROD</t>
        </is>
      </c>
      <c r="E129" s="22" t="inlineStr">
        <is>
          <t>OPERATOR</t>
        </is>
      </c>
      <c r="F129" s="13" t="inlineStr">
        <is>
          <t>KARYAWAN</t>
        </is>
      </c>
    </row>
    <row r="130" ht="15.75" customHeight="1" s="169">
      <c r="A130" s="22" t="n">
        <v>328000178</v>
      </c>
      <c r="B130" s="22" t="inlineStr">
        <is>
          <t>BAMBANG ARTIAN HERLAMBANG</t>
        </is>
      </c>
      <c r="C130" s="22" t="inlineStr">
        <is>
          <t>NON STAFF</t>
        </is>
      </c>
      <c r="D130" s="22" t="inlineStr">
        <is>
          <t>PROD</t>
        </is>
      </c>
      <c r="E130" s="22" t="inlineStr">
        <is>
          <t>OPERATOR</t>
        </is>
      </c>
      <c r="F130" s="13" t="inlineStr">
        <is>
          <t>KARYAWAN</t>
        </is>
      </c>
    </row>
    <row r="131" ht="15.75" customHeight="1" s="169">
      <c r="A131" s="22" t="n">
        <v>328000179</v>
      </c>
      <c r="B131" s="22" t="inlineStr">
        <is>
          <t>MUHAMMAD NOFALDI RADHITIA</t>
        </is>
      </c>
      <c r="C131" s="22" t="inlineStr">
        <is>
          <t>NON STAFF</t>
        </is>
      </c>
      <c r="D131" s="22" t="inlineStr">
        <is>
          <t>PROD</t>
        </is>
      </c>
      <c r="E131" s="22" t="inlineStr">
        <is>
          <t>OPERATOR</t>
        </is>
      </c>
      <c r="F131" s="13" t="inlineStr">
        <is>
          <t>KARYAWAN</t>
        </is>
      </c>
    </row>
    <row r="132" ht="15.75" customHeight="1" s="169">
      <c r="A132" s="22" t="n">
        <v>328000180</v>
      </c>
      <c r="B132" s="22" t="inlineStr">
        <is>
          <t>OKTAVIO KUSUMA</t>
        </is>
      </c>
      <c r="C132" s="22" t="inlineStr">
        <is>
          <t>NON STAFF</t>
        </is>
      </c>
      <c r="D132" s="22" t="inlineStr">
        <is>
          <t>PROD</t>
        </is>
      </c>
      <c r="E132" s="22" t="inlineStr">
        <is>
          <t>OPERATOR</t>
        </is>
      </c>
      <c r="F132" s="13" t="inlineStr">
        <is>
          <t>KARYAWAN</t>
        </is>
      </c>
    </row>
    <row r="133" ht="15.75" customHeight="1" s="169">
      <c r="A133" s="22" t="n">
        <v>328000185</v>
      </c>
      <c r="B133" s="22" t="inlineStr">
        <is>
          <t>FAJAR NURSYAMSI</t>
        </is>
      </c>
      <c r="C133" s="22" t="inlineStr">
        <is>
          <t>NON STAFF</t>
        </is>
      </c>
      <c r="D133" s="22" t="inlineStr">
        <is>
          <t>PROD</t>
        </is>
      </c>
      <c r="E133" s="22" t="inlineStr">
        <is>
          <t>OPERATOR</t>
        </is>
      </c>
      <c r="F133" s="13" t="inlineStr">
        <is>
          <t>KARYAWAN</t>
        </is>
      </c>
    </row>
    <row r="134" ht="15.75" customHeight="1" s="169">
      <c r="A134" s="22" t="n">
        <v>328000191</v>
      </c>
      <c r="B134" s="22" t="inlineStr">
        <is>
          <t>MIRANTI AZAHRA</t>
        </is>
      </c>
      <c r="C134" s="22" t="inlineStr">
        <is>
          <t>NON STAFF</t>
        </is>
      </c>
      <c r="D134" s="22" t="inlineStr">
        <is>
          <t>PROD</t>
        </is>
      </c>
      <c r="E134" s="22" t="inlineStr">
        <is>
          <t>PACKER</t>
        </is>
      </c>
      <c r="F134" s="13" t="inlineStr">
        <is>
          <t>KARYAWAN</t>
        </is>
      </c>
    </row>
    <row r="135" ht="15.75" customHeight="1" s="169">
      <c r="A135" s="22" t="n">
        <v>328000197</v>
      </c>
      <c r="B135" s="22" t="inlineStr">
        <is>
          <t>TINI IRNAWATI</t>
        </is>
      </c>
      <c r="C135" s="22" t="inlineStr">
        <is>
          <t>NON STAFF</t>
        </is>
      </c>
      <c r="D135" s="22" t="inlineStr">
        <is>
          <t>QRD</t>
        </is>
      </c>
      <c r="E135" s="22" t="inlineStr">
        <is>
          <t>QC PRODUKSI</t>
        </is>
      </c>
      <c r="F135" s="13" t="inlineStr">
        <is>
          <t>KARYAWAN</t>
        </is>
      </c>
    </row>
    <row r="136" ht="15.75" customHeight="1" s="169">
      <c r="A136" s="22" t="n">
        <v>328000200</v>
      </c>
      <c r="B136" s="22" t="inlineStr">
        <is>
          <t>CITRA AMEYLIA</t>
        </is>
      </c>
      <c r="C136" s="22" t="inlineStr">
        <is>
          <t>NON STAFF</t>
        </is>
      </c>
      <c r="D136" s="22" t="inlineStr">
        <is>
          <t>PROD</t>
        </is>
      </c>
      <c r="E136" s="22" t="inlineStr">
        <is>
          <t>PACKER</t>
        </is>
      </c>
      <c r="F136" s="13" t="inlineStr">
        <is>
          <t>KARYAWAN</t>
        </is>
      </c>
    </row>
    <row r="137" ht="15.75" customHeight="1" s="169">
      <c r="A137" s="22" t="n">
        <v>328000201</v>
      </c>
      <c r="B137" s="22" t="inlineStr">
        <is>
          <t>SITI ANNISA MAULINA</t>
        </is>
      </c>
      <c r="C137" s="22" t="inlineStr">
        <is>
          <t>NON STAFF</t>
        </is>
      </c>
      <c r="D137" s="22" t="inlineStr">
        <is>
          <t>PROD</t>
        </is>
      </c>
      <c r="E137" s="22" t="inlineStr">
        <is>
          <t>PACKER</t>
        </is>
      </c>
      <c r="F137" s="13" t="inlineStr">
        <is>
          <t>KARYAWAN</t>
        </is>
      </c>
    </row>
    <row r="138" ht="15.75" customHeight="1" s="169">
      <c r="A138" s="22" t="n">
        <v>328000207</v>
      </c>
      <c r="B138" s="22" t="inlineStr">
        <is>
          <t>MUHAMMAD ALVIANSYAH ZULFIKAR</t>
        </is>
      </c>
      <c r="C138" s="22" t="inlineStr">
        <is>
          <t>NON STAFF</t>
        </is>
      </c>
      <c r="D138" s="22" t="inlineStr">
        <is>
          <t>PROD</t>
        </is>
      </c>
      <c r="E138" s="22" t="inlineStr">
        <is>
          <t>OPERATOR</t>
        </is>
      </c>
      <c r="F138" s="13" t="inlineStr">
        <is>
          <t>KARYAWAN</t>
        </is>
      </c>
    </row>
    <row r="139" ht="15.75" customHeight="1" s="169">
      <c r="A139" s="22" t="n">
        <v>328000216</v>
      </c>
      <c r="B139" s="22" t="inlineStr">
        <is>
          <t>MUHAMAD ADAM YANUAR</t>
        </is>
      </c>
      <c r="C139" s="22" t="inlineStr">
        <is>
          <t>NON STAFF</t>
        </is>
      </c>
      <c r="D139" s="22" t="inlineStr">
        <is>
          <t>ENG</t>
        </is>
      </c>
      <c r="E139" s="22" t="inlineStr">
        <is>
          <t>ENGINEERING ADMIN</t>
        </is>
      </c>
      <c r="F139" s="13" t="inlineStr">
        <is>
          <t>KARYAWAN</t>
        </is>
      </c>
    </row>
    <row r="140" ht="15.75" customHeight="1" s="169">
      <c r="A140" s="22" t="n">
        <v>328000219</v>
      </c>
      <c r="B140" s="22" t="inlineStr">
        <is>
          <t>WINDY MEILANI</t>
        </is>
      </c>
      <c r="C140" s="22" t="inlineStr">
        <is>
          <t>NON STAFF</t>
        </is>
      </c>
      <c r="D140" s="22" t="inlineStr">
        <is>
          <t>PROD</t>
        </is>
      </c>
      <c r="E140" s="22" t="inlineStr">
        <is>
          <t>PACKER</t>
        </is>
      </c>
      <c r="F140" s="13" t="inlineStr">
        <is>
          <t>KARYAWAN</t>
        </is>
      </c>
    </row>
    <row r="141" ht="15.75" customHeight="1" s="169">
      <c r="A141" s="22" t="n">
        <v>328000225</v>
      </c>
      <c r="B141" s="22" t="inlineStr">
        <is>
          <t>MUHAMAD RIZAL</t>
        </is>
      </c>
      <c r="C141" s="22" t="inlineStr">
        <is>
          <t>NON STAFF</t>
        </is>
      </c>
      <c r="D141" s="22" t="inlineStr">
        <is>
          <t>PROD</t>
        </is>
      </c>
      <c r="E141" s="22" t="inlineStr">
        <is>
          <t>OPERATOR</t>
        </is>
      </c>
      <c r="F141" s="13" t="inlineStr">
        <is>
          <t>KARYAWAN</t>
        </is>
      </c>
    </row>
    <row r="142" ht="15.75" customHeight="1" s="169">
      <c r="A142" s="22" t="n">
        <v>328000226</v>
      </c>
      <c r="B142" s="22" t="inlineStr">
        <is>
          <t>PAISYAL ZULFAZILA IBRAHIM</t>
        </is>
      </c>
      <c r="C142" s="22" t="inlineStr">
        <is>
          <t>NON STAFF</t>
        </is>
      </c>
      <c r="D142" s="22" t="inlineStr">
        <is>
          <t>QRD</t>
        </is>
      </c>
      <c r="E142" s="22" t="inlineStr">
        <is>
          <t>QC INCOMING</t>
        </is>
      </c>
      <c r="F142" s="13" t="inlineStr">
        <is>
          <t>KARYAWAN</t>
        </is>
      </c>
    </row>
    <row r="143" ht="15.75" customHeight="1" s="169">
      <c r="A143" s="22" t="n">
        <v>328000228</v>
      </c>
      <c r="B143" s="22" t="inlineStr">
        <is>
          <t>JULIANTORO SONJAYA</t>
        </is>
      </c>
      <c r="C143" s="22" t="inlineStr">
        <is>
          <t>NON STAFF</t>
        </is>
      </c>
      <c r="D143" s="22" t="inlineStr">
        <is>
          <t>PROD</t>
        </is>
      </c>
      <c r="E143" s="22" t="inlineStr">
        <is>
          <t>OPERATOR</t>
        </is>
      </c>
      <c r="F143" s="13" t="inlineStr">
        <is>
          <t>KARYAWAN</t>
        </is>
      </c>
    </row>
    <row r="144" ht="15.75" customHeight="1" s="169">
      <c r="A144" s="22" t="n">
        <v>328000230</v>
      </c>
      <c r="B144" s="22" t="inlineStr">
        <is>
          <t>MUHAMAD AKBAR FAUZAN</t>
        </is>
      </c>
      <c r="C144" s="22" t="inlineStr">
        <is>
          <t>NON STAFF</t>
        </is>
      </c>
      <c r="D144" s="22" t="inlineStr">
        <is>
          <t>PROD</t>
        </is>
      </c>
      <c r="E144" s="22" t="inlineStr">
        <is>
          <t>TSP</t>
        </is>
      </c>
      <c r="F144" s="13" t="inlineStr">
        <is>
          <t>KARYAWAN</t>
        </is>
      </c>
    </row>
    <row r="145" ht="15.75" customHeight="1" s="169">
      <c r="A145" s="22" t="n">
        <v>328000231</v>
      </c>
      <c r="B145" s="22" t="inlineStr">
        <is>
          <t>MARA MAULANA</t>
        </is>
      </c>
      <c r="C145" s="22" t="inlineStr">
        <is>
          <t>NON STAFF</t>
        </is>
      </c>
      <c r="D145" s="22" t="inlineStr">
        <is>
          <t>PROD</t>
        </is>
      </c>
      <c r="E145" s="22" t="inlineStr">
        <is>
          <t>PACKER</t>
        </is>
      </c>
      <c r="F145" s="13" t="inlineStr">
        <is>
          <t>KARYAWAN</t>
        </is>
      </c>
    </row>
    <row r="146" ht="15.75" customHeight="1" s="169">
      <c r="A146" s="22" t="n">
        <v>328000233</v>
      </c>
      <c r="B146" s="22" t="inlineStr">
        <is>
          <t>YULIA NINGSIH</t>
        </is>
      </c>
      <c r="C146" s="22" t="inlineStr">
        <is>
          <t>NON STAFF</t>
        </is>
      </c>
      <c r="D146" s="22" t="inlineStr">
        <is>
          <t>QRD</t>
        </is>
      </c>
      <c r="E146" s="22" t="inlineStr">
        <is>
          <t>QC PRODUKSI</t>
        </is>
      </c>
      <c r="F146" s="13" t="inlineStr">
        <is>
          <t>KARYAWAN</t>
        </is>
      </c>
    </row>
    <row r="147" ht="15.75" customHeight="1" s="169">
      <c r="A147" s="22" t="n">
        <v>328000235</v>
      </c>
      <c r="B147" s="22" t="inlineStr">
        <is>
          <t>ROSALIA PUTRI</t>
        </is>
      </c>
      <c r="C147" s="22" t="inlineStr">
        <is>
          <t>NON STAFF</t>
        </is>
      </c>
      <c r="D147" s="22" t="inlineStr">
        <is>
          <t>QRD</t>
        </is>
      </c>
      <c r="E147" s="22" t="inlineStr">
        <is>
          <t>QC PRODUKSI</t>
        </is>
      </c>
      <c r="F147" s="13" t="inlineStr">
        <is>
          <t>KARYAWAN</t>
        </is>
      </c>
    </row>
    <row r="148" ht="15.75" customHeight="1" s="169">
      <c r="A148" s="22" t="n">
        <v>328000237</v>
      </c>
      <c r="B148" s="22" t="inlineStr">
        <is>
          <t>MUHAMAD GAMAN</t>
        </is>
      </c>
      <c r="C148" s="22" t="inlineStr">
        <is>
          <t>NON STAFF</t>
        </is>
      </c>
      <c r="D148" s="22" t="inlineStr">
        <is>
          <t>LOG</t>
        </is>
      </c>
      <c r="E148" s="22" t="inlineStr">
        <is>
          <t>OPERATOR FORKLIFT</t>
        </is>
      </c>
      <c r="F148" s="13" t="inlineStr">
        <is>
          <t>KARYAWAN</t>
        </is>
      </c>
    </row>
    <row r="149" ht="15.75" customHeight="1" s="169">
      <c r="A149" s="22" t="n">
        <v>328000240</v>
      </c>
      <c r="B149" s="22" t="inlineStr">
        <is>
          <t>RAHAJENG TRI NUGRAENI</t>
        </is>
      </c>
      <c r="C149" s="22" t="inlineStr">
        <is>
          <t>NON STAFF</t>
        </is>
      </c>
      <c r="D149" s="22" t="inlineStr">
        <is>
          <t>PROD</t>
        </is>
      </c>
      <c r="E149" s="22" t="inlineStr">
        <is>
          <t>PACKER</t>
        </is>
      </c>
      <c r="F149" s="13" t="inlineStr">
        <is>
          <t>KARYAWAN</t>
        </is>
      </c>
    </row>
    <row r="150" ht="15.75" customHeight="1" s="169">
      <c r="A150" s="22" t="n">
        <v>328000246</v>
      </c>
      <c r="B150" s="22" t="inlineStr">
        <is>
          <t>DWI FITRIANI</t>
        </is>
      </c>
      <c r="C150" s="22" t="inlineStr">
        <is>
          <t>NON STAFF</t>
        </is>
      </c>
      <c r="D150" s="22" t="inlineStr">
        <is>
          <t>PROD</t>
        </is>
      </c>
      <c r="E150" s="22" t="inlineStr">
        <is>
          <t>PACKER</t>
        </is>
      </c>
      <c r="F150" s="13" t="inlineStr">
        <is>
          <t>KARYAWAN</t>
        </is>
      </c>
    </row>
    <row r="151" ht="15.75" customHeight="1" s="169">
      <c r="A151" s="22" t="n">
        <v>328000251</v>
      </c>
      <c r="B151" s="22" t="inlineStr">
        <is>
          <t>DEDE SAMAN NURSAMSI</t>
        </is>
      </c>
      <c r="C151" s="22" t="inlineStr">
        <is>
          <t>NON STAFF</t>
        </is>
      </c>
      <c r="D151" s="22" t="inlineStr">
        <is>
          <t>LOG</t>
        </is>
      </c>
      <c r="E151" s="22" t="inlineStr">
        <is>
          <t>CHECKER</t>
        </is>
      </c>
      <c r="F151" s="13" t="inlineStr">
        <is>
          <t>KARYAWAN</t>
        </is>
      </c>
    </row>
    <row r="152" ht="15.75" customHeight="1" s="169">
      <c r="A152" s="22" t="n">
        <v>328000253</v>
      </c>
      <c r="B152" s="22" t="inlineStr">
        <is>
          <t>DONI SUBHADA</t>
        </is>
      </c>
      <c r="C152" s="22" t="inlineStr">
        <is>
          <t>NON STAFF</t>
        </is>
      </c>
      <c r="D152" s="22" t="inlineStr">
        <is>
          <t>PROD</t>
        </is>
      </c>
      <c r="E152" s="22" t="inlineStr">
        <is>
          <t>OPERATOR</t>
        </is>
      </c>
      <c r="F152" s="13" t="inlineStr">
        <is>
          <t>KARYAWAN</t>
        </is>
      </c>
    </row>
    <row r="153" ht="15.75" customHeight="1" s="169">
      <c r="A153" s="22" t="n">
        <v>328000254</v>
      </c>
      <c r="B153" s="22" t="inlineStr">
        <is>
          <t>ARI MUHAMAD RIDWAN</t>
        </is>
      </c>
      <c r="C153" s="22" t="inlineStr">
        <is>
          <t>NON STAFF</t>
        </is>
      </c>
      <c r="D153" s="22" t="inlineStr">
        <is>
          <t>LOG</t>
        </is>
      </c>
      <c r="E153" s="22" t="inlineStr">
        <is>
          <t>OPERATOR FORKLIFT</t>
        </is>
      </c>
      <c r="F153" s="13" t="inlineStr">
        <is>
          <t>KARYAWAN</t>
        </is>
      </c>
    </row>
    <row r="154" ht="15.75" customHeight="1" s="169">
      <c r="A154" s="22" t="n">
        <v>328000255</v>
      </c>
      <c r="B154" s="22" t="inlineStr">
        <is>
          <t>FAHRI</t>
        </is>
      </c>
      <c r="C154" s="22" t="inlineStr">
        <is>
          <t>NON STAFF</t>
        </is>
      </c>
      <c r="D154" s="22" t="inlineStr">
        <is>
          <t>PROD</t>
        </is>
      </c>
      <c r="E154" s="22" t="inlineStr">
        <is>
          <t>OPERATOR</t>
        </is>
      </c>
      <c r="F154" s="13" t="inlineStr">
        <is>
          <t>KARYAWAN</t>
        </is>
      </c>
    </row>
    <row r="155" ht="15.75" customHeight="1" s="169">
      <c r="A155" s="22" t="n">
        <v>328000256</v>
      </c>
      <c r="B155" s="22" t="inlineStr">
        <is>
          <t>MIFTAHUS SALAM</t>
        </is>
      </c>
      <c r="C155" s="22" t="inlineStr">
        <is>
          <t>NON STAFF</t>
        </is>
      </c>
      <c r="D155" s="22" t="inlineStr">
        <is>
          <t>LOG</t>
        </is>
      </c>
      <c r="E155" s="22" t="inlineStr">
        <is>
          <t>OPERATOR FORKLIFT</t>
        </is>
      </c>
      <c r="F155" s="13" t="inlineStr">
        <is>
          <t>KARYAWAN</t>
        </is>
      </c>
    </row>
    <row r="156" ht="15.75" customHeight="1" s="169">
      <c r="A156" s="22" t="n">
        <v>328000257</v>
      </c>
      <c r="B156" s="22" t="inlineStr">
        <is>
          <t>AGUNG BAGASKARA</t>
        </is>
      </c>
      <c r="C156" s="22" t="inlineStr">
        <is>
          <t>NON STAFF</t>
        </is>
      </c>
      <c r="D156" s="22" t="inlineStr">
        <is>
          <t>LOG</t>
        </is>
      </c>
      <c r="E156" s="22" t="inlineStr">
        <is>
          <t>OPERATOR FORKLIFT</t>
        </is>
      </c>
      <c r="F156" s="13" t="inlineStr">
        <is>
          <t>KARYAWAN</t>
        </is>
      </c>
    </row>
    <row r="157" ht="15.75" customHeight="1" s="169">
      <c r="A157" s="22" t="n">
        <v>328000260</v>
      </c>
      <c r="B157" s="22" t="inlineStr">
        <is>
          <t>ALI RAMDHAN</t>
        </is>
      </c>
      <c r="C157" s="22" t="inlineStr">
        <is>
          <t>NON STAFF</t>
        </is>
      </c>
      <c r="D157" s="22" t="inlineStr">
        <is>
          <t>PROD</t>
        </is>
      </c>
      <c r="E157" s="22" t="inlineStr">
        <is>
          <t>OPERATOR</t>
        </is>
      </c>
      <c r="F157" s="13" t="inlineStr">
        <is>
          <t>KARYAWAN</t>
        </is>
      </c>
    </row>
    <row r="158" ht="15.75" customHeight="1" s="169">
      <c r="A158" s="22" t="n">
        <v>328000261</v>
      </c>
      <c r="B158" s="22" t="inlineStr">
        <is>
          <t>ARANIKITA BERU SIBIRO</t>
        </is>
      </c>
      <c r="C158" s="22" t="inlineStr">
        <is>
          <t>NON STAFF</t>
        </is>
      </c>
      <c r="D158" s="22" t="inlineStr">
        <is>
          <t>LOG</t>
        </is>
      </c>
      <c r="E158" s="22" t="inlineStr">
        <is>
          <t>ADMIN EKSPEDISI</t>
        </is>
      </c>
      <c r="F158" s="13" t="inlineStr">
        <is>
          <t>KARYAWAN</t>
        </is>
      </c>
    </row>
    <row r="159" ht="15.75" customHeight="1" s="169">
      <c r="A159" s="22" t="n">
        <v>328000262</v>
      </c>
      <c r="B159" s="22" t="inlineStr">
        <is>
          <t>JUJUN JUNAEDI</t>
        </is>
      </c>
      <c r="C159" s="22" t="inlineStr">
        <is>
          <t>NON STAFF</t>
        </is>
      </c>
      <c r="D159" s="22" t="inlineStr">
        <is>
          <t>LOG</t>
        </is>
      </c>
      <c r="E159" s="22" t="inlineStr">
        <is>
          <t>OPERATOR FORKLIFT</t>
        </is>
      </c>
      <c r="F159" s="13" t="inlineStr">
        <is>
          <t>KARYAWAN</t>
        </is>
      </c>
    </row>
    <row r="160" ht="15.75" customHeight="1" s="169">
      <c r="A160" s="22" t="n">
        <v>328000263</v>
      </c>
      <c r="B160" s="22" t="inlineStr">
        <is>
          <t>MAGIE MAGHFIRA</t>
        </is>
      </c>
      <c r="C160" s="22" t="inlineStr">
        <is>
          <t>NON STAFF</t>
        </is>
      </c>
      <c r="D160" s="22" t="inlineStr">
        <is>
          <t>LOG</t>
        </is>
      </c>
      <c r="E160" s="22" t="inlineStr">
        <is>
          <t>ADMIN WFG</t>
        </is>
      </c>
      <c r="F160" s="13" t="inlineStr">
        <is>
          <t>KARYAWAN</t>
        </is>
      </c>
    </row>
    <row r="161" ht="15.75" customHeight="1" s="169">
      <c r="A161" s="22" t="n">
        <v>328000265</v>
      </c>
      <c r="B161" s="22" t="inlineStr">
        <is>
          <t>NELSON MANDELA</t>
        </is>
      </c>
      <c r="C161" s="22" t="inlineStr">
        <is>
          <t>NON STAFF</t>
        </is>
      </c>
      <c r="D161" s="22" t="inlineStr">
        <is>
          <t>ENG</t>
        </is>
      </c>
      <c r="E161" s="22" t="inlineStr">
        <is>
          <t>UTILITY, ELECTRICITY &amp; MHE MAINTENANCE</t>
        </is>
      </c>
      <c r="F161" s="13" t="inlineStr">
        <is>
          <t>KARYAWAN</t>
        </is>
      </c>
    </row>
    <row r="162" ht="15.75" customHeight="1" s="169">
      <c r="A162" s="22" t="n">
        <v>328000271</v>
      </c>
      <c r="B162" s="22" t="inlineStr">
        <is>
          <t>NURYANA</t>
        </is>
      </c>
      <c r="C162" s="22" t="inlineStr">
        <is>
          <t>NON STAFF</t>
        </is>
      </c>
      <c r="D162" s="22" t="inlineStr">
        <is>
          <t>LOG</t>
        </is>
      </c>
      <c r="E162" s="22" t="inlineStr">
        <is>
          <t>OPERATOR FORKLIFT</t>
        </is>
      </c>
      <c r="F162" s="13" t="inlineStr">
        <is>
          <t>KARYAWAN</t>
        </is>
      </c>
    </row>
    <row r="163" ht="15.75" customHeight="1" s="169">
      <c r="A163" s="22" t="n">
        <v>328000273</v>
      </c>
      <c r="B163" s="22" t="inlineStr">
        <is>
          <t>RAMDANI</t>
        </is>
      </c>
      <c r="C163" s="22" t="inlineStr">
        <is>
          <t>NON STAFF</t>
        </is>
      </c>
      <c r="D163" s="22" t="inlineStr">
        <is>
          <t>PROD</t>
        </is>
      </c>
      <c r="E163" s="22" t="inlineStr">
        <is>
          <t>PACKER</t>
        </is>
      </c>
      <c r="F163" s="13" t="inlineStr">
        <is>
          <t>KARYAWAN</t>
        </is>
      </c>
    </row>
    <row r="164" ht="15.75" customHeight="1" s="169">
      <c r="A164" s="22" t="n">
        <v>328000277</v>
      </c>
      <c r="B164" s="22" t="inlineStr">
        <is>
          <t>ERNA SUSNENTI</t>
        </is>
      </c>
      <c r="C164" s="22" t="inlineStr">
        <is>
          <t>NON STAFF</t>
        </is>
      </c>
      <c r="D164" s="22" t="inlineStr">
        <is>
          <t>PROD</t>
        </is>
      </c>
      <c r="E164" s="22" t="inlineStr">
        <is>
          <t>RF</t>
        </is>
      </c>
      <c r="F164" s="13" t="inlineStr">
        <is>
          <t>KARYAWAN</t>
        </is>
      </c>
    </row>
    <row r="165" ht="15.75" customHeight="1" s="169">
      <c r="A165" s="22" t="n">
        <v>328000278</v>
      </c>
      <c r="B165" s="22" t="inlineStr">
        <is>
          <t>VERA NATASYA PUTRI</t>
        </is>
      </c>
      <c r="C165" s="22" t="inlineStr">
        <is>
          <t>NON STAFF</t>
        </is>
      </c>
      <c r="D165" s="22" t="inlineStr">
        <is>
          <t>PROD</t>
        </is>
      </c>
      <c r="E165" s="22" t="inlineStr">
        <is>
          <t>PACKER</t>
        </is>
      </c>
      <c r="F165" s="13" t="inlineStr">
        <is>
          <t>KARYAWAN</t>
        </is>
      </c>
    </row>
    <row r="166" ht="15.75" customHeight="1" s="169">
      <c r="A166" s="22" t="n">
        <v>328000281</v>
      </c>
      <c r="B166" s="22" t="inlineStr">
        <is>
          <t>MEGA OCTAVIANTA</t>
        </is>
      </c>
      <c r="C166" s="22" t="inlineStr">
        <is>
          <t>NON STAFF</t>
        </is>
      </c>
      <c r="D166" s="22" t="inlineStr">
        <is>
          <t>PROD</t>
        </is>
      </c>
      <c r="E166" s="22" t="inlineStr">
        <is>
          <t>RF</t>
        </is>
      </c>
      <c r="F166" s="13" t="inlineStr">
        <is>
          <t>KARYAWAN</t>
        </is>
      </c>
    </row>
    <row r="167" ht="15.75" customHeight="1" s="169">
      <c r="A167" s="22" t="n">
        <v>328000283</v>
      </c>
      <c r="B167" s="22" t="inlineStr">
        <is>
          <t>TAUFIK MUSTOPA</t>
        </is>
      </c>
      <c r="C167" s="22" t="inlineStr">
        <is>
          <t>NON STAFF</t>
        </is>
      </c>
      <c r="D167" s="22" t="inlineStr">
        <is>
          <t>ENG</t>
        </is>
      </c>
      <c r="E167" s="22" t="inlineStr">
        <is>
          <t>EHS SUPPORT</t>
        </is>
      </c>
      <c r="F167" s="13" t="inlineStr">
        <is>
          <t>KARYAWAN</t>
        </is>
      </c>
    </row>
    <row r="168" ht="15.75" customHeight="1" s="169">
      <c r="A168" s="22" t="n">
        <v>328000285</v>
      </c>
      <c r="B168" s="22" t="inlineStr">
        <is>
          <t>M. YOGA PAMUNGKAS</t>
        </is>
      </c>
      <c r="C168" s="22" t="inlineStr">
        <is>
          <t>NON STAFF</t>
        </is>
      </c>
      <c r="D168" s="22" t="inlineStr">
        <is>
          <t>PROD</t>
        </is>
      </c>
      <c r="E168" s="22" t="inlineStr">
        <is>
          <t>OPERATOR</t>
        </is>
      </c>
      <c r="F168" s="13" t="inlineStr">
        <is>
          <t>KARYAWAN</t>
        </is>
      </c>
    </row>
    <row r="169" ht="15.75" customHeight="1" s="169">
      <c r="A169" s="22" t="n">
        <v>328000287</v>
      </c>
      <c r="B169" s="22" t="inlineStr">
        <is>
          <t>FIRDA AINUN RAHMANNISA</t>
        </is>
      </c>
      <c r="C169" s="22" t="inlineStr">
        <is>
          <t>NON STAFF</t>
        </is>
      </c>
      <c r="D169" s="22" t="inlineStr">
        <is>
          <t>ENG</t>
        </is>
      </c>
      <c r="E169" s="22" t="inlineStr">
        <is>
          <t>ENGINEERING ADMIN</t>
        </is>
      </c>
      <c r="F169" s="13" t="inlineStr">
        <is>
          <t>KARYAWAN</t>
        </is>
      </c>
    </row>
    <row r="170" ht="15.75" customHeight="1" s="169">
      <c r="A170" s="22" t="n">
        <v>328000288</v>
      </c>
      <c r="B170" s="22" t="inlineStr">
        <is>
          <t>ANDIKA AL AQBAR</t>
        </is>
      </c>
      <c r="C170" s="22" t="inlineStr">
        <is>
          <t>NON STAFF</t>
        </is>
      </c>
      <c r="D170" s="22" t="inlineStr">
        <is>
          <t>PROD</t>
        </is>
      </c>
      <c r="E170" s="22" t="inlineStr">
        <is>
          <t>OPERATOR</t>
        </is>
      </c>
      <c r="F170" s="13" t="inlineStr">
        <is>
          <t>KARYAWAN</t>
        </is>
      </c>
    </row>
    <row r="171" ht="15.75" customHeight="1" s="169">
      <c r="A171" s="22" t="n">
        <v>328000289</v>
      </c>
      <c r="B171" s="22" t="inlineStr">
        <is>
          <t>KARYA</t>
        </is>
      </c>
      <c r="C171" s="22" t="inlineStr">
        <is>
          <t>NON STAFF</t>
        </is>
      </c>
      <c r="D171" s="22" t="inlineStr">
        <is>
          <t>PROD</t>
        </is>
      </c>
      <c r="E171" s="22" t="inlineStr">
        <is>
          <t>PACKER</t>
        </is>
      </c>
      <c r="F171" s="13" t="inlineStr">
        <is>
          <t>KARYAWAN</t>
        </is>
      </c>
    </row>
    <row r="172" ht="15.75" customHeight="1" s="169">
      <c r="A172" s="22" t="n">
        <v>328000291</v>
      </c>
      <c r="B172" s="22" t="inlineStr">
        <is>
          <t>R. ANISA DWI FEBRIANA</t>
        </is>
      </c>
      <c r="C172" s="22" t="inlineStr">
        <is>
          <t>NON STAFF</t>
        </is>
      </c>
      <c r="D172" s="22" t="inlineStr">
        <is>
          <t>PROD</t>
        </is>
      </c>
      <c r="E172" s="22" t="inlineStr">
        <is>
          <t>PACKER</t>
        </is>
      </c>
      <c r="F172" s="13" t="inlineStr">
        <is>
          <t>KARYAWAN</t>
        </is>
      </c>
    </row>
    <row r="173" ht="15.75" customHeight="1" s="169">
      <c r="A173" s="22" t="n">
        <v>328000294</v>
      </c>
      <c r="B173" s="22" t="inlineStr">
        <is>
          <t>BAMBANG IRAWAN</t>
        </is>
      </c>
      <c r="C173" s="22" t="inlineStr">
        <is>
          <t>NON STAFF</t>
        </is>
      </c>
      <c r="D173" s="22" t="inlineStr">
        <is>
          <t>PROD</t>
        </is>
      </c>
      <c r="E173" s="22" t="inlineStr">
        <is>
          <t>OPERATOR</t>
        </is>
      </c>
      <c r="F173" s="13" t="inlineStr">
        <is>
          <t>KARYAWAN</t>
        </is>
      </c>
    </row>
    <row r="174" ht="15.75" customHeight="1" s="169">
      <c r="A174" s="22" t="n">
        <v>328000296</v>
      </c>
      <c r="B174" s="22" t="inlineStr">
        <is>
          <t>RAHMA INDIRA AZHARA</t>
        </is>
      </c>
      <c r="C174" s="22" t="inlineStr">
        <is>
          <t>NON STAFF</t>
        </is>
      </c>
      <c r="D174" s="22" t="inlineStr">
        <is>
          <t>PROD</t>
        </is>
      </c>
      <c r="E174" s="22" t="inlineStr">
        <is>
          <t>PACKER</t>
        </is>
      </c>
      <c r="F174" s="13" t="inlineStr">
        <is>
          <t>KARYAWAN</t>
        </is>
      </c>
    </row>
    <row r="175" ht="15.75" customHeight="1" s="169">
      <c r="A175" s="22" t="n">
        <v>328000297</v>
      </c>
      <c r="B175" s="22" t="inlineStr">
        <is>
          <t>AMALIATUS SHIDQIA</t>
        </is>
      </c>
      <c r="C175" s="22" t="inlineStr">
        <is>
          <t>NON STAFF</t>
        </is>
      </c>
      <c r="D175" s="22" t="inlineStr">
        <is>
          <t>PROD</t>
        </is>
      </c>
      <c r="E175" s="22" t="inlineStr">
        <is>
          <t>PACKER</t>
        </is>
      </c>
      <c r="F175" s="13" t="inlineStr">
        <is>
          <t>KARYAWAN</t>
        </is>
      </c>
    </row>
    <row r="176" ht="15.75" customHeight="1" s="169">
      <c r="A176" s="22" t="n">
        <v>328000298</v>
      </c>
      <c r="B176" s="22" t="inlineStr">
        <is>
          <t>SILFANNY OKTAVIA WIGUNA</t>
        </is>
      </c>
      <c r="C176" s="22" t="inlineStr">
        <is>
          <t>NON STAFF</t>
        </is>
      </c>
      <c r="D176" s="22" t="inlineStr">
        <is>
          <t>QRD</t>
        </is>
      </c>
      <c r="E176" s="22" t="inlineStr">
        <is>
          <t>QC PRODUKSI</t>
        </is>
      </c>
      <c r="F176" s="13" t="inlineStr">
        <is>
          <t>KARYAWAN</t>
        </is>
      </c>
    </row>
    <row r="177" ht="15.75" customHeight="1" s="169">
      <c r="A177" s="22" t="n">
        <v>328000299</v>
      </c>
      <c r="B177" s="22" t="inlineStr">
        <is>
          <t>RATU THYARA REVA KHARINA</t>
        </is>
      </c>
      <c r="C177" s="22" t="inlineStr">
        <is>
          <t>NON STAFF</t>
        </is>
      </c>
      <c r="D177" s="22" t="inlineStr">
        <is>
          <t>PROD</t>
        </is>
      </c>
      <c r="E177" s="22" t="inlineStr">
        <is>
          <t>PACKER</t>
        </is>
      </c>
      <c r="F177" s="13" t="inlineStr">
        <is>
          <t>KARYAWAN</t>
        </is>
      </c>
    </row>
    <row r="178" ht="15.75" customHeight="1" s="169">
      <c r="A178" s="22" t="n">
        <v>328000300</v>
      </c>
      <c r="B178" s="22" t="inlineStr">
        <is>
          <t>EGA ANGGARA</t>
        </is>
      </c>
      <c r="C178" s="22" t="inlineStr">
        <is>
          <t>NON STAFF</t>
        </is>
      </c>
      <c r="D178" s="22" t="inlineStr">
        <is>
          <t>ENG</t>
        </is>
      </c>
      <c r="E178" s="22" t="inlineStr">
        <is>
          <t>GLUE MACHINE MAINTENANCE</t>
        </is>
      </c>
      <c r="F178" s="13" t="inlineStr">
        <is>
          <t>KARYAWAN</t>
        </is>
      </c>
    </row>
    <row r="179" ht="15.75" customHeight="1" s="169">
      <c r="A179" s="22" t="n">
        <v>328000301</v>
      </c>
      <c r="B179" s="22" t="inlineStr">
        <is>
          <t>CINDY PERMATASARI</t>
        </is>
      </c>
      <c r="C179" s="22" t="inlineStr">
        <is>
          <t>NON STAFF</t>
        </is>
      </c>
      <c r="D179" s="22" t="inlineStr">
        <is>
          <t>LOG</t>
        </is>
      </c>
      <c r="E179" s="22" t="inlineStr">
        <is>
          <t>ADMIN WRM</t>
        </is>
      </c>
      <c r="F179" s="13" t="inlineStr">
        <is>
          <t>KARYAWAN</t>
        </is>
      </c>
    </row>
    <row r="180" ht="15.75" customHeight="1" s="169">
      <c r="A180" s="22" t="n">
        <v>328000302</v>
      </c>
      <c r="B180" s="22" t="inlineStr">
        <is>
          <t>ALFIA NURULLITA</t>
        </is>
      </c>
      <c r="C180" s="22" t="inlineStr">
        <is>
          <t>NON STAFF</t>
        </is>
      </c>
      <c r="D180" s="22" t="inlineStr">
        <is>
          <t>PROD</t>
        </is>
      </c>
      <c r="E180" s="22" t="inlineStr">
        <is>
          <t>PACKER</t>
        </is>
      </c>
      <c r="F180" s="13" t="inlineStr">
        <is>
          <t>KARYAWAN</t>
        </is>
      </c>
    </row>
    <row r="181" ht="15.75" customHeight="1" s="169">
      <c r="A181" s="22" t="n">
        <v>328000303</v>
      </c>
      <c r="B181" s="22" t="inlineStr">
        <is>
          <t>SITI SRI RAHAYU</t>
        </is>
      </c>
      <c r="C181" s="22" t="inlineStr">
        <is>
          <t>NON STAFF</t>
        </is>
      </c>
      <c r="D181" s="22" t="inlineStr">
        <is>
          <t>PROD</t>
        </is>
      </c>
      <c r="E181" s="22" t="inlineStr">
        <is>
          <t>PACKER</t>
        </is>
      </c>
      <c r="F181" s="13" t="inlineStr">
        <is>
          <t>KARYAWAN</t>
        </is>
      </c>
    </row>
    <row r="182" ht="15.75" customHeight="1" s="169">
      <c r="A182" s="22" t="n">
        <v>328000305</v>
      </c>
      <c r="B182" s="22" t="inlineStr">
        <is>
          <t>SURYANI SIHITE</t>
        </is>
      </c>
      <c r="C182" s="22" t="inlineStr">
        <is>
          <t>NON STAFF</t>
        </is>
      </c>
      <c r="D182" s="22" t="inlineStr">
        <is>
          <t>QRD</t>
        </is>
      </c>
      <c r="E182" s="22" t="inlineStr">
        <is>
          <t>QC PRODUKSI</t>
        </is>
      </c>
      <c r="F182" s="13" t="inlineStr">
        <is>
          <t>KARYAWAN</t>
        </is>
      </c>
    </row>
    <row r="183" ht="15.75" customHeight="1" s="169">
      <c r="A183" s="22" t="n">
        <v>328000306</v>
      </c>
      <c r="B183" s="22" t="inlineStr">
        <is>
          <t>ALDY BINTANG SYAHPUTRA</t>
        </is>
      </c>
      <c r="C183" s="22" t="inlineStr">
        <is>
          <t>NON STAFF</t>
        </is>
      </c>
      <c r="D183" s="22" t="inlineStr">
        <is>
          <t>QRD</t>
        </is>
      </c>
      <c r="E183" s="22" t="inlineStr">
        <is>
          <t>QC INCOMING</t>
        </is>
      </c>
      <c r="F183" s="13" t="inlineStr">
        <is>
          <t>KARYAWAN</t>
        </is>
      </c>
    </row>
    <row r="184" ht="15.75" customHeight="1" s="169">
      <c r="A184" s="22" t="n">
        <v>328000307</v>
      </c>
      <c r="B184" s="22" t="inlineStr">
        <is>
          <t>OKTI NUR INDAHSARI</t>
        </is>
      </c>
      <c r="C184" s="22" t="inlineStr">
        <is>
          <t>NON STAFF</t>
        </is>
      </c>
      <c r="D184" s="22" t="inlineStr">
        <is>
          <t>QRD</t>
        </is>
      </c>
      <c r="E184" s="22" t="inlineStr">
        <is>
          <t>QC PRODUKSI</t>
        </is>
      </c>
      <c r="F184" s="13" t="inlineStr">
        <is>
          <t>KARYAWAN</t>
        </is>
      </c>
    </row>
    <row r="185" ht="15.75" customHeight="1" s="169">
      <c r="A185" s="22" t="n">
        <v>328000308</v>
      </c>
      <c r="B185" s="22" t="inlineStr">
        <is>
          <t>LIA AULIYA</t>
        </is>
      </c>
      <c r="C185" s="22" t="inlineStr">
        <is>
          <t>NON STAFF</t>
        </is>
      </c>
      <c r="D185" s="22" t="inlineStr">
        <is>
          <t>QRD</t>
        </is>
      </c>
      <c r="E185" s="22" t="inlineStr">
        <is>
          <t>QC LAB</t>
        </is>
      </c>
      <c r="F185" s="13" t="inlineStr">
        <is>
          <t>KARYAWAN</t>
        </is>
      </c>
    </row>
    <row r="186" ht="15.75" customHeight="1" s="169">
      <c r="A186" s="22" t="n">
        <v>328000311</v>
      </c>
      <c r="B186" s="22" t="inlineStr">
        <is>
          <t>ARAS ATH THARIQ</t>
        </is>
      </c>
      <c r="C186" s="22" t="inlineStr">
        <is>
          <t>NON STAFF</t>
        </is>
      </c>
      <c r="D186" s="22" t="inlineStr">
        <is>
          <t>PROD</t>
        </is>
      </c>
      <c r="E186" s="22" t="inlineStr">
        <is>
          <t>PACKER</t>
        </is>
      </c>
      <c r="F186" s="13" t="inlineStr">
        <is>
          <t>KARYAWAN</t>
        </is>
      </c>
    </row>
    <row r="187" ht="15.75" customHeight="1" s="169">
      <c r="A187" s="22" t="n">
        <v>328000312</v>
      </c>
      <c r="B187" s="22" t="inlineStr">
        <is>
          <t>DHEA SRI NURASIH</t>
        </is>
      </c>
      <c r="C187" s="22" t="inlineStr">
        <is>
          <t>NON STAFF</t>
        </is>
      </c>
      <c r="D187" s="22" t="inlineStr">
        <is>
          <t>QRD</t>
        </is>
      </c>
      <c r="E187" s="22" t="inlineStr">
        <is>
          <t>QC LAB</t>
        </is>
      </c>
      <c r="F187" s="13" t="inlineStr">
        <is>
          <t>KARYAWAN</t>
        </is>
      </c>
    </row>
    <row r="188" ht="15.75" customHeight="1" s="169">
      <c r="A188" s="22" t="n">
        <v>328000313</v>
      </c>
      <c r="B188" s="22" t="inlineStr">
        <is>
          <t>SITI NURHASANAH</t>
        </is>
      </c>
      <c r="C188" s="22" t="inlineStr">
        <is>
          <t>NON STAFF</t>
        </is>
      </c>
      <c r="D188" s="22" t="inlineStr">
        <is>
          <t>QRD</t>
        </is>
      </c>
      <c r="E188" s="22" t="inlineStr">
        <is>
          <t>QC LAB</t>
        </is>
      </c>
      <c r="F188" s="13" t="inlineStr">
        <is>
          <t>KARYAWAN</t>
        </is>
      </c>
    </row>
    <row r="189" ht="15.75" customHeight="1" s="169">
      <c r="A189" s="22" t="n">
        <v>328000314</v>
      </c>
      <c r="B189" s="22" t="inlineStr">
        <is>
          <t>LULUT SONIA</t>
        </is>
      </c>
      <c r="C189" s="22" t="inlineStr">
        <is>
          <t>NON STAFF</t>
        </is>
      </c>
      <c r="D189" s="22" t="inlineStr">
        <is>
          <t>QRD</t>
        </is>
      </c>
      <c r="E189" s="22" t="inlineStr">
        <is>
          <t>QC PRODUKSI</t>
        </is>
      </c>
      <c r="F189" s="13" t="inlineStr">
        <is>
          <t>KARYAWAN</t>
        </is>
      </c>
    </row>
    <row r="190" ht="15.75" customHeight="1" s="169">
      <c r="A190" s="22" t="n">
        <v>328000315</v>
      </c>
      <c r="B190" s="22" t="inlineStr">
        <is>
          <t>FIKRI HAIKAL</t>
        </is>
      </c>
      <c r="C190" s="22" t="inlineStr">
        <is>
          <t>NON STAFF</t>
        </is>
      </c>
      <c r="D190" s="22" t="inlineStr">
        <is>
          <t>LOG</t>
        </is>
      </c>
      <c r="E190" s="22" t="inlineStr">
        <is>
          <t>OPERATOR FORKLIFT</t>
        </is>
      </c>
      <c r="F190" s="13" t="inlineStr">
        <is>
          <t>KARYAWAN</t>
        </is>
      </c>
    </row>
    <row r="191" ht="15.75" customHeight="1" s="169">
      <c r="A191" s="22" t="n">
        <v>328000317</v>
      </c>
      <c r="B191" s="22" t="inlineStr">
        <is>
          <t>HADIYONO</t>
        </is>
      </c>
      <c r="C191" s="22" t="inlineStr">
        <is>
          <t>NON STAFF</t>
        </is>
      </c>
      <c r="D191" s="22" t="inlineStr">
        <is>
          <t>ENG</t>
        </is>
      </c>
      <c r="E191" s="22" t="inlineStr">
        <is>
          <t>TECHNICIAN</t>
        </is>
      </c>
      <c r="F191" s="13" t="inlineStr">
        <is>
          <t>KARYAWAN</t>
        </is>
      </c>
    </row>
    <row r="192" ht="15.75" customHeight="1" s="169">
      <c r="A192" s="22" t="n">
        <v>328000318</v>
      </c>
      <c r="B192" s="22" t="inlineStr">
        <is>
          <t>MELIA SALSABILA</t>
        </is>
      </c>
      <c r="C192" s="22" t="inlineStr">
        <is>
          <t>NON STAFF</t>
        </is>
      </c>
      <c r="D192" s="22" t="inlineStr">
        <is>
          <t>HRGA</t>
        </is>
      </c>
      <c r="E192" s="22" t="inlineStr">
        <is>
          <t>ADMIN HR &amp; GA</t>
        </is>
      </c>
      <c r="F192" s="13" t="inlineStr">
        <is>
          <t>KARYAWAN</t>
        </is>
      </c>
    </row>
    <row r="193" ht="15.75" customHeight="1" s="169">
      <c r="A193" s="22" t="n">
        <v>328000319</v>
      </c>
      <c r="B193" s="22" t="inlineStr">
        <is>
          <t>ARI PEBRIANTO</t>
        </is>
      </c>
      <c r="C193" s="22" t="inlineStr">
        <is>
          <t>NON STAFF</t>
        </is>
      </c>
      <c r="D193" s="22" t="inlineStr">
        <is>
          <t>PROD</t>
        </is>
      </c>
      <c r="E193" s="22" t="inlineStr">
        <is>
          <t>OPERATOR</t>
        </is>
      </c>
      <c r="F193" s="13" t="inlineStr">
        <is>
          <t>KARYAWAN</t>
        </is>
      </c>
    </row>
    <row r="194" ht="15.75" customHeight="1" s="169">
      <c r="A194" s="22" t="n">
        <v>328000320</v>
      </c>
      <c r="B194" s="22" t="inlineStr">
        <is>
          <t>ALFAZRI SAMSI ARYA GINANDJAR</t>
        </is>
      </c>
      <c r="C194" s="22" t="inlineStr">
        <is>
          <t>NON STAFF</t>
        </is>
      </c>
      <c r="D194" s="22" t="inlineStr">
        <is>
          <t>PROD</t>
        </is>
      </c>
      <c r="E194" s="22" t="inlineStr">
        <is>
          <t>PACKER</t>
        </is>
      </c>
      <c r="F194" s="13" t="inlineStr">
        <is>
          <t>KARYAWAN</t>
        </is>
      </c>
    </row>
    <row r="195" ht="15.75" customHeight="1" s="169">
      <c r="A195" s="22" t="n">
        <v>328000323</v>
      </c>
      <c r="B195" s="22" t="inlineStr">
        <is>
          <t>MUHAMMAD BAYU TAUFAN</t>
        </is>
      </c>
      <c r="C195" s="22" t="inlineStr">
        <is>
          <t>NON STAFF</t>
        </is>
      </c>
      <c r="D195" s="22" t="inlineStr">
        <is>
          <t>PROD</t>
        </is>
      </c>
      <c r="E195" s="22" t="inlineStr">
        <is>
          <t>OPERATOR</t>
        </is>
      </c>
      <c r="F195" s="13" t="inlineStr">
        <is>
          <t>KARYAWAN</t>
        </is>
      </c>
    </row>
    <row r="196" ht="15.75" customHeight="1" s="169">
      <c r="A196" s="22" t="n">
        <v>328000324</v>
      </c>
      <c r="B196" s="22" t="inlineStr">
        <is>
          <t>ADINDA LAULADIA PUTRI</t>
        </is>
      </c>
      <c r="C196" s="22" t="inlineStr">
        <is>
          <t>NON STAFF</t>
        </is>
      </c>
      <c r="D196" s="22" t="inlineStr">
        <is>
          <t>QRD</t>
        </is>
      </c>
      <c r="E196" s="22" t="inlineStr">
        <is>
          <t>QC LAB</t>
        </is>
      </c>
      <c r="F196" s="13" t="inlineStr">
        <is>
          <t>KARYAWAN</t>
        </is>
      </c>
    </row>
    <row r="197" ht="15.75" customHeight="1" s="169">
      <c r="A197" s="22" t="n">
        <v>328000325</v>
      </c>
      <c r="B197" s="22" t="inlineStr">
        <is>
          <t>MOHAMAD ALDIAWAN</t>
        </is>
      </c>
      <c r="C197" s="22" t="inlineStr">
        <is>
          <t>NON STAFF</t>
        </is>
      </c>
      <c r="D197" s="22" t="inlineStr">
        <is>
          <t>PROD</t>
        </is>
      </c>
      <c r="E197" s="22" t="inlineStr">
        <is>
          <t>PACKER</t>
        </is>
      </c>
      <c r="F197" s="13" t="inlineStr">
        <is>
          <t>KARYAWAN</t>
        </is>
      </c>
    </row>
    <row r="198" ht="15.75" customHeight="1" s="169">
      <c r="A198" s="22" t="n">
        <v>328000326</v>
      </c>
      <c r="B198" s="22" t="inlineStr">
        <is>
          <t>SINTA SELVINA</t>
        </is>
      </c>
      <c r="C198" s="22" t="inlineStr">
        <is>
          <t>NON STAFF</t>
        </is>
      </c>
      <c r="D198" s="22" t="inlineStr">
        <is>
          <t>PROD</t>
        </is>
      </c>
      <c r="E198" s="22" t="inlineStr">
        <is>
          <t>PACKER</t>
        </is>
      </c>
      <c r="F198" s="13" t="inlineStr">
        <is>
          <t>KARYAWAN</t>
        </is>
      </c>
    </row>
    <row r="199" ht="15.75" customHeight="1" s="169">
      <c r="A199" s="22" t="n">
        <v>328000327</v>
      </c>
      <c r="B199" s="22" t="inlineStr">
        <is>
          <t>SYAILA MEISYALUNA</t>
        </is>
      </c>
      <c r="C199" s="22" t="inlineStr">
        <is>
          <t>NON STAFF</t>
        </is>
      </c>
      <c r="D199" s="22" t="inlineStr">
        <is>
          <t>PROD</t>
        </is>
      </c>
      <c r="E199" s="22" t="inlineStr">
        <is>
          <t>PACKER</t>
        </is>
      </c>
      <c r="F199" s="13" t="inlineStr">
        <is>
          <t>KARYAWAN</t>
        </is>
      </c>
    </row>
    <row r="200" ht="15.75" customHeight="1" s="169">
      <c r="A200" s="22" t="n">
        <v>328000328</v>
      </c>
      <c r="B200" s="22" t="inlineStr">
        <is>
          <t>OKTAVIA EKA DAMAYANTI</t>
        </is>
      </c>
      <c r="C200" s="22" t="inlineStr">
        <is>
          <t>NON STAFF</t>
        </is>
      </c>
      <c r="D200" s="22" t="inlineStr">
        <is>
          <t>PROD</t>
        </is>
      </c>
      <c r="E200" s="22" t="inlineStr">
        <is>
          <t>PACKER</t>
        </is>
      </c>
      <c r="F200" s="13" t="inlineStr">
        <is>
          <t>KARYAWAN</t>
        </is>
      </c>
    </row>
    <row r="201" ht="15.75" customHeight="1" s="169">
      <c r="A201" s="22" t="n">
        <v>328000330</v>
      </c>
      <c r="B201" s="22" t="inlineStr">
        <is>
          <t>WENDIKA RIZKI KURNIAWAN</t>
        </is>
      </c>
      <c r="C201" s="22" t="inlineStr">
        <is>
          <t>NON STAFF</t>
        </is>
      </c>
      <c r="D201" s="22" t="inlineStr">
        <is>
          <t>ENG</t>
        </is>
      </c>
      <c r="E201" s="22" t="inlineStr">
        <is>
          <t>SHIFT MAINTENANCE</t>
        </is>
      </c>
      <c r="F201" s="13" t="inlineStr">
        <is>
          <t>KARYAWAN</t>
        </is>
      </c>
    </row>
    <row r="202" ht="15.75" customHeight="1" s="169">
      <c r="A202" s="22" t="n">
        <v>328000331</v>
      </c>
      <c r="B202" s="22" t="inlineStr">
        <is>
          <t>KAMILA AZZAHRA</t>
        </is>
      </c>
      <c r="C202" s="22" t="inlineStr">
        <is>
          <t>NON STAFF</t>
        </is>
      </c>
      <c r="D202" s="22" t="inlineStr">
        <is>
          <t>PROD</t>
        </is>
      </c>
      <c r="E202" s="22" t="inlineStr">
        <is>
          <t>PACKER</t>
        </is>
      </c>
      <c r="F202" s="13" t="inlineStr">
        <is>
          <t>KARYAWAN</t>
        </is>
      </c>
    </row>
    <row r="203" ht="15.75" customHeight="1" s="169">
      <c r="A203" s="22" t="n">
        <v>328000332</v>
      </c>
      <c r="B203" s="22" t="inlineStr">
        <is>
          <t>ANIN HERMAWAN</t>
        </is>
      </c>
      <c r="C203" s="22" t="inlineStr">
        <is>
          <t>NON STAFF</t>
        </is>
      </c>
      <c r="D203" s="22" t="inlineStr">
        <is>
          <t>PROD</t>
        </is>
      </c>
      <c r="E203" s="22" t="inlineStr">
        <is>
          <t>PACKER</t>
        </is>
      </c>
      <c r="F203" s="13" t="inlineStr">
        <is>
          <t>KARYAWAN</t>
        </is>
      </c>
    </row>
    <row r="204" ht="15.75" customHeight="1" s="169">
      <c r="A204" s="22" t="n">
        <v>328000334</v>
      </c>
      <c r="B204" s="22" t="inlineStr">
        <is>
          <t>NANA PURWANTO</t>
        </is>
      </c>
      <c r="C204" s="22" t="inlineStr">
        <is>
          <t>NON STAFF</t>
        </is>
      </c>
      <c r="D204" s="22" t="inlineStr">
        <is>
          <t>PROD</t>
        </is>
      </c>
      <c r="E204" s="22" t="inlineStr">
        <is>
          <t>PACKER</t>
        </is>
      </c>
      <c r="F204" s="13" t="inlineStr">
        <is>
          <t>KARYAWAN</t>
        </is>
      </c>
    </row>
    <row r="205" ht="15.75" customHeight="1" s="169">
      <c r="A205" s="22" t="n">
        <v>328000335</v>
      </c>
      <c r="B205" s="22" t="inlineStr">
        <is>
          <t>MUHAMAD SANDI</t>
        </is>
      </c>
      <c r="C205" s="22" t="inlineStr">
        <is>
          <t>NON STAFF</t>
        </is>
      </c>
      <c r="D205" s="22" t="inlineStr">
        <is>
          <t>PROD</t>
        </is>
      </c>
      <c r="E205" s="22" t="inlineStr">
        <is>
          <t>OPERATOR</t>
        </is>
      </c>
      <c r="F205" s="13" t="inlineStr">
        <is>
          <t>KARYAWAN</t>
        </is>
      </c>
    </row>
    <row r="206" ht="15.75" customHeight="1" s="169">
      <c r="A206" s="22" t="n">
        <v>328000336</v>
      </c>
      <c r="B206" s="22" t="inlineStr">
        <is>
          <t>ANDRI SAPUTRA</t>
        </is>
      </c>
      <c r="C206" s="22" t="inlineStr">
        <is>
          <t>NON STAFF</t>
        </is>
      </c>
      <c r="D206" s="22" t="inlineStr">
        <is>
          <t>PROD</t>
        </is>
      </c>
      <c r="E206" s="22" t="inlineStr">
        <is>
          <t>PACKER</t>
        </is>
      </c>
      <c r="F206" s="13" t="inlineStr">
        <is>
          <t>KARYAWAN</t>
        </is>
      </c>
    </row>
    <row r="207" ht="15.75" customHeight="1" s="169">
      <c r="A207" s="22" t="n">
        <v>328000340</v>
      </c>
      <c r="B207" s="22" t="inlineStr">
        <is>
          <t>IYAN SUPRIYANTO NUGRAHA</t>
        </is>
      </c>
      <c r="C207" s="22" t="inlineStr">
        <is>
          <t>NON STAFF</t>
        </is>
      </c>
      <c r="D207" s="22" t="inlineStr">
        <is>
          <t>ENG</t>
        </is>
      </c>
      <c r="E207" s="22" t="inlineStr">
        <is>
          <t>SHIFT MAINTENANCE</t>
        </is>
      </c>
      <c r="F207" s="13" t="inlineStr">
        <is>
          <t>KARYAWAN</t>
        </is>
      </c>
    </row>
    <row r="208" ht="15.75" customHeight="1" s="169">
      <c r="A208" s="22" t="n">
        <v>328000341</v>
      </c>
      <c r="B208" s="22" t="inlineStr">
        <is>
          <t>RIKI SEPTIADI</t>
        </is>
      </c>
      <c r="C208" s="22" t="inlineStr">
        <is>
          <t>NON STAFF</t>
        </is>
      </c>
      <c r="D208" s="22" t="inlineStr">
        <is>
          <t>PROD</t>
        </is>
      </c>
      <c r="E208" s="22" t="inlineStr">
        <is>
          <t>PACKER</t>
        </is>
      </c>
      <c r="F208" s="13" t="inlineStr">
        <is>
          <t>KARYAWAN</t>
        </is>
      </c>
    </row>
    <row r="209" ht="15.75" customHeight="1" s="169">
      <c r="A209" s="22" t="n">
        <v>328000342</v>
      </c>
      <c r="B209" s="22" t="inlineStr">
        <is>
          <t>FITRI</t>
        </is>
      </c>
      <c r="C209" s="22" t="inlineStr">
        <is>
          <t>NON STAFF</t>
        </is>
      </c>
      <c r="D209" s="22" t="inlineStr">
        <is>
          <t>PROD</t>
        </is>
      </c>
      <c r="E209" s="22" t="inlineStr">
        <is>
          <t>PACKER</t>
        </is>
      </c>
      <c r="F209" s="13" t="inlineStr">
        <is>
          <t>KARYAWAN</t>
        </is>
      </c>
    </row>
    <row r="210" ht="15.75" customHeight="1" s="169">
      <c r="A210" s="22" t="n">
        <v>328000343</v>
      </c>
      <c r="B210" s="22" t="inlineStr">
        <is>
          <t>SYIFA KHOERUN NISA</t>
        </is>
      </c>
      <c r="C210" s="22" t="inlineStr">
        <is>
          <t>NON STAFF</t>
        </is>
      </c>
      <c r="D210" s="22" t="inlineStr">
        <is>
          <t>PROD</t>
        </is>
      </c>
      <c r="E210" s="22" t="inlineStr">
        <is>
          <t>PACKER</t>
        </is>
      </c>
      <c r="F210" s="13" t="inlineStr">
        <is>
          <t>KARYAWAN</t>
        </is>
      </c>
    </row>
    <row r="211" ht="15.75" customHeight="1" s="169">
      <c r="A211" s="22" t="n">
        <v>328000344</v>
      </c>
      <c r="B211" s="22" t="inlineStr">
        <is>
          <t>RIZWAN MAULANA</t>
        </is>
      </c>
      <c r="C211" s="22" t="inlineStr">
        <is>
          <t>NON STAFF</t>
        </is>
      </c>
      <c r="D211" s="22" t="inlineStr">
        <is>
          <t>PROD</t>
        </is>
      </c>
      <c r="E211" s="22" t="inlineStr">
        <is>
          <t>PACKER</t>
        </is>
      </c>
      <c r="F211" s="13" t="inlineStr">
        <is>
          <t>KARYAWAN</t>
        </is>
      </c>
    </row>
    <row r="212" ht="15.75" customHeight="1" s="169">
      <c r="A212" s="22" t="n">
        <v>328000346</v>
      </c>
      <c r="B212" s="22" t="inlineStr">
        <is>
          <t>MUHAMAD FADILLAH FAQIH</t>
        </is>
      </c>
      <c r="C212" s="22" t="inlineStr">
        <is>
          <t>NON STAFF</t>
        </is>
      </c>
      <c r="D212" s="22" t="inlineStr">
        <is>
          <t>PROD</t>
        </is>
      </c>
      <c r="E212" s="22" t="inlineStr">
        <is>
          <t>OPERATOR</t>
        </is>
      </c>
      <c r="F212" s="13" t="inlineStr">
        <is>
          <t>KARYAWAN</t>
        </is>
      </c>
    </row>
    <row r="213" ht="15.75" customHeight="1" s="169">
      <c r="A213" s="22" t="n">
        <v>328000348</v>
      </c>
      <c r="B213" s="22" t="inlineStr">
        <is>
          <t>DINI ISNARDIANTI</t>
        </is>
      </c>
      <c r="C213" s="22" t="inlineStr">
        <is>
          <t>NON STAFF</t>
        </is>
      </c>
      <c r="D213" s="22" t="inlineStr">
        <is>
          <t>QRD</t>
        </is>
      </c>
      <c r="E213" s="22" t="inlineStr">
        <is>
          <t>QC PRODUKSI</t>
        </is>
      </c>
      <c r="F213" s="13" t="inlineStr">
        <is>
          <t>KARYAWAN</t>
        </is>
      </c>
    </row>
    <row r="214" ht="15.75" customHeight="1" s="169">
      <c r="A214" s="22" t="n">
        <v>328000350</v>
      </c>
      <c r="B214" s="22" t="inlineStr">
        <is>
          <t>RINI AFRIDON</t>
        </is>
      </c>
      <c r="C214" s="22" t="inlineStr">
        <is>
          <t>NON STAFF</t>
        </is>
      </c>
      <c r="D214" s="22" t="inlineStr">
        <is>
          <t>PROD</t>
        </is>
      </c>
      <c r="E214" s="22" t="inlineStr">
        <is>
          <t>PACKER</t>
        </is>
      </c>
      <c r="F214" s="13" t="inlineStr">
        <is>
          <t>KARYAWAN</t>
        </is>
      </c>
    </row>
    <row r="215" ht="15.75" customHeight="1" s="169">
      <c r="A215" s="22" t="n">
        <v>328000351</v>
      </c>
      <c r="B215" s="22" t="inlineStr">
        <is>
          <t>WINDY DESTI NUR ALIFAH</t>
        </is>
      </c>
      <c r="C215" s="22" t="inlineStr">
        <is>
          <t>NON STAFF</t>
        </is>
      </c>
      <c r="D215" s="22" t="inlineStr">
        <is>
          <t>PROD</t>
        </is>
      </c>
      <c r="E215" s="22" t="inlineStr">
        <is>
          <t>PACKER</t>
        </is>
      </c>
      <c r="F215" s="13" t="inlineStr">
        <is>
          <t>KARYAWAN</t>
        </is>
      </c>
    </row>
    <row r="216" ht="15.75" customHeight="1" s="169">
      <c r="A216" s="22" t="n">
        <v>328000352</v>
      </c>
      <c r="B216" s="22" t="inlineStr">
        <is>
          <t>YASMIN ANNISA ALKHOIRIYAH</t>
        </is>
      </c>
      <c r="C216" s="22" t="inlineStr">
        <is>
          <t>NON STAFF</t>
        </is>
      </c>
      <c r="D216" s="22" t="inlineStr">
        <is>
          <t>PROD</t>
        </is>
      </c>
      <c r="E216" s="22" t="inlineStr">
        <is>
          <t>PACKER</t>
        </is>
      </c>
      <c r="F216" s="13" t="inlineStr">
        <is>
          <t>KARYAWAN</t>
        </is>
      </c>
    </row>
    <row r="217" ht="15.75" customHeight="1" s="169">
      <c r="A217" s="22" t="n">
        <v>328000353</v>
      </c>
      <c r="B217" s="22" t="inlineStr">
        <is>
          <t>YAYU APRIYANTI</t>
        </is>
      </c>
      <c r="C217" s="22" t="inlineStr">
        <is>
          <t>NON STAFF</t>
        </is>
      </c>
      <c r="D217" s="22" t="inlineStr">
        <is>
          <t>PROD</t>
        </is>
      </c>
      <c r="E217" s="22" t="inlineStr">
        <is>
          <t>PACKER</t>
        </is>
      </c>
      <c r="F217" s="13" t="inlineStr">
        <is>
          <t>KARYAWAN</t>
        </is>
      </c>
    </row>
    <row r="218" ht="15.75" customHeight="1" s="169">
      <c r="A218" s="22" t="n">
        <v>328000354</v>
      </c>
      <c r="B218" s="22" t="inlineStr">
        <is>
          <t>INTAN LESTARI</t>
        </is>
      </c>
      <c r="C218" s="22" t="inlineStr">
        <is>
          <t>NON STAFF</t>
        </is>
      </c>
      <c r="D218" s="22" t="inlineStr">
        <is>
          <t>PROD</t>
        </is>
      </c>
      <c r="E218" s="22" t="inlineStr">
        <is>
          <t>PACKER</t>
        </is>
      </c>
      <c r="F218" s="13" t="inlineStr">
        <is>
          <t>KARYAWAN</t>
        </is>
      </c>
    </row>
    <row r="219" ht="15.75" customHeight="1" s="169">
      <c r="A219" s="22" t="n">
        <v>328000355</v>
      </c>
      <c r="B219" s="22" t="inlineStr">
        <is>
          <t>IRVAN ANDRIAN</t>
        </is>
      </c>
      <c r="C219" s="22" t="inlineStr">
        <is>
          <t>NON STAFF</t>
        </is>
      </c>
      <c r="D219" s="22" t="inlineStr">
        <is>
          <t>ENG</t>
        </is>
      </c>
      <c r="E219" s="22" t="inlineStr">
        <is>
          <t>SHIFT MAINTENANCE</t>
        </is>
      </c>
      <c r="F219" s="13" t="inlineStr">
        <is>
          <t>KARYAWAN</t>
        </is>
      </c>
    </row>
    <row r="220" ht="15.75" customHeight="1" s="169">
      <c r="A220" s="22" t="n">
        <v>328000357</v>
      </c>
      <c r="B220" s="22" t="inlineStr">
        <is>
          <t>DEA ANANDA LESTARI</t>
        </is>
      </c>
      <c r="C220" s="22" t="inlineStr">
        <is>
          <t>NON STAFF</t>
        </is>
      </c>
      <c r="D220" s="22" t="inlineStr">
        <is>
          <t>PROD</t>
        </is>
      </c>
      <c r="E220" s="22" t="inlineStr">
        <is>
          <t>PACKER</t>
        </is>
      </c>
      <c r="F220" s="13" t="inlineStr">
        <is>
          <t>KARYAWAN</t>
        </is>
      </c>
    </row>
    <row r="221" ht="15.75" customHeight="1" s="169">
      <c r="A221" s="22" t="n">
        <v>328000358</v>
      </c>
      <c r="B221" s="22" t="inlineStr">
        <is>
          <t>KIKI MUZAKI</t>
        </is>
      </c>
      <c r="C221" s="22" t="inlineStr">
        <is>
          <t>NON STAFF</t>
        </is>
      </c>
      <c r="D221" s="22" t="inlineStr">
        <is>
          <t>PROD</t>
        </is>
      </c>
      <c r="E221" s="22" t="inlineStr">
        <is>
          <t>PACKER</t>
        </is>
      </c>
      <c r="F221" s="13" t="inlineStr">
        <is>
          <t>KARYAWAN</t>
        </is>
      </c>
    </row>
    <row r="222" ht="15.75" customHeight="1" s="169">
      <c r="A222" s="22" t="n">
        <v>328000361</v>
      </c>
      <c r="B222" s="22" t="inlineStr">
        <is>
          <t>NABIL FATHUROHMAN</t>
        </is>
      </c>
      <c r="C222" s="22" t="inlineStr">
        <is>
          <t>NON STAFF</t>
        </is>
      </c>
      <c r="D222" s="22" t="inlineStr">
        <is>
          <t>PROD</t>
        </is>
      </c>
      <c r="E222" s="22" t="inlineStr">
        <is>
          <t>TSP</t>
        </is>
      </c>
      <c r="F222" s="13" t="inlineStr">
        <is>
          <t>KARYAWAN</t>
        </is>
      </c>
    </row>
    <row r="223" ht="15.75" customHeight="1" s="169">
      <c r="A223" s="22" t="n">
        <v>328000362</v>
      </c>
      <c r="B223" s="22" t="inlineStr">
        <is>
          <t>IQBAL HERMAN</t>
        </is>
      </c>
      <c r="C223" s="22" t="inlineStr">
        <is>
          <t>NON STAFF</t>
        </is>
      </c>
      <c r="D223" s="22" t="inlineStr">
        <is>
          <t>PROD</t>
        </is>
      </c>
      <c r="E223" s="22" t="inlineStr">
        <is>
          <t>TSP</t>
        </is>
      </c>
      <c r="F223" s="13" t="inlineStr">
        <is>
          <t>KARYAWAN</t>
        </is>
      </c>
    </row>
    <row r="224" ht="15.75" customHeight="1" s="169">
      <c r="A224" s="22" t="n">
        <v>328000364</v>
      </c>
      <c r="B224" s="22" t="inlineStr">
        <is>
          <t>DIANA</t>
        </is>
      </c>
      <c r="C224" s="22" t="inlineStr">
        <is>
          <t>NON STAFF</t>
        </is>
      </c>
      <c r="D224" s="22" t="inlineStr">
        <is>
          <t>PROD</t>
        </is>
      </c>
      <c r="E224" s="22" t="inlineStr">
        <is>
          <t>PACKER</t>
        </is>
      </c>
      <c r="F224" s="13" t="inlineStr">
        <is>
          <t>KARYAWAN</t>
        </is>
      </c>
    </row>
    <row r="225" ht="15.75" customHeight="1" s="169">
      <c r="A225" s="22" t="n">
        <v>328000366</v>
      </c>
      <c r="B225" s="22" t="inlineStr">
        <is>
          <t>DIVA NADYA</t>
        </is>
      </c>
      <c r="C225" s="22" t="inlineStr">
        <is>
          <t>NON STAFF</t>
        </is>
      </c>
      <c r="D225" s="22" t="inlineStr">
        <is>
          <t>PROD</t>
        </is>
      </c>
      <c r="E225" s="22" t="inlineStr">
        <is>
          <t>PACKER</t>
        </is>
      </c>
      <c r="F225" s="13" t="inlineStr">
        <is>
          <t>KARYAWAN</t>
        </is>
      </c>
    </row>
    <row r="226" ht="15.75" customHeight="1" s="169">
      <c r="A226" s="22" t="n">
        <v>328000367</v>
      </c>
      <c r="B226" s="22" t="inlineStr">
        <is>
          <t>SIVA NENI NURANISA</t>
        </is>
      </c>
      <c r="C226" s="22" t="inlineStr">
        <is>
          <t>NON STAFF</t>
        </is>
      </c>
      <c r="D226" s="22" t="inlineStr">
        <is>
          <t>PROD</t>
        </is>
      </c>
      <c r="E226" s="22" t="inlineStr">
        <is>
          <t>PACKER</t>
        </is>
      </c>
      <c r="F226" s="13" t="inlineStr">
        <is>
          <t>KARYAWAN</t>
        </is>
      </c>
    </row>
    <row r="227" ht="15.75" customHeight="1" s="169">
      <c r="A227" s="22" t="n">
        <v>328000370</v>
      </c>
      <c r="B227" s="22" t="inlineStr">
        <is>
          <t>DARA APRIYANTY</t>
        </is>
      </c>
      <c r="C227" s="22" t="inlineStr">
        <is>
          <t>NON STAFF</t>
        </is>
      </c>
      <c r="D227" s="22" t="inlineStr">
        <is>
          <t>PROD</t>
        </is>
      </c>
      <c r="E227" s="22" t="inlineStr">
        <is>
          <t>PACKER</t>
        </is>
      </c>
      <c r="F227" s="13" t="inlineStr">
        <is>
          <t>KARYAWAN</t>
        </is>
      </c>
    </row>
    <row r="228" ht="15.75" customHeight="1" s="169">
      <c r="A228" s="22" t="n">
        <v>328000371</v>
      </c>
      <c r="B228" s="22" t="inlineStr">
        <is>
          <t>ALYA NOOR KAMILA HARJA</t>
        </is>
      </c>
      <c r="C228" s="22" t="inlineStr">
        <is>
          <t>NON STAFF</t>
        </is>
      </c>
      <c r="D228" s="22" t="inlineStr">
        <is>
          <t>PROD</t>
        </is>
      </c>
      <c r="E228" s="22" t="inlineStr">
        <is>
          <t>PACKER</t>
        </is>
      </c>
      <c r="F228" s="13" t="inlineStr">
        <is>
          <t>KARYAWAN</t>
        </is>
      </c>
    </row>
    <row r="229" ht="15.75" customHeight="1" s="169">
      <c r="A229" s="22" t="n">
        <v>328000372</v>
      </c>
      <c r="B229" s="22" t="inlineStr">
        <is>
          <t>DINI FITRIYANI</t>
        </is>
      </c>
      <c r="C229" s="22" t="inlineStr">
        <is>
          <t>NON STAFF</t>
        </is>
      </c>
      <c r="D229" s="22" t="inlineStr">
        <is>
          <t>PROD</t>
        </is>
      </c>
      <c r="E229" s="22" t="inlineStr">
        <is>
          <t>PACKER</t>
        </is>
      </c>
      <c r="F229" s="13" t="inlineStr">
        <is>
          <t>KARYAWAN</t>
        </is>
      </c>
    </row>
    <row r="230" ht="15.75" customHeight="1" s="169">
      <c r="A230" s="22" t="n">
        <v>328000373</v>
      </c>
      <c r="B230" s="22" t="inlineStr">
        <is>
          <t>YUNI SRI WULAN</t>
        </is>
      </c>
      <c r="C230" s="22" t="inlineStr">
        <is>
          <t>NON STAFF</t>
        </is>
      </c>
      <c r="D230" s="22" t="inlineStr">
        <is>
          <t>PROD</t>
        </is>
      </c>
      <c r="E230" s="22" t="inlineStr">
        <is>
          <t>PACKER</t>
        </is>
      </c>
      <c r="F230" s="13" t="inlineStr">
        <is>
          <t>KARYAWAN</t>
        </is>
      </c>
    </row>
    <row r="231" ht="15.75" customHeight="1" s="169">
      <c r="A231" s="22" t="n">
        <v>328000374</v>
      </c>
      <c r="B231" s="22" t="inlineStr">
        <is>
          <t>RIA JULIANTI</t>
        </is>
      </c>
      <c r="C231" s="22" t="inlineStr">
        <is>
          <t>NON STAFF</t>
        </is>
      </c>
      <c r="D231" s="22" t="inlineStr">
        <is>
          <t>PROD</t>
        </is>
      </c>
      <c r="E231" s="22" t="inlineStr">
        <is>
          <t>PACKER</t>
        </is>
      </c>
      <c r="F231" s="13" t="inlineStr">
        <is>
          <t>KARYAWAN</t>
        </is>
      </c>
    </row>
    <row r="232" ht="15.75" customHeight="1" s="169">
      <c r="A232" s="22" t="n">
        <v>328000375</v>
      </c>
      <c r="B232" s="22" t="inlineStr">
        <is>
          <t>ADAM HIDIR MALKAN</t>
        </is>
      </c>
      <c r="C232" s="22" t="inlineStr">
        <is>
          <t>NON STAFF</t>
        </is>
      </c>
      <c r="D232" s="22" t="inlineStr">
        <is>
          <t>PROD</t>
        </is>
      </c>
      <c r="E232" s="22" t="inlineStr">
        <is>
          <t>PACKER</t>
        </is>
      </c>
      <c r="F232" s="13" t="inlineStr">
        <is>
          <t>KARYAWAN</t>
        </is>
      </c>
    </row>
    <row r="233" ht="15.75" customHeight="1" s="169">
      <c r="A233" s="22" t="n">
        <v>328000377</v>
      </c>
      <c r="B233" s="22" t="inlineStr">
        <is>
          <t>INDRI NURAENI</t>
        </is>
      </c>
      <c r="C233" s="22" t="inlineStr">
        <is>
          <t>NON STAFF</t>
        </is>
      </c>
      <c r="D233" s="22" t="inlineStr">
        <is>
          <t>PROD</t>
        </is>
      </c>
      <c r="E233" s="22" t="inlineStr">
        <is>
          <t>PACKER</t>
        </is>
      </c>
      <c r="F233" s="13" t="inlineStr">
        <is>
          <t>KARYAWAN</t>
        </is>
      </c>
    </row>
    <row r="234" ht="15.75" customHeight="1" s="169">
      <c r="A234" s="22" t="n">
        <v>328000379</v>
      </c>
      <c r="B234" s="22" t="inlineStr">
        <is>
          <t>REVALINA SISWANTI</t>
        </is>
      </c>
      <c r="C234" s="22" t="inlineStr">
        <is>
          <t>NON STAFF</t>
        </is>
      </c>
      <c r="D234" s="22" t="inlineStr">
        <is>
          <t>PROD</t>
        </is>
      </c>
      <c r="E234" s="22" t="inlineStr">
        <is>
          <t>PACKER</t>
        </is>
      </c>
      <c r="F234" s="13" t="inlineStr">
        <is>
          <t>KARYAWAN</t>
        </is>
      </c>
    </row>
    <row r="235" ht="15.75" customHeight="1" s="169">
      <c r="A235" s="22" t="n">
        <v>328000381</v>
      </c>
      <c r="B235" s="22" t="inlineStr">
        <is>
          <t>ELVHIRA SATYA PASHA</t>
        </is>
      </c>
      <c r="C235" s="22" t="inlineStr">
        <is>
          <t>NON STAFF</t>
        </is>
      </c>
      <c r="D235" s="22" t="inlineStr">
        <is>
          <t>PROD</t>
        </is>
      </c>
      <c r="E235" s="22" t="inlineStr">
        <is>
          <t>PACKER</t>
        </is>
      </c>
      <c r="F235" s="13" t="inlineStr">
        <is>
          <t>KARYAWAN</t>
        </is>
      </c>
    </row>
    <row r="236" ht="15.75" customHeight="1" s="169">
      <c r="A236" s="22" t="n">
        <v>328000383</v>
      </c>
      <c r="B236" s="22" t="inlineStr">
        <is>
          <t>NAYLA DHEA PUTRI</t>
        </is>
      </c>
      <c r="C236" s="22" t="inlineStr">
        <is>
          <t>NON STAFF</t>
        </is>
      </c>
      <c r="D236" s="22" t="inlineStr">
        <is>
          <t>PROD</t>
        </is>
      </c>
      <c r="E236" s="22" t="inlineStr">
        <is>
          <t>PACKER</t>
        </is>
      </c>
      <c r="F236" s="13" t="inlineStr">
        <is>
          <t>KARYAWAN</t>
        </is>
      </c>
    </row>
    <row r="237" ht="15.75" customHeight="1" s="169">
      <c r="A237" s="22" t="n">
        <v>328000384</v>
      </c>
      <c r="B237" s="22" t="inlineStr">
        <is>
          <t>ANGGI AULIA</t>
        </is>
      </c>
      <c r="C237" s="22" t="inlineStr">
        <is>
          <t>NON STAFF</t>
        </is>
      </c>
      <c r="D237" s="22" t="inlineStr">
        <is>
          <t>PROD</t>
        </is>
      </c>
      <c r="E237" s="22" t="inlineStr">
        <is>
          <t>PACKER</t>
        </is>
      </c>
      <c r="F237" s="13" t="inlineStr">
        <is>
          <t>KARYAWAN</t>
        </is>
      </c>
    </row>
    <row r="238" ht="15.75" customHeight="1" s="169">
      <c r="A238" s="22" t="n">
        <v>328000385</v>
      </c>
      <c r="B238" s="22" t="inlineStr">
        <is>
          <t>IKE YULIANTI PUTRI</t>
        </is>
      </c>
      <c r="C238" s="22" t="inlineStr">
        <is>
          <t>NON STAFF</t>
        </is>
      </c>
      <c r="D238" s="22" t="inlineStr">
        <is>
          <t>PROD</t>
        </is>
      </c>
      <c r="E238" s="22" t="inlineStr">
        <is>
          <t>PACKER</t>
        </is>
      </c>
      <c r="F238" s="13" t="inlineStr">
        <is>
          <t>KARYAWAN</t>
        </is>
      </c>
    </row>
    <row r="239" ht="15.75" customHeight="1" s="169">
      <c r="A239" s="22" t="n">
        <v>328000388</v>
      </c>
      <c r="B239" s="22" t="inlineStr">
        <is>
          <t>ENDAH SARI</t>
        </is>
      </c>
      <c r="C239" s="22" t="inlineStr">
        <is>
          <t>NON STAFF</t>
        </is>
      </c>
      <c r="D239" s="22" t="inlineStr">
        <is>
          <t>PROD</t>
        </is>
      </c>
      <c r="E239" s="22" t="inlineStr">
        <is>
          <t>PACKER</t>
        </is>
      </c>
      <c r="F239" s="13" t="inlineStr">
        <is>
          <t>KARYAWAN</t>
        </is>
      </c>
    </row>
    <row r="240" ht="15.75" customHeight="1" s="169">
      <c r="A240" s="22" t="n">
        <v>328000391</v>
      </c>
      <c r="B240" s="22" t="inlineStr">
        <is>
          <t>RANGGA ADITYA</t>
        </is>
      </c>
      <c r="C240" s="22" t="inlineStr">
        <is>
          <t>NON STAFF</t>
        </is>
      </c>
      <c r="D240" s="22" t="inlineStr">
        <is>
          <t>LOG</t>
        </is>
      </c>
      <c r="E240" s="22" t="inlineStr">
        <is>
          <t>CHECKER</t>
        </is>
      </c>
      <c r="F240" s="13" t="inlineStr">
        <is>
          <t>KARYAWAN</t>
        </is>
      </c>
    </row>
    <row r="241" ht="15.75" customHeight="1" s="169">
      <c r="A241" s="22" t="n">
        <v>328000393</v>
      </c>
      <c r="B241" s="22" t="inlineStr">
        <is>
          <t>INDRI YANI</t>
        </is>
      </c>
      <c r="C241" s="22" t="inlineStr">
        <is>
          <t>NON STAFF</t>
        </is>
      </c>
      <c r="D241" s="22" t="inlineStr">
        <is>
          <t>PROD</t>
        </is>
      </c>
      <c r="E241" s="22" t="inlineStr">
        <is>
          <t>PACKER</t>
        </is>
      </c>
      <c r="F241" s="13" t="inlineStr">
        <is>
          <t>KARYAWAN</t>
        </is>
      </c>
    </row>
    <row r="242" ht="15.75" customHeight="1" s="169">
      <c r="A242" s="22" t="n">
        <v>328000395</v>
      </c>
      <c r="B242" s="22" t="inlineStr">
        <is>
          <t>ANISA RAHMA AULIA</t>
        </is>
      </c>
      <c r="C242" s="22" t="inlineStr">
        <is>
          <t>NON STAFF</t>
        </is>
      </c>
      <c r="D242" s="22" t="inlineStr">
        <is>
          <t>PROD</t>
        </is>
      </c>
      <c r="E242" s="22" t="inlineStr">
        <is>
          <t>PACKER</t>
        </is>
      </c>
      <c r="F242" s="13" t="inlineStr">
        <is>
          <t>KARYAWAN</t>
        </is>
      </c>
    </row>
    <row r="243" ht="15.75" customHeight="1" s="169">
      <c r="A243" s="22" t="n">
        <v>328000397</v>
      </c>
      <c r="B243" s="22" t="inlineStr">
        <is>
          <t>DEA FUSPITA</t>
        </is>
      </c>
      <c r="C243" s="22" t="inlineStr">
        <is>
          <t>NON STAFF</t>
        </is>
      </c>
      <c r="D243" s="22" t="inlineStr">
        <is>
          <t>PROD</t>
        </is>
      </c>
      <c r="E243" s="22" t="inlineStr">
        <is>
          <t>PACKER</t>
        </is>
      </c>
      <c r="F243" s="13" t="inlineStr">
        <is>
          <t>KARYAWAN</t>
        </is>
      </c>
    </row>
    <row r="244" ht="15.75" customHeight="1" s="169">
      <c r="A244" s="22" t="n">
        <v>328000399</v>
      </c>
      <c r="B244" s="22" t="inlineStr">
        <is>
          <t>FITRI ANDRIANI</t>
        </is>
      </c>
      <c r="C244" s="22" t="inlineStr">
        <is>
          <t>NON STAFF</t>
        </is>
      </c>
      <c r="D244" s="22" t="inlineStr">
        <is>
          <t>PROD</t>
        </is>
      </c>
      <c r="E244" s="22" t="inlineStr">
        <is>
          <t>PACKER</t>
        </is>
      </c>
      <c r="F244" s="13" t="inlineStr">
        <is>
          <t>KARYAWAN</t>
        </is>
      </c>
    </row>
    <row r="245" ht="15.75" customHeight="1" s="169">
      <c r="A245" s="22" t="n">
        <v>328000400</v>
      </c>
      <c r="B245" s="22" t="inlineStr">
        <is>
          <t>M KARSIM SEPTIAN</t>
        </is>
      </c>
      <c r="C245" s="22" t="inlineStr">
        <is>
          <t>NON STAFF</t>
        </is>
      </c>
      <c r="D245" s="22" t="inlineStr">
        <is>
          <t>PROD</t>
        </is>
      </c>
      <c r="E245" s="22" t="inlineStr">
        <is>
          <t>PACKER</t>
        </is>
      </c>
      <c r="F245" s="13" t="inlineStr">
        <is>
          <t>KARYAWAN</t>
        </is>
      </c>
    </row>
    <row r="246" ht="15.75" customHeight="1" s="169">
      <c r="A246" s="22" t="n">
        <v>328000402</v>
      </c>
      <c r="B246" s="22" t="inlineStr">
        <is>
          <t>HASANAH</t>
        </is>
      </c>
      <c r="C246" s="22" t="inlineStr">
        <is>
          <t>NON STAFF</t>
        </is>
      </c>
      <c r="D246" s="22" t="inlineStr">
        <is>
          <t>PROD</t>
        </is>
      </c>
      <c r="E246" s="22" t="inlineStr">
        <is>
          <t>PACKER</t>
        </is>
      </c>
      <c r="F246" s="13" t="inlineStr">
        <is>
          <t>KARYAWAN</t>
        </is>
      </c>
    </row>
    <row r="247" ht="15.75" customHeight="1" s="169">
      <c r="A247" s="22" t="n">
        <v>328000403</v>
      </c>
      <c r="B247" s="22" t="inlineStr">
        <is>
          <t>FITRI NURAENI</t>
        </is>
      </c>
      <c r="C247" s="22" t="inlineStr">
        <is>
          <t>NON STAFF</t>
        </is>
      </c>
      <c r="D247" s="22" t="inlineStr">
        <is>
          <t>PROD</t>
        </is>
      </c>
      <c r="E247" s="22" t="inlineStr">
        <is>
          <t>PACKER</t>
        </is>
      </c>
      <c r="F247" s="13" t="inlineStr">
        <is>
          <t>KARYAWAN</t>
        </is>
      </c>
    </row>
    <row r="248" ht="15.75" customHeight="1" s="169">
      <c r="A248" s="22" t="n">
        <v>328000404</v>
      </c>
      <c r="B248" s="22" t="inlineStr">
        <is>
          <t>NOVI SAFIRA PUTRI</t>
        </is>
      </c>
      <c r="C248" s="22" t="inlineStr">
        <is>
          <t>NON STAFF</t>
        </is>
      </c>
      <c r="D248" s="22" t="inlineStr">
        <is>
          <t>PROD</t>
        </is>
      </c>
      <c r="E248" s="22" t="inlineStr">
        <is>
          <t>PACKER</t>
        </is>
      </c>
      <c r="F248" s="13" t="inlineStr">
        <is>
          <t>KARYAWAN</t>
        </is>
      </c>
    </row>
    <row r="249" ht="15.75" customHeight="1" s="169">
      <c r="A249" s="22" t="n">
        <v>328000405</v>
      </c>
      <c r="B249" s="22" t="inlineStr">
        <is>
          <t>ANNISA AZI PRASETYANI</t>
        </is>
      </c>
      <c r="C249" s="22" t="inlineStr">
        <is>
          <t>NON STAFF</t>
        </is>
      </c>
      <c r="D249" s="22" t="inlineStr">
        <is>
          <t>PROD</t>
        </is>
      </c>
      <c r="E249" s="22" t="inlineStr">
        <is>
          <t>PACKER</t>
        </is>
      </c>
      <c r="F249" s="13" t="inlineStr">
        <is>
          <t>KARYAWAN</t>
        </is>
      </c>
    </row>
    <row r="250" ht="15.75" customHeight="1" s="169">
      <c r="A250" s="22" t="n">
        <v>328000406</v>
      </c>
      <c r="B250" s="22" t="inlineStr">
        <is>
          <t>FIRLIE NURFEBRIANY FIRMANSYAH</t>
        </is>
      </c>
      <c r="C250" s="22" t="inlineStr">
        <is>
          <t>NON STAFF</t>
        </is>
      </c>
      <c r="D250" s="22" t="inlineStr">
        <is>
          <t>PROD</t>
        </is>
      </c>
      <c r="E250" s="22" t="inlineStr">
        <is>
          <t>PACKER</t>
        </is>
      </c>
      <c r="F250" s="13" t="inlineStr">
        <is>
          <t>KARYAWAN</t>
        </is>
      </c>
    </row>
    <row r="251" ht="15.75" customHeight="1" s="169">
      <c r="A251" s="22" t="n">
        <v>328000407</v>
      </c>
      <c r="B251" s="22" t="inlineStr">
        <is>
          <t>HERMALIANTI RAHAYU</t>
        </is>
      </c>
      <c r="C251" s="22" t="inlineStr">
        <is>
          <t>NON STAFF</t>
        </is>
      </c>
      <c r="D251" s="22" t="inlineStr">
        <is>
          <t>PROD</t>
        </is>
      </c>
      <c r="E251" s="22" t="inlineStr">
        <is>
          <t>PACKER</t>
        </is>
      </c>
      <c r="F251" s="13" t="inlineStr">
        <is>
          <t>KARYAWAN</t>
        </is>
      </c>
    </row>
    <row r="252" ht="15.75" customHeight="1" s="169">
      <c r="A252" s="22" t="n">
        <v>328000409</v>
      </c>
      <c r="B252" s="22" t="inlineStr">
        <is>
          <t>SUHENDI</t>
        </is>
      </c>
      <c r="C252" s="22" t="inlineStr">
        <is>
          <t>NON STAFF</t>
        </is>
      </c>
      <c r="D252" s="22" t="inlineStr">
        <is>
          <t>LOG</t>
        </is>
      </c>
      <c r="E252" s="22" t="inlineStr">
        <is>
          <t>OPERATOR FORKLIFT</t>
        </is>
      </c>
      <c r="F252" s="13" t="inlineStr">
        <is>
          <t>KARYAWAN</t>
        </is>
      </c>
    </row>
    <row r="253" ht="15.75" customHeight="1" s="169">
      <c r="A253" s="22" t="n">
        <v>328000410</v>
      </c>
      <c r="B253" s="22" t="inlineStr">
        <is>
          <t>KELVIN FEBRIANSYAH</t>
        </is>
      </c>
      <c r="C253" s="22" t="inlineStr">
        <is>
          <t>NON STAFF</t>
        </is>
      </c>
      <c r="D253" s="22" t="inlineStr">
        <is>
          <t>PROD</t>
        </is>
      </c>
      <c r="E253" s="22" t="inlineStr">
        <is>
          <t>PACKER</t>
        </is>
      </c>
      <c r="F253" s="13" t="inlineStr">
        <is>
          <t>KARYAWAN</t>
        </is>
      </c>
    </row>
    <row r="254" ht="15.75" customHeight="1" s="169">
      <c r="A254" s="22" t="n">
        <v>328000412</v>
      </c>
      <c r="B254" s="22" t="inlineStr">
        <is>
          <t>SYFA OCTAPIA RAMADANI</t>
        </is>
      </c>
      <c r="C254" s="22" t="inlineStr">
        <is>
          <t>NON STAFF</t>
        </is>
      </c>
      <c r="D254" s="22" t="inlineStr">
        <is>
          <t>PROD</t>
        </is>
      </c>
      <c r="E254" s="22" t="inlineStr">
        <is>
          <t>PACKER</t>
        </is>
      </c>
      <c r="F254" s="13" t="inlineStr">
        <is>
          <t>KARYAWAN</t>
        </is>
      </c>
    </row>
    <row r="255" ht="15.75" customHeight="1" s="169">
      <c r="A255" s="22" t="n">
        <v>328000413</v>
      </c>
      <c r="B255" s="22" t="inlineStr">
        <is>
          <t>RICKY SEPTIAN NURDIN</t>
        </is>
      </c>
      <c r="C255" s="22" t="inlineStr">
        <is>
          <t>NON STAFF</t>
        </is>
      </c>
      <c r="D255" s="22" t="inlineStr">
        <is>
          <t>PROD</t>
        </is>
      </c>
      <c r="E255" s="22" t="inlineStr">
        <is>
          <t>PACKER</t>
        </is>
      </c>
      <c r="F255" s="13" t="inlineStr">
        <is>
          <t>KARYAWAN</t>
        </is>
      </c>
    </row>
    <row r="256" ht="15.75" customHeight="1" s="169">
      <c r="A256" s="22" t="n">
        <v>328000416</v>
      </c>
      <c r="B256" s="22" t="inlineStr">
        <is>
          <t>AHMAD RAMDANI</t>
        </is>
      </c>
      <c r="C256" s="22" t="inlineStr">
        <is>
          <t>NON STAFF</t>
        </is>
      </c>
      <c r="D256" s="22" t="inlineStr">
        <is>
          <t>PROD</t>
        </is>
      </c>
      <c r="E256" s="22" t="inlineStr">
        <is>
          <t>PACKER</t>
        </is>
      </c>
      <c r="F256" s="13" t="inlineStr">
        <is>
          <t>KARYAWAN</t>
        </is>
      </c>
    </row>
    <row r="257" ht="15.75" customHeight="1" s="169">
      <c r="A257" s="22" t="n">
        <v>328000417</v>
      </c>
      <c r="B257" s="22" t="inlineStr">
        <is>
          <t>RAJA ADITIA</t>
        </is>
      </c>
      <c r="C257" s="22" t="inlineStr">
        <is>
          <t>NON STAFF</t>
        </is>
      </c>
      <c r="D257" s="22" t="inlineStr">
        <is>
          <t>PROD</t>
        </is>
      </c>
      <c r="E257" s="22" t="inlineStr">
        <is>
          <t>PACKER</t>
        </is>
      </c>
      <c r="F257" s="13" t="inlineStr">
        <is>
          <t>KARYAWAN</t>
        </is>
      </c>
    </row>
    <row r="258" ht="15.75" customHeight="1" s="169">
      <c r="A258" s="22" t="n">
        <v>328000418</v>
      </c>
      <c r="B258" s="22" t="inlineStr">
        <is>
          <t>LIA AGUSTIN</t>
        </is>
      </c>
      <c r="C258" s="22" t="inlineStr">
        <is>
          <t>NON STAFF</t>
        </is>
      </c>
      <c r="D258" s="22" t="inlineStr">
        <is>
          <t>QRD</t>
        </is>
      </c>
      <c r="E258" s="22" t="inlineStr">
        <is>
          <t>QC PRODUKSI</t>
        </is>
      </c>
      <c r="F258" s="13" t="inlineStr">
        <is>
          <t>KARYAWAN</t>
        </is>
      </c>
    </row>
    <row r="259" ht="15.75" customHeight="1" s="169">
      <c r="A259" s="22" t="n">
        <v>328000419</v>
      </c>
      <c r="B259" s="22" t="inlineStr">
        <is>
          <t>CECEP  SUKMA WIJAYA</t>
        </is>
      </c>
      <c r="C259" s="22" t="inlineStr">
        <is>
          <t>NON STAFF</t>
        </is>
      </c>
      <c r="D259" s="22" t="inlineStr">
        <is>
          <t>LOG</t>
        </is>
      </c>
      <c r="E259" s="22" t="inlineStr">
        <is>
          <t>OPERATOR FORKLIFT</t>
        </is>
      </c>
      <c r="F259" s="13" t="inlineStr">
        <is>
          <t>KARYAWAN</t>
        </is>
      </c>
    </row>
    <row r="260" ht="15.75" customHeight="1" s="169">
      <c r="A260" s="22" t="n">
        <v>328000420</v>
      </c>
      <c r="B260" s="22" t="inlineStr">
        <is>
          <t>ISNI HANDAYANI</t>
        </is>
      </c>
      <c r="C260" s="22" t="inlineStr">
        <is>
          <t>NON STAFF</t>
        </is>
      </c>
      <c r="D260" s="22" t="inlineStr">
        <is>
          <t>PROD</t>
        </is>
      </c>
      <c r="E260" s="22" t="inlineStr">
        <is>
          <t>PACKER</t>
        </is>
      </c>
      <c r="F260" s="13" t="inlineStr">
        <is>
          <t>KARYAWAN</t>
        </is>
      </c>
    </row>
    <row r="261" ht="15.75" customHeight="1" s="169">
      <c r="A261" s="22" t="n">
        <v>328000421</v>
      </c>
      <c r="B261" s="22" t="inlineStr">
        <is>
          <t>DEA AMELIA</t>
        </is>
      </c>
      <c r="C261" s="22" t="inlineStr">
        <is>
          <t>NON STAFF</t>
        </is>
      </c>
      <c r="D261" s="22" t="inlineStr">
        <is>
          <t>PROD</t>
        </is>
      </c>
      <c r="E261" s="22" t="inlineStr">
        <is>
          <t>PACKER</t>
        </is>
      </c>
      <c r="F261" s="13" t="inlineStr">
        <is>
          <t>KARYAWAN</t>
        </is>
      </c>
    </row>
    <row r="262" ht="15.75" customHeight="1" s="169">
      <c r="A262" s="22" t="n">
        <v>328000422</v>
      </c>
      <c r="B262" s="22" t="inlineStr">
        <is>
          <t>KEVIN PRAKOSO</t>
        </is>
      </c>
      <c r="C262" s="22" t="inlineStr">
        <is>
          <t>NON STAFF</t>
        </is>
      </c>
      <c r="D262" s="22" t="inlineStr">
        <is>
          <t>PROD</t>
        </is>
      </c>
      <c r="E262" s="22" t="inlineStr">
        <is>
          <t>PACKER</t>
        </is>
      </c>
      <c r="F262" s="13" t="inlineStr">
        <is>
          <t>KARYAWAN</t>
        </is>
      </c>
    </row>
    <row r="263" ht="15.75" customHeight="1" s="169">
      <c r="A263" s="22" t="n">
        <v>328000423</v>
      </c>
      <c r="B263" s="22" t="inlineStr">
        <is>
          <t>FACHMI CHOERUL IMAN</t>
        </is>
      </c>
      <c r="C263" s="22" t="inlineStr">
        <is>
          <t>NON STAFF</t>
        </is>
      </c>
      <c r="D263" s="22" t="inlineStr">
        <is>
          <t>PROD</t>
        </is>
      </c>
      <c r="E263" s="22" t="inlineStr">
        <is>
          <t>PACKER</t>
        </is>
      </c>
      <c r="F263" s="13" t="inlineStr">
        <is>
          <t>KARYAWAN</t>
        </is>
      </c>
    </row>
    <row r="264" ht="15.75" customHeight="1" s="169">
      <c r="A264" s="22" t="n">
        <v>328000424</v>
      </c>
      <c r="B264" s="22" t="inlineStr">
        <is>
          <t>SHALSYA NURUL WAHYUDIN</t>
        </is>
      </c>
      <c r="C264" s="22" t="inlineStr">
        <is>
          <t>NON STAFF</t>
        </is>
      </c>
      <c r="D264" s="22" t="inlineStr">
        <is>
          <t>PROD</t>
        </is>
      </c>
      <c r="E264" s="22" t="inlineStr">
        <is>
          <t>PACKER</t>
        </is>
      </c>
      <c r="F264" s="13" t="inlineStr">
        <is>
          <t>KARYAWAN</t>
        </is>
      </c>
    </row>
    <row r="265" ht="15.75" customHeight="1" s="169">
      <c r="A265" s="22" t="n">
        <v>328000425</v>
      </c>
      <c r="B265" s="22" t="inlineStr">
        <is>
          <t>PRIYANTO SANDIKA</t>
        </is>
      </c>
      <c r="C265" s="22" t="inlineStr">
        <is>
          <t>NON STAFF</t>
        </is>
      </c>
      <c r="D265" s="22" t="inlineStr">
        <is>
          <t>PROD</t>
        </is>
      </c>
      <c r="E265" s="22" t="inlineStr">
        <is>
          <t>PACKER</t>
        </is>
      </c>
      <c r="F265" s="13" t="inlineStr">
        <is>
          <t>KARYAWAN</t>
        </is>
      </c>
    </row>
    <row r="266" ht="15.75" customHeight="1" s="169">
      <c r="A266" s="22" t="n">
        <v>328000426</v>
      </c>
      <c r="B266" s="22" t="inlineStr">
        <is>
          <t>NURSARI</t>
        </is>
      </c>
      <c r="C266" s="22" t="inlineStr">
        <is>
          <t>NON STAFF</t>
        </is>
      </c>
      <c r="D266" s="22" t="inlineStr">
        <is>
          <t>PROD</t>
        </is>
      </c>
      <c r="E266" s="22" t="inlineStr">
        <is>
          <t>PACKER</t>
        </is>
      </c>
      <c r="F266" s="13" t="inlineStr">
        <is>
          <t>KARYAWAN</t>
        </is>
      </c>
    </row>
    <row r="267" ht="15.75" customHeight="1" s="169">
      <c r="A267" s="22" t="n">
        <v>328000427</v>
      </c>
      <c r="B267" s="22" t="inlineStr">
        <is>
          <t>RIZKY MUHAMAD REYHAN</t>
        </is>
      </c>
      <c r="C267" s="22" t="inlineStr">
        <is>
          <t>NON STAFF</t>
        </is>
      </c>
      <c r="D267" s="22" t="inlineStr">
        <is>
          <t>PROD</t>
        </is>
      </c>
      <c r="E267" s="22" t="inlineStr">
        <is>
          <t>PACKER</t>
        </is>
      </c>
      <c r="F267" s="13" t="inlineStr">
        <is>
          <t>KARYAWAN</t>
        </is>
      </c>
    </row>
    <row r="268" ht="15.75" customHeight="1" s="169">
      <c r="A268" s="22" t="n">
        <v>328000428</v>
      </c>
      <c r="B268" s="22" t="inlineStr">
        <is>
          <t>ILLAH NUR FADILLAH</t>
        </is>
      </c>
      <c r="C268" s="22" t="inlineStr">
        <is>
          <t>NON STAFF</t>
        </is>
      </c>
      <c r="D268" s="22" t="inlineStr">
        <is>
          <t>PROD</t>
        </is>
      </c>
      <c r="E268" s="22" t="inlineStr">
        <is>
          <t>PACKER</t>
        </is>
      </c>
      <c r="F268" s="13" t="inlineStr">
        <is>
          <t>KARYAWAN</t>
        </is>
      </c>
    </row>
    <row r="269" ht="15.75" customHeight="1" s="169">
      <c r="A269" s="22" t="n">
        <v>328000429</v>
      </c>
      <c r="B269" s="22" t="inlineStr">
        <is>
          <t>FAIDAH ARRASID</t>
        </is>
      </c>
      <c r="C269" s="22" t="inlineStr">
        <is>
          <t>NON STAFF</t>
        </is>
      </c>
      <c r="D269" s="22" t="inlineStr">
        <is>
          <t>PROD</t>
        </is>
      </c>
      <c r="E269" s="22" t="inlineStr">
        <is>
          <t>PACKER</t>
        </is>
      </c>
      <c r="F269" s="13" t="inlineStr">
        <is>
          <t>KARYAWAN</t>
        </is>
      </c>
    </row>
    <row r="270" ht="15.75" customHeight="1" s="169">
      <c r="A270" s="22" t="n">
        <v>328000432</v>
      </c>
      <c r="B270" s="22" t="inlineStr">
        <is>
          <t>FEBRI AGUSTIN</t>
        </is>
      </c>
      <c r="C270" s="22" t="inlineStr">
        <is>
          <t>NON STAFF</t>
        </is>
      </c>
      <c r="D270" s="22" t="inlineStr">
        <is>
          <t>PROD</t>
        </is>
      </c>
      <c r="E270" s="22" t="inlineStr">
        <is>
          <t>PACKER</t>
        </is>
      </c>
      <c r="F270" s="13" t="inlineStr">
        <is>
          <t>KARYAWAN</t>
        </is>
      </c>
    </row>
    <row r="271" ht="15.75" customHeight="1" s="169">
      <c r="A271" s="22" t="n">
        <v>328000433</v>
      </c>
      <c r="B271" s="22" t="inlineStr">
        <is>
          <t>TYSA AYU AMELIA</t>
        </is>
      </c>
      <c r="C271" s="22" t="inlineStr">
        <is>
          <t>NON STAFF</t>
        </is>
      </c>
      <c r="D271" s="22" t="inlineStr">
        <is>
          <t>PROD</t>
        </is>
      </c>
      <c r="E271" s="22" t="inlineStr">
        <is>
          <t>PACKER</t>
        </is>
      </c>
      <c r="F271" s="13" t="inlineStr">
        <is>
          <t>KARYAWAN</t>
        </is>
      </c>
    </row>
    <row r="272" ht="15.75" customHeight="1" s="169">
      <c r="A272" s="22" t="n">
        <v>328000435</v>
      </c>
      <c r="B272" s="22" t="inlineStr">
        <is>
          <t>M RIZAL RAMDANI</t>
        </is>
      </c>
      <c r="C272" s="22" t="inlineStr">
        <is>
          <t>NON STAFF</t>
        </is>
      </c>
      <c r="D272" s="22" t="inlineStr">
        <is>
          <t>ENG</t>
        </is>
      </c>
      <c r="E272" s="22" t="inlineStr">
        <is>
          <t>MECHANICAL MACHINE MAINTENANCE</t>
        </is>
      </c>
      <c r="F272" s="13" t="inlineStr">
        <is>
          <t>KARYAWAN</t>
        </is>
      </c>
    </row>
    <row r="273" ht="15.75" customHeight="1" s="169">
      <c r="A273" s="22" t="n">
        <v>328000438</v>
      </c>
      <c r="B273" s="22" t="inlineStr">
        <is>
          <t>WANDI ISMAYADI</t>
        </is>
      </c>
      <c r="C273" s="22" t="inlineStr">
        <is>
          <t>NON STAFF</t>
        </is>
      </c>
      <c r="D273" s="22" t="inlineStr">
        <is>
          <t>LOG</t>
        </is>
      </c>
      <c r="E273" s="22" t="inlineStr">
        <is>
          <t>PIC AREA</t>
        </is>
      </c>
      <c r="F273" s="13" t="inlineStr">
        <is>
          <t>KARYAWAN</t>
        </is>
      </c>
    </row>
    <row r="274" ht="15.75" customHeight="1" s="169">
      <c r="A274" s="22" t="n">
        <v>328000439</v>
      </c>
      <c r="B274" s="22" t="inlineStr">
        <is>
          <t>DENI AZI PRASTYO</t>
        </is>
      </c>
      <c r="C274" s="22" t="inlineStr">
        <is>
          <t>NON STAFF</t>
        </is>
      </c>
      <c r="D274" s="22" t="inlineStr">
        <is>
          <t>LOG</t>
        </is>
      </c>
      <c r="E274" s="22" t="inlineStr">
        <is>
          <t>PIC AREA</t>
        </is>
      </c>
      <c r="F274" s="13" t="inlineStr">
        <is>
          <t>KARYAWAN</t>
        </is>
      </c>
    </row>
    <row r="275" ht="15.75" customHeight="1" s="169">
      <c r="A275" s="22" t="n">
        <v>328000441</v>
      </c>
      <c r="B275" s="22" t="inlineStr">
        <is>
          <t>AHMAD AZIZ FAUZI</t>
        </is>
      </c>
      <c r="C275" s="22" t="inlineStr">
        <is>
          <t>NON STAFF</t>
        </is>
      </c>
      <c r="D275" s="22" t="inlineStr">
        <is>
          <t>PROD</t>
        </is>
      </c>
      <c r="E275" s="22" t="inlineStr">
        <is>
          <t>TSP</t>
        </is>
      </c>
      <c r="F275" s="13" t="inlineStr">
        <is>
          <t>KARYAWAN</t>
        </is>
      </c>
    </row>
    <row r="276" ht="15.75" customHeight="1" s="169">
      <c r="A276" s="22" t="n">
        <v>328000442</v>
      </c>
      <c r="B276" s="22" t="inlineStr">
        <is>
          <t>SEPRIADI ABDILLAH</t>
        </is>
      </c>
      <c r="C276" s="22" t="inlineStr">
        <is>
          <t>NON STAFF</t>
        </is>
      </c>
      <c r="D276" s="22" t="inlineStr">
        <is>
          <t>LOG</t>
        </is>
      </c>
      <c r="E276" s="22" t="inlineStr">
        <is>
          <t>CHECKER</t>
        </is>
      </c>
      <c r="F276" s="13" t="inlineStr">
        <is>
          <t>KARYAWAN</t>
        </is>
      </c>
    </row>
    <row r="277" ht="15.75" customHeight="1" s="169">
      <c r="A277" s="22" t="n">
        <v>328000443</v>
      </c>
      <c r="B277" s="22" t="inlineStr">
        <is>
          <t>ADIS SUPRIATNA</t>
        </is>
      </c>
      <c r="C277" s="22" t="inlineStr">
        <is>
          <t>NON STAFF</t>
        </is>
      </c>
      <c r="D277" s="22" t="inlineStr">
        <is>
          <t>LOG</t>
        </is>
      </c>
      <c r="E277" s="22" t="inlineStr">
        <is>
          <t>ADMIN WFG</t>
        </is>
      </c>
      <c r="F277" s="13" t="inlineStr">
        <is>
          <t>KARYAWAN</t>
        </is>
      </c>
    </row>
    <row r="278" ht="15.75" customHeight="1" s="169">
      <c r="A278" s="22" t="n">
        <v>328000444</v>
      </c>
      <c r="B278" s="22" t="inlineStr">
        <is>
          <t>DESI SILVIANA</t>
        </is>
      </c>
      <c r="C278" s="22" t="inlineStr">
        <is>
          <t>NON STAFF</t>
        </is>
      </c>
      <c r="D278" s="22" t="inlineStr">
        <is>
          <t>PROD</t>
        </is>
      </c>
      <c r="E278" s="22" t="inlineStr">
        <is>
          <t>PACKER</t>
        </is>
      </c>
      <c r="F278" s="13" t="inlineStr">
        <is>
          <t>KARYAWAN</t>
        </is>
      </c>
    </row>
    <row r="279" ht="15.75" customHeight="1" s="169">
      <c r="A279" s="22" t="n">
        <v>328000445</v>
      </c>
      <c r="B279" s="22" t="inlineStr">
        <is>
          <t>MUHAMAD FAJAR AROBAN</t>
        </is>
      </c>
      <c r="C279" s="22" t="inlineStr">
        <is>
          <t>NON STAFF</t>
        </is>
      </c>
      <c r="D279" s="22" t="inlineStr">
        <is>
          <t>PROD</t>
        </is>
      </c>
      <c r="E279" s="22" t="inlineStr">
        <is>
          <t>PACKER</t>
        </is>
      </c>
      <c r="F279" s="13" t="inlineStr">
        <is>
          <t>KARYAWAN</t>
        </is>
      </c>
    </row>
    <row r="280" ht="15.75" customHeight="1" s="169">
      <c r="A280" s="22" t="n">
        <v>328000447</v>
      </c>
      <c r="B280" s="22" t="inlineStr">
        <is>
          <t>NENG ROSDIANTI</t>
        </is>
      </c>
      <c r="C280" s="22" t="inlineStr">
        <is>
          <t>NON STAFF</t>
        </is>
      </c>
      <c r="D280" s="22" t="inlineStr">
        <is>
          <t>QRD</t>
        </is>
      </c>
      <c r="E280" s="22" t="inlineStr">
        <is>
          <t>QC PRODUKSI</t>
        </is>
      </c>
      <c r="F280" s="13" t="inlineStr">
        <is>
          <t>KARYAWAN</t>
        </is>
      </c>
    </row>
    <row r="281" ht="15.75" customHeight="1" s="169">
      <c r="A281" s="22" t="n">
        <v>328000450</v>
      </c>
      <c r="B281" s="22" t="inlineStr">
        <is>
          <t>DANIEL AFRIJAL S.</t>
        </is>
      </c>
      <c r="C281" s="22" t="inlineStr">
        <is>
          <t>NON STAFF</t>
        </is>
      </c>
      <c r="D281" s="22" t="inlineStr">
        <is>
          <t>ENG</t>
        </is>
      </c>
      <c r="E281" s="22" t="inlineStr">
        <is>
          <t>TECHNICIAN</t>
        </is>
      </c>
      <c r="F281" s="13" t="inlineStr">
        <is>
          <t>KARYAWAN</t>
        </is>
      </c>
    </row>
    <row r="282" ht="15.75" customHeight="1" s="169">
      <c r="A282" s="22" t="n">
        <v>328000451</v>
      </c>
      <c r="B282" s="22" t="inlineStr">
        <is>
          <t>RIZKY NUGRAHA PRATAMA</t>
        </is>
      </c>
      <c r="C282" s="22" t="inlineStr">
        <is>
          <t>NON STAFF</t>
        </is>
      </c>
      <c r="D282" s="22" t="inlineStr">
        <is>
          <t>LOG</t>
        </is>
      </c>
      <c r="E282" s="22" t="inlineStr">
        <is>
          <t>OPERATOR FORKLIFT</t>
        </is>
      </c>
      <c r="F282" s="13" t="inlineStr">
        <is>
          <t>KARYAWAN</t>
        </is>
      </c>
    </row>
    <row r="283" ht="15.75" customHeight="1" s="169">
      <c r="A283" s="22" t="n">
        <v>328000452</v>
      </c>
      <c r="B283" s="22" t="inlineStr">
        <is>
          <t>AYUNDA NOVITA SARI</t>
        </is>
      </c>
      <c r="C283" s="22" t="inlineStr">
        <is>
          <t>NON STAFF</t>
        </is>
      </c>
      <c r="D283" s="22" t="inlineStr">
        <is>
          <t>QRD</t>
        </is>
      </c>
      <c r="E283" s="22" t="inlineStr">
        <is>
          <t>QC PRODUKSI</t>
        </is>
      </c>
      <c r="F283" s="13" t="inlineStr">
        <is>
          <t>KARYAWAN</t>
        </is>
      </c>
    </row>
    <row r="284" ht="15.75" customHeight="1" s="169">
      <c r="A284" s="22" t="n">
        <v>328000453</v>
      </c>
      <c r="B284" s="22" t="inlineStr">
        <is>
          <t>ABDUL HUSNI</t>
        </is>
      </c>
      <c r="C284" s="22" t="inlineStr">
        <is>
          <t>NON STAFF</t>
        </is>
      </c>
      <c r="D284" s="22" t="inlineStr">
        <is>
          <t>LOG</t>
        </is>
      </c>
      <c r="E284" s="22" t="inlineStr">
        <is>
          <t>PIC AREA</t>
        </is>
      </c>
      <c r="F284" s="13" t="inlineStr">
        <is>
          <t>KARYAWAN</t>
        </is>
      </c>
    </row>
    <row r="285" ht="15.75" customHeight="1" s="169">
      <c r="A285" s="22" t="n">
        <v>328000454</v>
      </c>
      <c r="B285" s="22" t="inlineStr">
        <is>
          <t>KURNIAWATI</t>
        </is>
      </c>
      <c r="C285" s="22" t="inlineStr">
        <is>
          <t>NON STAFF</t>
        </is>
      </c>
      <c r="D285" s="22" t="inlineStr">
        <is>
          <t>PROD</t>
        </is>
      </c>
      <c r="E285" s="22" t="inlineStr">
        <is>
          <t>PACKER</t>
        </is>
      </c>
      <c r="F285" s="13" t="inlineStr">
        <is>
          <t>KARYAWAN</t>
        </is>
      </c>
    </row>
    <row r="286" ht="15.75" customHeight="1" s="169">
      <c r="A286" s="22" t="n">
        <v>328000455</v>
      </c>
      <c r="B286" s="22" t="inlineStr">
        <is>
          <t>KANA</t>
        </is>
      </c>
      <c r="C286" s="22" t="inlineStr">
        <is>
          <t>NON STAFF</t>
        </is>
      </c>
      <c r="D286" s="22" t="inlineStr">
        <is>
          <t>ENG</t>
        </is>
      </c>
      <c r="E286" s="22" t="inlineStr">
        <is>
          <t>TECHNICIAN</t>
        </is>
      </c>
      <c r="F286" s="13" t="inlineStr">
        <is>
          <t>KARYAWAN</t>
        </is>
      </c>
    </row>
    <row r="287" ht="15.75" customHeight="1" s="169">
      <c r="A287" s="22" t="n">
        <v>328000458</v>
      </c>
      <c r="B287" s="22" t="inlineStr">
        <is>
          <t>HILDA ANGGRAENI</t>
        </is>
      </c>
      <c r="C287" s="22" t="inlineStr">
        <is>
          <t>NON STAFF</t>
        </is>
      </c>
      <c r="D287" s="22" t="inlineStr">
        <is>
          <t>PROD</t>
        </is>
      </c>
      <c r="E287" s="22" t="inlineStr">
        <is>
          <t>PACKER</t>
        </is>
      </c>
      <c r="F287" s="13" t="inlineStr">
        <is>
          <t>KARYAWAN</t>
        </is>
      </c>
    </row>
    <row r="288" ht="15.75" customHeight="1" s="169">
      <c r="A288" s="22" t="n">
        <v>328000459</v>
      </c>
      <c r="B288" s="22" t="inlineStr">
        <is>
          <t>HERLAN DARUS MAULANA</t>
        </is>
      </c>
      <c r="C288" s="22" t="inlineStr">
        <is>
          <t>NON STAFF</t>
        </is>
      </c>
      <c r="D288" s="22" t="inlineStr">
        <is>
          <t>ENG</t>
        </is>
      </c>
      <c r="E288" s="22" t="inlineStr">
        <is>
          <t>TECHNICIAN</t>
        </is>
      </c>
      <c r="F288" s="13" t="inlineStr">
        <is>
          <t>KARYAWAN</t>
        </is>
      </c>
    </row>
    <row r="289" ht="15.75" customHeight="1" s="169">
      <c r="A289" s="22" t="n">
        <v>328000460</v>
      </c>
      <c r="B289" s="22" t="inlineStr">
        <is>
          <t>EFARINA MULYA SETIAWATI</t>
        </is>
      </c>
      <c r="C289" s="22" t="inlineStr">
        <is>
          <t>NON STAFF</t>
        </is>
      </c>
      <c r="D289" s="22" t="inlineStr">
        <is>
          <t>PROD</t>
        </is>
      </c>
      <c r="E289" s="22" t="inlineStr">
        <is>
          <t>PACKER</t>
        </is>
      </c>
      <c r="F289" s="13" t="inlineStr">
        <is>
          <t>KARYAWAN</t>
        </is>
      </c>
    </row>
    <row r="290" ht="15.75" customHeight="1" s="169">
      <c r="A290" s="22" t="n">
        <v>328000461</v>
      </c>
      <c r="B290" s="22" t="inlineStr">
        <is>
          <t>AMAT BADARUDIN</t>
        </is>
      </c>
      <c r="C290" s="22" t="inlineStr">
        <is>
          <t>NON STAFF</t>
        </is>
      </c>
      <c r="D290" s="22" t="inlineStr">
        <is>
          <t>ENG</t>
        </is>
      </c>
      <c r="E290" s="22" t="inlineStr">
        <is>
          <t>TECHNICIAN</t>
        </is>
      </c>
      <c r="F290" s="13" t="inlineStr">
        <is>
          <t>KARYAWAN</t>
        </is>
      </c>
    </row>
    <row r="291" ht="15.75" customHeight="1" s="169">
      <c r="A291" s="22" t="n">
        <v>328000462</v>
      </c>
      <c r="B291" s="22" t="inlineStr">
        <is>
          <t>SYIFA AULIA PUTRI</t>
        </is>
      </c>
      <c r="C291" s="22" t="inlineStr">
        <is>
          <t>NON STAFF</t>
        </is>
      </c>
      <c r="D291" s="22" t="inlineStr">
        <is>
          <t>PROD</t>
        </is>
      </c>
      <c r="E291" s="22" t="inlineStr">
        <is>
          <t>PACKER</t>
        </is>
      </c>
      <c r="F291" s="13" t="inlineStr">
        <is>
          <t>KARYAWAN</t>
        </is>
      </c>
    </row>
    <row r="292" ht="15.75" customHeight="1" s="169">
      <c r="A292" s="22" t="n">
        <v>328000463</v>
      </c>
      <c r="B292" s="22" t="inlineStr">
        <is>
          <t>IRWAN GUSTIAN</t>
        </is>
      </c>
      <c r="C292" s="22" t="inlineStr">
        <is>
          <t>NON STAFF</t>
        </is>
      </c>
      <c r="D292" s="22" t="inlineStr">
        <is>
          <t>PROD</t>
        </is>
      </c>
      <c r="E292" s="22" t="inlineStr">
        <is>
          <t>OPERATOR</t>
        </is>
      </c>
      <c r="F292" s="13" t="inlineStr">
        <is>
          <t>KARYAWAN</t>
        </is>
      </c>
    </row>
    <row r="293" ht="15.75" customHeight="1" s="169">
      <c r="A293" s="22" t="n">
        <v>328000464</v>
      </c>
      <c r="B293" s="22" t="inlineStr">
        <is>
          <t>AIDIL AKBAR</t>
        </is>
      </c>
      <c r="C293" s="22" t="inlineStr">
        <is>
          <t>NON STAFF</t>
        </is>
      </c>
      <c r="D293" s="22" t="inlineStr">
        <is>
          <t>PROD</t>
        </is>
      </c>
      <c r="E293" s="22" t="inlineStr">
        <is>
          <t>PACKER</t>
        </is>
      </c>
      <c r="F293" s="13" t="inlineStr">
        <is>
          <t>KARYAWAN</t>
        </is>
      </c>
    </row>
    <row r="294" ht="15.75" customHeight="1" s="169">
      <c r="A294" s="22" t="n">
        <v>328000465</v>
      </c>
      <c r="B294" s="22" t="inlineStr">
        <is>
          <t>RIZKY MAULADI</t>
        </is>
      </c>
      <c r="C294" s="22" t="inlineStr">
        <is>
          <t>NON STAFF</t>
        </is>
      </c>
      <c r="D294" s="22" t="inlineStr">
        <is>
          <t>PROD</t>
        </is>
      </c>
      <c r="E294" s="22" t="inlineStr">
        <is>
          <t>OPERATOR</t>
        </is>
      </c>
      <c r="F294" s="13" t="inlineStr">
        <is>
          <t>KARYAWAN</t>
        </is>
      </c>
    </row>
    <row r="295" ht="15.75" customHeight="1" s="169">
      <c r="A295" s="22" t="n">
        <v>328000466</v>
      </c>
      <c r="B295" s="22" t="inlineStr">
        <is>
          <t>REZA WIJAYA</t>
        </is>
      </c>
      <c r="C295" s="22" t="inlineStr">
        <is>
          <t>NON STAFF</t>
        </is>
      </c>
      <c r="D295" s="22" t="inlineStr">
        <is>
          <t>ENG</t>
        </is>
      </c>
      <c r="E295" s="22" t="inlineStr">
        <is>
          <t>TECHNICIAN</t>
        </is>
      </c>
      <c r="F295" s="13" t="inlineStr">
        <is>
          <t>KARYAWAN</t>
        </is>
      </c>
    </row>
    <row r="296" ht="15.75" customHeight="1" s="169">
      <c r="A296" s="22" t="n">
        <v>328000467</v>
      </c>
      <c r="B296" s="22" t="inlineStr">
        <is>
          <t>YUSUF ROHMAN HIDAYAH</t>
        </is>
      </c>
      <c r="C296" s="22" t="inlineStr">
        <is>
          <t>NON STAFF</t>
        </is>
      </c>
      <c r="D296" s="22" t="inlineStr">
        <is>
          <t>PROD</t>
        </is>
      </c>
      <c r="E296" s="22" t="inlineStr">
        <is>
          <t>OPERATOR</t>
        </is>
      </c>
      <c r="F296" s="13" t="inlineStr">
        <is>
          <t>KARYAWAN</t>
        </is>
      </c>
    </row>
    <row r="297" ht="15.75" customHeight="1" s="169">
      <c r="A297" s="22" t="n">
        <v>328000468</v>
      </c>
      <c r="B297" s="22" t="inlineStr">
        <is>
          <t>DIKI SULAEMAN</t>
        </is>
      </c>
      <c r="C297" s="22" t="inlineStr">
        <is>
          <t>NON STAFF</t>
        </is>
      </c>
      <c r="D297" s="22" t="inlineStr">
        <is>
          <t>PROD</t>
        </is>
      </c>
      <c r="E297" s="22" t="inlineStr">
        <is>
          <t>OPERATOR</t>
        </is>
      </c>
      <c r="F297" s="13" t="inlineStr">
        <is>
          <t>KARYAWAN</t>
        </is>
      </c>
    </row>
    <row r="298" ht="15.75" customHeight="1" s="169">
      <c r="A298" s="22" t="n">
        <v>328000469</v>
      </c>
      <c r="B298" s="22" t="inlineStr">
        <is>
          <t>ARIYA SENJAYA</t>
        </is>
      </c>
      <c r="C298" s="22" t="inlineStr">
        <is>
          <t>NON STAFF</t>
        </is>
      </c>
      <c r="D298" s="22" t="inlineStr">
        <is>
          <t>PROD</t>
        </is>
      </c>
      <c r="E298" s="22" t="inlineStr">
        <is>
          <t>OPERATOR</t>
        </is>
      </c>
      <c r="F298" s="13" t="inlineStr">
        <is>
          <t>KARYAWAN</t>
        </is>
      </c>
    </row>
    <row r="299" ht="15.75" customHeight="1" s="169">
      <c r="A299" s="22" t="n">
        <v>328000470</v>
      </c>
      <c r="B299" s="22" t="inlineStr">
        <is>
          <t>NOVA ANGGRAENI</t>
        </is>
      </c>
      <c r="C299" s="22" t="inlineStr">
        <is>
          <t>NON STAFF</t>
        </is>
      </c>
      <c r="D299" s="22" t="inlineStr">
        <is>
          <t>QRD</t>
        </is>
      </c>
      <c r="E299" s="22" t="inlineStr">
        <is>
          <t>QC PRODUKSI</t>
        </is>
      </c>
      <c r="F299" s="13" t="inlineStr">
        <is>
          <t>KARYAWAN</t>
        </is>
      </c>
    </row>
    <row r="300" ht="15.75" customHeight="1" s="169">
      <c r="A300" s="22" t="n">
        <v>328000471</v>
      </c>
      <c r="B300" s="22" t="inlineStr">
        <is>
          <t>SAHRUL ZANURI</t>
        </is>
      </c>
      <c r="C300" s="22" t="inlineStr">
        <is>
          <t>NON STAFF</t>
        </is>
      </c>
      <c r="D300" s="22" t="inlineStr">
        <is>
          <t>LOG</t>
        </is>
      </c>
      <c r="E300" s="22" t="inlineStr">
        <is>
          <t>CHECKER</t>
        </is>
      </c>
      <c r="F300" s="13" t="inlineStr">
        <is>
          <t>KARYAWAN</t>
        </is>
      </c>
    </row>
    <row r="301" ht="15.75" customHeight="1" s="169">
      <c r="A301" s="22" t="n">
        <v>328000472</v>
      </c>
      <c r="B301" s="22" t="inlineStr">
        <is>
          <t>MUHAMMAD RAYHAN MUNAWAR</t>
        </is>
      </c>
      <c r="C301" s="22" t="inlineStr">
        <is>
          <t>NON STAFF</t>
        </is>
      </c>
      <c r="D301" s="22" t="inlineStr">
        <is>
          <t>PROD</t>
        </is>
      </c>
      <c r="E301" s="22" t="inlineStr">
        <is>
          <t>OPERATOR</t>
        </is>
      </c>
      <c r="F301" s="13" t="inlineStr">
        <is>
          <t>KARYAWAN</t>
        </is>
      </c>
    </row>
    <row r="302" ht="15.75" customHeight="1" s="169">
      <c r="A302" s="22" t="n">
        <v>328000473</v>
      </c>
      <c r="B302" s="22" t="inlineStr">
        <is>
          <t>ONENG KURNIATI</t>
        </is>
      </c>
      <c r="C302" s="22" t="inlineStr">
        <is>
          <t>NON STAFF</t>
        </is>
      </c>
      <c r="D302" s="22" t="inlineStr">
        <is>
          <t>QRD</t>
        </is>
      </c>
      <c r="E302" s="22" t="inlineStr">
        <is>
          <t>QC PRODUKSI</t>
        </is>
      </c>
      <c r="F302" s="13" t="inlineStr">
        <is>
          <t>KARYAWAN</t>
        </is>
      </c>
    </row>
    <row r="303" ht="15.75" customHeight="1" s="169">
      <c r="A303" s="22" t="n">
        <v>328000474</v>
      </c>
      <c r="B303" s="22" t="inlineStr">
        <is>
          <t>ALMA APRILLIANI</t>
        </is>
      </c>
      <c r="C303" s="22" t="inlineStr">
        <is>
          <t>NON STAFF</t>
        </is>
      </c>
      <c r="D303" s="22" t="inlineStr">
        <is>
          <t>PROD</t>
        </is>
      </c>
      <c r="E303" s="22" t="inlineStr">
        <is>
          <t>PACKER</t>
        </is>
      </c>
      <c r="F303" s="13" t="inlineStr">
        <is>
          <t>KARYAWAN</t>
        </is>
      </c>
    </row>
    <row r="304" ht="15.75" customHeight="1" s="169">
      <c r="A304" s="22" t="n">
        <v>328000475</v>
      </c>
      <c r="B304" s="22" t="inlineStr">
        <is>
          <t>EVHA WIDIYANIGSIH</t>
        </is>
      </c>
      <c r="C304" s="22" t="inlineStr">
        <is>
          <t>NON STAFF</t>
        </is>
      </c>
      <c r="D304" s="22" t="inlineStr">
        <is>
          <t>PROD</t>
        </is>
      </c>
      <c r="E304" s="22" t="inlineStr">
        <is>
          <t>PACKER</t>
        </is>
      </c>
      <c r="F304" s="13" t="inlineStr">
        <is>
          <t>KARYAWAN</t>
        </is>
      </c>
    </row>
    <row r="305" ht="15.75" customHeight="1" s="169">
      <c r="A305" s="22" t="n">
        <v>328000477</v>
      </c>
      <c r="B305" s="22" t="inlineStr">
        <is>
          <t>AYU RAHMADANY</t>
        </is>
      </c>
      <c r="C305" s="22" t="inlineStr">
        <is>
          <t>NON STAFF</t>
        </is>
      </c>
      <c r="D305" s="22" t="inlineStr">
        <is>
          <t>PROD</t>
        </is>
      </c>
      <c r="E305" s="22" t="inlineStr">
        <is>
          <t>PACKER</t>
        </is>
      </c>
      <c r="F305" s="13" t="inlineStr">
        <is>
          <t>KARYAWAN</t>
        </is>
      </c>
    </row>
    <row r="306" ht="15.75" customHeight="1" s="169">
      <c r="A306" s="22" t="n">
        <v>328000478</v>
      </c>
      <c r="B306" s="22" t="inlineStr">
        <is>
          <t>NIA RAMADANI</t>
        </is>
      </c>
      <c r="C306" s="22" t="inlineStr">
        <is>
          <t>NON STAFF</t>
        </is>
      </c>
      <c r="D306" s="22" t="inlineStr">
        <is>
          <t>PROD</t>
        </is>
      </c>
      <c r="E306" s="22" t="inlineStr">
        <is>
          <t>PACKER</t>
        </is>
      </c>
      <c r="F306" s="13" t="inlineStr">
        <is>
          <t>KARYAWAN</t>
        </is>
      </c>
    </row>
    <row r="307" ht="15.75" customHeight="1" s="169">
      <c r="A307" s="22" t="n">
        <v>328000479</v>
      </c>
      <c r="B307" s="22" t="inlineStr">
        <is>
          <t>AMBAR AZZAHRA</t>
        </is>
      </c>
      <c r="C307" s="22" t="inlineStr">
        <is>
          <t>NON STAFF</t>
        </is>
      </c>
      <c r="D307" s="22" t="inlineStr">
        <is>
          <t>PROD</t>
        </is>
      </c>
      <c r="E307" s="22" t="inlineStr">
        <is>
          <t>PACKER</t>
        </is>
      </c>
      <c r="F307" s="13" t="inlineStr">
        <is>
          <t>KARYAWAN</t>
        </is>
      </c>
    </row>
    <row r="308" ht="15.75" customHeight="1" s="169">
      <c r="A308" s="22" t="n">
        <v>328000480</v>
      </c>
      <c r="B308" s="22" t="inlineStr">
        <is>
          <t>RISKA AMELYANI</t>
        </is>
      </c>
      <c r="C308" s="22" t="inlineStr">
        <is>
          <t>NON STAFF</t>
        </is>
      </c>
      <c r="D308" s="22" t="inlineStr">
        <is>
          <t>PROD</t>
        </is>
      </c>
      <c r="E308" s="22" t="inlineStr">
        <is>
          <t>PACKER</t>
        </is>
      </c>
      <c r="F308" s="13" t="inlineStr">
        <is>
          <t>KARYAWAN</t>
        </is>
      </c>
    </row>
    <row r="309" ht="15.75" customHeight="1" s="169">
      <c r="A309" s="22" t="n">
        <v>328000481</v>
      </c>
      <c r="B309" s="22" t="inlineStr">
        <is>
          <t>SYIFA FADILLAH</t>
        </is>
      </c>
      <c r="C309" s="22" t="inlineStr">
        <is>
          <t>NON STAFF</t>
        </is>
      </c>
      <c r="D309" s="22" t="inlineStr">
        <is>
          <t>PROD</t>
        </is>
      </c>
      <c r="E309" s="22" t="inlineStr">
        <is>
          <t>PACKER</t>
        </is>
      </c>
      <c r="F309" s="13" t="inlineStr">
        <is>
          <t>KARYAWAN</t>
        </is>
      </c>
    </row>
    <row r="310" ht="15.75" customHeight="1" s="169">
      <c r="A310" s="22" t="n">
        <v>328000482</v>
      </c>
      <c r="B310" s="22" t="inlineStr">
        <is>
          <t>HAIDIR JAMALULLAIL</t>
        </is>
      </c>
      <c r="C310" s="22" t="inlineStr">
        <is>
          <t>NON STAFF</t>
        </is>
      </c>
      <c r="D310" s="22" t="inlineStr">
        <is>
          <t>PROD</t>
        </is>
      </c>
      <c r="E310" s="22" t="inlineStr">
        <is>
          <t>PACKER</t>
        </is>
      </c>
      <c r="F310" s="13" t="inlineStr">
        <is>
          <t>KARYAWAN</t>
        </is>
      </c>
    </row>
    <row r="311" ht="15.75" customHeight="1" s="169">
      <c r="A311" s="22" t="n">
        <v>328000483</v>
      </c>
      <c r="B311" s="22" t="inlineStr">
        <is>
          <t>MUHAMAD FEBRI SETIAWAN</t>
        </is>
      </c>
      <c r="C311" s="22" t="inlineStr">
        <is>
          <t>NON STAFF</t>
        </is>
      </c>
      <c r="D311" s="22" t="inlineStr">
        <is>
          <t>PROD</t>
        </is>
      </c>
      <c r="E311" s="22" t="inlineStr">
        <is>
          <t>PACKER</t>
        </is>
      </c>
      <c r="F311" s="13" t="inlineStr">
        <is>
          <t>KARYAWAN</t>
        </is>
      </c>
    </row>
    <row r="312" ht="15.75" customHeight="1" s="169">
      <c r="A312" s="22" t="n">
        <v>328000485</v>
      </c>
      <c r="B312" s="22" t="inlineStr">
        <is>
          <t>RIO RAMADANI</t>
        </is>
      </c>
      <c r="C312" s="22" t="inlineStr">
        <is>
          <t>NON STAFF</t>
        </is>
      </c>
      <c r="D312" s="22" t="inlineStr">
        <is>
          <t>PROD</t>
        </is>
      </c>
      <c r="E312" s="22" t="inlineStr">
        <is>
          <t>PACKER</t>
        </is>
      </c>
      <c r="F312" s="13" t="inlineStr">
        <is>
          <t>KARYAWAN</t>
        </is>
      </c>
    </row>
    <row r="313" ht="15.75" customHeight="1" s="169">
      <c r="A313" s="22" t="n">
        <v>328000486</v>
      </c>
      <c r="B313" s="22" t="inlineStr">
        <is>
          <t>YULI CAHYANI</t>
        </is>
      </c>
      <c r="C313" s="22" t="inlineStr">
        <is>
          <t>NON STAFF</t>
        </is>
      </c>
      <c r="D313" s="22" t="inlineStr">
        <is>
          <t>PROD</t>
        </is>
      </c>
      <c r="E313" s="22" t="inlineStr">
        <is>
          <t>PACKER</t>
        </is>
      </c>
      <c r="F313" s="13" t="inlineStr">
        <is>
          <t>KARYAWAN</t>
        </is>
      </c>
    </row>
    <row r="314" ht="15.75" customHeight="1" s="169">
      <c r="A314" s="22" t="n">
        <v>328000487</v>
      </c>
      <c r="B314" s="22" t="inlineStr">
        <is>
          <t>INDAH SRI RAHAYU</t>
        </is>
      </c>
      <c r="C314" s="22" t="inlineStr">
        <is>
          <t>NON STAFF</t>
        </is>
      </c>
      <c r="D314" s="22" t="inlineStr">
        <is>
          <t>PROD</t>
        </is>
      </c>
      <c r="E314" s="22" t="inlineStr">
        <is>
          <t>PACKER</t>
        </is>
      </c>
      <c r="F314" s="13" t="inlineStr">
        <is>
          <t>KARYAWAN</t>
        </is>
      </c>
    </row>
    <row r="315" ht="15.75" customHeight="1" s="169">
      <c r="A315" s="22" t="n">
        <v>328000488</v>
      </c>
      <c r="B315" s="22" t="inlineStr">
        <is>
          <t>MUCHAMAD AZIS NURJAMAN</t>
        </is>
      </c>
      <c r="C315" s="22" t="inlineStr">
        <is>
          <t>NON STAFF</t>
        </is>
      </c>
      <c r="D315" s="22" t="inlineStr">
        <is>
          <t>LOG</t>
        </is>
      </c>
      <c r="E315" s="22" t="inlineStr">
        <is>
          <t>OPERATOR REACHTRUCK</t>
        </is>
      </c>
      <c r="F315" s="13" t="inlineStr">
        <is>
          <t>KARYAWAN</t>
        </is>
      </c>
    </row>
    <row r="316" ht="15.75" customHeight="1" s="169">
      <c r="A316" s="22" t="n">
        <v>328000489</v>
      </c>
      <c r="B316" s="22" t="inlineStr">
        <is>
          <t>SIFA NURAENI</t>
        </is>
      </c>
      <c r="C316" s="22" t="inlineStr">
        <is>
          <t>NON STAFF</t>
        </is>
      </c>
      <c r="D316" s="22" t="inlineStr">
        <is>
          <t>PROD</t>
        </is>
      </c>
      <c r="E316" s="22" t="inlineStr">
        <is>
          <t>PACKER</t>
        </is>
      </c>
      <c r="F316" s="13" t="inlineStr">
        <is>
          <t>KARYAWAN</t>
        </is>
      </c>
    </row>
    <row r="317" ht="15.75" customHeight="1" s="169">
      <c r="A317" s="22" t="n">
        <v>328000490</v>
      </c>
      <c r="B317" s="22" t="inlineStr">
        <is>
          <t>YASINTA</t>
        </is>
      </c>
      <c r="C317" s="22" t="inlineStr">
        <is>
          <t>NON STAFF</t>
        </is>
      </c>
      <c r="D317" s="22" t="inlineStr">
        <is>
          <t>PROD</t>
        </is>
      </c>
      <c r="E317" s="22" t="inlineStr">
        <is>
          <t>PACKER</t>
        </is>
      </c>
      <c r="F317" s="13" t="inlineStr">
        <is>
          <t>KARYAWAN</t>
        </is>
      </c>
    </row>
    <row r="318" ht="15.75" customHeight="1" s="169">
      <c r="A318" s="22" t="n">
        <v>328000491</v>
      </c>
      <c r="B318" s="22" t="inlineStr">
        <is>
          <t>NAURAH QURRATU'AIN</t>
        </is>
      </c>
      <c r="C318" s="22" t="inlineStr">
        <is>
          <t>NON STAFF</t>
        </is>
      </c>
      <c r="D318" s="22" t="inlineStr">
        <is>
          <t>QRD</t>
        </is>
      </c>
      <c r="E318" s="22" t="inlineStr">
        <is>
          <t>QC PRODUKSI</t>
        </is>
      </c>
      <c r="F318" s="13" t="inlineStr">
        <is>
          <t>KARYAWAN</t>
        </is>
      </c>
    </row>
    <row r="319" ht="15.75" customHeight="1" s="169">
      <c r="A319" s="22" t="n">
        <v>328000493</v>
      </c>
      <c r="B319" s="22" t="inlineStr">
        <is>
          <t>HERU HERDIANSYAH</t>
        </is>
      </c>
      <c r="C319" s="22" t="inlineStr">
        <is>
          <t>NON STAFF</t>
        </is>
      </c>
      <c r="D319" s="22" t="inlineStr">
        <is>
          <t>ENG</t>
        </is>
      </c>
      <c r="E319" s="22" t="inlineStr">
        <is>
          <t>SHIFT MAINTENANCE</t>
        </is>
      </c>
      <c r="F319" s="13" t="inlineStr">
        <is>
          <t>KARYAWAN</t>
        </is>
      </c>
    </row>
    <row r="320" ht="15.75" customHeight="1" s="169">
      <c r="A320" s="22" t="n">
        <v>328000494</v>
      </c>
      <c r="B320" s="22" t="inlineStr">
        <is>
          <t>AKHMAD YURI MAULANA</t>
        </is>
      </c>
      <c r="C320" s="22" t="inlineStr">
        <is>
          <t>NON STAFF</t>
        </is>
      </c>
      <c r="D320" s="22" t="inlineStr">
        <is>
          <t>LOG</t>
        </is>
      </c>
      <c r="E320" s="22" t="inlineStr">
        <is>
          <t>OPERATOR REACHTRUCK</t>
        </is>
      </c>
      <c r="F320" s="13" t="inlineStr">
        <is>
          <t>KARYAWAN</t>
        </is>
      </c>
    </row>
    <row r="321" ht="15.75" customHeight="1" s="169">
      <c r="A321" s="22" t="n">
        <v>328000498</v>
      </c>
      <c r="B321" s="22" t="inlineStr">
        <is>
          <t>AMELIA</t>
        </is>
      </c>
      <c r="C321" s="22" t="inlineStr">
        <is>
          <t>NON STAFF</t>
        </is>
      </c>
      <c r="D321" s="22" t="inlineStr">
        <is>
          <t>QRD</t>
        </is>
      </c>
      <c r="E321" s="22" t="inlineStr">
        <is>
          <t>QC PRODUKSI</t>
        </is>
      </c>
      <c r="F321" s="13" t="inlineStr">
        <is>
          <t>KARYAWAN</t>
        </is>
      </c>
    </row>
    <row r="322" ht="15.75" customHeight="1" s="169">
      <c r="A322" s="22" t="n">
        <v>328000499</v>
      </c>
      <c r="B322" s="22" t="inlineStr">
        <is>
          <t>KUSNADI</t>
        </is>
      </c>
      <c r="C322" s="22" t="inlineStr">
        <is>
          <t>NON STAFF</t>
        </is>
      </c>
      <c r="D322" s="22" t="inlineStr">
        <is>
          <t>ENG</t>
        </is>
      </c>
      <c r="E322" s="22" t="inlineStr">
        <is>
          <t>TECHNICIAN</t>
        </is>
      </c>
      <c r="F322" s="13" t="inlineStr">
        <is>
          <t>KARYAWAN</t>
        </is>
      </c>
    </row>
    <row r="323" ht="15.75" customHeight="1" s="169">
      <c r="A323" s="22" t="n">
        <v>328000501</v>
      </c>
      <c r="B323" s="22" t="inlineStr">
        <is>
          <t>AHYAR SUHADA</t>
        </is>
      </c>
      <c r="C323" s="22" t="inlineStr">
        <is>
          <t>NON STAFF</t>
        </is>
      </c>
      <c r="D323" s="22" t="inlineStr">
        <is>
          <t>PROD</t>
        </is>
      </c>
      <c r="E323" s="22" t="inlineStr">
        <is>
          <t>OPERATOR</t>
        </is>
      </c>
      <c r="F323" s="13" t="inlineStr">
        <is>
          <t>KARYAWAN</t>
        </is>
      </c>
    </row>
    <row r="324" ht="15.75" customHeight="1" s="169">
      <c r="A324" s="22" t="n">
        <v>328000503</v>
      </c>
      <c r="B324" s="22" t="inlineStr">
        <is>
          <t>IYUS YUSUP</t>
        </is>
      </c>
      <c r="C324" s="22" t="inlineStr">
        <is>
          <t>NON STAFF</t>
        </is>
      </c>
      <c r="D324" s="22" t="inlineStr">
        <is>
          <t>PROD</t>
        </is>
      </c>
      <c r="E324" s="22" t="inlineStr">
        <is>
          <t>OPERATOR</t>
        </is>
      </c>
      <c r="F324" s="13" t="inlineStr">
        <is>
          <t>KARYAWAN</t>
        </is>
      </c>
    </row>
    <row r="325" ht="15.75" customHeight="1" s="169">
      <c r="A325" s="22" t="n">
        <v>328000505</v>
      </c>
      <c r="B325" s="22" t="inlineStr">
        <is>
          <t>ILHAM MAHENDRA PUTRA ADI</t>
        </is>
      </c>
      <c r="C325" s="22" t="inlineStr">
        <is>
          <t>NON STAFF</t>
        </is>
      </c>
      <c r="D325" s="22" t="inlineStr">
        <is>
          <t>PROD</t>
        </is>
      </c>
      <c r="E325" s="22" t="inlineStr">
        <is>
          <t>OPERATOR</t>
        </is>
      </c>
      <c r="F325" s="13" t="inlineStr">
        <is>
          <t>KARYAWAN</t>
        </is>
      </c>
    </row>
    <row r="326" ht="15.75" customHeight="1" s="169">
      <c r="A326" s="22" t="n">
        <v>328000506</v>
      </c>
      <c r="B326" s="22" t="inlineStr">
        <is>
          <t>RUSDI SALEH</t>
        </is>
      </c>
      <c r="C326" s="22" t="inlineStr">
        <is>
          <t>NON STAFF</t>
        </is>
      </c>
      <c r="D326" s="22" t="inlineStr">
        <is>
          <t>PROD</t>
        </is>
      </c>
      <c r="E326" s="22" t="inlineStr">
        <is>
          <t>OPERATOR</t>
        </is>
      </c>
      <c r="F326" s="13" t="inlineStr">
        <is>
          <t>KARYAWAN</t>
        </is>
      </c>
    </row>
    <row r="327" ht="15.75" customHeight="1" s="169">
      <c r="A327" s="22" t="n">
        <v>328000507</v>
      </c>
      <c r="B327" s="22" t="inlineStr">
        <is>
          <t>MAULANA CAHYANA YUSUP</t>
        </is>
      </c>
      <c r="C327" s="22" t="inlineStr">
        <is>
          <t>NON STAFF</t>
        </is>
      </c>
      <c r="D327" s="22" t="inlineStr">
        <is>
          <t>PROD</t>
        </is>
      </c>
      <c r="E327" s="22" t="inlineStr">
        <is>
          <t>OPERATOR</t>
        </is>
      </c>
      <c r="F327" s="13" t="inlineStr">
        <is>
          <t>KARYAWAN</t>
        </is>
      </c>
    </row>
    <row r="328" ht="15.75" customHeight="1" s="169">
      <c r="A328" s="22" t="n">
        <v>328000508</v>
      </c>
      <c r="B328" s="22" t="inlineStr">
        <is>
          <t>RANGGA LESMANA</t>
        </is>
      </c>
      <c r="C328" s="22" t="inlineStr">
        <is>
          <t>NON STAFF</t>
        </is>
      </c>
      <c r="D328" s="22" t="inlineStr">
        <is>
          <t>PROD</t>
        </is>
      </c>
      <c r="E328" s="22" t="inlineStr">
        <is>
          <t>OPERATOR</t>
        </is>
      </c>
      <c r="F328" s="13" t="inlineStr">
        <is>
          <t>KARYAWAN</t>
        </is>
      </c>
    </row>
    <row r="329" ht="15.75" customHeight="1" s="169">
      <c r="A329" s="22" t="n">
        <v>328000509</v>
      </c>
      <c r="B329" s="22" t="inlineStr">
        <is>
          <t>AGASTYA TRI AJI</t>
        </is>
      </c>
      <c r="C329" s="22" t="inlineStr">
        <is>
          <t>NON STAFF</t>
        </is>
      </c>
      <c r="D329" s="22" t="inlineStr">
        <is>
          <t>PROD</t>
        </is>
      </c>
      <c r="E329" s="22" t="inlineStr">
        <is>
          <t>OPERATOR</t>
        </is>
      </c>
      <c r="F329" s="13" t="inlineStr">
        <is>
          <t>KARYAWAN</t>
        </is>
      </c>
    </row>
    <row r="330" ht="15.75" customHeight="1" s="169">
      <c r="A330" s="22" t="n">
        <v>328000510</v>
      </c>
      <c r="B330" s="22" t="inlineStr">
        <is>
          <t>ALFIAN RIZKI</t>
        </is>
      </c>
      <c r="C330" s="22" t="inlineStr">
        <is>
          <t>NON STAFF</t>
        </is>
      </c>
      <c r="D330" s="22" t="inlineStr">
        <is>
          <t>PROD</t>
        </is>
      </c>
      <c r="E330" s="22" t="inlineStr">
        <is>
          <t>OPERATOR</t>
        </is>
      </c>
      <c r="F330" s="13" t="inlineStr">
        <is>
          <t>KARYAWAN</t>
        </is>
      </c>
    </row>
    <row r="331" ht="15.75" customHeight="1" s="169">
      <c r="A331" s="22" t="n">
        <v>328000511</v>
      </c>
      <c r="B331" s="22" t="inlineStr">
        <is>
          <t>SRI ANISA</t>
        </is>
      </c>
      <c r="C331" s="22" t="inlineStr">
        <is>
          <t>NON STAFF</t>
        </is>
      </c>
      <c r="D331" s="22" t="inlineStr">
        <is>
          <t>PROD</t>
        </is>
      </c>
      <c r="E331" s="22" t="inlineStr">
        <is>
          <t>PACKER</t>
        </is>
      </c>
      <c r="F331" s="13" t="inlineStr">
        <is>
          <t>KARYAWAN</t>
        </is>
      </c>
    </row>
    <row r="332" ht="15.75" customHeight="1" s="169">
      <c r="A332" s="22" t="n">
        <v>328000512</v>
      </c>
      <c r="B332" s="22" t="inlineStr">
        <is>
          <t>DENI HERMAWAN</t>
        </is>
      </c>
      <c r="C332" s="22" t="inlineStr">
        <is>
          <t>NON STAFF</t>
        </is>
      </c>
      <c r="D332" s="22" t="inlineStr">
        <is>
          <t>PROD</t>
        </is>
      </c>
      <c r="E332" s="22" t="inlineStr">
        <is>
          <t>PACKER</t>
        </is>
      </c>
      <c r="F332" s="13" t="inlineStr">
        <is>
          <t>KARYAWAN</t>
        </is>
      </c>
    </row>
    <row r="333" ht="15.75" customHeight="1" s="169">
      <c r="A333" s="22" t="n">
        <v>328000513</v>
      </c>
      <c r="B333" s="22" t="inlineStr">
        <is>
          <t>RAKA PUTRA PRIYATNA</t>
        </is>
      </c>
      <c r="C333" s="22" t="inlineStr">
        <is>
          <t>NON STAFF</t>
        </is>
      </c>
      <c r="D333" s="22" t="inlineStr">
        <is>
          <t>LOG</t>
        </is>
      </c>
      <c r="E333" s="22" t="inlineStr">
        <is>
          <t>OPERATOR REACHTRUCK</t>
        </is>
      </c>
      <c r="F333" s="13" t="inlineStr">
        <is>
          <t>KARYAWAN</t>
        </is>
      </c>
    </row>
    <row r="334" ht="15.75" customHeight="1" s="169">
      <c r="A334" s="22" t="n">
        <v>328000514</v>
      </c>
      <c r="B334" s="22" t="inlineStr">
        <is>
          <t>DEVINA PURWITA</t>
        </is>
      </c>
      <c r="C334" s="22" t="inlineStr">
        <is>
          <t>NON STAFF</t>
        </is>
      </c>
      <c r="D334" s="22" t="inlineStr">
        <is>
          <t>PROD</t>
        </is>
      </c>
      <c r="E334" s="22" t="inlineStr">
        <is>
          <t>PACKER</t>
        </is>
      </c>
      <c r="F334" s="13" t="inlineStr">
        <is>
          <t>KARYAWAN</t>
        </is>
      </c>
    </row>
    <row r="335" ht="15.75" customHeight="1" s="169">
      <c r="A335" s="22" t="n">
        <v>328000515</v>
      </c>
      <c r="B335" s="22" t="inlineStr">
        <is>
          <t>MOCH RIZKY FEBRIANA</t>
        </is>
      </c>
      <c r="C335" s="22" t="inlineStr">
        <is>
          <t>NON STAFF</t>
        </is>
      </c>
      <c r="D335" s="22" t="inlineStr">
        <is>
          <t>PROD</t>
        </is>
      </c>
      <c r="E335" s="22" t="inlineStr">
        <is>
          <t>OPERATOR</t>
        </is>
      </c>
      <c r="F335" s="13" t="inlineStr">
        <is>
          <t>KARYAWAN</t>
        </is>
      </c>
    </row>
    <row r="336" ht="15.75" customHeight="1" s="169">
      <c r="A336" s="22" t="n">
        <v>328000516</v>
      </c>
      <c r="B336" s="22" t="inlineStr">
        <is>
          <t>ACEP SAEPULLOH</t>
        </is>
      </c>
      <c r="C336" s="22" t="inlineStr">
        <is>
          <t>NON STAFF</t>
        </is>
      </c>
      <c r="D336" s="22" t="inlineStr">
        <is>
          <t>LOG</t>
        </is>
      </c>
      <c r="E336" s="22" t="inlineStr">
        <is>
          <t>OPERATOR REACHTRUCK</t>
        </is>
      </c>
      <c r="F336" s="13" t="inlineStr">
        <is>
          <t>KARYAWAN</t>
        </is>
      </c>
    </row>
    <row r="337" ht="15.75" customHeight="1" s="169">
      <c r="A337" s="22" t="n">
        <v>328000517</v>
      </c>
      <c r="B337" s="22" t="inlineStr">
        <is>
          <t>AJI NURDANI</t>
        </is>
      </c>
      <c r="C337" s="22" t="inlineStr">
        <is>
          <t>NON STAFF</t>
        </is>
      </c>
      <c r="D337" s="22" t="inlineStr">
        <is>
          <t>PROD</t>
        </is>
      </c>
      <c r="E337" s="22" t="inlineStr">
        <is>
          <t>OPERATOR</t>
        </is>
      </c>
      <c r="F337" s="13" t="inlineStr">
        <is>
          <t>KARYAWAN</t>
        </is>
      </c>
    </row>
    <row r="338" ht="15.75" customHeight="1" s="169">
      <c r="A338" s="22" t="n">
        <v>328000519</v>
      </c>
      <c r="B338" s="22" t="inlineStr">
        <is>
          <t>ILWAN</t>
        </is>
      </c>
      <c r="C338" s="22" t="inlineStr">
        <is>
          <t>NON STAFF</t>
        </is>
      </c>
      <c r="D338" s="22" t="inlineStr">
        <is>
          <t>PROD</t>
        </is>
      </c>
      <c r="E338" s="22" t="inlineStr">
        <is>
          <t>OPERATOR</t>
        </is>
      </c>
      <c r="F338" s="13" t="inlineStr">
        <is>
          <t>KARYAWAN</t>
        </is>
      </c>
    </row>
    <row r="339" ht="15.75" customHeight="1" s="169">
      <c r="A339" s="22" t="n">
        <v>328000520</v>
      </c>
      <c r="B339" s="22" t="inlineStr">
        <is>
          <t>INDRA NURFAZRI</t>
        </is>
      </c>
      <c r="C339" s="22" t="inlineStr">
        <is>
          <t>NON STAFF</t>
        </is>
      </c>
      <c r="D339" s="22" t="inlineStr">
        <is>
          <t>PROD</t>
        </is>
      </c>
      <c r="E339" s="22" t="inlineStr">
        <is>
          <t>OPERATOR</t>
        </is>
      </c>
      <c r="F339" s="13" t="inlineStr">
        <is>
          <t>KARYAWAN</t>
        </is>
      </c>
    </row>
    <row r="340" ht="15.75" customHeight="1" s="169">
      <c r="A340" s="22" t="n">
        <v>328000521</v>
      </c>
      <c r="B340" s="22" t="inlineStr">
        <is>
          <t>IKBAR FADILLAH</t>
        </is>
      </c>
      <c r="C340" s="22" t="inlineStr">
        <is>
          <t>NON STAFF</t>
        </is>
      </c>
      <c r="D340" s="22" t="inlineStr">
        <is>
          <t>PROD</t>
        </is>
      </c>
      <c r="E340" s="22" t="inlineStr">
        <is>
          <t>OPERATOR</t>
        </is>
      </c>
      <c r="F340" s="13" t="inlineStr">
        <is>
          <t>KARYAWAN</t>
        </is>
      </c>
    </row>
    <row r="341" ht="15.75" customHeight="1" s="169">
      <c r="A341" s="22" t="n">
        <v>328000522</v>
      </c>
      <c r="B341" s="22" t="inlineStr">
        <is>
          <t>EGA SUPRIATNA</t>
        </is>
      </c>
      <c r="C341" s="22" t="inlineStr">
        <is>
          <t>NON STAFF</t>
        </is>
      </c>
      <c r="D341" s="22" t="inlineStr">
        <is>
          <t>PROD</t>
        </is>
      </c>
      <c r="E341" s="22" t="inlineStr">
        <is>
          <t>OPERATOR</t>
        </is>
      </c>
      <c r="F341" s="13" t="inlineStr">
        <is>
          <t>KARYAWAN</t>
        </is>
      </c>
    </row>
    <row r="342" ht="15.75" customHeight="1" s="169">
      <c r="A342" s="22" t="n">
        <v>328000523</v>
      </c>
      <c r="B342" s="22" t="inlineStr">
        <is>
          <t>SATYA ZACKY NUGRAHA PUTRA</t>
        </is>
      </c>
      <c r="C342" s="22" t="inlineStr">
        <is>
          <t>NON STAFF</t>
        </is>
      </c>
      <c r="D342" s="22" t="inlineStr">
        <is>
          <t>PROD</t>
        </is>
      </c>
      <c r="E342" s="22" t="inlineStr">
        <is>
          <t>OPERATOR</t>
        </is>
      </c>
      <c r="F342" s="13" t="inlineStr">
        <is>
          <t>KARYAWAN</t>
        </is>
      </c>
    </row>
    <row r="343" ht="15.75" customHeight="1" s="169">
      <c r="A343" s="22" t="n">
        <v>328000524</v>
      </c>
      <c r="B343" s="22" t="inlineStr">
        <is>
          <t>GALIH GAMA RAHMAN</t>
        </is>
      </c>
      <c r="C343" s="22" t="inlineStr">
        <is>
          <t>NON STAFF</t>
        </is>
      </c>
      <c r="D343" s="22" t="inlineStr">
        <is>
          <t>PROD</t>
        </is>
      </c>
      <c r="E343" s="22" t="inlineStr">
        <is>
          <t>OPERATOR</t>
        </is>
      </c>
      <c r="F343" s="13" t="inlineStr">
        <is>
          <t>KARYAWAN</t>
        </is>
      </c>
    </row>
    <row r="344" ht="15.75" customHeight="1" s="169">
      <c r="A344" s="22" t="n">
        <v>328000525</v>
      </c>
      <c r="B344" s="22" t="inlineStr">
        <is>
          <t>WAHID NUR ROHMAN</t>
        </is>
      </c>
      <c r="C344" s="22" t="inlineStr">
        <is>
          <t>NON STAFF</t>
        </is>
      </c>
      <c r="D344" s="22" t="inlineStr">
        <is>
          <t>LOG</t>
        </is>
      </c>
      <c r="E344" s="22" t="inlineStr">
        <is>
          <t>ADMIN TIMBANGAN</t>
        </is>
      </c>
      <c r="F344" s="13" t="inlineStr">
        <is>
          <t>KARYAWAN</t>
        </is>
      </c>
    </row>
    <row r="345" ht="15.75" customHeight="1" s="169">
      <c r="A345" s="22" t="n">
        <v>328000526</v>
      </c>
      <c r="B345" s="22" t="inlineStr">
        <is>
          <t>ZALFA FADHILAH PUTRI</t>
        </is>
      </c>
      <c r="C345" s="22" t="inlineStr">
        <is>
          <t>NON STAFF</t>
        </is>
      </c>
      <c r="D345" s="22" t="inlineStr">
        <is>
          <t>QRD</t>
        </is>
      </c>
      <c r="E345" s="22" t="inlineStr">
        <is>
          <t>QC LAB</t>
        </is>
      </c>
      <c r="F345" s="13" t="inlineStr">
        <is>
          <t>KARYAWAN</t>
        </is>
      </c>
    </row>
    <row r="346" ht="15.75" customHeight="1" s="169">
      <c r="A346" s="22" t="n">
        <v>328000527</v>
      </c>
      <c r="B346" s="22" t="inlineStr">
        <is>
          <t>SOBARIYAD ALL MUSYIRIN</t>
        </is>
      </c>
      <c r="C346" s="22" t="inlineStr">
        <is>
          <t>NON STAFF</t>
        </is>
      </c>
      <c r="D346" s="22" t="inlineStr">
        <is>
          <t>PROD</t>
        </is>
      </c>
      <c r="E346" s="22" t="inlineStr">
        <is>
          <t>OPERATOR</t>
        </is>
      </c>
      <c r="F346" s="13" t="inlineStr">
        <is>
          <t>KARYAWAN</t>
        </is>
      </c>
    </row>
    <row r="347" ht="15.75" customHeight="1" s="169">
      <c r="A347" s="22" t="n">
        <v>328000530</v>
      </c>
      <c r="B347" s="22" t="inlineStr">
        <is>
          <t>ADE RANA SUPRIYATNA</t>
        </is>
      </c>
      <c r="C347" s="22" t="inlineStr">
        <is>
          <t>NON STAFF</t>
        </is>
      </c>
      <c r="D347" s="22" t="inlineStr">
        <is>
          <t>PROD</t>
        </is>
      </c>
      <c r="E347" s="22" t="inlineStr">
        <is>
          <t>OPERATOR</t>
        </is>
      </c>
      <c r="F347" s="13" t="inlineStr">
        <is>
          <t>KARYAWAN</t>
        </is>
      </c>
    </row>
    <row r="348" ht="15.75" customHeight="1" s="169">
      <c r="A348" s="22" t="n">
        <v>328000531</v>
      </c>
      <c r="B348" s="22" t="inlineStr">
        <is>
          <t>SRI RAHAYU SUHENDRA</t>
        </is>
      </c>
      <c r="C348" s="22" t="inlineStr">
        <is>
          <t>NON STAFF</t>
        </is>
      </c>
      <c r="D348" s="22" t="inlineStr">
        <is>
          <t>PROD</t>
        </is>
      </c>
      <c r="E348" s="22" t="inlineStr">
        <is>
          <t>PACKER</t>
        </is>
      </c>
      <c r="F348" s="13" t="inlineStr">
        <is>
          <t>KARYAWAN</t>
        </is>
      </c>
    </row>
    <row r="349" ht="15.75" customHeight="1" s="169">
      <c r="A349" s="22" t="n">
        <v>328000532</v>
      </c>
      <c r="B349" s="22" t="inlineStr">
        <is>
          <t>RINDY PUZIAWATI</t>
        </is>
      </c>
      <c r="C349" s="22" t="inlineStr">
        <is>
          <t>NON STAFF</t>
        </is>
      </c>
      <c r="D349" s="22" t="inlineStr">
        <is>
          <t>PROD</t>
        </is>
      </c>
      <c r="E349" s="22" t="inlineStr">
        <is>
          <t>PACKER</t>
        </is>
      </c>
      <c r="F349" s="13" t="inlineStr">
        <is>
          <t>KARYAWAN</t>
        </is>
      </c>
    </row>
    <row r="350" ht="15.75" customHeight="1" s="169">
      <c r="A350" s="22" t="n">
        <v>328000533</v>
      </c>
      <c r="B350" s="22" t="inlineStr">
        <is>
          <t>MELODYA RIZKY CANTIKA</t>
        </is>
      </c>
      <c r="C350" s="22" t="inlineStr">
        <is>
          <t>NON STAFF</t>
        </is>
      </c>
      <c r="D350" s="22" t="inlineStr">
        <is>
          <t>PROD</t>
        </is>
      </c>
      <c r="E350" s="22" t="inlineStr">
        <is>
          <t>PACKER</t>
        </is>
      </c>
      <c r="F350" s="13" t="inlineStr">
        <is>
          <t>KARYAWAN</t>
        </is>
      </c>
    </row>
    <row r="351" ht="15.75" customHeight="1" s="169">
      <c r="A351" s="22" t="n">
        <v>328000534</v>
      </c>
      <c r="B351" s="22" t="inlineStr">
        <is>
          <t>RAHMA NOOR ASSYFA</t>
        </is>
      </c>
      <c r="C351" s="22" t="inlineStr">
        <is>
          <t>NON STAFF</t>
        </is>
      </c>
      <c r="D351" s="22" t="inlineStr">
        <is>
          <t>PROD</t>
        </is>
      </c>
      <c r="E351" s="22" t="inlineStr">
        <is>
          <t>PACKER</t>
        </is>
      </c>
      <c r="F351" s="13" t="inlineStr">
        <is>
          <t>KARYAWAN</t>
        </is>
      </c>
    </row>
    <row r="352" ht="15.75" customHeight="1" s="169">
      <c r="A352" s="22" t="n">
        <v>328000535</v>
      </c>
      <c r="B352" s="22" t="inlineStr">
        <is>
          <t>RISKA RAHMAWATI</t>
        </is>
      </c>
      <c r="C352" s="22" t="inlineStr">
        <is>
          <t>NON STAFF</t>
        </is>
      </c>
      <c r="D352" s="22" t="inlineStr">
        <is>
          <t>PROD</t>
        </is>
      </c>
      <c r="E352" s="22" t="inlineStr">
        <is>
          <t>PACKER</t>
        </is>
      </c>
      <c r="F352" s="13" t="inlineStr">
        <is>
          <t>KARYAWAN</t>
        </is>
      </c>
    </row>
    <row r="353" ht="15.75" customHeight="1" s="169">
      <c r="A353" s="22" t="n">
        <v>328000536</v>
      </c>
      <c r="B353" s="22" t="inlineStr">
        <is>
          <t>TARINI NOVITASARI</t>
        </is>
      </c>
      <c r="C353" s="22" t="inlineStr">
        <is>
          <t>NON STAFF</t>
        </is>
      </c>
      <c r="D353" s="22" t="inlineStr">
        <is>
          <t>PROD</t>
        </is>
      </c>
      <c r="E353" s="22" t="inlineStr">
        <is>
          <t>PACKER</t>
        </is>
      </c>
      <c r="F353" s="13" t="inlineStr">
        <is>
          <t>KARYAWAN</t>
        </is>
      </c>
    </row>
    <row r="354" ht="15.75" customHeight="1" s="169">
      <c r="A354" s="22" t="n">
        <v>328000537</v>
      </c>
      <c r="B354" s="22" t="inlineStr">
        <is>
          <t>EPI PUSPITASARI</t>
        </is>
      </c>
      <c r="C354" s="22" t="inlineStr">
        <is>
          <t>NON STAFF</t>
        </is>
      </c>
      <c r="D354" s="22" t="inlineStr">
        <is>
          <t>PROD</t>
        </is>
      </c>
      <c r="E354" s="22" t="inlineStr">
        <is>
          <t>PACKER</t>
        </is>
      </c>
      <c r="F354" s="13" t="inlineStr">
        <is>
          <t>KARYAWAN</t>
        </is>
      </c>
    </row>
    <row r="355" ht="15.75" customHeight="1" s="169">
      <c r="A355" s="22" t="n">
        <v>328000538</v>
      </c>
      <c r="B355" s="22" t="inlineStr">
        <is>
          <t>PUTRI SALSA JULIYANTI</t>
        </is>
      </c>
      <c r="C355" s="22" t="inlineStr">
        <is>
          <t>NON STAFF</t>
        </is>
      </c>
      <c r="D355" s="22" t="inlineStr">
        <is>
          <t>PROD</t>
        </is>
      </c>
      <c r="E355" s="22" t="inlineStr">
        <is>
          <t>PACKER</t>
        </is>
      </c>
      <c r="F355" s="13" t="inlineStr">
        <is>
          <t>KARYAWAN</t>
        </is>
      </c>
    </row>
    <row r="356" ht="15.75" customHeight="1" s="169">
      <c r="A356" s="22" t="n">
        <v>328000539</v>
      </c>
      <c r="B356" s="22" t="inlineStr">
        <is>
          <t>PRISKA FITRIYANI</t>
        </is>
      </c>
      <c r="C356" s="22" t="inlineStr">
        <is>
          <t>NON STAFF</t>
        </is>
      </c>
      <c r="D356" s="22" t="inlineStr">
        <is>
          <t>PROD</t>
        </is>
      </c>
      <c r="E356" s="22" t="inlineStr">
        <is>
          <t>PACKER</t>
        </is>
      </c>
      <c r="F356" s="13" t="inlineStr">
        <is>
          <t>KARYAWAN</t>
        </is>
      </c>
    </row>
    <row r="357" ht="15.75" customHeight="1" s="169">
      <c r="A357" s="22" t="n">
        <v>328000540</v>
      </c>
      <c r="B357" s="22" t="inlineStr">
        <is>
          <t>RAJESTY SUCIPTA MAHESA DWI</t>
        </is>
      </c>
      <c r="C357" s="22" t="inlineStr">
        <is>
          <t>NON STAFF</t>
        </is>
      </c>
      <c r="D357" s="22" t="inlineStr">
        <is>
          <t>QRD</t>
        </is>
      </c>
      <c r="E357" s="22" t="inlineStr">
        <is>
          <t>QC PRODUKSI</t>
        </is>
      </c>
      <c r="F357" s="13" t="inlineStr">
        <is>
          <t>KARYAWAN</t>
        </is>
      </c>
    </row>
    <row r="358" ht="15.75" customHeight="1" s="169">
      <c r="A358" s="22" t="n">
        <v>328000541</v>
      </c>
      <c r="B358" s="22" t="inlineStr">
        <is>
          <t>SALMA NAFILAH</t>
        </is>
      </c>
      <c r="C358" s="22" t="inlineStr">
        <is>
          <t>NON STAFF</t>
        </is>
      </c>
      <c r="D358" s="22" t="inlineStr">
        <is>
          <t>QRD</t>
        </is>
      </c>
      <c r="E358" s="22" t="inlineStr">
        <is>
          <t>QC PRODUKSI</t>
        </is>
      </c>
      <c r="F358" s="13" t="inlineStr">
        <is>
          <t>KARYAWAN</t>
        </is>
      </c>
    </row>
    <row r="359" ht="15.75" customHeight="1" s="169">
      <c r="A359" s="22" t="n">
        <v>328000542</v>
      </c>
      <c r="B359" s="22" t="inlineStr">
        <is>
          <t>BINTANG DWI MEIFAL</t>
        </is>
      </c>
      <c r="C359" s="22" t="inlineStr">
        <is>
          <t>NON STAFF</t>
        </is>
      </c>
      <c r="D359" s="22" t="inlineStr">
        <is>
          <t>LOG</t>
        </is>
      </c>
      <c r="E359" s="22" t="inlineStr">
        <is>
          <t>ADMIN TIMBANGAN</t>
        </is>
      </c>
      <c r="F359" s="13" t="inlineStr">
        <is>
          <t>KARYAWAN</t>
        </is>
      </c>
    </row>
    <row r="360" ht="15.75" customHeight="1" s="169">
      <c r="A360" s="22" t="n">
        <v>328000543</v>
      </c>
      <c r="B360" s="22" t="inlineStr">
        <is>
          <t>PUTRI ANDINI WULANDARI ANWAR</t>
        </is>
      </c>
      <c r="C360" s="22" t="inlineStr">
        <is>
          <t>NON STAFF</t>
        </is>
      </c>
      <c r="D360" s="22" t="inlineStr">
        <is>
          <t>QRD</t>
        </is>
      </c>
      <c r="E360" s="22" t="inlineStr">
        <is>
          <t>QC PRODUKSI</t>
        </is>
      </c>
      <c r="F360" s="13" t="inlineStr">
        <is>
          <t>KARYAWAN</t>
        </is>
      </c>
    </row>
    <row r="361" ht="15.75" customHeight="1" s="169">
      <c r="A361" s="22" t="n">
        <v>328000544</v>
      </c>
      <c r="B361" s="22" t="inlineStr">
        <is>
          <t>SRI MULYANA</t>
        </is>
      </c>
      <c r="C361" s="22" t="inlineStr">
        <is>
          <t>NON STAFF</t>
        </is>
      </c>
      <c r="D361" s="22" t="inlineStr">
        <is>
          <t>PROD</t>
        </is>
      </c>
      <c r="E361" s="22" t="inlineStr">
        <is>
          <t>PACKER</t>
        </is>
      </c>
      <c r="F361" s="13" t="inlineStr">
        <is>
          <t>KARYAWAN</t>
        </is>
      </c>
    </row>
    <row r="362" ht="15.75" customHeight="1" s="169">
      <c r="A362" s="22" t="n">
        <v>328000545</v>
      </c>
      <c r="B362" s="22" t="inlineStr">
        <is>
          <t>ALI SARONI</t>
        </is>
      </c>
      <c r="C362" s="22" t="inlineStr">
        <is>
          <t>NON STAFF</t>
        </is>
      </c>
      <c r="D362" s="22" t="inlineStr">
        <is>
          <t>PROD</t>
        </is>
      </c>
      <c r="E362" s="22" t="inlineStr">
        <is>
          <t>PACKER</t>
        </is>
      </c>
      <c r="F362" s="13" t="inlineStr">
        <is>
          <t>KARYAWAN</t>
        </is>
      </c>
    </row>
    <row r="363" ht="15.75" customHeight="1" s="169">
      <c r="A363" s="22" t="n">
        <v>328000546</v>
      </c>
      <c r="B363" s="22" t="inlineStr">
        <is>
          <t>GILANG RAYANA</t>
        </is>
      </c>
      <c r="C363" s="22" t="inlineStr">
        <is>
          <t>NON STAFF</t>
        </is>
      </c>
      <c r="D363" s="22" t="inlineStr">
        <is>
          <t>PROD</t>
        </is>
      </c>
      <c r="E363" s="22" t="inlineStr">
        <is>
          <t>PACKER</t>
        </is>
      </c>
      <c r="F363" s="13" t="inlineStr">
        <is>
          <t>KARYAWAN</t>
        </is>
      </c>
    </row>
    <row r="364" ht="15.75" customHeight="1" s="169">
      <c r="A364" s="22" t="n">
        <v>328000547</v>
      </c>
      <c r="B364" s="22" t="inlineStr">
        <is>
          <t>ISNAWATI</t>
        </is>
      </c>
      <c r="C364" s="22" t="inlineStr">
        <is>
          <t>NON STAFF</t>
        </is>
      </c>
      <c r="D364" s="22" t="inlineStr">
        <is>
          <t>PROD</t>
        </is>
      </c>
      <c r="E364" s="22" t="inlineStr">
        <is>
          <t>PACKER</t>
        </is>
      </c>
      <c r="F364" s="13" t="inlineStr">
        <is>
          <t>KARYAWAN</t>
        </is>
      </c>
    </row>
    <row r="365" ht="15.75" customHeight="1" s="169">
      <c r="A365" s="22" t="n">
        <v>328000548</v>
      </c>
      <c r="B365" s="22" t="inlineStr">
        <is>
          <t>IWAN PERMADI</t>
        </is>
      </c>
      <c r="C365" s="22" t="inlineStr">
        <is>
          <t>NON STAFF</t>
        </is>
      </c>
      <c r="D365" s="22" t="inlineStr">
        <is>
          <t>PROD</t>
        </is>
      </c>
      <c r="E365" s="22" t="inlineStr">
        <is>
          <t>OPERATOR</t>
        </is>
      </c>
      <c r="F365" s="13" t="inlineStr">
        <is>
          <t>KARYAWAN</t>
        </is>
      </c>
    </row>
    <row r="366" ht="15.75" customHeight="1" s="169">
      <c r="A366" s="22" t="n">
        <v>328000549</v>
      </c>
      <c r="B366" s="22" t="inlineStr">
        <is>
          <t>TIARA POETRI NABILA</t>
        </is>
      </c>
      <c r="C366" s="22" t="inlineStr">
        <is>
          <t>NON STAFF</t>
        </is>
      </c>
      <c r="D366" s="22" t="inlineStr">
        <is>
          <t>QRD</t>
        </is>
      </c>
      <c r="E366" s="22" t="inlineStr">
        <is>
          <t>QC PRODUKSI</t>
        </is>
      </c>
      <c r="F366" s="13" t="inlineStr">
        <is>
          <t>KARYAWAN</t>
        </is>
      </c>
    </row>
    <row r="367" ht="15.75" customHeight="1" s="169">
      <c r="A367" s="22" t="n">
        <v>328000550</v>
      </c>
      <c r="B367" s="22" t="inlineStr">
        <is>
          <t>ANGELICA OKTAVIA PURBA TAMBAK</t>
        </is>
      </c>
      <c r="C367" s="22" t="inlineStr">
        <is>
          <t>NON STAFF</t>
        </is>
      </c>
      <c r="D367" s="22" t="inlineStr">
        <is>
          <t>QRD</t>
        </is>
      </c>
      <c r="E367" s="22" t="inlineStr">
        <is>
          <t>QC PRODUKSI</t>
        </is>
      </c>
      <c r="F367" s="13" t="inlineStr">
        <is>
          <t>KARYAWAN</t>
        </is>
      </c>
    </row>
    <row r="368" ht="15.75" customHeight="1" s="169">
      <c r="A368" s="22" t="n">
        <v>328000551</v>
      </c>
      <c r="B368" s="22" t="inlineStr">
        <is>
          <t>WIDI ILAHI CAHYANI</t>
        </is>
      </c>
      <c r="C368" s="22" t="inlineStr">
        <is>
          <t>NON STAFF</t>
        </is>
      </c>
      <c r="D368" s="22" t="inlineStr">
        <is>
          <t>QRD</t>
        </is>
      </c>
      <c r="E368" s="22" t="inlineStr">
        <is>
          <t>QC PRODUKSI</t>
        </is>
      </c>
      <c r="F368" s="13" t="inlineStr">
        <is>
          <t>KARYAWAN</t>
        </is>
      </c>
    </row>
    <row r="369" ht="15.75" customHeight="1" s="169">
      <c r="A369" s="22" t="n">
        <v>328000552</v>
      </c>
      <c r="B369" s="22" t="inlineStr">
        <is>
          <t>SUSI RATNASARI</t>
        </is>
      </c>
      <c r="C369" s="22" t="inlineStr">
        <is>
          <t>NON STAFF</t>
        </is>
      </c>
      <c r="D369" s="22" t="inlineStr">
        <is>
          <t>PROD</t>
        </is>
      </c>
      <c r="E369" s="22" t="inlineStr">
        <is>
          <t>PACKER</t>
        </is>
      </c>
      <c r="F369" s="13" t="inlineStr">
        <is>
          <t>KARYAWAN</t>
        </is>
      </c>
    </row>
    <row r="370" ht="15.75" customHeight="1" s="169">
      <c r="A370" s="22" t="n">
        <v>328000554</v>
      </c>
      <c r="B370" s="22" t="inlineStr">
        <is>
          <t>NURUL ARIPIN</t>
        </is>
      </c>
      <c r="C370" s="22" t="inlineStr">
        <is>
          <t>NON STAFF</t>
        </is>
      </c>
      <c r="D370" s="22" t="inlineStr">
        <is>
          <t>PROD</t>
        </is>
      </c>
      <c r="E370" s="22" t="inlineStr">
        <is>
          <t>PACKER</t>
        </is>
      </c>
      <c r="F370" s="13" t="inlineStr">
        <is>
          <t>KARYAWAN</t>
        </is>
      </c>
    </row>
    <row r="371" ht="15.75" customHeight="1" s="169">
      <c r="A371" s="22" t="n">
        <v>328000555</v>
      </c>
      <c r="B371" s="22" t="inlineStr">
        <is>
          <t>VIVI WINDAYANI</t>
        </is>
      </c>
      <c r="C371" s="22" t="inlineStr">
        <is>
          <t>NON STAFF</t>
        </is>
      </c>
      <c r="D371" s="22" t="inlineStr">
        <is>
          <t>PROD</t>
        </is>
      </c>
      <c r="E371" s="22" t="inlineStr">
        <is>
          <t>PACKER</t>
        </is>
      </c>
      <c r="F371" s="13" t="inlineStr">
        <is>
          <t>KARYAWAN</t>
        </is>
      </c>
    </row>
    <row r="372" ht="15.75" customHeight="1" s="169">
      <c r="A372" s="22" t="n">
        <v>328000556</v>
      </c>
      <c r="B372" s="22" t="inlineStr">
        <is>
          <t>DENIA AYULESTARI</t>
        </is>
      </c>
      <c r="C372" s="22" t="inlineStr">
        <is>
          <t>NON STAFF</t>
        </is>
      </c>
      <c r="D372" s="22" t="inlineStr">
        <is>
          <t>PROD</t>
        </is>
      </c>
      <c r="E372" s="22" t="inlineStr">
        <is>
          <t>PACKER</t>
        </is>
      </c>
      <c r="F372" s="13" t="inlineStr">
        <is>
          <t>KARYAWAN</t>
        </is>
      </c>
    </row>
    <row r="373" ht="15.75" customHeight="1" s="169">
      <c r="A373" s="22" t="n">
        <v>328000557</v>
      </c>
      <c r="B373" s="22" t="inlineStr">
        <is>
          <t>RAZIEF HARDIAS</t>
        </is>
      </c>
      <c r="C373" s="22" t="inlineStr">
        <is>
          <t>NON STAFF</t>
        </is>
      </c>
      <c r="D373" s="22" t="inlineStr">
        <is>
          <t>PROD</t>
        </is>
      </c>
      <c r="E373" s="22" t="inlineStr">
        <is>
          <t>PACKER</t>
        </is>
      </c>
      <c r="F373" s="13" t="inlineStr">
        <is>
          <t>KARYAWAN</t>
        </is>
      </c>
    </row>
    <row r="374" ht="15.75" customHeight="1" s="169">
      <c r="A374" s="22" t="n">
        <v>328000558</v>
      </c>
      <c r="B374" s="22" t="inlineStr">
        <is>
          <t>FERNANDA IRMANSYAH</t>
        </is>
      </c>
      <c r="C374" s="22" t="inlineStr">
        <is>
          <t>NON STAFF</t>
        </is>
      </c>
      <c r="D374" s="22" t="inlineStr">
        <is>
          <t>PROD</t>
        </is>
      </c>
      <c r="E374" s="22" t="inlineStr">
        <is>
          <t>PACKER</t>
        </is>
      </c>
      <c r="F374" s="13" t="inlineStr">
        <is>
          <t>KARYAWAN</t>
        </is>
      </c>
    </row>
    <row r="375" ht="15.75" customHeight="1" s="169">
      <c r="A375" s="22" t="n">
        <v>328000559</v>
      </c>
      <c r="B375" s="22" t="inlineStr">
        <is>
          <t>M. DZIQRY REZQI HARIYANTO</t>
        </is>
      </c>
      <c r="C375" s="22" t="inlineStr">
        <is>
          <t>NON STAFF</t>
        </is>
      </c>
      <c r="D375" s="22" t="inlineStr">
        <is>
          <t>PROD</t>
        </is>
      </c>
      <c r="E375" s="22" t="inlineStr">
        <is>
          <t>PACKER</t>
        </is>
      </c>
      <c r="F375" s="13" t="inlineStr">
        <is>
          <t>KARYAWAN</t>
        </is>
      </c>
    </row>
    <row r="376" ht="15.75" customHeight="1" s="169">
      <c r="A376" s="22" t="n">
        <v>328000560</v>
      </c>
      <c r="B376" s="22" t="inlineStr">
        <is>
          <t>MARTIN MURALES SITORUS</t>
        </is>
      </c>
      <c r="C376" s="22" t="inlineStr">
        <is>
          <t>NON STAFF</t>
        </is>
      </c>
      <c r="D376" s="22" t="inlineStr">
        <is>
          <t>PROD</t>
        </is>
      </c>
      <c r="E376" s="22" t="inlineStr">
        <is>
          <t>OPERATOR</t>
        </is>
      </c>
      <c r="F376" s="13" t="inlineStr">
        <is>
          <t>KARYAWAN</t>
        </is>
      </c>
    </row>
    <row r="377" ht="15.75" customHeight="1" s="169">
      <c r="A377" s="22" t="n">
        <v>328000561</v>
      </c>
      <c r="B377" s="22" t="inlineStr">
        <is>
          <t>DIKI ARIYANTO</t>
        </is>
      </c>
      <c r="C377" s="22" t="inlineStr">
        <is>
          <t>NON STAFF</t>
        </is>
      </c>
      <c r="D377" s="22" t="inlineStr">
        <is>
          <t>PROD</t>
        </is>
      </c>
      <c r="E377" s="22" t="inlineStr">
        <is>
          <t>OPERATOR</t>
        </is>
      </c>
      <c r="F377" s="13" t="inlineStr">
        <is>
          <t>KARYAWAN</t>
        </is>
      </c>
    </row>
    <row r="378" ht="15.75" customHeight="1" s="169">
      <c r="A378" s="22" t="n">
        <v>328000562</v>
      </c>
      <c r="B378" s="22" t="inlineStr">
        <is>
          <t>MUHAMAD AMIN MAULANA</t>
        </is>
      </c>
      <c r="C378" s="22" t="inlineStr">
        <is>
          <t>NON STAFF</t>
        </is>
      </c>
      <c r="D378" s="22" t="inlineStr">
        <is>
          <t>PROD</t>
        </is>
      </c>
      <c r="E378" s="22" t="inlineStr">
        <is>
          <t>OPERATOR</t>
        </is>
      </c>
      <c r="F378" s="13" t="inlineStr">
        <is>
          <t>KARYAWAN</t>
        </is>
      </c>
    </row>
    <row r="379" ht="15.75" customHeight="1" s="169">
      <c r="A379" s="22" t="n">
        <v>328000563</v>
      </c>
      <c r="B379" s="22" t="inlineStr">
        <is>
          <t>YUNAS</t>
        </is>
      </c>
      <c r="C379" s="22" t="inlineStr">
        <is>
          <t>NON STAFF</t>
        </is>
      </c>
      <c r="D379" s="22" t="inlineStr">
        <is>
          <t>ENG</t>
        </is>
      </c>
      <c r="E379" s="22" t="inlineStr">
        <is>
          <t>TECHNICIAN</t>
        </is>
      </c>
      <c r="F379" s="13" t="inlineStr">
        <is>
          <t>KARYAWAN</t>
        </is>
      </c>
    </row>
    <row r="380" ht="15.75" customHeight="1" s="169">
      <c r="A380" s="22" t="n">
        <v>328000564</v>
      </c>
      <c r="B380" s="22" t="inlineStr">
        <is>
          <t>FARKHANA SAEDINIYAH</t>
        </is>
      </c>
      <c r="C380" s="22" t="inlineStr">
        <is>
          <t>NON STAFF</t>
        </is>
      </c>
      <c r="D380" s="22" t="inlineStr">
        <is>
          <t>PROD</t>
        </is>
      </c>
      <c r="E380" s="22" t="inlineStr">
        <is>
          <t>PACKER</t>
        </is>
      </c>
      <c r="F380" s="13" t="inlineStr">
        <is>
          <t>KARYAWAN</t>
        </is>
      </c>
    </row>
    <row r="381" ht="15.75" customHeight="1" s="169">
      <c r="A381" s="22" t="n">
        <v>328000565</v>
      </c>
      <c r="B381" s="22" t="inlineStr">
        <is>
          <t>NIKI LESTARI</t>
        </is>
      </c>
      <c r="C381" s="22" t="inlineStr">
        <is>
          <t>NON STAFF</t>
        </is>
      </c>
      <c r="D381" s="22" t="inlineStr">
        <is>
          <t>PROD</t>
        </is>
      </c>
      <c r="E381" s="22" t="inlineStr">
        <is>
          <t>PACKER</t>
        </is>
      </c>
      <c r="F381" s="13" t="inlineStr">
        <is>
          <t>KARYAWAN</t>
        </is>
      </c>
    </row>
    <row r="382" ht="15.75" customHeight="1" s="169">
      <c r="A382" s="22" t="n">
        <v>328000566</v>
      </c>
      <c r="B382" s="22" t="inlineStr">
        <is>
          <t>SANTI RIZKIA CANDRA</t>
        </is>
      </c>
      <c r="C382" s="22" t="inlineStr">
        <is>
          <t>NON STAFF</t>
        </is>
      </c>
      <c r="D382" s="22" t="inlineStr">
        <is>
          <t>PROD</t>
        </is>
      </c>
      <c r="E382" s="22" t="inlineStr">
        <is>
          <t>PACKER</t>
        </is>
      </c>
      <c r="F382" s="13" t="inlineStr">
        <is>
          <t>KARYAWAN</t>
        </is>
      </c>
    </row>
    <row r="383" ht="15.75" customHeight="1" s="169">
      <c r="A383" s="22" t="n">
        <v>328000567</v>
      </c>
      <c r="B383" s="22" t="inlineStr">
        <is>
          <t>TRI MISERI CORDIAS WARUWU</t>
        </is>
      </c>
      <c r="C383" s="22" t="inlineStr">
        <is>
          <t>NON STAFF</t>
        </is>
      </c>
      <c r="D383" s="22" t="inlineStr">
        <is>
          <t>PROD</t>
        </is>
      </c>
      <c r="E383" s="22" t="inlineStr">
        <is>
          <t>OPERATOR</t>
        </is>
      </c>
      <c r="F383" s="13" t="inlineStr">
        <is>
          <t>KARYAWAN</t>
        </is>
      </c>
    </row>
    <row r="384" ht="15.75" customHeight="1" s="169">
      <c r="A384" s="22" t="n">
        <v>328000569</v>
      </c>
      <c r="B384" s="22" t="inlineStr">
        <is>
          <t>FARID RAMADHAN NURDIANSYAH</t>
        </is>
      </c>
      <c r="C384" s="22" t="inlineStr">
        <is>
          <t>NON STAFF</t>
        </is>
      </c>
      <c r="D384" s="22" t="inlineStr">
        <is>
          <t>PROD</t>
        </is>
      </c>
      <c r="E384" s="22" t="inlineStr">
        <is>
          <t>OPERATOR</t>
        </is>
      </c>
      <c r="F384" s="13" t="inlineStr">
        <is>
          <t>KARYAWAN</t>
        </is>
      </c>
    </row>
    <row r="385" ht="15.75" customHeight="1" s="169">
      <c r="A385" s="22" t="n">
        <v>328000570</v>
      </c>
      <c r="B385" s="22" t="inlineStr">
        <is>
          <t>MUHAMAD HENDRI</t>
        </is>
      </c>
      <c r="C385" s="22" t="inlineStr">
        <is>
          <t>NON STAFF</t>
        </is>
      </c>
      <c r="D385" s="22" t="inlineStr">
        <is>
          <t>PROD</t>
        </is>
      </c>
      <c r="E385" s="22" t="inlineStr">
        <is>
          <t>OPERATOR</t>
        </is>
      </c>
      <c r="F385" s="13" t="inlineStr">
        <is>
          <t>KARYAWAN</t>
        </is>
      </c>
    </row>
    <row r="386" ht="15.75" customHeight="1" s="169">
      <c r="A386" s="22" t="n">
        <v>328000571</v>
      </c>
      <c r="B386" s="22" t="inlineStr">
        <is>
          <t>RIAN SALEH</t>
        </is>
      </c>
      <c r="C386" s="22" t="inlineStr">
        <is>
          <t>NON STAFF</t>
        </is>
      </c>
      <c r="D386" s="22" t="inlineStr">
        <is>
          <t>QRD</t>
        </is>
      </c>
      <c r="E386" s="22" t="inlineStr">
        <is>
          <t>QC PRODUKSI</t>
        </is>
      </c>
      <c r="F386" s="13" t="inlineStr">
        <is>
          <t>KARYAWAN</t>
        </is>
      </c>
    </row>
    <row r="387" ht="15.75" customHeight="1" s="169">
      <c r="A387" s="22" t="n">
        <v>328000572</v>
      </c>
      <c r="B387" s="22" t="inlineStr">
        <is>
          <t>DEA LINA SABIAH</t>
        </is>
      </c>
      <c r="C387" s="22" t="inlineStr">
        <is>
          <t>NON STAFF</t>
        </is>
      </c>
      <c r="D387" s="22" t="inlineStr">
        <is>
          <t>QRD</t>
        </is>
      </c>
      <c r="E387" s="22" t="inlineStr">
        <is>
          <t>QC PRODUKSI</t>
        </is>
      </c>
      <c r="F387" s="13" t="inlineStr">
        <is>
          <t>KARYAWAN</t>
        </is>
      </c>
    </row>
    <row r="388" ht="15.75" customHeight="1" s="169">
      <c r="A388" s="22" t="n">
        <v>328000573</v>
      </c>
      <c r="B388" s="22" t="inlineStr">
        <is>
          <t>RISMA RAHMAWATI</t>
        </is>
      </c>
      <c r="C388" s="22" t="inlineStr">
        <is>
          <t>NON STAFF</t>
        </is>
      </c>
      <c r="D388" s="22" t="inlineStr">
        <is>
          <t>QRD</t>
        </is>
      </c>
      <c r="E388" s="22" t="inlineStr">
        <is>
          <t>QC PRODUKSI</t>
        </is>
      </c>
      <c r="F388" s="13" t="inlineStr">
        <is>
          <t>KARYAWAN</t>
        </is>
      </c>
    </row>
    <row r="389" ht="15.75" customHeight="1" s="169">
      <c r="A389" s="22" t="n">
        <v>328000575</v>
      </c>
      <c r="B389" s="22" t="inlineStr">
        <is>
          <t>DANDI</t>
        </is>
      </c>
      <c r="C389" s="22" t="inlineStr">
        <is>
          <t>NON STAFF</t>
        </is>
      </c>
      <c r="D389" s="22" t="inlineStr">
        <is>
          <t>ENG</t>
        </is>
      </c>
      <c r="E389" s="22" t="inlineStr">
        <is>
          <t>TECHNICIAN</t>
        </is>
      </c>
      <c r="F389" s="13" t="inlineStr">
        <is>
          <t>KARYAWAN</t>
        </is>
      </c>
    </row>
    <row r="390" ht="15.75" customHeight="1" s="169">
      <c r="A390" s="22" t="n">
        <v>328000576</v>
      </c>
      <c r="B390" s="22" t="inlineStr">
        <is>
          <t>SOFIYAN FARIYANTO</t>
        </is>
      </c>
      <c r="C390" s="22" t="inlineStr">
        <is>
          <t>NON STAFF</t>
        </is>
      </c>
      <c r="D390" s="22" t="inlineStr">
        <is>
          <t>PROD</t>
        </is>
      </c>
      <c r="E390" s="22" t="inlineStr">
        <is>
          <t>OPERATOR</t>
        </is>
      </c>
      <c r="F390" s="13" t="inlineStr">
        <is>
          <t>KARYAWAN</t>
        </is>
      </c>
    </row>
    <row r="391" ht="15.75" customHeight="1" s="169">
      <c r="A391" s="22" t="n">
        <v>328000577</v>
      </c>
      <c r="B391" s="22" t="inlineStr">
        <is>
          <t>SUCI WIDIASTUTI</t>
        </is>
      </c>
      <c r="C391" s="22" t="inlineStr">
        <is>
          <t>NON STAFF</t>
        </is>
      </c>
      <c r="D391" s="22" t="inlineStr">
        <is>
          <t>PROD</t>
        </is>
      </c>
      <c r="E391" s="22" t="inlineStr">
        <is>
          <t>PACKER</t>
        </is>
      </c>
      <c r="F391" s="13" t="inlineStr">
        <is>
          <t>KARYAWAN</t>
        </is>
      </c>
    </row>
    <row r="392" ht="15.75" customHeight="1" s="169">
      <c r="A392" s="22" t="n">
        <v>328000578</v>
      </c>
      <c r="B392" s="22" t="inlineStr">
        <is>
          <t>RISMA KURNIA</t>
        </is>
      </c>
      <c r="C392" s="22" t="inlineStr">
        <is>
          <t>NON STAFF</t>
        </is>
      </c>
      <c r="D392" s="22" t="inlineStr">
        <is>
          <t>PROD</t>
        </is>
      </c>
      <c r="E392" s="22" t="inlineStr">
        <is>
          <t>PACKER</t>
        </is>
      </c>
      <c r="F392" s="13" t="inlineStr">
        <is>
          <t>KARYAWAN</t>
        </is>
      </c>
    </row>
    <row r="393" ht="15.75" customHeight="1" s="169">
      <c r="A393" s="22" t="n">
        <v>328000579</v>
      </c>
      <c r="B393" s="22" t="inlineStr">
        <is>
          <t>NOVI YANTI PERTIWI</t>
        </is>
      </c>
      <c r="C393" s="22" t="inlineStr">
        <is>
          <t>NON STAFF</t>
        </is>
      </c>
      <c r="D393" s="22" t="inlineStr">
        <is>
          <t>PROD</t>
        </is>
      </c>
      <c r="E393" s="22" t="inlineStr">
        <is>
          <t>PACKER</t>
        </is>
      </c>
      <c r="F393" s="13" t="inlineStr">
        <is>
          <t>KARYAWAN</t>
        </is>
      </c>
    </row>
    <row r="394" ht="15.75" customHeight="1" s="169">
      <c r="A394" s="22" t="n">
        <v>328000580</v>
      </c>
      <c r="B394" s="22" t="inlineStr">
        <is>
          <t>RIFAISYAH NISRINA</t>
        </is>
      </c>
      <c r="C394" s="22" t="inlineStr">
        <is>
          <t>NON STAFF</t>
        </is>
      </c>
      <c r="D394" s="22" t="inlineStr">
        <is>
          <t>PROD</t>
        </is>
      </c>
      <c r="E394" s="22" t="inlineStr">
        <is>
          <t>PACKER</t>
        </is>
      </c>
      <c r="F394" s="13" t="inlineStr">
        <is>
          <t>KARYAWAN</t>
        </is>
      </c>
    </row>
    <row r="395" ht="15.75" customHeight="1" s="169">
      <c r="A395" s="22" t="n">
        <v>328000581</v>
      </c>
      <c r="B395" s="22" t="inlineStr">
        <is>
          <t>NUR AKILAH</t>
        </is>
      </c>
      <c r="C395" s="22" t="inlineStr">
        <is>
          <t>NON STAFF</t>
        </is>
      </c>
      <c r="D395" s="22" t="inlineStr">
        <is>
          <t>PROD</t>
        </is>
      </c>
      <c r="E395" s="22" t="inlineStr">
        <is>
          <t>PACKER</t>
        </is>
      </c>
      <c r="F395" s="13" t="inlineStr">
        <is>
          <t>KARYAWAN</t>
        </is>
      </c>
    </row>
    <row r="396" ht="15.75" customHeight="1" s="169">
      <c r="A396" s="22" t="n">
        <v>328000582</v>
      </c>
      <c r="B396" s="22" t="inlineStr">
        <is>
          <t>ZAKI ROBANI</t>
        </is>
      </c>
      <c r="C396" s="22" t="inlineStr">
        <is>
          <t>NON STAFF</t>
        </is>
      </c>
      <c r="D396" s="22" t="inlineStr">
        <is>
          <t>PROD</t>
        </is>
      </c>
      <c r="E396" s="22" t="inlineStr">
        <is>
          <t>PACKER</t>
        </is>
      </c>
      <c r="F396" s="13" t="inlineStr">
        <is>
          <t>KARYAWAN</t>
        </is>
      </c>
    </row>
    <row r="397" ht="15.75" customHeight="1" s="169">
      <c r="A397" s="22" t="n">
        <v>328000583</v>
      </c>
      <c r="B397" s="22" t="inlineStr">
        <is>
          <t>SARAH SURYANING TYAS</t>
        </is>
      </c>
      <c r="C397" s="22" t="inlineStr">
        <is>
          <t>NON STAFF</t>
        </is>
      </c>
      <c r="D397" s="22" t="inlineStr">
        <is>
          <t>PROD</t>
        </is>
      </c>
      <c r="E397" s="22" t="inlineStr">
        <is>
          <t>PACKER</t>
        </is>
      </c>
      <c r="F397" s="13" t="inlineStr">
        <is>
          <t>KARYAWAN</t>
        </is>
      </c>
    </row>
    <row r="398" ht="15.75" customHeight="1" s="169">
      <c r="A398" s="22" t="n">
        <v>328000584</v>
      </c>
      <c r="B398" s="22" t="inlineStr">
        <is>
          <t>TANIA NATASYA</t>
        </is>
      </c>
      <c r="C398" s="22" t="inlineStr">
        <is>
          <t>NON STAFF</t>
        </is>
      </c>
      <c r="D398" s="22" t="inlineStr">
        <is>
          <t>PROD</t>
        </is>
      </c>
      <c r="E398" s="22" t="inlineStr">
        <is>
          <t>PACKER</t>
        </is>
      </c>
      <c r="F398" s="13" t="inlineStr">
        <is>
          <t>KARYAWAN</t>
        </is>
      </c>
    </row>
    <row r="399" ht="15.75" customHeight="1" s="169">
      <c r="A399" s="22" t="n">
        <v>328000585</v>
      </c>
      <c r="B399" s="22" t="inlineStr">
        <is>
          <t>SRI AJENG JULIYANTI</t>
        </is>
      </c>
      <c r="C399" s="22" t="inlineStr">
        <is>
          <t>NON STAFF</t>
        </is>
      </c>
      <c r="D399" s="22" t="inlineStr">
        <is>
          <t>PROD</t>
        </is>
      </c>
      <c r="E399" s="22" t="inlineStr">
        <is>
          <t>PACKER</t>
        </is>
      </c>
      <c r="F399" s="13" t="inlineStr">
        <is>
          <t>KARYAWAN</t>
        </is>
      </c>
    </row>
    <row r="400" ht="15.75" customHeight="1" s="169">
      <c r="A400" s="22" t="n">
        <v>328000586</v>
      </c>
      <c r="B400" s="22" t="inlineStr">
        <is>
          <t>NOVIA RAHMANIA</t>
        </is>
      </c>
      <c r="C400" s="22" t="inlineStr">
        <is>
          <t>NON STAFF</t>
        </is>
      </c>
      <c r="D400" s="22" t="inlineStr">
        <is>
          <t>PROD</t>
        </is>
      </c>
      <c r="E400" s="22" t="inlineStr">
        <is>
          <t>PACKER</t>
        </is>
      </c>
      <c r="F400" s="13" t="inlineStr">
        <is>
          <t>KARYAWAN</t>
        </is>
      </c>
    </row>
    <row r="401" ht="15.75" customHeight="1" s="169">
      <c r="A401" s="22" t="n">
        <v>328000587</v>
      </c>
      <c r="B401" s="22" t="inlineStr">
        <is>
          <t>MAWAR ENJELITA AGUSTIN</t>
        </is>
      </c>
      <c r="C401" s="22" t="inlineStr">
        <is>
          <t>NON STAFF</t>
        </is>
      </c>
      <c r="D401" s="22" t="inlineStr">
        <is>
          <t>PROD</t>
        </is>
      </c>
      <c r="E401" s="22" t="inlineStr">
        <is>
          <t>PACKER</t>
        </is>
      </c>
      <c r="F401" s="13" t="inlineStr">
        <is>
          <t>KARYAWAN</t>
        </is>
      </c>
    </row>
    <row r="402" ht="15.75" customHeight="1" s="169">
      <c r="A402" s="22" t="n">
        <v>328000589</v>
      </c>
      <c r="B402" s="22" t="inlineStr">
        <is>
          <t>DEA PERMATASARI</t>
        </is>
      </c>
      <c r="C402" s="22" t="inlineStr">
        <is>
          <t>NON STAFF</t>
        </is>
      </c>
      <c r="D402" s="22" t="inlineStr">
        <is>
          <t>PROD</t>
        </is>
      </c>
      <c r="E402" s="22" t="inlineStr">
        <is>
          <t>PACKER</t>
        </is>
      </c>
      <c r="F402" s="13" t="inlineStr">
        <is>
          <t>KARYAWAN</t>
        </is>
      </c>
    </row>
    <row r="403" ht="15.75" customHeight="1" s="169">
      <c r="A403" s="22" t="n">
        <v>328000590</v>
      </c>
      <c r="B403" s="22" t="inlineStr">
        <is>
          <t>SANTI RUKMANA</t>
        </is>
      </c>
      <c r="C403" s="22" t="inlineStr">
        <is>
          <t>NON STAFF</t>
        </is>
      </c>
      <c r="D403" s="22" t="inlineStr">
        <is>
          <t>PROD</t>
        </is>
      </c>
      <c r="E403" s="22" t="inlineStr">
        <is>
          <t>PACKER</t>
        </is>
      </c>
      <c r="F403" s="13" t="inlineStr">
        <is>
          <t>KARYAWAN</t>
        </is>
      </c>
    </row>
    <row r="404" ht="15.75" customHeight="1" s="169">
      <c r="A404" s="22" t="n">
        <v>328000591</v>
      </c>
      <c r="B404" s="22" t="inlineStr">
        <is>
          <t>CHELSEA</t>
        </is>
      </c>
      <c r="C404" s="22" t="inlineStr">
        <is>
          <t>NON STAFF</t>
        </is>
      </c>
      <c r="D404" s="22" t="inlineStr">
        <is>
          <t>PROD</t>
        </is>
      </c>
      <c r="E404" s="22" t="inlineStr">
        <is>
          <t>PACKER</t>
        </is>
      </c>
      <c r="F404" s="13" t="inlineStr">
        <is>
          <t>KARYAWAN</t>
        </is>
      </c>
    </row>
    <row r="405" ht="15.75" customHeight="1" s="169">
      <c r="A405" s="22" t="n">
        <v>328000592</v>
      </c>
      <c r="B405" s="22" t="inlineStr">
        <is>
          <t>ALVI YULIANTI</t>
        </is>
      </c>
      <c r="C405" s="22" t="inlineStr">
        <is>
          <t>NON STAFF</t>
        </is>
      </c>
      <c r="D405" s="22" t="inlineStr">
        <is>
          <t>PROD</t>
        </is>
      </c>
      <c r="E405" s="22" t="inlineStr">
        <is>
          <t>PACKER</t>
        </is>
      </c>
      <c r="F405" s="13" t="inlineStr">
        <is>
          <t>KARYAWAN</t>
        </is>
      </c>
    </row>
    <row r="406" ht="15.75" customHeight="1" s="169">
      <c r="A406" s="22" t="n">
        <v>328000593</v>
      </c>
      <c r="B406" s="22" t="inlineStr">
        <is>
          <t>TITA PUSPITA</t>
        </is>
      </c>
      <c r="C406" s="22" t="inlineStr">
        <is>
          <t>NON STAFF</t>
        </is>
      </c>
      <c r="D406" s="22" t="inlineStr">
        <is>
          <t>PROD</t>
        </is>
      </c>
      <c r="E406" s="22" t="inlineStr">
        <is>
          <t>PACKER</t>
        </is>
      </c>
      <c r="F406" s="13" t="inlineStr">
        <is>
          <t>KARYAWAN</t>
        </is>
      </c>
    </row>
    <row r="407" ht="15.75" customHeight="1" s="169">
      <c r="A407" s="22" t="n">
        <v>328000594</v>
      </c>
      <c r="B407" s="22" t="inlineStr">
        <is>
          <t>SYIFA RAMDANI</t>
        </is>
      </c>
      <c r="C407" s="22" t="inlineStr">
        <is>
          <t>NON STAFF</t>
        </is>
      </c>
      <c r="D407" s="22" t="inlineStr">
        <is>
          <t>PROD</t>
        </is>
      </c>
      <c r="E407" s="22" t="inlineStr">
        <is>
          <t>PACKER</t>
        </is>
      </c>
      <c r="F407" s="13" t="inlineStr">
        <is>
          <t>KARYAWAN</t>
        </is>
      </c>
    </row>
    <row r="408" ht="15.75" customHeight="1" s="169">
      <c r="A408" s="22" t="n">
        <v>328000595</v>
      </c>
      <c r="B408" s="22" t="inlineStr">
        <is>
          <t>RANI</t>
        </is>
      </c>
      <c r="C408" s="22" t="inlineStr">
        <is>
          <t>NON STAFF</t>
        </is>
      </c>
      <c r="D408" s="22" t="inlineStr">
        <is>
          <t>PROD</t>
        </is>
      </c>
      <c r="E408" s="22" t="inlineStr">
        <is>
          <t>PACKER</t>
        </is>
      </c>
      <c r="F408" s="13" t="inlineStr">
        <is>
          <t>KARYAWAN</t>
        </is>
      </c>
    </row>
    <row r="409" ht="15.75" customHeight="1" s="169">
      <c r="A409" s="22" t="n">
        <v>328000596</v>
      </c>
      <c r="B409" s="22" t="inlineStr">
        <is>
          <t>MAGDA AULIAWATI</t>
        </is>
      </c>
      <c r="C409" s="22" t="inlineStr">
        <is>
          <t>NON STAFF</t>
        </is>
      </c>
      <c r="D409" s="22" t="inlineStr">
        <is>
          <t>PROD</t>
        </is>
      </c>
      <c r="E409" s="22" t="inlineStr">
        <is>
          <t>PACKER</t>
        </is>
      </c>
      <c r="F409" s="13" t="inlineStr">
        <is>
          <t>KARYAWAN</t>
        </is>
      </c>
    </row>
    <row r="410" ht="15.75" customHeight="1" s="169">
      <c r="A410" s="22" t="n">
        <v>328000597</v>
      </c>
      <c r="B410" s="22" t="inlineStr">
        <is>
          <t>NASYWA ANINDIYA PUTRI</t>
        </is>
      </c>
      <c r="C410" s="22" t="inlineStr">
        <is>
          <t>NON STAFF</t>
        </is>
      </c>
      <c r="D410" s="22" t="inlineStr">
        <is>
          <t>PROD</t>
        </is>
      </c>
      <c r="E410" s="22" t="inlineStr">
        <is>
          <t>PACKER</t>
        </is>
      </c>
      <c r="F410" s="13" t="inlineStr">
        <is>
          <t>KARYAWAN</t>
        </is>
      </c>
    </row>
    <row r="411" ht="15.75" customHeight="1" s="169">
      <c r="A411" s="22" t="n">
        <v>328000598</v>
      </c>
      <c r="B411" s="22" t="inlineStr">
        <is>
          <t>NURUL ASRI MAULYDA</t>
        </is>
      </c>
      <c r="C411" s="22" t="inlineStr">
        <is>
          <t>NON STAFF</t>
        </is>
      </c>
      <c r="D411" s="22" t="inlineStr">
        <is>
          <t>PROD</t>
        </is>
      </c>
      <c r="E411" s="22" t="inlineStr">
        <is>
          <t>PACKER</t>
        </is>
      </c>
      <c r="F411" s="13" t="inlineStr">
        <is>
          <t>KARYAWAN</t>
        </is>
      </c>
    </row>
    <row r="412" ht="15.75" customHeight="1" s="169">
      <c r="A412" s="22" t="n">
        <v>328000599</v>
      </c>
      <c r="B412" s="22" t="inlineStr">
        <is>
          <t>NABILA JULIAWATI</t>
        </is>
      </c>
      <c r="C412" s="22" t="inlineStr">
        <is>
          <t>NON STAFF</t>
        </is>
      </c>
      <c r="D412" s="22" t="inlineStr">
        <is>
          <t>PROD</t>
        </is>
      </c>
      <c r="E412" s="22" t="inlineStr">
        <is>
          <t>PACKER</t>
        </is>
      </c>
      <c r="F412" s="13" t="inlineStr">
        <is>
          <t>KARYAWAN</t>
        </is>
      </c>
    </row>
    <row r="413" ht="15.75" customHeight="1" s="169">
      <c r="A413" s="22" t="n">
        <v>328000600</v>
      </c>
      <c r="B413" s="22" t="inlineStr">
        <is>
          <t>FADHIL MARDIANSYAH</t>
        </is>
      </c>
      <c r="C413" s="22" t="inlineStr">
        <is>
          <t>NON STAFF</t>
        </is>
      </c>
      <c r="D413" s="22" t="inlineStr">
        <is>
          <t>PROD</t>
        </is>
      </c>
      <c r="E413" s="22" t="inlineStr">
        <is>
          <t>PACKER</t>
        </is>
      </c>
      <c r="F413" s="13" t="inlineStr">
        <is>
          <t>KARYAWAN</t>
        </is>
      </c>
    </row>
    <row r="414" ht="15.75" customHeight="1" s="169">
      <c r="A414" s="22" t="n">
        <v>328000601</v>
      </c>
      <c r="B414" s="22" t="inlineStr">
        <is>
          <t>RATNA HESTIKA DEVI</t>
        </is>
      </c>
      <c r="C414" s="22" t="inlineStr">
        <is>
          <t>NON STAFF</t>
        </is>
      </c>
      <c r="D414" s="22" t="inlineStr">
        <is>
          <t>PROD</t>
        </is>
      </c>
      <c r="E414" s="22" t="inlineStr">
        <is>
          <t>PACKER</t>
        </is>
      </c>
      <c r="F414" s="13" t="inlineStr">
        <is>
          <t>KARYAWAN</t>
        </is>
      </c>
    </row>
    <row r="415" ht="15.75" customHeight="1" s="169">
      <c r="A415" s="22" t="n">
        <v>328000602</v>
      </c>
      <c r="B415" s="22" t="inlineStr">
        <is>
          <t>RARA AMIYATUN NURSAIDAH</t>
        </is>
      </c>
      <c r="C415" s="22" t="inlineStr">
        <is>
          <t>NON STAFF</t>
        </is>
      </c>
      <c r="D415" s="22" t="inlineStr">
        <is>
          <t>QRD</t>
        </is>
      </c>
      <c r="E415" s="22" t="inlineStr">
        <is>
          <t>QC PRODUKSI</t>
        </is>
      </c>
      <c r="F415" s="13" t="inlineStr">
        <is>
          <t>KARYAWAN</t>
        </is>
      </c>
    </row>
    <row r="416" ht="15.75" customHeight="1" s="169">
      <c r="A416" s="22" t="n">
        <v>328000603</v>
      </c>
      <c r="B416" s="22" t="inlineStr">
        <is>
          <t>AHMAD HAFID</t>
        </is>
      </c>
      <c r="C416" s="22" t="inlineStr">
        <is>
          <t>NON STAFF</t>
        </is>
      </c>
      <c r="D416" s="22" t="inlineStr">
        <is>
          <t>LOG</t>
        </is>
      </c>
      <c r="E416" s="22" t="inlineStr">
        <is>
          <t>CHECKER</t>
        </is>
      </c>
      <c r="F416" s="13" t="inlineStr">
        <is>
          <t>KARYAWAN</t>
        </is>
      </c>
    </row>
    <row r="417" ht="15.75" customHeight="1" s="169">
      <c r="A417" s="22" t="n">
        <v>328000604</v>
      </c>
      <c r="B417" s="22" t="inlineStr">
        <is>
          <t>ARIF RAHMAN</t>
        </is>
      </c>
      <c r="C417" s="22" t="inlineStr">
        <is>
          <t>NON STAFF</t>
        </is>
      </c>
      <c r="D417" s="22" t="inlineStr">
        <is>
          <t>PROD</t>
        </is>
      </c>
      <c r="E417" s="22" t="inlineStr">
        <is>
          <t>OPERATOR</t>
        </is>
      </c>
      <c r="F417" s="13" t="inlineStr">
        <is>
          <t>KARYAWAN</t>
        </is>
      </c>
    </row>
    <row r="418" ht="15.75" customHeight="1" s="169">
      <c r="A418" s="22" t="n">
        <v>328000605</v>
      </c>
      <c r="B418" s="22" t="inlineStr">
        <is>
          <t>JULIANA PEBRIANTO</t>
        </is>
      </c>
      <c r="C418" s="22" t="inlineStr">
        <is>
          <t>NON STAFF</t>
        </is>
      </c>
      <c r="D418" s="22" t="inlineStr">
        <is>
          <t>PROD</t>
        </is>
      </c>
      <c r="E418" s="22" t="inlineStr">
        <is>
          <t>OPERATOR</t>
        </is>
      </c>
      <c r="F418" s="13" t="inlineStr">
        <is>
          <t>KARYAWAN</t>
        </is>
      </c>
    </row>
    <row r="419" ht="15.75" customHeight="1" s="169">
      <c r="A419" s="22" t="n">
        <v>328000606</v>
      </c>
      <c r="B419" s="22" t="inlineStr">
        <is>
          <t>HABIBURRAHMAN AYASHI</t>
        </is>
      </c>
      <c r="C419" s="22" t="inlineStr">
        <is>
          <t>NON STAFF</t>
        </is>
      </c>
      <c r="D419" s="22" t="inlineStr">
        <is>
          <t>PROD</t>
        </is>
      </c>
      <c r="E419" s="22" t="inlineStr">
        <is>
          <t>OPERATOR</t>
        </is>
      </c>
      <c r="F419" s="13" t="inlineStr">
        <is>
          <t>KARYAWAN</t>
        </is>
      </c>
    </row>
    <row r="420" ht="15.75" customHeight="1" s="169">
      <c r="A420" s="22" t="n">
        <v>328000607</v>
      </c>
      <c r="B420" s="22" t="inlineStr">
        <is>
          <t>GITA SONIA</t>
        </is>
      </c>
      <c r="C420" s="22" t="inlineStr">
        <is>
          <t>NON STAFF</t>
        </is>
      </c>
      <c r="D420" s="22" t="inlineStr">
        <is>
          <t>QRD</t>
        </is>
      </c>
      <c r="E420" s="22" t="inlineStr">
        <is>
          <t>QC LAB</t>
        </is>
      </c>
      <c r="F420" s="13" t="inlineStr">
        <is>
          <t>KARYAWAN</t>
        </is>
      </c>
    </row>
    <row r="421" ht="15.75" customHeight="1" s="169">
      <c r="A421" s="22" t="n">
        <v>328000608</v>
      </c>
      <c r="B421" s="22" t="inlineStr">
        <is>
          <t>NIDA ZAKIYATUL FAOZAH</t>
        </is>
      </c>
      <c r="C421" s="22" t="inlineStr">
        <is>
          <t>NON STAFF</t>
        </is>
      </c>
      <c r="D421" s="22" t="inlineStr">
        <is>
          <t>QRD</t>
        </is>
      </c>
      <c r="E421" s="22" t="inlineStr">
        <is>
          <t>QC LAB</t>
        </is>
      </c>
      <c r="F421" s="13" t="inlineStr">
        <is>
          <t>KARYAWAN</t>
        </is>
      </c>
    </row>
    <row r="422" ht="15.75" customHeight="1" s="169">
      <c r="A422" s="22" t="n">
        <v>328000609</v>
      </c>
      <c r="B422" s="22" t="inlineStr">
        <is>
          <t>EKA NUR AISAH</t>
        </is>
      </c>
      <c r="C422" s="22" t="inlineStr">
        <is>
          <t>NON STAFF</t>
        </is>
      </c>
      <c r="D422" s="22" t="inlineStr">
        <is>
          <t>QRD</t>
        </is>
      </c>
      <c r="E422" s="22" t="inlineStr">
        <is>
          <t>QC PRODUKSI</t>
        </is>
      </c>
      <c r="F422" s="13" t="inlineStr">
        <is>
          <t>KARYAWAN</t>
        </is>
      </c>
    </row>
    <row r="423" ht="15.75" customHeight="1" s="169">
      <c r="A423" s="22" t="n">
        <v>328000610</v>
      </c>
      <c r="B423" s="22" t="inlineStr">
        <is>
          <t>ABDUL KAHFI</t>
        </is>
      </c>
      <c r="C423" s="22" t="inlineStr">
        <is>
          <t>NON STAFF</t>
        </is>
      </c>
      <c r="D423" s="22" t="inlineStr">
        <is>
          <t>LOG</t>
        </is>
      </c>
      <c r="E423" s="22" t="inlineStr">
        <is>
          <t>OPERATOR FORKLIFT</t>
        </is>
      </c>
      <c r="F423" s="13" t="inlineStr">
        <is>
          <t>KARYAWAN</t>
        </is>
      </c>
    </row>
    <row r="424" ht="15.75" customHeight="1" s="169">
      <c r="A424" s="22" t="n">
        <v>328000612</v>
      </c>
      <c r="B424" s="22" t="inlineStr">
        <is>
          <t>MALATI SATRIANI ZANAH SYAFAAT</t>
        </is>
      </c>
      <c r="C424" s="22" t="inlineStr">
        <is>
          <t>NON STAFF</t>
        </is>
      </c>
      <c r="D424" s="22" t="inlineStr">
        <is>
          <t>QRD</t>
        </is>
      </c>
      <c r="E424" s="22" t="inlineStr">
        <is>
          <t>QC LAB</t>
        </is>
      </c>
      <c r="F424" s="13" t="inlineStr">
        <is>
          <t>KARYAWAN</t>
        </is>
      </c>
    </row>
    <row r="425" ht="15.75" customHeight="1" s="169">
      <c r="A425" s="22" t="n">
        <v>328000613</v>
      </c>
      <c r="B425" s="22" t="inlineStr">
        <is>
          <t>MUHAMAD FARHAN AWALUDIN</t>
        </is>
      </c>
      <c r="C425" s="22" t="inlineStr">
        <is>
          <t>NON STAFF</t>
        </is>
      </c>
      <c r="D425" s="22" t="inlineStr">
        <is>
          <t>PROD</t>
        </is>
      </c>
      <c r="E425" s="22" t="inlineStr">
        <is>
          <t>OPERATOR</t>
        </is>
      </c>
      <c r="F425" s="13" t="inlineStr">
        <is>
          <t>KARYAWAN</t>
        </is>
      </c>
    </row>
    <row r="426" ht="15.75" customHeight="1" s="169">
      <c r="A426" s="22" t="n">
        <v>328000614</v>
      </c>
      <c r="B426" s="22" t="inlineStr">
        <is>
          <t>ASHIFA SITI NURHALIZAH</t>
        </is>
      </c>
      <c r="C426" s="22" t="inlineStr">
        <is>
          <t>NON STAFF</t>
        </is>
      </c>
      <c r="D426" s="22" t="inlineStr">
        <is>
          <t>QRD</t>
        </is>
      </c>
      <c r="E426" s="22" t="inlineStr">
        <is>
          <t>QC PRODUKSI</t>
        </is>
      </c>
      <c r="F426" s="13" t="inlineStr">
        <is>
          <t>KARYAWAN</t>
        </is>
      </c>
    </row>
    <row r="427" ht="15.75" customHeight="1" s="169">
      <c r="A427" s="22" t="n">
        <v>328000615</v>
      </c>
      <c r="B427" s="22" t="inlineStr">
        <is>
          <t>RINI RINDIANI</t>
        </is>
      </c>
      <c r="C427" s="22" t="inlineStr">
        <is>
          <t>NON STAFF</t>
        </is>
      </c>
      <c r="D427" s="22" t="inlineStr">
        <is>
          <t>QRD</t>
        </is>
      </c>
      <c r="E427" s="22" t="inlineStr">
        <is>
          <t>QC PRODUKSI</t>
        </is>
      </c>
      <c r="F427" s="13" t="inlineStr">
        <is>
          <t>KARYAWAN</t>
        </is>
      </c>
    </row>
    <row r="428" ht="15.75" customHeight="1" s="169">
      <c r="A428" s="22" t="n">
        <v>328000616</v>
      </c>
      <c r="B428" s="22" t="inlineStr">
        <is>
          <t>YENI NURHAENI</t>
        </is>
      </c>
      <c r="C428" s="22" t="inlineStr">
        <is>
          <t>NON STAFF</t>
        </is>
      </c>
      <c r="D428" s="22" t="inlineStr">
        <is>
          <t>LOG</t>
        </is>
      </c>
      <c r="E428" s="22" t="inlineStr">
        <is>
          <t>ADMIN WRM</t>
        </is>
      </c>
      <c r="F428" s="13" t="inlineStr">
        <is>
          <t>KARYAWAN</t>
        </is>
      </c>
    </row>
    <row r="429" ht="15.75" customHeight="1" s="169">
      <c r="A429" s="22" t="n">
        <v>328000617</v>
      </c>
      <c r="B429" s="22" t="inlineStr">
        <is>
          <t>DENNY VIRGIANTO SYAHPUTRA</t>
        </is>
      </c>
      <c r="C429" s="22" t="inlineStr">
        <is>
          <t>NON STAFF</t>
        </is>
      </c>
      <c r="D429" s="22" t="inlineStr">
        <is>
          <t>ENG</t>
        </is>
      </c>
      <c r="E429" s="22" t="inlineStr">
        <is>
          <t>TECHNICIAN</t>
        </is>
      </c>
      <c r="F429" s="13" t="inlineStr">
        <is>
          <t>KARYAWAN</t>
        </is>
      </c>
    </row>
    <row r="430" ht="15.75" customHeight="1" s="169">
      <c r="A430" s="22" t="n">
        <v>328000618</v>
      </c>
      <c r="B430" s="22" t="inlineStr">
        <is>
          <t>M. NAZRIEL AKBAR</t>
        </is>
      </c>
      <c r="C430" s="22" t="inlineStr">
        <is>
          <t>NON STAFF</t>
        </is>
      </c>
      <c r="D430" s="22" t="inlineStr">
        <is>
          <t>ENG</t>
        </is>
      </c>
      <c r="E430" s="22" t="inlineStr">
        <is>
          <t>TECHNICIAN</t>
        </is>
      </c>
      <c r="F430" s="13" t="inlineStr">
        <is>
          <t>KARYAWAN</t>
        </is>
      </c>
    </row>
    <row r="431" ht="15.75" customHeight="1" s="169">
      <c r="A431" s="22" t="n">
        <v>328000619</v>
      </c>
      <c r="B431" s="22" t="inlineStr">
        <is>
          <t>NURYADI KOSASIH</t>
        </is>
      </c>
      <c r="C431" s="22" t="inlineStr">
        <is>
          <t>NON STAFF</t>
        </is>
      </c>
      <c r="D431" s="22" t="inlineStr">
        <is>
          <t>PROD</t>
        </is>
      </c>
      <c r="E431" s="22" t="inlineStr">
        <is>
          <t>OPERATOR</t>
        </is>
      </c>
      <c r="F431" s="13" t="inlineStr">
        <is>
          <t>KARYAWAN</t>
        </is>
      </c>
    </row>
    <row r="432" ht="15.75" customHeight="1" s="169">
      <c r="A432" s="22" t="n">
        <v>328000620</v>
      </c>
      <c r="B432" s="22" t="inlineStr">
        <is>
          <t>LIA MUSTIKA</t>
        </is>
      </c>
      <c r="C432" s="22" t="inlineStr">
        <is>
          <t>NON STAFF</t>
        </is>
      </c>
      <c r="D432" s="22" t="inlineStr">
        <is>
          <t>PROD</t>
        </is>
      </c>
      <c r="E432" s="22" t="inlineStr">
        <is>
          <t>PACKER</t>
        </is>
      </c>
      <c r="F432" s="13" t="inlineStr">
        <is>
          <t>KARYAWAN</t>
        </is>
      </c>
    </row>
    <row r="433" ht="15.75" customHeight="1" s="169">
      <c r="A433" s="22" t="n">
        <v>328000621</v>
      </c>
      <c r="B433" s="22" t="inlineStr">
        <is>
          <t>CUCUN HARYATI</t>
        </is>
      </c>
      <c r="C433" s="22" t="inlineStr">
        <is>
          <t>NON STAFF</t>
        </is>
      </c>
      <c r="D433" s="22" t="inlineStr">
        <is>
          <t>PROD</t>
        </is>
      </c>
      <c r="E433" s="22" t="inlineStr">
        <is>
          <t>PACKER</t>
        </is>
      </c>
      <c r="F433" s="13" t="inlineStr">
        <is>
          <t>KARYAWAN</t>
        </is>
      </c>
    </row>
    <row r="434" ht="15.75" customHeight="1" s="169">
      <c r="A434" s="22" t="n">
        <v>328000622</v>
      </c>
      <c r="B434" s="22" t="inlineStr">
        <is>
          <t>ELSANDRA CAHYANA PUTRI</t>
        </is>
      </c>
      <c r="C434" s="22" t="inlineStr">
        <is>
          <t>NON STAFF</t>
        </is>
      </c>
      <c r="D434" s="22" t="inlineStr">
        <is>
          <t>PROD</t>
        </is>
      </c>
      <c r="E434" s="22" t="inlineStr">
        <is>
          <t>PACKER</t>
        </is>
      </c>
      <c r="F434" s="13" t="inlineStr">
        <is>
          <t>KARYAWAN</t>
        </is>
      </c>
    </row>
    <row r="435" ht="15.75" customHeight="1" s="169">
      <c r="A435" s="22" t="n">
        <v>328000623</v>
      </c>
      <c r="B435" s="22" t="inlineStr">
        <is>
          <t>SUCI RAHAYU</t>
        </is>
      </c>
      <c r="C435" s="22" t="inlineStr">
        <is>
          <t>NON STAFF</t>
        </is>
      </c>
      <c r="D435" s="22" t="inlineStr">
        <is>
          <t>PROD</t>
        </is>
      </c>
      <c r="E435" s="22" t="inlineStr">
        <is>
          <t>PACKER</t>
        </is>
      </c>
      <c r="F435" s="13" t="inlineStr">
        <is>
          <t>KARYAWAN</t>
        </is>
      </c>
    </row>
    <row r="436" ht="15.75" customHeight="1" s="169">
      <c r="A436" s="22" t="n">
        <v>328000624</v>
      </c>
      <c r="B436" s="22" t="inlineStr">
        <is>
          <t>RITA YUNENGSIH</t>
        </is>
      </c>
      <c r="C436" s="22" t="inlineStr">
        <is>
          <t>NON STAFF</t>
        </is>
      </c>
      <c r="D436" s="22" t="inlineStr">
        <is>
          <t>PROD</t>
        </is>
      </c>
      <c r="E436" s="22" t="inlineStr">
        <is>
          <t>PACKER</t>
        </is>
      </c>
      <c r="F436" s="13" t="inlineStr">
        <is>
          <t>KARYAWAN</t>
        </is>
      </c>
    </row>
    <row r="437" ht="15.75" customHeight="1" s="169">
      <c r="A437" s="22" t="n">
        <v>328000625</v>
      </c>
      <c r="B437" s="22" t="inlineStr">
        <is>
          <t>CUCUN ULMU KULSUM</t>
        </is>
      </c>
      <c r="C437" s="22" t="inlineStr">
        <is>
          <t>NON STAFF</t>
        </is>
      </c>
      <c r="D437" s="22" t="inlineStr">
        <is>
          <t>PROD</t>
        </is>
      </c>
      <c r="E437" s="22" t="inlineStr">
        <is>
          <t>PACKER</t>
        </is>
      </c>
      <c r="F437" s="13" t="inlineStr">
        <is>
          <t>KARYAWAN</t>
        </is>
      </c>
    </row>
    <row r="438" ht="15.75" customHeight="1" s="169">
      <c r="A438" s="22" t="n">
        <v>328000627</v>
      </c>
      <c r="B438" s="22" t="inlineStr">
        <is>
          <t>DHENA HAFIDAH</t>
        </is>
      </c>
      <c r="C438" s="22" t="inlineStr">
        <is>
          <t>NON STAFF</t>
        </is>
      </c>
      <c r="D438" s="22" t="inlineStr">
        <is>
          <t>PROD</t>
        </is>
      </c>
      <c r="E438" s="22" t="inlineStr">
        <is>
          <t>PACKER</t>
        </is>
      </c>
      <c r="F438" s="13" t="inlineStr">
        <is>
          <t>KARYAWAN</t>
        </is>
      </c>
    </row>
    <row r="439" ht="15.75" customHeight="1" s="169">
      <c r="A439" s="22" t="n">
        <v>328000628</v>
      </c>
      <c r="B439" s="22" t="inlineStr">
        <is>
          <t>FEBIYANA MUTIARA AZIZAH</t>
        </is>
      </c>
      <c r="C439" s="22" t="inlineStr">
        <is>
          <t>NON STAFF</t>
        </is>
      </c>
      <c r="D439" s="22" t="inlineStr">
        <is>
          <t>PROD</t>
        </is>
      </c>
      <c r="E439" s="22" t="inlineStr">
        <is>
          <t>PACKER</t>
        </is>
      </c>
      <c r="F439" s="13" t="inlineStr">
        <is>
          <t>KARYAWAN</t>
        </is>
      </c>
    </row>
    <row r="440" ht="15.75" customHeight="1" s="169">
      <c r="A440" s="22" t="n">
        <v>328000629</v>
      </c>
      <c r="B440" s="22" t="inlineStr">
        <is>
          <t>NASYWA NABILA</t>
        </is>
      </c>
      <c r="C440" s="22" t="inlineStr">
        <is>
          <t>NON STAFF</t>
        </is>
      </c>
      <c r="D440" s="22" t="inlineStr">
        <is>
          <t>PROD</t>
        </is>
      </c>
      <c r="E440" s="22" t="inlineStr">
        <is>
          <t>PACKER</t>
        </is>
      </c>
      <c r="F440" s="13" t="inlineStr">
        <is>
          <t>KARYAWAN</t>
        </is>
      </c>
    </row>
    <row r="441" ht="15.75" customHeight="1" s="169">
      <c r="A441" s="22" t="n">
        <v>328000630</v>
      </c>
      <c r="B441" s="22" t="inlineStr">
        <is>
          <t>DESWITA KARTIKA</t>
        </is>
      </c>
      <c r="C441" s="22" t="inlineStr">
        <is>
          <t>NON STAFF</t>
        </is>
      </c>
      <c r="D441" s="22" t="inlineStr">
        <is>
          <t>PROD</t>
        </is>
      </c>
      <c r="E441" s="22" t="inlineStr">
        <is>
          <t>PACKER</t>
        </is>
      </c>
      <c r="F441" s="13" t="inlineStr">
        <is>
          <t>KARYAWAN</t>
        </is>
      </c>
    </row>
    <row r="442" ht="15.75" customHeight="1" s="169">
      <c r="A442" s="22" t="n">
        <v>328000631</v>
      </c>
      <c r="B442" s="22" t="inlineStr">
        <is>
          <t>IQBAL YUDISTIRA SURYADI</t>
        </is>
      </c>
      <c r="C442" s="22" t="inlineStr">
        <is>
          <t>NON STAFF</t>
        </is>
      </c>
      <c r="D442" s="22" t="inlineStr">
        <is>
          <t>PROD</t>
        </is>
      </c>
      <c r="E442" s="22" t="inlineStr">
        <is>
          <t>PACKER</t>
        </is>
      </c>
      <c r="F442" s="13" t="inlineStr">
        <is>
          <t>KARYAWAN</t>
        </is>
      </c>
    </row>
    <row r="443" ht="15.75" customHeight="1" s="169">
      <c r="A443" s="22" t="n">
        <v>328000632</v>
      </c>
      <c r="B443" s="22" t="inlineStr">
        <is>
          <t>NABILA DURROTUN NASHIHAH</t>
        </is>
      </c>
      <c r="C443" s="22" t="inlineStr">
        <is>
          <t>NON STAFF</t>
        </is>
      </c>
      <c r="D443" s="22" t="inlineStr">
        <is>
          <t>PROD</t>
        </is>
      </c>
      <c r="E443" s="22" t="inlineStr">
        <is>
          <t>PACKER</t>
        </is>
      </c>
      <c r="F443" s="13" t="inlineStr">
        <is>
          <t>KARYAWAN</t>
        </is>
      </c>
    </row>
    <row r="444" ht="15.75" customHeight="1" s="169">
      <c r="A444" s="22" t="n">
        <v>328000633</v>
      </c>
      <c r="B444" s="22" t="inlineStr">
        <is>
          <t>SITI NURHAENI</t>
        </is>
      </c>
      <c r="C444" s="22" t="inlineStr">
        <is>
          <t>NON STAFF</t>
        </is>
      </c>
      <c r="D444" s="22" t="inlineStr">
        <is>
          <t>PROD</t>
        </is>
      </c>
      <c r="E444" s="22" t="inlineStr">
        <is>
          <t>PACKER</t>
        </is>
      </c>
      <c r="F444" s="13" t="inlineStr">
        <is>
          <t>KARYAWAN</t>
        </is>
      </c>
    </row>
    <row r="445" ht="15.75" customHeight="1" s="169">
      <c r="A445" s="22" t="n">
        <v>328000635</v>
      </c>
      <c r="B445" s="22" t="inlineStr">
        <is>
          <t>WHENTI AGUSTININGTYAS</t>
        </is>
      </c>
      <c r="C445" s="22" t="inlineStr">
        <is>
          <t>NON STAFF</t>
        </is>
      </c>
      <c r="D445" s="22" t="inlineStr">
        <is>
          <t>QRD</t>
        </is>
      </c>
      <c r="E445" s="22" t="inlineStr">
        <is>
          <t>QC LAB</t>
        </is>
      </c>
      <c r="F445" s="13" t="inlineStr">
        <is>
          <t>KARYAWAN</t>
        </is>
      </c>
    </row>
    <row r="446" ht="15.75" customHeight="1" s="169">
      <c r="A446" s="22" t="n">
        <v>328000636</v>
      </c>
      <c r="B446" s="22" t="inlineStr">
        <is>
          <t>LIA SRI YULIANTI</t>
        </is>
      </c>
      <c r="C446" s="22" t="inlineStr">
        <is>
          <t>NON STAFF</t>
        </is>
      </c>
      <c r="D446" s="22" t="inlineStr">
        <is>
          <t>PROD</t>
        </is>
      </c>
      <c r="E446" s="22" t="inlineStr">
        <is>
          <t>PACKER</t>
        </is>
      </c>
      <c r="F446" s="13" t="inlineStr">
        <is>
          <t>KARYAWAN</t>
        </is>
      </c>
    </row>
    <row r="447" ht="15.75" customHeight="1" s="169">
      <c r="A447" s="22" t="n">
        <v>328000637</v>
      </c>
      <c r="B447" s="22" t="inlineStr">
        <is>
          <t>MUHAMMAD SILFAN ANGGARA</t>
        </is>
      </c>
      <c r="C447" s="22" t="inlineStr">
        <is>
          <t>NON STAFF</t>
        </is>
      </c>
      <c r="D447" s="22" t="inlineStr">
        <is>
          <t>PROD</t>
        </is>
      </c>
      <c r="E447" s="22" t="inlineStr">
        <is>
          <t>PACKER</t>
        </is>
      </c>
      <c r="F447" s="13" t="inlineStr">
        <is>
          <t>KARYAWAN</t>
        </is>
      </c>
    </row>
    <row r="448" ht="15.75" customHeight="1" s="169">
      <c r="A448" s="22" t="n">
        <v>328000638</v>
      </c>
      <c r="B448" s="22" t="inlineStr">
        <is>
          <t>MUHAMAD AKBAR MAULADY</t>
        </is>
      </c>
      <c r="C448" s="22" t="inlineStr">
        <is>
          <t>NON STAFF</t>
        </is>
      </c>
      <c r="D448" s="22" t="inlineStr">
        <is>
          <t>PROD</t>
        </is>
      </c>
      <c r="E448" s="22" t="inlineStr">
        <is>
          <t>PACKER</t>
        </is>
      </c>
      <c r="F448" s="13" t="inlineStr">
        <is>
          <t>KARYAWAN</t>
        </is>
      </c>
    </row>
    <row r="449" ht="15.75" customHeight="1" s="169">
      <c r="A449" s="22" t="n">
        <v>328000639</v>
      </c>
      <c r="B449" s="22" t="inlineStr">
        <is>
          <t>SURYA SUBASTIAN</t>
        </is>
      </c>
      <c r="C449" s="22" t="inlineStr">
        <is>
          <t>NON STAFF</t>
        </is>
      </c>
      <c r="D449" s="22" t="inlineStr">
        <is>
          <t>LOG</t>
        </is>
      </c>
      <c r="E449" s="22" t="inlineStr">
        <is>
          <t>OPERATOR REACHTRUCK</t>
        </is>
      </c>
      <c r="F449" s="13" t="inlineStr">
        <is>
          <t>KARYAWAN</t>
        </is>
      </c>
    </row>
    <row r="450" ht="15.75" customHeight="1" s="169">
      <c r="A450" s="22" t="n">
        <v>328000640</v>
      </c>
      <c r="B450" s="22" t="inlineStr">
        <is>
          <t>CHINTIA DELVITA</t>
        </is>
      </c>
      <c r="C450" s="22" t="inlineStr">
        <is>
          <t>NON STAFF</t>
        </is>
      </c>
      <c r="D450" s="22" t="inlineStr">
        <is>
          <t>LOG</t>
        </is>
      </c>
      <c r="E450" s="22" t="inlineStr">
        <is>
          <t>ADMIN EKSPEDISI</t>
        </is>
      </c>
      <c r="F450" s="13" t="inlineStr">
        <is>
          <t>KARYAWAN</t>
        </is>
      </c>
    </row>
    <row r="451" ht="15.75" customHeight="1" s="169">
      <c r="A451" s="22" t="n">
        <v>328000641</v>
      </c>
      <c r="B451" s="22" t="inlineStr">
        <is>
          <t>NURAENI ISKANDAR</t>
        </is>
      </c>
      <c r="C451" s="22" t="inlineStr">
        <is>
          <t>NON STAFF</t>
        </is>
      </c>
      <c r="D451" s="22" t="inlineStr">
        <is>
          <t>PROD</t>
        </is>
      </c>
      <c r="E451" s="22" t="inlineStr">
        <is>
          <t>PACKER</t>
        </is>
      </c>
      <c r="F451" s="13" t="inlineStr">
        <is>
          <t>KARYAWAN</t>
        </is>
      </c>
    </row>
    <row r="452" ht="15.75" customHeight="1" s="169">
      <c r="A452" s="22" t="n">
        <v>328000642</v>
      </c>
      <c r="B452" s="22" t="inlineStr">
        <is>
          <t>LISDA LUSTIYANI</t>
        </is>
      </c>
      <c r="C452" s="22" t="inlineStr">
        <is>
          <t>NON STAFF</t>
        </is>
      </c>
      <c r="D452" s="22" t="inlineStr">
        <is>
          <t>PROD</t>
        </is>
      </c>
      <c r="E452" s="22" t="inlineStr">
        <is>
          <t>PACKER</t>
        </is>
      </c>
      <c r="F452" s="13" t="inlineStr">
        <is>
          <t>KARYAWAN</t>
        </is>
      </c>
    </row>
    <row r="453" ht="15.75" customHeight="1" s="169">
      <c r="A453" s="22" t="n">
        <v>328000643</v>
      </c>
      <c r="B453" s="22" t="inlineStr">
        <is>
          <t>FITRI HASANAH</t>
        </is>
      </c>
      <c r="C453" s="22" t="inlineStr">
        <is>
          <t>NON STAFF</t>
        </is>
      </c>
      <c r="D453" s="22" t="inlineStr">
        <is>
          <t>PROD</t>
        </is>
      </c>
      <c r="E453" s="22" t="inlineStr">
        <is>
          <t>PACKER</t>
        </is>
      </c>
      <c r="F453" s="13" t="inlineStr">
        <is>
          <t>KARYAWAN</t>
        </is>
      </c>
    </row>
    <row r="454" ht="15.75" customHeight="1" s="169">
      <c r="A454" s="22" t="n">
        <v>328000644</v>
      </c>
      <c r="B454" s="22" t="inlineStr">
        <is>
          <t>IKA LATIPAH</t>
        </is>
      </c>
      <c r="C454" s="22" t="inlineStr">
        <is>
          <t>NON STAFF</t>
        </is>
      </c>
      <c r="D454" s="22" t="inlineStr">
        <is>
          <t>PROD</t>
        </is>
      </c>
      <c r="E454" s="22" t="inlineStr">
        <is>
          <t>PACKER</t>
        </is>
      </c>
      <c r="F454" s="13" t="inlineStr">
        <is>
          <t>KARYAWAN</t>
        </is>
      </c>
    </row>
    <row r="455" ht="15.75" customHeight="1" s="169">
      <c r="A455" s="22" t="n">
        <v>328000645</v>
      </c>
      <c r="B455" s="22" t="inlineStr">
        <is>
          <t>ADELLIA SETIAWATI PUTRI</t>
        </is>
      </c>
      <c r="C455" s="22" t="inlineStr">
        <is>
          <t>NON STAFF</t>
        </is>
      </c>
      <c r="D455" s="22" t="inlineStr">
        <is>
          <t>PROD</t>
        </is>
      </c>
      <c r="E455" s="22" t="inlineStr">
        <is>
          <t>PACKER</t>
        </is>
      </c>
      <c r="F455" s="13" t="inlineStr">
        <is>
          <t>KARYAWAN</t>
        </is>
      </c>
    </row>
    <row r="456" ht="15.75" customHeight="1" s="169">
      <c r="A456" s="22" t="n">
        <v>328000646</v>
      </c>
      <c r="B456" s="22" t="inlineStr">
        <is>
          <t>LUSIANA RAMADHANI</t>
        </is>
      </c>
      <c r="C456" s="22" t="inlineStr">
        <is>
          <t>NON STAFF</t>
        </is>
      </c>
      <c r="D456" s="22" t="inlineStr">
        <is>
          <t>PROD</t>
        </is>
      </c>
      <c r="E456" s="22" t="inlineStr">
        <is>
          <t>PACKER</t>
        </is>
      </c>
      <c r="F456" s="13" t="inlineStr">
        <is>
          <t>KARYAWAN</t>
        </is>
      </c>
    </row>
    <row r="457" ht="15.75" customHeight="1" s="169">
      <c r="A457" s="22" t="n">
        <v>328000647</v>
      </c>
      <c r="B457" s="22" t="inlineStr">
        <is>
          <t>ADINDA DWI IKLIMA</t>
        </is>
      </c>
      <c r="C457" s="22" t="inlineStr">
        <is>
          <t>NON STAFF</t>
        </is>
      </c>
      <c r="D457" s="22" t="inlineStr">
        <is>
          <t>PROD</t>
        </is>
      </c>
      <c r="E457" s="22" t="inlineStr">
        <is>
          <t>PACKER</t>
        </is>
      </c>
      <c r="F457" s="13" t="inlineStr">
        <is>
          <t>KARYAWAN</t>
        </is>
      </c>
    </row>
    <row r="458" ht="15.75" customHeight="1" s="169">
      <c r="A458" s="22" t="n">
        <v>328000648</v>
      </c>
      <c r="B458" s="22" t="inlineStr">
        <is>
          <t>LILIS NURUL WULAN</t>
        </is>
      </c>
      <c r="C458" s="22" t="inlineStr">
        <is>
          <t>NON STAFF</t>
        </is>
      </c>
      <c r="D458" s="22" t="inlineStr">
        <is>
          <t>PROD</t>
        </is>
      </c>
      <c r="E458" s="22" t="inlineStr">
        <is>
          <t>PACKER</t>
        </is>
      </c>
      <c r="F458" s="13" t="inlineStr">
        <is>
          <t>KARYAWAN</t>
        </is>
      </c>
    </row>
    <row r="459" ht="15.75" customHeight="1" s="169">
      <c r="A459" s="22" t="n">
        <v>328000649</v>
      </c>
      <c r="B459" s="22" t="inlineStr">
        <is>
          <t>ZAHWA GIZELIA RAMADANI</t>
        </is>
      </c>
      <c r="C459" s="22" t="inlineStr">
        <is>
          <t>NON STAFF</t>
        </is>
      </c>
      <c r="D459" s="22" t="inlineStr">
        <is>
          <t>PROD</t>
        </is>
      </c>
      <c r="E459" s="22" t="inlineStr">
        <is>
          <t>PACKER</t>
        </is>
      </c>
      <c r="F459" s="13" t="inlineStr">
        <is>
          <t>KARYAWAN</t>
        </is>
      </c>
    </row>
    <row r="460" ht="15.75" customHeight="1" s="169">
      <c r="A460" s="22" t="n">
        <v>328000650</v>
      </c>
      <c r="B460" s="22" t="inlineStr">
        <is>
          <t>HANI OCTAVIANI</t>
        </is>
      </c>
      <c r="C460" s="22" t="inlineStr">
        <is>
          <t>NON STAFF</t>
        </is>
      </c>
      <c r="D460" s="22" t="inlineStr">
        <is>
          <t>PROD</t>
        </is>
      </c>
      <c r="E460" s="22" t="inlineStr">
        <is>
          <t>PACKER</t>
        </is>
      </c>
      <c r="F460" s="13" t="inlineStr">
        <is>
          <t>KARYAWAN</t>
        </is>
      </c>
    </row>
    <row r="461" ht="15.75" customHeight="1" s="169">
      <c r="A461" s="22" t="n">
        <v>328000651</v>
      </c>
      <c r="B461" s="22" t="inlineStr">
        <is>
          <t>CANDRA SIGIT</t>
        </is>
      </c>
      <c r="C461" s="22" t="inlineStr">
        <is>
          <t>NON STAFF</t>
        </is>
      </c>
      <c r="D461" s="22" t="inlineStr">
        <is>
          <t>PROD</t>
        </is>
      </c>
      <c r="E461" s="22" t="inlineStr">
        <is>
          <t>PACKER</t>
        </is>
      </c>
      <c r="F461" s="13" t="inlineStr">
        <is>
          <t>KARYAWAN</t>
        </is>
      </c>
    </row>
    <row r="462" ht="15.75" customHeight="1" s="169">
      <c r="A462" s="22" t="n">
        <v>328000652</v>
      </c>
      <c r="B462" s="22" t="inlineStr">
        <is>
          <t>ARI SOPIAN</t>
        </is>
      </c>
      <c r="C462" s="22" t="inlineStr">
        <is>
          <t>NON STAFF</t>
        </is>
      </c>
      <c r="D462" s="22" t="inlineStr">
        <is>
          <t>PROD</t>
        </is>
      </c>
      <c r="E462" s="22" t="inlineStr">
        <is>
          <t>PACKER</t>
        </is>
      </c>
      <c r="F462" s="13" t="inlineStr">
        <is>
          <t>KARYAWAN</t>
        </is>
      </c>
    </row>
    <row r="463" ht="15.75" customHeight="1" s="169">
      <c r="A463" s="22" t="n">
        <v>328000653</v>
      </c>
      <c r="B463" s="22" t="inlineStr">
        <is>
          <t>AMANIA AGUSTIANI</t>
        </is>
      </c>
      <c r="C463" s="22" t="inlineStr">
        <is>
          <t>NON STAFF</t>
        </is>
      </c>
      <c r="D463" s="22" t="inlineStr">
        <is>
          <t>PROD</t>
        </is>
      </c>
      <c r="E463" s="22" t="inlineStr">
        <is>
          <t>PACKER</t>
        </is>
      </c>
      <c r="F463" s="13" t="inlineStr">
        <is>
          <t>KARYAWAN</t>
        </is>
      </c>
    </row>
    <row r="464" ht="15.75" customHeight="1" s="169">
      <c r="A464" s="22" t="n">
        <v>328000654</v>
      </c>
      <c r="B464" s="22" t="inlineStr">
        <is>
          <t>IRMA HASMARANI</t>
        </is>
      </c>
      <c r="C464" s="22" t="inlineStr">
        <is>
          <t>NON STAFF</t>
        </is>
      </c>
      <c r="D464" s="22" t="inlineStr">
        <is>
          <t>PROD</t>
        </is>
      </c>
      <c r="E464" s="22" t="inlineStr">
        <is>
          <t>PACKER</t>
        </is>
      </c>
      <c r="F464" s="13" t="inlineStr">
        <is>
          <t>KARYAWAN</t>
        </is>
      </c>
    </row>
    <row r="465" ht="15.75" customHeight="1" s="169">
      <c r="A465" s="22" t="n">
        <v>328000655</v>
      </c>
      <c r="B465" s="22" t="inlineStr">
        <is>
          <t>SHELA RAHMALIA</t>
        </is>
      </c>
      <c r="C465" s="22" t="inlineStr">
        <is>
          <t>NON STAFF</t>
        </is>
      </c>
      <c r="D465" s="22" t="inlineStr">
        <is>
          <t>PROD</t>
        </is>
      </c>
      <c r="E465" s="22" t="inlineStr">
        <is>
          <t>PACKER</t>
        </is>
      </c>
      <c r="F465" s="13" t="inlineStr">
        <is>
          <t>KARYAWAN</t>
        </is>
      </c>
    </row>
    <row r="466" ht="15.75" customHeight="1" s="169">
      <c r="A466" s="22" t="n">
        <v>328000657</v>
      </c>
      <c r="B466" s="22" t="inlineStr">
        <is>
          <t>PRIDA SRI NUR AFIFAH</t>
        </is>
      </c>
      <c r="C466" s="22" t="inlineStr">
        <is>
          <t>NON STAFF</t>
        </is>
      </c>
      <c r="D466" s="22" t="inlineStr">
        <is>
          <t>PROD</t>
        </is>
      </c>
      <c r="E466" s="22" t="inlineStr">
        <is>
          <t>PACKER</t>
        </is>
      </c>
      <c r="F466" s="13" t="inlineStr">
        <is>
          <t>KARYAWAN</t>
        </is>
      </c>
    </row>
    <row r="467" ht="15.75" customHeight="1" s="169">
      <c r="A467" s="22" t="n">
        <v>328000658</v>
      </c>
      <c r="B467" s="22" t="inlineStr">
        <is>
          <t>NEZSA MELVINA SUTISNA</t>
        </is>
      </c>
      <c r="C467" s="22" t="inlineStr">
        <is>
          <t>NON STAFF</t>
        </is>
      </c>
      <c r="D467" s="22" t="inlineStr">
        <is>
          <t>PROD</t>
        </is>
      </c>
      <c r="E467" s="22" t="inlineStr">
        <is>
          <t>PACKER</t>
        </is>
      </c>
      <c r="F467" s="13" t="inlineStr">
        <is>
          <t>KARYAWAN</t>
        </is>
      </c>
    </row>
    <row r="468" ht="15.75" customHeight="1" s="169">
      <c r="A468" s="22" t="n">
        <v>328000659</v>
      </c>
      <c r="B468" s="22" t="inlineStr">
        <is>
          <t>MUHAMAD NUGRAH NOPIASADI</t>
        </is>
      </c>
      <c r="C468" s="22" t="inlineStr">
        <is>
          <t>NON STAFF</t>
        </is>
      </c>
      <c r="D468" s="22" t="inlineStr">
        <is>
          <t>PROD</t>
        </is>
      </c>
      <c r="E468" s="22" t="inlineStr">
        <is>
          <t>PACKER</t>
        </is>
      </c>
      <c r="F468" s="13" t="inlineStr">
        <is>
          <t>KARYAWAN</t>
        </is>
      </c>
    </row>
    <row r="469" ht="15.75" customHeight="1" s="169">
      <c r="A469" s="22" t="n">
        <v>328000660</v>
      </c>
      <c r="B469" s="22" t="inlineStr">
        <is>
          <t>APAN SOPYAN</t>
        </is>
      </c>
      <c r="C469" s="22" t="inlineStr">
        <is>
          <t>NON STAFF</t>
        </is>
      </c>
      <c r="D469" s="22" t="inlineStr">
        <is>
          <t>PROD</t>
        </is>
      </c>
      <c r="E469" s="22" t="inlineStr">
        <is>
          <t>PACKER</t>
        </is>
      </c>
      <c r="F469" s="13" t="inlineStr">
        <is>
          <t>KARYAWAN</t>
        </is>
      </c>
    </row>
    <row r="470" ht="15.75" customHeight="1" s="169">
      <c r="A470" s="22" t="n">
        <v>328000661</v>
      </c>
      <c r="B470" s="22" t="inlineStr">
        <is>
          <t>NUR BAETI</t>
        </is>
      </c>
      <c r="C470" s="22" t="inlineStr">
        <is>
          <t>NON STAFF</t>
        </is>
      </c>
      <c r="D470" s="22" t="inlineStr">
        <is>
          <t>PROD</t>
        </is>
      </c>
      <c r="E470" s="22" t="inlineStr">
        <is>
          <t>PACKER</t>
        </is>
      </c>
      <c r="F470" s="13" t="inlineStr">
        <is>
          <t>KARYAWAN</t>
        </is>
      </c>
    </row>
    <row r="471" ht="15.75" customHeight="1" s="169">
      <c r="A471" s="22" t="n">
        <v>328000662</v>
      </c>
      <c r="B471" s="22" t="inlineStr">
        <is>
          <t>SINTIA AGUSTINA</t>
        </is>
      </c>
      <c r="C471" s="22" t="inlineStr">
        <is>
          <t>NON STAFF</t>
        </is>
      </c>
      <c r="D471" s="22" t="inlineStr">
        <is>
          <t>PROD</t>
        </is>
      </c>
      <c r="E471" s="22" t="inlineStr">
        <is>
          <t>PACKER</t>
        </is>
      </c>
      <c r="F471" s="13" t="inlineStr">
        <is>
          <t>KARYAWAN</t>
        </is>
      </c>
    </row>
    <row r="472" ht="15.75" customHeight="1" s="169">
      <c r="A472" s="22" t="n">
        <v>328000663</v>
      </c>
      <c r="B472" s="22" t="inlineStr">
        <is>
          <t>RATU TIARA PUTRI</t>
        </is>
      </c>
      <c r="C472" s="22" t="inlineStr">
        <is>
          <t>NON STAFF</t>
        </is>
      </c>
      <c r="D472" s="22" t="inlineStr">
        <is>
          <t>PROD</t>
        </is>
      </c>
      <c r="E472" s="22" t="inlineStr">
        <is>
          <t>PACKER</t>
        </is>
      </c>
      <c r="F472" s="13" t="inlineStr">
        <is>
          <t>KARYAWAN</t>
        </is>
      </c>
    </row>
    <row r="473" ht="15.75" customHeight="1" s="169">
      <c r="A473" s="22" t="n">
        <v>328000664</v>
      </c>
      <c r="B473" s="22" t="inlineStr">
        <is>
          <t>SITI NURAENI</t>
        </is>
      </c>
      <c r="C473" s="22" t="inlineStr">
        <is>
          <t>NON STAFF</t>
        </is>
      </c>
      <c r="D473" s="22" t="inlineStr">
        <is>
          <t>PROD</t>
        </is>
      </c>
      <c r="E473" s="22" t="inlineStr">
        <is>
          <t>PACKER</t>
        </is>
      </c>
      <c r="F473" s="13" t="inlineStr">
        <is>
          <t>KARYAWAN</t>
        </is>
      </c>
    </row>
    <row r="474" ht="15.75" customHeight="1" s="169">
      <c r="A474" s="22" t="n">
        <v>328000665</v>
      </c>
      <c r="B474" s="22" t="inlineStr">
        <is>
          <t>DELVYNA FRISCA</t>
        </is>
      </c>
      <c r="C474" s="22" t="inlineStr">
        <is>
          <t>NON STAFF</t>
        </is>
      </c>
      <c r="D474" s="22" t="inlineStr">
        <is>
          <t>PROD</t>
        </is>
      </c>
      <c r="E474" s="22" t="inlineStr">
        <is>
          <t>PACKER</t>
        </is>
      </c>
      <c r="F474" s="13" t="inlineStr">
        <is>
          <t>KARYAWAN</t>
        </is>
      </c>
    </row>
    <row r="475" ht="15.75" customHeight="1" s="169">
      <c r="A475" s="22" t="n">
        <v>328000666</v>
      </c>
      <c r="B475" s="22" t="inlineStr">
        <is>
          <t>ARMAN FADILAH</t>
        </is>
      </c>
      <c r="C475" s="22" t="inlineStr">
        <is>
          <t>NON STAFF</t>
        </is>
      </c>
      <c r="D475" s="22" t="inlineStr">
        <is>
          <t>PROD</t>
        </is>
      </c>
      <c r="E475" s="22" t="inlineStr">
        <is>
          <t>PACKER</t>
        </is>
      </c>
      <c r="F475" s="13" t="inlineStr">
        <is>
          <t>KARYAWAN</t>
        </is>
      </c>
    </row>
    <row r="476" ht="15.75" customHeight="1" s="169">
      <c r="A476" s="22" t="n">
        <v>328000667</v>
      </c>
      <c r="B476" s="22" t="inlineStr">
        <is>
          <t>SHAKILA SALSA BILA</t>
        </is>
      </c>
      <c r="C476" s="22" t="inlineStr">
        <is>
          <t>NON STAFF</t>
        </is>
      </c>
      <c r="D476" s="22" t="inlineStr">
        <is>
          <t>PROD</t>
        </is>
      </c>
      <c r="E476" s="22" t="inlineStr">
        <is>
          <t>PACKER</t>
        </is>
      </c>
      <c r="F476" s="13" t="inlineStr">
        <is>
          <t>KARYAWAN</t>
        </is>
      </c>
    </row>
    <row r="477" ht="15.75" customHeight="1" s="169">
      <c r="A477" s="22" t="n">
        <v>328000668</v>
      </c>
      <c r="B477" s="22" t="inlineStr">
        <is>
          <t>DESI SRI HANDAYANI</t>
        </is>
      </c>
      <c r="C477" s="22" t="inlineStr">
        <is>
          <t>NON STAFF</t>
        </is>
      </c>
      <c r="D477" s="22" t="inlineStr">
        <is>
          <t>PROD</t>
        </is>
      </c>
      <c r="E477" s="22" t="inlineStr">
        <is>
          <t>PACKER</t>
        </is>
      </c>
      <c r="F477" s="13" t="inlineStr">
        <is>
          <t>KARYAWAN</t>
        </is>
      </c>
    </row>
    <row r="478" ht="15.75" customHeight="1" s="169">
      <c r="A478" s="22" t="n">
        <v>328000669</v>
      </c>
      <c r="B478" s="22" t="inlineStr">
        <is>
          <t>LELA NUR PADILAH</t>
        </is>
      </c>
      <c r="C478" s="22" t="inlineStr">
        <is>
          <t>NON STAFF</t>
        </is>
      </c>
      <c r="D478" s="22" t="inlineStr">
        <is>
          <t>PROD</t>
        </is>
      </c>
      <c r="E478" s="22" t="inlineStr">
        <is>
          <t>PACKER</t>
        </is>
      </c>
      <c r="F478" s="13" t="inlineStr">
        <is>
          <t>KARYAWAN</t>
        </is>
      </c>
    </row>
    <row r="479" ht="15.75" customHeight="1" s="169">
      <c r="A479" s="22" t="n">
        <v>328000670</v>
      </c>
      <c r="B479" s="22" t="inlineStr">
        <is>
          <t>TASYA SITI NURFAUZI</t>
        </is>
      </c>
      <c r="C479" s="22" t="inlineStr">
        <is>
          <t>NON STAFF</t>
        </is>
      </c>
      <c r="D479" s="22" t="inlineStr">
        <is>
          <t>PROD</t>
        </is>
      </c>
      <c r="E479" s="22" t="inlineStr">
        <is>
          <t>PACKER</t>
        </is>
      </c>
      <c r="F479" s="13" t="inlineStr">
        <is>
          <t>KARYAWAN</t>
        </is>
      </c>
    </row>
    <row r="480" ht="15.75" customHeight="1" s="169">
      <c r="A480" s="22" t="n">
        <v>328000671</v>
      </c>
      <c r="B480" s="22" t="inlineStr">
        <is>
          <t>KARTIKA RAHMAWATI</t>
        </is>
      </c>
      <c r="C480" s="22" t="inlineStr">
        <is>
          <t>NON STAFF</t>
        </is>
      </c>
      <c r="D480" s="22" t="inlineStr">
        <is>
          <t>PROD</t>
        </is>
      </c>
      <c r="E480" s="22" t="inlineStr">
        <is>
          <t>PACKER</t>
        </is>
      </c>
      <c r="F480" s="13" t="inlineStr">
        <is>
          <t>KARYAWAN</t>
        </is>
      </c>
    </row>
    <row r="481" ht="15.75" customHeight="1" s="169">
      <c r="A481" s="22" t="n">
        <v>328000672</v>
      </c>
      <c r="B481" s="22" t="inlineStr">
        <is>
          <t>ARUL AL-BUKHORI</t>
        </is>
      </c>
      <c r="C481" s="22" t="inlineStr">
        <is>
          <t>NON STAFF</t>
        </is>
      </c>
      <c r="D481" s="22" t="inlineStr">
        <is>
          <t>PROD</t>
        </is>
      </c>
      <c r="E481" s="22" t="inlineStr">
        <is>
          <t>PACKER</t>
        </is>
      </c>
      <c r="F481" s="13" t="inlineStr">
        <is>
          <t>KARYAWAN</t>
        </is>
      </c>
    </row>
    <row r="482" ht="15.75" customHeight="1" s="169">
      <c r="A482" s="22" t="n">
        <v>328000673</v>
      </c>
      <c r="B482" s="22" t="inlineStr">
        <is>
          <t>AYU ALIYANTI</t>
        </is>
      </c>
      <c r="C482" s="22" t="inlineStr">
        <is>
          <t>NON STAFF</t>
        </is>
      </c>
      <c r="D482" s="22" t="inlineStr">
        <is>
          <t>PROD</t>
        </is>
      </c>
      <c r="E482" s="22" t="inlineStr">
        <is>
          <t>PACKER</t>
        </is>
      </c>
      <c r="F482" s="13" t="inlineStr">
        <is>
          <t>KARYAWAN</t>
        </is>
      </c>
    </row>
    <row r="483" ht="15.75" customHeight="1" s="169">
      <c r="A483" s="22" t="n">
        <v>328000674</v>
      </c>
      <c r="B483" s="22" t="inlineStr">
        <is>
          <t>WINDI AYU ROHANIA</t>
        </is>
      </c>
      <c r="C483" s="22" t="inlineStr">
        <is>
          <t>NON STAFF</t>
        </is>
      </c>
      <c r="D483" s="22" t="inlineStr">
        <is>
          <t>PROD</t>
        </is>
      </c>
      <c r="E483" s="22" t="inlineStr">
        <is>
          <t>PACKER</t>
        </is>
      </c>
      <c r="F483" s="13" t="inlineStr">
        <is>
          <t>KARYAWAN</t>
        </is>
      </c>
    </row>
    <row r="484" ht="15.75" customHeight="1" s="169">
      <c r="A484" s="22" t="n">
        <v>328000675</v>
      </c>
      <c r="B484" s="22" t="inlineStr">
        <is>
          <t>DEWI NOVITA CHANDRA</t>
        </is>
      </c>
      <c r="C484" s="22" t="inlineStr">
        <is>
          <t>NON STAFF</t>
        </is>
      </c>
      <c r="D484" s="22" t="inlineStr">
        <is>
          <t>PROD</t>
        </is>
      </c>
      <c r="E484" s="22" t="inlineStr">
        <is>
          <t>PACKER</t>
        </is>
      </c>
      <c r="F484" s="13" t="inlineStr">
        <is>
          <t>KARYAWAN</t>
        </is>
      </c>
    </row>
    <row r="485" ht="15.75" customHeight="1" s="169">
      <c r="A485" s="22" t="n">
        <v>328000676</v>
      </c>
      <c r="B485" s="22" t="inlineStr">
        <is>
          <t>ARINI YULIANTI</t>
        </is>
      </c>
      <c r="C485" s="22" t="inlineStr">
        <is>
          <t>NON STAFF</t>
        </is>
      </c>
      <c r="D485" s="22" t="inlineStr">
        <is>
          <t>PROD</t>
        </is>
      </c>
      <c r="E485" s="22" t="inlineStr">
        <is>
          <t>PACKER</t>
        </is>
      </c>
      <c r="F485" s="13" t="inlineStr">
        <is>
          <t>KARYAWAN</t>
        </is>
      </c>
    </row>
    <row r="486" ht="15.75" customHeight="1" s="169">
      <c r="A486" s="22" t="n">
        <v>328000677</v>
      </c>
      <c r="B486" s="22" t="inlineStr">
        <is>
          <t>REVIANI</t>
        </is>
      </c>
      <c r="C486" s="22" t="inlineStr">
        <is>
          <t>NON STAFF</t>
        </is>
      </c>
      <c r="D486" s="22" t="inlineStr">
        <is>
          <t>PROD</t>
        </is>
      </c>
      <c r="E486" s="22" t="inlineStr">
        <is>
          <t>PACKER</t>
        </is>
      </c>
      <c r="F486" s="13" t="inlineStr">
        <is>
          <t>KARYAWAN</t>
        </is>
      </c>
    </row>
    <row r="487" ht="15.75" customHeight="1" s="169">
      <c r="A487" s="22" t="n">
        <v>328000678</v>
      </c>
      <c r="B487" s="22" t="inlineStr">
        <is>
          <t>AKMAL KOMALUDIN</t>
        </is>
      </c>
      <c r="C487" s="22" t="inlineStr">
        <is>
          <t>NON STAFF</t>
        </is>
      </c>
      <c r="D487" s="22" t="inlineStr">
        <is>
          <t>PROD</t>
        </is>
      </c>
      <c r="E487" s="22" t="inlineStr">
        <is>
          <t>PACKER</t>
        </is>
      </c>
      <c r="F487" s="13" t="inlineStr">
        <is>
          <t>KARYAWAN</t>
        </is>
      </c>
    </row>
    <row r="488" ht="15.75" customHeight="1" s="169">
      <c r="A488" s="22" t="n">
        <v>328000680</v>
      </c>
      <c r="B488" s="22" t="inlineStr">
        <is>
          <t>NATASYA SHAFIRA PUTRI RAHMAT</t>
        </is>
      </c>
      <c r="C488" s="22" t="inlineStr">
        <is>
          <t>NON STAFF</t>
        </is>
      </c>
      <c r="D488" s="22" t="inlineStr">
        <is>
          <t>LOG</t>
        </is>
      </c>
      <c r="E488" s="22" t="inlineStr">
        <is>
          <t>ADMIN WSP</t>
        </is>
      </c>
      <c r="F488" s="13" t="inlineStr">
        <is>
          <t>KARYAWAN</t>
        </is>
      </c>
    </row>
    <row r="489" ht="15.75" customHeight="1" s="169">
      <c r="A489" s="22" t="n">
        <v>328000681</v>
      </c>
      <c r="B489" s="22" t="inlineStr">
        <is>
          <t>DIAZ ERLANGGA</t>
        </is>
      </c>
      <c r="C489" s="22" t="inlineStr">
        <is>
          <t>NON STAFF</t>
        </is>
      </c>
      <c r="D489" s="22" t="inlineStr">
        <is>
          <t>QRD</t>
        </is>
      </c>
      <c r="E489" s="22" t="inlineStr">
        <is>
          <t>QC INCOMING</t>
        </is>
      </c>
      <c r="F489" s="13" t="inlineStr">
        <is>
          <t>KARYAWAN</t>
        </is>
      </c>
    </row>
    <row r="490" ht="15.75" customHeight="1" s="169">
      <c r="A490" s="22" t="n">
        <v>328000682</v>
      </c>
      <c r="B490" s="22" t="inlineStr">
        <is>
          <t>MUTIYANA</t>
        </is>
      </c>
      <c r="C490" s="22" t="inlineStr">
        <is>
          <t>NON STAFF</t>
        </is>
      </c>
      <c r="D490" s="22" t="inlineStr">
        <is>
          <t>PROD</t>
        </is>
      </c>
      <c r="E490" s="22" t="inlineStr">
        <is>
          <t>PACKER</t>
        </is>
      </c>
      <c r="F490" s="13" t="inlineStr">
        <is>
          <t>KARYAWAN</t>
        </is>
      </c>
    </row>
    <row r="491" ht="15.75" customHeight="1" s="169">
      <c r="A491" s="22" t="n">
        <v>328000683</v>
      </c>
      <c r="B491" s="22" t="inlineStr">
        <is>
          <t>ALDI AFDUL ALFIANSYAH</t>
        </is>
      </c>
      <c r="C491" s="22" t="inlineStr">
        <is>
          <t>NON STAFF</t>
        </is>
      </c>
      <c r="D491" s="22" t="inlineStr">
        <is>
          <t>PROD</t>
        </is>
      </c>
      <c r="E491" s="22" t="inlineStr">
        <is>
          <t>OPERATOR</t>
        </is>
      </c>
      <c r="F491" s="13" t="inlineStr">
        <is>
          <t>KARYAWAN</t>
        </is>
      </c>
    </row>
    <row r="492" ht="15.75" customHeight="1" s="169">
      <c r="A492" s="22" t="n">
        <v>328000684</v>
      </c>
      <c r="B492" s="22" t="inlineStr">
        <is>
          <t>TATANG SUPRIADI</t>
        </is>
      </c>
      <c r="C492" s="22" t="inlineStr">
        <is>
          <t>NON STAFF</t>
        </is>
      </c>
      <c r="D492" s="22" t="inlineStr">
        <is>
          <t>PROD</t>
        </is>
      </c>
      <c r="E492" s="22" t="inlineStr">
        <is>
          <t>OPERATOR</t>
        </is>
      </c>
      <c r="F492" s="13" t="inlineStr">
        <is>
          <t>KARYAWAN</t>
        </is>
      </c>
    </row>
    <row r="493" ht="15.75" customHeight="1" s="169">
      <c r="A493" s="22" t="n">
        <v>328000685</v>
      </c>
      <c r="B493" s="22" t="inlineStr">
        <is>
          <t>SULTAN AZIS</t>
        </is>
      </c>
      <c r="C493" s="22" t="inlineStr">
        <is>
          <t>NON STAFF</t>
        </is>
      </c>
      <c r="D493" s="22" t="inlineStr">
        <is>
          <t>PROD</t>
        </is>
      </c>
      <c r="E493" s="22" t="inlineStr">
        <is>
          <t>OPERATOR</t>
        </is>
      </c>
      <c r="F493" s="13" t="inlineStr">
        <is>
          <t>KARYAWAN</t>
        </is>
      </c>
    </row>
    <row r="494" ht="15.75" customHeight="1" s="169">
      <c r="A494" s="22" t="n">
        <v>328000686</v>
      </c>
      <c r="B494" s="22" t="inlineStr">
        <is>
          <t>FIRMANSYAH</t>
        </is>
      </c>
      <c r="C494" s="22" t="inlineStr">
        <is>
          <t>NON STAFF</t>
        </is>
      </c>
      <c r="D494" s="22" t="inlineStr">
        <is>
          <t>PROD</t>
        </is>
      </c>
      <c r="E494" s="22" t="inlineStr">
        <is>
          <t>OPERATOR</t>
        </is>
      </c>
      <c r="F494" s="13" t="inlineStr">
        <is>
          <t>KARYAWAN</t>
        </is>
      </c>
    </row>
    <row r="495" ht="15.75" customHeight="1" s="169">
      <c r="A495" s="22" t="n">
        <v>328000687</v>
      </c>
      <c r="B495" s="22" t="inlineStr">
        <is>
          <t>RYAN SEPTIANTO SAPUTRA</t>
        </is>
      </c>
      <c r="C495" s="22" t="inlineStr">
        <is>
          <t>NON STAFF</t>
        </is>
      </c>
      <c r="D495" s="22" t="inlineStr">
        <is>
          <t>ENG</t>
        </is>
      </c>
      <c r="E495" s="22" t="inlineStr">
        <is>
          <t>TECHNICIAN</t>
        </is>
      </c>
      <c r="F495" s="13" t="inlineStr">
        <is>
          <t>KARYAWAN</t>
        </is>
      </c>
    </row>
    <row r="496" ht="15.75" customHeight="1" s="169">
      <c r="A496" s="22" t="n">
        <v>328000689</v>
      </c>
      <c r="B496" s="22" t="inlineStr">
        <is>
          <t>SRI RAHAYU</t>
        </is>
      </c>
      <c r="C496" s="22" t="inlineStr">
        <is>
          <t>NON STAFF</t>
        </is>
      </c>
      <c r="D496" s="22" t="inlineStr">
        <is>
          <t>QRD</t>
        </is>
      </c>
      <c r="E496" s="22" t="inlineStr">
        <is>
          <t>QC PRODUKSI</t>
        </is>
      </c>
      <c r="F496" s="13" t="inlineStr">
        <is>
          <t>KARYAWAN</t>
        </is>
      </c>
    </row>
    <row r="497" ht="15.75" customHeight="1" s="169">
      <c r="A497" s="22" t="n">
        <v>328000690</v>
      </c>
      <c r="B497" s="22" t="inlineStr">
        <is>
          <t>MUHAMMAD SULTHAN HANIF MUFLIH</t>
        </is>
      </c>
      <c r="C497" s="22" t="inlineStr">
        <is>
          <t>NON STAFF</t>
        </is>
      </c>
      <c r="D497" s="22" t="inlineStr">
        <is>
          <t>LOG</t>
        </is>
      </c>
      <c r="E497" s="22" t="inlineStr">
        <is>
          <t>ADMIN WSP</t>
        </is>
      </c>
      <c r="F497" s="13" t="inlineStr">
        <is>
          <t>KARYAWAN</t>
        </is>
      </c>
    </row>
    <row r="498" ht="15.75" customHeight="1" s="169">
      <c r="A498" s="22" t="n">
        <v>328000691</v>
      </c>
      <c r="B498" s="22" t="inlineStr">
        <is>
          <t>MUHAMMAD REGGY SHEPTYAN</t>
        </is>
      </c>
      <c r="C498" s="22" t="inlineStr">
        <is>
          <t>NON STAFF</t>
        </is>
      </c>
      <c r="D498" s="22" t="inlineStr">
        <is>
          <t>ENG</t>
        </is>
      </c>
      <c r="E498" s="22" t="inlineStr">
        <is>
          <t>TECHNICIAN</t>
        </is>
      </c>
      <c r="F498" s="13" t="inlineStr">
        <is>
          <t>KARYAWAN</t>
        </is>
      </c>
    </row>
    <row r="499" ht="15.75" customHeight="1" s="169">
      <c r="A499" s="22" t="n">
        <v>328000692</v>
      </c>
      <c r="B499" s="22" t="inlineStr">
        <is>
          <t>MUHAMAD NURFAIZHI</t>
        </is>
      </c>
      <c r="C499" s="22" t="inlineStr">
        <is>
          <t>NON STAFF</t>
        </is>
      </c>
      <c r="D499" s="22" t="inlineStr">
        <is>
          <t>PROD</t>
        </is>
      </c>
      <c r="E499" s="22" t="inlineStr">
        <is>
          <t>ADMIN TSP</t>
        </is>
      </c>
      <c r="F499" s="13" t="inlineStr">
        <is>
          <t>KARYAWAN</t>
        </is>
      </c>
    </row>
    <row r="500" ht="15.75" customHeight="1" s="169">
      <c r="A500" s="22" t="n">
        <v>328000693</v>
      </c>
      <c r="B500" s="22" t="inlineStr">
        <is>
          <t>ANDREAN ANSHAR RAMADHAN</t>
        </is>
      </c>
      <c r="C500" s="22" t="inlineStr">
        <is>
          <t>NON STAFF</t>
        </is>
      </c>
      <c r="D500" s="22" t="inlineStr">
        <is>
          <t>PROD</t>
        </is>
      </c>
      <c r="E500" s="22" t="inlineStr">
        <is>
          <t>PACKER</t>
        </is>
      </c>
      <c r="F500" s="13" t="inlineStr">
        <is>
          <t>KARYAWAN</t>
        </is>
      </c>
    </row>
    <row r="501" ht="15.75" customHeight="1" s="169">
      <c r="A501" s="22" t="n">
        <v>328000694</v>
      </c>
      <c r="B501" s="22" t="inlineStr">
        <is>
          <t>ILHAM SURYA HANDIKA</t>
        </is>
      </c>
      <c r="C501" s="22" t="inlineStr">
        <is>
          <t>NON STAFF</t>
        </is>
      </c>
      <c r="D501" s="22" t="inlineStr">
        <is>
          <t>PROD</t>
        </is>
      </c>
      <c r="E501" s="22" t="inlineStr">
        <is>
          <t>PACKER</t>
        </is>
      </c>
      <c r="F501" s="13" t="inlineStr">
        <is>
          <t>KARYAWAN</t>
        </is>
      </c>
    </row>
    <row r="502" ht="15.75" customHeight="1" s="169">
      <c r="A502" s="22" t="n">
        <v>328000695</v>
      </c>
      <c r="B502" s="22" t="inlineStr">
        <is>
          <t>SRI RAHAYU</t>
        </is>
      </c>
      <c r="C502" s="22" t="inlineStr">
        <is>
          <t>NON STAFF</t>
        </is>
      </c>
      <c r="D502" s="22" t="inlineStr">
        <is>
          <t>PROD</t>
        </is>
      </c>
      <c r="E502" s="22" t="inlineStr">
        <is>
          <t>PACKER</t>
        </is>
      </c>
      <c r="F502" s="13" t="inlineStr">
        <is>
          <t>KARYAWAN</t>
        </is>
      </c>
    </row>
    <row r="503" ht="15.75" customHeight="1" s="169">
      <c r="A503" s="22" t="n">
        <v>328000696</v>
      </c>
      <c r="B503" s="22" t="inlineStr">
        <is>
          <t>DEA LESMANA</t>
        </is>
      </c>
      <c r="C503" s="22" t="inlineStr">
        <is>
          <t>NON STAFF</t>
        </is>
      </c>
      <c r="D503" s="22" t="inlineStr">
        <is>
          <t>ENG</t>
        </is>
      </c>
      <c r="E503" s="22" t="inlineStr">
        <is>
          <t>TECHNICIAN</t>
        </is>
      </c>
      <c r="F503" s="13" t="inlineStr">
        <is>
          <t>KARYAWAN</t>
        </is>
      </c>
    </row>
    <row r="504" ht="15.75" customHeight="1" s="169">
      <c r="A504" s="22" t="n">
        <v>328000697</v>
      </c>
      <c r="B504" s="22" t="inlineStr">
        <is>
          <t>AZIE RAMADANI</t>
        </is>
      </c>
      <c r="C504" s="22" t="inlineStr">
        <is>
          <t>NON STAFF</t>
        </is>
      </c>
      <c r="D504" s="22" t="inlineStr">
        <is>
          <t>LOG</t>
        </is>
      </c>
      <c r="E504" s="22" t="inlineStr">
        <is>
          <t>OPERATOR REACHTRUCK</t>
        </is>
      </c>
      <c r="F504" s="13" t="inlineStr">
        <is>
          <t>KARYAWAN</t>
        </is>
      </c>
    </row>
    <row r="505" ht="15.75" customHeight="1" s="169">
      <c r="A505" s="22" t="n">
        <v>328000698</v>
      </c>
      <c r="B505" s="22" t="inlineStr">
        <is>
          <t>R. SYAIDATUZZAIN HAMMERA</t>
        </is>
      </c>
      <c r="C505" s="22" t="inlineStr">
        <is>
          <t>NON STAFF</t>
        </is>
      </c>
      <c r="D505" s="22" t="inlineStr">
        <is>
          <t>PROD</t>
        </is>
      </c>
      <c r="E505" s="22" t="inlineStr">
        <is>
          <t>PACKER</t>
        </is>
      </c>
      <c r="F505" s="13" t="inlineStr">
        <is>
          <t>KARYAWAN</t>
        </is>
      </c>
    </row>
    <row r="506" ht="15.75" customHeight="1" s="169">
      <c r="A506" s="22" t="n">
        <v>328000699</v>
      </c>
      <c r="B506" s="22" t="inlineStr">
        <is>
          <t>ADINDA FRANSISKA CANDRA</t>
        </is>
      </c>
      <c r="C506" s="22" t="inlineStr">
        <is>
          <t>NON STAFF</t>
        </is>
      </c>
      <c r="D506" s="22" t="inlineStr">
        <is>
          <t>PROD</t>
        </is>
      </c>
      <c r="E506" s="22" t="inlineStr">
        <is>
          <t>PACKER</t>
        </is>
      </c>
      <c r="F506" s="13" t="inlineStr">
        <is>
          <t>KARYAWAN</t>
        </is>
      </c>
    </row>
    <row r="507" ht="15.75" customHeight="1" s="169">
      <c r="A507" s="22" t="n">
        <v>328000700</v>
      </c>
      <c r="B507" s="22" t="inlineStr">
        <is>
          <t>FREEDA KEISHA PUTRI</t>
        </is>
      </c>
      <c r="C507" s="22" t="inlineStr">
        <is>
          <t>NON STAFF</t>
        </is>
      </c>
      <c r="D507" s="22" t="inlineStr">
        <is>
          <t>QRD</t>
        </is>
      </c>
      <c r="E507" s="22" t="inlineStr">
        <is>
          <t>QC PRODUKSI</t>
        </is>
      </c>
      <c r="F507" s="13" t="inlineStr">
        <is>
          <t>KARYAWAN</t>
        </is>
      </c>
    </row>
    <row r="508" ht="15.75" customHeight="1" s="169">
      <c r="A508" s="22" t="n">
        <v>328000701</v>
      </c>
      <c r="B508" s="22" t="inlineStr">
        <is>
          <t>FIKA RIYADI SOLIHIN</t>
        </is>
      </c>
      <c r="C508" s="22" t="inlineStr">
        <is>
          <t>NON STAFF</t>
        </is>
      </c>
      <c r="D508" s="22" t="inlineStr">
        <is>
          <t>PROD</t>
        </is>
      </c>
      <c r="E508" s="22" t="inlineStr">
        <is>
          <t>ADMIN TSP</t>
        </is>
      </c>
      <c r="F508" s="13" t="inlineStr">
        <is>
          <t>KARYAWAN</t>
        </is>
      </c>
    </row>
    <row r="509" ht="15.75" customHeight="1" s="169">
      <c r="A509" s="22" t="n">
        <v>328000702</v>
      </c>
      <c r="B509" s="22" t="inlineStr">
        <is>
          <t>SUCI NUR CAHYUNI</t>
        </is>
      </c>
      <c r="C509" s="22" t="inlineStr">
        <is>
          <t>NON STAFF</t>
        </is>
      </c>
      <c r="D509" s="22" t="inlineStr">
        <is>
          <t>PROD</t>
        </is>
      </c>
      <c r="E509" s="22" t="inlineStr">
        <is>
          <t>PACKER</t>
        </is>
      </c>
      <c r="F509" s="13" t="inlineStr">
        <is>
          <t>KARYAWAN</t>
        </is>
      </c>
    </row>
    <row r="510" ht="15.75" customHeight="1" s="169">
      <c r="A510" s="22" t="n">
        <v>328000703</v>
      </c>
      <c r="B510" s="22" t="inlineStr">
        <is>
          <t>DIMAS ANANG PRABOWO</t>
        </is>
      </c>
      <c r="C510" s="22" t="inlineStr">
        <is>
          <t>NON STAFF</t>
        </is>
      </c>
      <c r="D510" s="22" t="inlineStr">
        <is>
          <t>ENG</t>
        </is>
      </c>
      <c r="E510" s="22" t="inlineStr">
        <is>
          <t>TECHNICIAN</t>
        </is>
      </c>
      <c r="F510" s="13" t="inlineStr">
        <is>
          <t>KARYAWAN</t>
        </is>
      </c>
    </row>
    <row r="511" ht="15.75" customHeight="1" s="169">
      <c r="A511" s="22" t="n">
        <v>328000704</v>
      </c>
      <c r="B511" s="22" t="inlineStr">
        <is>
          <t>TAHATA FADHILAH ABI MAULANA</t>
        </is>
      </c>
      <c r="C511" s="22" t="inlineStr">
        <is>
          <t>NON STAFF</t>
        </is>
      </c>
      <c r="D511" s="22" t="inlineStr">
        <is>
          <t>ENG</t>
        </is>
      </c>
      <c r="E511" s="22" t="inlineStr">
        <is>
          <t>TECHNICIAN</t>
        </is>
      </c>
      <c r="F511" s="13" t="inlineStr">
        <is>
          <t>KARYAWAN</t>
        </is>
      </c>
    </row>
    <row r="512" ht="15.75" customHeight="1" s="169">
      <c r="A512" s="22" t="n">
        <v>328000705</v>
      </c>
      <c r="B512" s="22" t="inlineStr">
        <is>
          <t>HARI JULIANTO</t>
        </is>
      </c>
      <c r="C512" s="22" t="inlineStr">
        <is>
          <t>NON STAFF</t>
        </is>
      </c>
      <c r="D512" s="22" t="inlineStr">
        <is>
          <t>PROD</t>
        </is>
      </c>
      <c r="E512" s="22" t="inlineStr">
        <is>
          <t>PACKER</t>
        </is>
      </c>
      <c r="F512" s="13" t="inlineStr">
        <is>
          <t>KARYAWAN</t>
        </is>
      </c>
    </row>
    <row r="513" ht="15.75" customHeight="1" s="169">
      <c r="A513" s="22" t="n">
        <v>328000706</v>
      </c>
      <c r="B513" s="22" t="inlineStr">
        <is>
          <t>AHMAD SOLEH</t>
        </is>
      </c>
      <c r="C513" s="22" t="inlineStr">
        <is>
          <t>NON STAFF</t>
        </is>
      </c>
      <c r="D513" s="22" t="inlineStr">
        <is>
          <t>PROD</t>
        </is>
      </c>
      <c r="E513" s="22" t="inlineStr">
        <is>
          <t>ADMIN TSP</t>
        </is>
      </c>
      <c r="F513" s="13" t="inlineStr">
        <is>
          <t>KARYAWAN</t>
        </is>
      </c>
    </row>
    <row r="514" ht="15.75" customHeight="1" s="169">
      <c r="A514" s="22" t="n">
        <v>328000707</v>
      </c>
      <c r="B514" s="22" t="inlineStr">
        <is>
          <t>AGUNG PURWANTO</t>
        </is>
      </c>
      <c r="C514" s="22" t="inlineStr">
        <is>
          <t>NON STAFF</t>
        </is>
      </c>
      <c r="D514" s="22" t="inlineStr">
        <is>
          <t>LOG</t>
        </is>
      </c>
      <c r="E514" s="22" t="inlineStr">
        <is>
          <t>OPERATOR FORKLIFT</t>
        </is>
      </c>
      <c r="F514" s="13" t="inlineStr">
        <is>
          <t>KARYAWAN</t>
        </is>
      </c>
    </row>
    <row r="515" ht="15.75" customHeight="1" s="169">
      <c r="A515" s="22" t="n">
        <v>328000708</v>
      </c>
      <c r="B515" s="22" t="inlineStr">
        <is>
          <t>SOFHIE SILVIA PUTRI</t>
        </is>
      </c>
      <c r="C515" s="22" t="inlineStr">
        <is>
          <t>NON STAFF</t>
        </is>
      </c>
      <c r="D515" s="22" t="inlineStr">
        <is>
          <t>QRD</t>
        </is>
      </c>
      <c r="E515" s="22" t="inlineStr">
        <is>
          <t>QC LAB</t>
        </is>
      </c>
      <c r="F515" s="13" t="inlineStr">
        <is>
          <t>KARYAWAN</t>
        </is>
      </c>
    </row>
    <row r="516" ht="15.75" customHeight="1" s="169">
      <c r="A516" s="22" t="n">
        <v>328000709</v>
      </c>
      <c r="B516" s="22" t="inlineStr">
        <is>
          <t>FRANSISKUS HANDOKO HUTASOIT</t>
        </is>
      </c>
      <c r="C516" s="22" t="inlineStr">
        <is>
          <t>NON STAFF</t>
        </is>
      </c>
      <c r="D516" s="22" t="inlineStr">
        <is>
          <t>ENG</t>
        </is>
      </c>
      <c r="E516" s="22" t="inlineStr">
        <is>
          <t>TECHNICIAN</t>
        </is>
      </c>
      <c r="F516" s="13" t="inlineStr">
        <is>
          <t>KARYAWAN</t>
        </is>
      </c>
    </row>
    <row r="517" ht="15.75" customHeight="1" s="169">
      <c r="A517" s="22" t="n">
        <v>328000710</v>
      </c>
      <c r="B517" s="22" t="inlineStr">
        <is>
          <t>EKA PEBRIANI</t>
        </is>
      </c>
      <c r="C517" s="22" t="inlineStr">
        <is>
          <t>NON STAFF</t>
        </is>
      </c>
      <c r="D517" s="22" t="inlineStr">
        <is>
          <t>PROD</t>
        </is>
      </c>
      <c r="E517" s="22" t="inlineStr">
        <is>
          <t>PACKER</t>
        </is>
      </c>
      <c r="F517" s="13" t="inlineStr">
        <is>
          <t>KARYAWAN</t>
        </is>
      </c>
    </row>
    <row r="518" ht="15.75" customHeight="1" s="169">
      <c r="A518" s="22" t="n">
        <v>328000711</v>
      </c>
      <c r="B518" s="22" t="inlineStr">
        <is>
          <t>RIZKYA RAMADHANI</t>
        </is>
      </c>
      <c r="C518" s="22" t="inlineStr">
        <is>
          <t>NON STAFF</t>
        </is>
      </c>
      <c r="D518" s="22" t="inlineStr">
        <is>
          <t>QRD</t>
        </is>
      </c>
      <c r="E518" s="22" t="inlineStr">
        <is>
          <t>QC PRODUKSI</t>
        </is>
      </c>
      <c r="F518" s="13" t="inlineStr">
        <is>
          <t>KARYAWAN</t>
        </is>
      </c>
    </row>
    <row r="519" ht="15.75" customHeight="1" s="169">
      <c r="A519" s="22" t="n">
        <v>328000712</v>
      </c>
      <c r="B519" s="22" t="inlineStr">
        <is>
          <t>ALWIN DWI PANGGA</t>
        </is>
      </c>
      <c r="C519" s="22" t="inlineStr">
        <is>
          <t>NON STAFF</t>
        </is>
      </c>
      <c r="D519" s="22" t="inlineStr">
        <is>
          <t>LOG</t>
        </is>
      </c>
      <c r="E519" s="22" t="inlineStr">
        <is>
          <t>OPERATOR FORKLIFT</t>
        </is>
      </c>
      <c r="F519" s="13" t="inlineStr">
        <is>
          <t>KARYAWAN</t>
        </is>
      </c>
    </row>
    <row r="520" ht="15.75" customHeight="1" s="169">
      <c r="A520" s="22" t="n">
        <v>328000713</v>
      </c>
      <c r="B520" s="22" t="inlineStr">
        <is>
          <t>IRWAN CHRISTIANTO HUTAGALUNG</t>
        </is>
      </c>
      <c r="C520" s="22" t="inlineStr">
        <is>
          <t>NON STAFF</t>
        </is>
      </c>
      <c r="D520" s="22" t="inlineStr">
        <is>
          <t>PROD</t>
        </is>
      </c>
      <c r="E520" s="22" t="inlineStr">
        <is>
          <t>OPERATOR PRODUKSI</t>
        </is>
      </c>
      <c r="F520" s="13" t="inlineStr">
        <is>
          <t>KARYAWAN</t>
        </is>
      </c>
    </row>
    <row r="521" ht="15.75" customHeight="1" s="169">
      <c r="A521" s="22" t="n">
        <v>428000004</v>
      </c>
      <c r="B521" s="22" t="inlineStr">
        <is>
          <t>ADI MUZAKI</t>
        </is>
      </c>
      <c r="C521" s="22" t="inlineStr">
        <is>
          <t>Mitra Kerja</t>
        </is>
      </c>
      <c r="D521" s="22" t="inlineStr">
        <is>
          <t>HRGA</t>
        </is>
      </c>
      <c r="E521" s="22" t="inlineStr">
        <is>
          <t>GA Vendor</t>
        </is>
      </c>
      <c r="F521" s="13" t="inlineStr">
        <is>
          <t>SECURITY</t>
        </is>
      </c>
      <c r="G521" s="13" t="inlineStr">
        <is>
          <t>SEC0912</t>
        </is>
      </c>
    </row>
    <row r="522" ht="15.75" customHeight="1" s="169">
      <c r="A522" s="22" t="n">
        <v>428000006</v>
      </c>
      <c r="B522" s="22" t="inlineStr">
        <is>
          <t>BAGAS JUAN PRATAMA</t>
        </is>
      </c>
      <c r="C522" s="22" t="inlineStr">
        <is>
          <t>Mitra Kerja</t>
        </is>
      </c>
      <c r="D522" s="22" t="inlineStr">
        <is>
          <t>HRGA</t>
        </is>
      </c>
      <c r="E522" s="22" t="inlineStr">
        <is>
          <t>GA Vendor</t>
        </is>
      </c>
      <c r="F522" s="13" t="inlineStr">
        <is>
          <t>SECURITY</t>
        </is>
      </c>
      <c r="G522" s="13" t="inlineStr">
        <is>
          <t>SEC0912</t>
        </is>
      </c>
    </row>
    <row r="523" ht="15.75" customHeight="1" s="169">
      <c r="A523" s="22" t="n">
        <v>428000011</v>
      </c>
      <c r="B523" s="22" t="inlineStr">
        <is>
          <t>DINO DRAJAT</t>
        </is>
      </c>
      <c r="C523" s="22" t="inlineStr">
        <is>
          <t>Mitra Kerja</t>
        </is>
      </c>
      <c r="D523" s="22" t="inlineStr">
        <is>
          <t>HRGA</t>
        </is>
      </c>
      <c r="E523" s="22" t="inlineStr">
        <is>
          <t>GA Vendor</t>
        </is>
      </c>
      <c r="F523" s="13" t="inlineStr">
        <is>
          <t>SECURITY</t>
        </is>
      </c>
      <c r="G523" s="13" t="inlineStr">
        <is>
          <t>SEC0912</t>
        </is>
      </c>
    </row>
    <row r="524" ht="15.75" customHeight="1" s="169">
      <c r="A524" s="22" t="n">
        <v>428000012</v>
      </c>
      <c r="B524" s="22" t="inlineStr">
        <is>
          <t>RIDKI MAULANA</t>
        </is>
      </c>
      <c r="C524" s="22" t="inlineStr">
        <is>
          <t>Mitra Kerja</t>
        </is>
      </c>
      <c r="D524" s="22" t="inlineStr">
        <is>
          <t>HRGA</t>
        </is>
      </c>
      <c r="E524" s="22" t="inlineStr">
        <is>
          <t>GA Vendor</t>
        </is>
      </c>
      <c r="F524" s="13" t="inlineStr">
        <is>
          <t>SECURITY</t>
        </is>
      </c>
      <c r="G524" s="13" t="inlineStr">
        <is>
          <t>SEC0912</t>
        </is>
      </c>
    </row>
    <row r="525" ht="15.75" customHeight="1" s="169">
      <c r="A525" s="22" t="n">
        <v>428000014</v>
      </c>
      <c r="B525" s="22" t="inlineStr">
        <is>
          <t>ADITYA SAPUTRA</t>
        </is>
      </c>
      <c r="C525" s="22" t="inlineStr">
        <is>
          <t>Mitra Kerja</t>
        </is>
      </c>
      <c r="D525" s="22" t="inlineStr">
        <is>
          <t>HRGA</t>
        </is>
      </c>
      <c r="E525" s="22" t="inlineStr">
        <is>
          <t>GA Vendor</t>
        </is>
      </c>
      <c r="F525" s="13" t="inlineStr">
        <is>
          <t>SECURITY</t>
        </is>
      </c>
      <c r="G525" s="13" t="inlineStr">
        <is>
          <t>SEC0912</t>
        </is>
      </c>
    </row>
    <row r="526" ht="15.75" customHeight="1" s="169">
      <c r="A526" s="22" t="n">
        <v>428000015</v>
      </c>
      <c r="B526" s="22" t="inlineStr">
        <is>
          <t>MOCHAMMAD AJAR NURJI</t>
        </is>
      </c>
      <c r="C526" s="22" t="inlineStr">
        <is>
          <t>Mitra Kerja</t>
        </is>
      </c>
      <c r="D526" s="22" t="inlineStr">
        <is>
          <t>HRGA</t>
        </is>
      </c>
      <c r="E526" s="22" t="inlineStr">
        <is>
          <t>GA Vendor</t>
        </is>
      </c>
      <c r="F526" s="13" t="inlineStr">
        <is>
          <t>SECURITY</t>
        </is>
      </c>
      <c r="G526" s="13" t="inlineStr">
        <is>
          <t>SEC0912</t>
        </is>
      </c>
    </row>
    <row r="527" ht="15.75" customHeight="1" s="169">
      <c r="A527" s="22" t="n">
        <v>428000020</v>
      </c>
      <c r="B527" s="22" t="inlineStr">
        <is>
          <t>MUSLIM</t>
        </is>
      </c>
      <c r="C527" s="22" t="inlineStr">
        <is>
          <t>Mitra Kerja</t>
        </is>
      </c>
      <c r="D527" s="22" t="inlineStr">
        <is>
          <t>HRGA</t>
        </is>
      </c>
      <c r="E527" s="22" t="inlineStr">
        <is>
          <t>GA Vendor</t>
        </is>
      </c>
      <c r="F527" s="13" t="inlineStr">
        <is>
          <t>SECURITY</t>
        </is>
      </c>
      <c r="G527" s="13" t="inlineStr">
        <is>
          <t>SEC0912</t>
        </is>
      </c>
    </row>
    <row r="528" ht="15.75" customHeight="1" s="169">
      <c r="A528" s="22" t="n">
        <v>428000021</v>
      </c>
      <c r="B528" s="22" t="inlineStr">
        <is>
          <t>CARI IRAWAN</t>
        </is>
      </c>
      <c r="C528" s="22" t="inlineStr">
        <is>
          <t>Mitra Kerja</t>
        </is>
      </c>
      <c r="D528" s="22" t="inlineStr">
        <is>
          <t>HRGA</t>
        </is>
      </c>
      <c r="E528" s="22" t="inlineStr">
        <is>
          <t>GA Vendor</t>
        </is>
      </c>
      <c r="F528" s="13" t="inlineStr">
        <is>
          <t>SECURITY</t>
        </is>
      </c>
      <c r="G528" s="13" t="inlineStr">
        <is>
          <t>SEC0912</t>
        </is>
      </c>
    </row>
    <row r="529" ht="15.75" customHeight="1" s="169">
      <c r="A529" s="22" t="n">
        <v>428000024</v>
      </c>
      <c r="B529" s="22" t="inlineStr">
        <is>
          <t>ADI MAULANA</t>
        </is>
      </c>
      <c r="C529" s="22" t="inlineStr">
        <is>
          <t>Mitra Kerja</t>
        </is>
      </c>
      <c r="D529" s="22" t="inlineStr">
        <is>
          <t>HRGA</t>
        </is>
      </c>
      <c r="E529" s="22" t="inlineStr">
        <is>
          <t>GA Vendor</t>
        </is>
      </c>
      <c r="F529" s="13" t="inlineStr">
        <is>
          <t>SECURITY</t>
        </is>
      </c>
      <c r="G529" s="13" t="inlineStr">
        <is>
          <t>SEC0912</t>
        </is>
      </c>
    </row>
    <row r="530" ht="15.75" customHeight="1" s="169">
      <c r="A530" s="22" t="n">
        <v>428000030</v>
      </c>
      <c r="B530" s="22" t="inlineStr">
        <is>
          <t>ERDI HERDIANSYAH</t>
        </is>
      </c>
      <c r="C530" s="22" t="inlineStr">
        <is>
          <t>Mitra Kerja</t>
        </is>
      </c>
      <c r="D530" s="22" t="inlineStr">
        <is>
          <t>HRGA</t>
        </is>
      </c>
      <c r="E530" s="22" t="inlineStr">
        <is>
          <t>GA Vendor</t>
        </is>
      </c>
      <c r="F530" s="13" t="inlineStr">
        <is>
          <t>SECURITY</t>
        </is>
      </c>
      <c r="G530" s="13" t="inlineStr">
        <is>
          <t>SEC0912</t>
        </is>
      </c>
    </row>
    <row r="531" ht="15.75" customHeight="1" s="169">
      <c r="A531" s="22" t="n">
        <v>428000031</v>
      </c>
      <c r="B531" s="22" t="inlineStr">
        <is>
          <t>SARIP HIDAYAT</t>
        </is>
      </c>
      <c r="C531" s="22" t="inlineStr">
        <is>
          <t>Mitra Kerja</t>
        </is>
      </c>
      <c r="D531" s="22" t="inlineStr">
        <is>
          <t>HRGA</t>
        </is>
      </c>
      <c r="E531" s="22" t="inlineStr">
        <is>
          <t>GA Vendor</t>
        </is>
      </c>
      <c r="F531" s="13" t="inlineStr">
        <is>
          <t>SECURITY</t>
        </is>
      </c>
      <c r="G531" s="13" t="inlineStr">
        <is>
          <t>SEC0912</t>
        </is>
      </c>
    </row>
    <row r="532" ht="15.75" customHeight="1" s="169">
      <c r="A532" s="22" t="n">
        <v>428000032</v>
      </c>
      <c r="B532" s="22" t="inlineStr">
        <is>
          <t>HERI HOERUDIN</t>
        </is>
      </c>
      <c r="C532" s="22" t="inlineStr">
        <is>
          <t>Mitra Kerja</t>
        </is>
      </c>
      <c r="D532" s="22" t="inlineStr">
        <is>
          <t>HRGA</t>
        </is>
      </c>
      <c r="E532" s="22" t="inlineStr">
        <is>
          <t>GA Vendor</t>
        </is>
      </c>
      <c r="F532" s="13" t="inlineStr">
        <is>
          <t>SECURITY</t>
        </is>
      </c>
      <c r="G532" s="13" t="inlineStr">
        <is>
          <t>SEC0912</t>
        </is>
      </c>
    </row>
    <row r="533" ht="15.75" customHeight="1" s="169">
      <c r="A533" s="22" t="n">
        <v>428000033</v>
      </c>
      <c r="B533" s="22" t="inlineStr">
        <is>
          <t>YUNUS FIRMANSYAH</t>
        </is>
      </c>
      <c r="C533" s="22" t="inlineStr">
        <is>
          <t>Mitra Kerja</t>
        </is>
      </c>
      <c r="D533" s="22" t="inlineStr">
        <is>
          <t>HRGA</t>
        </is>
      </c>
      <c r="E533" s="22" t="inlineStr">
        <is>
          <t>GA Vendor</t>
        </is>
      </c>
      <c r="F533" s="13" t="inlineStr">
        <is>
          <t>SECURITY</t>
        </is>
      </c>
      <c r="G533" s="13" t="inlineStr">
        <is>
          <t>SEC0912</t>
        </is>
      </c>
    </row>
    <row r="534" ht="15.75" customHeight="1" s="169">
      <c r="A534" s="22" t="n">
        <v>428000034</v>
      </c>
      <c r="B534" s="22" t="inlineStr">
        <is>
          <t>TATANG SUHERMAN</t>
        </is>
      </c>
      <c r="C534" s="22" t="inlineStr">
        <is>
          <t>Mitra Kerja</t>
        </is>
      </c>
      <c r="D534" s="22" t="inlineStr">
        <is>
          <t>HRGA</t>
        </is>
      </c>
      <c r="E534" s="22" t="inlineStr">
        <is>
          <t>GA Vendor</t>
        </is>
      </c>
      <c r="F534" s="13" t="inlineStr">
        <is>
          <t>SECURITY</t>
        </is>
      </c>
      <c r="G534" s="13" t="inlineStr">
        <is>
          <t>SEC0912</t>
        </is>
      </c>
    </row>
    <row r="535" ht="15.75" customHeight="1" s="169">
      <c r="A535" s="22" t="n">
        <v>428000035</v>
      </c>
      <c r="B535" s="22" t="inlineStr">
        <is>
          <t>MASKUR</t>
        </is>
      </c>
      <c r="C535" s="22" t="inlineStr">
        <is>
          <t>Mitra Kerja</t>
        </is>
      </c>
      <c r="D535" s="22" t="inlineStr">
        <is>
          <t>HRGA</t>
        </is>
      </c>
      <c r="E535" s="22" t="inlineStr">
        <is>
          <t>GA Vendor</t>
        </is>
      </c>
      <c r="F535" s="13" t="inlineStr">
        <is>
          <t>SECURITY</t>
        </is>
      </c>
      <c r="G535" s="13" t="inlineStr">
        <is>
          <t>SEC0912</t>
        </is>
      </c>
    </row>
    <row r="536" ht="15.75" customHeight="1" s="169">
      <c r="A536" s="22" t="n">
        <v>428000037</v>
      </c>
      <c r="B536" s="22" t="inlineStr">
        <is>
          <t>HASAN</t>
        </is>
      </c>
      <c r="C536" s="22" t="inlineStr">
        <is>
          <t>Mitra Kerja</t>
        </is>
      </c>
      <c r="D536" s="22" t="inlineStr">
        <is>
          <t>HRGA</t>
        </is>
      </c>
      <c r="E536" s="22" t="inlineStr">
        <is>
          <t>GA Vendor</t>
        </is>
      </c>
      <c r="F536" s="13" t="inlineStr">
        <is>
          <t>SECURITY</t>
        </is>
      </c>
      <c r="G536" s="13" t="inlineStr">
        <is>
          <t>SEC0912</t>
        </is>
      </c>
    </row>
    <row r="537" ht="15.75" customHeight="1" s="169">
      <c r="A537" s="22" t="n">
        <v>428000038</v>
      </c>
      <c r="B537" s="22" t="inlineStr">
        <is>
          <t>IWAN SETIAWAN</t>
        </is>
      </c>
      <c r="C537" s="22" t="inlineStr">
        <is>
          <t>Mitra Kerja</t>
        </is>
      </c>
      <c r="D537" s="22" t="inlineStr">
        <is>
          <t>HRGA</t>
        </is>
      </c>
      <c r="E537" s="22" t="inlineStr">
        <is>
          <t>GA Vendor</t>
        </is>
      </c>
      <c r="F537" s="13" t="inlineStr">
        <is>
          <t>SECURITY</t>
        </is>
      </c>
      <c r="G537" s="13" t="inlineStr">
        <is>
          <t>SEC0912</t>
        </is>
      </c>
    </row>
    <row r="538" ht="15.75" customHeight="1" s="169">
      <c r="A538" s="22" t="n">
        <v>428000041</v>
      </c>
      <c r="B538" s="22" t="inlineStr">
        <is>
          <t>EKI WAHYUDI</t>
        </is>
      </c>
      <c r="C538" s="22" t="inlineStr">
        <is>
          <t>Mitra Kerja</t>
        </is>
      </c>
      <c r="D538" s="22" t="inlineStr">
        <is>
          <t>HRGA</t>
        </is>
      </c>
      <c r="E538" s="22" t="inlineStr">
        <is>
          <t>GA Vendor</t>
        </is>
      </c>
      <c r="F538" s="13" t="inlineStr">
        <is>
          <t>SECURITY</t>
        </is>
      </c>
      <c r="G538" s="13" t="inlineStr">
        <is>
          <t>SEC0912</t>
        </is>
      </c>
    </row>
    <row r="539" ht="15.75" customHeight="1" s="169">
      <c r="A539" s="22" t="n">
        <v>428000042</v>
      </c>
      <c r="B539" s="22" t="inlineStr">
        <is>
          <t>DANI SUHERMAN</t>
        </is>
      </c>
      <c r="C539" s="22" t="inlineStr">
        <is>
          <t>Mitra Kerja</t>
        </is>
      </c>
      <c r="D539" s="22" t="inlineStr">
        <is>
          <t>HRGA</t>
        </is>
      </c>
      <c r="E539" s="22" t="inlineStr">
        <is>
          <t>GA Vendor</t>
        </is>
      </c>
      <c r="F539" s="13" t="inlineStr">
        <is>
          <t>SECURITY</t>
        </is>
      </c>
      <c r="G539" s="13" t="inlineStr">
        <is>
          <t>SEC0912</t>
        </is>
      </c>
    </row>
    <row r="540" ht="15.75" customHeight="1" s="169">
      <c r="A540" s="22" t="n">
        <v>428000046</v>
      </c>
      <c r="B540" s="22" t="inlineStr">
        <is>
          <t>GALILEO NURHAMZAH FALAH</t>
        </is>
      </c>
      <c r="C540" s="22" t="inlineStr">
        <is>
          <t>Mitra Kerja</t>
        </is>
      </c>
      <c r="D540" s="22" t="inlineStr">
        <is>
          <t>HRGA</t>
        </is>
      </c>
      <c r="E540" s="22" t="inlineStr">
        <is>
          <t>GA Vendor</t>
        </is>
      </c>
      <c r="F540" s="13" t="inlineStr">
        <is>
          <t>SECURITY</t>
        </is>
      </c>
      <c r="G540" s="13" t="inlineStr">
        <is>
          <t>SEC0912</t>
        </is>
      </c>
    </row>
    <row r="541" ht="15.75" customHeight="1" s="169">
      <c r="A541" s="22" t="n">
        <v>428000047</v>
      </c>
      <c r="B541" s="22" t="inlineStr">
        <is>
          <t>ISNA WARDAH NAISYAH</t>
        </is>
      </c>
      <c r="C541" s="22" t="inlineStr">
        <is>
          <t>Mitra Kerja</t>
        </is>
      </c>
      <c r="D541" s="22" t="inlineStr">
        <is>
          <t>HRGA</t>
        </is>
      </c>
      <c r="E541" s="22" t="inlineStr">
        <is>
          <t>GA Vendor</t>
        </is>
      </c>
      <c r="F541" s="13" t="inlineStr">
        <is>
          <t>SECURITY</t>
        </is>
      </c>
      <c r="G541" s="13" t="inlineStr">
        <is>
          <t>SEC0912</t>
        </is>
      </c>
    </row>
    <row r="542" ht="15.75" customHeight="1" s="169">
      <c r="A542" s="22" t="n">
        <v>428000049</v>
      </c>
      <c r="B542" s="22" t="inlineStr">
        <is>
          <t>IMRON ABDUL HANAN</t>
        </is>
      </c>
      <c r="C542" s="22" t="inlineStr">
        <is>
          <t>Mitra Kerja</t>
        </is>
      </c>
      <c r="D542" s="22" t="inlineStr">
        <is>
          <t>HRGA</t>
        </is>
      </c>
      <c r="E542" s="22" t="inlineStr">
        <is>
          <t>GA Vendor</t>
        </is>
      </c>
      <c r="F542" s="13" t="inlineStr">
        <is>
          <t>SECURITY</t>
        </is>
      </c>
      <c r="G542" s="13" t="inlineStr">
        <is>
          <t>SEC0912</t>
        </is>
      </c>
    </row>
    <row r="543" ht="15.75" customHeight="1" s="169">
      <c r="A543" s="22" t="n">
        <v>428000054</v>
      </c>
      <c r="B543" s="22" t="inlineStr">
        <is>
          <t>DINI DAMAYANTI</t>
        </is>
      </c>
      <c r="C543" s="22" t="inlineStr">
        <is>
          <t>Mitra Kerja</t>
        </is>
      </c>
      <c r="D543" s="22" t="inlineStr">
        <is>
          <t>HRGA</t>
        </is>
      </c>
      <c r="E543" s="22" t="inlineStr">
        <is>
          <t>GA Vendor</t>
        </is>
      </c>
      <c r="F543" s="13" t="inlineStr">
        <is>
          <t>SECURITY</t>
        </is>
      </c>
      <c r="G543" s="13" t="inlineStr">
        <is>
          <t>SEC0912</t>
        </is>
      </c>
    </row>
    <row r="544" ht="15.75" customHeight="1" s="169">
      <c r="A544" s="22" t="n">
        <v>428000056</v>
      </c>
      <c r="B544" s="22" t="inlineStr">
        <is>
          <t>ARDIFA HANSA LAUDZA</t>
        </is>
      </c>
      <c r="C544" s="22" t="inlineStr">
        <is>
          <t>Mitra Kerja</t>
        </is>
      </c>
      <c r="D544" s="22" t="inlineStr">
        <is>
          <t>HRGA</t>
        </is>
      </c>
      <c r="E544" s="22" t="inlineStr">
        <is>
          <t>GA Vendor</t>
        </is>
      </c>
      <c r="F544" s="13" t="inlineStr">
        <is>
          <t>SECURITY</t>
        </is>
      </c>
      <c r="G544" s="13" t="inlineStr">
        <is>
          <t>SEC0912</t>
        </is>
      </c>
    </row>
    <row r="545" ht="15.75" customHeight="1" s="169">
      <c r="A545" s="22" t="n">
        <v>428000057</v>
      </c>
      <c r="B545" s="22" t="inlineStr">
        <is>
          <t>MEIDA PUTRI</t>
        </is>
      </c>
      <c r="C545" s="22" t="inlineStr">
        <is>
          <t>Mitra Kerja</t>
        </is>
      </c>
      <c r="D545" s="22" t="inlineStr">
        <is>
          <t>HRGA</t>
        </is>
      </c>
      <c r="E545" s="22" t="inlineStr">
        <is>
          <t>GA Vendor</t>
        </is>
      </c>
      <c r="F545" s="13" t="inlineStr">
        <is>
          <t>SECURITY</t>
        </is>
      </c>
      <c r="G545" s="13" t="inlineStr">
        <is>
          <t>SEC0912</t>
        </is>
      </c>
    </row>
    <row r="546" ht="15.75" customHeight="1" s="169">
      <c r="A546" s="22" t="n">
        <v>428000059</v>
      </c>
      <c r="B546" s="22" t="inlineStr">
        <is>
          <t>SYAHRIAL IRAWAN</t>
        </is>
      </c>
      <c r="C546" s="22" t="inlineStr">
        <is>
          <t>Mitra Kerja</t>
        </is>
      </c>
      <c r="D546" s="22" t="inlineStr">
        <is>
          <t>HRGA</t>
        </is>
      </c>
      <c r="E546" s="22" t="inlineStr">
        <is>
          <t>GA Vendor</t>
        </is>
      </c>
      <c r="F546" s="13" t="inlineStr">
        <is>
          <t>SECURITY</t>
        </is>
      </c>
      <c r="G546" s="13" t="inlineStr">
        <is>
          <t>SEC0912</t>
        </is>
      </c>
    </row>
    <row r="547" ht="15.75" customHeight="1" s="169">
      <c r="A547" s="22" t="n">
        <v>428000060</v>
      </c>
      <c r="B547" s="22" t="inlineStr">
        <is>
          <t>ANTON MAULANA</t>
        </is>
      </c>
      <c r="C547" s="22" t="inlineStr">
        <is>
          <t>Mitra Kerja</t>
        </is>
      </c>
      <c r="D547" s="22" t="inlineStr">
        <is>
          <t>HRGA</t>
        </is>
      </c>
      <c r="E547" s="22" t="inlineStr">
        <is>
          <t>GA Vendor</t>
        </is>
      </c>
      <c r="F547" s="13" t="inlineStr">
        <is>
          <t>SECURITY</t>
        </is>
      </c>
      <c r="G547" s="13" t="inlineStr">
        <is>
          <t>SEC0912</t>
        </is>
      </c>
    </row>
    <row r="548" ht="15.75" customHeight="1" s="169">
      <c r="A548" s="22" t="n">
        <v>428000061</v>
      </c>
      <c r="B548" s="22" t="inlineStr">
        <is>
          <t>NIA AUDINA</t>
        </is>
      </c>
      <c r="C548" s="22" t="inlineStr">
        <is>
          <t>Mitra Kerja</t>
        </is>
      </c>
      <c r="D548" s="22" t="inlineStr">
        <is>
          <t>HRGA</t>
        </is>
      </c>
      <c r="E548" s="22" t="inlineStr">
        <is>
          <t>GA Vendor</t>
        </is>
      </c>
      <c r="F548" s="13" t="inlineStr">
        <is>
          <t>SECURITY</t>
        </is>
      </c>
      <c r="G548" s="13" t="inlineStr">
        <is>
          <t>SEC0912</t>
        </is>
      </c>
    </row>
    <row r="549" ht="15.75" customHeight="1" s="169">
      <c r="A549" s="22" t="n">
        <v>428000062</v>
      </c>
      <c r="B549" s="22" t="inlineStr">
        <is>
          <t>FIRA ANISA</t>
        </is>
      </c>
      <c r="C549" s="22" t="inlineStr">
        <is>
          <t>Mitra Kerja</t>
        </is>
      </c>
      <c r="D549" s="22" t="inlineStr">
        <is>
          <t>HRGA</t>
        </is>
      </c>
      <c r="E549" s="22" t="inlineStr">
        <is>
          <t>GA Vendor</t>
        </is>
      </c>
      <c r="F549" s="13" t="inlineStr">
        <is>
          <t>SECURITY</t>
        </is>
      </c>
      <c r="G549" s="13" t="inlineStr">
        <is>
          <t>SEC0912</t>
        </is>
      </c>
    </row>
    <row r="550" ht="15.75" customHeight="1" s="169">
      <c r="A550" s="22" t="n">
        <v>428000063</v>
      </c>
      <c r="B550" s="22" t="inlineStr">
        <is>
          <t>RONALD FIRMANSYAH</t>
        </is>
      </c>
      <c r="C550" s="22" t="inlineStr">
        <is>
          <t>Mitra Kerja</t>
        </is>
      </c>
      <c r="D550" s="22" t="inlineStr">
        <is>
          <t>HRGA</t>
        </is>
      </c>
      <c r="E550" s="22" t="inlineStr">
        <is>
          <t>GA Vendor</t>
        </is>
      </c>
      <c r="F550" s="13" t="inlineStr">
        <is>
          <t>SECURITY</t>
        </is>
      </c>
      <c r="G550" s="13" t="inlineStr">
        <is>
          <t>SEC0912</t>
        </is>
      </c>
    </row>
    <row r="551" ht="15.75" customHeight="1" s="169">
      <c r="A551" s="22" t="n">
        <v>428000064</v>
      </c>
      <c r="B551" s="22" t="inlineStr">
        <is>
          <t>ASEP KUSWANDA</t>
        </is>
      </c>
      <c r="C551" s="22" t="inlineStr">
        <is>
          <t>Mitra Kerja</t>
        </is>
      </c>
      <c r="D551" s="22" t="inlineStr">
        <is>
          <t>HRGA</t>
        </is>
      </c>
      <c r="E551" s="22" t="inlineStr">
        <is>
          <t>GA Vendor</t>
        </is>
      </c>
      <c r="F551" s="13" t="inlineStr">
        <is>
          <t>SECURITY</t>
        </is>
      </c>
      <c r="G551" s="13" t="inlineStr">
        <is>
          <t>SEC0912</t>
        </is>
      </c>
    </row>
    <row r="552" ht="15.75" customHeight="1" s="169">
      <c r="A552" s="22" t="n">
        <v>428000065</v>
      </c>
      <c r="B552" s="22" t="inlineStr">
        <is>
          <t>JUNI ANGGARA SAPUTRA</t>
        </is>
      </c>
      <c r="C552" s="22" t="inlineStr">
        <is>
          <t>Mitra Kerja</t>
        </is>
      </c>
      <c r="D552" s="22" t="inlineStr">
        <is>
          <t>HRGA</t>
        </is>
      </c>
      <c r="E552" s="22" t="inlineStr">
        <is>
          <t>GA Vendor</t>
        </is>
      </c>
      <c r="F552" s="13" t="inlineStr">
        <is>
          <t>SECURITY</t>
        </is>
      </c>
      <c r="G552" s="13" t="inlineStr">
        <is>
          <t>SEC0912</t>
        </is>
      </c>
    </row>
    <row r="553" ht="15.75" customHeight="1" s="169">
      <c r="A553" s="22" t="n">
        <v>428000067</v>
      </c>
      <c r="B553" s="22" t="inlineStr">
        <is>
          <t>NURHAYATI</t>
        </is>
      </c>
      <c r="C553" s="22" t="inlineStr">
        <is>
          <t>Mitra Kerja</t>
        </is>
      </c>
      <c r="D553" s="22" t="inlineStr">
        <is>
          <t>HRGA</t>
        </is>
      </c>
      <c r="E553" s="22" t="inlineStr">
        <is>
          <t>GA Vendor</t>
        </is>
      </c>
      <c r="F553" s="13" t="inlineStr">
        <is>
          <t>SECURITY</t>
        </is>
      </c>
      <c r="G553" s="13" t="inlineStr">
        <is>
          <t>SEC0912</t>
        </is>
      </c>
    </row>
    <row r="554" ht="15.75" customHeight="1" s="169">
      <c r="A554" s="22" t="n">
        <v>428000069</v>
      </c>
      <c r="B554" s="22" t="inlineStr">
        <is>
          <t>GITHA FAHSYA APRILIYUNIARNI JUANDI</t>
        </is>
      </c>
      <c r="C554" s="22" t="inlineStr">
        <is>
          <t>Mitra Kerja</t>
        </is>
      </c>
      <c r="D554" s="22" t="inlineStr">
        <is>
          <t>HRGA</t>
        </is>
      </c>
      <c r="E554" s="22" t="inlineStr">
        <is>
          <t>GA Vendor</t>
        </is>
      </c>
      <c r="F554" s="13" t="inlineStr">
        <is>
          <t>SECURITY</t>
        </is>
      </c>
      <c r="G554" s="13" t="inlineStr">
        <is>
          <t>SEC0912</t>
        </is>
      </c>
    </row>
    <row r="555" ht="15.75" customHeight="1" s="169">
      <c r="A555" s="22" t="n">
        <v>428000070</v>
      </c>
      <c r="B555" s="22" t="inlineStr">
        <is>
          <t>ATEP HIDAYAT</t>
        </is>
      </c>
      <c r="C555" s="22" t="inlineStr">
        <is>
          <t>Mitra Kerja</t>
        </is>
      </c>
      <c r="D555" s="22" t="inlineStr">
        <is>
          <t>HRGA</t>
        </is>
      </c>
      <c r="E555" s="22" t="inlineStr">
        <is>
          <t>GA Vendor</t>
        </is>
      </c>
      <c r="F555" s="13" t="inlineStr">
        <is>
          <t>SECURITY</t>
        </is>
      </c>
      <c r="G555" s="13" t="inlineStr">
        <is>
          <t>SEC0912</t>
        </is>
      </c>
    </row>
    <row r="556" ht="15.75" customHeight="1" s="169">
      <c r="A556" s="22" t="n">
        <v>428000071</v>
      </c>
      <c r="B556" s="22" t="inlineStr">
        <is>
          <t>DADI KURNIADI</t>
        </is>
      </c>
      <c r="C556" s="22" t="inlineStr">
        <is>
          <t>Mitra Kerja</t>
        </is>
      </c>
      <c r="D556" s="22" t="inlineStr">
        <is>
          <t>HRGA</t>
        </is>
      </c>
      <c r="E556" s="22" t="inlineStr">
        <is>
          <t>GA Vendor</t>
        </is>
      </c>
      <c r="F556" s="13" t="inlineStr">
        <is>
          <t>SECURITY</t>
        </is>
      </c>
      <c r="G556" s="13" t="inlineStr">
        <is>
          <t>SEC0912</t>
        </is>
      </c>
    </row>
    <row r="557" ht="15.75" customHeight="1" s="169">
      <c r="A557" s="22" t="n">
        <v>428000073</v>
      </c>
      <c r="B557" s="22" t="inlineStr">
        <is>
          <t>FIKRI YANDIKA RAMADHAN</t>
        </is>
      </c>
      <c r="C557" s="22" t="inlineStr">
        <is>
          <t>Mitra Kerja</t>
        </is>
      </c>
      <c r="D557" s="22" t="inlineStr">
        <is>
          <t>HRGA</t>
        </is>
      </c>
      <c r="E557" s="22" t="inlineStr">
        <is>
          <t>GA Vendor</t>
        </is>
      </c>
      <c r="F557" s="13" t="inlineStr">
        <is>
          <t>SECURITY</t>
        </is>
      </c>
      <c r="G557" s="13" t="inlineStr">
        <is>
          <t>SEC0912</t>
        </is>
      </c>
    </row>
    <row r="558" ht="15.75" customHeight="1" s="169">
      <c r="A558" s="22" t="n">
        <v>428000074</v>
      </c>
      <c r="B558" s="22" t="inlineStr">
        <is>
          <t>SUNARYO</t>
        </is>
      </c>
      <c r="C558" s="22" t="inlineStr">
        <is>
          <t>Mitra Kerja</t>
        </is>
      </c>
      <c r="D558" s="22" t="inlineStr">
        <is>
          <t>HRGA</t>
        </is>
      </c>
      <c r="E558" s="22" t="inlineStr">
        <is>
          <t>GA Vendor</t>
        </is>
      </c>
      <c r="F558" s="13" t="inlineStr">
        <is>
          <t>SECURITY</t>
        </is>
      </c>
      <c r="G558" s="13" t="inlineStr">
        <is>
          <t>SEC0912</t>
        </is>
      </c>
    </row>
    <row r="559" ht="15.75" customHeight="1" s="169">
      <c r="A559" s="22" t="n">
        <v>428000075</v>
      </c>
      <c r="B559" s="22" t="inlineStr">
        <is>
          <t>DINA VEBRIANTI</t>
        </is>
      </c>
      <c r="C559" s="22" t="inlineStr">
        <is>
          <t>Mitra Kerja</t>
        </is>
      </c>
      <c r="D559" s="22" t="inlineStr">
        <is>
          <t>HRGA</t>
        </is>
      </c>
      <c r="E559" s="22" t="inlineStr">
        <is>
          <t>GA Vendor</t>
        </is>
      </c>
      <c r="F559" s="13" t="inlineStr">
        <is>
          <t>SECURITY</t>
        </is>
      </c>
      <c r="G559" s="13" t="inlineStr">
        <is>
          <t>SEC0912</t>
        </is>
      </c>
    </row>
    <row r="560" ht="15.75" customHeight="1" s="169">
      <c r="A560" s="22" t="n">
        <v>428000076</v>
      </c>
      <c r="B560" s="22" t="inlineStr">
        <is>
          <t>ELFAN TAUFIK S</t>
        </is>
      </c>
      <c r="C560" s="22" t="inlineStr">
        <is>
          <t>Mitra Kerja</t>
        </is>
      </c>
      <c r="D560" s="22" t="inlineStr">
        <is>
          <t>HRGA</t>
        </is>
      </c>
      <c r="E560" s="22" t="inlineStr">
        <is>
          <t>GA Vendor</t>
        </is>
      </c>
      <c r="F560" s="13" t="inlineStr">
        <is>
          <t>SECURITY</t>
        </is>
      </c>
      <c r="G560" s="13" t="inlineStr">
        <is>
          <t>SEC0912</t>
        </is>
      </c>
    </row>
    <row r="561" ht="15.75" customHeight="1" s="169">
      <c r="A561" s="22" t="n">
        <v>428000077</v>
      </c>
      <c r="B561" s="22" t="inlineStr">
        <is>
          <t>EKA PRADITA</t>
        </is>
      </c>
      <c r="C561" s="22" t="inlineStr">
        <is>
          <t>Mitra Kerja</t>
        </is>
      </c>
      <c r="D561" s="22" t="inlineStr">
        <is>
          <t>HRGA</t>
        </is>
      </c>
      <c r="E561" s="22" t="inlineStr">
        <is>
          <t>GA Vendor</t>
        </is>
      </c>
      <c r="F561" s="13" t="inlineStr">
        <is>
          <t>SECURITY</t>
        </is>
      </c>
      <c r="G561" s="13" t="inlineStr">
        <is>
          <t>SEC0912</t>
        </is>
      </c>
    </row>
    <row r="562" ht="15.75" customHeight="1" s="169">
      <c r="A562" s="22" t="n">
        <v>428000078</v>
      </c>
      <c r="B562" s="22" t="inlineStr">
        <is>
          <t>ARIF MAULANA Y</t>
        </is>
      </c>
      <c r="C562" s="22" t="inlineStr">
        <is>
          <t>Mitra Kerja</t>
        </is>
      </c>
      <c r="D562" s="22" t="inlineStr">
        <is>
          <t>HRGA</t>
        </is>
      </c>
      <c r="E562" s="22" t="inlineStr">
        <is>
          <t>GA Vendor</t>
        </is>
      </c>
      <c r="F562" s="13" t="inlineStr">
        <is>
          <t>SECURITY</t>
        </is>
      </c>
      <c r="G562" s="13" t="inlineStr">
        <is>
          <t>SEC0912</t>
        </is>
      </c>
    </row>
    <row r="563" ht="15.75" customHeight="1" s="169">
      <c r="A563" s="22" t="n">
        <v>428000079</v>
      </c>
      <c r="B563" s="22" t="inlineStr">
        <is>
          <t>TAOPIK HIDAYAT</t>
        </is>
      </c>
      <c r="C563" s="22" t="inlineStr">
        <is>
          <t>Mitra Kerja</t>
        </is>
      </c>
      <c r="D563" s="22" t="inlineStr">
        <is>
          <t>HRGA</t>
        </is>
      </c>
      <c r="E563" s="22" t="inlineStr">
        <is>
          <t>GA Vendor</t>
        </is>
      </c>
      <c r="F563" s="13" t="inlineStr">
        <is>
          <t>SECURITY</t>
        </is>
      </c>
      <c r="G563" s="13" t="inlineStr">
        <is>
          <t>SEC0912</t>
        </is>
      </c>
    </row>
    <row r="564" ht="15.75" customHeight="1" s="169">
      <c r="A564" s="22" t="n">
        <v>428000080</v>
      </c>
      <c r="B564" s="22" t="inlineStr">
        <is>
          <t>ROHIM</t>
        </is>
      </c>
      <c r="C564" s="22" t="inlineStr">
        <is>
          <t>Mitra Kerja</t>
        </is>
      </c>
      <c r="D564" s="22" t="inlineStr">
        <is>
          <t>HRGA</t>
        </is>
      </c>
      <c r="E564" s="22" t="inlineStr">
        <is>
          <t>GA Vendor</t>
        </is>
      </c>
      <c r="F564" s="13" t="inlineStr">
        <is>
          <t>SECURITY</t>
        </is>
      </c>
      <c r="G564" s="13" t="inlineStr">
        <is>
          <t>SEC0912</t>
        </is>
      </c>
    </row>
    <row r="565" ht="15.75" customHeight="1" s="169">
      <c r="A565" s="22" t="n">
        <v>428000081</v>
      </c>
      <c r="B565" s="22" t="inlineStr">
        <is>
          <t>M TANTAN T</t>
        </is>
      </c>
      <c r="C565" s="22" t="inlineStr">
        <is>
          <t>Mitra Kerja</t>
        </is>
      </c>
      <c r="D565" s="22" t="inlineStr">
        <is>
          <t>HRGA</t>
        </is>
      </c>
      <c r="E565" s="22" t="inlineStr">
        <is>
          <t>GA Vendor</t>
        </is>
      </c>
      <c r="F565" s="13" t="inlineStr">
        <is>
          <t>SECURITY</t>
        </is>
      </c>
      <c r="G565" s="13" t="inlineStr">
        <is>
          <t>SEC0912</t>
        </is>
      </c>
    </row>
    <row r="566" ht="15.75" customHeight="1" s="169">
      <c r="A566" s="22" t="n">
        <v>428000083</v>
      </c>
      <c r="B566" s="22" t="inlineStr">
        <is>
          <t>RIKI SONJAYA</t>
        </is>
      </c>
      <c r="C566" s="22" t="inlineStr">
        <is>
          <t>Mitra Kerja</t>
        </is>
      </c>
      <c r="D566" s="22" t="inlineStr">
        <is>
          <t>HRGA</t>
        </is>
      </c>
      <c r="E566" s="22" t="inlineStr">
        <is>
          <t>GA Vendor</t>
        </is>
      </c>
      <c r="F566" s="13" t="inlineStr">
        <is>
          <t>SECURITY</t>
        </is>
      </c>
      <c r="G566" s="13" t="inlineStr">
        <is>
          <t>SEC0912</t>
        </is>
      </c>
    </row>
    <row r="567" ht="15.75" customHeight="1" s="169">
      <c r="A567" s="22" t="n">
        <v>428000084</v>
      </c>
      <c r="B567" s="22" t="inlineStr">
        <is>
          <t>EKA SETIAWAN</t>
        </is>
      </c>
      <c r="C567" s="22" t="inlineStr">
        <is>
          <t>Mitra Kerja</t>
        </is>
      </c>
      <c r="D567" s="22" t="inlineStr">
        <is>
          <t>HRGA</t>
        </is>
      </c>
      <c r="E567" s="22" t="inlineStr">
        <is>
          <t>GA Vendor</t>
        </is>
      </c>
      <c r="F567" s="13" t="inlineStr">
        <is>
          <t>SECURITY</t>
        </is>
      </c>
      <c r="G567" s="13" t="inlineStr">
        <is>
          <t>SEC0912</t>
        </is>
      </c>
    </row>
    <row r="568" ht="15.75" customHeight="1" s="169">
      <c r="A568" s="22" t="n">
        <v>428000085</v>
      </c>
      <c r="B568" s="22" t="inlineStr">
        <is>
          <t>INDRA</t>
        </is>
      </c>
      <c r="C568" s="22" t="inlineStr">
        <is>
          <t>Mitra Kerja</t>
        </is>
      </c>
      <c r="D568" s="22" t="inlineStr">
        <is>
          <t>HRGA</t>
        </is>
      </c>
      <c r="E568" s="22" t="inlineStr">
        <is>
          <t>GA Vendor</t>
        </is>
      </c>
      <c r="F568" s="13" t="inlineStr">
        <is>
          <t>SECURITY</t>
        </is>
      </c>
      <c r="G568" s="13" t="inlineStr">
        <is>
          <t>SEC0912</t>
        </is>
      </c>
    </row>
    <row r="569" ht="15.75" customHeight="1" s="169">
      <c r="A569" s="22" t="n">
        <v>428000086</v>
      </c>
      <c r="B569" s="22" t="inlineStr">
        <is>
          <t>AGUS SUPRIATNA</t>
        </is>
      </c>
      <c r="C569" s="22" t="inlineStr">
        <is>
          <t>Mitra Kerja</t>
        </is>
      </c>
      <c r="D569" s="22" t="inlineStr">
        <is>
          <t>HRGA</t>
        </is>
      </c>
      <c r="E569" s="22" t="inlineStr">
        <is>
          <t>GA Vendor</t>
        </is>
      </c>
      <c r="F569" s="13" t="inlineStr">
        <is>
          <t>SECURITY</t>
        </is>
      </c>
      <c r="G569" s="13" t="inlineStr">
        <is>
          <t>SEC0912</t>
        </is>
      </c>
    </row>
    <row r="570" ht="15.75" customHeight="1" s="169">
      <c r="A570" s="22" t="n">
        <v>428000087</v>
      </c>
      <c r="B570" s="22" t="inlineStr">
        <is>
          <t>DEBI RAMDHANI</t>
        </is>
      </c>
      <c r="C570" s="22" t="inlineStr">
        <is>
          <t>Mitra Kerja</t>
        </is>
      </c>
      <c r="D570" s="22" t="inlineStr">
        <is>
          <t>HRGA</t>
        </is>
      </c>
      <c r="E570" s="22" t="inlineStr">
        <is>
          <t>GA Vendor</t>
        </is>
      </c>
      <c r="F570" s="13" t="inlineStr">
        <is>
          <t>SECURITY</t>
        </is>
      </c>
      <c r="G570" s="13" t="inlineStr">
        <is>
          <t>SEC0912</t>
        </is>
      </c>
    </row>
    <row r="571" ht="15.75" customHeight="1" s="169">
      <c r="A571" s="22" t="n">
        <v>428000088</v>
      </c>
      <c r="B571" s="22" t="inlineStr">
        <is>
          <t>IRWAN SETIAWAN</t>
        </is>
      </c>
      <c r="C571" s="22" t="inlineStr">
        <is>
          <t>Mitra Kerja</t>
        </is>
      </c>
      <c r="D571" s="22" t="inlineStr">
        <is>
          <t>HRGA</t>
        </is>
      </c>
      <c r="E571" s="22" t="inlineStr">
        <is>
          <t>GA Vendor</t>
        </is>
      </c>
      <c r="F571" s="13" t="inlineStr">
        <is>
          <t>SECURITY</t>
        </is>
      </c>
      <c r="G571" s="13" t="inlineStr">
        <is>
          <t>SEC0912</t>
        </is>
      </c>
    </row>
    <row r="572" ht="15.75" customHeight="1" s="169">
      <c r="A572" s="22" t="n">
        <v>428000089</v>
      </c>
      <c r="B572" s="22" t="inlineStr">
        <is>
          <t>SOPIYAN S</t>
        </is>
      </c>
      <c r="C572" s="22" t="inlineStr">
        <is>
          <t>Mitra Kerja</t>
        </is>
      </c>
      <c r="D572" s="22" t="inlineStr">
        <is>
          <t>HRGA</t>
        </is>
      </c>
      <c r="E572" s="22" t="inlineStr">
        <is>
          <t>GA Vendor</t>
        </is>
      </c>
      <c r="F572" s="13" t="inlineStr">
        <is>
          <t>SECURITY</t>
        </is>
      </c>
      <c r="G572" s="13" t="inlineStr">
        <is>
          <t>SEC0912</t>
        </is>
      </c>
    </row>
    <row r="573" ht="15.75" customHeight="1" s="169">
      <c r="A573" s="22" t="n">
        <v>428000090</v>
      </c>
      <c r="B573" s="22" t="inlineStr">
        <is>
          <t>MAMAD FAJAR HIDAYAT</t>
        </is>
      </c>
      <c r="C573" s="22" t="inlineStr">
        <is>
          <t>Mitra Kerja</t>
        </is>
      </c>
      <c r="D573" s="22" t="inlineStr">
        <is>
          <t>HRGA</t>
        </is>
      </c>
      <c r="E573" s="22" t="inlineStr">
        <is>
          <t>GA Vendor</t>
        </is>
      </c>
      <c r="F573" s="13" t="inlineStr">
        <is>
          <t>SECURITY</t>
        </is>
      </c>
      <c r="G573" s="13" t="inlineStr">
        <is>
          <t>SEC0912</t>
        </is>
      </c>
    </row>
    <row r="574" ht="15.75" customHeight="1" s="169">
      <c r="A574" s="22" t="n">
        <v>428000091</v>
      </c>
      <c r="B574" s="22" t="inlineStr">
        <is>
          <t>SOLEH MAMUN</t>
        </is>
      </c>
      <c r="C574" s="22" t="inlineStr">
        <is>
          <t>Mitra Kerja</t>
        </is>
      </c>
      <c r="D574" s="22" t="inlineStr">
        <is>
          <t>HRGA</t>
        </is>
      </c>
      <c r="E574" s="22" t="inlineStr">
        <is>
          <t>GA Vendor</t>
        </is>
      </c>
      <c r="F574" s="13" t="inlineStr">
        <is>
          <t>SECURITY</t>
        </is>
      </c>
      <c r="G574" s="13" t="inlineStr">
        <is>
          <t>SEC0912</t>
        </is>
      </c>
    </row>
    <row r="575" ht="15.75" customHeight="1" s="169">
      <c r="A575" s="22" t="n">
        <v>428000092</v>
      </c>
      <c r="B575" s="22" t="inlineStr">
        <is>
          <t>ASEP SAEPUDIN</t>
        </is>
      </c>
      <c r="C575" s="22" t="inlineStr">
        <is>
          <t>Mitra Kerja</t>
        </is>
      </c>
      <c r="D575" s="22" t="inlineStr">
        <is>
          <t>HRGA</t>
        </is>
      </c>
      <c r="E575" s="22" t="inlineStr">
        <is>
          <t>GA Vendor</t>
        </is>
      </c>
      <c r="F575" s="13" t="inlineStr">
        <is>
          <t>SECURITY</t>
        </is>
      </c>
      <c r="G575" s="13" t="inlineStr">
        <is>
          <t>SEC0912</t>
        </is>
      </c>
    </row>
    <row r="576" ht="15.75" customHeight="1" s="169">
      <c r="A576" s="22" t="n">
        <v>428000093</v>
      </c>
      <c r="B576" s="22" t="inlineStr">
        <is>
          <t>ABDUL FATAH</t>
        </is>
      </c>
      <c r="C576" s="22" t="inlineStr">
        <is>
          <t>Mitra Kerja</t>
        </is>
      </c>
      <c r="D576" s="22" t="inlineStr">
        <is>
          <t>HRGA</t>
        </is>
      </c>
      <c r="E576" s="22" t="inlineStr">
        <is>
          <t>GA Vendor</t>
        </is>
      </c>
      <c r="F576" s="13" t="inlineStr">
        <is>
          <t>SECURITY</t>
        </is>
      </c>
      <c r="G576" s="13" t="inlineStr">
        <is>
          <t>SEC0912</t>
        </is>
      </c>
    </row>
    <row r="577" ht="15.75" customHeight="1" s="169">
      <c r="A577" s="22" t="n">
        <v>428000094</v>
      </c>
      <c r="B577" s="22" t="inlineStr">
        <is>
          <t>JENI JAELANI</t>
        </is>
      </c>
      <c r="C577" s="22" t="inlineStr">
        <is>
          <t>Mitra Kerja</t>
        </is>
      </c>
      <c r="D577" s="22" t="inlineStr">
        <is>
          <t>HRGA</t>
        </is>
      </c>
      <c r="E577" s="22" t="inlineStr">
        <is>
          <t>GA Vendor</t>
        </is>
      </c>
      <c r="F577" s="13" t="inlineStr">
        <is>
          <t>SECURITY</t>
        </is>
      </c>
      <c r="G577" s="13" t="inlineStr">
        <is>
          <t>SEC0912</t>
        </is>
      </c>
    </row>
    <row r="578" ht="15.75" customHeight="1" s="169">
      <c r="A578" s="22" t="n">
        <v>428000095</v>
      </c>
      <c r="B578" s="22" t="inlineStr">
        <is>
          <t>Muhamad Lutfi Fathir</t>
        </is>
      </c>
      <c r="C578" s="22" t="inlineStr">
        <is>
          <t>Mitra Kerja</t>
        </is>
      </c>
      <c r="D578" s="22" t="inlineStr">
        <is>
          <t>HRGA</t>
        </is>
      </c>
      <c r="E578" s="22" t="inlineStr">
        <is>
          <t>GA Vendor</t>
        </is>
      </c>
      <c r="F578" s="13" t="inlineStr">
        <is>
          <t>SECURITY</t>
        </is>
      </c>
      <c r="G578" s="13" t="inlineStr">
        <is>
          <t>SEC0912</t>
        </is>
      </c>
    </row>
    <row r="579" ht="15.75" customHeight="1" s="169">
      <c r="A579" s="22" t="n">
        <v>428000096</v>
      </c>
      <c r="B579" s="22" t="inlineStr">
        <is>
          <t>Aohui Zhang</t>
        </is>
      </c>
      <c r="C579" s="22" t="inlineStr">
        <is>
          <t>Mitra Kerja</t>
        </is>
      </c>
      <c r="D579" s="22" t="inlineStr">
        <is>
          <t>HRGA</t>
        </is>
      </c>
      <c r="E579" s="22" t="inlineStr">
        <is>
          <t>HRD Vendor</t>
        </is>
      </c>
      <c r="F579" s="13" t="inlineStr">
        <is>
          <t>KARYAWAN</t>
        </is>
      </c>
    </row>
    <row r="580" ht="15.75" customHeight="1" s="169">
      <c r="A580" s="22" t="n">
        <v>428000097</v>
      </c>
      <c r="B580" s="22" t="inlineStr">
        <is>
          <t>Changwu Yang</t>
        </is>
      </c>
      <c r="C580" s="22" t="inlineStr">
        <is>
          <t>Mitra Kerja</t>
        </is>
      </c>
      <c r="D580" s="22" t="inlineStr">
        <is>
          <t>HRGA</t>
        </is>
      </c>
      <c r="E580" s="22" t="inlineStr">
        <is>
          <t>HRD Vendor</t>
        </is>
      </c>
      <c r="F580" s="13" t="inlineStr">
        <is>
          <t>KARYAWAN</t>
        </is>
      </c>
    </row>
    <row r="581" ht="15.75" customHeight="1" s="169">
      <c r="A581" s="22" t="n">
        <v>428000098</v>
      </c>
      <c r="B581" s="22" t="inlineStr">
        <is>
          <t>Wan Jiang</t>
        </is>
      </c>
      <c r="C581" s="22" t="inlineStr">
        <is>
          <t>Mitra Kerja</t>
        </is>
      </c>
      <c r="D581" s="22" t="inlineStr">
        <is>
          <t>HRGA</t>
        </is>
      </c>
      <c r="E581" s="22" t="inlineStr">
        <is>
          <t>HRD Vendor</t>
        </is>
      </c>
      <c r="F581" s="13" t="inlineStr">
        <is>
          <t>KARYAWAN</t>
        </is>
      </c>
    </row>
    <row r="582" ht="15.75" customHeight="1" s="169">
      <c r="A582" s="22" t="n">
        <v>428000099</v>
      </c>
      <c r="B582" s="22" t="inlineStr">
        <is>
          <t>Zichun Wang</t>
        </is>
      </c>
      <c r="C582" s="22" t="inlineStr">
        <is>
          <t>Mitra Kerja</t>
        </is>
      </c>
      <c r="D582" s="22" t="inlineStr">
        <is>
          <t>HRGA</t>
        </is>
      </c>
      <c r="E582" s="22" t="inlineStr">
        <is>
          <t>HRD Vendor</t>
        </is>
      </c>
      <c r="F582" s="13" t="inlineStr">
        <is>
          <t>KARYAWAN</t>
        </is>
      </c>
    </row>
    <row r="583" ht="15.75" customHeight="1" s="169">
      <c r="A583" s="22" t="n">
        <v>428000100</v>
      </c>
      <c r="B583" s="22" t="inlineStr">
        <is>
          <t>Jun Xu</t>
        </is>
      </c>
      <c r="C583" s="22" t="inlineStr">
        <is>
          <t>Mitra Kerja</t>
        </is>
      </c>
      <c r="D583" s="22" t="inlineStr">
        <is>
          <t>HRGA</t>
        </is>
      </c>
      <c r="E583" s="22" t="inlineStr">
        <is>
          <t>HRD Harian</t>
        </is>
      </c>
      <c r="F583" s="13" t="inlineStr">
        <is>
          <t>KARYAWAN</t>
        </is>
      </c>
    </row>
    <row r="584" ht="15.75" customHeight="1" s="169">
      <c r="A584" s="22" t="n">
        <v>428000101</v>
      </c>
      <c r="B584" s="22" t="inlineStr">
        <is>
          <t>Jiang Mangke</t>
        </is>
      </c>
      <c r="C584" s="22" t="inlineStr">
        <is>
          <t>Mitra Kerja</t>
        </is>
      </c>
      <c r="D584" s="22" t="inlineStr">
        <is>
          <t>HRGA</t>
        </is>
      </c>
      <c r="E584" s="22" t="inlineStr">
        <is>
          <t>HRD Vendor</t>
        </is>
      </c>
      <c r="F584" s="13" t="inlineStr">
        <is>
          <t>KARYAWAN</t>
        </is>
      </c>
    </row>
    <row r="585" ht="15.75" customHeight="1" s="169">
      <c r="A585" s="22" t="n">
        <v>428000102</v>
      </c>
      <c r="B585" s="22" t="inlineStr">
        <is>
          <t>Abdul Aziz</t>
        </is>
      </c>
      <c r="C585" s="22" t="inlineStr">
        <is>
          <t>Mitra Kerja</t>
        </is>
      </c>
      <c r="D585" s="22" t="inlineStr">
        <is>
          <t>HRGA</t>
        </is>
      </c>
      <c r="E585" s="22" t="inlineStr">
        <is>
          <t>GA Vendor</t>
        </is>
      </c>
      <c r="F585" s="13" t="inlineStr">
        <is>
          <t>SECURITY</t>
        </is>
      </c>
      <c r="G585" s="13" t="inlineStr">
        <is>
          <t>SEC0912</t>
        </is>
      </c>
    </row>
    <row r="586" ht="15.75" customHeight="1" s="169">
      <c r="A586" s="22" t="n">
        <v>428000103</v>
      </c>
      <c r="B586" s="22" t="inlineStr">
        <is>
          <t>Yuan Kai</t>
        </is>
      </c>
      <c r="C586" s="22" t="inlineStr">
        <is>
          <t>Mitra Kerja</t>
        </is>
      </c>
      <c r="D586" s="22" t="inlineStr">
        <is>
          <t>HRGA</t>
        </is>
      </c>
      <c r="E586" s="22" t="inlineStr">
        <is>
          <t>HRD Vendor</t>
        </is>
      </c>
      <c r="F586" s="13" t="inlineStr">
        <is>
          <t>KARYAWAN</t>
        </is>
      </c>
    </row>
    <row r="587" ht="15.75" customHeight="1" s="169">
      <c r="A587" s="22" t="n">
        <v>428000104</v>
      </c>
      <c r="B587" s="22" t="inlineStr">
        <is>
          <t>BELLA NURLAILLA. AP</t>
        </is>
      </c>
      <c r="C587" s="22" t="inlineStr">
        <is>
          <t>Mitra Kerja</t>
        </is>
      </c>
      <c r="D587" s="22" t="inlineStr">
        <is>
          <t>HRGA</t>
        </is>
      </c>
      <c r="E587" s="22" t="inlineStr">
        <is>
          <t>GA Vendor</t>
        </is>
      </c>
      <c r="F587" s="13" t="inlineStr">
        <is>
          <t>SECURITY</t>
        </is>
      </c>
      <c r="G587" s="13" t="inlineStr">
        <is>
          <t>SEC0912</t>
        </is>
      </c>
    </row>
    <row r="588" ht="15.75" customHeight="1" s="169">
      <c r="A588" s="22" t="n">
        <v>528000015</v>
      </c>
      <c r="B588" s="22" t="inlineStr">
        <is>
          <t>Erwin</t>
        </is>
      </c>
      <c r="C588" s="22" t="inlineStr">
        <is>
          <t>Mitra Kerja</t>
        </is>
      </c>
      <c r="D588" s="22" t="inlineStr">
        <is>
          <t>LOG</t>
        </is>
      </c>
      <c r="E588" s="22" t="inlineStr">
        <is>
          <t>WRM Harian</t>
        </is>
      </c>
      <c r="F588" s="13" t="inlineStr">
        <is>
          <t>KARYAWAN</t>
        </is>
      </c>
    </row>
    <row r="589" ht="15.75" customHeight="1" s="169">
      <c r="A589" s="22" t="n">
        <v>528000016</v>
      </c>
      <c r="B589" s="22" t="inlineStr">
        <is>
          <t>Randi Apriyanto</t>
        </is>
      </c>
      <c r="C589" s="22" t="inlineStr">
        <is>
          <t>Mitra Kerja</t>
        </is>
      </c>
      <c r="D589" s="22" t="inlineStr">
        <is>
          <t>LOG</t>
        </is>
      </c>
      <c r="E589" s="22" t="inlineStr">
        <is>
          <t>WRM Harian</t>
        </is>
      </c>
      <c r="F589" s="13" t="inlineStr">
        <is>
          <t>KARYAWAN</t>
        </is>
      </c>
    </row>
    <row r="590" ht="15.75" customHeight="1" s="169">
      <c r="A590" s="22" t="n">
        <v>528000040</v>
      </c>
      <c r="B590" s="22" t="inlineStr">
        <is>
          <t>Agus Suryaman</t>
        </is>
      </c>
      <c r="C590" s="22" t="inlineStr">
        <is>
          <t>Mitra Kerja</t>
        </is>
      </c>
      <c r="D590" s="22" t="inlineStr">
        <is>
          <t>PROD</t>
        </is>
      </c>
      <c r="E590" s="22" t="inlineStr">
        <is>
          <t>Produksi Harian</t>
        </is>
      </c>
      <c r="F590" s="13" t="inlineStr">
        <is>
          <t>KARYAWAN</t>
        </is>
      </c>
    </row>
    <row r="591" ht="15.75" customHeight="1" s="169">
      <c r="A591" s="22" t="n">
        <v>528000052</v>
      </c>
      <c r="B591" s="22" t="inlineStr">
        <is>
          <t>Mustopa</t>
        </is>
      </c>
      <c r="C591" s="22" t="inlineStr">
        <is>
          <t>Mitra Kerja</t>
        </is>
      </c>
      <c r="D591" s="22" t="inlineStr">
        <is>
          <t>PROD</t>
        </is>
      </c>
      <c r="E591" s="22" t="inlineStr">
        <is>
          <t>Produksi Harian</t>
        </is>
      </c>
      <c r="F591" s="13" t="inlineStr">
        <is>
          <t>KARYAWAN</t>
        </is>
      </c>
    </row>
    <row r="592" ht="15.75" customHeight="1" s="169">
      <c r="A592" s="22" t="n">
        <v>528000055</v>
      </c>
      <c r="B592" s="22" t="inlineStr">
        <is>
          <t>Dika Prasetya</t>
        </is>
      </c>
      <c r="C592" s="22" t="inlineStr">
        <is>
          <t>Mitra Kerja</t>
        </is>
      </c>
      <c r="D592" s="22" t="inlineStr">
        <is>
          <t>LOG</t>
        </is>
      </c>
      <c r="E592" s="22" t="inlineStr">
        <is>
          <t>WRM Harian</t>
        </is>
      </c>
      <c r="F592" s="13" t="inlineStr">
        <is>
          <t>KARYAWAN</t>
        </is>
      </c>
    </row>
    <row r="593" ht="15.75" customHeight="1" s="169">
      <c r="A593" s="22" t="n">
        <v>528000059</v>
      </c>
      <c r="B593" s="22" t="inlineStr">
        <is>
          <t>N. Santika Dewi</t>
        </is>
      </c>
      <c r="C593" s="22" t="inlineStr">
        <is>
          <t>Mitra Kerja</t>
        </is>
      </c>
      <c r="D593" s="22" t="inlineStr">
        <is>
          <t>PROD</t>
        </is>
      </c>
      <c r="E593" s="22" t="inlineStr">
        <is>
          <t>Produksi Harian</t>
        </is>
      </c>
      <c r="F593" s="13" t="inlineStr">
        <is>
          <t>KARYAWAN</t>
        </is>
      </c>
    </row>
    <row r="594" ht="15.75" customHeight="1" s="169">
      <c r="A594" s="22" t="n">
        <v>528000063</v>
      </c>
      <c r="B594" s="22" t="inlineStr">
        <is>
          <t>Muhamad Ripki Pebrian</t>
        </is>
      </c>
      <c r="C594" s="22" t="inlineStr">
        <is>
          <t>Mitra Kerja</t>
        </is>
      </c>
      <c r="D594" s="22" t="inlineStr">
        <is>
          <t>PROD</t>
        </is>
      </c>
      <c r="E594" s="22" t="inlineStr">
        <is>
          <t>Produksi Harian</t>
        </is>
      </c>
      <c r="F594" s="13" t="inlineStr">
        <is>
          <t>KARYAWAN</t>
        </is>
      </c>
    </row>
    <row r="595" ht="15.75" customHeight="1" s="169">
      <c r="A595" s="22" t="n">
        <v>528000069</v>
      </c>
      <c r="B595" s="22" t="inlineStr">
        <is>
          <t>Jajang Ardiansyah</t>
        </is>
      </c>
      <c r="C595" s="22" t="inlineStr">
        <is>
          <t>Mitra Kerja</t>
        </is>
      </c>
      <c r="D595" s="22" t="inlineStr">
        <is>
          <t>PROD</t>
        </is>
      </c>
      <c r="E595" s="22" t="inlineStr">
        <is>
          <t>Produksi Harian</t>
        </is>
      </c>
      <c r="F595" s="13" t="inlineStr">
        <is>
          <t>KARYAWAN</t>
        </is>
      </c>
    </row>
    <row r="596" ht="15.75" customHeight="1" s="169">
      <c r="A596" s="22" t="n">
        <v>528000070</v>
      </c>
      <c r="B596" s="22" t="inlineStr">
        <is>
          <t>Teja Ristina Mukti</t>
        </is>
      </c>
      <c r="C596" s="22" t="inlineStr">
        <is>
          <t>Mitra Kerja</t>
        </is>
      </c>
      <c r="D596" s="22" t="inlineStr">
        <is>
          <t>PROD</t>
        </is>
      </c>
      <c r="E596" s="22" t="inlineStr">
        <is>
          <t>Produksi Harian</t>
        </is>
      </c>
      <c r="F596" s="13" t="inlineStr">
        <is>
          <t>KARYAWAN</t>
        </is>
      </c>
    </row>
    <row r="597" ht="15.75" customHeight="1" s="169">
      <c r="A597" s="22" t="n">
        <v>528000071</v>
      </c>
      <c r="B597" s="22" t="inlineStr">
        <is>
          <t>Pingkan Kustria Budi</t>
        </is>
      </c>
      <c r="C597" s="22" t="inlineStr">
        <is>
          <t>Mitra Kerja</t>
        </is>
      </c>
      <c r="D597" s="22" t="inlineStr">
        <is>
          <t>PROD</t>
        </is>
      </c>
      <c r="E597" s="22" t="inlineStr">
        <is>
          <t>Produksi Harian</t>
        </is>
      </c>
      <c r="F597" s="13" t="inlineStr">
        <is>
          <t>KARYAWAN</t>
        </is>
      </c>
    </row>
    <row r="598" ht="15.75" customHeight="1" s="169">
      <c r="A598" s="22" t="n">
        <v>528000089</v>
      </c>
      <c r="B598" s="22" t="inlineStr">
        <is>
          <t>Santi Susanti</t>
        </is>
      </c>
      <c r="C598" s="22" t="inlineStr">
        <is>
          <t>Mitra Kerja</t>
        </is>
      </c>
      <c r="D598" s="22" t="inlineStr">
        <is>
          <t>PROD</t>
        </is>
      </c>
      <c r="E598" s="22" t="inlineStr">
        <is>
          <t>Produksi Harian</t>
        </is>
      </c>
      <c r="F598" s="13" t="inlineStr">
        <is>
          <t>KARYAWAN</t>
        </is>
      </c>
    </row>
    <row r="599" ht="15.75" customHeight="1" s="169">
      <c r="A599" s="22" t="n">
        <v>528000090</v>
      </c>
      <c r="B599" s="22" t="inlineStr">
        <is>
          <t>Suganda</t>
        </is>
      </c>
      <c r="C599" s="22" t="inlineStr">
        <is>
          <t>Mitra Kerja</t>
        </is>
      </c>
      <c r="D599" s="22" t="inlineStr">
        <is>
          <t>PROD</t>
        </is>
      </c>
      <c r="E599" s="22" t="inlineStr">
        <is>
          <t>Produksi Harian</t>
        </is>
      </c>
      <c r="F599" s="13" t="inlineStr">
        <is>
          <t>KARYAWAN</t>
        </is>
      </c>
    </row>
    <row r="600" ht="15.75" customHeight="1" s="169">
      <c r="A600" s="22" t="n">
        <v>528000098</v>
      </c>
      <c r="B600" s="22" t="inlineStr">
        <is>
          <t>Edi Junaedi</t>
        </is>
      </c>
      <c r="C600" s="22" t="inlineStr">
        <is>
          <t>Mitra Kerja</t>
        </is>
      </c>
      <c r="D600" s="22" t="inlineStr">
        <is>
          <t>PROD</t>
        </is>
      </c>
      <c r="E600" s="22" t="inlineStr">
        <is>
          <t>Produksi Harian</t>
        </is>
      </c>
      <c r="F600" s="13" t="inlineStr">
        <is>
          <t>KARYAWAN</t>
        </is>
      </c>
    </row>
    <row r="601" ht="15.75" customHeight="1" s="169">
      <c r="A601" s="22" t="n">
        <v>528000099</v>
      </c>
      <c r="B601" s="22" t="inlineStr">
        <is>
          <t>Siti Nurawaliah</t>
        </is>
      </c>
      <c r="C601" s="22" t="inlineStr">
        <is>
          <t>Mitra Kerja</t>
        </is>
      </c>
      <c r="D601" s="22" t="inlineStr">
        <is>
          <t>PROD</t>
        </is>
      </c>
      <c r="E601" s="22" t="inlineStr">
        <is>
          <t>Produksi Harian</t>
        </is>
      </c>
      <c r="F601" s="13" t="inlineStr">
        <is>
          <t>KARYAWAN</t>
        </is>
      </c>
    </row>
    <row r="602" ht="15.75" customHeight="1" s="169">
      <c r="A602" s="22" t="n">
        <v>528000116</v>
      </c>
      <c r="B602" s="22" t="inlineStr">
        <is>
          <t>Fadhil Mardiansyah</t>
        </is>
      </c>
      <c r="C602" s="22" t="inlineStr">
        <is>
          <t>Mitra Kerja</t>
        </is>
      </c>
      <c r="D602" s="22" t="inlineStr">
        <is>
          <t>PROD</t>
        </is>
      </c>
      <c r="E602" s="22" t="inlineStr">
        <is>
          <t>Produksi Harian</t>
        </is>
      </c>
      <c r="F602" s="13" t="inlineStr">
        <is>
          <t>KARYAWAN</t>
        </is>
      </c>
    </row>
    <row r="603" ht="15.75" customHeight="1" s="169">
      <c r="A603" s="22" t="n">
        <v>528000132</v>
      </c>
      <c r="B603" s="22" t="inlineStr">
        <is>
          <t>Giopani</t>
        </is>
      </c>
      <c r="C603" s="22" t="inlineStr">
        <is>
          <t>Mitra Kerja</t>
        </is>
      </c>
      <c r="D603" s="22" t="inlineStr">
        <is>
          <t>LOG</t>
        </is>
      </c>
      <c r="E603" s="22" t="inlineStr">
        <is>
          <t>WRM Harian</t>
        </is>
      </c>
      <c r="F603" s="13" t="inlineStr">
        <is>
          <t>KARYAWAN</t>
        </is>
      </c>
    </row>
    <row r="604" ht="15.75" customHeight="1" s="169">
      <c r="A604" s="22" t="n">
        <v>528000144</v>
      </c>
      <c r="B604" s="22" t="inlineStr">
        <is>
          <t>Jodi Hanafi</t>
        </is>
      </c>
      <c r="C604" s="22" t="inlineStr">
        <is>
          <t>Mitra Kerja</t>
        </is>
      </c>
      <c r="D604" s="22" t="inlineStr">
        <is>
          <t>LOG</t>
        </is>
      </c>
      <c r="E604" s="22" t="inlineStr">
        <is>
          <t>WRM Harian</t>
        </is>
      </c>
      <c r="F604" s="13" t="inlineStr">
        <is>
          <t>KARYAWAN</t>
        </is>
      </c>
    </row>
    <row r="605" ht="15.75" customHeight="1" s="169">
      <c r="A605" s="22" t="n">
        <v>528000146</v>
      </c>
      <c r="B605" s="22" t="inlineStr">
        <is>
          <t>Deny Afrizal</t>
        </is>
      </c>
      <c r="C605" s="22" t="inlineStr">
        <is>
          <t>Mitra Kerja</t>
        </is>
      </c>
      <c r="D605" s="22" t="inlineStr">
        <is>
          <t>PROD</t>
        </is>
      </c>
      <c r="E605" s="22" t="inlineStr">
        <is>
          <t>Produksi Harian</t>
        </is>
      </c>
      <c r="F605" s="13" t="inlineStr">
        <is>
          <t>KARYAWAN</t>
        </is>
      </c>
    </row>
    <row r="606" ht="15.75" customHeight="1" s="169">
      <c r="A606" s="22" t="n">
        <v>528000149</v>
      </c>
      <c r="B606" s="22" t="inlineStr">
        <is>
          <t>Tio Fernanda</t>
        </is>
      </c>
      <c r="C606" s="22" t="inlineStr">
        <is>
          <t>Mitra Kerja</t>
        </is>
      </c>
      <c r="D606" s="22" t="inlineStr">
        <is>
          <t>LOG</t>
        </is>
      </c>
      <c r="E606" s="22" t="inlineStr">
        <is>
          <t>WRM Harian</t>
        </is>
      </c>
      <c r="F606" s="13" t="inlineStr">
        <is>
          <t>KARYAWAN</t>
        </is>
      </c>
    </row>
    <row r="607" ht="15.75" customHeight="1" s="169">
      <c r="A607" s="22" t="n">
        <v>528000155</v>
      </c>
      <c r="B607" s="22" t="inlineStr">
        <is>
          <t>Dea Amelia</t>
        </is>
      </c>
      <c r="C607" s="22" t="inlineStr">
        <is>
          <t>Mitra Kerja</t>
        </is>
      </c>
      <c r="D607" s="22" t="inlineStr">
        <is>
          <t>PROD</t>
        </is>
      </c>
      <c r="E607" s="22" t="inlineStr">
        <is>
          <t>Produksi Harian</t>
        </is>
      </c>
      <c r="F607" s="13" t="inlineStr">
        <is>
          <t>KARYAWAN</t>
        </is>
      </c>
    </row>
    <row r="608" ht="15.75" customHeight="1" s="169">
      <c r="A608" s="22" t="n">
        <v>528000158</v>
      </c>
      <c r="B608" s="22" t="inlineStr">
        <is>
          <t>Eva Nurjanah</t>
        </is>
      </c>
      <c r="C608" s="22" t="inlineStr">
        <is>
          <t>Mitra Kerja</t>
        </is>
      </c>
      <c r="D608" s="22" t="inlineStr">
        <is>
          <t>PROD</t>
        </is>
      </c>
      <c r="E608" s="22" t="inlineStr">
        <is>
          <t>Produksi Harian</t>
        </is>
      </c>
      <c r="F608" s="13" t="inlineStr">
        <is>
          <t>KARYAWAN</t>
        </is>
      </c>
    </row>
    <row r="609" ht="15.75" customHeight="1" s="169">
      <c r="A609" s="22" t="n">
        <v>528000194</v>
      </c>
      <c r="B609" s="22" t="inlineStr">
        <is>
          <t>Tanti Haryanti</t>
        </is>
      </c>
      <c r="C609" s="22" t="inlineStr">
        <is>
          <t>Mitra Kerja</t>
        </is>
      </c>
      <c r="D609" s="22" t="inlineStr">
        <is>
          <t>PROD</t>
        </is>
      </c>
      <c r="E609" s="22" t="inlineStr">
        <is>
          <t>Produksi Borongan</t>
        </is>
      </c>
      <c r="F609" s="13" t="inlineStr">
        <is>
          <t>KARYAWAN</t>
        </is>
      </c>
    </row>
    <row r="610" ht="15.75" customHeight="1" s="169">
      <c r="A610" s="22" t="n">
        <v>528000195</v>
      </c>
      <c r="B610" s="22" t="inlineStr">
        <is>
          <t>Rahma Sariwati</t>
        </is>
      </c>
      <c r="C610" s="22" t="inlineStr">
        <is>
          <t>Mitra Kerja</t>
        </is>
      </c>
      <c r="D610" s="22" t="inlineStr">
        <is>
          <t>PROD</t>
        </is>
      </c>
      <c r="E610" s="22" t="inlineStr">
        <is>
          <t>Produksi Harian</t>
        </is>
      </c>
      <c r="F610" s="13" t="inlineStr">
        <is>
          <t>KARYAWAN</t>
        </is>
      </c>
    </row>
    <row r="611" ht="15.75" customHeight="1" s="169">
      <c r="A611" s="22" t="n">
        <v>528000196</v>
      </c>
      <c r="B611" s="22" t="inlineStr">
        <is>
          <t>Ropika Handayani</t>
        </is>
      </c>
      <c r="C611" s="22" t="inlineStr">
        <is>
          <t>Mitra Kerja</t>
        </is>
      </c>
      <c r="D611" s="22" t="inlineStr">
        <is>
          <t>PROD</t>
        </is>
      </c>
      <c r="E611" s="22" t="inlineStr">
        <is>
          <t>Produksi Harian</t>
        </is>
      </c>
      <c r="F611" s="13" t="inlineStr">
        <is>
          <t>KARYAWAN</t>
        </is>
      </c>
    </row>
    <row r="612" ht="15.75" customHeight="1" s="169">
      <c r="A612" s="22" t="n">
        <v>528000198</v>
      </c>
      <c r="B612" s="22" t="inlineStr">
        <is>
          <t>Herlan Darus Maulana</t>
        </is>
      </c>
      <c r="C612" s="22" t="inlineStr">
        <is>
          <t>Mitra Kerja</t>
        </is>
      </c>
      <c r="D612" s="22" t="inlineStr">
        <is>
          <t>ENG</t>
        </is>
      </c>
      <c r="E612" s="22" t="inlineStr">
        <is>
          <t>Engineering Harian</t>
        </is>
      </c>
      <c r="F612" s="13" t="inlineStr">
        <is>
          <t>KARYAWAN</t>
        </is>
      </c>
    </row>
    <row r="613" ht="15.75" customHeight="1" s="169">
      <c r="A613" s="22" t="n">
        <v>528000199</v>
      </c>
      <c r="B613" s="22" t="inlineStr">
        <is>
          <t>Giparel Hamdani</t>
        </is>
      </c>
      <c r="C613" s="22" t="inlineStr">
        <is>
          <t>Mitra Kerja</t>
        </is>
      </c>
      <c r="D613" s="22" t="inlineStr">
        <is>
          <t>LOG</t>
        </is>
      </c>
      <c r="E613" s="22" t="inlineStr">
        <is>
          <t>WRM Harian</t>
        </is>
      </c>
      <c r="F613" s="13" t="inlineStr">
        <is>
          <t>KARYAWAN</t>
        </is>
      </c>
    </row>
    <row r="614" ht="15.75" customHeight="1" s="169">
      <c r="A614" s="22" t="n">
        <v>528000201</v>
      </c>
      <c r="B614" s="22" t="inlineStr">
        <is>
          <t>Zahwa Amelia Choerunissa</t>
        </is>
      </c>
      <c r="C614" s="22" t="inlineStr">
        <is>
          <t>Mitra Kerja</t>
        </is>
      </c>
      <c r="D614" s="22" t="inlineStr">
        <is>
          <t>PROD</t>
        </is>
      </c>
      <c r="E614" s="22" t="inlineStr">
        <is>
          <t>Produksi Harian</t>
        </is>
      </c>
      <c r="F614" s="13" t="inlineStr">
        <is>
          <t>KARYAWAN</t>
        </is>
      </c>
    </row>
    <row r="615" ht="15.75" customHeight="1" s="169">
      <c r="A615" s="22" t="n">
        <v>528000202</v>
      </c>
      <c r="B615" s="22" t="inlineStr">
        <is>
          <t>Asep Saepudin</t>
        </is>
      </c>
      <c r="C615" s="22" t="inlineStr">
        <is>
          <t>Mitra Kerja</t>
        </is>
      </c>
      <c r="D615" s="22" t="inlineStr">
        <is>
          <t>LOG</t>
        </is>
      </c>
      <c r="E615" s="22" t="inlineStr">
        <is>
          <t>WRM Harian</t>
        </is>
      </c>
      <c r="F615" s="13" t="inlineStr">
        <is>
          <t>KARYAWAN</t>
        </is>
      </c>
    </row>
    <row r="616" ht="15.75" customHeight="1" s="169">
      <c r="A616" s="22" t="n">
        <v>528000203</v>
      </c>
      <c r="B616" s="22" t="inlineStr">
        <is>
          <t>Yudha Ramdhan Putra</t>
        </is>
      </c>
      <c r="C616" s="22" t="inlineStr">
        <is>
          <t>Mitra Kerja</t>
        </is>
      </c>
      <c r="D616" s="22" t="inlineStr">
        <is>
          <t>ENG</t>
        </is>
      </c>
      <c r="E616" s="22" t="inlineStr">
        <is>
          <t>Engineering Harian</t>
        </is>
      </c>
      <c r="F616" s="13" t="inlineStr">
        <is>
          <t>KARYAWAN</t>
        </is>
      </c>
    </row>
    <row r="617" ht="15.75" customHeight="1" s="169">
      <c r="A617" s="22" t="n">
        <v>528000205</v>
      </c>
      <c r="B617" s="22" t="inlineStr">
        <is>
          <t>Alvino Sofyan</t>
        </is>
      </c>
      <c r="C617" s="22" t="inlineStr">
        <is>
          <t>Mitra Kerja</t>
        </is>
      </c>
      <c r="D617" s="22" t="inlineStr">
        <is>
          <t>PROD</t>
        </is>
      </c>
      <c r="E617" s="22" t="inlineStr">
        <is>
          <t>Produksi Harian</t>
        </is>
      </c>
      <c r="F617" s="13" t="inlineStr">
        <is>
          <t>KARYAWAN</t>
        </is>
      </c>
    </row>
    <row r="618" ht="15.75" customHeight="1" s="169">
      <c r="A618" s="22" t="n">
        <v>528000206</v>
      </c>
      <c r="B618" s="22" t="inlineStr">
        <is>
          <t>Dika Wardiansyah</t>
        </is>
      </c>
      <c r="C618" s="22" t="inlineStr">
        <is>
          <t>Mitra Kerja</t>
        </is>
      </c>
      <c r="D618" s="22" t="inlineStr">
        <is>
          <t>LOG</t>
        </is>
      </c>
      <c r="E618" s="22" t="inlineStr">
        <is>
          <t>WRM Harian</t>
        </is>
      </c>
      <c r="F618" s="13" t="inlineStr">
        <is>
          <t>KARYAWAN</t>
        </is>
      </c>
    </row>
    <row r="619" ht="15.75" customHeight="1" s="169">
      <c r="A619" s="22" t="n">
        <v>528000209</v>
      </c>
      <c r="B619" s="22" t="inlineStr">
        <is>
          <t>Rivaldo Permana</t>
        </is>
      </c>
      <c r="C619" s="22" t="inlineStr">
        <is>
          <t>Mitra Kerja</t>
        </is>
      </c>
      <c r="D619" s="22" t="inlineStr">
        <is>
          <t>LOG</t>
        </is>
      </c>
      <c r="E619" s="22" t="inlineStr">
        <is>
          <t>WRM Harian</t>
        </is>
      </c>
      <c r="F619" s="13" t="inlineStr">
        <is>
          <t>KARYAWAN</t>
        </is>
      </c>
    </row>
    <row r="620" ht="15.75" customHeight="1" s="169">
      <c r="A620" s="22" t="n">
        <v>528000210</v>
      </c>
      <c r="B620" s="22" t="inlineStr">
        <is>
          <t>Muhamad Aldi Agustiana</t>
        </is>
      </c>
      <c r="C620" s="22" t="inlineStr">
        <is>
          <t>Mitra Kerja</t>
        </is>
      </c>
      <c r="D620" s="22" t="inlineStr">
        <is>
          <t>PROD</t>
        </is>
      </c>
      <c r="E620" s="22" t="inlineStr">
        <is>
          <t>Produksi Harian</t>
        </is>
      </c>
      <c r="F620" s="13" t="inlineStr">
        <is>
          <t>KARYAWAN</t>
        </is>
      </c>
    </row>
    <row r="621" ht="15.75" customHeight="1" s="169">
      <c r="A621" s="22" t="n">
        <v>528000211</v>
      </c>
      <c r="B621" s="22" t="inlineStr">
        <is>
          <t>Seftian Effendi</t>
        </is>
      </c>
      <c r="C621" s="22" t="inlineStr">
        <is>
          <t>Mitra Kerja</t>
        </is>
      </c>
      <c r="D621" s="22" t="inlineStr">
        <is>
          <t>HRGA</t>
        </is>
      </c>
      <c r="E621" s="22" t="inlineStr">
        <is>
          <t>GA Harian</t>
        </is>
      </c>
      <c r="F621" s="13" t="inlineStr">
        <is>
          <t>KARYAWAN</t>
        </is>
      </c>
    </row>
    <row r="622" ht="15.75" customHeight="1" s="169">
      <c r="A622" s="22" t="n">
        <v>528000212</v>
      </c>
      <c r="B622" s="22" t="inlineStr">
        <is>
          <t>Rizal Fauzi</t>
        </is>
      </c>
      <c r="C622" s="22" t="inlineStr">
        <is>
          <t>Mitra Kerja</t>
        </is>
      </c>
      <c r="D622" s="22" t="inlineStr">
        <is>
          <t>PROD</t>
        </is>
      </c>
      <c r="E622" s="22" t="inlineStr">
        <is>
          <t>Produksi Harian</t>
        </is>
      </c>
      <c r="F622" s="13" t="inlineStr">
        <is>
          <t>KARYAWAN</t>
        </is>
      </c>
    </row>
    <row r="623" ht="15.75" customHeight="1" s="169">
      <c r="A623" s="22" t="n">
        <v>528000214</v>
      </c>
      <c r="B623" s="22" t="inlineStr">
        <is>
          <t>Dio Juliana</t>
        </is>
      </c>
      <c r="C623" s="22" t="inlineStr">
        <is>
          <t>Mitra Kerja</t>
        </is>
      </c>
      <c r="D623" s="22" t="inlineStr">
        <is>
          <t>PROD</t>
        </is>
      </c>
      <c r="E623" s="22" t="inlineStr">
        <is>
          <t>Produksi Harian</t>
        </is>
      </c>
      <c r="F623" s="13" t="inlineStr">
        <is>
          <t>KARYAWAN</t>
        </is>
      </c>
    </row>
    <row r="624" ht="15.75" customHeight="1" s="169">
      <c r="A624" s="22" t="n">
        <v>528000216</v>
      </c>
      <c r="B624" s="22" t="inlineStr">
        <is>
          <t>Aidil Akbar</t>
        </is>
      </c>
      <c r="C624" s="22" t="inlineStr">
        <is>
          <t>Mitra Kerja</t>
        </is>
      </c>
      <c r="D624" s="22" t="inlineStr">
        <is>
          <t>PROD</t>
        </is>
      </c>
      <c r="E624" s="22" t="inlineStr">
        <is>
          <t>Produksi Harian</t>
        </is>
      </c>
      <c r="F624" s="13" t="inlineStr">
        <is>
          <t>KARYAWAN</t>
        </is>
      </c>
    </row>
    <row r="625" ht="15.75" customHeight="1" s="169">
      <c r="A625" s="22" t="n">
        <v>528000217</v>
      </c>
      <c r="B625" s="22" t="inlineStr">
        <is>
          <t>Intan Citra Lestari</t>
        </is>
      </c>
      <c r="C625" s="22" t="inlineStr">
        <is>
          <t>Mitra Kerja</t>
        </is>
      </c>
      <c r="D625" s="22" t="inlineStr">
        <is>
          <t>PROD</t>
        </is>
      </c>
      <c r="E625" s="22" t="inlineStr">
        <is>
          <t>Produksi Harian</t>
        </is>
      </c>
      <c r="F625" s="13" t="inlineStr">
        <is>
          <t>KARYAWAN</t>
        </is>
      </c>
    </row>
    <row r="626" ht="15.75" customHeight="1" s="169">
      <c r="A626" s="22" t="n">
        <v>528000218</v>
      </c>
      <c r="B626" s="22" t="inlineStr">
        <is>
          <t>Dian Nurfitriyanti</t>
        </is>
      </c>
      <c r="C626" s="22" t="inlineStr">
        <is>
          <t>Mitra Kerja</t>
        </is>
      </c>
      <c r="D626" s="22" t="inlineStr">
        <is>
          <t>PROD</t>
        </is>
      </c>
      <c r="E626" s="22" t="inlineStr">
        <is>
          <t>Produksi Harian</t>
        </is>
      </c>
      <c r="F626" s="13" t="inlineStr">
        <is>
          <t>KARYAWAN</t>
        </is>
      </c>
    </row>
    <row r="627" ht="15.75" customHeight="1" s="169">
      <c r="A627" s="22" t="n">
        <v>528000219</v>
      </c>
      <c r="B627" s="22" t="inlineStr">
        <is>
          <t>Hamzah Maulana</t>
        </is>
      </c>
      <c r="C627" s="22" t="inlineStr">
        <is>
          <t>Mitra Kerja</t>
        </is>
      </c>
      <c r="D627" s="22" t="inlineStr">
        <is>
          <t>PROD</t>
        </is>
      </c>
      <c r="E627" s="22" t="inlineStr">
        <is>
          <t>Produksi Harian</t>
        </is>
      </c>
      <c r="F627" s="13" t="inlineStr">
        <is>
          <t>KARYAWAN</t>
        </is>
      </c>
    </row>
    <row r="628" ht="15.75" customHeight="1" s="169">
      <c r="A628" s="22" t="n">
        <v>528000220</v>
      </c>
      <c r="B628" s="22" t="inlineStr">
        <is>
          <t>Riki Sugiana</t>
        </is>
      </c>
      <c r="C628" s="22" t="inlineStr">
        <is>
          <t>Mitra Kerja</t>
        </is>
      </c>
      <c r="D628" s="22" t="inlineStr">
        <is>
          <t>PROD</t>
        </is>
      </c>
      <c r="E628" s="22" t="inlineStr">
        <is>
          <t>Produksi Harian</t>
        </is>
      </c>
      <c r="F628" s="13" t="inlineStr">
        <is>
          <t>KARYAWAN</t>
        </is>
      </c>
    </row>
    <row r="629" ht="15.75" customHeight="1" s="169">
      <c r="A629" s="22" t="n">
        <v>528000221</v>
      </c>
      <c r="B629" s="22" t="inlineStr">
        <is>
          <t>Indra Hadiyana</t>
        </is>
      </c>
      <c r="C629" s="22" t="inlineStr">
        <is>
          <t>Mitra Kerja</t>
        </is>
      </c>
      <c r="D629" s="22" t="inlineStr">
        <is>
          <t>HRGA</t>
        </is>
      </c>
      <c r="E629" s="22" t="inlineStr">
        <is>
          <t>GA Harian</t>
        </is>
      </c>
      <c r="F629" s="13" t="inlineStr">
        <is>
          <t>KARYAWAN</t>
        </is>
      </c>
    </row>
    <row r="630" ht="15.75" customHeight="1" s="169">
      <c r="A630" s="22" t="n">
        <v>528000222</v>
      </c>
      <c r="B630" s="22" t="inlineStr">
        <is>
          <t>Fitria Nurainun</t>
        </is>
      </c>
      <c r="C630" s="22" t="inlineStr">
        <is>
          <t>Mitra Kerja</t>
        </is>
      </c>
      <c r="D630" s="22" t="inlineStr">
        <is>
          <t>PROD</t>
        </is>
      </c>
      <c r="E630" s="22" t="inlineStr">
        <is>
          <t>Produksi Harian</t>
        </is>
      </c>
      <c r="F630" s="13" t="inlineStr">
        <is>
          <t>KARYAWAN</t>
        </is>
      </c>
    </row>
    <row r="631" ht="15.75" customHeight="1" s="169">
      <c r="A631" s="22" t="n">
        <v>528000223</v>
      </c>
      <c r="B631" s="22" t="inlineStr">
        <is>
          <t>Aris Sugiana</t>
        </is>
      </c>
      <c r="C631" s="22" t="inlineStr">
        <is>
          <t>Mitra Kerja</t>
        </is>
      </c>
      <c r="D631" s="22" t="inlineStr">
        <is>
          <t>PROD</t>
        </is>
      </c>
      <c r="E631" s="22" t="inlineStr">
        <is>
          <t>Produksi Harian</t>
        </is>
      </c>
      <c r="F631" s="13" t="inlineStr">
        <is>
          <t>KARYAWAN</t>
        </is>
      </c>
    </row>
    <row r="632" ht="15.75" customHeight="1" s="169">
      <c r="A632" s="22" t="n">
        <v>528000224</v>
      </c>
      <c r="B632" s="22" t="inlineStr">
        <is>
          <t>Thoriq Waraprada Khoiri</t>
        </is>
      </c>
      <c r="C632" s="22" t="inlineStr">
        <is>
          <t>Mitra Kerja</t>
        </is>
      </c>
      <c r="D632" s="22" t="inlineStr">
        <is>
          <t>PROD</t>
        </is>
      </c>
      <c r="E632" s="22" t="inlineStr">
        <is>
          <t>Produksi Harian</t>
        </is>
      </c>
      <c r="F632" s="13" t="inlineStr">
        <is>
          <t>KARYAWAN</t>
        </is>
      </c>
    </row>
    <row r="633" ht="15.75" customHeight="1" s="169">
      <c r="A633" s="22" t="n">
        <v>528000225</v>
      </c>
      <c r="B633" s="22" t="inlineStr">
        <is>
          <t>Saepul Rizki</t>
        </is>
      </c>
      <c r="C633" s="22" t="inlineStr">
        <is>
          <t>Mitra Kerja</t>
        </is>
      </c>
      <c r="D633" s="22" t="inlineStr">
        <is>
          <t>PROD</t>
        </is>
      </c>
      <c r="E633" s="22" t="inlineStr">
        <is>
          <t>Produksi Harian</t>
        </is>
      </c>
      <c r="F633" s="13" t="inlineStr">
        <is>
          <t>KARYAWAN</t>
        </is>
      </c>
    </row>
    <row r="634" ht="15.75" customHeight="1" s="169">
      <c r="A634" s="22" t="n">
        <v>528000226</v>
      </c>
      <c r="B634" s="22" t="inlineStr">
        <is>
          <t>Hamdad Barizi</t>
        </is>
      </c>
      <c r="C634" s="22" t="inlineStr">
        <is>
          <t>Mitra Kerja</t>
        </is>
      </c>
      <c r="D634" s="22" t="inlineStr">
        <is>
          <t>PROD</t>
        </is>
      </c>
      <c r="E634" s="22" t="inlineStr">
        <is>
          <t>Produksi Harian</t>
        </is>
      </c>
      <c r="F634" s="13" t="inlineStr">
        <is>
          <t>KARYAWAN</t>
        </is>
      </c>
    </row>
    <row r="635" ht="15.75" customHeight="1" s="169">
      <c r="A635" s="22" t="n">
        <v>528000227</v>
      </c>
      <c r="B635" s="22" t="inlineStr">
        <is>
          <t>Deri Gunawan</t>
        </is>
      </c>
      <c r="C635" s="22" t="inlineStr">
        <is>
          <t>Mitra Kerja</t>
        </is>
      </c>
      <c r="D635" s="22" t="inlineStr">
        <is>
          <t>PROD</t>
        </is>
      </c>
      <c r="E635" s="22" t="inlineStr">
        <is>
          <t>Produksi Harian</t>
        </is>
      </c>
      <c r="F635" s="13" t="inlineStr">
        <is>
          <t>KARYAWAN</t>
        </is>
      </c>
    </row>
    <row r="636" ht="15.75" customHeight="1" s="169">
      <c r="A636" s="22" t="n">
        <v>528000228</v>
      </c>
      <c r="B636" s="22" t="inlineStr">
        <is>
          <t>Banyu Resmi Putri</t>
        </is>
      </c>
      <c r="C636" s="22" t="inlineStr">
        <is>
          <t>Mitra Kerja</t>
        </is>
      </c>
      <c r="D636" s="22" t="inlineStr">
        <is>
          <t>PROD</t>
        </is>
      </c>
      <c r="E636" s="22" t="inlineStr">
        <is>
          <t>Produksi Harian</t>
        </is>
      </c>
      <c r="F636" s="13" t="inlineStr">
        <is>
          <t>KARYAWAN</t>
        </is>
      </c>
    </row>
    <row r="637" ht="15.75" customHeight="1" s="169">
      <c r="A637" s="22" t="n">
        <v>528000229</v>
      </c>
      <c r="B637" s="22" t="inlineStr">
        <is>
          <t>Naila Ainun Nisa</t>
        </is>
      </c>
      <c r="C637" s="22" t="inlineStr">
        <is>
          <t>Mitra Kerja</t>
        </is>
      </c>
      <c r="D637" s="22" t="inlineStr">
        <is>
          <t>PROD</t>
        </is>
      </c>
      <c r="E637" s="22" t="inlineStr">
        <is>
          <t>Produksi Harian</t>
        </is>
      </c>
      <c r="F637" s="13" t="inlineStr">
        <is>
          <t>KARYAWAN</t>
        </is>
      </c>
    </row>
    <row r="638" ht="15.75" customHeight="1" s="169">
      <c r="A638" s="22" t="n">
        <v>528000230</v>
      </c>
      <c r="B638" s="22" t="inlineStr">
        <is>
          <t>Siti Juwita Apriliyanti</t>
        </is>
      </c>
      <c r="C638" s="22" t="inlineStr">
        <is>
          <t>Mitra Kerja</t>
        </is>
      </c>
      <c r="D638" s="22" t="inlineStr">
        <is>
          <t>PROD</t>
        </is>
      </c>
      <c r="E638" s="22" t="inlineStr">
        <is>
          <t>Produksi Harian</t>
        </is>
      </c>
      <c r="F638" s="13" t="inlineStr">
        <is>
          <t>KARYAWAN</t>
        </is>
      </c>
    </row>
    <row r="639" ht="15.75" customHeight="1" s="169">
      <c r="A639" s="22" t="n">
        <v>528000231</v>
      </c>
      <c r="B639" s="22" t="inlineStr">
        <is>
          <t>Hilman Baehaqi</t>
        </is>
      </c>
      <c r="C639" s="22" t="inlineStr">
        <is>
          <t>Mitra Kerja</t>
        </is>
      </c>
      <c r="D639" s="22" t="inlineStr">
        <is>
          <t>PROD</t>
        </is>
      </c>
      <c r="E639" s="22" t="inlineStr">
        <is>
          <t>Produksi Harian</t>
        </is>
      </c>
      <c r="F639" s="13" t="inlineStr">
        <is>
          <t>KARYAWAN</t>
        </is>
      </c>
    </row>
    <row r="640" ht="15.75" customHeight="1" s="169">
      <c r="A640" s="22" t="n">
        <v>528000232</v>
      </c>
      <c r="B640" s="22" t="inlineStr">
        <is>
          <t>Agung Aji Suhada</t>
        </is>
      </c>
      <c r="C640" s="22" t="inlineStr">
        <is>
          <t>Mitra Kerja</t>
        </is>
      </c>
      <c r="D640" s="22" t="inlineStr">
        <is>
          <t>LOG</t>
        </is>
      </c>
      <c r="E640" s="22" t="inlineStr">
        <is>
          <t>WRM Harian</t>
        </is>
      </c>
      <c r="F640" s="13" t="inlineStr">
        <is>
          <t>KARYAWAN</t>
        </is>
      </c>
    </row>
    <row r="641" ht="15.75" customHeight="1" s="169">
      <c r="A641" s="22" t="n">
        <v>528000233</v>
      </c>
      <c r="B641" s="22" t="inlineStr">
        <is>
          <t>Andriyan Daviansyah</t>
        </is>
      </c>
      <c r="C641" s="22" t="inlineStr">
        <is>
          <t>Mitra Kerja</t>
        </is>
      </c>
      <c r="D641" s="22" t="inlineStr">
        <is>
          <t>PROD</t>
        </is>
      </c>
      <c r="E641" s="22" t="inlineStr">
        <is>
          <t>Produksi Harian</t>
        </is>
      </c>
      <c r="F641" s="13" t="inlineStr">
        <is>
          <t>KARYAWAN</t>
        </is>
      </c>
    </row>
    <row r="642" ht="15.75" customHeight="1" s="169">
      <c r="A642" s="22" t="n">
        <v>528000234</v>
      </c>
      <c r="B642" s="22" t="inlineStr">
        <is>
          <t>Putrawan Franza</t>
        </is>
      </c>
      <c r="C642" s="22" t="inlineStr">
        <is>
          <t>Mitra Kerja</t>
        </is>
      </c>
      <c r="D642" s="22" t="inlineStr">
        <is>
          <t>PROD</t>
        </is>
      </c>
      <c r="E642" s="22" t="inlineStr">
        <is>
          <t>Produksi Harian</t>
        </is>
      </c>
      <c r="F642" s="13" t="inlineStr">
        <is>
          <t>KARYAWAN</t>
        </is>
      </c>
    </row>
    <row r="643" ht="15.75" customHeight="1" s="169">
      <c r="A643" s="22" t="n">
        <v>528000235</v>
      </c>
      <c r="B643" s="22" t="inlineStr">
        <is>
          <t>Risma Indriyani</t>
        </is>
      </c>
      <c r="C643" s="22" t="inlineStr">
        <is>
          <t>Mitra Kerja</t>
        </is>
      </c>
      <c r="D643" s="22" t="inlineStr">
        <is>
          <t>PROD</t>
        </is>
      </c>
      <c r="E643" s="22" t="inlineStr">
        <is>
          <t>Produksi Harian</t>
        </is>
      </c>
      <c r="F643" s="13" t="inlineStr">
        <is>
          <t>KARYAWAN</t>
        </is>
      </c>
    </row>
    <row r="644" ht="15.75" customHeight="1" s="169">
      <c r="A644" s="22" t="n">
        <v>528000236</v>
      </c>
      <c r="B644" s="22" t="inlineStr">
        <is>
          <t>Wilsa Meilani</t>
        </is>
      </c>
      <c r="C644" s="22" t="inlineStr">
        <is>
          <t>Mitra Kerja</t>
        </is>
      </c>
      <c r="D644" s="22" t="inlineStr">
        <is>
          <t>PROD</t>
        </is>
      </c>
      <c r="E644" s="22" t="inlineStr">
        <is>
          <t>Produksi Harian</t>
        </is>
      </c>
      <c r="F644" s="13" t="inlineStr">
        <is>
          <t>KARYAWAN</t>
        </is>
      </c>
    </row>
    <row r="645" ht="15.75" customHeight="1" s="169">
      <c r="A645" s="22" t="n">
        <v>528000237</v>
      </c>
      <c r="B645" s="22" t="inlineStr">
        <is>
          <t>Dendra Putrayana</t>
        </is>
      </c>
      <c r="C645" s="22" t="inlineStr">
        <is>
          <t>Mitra Kerja</t>
        </is>
      </c>
      <c r="D645" s="22" t="inlineStr">
        <is>
          <t>PROD</t>
        </is>
      </c>
      <c r="E645" s="22" t="inlineStr">
        <is>
          <t>Produksi Harian</t>
        </is>
      </c>
      <c r="F645" s="13" t="inlineStr">
        <is>
          <t>KARYAWAN</t>
        </is>
      </c>
    </row>
    <row r="646" ht="15.75" customHeight="1" s="169">
      <c r="A646" s="22" t="n">
        <v>528000238</v>
      </c>
      <c r="B646" s="22" t="inlineStr">
        <is>
          <t>Indah Lusiana</t>
        </is>
      </c>
      <c r="C646" s="22" t="inlineStr">
        <is>
          <t>Mitra Kerja</t>
        </is>
      </c>
      <c r="D646" s="22" t="inlineStr">
        <is>
          <t>PROD</t>
        </is>
      </c>
      <c r="E646" s="22" t="inlineStr">
        <is>
          <t>Produksi Harian</t>
        </is>
      </c>
      <c r="F646" s="13" t="inlineStr">
        <is>
          <t>KARYAWAN</t>
        </is>
      </c>
    </row>
    <row r="647" ht="15.75" customHeight="1" s="169">
      <c r="A647" s="22" t="n">
        <v>528000239</v>
      </c>
      <c r="B647" s="22" t="inlineStr">
        <is>
          <t>Yenni Padilah</t>
        </is>
      </c>
      <c r="C647" s="22" t="inlineStr">
        <is>
          <t>Mitra Kerja</t>
        </is>
      </c>
      <c r="D647" s="22" t="inlineStr">
        <is>
          <t>PROD</t>
        </is>
      </c>
      <c r="E647" s="22" t="inlineStr">
        <is>
          <t>Produksi Harian</t>
        </is>
      </c>
      <c r="F647" s="13" t="inlineStr">
        <is>
          <t>KARYAWAN</t>
        </is>
      </c>
    </row>
    <row r="648" ht="15.75" customHeight="1" s="169">
      <c r="A648" s="22" t="n">
        <v>528000240</v>
      </c>
      <c r="B648" s="22" t="inlineStr">
        <is>
          <t>Elsandra Cahyana Putri</t>
        </is>
      </c>
      <c r="C648" s="22" t="inlineStr">
        <is>
          <t>Mitra Kerja</t>
        </is>
      </c>
      <c r="D648" s="22" t="inlineStr">
        <is>
          <t>PROD</t>
        </is>
      </c>
      <c r="E648" s="22" t="inlineStr">
        <is>
          <t>Produksi Harian</t>
        </is>
      </c>
      <c r="F648" s="13" t="inlineStr">
        <is>
          <t>KARYAWAN</t>
        </is>
      </c>
    </row>
    <row r="649" ht="15.75" customHeight="1" s="169">
      <c r="A649" s="22" t="n">
        <v>528000241</v>
      </c>
      <c r="B649" s="22" t="inlineStr">
        <is>
          <t>Balia Nurafif Bilah</t>
        </is>
      </c>
      <c r="C649" s="22" t="inlineStr">
        <is>
          <t>Mitra Kerja</t>
        </is>
      </c>
      <c r="D649" s="22" t="inlineStr">
        <is>
          <t>PROD</t>
        </is>
      </c>
      <c r="E649" s="22" t="inlineStr">
        <is>
          <t>Produksi Harian</t>
        </is>
      </c>
      <c r="F649" s="13" t="inlineStr">
        <is>
          <t>KARYAWAN</t>
        </is>
      </c>
    </row>
    <row r="650" ht="15.75" customHeight="1" s="169">
      <c r="A650" s="22" t="n">
        <v>528000242</v>
      </c>
      <c r="B650" s="22" t="inlineStr">
        <is>
          <t>Erik Sugiana</t>
        </is>
      </c>
      <c r="C650" s="22" t="inlineStr">
        <is>
          <t>Mitra Kerja</t>
        </is>
      </c>
      <c r="D650" s="22" t="inlineStr">
        <is>
          <t>HRGA</t>
        </is>
      </c>
      <c r="E650" s="22" t="inlineStr">
        <is>
          <t>HRD Vendor</t>
        </is>
      </c>
      <c r="F650" s="13" t="inlineStr">
        <is>
          <t>KARYAWAN</t>
        </is>
      </c>
    </row>
    <row r="651" ht="15.75" customHeight="1" s="169">
      <c r="A651" s="22" t="n">
        <v>528000243</v>
      </c>
      <c r="B651" s="22" t="inlineStr">
        <is>
          <t>Akmal komaludin</t>
        </is>
      </c>
      <c r="C651" s="22" t="inlineStr">
        <is>
          <t>Mitra Kerja</t>
        </is>
      </c>
      <c r="D651" s="22" t="inlineStr">
        <is>
          <t>PROD</t>
        </is>
      </c>
      <c r="E651" s="22" t="inlineStr">
        <is>
          <t>Produksi Harian</t>
        </is>
      </c>
      <c r="F651" s="13" t="inlineStr">
        <is>
          <t>KARYAWAN</t>
        </is>
      </c>
    </row>
    <row r="652" ht="15.75" customHeight="1" s="169">
      <c r="A652" s="22" t="n">
        <v>528000244</v>
      </c>
      <c r="B652" s="22" t="inlineStr">
        <is>
          <t>Rodian Rifai</t>
        </is>
      </c>
      <c r="C652" s="22" t="inlineStr">
        <is>
          <t>Mitra Kerja</t>
        </is>
      </c>
      <c r="D652" s="22" t="inlineStr">
        <is>
          <t>PROD</t>
        </is>
      </c>
      <c r="E652" s="22" t="inlineStr">
        <is>
          <t>Produksi Harian</t>
        </is>
      </c>
      <c r="F652" s="13" t="inlineStr">
        <is>
          <t>KARYAWAN</t>
        </is>
      </c>
    </row>
    <row r="653" ht="15.75" customHeight="1" s="169">
      <c r="A653" s="22" t="n">
        <v>528000245</v>
      </c>
      <c r="B653" s="22" t="inlineStr">
        <is>
          <t>Mutiyana</t>
        </is>
      </c>
      <c r="C653" s="22" t="inlineStr">
        <is>
          <t>Mitra Kerja</t>
        </is>
      </c>
      <c r="D653" s="22" t="inlineStr">
        <is>
          <t>PROD</t>
        </is>
      </c>
      <c r="E653" s="22" t="inlineStr">
        <is>
          <t>Produksi Harian</t>
        </is>
      </c>
      <c r="F653" s="13" t="inlineStr">
        <is>
          <t>KARYAWAN</t>
        </is>
      </c>
    </row>
    <row r="654" ht="15.75" customHeight="1" s="169">
      <c r="A654" s="22" t="n">
        <v>528000246</v>
      </c>
      <c r="B654" s="22" t="inlineStr">
        <is>
          <t>Shakila Salsa Bila</t>
        </is>
      </c>
      <c r="C654" s="22" t="inlineStr">
        <is>
          <t>Mitra Kerja</t>
        </is>
      </c>
      <c r="D654" s="22" t="inlineStr">
        <is>
          <t>PROD</t>
        </is>
      </c>
      <c r="E654" s="22" t="inlineStr">
        <is>
          <t>Produksi Harian</t>
        </is>
      </c>
      <c r="F654" s="13" t="inlineStr">
        <is>
          <t>KARYAWAN</t>
        </is>
      </c>
    </row>
    <row r="655" ht="15.75" customHeight="1" s="169">
      <c r="A655" s="22" t="n">
        <v>528000247</v>
      </c>
      <c r="B655" s="22" t="inlineStr">
        <is>
          <t>Sindy Nopita Sari</t>
        </is>
      </c>
      <c r="C655" s="22" t="inlineStr">
        <is>
          <t>Mitra Kerja</t>
        </is>
      </c>
      <c r="D655" s="22" t="inlineStr">
        <is>
          <t>PROD</t>
        </is>
      </c>
      <c r="E655" s="22" t="inlineStr">
        <is>
          <t>Produksi Harian</t>
        </is>
      </c>
      <c r="F655" s="13" t="inlineStr">
        <is>
          <t>KARYAWAN</t>
        </is>
      </c>
    </row>
    <row r="656" ht="15.75" customHeight="1" s="169">
      <c r="A656" s="22" t="n">
        <v>528000248</v>
      </c>
      <c r="B656" s="22" t="inlineStr">
        <is>
          <t>Roka Jaya Salka Mulya</t>
        </is>
      </c>
      <c r="C656" s="22" t="inlineStr">
        <is>
          <t>Mitra Kerja</t>
        </is>
      </c>
      <c r="D656" s="22" t="inlineStr">
        <is>
          <t>PROD</t>
        </is>
      </c>
      <c r="E656" s="22" t="inlineStr">
        <is>
          <t>Produksi Harian</t>
        </is>
      </c>
      <c r="F656" s="13" t="inlineStr">
        <is>
          <t>KARYAWAN</t>
        </is>
      </c>
    </row>
    <row r="657" ht="15.75" customHeight="1" s="169">
      <c r="A657" s="22" t="n">
        <v>528000249</v>
      </c>
      <c r="B657" s="22" t="inlineStr">
        <is>
          <t>Fitri Febrian Rasya</t>
        </is>
      </c>
      <c r="C657" s="22" t="inlineStr">
        <is>
          <t>Mitra Kerja</t>
        </is>
      </c>
      <c r="D657" s="22" t="inlineStr">
        <is>
          <t>PROD</t>
        </is>
      </c>
      <c r="E657" s="22" t="inlineStr">
        <is>
          <t>Produksi Harian</t>
        </is>
      </c>
      <c r="F657" s="13" t="inlineStr">
        <is>
          <t>KARYAWAN</t>
        </is>
      </c>
    </row>
    <row r="658" ht="15.75" customHeight="1" s="169">
      <c r="A658" s="22" t="n">
        <v>528000250</v>
      </c>
      <c r="B658" s="22" t="inlineStr">
        <is>
          <t>Mokhamad Rifki</t>
        </is>
      </c>
      <c r="C658" s="22" t="inlineStr">
        <is>
          <t>Mitra Kerja</t>
        </is>
      </c>
      <c r="D658" s="22" t="inlineStr">
        <is>
          <t>PROD</t>
        </is>
      </c>
      <c r="E658" s="22" t="inlineStr">
        <is>
          <t>Produksi Harian</t>
        </is>
      </c>
      <c r="F658" s="13" t="inlineStr">
        <is>
          <t>KARYAWAN</t>
        </is>
      </c>
    </row>
    <row r="659" ht="15.75" customHeight="1" s="169">
      <c r="A659" s="22" t="n">
        <v>528000251</v>
      </c>
      <c r="B659" s="22" t="inlineStr">
        <is>
          <t>Salya Nugraha</t>
        </is>
      </c>
      <c r="C659" s="22" t="inlineStr">
        <is>
          <t>Mitra Kerja</t>
        </is>
      </c>
      <c r="D659" s="22" t="inlineStr">
        <is>
          <t>PROD</t>
        </is>
      </c>
      <c r="E659" s="22" t="inlineStr">
        <is>
          <t>Produksi Harian</t>
        </is>
      </c>
      <c r="F659" s="13" t="inlineStr">
        <is>
          <t>KARYAWAN</t>
        </is>
      </c>
    </row>
    <row r="660" ht="15.75" customHeight="1" s="169">
      <c r="A660" s="22" t="n">
        <v>528000252</v>
      </c>
      <c r="B660" s="22" t="inlineStr">
        <is>
          <t>Adrian Pratama Putra</t>
        </is>
      </c>
      <c r="C660" s="22" t="inlineStr">
        <is>
          <t>Mitra Kerja</t>
        </is>
      </c>
      <c r="D660" s="22" t="inlineStr">
        <is>
          <t>LOG</t>
        </is>
      </c>
      <c r="E660" s="22" t="inlineStr">
        <is>
          <t>WRM Harian</t>
        </is>
      </c>
      <c r="F660" s="13" t="inlineStr">
        <is>
          <t>KARYAWAN</t>
        </is>
      </c>
    </row>
    <row r="661" ht="15.75" customHeight="1" s="169">
      <c r="A661" s="22" t="n">
        <v>528000253</v>
      </c>
      <c r="B661" s="22" t="inlineStr">
        <is>
          <t>Pawad Sukurillah</t>
        </is>
      </c>
      <c r="C661" s="22" t="inlineStr">
        <is>
          <t>Mitra Kerja</t>
        </is>
      </c>
      <c r="D661" s="22" t="inlineStr">
        <is>
          <t>PROD</t>
        </is>
      </c>
      <c r="E661" s="22" t="inlineStr">
        <is>
          <t>Produksi Harian</t>
        </is>
      </c>
      <c r="F661" s="13" t="inlineStr">
        <is>
          <t>KARYAWAN</t>
        </is>
      </c>
    </row>
    <row r="662" ht="15.75" customHeight="1" s="169">
      <c r="A662" s="22" t="n">
        <v>528000254</v>
      </c>
      <c r="B662" s="22" t="inlineStr">
        <is>
          <t>M. Difa Ramdani</t>
        </is>
      </c>
      <c r="C662" s="22" t="inlineStr">
        <is>
          <t>Mitra Kerja</t>
        </is>
      </c>
      <c r="D662" s="22" t="inlineStr">
        <is>
          <t>PROD</t>
        </is>
      </c>
      <c r="E662" s="22" t="inlineStr">
        <is>
          <t>Produksi Harian</t>
        </is>
      </c>
      <c r="F662" s="13" t="inlineStr">
        <is>
          <t>KARYAWAN</t>
        </is>
      </c>
    </row>
    <row r="663" ht="15.75" customHeight="1" s="169">
      <c r="A663" s="22" t="n">
        <v>528000255</v>
      </c>
      <c r="B663" s="22" t="inlineStr">
        <is>
          <t>Muhamad Ezi</t>
        </is>
      </c>
      <c r="C663" s="22" t="inlineStr">
        <is>
          <t>Mitra Kerja</t>
        </is>
      </c>
      <c r="D663" s="22" t="inlineStr">
        <is>
          <t>PROD</t>
        </is>
      </c>
      <c r="E663" s="22" t="inlineStr">
        <is>
          <t>Produksi Harian</t>
        </is>
      </c>
      <c r="F663" s="13" t="inlineStr">
        <is>
          <t>KARYAWAN</t>
        </is>
      </c>
    </row>
    <row r="664" ht="15.75" customHeight="1" s="169">
      <c r="A664" s="22" t="n">
        <v>528000256</v>
      </c>
      <c r="B664" s="22" t="inlineStr">
        <is>
          <t>Rasianah</t>
        </is>
      </c>
      <c r="C664" s="22" t="inlineStr">
        <is>
          <t>Mitra Kerja</t>
        </is>
      </c>
      <c r="D664" s="22" t="inlineStr">
        <is>
          <t>PROD</t>
        </is>
      </c>
      <c r="E664" s="22" t="inlineStr">
        <is>
          <t>Produksi Harian</t>
        </is>
      </c>
      <c r="F664" s="13" t="inlineStr">
        <is>
          <t>KARYAWAN</t>
        </is>
      </c>
    </row>
    <row r="665" ht="15.75" customHeight="1" s="169">
      <c r="A665" s="22" t="n">
        <v>528000257</v>
      </c>
      <c r="B665" s="22" t="inlineStr">
        <is>
          <t>Neng Purwanti</t>
        </is>
      </c>
      <c r="C665" s="22" t="inlineStr">
        <is>
          <t>Mitra Kerja</t>
        </is>
      </c>
      <c r="D665" s="22" t="inlineStr">
        <is>
          <t>PROD</t>
        </is>
      </c>
      <c r="E665" s="22" t="inlineStr">
        <is>
          <t>Produksi Harian</t>
        </is>
      </c>
      <c r="F665" s="13" t="inlineStr">
        <is>
          <t>KARYAWAN</t>
        </is>
      </c>
    </row>
    <row r="666" ht="15.75" customHeight="1" s="169">
      <c r="A666" s="22" t="n">
        <v>528000258</v>
      </c>
      <c r="B666" s="22" t="inlineStr">
        <is>
          <t>Yoga Permana</t>
        </is>
      </c>
      <c r="C666" s="22" t="inlineStr">
        <is>
          <t>Mitra Kerja</t>
        </is>
      </c>
      <c r="D666" s="22" t="inlineStr">
        <is>
          <t>PROD</t>
        </is>
      </c>
      <c r="E666" s="22" t="inlineStr">
        <is>
          <t>Produksi Harian</t>
        </is>
      </c>
      <c r="F666" s="13" t="inlineStr">
        <is>
          <t>KARYAWAN</t>
        </is>
      </c>
    </row>
    <row r="667" ht="15.75" customHeight="1" s="169">
      <c r="A667" s="22" t="n">
        <v>528000259</v>
      </c>
      <c r="B667" s="22" t="inlineStr">
        <is>
          <t>Dwi Putra</t>
        </is>
      </c>
      <c r="C667" s="22" t="inlineStr">
        <is>
          <t>Mitra Kerja</t>
        </is>
      </c>
      <c r="D667" s="22" t="inlineStr">
        <is>
          <t>PROD</t>
        </is>
      </c>
      <c r="E667" s="22" t="inlineStr">
        <is>
          <t>Produksi Harian</t>
        </is>
      </c>
      <c r="F667" s="13" t="inlineStr">
        <is>
          <t>KARYAWAN</t>
        </is>
      </c>
    </row>
    <row r="668" ht="15.75" customHeight="1" s="169">
      <c r="A668" s="22" t="n">
        <v>528000261</v>
      </c>
      <c r="B668" s="22" t="inlineStr">
        <is>
          <t>Ergi Ergianto</t>
        </is>
      </c>
      <c r="C668" s="22" t="inlineStr">
        <is>
          <t>Mitra Kerja</t>
        </is>
      </c>
      <c r="D668" s="22" t="inlineStr">
        <is>
          <t>HRGA</t>
        </is>
      </c>
      <c r="E668" s="22" t="inlineStr">
        <is>
          <t>GA Harian</t>
        </is>
      </c>
      <c r="F668" s="13" t="inlineStr">
        <is>
          <t>KARYAWAN</t>
        </is>
      </c>
    </row>
    <row r="669" ht="15.75" customHeight="1" s="169">
      <c r="A669" s="22" t="n">
        <v>528000262</v>
      </c>
      <c r="B669" s="22" t="inlineStr">
        <is>
          <t>Ndari Dwiwanti</t>
        </is>
      </c>
      <c r="C669" s="22" t="inlineStr">
        <is>
          <t>Mitra Kerja</t>
        </is>
      </c>
      <c r="D669" s="22" t="inlineStr">
        <is>
          <t>PROD</t>
        </is>
      </c>
      <c r="E669" s="22" t="inlineStr">
        <is>
          <t>Produksi Harian</t>
        </is>
      </c>
      <c r="F669" s="13" t="inlineStr">
        <is>
          <t>KARYAWAN</t>
        </is>
      </c>
    </row>
    <row r="670" ht="15.75" customHeight="1" s="169">
      <c r="A670" s="22" t="n">
        <v>528000263</v>
      </c>
      <c r="B670" s="22" t="inlineStr">
        <is>
          <t>Dea Putri Kurnia</t>
        </is>
      </c>
      <c r="C670" s="22" t="inlineStr">
        <is>
          <t>Mitra Kerja</t>
        </is>
      </c>
      <c r="D670" s="22" t="inlineStr">
        <is>
          <t>PROD</t>
        </is>
      </c>
      <c r="E670" s="22" t="inlineStr">
        <is>
          <t>Produksi Harian</t>
        </is>
      </c>
      <c r="F670" s="13" t="inlineStr">
        <is>
          <t>KARYAWAN</t>
        </is>
      </c>
    </row>
    <row r="671" ht="15.75" customHeight="1" s="169">
      <c r="A671" s="22" t="n">
        <v>528000264</v>
      </c>
      <c r="B671" s="22" t="inlineStr">
        <is>
          <t>Dani Nurohman</t>
        </is>
      </c>
      <c r="C671" s="22" t="inlineStr">
        <is>
          <t>Mitra Kerja</t>
        </is>
      </c>
      <c r="D671" s="22" t="inlineStr">
        <is>
          <t>LOG</t>
        </is>
      </c>
      <c r="E671" s="22" t="inlineStr">
        <is>
          <t>WRM Harian</t>
        </is>
      </c>
      <c r="F671" s="13" t="inlineStr">
        <is>
          <t>KARYAWAN</t>
        </is>
      </c>
    </row>
    <row r="672" ht="15.75" customHeight="1" s="169">
      <c r="A672" s="22" t="n">
        <v>528000265</v>
      </c>
      <c r="B672" s="22" t="inlineStr">
        <is>
          <t>Muhammad Haerul Rozikin</t>
        </is>
      </c>
      <c r="C672" s="22" t="inlineStr">
        <is>
          <t>Mitra Kerja</t>
        </is>
      </c>
      <c r="D672" s="22" t="inlineStr">
        <is>
          <t>LOG</t>
        </is>
      </c>
      <c r="E672" s="22" t="inlineStr">
        <is>
          <t>WRM Harian</t>
        </is>
      </c>
      <c r="F672" s="13" t="inlineStr">
        <is>
          <t>KARYAWAN</t>
        </is>
      </c>
    </row>
    <row r="673" ht="15.75" customHeight="1" s="169">
      <c r="A673" s="22" t="n">
        <v>528000266</v>
      </c>
      <c r="B673" s="22" t="inlineStr">
        <is>
          <t>M. Syirajatieq</t>
        </is>
      </c>
      <c r="C673" s="22" t="inlineStr">
        <is>
          <t>Mitra Kerja</t>
        </is>
      </c>
      <c r="D673" s="22" t="inlineStr">
        <is>
          <t>LOG</t>
        </is>
      </c>
      <c r="E673" s="22" t="inlineStr">
        <is>
          <t>WFG Harian</t>
        </is>
      </c>
      <c r="F673" s="13" t="inlineStr">
        <is>
          <t>KARYAWAN</t>
        </is>
      </c>
    </row>
    <row r="674" ht="15.75" customHeight="1" s="169">
      <c r="A674" s="22" t="n">
        <v>528000267</v>
      </c>
      <c r="B674" s="22" t="inlineStr">
        <is>
          <t>Bagas Patulloh</t>
        </is>
      </c>
      <c r="C674" s="22" t="inlineStr">
        <is>
          <t>Mitra Kerja</t>
        </is>
      </c>
      <c r="D674" s="22" t="inlineStr">
        <is>
          <t>LOG</t>
        </is>
      </c>
      <c r="E674" s="22" t="inlineStr">
        <is>
          <t>WRM Harian</t>
        </is>
      </c>
      <c r="F674" s="13" t="inlineStr">
        <is>
          <t>KARYAWAN</t>
        </is>
      </c>
    </row>
    <row r="675" ht="15.75" customHeight="1" s="169">
      <c r="A675" s="22" t="n">
        <v>528000268</v>
      </c>
      <c r="B675" s="22" t="inlineStr">
        <is>
          <t>Santi Susilawati</t>
        </is>
      </c>
      <c r="C675" s="22" t="inlineStr">
        <is>
          <t>Mitra Kerja</t>
        </is>
      </c>
      <c r="D675" s="22" t="inlineStr">
        <is>
          <t>PROD</t>
        </is>
      </c>
      <c r="E675" s="22" t="inlineStr">
        <is>
          <t>Produksi Harian</t>
        </is>
      </c>
      <c r="F675" s="13" t="inlineStr">
        <is>
          <t>KARYAWAN</t>
        </is>
      </c>
    </row>
    <row r="676" ht="15.75" customHeight="1" s="169">
      <c r="A676" s="22" t="n">
        <v>528000269</v>
      </c>
      <c r="B676" s="22" t="inlineStr">
        <is>
          <t>Sri Ajeng Juliyanti</t>
        </is>
      </c>
      <c r="C676" s="22" t="inlineStr">
        <is>
          <t>Mitra Kerja</t>
        </is>
      </c>
      <c r="D676" s="22" t="inlineStr">
        <is>
          <t>PROD</t>
        </is>
      </c>
      <c r="E676" s="22" t="inlineStr">
        <is>
          <t>Produksi Harian</t>
        </is>
      </c>
      <c r="F676" s="13" t="inlineStr">
        <is>
          <t>KARYAWAN</t>
        </is>
      </c>
    </row>
    <row r="677" ht="15.75" customHeight="1" s="169">
      <c r="A677" s="22" t="n">
        <v>528000270</v>
      </c>
      <c r="B677" s="22" t="inlineStr">
        <is>
          <t>Febri Najmudin</t>
        </is>
      </c>
      <c r="C677" s="22" t="inlineStr">
        <is>
          <t>Mitra Kerja</t>
        </is>
      </c>
      <c r="D677" s="22" t="inlineStr">
        <is>
          <t>LOG</t>
        </is>
      </c>
      <c r="E677" s="22" t="inlineStr">
        <is>
          <t>WRM Harian</t>
        </is>
      </c>
      <c r="F677" s="13" t="inlineStr">
        <is>
          <t>KARYAWAN</t>
        </is>
      </c>
    </row>
    <row r="678" ht="15.75" customHeight="1" s="169">
      <c r="A678" s="22" t="n">
        <v>528000271</v>
      </c>
      <c r="B678" s="22" t="inlineStr">
        <is>
          <t>Fardi Luci</t>
        </is>
      </c>
      <c r="C678" s="22" t="inlineStr">
        <is>
          <t>Mitra Kerja</t>
        </is>
      </c>
      <c r="D678" s="22" t="inlineStr">
        <is>
          <t>PROD</t>
        </is>
      </c>
      <c r="E678" s="22" t="inlineStr">
        <is>
          <t>Produksi Harian</t>
        </is>
      </c>
      <c r="F678" s="13" t="inlineStr">
        <is>
          <t>KARYAWAN</t>
        </is>
      </c>
    </row>
    <row r="679" ht="15.75" customHeight="1" s="169">
      <c r="A679" s="22" t="n">
        <v>528000272</v>
      </c>
      <c r="B679" s="22" t="inlineStr">
        <is>
          <t>Randi Rahman</t>
        </is>
      </c>
      <c r="C679" s="22" t="inlineStr">
        <is>
          <t>Mitra Kerja</t>
        </is>
      </c>
      <c r="D679" s="22" t="inlineStr">
        <is>
          <t>PROD</t>
        </is>
      </c>
      <c r="E679" s="22" t="inlineStr">
        <is>
          <t>Produksi Harian</t>
        </is>
      </c>
      <c r="F679" s="13" t="inlineStr">
        <is>
          <t>KARYAWAN</t>
        </is>
      </c>
    </row>
    <row r="680" ht="15.75" customHeight="1" s="169">
      <c r="A680" s="22" t="n">
        <v>528000273</v>
      </c>
      <c r="B680" s="22" t="inlineStr">
        <is>
          <t>Asep Mulyana</t>
        </is>
      </c>
      <c r="C680" s="22" t="inlineStr">
        <is>
          <t>Mitra Kerja</t>
        </is>
      </c>
      <c r="D680" s="22" t="inlineStr">
        <is>
          <t>PROD</t>
        </is>
      </c>
      <c r="E680" s="22" t="inlineStr">
        <is>
          <t>Produksi Harian</t>
        </is>
      </c>
      <c r="F680" s="13" t="inlineStr">
        <is>
          <t>KARYAWAN</t>
        </is>
      </c>
    </row>
    <row r="681" ht="15.75" customHeight="1" s="169">
      <c r="A681" s="22" t="n">
        <v>528000274</v>
      </c>
      <c r="B681" s="22" t="inlineStr">
        <is>
          <t>Zepri</t>
        </is>
      </c>
      <c r="C681" s="22" t="inlineStr">
        <is>
          <t>Mitra Kerja</t>
        </is>
      </c>
      <c r="D681" s="22" t="inlineStr">
        <is>
          <t>PROD</t>
        </is>
      </c>
      <c r="E681" s="22" t="inlineStr">
        <is>
          <t>Produksi Harian</t>
        </is>
      </c>
      <c r="F681" s="13" t="inlineStr">
        <is>
          <t>KARYAWAN</t>
        </is>
      </c>
    </row>
    <row r="682" ht="15.75" customHeight="1" s="169">
      <c r="A682" s="22" t="n">
        <v>528000275</v>
      </c>
      <c r="B682" s="22" t="inlineStr">
        <is>
          <t>Muhammad Fikri Al-Bukhori</t>
        </is>
      </c>
      <c r="C682" s="22" t="inlineStr">
        <is>
          <t>Mitra Kerja</t>
        </is>
      </c>
      <c r="D682" s="22" t="inlineStr">
        <is>
          <t>PROD</t>
        </is>
      </c>
      <c r="E682" s="22" t="inlineStr">
        <is>
          <t>Produksi Harian</t>
        </is>
      </c>
      <c r="F682" s="13" t="inlineStr">
        <is>
          <t>KARYAWAN</t>
        </is>
      </c>
    </row>
    <row r="683" ht="15.75" customHeight="1" s="169">
      <c r="A683" s="22" t="n">
        <v>528000276</v>
      </c>
      <c r="B683" s="22" t="inlineStr">
        <is>
          <t>Fitri Febrian Rasya</t>
        </is>
      </c>
      <c r="C683" s="22" t="inlineStr">
        <is>
          <t>Mitra Kerja</t>
        </is>
      </c>
      <c r="D683" s="22" t="inlineStr">
        <is>
          <t>PROD</t>
        </is>
      </c>
      <c r="E683" s="22" t="inlineStr">
        <is>
          <t>Produksi Harian</t>
        </is>
      </c>
      <c r="F683" s="13" t="inlineStr">
        <is>
          <t>KARYAWAN</t>
        </is>
      </c>
    </row>
    <row r="684" ht="15.75" customHeight="1" s="169">
      <c r="A684" s="22" t="n">
        <v>528000277</v>
      </c>
      <c r="B684" s="22" t="inlineStr">
        <is>
          <t>Jorgha Febrian Koswata</t>
        </is>
      </c>
      <c r="C684" s="22" t="inlineStr">
        <is>
          <t>Mitra Kerja</t>
        </is>
      </c>
      <c r="D684" s="22" t="inlineStr">
        <is>
          <t>PROD</t>
        </is>
      </c>
      <c r="E684" s="22" t="inlineStr">
        <is>
          <t>Produksi Harian</t>
        </is>
      </c>
      <c r="F684" s="13" t="inlineStr">
        <is>
          <t>KARYAWAN</t>
        </is>
      </c>
    </row>
    <row r="685" ht="15.75" customHeight="1" s="169">
      <c r="A685" s="22" t="n">
        <v>528000278</v>
      </c>
      <c r="B685" s="22" t="inlineStr">
        <is>
          <t>Ernita Listiana</t>
        </is>
      </c>
      <c r="C685" s="22" t="inlineStr">
        <is>
          <t>Mitra Kerja</t>
        </is>
      </c>
      <c r="D685" s="22" t="inlineStr">
        <is>
          <t>PROD</t>
        </is>
      </c>
      <c r="E685" s="22" t="inlineStr">
        <is>
          <t>Produksi Harian</t>
        </is>
      </c>
      <c r="F685" s="13" t="inlineStr">
        <is>
          <t>KARYAWAN</t>
        </is>
      </c>
    </row>
    <row r="686" ht="15.75" customHeight="1" s="169">
      <c r="A686" s="22" t="n">
        <v>528000279</v>
      </c>
      <c r="B686" s="22" t="inlineStr">
        <is>
          <t>Mahdalena Dalfa Riani</t>
        </is>
      </c>
      <c r="C686" s="22" t="inlineStr">
        <is>
          <t>Mitra Kerja</t>
        </is>
      </c>
      <c r="D686" s="22" t="inlineStr">
        <is>
          <t>PROD</t>
        </is>
      </c>
      <c r="E686" s="22" t="inlineStr">
        <is>
          <t>Produksi Harian</t>
        </is>
      </c>
      <c r="F686" s="13" t="inlineStr">
        <is>
          <t>KARYAWAN</t>
        </is>
      </c>
    </row>
    <row r="687" ht="15.75" customHeight="1" s="169">
      <c r="A687" s="22" t="n">
        <v>528000280</v>
      </c>
      <c r="B687" s="22" t="inlineStr">
        <is>
          <t>Dandi Hilman Kelana</t>
        </is>
      </c>
      <c r="C687" s="22" t="inlineStr">
        <is>
          <t>Mitra Kerja</t>
        </is>
      </c>
      <c r="D687" s="22" t="inlineStr">
        <is>
          <t>PROD</t>
        </is>
      </c>
      <c r="E687" s="22" t="inlineStr">
        <is>
          <t>Produksi Harian</t>
        </is>
      </c>
      <c r="F687" s="13" t="inlineStr">
        <is>
          <t>KARYAWAN</t>
        </is>
      </c>
    </row>
    <row r="688" ht="15.75" customHeight="1" s="169">
      <c r="A688" s="22" t="n">
        <v>528000281</v>
      </c>
      <c r="B688" s="22" t="inlineStr">
        <is>
          <t>Rendi Ramdani</t>
        </is>
      </c>
      <c r="C688" s="22" t="inlineStr">
        <is>
          <t>Mitra Kerja</t>
        </is>
      </c>
      <c r="D688" s="22" t="inlineStr">
        <is>
          <t>PROD</t>
        </is>
      </c>
      <c r="E688" s="22" t="inlineStr">
        <is>
          <t>Produksi Harian</t>
        </is>
      </c>
      <c r="F688" s="13" t="inlineStr">
        <is>
          <t>KARYAWAN</t>
        </is>
      </c>
    </row>
    <row r="689" ht="15.75" customHeight="1" s="169">
      <c r="A689" s="22" t="n">
        <v>528000282</v>
      </c>
      <c r="B689" s="22" t="inlineStr">
        <is>
          <t>Defa Desfiana</t>
        </is>
      </c>
      <c r="C689" s="22" t="inlineStr">
        <is>
          <t>Mitra Kerja</t>
        </is>
      </c>
      <c r="D689" s="22" t="inlineStr">
        <is>
          <t>PROD</t>
        </is>
      </c>
      <c r="E689" s="22" t="inlineStr">
        <is>
          <t>Produksi Harian</t>
        </is>
      </c>
      <c r="F689" s="13" t="inlineStr">
        <is>
          <t>KARYAWAN</t>
        </is>
      </c>
    </row>
    <row r="690" ht="15.75" customHeight="1" s="169">
      <c r="A690" s="22" t="n">
        <v>528000283</v>
      </c>
      <c r="B690" s="22" t="inlineStr">
        <is>
          <t>Purwanda Sugiri</t>
        </is>
      </c>
      <c r="C690" s="22" t="inlineStr">
        <is>
          <t>Mitra Kerja</t>
        </is>
      </c>
      <c r="D690" s="22" t="inlineStr">
        <is>
          <t>LOG</t>
        </is>
      </c>
      <c r="E690" s="22" t="inlineStr">
        <is>
          <t>WRM Harian</t>
        </is>
      </c>
      <c r="F690" s="13" t="inlineStr">
        <is>
          <t>KARYAWAN</t>
        </is>
      </c>
    </row>
    <row r="691" ht="15.75" customHeight="1" s="169">
      <c r="A691" s="22" t="n">
        <v>528000284</v>
      </c>
      <c r="B691" s="22" t="inlineStr">
        <is>
          <t>Muhammad Gilang Terta Nugraha</t>
        </is>
      </c>
      <c r="C691" s="22" t="inlineStr">
        <is>
          <t>Mitra Kerja</t>
        </is>
      </c>
      <c r="D691" s="22" t="inlineStr">
        <is>
          <t>PROD</t>
        </is>
      </c>
      <c r="E691" s="22" t="inlineStr">
        <is>
          <t>Produksi Harian</t>
        </is>
      </c>
      <c r="F691" s="13" t="inlineStr">
        <is>
          <t>KARYAWAN</t>
        </is>
      </c>
    </row>
    <row r="692" ht="15.75" customHeight="1" s="169">
      <c r="A692" s="22" t="n">
        <v>528000285</v>
      </c>
      <c r="B692" s="22" t="inlineStr">
        <is>
          <t>Risma Sapitri</t>
        </is>
      </c>
      <c r="C692" s="22" t="inlineStr">
        <is>
          <t>Mitra Kerja</t>
        </is>
      </c>
      <c r="D692" s="22" t="inlineStr">
        <is>
          <t>PROD</t>
        </is>
      </c>
      <c r="E692" s="22" t="inlineStr">
        <is>
          <t>Produksi Harian</t>
        </is>
      </c>
      <c r="F692" s="13" t="inlineStr">
        <is>
          <t>KARYAWAN</t>
        </is>
      </c>
    </row>
    <row r="693" ht="15.75" customHeight="1" s="169">
      <c r="A693" s="22" t="n">
        <v>528000286</v>
      </c>
      <c r="B693" s="22" t="inlineStr">
        <is>
          <t>Imelda Amelia</t>
        </is>
      </c>
      <c r="C693" s="22" t="inlineStr">
        <is>
          <t>Mitra Kerja</t>
        </is>
      </c>
      <c r="D693" s="22" t="inlineStr">
        <is>
          <t>PROD</t>
        </is>
      </c>
      <c r="E693" s="22" t="inlineStr">
        <is>
          <t>Produksi Harian</t>
        </is>
      </c>
      <c r="F693" s="13" t="inlineStr">
        <is>
          <t>KARYAWAN</t>
        </is>
      </c>
    </row>
    <row r="694" ht="15.75" customHeight="1" s="169">
      <c r="A694" s="22" t="n">
        <v>528000287</v>
      </c>
      <c r="B694" s="22" t="inlineStr">
        <is>
          <t>Muhamad Angga Ramdani</t>
        </is>
      </c>
      <c r="C694" s="22" t="inlineStr">
        <is>
          <t>Mitra Kerja</t>
        </is>
      </c>
      <c r="D694" s="22" t="inlineStr">
        <is>
          <t>PROD</t>
        </is>
      </c>
      <c r="E694" s="22" t="inlineStr">
        <is>
          <t>Produksi Harian</t>
        </is>
      </c>
      <c r="F694" s="13" t="inlineStr">
        <is>
          <t>KARYAWAN</t>
        </is>
      </c>
    </row>
    <row r="695" ht="15.75" customHeight="1" s="169">
      <c r="A695" s="22" t="n">
        <v>528000288</v>
      </c>
      <c r="B695" s="22" t="inlineStr">
        <is>
          <t>Dede gunawan</t>
        </is>
      </c>
      <c r="C695" s="22" t="inlineStr">
        <is>
          <t>Mitra Kerja</t>
        </is>
      </c>
      <c r="D695" s="22" t="inlineStr">
        <is>
          <t>PROD</t>
        </is>
      </c>
      <c r="E695" s="22" t="inlineStr">
        <is>
          <t>Produksi Harian</t>
        </is>
      </c>
      <c r="F695" s="13" t="inlineStr">
        <is>
          <t>KARYAWAN</t>
        </is>
      </c>
    </row>
    <row r="696" ht="15.75" customHeight="1" s="169">
      <c r="A696" s="22" t="n">
        <v>528000289</v>
      </c>
      <c r="B696" s="22" t="inlineStr">
        <is>
          <t>Adit Supriyadi</t>
        </is>
      </c>
      <c r="C696" s="22" t="inlineStr">
        <is>
          <t>Mitra Kerja</t>
        </is>
      </c>
      <c r="D696" s="22" t="inlineStr">
        <is>
          <t>PROD</t>
        </is>
      </c>
      <c r="E696" s="22" t="inlineStr">
        <is>
          <t>Produksi Harian</t>
        </is>
      </c>
      <c r="F696" s="13" t="inlineStr">
        <is>
          <t>KARYAWAN</t>
        </is>
      </c>
    </row>
    <row r="697" ht="15.75" customHeight="1" s="169">
      <c r="A697" s="22" t="n">
        <v>528000290</v>
      </c>
      <c r="B697" s="22" t="inlineStr">
        <is>
          <t>Eval Pranata</t>
        </is>
      </c>
      <c r="C697" s="22" t="inlineStr">
        <is>
          <t>Mitra Kerja</t>
        </is>
      </c>
      <c r="D697" s="22" t="inlineStr">
        <is>
          <t>PROD</t>
        </is>
      </c>
      <c r="E697" s="22" t="inlineStr">
        <is>
          <t>Produksi Harian</t>
        </is>
      </c>
      <c r="F697" s="13" t="inlineStr">
        <is>
          <t>KARYAWAN</t>
        </is>
      </c>
    </row>
    <row r="698" ht="15.75" customHeight="1" s="169">
      <c r="A698" s="22" t="n">
        <v>528000291</v>
      </c>
      <c r="B698" s="22" t="inlineStr">
        <is>
          <t>Andrian</t>
        </is>
      </c>
      <c r="C698" s="22" t="inlineStr">
        <is>
          <t>Mitra Kerja</t>
        </is>
      </c>
      <c r="D698" s="22" t="inlineStr">
        <is>
          <t>PROD</t>
        </is>
      </c>
      <c r="E698" s="22" t="inlineStr">
        <is>
          <t>Produksi Harian</t>
        </is>
      </c>
      <c r="F698" s="13" t="inlineStr">
        <is>
          <t>KARYAWAN</t>
        </is>
      </c>
    </row>
    <row r="699" ht="15.75" customHeight="1" s="169">
      <c r="A699" s="22" t="n">
        <v>528000292</v>
      </c>
      <c r="B699" s="22" t="inlineStr">
        <is>
          <t>Aditia Nugraha</t>
        </is>
      </c>
      <c r="C699" s="22" t="inlineStr">
        <is>
          <t>Mitra Kerja</t>
        </is>
      </c>
      <c r="D699" s="22" t="inlineStr">
        <is>
          <t>PROD</t>
        </is>
      </c>
      <c r="E699" s="22" t="inlineStr">
        <is>
          <t>Produksi Harian</t>
        </is>
      </c>
      <c r="F699" s="13" t="inlineStr">
        <is>
          <t>KARYAWAN</t>
        </is>
      </c>
    </row>
    <row r="700" ht="15.75" customHeight="1" s="169">
      <c r="A700" s="22" t="n">
        <v>528000293</v>
      </c>
      <c r="B700" s="22" t="inlineStr">
        <is>
          <t>Shafa Wianda Amartha</t>
        </is>
      </c>
      <c r="C700" s="22" t="inlineStr">
        <is>
          <t>Mitra Kerja</t>
        </is>
      </c>
      <c r="D700" s="22" t="inlineStr">
        <is>
          <t>PROD</t>
        </is>
      </c>
      <c r="E700" s="22" t="inlineStr">
        <is>
          <t>Produksi Harian</t>
        </is>
      </c>
      <c r="F700" s="13" t="inlineStr">
        <is>
          <t>KARYAWAN</t>
        </is>
      </c>
    </row>
    <row r="701" ht="15.75" customHeight="1" s="169">
      <c r="A701" s="22" t="n">
        <v>528000294</v>
      </c>
      <c r="B701" s="22" t="inlineStr">
        <is>
          <t>Dina apriani</t>
        </is>
      </c>
      <c r="C701" s="22" t="inlineStr">
        <is>
          <t>Mitra Kerja</t>
        </is>
      </c>
      <c r="D701" s="22" t="inlineStr">
        <is>
          <t>PROD</t>
        </is>
      </c>
      <c r="E701" s="22" t="inlineStr">
        <is>
          <t>Produksi Harian</t>
        </is>
      </c>
      <c r="F701" s="13" t="inlineStr">
        <is>
          <t>KARYAWAN</t>
        </is>
      </c>
    </row>
    <row r="702" ht="15.75" customHeight="1" s="169">
      <c r="A702" s="22" t="n">
        <v>528000295</v>
      </c>
      <c r="B702" s="22" t="inlineStr">
        <is>
          <t>Lusi amelia</t>
        </is>
      </c>
      <c r="C702" s="22" t="inlineStr">
        <is>
          <t>Mitra Kerja</t>
        </is>
      </c>
      <c r="D702" s="22" t="inlineStr">
        <is>
          <t>PROD</t>
        </is>
      </c>
      <c r="E702" s="22" t="inlineStr">
        <is>
          <t>Produksi Harian</t>
        </is>
      </c>
      <c r="F702" s="13" t="inlineStr">
        <is>
          <t>KARYAWAN</t>
        </is>
      </c>
    </row>
    <row r="703" ht="15.75" customHeight="1" s="169">
      <c r="A703" s="22" t="n">
        <v>528000296</v>
      </c>
      <c r="B703" s="22" t="inlineStr">
        <is>
          <t>Nurdin</t>
        </is>
      </c>
      <c r="C703" s="22" t="inlineStr">
        <is>
          <t>Mitra Kerja</t>
        </is>
      </c>
      <c r="D703" s="22" t="inlineStr">
        <is>
          <t>PROD</t>
        </is>
      </c>
      <c r="E703" s="22" t="inlineStr">
        <is>
          <t>Produksi Harian</t>
        </is>
      </c>
      <c r="F703" s="13" t="inlineStr">
        <is>
          <t>KARYAWAN</t>
        </is>
      </c>
    </row>
    <row r="704" ht="15.75" customHeight="1" s="169">
      <c r="A704" s="22" t="n">
        <v>528000297</v>
      </c>
      <c r="B704" s="22" t="inlineStr">
        <is>
          <t>Muhamad Budiana</t>
        </is>
      </c>
      <c r="C704" s="22" t="inlineStr">
        <is>
          <t>Mitra Kerja</t>
        </is>
      </c>
      <c r="D704" s="22" t="inlineStr">
        <is>
          <t>PROD</t>
        </is>
      </c>
      <c r="E704" s="22" t="inlineStr">
        <is>
          <t>Produksi Harian</t>
        </is>
      </c>
      <c r="F704" s="13" t="inlineStr">
        <is>
          <t>KARYAWAN</t>
        </is>
      </c>
    </row>
    <row r="705" ht="15.75" customHeight="1" s="169">
      <c r="A705" s="22" t="n">
        <v>528000298</v>
      </c>
      <c r="B705" s="22" t="inlineStr">
        <is>
          <t>Desta Cahaya Pratama</t>
        </is>
      </c>
      <c r="C705" s="22" t="inlineStr">
        <is>
          <t>Mitra Kerja</t>
        </is>
      </c>
      <c r="D705" s="22" t="inlineStr">
        <is>
          <t>PROD</t>
        </is>
      </c>
      <c r="E705" s="22" t="inlineStr">
        <is>
          <t>Produksi Harian</t>
        </is>
      </c>
      <c r="F705" s="13" t="inlineStr">
        <is>
          <t>KARYAWAN</t>
        </is>
      </c>
    </row>
    <row r="706" ht="15.75" customHeight="1" s="169">
      <c r="A706" s="22" t="n">
        <v>528000299</v>
      </c>
      <c r="B706" s="22" t="inlineStr">
        <is>
          <t>Siti Nurjanah</t>
        </is>
      </c>
      <c r="C706" s="22" t="inlineStr">
        <is>
          <t>Mitra Kerja</t>
        </is>
      </c>
      <c r="D706" s="22" t="inlineStr">
        <is>
          <t>PROD</t>
        </is>
      </c>
      <c r="E706" s="22" t="inlineStr">
        <is>
          <t>Produksi Harian</t>
        </is>
      </c>
      <c r="F706" s="13" t="inlineStr">
        <is>
          <t>KARYAWAN</t>
        </is>
      </c>
    </row>
    <row r="707" ht="15.75" customHeight="1" s="169">
      <c r="A707" s="22" t="n">
        <v>528000300</v>
      </c>
      <c r="B707" s="22" t="inlineStr">
        <is>
          <t>Lia pitaloka</t>
        </is>
      </c>
      <c r="C707" s="22" t="inlineStr">
        <is>
          <t>Mitra Kerja</t>
        </is>
      </c>
      <c r="D707" s="22" t="inlineStr">
        <is>
          <t>PROD</t>
        </is>
      </c>
      <c r="E707" s="22" t="inlineStr">
        <is>
          <t>Produksi Harian</t>
        </is>
      </c>
      <c r="F707" s="13" t="inlineStr">
        <is>
          <t>KARYAWAN</t>
        </is>
      </c>
    </row>
    <row r="708" ht="15.75" customHeight="1" s="169">
      <c r="A708" s="22" t="n">
        <v>528000301</v>
      </c>
      <c r="B708" s="22" t="inlineStr">
        <is>
          <t>Muhammad Mukti Ridwan</t>
        </is>
      </c>
      <c r="C708" s="22" t="inlineStr">
        <is>
          <t>Mitra Kerja</t>
        </is>
      </c>
      <c r="D708" s="22" t="inlineStr">
        <is>
          <t>PROD</t>
        </is>
      </c>
      <c r="E708" s="22" t="inlineStr">
        <is>
          <t>Produksi Harian</t>
        </is>
      </c>
      <c r="F708" s="13" t="inlineStr">
        <is>
          <t>KARYAWAN</t>
        </is>
      </c>
    </row>
    <row r="709" ht="15.75" customHeight="1" s="169">
      <c r="A709" s="22" t="n">
        <v>528000302</v>
      </c>
      <c r="B709" s="22" t="inlineStr">
        <is>
          <t>Henkey gumilar</t>
        </is>
      </c>
      <c r="C709" s="22" t="inlineStr">
        <is>
          <t>Mitra Kerja</t>
        </is>
      </c>
      <c r="D709" s="22" t="inlineStr">
        <is>
          <t>PROD</t>
        </is>
      </c>
      <c r="E709" s="22" t="inlineStr">
        <is>
          <t>Produksi Harian</t>
        </is>
      </c>
      <c r="F709" s="13" t="inlineStr">
        <is>
          <t>KARYAWAN</t>
        </is>
      </c>
    </row>
    <row r="710" ht="15.75" customHeight="1" s="169">
      <c r="A710" s="22" t="n">
        <v>528000303</v>
      </c>
      <c r="B710" s="22" t="inlineStr">
        <is>
          <t>Perdi Gunawan</t>
        </is>
      </c>
      <c r="C710" s="22" t="inlineStr">
        <is>
          <t>Mitra Kerja</t>
        </is>
      </c>
      <c r="D710" s="22" t="inlineStr">
        <is>
          <t>ENG</t>
        </is>
      </c>
      <c r="E710" s="22" t="inlineStr">
        <is>
          <t>Engineering Harian</t>
        </is>
      </c>
      <c r="F710" s="13" t="inlineStr">
        <is>
          <t>KARYAWAN</t>
        </is>
      </c>
    </row>
    <row r="711" ht="15.75" customHeight="1" s="169">
      <c r="A711" s="22" t="n">
        <v>528000304</v>
      </c>
      <c r="B711" s="22" t="inlineStr">
        <is>
          <t>Dani Aditia</t>
        </is>
      </c>
      <c r="C711" s="22" t="inlineStr">
        <is>
          <t>Mitra Kerja</t>
        </is>
      </c>
      <c r="D711" s="22" t="inlineStr">
        <is>
          <t>PROD</t>
        </is>
      </c>
      <c r="E711" s="22" t="inlineStr">
        <is>
          <t>Produksi Harian</t>
        </is>
      </c>
      <c r="F711" s="13" t="inlineStr">
        <is>
          <t>KARYAWAN</t>
        </is>
      </c>
    </row>
    <row r="712" ht="15.75" customHeight="1" s="169">
      <c r="A712" s="22" t="n">
        <v>528000305</v>
      </c>
      <c r="B712" s="22" t="inlineStr">
        <is>
          <t>Puji Puspita</t>
        </is>
      </c>
      <c r="C712" s="22" t="inlineStr">
        <is>
          <t>Mitra Kerja</t>
        </is>
      </c>
      <c r="D712" s="22" t="inlineStr">
        <is>
          <t>PROD</t>
        </is>
      </c>
      <c r="E712" s="22" t="inlineStr">
        <is>
          <t>Produksi Harian</t>
        </is>
      </c>
      <c r="F712" s="13" t="inlineStr">
        <is>
          <t>KARYAWAN</t>
        </is>
      </c>
    </row>
    <row r="713" ht="15.75" customHeight="1" s="169">
      <c r="A713" s="22" t="n">
        <v>528000306</v>
      </c>
      <c r="B713" s="22" t="inlineStr">
        <is>
          <t>Windy Olivia</t>
        </is>
      </c>
      <c r="C713" s="22" t="inlineStr">
        <is>
          <t>Mitra Kerja</t>
        </is>
      </c>
      <c r="D713" s="22" t="inlineStr">
        <is>
          <t>PROD</t>
        </is>
      </c>
      <c r="E713" s="22" t="inlineStr">
        <is>
          <t>Produksi Harian</t>
        </is>
      </c>
      <c r="F713" s="13" t="inlineStr">
        <is>
          <t>KARYAWAN</t>
        </is>
      </c>
    </row>
    <row r="714" ht="15.75" customHeight="1" s="169">
      <c r="A714" s="22" t="n">
        <v>528000307</v>
      </c>
      <c r="B714" s="22" t="inlineStr">
        <is>
          <t>Heri</t>
        </is>
      </c>
      <c r="C714" s="22" t="inlineStr">
        <is>
          <t>Mitra Kerja</t>
        </is>
      </c>
      <c r="D714" s="22" t="inlineStr">
        <is>
          <t>PROD</t>
        </is>
      </c>
      <c r="E714" s="22" t="inlineStr">
        <is>
          <t>Produksi Harian</t>
        </is>
      </c>
      <c r="F714" s="13" t="inlineStr">
        <is>
          <t>KARYAWAN</t>
        </is>
      </c>
    </row>
    <row r="715" ht="15.75" customHeight="1" s="169">
      <c r="A715" s="22" t="n">
        <v>528000309</v>
      </c>
      <c r="B715" s="22" t="inlineStr">
        <is>
          <t>Ilham Ramadhan</t>
        </is>
      </c>
      <c r="C715" s="22" t="inlineStr">
        <is>
          <t>Mitra Kerja</t>
        </is>
      </c>
      <c r="D715" s="22" t="inlineStr">
        <is>
          <t>LOG</t>
        </is>
      </c>
      <c r="E715" s="22" t="inlineStr">
        <is>
          <t>WRM Harian</t>
        </is>
      </c>
      <c r="F715" s="13" t="inlineStr">
        <is>
          <t>KARYAWAN</t>
        </is>
      </c>
    </row>
    <row r="716" ht="15.75" customHeight="1" s="169">
      <c r="A716" s="22" t="n">
        <v>528000310</v>
      </c>
      <c r="B716" s="22" t="inlineStr">
        <is>
          <t>Fachrul Rozzi Suryana</t>
        </is>
      </c>
      <c r="C716" s="22" t="inlineStr">
        <is>
          <t>Mitra Kerja</t>
        </is>
      </c>
      <c r="D716" s="22" t="inlineStr">
        <is>
          <t>LOG</t>
        </is>
      </c>
      <c r="E716" s="22" t="inlineStr">
        <is>
          <t>WRM Harian</t>
        </is>
      </c>
      <c r="F716" s="13" t="inlineStr">
        <is>
          <t>KARYAWAN</t>
        </is>
      </c>
    </row>
    <row r="717" ht="15.75" customHeight="1" s="169">
      <c r="A717" s="22" t="n">
        <v>528000311</v>
      </c>
      <c r="B717" s="22" t="inlineStr">
        <is>
          <t>Akbar Robby Maulana</t>
        </is>
      </c>
      <c r="C717" s="22" t="inlineStr">
        <is>
          <t>Mitra Kerja</t>
        </is>
      </c>
      <c r="D717" s="22" t="inlineStr">
        <is>
          <t>ENG</t>
        </is>
      </c>
      <c r="E717" s="22" t="inlineStr">
        <is>
          <t>Engineering Harian</t>
        </is>
      </c>
      <c r="F717" s="13" t="inlineStr">
        <is>
          <t>KARYAWAN</t>
        </is>
      </c>
    </row>
    <row r="718" ht="15.75" customHeight="1" s="169">
      <c r="A718" s="22" t="n">
        <v>528000312</v>
      </c>
      <c r="B718" s="22" t="inlineStr">
        <is>
          <t>Fauzan Fahmi Wildan</t>
        </is>
      </c>
      <c r="C718" s="22" t="inlineStr">
        <is>
          <t>Mitra Kerja</t>
        </is>
      </c>
      <c r="D718" s="22" t="inlineStr">
        <is>
          <t>ENG</t>
        </is>
      </c>
      <c r="E718" s="22" t="inlineStr">
        <is>
          <t>Engineering Harian</t>
        </is>
      </c>
      <c r="F718" s="13" t="inlineStr">
        <is>
          <t>KARYAWAN</t>
        </is>
      </c>
    </row>
    <row r="719" ht="15.75" customHeight="1" s="169">
      <c r="A719" s="22" t="n">
        <v>528000313</v>
      </c>
      <c r="B719" s="22" t="inlineStr">
        <is>
          <t>Muhamad Rifki</t>
        </is>
      </c>
      <c r="C719" s="22" t="inlineStr">
        <is>
          <t>Mitra Kerja</t>
        </is>
      </c>
      <c r="D719" s="22" t="inlineStr">
        <is>
          <t>PROD</t>
        </is>
      </c>
      <c r="E719" s="22" t="inlineStr">
        <is>
          <t>Produksi Harian</t>
        </is>
      </c>
      <c r="F719" s="13" t="inlineStr">
        <is>
          <t>KARYAWAN</t>
        </is>
      </c>
    </row>
    <row r="720" ht="15.75" customHeight="1" s="169">
      <c r="A720" s="22" t="n">
        <v>528000314</v>
      </c>
      <c r="B720" s="22" t="inlineStr">
        <is>
          <t>Rusmana</t>
        </is>
      </c>
      <c r="C720" s="22" t="inlineStr">
        <is>
          <t>Mitra Kerja</t>
        </is>
      </c>
      <c r="D720" s="22" t="inlineStr">
        <is>
          <t>PROD</t>
        </is>
      </c>
      <c r="E720" s="22" t="inlineStr">
        <is>
          <t>Produksi Harian</t>
        </is>
      </c>
      <c r="F720" s="13" t="inlineStr">
        <is>
          <t>KARYAWAN</t>
        </is>
      </c>
    </row>
    <row r="721" ht="15.75" customHeight="1" s="169">
      <c r="A721" s="22" t="n">
        <v>528000315</v>
      </c>
      <c r="B721" s="22" t="inlineStr">
        <is>
          <t>Habibah Humairoh</t>
        </is>
      </c>
      <c r="C721" s="22" t="inlineStr">
        <is>
          <t>Mitra Kerja</t>
        </is>
      </c>
      <c r="D721" s="22" t="inlineStr">
        <is>
          <t>PROD</t>
        </is>
      </c>
      <c r="E721" s="22" t="inlineStr">
        <is>
          <t>Produksi Harian</t>
        </is>
      </c>
      <c r="F721" s="13" t="inlineStr">
        <is>
          <t>KARYAWAN</t>
        </is>
      </c>
    </row>
    <row r="722" ht="15.75" customHeight="1" s="169">
      <c r="A722" s="22" t="n">
        <v>528000316</v>
      </c>
      <c r="B722" s="22" t="inlineStr">
        <is>
          <t>Indra Ashar</t>
        </is>
      </c>
      <c r="C722" s="22" t="inlineStr">
        <is>
          <t>Mitra Kerja</t>
        </is>
      </c>
      <c r="D722" s="22" t="inlineStr">
        <is>
          <t>PROD</t>
        </is>
      </c>
      <c r="E722" s="22" t="inlineStr">
        <is>
          <t>Produksi Harian</t>
        </is>
      </c>
      <c r="F722" s="13" t="inlineStr">
        <is>
          <t>KARYAWAN</t>
        </is>
      </c>
    </row>
    <row r="723" ht="15.75" customHeight="1" s="169">
      <c r="A723" s="22" t="n">
        <v>528000317</v>
      </c>
      <c r="B723" s="22" t="inlineStr">
        <is>
          <t>Ridwan Gunawan</t>
        </is>
      </c>
      <c r="C723" s="22" t="inlineStr">
        <is>
          <t>Mitra Kerja</t>
        </is>
      </c>
      <c r="D723" s="22" t="inlineStr">
        <is>
          <t>LOG</t>
        </is>
      </c>
      <c r="E723" s="22" t="inlineStr">
        <is>
          <t>WRM Harian</t>
        </is>
      </c>
      <c r="F723" s="13" t="inlineStr">
        <is>
          <t>KARYAWAN</t>
        </is>
      </c>
    </row>
    <row r="724" ht="15.75" customHeight="1" s="169">
      <c r="A724" s="22" t="n">
        <v>528000318</v>
      </c>
      <c r="B724" s="22" t="inlineStr">
        <is>
          <t>Bayu Padli Sepriyana</t>
        </is>
      </c>
      <c r="C724" s="22" t="inlineStr">
        <is>
          <t>Mitra Kerja</t>
        </is>
      </c>
      <c r="D724" s="22" t="inlineStr">
        <is>
          <t>LOG</t>
        </is>
      </c>
      <c r="E724" s="22" t="inlineStr">
        <is>
          <t>WRM Harian</t>
        </is>
      </c>
      <c r="F724" s="13" t="inlineStr">
        <is>
          <t>KARYAWAN</t>
        </is>
      </c>
    </row>
    <row r="725" ht="15.75" customHeight="1" s="169">
      <c r="A725" s="22" t="n">
        <v>528000319</v>
      </c>
      <c r="B725" s="22" t="inlineStr">
        <is>
          <t>Gawan Dewantara</t>
        </is>
      </c>
      <c r="C725" s="22" t="inlineStr">
        <is>
          <t>Mitra Kerja</t>
        </is>
      </c>
      <c r="D725" s="22" t="inlineStr">
        <is>
          <t>PROD</t>
        </is>
      </c>
      <c r="E725" s="22" t="inlineStr">
        <is>
          <t>Produksi Harian</t>
        </is>
      </c>
      <c r="F725" s="13" t="inlineStr">
        <is>
          <t>KARYAWAN</t>
        </is>
      </c>
    </row>
    <row r="726" ht="15.75" customHeight="1" s="169">
      <c r="A726" s="22" t="n">
        <v>528000320</v>
      </c>
      <c r="B726" s="22" t="inlineStr">
        <is>
          <t>Johan Joko Priambodho</t>
        </is>
      </c>
      <c r="C726" s="22" t="inlineStr">
        <is>
          <t>Mitra Kerja</t>
        </is>
      </c>
      <c r="D726" s="22" t="inlineStr">
        <is>
          <t>PROD</t>
        </is>
      </c>
      <c r="E726" s="22" t="inlineStr">
        <is>
          <t>Produksi Harian</t>
        </is>
      </c>
      <c r="F726" s="13" t="inlineStr">
        <is>
          <t>KARYAWAN</t>
        </is>
      </c>
    </row>
    <row r="727" ht="15.75" customHeight="1" s="169">
      <c r="A727" s="22" t="n">
        <v>528000321</v>
      </c>
      <c r="B727" s="22" t="inlineStr">
        <is>
          <t>Tatang Hermawan</t>
        </is>
      </c>
      <c r="C727" s="22" t="inlineStr">
        <is>
          <t>Mitra Kerja</t>
        </is>
      </c>
      <c r="D727" s="22" t="inlineStr">
        <is>
          <t>LOG</t>
        </is>
      </c>
      <c r="E727" s="22" t="inlineStr">
        <is>
          <t>WFG Borongan</t>
        </is>
      </c>
      <c r="F727" s="13" t="inlineStr">
        <is>
          <t>KARYAWAN</t>
        </is>
      </c>
    </row>
    <row r="728" ht="15.75" customHeight="1" s="169">
      <c r="A728" s="22" t="n">
        <v>528000322</v>
      </c>
      <c r="B728" s="22" t="inlineStr">
        <is>
          <t>Muhamad Aliludin</t>
        </is>
      </c>
      <c r="C728" s="22" t="inlineStr">
        <is>
          <t>Mitra Kerja</t>
        </is>
      </c>
      <c r="D728" s="22" t="inlineStr">
        <is>
          <t>PROD</t>
        </is>
      </c>
      <c r="E728" s="22" t="inlineStr">
        <is>
          <t>Produksi Harian</t>
        </is>
      </c>
      <c r="F728" s="13" t="inlineStr">
        <is>
          <t>KARYAWAN</t>
        </is>
      </c>
    </row>
    <row r="729" ht="15.75" customHeight="1" s="169">
      <c r="A729" s="22" t="n">
        <v>528000323</v>
      </c>
      <c r="B729" s="22" t="inlineStr">
        <is>
          <t>Dian Hamidah</t>
        </is>
      </c>
      <c r="C729" s="22" t="inlineStr">
        <is>
          <t>Mitra Kerja</t>
        </is>
      </c>
      <c r="D729" s="22" t="inlineStr">
        <is>
          <t>PROD</t>
        </is>
      </c>
      <c r="E729" s="22" t="inlineStr">
        <is>
          <t>Produksi Harian</t>
        </is>
      </c>
      <c r="F729" s="13" t="inlineStr">
        <is>
          <t>KARYAWAN</t>
        </is>
      </c>
    </row>
    <row r="730" ht="15.75" customHeight="1" s="169">
      <c r="A730" s="22" t="n">
        <v>528000324</v>
      </c>
      <c r="B730" s="22" t="inlineStr">
        <is>
          <t>Sri Yanti</t>
        </is>
      </c>
      <c r="C730" s="22" t="inlineStr">
        <is>
          <t>Mitra Kerja</t>
        </is>
      </c>
      <c r="D730" s="22" t="inlineStr">
        <is>
          <t>PROD</t>
        </is>
      </c>
      <c r="E730" s="22" t="inlineStr">
        <is>
          <t>Produksi Harian</t>
        </is>
      </c>
      <c r="F730" s="13" t="inlineStr">
        <is>
          <t>KARYAWAN</t>
        </is>
      </c>
    </row>
    <row r="731" ht="15.75" customHeight="1" s="169">
      <c r="A731" s="22" t="n">
        <v>528000325</v>
      </c>
      <c r="B731" s="22" t="inlineStr">
        <is>
          <t>Rani Septia Ramadani</t>
        </is>
      </c>
      <c r="C731" s="22" t="inlineStr">
        <is>
          <t>Mitra Kerja</t>
        </is>
      </c>
      <c r="D731" s="22" t="inlineStr">
        <is>
          <t>PROD</t>
        </is>
      </c>
      <c r="E731" s="22" t="inlineStr">
        <is>
          <t>Produksi Harian</t>
        </is>
      </c>
      <c r="F731" s="13" t="inlineStr">
        <is>
          <t>KARYAWAN</t>
        </is>
      </c>
    </row>
    <row r="732" ht="15.75" customHeight="1" s="169">
      <c r="A732" s="22" t="n">
        <v>528000326</v>
      </c>
      <c r="B732" s="22" t="inlineStr">
        <is>
          <t>Fitri Wahyuni</t>
        </is>
      </c>
      <c r="C732" s="22" t="inlineStr">
        <is>
          <t>Mitra Kerja</t>
        </is>
      </c>
      <c r="D732" s="22" t="inlineStr">
        <is>
          <t>PROD</t>
        </is>
      </c>
      <c r="E732" s="22" t="inlineStr">
        <is>
          <t>Produksi Harian</t>
        </is>
      </c>
      <c r="F732" s="13" t="inlineStr">
        <is>
          <t>KARYAWAN</t>
        </is>
      </c>
    </row>
    <row r="733" ht="15.75" customHeight="1" s="169">
      <c r="A733" s="22" t="n">
        <v>528000327</v>
      </c>
      <c r="B733" s="22" t="inlineStr">
        <is>
          <t>Windy Juhairiyah</t>
        </is>
      </c>
      <c r="C733" s="22" t="inlineStr">
        <is>
          <t>Mitra Kerja</t>
        </is>
      </c>
      <c r="D733" s="22" t="inlineStr">
        <is>
          <t>PROD</t>
        </is>
      </c>
      <c r="E733" s="22" t="inlineStr">
        <is>
          <t>Produksi Harian</t>
        </is>
      </c>
      <c r="F733" s="13" t="inlineStr">
        <is>
          <t>KARYAWAN</t>
        </is>
      </c>
    </row>
    <row r="734" ht="15.75" customHeight="1" s="169">
      <c r="A734" s="22" t="n">
        <v>528000328</v>
      </c>
      <c r="B734" s="22" t="inlineStr">
        <is>
          <t>Nur Anjani</t>
        </is>
      </c>
      <c r="C734" s="22" t="inlineStr">
        <is>
          <t>Mitra Kerja</t>
        </is>
      </c>
      <c r="D734" s="22" t="inlineStr">
        <is>
          <t>PROD</t>
        </is>
      </c>
      <c r="E734" s="22" t="inlineStr">
        <is>
          <t>Produksi Harian</t>
        </is>
      </c>
      <c r="F734" s="13" t="inlineStr">
        <is>
          <t>KARYAWAN</t>
        </is>
      </c>
    </row>
    <row r="735" ht="15.75" customHeight="1" s="169">
      <c r="A735" s="22" t="n">
        <v>528000329</v>
      </c>
      <c r="B735" s="22" t="inlineStr">
        <is>
          <t>Havid Ilham Firdaus</t>
        </is>
      </c>
      <c r="C735" s="22" t="inlineStr">
        <is>
          <t>Mitra Kerja</t>
        </is>
      </c>
      <c r="D735" s="22" t="inlineStr">
        <is>
          <t>PROD</t>
        </is>
      </c>
      <c r="E735" s="22" t="inlineStr">
        <is>
          <t>Produksi Harian</t>
        </is>
      </c>
      <c r="F735" s="13" t="inlineStr">
        <is>
          <t>KARYAWAN</t>
        </is>
      </c>
    </row>
    <row r="736" ht="15.75" customHeight="1" s="169">
      <c r="A736" s="22" t="n">
        <v>528000330</v>
      </c>
      <c r="B736" s="22" t="inlineStr">
        <is>
          <t>Dias Hendriansyah</t>
        </is>
      </c>
      <c r="C736" s="22" t="inlineStr">
        <is>
          <t>Mitra Kerja</t>
        </is>
      </c>
      <c r="D736" s="22" t="inlineStr">
        <is>
          <t>PROD</t>
        </is>
      </c>
      <c r="E736" s="22" t="inlineStr">
        <is>
          <t>Produksi Harian</t>
        </is>
      </c>
      <c r="F736" s="13" t="inlineStr">
        <is>
          <t>KARYAWAN</t>
        </is>
      </c>
    </row>
    <row r="737" ht="15.75" customHeight="1" s="169">
      <c r="A737" s="22" t="n">
        <v>528000331</v>
      </c>
      <c r="B737" s="22" t="inlineStr">
        <is>
          <t>Ahmad April Ripai Asral</t>
        </is>
      </c>
      <c r="C737" s="22" t="inlineStr">
        <is>
          <t>Mitra Kerja</t>
        </is>
      </c>
      <c r="D737" s="22" t="inlineStr">
        <is>
          <t>PROD</t>
        </is>
      </c>
      <c r="E737" s="22" t="inlineStr">
        <is>
          <t>Produksi Harian</t>
        </is>
      </c>
      <c r="F737" s="13" t="inlineStr">
        <is>
          <t>KARYAWAN</t>
        </is>
      </c>
    </row>
    <row r="738" ht="15.75" customHeight="1" s="169">
      <c r="A738" s="22" t="n">
        <v>528000332</v>
      </c>
      <c r="B738" s="22" t="inlineStr">
        <is>
          <t>Ena Indriani</t>
        </is>
      </c>
      <c r="C738" s="22" t="inlineStr">
        <is>
          <t>Mitra Kerja</t>
        </is>
      </c>
      <c r="D738" s="22" t="inlineStr">
        <is>
          <t>PROD</t>
        </is>
      </c>
      <c r="E738" s="22" t="inlineStr">
        <is>
          <t>Produksi Harian</t>
        </is>
      </c>
      <c r="F738" s="13" t="inlineStr">
        <is>
          <t>KARYAWAN</t>
        </is>
      </c>
    </row>
    <row r="739" ht="15.75" customHeight="1" s="169">
      <c r="A739" s="22" t="n">
        <v>528000333</v>
      </c>
      <c r="B739" s="22" t="inlineStr">
        <is>
          <t>Muhlis</t>
        </is>
      </c>
      <c r="C739" s="22" t="inlineStr">
        <is>
          <t>Mitra Kerja</t>
        </is>
      </c>
      <c r="D739" s="22" t="inlineStr">
        <is>
          <t>ENG</t>
        </is>
      </c>
      <c r="E739" s="22" t="inlineStr">
        <is>
          <t>Engineering Harian</t>
        </is>
      </c>
      <c r="F739" s="13" t="inlineStr">
        <is>
          <t>KARYAWAN</t>
        </is>
      </c>
    </row>
    <row r="740" ht="15.75" customHeight="1" s="169">
      <c r="A740" s="22" t="n">
        <v>528000334</v>
      </c>
      <c r="B740" s="22" t="inlineStr">
        <is>
          <t>Naufal Yudhistira</t>
        </is>
      </c>
      <c r="C740" s="22" t="inlineStr">
        <is>
          <t>Mitra Kerja</t>
        </is>
      </c>
      <c r="D740" s="22" t="inlineStr">
        <is>
          <t>PROD</t>
        </is>
      </c>
      <c r="E740" s="22" t="inlineStr">
        <is>
          <t>Produksi Harian</t>
        </is>
      </c>
      <c r="F740" s="13" t="inlineStr">
        <is>
          <t>KARYAWAN</t>
        </is>
      </c>
    </row>
    <row r="741" ht="15.75" customHeight="1" s="169">
      <c r="A741" s="22" t="n">
        <v>528000335</v>
      </c>
      <c r="B741" s="22" t="inlineStr">
        <is>
          <t>Rizal Saepuloh</t>
        </is>
      </c>
      <c r="C741" s="22" t="inlineStr">
        <is>
          <t>Mitra Kerja</t>
        </is>
      </c>
      <c r="D741" s="22" t="inlineStr">
        <is>
          <t>LOG</t>
        </is>
      </c>
      <c r="E741" s="22" t="inlineStr">
        <is>
          <t>WRM Harian</t>
        </is>
      </c>
      <c r="F741" s="13" t="inlineStr">
        <is>
          <t>KARYAWAN</t>
        </is>
      </c>
    </row>
    <row r="742" ht="15.75" customHeight="1" s="169">
      <c r="A742" s="22" t="n">
        <v>528000336</v>
      </c>
      <c r="B742" s="22" t="inlineStr">
        <is>
          <t>Ali Nurhanafi</t>
        </is>
      </c>
      <c r="C742" s="22" t="inlineStr">
        <is>
          <t>Mitra Kerja</t>
        </is>
      </c>
      <c r="D742" s="22" t="inlineStr">
        <is>
          <t>PROD</t>
        </is>
      </c>
      <c r="E742" s="22" t="inlineStr">
        <is>
          <t>Produksi Harian</t>
        </is>
      </c>
      <c r="F742" s="13" t="inlineStr">
        <is>
          <t>KARYAWAN</t>
        </is>
      </c>
    </row>
    <row r="743" ht="15.75" customHeight="1" s="169">
      <c r="A743" s="22" t="n">
        <v>528000337</v>
      </c>
      <c r="B743" s="22" t="inlineStr">
        <is>
          <t>Ahmad Zaldi Firdaus</t>
        </is>
      </c>
      <c r="C743" s="22" t="inlineStr">
        <is>
          <t>Mitra Kerja</t>
        </is>
      </c>
      <c r="D743" s="22" t="inlineStr">
        <is>
          <t>PROD</t>
        </is>
      </c>
      <c r="E743" s="22" t="inlineStr">
        <is>
          <t>Produksi Harian</t>
        </is>
      </c>
      <c r="F743" s="13" t="inlineStr">
        <is>
          <t>KARYAWAN</t>
        </is>
      </c>
    </row>
    <row r="744" ht="15.75" customHeight="1" s="169">
      <c r="A744" s="22" t="n">
        <v>528000338</v>
      </c>
      <c r="B744" s="22" t="inlineStr">
        <is>
          <t>Ahmad</t>
        </is>
      </c>
      <c r="C744" s="22" t="inlineStr">
        <is>
          <t>Mitra Kerja</t>
        </is>
      </c>
      <c r="D744" s="22" t="inlineStr">
        <is>
          <t>ENG</t>
        </is>
      </c>
      <c r="E744" s="22" t="inlineStr">
        <is>
          <t>Engineering Harian</t>
        </is>
      </c>
      <c r="F744" s="13" t="inlineStr">
        <is>
          <t>KARYAWAN</t>
        </is>
      </c>
    </row>
    <row r="745" ht="15.75" customHeight="1" s="169">
      <c r="A745" s="22" t="n">
        <v>528000339</v>
      </c>
      <c r="B745" s="22" t="inlineStr">
        <is>
          <t>Muhamad Ripai'i</t>
        </is>
      </c>
      <c r="C745" s="22" t="inlineStr">
        <is>
          <t>Mitra Kerja</t>
        </is>
      </c>
      <c r="D745" s="22" t="inlineStr">
        <is>
          <t>HRGA</t>
        </is>
      </c>
      <c r="E745" s="22" t="inlineStr">
        <is>
          <t>GA Harian</t>
        </is>
      </c>
      <c r="F745" s="13" t="inlineStr">
        <is>
          <t>KARYAWAN</t>
        </is>
      </c>
    </row>
    <row r="746" ht="15.75" customHeight="1" s="169">
      <c r="A746" s="22" t="n">
        <v>528000340</v>
      </c>
      <c r="B746" s="22" t="inlineStr">
        <is>
          <t>Muhammad Wildan Adithya</t>
        </is>
      </c>
      <c r="C746" s="22" t="inlineStr">
        <is>
          <t>Mitra Kerja</t>
        </is>
      </c>
      <c r="D746" s="22" t="inlineStr">
        <is>
          <t>PROD</t>
        </is>
      </c>
      <c r="E746" s="22" t="inlineStr">
        <is>
          <t>Produksi Harian</t>
        </is>
      </c>
      <c r="F746" s="13" t="inlineStr">
        <is>
          <t>KARYAWAN</t>
        </is>
      </c>
    </row>
    <row r="747" ht="15.75" customHeight="1" s="169">
      <c r="A747" s="22" t="n">
        <v>528000342</v>
      </c>
      <c r="B747" s="22" t="inlineStr">
        <is>
          <t>Ano Kusmana</t>
        </is>
      </c>
      <c r="C747" s="22" t="inlineStr">
        <is>
          <t>Mitra Kerja</t>
        </is>
      </c>
      <c r="D747" s="22" t="inlineStr">
        <is>
          <t>HRGA</t>
        </is>
      </c>
      <c r="E747" s="22" t="inlineStr">
        <is>
          <t>HRD Vendor</t>
        </is>
      </c>
      <c r="F747" s="13" t="inlineStr">
        <is>
          <t>KARYAWAN</t>
        </is>
      </c>
    </row>
    <row r="748" ht="15.75" customHeight="1" s="169">
      <c r="A748" s="22" t="n">
        <v>528000343</v>
      </c>
      <c r="B748" s="22" t="inlineStr">
        <is>
          <t>Muhamad Ripki Salkawi</t>
        </is>
      </c>
      <c r="C748" s="22" t="inlineStr">
        <is>
          <t>Mitra Kerja</t>
        </is>
      </c>
      <c r="D748" s="22" t="inlineStr">
        <is>
          <t>LOG</t>
        </is>
      </c>
      <c r="E748" s="22" t="inlineStr">
        <is>
          <t>WRM Harian</t>
        </is>
      </c>
      <c r="F748" s="13" t="inlineStr">
        <is>
          <t>KARYAWAN</t>
        </is>
      </c>
    </row>
    <row r="749" ht="15.75" customHeight="1" s="169">
      <c r="A749" s="22" t="n">
        <v>528000344</v>
      </c>
      <c r="B749" s="22" t="inlineStr">
        <is>
          <t>Gugum Sugriawan</t>
        </is>
      </c>
      <c r="C749" s="22" t="inlineStr">
        <is>
          <t>Mitra Kerja</t>
        </is>
      </c>
      <c r="D749" s="22" t="inlineStr">
        <is>
          <t>LOG</t>
        </is>
      </c>
      <c r="E749" s="22" t="inlineStr">
        <is>
          <t>WFG Harian</t>
        </is>
      </c>
      <c r="F749" s="13" t="inlineStr">
        <is>
          <t>KARYAWAN</t>
        </is>
      </c>
    </row>
    <row r="750" ht="15.75" customHeight="1" s="169">
      <c r="A750" s="22" t="n">
        <v>528000345</v>
      </c>
      <c r="B750" s="22" t="inlineStr">
        <is>
          <t>Dandi</t>
        </is>
      </c>
      <c r="C750" s="22" t="inlineStr">
        <is>
          <t>Mitra Kerja</t>
        </is>
      </c>
      <c r="D750" s="22" t="inlineStr">
        <is>
          <t>LOG</t>
        </is>
      </c>
      <c r="E750" s="22" t="inlineStr">
        <is>
          <t>WRM Harian</t>
        </is>
      </c>
      <c r="F750" s="13" t="inlineStr">
        <is>
          <t>KARYAWAN</t>
        </is>
      </c>
    </row>
    <row r="751" ht="15.75" customHeight="1" s="169">
      <c r="A751" s="22" t="n">
        <v>528000346</v>
      </c>
      <c r="B751" s="22" t="inlineStr">
        <is>
          <t>Sanudin</t>
        </is>
      </c>
      <c r="C751" s="22" t="inlineStr">
        <is>
          <t>Mitra Kerja</t>
        </is>
      </c>
      <c r="D751" s="22" t="inlineStr">
        <is>
          <t>LOG</t>
        </is>
      </c>
      <c r="E751" s="22" t="inlineStr">
        <is>
          <t>WRM Harian</t>
        </is>
      </c>
      <c r="F751" s="13" t="inlineStr">
        <is>
          <t>KARYAWAN</t>
        </is>
      </c>
    </row>
    <row r="752" ht="15.75" customHeight="1" s="169">
      <c r="A752" s="22" t="n">
        <v>528000347</v>
      </c>
      <c r="B752" s="22" t="inlineStr">
        <is>
          <t>Siti Mariam Mupidah</t>
        </is>
      </c>
      <c r="C752" s="22" t="inlineStr">
        <is>
          <t>Mitra Kerja</t>
        </is>
      </c>
      <c r="D752" s="22" t="inlineStr">
        <is>
          <t>PROD</t>
        </is>
      </c>
      <c r="E752" s="22" t="inlineStr">
        <is>
          <t>Produksi Harian</t>
        </is>
      </c>
      <c r="F752" s="13" t="inlineStr">
        <is>
          <t>KARYAWAN</t>
        </is>
      </c>
    </row>
    <row r="753" ht="15.75" customHeight="1" s="169">
      <c r="A753" s="22" t="n">
        <v>528000348</v>
      </c>
      <c r="B753" s="22" t="inlineStr">
        <is>
          <t>Saepuloh Ardiansah</t>
        </is>
      </c>
      <c r="C753" s="22" t="inlineStr">
        <is>
          <t>Mitra Kerja</t>
        </is>
      </c>
      <c r="D753" s="22" t="inlineStr">
        <is>
          <t>LOG</t>
        </is>
      </c>
      <c r="E753" s="22" t="inlineStr">
        <is>
          <t>WRM Harian</t>
        </is>
      </c>
      <c r="F753" s="13" t="inlineStr">
        <is>
          <t>KARYAWAN</t>
        </is>
      </c>
    </row>
    <row r="754" ht="15.75" customHeight="1" s="169">
      <c r="A754" s="22" t="n">
        <v>528000349</v>
      </c>
      <c r="B754" s="22" t="inlineStr">
        <is>
          <t>Anas Abdul Fatah</t>
        </is>
      </c>
      <c r="C754" s="22" t="inlineStr">
        <is>
          <t>Mitra Kerja</t>
        </is>
      </c>
      <c r="D754" s="22" t="inlineStr">
        <is>
          <t>LOG</t>
        </is>
      </c>
      <c r="E754" s="22" t="inlineStr">
        <is>
          <t>WFG Harian</t>
        </is>
      </c>
      <c r="F754" s="13" t="inlineStr">
        <is>
          <t>KARYAWAN</t>
        </is>
      </c>
    </row>
    <row r="755" ht="15.75" customHeight="1" s="169">
      <c r="A755" s="22" t="n">
        <v>528000350</v>
      </c>
      <c r="B755" s="22" t="inlineStr">
        <is>
          <t>Yuli yanti</t>
        </is>
      </c>
      <c r="C755" s="22" t="inlineStr">
        <is>
          <t>Mitra Kerja</t>
        </is>
      </c>
      <c r="D755" s="22" t="inlineStr">
        <is>
          <t>PROD</t>
        </is>
      </c>
      <c r="E755" s="22" t="inlineStr">
        <is>
          <t>Produksi Harian</t>
        </is>
      </c>
      <c r="F755" s="13" t="inlineStr">
        <is>
          <t>KARYAWAN</t>
        </is>
      </c>
    </row>
    <row r="756" ht="15.75" customHeight="1" s="169">
      <c r="A756" s="22" t="n">
        <v>528000351</v>
      </c>
      <c r="B756" s="22" t="inlineStr">
        <is>
          <t>Mulyana</t>
        </is>
      </c>
      <c r="C756" s="22" t="inlineStr">
        <is>
          <t>Mitra Kerja</t>
        </is>
      </c>
      <c r="D756" s="22" t="inlineStr">
        <is>
          <t>PROD</t>
        </is>
      </c>
      <c r="E756" s="22" t="inlineStr">
        <is>
          <t>Produksi Harian</t>
        </is>
      </c>
      <c r="F756" s="13" t="inlineStr">
        <is>
          <t>KARYAWAN</t>
        </is>
      </c>
    </row>
    <row r="757" ht="15.75" customHeight="1" s="169">
      <c r="A757" s="22" t="n">
        <v>528000352</v>
      </c>
      <c r="B757" s="22" t="inlineStr">
        <is>
          <t>Deni Setiawan Suginda S.T.A</t>
        </is>
      </c>
      <c r="C757" s="22" t="inlineStr">
        <is>
          <t>Mitra Kerja</t>
        </is>
      </c>
      <c r="D757" s="22" t="inlineStr">
        <is>
          <t>PROD</t>
        </is>
      </c>
      <c r="E757" s="22" t="inlineStr">
        <is>
          <t>Produksi Harian</t>
        </is>
      </c>
      <c r="F757" s="13" t="inlineStr">
        <is>
          <t>KARYAWAN</t>
        </is>
      </c>
    </row>
    <row r="758" ht="15.75" customHeight="1" s="169">
      <c r="A758" s="22" t="n">
        <v>528000353</v>
      </c>
      <c r="B758" s="22" t="inlineStr">
        <is>
          <t>Tia Hermawati</t>
        </is>
      </c>
      <c r="C758" s="22" t="inlineStr">
        <is>
          <t>Mitra Kerja</t>
        </is>
      </c>
      <c r="D758" s="22" t="inlineStr">
        <is>
          <t>PROD</t>
        </is>
      </c>
      <c r="E758" s="22" t="inlineStr">
        <is>
          <t>Produksi Harian</t>
        </is>
      </c>
      <c r="F758" s="13" t="inlineStr">
        <is>
          <t>KARYAWAN</t>
        </is>
      </c>
    </row>
    <row r="759" ht="15.75" customHeight="1" s="169">
      <c r="A759" s="22" t="n">
        <v>528000354</v>
      </c>
      <c r="B759" s="22" t="inlineStr">
        <is>
          <t>Dian Rosdianti</t>
        </is>
      </c>
      <c r="C759" s="22" t="inlineStr">
        <is>
          <t>Mitra Kerja</t>
        </is>
      </c>
      <c r="D759" s="22" t="inlineStr">
        <is>
          <t>PROD</t>
        </is>
      </c>
      <c r="E759" s="22" t="inlineStr">
        <is>
          <t>Produksi Harian</t>
        </is>
      </c>
      <c r="F759" s="13" t="inlineStr">
        <is>
          <t>KARYAWAN</t>
        </is>
      </c>
    </row>
    <row r="760" ht="15.75" customHeight="1" s="169">
      <c r="A760" s="22" t="n">
        <v>528000355</v>
      </c>
      <c r="B760" s="22" t="inlineStr">
        <is>
          <t>Ratna Maya</t>
        </is>
      </c>
      <c r="C760" s="22" t="inlineStr">
        <is>
          <t>Mitra Kerja</t>
        </is>
      </c>
      <c r="D760" s="22" t="inlineStr">
        <is>
          <t>PROD</t>
        </is>
      </c>
      <c r="E760" s="22" t="inlineStr">
        <is>
          <t>Produksi Harian</t>
        </is>
      </c>
      <c r="F760" s="13" t="inlineStr">
        <is>
          <t>KARYAWAN</t>
        </is>
      </c>
    </row>
    <row r="761" ht="15.75" customHeight="1" s="169">
      <c r="A761" s="22" t="n">
        <v>528000356</v>
      </c>
      <c r="B761" s="22" t="inlineStr">
        <is>
          <t>Devi</t>
        </is>
      </c>
      <c r="C761" s="22" t="inlineStr">
        <is>
          <t>Mitra Kerja</t>
        </is>
      </c>
      <c r="D761" s="22" t="inlineStr">
        <is>
          <t>PROD</t>
        </is>
      </c>
      <c r="E761" s="22" t="inlineStr">
        <is>
          <t>Produksi Harian</t>
        </is>
      </c>
      <c r="F761" s="13" t="inlineStr">
        <is>
          <t>KARYAWAN</t>
        </is>
      </c>
    </row>
    <row r="762" ht="15.75" customHeight="1" s="169">
      <c r="A762" s="22" t="n">
        <v>528000357</v>
      </c>
      <c r="B762" s="22" t="inlineStr">
        <is>
          <t>Isnawati</t>
        </is>
      </c>
      <c r="C762" s="22" t="inlineStr">
        <is>
          <t>Mitra Kerja</t>
        </is>
      </c>
      <c r="D762" s="22" t="inlineStr">
        <is>
          <t>PROD</t>
        </is>
      </c>
      <c r="E762" s="22" t="inlineStr">
        <is>
          <t>Produksi Harian</t>
        </is>
      </c>
      <c r="F762" s="13" t="inlineStr">
        <is>
          <t>KARYAWAN</t>
        </is>
      </c>
    </row>
    <row r="763" ht="15.75" customHeight="1" s="169">
      <c r="A763" s="22" t="n">
        <v>528000358</v>
      </c>
      <c r="B763" s="22" t="inlineStr">
        <is>
          <t>Lulu Agustin</t>
        </is>
      </c>
      <c r="C763" s="22" t="inlineStr">
        <is>
          <t>Mitra Kerja</t>
        </is>
      </c>
      <c r="D763" s="22" t="inlineStr">
        <is>
          <t>PROD</t>
        </is>
      </c>
      <c r="E763" s="22" t="inlineStr">
        <is>
          <t>Produksi Harian</t>
        </is>
      </c>
      <c r="F763" s="13" t="inlineStr">
        <is>
          <t>KARYAWAN</t>
        </is>
      </c>
    </row>
    <row r="764" ht="15.75" customHeight="1" s="169">
      <c r="A764" s="22" t="n">
        <v>528000359</v>
      </c>
      <c r="B764" s="22" t="inlineStr">
        <is>
          <t>M. Iqbal Maulana. S</t>
        </is>
      </c>
      <c r="C764" s="22" t="inlineStr">
        <is>
          <t>Mitra Kerja</t>
        </is>
      </c>
      <c r="D764" s="22" t="inlineStr">
        <is>
          <t>LOG</t>
        </is>
      </c>
      <c r="E764" s="22" t="inlineStr">
        <is>
          <t>WRM Harian</t>
        </is>
      </c>
      <c r="F764" s="13" t="inlineStr">
        <is>
          <t>KARYAWAN</t>
        </is>
      </c>
    </row>
    <row r="765" ht="15.75" customHeight="1" s="169">
      <c r="A765" s="22" t="n">
        <v>528000360</v>
      </c>
      <c r="B765" s="22" t="inlineStr">
        <is>
          <t>Hendra Permana</t>
        </is>
      </c>
      <c r="C765" s="22" t="inlineStr">
        <is>
          <t>Mitra Kerja</t>
        </is>
      </c>
      <c r="D765" s="22" t="inlineStr">
        <is>
          <t>ENG</t>
        </is>
      </c>
      <c r="E765" s="22" t="inlineStr">
        <is>
          <t>Engineering Harian</t>
        </is>
      </c>
      <c r="F765" s="13" t="inlineStr">
        <is>
          <t>KARYAWAN</t>
        </is>
      </c>
    </row>
    <row r="766" ht="15.75" customHeight="1" s="169">
      <c r="A766" s="22" t="n">
        <v>528000361</v>
      </c>
      <c r="B766" s="22" t="inlineStr">
        <is>
          <t>Denada Munggarani</t>
        </is>
      </c>
      <c r="C766" s="22" t="inlineStr">
        <is>
          <t>Mitra Kerja</t>
        </is>
      </c>
      <c r="D766" s="22" t="inlineStr">
        <is>
          <t>PROD</t>
        </is>
      </c>
      <c r="E766" s="22" t="inlineStr">
        <is>
          <t>Produksi Harian</t>
        </is>
      </c>
      <c r="F766" s="13" t="inlineStr">
        <is>
          <t>KARYAWAN</t>
        </is>
      </c>
    </row>
    <row r="767" ht="15.75" customHeight="1" s="169">
      <c r="A767" s="22" t="n">
        <v>528000362</v>
      </c>
      <c r="B767" s="22" t="inlineStr">
        <is>
          <t>Vijay deni</t>
        </is>
      </c>
      <c r="C767" s="22" t="inlineStr">
        <is>
          <t>Mitra Kerja</t>
        </is>
      </c>
      <c r="D767" s="22" t="inlineStr">
        <is>
          <t>LOG</t>
        </is>
      </c>
      <c r="E767" s="22" t="inlineStr">
        <is>
          <t>WRM Harian</t>
        </is>
      </c>
      <c r="F767" s="13" t="inlineStr">
        <is>
          <t>KARYAWAN</t>
        </is>
      </c>
    </row>
    <row r="768" ht="15.75" customHeight="1" s="169">
      <c r="A768" s="22" t="n">
        <v>628000001</v>
      </c>
      <c r="B768" s="22" t="inlineStr">
        <is>
          <t>Siti Rodiah</t>
        </is>
      </c>
      <c r="C768" s="22" t="inlineStr">
        <is>
          <t>Mitra Kerja</t>
        </is>
      </c>
      <c r="D768" s="22" t="inlineStr">
        <is>
          <t>PROD</t>
        </is>
      </c>
      <c r="E768" s="22" t="inlineStr">
        <is>
          <t>Produksi Borongan</t>
        </is>
      </c>
      <c r="F768" s="13" t="inlineStr">
        <is>
          <t>KARYAWAN</t>
        </is>
      </c>
    </row>
    <row r="769" ht="15.75" customHeight="1" s="169">
      <c r="A769" s="22" t="n">
        <v>628000002</v>
      </c>
      <c r="B769" s="22" t="inlineStr">
        <is>
          <t>Nurasyiah</t>
        </is>
      </c>
      <c r="C769" s="22" t="inlineStr">
        <is>
          <t>Mitra Kerja</t>
        </is>
      </c>
      <c r="D769" s="22" t="inlineStr">
        <is>
          <t>PROD</t>
        </is>
      </c>
      <c r="E769" s="22" t="inlineStr">
        <is>
          <t>Produksi Borongan</t>
        </is>
      </c>
      <c r="F769" s="13" t="inlineStr">
        <is>
          <t>KARYAWAN</t>
        </is>
      </c>
    </row>
    <row r="770" ht="15.75" customHeight="1" s="169">
      <c r="A770" s="22" t="n">
        <v>628000004</v>
      </c>
      <c r="B770" s="22" t="inlineStr">
        <is>
          <t>Sumarmi</t>
        </is>
      </c>
      <c r="C770" s="22" t="inlineStr">
        <is>
          <t>Mitra Kerja</t>
        </is>
      </c>
      <c r="D770" s="22" t="inlineStr">
        <is>
          <t>PROD</t>
        </is>
      </c>
      <c r="E770" s="22" t="inlineStr">
        <is>
          <t>Produksi Borongan</t>
        </is>
      </c>
      <c r="F770" s="13" t="inlineStr">
        <is>
          <t>KARYAWAN</t>
        </is>
      </c>
    </row>
    <row r="771" ht="15.75" customHeight="1" s="169">
      <c r="A771" s="22" t="n">
        <v>628000005</v>
      </c>
      <c r="B771" s="22" t="inlineStr">
        <is>
          <t>Ipita Fitriani</t>
        </is>
      </c>
      <c r="C771" s="22" t="inlineStr">
        <is>
          <t>Mitra Kerja</t>
        </is>
      </c>
      <c r="D771" s="22" t="inlineStr">
        <is>
          <t>PROD</t>
        </is>
      </c>
      <c r="E771" s="22" t="inlineStr">
        <is>
          <t>Produksi Borongan</t>
        </is>
      </c>
      <c r="F771" s="13" t="inlineStr">
        <is>
          <t>KARYAWAN</t>
        </is>
      </c>
    </row>
    <row r="772" ht="15.75" customHeight="1" s="169">
      <c r="A772" s="22" t="n">
        <v>628000006</v>
      </c>
      <c r="B772" s="22" t="inlineStr">
        <is>
          <t>Nadila Rahayu Aulia</t>
        </is>
      </c>
      <c r="C772" s="22" t="inlineStr">
        <is>
          <t>Mitra Kerja</t>
        </is>
      </c>
      <c r="D772" s="22" t="inlineStr">
        <is>
          <t>PROD</t>
        </is>
      </c>
      <c r="E772" s="22" t="inlineStr">
        <is>
          <t>Produksi Borongan</t>
        </is>
      </c>
      <c r="F772" s="13" t="inlineStr">
        <is>
          <t>KARYAWAN</t>
        </is>
      </c>
    </row>
    <row r="773" ht="15.75" customHeight="1" s="169">
      <c r="A773" s="22" t="n">
        <v>628000007</v>
      </c>
      <c r="B773" s="22" t="inlineStr">
        <is>
          <t>Kartika Kemala Dewi</t>
        </is>
      </c>
      <c r="C773" s="22" t="inlineStr">
        <is>
          <t>Mitra Kerja</t>
        </is>
      </c>
      <c r="D773" s="22" t="inlineStr">
        <is>
          <t>PROD</t>
        </is>
      </c>
      <c r="E773" s="22" t="inlineStr">
        <is>
          <t>Produksi Borongan</t>
        </is>
      </c>
      <c r="F773" s="13" t="inlineStr">
        <is>
          <t>KARYAWAN</t>
        </is>
      </c>
    </row>
    <row r="774" ht="15.75" customHeight="1" s="169">
      <c r="A774" s="22" t="n">
        <v>628000009</v>
      </c>
      <c r="B774" s="22" t="inlineStr">
        <is>
          <t>Bunga Adinda</t>
        </is>
      </c>
      <c r="C774" s="22" t="inlineStr">
        <is>
          <t>Mitra Kerja</t>
        </is>
      </c>
      <c r="D774" s="22" t="inlineStr">
        <is>
          <t>PROD</t>
        </is>
      </c>
      <c r="E774" s="22" t="inlineStr">
        <is>
          <t>Produksi Borongan</t>
        </is>
      </c>
      <c r="F774" s="13" t="inlineStr">
        <is>
          <t>KARYAWAN</t>
        </is>
      </c>
    </row>
    <row r="775" ht="15.75" customHeight="1" s="169">
      <c r="A775" s="22" t="n">
        <v>628000010</v>
      </c>
      <c r="B775" s="22" t="inlineStr">
        <is>
          <t>Intan Herawati</t>
        </is>
      </c>
      <c r="C775" s="22" t="inlineStr">
        <is>
          <t>Mitra Kerja</t>
        </is>
      </c>
      <c r="D775" s="22" t="inlineStr">
        <is>
          <t>PROD</t>
        </is>
      </c>
      <c r="E775" s="22" t="inlineStr">
        <is>
          <t>Produksi Borongan</t>
        </is>
      </c>
      <c r="F775" s="13" t="inlineStr">
        <is>
          <t>KARYAWAN</t>
        </is>
      </c>
    </row>
    <row r="776" ht="15.75" customHeight="1" s="169">
      <c r="A776" s="22" t="n">
        <v>628000011</v>
      </c>
      <c r="B776" s="22" t="inlineStr">
        <is>
          <t>Santi Audina</t>
        </is>
      </c>
      <c r="C776" s="22" t="inlineStr">
        <is>
          <t>Mitra Kerja</t>
        </is>
      </c>
      <c r="D776" s="22" t="inlineStr">
        <is>
          <t>PROD</t>
        </is>
      </c>
      <c r="E776" s="22" t="inlineStr">
        <is>
          <t>Produksi Borongan</t>
        </is>
      </c>
      <c r="F776" s="13" t="inlineStr">
        <is>
          <t>KARYAWAN</t>
        </is>
      </c>
    </row>
    <row r="777" ht="15.75" customHeight="1" s="169">
      <c r="A777" s="22" t="n">
        <v>628000012</v>
      </c>
      <c r="B777" s="22" t="inlineStr">
        <is>
          <t>Raya Novita Rain</t>
        </is>
      </c>
      <c r="C777" s="22" t="inlineStr">
        <is>
          <t>Mitra Kerja</t>
        </is>
      </c>
      <c r="D777" s="22" t="inlineStr">
        <is>
          <t>PROD</t>
        </is>
      </c>
      <c r="E777" s="22" t="inlineStr">
        <is>
          <t>Produksi Borongan</t>
        </is>
      </c>
      <c r="F777" s="13" t="inlineStr">
        <is>
          <t>KARYAWAN</t>
        </is>
      </c>
    </row>
    <row r="778" ht="15.75" customHeight="1" s="169">
      <c r="A778" s="22" t="n">
        <v>628000013</v>
      </c>
      <c r="B778" s="22" t="inlineStr">
        <is>
          <t>Dian Yulianti</t>
        </is>
      </c>
      <c r="C778" s="22" t="inlineStr">
        <is>
          <t>Mitra Kerja</t>
        </is>
      </c>
      <c r="D778" s="22" t="inlineStr">
        <is>
          <t>PROD</t>
        </is>
      </c>
      <c r="E778" s="22" t="inlineStr">
        <is>
          <t>Produksi Borongan</t>
        </is>
      </c>
      <c r="F778" s="13" t="inlineStr">
        <is>
          <t>KARYAWAN</t>
        </is>
      </c>
    </row>
    <row r="779" ht="15.75" customHeight="1" s="169">
      <c r="A779" s="22" t="n">
        <v>628000014</v>
      </c>
      <c r="B779" s="22" t="inlineStr">
        <is>
          <t>Endeh R</t>
        </is>
      </c>
      <c r="C779" s="22" t="inlineStr">
        <is>
          <t>Mitra Kerja</t>
        </is>
      </c>
      <c r="D779" s="22" t="inlineStr">
        <is>
          <t>PROD</t>
        </is>
      </c>
      <c r="E779" s="22" t="inlineStr">
        <is>
          <t>Produksi Borongan</t>
        </is>
      </c>
      <c r="F779" s="13" t="inlineStr">
        <is>
          <t>KARYAWAN</t>
        </is>
      </c>
    </row>
    <row r="780" ht="15.75" customHeight="1" s="169">
      <c r="A780" s="22" t="n">
        <v>628000015</v>
      </c>
      <c r="B780" s="22" t="inlineStr">
        <is>
          <t>Jeni Siti Fatimah</t>
        </is>
      </c>
      <c r="C780" s="22" t="inlineStr">
        <is>
          <t>Mitra Kerja</t>
        </is>
      </c>
      <c r="D780" s="22" t="inlineStr">
        <is>
          <t>PROD</t>
        </is>
      </c>
      <c r="E780" s="22" t="inlineStr">
        <is>
          <t>Produksi Borongan</t>
        </is>
      </c>
      <c r="F780" s="13" t="inlineStr">
        <is>
          <t>KARYAWAN</t>
        </is>
      </c>
    </row>
    <row r="781" ht="15.75" customHeight="1" s="169">
      <c r="A781" s="22" t="n">
        <v>628000016</v>
      </c>
      <c r="B781" s="22" t="inlineStr">
        <is>
          <t>Mutia Sri Indah Astuti</t>
        </is>
      </c>
      <c r="C781" s="22" t="inlineStr">
        <is>
          <t>Mitra Kerja</t>
        </is>
      </c>
      <c r="D781" s="22" t="inlineStr">
        <is>
          <t>PROD</t>
        </is>
      </c>
      <c r="E781" s="22" t="inlineStr">
        <is>
          <t>Produksi Borongan</t>
        </is>
      </c>
      <c r="F781" s="13" t="inlineStr">
        <is>
          <t>KARYAWAN</t>
        </is>
      </c>
    </row>
    <row r="782" ht="15.75" customHeight="1" s="169">
      <c r="A782" s="22" t="n">
        <v>628000017</v>
      </c>
      <c r="B782" s="22" t="inlineStr">
        <is>
          <t>Fitri Andriani</t>
        </is>
      </c>
      <c r="C782" s="22" t="inlineStr">
        <is>
          <t>Mitra Kerja</t>
        </is>
      </c>
      <c r="D782" s="22" t="inlineStr">
        <is>
          <t>PROD</t>
        </is>
      </c>
      <c r="E782" s="22" t="inlineStr">
        <is>
          <t>Produksi Borongan</t>
        </is>
      </c>
      <c r="F782" s="13" t="inlineStr">
        <is>
          <t>KARYAWAN</t>
        </is>
      </c>
    </row>
    <row r="783" ht="15.75" customHeight="1" s="169">
      <c r="A783" s="22" t="n">
        <v>628000018</v>
      </c>
      <c r="B783" s="22" t="inlineStr">
        <is>
          <t>Annisa Tri Pratiwi</t>
        </is>
      </c>
      <c r="C783" s="22" t="inlineStr">
        <is>
          <t>Mitra Kerja</t>
        </is>
      </c>
      <c r="D783" s="22" t="inlineStr">
        <is>
          <t>PROD</t>
        </is>
      </c>
      <c r="E783" s="22" t="inlineStr">
        <is>
          <t>Produksi Borongan</t>
        </is>
      </c>
      <c r="F783" s="13" t="inlineStr">
        <is>
          <t>KARYAWAN</t>
        </is>
      </c>
    </row>
    <row r="784" ht="15.75" customHeight="1" s="169">
      <c r="A784" s="22" t="n">
        <v>628000019</v>
      </c>
      <c r="B784" s="22" t="inlineStr">
        <is>
          <t>Adinda Fransiska Candra</t>
        </is>
      </c>
      <c r="C784" s="22" t="inlineStr">
        <is>
          <t>Mitra Kerja</t>
        </is>
      </c>
      <c r="D784" s="22" t="inlineStr">
        <is>
          <t>PROD</t>
        </is>
      </c>
      <c r="E784" s="22" t="inlineStr">
        <is>
          <t>Produksi Borongan</t>
        </is>
      </c>
      <c r="F784" s="13" t="inlineStr">
        <is>
          <t>KARYAWAN</t>
        </is>
      </c>
    </row>
    <row r="785" ht="15.75" customHeight="1" s="169">
      <c r="A785" s="22" t="n">
        <v>628000021</v>
      </c>
      <c r="B785" s="22" t="inlineStr">
        <is>
          <t>Nuraeni</t>
        </is>
      </c>
      <c r="C785" s="22" t="inlineStr">
        <is>
          <t>Mitra Kerja</t>
        </is>
      </c>
      <c r="D785" s="22" t="inlineStr">
        <is>
          <t>PROD</t>
        </is>
      </c>
      <c r="E785" s="22" t="inlineStr">
        <is>
          <t>Produksi Borongan</t>
        </is>
      </c>
      <c r="F785" s="13" t="inlineStr">
        <is>
          <t>KARYAWAN</t>
        </is>
      </c>
    </row>
    <row r="786" ht="15.75" customHeight="1" s="169">
      <c r="A786" s="22" t="n">
        <v>628000024</v>
      </c>
      <c r="B786" s="22" t="inlineStr">
        <is>
          <t>Sri Lestari</t>
        </is>
      </c>
      <c r="C786" s="22" t="inlineStr">
        <is>
          <t>Mitra Kerja</t>
        </is>
      </c>
      <c r="D786" s="22" t="inlineStr">
        <is>
          <t>PROD</t>
        </is>
      </c>
      <c r="E786" s="22" t="inlineStr">
        <is>
          <t>Produksi Borongan</t>
        </is>
      </c>
      <c r="F786" s="13" t="inlineStr">
        <is>
          <t>KARYAWAN</t>
        </is>
      </c>
    </row>
    <row r="787" ht="15.75" customHeight="1" s="169">
      <c r="A787" s="22" t="n">
        <v>628000025</v>
      </c>
      <c r="B787" s="22" t="inlineStr">
        <is>
          <t>Putri Rizky Ramadhani</t>
        </is>
      </c>
      <c r="C787" s="22" t="inlineStr">
        <is>
          <t>Mitra Kerja</t>
        </is>
      </c>
      <c r="D787" s="22" t="inlineStr">
        <is>
          <t>PROD</t>
        </is>
      </c>
      <c r="E787" s="22" t="inlineStr">
        <is>
          <t>Produksi Borongan</t>
        </is>
      </c>
      <c r="F787" s="13" t="inlineStr">
        <is>
          <t>KARYAWAN</t>
        </is>
      </c>
    </row>
    <row r="788" ht="15.75" customHeight="1" s="169">
      <c r="A788" s="22" t="n">
        <v>628000026</v>
      </c>
      <c r="B788" s="22" t="inlineStr">
        <is>
          <t>Risti Fajrin</t>
        </is>
      </c>
      <c r="C788" s="22" t="inlineStr">
        <is>
          <t>Mitra Kerja</t>
        </is>
      </c>
      <c r="D788" s="22" t="inlineStr">
        <is>
          <t>PROD</t>
        </is>
      </c>
      <c r="E788" s="22" t="inlineStr">
        <is>
          <t>Produksi Borongan</t>
        </is>
      </c>
      <c r="F788" s="13" t="inlineStr">
        <is>
          <t>KARYAWAN</t>
        </is>
      </c>
    </row>
    <row r="789" ht="15.75" customHeight="1" s="169">
      <c r="A789" s="22" t="n">
        <v>628000027</v>
      </c>
      <c r="B789" s="22" t="inlineStr">
        <is>
          <t>Siti Rokayah</t>
        </is>
      </c>
      <c r="C789" s="22" t="inlineStr">
        <is>
          <t>Mitra Kerja</t>
        </is>
      </c>
      <c r="D789" s="22" t="inlineStr">
        <is>
          <t>PROD</t>
        </is>
      </c>
      <c r="E789" s="22" t="inlineStr">
        <is>
          <t>Produksi Borongan</t>
        </is>
      </c>
      <c r="F789" s="13" t="inlineStr">
        <is>
          <t>KARYAWAN</t>
        </is>
      </c>
    </row>
    <row r="790" ht="15.75" customHeight="1" s="169">
      <c r="A790" s="22" t="n">
        <v>628000028</v>
      </c>
      <c r="B790" s="22" t="inlineStr">
        <is>
          <t>Siti khomsah</t>
        </is>
      </c>
      <c r="C790" s="22" t="inlineStr">
        <is>
          <t>Mitra Kerja</t>
        </is>
      </c>
      <c r="D790" s="22" t="inlineStr">
        <is>
          <t>PROD</t>
        </is>
      </c>
      <c r="E790" s="22" t="inlineStr">
        <is>
          <t>Produksi Borongan</t>
        </is>
      </c>
      <c r="F790" s="13" t="inlineStr">
        <is>
          <t>KARYAWAN</t>
        </is>
      </c>
    </row>
    <row r="791" ht="15.75" customHeight="1" s="169">
      <c r="A791" s="22" t="n">
        <v>628000029</v>
      </c>
      <c r="B791" s="22" t="inlineStr">
        <is>
          <t>Hanny Nurkholifatunnisa</t>
        </is>
      </c>
      <c r="C791" s="22" t="inlineStr">
        <is>
          <t>Mitra Kerja</t>
        </is>
      </c>
      <c r="D791" s="22" t="inlineStr">
        <is>
          <t>PROD</t>
        </is>
      </c>
      <c r="E791" s="22" t="inlineStr">
        <is>
          <t>Produksi Borongan</t>
        </is>
      </c>
      <c r="F791" s="13" t="inlineStr">
        <is>
          <t>KARYAWAN</t>
        </is>
      </c>
    </row>
    <row r="792" ht="15.75" customHeight="1" s="169">
      <c r="A792" s="22" t="n">
        <v>628000030</v>
      </c>
      <c r="B792" s="22" t="inlineStr">
        <is>
          <t>Nurhasanah</t>
        </is>
      </c>
      <c r="C792" s="22" t="inlineStr">
        <is>
          <t>Mitra Kerja</t>
        </is>
      </c>
      <c r="D792" s="22" t="inlineStr">
        <is>
          <t>PROD</t>
        </is>
      </c>
      <c r="E792" s="22" t="inlineStr">
        <is>
          <t>Produksi Borongan</t>
        </is>
      </c>
      <c r="F792" s="13" t="inlineStr">
        <is>
          <t>KARYAWAN</t>
        </is>
      </c>
    </row>
    <row r="793" ht="15.75" customHeight="1" s="169">
      <c r="A793" s="22" t="n">
        <v>628000033</v>
      </c>
      <c r="B793" s="22" t="inlineStr">
        <is>
          <t>Iis Isnawati</t>
        </is>
      </c>
      <c r="C793" s="22" t="inlineStr">
        <is>
          <t>Mitra Kerja</t>
        </is>
      </c>
      <c r="D793" s="22" t="inlineStr">
        <is>
          <t>PROD</t>
        </is>
      </c>
      <c r="E793" s="22" t="inlineStr">
        <is>
          <t>Produksi Borongan</t>
        </is>
      </c>
      <c r="F793" s="13" t="inlineStr">
        <is>
          <t>KARYAWAN</t>
        </is>
      </c>
    </row>
    <row r="794" ht="15.75" customHeight="1" s="169">
      <c r="A794" s="22" t="n">
        <v>628000037</v>
      </c>
      <c r="B794" s="22" t="inlineStr">
        <is>
          <t>Siti Nurfaidah</t>
        </is>
      </c>
      <c r="C794" s="22" t="inlineStr">
        <is>
          <t>Mitra Kerja</t>
        </is>
      </c>
      <c r="D794" s="22" t="inlineStr">
        <is>
          <t>PROD</t>
        </is>
      </c>
      <c r="E794" s="22" t="inlineStr">
        <is>
          <t>Produksi Borongan</t>
        </is>
      </c>
      <c r="F794" s="13" t="inlineStr">
        <is>
          <t>KARYAWAN</t>
        </is>
      </c>
    </row>
    <row r="795" ht="15.75" customHeight="1" s="169">
      <c r="A795" s="22" t="n">
        <v>628000038</v>
      </c>
      <c r="B795" s="22" t="inlineStr">
        <is>
          <t>Rohayati</t>
        </is>
      </c>
      <c r="C795" s="22" t="inlineStr">
        <is>
          <t>Mitra Kerja</t>
        </is>
      </c>
      <c r="D795" s="22" t="inlineStr">
        <is>
          <t>PROD</t>
        </is>
      </c>
      <c r="E795" s="22" t="inlineStr">
        <is>
          <t>Produksi Borongan</t>
        </is>
      </c>
      <c r="F795" s="13" t="inlineStr">
        <is>
          <t>KARYAWAN</t>
        </is>
      </c>
    </row>
    <row r="796" ht="15.75" customHeight="1" s="169">
      <c r="A796" s="22" t="n">
        <v>628000039</v>
      </c>
      <c r="B796" s="22" t="inlineStr">
        <is>
          <t>Nani Maryani</t>
        </is>
      </c>
      <c r="C796" s="22" t="inlineStr">
        <is>
          <t>Mitra Kerja</t>
        </is>
      </c>
      <c r="D796" s="22" t="inlineStr">
        <is>
          <t>PROD</t>
        </is>
      </c>
      <c r="E796" s="22" t="inlineStr">
        <is>
          <t>Produksi Borongan</t>
        </is>
      </c>
      <c r="F796" s="13" t="inlineStr">
        <is>
          <t>KARYAWAN</t>
        </is>
      </c>
    </row>
    <row r="797" ht="15.75" customHeight="1" s="169">
      <c r="A797" s="22" t="n">
        <v>628000040</v>
      </c>
      <c r="B797" s="22" t="inlineStr">
        <is>
          <t>Ai Nurjanah</t>
        </is>
      </c>
      <c r="C797" s="22" t="inlineStr">
        <is>
          <t>Mitra Kerja</t>
        </is>
      </c>
      <c r="D797" s="22" t="inlineStr">
        <is>
          <t>PROD</t>
        </is>
      </c>
      <c r="E797" s="22" t="inlineStr">
        <is>
          <t>Produksi Borongan</t>
        </is>
      </c>
      <c r="F797" s="13" t="inlineStr">
        <is>
          <t>KARYAWAN</t>
        </is>
      </c>
    </row>
    <row r="798" ht="15.75" customHeight="1" s="169">
      <c r="A798" s="22" t="n">
        <v>628000042</v>
      </c>
      <c r="B798" s="22" t="inlineStr">
        <is>
          <t>Eri</t>
        </is>
      </c>
      <c r="C798" s="22" t="inlineStr">
        <is>
          <t>Mitra Kerja</t>
        </is>
      </c>
      <c r="D798" s="22" t="inlineStr">
        <is>
          <t>PROD</t>
        </is>
      </c>
      <c r="E798" s="22" t="inlineStr">
        <is>
          <t>Produksi Borongan</t>
        </is>
      </c>
      <c r="F798" s="13" t="inlineStr">
        <is>
          <t>KARYAWAN</t>
        </is>
      </c>
    </row>
    <row r="799" ht="15.75" customHeight="1" s="169">
      <c r="A799" s="22" t="n">
        <v>628000043</v>
      </c>
      <c r="B799" s="22" t="inlineStr">
        <is>
          <t>Yuliyanti</t>
        </is>
      </c>
      <c r="C799" s="22" t="inlineStr">
        <is>
          <t>Mitra Kerja</t>
        </is>
      </c>
      <c r="D799" s="22" t="inlineStr">
        <is>
          <t>PROD</t>
        </is>
      </c>
      <c r="E799" s="22" t="inlineStr">
        <is>
          <t>Produksi Borongan</t>
        </is>
      </c>
      <c r="F799" s="13" t="inlineStr">
        <is>
          <t>KARYAWAN</t>
        </is>
      </c>
    </row>
    <row r="800" ht="15.75" customHeight="1" s="169">
      <c r="A800" s="22" t="n">
        <v>628000046</v>
      </c>
      <c r="B800" s="22" t="inlineStr">
        <is>
          <t>Cucun Ulmu Kulsum</t>
        </is>
      </c>
      <c r="C800" s="22" t="inlineStr">
        <is>
          <t>Mitra Kerja</t>
        </is>
      </c>
      <c r="D800" s="22" t="inlineStr">
        <is>
          <t>PROD</t>
        </is>
      </c>
      <c r="E800" s="22" t="inlineStr">
        <is>
          <t>Produksi Borongan</t>
        </is>
      </c>
      <c r="F800" s="13" t="inlineStr">
        <is>
          <t>KARYAWAN</t>
        </is>
      </c>
    </row>
    <row r="801" ht="15.75" customHeight="1" s="169">
      <c r="A801" s="22" t="n">
        <v>628000047</v>
      </c>
      <c r="B801" s="22" t="inlineStr">
        <is>
          <t>Siti Fauzziah</t>
        </is>
      </c>
      <c r="C801" s="22" t="inlineStr">
        <is>
          <t>Mitra Kerja</t>
        </is>
      </c>
      <c r="D801" s="22" t="inlineStr">
        <is>
          <t>PROD</t>
        </is>
      </c>
      <c r="E801" s="22" t="inlineStr">
        <is>
          <t>Produksi Borongan</t>
        </is>
      </c>
      <c r="F801" s="13" t="inlineStr">
        <is>
          <t>KARYAWAN</t>
        </is>
      </c>
    </row>
    <row r="802" ht="15.75" customHeight="1" s="169">
      <c r="A802" s="22" t="n">
        <v>628000048</v>
      </c>
      <c r="B802" s="22" t="inlineStr">
        <is>
          <t>Dian Ramdiyani</t>
        </is>
      </c>
      <c r="C802" s="22" t="inlineStr">
        <is>
          <t>Mitra Kerja</t>
        </is>
      </c>
      <c r="D802" s="22" t="inlineStr">
        <is>
          <t>PROD</t>
        </is>
      </c>
      <c r="E802" s="22" t="inlineStr">
        <is>
          <t>Produksi Borongan</t>
        </is>
      </c>
      <c r="F802" s="13" t="inlineStr">
        <is>
          <t>KARYAWAN</t>
        </is>
      </c>
    </row>
    <row r="803" ht="15.75" customHeight="1" s="169">
      <c r="A803" s="22" t="n">
        <v>628000052</v>
      </c>
      <c r="B803" s="22" t="inlineStr">
        <is>
          <t>Pitri Yanti</t>
        </is>
      </c>
      <c r="C803" s="22" t="inlineStr">
        <is>
          <t>Mitra Kerja</t>
        </is>
      </c>
      <c r="D803" s="22" t="inlineStr">
        <is>
          <t>PROD</t>
        </is>
      </c>
      <c r="E803" s="22" t="inlineStr">
        <is>
          <t>Produksi Borongan</t>
        </is>
      </c>
      <c r="F803" s="13" t="inlineStr">
        <is>
          <t>KARYAWAN</t>
        </is>
      </c>
    </row>
    <row r="804" ht="15.75" customHeight="1" s="169">
      <c r="A804" s="22" t="n">
        <v>628000053</v>
      </c>
      <c r="B804" s="22" t="inlineStr">
        <is>
          <t>Teni Susilawati</t>
        </is>
      </c>
      <c r="C804" s="22" t="inlineStr">
        <is>
          <t>Mitra Kerja</t>
        </is>
      </c>
      <c r="D804" s="22" t="inlineStr">
        <is>
          <t>PROD</t>
        </is>
      </c>
      <c r="E804" s="22" t="inlineStr">
        <is>
          <t>Produksi Borongan</t>
        </is>
      </c>
      <c r="F804" s="13" t="inlineStr">
        <is>
          <t>KARYAWAN</t>
        </is>
      </c>
    </row>
    <row r="805" ht="15.75" customHeight="1" s="169">
      <c r="A805" s="22" t="n">
        <v>628000056</v>
      </c>
      <c r="B805" s="22" t="inlineStr">
        <is>
          <t>Eka Novita Putri</t>
        </is>
      </c>
      <c r="C805" s="22" t="inlineStr">
        <is>
          <t>Mitra Kerja</t>
        </is>
      </c>
      <c r="D805" s="22" t="inlineStr">
        <is>
          <t>PROD</t>
        </is>
      </c>
      <c r="E805" s="22" t="inlineStr">
        <is>
          <t>Produksi Borongan</t>
        </is>
      </c>
      <c r="F805" s="13" t="inlineStr">
        <is>
          <t>KARYAWAN</t>
        </is>
      </c>
    </row>
    <row r="806" ht="15.75" customHeight="1" s="169">
      <c r="A806" s="22" t="n">
        <v>628000057</v>
      </c>
      <c r="B806" s="22" t="inlineStr">
        <is>
          <t>Syani Nur Affia</t>
        </is>
      </c>
      <c r="C806" s="22" t="inlineStr">
        <is>
          <t>Mitra Kerja</t>
        </is>
      </c>
      <c r="D806" s="22" t="inlineStr">
        <is>
          <t>PROD</t>
        </is>
      </c>
      <c r="E806" s="22" t="inlineStr">
        <is>
          <t>Produksi Borongan</t>
        </is>
      </c>
      <c r="F806" s="13" t="inlineStr">
        <is>
          <t>KARYAWAN</t>
        </is>
      </c>
    </row>
    <row r="807" ht="15.75" customHeight="1" s="169">
      <c r="A807" s="22" t="n">
        <v>628000058</v>
      </c>
      <c r="B807" s="22" t="inlineStr">
        <is>
          <t>Ika Sartika</t>
        </is>
      </c>
      <c r="C807" s="22" t="inlineStr">
        <is>
          <t>Mitra Kerja</t>
        </is>
      </c>
      <c r="D807" s="22" t="inlineStr">
        <is>
          <t>PROD</t>
        </is>
      </c>
      <c r="E807" s="22" t="inlineStr">
        <is>
          <t>Produksi Borongan</t>
        </is>
      </c>
      <c r="F807" s="13" t="inlineStr">
        <is>
          <t>KARYAWAN</t>
        </is>
      </c>
    </row>
    <row r="808" ht="15.75" customHeight="1" s="169">
      <c r="A808" s="22" t="n">
        <v>628000059</v>
      </c>
      <c r="B808" s="22" t="inlineStr">
        <is>
          <t>Astri Ayu Cahyani</t>
        </is>
      </c>
      <c r="C808" s="22" t="inlineStr">
        <is>
          <t>Mitra Kerja</t>
        </is>
      </c>
      <c r="D808" s="22" t="inlineStr">
        <is>
          <t>PROD</t>
        </is>
      </c>
      <c r="E808" s="22" t="inlineStr">
        <is>
          <t>Produksi Borongan</t>
        </is>
      </c>
      <c r="F808" s="13" t="inlineStr">
        <is>
          <t>KARYAWAN</t>
        </is>
      </c>
    </row>
    <row r="809" ht="15.75" customHeight="1" s="169">
      <c r="A809" s="22" t="n">
        <v>628000060</v>
      </c>
      <c r="B809" s="22" t="inlineStr">
        <is>
          <t>Lela Nur Padilah</t>
        </is>
      </c>
      <c r="C809" s="22" t="inlineStr">
        <is>
          <t>Mitra Kerja</t>
        </is>
      </c>
      <c r="D809" s="22" t="inlineStr">
        <is>
          <t>PROD</t>
        </is>
      </c>
      <c r="E809" s="22" t="inlineStr">
        <is>
          <t>Produksi Borongan</t>
        </is>
      </c>
      <c r="F809" s="13" t="inlineStr">
        <is>
          <t>KARYAWAN</t>
        </is>
      </c>
    </row>
    <row r="810" ht="15.75" customHeight="1" s="169">
      <c r="A810" s="22" t="n">
        <v>628000061</v>
      </c>
      <c r="B810" s="22" t="inlineStr">
        <is>
          <t>Nayla Fadillah Exwantoro</t>
        </is>
      </c>
      <c r="C810" s="22" t="inlineStr">
        <is>
          <t>Mitra Kerja</t>
        </is>
      </c>
      <c r="D810" s="22" t="inlineStr">
        <is>
          <t>PROD</t>
        </is>
      </c>
      <c r="E810" s="22" t="inlineStr">
        <is>
          <t>Produksi Borongan</t>
        </is>
      </c>
      <c r="F810" s="13" t="inlineStr">
        <is>
          <t>KARYAWAN</t>
        </is>
      </c>
    </row>
    <row r="811" ht="15.75" customHeight="1" s="169">
      <c r="A811" s="22" t="n">
        <v>628000062</v>
      </c>
      <c r="B811" s="22" t="inlineStr">
        <is>
          <t>Arini Yulianti</t>
        </is>
      </c>
      <c r="C811" s="22" t="inlineStr">
        <is>
          <t>Mitra Kerja</t>
        </is>
      </c>
      <c r="D811" s="22" t="inlineStr">
        <is>
          <t>PROD</t>
        </is>
      </c>
      <c r="E811" s="22" t="inlineStr">
        <is>
          <t>Produksi Borongan</t>
        </is>
      </c>
      <c r="F811" s="13" t="inlineStr">
        <is>
          <t>KARYAWAN</t>
        </is>
      </c>
    </row>
    <row r="812" ht="15.75" customHeight="1" s="169">
      <c r="A812" s="22" t="n">
        <v>628000063</v>
      </c>
      <c r="B812" s="22" t="inlineStr">
        <is>
          <t>Sahwa Tria Amira</t>
        </is>
      </c>
      <c r="C812" s="22" t="inlineStr">
        <is>
          <t>Mitra Kerja</t>
        </is>
      </c>
      <c r="D812" s="22" t="inlineStr">
        <is>
          <t>PROD</t>
        </is>
      </c>
      <c r="E812" s="22" t="inlineStr">
        <is>
          <t>Produksi Borongan</t>
        </is>
      </c>
      <c r="F812" s="13" t="inlineStr">
        <is>
          <t>KARYAWAN</t>
        </is>
      </c>
    </row>
    <row r="813" ht="15.75" customHeight="1" s="169">
      <c r="A813" s="22" t="n">
        <v>628000064</v>
      </c>
      <c r="B813" s="22" t="inlineStr">
        <is>
          <t>Silva Alypia</t>
        </is>
      </c>
      <c r="C813" s="22" t="inlineStr">
        <is>
          <t>Mitra Kerja</t>
        </is>
      </c>
      <c r="D813" s="22" t="inlineStr">
        <is>
          <t>PROD</t>
        </is>
      </c>
      <c r="E813" s="22" t="inlineStr">
        <is>
          <t>Produksi Borongan</t>
        </is>
      </c>
      <c r="F813" s="13" t="inlineStr">
        <is>
          <t>KARYAWAN</t>
        </is>
      </c>
    </row>
    <row r="814" ht="15.75" customHeight="1" s="169">
      <c r="A814" s="22" t="n">
        <v>628000065</v>
      </c>
      <c r="B814" s="22" t="inlineStr">
        <is>
          <t>Kulsum Sulastri</t>
        </is>
      </c>
      <c r="C814" s="22" t="inlineStr">
        <is>
          <t>Mitra Kerja</t>
        </is>
      </c>
      <c r="D814" s="22" t="inlineStr">
        <is>
          <t>PROD</t>
        </is>
      </c>
      <c r="E814" s="22" t="inlineStr">
        <is>
          <t>Produksi Borongan</t>
        </is>
      </c>
      <c r="F814" s="13" t="inlineStr">
        <is>
          <t>KARYAWAN</t>
        </is>
      </c>
    </row>
    <row r="815" ht="15.75" customHeight="1" s="169">
      <c r="A815" s="22" t="n">
        <v>628000068</v>
      </c>
      <c r="B815" s="22" t="inlineStr">
        <is>
          <t>Nanda Amelia Rizki</t>
        </is>
      </c>
      <c r="C815" s="22" t="inlineStr">
        <is>
          <t>Mitra Kerja</t>
        </is>
      </c>
      <c r="D815" s="22" t="inlineStr">
        <is>
          <t>PROD</t>
        </is>
      </c>
      <c r="E815" s="22" t="inlineStr">
        <is>
          <t>Produksi Borongan</t>
        </is>
      </c>
      <c r="F815" s="13" t="inlineStr">
        <is>
          <t>KARYAWAN</t>
        </is>
      </c>
    </row>
    <row r="816" ht="15.75" customHeight="1" s="169">
      <c r="A816" s="22" t="n">
        <v>628000069</v>
      </c>
      <c r="B816" s="22" t="inlineStr">
        <is>
          <t>Leony Putri Theresya</t>
        </is>
      </c>
      <c r="C816" s="22" t="inlineStr">
        <is>
          <t>Mitra Kerja</t>
        </is>
      </c>
      <c r="D816" s="22" t="inlineStr">
        <is>
          <t>PROD</t>
        </is>
      </c>
      <c r="E816" s="22" t="inlineStr">
        <is>
          <t>Produksi Borongan</t>
        </is>
      </c>
      <c r="F816" s="13" t="inlineStr">
        <is>
          <t>KARYAWAN</t>
        </is>
      </c>
    </row>
    <row r="817" ht="15.75" customHeight="1" s="169">
      <c r="A817" s="22" t="n">
        <v>628000070</v>
      </c>
      <c r="B817" s="22" t="inlineStr">
        <is>
          <t>Aulia Salsadila</t>
        </is>
      </c>
      <c r="C817" s="22" t="inlineStr">
        <is>
          <t>Mitra Kerja</t>
        </is>
      </c>
      <c r="D817" s="22" t="inlineStr">
        <is>
          <t>PROD</t>
        </is>
      </c>
      <c r="E817" s="22" t="inlineStr">
        <is>
          <t>Produksi Borongan</t>
        </is>
      </c>
      <c r="F817" s="13" t="inlineStr">
        <is>
          <t>KARYAWAN</t>
        </is>
      </c>
    </row>
    <row r="818" ht="15.75" customHeight="1" s="169">
      <c r="A818" s="22" t="n">
        <v>628000071</v>
      </c>
      <c r="B818" s="22" t="inlineStr">
        <is>
          <t>Rischa Tri Anjani</t>
        </is>
      </c>
      <c r="C818" s="22" t="inlineStr">
        <is>
          <t>Mitra Kerja</t>
        </is>
      </c>
      <c r="D818" s="22" t="inlineStr">
        <is>
          <t>PROD</t>
        </is>
      </c>
      <c r="E818" s="22" t="inlineStr">
        <is>
          <t>Produksi Borongan</t>
        </is>
      </c>
      <c r="F818" s="13" t="inlineStr">
        <is>
          <t>KARYAWAN</t>
        </is>
      </c>
    </row>
    <row r="819" ht="15.75" customHeight="1" s="169">
      <c r="A819" s="22" t="n">
        <v>628000072</v>
      </c>
      <c r="B819" s="22" t="inlineStr">
        <is>
          <t>Amani</t>
        </is>
      </c>
      <c r="C819" s="22" t="inlineStr">
        <is>
          <t>Mitra Kerja</t>
        </is>
      </c>
      <c r="D819" s="22" t="inlineStr">
        <is>
          <t>PROD</t>
        </is>
      </c>
      <c r="E819" s="22" t="inlineStr">
        <is>
          <t>Produksi Borongan</t>
        </is>
      </c>
      <c r="F819" s="13" t="inlineStr">
        <is>
          <t>KARYAWAN</t>
        </is>
      </c>
    </row>
    <row r="820" ht="15.75" customHeight="1" s="169">
      <c r="A820" s="22" t="n">
        <v>628000073</v>
      </c>
      <c r="B820" s="22" t="inlineStr">
        <is>
          <t>Tanti Haryanti</t>
        </is>
      </c>
      <c r="C820" s="22" t="inlineStr">
        <is>
          <t>Mitra Kerja</t>
        </is>
      </c>
      <c r="D820" s="22" t="inlineStr">
        <is>
          <t>PROD</t>
        </is>
      </c>
      <c r="E820" s="22" t="inlineStr">
        <is>
          <t>Produksi Borongan</t>
        </is>
      </c>
      <c r="F820" s="13" t="inlineStr">
        <is>
          <t>KARYAWAN</t>
        </is>
      </c>
    </row>
    <row r="821" ht="15.75" customHeight="1" s="169">
      <c r="A821" s="22" t="n">
        <v>628000074</v>
      </c>
      <c r="B821" s="22" t="inlineStr">
        <is>
          <t>Nurani</t>
        </is>
      </c>
      <c r="C821" s="22" t="inlineStr">
        <is>
          <t>Mitra Kerja</t>
        </is>
      </c>
      <c r="D821" s="22" t="inlineStr">
        <is>
          <t>PROD</t>
        </is>
      </c>
      <c r="E821" s="22" t="inlineStr">
        <is>
          <t>Produksi Borongan</t>
        </is>
      </c>
      <c r="F821" s="13" t="inlineStr">
        <is>
          <t>KARYAWAN</t>
        </is>
      </c>
    </row>
    <row r="822" ht="15.75" customHeight="1" s="169">
      <c r="A822" s="22" t="n">
        <v>628000075</v>
      </c>
      <c r="B822" s="22" t="inlineStr">
        <is>
          <t>Shafa Wianda Amartha</t>
        </is>
      </c>
      <c r="C822" s="22" t="inlineStr">
        <is>
          <t>Mitra Kerja</t>
        </is>
      </c>
      <c r="D822" s="22" t="inlineStr">
        <is>
          <t>PROD</t>
        </is>
      </c>
      <c r="E822" s="22" t="inlineStr">
        <is>
          <t>Produksi Borongan</t>
        </is>
      </c>
      <c r="F822" s="13" t="inlineStr">
        <is>
          <t>KARYAWAN</t>
        </is>
      </c>
    </row>
    <row r="823" ht="15.75" customHeight="1" s="169">
      <c r="A823" s="22" t="n">
        <v>628000076</v>
      </c>
      <c r="B823" s="22" t="inlineStr">
        <is>
          <t>Sri Rahayu</t>
        </is>
      </c>
      <c r="C823" s="22" t="inlineStr">
        <is>
          <t>Mitra Kerja</t>
        </is>
      </c>
      <c r="D823" s="22" t="inlineStr">
        <is>
          <t>PROD</t>
        </is>
      </c>
      <c r="E823" s="22" t="inlineStr">
        <is>
          <t>Produksi Borongan</t>
        </is>
      </c>
      <c r="F823" s="13" t="inlineStr">
        <is>
          <t>KARYAWAN</t>
        </is>
      </c>
    </row>
    <row r="824" ht="15.75" customHeight="1" s="169">
      <c r="A824" s="22" t="n">
        <v>628000077</v>
      </c>
      <c r="B824" s="22" t="inlineStr">
        <is>
          <t>Yudi Gunawan. W</t>
        </is>
      </c>
      <c r="C824" s="22" t="inlineStr">
        <is>
          <t>Mitra Kerja</t>
        </is>
      </c>
      <c r="D824" s="22" t="inlineStr">
        <is>
          <t>LOG</t>
        </is>
      </c>
      <c r="E824" s="22" t="inlineStr">
        <is>
          <t>WFG Borongan</t>
        </is>
      </c>
      <c r="F824" s="13" t="inlineStr">
        <is>
          <t>KARYAWAN</t>
        </is>
      </c>
    </row>
    <row r="825" ht="15.75" customHeight="1" s="169">
      <c r="A825" s="22" t="n">
        <v>628000078</v>
      </c>
      <c r="B825" s="22" t="inlineStr">
        <is>
          <t>Sudiro</t>
        </is>
      </c>
      <c r="C825" s="22" t="inlineStr">
        <is>
          <t>Mitra Kerja</t>
        </is>
      </c>
      <c r="D825" s="22" t="inlineStr">
        <is>
          <t>LOG</t>
        </is>
      </c>
      <c r="E825" s="22" t="inlineStr">
        <is>
          <t>WFG Borongan</t>
        </is>
      </c>
      <c r="F825" s="13" t="inlineStr">
        <is>
          <t>KARYAWAN</t>
        </is>
      </c>
    </row>
    <row r="826" ht="15.75" customHeight="1" s="169">
      <c r="A826" s="22" t="n">
        <v>628000079</v>
      </c>
      <c r="B826" s="22" t="inlineStr">
        <is>
          <t>Maman Suherman</t>
        </is>
      </c>
      <c r="C826" s="22" t="inlineStr">
        <is>
          <t>Mitra Kerja</t>
        </is>
      </c>
      <c r="D826" s="22" t="inlineStr">
        <is>
          <t>LOG</t>
        </is>
      </c>
      <c r="E826" s="22" t="inlineStr">
        <is>
          <t>WFG Borongan</t>
        </is>
      </c>
      <c r="F826" s="13" t="inlineStr">
        <is>
          <t>KARYAWAN</t>
        </is>
      </c>
    </row>
    <row r="827" ht="15.75" customHeight="1" s="169">
      <c r="A827" s="22" t="n">
        <v>628000080</v>
      </c>
      <c r="B827" s="22" t="inlineStr">
        <is>
          <t>Agus Muhamad Restu</t>
        </is>
      </c>
      <c r="C827" s="22" t="inlineStr">
        <is>
          <t>Mitra Kerja</t>
        </is>
      </c>
      <c r="D827" s="22" t="inlineStr">
        <is>
          <t>LOG</t>
        </is>
      </c>
      <c r="E827" s="22" t="inlineStr">
        <is>
          <t>WFG Borongan</t>
        </is>
      </c>
      <c r="F827" s="13" t="inlineStr">
        <is>
          <t>KARYAWAN</t>
        </is>
      </c>
    </row>
    <row r="828" ht="15.75" customHeight="1" s="169">
      <c r="A828" s="22" t="n">
        <v>628000081</v>
      </c>
      <c r="B828" s="22" t="inlineStr">
        <is>
          <t>Anda Suherman</t>
        </is>
      </c>
      <c r="C828" s="22" t="inlineStr">
        <is>
          <t>Mitra Kerja</t>
        </is>
      </c>
      <c r="D828" s="22" t="inlineStr">
        <is>
          <t>LOG</t>
        </is>
      </c>
      <c r="E828" s="22" t="inlineStr">
        <is>
          <t>WFG Borongan</t>
        </is>
      </c>
      <c r="F828" s="13" t="inlineStr">
        <is>
          <t>KARYAWAN</t>
        </is>
      </c>
    </row>
    <row r="829" ht="15.75" customHeight="1" s="169">
      <c r="A829" s="22" t="n">
        <v>628000082</v>
      </c>
      <c r="B829" s="22" t="inlineStr">
        <is>
          <t>Hafid Sutaji</t>
        </is>
      </c>
      <c r="C829" s="22" t="inlineStr">
        <is>
          <t>Mitra Kerja</t>
        </is>
      </c>
      <c r="D829" s="22" t="inlineStr">
        <is>
          <t>LOG</t>
        </is>
      </c>
      <c r="E829" s="22" t="inlineStr">
        <is>
          <t>WFG Borongan</t>
        </is>
      </c>
      <c r="F829" s="13" t="inlineStr">
        <is>
          <t>KARYAWAN</t>
        </is>
      </c>
    </row>
    <row r="830" ht="15.75" customHeight="1" s="169">
      <c r="A830" s="22" t="n">
        <v>628000083</v>
      </c>
      <c r="B830" s="22" t="inlineStr">
        <is>
          <t>Rian Andriansyah</t>
        </is>
      </c>
      <c r="C830" s="22" t="inlineStr">
        <is>
          <t>Mitra Kerja</t>
        </is>
      </c>
      <c r="D830" s="22" t="inlineStr">
        <is>
          <t>LOG</t>
        </is>
      </c>
      <c r="E830" s="22" t="inlineStr">
        <is>
          <t>WFG Borongan</t>
        </is>
      </c>
      <c r="F830" s="13" t="inlineStr">
        <is>
          <t>KARYAWAN</t>
        </is>
      </c>
    </row>
    <row r="831" ht="15.75" customHeight="1" s="169">
      <c r="A831" s="22" t="n">
        <v>628000084</v>
      </c>
      <c r="B831" s="22" t="inlineStr">
        <is>
          <t>Suherman</t>
        </is>
      </c>
      <c r="C831" s="22" t="inlineStr">
        <is>
          <t>Mitra Kerja</t>
        </is>
      </c>
      <c r="D831" s="22" t="inlineStr">
        <is>
          <t>LOG</t>
        </is>
      </c>
      <c r="E831" s="22" t="inlineStr">
        <is>
          <t>WFG Borongan</t>
        </is>
      </c>
      <c r="F831" s="13" t="inlineStr">
        <is>
          <t>KARYAWAN</t>
        </is>
      </c>
    </row>
    <row r="832" ht="15.75" customHeight="1" s="169">
      <c r="A832" s="22" t="n">
        <v>628000085</v>
      </c>
      <c r="B832" s="22" t="inlineStr">
        <is>
          <t>Ahmad Surnadi</t>
        </is>
      </c>
      <c r="C832" s="22" t="inlineStr">
        <is>
          <t>Mitra Kerja</t>
        </is>
      </c>
      <c r="D832" s="22" t="inlineStr">
        <is>
          <t>LOG</t>
        </is>
      </c>
      <c r="E832" s="22" t="inlineStr">
        <is>
          <t>WFG Borongan</t>
        </is>
      </c>
      <c r="F832" s="13" t="inlineStr">
        <is>
          <t>KARYAWAN</t>
        </is>
      </c>
    </row>
    <row r="833" ht="15.75" customHeight="1" s="169">
      <c r="A833" s="22" t="n">
        <v>628000086</v>
      </c>
      <c r="B833" s="22" t="inlineStr">
        <is>
          <t>Juhari</t>
        </is>
      </c>
      <c r="C833" s="22" t="inlineStr">
        <is>
          <t>Mitra Kerja</t>
        </is>
      </c>
      <c r="D833" s="22" t="inlineStr">
        <is>
          <t>LOG</t>
        </is>
      </c>
      <c r="E833" s="22" t="inlineStr">
        <is>
          <t>WFG Borongan</t>
        </is>
      </c>
      <c r="F833" s="13" t="inlineStr">
        <is>
          <t>KARYAWAN</t>
        </is>
      </c>
    </row>
    <row r="834" ht="15.75" customHeight="1" s="169">
      <c r="A834" s="22" t="n">
        <v>628000087</v>
      </c>
      <c r="B834" s="22" t="inlineStr">
        <is>
          <t>Nabila Al Khalifi</t>
        </is>
      </c>
      <c r="C834" s="22" t="inlineStr">
        <is>
          <t>Mitra Kerja</t>
        </is>
      </c>
      <c r="D834" s="22" t="inlineStr">
        <is>
          <t>PROD</t>
        </is>
      </c>
      <c r="E834" s="22" t="inlineStr">
        <is>
          <t>Produksi Borongan</t>
        </is>
      </c>
      <c r="F834" s="13" t="inlineStr">
        <is>
          <t>KARYAWAN</t>
        </is>
      </c>
    </row>
    <row r="835" ht="15.75" customHeight="1" s="169">
      <c r="A835" s="22" t="n">
        <v>628000088</v>
      </c>
      <c r="B835" s="22" t="inlineStr">
        <is>
          <t>Ranti Irawan</t>
        </is>
      </c>
      <c r="C835" s="22" t="inlineStr">
        <is>
          <t>Mitra Kerja</t>
        </is>
      </c>
      <c r="D835" s="22" t="inlineStr">
        <is>
          <t>PROD</t>
        </is>
      </c>
      <c r="E835" s="22" t="inlineStr">
        <is>
          <t>Produksi Borongan</t>
        </is>
      </c>
      <c r="F835" s="13" t="inlineStr">
        <is>
          <t>KARYAWAN</t>
        </is>
      </c>
    </row>
    <row r="836" ht="15.75" customHeight="1" s="169">
      <c r="A836" s="22" t="n">
        <v>628000089</v>
      </c>
      <c r="B836" s="22" t="inlineStr">
        <is>
          <t>Indah Agus Riani</t>
        </is>
      </c>
      <c r="C836" s="22" t="inlineStr">
        <is>
          <t>Mitra Kerja</t>
        </is>
      </c>
      <c r="D836" s="22" t="inlineStr">
        <is>
          <t>PROD</t>
        </is>
      </c>
      <c r="E836" s="22" t="inlineStr">
        <is>
          <t>Produksi Borongan</t>
        </is>
      </c>
      <c r="F836" s="13" t="inlineStr">
        <is>
          <t>KARYAWAN</t>
        </is>
      </c>
    </row>
    <row r="837" ht="15.75" customHeight="1" s="169">
      <c r="A837" s="22" t="n">
        <v>628000090</v>
      </c>
      <c r="B837" s="22" t="inlineStr">
        <is>
          <t>Nirmala</t>
        </is>
      </c>
      <c r="C837" s="22" t="inlineStr">
        <is>
          <t>Mitra Kerja</t>
        </is>
      </c>
      <c r="D837" s="22" t="inlineStr">
        <is>
          <t>PROD</t>
        </is>
      </c>
      <c r="E837" s="22" t="inlineStr">
        <is>
          <t>Produksi Borongan</t>
        </is>
      </c>
      <c r="F837" s="13" t="inlineStr">
        <is>
          <t>KARYAWAN</t>
        </is>
      </c>
    </row>
    <row r="838" ht="15.75" customHeight="1" s="169">
      <c r="A838" s="22" t="n">
        <v>628000091</v>
      </c>
      <c r="B838" s="22" t="inlineStr">
        <is>
          <t>Devita Handayani</t>
        </is>
      </c>
      <c r="C838" s="22" t="inlineStr">
        <is>
          <t>Mitra Kerja</t>
        </is>
      </c>
      <c r="D838" s="22" t="inlineStr">
        <is>
          <t>PROD</t>
        </is>
      </c>
      <c r="E838" s="22" t="inlineStr">
        <is>
          <t>Produksi Borongan</t>
        </is>
      </c>
      <c r="F838" s="13" t="inlineStr">
        <is>
          <t>KARYAWAN</t>
        </is>
      </c>
    </row>
    <row r="839" ht="15.75" customHeight="1" s="169">
      <c r="A839" s="22" t="n">
        <v>628000092</v>
      </c>
      <c r="B839" s="22" t="inlineStr">
        <is>
          <t>Indah Sri Rahayu</t>
        </is>
      </c>
      <c r="C839" s="22" t="inlineStr">
        <is>
          <t>Mitra Kerja</t>
        </is>
      </c>
      <c r="D839" s="22" t="inlineStr">
        <is>
          <t>PROD</t>
        </is>
      </c>
      <c r="E839" s="22" t="inlineStr">
        <is>
          <t>Produksi Borongan</t>
        </is>
      </c>
      <c r="F839" s="13" t="inlineStr">
        <is>
          <t>KARYAWAN</t>
        </is>
      </c>
    </row>
    <row r="840" ht="15.75" customHeight="1" s="169">
      <c r="A840" s="22" t="n">
        <v>628000093</v>
      </c>
      <c r="B840" s="22" t="inlineStr">
        <is>
          <t>Dewi Herawati Purwanti</t>
        </is>
      </c>
      <c r="C840" s="22" t="inlineStr">
        <is>
          <t>Mitra Kerja</t>
        </is>
      </c>
      <c r="D840" s="22" t="inlineStr">
        <is>
          <t>PROD</t>
        </is>
      </c>
      <c r="E840" s="22" t="inlineStr">
        <is>
          <t>Produksi Borongan</t>
        </is>
      </c>
      <c r="F840" s="13" t="inlineStr">
        <is>
          <t>KARYAWAN</t>
        </is>
      </c>
    </row>
    <row r="841" ht="15.75" customHeight="1" s="169">
      <c r="A841" s="22" t="n">
        <v>628000095</v>
      </c>
      <c r="B841" s="22" t="inlineStr">
        <is>
          <t>Tri Alita Indah Meita Sari</t>
        </is>
      </c>
      <c r="C841" s="22" t="inlineStr">
        <is>
          <t>Mitra Kerja</t>
        </is>
      </c>
      <c r="D841" s="22" t="inlineStr">
        <is>
          <t>PROD</t>
        </is>
      </c>
      <c r="E841" s="22" t="inlineStr">
        <is>
          <t>Produksi Borongan</t>
        </is>
      </c>
      <c r="F841" s="13" t="inlineStr">
        <is>
          <t>KARYAWAN</t>
        </is>
      </c>
    </row>
    <row r="842" ht="15.75" customHeight="1" s="169">
      <c r="A842" s="22" t="n">
        <v>628000096</v>
      </c>
      <c r="B842" s="22" t="inlineStr">
        <is>
          <t>Nuryanti Anggraeni</t>
        </is>
      </c>
      <c r="C842" s="22" t="inlineStr">
        <is>
          <t>Mitra Kerja</t>
        </is>
      </c>
      <c r="D842" s="22" t="inlineStr">
        <is>
          <t>PROD</t>
        </is>
      </c>
      <c r="E842" s="22" t="inlineStr">
        <is>
          <t>Produksi Borongan</t>
        </is>
      </c>
      <c r="F842" s="13" t="inlineStr">
        <is>
          <t>KARYAWAN</t>
        </is>
      </c>
    </row>
    <row r="843" ht="15.75" customHeight="1" s="169">
      <c r="A843" s="22" t="n">
        <v>628000097</v>
      </c>
      <c r="B843" s="22" t="inlineStr">
        <is>
          <t>Nabila Durrotun Nashihah</t>
        </is>
      </c>
      <c r="C843" s="22" t="inlineStr">
        <is>
          <t>Mitra Kerja</t>
        </is>
      </c>
      <c r="D843" s="22" t="inlineStr">
        <is>
          <t>PROD</t>
        </is>
      </c>
      <c r="E843" s="22" t="inlineStr">
        <is>
          <t>Produksi Borongan</t>
        </is>
      </c>
      <c r="F843" s="13" t="inlineStr">
        <is>
          <t>KARYAWAN</t>
        </is>
      </c>
    </row>
    <row r="844" ht="15.75" customHeight="1" s="169">
      <c r="A844" s="22" t="n">
        <v>628000099</v>
      </c>
      <c r="B844" s="22" t="inlineStr">
        <is>
          <t>Suhendar</t>
        </is>
      </c>
      <c r="C844" s="22" t="inlineStr">
        <is>
          <t>Mitra Kerja</t>
        </is>
      </c>
      <c r="D844" s="22" t="inlineStr">
        <is>
          <t>LOG</t>
        </is>
      </c>
      <c r="E844" s="22" t="inlineStr">
        <is>
          <t>WFG Borongan</t>
        </is>
      </c>
      <c r="F844" s="13" t="inlineStr">
        <is>
          <t>KARYAWAN</t>
        </is>
      </c>
    </row>
    <row r="845" ht="15.75" customHeight="1" s="169">
      <c r="A845" s="22" t="n">
        <v>628000101</v>
      </c>
      <c r="B845" s="22" t="inlineStr">
        <is>
          <t>Egi Heriyanto</t>
        </is>
      </c>
      <c r="C845" s="22" t="inlineStr">
        <is>
          <t>Mitra Kerja</t>
        </is>
      </c>
      <c r="D845" s="22" t="inlineStr">
        <is>
          <t>LOG</t>
        </is>
      </c>
      <c r="E845" s="22" t="inlineStr">
        <is>
          <t>WFG Borongan</t>
        </is>
      </c>
      <c r="F845" s="13" t="inlineStr">
        <is>
          <t>KARYAWAN</t>
        </is>
      </c>
    </row>
    <row r="846" ht="15.75" customHeight="1" s="169">
      <c r="A846" s="22" t="n">
        <v>628000102</v>
      </c>
      <c r="B846" s="22" t="inlineStr">
        <is>
          <t>Irpan Munthaha</t>
        </is>
      </c>
      <c r="C846" s="22" t="inlineStr">
        <is>
          <t>Mitra Kerja</t>
        </is>
      </c>
      <c r="D846" s="22" t="inlineStr">
        <is>
          <t>LOG</t>
        </is>
      </c>
      <c r="E846" s="22" t="inlineStr">
        <is>
          <t>WFG Borongan</t>
        </is>
      </c>
      <c r="F846" s="13" t="inlineStr">
        <is>
          <t>KARYAWAN</t>
        </is>
      </c>
    </row>
    <row r="847" ht="15.75" customHeight="1" s="169">
      <c r="A847" s="22" t="n">
        <v>628000103</v>
      </c>
      <c r="B847" s="22" t="inlineStr">
        <is>
          <t>Edi Husaeni</t>
        </is>
      </c>
      <c r="C847" s="22" t="inlineStr">
        <is>
          <t>Mitra Kerja</t>
        </is>
      </c>
      <c r="D847" s="22" t="inlineStr">
        <is>
          <t>LOG</t>
        </is>
      </c>
      <c r="E847" s="22" t="inlineStr">
        <is>
          <t>WFG Borongan</t>
        </is>
      </c>
      <c r="F847" s="13" t="inlineStr">
        <is>
          <t>KARYAWAN</t>
        </is>
      </c>
    </row>
    <row r="848" ht="15.75" customHeight="1" s="169">
      <c r="A848" s="22" t="n">
        <v>628000104</v>
      </c>
      <c r="B848" s="22" t="inlineStr">
        <is>
          <t>Encir Sugianto</t>
        </is>
      </c>
      <c r="C848" s="22" t="inlineStr">
        <is>
          <t>Mitra Kerja</t>
        </is>
      </c>
      <c r="D848" s="22" t="inlineStr">
        <is>
          <t>LOG</t>
        </is>
      </c>
      <c r="E848" s="22" t="inlineStr">
        <is>
          <t>WFG Borongan</t>
        </is>
      </c>
      <c r="F848" s="13" t="inlineStr">
        <is>
          <t>KARYAWAN</t>
        </is>
      </c>
    </row>
    <row r="849" ht="15.75" customHeight="1" s="169">
      <c r="A849" s="22" t="n">
        <v>628000105</v>
      </c>
      <c r="B849" s="22" t="inlineStr">
        <is>
          <t>Selpia Nopiani</t>
        </is>
      </c>
      <c r="C849" s="22" t="inlineStr">
        <is>
          <t>Mitra Kerja</t>
        </is>
      </c>
      <c r="D849" s="22" t="inlineStr">
        <is>
          <t>PROD</t>
        </is>
      </c>
      <c r="E849" s="22" t="inlineStr">
        <is>
          <t>Produksi Borongan</t>
        </is>
      </c>
      <c r="F849" s="13" t="inlineStr">
        <is>
          <t>KARYAWAN</t>
        </is>
      </c>
    </row>
    <row r="850" ht="15.75" customHeight="1" s="169">
      <c r="A850" s="22" t="n">
        <v>628000106</v>
      </c>
      <c r="B850" s="22" t="inlineStr">
        <is>
          <t>Irma Nurhasanah</t>
        </is>
      </c>
      <c r="C850" s="22" t="inlineStr">
        <is>
          <t>Mitra Kerja</t>
        </is>
      </c>
      <c r="D850" s="22" t="inlineStr">
        <is>
          <t>PROD</t>
        </is>
      </c>
      <c r="E850" s="22" t="inlineStr">
        <is>
          <t>Produksi Borongan</t>
        </is>
      </c>
      <c r="F850" s="13" t="inlineStr">
        <is>
          <t>KARYAWAN</t>
        </is>
      </c>
    </row>
    <row r="851" ht="15.75" customHeight="1" s="169">
      <c r="A851" s="22" t="n">
        <v>628000110</v>
      </c>
      <c r="B851" s="22" t="inlineStr">
        <is>
          <t>Tati Rohayati</t>
        </is>
      </c>
      <c r="C851" s="22" t="inlineStr">
        <is>
          <t>Mitra Kerja</t>
        </is>
      </c>
      <c r="D851" s="22" t="inlineStr">
        <is>
          <t>PROD</t>
        </is>
      </c>
      <c r="E851" s="22" t="inlineStr">
        <is>
          <t>Produksi Borongan</t>
        </is>
      </c>
      <c r="F851" s="13" t="inlineStr">
        <is>
          <t>KARYAWAN</t>
        </is>
      </c>
    </row>
    <row r="852" ht="15.75" customHeight="1" s="169">
      <c r="A852" s="22" t="n">
        <v>628000111</v>
      </c>
      <c r="B852" s="22" t="inlineStr">
        <is>
          <t>Sari Agustina</t>
        </is>
      </c>
      <c r="C852" s="22" t="inlineStr">
        <is>
          <t>Mitra Kerja</t>
        </is>
      </c>
      <c r="D852" s="22" t="inlineStr">
        <is>
          <t>PROD</t>
        </is>
      </c>
      <c r="E852" s="22" t="inlineStr">
        <is>
          <t>Produksi Borongan</t>
        </is>
      </c>
      <c r="F852" s="13" t="inlineStr">
        <is>
          <t>KARYAWAN</t>
        </is>
      </c>
    </row>
    <row r="853" ht="15.75" customHeight="1" s="169">
      <c r="A853" s="22" t="n">
        <v>628000118</v>
      </c>
      <c r="B853" s="22" t="inlineStr">
        <is>
          <t>Indah Lestari</t>
        </is>
      </c>
      <c r="C853" s="22" t="inlineStr">
        <is>
          <t>Mitra Kerja</t>
        </is>
      </c>
      <c r="D853" s="22" t="inlineStr">
        <is>
          <t>PROD</t>
        </is>
      </c>
      <c r="E853" s="22" t="inlineStr">
        <is>
          <t>Produksi Borongan</t>
        </is>
      </c>
      <c r="F853" s="13" t="inlineStr">
        <is>
          <t>KARYAWAN</t>
        </is>
      </c>
    </row>
    <row r="854" ht="15.75" customHeight="1" s="169">
      <c r="A854" s="22" t="n">
        <v>628000126</v>
      </c>
      <c r="B854" s="22" t="inlineStr">
        <is>
          <t>Siska Nurazizah Sukma Natar</t>
        </is>
      </c>
      <c r="C854" s="22" t="inlineStr">
        <is>
          <t>Mitra Kerja</t>
        </is>
      </c>
      <c r="D854" s="22" t="inlineStr">
        <is>
          <t>PROD</t>
        </is>
      </c>
      <c r="E854" s="22" t="inlineStr">
        <is>
          <t>Produksi Borongan</t>
        </is>
      </c>
      <c r="F854" s="13" t="inlineStr">
        <is>
          <t>KARYAWAN</t>
        </is>
      </c>
    </row>
    <row r="855" ht="15.75" customHeight="1" s="169">
      <c r="A855" s="22" t="n">
        <v>628000127</v>
      </c>
      <c r="B855" s="22" t="inlineStr">
        <is>
          <t>Dien Milenia</t>
        </is>
      </c>
      <c r="C855" s="22" t="inlineStr">
        <is>
          <t>Mitra Kerja</t>
        </is>
      </c>
      <c r="D855" s="22" t="inlineStr">
        <is>
          <t>PROD</t>
        </is>
      </c>
      <c r="E855" s="22" t="inlineStr">
        <is>
          <t>Produksi Borongan</t>
        </is>
      </c>
      <c r="F855" s="13" t="inlineStr">
        <is>
          <t>KARYAWAN</t>
        </is>
      </c>
    </row>
    <row r="856" ht="15.75" customHeight="1" s="169">
      <c r="A856" s="22" t="n">
        <v>628000128</v>
      </c>
      <c r="B856" s="22" t="inlineStr">
        <is>
          <t>Dadan Hardiana</t>
        </is>
      </c>
      <c r="C856" s="22" t="inlineStr">
        <is>
          <t>Mitra Kerja</t>
        </is>
      </c>
      <c r="D856" s="22" t="inlineStr">
        <is>
          <t>LOG</t>
        </is>
      </c>
      <c r="E856" s="22" t="inlineStr">
        <is>
          <t>WFG Borongan</t>
        </is>
      </c>
      <c r="F856" s="13" t="inlineStr">
        <is>
          <t>KARYAWAN</t>
        </is>
      </c>
    </row>
    <row r="857" ht="15.75" customHeight="1" s="169">
      <c r="A857" s="22" t="n">
        <v>628000129</v>
      </c>
      <c r="B857" s="22" t="inlineStr">
        <is>
          <t>Abdul Rohman As Sayuti</t>
        </is>
      </c>
      <c r="C857" s="22" t="inlineStr">
        <is>
          <t>Mitra Kerja</t>
        </is>
      </c>
      <c r="D857" s="22" t="inlineStr">
        <is>
          <t>LOG</t>
        </is>
      </c>
      <c r="E857" s="22" t="inlineStr">
        <is>
          <t>WFG Borongan</t>
        </is>
      </c>
      <c r="F857" s="13" t="inlineStr">
        <is>
          <t>KARYAWAN</t>
        </is>
      </c>
    </row>
    <row r="858" ht="15.75" customHeight="1" s="169">
      <c r="A858" s="22" t="n">
        <v>628000130</v>
      </c>
      <c r="B858" s="22" t="inlineStr">
        <is>
          <t>Hasanudin</t>
        </is>
      </c>
      <c r="C858" s="22" t="inlineStr">
        <is>
          <t>Mitra Kerja</t>
        </is>
      </c>
      <c r="D858" s="22" t="inlineStr">
        <is>
          <t>LOG</t>
        </is>
      </c>
      <c r="E858" s="22" t="inlineStr">
        <is>
          <t>WRM Borongan</t>
        </is>
      </c>
      <c r="F858" s="13" t="inlineStr">
        <is>
          <t>KARYAWAN</t>
        </is>
      </c>
    </row>
    <row r="859" ht="15.75" customHeight="1" s="169">
      <c r="A859" s="22" t="n">
        <v>628000131</v>
      </c>
      <c r="B859" s="22" t="inlineStr">
        <is>
          <t>Aos Iskandar</t>
        </is>
      </c>
      <c r="C859" s="22" t="inlineStr">
        <is>
          <t>Mitra Kerja</t>
        </is>
      </c>
      <c r="D859" s="22" t="inlineStr">
        <is>
          <t>LOG</t>
        </is>
      </c>
      <c r="E859" s="22" t="inlineStr">
        <is>
          <t>WFG Borongan</t>
        </is>
      </c>
      <c r="F859" s="13" t="inlineStr">
        <is>
          <t>KARYAWAN</t>
        </is>
      </c>
    </row>
    <row r="860" ht="15.75" customHeight="1" s="169">
      <c r="A860" s="22" t="n">
        <v>628000132</v>
      </c>
      <c r="B860" s="22" t="inlineStr">
        <is>
          <t>Iskandar Dinata</t>
        </is>
      </c>
      <c r="C860" s="22" t="inlineStr">
        <is>
          <t>Mitra Kerja</t>
        </is>
      </c>
      <c r="D860" s="22" t="inlineStr">
        <is>
          <t>LOG</t>
        </is>
      </c>
      <c r="E860" s="22" t="inlineStr">
        <is>
          <t>WFG Borongan</t>
        </is>
      </c>
      <c r="F860" s="13" t="inlineStr">
        <is>
          <t>KARYAWAN</t>
        </is>
      </c>
    </row>
    <row r="861" ht="15.75" customHeight="1" s="169">
      <c r="A861" s="22" t="n">
        <v>628000133</v>
      </c>
      <c r="B861" s="22" t="inlineStr">
        <is>
          <t>Vika Damayanti</t>
        </is>
      </c>
      <c r="C861" s="22" t="inlineStr">
        <is>
          <t>Mitra Kerja</t>
        </is>
      </c>
      <c r="D861" s="22" t="inlineStr">
        <is>
          <t>PROD</t>
        </is>
      </c>
      <c r="E861" s="22" t="inlineStr">
        <is>
          <t>Produksi Borongan</t>
        </is>
      </c>
      <c r="F861" s="13" t="inlineStr">
        <is>
          <t>KARYAWAN</t>
        </is>
      </c>
    </row>
    <row r="862" ht="15.75" customHeight="1" s="169">
      <c r="A862" s="22" t="n">
        <v>628000134</v>
      </c>
      <c r="B862" s="22" t="inlineStr">
        <is>
          <t>Sumiati</t>
        </is>
      </c>
      <c r="C862" s="22" t="inlineStr">
        <is>
          <t>Mitra Kerja</t>
        </is>
      </c>
      <c r="D862" s="22" t="inlineStr">
        <is>
          <t>PROD</t>
        </is>
      </c>
      <c r="E862" s="22" t="inlineStr">
        <is>
          <t>Produksi Harian</t>
        </is>
      </c>
      <c r="F862" s="13" t="inlineStr">
        <is>
          <t>KARYAWAN</t>
        </is>
      </c>
    </row>
    <row r="863" ht="15.75" customHeight="1" s="169">
      <c r="A863" s="22" t="n">
        <v>628000135</v>
      </c>
      <c r="B863" s="22" t="inlineStr">
        <is>
          <t>Annisa Nanda Pratama</t>
        </is>
      </c>
      <c r="C863" s="22" t="inlineStr">
        <is>
          <t>Mitra Kerja</t>
        </is>
      </c>
      <c r="D863" s="22" t="inlineStr">
        <is>
          <t>PROD</t>
        </is>
      </c>
      <c r="E863" s="22" t="inlineStr">
        <is>
          <t>Produksi Harian</t>
        </is>
      </c>
      <c r="F863" s="13" t="inlineStr">
        <is>
          <t>KARYAWAN</t>
        </is>
      </c>
    </row>
    <row r="864" ht="15.75" customHeight="1" s="169">
      <c r="A864" s="22" t="n">
        <v>628000136</v>
      </c>
      <c r="B864" s="22" t="inlineStr">
        <is>
          <t>Dea Namira Pebrianti</t>
        </is>
      </c>
      <c r="C864" s="22" t="inlineStr">
        <is>
          <t>Mitra Kerja</t>
        </is>
      </c>
      <c r="D864" s="22" t="inlineStr">
        <is>
          <t>PROD</t>
        </is>
      </c>
      <c r="E864" s="22" t="inlineStr">
        <is>
          <t>Produksi Borongan</t>
        </is>
      </c>
      <c r="F864" s="13" t="inlineStr">
        <is>
          <t>KARYAWAN</t>
        </is>
      </c>
    </row>
    <row r="865" ht="15.75" customHeight="1" s="169">
      <c r="A865" s="22" t="n">
        <v>628000137</v>
      </c>
      <c r="B865" s="22" t="inlineStr">
        <is>
          <t>Irma Agustiani</t>
        </is>
      </c>
      <c r="C865" s="22" t="inlineStr">
        <is>
          <t>Mitra Kerja</t>
        </is>
      </c>
      <c r="D865" s="22" t="inlineStr">
        <is>
          <t>PROD</t>
        </is>
      </c>
      <c r="E865" s="22" t="inlineStr">
        <is>
          <t>Produksi Borongan</t>
        </is>
      </c>
      <c r="F865" s="13" t="inlineStr">
        <is>
          <t>KARYAWAN</t>
        </is>
      </c>
    </row>
    <row r="866" ht="15.75" customHeight="1" s="169">
      <c r="A866" s="22" t="n">
        <v>628000138</v>
      </c>
      <c r="B866" s="22" t="inlineStr">
        <is>
          <t>Annisa Putri Wahidah</t>
        </is>
      </c>
      <c r="C866" s="22" t="inlineStr">
        <is>
          <t>Mitra Kerja</t>
        </is>
      </c>
      <c r="D866" s="22" t="inlineStr">
        <is>
          <t>PROD</t>
        </is>
      </c>
      <c r="E866" s="22" t="inlineStr">
        <is>
          <t>Produksi Borongan</t>
        </is>
      </c>
      <c r="F866" s="13" t="inlineStr">
        <is>
          <t>KARYAWAN</t>
        </is>
      </c>
    </row>
    <row r="867" ht="15.75" customHeight="1" s="169">
      <c r="A867" s="22" t="n">
        <v>628000139</v>
      </c>
      <c r="B867" s="22" t="inlineStr">
        <is>
          <t>Evha Widiyaningsih</t>
        </is>
      </c>
      <c r="C867" s="22" t="inlineStr">
        <is>
          <t>Mitra Kerja</t>
        </is>
      </c>
      <c r="D867" s="22" t="inlineStr">
        <is>
          <t>PROD</t>
        </is>
      </c>
      <c r="E867" s="22" t="inlineStr">
        <is>
          <t>Produksi Borongan</t>
        </is>
      </c>
      <c r="F867" s="13" t="inlineStr">
        <is>
          <t>KARYAWAN</t>
        </is>
      </c>
    </row>
    <row r="868" ht="15.75" customHeight="1" s="169">
      <c r="A868" s="22" t="n">
        <v>628000140</v>
      </c>
      <c r="B868" s="22" t="inlineStr">
        <is>
          <t>Pitri Andriyani Rahayu</t>
        </is>
      </c>
      <c r="C868" s="22" t="inlineStr">
        <is>
          <t>Mitra Kerja</t>
        </is>
      </c>
      <c r="D868" s="22" t="inlineStr">
        <is>
          <t>PROD</t>
        </is>
      </c>
      <c r="E868" s="22" t="inlineStr">
        <is>
          <t>Produksi Borongan</t>
        </is>
      </c>
      <c r="F868" s="13" t="inlineStr">
        <is>
          <t>KARYAWAN</t>
        </is>
      </c>
    </row>
    <row r="869" ht="15.75" customHeight="1" s="169">
      <c r="A869" s="22" t="n">
        <v>628000141</v>
      </c>
      <c r="B869" s="22" t="inlineStr">
        <is>
          <t>Paramita Safitri</t>
        </is>
      </c>
      <c r="C869" s="22" t="inlineStr">
        <is>
          <t>Mitra Kerja</t>
        </is>
      </c>
      <c r="D869" s="22" t="inlineStr">
        <is>
          <t>PROD</t>
        </is>
      </c>
      <c r="E869" s="22" t="inlineStr">
        <is>
          <t>Produksi Borongan</t>
        </is>
      </c>
      <c r="F869" s="13" t="inlineStr">
        <is>
          <t>KARYAWAN</t>
        </is>
      </c>
    </row>
    <row r="870" ht="15.75" customHeight="1" s="169">
      <c r="A870" s="22" t="n">
        <v>628000142</v>
      </c>
      <c r="B870" s="22" t="inlineStr">
        <is>
          <t>Silvia Fitri Ramadan</t>
        </is>
      </c>
      <c r="C870" s="22" t="inlineStr">
        <is>
          <t>Mitra Kerja</t>
        </is>
      </c>
      <c r="D870" s="22" t="inlineStr">
        <is>
          <t>PROD</t>
        </is>
      </c>
      <c r="E870" s="22" t="inlineStr">
        <is>
          <t>Produksi Borongan</t>
        </is>
      </c>
      <c r="F870" s="13" t="inlineStr">
        <is>
          <t>KARYAWAN</t>
        </is>
      </c>
    </row>
    <row r="871" ht="15.75" customHeight="1" s="169">
      <c r="A871" s="22" t="n">
        <v>628000143</v>
      </c>
      <c r="B871" s="22" t="inlineStr">
        <is>
          <t>Layla Kodriyah</t>
        </is>
      </c>
      <c r="C871" s="22" t="inlineStr">
        <is>
          <t>Mitra Kerja</t>
        </is>
      </c>
      <c r="D871" s="22" t="inlineStr">
        <is>
          <t>PROD</t>
        </is>
      </c>
      <c r="E871" s="22" t="inlineStr">
        <is>
          <t>Produksi Borongan</t>
        </is>
      </c>
      <c r="F871" s="13" t="inlineStr">
        <is>
          <t>KARYAWAN</t>
        </is>
      </c>
    </row>
    <row r="872" ht="15.75" customHeight="1" s="169">
      <c r="A872" s="22" t="n">
        <v>628000144</v>
      </c>
      <c r="B872" s="22" t="inlineStr">
        <is>
          <t>Pia Amelia</t>
        </is>
      </c>
      <c r="C872" s="22" t="inlineStr">
        <is>
          <t>Mitra Kerja</t>
        </is>
      </c>
      <c r="D872" s="22" t="inlineStr">
        <is>
          <t>PROD</t>
        </is>
      </c>
      <c r="E872" s="22" t="inlineStr">
        <is>
          <t>Produksi Borongan</t>
        </is>
      </c>
      <c r="F872" s="13" t="inlineStr">
        <is>
          <t>KARYAWAN</t>
        </is>
      </c>
    </row>
    <row r="873" ht="15.75" customHeight="1" s="169">
      <c r="A873" s="22" t="n">
        <v>628000145</v>
      </c>
      <c r="B873" s="22" t="inlineStr">
        <is>
          <t>Oktaviyanti Ramadhani</t>
        </is>
      </c>
      <c r="C873" s="22" t="inlineStr">
        <is>
          <t>Mitra Kerja</t>
        </is>
      </c>
      <c r="D873" s="22" t="inlineStr">
        <is>
          <t>PROD</t>
        </is>
      </c>
      <c r="E873" s="22" t="inlineStr">
        <is>
          <t>Produksi Borongan</t>
        </is>
      </c>
      <c r="F873" s="13" t="inlineStr">
        <is>
          <t>KARYAWAN</t>
        </is>
      </c>
    </row>
    <row r="874" ht="15.75" customHeight="1" s="169">
      <c r="A874" s="22" t="n">
        <v>628000170</v>
      </c>
      <c r="B874" s="22" t="inlineStr">
        <is>
          <t>Didin</t>
        </is>
      </c>
      <c r="C874" s="22" t="inlineStr">
        <is>
          <t>Mitra Kerja</t>
        </is>
      </c>
      <c r="D874" s="22" t="inlineStr">
        <is>
          <t>LOG</t>
        </is>
      </c>
      <c r="E874" s="22" t="inlineStr">
        <is>
          <t>WFG Borongan</t>
        </is>
      </c>
      <c r="F874" s="13" t="inlineStr">
        <is>
          <t>KARYAWAN</t>
        </is>
      </c>
    </row>
    <row r="875" ht="15.75" customHeight="1" s="169">
      <c r="A875" s="13" t="n">
        <v>928000001</v>
      </c>
      <c r="B875" s="13" t="inlineStr">
        <is>
          <t>YOGA</t>
        </is>
      </c>
      <c r="C875" s="13" t="inlineStr">
        <is>
          <t>VENDOR</t>
        </is>
      </c>
      <c r="D875" s="13" t="inlineStr">
        <is>
          <t>NUMS</t>
        </is>
      </c>
      <c r="E875" s="13" t="inlineStr">
        <is>
          <t>VENDOR ADMIN</t>
        </is>
      </c>
      <c r="F875" s="13" t="inlineStr">
        <is>
          <t>PENGAWAS</t>
        </is>
      </c>
      <c r="G875" s="13" t="inlineStr">
        <is>
          <t>PGW0912</t>
        </is>
      </c>
    </row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  <row r="1001" ht="15.75" customHeight="1" s="169"/>
  </sheetData>
  <autoFilter ref="$A$1:$G$8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8"/>
  <sheetViews>
    <sheetView workbookViewId="0">
      <selection activeCell="A1" sqref="A1"/>
    </sheetView>
  </sheetViews>
  <sheetFormatPr baseColWidth="8" defaultColWidth="12.63" defaultRowHeight="15" customHeight="1"/>
  <cols>
    <col width="49.75" customWidth="1" style="169" min="2" max="2"/>
    <col width="31.63" customWidth="1" style="169" min="3" max="3"/>
    <col width="54.25" customWidth="1" style="169" min="4" max="4"/>
    <col width="46.5" customWidth="1" style="169" min="8" max="8"/>
  </cols>
  <sheetData>
    <row r="1">
      <c r="D1" s="13">
        <f>IMAGE("https://barcode.tec-it.com/barcode.ashx?data=" &amp; A7 &amp; "&amp;code=Code128")</f>
        <v/>
      </c>
    </row>
    <row r="6" ht="150" customHeight="1" s="169">
      <c r="A6" s="13" t="inlineStr">
        <is>
          <t>MK00160</t>
        </is>
      </c>
      <c r="H6" s="13">
        <f>IMAGE("https://barcode.tec-it.com/barcode.ashx?data=" &amp; A6 &amp; "&amp;code=Code128")</f>
        <v/>
      </c>
    </row>
    <row r="7" ht="150" customHeight="1" s="169">
      <c r="A7" s="13" t="inlineStr">
        <is>
          <t>MK00171</t>
        </is>
      </c>
      <c r="D7" s="13">
        <f>IMAGE("https://barcode.tec-it.com/barcode.ashx?data=" &amp; A7 &amp; "&amp;code=Code128")</f>
        <v/>
      </c>
    </row>
    <row r="8" ht="150" customHeight="1" s="169">
      <c r="A8" s="13" t="inlineStr">
        <is>
          <t>MK0090</t>
        </is>
      </c>
      <c r="B8" s="13">
        <f>IMAGE("https://barcode.tec-it.com/barcode.ashx?data=" &amp; A8 &amp; "&amp;code=Code128")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24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0.5" customWidth="1" style="169" min="1" max="8"/>
  </cols>
  <sheetData>
    <row r="1">
      <c r="A1" s="13" t="inlineStr">
        <is>
          <t>NO_KARTU_MK</t>
        </is>
      </c>
      <c r="B1" s="13" t="inlineStr">
        <is>
          <t>NIK</t>
        </is>
      </c>
      <c r="C1" s="13" t="inlineStr">
        <is>
          <t>NAMA</t>
        </is>
      </c>
      <c r="D1" s="13" t="inlineStr">
        <is>
          <t>DEPT</t>
        </is>
      </c>
      <c r="E1" s="13" t="inlineStr">
        <is>
          <t>JABATAN</t>
        </is>
      </c>
      <c r="F1" s="13" t="inlineStr">
        <is>
          <t>WAKTU_BIND</t>
        </is>
      </c>
      <c r="G1" s="13" t="inlineStr">
        <is>
          <t>STATUS</t>
        </is>
      </c>
      <c r="H1" s="13" t="inlineStr">
        <is>
          <t>WAKTU_RELEASE</t>
        </is>
      </c>
    </row>
    <row r="2">
      <c r="A2" s="13" t="inlineStr">
        <is>
          <t>MK0090</t>
        </is>
      </c>
      <c r="B2" s="13" t="n">
        <v>528000069</v>
      </c>
      <c r="C2" s="13" t="inlineStr">
        <is>
          <t>Jajang Ardiansyah</t>
        </is>
      </c>
      <c r="D2" s="13" t="inlineStr">
        <is>
          <t>PROD</t>
        </is>
      </c>
      <c r="E2" s="13" t="inlineStr">
        <is>
          <t>Produksi Harian</t>
        </is>
      </c>
      <c r="F2" s="170" t="n">
        <v>46164.85295138889</v>
      </c>
      <c r="G2" s="13" t="inlineStr">
        <is>
          <t>FREE</t>
        </is>
      </c>
      <c r="H2" s="170" t="n">
        <v>46164.85541666667</v>
      </c>
    </row>
    <row r="3">
      <c r="A3" s="13" t="inlineStr">
        <is>
          <t>MK00160</t>
        </is>
      </c>
      <c r="B3" s="13" t="n">
        <v>628000039</v>
      </c>
      <c r="C3" s="13" t="inlineStr">
        <is>
          <t>Nani Maryani</t>
        </is>
      </c>
      <c r="D3" s="13" t="inlineStr">
        <is>
          <t>PROD</t>
        </is>
      </c>
      <c r="E3" s="13" t="inlineStr">
        <is>
          <t>Produksi Borongan</t>
        </is>
      </c>
      <c r="F3" s="170" t="n">
        <v>46166.99013888889</v>
      </c>
      <c r="G3" s="13" t="inlineStr">
        <is>
          <t>FREE</t>
        </is>
      </c>
      <c r="H3" s="170" t="n">
        <v>46186.95804398148</v>
      </c>
    </row>
    <row r="4">
      <c r="A4" s="13" t="inlineStr">
        <is>
          <t>MK00112</t>
        </is>
      </c>
      <c r="B4" s="13" t="n">
        <v>528000016</v>
      </c>
      <c r="C4" s="13" t="inlineStr">
        <is>
          <t>Randi Apriyanto</t>
        </is>
      </c>
      <c r="D4" s="13" t="inlineStr">
        <is>
          <t>LOG</t>
        </is>
      </c>
      <c r="E4" s="13" t="inlineStr">
        <is>
          <t>WRM Harian</t>
        </is>
      </c>
      <c r="F4" s="170" t="n">
        <v>46171.00888888889</v>
      </c>
      <c r="G4" s="13" t="inlineStr">
        <is>
          <t>FREE</t>
        </is>
      </c>
      <c r="H4" s="170" t="n">
        <v>46171.0116087963</v>
      </c>
    </row>
    <row r="5">
      <c r="A5" s="13" t="inlineStr">
        <is>
          <t>MK00112</t>
        </is>
      </c>
      <c r="B5" s="13" t="n">
        <v>528000059</v>
      </c>
      <c r="C5" s="13" t="inlineStr">
        <is>
          <t>N. Santika Dewi</t>
        </is>
      </c>
      <c r="D5" s="13" t="inlineStr">
        <is>
          <t>PROD</t>
        </is>
      </c>
      <c r="E5" s="13" t="inlineStr">
        <is>
          <t>Produksi Harian</t>
        </is>
      </c>
      <c r="F5" s="170" t="n">
        <v>46171.02296296296</v>
      </c>
      <c r="G5" s="13" t="inlineStr">
        <is>
          <t>FREE</t>
        </is>
      </c>
      <c r="H5" s="170" t="n">
        <v>46171.02444444445</v>
      </c>
    </row>
    <row r="6">
      <c r="A6" s="13" t="inlineStr">
        <is>
          <t>MK00126</t>
        </is>
      </c>
      <c r="B6" s="13" t="n">
        <v>528000052</v>
      </c>
      <c r="C6" s="13" t="inlineStr">
        <is>
          <t>Mustopa</t>
        </is>
      </c>
      <c r="D6" s="13" t="inlineStr">
        <is>
          <t>PROD</t>
        </is>
      </c>
      <c r="E6" s="13" t="inlineStr">
        <is>
          <t>Produksi Harian</t>
        </is>
      </c>
      <c r="F6" s="170" t="n">
        <v>46171.02648148148</v>
      </c>
      <c r="G6" s="13" t="inlineStr">
        <is>
          <t>FREE</t>
        </is>
      </c>
      <c r="H6" s="170" t="n">
        <v>46171.02702546296</v>
      </c>
    </row>
    <row r="7">
      <c r="A7" s="13" t="inlineStr">
        <is>
          <t>MK00112</t>
        </is>
      </c>
      <c r="B7" s="13" t="n">
        <v>528000059</v>
      </c>
      <c r="C7" s="13" t="inlineStr">
        <is>
          <t>N. Santika Dewi</t>
        </is>
      </c>
      <c r="D7" s="13" t="inlineStr">
        <is>
          <t>PROD</t>
        </is>
      </c>
      <c r="E7" s="13" t="inlineStr">
        <is>
          <t>Produksi Harian</t>
        </is>
      </c>
      <c r="F7" s="170" t="n">
        <v>46171.04155092593</v>
      </c>
      <c r="G7" s="13" t="inlineStr">
        <is>
          <t>FREE</t>
        </is>
      </c>
      <c r="H7" s="170" t="n">
        <v>46087.58015046296</v>
      </c>
    </row>
    <row r="8">
      <c r="A8" s="13" t="inlineStr">
        <is>
          <t>CK0093</t>
        </is>
      </c>
      <c r="B8" s="13" t="n">
        <v>528000055</v>
      </c>
      <c r="C8" s="13" t="inlineStr">
        <is>
          <t>Dika Prasetya</t>
        </is>
      </c>
      <c r="D8" s="13" t="inlineStr">
        <is>
          <t>LOG</t>
        </is>
      </c>
      <c r="E8" s="13" t="inlineStr">
        <is>
          <t>WRM Harian</t>
        </is>
      </c>
      <c r="F8" s="170" t="n">
        <v>46171.25021990741</v>
      </c>
      <c r="G8" s="13" t="inlineStr">
        <is>
          <t>FREE</t>
        </is>
      </c>
      <c r="H8" s="170" t="n">
        <v>46087.58065972223</v>
      </c>
    </row>
    <row r="9">
      <c r="A9" s="13" t="inlineStr">
        <is>
          <t>MK00156</t>
        </is>
      </c>
      <c r="B9" s="13" t="n">
        <v>528000201</v>
      </c>
      <c r="C9" s="13" t="inlineStr">
        <is>
          <t>Zahwa Amelia Choerunissa</t>
        </is>
      </c>
      <c r="D9" s="13" t="inlineStr">
        <is>
          <t>PROD</t>
        </is>
      </c>
      <c r="E9" s="13" t="inlineStr">
        <is>
          <t>Produksi Harian</t>
        </is>
      </c>
      <c r="F9" s="170" t="n">
        <v>46171.31512731482</v>
      </c>
      <c r="G9" s="13" t="inlineStr">
        <is>
          <t>FREE</t>
        </is>
      </c>
      <c r="H9" s="170" t="n">
        <v>46028.24248842592</v>
      </c>
    </row>
    <row r="10">
      <c r="A10" s="13" t="inlineStr">
        <is>
          <t>MK00184</t>
        </is>
      </c>
      <c r="B10" s="13" t="n">
        <v>528000099</v>
      </c>
      <c r="C10" s="13" t="inlineStr">
        <is>
          <t>Siti Nurawaliah</t>
        </is>
      </c>
      <c r="D10" s="13" t="inlineStr">
        <is>
          <t>PROD</t>
        </is>
      </c>
      <c r="E10" s="13" t="inlineStr">
        <is>
          <t>Produksi Harian</t>
        </is>
      </c>
      <c r="F10" s="170" t="n">
        <v>46171.31690972222</v>
      </c>
      <c r="G10" s="13" t="inlineStr">
        <is>
          <t>FREE</t>
        </is>
      </c>
      <c r="H10" s="170" t="n">
        <v>46059.23541666667</v>
      </c>
    </row>
    <row r="11">
      <c r="A11" s="13" t="inlineStr">
        <is>
          <t>MK00116</t>
        </is>
      </c>
      <c r="B11" s="13" t="n">
        <v>528000244</v>
      </c>
      <c r="C11" s="13" t="inlineStr">
        <is>
          <t>Rodian Rifai</t>
        </is>
      </c>
      <c r="D11" s="13" t="inlineStr">
        <is>
          <t>PROD</t>
        </is>
      </c>
      <c r="E11" s="13" t="inlineStr">
        <is>
          <t>Produksi Harian</t>
        </is>
      </c>
      <c r="F11" s="170" t="n">
        <v>46171.32001157408</v>
      </c>
      <c r="G11" s="13" t="inlineStr">
        <is>
          <t>FREE</t>
        </is>
      </c>
      <c r="H11" s="170" t="n">
        <v>46171.67283564815</v>
      </c>
    </row>
    <row r="12">
      <c r="A12" s="13" t="inlineStr">
        <is>
          <t>MK00181</t>
        </is>
      </c>
      <c r="B12" s="13" t="n">
        <v>528000286</v>
      </c>
      <c r="C12" s="13" t="inlineStr">
        <is>
          <t>Imelda Amelia</t>
        </is>
      </c>
      <c r="D12" s="13" t="inlineStr">
        <is>
          <t>PROD</t>
        </is>
      </c>
      <c r="E12" s="13" t="inlineStr">
        <is>
          <t>Produksi Harian</t>
        </is>
      </c>
      <c r="F12" s="170" t="n">
        <v>46171.32502314815</v>
      </c>
      <c r="G12" s="13" t="inlineStr">
        <is>
          <t>FREE</t>
        </is>
      </c>
      <c r="H12" s="170" t="n">
        <v>46172.01158564815</v>
      </c>
    </row>
    <row r="13">
      <c r="A13" s="13" t="inlineStr">
        <is>
          <t>MK00118</t>
        </is>
      </c>
      <c r="B13" s="13" t="n">
        <v>528000228</v>
      </c>
      <c r="C13" s="13" t="inlineStr">
        <is>
          <t>Banyu Resmi Putri</t>
        </is>
      </c>
      <c r="D13" s="13" t="inlineStr">
        <is>
          <t>PROD</t>
        </is>
      </c>
      <c r="E13" s="13" t="inlineStr">
        <is>
          <t>Produksi Harian</t>
        </is>
      </c>
      <c r="F13" s="170" t="n">
        <v>46171.32877314815</v>
      </c>
      <c r="G13" s="13" t="inlineStr">
        <is>
          <t>FREE</t>
        </is>
      </c>
      <c r="H13" s="170" t="n">
        <v>46059.33512731481</v>
      </c>
    </row>
    <row r="14">
      <c r="A14" s="13" t="inlineStr">
        <is>
          <t>MK00082</t>
        </is>
      </c>
      <c r="B14" s="13" t="n">
        <v>528000241</v>
      </c>
      <c r="C14" s="13" t="inlineStr">
        <is>
          <t>Balia Nurafif Bilah</t>
        </is>
      </c>
      <c r="D14" s="13" t="inlineStr">
        <is>
          <t>PROD</t>
        </is>
      </c>
      <c r="E14" s="13" t="inlineStr">
        <is>
          <t>Produksi Harian</t>
        </is>
      </c>
      <c r="F14" s="170" t="n">
        <v>46171.33185185185</v>
      </c>
      <c r="G14" s="13" t="inlineStr">
        <is>
          <t>FREE</t>
        </is>
      </c>
      <c r="H14" s="170" t="n">
        <v>46171.67063657408</v>
      </c>
    </row>
    <row r="15">
      <c r="A15" s="13" t="inlineStr">
        <is>
          <t>MK00155</t>
        </is>
      </c>
      <c r="B15" s="13" t="n">
        <v>528000212</v>
      </c>
      <c r="C15" s="13" t="inlineStr">
        <is>
          <t>Rizal Fauzi</t>
        </is>
      </c>
      <c r="D15" s="13" t="inlineStr">
        <is>
          <t>PROD</t>
        </is>
      </c>
      <c r="E15" s="13" t="inlineStr">
        <is>
          <t>Produksi Harian</t>
        </is>
      </c>
      <c r="F15" s="170" t="n">
        <v>46171.33337962963</v>
      </c>
      <c r="G15" s="13" t="inlineStr">
        <is>
          <t>FREE</t>
        </is>
      </c>
      <c r="H15" s="170" t="n">
        <v>46171.69028935185</v>
      </c>
    </row>
    <row r="16">
      <c r="A16" s="13" t="inlineStr">
        <is>
          <t>MK00085</t>
        </is>
      </c>
      <c r="B16" s="13" t="n">
        <v>528000290</v>
      </c>
      <c r="C16" s="13" t="inlineStr">
        <is>
          <t>Eval Pranata</t>
        </is>
      </c>
      <c r="D16" s="13" t="inlineStr">
        <is>
          <t>PROD</t>
        </is>
      </c>
      <c r="E16" s="13" t="inlineStr">
        <is>
          <t>Produksi Harian</t>
        </is>
      </c>
      <c r="F16" s="170" t="n">
        <v>46171.33372685185</v>
      </c>
      <c r="G16" s="13" t="inlineStr">
        <is>
          <t>FREE</t>
        </is>
      </c>
      <c r="H16" s="170" t="n">
        <v>46171.67226851852</v>
      </c>
    </row>
    <row r="17">
      <c r="A17" s="13" t="inlineStr">
        <is>
          <t>MK00136</t>
        </is>
      </c>
      <c r="B17" s="13" t="n">
        <v>528000274</v>
      </c>
      <c r="C17" s="13" t="inlineStr">
        <is>
          <t>Zepri</t>
        </is>
      </c>
      <c r="D17" s="13" t="inlineStr">
        <is>
          <t>PROD</t>
        </is>
      </c>
      <c r="E17" s="13" t="inlineStr">
        <is>
          <t>Produksi Harian</t>
        </is>
      </c>
      <c r="F17" s="170" t="n">
        <v>46171.33498842592</v>
      </c>
      <c r="G17" s="13" t="inlineStr">
        <is>
          <t>FREE</t>
        </is>
      </c>
      <c r="H17" s="170" t="n">
        <v>46171.67193287037</v>
      </c>
    </row>
    <row r="18">
      <c r="A18" s="13" t="inlineStr">
        <is>
          <t>MK00093</t>
        </is>
      </c>
      <c r="B18" s="13" t="n">
        <v>528000090</v>
      </c>
      <c r="C18" s="13" t="inlineStr">
        <is>
          <t>Suganda</t>
        </is>
      </c>
      <c r="D18" s="13" t="inlineStr">
        <is>
          <t>PROD</t>
        </is>
      </c>
      <c r="E18" s="13" t="inlineStr">
        <is>
          <t>Produksi Harian</t>
        </is>
      </c>
      <c r="F18" s="170" t="n">
        <v>46171.33525462963</v>
      </c>
      <c r="G18" s="13" t="inlineStr">
        <is>
          <t>FREE</t>
        </is>
      </c>
      <c r="H18" s="170" t="n">
        <v>46171.66967592593</v>
      </c>
    </row>
    <row r="19">
      <c r="A19" s="13" t="inlineStr">
        <is>
          <t>MK00138</t>
        </is>
      </c>
      <c r="B19" s="13" t="n">
        <v>528000273</v>
      </c>
      <c r="C19" s="13" t="inlineStr">
        <is>
          <t>Asep Mulyana</t>
        </is>
      </c>
      <c r="D19" s="13" t="inlineStr">
        <is>
          <t>PROD</t>
        </is>
      </c>
      <c r="E19" s="13" t="inlineStr">
        <is>
          <t>Produksi Harian</t>
        </is>
      </c>
      <c r="F19" s="170" t="n">
        <v>46171.33810185185</v>
      </c>
      <c r="G19" s="13" t="inlineStr">
        <is>
          <t>FREE</t>
        </is>
      </c>
      <c r="H19" s="170" t="n">
        <v>46171.67328703704</v>
      </c>
    </row>
    <row r="20">
      <c r="A20" s="13" t="inlineStr">
        <is>
          <t>MK00141</t>
        </is>
      </c>
      <c r="B20" s="13" t="n">
        <v>528000098</v>
      </c>
      <c r="C20" s="13" t="inlineStr">
        <is>
          <t>Edi Junaedi</t>
        </is>
      </c>
      <c r="D20" s="13" t="inlineStr">
        <is>
          <t>PROD</t>
        </is>
      </c>
      <c r="E20" s="13" t="inlineStr">
        <is>
          <t>Produksi Harian</t>
        </is>
      </c>
      <c r="F20" s="170" t="n">
        <v>46171.64280092593</v>
      </c>
      <c r="G20" s="13" t="inlineStr">
        <is>
          <t>FREE</t>
        </is>
      </c>
      <c r="H20" s="170" t="n">
        <v>46172.00589120371</v>
      </c>
    </row>
    <row r="21">
      <c r="A21" s="13" t="inlineStr">
        <is>
          <t>MK00151</t>
        </is>
      </c>
      <c r="B21" s="13" t="n">
        <v>628000061</v>
      </c>
      <c r="C21" s="13" t="inlineStr">
        <is>
          <t>Nayla Fadillah Exwantoro</t>
        </is>
      </c>
      <c r="D21" s="13" t="inlineStr">
        <is>
          <t>PROD</t>
        </is>
      </c>
      <c r="E21" s="13" t="inlineStr">
        <is>
          <t>Produksi Borongan</t>
        </is>
      </c>
      <c r="F21" s="170" t="n">
        <v>46171.64835648148</v>
      </c>
      <c r="G21" s="13" t="inlineStr">
        <is>
          <t>FREE</t>
        </is>
      </c>
      <c r="H21" s="170" t="n">
        <v>46172.01060185185</v>
      </c>
    </row>
    <row r="22">
      <c r="A22" s="13" t="inlineStr">
        <is>
          <t>MK00158</t>
        </is>
      </c>
      <c r="B22" s="13" t="n">
        <v>528000299</v>
      </c>
      <c r="C22" s="13" t="inlineStr">
        <is>
          <t>Siti Nurjanah</t>
        </is>
      </c>
      <c r="D22" s="13" t="inlineStr">
        <is>
          <t>PROD</t>
        </is>
      </c>
      <c r="E22" s="13" t="inlineStr">
        <is>
          <t>Produksi Harian</t>
        </is>
      </c>
      <c r="F22" s="170" t="n">
        <v>46171.65759259259</v>
      </c>
      <c r="G22" s="13" t="inlineStr">
        <is>
          <t>FREE</t>
        </is>
      </c>
      <c r="H22" s="170" t="n">
        <v>46172.00747685185</v>
      </c>
    </row>
    <row r="23">
      <c r="A23" s="13" t="inlineStr">
        <is>
          <t>MK00145</t>
        </is>
      </c>
      <c r="B23" s="13" t="n">
        <v>528000302</v>
      </c>
      <c r="C23" s="13" t="inlineStr">
        <is>
          <t>Henkey gumilar</t>
        </is>
      </c>
      <c r="D23" s="13" t="inlineStr">
        <is>
          <t>PROD</t>
        </is>
      </c>
      <c r="E23" s="13" t="inlineStr">
        <is>
          <t>Produksi Harian</t>
        </is>
      </c>
      <c r="F23" s="170" t="n">
        <v>46171.66520833333</v>
      </c>
      <c r="G23" s="13" t="inlineStr">
        <is>
          <t>FREE</t>
        </is>
      </c>
      <c r="H23" s="170" t="n">
        <v>46172.00869212963</v>
      </c>
    </row>
    <row r="24">
      <c r="A24" s="13" t="inlineStr">
        <is>
          <t>MK00150</t>
        </is>
      </c>
      <c r="B24" s="13" t="n">
        <v>628000091</v>
      </c>
      <c r="C24" s="13" t="inlineStr">
        <is>
          <t>Devita Handayani</t>
        </is>
      </c>
      <c r="D24" s="13" t="inlineStr">
        <is>
          <t>PROD</t>
        </is>
      </c>
      <c r="E24" s="13" t="inlineStr">
        <is>
          <t>Produksi Borongan</t>
        </is>
      </c>
      <c r="F24" s="170" t="n">
        <v>46171.6665625</v>
      </c>
      <c r="G24" s="13" t="inlineStr">
        <is>
          <t>FREE</t>
        </is>
      </c>
      <c r="H24" s="170" t="n">
        <v>46172.00947916666</v>
      </c>
    </row>
    <row r="25">
      <c r="A25" s="13" t="inlineStr">
        <is>
          <t>MK00046</t>
        </is>
      </c>
      <c r="B25" s="13" t="n">
        <v>528000015</v>
      </c>
      <c r="C25" s="13" t="inlineStr">
        <is>
          <t>Erwin</t>
        </is>
      </c>
      <c r="D25" s="13" t="inlineStr">
        <is>
          <t>LOG</t>
        </is>
      </c>
      <c r="E25" s="13" t="inlineStr">
        <is>
          <t>WRM Harian</t>
        </is>
      </c>
      <c r="F25" s="170" t="n">
        <v>46171.66974537037</v>
      </c>
      <c r="G25" s="13" t="inlineStr">
        <is>
          <t>FREE</t>
        </is>
      </c>
      <c r="H25" s="170" t="n">
        <v>46028.91469907408</v>
      </c>
    </row>
    <row r="26">
      <c r="A26" s="13" t="inlineStr">
        <is>
          <t>MK00155</t>
        </is>
      </c>
      <c r="B26" s="13" t="n">
        <v>528000282</v>
      </c>
      <c r="C26" s="13" t="inlineStr">
        <is>
          <t>Defa Desfiana</t>
        </is>
      </c>
      <c r="D26" s="13" t="inlineStr">
        <is>
          <t>PROD</t>
        </is>
      </c>
      <c r="E26" s="13" t="inlineStr">
        <is>
          <t>Produksi Harian</t>
        </is>
      </c>
      <c r="F26" s="170" t="n">
        <v>46171.73553240741</v>
      </c>
      <c r="G26" s="13" t="inlineStr">
        <is>
          <t>FREE</t>
        </is>
      </c>
      <c r="H26" s="170" t="n">
        <v>46171.96311342593</v>
      </c>
    </row>
    <row r="27">
      <c r="A27" s="13" t="inlineStr">
        <is>
          <t>MK00085</t>
        </is>
      </c>
      <c r="B27" s="13" t="n">
        <v>528000265</v>
      </c>
      <c r="C27" s="13" t="inlineStr">
        <is>
          <t>Muhammad Haerul Rozikin</t>
        </is>
      </c>
      <c r="D27" s="13" t="inlineStr">
        <is>
          <t>LOG</t>
        </is>
      </c>
      <c r="E27" s="13" t="inlineStr">
        <is>
          <t>WRM Harian</t>
        </is>
      </c>
      <c r="F27" s="170" t="n">
        <v>46171.73795138889</v>
      </c>
      <c r="G27" s="13" t="inlineStr">
        <is>
          <t>FREE</t>
        </is>
      </c>
      <c r="H27" s="170" t="n">
        <v>46171.96349537037</v>
      </c>
    </row>
    <row r="28">
      <c r="A28" s="13" t="inlineStr">
        <is>
          <t>MK00136</t>
        </is>
      </c>
      <c r="B28" s="13" t="n">
        <v>528000351</v>
      </c>
      <c r="C28" s="13" t="inlineStr">
        <is>
          <t>Mulyana</t>
        </is>
      </c>
      <c r="D28" s="13" t="inlineStr">
        <is>
          <t>PROD</t>
        </is>
      </c>
      <c r="E28" s="13" t="inlineStr">
        <is>
          <t>Produksi Harian</t>
        </is>
      </c>
      <c r="F28" s="170" t="n">
        <v>46171.75377314815</v>
      </c>
      <c r="G28" s="13" t="inlineStr">
        <is>
          <t>FREE</t>
        </is>
      </c>
      <c r="H28" s="170" t="n">
        <v>46171.96254629629</v>
      </c>
    </row>
    <row r="29">
      <c r="A29" s="13" t="inlineStr">
        <is>
          <t>MK008I</t>
        </is>
      </c>
      <c r="B29" s="13" t="n">
        <v>528000288</v>
      </c>
      <c r="C29" s="13" t="inlineStr">
        <is>
          <t>Dede gunawan</t>
        </is>
      </c>
      <c r="D29" s="13" t="inlineStr">
        <is>
          <t>PROD</t>
        </is>
      </c>
      <c r="E29" s="13" t="inlineStr">
        <is>
          <t>Produksi Harian</t>
        </is>
      </c>
      <c r="F29" s="170" t="n">
        <v>46171.96695601852</v>
      </c>
      <c r="G29" s="13" t="inlineStr">
        <is>
          <t>FREE</t>
        </is>
      </c>
      <c r="H29" s="170" t="n">
        <v>46198.8299537037</v>
      </c>
    </row>
    <row r="30">
      <c r="A30" s="13" t="inlineStr">
        <is>
          <t>MK00116</t>
        </is>
      </c>
      <c r="B30" s="13" t="n">
        <v>528000306</v>
      </c>
      <c r="C30" s="13" t="inlineStr">
        <is>
          <t>Windy Olivia</t>
        </is>
      </c>
      <c r="D30" s="13" t="inlineStr">
        <is>
          <t>PROD</t>
        </is>
      </c>
      <c r="E30" s="13" t="inlineStr">
        <is>
          <t>Produksi Harian</t>
        </is>
      </c>
      <c r="F30" s="170" t="n">
        <v>46171.98898148148</v>
      </c>
      <c r="G30" s="13" t="inlineStr">
        <is>
          <t>FREE</t>
        </is>
      </c>
      <c r="H30" s="170" t="n">
        <v>46172.3390625</v>
      </c>
    </row>
    <row r="31">
      <c r="A31" s="13" t="inlineStr">
        <is>
          <t>MK00155</t>
        </is>
      </c>
      <c r="B31" s="13" t="n">
        <v>628000064</v>
      </c>
      <c r="C31" s="13" t="inlineStr">
        <is>
          <t>Silva Alypia</t>
        </is>
      </c>
      <c r="D31" s="13" t="inlineStr">
        <is>
          <t>PROD</t>
        </is>
      </c>
      <c r="E31" s="13" t="inlineStr">
        <is>
          <t>Produksi Borongan</t>
        </is>
      </c>
      <c r="F31" s="170" t="n">
        <v>46171.99618055556</v>
      </c>
      <c r="G31" s="13" t="inlineStr">
        <is>
          <t>FREE</t>
        </is>
      </c>
      <c r="H31" s="170" t="n">
        <v>46172.33902777778</v>
      </c>
    </row>
    <row r="32">
      <c r="A32" s="13" t="inlineStr">
        <is>
          <t>MK00085</t>
        </is>
      </c>
      <c r="B32" s="13" t="n">
        <v>528000279</v>
      </c>
      <c r="C32" s="13" t="inlineStr">
        <is>
          <t>Mahdalena Dalfa Riani</t>
        </is>
      </c>
      <c r="D32" s="13" t="inlineStr">
        <is>
          <t>PROD</t>
        </is>
      </c>
      <c r="E32" s="13" t="inlineStr">
        <is>
          <t>Produksi Harian</t>
        </is>
      </c>
      <c r="F32" s="170" t="n">
        <v>46171.99938657408</v>
      </c>
      <c r="G32" s="13" t="inlineStr">
        <is>
          <t>FREE</t>
        </is>
      </c>
      <c r="H32" s="170" t="n">
        <v>46172.33899305556</v>
      </c>
    </row>
    <row r="33">
      <c r="A33" s="13" t="inlineStr">
        <is>
          <t>MK00082</t>
        </is>
      </c>
      <c r="B33" s="13" t="n">
        <v>528000297</v>
      </c>
      <c r="C33" s="13" t="inlineStr">
        <is>
          <t>Muhamad Budiana</t>
        </is>
      </c>
      <c r="D33" s="13" t="inlineStr">
        <is>
          <t>PROD</t>
        </is>
      </c>
      <c r="E33" s="13" t="inlineStr">
        <is>
          <t>Produksi Harian</t>
        </is>
      </c>
      <c r="F33" s="170" t="n">
        <v>46171.99956018518</v>
      </c>
      <c r="G33" s="13" t="inlineStr">
        <is>
          <t>FREE</t>
        </is>
      </c>
      <c r="H33" s="170" t="n">
        <v>46172.3394212963</v>
      </c>
    </row>
    <row r="34">
      <c r="A34" s="13" t="inlineStr">
        <is>
          <t>MK00145</t>
        </is>
      </c>
      <c r="B34" s="13" t="n">
        <v>528000302</v>
      </c>
      <c r="C34" s="13" t="inlineStr">
        <is>
          <t>Henkey gumilar</t>
        </is>
      </c>
      <c r="D34" s="13" t="inlineStr">
        <is>
          <t>PROD</t>
        </is>
      </c>
      <c r="E34" s="13" t="inlineStr">
        <is>
          <t>Produksi Harian</t>
        </is>
      </c>
      <c r="F34" s="170" t="n">
        <v>46172.01523148148</v>
      </c>
      <c r="G34" s="13" t="inlineStr">
        <is>
          <t>FREE</t>
        </is>
      </c>
      <c r="H34" s="170" t="n">
        <v>46172.01560185185</v>
      </c>
    </row>
    <row r="35">
      <c r="A35" s="13" t="inlineStr">
        <is>
          <t>MK528000144</t>
        </is>
      </c>
      <c r="B35" s="13" t="n">
        <v>528000144</v>
      </c>
      <c r="C35" s="13" t="inlineStr">
        <is>
          <t>Jodi Hanafi</t>
        </is>
      </c>
      <c r="D35" s="13" t="inlineStr">
        <is>
          <t>LOG</t>
        </is>
      </c>
      <c r="E35" s="13" t="inlineStr">
        <is>
          <t>WRM Harian</t>
        </is>
      </c>
      <c r="F35" s="170" t="n">
        <v>46172.01905092593</v>
      </c>
      <c r="G35" s="13" t="inlineStr">
        <is>
          <t>FREE</t>
        </is>
      </c>
      <c r="H35" s="170" t="n">
        <v>46087.33180555556</v>
      </c>
    </row>
    <row r="36">
      <c r="A36" s="13" t="inlineStr">
        <is>
          <t>MK00093</t>
        </is>
      </c>
      <c r="B36" s="13" t="n">
        <v>528000273</v>
      </c>
      <c r="C36" s="13" t="inlineStr">
        <is>
          <t>Asep Mulyana</t>
        </is>
      </c>
      <c r="D36" s="13" t="inlineStr">
        <is>
          <t>PROD</t>
        </is>
      </c>
      <c r="E36" s="13" t="inlineStr">
        <is>
          <t>Produksi Harian</t>
        </is>
      </c>
      <c r="F36" s="170" t="n">
        <v>46172.07994212963</v>
      </c>
      <c r="G36" s="13" t="inlineStr">
        <is>
          <t>FREE</t>
        </is>
      </c>
      <c r="H36" s="170" t="n">
        <v>46172.29450231481</v>
      </c>
    </row>
    <row r="37">
      <c r="A37" s="13" t="inlineStr">
        <is>
          <t>MK00158</t>
        </is>
      </c>
      <c r="B37" s="13" t="n">
        <v>528000244</v>
      </c>
      <c r="C37" s="13" t="inlineStr">
        <is>
          <t>Rodian Rifai</t>
        </is>
      </c>
      <c r="D37" s="13" t="inlineStr">
        <is>
          <t>PROD</t>
        </is>
      </c>
      <c r="E37" s="13" t="inlineStr">
        <is>
          <t>Produksi Harian</t>
        </is>
      </c>
      <c r="F37" s="170" t="n">
        <v>46172.31322916667</v>
      </c>
      <c r="G37" s="13" t="inlineStr">
        <is>
          <t>FREE</t>
        </is>
      </c>
      <c r="H37" s="170" t="n">
        <v>46172.67387731482</v>
      </c>
    </row>
    <row r="38">
      <c r="A38" s="13" t="inlineStr">
        <is>
          <t>MKZ0138</t>
        </is>
      </c>
      <c r="B38" s="13" t="n">
        <v>528000301</v>
      </c>
      <c r="C38" s="13" t="inlineStr">
        <is>
          <t>Muhammad Mukti Ridwan</t>
        </is>
      </c>
      <c r="D38" s="13" t="inlineStr">
        <is>
          <t>PROD</t>
        </is>
      </c>
      <c r="E38" s="13" t="inlineStr">
        <is>
          <t>Produksi Harian</t>
        </is>
      </c>
      <c r="F38" s="170" t="n">
        <v>46172.31363425926</v>
      </c>
      <c r="G38" s="13" t="inlineStr">
        <is>
          <t>FREE</t>
        </is>
      </c>
      <c r="H38" s="170" t="n">
        <v>46028.91284722222</v>
      </c>
    </row>
    <row r="39">
      <c r="A39" s="13" t="inlineStr">
        <is>
          <t>MK00181</t>
        </is>
      </c>
      <c r="B39" s="13" t="n">
        <v>528000286</v>
      </c>
      <c r="C39" s="13" t="inlineStr">
        <is>
          <t>Imelda Amelia</t>
        </is>
      </c>
      <c r="D39" s="13" t="inlineStr">
        <is>
          <t>PROD</t>
        </is>
      </c>
      <c r="E39" s="13" t="inlineStr">
        <is>
          <t>Produksi Harian</t>
        </is>
      </c>
      <c r="F39" s="170" t="n">
        <v>46172.31917824074</v>
      </c>
      <c r="G39" s="13" t="inlineStr">
        <is>
          <t>FREE</t>
        </is>
      </c>
      <c r="H39" s="170" t="n">
        <v>46172.67444444444</v>
      </c>
    </row>
    <row r="40">
      <c r="A40" s="13" t="inlineStr">
        <is>
          <t>MK00141</t>
        </is>
      </c>
      <c r="B40" s="13" t="n">
        <v>528000241</v>
      </c>
      <c r="C40" s="13" t="inlineStr">
        <is>
          <t>Balia Nurafif Bilah</t>
        </is>
      </c>
      <c r="D40" s="13" t="inlineStr">
        <is>
          <t>PROD</t>
        </is>
      </c>
      <c r="E40" s="13" t="inlineStr">
        <is>
          <t>Produksi Harian</t>
        </is>
      </c>
      <c r="F40" s="170" t="n">
        <v>46172.32555555556</v>
      </c>
      <c r="G40" s="13" t="inlineStr">
        <is>
          <t>FREE</t>
        </is>
      </c>
      <c r="H40" s="170" t="n">
        <v>46172.67043981481</v>
      </c>
    </row>
    <row r="41">
      <c r="A41" s="13" t="inlineStr">
        <is>
          <t>MK00145</t>
        </is>
      </c>
      <c r="B41" s="13" t="n">
        <v>528000274</v>
      </c>
      <c r="C41" s="13" t="inlineStr">
        <is>
          <t>Zepri</t>
        </is>
      </c>
      <c r="D41" s="13" t="inlineStr">
        <is>
          <t>PROD</t>
        </is>
      </c>
      <c r="E41" s="13" t="inlineStr">
        <is>
          <t>Produksi Harian</t>
        </is>
      </c>
      <c r="F41" s="170" t="n">
        <v>46172.32835648148</v>
      </c>
      <c r="G41" s="13" t="inlineStr">
        <is>
          <t>FREE</t>
        </is>
      </c>
      <c r="H41" s="170" t="n">
        <v>46172.67122685185</v>
      </c>
    </row>
    <row r="42">
      <c r="A42" s="13" t="inlineStr">
        <is>
          <t>MK00250</t>
        </is>
      </c>
      <c r="B42" s="13" t="n">
        <v>528000090</v>
      </c>
      <c r="C42" s="13" t="inlineStr">
        <is>
          <t>Suganda</t>
        </is>
      </c>
      <c r="D42" s="13" t="inlineStr">
        <is>
          <t>PROD</t>
        </is>
      </c>
      <c r="E42" s="13" t="inlineStr">
        <is>
          <t>Produksi Harian</t>
        </is>
      </c>
      <c r="F42" s="170" t="n">
        <v>46172.32966435186</v>
      </c>
      <c r="G42" s="13" t="inlineStr">
        <is>
          <t>FREE</t>
        </is>
      </c>
      <c r="H42" s="170" t="n">
        <v>46172.67253472222</v>
      </c>
    </row>
    <row r="43">
      <c r="A43" s="13" t="inlineStr">
        <is>
          <t>MK00150</t>
        </is>
      </c>
      <c r="B43" s="13" t="n">
        <v>528000212</v>
      </c>
      <c r="C43" s="13" t="inlineStr">
        <is>
          <t>Rizal Fauzi</t>
        </is>
      </c>
      <c r="D43" s="13" t="inlineStr">
        <is>
          <t>PROD</t>
        </is>
      </c>
      <c r="E43" s="13" t="inlineStr">
        <is>
          <t>Produksi Harian</t>
        </is>
      </c>
      <c r="F43" s="170" t="n">
        <v>46172.32987268519</v>
      </c>
      <c r="G43" s="13" t="inlineStr">
        <is>
          <t>FREE</t>
        </is>
      </c>
      <c r="H43" s="170" t="n">
        <v>46172.70056712963</v>
      </c>
    </row>
    <row r="44">
      <c r="A44" s="13" t="inlineStr">
        <is>
          <t>MK00159</t>
        </is>
      </c>
      <c r="B44" s="13" t="n">
        <v>528000290</v>
      </c>
      <c r="C44" s="13" t="inlineStr">
        <is>
          <t>Eval Pranata</t>
        </is>
      </c>
      <c r="D44" s="13" t="inlineStr">
        <is>
          <t>PROD</t>
        </is>
      </c>
      <c r="E44" s="13" t="inlineStr">
        <is>
          <t>Produksi Harian</t>
        </is>
      </c>
      <c r="F44" s="170" t="n">
        <v>46172.33354166667</v>
      </c>
      <c r="G44" s="13" t="inlineStr">
        <is>
          <t>FREE</t>
        </is>
      </c>
      <c r="H44" s="170" t="n">
        <v>46172.67152777778</v>
      </c>
    </row>
    <row r="45">
      <c r="A45" s="13" t="inlineStr">
        <is>
          <t>MK00136</t>
        </is>
      </c>
      <c r="B45" s="13" t="n">
        <v>528000052</v>
      </c>
      <c r="C45" s="13" t="inlineStr">
        <is>
          <t>Mustopa</t>
        </is>
      </c>
      <c r="D45" s="13" t="inlineStr">
        <is>
          <t>PROD</t>
        </is>
      </c>
      <c r="E45" s="13" t="inlineStr">
        <is>
          <t>Produksi Harian</t>
        </is>
      </c>
      <c r="F45" s="170" t="n">
        <v>46172.34337962963</v>
      </c>
      <c r="G45" s="13" t="inlineStr">
        <is>
          <t>FREE</t>
        </is>
      </c>
      <c r="H45" s="170" t="n">
        <v>46028.25311342593</v>
      </c>
    </row>
    <row r="46">
      <c r="A46" s="13" t="inlineStr">
        <is>
          <t>MK00085</t>
        </is>
      </c>
      <c r="B46" s="13" t="n">
        <v>528000098</v>
      </c>
      <c r="C46" s="13" t="inlineStr">
        <is>
          <t>Edi Junaedi</t>
        </is>
      </c>
      <c r="D46" s="13" t="inlineStr">
        <is>
          <t>PROD</t>
        </is>
      </c>
      <c r="E46" s="13" t="inlineStr">
        <is>
          <t>Produksi Harian</t>
        </is>
      </c>
      <c r="F46" s="170" t="n">
        <v>46172.64168981482</v>
      </c>
      <c r="G46" s="13" t="inlineStr">
        <is>
          <t>FREE</t>
        </is>
      </c>
      <c r="H46" s="170" t="n">
        <v>46173.00491898148</v>
      </c>
    </row>
    <row r="47">
      <c r="A47" s="13" t="inlineStr">
        <is>
          <t>MK00082</t>
        </is>
      </c>
      <c r="B47" s="13" t="n">
        <v>628000061</v>
      </c>
      <c r="C47" s="13" t="inlineStr">
        <is>
          <t>Nayla Fadillah Exwantoro</t>
        </is>
      </c>
      <c r="D47" s="13" t="inlineStr">
        <is>
          <t>PROD</t>
        </is>
      </c>
      <c r="E47" s="13" t="inlineStr">
        <is>
          <t>Produksi Borongan</t>
        </is>
      </c>
      <c r="F47" s="170" t="n">
        <v>46172.64681712963</v>
      </c>
      <c r="G47" s="13" t="inlineStr">
        <is>
          <t>FREE</t>
        </is>
      </c>
      <c r="H47" s="170" t="n">
        <v>46028.23288194444</v>
      </c>
    </row>
    <row r="48">
      <c r="A48" s="13" t="inlineStr">
        <is>
          <t>MK00154</t>
        </is>
      </c>
      <c r="B48" s="13" t="n">
        <v>528000299</v>
      </c>
      <c r="C48" s="13" t="inlineStr">
        <is>
          <t>Siti Nurjanah</t>
        </is>
      </c>
      <c r="D48" s="13" t="inlineStr">
        <is>
          <t>PROD</t>
        </is>
      </c>
      <c r="E48" s="13" t="inlineStr">
        <is>
          <t>Produksi Harian</t>
        </is>
      </c>
      <c r="F48" s="170" t="n">
        <v>46172.65341435185</v>
      </c>
      <c r="G48" s="13" t="inlineStr">
        <is>
          <t>FREE</t>
        </is>
      </c>
      <c r="H48" s="170" t="n">
        <v>46173.00334490741</v>
      </c>
    </row>
    <row r="49">
      <c r="A49" s="13" t="inlineStr">
        <is>
          <t>MK00055</t>
        </is>
      </c>
      <c r="B49" s="13" t="n">
        <v>528000302</v>
      </c>
      <c r="C49" s="13" t="inlineStr">
        <is>
          <t>Henkey gumilar</t>
        </is>
      </c>
      <c r="D49" s="13" t="inlineStr">
        <is>
          <t>PROD</t>
        </is>
      </c>
      <c r="E49" s="13" t="inlineStr">
        <is>
          <t>Produksi Harian</t>
        </is>
      </c>
      <c r="F49" s="170" t="n">
        <v>46172.65655092592</v>
      </c>
      <c r="G49" s="13" t="inlineStr">
        <is>
          <t>FREE</t>
        </is>
      </c>
      <c r="H49" s="170" t="n">
        <v>46173.00631944444</v>
      </c>
    </row>
    <row r="50">
      <c r="A50" s="13" t="inlineStr">
        <is>
          <t>MK00126</t>
        </is>
      </c>
      <c r="B50" s="13" t="n">
        <v>528000251</v>
      </c>
      <c r="C50" s="13" t="inlineStr">
        <is>
          <t>Salya Nugraha</t>
        </is>
      </c>
      <c r="D50" s="13" t="inlineStr">
        <is>
          <t>PROD</t>
        </is>
      </c>
      <c r="E50" s="13" t="inlineStr">
        <is>
          <t>Produksi Harian</t>
        </is>
      </c>
      <c r="F50" s="170" t="n">
        <v>46172.65849537037</v>
      </c>
      <c r="G50" s="13" t="inlineStr">
        <is>
          <t>FREE</t>
        </is>
      </c>
      <c r="H50" s="170" t="n">
        <v>46173.00230324074</v>
      </c>
    </row>
    <row r="51">
      <c r="A51" s="13" t="inlineStr">
        <is>
          <t>MK00151</t>
        </is>
      </c>
      <c r="B51" s="13" t="n">
        <v>528000270</v>
      </c>
      <c r="C51" s="13" t="inlineStr">
        <is>
          <t>Febri Najmudin</t>
        </is>
      </c>
      <c r="D51" s="13" t="inlineStr">
        <is>
          <t>LOG</t>
        </is>
      </c>
      <c r="E51" s="13" t="inlineStr">
        <is>
          <t>WRM Harian</t>
        </is>
      </c>
      <c r="F51" s="170" t="n">
        <v>46172.65997685185</v>
      </c>
      <c r="G51" s="13" t="inlineStr">
        <is>
          <t>FREE</t>
        </is>
      </c>
      <c r="H51" s="170" t="n">
        <v>46173.00391203703</v>
      </c>
    </row>
    <row r="52">
      <c r="A52" s="13" t="inlineStr">
        <is>
          <t>MK00145</t>
        </is>
      </c>
      <c r="B52" s="13" t="n">
        <v>528000354</v>
      </c>
      <c r="C52" s="13" t="inlineStr">
        <is>
          <t>Dian Rosdianti</t>
        </is>
      </c>
      <c r="D52" s="13" t="inlineStr">
        <is>
          <t>PROD</t>
        </is>
      </c>
      <c r="E52" s="13" t="inlineStr">
        <is>
          <t>Produksi Harian</t>
        </is>
      </c>
      <c r="F52" s="170" t="n">
        <v>46172.68942129629</v>
      </c>
      <c r="G52" s="13" t="inlineStr">
        <is>
          <t>FREE</t>
        </is>
      </c>
      <c r="H52" s="170" t="n">
        <v>46173.00378472222</v>
      </c>
    </row>
    <row r="53">
      <c r="A53" s="13" t="inlineStr">
        <is>
          <t>MK00150</t>
        </is>
      </c>
      <c r="B53" s="13" t="n">
        <v>528000297</v>
      </c>
      <c r="C53" s="13" t="inlineStr">
        <is>
          <t>Muhamad Budiana</t>
        </is>
      </c>
      <c r="D53" s="13" t="inlineStr">
        <is>
          <t>PROD</t>
        </is>
      </c>
      <c r="E53" s="13" t="inlineStr">
        <is>
          <t>Produksi Harian</t>
        </is>
      </c>
      <c r="F53" s="170" t="n">
        <v>46172.99033564814</v>
      </c>
      <c r="G53" s="13" t="inlineStr">
        <is>
          <t>FREE</t>
        </is>
      </c>
      <c r="H53" s="170" t="n">
        <v>46173.33788194445</v>
      </c>
    </row>
    <row r="54">
      <c r="A54" s="13" t="inlineStr">
        <is>
          <t>MK00141</t>
        </is>
      </c>
      <c r="B54" s="13" t="n">
        <v>528000279</v>
      </c>
      <c r="C54" s="13" t="inlineStr">
        <is>
          <t>Mahdalena Dalfa Riani</t>
        </is>
      </c>
      <c r="D54" s="13" t="inlineStr">
        <is>
          <t>PROD</t>
        </is>
      </c>
      <c r="E54" s="13" t="inlineStr">
        <is>
          <t>Produksi Harian</t>
        </is>
      </c>
      <c r="F54" s="170" t="n">
        <v>46172.99299768519</v>
      </c>
      <c r="G54" s="13" t="inlineStr">
        <is>
          <t>FREE</t>
        </is>
      </c>
      <c r="H54" s="170" t="n">
        <v>46173.33804398148</v>
      </c>
    </row>
    <row r="55">
      <c r="A55" s="13" t="inlineStr">
        <is>
          <t>MK0046</t>
        </is>
      </c>
      <c r="B55" s="13" t="n">
        <v>628000064</v>
      </c>
      <c r="C55" s="13" t="inlineStr">
        <is>
          <t>Silva Alypia</t>
        </is>
      </c>
      <c r="D55" s="13" t="inlineStr">
        <is>
          <t>PROD</t>
        </is>
      </c>
      <c r="E55" s="13" t="inlineStr">
        <is>
          <t>Produksi Borongan</t>
        </is>
      </c>
      <c r="F55" s="170" t="n">
        <v>46172.99454861111</v>
      </c>
      <c r="G55" s="13" t="inlineStr">
        <is>
          <t>FREE</t>
        </is>
      </c>
      <c r="H55" s="170" t="n">
        <v>46028.9140162037</v>
      </c>
    </row>
    <row r="56">
      <c r="A56" s="13" t="inlineStr">
        <is>
          <t>MK00085</t>
        </is>
      </c>
      <c r="B56" s="13" t="n">
        <v>528000306</v>
      </c>
      <c r="C56" s="13" t="inlineStr">
        <is>
          <t>Windy Olivia</t>
        </is>
      </c>
      <c r="D56" s="13" t="inlineStr">
        <is>
          <t>PROD</t>
        </is>
      </c>
      <c r="E56" s="13" t="inlineStr">
        <is>
          <t>Produksi Harian</t>
        </is>
      </c>
      <c r="F56" s="170" t="n">
        <v>46173.31731481481</v>
      </c>
      <c r="G56" s="13" t="inlineStr">
        <is>
          <t>FREE</t>
        </is>
      </c>
      <c r="H56" s="170" t="n">
        <v>46028.25636574074</v>
      </c>
    </row>
    <row r="57">
      <c r="A57" s="13" t="inlineStr">
        <is>
          <t>MK00126</t>
        </is>
      </c>
      <c r="B57" s="13" t="n">
        <v>528000262</v>
      </c>
      <c r="C57" s="13" t="inlineStr">
        <is>
          <t>Ndari Dwiwanti</t>
        </is>
      </c>
      <c r="D57" s="13" t="inlineStr">
        <is>
          <t>PROD</t>
        </is>
      </c>
      <c r="E57" s="13" t="inlineStr">
        <is>
          <t>Produksi Harian</t>
        </is>
      </c>
      <c r="F57" s="170" t="n">
        <v>46173.31748842593</v>
      </c>
      <c r="G57" s="13" t="inlineStr">
        <is>
          <t>FREE</t>
        </is>
      </c>
      <c r="H57" s="170" t="n">
        <v>46028.25641203704</v>
      </c>
    </row>
    <row r="58">
      <c r="A58" s="13" t="inlineStr">
        <is>
          <t>MK00055</t>
        </is>
      </c>
      <c r="B58" s="13" t="n">
        <v>528000266</v>
      </c>
      <c r="C58" s="13" t="inlineStr">
        <is>
          <t>M. Syirajatieq</t>
        </is>
      </c>
      <c r="D58" s="13" t="inlineStr">
        <is>
          <t>LOG</t>
        </is>
      </c>
      <c r="E58" s="13" t="inlineStr">
        <is>
          <t>WFG Harian</t>
        </is>
      </c>
      <c r="F58" s="170" t="n">
        <v>46173.32635416667</v>
      </c>
      <c r="G58" s="13" t="inlineStr">
        <is>
          <t>FREE</t>
        </is>
      </c>
      <c r="H58" s="170" t="n">
        <v>46028.25165509259</v>
      </c>
    </row>
    <row r="59">
      <c r="A59" s="13" t="inlineStr">
        <is>
          <t>MK00151</t>
        </is>
      </c>
      <c r="B59" s="13" t="n">
        <v>528000283</v>
      </c>
      <c r="C59" s="13" t="inlineStr">
        <is>
          <t>Purwanda Sugiri</t>
        </is>
      </c>
      <c r="D59" s="13" t="inlineStr">
        <is>
          <t>LOG</t>
        </is>
      </c>
      <c r="E59" s="13" t="inlineStr">
        <is>
          <t>WRM Harian</t>
        </is>
      </c>
      <c r="F59" s="170" t="n">
        <v>46173.32864583333</v>
      </c>
      <c r="G59" s="13" t="inlineStr">
        <is>
          <t>FREE</t>
        </is>
      </c>
      <c r="H59" s="170" t="n">
        <v>46028.25357638889</v>
      </c>
    </row>
    <row r="60">
      <c r="A60" s="13" t="inlineStr">
        <is>
          <t>MK00093</t>
        </is>
      </c>
      <c r="B60" s="13" t="n">
        <v>528000291</v>
      </c>
      <c r="C60" s="13" t="inlineStr">
        <is>
          <t>Andrian</t>
        </is>
      </c>
      <c r="D60" s="13" t="inlineStr">
        <is>
          <t>PROD</t>
        </is>
      </c>
      <c r="E60" s="13" t="inlineStr">
        <is>
          <t>Produksi Harian</t>
        </is>
      </c>
      <c r="F60" s="170" t="n">
        <v>46173.33018518519</v>
      </c>
      <c r="G60" s="13" t="inlineStr">
        <is>
          <t>FREE</t>
        </is>
      </c>
      <c r="H60" s="170" t="n">
        <v>46028.25457175926</v>
      </c>
    </row>
    <row r="61">
      <c r="A61" s="13" t="inlineStr">
        <is>
          <t>MK00138</t>
        </is>
      </c>
      <c r="B61" s="13" t="n">
        <v>528000261</v>
      </c>
      <c r="C61" s="13" t="inlineStr">
        <is>
          <t>Ergi Ergianto</t>
        </is>
      </c>
      <c r="D61" s="13" t="inlineStr">
        <is>
          <t>HRGA</t>
        </is>
      </c>
      <c r="E61" s="13" t="inlineStr">
        <is>
          <t>GA Harian</t>
        </is>
      </c>
      <c r="F61" s="170" t="n">
        <v>46173.33119212963</v>
      </c>
      <c r="G61" s="13" t="inlineStr">
        <is>
          <t>FREE</t>
        </is>
      </c>
      <c r="H61" s="170" t="n">
        <v>46028.25269675926</v>
      </c>
    </row>
    <row r="62">
      <c r="A62" s="13" t="inlineStr">
        <is>
          <t>MK00109</t>
        </is>
      </c>
      <c r="B62" s="13" t="n">
        <v>528000298</v>
      </c>
      <c r="C62" s="13" t="inlineStr">
        <is>
          <t>Desta Cahaya Pratama</t>
        </is>
      </c>
      <c r="D62" s="13" t="inlineStr">
        <is>
          <t>PROD</t>
        </is>
      </c>
      <c r="E62" s="13" t="inlineStr">
        <is>
          <t>Produksi Harian</t>
        </is>
      </c>
      <c r="F62" s="170" t="n">
        <v>46028.19359953704</v>
      </c>
      <c r="G62" s="13" t="inlineStr">
        <is>
          <t>FREE</t>
        </is>
      </c>
      <c r="H62" s="170" t="n">
        <v>46028.2434375</v>
      </c>
    </row>
    <row r="63">
      <c r="A63" s="13" t="inlineStr">
        <is>
          <t>MK00250</t>
        </is>
      </c>
      <c r="B63" s="13" t="n">
        <v>528000098</v>
      </c>
      <c r="C63" s="13" t="inlineStr">
        <is>
          <t>Edi Junaedi</t>
        </is>
      </c>
      <c r="D63" s="13" t="inlineStr">
        <is>
          <t>PROD</t>
        </is>
      </c>
      <c r="E63" s="13" t="inlineStr">
        <is>
          <t>Produksi Harian</t>
        </is>
      </c>
      <c r="F63" s="170" t="n">
        <v>46028.231875</v>
      </c>
      <c r="G63" s="13" t="inlineStr">
        <is>
          <t>FREE</t>
        </is>
      </c>
      <c r="H63" s="170" t="n">
        <v>46028.58731481482</v>
      </c>
    </row>
    <row r="64">
      <c r="A64" s="13" t="inlineStr">
        <is>
          <t>MK00082</t>
        </is>
      </c>
      <c r="B64" s="13" t="n">
        <v>628000061</v>
      </c>
      <c r="C64" s="13" t="inlineStr">
        <is>
          <t>Nayla Fadillah Exwantoro</t>
        </is>
      </c>
      <c r="D64" s="13" t="inlineStr">
        <is>
          <t>PROD</t>
        </is>
      </c>
      <c r="E64" s="13" t="inlineStr">
        <is>
          <t>Produksi Borongan</t>
        </is>
      </c>
      <c r="F64" s="170" t="n">
        <v>46028.233125</v>
      </c>
      <c r="G64" s="13" t="inlineStr">
        <is>
          <t>FREE</t>
        </is>
      </c>
      <c r="H64" s="170" t="n">
        <v>46028.58927083333</v>
      </c>
    </row>
    <row r="65">
      <c r="A65" s="13" t="inlineStr">
        <is>
          <t>MK00141</t>
        </is>
      </c>
      <c r="B65" s="13" t="n">
        <v>528000299</v>
      </c>
      <c r="C65" s="13" t="inlineStr">
        <is>
          <t>Siti Nurjanah</t>
        </is>
      </c>
      <c r="D65" s="13" t="inlineStr">
        <is>
          <t>PROD</t>
        </is>
      </c>
      <c r="E65" s="13" t="inlineStr">
        <is>
          <t>Produksi Harian</t>
        </is>
      </c>
      <c r="F65" s="170" t="n">
        <v>46028.23670138889</v>
      </c>
      <c r="G65" s="13" t="inlineStr">
        <is>
          <t>FREE</t>
        </is>
      </c>
      <c r="H65" s="170" t="n">
        <v>46028.58785879629</v>
      </c>
    </row>
    <row r="66">
      <c r="A66" s="13" t="inlineStr">
        <is>
          <t>MK00150</t>
        </is>
      </c>
      <c r="B66" s="13" t="n">
        <v>528000305</v>
      </c>
      <c r="C66" s="13" t="inlineStr">
        <is>
          <t>Puji Puspita</t>
        </is>
      </c>
      <c r="D66" s="13" t="inlineStr">
        <is>
          <t>PROD</t>
        </is>
      </c>
      <c r="E66" s="13" t="inlineStr">
        <is>
          <t>Produksi Harian</t>
        </is>
      </c>
      <c r="F66" s="170" t="n">
        <v>46028.23861111111</v>
      </c>
      <c r="G66" s="13" t="inlineStr">
        <is>
          <t>FREE</t>
        </is>
      </c>
      <c r="H66" s="170" t="n">
        <v>46028.58894675926</v>
      </c>
    </row>
    <row r="67">
      <c r="A67" s="13" t="n">
        <v>7200181</v>
      </c>
      <c r="B67" s="13" t="n">
        <v>528000251</v>
      </c>
      <c r="C67" s="13" t="inlineStr">
        <is>
          <t>Salya Nugraha</t>
        </is>
      </c>
      <c r="D67" s="13" t="inlineStr">
        <is>
          <t>PROD</t>
        </is>
      </c>
      <c r="E67" s="13" t="inlineStr">
        <is>
          <t>Produksi Harian</t>
        </is>
      </c>
      <c r="F67" s="170" t="n">
        <v>46028.24003472222</v>
      </c>
      <c r="G67" s="13" t="inlineStr">
        <is>
          <t>FREE</t>
        </is>
      </c>
      <c r="H67" s="170" t="n">
        <v>46198.83071759259</v>
      </c>
    </row>
    <row r="68">
      <c r="A68" s="13" t="inlineStr">
        <is>
          <t>MK00145</t>
        </is>
      </c>
      <c r="B68" s="13" t="n">
        <v>528000302</v>
      </c>
      <c r="C68" s="13" t="inlineStr">
        <is>
          <t>Henkey gumilar</t>
        </is>
      </c>
      <c r="D68" s="13" t="inlineStr">
        <is>
          <t>PROD</t>
        </is>
      </c>
      <c r="E68" s="13" t="inlineStr">
        <is>
          <t>Produksi Harian</t>
        </is>
      </c>
      <c r="F68" s="170" t="n">
        <v>46028.24282407408</v>
      </c>
      <c r="G68" s="13" t="inlineStr">
        <is>
          <t>FREE</t>
        </is>
      </c>
      <c r="H68" s="170" t="n">
        <v>46028.59085648148</v>
      </c>
    </row>
    <row r="69">
      <c r="A69" s="13" t="inlineStr">
        <is>
          <t>MK00156</t>
        </is>
      </c>
      <c r="B69" s="13" t="n">
        <v>528000270</v>
      </c>
      <c r="C69" s="13" t="inlineStr">
        <is>
          <t>Febri Najmudin</t>
        </is>
      </c>
      <c r="D69" s="13" t="inlineStr">
        <is>
          <t>LOG</t>
        </is>
      </c>
      <c r="E69" s="13" t="inlineStr">
        <is>
          <t>WRM Harian</t>
        </is>
      </c>
      <c r="F69" s="170" t="n">
        <v>46028.24320601852</v>
      </c>
      <c r="G69" s="13" t="inlineStr">
        <is>
          <t>FREE</t>
        </is>
      </c>
      <c r="H69" s="170" t="n">
        <v>46028.58771990741</v>
      </c>
    </row>
    <row r="70">
      <c r="A70" s="13" t="inlineStr">
        <is>
          <t>MK00109</t>
        </is>
      </c>
      <c r="B70" s="13" t="n">
        <v>528000298</v>
      </c>
      <c r="C70" s="13" t="inlineStr">
        <is>
          <t>Desta Cahaya Pratama</t>
        </is>
      </c>
      <c r="D70" s="13" t="inlineStr">
        <is>
          <t>PROD</t>
        </is>
      </c>
      <c r="E70" s="13" t="inlineStr">
        <is>
          <t>Produksi Harian</t>
        </is>
      </c>
      <c r="F70" s="170" t="n">
        <v>46028.24363425926</v>
      </c>
      <c r="G70" s="13" t="inlineStr">
        <is>
          <t>FREE</t>
        </is>
      </c>
      <c r="H70" s="170" t="n">
        <v>46028.58774305556</v>
      </c>
    </row>
    <row r="71">
      <c r="A71" s="13" t="inlineStr">
        <is>
          <t>MK00154</t>
        </is>
      </c>
      <c r="B71" s="13" t="n">
        <v>528000265</v>
      </c>
      <c r="C71" s="13" t="inlineStr">
        <is>
          <t>Muhammad Haerul Rozikin</t>
        </is>
      </c>
      <c r="D71" s="13" t="inlineStr">
        <is>
          <t>LOG</t>
        </is>
      </c>
      <c r="E71" s="13" t="inlineStr">
        <is>
          <t>WRM Harian</t>
        </is>
      </c>
      <c r="F71" s="170" t="n">
        <v>46028.32060185185</v>
      </c>
      <c r="G71" s="13" t="inlineStr">
        <is>
          <t>FREE</t>
        </is>
      </c>
      <c r="H71" s="170" t="n">
        <v>46028.6703125</v>
      </c>
    </row>
    <row r="72">
      <c r="A72" s="13" t="inlineStr">
        <is>
          <t>MK00138</t>
        </is>
      </c>
      <c r="B72" s="13" t="n">
        <v>528000296</v>
      </c>
      <c r="C72" s="13" t="inlineStr">
        <is>
          <t>Nurdin</t>
        </is>
      </c>
      <c r="D72" s="13" t="inlineStr">
        <is>
          <t>PROD</t>
        </is>
      </c>
      <c r="E72" s="13" t="inlineStr">
        <is>
          <t>Produksi Harian</t>
        </is>
      </c>
      <c r="F72" s="170" t="n">
        <v>46028.33541666667</v>
      </c>
      <c r="G72" s="13" t="inlineStr">
        <is>
          <t>FREE</t>
        </is>
      </c>
      <c r="H72" s="170" t="n">
        <v>46087.57505787037</v>
      </c>
    </row>
    <row r="73">
      <c r="A73" s="13" t="inlineStr">
        <is>
          <t>MK00126</t>
        </is>
      </c>
      <c r="B73" s="13" t="n">
        <v>528000069</v>
      </c>
      <c r="C73" s="13" t="inlineStr">
        <is>
          <t>Jajang Ardiansyah</t>
        </is>
      </c>
      <c r="D73" s="13" t="inlineStr">
        <is>
          <t>PROD</t>
        </is>
      </c>
      <c r="E73" s="13" t="inlineStr">
        <is>
          <t>Produksi Harian</t>
        </is>
      </c>
      <c r="F73" s="170" t="n">
        <v>46028.33549768518</v>
      </c>
      <c r="G73" s="13" t="inlineStr">
        <is>
          <t>FREE</t>
        </is>
      </c>
      <c r="H73" s="170" t="n">
        <v>46028.81506944444</v>
      </c>
    </row>
    <row r="74">
      <c r="A74" s="13" t="inlineStr">
        <is>
          <t>MK00151</t>
        </is>
      </c>
      <c r="B74" s="13" t="n">
        <v>528000279</v>
      </c>
      <c r="C74" s="13" t="inlineStr">
        <is>
          <t>Mahdalena Dalfa Riani</t>
        </is>
      </c>
      <c r="D74" s="13" t="inlineStr">
        <is>
          <t>PROD</t>
        </is>
      </c>
      <c r="E74" s="13" t="inlineStr">
        <is>
          <t>Produksi Harian</t>
        </is>
      </c>
      <c r="F74" s="170" t="n">
        <v>46028.57359953703</v>
      </c>
      <c r="G74" s="13" t="inlineStr">
        <is>
          <t>FREE</t>
        </is>
      </c>
      <c r="H74" s="170" t="n">
        <v>46118.2487962963</v>
      </c>
    </row>
    <row r="75">
      <c r="A75" s="13" t="inlineStr">
        <is>
          <t>MK00116</t>
        </is>
      </c>
      <c r="B75" s="13" t="n">
        <v>528000297</v>
      </c>
      <c r="C75" s="13" t="inlineStr">
        <is>
          <t>Muhamad Budiana</t>
        </is>
      </c>
      <c r="D75" s="13" t="inlineStr">
        <is>
          <t>PROD</t>
        </is>
      </c>
      <c r="E75" s="13" t="inlineStr">
        <is>
          <t>Produksi Harian</t>
        </is>
      </c>
      <c r="F75" s="170" t="n">
        <v>46028.5759837963</v>
      </c>
      <c r="G75" s="13" t="inlineStr">
        <is>
          <t>FREE</t>
        </is>
      </c>
      <c r="H75" s="170" t="n">
        <v>46028.92126157408</v>
      </c>
    </row>
    <row r="76">
      <c r="A76" s="13" t="inlineStr">
        <is>
          <t>MK00148</t>
        </is>
      </c>
      <c r="B76" s="13" t="n">
        <v>528000300</v>
      </c>
      <c r="C76" s="13" t="inlineStr">
        <is>
          <t>Lia pitaloka</t>
        </is>
      </c>
      <c r="D76" s="13" t="inlineStr">
        <is>
          <t>PROD</t>
        </is>
      </c>
      <c r="E76" s="13" t="inlineStr">
        <is>
          <t>Produksi Harian</t>
        </is>
      </c>
      <c r="F76" s="170" t="n">
        <v>46028.57743055555</v>
      </c>
      <c r="G76" s="13" t="inlineStr">
        <is>
          <t>FREE</t>
        </is>
      </c>
      <c r="H76" s="170" t="n">
        <v>46028.92239583333</v>
      </c>
    </row>
    <row r="77">
      <c r="A77" s="13" t="inlineStr">
        <is>
          <t>MK00113</t>
        </is>
      </c>
      <c r="B77" s="13" t="n">
        <v>528000210</v>
      </c>
      <c r="C77" s="13" t="inlineStr">
        <is>
          <t>Muhamad Aldi Agustiana</t>
        </is>
      </c>
      <c r="D77" s="13" t="inlineStr">
        <is>
          <t>PROD</t>
        </is>
      </c>
      <c r="E77" s="13" t="inlineStr">
        <is>
          <t>Produksi Harian</t>
        </is>
      </c>
      <c r="F77" s="170" t="n">
        <v>46028.57784722222</v>
      </c>
      <c r="G77" s="13" t="inlineStr">
        <is>
          <t>FREE</t>
        </is>
      </c>
      <c r="H77" s="170" t="n">
        <v>46028.92157407408</v>
      </c>
    </row>
    <row r="78">
      <c r="A78" s="13" t="inlineStr">
        <is>
          <t>MK00093</t>
        </is>
      </c>
      <c r="B78" s="13" t="n">
        <v>528000292</v>
      </c>
      <c r="C78" s="13" t="inlineStr">
        <is>
          <t>Aditia Nugraha</t>
        </is>
      </c>
      <c r="D78" s="13" t="inlineStr">
        <is>
          <t>PROD</t>
        </is>
      </c>
      <c r="E78" s="13" t="inlineStr">
        <is>
          <t>Produksi Harian</t>
        </is>
      </c>
      <c r="F78" s="170" t="n">
        <v>46028.57907407408</v>
      </c>
      <c r="G78" s="13" t="inlineStr">
        <is>
          <t>FREE</t>
        </is>
      </c>
      <c r="H78" s="170" t="n">
        <v>46028.92135416667</v>
      </c>
    </row>
    <row r="79">
      <c r="A79" s="13" t="inlineStr">
        <is>
          <t>MK00154</t>
        </is>
      </c>
      <c r="B79" s="13" t="n">
        <v>528000052</v>
      </c>
      <c r="C79" s="13" t="inlineStr">
        <is>
          <t>Mustopa</t>
        </is>
      </c>
      <c r="D79" s="13" t="inlineStr">
        <is>
          <t>PROD</t>
        </is>
      </c>
      <c r="E79" s="13" t="inlineStr">
        <is>
          <t>Produksi Harian</t>
        </is>
      </c>
      <c r="F79" s="170" t="n">
        <v>46028.88349537037</v>
      </c>
      <c r="G79" s="13" t="inlineStr">
        <is>
          <t>FREE</t>
        </is>
      </c>
      <c r="H79" s="170" t="n">
        <v>46059.25292824074</v>
      </c>
    </row>
    <row r="80">
      <c r="A80" s="13" t="inlineStr">
        <is>
          <t>MK00109</t>
        </is>
      </c>
      <c r="B80" s="13" t="n">
        <v>528000262</v>
      </c>
      <c r="C80" s="13" t="inlineStr">
        <is>
          <t>Ndari Dwiwanti</t>
        </is>
      </c>
      <c r="D80" s="13" t="inlineStr">
        <is>
          <t>PROD</t>
        </is>
      </c>
      <c r="E80" s="13" t="inlineStr">
        <is>
          <t>Produksi Harian</t>
        </is>
      </c>
      <c r="F80" s="170" t="n">
        <v>46028.90010416666</v>
      </c>
      <c r="G80" s="13" t="inlineStr">
        <is>
          <t>FREE</t>
        </is>
      </c>
      <c r="H80" s="170" t="n">
        <v>46059.25289351852</v>
      </c>
    </row>
    <row r="81">
      <c r="A81" s="13" t="inlineStr">
        <is>
          <t>MK00250</t>
        </is>
      </c>
      <c r="B81" s="13" t="n">
        <v>528000306</v>
      </c>
      <c r="C81" s="13" t="inlineStr">
        <is>
          <t>Windy Olivia</t>
        </is>
      </c>
      <c r="D81" s="13" t="inlineStr">
        <is>
          <t>PROD</t>
        </is>
      </c>
      <c r="E81" s="13" t="inlineStr">
        <is>
          <t>Produksi Harian</t>
        </is>
      </c>
      <c r="F81" s="170" t="n">
        <v>46028.90016203704</v>
      </c>
      <c r="G81" s="13" t="inlineStr">
        <is>
          <t>FREE</t>
        </is>
      </c>
      <c r="H81" s="170" t="n">
        <v>46059.25299768519</v>
      </c>
    </row>
    <row r="82">
      <c r="A82" s="13" t="inlineStr">
        <is>
          <t>MK00126</t>
        </is>
      </c>
      <c r="B82" s="13" t="n">
        <v>528000266</v>
      </c>
      <c r="C82" s="13" t="inlineStr">
        <is>
          <t>M. Syirajatieq</t>
        </is>
      </c>
      <c r="D82" s="13" t="inlineStr">
        <is>
          <t>LOG</t>
        </is>
      </c>
      <c r="E82" s="13" t="inlineStr">
        <is>
          <t>WFG Harian</t>
        </is>
      </c>
      <c r="F82" s="170" t="n">
        <v>46028.90054398148</v>
      </c>
      <c r="G82" s="13" t="inlineStr">
        <is>
          <t>FREE</t>
        </is>
      </c>
      <c r="H82" s="170" t="n">
        <v>46059.25326388889</v>
      </c>
    </row>
    <row r="83">
      <c r="A83" s="13" t="inlineStr">
        <is>
          <t>MK00156</t>
        </is>
      </c>
      <c r="B83" s="13" t="n">
        <v>528000195</v>
      </c>
      <c r="C83" s="13" t="inlineStr">
        <is>
          <t>Rahma Sariwati</t>
        </is>
      </c>
      <c r="D83" s="13" t="inlineStr">
        <is>
          <t>PROD</t>
        </is>
      </c>
      <c r="E83" s="13" t="inlineStr">
        <is>
          <t>Produksi Harian</t>
        </is>
      </c>
      <c r="F83" s="170" t="n">
        <v>46028.9053125</v>
      </c>
      <c r="G83" s="13" t="inlineStr">
        <is>
          <t>FREE</t>
        </is>
      </c>
      <c r="H83" s="170" t="n">
        <v>46059.25416666667</v>
      </c>
    </row>
    <row r="84">
      <c r="A84" s="13" t="inlineStr">
        <is>
          <t>MK00082</t>
        </is>
      </c>
      <c r="B84" s="13" t="n">
        <v>528000291</v>
      </c>
      <c r="C84" s="13" t="inlineStr">
        <is>
          <t>Andrian</t>
        </is>
      </c>
      <c r="D84" s="13" t="inlineStr">
        <is>
          <t>PROD</t>
        </is>
      </c>
      <c r="E84" s="13" t="inlineStr">
        <is>
          <t>Produksi Harian</t>
        </is>
      </c>
      <c r="F84" s="170" t="n">
        <v>46028.91043981481</v>
      </c>
      <c r="G84" s="13" t="inlineStr">
        <is>
          <t>FREE</t>
        </is>
      </c>
      <c r="H84" s="170" t="n">
        <v>46028.9134375</v>
      </c>
    </row>
    <row r="85">
      <c r="A85" s="13" t="inlineStr">
        <is>
          <t>MK00158</t>
        </is>
      </c>
      <c r="B85" s="13" t="n">
        <v>528000261</v>
      </c>
      <c r="C85" s="13" t="inlineStr">
        <is>
          <t>Ergi Ergianto</t>
        </is>
      </c>
      <c r="D85" s="13" t="inlineStr">
        <is>
          <t>HRGA</t>
        </is>
      </c>
      <c r="E85" s="13" t="inlineStr">
        <is>
          <t>GA Harian</t>
        </is>
      </c>
      <c r="F85" s="170" t="n">
        <v>46028.9116087963</v>
      </c>
      <c r="G85" s="13" t="inlineStr">
        <is>
          <t>FREE</t>
        </is>
      </c>
      <c r="H85" s="170" t="n">
        <v>46059.2524537037</v>
      </c>
    </row>
    <row r="86">
      <c r="A86" s="13" t="inlineStr">
        <is>
          <t>MK00150</t>
        </is>
      </c>
      <c r="B86" s="13" t="n">
        <v>528000283</v>
      </c>
      <c r="C86" s="13" t="inlineStr">
        <is>
          <t>Purwanda Sugiri</t>
        </is>
      </c>
      <c r="D86" s="13" t="inlineStr">
        <is>
          <t>LOG</t>
        </is>
      </c>
      <c r="E86" s="13" t="inlineStr">
        <is>
          <t>WRM Harian</t>
        </is>
      </c>
      <c r="F86" s="170" t="n">
        <v>46028.91298611111</v>
      </c>
      <c r="G86" s="13" t="inlineStr">
        <is>
          <t>FREE</t>
        </is>
      </c>
      <c r="H86" s="170" t="n">
        <v>46059.25320601852</v>
      </c>
    </row>
    <row r="87">
      <c r="A87" s="13" t="inlineStr">
        <is>
          <t>MK00056</t>
        </is>
      </c>
      <c r="B87" s="13" t="n">
        <v>528000301</v>
      </c>
      <c r="C87" s="13" t="inlineStr">
        <is>
          <t>Muhammad Mukti Ridwan</t>
        </is>
      </c>
      <c r="D87" s="13" t="inlineStr">
        <is>
          <t>PROD</t>
        </is>
      </c>
      <c r="E87" s="13" t="inlineStr">
        <is>
          <t>Produksi Harian</t>
        </is>
      </c>
      <c r="F87" s="170" t="n">
        <v>46028.91328703704</v>
      </c>
      <c r="G87" s="13" t="inlineStr">
        <is>
          <t>FREE</t>
        </is>
      </c>
      <c r="H87" s="170" t="n">
        <v>46059.25741898148</v>
      </c>
    </row>
    <row r="88">
      <c r="A88" s="13" t="inlineStr">
        <is>
          <t>MK00082</t>
        </is>
      </c>
      <c r="B88" s="13" t="n">
        <v>528000291</v>
      </c>
      <c r="C88" s="13" t="inlineStr">
        <is>
          <t>Andrian</t>
        </is>
      </c>
      <c r="D88" s="13" t="inlineStr">
        <is>
          <t>PROD</t>
        </is>
      </c>
      <c r="E88" s="13" t="inlineStr">
        <is>
          <t>Produksi Harian</t>
        </is>
      </c>
      <c r="F88" s="170" t="n">
        <v>46028.91368055555</v>
      </c>
      <c r="G88" s="13" t="inlineStr">
        <is>
          <t>FREE</t>
        </is>
      </c>
      <c r="H88" s="170" t="n">
        <v>46059.25394675926</v>
      </c>
    </row>
    <row r="89">
      <c r="A89" s="13" t="inlineStr">
        <is>
          <t>MK00145</t>
        </is>
      </c>
      <c r="B89" s="13" t="n">
        <v>528000015</v>
      </c>
      <c r="C89" s="13" t="inlineStr">
        <is>
          <t>Erwin</t>
        </is>
      </c>
      <c r="D89" s="13" t="inlineStr">
        <is>
          <t>LOG</t>
        </is>
      </c>
      <c r="E89" s="13" t="inlineStr">
        <is>
          <t>WRM Harian</t>
        </is>
      </c>
      <c r="F89" s="170" t="n">
        <v>46028.915</v>
      </c>
      <c r="G89" s="13" t="inlineStr">
        <is>
          <t>FREE</t>
        </is>
      </c>
      <c r="H89" s="170" t="n">
        <v>46059.25434027778</v>
      </c>
    </row>
    <row r="90">
      <c r="A90" s="13" t="inlineStr">
        <is>
          <t>MK00136</t>
        </is>
      </c>
      <c r="B90" s="13" t="n">
        <v>628000064</v>
      </c>
      <c r="C90" s="13" t="inlineStr">
        <is>
          <t>Silva Alypia</t>
        </is>
      </c>
      <c r="D90" s="13" t="inlineStr">
        <is>
          <t>PROD</t>
        </is>
      </c>
      <c r="E90" s="13" t="inlineStr">
        <is>
          <t>Produksi Borongan</t>
        </is>
      </c>
      <c r="F90" s="170" t="n">
        <v>46028.92293981482</v>
      </c>
      <c r="G90" s="13" t="inlineStr">
        <is>
          <t>FREE</t>
        </is>
      </c>
      <c r="H90" s="170" t="n">
        <v>46028.92396990741</v>
      </c>
    </row>
    <row r="91">
      <c r="A91" s="13" t="inlineStr">
        <is>
          <t>MK00116</t>
        </is>
      </c>
      <c r="B91" s="13" t="n">
        <v>528000098</v>
      </c>
      <c r="C91" s="13" t="inlineStr">
        <is>
          <t>Edi Junaedi</t>
        </is>
      </c>
      <c r="D91" s="13" t="inlineStr">
        <is>
          <t>PROD</t>
        </is>
      </c>
      <c r="E91" s="13" t="inlineStr">
        <is>
          <t>Produksi Harian</t>
        </is>
      </c>
      <c r="F91" s="170" t="n">
        <v>46059.22193287037</v>
      </c>
      <c r="G91" s="13" t="inlineStr">
        <is>
          <t>FREE</t>
        </is>
      </c>
      <c r="H91" s="170" t="n">
        <v>46059.58679398148</v>
      </c>
    </row>
    <row r="92">
      <c r="A92" s="13" t="inlineStr">
        <is>
          <t>MK00184</t>
        </is>
      </c>
      <c r="B92" s="13" t="n">
        <v>528000305</v>
      </c>
      <c r="C92" s="13" t="inlineStr">
        <is>
          <t>Puji Puspita</t>
        </is>
      </c>
      <c r="D92" s="13" t="inlineStr">
        <is>
          <t>PROD</t>
        </is>
      </c>
      <c r="E92" s="13" t="inlineStr">
        <is>
          <t>Produksi Harian</t>
        </is>
      </c>
      <c r="F92" s="170" t="n">
        <v>46059.23569444445</v>
      </c>
      <c r="G92" s="13" t="inlineStr">
        <is>
          <t>FREE</t>
        </is>
      </c>
      <c r="H92" s="170" t="n">
        <v>46059.58660879629</v>
      </c>
    </row>
    <row r="93">
      <c r="A93" s="13" t="inlineStr">
        <is>
          <t>MK00136</t>
        </is>
      </c>
      <c r="B93" s="13" t="n">
        <v>628000061</v>
      </c>
      <c r="C93" s="13" t="inlineStr">
        <is>
          <t>Nayla Fadillah Exwantoro</t>
        </is>
      </c>
      <c r="D93" s="13" t="inlineStr">
        <is>
          <t>PROD</t>
        </is>
      </c>
      <c r="E93" s="13" t="inlineStr">
        <is>
          <t>Produksi Borongan</t>
        </is>
      </c>
      <c r="F93" s="170" t="n">
        <v>46059.23607638889</v>
      </c>
      <c r="G93" s="13" t="inlineStr">
        <is>
          <t>FREE</t>
        </is>
      </c>
      <c r="H93" s="170" t="n">
        <v>46059.58858796296</v>
      </c>
    </row>
    <row r="94">
      <c r="A94" s="13" t="inlineStr">
        <is>
          <t>MK00181</t>
        </is>
      </c>
      <c r="B94" s="13" t="n">
        <v>528000299</v>
      </c>
      <c r="C94" s="13" t="inlineStr">
        <is>
          <t>Siti Nurjanah</t>
        </is>
      </c>
      <c r="D94" s="13" t="inlineStr">
        <is>
          <t>PROD</t>
        </is>
      </c>
      <c r="E94" s="13" t="inlineStr">
        <is>
          <t>Produksi Harian</t>
        </is>
      </c>
      <c r="F94" s="170" t="n">
        <v>46059.23629629629</v>
      </c>
      <c r="G94" s="13" t="inlineStr">
        <is>
          <t>FREE</t>
        </is>
      </c>
      <c r="H94" s="170" t="n">
        <v>46059.58649305555</v>
      </c>
    </row>
    <row r="95">
      <c r="A95" s="13" t="inlineStr">
        <is>
          <t>MK0085</t>
        </is>
      </c>
      <c r="B95" s="13" t="n">
        <v>528000302</v>
      </c>
      <c r="C95" s="13" t="inlineStr">
        <is>
          <t>Henkey gumilar</t>
        </is>
      </c>
      <c r="D95" s="13" t="inlineStr">
        <is>
          <t>PROD</t>
        </is>
      </c>
      <c r="E95" s="13" t="inlineStr">
        <is>
          <t>Produksi Harian</t>
        </is>
      </c>
      <c r="F95" s="170" t="n">
        <v>46059.24311342592</v>
      </c>
      <c r="G95" s="13" t="inlineStr">
        <is>
          <t>FREE</t>
        </is>
      </c>
      <c r="H95" s="170" t="n">
        <v>46059.59083333334</v>
      </c>
    </row>
    <row r="96">
      <c r="A96" s="13" t="inlineStr">
        <is>
          <t>MK00046</t>
        </is>
      </c>
      <c r="B96" s="13" t="n">
        <v>528000270</v>
      </c>
      <c r="C96" s="13" t="inlineStr">
        <is>
          <t>Febri Najmudin</t>
        </is>
      </c>
      <c r="D96" s="13" t="inlineStr">
        <is>
          <t>LOG</t>
        </is>
      </c>
      <c r="E96" s="13" t="inlineStr">
        <is>
          <t>WRM Harian</t>
        </is>
      </c>
      <c r="F96" s="170" t="n">
        <v>46059.24569444444</v>
      </c>
      <c r="G96" s="13" t="inlineStr">
        <is>
          <t>FREE</t>
        </is>
      </c>
      <c r="H96" s="170" t="n">
        <v>46059.58729166666</v>
      </c>
    </row>
    <row r="97">
      <c r="A97" s="13" t="inlineStr">
        <is>
          <t>MK00155</t>
        </is>
      </c>
      <c r="B97" s="13" t="n">
        <v>528000298</v>
      </c>
      <c r="C97" s="13" t="inlineStr">
        <is>
          <t>Desta Cahaya Pratama</t>
        </is>
      </c>
      <c r="D97" s="13" t="inlineStr">
        <is>
          <t>PROD</t>
        </is>
      </c>
      <c r="E97" s="13" t="inlineStr">
        <is>
          <t>Produksi Harian</t>
        </is>
      </c>
      <c r="F97" s="170" t="n">
        <v>46059.25050925926</v>
      </c>
      <c r="G97" s="13" t="inlineStr">
        <is>
          <t>FREE</t>
        </is>
      </c>
      <c r="H97" s="170" t="n">
        <v>46059.58533564815</v>
      </c>
    </row>
    <row r="98">
      <c r="A98" s="13" t="inlineStr">
        <is>
          <t>MK00088</t>
        </is>
      </c>
      <c r="B98" s="13" t="n">
        <v>528000069</v>
      </c>
      <c r="C98" s="13" t="inlineStr">
        <is>
          <t>Jajang Ardiansyah</t>
        </is>
      </c>
      <c r="D98" s="13" t="inlineStr">
        <is>
          <t>PROD</t>
        </is>
      </c>
      <c r="E98" s="13" t="inlineStr">
        <is>
          <t>Produksi Harian</t>
        </is>
      </c>
      <c r="F98" s="170" t="n">
        <v>46059.29056712963</v>
      </c>
      <c r="G98" s="13" t="inlineStr">
        <is>
          <t>FREE</t>
        </is>
      </c>
      <c r="H98" s="170" t="n">
        <v>46059.83552083333</v>
      </c>
    </row>
    <row r="99">
      <c r="A99" s="13" t="inlineStr">
        <is>
          <t>MK00145</t>
        </is>
      </c>
      <c r="B99" s="13" t="n">
        <v>528000282</v>
      </c>
      <c r="C99" s="13" t="inlineStr">
        <is>
          <t>Defa Desfiana</t>
        </is>
      </c>
      <c r="D99" s="13" t="inlineStr">
        <is>
          <t>PROD</t>
        </is>
      </c>
      <c r="E99" s="13" t="inlineStr">
        <is>
          <t>Produksi Harian</t>
        </is>
      </c>
      <c r="F99" s="170" t="n">
        <v>46059.31201388889</v>
      </c>
      <c r="G99" s="13" t="inlineStr">
        <is>
          <t>FREE</t>
        </is>
      </c>
      <c r="H99" s="170" t="n">
        <v>46059.66884259259</v>
      </c>
    </row>
    <row r="100">
      <c r="A100" s="13" t="inlineStr">
        <is>
          <t>MK00082</t>
        </is>
      </c>
      <c r="B100" s="13" t="n">
        <v>528000265</v>
      </c>
      <c r="C100" s="13" t="inlineStr">
        <is>
          <t>Muhammad Haerul Rozikin</t>
        </is>
      </c>
      <c r="D100" s="13" t="inlineStr">
        <is>
          <t>LOG</t>
        </is>
      </c>
      <c r="E100" s="13" t="inlineStr">
        <is>
          <t>WRM Harian</t>
        </is>
      </c>
      <c r="F100" s="170" t="n">
        <v>46059.32155092592</v>
      </c>
      <c r="G100" s="13" t="inlineStr">
        <is>
          <t>FREE</t>
        </is>
      </c>
      <c r="H100" s="170" t="n">
        <v>46059.66986111111</v>
      </c>
    </row>
    <row r="101">
      <c r="A101" s="13" t="inlineStr">
        <is>
          <t>MK00141</t>
        </is>
      </c>
      <c r="B101" s="13" t="n">
        <v>528000351</v>
      </c>
      <c r="C101" s="13" t="inlineStr">
        <is>
          <t>Mulyana</t>
        </is>
      </c>
      <c r="D101" s="13" t="inlineStr">
        <is>
          <t>PROD</t>
        </is>
      </c>
      <c r="E101" s="13" t="inlineStr">
        <is>
          <t>Produksi Harian</t>
        </is>
      </c>
      <c r="F101" s="170" t="n">
        <v>46059.32545138889</v>
      </c>
      <c r="G101" s="13" t="inlineStr">
        <is>
          <t>FREE</t>
        </is>
      </c>
      <c r="H101" s="170" t="n">
        <v>46059.66998842593</v>
      </c>
    </row>
    <row r="102">
      <c r="A102" s="13" t="inlineStr">
        <is>
          <t>MK00156</t>
        </is>
      </c>
      <c r="B102" s="13" t="n">
        <v>528000287</v>
      </c>
      <c r="C102" s="13" t="inlineStr">
        <is>
          <t>Muhamad Angga Ramdani</t>
        </is>
      </c>
      <c r="D102" s="13" t="inlineStr">
        <is>
          <t>PROD</t>
        </is>
      </c>
      <c r="E102" s="13" t="inlineStr">
        <is>
          <t>Produksi Harian</t>
        </is>
      </c>
      <c r="F102" s="170" t="n">
        <v>46059.32910879629</v>
      </c>
      <c r="G102" s="13" t="inlineStr">
        <is>
          <t>FREE</t>
        </is>
      </c>
      <c r="H102" s="170" t="n">
        <v>46059.89876157408</v>
      </c>
    </row>
    <row r="103">
      <c r="A103" s="13" t="inlineStr">
        <is>
          <t>MK00158</t>
        </is>
      </c>
      <c r="B103" s="13" t="n">
        <v>528000232</v>
      </c>
      <c r="C103" s="13" t="inlineStr">
        <is>
          <t>Agung Aji Suhada</t>
        </is>
      </c>
      <c r="D103" s="13" t="inlineStr">
        <is>
          <t>LOG</t>
        </is>
      </c>
      <c r="E103" s="13" t="inlineStr">
        <is>
          <t>WRM Harian</t>
        </is>
      </c>
      <c r="F103" s="170" t="n">
        <v>46059.37339120371</v>
      </c>
      <c r="G103" s="13" t="inlineStr">
        <is>
          <t>FREE</t>
        </is>
      </c>
      <c r="H103" s="170" t="n">
        <v>46118.37325231481</v>
      </c>
    </row>
    <row r="104">
      <c r="A104" s="13" t="inlineStr">
        <is>
          <t>MK00154</t>
        </is>
      </c>
      <c r="B104" s="13" t="n">
        <v>528000203</v>
      </c>
      <c r="C104" s="13" t="inlineStr">
        <is>
          <t>Yudha Ramdhan Putra</t>
        </is>
      </c>
      <c r="D104" s="13" t="inlineStr">
        <is>
          <t>ENG</t>
        </is>
      </c>
      <c r="E104" s="13" t="inlineStr">
        <is>
          <t>Engineering Harian</t>
        </is>
      </c>
      <c r="F104" s="170" t="n">
        <v>46059.37454861111</v>
      </c>
      <c r="G104" s="13" t="inlineStr">
        <is>
          <t>FREE</t>
        </is>
      </c>
      <c r="H104" s="170" t="n">
        <v>46087.33010416666</v>
      </c>
    </row>
    <row r="105">
      <c r="A105" s="13" t="inlineStr">
        <is>
          <t>MK00126</t>
        </is>
      </c>
      <c r="B105" s="13" t="n">
        <v>528000244</v>
      </c>
      <c r="C105" s="13" t="inlineStr">
        <is>
          <t>Rodian Rifai</t>
        </is>
      </c>
      <c r="D105" s="13" t="inlineStr">
        <is>
          <t>PROD</t>
        </is>
      </c>
      <c r="E105" s="13" t="inlineStr">
        <is>
          <t>Produksi Harian</t>
        </is>
      </c>
      <c r="F105" s="170" t="n">
        <v>46059.55626157407</v>
      </c>
      <c r="G105" s="13" t="inlineStr">
        <is>
          <t>FREE</t>
        </is>
      </c>
      <c r="H105" s="170" t="n">
        <v>46059.92158564815</v>
      </c>
    </row>
    <row r="106">
      <c r="A106" s="13" t="inlineStr">
        <is>
          <t>MK00148</t>
        </is>
      </c>
      <c r="B106" s="13" t="n">
        <v>528000201</v>
      </c>
      <c r="C106" s="13" t="inlineStr">
        <is>
          <t>Zahwa Amelia Choerunissa</t>
        </is>
      </c>
      <c r="D106" s="13" t="inlineStr">
        <is>
          <t>PROD</t>
        </is>
      </c>
      <c r="E106" s="13" t="inlineStr">
        <is>
          <t>Produksi Harian</t>
        </is>
      </c>
      <c r="F106" s="170" t="n">
        <v>46059.56331018519</v>
      </c>
      <c r="G106" s="13" t="inlineStr">
        <is>
          <t>FREE</t>
        </is>
      </c>
      <c r="H106" s="170" t="n">
        <v>46087.56861111111</v>
      </c>
    </row>
    <row r="107">
      <c r="A107" s="13" t="inlineStr">
        <is>
          <t>MK0155</t>
        </is>
      </c>
      <c r="B107" s="13" t="n">
        <v>528000212</v>
      </c>
      <c r="C107" s="13" t="inlineStr">
        <is>
          <t>Rizal Fauzi</t>
        </is>
      </c>
      <c r="D107" s="13" t="inlineStr">
        <is>
          <t>PROD</t>
        </is>
      </c>
      <c r="E107" s="13" t="inlineStr">
        <is>
          <t>Produksi Harian</t>
        </is>
      </c>
      <c r="F107" s="170" t="n">
        <v>46059.56353009259</v>
      </c>
      <c r="G107" s="13" t="inlineStr">
        <is>
          <t>FREE</t>
        </is>
      </c>
      <c r="H107" s="170" t="n">
        <v>46087.56311342592</v>
      </c>
    </row>
    <row r="108">
      <c r="A108" s="13" t="inlineStr">
        <is>
          <t>MK00113</t>
        </is>
      </c>
      <c r="B108" s="13" t="n">
        <v>528000099</v>
      </c>
      <c r="C108" s="13" t="inlineStr">
        <is>
          <t>Siti Nurawaliah</t>
        </is>
      </c>
      <c r="D108" s="13" t="inlineStr">
        <is>
          <t>PROD</t>
        </is>
      </c>
      <c r="E108" s="13" t="inlineStr">
        <is>
          <t>Produksi Harian</t>
        </is>
      </c>
      <c r="F108" s="170" t="n">
        <v>46059.56520833333</v>
      </c>
      <c r="G108" s="13" t="inlineStr">
        <is>
          <t>FREE</t>
        </is>
      </c>
      <c r="H108" s="170" t="n">
        <v>46087.57015046296</v>
      </c>
    </row>
    <row r="109">
      <c r="A109" s="13" t="inlineStr">
        <is>
          <t>MK00207</t>
        </is>
      </c>
      <c r="B109" s="13" t="n">
        <v>528000286</v>
      </c>
      <c r="C109" s="13" t="inlineStr">
        <is>
          <t>Imelda Amelia</t>
        </is>
      </c>
      <c r="D109" s="13" t="inlineStr">
        <is>
          <t>PROD</t>
        </is>
      </c>
      <c r="E109" s="13" t="inlineStr">
        <is>
          <t>Produksi Harian</t>
        </is>
      </c>
      <c r="F109" s="170" t="n">
        <v>46059.56920138889</v>
      </c>
      <c r="G109" s="13" t="inlineStr">
        <is>
          <t>FREE</t>
        </is>
      </c>
      <c r="H109" s="170" t="n">
        <v>46087.57025462963</v>
      </c>
    </row>
    <row r="110">
      <c r="A110" s="13" t="inlineStr">
        <is>
          <t>MK00208</t>
        </is>
      </c>
      <c r="B110" s="13" t="n">
        <v>528000241</v>
      </c>
      <c r="C110" s="13" t="inlineStr">
        <is>
          <t>Balia Nurafif Bilah</t>
        </is>
      </c>
      <c r="D110" s="13" t="inlineStr">
        <is>
          <t>PROD</t>
        </is>
      </c>
      <c r="E110" s="13" t="inlineStr">
        <is>
          <t>Produksi Harian</t>
        </is>
      </c>
      <c r="F110" s="170" t="n">
        <v>46059.57673611111</v>
      </c>
      <c r="G110" s="13" t="inlineStr">
        <is>
          <t>FREE</t>
        </is>
      </c>
      <c r="H110" s="170" t="n">
        <v>46059.92037037037</v>
      </c>
    </row>
    <row r="111">
      <c r="A111" s="13" t="inlineStr">
        <is>
          <t>MK00211</t>
        </is>
      </c>
      <c r="B111" s="13" t="n">
        <v>528000274</v>
      </c>
      <c r="C111" s="13" t="inlineStr">
        <is>
          <t>Zepri</t>
        </is>
      </c>
      <c r="D111" s="13" t="inlineStr">
        <is>
          <t>PROD</t>
        </is>
      </c>
      <c r="E111" s="13" t="inlineStr">
        <is>
          <t>Produksi Harian</t>
        </is>
      </c>
      <c r="F111" s="170" t="n">
        <v>46059.57900462963</v>
      </c>
      <c r="G111" s="13" t="inlineStr">
        <is>
          <t>FREE</t>
        </is>
      </c>
      <c r="H111" s="170" t="n">
        <v>46059.92020833334</v>
      </c>
    </row>
    <row r="112">
      <c r="A112" s="13" t="inlineStr">
        <is>
          <t>MK00210</t>
        </is>
      </c>
      <c r="B112" s="13" t="n">
        <v>528000290</v>
      </c>
      <c r="C112" s="13" t="inlineStr">
        <is>
          <t>Eval Pranata</t>
        </is>
      </c>
      <c r="D112" s="13" t="inlineStr">
        <is>
          <t>PROD</t>
        </is>
      </c>
      <c r="E112" s="13" t="inlineStr">
        <is>
          <t>Produksi Harian</t>
        </is>
      </c>
      <c r="F112" s="170" t="n">
        <v>46059.57966435186</v>
      </c>
      <c r="G112" s="13" t="inlineStr">
        <is>
          <t>FREE</t>
        </is>
      </c>
      <c r="H112" s="170" t="n">
        <v>46059.92025462963</v>
      </c>
    </row>
    <row r="113">
      <c r="A113" s="13" t="inlineStr">
        <is>
          <t>MK00085</t>
        </is>
      </c>
      <c r="B113" s="13" t="n">
        <v>528000052</v>
      </c>
      <c r="C113" s="13" t="inlineStr">
        <is>
          <t>Mustopa</t>
        </is>
      </c>
      <c r="D113" s="13" t="inlineStr">
        <is>
          <t>PROD</t>
        </is>
      </c>
      <c r="E113" s="13" t="inlineStr">
        <is>
          <t>Produksi Harian</t>
        </is>
      </c>
      <c r="F113" s="170" t="n">
        <v>46059.87193287037</v>
      </c>
      <c r="G113" s="13" t="inlineStr">
        <is>
          <t>FREE</t>
        </is>
      </c>
      <c r="H113" s="170" t="n">
        <v>46059.87399305555</v>
      </c>
    </row>
    <row r="114">
      <c r="A114" s="13" t="inlineStr">
        <is>
          <t>MK00085</t>
        </is>
      </c>
      <c r="B114" s="13" t="n">
        <v>528000052</v>
      </c>
      <c r="C114" s="13" t="inlineStr">
        <is>
          <t>Mustopa</t>
        </is>
      </c>
      <c r="D114" s="13" t="inlineStr">
        <is>
          <t>PROD</t>
        </is>
      </c>
      <c r="E114" s="13" t="inlineStr">
        <is>
          <t>Produksi Harian</t>
        </is>
      </c>
      <c r="F114" s="170" t="n">
        <v>46059.87420138889</v>
      </c>
      <c r="G114" s="13" t="inlineStr">
        <is>
          <t>FREE</t>
        </is>
      </c>
      <c r="H114" s="170" t="n">
        <v>46087.25244212963</v>
      </c>
    </row>
    <row r="115">
      <c r="A115" s="13" t="inlineStr">
        <is>
          <t>MK00199</t>
        </is>
      </c>
      <c r="B115" s="13" t="n">
        <v>528000261</v>
      </c>
      <c r="C115" s="13" t="inlineStr">
        <is>
          <t>Ergi Ergianto</t>
        </is>
      </c>
      <c r="D115" s="13" t="inlineStr">
        <is>
          <t>HRGA</t>
        </is>
      </c>
      <c r="E115" s="13" t="inlineStr">
        <is>
          <t>GA Harian</t>
        </is>
      </c>
      <c r="F115" s="170" t="n">
        <v>46059.90827546296</v>
      </c>
      <c r="G115" s="13" t="inlineStr">
        <is>
          <t>FREE</t>
        </is>
      </c>
      <c r="H115" s="170" t="n">
        <v>46087.25202546296</v>
      </c>
    </row>
    <row r="116">
      <c r="A116" s="13" t="inlineStr">
        <is>
          <t>MK00205</t>
        </is>
      </c>
      <c r="B116" s="13" t="n">
        <v>528000301</v>
      </c>
      <c r="C116" s="13" t="inlineStr">
        <is>
          <t>Muhammad Mukti Ridwan</t>
        </is>
      </c>
      <c r="D116" s="13" t="inlineStr">
        <is>
          <t>PROD</t>
        </is>
      </c>
      <c r="E116" s="13" t="inlineStr">
        <is>
          <t>Produksi Harian</t>
        </is>
      </c>
      <c r="F116" s="170" t="n">
        <v>46059.90966435185</v>
      </c>
      <c r="G116" s="13" t="inlineStr">
        <is>
          <t>FREE</t>
        </is>
      </c>
      <c r="H116" s="170" t="n">
        <v>46087.2538425926</v>
      </c>
    </row>
    <row r="117">
      <c r="A117" s="13" t="inlineStr">
        <is>
          <t>MK00192</t>
        </is>
      </c>
      <c r="B117" s="13" t="n">
        <v>528000283</v>
      </c>
      <c r="C117" s="13" t="inlineStr">
        <is>
          <t>Purwanda Sugiri</t>
        </is>
      </c>
      <c r="D117" s="13" t="inlineStr">
        <is>
          <t>LOG</t>
        </is>
      </c>
      <c r="E117" s="13" t="inlineStr">
        <is>
          <t>WRM Harian</t>
        </is>
      </c>
      <c r="F117" s="170" t="n">
        <v>46059.9103587963</v>
      </c>
      <c r="G117" s="13" t="inlineStr">
        <is>
          <t>FREE</t>
        </is>
      </c>
      <c r="H117" s="170" t="n">
        <v>46087.25263888889</v>
      </c>
    </row>
    <row r="118">
      <c r="A118" s="13" t="inlineStr">
        <is>
          <t>MK00093</t>
        </is>
      </c>
      <c r="B118" s="13" t="n">
        <v>528000291</v>
      </c>
      <c r="C118" s="13" t="inlineStr">
        <is>
          <t>Andrian</t>
        </is>
      </c>
      <c r="D118" s="13" t="inlineStr">
        <is>
          <t>PROD</t>
        </is>
      </c>
      <c r="E118" s="13" t="inlineStr">
        <is>
          <t>Produksi Harian</t>
        </is>
      </c>
      <c r="F118" s="170" t="n">
        <v>46059.91119212963</v>
      </c>
      <c r="G118" s="13" t="inlineStr">
        <is>
          <t>FREE</t>
        </is>
      </c>
      <c r="H118" s="170" t="n">
        <v>46087.25296296296</v>
      </c>
    </row>
    <row r="119">
      <c r="A119" s="13" t="inlineStr">
        <is>
          <t>MK00118</t>
        </is>
      </c>
      <c r="B119" s="13" t="n">
        <v>528000015</v>
      </c>
      <c r="C119" s="13" t="inlineStr">
        <is>
          <t>Erwin</t>
        </is>
      </c>
      <c r="D119" s="13" t="inlineStr">
        <is>
          <t>LOG</t>
        </is>
      </c>
      <c r="E119" s="13" t="inlineStr">
        <is>
          <t>WRM Harian</t>
        </is>
      </c>
      <c r="F119" s="170" t="n">
        <v>46059.91392361111</v>
      </c>
      <c r="G119" s="13" t="inlineStr">
        <is>
          <t>FREE</t>
        </is>
      </c>
      <c r="H119" s="170" t="n">
        <v>46087.33042824074</v>
      </c>
    </row>
    <row r="120">
      <c r="A120" s="13" t="inlineStr">
        <is>
          <t>MK000209</t>
        </is>
      </c>
      <c r="B120" s="13" t="n">
        <v>528000300</v>
      </c>
      <c r="C120" s="13" t="inlineStr">
        <is>
          <t>Lia pitaloka</t>
        </is>
      </c>
      <c r="D120" s="13" t="inlineStr">
        <is>
          <t>PROD</t>
        </is>
      </c>
      <c r="E120" s="13" t="inlineStr">
        <is>
          <t>Produksi Harian</t>
        </is>
      </c>
      <c r="F120" s="170" t="n">
        <v>46087.23924768518</v>
      </c>
      <c r="G120" s="13" t="inlineStr">
        <is>
          <t>FREE</t>
        </is>
      </c>
      <c r="H120" s="170" t="n">
        <v>46195.66396990741</v>
      </c>
    </row>
    <row r="121">
      <c r="A121" s="13" t="inlineStr">
        <is>
          <t>MK00116</t>
        </is>
      </c>
      <c r="B121" s="13" t="n">
        <v>528000297</v>
      </c>
      <c r="C121" s="13" t="inlineStr">
        <is>
          <t>Muhamad Budiana</t>
        </is>
      </c>
      <c r="D121" s="13" t="inlineStr">
        <is>
          <t>PROD</t>
        </is>
      </c>
      <c r="E121" s="13" t="inlineStr">
        <is>
          <t>Produksi Harian</t>
        </is>
      </c>
      <c r="F121" s="170" t="n">
        <v>46087.24616898148</v>
      </c>
      <c r="G121" s="13" t="inlineStr">
        <is>
          <t>FREE</t>
        </is>
      </c>
      <c r="H121" s="170" t="n">
        <v>46087.59347222222</v>
      </c>
    </row>
    <row r="122">
      <c r="A122" s="13" t="inlineStr">
        <is>
          <t>MK00088</t>
        </is>
      </c>
      <c r="B122" s="13" t="n">
        <v>528000069</v>
      </c>
      <c r="C122" s="13" t="inlineStr">
        <is>
          <t>Jajang Ardiansyah</t>
        </is>
      </c>
      <c r="D122" s="13" t="inlineStr">
        <is>
          <t>PROD</t>
        </is>
      </c>
      <c r="E122" s="13" t="inlineStr">
        <is>
          <t>Produksi Harian</t>
        </is>
      </c>
      <c r="F122" s="170" t="n">
        <v>46087.30548611111</v>
      </c>
      <c r="G122" s="13" t="inlineStr">
        <is>
          <t>FREE</t>
        </is>
      </c>
      <c r="H122" s="170" t="n">
        <v>46118.83230324074</v>
      </c>
    </row>
    <row r="123">
      <c r="A123" s="13" t="inlineStr">
        <is>
          <t>MK00141</t>
        </is>
      </c>
      <c r="B123" s="13" t="n">
        <v>528000282</v>
      </c>
      <c r="C123" s="13" t="inlineStr">
        <is>
          <t>Defa Desfiana</t>
        </is>
      </c>
      <c r="D123" s="13" t="inlineStr">
        <is>
          <t>PROD</t>
        </is>
      </c>
      <c r="E123" s="13" t="inlineStr">
        <is>
          <t>Produksi Harian</t>
        </is>
      </c>
      <c r="F123" s="170" t="n">
        <v>46087.31065972222</v>
      </c>
      <c r="G123" s="13" t="inlineStr">
        <is>
          <t>FREE</t>
        </is>
      </c>
      <c r="H123" s="170" t="n">
        <v>46087.67076388889</v>
      </c>
    </row>
    <row r="124">
      <c r="A124" s="13" t="inlineStr">
        <is>
          <t>MK0082</t>
        </is>
      </c>
      <c r="B124" s="13" t="n">
        <v>528000351</v>
      </c>
      <c r="C124" s="13" t="inlineStr">
        <is>
          <t>Mulyana</t>
        </is>
      </c>
      <c r="D124" s="13" t="inlineStr">
        <is>
          <t>PROD</t>
        </is>
      </c>
      <c r="E124" s="13" t="inlineStr">
        <is>
          <t>Produksi Harian</t>
        </is>
      </c>
      <c r="F124" s="170" t="n">
        <v>46087.32236111111</v>
      </c>
      <c r="G124" s="13" t="inlineStr">
        <is>
          <t>FREE</t>
        </is>
      </c>
      <c r="H124" s="170" t="n">
        <v>46087.66777777778</v>
      </c>
    </row>
    <row r="125">
      <c r="A125" s="13" t="inlineStr">
        <is>
          <t>MK00200</t>
        </is>
      </c>
      <c r="B125" s="13" t="n">
        <v>528000287</v>
      </c>
      <c r="C125" s="13" t="inlineStr">
        <is>
          <t>Muhamad Angga Ramdani</t>
        </is>
      </c>
      <c r="D125" s="13" t="inlineStr">
        <is>
          <t>PROD</t>
        </is>
      </c>
      <c r="E125" s="13" t="inlineStr">
        <is>
          <t>Produksi Harian</t>
        </is>
      </c>
      <c r="F125" s="170" t="n">
        <v>46087.32630787037</v>
      </c>
      <c r="G125" s="13" t="inlineStr">
        <is>
          <t>FREE</t>
        </is>
      </c>
      <c r="H125" s="170" t="n">
        <v>46087.6737037037</v>
      </c>
    </row>
    <row r="126">
      <c r="A126" s="13" t="inlineStr">
        <is>
          <t>MK00249</t>
        </is>
      </c>
      <c r="B126" s="13" t="n">
        <v>528000265</v>
      </c>
      <c r="C126" s="13" t="inlineStr">
        <is>
          <t>Muhammad Haerul Rozikin</t>
        </is>
      </c>
      <c r="D126" s="13" t="inlineStr">
        <is>
          <t>LOG</t>
        </is>
      </c>
      <c r="E126" s="13" t="inlineStr">
        <is>
          <t>WRM Harian</t>
        </is>
      </c>
      <c r="F126" s="170" t="n">
        <v>46087.32658564814</v>
      </c>
      <c r="G126" s="13" t="inlineStr">
        <is>
          <t>FREE</t>
        </is>
      </c>
      <c r="H126" s="170" t="n">
        <v>46087.68138888889</v>
      </c>
    </row>
    <row r="127">
      <c r="A127" s="13" t="inlineStr">
        <is>
          <t>MK00205</t>
        </is>
      </c>
      <c r="B127" s="13" t="n">
        <v>528000349</v>
      </c>
      <c r="C127" s="13" t="inlineStr">
        <is>
          <t>Anas Abdul Fatah</t>
        </is>
      </c>
      <c r="D127" s="13" t="inlineStr">
        <is>
          <t>LOG</t>
        </is>
      </c>
      <c r="E127" s="13" t="inlineStr">
        <is>
          <t>WFG Harian</t>
        </is>
      </c>
      <c r="F127" s="170" t="n">
        <v>46087.32739583333</v>
      </c>
      <c r="G127" s="13" t="inlineStr">
        <is>
          <t>FREE</t>
        </is>
      </c>
      <c r="H127" s="170" t="n">
        <v>46118.32709490741</v>
      </c>
    </row>
    <row r="128">
      <c r="A128" s="13" t="inlineStr">
        <is>
          <t>MK00150</t>
        </is>
      </c>
      <c r="B128" s="13" t="n">
        <v>528000144</v>
      </c>
      <c r="C128" s="13" t="inlineStr">
        <is>
          <t>Jodi Hanafi</t>
        </is>
      </c>
      <c r="D128" s="13" t="inlineStr">
        <is>
          <t>LOG</t>
        </is>
      </c>
      <c r="E128" s="13" t="inlineStr">
        <is>
          <t>WRM Harian</t>
        </is>
      </c>
      <c r="F128" s="170" t="n">
        <v>46087.33231481481</v>
      </c>
      <c r="G128" s="13" t="inlineStr">
        <is>
          <t>FREE</t>
        </is>
      </c>
      <c r="H128" s="170" t="n">
        <v>46087.33418981481</v>
      </c>
    </row>
    <row r="129">
      <c r="A129" s="13" t="inlineStr">
        <is>
          <t>MK00150</t>
        </is>
      </c>
      <c r="B129" s="13" t="n">
        <v>528000144</v>
      </c>
      <c r="C129" s="13" t="inlineStr">
        <is>
          <t>Jodi Hanafi</t>
        </is>
      </c>
      <c r="D129" s="13" t="inlineStr">
        <is>
          <t>LOG</t>
        </is>
      </c>
      <c r="E129" s="13" t="inlineStr">
        <is>
          <t>WRM Harian</t>
        </is>
      </c>
      <c r="F129" s="170" t="n">
        <v>46087.33462962963</v>
      </c>
      <c r="G129" s="13" t="inlineStr">
        <is>
          <t>FREE</t>
        </is>
      </c>
      <c r="H129" s="170" t="n">
        <v>46087.67363425926</v>
      </c>
    </row>
    <row r="130">
      <c r="A130" s="13" t="inlineStr">
        <is>
          <t>MK00186</t>
        </is>
      </c>
      <c r="B130" s="13" t="n">
        <v>528000149</v>
      </c>
      <c r="C130" s="13" t="inlineStr">
        <is>
          <t>Tio Fernanda</t>
        </is>
      </c>
      <c r="D130" s="13" t="inlineStr">
        <is>
          <t>LOG</t>
        </is>
      </c>
      <c r="E130" s="13" t="inlineStr">
        <is>
          <t>WRM Harian</t>
        </is>
      </c>
      <c r="F130" s="170" t="n">
        <v>46087.36690972222</v>
      </c>
      <c r="G130" s="13" t="inlineStr">
        <is>
          <t>FREE</t>
        </is>
      </c>
      <c r="H130" s="170" t="n">
        <v>46118.36107638889</v>
      </c>
    </row>
    <row r="131">
      <c r="A131" s="13" t="inlineStr">
        <is>
          <t>MK00199</t>
        </is>
      </c>
      <c r="B131" s="13" t="n">
        <v>528000348</v>
      </c>
      <c r="C131" s="13" t="inlineStr">
        <is>
          <t>Saepuloh Ardiansah</t>
        </is>
      </c>
      <c r="D131" s="13" t="inlineStr">
        <is>
          <t>LOG</t>
        </is>
      </c>
      <c r="E131" s="13" t="inlineStr">
        <is>
          <t>WRM Harian</t>
        </is>
      </c>
      <c r="F131" s="170" t="n">
        <v>46087.37081018519</v>
      </c>
      <c r="G131" s="13" t="inlineStr">
        <is>
          <t>FREE</t>
        </is>
      </c>
      <c r="H131" s="170" t="n">
        <v>46118.37890046297</v>
      </c>
    </row>
    <row r="132">
      <c r="A132" s="13" t="inlineStr">
        <is>
          <t>MK00212</t>
        </is>
      </c>
      <c r="B132" s="13" t="n">
        <v>528000203</v>
      </c>
      <c r="C132" s="13" t="inlineStr">
        <is>
          <t>Yudha Ramdhan Putra</t>
        </is>
      </c>
      <c r="D132" s="13" t="inlineStr">
        <is>
          <t>ENG</t>
        </is>
      </c>
      <c r="E132" s="13" t="inlineStr">
        <is>
          <t>Engineering Harian</t>
        </is>
      </c>
      <c r="F132" s="170" t="n">
        <v>46087.37114583333</v>
      </c>
      <c r="G132" s="13" t="inlineStr">
        <is>
          <t>FREE</t>
        </is>
      </c>
      <c r="H132" s="170" t="n">
        <v>46118.37550925926</v>
      </c>
    </row>
    <row r="133">
      <c r="A133" s="13" t="inlineStr">
        <is>
          <t>MK00246</t>
        </is>
      </c>
      <c r="B133" s="13" t="n">
        <v>528000212</v>
      </c>
      <c r="C133" s="13" t="inlineStr">
        <is>
          <t>Rizal Fauzi</t>
        </is>
      </c>
      <c r="D133" s="13" t="inlineStr">
        <is>
          <t>PROD</t>
        </is>
      </c>
      <c r="E133" s="13" t="inlineStr">
        <is>
          <t>Produksi Harian</t>
        </is>
      </c>
      <c r="F133" s="170" t="n">
        <v>46087.56409722222</v>
      </c>
      <c r="G133" s="13" t="inlineStr">
        <is>
          <t>FREE</t>
        </is>
      </c>
      <c r="H133" s="170" t="n">
        <v>46148.58070601852</v>
      </c>
    </row>
    <row r="134">
      <c r="A134" s="13" t="inlineStr">
        <is>
          <t>MK00250</t>
        </is>
      </c>
      <c r="B134" s="13" t="n">
        <v>528000201</v>
      </c>
      <c r="C134" s="13" t="inlineStr">
        <is>
          <t>Zahwa Amelia Choerunissa</t>
        </is>
      </c>
      <c r="D134" s="13" t="inlineStr">
        <is>
          <t>PROD</t>
        </is>
      </c>
      <c r="E134" s="13" t="inlineStr">
        <is>
          <t>Produksi Harian</t>
        </is>
      </c>
      <c r="F134" s="170" t="n">
        <v>46087.56881944444</v>
      </c>
      <c r="G134" s="13" t="inlineStr">
        <is>
          <t>FREE</t>
        </is>
      </c>
      <c r="H134" s="170" t="n">
        <v>46087.92168981482</v>
      </c>
    </row>
    <row r="135">
      <c r="A135" s="13" t="inlineStr">
        <is>
          <t>MK00136</t>
        </is>
      </c>
      <c r="B135" s="13" t="n">
        <v>528000099</v>
      </c>
      <c r="C135" s="13" t="inlineStr">
        <is>
          <t>Siti Nurawaliah</t>
        </is>
      </c>
      <c r="D135" s="13" t="inlineStr">
        <is>
          <t>PROD</t>
        </is>
      </c>
      <c r="E135" s="13" t="inlineStr">
        <is>
          <t>Produksi Harian</t>
        </is>
      </c>
      <c r="F135" s="170" t="n">
        <v>46087.57032407408</v>
      </c>
      <c r="G135" s="13" t="inlineStr">
        <is>
          <t>FREE</t>
        </is>
      </c>
      <c r="H135" s="170" t="n">
        <v>46087.92233796296</v>
      </c>
    </row>
    <row r="136">
      <c r="A136" s="13" t="inlineStr">
        <is>
          <t>MK00046</t>
        </is>
      </c>
      <c r="B136" s="13" t="n">
        <v>528000286</v>
      </c>
      <c r="C136" s="13" t="inlineStr">
        <is>
          <t>Imelda Amelia</t>
        </is>
      </c>
      <c r="D136" s="13" t="inlineStr">
        <is>
          <t>PROD</t>
        </is>
      </c>
      <c r="E136" s="13" t="inlineStr">
        <is>
          <t>Produksi Harian</t>
        </is>
      </c>
      <c r="F136" s="170" t="n">
        <v>46087.57046296296</v>
      </c>
      <c r="G136" s="13" t="inlineStr">
        <is>
          <t>FREE</t>
        </is>
      </c>
      <c r="H136" s="170" t="n">
        <v>46087.9230787037</v>
      </c>
    </row>
    <row r="137">
      <c r="A137" s="13" t="inlineStr">
        <is>
          <t>MK00113</t>
        </is>
      </c>
      <c r="B137" s="13" t="n">
        <v>528000228</v>
      </c>
      <c r="C137" s="13" t="inlineStr">
        <is>
          <t>Banyu Resmi Putri</t>
        </is>
      </c>
      <c r="D137" s="13" t="inlineStr">
        <is>
          <t>PROD</t>
        </is>
      </c>
      <c r="E137" s="13" t="inlineStr">
        <is>
          <t>Produksi Harian</t>
        </is>
      </c>
      <c r="F137" s="170" t="n">
        <v>46087.57434027778</v>
      </c>
      <c r="G137" s="13" t="inlineStr">
        <is>
          <t>FREE</t>
        </is>
      </c>
      <c r="H137" s="170" t="n">
        <v>46087.92260416667</v>
      </c>
    </row>
    <row r="138">
      <c r="A138" s="13" t="inlineStr">
        <is>
          <t>MK00154</t>
        </is>
      </c>
      <c r="B138" s="13" t="n">
        <v>528000244</v>
      </c>
      <c r="C138" s="13" t="inlineStr">
        <is>
          <t>Rodian Rifai</t>
        </is>
      </c>
      <c r="D138" s="13" t="inlineStr">
        <is>
          <t>PROD</t>
        </is>
      </c>
      <c r="E138" s="13" t="inlineStr">
        <is>
          <t>Produksi Harian</t>
        </is>
      </c>
      <c r="F138" s="170" t="n">
        <v>46087.57511574074</v>
      </c>
      <c r="G138" s="13" t="inlineStr">
        <is>
          <t>FREE</t>
        </is>
      </c>
      <c r="H138" s="170" t="n">
        <v>46087.92135416667</v>
      </c>
    </row>
    <row r="139">
      <c r="A139" s="13" t="inlineStr">
        <is>
          <t>MK00156</t>
        </is>
      </c>
      <c r="B139" s="13" t="n">
        <v>528000241</v>
      </c>
      <c r="C139" s="13" t="inlineStr">
        <is>
          <t>Balia Nurafif Bilah</t>
        </is>
      </c>
      <c r="D139" s="13" t="inlineStr">
        <is>
          <t>PROD</t>
        </is>
      </c>
      <c r="E139" s="13" t="inlineStr">
        <is>
          <t>Produksi Harian</t>
        </is>
      </c>
      <c r="F139" s="170" t="n">
        <v>46087.57724537037</v>
      </c>
      <c r="G139" s="13" t="inlineStr">
        <is>
          <t>FREE</t>
        </is>
      </c>
      <c r="H139" s="170" t="n">
        <v>46087.91996527778</v>
      </c>
    </row>
    <row r="140">
      <c r="A140" s="13" t="inlineStr">
        <is>
          <t>MK00126</t>
        </is>
      </c>
      <c r="B140" s="13" t="n">
        <v>528000274</v>
      </c>
      <c r="C140" s="13" t="inlineStr">
        <is>
          <t>Zepri</t>
        </is>
      </c>
      <c r="D140" s="13" t="inlineStr">
        <is>
          <t>PROD</t>
        </is>
      </c>
      <c r="E140" s="13" t="inlineStr">
        <is>
          <t>Produksi Harian</t>
        </is>
      </c>
      <c r="F140" s="170" t="n">
        <v>46087.57775462963</v>
      </c>
      <c r="G140" s="13" t="inlineStr">
        <is>
          <t>FREE</t>
        </is>
      </c>
      <c r="H140" s="170" t="n">
        <v>46087.9258912037</v>
      </c>
    </row>
    <row r="141">
      <c r="A141" s="13" t="inlineStr">
        <is>
          <t>MK00145</t>
        </is>
      </c>
      <c r="B141" s="13" t="n">
        <v>528000290</v>
      </c>
      <c r="C141" s="13" t="inlineStr">
        <is>
          <t>Eval Pranata</t>
        </is>
      </c>
      <c r="D141" s="13" t="inlineStr">
        <is>
          <t>PROD</t>
        </is>
      </c>
      <c r="E141" s="13" t="inlineStr">
        <is>
          <t>Produksi Harian</t>
        </is>
      </c>
      <c r="F141" s="170" t="n">
        <v>46087.57788194445</v>
      </c>
      <c r="G141" s="13" t="inlineStr">
        <is>
          <t>FREE</t>
        </is>
      </c>
      <c r="H141" s="170" t="n">
        <v>46087.9206712963</v>
      </c>
    </row>
    <row r="142">
      <c r="A142" s="13" t="inlineStr">
        <is>
          <t>MK00055</t>
        </is>
      </c>
      <c r="B142" s="13" t="n">
        <v>528000015</v>
      </c>
      <c r="C142" s="13" t="inlineStr">
        <is>
          <t>Erwin</t>
        </is>
      </c>
      <c r="D142" s="13" t="inlineStr">
        <is>
          <t>LOG</t>
        </is>
      </c>
      <c r="E142" s="13" t="inlineStr">
        <is>
          <t>WRM Harian</t>
        </is>
      </c>
      <c r="F142" s="170" t="n">
        <v>46087.57990740741</v>
      </c>
      <c r="G142" s="13" t="inlineStr">
        <is>
          <t>FREE</t>
        </is>
      </c>
      <c r="H142" s="170" t="n">
        <v>46118.25336805556</v>
      </c>
    </row>
    <row r="143">
      <c r="A143" s="13" t="inlineStr">
        <is>
          <t>MK00112</t>
        </is>
      </c>
      <c r="B143" s="13" t="n">
        <v>528000055</v>
      </c>
      <c r="C143" s="13" t="inlineStr">
        <is>
          <t>Dika Prasetya</t>
        </is>
      </c>
      <c r="D143" s="13" t="inlineStr">
        <is>
          <t>LOG</t>
        </is>
      </c>
      <c r="E143" s="13" t="inlineStr">
        <is>
          <t>WRM Harian</t>
        </is>
      </c>
      <c r="F143" s="170" t="n">
        <v>46087.58082175926</v>
      </c>
      <c r="G143" s="13" t="inlineStr">
        <is>
          <t>FREE</t>
        </is>
      </c>
      <c r="H143" s="170" t="n">
        <v>46087.92238425926</v>
      </c>
    </row>
    <row r="144">
      <c r="A144" s="13" t="inlineStr">
        <is>
          <t>MK00138</t>
        </is>
      </c>
      <c r="B144" s="13" t="n">
        <v>528000090</v>
      </c>
      <c r="C144" s="13" t="inlineStr">
        <is>
          <t>Suganda</t>
        </is>
      </c>
      <c r="D144" s="13" t="inlineStr">
        <is>
          <t>PROD</t>
        </is>
      </c>
      <c r="E144" s="13" t="inlineStr">
        <is>
          <t>Produksi Harian</t>
        </is>
      </c>
      <c r="F144" s="170" t="n">
        <v>46087.58087962963</v>
      </c>
      <c r="G144" s="13" t="inlineStr">
        <is>
          <t>FREE</t>
        </is>
      </c>
      <c r="H144" s="170" t="n">
        <v>46087.92099537037</v>
      </c>
    </row>
    <row r="145">
      <c r="A145" s="13" t="n">
        <v>128000267</v>
      </c>
      <c r="B145" s="13" t="n">
        <v>528000267</v>
      </c>
      <c r="C145" s="13" t="inlineStr">
        <is>
          <t>Bagas Patulloh</t>
        </is>
      </c>
      <c r="D145" s="13" t="inlineStr">
        <is>
          <t>LOG</t>
        </is>
      </c>
      <c r="E145" s="13" t="inlineStr">
        <is>
          <t>WRM Harian</t>
        </is>
      </c>
      <c r="F145" s="170" t="n">
        <v>46087.65304398148</v>
      </c>
      <c r="G145" s="13" t="inlineStr">
        <is>
          <t>FREE</t>
        </is>
      </c>
      <c r="H145" s="170" t="n">
        <v>46148.67091435185</v>
      </c>
    </row>
    <row r="146">
      <c r="A146" s="13" t="inlineStr">
        <is>
          <t>MKOO58</t>
        </is>
      </c>
      <c r="B146" s="13" t="n">
        <v>528000052</v>
      </c>
      <c r="C146" s="13" t="inlineStr">
        <is>
          <t>Mustopa</t>
        </is>
      </c>
      <c r="D146" s="13" t="inlineStr">
        <is>
          <t>PROD</t>
        </is>
      </c>
      <c r="E146" s="13" t="inlineStr">
        <is>
          <t>Produksi Harian</t>
        </is>
      </c>
      <c r="F146" s="170" t="n">
        <v>46087.82285879629</v>
      </c>
      <c r="G146" s="13" t="inlineStr">
        <is>
          <t>FREE</t>
        </is>
      </c>
      <c r="H146" s="170" t="n">
        <v>46198.83106481482</v>
      </c>
    </row>
    <row r="147">
      <c r="A147" s="13" t="inlineStr">
        <is>
          <t>MK00192</t>
        </is>
      </c>
      <c r="B147" s="13" t="n">
        <v>528000195</v>
      </c>
      <c r="C147" s="13" t="inlineStr">
        <is>
          <t>Rahma Sariwati</t>
        </is>
      </c>
      <c r="D147" s="13" t="inlineStr">
        <is>
          <t>PROD</t>
        </is>
      </c>
      <c r="E147" s="13" t="inlineStr">
        <is>
          <t>Produksi Harian</t>
        </is>
      </c>
      <c r="F147" s="170" t="n">
        <v>46087.89543981481</v>
      </c>
      <c r="G147" s="13" t="inlineStr">
        <is>
          <t>FREE</t>
        </is>
      </c>
      <c r="H147" s="170" t="n">
        <v>46148.25373842593</v>
      </c>
    </row>
    <row r="148">
      <c r="A148" s="13" t="inlineStr">
        <is>
          <t>MK00221</t>
        </is>
      </c>
      <c r="B148" s="13" t="n">
        <v>528000266</v>
      </c>
      <c r="C148" s="13" t="inlineStr">
        <is>
          <t>M. Syirajatieq</t>
        </is>
      </c>
      <c r="D148" s="13" t="inlineStr">
        <is>
          <t>LOG</t>
        </is>
      </c>
      <c r="E148" s="13" t="inlineStr">
        <is>
          <t>WFG Harian</t>
        </is>
      </c>
      <c r="F148" s="170" t="n">
        <v>46087.89939814815</v>
      </c>
      <c r="G148" s="13" t="inlineStr">
        <is>
          <t>FREE</t>
        </is>
      </c>
      <c r="H148" s="170" t="n">
        <v>46118.25209490741</v>
      </c>
    </row>
    <row r="149">
      <c r="A149" s="13" t="inlineStr">
        <is>
          <t>MK00109</t>
        </is>
      </c>
      <c r="B149" s="13" t="n">
        <v>528000262</v>
      </c>
      <c r="C149" s="13" t="inlineStr">
        <is>
          <t>Ndari Dwiwanti</t>
        </is>
      </c>
      <c r="D149" s="13" t="inlineStr">
        <is>
          <t>PROD</t>
        </is>
      </c>
      <c r="E149" s="13" t="inlineStr">
        <is>
          <t>Produksi Harian</t>
        </is>
      </c>
      <c r="F149" s="170" t="n">
        <v>46087.90118055556</v>
      </c>
      <c r="G149" s="13" t="inlineStr">
        <is>
          <t>FREE</t>
        </is>
      </c>
      <c r="H149" s="170" t="n">
        <v>46118.25138888889</v>
      </c>
    </row>
    <row r="150">
      <c r="A150" s="13" t="inlineStr">
        <is>
          <t>MK00249</t>
        </is>
      </c>
      <c r="B150" s="13" t="n">
        <v>528000358</v>
      </c>
      <c r="C150" s="13" t="inlineStr">
        <is>
          <t>Lulu Agustin</t>
        </is>
      </c>
      <c r="D150" s="13" t="inlineStr">
        <is>
          <t>PROD</t>
        </is>
      </c>
      <c r="E150" s="13" t="inlineStr">
        <is>
          <t>Produksi Harian</t>
        </is>
      </c>
      <c r="F150" s="170" t="n">
        <v>46087.90274305556</v>
      </c>
      <c r="G150" s="13" t="inlineStr">
        <is>
          <t>FREE</t>
        </is>
      </c>
      <c r="H150" s="170" t="n">
        <v>46118.03115740741</v>
      </c>
    </row>
    <row r="151">
      <c r="A151" s="13" t="inlineStr">
        <is>
          <t>MK00213</t>
        </is>
      </c>
      <c r="B151" s="13" t="n">
        <v>528000261</v>
      </c>
      <c r="C151" s="13" t="inlineStr">
        <is>
          <t>Ergi Ergianto</t>
        </is>
      </c>
      <c r="D151" s="13" t="inlineStr">
        <is>
          <t>HRGA</t>
        </is>
      </c>
      <c r="E151" s="13" t="inlineStr">
        <is>
          <t>GA Harian</t>
        </is>
      </c>
      <c r="F151" s="170" t="n">
        <v>46087.90707175926</v>
      </c>
      <c r="G151" s="13" t="inlineStr">
        <is>
          <t>FREE</t>
        </is>
      </c>
      <c r="H151" s="170" t="n">
        <v>46118.25190972222</v>
      </c>
    </row>
    <row r="152">
      <c r="A152" s="13" t="inlineStr">
        <is>
          <t>MK00150</t>
        </is>
      </c>
      <c r="B152" s="13" t="n">
        <v>528000283</v>
      </c>
      <c r="C152" s="13" t="inlineStr">
        <is>
          <t>Purwanda Sugiri</t>
        </is>
      </c>
      <c r="D152" s="13" t="inlineStr">
        <is>
          <t>LOG</t>
        </is>
      </c>
      <c r="E152" s="13" t="inlineStr">
        <is>
          <t>WRM Harian</t>
        </is>
      </c>
      <c r="F152" s="170" t="n">
        <v>46087.91266203704</v>
      </c>
      <c r="G152" s="13" t="inlineStr">
        <is>
          <t>FREE</t>
        </is>
      </c>
      <c r="H152" s="170" t="n">
        <v>46118.25363425926</v>
      </c>
    </row>
    <row r="153">
      <c r="A153" s="13" t="inlineStr">
        <is>
          <t>MK00082</t>
        </is>
      </c>
      <c r="B153" s="13" t="n">
        <v>528000291</v>
      </c>
      <c r="C153" s="13" t="inlineStr">
        <is>
          <t>Andrian</t>
        </is>
      </c>
      <c r="D153" s="13" t="inlineStr">
        <is>
          <t>PROD</t>
        </is>
      </c>
      <c r="E153" s="13" t="inlineStr">
        <is>
          <t>Produksi Harian</t>
        </is>
      </c>
      <c r="F153" s="170" t="n">
        <v>46087.91292824074</v>
      </c>
      <c r="G153" s="13" t="inlineStr">
        <is>
          <t>FREE</t>
        </is>
      </c>
      <c r="H153" s="170" t="n">
        <v>46118.25358796296</v>
      </c>
    </row>
    <row r="154">
      <c r="A154" s="13" t="inlineStr">
        <is>
          <t>MK00155</t>
        </is>
      </c>
      <c r="B154" s="13" t="n">
        <v>528000301</v>
      </c>
      <c r="C154" s="13" t="inlineStr">
        <is>
          <t>Muhammad Mukti Ridwan</t>
        </is>
      </c>
      <c r="D154" s="13" t="inlineStr">
        <is>
          <t>PROD</t>
        </is>
      </c>
      <c r="E154" s="13" t="inlineStr">
        <is>
          <t>Produksi Harian</t>
        </is>
      </c>
      <c r="F154" s="170" t="n">
        <v>46087.91366898148</v>
      </c>
      <c r="G154" s="13" t="inlineStr">
        <is>
          <t>FREE</t>
        </is>
      </c>
      <c r="H154" s="170" t="n">
        <v>46118.25611111111</v>
      </c>
    </row>
    <row r="155">
      <c r="A155" s="13" t="inlineStr">
        <is>
          <t>MK00249</t>
        </is>
      </c>
      <c r="B155" s="13" t="n">
        <v>528000358</v>
      </c>
      <c r="C155" s="13" t="inlineStr">
        <is>
          <t>Lulu Agustin</t>
        </is>
      </c>
      <c r="D155" s="13" t="inlineStr">
        <is>
          <t>PROD</t>
        </is>
      </c>
      <c r="E155" s="13" t="inlineStr">
        <is>
          <t>Produksi Harian</t>
        </is>
      </c>
      <c r="F155" s="170" t="n">
        <v>46118.03123842592</v>
      </c>
      <c r="G155" s="13" t="inlineStr">
        <is>
          <t>FREE</t>
        </is>
      </c>
      <c r="H155" s="170" t="n">
        <v>46118.58579861111</v>
      </c>
    </row>
    <row r="156">
      <c r="A156" s="13" t="inlineStr">
        <is>
          <t>MK00136</t>
        </is>
      </c>
      <c r="B156" s="13" t="n">
        <v>528000306</v>
      </c>
      <c r="C156" s="13" t="inlineStr">
        <is>
          <t>Windy Olivia</t>
        </is>
      </c>
      <c r="D156" s="13" t="inlineStr">
        <is>
          <t>PROD</t>
        </is>
      </c>
      <c r="E156" s="13" t="inlineStr">
        <is>
          <t>Produksi Harian</t>
        </is>
      </c>
      <c r="F156" s="170" t="n">
        <v>46118.23835648148</v>
      </c>
      <c r="G156" s="13" t="inlineStr">
        <is>
          <t>FREE</t>
        </is>
      </c>
      <c r="H156" s="170" t="n">
        <v>46118.58923611111</v>
      </c>
    </row>
    <row r="157">
      <c r="A157" s="13" t="inlineStr">
        <is>
          <t>MK00184</t>
        </is>
      </c>
      <c r="B157" s="13" t="n">
        <v>528000282</v>
      </c>
      <c r="C157" s="13" t="inlineStr">
        <is>
          <t>Defa Desfiana</t>
        </is>
      </c>
      <c r="D157" s="13" t="inlineStr">
        <is>
          <t>PROD</t>
        </is>
      </c>
      <c r="E157" s="13" t="inlineStr">
        <is>
          <t>Produksi Harian</t>
        </is>
      </c>
      <c r="F157" s="170" t="n">
        <v>46118.24016203704</v>
      </c>
      <c r="G157" s="13" t="inlineStr">
        <is>
          <t>FREE</t>
        </is>
      </c>
      <c r="H157" s="170" t="n">
        <v>46118.58635416667</v>
      </c>
    </row>
    <row r="158">
      <c r="A158" s="13" t="inlineStr">
        <is>
          <t>MK00141</t>
        </is>
      </c>
      <c r="B158" s="13" t="n">
        <v>628000064</v>
      </c>
      <c r="C158" s="13" t="inlineStr">
        <is>
          <t>Silva Alypia</t>
        </is>
      </c>
      <c r="D158" s="13" t="inlineStr">
        <is>
          <t>PROD</t>
        </is>
      </c>
      <c r="E158" s="13" t="inlineStr">
        <is>
          <t>Produksi Borongan</t>
        </is>
      </c>
      <c r="F158" s="170" t="n">
        <v>46118.24229166667</v>
      </c>
      <c r="G158" s="13" t="inlineStr">
        <is>
          <t>FREE</t>
        </is>
      </c>
      <c r="H158" s="170" t="n">
        <v>46118.59025462963</v>
      </c>
    </row>
    <row r="159">
      <c r="A159" s="13" t="inlineStr">
        <is>
          <t>MK00250</t>
        </is>
      </c>
      <c r="B159" s="13" t="n">
        <v>528000210</v>
      </c>
      <c r="C159" s="13" t="inlineStr">
        <is>
          <t>Muhamad Aldi Agustiana</t>
        </is>
      </c>
      <c r="D159" s="13" t="inlineStr">
        <is>
          <t>PROD</t>
        </is>
      </c>
      <c r="E159" s="13" t="inlineStr">
        <is>
          <t>Produksi Harian</t>
        </is>
      </c>
      <c r="F159" s="170" t="n">
        <v>46118.24737268518</v>
      </c>
      <c r="G159" s="13" t="inlineStr">
        <is>
          <t>FREE</t>
        </is>
      </c>
      <c r="H159" s="170" t="n">
        <v>46118.58644675926</v>
      </c>
    </row>
    <row r="160">
      <c r="A160" s="13" t="inlineStr">
        <is>
          <t>MK00156</t>
        </is>
      </c>
      <c r="B160" s="13" t="n">
        <v>528000265</v>
      </c>
      <c r="C160" s="13" t="inlineStr">
        <is>
          <t>Muhammad Haerul Rozikin</t>
        </is>
      </c>
      <c r="D160" s="13" t="inlineStr">
        <is>
          <t>LOG</t>
        </is>
      </c>
      <c r="E160" s="13" t="inlineStr">
        <is>
          <t>WRM Harian</t>
        </is>
      </c>
      <c r="F160" s="170" t="n">
        <v>46118.24807870371</v>
      </c>
      <c r="G160" s="13" t="inlineStr">
        <is>
          <t>FREE</t>
        </is>
      </c>
      <c r="H160" s="170" t="n">
        <v>46118.58539351852</v>
      </c>
    </row>
    <row r="161">
      <c r="A161" s="13" t="inlineStr">
        <is>
          <t>MK00145</t>
        </is>
      </c>
      <c r="B161" s="13" t="n">
        <v>528000279</v>
      </c>
      <c r="C161" s="13" t="inlineStr">
        <is>
          <t>Mahdalena Dalfa Riani</t>
        </is>
      </c>
      <c r="D161" s="13" t="inlineStr">
        <is>
          <t>PROD</t>
        </is>
      </c>
      <c r="E161" s="13" t="inlineStr">
        <is>
          <t>Produksi Harian</t>
        </is>
      </c>
      <c r="F161" s="170" t="n">
        <v>46118.24900462963</v>
      </c>
      <c r="G161" s="13" t="inlineStr">
        <is>
          <t>FREE</t>
        </is>
      </c>
      <c r="H161" s="170" t="n">
        <v>46118.58655092592</v>
      </c>
    </row>
    <row r="162">
      <c r="A162" s="13" t="inlineStr">
        <is>
          <t>MK00213</t>
        </is>
      </c>
      <c r="B162" s="13" t="n">
        <v>528000297</v>
      </c>
      <c r="C162" s="13" t="inlineStr">
        <is>
          <t>Muhamad Budiana</t>
        </is>
      </c>
      <c r="D162" s="13" t="inlineStr">
        <is>
          <t>PROD</t>
        </is>
      </c>
      <c r="E162" s="13" t="inlineStr">
        <is>
          <t>Produksi Harian</t>
        </is>
      </c>
      <c r="F162" s="170" t="n">
        <v>46118.25201388889</v>
      </c>
      <c r="G162" s="13" t="inlineStr">
        <is>
          <t>FREE</t>
        </is>
      </c>
      <c r="H162" s="170" t="n">
        <v>46118.58733796296</v>
      </c>
    </row>
    <row r="163">
      <c r="A163" s="13" t="inlineStr">
        <is>
          <t>MK00155</t>
        </is>
      </c>
      <c r="B163" s="13" t="n">
        <v>528000351</v>
      </c>
      <c r="C163" s="13" t="inlineStr">
        <is>
          <t>Mulyana</t>
        </is>
      </c>
      <c r="D163" s="13" t="inlineStr">
        <is>
          <t>PROD</t>
        </is>
      </c>
      <c r="E163" s="13" t="inlineStr">
        <is>
          <t>Produksi Harian</t>
        </is>
      </c>
      <c r="F163" s="170" t="n">
        <v>46118.3253587963</v>
      </c>
      <c r="G163" s="13" t="inlineStr">
        <is>
          <t>FREE</t>
        </is>
      </c>
      <c r="H163" s="170" t="n">
        <v>46118.67081018518</v>
      </c>
    </row>
    <row r="164">
      <c r="A164" s="13" t="inlineStr">
        <is>
          <t>MK00113</t>
        </is>
      </c>
      <c r="B164" s="13" t="n">
        <v>528000287</v>
      </c>
      <c r="C164" s="13" t="inlineStr">
        <is>
          <t>Muhamad Angga Ramdani</t>
        </is>
      </c>
      <c r="D164" s="13" t="inlineStr">
        <is>
          <t>PROD</t>
        </is>
      </c>
      <c r="E164" s="13" t="inlineStr">
        <is>
          <t>Produksi Harian</t>
        </is>
      </c>
      <c r="F164" s="170" t="n">
        <v>46118.32560185185</v>
      </c>
      <c r="G164" s="13" t="inlineStr">
        <is>
          <t>FREE</t>
        </is>
      </c>
      <c r="H164" s="170" t="n">
        <v>46118.67164351852</v>
      </c>
    </row>
    <row r="165">
      <c r="A165" s="13" t="inlineStr">
        <is>
          <t>MK00093</t>
        </is>
      </c>
      <c r="B165" s="13" t="n">
        <v>528000349</v>
      </c>
      <c r="C165" s="13" t="inlineStr">
        <is>
          <t>Anas Abdul Fatah</t>
        </is>
      </c>
      <c r="D165" s="13" t="inlineStr">
        <is>
          <t>LOG</t>
        </is>
      </c>
      <c r="E165" s="13" t="inlineStr">
        <is>
          <t>WFG Harian</t>
        </is>
      </c>
      <c r="F165" s="170" t="n">
        <v>46118.32752314815</v>
      </c>
      <c r="G165" s="13" t="inlineStr">
        <is>
          <t>FREE</t>
        </is>
      </c>
      <c r="H165" s="170" t="n">
        <v>46118.67229166667</v>
      </c>
    </row>
    <row r="166">
      <c r="A166" s="13" t="inlineStr">
        <is>
          <t>MK00186</t>
        </is>
      </c>
      <c r="B166" s="13" t="n">
        <v>528000149</v>
      </c>
      <c r="C166" s="13" t="inlineStr">
        <is>
          <t>Tio Fernanda</t>
        </is>
      </c>
      <c r="D166" s="13" t="inlineStr">
        <is>
          <t>LOG</t>
        </is>
      </c>
      <c r="E166" s="13" t="inlineStr">
        <is>
          <t>WRM Harian</t>
        </is>
      </c>
      <c r="F166" s="170" t="n">
        <v>46118.36140046296</v>
      </c>
      <c r="G166" s="13" t="inlineStr">
        <is>
          <t>FREE</t>
        </is>
      </c>
      <c r="H166" s="170" t="n">
        <v>46118.70983796296</v>
      </c>
    </row>
    <row r="167">
      <c r="A167" s="13" t="inlineStr">
        <is>
          <t>MK00150</t>
        </is>
      </c>
      <c r="B167" s="13" t="n">
        <v>528000144</v>
      </c>
      <c r="C167" s="13" t="inlineStr">
        <is>
          <t>Jodi Hanafi</t>
        </is>
      </c>
      <c r="D167" s="13" t="inlineStr">
        <is>
          <t>LOG</t>
        </is>
      </c>
      <c r="E167" s="13" t="inlineStr">
        <is>
          <t>WRM Harian</t>
        </is>
      </c>
      <c r="F167" s="170" t="n">
        <v>46118.36274305556</v>
      </c>
      <c r="G167" s="13" t="inlineStr">
        <is>
          <t>FREE</t>
        </is>
      </c>
      <c r="H167" s="170" t="n">
        <v>46118.67005787037</v>
      </c>
    </row>
    <row r="168">
      <c r="A168" s="13" t="inlineStr">
        <is>
          <t>CK00046</t>
        </is>
      </c>
      <c r="B168" s="13" t="n">
        <v>528000232</v>
      </c>
      <c r="C168" s="13" t="inlineStr">
        <is>
          <t>Agung Aji Suhada</t>
        </is>
      </c>
      <c r="D168" s="13" t="inlineStr">
        <is>
          <t>LOG</t>
        </is>
      </c>
      <c r="E168" s="13" t="inlineStr">
        <is>
          <t>WRM Harian</t>
        </is>
      </c>
      <c r="F168" s="170" t="n">
        <v>46118.3734837963</v>
      </c>
      <c r="G168" s="13" t="inlineStr">
        <is>
          <t>FREE</t>
        </is>
      </c>
      <c r="H168" s="170" t="n">
        <v>46118.71412037037</v>
      </c>
    </row>
    <row r="169">
      <c r="A169" s="13" t="inlineStr">
        <is>
          <t>MK00151</t>
        </is>
      </c>
      <c r="B169" s="13" t="n">
        <v>528000203</v>
      </c>
      <c r="C169" s="13" t="inlineStr">
        <is>
          <t>Yudha Ramdhan Putra</t>
        </is>
      </c>
      <c r="D169" s="13" t="inlineStr">
        <is>
          <t>ENG</t>
        </is>
      </c>
      <c r="E169" s="13" t="inlineStr">
        <is>
          <t>Engineering Harian</t>
        </is>
      </c>
      <c r="F169" s="170" t="n">
        <v>46118.37800925926</v>
      </c>
      <c r="G169" s="13" t="inlineStr">
        <is>
          <t>FREE</t>
        </is>
      </c>
      <c r="H169" s="170" t="n">
        <v>46148.37591435185</v>
      </c>
    </row>
    <row r="170">
      <c r="A170" s="13" t="inlineStr">
        <is>
          <t>MK00221</t>
        </is>
      </c>
      <c r="B170" s="13" t="n">
        <v>528000348</v>
      </c>
      <c r="C170" s="13" t="inlineStr">
        <is>
          <t>Saepuloh Ardiansah</t>
        </is>
      </c>
      <c r="D170" s="13" t="inlineStr">
        <is>
          <t>LOG</t>
        </is>
      </c>
      <c r="E170" s="13" t="inlineStr">
        <is>
          <t>WRM Harian</t>
        </is>
      </c>
      <c r="F170" s="170" t="n">
        <v>46118.3791087963</v>
      </c>
      <c r="G170" s="13" t="inlineStr">
        <is>
          <t>FREE</t>
        </is>
      </c>
      <c r="H170" s="170" t="n">
        <v>46118.70877314815</v>
      </c>
    </row>
    <row r="171">
      <c r="A171" s="13" t="inlineStr">
        <is>
          <t>MK00158</t>
        </is>
      </c>
      <c r="B171" s="13" t="n">
        <v>528000201</v>
      </c>
      <c r="C171" s="13" t="inlineStr">
        <is>
          <t>Zahwa Amelia Choerunissa</t>
        </is>
      </c>
      <c r="D171" s="13" t="inlineStr">
        <is>
          <t>PROD</t>
        </is>
      </c>
      <c r="E171" s="13" t="inlineStr">
        <is>
          <t>Produksi Harian</t>
        </is>
      </c>
      <c r="F171" s="170" t="n">
        <v>46118.56265046296</v>
      </c>
      <c r="G171" s="13" t="inlineStr">
        <is>
          <t>FREE</t>
        </is>
      </c>
      <c r="H171" s="170" t="n">
        <v>46118.9221412037</v>
      </c>
    </row>
    <row r="172">
      <c r="A172" s="13" t="inlineStr">
        <is>
          <t>MK00148</t>
        </is>
      </c>
      <c r="B172" s="13" t="n">
        <v>528000099</v>
      </c>
      <c r="C172" s="13" t="inlineStr">
        <is>
          <t>Siti Nurawaliah</t>
        </is>
      </c>
      <c r="D172" s="13" t="inlineStr">
        <is>
          <t>PROD</t>
        </is>
      </c>
      <c r="E172" s="13" t="inlineStr">
        <is>
          <t>Produksi Harian</t>
        </is>
      </c>
      <c r="F172" s="170" t="n">
        <v>46118.5634375</v>
      </c>
      <c r="G172" s="13" t="inlineStr">
        <is>
          <t>FREE</t>
        </is>
      </c>
      <c r="H172" s="170" t="n">
        <v>46118.92260416667</v>
      </c>
    </row>
    <row r="173">
      <c r="A173" s="13" t="inlineStr">
        <is>
          <t>MK00181</t>
        </is>
      </c>
      <c r="B173" s="13" t="n">
        <v>528000286</v>
      </c>
      <c r="C173" s="13" t="inlineStr">
        <is>
          <t>Imelda Amelia</t>
        </is>
      </c>
      <c r="D173" s="13" t="inlineStr">
        <is>
          <t>PROD</t>
        </is>
      </c>
      <c r="E173" s="13" t="inlineStr">
        <is>
          <t>Produksi Harian</t>
        </is>
      </c>
      <c r="F173" s="170" t="n">
        <v>46118.56810185185</v>
      </c>
      <c r="G173" s="13" t="inlineStr">
        <is>
          <t>FREE</t>
        </is>
      </c>
      <c r="H173" s="170" t="n">
        <v>46118.57865740741</v>
      </c>
    </row>
    <row r="174">
      <c r="A174" s="13" t="inlineStr">
        <is>
          <t>MK00126</t>
        </is>
      </c>
      <c r="B174" s="13" t="n">
        <v>528000244</v>
      </c>
      <c r="C174" s="13" t="inlineStr">
        <is>
          <t>Rodian Rifai</t>
        </is>
      </c>
      <c r="D174" s="13" t="inlineStr">
        <is>
          <t>PROD</t>
        </is>
      </c>
      <c r="E174" s="13" t="inlineStr">
        <is>
          <t>Produksi Harian</t>
        </is>
      </c>
      <c r="F174" s="170" t="n">
        <v>46118.57116898148</v>
      </c>
      <c r="G174" s="13" t="inlineStr">
        <is>
          <t>FREE</t>
        </is>
      </c>
      <c r="H174" s="170" t="n">
        <v>46118.92142361111</v>
      </c>
    </row>
    <row r="175">
      <c r="A175" s="13" t="inlineStr">
        <is>
          <t>MK00199</t>
        </is>
      </c>
      <c r="B175" s="13" t="n">
        <v>528000228</v>
      </c>
      <c r="C175" s="13" t="inlineStr">
        <is>
          <t>Banyu Resmi Putri</t>
        </is>
      </c>
      <c r="D175" s="13" t="inlineStr">
        <is>
          <t>PROD</t>
        </is>
      </c>
      <c r="E175" s="13" t="inlineStr">
        <is>
          <t>Produksi Harian</t>
        </is>
      </c>
      <c r="F175" s="170" t="n">
        <v>46118.57682870371</v>
      </c>
      <c r="G175" s="13" t="inlineStr">
        <is>
          <t>FREE</t>
        </is>
      </c>
      <c r="H175" s="170" t="n">
        <v>46118.92232638889</v>
      </c>
    </row>
    <row r="176">
      <c r="A176" s="13" t="inlineStr">
        <is>
          <t>MK00181</t>
        </is>
      </c>
      <c r="B176" s="13" t="n">
        <v>528000286</v>
      </c>
      <c r="C176" s="13" t="inlineStr">
        <is>
          <t>Imelda Amelia</t>
        </is>
      </c>
      <c r="D176" s="13" t="inlineStr">
        <is>
          <t>PROD</t>
        </is>
      </c>
      <c r="E176" s="13" t="inlineStr">
        <is>
          <t>Produksi Harian</t>
        </is>
      </c>
      <c r="F176" s="170" t="n">
        <v>46118.57917824074</v>
      </c>
      <c r="G176" s="13" t="inlineStr">
        <is>
          <t>FREE</t>
        </is>
      </c>
      <c r="H176" s="170" t="n">
        <v>46118.91030092593</v>
      </c>
    </row>
    <row r="177">
      <c r="A177" s="13" t="inlineStr">
        <is>
          <t>MK00141</t>
        </is>
      </c>
      <c r="B177" s="13" t="n">
        <v>528000279</v>
      </c>
      <c r="C177" s="13" t="inlineStr">
        <is>
          <t>Mahdalena Dalfa Riani</t>
        </is>
      </c>
      <c r="D177" s="13" t="inlineStr">
        <is>
          <t>PROD</t>
        </is>
      </c>
      <c r="E177" s="13" t="inlineStr">
        <is>
          <t>Produksi Harian</t>
        </is>
      </c>
      <c r="F177" s="170" t="n">
        <v>46118.5909375</v>
      </c>
      <c r="G177" s="13" t="inlineStr">
        <is>
          <t>FREE</t>
        </is>
      </c>
      <c r="H177" s="170" t="n">
        <v>46118.59123842593</v>
      </c>
    </row>
    <row r="178">
      <c r="A178" s="13" t="inlineStr">
        <is>
          <t>MK00085</t>
        </is>
      </c>
      <c r="B178" s="13" t="n">
        <v>528000262</v>
      </c>
      <c r="C178" s="13" t="inlineStr">
        <is>
          <t>Ndari Dwiwanti</t>
        </is>
      </c>
      <c r="D178" s="13" t="inlineStr">
        <is>
          <t>PROD</t>
        </is>
      </c>
      <c r="E178" s="13" t="inlineStr">
        <is>
          <t>Produksi Harian</t>
        </is>
      </c>
      <c r="F178" s="170" t="n">
        <v>46118.89641203704</v>
      </c>
      <c r="G178" s="13" t="inlineStr">
        <is>
          <t>FREE</t>
        </is>
      </c>
      <c r="H178" s="170" t="n">
        <v>46148.25292824074</v>
      </c>
    </row>
    <row r="179">
      <c r="A179" s="13" t="inlineStr">
        <is>
          <t>MK00221</t>
        </is>
      </c>
      <c r="B179" s="13" t="n">
        <v>528000261</v>
      </c>
      <c r="C179" s="13" t="inlineStr">
        <is>
          <t>Ergi Ergianto</t>
        </is>
      </c>
      <c r="D179" s="13" t="inlineStr">
        <is>
          <t>HRGA</t>
        </is>
      </c>
      <c r="E179" s="13" t="inlineStr">
        <is>
          <t>GA Harian</t>
        </is>
      </c>
      <c r="F179" s="170" t="n">
        <v>46118.91052083333</v>
      </c>
      <c r="G179" s="13" t="inlineStr">
        <is>
          <t>FREE</t>
        </is>
      </c>
      <c r="H179" s="170" t="n">
        <v>46148.25369212963</v>
      </c>
    </row>
    <row r="180">
      <c r="A180" s="13" t="inlineStr">
        <is>
          <t>MK00150</t>
        </is>
      </c>
      <c r="B180" s="13" t="n">
        <v>528000266</v>
      </c>
      <c r="C180" s="13" t="inlineStr">
        <is>
          <t>M. Syirajatieq</t>
        </is>
      </c>
      <c r="D180" s="13" t="inlineStr">
        <is>
          <t>LOG</t>
        </is>
      </c>
      <c r="E180" s="13" t="inlineStr">
        <is>
          <t>WFG Harian</t>
        </is>
      </c>
      <c r="F180" s="170" t="n">
        <v>46118.91128472222</v>
      </c>
      <c r="G180" s="13" t="inlineStr">
        <is>
          <t>FREE</t>
        </is>
      </c>
      <c r="H180" s="170" t="n">
        <v>46148.25336805556</v>
      </c>
    </row>
    <row r="181">
      <c r="A181" s="13" t="inlineStr">
        <is>
          <t>MK00155</t>
        </is>
      </c>
      <c r="B181" s="13" t="n">
        <v>528000301</v>
      </c>
      <c r="C181" s="13" t="inlineStr">
        <is>
          <t>Muhammad Mukti Ridwan</t>
        </is>
      </c>
      <c r="D181" s="13" t="inlineStr">
        <is>
          <t>PROD</t>
        </is>
      </c>
      <c r="E181" s="13" t="inlineStr">
        <is>
          <t>Produksi Harian</t>
        </is>
      </c>
      <c r="F181" s="170" t="n">
        <v>46118.91165509259</v>
      </c>
      <c r="G181" s="13" t="inlineStr">
        <is>
          <t>FREE</t>
        </is>
      </c>
      <c r="H181" s="170" t="n">
        <v>46148.25620370371</v>
      </c>
    </row>
    <row r="182">
      <c r="A182" s="13" t="inlineStr">
        <is>
          <t>MK000184</t>
        </is>
      </c>
      <c r="B182" s="13" t="n">
        <v>528000291</v>
      </c>
      <c r="C182" s="13" t="inlineStr">
        <is>
          <t>Andrian</t>
        </is>
      </c>
      <c r="D182" s="13" t="inlineStr">
        <is>
          <t>PROD</t>
        </is>
      </c>
      <c r="E182" s="13" t="inlineStr">
        <is>
          <t>Produksi Harian</t>
        </is>
      </c>
      <c r="F182" s="170" t="n">
        <v>46118.91173611111</v>
      </c>
      <c r="G182" s="13" t="inlineStr">
        <is>
          <t>FREE</t>
        </is>
      </c>
      <c r="H182" s="170" t="n">
        <v>46209.57927083333</v>
      </c>
    </row>
    <row r="183">
      <c r="A183" s="13" t="inlineStr">
        <is>
          <t>MK00138</t>
        </is>
      </c>
      <c r="B183" s="13" t="n">
        <v>528000283</v>
      </c>
      <c r="C183" s="13" t="inlineStr">
        <is>
          <t>Purwanda Sugiri</t>
        </is>
      </c>
      <c r="D183" s="13" t="inlineStr">
        <is>
          <t>LOG</t>
        </is>
      </c>
      <c r="E183" s="13" t="inlineStr">
        <is>
          <t>WRM Harian</t>
        </is>
      </c>
      <c r="F183" s="170" t="n">
        <v>46118.91201388889</v>
      </c>
      <c r="G183" s="13" t="inlineStr">
        <is>
          <t>FREE</t>
        </is>
      </c>
      <c r="H183" s="170" t="n">
        <v>46148.25378472222</v>
      </c>
    </row>
    <row r="184">
      <c r="A184" s="13" t="inlineStr">
        <is>
          <t>MK00082</t>
        </is>
      </c>
      <c r="B184" s="13" t="n">
        <v>528000015</v>
      </c>
      <c r="C184" s="13" t="inlineStr">
        <is>
          <t>Erwin</t>
        </is>
      </c>
      <c r="D184" s="13" t="inlineStr">
        <is>
          <t>LOG</t>
        </is>
      </c>
      <c r="E184" s="13" t="inlineStr">
        <is>
          <t>WRM Harian</t>
        </is>
      </c>
      <c r="F184" s="170" t="n">
        <v>46118.91555555556</v>
      </c>
      <c r="G184" s="13" t="inlineStr">
        <is>
          <t>FREE</t>
        </is>
      </c>
      <c r="H184" s="170" t="n">
        <v>46148.25266203703</v>
      </c>
    </row>
    <row r="185">
      <c r="A185" s="13" t="inlineStr">
        <is>
          <t>MK00181</t>
        </is>
      </c>
      <c r="B185" s="13" t="n">
        <v>528000286</v>
      </c>
      <c r="C185" s="13" t="inlineStr">
        <is>
          <t>Imelda Amelia</t>
        </is>
      </c>
      <c r="D185" s="13" t="inlineStr">
        <is>
          <t>PROD</t>
        </is>
      </c>
      <c r="E185" s="13" t="inlineStr">
        <is>
          <t>Produksi Harian</t>
        </is>
      </c>
      <c r="F185" s="170" t="n">
        <v>46118.92246527778</v>
      </c>
      <c r="G185" s="13" t="inlineStr">
        <is>
          <t>FREE</t>
        </is>
      </c>
      <c r="H185" s="170" t="n">
        <v>46148.56462962963</v>
      </c>
    </row>
    <row r="186">
      <c r="A186" s="13" t="inlineStr">
        <is>
          <t>MK00154</t>
        </is>
      </c>
      <c r="B186" s="13" t="n">
        <v>528000297</v>
      </c>
      <c r="C186" s="13" t="inlineStr">
        <is>
          <t>Muhamad Budiana</t>
        </is>
      </c>
      <c r="D186" s="13" t="inlineStr">
        <is>
          <t>PROD</t>
        </is>
      </c>
      <c r="E186" s="13" t="inlineStr">
        <is>
          <t>Produksi Harian</t>
        </is>
      </c>
      <c r="F186" s="170" t="n">
        <v>46148.24185185185</v>
      </c>
      <c r="G186" s="13" t="inlineStr">
        <is>
          <t>FREE</t>
        </is>
      </c>
      <c r="H186" s="170" t="n">
        <v>46148.58666666667</v>
      </c>
    </row>
    <row r="187">
      <c r="A187" s="13" t="inlineStr">
        <is>
          <t>MK00126</t>
        </is>
      </c>
      <c r="B187" s="13" t="n">
        <v>628000064</v>
      </c>
      <c r="C187" s="13" t="inlineStr">
        <is>
          <t>Silva Alypia</t>
        </is>
      </c>
      <c r="D187" s="13" t="inlineStr">
        <is>
          <t>PROD</t>
        </is>
      </c>
      <c r="E187" s="13" t="inlineStr">
        <is>
          <t>Produksi Borongan</t>
        </is>
      </c>
      <c r="F187" s="170" t="n">
        <v>46148.24483796296</v>
      </c>
      <c r="G187" s="13" t="inlineStr">
        <is>
          <t>FREE</t>
        </is>
      </c>
      <c r="H187" s="170" t="n">
        <v>46148.59043981481</v>
      </c>
    </row>
    <row r="188">
      <c r="A188" s="13" t="inlineStr">
        <is>
          <t>MK00249</t>
        </is>
      </c>
      <c r="B188" s="13" t="n">
        <v>528000279</v>
      </c>
      <c r="C188" s="13" t="inlineStr">
        <is>
          <t>Mahdalena Dalfa Riani</t>
        </is>
      </c>
      <c r="D188" s="13" t="inlineStr">
        <is>
          <t>PROD</t>
        </is>
      </c>
      <c r="E188" s="13" t="inlineStr">
        <is>
          <t>Produksi Harian</t>
        </is>
      </c>
      <c r="F188" s="170" t="n">
        <v>46148.24708333334</v>
      </c>
      <c r="G188" s="13" t="inlineStr">
        <is>
          <t>FREE</t>
        </is>
      </c>
      <c r="H188" s="170" t="n">
        <v>46148.58766203704</v>
      </c>
    </row>
    <row r="189">
      <c r="A189" s="13" t="n">
        <v>1000210</v>
      </c>
      <c r="B189" s="13" t="n">
        <v>528000069</v>
      </c>
      <c r="C189" s="13" t="inlineStr">
        <is>
          <t>Jajang Ardiansyah</t>
        </is>
      </c>
      <c r="D189" s="13" t="inlineStr">
        <is>
          <t>PROD</t>
        </is>
      </c>
      <c r="E189" s="13" t="inlineStr">
        <is>
          <t>Produksi Harian</t>
        </is>
      </c>
      <c r="F189" s="170" t="n">
        <v>46148.26130787037</v>
      </c>
      <c r="G189" s="13" t="inlineStr">
        <is>
          <t>FREE</t>
        </is>
      </c>
      <c r="H189" s="170" t="n">
        <v>46148.29865740741</v>
      </c>
    </row>
    <row r="190">
      <c r="A190" s="13" t="inlineStr">
        <is>
          <t>MK00209</t>
        </is>
      </c>
      <c r="B190" s="13" t="n">
        <v>528000282</v>
      </c>
      <c r="C190" s="13" t="inlineStr">
        <is>
          <t>Defa Desfiana</t>
        </is>
      </c>
      <c r="D190" s="13" t="inlineStr">
        <is>
          <t>PROD</t>
        </is>
      </c>
      <c r="E190" s="13" t="inlineStr">
        <is>
          <t>Produksi Harian</t>
        </is>
      </c>
      <c r="F190" s="170" t="n">
        <v>46148.31366898148</v>
      </c>
      <c r="G190" s="13" t="inlineStr">
        <is>
          <t>FREE</t>
        </is>
      </c>
      <c r="H190" s="170" t="n">
        <v>46148.66744212963</v>
      </c>
    </row>
    <row r="191">
      <c r="A191" s="13" t="inlineStr">
        <is>
          <t>MK00212</t>
        </is>
      </c>
      <c r="B191" s="13" t="n">
        <v>528000144</v>
      </c>
      <c r="C191" s="13" t="inlineStr">
        <is>
          <t>Jodi Hanafi</t>
        </is>
      </c>
      <c r="D191" s="13" t="inlineStr">
        <is>
          <t>LOG</t>
        </is>
      </c>
      <c r="E191" s="13" t="inlineStr">
        <is>
          <t>WRM Harian</t>
        </is>
      </c>
      <c r="F191" s="170" t="n">
        <v>46148.31472222223</v>
      </c>
      <c r="G191" s="13" t="inlineStr">
        <is>
          <t>FREE</t>
        </is>
      </c>
      <c r="H191" s="170" t="n">
        <v>46179.01548611111</v>
      </c>
    </row>
    <row r="192">
      <c r="A192" s="13" t="inlineStr">
        <is>
          <t>MK00210</t>
        </is>
      </c>
      <c r="B192" s="13" t="n">
        <v>528000069</v>
      </c>
      <c r="C192" s="13" t="inlineStr">
        <is>
          <t>Jajang Ardiansyah</t>
        </is>
      </c>
      <c r="D192" s="13" t="inlineStr">
        <is>
          <t>PROD</t>
        </is>
      </c>
      <c r="E192" s="13" t="inlineStr">
        <is>
          <t>Produksi Harian</t>
        </is>
      </c>
      <c r="F192" s="170" t="n">
        <v>46148.3171412037</v>
      </c>
      <c r="G192" s="13" t="inlineStr">
        <is>
          <t>FREE</t>
        </is>
      </c>
      <c r="H192" s="170" t="n">
        <v>46148.31771990741</v>
      </c>
    </row>
    <row r="193">
      <c r="A193" s="13" t="inlineStr">
        <is>
          <t>MK00192</t>
        </is>
      </c>
      <c r="B193" s="13" t="n">
        <v>528000287</v>
      </c>
      <c r="C193" s="13" t="inlineStr">
        <is>
          <t>Muhamad Angga Ramdani</t>
        </is>
      </c>
      <c r="D193" s="13" t="inlineStr">
        <is>
          <t>PROD</t>
        </is>
      </c>
      <c r="E193" s="13" t="inlineStr">
        <is>
          <t>Produksi Harian</t>
        </is>
      </c>
      <c r="F193" s="170" t="n">
        <v>46148.32259259259</v>
      </c>
      <c r="G193" s="13" t="inlineStr">
        <is>
          <t>FREE</t>
        </is>
      </c>
      <c r="H193" s="170" t="n">
        <v>46148.66978009259</v>
      </c>
    </row>
    <row r="194">
      <c r="A194" s="13" t="inlineStr">
        <is>
          <t>MK00155</t>
        </is>
      </c>
      <c r="B194" s="13" t="n">
        <v>528000265</v>
      </c>
      <c r="C194" s="13" t="inlineStr">
        <is>
          <t>Muhammad Haerul Rozikin</t>
        </is>
      </c>
      <c r="D194" s="13" t="inlineStr">
        <is>
          <t>LOG</t>
        </is>
      </c>
      <c r="E194" s="13" t="inlineStr">
        <is>
          <t>WRM Harian</t>
        </is>
      </c>
      <c r="F194" s="170" t="n">
        <v>46148.32273148148</v>
      </c>
      <c r="G194" s="13" t="inlineStr">
        <is>
          <t>FREE</t>
        </is>
      </c>
      <c r="H194" s="170" t="n">
        <v>46148.66917824074</v>
      </c>
    </row>
    <row r="195">
      <c r="A195" s="13" t="inlineStr">
        <is>
          <t>MK00109</t>
        </is>
      </c>
      <c r="B195" s="13" t="n">
        <v>528000349</v>
      </c>
      <c r="C195" s="13" t="inlineStr">
        <is>
          <t>Anas Abdul Fatah</t>
        </is>
      </c>
      <c r="D195" s="13" t="inlineStr">
        <is>
          <t>LOG</t>
        </is>
      </c>
      <c r="E195" s="13" t="inlineStr">
        <is>
          <t>WFG Harian</t>
        </is>
      </c>
      <c r="F195" s="170" t="n">
        <v>46148.32616898148</v>
      </c>
      <c r="G195" s="13" t="inlineStr">
        <is>
          <t>FREE</t>
        </is>
      </c>
      <c r="H195" s="170" t="n">
        <v>46148.67475694444</v>
      </c>
    </row>
    <row r="196">
      <c r="A196" s="13" t="inlineStr">
        <is>
          <t>MK00112</t>
        </is>
      </c>
      <c r="B196" s="13" t="n">
        <v>528000351</v>
      </c>
      <c r="C196" s="13" t="inlineStr">
        <is>
          <t>Mulyana</t>
        </is>
      </c>
      <c r="D196" s="13" t="inlineStr">
        <is>
          <t>PROD</t>
        </is>
      </c>
      <c r="E196" s="13" t="inlineStr">
        <is>
          <t>Produksi Harian</t>
        </is>
      </c>
      <c r="F196" s="170" t="n">
        <v>46148.33996527778</v>
      </c>
      <c r="G196" s="13" t="inlineStr">
        <is>
          <t>FREE</t>
        </is>
      </c>
      <c r="H196" s="170" t="n">
        <v>46148.66712962963</v>
      </c>
    </row>
    <row r="197">
      <c r="A197" s="13" t="inlineStr">
        <is>
          <t>MK00046</t>
        </is>
      </c>
      <c r="B197" s="13" t="n">
        <v>528000232</v>
      </c>
      <c r="C197" s="13" t="inlineStr">
        <is>
          <t>Agung Aji Suhada</t>
        </is>
      </c>
      <c r="D197" s="13" t="inlineStr">
        <is>
          <t>LOG</t>
        </is>
      </c>
      <c r="E197" s="13" t="inlineStr">
        <is>
          <t>WRM Harian</t>
        </is>
      </c>
      <c r="F197" s="170" t="n">
        <v>46148.36960648148</v>
      </c>
      <c r="G197" s="13" t="inlineStr">
        <is>
          <t>FREE</t>
        </is>
      </c>
      <c r="H197" s="170" t="n">
        <v>46148.71028935185</v>
      </c>
    </row>
    <row r="198">
      <c r="A198" s="13" t="inlineStr">
        <is>
          <t>MA00145</t>
        </is>
      </c>
      <c r="B198" s="13" t="n">
        <v>528000348</v>
      </c>
      <c r="C198" s="13" t="inlineStr">
        <is>
          <t>Saepuloh Ardiansah</t>
        </is>
      </c>
      <c r="D198" s="13" t="inlineStr">
        <is>
          <t>LOG</t>
        </is>
      </c>
      <c r="E198" s="13" t="inlineStr">
        <is>
          <t>WRM Harian</t>
        </is>
      </c>
      <c r="F198" s="170" t="n">
        <v>46148.36965277778</v>
      </c>
      <c r="G198" s="13" t="inlineStr">
        <is>
          <t>FREE</t>
        </is>
      </c>
      <c r="H198" s="170" t="n">
        <v>46148.71061342592</v>
      </c>
    </row>
    <row r="199">
      <c r="A199" s="13" t="inlineStr">
        <is>
          <t>MK00138</t>
        </is>
      </c>
      <c r="B199" s="13" t="n">
        <v>528000203</v>
      </c>
      <c r="C199" s="13" t="inlineStr">
        <is>
          <t>Yudha Ramdhan Putra</t>
        </is>
      </c>
      <c r="D199" s="13" t="inlineStr">
        <is>
          <t>ENG</t>
        </is>
      </c>
      <c r="E199" s="13" t="inlineStr">
        <is>
          <t>Engineering Harian</t>
        </is>
      </c>
      <c r="F199" s="170" t="n">
        <v>46148.37630787037</v>
      </c>
      <c r="G199" s="13" t="inlineStr">
        <is>
          <t>FREE</t>
        </is>
      </c>
      <c r="H199" s="170" t="n">
        <v>46179.37064814815</v>
      </c>
    </row>
    <row r="200">
      <c r="A200" s="13" t="inlineStr">
        <is>
          <t>MK00141</t>
        </is>
      </c>
      <c r="B200" s="13" t="n">
        <v>528000244</v>
      </c>
      <c r="C200" s="13" t="inlineStr">
        <is>
          <t>Rodian Rifai</t>
        </is>
      </c>
      <c r="D200" s="13" t="inlineStr">
        <is>
          <t>PROD</t>
        </is>
      </c>
      <c r="E200" s="13" t="inlineStr">
        <is>
          <t>Produksi Harian</t>
        </is>
      </c>
      <c r="F200" s="170" t="n">
        <v>46148.56275462963</v>
      </c>
      <c r="G200" s="13" t="inlineStr">
        <is>
          <t>FREE</t>
        </is>
      </c>
      <c r="H200" s="170" t="n">
        <v>46148.92991898148</v>
      </c>
    </row>
    <row r="201">
      <c r="A201" s="13" t="inlineStr">
        <is>
          <t>MK00181</t>
        </is>
      </c>
      <c r="B201" s="13" t="n">
        <v>528000286</v>
      </c>
      <c r="C201" s="13" t="inlineStr">
        <is>
          <t>Imelda Amelia</t>
        </is>
      </c>
      <c r="D201" s="13" t="inlineStr">
        <is>
          <t>PROD</t>
        </is>
      </c>
      <c r="E201" s="13" t="inlineStr">
        <is>
          <t>Produksi Harian</t>
        </is>
      </c>
      <c r="F201" s="170" t="n">
        <v>46148.56494212963</v>
      </c>
      <c r="G201" s="13" t="inlineStr">
        <is>
          <t>FREE</t>
        </is>
      </c>
      <c r="H201" s="170" t="n">
        <v>46148.9221875</v>
      </c>
    </row>
    <row r="202">
      <c r="A202" s="13" t="inlineStr">
        <is>
          <t>MK00200</t>
        </is>
      </c>
      <c r="B202" s="13" t="n">
        <v>528000201</v>
      </c>
      <c r="C202" s="13" t="inlineStr">
        <is>
          <t>Zahwa Amelia Choerunissa</t>
        </is>
      </c>
      <c r="D202" s="13" t="inlineStr">
        <is>
          <t>PROD</t>
        </is>
      </c>
      <c r="E202" s="13" t="inlineStr">
        <is>
          <t>Produksi Harian</t>
        </is>
      </c>
      <c r="F202" s="170" t="n">
        <v>46148.565625</v>
      </c>
      <c r="G202" s="13" t="inlineStr">
        <is>
          <t>FREE</t>
        </is>
      </c>
      <c r="H202" s="170" t="n">
        <v>46148.9221412037</v>
      </c>
    </row>
    <row r="203">
      <c r="A203" s="13" t="inlineStr">
        <is>
          <t>MK00136</t>
        </is>
      </c>
      <c r="B203" s="13" t="n">
        <v>528000099</v>
      </c>
      <c r="C203" s="13" t="inlineStr">
        <is>
          <t>Siti Nurawaliah</t>
        </is>
      </c>
      <c r="D203" s="13" t="inlineStr">
        <is>
          <t>PROD</t>
        </is>
      </c>
      <c r="E203" s="13" t="inlineStr">
        <is>
          <t>Produksi Harian</t>
        </is>
      </c>
      <c r="F203" s="170" t="n">
        <v>46148.5662037037</v>
      </c>
      <c r="G203" s="13" t="inlineStr">
        <is>
          <t>FREE</t>
        </is>
      </c>
      <c r="H203" s="170" t="n">
        <v>46148.92254629629</v>
      </c>
    </row>
    <row r="204">
      <c r="A204" s="13" t="inlineStr">
        <is>
          <t>MK00156</t>
        </is>
      </c>
      <c r="B204" s="13" t="n">
        <v>528000228</v>
      </c>
      <c r="C204" s="13" t="inlineStr">
        <is>
          <t>Banyu Resmi Putri</t>
        </is>
      </c>
      <c r="D204" s="13" t="inlineStr">
        <is>
          <t>PROD</t>
        </is>
      </c>
      <c r="E204" s="13" t="inlineStr">
        <is>
          <t>Produksi Harian</t>
        </is>
      </c>
      <c r="F204" s="170" t="n">
        <v>46148.57484953704</v>
      </c>
      <c r="G204" s="13" t="inlineStr">
        <is>
          <t>FREE</t>
        </is>
      </c>
      <c r="H204" s="170" t="n">
        <v>46148.92097222222</v>
      </c>
    </row>
    <row r="205">
      <c r="A205" s="13" t="inlineStr">
        <is>
          <t>MK00082</t>
        </is>
      </c>
      <c r="B205" s="13" t="n">
        <v>528000241</v>
      </c>
      <c r="C205" s="13" t="inlineStr">
        <is>
          <t>Balia Nurafif Bilah</t>
        </is>
      </c>
      <c r="D205" s="13" t="inlineStr">
        <is>
          <t>PROD</t>
        </is>
      </c>
      <c r="E205" s="13" t="inlineStr">
        <is>
          <t>Produksi Harian</t>
        </is>
      </c>
      <c r="F205" s="170" t="n">
        <v>46148.57841435185</v>
      </c>
      <c r="G205" s="13" t="inlineStr">
        <is>
          <t>FREE</t>
        </is>
      </c>
      <c r="H205" s="170" t="n">
        <v>46148.9190162037</v>
      </c>
    </row>
    <row r="206">
      <c r="A206" s="13" t="inlineStr">
        <is>
          <t>MK00118</t>
        </is>
      </c>
      <c r="B206" s="13" t="n">
        <v>528000274</v>
      </c>
      <c r="C206" s="13" t="inlineStr">
        <is>
          <t>Zepri</t>
        </is>
      </c>
      <c r="D206" s="13" t="inlineStr">
        <is>
          <t>PROD</t>
        </is>
      </c>
      <c r="E206" s="13" t="inlineStr">
        <is>
          <t>Produksi Harian</t>
        </is>
      </c>
      <c r="F206" s="170" t="n">
        <v>46148.57847222222</v>
      </c>
      <c r="G206" s="13" t="inlineStr">
        <is>
          <t>FREE</t>
        </is>
      </c>
      <c r="H206" s="170" t="n">
        <v>46148.91854166667</v>
      </c>
    </row>
    <row r="207">
      <c r="A207" s="13" t="inlineStr">
        <is>
          <t>MK00199</t>
        </is>
      </c>
      <c r="B207" s="13" t="n">
        <v>528000090</v>
      </c>
      <c r="C207" s="13" t="inlineStr">
        <is>
          <t>Suganda</t>
        </is>
      </c>
      <c r="D207" s="13" t="inlineStr">
        <is>
          <t>PROD</t>
        </is>
      </c>
      <c r="E207" s="13" t="inlineStr">
        <is>
          <t>Produksi Harian</t>
        </is>
      </c>
      <c r="F207" s="170" t="n">
        <v>46148.57894675926</v>
      </c>
      <c r="G207" s="13" t="inlineStr">
        <is>
          <t>FREE</t>
        </is>
      </c>
      <c r="H207" s="170" t="n">
        <v>46240.33366898148</v>
      </c>
    </row>
    <row r="208">
      <c r="A208" s="13" t="inlineStr">
        <is>
          <t>MK00116</t>
        </is>
      </c>
      <c r="B208" s="13" t="n">
        <v>528000290</v>
      </c>
      <c r="C208" s="13" t="inlineStr">
        <is>
          <t>Eval Pranata</t>
        </is>
      </c>
      <c r="D208" s="13" t="inlineStr">
        <is>
          <t>PROD</t>
        </is>
      </c>
      <c r="E208" s="13" t="inlineStr">
        <is>
          <t>Produksi Harian</t>
        </is>
      </c>
      <c r="F208" s="170" t="n">
        <v>46148.57907407408</v>
      </c>
      <c r="G208" s="13" t="inlineStr">
        <is>
          <t>FREE</t>
        </is>
      </c>
      <c r="H208" s="170" t="n">
        <v>46148.91975694444</v>
      </c>
    </row>
    <row r="209">
      <c r="A209" s="13" t="inlineStr">
        <is>
          <t>MK00055</t>
        </is>
      </c>
      <c r="B209" s="13" t="n">
        <v>528000212</v>
      </c>
      <c r="C209" s="13" t="inlineStr">
        <is>
          <t>Rizal Fauzi</t>
        </is>
      </c>
      <c r="D209" s="13" t="inlineStr">
        <is>
          <t>PROD</t>
        </is>
      </c>
      <c r="E209" s="13" t="inlineStr">
        <is>
          <t>Produksi Harian</t>
        </is>
      </c>
      <c r="F209" s="170" t="n">
        <v>46148.58112268519</v>
      </c>
      <c r="G209" s="13" t="inlineStr">
        <is>
          <t>FREE</t>
        </is>
      </c>
      <c r="H209" s="170" t="n">
        <v>46179.03172453704</v>
      </c>
    </row>
    <row r="210">
      <c r="A210" s="13" t="inlineStr">
        <is>
          <t>MK00205</t>
        </is>
      </c>
      <c r="B210" s="13" t="n">
        <v>528000267</v>
      </c>
      <c r="C210" s="13" t="inlineStr">
        <is>
          <t>Bagas Patulloh</t>
        </is>
      </c>
      <c r="D210" s="13" t="inlineStr">
        <is>
          <t>LOG</t>
        </is>
      </c>
      <c r="E210" s="13" t="inlineStr">
        <is>
          <t>WRM Harian</t>
        </is>
      </c>
      <c r="F210" s="170" t="n">
        <v>46148.67111111111</v>
      </c>
      <c r="G210" s="13" t="inlineStr">
        <is>
          <t>FREE</t>
        </is>
      </c>
      <c r="H210" s="170" t="n">
        <v>46179.00269675926</v>
      </c>
    </row>
    <row r="211">
      <c r="A211" s="13" t="inlineStr">
        <is>
          <t>MK00215</t>
        </is>
      </c>
      <c r="B211" s="13" t="n">
        <v>528000132</v>
      </c>
      <c r="C211" s="13" t="inlineStr">
        <is>
          <t>Giopani</t>
        </is>
      </c>
      <c r="D211" s="13" t="inlineStr">
        <is>
          <t>LOG</t>
        </is>
      </c>
      <c r="E211" s="13" t="inlineStr">
        <is>
          <t>WRM Harian</t>
        </is>
      </c>
      <c r="F211" s="170" t="n">
        <v>46148.67836805555</v>
      </c>
      <c r="G211" s="13" t="inlineStr">
        <is>
          <t>FREE</t>
        </is>
      </c>
      <c r="H211" s="170" t="n">
        <v>46179.02032407407</v>
      </c>
    </row>
    <row r="212">
      <c r="A212" s="13" t="inlineStr">
        <is>
          <t>MK00221</t>
        </is>
      </c>
      <c r="B212" s="13" t="n">
        <v>628000091</v>
      </c>
      <c r="C212" s="13" t="inlineStr">
        <is>
          <t>Devita Handayani</t>
        </is>
      </c>
      <c r="D212" s="13" t="inlineStr">
        <is>
          <t>PROD</t>
        </is>
      </c>
      <c r="E212" s="13" t="inlineStr">
        <is>
          <t>Produksi Borongan</t>
        </is>
      </c>
      <c r="F212" s="170" t="n">
        <v>46148.88613425926</v>
      </c>
      <c r="G212" s="13" t="inlineStr">
        <is>
          <t>FREE</t>
        </is>
      </c>
      <c r="H212" s="170" t="n">
        <v>46179.25344907407</v>
      </c>
    </row>
    <row r="213">
      <c r="A213" s="13" t="inlineStr">
        <is>
          <t>MK00150</t>
        </is>
      </c>
      <c r="B213" s="13" t="n">
        <v>628000061</v>
      </c>
      <c r="C213" s="13" t="inlineStr">
        <is>
          <t>Nayla Fadillah Exwantoro</t>
        </is>
      </c>
      <c r="D213" s="13" t="inlineStr">
        <is>
          <t>PROD</t>
        </is>
      </c>
      <c r="E213" s="13" t="inlineStr">
        <is>
          <t>Produksi Borongan</t>
        </is>
      </c>
      <c r="F213" s="170" t="n">
        <v>46148.88880787037</v>
      </c>
      <c r="G213" s="13" t="inlineStr">
        <is>
          <t>FREE</t>
        </is>
      </c>
      <c r="H213" s="170" t="n">
        <v>46179.25387731481</v>
      </c>
    </row>
    <row r="214">
      <c r="A214" s="13" t="inlineStr">
        <is>
          <t>MK00184</t>
        </is>
      </c>
      <c r="B214" s="13" t="n">
        <v>528000098</v>
      </c>
      <c r="C214" s="13" t="inlineStr">
        <is>
          <t>Edi Junaedi</t>
        </is>
      </c>
      <c r="D214" s="13" t="inlineStr">
        <is>
          <t>PROD</t>
        </is>
      </c>
      <c r="E214" s="13" t="inlineStr">
        <is>
          <t>Produksi Harian</t>
        </is>
      </c>
      <c r="F214" s="170" t="n">
        <v>46148.89291666666</v>
      </c>
      <c r="G214" s="13" t="inlineStr">
        <is>
          <t>FREE</t>
        </is>
      </c>
      <c r="H214" s="170" t="n">
        <v>46179.25519675926</v>
      </c>
    </row>
    <row r="215">
      <c r="A215" s="13" t="inlineStr">
        <is>
          <t>MK00209</t>
        </is>
      </c>
      <c r="B215" s="13" t="n">
        <v>528000298</v>
      </c>
      <c r="C215" s="13" t="inlineStr">
        <is>
          <t>Desta Cahaya Pratama</t>
        </is>
      </c>
      <c r="D215" s="13" t="inlineStr">
        <is>
          <t>PROD</t>
        </is>
      </c>
      <c r="E215" s="13" t="inlineStr">
        <is>
          <t>Produksi Harian</t>
        </is>
      </c>
      <c r="F215" s="170" t="n">
        <v>46148.90274305556</v>
      </c>
      <c r="G215" s="13" t="inlineStr">
        <is>
          <t>FREE</t>
        </is>
      </c>
      <c r="H215" s="170" t="n">
        <v>46179.2528125</v>
      </c>
    </row>
    <row r="216">
      <c r="A216" s="13" t="inlineStr">
        <is>
          <t>MK00145</t>
        </is>
      </c>
      <c r="B216" s="13" t="n">
        <v>528000015</v>
      </c>
      <c r="C216" s="13" t="inlineStr">
        <is>
          <t>Erwin</t>
        </is>
      </c>
      <c r="D216" s="13" t="inlineStr">
        <is>
          <t>LOG</t>
        </is>
      </c>
      <c r="E216" s="13" t="inlineStr">
        <is>
          <t>WRM Harian</t>
        </is>
      </c>
      <c r="F216" s="170" t="n">
        <v>46148.90325231481</v>
      </c>
      <c r="G216" s="13" t="inlineStr">
        <is>
          <t>FREE</t>
        </is>
      </c>
      <c r="H216" s="170" t="n">
        <v>46179.25753472222</v>
      </c>
    </row>
    <row r="217">
      <c r="A217" s="13" t="inlineStr">
        <is>
          <t>MK00046</t>
        </is>
      </c>
      <c r="B217" s="13" t="n">
        <v>528000305</v>
      </c>
      <c r="C217" s="13" t="inlineStr">
        <is>
          <t>Puji Puspita</t>
        </is>
      </c>
      <c r="D217" s="13" t="inlineStr">
        <is>
          <t>PROD</t>
        </is>
      </c>
      <c r="E217" s="13" t="inlineStr">
        <is>
          <t>Produksi Harian</t>
        </is>
      </c>
      <c r="F217" s="170" t="n">
        <v>46148.90577546296</v>
      </c>
      <c r="G217" s="13" t="inlineStr">
        <is>
          <t>FREE</t>
        </is>
      </c>
      <c r="H217" s="170" t="n">
        <v>46209.01388888889</v>
      </c>
    </row>
    <row r="218">
      <c r="A218" s="13" t="inlineStr">
        <is>
          <t>MK00192</t>
        </is>
      </c>
      <c r="B218" s="13" t="n">
        <v>528000302</v>
      </c>
      <c r="C218" s="13" t="inlineStr">
        <is>
          <t>Henkey gumilar</t>
        </is>
      </c>
      <c r="D218" s="13" t="inlineStr">
        <is>
          <t>PROD</t>
        </is>
      </c>
      <c r="E218" s="13" t="inlineStr">
        <is>
          <t>Produksi Harian</t>
        </is>
      </c>
      <c r="F218" s="170" t="n">
        <v>46148.90609953704</v>
      </c>
      <c r="G218" s="13" t="inlineStr">
        <is>
          <t>FREE</t>
        </is>
      </c>
      <c r="H218" s="170" t="n">
        <v>46179.25652777778</v>
      </c>
    </row>
    <row r="219">
      <c r="A219" s="13" t="inlineStr">
        <is>
          <t>MK00155</t>
        </is>
      </c>
      <c r="B219" s="13" t="n">
        <v>528000299</v>
      </c>
      <c r="C219" s="13" t="inlineStr">
        <is>
          <t>Siti Nurjanah</t>
        </is>
      </c>
      <c r="D219" s="13" t="inlineStr">
        <is>
          <t>PROD</t>
        </is>
      </c>
      <c r="E219" s="13" t="inlineStr">
        <is>
          <t>Produksi Harian</t>
        </is>
      </c>
      <c r="F219" s="170" t="n">
        <v>46148.90633101852</v>
      </c>
      <c r="G219" s="13" t="inlineStr">
        <is>
          <t>FREE</t>
        </is>
      </c>
      <c r="H219" s="170" t="n">
        <v>46179.25174768519</v>
      </c>
    </row>
    <row r="220">
      <c r="A220" s="13" t="inlineStr">
        <is>
          <t>MK00112</t>
        </is>
      </c>
      <c r="B220" s="13" t="n">
        <v>528000270</v>
      </c>
      <c r="C220" s="13" t="inlineStr">
        <is>
          <t>Febri Najmudin</t>
        </is>
      </c>
      <c r="D220" s="13" t="inlineStr">
        <is>
          <t>LOG</t>
        </is>
      </c>
      <c r="E220" s="13" t="inlineStr">
        <is>
          <t>WRM Harian</t>
        </is>
      </c>
      <c r="F220" s="170" t="n">
        <v>46148.90925925926</v>
      </c>
      <c r="G220" s="13" t="inlineStr">
        <is>
          <t>FREE</t>
        </is>
      </c>
      <c r="H220" s="170" t="n">
        <v>46209.90762731482</v>
      </c>
    </row>
    <row r="221">
      <c r="A221" s="13" t="inlineStr">
        <is>
          <t>MK00156</t>
        </is>
      </c>
      <c r="B221" s="13" t="n">
        <v>528000238</v>
      </c>
      <c r="C221" s="13" t="inlineStr">
        <is>
          <t>Indah Lusiana</t>
        </is>
      </c>
      <c r="D221" s="13" t="inlineStr">
        <is>
          <t>PROD</t>
        </is>
      </c>
      <c r="E221" s="13" t="inlineStr">
        <is>
          <t>Produksi Harian</t>
        </is>
      </c>
      <c r="F221" s="170" t="n">
        <v>46179.23535879629</v>
      </c>
      <c r="G221" s="13" t="inlineStr">
        <is>
          <t>FREE</t>
        </is>
      </c>
      <c r="H221" s="170" t="n">
        <v>46209.57810185185</v>
      </c>
    </row>
    <row r="222">
      <c r="A222" s="13" t="inlineStr">
        <is>
          <t>MK0082</t>
        </is>
      </c>
      <c r="B222" s="13" t="n">
        <v>528000297</v>
      </c>
      <c r="C222" s="13" t="inlineStr">
        <is>
          <t>Muhamad Budiana</t>
        </is>
      </c>
      <c r="D222" s="13" t="inlineStr">
        <is>
          <t>PROD</t>
        </is>
      </c>
      <c r="E222" s="13" t="inlineStr">
        <is>
          <t>Produksi Harian</t>
        </is>
      </c>
      <c r="F222" s="170" t="n">
        <v>46179.24556712963</v>
      </c>
      <c r="G222" s="13" t="inlineStr">
        <is>
          <t>FREE</t>
        </is>
      </c>
      <c r="H222" s="170" t="n">
        <v>46179.58722222222</v>
      </c>
    </row>
    <row r="223">
      <c r="A223" s="13" t="inlineStr">
        <is>
          <t>MK00213</t>
        </is>
      </c>
      <c r="B223" s="13" t="n">
        <v>528000279</v>
      </c>
      <c r="C223" s="13" t="inlineStr">
        <is>
          <t>Mahdalena Dalfa Riani</t>
        </is>
      </c>
      <c r="D223" s="13" t="inlineStr">
        <is>
          <t>PROD</t>
        </is>
      </c>
      <c r="E223" s="13" t="inlineStr">
        <is>
          <t>Produksi Harian</t>
        </is>
      </c>
      <c r="F223" s="170" t="n">
        <v>46179.24694444444</v>
      </c>
      <c r="G223" s="13" t="inlineStr">
        <is>
          <t>FREE</t>
        </is>
      </c>
      <c r="H223" s="170" t="n">
        <v>46179.58655092592</v>
      </c>
    </row>
    <row r="224">
      <c r="A224" s="13" t="inlineStr">
        <is>
          <t>MK00249</t>
        </is>
      </c>
      <c r="B224" s="13" t="n">
        <v>528000282</v>
      </c>
      <c r="C224" s="13" t="inlineStr">
        <is>
          <t>Defa Desfiana</t>
        </is>
      </c>
      <c r="D224" s="13" t="inlineStr">
        <is>
          <t>PROD</t>
        </is>
      </c>
      <c r="E224" s="13" t="inlineStr">
        <is>
          <t>Produksi Harian</t>
        </is>
      </c>
      <c r="F224" s="170" t="n">
        <v>46179.32063657408</v>
      </c>
      <c r="G224" s="13" t="inlineStr">
        <is>
          <t>FREE</t>
        </is>
      </c>
      <c r="H224" s="170" t="n">
        <v>46179.5441087963</v>
      </c>
    </row>
    <row r="225">
      <c r="A225" s="13" t="inlineStr">
        <is>
          <t>MK00151</t>
        </is>
      </c>
      <c r="B225" s="13" t="n">
        <v>528000287</v>
      </c>
      <c r="C225" s="13" t="inlineStr">
        <is>
          <t>Muhamad Angga Ramdani</t>
        </is>
      </c>
      <c r="D225" s="13" t="inlineStr">
        <is>
          <t>PROD</t>
        </is>
      </c>
      <c r="E225" s="13" t="inlineStr">
        <is>
          <t>Produksi Harian</t>
        </is>
      </c>
      <c r="F225" s="170" t="n">
        <v>46179.32327546296</v>
      </c>
      <c r="G225" s="13" t="inlineStr">
        <is>
          <t>FREE</t>
        </is>
      </c>
      <c r="H225" s="170" t="n">
        <v>46179.54553240741</v>
      </c>
    </row>
    <row r="226">
      <c r="A226" s="13" t="inlineStr">
        <is>
          <t>MK00150</t>
        </is>
      </c>
      <c r="B226" s="13" t="n">
        <v>528000265</v>
      </c>
      <c r="C226" s="13" t="inlineStr">
        <is>
          <t>Muhammad Haerul Rozikin</t>
        </is>
      </c>
      <c r="D226" s="13" t="inlineStr">
        <is>
          <t>LOG</t>
        </is>
      </c>
      <c r="E226" s="13" t="inlineStr">
        <is>
          <t>WRM Harian</t>
        </is>
      </c>
      <c r="F226" s="170" t="n">
        <v>46179.32476851852</v>
      </c>
      <c r="G226" s="13" t="inlineStr">
        <is>
          <t>FREE</t>
        </is>
      </c>
      <c r="H226" s="170" t="n">
        <v>46179.54354166667</v>
      </c>
    </row>
    <row r="227">
      <c r="A227" s="13" t="inlineStr">
        <is>
          <t>MK00212</t>
        </is>
      </c>
      <c r="B227" s="13" t="n">
        <v>528000144</v>
      </c>
      <c r="C227" s="13" t="inlineStr">
        <is>
          <t>Jodi Hanafi</t>
        </is>
      </c>
      <c r="D227" s="13" t="inlineStr">
        <is>
          <t>LOG</t>
        </is>
      </c>
      <c r="E227" s="13" t="inlineStr">
        <is>
          <t>WRM Harian</t>
        </is>
      </c>
      <c r="F227" s="170" t="n">
        <v>46179.33189814815</v>
      </c>
      <c r="G227" s="13" t="inlineStr">
        <is>
          <t>FREE</t>
        </is>
      </c>
      <c r="H227" s="170" t="n">
        <v>46240.33418981481</v>
      </c>
    </row>
    <row r="228">
      <c r="A228" s="13" t="inlineStr">
        <is>
          <t>MK00192</t>
        </is>
      </c>
      <c r="B228" s="13" t="n">
        <v>528000348</v>
      </c>
      <c r="C228" s="13" t="inlineStr">
        <is>
          <t>Saepuloh Ardiansah</t>
        </is>
      </c>
      <c r="D228" s="13" t="inlineStr">
        <is>
          <t>LOG</t>
        </is>
      </c>
      <c r="E228" s="13" t="inlineStr">
        <is>
          <t>WRM Harian</t>
        </is>
      </c>
      <c r="F228" s="170" t="n">
        <v>46179.36571759259</v>
      </c>
      <c r="G228" s="13" t="inlineStr">
        <is>
          <t>FREE</t>
        </is>
      </c>
      <c r="H228" s="170" t="n">
        <v>46179.58505787037</v>
      </c>
    </row>
    <row r="229">
      <c r="A229" s="13" t="inlineStr">
        <is>
          <t>MK00155</t>
        </is>
      </c>
      <c r="B229" s="13" t="n">
        <v>528000232</v>
      </c>
      <c r="C229" s="13" t="inlineStr">
        <is>
          <t>Agung Aji Suhada</t>
        </is>
      </c>
      <c r="D229" s="13" t="inlineStr">
        <is>
          <t>LOG</t>
        </is>
      </c>
      <c r="E229" s="13" t="inlineStr">
        <is>
          <t>WRM Harian</t>
        </is>
      </c>
      <c r="F229" s="170" t="n">
        <v>46179.37078703703</v>
      </c>
      <c r="G229" s="13" t="inlineStr">
        <is>
          <t>FREE</t>
        </is>
      </c>
      <c r="H229" s="170" t="n">
        <v>46179.58474537037</v>
      </c>
    </row>
    <row r="230">
      <c r="A230" s="13" t="inlineStr">
        <is>
          <t>MK00158</t>
        </is>
      </c>
      <c r="B230" s="13" t="n">
        <v>528000203</v>
      </c>
      <c r="C230" s="13" t="inlineStr">
        <is>
          <t>Yudha Ramdhan Putra</t>
        </is>
      </c>
      <c r="D230" s="13" t="inlineStr">
        <is>
          <t>ENG</t>
        </is>
      </c>
      <c r="E230" s="13" t="inlineStr">
        <is>
          <t>Engineering Harian</t>
        </is>
      </c>
      <c r="F230" s="170" t="n">
        <v>46179.37121527778</v>
      </c>
      <c r="G230" s="13" t="inlineStr">
        <is>
          <t>FREE</t>
        </is>
      </c>
      <c r="H230" s="170" t="n">
        <v>46240.33331018518</v>
      </c>
    </row>
    <row r="231">
      <c r="A231" s="13" t="inlineStr">
        <is>
          <t>MK00148</t>
        </is>
      </c>
      <c r="B231" s="13" t="n">
        <v>528000040</v>
      </c>
      <c r="C231" s="13" t="inlineStr">
        <is>
          <t>Agus Suryaman</t>
        </is>
      </c>
      <c r="D231" s="13" t="inlineStr">
        <is>
          <t>PROD</t>
        </is>
      </c>
      <c r="E231" s="13" t="inlineStr">
        <is>
          <t>Produksi Harian</t>
        </is>
      </c>
      <c r="F231" s="170" t="n">
        <v>46179.37232638889</v>
      </c>
      <c r="G231" s="13" t="inlineStr">
        <is>
          <t>FREE</t>
        </is>
      </c>
      <c r="H231" s="170" t="n">
        <v>46197.3209375</v>
      </c>
    </row>
    <row r="232">
      <c r="A232" s="13" t="inlineStr">
        <is>
          <t>MK00186</t>
        </is>
      </c>
      <c r="B232" s="13" t="n">
        <v>528000149</v>
      </c>
      <c r="C232" s="13" t="inlineStr">
        <is>
          <t>Tio Fernanda</t>
        </is>
      </c>
      <c r="D232" s="13" t="inlineStr">
        <is>
          <t>LOG</t>
        </is>
      </c>
      <c r="E232" s="13" t="inlineStr">
        <is>
          <t>WRM Harian</t>
        </is>
      </c>
      <c r="F232" s="170" t="n">
        <v>46179.37359953704</v>
      </c>
      <c r="G232" s="13" t="inlineStr">
        <is>
          <t>FREE</t>
        </is>
      </c>
      <c r="H232" s="170" t="n">
        <v>46240.66399305555</v>
      </c>
    </row>
    <row r="233">
      <c r="A233" s="13" t="inlineStr">
        <is>
          <t>MK00118</t>
        </is>
      </c>
      <c r="B233" s="13" t="n">
        <v>528000055</v>
      </c>
      <c r="C233" s="13" t="inlineStr">
        <is>
          <t>Dika Prasetya</t>
        </is>
      </c>
      <c r="D233" s="13" t="inlineStr">
        <is>
          <t>LOG</t>
        </is>
      </c>
      <c r="E233" s="13" t="inlineStr">
        <is>
          <t>WRM Harian</t>
        </is>
      </c>
      <c r="F233" s="170" t="n">
        <v>46179.4577199074</v>
      </c>
      <c r="G233" s="13" t="inlineStr">
        <is>
          <t>FREE</t>
        </is>
      </c>
      <c r="H233" s="170" t="n">
        <v>46179.66878472222</v>
      </c>
    </row>
    <row r="234">
      <c r="A234" s="13" t="inlineStr">
        <is>
          <t>MK00116</t>
        </is>
      </c>
      <c r="B234" s="13" t="n">
        <v>528000273</v>
      </c>
      <c r="C234" s="13" t="inlineStr">
        <is>
          <t>Asep Mulyana</t>
        </is>
      </c>
      <c r="D234" s="13" t="inlineStr">
        <is>
          <t>PROD</t>
        </is>
      </c>
      <c r="E234" s="13" t="inlineStr">
        <is>
          <t>Produksi Harian</t>
        </is>
      </c>
      <c r="F234" s="170" t="n">
        <v>46179.45920138889</v>
      </c>
      <c r="G234" s="13" t="inlineStr">
        <is>
          <t>FREE</t>
        </is>
      </c>
      <c r="H234" s="170" t="n">
        <v>46240.33149305556</v>
      </c>
    </row>
    <row r="235">
      <c r="A235" s="13" t="inlineStr">
        <is>
          <t>MK00109</t>
        </is>
      </c>
      <c r="B235" s="13" t="n">
        <v>528000267</v>
      </c>
      <c r="C235" s="13" t="inlineStr">
        <is>
          <t>Bagas Patulloh</t>
        </is>
      </c>
      <c r="D235" s="13" t="inlineStr">
        <is>
          <t>LOG</t>
        </is>
      </c>
      <c r="E235" s="13" t="inlineStr">
        <is>
          <t>WRM Harian</t>
        </is>
      </c>
      <c r="F235" s="170" t="n">
        <v>46179.539375</v>
      </c>
      <c r="G235" s="13" t="inlineStr">
        <is>
          <t>FREE</t>
        </is>
      </c>
      <c r="H235" s="170" t="n">
        <v>46179.75047453704</v>
      </c>
    </row>
    <row r="236">
      <c r="A236" s="13" t="inlineStr">
        <is>
          <t>MK00085</t>
        </is>
      </c>
      <c r="B236" s="13" t="n">
        <v>528000132</v>
      </c>
      <c r="C236" s="13" t="inlineStr">
        <is>
          <t>Giopani</t>
        </is>
      </c>
      <c r="D236" s="13" t="inlineStr">
        <is>
          <t>LOG</t>
        </is>
      </c>
      <c r="E236" s="13" t="inlineStr">
        <is>
          <t>WRM Harian</t>
        </is>
      </c>
      <c r="F236" s="170" t="n">
        <v>46179.54028935185</v>
      </c>
      <c r="G236" s="13" t="inlineStr">
        <is>
          <t>FREE</t>
        </is>
      </c>
      <c r="H236" s="170" t="n">
        <v>46179.75126157407</v>
      </c>
    </row>
    <row r="237">
      <c r="A237" s="13" t="inlineStr">
        <is>
          <t>MK00249</t>
        </is>
      </c>
      <c r="B237" s="13" t="n">
        <v>528000244</v>
      </c>
      <c r="C237" s="13" t="inlineStr">
        <is>
          <t>Rodian Rifai</t>
        </is>
      </c>
      <c r="D237" s="13" t="inlineStr">
        <is>
          <t>PROD</t>
        </is>
      </c>
      <c r="E237" s="13" t="inlineStr">
        <is>
          <t>Produksi Harian</t>
        </is>
      </c>
      <c r="F237" s="170" t="n">
        <v>46179.56349537037</v>
      </c>
      <c r="G237" s="13" t="inlineStr">
        <is>
          <t>FREE</t>
        </is>
      </c>
      <c r="H237" s="170" t="n">
        <v>46179.92024305555</v>
      </c>
    </row>
    <row r="238">
      <c r="A238" s="13" t="inlineStr">
        <is>
          <t>MK00055</t>
        </is>
      </c>
      <c r="B238" s="13" t="n">
        <v>528000212</v>
      </c>
      <c r="C238" s="13" t="inlineStr">
        <is>
          <t>Rizal Fauzi</t>
        </is>
      </c>
      <c r="D238" s="13" t="inlineStr">
        <is>
          <t>PROD</t>
        </is>
      </c>
      <c r="E238" s="13" t="inlineStr">
        <is>
          <t>Produksi Harian</t>
        </is>
      </c>
      <c r="F238" s="170" t="n">
        <v>46179.56409722222</v>
      </c>
      <c r="G238" s="13" t="inlineStr">
        <is>
          <t>FREE</t>
        </is>
      </c>
      <c r="H238" s="170" t="n">
        <v>46179.94527777778</v>
      </c>
    </row>
    <row r="239">
      <c r="A239" s="13" t="inlineStr">
        <is>
          <t>MK00151</t>
        </is>
      </c>
      <c r="B239" s="13" t="n">
        <v>528000201</v>
      </c>
      <c r="C239" s="13" t="inlineStr">
        <is>
          <t>Zahwa Amelia Choerunissa</t>
        </is>
      </c>
      <c r="D239" s="13" t="inlineStr">
        <is>
          <t>PROD</t>
        </is>
      </c>
      <c r="E239" s="13" t="inlineStr">
        <is>
          <t>Produksi Harian</t>
        </is>
      </c>
      <c r="F239" s="170" t="n">
        <v>46179.56504629629</v>
      </c>
      <c r="G239" s="13" t="inlineStr">
        <is>
          <t>FREE</t>
        </is>
      </c>
      <c r="H239" s="170" t="n">
        <v>46179.92150462963</v>
      </c>
    </row>
    <row r="240">
      <c r="A240" s="13" t="inlineStr">
        <is>
          <t>MK00209</t>
        </is>
      </c>
      <c r="B240" s="13" t="n">
        <v>528000099</v>
      </c>
      <c r="C240" s="13" t="inlineStr">
        <is>
          <t>Siti Nurawaliah</t>
        </is>
      </c>
      <c r="D240" s="13" t="inlineStr">
        <is>
          <t>PROD</t>
        </is>
      </c>
      <c r="E240" s="13" t="inlineStr">
        <is>
          <t>Produksi Harian</t>
        </is>
      </c>
      <c r="F240" s="170" t="n">
        <v>46179.56556712963</v>
      </c>
      <c r="G240" s="13" t="inlineStr">
        <is>
          <t>FREE</t>
        </is>
      </c>
      <c r="H240" s="170" t="n">
        <v>46179.92201388889</v>
      </c>
    </row>
    <row r="241">
      <c r="A241" s="13" t="inlineStr">
        <is>
          <t>MK0046</t>
        </is>
      </c>
      <c r="B241" s="13" t="n">
        <v>528000286</v>
      </c>
      <c r="C241" s="13" t="inlineStr">
        <is>
          <t>Imelda Amelia</t>
        </is>
      </c>
      <c r="D241" s="13" t="inlineStr">
        <is>
          <t>PROD</t>
        </is>
      </c>
      <c r="E241" s="13" t="inlineStr">
        <is>
          <t>Produksi Harian</t>
        </is>
      </c>
      <c r="F241" s="170" t="n">
        <v>46179.57027777778</v>
      </c>
      <c r="G241" s="13" t="inlineStr">
        <is>
          <t>FREE</t>
        </is>
      </c>
      <c r="H241" s="170" t="n">
        <v>46240.5900462963</v>
      </c>
    </row>
    <row r="242">
      <c r="A242" s="13" t="inlineStr">
        <is>
          <t>MK00154</t>
        </is>
      </c>
      <c r="B242" s="13" t="n">
        <v>528000241</v>
      </c>
      <c r="C242" s="13" t="inlineStr">
        <is>
          <t>Balia Nurafif Bilah</t>
        </is>
      </c>
      <c r="D242" s="13" t="inlineStr">
        <is>
          <t>PROD</t>
        </is>
      </c>
      <c r="E242" s="13" t="inlineStr">
        <is>
          <t>Produksi Harian</t>
        </is>
      </c>
      <c r="F242" s="170" t="n">
        <v>46179.57636574074</v>
      </c>
      <c r="G242" s="13" t="inlineStr">
        <is>
          <t>FREE</t>
        </is>
      </c>
      <c r="H242" s="170" t="n">
        <v>46179.91888888889</v>
      </c>
    </row>
    <row r="243">
      <c r="A243" s="13" t="inlineStr">
        <is>
          <t>MK00113</t>
        </is>
      </c>
      <c r="B243" s="13" t="n">
        <v>528000274</v>
      </c>
      <c r="C243" s="13" t="inlineStr">
        <is>
          <t>Zepri</t>
        </is>
      </c>
      <c r="D243" s="13" t="inlineStr">
        <is>
          <t>PROD</t>
        </is>
      </c>
      <c r="E243" s="13" t="inlineStr">
        <is>
          <t>Produksi Harian</t>
        </is>
      </c>
      <c r="F243" s="170" t="n">
        <v>46179.57910879629</v>
      </c>
      <c r="G243" s="13" t="inlineStr">
        <is>
          <t>FREE</t>
        </is>
      </c>
      <c r="H243" s="170" t="n">
        <v>46179.91864583334</v>
      </c>
    </row>
    <row r="244">
      <c r="A244" s="13" t="inlineStr">
        <is>
          <t>MK00126</t>
        </is>
      </c>
      <c r="B244" s="13" t="n">
        <v>528000290</v>
      </c>
      <c r="C244" s="13" t="inlineStr">
        <is>
          <t>Eval Pranata</t>
        </is>
      </c>
      <c r="D244" s="13" t="inlineStr">
        <is>
          <t>PROD</t>
        </is>
      </c>
      <c r="E244" s="13" t="inlineStr">
        <is>
          <t>Produksi Harian</t>
        </is>
      </c>
      <c r="F244" s="170" t="n">
        <v>46179.57930555556</v>
      </c>
      <c r="G244" s="13" t="inlineStr">
        <is>
          <t>FREE</t>
        </is>
      </c>
      <c r="H244" s="170" t="n">
        <v>46179.91921296297</v>
      </c>
    </row>
    <row r="245">
      <c r="A245" s="13" t="inlineStr">
        <is>
          <t>MK00200</t>
        </is>
      </c>
      <c r="B245" s="13" t="n">
        <v>528000292</v>
      </c>
      <c r="C245" s="13" t="inlineStr">
        <is>
          <t>Aditia Nugraha</t>
        </is>
      </c>
      <c r="D245" s="13" t="inlineStr">
        <is>
          <t>PROD</t>
        </is>
      </c>
      <c r="E245" s="13" t="inlineStr">
        <is>
          <t>Produksi Harian</t>
        </is>
      </c>
      <c r="F245" s="170" t="n">
        <v>46179.58827546296</v>
      </c>
      <c r="G245" s="13" t="inlineStr">
        <is>
          <t>FREE</t>
        </is>
      </c>
      <c r="H245" s="170" t="n">
        <v>46179.92052083334</v>
      </c>
    </row>
    <row r="246">
      <c r="A246" s="13" t="inlineStr">
        <is>
          <t>MK00221</t>
        </is>
      </c>
      <c r="B246" s="13" t="n">
        <v>528000015</v>
      </c>
      <c r="C246" s="13" t="inlineStr">
        <is>
          <t>Erwin</t>
        </is>
      </c>
      <c r="D246" s="13" t="inlineStr">
        <is>
          <t>LOG</t>
        </is>
      </c>
      <c r="E246" s="13" t="inlineStr">
        <is>
          <t>WRM Harian</t>
        </is>
      </c>
      <c r="F246" s="170" t="n">
        <v>46179.66018518519</v>
      </c>
      <c r="G246" s="13" t="inlineStr">
        <is>
          <t>FREE</t>
        </is>
      </c>
      <c r="H246" s="170" t="n">
        <v>46179.87774305556</v>
      </c>
    </row>
    <row r="247">
      <c r="A247" s="13" t="inlineStr">
        <is>
          <t>MK00213</t>
        </is>
      </c>
      <c r="B247" s="13" t="n">
        <v>628000091</v>
      </c>
      <c r="C247" s="13" t="inlineStr">
        <is>
          <t>Devita Handayani</t>
        </is>
      </c>
      <c r="D247" s="13" t="inlineStr">
        <is>
          <t>PROD</t>
        </is>
      </c>
      <c r="E247" s="13" t="inlineStr">
        <is>
          <t>Produksi Borongan</t>
        </is>
      </c>
      <c r="F247" s="170" t="n">
        <v>46179.8787037037</v>
      </c>
      <c r="G247" s="13" t="inlineStr">
        <is>
          <t>FREE</t>
        </is>
      </c>
      <c r="H247" s="170" t="n">
        <v>46209.2532175926</v>
      </c>
    </row>
    <row r="248">
      <c r="A248" s="13" t="inlineStr">
        <is>
          <t>MK00221</t>
        </is>
      </c>
      <c r="B248" s="13" t="n">
        <v>628000061</v>
      </c>
      <c r="C248" s="13" t="inlineStr">
        <is>
          <t>Nayla Fadillah Exwantoro</t>
        </is>
      </c>
      <c r="D248" s="13" t="inlineStr">
        <is>
          <t>PROD</t>
        </is>
      </c>
      <c r="E248" s="13" t="inlineStr">
        <is>
          <t>Produksi Borongan</t>
        </is>
      </c>
      <c r="F248" s="170" t="n">
        <v>46179.88166666667</v>
      </c>
      <c r="G248" s="13" t="inlineStr">
        <is>
          <t>FREE</t>
        </is>
      </c>
      <c r="H248" s="170" t="n">
        <v>46209.26763888889</v>
      </c>
    </row>
    <row r="249">
      <c r="A249" s="13" t="inlineStr">
        <is>
          <t>MK00145</t>
        </is>
      </c>
      <c r="B249" s="13" t="n">
        <v>528000098</v>
      </c>
      <c r="C249" s="13" t="inlineStr">
        <is>
          <t>Edi Junaedi</t>
        </is>
      </c>
      <c r="D249" s="13" t="inlineStr">
        <is>
          <t>PROD</t>
        </is>
      </c>
      <c r="E249" s="13" t="inlineStr">
        <is>
          <t>Produksi Harian</t>
        </is>
      </c>
      <c r="F249" s="170" t="n">
        <v>46179.89320601852</v>
      </c>
      <c r="G249" s="13" t="inlineStr">
        <is>
          <t>FREE</t>
        </is>
      </c>
      <c r="H249" s="170" t="n">
        <v>46209.25446759259</v>
      </c>
    </row>
    <row r="250">
      <c r="A250" s="13" t="inlineStr">
        <is>
          <t>MK00181</t>
        </is>
      </c>
      <c r="B250" s="13" t="n">
        <v>528000302</v>
      </c>
      <c r="C250" s="13" t="inlineStr">
        <is>
          <t>Henkey gumilar</t>
        </is>
      </c>
      <c r="D250" s="13" t="inlineStr">
        <is>
          <t>PROD</t>
        </is>
      </c>
      <c r="E250" s="13" t="inlineStr">
        <is>
          <t>Produksi Harian</t>
        </is>
      </c>
      <c r="F250" s="170" t="n">
        <v>46179.8971875</v>
      </c>
      <c r="G250" s="13" t="inlineStr">
        <is>
          <t>FREE</t>
        </is>
      </c>
      <c r="H250" s="170" t="n">
        <v>46209.25670138889</v>
      </c>
    </row>
    <row r="251">
      <c r="A251" s="13" t="inlineStr">
        <is>
          <t>MK00082</t>
        </is>
      </c>
      <c r="B251" s="13" t="n">
        <v>528000298</v>
      </c>
      <c r="C251" s="13" t="inlineStr">
        <is>
          <t>Desta Cahaya Pratama</t>
        </is>
      </c>
      <c r="D251" s="13" t="inlineStr">
        <is>
          <t>PROD</t>
        </is>
      </c>
      <c r="E251" s="13" t="inlineStr">
        <is>
          <t>Produksi Harian</t>
        </is>
      </c>
      <c r="F251" s="170" t="n">
        <v>46179.90023148148</v>
      </c>
      <c r="G251" s="13" t="inlineStr">
        <is>
          <t>FREE</t>
        </is>
      </c>
      <c r="H251" s="170" t="n">
        <v>46209.253125</v>
      </c>
    </row>
    <row r="252">
      <c r="A252" s="13" t="inlineStr">
        <is>
          <t>MK00109</t>
        </is>
      </c>
      <c r="B252" s="13" t="n">
        <v>528000306</v>
      </c>
      <c r="C252" s="13" t="inlineStr">
        <is>
          <t>Windy Olivia</t>
        </is>
      </c>
      <c r="D252" s="13" t="inlineStr">
        <is>
          <t>PROD</t>
        </is>
      </c>
      <c r="E252" s="13" t="inlineStr">
        <is>
          <t>Produksi Harian</t>
        </is>
      </c>
      <c r="F252" s="170" t="n">
        <v>46179.90113425926</v>
      </c>
      <c r="G252" s="13" t="inlineStr">
        <is>
          <t>FREE</t>
        </is>
      </c>
      <c r="H252" s="170" t="n">
        <v>46209.25194444445</v>
      </c>
    </row>
    <row r="253">
      <c r="A253" s="13" t="inlineStr">
        <is>
          <t>MK00085</t>
        </is>
      </c>
      <c r="B253" s="13" t="n">
        <v>528000299</v>
      </c>
      <c r="C253" s="13" t="inlineStr">
        <is>
          <t>Siti Nurjanah</t>
        </is>
      </c>
      <c r="D253" s="13" t="inlineStr">
        <is>
          <t>PROD</t>
        </is>
      </c>
      <c r="E253" s="13" t="inlineStr">
        <is>
          <t>Produksi Harian</t>
        </is>
      </c>
      <c r="F253" s="170" t="n">
        <v>46179.90370370371</v>
      </c>
      <c r="G253" s="13" t="inlineStr">
        <is>
          <t>FREE</t>
        </is>
      </c>
      <c r="H253" s="170" t="n">
        <v>46209.25254629629</v>
      </c>
    </row>
    <row r="254">
      <c r="A254" s="13" t="inlineStr">
        <is>
          <t>MK00249</t>
        </is>
      </c>
      <c r="B254" s="13" t="n">
        <v>528000279</v>
      </c>
      <c r="C254" s="13" t="inlineStr">
        <is>
          <t>Mahdalena Dalfa Riani</t>
        </is>
      </c>
      <c r="D254" s="13" t="inlineStr">
        <is>
          <t>PROD</t>
        </is>
      </c>
      <c r="E254" s="13" t="inlineStr">
        <is>
          <t>Produksi Harian</t>
        </is>
      </c>
      <c r="F254" s="170" t="n">
        <v>46209.24445601852</v>
      </c>
      <c r="G254" s="13" t="inlineStr">
        <is>
          <t>FREE</t>
        </is>
      </c>
      <c r="H254" s="170" t="n">
        <v>46209.58996527778</v>
      </c>
    </row>
    <row r="255">
      <c r="A255" s="13" t="inlineStr">
        <is>
          <t>MK00100</t>
        </is>
      </c>
      <c r="B255" s="13" t="n">
        <v>628000064</v>
      </c>
      <c r="C255" s="13" t="inlineStr">
        <is>
          <t>Silva Alypia</t>
        </is>
      </c>
      <c r="D255" s="13" t="inlineStr">
        <is>
          <t>PROD</t>
        </is>
      </c>
      <c r="E255" s="13" t="inlineStr">
        <is>
          <t>Produksi Borongan</t>
        </is>
      </c>
      <c r="F255" s="170" t="n">
        <v>46209.24564814815</v>
      </c>
      <c r="G255" s="13" t="inlineStr">
        <is>
          <t>FREE</t>
        </is>
      </c>
      <c r="H255" s="170" t="n">
        <v>46301.91072916667</v>
      </c>
    </row>
    <row r="256">
      <c r="A256" s="13" t="inlineStr">
        <is>
          <t>MK00126</t>
        </is>
      </c>
      <c r="B256" s="13" t="n">
        <v>528000297</v>
      </c>
      <c r="C256" s="13" t="inlineStr">
        <is>
          <t>Muhamad Budiana</t>
        </is>
      </c>
      <c r="D256" s="13" t="inlineStr">
        <is>
          <t>PROD</t>
        </is>
      </c>
      <c r="E256" s="13" t="inlineStr">
        <is>
          <t>Produksi Harian</t>
        </is>
      </c>
      <c r="F256" s="170" t="n">
        <v>46209.2457175926</v>
      </c>
      <c r="G256" s="13" t="inlineStr">
        <is>
          <t>FREE</t>
        </is>
      </c>
      <c r="H256" s="170" t="n">
        <v>46209.58734953704</v>
      </c>
    </row>
    <row r="257">
      <c r="A257" s="13" t="inlineStr">
        <is>
          <t>MK00145</t>
        </is>
      </c>
      <c r="B257" s="13" t="n">
        <v>528000015</v>
      </c>
      <c r="C257" s="13" t="inlineStr">
        <is>
          <t>Erwin</t>
        </is>
      </c>
      <c r="D257" s="13" t="inlineStr">
        <is>
          <t>LOG</t>
        </is>
      </c>
      <c r="E257" s="13" t="inlineStr">
        <is>
          <t>WRM Harian</t>
        </is>
      </c>
      <c r="F257" s="170" t="n">
        <v>46209.3243287037</v>
      </c>
      <c r="G257" s="13" t="inlineStr">
        <is>
          <t>FREE</t>
        </is>
      </c>
      <c r="H257" s="170" t="n">
        <v>46209.70670138889</v>
      </c>
    </row>
    <row r="258">
      <c r="A258" s="13" t="inlineStr">
        <is>
          <t>MK00205</t>
        </is>
      </c>
      <c r="B258" s="13" t="n">
        <v>528000348</v>
      </c>
      <c r="C258" s="13" t="inlineStr">
        <is>
          <t>Saepuloh Ardiansah</t>
        </is>
      </c>
      <c r="D258" s="13" t="inlineStr">
        <is>
          <t>LOG</t>
        </is>
      </c>
      <c r="E258" s="13" t="inlineStr">
        <is>
          <t>WRM Harian</t>
        </is>
      </c>
      <c r="F258" s="170" t="n">
        <v>46209.37290509259</v>
      </c>
      <c r="G258" s="13" t="inlineStr">
        <is>
          <t>FREE</t>
        </is>
      </c>
      <c r="H258" s="170" t="n">
        <v>46209.73703703703</v>
      </c>
    </row>
    <row r="259">
      <c r="A259" s="13" t="inlineStr">
        <is>
          <t>MK00141</t>
        </is>
      </c>
      <c r="B259" s="13" t="n">
        <v>528000195</v>
      </c>
      <c r="C259" s="13" t="inlineStr">
        <is>
          <t>Rahma Sariwati</t>
        </is>
      </c>
      <c r="D259" s="13" t="inlineStr">
        <is>
          <t>PROD</t>
        </is>
      </c>
      <c r="E259" s="13" t="inlineStr">
        <is>
          <t>Produksi Harian</t>
        </is>
      </c>
      <c r="F259" s="170" t="n">
        <v>46209.5630787037</v>
      </c>
      <c r="G259" s="13" t="inlineStr">
        <is>
          <t>FREE</t>
        </is>
      </c>
      <c r="H259" s="170" t="n">
        <v>46209.91914351852</v>
      </c>
    </row>
    <row r="260">
      <c r="A260" s="13" t="inlineStr">
        <is>
          <t>MK00082</t>
        </is>
      </c>
      <c r="B260" s="13" t="n">
        <v>528000358</v>
      </c>
      <c r="C260" s="13" t="inlineStr">
        <is>
          <t>Lulu Agustin</t>
        </is>
      </c>
      <c r="D260" s="13" t="inlineStr">
        <is>
          <t>PROD</t>
        </is>
      </c>
      <c r="E260" s="13" t="inlineStr">
        <is>
          <t>Produksi Harian</t>
        </is>
      </c>
      <c r="F260" s="170" t="n">
        <v>46209.56317129629</v>
      </c>
      <c r="G260" s="13" t="inlineStr">
        <is>
          <t>FREE</t>
        </is>
      </c>
      <c r="H260" s="170" t="n">
        <v>46209.92043981481</v>
      </c>
    </row>
    <row r="261">
      <c r="A261" s="13" t="inlineStr">
        <is>
          <t>MK00155</t>
        </is>
      </c>
      <c r="B261" s="13" t="n">
        <v>528000262</v>
      </c>
      <c r="C261" s="13" t="inlineStr">
        <is>
          <t>Ndari Dwiwanti</t>
        </is>
      </c>
      <c r="D261" s="13" t="inlineStr">
        <is>
          <t>PROD</t>
        </is>
      </c>
      <c r="E261" s="13" t="inlineStr">
        <is>
          <t>Produksi Harian</t>
        </is>
      </c>
      <c r="F261" s="170" t="n">
        <v>46209.56381944445</v>
      </c>
      <c r="G261" s="13" t="inlineStr">
        <is>
          <t>FREE</t>
        </is>
      </c>
      <c r="H261" s="170" t="n">
        <v>46209.91864583334</v>
      </c>
    </row>
    <row r="262">
      <c r="A262" s="13" t="inlineStr">
        <is>
          <t>MK00150</t>
        </is>
      </c>
      <c r="B262" s="13" t="n">
        <v>528000266</v>
      </c>
      <c r="C262" s="13" t="inlineStr">
        <is>
          <t>M. Syirajatieq</t>
        </is>
      </c>
      <c r="D262" s="13" t="inlineStr">
        <is>
          <t>LOG</t>
        </is>
      </c>
      <c r="E262" s="13" t="inlineStr">
        <is>
          <t>WFG Harian</t>
        </is>
      </c>
      <c r="F262" s="170" t="n">
        <v>46209.57300925926</v>
      </c>
      <c r="G262" s="13" t="inlineStr">
        <is>
          <t>FREE</t>
        </is>
      </c>
      <c r="H262" s="170" t="n">
        <v>46209.91935185185</v>
      </c>
    </row>
    <row r="263">
      <c r="A263" s="13" t="inlineStr">
        <is>
          <t>MK00046</t>
        </is>
      </c>
      <c r="B263" s="13" t="n">
        <v>528000283</v>
      </c>
      <c r="C263" s="13" t="inlineStr">
        <is>
          <t>Purwanda Sugiri</t>
        </is>
      </c>
      <c r="D263" s="13" t="inlineStr">
        <is>
          <t>LOG</t>
        </is>
      </c>
      <c r="E263" s="13" t="inlineStr">
        <is>
          <t>WRM Harian</t>
        </is>
      </c>
      <c r="F263" s="170" t="n">
        <v>46209.57368055556</v>
      </c>
      <c r="G263" s="13" t="inlineStr">
        <is>
          <t>FREE</t>
        </is>
      </c>
      <c r="H263" s="170" t="n">
        <v>46209.92008101852</v>
      </c>
    </row>
    <row r="264">
      <c r="A264" s="13" t="inlineStr">
        <is>
          <t>MK00192</t>
        </is>
      </c>
      <c r="B264" s="13" t="n">
        <v>528000261</v>
      </c>
      <c r="C264" s="13" t="inlineStr">
        <is>
          <t>Ergi Ergianto</t>
        </is>
      </c>
      <c r="D264" s="13" t="inlineStr">
        <is>
          <t>HRGA</t>
        </is>
      </c>
      <c r="E264" s="13" t="inlineStr">
        <is>
          <t>GA Harian</t>
        </is>
      </c>
      <c r="F264" s="170" t="n">
        <v>46209.57614583334</v>
      </c>
      <c r="G264" s="13" t="inlineStr">
        <is>
          <t>FREE</t>
        </is>
      </c>
      <c r="H264" s="170" t="n">
        <v>46209.9184837963</v>
      </c>
    </row>
    <row r="265">
      <c r="A265" s="13" t="inlineStr">
        <is>
          <t>MK00085</t>
        </is>
      </c>
      <c r="B265" s="13" t="n">
        <v>528000301</v>
      </c>
      <c r="C265" s="13" t="inlineStr">
        <is>
          <t>Muhammad Mukti Ridwan</t>
        </is>
      </c>
      <c r="D265" s="13" t="inlineStr">
        <is>
          <t>PROD</t>
        </is>
      </c>
      <c r="E265" s="13" t="inlineStr">
        <is>
          <t>Produksi Harian</t>
        </is>
      </c>
      <c r="F265" s="170" t="n">
        <v>46209.57806712963</v>
      </c>
      <c r="G265" s="13" t="inlineStr">
        <is>
          <t>FREE</t>
        </is>
      </c>
      <c r="H265" s="170" t="n">
        <v>46209.92059027778</v>
      </c>
    </row>
    <row r="266">
      <c r="A266" s="13" t="inlineStr">
        <is>
          <t>MK00250</t>
        </is>
      </c>
      <c r="B266" s="13" t="n">
        <v>528000238</v>
      </c>
      <c r="C266" s="13" t="inlineStr">
        <is>
          <t>Indah Lusiana</t>
        </is>
      </c>
      <c r="D266" s="13" t="inlineStr">
        <is>
          <t>PROD</t>
        </is>
      </c>
      <c r="E266" s="13" t="inlineStr">
        <is>
          <t>Produksi Harian</t>
        </is>
      </c>
      <c r="F266" s="170" t="n">
        <v>46209.57842592592</v>
      </c>
      <c r="G266" s="13" t="inlineStr">
        <is>
          <t>FREE</t>
        </is>
      </c>
      <c r="H266" s="170" t="n">
        <v>46209.91986111111</v>
      </c>
    </row>
    <row r="267">
      <c r="A267" s="13" t="inlineStr">
        <is>
          <t>MK00088</t>
        </is>
      </c>
      <c r="B267" s="13" t="n">
        <v>528000291</v>
      </c>
      <c r="C267" s="13" t="inlineStr">
        <is>
          <t>Andrian</t>
        </is>
      </c>
      <c r="D267" s="13" t="inlineStr">
        <is>
          <t>PROD</t>
        </is>
      </c>
      <c r="E267" s="13" t="inlineStr">
        <is>
          <t>Produksi Harian</t>
        </is>
      </c>
      <c r="F267" s="170" t="n">
        <v>46209.57962962963</v>
      </c>
      <c r="G267" s="13" t="inlineStr">
        <is>
          <t>FREE</t>
        </is>
      </c>
      <c r="H267" s="170" t="n">
        <v>46209.92017361111</v>
      </c>
    </row>
    <row r="268">
      <c r="A268" s="13" t="inlineStr">
        <is>
          <t>MK00151</t>
        </is>
      </c>
      <c r="B268" s="13" t="n">
        <v>528000098</v>
      </c>
      <c r="C268" s="13" t="inlineStr">
        <is>
          <t>Edi Junaedi</t>
        </is>
      </c>
      <c r="D268" s="13" t="inlineStr">
        <is>
          <t>PROD</t>
        </is>
      </c>
      <c r="E268" s="13" t="inlineStr">
        <is>
          <t>Produksi Harian</t>
        </is>
      </c>
      <c r="F268" s="170" t="n">
        <v>46209.89609953704</v>
      </c>
      <c r="G268" s="13" t="inlineStr">
        <is>
          <t>FREE</t>
        </is>
      </c>
      <c r="H268" s="170" t="n">
        <v>46240.32751157408</v>
      </c>
    </row>
    <row r="269">
      <c r="A269" s="13" t="inlineStr">
        <is>
          <t>MK00249</t>
        </is>
      </c>
      <c r="B269" s="13" t="n">
        <v>628000091</v>
      </c>
      <c r="C269" s="13" t="inlineStr">
        <is>
          <t>Devita Handayani</t>
        </is>
      </c>
      <c r="D269" s="13" t="inlineStr">
        <is>
          <t>PROD</t>
        </is>
      </c>
      <c r="E269" s="13" t="inlineStr">
        <is>
          <t>Produksi Borongan</t>
        </is>
      </c>
      <c r="F269" s="170" t="n">
        <v>46209.89616898148</v>
      </c>
      <c r="G269" s="13" t="inlineStr">
        <is>
          <t>FREE</t>
        </is>
      </c>
      <c r="H269" s="170" t="n">
        <v>46240.32798611111</v>
      </c>
    </row>
    <row r="270">
      <c r="A270" s="13" t="inlineStr">
        <is>
          <t>MK00156</t>
        </is>
      </c>
      <c r="B270" s="13" t="n">
        <v>528000306</v>
      </c>
      <c r="C270" s="13" t="inlineStr">
        <is>
          <t>Windy Olivia</t>
        </is>
      </c>
      <c r="D270" s="13" t="inlineStr">
        <is>
          <t>PROD</t>
        </is>
      </c>
      <c r="E270" s="13" t="inlineStr">
        <is>
          <t>Produksi Harian</t>
        </is>
      </c>
      <c r="F270" s="170" t="n">
        <v>46209.9012037037</v>
      </c>
      <c r="G270" s="13" t="inlineStr">
        <is>
          <t>FREE</t>
        </is>
      </c>
      <c r="H270" s="170" t="n">
        <v>46240.25319444444</v>
      </c>
    </row>
    <row r="271">
      <c r="A271" s="13" t="inlineStr">
        <is>
          <t>MK00113</t>
        </is>
      </c>
      <c r="B271" s="13" t="n">
        <v>528000305</v>
      </c>
      <c r="C271" s="13" t="inlineStr">
        <is>
          <t>Puji Puspita</t>
        </is>
      </c>
      <c r="D271" s="13" t="inlineStr">
        <is>
          <t>PROD</t>
        </is>
      </c>
      <c r="E271" s="13" t="inlineStr">
        <is>
          <t>Produksi Harian</t>
        </is>
      </c>
      <c r="F271" s="170" t="n">
        <v>46209.90216435185</v>
      </c>
      <c r="G271" s="13" t="inlineStr">
        <is>
          <t>FREE</t>
        </is>
      </c>
      <c r="H271" s="170" t="n">
        <v>46240.25350694444</v>
      </c>
    </row>
    <row r="272">
      <c r="A272" s="13" t="inlineStr">
        <is>
          <t>MK00154</t>
        </is>
      </c>
      <c r="B272" s="13" t="n">
        <v>528000302</v>
      </c>
      <c r="C272" s="13" t="inlineStr">
        <is>
          <t>Henkey gumilar</t>
        </is>
      </c>
      <c r="D272" s="13" t="inlineStr">
        <is>
          <t>PROD</t>
        </is>
      </c>
      <c r="E272" s="13" t="inlineStr">
        <is>
          <t>Produksi Harian</t>
        </is>
      </c>
      <c r="F272" s="170" t="n">
        <v>46209.90233796297</v>
      </c>
      <c r="G272" s="13" t="inlineStr">
        <is>
          <t>FREE</t>
        </is>
      </c>
      <c r="H272" s="170" t="n">
        <v>46240.25582175926</v>
      </c>
    </row>
    <row r="273">
      <c r="A273" s="13" t="inlineStr">
        <is>
          <t>MK00093</t>
        </is>
      </c>
      <c r="B273" s="13" t="n">
        <v>528000298</v>
      </c>
      <c r="C273" s="13" t="inlineStr">
        <is>
          <t>Desta Cahaya Pratama</t>
        </is>
      </c>
      <c r="D273" s="13" t="inlineStr">
        <is>
          <t>PROD</t>
        </is>
      </c>
      <c r="E273" s="13" t="inlineStr">
        <is>
          <t>Produksi Harian</t>
        </is>
      </c>
      <c r="F273" s="170" t="n">
        <v>46209.90262731481</v>
      </c>
      <c r="G273" s="13" t="inlineStr">
        <is>
          <t>FREE</t>
        </is>
      </c>
      <c r="H273" s="170" t="n">
        <v>46240.25394675926</v>
      </c>
    </row>
    <row r="274">
      <c r="A274" s="13" t="inlineStr">
        <is>
          <t>MK00181</t>
        </is>
      </c>
      <c r="B274" s="13" t="n">
        <v>528000270</v>
      </c>
      <c r="C274" s="13" t="inlineStr">
        <is>
          <t>Febri Najmudin</t>
        </is>
      </c>
      <c r="D274" s="13" t="inlineStr">
        <is>
          <t>LOG</t>
        </is>
      </c>
      <c r="E274" s="13" t="inlineStr">
        <is>
          <t>WRM Harian</t>
        </is>
      </c>
      <c r="F274" s="170" t="n">
        <v>46209.90788194445</v>
      </c>
      <c r="G274" s="13" t="inlineStr">
        <is>
          <t>FREE</t>
        </is>
      </c>
      <c r="H274" s="170" t="n">
        <v>46240.27002314815</v>
      </c>
    </row>
    <row r="275">
      <c r="A275" s="13" t="inlineStr">
        <is>
          <t>MK00250</t>
        </is>
      </c>
      <c r="B275" s="13" t="n">
        <v>528000201</v>
      </c>
      <c r="C275" s="13" t="inlineStr">
        <is>
          <t>Zahwa Amelia Choerunissa</t>
        </is>
      </c>
      <c r="D275" s="13" t="inlineStr">
        <is>
          <t>PROD</t>
        </is>
      </c>
      <c r="E275" s="13" t="inlineStr">
        <is>
          <t>Produksi Harian</t>
        </is>
      </c>
      <c r="F275" s="170" t="n">
        <v>46240.23212962963</v>
      </c>
      <c r="G275" s="13" t="inlineStr">
        <is>
          <t>FREE</t>
        </is>
      </c>
      <c r="H275" s="170" t="n">
        <v>46240.58725694445</v>
      </c>
    </row>
    <row r="276">
      <c r="A276" s="13" t="inlineStr">
        <is>
          <t>MK00184</t>
        </is>
      </c>
      <c r="B276" s="13" t="n">
        <v>528000099</v>
      </c>
      <c r="C276" s="13" t="inlineStr">
        <is>
          <t>Siti Nurawaliah</t>
        </is>
      </c>
      <c r="D276" s="13" t="inlineStr">
        <is>
          <t>PROD</t>
        </is>
      </c>
      <c r="E276" s="13" t="inlineStr">
        <is>
          <t>Produksi Harian</t>
        </is>
      </c>
      <c r="F276" s="170" t="n">
        <v>46240.23247685185</v>
      </c>
      <c r="G276" s="13" t="inlineStr">
        <is>
          <t>FREE</t>
        </is>
      </c>
      <c r="H276" s="170" t="n">
        <v>46240.58771990741</v>
      </c>
    </row>
    <row r="277">
      <c r="A277" s="13" t="inlineStr">
        <is>
          <t>MK00221</t>
        </is>
      </c>
      <c r="B277" s="13" t="n">
        <v>528000244</v>
      </c>
      <c r="C277" s="13" t="inlineStr">
        <is>
          <t>Rodian Rifai</t>
        </is>
      </c>
      <c r="D277" s="13" t="inlineStr">
        <is>
          <t>PROD</t>
        </is>
      </c>
      <c r="E277" s="13" t="inlineStr">
        <is>
          <t>Produksi Harian</t>
        </is>
      </c>
      <c r="F277" s="170" t="n">
        <v>46240.245625</v>
      </c>
      <c r="G277" s="13" t="inlineStr">
        <is>
          <t>FREE</t>
        </is>
      </c>
      <c r="H277" s="170" t="n">
        <v>46240.63657407407</v>
      </c>
    </row>
    <row r="278">
      <c r="A278" s="13" t="inlineStr">
        <is>
          <t>MK0082</t>
        </is>
      </c>
      <c r="B278" s="13" t="n">
        <v>528000241</v>
      </c>
      <c r="C278" s="13" t="inlineStr">
        <is>
          <t>Balia Nurafif Bilah</t>
        </is>
      </c>
      <c r="D278" s="13" t="inlineStr">
        <is>
          <t>PROD</t>
        </is>
      </c>
      <c r="E278" s="13" t="inlineStr">
        <is>
          <t>Produksi Harian</t>
        </is>
      </c>
      <c r="F278" s="170" t="n">
        <v>46240.24582175926</v>
      </c>
      <c r="G278" s="13" t="inlineStr">
        <is>
          <t>FREE</t>
        </is>
      </c>
      <c r="H278" s="170" t="n">
        <v>46240.58736111111</v>
      </c>
    </row>
    <row r="279">
      <c r="A279" s="13" t="inlineStr">
        <is>
          <t>MK00155</t>
        </is>
      </c>
      <c r="B279" s="13" t="n">
        <v>528000274</v>
      </c>
      <c r="C279" s="13" t="inlineStr">
        <is>
          <t>Zepri</t>
        </is>
      </c>
      <c r="D279" s="13" t="inlineStr">
        <is>
          <t>PROD</t>
        </is>
      </c>
      <c r="E279" s="13" t="inlineStr">
        <is>
          <t>Produksi Harian</t>
        </is>
      </c>
      <c r="F279" s="170" t="n">
        <v>46240.24609953703</v>
      </c>
      <c r="G279" s="13" t="inlineStr">
        <is>
          <t>FREE</t>
        </is>
      </c>
      <c r="H279" s="170" t="n">
        <v>46240.58690972222</v>
      </c>
    </row>
    <row r="280">
      <c r="A280" s="13" t="inlineStr">
        <is>
          <t>MK00141</t>
        </is>
      </c>
      <c r="B280" s="13" t="n">
        <v>528000228</v>
      </c>
      <c r="C280" s="13" t="inlineStr">
        <is>
          <t>Banyu Resmi Putri</t>
        </is>
      </c>
      <c r="D280" s="13" t="inlineStr">
        <is>
          <t>PROD</t>
        </is>
      </c>
      <c r="E280" s="13" t="inlineStr">
        <is>
          <t>Produksi Harian</t>
        </is>
      </c>
      <c r="F280" s="170" t="n">
        <v>46240.24655092593</v>
      </c>
      <c r="G280" s="13" t="inlineStr">
        <is>
          <t>FREE</t>
        </is>
      </c>
      <c r="H280" s="170" t="n">
        <v>46240.58944444444</v>
      </c>
    </row>
    <row r="281">
      <c r="A281" s="13" t="inlineStr">
        <is>
          <t>MK00150</t>
        </is>
      </c>
      <c r="B281" s="13" t="n">
        <v>528000290</v>
      </c>
      <c r="C281" s="13" t="inlineStr">
        <is>
          <t>Eval Pranata</t>
        </is>
      </c>
      <c r="D281" s="13" t="inlineStr">
        <is>
          <t>PROD</t>
        </is>
      </c>
      <c r="E281" s="13" t="inlineStr">
        <is>
          <t>Produksi Harian</t>
        </is>
      </c>
      <c r="F281" s="170" t="n">
        <v>46240.25107638889</v>
      </c>
      <c r="G281" s="13" t="inlineStr">
        <is>
          <t>FREE</t>
        </is>
      </c>
      <c r="H281" s="170" t="n">
        <v>46240.58674768519</v>
      </c>
    </row>
    <row r="282">
      <c r="A282" s="13" t="inlineStr">
        <is>
          <t>MK00181</t>
        </is>
      </c>
      <c r="B282" s="13" t="n">
        <v>528000282</v>
      </c>
      <c r="C282" s="13" t="inlineStr">
        <is>
          <t>Defa Desfiana</t>
        </is>
      </c>
      <c r="D282" s="13" t="inlineStr">
        <is>
          <t>PROD</t>
        </is>
      </c>
      <c r="E282" s="13" t="inlineStr">
        <is>
          <t>Produksi Harian</t>
        </is>
      </c>
      <c r="F282" s="170" t="n">
        <v>46240.31527777778</v>
      </c>
      <c r="G282" s="13" t="inlineStr">
        <is>
          <t>FREE</t>
        </is>
      </c>
      <c r="H282" s="170" t="n">
        <v>46240.66884259259</v>
      </c>
    </row>
    <row r="283">
      <c r="A283" s="13" t="inlineStr">
        <is>
          <t>MK00209</t>
        </is>
      </c>
      <c r="B283" s="13" t="n">
        <v>528000265</v>
      </c>
      <c r="C283" s="13" t="inlineStr">
        <is>
          <t>Muhammad Haerul Rozikin</t>
        </is>
      </c>
      <c r="D283" s="13" t="inlineStr">
        <is>
          <t>LOG</t>
        </is>
      </c>
      <c r="E283" s="13" t="inlineStr">
        <is>
          <t>WRM Harian</t>
        </is>
      </c>
      <c r="F283" s="170" t="n">
        <v>46240.32</v>
      </c>
      <c r="G283" s="13" t="inlineStr">
        <is>
          <t>FREE</t>
        </is>
      </c>
      <c r="H283" s="170" t="n">
        <v>46240.67244212963</v>
      </c>
    </row>
    <row r="284">
      <c r="A284" s="13" t="inlineStr">
        <is>
          <t>MK00154</t>
        </is>
      </c>
      <c r="B284" s="13" t="n">
        <v>528000351</v>
      </c>
      <c r="C284" s="13" t="inlineStr">
        <is>
          <t>Mulyana</t>
        </is>
      </c>
      <c r="D284" s="13" t="inlineStr">
        <is>
          <t>PROD</t>
        </is>
      </c>
      <c r="E284" s="13" t="inlineStr">
        <is>
          <t>Produksi Harian</t>
        </is>
      </c>
      <c r="F284" s="170" t="n">
        <v>46240.32302083333</v>
      </c>
      <c r="G284" s="13" t="inlineStr">
        <is>
          <t>FREE</t>
        </is>
      </c>
      <c r="H284" s="170" t="n">
        <v>46240.66962962963</v>
      </c>
    </row>
    <row r="285">
      <c r="A285" s="13" t="inlineStr">
        <is>
          <t>MK00113</t>
        </is>
      </c>
      <c r="B285" s="13" t="n">
        <v>528000055</v>
      </c>
      <c r="C285" s="13" t="inlineStr">
        <is>
          <t>Dika Prasetya</t>
        </is>
      </c>
      <c r="D285" s="13" t="inlineStr">
        <is>
          <t>LOG</t>
        </is>
      </c>
      <c r="E285" s="13" t="inlineStr">
        <is>
          <t>WRM Harian</t>
        </is>
      </c>
      <c r="F285" s="170" t="n">
        <v>46240.32719907408</v>
      </c>
      <c r="G285" s="13" t="inlineStr">
        <is>
          <t>FREE</t>
        </is>
      </c>
      <c r="H285" s="170" t="n">
        <v>46240.67216435185</v>
      </c>
    </row>
    <row r="286">
      <c r="A286" s="13" t="inlineStr">
        <is>
          <t>MK00136</t>
        </is>
      </c>
      <c r="B286" s="13" t="n">
        <v>528000287</v>
      </c>
      <c r="C286" s="13" t="inlineStr">
        <is>
          <t>Muhamad Angga Ramdani</t>
        </is>
      </c>
      <c r="D286" s="13" t="inlineStr">
        <is>
          <t>PROD</t>
        </is>
      </c>
      <c r="E286" s="13" t="inlineStr">
        <is>
          <t>Produksi Harian</t>
        </is>
      </c>
      <c r="F286" s="170" t="n">
        <v>46240.32809027778</v>
      </c>
      <c r="G286" s="13" t="inlineStr">
        <is>
          <t>FREE</t>
        </is>
      </c>
      <c r="H286" s="170" t="n">
        <v>46240.6709375</v>
      </c>
    </row>
    <row r="287">
      <c r="A287" s="13" t="inlineStr">
        <is>
          <t>MK00249</t>
        </is>
      </c>
      <c r="B287" s="13" t="n">
        <v>528000349</v>
      </c>
      <c r="C287" s="13" t="inlineStr">
        <is>
          <t>Anas Abdul Fatah</t>
        </is>
      </c>
      <c r="D287" s="13" t="inlineStr">
        <is>
          <t>LOG</t>
        </is>
      </c>
      <c r="E287" s="13" t="inlineStr">
        <is>
          <t>WFG Harian</t>
        </is>
      </c>
      <c r="F287" s="170" t="n">
        <v>46240.32879629629</v>
      </c>
      <c r="G287" s="13" t="inlineStr">
        <is>
          <t>FREE</t>
        </is>
      </c>
      <c r="H287" s="170" t="n">
        <v>46240.67515046296</v>
      </c>
    </row>
    <row r="288">
      <c r="A288" s="13" t="inlineStr">
        <is>
          <t>MK0085</t>
        </is>
      </c>
      <c r="B288" s="13" t="n">
        <v>528000267</v>
      </c>
      <c r="C288" s="13" t="inlineStr">
        <is>
          <t>Bagas Patulloh</t>
        </is>
      </c>
      <c r="D288" s="13" t="inlineStr">
        <is>
          <t>LOG</t>
        </is>
      </c>
      <c r="E288" s="13" t="inlineStr">
        <is>
          <t>WRM Harian</t>
        </is>
      </c>
      <c r="F288" s="170" t="n">
        <v>46240.33135416666</v>
      </c>
      <c r="G288" s="13" t="inlineStr">
        <is>
          <t>FREE</t>
        </is>
      </c>
      <c r="H288" s="170" t="n">
        <v>46240.33375</v>
      </c>
    </row>
    <row r="289">
      <c r="A289" s="13" t="inlineStr">
        <is>
          <t>MK00151</t>
        </is>
      </c>
      <c r="B289" s="13" t="n">
        <v>528000273</v>
      </c>
      <c r="C289" s="13" t="inlineStr">
        <is>
          <t>Asep Mulyana</t>
        </is>
      </c>
      <c r="D289" s="13" t="inlineStr">
        <is>
          <t>PROD</t>
        </is>
      </c>
      <c r="E289" s="13" t="inlineStr">
        <is>
          <t>Produksi Harian</t>
        </is>
      </c>
      <c r="F289" s="170" t="n">
        <v>46240.33171296296</v>
      </c>
      <c r="G289" s="13" t="inlineStr">
        <is>
          <t>FREE</t>
        </is>
      </c>
      <c r="H289" s="170" t="n">
        <v>46240.67321759259</v>
      </c>
    </row>
    <row r="290">
      <c r="A290" s="13" t="inlineStr">
        <is>
          <t>MK00158</t>
        </is>
      </c>
      <c r="B290" s="13" t="n">
        <v>528000267</v>
      </c>
      <c r="C290" s="13" t="inlineStr">
        <is>
          <t>Bagas Patulloh</t>
        </is>
      </c>
      <c r="D290" s="13" t="inlineStr">
        <is>
          <t>LOG</t>
        </is>
      </c>
      <c r="E290" s="13" t="inlineStr">
        <is>
          <t>WRM Harian</t>
        </is>
      </c>
      <c r="F290" s="170" t="n">
        <v>46240.33393518518</v>
      </c>
      <c r="G290" s="13" t="inlineStr">
        <is>
          <t>FREE</t>
        </is>
      </c>
      <c r="H290" s="170" t="n">
        <v>46240.66914351852</v>
      </c>
    </row>
    <row r="291">
      <c r="A291" s="13" t="inlineStr">
        <is>
          <t>MK00192</t>
        </is>
      </c>
      <c r="B291" s="13" t="n">
        <v>528000292</v>
      </c>
      <c r="C291" s="13" t="inlineStr">
        <is>
          <t>Aditia Nugraha</t>
        </is>
      </c>
      <c r="D291" s="13" t="inlineStr">
        <is>
          <t>PROD</t>
        </is>
      </c>
      <c r="E291" s="13" t="inlineStr">
        <is>
          <t>Produksi Harian</t>
        </is>
      </c>
      <c r="F291" s="170" t="n">
        <v>46240.35828703704</v>
      </c>
      <c r="G291" s="13" t="inlineStr">
        <is>
          <t>FREE</t>
        </is>
      </c>
      <c r="H291" s="170" t="n">
        <v>46240.71185185185</v>
      </c>
    </row>
    <row r="292">
      <c r="A292" s="13" t="inlineStr">
        <is>
          <t>MK00212</t>
        </is>
      </c>
      <c r="B292" s="13" t="n">
        <v>528000132</v>
      </c>
      <c r="C292" s="13" t="inlineStr">
        <is>
          <t>Giopani</t>
        </is>
      </c>
      <c r="D292" s="13" t="inlineStr">
        <is>
          <t>LOG</t>
        </is>
      </c>
      <c r="E292" s="13" t="inlineStr">
        <is>
          <t>WRM Harian</t>
        </is>
      </c>
      <c r="F292" s="170" t="n">
        <v>46240.36986111111</v>
      </c>
      <c r="G292" s="13" t="inlineStr">
        <is>
          <t>FREE</t>
        </is>
      </c>
      <c r="H292" s="170" t="n">
        <v>46240.87806712963</v>
      </c>
    </row>
    <row r="293">
      <c r="A293" s="13" t="inlineStr">
        <is>
          <t>MK00085</t>
        </is>
      </c>
      <c r="B293" s="13" t="n">
        <v>528000203</v>
      </c>
      <c r="C293" s="13" t="inlineStr">
        <is>
          <t>Yudha Ramdhan Putra</t>
        </is>
      </c>
      <c r="D293" s="13" t="inlineStr">
        <is>
          <t>ENG</t>
        </is>
      </c>
      <c r="E293" s="13" t="inlineStr">
        <is>
          <t>Engineering Harian</t>
        </is>
      </c>
      <c r="F293" s="170" t="n">
        <v>46240.37284722222</v>
      </c>
      <c r="G293" s="13" t="inlineStr">
        <is>
          <t>FREE</t>
        </is>
      </c>
      <c r="H293" s="170" t="n">
        <v>46240.71229166666</v>
      </c>
    </row>
    <row r="294">
      <c r="A294" s="13" t="inlineStr">
        <is>
          <t>MK00118</t>
        </is>
      </c>
      <c r="B294" s="13" t="n">
        <v>528000232</v>
      </c>
      <c r="C294" s="13" t="inlineStr">
        <is>
          <t>Agung Aji Suhada</t>
        </is>
      </c>
      <c r="D294" s="13" t="inlineStr">
        <is>
          <t>LOG</t>
        </is>
      </c>
      <c r="E294" s="13" t="inlineStr">
        <is>
          <t>WRM Harian</t>
        </is>
      </c>
      <c r="F294" s="170" t="n">
        <v>46240.37415509259</v>
      </c>
      <c r="G294" s="13" t="inlineStr">
        <is>
          <t>FREE</t>
        </is>
      </c>
      <c r="H294" s="170" t="n">
        <v>46240.71127314815</v>
      </c>
    </row>
    <row r="295">
      <c r="A295" s="13" t="inlineStr">
        <is>
          <t>MK00205</t>
        </is>
      </c>
      <c r="B295" s="13" t="n">
        <v>528000348</v>
      </c>
      <c r="C295" s="13" t="inlineStr">
        <is>
          <t>Saepuloh Ardiansah</t>
        </is>
      </c>
      <c r="D295" s="13" t="inlineStr">
        <is>
          <t>LOG</t>
        </is>
      </c>
      <c r="E295" s="13" t="inlineStr">
        <is>
          <t>WRM Harian</t>
        </is>
      </c>
      <c r="F295" s="170" t="n">
        <v>46240.37738425926</v>
      </c>
      <c r="G295" s="13" t="inlineStr">
        <is>
          <t>FREE</t>
        </is>
      </c>
      <c r="H295" s="170" t="n">
        <v>46240.87668981482</v>
      </c>
    </row>
    <row r="296">
      <c r="A296" s="13" t="inlineStr">
        <is>
          <t>MK00116</t>
        </is>
      </c>
      <c r="B296" s="13" t="n">
        <v>528000358</v>
      </c>
      <c r="C296" s="13" t="inlineStr">
        <is>
          <t>Lulu Agustin</t>
        </is>
      </c>
      <c r="D296" s="13" t="inlineStr">
        <is>
          <t>PROD</t>
        </is>
      </c>
      <c r="E296" s="13" t="inlineStr">
        <is>
          <t>Produksi Harian</t>
        </is>
      </c>
      <c r="F296" s="170" t="n">
        <v>46240.56295138889</v>
      </c>
      <c r="G296" s="13" t="inlineStr">
        <is>
          <t>FREE</t>
        </is>
      </c>
      <c r="H296" s="170" t="n">
        <v>46240.91895833334</v>
      </c>
    </row>
    <row r="297">
      <c r="A297" s="13" t="inlineStr">
        <is>
          <t>MK00126</t>
        </is>
      </c>
      <c r="B297" s="13" t="n">
        <v>528000195</v>
      </c>
      <c r="C297" s="13" t="inlineStr">
        <is>
          <t>Rahma Sariwati</t>
        </is>
      </c>
      <c r="D297" s="13" t="inlineStr">
        <is>
          <t>PROD</t>
        </is>
      </c>
      <c r="E297" s="13" t="inlineStr">
        <is>
          <t>Produksi Harian</t>
        </is>
      </c>
      <c r="F297" s="170" t="n">
        <v>46240.56387731482</v>
      </c>
      <c r="G297" s="13" t="inlineStr">
        <is>
          <t>FREE</t>
        </is>
      </c>
      <c r="H297" s="170" t="n">
        <v>46240.91752314815</v>
      </c>
    </row>
    <row r="298">
      <c r="A298" s="13" t="inlineStr">
        <is>
          <t>MK00138</t>
        </is>
      </c>
      <c r="B298" s="13" t="n">
        <v>528000262</v>
      </c>
      <c r="C298" s="13" t="inlineStr">
        <is>
          <t>Ndari Dwiwanti</t>
        </is>
      </c>
      <c r="D298" s="13" t="inlineStr">
        <is>
          <t>PROD</t>
        </is>
      </c>
      <c r="E298" s="13" t="inlineStr">
        <is>
          <t>Produksi Harian</t>
        </is>
      </c>
      <c r="F298" s="170" t="n">
        <v>46240.56490740741</v>
      </c>
      <c r="G298" s="13" t="inlineStr">
        <is>
          <t>FREE</t>
        </is>
      </c>
      <c r="H298" s="170" t="n">
        <v>46240.91827546297</v>
      </c>
    </row>
    <row r="299">
      <c r="A299" s="13" t="inlineStr">
        <is>
          <t>MK00082</t>
        </is>
      </c>
      <c r="B299" s="13" t="n">
        <v>528000015</v>
      </c>
      <c r="C299" s="13" t="inlineStr">
        <is>
          <t>Erwin</t>
        </is>
      </c>
      <c r="D299" s="13" t="inlineStr">
        <is>
          <t>LOG</t>
        </is>
      </c>
      <c r="E299" s="13" t="inlineStr">
        <is>
          <t>WRM Harian</t>
        </is>
      </c>
      <c r="F299" s="170" t="n">
        <v>46240.65806712963</v>
      </c>
      <c r="G299" s="13" t="inlineStr">
        <is>
          <t>FREE</t>
        </is>
      </c>
      <c r="H299" s="170" t="n">
        <v>46271.00100694445</v>
      </c>
    </row>
    <row r="300">
      <c r="A300" s="13" t="inlineStr">
        <is>
          <t>MK00213</t>
        </is>
      </c>
      <c r="B300" s="13" t="n">
        <v>528000144</v>
      </c>
      <c r="C300" s="13" t="inlineStr">
        <is>
          <t>Jodi Hanafi</t>
        </is>
      </c>
      <c r="D300" s="13" t="inlineStr">
        <is>
          <t>LOG</t>
        </is>
      </c>
      <c r="E300" s="13" t="inlineStr">
        <is>
          <t>WRM Harian</t>
        </is>
      </c>
      <c r="F300" s="170" t="n">
        <v>46240.66358796296</v>
      </c>
      <c r="G300" s="13" t="inlineStr">
        <is>
          <t>FREE</t>
        </is>
      </c>
      <c r="H300" s="170" t="n">
        <v>46271.00224537037</v>
      </c>
    </row>
    <row r="301">
      <c r="A301" s="13" t="inlineStr">
        <is>
          <t>MK00186</t>
        </is>
      </c>
      <c r="B301" s="13" t="n">
        <v>528000149</v>
      </c>
      <c r="C301" s="13" t="inlineStr">
        <is>
          <t>Tio Fernanda</t>
        </is>
      </c>
      <c r="D301" s="13" t="inlineStr">
        <is>
          <t>LOG</t>
        </is>
      </c>
      <c r="E301" s="13" t="inlineStr">
        <is>
          <t>WRM Harian</t>
        </is>
      </c>
      <c r="F301" s="170" t="n">
        <v>46240.66416666667</v>
      </c>
      <c r="G301" s="13" t="inlineStr">
        <is>
          <t>FREE</t>
        </is>
      </c>
      <c r="H301" s="170" t="n">
        <v>46271.0015625</v>
      </c>
    </row>
    <row r="302">
      <c r="A302" s="13" t="inlineStr">
        <is>
          <t>MK00145</t>
        </is>
      </c>
      <c r="B302" s="13" t="n">
        <v>628000061</v>
      </c>
      <c r="C302" s="13" t="inlineStr">
        <is>
          <t>Nayla Fadillah Exwantoro</t>
        </is>
      </c>
      <c r="D302" s="13" t="inlineStr">
        <is>
          <t>PROD</t>
        </is>
      </c>
      <c r="E302" s="13" t="inlineStr">
        <is>
          <t>Produksi Borongan</t>
        </is>
      </c>
      <c r="F302" s="170" t="n">
        <v>46240.87755787037</v>
      </c>
      <c r="G302" s="13" t="inlineStr">
        <is>
          <t>FREE</t>
        </is>
      </c>
      <c r="H302" s="170" t="n">
        <v>46240.87907407407</v>
      </c>
    </row>
    <row r="303">
      <c r="A303" s="13" t="inlineStr">
        <is>
          <t>MK00145</t>
        </is>
      </c>
      <c r="B303" s="13" t="n">
        <v>628000061</v>
      </c>
      <c r="C303" s="13" t="inlineStr">
        <is>
          <t>Nayla Fadillah Exwantoro</t>
        </is>
      </c>
      <c r="D303" s="13" t="inlineStr">
        <is>
          <t>PROD</t>
        </is>
      </c>
      <c r="E303" s="13" t="inlineStr">
        <is>
          <t>Produksi Borongan</t>
        </is>
      </c>
      <c r="F303" s="170" t="n">
        <v>46240.8792824074</v>
      </c>
      <c r="G303" s="13" t="inlineStr">
        <is>
          <t>FREE</t>
        </is>
      </c>
      <c r="H303" s="170" t="n">
        <v>46271.87600694445</v>
      </c>
    </row>
    <row r="304">
      <c r="A304" s="13" t="inlineStr">
        <is>
          <t>MK00202</t>
        </is>
      </c>
      <c r="B304" s="13" t="n">
        <v>528000098</v>
      </c>
      <c r="C304" s="13" t="inlineStr">
        <is>
          <t>Edi Junaedi</t>
        </is>
      </c>
      <c r="D304" s="13" t="inlineStr">
        <is>
          <t>PROD</t>
        </is>
      </c>
      <c r="E304" s="13" t="inlineStr">
        <is>
          <t>Produksi Harian</t>
        </is>
      </c>
      <c r="F304" s="170" t="n">
        <v>46240.89329861111</v>
      </c>
      <c r="G304" s="13" t="inlineStr">
        <is>
          <t>FREE</t>
        </is>
      </c>
      <c r="H304" s="170" t="n">
        <v>46271.25460648148</v>
      </c>
    </row>
    <row r="305">
      <c r="A305" s="13" t="inlineStr">
        <is>
          <t>MK0093</t>
        </is>
      </c>
      <c r="B305" s="13" t="n">
        <v>528000305</v>
      </c>
      <c r="C305" s="13" t="inlineStr">
        <is>
          <t>Puji Puspita</t>
        </is>
      </c>
      <c r="D305" s="13" t="inlineStr">
        <is>
          <t>PROD</t>
        </is>
      </c>
      <c r="E305" s="13" t="inlineStr">
        <is>
          <t>Produksi Harian</t>
        </is>
      </c>
      <c r="F305" s="170" t="n">
        <v>46240.90296296297</v>
      </c>
      <c r="G305" s="13" t="inlineStr">
        <is>
          <t>FREE</t>
        </is>
      </c>
      <c r="H305" s="170" t="n">
        <v>46271.25545138889</v>
      </c>
    </row>
    <row r="306">
      <c r="A306" s="13" t="inlineStr">
        <is>
          <t>MK00151</t>
        </is>
      </c>
      <c r="B306" s="13" t="n">
        <v>528000299</v>
      </c>
      <c r="C306" s="13" t="inlineStr">
        <is>
          <t>Siti Nurjanah</t>
        </is>
      </c>
      <c r="D306" s="13" t="inlineStr">
        <is>
          <t>PROD</t>
        </is>
      </c>
      <c r="E306" s="13" t="inlineStr">
        <is>
          <t>Produksi Harian</t>
        </is>
      </c>
      <c r="F306" s="170" t="n">
        <v>46240.90476851852</v>
      </c>
      <c r="G306" s="13" t="inlineStr">
        <is>
          <t>FREE</t>
        </is>
      </c>
      <c r="H306" s="170" t="n">
        <v>46271.25447916667</v>
      </c>
    </row>
    <row r="307">
      <c r="A307" s="13" t="inlineStr">
        <is>
          <t>MK00230</t>
        </is>
      </c>
      <c r="B307" s="13" t="n">
        <v>528000270</v>
      </c>
      <c r="C307" s="13" t="inlineStr">
        <is>
          <t>Febri Najmudin</t>
        </is>
      </c>
      <c r="D307" s="13" t="inlineStr">
        <is>
          <t>LOG</t>
        </is>
      </c>
      <c r="E307" s="13" t="inlineStr">
        <is>
          <t>WRM Harian</t>
        </is>
      </c>
      <c r="F307" s="170" t="n">
        <v>46240.90716435185</v>
      </c>
      <c r="G307" s="13" t="inlineStr">
        <is>
          <t>FREE</t>
        </is>
      </c>
      <c r="H307" s="170" t="n">
        <v>46271.27217592593</v>
      </c>
    </row>
    <row r="308">
      <c r="A308" s="13" t="inlineStr">
        <is>
          <t>MK0085</t>
        </is>
      </c>
      <c r="B308" s="13" t="n">
        <v>528000302</v>
      </c>
      <c r="C308" s="13" t="inlineStr">
        <is>
          <t>Henkey gumilar</t>
        </is>
      </c>
      <c r="D308" s="13" t="inlineStr">
        <is>
          <t>PROD</t>
        </is>
      </c>
      <c r="E308" s="13" t="inlineStr">
        <is>
          <t>Produksi Harian</t>
        </is>
      </c>
      <c r="F308" s="170" t="n">
        <v>46240.90824074074</v>
      </c>
      <c r="G308" s="13" t="inlineStr">
        <is>
          <t>FREE</t>
        </is>
      </c>
      <c r="H308" s="170" t="n">
        <v>46271.25835648148</v>
      </c>
    </row>
    <row r="309">
      <c r="A309" s="13" t="inlineStr">
        <is>
          <t>MK00138</t>
        </is>
      </c>
      <c r="B309" s="13" t="n">
        <v>528000201</v>
      </c>
      <c r="C309" s="13" t="inlineStr">
        <is>
          <t>Zahwa Amelia Choerunissa</t>
        </is>
      </c>
      <c r="D309" s="13" t="inlineStr">
        <is>
          <t>PROD</t>
        </is>
      </c>
      <c r="E309" s="13" t="inlineStr">
        <is>
          <t>Produksi Harian</t>
        </is>
      </c>
      <c r="F309" s="170" t="n">
        <v>46271.23137731481</v>
      </c>
      <c r="G309" s="13" t="inlineStr">
        <is>
          <t>FREE</t>
        </is>
      </c>
      <c r="H309" s="170" t="n">
        <v>46271.58755787037</v>
      </c>
    </row>
    <row r="310">
      <c r="A310" s="13" t="inlineStr">
        <is>
          <t>MK00055</t>
        </is>
      </c>
      <c r="B310" s="13" t="n">
        <v>528000212</v>
      </c>
      <c r="C310" s="13" t="inlineStr">
        <is>
          <t>Rizal Fauzi</t>
        </is>
      </c>
      <c r="D310" s="13" t="inlineStr">
        <is>
          <t>PROD</t>
        </is>
      </c>
      <c r="E310" s="13" t="inlineStr">
        <is>
          <t>Produksi Harian</t>
        </is>
      </c>
      <c r="F310" s="170" t="n">
        <v>46271.2314699074</v>
      </c>
      <c r="G310" s="13" t="inlineStr">
        <is>
          <t>FREE</t>
        </is>
      </c>
      <c r="H310" s="170" t="n">
        <v>46271.61394675926</v>
      </c>
    </row>
    <row r="311">
      <c r="A311" s="13" t="inlineStr">
        <is>
          <t>MK00082</t>
        </is>
      </c>
      <c r="B311" s="13" t="n">
        <v>528000099</v>
      </c>
      <c r="C311" s="13" t="inlineStr">
        <is>
          <t>Siti Nurawaliah</t>
        </is>
      </c>
      <c r="D311" s="13" t="inlineStr">
        <is>
          <t>PROD</t>
        </is>
      </c>
      <c r="E311" s="13" t="inlineStr">
        <is>
          <t>Produksi Harian</t>
        </is>
      </c>
      <c r="F311" s="170" t="n">
        <v>46271.23177083334</v>
      </c>
      <c r="G311" s="13" t="inlineStr">
        <is>
          <t>FREE</t>
        </is>
      </c>
      <c r="H311" s="170" t="n">
        <v>46271.588125</v>
      </c>
    </row>
    <row r="312">
      <c r="A312" s="13" t="inlineStr">
        <is>
          <t>MK00046</t>
        </is>
      </c>
      <c r="B312" s="13" t="n">
        <v>528000286</v>
      </c>
      <c r="C312" s="13" t="inlineStr">
        <is>
          <t>Imelda Amelia</t>
        </is>
      </c>
      <c r="D312" s="13" t="inlineStr">
        <is>
          <t>PROD</t>
        </is>
      </c>
      <c r="E312" s="13" t="inlineStr">
        <is>
          <t>Produksi Harian</t>
        </is>
      </c>
      <c r="F312" s="170" t="n">
        <v>46271.23818287037</v>
      </c>
      <c r="G312" s="13" t="inlineStr">
        <is>
          <t>FREE</t>
        </is>
      </c>
      <c r="H312" s="170" t="n">
        <v>46271.58833333333</v>
      </c>
    </row>
    <row r="313">
      <c r="A313" s="13" t="inlineStr">
        <is>
          <t>MK00228</t>
        </is>
      </c>
      <c r="B313" s="13" t="n">
        <v>528000241</v>
      </c>
      <c r="C313" s="13" t="inlineStr">
        <is>
          <t>Balia Nurafif Bilah</t>
        </is>
      </c>
      <c r="D313" s="13" t="inlineStr">
        <is>
          <t>PROD</t>
        </is>
      </c>
      <c r="E313" s="13" t="inlineStr">
        <is>
          <t>Produksi Harian</t>
        </is>
      </c>
      <c r="F313" s="170" t="n">
        <v>46271.24454861111</v>
      </c>
      <c r="G313" s="13" t="inlineStr">
        <is>
          <t>FREE</t>
        </is>
      </c>
      <c r="H313" s="170" t="n">
        <v>46271.5853125</v>
      </c>
    </row>
    <row r="314">
      <c r="A314" s="13" t="inlineStr">
        <is>
          <t>MK00203</t>
        </is>
      </c>
      <c r="B314" s="13" t="n">
        <v>528000274</v>
      </c>
      <c r="C314" s="13" t="inlineStr">
        <is>
          <t>Zepri</t>
        </is>
      </c>
      <c r="D314" s="13" t="inlineStr">
        <is>
          <t>PROD</t>
        </is>
      </c>
      <c r="E314" s="13" t="inlineStr">
        <is>
          <t>Produksi Harian</t>
        </is>
      </c>
      <c r="F314" s="170" t="n">
        <v>46271.24481481482</v>
      </c>
      <c r="G314" s="13" t="inlineStr">
        <is>
          <t>FREE</t>
        </is>
      </c>
      <c r="H314" s="170" t="n">
        <v>46271.58563657408</v>
      </c>
    </row>
    <row r="315">
      <c r="A315" s="13" t="inlineStr">
        <is>
          <t>MK00221</t>
        </is>
      </c>
      <c r="B315" s="13" t="n">
        <v>528000244</v>
      </c>
      <c r="C315" s="13" t="inlineStr">
        <is>
          <t>Rodian Rifai</t>
        </is>
      </c>
      <c r="D315" s="13" t="inlineStr">
        <is>
          <t>PROD</t>
        </is>
      </c>
      <c r="E315" s="13" t="inlineStr">
        <is>
          <t>Produksi Harian</t>
        </is>
      </c>
      <c r="F315" s="170" t="n">
        <v>46271.24502314815</v>
      </c>
      <c r="G315" s="13" t="inlineStr">
        <is>
          <t>FREE</t>
        </is>
      </c>
      <c r="H315" s="170" t="n">
        <v>46271.6078125</v>
      </c>
    </row>
    <row r="316">
      <c r="A316" s="13" t="inlineStr">
        <is>
          <t>MK00116</t>
        </is>
      </c>
      <c r="B316" s="13" t="n">
        <v>528000290</v>
      </c>
      <c r="C316" s="13" t="inlineStr">
        <is>
          <t>Eval Pranata</t>
        </is>
      </c>
      <c r="D316" s="13" t="inlineStr">
        <is>
          <t>PROD</t>
        </is>
      </c>
      <c r="E316" s="13" t="inlineStr">
        <is>
          <t>Produksi Harian</t>
        </is>
      </c>
      <c r="F316" s="170" t="n">
        <v>46271.24577546296</v>
      </c>
      <c r="G316" s="13" t="inlineStr">
        <is>
          <t>FREE</t>
        </is>
      </c>
      <c r="H316" s="170" t="n">
        <v>46271.58575231482</v>
      </c>
    </row>
    <row r="317">
      <c r="A317" s="13" t="inlineStr">
        <is>
          <t>MK00230</t>
        </is>
      </c>
      <c r="B317" s="13" t="n">
        <v>528000282</v>
      </c>
      <c r="C317" s="13" t="inlineStr">
        <is>
          <t>Defa Desfiana</t>
        </is>
      </c>
      <c r="D317" s="13" t="inlineStr">
        <is>
          <t>PROD</t>
        </is>
      </c>
      <c r="E317" s="13" t="inlineStr">
        <is>
          <t>Produksi Harian</t>
        </is>
      </c>
      <c r="F317" s="170" t="n">
        <v>46271.31579861111</v>
      </c>
      <c r="G317" s="13" t="inlineStr">
        <is>
          <t>FREE</t>
        </is>
      </c>
      <c r="H317" s="170" t="n">
        <v>46271.66820601852</v>
      </c>
    </row>
    <row r="318">
      <c r="A318" s="13" t="inlineStr">
        <is>
          <t>MK00249</t>
        </is>
      </c>
      <c r="B318" s="13" t="n">
        <v>528000349</v>
      </c>
      <c r="C318" s="13" t="inlineStr">
        <is>
          <t>Anas Abdul Fatah</t>
        </is>
      </c>
      <c r="D318" s="13" t="inlineStr">
        <is>
          <t>LOG</t>
        </is>
      </c>
      <c r="E318" s="13" t="inlineStr">
        <is>
          <t>WFG Harian</t>
        </is>
      </c>
      <c r="F318" s="170" t="n">
        <v>46271.32657407408</v>
      </c>
      <c r="G318" s="13" t="inlineStr">
        <is>
          <t>FREE</t>
        </is>
      </c>
      <c r="H318" s="170" t="n">
        <v>46271.67560185185</v>
      </c>
    </row>
    <row r="319">
      <c r="A319" s="13" t="inlineStr">
        <is>
          <t>MK00151</t>
        </is>
      </c>
      <c r="B319" s="13" t="n">
        <v>528000265</v>
      </c>
      <c r="C319" s="13" t="inlineStr">
        <is>
          <t>Muhammad Haerul Rozikin</t>
        </is>
      </c>
      <c r="D319" s="13" t="inlineStr">
        <is>
          <t>LOG</t>
        </is>
      </c>
      <c r="E319" s="13" t="inlineStr">
        <is>
          <t>WRM Harian</t>
        </is>
      </c>
      <c r="F319" s="170" t="n">
        <v>46271.32670138889</v>
      </c>
      <c r="G319" s="13" t="inlineStr">
        <is>
          <t>FREE</t>
        </is>
      </c>
      <c r="H319" s="170" t="n">
        <v>46271.66802083333</v>
      </c>
    </row>
    <row r="320">
      <c r="A320" s="13" t="inlineStr">
        <is>
          <t>MK00141</t>
        </is>
      </c>
      <c r="B320" s="13" t="n">
        <v>528000055</v>
      </c>
      <c r="C320" s="13" t="inlineStr">
        <is>
          <t>Dika Prasetya</t>
        </is>
      </c>
      <c r="D320" s="13" t="inlineStr">
        <is>
          <t>LOG</t>
        </is>
      </c>
      <c r="E320" s="13" t="inlineStr">
        <is>
          <t>WRM Harian</t>
        </is>
      </c>
      <c r="F320" s="170" t="n">
        <v>46271.32743055555</v>
      </c>
      <c r="G320" s="13" t="inlineStr">
        <is>
          <t>FREE</t>
        </is>
      </c>
      <c r="H320" s="170" t="n">
        <v>46271.67086805555</v>
      </c>
    </row>
    <row r="321">
      <c r="A321" s="13" t="inlineStr">
        <is>
          <t>MK00200</t>
        </is>
      </c>
      <c r="B321" s="13" t="n">
        <v>528000287</v>
      </c>
      <c r="C321" s="13" t="inlineStr">
        <is>
          <t>Muhamad Angga Ramdani</t>
        </is>
      </c>
      <c r="D321" s="13" t="inlineStr">
        <is>
          <t>PROD</t>
        </is>
      </c>
      <c r="E321" s="13" t="inlineStr">
        <is>
          <t>Produksi Harian</t>
        </is>
      </c>
      <c r="F321" s="170" t="n">
        <v>46271.32862268519</v>
      </c>
      <c r="G321" s="13" t="inlineStr">
        <is>
          <t>FREE</t>
        </is>
      </c>
      <c r="H321" s="170" t="n">
        <v>46271.66913194444</v>
      </c>
    </row>
    <row r="322">
      <c r="A322" s="13" t="inlineStr">
        <is>
          <t>MK00112</t>
        </is>
      </c>
      <c r="B322" s="13" t="n">
        <v>528000273</v>
      </c>
      <c r="C322" s="13" t="inlineStr">
        <is>
          <t>Asep Mulyana</t>
        </is>
      </c>
      <c r="D322" s="13" t="inlineStr">
        <is>
          <t>PROD</t>
        </is>
      </c>
      <c r="E322" s="13" t="inlineStr">
        <is>
          <t>Produksi Harian</t>
        </is>
      </c>
      <c r="F322" s="170" t="n">
        <v>46271.32925925926</v>
      </c>
      <c r="G322" s="13" t="inlineStr">
        <is>
          <t>FREE</t>
        </is>
      </c>
      <c r="H322" s="170" t="n">
        <v>46271.67113425926</v>
      </c>
    </row>
    <row r="323">
      <c r="A323" s="13" t="inlineStr">
        <is>
          <t>MK00201</t>
        </is>
      </c>
      <c r="B323" s="13" t="n">
        <v>528000267</v>
      </c>
      <c r="C323" s="13" t="inlineStr">
        <is>
          <t>Bagas Patulloh</t>
        </is>
      </c>
      <c r="D323" s="13" t="inlineStr">
        <is>
          <t>LOG</t>
        </is>
      </c>
      <c r="E323" s="13" t="inlineStr">
        <is>
          <t>WRM Harian</t>
        </is>
      </c>
      <c r="F323" s="170" t="n">
        <v>46271.3327199074</v>
      </c>
      <c r="G323" s="13" t="inlineStr">
        <is>
          <t>FREE</t>
        </is>
      </c>
      <c r="H323" s="170" t="n">
        <v>46271.67614583333</v>
      </c>
    </row>
    <row r="324">
      <c r="A324" s="13" t="inlineStr">
        <is>
          <t>MK00205</t>
        </is>
      </c>
      <c r="B324" s="13" t="n">
        <v>528000348</v>
      </c>
      <c r="C324" s="13" t="inlineStr">
        <is>
          <t>Saepuloh Ardiansah</t>
        </is>
      </c>
      <c r="D324" s="13" t="inlineStr">
        <is>
          <t>LOG</t>
        </is>
      </c>
      <c r="E324" s="13" t="inlineStr">
        <is>
          <t>WRM Harian</t>
        </is>
      </c>
      <c r="F324" s="170" t="n">
        <v>46271.37131944444</v>
      </c>
      <c r="G324" s="13" t="inlineStr">
        <is>
          <t>FREE</t>
        </is>
      </c>
      <c r="H324" s="170" t="n">
        <v>46271.72981481482</v>
      </c>
    </row>
    <row r="325">
      <c r="A325" s="13" t="inlineStr">
        <is>
          <t>MK00113</t>
        </is>
      </c>
      <c r="B325" s="13" t="n">
        <v>528000358</v>
      </c>
      <c r="C325" s="13" t="inlineStr">
        <is>
          <t>Lulu Agustin</t>
        </is>
      </c>
      <c r="D325" s="13" t="inlineStr">
        <is>
          <t>PROD</t>
        </is>
      </c>
      <c r="E325" s="13" t="inlineStr">
        <is>
          <t>Produksi Harian</t>
        </is>
      </c>
      <c r="F325" s="170" t="n">
        <v>46271.5609837963</v>
      </c>
      <c r="G325" s="13" t="inlineStr">
        <is>
          <t>FREE</t>
        </is>
      </c>
      <c r="H325" s="170" t="n">
        <v>46271.91961805556</v>
      </c>
    </row>
    <row r="326">
      <c r="A326" s="13" t="inlineStr">
        <is>
          <t>MK00158</t>
        </is>
      </c>
      <c r="B326" s="13" t="n">
        <v>528000266</v>
      </c>
      <c r="C326" s="13" t="inlineStr">
        <is>
          <t>M. Syirajatieq</t>
        </is>
      </c>
      <c r="D326" s="13" t="inlineStr">
        <is>
          <t>LOG</t>
        </is>
      </c>
      <c r="E326" s="13" t="inlineStr">
        <is>
          <t>WFG Harian</t>
        </is>
      </c>
      <c r="F326" s="170" t="n">
        <v>46271.56157407408</v>
      </c>
      <c r="G326" s="13" t="inlineStr">
        <is>
          <t>FREE</t>
        </is>
      </c>
      <c r="H326" s="170" t="n">
        <v>46271.93355324074</v>
      </c>
    </row>
    <row r="327">
      <c r="A327" s="13" t="inlineStr">
        <is>
          <t>MK00155</t>
        </is>
      </c>
      <c r="B327" s="13" t="n">
        <v>528000195</v>
      </c>
      <c r="C327" s="13" t="inlineStr">
        <is>
          <t>Rahma Sariwati</t>
        </is>
      </c>
      <c r="D327" s="13" t="inlineStr">
        <is>
          <t>PROD</t>
        </is>
      </c>
      <c r="E327" s="13" t="inlineStr">
        <is>
          <t>Produksi Harian</t>
        </is>
      </c>
      <c r="F327" s="170" t="n">
        <v>46271.5665162037</v>
      </c>
      <c r="G327" s="13" t="inlineStr">
        <is>
          <t>FREE</t>
        </is>
      </c>
      <c r="H327" s="170" t="n">
        <v>46271.92042824074</v>
      </c>
    </row>
    <row r="328">
      <c r="A328" s="13" t="inlineStr">
        <is>
          <t>MK00156</t>
        </is>
      </c>
      <c r="B328" s="13" t="n">
        <v>528000262</v>
      </c>
      <c r="C328" s="13" t="inlineStr">
        <is>
          <t>Ndari Dwiwanti</t>
        </is>
      </c>
      <c r="D328" s="13" t="inlineStr">
        <is>
          <t>PROD</t>
        </is>
      </c>
      <c r="E328" s="13" t="inlineStr">
        <is>
          <t>Produksi Harian</t>
        </is>
      </c>
      <c r="F328" s="170" t="n">
        <v>46271.56668981481</v>
      </c>
      <c r="G328" s="13" t="inlineStr">
        <is>
          <t>FREE</t>
        </is>
      </c>
      <c r="H328" s="170" t="n">
        <v>46271.91936342593</v>
      </c>
    </row>
    <row r="329">
      <c r="A329" s="13" t="inlineStr">
        <is>
          <t>MK00150</t>
        </is>
      </c>
      <c r="B329" s="13" t="n">
        <v>528000306</v>
      </c>
      <c r="C329" s="13" t="inlineStr">
        <is>
          <t>Windy Olivia</t>
        </is>
      </c>
      <c r="D329" s="13" t="inlineStr">
        <is>
          <t>PROD</t>
        </is>
      </c>
      <c r="E329" s="13" t="inlineStr">
        <is>
          <t>Produksi Harian</t>
        </is>
      </c>
      <c r="F329" s="170" t="n">
        <v>46271.56831018518</v>
      </c>
      <c r="G329" s="13" t="inlineStr">
        <is>
          <t>FREE</t>
        </is>
      </c>
      <c r="H329" s="170" t="n">
        <v>46271.92076388889</v>
      </c>
    </row>
    <row r="330">
      <c r="A330" s="13" t="inlineStr">
        <is>
          <t>MK00192</t>
        </is>
      </c>
      <c r="B330" s="13" t="n">
        <v>528000283</v>
      </c>
      <c r="C330" s="13" t="inlineStr">
        <is>
          <t>Purwanda Sugiri</t>
        </is>
      </c>
      <c r="D330" s="13" t="inlineStr">
        <is>
          <t>LOG</t>
        </is>
      </c>
      <c r="E330" s="13" t="inlineStr">
        <is>
          <t>WRM Harian</t>
        </is>
      </c>
      <c r="F330" s="170" t="n">
        <v>46271.57340277778</v>
      </c>
      <c r="G330" s="13" t="inlineStr">
        <is>
          <t>FREE</t>
        </is>
      </c>
      <c r="H330" s="170" t="n">
        <v>46271.92049768518</v>
      </c>
    </row>
    <row r="331">
      <c r="A331" s="13" t="inlineStr">
        <is>
          <t>MK00136</t>
        </is>
      </c>
      <c r="B331" s="13" t="n">
        <v>528000291</v>
      </c>
      <c r="C331" s="13" t="inlineStr">
        <is>
          <t>Andrian</t>
        </is>
      </c>
      <c r="D331" s="13" t="inlineStr">
        <is>
          <t>PROD</t>
        </is>
      </c>
      <c r="E331" s="13" t="inlineStr">
        <is>
          <t>Produksi Harian</t>
        </is>
      </c>
      <c r="F331" s="170" t="n">
        <v>46271.57538194444</v>
      </c>
      <c r="G331" s="13" t="inlineStr">
        <is>
          <t>FREE</t>
        </is>
      </c>
      <c r="H331" s="170" t="n">
        <v>46271.92070601852</v>
      </c>
    </row>
    <row r="332">
      <c r="A332" s="13" t="inlineStr">
        <is>
          <t>MK00221</t>
        </is>
      </c>
      <c r="B332" s="13" t="n">
        <v>528000015</v>
      </c>
      <c r="C332" s="13" t="inlineStr">
        <is>
          <t>Erwin</t>
        </is>
      </c>
      <c r="D332" s="13" t="inlineStr">
        <is>
          <t>LOG</t>
        </is>
      </c>
      <c r="E332" s="13" t="inlineStr">
        <is>
          <t>WRM Harian</t>
        </is>
      </c>
      <c r="F332" s="170" t="n">
        <v>46271.65190972222</v>
      </c>
      <c r="G332" s="13" t="inlineStr">
        <is>
          <t>FREE</t>
        </is>
      </c>
      <c r="H332" s="170" t="n">
        <v>46301.00209490741</v>
      </c>
    </row>
    <row r="333">
      <c r="A333" s="13" t="inlineStr">
        <is>
          <t>MK00213</t>
        </is>
      </c>
      <c r="B333" s="13" t="n">
        <v>528000144</v>
      </c>
      <c r="C333" s="13" t="inlineStr">
        <is>
          <t>Jodi Hanafi</t>
        </is>
      </c>
      <c r="D333" s="13" t="inlineStr">
        <is>
          <t>LOG</t>
        </is>
      </c>
      <c r="E333" s="13" t="inlineStr">
        <is>
          <t>WRM Harian</t>
        </is>
      </c>
      <c r="F333" s="170" t="n">
        <v>46271.65369212963</v>
      </c>
      <c r="G333" s="13" t="inlineStr">
        <is>
          <t>FREE</t>
        </is>
      </c>
      <c r="H333" s="170" t="n">
        <v>46301.00710648148</v>
      </c>
    </row>
    <row r="334">
      <c r="A334" s="13" t="inlineStr">
        <is>
          <t>MK00186</t>
        </is>
      </c>
      <c r="B334" s="13" t="n">
        <v>528000149</v>
      </c>
      <c r="C334" s="13" t="inlineStr">
        <is>
          <t>Tio Fernanda</t>
        </is>
      </c>
      <c r="D334" s="13" t="inlineStr">
        <is>
          <t>LOG</t>
        </is>
      </c>
      <c r="E334" s="13" t="inlineStr">
        <is>
          <t>WRM Harian</t>
        </is>
      </c>
      <c r="F334" s="170" t="n">
        <v>46271.66268518518</v>
      </c>
      <c r="G334" s="13" t="inlineStr">
        <is>
          <t>FREE</t>
        </is>
      </c>
      <c r="H334" s="170" t="n">
        <v>46301.00203703704</v>
      </c>
    </row>
    <row r="335">
      <c r="A335" s="13" t="inlineStr">
        <is>
          <t>MK00088</t>
        </is>
      </c>
      <c r="B335" s="13" t="n">
        <v>628000061</v>
      </c>
      <c r="C335" s="13" t="inlineStr">
        <is>
          <t>Nayla Fadillah Exwantoro</t>
        </is>
      </c>
      <c r="D335" s="13" t="inlineStr">
        <is>
          <t>PROD</t>
        </is>
      </c>
      <c r="E335" s="13" t="inlineStr">
        <is>
          <t>Produksi Borongan</t>
        </is>
      </c>
      <c r="F335" s="170" t="n">
        <v>46271.8762037037</v>
      </c>
      <c r="G335" s="13" t="inlineStr">
        <is>
          <t>FREE</t>
        </is>
      </c>
      <c r="H335" s="170" t="n">
        <v>46301.33811342593</v>
      </c>
    </row>
    <row r="336">
      <c r="A336" s="13" t="inlineStr">
        <is>
          <t>MK00204</t>
        </is>
      </c>
      <c r="B336" s="13" t="n">
        <v>528000098</v>
      </c>
      <c r="C336" s="13" t="inlineStr">
        <is>
          <t>Edi Junaedi</t>
        </is>
      </c>
      <c r="D336" s="13" t="inlineStr">
        <is>
          <t>PROD</t>
        </is>
      </c>
      <c r="E336" s="13" t="inlineStr">
        <is>
          <t>Produksi Harian</t>
        </is>
      </c>
      <c r="F336" s="170" t="n">
        <v>46271.8903125</v>
      </c>
      <c r="G336" s="13" t="inlineStr">
        <is>
          <t>FREE</t>
        </is>
      </c>
      <c r="H336" s="170" t="n">
        <v>46332.33415509259</v>
      </c>
    </row>
    <row r="337">
      <c r="A337" s="13" t="inlineStr">
        <is>
          <t>MK00200</t>
        </is>
      </c>
      <c r="B337" s="13" t="n">
        <v>628000091</v>
      </c>
      <c r="C337" s="13" t="inlineStr">
        <is>
          <t>Devita Handayani</t>
        </is>
      </c>
      <c r="D337" s="13" t="inlineStr">
        <is>
          <t>PROD</t>
        </is>
      </c>
      <c r="E337" s="13" t="inlineStr">
        <is>
          <t>Produksi Borongan</t>
        </is>
      </c>
      <c r="F337" s="170" t="n">
        <v>46271.89363425926</v>
      </c>
      <c r="G337" s="13" t="inlineStr">
        <is>
          <t>FREE</t>
        </is>
      </c>
      <c r="H337" s="170" t="n">
        <v>46301.25652777778</v>
      </c>
    </row>
    <row r="338">
      <c r="A338" s="13" t="inlineStr">
        <is>
          <t>MK0085</t>
        </is>
      </c>
      <c r="B338" s="13" t="n">
        <v>528000305</v>
      </c>
      <c r="C338" s="13" t="inlineStr">
        <is>
          <t>Puji Puspita</t>
        </is>
      </c>
      <c r="D338" s="13" t="inlineStr">
        <is>
          <t>PROD</t>
        </is>
      </c>
      <c r="E338" s="13" t="inlineStr">
        <is>
          <t>Produksi Harian</t>
        </is>
      </c>
      <c r="F338" s="170" t="n">
        <v>46271.90460648148</v>
      </c>
      <c r="G338" s="13" t="inlineStr">
        <is>
          <t>FREE</t>
        </is>
      </c>
      <c r="H338" s="170" t="n">
        <v>46301.25594907408</v>
      </c>
    </row>
    <row r="339">
      <c r="A339" s="13" t="inlineStr">
        <is>
          <t>MK00230</t>
        </is>
      </c>
      <c r="B339" s="13" t="n">
        <v>528000299</v>
      </c>
      <c r="C339" s="13" t="inlineStr">
        <is>
          <t>Siti Nurjanah</t>
        </is>
      </c>
      <c r="D339" s="13" t="inlineStr">
        <is>
          <t>PROD</t>
        </is>
      </c>
      <c r="E339" s="13" t="inlineStr">
        <is>
          <t>Produksi Harian</t>
        </is>
      </c>
      <c r="F339" s="170" t="n">
        <v>46271.90484953704</v>
      </c>
      <c r="G339" s="13" t="inlineStr">
        <is>
          <t>FREE</t>
        </is>
      </c>
      <c r="H339" s="170" t="n">
        <v>46301.25589120371</v>
      </c>
    </row>
    <row r="340">
      <c r="A340" s="13" t="inlineStr">
        <is>
          <t>MK00202</t>
        </is>
      </c>
      <c r="B340" s="13" t="n">
        <v>528000302</v>
      </c>
      <c r="C340" s="13" t="inlineStr">
        <is>
          <t>Henkey gumilar</t>
        </is>
      </c>
      <c r="D340" s="13" t="inlineStr">
        <is>
          <t>PROD</t>
        </is>
      </c>
      <c r="E340" s="13" t="inlineStr">
        <is>
          <t>Produksi Harian</t>
        </is>
      </c>
      <c r="F340" s="170" t="n">
        <v>46271.90648148148</v>
      </c>
      <c r="G340" s="13" t="inlineStr">
        <is>
          <t>FREE</t>
        </is>
      </c>
      <c r="H340" s="170" t="n">
        <v>46301.25862268519</v>
      </c>
    </row>
    <row r="341">
      <c r="A341" s="13" t="inlineStr">
        <is>
          <t>MK00211</t>
        </is>
      </c>
      <c r="B341" s="13" t="n">
        <v>528000270</v>
      </c>
      <c r="C341" s="13" t="inlineStr">
        <is>
          <t>Febri Najmudin</t>
        </is>
      </c>
      <c r="D341" s="13" t="inlineStr">
        <is>
          <t>LOG</t>
        </is>
      </c>
      <c r="E341" s="13" t="inlineStr">
        <is>
          <t>WRM Harian</t>
        </is>
      </c>
      <c r="F341" s="170" t="n">
        <v>46271.90961805556</v>
      </c>
      <c r="G341" s="13" t="inlineStr">
        <is>
          <t>FREE</t>
        </is>
      </c>
      <c r="H341" s="170" t="n">
        <v>46301.25489583334</v>
      </c>
    </row>
    <row r="342">
      <c r="A342" s="13" t="inlineStr">
        <is>
          <t>MK00150</t>
        </is>
      </c>
      <c r="B342" s="13" t="n">
        <v>528000244</v>
      </c>
      <c r="C342" s="13" t="inlineStr">
        <is>
          <t>Rodian Rifai</t>
        </is>
      </c>
      <c r="D342" s="13" t="inlineStr">
        <is>
          <t>PROD</t>
        </is>
      </c>
      <c r="E342" s="13" t="inlineStr">
        <is>
          <t>Produksi Harian</t>
        </is>
      </c>
      <c r="F342" s="170" t="n">
        <v>46301.22457175926</v>
      </c>
      <c r="G342" s="13" t="inlineStr">
        <is>
          <t>FREE</t>
        </is>
      </c>
      <c r="H342" s="170" t="n">
        <v>46301.60361111111</v>
      </c>
    </row>
    <row r="343">
      <c r="A343" s="13" t="inlineStr">
        <is>
          <t>MK00192</t>
        </is>
      </c>
      <c r="B343" s="13" t="n">
        <v>528000201</v>
      </c>
      <c r="C343" s="13" t="inlineStr">
        <is>
          <t>Zahwa Amelia Choerunissa</t>
        </is>
      </c>
      <c r="D343" s="13" t="inlineStr">
        <is>
          <t>PROD</t>
        </is>
      </c>
      <c r="E343" s="13" t="inlineStr">
        <is>
          <t>Produksi Harian</t>
        </is>
      </c>
      <c r="F343" s="170" t="n">
        <v>46301.23388888889</v>
      </c>
      <c r="G343" s="13" t="inlineStr">
        <is>
          <t>FREE</t>
        </is>
      </c>
      <c r="H343" s="170" t="n">
        <v>46301.58626157408</v>
      </c>
    </row>
    <row r="344">
      <c r="A344" s="13" t="inlineStr">
        <is>
          <t>MK00181</t>
        </is>
      </c>
      <c r="B344" s="13" t="n">
        <v>528000099</v>
      </c>
      <c r="C344" s="13" t="inlineStr">
        <is>
          <t>Siti Nurawaliah</t>
        </is>
      </c>
      <c r="D344" s="13" t="inlineStr">
        <is>
          <t>PROD</t>
        </is>
      </c>
      <c r="E344" s="13" t="inlineStr">
        <is>
          <t>Produksi Harian</t>
        </is>
      </c>
      <c r="F344" s="170" t="n">
        <v>46301.23417824074</v>
      </c>
      <c r="G344" s="13" t="inlineStr">
        <is>
          <t>FREE</t>
        </is>
      </c>
      <c r="H344" s="170" t="n">
        <v>46301.58664351852</v>
      </c>
    </row>
    <row r="345">
      <c r="A345" s="13" t="inlineStr">
        <is>
          <t>MK00091</t>
        </is>
      </c>
      <c r="B345" s="13" t="n">
        <v>528000274</v>
      </c>
      <c r="C345" s="13" t="inlineStr">
        <is>
          <t>Zepri</t>
        </is>
      </c>
      <c r="D345" s="13" t="inlineStr">
        <is>
          <t>PROD</t>
        </is>
      </c>
      <c r="E345" s="13" t="inlineStr">
        <is>
          <t>Produksi Harian</t>
        </is>
      </c>
      <c r="F345" s="170" t="n">
        <v>46301.23712962963</v>
      </c>
      <c r="G345" s="13" t="inlineStr">
        <is>
          <t>FREE</t>
        </is>
      </c>
      <c r="H345" s="170" t="n">
        <v>46196.99835648148</v>
      </c>
    </row>
    <row r="346">
      <c r="A346" s="13" t="inlineStr">
        <is>
          <t>MK00156</t>
        </is>
      </c>
      <c r="B346" s="13" t="n">
        <v>528000286</v>
      </c>
      <c r="C346" s="13" t="inlineStr">
        <is>
          <t>Imelda Amelia</t>
        </is>
      </c>
      <c r="D346" s="13" t="inlineStr">
        <is>
          <t>PROD</t>
        </is>
      </c>
      <c r="E346" s="13" t="inlineStr">
        <is>
          <t>Produksi Harian</t>
        </is>
      </c>
      <c r="F346" s="170" t="n">
        <v>46301.23903935185</v>
      </c>
      <c r="G346" s="13" t="inlineStr">
        <is>
          <t>FREE</t>
        </is>
      </c>
      <c r="H346" s="170" t="n">
        <v>46301.58657407408</v>
      </c>
    </row>
    <row r="347">
      <c r="A347" s="13" t="inlineStr">
        <is>
          <t>MK00221</t>
        </is>
      </c>
      <c r="B347" s="13" t="n">
        <v>528000282</v>
      </c>
      <c r="C347" s="13" t="inlineStr">
        <is>
          <t>Defa Desfiana</t>
        </is>
      </c>
      <c r="D347" s="13" t="inlineStr">
        <is>
          <t>PROD</t>
        </is>
      </c>
      <c r="E347" s="13" t="inlineStr">
        <is>
          <t>Produksi Harian</t>
        </is>
      </c>
      <c r="F347" s="170" t="n">
        <v>46301.24082175926</v>
      </c>
      <c r="G347" s="13" t="inlineStr">
        <is>
          <t>FREE</t>
        </is>
      </c>
      <c r="H347" s="170" t="n">
        <v>46301.59509259259</v>
      </c>
    </row>
    <row r="348">
      <c r="A348" s="13" t="inlineStr">
        <is>
          <t>MK00207</t>
        </is>
      </c>
      <c r="B348" s="13" t="n">
        <v>528000265</v>
      </c>
      <c r="C348" s="13" t="inlineStr">
        <is>
          <t>Muhammad Haerul Rozikin</t>
        </is>
      </c>
      <c r="D348" s="13" t="inlineStr">
        <is>
          <t>LOG</t>
        </is>
      </c>
      <c r="E348" s="13" t="inlineStr">
        <is>
          <t>WRM Harian</t>
        </is>
      </c>
      <c r="F348" s="170" t="n">
        <v>46301.2412962963</v>
      </c>
      <c r="G348" s="13" t="inlineStr">
        <is>
          <t>FREE</t>
        </is>
      </c>
      <c r="H348" s="170" t="n">
        <v>46301.59587962963</v>
      </c>
    </row>
    <row r="349">
      <c r="A349" s="13" t="inlineStr">
        <is>
          <t>MK00210</t>
        </is>
      </c>
      <c r="B349" s="13" t="n">
        <v>528000241</v>
      </c>
      <c r="C349" s="13" t="inlineStr">
        <is>
          <t>Balia Nurafif Bilah</t>
        </is>
      </c>
      <c r="D349" s="13" t="inlineStr">
        <is>
          <t>PROD</t>
        </is>
      </c>
      <c r="E349" s="13" t="inlineStr">
        <is>
          <t>Produksi Harian</t>
        </is>
      </c>
      <c r="F349" s="170" t="n">
        <v>46301.24590277778</v>
      </c>
      <c r="G349" s="13" t="inlineStr">
        <is>
          <t>FREE</t>
        </is>
      </c>
      <c r="H349" s="170" t="n">
        <v>46301.58553240741</v>
      </c>
    </row>
    <row r="350">
      <c r="A350" s="13" t="inlineStr">
        <is>
          <t>MK0082</t>
        </is>
      </c>
      <c r="B350" s="13" t="n">
        <v>528000290</v>
      </c>
      <c r="C350" s="13" t="inlineStr">
        <is>
          <t>Eval Pranata</t>
        </is>
      </c>
      <c r="D350" s="13" t="inlineStr">
        <is>
          <t>PROD</t>
        </is>
      </c>
      <c r="E350" s="13" t="inlineStr">
        <is>
          <t>Produksi Harian</t>
        </is>
      </c>
      <c r="F350" s="170" t="n">
        <v>46301.24981481482</v>
      </c>
      <c r="G350" s="13" t="inlineStr">
        <is>
          <t>FREE</t>
        </is>
      </c>
      <c r="H350" s="170" t="n">
        <v>46301.58494212963</v>
      </c>
    </row>
    <row r="351">
      <c r="A351" s="13" t="inlineStr">
        <is>
          <t>MK00199</t>
        </is>
      </c>
      <c r="B351" s="13" t="n">
        <v>528000349</v>
      </c>
      <c r="C351" s="13" t="inlineStr">
        <is>
          <t>Anas Abdul Fatah</t>
        </is>
      </c>
      <c r="D351" s="13" t="inlineStr">
        <is>
          <t>LOG</t>
        </is>
      </c>
      <c r="E351" s="13" t="inlineStr">
        <is>
          <t>WFG Harian</t>
        </is>
      </c>
      <c r="F351" s="170" t="n">
        <v>46301.3280787037</v>
      </c>
      <c r="G351" s="13" t="inlineStr">
        <is>
          <t>FREE</t>
        </is>
      </c>
      <c r="H351" s="170" t="n">
        <v>46301.67760416667</v>
      </c>
    </row>
    <row r="352">
      <c r="A352" s="13" t="inlineStr">
        <is>
          <t>MK00203</t>
        </is>
      </c>
      <c r="B352" s="13" t="n">
        <v>528000287</v>
      </c>
      <c r="C352" s="13" t="inlineStr">
        <is>
          <t>Muhamad Angga Ramdani</t>
        </is>
      </c>
      <c r="D352" s="13" t="inlineStr">
        <is>
          <t>PROD</t>
        </is>
      </c>
      <c r="E352" s="13" t="inlineStr">
        <is>
          <t>Produksi Harian</t>
        </is>
      </c>
      <c r="F352" s="170" t="n">
        <v>46301.32841435185</v>
      </c>
      <c r="G352" s="13" t="inlineStr">
        <is>
          <t>FREE</t>
        </is>
      </c>
      <c r="H352" s="170" t="n">
        <v>46301.66988425926</v>
      </c>
    </row>
    <row r="353">
      <c r="A353" s="13" t="inlineStr">
        <is>
          <t>MK00046</t>
        </is>
      </c>
      <c r="B353" s="13" t="n">
        <v>528000351</v>
      </c>
      <c r="C353" s="13" t="inlineStr">
        <is>
          <t>Mulyana</t>
        </is>
      </c>
      <c r="D353" s="13" t="inlineStr">
        <is>
          <t>PROD</t>
        </is>
      </c>
      <c r="E353" s="13" t="inlineStr">
        <is>
          <t>Produksi Harian</t>
        </is>
      </c>
      <c r="F353" s="170" t="n">
        <v>46301.32952546296</v>
      </c>
      <c r="G353" s="13" t="inlineStr">
        <is>
          <t>FREE</t>
        </is>
      </c>
      <c r="H353" s="170" t="n">
        <v>46301.66737268519</v>
      </c>
    </row>
    <row r="354">
      <c r="A354" s="13" t="inlineStr">
        <is>
          <t>MK00230</t>
        </is>
      </c>
      <c r="B354" s="13" t="n">
        <v>528000055</v>
      </c>
      <c r="C354" s="13" t="inlineStr">
        <is>
          <t>Dika Prasetya</t>
        </is>
      </c>
      <c r="D354" s="13" t="inlineStr">
        <is>
          <t>LOG</t>
        </is>
      </c>
      <c r="E354" s="13" t="inlineStr">
        <is>
          <t>WRM Harian</t>
        </is>
      </c>
      <c r="F354" s="170" t="n">
        <v>46301.33013888889</v>
      </c>
      <c r="G354" s="13" t="inlineStr">
        <is>
          <t>FREE</t>
        </is>
      </c>
      <c r="H354" s="170" t="n">
        <v>46301.67060185185</v>
      </c>
    </row>
    <row r="355">
      <c r="A355" s="13" t="inlineStr">
        <is>
          <t>MK00158</t>
        </is>
      </c>
      <c r="B355" s="13" t="n">
        <v>528000015</v>
      </c>
      <c r="C355" s="13" t="inlineStr">
        <is>
          <t>Erwin</t>
        </is>
      </c>
      <c r="D355" s="13" t="inlineStr">
        <is>
          <t>LOG</t>
        </is>
      </c>
      <c r="E355" s="13" t="inlineStr">
        <is>
          <t>WRM Harian</t>
        </is>
      </c>
      <c r="F355" s="170" t="n">
        <v>46301.33723379629</v>
      </c>
      <c r="G355" s="13" t="inlineStr">
        <is>
          <t>FREE</t>
        </is>
      </c>
      <c r="H355" s="170" t="n">
        <v>46332.0012037037</v>
      </c>
    </row>
    <row r="356">
      <c r="A356" s="13" t="inlineStr">
        <is>
          <t>MK00205</t>
        </is>
      </c>
      <c r="B356" s="13" t="n">
        <v>528000348</v>
      </c>
      <c r="C356" s="13" t="inlineStr">
        <is>
          <t>Saepuloh Ardiansah</t>
        </is>
      </c>
      <c r="D356" s="13" t="inlineStr">
        <is>
          <t>LOG</t>
        </is>
      </c>
      <c r="E356" s="13" t="inlineStr">
        <is>
          <t>WRM Harian</t>
        </is>
      </c>
      <c r="F356" s="170" t="n">
        <v>46301.37324074074</v>
      </c>
      <c r="G356" s="13" t="inlineStr">
        <is>
          <t>FREE</t>
        </is>
      </c>
      <c r="H356" s="170" t="n">
        <v>46301.72743055555</v>
      </c>
    </row>
    <row r="357">
      <c r="A357" s="13" t="inlineStr">
        <is>
          <t>MK00118</t>
        </is>
      </c>
      <c r="B357" s="13" t="n">
        <v>528000203</v>
      </c>
      <c r="C357" s="13" t="inlineStr">
        <is>
          <t>Yudha Ramdhan Putra</t>
        </is>
      </c>
      <c r="D357" s="13" t="inlineStr">
        <is>
          <t>ENG</t>
        </is>
      </c>
      <c r="E357" s="13" t="inlineStr">
        <is>
          <t>Engineering Harian</t>
        </is>
      </c>
      <c r="F357" s="170" t="n">
        <v>46301.38165509259</v>
      </c>
      <c r="G357" s="13" t="inlineStr">
        <is>
          <t>FREE</t>
        </is>
      </c>
      <c r="H357" s="170" t="n">
        <v>46301.70868055556</v>
      </c>
    </row>
    <row r="358">
      <c r="A358" s="13" t="inlineStr">
        <is>
          <t>MK00112</t>
        </is>
      </c>
      <c r="B358" s="13" t="n">
        <v>528000292</v>
      </c>
      <c r="C358" s="13" t="inlineStr">
        <is>
          <t>Aditia Nugraha</t>
        </is>
      </c>
      <c r="D358" s="13" t="inlineStr">
        <is>
          <t>PROD</t>
        </is>
      </c>
      <c r="E358" s="13" t="inlineStr">
        <is>
          <t>Produksi Harian</t>
        </is>
      </c>
      <c r="F358" s="170" t="n">
        <v>46301.38267361111</v>
      </c>
      <c r="G358" s="13" t="inlineStr">
        <is>
          <t>FREE</t>
        </is>
      </c>
      <c r="H358" s="170" t="n">
        <v>46301.70859953704</v>
      </c>
    </row>
    <row r="359">
      <c r="A359" s="13" t="inlineStr">
        <is>
          <t>MK00211</t>
        </is>
      </c>
      <c r="B359" s="13" t="n">
        <v>528000195</v>
      </c>
      <c r="C359" s="13" t="inlineStr">
        <is>
          <t>Rahma Sariwati</t>
        </is>
      </c>
      <c r="D359" s="13" t="inlineStr">
        <is>
          <t>PROD</t>
        </is>
      </c>
      <c r="E359" s="13" t="inlineStr">
        <is>
          <t>Produksi Harian</t>
        </is>
      </c>
      <c r="F359" s="170" t="n">
        <v>46301.55614583333</v>
      </c>
      <c r="G359" s="13" t="inlineStr">
        <is>
          <t>FREE</t>
        </is>
      </c>
      <c r="H359" s="170" t="n">
        <v>46301.91846064815</v>
      </c>
    </row>
    <row r="360">
      <c r="A360" s="13" t="inlineStr">
        <is>
          <t>MK00200</t>
        </is>
      </c>
      <c r="B360" s="13" t="n">
        <v>528000266</v>
      </c>
      <c r="C360" s="13" t="inlineStr">
        <is>
          <t>M. Syirajatieq</t>
        </is>
      </c>
      <c r="D360" s="13" t="inlineStr">
        <is>
          <t>LOG</t>
        </is>
      </c>
      <c r="E360" s="13" t="inlineStr">
        <is>
          <t>WFG Harian</t>
        </is>
      </c>
      <c r="F360" s="170" t="n">
        <v>46301.56273148148</v>
      </c>
      <c r="G360" s="13" t="inlineStr">
        <is>
          <t>FREE</t>
        </is>
      </c>
      <c r="H360" s="170" t="n">
        <v>46301.92903935185</v>
      </c>
    </row>
    <row r="361">
      <c r="A361" s="13" t="inlineStr">
        <is>
          <t>MK00249</t>
        </is>
      </c>
      <c r="B361" s="13" t="n">
        <v>528000358</v>
      </c>
      <c r="C361" s="13" t="inlineStr">
        <is>
          <t>Lulu Agustin</t>
        </is>
      </c>
      <c r="D361" s="13" t="inlineStr">
        <is>
          <t>PROD</t>
        </is>
      </c>
      <c r="E361" s="13" t="inlineStr">
        <is>
          <t>Produksi Harian</t>
        </is>
      </c>
      <c r="F361" s="170" t="n">
        <v>46301.5646875</v>
      </c>
      <c r="G361" s="13" t="inlineStr">
        <is>
          <t>FREE</t>
        </is>
      </c>
      <c r="H361" s="170" t="n">
        <v>46301.91883101852</v>
      </c>
    </row>
    <row r="362">
      <c r="A362" s="13" t="inlineStr">
        <is>
          <t>MK00088</t>
        </is>
      </c>
      <c r="B362" s="13" t="n">
        <v>528000262</v>
      </c>
      <c r="C362" s="13" t="inlineStr">
        <is>
          <t>Ndari Dwiwanti</t>
        </is>
      </c>
      <c r="D362" s="13" t="inlineStr">
        <is>
          <t>PROD</t>
        </is>
      </c>
      <c r="E362" s="13" t="inlineStr">
        <is>
          <t>Produksi Harian</t>
        </is>
      </c>
      <c r="F362" s="170" t="n">
        <v>46301.5659375</v>
      </c>
      <c r="G362" s="13" t="inlineStr">
        <is>
          <t>FREE</t>
        </is>
      </c>
      <c r="H362" s="170" t="n">
        <v>46301.91869212963</v>
      </c>
    </row>
    <row r="363">
      <c r="A363" s="13" t="inlineStr">
        <is>
          <t>MK00109</t>
        </is>
      </c>
      <c r="B363" s="13" t="n">
        <v>528000283</v>
      </c>
      <c r="C363" s="13" t="inlineStr">
        <is>
          <t>Purwanda Sugiri</t>
        </is>
      </c>
      <c r="D363" s="13" t="inlineStr">
        <is>
          <t>LOG</t>
        </is>
      </c>
      <c r="E363" s="13" t="inlineStr">
        <is>
          <t>WRM Harian</t>
        </is>
      </c>
      <c r="F363" s="170" t="n">
        <v>46301.57510416667</v>
      </c>
      <c r="G363" s="13" t="inlineStr">
        <is>
          <t>FREE</t>
        </is>
      </c>
      <c r="H363" s="170" t="n">
        <v>46301.92050925926</v>
      </c>
    </row>
    <row r="364">
      <c r="A364" s="13" t="inlineStr">
        <is>
          <t>MK00145</t>
        </is>
      </c>
      <c r="B364" s="13" t="n">
        <v>528000261</v>
      </c>
      <c r="C364" s="13" t="inlineStr">
        <is>
          <t>Ergi Ergianto</t>
        </is>
      </c>
      <c r="D364" s="13" t="inlineStr">
        <is>
          <t>HRGA</t>
        </is>
      </c>
      <c r="E364" s="13" t="inlineStr">
        <is>
          <t>GA Harian</t>
        </is>
      </c>
      <c r="F364" s="170" t="n">
        <v>46301.57603009259</v>
      </c>
      <c r="G364" s="13" t="inlineStr">
        <is>
          <t>FREE</t>
        </is>
      </c>
      <c r="H364" s="170" t="n">
        <v>46301.92001157408</v>
      </c>
    </row>
    <row r="365">
      <c r="A365" s="13" t="inlineStr">
        <is>
          <t>MK00250</t>
        </is>
      </c>
      <c r="B365" s="13" t="n">
        <v>528000291</v>
      </c>
      <c r="C365" s="13" t="inlineStr">
        <is>
          <t>Andrian</t>
        </is>
      </c>
      <c r="D365" s="13" t="inlineStr">
        <is>
          <t>PROD</t>
        </is>
      </c>
      <c r="E365" s="13" t="inlineStr">
        <is>
          <t>Produksi Harian</t>
        </is>
      </c>
      <c r="F365" s="170" t="n">
        <v>46301.576875</v>
      </c>
      <c r="G365" s="13" t="inlineStr">
        <is>
          <t>FREE</t>
        </is>
      </c>
      <c r="H365" s="170" t="n">
        <v>46301.92055555555</v>
      </c>
    </row>
    <row r="366">
      <c r="A366" s="13" t="inlineStr">
        <is>
          <t>MK00212</t>
        </is>
      </c>
      <c r="B366" s="13" t="n">
        <v>528000149</v>
      </c>
      <c r="C366" s="13" t="inlineStr">
        <is>
          <t>Tio Fernanda</t>
        </is>
      </c>
      <c r="D366" s="13" t="inlineStr">
        <is>
          <t>LOG</t>
        </is>
      </c>
      <c r="E366" s="13" t="inlineStr">
        <is>
          <t>WRM Harian</t>
        </is>
      </c>
      <c r="F366" s="170" t="n">
        <v>46301.66189814815</v>
      </c>
      <c r="G366" s="13" t="inlineStr">
        <is>
          <t>FREE</t>
        </is>
      </c>
      <c r="H366" s="170" t="n">
        <v>46332.00114583333</v>
      </c>
    </row>
    <row r="367">
      <c r="A367" s="13" t="inlineStr">
        <is>
          <t>MK00199</t>
        </is>
      </c>
      <c r="B367" s="13" t="n">
        <v>528000279</v>
      </c>
      <c r="C367" s="13" t="inlineStr">
        <is>
          <t>Mahdalena Dalfa Riani</t>
        </is>
      </c>
      <c r="D367" s="13" t="inlineStr">
        <is>
          <t>PROD</t>
        </is>
      </c>
      <c r="E367" s="13" t="inlineStr">
        <is>
          <t>Produksi Harian</t>
        </is>
      </c>
      <c r="F367" s="170" t="n">
        <v>46301.88633101852</v>
      </c>
      <c r="G367" s="13" t="inlineStr">
        <is>
          <t>FREE</t>
        </is>
      </c>
      <c r="H367" s="170" t="n">
        <v>46332.25357638889</v>
      </c>
    </row>
    <row r="368">
      <c r="A368" s="13" t="inlineStr">
        <is>
          <t>MK00221</t>
        </is>
      </c>
      <c r="B368" s="13" t="n">
        <v>528000238</v>
      </c>
      <c r="C368" s="13" t="inlineStr">
        <is>
          <t>Indah Lusiana</t>
        </is>
      </c>
      <c r="D368" s="13" t="inlineStr">
        <is>
          <t>PROD</t>
        </is>
      </c>
      <c r="E368" s="13" t="inlineStr">
        <is>
          <t>Produksi Harian</t>
        </is>
      </c>
      <c r="F368" s="170" t="n">
        <v>46301.90059027778</v>
      </c>
      <c r="G368" s="13" t="inlineStr">
        <is>
          <t>FREE</t>
        </is>
      </c>
      <c r="H368" s="170" t="n">
        <v>46332.25560185185</v>
      </c>
    </row>
    <row r="369">
      <c r="A369" s="13" t="inlineStr">
        <is>
          <t>MK00210</t>
        </is>
      </c>
      <c r="B369" s="13" t="n">
        <v>628000064</v>
      </c>
      <c r="C369" s="13" t="inlineStr">
        <is>
          <t>Silva Alypia</t>
        </is>
      </c>
      <c r="D369" s="13" t="inlineStr">
        <is>
          <t>PROD</t>
        </is>
      </c>
      <c r="E369" s="13" t="inlineStr">
        <is>
          <t>Produksi Borongan</t>
        </is>
      </c>
      <c r="F369" s="170" t="n">
        <v>46301.91195601852</v>
      </c>
      <c r="G369" s="13" t="inlineStr">
        <is>
          <t>FREE</t>
        </is>
      </c>
      <c r="H369" s="170" t="n">
        <v>46332.25476851852</v>
      </c>
    </row>
    <row r="370">
      <c r="A370" s="13" t="inlineStr">
        <is>
          <t>MV-26</t>
        </is>
      </c>
      <c r="B370" s="13" t="n">
        <v>528000297</v>
      </c>
      <c r="C370" s="13" t="inlineStr">
        <is>
          <t>Muhamad Budiana</t>
        </is>
      </c>
      <c r="D370" s="13" t="inlineStr">
        <is>
          <t>PROD</t>
        </is>
      </c>
      <c r="E370" s="13" t="inlineStr">
        <is>
          <t>Produksi Harian</t>
        </is>
      </c>
      <c r="F370" s="170" t="n">
        <v>46301.91386574074</v>
      </c>
      <c r="G370" s="13" t="inlineStr">
        <is>
          <t>FREE</t>
        </is>
      </c>
      <c r="H370" s="170" t="n">
        <v>46332.91277777778</v>
      </c>
    </row>
    <row r="371">
      <c r="A371" s="13" t="inlineStr">
        <is>
          <t>MK00228</t>
        </is>
      </c>
      <c r="B371" s="13" t="n">
        <v>528000201</v>
      </c>
      <c r="C371" s="13" t="inlineStr">
        <is>
          <t>Zahwa Amelia Choerunissa</t>
        </is>
      </c>
      <c r="D371" s="13" t="inlineStr">
        <is>
          <t>PROD</t>
        </is>
      </c>
      <c r="E371" s="13" t="inlineStr">
        <is>
          <t>Produksi Harian</t>
        </is>
      </c>
      <c r="F371" s="170" t="n">
        <v>46332.2334375</v>
      </c>
      <c r="G371" s="13" t="inlineStr">
        <is>
          <t>FREE</t>
        </is>
      </c>
      <c r="H371" s="170" t="n">
        <v>46332.58648148148</v>
      </c>
    </row>
    <row r="372">
      <c r="A372" s="13" t="inlineStr">
        <is>
          <t>MK00055</t>
        </is>
      </c>
      <c r="B372" s="13" t="n">
        <v>528000212</v>
      </c>
      <c r="C372" s="13" t="inlineStr">
        <is>
          <t>Rizal Fauzi</t>
        </is>
      </c>
      <c r="D372" s="13" t="inlineStr">
        <is>
          <t>PROD</t>
        </is>
      </c>
      <c r="E372" s="13" t="inlineStr">
        <is>
          <t>Produksi Harian</t>
        </is>
      </c>
      <c r="F372" s="170" t="n">
        <v>46332.23361111111</v>
      </c>
      <c r="G372" s="13" t="inlineStr">
        <is>
          <t>FREE</t>
        </is>
      </c>
      <c r="H372" s="170" t="n">
        <v>46332.615625</v>
      </c>
    </row>
    <row r="373">
      <c r="A373" s="13" t="inlineStr">
        <is>
          <t>MK00158</t>
        </is>
      </c>
      <c r="B373" s="13" t="n">
        <v>528000099</v>
      </c>
      <c r="C373" s="13" t="inlineStr">
        <is>
          <t>Siti Nurawaliah</t>
        </is>
      </c>
      <c r="D373" s="13" t="inlineStr">
        <is>
          <t>PROD</t>
        </is>
      </c>
      <c r="E373" s="13" t="inlineStr">
        <is>
          <t>Produksi Harian</t>
        </is>
      </c>
      <c r="F373" s="170" t="n">
        <v>46332.23375</v>
      </c>
      <c r="G373" s="13" t="inlineStr">
        <is>
          <t>FREE</t>
        </is>
      </c>
      <c r="H373" s="170" t="n">
        <v>46332.58725694445</v>
      </c>
    </row>
    <row r="374">
      <c r="A374" s="13" t="inlineStr">
        <is>
          <t>MK00192</t>
        </is>
      </c>
      <c r="B374" s="13" t="n">
        <v>528000244</v>
      </c>
      <c r="C374" s="13" t="inlineStr">
        <is>
          <t>Rodian Rifai</t>
        </is>
      </c>
      <c r="D374" s="13" t="inlineStr">
        <is>
          <t>PROD</t>
        </is>
      </c>
      <c r="E374" s="13" t="inlineStr">
        <is>
          <t>Produksi Harian</t>
        </is>
      </c>
      <c r="F374" s="170" t="n">
        <v>46332.23567129629</v>
      </c>
      <c r="G374" s="13" t="inlineStr">
        <is>
          <t>FREE</t>
        </is>
      </c>
      <c r="H374" s="170" t="n">
        <v>46332.5894675926</v>
      </c>
    </row>
    <row r="375">
      <c r="A375" s="13" t="inlineStr">
        <is>
          <t>MK00202</t>
        </is>
      </c>
      <c r="B375" s="13" t="n">
        <v>528000286</v>
      </c>
      <c r="C375" s="13" t="inlineStr">
        <is>
          <t>Imelda Amelia</t>
        </is>
      </c>
      <c r="D375" s="13" t="inlineStr">
        <is>
          <t>PROD</t>
        </is>
      </c>
      <c r="E375" s="13" t="inlineStr">
        <is>
          <t>Produksi Harian</t>
        </is>
      </c>
      <c r="F375" s="170" t="n">
        <v>46332.24114583333</v>
      </c>
      <c r="G375" s="13" t="inlineStr">
        <is>
          <t>FREE</t>
        </is>
      </c>
      <c r="H375" s="170" t="n">
        <v>46332.58876157407</v>
      </c>
    </row>
    <row r="376">
      <c r="A376" s="13" t="inlineStr">
        <is>
          <t>MK00249</t>
        </is>
      </c>
      <c r="B376" s="13" t="n">
        <v>528000241</v>
      </c>
      <c r="C376" s="13" t="inlineStr">
        <is>
          <t>Balia Nurafif Bilah</t>
        </is>
      </c>
      <c r="D376" s="13" t="inlineStr">
        <is>
          <t>PROD</t>
        </is>
      </c>
      <c r="E376" s="13" t="inlineStr">
        <is>
          <t>Produksi Harian</t>
        </is>
      </c>
      <c r="F376" s="170" t="n">
        <v>46332.2461574074</v>
      </c>
      <c r="G376" s="13" t="inlineStr">
        <is>
          <t>FREE</t>
        </is>
      </c>
      <c r="H376" s="170" t="n">
        <v>46332.58666666667</v>
      </c>
    </row>
    <row r="377">
      <c r="A377" s="13" t="inlineStr">
        <is>
          <t>MK00200</t>
        </is>
      </c>
      <c r="B377" s="13" t="n">
        <v>528000228</v>
      </c>
      <c r="C377" s="13" t="inlineStr">
        <is>
          <t>Banyu Resmi Putri</t>
        </is>
      </c>
      <c r="D377" s="13" t="inlineStr">
        <is>
          <t>PROD</t>
        </is>
      </c>
      <c r="E377" s="13" t="inlineStr">
        <is>
          <t>Produksi Harian</t>
        </is>
      </c>
      <c r="F377" s="170" t="n">
        <v>46332.24800925926</v>
      </c>
      <c r="G377" s="13" t="inlineStr">
        <is>
          <t>FREE</t>
        </is>
      </c>
      <c r="H377" s="170" t="n">
        <v>46332.58814814815</v>
      </c>
    </row>
    <row r="378">
      <c r="A378" s="13" t="inlineStr">
        <is>
          <t>MK00136</t>
        </is>
      </c>
      <c r="B378" s="13" t="n">
        <v>528000290</v>
      </c>
      <c r="C378" s="13" t="inlineStr">
        <is>
          <t>Eval Pranata</t>
        </is>
      </c>
      <c r="D378" s="13" t="inlineStr">
        <is>
          <t>PROD</t>
        </is>
      </c>
      <c r="E378" s="13" t="inlineStr">
        <is>
          <t>Produksi Harian</t>
        </is>
      </c>
      <c r="F378" s="170" t="n">
        <v>46332.24836805555</v>
      </c>
      <c r="G378" s="13" t="inlineStr">
        <is>
          <t>FREE</t>
        </is>
      </c>
      <c r="H378" s="170" t="n">
        <v>46332.58961805556</v>
      </c>
    </row>
    <row r="379">
      <c r="A379" s="13" t="inlineStr">
        <is>
          <t>MK0085</t>
        </is>
      </c>
      <c r="B379" s="13" t="n">
        <v>528000282</v>
      </c>
      <c r="C379" s="13" t="inlineStr">
        <is>
          <t>Defa Desfiana</t>
        </is>
      </c>
      <c r="D379" s="13" t="inlineStr">
        <is>
          <t>PROD</t>
        </is>
      </c>
      <c r="E379" s="13" t="inlineStr">
        <is>
          <t>Produksi Harian</t>
        </is>
      </c>
      <c r="F379" s="170" t="n">
        <v>46332.31328703704</v>
      </c>
      <c r="G379" s="13" t="inlineStr">
        <is>
          <t>FREE</t>
        </is>
      </c>
      <c r="H379" s="170" t="n">
        <v>46362.3162037037</v>
      </c>
    </row>
    <row r="380">
      <c r="A380" s="13" t="inlineStr">
        <is>
          <t>MK00126</t>
        </is>
      </c>
      <c r="B380" s="13" t="n">
        <v>528000265</v>
      </c>
      <c r="C380" s="13" t="inlineStr">
        <is>
          <t>Muhammad Haerul Rozikin</t>
        </is>
      </c>
      <c r="D380" s="13" t="inlineStr">
        <is>
          <t>LOG</t>
        </is>
      </c>
      <c r="E380" s="13" t="inlineStr">
        <is>
          <t>WRM Harian</t>
        </is>
      </c>
      <c r="F380" s="170" t="n">
        <v>46332.32431712963</v>
      </c>
      <c r="G380" s="13" t="inlineStr">
        <is>
          <t>FREE</t>
        </is>
      </c>
      <c r="H380" s="170" t="n">
        <v>46332.6709837963</v>
      </c>
    </row>
    <row r="381">
      <c r="A381" s="13" t="inlineStr">
        <is>
          <t>MK00093</t>
        </is>
      </c>
      <c r="B381" s="13" t="n">
        <v>528000055</v>
      </c>
      <c r="C381" s="13" t="inlineStr">
        <is>
          <t>Dika Prasetya</t>
        </is>
      </c>
      <c r="D381" s="13" t="inlineStr">
        <is>
          <t>LOG</t>
        </is>
      </c>
      <c r="E381" s="13" t="inlineStr">
        <is>
          <t>WRM Harian</t>
        </is>
      </c>
      <c r="F381" s="170" t="n">
        <v>46332.33292824074</v>
      </c>
      <c r="G381" s="13" t="inlineStr">
        <is>
          <t>FREE</t>
        </is>
      </c>
      <c r="H381" s="170" t="n">
        <v>46332.66979166667</v>
      </c>
    </row>
    <row r="382">
      <c r="A382" s="13" t="inlineStr">
        <is>
          <t>MK00221</t>
        </is>
      </c>
      <c r="B382" s="13" t="n">
        <v>528000267</v>
      </c>
      <c r="C382" s="13" t="inlineStr">
        <is>
          <t>Bagas Patulloh</t>
        </is>
      </c>
      <c r="D382" s="13" t="inlineStr">
        <is>
          <t>LOG</t>
        </is>
      </c>
      <c r="E382" s="13" t="inlineStr">
        <is>
          <t>WRM Harian</t>
        </is>
      </c>
      <c r="F382" s="170" t="n">
        <v>46332.3337962963</v>
      </c>
      <c r="G382" s="13" t="inlineStr">
        <is>
          <t>FREE</t>
        </is>
      </c>
      <c r="H382" s="170" t="n">
        <v>46332.66922453704</v>
      </c>
    </row>
    <row r="383">
      <c r="A383" s="13" t="inlineStr">
        <is>
          <t>MK00250</t>
        </is>
      </c>
      <c r="B383" s="13" t="n">
        <v>528000287</v>
      </c>
      <c r="C383" s="13" t="inlineStr">
        <is>
          <t>Muhamad Angga Ramdani</t>
        </is>
      </c>
      <c r="D383" s="13" t="inlineStr">
        <is>
          <t>PROD</t>
        </is>
      </c>
      <c r="E383" s="13" t="inlineStr">
        <is>
          <t>Produksi Harian</t>
        </is>
      </c>
      <c r="F383" s="170" t="n">
        <v>46332.3395949074</v>
      </c>
      <c r="G383" s="13" t="inlineStr">
        <is>
          <t>FREE</t>
        </is>
      </c>
      <c r="H383" s="170" t="n">
        <v>46332.66886574074</v>
      </c>
    </row>
    <row r="384">
      <c r="A384" s="13" t="inlineStr">
        <is>
          <t>MK00082</t>
        </is>
      </c>
      <c r="B384" s="13" t="n">
        <v>528000351</v>
      </c>
      <c r="C384" s="13" t="inlineStr">
        <is>
          <t>Mulyana</t>
        </is>
      </c>
      <c r="D384" s="13" t="inlineStr">
        <is>
          <t>PROD</t>
        </is>
      </c>
      <c r="E384" s="13" t="inlineStr">
        <is>
          <t>Produksi Harian</t>
        </is>
      </c>
      <c r="F384" s="170" t="n">
        <v>46332.34182870371</v>
      </c>
      <c r="G384" s="13" t="inlineStr">
        <is>
          <t>FREE</t>
        </is>
      </c>
      <c r="H384" s="170" t="n">
        <v>46332.67074074074</v>
      </c>
    </row>
    <row r="385">
      <c r="A385" s="13" t="inlineStr">
        <is>
          <t>MK00151</t>
        </is>
      </c>
      <c r="B385" s="13" t="n">
        <v>528000292</v>
      </c>
      <c r="C385" s="13" t="inlineStr">
        <is>
          <t>Aditia Nugraha</t>
        </is>
      </c>
      <c r="D385" s="13" t="inlineStr">
        <is>
          <t>PROD</t>
        </is>
      </c>
      <c r="E385" s="13" t="inlineStr">
        <is>
          <t>Produksi Harian</t>
        </is>
      </c>
      <c r="F385" s="170" t="n">
        <v>46332.36726851852</v>
      </c>
      <c r="G385" s="13" t="inlineStr">
        <is>
          <t>FREE</t>
        </is>
      </c>
      <c r="H385" s="170" t="n">
        <v>46332.71113425926</v>
      </c>
    </row>
    <row r="386">
      <c r="A386" s="13" t="inlineStr">
        <is>
          <t>MK00205</t>
        </is>
      </c>
      <c r="B386" s="13" t="n">
        <v>528000348</v>
      </c>
      <c r="C386" s="13" t="inlineStr">
        <is>
          <t>Saepuloh Ardiansah</t>
        </is>
      </c>
      <c r="D386" s="13" t="inlineStr">
        <is>
          <t>LOG</t>
        </is>
      </c>
      <c r="E386" s="13" t="inlineStr">
        <is>
          <t>WRM Harian</t>
        </is>
      </c>
      <c r="F386" s="170" t="n">
        <v>46332.37174768518</v>
      </c>
      <c r="G386" s="13" t="inlineStr">
        <is>
          <t>FREE</t>
        </is>
      </c>
      <c r="H386" s="170" t="n">
        <v>46332.74200231482</v>
      </c>
    </row>
    <row r="387">
      <c r="A387" s="13" t="inlineStr">
        <is>
          <t>MK00204</t>
        </is>
      </c>
      <c r="B387" s="13" t="n">
        <v>528000232</v>
      </c>
      <c r="C387" s="13" t="inlineStr">
        <is>
          <t>Agung Aji Suhada</t>
        </is>
      </c>
      <c r="D387" s="13" t="inlineStr">
        <is>
          <t>LOG</t>
        </is>
      </c>
      <c r="E387" s="13" t="inlineStr">
        <is>
          <t>WRM Harian</t>
        </is>
      </c>
      <c r="F387" s="170" t="n">
        <v>46332.37635416666</v>
      </c>
      <c r="G387" s="13" t="inlineStr">
        <is>
          <t>FREE</t>
        </is>
      </c>
      <c r="H387" s="170" t="n">
        <v>46332.70997685185</v>
      </c>
    </row>
    <row r="388">
      <c r="A388" s="13" t="inlineStr">
        <is>
          <t>MK00211</t>
        </is>
      </c>
      <c r="B388" s="13" t="n">
        <v>528000266</v>
      </c>
      <c r="C388" s="13" t="inlineStr">
        <is>
          <t>M. Syirajatieq</t>
        </is>
      </c>
      <c r="D388" s="13" t="inlineStr">
        <is>
          <t>LOG</t>
        </is>
      </c>
      <c r="E388" s="13" t="inlineStr">
        <is>
          <t>WFG Harian</t>
        </is>
      </c>
      <c r="F388" s="170" t="n">
        <v>46332.56046296296</v>
      </c>
      <c r="G388" s="13" t="inlineStr">
        <is>
          <t>FREE</t>
        </is>
      </c>
      <c r="H388" s="170" t="n">
        <v>46332.92738425926</v>
      </c>
    </row>
    <row r="389">
      <c r="A389" s="13" t="inlineStr">
        <is>
          <t>MK00208</t>
        </is>
      </c>
      <c r="B389" s="13" t="n">
        <v>528000195</v>
      </c>
      <c r="C389" s="13" t="inlineStr">
        <is>
          <t>Rahma Sariwati</t>
        </is>
      </c>
      <c r="D389" s="13" t="inlineStr">
        <is>
          <t>PROD</t>
        </is>
      </c>
      <c r="E389" s="13" t="inlineStr">
        <is>
          <t>Produksi Harian</t>
        </is>
      </c>
      <c r="F389" s="170" t="n">
        <v>46332.56261574074</v>
      </c>
      <c r="G389" s="13" t="inlineStr">
        <is>
          <t>FREE</t>
        </is>
      </c>
      <c r="H389" s="170" t="n">
        <v>46332.91954861111</v>
      </c>
    </row>
    <row r="390">
      <c r="A390" s="13" t="inlineStr">
        <is>
          <t>MK00199</t>
        </is>
      </c>
      <c r="B390" s="13" t="n">
        <v>528000262</v>
      </c>
      <c r="C390" s="13" t="inlineStr">
        <is>
          <t>Ndari Dwiwanti</t>
        </is>
      </c>
      <c r="D390" s="13" t="inlineStr">
        <is>
          <t>PROD</t>
        </is>
      </c>
      <c r="E390" s="13" t="inlineStr">
        <is>
          <t>Produksi Harian</t>
        </is>
      </c>
      <c r="F390" s="170" t="n">
        <v>46332.56811342593</v>
      </c>
      <c r="G390" s="13" t="inlineStr">
        <is>
          <t>FREE</t>
        </is>
      </c>
      <c r="H390" s="170" t="n">
        <v>46332.91837962963</v>
      </c>
    </row>
    <row r="391">
      <c r="A391" s="13" t="inlineStr">
        <is>
          <t>MK00156</t>
        </is>
      </c>
      <c r="B391" s="13" t="n">
        <v>528000306</v>
      </c>
      <c r="C391" s="13" t="inlineStr">
        <is>
          <t>Windy Olivia</t>
        </is>
      </c>
      <c r="D391" s="13" t="inlineStr">
        <is>
          <t>PROD</t>
        </is>
      </c>
      <c r="E391" s="13" t="inlineStr">
        <is>
          <t>Produksi Harian</t>
        </is>
      </c>
      <c r="F391" s="170" t="n">
        <v>46332.5703125</v>
      </c>
      <c r="G391" s="13" t="inlineStr">
        <is>
          <t>FREE</t>
        </is>
      </c>
      <c r="H391" s="170" t="n">
        <v>46332.9190625</v>
      </c>
    </row>
    <row r="392">
      <c r="A392" s="13" t="inlineStr">
        <is>
          <t>MK00155</t>
        </is>
      </c>
      <c r="B392" s="13" t="n">
        <v>528000283</v>
      </c>
      <c r="C392" s="13" t="inlineStr">
        <is>
          <t>Purwanda Sugiri</t>
        </is>
      </c>
      <c r="D392" s="13" t="inlineStr">
        <is>
          <t>LOG</t>
        </is>
      </c>
      <c r="E392" s="13" t="inlineStr">
        <is>
          <t>WRM Harian</t>
        </is>
      </c>
      <c r="F392" s="170" t="n">
        <v>46332.57637731481</v>
      </c>
      <c r="G392" s="13" t="inlineStr">
        <is>
          <t>FREE</t>
        </is>
      </c>
      <c r="H392" s="170" t="n">
        <v>46332.92001157408</v>
      </c>
    </row>
    <row r="393">
      <c r="A393" s="13" t="inlineStr">
        <is>
          <t>MK00136</t>
        </is>
      </c>
      <c r="B393" s="13" t="n">
        <v>528000015</v>
      </c>
      <c r="C393" s="13" t="inlineStr">
        <is>
          <t>Erwin</t>
        </is>
      </c>
      <c r="D393" s="13" t="inlineStr">
        <is>
          <t>LOG</t>
        </is>
      </c>
      <c r="E393" s="13" t="inlineStr">
        <is>
          <t>WRM Harian</t>
        </is>
      </c>
      <c r="F393" s="170" t="n">
        <v>46332.65944444444</v>
      </c>
      <c r="G393" s="13" t="inlineStr">
        <is>
          <t>FREE</t>
        </is>
      </c>
      <c r="H393" s="170" t="n">
        <v>46362.00101851852</v>
      </c>
    </row>
    <row r="394">
      <c r="A394" s="13" t="inlineStr">
        <is>
          <t>MK00213</t>
        </is>
      </c>
      <c r="B394" s="13" t="n">
        <v>528000144</v>
      </c>
      <c r="C394" s="13" t="inlineStr">
        <is>
          <t>Jodi Hanafi</t>
        </is>
      </c>
      <c r="D394" s="13" t="inlineStr">
        <is>
          <t>LOG</t>
        </is>
      </c>
      <c r="E394" s="13" t="inlineStr">
        <is>
          <t>WRM Harian</t>
        </is>
      </c>
      <c r="F394" s="170" t="n">
        <v>46332.66552083333</v>
      </c>
      <c r="G394" s="13" t="inlineStr">
        <is>
          <t>FREE</t>
        </is>
      </c>
      <c r="H394" s="170" t="n">
        <v>46362.66488425926</v>
      </c>
    </row>
    <row r="395">
      <c r="A395" s="13" t="inlineStr">
        <is>
          <t>MK00212</t>
        </is>
      </c>
      <c r="B395" s="13" t="n">
        <v>528000149</v>
      </c>
      <c r="C395" s="13" t="inlineStr">
        <is>
          <t>Tio Fernanda</t>
        </is>
      </c>
      <c r="D395" s="13" t="inlineStr">
        <is>
          <t>LOG</t>
        </is>
      </c>
      <c r="E395" s="13" t="inlineStr">
        <is>
          <t>WRM Harian</t>
        </is>
      </c>
      <c r="F395" s="170" t="n">
        <v>46332.67190972222</v>
      </c>
      <c r="G395" s="13" t="inlineStr">
        <is>
          <t>FREE</t>
        </is>
      </c>
      <c r="H395" s="170" t="n">
        <v>46362.00162037037</v>
      </c>
    </row>
    <row r="396">
      <c r="A396" s="13" t="inlineStr">
        <is>
          <t>MK00249</t>
        </is>
      </c>
      <c r="B396" s="13" t="n">
        <v>628000064</v>
      </c>
      <c r="C396" s="13" t="inlineStr">
        <is>
          <t>Silva Alypia</t>
        </is>
      </c>
      <c r="D396" s="13" t="inlineStr">
        <is>
          <t>PROD</t>
        </is>
      </c>
      <c r="E396" s="13" t="inlineStr">
        <is>
          <t>Produksi Borongan</t>
        </is>
      </c>
      <c r="F396" s="170" t="n">
        <v>46332.90731481482</v>
      </c>
      <c r="G396" s="13" t="inlineStr">
        <is>
          <t>FREE</t>
        </is>
      </c>
      <c r="H396" s="170" t="n">
        <v>46362.25454861111</v>
      </c>
    </row>
    <row r="397">
      <c r="A397" s="13" t="inlineStr">
        <is>
          <t>MK00203</t>
        </is>
      </c>
      <c r="B397" s="13" t="n">
        <v>528000279</v>
      </c>
      <c r="C397" s="13" t="inlineStr">
        <is>
          <t>Mahdalena Dalfa Riani</t>
        </is>
      </c>
      <c r="D397" s="13" t="inlineStr">
        <is>
          <t>PROD</t>
        </is>
      </c>
      <c r="E397" s="13" t="inlineStr">
        <is>
          <t>Produksi Harian</t>
        </is>
      </c>
      <c r="F397" s="170" t="n">
        <v>46332.90804398148</v>
      </c>
      <c r="G397" s="13" t="inlineStr">
        <is>
          <t>FREE</t>
        </is>
      </c>
      <c r="H397" s="170" t="n">
        <v>46362.25543981481</v>
      </c>
    </row>
    <row r="398">
      <c r="A398" s="13" t="inlineStr">
        <is>
          <t>MK00150</t>
        </is>
      </c>
      <c r="B398" s="13" t="n">
        <v>528000297</v>
      </c>
      <c r="C398" s="13" t="inlineStr">
        <is>
          <t>Muhamad Budiana</t>
        </is>
      </c>
      <c r="D398" s="13" t="inlineStr">
        <is>
          <t>PROD</t>
        </is>
      </c>
      <c r="E398" s="13" t="inlineStr">
        <is>
          <t>Produksi Harian</t>
        </is>
      </c>
      <c r="F398" s="170" t="n">
        <v>46332.91303240741</v>
      </c>
      <c r="G398" s="13" t="inlineStr">
        <is>
          <t>FREE</t>
        </is>
      </c>
      <c r="H398" s="170" t="n">
        <v>46362.31001157407</v>
      </c>
    </row>
    <row r="399">
      <c r="A399" s="13" t="inlineStr">
        <is>
          <t>MK00235</t>
        </is>
      </c>
      <c r="B399" s="13" t="n">
        <v>528000201</v>
      </c>
      <c r="C399" s="13" t="inlineStr">
        <is>
          <t>Zahwa Amelia Choerunissa</t>
        </is>
      </c>
      <c r="D399" s="13" t="inlineStr">
        <is>
          <t>PROD</t>
        </is>
      </c>
      <c r="E399" s="13" t="inlineStr">
        <is>
          <t>Produksi Harian</t>
        </is>
      </c>
      <c r="F399" s="170" t="n">
        <v>46362.23180555556</v>
      </c>
      <c r="G399" s="13" t="inlineStr">
        <is>
          <t>FREE</t>
        </is>
      </c>
      <c r="H399" s="170" t="n">
        <v>46362.58818287037</v>
      </c>
    </row>
    <row r="400">
      <c r="A400" s="13" t="inlineStr">
        <is>
          <t>MK00088</t>
        </is>
      </c>
      <c r="B400" s="13" t="n">
        <v>528000099</v>
      </c>
      <c r="C400" s="13" t="inlineStr">
        <is>
          <t>Siti Nurawaliah</t>
        </is>
      </c>
      <c r="D400" s="13" t="inlineStr">
        <is>
          <t>PROD</t>
        </is>
      </c>
      <c r="E400" s="13" t="inlineStr">
        <is>
          <t>Produksi Harian</t>
        </is>
      </c>
      <c r="F400" s="170" t="n">
        <v>46362.23243055555</v>
      </c>
      <c r="G400" s="13" t="inlineStr">
        <is>
          <t>FREE</t>
        </is>
      </c>
      <c r="H400" s="170" t="n">
        <v>46362.5897800926</v>
      </c>
    </row>
    <row r="401">
      <c r="A401" s="13" t="inlineStr">
        <is>
          <t>MK00155</t>
        </is>
      </c>
      <c r="B401" s="13" t="n">
        <v>528000286</v>
      </c>
      <c r="C401" s="13" t="inlineStr">
        <is>
          <t>Imelda Amelia</t>
        </is>
      </c>
      <c r="D401" s="13" t="inlineStr">
        <is>
          <t>PROD</t>
        </is>
      </c>
      <c r="E401" s="13" t="inlineStr">
        <is>
          <t>Produksi Harian</t>
        </is>
      </c>
      <c r="F401" s="170" t="n">
        <v>46362.23707175926</v>
      </c>
      <c r="G401" s="13" t="inlineStr">
        <is>
          <t>FREE</t>
        </is>
      </c>
      <c r="H401" s="170" t="n">
        <v>46362.59017361111</v>
      </c>
    </row>
    <row r="402">
      <c r="A402" s="13" t="inlineStr">
        <is>
          <t>MK00118</t>
        </is>
      </c>
      <c r="B402" s="13" t="n">
        <v>528000244</v>
      </c>
      <c r="C402" s="13" t="inlineStr">
        <is>
          <t>Rodian Rifai</t>
        </is>
      </c>
      <c r="D402" s="13" t="inlineStr">
        <is>
          <t>PROD</t>
        </is>
      </c>
      <c r="E402" s="13" t="inlineStr">
        <is>
          <t>Produksi Harian</t>
        </is>
      </c>
      <c r="F402" s="170" t="n">
        <v>46362.24586805556</v>
      </c>
      <c r="G402" s="13" t="inlineStr">
        <is>
          <t>FREE</t>
        </is>
      </c>
      <c r="H402" s="170" t="n">
        <v>46362.58689814815</v>
      </c>
    </row>
    <row r="403">
      <c r="A403" s="13" t="inlineStr">
        <is>
          <t>MK00202</t>
        </is>
      </c>
      <c r="B403" s="13" t="n">
        <v>528000241</v>
      </c>
      <c r="C403" s="13" t="inlineStr">
        <is>
          <t>Balia Nurafif Bilah</t>
        </is>
      </c>
      <c r="D403" s="13" t="inlineStr">
        <is>
          <t>PROD</t>
        </is>
      </c>
      <c r="E403" s="13" t="inlineStr">
        <is>
          <t>Produksi Harian</t>
        </is>
      </c>
      <c r="F403" s="170" t="n">
        <v>46362.24655092593</v>
      </c>
      <c r="G403" s="13" t="inlineStr">
        <is>
          <t>FREE</t>
        </is>
      </c>
      <c r="H403" s="170" t="n">
        <v>46362.5868287037</v>
      </c>
    </row>
    <row r="404">
      <c r="A404" s="13" t="inlineStr">
        <is>
          <t>MK00112</t>
        </is>
      </c>
      <c r="B404" s="13" t="n">
        <v>528000290</v>
      </c>
      <c r="C404" s="13" t="inlineStr">
        <is>
          <t>Eval Pranata</t>
        </is>
      </c>
      <c r="D404" s="13" t="inlineStr">
        <is>
          <t>PROD</t>
        </is>
      </c>
      <c r="E404" s="13" t="inlineStr">
        <is>
          <t>Produksi Harian</t>
        </is>
      </c>
      <c r="F404" s="170" t="n">
        <v>46362.25053240741</v>
      </c>
      <c r="G404" s="13" t="inlineStr">
        <is>
          <t>FREE</t>
        </is>
      </c>
      <c r="H404" s="170" t="n">
        <v>46362.58621527778</v>
      </c>
    </row>
    <row r="405">
      <c r="A405" s="13" t="inlineStr">
        <is>
          <t>MK00230</t>
        </is>
      </c>
      <c r="B405" s="13" t="n">
        <v>528000282</v>
      </c>
      <c r="C405" s="13" t="inlineStr">
        <is>
          <t>Defa Desfiana</t>
        </is>
      </c>
      <c r="D405" s="13" t="inlineStr">
        <is>
          <t>PROD</t>
        </is>
      </c>
      <c r="E405" s="13" t="inlineStr">
        <is>
          <t>Produksi Harian</t>
        </is>
      </c>
      <c r="F405" s="170" t="n">
        <v>46362.31638888889</v>
      </c>
      <c r="G405" s="13" t="inlineStr">
        <is>
          <t>FREE</t>
        </is>
      </c>
      <c r="H405" s="170" t="n">
        <v>46362.66887731481</v>
      </c>
    </row>
    <row r="406">
      <c r="A406" s="13" t="inlineStr">
        <is>
          <t>MK00192</t>
        </is>
      </c>
      <c r="B406" s="13" t="n">
        <v>528000349</v>
      </c>
      <c r="C406" s="13" t="inlineStr">
        <is>
          <t>Anas Abdul Fatah</t>
        </is>
      </c>
      <c r="D406" s="13" t="inlineStr">
        <is>
          <t>LOG</t>
        </is>
      </c>
      <c r="E406" s="13" t="inlineStr">
        <is>
          <t>WFG Harian</t>
        </is>
      </c>
      <c r="F406" s="170" t="n">
        <v>46362.32133101852</v>
      </c>
      <c r="G406" s="13" t="inlineStr">
        <is>
          <t>FREE</t>
        </is>
      </c>
      <c r="H406" s="170" t="n">
        <v>46362.676875</v>
      </c>
    </row>
    <row r="407">
      <c r="A407" s="13" t="inlineStr">
        <is>
          <t>MK00204</t>
        </is>
      </c>
      <c r="B407" s="13" t="n">
        <v>528000287</v>
      </c>
      <c r="C407" s="13" t="inlineStr">
        <is>
          <t>Muhamad Angga Ramdani</t>
        </is>
      </c>
      <c r="D407" s="13" t="inlineStr">
        <is>
          <t>PROD</t>
        </is>
      </c>
      <c r="E407" s="13" t="inlineStr">
        <is>
          <t>Produksi Harian</t>
        </is>
      </c>
      <c r="F407" s="170" t="n">
        <v>46362.33052083333</v>
      </c>
      <c r="G407" s="13" t="inlineStr">
        <is>
          <t>FREE</t>
        </is>
      </c>
      <c r="H407" s="170" t="n">
        <v>46362.67445601852</v>
      </c>
    </row>
    <row r="408">
      <c r="A408" s="13" t="inlineStr">
        <is>
          <t>MK00208</t>
        </is>
      </c>
      <c r="B408" s="13" t="n">
        <v>528000265</v>
      </c>
      <c r="C408" s="13" t="inlineStr">
        <is>
          <t>Muhammad Haerul Rozikin</t>
        </is>
      </c>
      <c r="D408" s="13" t="inlineStr">
        <is>
          <t>LOG</t>
        </is>
      </c>
      <c r="E408" s="13" t="inlineStr">
        <is>
          <t>WRM Harian</t>
        </is>
      </c>
      <c r="F408" s="170" t="n">
        <v>46362.33061342593</v>
      </c>
      <c r="G408" s="13" t="inlineStr">
        <is>
          <t>FREE</t>
        </is>
      </c>
      <c r="H408" s="170" t="n">
        <v>46362.66895833334</v>
      </c>
    </row>
    <row r="409">
      <c r="A409" s="13" t="inlineStr">
        <is>
          <t>MK00109</t>
        </is>
      </c>
      <c r="B409" s="13" t="n">
        <v>528000351</v>
      </c>
      <c r="C409" s="13" t="inlineStr">
        <is>
          <t>Mulyana</t>
        </is>
      </c>
      <c r="D409" s="13" t="inlineStr">
        <is>
          <t>PROD</t>
        </is>
      </c>
      <c r="E409" s="13" t="inlineStr">
        <is>
          <t>Produksi Harian</t>
        </is>
      </c>
      <c r="F409" s="170" t="n">
        <v>46362.33924768519</v>
      </c>
      <c r="G409" s="13" t="inlineStr">
        <is>
          <t>FREE</t>
        </is>
      </c>
      <c r="H409" s="170" t="n">
        <v>46362.6691087963</v>
      </c>
    </row>
    <row r="410">
      <c r="A410" s="13" t="inlineStr">
        <is>
          <t>MK00205</t>
        </is>
      </c>
      <c r="B410" s="13" t="n">
        <v>528000348</v>
      </c>
      <c r="C410" s="13" t="inlineStr">
        <is>
          <t>Saepuloh Ardiansah</t>
        </is>
      </c>
      <c r="D410" s="13" t="inlineStr">
        <is>
          <t>LOG</t>
        </is>
      </c>
      <c r="E410" s="13" t="inlineStr">
        <is>
          <t>WRM Harian</t>
        </is>
      </c>
      <c r="F410" s="170" t="n">
        <v>46362.37260416667</v>
      </c>
      <c r="G410" s="13" t="inlineStr">
        <is>
          <t>FREE</t>
        </is>
      </c>
      <c r="H410" s="170" t="n">
        <v>46362.71311342593</v>
      </c>
    </row>
    <row r="411">
      <c r="A411" s="13" t="inlineStr">
        <is>
          <t>MK00211</t>
        </is>
      </c>
      <c r="B411" s="13" t="n">
        <v>528000203</v>
      </c>
      <c r="C411" s="13" t="inlineStr">
        <is>
          <t>Yudha Ramdhan Putra</t>
        </is>
      </c>
      <c r="D411" s="13" t="inlineStr">
        <is>
          <t>ENG</t>
        </is>
      </c>
      <c r="E411" s="13" t="inlineStr">
        <is>
          <t>Engineering Harian</t>
        </is>
      </c>
      <c r="F411" s="170" t="n">
        <v>46362.37415509259</v>
      </c>
      <c r="G411" s="13" t="inlineStr">
        <is>
          <t>FREE</t>
        </is>
      </c>
      <c r="H411" s="170" t="n">
        <v>46192.79427083334</v>
      </c>
    </row>
    <row r="412">
      <c r="A412" s="13" t="inlineStr">
        <is>
          <t>MK00228</t>
        </is>
      </c>
      <c r="B412" s="13" t="n">
        <v>628000061</v>
      </c>
      <c r="C412" s="13" t="inlineStr">
        <is>
          <t>Nayla Fadillah Exwantoro</t>
        </is>
      </c>
      <c r="D412" s="13" t="inlineStr">
        <is>
          <t>PROD</t>
        </is>
      </c>
      <c r="E412" s="13" t="inlineStr">
        <is>
          <t>Produksi Borongan</t>
        </is>
      </c>
      <c r="F412" s="170" t="n">
        <v>46362.54471064815</v>
      </c>
      <c r="G412" s="13" t="inlineStr">
        <is>
          <t>FREE</t>
        </is>
      </c>
      <c r="H412" s="170" t="n">
        <v>46185.46645833334</v>
      </c>
    </row>
    <row r="413">
      <c r="A413" s="13" t="inlineStr">
        <is>
          <t>MK00200</t>
        </is>
      </c>
      <c r="B413" s="13" t="n">
        <v>528000098</v>
      </c>
      <c r="C413" s="13" t="inlineStr">
        <is>
          <t>Edi Junaedi</t>
        </is>
      </c>
      <c r="D413" s="13" t="inlineStr">
        <is>
          <t>PROD</t>
        </is>
      </c>
      <c r="E413" s="13" t="inlineStr">
        <is>
          <t>Produksi Harian</t>
        </is>
      </c>
      <c r="F413" s="170" t="n">
        <v>46362.5587037037</v>
      </c>
      <c r="G413" s="13" t="inlineStr">
        <is>
          <t>FREE</t>
        </is>
      </c>
      <c r="H413" s="170" t="n">
        <v>46198.83148148148</v>
      </c>
    </row>
    <row r="414">
      <c r="A414" s="13" t="inlineStr">
        <is>
          <t>MK00093</t>
        </is>
      </c>
      <c r="B414" s="13" t="n">
        <v>528000238</v>
      </c>
      <c r="C414" s="13" t="inlineStr">
        <is>
          <t>Indah Lusiana</t>
        </is>
      </c>
      <c r="D414" s="13" t="inlineStr">
        <is>
          <t>PROD</t>
        </is>
      </c>
      <c r="E414" s="13" t="inlineStr">
        <is>
          <t>Produksi Harian</t>
        </is>
      </c>
      <c r="F414" s="170" t="n">
        <v>46362.56418981482</v>
      </c>
      <c r="G414" s="13" t="inlineStr">
        <is>
          <t>FREE</t>
        </is>
      </c>
      <c r="H414" s="170" t="n">
        <v>46362.91878472222</v>
      </c>
    </row>
    <row r="415">
      <c r="A415" s="13" t="inlineStr">
        <is>
          <t>MK00158</t>
        </is>
      </c>
      <c r="B415" s="13" t="n">
        <v>528000302</v>
      </c>
      <c r="C415" s="13" t="inlineStr">
        <is>
          <t>Henkey gumilar</t>
        </is>
      </c>
      <c r="D415" s="13" t="inlineStr">
        <is>
          <t>PROD</t>
        </is>
      </c>
      <c r="E415" s="13" t="inlineStr">
        <is>
          <t>Produksi Harian</t>
        </is>
      </c>
      <c r="F415" s="170" t="n">
        <v>46362.56587962963</v>
      </c>
      <c r="G415" s="13" t="inlineStr">
        <is>
          <t>FREE</t>
        </is>
      </c>
      <c r="H415" s="170" t="n">
        <v>46362.92480324074</v>
      </c>
    </row>
    <row r="416">
      <c r="A416" s="13" t="inlineStr">
        <is>
          <t>MK00141</t>
        </is>
      </c>
      <c r="B416" s="13" t="n">
        <v>528000299</v>
      </c>
      <c r="C416" s="13" t="inlineStr">
        <is>
          <t>Siti Nurjanah</t>
        </is>
      </c>
      <c r="D416" s="13" t="inlineStr">
        <is>
          <t>PROD</t>
        </is>
      </c>
      <c r="E416" s="13" t="inlineStr">
        <is>
          <t>Produksi Harian</t>
        </is>
      </c>
      <c r="F416" s="170" t="n">
        <v>46362.56854166667</v>
      </c>
      <c r="G416" s="13" t="inlineStr">
        <is>
          <t>FREE</t>
        </is>
      </c>
      <c r="H416" s="170" t="n">
        <v>46362.92032407408</v>
      </c>
    </row>
    <row r="417">
      <c r="A417" s="13" t="inlineStr">
        <is>
          <t>MK00250</t>
        </is>
      </c>
      <c r="B417" s="13" t="n">
        <v>528000270</v>
      </c>
      <c r="C417" s="13" t="inlineStr">
        <is>
          <t>Febri Najmudin</t>
        </is>
      </c>
      <c r="D417" s="13" t="inlineStr">
        <is>
          <t>LOG</t>
        </is>
      </c>
      <c r="E417" s="13" t="inlineStr">
        <is>
          <t>WRM Harian</t>
        </is>
      </c>
      <c r="F417" s="170" t="n">
        <v>46362.57561342593</v>
      </c>
      <c r="G417" s="13" t="inlineStr">
        <is>
          <t>FREE</t>
        </is>
      </c>
      <c r="H417" s="170" t="n">
        <v>46362.93141203704</v>
      </c>
    </row>
    <row r="418">
      <c r="A418" s="13" t="inlineStr">
        <is>
          <t>MK00207</t>
        </is>
      </c>
      <c r="B418" s="13" t="n">
        <v>628000091</v>
      </c>
      <c r="C418" s="13" t="inlineStr">
        <is>
          <t>Devita Handayani</t>
        </is>
      </c>
      <c r="D418" s="13" t="inlineStr">
        <is>
          <t>PROD</t>
        </is>
      </c>
      <c r="E418" s="13" t="inlineStr">
        <is>
          <t>Produksi Borongan</t>
        </is>
      </c>
      <c r="F418" s="170" t="n">
        <v>46362.58899305556</v>
      </c>
      <c r="G418" s="13" t="inlineStr">
        <is>
          <t>FREE</t>
        </is>
      </c>
      <c r="H418" s="170" t="n">
        <v>46186.12112268519</v>
      </c>
    </row>
    <row r="419">
      <c r="A419" s="13" t="inlineStr">
        <is>
          <t>MK00212</t>
        </is>
      </c>
      <c r="B419" s="13" t="n">
        <v>528000149</v>
      </c>
      <c r="C419" s="13" t="inlineStr">
        <is>
          <t>Tio Fernanda</t>
        </is>
      </c>
      <c r="D419" s="13" t="inlineStr">
        <is>
          <t>LOG</t>
        </is>
      </c>
      <c r="E419" s="13" t="inlineStr">
        <is>
          <t>WRM Harian</t>
        </is>
      </c>
      <c r="F419" s="170" t="n">
        <v>46362.66056712963</v>
      </c>
      <c r="G419" s="13" t="inlineStr">
        <is>
          <t>FREE</t>
        </is>
      </c>
      <c r="H419" s="170" t="n">
        <v>46185.42332175926</v>
      </c>
    </row>
    <row r="420">
      <c r="A420" s="13" t="inlineStr">
        <is>
          <t>MK00203</t>
        </is>
      </c>
      <c r="B420" s="13" t="n">
        <v>528000015</v>
      </c>
      <c r="C420" s="13" t="inlineStr">
        <is>
          <t>Erwin</t>
        </is>
      </c>
      <c r="D420" s="13" t="inlineStr">
        <is>
          <t>LOG</t>
        </is>
      </c>
      <c r="E420" s="13" t="inlineStr">
        <is>
          <t>WRM Harian</t>
        </is>
      </c>
      <c r="F420" s="170" t="n">
        <v>46362.66096064815</v>
      </c>
      <c r="G420" s="13" t="inlineStr">
        <is>
          <t>FREE</t>
        </is>
      </c>
      <c r="H420" s="170" t="n">
        <v>46185.41841435185</v>
      </c>
    </row>
    <row r="421">
      <c r="A421" s="13" t="inlineStr">
        <is>
          <t>MK00213</t>
        </is>
      </c>
      <c r="B421" s="13" t="n">
        <v>528000144</v>
      </c>
      <c r="C421" s="13" t="inlineStr">
        <is>
          <t>Jodi Hanafi</t>
        </is>
      </c>
      <c r="D421" s="13" t="inlineStr">
        <is>
          <t>LOG</t>
        </is>
      </c>
      <c r="E421" s="13" t="inlineStr">
        <is>
          <t>WRM Harian</t>
        </is>
      </c>
      <c r="F421" s="170" t="n">
        <v>46362.66547453704</v>
      </c>
      <c r="G421" s="13" t="inlineStr">
        <is>
          <t>FREE</t>
        </is>
      </c>
      <c r="H421" s="170" t="n">
        <v>46185.45945601852</v>
      </c>
    </row>
    <row r="422">
      <c r="A422" s="13" t="inlineStr">
        <is>
          <t>MK00150</t>
        </is>
      </c>
      <c r="B422" s="13" t="n">
        <v>528000306</v>
      </c>
      <c r="C422" s="13" t="inlineStr">
        <is>
          <t>Windy Olivia</t>
        </is>
      </c>
      <c r="D422" s="13" t="inlineStr">
        <is>
          <t>PROD</t>
        </is>
      </c>
      <c r="E422" s="13" t="inlineStr">
        <is>
          <t>Produksi Harian</t>
        </is>
      </c>
      <c r="F422" s="170" t="n">
        <v>46362.90491898148</v>
      </c>
      <c r="G422" s="13" t="inlineStr">
        <is>
          <t>FREE</t>
        </is>
      </c>
      <c r="H422" s="170" t="n">
        <v>46185.66881944444</v>
      </c>
    </row>
    <row r="423">
      <c r="A423" s="13" t="inlineStr">
        <is>
          <t>MK00204</t>
        </is>
      </c>
      <c r="B423" s="13" t="n">
        <v>528000279</v>
      </c>
      <c r="C423" s="13" t="inlineStr">
        <is>
          <t>Mahdalena Dalfa Riani</t>
        </is>
      </c>
      <c r="D423" s="13" t="inlineStr">
        <is>
          <t>PROD</t>
        </is>
      </c>
      <c r="E423" s="13" t="inlineStr">
        <is>
          <t>Produksi Harian</t>
        </is>
      </c>
      <c r="F423" s="170" t="n">
        <v>46362.90581018518</v>
      </c>
      <c r="G423" s="13" t="inlineStr">
        <is>
          <t>FREE</t>
        </is>
      </c>
      <c r="H423" s="170" t="n">
        <v>46185.67060185185</v>
      </c>
    </row>
    <row r="424">
      <c r="A424" s="13" t="inlineStr">
        <is>
          <t>MK00192</t>
        </is>
      </c>
      <c r="B424" s="13" t="n">
        <v>628000064</v>
      </c>
      <c r="C424" s="13" t="inlineStr">
        <is>
          <t>Silva Alypia</t>
        </is>
      </c>
      <c r="D424" s="13" t="inlineStr">
        <is>
          <t>PROD</t>
        </is>
      </c>
      <c r="E424" s="13" t="inlineStr">
        <is>
          <t>Produksi Borongan</t>
        </is>
      </c>
      <c r="F424" s="170" t="n">
        <v>46362.90872685185</v>
      </c>
      <c r="G424" s="13" t="inlineStr">
        <is>
          <t>FREE</t>
        </is>
      </c>
      <c r="H424" s="170" t="n">
        <v>46185.67145833333</v>
      </c>
    </row>
    <row r="425">
      <c r="A425" s="13" t="inlineStr">
        <is>
          <t>MK00109</t>
        </is>
      </c>
      <c r="B425" s="13" t="n">
        <v>528000297</v>
      </c>
      <c r="C425" s="13" t="inlineStr">
        <is>
          <t>Muhamad Budiana</t>
        </is>
      </c>
      <c r="D425" s="13" t="inlineStr">
        <is>
          <t>PROD</t>
        </is>
      </c>
      <c r="E425" s="13" t="inlineStr">
        <is>
          <t>Produksi Harian</t>
        </is>
      </c>
      <c r="F425" s="170" t="n">
        <v>46362.91333333333</v>
      </c>
      <c r="G425" s="13" t="inlineStr">
        <is>
          <t>FREE</t>
        </is>
      </c>
      <c r="H425" s="170" t="n">
        <v>46185.71262731482</v>
      </c>
    </row>
    <row r="426">
      <c r="A426" s="13" t="inlineStr">
        <is>
          <t>MK00141</t>
        </is>
      </c>
      <c r="B426" s="13" t="n">
        <v>528000358</v>
      </c>
      <c r="C426" s="13" t="inlineStr">
        <is>
          <t>Lulu Agustin</t>
        </is>
      </c>
      <c r="D426" s="13" t="inlineStr">
        <is>
          <t>PROD</t>
        </is>
      </c>
      <c r="E426" s="13" t="inlineStr">
        <is>
          <t>Produksi Harian</t>
        </is>
      </c>
      <c r="F426" s="170" t="n">
        <v>46185.65278935185</v>
      </c>
      <c r="G426" s="13" t="inlineStr">
        <is>
          <t>FREE</t>
        </is>
      </c>
      <c r="H426" s="170" t="n">
        <v>46186.00414351852</v>
      </c>
    </row>
    <row r="427">
      <c r="A427" s="13" t="inlineStr">
        <is>
          <t>MK00228</t>
        </is>
      </c>
      <c r="B427" s="13" t="n">
        <v>528000262</v>
      </c>
      <c r="C427" s="13" t="inlineStr">
        <is>
          <t>Ndari Dwiwanti</t>
        </is>
      </c>
      <c r="D427" s="13" t="inlineStr">
        <is>
          <t>PROD</t>
        </is>
      </c>
      <c r="E427" s="13" t="inlineStr">
        <is>
          <t>Produksi Harian</t>
        </is>
      </c>
      <c r="F427" s="170" t="n">
        <v>46185.65568287037</v>
      </c>
      <c r="G427" s="13" t="inlineStr">
        <is>
          <t>FREE</t>
        </is>
      </c>
      <c r="H427" s="170" t="n">
        <v>46186.00375</v>
      </c>
    </row>
    <row r="428">
      <c r="A428" s="13" t="inlineStr">
        <is>
          <t>MK00210</t>
        </is>
      </c>
      <c r="B428" s="13" t="n">
        <v>528000195</v>
      </c>
      <c r="C428" s="13" t="inlineStr">
        <is>
          <t>Rahma Sariwati</t>
        </is>
      </c>
      <c r="D428" s="13" t="inlineStr">
        <is>
          <t>PROD</t>
        </is>
      </c>
      <c r="E428" s="13" t="inlineStr">
        <is>
          <t>Produksi Harian</t>
        </is>
      </c>
      <c r="F428" s="170" t="n">
        <v>46185.65864583333</v>
      </c>
      <c r="G428" s="13" t="inlineStr">
        <is>
          <t>FREE</t>
        </is>
      </c>
      <c r="H428" s="170" t="n">
        <v>46186.00561342593</v>
      </c>
    </row>
    <row r="429">
      <c r="A429" s="13" t="inlineStr">
        <is>
          <t>MK00230</t>
        </is>
      </c>
      <c r="B429" s="13" t="n">
        <v>528000282</v>
      </c>
      <c r="C429" s="13" t="inlineStr">
        <is>
          <t>Defa Desfiana</t>
        </is>
      </c>
      <c r="D429" s="13" t="inlineStr">
        <is>
          <t>PROD</t>
        </is>
      </c>
      <c r="E429" s="13" t="inlineStr">
        <is>
          <t>Produksi Harian</t>
        </is>
      </c>
      <c r="F429" s="170" t="n">
        <v>46185.73266203704</v>
      </c>
      <c r="G429" s="13" t="inlineStr">
        <is>
          <t>FREE</t>
        </is>
      </c>
      <c r="H429" s="170" t="n">
        <v>46185.9612037037</v>
      </c>
    </row>
    <row r="430">
      <c r="A430" s="13" t="inlineStr">
        <is>
          <t>MK00204</t>
        </is>
      </c>
      <c r="B430" s="13" t="n">
        <v>528000287</v>
      </c>
      <c r="C430" s="13" t="inlineStr">
        <is>
          <t>Muhamad Angga Ramdani</t>
        </is>
      </c>
      <c r="D430" s="13" t="inlineStr">
        <is>
          <t>PROD</t>
        </is>
      </c>
      <c r="E430" s="13" t="inlineStr">
        <is>
          <t>Produksi Harian</t>
        </is>
      </c>
      <c r="F430" s="170" t="n">
        <v>46185.74303240741</v>
      </c>
      <c r="G430" s="13" t="inlineStr">
        <is>
          <t>FREE</t>
        </is>
      </c>
      <c r="H430" s="170" t="n">
        <v>46185.96179398148</v>
      </c>
    </row>
    <row r="431">
      <c r="A431" s="13" t="inlineStr">
        <is>
          <t>MK00181</t>
        </is>
      </c>
      <c r="B431" s="13" t="n">
        <v>528000265</v>
      </c>
      <c r="C431" s="13" t="inlineStr">
        <is>
          <t>Muhammad Haerul Rozikin</t>
        </is>
      </c>
      <c r="D431" s="13" t="inlineStr">
        <is>
          <t>LOG</t>
        </is>
      </c>
      <c r="E431" s="13" t="inlineStr">
        <is>
          <t>WRM Harian</t>
        </is>
      </c>
      <c r="F431" s="170" t="n">
        <v>46185.74527777778</v>
      </c>
      <c r="G431" s="13" t="inlineStr">
        <is>
          <t>FREE</t>
        </is>
      </c>
      <c r="H431" s="170" t="n">
        <v>46185.96053240741</v>
      </c>
    </row>
    <row r="432">
      <c r="A432" s="13" t="inlineStr">
        <is>
          <t>MK00113</t>
        </is>
      </c>
      <c r="B432" s="13" t="n">
        <v>528000351</v>
      </c>
      <c r="C432" s="13" t="inlineStr">
        <is>
          <t>Mulyana</t>
        </is>
      </c>
      <c r="D432" s="13" t="inlineStr">
        <is>
          <t>PROD</t>
        </is>
      </c>
      <c r="E432" s="13" t="inlineStr">
        <is>
          <t>Produksi Harian</t>
        </is>
      </c>
      <c r="F432" s="170" t="n">
        <v>46185.75824074074</v>
      </c>
      <c r="G432" s="13" t="inlineStr">
        <is>
          <t>FREE</t>
        </is>
      </c>
      <c r="H432" s="170" t="n">
        <v>46185.96041666667</v>
      </c>
    </row>
    <row r="433">
      <c r="A433" s="13" t="inlineStr">
        <is>
          <t>MK00205</t>
        </is>
      </c>
      <c r="B433" s="13" t="n">
        <v>528000348</v>
      </c>
      <c r="C433" s="13" t="inlineStr">
        <is>
          <t>Saepuloh Ardiansah</t>
        </is>
      </c>
      <c r="D433" s="13" t="inlineStr">
        <is>
          <t>LOG</t>
        </is>
      </c>
      <c r="E433" s="13" t="inlineStr">
        <is>
          <t>WRM Harian</t>
        </is>
      </c>
      <c r="F433" s="170" t="n">
        <v>46185.78795138889</v>
      </c>
      <c r="G433" s="13" t="inlineStr">
        <is>
          <t>FREE</t>
        </is>
      </c>
      <c r="H433" s="170" t="n">
        <v>46188.07869212963</v>
      </c>
    </row>
    <row r="434">
      <c r="A434" s="13" t="inlineStr">
        <is>
          <t>MK00138</t>
        </is>
      </c>
      <c r="B434" s="13" t="n">
        <v>528000015</v>
      </c>
      <c r="C434" s="13" t="inlineStr">
        <is>
          <t>Erwin</t>
        </is>
      </c>
      <c r="D434" s="13" t="inlineStr">
        <is>
          <t>LOG</t>
        </is>
      </c>
      <c r="E434" s="13" t="inlineStr">
        <is>
          <t>WRM Harian</t>
        </is>
      </c>
      <c r="F434" s="170" t="n">
        <v>46185.94798611111</v>
      </c>
      <c r="G434" s="13" t="inlineStr">
        <is>
          <t>FREE</t>
        </is>
      </c>
      <c r="H434" s="170" t="n">
        <v>46186.16760416667</v>
      </c>
    </row>
    <row r="435">
      <c r="A435" s="13" t="inlineStr">
        <is>
          <t>MK00212</t>
        </is>
      </c>
      <c r="B435" s="13" t="n">
        <v>528000149</v>
      </c>
      <c r="C435" s="13" t="inlineStr">
        <is>
          <t>Tio Fernanda</t>
        </is>
      </c>
      <c r="D435" s="13" t="inlineStr">
        <is>
          <t>LOG</t>
        </is>
      </c>
      <c r="E435" s="13" t="inlineStr">
        <is>
          <t>WRM Harian</t>
        </is>
      </c>
      <c r="F435" s="170" t="n">
        <v>46185.94831018519</v>
      </c>
      <c r="G435" s="13" t="inlineStr">
        <is>
          <t>FREE</t>
        </is>
      </c>
      <c r="H435" s="170" t="n">
        <v>46186.166875</v>
      </c>
    </row>
    <row r="436">
      <c r="A436" s="13" t="inlineStr">
        <is>
          <t>MK00192</t>
        </is>
      </c>
      <c r="B436" s="13" t="n">
        <v>628000061</v>
      </c>
      <c r="C436" s="13" t="inlineStr">
        <is>
          <t>Nayla Fadillah Exwantoro</t>
        </is>
      </c>
      <c r="D436" s="13" t="inlineStr">
        <is>
          <t>PROD</t>
        </is>
      </c>
      <c r="E436" s="13" t="inlineStr">
        <is>
          <t>Produksi Borongan</t>
        </is>
      </c>
      <c r="F436" s="170" t="n">
        <v>46185.95236111111</v>
      </c>
      <c r="G436" s="13" t="inlineStr">
        <is>
          <t>FREE</t>
        </is>
      </c>
      <c r="H436" s="170" t="n">
        <v>46186.95962962963</v>
      </c>
    </row>
    <row r="437">
      <c r="A437" s="13" t="inlineStr">
        <is>
          <t>MK00213</t>
        </is>
      </c>
      <c r="B437" s="13" t="n">
        <v>528000144</v>
      </c>
      <c r="C437" s="13" t="inlineStr">
        <is>
          <t>Jodi Hanafi</t>
        </is>
      </c>
      <c r="D437" s="13" t="inlineStr">
        <is>
          <t>LOG</t>
        </is>
      </c>
      <c r="E437" s="13" t="inlineStr">
        <is>
          <t>WRM Harian</t>
        </is>
      </c>
      <c r="F437" s="170" t="n">
        <v>46185.95539351852</v>
      </c>
      <c r="G437" s="13" t="inlineStr">
        <is>
          <t>FREE</t>
        </is>
      </c>
      <c r="H437" s="170" t="n">
        <v>46187.73724537037</v>
      </c>
    </row>
    <row r="438">
      <c r="A438" s="13" t="inlineStr">
        <is>
          <t>MK00204</t>
        </is>
      </c>
      <c r="B438" s="13" t="n">
        <v>528000298</v>
      </c>
      <c r="C438" s="13" t="inlineStr">
        <is>
          <t>Desta Cahaya Pratama</t>
        </is>
      </c>
      <c r="D438" s="13" t="inlineStr">
        <is>
          <t>PROD</t>
        </is>
      </c>
      <c r="E438" s="13" t="inlineStr">
        <is>
          <t>Produksi Harian</t>
        </is>
      </c>
      <c r="F438" s="170" t="n">
        <v>46185.98224537037</v>
      </c>
      <c r="G438" s="13" t="inlineStr">
        <is>
          <t>FREE</t>
        </is>
      </c>
      <c r="H438" s="170" t="n">
        <v>46197.12728009259</v>
      </c>
    </row>
    <row r="439">
      <c r="A439" s="13" t="inlineStr">
        <is>
          <t>MK00221</t>
        </is>
      </c>
      <c r="B439" s="13" t="n">
        <v>528000299</v>
      </c>
      <c r="C439" s="13" t="inlineStr">
        <is>
          <t>Siti Nurjanah</t>
        </is>
      </c>
      <c r="D439" s="13" t="inlineStr">
        <is>
          <t>PROD</t>
        </is>
      </c>
      <c r="E439" s="13" t="inlineStr">
        <is>
          <t>Produksi Harian</t>
        </is>
      </c>
      <c r="F439" s="170" t="n">
        <v>46185.98806712963</v>
      </c>
      <c r="G439" s="13" t="inlineStr">
        <is>
          <t>FREE</t>
        </is>
      </c>
      <c r="H439" s="170" t="n">
        <v>46186.33833333333</v>
      </c>
    </row>
    <row r="440">
      <c r="A440" s="13" t="inlineStr">
        <is>
          <t>MK00151</t>
        </is>
      </c>
      <c r="B440" s="13" t="n">
        <v>528000270</v>
      </c>
      <c r="C440" s="13" t="inlineStr">
        <is>
          <t>Febri Najmudin</t>
        </is>
      </c>
      <c r="D440" s="13" t="inlineStr">
        <is>
          <t>LOG</t>
        </is>
      </c>
      <c r="E440" s="13" t="inlineStr">
        <is>
          <t>WRM Harian</t>
        </is>
      </c>
      <c r="F440" s="170" t="n">
        <v>46185.99056712963</v>
      </c>
      <c r="G440" s="13" t="inlineStr">
        <is>
          <t>FREE</t>
        </is>
      </c>
      <c r="H440" s="170" t="n">
        <v>46186.3703125</v>
      </c>
    </row>
    <row r="441">
      <c r="A441" s="13" t="inlineStr">
        <is>
          <t>MK00109</t>
        </is>
      </c>
      <c r="B441" s="13" t="n">
        <v>528000302</v>
      </c>
      <c r="C441" s="13" t="inlineStr">
        <is>
          <t>Henkey gumilar</t>
        </is>
      </c>
      <c r="D441" s="13" t="inlineStr">
        <is>
          <t>PROD</t>
        </is>
      </c>
      <c r="E441" s="13" t="inlineStr">
        <is>
          <t>Produksi Harian</t>
        </is>
      </c>
      <c r="F441" s="170" t="n">
        <v>46185.99225694445</v>
      </c>
      <c r="G441" s="13" t="inlineStr">
        <is>
          <t>FREE</t>
        </is>
      </c>
      <c r="H441" s="170" t="n">
        <v>46186.34164351852</v>
      </c>
    </row>
    <row r="442">
      <c r="A442" s="13" t="inlineStr">
        <is>
          <t>MK00113</t>
        </is>
      </c>
      <c r="B442" s="13" t="n">
        <v>628000091</v>
      </c>
      <c r="C442" s="13" t="inlineStr">
        <is>
          <t>Devita Handayani</t>
        </is>
      </c>
      <c r="D442" s="13" t="inlineStr">
        <is>
          <t>PROD</t>
        </is>
      </c>
      <c r="E442" s="13" t="inlineStr">
        <is>
          <t>Produksi Borongan</t>
        </is>
      </c>
      <c r="F442" s="170" t="n">
        <v>46186.12136574074</v>
      </c>
      <c r="G442" s="13" t="inlineStr">
        <is>
          <t>FREE</t>
        </is>
      </c>
      <c r="H442" s="170" t="n">
        <v>46187.2216087963</v>
      </c>
    </row>
    <row r="443">
      <c r="A443" s="13" t="inlineStr">
        <is>
          <t>MK00085</t>
        </is>
      </c>
      <c r="B443" s="13" t="n">
        <v>528000238</v>
      </c>
      <c r="C443" s="13" t="inlineStr">
        <is>
          <t>Indah Lusiana</t>
        </is>
      </c>
      <c r="D443" s="13" t="inlineStr">
        <is>
          <t>PROD</t>
        </is>
      </c>
      <c r="E443" s="13" t="inlineStr">
        <is>
          <t>Produksi Harian</t>
        </is>
      </c>
      <c r="F443" s="170" t="n">
        <v>46186.31228009259</v>
      </c>
      <c r="G443" s="13" t="inlineStr">
        <is>
          <t>FREE</t>
        </is>
      </c>
      <c r="H443" s="170" t="n">
        <v>46186.67142361111</v>
      </c>
    </row>
    <row r="444">
      <c r="A444" s="13" t="inlineStr">
        <is>
          <t>MK00082</t>
        </is>
      </c>
      <c r="B444" s="13" t="n">
        <v>528000306</v>
      </c>
      <c r="C444" s="13" t="inlineStr">
        <is>
          <t>Windy Olivia</t>
        </is>
      </c>
      <c r="D444" s="13" t="inlineStr">
        <is>
          <t>PROD</t>
        </is>
      </c>
      <c r="E444" s="13" t="inlineStr">
        <is>
          <t>Produksi Harian</t>
        </is>
      </c>
      <c r="F444" s="170" t="n">
        <v>46186.31734953704</v>
      </c>
      <c r="G444" s="13" t="inlineStr">
        <is>
          <t>FREE</t>
        </is>
      </c>
      <c r="H444" s="170" t="n">
        <v>46187.65945601852</v>
      </c>
    </row>
    <row r="445">
      <c r="A445" s="13" t="inlineStr">
        <is>
          <t>MK00207</t>
        </is>
      </c>
      <c r="B445" s="13" t="n">
        <v>528000279</v>
      </c>
      <c r="C445" s="13" t="inlineStr">
        <is>
          <t>Mahdalena Dalfa Riani</t>
        </is>
      </c>
      <c r="D445" s="13" t="inlineStr">
        <is>
          <t>PROD</t>
        </is>
      </c>
      <c r="E445" s="13" t="inlineStr">
        <is>
          <t>Produksi Harian</t>
        </is>
      </c>
      <c r="F445" s="170" t="n">
        <v>46186.32246527778</v>
      </c>
      <c r="G445" s="13" t="inlineStr">
        <is>
          <t>FREE</t>
        </is>
      </c>
      <c r="H445" s="170" t="n">
        <v>46186.66918981481</v>
      </c>
    </row>
    <row r="446">
      <c r="A446" s="13" t="inlineStr">
        <is>
          <t>MK00208</t>
        </is>
      </c>
      <c r="B446" s="13" t="n">
        <v>528000297</v>
      </c>
      <c r="C446" s="13" t="inlineStr">
        <is>
          <t>Muhamad Budiana</t>
        </is>
      </c>
      <c r="D446" s="13" t="inlineStr">
        <is>
          <t>PROD</t>
        </is>
      </c>
      <c r="E446" s="13" t="inlineStr">
        <is>
          <t>Produksi Harian</t>
        </is>
      </c>
      <c r="F446" s="170" t="n">
        <v>46186.32576388889</v>
      </c>
      <c r="G446" s="13" t="inlineStr">
        <is>
          <t>FREE</t>
        </is>
      </c>
      <c r="H446" s="170" t="n">
        <v>46186.70034722222</v>
      </c>
    </row>
    <row r="447">
      <c r="A447" s="13" t="inlineStr">
        <is>
          <t>MK00228</t>
        </is>
      </c>
      <c r="B447" s="13" t="n">
        <v>628000064</v>
      </c>
      <c r="C447" s="13" t="inlineStr">
        <is>
          <t>Silva Alypia</t>
        </is>
      </c>
      <c r="D447" s="13" t="inlineStr">
        <is>
          <t>PROD</t>
        </is>
      </c>
      <c r="E447" s="13" t="inlineStr">
        <is>
          <t>Produksi Borongan</t>
        </is>
      </c>
      <c r="F447" s="170" t="n">
        <v>46186.32638888889</v>
      </c>
      <c r="G447" s="13" t="inlineStr">
        <is>
          <t>FREE</t>
        </is>
      </c>
      <c r="H447" s="170" t="n">
        <v>46186.67034722222</v>
      </c>
    </row>
    <row r="448">
      <c r="A448" s="13" t="inlineStr">
        <is>
          <t>MK00151</t>
        </is>
      </c>
      <c r="B448" s="13" t="n">
        <v>528000262</v>
      </c>
      <c r="C448" s="13" t="inlineStr">
        <is>
          <t>Ndari Dwiwanti</t>
        </is>
      </c>
      <c r="D448" s="13" t="inlineStr">
        <is>
          <t>PROD</t>
        </is>
      </c>
      <c r="E448" s="13" t="inlineStr">
        <is>
          <t>Produksi Harian</t>
        </is>
      </c>
      <c r="F448" s="170" t="n">
        <v>46186.64849537037</v>
      </c>
      <c r="G448" s="13" t="inlineStr">
        <is>
          <t>FREE</t>
        </is>
      </c>
      <c r="H448" s="170" t="n">
        <v>46187.00314814815</v>
      </c>
    </row>
    <row r="449">
      <c r="A449" s="13" t="inlineStr">
        <is>
          <t>MK00141</t>
        </is>
      </c>
      <c r="B449" s="13" t="n">
        <v>528000358</v>
      </c>
      <c r="C449" s="13" t="inlineStr">
        <is>
          <t>Lulu Agustin</t>
        </is>
      </c>
      <c r="D449" s="13" t="inlineStr">
        <is>
          <t>PROD</t>
        </is>
      </c>
      <c r="E449" s="13" t="inlineStr">
        <is>
          <t>Produksi Harian</t>
        </is>
      </c>
      <c r="F449" s="170" t="n">
        <v>46186.64863425926</v>
      </c>
      <c r="G449" s="13" t="inlineStr">
        <is>
          <t>FREE</t>
        </is>
      </c>
      <c r="H449" s="170" t="n">
        <v>46187.00368055556</v>
      </c>
    </row>
    <row r="450">
      <c r="A450" s="13" t="inlineStr">
        <is>
          <t>MK00210</t>
        </is>
      </c>
      <c r="B450" s="13" t="n">
        <v>528000266</v>
      </c>
      <c r="C450" s="13" t="inlineStr">
        <is>
          <t>M. Syirajatieq</t>
        </is>
      </c>
      <c r="D450" s="13" t="inlineStr">
        <is>
          <t>LOG</t>
        </is>
      </c>
      <c r="E450" s="13" t="inlineStr">
        <is>
          <t>WFG Harian</t>
        </is>
      </c>
      <c r="F450" s="170" t="n">
        <v>46186.65461805555</v>
      </c>
      <c r="G450" s="13" t="inlineStr">
        <is>
          <t>FREE</t>
        </is>
      </c>
      <c r="H450" s="170" t="n">
        <v>46187.01386574074</v>
      </c>
    </row>
    <row r="451">
      <c r="A451" s="13" t="inlineStr">
        <is>
          <t>MK00150</t>
        </is>
      </c>
      <c r="B451" s="13" t="n">
        <v>528000283</v>
      </c>
      <c r="C451" s="13" t="inlineStr">
        <is>
          <t>Purwanda Sugiri</t>
        </is>
      </c>
      <c r="D451" s="13" t="inlineStr">
        <is>
          <t>LOG</t>
        </is>
      </c>
      <c r="E451" s="13" t="inlineStr">
        <is>
          <t>WRM Harian</t>
        </is>
      </c>
      <c r="F451" s="170" t="n">
        <v>46186.65770833333</v>
      </c>
      <c r="G451" s="13" t="inlineStr">
        <is>
          <t>FREE</t>
        </is>
      </c>
      <c r="H451" s="170" t="n">
        <v>46187.00457175926</v>
      </c>
    </row>
    <row r="452">
      <c r="A452" s="13" t="inlineStr">
        <is>
          <t>MK00088</t>
        </is>
      </c>
      <c r="B452" s="13" t="n">
        <v>528000291</v>
      </c>
      <c r="C452" s="13" t="inlineStr">
        <is>
          <t>Andrian</t>
        </is>
      </c>
      <c r="D452" s="13" t="inlineStr">
        <is>
          <t>PROD</t>
        </is>
      </c>
      <c r="E452" s="13" t="inlineStr">
        <is>
          <t>Produksi Harian</t>
        </is>
      </c>
      <c r="F452" s="170" t="n">
        <v>46186.65952546296</v>
      </c>
      <c r="G452" s="13" t="inlineStr">
        <is>
          <t>FREE</t>
        </is>
      </c>
      <c r="H452" s="170" t="n">
        <v>46187.00346064815</v>
      </c>
    </row>
    <row r="453">
      <c r="A453" s="13" t="inlineStr">
        <is>
          <t>MK00228</t>
        </is>
      </c>
      <c r="B453" s="13" t="n">
        <v>528000015</v>
      </c>
      <c r="C453" s="13" t="inlineStr">
        <is>
          <t>Erwin</t>
        </is>
      </c>
      <c r="D453" s="13" t="inlineStr">
        <is>
          <t>LOG</t>
        </is>
      </c>
      <c r="E453" s="13" t="inlineStr">
        <is>
          <t>WRM Harian</t>
        </is>
      </c>
      <c r="F453" s="170" t="n">
        <v>46186.74333333333</v>
      </c>
      <c r="G453" s="13" t="inlineStr">
        <is>
          <t>FREE</t>
        </is>
      </c>
      <c r="H453" s="170" t="n">
        <v>46187.08503472222</v>
      </c>
    </row>
    <row r="454">
      <c r="A454" s="13" t="inlineStr">
        <is>
          <t>MK00138</t>
        </is>
      </c>
      <c r="B454" s="13" t="n">
        <v>528000265</v>
      </c>
      <c r="C454" s="13" t="inlineStr">
        <is>
          <t>Muhammad Haerul Rozikin</t>
        </is>
      </c>
      <c r="D454" s="13" t="inlineStr">
        <is>
          <t>LOG</t>
        </is>
      </c>
      <c r="E454" s="13" t="inlineStr">
        <is>
          <t>WRM Harian</t>
        </is>
      </c>
      <c r="F454" s="170" t="n">
        <v>46186.74643518519</v>
      </c>
      <c r="G454" s="13" t="inlineStr">
        <is>
          <t>FREE</t>
        </is>
      </c>
      <c r="H454" s="170" t="n">
        <v>46187.08900462963</v>
      </c>
    </row>
    <row r="455">
      <c r="A455" s="13" t="inlineStr">
        <is>
          <t>MK00202</t>
        </is>
      </c>
      <c r="B455" s="13" t="n">
        <v>528000287</v>
      </c>
      <c r="C455" s="13" t="inlineStr">
        <is>
          <t>Muhamad Angga Ramdani</t>
        </is>
      </c>
      <c r="D455" s="13" t="inlineStr">
        <is>
          <t>PROD</t>
        </is>
      </c>
      <c r="E455" s="13" t="inlineStr">
        <is>
          <t>Produksi Harian</t>
        </is>
      </c>
      <c r="F455" s="170" t="n">
        <v>46186.75604166667</v>
      </c>
      <c r="G455" s="13" t="inlineStr">
        <is>
          <t>FREE</t>
        </is>
      </c>
      <c r="H455" s="170" t="n">
        <v>46187.09228009259</v>
      </c>
    </row>
    <row r="456">
      <c r="A456" s="13" t="inlineStr">
        <is>
          <t>MK00160</t>
        </is>
      </c>
      <c r="B456" s="13" t="n">
        <v>628000061</v>
      </c>
      <c r="C456" s="13" t="inlineStr">
        <is>
          <t>Nayla Fadillah Exwantoro</t>
        </is>
      </c>
      <c r="D456" s="13" t="inlineStr">
        <is>
          <t>PROD</t>
        </is>
      </c>
      <c r="E456" s="13" t="inlineStr">
        <is>
          <t>Produksi Borongan</t>
        </is>
      </c>
      <c r="F456" s="170" t="n">
        <v>46186.95990740741</v>
      </c>
      <c r="G456" s="13" t="inlineStr">
        <is>
          <t>FREE</t>
        </is>
      </c>
      <c r="H456" s="170" t="n">
        <v>46188.95912037037</v>
      </c>
    </row>
    <row r="457">
      <c r="A457" s="13" t="inlineStr">
        <is>
          <t>MK00156</t>
        </is>
      </c>
      <c r="B457" s="13" t="n">
        <v>528000282</v>
      </c>
      <c r="C457" s="13" t="inlineStr">
        <is>
          <t>Defa Desfiana</t>
        </is>
      </c>
      <c r="D457" s="13" t="inlineStr">
        <is>
          <t>PROD</t>
        </is>
      </c>
      <c r="E457" s="13" t="inlineStr">
        <is>
          <t>Produksi Harian</t>
        </is>
      </c>
      <c r="F457" s="170" t="n">
        <v>46186.98248842593</v>
      </c>
      <c r="G457" s="13" t="inlineStr">
        <is>
          <t>FREE</t>
        </is>
      </c>
      <c r="H457" s="170" t="n">
        <v>46187.33560185185</v>
      </c>
    </row>
    <row r="458">
      <c r="A458" s="13" t="inlineStr">
        <is>
          <t>MK00181</t>
        </is>
      </c>
      <c r="B458" s="13" t="n">
        <v>528000302</v>
      </c>
      <c r="C458" s="13" t="inlineStr">
        <is>
          <t>Henkey gumilar</t>
        </is>
      </c>
      <c r="D458" s="13" t="inlineStr">
        <is>
          <t>PROD</t>
        </is>
      </c>
      <c r="E458" s="13" t="inlineStr">
        <is>
          <t>Produksi Harian</t>
        </is>
      </c>
      <c r="F458" s="170" t="n">
        <v>46186.98469907408</v>
      </c>
      <c r="G458" s="13" t="inlineStr">
        <is>
          <t>FREE</t>
        </is>
      </c>
      <c r="H458" s="170" t="n">
        <v>46187.3403125</v>
      </c>
    </row>
    <row r="459">
      <c r="A459" s="13" t="inlineStr">
        <is>
          <t>MK00221</t>
        </is>
      </c>
      <c r="B459" s="13" t="n">
        <v>528000299</v>
      </c>
      <c r="C459" s="13" t="inlineStr">
        <is>
          <t>Siti Nurjanah</t>
        </is>
      </c>
      <c r="D459" s="13" t="inlineStr">
        <is>
          <t>PROD</t>
        </is>
      </c>
      <c r="E459" s="13" t="inlineStr">
        <is>
          <t>Produksi Harian</t>
        </is>
      </c>
      <c r="F459" s="170" t="n">
        <v>46186.98909722222</v>
      </c>
      <c r="G459" s="13" t="inlineStr">
        <is>
          <t>FREE</t>
        </is>
      </c>
      <c r="H459" s="170" t="n">
        <v>46192.65675925926</v>
      </c>
    </row>
    <row r="460">
      <c r="A460" s="13" t="inlineStr">
        <is>
          <t>MK00158</t>
        </is>
      </c>
      <c r="B460" s="13" t="n">
        <v>528000270</v>
      </c>
      <c r="C460" s="13" t="inlineStr">
        <is>
          <t>Febri Najmudin</t>
        </is>
      </c>
      <c r="D460" s="13" t="inlineStr">
        <is>
          <t>LOG</t>
        </is>
      </c>
      <c r="E460" s="13" t="inlineStr">
        <is>
          <t>WRM Harian</t>
        </is>
      </c>
      <c r="F460" s="170" t="n">
        <v>46186.99045138889</v>
      </c>
      <c r="G460" s="13" t="inlineStr">
        <is>
          <t>FREE</t>
        </is>
      </c>
      <c r="H460" s="170" t="n">
        <v>46187.33792824074</v>
      </c>
    </row>
    <row r="461">
      <c r="A461" s="13" t="inlineStr">
        <is>
          <t>MK00250</t>
        </is>
      </c>
      <c r="B461" s="13" t="n">
        <v>628000091</v>
      </c>
      <c r="C461" s="13" t="inlineStr">
        <is>
          <t>Devita Handayani</t>
        </is>
      </c>
      <c r="D461" s="13" t="inlineStr">
        <is>
          <t>PROD</t>
        </is>
      </c>
      <c r="E461" s="13" t="inlineStr">
        <is>
          <t>Produksi Borongan</t>
        </is>
      </c>
      <c r="F461" s="170" t="n">
        <v>46187.22225694444</v>
      </c>
      <c r="G461" s="13" t="inlineStr">
        <is>
          <t>FREE</t>
        </is>
      </c>
      <c r="H461" s="170" t="n">
        <v>46195.98891203704</v>
      </c>
    </row>
    <row r="462">
      <c r="A462" s="13" t="inlineStr">
        <is>
          <t>MK00150</t>
        </is>
      </c>
      <c r="B462" s="13" t="n">
        <v>628000064</v>
      </c>
      <c r="C462" s="13" t="inlineStr">
        <is>
          <t>Silva Alypia</t>
        </is>
      </c>
      <c r="D462" s="13" t="inlineStr">
        <is>
          <t>PROD</t>
        </is>
      </c>
      <c r="E462" s="13" t="inlineStr">
        <is>
          <t>Produksi Borongan</t>
        </is>
      </c>
      <c r="F462" s="170" t="n">
        <v>46187.32584490741</v>
      </c>
      <c r="G462" s="13" t="inlineStr">
        <is>
          <t>FREE</t>
        </is>
      </c>
      <c r="H462" s="170" t="n">
        <v>46187.6709837963</v>
      </c>
    </row>
    <row r="463">
      <c r="A463" s="13" t="inlineStr">
        <is>
          <t>MK00210</t>
        </is>
      </c>
      <c r="B463" s="13" t="n">
        <v>528000279</v>
      </c>
      <c r="C463" s="13" t="inlineStr">
        <is>
          <t>Mahdalena Dalfa Riani</t>
        </is>
      </c>
      <c r="D463" s="13" t="inlineStr">
        <is>
          <t>PROD</t>
        </is>
      </c>
      <c r="E463" s="13" t="inlineStr">
        <is>
          <t>Produksi Harian</t>
        </is>
      </c>
      <c r="F463" s="170" t="n">
        <v>46187.32599537037</v>
      </c>
      <c r="G463" s="13" t="inlineStr">
        <is>
          <t>FREE</t>
        </is>
      </c>
      <c r="H463" s="170" t="n">
        <v>46187.6696875</v>
      </c>
    </row>
    <row r="464">
      <c r="A464" s="13" t="inlineStr">
        <is>
          <t>MK00138</t>
        </is>
      </c>
      <c r="B464" s="13" t="n">
        <v>528000297</v>
      </c>
      <c r="C464" s="13" t="inlineStr">
        <is>
          <t>Muhamad Budiana</t>
        </is>
      </c>
      <c r="D464" s="13" t="inlineStr">
        <is>
          <t>PROD</t>
        </is>
      </c>
      <c r="E464" s="13" t="inlineStr">
        <is>
          <t>Produksi Harian</t>
        </is>
      </c>
      <c r="F464" s="170" t="n">
        <v>46187.32828703704</v>
      </c>
      <c r="G464" s="13" t="inlineStr">
        <is>
          <t>FREE</t>
        </is>
      </c>
      <c r="H464" s="170" t="n">
        <v>46187.7121412037</v>
      </c>
    </row>
    <row r="465">
      <c r="A465" s="13" t="inlineStr">
        <is>
          <t>MK00230</t>
        </is>
      </c>
      <c r="B465" s="13" t="n">
        <v>528000358</v>
      </c>
      <c r="C465" s="13" t="inlineStr">
        <is>
          <t>Lulu Agustin</t>
        </is>
      </c>
      <c r="D465" s="13" t="inlineStr">
        <is>
          <t>PROD</t>
        </is>
      </c>
      <c r="E465" s="13" t="inlineStr">
        <is>
          <t>Produksi Harian</t>
        </is>
      </c>
      <c r="F465" s="170" t="n">
        <v>46187.64917824074</v>
      </c>
      <c r="G465" s="13" t="inlineStr">
        <is>
          <t>FREE</t>
        </is>
      </c>
      <c r="H465" s="170" t="n">
        <v>46187.99790509259</v>
      </c>
    </row>
    <row r="466">
      <c r="A466" s="13" t="inlineStr">
        <is>
          <t>MK00203</t>
        </is>
      </c>
      <c r="B466" s="13" t="n">
        <v>528000195</v>
      </c>
      <c r="C466" s="13" t="inlineStr">
        <is>
          <t>Rahma Sariwati</t>
        </is>
      </c>
      <c r="D466" s="13" t="inlineStr">
        <is>
          <t>PROD</t>
        </is>
      </c>
      <c r="E466" s="13" t="inlineStr">
        <is>
          <t>Produksi Harian</t>
        </is>
      </c>
      <c r="F466" s="170" t="n">
        <v>46187.65506944444</v>
      </c>
      <c r="G466" s="13" t="inlineStr">
        <is>
          <t>FREE</t>
        </is>
      </c>
      <c r="H466" s="170" t="n">
        <v>46188.00092592592</v>
      </c>
    </row>
    <row r="467">
      <c r="A467" s="13" t="inlineStr">
        <is>
          <t>MK00207</t>
        </is>
      </c>
      <c r="B467" s="13" t="n">
        <v>528000266</v>
      </c>
      <c r="C467" s="13" t="inlineStr">
        <is>
          <t>M. Syirajatieq</t>
        </is>
      </c>
      <c r="D467" s="13" t="inlineStr">
        <is>
          <t>LOG</t>
        </is>
      </c>
      <c r="E467" s="13" t="inlineStr">
        <is>
          <t>WFG Harian</t>
        </is>
      </c>
      <c r="F467" s="170" t="n">
        <v>46187.65542824074</v>
      </c>
      <c r="G467" s="13" t="inlineStr">
        <is>
          <t>FREE</t>
        </is>
      </c>
      <c r="H467" s="170" t="n">
        <v>46188.02961805555</v>
      </c>
    </row>
    <row r="468">
      <c r="A468" s="13" t="inlineStr">
        <is>
          <t>MK00208</t>
        </is>
      </c>
      <c r="B468" s="13" t="n">
        <v>528000262</v>
      </c>
      <c r="C468" s="13" t="inlineStr">
        <is>
          <t>Ndari Dwiwanti</t>
        </is>
      </c>
      <c r="D468" s="13" t="inlineStr">
        <is>
          <t>PROD</t>
        </is>
      </c>
      <c r="E468" s="13" t="inlineStr">
        <is>
          <t>Produksi Harian</t>
        </is>
      </c>
      <c r="F468" s="170" t="n">
        <v>46187.65596064815</v>
      </c>
      <c r="G468" s="13" t="inlineStr">
        <is>
          <t>FREE</t>
        </is>
      </c>
      <c r="H468" s="170" t="n">
        <v>46188.00097222222</v>
      </c>
    </row>
    <row r="469">
      <c r="A469" s="13" t="inlineStr">
        <is>
          <t>MK00158</t>
        </is>
      </c>
      <c r="B469" s="13" t="n">
        <v>528000306</v>
      </c>
      <c r="C469" s="13" t="inlineStr">
        <is>
          <t>Windy Olivia</t>
        </is>
      </c>
      <c r="D469" s="13" t="inlineStr">
        <is>
          <t>PROD</t>
        </is>
      </c>
      <c r="E469" s="13" t="inlineStr">
        <is>
          <t>Produksi Harian</t>
        </is>
      </c>
      <c r="F469" s="170" t="n">
        <v>46187.65993055556</v>
      </c>
      <c r="G469" s="13" t="inlineStr">
        <is>
          <t>FREE</t>
        </is>
      </c>
      <c r="H469" s="170" t="n">
        <v>46188.00178240741</v>
      </c>
    </row>
    <row r="470">
      <c r="A470" s="13" t="inlineStr">
        <is>
          <t>MK00116</t>
        </is>
      </c>
      <c r="B470" s="13" t="n">
        <v>528000283</v>
      </c>
      <c r="C470" s="13" t="inlineStr">
        <is>
          <t>Purwanda Sugiri</t>
        </is>
      </c>
      <c r="D470" s="13" t="inlineStr">
        <is>
          <t>LOG</t>
        </is>
      </c>
      <c r="E470" s="13" t="inlineStr">
        <is>
          <t>WRM Harian</t>
        </is>
      </c>
      <c r="F470" s="170" t="n">
        <v>46187.66266203704</v>
      </c>
      <c r="G470" s="13" t="inlineStr">
        <is>
          <t>FREE</t>
        </is>
      </c>
      <c r="H470" s="170" t="n">
        <v>46188.0034837963</v>
      </c>
    </row>
    <row r="471">
      <c r="A471" s="13" t="inlineStr">
        <is>
          <t>MK00213</t>
        </is>
      </c>
      <c r="B471" s="13" t="n">
        <v>528000144</v>
      </c>
      <c r="C471" s="13" t="inlineStr">
        <is>
          <t>Jodi Hanafi</t>
        </is>
      </c>
      <c r="D471" s="13" t="inlineStr">
        <is>
          <t>LOG</t>
        </is>
      </c>
      <c r="E471" s="13" t="inlineStr">
        <is>
          <t>WRM Harian</t>
        </is>
      </c>
      <c r="F471" s="170" t="n">
        <v>46187.73747685185</v>
      </c>
      <c r="G471" s="13" t="inlineStr">
        <is>
          <t>FREE</t>
        </is>
      </c>
      <c r="H471" s="170" t="n">
        <v>46188.08560185185</v>
      </c>
    </row>
    <row r="472">
      <c r="A472" s="13" t="inlineStr">
        <is>
          <t>MK00150</t>
        </is>
      </c>
      <c r="B472" s="13" t="n">
        <v>528000015</v>
      </c>
      <c r="C472" s="13" t="inlineStr">
        <is>
          <t>Erwin</t>
        </is>
      </c>
      <c r="D472" s="13" t="inlineStr">
        <is>
          <t>LOG</t>
        </is>
      </c>
      <c r="E472" s="13" t="inlineStr">
        <is>
          <t>WRM Harian</t>
        </is>
      </c>
      <c r="F472" s="170" t="n">
        <v>46187.73859953704</v>
      </c>
      <c r="G472" s="13" t="inlineStr">
        <is>
          <t>FREE</t>
        </is>
      </c>
      <c r="H472" s="170" t="n">
        <v>46188.10444444444</v>
      </c>
    </row>
    <row r="473">
      <c r="A473" s="13" t="inlineStr">
        <is>
          <t>MK00210</t>
        </is>
      </c>
      <c r="B473" s="13" t="n">
        <v>528000287</v>
      </c>
      <c r="C473" s="13" t="inlineStr">
        <is>
          <t>Muhamad Angga Ramdani</t>
        </is>
      </c>
      <c r="D473" s="13" t="inlineStr">
        <is>
          <t>PROD</t>
        </is>
      </c>
      <c r="E473" s="13" t="inlineStr">
        <is>
          <t>Produksi Harian</t>
        </is>
      </c>
      <c r="F473" s="170" t="n">
        <v>46187.74482638889</v>
      </c>
      <c r="G473" s="13" t="inlineStr">
        <is>
          <t>FREE</t>
        </is>
      </c>
      <c r="H473" s="170" t="n">
        <v>46188.08732638889</v>
      </c>
    </row>
    <row r="474">
      <c r="A474" s="13" t="inlineStr">
        <is>
          <t>MK00249</t>
        </is>
      </c>
      <c r="B474" s="13" t="n">
        <v>528000349</v>
      </c>
      <c r="C474" s="13" t="inlineStr">
        <is>
          <t>Anas Abdul Fatah</t>
        </is>
      </c>
      <c r="D474" s="13" t="inlineStr">
        <is>
          <t>LOG</t>
        </is>
      </c>
      <c r="E474" s="13" t="inlineStr">
        <is>
          <t>WFG Harian</t>
        </is>
      </c>
      <c r="F474" s="170" t="n">
        <v>46187.7450925926</v>
      </c>
      <c r="G474" s="13" t="inlineStr">
        <is>
          <t>FREE</t>
        </is>
      </c>
      <c r="H474" s="170" t="n">
        <v>46188.09091435185</v>
      </c>
    </row>
    <row r="475">
      <c r="A475" s="13" t="inlineStr">
        <is>
          <t>MK00145</t>
        </is>
      </c>
      <c r="B475" s="13" t="n">
        <v>528000265</v>
      </c>
      <c r="C475" s="13" t="inlineStr">
        <is>
          <t>Muhammad Haerul Rozikin</t>
        </is>
      </c>
      <c r="D475" s="13" t="inlineStr">
        <is>
          <t>LOG</t>
        </is>
      </c>
      <c r="E475" s="13" t="inlineStr">
        <is>
          <t>WRM Harian</t>
        </is>
      </c>
      <c r="F475" s="170" t="n">
        <v>46187.74690972222</v>
      </c>
      <c r="G475" s="13" t="inlineStr">
        <is>
          <t>FREE</t>
        </is>
      </c>
      <c r="H475" s="170" t="n">
        <v>46188.08607638889</v>
      </c>
    </row>
    <row r="476">
      <c r="A476" s="13" t="inlineStr">
        <is>
          <t>MK00156</t>
        </is>
      </c>
      <c r="B476" s="13" t="n">
        <v>528000270</v>
      </c>
      <c r="C476" s="13" t="inlineStr">
        <is>
          <t>Febri Najmudin</t>
        </is>
      </c>
      <c r="D476" s="13" t="inlineStr">
        <is>
          <t>LOG</t>
        </is>
      </c>
      <c r="E476" s="13" t="inlineStr">
        <is>
          <t>WRM Harian</t>
        </is>
      </c>
      <c r="F476" s="170" t="n">
        <v>46187.80899305556</v>
      </c>
      <c r="G476" s="13" t="inlineStr">
        <is>
          <t>FREE</t>
        </is>
      </c>
      <c r="H476" s="170" t="n">
        <v>46188.35179398148</v>
      </c>
    </row>
    <row r="477">
      <c r="A477" s="13" t="inlineStr">
        <is>
          <t>MK00109</t>
        </is>
      </c>
      <c r="B477" s="13" t="n">
        <v>528000305</v>
      </c>
      <c r="C477" s="13" t="inlineStr">
        <is>
          <t>Puji Puspita</t>
        </is>
      </c>
      <c r="D477" s="13" t="inlineStr">
        <is>
          <t>PROD</t>
        </is>
      </c>
      <c r="E477" s="13" t="inlineStr">
        <is>
          <t>Produksi Harian</t>
        </is>
      </c>
      <c r="F477" s="170" t="n">
        <v>46187.9822337963</v>
      </c>
      <c r="G477" s="13" t="inlineStr">
        <is>
          <t>FREE</t>
        </is>
      </c>
      <c r="H477" s="170" t="n">
        <v>46188.33773148148</v>
      </c>
    </row>
    <row r="478">
      <c r="A478" s="13" t="inlineStr">
        <is>
          <t>MK00151</t>
        </is>
      </c>
      <c r="B478" s="13" t="n">
        <v>528000302</v>
      </c>
      <c r="C478" s="13" t="inlineStr">
        <is>
          <t>Henkey gumilar</t>
        </is>
      </c>
      <c r="D478" s="13" t="inlineStr">
        <is>
          <t>PROD</t>
        </is>
      </c>
      <c r="E478" s="13" t="inlineStr">
        <is>
          <t>Produksi Harian</t>
        </is>
      </c>
      <c r="F478" s="170" t="n">
        <v>46187.99233796296</v>
      </c>
      <c r="G478" s="13" t="inlineStr">
        <is>
          <t>FREE</t>
        </is>
      </c>
      <c r="H478" s="170" t="n">
        <v>46188.34171296296</v>
      </c>
    </row>
    <row r="479">
      <c r="A479" s="13" t="inlineStr">
        <is>
          <t>MK00207</t>
        </is>
      </c>
      <c r="B479" s="13" t="n">
        <v>528000292</v>
      </c>
      <c r="C479" s="13" t="inlineStr">
        <is>
          <t>Aditia Nugraha</t>
        </is>
      </c>
      <c r="D479" s="13" t="inlineStr">
        <is>
          <t>PROD</t>
        </is>
      </c>
      <c r="E479" s="13" t="inlineStr">
        <is>
          <t>Produksi Harian</t>
        </is>
      </c>
      <c r="F479" s="170" t="n">
        <v>46188.07625</v>
      </c>
      <c r="G479" s="13" t="inlineStr">
        <is>
          <t>FREE</t>
        </is>
      </c>
      <c r="H479" s="170" t="n">
        <v>46188.71153935185</v>
      </c>
    </row>
    <row r="480">
      <c r="A480" s="13" t="inlineStr">
        <is>
          <t>MK00138</t>
        </is>
      </c>
      <c r="B480" s="13" t="n">
        <v>528000273</v>
      </c>
      <c r="C480" s="13" t="inlineStr">
        <is>
          <t>Asep Mulyana</t>
        </is>
      </c>
      <c r="D480" s="13" t="inlineStr">
        <is>
          <t>PROD</t>
        </is>
      </c>
      <c r="E480" s="13" t="inlineStr">
        <is>
          <t>Produksi Harian</t>
        </is>
      </c>
      <c r="F480" s="170" t="n">
        <v>46188.07789351852</v>
      </c>
      <c r="G480" s="13" t="inlineStr">
        <is>
          <t>FREE</t>
        </is>
      </c>
      <c r="H480" s="170" t="n">
        <v>46188.41703703703</v>
      </c>
    </row>
    <row r="481">
      <c r="A481" s="13" t="inlineStr">
        <is>
          <t>MK00205</t>
        </is>
      </c>
      <c r="B481" s="13" t="n">
        <v>528000348</v>
      </c>
      <c r="C481" s="13" t="inlineStr">
        <is>
          <t>Saepuloh Ardiansah</t>
        </is>
      </c>
      <c r="D481" s="13" t="inlineStr">
        <is>
          <t>LOG</t>
        </is>
      </c>
      <c r="E481" s="13" t="inlineStr">
        <is>
          <t>WRM Harian</t>
        </is>
      </c>
      <c r="F481" s="170" t="n">
        <v>46188.07888888889</v>
      </c>
      <c r="G481" s="13" t="inlineStr">
        <is>
          <t>FREE</t>
        </is>
      </c>
      <c r="H481" s="170" t="n">
        <v>46188.89231481482</v>
      </c>
    </row>
    <row r="482">
      <c r="A482" s="13" t="inlineStr">
        <is>
          <t>MK00055</t>
        </is>
      </c>
      <c r="B482" s="13" t="n">
        <v>528000212</v>
      </c>
      <c r="C482" s="13" t="inlineStr">
        <is>
          <t>Rizal Fauzi</t>
        </is>
      </c>
      <c r="D482" s="13" t="inlineStr">
        <is>
          <t>PROD</t>
        </is>
      </c>
      <c r="E482" s="13" t="inlineStr">
        <is>
          <t>Produksi Harian</t>
        </is>
      </c>
      <c r="F482" s="170" t="n">
        <v>46188.28594907407</v>
      </c>
      <c r="G482" s="13" t="inlineStr">
        <is>
          <t>FREE</t>
        </is>
      </c>
      <c r="H482" s="170" t="n">
        <v>46188.67185185185</v>
      </c>
    </row>
    <row r="483">
      <c r="A483" s="13" t="inlineStr">
        <is>
          <t>MK00249</t>
        </is>
      </c>
      <c r="B483" s="13" t="n">
        <v>528000244</v>
      </c>
      <c r="C483" s="13" t="inlineStr">
        <is>
          <t>Rodian Rifai</t>
        </is>
      </c>
      <c r="D483" s="13" t="inlineStr">
        <is>
          <t>PROD</t>
        </is>
      </c>
      <c r="E483" s="13" t="inlineStr">
        <is>
          <t>Produksi Harian</t>
        </is>
      </c>
      <c r="F483" s="170" t="n">
        <v>46188.31384259259</v>
      </c>
      <c r="G483" s="13" t="inlineStr">
        <is>
          <t>FREE</t>
        </is>
      </c>
      <c r="H483" s="170" t="n">
        <v>46188.72579861111</v>
      </c>
    </row>
    <row r="484">
      <c r="A484" s="13" t="inlineStr">
        <is>
          <t>MK00230</t>
        </is>
      </c>
      <c r="B484" s="13" t="n">
        <v>528000286</v>
      </c>
      <c r="C484" s="13" t="inlineStr">
        <is>
          <t>Imelda Amelia</t>
        </is>
      </c>
      <c r="D484" s="13" t="inlineStr">
        <is>
          <t>PROD</t>
        </is>
      </c>
      <c r="E484" s="13" t="inlineStr">
        <is>
          <t>Produksi Harian</t>
        </is>
      </c>
      <c r="F484" s="170" t="n">
        <v>46188.31658564815</v>
      </c>
      <c r="G484" s="13" t="inlineStr">
        <is>
          <t>FREE</t>
        </is>
      </c>
      <c r="H484" s="170" t="n">
        <v>46188.67130787037</v>
      </c>
    </row>
    <row r="485">
      <c r="A485" s="13" t="inlineStr">
        <is>
          <t>MK00112</t>
        </is>
      </c>
      <c r="B485" s="13" t="n">
        <v>528000201</v>
      </c>
      <c r="C485" s="13" t="inlineStr">
        <is>
          <t>Zahwa Amelia Choerunissa</t>
        </is>
      </c>
      <c r="D485" s="13" t="inlineStr">
        <is>
          <t>PROD</t>
        </is>
      </c>
      <c r="E485" s="13" t="inlineStr">
        <is>
          <t>Produksi Harian</t>
        </is>
      </c>
      <c r="F485" s="170" t="n">
        <v>46188.31811342593</v>
      </c>
      <c r="G485" s="13" t="inlineStr">
        <is>
          <t>FREE</t>
        </is>
      </c>
      <c r="H485" s="170" t="n">
        <v>46188.66997685185</v>
      </c>
    </row>
    <row r="486">
      <c r="A486" s="13" t="inlineStr">
        <is>
          <t>MK00116</t>
        </is>
      </c>
      <c r="B486" s="13" t="n">
        <v>528000099</v>
      </c>
      <c r="C486" s="13" t="inlineStr">
        <is>
          <t>Siti Nurawaliah</t>
        </is>
      </c>
      <c r="D486" s="13" t="inlineStr">
        <is>
          <t>PROD</t>
        </is>
      </c>
      <c r="E486" s="13" t="inlineStr">
        <is>
          <t>Produksi Harian</t>
        </is>
      </c>
      <c r="F486" s="170" t="n">
        <v>46188.31840277778</v>
      </c>
      <c r="G486" s="13" t="inlineStr">
        <is>
          <t>FREE</t>
        </is>
      </c>
      <c r="H486" s="170" t="n">
        <v>46188.67040509259</v>
      </c>
    </row>
    <row r="487">
      <c r="A487" s="13" t="inlineStr">
        <is>
          <t>MK00150</t>
        </is>
      </c>
      <c r="B487" s="13" t="n">
        <v>528000290</v>
      </c>
      <c r="C487" s="13" t="inlineStr">
        <is>
          <t>Eval Pranata</t>
        </is>
      </c>
      <c r="D487" s="13" t="inlineStr">
        <is>
          <t>PROD</t>
        </is>
      </c>
      <c r="E487" s="13" t="inlineStr">
        <is>
          <t>Produksi Harian</t>
        </is>
      </c>
      <c r="F487" s="170" t="n">
        <v>46188.32409722222</v>
      </c>
      <c r="G487" s="13" t="inlineStr">
        <is>
          <t>FREE</t>
        </is>
      </c>
      <c r="H487" s="170" t="n">
        <v>46188.67159722222</v>
      </c>
    </row>
    <row r="488">
      <c r="A488" s="13" t="inlineStr">
        <is>
          <t>MK00141</t>
        </is>
      </c>
      <c r="B488" s="13" t="n">
        <v>528000262</v>
      </c>
      <c r="C488" s="13" t="inlineStr">
        <is>
          <t>Ndari Dwiwanti</t>
        </is>
      </c>
      <c r="D488" s="13" t="inlineStr">
        <is>
          <t>PROD</t>
        </is>
      </c>
      <c r="E488" s="13" t="inlineStr">
        <is>
          <t>Produksi Harian</t>
        </is>
      </c>
      <c r="F488" s="170" t="n">
        <v>46188.64915509259</v>
      </c>
      <c r="G488" s="13" t="inlineStr">
        <is>
          <t>FREE</t>
        </is>
      </c>
      <c r="H488" s="170" t="n">
        <v>46189.00134259259</v>
      </c>
    </row>
    <row r="489">
      <c r="A489" s="13" t="inlineStr">
        <is>
          <t>MK00151</t>
        </is>
      </c>
      <c r="B489" s="13" t="n">
        <v>528000358</v>
      </c>
      <c r="C489" s="13" t="inlineStr">
        <is>
          <t>Lulu Agustin</t>
        </is>
      </c>
      <c r="D489" s="13" t="inlineStr">
        <is>
          <t>PROD</t>
        </is>
      </c>
      <c r="E489" s="13" t="inlineStr">
        <is>
          <t>Produksi Harian</t>
        </is>
      </c>
      <c r="F489" s="170" t="n">
        <v>46188.65335648148</v>
      </c>
      <c r="G489" s="13" t="inlineStr">
        <is>
          <t>FREE</t>
        </is>
      </c>
      <c r="H489" s="170" t="n">
        <v>46189.00229166666</v>
      </c>
    </row>
    <row r="490">
      <c r="A490" s="13" t="inlineStr">
        <is>
          <t>MK00203</t>
        </is>
      </c>
      <c r="B490" s="13" t="n">
        <v>528000266</v>
      </c>
      <c r="C490" s="13" t="inlineStr">
        <is>
          <t>M. Syirajatieq</t>
        </is>
      </c>
      <c r="D490" s="13" t="inlineStr">
        <is>
          <t>LOG</t>
        </is>
      </c>
      <c r="E490" s="13" t="inlineStr">
        <is>
          <t>WFG Harian</t>
        </is>
      </c>
      <c r="F490" s="170" t="n">
        <v>46188.65630787037</v>
      </c>
      <c r="G490" s="13" t="inlineStr">
        <is>
          <t>FREE</t>
        </is>
      </c>
      <c r="H490" s="170" t="n">
        <v>46189.02074074074</v>
      </c>
    </row>
    <row r="491">
      <c r="A491" s="13" t="inlineStr">
        <is>
          <t>MK00208</t>
        </is>
      </c>
      <c r="B491" s="13" t="n">
        <v>528000195</v>
      </c>
      <c r="C491" s="13" t="inlineStr">
        <is>
          <t>Rahma Sariwati</t>
        </is>
      </c>
      <c r="D491" s="13" t="inlineStr">
        <is>
          <t>PROD</t>
        </is>
      </c>
      <c r="E491" s="13" t="inlineStr">
        <is>
          <t>Produksi Harian</t>
        </is>
      </c>
      <c r="F491" s="170" t="n">
        <v>46188.65828703704</v>
      </c>
      <c r="G491" s="13" t="inlineStr">
        <is>
          <t>FREE</t>
        </is>
      </c>
      <c r="H491" s="170" t="n">
        <v>46189.00194444445</v>
      </c>
    </row>
    <row r="492">
      <c r="A492" s="13" t="inlineStr">
        <is>
          <t>MK00109</t>
        </is>
      </c>
      <c r="B492" s="13" t="n">
        <v>528000283</v>
      </c>
      <c r="C492" s="13" t="inlineStr">
        <is>
          <t>Purwanda Sugiri</t>
        </is>
      </c>
      <c r="D492" s="13" t="inlineStr">
        <is>
          <t>LOG</t>
        </is>
      </c>
      <c r="E492" s="13" t="inlineStr">
        <is>
          <t>WRM Harian</t>
        </is>
      </c>
      <c r="F492" s="170" t="n">
        <v>46188.65998842593</v>
      </c>
      <c r="G492" s="13" t="inlineStr">
        <is>
          <t>FREE</t>
        </is>
      </c>
      <c r="H492" s="170" t="n">
        <v>46189.00387731481</v>
      </c>
    </row>
    <row r="493">
      <c r="A493" s="13" t="inlineStr">
        <is>
          <t>MK00192</t>
        </is>
      </c>
      <c r="B493" s="13" t="n">
        <v>528000349</v>
      </c>
      <c r="C493" s="13" t="inlineStr">
        <is>
          <t>Anas Abdul Fatah</t>
        </is>
      </c>
      <c r="D493" s="13" t="inlineStr">
        <is>
          <t>LOG</t>
        </is>
      </c>
      <c r="E493" s="13" t="inlineStr">
        <is>
          <t>WFG Harian</t>
        </is>
      </c>
      <c r="F493" s="170" t="n">
        <v>46188.7422337963</v>
      </c>
      <c r="G493" s="13" t="inlineStr">
        <is>
          <t>FREE</t>
        </is>
      </c>
      <c r="H493" s="170" t="n">
        <v>46189.09256944444</v>
      </c>
    </row>
    <row r="494">
      <c r="A494" s="13" t="inlineStr">
        <is>
          <t>MK00249</t>
        </is>
      </c>
      <c r="B494" s="13" t="n">
        <v>528000015</v>
      </c>
      <c r="C494" s="13" t="inlineStr">
        <is>
          <t>Erwin</t>
        </is>
      </c>
      <c r="D494" s="13" t="inlineStr">
        <is>
          <t>LOG</t>
        </is>
      </c>
      <c r="E494" s="13" t="inlineStr">
        <is>
          <t>WRM Harian</t>
        </is>
      </c>
      <c r="F494" s="170" t="n">
        <v>46188.74473379629</v>
      </c>
      <c r="G494" s="13" t="inlineStr">
        <is>
          <t>FREE</t>
        </is>
      </c>
      <c r="H494" s="170" t="n">
        <v>46189.08748842592</v>
      </c>
    </row>
    <row r="495">
      <c r="A495" s="13" t="inlineStr">
        <is>
          <t>MK00213</t>
        </is>
      </c>
      <c r="B495" s="13" t="n">
        <v>528000144</v>
      </c>
      <c r="C495" s="13" t="inlineStr">
        <is>
          <t>Jodi Hanafi</t>
        </is>
      </c>
      <c r="D495" s="13" t="inlineStr">
        <is>
          <t>LOG</t>
        </is>
      </c>
      <c r="E495" s="13" t="inlineStr">
        <is>
          <t>WRM Harian</t>
        </is>
      </c>
      <c r="F495" s="170" t="n">
        <v>46188.74489583333</v>
      </c>
      <c r="G495" s="13" t="inlineStr">
        <is>
          <t>FREE</t>
        </is>
      </c>
      <c r="H495" s="170" t="n">
        <v>46190.11565972222</v>
      </c>
    </row>
    <row r="496">
      <c r="A496" s="13" t="inlineStr">
        <is>
          <t>MK00008</t>
        </is>
      </c>
      <c r="B496" s="13" t="n">
        <v>528000265</v>
      </c>
      <c r="C496" s="13" t="inlineStr">
        <is>
          <t>Muhammad Haerul Rozikin</t>
        </is>
      </c>
      <c r="D496" s="13" t="inlineStr">
        <is>
          <t>LOG</t>
        </is>
      </c>
      <c r="E496" s="13" t="inlineStr">
        <is>
          <t>WRM Harian</t>
        </is>
      </c>
      <c r="F496" s="170" t="n">
        <v>46188.74636574074</v>
      </c>
      <c r="G496" s="13" t="inlineStr">
        <is>
          <t>FREE</t>
        </is>
      </c>
      <c r="H496" s="170" t="n">
        <v>46189.6658912037</v>
      </c>
    </row>
    <row r="497">
      <c r="A497" s="13" t="inlineStr">
        <is>
          <t>MK00207</t>
        </is>
      </c>
      <c r="B497" s="13" t="n">
        <v>528000292</v>
      </c>
      <c r="C497" s="13" t="inlineStr">
        <is>
          <t>Aditia Nugraha</t>
        </is>
      </c>
      <c r="D497" s="13" t="inlineStr">
        <is>
          <t>PROD</t>
        </is>
      </c>
      <c r="E497" s="13" t="inlineStr">
        <is>
          <t>Produksi Harian</t>
        </is>
      </c>
      <c r="F497" s="170" t="n">
        <v>46188.79261574074</v>
      </c>
      <c r="G497" s="13" t="inlineStr">
        <is>
          <t>FREE</t>
        </is>
      </c>
      <c r="H497" s="170" t="n">
        <v>46189.19724537037</v>
      </c>
    </row>
    <row r="498">
      <c r="A498" s="13" t="inlineStr">
        <is>
          <t>MK00158</t>
        </is>
      </c>
      <c r="B498" s="13" t="n">
        <v>628000061</v>
      </c>
      <c r="C498" s="13" t="inlineStr">
        <is>
          <t>Nayla Fadillah Exwantoro</t>
        </is>
      </c>
      <c r="D498" s="13" t="inlineStr">
        <is>
          <t>PROD</t>
        </is>
      </c>
      <c r="E498" s="13" t="inlineStr">
        <is>
          <t>Produksi Borongan</t>
        </is>
      </c>
      <c r="F498" s="170" t="n">
        <v>46188.95931712963</v>
      </c>
      <c r="G498" s="13" t="inlineStr">
        <is>
          <t>FREE</t>
        </is>
      </c>
      <c r="H498" s="170" t="n">
        <v>46190.66045138889</v>
      </c>
    </row>
    <row r="499">
      <c r="A499" s="13" t="inlineStr">
        <is>
          <t>MK00160</t>
        </is>
      </c>
      <c r="B499" s="13" t="n">
        <v>528000302</v>
      </c>
      <c r="C499" s="13" t="inlineStr">
        <is>
          <t>Henkey gumilar</t>
        </is>
      </c>
      <c r="D499" s="13" t="inlineStr">
        <is>
          <t>PROD</t>
        </is>
      </c>
      <c r="E499" s="13" t="inlineStr">
        <is>
          <t>Produksi Harian</t>
        </is>
      </c>
      <c r="F499" s="170" t="n">
        <v>46188.97844907407</v>
      </c>
      <c r="G499" s="13" t="inlineStr">
        <is>
          <t>FREE</t>
        </is>
      </c>
      <c r="H499" s="170" t="n">
        <v>46189.34194444444</v>
      </c>
    </row>
    <row r="500">
      <c r="A500" s="13" t="inlineStr">
        <is>
          <t>MK00202</t>
        </is>
      </c>
      <c r="B500" s="13" t="n">
        <v>528000305</v>
      </c>
      <c r="C500" s="13" t="inlineStr">
        <is>
          <t>Puji Puspita</t>
        </is>
      </c>
      <c r="D500" s="13" t="inlineStr">
        <is>
          <t>PROD</t>
        </is>
      </c>
      <c r="E500" s="13" t="inlineStr">
        <is>
          <t>Produksi Harian</t>
        </is>
      </c>
      <c r="F500" s="170" t="n">
        <v>46188.98778935185</v>
      </c>
      <c r="G500" s="13" t="inlineStr">
        <is>
          <t>FREE</t>
        </is>
      </c>
      <c r="H500" s="170" t="n">
        <v>46192.65578703704</v>
      </c>
    </row>
    <row r="501">
      <c r="A501" s="13" t="inlineStr">
        <is>
          <t>MK00085</t>
        </is>
      </c>
      <c r="B501" s="13" t="n">
        <v>528000270</v>
      </c>
      <c r="C501" s="13" t="inlineStr">
        <is>
          <t>Febri Najmudin</t>
        </is>
      </c>
      <c r="D501" s="13" t="inlineStr">
        <is>
          <t>LOG</t>
        </is>
      </c>
      <c r="E501" s="13" t="inlineStr">
        <is>
          <t>WRM Harian</t>
        </is>
      </c>
      <c r="F501" s="170" t="n">
        <v>46188.99133101852</v>
      </c>
      <c r="G501" s="13" t="inlineStr">
        <is>
          <t>FREE</t>
        </is>
      </c>
      <c r="H501" s="170" t="n">
        <v>46189.35605324074</v>
      </c>
    </row>
    <row r="502">
      <c r="A502" s="13" t="inlineStr">
        <is>
          <t>MK00205</t>
        </is>
      </c>
      <c r="B502" s="13" t="n">
        <v>528000348</v>
      </c>
      <c r="C502" s="13" t="inlineStr">
        <is>
          <t>Saepuloh Ardiansah</t>
        </is>
      </c>
      <c r="D502" s="13" t="inlineStr">
        <is>
          <t>LOG</t>
        </is>
      </c>
      <c r="E502" s="13" t="inlineStr">
        <is>
          <t>WRM Harian</t>
        </is>
      </c>
      <c r="F502" s="170" t="n">
        <v>46189.07417824074</v>
      </c>
      <c r="G502" s="13" t="inlineStr">
        <is>
          <t>FREE</t>
        </is>
      </c>
      <c r="H502" s="170" t="n">
        <v>46189.41861111111</v>
      </c>
    </row>
    <row r="503">
      <c r="A503" s="13" t="inlineStr">
        <is>
          <t>MK00228</t>
        </is>
      </c>
      <c r="B503" s="13" t="n">
        <v>528000244</v>
      </c>
      <c r="C503" s="13" t="inlineStr">
        <is>
          <t>Rodian Rifai</t>
        </is>
      </c>
      <c r="D503" s="13" t="inlineStr">
        <is>
          <t>PROD</t>
        </is>
      </c>
      <c r="E503" s="13" t="inlineStr">
        <is>
          <t>Produksi Harian</t>
        </is>
      </c>
      <c r="F503" s="170" t="n">
        <v>46189.30415509259</v>
      </c>
      <c r="G503" s="13" t="inlineStr">
        <is>
          <t>FREE</t>
        </is>
      </c>
      <c r="H503" s="170" t="n">
        <v>46189.72958333333</v>
      </c>
    </row>
    <row r="504">
      <c r="A504" s="13" t="inlineStr">
        <is>
          <t>MK00208</t>
        </is>
      </c>
      <c r="B504" s="13" t="n">
        <v>528000286</v>
      </c>
      <c r="C504" s="13" t="inlineStr">
        <is>
          <t>Imelda Amelia</t>
        </is>
      </c>
      <c r="D504" s="13" t="inlineStr">
        <is>
          <t>PROD</t>
        </is>
      </c>
      <c r="E504" s="13" t="inlineStr">
        <is>
          <t>Produksi Harian</t>
        </is>
      </c>
      <c r="F504" s="170" t="n">
        <v>46189.31424768519</v>
      </c>
      <c r="G504" s="13" t="inlineStr">
        <is>
          <t>FREE</t>
        </is>
      </c>
      <c r="H504" s="170" t="n">
        <v>46189.67083333333</v>
      </c>
    </row>
    <row r="505">
      <c r="A505" s="13" t="inlineStr">
        <is>
          <t>MK00156</t>
        </is>
      </c>
      <c r="B505" s="13" t="n">
        <v>528000201</v>
      </c>
      <c r="C505" s="13" t="inlineStr">
        <is>
          <t>Zahwa Amelia Choerunissa</t>
        </is>
      </c>
      <c r="D505" s="13" t="inlineStr">
        <is>
          <t>PROD</t>
        </is>
      </c>
      <c r="E505" s="13" t="inlineStr">
        <is>
          <t>Produksi Harian</t>
        </is>
      </c>
      <c r="F505" s="170" t="n">
        <v>46189.31738425926</v>
      </c>
      <c r="G505" s="13" t="inlineStr">
        <is>
          <t>FREE</t>
        </is>
      </c>
      <c r="H505" s="170" t="n">
        <v>46189.66913194444</v>
      </c>
    </row>
    <row r="506">
      <c r="A506" s="13" t="inlineStr">
        <is>
          <t>MK00046</t>
        </is>
      </c>
      <c r="B506" s="13" t="n">
        <v>528000099</v>
      </c>
      <c r="C506" s="13" t="inlineStr">
        <is>
          <t>Siti Nurawaliah</t>
        </is>
      </c>
      <c r="D506" s="13" t="inlineStr">
        <is>
          <t>PROD</t>
        </is>
      </c>
      <c r="E506" s="13" t="inlineStr">
        <is>
          <t>Produksi Harian</t>
        </is>
      </c>
      <c r="F506" s="170" t="n">
        <v>46189.31802083334</v>
      </c>
      <c r="G506" s="13" t="inlineStr">
        <is>
          <t>FREE</t>
        </is>
      </c>
      <c r="H506" s="170" t="n">
        <v>46189.67009259259</v>
      </c>
    </row>
    <row r="507">
      <c r="A507" s="13" t="inlineStr">
        <is>
          <t>MK00150</t>
        </is>
      </c>
      <c r="B507" s="13" t="n">
        <v>528000283</v>
      </c>
      <c r="C507" s="13" t="inlineStr">
        <is>
          <t>Purwanda Sugiri</t>
        </is>
      </c>
      <c r="D507" s="13" t="inlineStr">
        <is>
          <t>LOG</t>
        </is>
      </c>
      <c r="E507" s="13" t="inlineStr">
        <is>
          <t>WRM Harian</t>
        </is>
      </c>
      <c r="F507" s="170" t="n">
        <v>46189.32896990741</v>
      </c>
      <c r="G507" s="13" t="inlineStr">
        <is>
          <t>FREE</t>
        </is>
      </c>
      <c r="H507" s="170" t="n">
        <v>46189.67045138889</v>
      </c>
    </row>
    <row r="508">
      <c r="A508" s="13" t="inlineStr">
        <is>
          <t>MK00055</t>
        </is>
      </c>
      <c r="B508" s="13" t="n">
        <v>528000212</v>
      </c>
      <c r="C508" s="13" t="inlineStr">
        <is>
          <t>Rizal Fauzi</t>
        </is>
      </c>
      <c r="D508" s="13" t="inlineStr">
        <is>
          <t>PROD</t>
        </is>
      </c>
      <c r="E508" s="13" t="inlineStr">
        <is>
          <t>Produksi Harian</t>
        </is>
      </c>
      <c r="F508" s="170" t="n">
        <v>46189.33125</v>
      </c>
      <c r="G508" s="13" t="inlineStr">
        <is>
          <t>FREE</t>
        </is>
      </c>
      <c r="H508" s="170" t="n">
        <v>46189.7084837963</v>
      </c>
    </row>
    <row r="509">
      <c r="A509" s="13" t="inlineStr">
        <is>
          <t>MK00088</t>
        </is>
      </c>
      <c r="B509" s="13" t="n">
        <v>528000262</v>
      </c>
      <c r="C509" s="13" t="inlineStr">
        <is>
          <t>Ndari Dwiwanti</t>
        </is>
      </c>
      <c r="D509" s="13" t="inlineStr">
        <is>
          <t>PROD</t>
        </is>
      </c>
      <c r="E509" s="13" t="inlineStr">
        <is>
          <t>Produksi Harian</t>
        </is>
      </c>
      <c r="F509" s="170" t="n">
        <v>46189.65255787037</v>
      </c>
      <c r="G509" s="13" t="inlineStr">
        <is>
          <t>FREE</t>
        </is>
      </c>
      <c r="H509" s="170" t="n">
        <v>46190.00106481482</v>
      </c>
    </row>
    <row r="510">
      <c r="A510" s="13" t="inlineStr">
        <is>
          <t>MK00085</t>
        </is>
      </c>
      <c r="B510" s="13" t="n">
        <v>528000358</v>
      </c>
      <c r="C510" s="13" t="inlineStr">
        <is>
          <t>Lulu Agustin</t>
        </is>
      </c>
      <c r="D510" s="13" t="inlineStr">
        <is>
          <t>PROD</t>
        </is>
      </c>
      <c r="E510" s="13" t="inlineStr">
        <is>
          <t>Produksi Harian</t>
        </is>
      </c>
      <c r="F510" s="170" t="n">
        <v>46189.65384259259</v>
      </c>
      <c r="G510" s="13" t="inlineStr">
        <is>
          <t>FREE</t>
        </is>
      </c>
      <c r="H510" s="170" t="n">
        <v>46190.00112268519</v>
      </c>
    </row>
    <row r="511">
      <c r="A511" s="13" t="inlineStr">
        <is>
          <t>MK00181</t>
        </is>
      </c>
      <c r="B511" s="13" t="n">
        <v>528000266</v>
      </c>
      <c r="C511" s="13" t="inlineStr">
        <is>
          <t>M. Syirajatieq</t>
        </is>
      </c>
      <c r="D511" s="13" t="inlineStr">
        <is>
          <t>LOG</t>
        </is>
      </c>
      <c r="E511" s="13" t="inlineStr">
        <is>
          <t>WFG Harian</t>
        </is>
      </c>
      <c r="F511" s="170" t="n">
        <v>46189.65671296296</v>
      </c>
      <c r="G511" s="13" t="inlineStr">
        <is>
          <t>FREE</t>
        </is>
      </c>
      <c r="H511" s="170" t="n">
        <v>46190.02425925926</v>
      </c>
    </row>
    <row r="512">
      <c r="A512" s="13" t="inlineStr">
        <is>
          <t>MK00249</t>
        </is>
      </c>
      <c r="B512" s="13" t="n">
        <v>528000265</v>
      </c>
      <c r="C512" s="13" t="inlineStr">
        <is>
          <t>Muhammad Haerul Rozikin</t>
        </is>
      </c>
      <c r="D512" s="13" t="inlineStr">
        <is>
          <t>LOG</t>
        </is>
      </c>
      <c r="E512" s="13" t="inlineStr">
        <is>
          <t>WRM Harian</t>
        </is>
      </c>
      <c r="F512" s="170" t="n">
        <v>46189.66607638889</v>
      </c>
      <c r="G512" s="13" t="inlineStr">
        <is>
          <t>FREE</t>
        </is>
      </c>
      <c r="H512" s="170" t="n">
        <v>46190.01111111111</v>
      </c>
    </row>
    <row r="513">
      <c r="A513" s="13" t="inlineStr">
        <is>
          <t>MK00210</t>
        </is>
      </c>
      <c r="B513" s="13" t="n">
        <v>528000349</v>
      </c>
      <c r="C513" s="13" t="inlineStr">
        <is>
          <t>Anas Abdul Fatah</t>
        </is>
      </c>
      <c r="D513" s="13" t="inlineStr">
        <is>
          <t>LOG</t>
        </is>
      </c>
      <c r="E513" s="13" t="inlineStr">
        <is>
          <t>WFG Harian</t>
        </is>
      </c>
      <c r="F513" s="170" t="n">
        <v>46189.74342592592</v>
      </c>
      <c r="G513" s="13" t="inlineStr">
        <is>
          <t>FREE</t>
        </is>
      </c>
      <c r="H513" s="170" t="n">
        <v>46190.09217592593</v>
      </c>
    </row>
    <row r="514">
      <c r="A514" s="13" t="inlineStr">
        <is>
          <t>MK00156</t>
        </is>
      </c>
      <c r="B514" s="13" t="n">
        <v>528000015</v>
      </c>
      <c r="C514" s="13" t="inlineStr">
        <is>
          <t>Erwin</t>
        </is>
      </c>
      <c r="D514" s="13" t="inlineStr">
        <is>
          <t>LOG</t>
        </is>
      </c>
      <c r="E514" s="13" t="inlineStr">
        <is>
          <t>WRM Harian</t>
        </is>
      </c>
      <c r="F514" s="170" t="n">
        <v>46189.74521990741</v>
      </c>
      <c r="G514" s="13" t="inlineStr">
        <is>
          <t>FREE</t>
        </is>
      </c>
      <c r="H514" s="170" t="n">
        <v>46190.74628472222</v>
      </c>
    </row>
    <row r="515">
      <c r="A515" s="13" t="inlineStr">
        <is>
          <t>MK00230</t>
        </is>
      </c>
      <c r="B515" s="13" t="n">
        <v>528000287</v>
      </c>
      <c r="C515" s="13" t="inlineStr">
        <is>
          <t>Muhamad Angga Ramdani</t>
        </is>
      </c>
      <c r="D515" s="13" t="inlineStr">
        <is>
          <t>PROD</t>
        </is>
      </c>
      <c r="E515" s="13" t="inlineStr">
        <is>
          <t>Produksi Harian</t>
        </is>
      </c>
      <c r="F515" s="170" t="n">
        <v>46189.74810185185</v>
      </c>
      <c r="G515" s="13" t="inlineStr">
        <is>
          <t>FREE</t>
        </is>
      </c>
      <c r="H515" s="170" t="n">
        <v>46190.09068287037</v>
      </c>
    </row>
    <row r="516">
      <c r="A516" s="13" t="inlineStr">
        <is>
          <t>MK00212</t>
        </is>
      </c>
      <c r="B516" s="13" t="n">
        <v>528000149</v>
      </c>
      <c r="C516" s="13" t="inlineStr">
        <is>
          <t>Tio Fernanda</t>
        </is>
      </c>
      <c r="D516" s="13" t="inlineStr">
        <is>
          <t>LOG</t>
        </is>
      </c>
      <c r="E516" s="13" t="inlineStr">
        <is>
          <t>WRM Harian</t>
        </is>
      </c>
      <c r="F516" s="170" t="n">
        <v>46189.79010416667</v>
      </c>
      <c r="G516" s="13" t="inlineStr">
        <is>
          <t>FREE</t>
        </is>
      </c>
      <c r="H516" s="170" t="n">
        <v>46190.78751157408</v>
      </c>
    </row>
    <row r="517">
      <c r="A517" s="13" t="inlineStr">
        <is>
          <t>MK00113</t>
        </is>
      </c>
      <c r="B517" s="13" t="n">
        <v>528000297</v>
      </c>
      <c r="C517" s="13" t="inlineStr">
        <is>
          <t>Muhamad Budiana</t>
        </is>
      </c>
      <c r="D517" s="13" t="inlineStr">
        <is>
          <t>PROD</t>
        </is>
      </c>
      <c r="E517" s="13" t="inlineStr">
        <is>
          <t>Produksi Harian</t>
        </is>
      </c>
      <c r="F517" s="170" t="n">
        <v>46189.97811342592</v>
      </c>
      <c r="G517" s="13" t="inlineStr">
        <is>
          <t>FREE</t>
        </is>
      </c>
      <c r="H517" s="170" t="n">
        <v>46190.3740625</v>
      </c>
    </row>
    <row r="518">
      <c r="A518" s="13" t="inlineStr">
        <is>
          <t>MK00150</t>
        </is>
      </c>
      <c r="B518" s="13" t="n">
        <v>628000064</v>
      </c>
      <c r="C518" s="13" t="inlineStr">
        <is>
          <t>Silva Alypia</t>
        </is>
      </c>
      <c r="D518" s="13" t="inlineStr">
        <is>
          <t>PROD</t>
        </is>
      </c>
      <c r="E518" s="13" t="inlineStr">
        <is>
          <t>Produksi Borongan</t>
        </is>
      </c>
      <c r="F518" s="170" t="n">
        <v>46189.98636574074</v>
      </c>
      <c r="G518" s="13" t="inlineStr">
        <is>
          <t>FREE</t>
        </is>
      </c>
      <c r="H518" s="170" t="n">
        <v>46190.3397800926</v>
      </c>
    </row>
    <row r="519">
      <c r="A519" s="13" t="inlineStr">
        <is>
          <t>MK00208</t>
        </is>
      </c>
      <c r="B519" s="13" t="n">
        <v>528000279</v>
      </c>
      <c r="C519" s="13" t="inlineStr">
        <is>
          <t>Mahdalena Dalfa Riani</t>
        </is>
      </c>
      <c r="D519" s="13" t="inlineStr">
        <is>
          <t>PROD</t>
        </is>
      </c>
      <c r="E519" s="13" t="inlineStr">
        <is>
          <t>Produksi Harian</t>
        </is>
      </c>
      <c r="F519" s="170" t="n">
        <v>46189.99049768518</v>
      </c>
      <c r="G519" s="13" t="inlineStr">
        <is>
          <t>FREE</t>
        </is>
      </c>
      <c r="H519" s="170" t="n">
        <v>46190.33670138889</v>
      </c>
    </row>
    <row r="520">
      <c r="A520" s="13" t="inlineStr">
        <is>
          <t>MK00228</t>
        </is>
      </c>
      <c r="B520" s="13" t="n">
        <v>528000273</v>
      </c>
      <c r="C520" s="13" t="inlineStr">
        <is>
          <t>Asep Mulyana</t>
        </is>
      </c>
      <c r="D520" s="13" t="inlineStr">
        <is>
          <t>PROD</t>
        </is>
      </c>
      <c r="E520" s="13" t="inlineStr">
        <is>
          <t>Produksi Harian</t>
        </is>
      </c>
      <c r="F520" s="170" t="n">
        <v>46190.07719907408</v>
      </c>
      <c r="G520" s="13" t="inlineStr">
        <is>
          <t>FREE</t>
        </is>
      </c>
      <c r="H520" s="170" t="n">
        <v>46190.41738425926</v>
      </c>
    </row>
    <row r="521">
      <c r="A521" s="13" t="inlineStr">
        <is>
          <t>MK00207</t>
        </is>
      </c>
      <c r="B521" s="13" t="n">
        <v>528000292</v>
      </c>
      <c r="C521" s="13" t="inlineStr">
        <is>
          <t>Aditia Nugraha</t>
        </is>
      </c>
      <c r="D521" s="13" t="inlineStr">
        <is>
          <t>PROD</t>
        </is>
      </c>
      <c r="E521" s="13" t="inlineStr">
        <is>
          <t>Produksi Harian</t>
        </is>
      </c>
      <c r="F521" s="170" t="n">
        <v>46190.07936342592</v>
      </c>
      <c r="G521" s="13" t="inlineStr">
        <is>
          <t>FREE</t>
        </is>
      </c>
      <c r="H521" s="170" t="n">
        <v>46190.44616898148</v>
      </c>
    </row>
    <row r="522">
      <c r="A522" s="13" t="inlineStr">
        <is>
          <t>MK00205</t>
        </is>
      </c>
      <c r="B522" s="13" t="n">
        <v>528000348</v>
      </c>
      <c r="C522" s="13" t="inlineStr">
        <is>
          <t>Saepuloh Ardiansah</t>
        </is>
      </c>
      <c r="D522" s="13" t="inlineStr">
        <is>
          <t>LOG</t>
        </is>
      </c>
      <c r="E522" s="13" t="inlineStr">
        <is>
          <t>WRM Harian</t>
        </is>
      </c>
      <c r="F522" s="170" t="n">
        <v>46190.08133101852</v>
      </c>
      <c r="G522" s="13" t="inlineStr">
        <is>
          <t>FREE</t>
        </is>
      </c>
      <c r="H522" s="170" t="n">
        <v>46190.47740740741</v>
      </c>
    </row>
    <row r="523">
      <c r="A523" s="13" t="inlineStr">
        <is>
          <t>MK00230</t>
        </is>
      </c>
      <c r="B523" s="13" t="n">
        <v>528000201</v>
      </c>
      <c r="C523" s="13" t="inlineStr">
        <is>
          <t>Zahwa Amelia Choerunissa</t>
        </is>
      </c>
      <c r="D523" s="13" t="inlineStr">
        <is>
          <t>PROD</t>
        </is>
      </c>
      <c r="E523" s="13" t="inlineStr">
        <is>
          <t>Produksi Harian</t>
        </is>
      </c>
      <c r="F523" s="170" t="n">
        <v>46190.31458333333</v>
      </c>
      <c r="G523" s="13" t="inlineStr">
        <is>
          <t>FREE</t>
        </is>
      </c>
      <c r="H523" s="170" t="n">
        <v>46190.67026620371</v>
      </c>
    </row>
    <row r="524">
      <c r="A524" s="13" t="inlineStr">
        <is>
          <t>MK00181</t>
        </is>
      </c>
      <c r="B524" s="13" t="n">
        <v>528000099</v>
      </c>
      <c r="C524" s="13" t="inlineStr">
        <is>
          <t>Siti Nurawaliah</t>
        </is>
      </c>
      <c r="D524" s="13" t="inlineStr">
        <is>
          <t>PROD</t>
        </is>
      </c>
      <c r="E524" s="13" t="inlineStr">
        <is>
          <t>Produksi Harian</t>
        </is>
      </c>
      <c r="F524" s="170" t="n">
        <v>46190.31563657407</v>
      </c>
      <c r="G524" s="13" t="inlineStr">
        <is>
          <t>FREE</t>
        </is>
      </c>
      <c r="H524" s="170" t="n">
        <v>46190.67133101852</v>
      </c>
    </row>
    <row r="525">
      <c r="A525" s="13" t="inlineStr">
        <is>
          <t>MK00210</t>
        </is>
      </c>
      <c r="B525" s="13" t="n">
        <v>528000244</v>
      </c>
      <c r="C525" s="13" t="inlineStr">
        <is>
          <t>Rodian Rifai</t>
        </is>
      </c>
      <c r="D525" s="13" t="inlineStr">
        <is>
          <t>PROD</t>
        </is>
      </c>
      <c r="E525" s="13" t="inlineStr">
        <is>
          <t>Produksi Harian</t>
        </is>
      </c>
      <c r="F525" s="170" t="n">
        <v>46190.31631944444</v>
      </c>
      <c r="G525" s="13" t="inlineStr">
        <is>
          <t>FREE</t>
        </is>
      </c>
      <c r="H525" s="170" t="n">
        <v>46190.71760416667</v>
      </c>
    </row>
    <row r="526">
      <c r="A526" s="13" t="inlineStr">
        <is>
          <t>MK00055</t>
        </is>
      </c>
      <c r="B526" s="13" t="n">
        <v>528000212</v>
      </c>
      <c r="C526" s="13" t="inlineStr">
        <is>
          <t>Rizal Fauzi</t>
        </is>
      </c>
      <c r="D526" s="13" t="inlineStr">
        <is>
          <t>PROD</t>
        </is>
      </c>
      <c r="E526" s="13" t="inlineStr">
        <is>
          <t>Produksi Harian</t>
        </is>
      </c>
      <c r="F526" s="170" t="n">
        <v>46190.3167824074</v>
      </c>
      <c r="G526" s="13" t="inlineStr">
        <is>
          <t>FREE</t>
        </is>
      </c>
      <c r="H526" s="170" t="n">
        <v>46191.3153125</v>
      </c>
    </row>
    <row r="527">
      <c r="A527" s="13" t="inlineStr">
        <is>
          <t>MK00249</t>
        </is>
      </c>
      <c r="B527" s="13" t="n">
        <v>528000286</v>
      </c>
      <c r="C527" s="13" t="inlineStr">
        <is>
          <t>Imelda Amelia</t>
        </is>
      </c>
      <c r="D527" s="13" t="inlineStr">
        <is>
          <t>PROD</t>
        </is>
      </c>
      <c r="E527" s="13" t="inlineStr">
        <is>
          <t>Produksi Harian</t>
        </is>
      </c>
      <c r="F527" s="170" t="n">
        <v>46190.31719907407</v>
      </c>
      <c r="G527" s="13" t="inlineStr">
        <is>
          <t>FREE</t>
        </is>
      </c>
      <c r="H527" s="170" t="n">
        <v>46190.67128472222</v>
      </c>
    </row>
    <row r="528">
      <c r="A528" s="13" t="inlineStr">
        <is>
          <t>MK00151</t>
        </is>
      </c>
      <c r="B528" s="13" t="n">
        <v>528000241</v>
      </c>
      <c r="C528" s="13" t="inlineStr">
        <is>
          <t>Balia Nurafif Bilah</t>
        </is>
      </c>
      <c r="D528" s="13" t="inlineStr">
        <is>
          <t>PROD</t>
        </is>
      </c>
      <c r="E528" s="13" t="inlineStr">
        <is>
          <t>Produksi Harian</t>
        </is>
      </c>
      <c r="F528" s="170" t="n">
        <v>46190.32762731481</v>
      </c>
      <c r="G528" s="13" t="inlineStr">
        <is>
          <t>FREE</t>
        </is>
      </c>
      <c r="H528" s="170" t="n">
        <v>46190.66946759259</v>
      </c>
    </row>
    <row r="529">
      <c r="A529" s="13" t="inlineStr">
        <is>
          <t>MK00160</t>
        </is>
      </c>
      <c r="B529" s="13" t="n">
        <v>528000290</v>
      </c>
      <c r="C529" s="13" t="inlineStr">
        <is>
          <t>Eval Pranata</t>
        </is>
      </c>
      <c r="D529" s="13" t="inlineStr">
        <is>
          <t>PROD</t>
        </is>
      </c>
      <c r="E529" s="13" t="inlineStr">
        <is>
          <t>Produksi Harian</t>
        </is>
      </c>
      <c r="F529" s="170" t="n">
        <v>46190.33428240741</v>
      </c>
      <c r="G529" s="13" t="inlineStr">
        <is>
          <t>FREE</t>
        </is>
      </c>
      <c r="H529" s="170" t="n">
        <v>46190.66891203704</v>
      </c>
    </row>
    <row r="530">
      <c r="A530" s="13" t="inlineStr">
        <is>
          <t>MK00150</t>
        </is>
      </c>
      <c r="B530" s="13" t="n">
        <v>528000270</v>
      </c>
      <c r="C530" s="13" t="inlineStr">
        <is>
          <t>Febri Najmudin</t>
        </is>
      </c>
      <c r="D530" s="13" t="inlineStr">
        <is>
          <t>LOG</t>
        </is>
      </c>
      <c r="E530" s="13" t="inlineStr">
        <is>
          <t>WRM Harian</t>
        </is>
      </c>
      <c r="F530" s="170" t="n">
        <v>46190.65895833333</v>
      </c>
      <c r="G530" s="13" t="inlineStr">
        <is>
          <t>FREE</t>
        </is>
      </c>
      <c r="H530" s="170" t="n">
        <v>46191.02775462963</v>
      </c>
    </row>
    <row r="531">
      <c r="A531" s="13" t="inlineStr">
        <is>
          <t>MK00145</t>
        </is>
      </c>
      <c r="B531" s="13" t="n">
        <v>528000302</v>
      </c>
      <c r="C531" s="13" t="inlineStr">
        <is>
          <t>Henkey gumilar</t>
        </is>
      </c>
      <c r="D531" s="13" t="inlineStr">
        <is>
          <t>PROD</t>
        </is>
      </c>
      <c r="E531" s="13" t="inlineStr">
        <is>
          <t>Produksi Harian</t>
        </is>
      </c>
      <c r="F531" s="170" t="n">
        <v>46190.65982638889</v>
      </c>
      <c r="G531" s="13" t="inlineStr">
        <is>
          <t>FREE</t>
        </is>
      </c>
      <c r="H531" s="170" t="n">
        <v>46191.00665509259</v>
      </c>
    </row>
    <row r="532">
      <c r="A532" s="13" t="inlineStr">
        <is>
          <t>MK001009</t>
        </is>
      </c>
      <c r="B532" s="13" t="n">
        <v>628000061</v>
      </c>
      <c r="C532" s="13" t="inlineStr">
        <is>
          <t>Nayla Fadillah Exwantoro</t>
        </is>
      </c>
      <c r="D532" s="13" t="inlineStr">
        <is>
          <t>PROD</t>
        </is>
      </c>
      <c r="E532" s="13" t="inlineStr">
        <is>
          <t>Produksi Borongan</t>
        </is>
      </c>
      <c r="F532" s="170" t="n">
        <v>46190.66075231481</v>
      </c>
      <c r="G532" s="13" t="inlineStr">
        <is>
          <t>FREE</t>
        </is>
      </c>
      <c r="H532" s="170" t="n">
        <v>46191.65435185185</v>
      </c>
    </row>
    <row r="533">
      <c r="A533" s="13" t="inlineStr">
        <is>
          <t>MK00112</t>
        </is>
      </c>
      <c r="B533" s="13" t="n">
        <v>528000265</v>
      </c>
      <c r="C533" s="13" t="inlineStr">
        <is>
          <t>Muhammad Haerul Rozikin</t>
        </is>
      </c>
      <c r="D533" s="13" t="inlineStr">
        <is>
          <t>LOG</t>
        </is>
      </c>
      <c r="E533" s="13" t="inlineStr">
        <is>
          <t>WRM Harian</t>
        </is>
      </c>
      <c r="F533" s="170" t="n">
        <v>46190.66520833333</v>
      </c>
      <c r="G533" s="13" t="inlineStr">
        <is>
          <t>FREE</t>
        </is>
      </c>
      <c r="H533" s="170" t="n">
        <v>46191.00165509259</v>
      </c>
    </row>
    <row r="534">
      <c r="A534" s="13" t="inlineStr">
        <is>
          <t>MK00230</t>
        </is>
      </c>
      <c r="B534" s="13" t="n">
        <v>528000282</v>
      </c>
      <c r="C534" s="13" t="inlineStr">
        <is>
          <t>Defa Desfiana</t>
        </is>
      </c>
      <c r="D534" s="13" t="inlineStr">
        <is>
          <t>PROD</t>
        </is>
      </c>
      <c r="E534" s="13" t="inlineStr">
        <is>
          <t>Produksi Harian</t>
        </is>
      </c>
      <c r="F534" s="170" t="n">
        <v>46190.72420138889</v>
      </c>
      <c r="G534" s="13" t="inlineStr">
        <is>
          <t>FREE</t>
        </is>
      </c>
      <c r="H534" s="170" t="n">
        <v>46191.08547453704</v>
      </c>
    </row>
    <row r="535">
      <c r="A535" s="13" t="inlineStr">
        <is>
          <t>MK00249</t>
        </is>
      </c>
      <c r="B535" s="13" t="n">
        <v>528000349</v>
      </c>
      <c r="C535" s="13" t="inlineStr">
        <is>
          <t>Anas Abdul Fatah</t>
        </is>
      </c>
      <c r="D535" s="13" t="inlineStr">
        <is>
          <t>LOG</t>
        </is>
      </c>
      <c r="E535" s="13" t="inlineStr">
        <is>
          <t>WFG Harian</t>
        </is>
      </c>
      <c r="F535" s="170" t="n">
        <v>46190.74452546296</v>
      </c>
      <c r="G535" s="13" t="inlineStr">
        <is>
          <t>FREE</t>
        </is>
      </c>
      <c r="H535" s="170" t="n">
        <v>46191.09415509259</v>
      </c>
    </row>
    <row r="536">
      <c r="A536" s="13" t="inlineStr">
        <is>
          <t>MK00210</t>
        </is>
      </c>
      <c r="B536" s="13" t="n">
        <v>528000287</v>
      </c>
      <c r="C536" s="13" t="inlineStr">
        <is>
          <t>Muhamad Angga Ramdani</t>
        </is>
      </c>
      <c r="D536" s="13" t="inlineStr">
        <is>
          <t>PROD</t>
        </is>
      </c>
      <c r="E536" s="13" t="inlineStr">
        <is>
          <t>Produksi Harian</t>
        </is>
      </c>
      <c r="F536" s="170" t="n">
        <v>46190.74472222223</v>
      </c>
      <c r="G536" s="13" t="inlineStr">
        <is>
          <t>FREE</t>
        </is>
      </c>
      <c r="H536" s="170" t="n">
        <v>46191.08670138889</v>
      </c>
    </row>
    <row r="537">
      <c r="A537" s="13" t="inlineStr">
        <is>
          <t>MK00181</t>
        </is>
      </c>
      <c r="B537" s="13" t="n">
        <v>528000015</v>
      </c>
      <c r="C537" s="13" t="inlineStr">
        <is>
          <t>Erwin</t>
        </is>
      </c>
      <c r="D537" s="13" t="inlineStr">
        <is>
          <t>LOG</t>
        </is>
      </c>
      <c r="E537" s="13" t="inlineStr">
        <is>
          <t>WRM Harian</t>
        </is>
      </c>
      <c r="F537" s="170" t="n">
        <v>46190.74655092593</v>
      </c>
      <c r="G537" s="13" t="inlineStr">
        <is>
          <t>FREE</t>
        </is>
      </c>
      <c r="H537" s="170" t="n">
        <v>46191.09185185185</v>
      </c>
    </row>
    <row r="538">
      <c r="A538" s="13" t="inlineStr">
        <is>
          <t>MK00212</t>
        </is>
      </c>
      <c r="B538" s="13" t="n">
        <v>528000149</v>
      </c>
      <c r="C538" s="13" t="inlineStr">
        <is>
          <t>Tio Fernanda</t>
        </is>
      </c>
      <c r="D538" s="13" t="inlineStr">
        <is>
          <t>LOG</t>
        </is>
      </c>
      <c r="E538" s="13" t="inlineStr">
        <is>
          <t>WRM Harian</t>
        </is>
      </c>
      <c r="F538" s="170" t="n">
        <v>46190.78768518518</v>
      </c>
      <c r="G538" s="13" t="inlineStr">
        <is>
          <t>FREE</t>
        </is>
      </c>
      <c r="H538" s="170" t="n">
        <v>46191.1600925926</v>
      </c>
    </row>
    <row r="539">
      <c r="A539" s="13" t="inlineStr">
        <is>
          <t>MK00213</t>
        </is>
      </c>
      <c r="B539" s="13" t="n">
        <v>528000144</v>
      </c>
      <c r="C539" s="13" t="inlineStr">
        <is>
          <t>Jodi Hanafi</t>
        </is>
      </c>
      <c r="D539" s="13" t="inlineStr">
        <is>
          <t>LOG</t>
        </is>
      </c>
      <c r="E539" s="13" t="inlineStr">
        <is>
          <t>WRM Harian</t>
        </is>
      </c>
      <c r="F539" s="170" t="n">
        <v>46190.81829861111</v>
      </c>
      <c r="G539" s="13" t="inlineStr">
        <is>
          <t>FREE</t>
        </is>
      </c>
      <c r="H539" s="170" t="n">
        <v>46191.69506944445</v>
      </c>
    </row>
    <row r="540">
      <c r="A540" s="13" t="inlineStr">
        <is>
          <t>MK00126</t>
        </is>
      </c>
      <c r="B540" s="13" t="n">
        <v>628000064</v>
      </c>
      <c r="C540" s="13" t="inlineStr">
        <is>
          <t>Silva Alypia</t>
        </is>
      </c>
      <c r="D540" s="13" t="inlineStr">
        <is>
          <t>PROD</t>
        </is>
      </c>
      <c r="E540" s="13" t="inlineStr">
        <is>
          <t>Produksi Borongan</t>
        </is>
      </c>
      <c r="F540" s="170" t="n">
        <v>46190.98929398148</v>
      </c>
      <c r="G540" s="13" t="inlineStr">
        <is>
          <t>FREE</t>
        </is>
      </c>
      <c r="H540" s="170" t="n">
        <v>46191.33831018519</v>
      </c>
    </row>
    <row r="541">
      <c r="A541" s="13" t="inlineStr">
        <is>
          <t>MK00208</t>
        </is>
      </c>
      <c r="B541" s="13" t="n">
        <v>528000279</v>
      </c>
      <c r="C541" s="13" t="inlineStr">
        <is>
          <t>Mahdalena Dalfa Riani</t>
        </is>
      </c>
      <c r="D541" s="13" t="inlineStr">
        <is>
          <t>PROD</t>
        </is>
      </c>
      <c r="E541" s="13" t="inlineStr">
        <is>
          <t>Produksi Harian</t>
        </is>
      </c>
      <c r="F541" s="170" t="n">
        <v>46190.99421296296</v>
      </c>
      <c r="G541" s="13" t="inlineStr">
        <is>
          <t>FREE</t>
        </is>
      </c>
      <c r="H541" s="170" t="n">
        <v>46191.33668981482</v>
      </c>
    </row>
    <row r="542">
      <c r="A542" s="13" t="inlineStr">
        <is>
          <t>MK00116</t>
        </is>
      </c>
      <c r="B542" s="13" t="n">
        <v>528000297</v>
      </c>
      <c r="C542" s="13" t="inlineStr">
        <is>
          <t>Muhamad Budiana</t>
        </is>
      </c>
      <c r="D542" s="13" t="inlineStr">
        <is>
          <t>PROD</t>
        </is>
      </c>
      <c r="E542" s="13" t="inlineStr">
        <is>
          <t>Produksi Harian</t>
        </is>
      </c>
      <c r="F542" s="170" t="n">
        <v>46190.99554398148</v>
      </c>
      <c r="G542" s="13" t="inlineStr">
        <is>
          <t>FREE</t>
        </is>
      </c>
      <c r="H542" s="170" t="n">
        <v>46191.37788194444</v>
      </c>
    </row>
    <row r="543">
      <c r="A543" s="13" t="inlineStr">
        <is>
          <t>MK00205</t>
        </is>
      </c>
      <c r="B543" s="13" t="n">
        <v>528000348</v>
      </c>
      <c r="C543" s="13" t="inlineStr">
        <is>
          <t>Saepuloh Ardiansah</t>
        </is>
      </c>
      <c r="D543" s="13" t="inlineStr">
        <is>
          <t>LOG</t>
        </is>
      </c>
      <c r="E543" s="13" t="inlineStr">
        <is>
          <t>WRM Harian</t>
        </is>
      </c>
      <c r="F543" s="170" t="n">
        <v>46191.07493055556</v>
      </c>
      <c r="G543" s="13" t="inlineStr">
        <is>
          <t>FREE</t>
        </is>
      </c>
      <c r="H543" s="170" t="n">
        <v>46191.45451388889</v>
      </c>
    </row>
    <row r="544">
      <c r="A544" s="13" t="inlineStr">
        <is>
          <t>MK00160</t>
        </is>
      </c>
      <c r="B544" s="13" t="n">
        <v>528000273</v>
      </c>
      <c r="C544" s="13" t="inlineStr">
        <is>
          <t>Asep Mulyana</t>
        </is>
      </c>
      <c r="D544" s="13" t="inlineStr">
        <is>
          <t>PROD</t>
        </is>
      </c>
      <c r="E544" s="13" t="inlineStr">
        <is>
          <t>Produksi Harian</t>
        </is>
      </c>
      <c r="F544" s="170" t="n">
        <v>46191.07803240741</v>
      </c>
      <c r="G544" s="13" t="inlineStr">
        <is>
          <t>FREE</t>
        </is>
      </c>
      <c r="H544" s="170" t="n">
        <v>46191.41822916667</v>
      </c>
    </row>
    <row r="545">
      <c r="A545" s="13" t="inlineStr">
        <is>
          <t>MK00055</t>
        </is>
      </c>
      <c r="B545" s="13" t="n">
        <v>528000212</v>
      </c>
      <c r="C545" s="13" t="inlineStr">
        <is>
          <t>Rizal Fauzi</t>
        </is>
      </c>
      <c r="D545" s="13" t="inlineStr">
        <is>
          <t>PROD</t>
        </is>
      </c>
      <c r="E545" s="13" t="inlineStr">
        <is>
          <t>Produksi Harian</t>
        </is>
      </c>
      <c r="F545" s="170" t="n">
        <v>46191.31552083333</v>
      </c>
      <c r="G545" s="13" t="inlineStr">
        <is>
          <t>FREE</t>
        </is>
      </c>
      <c r="H545" s="170" t="n">
        <v>46192.30739583333</v>
      </c>
    </row>
    <row r="546">
      <c r="A546" s="13" t="inlineStr">
        <is>
          <t>MK00150</t>
        </is>
      </c>
      <c r="B546" s="13" t="n">
        <v>528000244</v>
      </c>
      <c r="C546" s="13" t="inlineStr">
        <is>
          <t>Rodian Rifai</t>
        </is>
      </c>
      <c r="D546" s="13" t="inlineStr">
        <is>
          <t>PROD</t>
        </is>
      </c>
      <c r="E546" s="13" t="inlineStr">
        <is>
          <t>Produksi Harian</t>
        </is>
      </c>
      <c r="F546" s="170" t="n">
        <v>46191.31796296296</v>
      </c>
      <c r="G546" s="13" t="inlineStr">
        <is>
          <t>FREE</t>
        </is>
      </c>
      <c r="H546" s="170" t="n">
        <v>46191.69974537037</v>
      </c>
    </row>
    <row r="547">
      <c r="A547" s="13" t="inlineStr">
        <is>
          <t>MK00249</t>
        </is>
      </c>
      <c r="B547" s="13" t="n">
        <v>528000286</v>
      </c>
      <c r="C547" s="13" t="inlineStr">
        <is>
          <t>Imelda Amelia</t>
        </is>
      </c>
      <c r="D547" s="13" t="inlineStr">
        <is>
          <t>PROD</t>
        </is>
      </c>
      <c r="E547" s="13" t="inlineStr">
        <is>
          <t>Produksi Harian</t>
        </is>
      </c>
      <c r="F547" s="170" t="n">
        <v>46191.31807870371</v>
      </c>
      <c r="G547" s="13" t="inlineStr">
        <is>
          <t>FREE</t>
        </is>
      </c>
      <c r="H547" s="170" t="n">
        <v>46191.67197916667</v>
      </c>
    </row>
    <row r="548">
      <c r="A548" s="13" t="inlineStr">
        <is>
          <t>MK00228</t>
        </is>
      </c>
      <c r="B548" s="13" t="n">
        <v>528000201</v>
      </c>
      <c r="C548" s="13" t="inlineStr">
        <is>
          <t>Zahwa Amelia Choerunissa</t>
        </is>
      </c>
      <c r="D548" s="13" t="inlineStr">
        <is>
          <t>PROD</t>
        </is>
      </c>
      <c r="E548" s="13" t="inlineStr">
        <is>
          <t>Produksi Harian</t>
        </is>
      </c>
      <c r="F548" s="170" t="n">
        <v>46191.31925925926</v>
      </c>
      <c r="G548" s="13" t="inlineStr">
        <is>
          <t>FREE</t>
        </is>
      </c>
      <c r="H548" s="170" t="n">
        <v>46191.66908564815</v>
      </c>
    </row>
    <row r="549">
      <c r="A549" s="13" t="inlineStr">
        <is>
          <t>MK00192</t>
        </is>
      </c>
      <c r="B549" s="13" t="n">
        <v>528000099</v>
      </c>
      <c r="C549" s="13" t="inlineStr">
        <is>
          <t>Siti Nurawaliah</t>
        </is>
      </c>
      <c r="D549" s="13" t="inlineStr">
        <is>
          <t>PROD</t>
        </is>
      </c>
      <c r="E549" s="13" t="inlineStr">
        <is>
          <t>Produksi Harian</t>
        </is>
      </c>
      <c r="F549" s="170" t="n">
        <v>46191.31988425926</v>
      </c>
      <c r="G549" s="13" t="inlineStr">
        <is>
          <t>FREE</t>
        </is>
      </c>
      <c r="H549" s="170" t="n">
        <v>46191.66954861111</v>
      </c>
    </row>
    <row r="550">
      <c r="A550" s="13" t="inlineStr">
        <is>
          <t>MK00210</t>
        </is>
      </c>
      <c r="B550" s="13" t="n">
        <v>528000306</v>
      </c>
      <c r="C550" s="13" t="inlineStr">
        <is>
          <t>Windy Olivia</t>
        </is>
      </c>
      <c r="D550" s="13" t="inlineStr">
        <is>
          <t>PROD</t>
        </is>
      </c>
      <c r="E550" s="13" t="inlineStr">
        <is>
          <t>Produksi Harian</t>
        </is>
      </c>
      <c r="F550" s="170" t="n">
        <v>46191.32145833333</v>
      </c>
      <c r="G550" s="13" t="inlineStr">
        <is>
          <t>FREE</t>
        </is>
      </c>
      <c r="H550" s="170" t="n">
        <v>46191.66900462963</v>
      </c>
    </row>
    <row r="551">
      <c r="A551" s="13" t="inlineStr">
        <is>
          <t>MK00230</t>
        </is>
      </c>
      <c r="B551" s="13" t="n">
        <v>528000302</v>
      </c>
      <c r="C551" s="13" t="inlineStr">
        <is>
          <t>Henkey gumilar</t>
        </is>
      </c>
      <c r="D551" s="13" t="inlineStr">
        <is>
          <t>PROD</t>
        </is>
      </c>
      <c r="E551" s="13" t="inlineStr">
        <is>
          <t>Produksi Harian</t>
        </is>
      </c>
      <c r="F551" s="170" t="n">
        <v>46191.65568287037</v>
      </c>
      <c r="G551" s="13" t="inlineStr">
        <is>
          <t>FREE</t>
        </is>
      </c>
      <c r="H551" s="170" t="n">
        <v>46192.00525462963</v>
      </c>
    </row>
    <row r="552">
      <c r="A552" s="13" t="inlineStr">
        <is>
          <t>MK00138</t>
        </is>
      </c>
      <c r="B552" s="13" t="n">
        <v>528000270</v>
      </c>
      <c r="C552" s="13" t="inlineStr">
        <is>
          <t>Febri Najmudin</t>
        </is>
      </c>
      <c r="D552" s="13" t="inlineStr">
        <is>
          <t>LOG</t>
        </is>
      </c>
      <c r="E552" s="13" t="inlineStr">
        <is>
          <t>WRM Harian</t>
        </is>
      </c>
      <c r="F552" s="170" t="n">
        <v>46191.65858796296</v>
      </c>
      <c r="G552" s="13" t="inlineStr">
        <is>
          <t>FREE</t>
        </is>
      </c>
      <c r="H552" s="170" t="n">
        <v>46192.01444444444</v>
      </c>
    </row>
    <row r="553">
      <c r="A553" s="13" t="inlineStr">
        <is>
          <t>MK00151</t>
        </is>
      </c>
      <c r="B553" s="13" t="n">
        <v>528000282</v>
      </c>
      <c r="C553" s="13" t="inlineStr">
        <is>
          <t>Defa Desfiana</t>
        </is>
      </c>
      <c r="D553" s="13" t="inlineStr">
        <is>
          <t>PROD</t>
        </is>
      </c>
      <c r="E553" s="13" t="inlineStr">
        <is>
          <t>Produksi Harian</t>
        </is>
      </c>
      <c r="F553" s="170" t="n">
        <v>46191.73607638889</v>
      </c>
      <c r="G553" s="13" t="inlineStr">
        <is>
          <t>FREE</t>
        </is>
      </c>
      <c r="H553" s="170" t="n">
        <v>46192.08600694445</v>
      </c>
    </row>
    <row r="554">
      <c r="A554" s="13" t="inlineStr">
        <is>
          <t>MK00210</t>
        </is>
      </c>
      <c r="B554" s="13" t="n">
        <v>528000265</v>
      </c>
      <c r="C554" s="13" t="inlineStr">
        <is>
          <t>Muhammad Haerul Rozikin</t>
        </is>
      </c>
      <c r="D554" s="13" t="inlineStr">
        <is>
          <t>LOG</t>
        </is>
      </c>
      <c r="E554" s="13" t="inlineStr">
        <is>
          <t>WRM Harian</t>
        </is>
      </c>
      <c r="F554" s="170" t="n">
        <v>46191.73953703704</v>
      </c>
      <c r="G554" s="13" t="inlineStr">
        <is>
          <t>FREE</t>
        </is>
      </c>
      <c r="H554" s="170" t="n">
        <v>46192.08591435185</v>
      </c>
    </row>
    <row r="555">
      <c r="A555" s="13" t="inlineStr">
        <is>
          <t>MK00113</t>
        </is>
      </c>
      <c r="B555" s="13" t="n">
        <v>528000015</v>
      </c>
      <c r="C555" s="13" t="inlineStr">
        <is>
          <t>Erwin</t>
        </is>
      </c>
      <c r="D555" s="13" t="inlineStr">
        <is>
          <t>LOG</t>
        </is>
      </c>
      <c r="E555" s="13" t="inlineStr">
        <is>
          <t>WRM Harian</t>
        </is>
      </c>
      <c r="F555" s="170" t="n">
        <v>46191.74407407407</v>
      </c>
      <c r="G555" s="13" t="inlineStr">
        <is>
          <t>FREE</t>
        </is>
      </c>
      <c r="H555" s="170" t="n">
        <v>46192.10702546296</v>
      </c>
    </row>
    <row r="556">
      <c r="A556" s="13" t="inlineStr">
        <is>
          <t>MK00235</t>
        </is>
      </c>
      <c r="B556" s="13" t="n">
        <v>528000287</v>
      </c>
      <c r="C556" s="13" t="inlineStr">
        <is>
          <t>Muhamad Angga Ramdani</t>
        </is>
      </c>
      <c r="D556" s="13" t="inlineStr">
        <is>
          <t>PROD</t>
        </is>
      </c>
      <c r="E556" s="13" t="inlineStr">
        <is>
          <t>Produksi Harian</t>
        </is>
      </c>
      <c r="F556" s="170" t="n">
        <v>46191.74444444444</v>
      </c>
      <c r="G556" s="13" t="inlineStr">
        <is>
          <t>FREE</t>
        </is>
      </c>
      <c r="H556" s="170" t="n">
        <v>46192.08864583333</v>
      </c>
    </row>
    <row r="557">
      <c r="A557" s="13" t="inlineStr">
        <is>
          <t>MK00228</t>
        </is>
      </c>
      <c r="B557" s="13" t="n">
        <v>528000349</v>
      </c>
      <c r="C557" s="13" t="inlineStr">
        <is>
          <t>Anas Abdul Fatah</t>
        </is>
      </c>
      <c r="D557" s="13" t="inlineStr">
        <is>
          <t>LOG</t>
        </is>
      </c>
      <c r="E557" s="13" t="inlineStr">
        <is>
          <t>WFG Harian</t>
        </is>
      </c>
      <c r="F557" s="170" t="n">
        <v>46191.74481481482</v>
      </c>
      <c r="G557" s="13" t="inlineStr">
        <is>
          <t>FREE</t>
        </is>
      </c>
      <c r="H557" s="170" t="n">
        <v>46192.09435185185</v>
      </c>
    </row>
    <row r="558">
      <c r="A558" s="13" t="inlineStr">
        <is>
          <t>MK00109</t>
        </is>
      </c>
      <c r="B558" s="13" t="n">
        <v>528000144</v>
      </c>
      <c r="C558" s="13" t="inlineStr">
        <is>
          <t>Jodi Hanafi</t>
        </is>
      </c>
      <c r="D558" s="13" t="inlineStr">
        <is>
          <t>LOG</t>
        </is>
      </c>
      <c r="E558" s="13" t="inlineStr">
        <is>
          <t>WRM Harian</t>
        </is>
      </c>
      <c r="F558" s="170" t="n">
        <v>46191.7512037037</v>
      </c>
      <c r="G558" s="13" t="inlineStr">
        <is>
          <t>FREE</t>
        </is>
      </c>
      <c r="H558" s="170" t="n">
        <v>46192.08528935185</v>
      </c>
    </row>
    <row r="559">
      <c r="A559" s="13" t="inlineStr">
        <is>
          <t>MK00158</t>
        </is>
      </c>
      <c r="B559" s="13" t="n">
        <v>528000351</v>
      </c>
      <c r="C559" s="13" t="inlineStr">
        <is>
          <t>Mulyana</t>
        </is>
      </c>
      <c r="D559" s="13" t="inlineStr">
        <is>
          <t>PROD</t>
        </is>
      </c>
      <c r="E559" s="13" t="inlineStr">
        <is>
          <t>Produksi Harian</t>
        </is>
      </c>
      <c r="F559" s="170" t="n">
        <v>46191.76497685185</v>
      </c>
      <c r="G559" s="13" t="inlineStr">
        <is>
          <t>FREE</t>
        </is>
      </c>
      <c r="H559" s="170" t="n">
        <v>46192.08747685186</v>
      </c>
    </row>
    <row r="560">
      <c r="A560" s="13" t="inlineStr">
        <is>
          <t>MK00126</t>
        </is>
      </c>
      <c r="B560" s="13" t="n">
        <v>628000064</v>
      </c>
      <c r="C560" s="13" t="inlineStr">
        <is>
          <t>Silva Alypia</t>
        </is>
      </c>
      <c r="D560" s="13" t="inlineStr">
        <is>
          <t>PROD</t>
        </is>
      </c>
      <c r="E560" s="13" t="inlineStr">
        <is>
          <t>Produksi Borongan</t>
        </is>
      </c>
      <c r="F560" s="170" t="n">
        <v>46191.99002314815</v>
      </c>
      <c r="G560" s="13" t="inlineStr">
        <is>
          <t>FREE</t>
        </is>
      </c>
      <c r="H560" s="170" t="n">
        <v>46192.33767361111</v>
      </c>
    </row>
    <row r="561">
      <c r="A561" s="13" t="inlineStr">
        <is>
          <t>MK00112</t>
        </is>
      </c>
      <c r="B561" s="13" t="n">
        <v>528000297</v>
      </c>
      <c r="C561" s="13" t="inlineStr">
        <is>
          <t>Muhamad Budiana</t>
        </is>
      </c>
      <c r="D561" s="13" t="inlineStr">
        <is>
          <t>PROD</t>
        </is>
      </c>
      <c r="E561" s="13" t="inlineStr">
        <is>
          <t>Produksi Harian</t>
        </is>
      </c>
      <c r="F561" s="170" t="n">
        <v>46191.99353009259</v>
      </c>
      <c r="G561" s="13" t="inlineStr">
        <is>
          <t>FREE</t>
        </is>
      </c>
      <c r="H561" s="170" t="n">
        <v>46192.37423611111</v>
      </c>
    </row>
    <row r="562">
      <c r="A562" s="13" t="inlineStr">
        <is>
          <t>MK00208</t>
        </is>
      </c>
      <c r="B562" s="13" t="n">
        <v>528000279</v>
      </c>
      <c r="C562" s="13" t="inlineStr">
        <is>
          <t>Mahdalena Dalfa Riani</t>
        </is>
      </c>
      <c r="D562" s="13" t="inlineStr">
        <is>
          <t>PROD</t>
        </is>
      </c>
      <c r="E562" s="13" t="inlineStr">
        <is>
          <t>Produksi Harian</t>
        </is>
      </c>
      <c r="F562" s="170" t="n">
        <v>46191.99790509259</v>
      </c>
      <c r="G562" s="13" t="inlineStr">
        <is>
          <t>FREE</t>
        </is>
      </c>
      <c r="H562" s="170" t="n">
        <v>46192.33627314815</v>
      </c>
    </row>
    <row r="563">
      <c r="A563" s="13" t="inlineStr">
        <is>
          <t>MK00205</t>
        </is>
      </c>
      <c r="B563" s="13" t="n">
        <v>528000348</v>
      </c>
      <c r="C563" s="13" t="inlineStr">
        <is>
          <t>Saepuloh Ardiansah</t>
        </is>
      </c>
      <c r="D563" s="13" t="inlineStr">
        <is>
          <t>LOG</t>
        </is>
      </c>
      <c r="E563" s="13" t="inlineStr">
        <is>
          <t>WRM Harian</t>
        </is>
      </c>
      <c r="F563" s="170" t="n">
        <v>46192.09679398148</v>
      </c>
      <c r="G563" s="13" t="inlineStr">
        <is>
          <t>FREE</t>
        </is>
      </c>
      <c r="H563" s="170" t="n">
        <v>46192.95090277777</v>
      </c>
    </row>
    <row r="564">
      <c r="A564" s="13" t="inlineStr">
        <is>
          <t>MK00230</t>
        </is>
      </c>
      <c r="B564" s="13" t="n">
        <v>528000273</v>
      </c>
      <c r="C564" s="13" t="inlineStr">
        <is>
          <t>Asep Mulyana</t>
        </is>
      </c>
      <c r="D564" s="13" t="inlineStr">
        <is>
          <t>PROD</t>
        </is>
      </c>
      <c r="E564" s="13" t="inlineStr">
        <is>
          <t>Produksi Harian</t>
        </is>
      </c>
      <c r="F564" s="170" t="n">
        <v>46192.16751157407</v>
      </c>
      <c r="G564" s="13" t="inlineStr">
        <is>
          <t>FREE</t>
        </is>
      </c>
      <c r="H564" s="170" t="n">
        <v>46192.41850694444</v>
      </c>
    </row>
    <row r="565">
      <c r="A565" s="13" t="inlineStr">
        <is>
          <t>MK00055</t>
        </is>
      </c>
      <c r="B565" s="13" t="n">
        <v>528000212</v>
      </c>
      <c r="C565" s="13" t="inlineStr">
        <is>
          <t>Rizal Fauzi</t>
        </is>
      </c>
      <c r="D565" s="13" t="inlineStr">
        <is>
          <t>PROD</t>
        </is>
      </c>
      <c r="E565" s="13" t="inlineStr">
        <is>
          <t>Produksi Harian</t>
        </is>
      </c>
      <c r="F565" s="170" t="n">
        <v>46192.3075925926</v>
      </c>
      <c r="G565" s="13" t="inlineStr">
        <is>
          <t>FREE</t>
        </is>
      </c>
      <c r="H565" s="170" t="n">
        <v>46194.98496527778</v>
      </c>
    </row>
    <row r="566">
      <c r="A566" s="13" t="inlineStr">
        <is>
          <t>MK00203</t>
        </is>
      </c>
      <c r="B566" s="13" t="n">
        <v>528000201</v>
      </c>
      <c r="C566" s="13" t="inlineStr">
        <is>
          <t>Zahwa Amelia Choerunissa</t>
        </is>
      </c>
      <c r="D566" s="13" t="inlineStr">
        <is>
          <t>PROD</t>
        </is>
      </c>
      <c r="E566" s="13" t="inlineStr">
        <is>
          <t>Produksi Harian</t>
        </is>
      </c>
      <c r="F566" s="170" t="n">
        <v>46192.31112268518</v>
      </c>
      <c r="G566" s="13" t="inlineStr">
        <is>
          <t>FREE</t>
        </is>
      </c>
      <c r="H566" s="170" t="n">
        <v>46192.67087962963</v>
      </c>
    </row>
    <row r="567">
      <c r="A567" s="13" t="inlineStr">
        <is>
          <t>MK00181</t>
        </is>
      </c>
      <c r="B567" s="13" t="n">
        <v>528000099</v>
      </c>
      <c r="C567" s="13" t="inlineStr">
        <is>
          <t>Siti Nurawaliah</t>
        </is>
      </c>
      <c r="D567" s="13" t="inlineStr">
        <is>
          <t>PROD</t>
        </is>
      </c>
      <c r="E567" s="13" t="inlineStr">
        <is>
          <t>Produksi Harian</t>
        </is>
      </c>
      <c r="F567" s="170" t="n">
        <v>46192.31297453704</v>
      </c>
      <c r="G567" s="13" t="inlineStr">
        <is>
          <t>FREE</t>
        </is>
      </c>
      <c r="H567" s="170" t="n">
        <v>46192.67164351852</v>
      </c>
    </row>
    <row r="568">
      <c r="A568" s="13" t="inlineStr">
        <is>
          <t>MK00235</t>
        </is>
      </c>
      <c r="B568" s="13" t="n">
        <v>528000244</v>
      </c>
      <c r="C568" s="13" t="inlineStr">
        <is>
          <t>Rodian Rifai</t>
        </is>
      </c>
      <c r="D568" s="13" t="inlineStr">
        <is>
          <t>PROD</t>
        </is>
      </c>
      <c r="E568" s="13" t="inlineStr">
        <is>
          <t>Produksi Harian</t>
        </is>
      </c>
      <c r="F568" s="170" t="n">
        <v>46192.3134375</v>
      </c>
      <c r="G568" s="13" t="inlineStr">
        <is>
          <t>FREE</t>
        </is>
      </c>
      <c r="H568" s="170" t="n">
        <v>46192.75743055555</v>
      </c>
    </row>
    <row r="569">
      <c r="A569" s="13" t="inlineStr">
        <is>
          <t>MK00228</t>
        </is>
      </c>
      <c r="B569" s="13" t="n">
        <v>528000286</v>
      </c>
      <c r="C569" s="13" t="inlineStr">
        <is>
          <t>Imelda Amelia</t>
        </is>
      </c>
      <c r="D569" s="13" t="inlineStr">
        <is>
          <t>PROD</t>
        </is>
      </c>
      <c r="E569" s="13" t="inlineStr">
        <is>
          <t>Produksi Harian</t>
        </is>
      </c>
      <c r="F569" s="170" t="n">
        <v>46192.31378472222</v>
      </c>
      <c r="G569" s="13" t="inlineStr">
        <is>
          <t>FREE</t>
        </is>
      </c>
      <c r="H569" s="170" t="n">
        <v>46192.67280092592</v>
      </c>
    </row>
    <row r="570">
      <c r="A570" s="13" t="inlineStr">
        <is>
          <t>MK00151</t>
        </is>
      </c>
      <c r="B570" s="13" t="n">
        <v>528000290</v>
      </c>
      <c r="C570" s="13" t="inlineStr">
        <is>
          <t>Eval Pranata</t>
        </is>
      </c>
      <c r="D570" s="13" t="inlineStr">
        <is>
          <t>PROD</t>
        </is>
      </c>
      <c r="E570" s="13" t="inlineStr">
        <is>
          <t>Produksi Harian</t>
        </is>
      </c>
      <c r="F570" s="170" t="n">
        <v>46192.33199074074</v>
      </c>
      <c r="G570" s="13" t="inlineStr">
        <is>
          <t>FREE</t>
        </is>
      </c>
      <c r="H570" s="170" t="n">
        <v>46192.68082175926</v>
      </c>
    </row>
    <row r="571">
      <c r="A571" s="13" t="inlineStr">
        <is>
          <t>MK00156</t>
        </is>
      </c>
      <c r="B571" s="13" t="n">
        <v>628000061</v>
      </c>
      <c r="C571" s="13" t="inlineStr">
        <is>
          <t>Nayla Fadillah Exwantoro</t>
        </is>
      </c>
      <c r="D571" s="13" t="inlineStr">
        <is>
          <t>PROD</t>
        </is>
      </c>
      <c r="E571" s="13" t="inlineStr">
        <is>
          <t>Produksi Borongan</t>
        </is>
      </c>
      <c r="F571" s="170" t="n">
        <v>46192.65042824074</v>
      </c>
      <c r="G571" s="13" t="inlineStr">
        <is>
          <t>FREE</t>
        </is>
      </c>
      <c r="H571" s="170" t="n">
        <v>46193.0475</v>
      </c>
    </row>
    <row r="572">
      <c r="A572" s="13" t="inlineStr">
        <is>
          <t>MK00202</t>
        </is>
      </c>
      <c r="B572" s="13" t="n">
        <v>528000305</v>
      </c>
      <c r="C572" s="13" t="inlineStr">
        <is>
          <t>Puji Puspita</t>
        </is>
      </c>
      <c r="D572" s="13" t="inlineStr">
        <is>
          <t>PROD</t>
        </is>
      </c>
      <c r="E572" s="13" t="inlineStr">
        <is>
          <t>Produksi Harian</t>
        </is>
      </c>
      <c r="F572" s="170" t="n">
        <v>46192.65614583333</v>
      </c>
      <c r="G572" s="13" t="inlineStr">
        <is>
          <t>FREE</t>
        </is>
      </c>
      <c r="H572" s="170" t="n">
        <v>46196.66325231481</v>
      </c>
    </row>
    <row r="573">
      <c r="A573" s="13" t="inlineStr">
        <is>
          <t>MK00093</t>
        </is>
      </c>
      <c r="B573" s="13" t="n">
        <v>528000270</v>
      </c>
      <c r="C573" s="13" t="inlineStr">
        <is>
          <t>Febri Najmudin</t>
        </is>
      </c>
      <c r="D573" s="13" t="inlineStr">
        <is>
          <t>LOG</t>
        </is>
      </c>
      <c r="E573" s="13" t="inlineStr">
        <is>
          <t>WRM Harian</t>
        </is>
      </c>
      <c r="F573" s="170" t="n">
        <v>46192.65695601852</v>
      </c>
      <c r="G573" s="13" t="inlineStr">
        <is>
          <t>FREE</t>
        </is>
      </c>
      <c r="H573" s="170" t="n">
        <v>46193.02552083333</v>
      </c>
    </row>
    <row r="574">
      <c r="A574" s="13" t="inlineStr">
        <is>
          <t>MK00230</t>
        </is>
      </c>
      <c r="B574" s="13" t="n">
        <v>528000299</v>
      </c>
      <c r="C574" s="13" t="inlineStr">
        <is>
          <t>Siti Nurjanah</t>
        </is>
      </c>
      <c r="D574" s="13" t="inlineStr">
        <is>
          <t>PROD</t>
        </is>
      </c>
      <c r="E574" s="13" t="inlineStr">
        <is>
          <t>Produksi Harian</t>
        </is>
      </c>
      <c r="F574" s="170" t="n">
        <v>46192.65701388889</v>
      </c>
      <c r="G574" s="13" t="inlineStr">
        <is>
          <t>FREE</t>
        </is>
      </c>
      <c r="H574" s="170" t="n">
        <v>46193.00483796297</v>
      </c>
    </row>
    <row r="575">
      <c r="A575" s="13" t="inlineStr">
        <is>
          <t>MK00138</t>
        </is>
      </c>
      <c r="B575" s="13" t="n">
        <v>528000302</v>
      </c>
      <c r="C575" s="13" t="inlineStr">
        <is>
          <t>Henkey gumilar</t>
        </is>
      </c>
      <c r="D575" s="13" t="inlineStr">
        <is>
          <t>PROD</t>
        </is>
      </c>
      <c r="E575" s="13" t="inlineStr">
        <is>
          <t>Produksi Harian</t>
        </is>
      </c>
      <c r="F575" s="170" t="n">
        <v>46192.66020833333</v>
      </c>
      <c r="G575" s="13" t="inlineStr">
        <is>
          <t>FREE</t>
        </is>
      </c>
      <c r="H575" s="170" t="n">
        <v>46193.00739583333</v>
      </c>
    </row>
    <row r="576">
      <c r="A576" s="13" t="inlineStr">
        <is>
          <t>MK00150</t>
        </is>
      </c>
      <c r="B576" s="13" t="n">
        <v>528000015</v>
      </c>
      <c r="C576" s="13" t="inlineStr">
        <is>
          <t>Erwin</t>
        </is>
      </c>
      <c r="D576" s="13" t="inlineStr">
        <is>
          <t>LOG</t>
        </is>
      </c>
      <c r="E576" s="13" t="inlineStr">
        <is>
          <t>WRM Harian</t>
        </is>
      </c>
      <c r="F576" s="170" t="n">
        <v>46192.73440972222</v>
      </c>
      <c r="G576" s="13" t="inlineStr">
        <is>
          <t>FREE</t>
        </is>
      </c>
      <c r="H576" s="170" t="n">
        <v>46193.27104166667</v>
      </c>
    </row>
    <row r="577">
      <c r="A577" s="13" t="inlineStr">
        <is>
          <t>MK00145</t>
        </is>
      </c>
      <c r="B577" s="13" t="n">
        <v>528000282</v>
      </c>
      <c r="C577" s="13" t="inlineStr">
        <is>
          <t>Defa Desfiana</t>
        </is>
      </c>
      <c r="D577" s="13" t="inlineStr">
        <is>
          <t>PROD</t>
        </is>
      </c>
      <c r="E577" s="13" t="inlineStr">
        <is>
          <t>Produksi Harian</t>
        </is>
      </c>
      <c r="F577" s="170" t="n">
        <v>46192.74181712963</v>
      </c>
      <c r="G577" s="13" t="inlineStr">
        <is>
          <t>FREE</t>
        </is>
      </c>
      <c r="H577" s="170" t="n">
        <v>46192.95916666667</v>
      </c>
    </row>
    <row r="578">
      <c r="A578" s="13" t="inlineStr">
        <is>
          <t>MK00126</t>
        </is>
      </c>
      <c r="B578" s="13" t="n">
        <v>528000265</v>
      </c>
      <c r="C578" s="13" t="inlineStr">
        <is>
          <t>Muhammad Haerul Rozikin</t>
        </is>
      </c>
      <c r="D578" s="13" t="inlineStr">
        <is>
          <t>LOG</t>
        </is>
      </c>
      <c r="E578" s="13" t="inlineStr">
        <is>
          <t>WRM Harian</t>
        </is>
      </c>
      <c r="F578" s="170" t="n">
        <v>46192.74334490741</v>
      </c>
      <c r="G578" s="13" t="inlineStr">
        <is>
          <t>FREE</t>
        </is>
      </c>
      <c r="H578" s="170" t="n">
        <v>46192.96092592592</v>
      </c>
    </row>
    <row r="579">
      <c r="A579" s="13" t="inlineStr">
        <is>
          <t>MK00192</t>
        </is>
      </c>
      <c r="B579" s="13" t="n">
        <v>528000144</v>
      </c>
      <c r="C579" s="13" t="inlineStr">
        <is>
          <t>Jodi Hanafi</t>
        </is>
      </c>
      <c r="D579" s="13" t="inlineStr">
        <is>
          <t>LOG</t>
        </is>
      </c>
      <c r="E579" s="13" t="inlineStr">
        <is>
          <t>WRM Harian</t>
        </is>
      </c>
      <c r="F579" s="170" t="n">
        <v>46192.74924768518</v>
      </c>
      <c r="G579" s="13" t="inlineStr">
        <is>
          <t>FREE</t>
        </is>
      </c>
      <c r="H579" s="170" t="n">
        <v>46192.96192129629</v>
      </c>
    </row>
    <row r="580">
      <c r="A580" s="13" t="inlineStr">
        <is>
          <t>MK00228</t>
        </is>
      </c>
      <c r="B580" s="13" t="n">
        <v>528000351</v>
      </c>
      <c r="C580" s="13" t="inlineStr">
        <is>
          <t>Mulyana</t>
        </is>
      </c>
      <c r="D580" s="13" t="inlineStr">
        <is>
          <t>PROD</t>
        </is>
      </c>
      <c r="E580" s="13" t="inlineStr">
        <is>
          <t>Produksi Harian</t>
        </is>
      </c>
      <c r="F580" s="170" t="n">
        <v>46192.75876157408</v>
      </c>
      <c r="G580" s="13" t="inlineStr">
        <is>
          <t>FREE</t>
        </is>
      </c>
      <c r="H580" s="170" t="n">
        <v>46192.95844907407</v>
      </c>
    </row>
    <row r="581">
      <c r="A581" s="13" t="inlineStr">
        <is>
          <t>MK00213</t>
        </is>
      </c>
      <c r="B581" s="13" t="n">
        <v>528000232</v>
      </c>
      <c r="C581" s="13" t="inlineStr">
        <is>
          <t>Agung Aji Suhada</t>
        </is>
      </c>
      <c r="D581" s="13" t="inlineStr">
        <is>
          <t>LOG</t>
        </is>
      </c>
      <c r="E581" s="13" t="inlineStr">
        <is>
          <t>WRM Harian</t>
        </is>
      </c>
      <c r="F581" s="170" t="n">
        <v>46192.79344907407</v>
      </c>
      <c r="G581" s="13" t="inlineStr">
        <is>
          <t>FREE</t>
        </is>
      </c>
      <c r="H581" s="170" t="n">
        <v>46193.00179398148</v>
      </c>
    </row>
    <row r="582">
      <c r="A582" s="13" t="inlineStr">
        <is>
          <t>MK00212</t>
        </is>
      </c>
      <c r="B582" s="13" t="n">
        <v>528000149</v>
      </c>
      <c r="C582" s="13" t="inlineStr">
        <is>
          <t>Tio Fernanda</t>
        </is>
      </c>
      <c r="D582" s="13" t="inlineStr">
        <is>
          <t>LOG</t>
        </is>
      </c>
      <c r="E582" s="13" t="inlineStr">
        <is>
          <t>WRM Harian</t>
        </is>
      </c>
      <c r="F582" s="170" t="n">
        <v>46192.79432870371</v>
      </c>
      <c r="G582" s="13" t="inlineStr">
        <is>
          <t>FREE</t>
        </is>
      </c>
      <c r="H582" s="170" t="n">
        <v>46193.01320601852</v>
      </c>
    </row>
    <row r="583">
      <c r="A583" s="13" t="inlineStr">
        <is>
          <t>MK00203</t>
        </is>
      </c>
      <c r="B583" s="13" t="n">
        <v>528000203</v>
      </c>
      <c r="C583" s="13" t="inlineStr">
        <is>
          <t>Yudha Ramdhan Putra</t>
        </is>
      </c>
      <c r="D583" s="13" t="inlineStr">
        <is>
          <t>ENG</t>
        </is>
      </c>
      <c r="E583" s="13" t="inlineStr">
        <is>
          <t>Engineering Harian</t>
        </is>
      </c>
      <c r="F583" s="170" t="n">
        <v>46192.79447916667</v>
      </c>
      <c r="G583" s="13" t="inlineStr">
        <is>
          <t>FREE</t>
        </is>
      </c>
      <c r="H583" s="170" t="n">
        <v>46194.79302083333</v>
      </c>
    </row>
    <row r="584">
      <c r="A584" s="13" t="inlineStr">
        <is>
          <t>MK00205</t>
        </is>
      </c>
      <c r="B584" s="13" t="n">
        <v>528000348</v>
      </c>
      <c r="C584" s="13" t="inlineStr">
        <is>
          <t>Saepuloh Ardiansah</t>
        </is>
      </c>
      <c r="D584" s="13" t="inlineStr">
        <is>
          <t>LOG</t>
        </is>
      </c>
      <c r="E584" s="13" t="inlineStr">
        <is>
          <t>WRM Harian</t>
        </is>
      </c>
      <c r="F584" s="170" t="n">
        <v>46192.95152777778</v>
      </c>
      <c r="G584" s="13" t="inlineStr">
        <is>
          <t>FREE</t>
        </is>
      </c>
      <c r="H584" s="170" t="n">
        <v>46193.18383101852</v>
      </c>
    </row>
    <row r="585">
      <c r="A585" s="13" t="inlineStr">
        <is>
          <t>MK00085</t>
        </is>
      </c>
      <c r="B585" s="13" t="n">
        <v>528000273</v>
      </c>
      <c r="C585" s="13" t="inlineStr">
        <is>
          <t>Asep Mulyana</t>
        </is>
      </c>
      <c r="D585" s="13" t="inlineStr">
        <is>
          <t>PROD</t>
        </is>
      </c>
      <c r="E585" s="13" t="inlineStr">
        <is>
          <t>Produksi Harian</t>
        </is>
      </c>
      <c r="F585" s="170" t="n">
        <v>46192.95465277778</v>
      </c>
      <c r="G585" s="13" t="inlineStr">
        <is>
          <t>FREE</t>
        </is>
      </c>
      <c r="H585" s="170" t="n">
        <v>46193.1669212963</v>
      </c>
    </row>
    <row r="586">
      <c r="A586" s="13" t="inlineStr">
        <is>
          <t>MK00158</t>
        </is>
      </c>
      <c r="B586" s="13" t="n">
        <v>628000064</v>
      </c>
      <c r="C586" s="13" t="inlineStr">
        <is>
          <t>Silva Alypia</t>
        </is>
      </c>
      <c r="D586" s="13" t="inlineStr">
        <is>
          <t>PROD</t>
        </is>
      </c>
      <c r="E586" s="13" t="inlineStr">
        <is>
          <t>Produksi Borongan</t>
        </is>
      </c>
      <c r="F586" s="170" t="n">
        <v>46192.98645833333</v>
      </c>
      <c r="G586" s="13" t="inlineStr">
        <is>
          <t>FREE</t>
        </is>
      </c>
      <c r="H586" s="170" t="n">
        <v>46193.34149305556</v>
      </c>
    </row>
    <row r="587">
      <c r="A587" s="13" t="inlineStr">
        <is>
          <t>MK00228</t>
        </is>
      </c>
      <c r="B587" s="13" t="n">
        <v>528000279</v>
      </c>
      <c r="C587" s="13" t="inlineStr">
        <is>
          <t>Mahdalena Dalfa Riani</t>
        </is>
      </c>
      <c r="D587" s="13" t="inlineStr">
        <is>
          <t>PROD</t>
        </is>
      </c>
      <c r="E587" s="13" t="inlineStr">
        <is>
          <t>Produksi Harian</t>
        </is>
      </c>
      <c r="F587" s="170" t="n">
        <v>46192.99164351852</v>
      </c>
      <c r="G587" s="13" t="inlineStr">
        <is>
          <t>FREE</t>
        </is>
      </c>
      <c r="H587" s="170" t="n">
        <v>46193.33798611111</v>
      </c>
    </row>
    <row r="588">
      <c r="A588" s="13" t="inlineStr">
        <is>
          <t>MK00088</t>
        </is>
      </c>
      <c r="B588" s="13" t="n">
        <v>528000297</v>
      </c>
      <c r="C588" s="13" t="inlineStr">
        <is>
          <t>Muhamad Budiana</t>
        </is>
      </c>
      <c r="D588" s="13" t="inlineStr">
        <is>
          <t>PROD</t>
        </is>
      </c>
      <c r="E588" s="13" t="inlineStr">
        <is>
          <t>Produksi Harian</t>
        </is>
      </c>
      <c r="F588" s="170" t="n">
        <v>46192.9924537037</v>
      </c>
      <c r="G588" s="13" t="inlineStr">
        <is>
          <t>FREE</t>
        </is>
      </c>
      <c r="H588" s="170" t="n">
        <v>46193.37297453704</v>
      </c>
    </row>
    <row r="589">
      <c r="A589" s="13" t="inlineStr">
        <is>
          <t>MK00151</t>
        </is>
      </c>
      <c r="B589" s="13" t="n">
        <v>528000195</v>
      </c>
      <c r="C589" s="13" t="inlineStr">
        <is>
          <t>Rahma Sariwati</t>
        </is>
      </c>
      <c r="D589" s="13" t="inlineStr">
        <is>
          <t>PROD</t>
        </is>
      </c>
      <c r="E589" s="13" t="inlineStr">
        <is>
          <t>Produksi Harian</t>
        </is>
      </c>
      <c r="F589" s="170" t="n">
        <v>46193.31082175926</v>
      </c>
      <c r="G589" s="13" t="inlineStr">
        <is>
          <t>FREE</t>
        </is>
      </c>
      <c r="H589" s="170" t="n">
        <v>46193.6690625</v>
      </c>
    </row>
    <row r="590">
      <c r="A590" s="13" t="inlineStr">
        <is>
          <t>MK00208</t>
        </is>
      </c>
      <c r="B590" s="13" t="n">
        <v>528000262</v>
      </c>
      <c r="C590" s="13" t="inlineStr">
        <is>
          <t>Ndari Dwiwanti</t>
        </is>
      </c>
      <c r="D590" s="13" t="inlineStr">
        <is>
          <t>PROD</t>
        </is>
      </c>
      <c r="E590" s="13" t="inlineStr">
        <is>
          <t>Produksi Harian</t>
        </is>
      </c>
      <c r="F590" s="170" t="n">
        <v>46193.31447916666</v>
      </c>
      <c r="G590" s="13" t="inlineStr">
        <is>
          <t>FREE</t>
        </is>
      </c>
      <c r="H590" s="170" t="n">
        <v>46193.66912037037</v>
      </c>
    </row>
    <row r="591">
      <c r="A591" s="13" t="inlineStr">
        <is>
          <t>MK00249</t>
        </is>
      </c>
      <c r="B591" s="13" t="n">
        <v>528000266</v>
      </c>
      <c r="C591" s="13" t="inlineStr">
        <is>
          <t>M. Syirajatieq</t>
        </is>
      </c>
      <c r="D591" s="13" t="inlineStr">
        <is>
          <t>LOG</t>
        </is>
      </c>
      <c r="E591" s="13" t="inlineStr">
        <is>
          <t>WFG Harian</t>
        </is>
      </c>
      <c r="F591" s="170" t="n">
        <v>46193.31534722223</v>
      </c>
      <c r="G591" s="13" t="inlineStr">
        <is>
          <t>FREE</t>
        </is>
      </c>
      <c r="H591" s="170" t="n">
        <v>46193.68648148148</v>
      </c>
    </row>
    <row r="592">
      <c r="A592" s="13" t="inlineStr">
        <is>
          <t>MK00145</t>
        </is>
      </c>
      <c r="B592" s="13" t="n">
        <v>528000261</v>
      </c>
      <c r="C592" s="13" t="inlineStr">
        <is>
          <t>Ergi Ergianto</t>
        </is>
      </c>
      <c r="D592" s="13" t="inlineStr">
        <is>
          <t>HRGA</t>
        </is>
      </c>
      <c r="E592" s="13" t="inlineStr">
        <is>
          <t>GA Harian</t>
        </is>
      </c>
      <c r="F592" s="170" t="n">
        <v>46193.32479166667</v>
      </c>
      <c r="G592" s="13" t="inlineStr">
        <is>
          <t>FREE</t>
        </is>
      </c>
      <c r="H592" s="170" t="n">
        <v>46193.6718287037</v>
      </c>
    </row>
    <row r="593">
      <c r="A593" s="13" t="inlineStr">
        <is>
          <t>MK00093</t>
        </is>
      </c>
      <c r="B593" s="13" t="n">
        <v>528000291</v>
      </c>
      <c r="C593" s="13" t="inlineStr">
        <is>
          <t>Andrian</t>
        </is>
      </c>
      <c r="D593" s="13" t="inlineStr">
        <is>
          <t>PROD</t>
        </is>
      </c>
      <c r="E593" s="13" t="inlineStr">
        <is>
          <t>Produksi Harian</t>
        </is>
      </c>
      <c r="F593" s="170" t="n">
        <v>46193.32809027778</v>
      </c>
      <c r="G593" s="13" t="inlineStr">
        <is>
          <t>FREE</t>
        </is>
      </c>
      <c r="H593" s="170" t="n">
        <v>46193.67365740741</v>
      </c>
    </row>
    <row r="594">
      <c r="A594" s="13" t="inlineStr">
        <is>
          <t>MK00126</t>
        </is>
      </c>
      <c r="B594" s="13" t="n">
        <v>528000283</v>
      </c>
      <c r="C594" s="13" t="inlineStr">
        <is>
          <t>Purwanda Sugiri</t>
        </is>
      </c>
      <c r="D594" s="13" t="inlineStr">
        <is>
          <t>LOG</t>
        </is>
      </c>
      <c r="E594" s="13" t="inlineStr">
        <is>
          <t>WRM Harian</t>
        </is>
      </c>
      <c r="F594" s="170" t="n">
        <v>46193.32854166667</v>
      </c>
      <c r="G594" s="13" t="inlineStr">
        <is>
          <t>FREE</t>
        </is>
      </c>
      <c r="H594" s="170" t="n">
        <v>46193.67221064815</v>
      </c>
    </row>
    <row r="595">
      <c r="A595" s="13" t="inlineStr">
        <is>
          <t>MK00158</t>
        </is>
      </c>
      <c r="B595" s="13" t="n">
        <v>528000299</v>
      </c>
      <c r="C595" s="13" t="inlineStr">
        <is>
          <t>Siti Nurjanah</t>
        </is>
      </c>
      <c r="D595" s="13" t="inlineStr">
        <is>
          <t>PROD</t>
        </is>
      </c>
      <c r="E595" s="13" t="inlineStr">
        <is>
          <t>Produksi Harian</t>
        </is>
      </c>
      <c r="F595" s="170" t="n">
        <v>46193.65512731481</v>
      </c>
      <c r="G595" s="13" t="inlineStr">
        <is>
          <t>FREE</t>
        </is>
      </c>
      <c r="H595" s="170" t="n">
        <v>46194.00311342593</v>
      </c>
    </row>
    <row r="596">
      <c r="A596" s="13" t="inlineStr">
        <is>
          <t>MK00192</t>
        </is>
      </c>
      <c r="B596" s="13" t="n">
        <v>528000270</v>
      </c>
      <c r="C596" s="13" t="inlineStr">
        <is>
          <t>Febri Najmudin</t>
        </is>
      </c>
      <c r="D596" s="13" t="inlineStr">
        <is>
          <t>LOG</t>
        </is>
      </c>
      <c r="E596" s="13" t="inlineStr">
        <is>
          <t>WRM Harian</t>
        </is>
      </c>
      <c r="F596" s="170" t="n">
        <v>46193.65950231482</v>
      </c>
      <c r="G596" s="13" t="inlineStr">
        <is>
          <t>FREE</t>
        </is>
      </c>
      <c r="H596" s="170" t="n">
        <v>46194.02739583333</v>
      </c>
    </row>
    <row r="597">
      <c r="A597" s="13" t="inlineStr">
        <is>
          <t>MK00046</t>
        </is>
      </c>
      <c r="B597" s="13" t="n">
        <v>628000061</v>
      </c>
      <c r="C597" s="13" t="inlineStr">
        <is>
          <t>Nayla Fadillah Exwantoro</t>
        </is>
      </c>
      <c r="D597" s="13" t="inlineStr">
        <is>
          <t>PROD</t>
        </is>
      </c>
      <c r="E597" s="13" t="inlineStr">
        <is>
          <t>Produksi Borongan</t>
        </is>
      </c>
      <c r="F597" s="170" t="n">
        <v>46193.6605324074</v>
      </c>
      <c r="G597" s="13" t="inlineStr">
        <is>
          <t>FREE</t>
        </is>
      </c>
      <c r="H597" s="170" t="n">
        <v>46194.34783564815</v>
      </c>
    </row>
    <row r="598">
      <c r="A598" s="13" t="inlineStr">
        <is>
          <t>MK00156</t>
        </is>
      </c>
      <c r="B598" s="13" t="n">
        <v>528000302</v>
      </c>
      <c r="C598" s="13" t="inlineStr">
        <is>
          <t>Henkey gumilar</t>
        </is>
      </c>
      <c r="D598" s="13" t="inlineStr">
        <is>
          <t>PROD</t>
        </is>
      </c>
      <c r="E598" s="13" t="inlineStr">
        <is>
          <t>Produksi Harian</t>
        </is>
      </c>
      <c r="F598" s="170" t="n">
        <v>46193.66188657407</v>
      </c>
      <c r="G598" s="13" t="inlineStr">
        <is>
          <t>FREE</t>
        </is>
      </c>
      <c r="H598" s="170" t="n">
        <v>46194.00913194445</v>
      </c>
    </row>
    <row r="599">
      <c r="A599" s="13" t="inlineStr">
        <is>
          <t>MK00085</t>
        </is>
      </c>
      <c r="B599" s="13" t="n">
        <v>628000064</v>
      </c>
      <c r="C599" s="13" t="inlineStr">
        <is>
          <t>Silva Alypia</t>
        </is>
      </c>
      <c r="D599" s="13" t="inlineStr">
        <is>
          <t>PROD</t>
        </is>
      </c>
      <c r="E599" s="13" t="inlineStr">
        <is>
          <t>Produksi Borongan</t>
        </is>
      </c>
      <c r="F599" s="170" t="n">
        <v>46193.98950231481</v>
      </c>
      <c r="G599" s="13" t="inlineStr">
        <is>
          <t>FREE</t>
        </is>
      </c>
      <c r="H599" s="170" t="n">
        <v>46194.33766203704</v>
      </c>
    </row>
    <row r="600">
      <c r="A600" s="13" t="inlineStr">
        <is>
          <t>MK00230</t>
        </is>
      </c>
      <c r="B600" s="13" t="n">
        <v>528000297</v>
      </c>
      <c r="C600" s="13" t="inlineStr">
        <is>
          <t>Muhamad Budiana</t>
        </is>
      </c>
      <c r="D600" s="13" t="inlineStr">
        <is>
          <t>PROD</t>
        </is>
      </c>
      <c r="E600" s="13" t="inlineStr">
        <is>
          <t>Produksi Harian</t>
        </is>
      </c>
      <c r="F600" s="170" t="n">
        <v>46193.99086805555</v>
      </c>
      <c r="G600" s="13" t="inlineStr">
        <is>
          <t>FREE</t>
        </is>
      </c>
      <c r="H600" s="170" t="n">
        <v>46194.37950231481</v>
      </c>
    </row>
    <row r="601">
      <c r="A601" s="13" t="inlineStr">
        <is>
          <t>MK00249</t>
        </is>
      </c>
      <c r="B601" s="13" t="n">
        <v>528000279</v>
      </c>
      <c r="C601" s="13" t="inlineStr">
        <is>
          <t>Mahdalena Dalfa Riani</t>
        </is>
      </c>
      <c r="D601" s="13" t="inlineStr">
        <is>
          <t>PROD</t>
        </is>
      </c>
      <c r="E601" s="13" t="inlineStr">
        <is>
          <t>Produksi Harian</t>
        </is>
      </c>
      <c r="F601" s="170" t="n">
        <v>46193.9934375</v>
      </c>
      <c r="G601" s="13" t="inlineStr">
        <is>
          <t>FREE</t>
        </is>
      </c>
      <c r="H601" s="170" t="n">
        <v>46194.33700231482</v>
      </c>
    </row>
    <row r="602">
      <c r="A602" s="13" t="inlineStr">
        <is>
          <t>MK00113</t>
        </is>
      </c>
      <c r="B602" s="13" t="n">
        <v>528000015</v>
      </c>
      <c r="C602" s="13" t="inlineStr">
        <is>
          <t>Erwin</t>
        </is>
      </c>
      <c r="D602" s="13" t="inlineStr">
        <is>
          <t>LOG</t>
        </is>
      </c>
      <c r="E602" s="13" t="inlineStr">
        <is>
          <t>WRM Harian</t>
        </is>
      </c>
      <c r="F602" s="170" t="n">
        <v>46194.06827546296</v>
      </c>
      <c r="G602" s="13" t="inlineStr">
        <is>
          <t>FREE</t>
        </is>
      </c>
      <c r="H602" s="170" t="n">
        <v>46194.4324537037</v>
      </c>
    </row>
    <row r="603">
      <c r="A603" s="13" t="inlineStr">
        <is>
          <t>MK00088</t>
        </is>
      </c>
      <c r="B603" s="13" t="n">
        <v>528000262</v>
      </c>
      <c r="C603" s="13" t="inlineStr">
        <is>
          <t>Ndari Dwiwanti</t>
        </is>
      </c>
      <c r="D603" s="13" t="inlineStr">
        <is>
          <t>PROD</t>
        </is>
      </c>
      <c r="E603" s="13" t="inlineStr">
        <is>
          <t>Produksi Harian</t>
        </is>
      </c>
      <c r="F603" s="170" t="n">
        <v>46194.31392361111</v>
      </c>
      <c r="G603" s="13" t="inlineStr">
        <is>
          <t>FREE</t>
        </is>
      </c>
      <c r="H603" s="170" t="n">
        <v>46194.67049768518</v>
      </c>
    </row>
    <row r="604">
      <c r="A604" s="13" t="inlineStr">
        <is>
          <t>MK00156</t>
        </is>
      </c>
      <c r="B604" s="13" t="n">
        <v>528000195</v>
      </c>
      <c r="C604" s="13" t="inlineStr">
        <is>
          <t>Rahma Sariwati</t>
        </is>
      </c>
      <c r="D604" s="13" t="inlineStr">
        <is>
          <t>PROD</t>
        </is>
      </c>
      <c r="E604" s="13" t="inlineStr">
        <is>
          <t>Produksi Harian</t>
        </is>
      </c>
      <c r="F604" s="170" t="n">
        <v>46194.31429398148</v>
      </c>
      <c r="G604" s="13" t="inlineStr">
        <is>
          <t>FREE</t>
        </is>
      </c>
      <c r="H604" s="170" t="n">
        <v>46194.67976851852</v>
      </c>
    </row>
    <row r="605">
      <c r="A605" s="13" t="inlineStr">
        <is>
          <t>MK00082</t>
        </is>
      </c>
      <c r="B605" s="13" t="n">
        <v>528000358</v>
      </c>
      <c r="C605" s="13" t="inlineStr">
        <is>
          <t>Lulu Agustin</t>
        </is>
      </c>
      <c r="D605" s="13" t="inlineStr">
        <is>
          <t>PROD</t>
        </is>
      </c>
      <c r="E605" s="13" t="inlineStr">
        <is>
          <t>Produksi Harian</t>
        </is>
      </c>
      <c r="F605" s="170" t="n">
        <v>46194.31542824074</v>
      </c>
      <c r="G605" s="13" t="inlineStr">
        <is>
          <t>FREE</t>
        </is>
      </c>
      <c r="H605" s="170" t="n">
        <v>46194.67068287037</v>
      </c>
    </row>
    <row r="606">
      <c r="A606" s="13" t="inlineStr">
        <is>
          <t>MK00213</t>
        </is>
      </c>
      <c r="B606" s="13" t="n">
        <v>528000266</v>
      </c>
      <c r="C606" s="13" t="inlineStr">
        <is>
          <t>M. Syirajatieq</t>
        </is>
      </c>
      <c r="D606" s="13" t="inlineStr">
        <is>
          <t>LOG</t>
        </is>
      </c>
      <c r="E606" s="13" t="inlineStr">
        <is>
          <t>WFG Harian</t>
        </is>
      </c>
      <c r="F606" s="170" t="n">
        <v>46194.31805555556</v>
      </c>
      <c r="G606" s="13" t="inlineStr">
        <is>
          <t>FREE</t>
        </is>
      </c>
      <c r="H606" s="170" t="n">
        <v>46194.69643518519</v>
      </c>
    </row>
    <row r="607">
      <c r="A607" s="13" t="inlineStr">
        <is>
          <t>MK00138</t>
        </is>
      </c>
      <c r="B607" s="13" t="n">
        <v>528000261</v>
      </c>
      <c r="C607" s="13" t="inlineStr">
        <is>
          <t>Ergi Ergianto</t>
        </is>
      </c>
      <c r="D607" s="13" t="inlineStr">
        <is>
          <t>HRGA</t>
        </is>
      </c>
      <c r="E607" s="13" t="inlineStr">
        <is>
          <t>GA Harian</t>
        </is>
      </c>
      <c r="F607" s="170" t="n">
        <v>46194.32618055555</v>
      </c>
      <c r="G607" s="13" t="inlineStr">
        <is>
          <t>FREE</t>
        </is>
      </c>
      <c r="H607" s="170" t="n">
        <v>46194.67026620371</v>
      </c>
    </row>
    <row r="608">
      <c r="A608" s="13" t="inlineStr">
        <is>
          <t>MK00150</t>
        </is>
      </c>
      <c r="B608" s="13" t="n">
        <v>528000291</v>
      </c>
      <c r="C608" s="13" t="inlineStr">
        <is>
          <t>Andrian</t>
        </is>
      </c>
      <c r="D608" s="13" t="inlineStr">
        <is>
          <t>PROD</t>
        </is>
      </c>
      <c r="E608" s="13" t="inlineStr">
        <is>
          <t>Produksi Harian</t>
        </is>
      </c>
      <c r="F608" s="170" t="n">
        <v>46194.32836805555</v>
      </c>
      <c r="G608" s="13" t="inlineStr">
        <is>
          <t>FREE</t>
        </is>
      </c>
      <c r="H608" s="170" t="n">
        <v>46194.66962962963</v>
      </c>
    </row>
    <row r="609">
      <c r="A609" s="13" t="inlineStr">
        <is>
          <t>AK0046</t>
        </is>
      </c>
      <c r="B609" s="13" t="n">
        <v>528000283</v>
      </c>
      <c r="C609" s="13" t="inlineStr">
        <is>
          <t>Purwanda Sugiri</t>
        </is>
      </c>
      <c r="D609" s="13" t="inlineStr">
        <is>
          <t>LOG</t>
        </is>
      </c>
      <c r="E609" s="13" t="inlineStr">
        <is>
          <t>WRM Harian</t>
        </is>
      </c>
      <c r="F609" s="170" t="n">
        <v>46194.32855324074</v>
      </c>
      <c r="G609" s="13" t="inlineStr">
        <is>
          <t>FREE</t>
        </is>
      </c>
      <c r="H609" s="170" t="n">
        <v>46195.32994212963</v>
      </c>
    </row>
    <row r="610">
      <c r="A610" s="13" t="inlineStr">
        <is>
          <t>MK00230</t>
        </is>
      </c>
      <c r="B610" s="13" t="n">
        <v>628000061</v>
      </c>
      <c r="C610" s="13" t="inlineStr">
        <is>
          <t>Nayla Fadillah Exwantoro</t>
        </is>
      </c>
      <c r="D610" s="13" t="inlineStr">
        <is>
          <t>PROD</t>
        </is>
      </c>
      <c r="E610" s="13" t="inlineStr">
        <is>
          <t>Produksi Borongan</t>
        </is>
      </c>
      <c r="F610" s="170" t="n">
        <v>46194.65494212963</v>
      </c>
      <c r="G610" s="13" t="inlineStr">
        <is>
          <t>FREE</t>
        </is>
      </c>
      <c r="H610" s="170" t="n">
        <v>46195.01842592593</v>
      </c>
    </row>
    <row r="611">
      <c r="A611" s="13" t="inlineStr">
        <is>
          <t>MK00181</t>
        </is>
      </c>
      <c r="B611" s="13" t="n">
        <v>528000299</v>
      </c>
      <c r="C611" s="13" t="inlineStr">
        <is>
          <t>Siti Nurjanah</t>
        </is>
      </c>
      <c r="D611" s="13" t="inlineStr">
        <is>
          <t>PROD</t>
        </is>
      </c>
      <c r="E611" s="13" t="inlineStr">
        <is>
          <t>Produksi Harian</t>
        </is>
      </c>
      <c r="F611" s="170" t="n">
        <v>46194.65545138889</v>
      </c>
      <c r="G611" s="13" t="inlineStr">
        <is>
          <t>FREE</t>
        </is>
      </c>
      <c r="H611" s="170" t="n">
        <v>46198.3221875</v>
      </c>
    </row>
    <row r="612">
      <c r="A612" s="13" t="inlineStr">
        <is>
          <t>MK00192</t>
        </is>
      </c>
      <c r="B612" s="13" t="n">
        <v>528000282</v>
      </c>
      <c r="C612" s="13" t="inlineStr">
        <is>
          <t>Defa Desfiana</t>
        </is>
      </c>
      <c r="D612" s="13" t="inlineStr">
        <is>
          <t>PROD</t>
        </is>
      </c>
      <c r="E612" s="13" t="inlineStr">
        <is>
          <t>Produksi Harian</t>
        </is>
      </c>
      <c r="F612" s="170" t="n">
        <v>46194.65571759259</v>
      </c>
      <c r="G612" s="13" t="inlineStr">
        <is>
          <t>FREE</t>
        </is>
      </c>
      <c r="H612" s="170" t="n">
        <v>46195.00224537037</v>
      </c>
    </row>
    <row r="613">
      <c r="A613" s="13" t="inlineStr">
        <is>
          <t>MK0008</t>
        </is>
      </c>
      <c r="B613" s="13" t="n">
        <v>528000270</v>
      </c>
      <c r="C613" s="13" t="inlineStr">
        <is>
          <t>Febri Najmudin</t>
        </is>
      </c>
      <c r="D613" s="13" t="inlineStr">
        <is>
          <t>LOG</t>
        </is>
      </c>
      <c r="E613" s="13" t="inlineStr">
        <is>
          <t>WRM Harian</t>
        </is>
      </c>
      <c r="F613" s="170" t="n">
        <v>46194.66003472222</v>
      </c>
      <c r="G613" s="13" t="inlineStr">
        <is>
          <t>FREE</t>
        </is>
      </c>
      <c r="H613" s="170" t="n">
        <v>46195.02068287037</v>
      </c>
    </row>
    <row r="614">
      <c r="A614" s="13" t="inlineStr">
        <is>
          <t>MA00109</t>
        </is>
      </c>
      <c r="B614" s="13" t="n">
        <v>528000265</v>
      </c>
      <c r="C614" s="13" t="inlineStr">
        <is>
          <t>Muhammad Haerul Rozikin</t>
        </is>
      </c>
      <c r="D614" s="13" t="inlineStr">
        <is>
          <t>LOG</t>
        </is>
      </c>
      <c r="E614" s="13" t="inlineStr">
        <is>
          <t>WRM Harian</t>
        </is>
      </c>
      <c r="F614" s="170" t="n">
        <v>46194.66435185185</v>
      </c>
      <c r="G614" s="13" t="inlineStr">
        <is>
          <t>FREE</t>
        </is>
      </c>
      <c r="H614" s="170" t="n">
        <v>46195.74577546296</v>
      </c>
    </row>
    <row r="615">
      <c r="A615" s="13" t="inlineStr">
        <is>
          <t>MK00213</t>
        </is>
      </c>
      <c r="B615" s="13" t="n">
        <v>528000351</v>
      </c>
      <c r="C615" s="13" t="inlineStr">
        <is>
          <t>Mulyana</t>
        </is>
      </c>
      <c r="D615" s="13" t="inlineStr">
        <is>
          <t>PROD</t>
        </is>
      </c>
      <c r="E615" s="13" t="inlineStr">
        <is>
          <t>Produksi Harian</t>
        </is>
      </c>
      <c r="F615" s="170" t="n">
        <v>46194.74199074074</v>
      </c>
      <c r="G615" s="13" t="inlineStr">
        <is>
          <t>FREE</t>
        </is>
      </c>
      <c r="H615" s="170" t="n">
        <v>46195.08408564814</v>
      </c>
    </row>
    <row r="616">
      <c r="A616" s="13" t="inlineStr">
        <is>
          <t>MK00249</t>
        </is>
      </c>
      <c r="B616" s="13" t="n">
        <v>528000287</v>
      </c>
      <c r="C616" s="13" t="inlineStr">
        <is>
          <t>Muhamad Angga Ramdani</t>
        </is>
      </c>
      <c r="D616" s="13" t="inlineStr">
        <is>
          <t>PROD</t>
        </is>
      </c>
      <c r="E616" s="13" t="inlineStr">
        <is>
          <t>Produksi Harian</t>
        </is>
      </c>
      <c r="F616" s="170" t="n">
        <v>46194.74211805555</v>
      </c>
      <c r="G616" s="13" t="inlineStr">
        <is>
          <t>FREE</t>
        </is>
      </c>
      <c r="H616" s="170" t="n">
        <v>46195.08636574074</v>
      </c>
    </row>
    <row r="617">
      <c r="A617" s="13" t="inlineStr">
        <is>
          <t>MK00141</t>
        </is>
      </c>
      <c r="B617" s="13" t="n">
        <v>528000273</v>
      </c>
      <c r="C617" s="13" t="inlineStr">
        <is>
          <t>Asep Mulyana</t>
        </is>
      </c>
      <c r="D617" s="13" t="inlineStr">
        <is>
          <t>PROD</t>
        </is>
      </c>
      <c r="E617" s="13" t="inlineStr">
        <is>
          <t>Produksi Harian</t>
        </is>
      </c>
      <c r="F617" s="170" t="n">
        <v>46194.74405092592</v>
      </c>
      <c r="G617" s="13" t="inlineStr">
        <is>
          <t>FREE</t>
        </is>
      </c>
      <c r="H617" s="170" t="n">
        <v>46195.08392361111</v>
      </c>
    </row>
    <row r="618">
      <c r="A618" s="13" t="inlineStr">
        <is>
          <t>MK00145</t>
        </is>
      </c>
      <c r="B618" s="13" t="n">
        <v>528000349</v>
      </c>
      <c r="C618" s="13" t="inlineStr">
        <is>
          <t>Anas Abdul Fatah</t>
        </is>
      </c>
      <c r="D618" s="13" t="inlineStr">
        <is>
          <t>LOG</t>
        </is>
      </c>
      <c r="E618" s="13" t="inlineStr">
        <is>
          <t>WFG Harian</t>
        </is>
      </c>
      <c r="F618" s="170" t="n">
        <v>46194.74737268518</v>
      </c>
      <c r="G618" s="13" t="inlineStr">
        <is>
          <t>FREE</t>
        </is>
      </c>
      <c r="H618" s="170" t="n">
        <v>46195.09592592593</v>
      </c>
    </row>
    <row r="619">
      <c r="A619" s="13" t="inlineStr">
        <is>
          <t>MK00156</t>
        </is>
      </c>
      <c r="B619" s="13" t="n">
        <v>528000055</v>
      </c>
      <c r="C619" s="13" t="inlineStr">
        <is>
          <t>Dika Prasetya</t>
        </is>
      </c>
      <c r="D619" s="13" t="inlineStr">
        <is>
          <t>LOG</t>
        </is>
      </c>
      <c r="E619" s="13" t="inlineStr">
        <is>
          <t>WRM Harian</t>
        </is>
      </c>
      <c r="F619" s="170" t="n">
        <v>46194.74802083334</v>
      </c>
      <c r="G619" s="13" t="inlineStr">
        <is>
          <t>FREE</t>
        </is>
      </c>
      <c r="H619" s="170" t="n">
        <v>46195.08464120371</v>
      </c>
    </row>
    <row r="620">
      <c r="A620" s="13" t="inlineStr">
        <is>
          <t>MK00212</t>
        </is>
      </c>
      <c r="B620" s="13" t="n">
        <v>528000149</v>
      </c>
      <c r="C620" s="13" t="inlineStr">
        <is>
          <t>Tio Fernanda</t>
        </is>
      </c>
      <c r="D620" s="13" t="inlineStr">
        <is>
          <t>LOG</t>
        </is>
      </c>
      <c r="E620" s="13" t="inlineStr">
        <is>
          <t>WRM Harian</t>
        </is>
      </c>
      <c r="F620" s="170" t="n">
        <v>46194.78491898148</v>
      </c>
      <c r="G620" s="13" t="inlineStr">
        <is>
          <t>FREE</t>
        </is>
      </c>
      <c r="H620" s="170" t="n">
        <v>46195.14167824074</v>
      </c>
    </row>
    <row r="621">
      <c r="A621" s="13" t="inlineStr">
        <is>
          <t>MK00205</t>
        </is>
      </c>
      <c r="B621" s="13" t="n">
        <v>528000348</v>
      </c>
      <c r="C621" s="13" t="inlineStr">
        <is>
          <t>Saepuloh Ardiansah</t>
        </is>
      </c>
      <c r="D621" s="13" t="inlineStr">
        <is>
          <t>LOG</t>
        </is>
      </c>
      <c r="E621" s="13" t="inlineStr">
        <is>
          <t>WRM Harian</t>
        </is>
      </c>
      <c r="F621" s="170" t="n">
        <v>46194.78854166667</v>
      </c>
      <c r="G621" s="13" t="inlineStr">
        <is>
          <t>FREE</t>
        </is>
      </c>
      <c r="H621" s="170" t="n">
        <v>46195.21236111111</v>
      </c>
    </row>
    <row r="622">
      <c r="A622" s="13" t="inlineStr">
        <is>
          <t>MK00046</t>
        </is>
      </c>
      <c r="B622" s="13" t="n">
        <v>528000232</v>
      </c>
      <c r="C622" s="13" t="inlineStr">
        <is>
          <t>Agung Aji Suhada</t>
        </is>
      </c>
      <c r="D622" s="13" t="inlineStr">
        <is>
          <t>LOG</t>
        </is>
      </c>
      <c r="E622" s="13" t="inlineStr">
        <is>
          <t>WRM Harian</t>
        </is>
      </c>
      <c r="F622" s="170" t="n">
        <v>46194.79201388889</v>
      </c>
      <c r="G622" s="13" t="inlineStr">
        <is>
          <t>FREE</t>
        </is>
      </c>
      <c r="H622" s="170" t="n">
        <v>46195.78895833333</v>
      </c>
    </row>
    <row r="623">
      <c r="A623" s="13" t="inlineStr">
        <is>
          <t>MK00095</t>
        </is>
      </c>
      <c r="B623" s="13" t="n">
        <v>528000203</v>
      </c>
      <c r="C623" s="13" t="inlineStr">
        <is>
          <t>Yudha Ramdhan Putra</t>
        </is>
      </c>
      <c r="D623" s="13" t="inlineStr">
        <is>
          <t>ENG</t>
        </is>
      </c>
      <c r="E623" s="13" t="inlineStr">
        <is>
          <t>Engineering Harian</t>
        </is>
      </c>
      <c r="F623" s="170" t="n">
        <v>46194.79322916667</v>
      </c>
      <c r="G623" s="13" t="inlineStr">
        <is>
          <t>FREE</t>
        </is>
      </c>
      <c r="H623" s="170" t="n">
        <v>46195.12501157408</v>
      </c>
    </row>
    <row r="624">
      <c r="A624" s="13" t="inlineStr">
        <is>
          <t>MK00055</t>
        </is>
      </c>
      <c r="B624" s="13" t="n">
        <v>528000212</v>
      </c>
      <c r="C624" s="13" t="inlineStr">
        <is>
          <t>Rizal Fauzi</t>
        </is>
      </c>
      <c r="D624" s="13" t="inlineStr">
        <is>
          <t>PROD</t>
        </is>
      </c>
      <c r="E624" s="13" t="inlineStr">
        <is>
          <t>Produksi Harian</t>
        </is>
      </c>
      <c r="F624" s="170" t="n">
        <v>46194.98518518519</v>
      </c>
      <c r="G624" s="13" t="inlineStr">
        <is>
          <t>FREE</t>
        </is>
      </c>
      <c r="H624" s="170" t="n">
        <v>46195.97528935185</v>
      </c>
    </row>
    <row r="625">
      <c r="A625" s="13" t="inlineStr">
        <is>
          <t>MK00208</t>
        </is>
      </c>
      <c r="B625" s="13" t="n">
        <v>528000286</v>
      </c>
      <c r="C625" s="13" t="inlineStr">
        <is>
          <t>Imelda Amelia</t>
        </is>
      </c>
      <c r="D625" s="13" t="inlineStr">
        <is>
          <t>PROD</t>
        </is>
      </c>
      <c r="E625" s="13" t="inlineStr">
        <is>
          <t>Produksi Harian</t>
        </is>
      </c>
      <c r="F625" s="170" t="n">
        <v>46194.98667824074</v>
      </c>
      <c r="G625" s="13" t="inlineStr">
        <is>
          <t>FREE</t>
        </is>
      </c>
      <c r="H625" s="170" t="n">
        <v>46195.33817129629</v>
      </c>
    </row>
    <row r="626">
      <c r="A626" s="13" t="inlineStr">
        <is>
          <t>MK0082</t>
        </is>
      </c>
      <c r="B626" s="13" t="n">
        <v>528000201</v>
      </c>
      <c r="C626" s="13" t="inlineStr">
        <is>
          <t>Zahwa Amelia Choerunissa</t>
        </is>
      </c>
      <c r="D626" s="13" t="inlineStr">
        <is>
          <t>PROD</t>
        </is>
      </c>
      <c r="E626" s="13" t="inlineStr">
        <is>
          <t>Produksi Harian</t>
        </is>
      </c>
      <c r="F626" s="170" t="n">
        <v>46194.98715277778</v>
      </c>
      <c r="G626" s="13" t="inlineStr">
        <is>
          <t>FREE</t>
        </is>
      </c>
      <c r="H626" s="170" t="n">
        <v>46195.33770833333</v>
      </c>
    </row>
    <row r="627">
      <c r="A627" s="13" t="inlineStr">
        <is>
          <t>MK00138</t>
        </is>
      </c>
      <c r="B627" s="13" t="n">
        <v>528000099</v>
      </c>
      <c r="C627" s="13" t="inlineStr">
        <is>
          <t>Siti Nurawaliah</t>
        </is>
      </c>
      <c r="D627" s="13" t="inlineStr">
        <is>
          <t>PROD</t>
        </is>
      </c>
      <c r="E627" s="13" t="inlineStr">
        <is>
          <t>Produksi Harian</t>
        </is>
      </c>
      <c r="F627" s="170" t="n">
        <v>46194.98765046296</v>
      </c>
      <c r="G627" s="13" t="inlineStr">
        <is>
          <t>FREE</t>
        </is>
      </c>
      <c r="H627" s="170" t="n">
        <v>46195.33723379629</v>
      </c>
    </row>
    <row r="628">
      <c r="A628" s="13" t="inlineStr">
        <is>
          <t>MK00126</t>
        </is>
      </c>
      <c r="B628" s="13" t="n">
        <v>528000244</v>
      </c>
      <c r="C628" s="13" t="inlineStr">
        <is>
          <t>Rodian Rifai</t>
        </is>
      </c>
      <c r="D628" s="13" t="inlineStr">
        <is>
          <t>PROD</t>
        </is>
      </c>
      <c r="E628" s="13" t="inlineStr">
        <is>
          <t>Produksi Harian</t>
        </is>
      </c>
      <c r="F628" s="170" t="n">
        <v>46194.9878587963</v>
      </c>
      <c r="G628" s="13" t="inlineStr">
        <is>
          <t>FREE</t>
        </is>
      </c>
      <c r="H628" s="170" t="n">
        <v>46195.38434027778</v>
      </c>
    </row>
    <row r="629">
      <c r="A629" s="13" t="inlineStr">
        <is>
          <t>MK0025Q</t>
        </is>
      </c>
      <c r="B629" s="13" t="n">
        <v>528000290</v>
      </c>
      <c r="C629" s="13" t="inlineStr">
        <is>
          <t>Eval Pranata</t>
        </is>
      </c>
      <c r="D629" s="13" t="inlineStr">
        <is>
          <t>PROD</t>
        </is>
      </c>
      <c r="E629" s="13" t="inlineStr">
        <is>
          <t>Produksi Harian</t>
        </is>
      </c>
      <c r="F629" s="170" t="n">
        <v>46194.99876157408</v>
      </c>
      <c r="G629" s="13" t="inlineStr">
        <is>
          <t>FREE</t>
        </is>
      </c>
      <c r="H629" s="170" t="n">
        <v>46195.99578703703</v>
      </c>
    </row>
    <row r="630">
      <c r="A630" s="13" t="inlineStr">
        <is>
          <t>MK00155</t>
        </is>
      </c>
      <c r="B630" s="13" t="n">
        <v>528000015</v>
      </c>
      <c r="C630" s="13" t="inlineStr">
        <is>
          <t>Erwin</t>
        </is>
      </c>
      <c r="D630" s="13" t="inlineStr">
        <is>
          <t>LOG</t>
        </is>
      </c>
      <c r="E630" s="13" t="inlineStr">
        <is>
          <t>WRM Harian</t>
        </is>
      </c>
      <c r="F630" s="170" t="n">
        <v>46195.07027777778</v>
      </c>
      <c r="G630" s="13" t="inlineStr">
        <is>
          <t>FREE</t>
        </is>
      </c>
      <c r="H630" s="170" t="n">
        <v>46195.65238425926</v>
      </c>
    </row>
    <row r="631">
      <c r="A631" s="13" t="inlineStr">
        <is>
          <t>MK00089</t>
        </is>
      </c>
      <c r="B631" s="13" t="n">
        <v>528000144</v>
      </c>
      <c r="C631" s="13" t="inlineStr">
        <is>
          <t>Jodi Hanafi</t>
        </is>
      </c>
      <c r="D631" s="13" t="inlineStr">
        <is>
          <t>LOG</t>
        </is>
      </c>
      <c r="E631" s="13" t="inlineStr">
        <is>
          <t>WRM Harian</t>
        </is>
      </c>
      <c r="F631" s="170" t="n">
        <v>46195.07987268519</v>
      </c>
      <c r="G631" s="13" t="inlineStr">
        <is>
          <t>FREE</t>
        </is>
      </c>
      <c r="H631" s="170" t="n">
        <v>46195.50649305555</v>
      </c>
    </row>
    <row r="632">
      <c r="A632" s="13" t="inlineStr">
        <is>
          <t>MK00186</t>
        </is>
      </c>
      <c r="B632" s="13" t="n">
        <v>528000195</v>
      </c>
      <c r="C632" s="13" t="inlineStr">
        <is>
          <t>Rahma Sariwati</t>
        </is>
      </c>
      <c r="D632" s="13" t="inlineStr">
        <is>
          <t>PROD</t>
        </is>
      </c>
      <c r="E632" s="13" t="inlineStr">
        <is>
          <t>Produksi Harian</t>
        </is>
      </c>
      <c r="F632" s="170" t="n">
        <v>46195.31637731481</v>
      </c>
      <c r="G632" s="13" t="inlineStr">
        <is>
          <t>FREE</t>
        </is>
      </c>
      <c r="H632" s="170" t="n">
        <v>46195.67053240741</v>
      </c>
    </row>
    <row r="633">
      <c r="A633" s="13" t="inlineStr">
        <is>
          <t>MK00156</t>
        </is>
      </c>
      <c r="B633" s="13" t="n">
        <v>528000266</v>
      </c>
      <c r="C633" s="13" t="inlineStr">
        <is>
          <t>M. Syirajatieq</t>
        </is>
      </c>
      <c r="D633" s="13" t="inlineStr">
        <is>
          <t>LOG</t>
        </is>
      </c>
      <c r="E633" s="13" t="inlineStr">
        <is>
          <t>WFG Harian</t>
        </is>
      </c>
      <c r="F633" s="170" t="n">
        <v>46195.31701388889</v>
      </c>
      <c r="G633" s="13" t="inlineStr">
        <is>
          <t>FREE</t>
        </is>
      </c>
      <c r="H633" s="170" t="n">
        <v>46195.685</v>
      </c>
    </row>
    <row r="634">
      <c r="A634" s="13" t="inlineStr">
        <is>
          <t>MK00213</t>
        </is>
      </c>
      <c r="B634" s="13" t="n">
        <v>528000262</v>
      </c>
      <c r="C634" s="13" t="inlineStr">
        <is>
          <t>Ndari Dwiwanti</t>
        </is>
      </c>
      <c r="D634" s="13" t="inlineStr">
        <is>
          <t>PROD</t>
        </is>
      </c>
      <c r="E634" s="13" t="inlineStr">
        <is>
          <t>Produksi Harian</t>
        </is>
      </c>
      <c r="F634" s="170" t="n">
        <v>46195.31712962963</v>
      </c>
      <c r="G634" s="13" t="inlineStr">
        <is>
          <t>FREE</t>
        </is>
      </c>
      <c r="H634" s="170" t="n">
        <v>46195.66945601852</v>
      </c>
    </row>
    <row r="635">
      <c r="A635" s="13" t="inlineStr">
        <is>
          <t>MK00141</t>
        </is>
      </c>
      <c r="B635" s="13" t="n">
        <v>528000358</v>
      </c>
      <c r="C635" s="13" t="inlineStr">
        <is>
          <t>Lulu Agustin</t>
        </is>
      </c>
      <c r="D635" s="13" t="inlineStr">
        <is>
          <t>PROD</t>
        </is>
      </c>
      <c r="E635" s="13" t="inlineStr">
        <is>
          <t>Produksi Harian</t>
        </is>
      </c>
      <c r="F635" s="170" t="n">
        <v>46195.3196875</v>
      </c>
      <c r="G635" s="13" t="inlineStr">
        <is>
          <t>FREE</t>
        </is>
      </c>
      <c r="H635" s="170" t="n">
        <v>46195.66971064815</v>
      </c>
    </row>
    <row r="636">
      <c r="A636" s="13" t="inlineStr">
        <is>
          <t>MK00192</t>
        </is>
      </c>
      <c r="B636" s="13" t="n">
        <v>528000306</v>
      </c>
      <c r="C636" s="13" t="inlineStr">
        <is>
          <t>Windy Olivia</t>
        </is>
      </c>
      <c r="D636" s="13" t="inlineStr">
        <is>
          <t>PROD</t>
        </is>
      </c>
      <c r="E636" s="13" t="inlineStr">
        <is>
          <t>Produksi Harian</t>
        </is>
      </c>
      <c r="F636" s="170" t="n">
        <v>46195.32024305555</v>
      </c>
      <c r="G636" s="13" t="inlineStr">
        <is>
          <t>FREE</t>
        </is>
      </c>
      <c r="H636" s="170" t="n">
        <v>46195.66993055555</v>
      </c>
    </row>
    <row r="637">
      <c r="A637" s="13" t="inlineStr">
        <is>
          <t>MK00203</t>
        </is>
      </c>
      <c r="B637" s="13" t="n">
        <v>528000261</v>
      </c>
      <c r="C637" s="13" t="inlineStr">
        <is>
          <t>Ergi Ergianto</t>
        </is>
      </c>
      <c r="D637" s="13" t="inlineStr">
        <is>
          <t>HRGA</t>
        </is>
      </c>
      <c r="E637" s="13" t="inlineStr">
        <is>
          <t>GA Harian</t>
        </is>
      </c>
      <c r="F637" s="170" t="n">
        <v>46195.32430555556</v>
      </c>
      <c r="G637" s="13" t="inlineStr">
        <is>
          <t>FREE</t>
        </is>
      </c>
      <c r="H637" s="170" t="n">
        <v>46195.66982638889</v>
      </c>
    </row>
    <row r="638">
      <c r="A638" s="13" t="inlineStr">
        <is>
          <t>MK00008</t>
        </is>
      </c>
      <c r="B638" s="13" t="n">
        <v>528000291</v>
      </c>
      <c r="C638" s="13" t="inlineStr">
        <is>
          <t>Andrian</t>
        </is>
      </c>
      <c r="D638" s="13" t="inlineStr">
        <is>
          <t>PROD</t>
        </is>
      </c>
      <c r="E638" s="13" t="inlineStr">
        <is>
          <t>Produksi Harian</t>
        </is>
      </c>
      <c r="F638" s="170" t="n">
        <v>46195.32914351852</v>
      </c>
      <c r="G638" s="13" t="inlineStr">
        <is>
          <t>FREE</t>
        </is>
      </c>
      <c r="H638" s="170" t="n">
        <v>46195.66917824074</v>
      </c>
    </row>
    <row r="639">
      <c r="A639" s="13" t="inlineStr">
        <is>
          <t>MK0093</t>
        </is>
      </c>
      <c r="B639" s="13" t="n">
        <v>528000283</v>
      </c>
      <c r="C639" s="13" t="inlineStr">
        <is>
          <t>Purwanda Sugiri</t>
        </is>
      </c>
      <c r="D639" s="13" t="inlineStr">
        <is>
          <t>LOG</t>
        </is>
      </c>
      <c r="E639" s="13" t="inlineStr">
        <is>
          <t>WRM Harian</t>
        </is>
      </c>
      <c r="F639" s="170" t="n">
        <v>46195.33017361111</v>
      </c>
      <c r="G639" s="13" t="inlineStr">
        <is>
          <t>FREE</t>
        </is>
      </c>
      <c r="H639" s="170" t="n">
        <v>46198.83206018519</v>
      </c>
    </row>
    <row r="640">
      <c r="A640" s="13" t="inlineStr">
        <is>
          <t>MK00088</t>
        </is>
      </c>
      <c r="B640" s="13" t="n">
        <v>528000132</v>
      </c>
      <c r="C640" s="13" t="inlineStr">
        <is>
          <t>Giopani</t>
        </is>
      </c>
      <c r="D640" s="13" t="inlineStr">
        <is>
          <t>LOG</t>
        </is>
      </c>
      <c r="E640" s="13" t="inlineStr">
        <is>
          <t>WRM Harian</t>
        </is>
      </c>
      <c r="F640" s="170" t="n">
        <v>46195.41928240741</v>
      </c>
      <c r="G640" s="13" t="inlineStr">
        <is>
          <t>FREE</t>
        </is>
      </c>
      <c r="H640" s="170" t="n">
        <v>46195.41966435185</v>
      </c>
    </row>
    <row r="641">
      <c r="A641" s="13" t="inlineStr">
        <is>
          <t>MK00126</t>
        </is>
      </c>
      <c r="B641" s="13" t="n">
        <v>628000064</v>
      </c>
      <c r="C641" s="13" t="inlineStr">
        <is>
          <t>Silva Alypia</t>
        </is>
      </c>
      <c r="D641" s="13" t="inlineStr">
        <is>
          <t>PROD</t>
        </is>
      </c>
      <c r="E641" s="13" t="inlineStr">
        <is>
          <t>Produksi Borongan</t>
        </is>
      </c>
      <c r="F641" s="170" t="n">
        <v>46195.65865740741</v>
      </c>
      <c r="G641" s="13" t="inlineStr">
        <is>
          <t>FREE</t>
        </is>
      </c>
      <c r="H641" s="170" t="n">
        <v>46196.00630787037</v>
      </c>
    </row>
    <row r="642">
      <c r="A642" s="13" t="inlineStr">
        <is>
          <t>MK00228</t>
        </is>
      </c>
      <c r="B642" s="13" t="n">
        <v>528000279</v>
      </c>
      <c r="C642" s="13" t="inlineStr">
        <is>
          <t>Mahdalena Dalfa Riani</t>
        </is>
      </c>
      <c r="D642" s="13" t="inlineStr">
        <is>
          <t>PROD</t>
        </is>
      </c>
      <c r="E642" s="13" t="inlineStr">
        <is>
          <t>Produksi Harian</t>
        </is>
      </c>
      <c r="F642" s="170" t="n">
        <v>46195.66189814815</v>
      </c>
      <c r="G642" s="13" t="inlineStr">
        <is>
          <t>FREE</t>
        </is>
      </c>
      <c r="H642" s="170" t="n">
        <v>46196.0033912037</v>
      </c>
    </row>
    <row r="643">
      <c r="A643" s="13" t="inlineStr">
        <is>
          <t>MK00109</t>
        </is>
      </c>
      <c r="B643" s="13" t="n">
        <v>528000297</v>
      </c>
      <c r="C643" s="13" t="inlineStr">
        <is>
          <t>Muhamad Budiana</t>
        </is>
      </c>
      <c r="D643" s="13" t="inlineStr">
        <is>
          <t>PROD</t>
        </is>
      </c>
      <c r="E643" s="13" t="inlineStr">
        <is>
          <t>Produksi Harian</t>
        </is>
      </c>
      <c r="F643" s="170" t="n">
        <v>46195.66240740741</v>
      </c>
      <c r="G643" s="13" t="inlineStr">
        <is>
          <t>FREE</t>
        </is>
      </c>
      <c r="H643" s="170" t="n">
        <v>46196.06303240741</v>
      </c>
    </row>
    <row r="644">
      <c r="A644" s="13" t="inlineStr">
        <is>
          <t>MK00085</t>
        </is>
      </c>
      <c r="B644" s="13" t="n">
        <v>528000300</v>
      </c>
      <c r="C644" s="13" t="inlineStr">
        <is>
          <t>Lia pitaloka</t>
        </is>
      </c>
      <c r="D644" s="13" t="inlineStr">
        <is>
          <t>PROD</t>
        </is>
      </c>
      <c r="E644" s="13" t="inlineStr">
        <is>
          <t>Produksi Harian</t>
        </is>
      </c>
      <c r="F644" s="170" t="n">
        <v>46195.66420138889</v>
      </c>
      <c r="G644" s="13" t="inlineStr">
        <is>
          <t>FREE</t>
        </is>
      </c>
      <c r="H644" s="170" t="n">
        <v>46196.0075</v>
      </c>
    </row>
    <row r="645">
      <c r="A645" s="13" t="inlineStr">
        <is>
          <t>MK00145</t>
        </is>
      </c>
      <c r="B645" s="13" t="n">
        <v>528000273</v>
      </c>
      <c r="C645" s="13" t="inlineStr">
        <is>
          <t>Asep Mulyana</t>
        </is>
      </c>
      <c r="D645" s="13" t="inlineStr">
        <is>
          <t>PROD</t>
        </is>
      </c>
      <c r="E645" s="13" t="inlineStr">
        <is>
          <t>Produksi Harian</t>
        </is>
      </c>
      <c r="F645" s="170" t="n">
        <v>46195.72060185186</v>
      </c>
      <c r="G645" s="13" t="inlineStr">
        <is>
          <t>FREE</t>
        </is>
      </c>
      <c r="H645" s="170" t="n">
        <v>46196.08434027778</v>
      </c>
    </row>
    <row r="646">
      <c r="A646" s="13" t="inlineStr">
        <is>
          <t>MK00203</t>
        </is>
      </c>
      <c r="B646" s="13" t="n">
        <v>528000282</v>
      </c>
      <c r="C646" s="13" t="inlineStr">
        <is>
          <t>Defa Desfiana</t>
        </is>
      </c>
      <c r="D646" s="13" t="inlineStr">
        <is>
          <t>PROD</t>
        </is>
      </c>
      <c r="E646" s="13" t="inlineStr">
        <is>
          <t>Produksi Harian</t>
        </is>
      </c>
      <c r="F646" s="170" t="n">
        <v>46195.73130787037</v>
      </c>
      <c r="G646" s="13" t="inlineStr">
        <is>
          <t>FREE</t>
        </is>
      </c>
      <c r="H646" s="170" t="n">
        <v>46196.08428240741</v>
      </c>
    </row>
    <row r="647">
      <c r="A647" s="13" t="inlineStr">
        <is>
          <t>MK00199</t>
        </is>
      </c>
      <c r="B647" s="13" t="n">
        <v>528000287</v>
      </c>
      <c r="C647" s="13" t="inlineStr">
        <is>
          <t>Muhamad Angga Ramdani</t>
        </is>
      </c>
      <c r="D647" s="13" t="inlineStr">
        <is>
          <t>PROD</t>
        </is>
      </c>
      <c r="E647" s="13" t="inlineStr">
        <is>
          <t>Produksi Harian</t>
        </is>
      </c>
      <c r="F647" s="170" t="n">
        <v>46195.74305555555</v>
      </c>
      <c r="G647" s="13" t="inlineStr">
        <is>
          <t>FREE</t>
        </is>
      </c>
      <c r="H647" s="170" t="n">
        <v>46196.08809027778</v>
      </c>
    </row>
    <row r="648">
      <c r="A648" s="13" t="inlineStr">
        <is>
          <t>MK00151</t>
        </is>
      </c>
      <c r="B648" s="13" t="n">
        <v>528000349</v>
      </c>
      <c r="C648" s="13" t="inlineStr">
        <is>
          <t>Anas Abdul Fatah</t>
        </is>
      </c>
      <c r="D648" s="13" t="inlineStr">
        <is>
          <t>LOG</t>
        </is>
      </c>
      <c r="E648" s="13" t="inlineStr">
        <is>
          <t>WFG Harian</t>
        </is>
      </c>
      <c r="F648" s="170" t="n">
        <v>46195.74425925926</v>
      </c>
      <c r="G648" s="13" t="inlineStr">
        <is>
          <t>FREE</t>
        </is>
      </c>
      <c r="H648" s="170" t="n">
        <v>46196.09420138889</v>
      </c>
    </row>
    <row r="649">
      <c r="A649" s="13" t="inlineStr">
        <is>
          <t>MK00156</t>
        </is>
      </c>
      <c r="B649" s="13" t="n">
        <v>528000265</v>
      </c>
      <c r="C649" s="13" t="inlineStr">
        <is>
          <t>Muhammad Haerul Rozikin</t>
        </is>
      </c>
      <c r="D649" s="13" t="inlineStr">
        <is>
          <t>LOG</t>
        </is>
      </c>
      <c r="E649" s="13" t="inlineStr">
        <is>
          <t>WRM Harian</t>
        </is>
      </c>
      <c r="F649" s="170" t="n">
        <v>46195.74596064815</v>
      </c>
      <c r="G649" s="13" t="inlineStr">
        <is>
          <t>FREE</t>
        </is>
      </c>
      <c r="H649" s="170" t="n">
        <v>46196.0865162037</v>
      </c>
    </row>
    <row r="650">
      <c r="A650" s="13" t="inlineStr">
        <is>
          <t>MK00046</t>
        </is>
      </c>
      <c r="B650" s="13" t="n">
        <v>528000351</v>
      </c>
      <c r="C650" s="13" t="inlineStr">
        <is>
          <t>Mulyana</t>
        </is>
      </c>
      <c r="D650" s="13" t="inlineStr">
        <is>
          <t>PROD</t>
        </is>
      </c>
      <c r="E650" s="13" t="inlineStr">
        <is>
          <t>Produksi Harian</t>
        </is>
      </c>
      <c r="F650" s="170" t="n">
        <v>46195.74697916667</v>
      </c>
      <c r="G650" s="13" t="inlineStr">
        <is>
          <t>FREE</t>
        </is>
      </c>
      <c r="H650" s="170" t="n">
        <v>46196.08351851852</v>
      </c>
    </row>
    <row r="651">
      <c r="A651" s="13" t="inlineStr">
        <is>
          <t>MK0008</t>
        </is>
      </c>
      <c r="B651" s="13" t="n">
        <v>528000055</v>
      </c>
      <c r="C651" s="13" t="inlineStr">
        <is>
          <t>Dika Prasetya</t>
        </is>
      </c>
      <c r="D651" s="13" t="inlineStr">
        <is>
          <t>LOG</t>
        </is>
      </c>
      <c r="E651" s="13" t="inlineStr">
        <is>
          <t>WRM Harian</t>
        </is>
      </c>
      <c r="F651" s="170" t="n">
        <v>46195.74827546296</v>
      </c>
      <c r="G651" s="13" t="inlineStr">
        <is>
          <t>FREE</t>
        </is>
      </c>
      <c r="H651" s="170" t="n">
        <v>46196.08377314815</v>
      </c>
    </row>
    <row r="652">
      <c r="A652" s="13" t="inlineStr">
        <is>
          <t>MK00046</t>
        </is>
      </c>
      <c r="B652" s="13" t="n">
        <v>528000232</v>
      </c>
      <c r="C652" s="13" t="inlineStr">
        <is>
          <t>Agung Aji Suhada</t>
        </is>
      </c>
      <c r="D652" s="13" t="inlineStr">
        <is>
          <t>LOG</t>
        </is>
      </c>
      <c r="E652" s="13" t="inlineStr">
        <is>
          <t>WRM Harian</t>
        </is>
      </c>
      <c r="F652" s="170" t="n">
        <v>46195.78931712963</v>
      </c>
      <c r="G652" s="13" t="inlineStr">
        <is>
          <t>FREE</t>
        </is>
      </c>
      <c r="H652" s="170" t="n">
        <v>46196.12719907407</v>
      </c>
    </row>
    <row r="653">
      <c r="A653" s="13" t="inlineStr">
        <is>
          <t>MK00205</t>
        </is>
      </c>
      <c r="B653" s="13" t="n">
        <v>528000348</v>
      </c>
      <c r="C653" s="13" t="inlineStr">
        <is>
          <t>Saepuloh Ardiansah</t>
        </is>
      </c>
      <c r="D653" s="13" t="inlineStr">
        <is>
          <t>LOG</t>
        </is>
      </c>
      <c r="E653" s="13" t="inlineStr">
        <is>
          <t>WRM Harian</t>
        </is>
      </c>
      <c r="F653" s="170" t="n">
        <v>46195.78989583333</v>
      </c>
      <c r="G653" s="13" t="inlineStr">
        <is>
          <t>FREE</t>
        </is>
      </c>
      <c r="H653" s="170" t="n">
        <v>46196.13539351852</v>
      </c>
    </row>
    <row r="654">
      <c r="A654" s="13" t="inlineStr">
        <is>
          <t>MK00212</t>
        </is>
      </c>
      <c r="B654" s="13" t="n">
        <v>528000149</v>
      </c>
      <c r="C654" s="13" t="inlineStr">
        <is>
          <t>Tio Fernanda</t>
        </is>
      </c>
      <c r="D654" s="13" t="inlineStr">
        <is>
          <t>LOG</t>
        </is>
      </c>
      <c r="E654" s="13" t="inlineStr">
        <is>
          <t>WRM Harian</t>
        </is>
      </c>
      <c r="F654" s="170" t="n">
        <v>46195.79030092592</v>
      </c>
      <c r="G654" s="13" t="inlineStr">
        <is>
          <t>FREE</t>
        </is>
      </c>
      <c r="H654" s="170" t="n">
        <v>46196.13186342592</v>
      </c>
    </row>
    <row r="655">
      <c r="A655" s="13" t="inlineStr">
        <is>
          <t>MK00185</t>
        </is>
      </c>
      <c r="B655" s="13" t="n">
        <v>528000203</v>
      </c>
      <c r="C655" s="13" t="inlineStr">
        <is>
          <t>Yudha Ramdhan Putra</t>
        </is>
      </c>
      <c r="D655" s="13" t="inlineStr">
        <is>
          <t>ENG</t>
        </is>
      </c>
      <c r="E655" s="13" t="inlineStr">
        <is>
          <t>Engineering Harian</t>
        </is>
      </c>
      <c r="F655" s="170" t="n">
        <v>46195.79423611111</v>
      </c>
      <c r="G655" s="13" t="inlineStr">
        <is>
          <t>FREE</t>
        </is>
      </c>
      <c r="H655" s="170" t="n">
        <v>46196.13170138889</v>
      </c>
    </row>
    <row r="656">
      <c r="A656" s="13" t="inlineStr">
        <is>
          <t>MK00055</t>
        </is>
      </c>
      <c r="B656" s="13" t="n">
        <v>528000212</v>
      </c>
      <c r="C656" s="13" t="inlineStr">
        <is>
          <t>Rizal Fauzi</t>
        </is>
      </c>
      <c r="D656" s="13" t="inlineStr">
        <is>
          <t>PROD</t>
        </is>
      </c>
      <c r="E656" s="13" t="inlineStr">
        <is>
          <t>Produksi Harian</t>
        </is>
      </c>
      <c r="F656" s="170" t="n">
        <v>46195.97549768518</v>
      </c>
      <c r="G656" s="13" t="inlineStr">
        <is>
          <t>FREE</t>
        </is>
      </c>
      <c r="H656" s="170" t="n">
        <v>46196.43310185185</v>
      </c>
    </row>
    <row r="657">
      <c r="A657" s="13" t="inlineStr">
        <is>
          <t>MK00116</t>
        </is>
      </c>
      <c r="B657" s="13" t="n">
        <v>528000201</v>
      </c>
      <c r="C657" s="13" t="inlineStr">
        <is>
          <t>Zahwa Amelia Choerunissa</t>
        </is>
      </c>
      <c r="D657" s="13" t="inlineStr">
        <is>
          <t>PROD</t>
        </is>
      </c>
      <c r="E657" s="13" t="inlineStr">
        <is>
          <t>Produksi Harian</t>
        </is>
      </c>
      <c r="F657" s="170" t="n">
        <v>46195.98603009259</v>
      </c>
      <c r="G657" s="13" t="inlineStr">
        <is>
          <t>FREE</t>
        </is>
      </c>
      <c r="H657" s="170" t="n">
        <v>46196.33645833333</v>
      </c>
    </row>
    <row r="658">
      <c r="A658" s="13" t="inlineStr">
        <is>
          <t>MK00136</t>
        </is>
      </c>
      <c r="B658" s="13" t="n">
        <v>528000244</v>
      </c>
      <c r="C658" s="13" t="inlineStr">
        <is>
          <t>Rodian Rifai</t>
        </is>
      </c>
      <c r="D658" s="13" t="inlineStr">
        <is>
          <t>PROD</t>
        </is>
      </c>
      <c r="E658" s="13" t="inlineStr">
        <is>
          <t>Produksi Harian</t>
        </is>
      </c>
      <c r="F658" s="170" t="n">
        <v>46195.98640046296</v>
      </c>
      <c r="G658" s="13" t="inlineStr">
        <is>
          <t>FREE</t>
        </is>
      </c>
      <c r="H658" s="170" t="n">
        <v>46196.38048611111</v>
      </c>
    </row>
    <row r="659">
      <c r="A659" s="13" t="inlineStr">
        <is>
          <t>MK00158</t>
        </is>
      </c>
      <c r="B659" s="13" t="n">
        <v>528000099</v>
      </c>
      <c r="C659" s="13" t="inlineStr">
        <is>
          <t>Siti Nurawaliah</t>
        </is>
      </c>
      <c r="D659" s="13" t="inlineStr">
        <is>
          <t>PROD</t>
        </is>
      </c>
      <c r="E659" s="13" t="inlineStr">
        <is>
          <t>Produksi Harian</t>
        </is>
      </c>
      <c r="F659" s="170" t="n">
        <v>46195.98655092593</v>
      </c>
      <c r="G659" s="13" t="inlineStr">
        <is>
          <t>FREE</t>
        </is>
      </c>
      <c r="H659" s="170" t="n">
        <v>46196.33607638889</v>
      </c>
    </row>
    <row r="660">
      <c r="A660" s="13" t="inlineStr">
        <is>
          <t>MK00221</t>
        </is>
      </c>
      <c r="B660" s="13" t="n">
        <v>528000286</v>
      </c>
      <c r="C660" s="13" t="inlineStr">
        <is>
          <t>Imelda Amelia</t>
        </is>
      </c>
      <c r="D660" s="13" t="inlineStr">
        <is>
          <t>PROD</t>
        </is>
      </c>
      <c r="E660" s="13" t="inlineStr">
        <is>
          <t>Produksi Harian</t>
        </is>
      </c>
      <c r="F660" s="170" t="n">
        <v>46195.98655092593</v>
      </c>
      <c r="G660" s="13" t="inlineStr">
        <is>
          <t>FREE</t>
        </is>
      </c>
      <c r="H660" s="170" t="n">
        <v>46196.3371412037</v>
      </c>
    </row>
    <row r="661">
      <c r="A661" s="13" t="inlineStr">
        <is>
          <t>MK00250</t>
        </is>
      </c>
      <c r="B661" s="13" t="n">
        <v>528000241</v>
      </c>
      <c r="C661" s="13" t="inlineStr">
        <is>
          <t>Balia Nurafif Bilah</t>
        </is>
      </c>
      <c r="D661" s="13" t="inlineStr">
        <is>
          <t>PROD</t>
        </is>
      </c>
      <c r="E661" s="13" t="inlineStr">
        <is>
          <t>Produksi Harian</t>
        </is>
      </c>
      <c r="F661" s="170" t="n">
        <v>46195.99366898148</v>
      </c>
      <c r="G661" s="13" t="inlineStr">
        <is>
          <t>FREE</t>
        </is>
      </c>
      <c r="H661" s="170" t="n">
        <v>46196.33650462963</v>
      </c>
    </row>
    <row r="662">
      <c r="A662" s="13" t="inlineStr">
        <is>
          <t>MK00138</t>
        </is>
      </c>
      <c r="B662" s="13" t="n">
        <v>528000228</v>
      </c>
      <c r="C662" s="13" t="inlineStr">
        <is>
          <t>Banyu Resmi Putri</t>
        </is>
      </c>
      <c r="D662" s="13" t="inlineStr">
        <is>
          <t>PROD</t>
        </is>
      </c>
      <c r="E662" s="13" t="inlineStr">
        <is>
          <t>Produksi Harian</t>
        </is>
      </c>
      <c r="F662" s="170" t="n">
        <v>46195.9954050926</v>
      </c>
      <c r="G662" s="13" t="inlineStr">
        <is>
          <t>FREE</t>
        </is>
      </c>
      <c r="H662" s="170" t="n">
        <v>46196.33545138889</v>
      </c>
    </row>
    <row r="663">
      <c r="A663" s="13" t="inlineStr">
        <is>
          <t>MK00235</t>
        </is>
      </c>
      <c r="B663" s="13" t="n">
        <v>528000290</v>
      </c>
      <c r="C663" s="13" t="inlineStr">
        <is>
          <t>Eval Pranata</t>
        </is>
      </c>
      <c r="D663" s="13" t="inlineStr">
        <is>
          <t>PROD</t>
        </is>
      </c>
      <c r="E663" s="13" t="inlineStr">
        <is>
          <t>Produksi Harian</t>
        </is>
      </c>
      <c r="F663" s="170" t="n">
        <v>46195.9959375</v>
      </c>
      <c r="G663" s="13" t="inlineStr">
        <is>
          <t>FREE</t>
        </is>
      </c>
      <c r="H663" s="170" t="n">
        <v>46196.33728009259</v>
      </c>
    </row>
    <row r="664">
      <c r="A664" s="13" t="inlineStr">
        <is>
          <t>MK00215</t>
        </is>
      </c>
      <c r="B664" s="13" t="n">
        <v>528000015</v>
      </c>
      <c r="C664" s="13" t="inlineStr">
        <is>
          <t>Erwin</t>
        </is>
      </c>
      <c r="D664" s="13" t="inlineStr">
        <is>
          <t>LOG</t>
        </is>
      </c>
      <c r="E664" s="13" t="inlineStr">
        <is>
          <t>WRM Harian</t>
        </is>
      </c>
      <c r="F664" s="170" t="n">
        <v>46196.06925925926</v>
      </c>
      <c r="G664" s="13" t="inlineStr">
        <is>
          <t>FREE</t>
        </is>
      </c>
      <c r="H664" s="170" t="n">
        <v>46196.50113425926</v>
      </c>
    </row>
    <row r="665">
      <c r="A665" s="13" t="inlineStr">
        <is>
          <t>MK00093</t>
        </is>
      </c>
      <c r="B665" s="13" t="n">
        <v>528000144</v>
      </c>
      <c r="C665" s="13" t="inlineStr">
        <is>
          <t>Jodi Hanafi</t>
        </is>
      </c>
      <c r="D665" s="13" t="inlineStr">
        <is>
          <t>LOG</t>
        </is>
      </c>
      <c r="E665" s="13" t="inlineStr">
        <is>
          <t>WRM Harian</t>
        </is>
      </c>
      <c r="F665" s="170" t="n">
        <v>46196.08018518519</v>
      </c>
      <c r="G665" s="13" t="inlineStr">
        <is>
          <t>FREE</t>
        </is>
      </c>
      <c r="H665" s="170" t="n">
        <v>46196.41944444444</v>
      </c>
    </row>
    <row r="666">
      <c r="A666" s="13" t="inlineStr">
        <is>
          <t>MK00228</t>
        </is>
      </c>
      <c r="B666" s="13" t="n">
        <v>528000132</v>
      </c>
      <c r="C666" s="13" t="inlineStr">
        <is>
          <t>Giopani</t>
        </is>
      </c>
      <c r="D666" s="13" t="inlineStr">
        <is>
          <t>LOG</t>
        </is>
      </c>
      <c r="E666" s="13" t="inlineStr">
        <is>
          <t>WRM Harian</t>
        </is>
      </c>
      <c r="F666" s="170" t="n">
        <v>46196.08230324074</v>
      </c>
      <c r="G666" s="13" t="inlineStr">
        <is>
          <t>FREE</t>
        </is>
      </c>
      <c r="H666" s="170" t="n">
        <v>46196.41767361111</v>
      </c>
    </row>
    <row r="667">
      <c r="A667" s="13" t="inlineStr">
        <is>
          <t>MK00230</t>
        </is>
      </c>
      <c r="B667" s="13" t="n">
        <v>528000262</v>
      </c>
      <c r="C667" s="13" t="inlineStr">
        <is>
          <t>Ndari Dwiwanti</t>
        </is>
      </c>
      <c r="D667" s="13" t="inlineStr">
        <is>
          <t>PROD</t>
        </is>
      </c>
      <c r="E667" s="13" t="inlineStr">
        <is>
          <t>Produksi Harian</t>
        </is>
      </c>
      <c r="F667" s="170" t="n">
        <v>46196.31267361111</v>
      </c>
      <c r="G667" s="13" t="inlineStr">
        <is>
          <t>FREE</t>
        </is>
      </c>
      <c r="H667" s="170" t="n">
        <v>46196.67065972222</v>
      </c>
    </row>
    <row r="668">
      <c r="A668" s="13" t="inlineStr">
        <is>
          <t>MK00208</t>
        </is>
      </c>
      <c r="B668" s="13" t="n">
        <v>528000266</v>
      </c>
      <c r="C668" s="13" t="inlineStr">
        <is>
          <t>M. Syirajatieq</t>
        </is>
      </c>
      <c r="D668" s="13" t="inlineStr">
        <is>
          <t>LOG</t>
        </is>
      </c>
      <c r="E668" s="13" t="inlineStr">
        <is>
          <t>WFG Harian</t>
        </is>
      </c>
      <c r="F668" s="170" t="n">
        <v>46196.3166550926</v>
      </c>
      <c r="G668" s="13" t="inlineStr">
        <is>
          <t>FREE</t>
        </is>
      </c>
      <c r="H668" s="170" t="n">
        <v>46196.7043287037</v>
      </c>
    </row>
    <row r="669">
      <c r="A669" s="13" t="inlineStr">
        <is>
          <t>MK00082</t>
        </is>
      </c>
      <c r="B669" s="13" t="n">
        <v>528000358</v>
      </c>
      <c r="C669" s="13" t="inlineStr">
        <is>
          <t>Lulu Agustin</t>
        </is>
      </c>
      <c r="D669" s="13" t="inlineStr">
        <is>
          <t>PROD</t>
        </is>
      </c>
      <c r="E669" s="13" t="inlineStr">
        <is>
          <t>Produksi Harian</t>
        </is>
      </c>
      <c r="F669" s="170" t="n">
        <v>46196.32015046296</v>
      </c>
      <c r="G669" s="13" t="inlineStr">
        <is>
          <t>FREE</t>
        </is>
      </c>
      <c r="H669" s="170" t="n">
        <v>46196.67079861111</v>
      </c>
    </row>
    <row r="670">
      <c r="A670" s="13" t="inlineStr">
        <is>
          <t>MK00150</t>
        </is>
      </c>
      <c r="B670" s="13" t="n">
        <v>528000195</v>
      </c>
      <c r="C670" s="13" t="inlineStr">
        <is>
          <t>Rahma Sariwati</t>
        </is>
      </c>
      <c r="D670" s="13" t="inlineStr">
        <is>
          <t>PROD</t>
        </is>
      </c>
      <c r="E670" s="13" t="inlineStr">
        <is>
          <t>Produksi Harian</t>
        </is>
      </c>
      <c r="F670" s="170" t="n">
        <v>46196.32055555555</v>
      </c>
      <c r="G670" s="13" t="inlineStr">
        <is>
          <t>FREE</t>
        </is>
      </c>
      <c r="H670" s="170" t="n">
        <v>46196.67050925926</v>
      </c>
    </row>
    <row r="671">
      <c r="A671" s="13" t="inlineStr">
        <is>
          <t>MK00192</t>
        </is>
      </c>
      <c r="B671" s="13" t="n">
        <v>528000261</v>
      </c>
      <c r="C671" s="13" t="inlineStr">
        <is>
          <t>Ergi Ergianto</t>
        </is>
      </c>
      <c r="D671" s="13" t="inlineStr">
        <is>
          <t>HRGA</t>
        </is>
      </c>
      <c r="E671" s="13" t="inlineStr">
        <is>
          <t>GA Harian</t>
        </is>
      </c>
      <c r="F671" s="170" t="n">
        <v>46196.3249074074</v>
      </c>
      <c r="G671" s="13" t="inlineStr">
        <is>
          <t>FREE</t>
        </is>
      </c>
      <c r="H671" s="170" t="n">
        <v>46196.67076388889</v>
      </c>
    </row>
    <row r="672">
      <c r="A672" s="13" t="inlineStr">
        <is>
          <t>MK00126</t>
        </is>
      </c>
      <c r="B672" s="13" t="n">
        <v>528000291</v>
      </c>
      <c r="C672" s="13" t="inlineStr">
        <is>
          <t>Andrian</t>
        </is>
      </c>
      <c r="D672" s="13" t="inlineStr">
        <is>
          <t>PROD</t>
        </is>
      </c>
      <c r="E672" s="13" t="inlineStr">
        <is>
          <t>Produksi Harian</t>
        </is>
      </c>
      <c r="F672" s="170" t="n">
        <v>46196.32832175926</v>
      </c>
      <c r="G672" s="13" t="inlineStr">
        <is>
          <t>FREE</t>
        </is>
      </c>
      <c r="H672" s="170" t="n">
        <v>46196.67011574074</v>
      </c>
    </row>
    <row r="673">
      <c r="A673" s="13" t="inlineStr">
        <is>
          <t>MK00085</t>
        </is>
      </c>
      <c r="B673" s="13" t="n">
        <v>628000064</v>
      </c>
      <c r="C673" s="13" t="inlineStr">
        <is>
          <t>Silva Alypia</t>
        </is>
      </c>
      <c r="D673" s="13" t="inlineStr">
        <is>
          <t>PROD</t>
        </is>
      </c>
      <c r="E673" s="13" t="inlineStr">
        <is>
          <t>Produksi Borongan</t>
        </is>
      </c>
      <c r="F673" s="170" t="n">
        <v>46196.65550925926</v>
      </c>
      <c r="G673" s="13" t="inlineStr">
        <is>
          <t>FREE</t>
        </is>
      </c>
      <c r="H673" s="170" t="n">
        <v>46197.00568287037</v>
      </c>
    </row>
    <row r="674">
      <c r="A674" s="13" t="inlineStr">
        <is>
          <t>MK00088</t>
        </is>
      </c>
      <c r="B674" s="13" t="n">
        <v>528000297</v>
      </c>
      <c r="C674" s="13" t="inlineStr">
        <is>
          <t>Muhamad Budiana</t>
        </is>
      </c>
      <c r="D674" s="13" t="inlineStr">
        <is>
          <t>PROD</t>
        </is>
      </c>
      <c r="E674" s="13" t="inlineStr">
        <is>
          <t>Produksi Harian</t>
        </is>
      </c>
      <c r="F674" s="170" t="n">
        <v>46196.66032407407</v>
      </c>
      <c r="G674" s="13" t="inlineStr">
        <is>
          <t>FREE</t>
        </is>
      </c>
      <c r="H674" s="170" t="n">
        <v>46197.03355324074</v>
      </c>
    </row>
    <row r="675">
      <c r="A675" s="13" t="inlineStr">
        <is>
          <t>MK00202</t>
        </is>
      </c>
      <c r="B675" s="13" t="n">
        <v>528000279</v>
      </c>
      <c r="C675" s="13" t="inlineStr">
        <is>
          <t>Mahdalena Dalfa Riani</t>
        </is>
      </c>
      <c r="D675" s="13" t="inlineStr">
        <is>
          <t>PROD</t>
        </is>
      </c>
      <c r="E675" s="13" t="inlineStr">
        <is>
          <t>Produksi Harian</t>
        </is>
      </c>
      <c r="F675" s="170" t="n">
        <v>46196.66364583333</v>
      </c>
      <c r="G675" s="13" t="inlineStr">
        <is>
          <t>FREE</t>
        </is>
      </c>
      <c r="H675" s="170" t="n">
        <v>46197.00315972222</v>
      </c>
    </row>
    <row r="676">
      <c r="A676" s="13" t="inlineStr">
        <is>
          <t>MK00207</t>
        </is>
      </c>
      <c r="B676" s="13" t="n">
        <v>528000292</v>
      </c>
      <c r="C676" s="13" t="inlineStr">
        <is>
          <t>Aditia Nugraha</t>
        </is>
      </c>
      <c r="D676" s="13" t="inlineStr">
        <is>
          <t>PROD</t>
        </is>
      </c>
      <c r="E676" s="13" t="inlineStr">
        <is>
          <t>Produksi Harian</t>
        </is>
      </c>
      <c r="F676" s="170" t="n">
        <v>46196.71457175926</v>
      </c>
      <c r="G676" s="13" t="inlineStr">
        <is>
          <t>FREE</t>
        </is>
      </c>
      <c r="H676" s="170" t="n">
        <v>46197.05170138889</v>
      </c>
    </row>
    <row r="677">
      <c r="A677" s="13" t="inlineStr">
        <is>
          <t>MK00208</t>
        </is>
      </c>
      <c r="B677" s="13" t="n">
        <v>528000282</v>
      </c>
      <c r="C677" s="13" t="inlineStr">
        <is>
          <t>Defa Desfiana</t>
        </is>
      </c>
      <c r="D677" s="13" t="inlineStr">
        <is>
          <t>PROD</t>
        </is>
      </c>
      <c r="E677" s="13" t="inlineStr">
        <is>
          <t>Produksi Harian</t>
        </is>
      </c>
      <c r="F677" s="170" t="n">
        <v>46196.73222222222</v>
      </c>
      <c r="G677" s="13" t="inlineStr">
        <is>
          <t>FREE</t>
        </is>
      </c>
      <c r="H677" s="170" t="n">
        <v>46197.08446759259</v>
      </c>
    </row>
    <row r="678">
      <c r="A678" s="13" t="inlineStr">
        <is>
          <t>MK00230</t>
        </is>
      </c>
      <c r="B678" s="13" t="n">
        <v>528000069</v>
      </c>
      <c r="C678" s="13" t="inlineStr">
        <is>
          <t>Jajang Ardiansyah</t>
        </is>
      </c>
      <c r="D678" s="13" t="inlineStr">
        <is>
          <t>PROD</t>
        </is>
      </c>
      <c r="E678" s="13" t="inlineStr">
        <is>
          <t>Produksi Harian</t>
        </is>
      </c>
      <c r="F678" s="170" t="n">
        <v>46196.73324074074</v>
      </c>
      <c r="G678" s="13" t="inlineStr">
        <is>
          <t>FREE</t>
        </is>
      </c>
      <c r="H678" s="170" t="n">
        <v>46197.10458333333</v>
      </c>
    </row>
    <row r="679">
      <c r="A679" s="13" t="inlineStr">
        <is>
          <t>MK00185</t>
        </is>
      </c>
      <c r="B679" s="13" t="n">
        <v>528000265</v>
      </c>
      <c r="C679" s="13" t="inlineStr">
        <is>
          <t>Muhammad Haerul Rozikin</t>
        </is>
      </c>
      <c r="D679" s="13" t="inlineStr">
        <is>
          <t>LOG</t>
        </is>
      </c>
      <c r="E679" s="13" t="inlineStr">
        <is>
          <t>WRM Harian</t>
        </is>
      </c>
      <c r="F679" s="170" t="n">
        <v>46196.74231481482</v>
      </c>
      <c r="G679" s="13" t="inlineStr">
        <is>
          <t>FREE</t>
        </is>
      </c>
      <c r="H679" s="170" t="n">
        <v>46197.08469907408</v>
      </c>
    </row>
    <row r="680">
      <c r="A680" s="13" t="inlineStr">
        <is>
          <t>MK00082</t>
        </is>
      </c>
      <c r="B680" s="13" t="n">
        <v>528000287</v>
      </c>
      <c r="C680" s="13" t="inlineStr">
        <is>
          <t>Muhamad Angga Ramdani</t>
        </is>
      </c>
      <c r="D680" s="13" t="inlineStr">
        <is>
          <t>PROD</t>
        </is>
      </c>
      <c r="E680" s="13" t="inlineStr">
        <is>
          <t>Produksi Harian</t>
        </is>
      </c>
      <c r="F680" s="170" t="n">
        <v>46196.74679398148</v>
      </c>
      <c r="G680" s="13" t="inlineStr">
        <is>
          <t>FREE</t>
        </is>
      </c>
      <c r="H680" s="170" t="n">
        <v>46197.0880787037</v>
      </c>
    </row>
    <row r="681">
      <c r="A681" s="13" t="inlineStr">
        <is>
          <t>MK00235</t>
        </is>
      </c>
      <c r="B681" s="13" t="n">
        <v>528000273</v>
      </c>
      <c r="C681" s="13" t="inlineStr">
        <is>
          <t>Asep Mulyana</t>
        </is>
      </c>
      <c r="D681" s="13" t="inlineStr">
        <is>
          <t>PROD</t>
        </is>
      </c>
      <c r="E681" s="13" t="inlineStr">
        <is>
          <t>Produksi Harian</t>
        </is>
      </c>
      <c r="F681" s="170" t="n">
        <v>46196.74997685185</v>
      </c>
      <c r="G681" s="13" t="inlineStr">
        <is>
          <t>FREE</t>
        </is>
      </c>
      <c r="H681" s="170" t="n">
        <v>46197.08454861111</v>
      </c>
    </row>
    <row r="682">
      <c r="A682" s="13" t="inlineStr">
        <is>
          <t>MK00221</t>
        </is>
      </c>
      <c r="B682" s="13" t="n">
        <v>528000351</v>
      </c>
      <c r="C682" s="13" t="inlineStr">
        <is>
          <t>Mulyana</t>
        </is>
      </c>
      <c r="D682" s="13" t="inlineStr">
        <is>
          <t>PROD</t>
        </is>
      </c>
      <c r="E682" s="13" t="inlineStr">
        <is>
          <t>Produksi Harian</t>
        </is>
      </c>
      <c r="F682" s="170" t="n">
        <v>46196.75001157408</v>
      </c>
      <c r="G682" s="13" t="inlineStr">
        <is>
          <t>FREE</t>
        </is>
      </c>
      <c r="H682" s="170" t="n">
        <v>46197.0853587963</v>
      </c>
    </row>
    <row r="683">
      <c r="A683" s="13" t="inlineStr">
        <is>
          <t>MK00250</t>
        </is>
      </c>
      <c r="B683" s="13" t="n">
        <v>528000055</v>
      </c>
      <c r="C683" s="13" t="inlineStr">
        <is>
          <t>Dika Prasetya</t>
        </is>
      </c>
      <c r="D683" s="13" t="inlineStr">
        <is>
          <t>LOG</t>
        </is>
      </c>
      <c r="E683" s="13" t="inlineStr">
        <is>
          <t>WRM Harian</t>
        </is>
      </c>
      <c r="F683" s="170" t="n">
        <v>46196.75033564815</v>
      </c>
      <c r="G683" s="13" t="inlineStr">
        <is>
          <t>FREE</t>
        </is>
      </c>
      <c r="H683" s="170" t="n">
        <v>46197.08392361111</v>
      </c>
    </row>
    <row r="684">
      <c r="A684" s="13" t="inlineStr">
        <is>
          <t>MK0020</t>
        </is>
      </c>
      <c r="B684" s="13" t="n">
        <v>528000348</v>
      </c>
      <c r="C684" s="13" t="inlineStr">
        <is>
          <t>Saepuloh Ardiansah</t>
        </is>
      </c>
      <c r="D684" s="13" t="inlineStr">
        <is>
          <t>LOG</t>
        </is>
      </c>
      <c r="E684" s="13" t="inlineStr">
        <is>
          <t>WRM Harian</t>
        </is>
      </c>
      <c r="F684" s="170" t="n">
        <v>46196.78835648148</v>
      </c>
      <c r="G684" s="13" t="inlineStr">
        <is>
          <t>FREE</t>
        </is>
      </c>
      <c r="H684" s="170" t="n">
        <v>46198.79476851852</v>
      </c>
    </row>
    <row r="685">
      <c r="A685" s="13" t="inlineStr">
        <is>
          <t>MK00046</t>
        </is>
      </c>
      <c r="B685" s="13" t="n">
        <v>528000232</v>
      </c>
      <c r="C685" s="13" t="inlineStr">
        <is>
          <t>Agung Aji Suhada</t>
        </is>
      </c>
      <c r="D685" s="13" t="inlineStr">
        <is>
          <t>LOG</t>
        </is>
      </c>
      <c r="E685" s="13" t="inlineStr">
        <is>
          <t>WRM Harian</t>
        </is>
      </c>
      <c r="F685" s="170" t="n">
        <v>46196.79033564815</v>
      </c>
      <c r="G685" s="13" t="inlineStr">
        <is>
          <t>FREE</t>
        </is>
      </c>
      <c r="H685" s="170" t="n">
        <v>46197.13021990741</v>
      </c>
    </row>
    <row r="686">
      <c r="A686" s="13" t="inlineStr">
        <is>
          <t>MK00212</t>
        </is>
      </c>
      <c r="B686" s="13" t="n">
        <v>528000149</v>
      </c>
      <c r="C686" s="13" t="inlineStr">
        <is>
          <t>Tio Fernanda</t>
        </is>
      </c>
      <c r="D686" s="13" t="inlineStr">
        <is>
          <t>LOG</t>
        </is>
      </c>
      <c r="E686" s="13" t="inlineStr">
        <is>
          <t>WRM Harian</t>
        </is>
      </c>
      <c r="F686" s="170" t="n">
        <v>46196.79106481482</v>
      </c>
      <c r="G686" s="13" t="inlineStr">
        <is>
          <t>FREE</t>
        </is>
      </c>
      <c r="H686" s="170" t="n">
        <v>46197.14417824074</v>
      </c>
    </row>
    <row r="687">
      <c r="A687" s="13" t="inlineStr">
        <is>
          <t>MK00090</t>
        </is>
      </c>
      <c r="B687" s="13" t="n">
        <v>528000203</v>
      </c>
      <c r="C687" s="13" t="inlineStr">
        <is>
          <t>Yudha Ramdhan Putra</t>
        </is>
      </c>
      <c r="D687" s="13" t="inlineStr">
        <is>
          <t>ENG</t>
        </is>
      </c>
      <c r="E687" s="13" t="inlineStr">
        <is>
          <t>Engineering Harian</t>
        </is>
      </c>
      <c r="F687" s="170" t="n">
        <v>46196.79428240741</v>
      </c>
      <c r="G687" s="13" t="inlineStr">
        <is>
          <t>FREE</t>
        </is>
      </c>
      <c r="H687" s="170" t="n">
        <v>46197.12613425926</v>
      </c>
    </row>
    <row r="688">
      <c r="A688" s="13" t="inlineStr">
        <is>
          <t>MK00055</t>
        </is>
      </c>
      <c r="B688" s="13" t="n">
        <v>528000212</v>
      </c>
      <c r="C688" s="13" t="inlineStr">
        <is>
          <t>Rizal Fauzi</t>
        </is>
      </c>
      <c r="D688" s="13" t="inlineStr">
        <is>
          <t>PROD</t>
        </is>
      </c>
      <c r="E688" s="13" t="inlineStr">
        <is>
          <t>Produksi Harian</t>
        </is>
      </c>
      <c r="F688" s="170" t="n">
        <v>46196.97685185185</v>
      </c>
      <c r="G688" s="13" t="inlineStr">
        <is>
          <t>FREE</t>
        </is>
      </c>
      <c r="H688" s="170" t="n">
        <v>46197.99875</v>
      </c>
    </row>
    <row r="689">
      <c r="A689" s="13" t="inlineStr">
        <is>
          <t>MK00109</t>
        </is>
      </c>
      <c r="B689" s="13" t="n">
        <v>528000201</v>
      </c>
      <c r="C689" s="13" t="inlineStr">
        <is>
          <t>Zahwa Amelia Choerunissa</t>
        </is>
      </c>
      <c r="D689" s="13" t="inlineStr">
        <is>
          <t>PROD</t>
        </is>
      </c>
      <c r="E689" s="13" t="inlineStr">
        <is>
          <t>Produksi Harian</t>
        </is>
      </c>
      <c r="F689" s="170" t="n">
        <v>46196.98561342592</v>
      </c>
      <c r="G689" s="13" t="inlineStr">
        <is>
          <t>FREE</t>
        </is>
      </c>
      <c r="H689" s="170" t="n">
        <v>46197.33672453704</v>
      </c>
    </row>
    <row r="690">
      <c r="A690" s="13" t="inlineStr">
        <is>
          <t>MK00192</t>
        </is>
      </c>
      <c r="B690" s="13" t="n">
        <v>528000099</v>
      </c>
      <c r="C690" s="13" t="inlineStr">
        <is>
          <t>Siti Nurawaliah</t>
        </is>
      </c>
      <c r="D690" s="13" t="inlineStr">
        <is>
          <t>PROD</t>
        </is>
      </c>
      <c r="E690" s="13" t="inlineStr">
        <is>
          <t>Produksi Harian</t>
        </is>
      </c>
      <c r="F690" s="170" t="n">
        <v>46196.98599537037</v>
      </c>
      <c r="G690" s="13" t="inlineStr">
        <is>
          <t>FREE</t>
        </is>
      </c>
      <c r="H690" s="170" t="n">
        <v>46197.33740740741</v>
      </c>
    </row>
    <row r="691">
      <c r="A691" s="13" t="inlineStr">
        <is>
          <t>MK00145</t>
        </is>
      </c>
      <c r="B691" s="13" t="n">
        <v>528000244</v>
      </c>
      <c r="C691" s="13" t="inlineStr">
        <is>
          <t>Rodian Rifai</t>
        </is>
      </c>
      <c r="D691" s="13" t="inlineStr">
        <is>
          <t>PROD</t>
        </is>
      </c>
      <c r="E691" s="13" t="inlineStr">
        <is>
          <t>Produksi Harian</t>
        </is>
      </c>
      <c r="F691" s="170" t="n">
        <v>46196.98627314815</v>
      </c>
      <c r="G691" s="13" t="inlineStr">
        <is>
          <t>FREE</t>
        </is>
      </c>
      <c r="H691" s="170" t="n">
        <v>46197.38523148148</v>
      </c>
    </row>
    <row r="692">
      <c r="A692" s="13" t="inlineStr">
        <is>
          <t>MK00203</t>
        </is>
      </c>
      <c r="B692" s="13" t="n">
        <v>528000286</v>
      </c>
      <c r="C692" s="13" t="inlineStr">
        <is>
          <t>Imelda Amelia</t>
        </is>
      </c>
      <c r="D692" s="13" t="inlineStr">
        <is>
          <t>PROD</t>
        </is>
      </c>
      <c r="E692" s="13" t="inlineStr">
        <is>
          <t>Produksi Harian</t>
        </is>
      </c>
      <c r="F692" s="170" t="n">
        <v>46196.98731481482</v>
      </c>
      <c r="G692" s="13" t="inlineStr">
        <is>
          <t>FREE</t>
        </is>
      </c>
      <c r="H692" s="170" t="n">
        <v>46197.33708333333</v>
      </c>
    </row>
    <row r="693">
      <c r="A693" s="13" t="inlineStr">
        <is>
          <t>MK00150</t>
        </is>
      </c>
      <c r="B693" s="13" t="n">
        <v>528000241</v>
      </c>
      <c r="C693" s="13" t="inlineStr">
        <is>
          <t>Balia Nurafif Bilah</t>
        </is>
      </c>
      <c r="D693" s="13" t="inlineStr">
        <is>
          <t>PROD</t>
        </is>
      </c>
      <c r="E693" s="13" t="inlineStr">
        <is>
          <t>Produksi Harian</t>
        </is>
      </c>
      <c r="F693" s="170" t="n">
        <v>46196.99254629629</v>
      </c>
      <c r="G693" s="13" t="inlineStr">
        <is>
          <t>FREE</t>
        </is>
      </c>
      <c r="H693" s="170" t="n">
        <v>46197.33488425926</v>
      </c>
    </row>
    <row r="694">
      <c r="A694" s="13" t="inlineStr">
        <is>
          <t>MK00095</t>
        </is>
      </c>
      <c r="B694" s="13" t="n">
        <v>528000228</v>
      </c>
      <c r="C694" s="13" t="inlineStr">
        <is>
          <t>Banyu Resmi Putri</t>
        </is>
      </c>
      <c r="D694" s="13" t="inlineStr">
        <is>
          <t>PROD</t>
        </is>
      </c>
      <c r="E694" s="13" t="inlineStr">
        <is>
          <t>Produksi Harian</t>
        </is>
      </c>
      <c r="F694" s="170" t="n">
        <v>46196.99600694444</v>
      </c>
      <c r="G694" s="13" t="inlineStr">
        <is>
          <t>FREE</t>
        </is>
      </c>
      <c r="H694" s="170" t="n">
        <v>46197.33585648148</v>
      </c>
    </row>
    <row r="695">
      <c r="A695" s="13" t="inlineStr">
        <is>
          <t>MK00154</t>
        </is>
      </c>
      <c r="B695" s="13" t="n">
        <v>528000290</v>
      </c>
      <c r="C695" s="13" t="inlineStr">
        <is>
          <t>Eval Pranata</t>
        </is>
      </c>
      <c r="D695" s="13" t="inlineStr">
        <is>
          <t>PROD</t>
        </is>
      </c>
      <c r="E695" s="13" t="inlineStr">
        <is>
          <t>Produksi Harian</t>
        </is>
      </c>
      <c r="F695" s="170" t="n">
        <v>46196.99762731481</v>
      </c>
      <c r="G695" s="13" t="inlineStr">
        <is>
          <t>FREE</t>
        </is>
      </c>
      <c r="H695" s="170" t="n">
        <v>46197.3374537037</v>
      </c>
    </row>
    <row r="696">
      <c r="A696" s="13" t="inlineStr">
        <is>
          <t>MK00209</t>
        </is>
      </c>
      <c r="B696" s="13" t="n">
        <v>528000274</v>
      </c>
      <c r="C696" s="13" t="inlineStr">
        <is>
          <t>Zepri</t>
        </is>
      </c>
      <c r="D696" s="13" t="inlineStr">
        <is>
          <t>PROD</t>
        </is>
      </c>
      <c r="E696" s="13" t="inlineStr">
        <is>
          <t>Produksi Harian</t>
        </is>
      </c>
      <c r="F696" s="170" t="n">
        <v>46196.99856481481</v>
      </c>
      <c r="G696" s="13" t="inlineStr">
        <is>
          <t>FREE</t>
        </is>
      </c>
      <c r="H696" s="170" t="n">
        <v>46197.3362037037</v>
      </c>
    </row>
    <row r="697">
      <c r="A697" s="13" t="inlineStr">
        <is>
          <t>MK00172</t>
        </is>
      </c>
      <c r="B697" s="13" t="n">
        <v>528000015</v>
      </c>
      <c r="C697" s="13" t="inlineStr">
        <is>
          <t>Erwin</t>
        </is>
      </c>
      <c r="D697" s="13" t="inlineStr">
        <is>
          <t>LOG</t>
        </is>
      </c>
      <c r="E697" s="13" t="inlineStr">
        <is>
          <t>WRM Harian</t>
        </is>
      </c>
      <c r="F697" s="170" t="n">
        <v>46197.06885416667</v>
      </c>
      <c r="G697" s="13" t="inlineStr">
        <is>
          <t>FREE</t>
        </is>
      </c>
      <c r="H697" s="170" t="n">
        <v>46197.41832175926</v>
      </c>
    </row>
    <row r="698">
      <c r="A698" s="13" t="inlineStr">
        <is>
          <t>MK00228</t>
        </is>
      </c>
      <c r="B698" s="13" t="n">
        <v>528000132</v>
      </c>
      <c r="C698" s="13" t="inlineStr">
        <is>
          <t>Giopani</t>
        </is>
      </c>
      <c r="D698" s="13" t="inlineStr">
        <is>
          <t>LOG</t>
        </is>
      </c>
      <c r="E698" s="13" t="inlineStr">
        <is>
          <t>WRM Harian</t>
        </is>
      </c>
      <c r="F698" s="170" t="n">
        <v>46197.07452546297</v>
      </c>
      <c r="G698" s="13" t="inlineStr">
        <is>
          <t>FREE</t>
        </is>
      </c>
      <c r="H698" s="170" t="n">
        <v>46198.08299768518</v>
      </c>
    </row>
    <row r="699">
      <c r="A699" s="13" t="inlineStr">
        <is>
          <t>MK00088</t>
        </is>
      </c>
      <c r="B699" s="13" t="n">
        <v>528000144</v>
      </c>
      <c r="C699" s="13" t="inlineStr">
        <is>
          <t>Jodi Hanafi</t>
        </is>
      </c>
      <c r="D699" s="13" t="inlineStr">
        <is>
          <t>LOG</t>
        </is>
      </c>
      <c r="E699" s="13" t="inlineStr">
        <is>
          <t>WRM Harian</t>
        </is>
      </c>
      <c r="F699" s="170" t="n">
        <v>46197.07553240741</v>
      </c>
      <c r="G699" s="13" t="inlineStr">
        <is>
          <t>FREE</t>
        </is>
      </c>
      <c r="H699" s="170" t="n">
        <v>46197.42420138889</v>
      </c>
    </row>
    <row r="700">
      <c r="A700" s="13" t="inlineStr">
        <is>
          <t>MK00141</t>
        </is>
      </c>
      <c r="B700" s="13" t="n">
        <v>528000306</v>
      </c>
      <c r="C700" s="13" t="inlineStr">
        <is>
          <t>Windy Olivia</t>
        </is>
      </c>
      <c r="D700" s="13" t="inlineStr">
        <is>
          <t>PROD</t>
        </is>
      </c>
      <c r="E700" s="13" t="inlineStr">
        <is>
          <t>Produksi Harian</t>
        </is>
      </c>
      <c r="F700" s="170" t="n">
        <v>46197.31834490741</v>
      </c>
      <c r="G700" s="13" t="inlineStr">
        <is>
          <t>FREE</t>
        </is>
      </c>
      <c r="H700" s="170" t="n">
        <v>46197.66900462963</v>
      </c>
    </row>
    <row r="701">
      <c r="A701" s="13" t="inlineStr">
        <is>
          <t>MK00208</t>
        </is>
      </c>
      <c r="B701" s="13" t="n">
        <v>528000266</v>
      </c>
      <c r="C701" s="13" t="inlineStr">
        <is>
          <t>M. Syirajatieq</t>
        </is>
      </c>
      <c r="D701" s="13" t="inlineStr">
        <is>
          <t>LOG</t>
        </is>
      </c>
      <c r="E701" s="13" t="inlineStr">
        <is>
          <t>WFG Harian</t>
        </is>
      </c>
      <c r="F701" s="170" t="n">
        <v>46197.3190625</v>
      </c>
      <c r="G701" s="13" t="inlineStr">
        <is>
          <t>FREE</t>
        </is>
      </c>
      <c r="H701" s="170" t="n">
        <v>46197.71719907408</v>
      </c>
    </row>
    <row r="702">
      <c r="A702" s="13" t="inlineStr">
        <is>
          <t>MK00148</t>
        </is>
      </c>
      <c r="B702" s="13" t="n">
        <v>528000195</v>
      </c>
      <c r="C702" s="13" t="inlineStr">
        <is>
          <t>Rahma Sariwati</t>
        </is>
      </c>
      <c r="D702" s="13" t="inlineStr">
        <is>
          <t>PROD</t>
        </is>
      </c>
      <c r="E702" s="13" t="inlineStr">
        <is>
          <t>Produksi Harian</t>
        </is>
      </c>
      <c r="F702" s="170" t="n">
        <v>46197.32109953704</v>
      </c>
      <c r="G702" s="13" t="inlineStr">
        <is>
          <t>FREE</t>
        </is>
      </c>
      <c r="H702" s="170" t="n">
        <v>46197.67021990741</v>
      </c>
    </row>
    <row r="703">
      <c r="A703" s="13" t="inlineStr">
        <is>
          <t>MK00199</t>
        </is>
      </c>
      <c r="B703" s="13" t="n">
        <v>528000291</v>
      </c>
      <c r="C703" s="13" t="inlineStr">
        <is>
          <t>Andrian</t>
        </is>
      </c>
      <c r="D703" s="13" t="inlineStr">
        <is>
          <t>PROD</t>
        </is>
      </c>
      <c r="E703" s="13" t="inlineStr">
        <is>
          <t>Produksi Harian</t>
        </is>
      </c>
      <c r="F703" s="170" t="n">
        <v>46197.32784722222</v>
      </c>
      <c r="G703" s="13" t="inlineStr">
        <is>
          <t>FREE</t>
        </is>
      </c>
      <c r="H703" s="170" t="n">
        <v>46197.66854166667</v>
      </c>
    </row>
    <row r="704">
      <c r="A704" s="13" t="inlineStr">
        <is>
          <t>MK00158</t>
        </is>
      </c>
      <c r="B704" s="13" t="n">
        <v>628000064</v>
      </c>
      <c r="C704" s="13" t="inlineStr">
        <is>
          <t>Silva Alypia</t>
        </is>
      </c>
      <c r="D704" s="13" t="inlineStr">
        <is>
          <t>PROD</t>
        </is>
      </c>
      <c r="E704" s="13" t="inlineStr">
        <is>
          <t>Produksi Borongan</t>
        </is>
      </c>
      <c r="F704" s="170" t="n">
        <v>46197.65767361111</v>
      </c>
      <c r="G704" s="13" t="inlineStr">
        <is>
          <t>FREE</t>
        </is>
      </c>
      <c r="H704" s="170" t="n">
        <v>46198.00355324074</v>
      </c>
    </row>
    <row r="705">
      <c r="A705" s="13" t="inlineStr">
        <is>
          <t>MK00145</t>
        </is>
      </c>
      <c r="B705" s="13" t="n">
        <v>528000300</v>
      </c>
      <c r="C705" s="13" t="inlineStr">
        <is>
          <t>Lia pitaloka</t>
        </is>
      </c>
      <c r="D705" s="13" t="inlineStr">
        <is>
          <t>PROD</t>
        </is>
      </c>
      <c r="E705" s="13" t="inlineStr">
        <is>
          <t>Produksi Harian</t>
        </is>
      </c>
      <c r="F705" s="170" t="n">
        <v>46197.66246527778</v>
      </c>
      <c r="G705" s="13" t="inlineStr">
        <is>
          <t>FREE</t>
        </is>
      </c>
      <c r="H705" s="170" t="n">
        <v>46198.00502314815</v>
      </c>
    </row>
    <row r="706">
      <c r="A706" s="13" t="inlineStr">
        <is>
          <t>MK00136</t>
        </is>
      </c>
      <c r="B706" s="13" t="n">
        <v>528000297</v>
      </c>
      <c r="C706" s="13" t="inlineStr">
        <is>
          <t>Muhamad Budiana</t>
        </is>
      </c>
      <c r="D706" s="13" t="inlineStr">
        <is>
          <t>PROD</t>
        </is>
      </c>
      <c r="E706" s="13" t="inlineStr">
        <is>
          <t>Produksi Harian</t>
        </is>
      </c>
      <c r="F706" s="170" t="n">
        <v>46197.66339120371</v>
      </c>
      <c r="G706" s="13" t="inlineStr">
        <is>
          <t>FREE</t>
        </is>
      </c>
      <c r="H706" s="170" t="n">
        <v>46198.02532407407</v>
      </c>
    </row>
    <row r="707">
      <c r="A707" s="13" t="inlineStr">
        <is>
          <t>MK00230</t>
        </is>
      </c>
      <c r="B707" s="13" t="n">
        <v>528000279</v>
      </c>
      <c r="C707" s="13" t="inlineStr">
        <is>
          <t>Mahdalena Dalfa Riani</t>
        </is>
      </c>
      <c r="D707" s="13" t="inlineStr">
        <is>
          <t>PROD</t>
        </is>
      </c>
      <c r="E707" s="13" t="inlineStr">
        <is>
          <t>Produksi Harian</t>
        </is>
      </c>
      <c r="F707" s="170" t="n">
        <v>46197.6637962963</v>
      </c>
      <c r="G707" s="13" t="inlineStr">
        <is>
          <t>FREE</t>
        </is>
      </c>
      <c r="H707" s="170" t="n">
        <v>46198.00295138889</v>
      </c>
    </row>
    <row r="708">
      <c r="A708" s="13" t="inlineStr">
        <is>
          <t>MK00208</t>
        </is>
      </c>
      <c r="B708" s="13" t="n">
        <v>528000282</v>
      </c>
      <c r="C708" s="13" t="inlineStr">
        <is>
          <t>Defa Desfiana</t>
        </is>
      </c>
      <c r="D708" s="13" t="inlineStr">
        <is>
          <t>PROD</t>
        </is>
      </c>
      <c r="E708" s="13" t="inlineStr">
        <is>
          <t>Produksi Harian</t>
        </is>
      </c>
      <c r="F708" s="170" t="n">
        <v>46197.72934027778</v>
      </c>
      <c r="G708" s="13" t="inlineStr">
        <is>
          <t>FREE</t>
        </is>
      </c>
      <c r="H708" s="170" t="n">
        <v>46198.08623842592</v>
      </c>
    </row>
    <row r="709">
      <c r="A709" s="13" t="inlineStr">
        <is>
          <t>MK00141</t>
        </is>
      </c>
      <c r="B709" s="13" t="n">
        <v>528000265</v>
      </c>
      <c r="C709" s="13" t="inlineStr">
        <is>
          <t>Muhammad Haerul Rozikin</t>
        </is>
      </c>
      <c r="D709" s="13" t="inlineStr">
        <is>
          <t>LOG</t>
        </is>
      </c>
      <c r="E709" s="13" t="inlineStr">
        <is>
          <t>WRM Harian</t>
        </is>
      </c>
      <c r="F709" s="170" t="n">
        <v>46197.73886574074</v>
      </c>
      <c r="G709" s="13" t="inlineStr">
        <is>
          <t>FREE</t>
        </is>
      </c>
      <c r="H709" s="170" t="n">
        <v>46198.08479166667</v>
      </c>
    </row>
    <row r="710">
      <c r="A710" s="13" t="inlineStr">
        <is>
          <t>MK0082</t>
        </is>
      </c>
      <c r="B710" s="13" t="n">
        <v>528000349</v>
      </c>
      <c r="C710" s="13" t="inlineStr">
        <is>
          <t>Anas Abdul Fatah</t>
        </is>
      </c>
      <c r="D710" s="13" t="inlineStr">
        <is>
          <t>LOG</t>
        </is>
      </c>
      <c r="E710" s="13" t="inlineStr">
        <is>
          <t>WFG Harian</t>
        </is>
      </c>
      <c r="F710" s="170" t="n">
        <v>46197.74537037037</v>
      </c>
      <c r="G710" s="13" t="inlineStr">
        <is>
          <t>FREE</t>
        </is>
      </c>
      <c r="H710" s="170" t="n">
        <v>46198.75122685185</v>
      </c>
    </row>
    <row r="711">
      <c r="A711" s="13" t="inlineStr">
        <is>
          <t>MK00204</t>
        </is>
      </c>
      <c r="B711" s="13" t="n">
        <v>528000273</v>
      </c>
      <c r="C711" s="13" t="inlineStr">
        <is>
          <t>Asep Mulyana</t>
        </is>
      </c>
      <c r="D711" s="13" t="inlineStr">
        <is>
          <t>PROD</t>
        </is>
      </c>
      <c r="E711" s="13" t="inlineStr">
        <is>
          <t>Produksi Harian</t>
        </is>
      </c>
      <c r="F711" s="170" t="n">
        <v>46197.74574074074</v>
      </c>
      <c r="G711" s="13" t="inlineStr">
        <is>
          <t>FREE</t>
        </is>
      </c>
      <c r="H711" s="170" t="n">
        <v>46198.08579861111</v>
      </c>
    </row>
    <row r="712">
      <c r="A712" s="13" t="inlineStr">
        <is>
          <t>MK00199</t>
        </is>
      </c>
      <c r="B712" s="13" t="n">
        <v>528000055</v>
      </c>
      <c r="C712" s="13" t="inlineStr">
        <is>
          <t>Dika Prasetya</t>
        </is>
      </c>
      <c r="D712" s="13" t="inlineStr">
        <is>
          <t>LOG</t>
        </is>
      </c>
      <c r="E712" s="13" t="inlineStr">
        <is>
          <t>WRM Harian</t>
        </is>
      </c>
      <c r="F712" s="170" t="n">
        <v>46197.74630787037</v>
      </c>
      <c r="G712" s="13" t="inlineStr">
        <is>
          <t>FREE</t>
        </is>
      </c>
      <c r="H712" s="170" t="n">
        <v>46198.0850462963</v>
      </c>
    </row>
    <row r="713">
      <c r="A713" s="13" t="inlineStr">
        <is>
          <t>MA00185</t>
        </is>
      </c>
      <c r="B713" s="13" t="n">
        <v>528000351</v>
      </c>
      <c r="C713" s="13" t="inlineStr">
        <is>
          <t>Mulyana</t>
        </is>
      </c>
      <c r="D713" s="13" t="inlineStr">
        <is>
          <t>PROD</t>
        </is>
      </c>
      <c r="E713" s="13" t="inlineStr">
        <is>
          <t>Produksi Harian</t>
        </is>
      </c>
      <c r="F713" s="170" t="n">
        <v>46197.75957175926</v>
      </c>
      <c r="G713" s="13" t="inlineStr">
        <is>
          <t>FREE</t>
        </is>
      </c>
      <c r="H713" s="170" t="n">
        <v>46198.83265046297</v>
      </c>
    </row>
    <row r="714">
      <c r="A714" s="13" t="inlineStr">
        <is>
          <t>MK00126</t>
        </is>
      </c>
      <c r="B714" s="13" t="n">
        <v>528000254</v>
      </c>
      <c r="C714" s="13" t="inlineStr">
        <is>
          <t>M. Difa Ramdani</t>
        </is>
      </c>
      <c r="D714" s="13" t="inlineStr">
        <is>
          <t>PROD</t>
        </is>
      </c>
      <c r="E714" s="13" t="inlineStr">
        <is>
          <t>Produksi Harian</t>
        </is>
      </c>
      <c r="F714" s="170" t="n">
        <v>46197.768125</v>
      </c>
      <c r="G714" s="13" t="inlineStr">
        <is>
          <t>FREE</t>
        </is>
      </c>
      <c r="H714" s="170" t="n">
        <v>46198.00542824074</v>
      </c>
    </row>
    <row r="715">
      <c r="A715" s="13" t="inlineStr">
        <is>
          <t>MK00212</t>
        </is>
      </c>
      <c r="B715" s="13" t="n">
        <v>528000149</v>
      </c>
      <c r="C715" s="13" t="inlineStr">
        <is>
          <t>Tio Fernanda</t>
        </is>
      </c>
      <c r="D715" s="13" t="inlineStr">
        <is>
          <t>LOG</t>
        </is>
      </c>
      <c r="E715" s="13" t="inlineStr">
        <is>
          <t>WRM Harian</t>
        </is>
      </c>
      <c r="F715" s="170" t="n">
        <v>46197.78768518518</v>
      </c>
      <c r="G715" s="13" t="inlineStr">
        <is>
          <t>FREE</t>
        </is>
      </c>
      <c r="H715" s="170" t="n">
        <v>46198.12626157407</v>
      </c>
    </row>
    <row r="716">
      <c r="A716" s="13" t="inlineStr">
        <is>
          <t>MK00134</t>
        </is>
      </c>
      <c r="B716" s="13" t="n">
        <v>528000203</v>
      </c>
      <c r="C716" s="13" t="inlineStr">
        <is>
          <t>Yudha Ramdhan Putra</t>
        </is>
      </c>
      <c r="D716" s="13" t="inlineStr">
        <is>
          <t>ENG</t>
        </is>
      </c>
      <c r="E716" s="13" t="inlineStr">
        <is>
          <t>Engineering Harian</t>
        </is>
      </c>
      <c r="F716" s="170" t="n">
        <v>46197.79265046296</v>
      </c>
      <c r="G716" s="13" t="inlineStr">
        <is>
          <t>FREE</t>
        </is>
      </c>
      <c r="H716" s="170" t="n">
        <v>46198.42827546296</v>
      </c>
    </row>
    <row r="717">
      <c r="A717" s="13" t="inlineStr">
        <is>
          <t>MK00046</t>
        </is>
      </c>
      <c r="B717" s="13" t="n">
        <v>528000232</v>
      </c>
      <c r="C717" s="13" t="inlineStr">
        <is>
          <t>Agung Aji Suhada</t>
        </is>
      </c>
      <c r="D717" s="13" t="inlineStr">
        <is>
          <t>LOG</t>
        </is>
      </c>
      <c r="E717" s="13" t="inlineStr">
        <is>
          <t>WRM Harian</t>
        </is>
      </c>
      <c r="F717" s="170" t="n">
        <v>46197.79376157407</v>
      </c>
      <c r="G717" s="13" t="inlineStr">
        <is>
          <t>FREE</t>
        </is>
      </c>
      <c r="H717" s="170" t="n">
        <v>46198.12649305556</v>
      </c>
    </row>
    <row r="718">
      <c r="A718" s="13" t="inlineStr">
        <is>
          <t>MK00154</t>
        </is>
      </c>
      <c r="B718" s="13" t="n">
        <v>528000201</v>
      </c>
      <c r="C718" s="13" t="inlineStr">
        <is>
          <t>Zahwa Amelia Choerunissa</t>
        </is>
      </c>
      <c r="D718" s="13" t="inlineStr">
        <is>
          <t>PROD</t>
        </is>
      </c>
      <c r="E718" s="13" t="inlineStr">
        <is>
          <t>Produksi Harian</t>
        </is>
      </c>
      <c r="F718" s="170" t="n">
        <v>46197.98738425926</v>
      </c>
      <c r="G718" s="13" t="inlineStr">
        <is>
          <t>FREE</t>
        </is>
      </c>
      <c r="H718" s="170" t="n">
        <v>46198.33717592592</v>
      </c>
    </row>
    <row r="719">
      <c r="A719" s="13" t="inlineStr">
        <is>
          <t>MK00090</t>
        </is>
      </c>
      <c r="B719" s="13" t="n">
        <v>528000099</v>
      </c>
      <c r="C719" s="13" t="inlineStr">
        <is>
          <t>Siti Nurawaliah</t>
        </is>
      </c>
      <c r="D719" s="13" t="inlineStr">
        <is>
          <t>PROD</t>
        </is>
      </c>
      <c r="E719" s="13" t="inlineStr">
        <is>
          <t>Produksi Harian</t>
        </is>
      </c>
      <c r="F719" s="170" t="n">
        <v>46197.98770833333</v>
      </c>
      <c r="G719" s="13" t="inlineStr">
        <is>
          <t>FREE</t>
        </is>
      </c>
      <c r="H719" s="170" t="n">
        <v>46198.33809027778</v>
      </c>
    </row>
    <row r="720">
      <c r="A720" s="13" t="inlineStr">
        <is>
          <t>MK00235</t>
        </is>
      </c>
      <c r="B720" s="13" t="n">
        <v>528000286</v>
      </c>
      <c r="C720" s="13" t="inlineStr">
        <is>
          <t>Imelda Amelia</t>
        </is>
      </c>
      <c r="D720" s="13" t="inlineStr">
        <is>
          <t>PROD</t>
        </is>
      </c>
      <c r="E720" s="13" t="inlineStr">
        <is>
          <t>Produksi Harian</t>
        </is>
      </c>
      <c r="F720" s="170" t="n">
        <v>46197.98811342593</v>
      </c>
      <c r="G720" s="13" t="inlineStr">
        <is>
          <t>FREE</t>
        </is>
      </c>
      <c r="H720" s="170" t="n">
        <v>46198.33872685185</v>
      </c>
    </row>
    <row r="721">
      <c r="A721" s="13" t="inlineStr">
        <is>
          <t>MK00202</t>
        </is>
      </c>
      <c r="B721" s="13" t="n">
        <v>528000241</v>
      </c>
      <c r="C721" s="13" t="inlineStr">
        <is>
          <t>Balia Nurafif Bilah</t>
        </is>
      </c>
      <c r="D721" s="13" t="inlineStr">
        <is>
          <t>PROD</t>
        </is>
      </c>
      <c r="E721" s="13" t="inlineStr">
        <is>
          <t>Produksi Harian</t>
        </is>
      </c>
      <c r="F721" s="170" t="n">
        <v>46197.993125</v>
      </c>
      <c r="G721" s="13" t="inlineStr">
        <is>
          <t>FREE</t>
        </is>
      </c>
      <c r="H721" s="170" t="n">
        <v>46198.33542824074</v>
      </c>
    </row>
    <row r="722">
      <c r="A722" s="13" t="inlineStr">
        <is>
          <t>MK00250</t>
        </is>
      </c>
      <c r="B722" s="13" t="n">
        <v>528000274</v>
      </c>
      <c r="C722" s="13" t="inlineStr">
        <is>
          <t>Zepri</t>
        </is>
      </c>
      <c r="D722" s="13" t="inlineStr">
        <is>
          <t>PROD</t>
        </is>
      </c>
      <c r="E722" s="13" t="inlineStr">
        <is>
          <t>Produksi Harian</t>
        </is>
      </c>
      <c r="F722" s="170" t="n">
        <v>46197.99528935185</v>
      </c>
      <c r="G722" s="13" t="inlineStr">
        <is>
          <t>FREE</t>
        </is>
      </c>
      <c r="H722" s="170" t="n">
        <v>46198.33560185185</v>
      </c>
    </row>
    <row r="723">
      <c r="A723" s="13" t="inlineStr">
        <is>
          <t>MK00085</t>
        </is>
      </c>
      <c r="B723" s="13" t="n">
        <v>528000244</v>
      </c>
      <c r="C723" s="13" t="inlineStr">
        <is>
          <t>Rodian Rifai</t>
        </is>
      </c>
      <c r="D723" s="13" t="inlineStr">
        <is>
          <t>PROD</t>
        </is>
      </c>
      <c r="E723" s="13" t="inlineStr">
        <is>
          <t>Produksi Harian</t>
        </is>
      </c>
      <c r="F723" s="170" t="n">
        <v>46197.99542824074</v>
      </c>
      <c r="G723" s="13" t="inlineStr">
        <is>
          <t>FREE</t>
        </is>
      </c>
      <c r="H723" s="170" t="n">
        <v>46198.37368055555</v>
      </c>
    </row>
    <row r="724">
      <c r="A724" s="13" t="inlineStr">
        <is>
          <t>MK00213</t>
        </is>
      </c>
      <c r="B724" s="13" t="n">
        <v>528000290</v>
      </c>
      <c r="C724" s="13" t="inlineStr">
        <is>
          <t>Eval Pranata</t>
        </is>
      </c>
      <c r="D724" s="13" t="inlineStr">
        <is>
          <t>PROD</t>
        </is>
      </c>
      <c r="E724" s="13" t="inlineStr">
        <is>
          <t>Produksi Harian</t>
        </is>
      </c>
      <c r="F724" s="170" t="n">
        <v>46197.99641203704</v>
      </c>
      <c r="G724" s="13" t="inlineStr">
        <is>
          <t>FREE</t>
        </is>
      </c>
      <c r="H724" s="170" t="n">
        <v>46198.33586805555</v>
      </c>
    </row>
    <row r="725">
      <c r="A725" s="13" t="inlineStr">
        <is>
          <t>MK00093</t>
        </is>
      </c>
      <c r="B725" s="13" t="n">
        <v>528000090</v>
      </c>
      <c r="C725" s="13" t="inlineStr">
        <is>
          <t>Suganda</t>
        </is>
      </c>
      <c r="D725" s="13" t="inlineStr">
        <is>
          <t>PROD</t>
        </is>
      </c>
      <c r="E725" s="13" t="inlineStr">
        <is>
          <t>Produksi Harian</t>
        </is>
      </c>
      <c r="F725" s="170" t="n">
        <v>46197.99748842593</v>
      </c>
      <c r="G725" s="13" t="inlineStr">
        <is>
          <t>FREE</t>
        </is>
      </c>
      <c r="H725" s="170" t="n">
        <v>46198.33607638889</v>
      </c>
    </row>
    <row r="726">
      <c r="A726" s="13" t="inlineStr">
        <is>
          <t>MK00150</t>
        </is>
      </c>
      <c r="B726" s="13" t="n">
        <v>528000212</v>
      </c>
      <c r="C726" s="13" t="inlineStr">
        <is>
          <t>Rizal Fauzi</t>
        </is>
      </c>
      <c r="D726" s="13" t="inlineStr">
        <is>
          <t>PROD</t>
        </is>
      </c>
      <c r="E726" s="13" t="inlineStr">
        <is>
          <t>Produksi Harian</t>
        </is>
      </c>
      <c r="F726" s="170" t="n">
        <v>46197.99895833333</v>
      </c>
      <c r="G726" s="13" t="inlineStr">
        <is>
          <t>FREE</t>
        </is>
      </c>
      <c r="H726" s="170" t="n">
        <v>46198.82907407408</v>
      </c>
    </row>
    <row r="727">
      <c r="A727" s="13" t="inlineStr">
        <is>
          <t>MK00109</t>
        </is>
      </c>
      <c r="B727" s="13" t="n">
        <v>528000015</v>
      </c>
      <c r="C727" s="13" t="inlineStr">
        <is>
          <t>Erwin</t>
        </is>
      </c>
      <c r="D727" s="13" t="inlineStr">
        <is>
          <t>LOG</t>
        </is>
      </c>
      <c r="E727" s="13" t="inlineStr">
        <is>
          <t>WRM Harian</t>
        </is>
      </c>
      <c r="F727" s="170" t="n">
        <v>46198.07731481481</v>
      </c>
      <c r="G727" s="13" t="inlineStr">
        <is>
          <t>FREE</t>
        </is>
      </c>
      <c r="H727" s="170" t="n">
        <v>46198.41836805556</v>
      </c>
    </row>
    <row r="728">
      <c r="A728" s="13" t="inlineStr">
        <is>
          <t>MK00088</t>
        </is>
      </c>
      <c r="B728" s="13" t="n">
        <v>528000144</v>
      </c>
      <c r="C728" s="13" t="inlineStr">
        <is>
          <t>Jodi Hanafi</t>
        </is>
      </c>
      <c r="D728" s="13" t="inlineStr">
        <is>
          <t>LOG</t>
        </is>
      </c>
      <c r="E728" s="13" t="inlineStr">
        <is>
          <t>WRM Harian</t>
        </is>
      </c>
      <c r="F728" s="170" t="n">
        <v>46198.08208333333</v>
      </c>
      <c r="G728" s="13" t="inlineStr">
        <is>
          <t>FREE</t>
        </is>
      </c>
      <c r="H728" s="170" t="n">
        <v>46198.44077546296</v>
      </c>
    </row>
    <row r="729">
      <c r="A729" s="13" t="inlineStr">
        <is>
          <t>MK00228</t>
        </is>
      </c>
      <c r="B729" s="13" t="n">
        <v>528000132</v>
      </c>
      <c r="C729" s="13" t="inlineStr">
        <is>
          <t>Giopani</t>
        </is>
      </c>
      <c r="D729" s="13" t="inlineStr">
        <is>
          <t>LOG</t>
        </is>
      </c>
      <c r="E729" s="13" t="inlineStr">
        <is>
          <t>WRM Harian</t>
        </is>
      </c>
      <c r="F729" s="170" t="n">
        <v>46198.08319444444</v>
      </c>
      <c r="G729" s="13" t="inlineStr">
        <is>
          <t>FREE</t>
        </is>
      </c>
      <c r="H729" s="170" t="n">
        <v>46198.47004629629</v>
      </c>
    </row>
    <row r="730">
      <c r="A730" s="13" t="inlineStr">
        <is>
          <t>MK00221</t>
        </is>
      </c>
      <c r="B730" s="13" t="n">
        <v>628000061</v>
      </c>
      <c r="C730" s="13" t="inlineStr">
        <is>
          <t>Nayla Fadillah Exwantoro</t>
        </is>
      </c>
      <c r="D730" s="13" t="inlineStr">
        <is>
          <t>PROD</t>
        </is>
      </c>
      <c r="E730" s="13" t="inlineStr">
        <is>
          <t>Produksi Borongan</t>
        </is>
      </c>
      <c r="F730" s="170" t="n">
        <v>46198.29827546296</v>
      </c>
      <c r="G730" s="13" t="inlineStr">
        <is>
          <t>FREE</t>
        </is>
      </c>
      <c r="H730" s="170" t="n">
        <v>46198.80311342593</v>
      </c>
    </row>
    <row r="731">
      <c r="A731" s="13" t="inlineStr">
        <is>
          <t>MK00203</t>
        </is>
      </c>
      <c r="B731" s="13" t="n">
        <v>528000302</v>
      </c>
      <c r="C731" s="13" t="inlineStr">
        <is>
          <t>Henkey gumilar</t>
        </is>
      </c>
      <c r="D731" s="13" t="inlineStr">
        <is>
          <t>PROD</t>
        </is>
      </c>
      <c r="E731" s="13" t="inlineStr">
        <is>
          <t>Produksi Harian</t>
        </is>
      </c>
      <c r="F731" s="170" t="n">
        <v>46198.32350694444</v>
      </c>
      <c r="G731" s="13" t="inlineStr">
        <is>
          <t>FREE</t>
        </is>
      </c>
      <c r="H731" s="170" t="n">
        <v>46198.6755787037</v>
      </c>
    </row>
    <row r="732">
      <c r="A732" s="13" t="inlineStr">
        <is>
          <t>MK00126</t>
        </is>
      </c>
      <c r="B732" s="13" t="n">
        <v>528000305</v>
      </c>
      <c r="C732" s="13" t="inlineStr">
        <is>
          <t>Puji Puspita</t>
        </is>
      </c>
      <c r="D732" s="13" t="inlineStr">
        <is>
          <t>PROD</t>
        </is>
      </c>
      <c r="E732" s="13" t="inlineStr">
        <is>
          <t>Produksi Harian</t>
        </is>
      </c>
      <c r="F732" s="170" t="n">
        <v>46198.32421296297</v>
      </c>
      <c r="G732" s="13" t="inlineStr">
        <is>
          <t>FREE</t>
        </is>
      </c>
      <c r="H732" s="170" t="n">
        <v>46198.66893518518</v>
      </c>
    </row>
    <row r="733">
      <c r="A733" s="13" t="inlineStr">
        <is>
          <t>MK00151</t>
        </is>
      </c>
      <c r="B733" s="13" t="n">
        <v>528000270</v>
      </c>
      <c r="C733" s="13" t="inlineStr">
        <is>
          <t>Febri Najmudin</t>
        </is>
      </c>
      <c r="D733" s="13" t="inlineStr">
        <is>
          <t>LOG</t>
        </is>
      </c>
      <c r="E733" s="13" t="inlineStr">
        <is>
          <t>WRM Harian</t>
        </is>
      </c>
      <c r="F733" s="170" t="n">
        <v>46198.32444444444</v>
      </c>
      <c r="G733" s="13" t="inlineStr">
        <is>
          <t>FREE</t>
        </is>
      </c>
      <c r="H733" s="170" t="n">
        <v>46198.6853587963</v>
      </c>
    </row>
    <row r="734">
      <c r="A734" s="13" t="inlineStr">
        <is>
          <t>MK00230</t>
        </is>
      </c>
      <c r="B734" s="13" t="n">
        <v>528000299</v>
      </c>
      <c r="C734" s="13" t="inlineStr">
        <is>
          <t>Siti Nurjanah</t>
        </is>
      </c>
      <c r="D734" s="13" t="inlineStr">
        <is>
          <t>PROD</t>
        </is>
      </c>
      <c r="E734" s="13" t="inlineStr">
        <is>
          <t>Produksi Harian</t>
        </is>
      </c>
      <c r="F734" s="170" t="n">
        <v>46198.32456018519</v>
      </c>
      <c r="G734" s="13" t="inlineStr">
        <is>
          <t>FREE</t>
        </is>
      </c>
      <c r="H734" s="170" t="n">
        <v>46198.66928240741</v>
      </c>
    </row>
    <row r="735">
      <c r="A735" s="13" t="inlineStr">
        <is>
          <t>MKOO134</t>
        </is>
      </c>
      <c r="B735" s="13" t="n">
        <v>528000298</v>
      </c>
      <c r="C735" s="13" t="inlineStr">
        <is>
          <t>Desta Cahaya Pratama</t>
        </is>
      </c>
      <c r="D735" s="13" t="inlineStr">
        <is>
          <t>PROD</t>
        </is>
      </c>
      <c r="E735" s="13" t="inlineStr">
        <is>
          <t>Produksi Harian</t>
        </is>
      </c>
      <c r="F735" s="170" t="n">
        <v>46198.42094907408</v>
      </c>
      <c r="G735" s="13" t="inlineStr">
        <is>
          <t>FREE</t>
        </is>
      </c>
      <c r="H735" s="170" t="n">
        <v>46198.83346064815</v>
      </c>
    </row>
    <row r="736">
      <c r="A736" s="13" t="inlineStr">
        <is>
          <t>MK00154</t>
        </is>
      </c>
      <c r="B736" s="13" t="n">
        <v>628000064</v>
      </c>
      <c r="C736" s="13" t="inlineStr">
        <is>
          <t>Silva Alypia</t>
        </is>
      </c>
      <c r="D736" s="13" t="inlineStr">
        <is>
          <t>PROD</t>
        </is>
      </c>
      <c r="E736" s="13" t="inlineStr">
        <is>
          <t>Produksi Borongan</t>
        </is>
      </c>
      <c r="F736" s="170" t="n">
        <v>46198.65857638889</v>
      </c>
      <c r="G736" s="13" t="inlineStr">
        <is>
          <t>FREE</t>
        </is>
      </c>
      <c r="H736" s="170" t="n">
        <v>46199.00461805556</v>
      </c>
    </row>
    <row r="737">
      <c r="A737" s="13" t="inlineStr">
        <is>
          <t>MK00085</t>
        </is>
      </c>
      <c r="B737" s="13" t="n">
        <v>528000279</v>
      </c>
      <c r="C737" s="13" t="inlineStr">
        <is>
          <t>Mahdalena Dalfa Riani</t>
        </is>
      </c>
      <c r="D737" s="13" t="inlineStr">
        <is>
          <t>PROD</t>
        </is>
      </c>
      <c r="E737" s="13" t="inlineStr">
        <is>
          <t>Produksi Harian</t>
        </is>
      </c>
      <c r="F737" s="170" t="n">
        <v>46198.65877314815</v>
      </c>
      <c r="G737" s="13" t="inlineStr">
        <is>
          <t>FREE</t>
        </is>
      </c>
      <c r="H737" s="170" t="n">
        <v>46199.00458333334</v>
      </c>
    </row>
    <row r="738">
      <c r="A738" s="13" t="inlineStr">
        <is>
          <t>MK00090</t>
        </is>
      </c>
      <c r="B738" s="13" t="n">
        <v>528000300</v>
      </c>
      <c r="C738" s="13" t="inlineStr">
        <is>
          <t>Lia pitaloka</t>
        </is>
      </c>
      <c r="D738" s="13" t="inlineStr">
        <is>
          <t>PROD</t>
        </is>
      </c>
      <c r="E738" s="13" t="inlineStr">
        <is>
          <t>Produksi Harian</t>
        </is>
      </c>
      <c r="F738" s="170" t="n">
        <v>46198.66271990741</v>
      </c>
      <c r="G738" s="13" t="inlineStr">
        <is>
          <t>FREE</t>
        </is>
      </c>
      <c r="H738" s="170" t="n">
        <v>46199.00498842593</v>
      </c>
    </row>
    <row r="739">
      <c r="A739" s="13" t="inlineStr">
        <is>
          <t>MK00235</t>
        </is>
      </c>
      <c r="B739" s="13" t="n">
        <v>528000063</v>
      </c>
      <c r="C739" s="13" t="inlineStr">
        <is>
          <t>Muhamad Ripki Pebrian</t>
        </is>
      </c>
      <c r="D739" s="13" t="inlineStr">
        <is>
          <t>PROD</t>
        </is>
      </c>
      <c r="E739" s="13" t="inlineStr">
        <is>
          <t>Produksi Harian</t>
        </is>
      </c>
      <c r="F739" s="170" t="n">
        <v>46198.66290509259</v>
      </c>
      <c r="G739" s="13" t="inlineStr">
        <is>
          <t>FREE</t>
        </is>
      </c>
      <c r="H739" s="170" t="n">
        <v>46199.0028125</v>
      </c>
    </row>
    <row r="740">
      <c r="A740" s="13" t="inlineStr">
        <is>
          <t>MK00208</t>
        </is>
      </c>
      <c r="B740" s="13" t="n">
        <v>528000256</v>
      </c>
      <c r="C740" s="13" t="inlineStr">
        <is>
          <t>Rasianah</t>
        </is>
      </c>
      <c r="D740" s="13" t="inlineStr">
        <is>
          <t>PROD</t>
        </is>
      </c>
      <c r="E740" s="13" t="inlineStr">
        <is>
          <t>Produksi Harian</t>
        </is>
      </c>
      <c r="F740" s="170" t="n">
        <v>46198.66304398148</v>
      </c>
      <c r="G740" s="13" t="inlineStr">
        <is>
          <t>FREE</t>
        </is>
      </c>
      <c r="H740" s="170" t="n">
        <v>46199.00383101852</v>
      </c>
    </row>
    <row r="741">
      <c r="A741" s="13" t="inlineStr">
        <is>
          <t>MK00250</t>
        </is>
      </c>
      <c r="B741" s="13" t="n">
        <v>528000254</v>
      </c>
      <c r="C741" s="13" t="inlineStr">
        <is>
          <t>M. Difa Ramdani</t>
        </is>
      </c>
      <c r="D741" s="13" t="inlineStr">
        <is>
          <t>PROD</t>
        </is>
      </c>
      <c r="E741" s="13" t="inlineStr">
        <is>
          <t>Produksi Harian</t>
        </is>
      </c>
      <c r="F741" s="170" t="n">
        <v>46198.66371527778</v>
      </c>
      <c r="G741" s="13" t="inlineStr">
        <is>
          <t>FREE</t>
        </is>
      </c>
      <c r="H741" s="170" t="n">
        <v>46199.00273148148</v>
      </c>
    </row>
    <row r="742">
      <c r="A742" s="13" t="inlineStr">
        <is>
          <t>MK00136</t>
        </is>
      </c>
      <c r="B742" s="13" t="n">
        <v>528000297</v>
      </c>
      <c r="C742" s="13" t="inlineStr">
        <is>
          <t>Muhamad Budiana</t>
        </is>
      </c>
      <c r="D742" s="13" t="inlineStr">
        <is>
          <t>PROD</t>
        </is>
      </c>
      <c r="E742" s="13" t="inlineStr">
        <is>
          <t>Produksi Harian</t>
        </is>
      </c>
      <c r="F742" s="170" t="n">
        <v>46198.66603009259</v>
      </c>
      <c r="G742" s="13" t="inlineStr">
        <is>
          <t>FREE</t>
        </is>
      </c>
      <c r="H742" s="170" t="n">
        <v>46199.01427083334</v>
      </c>
    </row>
    <row r="743">
      <c r="A743" s="13" t="inlineStr">
        <is>
          <t>MK00203</t>
        </is>
      </c>
      <c r="B743" s="13" t="n">
        <v>528000069</v>
      </c>
      <c r="C743" s="13" t="inlineStr">
        <is>
          <t>Jajang Ardiansyah</t>
        </is>
      </c>
      <c r="D743" s="13" t="inlineStr">
        <is>
          <t>PROD</t>
        </is>
      </c>
      <c r="E743" s="13" t="inlineStr">
        <is>
          <t>Produksi Harian</t>
        </is>
      </c>
      <c r="F743" s="170" t="n">
        <v>46198.7063425926</v>
      </c>
      <c r="G743" s="13" t="inlineStr">
        <is>
          <t>FREE</t>
        </is>
      </c>
      <c r="H743" s="170" t="n">
        <v>46199.08552083333</v>
      </c>
    </row>
    <row r="744">
      <c r="A744" s="13" t="inlineStr">
        <is>
          <t>MK00116</t>
        </is>
      </c>
      <c r="B744" s="13" t="n">
        <v>528000282</v>
      </c>
      <c r="C744" s="13" t="inlineStr">
        <is>
          <t>Defa Desfiana</t>
        </is>
      </c>
      <c r="D744" s="13" t="inlineStr">
        <is>
          <t>PROD</t>
        </is>
      </c>
      <c r="E744" s="13" t="inlineStr">
        <is>
          <t>Produksi Harian</t>
        </is>
      </c>
      <c r="F744" s="170" t="n">
        <v>46198.73380787037</v>
      </c>
      <c r="G744" s="13" t="inlineStr">
        <is>
          <t>FREE</t>
        </is>
      </c>
      <c r="H744" s="170" t="n">
        <v>46199.08417824074</v>
      </c>
    </row>
    <row r="745">
      <c r="A745" s="13" t="inlineStr">
        <is>
          <t>MK00213</t>
        </is>
      </c>
      <c r="B745" s="13" t="n">
        <v>528000265</v>
      </c>
      <c r="C745" s="13" t="inlineStr">
        <is>
          <t>Muhammad Haerul Rozikin</t>
        </is>
      </c>
      <c r="D745" s="13" t="inlineStr">
        <is>
          <t>LOG</t>
        </is>
      </c>
      <c r="E745" s="13" t="inlineStr">
        <is>
          <t>WRM Harian</t>
        </is>
      </c>
      <c r="F745" s="170" t="n">
        <v>46198.7380324074</v>
      </c>
      <c r="G745" s="13" t="inlineStr">
        <is>
          <t>FREE</t>
        </is>
      </c>
      <c r="H745" s="170" t="n">
        <v>46199.08653935185</v>
      </c>
    </row>
    <row r="746">
      <c r="A746" s="13" t="inlineStr">
        <is>
          <t>MK00199</t>
        </is>
      </c>
      <c r="B746" s="13" t="n">
        <v>528000273</v>
      </c>
      <c r="C746" s="13" t="inlineStr">
        <is>
          <t>Asep Mulyana</t>
        </is>
      </c>
      <c r="D746" s="13" t="inlineStr">
        <is>
          <t>PROD</t>
        </is>
      </c>
      <c r="E746" s="13" t="inlineStr">
        <is>
          <t>Produksi Harian</t>
        </is>
      </c>
      <c r="F746" s="170" t="n">
        <v>46198.74541666666</v>
      </c>
      <c r="G746" s="13" t="inlineStr">
        <is>
          <t>FREE</t>
        </is>
      </c>
      <c r="H746" s="170" t="n">
        <v>46199.08459490741</v>
      </c>
    </row>
    <row r="747">
      <c r="A747" s="13" t="inlineStr">
        <is>
          <t>MK00082</t>
        </is>
      </c>
      <c r="B747" s="13" t="n">
        <v>528000055</v>
      </c>
      <c r="C747" s="13" t="inlineStr">
        <is>
          <t>Dika Prasetya</t>
        </is>
      </c>
      <c r="D747" s="13" t="inlineStr">
        <is>
          <t>LOG</t>
        </is>
      </c>
      <c r="E747" s="13" t="inlineStr">
        <is>
          <t>WRM Harian</t>
        </is>
      </c>
      <c r="F747" s="170" t="n">
        <v>46198.74578703703</v>
      </c>
      <c r="G747" s="13" t="inlineStr">
        <is>
          <t>FREE</t>
        </is>
      </c>
      <c r="H747" s="170" t="n">
        <v>46199.0856712963</v>
      </c>
    </row>
    <row r="748">
      <c r="A748" s="13" t="inlineStr">
        <is>
          <t>MK00158</t>
        </is>
      </c>
      <c r="B748" s="13" t="n">
        <v>528000349</v>
      </c>
      <c r="C748" s="13" t="inlineStr">
        <is>
          <t>Anas Abdul Fatah</t>
        </is>
      </c>
      <c r="D748" s="13" t="inlineStr">
        <is>
          <t>LOG</t>
        </is>
      </c>
      <c r="E748" s="13" t="inlineStr">
        <is>
          <t>WFG Harian</t>
        </is>
      </c>
      <c r="F748" s="170" t="n">
        <v>46198.75199074074</v>
      </c>
      <c r="G748" s="13" t="inlineStr">
        <is>
          <t>FREE</t>
        </is>
      </c>
      <c r="H748" s="170" t="n">
        <v>46199.82930555556</v>
      </c>
    </row>
    <row r="749">
      <c r="A749" s="13" t="inlineStr">
        <is>
          <t>MK00212</t>
        </is>
      </c>
      <c r="B749" s="13" t="n">
        <v>528000149</v>
      </c>
      <c r="C749" s="13" t="inlineStr">
        <is>
          <t>Tio Fernanda</t>
        </is>
      </c>
      <c r="D749" s="13" t="inlineStr">
        <is>
          <t>LOG</t>
        </is>
      </c>
      <c r="E749" s="13" t="inlineStr">
        <is>
          <t>WRM Harian</t>
        </is>
      </c>
      <c r="F749" s="170" t="n">
        <v>46198.78498842593</v>
      </c>
      <c r="G749" s="13" t="inlineStr">
        <is>
          <t>FREE</t>
        </is>
      </c>
      <c r="H749" s="170" t="n">
        <v>46199.12778935185</v>
      </c>
    </row>
    <row r="750">
      <c r="A750" s="13" t="inlineStr">
        <is>
          <t>MK00046</t>
        </is>
      </c>
      <c r="B750" s="13" t="n">
        <v>528000232</v>
      </c>
      <c r="C750" s="13" t="inlineStr">
        <is>
          <t>Agung Aji Suhada</t>
        </is>
      </c>
      <c r="D750" s="13" t="inlineStr">
        <is>
          <t>LOG</t>
        </is>
      </c>
      <c r="E750" s="13" t="inlineStr">
        <is>
          <t>WRM Harian</t>
        </is>
      </c>
      <c r="F750" s="170" t="n">
        <v>46198.79023148148</v>
      </c>
      <c r="G750" s="13" t="inlineStr">
        <is>
          <t>FREE</t>
        </is>
      </c>
      <c r="H750" s="170" t="n">
        <v>46199.1268287037</v>
      </c>
    </row>
    <row r="751">
      <c r="A751" s="13" t="inlineStr">
        <is>
          <t>MK00205</t>
        </is>
      </c>
      <c r="B751" s="13" t="n">
        <v>528000348</v>
      </c>
      <c r="C751" s="13" t="inlineStr">
        <is>
          <t>Saepuloh Ardiansah</t>
        </is>
      </c>
      <c r="D751" s="13" t="inlineStr">
        <is>
          <t>LOG</t>
        </is>
      </c>
      <c r="E751" s="13" t="inlineStr">
        <is>
          <t>WRM Harian</t>
        </is>
      </c>
      <c r="F751" s="170" t="n">
        <v>46198.79493055555</v>
      </c>
      <c r="G751" s="13" t="inlineStr">
        <is>
          <t>FREE</t>
        </is>
      </c>
      <c r="H751" s="170" t="n">
        <v>46199.16085648148</v>
      </c>
    </row>
    <row r="752">
      <c r="A752" s="13" t="inlineStr">
        <is>
          <t>MK00221</t>
        </is>
      </c>
      <c r="B752" s="13" t="n">
        <v>528000090</v>
      </c>
      <c r="C752" s="13" t="inlineStr">
        <is>
          <t>Suganda</t>
        </is>
      </c>
      <c r="D752" s="13" t="inlineStr">
        <is>
          <t>PROD</t>
        </is>
      </c>
      <c r="E752" s="13" t="inlineStr">
        <is>
          <t>Produksi Harian</t>
        </is>
      </c>
      <c r="F752" s="170" t="n">
        <v>46198.8044212963</v>
      </c>
      <c r="G752" s="13" t="inlineStr">
        <is>
          <t>FREE</t>
        </is>
      </c>
      <c r="H752" s="170" t="n">
        <v>46198.82409722222</v>
      </c>
    </row>
    <row r="753">
      <c r="A753" s="13" t="inlineStr">
        <is>
          <t>MK00185</t>
        </is>
      </c>
      <c r="B753" s="13" t="n">
        <v>528000286</v>
      </c>
      <c r="C753" s="13" t="inlineStr">
        <is>
          <t>Imelda Amelia</t>
        </is>
      </c>
      <c r="D753" s="13" t="inlineStr">
        <is>
          <t>PROD</t>
        </is>
      </c>
      <c r="E753" s="13" t="inlineStr">
        <is>
          <t>Produksi Harian</t>
        </is>
      </c>
      <c r="F753" s="170" t="n">
        <v>46198.98700231482</v>
      </c>
      <c r="G753" s="13" t="inlineStr">
        <is>
          <t>FREE</t>
        </is>
      </c>
      <c r="H753" s="170" t="n">
        <v>46199.33819444444</v>
      </c>
    </row>
    <row r="754">
      <c r="A754" s="13" t="inlineStr">
        <is>
          <t>MK00148</t>
        </is>
      </c>
      <c r="B754" s="13" t="n">
        <v>528000244</v>
      </c>
      <c r="C754" s="13" t="inlineStr">
        <is>
          <t>Rodian Rifai</t>
        </is>
      </c>
      <c r="D754" s="13" t="inlineStr">
        <is>
          <t>PROD</t>
        </is>
      </c>
      <c r="E754" s="13" t="inlineStr">
        <is>
          <t>Produksi Harian</t>
        </is>
      </c>
      <c r="F754" s="170" t="n">
        <v>46198.99164351852</v>
      </c>
      <c r="G754" s="13" t="inlineStr">
        <is>
          <t>FREE</t>
        </is>
      </c>
      <c r="H754" s="170" t="n">
        <v>46199.34033564815</v>
      </c>
    </row>
    <row r="755">
      <c r="A755" s="13" t="inlineStr">
        <is>
          <t>MK00230</t>
        </is>
      </c>
      <c r="B755" s="13" t="n">
        <v>528000201</v>
      </c>
      <c r="C755" s="13" t="inlineStr">
        <is>
          <t>Zahwa Amelia Choerunissa</t>
        </is>
      </c>
      <c r="D755" s="13" t="inlineStr">
        <is>
          <t>PROD</t>
        </is>
      </c>
      <c r="E755" s="13" t="inlineStr">
        <is>
          <t>Produksi Harian</t>
        </is>
      </c>
      <c r="F755" s="170" t="n">
        <v>46198.99216435185</v>
      </c>
      <c r="G755" s="13" t="inlineStr">
        <is>
          <t>FREE</t>
        </is>
      </c>
      <c r="H755" s="170" t="n">
        <v>46199.33756944445</v>
      </c>
    </row>
    <row r="756">
      <c r="A756" s="13" t="inlineStr">
        <is>
          <t>MK00204</t>
        </is>
      </c>
      <c r="B756" s="13" t="n">
        <v>528000099</v>
      </c>
      <c r="C756" s="13" t="inlineStr">
        <is>
          <t>Siti Nurawaliah</t>
        </is>
      </c>
      <c r="D756" s="13" t="inlineStr">
        <is>
          <t>PROD</t>
        </is>
      </c>
      <c r="E756" s="13" t="inlineStr">
        <is>
          <t>Produksi Harian</t>
        </is>
      </c>
      <c r="F756" s="170" t="n">
        <v>46198.9924537037</v>
      </c>
      <c r="G756" s="13" t="inlineStr">
        <is>
          <t>FREE</t>
        </is>
      </c>
      <c r="H756" s="170" t="n">
        <v>46199.33795138889</v>
      </c>
    </row>
    <row r="757">
      <c r="A757" s="13" t="inlineStr">
        <is>
          <t>MK00145</t>
        </is>
      </c>
      <c r="B757" s="13" t="n">
        <v>528000241</v>
      </c>
      <c r="C757" s="13" t="inlineStr">
        <is>
          <t>Balia Nurafif Bilah</t>
        </is>
      </c>
      <c r="D757" s="13" t="inlineStr">
        <is>
          <t>PROD</t>
        </is>
      </c>
      <c r="E757" s="13" t="inlineStr">
        <is>
          <t>Produksi Harian</t>
        </is>
      </c>
      <c r="F757" s="170" t="n">
        <v>46198.99329861111</v>
      </c>
      <c r="G757" s="13" t="inlineStr">
        <is>
          <t>FREE</t>
        </is>
      </c>
      <c r="H757" s="170" t="n">
        <v>46199.33520833333</v>
      </c>
    </row>
    <row r="758">
      <c r="A758" s="13" t="inlineStr">
        <is>
          <t>MK00156</t>
        </is>
      </c>
      <c r="B758" s="13" t="n">
        <v>528000274</v>
      </c>
      <c r="C758" s="13" t="inlineStr">
        <is>
          <t>Zepri</t>
        </is>
      </c>
      <c r="D758" s="13" t="inlineStr">
        <is>
          <t>PROD</t>
        </is>
      </c>
      <c r="E758" s="13" t="inlineStr">
        <is>
          <t>Produksi Harian</t>
        </is>
      </c>
      <c r="F758" s="170" t="n">
        <v>46198.995625</v>
      </c>
      <c r="G758" s="13" t="inlineStr">
        <is>
          <t>FREE</t>
        </is>
      </c>
      <c r="H758" s="170" t="n">
        <v>46199.33472222222</v>
      </c>
    </row>
    <row r="759">
      <c r="A759" s="13" t="inlineStr">
        <is>
          <t>MK00095</t>
        </is>
      </c>
      <c r="B759" s="13" t="n">
        <v>528000090</v>
      </c>
      <c r="C759" s="13" t="inlineStr">
        <is>
          <t>Suganda</t>
        </is>
      </c>
      <c r="D759" s="13" t="inlineStr">
        <is>
          <t>PROD</t>
        </is>
      </c>
      <c r="E759" s="13" t="inlineStr">
        <is>
          <t>Produksi Harian</t>
        </is>
      </c>
      <c r="F759" s="170" t="n">
        <v>46198.9958449074</v>
      </c>
      <c r="G759" s="13" t="inlineStr">
        <is>
          <t>FREE</t>
        </is>
      </c>
      <c r="H759" s="170" t="n">
        <v>46199.33555555555</v>
      </c>
    </row>
    <row r="760">
      <c r="A760" s="13" t="inlineStr">
        <is>
          <t>MK00141</t>
        </is>
      </c>
      <c r="B760" s="13" t="n">
        <v>528000290</v>
      </c>
      <c r="C760" s="13" t="inlineStr">
        <is>
          <t>Eval Pranata</t>
        </is>
      </c>
      <c r="D760" s="13" t="inlineStr">
        <is>
          <t>PROD</t>
        </is>
      </c>
      <c r="E760" s="13" t="inlineStr">
        <is>
          <t>Produksi Harian</t>
        </is>
      </c>
      <c r="F760" s="170" t="n">
        <v>46198.99648148148</v>
      </c>
      <c r="G760" s="13" t="inlineStr">
        <is>
          <t>FREE</t>
        </is>
      </c>
      <c r="H760" s="170" t="n">
        <v>46199.33574074074</v>
      </c>
    </row>
    <row r="761">
      <c r="A761" s="13" t="inlineStr">
        <is>
          <t>MK00150</t>
        </is>
      </c>
      <c r="B761" s="13" t="n">
        <v>528000212</v>
      </c>
      <c r="C761" s="13" t="inlineStr">
        <is>
          <t>Rizal Fauzi</t>
        </is>
      </c>
      <c r="D761" s="13" t="inlineStr">
        <is>
          <t>PROD</t>
        </is>
      </c>
      <c r="E761" s="13" t="inlineStr">
        <is>
          <t>Produksi Harian</t>
        </is>
      </c>
      <c r="F761" s="170" t="n">
        <v>46199.00079861111</v>
      </c>
      <c r="G761" s="13" t="inlineStr">
        <is>
          <t>FREE</t>
        </is>
      </c>
      <c r="H761" s="170" t="n">
        <v>46201.00246527778</v>
      </c>
    </row>
    <row r="762">
      <c r="A762" s="13" t="inlineStr">
        <is>
          <t>MK00088</t>
        </is>
      </c>
      <c r="B762" s="13" t="n">
        <v>528000132</v>
      </c>
      <c r="C762" s="13" t="inlineStr">
        <is>
          <t>Giopani</t>
        </is>
      </c>
      <c r="D762" s="13" t="inlineStr">
        <is>
          <t>LOG</t>
        </is>
      </c>
      <c r="E762" s="13" t="inlineStr">
        <is>
          <t>WRM Harian</t>
        </is>
      </c>
      <c r="F762" s="170" t="n">
        <v>46199.07043981482</v>
      </c>
      <c r="G762" s="13" t="inlineStr">
        <is>
          <t>FREE</t>
        </is>
      </c>
      <c r="H762" s="170" t="n">
        <v>46199.45015046297</v>
      </c>
    </row>
    <row r="763">
      <c r="A763" s="13" t="inlineStr">
        <is>
          <t>MK00228</t>
        </is>
      </c>
      <c r="B763" s="13" t="n">
        <v>528000144</v>
      </c>
      <c r="C763" s="13" t="inlineStr">
        <is>
          <t>Jodi Hanafi</t>
        </is>
      </c>
      <c r="D763" s="13" t="inlineStr">
        <is>
          <t>LOG</t>
        </is>
      </c>
      <c r="E763" s="13" t="inlineStr">
        <is>
          <t>WRM Harian</t>
        </is>
      </c>
      <c r="F763" s="170" t="n">
        <v>46199.07208333333</v>
      </c>
      <c r="G763" s="13" t="inlineStr">
        <is>
          <t>FREE</t>
        </is>
      </c>
      <c r="H763" s="170" t="n">
        <v>46199.45145833334</v>
      </c>
    </row>
    <row r="764">
      <c r="A764" s="13" t="inlineStr">
        <is>
          <t>MK00138</t>
        </is>
      </c>
      <c r="B764" s="13" t="n">
        <v>528000015</v>
      </c>
      <c r="C764" s="13" t="inlineStr">
        <is>
          <t>Erwin</t>
        </is>
      </c>
      <c r="D764" s="13" t="inlineStr">
        <is>
          <t>LOG</t>
        </is>
      </c>
      <c r="E764" s="13" t="inlineStr">
        <is>
          <t>WRM Harian</t>
        </is>
      </c>
      <c r="F764" s="170" t="n">
        <v>46199.07917824074</v>
      </c>
      <c r="G764" s="13" t="inlineStr">
        <is>
          <t>FREE</t>
        </is>
      </c>
      <c r="H764" s="170" t="n">
        <v>46199.41954861111</v>
      </c>
    </row>
    <row r="765">
      <c r="A765" s="13" t="inlineStr">
        <is>
          <t>MK00124</t>
        </is>
      </c>
      <c r="B765" s="13" t="n">
        <v>628000061</v>
      </c>
      <c r="C765" s="13" t="inlineStr">
        <is>
          <t>Nayla Fadillah Exwantoro</t>
        </is>
      </c>
      <c r="D765" s="13" t="inlineStr">
        <is>
          <t>PROD</t>
        </is>
      </c>
      <c r="E765" s="13" t="inlineStr">
        <is>
          <t>Produksi Borongan</t>
        </is>
      </c>
      <c r="F765" s="170" t="n">
        <v>46199.12079861111</v>
      </c>
      <c r="G765" s="13" t="inlineStr">
        <is>
          <t>FREE</t>
        </is>
      </c>
      <c r="H765" s="170" t="n">
        <v>46199.12116898148</v>
      </c>
    </row>
    <row r="766">
      <c r="A766" s="13" t="inlineStr">
        <is>
          <t>MK00213</t>
        </is>
      </c>
      <c r="B766" s="13" t="n">
        <v>528000298</v>
      </c>
      <c r="C766" s="13" t="inlineStr">
        <is>
          <t>Desta Cahaya Pratama</t>
        </is>
      </c>
      <c r="D766" s="13" t="inlineStr">
        <is>
          <t>PROD</t>
        </is>
      </c>
      <c r="E766" s="13" t="inlineStr">
        <is>
          <t>Produksi Harian</t>
        </is>
      </c>
      <c r="F766" s="170" t="n">
        <v>46199.32271990741</v>
      </c>
      <c r="G766" s="13" t="inlineStr">
        <is>
          <t>FREE</t>
        </is>
      </c>
      <c r="H766" s="170" t="n">
        <v>46199.67078703704</v>
      </c>
    </row>
    <row r="767">
      <c r="A767" s="13" t="inlineStr">
        <is>
          <t>MK00221</t>
        </is>
      </c>
      <c r="B767" s="13" t="n">
        <v>528000299</v>
      </c>
      <c r="C767" s="13" t="inlineStr">
        <is>
          <t>Siti Nurjanah</t>
        </is>
      </c>
      <c r="D767" s="13" t="inlineStr">
        <is>
          <t>PROD</t>
        </is>
      </c>
      <c r="E767" s="13" t="inlineStr">
        <is>
          <t>Produksi Harian</t>
        </is>
      </c>
      <c r="F767" s="170" t="n">
        <v>46199.32421296297</v>
      </c>
      <c r="G767" s="13" t="inlineStr">
        <is>
          <t>FREE</t>
        </is>
      </c>
      <c r="H767" s="170" t="n">
        <v>46199.6694212963</v>
      </c>
    </row>
    <row r="768">
      <c r="A768" s="13" t="inlineStr">
        <is>
          <t>MK00143</t>
        </is>
      </c>
      <c r="B768" s="13" t="n">
        <v>528000302</v>
      </c>
      <c r="C768" s="13" t="inlineStr">
        <is>
          <t>Henkey gumilar</t>
        </is>
      </c>
      <c r="D768" s="13" t="inlineStr">
        <is>
          <t>PROD</t>
        </is>
      </c>
      <c r="E768" s="13" t="inlineStr">
        <is>
          <t>Produksi Harian</t>
        </is>
      </c>
      <c r="F768" s="170" t="n">
        <v>46199.32449074074</v>
      </c>
      <c r="G768" s="13" t="inlineStr">
        <is>
          <t>FREE</t>
        </is>
      </c>
      <c r="H768" s="170" t="n">
        <v>46199.67533564815</v>
      </c>
    </row>
    <row r="769">
      <c r="A769" s="13" t="inlineStr">
        <is>
          <t>MK00181</t>
        </is>
      </c>
      <c r="B769" s="13" t="n">
        <v>528000305</v>
      </c>
      <c r="C769" s="13" t="inlineStr">
        <is>
          <t>Puji Puspita</t>
        </is>
      </c>
      <c r="D769" s="13" t="inlineStr">
        <is>
          <t>PROD</t>
        </is>
      </c>
      <c r="E769" s="13" t="inlineStr">
        <is>
          <t>Produksi Harian</t>
        </is>
      </c>
      <c r="F769" s="170" t="n">
        <v>46199.32454861111</v>
      </c>
      <c r="G769" s="13" t="inlineStr">
        <is>
          <t>FREE</t>
        </is>
      </c>
      <c r="H769" s="170" t="n">
        <v>46199.66855324074</v>
      </c>
    </row>
    <row r="770">
      <c r="A770" s="13" t="inlineStr">
        <is>
          <t>MK00082</t>
        </is>
      </c>
      <c r="B770" s="13" t="n">
        <v>528000270</v>
      </c>
      <c r="C770" s="13" t="inlineStr">
        <is>
          <t>Febri Najmudin</t>
        </is>
      </c>
      <c r="D770" s="13" t="inlineStr">
        <is>
          <t>LOG</t>
        </is>
      </c>
      <c r="E770" s="13" t="inlineStr">
        <is>
          <t>WRM Harian</t>
        </is>
      </c>
      <c r="F770" s="170" t="n">
        <v>46199.32559027777</v>
      </c>
      <c r="G770" s="13" t="inlineStr">
        <is>
          <t>FREE</t>
        </is>
      </c>
      <c r="H770" s="170" t="n">
        <v>46199.69386574074</v>
      </c>
    </row>
    <row r="771">
      <c r="A771" s="13" t="inlineStr">
        <is>
          <t>MK00199</t>
        </is>
      </c>
      <c r="B771" s="13" t="n">
        <v>528000098</v>
      </c>
      <c r="C771" s="13" t="inlineStr">
        <is>
          <t>Edi Junaedi</t>
        </is>
      </c>
      <c r="D771" s="13" t="inlineStr">
        <is>
          <t>PROD</t>
        </is>
      </c>
      <c r="E771" s="13" t="inlineStr">
        <is>
          <t>Produksi Harian</t>
        </is>
      </c>
      <c r="F771" s="170" t="n">
        <v>46199.33265046297</v>
      </c>
      <c r="G771" s="13" t="inlineStr">
        <is>
          <t>FREE</t>
        </is>
      </c>
      <c r="H771" s="170" t="n">
        <v>46201.98435185185</v>
      </c>
    </row>
    <row r="772">
      <c r="A772" s="13" t="inlineStr">
        <is>
          <t>MK00101</t>
        </is>
      </c>
      <c r="B772" s="13" t="n">
        <v>528000256</v>
      </c>
      <c r="C772" s="13" t="inlineStr">
        <is>
          <t>Rasianah</t>
        </is>
      </c>
      <c r="D772" s="13" t="inlineStr">
        <is>
          <t>PROD</t>
        </is>
      </c>
      <c r="E772" s="13" t="inlineStr">
        <is>
          <t>Produksi Harian</t>
        </is>
      </c>
      <c r="F772" s="170" t="n">
        <v>46199.6438425926</v>
      </c>
      <c r="G772" s="13" t="inlineStr">
        <is>
          <t>FREE</t>
        </is>
      </c>
      <c r="H772" s="170" t="n">
        <v>46210.57440972222</v>
      </c>
    </row>
    <row r="773">
      <c r="A773" s="13" t="inlineStr">
        <is>
          <t>MK00230</t>
        </is>
      </c>
      <c r="B773" s="13" t="n">
        <v>628000064</v>
      </c>
      <c r="C773" s="13" t="inlineStr">
        <is>
          <t>Silva Alypia</t>
        </is>
      </c>
      <c r="D773" s="13" t="inlineStr">
        <is>
          <t>PROD</t>
        </is>
      </c>
      <c r="E773" s="13" t="inlineStr">
        <is>
          <t>Produksi Borongan</t>
        </is>
      </c>
      <c r="F773" s="170" t="n">
        <v>46199.65756944445</v>
      </c>
      <c r="G773" s="13" t="inlineStr">
        <is>
          <t>FREE</t>
        </is>
      </c>
      <c r="H773" s="170" t="n">
        <v>46200.00310185185</v>
      </c>
    </row>
    <row r="774">
      <c r="A774" s="13" t="inlineStr">
        <is>
          <t>MK00185</t>
        </is>
      </c>
      <c r="B774" s="13" t="n">
        <v>528000279</v>
      </c>
      <c r="C774" s="13" t="inlineStr">
        <is>
          <t>Mahdalena Dalfa Riani</t>
        </is>
      </c>
      <c r="D774" s="13" t="inlineStr">
        <is>
          <t>PROD</t>
        </is>
      </c>
      <c r="E774" s="13" t="inlineStr">
        <is>
          <t>Produksi Harian</t>
        </is>
      </c>
      <c r="F774" s="170" t="n">
        <v>46199.65836805556</v>
      </c>
      <c r="G774" s="13" t="inlineStr">
        <is>
          <t>FREE</t>
        </is>
      </c>
      <c r="H774" s="170" t="n">
        <v>46200.00482638889</v>
      </c>
    </row>
    <row r="775">
      <c r="A775" s="13" t="inlineStr">
        <is>
          <t>MK00090</t>
        </is>
      </c>
      <c r="B775" s="13" t="n">
        <v>528000288</v>
      </c>
      <c r="C775" s="13" t="inlineStr">
        <is>
          <t>Dede gunawan</t>
        </is>
      </c>
      <c r="D775" s="13" t="inlineStr">
        <is>
          <t>PROD</t>
        </is>
      </c>
      <c r="E775" s="13" t="inlineStr">
        <is>
          <t>Produksi Harian</t>
        </is>
      </c>
      <c r="F775" s="170" t="n">
        <v>46199.66090277778</v>
      </c>
      <c r="G775" s="13" t="inlineStr">
        <is>
          <t>FREE</t>
        </is>
      </c>
      <c r="H775" s="170" t="n">
        <v>46200.00494212963</v>
      </c>
    </row>
    <row r="776">
      <c r="A776" s="13" t="inlineStr">
        <is>
          <t>MK00136</t>
        </is>
      </c>
      <c r="B776" s="13" t="n">
        <v>528000300</v>
      </c>
      <c r="C776" s="13" t="inlineStr">
        <is>
          <t>Lia pitaloka</t>
        </is>
      </c>
      <c r="D776" s="13" t="inlineStr">
        <is>
          <t>PROD</t>
        </is>
      </c>
      <c r="E776" s="13" t="inlineStr">
        <is>
          <t>Produksi Harian</t>
        </is>
      </c>
      <c r="F776" s="170" t="n">
        <v>46199.66260416667</v>
      </c>
      <c r="G776" s="13" t="inlineStr">
        <is>
          <t>FREE</t>
        </is>
      </c>
      <c r="H776" s="170" t="n">
        <v>46200.00583333334</v>
      </c>
    </row>
    <row r="777">
      <c r="A777" s="13" t="inlineStr">
        <is>
          <t>MK00138</t>
        </is>
      </c>
      <c r="B777" s="13" t="n">
        <v>528000063</v>
      </c>
      <c r="C777" s="13" t="inlineStr">
        <is>
          <t>Muhamad Ripki Pebrian</t>
        </is>
      </c>
      <c r="D777" s="13" t="inlineStr">
        <is>
          <t>PROD</t>
        </is>
      </c>
      <c r="E777" s="13" t="inlineStr">
        <is>
          <t>Produksi Harian</t>
        </is>
      </c>
      <c r="F777" s="170" t="n">
        <v>46199.66298611111</v>
      </c>
      <c r="G777" s="13" t="inlineStr">
        <is>
          <t>FREE</t>
        </is>
      </c>
      <c r="H777" s="170" t="n">
        <v>46200.00145833333</v>
      </c>
    </row>
    <row r="778">
      <c r="A778" s="13" t="inlineStr">
        <is>
          <t>MK00134</t>
        </is>
      </c>
      <c r="B778" s="13" t="n">
        <v>528000254</v>
      </c>
      <c r="C778" s="13" t="inlineStr">
        <is>
          <t>M. Difa Ramdani</t>
        </is>
      </c>
      <c r="D778" s="13" t="inlineStr">
        <is>
          <t>PROD</t>
        </is>
      </c>
      <c r="E778" s="13" t="inlineStr">
        <is>
          <t>Produksi Harian</t>
        </is>
      </c>
      <c r="F778" s="170" t="n">
        <v>46199.66324074074</v>
      </c>
      <c r="G778" s="13" t="inlineStr">
        <is>
          <t>FREE</t>
        </is>
      </c>
      <c r="H778" s="170" t="n">
        <v>46200.00145833333</v>
      </c>
    </row>
    <row r="779">
      <c r="A779" s="13" t="inlineStr">
        <is>
          <t>MK00151</t>
        </is>
      </c>
      <c r="B779" s="13" t="n">
        <v>528000297</v>
      </c>
      <c r="C779" s="13" t="inlineStr">
        <is>
          <t>Muhamad Budiana</t>
        </is>
      </c>
      <c r="D779" s="13" t="inlineStr">
        <is>
          <t>PROD</t>
        </is>
      </c>
      <c r="E779" s="13" t="inlineStr">
        <is>
          <t>Produksi Harian</t>
        </is>
      </c>
      <c r="F779" s="170" t="n">
        <v>46199.66329861111</v>
      </c>
      <c r="G779" s="13" t="inlineStr">
        <is>
          <t>FREE</t>
        </is>
      </c>
      <c r="H779" s="170" t="n">
        <v>46200.0334375</v>
      </c>
    </row>
    <row r="780">
      <c r="A780" s="13" t="inlineStr">
        <is>
          <t>MK00148</t>
        </is>
      </c>
      <c r="B780" s="13" t="n">
        <v>528000248</v>
      </c>
      <c r="C780" s="13" t="inlineStr">
        <is>
          <t>Roka Jaya Salka Mulya</t>
        </is>
      </c>
      <c r="D780" s="13" t="inlineStr">
        <is>
          <t>PROD</t>
        </is>
      </c>
      <c r="E780" s="13" t="inlineStr">
        <is>
          <t>Produksi Harian</t>
        </is>
      </c>
      <c r="F780" s="170" t="n">
        <v>46199.66357638889</v>
      </c>
      <c r="G780" s="13" t="inlineStr">
        <is>
          <t>FREE</t>
        </is>
      </c>
      <c r="H780" s="170" t="n">
        <v>46200.0018287037</v>
      </c>
    </row>
    <row r="781">
      <c r="A781" s="13" t="inlineStr">
        <is>
          <t>MK00082</t>
        </is>
      </c>
      <c r="B781" s="13" t="n">
        <v>528000282</v>
      </c>
      <c r="C781" s="13" t="inlineStr">
        <is>
          <t>Defa Desfiana</t>
        </is>
      </c>
      <c r="D781" s="13" t="inlineStr">
        <is>
          <t>PROD</t>
        </is>
      </c>
      <c r="E781" s="13" t="inlineStr">
        <is>
          <t>Produksi Harian</t>
        </is>
      </c>
      <c r="F781" s="170" t="n">
        <v>46199.7322337963</v>
      </c>
      <c r="G781" s="13" t="inlineStr">
        <is>
          <t>FREE</t>
        </is>
      </c>
      <c r="H781" s="170" t="n">
        <v>46199.96040509259</v>
      </c>
    </row>
    <row r="782">
      <c r="A782" s="13" t="inlineStr">
        <is>
          <t>MK00221</t>
        </is>
      </c>
      <c r="B782" s="13" t="n">
        <v>528000265</v>
      </c>
      <c r="C782" s="13" t="inlineStr">
        <is>
          <t>Muhammad Haerul Rozikin</t>
        </is>
      </c>
      <c r="D782" s="13" t="inlineStr">
        <is>
          <t>LOG</t>
        </is>
      </c>
      <c r="E782" s="13" t="inlineStr">
        <is>
          <t>WRM Harian</t>
        </is>
      </c>
      <c r="F782" s="170" t="n">
        <v>46199.74050925926</v>
      </c>
      <c r="G782" s="13" t="inlineStr">
        <is>
          <t>FREE</t>
        </is>
      </c>
      <c r="H782" s="170" t="n">
        <v>46199.96129629629</v>
      </c>
    </row>
    <row r="783">
      <c r="A783" s="13" t="inlineStr">
        <is>
          <t>MK00181</t>
        </is>
      </c>
      <c r="B783" s="13" t="n">
        <v>528000273</v>
      </c>
      <c r="C783" s="13" t="inlineStr">
        <is>
          <t>Asep Mulyana</t>
        </is>
      </c>
      <c r="D783" s="13" t="inlineStr">
        <is>
          <t>PROD</t>
        </is>
      </c>
      <c r="E783" s="13" t="inlineStr">
        <is>
          <t>Produksi Harian</t>
        </is>
      </c>
      <c r="F783" s="170" t="n">
        <v>46199.74424768519</v>
      </c>
      <c r="G783" s="13" t="inlineStr">
        <is>
          <t>FREE</t>
        </is>
      </c>
      <c r="H783" s="170" t="n">
        <v>46199.97084490741</v>
      </c>
    </row>
    <row r="784">
      <c r="A784" s="13" t="inlineStr">
        <is>
          <t>MK00202</t>
        </is>
      </c>
      <c r="B784" s="13" t="n">
        <v>528000055</v>
      </c>
      <c r="C784" s="13" t="inlineStr">
        <is>
          <t>Dika Prasetya</t>
        </is>
      </c>
      <c r="D784" s="13" t="inlineStr">
        <is>
          <t>LOG</t>
        </is>
      </c>
      <c r="E784" s="13" t="inlineStr">
        <is>
          <t>WRM Harian</t>
        </is>
      </c>
      <c r="F784" s="170" t="n">
        <v>46199.74538194444</v>
      </c>
      <c r="G784" s="13" t="inlineStr">
        <is>
          <t>FREE</t>
        </is>
      </c>
      <c r="H784" s="170" t="n">
        <v>46199.97025462963</v>
      </c>
    </row>
    <row r="785">
      <c r="A785" s="13" t="inlineStr">
        <is>
          <t>MK00154</t>
        </is>
      </c>
      <c r="B785" s="13" t="n">
        <v>528000351</v>
      </c>
      <c r="C785" s="13" t="inlineStr">
        <is>
          <t>Mulyana</t>
        </is>
      </c>
      <c r="D785" s="13" t="inlineStr">
        <is>
          <t>PROD</t>
        </is>
      </c>
      <c r="E785" s="13" t="inlineStr">
        <is>
          <t>Produksi Harian</t>
        </is>
      </c>
      <c r="F785" s="170" t="n">
        <v>46199.74949074074</v>
      </c>
      <c r="G785" s="13" t="inlineStr">
        <is>
          <t>FREE</t>
        </is>
      </c>
      <c r="H785" s="170" t="n">
        <v>46199.95881944444</v>
      </c>
    </row>
    <row r="786">
      <c r="A786" s="13" t="inlineStr">
        <is>
          <t>MK00205</t>
        </is>
      </c>
      <c r="B786" s="13" t="n">
        <v>528000348</v>
      </c>
      <c r="C786" s="13" t="inlineStr">
        <is>
          <t>Saepuloh Ardiansah</t>
        </is>
      </c>
      <c r="D786" s="13" t="inlineStr">
        <is>
          <t>LOG</t>
        </is>
      </c>
      <c r="E786" s="13" t="inlineStr">
        <is>
          <t>WRM Harian</t>
        </is>
      </c>
      <c r="F786" s="170" t="n">
        <v>46199.78221064815</v>
      </c>
      <c r="G786" s="13" t="inlineStr">
        <is>
          <t>FREE</t>
        </is>
      </c>
      <c r="H786" s="170" t="n">
        <v>46200.23939814815</v>
      </c>
    </row>
    <row r="787">
      <c r="A787" s="13" t="inlineStr">
        <is>
          <t>MK00212</t>
        </is>
      </c>
      <c r="B787" s="13" t="n">
        <v>528000149</v>
      </c>
      <c r="C787" s="13" t="inlineStr">
        <is>
          <t>Tio Fernanda</t>
        </is>
      </c>
      <c r="D787" s="13" t="inlineStr">
        <is>
          <t>LOG</t>
        </is>
      </c>
      <c r="E787" s="13" t="inlineStr">
        <is>
          <t>WRM Harian</t>
        </is>
      </c>
      <c r="F787" s="170" t="n">
        <v>46199.78582175926</v>
      </c>
      <c r="G787" s="13" t="inlineStr">
        <is>
          <t>FREE</t>
        </is>
      </c>
      <c r="H787" s="170" t="n">
        <v>46201.78438657407</v>
      </c>
    </row>
    <row r="788">
      <c r="A788" s="13" t="inlineStr">
        <is>
          <t>MK00046</t>
        </is>
      </c>
      <c r="B788" s="13" t="n">
        <v>528000232</v>
      </c>
      <c r="C788" s="13" t="inlineStr">
        <is>
          <t>Agung Aji Suhada</t>
        </is>
      </c>
      <c r="D788" s="13" t="inlineStr">
        <is>
          <t>LOG</t>
        </is>
      </c>
      <c r="E788" s="13" t="inlineStr">
        <is>
          <t>WRM Harian</t>
        </is>
      </c>
      <c r="F788" s="170" t="n">
        <v>46199.78953703704</v>
      </c>
      <c r="G788" s="13" t="inlineStr">
        <is>
          <t>FREE</t>
        </is>
      </c>
      <c r="H788" s="170" t="n">
        <v>46200.00195601852</v>
      </c>
    </row>
    <row r="789">
      <c r="A789" s="13" t="inlineStr">
        <is>
          <t>MK00156</t>
        </is>
      </c>
      <c r="B789" s="13" t="n">
        <v>528000015</v>
      </c>
      <c r="C789" s="13" t="inlineStr">
        <is>
          <t>Erwin</t>
        </is>
      </c>
      <c r="D789" s="13" t="inlineStr">
        <is>
          <t>LOG</t>
        </is>
      </c>
      <c r="E789" s="13" t="inlineStr">
        <is>
          <t>WRM Harian</t>
        </is>
      </c>
      <c r="F789" s="170" t="n">
        <v>46199.94806712963</v>
      </c>
      <c r="G789" s="13" t="inlineStr">
        <is>
          <t>FREE</t>
        </is>
      </c>
      <c r="H789" s="170" t="n">
        <v>46200.16972222222</v>
      </c>
    </row>
    <row r="790">
      <c r="A790" s="13" t="inlineStr">
        <is>
          <t>MK0085</t>
        </is>
      </c>
      <c r="B790" s="13" t="n">
        <v>528000052</v>
      </c>
      <c r="C790" s="13" t="inlineStr">
        <is>
          <t>Mustopa</t>
        </is>
      </c>
      <c r="D790" s="13" t="inlineStr">
        <is>
          <t>PROD</t>
        </is>
      </c>
      <c r="E790" s="13" t="inlineStr">
        <is>
          <t>Produksi Harian</t>
        </is>
      </c>
      <c r="F790" s="170" t="n">
        <v>46199.95442129629</v>
      </c>
      <c r="G790" s="13" t="inlineStr">
        <is>
          <t>FREE</t>
        </is>
      </c>
      <c r="H790" s="170" t="n">
        <v>46202.96114583333</v>
      </c>
    </row>
    <row r="791">
      <c r="A791" s="13" t="inlineStr">
        <is>
          <t>MK00088</t>
        </is>
      </c>
      <c r="B791" s="13" t="n">
        <v>528000144</v>
      </c>
      <c r="C791" s="13" t="inlineStr">
        <is>
          <t>Jodi Hanafi</t>
        </is>
      </c>
      <c r="D791" s="13" t="inlineStr">
        <is>
          <t>LOG</t>
        </is>
      </c>
      <c r="E791" s="13" t="inlineStr">
        <is>
          <t>WRM Harian</t>
        </is>
      </c>
      <c r="F791" s="170" t="n">
        <v>46199.95641203703</v>
      </c>
      <c r="G791" s="13" t="inlineStr">
        <is>
          <t>FREE</t>
        </is>
      </c>
      <c r="H791" s="170" t="n">
        <v>46200.17609953704</v>
      </c>
    </row>
    <row r="792">
      <c r="A792" s="13" t="inlineStr">
        <is>
          <t>MK00228</t>
        </is>
      </c>
      <c r="B792" s="13" t="n">
        <v>528000132</v>
      </c>
      <c r="C792" s="13" t="inlineStr">
        <is>
          <t>Giopani</t>
        </is>
      </c>
      <c r="D792" s="13" t="inlineStr">
        <is>
          <t>LOG</t>
        </is>
      </c>
      <c r="E792" s="13" t="inlineStr">
        <is>
          <t>WRM Harian</t>
        </is>
      </c>
      <c r="F792" s="170" t="n">
        <v>46199.95725694444</v>
      </c>
      <c r="G792" s="13" t="inlineStr">
        <is>
          <t>FREE</t>
        </is>
      </c>
      <c r="H792" s="170" t="n">
        <v>46200.17572916667</v>
      </c>
    </row>
    <row r="793">
      <c r="A793" s="13" t="inlineStr">
        <is>
          <t>MK0082</t>
        </is>
      </c>
      <c r="B793" s="13" t="n">
        <v>528000266</v>
      </c>
      <c r="C793" s="13" t="inlineStr">
        <is>
          <t>M. Syirajatieq</t>
        </is>
      </c>
      <c r="D793" s="13" t="inlineStr">
        <is>
          <t>LOG</t>
        </is>
      </c>
      <c r="E793" s="13" t="inlineStr">
        <is>
          <t>WFG Harian</t>
        </is>
      </c>
      <c r="F793" s="170" t="n">
        <v>46199.98546296296</v>
      </c>
      <c r="G793" s="13" t="inlineStr">
        <is>
          <t>FREE</t>
        </is>
      </c>
      <c r="H793" s="170" t="n">
        <v>46201.98978009259</v>
      </c>
    </row>
    <row r="794">
      <c r="A794" s="13" t="inlineStr">
        <is>
          <t>MK00202</t>
        </is>
      </c>
      <c r="B794" s="13" t="n">
        <v>528000358</v>
      </c>
      <c r="C794" s="13" t="inlineStr">
        <is>
          <t>Lulu Agustin</t>
        </is>
      </c>
      <c r="D794" s="13" t="inlineStr">
        <is>
          <t>PROD</t>
        </is>
      </c>
      <c r="E794" s="13" t="inlineStr">
        <is>
          <t>Produksi Harian</t>
        </is>
      </c>
      <c r="F794" s="170" t="n">
        <v>46199.98552083333</v>
      </c>
      <c r="G794" s="13" t="inlineStr">
        <is>
          <t>FREE</t>
        </is>
      </c>
      <c r="H794" s="170" t="n">
        <v>46200.33611111111</v>
      </c>
    </row>
    <row r="795">
      <c r="A795" s="13" t="inlineStr">
        <is>
          <t>MK00221</t>
        </is>
      </c>
      <c r="B795" s="13" t="n">
        <v>528000195</v>
      </c>
      <c r="C795" s="13" t="inlineStr">
        <is>
          <t>Rahma Sariwati</t>
        </is>
      </c>
      <c r="D795" s="13" t="inlineStr">
        <is>
          <t>PROD</t>
        </is>
      </c>
      <c r="E795" s="13" t="inlineStr">
        <is>
          <t>Produksi Harian</t>
        </is>
      </c>
      <c r="F795" s="170" t="n">
        <v>46199.9881712963</v>
      </c>
      <c r="G795" s="13" t="inlineStr">
        <is>
          <t>FREE</t>
        </is>
      </c>
      <c r="H795" s="170" t="n">
        <v>46200.33925925926</v>
      </c>
    </row>
    <row r="796">
      <c r="A796" s="13" t="inlineStr">
        <is>
          <t>MK00141</t>
        </is>
      </c>
      <c r="B796" s="13" t="n">
        <v>528000306</v>
      </c>
      <c r="C796" s="13" t="inlineStr">
        <is>
          <t>Windy Olivia</t>
        </is>
      </c>
      <c r="D796" s="13" t="inlineStr">
        <is>
          <t>PROD</t>
        </is>
      </c>
      <c r="E796" s="13" t="inlineStr">
        <is>
          <t>Produksi Harian</t>
        </is>
      </c>
      <c r="F796" s="170" t="n">
        <v>46199.9885300926</v>
      </c>
      <c r="G796" s="13" t="inlineStr">
        <is>
          <t>FREE</t>
        </is>
      </c>
      <c r="H796" s="170" t="n">
        <v>46200.33711805556</v>
      </c>
    </row>
    <row r="797">
      <c r="A797" s="13" t="inlineStr">
        <is>
          <t>MK00126</t>
        </is>
      </c>
      <c r="B797" s="13" t="n">
        <v>528000291</v>
      </c>
      <c r="C797" s="13" t="inlineStr">
        <is>
          <t>Andrian</t>
        </is>
      </c>
      <c r="D797" s="13" t="inlineStr">
        <is>
          <t>PROD</t>
        </is>
      </c>
      <c r="E797" s="13" t="inlineStr">
        <is>
          <t>Produksi Harian</t>
        </is>
      </c>
      <c r="F797" s="170" t="n">
        <v>46199.99027777778</v>
      </c>
      <c r="G797" s="13" t="inlineStr">
        <is>
          <t>FREE</t>
        </is>
      </c>
      <c r="H797" s="170" t="n">
        <v>46200.33579861111</v>
      </c>
    </row>
    <row r="798">
      <c r="A798" s="13" t="inlineStr">
        <is>
          <t>MK00145</t>
        </is>
      </c>
      <c r="B798" s="13" t="n">
        <v>528000283</v>
      </c>
      <c r="C798" s="13" t="inlineStr">
        <is>
          <t>Purwanda Sugiri</t>
        </is>
      </c>
      <c r="D798" s="13" t="inlineStr">
        <is>
          <t>LOG</t>
        </is>
      </c>
      <c r="E798" s="13" t="inlineStr">
        <is>
          <t>WRM Harian</t>
        </is>
      </c>
      <c r="F798" s="170" t="n">
        <v>46199.99034722222</v>
      </c>
      <c r="G798" s="13" t="inlineStr">
        <is>
          <t>FREE</t>
        </is>
      </c>
      <c r="H798" s="170" t="n">
        <v>46200.33560185185</v>
      </c>
    </row>
    <row r="799">
      <c r="A799" s="13" t="inlineStr">
        <is>
          <t>MK00213</t>
        </is>
      </c>
      <c r="B799" s="13" t="n">
        <v>528000261</v>
      </c>
      <c r="C799" s="13" t="inlineStr">
        <is>
          <t>Ergi Ergianto</t>
        </is>
      </c>
      <c r="D799" s="13" t="inlineStr">
        <is>
          <t>HRGA</t>
        </is>
      </c>
      <c r="E799" s="13" t="inlineStr">
        <is>
          <t>GA Harian</t>
        </is>
      </c>
      <c r="F799" s="170" t="n">
        <v>46199.99207175926</v>
      </c>
      <c r="G799" s="13" t="inlineStr">
        <is>
          <t>FREE</t>
        </is>
      </c>
      <c r="H799" s="170" t="n">
        <v>46200.33643518519</v>
      </c>
    </row>
    <row r="800">
      <c r="A800" s="13" t="inlineStr">
        <is>
          <t>MK00116</t>
        </is>
      </c>
      <c r="B800" s="13" t="n">
        <v>628000061</v>
      </c>
      <c r="C800" s="13" t="inlineStr">
        <is>
          <t>Nayla Fadillah Exwantoro</t>
        </is>
      </c>
      <c r="D800" s="13" t="inlineStr">
        <is>
          <t>PROD</t>
        </is>
      </c>
      <c r="E800" s="13" t="inlineStr">
        <is>
          <t>Produksi Borongan</t>
        </is>
      </c>
      <c r="F800" s="170" t="n">
        <v>46200.29155092593</v>
      </c>
      <c r="G800" s="13" t="inlineStr">
        <is>
          <t>FREE</t>
        </is>
      </c>
      <c r="H800" s="170" t="n">
        <v>46200.67347222222</v>
      </c>
    </row>
    <row r="801">
      <c r="A801" s="13" t="inlineStr">
        <is>
          <t>MK00209</t>
        </is>
      </c>
      <c r="B801" s="13" t="n">
        <v>528000298</v>
      </c>
      <c r="C801" s="13" t="inlineStr">
        <is>
          <t>Desta Cahaya Pratama</t>
        </is>
      </c>
      <c r="D801" s="13" t="inlineStr">
        <is>
          <t>PROD</t>
        </is>
      </c>
      <c r="E801" s="13" t="inlineStr">
        <is>
          <t>Produksi Harian</t>
        </is>
      </c>
      <c r="F801" s="170" t="n">
        <v>46200.32225694445</v>
      </c>
      <c r="G801" s="13" t="inlineStr">
        <is>
          <t>FREE</t>
        </is>
      </c>
      <c r="H801" s="170" t="n">
        <v>46200.67094907408</v>
      </c>
    </row>
    <row r="802">
      <c r="A802" s="13" t="inlineStr">
        <is>
          <t>MK00158</t>
        </is>
      </c>
      <c r="B802" s="13" t="n">
        <v>528000299</v>
      </c>
      <c r="C802" s="13" t="inlineStr">
        <is>
          <t>Siti Nurjanah</t>
        </is>
      </c>
      <c r="D802" s="13" t="inlineStr">
        <is>
          <t>PROD</t>
        </is>
      </c>
      <c r="E802" s="13" t="inlineStr">
        <is>
          <t>Produksi Harian</t>
        </is>
      </c>
      <c r="F802" s="170" t="n">
        <v>46200.32284722223</v>
      </c>
      <c r="G802" s="13" t="inlineStr">
        <is>
          <t>FREE</t>
        </is>
      </c>
      <c r="H802" s="170" t="n">
        <v>46200.67101851852</v>
      </c>
    </row>
    <row r="803">
      <c r="A803" s="13" t="inlineStr">
        <is>
          <t>PE8532</t>
        </is>
      </c>
      <c r="B803" s="13" t="n">
        <v>528000305</v>
      </c>
      <c r="C803" s="13" t="inlineStr">
        <is>
          <t>Puji Puspita</t>
        </is>
      </c>
      <c r="D803" s="13" t="inlineStr">
        <is>
          <t>PROD</t>
        </is>
      </c>
      <c r="E803" s="13" t="inlineStr">
        <is>
          <t>Produksi Harian</t>
        </is>
      </c>
      <c r="F803" s="170" t="n">
        <v>46200.32362268519</v>
      </c>
      <c r="G803" s="13" t="inlineStr">
        <is>
          <t>FREE</t>
        </is>
      </c>
      <c r="H803" s="170" t="n">
        <v>46202.31840277778</v>
      </c>
    </row>
    <row r="804">
      <c r="A804" s="13" t="inlineStr">
        <is>
          <t>MK00138</t>
        </is>
      </c>
      <c r="B804" s="13" t="n">
        <v>528000270</v>
      </c>
      <c r="C804" s="13" t="inlineStr">
        <is>
          <t>Febri Najmudin</t>
        </is>
      </c>
      <c r="D804" s="13" t="inlineStr">
        <is>
          <t>LOG</t>
        </is>
      </c>
      <c r="E804" s="13" t="inlineStr">
        <is>
          <t>WRM Harian</t>
        </is>
      </c>
      <c r="F804" s="170" t="n">
        <v>46200.32424768519</v>
      </c>
      <c r="G804" s="13" t="inlineStr">
        <is>
          <t>FREE</t>
        </is>
      </c>
      <c r="H804" s="170" t="n">
        <v>46200.69391203704</v>
      </c>
    </row>
    <row r="805">
      <c r="A805" s="13" t="inlineStr">
        <is>
          <t>MK00204</t>
        </is>
      </c>
      <c r="B805" s="13" t="n">
        <v>528000302</v>
      </c>
      <c r="C805" s="13" t="inlineStr">
        <is>
          <t>Henkey gumilar</t>
        </is>
      </c>
      <c r="D805" s="13" t="inlineStr">
        <is>
          <t>PROD</t>
        </is>
      </c>
      <c r="E805" s="13" t="inlineStr">
        <is>
          <t>Produksi Harian</t>
        </is>
      </c>
      <c r="F805" s="170" t="n">
        <v>46200.32538194444</v>
      </c>
      <c r="G805" s="13" t="inlineStr">
        <is>
          <t>FREE</t>
        </is>
      </c>
      <c r="H805" s="170" t="n">
        <v>46200.6728125</v>
      </c>
    </row>
    <row r="806">
      <c r="A806" s="13" t="inlineStr">
        <is>
          <t>MK00185</t>
        </is>
      </c>
      <c r="B806" s="13" t="n">
        <v>528000244</v>
      </c>
      <c r="C806" s="13" t="inlineStr">
        <is>
          <t>Rodian Rifai</t>
        </is>
      </c>
      <c r="D806" s="13" t="inlineStr">
        <is>
          <t>PROD</t>
        </is>
      </c>
      <c r="E806" s="13" t="inlineStr">
        <is>
          <t>Produksi Harian</t>
        </is>
      </c>
      <c r="F806" s="170" t="n">
        <v>46200.65050925926</v>
      </c>
      <c r="G806" s="13" t="inlineStr">
        <is>
          <t>FREE</t>
        </is>
      </c>
      <c r="H806" s="170" t="n">
        <v>46201.07400462963</v>
      </c>
    </row>
    <row r="807">
      <c r="A807" s="13" t="inlineStr">
        <is>
          <t>MK00221</t>
        </is>
      </c>
      <c r="B807" s="13" t="n">
        <v>528000201</v>
      </c>
      <c r="C807" s="13" t="inlineStr">
        <is>
          <t>Zahwa Amelia Choerunissa</t>
        </is>
      </c>
      <c r="D807" s="13" t="inlineStr">
        <is>
          <t>PROD</t>
        </is>
      </c>
      <c r="E807" s="13" t="inlineStr">
        <is>
          <t>Produksi Harian</t>
        </is>
      </c>
      <c r="F807" s="170" t="n">
        <v>46200.65255787037</v>
      </c>
      <c r="G807" s="13" t="inlineStr">
        <is>
          <t>FREE</t>
        </is>
      </c>
      <c r="H807" s="170" t="n">
        <v>46201.00326388889</v>
      </c>
    </row>
    <row r="808">
      <c r="A808" s="13" t="inlineStr">
        <is>
          <t>MK00203</t>
        </is>
      </c>
      <c r="B808" s="13" t="n">
        <v>528000099</v>
      </c>
      <c r="C808" s="13" t="inlineStr">
        <is>
          <t>Siti Nurawaliah</t>
        </is>
      </c>
      <c r="D808" s="13" t="inlineStr">
        <is>
          <t>PROD</t>
        </is>
      </c>
      <c r="E808" s="13" t="inlineStr">
        <is>
          <t>Produksi Harian</t>
        </is>
      </c>
      <c r="F808" s="170" t="n">
        <v>46200.65300925926</v>
      </c>
      <c r="G808" s="13" t="inlineStr">
        <is>
          <t>FREE</t>
        </is>
      </c>
      <c r="H808" s="170" t="n">
        <v>46201.0040162037</v>
      </c>
    </row>
    <row r="809">
      <c r="A809" s="13" t="inlineStr">
        <is>
          <t>MK00202</t>
        </is>
      </c>
      <c r="B809" s="13" t="n">
        <v>528000286</v>
      </c>
      <c r="C809" s="13" t="inlineStr">
        <is>
          <t>Imelda Amelia</t>
        </is>
      </c>
      <c r="D809" s="13" t="inlineStr">
        <is>
          <t>PROD</t>
        </is>
      </c>
      <c r="E809" s="13" t="inlineStr">
        <is>
          <t>Produksi Harian</t>
        </is>
      </c>
      <c r="F809" s="170" t="n">
        <v>46200.65564814815</v>
      </c>
      <c r="G809" s="13" t="inlineStr">
        <is>
          <t>FREE</t>
        </is>
      </c>
      <c r="H809" s="170" t="n">
        <v>46201.00427083333</v>
      </c>
    </row>
    <row r="810">
      <c r="A810" s="13" t="inlineStr">
        <is>
          <t>MK00213</t>
        </is>
      </c>
      <c r="B810" s="13" t="n">
        <v>528000241</v>
      </c>
      <c r="C810" s="13" t="inlineStr">
        <is>
          <t>Balia Nurafif Bilah</t>
        </is>
      </c>
      <c r="D810" s="13" t="inlineStr">
        <is>
          <t>PROD</t>
        </is>
      </c>
      <c r="E810" s="13" t="inlineStr">
        <is>
          <t>Produksi Harian</t>
        </is>
      </c>
      <c r="F810" s="170" t="n">
        <v>46200.6606712963</v>
      </c>
      <c r="G810" s="13" t="inlineStr">
        <is>
          <t>FREE</t>
        </is>
      </c>
      <c r="H810" s="170" t="n">
        <v>46201.00174768519</v>
      </c>
    </row>
    <row r="811">
      <c r="A811" s="13" t="inlineStr">
        <is>
          <t>MK00145</t>
        </is>
      </c>
      <c r="B811" s="13" t="n">
        <v>528000290</v>
      </c>
      <c r="C811" s="13" t="inlineStr">
        <is>
          <t>Eval Pranata</t>
        </is>
      </c>
      <c r="D811" s="13" t="inlineStr">
        <is>
          <t>PROD</t>
        </is>
      </c>
      <c r="E811" s="13" t="inlineStr">
        <is>
          <t>Produksi Harian</t>
        </is>
      </c>
      <c r="F811" s="170" t="n">
        <v>46200.66363425926</v>
      </c>
      <c r="G811" s="13" t="inlineStr">
        <is>
          <t>FREE</t>
        </is>
      </c>
      <c r="H811" s="170" t="n">
        <v>46201.00188657407</v>
      </c>
    </row>
    <row r="812">
      <c r="A812" s="13" t="inlineStr">
        <is>
          <t>MK00141</t>
        </is>
      </c>
      <c r="B812" s="13" t="n">
        <v>528000274</v>
      </c>
      <c r="C812" s="13" t="inlineStr">
        <is>
          <t>Zepri</t>
        </is>
      </c>
      <c r="D812" s="13" t="inlineStr">
        <is>
          <t>PROD</t>
        </is>
      </c>
      <c r="E812" s="13" t="inlineStr">
        <is>
          <t>Produksi Harian</t>
        </is>
      </c>
      <c r="F812" s="170" t="n">
        <v>46200.66395833333</v>
      </c>
      <c r="G812" s="13" t="inlineStr">
        <is>
          <t>FREE</t>
        </is>
      </c>
      <c r="H812" s="170" t="n">
        <v>46201.00239583333</v>
      </c>
    </row>
    <row r="813">
      <c r="A813" s="13" t="inlineStr">
        <is>
          <t>MK00126</t>
        </is>
      </c>
      <c r="B813" s="13" t="n">
        <v>528000090</v>
      </c>
      <c r="C813" s="13" t="inlineStr">
        <is>
          <t>Suganda</t>
        </is>
      </c>
      <c r="D813" s="13" t="inlineStr">
        <is>
          <t>PROD</t>
        </is>
      </c>
      <c r="E813" s="13" t="inlineStr">
        <is>
          <t>Produksi Harian</t>
        </is>
      </c>
      <c r="F813" s="170" t="n">
        <v>46200.66439814815</v>
      </c>
      <c r="G813" s="13" t="inlineStr">
        <is>
          <t>FREE</t>
        </is>
      </c>
      <c r="H813" s="170" t="n">
        <v>46201.00234953704</v>
      </c>
    </row>
    <row r="814">
      <c r="A814" s="13" t="inlineStr">
        <is>
          <t>MK00109</t>
        </is>
      </c>
      <c r="B814" s="13" t="n">
        <v>528000358</v>
      </c>
      <c r="C814" s="13" t="inlineStr">
        <is>
          <t>Lulu Agustin</t>
        </is>
      </c>
      <c r="D814" s="13" t="inlineStr">
        <is>
          <t>PROD</t>
        </is>
      </c>
      <c r="E814" s="13" t="inlineStr">
        <is>
          <t>Produksi Harian</t>
        </is>
      </c>
      <c r="F814" s="170" t="n">
        <v>46200.9878125</v>
      </c>
      <c r="G814" s="13" t="inlineStr">
        <is>
          <t>FREE</t>
        </is>
      </c>
      <c r="H814" s="170" t="n">
        <v>46201.3362037037</v>
      </c>
    </row>
    <row r="815">
      <c r="A815" s="13" t="inlineStr">
        <is>
          <t>MK00154</t>
        </is>
      </c>
      <c r="B815" s="13" t="n">
        <v>528000262</v>
      </c>
      <c r="C815" s="13" t="inlineStr">
        <is>
          <t>Ndari Dwiwanti</t>
        </is>
      </c>
      <c r="D815" s="13" t="inlineStr">
        <is>
          <t>PROD</t>
        </is>
      </c>
      <c r="E815" s="13" t="inlineStr">
        <is>
          <t>Produksi Harian</t>
        </is>
      </c>
      <c r="F815" s="170" t="n">
        <v>46200.98859953704</v>
      </c>
      <c r="G815" s="13" t="inlineStr">
        <is>
          <t>FREE</t>
        </is>
      </c>
      <c r="H815" s="170" t="n">
        <v>46201.33581018518</v>
      </c>
    </row>
    <row r="816">
      <c r="A816" s="13" t="inlineStr">
        <is>
          <t>MK00130</t>
        </is>
      </c>
      <c r="B816" s="13" t="n">
        <v>528000291</v>
      </c>
      <c r="C816" s="13" t="inlineStr">
        <is>
          <t>Andrian</t>
        </is>
      </c>
      <c r="D816" s="13" t="inlineStr">
        <is>
          <t>PROD</t>
        </is>
      </c>
      <c r="E816" s="13" t="inlineStr">
        <is>
          <t>Produksi Harian</t>
        </is>
      </c>
      <c r="F816" s="170" t="n">
        <v>46200.98934027777</v>
      </c>
      <c r="G816" s="13" t="inlineStr">
        <is>
          <t>FREE</t>
        </is>
      </c>
      <c r="H816" s="170" t="n">
        <v>46201.33597222222</v>
      </c>
    </row>
    <row r="817">
      <c r="A817" s="13" t="inlineStr">
        <is>
          <t>MK00095</t>
        </is>
      </c>
      <c r="B817" s="13" t="n">
        <v>528000283</v>
      </c>
      <c r="C817" s="13" t="inlineStr">
        <is>
          <t>Purwanda Sugiri</t>
        </is>
      </c>
      <c r="D817" s="13" t="inlineStr">
        <is>
          <t>LOG</t>
        </is>
      </c>
      <c r="E817" s="13" t="inlineStr">
        <is>
          <t>WRM Harian</t>
        </is>
      </c>
      <c r="F817" s="170" t="n">
        <v>46200.98944444444</v>
      </c>
      <c r="G817" s="13" t="inlineStr">
        <is>
          <t>FREE</t>
        </is>
      </c>
      <c r="H817" s="170" t="n">
        <v>46201.33696759259</v>
      </c>
    </row>
    <row r="818">
      <c r="A818" s="13" t="inlineStr">
        <is>
          <t>MK00209</t>
        </is>
      </c>
      <c r="B818" s="13" t="n">
        <v>528000261</v>
      </c>
      <c r="C818" s="13" t="inlineStr">
        <is>
          <t>Ergi Ergianto</t>
        </is>
      </c>
      <c r="D818" s="13" t="inlineStr">
        <is>
          <t>HRGA</t>
        </is>
      </c>
      <c r="E818" s="13" t="inlineStr">
        <is>
          <t>GA Harian</t>
        </is>
      </c>
      <c r="F818" s="170" t="n">
        <v>46200.99108796296</v>
      </c>
      <c r="G818" s="13" t="inlineStr">
        <is>
          <t>FREE</t>
        </is>
      </c>
      <c r="H818" s="170" t="n">
        <v>46201.33626157408</v>
      </c>
    </row>
    <row r="819">
      <c r="A819" s="13" t="inlineStr">
        <is>
          <t>MK00213</t>
        </is>
      </c>
      <c r="B819" s="13" t="n">
        <v>628000061</v>
      </c>
      <c r="C819" s="13" t="inlineStr">
        <is>
          <t>Nayla Fadillah Exwantoro</t>
        </is>
      </c>
      <c r="D819" s="13" t="inlineStr">
        <is>
          <t>PROD</t>
        </is>
      </c>
      <c r="E819" s="13" t="inlineStr">
        <is>
          <t>Produksi Borongan</t>
        </is>
      </c>
      <c r="F819" s="170" t="n">
        <v>46201.28846064815</v>
      </c>
      <c r="G819" s="13" t="inlineStr">
        <is>
          <t>FREE</t>
        </is>
      </c>
      <c r="H819" s="170" t="n">
        <v>46201.99074074074</v>
      </c>
    </row>
    <row r="820">
      <c r="A820" s="13" t="inlineStr">
        <is>
          <t>MK00202</t>
        </is>
      </c>
      <c r="B820" s="13" t="n">
        <v>528000302</v>
      </c>
      <c r="C820" s="13" t="inlineStr">
        <is>
          <t>Henkey gumilar</t>
        </is>
      </c>
      <c r="D820" s="13" t="inlineStr">
        <is>
          <t>PROD</t>
        </is>
      </c>
      <c r="E820" s="13" t="inlineStr">
        <is>
          <t>Produksi Harian</t>
        </is>
      </c>
      <c r="F820" s="170" t="n">
        <v>46201.31936342592</v>
      </c>
      <c r="G820" s="13" t="inlineStr">
        <is>
          <t>FREE</t>
        </is>
      </c>
      <c r="H820" s="170" t="n">
        <v>46201.67329861111</v>
      </c>
    </row>
    <row r="821">
      <c r="A821" s="13" t="inlineStr">
        <is>
          <t>AK00203</t>
        </is>
      </c>
      <c r="B821" s="13" t="n">
        <v>528000299</v>
      </c>
      <c r="C821" s="13" t="inlineStr">
        <is>
          <t>Siti Nurjanah</t>
        </is>
      </c>
      <c r="D821" s="13" t="inlineStr">
        <is>
          <t>PROD</t>
        </is>
      </c>
      <c r="E821" s="13" t="inlineStr">
        <is>
          <t>Produksi Harian</t>
        </is>
      </c>
      <c r="F821" s="170" t="n">
        <v>46201.320625</v>
      </c>
      <c r="G821" s="13" t="inlineStr">
        <is>
          <t>FREE</t>
        </is>
      </c>
      <c r="H821" s="170" t="n">
        <v>46202.26092592593</v>
      </c>
    </row>
    <row r="822">
      <c r="A822" s="13" t="inlineStr">
        <is>
          <t>MK00141</t>
        </is>
      </c>
      <c r="B822" s="13" t="n">
        <v>528000298</v>
      </c>
      <c r="C822" s="13" t="inlineStr">
        <is>
          <t>Desta Cahaya Pratama</t>
        </is>
      </c>
      <c r="D822" s="13" t="inlineStr">
        <is>
          <t>PROD</t>
        </is>
      </c>
      <c r="E822" s="13" t="inlineStr">
        <is>
          <t>Produksi Harian</t>
        </is>
      </c>
      <c r="F822" s="170" t="n">
        <v>46201.32164351852</v>
      </c>
      <c r="G822" s="13" t="inlineStr">
        <is>
          <t>FREE</t>
        </is>
      </c>
      <c r="H822" s="170" t="n">
        <v>46201.67231481482</v>
      </c>
    </row>
    <row r="823">
      <c r="A823" s="13" t="inlineStr">
        <is>
          <t>MK00185</t>
        </is>
      </c>
      <c r="B823" s="13" t="n">
        <v>528000270</v>
      </c>
      <c r="C823" s="13" t="inlineStr">
        <is>
          <t>Febri Najmudin</t>
        </is>
      </c>
      <c r="D823" s="13" t="inlineStr">
        <is>
          <t>LOG</t>
        </is>
      </c>
      <c r="E823" s="13" t="inlineStr">
        <is>
          <t>WRM Harian</t>
        </is>
      </c>
      <c r="F823" s="170" t="n">
        <v>46201.32217592592</v>
      </c>
      <c r="G823" s="13" t="inlineStr">
        <is>
          <t>FREE</t>
        </is>
      </c>
      <c r="H823" s="170" t="n">
        <v>46201.67871527778</v>
      </c>
    </row>
    <row r="824">
      <c r="A824" s="13" t="inlineStr">
        <is>
          <t>MK00181</t>
        </is>
      </c>
      <c r="B824" s="13" t="n">
        <v>528000201</v>
      </c>
      <c r="C824" s="13" t="inlineStr">
        <is>
          <t>Zahwa Amelia Choerunissa</t>
        </is>
      </c>
      <c r="D824" s="13" t="inlineStr">
        <is>
          <t>PROD</t>
        </is>
      </c>
      <c r="E824" s="13" t="inlineStr">
        <is>
          <t>Produksi Harian</t>
        </is>
      </c>
      <c r="F824" s="170" t="n">
        <v>46201.6583912037</v>
      </c>
      <c r="G824" s="13" t="inlineStr">
        <is>
          <t>FREE</t>
        </is>
      </c>
      <c r="H824" s="170" t="n">
        <v>46202.00503472222</v>
      </c>
    </row>
    <row r="825">
      <c r="A825" s="13" t="inlineStr">
        <is>
          <t>MK00208</t>
        </is>
      </c>
      <c r="B825" s="13" t="n">
        <v>528000286</v>
      </c>
      <c r="C825" s="13" t="inlineStr">
        <is>
          <t>Imelda Amelia</t>
        </is>
      </c>
      <c r="D825" s="13" t="inlineStr">
        <is>
          <t>PROD</t>
        </is>
      </c>
      <c r="E825" s="13" t="inlineStr">
        <is>
          <t>Produksi Harian</t>
        </is>
      </c>
      <c r="F825" s="170" t="n">
        <v>46201.65840277778</v>
      </c>
      <c r="G825" s="13" t="inlineStr">
        <is>
          <t>FREE</t>
        </is>
      </c>
      <c r="H825" s="170" t="n">
        <v>46202.00557870371</v>
      </c>
    </row>
    <row r="826">
      <c r="A826" s="13" t="inlineStr">
        <is>
          <t>MK0046</t>
        </is>
      </c>
      <c r="B826" s="13" t="n">
        <v>528000099</v>
      </c>
      <c r="C826" s="13" t="inlineStr">
        <is>
          <t>Siti Nurawaliah</t>
        </is>
      </c>
      <c r="D826" s="13" t="inlineStr">
        <is>
          <t>PROD</t>
        </is>
      </c>
      <c r="E826" s="13" t="inlineStr">
        <is>
          <t>Produksi Harian</t>
        </is>
      </c>
      <c r="F826" s="170" t="n">
        <v>46201.65878472223</v>
      </c>
      <c r="G826" s="13" t="inlineStr">
        <is>
          <t>FREE</t>
        </is>
      </c>
      <c r="H826" s="170" t="n">
        <v>46202.00556712963</v>
      </c>
    </row>
    <row r="827">
      <c r="A827" s="13" t="inlineStr">
        <is>
          <t>MK00230</t>
        </is>
      </c>
      <c r="B827" s="13" t="n">
        <v>528000265</v>
      </c>
      <c r="C827" s="13" t="inlineStr">
        <is>
          <t>Muhammad Haerul Rozikin</t>
        </is>
      </c>
      <c r="D827" s="13" t="inlineStr">
        <is>
          <t>LOG</t>
        </is>
      </c>
      <c r="E827" s="13" t="inlineStr">
        <is>
          <t>WRM Harian</t>
        </is>
      </c>
      <c r="F827" s="170" t="n">
        <v>46201.66063657407</v>
      </c>
      <c r="G827" s="13" t="inlineStr">
        <is>
          <t>FREE</t>
        </is>
      </c>
      <c r="H827" s="170" t="n">
        <v>46202.00607638889</v>
      </c>
    </row>
    <row r="828">
      <c r="A828" s="13" t="inlineStr">
        <is>
          <t>MK00151</t>
        </is>
      </c>
      <c r="B828" s="13" t="n">
        <v>528000090</v>
      </c>
      <c r="C828" s="13" t="inlineStr">
        <is>
          <t>Suganda</t>
        </is>
      </c>
      <c r="D828" s="13" t="inlineStr">
        <is>
          <t>PROD</t>
        </is>
      </c>
      <c r="E828" s="13" t="inlineStr">
        <is>
          <t>Produksi Harian</t>
        </is>
      </c>
      <c r="F828" s="170" t="n">
        <v>46201.66127314815</v>
      </c>
      <c r="G828" s="13" t="inlineStr">
        <is>
          <t>FREE</t>
        </is>
      </c>
      <c r="H828" s="170" t="n">
        <v>46202.0035300926</v>
      </c>
    </row>
    <row r="829">
      <c r="A829" s="13" t="inlineStr">
        <is>
          <t>MK00158</t>
        </is>
      </c>
      <c r="B829" s="13" t="n">
        <v>528000241</v>
      </c>
      <c r="C829" s="13" t="inlineStr">
        <is>
          <t>Balia Nurafif Bilah</t>
        </is>
      </c>
      <c r="D829" s="13" t="inlineStr">
        <is>
          <t>PROD</t>
        </is>
      </c>
      <c r="E829" s="13" t="inlineStr">
        <is>
          <t>Produksi Harian</t>
        </is>
      </c>
      <c r="F829" s="170" t="n">
        <v>46201.66299768518</v>
      </c>
      <c r="G829" s="13" t="inlineStr">
        <is>
          <t>FREE</t>
        </is>
      </c>
      <c r="H829" s="170" t="n">
        <v>46202.00305555556</v>
      </c>
    </row>
    <row r="830">
      <c r="A830" s="13" t="inlineStr">
        <is>
          <t>MK00136</t>
        </is>
      </c>
      <c r="B830" s="13" t="n">
        <v>528000274</v>
      </c>
      <c r="C830" s="13" t="inlineStr">
        <is>
          <t>Zepri</t>
        </is>
      </c>
      <c r="D830" s="13" t="inlineStr">
        <is>
          <t>PROD</t>
        </is>
      </c>
      <c r="E830" s="13" t="inlineStr">
        <is>
          <t>Produksi Harian</t>
        </is>
      </c>
      <c r="F830" s="170" t="n">
        <v>46201.66324074074</v>
      </c>
      <c r="G830" s="13" t="inlineStr">
        <is>
          <t>FREE</t>
        </is>
      </c>
      <c r="H830" s="170" t="n">
        <v>46202.00375</v>
      </c>
    </row>
    <row r="831">
      <c r="A831" s="13" t="inlineStr">
        <is>
          <t>MK00204</t>
        </is>
      </c>
      <c r="B831" s="13" t="n">
        <v>528000282</v>
      </c>
      <c r="C831" s="13" t="inlineStr">
        <is>
          <t>Defa Desfiana</t>
        </is>
      </c>
      <c r="D831" s="13" t="inlineStr">
        <is>
          <t>PROD</t>
        </is>
      </c>
      <c r="E831" s="13" t="inlineStr">
        <is>
          <t>Produksi Harian</t>
        </is>
      </c>
      <c r="F831" s="170" t="n">
        <v>46201.66398148148</v>
      </c>
      <c r="G831" s="13" t="inlineStr">
        <is>
          <t>FREE</t>
        </is>
      </c>
      <c r="H831" s="170" t="n">
        <v>46202.00869212963</v>
      </c>
    </row>
    <row r="832">
      <c r="A832" s="13" t="inlineStr">
        <is>
          <t>MK00249</t>
        </is>
      </c>
      <c r="B832" s="13" t="n">
        <v>528000290</v>
      </c>
      <c r="C832" s="13" t="inlineStr">
        <is>
          <t>Eval Pranata</t>
        </is>
      </c>
      <c r="D832" s="13" t="inlineStr">
        <is>
          <t>PROD</t>
        </is>
      </c>
      <c r="E832" s="13" t="inlineStr">
        <is>
          <t>Produksi Harian</t>
        </is>
      </c>
      <c r="F832" s="170" t="n">
        <v>46201.66513888889</v>
      </c>
      <c r="G832" s="13" t="inlineStr">
        <is>
          <t>FREE</t>
        </is>
      </c>
      <c r="H832" s="170" t="n">
        <v>46202.00335648148</v>
      </c>
    </row>
    <row r="833">
      <c r="A833" s="13" t="inlineStr">
        <is>
          <t>MK00109</t>
        </is>
      </c>
      <c r="B833" s="13" t="n">
        <v>528000244</v>
      </c>
      <c r="C833" s="13" t="inlineStr">
        <is>
          <t>Rodian Rifai</t>
        </is>
      </c>
      <c r="D833" s="13" t="inlineStr">
        <is>
          <t>PROD</t>
        </is>
      </c>
      <c r="E833" s="13" t="inlineStr">
        <is>
          <t>Produksi Harian</t>
        </is>
      </c>
      <c r="F833" s="170" t="n">
        <v>46201.66994212963</v>
      </c>
      <c r="G833" s="13" t="inlineStr">
        <is>
          <t>FREE</t>
        </is>
      </c>
      <c r="H833" s="170" t="n">
        <v>46202.03810185185</v>
      </c>
    </row>
    <row r="834">
      <c r="A834" s="13" t="inlineStr">
        <is>
          <t>MK00088</t>
        </is>
      </c>
      <c r="B834" s="13" t="n">
        <v>528000144</v>
      </c>
      <c r="C834" s="13" t="inlineStr">
        <is>
          <t>Jodi Hanafi</t>
        </is>
      </c>
      <c r="D834" s="13" t="inlineStr">
        <is>
          <t>LOG</t>
        </is>
      </c>
      <c r="E834" s="13" t="inlineStr">
        <is>
          <t>WRM Harian</t>
        </is>
      </c>
      <c r="F834" s="170" t="n">
        <v>46201.73825231481</v>
      </c>
      <c r="G834" s="13" t="inlineStr">
        <is>
          <t>FREE</t>
        </is>
      </c>
      <c r="H834" s="170" t="n">
        <v>46202.08679398148</v>
      </c>
    </row>
    <row r="835">
      <c r="A835" s="13" t="inlineStr">
        <is>
          <t>MK00134</t>
        </is>
      </c>
      <c r="B835" s="13" t="n">
        <v>528000351</v>
      </c>
      <c r="C835" s="13" t="inlineStr">
        <is>
          <t>Mulyana</t>
        </is>
      </c>
      <c r="D835" s="13" t="inlineStr">
        <is>
          <t>PROD</t>
        </is>
      </c>
      <c r="E835" s="13" t="inlineStr">
        <is>
          <t>Produksi Harian</t>
        </is>
      </c>
      <c r="F835" s="170" t="n">
        <v>46201.74355324074</v>
      </c>
      <c r="G835" s="13" t="inlineStr">
        <is>
          <t>FREE</t>
        </is>
      </c>
      <c r="H835" s="170" t="n">
        <v>46202.08427083334</v>
      </c>
    </row>
    <row r="836">
      <c r="A836" s="13" t="inlineStr">
        <is>
          <t>MK00116</t>
        </is>
      </c>
      <c r="B836" s="13" t="n">
        <v>528000015</v>
      </c>
      <c r="C836" s="13" t="inlineStr">
        <is>
          <t>Erwin</t>
        </is>
      </c>
      <c r="D836" s="13" t="inlineStr">
        <is>
          <t>LOG</t>
        </is>
      </c>
      <c r="E836" s="13" t="inlineStr">
        <is>
          <t>WRM Harian</t>
        </is>
      </c>
      <c r="F836" s="170" t="n">
        <v>46201.74366898148</v>
      </c>
      <c r="G836" s="13" t="inlineStr">
        <is>
          <t>FREE</t>
        </is>
      </c>
      <c r="H836" s="170" t="n">
        <v>46202.09368055555</v>
      </c>
    </row>
    <row r="837">
      <c r="A837" s="13" t="inlineStr">
        <is>
          <t>MK0003</t>
        </is>
      </c>
      <c r="B837" s="13" t="n">
        <v>528000349</v>
      </c>
      <c r="C837" s="13" t="inlineStr">
        <is>
          <t>Anas Abdul Fatah</t>
        </is>
      </c>
      <c r="D837" s="13" t="inlineStr">
        <is>
          <t>LOG</t>
        </is>
      </c>
      <c r="E837" s="13" t="inlineStr">
        <is>
          <t>WFG Harian</t>
        </is>
      </c>
      <c r="F837" s="170" t="n">
        <v>46201.74693287037</v>
      </c>
      <c r="G837" s="13" t="inlineStr">
        <is>
          <t>FREE</t>
        </is>
      </c>
      <c r="H837" s="170" t="n">
        <v>46203.09821759259</v>
      </c>
    </row>
    <row r="838">
      <c r="A838" s="13" t="inlineStr">
        <is>
          <t>MK00212</t>
        </is>
      </c>
      <c r="B838" s="13" t="n">
        <v>528000149</v>
      </c>
      <c r="C838" s="13" t="inlineStr">
        <is>
          <t>Tio Fernanda</t>
        </is>
      </c>
      <c r="D838" s="13" t="inlineStr">
        <is>
          <t>LOG</t>
        </is>
      </c>
      <c r="E838" s="13" t="inlineStr">
        <is>
          <t>WRM Harian</t>
        </is>
      </c>
      <c r="F838" s="170" t="n">
        <v>46201.78452546296</v>
      </c>
      <c r="G838" s="13" t="inlineStr">
        <is>
          <t>FREE</t>
        </is>
      </c>
      <c r="H838" s="170" t="n">
        <v>46202.29832175926</v>
      </c>
    </row>
    <row r="839">
      <c r="A839" s="13" t="inlineStr">
        <is>
          <t>MK00025</t>
        </is>
      </c>
      <c r="B839" s="13" t="n">
        <v>528000348</v>
      </c>
      <c r="C839" s="13" t="inlineStr">
        <is>
          <t>Saepuloh Ardiansah</t>
        </is>
      </c>
      <c r="D839" s="13" t="inlineStr">
        <is>
          <t>LOG</t>
        </is>
      </c>
      <c r="E839" s="13" t="inlineStr">
        <is>
          <t>WRM Harian</t>
        </is>
      </c>
      <c r="F839" s="170" t="n">
        <v>46201.79085648148</v>
      </c>
      <c r="G839" s="13" t="inlineStr">
        <is>
          <t>FREE</t>
        </is>
      </c>
      <c r="H839" s="170" t="n">
        <v>46202.7921412037</v>
      </c>
    </row>
    <row r="840">
      <c r="A840" s="13" t="inlineStr">
        <is>
          <t>MK00154</t>
        </is>
      </c>
      <c r="B840" s="13" t="n">
        <v>528000262</v>
      </c>
      <c r="C840" s="13" t="inlineStr">
        <is>
          <t>Ndari Dwiwanti</t>
        </is>
      </c>
      <c r="D840" s="13" t="inlineStr">
        <is>
          <t>PROD</t>
        </is>
      </c>
      <c r="E840" s="13" t="inlineStr">
        <is>
          <t>Produksi Harian</t>
        </is>
      </c>
      <c r="F840" s="170" t="n">
        <v>46201.98319444444</v>
      </c>
      <c r="G840" s="13" t="inlineStr">
        <is>
          <t>FREE</t>
        </is>
      </c>
      <c r="H840" s="170" t="n">
        <v>46202.33409722222</v>
      </c>
    </row>
    <row r="841">
      <c r="A841" s="13" t="inlineStr">
        <is>
          <t>MK00199</t>
        </is>
      </c>
      <c r="B841" s="13" t="n">
        <v>528000306</v>
      </c>
      <c r="C841" s="13" t="inlineStr">
        <is>
          <t>Windy Olivia</t>
        </is>
      </c>
      <c r="D841" s="13" t="inlineStr">
        <is>
          <t>PROD</t>
        </is>
      </c>
      <c r="E841" s="13" t="inlineStr">
        <is>
          <t>Produksi Harian</t>
        </is>
      </c>
      <c r="F841" s="170" t="n">
        <v>46201.98471064815</v>
      </c>
      <c r="G841" s="13" t="inlineStr">
        <is>
          <t>FREE</t>
        </is>
      </c>
      <c r="H841" s="170" t="n">
        <v>46202.33435185185</v>
      </c>
    </row>
    <row r="842">
      <c r="A842" s="13" t="inlineStr">
        <is>
          <t>MK00082</t>
        </is>
      </c>
      <c r="B842" s="13" t="n">
        <v>528000358</v>
      </c>
      <c r="C842" s="13" t="inlineStr">
        <is>
          <t>Lulu Agustin</t>
        </is>
      </c>
      <c r="D842" s="13" t="inlineStr">
        <is>
          <t>PROD</t>
        </is>
      </c>
      <c r="E842" s="13" t="inlineStr">
        <is>
          <t>Produksi Harian</t>
        </is>
      </c>
      <c r="F842" s="170" t="n">
        <v>46201.98634259259</v>
      </c>
      <c r="G842" s="13" t="inlineStr">
        <is>
          <t>FREE</t>
        </is>
      </c>
      <c r="H842" s="170" t="n">
        <v>46202.33450231481</v>
      </c>
    </row>
    <row r="843">
      <c r="A843" s="13" t="inlineStr">
        <is>
          <t>MK00202</t>
        </is>
      </c>
      <c r="B843" s="13" t="n">
        <v>528000283</v>
      </c>
      <c r="C843" s="13" t="inlineStr">
        <is>
          <t>Purwanda Sugiri</t>
        </is>
      </c>
      <c r="D843" s="13" t="inlineStr">
        <is>
          <t>LOG</t>
        </is>
      </c>
      <c r="E843" s="13" t="inlineStr">
        <is>
          <t>WRM Harian</t>
        </is>
      </c>
      <c r="F843" s="170" t="n">
        <v>46201.98987268518</v>
      </c>
      <c r="G843" s="13" t="inlineStr">
        <is>
          <t>FREE</t>
        </is>
      </c>
      <c r="H843" s="170" t="n">
        <v>46202.335</v>
      </c>
    </row>
    <row r="844">
      <c r="A844" s="13" t="inlineStr">
        <is>
          <t>MK00235</t>
        </is>
      </c>
      <c r="B844" s="13" t="n">
        <v>528000266</v>
      </c>
      <c r="C844" s="13" t="inlineStr">
        <is>
          <t>M. Syirajatieq</t>
        </is>
      </c>
      <c r="D844" s="13" t="inlineStr">
        <is>
          <t>LOG</t>
        </is>
      </c>
      <c r="E844" s="13" t="inlineStr">
        <is>
          <t>WFG Harian</t>
        </is>
      </c>
      <c r="F844" s="170" t="n">
        <v>46201.98998842593</v>
      </c>
      <c r="G844" s="13" t="inlineStr">
        <is>
          <t>FREE</t>
        </is>
      </c>
      <c r="H844" s="170" t="n">
        <v>46202.34458333333</v>
      </c>
    </row>
    <row r="845">
      <c r="A845" s="13" t="inlineStr">
        <is>
          <t>MK00138</t>
        </is>
      </c>
      <c r="B845" s="13" t="n">
        <v>528000291</v>
      </c>
      <c r="C845" s="13" t="inlineStr">
        <is>
          <t>Andrian</t>
        </is>
      </c>
      <c r="D845" s="13" t="inlineStr">
        <is>
          <t>PROD</t>
        </is>
      </c>
      <c r="E845" s="13" t="inlineStr">
        <is>
          <t>Produksi Harian</t>
        </is>
      </c>
      <c r="F845" s="170" t="n">
        <v>46201.99091435185</v>
      </c>
      <c r="G845" s="13" t="inlineStr">
        <is>
          <t>FREE</t>
        </is>
      </c>
      <c r="H845" s="170" t="n">
        <v>46202.33474537037</v>
      </c>
    </row>
    <row r="846">
      <c r="A846" s="13" t="inlineStr">
        <is>
          <t>MK00213</t>
        </is>
      </c>
      <c r="B846" s="13" t="n">
        <v>528000261</v>
      </c>
      <c r="C846" s="13" t="inlineStr">
        <is>
          <t>Ergi Ergianto</t>
        </is>
      </c>
      <c r="D846" s="13" t="inlineStr">
        <is>
          <t>HRGA</t>
        </is>
      </c>
      <c r="E846" s="13" t="inlineStr">
        <is>
          <t>GA Harian</t>
        </is>
      </c>
      <c r="F846" s="170" t="n">
        <v>46201.9928125</v>
      </c>
      <c r="G846" s="13" t="inlineStr">
        <is>
          <t>FREE</t>
        </is>
      </c>
      <c r="H846" s="170" t="n">
        <v>46202.33511574074</v>
      </c>
    </row>
    <row r="847">
      <c r="A847" s="13" t="inlineStr">
        <is>
          <t>MK00156</t>
        </is>
      </c>
      <c r="B847" s="13" t="n">
        <v>528000273</v>
      </c>
      <c r="C847" s="13" t="inlineStr">
        <is>
          <t>Asep Mulyana</t>
        </is>
      </c>
      <c r="D847" s="13" t="inlineStr">
        <is>
          <t>PROD</t>
        </is>
      </c>
      <c r="E847" s="13" t="inlineStr">
        <is>
          <t>Produksi Harian</t>
        </is>
      </c>
      <c r="F847" s="170" t="n">
        <v>46202.0703125</v>
      </c>
      <c r="G847" s="13" t="inlineStr">
        <is>
          <t>FREE</t>
        </is>
      </c>
      <c r="H847" s="170" t="n">
        <v>46202.42628472222</v>
      </c>
    </row>
    <row r="848">
      <c r="A848" s="13" t="inlineStr">
        <is>
          <t>MK00092</t>
        </is>
      </c>
      <c r="B848" s="13" t="n">
        <v>528000055</v>
      </c>
      <c r="C848" s="13" t="inlineStr">
        <is>
          <t>Dika Prasetya</t>
        </is>
      </c>
      <c r="D848" s="13" t="inlineStr">
        <is>
          <t>LOG</t>
        </is>
      </c>
      <c r="E848" s="13" t="inlineStr">
        <is>
          <t>WRM Harian</t>
        </is>
      </c>
      <c r="F848" s="170" t="n">
        <v>46202.07138888889</v>
      </c>
      <c r="G848" s="13" t="inlineStr">
        <is>
          <t>FREE</t>
        </is>
      </c>
      <c r="H848" s="170" t="n">
        <v>46202.42568287037</v>
      </c>
    </row>
    <row r="849">
      <c r="A849" s="13" t="inlineStr">
        <is>
          <t>MK00109</t>
        </is>
      </c>
      <c r="B849" s="13" t="n">
        <v>528000232</v>
      </c>
      <c r="C849" s="13" t="inlineStr">
        <is>
          <t>Agung Aji Suhada</t>
        </is>
      </c>
      <c r="D849" s="13" t="inlineStr">
        <is>
          <t>LOG</t>
        </is>
      </c>
      <c r="E849" s="13" t="inlineStr">
        <is>
          <t>WRM Harian</t>
        </is>
      </c>
      <c r="F849" s="170" t="n">
        <v>46202.07902777778</v>
      </c>
      <c r="G849" s="13" t="inlineStr">
        <is>
          <t>FREE</t>
        </is>
      </c>
      <c r="H849" s="170" t="n">
        <v>46202.41743055556</v>
      </c>
    </row>
    <row r="850">
      <c r="A850" s="13" t="inlineStr">
        <is>
          <t>MK00230</t>
        </is>
      </c>
      <c r="B850" s="13" t="n">
        <v>528000267</v>
      </c>
      <c r="C850" s="13" t="inlineStr">
        <is>
          <t>Bagas Patulloh</t>
        </is>
      </c>
      <c r="D850" s="13" t="inlineStr">
        <is>
          <t>LOG</t>
        </is>
      </c>
      <c r="E850" s="13" t="inlineStr">
        <is>
          <t>WRM Harian</t>
        </is>
      </c>
      <c r="F850" s="170" t="n">
        <v>46202.08452546296</v>
      </c>
      <c r="G850" s="13" t="inlineStr">
        <is>
          <t>FREE</t>
        </is>
      </c>
      <c r="H850" s="170" t="n">
        <v>46202.4190162037</v>
      </c>
    </row>
    <row r="851">
      <c r="A851" s="13" t="inlineStr">
        <is>
          <t>MK00085</t>
        </is>
      </c>
      <c r="B851" s="13" t="n">
        <v>628000061</v>
      </c>
      <c r="C851" s="13" t="inlineStr">
        <is>
          <t>Nayla Fadillah Exwantoro</t>
        </is>
      </c>
      <c r="D851" s="13" t="inlineStr">
        <is>
          <t>PROD</t>
        </is>
      </c>
      <c r="E851" s="13" t="inlineStr">
        <is>
          <t>Produksi Borongan</t>
        </is>
      </c>
      <c r="F851" s="170" t="n">
        <v>46202.28905092592</v>
      </c>
      <c r="G851" s="13" t="inlineStr">
        <is>
          <t>FREE</t>
        </is>
      </c>
      <c r="H851" s="170" t="n">
        <v>46202.68645833333</v>
      </c>
    </row>
    <row r="852">
      <c r="A852" s="13" t="inlineStr">
        <is>
          <t>MK00134</t>
        </is>
      </c>
      <c r="B852" s="13" t="n">
        <v>528000098</v>
      </c>
      <c r="C852" s="13" t="inlineStr">
        <is>
          <t>Edi Junaedi</t>
        </is>
      </c>
      <c r="D852" s="13" t="inlineStr">
        <is>
          <t>PROD</t>
        </is>
      </c>
      <c r="E852" s="13" t="inlineStr">
        <is>
          <t>Produksi Harian</t>
        </is>
      </c>
      <c r="F852" s="170" t="n">
        <v>46202.30577546296</v>
      </c>
      <c r="G852" s="13" t="inlineStr">
        <is>
          <t>FREE</t>
        </is>
      </c>
      <c r="H852" s="170" t="n">
        <v>46202.98657407407</v>
      </c>
    </row>
    <row r="853">
      <c r="A853" s="13" t="inlineStr">
        <is>
          <t>MK00158</t>
        </is>
      </c>
      <c r="B853" s="13" t="n">
        <v>528000299</v>
      </c>
      <c r="C853" s="13" t="inlineStr">
        <is>
          <t>Siti Nurjanah</t>
        </is>
      </c>
      <c r="D853" s="13" t="inlineStr">
        <is>
          <t>PROD</t>
        </is>
      </c>
      <c r="E853" s="13" t="inlineStr">
        <is>
          <t>Produksi Harian</t>
        </is>
      </c>
      <c r="F853" s="170" t="n">
        <v>46202.31719907407</v>
      </c>
      <c r="G853" s="13" t="inlineStr">
        <is>
          <t>FREE</t>
        </is>
      </c>
      <c r="H853" s="170" t="n">
        <v>46202.67005787037</v>
      </c>
    </row>
    <row r="854">
      <c r="A854" s="13" t="inlineStr">
        <is>
          <t>MK00148</t>
        </is>
      </c>
      <c r="B854" s="13" t="n">
        <v>528000305</v>
      </c>
      <c r="C854" s="13" t="inlineStr">
        <is>
          <t>Puji Puspita</t>
        </is>
      </c>
      <c r="D854" s="13" t="inlineStr">
        <is>
          <t>PROD</t>
        </is>
      </c>
      <c r="E854" s="13" t="inlineStr">
        <is>
          <t>Produksi Harian</t>
        </is>
      </c>
      <c r="F854" s="170" t="n">
        <v>46202.31966435185</v>
      </c>
      <c r="G854" s="13" t="inlineStr">
        <is>
          <t>FREE</t>
        </is>
      </c>
      <c r="H854" s="170" t="n">
        <v>46202.67075231481</v>
      </c>
    </row>
    <row r="855">
      <c r="A855" s="13" t="inlineStr">
        <is>
          <t>MK00209</t>
        </is>
      </c>
      <c r="B855" s="13" t="n">
        <v>528000298</v>
      </c>
      <c r="C855" s="13" t="inlineStr">
        <is>
          <t>Desta Cahaya Pratama</t>
        </is>
      </c>
      <c r="D855" s="13" t="inlineStr">
        <is>
          <t>PROD</t>
        </is>
      </c>
      <c r="E855" s="13" t="inlineStr">
        <is>
          <t>Produksi Harian</t>
        </is>
      </c>
      <c r="F855" s="170" t="n">
        <v>46202.32084490741</v>
      </c>
      <c r="G855" s="13" t="inlineStr">
        <is>
          <t>FREE</t>
        </is>
      </c>
      <c r="H855" s="170" t="n">
        <v>46202.6691087963</v>
      </c>
    </row>
    <row r="856">
      <c r="A856" s="13" t="inlineStr">
        <is>
          <t>MK00208</t>
        </is>
      </c>
      <c r="B856" s="13" t="n">
        <v>528000302</v>
      </c>
      <c r="C856" s="13" t="inlineStr">
        <is>
          <t>Henkey gumilar</t>
        </is>
      </c>
      <c r="D856" s="13" t="inlineStr">
        <is>
          <t>PROD</t>
        </is>
      </c>
      <c r="E856" s="13" t="inlineStr">
        <is>
          <t>Produksi Harian</t>
        </is>
      </c>
      <c r="F856" s="170" t="n">
        <v>46202.32335648148</v>
      </c>
      <c r="G856" s="13" t="inlineStr">
        <is>
          <t>FREE</t>
        </is>
      </c>
      <c r="H856" s="170" t="n">
        <v>46202.67525462963</v>
      </c>
    </row>
    <row r="857">
      <c r="A857" s="13" t="inlineStr">
        <is>
          <t>MK00249</t>
        </is>
      </c>
      <c r="B857" s="13" t="n">
        <v>528000270</v>
      </c>
      <c r="C857" s="13" t="inlineStr">
        <is>
          <t>Febri Najmudin</t>
        </is>
      </c>
      <c r="D857" s="13" t="inlineStr">
        <is>
          <t>LOG</t>
        </is>
      </c>
      <c r="E857" s="13" t="inlineStr">
        <is>
          <t>WRM Harian</t>
        </is>
      </c>
      <c r="F857" s="170" t="n">
        <v>46202.32405092593</v>
      </c>
      <c r="G857" s="13" t="inlineStr">
        <is>
          <t>FREE</t>
        </is>
      </c>
      <c r="H857" s="170" t="n">
        <v>46202.67925925926</v>
      </c>
    </row>
    <row r="858">
      <c r="A858" s="13" t="inlineStr">
        <is>
          <t>MK00136</t>
        </is>
      </c>
      <c r="B858" s="13" t="n">
        <v>528000244</v>
      </c>
      <c r="C858" s="13" t="inlineStr">
        <is>
          <t>Rodian Rifai</t>
        </is>
      </c>
      <c r="D858" s="13" t="inlineStr">
        <is>
          <t>PROD</t>
        </is>
      </c>
      <c r="E858" s="13" t="inlineStr">
        <is>
          <t>Produksi Harian</t>
        </is>
      </c>
      <c r="F858" s="170" t="n">
        <v>46202.65530092592</v>
      </c>
      <c r="G858" s="13" t="inlineStr">
        <is>
          <t>FREE</t>
        </is>
      </c>
      <c r="H858" s="170" t="n">
        <v>46203.06663194444</v>
      </c>
    </row>
    <row r="859">
      <c r="A859" s="13" t="inlineStr">
        <is>
          <t>MK00230</t>
        </is>
      </c>
      <c r="B859" s="13" t="n">
        <v>528000286</v>
      </c>
      <c r="C859" s="13" t="inlineStr">
        <is>
          <t>Imelda Amelia</t>
        </is>
      </c>
      <c r="D859" s="13" t="inlineStr">
        <is>
          <t>PROD</t>
        </is>
      </c>
      <c r="E859" s="13" t="inlineStr">
        <is>
          <t>Produksi Harian</t>
        </is>
      </c>
      <c r="F859" s="170" t="n">
        <v>46202.65784722222</v>
      </c>
      <c r="G859" s="13" t="inlineStr">
        <is>
          <t>FREE</t>
        </is>
      </c>
      <c r="H859" s="170" t="n">
        <v>46203.00506944444</v>
      </c>
    </row>
    <row r="860">
      <c r="A860" s="13" t="inlineStr">
        <is>
          <t>MK00130</t>
        </is>
      </c>
      <c r="B860" s="13" t="n">
        <v>528000228</v>
      </c>
      <c r="C860" s="13" t="inlineStr">
        <is>
          <t>Banyu Resmi Putri</t>
        </is>
      </c>
      <c r="D860" s="13" t="inlineStr">
        <is>
          <t>PROD</t>
        </is>
      </c>
      <c r="E860" s="13" t="inlineStr">
        <is>
          <t>Produksi Harian</t>
        </is>
      </c>
      <c r="F860" s="170" t="n">
        <v>46202.65884259259</v>
      </c>
      <c r="G860" s="13" t="inlineStr">
        <is>
          <t>FREE</t>
        </is>
      </c>
      <c r="H860" s="170" t="n">
        <v>46203.00461805556</v>
      </c>
    </row>
    <row r="861">
      <c r="A861" s="13" t="inlineStr">
        <is>
          <t>MK00154</t>
        </is>
      </c>
      <c r="B861" s="13" t="n">
        <v>528000201</v>
      </c>
      <c r="C861" s="13" t="inlineStr">
        <is>
          <t>Zahwa Amelia Choerunissa</t>
        </is>
      </c>
      <c r="D861" s="13" t="inlineStr">
        <is>
          <t>PROD</t>
        </is>
      </c>
      <c r="E861" s="13" t="inlineStr">
        <is>
          <t>Produksi Harian</t>
        </is>
      </c>
      <c r="F861" s="170" t="n">
        <v>46202.66290509259</v>
      </c>
      <c r="G861" s="13" t="inlineStr">
        <is>
          <t>FREE</t>
        </is>
      </c>
      <c r="H861" s="170" t="n">
        <v>46203.00332175926</v>
      </c>
    </row>
    <row r="862">
      <c r="A862" s="13" t="inlineStr">
        <is>
          <t>MK00138</t>
        </is>
      </c>
      <c r="B862" s="13" t="n">
        <v>528000241</v>
      </c>
      <c r="C862" s="13" t="inlineStr">
        <is>
          <t>Balia Nurafif Bilah</t>
        </is>
      </c>
      <c r="D862" s="13" t="inlineStr">
        <is>
          <t>PROD</t>
        </is>
      </c>
      <c r="E862" s="13" t="inlineStr">
        <is>
          <t>Produksi Harian</t>
        </is>
      </c>
      <c r="F862" s="170" t="n">
        <v>46202.66295138889</v>
      </c>
      <c r="G862" s="13" t="inlineStr">
        <is>
          <t>FREE</t>
        </is>
      </c>
      <c r="H862" s="170" t="n">
        <v>46203.0025</v>
      </c>
    </row>
    <row r="863">
      <c r="A863" s="13" t="inlineStr">
        <is>
          <t>MK0093</t>
        </is>
      </c>
      <c r="B863" s="13" t="n">
        <v>528000099</v>
      </c>
      <c r="C863" s="13" t="inlineStr">
        <is>
          <t>Siti Nurawaliah</t>
        </is>
      </c>
      <c r="D863" s="13" t="inlineStr">
        <is>
          <t>PROD</t>
        </is>
      </c>
      <c r="E863" s="13" t="inlineStr">
        <is>
          <t>Produksi Harian</t>
        </is>
      </c>
      <c r="F863" s="170" t="n">
        <v>46202.66321759259</v>
      </c>
      <c r="G863" s="13" t="inlineStr">
        <is>
          <t>FREE</t>
        </is>
      </c>
      <c r="H863" s="170" t="n">
        <v>46203.00565972222</v>
      </c>
    </row>
    <row r="864">
      <c r="A864" s="13" t="inlineStr">
        <is>
          <t>MK00213</t>
        </is>
      </c>
      <c r="B864" s="13" t="n">
        <v>528000290</v>
      </c>
      <c r="C864" s="13" t="inlineStr">
        <is>
          <t>Eval Pranata</t>
        </is>
      </c>
      <c r="D864" s="13" t="inlineStr">
        <is>
          <t>PROD</t>
        </is>
      </c>
      <c r="E864" s="13" t="inlineStr">
        <is>
          <t>Produksi Harian</t>
        </is>
      </c>
      <c r="F864" s="170" t="n">
        <v>46202.66398148148</v>
      </c>
      <c r="G864" s="13" t="inlineStr">
        <is>
          <t>FREE</t>
        </is>
      </c>
      <c r="H864" s="170" t="n">
        <v>46203.00277777778</v>
      </c>
    </row>
    <row r="865">
      <c r="A865" s="13" t="inlineStr">
        <is>
          <t>MK00088</t>
        </is>
      </c>
      <c r="B865" s="13" t="n">
        <v>528000274</v>
      </c>
      <c r="C865" s="13" t="inlineStr">
        <is>
          <t>Zepri</t>
        </is>
      </c>
      <c r="D865" s="13" t="inlineStr">
        <is>
          <t>PROD</t>
        </is>
      </c>
      <c r="E865" s="13" t="inlineStr">
        <is>
          <t>Produksi Harian</t>
        </is>
      </c>
      <c r="F865" s="170" t="n">
        <v>46202.66420138889</v>
      </c>
      <c r="G865" s="13" t="inlineStr">
        <is>
          <t>FREE</t>
        </is>
      </c>
      <c r="H865" s="170" t="n">
        <v>46203.00342592593</v>
      </c>
    </row>
    <row r="866">
      <c r="A866" s="13" t="inlineStr">
        <is>
          <t>MK00185</t>
        </is>
      </c>
      <c r="B866" s="13" t="n">
        <v>528000090</v>
      </c>
      <c r="C866" s="13" t="inlineStr">
        <is>
          <t>Suganda</t>
        </is>
      </c>
      <c r="D866" s="13" t="inlineStr">
        <is>
          <t>PROD</t>
        </is>
      </c>
      <c r="E866" s="13" t="inlineStr">
        <is>
          <t>Produksi Harian</t>
        </is>
      </c>
      <c r="F866" s="170" t="n">
        <v>46202.6669212963</v>
      </c>
      <c r="G866" s="13" t="inlineStr">
        <is>
          <t>FREE</t>
        </is>
      </c>
      <c r="H866" s="170" t="n">
        <v>46203.00327546296</v>
      </c>
    </row>
    <row r="867">
      <c r="A867" s="13" t="inlineStr">
        <is>
          <t>MK00204</t>
        </is>
      </c>
      <c r="B867" s="13" t="n">
        <v>528000069</v>
      </c>
      <c r="C867" s="13" t="inlineStr">
        <is>
          <t>Jajang Ardiansyah</t>
        </is>
      </c>
      <c r="D867" s="13" t="inlineStr">
        <is>
          <t>PROD</t>
        </is>
      </c>
      <c r="E867" s="13" t="inlineStr">
        <is>
          <t>Produksi Harian</t>
        </is>
      </c>
      <c r="F867" s="170" t="n">
        <v>46202.71023148148</v>
      </c>
      <c r="G867" s="13" t="inlineStr">
        <is>
          <t>FREE</t>
        </is>
      </c>
      <c r="H867" s="170" t="n">
        <v>46203.12013888889</v>
      </c>
    </row>
    <row r="868">
      <c r="A868" s="13" t="inlineStr">
        <is>
          <t>MK00181</t>
        </is>
      </c>
      <c r="B868" s="13" t="n">
        <v>528000144</v>
      </c>
      <c r="C868" s="13" t="inlineStr">
        <is>
          <t>Jodi Hanafi</t>
        </is>
      </c>
      <c r="D868" s="13" t="inlineStr">
        <is>
          <t>LOG</t>
        </is>
      </c>
      <c r="E868" s="13" t="inlineStr">
        <is>
          <t>WRM Harian</t>
        </is>
      </c>
      <c r="F868" s="170" t="n">
        <v>46202.73795138889</v>
      </c>
      <c r="G868" s="13" t="inlineStr">
        <is>
          <t>FREE</t>
        </is>
      </c>
      <c r="H868" s="170" t="n">
        <v>46203.08806712963</v>
      </c>
    </row>
    <row r="869">
      <c r="A869" s="13" t="inlineStr">
        <is>
          <t>MK00208</t>
        </is>
      </c>
      <c r="B869" s="13" t="n">
        <v>528000265</v>
      </c>
      <c r="C869" s="13" t="inlineStr">
        <is>
          <t>Muhammad Haerul Rozikin</t>
        </is>
      </c>
      <c r="D869" s="13" t="inlineStr">
        <is>
          <t>LOG</t>
        </is>
      </c>
      <c r="E869" s="13" t="inlineStr">
        <is>
          <t>WRM Harian</t>
        </is>
      </c>
      <c r="F869" s="170" t="n">
        <v>46202.73844907407</v>
      </c>
      <c r="G869" s="13" t="inlineStr">
        <is>
          <t>FREE</t>
        </is>
      </c>
      <c r="H869" s="170" t="n">
        <v>46203.08688657408</v>
      </c>
    </row>
    <row r="870">
      <c r="A870" s="13" t="inlineStr">
        <is>
          <t>MK00209</t>
        </is>
      </c>
      <c r="B870" s="13" t="n">
        <v>528000282</v>
      </c>
      <c r="C870" s="13" t="inlineStr">
        <is>
          <t>Defa Desfiana</t>
        </is>
      </c>
      <c r="D870" s="13" t="inlineStr">
        <is>
          <t>PROD</t>
        </is>
      </c>
      <c r="E870" s="13" t="inlineStr">
        <is>
          <t>Produksi Harian</t>
        </is>
      </c>
      <c r="F870" s="170" t="n">
        <v>46202.7391087963</v>
      </c>
      <c r="G870" s="13" t="inlineStr">
        <is>
          <t>FREE</t>
        </is>
      </c>
      <c r="H870" s="170" t="n">
        <v>46203.08417824074</v>
      </c>
    </row>
    <row r="871">
      <c r="A871" s="13" t="inlineStr">
        <is>
          <t>MK00118</t>
        </is>
      </c>
      <c r="B871" s="13" t="n">
        <v>528000015</v>
      </c>
      <c r="C871" s="13" t="inlineStr">
        <is>
          <t>Erwin</t>
        </is>
      </c>
      <c r="D871" s="13" t="inlineStr">
        <is>
          <t>LOG</t>
        </is>
      </c>
      <c r="E871" s="13" t="inlineStr">
        <is>
          <t>WRM Harian</t>
        </is>
      </c>
      <c r="F871" s="170" t="n">
        <v>46202.74126157408</v>
      </c>
      <c r="G871" s="13" t="inlineStr">
        <is>
          <t>FREE</t>
        </is>
      </c>
      <c r="H871" s="170" t="n">
        <v>46203.08847222223</v>
      </c>
    </row>
    <row r="872">
      <c r="A872" s="13" t="inlineStr">
        <is>
          <t>MK00212</t>
        </is>
      </c>
      <c r="B872" s="13" t="n">
        <v>528000149</v>
      </c>
      <c r="C872" s="13" t="inlineStr">
        <is>
          <t>Tio Fernanda</t>
        </is>
      </c>
      <c r="D872" s="13" t="inlineStr">
        <is>
          <t>LOG</t>
        </is>
      </c>
      <c r="E872" s="13" t="inlineStr">
        <is>
          <t>WRM Harian</t>
        </is>
      </c>
      <c r="F872" s="170" t="n">
        <v>46202.78590277778</v>
      </c>
      <c r="G872" s="13" t="inlineStr">
        <is>
          <t>FREE</t>
        </is>
      </c>
      <c r="H872" s="170" t="n">
        <v>46202.98684027778</v>
      </c>
    </row>
    <row r="873">
      <c r="A873" s="13" t="inlineStr">
        <is>
          <t>MK00228</t>
        </is>
      </c>
      <c r="B873" s="13" t="n">
        <v>528000132</v>
      </c>
      <c r="C873" s="13" t="inlineStr">
        <is>
          <t>Giopani</t>
        </is>
      </c>
      <c r="D873" s="13" t="inlineStr">
        <is>
          <t>LOG</t>
        </is>
      </c>
      <c r="E873" s="13" t="inlineStr">
        <is>
          <t>WRM Harian</t>
        </is>
      </c>
      <c r="F873" s="170" t="n">
        <v>46202.78825231481</v>
      </c>
      <c r="G873" s="13" t="inlineStr">
        <is>
          <t>FREE</t>
        </is>
      </c>
      <c r="H873" s="170" t="n">
        <v>46029.36626157408</v>
      </c>
    </row>
    <row r="874">
      <c r="A874" s="13" t="inlineStr">
        <is>
          <t>MK00205</t>
        </is>
      </c>
      <c r="B874" s="13" t="n">
        <v>528000348</v>
      </c>
      <c r="C874" s="13" t="inlineStr">
        <is>
          <t>Saepuloh Ardiansah</t>
        </is>
      </c>
      <c r="D874" s="13" t="inlineStr">
        <is>
          <t>LOG</t>
        </is>
      </c>
      <c r="E874" s="13" t="inlineStr">
        <is>
          <t>WRM Harian</t>
        </is>
      </c>
      <c r="F874" s="170" t="n">
        <v>46202.79298611111</v>
      </c>
      <c r="G874" s="13" t="inlineStr">
        <is>
          <t>FREE</t>
        </is>
      </c>
      <c r="H874" s="170" t="n">
        <v>46203.14701388889</v>
      </c>
    </row>
    <row r="875">
      <c r="A875" s="13" t="inlineStr">
        <is>
          <t>MK00249</t>
        </is>
      </c>
      <c r="B875" s="13" t="n">
        <v>528000052</v>
      </c>
      <c r="C875" s="13" t="inlineStr">
        <is>
          <t>Mustopa</t>
        </is>
      </c>
      <c r="D875" s="13" t="inlineStr">
        <is>
          <t>PROD</t>
        </is>
      </c>
      <c r="E875" s="13" t="inlineStr">
        <is>
          <t>Produksi Harian</t>
        </is>
      </c>
      <c r="F875" s="170" t="n">
        <v>46202.96149305555</v>
      </c>
      <c r="G875" s="13" t="inlineStr">
        <is>
          <t>FREE</t>
        </is>
      </c>
      <c r="H875" s="170" t="n">
        <v>46203.33479166667</v>
      </c>
    </row>
    <row r="876">
      <c r="A876" s="13" t="inlineStr">
        <is>
          <t>MK00095</t>
        </is>
      </c>
      <c r="B876" s="13" t="n">
        <v>528000358</v>
      </c>
      <c r="C876" s="13" t="inlineStr">
        <is>
          <t>Lulu Agustin</t>
        </is>
      </c>
      <c r="D876" s="13" t="inlineStr">
        <is>
          <t>PROD</t>
        </is>
      </c>
      <c r="E876" s="13" t="inlineStr">
        <is>
          <t>Produksi Harian</t>
        </is>
      </c>
      <c r="F876" s="170" t="n">
        <v>46202.98203703704</v>
      </c>
      <c r="G876" s="13" t="inlineStr">
        <is>
          <t>FREE</t>
        </is>
      </c>
      <c r="H876" s="170" t="n">
        <v>46203.33407407408</v>
      </c>
    </row>
    <row r="877">
      <c r="A877" s="13" t="inlineStr">
        <is>
          <t>MK00151</t>
        </is>
      </c>
      <c r="B877" s="13" t="n">
        <v>528000195</v>
      </c>
      <c r="C877" s="13" t="inlineStr">
        <is>
          <t>Rahma Sariwati</t>
        </is>
      </c>
      <c r="D877" s="13" t="inlineStr">
        <is>
          <t>PROD</t>
        </is>
      </c>
      <c r="E877" s="13" t="inlineStr">
        <is>
          <t>Produksi Harian</t>
        </is>
      </c>
      <c r="F877" s="170" t="n">
        <v>46202.98363425926</v>
      </c>
      <c r="G877" s="13" t="inlineStr">
        <is>
          <t>FREE</t>
        </is>
      </c>
      <c r="H877" s="170" t="n">
        <v>46203.33564814815</v>
      </c>
    </row>
    <row r="878">
      <c r="A878" s="13" t="inlineStr">
        <is>
          <t>MK00134</t>
        </is>
      </c>
      <c r="B878" s="13" t="n">
        <v>528000262</v>
      </c>
      <c r="C878" s="13" t="inlineStr">
        <is>
          <t>Ndari Dwiwanti</t>
        </is>
      </c>
      <c r="D878" s="13" t="inlineStr">
        <is>
          <t>PROD</t>
        </is>
      </c>
      <c r="E878" s="13" t="inlineStr">
        <is>
          <t>Produksi Harian</t>
        </is>
      </c>
      <c r="F878" s="170" t="n">
        <v>46202.98675925926</v>
      </c>
      <c r="G878" s="13" t="inlineStr">
        <is>
          <t>FREE</t>
        </is>
      </c>
      <c r="H878" s="170" t="n">
        <v>46203.33395833334</v>
      </c>
    </row>
    <row r="879">
      <c r="A879" s="13" t="inlineStr">
        <is>
          <t>MK00145</t>
        </is>
      </c>
      <c r="B879" s="13" t="n">
        <v>528000283</v>
      </c>
      <c r="C879" s="13" t="inlineStr">
        <is>
          <t>Purwanda Sugiri</t>
        </is>
      </c>
      <c r="D879" s="13" t="inlineStr">
        <is>
          <t>LOG</t>
        </is>
      </c>
      <c r="E879" s="13" t="inlineStr">
        <is>
          <t>WRM Harian</t>
        </is>
      </c>
      <c r="F879" s="170" t="n">
        <v>46202.98722222223</v>
      </c>
      <c r="G879" s="13" t="inlineStr">
        <is>
          <t>FREE</t>
        </is>
      </c>
      <c r="H879" s="170" t="n">
        <v>46203.33532407408</v>
      </c>
    </row>
    <row r="880">
      <c r="A880" s="13" t="inlineStr">
        <is>
          <t>MK00212</t>
        </is>
      </c>
      <c r="B880" s="13" t="n">
        <v>528000288</v>
      </c>
      <c r="C880" s="13" t="inlineStr">
        <is>
          <t>Dede gunawan</t>
        </is>
      </c>
      <c r="D880" s="13" t="inlineStr">
        <is>
          <t>PROD</t>
        </is>
      </c>
      <c r="E880" s="13" t="inlineStr">
        <is>
          <t>Produksi Harian</t>
        </is>
      </c>
      <c r="F880" s="170" t="n">
        <v>46202.9887962963</v>
      </c>
      <c r="G880" s="13" t="inlineStr">
        <is>
          <t>FREE</t>
        </is>
      </c>
      <c r="H880" s="170" t="n">
        <v>46202.98912037037</v>
      </c>
    </row>
    <row r="881">
      <c r="A881" s="13" t="inlineStr">
        <is>
          <t>MK00212</t>
        </is>
      </c>
      <c r="B881" s="13" t="n">
        <v>528000291</v>
      </c>
      <c r="C881" s="13" t="inlineStr">
        <is>
          <t>Andrian</t>
        </is>
      </c>
      <c r="D881" s="13" t="inlineStr">
        <is>
          <t>PROD</t>
        </is>
      </c>
      <c r="E881" s="13" t="inlineStr">
        <is>
          <t>Produksi Harian</t>
        </is>
      </c>
      <c r="F881" s="170" t="n">
        <v>46202.9894212963</v>
      </c>
      <c r="G881" s="13" t="inlineStr">
        <is>
          <t>FREE</t>
        </is>
      </c>
      <c r="H881" s="170" t="n">
        <v>46203.13369212963</v>
      </c>
    </row>
    <row r="882">
      <c r="A882" s="13" t="inlineStr">
        <is>
          <t>MK0008</t>
        </is>
      </c>
      <c r="B882" s="13" t="n">
        <v>528000266</v>
      </c>
      <c r="C882" s="13" t="inlineStr">
        <is>
          <t>M. Syirajatieq</t>
        </is>
      </c>
      <c r="D882" s="13" t="inlineStr">
        <is>
          <t>LOG</t>
        </is>
      </c>
      <c r="E882" s="13" t="inlineStr">
        <is>
          <t>WFG Harian</t>
        </is>
      </c>
      <c r="F882" s="170" t="n">
        <v>46202.99019675926</v>
      </c>
      <c r="G882" s="13" t="inlineStr">
        <is>
          <t>FREE</t>
        </is>
      </c>
      <c r="H882" s="170" t="n">
        <v>46029.57119212963</v>
      </c>
    </row>
    <row r="883">
      <c r="A883" s="13" t="inlineStr">
        <is>
          <t>MK00250</t>
        </is>
      </c>
      <c r="B883" s="13" t="n">
        <v>528000261</v>
      </c>
      <c r="C883" s="13" t="inlineStr">
        <is>
          <t>Ergi Ergianto</t>
        </is>
      </c>
      <c r="D883" s="13" t="inlineStr">
        <is>
          <t>HRGA</t>
        </is>
      </c>
      <c r="E883" s="13" t="inlineStr">
        <is>
          <t>GA Harian</t>
        </is>
      </c>
      <c r="F883" s="170" t="n">
        <v>46202.99092592593</v>
      </c>
      <c r="G883" s="13" t="inlineStr">
        <is>
          <t>FREE</t>
        </is>
      </c>
      <c r="H883" s="170" t="n">
        <v>46203.33582175926</v>
      </c>
    </row>
    <row r="884">
      <c r="A884" s="13" t="inlineStr">
        <is>
          <t>MK00156</t>
        </is>
      </c>
      <c r="B884" s="13" t="n">
        <v>528000273</v>
      </c>
      <c r="C884" s="13" t="inlineStr">
        <is>
          <t>Asep Mulyana</t>
        </is>
      </c>
      <c r="D884" s="13" t="inlineStr">
        <is>
          <t>PROD</t>
        </is>
      </c>
      <c r="E884" s="13" t="inlineStr">
        <is>
          <t>Produksi Harian</t>
        </is>
      </c>
      <c r="F884" s="170" t="n">
        <v>46203.06891203704</v>
      </c>
      <c r="G884" s="13" t="inlineStr">
        <is>
          <t>FREE</t>
        </is>
      </c>
      <c r="H884" s="170" t="n">
        <v>46029.02979166667</v>
      </c>
    </row>
    <row r="885">
      <c r="A885" s="13" t="inlineStr">
        <is>
          <t>MK00092</t>
        </is>
      </c>
      <c r="B885" s="13" t="n">
        <v>528000055</v>
      </c>
      <c r="C885" s="13" t="inlineStr">
        <is>
          <t>Dika Prasetya</t>
        </is>
      </c>
      <c r="D885" s="13" t="inlineStr">
        <is>
          <t>LOG</t>
        </is>
      </c>
      <c r="E885" s="13" t="inlineStr">
        <is>
          <t>WRM Harian</t>
        </is>
      </c>
      <c r="F885" s="170" t="n">
        <v>46203.06995370371</v>
      </c>
      <c r="G885" s="13" t="inlineStr">
        <is>
          <t>FREE</t>
        </is>
      </c>
      <c r="H885" s="170" t="n">
        <v>46029.02928240741</v>
      </c>
    </row>
    <row r="886">
      <c r="A886" s="13" t="inlineStr">
        <is>
          <t>MK00109</t>
        </is>
      </c>
      <c r="B886" s="13" t="n">
        <v>528000232</v>
      </c>
      <c r="C886" s="13" t="inlineStr">
        <is>
          <t>Agung Aji Suhada</t>
        </is>
      </c>
      <c r="D886" s="13" t="inlineStr">
        <is>
          <t>LOG</t>
        </is>
      </c>
      <c r="E886" s="13" t="inlineStr">
        <is>
          <t>WRM Harian</t>
        </is>
      </c>
      <c r="F886" s="170" t="n">
        <v>46203.0799537037</v>
      </c>
      <c r="G886" s="13" t="inlineStr">
        <is>
          <t>FREE</t>
        </is>
      </c>
      <c r="H886" s="170" t="n">
        <v>46029.0008912037</v>
      </c>
    </row>
    <row r="887">
      <c r="A887" s="13" t="inlineStr">
        <is>
          <t>MK00136</t>
        </is>
      </c>
      <c r="B887" s="13" t="n">
        <v>528000267</v>
      </c>
      <c r="C887" s="13" t="inlineStr">
        <is>
          <t>Bagas Patulloh</t>
        </is>
      </c>
      <c r="D887" s="13" t="inlineStr">
        <is>
          <t>LOG</t>
        </is>
      </c>
      <c r="E887" s="13" t="inlineStr">
        <is>
          <t>WRM Harian</t>
        </is>
      </c>
      <c r="F887" s="170" t="n">
        <v>46203.08268518518</v>
      </c>
      <c r="G887" s="13" t="inlineStr">
        <is>
          <t>FREE</t>
        </is>
      </c>
      <c r="H887" s="170" t="n">
        <v>46029.00101851852</v>
      </c>
    </row>
    <row r="888">
      <c r="A888" s="13" t="inlineStr">
        <is>
          <t>MK00116</t>
        </is>
      </c>
      <c r="B888" s="13" t="n">
        <v>528000248</v>
      </c>
      <c r="C888" s="13" t="inlineStr">
        <is>
          <t>Roka Jaya Salka Mulya</t>
        </is>
      </c>
      <c r="D888" s="13" t="inlineStr">
        <is>
          <t>PROD</t>
        </is>
      </c>
      <c r="E888" s="13" t="inlineStr">
        <is>
          <t>Produksi Harian</t>
        </is>
      </c>
      <c r="F888" s="170" t="n">
        <v>46203.3178587963</v>
      </c>
      <c r="G888" s="13" t="inlineStr">
        <is>
          <t>FREE</t>
        </is>
      </c>
      <c r="H888" s="170" t="n">
        <v>46029.25017361111</v>
      </c>
    </row>
    <row r="889">
      <c r="A889" s="13" t="inlineStr">
        <is>
          <t>MK00113</t>
        </is>
      </c>
      <c r="B889" s="13" t="n">
        <v>628000064</v>
      </c>
      <c r="C889" s="13" t="inlineStr">
        <is>
          <t>Silva Alypia</t>
        </is>
      </c>
      <c r="D889" s="13" t="inlineStr">
        <is>
          <t>PROD</t>
        </is>
      </c>
      <c r="E889" s="13" t="inlineStr">
        <is>
          <t>Produksi Borongan</t>
        </is>
      </c>
      <c r="F889" s="170" t="n">
        <v>46203.32682870371</v>
      </c>
      <c r="G889" s="13" t="inlineStr">
        <is>
          <t>FREE</t>
        </is>
      </c>
      <c r="H889" s="170" t="n">
        <v>46029.25203703704</v>
      </c>
    </row>
    <row r="890">
      <c r="A890" s="13" t="inlineStr">
        <is>
          <t>MK00210</t>
        </is>
      </c>
      <c r="B890" s="13" t="n">
        <v>528000300</v>
      </c>
      <c r="C890" s="13" t="inlineStr">
        <is>
          <t>Lia pitaloka</t>
        </is>
      </c>
      <c r="D890" s="13" t="inlineStr">
        <is>
          <t>PROD</t>
        </is>
      </c>
      <c r="E890" s="13" t="inlineStr">
        <is>
          <t>Produksi Harian</t>
        </is>
      </c>
      <c r="F890" s="170" t="n">
        <v>46203.32689814815</v>
      </c>
      <c r="G890" s="13" t="inlineStr">
        <is>
          <t>FREE</t>
        </is>
      </c>
      <c r="H890" s="170" t="n">
        <v>46029.25200231482</v>
      </c>
    </row>
    <row r="891">
      <c r="A891" s="13" t="inlineStr">
        <is>
          <t>MK00221</t>
        </is>
      </c>
      <c r="B891" s="13" t="n">
        <v>528000279</v>
      </c>
      <c r="C891" s="13" t="inlineStr">
        <is>
          <t>Mahdalena Dalfa Riani</t>
        </is>
      </c>
      <c r="D891" s="13" t="inlineStr">
        <is>
          <t>PROD</t>
        </is>
      </c>
      <c r="E891" s="13" t="inlineStr">
        <is>
          <t>Produksi Harian</t>
        </is>
      </c>
      <c r="F891" s="170" t="n">
        <v>46203.32726851852</v>
      </c>
      <c r="G891" s="13" t="inlineStr">
        <is>
          <t>FREE</t>
        </is>
      </c>
      <c r="H891" s="170" t="n">
        <v>46029.25082175926</v>
      </c>
    </row>
    <row r="892">
      <c r="A892" s="13" t="inlineStr">
        <is>
          <t>MK00209</t>
        </is>
      </c>
      <c r="B892" s="13" t="n">
        <v>528000297</v>
      </c>
      <c r="C892" s="13" t="inlineStr">
        <is>
          <t>Muhamad Budiana</t>
        </is>
      </c>
      <c r="D892" s="13" t="inlineStr">
        <is>
          <t>PROD</t>
        </is>
      </c>
      <c r="E892" s="13" t="inlineStr">
        <is>
          <t>Produksi Harian</t>
        </is>
      </c>
      <c r="F892" s="170" t="n">
        <v>46203.32922453704</v>
      </c>
      <c r="G892" s="13" t="inlineStr">
        <is>
          <t>FREE</t>
        </is>
      </c>
      <c r="H892" s="170" t="n">
        <v>46029.28950231482</v>
      </c>
    </row>
    <row r="893">
      <c r="A893" s="13" t="inlineStr">
        <is>
          <t>MK00199</t>
        </is>
      </c>
      <c r="B893" s="13" t="n">
        <v>528000063</v>
      </c>
      <c r="C893" s="13" t="inlineStr">
        <is>
          <t>Muhamad Ripki Pebrian</t>
        </is>
      </c>
      <c r="D893" s="13" t="inlineStr">
        <is>
          <t>PROD</t>
        </is>
      </c>
      <c r="E893" s="13" t="inlineStr">
        <is>
          <t>Produksi Harian</t>
        </is>
      </c>
      <c r="F893" s="170" t="n">
        <v>46203.33162037037</v>
      </c>
      <c r="G893" s="13" t="inlineStr">
        <is>
          <t>FREE</t>
        </is>
      </c>
      <c r="H893" s="170" t="n">
        <v>46029.25171296296</v>
      </c>
    </row>
    <row r="894">
      <c r="A894" s="13" t="inlineStr">
        <is>
          <t>MK00212</t>
        </is>
      </c>
      <c r="B894" s="13" t="n">
        <v>528000291</v>
      </c>
      <c r="C894" s="13" t="inlineStr">
        <is>
          <t>Andrian</t>
        </is>
      </c>
      <c r="D894" s="13" t="inlineStr">
        <is>
          <t>PROD</t>
        </is>
      </c>
      <c r="E894" s="13" t="inlineStr">
        <is>
          <t>Produksi Harian</t>
        </is>
      </c>
      <c r="F894" s="170" t="n">
        <v>46203.33707175926</v>
      </c>
      <c r="G894" s="13" t="inlineStr">
        <is>
          <t>FREE</t>
        </is>
      </c>
      <c r="H894" s="170" t="n">
        <v>46203.33728009259</v>
      </c>
    </row>
    <row r="895">
      <c r="A895" s="13" t="inlineStr">
        <is>
          <t>MK00109</t>
        </is>
      </c>
      <c r="B895" s="13" t="n">
        <v>528000201</v>
      </c>
      <c r="C895" s="13" t="inlineStr">
        <is>
          <t>Zahwa Amelia Choerunissa</t>
        </is>
      </c>
      <c r="D895" s="13" t="inlineStr">
        <is>
          <t>PROD</t>
        </is>
      </c>
      <c r="E895" s="13" t="inlineStr">
        <is>
          <t>Produksi Harian</t>
        </is>
      </c>
      <c r="F895" s="170" t="n">
        <v>46029.24182870371</v>
      </c>
      <c r="G895" s="13" t="inlineStr">
        <is>
          <t>FREE</t>
        </is>
      </c>
      <c r="H895" s="170" t="n">
        <v>46029.58696759259</v>
      </c>
    </row>
    <row r="896">
      <c r="A896" s="13" t="inlineStr">
        <is>
          <t>MK00136</t>
        </is>
      </c>
      <c r="B896" s="13" t="n">
        <v>528000099</v>
      </c>
      <c r="C896" s="13" t="inlineStr">
        <is>
          <t>Siti Nurawaliah</t>
        </is>
      </c>
      <c r="D896" s="13" t="inlineStr">
        <is>
          <t>PROD</t>
        </is>
      </c>
      <c r="E896" s="13" t="inlineStr">
        <is>
          <t>Produksi Harian</t>
        </is>
      </c>
      <c r="F896" s="170" t="n">
        <v>46029.24215277778</v>
      </c>
      <c r="G896" s="13" t="inlineStr">
        <is>
          <t>FREE</t>
        </is>
      </c>
      <c r="H896" s="170" t="n">
        <v>46029.58730324074</v>
      </c>
    </row>
    <row r="897">
      <c r="A897" s="13" t="inlineStr">
        <is>
          <t>MK00151</t>
        </is>
      </c>
      <c r="B897" s="13" t="n">
        <v>528000286</v>
      </c>
      <c r="C897" s="13" t="inlineStr">
        <is>
          <t>Imelda Amelia</t>
        </is>
      </c>
      <c r="D897" s="13" t="inlineStr">
        <is>
          <t>PROD</t>
        </is>
      </c>
      <c r="E897" s="13" t="inlineStr">
        <is>
          <t>Produksi Harian</t>
        </is>
      </c>
      <c r="F897" s="170" t="n">
        <v>46029.24216435185</v>
      </c>
      <c r="G897" s="13" t="inlineStr">
        <is>
          <t>FREE</t>
        </is>
      </c>
      <c r="H897" s="170" t="n">
        <v>46029.58788194445</v>
      </c>
    </row>
    <row r="898">
      <c r="A898" s="13" t="inlineStr">
        <is>
          <t>MK00154</t>
        </is>
      </c>
      <c r="B898" s="13" t="n">
        <v>528000244</v>
      </c>
      <c r="C898" s="13" t="inlineStr">
        <is>
          <t>Rodian Rifai</t>
        </is>
      </c>
      <c r="D898" s="13" t="inlineStr">
        <is>
          <t>PROD</t>
        </is>
      </c>
      <c r="E898" s="13" t="inlineStr">
        <is>
          <t>Produksi Harian</t>
        </is>
      </c>
      <c r="F898" s="170" t="n">
        <v>46029.24262731482</v>
      </c>
      <c r="G898" s="13" t="inlineStr">
        <is>
          <t>FREE</t>
        </is>
      </c>
      <c r="H898" s="170" t="n">
        <v>46029.58664351852</v>
      </c>
    </row>
    <row r="899">
      <c r="A899" s="13" t="inlineStr">
        <is>
          <t>MHZZ145</t>
        </is>
      </c>
      <c r="B899" s="13" t="n">
        <v>528000241</v>
      </c>
      <c r="C899" s="13" t="inlineStr">
        <is>
          <t>Balia Nurafif Bilah</t>
        </is>
      </c>
      <c r="D899" s="13" t="inlineStr">
        <is>
          <t>PROD</t>
        </is>
      </c>
      <c r="E899" s="13" t="inlineStr">
        <is>
          <t>Produksi Harian</t>
        </is>
      </c>
      <c r="F899" s="170" t="n">
        <v>46029.24606481481</v>
      </c>
      <c r="G899" s="13" t="inlineStr">
        <is>
          <t>FREE</t>
        </is>
      </c>
      <c r="H899" s="170" t="n">
        <v>46029.58822916666</v>
      </c>
    </row>
    <row r="900">
      <c r="A900" s="13" t="inlineStr">
        <is>
          <t>MK00158</t>
        </is>
      </c>
      <c r="B900" s="13" t="n">
        <v>528000228</v>
      </c>
      <c r="C900" s="13" t="inlineStr">
        <is>
          <t>Banyu Resmi Putri</t>
        </is>
      </c>
      <c r="D900" s="13" t="inlineStr">
        <is>
          <t>PROD</t>
        </is>
      </c>
      <c r="E900" s="13" t="inlineStr">
        <is>
          <t>Produksi Harian</t>
        </is>
      </c>
      <c r="F900" s="170" t="n">
        <v>46029.24613425926</v>
      </c>
      <c r="G900" s="13" t="inlineStr">
        <is>
          <t>FREE</t>
        </is>
      </c>
      <c r="H900" s="170" t="n">
        <v>46029.58770833333</v>
      </c>
    </row>
    <row r="901">
      <c r="A901" s="13" t="inlineStr">
        <is>
          <t>MK00095</t>
        </is>
      </c>
      <c r="B901" s="13" t="n">
        <v>528000274</v>
      </c>
      <c r="C901" s="13" t="inlineStr">
        <is>
          <t>Zepri</t>
        </is>
      </c>
      <c r="D901" s="13" t="inlineStr">
        <is>
          <t>PROD</t>
        </is>
      </c>
      <c r="E901" s="13" t="inlineStr">
        <is>
          <t>Produksi Harian</t>
        </is>
      </c>
      <c r="F901" s="170" t="n">
        <v>46029.24668981481</v>
      </c>
      <c r="G901" s="13" t="inlineStr">
        <is>
          <t>FREE</t>
        </is>
      </c>
      <c r="H901" s="170" t="n">
        <v>46029.58668981482</v>
      </c>
    </row>
    <row r="902">
      <c r="A902" s="13" t="inlineStr">
        <is>
          <t>MK00250</t>
        </is>
      </c>
      <c r="B902" s="13" t="n">
        <v>528000290</v>
      </c>
      <c r="C902" s="13" t="inlineStr">
        <is>
          <t>Eval Pranata</t>
        </is>
      </c>
      <c r="D902" s="13" t="inlineStr">
        <is>
          <t>PROD</t>
        </is>
      </c>
      <c r="E902" s="13" t="inlineStr">
        <is>
          <t>Produksi Harian</t>
        </is>
      </c>
      <c r="F902" s="170" t="n">
        <v>46029.24805555555</v>
      </c>
      <c r="G902" s="13" t="inlineStr">
        <is>
          <t>FREE</t>
        </is>
      </c>
      <c r="H902" s="170" t="n">
        <v>46029.58634259259</v>
      </c>
    </row>
    <row r="903">
      <c r="A903" s="13" t="inlineStr">
        <is>
          <t>MK00212</t>
        </is>
      </c>
      <c r="B903" s="13" t="n">
        <v>528000090</v>
      </c>
      <c r="C903" s="13" t="inlineStr">
        <is>
          <t>Suganda</t>
        </is>
      </c>
      <c r="D903" s="13" t="inlineStr">
        <is>
          <t>PROD</t>
        </is>
      </c>
      <c r="E903" s="13" t="inlineStr">
        <is>
          <t>Produksi Harian</t>
        </is>
      </c>
      <c r="F903" s="170" t="n">
        <v>46029.25038194445</v>
      </c>
      <c r="G903" s="13" t="inlineStr">
        <is>
          <t>FREE</t>
        </is>
      </c>
      <c r="H903" s="170" t="n">
        <v>46029.58672453704</v>
      </c>
    </row>
    <row r="904">
      <c r="A904" s="13" t="inlineStr">
        <is>
          <t>MK0134</t>
        </is>
      </c>
      <c r="B904" s="13" t="n">
        <v>528000212</v>
      </c>
      <c r="C904" s="13" t="inlineStr">
        <is>
          <t>Rizal Fauzi</t>
        </is>
      </c>
      <c r="D904" s="13" t="inlineStr">
        <is>
          <t>PROD</t>
        </is>
      </c>
      <c r="E904" s="13" t="inlineStr">
        <is>
          <t>Produksi Harian</t>
        </is>
      </c>
      <c r="F904" s="170" t="n">
        <v>46029.25092592592</v>
      </c>
      <c r="G904" s="13" t="inlineStr">
        <is>
          <t>FREE</t>
        </is>
      </c>
      <c r="H904" s="170" t="n">
        <v>46029.58762731482</v>
      </c>
    </row>
    <row r="905">
      <c r="A905" s="13" t="inlineStr">
        <is>
          <t>MK00008</t>
        </is>
      </c>
      <c r="B905" s="13" t="n">
        <v>528000282</v>
      </c>
      <c r="C905" s="13" t="inlineStr">
        <is>
          <t>Defa Desfiana</t>
        </is>
      </c>
      <c r="D905" s="13" t="inlineStr">
        <is>
          <t>PROD</t>
        </is>
      </c>
      <c r="E905" s="13" t="inlineStr">
        <is>
          <t>Produksi Harian</t>
        </is>
      </c>
      <c r="F905" s="170" t="n">
        <v>46029.32246527778</v>
      </c>
      <c r="G905" s="13" t="inlineStr">
        <is>
          <t>FREE</t>
        </is>
      </c>
      <c r="H905" s="170" t="n">
        <v>46029.66990740741</v>
      </c>
    </row>
    <row r="906">
      <c r="A906" s="13" t="inlineStr">
        <is>
          <t>MK00235</t>
        </is>
      </c>
      <c r="B906" s="13" t="n">
        <v>528000265</v>
      </c>
      <c r="C906" s="13" t="inlineStr">
        <is>
          <t>Muhammad Haerul Rozikin</t>
        </is>
      </c>
      <c r="D906" s="13" t="inlineStr">
        <is>
          <t>LOG</t>
        </is>
      </c>
      <c r="E906" s="13" t="inlineStr">
        <is>
          <t>WRM Harian</t>
        </is>
      </c>
      <c r="F906" s="170" t="n">
        <v>46029.32405092593</v>
      </c>
      <c r="G906" s="13" t="inlineStr">
        <is>
          <t>FREE</t>
        </is>
      </c>
      <c r="H906" s="170" t="n">
        <v>46029.66923611111</v>
      </c>
    </row>
    <row r="907">
      <c r="A907" s="13" t="inlineStr">
        <is>
          <t>MK0088</t>
        </is>
      </c>
      <c r="B907" s="13" t="n">
        <v>528000015</v>
      </c>
      <c r="C907" s="13" t="inlineStr">
        <is>
          <t>Erwin</t>
        </is>
      </c>
      <c r="D907" s="13" t="inlineStr">
        <is>
          <t>LOG</t>
        </is>
      </c>
      <c r="E907" s="13" t="inlineStr">
        <is>
          <t>WRM Harian</t>
        </is>
      </c>
      <c r="F907" s="170" t="n">
        <v>46029.32784722222</v>
      </c>
      <c r="G907" s="13" t="inlineStr">
        <is>
          <t>FREE</t>
        </is>
      </c>
      <c r="H907" s="170" t="n">
        <v>46060.25278935185</v>
      </c>
    </row>
    <row r="908">
      <c r="A908" s="13" t="inlineStr">
        <is>
          <t>MK00249</t>
        </is>
      </c>
      <c r="B908" s="13" t="n">
        <v>528000349</v>
      </c>
      <c r="C908" s="13" t="inlineStr">
        <is>
          <t>Anas Abdul Fatah</t>
        </is>
      </c>
      <c r="D908" s="13" t="inlineStr">
        <is>
          <t>LOG</t>
        </is>
      </c>
      <c r="E908" s="13" t="inlineStr">
        <is>
          <t>WFG Harian</t>
        </is>
      </c>
      <c r="F908" s="170" t="n">
        <v>46029.32980324074</v>
      </c>
      <c r="G908" s="13" t="inlineStr">
        <is>
          <t>FREE</t>
        </is>
      </c>
      <c r="H908" s="170" t="n">
        <v>46029.67774305555</v>
      </c>
    </row>
    <row r="909">
      <c r="A909" s="13" t="inlineStr">
        <is>
          <t>MK00148</t>
        </is>
      </c>
      <c r="B909" s="13" t="n">
        <v>528000351</v>
      </c>
      <c r="C909" s="13" t="inlineStr">
        <is>
          <t>Mulyana</t>
        </is>
      </c>
      <c r="D909" s="13" t="inlineStr">
        <is>
          <t>PROD</t>
        </is>
      </c>
      <c r="E909" s="13" t="inlineStr">
        <is>
          <t>Produksi Harian</t>
        </is>
      </c>
      <c r="F909" s="170" t="n">
        <v>46029.32988425926</v>
      </c>
      <c r="G909" s="13" t="inlineStr">
        <is>
          <t>FREE</t>
        </is>
      </c>
      <c r="H909" s="170" t="n">
        <v>46029.66716435185</v>
      </c>
    </row>
    <row r="910">
      <c r="A910" s="13" t="inlineStr">
        <is>
          <t>MK00082</t>
        </is>
      </c>
      <c r="B910" s="13" t="n">
        <v>528000144</v>
      </c>
      <c r="C910" s="13" t="inlineStr">
        <is>
          <t>Jodi Hanafi</t>
        </is>
      </c>
      <c r="D910" s="13" t="inlineStr">
        <is>
          <t>LOG</t>
        </is>
      </c>
      <c r="E910" s="13" t="inlineStr">
        <is>
          <t>WRM Harian</t>
        </is>
      </c>
      <c r="F910" s="170" t="n">
        <v>46029.33277777778</v>
      </c>
      <c r="G910" s="13" t="inlineStr">
        <is>
          <t>FREE</t>
        </is>
      </c>
      <c r="H910" s="170" t="n">
        <v>46029.67789351852</v>
      </c>
    </row>
    <row r="911">
      <c r="A911" s="13" t="inlineStr">
        <is>
          <t>MK00228</t>
        </is>
      </c>
      <c r="B911" s="13" t="n">
        <v>528000132</v>
      </c>
      <c r="C911" s="13" t="inlineStr">
        <is>
          <t>Giopani</t>
        </is>
      </c>
      <c r="D911" s="13" t="inlineStr">
        <is>
          <t>LOG</t>
        </is>
      </c>
      <c r="E911" s="13" t="inlineStr">
        <is>
          <t>WRM Harian</t>
        </is>
      </c>
      <c r="F911" s="170" t="n">
        <v>46029.36651620371</v>
      </c>
      <c r="G911" s="13" t="inlineStr">
        <is>
          <t>FREE</t>
        </is>
      </c>
      <c r="H911" s="170" t="n">
        <v>46060.36952546296</v>
      </c>
    </row>
    <row r="912">
      <c r="A912" s="13" t="inlineStr">
        <is>
          <t>MK00205</t>
        </is>
      </c>
      <c r="B912" s="13" t="n">
        <v>528000348</v>
      </c>
      <c r="C912" s="13" t="inlineStr">
        <is>
          <t>Saepuloh Ardiansah</t>
        </is>
      </c>
      <c r="D912" s="13" t="inlineStr">
        <is>
          <t>LOG</t>
        </is>
      </c>
      <c r="E912" s="13" t="inlineStr">
        <is>
          <t>WRM Harian</t>
        </is>
      </c>
      <c r="F912" s="170" t="n">
        <v>46029.37341435185</v>
      </c>
      <c r="G912" s="13" t="inlineStr">
        <is>
          <t>FREE</t>
        </is>
      </c>
      <c r="H912" s="170" t="n">
        <v>46029.71577546297</v>
      </c>
    </row>
    <row r="913">
      <c r="A913" s="13" t="inlineStr">
        <is>
          <t>MK00204</t>
        </is>
      </c>
      <c r="B913" s="13" t="n">
        <v>528000052</v>
      </c>
      <c r="C913" s="13" t="inlineStr">
        <is>
          <t>Mustopa</t>
        </is>
      </c>
      <c r="D913" s="13" t="inlineStr">
        <is>
          <t>PROD</t>
        </is>
      </c>
      <c r="E913" s="13" t="inlineStr">
        <is>
          <t>Produksi Harian</t>
        </is>
      </c>
      <c r="F913" s="170" t="n">
        <v>46029.53938657408</v>
      </c>
      <c r="G913" s="13" t="inlineStr">
        <is>
          <t>FREE</t>
        </is>
      </c>
      <c r="H913" s="170" t="n">
        <v>46029.91961805556</v>
      </c>
    </row>
    <row r="914">
      <c r="A914" s="13" t="inlineStr">
        <is>
          <t>MK00199</t>
        </is>
      </c>
      <c r="B914" s="13" t="n">
        <v>528000358</v>
      </c>
      <c r="C914" s="13" t="inlineStr">
        <is>
          <t>Lulu Agustin</t>
        </is>
      </c>
      <c r="D914" s="13" t="inlineStr">
        <is>
          <t>PROD</t>
        </is>
      </c>
      <c r="E914" s="13" t="inlineStr">
        <is>
          <t>Produksi Harian</t>
        </is>
      </c>
      <c r="F914" s="170" t="n">
        <v>46029.56329861111</v>
      </c>
      <c r="G914" s="13" t="inlineStr">
        <is>
          <t>FREE</t>
        </is>
      </c>
      <c r="H914" s="170" t="n">
        <v>46029.9187037037</v>
      </c>
    </row>
    <row r="915">
      <c r="A915" s="13" t="inlineStr">
        <is>
          <t>MK00113</t>
        </is>
      </c>
      <c r="B915" s="13" t="n">
        <v>528000262</v>
      </c>
      <c r="C915" s="13" t="inlineStr">
        <is>
          <t>Ndari Dwiwanti</t>
        </is>
      </c>
      <c r="D915" s="13" t="inlineStr">
        <is>
          <t>PROD</t>
        </is>
      </c>
      <c r="E915" s="13" t="inlineStr">
        <is>
          <t>Produksi Harian</t>
        </is>
      </c>
      <c r="F915" s="170" t="n">
        <v>46029.56476851852</v>
      </c>
      <c r="G915" s="13" t="inlineStr">
        <is>
          <t>FREE</t>
        </is>
      </c>
      <c r="H915" s="170" t="n">
        <v>46029.9184375</v>
      </c>
    </row>
    <row r="916">
      <c r="A916" s="13" t="inlineStr">
        <is>
          <t>MK00221</t>
        </is>
      </c>
      <c r="B916" s="13" t="n">
        <v>528000195</v>
      </c>
      <c r="C916" s="13" t="inlineStr">
        <is>
          <t>Rahma Sariwati</t>
        </is>
      </c>
      <c r="D916" s="13" t="inlineStr">
        <is>
          <t>PROD</t>
        </is>
      </c>
      <c r="E916" s="13" t="inlineStr">
        <is>
          <t>Produksi Harian</t>
        </is>
      </c>
      <c r="F916" s="170" t="n">
        <v>46029.56951388889</v>
      </c>
      <c r="G916" s="13" t="inlineStr">
        <is>
          <t>FREE</t>
        </is>
      </c>
      <c r="H916" s="170" t="n">
        <v>46029.92006944444</v>
      </c>
    </row>
    <row r="917">
      <c r="A917" s="13" t="inlineStr">
        <is>
          <t>MK00116</t>
        </is>
      </c>
      <c r="B917" s="13" t="n">
        <v>528000266</v>
      </c>
      <c r="C917" s="13" t="inlineStr">
        <is>
          <t>M. Syirajatieq</t>
        </is>
      </c>
      <c r="D917" s="13" t="inlineStr">
        <is>
          <t>LOG</t>
        </is>
      </c>
      <c r="E917" s="13" t="inlineStr">
        <is>
          <t>WFG Harian</t>
        </is>
      </c>
      <c r="F917" s="170" t="n">
        <v>46029.57137731482</v>
      </c>
      <c r="G917" s="13" t="inlineStr">
        <is>
          <t>FREE</t>
        </is>
      </c>
      <c r="H917" s="170" t="n">
        <v>46029.92523148148</v>
      </c>
    </row>
    <row r="918">
      <c r="A918" s="13" t="inlineStr">
        <is>
          <t>MK00181</t>
        </is>
      </c>
      <c r="B918" s="13" t="n">
        <v>528000261</v>
      </c>
      <c r="C918" s="13" t="inlineStr">
        <is>
          <t>Ergi Ergianto</t>
        </is>
      </c>
      <c r="D918" s="13" t="inlineStr">
        <is>
          <t>HRGA</t>
        </is>
      </c>
      <c r="E918" s="13" t="inlineStr">
        <is>
          <t>GA Harian</t>
        </is>
      </c>
      <c r="F918" s="170" t="n">
        <v>46029.57329861111</v>
      </c>
      <c r="G918" s="13" t="inlineStr">
        <is>
          <t>FREE</t>
        </is>
      </c>
      <c r="H918" s="170" t="n">
        <v>46029.91864583334</v>
      </c>
    </row>
    <row r="919">
      <c r="A919" s="13" t="inlineStr">
        <is>
          <t>MK0093</t>
        </is>
      </c>
      <c r="B919" s="13" t="n">
        <v>528000283</v>
      </c>
      <c r="C919" s="13" t="inlineStr">
        <is>
          <t>Purwanda Sugiri</t>
        </is>
      </c>
      <c r="D919" s="13" t="inlineStr">
        <is>
          <t>LOG</t>
        </is>
      </c>
      <c r="E919" s="13" t="inlineStr">
        <is>
          <t>WRM Harian</t>
        </is>
      </c>
      <c r="F919" s="170" t="n">
        <v>46029.57447916667</v>
      </c>
      <c r="G919" s="13" t="inlineStr">
        <is>
          <t>FREE</t>
        </is>
      </c>
      <c r="H919" s="170" t="n">
        <v>46210.57467592593</v>
      </c>
    </row>
    <row r="920">
      <c r="A920" s="13" t="inlineStr">
        <is>
          <t>MK00185</t>
        </is>
      </c>
      <c r="B920" s="13" t="n">
        <v>528000291</v>
      </c>
      <c r="C920" s="13" t="inlineStr">
        <is>
          <t>Andrian</t>
        </is>
      </c>
      <c r="D920" s="13" t="inlineStr">
        <is>
          <t>PROD</t>
        </is>
      </c>
      <c r="E920" s="13" t="inlineStr">
        <is>
          <t>Produksi Harian</t>
        </is>
      </c>
      <c r="F920" s="170" t="n">
        <v>46029.57537037037</v>
      </c>
      <c r="G920" s="13" t="inlineStr">
        <is>
          <t>FREE</t>
        </is>
      </c>
      <c r="H920" s="170" t="n">
        <v>46029.91864583334</v>
      </c>
    </row>
    <row r="921">
      <c r="A921" s="13" t="inlineStr">
        <is>
          <t>MK00276</t>
        </is>
      </c>
      <c r="B921" s="13" t="n">
        <v>528000273</v>
      </c>
      <c r="C921" s="13" t="inlineStr">
        <is>
          <t>Asep Mulyana</t>
        </is>
      </c>
      <c r="D921" s="13" t="inlineStr">
        <is>
          <t>PROD</t>
        </is>
      </c>
      <c r="E921" s="13" t="inlineStr">
        <is>
          <t>Produksi Harian</t>
        </is>
      </c>
      <c r="F921" s="170" t="n">
        <v>46029.65042824074</v>
      </c>
      <c r="G921" s="13" t="inlineStr">
        <is>
          <t>FREE</t>
        </is>
      </c>
      <c r="H921" s="170" t="n">
        <v>46060.6421412037</v>
      </c>
    </row>
    <row r="922">
      <c r="A922" s="13" t="inlineStr">
        <is>
          <t>MK00250</t>
        </is>
      </c>
      <c r="B922" s="13" t="n">
        <v>528000232</v>
      </c>
      <c r="C922" s="13" t="inlineStr">
        <is>
          <t>Agung Aji Suhada</t>
        </is>
      </c>
      <c r="D922" s="13" t="inlineStr">
        <is>
          <t>LOG</t>
        </is>
      </c>
      <c r="E922" s="13" t="inlineStr">
        <is>
          <t>WRM Harian</t>
        </is>
      </c>
      <c r="F922" s="170" t="n">
        <v>46029.66465277778</v>
      </c>
      <c r="G922" s="13" t="inlineStr">
        <is>
          <t>FREE</t>
        </is>
      </c>
      <c r="H922" s="170" t="n">
        <v>46060.00081018519</v>
      </c>
    </row>
    <row r="923">
      <c r="A923" s="13" t="inlineStr">
        <is>
          <t>MK00230</t>
        </is>
      </c>
      <c r="B923" s="13" t="n">
        <v>528000267</v>
      </c>
      <c r="C923" s="13" t="inlineStr">
        <is>
          <t>Bagas Patulloh</t>
        </is>
      </c>
      <c r="D923" s="13" t="inlineStr">
        <is>
          <t>LOG</t>
        </is>
      </c>
      <c r="E923" s="13" t="inlineStr">
        <is>
          <t>WRM Harian</t>
        </is>
      </c>
      <c r="F923" s="170" t="n">
        <v>46029.67315972222</v>
      </c>
      <c r="G923" s="13" t="inlineStr">
        <is>
          <t>FREE</t>
        </is>
      </c>
      <c r="H923" s="170" t="n">
        <v>46060.0002662037</v>
      </c>
    </row>
    <row r="924">
      <c r="A924" s="13" t="inlineStr">
        <is>
          <t>MK00082</t>
        </is>
      </c>
      <c r="B924" s="13" t="n">
        <v>528000306</v>
      </c>
      <c r="C924" s="13" t="inlineStr">
        <is>
          <t>Windy Olivia</t>
        </is>
      </c>
      <c r="D924" s="13" t="inlineStr">
        <is>
          <t>PROD</t>
        </is>
      </c>
      <c r="E924" s="13" t="inlineStr">
        <is>
          <t>Produksi Harian</t>
        </is>
      </c>
      <c r="F924" s="170" t="n">
        <v>46029.9015625</v>
      </c>
      <c r="G924" s="13" t="inlineStr">
        <is>
          <t>FREE</t>
        </is>
      </c>
      <c r="H924" s="170" t="n">
        <v>46060.25240740741</v>
      </c>
    </row>
    <row r="925">
      <c r="A925" s="13" t="inlineStr">
        <is>
          <t>MK00148</t>
        </is>
      </c>
      <c r="B925" s="13" t="n">
        <v>528000063</v>
      </c>
      <c r="C925" s="13" t="inlineStr">
        <is>
          <t>Muhamad Ripki Pebrian</t>
        </is>
      </c>
      <c r="D925" s="13" t="inlineStr">
        <is>
          <t>PROD</t>
        </is>
      </c>
      <c r="E925" s="13" t="inlineStr">
        <is>
          <t>Produksi Harian</t>
        </is>
      </c>
      <c r="F925" s="170" t="n">
        <v>46029.9021412037</v>
      </c>
      <c r="G925" s="13" t="inlineStr">
        <is>
          <t>FREE</t>
        </is>
      </c>
      <c r="H925" s="170" t="n">
        <v>46060.25150462963</v>
      </c>
    </row>
    <row r="926">
      <c r="A926" s="13" t="inlineStr">
        <is>
          <t>MK00088</t>
        </is>
      </c>
      <c r="B926" s="13" t="n">
        <v>628000064</v>
      </c>
      <c r="C926" s="13" t="inlineStr">
        <is>
          <t>Silva Alypia</t>
        </is>
      </c>
      <c r="D926" s="13" t="inlineStr">
        <is>
          <t>PROD</t>
        </is>
      </c>
      <c r="E926" s="13" t="inlineStr">
        <is>
          <t>Produksi Borongan</t>
        </is>
      </c>
      <c r="F926" s="170" t="n">
        <v>46029.90612268518</v>
      </c>
      <c r="G926" s="13" t="inlineStr">
        <is>
          <t>FREE</t>
        </is>
      </c>
      <c r="H926" s="170" t="n">
        <v>46060.25346064815</v>
      </c>
    </row>
    <row r="927">
      <c r="A927" s="13" t="inlineStr">
        <is>
          <t>MK00249</t>
        </is>
      </c>
      <c r="B927" s="13" t="n">
        <v>528000288</v>
      </c>
      <c r="C927" s="13" t="inlineStr">
        <is>
          <t>Dede gunawan</t>
        </is>
      </c>
      <c r="D927" s="13" t="inlineStr">
        <is>
          <t>PROD</t>
        </is>
      </c>
      <c r="E927" s="13" t="inlineStr">
        <is>
          <t>Produksi Harian</t>
        </is>
      </c>
      <c r="F927" s="170" t="n">
        <v>46029.90729166667</v>
      </c>
      <c r="G927" s="13" t="inlineStr">
        <is>
          <t>FREE</t>
        </is>
      </c>
      <c r="H927" s="170" t="n">
        <v>46060.25451388889</v>
      </c>
    </row>
    <row r="928">
      <c r="A928" s="13" t="inlineStr">
        <is>
          <t>MK00158</t>
        </is>
      </c>
      <c r="B928" s="13" t="n">
        <v>528000297</v>
      </c>
      <c r="C928" s="13" t="inlineStr">
        <is>
          <t>Muhamad Budiana</t>
        </is>
      </c>
      <c r="D928" s="13" t="inlineStr">
        <is>
          <t>PROD</t>
        </is>
      </c>
      <c r="E928" s="13" t="inlineStr">
        <is>
          <t>Produksi Harian</t>
        </is>
      </c>
      <c r="F928" s="170" t="n">
        <v>46029.90803240741</v>
      </c>
      <c r="G928" s="13" t="inlineStr">
        <is>
          <t>FREE</t>
        </is>
      </c>
      <c r="H928" s="170" t="n">
        <v>46060.29453703704</v>
      </c>
    </row>
    <row r="929">
      <c r="A929" s="13" t="inlineStr">
        <is>
          <t>MK00112</t>
        </is>
      </c>
      <c r="B929" s="13" t="n">
        <v>528000248</v>
      </c>
      <c r="C929" s="13" t="inlineStr">
        <is>
          <t>Roka Jaya Salka Mulya</t>
        </is>
      </c>
      <c r="D929" s="13" t="inlineStr">
        <is>
          <t>PROD</t>
        </is>
      </c>
      <c r="E929" s="13" t="inlineStr">
        <is>
          <t>Produksi Harian</t>
        </is>
      </c>
      <c r="F929" s="170" t="n">
        <v>46029.90943287037</v>
      </c>
      <c r="G929" s="13" t="inlineStr">
        <is>
          <t>FREE</t>
        </is>
      </c>
      <c r="H929" s="170" t="n">
        <v>46060.25092592592</v>
      </c>
    </row>
    <row r="930">
      <c r="A930" s="13" t="inlineStr">
        <is>
          <t>MK00154</t>
        </is>
      </c>
      <c r="B930" s="13" t="n">
        <v>528000300</v>
      </c>
      <c r="C930" s="13" t="inlineStr">
        <is>
          <t>Lia pitaloka</t>
        </is>
      </c>
      <c r="D930" s="13" t="inlineStr">
        <is>
          <t>PROD</t>
        </is>
      </c>
      <c r="E930" s="13" t="inlineStr">
        <is>
          <t>Produksi Harian</t>
        </is>
      </c>
      <c r="F930" s="170" t="n">
        <v>46029.90997685185</v>
      </c>
      <c r="G930" s="13" t="inlineStr">
        <is>
          <t>FREE</t>
        </is>
      </c>
      <c r="H930" s="170" t="n">
        <v>46060.25289351852</v>
      </c>
    </row>
    <row r="931">
      <c r="A931" s="13" t="inlineStr">
        <is>
          <t>MK00213</t>
        </is>
      </c>
      <c r="B931" s="13" t="n">
        <v>528000279</v>
      </c>
      <c r="C931" s="13" t="inlineStr">
        <is>
          <t>Mahdalena Dalfa Riani</t>
        </is>
      </c>
      <c r="D931" s="13" t="inlineStr">
        <is>
          <t>PROD</t>
        </is>
      </c>
      <c r="E931" s="13" t="inlineStr">
        <is>
          <t>Produksi Harian</t>
        </is>
      </c>
      <c r="F931" s="170" t="n">
        <v>46029.91083333334</v>
      </c>
      <c r="G931" s="13" t="inlineStr">
        <is>
          <t>FREE</t>
        </is>
      </c>
      <c r="H931" s="170" t="n">
        <v>46060.25263888889</v>
      </c>
    </row>
    <row r="932">
      <c r="A932" s="13" t="inlineStr">
        <is>
          <t>MK00230</t>
        </is>
      </c>
      <c r="B932" s="13" t="n">
        <v>528000201</v>
      </c>
      <c r="C932" s="13" t="inlineStr">
        <is>
          <t>Zahwa Amelia Choerunissa</t>
        </is>
      </c>
      <c r="D932" s="13" t="inlineStr">
        <is>
          <t>PROD</t>
        </is>
      </c>
      <c r="E932" s="13" t="inlineStr">
        <is>
          <t>Produksi Harian</t>
        </is>
      </c>
      <c r="F932" s="170" t="n">
        <v>46060.22869212963</v>
      </c>
      <c r="G932" s="13" t="inlineStr">
        <is>
          <t>FREE</t>
        </is>
      </c>
      <c r="H932" s="170" t="n">
        <v>46060.58888888889</v>
      </c>
    </row>
    <row r="933">
      <c r="A933" s="13" t="inlineStr">
        <is>
          <t>MK00192</t>
        </is>
      </c>
      <c r="B933" s="13" t="n">
        <v>528000099</v>
      </c>
      <c r="C933" s="13" t="inlineStr">
        <is>
          <t>Siti Nurawaliah</t>
        </is>
      </c>
      <c r="D933" s="13" t="inlineStr">
        <is>
          <t>PROD</t>
        </is>
      </c>
      <c r="E933" s="13" t="inlineStr">
        <is>
          <t>Produksi Harian</t>
        </is>
      </c>
      <c r="F933" s="170" t="n">
        <v>46060.22934027778</v>
      </c>
      <c r="G933" s="13" t="inlineStr">
        <is>
          <t>FREE</t>
        </is>
      </c>
      <c r="H933" s="170" t="n">
        <v>46060.58918981482</v>
      </c>
    </row>
    <row r="934">
      <c r="A934" s="13" t="inlineStr">
        <is>
          <t>MK00204</t>
        </is>
      </c>
      <c r="B934" s="13" t="n">
        <v>528000244</v>
      </c>
      <c r="C934" s="13" t="inlineStr">
        <is>
          <t>Rodian Rifai</t>
        </is>
      </c>
      <c r="D934" s="13" t="inlineStr">
        <is>
          <t>PROD</t>
        </is>
      </c>
      <c r="E934" s="13" t="inlineStr">
        <is>
          <t>Produksi Harian</t>
        </is>
      </c>
      <c r="F934" s="170" t="n">
        <v>46060.23873842593</v>
      </c>
      <c r="G934" s="13" t="inlineStr">
        <is>
          <t>FREE</t>
        </is>
      </c>
      <c r="H934" s="170" t="n">
        <v>46060.64137731482</v>
      </c>
    </row>
    <row r="935">
      <c r="A935" s="13" t="inlineStr">
        <is>
          <t>MK00185</t>
        </is>
      </c>
      <c r="B935" s="13" t="n">
        <v>528000286</v>
      </c>
      <c r="C935" s="13" t="inlineStr">
        <is>
          <t>Imelda Amelia</t>
        </is>
      </c>
      <c r="D935" s="13" t="inlineStr">
        <is>
          <t>PROD</t>
        </is>
      </c>
      <c r="E935" s="13" t="inlineStr">
        <is>
          <t>Produksi Harian</t>
        </is>
      </c>
      <c r="F935" s="170" t="n">
        <v>46060.23884259259</v>
      </c>
      <c r="G935" s="13" t="inlineStr">
        <is>
          <t>FREE</t>
        </is>
      </c>
      <c r="H935" s="170" t="n">
        <v>46060.59354166667</v>
      </c>
    </row>
    <row r="936">
      <c r="A936" s="13" t="inlineStr">
        <is>
          <t>MK00210</t>
        </is>
      </c>
      <c r="B936" s="13" t="n">
        <v>528000241</v>
      </c>
      <c r="C936" s="13" t="inlineStr">
        <is>
          <t>Balia Nurafif Bilah</t>
        </is>
      </c>
      <c r="D936" s="13" t="inlineStr">
        <is>
          <t>PROD</t>
        </is>
      </c>
      <c r="E936" s="13" t="inlineStr">
        <is>
          <t>Produksi Harian</t>
        </is>
      </c>
      <c r="F936" s="170" t="n">
        <v>46060.24693287037</v>
      </c>
      <c r="G936" s="13" t="inlineStr">
        <is>
          <t>FREE</t>
        </is>
      </c>
      <c r="H936" s="170" t="n">
        <v>46060.58600694445</v>
      </c>
    </row>
    <row r="937">
      <c r="A937" s="13" t="inlineStr">
        <is>
          <t>MK00181</t>
        </is>
      </c>
      <c r="B937" s="13" t="n">
        <v>528000290</v>
      </c>
      <c r="C937" s="13" t="inlineStr">
        <is>
          <t>Eval Pranata</t>
        </is>
      </c>
      <c r="D937" s="13" t="inlineStr">
        <is>
          <t>PROD</t>
        </is>
      </c>
      <c r="E937" s="13" t="inlineStr">
        <is>
          <t>Produksi Harian</t>
        </is>
      </c>
      <c r="F937" s="170" t="n">
        <v>46060.24809027778</v>
      </c>
      <c r="G937" s="13" t="inlineStr">
        <is>
          <t>FREE</t>
        </is>
      </c>
      <c r="H937" s="170" t="n">
        <v>46060.58692129629</v>
      </c>
    </row>
    <row r="938">
      <c r="A938" s="13" t="inlineStr">
        <is>
          <t>MK00126</t>
        </is>
      </c>
      <c r="B938" s="13" t="n">
        <v>528000274</v>
      </c>
      <c r="C938" s="13" t="inlineStr">
        <is>
          <t>Zepri</t>
        </is>
      </c>
      <c r="D938" s="13" t="inlineStr">
        <is>
          <t>PROD</t>
        </is>
      </c>
      <c r="E938" s="13" t="inlineStr">
        <is>
          <t>Produksi Harian</t>
        </is>
      </c>
      <c r="F938" s="170" t="n">
        <v>46060.24819444444</v>
      </c>
      <c r="G938" s="13" t="inlineStr">
        <is>
          <t>FREE</t>
        </is>
      </c>
      <c r="H938" s="170" t="n">
        <v>46060.60987268519</v>
      </c>
    </row>
    <row r="939">
      <c r="A939" s="13" t="inlineStr">
        <is>
          <t>MK0085</t>
        </is>
      </c>
      <c r="B939" s="13" t="n">
        <v>528000228</v>
      </c>
      <c r="C939" s="13" t="inlineStr">
        <is>
          <t>Banyu Resmi Putri</t>
        </is>
      </c>
      <c r="D939" s="13" t="inlineStr">
        <is>
          <t>PROD</t>
        </is>
      </c>
      <c r="E939" s="13" t="inlineStr">
        <is>
          <t>Produksi Harian</t>
        </is>
      </c>
      <c r="F939" s="170" t="n">
        <v>46060.24932870371</v>
      </c>
      <c r="G939" s="13" t="inlineStr">
        <is>
          <t>FREE</t>
        </is>
      </c>
      <c r="H939" s="170" t="n">
        <v>46210.57552083334</v>
      </c>
    </row>
    <row r="940">
      <c r="A940" s="13" t="inlineStr">
        <is>
          <t>MK00134</t>
        </is>
      </c>
      <c r="B940" s="13" t="n">
        <v>528000090</v>
      </c>
      <c r="C940" s="13" t="inlineStr">
        <is>
          <t>Suganda</t>
        </is>
      </c>
      <c r="D940" s="13" t="inlineStr">
        <is>
          <t>PROD</t>
        </is>
      </c>
      <c r="E940" s="13" t="inlineStr">
        <is>
          <t>Produksi Harian</t>
        </is>
      </c>
      <c r="F940" s="170" t="n">
        <v>46060.25113425926</v>
      </c>
      <c r="G940" s="13" t="inlineStr">
        <is>
          <t>FREE</t>
        </is>
      </c>
      <c r="H940" s="170" t="n">
        <v>46060.58724537037</v>
      </c>
    </row>
    <row r="941">
      <c r="A941" s="13" t="inlineStr">
        <is>
          <t>MK00130</t>
        </is>
      </c>
      <c r="B941" s="13" t="n">
        <v>528000212</v>
      </c>
      <c r="C941" s="13" t="inlineStr">
        <is>
          <t>Rizal Fauzi</t>
        </is>
      </c>
      <c r="D941" s="13" t="inlineStr">
        <is>
          <t>PROD</t>
        </is>
      </c>
      <c r="E941" s="13" t="inlineStr">
        <is>
          <t>Produksi Harian</t>
        </is>
      </c>
      <c r="F941" s="170" t="n">
        <v>46060.25125</v>
      </c>
      <c r="G941" s="13" t="inlineStr">
        <is>
          <t>FREE</t>
        </is>
      </c>
      <c r="H941" s="170" t="n">
        <v>46060.58770833333</v>
      </c>
    </row>
    <row r="942">
      <c r="A942" s="13" t="inlineStr">
        <is>
          <t>MK00158</t>
        </is>
      </c>
      <c r="B942" s="13" t="n">
        <v>528000282</v>
      </c>
      <c r="C942" s="13" t="inlineStr">
        <is>
          <t>Defa Desfiana</t>
        </is>
      </c>
      <c r="D942" s="13" t="inlineStr">
        <is>
          <t>PROD</t>
        </is>
      </c>
      <c r="E942" s="13" t="inlineStr">
        <is>
          <t>Produksi Harian</t>
        </is>
      </c>
      <c r="F942" s="170" t="n">
        <v>46060.31957175926</v>
      </c>
      <c r="G942" s="13" t="inlineStr">
        <is>
          <t>FREE</t>
        </is>
      </c>
      <c r="H942" s="170" t="n">
        <v>46060.66770833333</v>
      </c>
    </row>
    <row r="943">
      <c r="A943" s="13" t="inlineStr">
        <is>
          <t>MK00108</t>
        </is>
      </c>
      <c r="B943" s="13" t="n">
        <v>528000351</v>
      </c>
      <c r="C943" s="13" t="inlineStr">
        <is>
          <t>Mulyana</t>
        </is>
      </c>
      <c r="D943" s="13" t="inlineStr">
        <is>
          <t>PROD</t>
        </is>
      </c>
      <c r="E943" s="13" t="inlineStr">
        <is>
          <t>Produksi Harian</t>
        </is>
      </c>
      <c r="F943" s="170" t="n">
        <v>46060.32543981481</v>
      </c>
      <c r="G943" s="13" t="inlineStr">
        <is>
          <t>FREE</t>
        </is>
      </c>
      <c r="H943" s="170" t="n">
        <v>46060.66815972222</v>
      </c>
    </row>
    <row r="944">
      <c r="A944" s="13" t="inlineStr">
        <is>
          <t>MK00213</t>
        </is>
      </c>
      <c r="B944" s="13" t="n">
        <v>528000265</v>
      </c>
      <c r="C944" s="13" t="inlineStr">
        <is>
          <t>Muhammad Haerul Rozikin</t>
        </is>
      </c>
      <c r="D944" s="13" t="inlineStr">
        <is>
          <t>LOG</t>
        </is>
      </c>
      <c r="E944" s="13" t="inlineStr">
        <is>
          <t>WRM Harian</t>
        </is>
      </c>
      <c r="F944" s="170" t="n">
        <v>46060.32550925926</v>
      </c>
      <c r="G944" s="13" t="inlineStr">
        <is>
          <t>FREE</t>
        </is>
      </c>
      <c r="H944" s="170" t="n">
        <v>46060.67184027778</v>
      </c>
    </row>
    <row r="945">
      <c r="A945" s="13" t="inlineStr">
        <is>
          <t>MK00112</t>
        </is>
      </c>
      <c r="B945" s="13" t="n">
        <v>528000349</v>
      </c>
      <c r="C945" s="13" t="inlineStr">
        <is>
          <t>Anas Abdul Fatah</t>
        </is>
      </c>
      <c r="D945" s="13" t="inlineStr">
        <is>
          <t>LOG</t>
        </is>
      </c>
      <c r="E945" s="13" t="inlineStr">
        <is>
          <t>WFG Harian</t>
        </is>
      </c>
      <c r="F945" s="170" t="n">
        <v>46060.32730324074</v>
      </c>
      <c r="G945" s="13" t="inlineStr">
        <is>
          <t>FREE</t>
        </is>
      </c>
      <c r="H945" s="170" t="n">
        <v>46060.67893518518</v>
      </c>
    </row>
    <row r="946">
      <c r="A946" s="13" t="inlineStr">
        <is>
          <t>MK0090</t>
        </is>
      </c>
      <c r="B946" s="13" t="n">
        <v>528000015</v>
      </c>
      <c r="C946" s="13" t="inlineStr">
        <is>
          <t>Erwin</t>
        </is>
      </c>
      <c r="D946" s="13" t="inlineStr">
        <is>
          <t>LOG</t>
        </is>
      </c>
      <c r="E946" s="13" t="inlineStr">
        <is>
          <t>WRM Harian</t>
        </is>
      </c>
      <c r="F946" s="170" t="n">
        <v>46060.32940972222</v>
      </c>
      <c r="G946" s="13" t="inlineStr">
        <is>
          <t>FREE</t>
        </is>
      </c>
      <c r="H946" s="170" t="n">
        <v>46088.32770833333</v>
      </c>
    </row>
    <row r="947">
      <c r="A947" s="13" t="inlineStr">
        <is>
          <t>MK00082</t>
        </is>
      </c>
      <c r="B947" s="13" t="n">
        <v>528000144</v>
      </c>
      <c r="C947" s="13" t="inlineStr">
        <is>
          <t>Jodi Hanafi</t>
        </is>
      </c>
      <c r="D947" s="13" t="inlineStr">
        <is>
          <t>LOG</t>
        </is>
      </c>
      <c r="E947" s="13" t="inlineStr">
        <is>
          <t>WRM Harian</t>
        </is>
      </c>
      <c r="F947" s="170" t="n">
        <v>46060.33041666666</v>
      </c>
      <c r="G947" s="13" t="inlineStr">
        <is>
          <t>FREE</t>
        </is>
      </c>
      <c r="H947" s="170" t="n">
        <v>46060.68069444445</v>
      </c>
    </row>
    <row r="948">
      <c r="A948" s="13" t="inlineStr">
        <is>
          <t>MK0008</t>
        </is>
      </c>
      <c r="B948" s="13" t="n">
        <v>528000310</v>
      </c>
      <c r="C948" s="13" t="inlineStr">
        <is>
          <t>Fachrul Rozzi Suryana</t>
        </is>
      </c>
      <c r="D948" s="13" t="inlineStr">
        <is>
          <t>LOG</t>
        </is>
      </c>
      <c r="E948" s="13" t="inlineStr">
        <is>
          <t>WRM Harian</t>
        </is>
      </c>
      <c r="F948" s="170" t="n">
        <v>46060.33344907407</v>
      </c>
      <c r="G948" s="13" t="inlineStr">
        <is>
          <t>FREE</t>
        </is>
      </c>
      <c r="H948" s="170" t="n">
        <v>46060.66866898148</v>
      </c>
    </row>
    <row r="949">
      <c r="A949" s="13" t="inlineStr">
        <is>
          <t>MK00228</t>
        </is>
      </c>
      <c r="B949" s="13" t="n">
        <v>528000132</v>
      </c>
      <c r="C949" s="13" t="inlineStr">
        <is>
          <t>Giopani</t>
        </is>
      </c>
      <c r="D949" s="13" t="inlineStr">
        <is>
          <t>LOG</t>
        </is>
      </c>
      <c r="E949" s="13" t="inlineStr">
        <is>
          <t>WRM Harian</t>
        </is>
      </c>
      <c r="F949" s="170" t="n">
        <v>46060.36973379629</v>
      </c>
      <c r="G949" s="13" t="inlineStr">
        <is>
          <t>FREE</t>
        </is>
      </c>
      <c r="H949" s="170" t="n">
        <v>46088.36418981481</v>
      </c>
    </row>
    <row r="950">
      <c r="A950" s="13" t="inlineStr">
        <is>
          <t>MK00205</t>
        </is>
      </c>
      <c r="B950" s="13" t="n">
        <v>528000348</v>
      </c>
      <c r="C950" s="13" t="inlineStr">
        <is>
          <t>Saepuloh Ardiansah</t>
        </is>
      </c>
      <c r="D950" s="13" t="inlineStr">
        <is>
          <t>LOG</t>
        </is>
      </c>
      <c r="E950" s="13" t="inlineStr">
        <is>
          <t>WRM Harian</t>
        </is>
      </c>
      <c r="F950" s="170" t="n">
        <v>46060.37046296296</v>
      </c>
      <c r="G950" s="13" t="inlineStr">
        <is>
          <t>FREE</t>
        </is>
      </c>
      <c r="H950" s="170" t="n">
        <v>46060.73047453703</v>
      </c>
    </row>
    <row r="951">
      <c r="A951" s="13" t="inlineStr">
        <is>
          <t>MK00155</t>
        </is>
      </c>
      <c r="B951" s="13" t="n">
        <v>628000061</v>
      </c>
      <c r="C951" s="13" t="inlineStr">
        <is>
          <t>Nayla Fadillah Exwantoro</t>
        </is>
      </c>
      <c r="D951" s="13" t="inlineStr">
        <is>
          <t>PROD</t>
        </is>
      </c>
      <c r="E951" s="13" t="inlineStr">
        <is>
          <t>Produksi Borongan</t>
        </is>
      </c>
      <c r="F951" s="170" t="n">
        <v>46060.5393287037</v>
      </c>
      <c r="G951" s="13" t="inlineStr">
        <is>
          <t>FREE</t>
        </is>
      </c>
      <c r="H951" s="170" t="n">
        <v>46060.99918981481</v>
      </c>
    </row>
    <row r="952">
      <c r="A952" s="13" t="inlineStr">
        <is>
          <t>MK00208</t>
        </is>
      </c>
      <c r="B952" s="13" t="n">
        <v>528000098</v>
      </c>
      <c r="C952" s="13" t="inlineStr">
        <is>
          <t>Edi Junaedi</t>
        </is>
      </c>
      <c r="D952" s="13" t="inlineStr">
        <is>
          <t>PROD</t>
        </is>
      </c>
      <c r="E952" s="13" t="inlineStr">
        <is>
          <t>Produksi Harian</t>
        </is>
      </c>
      <c r="F952" s="170" t="n">
        <v>46060.55623842592</v>
      </c>
      <c r="G952" s="13" t="inlineStr">
        <is>
          <t>FREE</t>
        </is>
      </c>
      <c r="H952" s="170" t="n">
        <v>46088.91497685185</v>
      </c>
    </row>
    <row r="953">
      <c r="A953" s="13" t="inlineStr">
        <is>
          <t>MK00199</t>
        </is>
      </c>
      <c r="B953" s="13" t="n">
        <v>628000091</v>
      </c>
      <c r="C953" s="13" t="inlineStr">
        <is>
          <t>Devita Handayani</t>
        </is>
      </c>
      <c r="D953" s="13" t="inlineStr">
        <is>
          <t>PROD</t>
        </is>
      </c>
      <c r="E953" s="13" t="inlineStr">
        <is>
          <t>Produksi Borongan</t>
        </is>
      </c>
      <c r="F953" s="170" t="n">
        <v>46060.561875</v>
      </c>
      <c r="G953" s="13" t="inlineStr">
        <is>
          <t>FREE</t>
        </is>
      </c>
      <c r="H953" s="170" t="n">
        <v>46060.98405092592</v>
      </c>
    </row>
    <row r="954">
      <c r="A954" s="13" t="inlineStr">
        <is>
          <t>MK00221</t>
        </is>
      </c>
      <c r="B954" s="13" t="n">
        <v>528000299</v>
      </c>
      <c r="C954" s="13" t="inlineStr">
        <is>
          <t>Siti Nurjanah</t>
        </is>
      </c>
      <c r="D954" s="13" t="inlineStr">
        <is>
          <t>PROD</t>
        </is>
      </c>
      <c r="E954" s="13" t="inlineStr">
        <is>
          <t>Produksi Harian</t>
        </is>
      </c>
      <c r="F954" s="170" t="n">
        <v>46060.56371527778</v>
      </c>
      <c r="G954" s="13" t="inlineStr">
        <is>
          <t>FREE</t>
        </is>
      </c>
      <c r="H954" s="170" t="n">
        <v>46088.56789351852</v>
      </c>
    </row>
    <row r="955">
      <c r="A955" s="13" t="inlineStr">
        <is>
          <t>MK00145</t>
        </is>
      </c>
      <c r="B955" s="13" t="n">
        <v>528000298</v>
      </c>
      <c r="C955" s="13" t="inlineStr">
        <is>
          <t>Desta Cahaya Pratama</t>
        </is>
      </c>
      <c r="D955" s="13" t="inlineStr">
        <is>
          <t>PROD</t>
        </is>
      </c>
      <c r="E955" s="13" t="inlineStr">
        <is>
          <t>Produksi Harian</t>
        </is>
      </c>
      <c r="F955" s="170" t="n">
        <v>46060.56991898148</v>
      </c>
      <c r="G955" s="13" t="inlineStr">
        <is>
          <t>FREE</t>
        </is>
      </c>
      <c r="H955" s="170" t="n">
        <v>46060.92215277778</v>
      </c>
    </row>
    <row r="956">
      <c r="A956" s="13" t="inlineStr">
        <is>
          <t>MK00138</t>
        </is>
      </c>
      <c r="B956" s="13" t="n">
        <v>528000270</v>
      </c>
      <c r="C956" s="13" t="inlineStr">
        <is>
          <t>Febri Najmudin</t>
        </is>
      </c>
      <c r="D956" s="13" t="inlineStr">
        <is>
          <t>LOG</t>
        </is>
      </c>
      <c r="E956" s="13" t="inlineStr">
        <is>
          <t>WRM Harian</t>
        </is>
      </c>
      <c r="F956" s="170" t="n">
        <v>46060.57340277778</v>
      </c>
      <c r="G956" s="13" t="inlineStr">
        <is>
          <t>FREE</t>
        </is>
      </c>
      <c r="H956" s="170" t="n">
        <v>46060.93496527777</v>
      </c>
    </row>
    <row r="957">
      <c r="A957" s="13" t="inlineStr">
        <is>
          <t>MK00151</t>
        </is>
      </c>
      <c r="B957" s="13" t="n">
        <v>528000309</v>
      </c>
      <c r="C957" s="13" t="inlineStr">
        <is>
          <t>Ilham Ramadhan</t>
        </is>
      </c>
      <c r="D957" s="13" t="inlineStr">
        <is>
          <t>LOG</t>
        </is>
      </c>
      <c r="E957" s="13" t="inlineStr">
        <is>
          <t>WRM Harian</t>
        </is>
      </c>
      <c r="F957" s="170" t="n">
        <v>46060.5775462963</v>
      </c>
      <c r="G957" s="13" t="inlineStr">
        <is>
          <t>FREE</t>
        </is>
      </c>
      <c r="H957" s="170" t="n">
        <v>46060.92282407408</v>
      </c>
    </row>
    <row r="958">
      <c r="A958" s="13" t="inlineStr">
        <is>
          <t>MK00093</t>
        </is>
      </c>
      <c r="B958" s="13" t="n">
        <v>528000302</v>
      </c>
      <c r="C958" s="13" t="inlineStr">
        <is>
          <t>Henkey gumilar</t>
        </is>
      </c>
      <c r="D958" s="13" t="inlineStr">
        <is>
          <t>PROD</t>
        </is>
      </c>
      <c r="E958" s="13" t="inlineStr">
        <is>
          <t>Produksi Harian</t>
        </is>
      </c>
      <c r="F958" s="170" t="n">
        <v>46060.57783564815</v>
      </c>
      <c r="G958" s="13" t="inlineStr">
        <is>
          <t>FREE</t>
        </is>
      </c>
      <c r="H958" s="170" t="n">
        <v>46060.92450231482</v>
      </c>
    </row>
    <row r="959">
      <c r="A959" s="13" t="inlineStr">
        <is>
          <t>MK00185</t>
        </is>
      </c>
      <c r="B959" s="13" t="n">
        <v>528000286</v>
      </c>
      <c r="C959" s="13" t="inlineStr">
        <is>
          <t>Imelda Amelia</t>
        </is>
      </c>
      <c r="D959" s="13" t="inlineStr">
        <is>
          <t>PROD</t>
        </is>
      </c>
      <c r="E959" s="13" t="inlineStr">
        <is>
          <t>Produksi Harian</t>
        </is>
      </c>
      <c r="F959" s="170" t="n">
        <v>46060.59634259259</v>
      </c>
      <c r="G959" s="13" t="inlineStr">
        <is>
          <t>FREE</t>
        </is>
      </c>
      <c r="H959" s="170" t="n">
        <v>46060.59709490741</v>
      </c>
    </row>
    <row r="960">
      <c r="A960" s="13" t="inlineStr">
        <is>
          <t>MK00276</t>
        </is>
      </c>
      <c r="B960" s="13" t="n">
        <v>528000273</v>
      </c>
      <c r="C960" s="13" t="inlineStr">
        <is>
          <t>Asep Mulyana</t>
        </is>
      </c>
      <c r="D960" s="13" t="inlineStr">
        <is>
          <t>PROD</t>
        </is>
      </c>
      <c r="E960" s="13" t="inlineStr">
        <is>
          <t>Produksi Harian</t>
        </is>
      </c>
      <c r="F960" s="170" t="n">
        <v>46060.643125</v>
      </c>
      <c r="G960" s="13" t="inlineStr">
        <is>
          <t>FREE</t>
        </is>
      </c>
      <c r="H960" s="170" t="n">
        <v>46088.01802083333</v>
      </c>
    </row>
    <row r="961">
      <c r="A961" s="13" t="inlineStr">
        <is>
          <t>MK00190</t>
        </is>
      </c>
      <c r="B961" s="13" t="n">
        <v>528000055</v>
      </c>
      <c r="C961" s="13" t="inlineStr">
        <is>
          <t>Dika Prasetya</t>
        </is>
      </c>
      <c r="D961" s="13" t="inlineStr">
        <is>
          <t>LOG</t>
        </is>
      </c>
      <c r="E961" s="13" t="inlineStr">
        <is>
          <t>WRM Harian</t>
        </is>
      </c>
      <c r="F961" s="170" t="n">
        <v>46060.64592592593</v>
      </c>
      <c r="G961" s="13" t="inlineStr">
        <is>
          <t>FREE</t>
        </is>
      </c>
      <c r="H961" s="170" t="n">
        <v>46088.01899305556</v>
      </c>
    </row>
    <row r="962">
      <c r="A962" s="13" t="inlineStr">
        <is>
          <t>MK00250</t>
        </is>
      </c>
      <c r="B962" s="13" t="n">
        <v>528000232</v>
      </c>
      <c r="C962" s="13" t="inlineStr">
        <is>
          <t>Agung Aji Suhada</t>
        </is>
      </c>
      <c r="D962" s="13" t="inlineStr">
        <is>
          <t>LOG</t>
        </is>
      </c>
      <c r="E962" s="13" t="inlineStr">
        <is>
          <t>WRM Harian</t>
        </is>
      </c>
      <c r="F962" s="170" t="n">
        <v>46060.66527777778</v>
      </c>
      <c r="G962" s="13" t="inlineStr">
        <is>
          <t>FREE</t>
        </is>
      </c>
      <c r="H962" s="170" t="n">
        <v>46060.99984953704</v>
      </c>
    </row>
    <row r="963">
      <c r="A963" s="13" t="inlineStr">
        <is>
          <t>MK00201</t>
        </is>
      </c>
      <c r="B963" s="13" t="n">
        <v>528000267</v>
      </c>
      <c r="C963" s="13" t="inlineStr">
        <is>
          <t>Bagas Patulloh</t>
        </is>
      </c>
      <c r="D963" s="13" t="inlineStr">
        <is>
          <t>LOG</t>
        </is>
      </c>
      <c r="E963" s="13" t="inlineStr">
        <is>
          <t>WRM Harian</t>
        </is>
      </c>
      <c r="F963" s="170" t="n">
        <v>46060.66847222222</v>
      </c>
      <c r="G963" s="13" t="inlineStr">
        <is>
          <t>FREE</t>
        </is>
      </c>
      <c r="H963" s="170" t="n">
        <v>46088.0000462963</v>
      </c>
    </row>
    <row r="964">
      <c r="A964" s="13" t="inlineStr">
        <is>
          <t>MK00249</t>
        </is>
      </c>
      <c r="B964" s="13" t="n">
        <v>528000306</v>
      </c>
      <c r="C964" s="13" t="inlineStr">
        <is>
          <t>Windy Olivia</t>
        </is>
      </c>
      <c r="D964" s="13" t="inlineStr">
        <is>
          <t>PROD</t>
        </is>
      </c>
      <c r="E964" s="13" t="inlineStr">
        <is>
          <t>Produksi Harian</t>
        </is>
      </c>
      <c r="F964" s="170" t="n">
        <v>46060.89961805556</v>
      </c>
      <c r="G964" s="13" t="inlineStr">
        <is>
          <t>FREE</t>
        </is>
      </c>
      <c r="H964" s="170" t="n">
        <v>46088.25284722223</v>
      </c>
    </row>
    <row r="965">
      <c r="A965" s="13" t="inlineStr">
        <is>
          <t>MK00126</t>
        </is>
      </c>
      <c r="B965" s="13" t="n">
        <v>528000323</v>
      </c>
      <c r="C965" s="13" t="inlineStr">
        <is>
          <t>Dian Hamidah</t>
        </is>
      </c>
      <c r="D965" s="13" t="inlineStr">
        <is>
          <t>PROD</t>
        </is>
      </c>
      <c r="E965" s="13" t="inlineStr">
        <is>
          <t>Produksi Harian</t>
        </is>
      </c>
      <c r="F965" s="170" t="n">
        <v>46060.90560185185</v>
      </c>
      <c r="G965" s="13" t="inlineStr">
        <is>
          <t>FREE</t>
        </is>
      </c>
      <c r="H965" s="170" t="n">
        <v>46088.25434027778</v>
      </c>
    </row>
    <row r="966">
      <c r="A966" s="13" t="inlineStr">
        <is>
          <t>MK00235</t>
        </is>
      </c>
      <c r="B966" s="13" t="n">
        <v>528000297</v>
      </c>
      <c r="C966" s="13" t="inlineStr">
        <is>
          <t>Muhamad Budiana</t>
        </is>
      </c>
      <c r="D966" s="13" t="inlineStr">
        <is>
          <t>PROD</t>
        </is>
      </c>
      <c r="E966" s="13" t="inlineStr">
        <is>
          <t>Produksi Harian</t>
        </is>
      </c>
      <c r="F966" s="170" t="n">
        <v>46060.90600694445</v>
      </c>
      <c r="G966" s="13" t="inlineStr">
        <is>
          <t>FREE</t>
        </is>
      </c>
      <c r="H966" s="170" t="n">
        <v>46088.33425925926</v>
      </c>
    </row>
    <row r="967">
      <c r="A967" s="13" t="inlineStr">
        <is>
          <t>MK00204</t>
        </is>
      </c>
      <c r="B967" s="13" t="n">
        <v>528000279</v>
      </c>
      <c r="C967" s="13" t="inlineStr">
        <is>
          <t>Mahdalena Dalfa Riani</t>
        </is>
      </c>
      <c r="D967" s="13" t="inlineStr">
        <is>
          <t>PROD</t>
        </is>
      </c>
      <c r="E967" s="13" t="inlineStr">
        <is>
          <t>Produksi Harian</t>
        </is>
      </c>
      <c r="F967" s="170" t="n">
        <v>46060.90809027778</v>
      </c>
      <c r="G967" s="13" t="inlineStr">
        <is>
          <t>FREE</t>
        </is>
      </c>
      <c r="H967" s="170" t="n">
        <v>46088.25349537037</v>
      </c>
    </row>
    <row r="968">
      <c r="A968" s="13" t="inlineStr">
        <is>
          <t>MK00108</t>
        </is>
      </c>
      <c r="B968" s="13" t="n">
        <v>628000064</v>
      </c>
      <c r="C968" s="13" t="inlineStr">
        <is>
          <t>Silva Alypia</t>
        </is>
      </c>
      <c r="D968" s="13" t="inlineStr">
        <is>
          <t>PROD</t>
        </is>
      </c>
      <c r="E968" s="13" t="inlineStr">
        <is>
          <t>Produksi Borongan</t>
        </is>
      </c>
      <c r="F968" s="170" t="n">
        <v>46060.90920138889</v>
      </c>
      <c r="G968" s="13" t="inlineStr">
        <is>
          <t>FREE</t>
        </is>
      </c>
      <c r="H968" s="170" t="n">
        <v>46088.25392361111</v>
      </c>
    </row>
    <row r="969">
      <c r="A969" s="13" t="inlineStr">
        <is>
          <t>MK00158</t>
        </is>
      </c>
      <c r="B969" s="13" t="n">
        <v>528000300</v>
      </c>
      <c r="C969" s="13" t="inlineStr">
        <is>
          <t>Lia pitaloka</t>
        </is>
      </c>
      <c r="D969" s="13" t="inlineStr">
        <is>
          <t>PROD</t>
        </is>
      </c>
      <c r="E969" s="13" t="inlineStr">
        <is>
          <t>Produksi Harian</t>
        </is>
      </c>
      <c r="F969" s="170" t="n">
        <v>46060.90928240741</v>
      </c>
      <c r="G969" s="13" t="inlineStr">
        <is>
          <t>FREE</t>
        </is>
      </c>
      <c r="H969" s="170" t="n">
        <v>46088.25354166667</v>
      </c>
    </row>
    <row r="970">
      <c r="A970" s="13" t="inlineStr">
        <is>
          <t>MK00008</t>
        </is>
      </c>
      <c r="B970" s="13" t="n">
        <v>528000288</v>
      </c>
      <c r="C970" s="13" t="inlineStr">
        <is>
          <t>Dede gunawan</t>
        </is>
      </c>
      <c r="D970" s="13" t="inlineStr">
        <is>
          <t>PROD</t>
        </is>
      </c>
      <c r="E970" s="13" t="inlineStr">
        <is>
          <t>Produksi Harian</t>
        </is>
      </c>
      <c r="F970" s="170" t="n">
        <v>46060.9096875</v>
      </c>
      <c r="G970" s="13" t="inlineStr">
        <is>
          <t>FREE</t>
        </is>
      </c>
      <c r="H970" s="170" t="n">
        <v>46088.33381944444</v>
      </c>
    </row>
    <row r="971">
      <c r="A971" s="13" t="inlineStr">
        <is>
          <t>MK00136</t>
        </is>
      </c>
      <c r="B971" s="13" t="n">
        <v>528000063</v>
      </c>
      <c r="C971" s="13" t="inlineStr">
        <is>
          <t>Muhamad Ripki Pebrian</t>
        </is>
      </c>
      <c r="D971" s="13" t="inlineStr">
        <is>
          <t>PROD</t>
        </is>
      </c>
      <c r="E971" s="13" t="inlineStr">
        <is>
          <t>Produksi Harian</t>
        </is>
      </c>
      <c r="F971" s="170" t="n">
        <v>46060.91504629629</v>
      </c>
      <c r="G971" s="13" t="inlineStr">
        <is>
          <t>FREE</t>
        </is>
      </c>
      <c r="H971" s="170" t="n">
        <v>46088.25226851852</v>
      </c>
    </row>
    <row r="972">
      <c r="A972" s="13" t="inlineStr">
        <is>
          <t>MK00250</t>
        </is>
      </c>
      <c r="B972" s="13" t="n">
        <v>528000052</v>
      </c>
      <c r="C972" s="13" t="inlineStr">
        <is>
          <t>Mustopa</t>
        </is>
      </c>
      <c r="D972" s="13" t="inlineStr">
        <is>
          <t>PROD</t>
        </is>
      </c>
      <c r="E972" s="13" t="inlineStr">
        <is>
          <t>Produksi Harian</t>
        </is>
      </c>
      <c r="F972" s="170" t="n">
        <v>46088.22842592592</v>
      </c>
      <c r="G972" s="13" t="inlineStr">
        <is>
          <t>FREE</t>
        </is>
      </c>
      <c r="H972" s="170" t="n">
        <v>46088.58545138889</v>
      </c>
    </row>
    <row r="973">
      <c r="A973" s="13" t="inlineStr">
        <is>
          <t>MK00093</t>
        </is>
      </c>
      <c r="B973" s="13" t="n">
        <v>528000266</v>
      </c>
      <c r="C973" s="13" t="inlineStr">
        <is>
          <t>M. Syirajatieq</t>
        </is>
      </c>
      <c r="D973" s="13" t="inlineStr">
        <is>
          <t>LOG</t>
        </is>
      </c>
      <c r="E973" s="13" t="inlineStr">
        <is>
          <t>WFG Harian</t>
        </is>
      </c>
      <c r="F973" s="170" t="n">
        <v>46088.23831018519</v>
      </c>
      <c r="G973" s="13" t="inlineStr">
        <is>
          <t>FREE</t>
        </is>
      </c>
      <c r="H973" s="170" t="n">
        <v>46088.24430555556</v>
      </c>
    </row>
    <row r="974">
      <c r="A974" s="13" t="inlineStr">
        <is>
          <t>MK00151</t>
        </is>
      </c>
      <c r="B974" s="13" t="n">
        <v>528000358</v>
      </c>
      <c r="C974" s="13" t="inlineStr">
        <is>
          <t>Lulu Agustin</t>
        </is>
      </c>
      <c r="D974" s="13" t="inlineStr">
        <is>
          <t>PROD</t>
        </is>
      </c>
      <c r="E974" s="13" t="inlineStr">
        <is>
          <t>Produksi Harian</t>
        </is>
      </c>
      <c r="F974" s="170" t="n">
        <v>46088.23951388889</v>
      </c>
      <c r="G974" s="13" t="inlineStr">
        <is>
          <t>FREE</t>
        </is>
      </c>
      <c r="H974" s="170" t="n">
        <v>46088.58376157407</v>
      </c>
    </row>
    <row r="975">
      <c r="A975" s="13" t="inlineStr">
        <is>
          <t>MK00209</t>
        </is>
      </c>
      <c r="B975" s="13" t="n">
        <v>528000262</v>
      </c>
      <c r="C975" s="13" t="inlineStr">
        <is>
          <t>Ndari Dwiwanti</t>
        </is>
      </c>
      <c r="D975" s="13" t="inlineStr">
        <is>
          <t>PROD</t>
        </is>
      </c>
      <c r="E975" s="13" t="inlineStr">
        <is>
          <t>Produksi Harian</t>
        </is>
      </c>
      <c r="F975" s="170" t="n">
        <v>46088.24120370371</v>
      </c>
      <c r="G975" s="13" t="inlineStr">
        <is>
          <t>FREE</t>
        </is>
      </c>
      <c r="H975" s="170" t="n">
        <v>46088.58372685185</v>
      </c>
    </row>
    <row r="976">
      <c r="A976" s="13" t="inlineStr">
        <is>
          <t>MK00199</t>
        </is>
      </c>
      <c r="B976" s="13" t="n">
        <v>528000261</v>
      </c>
      <c r="C976" s="13" t="inlineStr">
        <is>
          <t>Ergi Ergianto</t>
        </is>
      </c>
      <c r="D976" s="13" t="inlineStr">
        <is>
          <t>HRGA</t>
        </is>
      </c>
      <c r="E976" s="13" t="inlineStr">
        <is>
          <t>GA Harian</t>
        </is>
      </c>
      <c r="F976" s="170" t="n">
        <v>46088.24152777778</v>
      </c>
      <c r="G976" s="13" t="inlineStr">
        <is>
          <t>FREE</t>
        </is>
      </c>
      <c r="H976" s="170" t="n">
        <v>46088.58606481482</v>
      </c>
    </row>
    <row r="977">
      <c r="A977" s="13" t="inlineStr">
        <is>
          <t>MK00138</t>
        </is>
      </c>
      <c r="B977" s="13" t="n">
        <v>528000195</v>
      </c>
      <c r="C977" s="13" t="inlineStr">
        <is>
          <t>Rahma Sariwati</t>
        </is>
      </c>
      <c r="D977" s="13" t="inlineStr">
        <is>
          <t>PROD</t>
        </is>
      </c>
      <c r="E977" s="13" t="inlineStr">
        <is>
          <t>Produksi Harian</t>
        </is>
      </c>
      <c r="F977" s="170" t="n">
        <v>46088.24215277778</v>
      </c>
      <c r="G977" s="13" t="inlineStr">
        <is>
          <t>FREE</t>
        </is>
      </c>
      <c r="H977" s="170" t="n">
        <v>46088.58425925926</v>
      </c>
    </row>
    <row r="978">
      <c r="A978" s="13" t="inlineStr">
        <is>
          <t>MK00154</t>
        </is>
      </c>
      <c r="B978" s="13" t="n">
        <v>528000291</v>
      </c>
      <c r="C978" s="13" t="inlineStr">
        <is>
          <t>Andrian</t>
        </is>
      </c>
      <c r="D978" s="13" t="inlineStr">
        <is>
          <t>PROD</t>
        </is>
      </c>
      <c r="E978" s="13" t="inlineStr">
        <is>
          <t>Produksi Harian</t>
        </is>
      </c>
      <c r="F978" s="170" t="n">
        <v>46088.24461805556</v>
      </c>
      <c r="G978" s="13" t="inlineStr">
        <is>
          <t>FREE</t>
        </is>
      </c>
      <c r="H978" s="170" t="n">
        <v>46088.58663194445</v>
      </c>
    </row>
    <row r="979">
      <c r="A979" s="13" t="inlineStr">
        <is>
          <t>MK00210</t>
        </is>
      </c>
      <c r="B979" s="13" t="n">
        <v>528000282</v>
      </c>
      <c r="C979" s="13" t="inlineStr">
        <is>
          <t>Defa Desfiana</t>
        </is>
      </c>
      <c r="D979" s="13" t="inlineStr">
        <is>
          <t>PROD</t>
        </is>
      </c>
      <c r="E979" s="13" t="inlineStr">
        <is>
          <t>Produksi Harian</t>
        </is>
      </c>
      <c r="F979" s="170" t="n">
        <v>46088.31699074074</v>
      </c>
      <c r="G979" s="13" t="inlineStr">
        <is>
          <t>FREE</t>
        </is>
      </c>
      <c r="H979" s="170" t="n">
        <v>46088.66766203703</v>
      </c>
    </row>
    <row r="980">
      <c r="A980" s="13" t="inlineStr">
        <is>
          <t>MK00249</t>
        </is>
      </c>
      <c r="B980" s="13" t="n">
        <v>528000265</v>
      </c>
      <c r="C980" s="13" t="inlineStr">
        <is>
          <t>Muhammad Haerul Rozikin</t>
        </is>
      </c>
      <c r="D980" s="13" t="inlineStr">
        <is>
          <t>LOG</t>
        </is>
      </c>
      <c r="E980" s="13" t="inlineStr">
        <is>
          <t>WRM Harian</t>
        </is>
      </c>
      <c r="F980" s="170" t="n">
        <v>46088.32153935185</v>
      </c>
      <c r="G980" s="13" t="inlineStr">
        <is>
          <t>FREE</t>
        </is>
      </c>
      <c r="H980" s="170" t="n">
        <v>46088.66872685185</v>
      </c>
    </row>
    <row r="981">
      <c r="A981" s="13" t="inlineStr">
        <is>
          <t>MK00213</t>
        </is>
      </c>
      <c r="B981" s="13" t="n">
        <v>528000015</v>
      </c>
      <c r="C981" s="13" t="inlineStr">
        <is>
          <t>Erwin</t>
        </is>
      </c>
      <c r="D981" s="13" t="inlineStr">
        <is>
          <t>LOG</t>
        </is>
      </c>
      <c r="E981" s="13" t="inlineStr">
        <is>
          <t>WRM Harian</t>
        </is>
      </c>
      <c r="F981" s="170" t="n">
        <v>46088.32804398148</v>
      </c>
      <c r="G981" s="13" t="inlineStr">
        <is>
          <t>FREE</t>
        </is>
      </c>
      <c r="H981" s="170" t="n">
        <v>46088.873125</v>
      </c>
    </row>
    <row r="982">
      <c r="A982" s="13" t="inlineStr">
        <is>
          <t>MK00158</t>
        </is>
      </c>
      <c r="B982" s="13" t="n">
        <v>528000349</v>
      </c>
      <c r="C982" s="13" t="inlineStr">
        <is>
          <t>Anas Abdul Fatah</t>
        </is>
      </c>
      <c r="D982" s="13" t="inlineStr">
        <is>
          <t>LOG</t>
        </is>
      </c>
      <c r="E982" s="13" t="inlineStr">
        <is>
          <t>WFG Harian</t>
        </is>
      </c>
      <c r="F982" s="170" t="n">
        <v>46088.32956018519</v>
      </c>
      <c r="G982" s="13" t="inlineStr">
        <is>
          <t>FREE</t>
        </is>
      </c>
      <c r="H982" s="170" t="n">
        <v>46088.67634259259</v>
      </c>
    </row>
    <row r="983">
      <c r="A983" s="13" t="inlineStr">
        <is>
          <t>MK00082</t>
        </is>
      </c>
      <c r="B983" s="13" t="n">
        <v>528000144</v>
      </c>
      <c r="C983" s="13" t="inlineStr">
        <is>
          <t>Jodi Hanafi</t>
        </is>
      </c>
      <c r="D983" s="13" t="inlineStr">
        <is>
          <t>LOG</t>
        </is>
      </c>
      <c r="E983" s="13" t="inlineStr">
        <is>
          <t>WRM Harian</t>
        </is>
      </c>
      <c r="F983" s="170" t="n">
        <v>46088.33289351852</v>
      </c>
      <c r="G983" s="13" t="inlineStr">
        <is>
          <t>FREE</t>
        </is>
      </c>
      <c r="H983" s="170" t="n">
        <v>46088.67440972223</v>
      </c>
    </row>
    <row r="984">
      <c r="A984" s="13" t="inlineStr">
        <is>
          <t>MK00008</t>
        </is>
      </c>
      <c r="B984" s="13" t="n">
        <v>528000310</v>
      </c>
      <c r="C984" s="13" t="inlineStr">
        <is>
          <t>Fachrul Rozzi Suryana</t>
        </is>
      </c>
      <c r="D984" s="13" t="inlineStr">
        <is>
          <t>LOG</t>
        </is>
      </c>
      <c r="E984" s="13" t="inlineStr">
        <is>
          <t>WRM Harian</t>
        </is>
      </c>
      <c r="F984" s="170" t="n">
        <v>46088.33484953704</v>
      </c>
      <c r="G984" s="13" t="inlineStr">
        <is>
          <t>FREE</t>
        </is>
      </c>
      <c r="H984" s="170" t="n">
        <v>46088.66802083333</v>
      </c>
    </row>
    <row r="985">
      <c r="A985" s="13" t="inlineStr">
        <is>
          <t>MK00228</t>
        </is>
      </c>
      <c r="B985" s="13" t="n">
        <v>528000132</v>
      </c>
      <c r="C985" s="13" t="inlineStr">
        <is>
          <t>Giopani</t>
        </is>
      </c>
      <c r="D985" s="13" t="inlineStr">
        <is>
          <t>LOG</t>
        </is>
      </c>
      <c r="E985" s="13" t="inlineStr">
        <is>
          <t>WRM Harian</t>
        </is>
      </c>
      <c r="F985" s="170" t="n">
        <v>46088.364375</v>
      </c>
      <c r="G985" s="13" t="inlineStr">
        <is>
          <t>FREE</t>
        </is>
      </c>
      <c r="H985" s="170" t="n">
        <v>46088.73125</v>
      </c>
    </row>
    <row r="986">
      <c r="A986" s="13" t="inlineStr">
        <is>
          <t>MK00205</t>
        </is>
      </c>
      <c r="B986" s="13" t="n">
        <v>528000348</v>
      </c>
      <c r="C986" s="13" t="inlineStr">
        <is>
          <t>Saepuloh Ardiansah</t>
        </is>
      </c>
      <c r="D986" s="13" t="inlineStr">
        <is>
          <t>LOG</t>
        </is>
      </c>
      <c r="E986" s="13" t="inlineStr">
        <is>
          <t>WRM Harian</t>
        </is>
      </c>
      <c r="F986" s="170" t="n">
        <v>46088.3713425926</v>
      </c>
      <c r="G986" s="13" t="inlineStr">
        <is>
          <t>FREE</t>
        </is>
      </c>
      <c r="H986" s="170" t="n">
        <v>46088.82565972222</v>
      </c>
    </row>
    <row r="987">
      <c r="A987" s="13" t="inlineStr">
        <is>
          <t>MK00112</t>
        </is>
      </c>
      <c r="B987" s="13" t="n">
        <v>628000061</v>
      </c>
      <c r="C987" s="13" t="inlineStr">
        <is>
          <t>Nayla Fadillah Exwantoro</t>
        </is>
      </c>
      <c r="D987" s="13" t="inlineStr">
        <is>
          <t>PROD</t>
        </is>
      </c>
      <c r="E987" s="13" t="inlineStr">
        <is>
          <t>Produksi Borongan</t>
        </is>
      </c>
      <c r="F987" s="170" t="n">
        <v>46088.53895833333</v>
      </c>
      <c r="G987" s="13" t="inlineStr">
        <is>
          <t>FREE</t>
        </is>
      </c>
      <c r="H987" s="170" t="n">
        <v>46088.99956018518</v>
      </c>
    </row>
    <row r="988">
      <c r="A988" s="13" t="inlineStr">
        <is>
          <t>MK00U30</t>
        </is>
      </c>
      <c r="B988" s="13" t="n">
        <v>628000091</v>
      </c>
      <c r="C988" s="13" t="inlineStr">
        <is>
          <t>Devita Handayani</t>
        </is>
      </c>
      <c r="D988" s="13" t="inlineStr">
        <is>
          <t>PROD</t>
        </is>
      </c>
      <c r="E988" s="13" t="inlineStr">
        <is>
          <t>Produksi Borongan</t>
        </is>
      </c>
      <c r="F988" s="170" t="n">
        <v>46088.56217592592</v>
      </c>
      <c r="G988" s="13" t="inlineStr">
        <is>
          <t>FREE</t>
        </is>
      </c>
      <c r="H988" s="170" t="n">
        <v>46088.56552083333</v>
      </c>
    </row>
    <row r="989">
      <c r="A989" s="13" t="inlineStr">
        <is>
          <t>MK00230</t>
        </is>
      </c>
      <c r="B989" s="13" t="n">
        <v>628000091</v>
      </c>
      <c r="C989" s="13" t="inlineStr">
        <is>
          <t>Devita Handayani</t>
        </is>
      </c>
      <c r="D989" s="13" t="inlineStr">
        <is>
          <t>PROD</t>
        </is>
      </c>
      <c r="E989" s="13" t="inlineStr">
        <is>
          <t>Produksi Borongan</t>
        </is>
      </c>
      <c r="F989" s="170" t="n">
        <v>46088.56609953703</v>
      </c>
      <c r="G989" s="13" t="inlineStr">
        <is>
          <t>FREE</t>
        </is>
      </c>
      <c r="H989" s="170" t="n">
        <v>46088.92173611111</v>
      </c>
    </row>
    <row r="990">
      <c r="A990" s="13" t="inlineStr">
        <is>
          <t>MK00136</t>
        </is>
      </c>
      <c r="B990" s="13" t="n">
        <v>528000305</v>
      </c>
      <c r="C990" s="13" t="inlineStr">
        <is>
          <t>Puji Puspita</t>
        </is>
      </c>
      <c r="D990" s="13" t="inlineStr">
        <is>
          <t>PROD</t>
        </is>
      </c>
      <c r="E990" s="13" t="inlineStr">
        <is>
          <t>Produksi Harian</t>
        </is>
      </c>
      <c r="F990" s="170" t="n">
        <v>46088.56756944444</v>
      </c>
      <c r="G990" s="13" t="inlineStr">
        <is>
          <t>FREE</t>
        </is>
      </c>
      <c r="H990" s="170" t="n">
        <v>46088.92137731481</v>
      </c>
    </row>
    <row r="991">
      <c r="A991" s="13" t="inlineStr">
        <is>
          <t>MK00113</t>
        </is>
      </c>
      <c r="B991" s="13" t="n">
        <v>528000299</v>
      </c>
      <c r="C991" s="13" t="inlineStr">
        <is>
          <t>Siti Nurjanah</t>
        </is>
      </c>
      <c r="D991" s="13" t="inlineStr">
        <is>
          <t>PROD</t>
        </is>
      </c>
      <c r="E991" s="13" t="inlineStr">
        <is>
          <t>Produksi Harian</t>
        </is>
      </c>
      <c r="F991" s="170" t="n">
        <v>46088.56814814815</v>
      </c>
      <c r="G991" s="13" t="inlineStr">
        <is>
          <t>FREE</t>
        </is>
      </c>
      <c r="H991" s="170" t="n">
        <v>46088.92090277778</v>
      </c>
    </row>
    <row r="992">
      <c r="A992" s="13" t="inlineStr">
        <is>
          <t>MK00235</t>
        </is>
      </c>
      <c r="B992" s="13" t="n">
        <v>528000302</v>
      </c>
      <c r="C992" s="13" t="inlineStr">
        <is>
          <t>Henkey gumilar</t>
        </is>
      </c>
      <c r="D992" s="13" t="inlineStr">
        <is>
          <t>PROD</t>
        </is>
      </c>
      <c r="E992" s="13" t="inlineStr">
        <is>
          <t>Produksi Harian</t>
        </is>
      </c>
      <c r="F992" s="170" t="n">
        <v>46088.56900462963</v>
      </c>
      <c r="G992" s="13" t="inlineStr">
        <is>
          <t>FREE</t>
        </is>
      </c>
      <c r="H992" s="170" t="n">
        <v>46088.92260416667</v>
      </c>
    </row>
    <row r="993">
      <c r="A993" s="13" t="inlineStr">
        <is>
          <t>MK00181</t>
        </is>
      </c>
      <c r="B993" s="13" t="n">
        <v>528000298</v>
      </c>
      <c r="C993" s="13" t="inlineStr">
        <is>
          <t>Desta Cahaya Pratama</t>
        </is>
      </c>
      <c r="D993" s="13" t="inlineStr">
        <is>
          <t>PROD</t>
        </is>
      </c>
      <c r="E993" s="13" t="inlineStr">
        <is>
          <t>Produksi Harian</t>
        </is>
      </c>
      <c r="F993" s="170" t="n">
        <v>46088.56997685185</v>
      </c>
      <c r="G993" s="13" t="inlineStr">
        <is>
          <t>FREE</t>
        </is>
      </c>
      <c r="H993" s="170" t="n">
        <v>46088.91953703704</v>
      </c>
    </row>
    <row r="994">
      <c r="A994" s="13" t="inlineStr">
        <is>
          <t>MK00134</t>
        </is>
      </c>
      <c r="B994" s="13" t="n">
        <v>528000270</v>
      </c>
      <c r="C994" s="13" t="inlineStr">
        <is>
          <t>Febri Najmudin</t>
        </is>
      </c>
      <c r="D994" s="13" t="inlineStr">
        <is>
          <t>LOG</t>
        </is>
      </c>
      <c r="E994" s="13" t="inlineStr">
        <is>
          <t>WRM Harian</t>
        </is>
      </c>
      <c r="F994" s="170" t="n">
        <v>46088.57299768519</v>
      </c>
      <c r="G994" s="13" t="inlineStr">
        <is>
          <t>FREE</t>
        </is>
      </c>
      <c r="H994" s="170" t="n">
        <v>46088.93331018519</v>
      </c>
    </row>
    <row r="995">
      <c r="A995" s="13" t="inlineStr">
        <is>
          <t>MK00116</t>
        </is>
      </c>
      <c r="B995" s="13" t="n">
        <v>528000309</v>
      </c>
      <c r="C995" s="13" t="inlineStr">
        <is>
          <t>Ilham Ramadhan</t>
        </is>
      </c>
      <c r="D995" s="13" t="inlineStr">
        <is>
          <t>LOG</t>
        </is>
      </c>
      <c r="E995" s="13" t="inlineStr">
        <is>
          <t>WRM Harian</t>
        </is>
      </c>
      <c r="F995" s="170" t="n">
        <v>46088.57711805555</v>
      </c>
      <c r="G995" s="13" t="inlineStr">
        <is>
          <t>FREE</t>
        </is>
      </c>
      <c r="H995" s="170" t="n">
        <v>46088.92225694445</v>
      </c>
    </row>
    <row r="996">
      <c r="A996" s="13" t="inlineStr">
        <is>
          <t>MHZZZY3</t>
        </is>
      </c>
      <c r="B996" s="13" t="n">
        <v>528000266</v>
      </c>
      <c r="C996" s="13" t="inlineStr">
        <is>
          <t>M. Syirajatieq</t>
        </is>
      </c>
      <c r="D996" s="13" t="inlineStr">
        <is>
          <t>LOG</t>
        </is>
      </c>
      <c r="E996" s="13" t="inlineStr">
        <is>
          <t>WFG Harian</t>
        </is>
      </c>
      <c r="F996" s="170" t="n">
        <v>46088.59237268518</v>
      </c>
      <c r="G996" s="13" t="inlineStr">
        <is>
          <t>FREE</t>
        </is>
      </c>
      <c r="H996" s="170" t="n">
        <v>46119.23805555556</v>
      </c>
    </row>
    <row r="997">
      <c r="A997" s="13" t="inlineStr">
        <is>
          <t>MK00180</t>
        </is>
      </c>
      <c r="B997" s="13" t="n">
        <v>528000055</v>
      </c>
      <c r="C997" s="13" t="inlineStr">
        <is>
          <t>Dika Prasetya</t>
        </is>
      </c>
      <c r="D997" s="13" t="inlineStr">
        <is>
          <t>LOG</t>
        </is>
      </c>
      <c r="E997" s="13" t="inlineStr">
        <is>
          <t>WRM Harian</t>
        </is>
      </c>
      <c r="F997" s="170" t="n">
        <v>46088.63888888889</v>
      </c>
      <c r="G997" s="13" t="inlineStr">
        <is>
          <t>FREE</t>
        </is>
      </c>
      <c r="H997" s="170" t="n">
        <v>46119.01310185185</v>
      </c>
    </row>
    <row r="998">
      <c r="A998" s="13" t="inlineStr">
        <is>
          <t>MK00093</t>
        </is>
      </c>
      <c r="B998" s="13" t="n">
        <v>528000232</v>
      </c>
      <c r="C998" s="13" t="inlineStr">
        <is>
          <t>Agung Aji Suhada</t>
        </is>
      </c>
      <c r="D998" s="13" t="inlineStr">
        <is>
          <t>LOG</t>
        </is>
      </c>
      <c r="E998" s="13" t="inlineStr">
        <is>
          <t>WRM Harian</t>
        </is>
      </c>
      <c r="F998" s="170" t="n">
        <v>46088.66159722222</v>
      </c>
      <c r="G998" s="13" t="inlineStr">
        <is>
          <t>FREE</t>
        </is>
      </c>
      <c r="H998" s="170" t="n">
        <v>46119.24694444444</v>
      </c>
    </row>
    <row r="999">
      <c r="A999" s="13" t="inlineStr">
        <is>
          <t>MK00213</t>
        </is>
      </c>
      <c r="B999" s="13" t="n">
        <v>528000297</v>
      </c>
      <c r="C999" s="13" t="inlineStr">
        <is>
          <t>Muhamad Budiana</t>
        </is>
      </c>
      <c r="D999" s="13" t="inlineStr">
        <is>
          <t>PROD</t>
        </is>
      </c>
      <c r="E999" s="13" t="inlineStr">
        <is>
          <t>Produksi Harian</t>
        </is>
      </c>
      <c r="F999" s="170" t="n">
        <v>46088.90829861111</v>
      </c>
      <c r="G999" s="13" t="inlineStr">
        <is>
          <t>FREE</t>
        </is>
      </c>
      <c r="H999" s="170" t="n">
        <v>46119.29827546296</v>
      </c>
    </row>
    <row r="1000">
      <c r="A1000" s="13" t="inlineStr">
        <is>
          <t>MK00202</t>
        </is>
      </c>
      <c r="B1000" s="13" t="n">
        <v>528000288</v>
      </c>
      <c r="C1000" s="13" t="inlineStr">
        <is>
          <t>Dede gunawan</t>
        </is>
      </c>
      <c r="D1000" s="13" t="inlineStr">
        <is>
          <t>PROD</t>
        </is>
      </c>
      <c r="E1000" s="13" t="inlineStr">
        <is>
          <t>Produksi Harian</t>
        </is>
      </c>
      <c r="F1000" s="170" t="n">
        <v>46088.91005787037</v>
      </c>
      <c r="G1000" s="13" t="inlineStr">
        <is>
          <t>FREE</t>
        </is>
      </c>
      <c r="H1000" s="170" t="n">
        <v>46119.25361111111</v>
      </c>
    </row>
    <row r="1001">
      <c r="A1001" s="13" t="inlineStr">
        <is>
          <t>MK00148</t>
        </is>
      </c>
      <c r="B1001" s="13" t="n">
        <v>628000064</v>
      </c>
      <c r="C1001" s="13" t="inlineStr">
        <is>
          <t>Silva Alypia</t>
        </is>
      </c>
      <c r="D1001" s="13" t="inlineStr">
        <is>
          <t>PROD</t>
        </is>
      </c>
      <c r="E1001" s="13" t="inlineStr">
        <is>
          <t>Produksi Borongan</t>
        </is>
      </c>
      <c r="F1001" s="170" t="n">
        <v>46088.91077546297</v>
      </c>
      <c r="G1001" s="13" t="inlineStr">
        <is>
          <t>FREE</t>
        </is>
      </c>
      <c r="H1001" s="170" t="n">
        <v>46119.25256944444</v>
      </c>
    </row>
    <row r="1002">
      <c r="A1002" s="13" t="inlineStr">
        <is>
          <t>MK00210</t>
        </is>
      </c>
      <c r="B1002" s="13" t="n">
        <v>528000300</v>
      </c>
      <c r="C1002" s="13" t="inlineStr">
        <is>
          <t>Lia pitaloka</t>
        </is>
      </c>
      <c r="D1002" s="13" t="inlineStr">
        <is>
          <t>PROD</t>
        </is>
      </c>
      <c r="E1002" s="13" t="inlineStr">
        <is>
          <t>Produksi Harian</t>
        </is>
      </c>
      <c r="F1002" s="170" t="n">
        <v>46088.91158564815</v>
      </c>
      <c r="G1002" s="13" t="inlineStr">
        <is>
          <t>FREE</t>
        </is>
      </c>
      <c r="H1002" s="170" t="n">
        <v>46119.25280092593</v>
      </c>
    </row>
    <row r="1003">
      <c r="A1003" s="13" t="inlineStr">
        <is>
          <t>MK00145</t>
        </is>
      </c>
      <c r="B1003" s="13" t="n">
        <v>528000279</v>
      </c>
      <c r="C1003" s="13" t="inlineStr">
        <is>
          <t>Mahdalena Dalfa Riani</t>
        </is>
      </c>
      <c r="D1003" s="13" t="inlineStr">
        <is>
          <t>PROD</t>
        </is>
      </c>
      <c r="E1003" s="13" t="inlineStr">
        <is>
          <t>Produksi Harian</t>
        </is>
      </c>
      <c r="F1003" s="170" t="n">
        <v>46088.91207175926</v>
      </c>
      <c r="G1003" s="13" t="inlineStr">
        <is>
          <t>FREE</t>
        </is>
      </c>
      <c r="H1003" s="170" t="n">
        <v>46088.91380787037</v>
      </c>
    </row>
    <row r="1004">
      <c r="A1004" s="13" t="inlineStr">
        <is>
          <t>MK00249</t>
        </is>
      </c>
      <c r="B1004" s="13" t="n">
        <v>528000063</v>
      </c>
      <c r="C1004" s="13" t="inlineStr">
        <is>
          <t>Muhamad Ripki Pebrian</t>
        </is>
      </c>
      <c r="D1004" s="13" t="inlineStr">
        <is>
          <t>PROD</t>
        </is>
      </c>
      <c r="E1004" s="13" t="inlineStr">
        <is>
          <t>Produksi Harian</t>
        </is>
      </c>
      <c r="F1004" s="170" t="n">
        <v>46088.91412037037</v>
      </c>
      <c r="G1004" s="13" t="inlineStr">
        <is>
          <t>FREE</t>
        </is>
      </c>
      <c r="H1004" s="170" t="n">
        <v>46119.25184027778</v>
      </c>
    </row>
    <row r="1005">
      <c r="A1005" s="13" t="inlineStr">
        <is>
          <t>MK00208</t>
        </is>
      </c>
      <c r="B1005" s="13" t="n">
        <v>528000279</v>
      </c>
      <c r="C1005" s="13" t="inlineStr">
        <is>
          <t>Mahdalena Dalfa Riani</t>
        </is>
      </c>
      <c r="D1005" s="13" t="inlineStr">
        <is>
          <t>PROD</t>
        </is>
      </c>
      <c r="E1005" s="13" t="inlineStr">
        <is>
          <t>Produksi Harian</t>
        </is>
      </c>
      <c r="F1005" s="170" t="n">
        <v>46088.91549768519</v>
      </c>
      <c r="G1005" s="13" t="inlineStr">
        <is>
          <t>FREE</t>
        </is>
      </c>
      <c r="H1005" s="170" t="n">
        <v>46119.2528587963</v>
      </c>
    </row>
    <row r="1006">
      <c r="A1006" s="13" t="inlineStr">
        <is>
          <t>MK00108</t>
        </is>
      </c>
      <c r="B1006" s="13" t="n">
        <v>528000052</v>
      </c>
      <c r="C1006" s="13" t="inlineStr">
        <is>
          <t>Mustopa</t>
        </is>
      </c>
      <c r="D1006" s="13" t="inlineStr">
        <is>
          <t>PROD</t>
        </is>
      </c>
      <c r="E1006" s="13" t="inlineStr">
        <is>
          <t>Produksi Harian</t>
        </is>
      </c>
      <c r="F1006" s="170" t="n">
        <v>46119.21922453704</v>
      </c>
      <c r="G1006" s="13" t="inlineStr">
        <is>
          <t>FREE</t>
        </is>
      </c>
      <c r="H1006" s="170" t="n">
        <v>46119.58471064815</v>
      </c>
    </row>
    <row r="1007">
      <c r="A1007" s="13" t="inlineStr">
        <is>
          <t>MK00090</t>
        </is>
      </c>
      <c r="B1007" s="13" t="n">
        <v>528000262</v>
      </c>
      <c r="C1007" s="13" t="inlineStr">
        <is>
          <t>Ndari Dwiwanti</t>
        </is>
      </c>
      <c r="D1007" s="13" t="inlineStr">
        <is>
          <t>PROD</t>
        </is>
      </c>
      <c r="E1007" s="13" t="inlineStr">
        <is>
          <t>Produksi Harian</t>
        </is>
      </c>
      <c r="F1007" s="170" t="n">
        <v>46119.23439814815</v>
      </c>
      <c r="G1007" s="13" t="inlineStr">
        <is>
          <t>FREE</t>
        </is>
      </c>
      <c r="H1007" s="170" t="n">
        <v>46119.58347222222</v>
      </c>
    </row>
    <row r="1008">
      <c r="A1008" s="13" t="inlineStr">
        <is>
          <t>MK00230</t>
        </is>
      </c>
      <c r="B1008" s="13" t="n">
        <v>528000266</v>
      </c>
      <c r="C1008" s="13" t="inlineStr">
        <is>
          <t>M. Syirajatieq</t>
        </is>
      </c>
      <c r="D1008" s="13" t="inlineStr">
        <is>
          <t>LOG</t>
        </is>
      </c>
      <c r="E1008" s="13" t="inlineStr">
        <is>
          <t>WFG Harian</t>
        </is>
      </c>
      <c r="F1008" s="170" t="n">
        <v>46119.23827546297</v>
      </c>
      <c r="G1008" s="13" t="inlineStr">
        <is>
          <t>FREE</t>
        </is>
      </c>
      <c r="H1008" s="170" t="n">
        <v>46119.60097222222</v>
      </c>
    </row>
    <row r="1009">
      <c r="A1009" s="13" t="inlineStr">
        <is>
          <t>MK00136</t>
        </is>
      </c>
      <c r="B1009" s="13" t="n">
        <v>528000195</v>
      </c>
      <c r="C1009" s="13" t="inlineStr">
        <is>
          <t>Rahma Sariwati</t>
        </is>
      </c>
      <c r="D1009" s="13" t="inlineStr">
        <is>
          <t>PROD</t>
        </is>
      </c>
      <c r="E1009" s="13" t="inlineStr">
        <is>
          <t>Produksi Harian</t>
        </is>
      </c>
      <c r="F1009" s="170" t="n">
        <v>46119.24170138889</v>
      </c>
      <c r="G1009" s="13" t="inlineStr">
        <is>
          <t>FREE</t>
        </is>
      </c>
      <c r="H1009" s="170" t="n">
        <v>46119.58325231481</v>
      </c>
    </row>
    <row r="1010">
      <c r="A1010" s="13" t="inlineStr">
        <is>
          <t>MK00235</t>
        </is>
      </c>
      <c r="B1010" s="13" t="n">
        <v>528000261</v>
      </c>
      <c r="C1010" s="13" t="inlineStr">
        <is>
          <t>Ergi Ergianto</t>
        </is>
      </c>
      <c r="D1010" s="13" t="inlineStr">
        <is>
          <t>HRGA</t>
        </is>
      </c>
      <c r="E1010" s="13" t="inlineStr">
        <is>
          <t>GA Harian</t>
        </is>
      </c>
      <c r="F1010" s="170" t="n">
        <v>46119.24315972222</v>
      </c>
      <c r="G1010" s="13" t="inlineStr">
        <is>
          <t>FREE</t>
        </is>
      </c>
      <c r="H1010" s="170" t="n">
        <v>46119.58552083333</v>
      </c>
    </row>
    <row r="1011">
      <c r="A1011" s="13" t="inlineStr">
        <is>
          <t>MK00192</t>
        </is>
      </c>
      <c r="B1011" s="13" t="n">
        <v>528000291</v>
      </c>
      <c r="C1011" s="13" t="inlineStr">
        <is>
          <t>Andrian</t>
        </is>
      </c>
      <c r="D1011" s="13" t="inlineStr">
        <is>
          <t>PROD</t>
        </is>
      </c>
      <c r="E1011" s="13" t="inlineStr">
        <is>
          <t>Produksi Harian</t>
        </is>
      </c>
      <c r="F1011" s="170" t="n">
        <v>46119.24627314815</v>
      </c>
      <c r="G1011" s="13" t="inlineStr">
        <is>
          <t>FREE</t>
        </is>
      </c>
      <c r="H1011" s="170" t="n">
        <v>46119.58539351852</v>
      </c>
    </row>
    <row r="1012">
      <c r="A1012" s="13" t="inlineStr">
        <is>
          <t>MK00215</t>
        </is>
      </c>
      <c r="B1012" s="13" t="n">
        <v>528000015</v>
      </c>
      <c r="C1012" s="13" t="inlineStr">
        <is>
          <t>Erwin</t>
        </is>
      </c>
      <c r="D1012" s="13" t="inlineStr">
        <is>
          <t>LOG</t>
        </is>
      </c>
      <c r="E1012" s="13" t="inlineStr">
        <is>
          <t>WRM Harian</t>
        </is>
      </c>
      <c r="F1012" s="170" t="n">
        <v>46119.30653935186</v>
      </c>
      <c r="G1012" s="13" t="inlineStr">
        <is>
          <t>FREE</t>
        </is>
      </c>
      <c r="H1012" s="170" t="n">
        <v>46180.65175925926</v>
      </c>
    </row>
    <row r="1013">
      <c r="A1013" s="13" t="inlineStr">
        <is>
          <t>MK00181</t>
        </is>
      </c>
      <c r="B1013" s="13" t="n">
        <v>528000144</v>
      </c>
      <c r="C1013" s="13" t="inlineStr">
        <is>
          <t>Jodi Hanafi</t>
        </is>
      </c>
      <c r="D1013" s="13" t="inlineStr">
        <is>
          <t>LOG</t>
        </is>
      </c>
      <c r="E1013" s="13" t="inlineStr">
        <is>
          <t>WRM Harian</t>
        </is>
      </c>
      <c r="F1013" s="170" t="n">
        <v>46119.32045138889</v>
      </c>
      <c r="G1013" s="13" t="inlineStr">
        <is>
          <t>FREE</t>
        </is>
      </c>
      <c r="H1013" s="170" t="n">
        <v>46119.54785879629</v>
      </c>
    </row>
    <row r="1014">
      <c r="A1014" s="13" t="inlineStr">
        <is>
          <t>MK00151</t>
        </is>
      </c>
      <c r="B1014" s="13" t="n">
        <v>528000265</v>
      </c>
      <c r="C1014" s="13" t="inlineStr">
        <is>
          <t>Muhammad Haerul Rozikin</t>
        </is>
      </c>
      <c r="D1014" s="13" t="inlineStr">
        <is>
          <t>LOG</t>
        </is>
      </c>
      <c r="E1014" s="13" t="inlineStr">
        <is>
          <t>WRM Harian</t>
        </is>
      </c>
      <c r="F1014" s="170" t="n">
        <v>46119.3249537037</v>
      </c>
      <c r="G1014" s="13" t="inlineStr">
        <is>
          <t>FREE</t>
        </is>
      </c>
      <c r="H1014" s="170" t="n">
        <v>46119.54358796297</v>
      </c>
    </row>
    <row r="1015">
      <c r="A1015" s="13" t="inlineStr">
        <is>
          <t>MK00209</t>
        </is>
      </c>
      <c r="B1015" s="13" t="n">
        <v>528000282</v>
      </c>
      <c r="C1015" s="13" t="inlineStr">
        <is>
          <t>Defa Desfiana</t>
        </is>
      </c>
      <c r="D1015" s="13" t="inlineStr">
        <is>
          <t>PROD</t>
        </is>
      </c>
      <c r="E1015" s="13" t="inlineStr">
        <is>
          <t>Produksi Harian</t>
        </is>
      </c>
      <c r="F1015" s="170" t="n">
        <v>46119.32581018518</v>
      </c>
      <c r="G1015" s="13" t="inlineStr">
        <is>
          <t>FREE</t>
        </is>
      </c>
      <c r="H1015" s="170" t="n">
        <v>46119.54266203703</v>
      </c>
    </row>
    <row r="1016">
      <c r="A1016" s="13" t="inlineStr">
        <is>
          <t>MK00145</t>
        </is>
      </c>
      <c r="B1016" s="13" t="n">
        <v>528000310</v>
      </c>
      <c r="C1016" s="13" t="inlineStr">
        <is>
          <t>Fachrul Rozzi Suryana</t>
        </is>
      </c>
      <c r="D1016" s="13" t="inlineStr">
        <is>
          <t>LOG</t>
        </is>
      </c>
      <c r="E1016" s="13" t="inlineStr">
        <is>
          <t>WRM Harian</t>
        </is>
      </c>
      <c r="F1016" s="170" t="n">
        <v>46119.33109953703</v>
      </c>
      <c r="G1016" s="13" t="inlineStr">
        <is>
          <t>FREE</t>
        </is>
      </c>
      <c r="H1016" s="170" t="n">
        <v>46119.54350694444</v>
      </c>
    </row>
    <row r="1017">
      <c r="A1017" s="13" t="inlineStr">
        <is>
          <t>MK00228</t>
        </is>
      </c>
      <c r="B1017" s="13" t="n">
        <v>528000132</v>
      </c>
      <c r="C1017" s="13" t="inlineStr">
        <is>
          <t>Giopani</t>
        </is>
      </c>
      <c r="D1017" s="13" t="inlineStr">
        <is>
          <t>LOG</t>
        </is>
      </c>
      <c r="E1017" s="13" t="inlineStr">
        <is>
          <t>WRM Harian</t>
        </is>
      </c>
      <c r="F1017" s="170" t="n">
        <v>46119.3659837963</v>
      </c>
      <c r="G1017" s="13" t="inlineStr">
        <is>
          <t>FREE</t>
        </is>
      </c>
      <c r="H1017" s="170" t="n">
        <v>46180.36862268519</v>
      </c>
    </row>
    <row r="1018">
      <c r="A1018" s="13" t="inlineStr">
        <is>
          <t>MK00205</t>
        </is>
      </c>
      <c r="B1018" s="13" t="n">
        <v>528000348</v>
      </c>
      <c r="C1018" s="13" t="inlineStr">
        <is>
          <t>Saepuloh Ardiansah</t>
        </is>
      </c>
      <c r="D1018" s="13" t="inlineStr">
        <is>
          <t>LOG</t>
        </is>
      </c>
      <c r="E1018" s="13" t="inlineStr">
        <is>
          <t>WRM Harian</t>
        </is>
      </c>
      <c r="F1018" s="170" t="n">
        <v>46119.3906712963</v>
      </c>
      <c r="G1018" s="13" t="inlineStr">
        <is>
          <t>FREE</t>
        </is>
      </c>
      <c r="H1018" s="170" t="n">
        <v>46119.589375</v>
      </c>
    </row>
    <row r="1019">
      <c r="A1019" s="13" t="inlineStr">
        <is>
          <t>MK00116</t>
        </is>
      </c>
      <c r="B1019" s="13" t="n">
        <v>628000061</v>
      </c>
      <c r="C1019" s="13" t="inlineStr">
        <is>
          <t>Nayla Fadillah Exwantoro</t>
        </is>
      </c>
      <c r="D1019" s="13" t="inlineStr">
        <is>
          <t>PROD</t>
        </is>
      </c>
      <c r="E1019" s="13" t="inlineStr">
        <is>
          <t>Produksi Borongan</t>
        </is>
      </c>
      <c r="F1019" s="170" t="n">
        <v>46119.5350462963</v>
      </c>
      <c r="G1019" s="13" t="inlineStr">
        <is>
          <t>FREE</t>
        </is>
      </c>
      <c r="H1019" s="170" t="n">
        <v>46119.97393518518</v>
      </c>
    </row>
    <row r="1020">
      <c r="A1020" s="13" t="inlineStr">
        <is>
          <t>MK00145</t>
        </is>
      </c>
      <c r="B1020" s="13" t="n">
        <v>528000098</v>
      </c>
      <c r="C1020" s="13" t="inlineStr">
        <is>
          <t>Edi Junaedi</t>
        </is>
      </c>
      <c r="D1020" s="13" t="inlineStr">
        <is>
          <t>PROD</t>
        </is>
      </c>
      <c r="E1020" s="13" t="inlineStr">
        <is>
          <t>Produksi Harian</t>
        </is>
      </c>
      <c r="F1020" s="170" t="n">
        <v>46119.55508101852</v>
      </c>
      <c r="G1020" s="13" t="inlineStr">
        <is>
          <t>FREE</t>
        </is>
      </c>
      <c r="H1020" s="170" t="n">
        <v>46149.90512731481</v>
      </c>
    </row>
    <row r="1021">
      <c r="A1021" s="13" t="inlineStr">
        <is>
          <t>MK00148</t>
        </is>
      </c>
      <c r="B1021" s="13" t="n">
        <v>528000305</v>
      </c>
      <c r="C1021" s="13" t="inlineStr">
        <is>
          <t>Puji Puspita</t>
        </is>
      </c>
      <c r="D1021" s="13" t="inlineStr">
        <is>
          <t>PROD</t>
        </is>
      </c>
      <c r="E1021" s="13" t="inlineStr">
        <is>
          <t>Produksi Harian</t>
        </is>
      </c>
      <c r="F1021" s="170" t="n">
        <v>46119.57262731482</v>
      </c>
      <c r="G1021" s="13" t="inlineStr">
        <is>
          <t>FREE</t>
        </is>
      </c>
      <c r="H1021" s="170" t="n">
        <v>46119.92163194445</v>
      </c>
    </row>
    <row r="1022">
      <c r="A1022" s="13" t="inlineStr">
        <is>
          <t>MK00209</t>
        </is>
      </c>
      <c r="B1022" s="13" t="n">
        <v>528000270</v>
      </c>
      <c r="C1022" s="13" t="inlineStr">
        <is>
          <t>Febri Najmudin</t>
        </is>
      </c>
      <c r="D1022" s="13" t="inlineStr">
        <is>
          <t>LOG</t>
        </is>
      </c>
      <c r="E1022" s="13" t="inlineStr">
        <is>
          <t>WRM Harian</t>
        </is>
      </c>
      <c r="F1022" s="170" t="n">
        <v>46119.57340277778</v>
      </c>
      <c r="G1022" s="13" t="inlineStr">
        <is>
          <t>FREE</t>
        </is>
      </c>
      <c r="H1022" s="170" t="n">
        <v>46119.93390046297</v>
      </c>
    </row>
    <row r="1023">
      <c r="A1023" s="13" t="inlineStr">
        <is>
          <t>MK00154</t>
        </is>
      </c>
      <c r="B1023" s="13" t="n">
        <v>528000298</v>
      </c>
      <c r="C1023" s="13" t="inlineStr">
        <is>
          <t>Desta Cahaya Pratama</t>
        </is>
      </c>
      <c r="D1023" s="13" t="inlineStr">
        <is>
          <t>PROD</t>
        </is>
      </c>
      <c r="E1023" s="13" t="inlineStr">
        <is>
          <t>Produksi Harian</t>
        </is>
      </c>
      <c r="F1023" s="170" t="n">
        <v>46119.57673611111</v>
      </c>
      <c r="G1023" s="13" t="inlineStr">
        <is>
          <t>FREE</t>
        </is>
      </c>
      <c r="H1023" s="170" t="n">
        <v>46119.92150462963</v>
      </c>
    </row>
    <row r="1024">
      <c r="A1024" s="13" t="inlineStr">
        <is>
          <t>MK00199</t>
        </is>
      </c>
      <c r="B1024" s="13" t="n">
        <v>528000309</v>
      </c>
      <c r="C1024" s="13" t="inlineStr">
        <is>
          <t>Ilham Ramadhan</t>
        </is>
      </c>
      <c r="D1024" s="13" t="inlineStr">
        <is>
          <t>LOG</t>
        </is>
      </c>
      <c r="E1024" s="13" t="inlineStr">
        <is>
          <t>WRM Harian</t>
        </is>
      </c>
      <c r="F1024" s="170" t="n">
        <v>46119.57842592592</v>
      </c>
      <c r="G1024" s="13" t="inlineStr">
        <is>
          <t>FREE</t>
        </is>
      </c>
      <c r="H1024" s="170" t="n">
        <v>46119.92153935185</v>
      </c>
    </row>
    <row r="1025">
      <c r="A1025" s="13" t="inlineStr">
        <is>
          <t>MK00093</t>
        </is>
      </c>
      <c r="B1025" s="13" t="n">
        <v>528000288</v>
      </c>
      <c r="C1025" s="13" t="inlineStr">
        <is>
          <t>Dede gunawan</t>
        </is>
      </c>
      <c r="D1025" s="13" t="inlineStr">
        <is>
          <t>PROD</t>
        </is>
      </c>
      <c r="E1025" s="13" t="inlineStr">
        <is>
          <t>Produksi Harian</t>
        </is>
      </c>
      <c r="F1025" s="170" t="n">
        <v>46119.89275462963</v>
      </c>
      <c r="G1025" s="13" t="inlineStr">
        <is>
          <t>FREE</t>
        </is>
      </c>
      <c r="H1025" s="170" t="n">
        <v>46149.24741898148</v>
      </c>
    </row>
    <row r="1026">
      <c r="A1026" s="13" t="inlineStr">
        <is>
          <t>MK00208</t>
        </is>
      </c>
      <c r="B1026" s="13" t="n">
        <v>528000063</v>
      </c>
      <c r="C1026" s="13" t="inlineStr">
        <is>
          <t>Muhamad Ripki Pebrian</t>
        </is>
      </c>
      <c r="D1026" s="13" t="inlineStr">
        <is>
          <t>PROD</t>
        </is>
      </c>
      <c r="E1026" s="13" t="inlineStr">
        <is>
          <t>Produksi Harian</t>
        </is>
      </c>
      <c r="F1026" s="170" t="n">
        <v>46119.90053240741</v>
      </c>
      <c r="G1026" s="13" t="inlineStr">
        <is>
          <t>FREE</t>
        </is>
      </c>
      <c r="H1026" s="170" t="n">
        <v>46149.25164351852</v>
      </c>
    </row>
    <row r="1027">
      <c r="A1027" s="13" t="inlineStr">
        <is>
          <t>MK00221</t>
        </is>
      </c>
      <c r="B1027" s="13" t="n">
        <v>528000323</v>
      </c>
      <c r="C1027" s="13" t="inlineStr">
        <is>
          <t>Dian Hamidah</t>
        </is>
      </c>
      <c r="D1027" s="13" t="inlineStr">
        <is>
          <t>PROD</t>
        </is>
      </c>
      <c r="E1027" s="13" t="inlineStr">
        <is>
          <t>Produksi Harian</t>
        </is>
      </c>
      <c r="F1027" s="170" t="n">
        <v>46119.90219907407</v>
      </c>
      <c r="G1027" s="13" t="inlineStr">
        <is>
          <t>FREE</t>
        </is>
      </c>
      <c r="H1027" s="170" t="n">
        <v>46149.25527777777</v>
      </c>
    </row>
    <row r="1028">
      <c r="A1028" s="13" t="inlineStr">
        <is>
          <t>MK00138</t>
        </is>
      </c>
      <c r="B1028" s="13" t="n">
        <v>528000297</v>
      </c>
      <c r="C1028" s="13" t="inlineStr">
        <is>
          <t>Muhamad Budiana</t>
        </is>
      </c>
      <c r="D1028" s="13" t="inlineStr">
        <is>
          <t>PROD</t>
        </is>
      </c>
      <c r="E1028" s="13" t="inlineStr">
        <is>
          <t>Produksi Harian</t>
        </is>
      </c>
      <c r="F1028" s="170" t="n">
        <v>46119.90376157407</v>
      </c>
      <c r="G1028" s="13" t="inlineStr">
        <is>
          <t>FREE</t>
        </is>
      </c>
      <c r="H1028" s="170" t="n">
        <v>46149.29284722222</v>
      </c>
    </row>
    <row r="1029">
      <c r="A1029" s="13" t="inlineStr">
        <is>
          <t>MK00090</t>
        </is>
      </c>
      <c r="B1029" s="13" t="n">
        <v>528000306</v>
      </c>
      <c r="C1029" s="13" t="inlineStr">
        <is>
          <t>Windy Olivia</t>
        </is>
      </c>
      <c r="D1029" s="13" t="inlineStr">
        <is>
          <t>PROD</t>
        </is>
      </c>
      <c r="E1029" s="13" t="inlineStr">
        <is>
          <t>Produksi Harian</t>
        </is>
      </c>
      <c r="F1029" s="170" t="n">
        <v>46119.90381944444</v>
      </c>
      <c r="G1029" s="13" t="inlineStr">
        <is>
          <t>FREE</t>
        </is>
      </c>
      <c r="H1029" s="170" t="n">
        <v>46149.25572916667</v>
      </c>
    </row>
    <row r="1030">
      <c r="A1030" s="13" t="inlineStr">
        <is>
          <t>MK00108</t>
        </is>
      </c>
      <c r="B1030" s="13" t="n">
        <v>628000064</v>
      </c>
      <c r="C1030" s="13" t="inlineStr">
        <is>
          <t>Silva Alypia</t>
        </is>
      </c>
      <c r="D1030" s="13" t="inlineStr">
        <is>
          <t>PROD</t>
        </is>
      </c>
      <c r="E1030" s="13" t="inlineStr">
        <is>
          <t>Produksi Borongan</t>
        </is>
      </c>
      <c r="F1030" s="170" t="n">
        <v>46119.90725694445</v>
      </c>
      <c r="G1030" s="13" t="inlineStr">
        <is>
          <t>FREE</t>
        </is>
      </c>
      <c r="H1030" s="170" t="n">
        <v>46149.25320601852</v>
      </c>
    </row>
    <row r="1031">
      <c r="A1031" s="13" t="inlineStr">
        <is>
          <t>MK00008</t>
        </is>
      </c>
      <c r="B1031" s="13" t="n">
        <v>528000329</v>
      </c>
      <c r="C1031" s="13" t="inlineStr">
        <is>
          <t>Havid Ilham Firdaus</t>
        </is>
      </c>
      <c r="D1031" s="13" t="inlineStr">
        <is>
          <t>PROD</t>
        </is>
      </c>
      <c r="E1031" s="13" t="inlineStr">
        <is>
          <t>Produksi Harian</t>
        </is>
      </c>
      <c r="F1031" s="170" t="n">
        <v>46119.90958333333</v>
      </c>
      <c r="G1031" s="13" t="inlineStr">
        <is>
          <t>FREE</t>
        </is>
      </c>
      <c r="H1031" s="170" t="n">
        <v>46180.57266203704</v>
      </c>
    </row>
    <row r="1032">
      <c r="A1032" s="13" t="inlineStr">
        <is>
          <t>MK00202</t>
        </is>
      </c>
      <c r="B1032" s="13" t="n">
        <v>528000279</v>
      </c>
      <c r="C1032" s="13" t="inlineStr">
        <is>
          <t>Mahdalena Dalfa Riani</t>
        </is>
      </c>
      <c r="D1032" s="13" t="inlineStr">
        <is>
          <t>PROD</t>
        </is>
      </c>
      <c r="E1032" s="13" t="inlineStr">
        <is>
          <t>Produksi Harian</t>
        </is>
      </c>
      <c r="F1032" s="170" t="n">
        <v>46119.91085648148</v>
      </c>
      <c r="G1032" s="13" t="inlineStr">
        <is>
          <t>FREE</t>
        </is>
      </c>
      <c r="H1032" s="170" t="n">
        <v>46149.25232638889</v>
      </c>
    </row>
    <row r="1033">
      <c r="A1033" s="13" t="inlineStr">
        <is>
          <t>MK00181</t>
        </is>
      </c>
      <c r="B1033" s="13" t="n">
        <v>528000300</v>
      </c>
      <c r="C1033" s="13" t="inlineStr">
        <is>
          <t>Lia pitaloka</t>
        </is>
      </c>
      <c r="D1033" s="13" t="inlineStr">
        <is>
          <t>PROD</t>
        </is>
      </c>
      <c r="E1033" s="13" t="inlineStr">
        <is>
          <t>Produksi Harian</t>
        </is>
      </c>
      <c r="F1033" s="170" t="n">
        <v>46119.91099537037</v>
      </c>
      <c r="G1033" s="13" t="inlineStr">
        <is>
          <t>FREE</t>
        </is>
      </c>
      <c r="H1033" s="170" t="n">
        <v>46180.53040509259</v>
      </c>
    </row>
    <row r="1034">
      <c r="A1034" s="13" t="inlineStr">
        <is>
          <t>MK0109</t>
        </is>
      </c>
      <c r="B1034" s="13" t="n">
        <v>528000052</v>
      </c>
      <c r="C1034" s="13" t="inlineStr">
        <is>
          <t>Mustopa</t>
        </is>
      </c>
      <c r="D1034" s="13" t="inlineStr">
        <is>
          <t>PROD</t>
        </is>
      </c>
      <c r="E1034" s="13" t="inlineStr">
        <is>
          <t>Produksi Harian</t>
        </is>
      </c>
      <c r="F1034" s="170" t="n">
        <v>46149.23042824074</v>
      </c>
      <c r="G1034" s="13" t="inlineStr">
        <is>
          <t>FREE</t>
        </is>
      </c>
      <c r="H1034" s="170" t="n">
        <v>46149.58586805555</v>
      </c>
    </row>
    <row r="1035">
      <c r="A1035" s="13" t="inlineStr">
        <is>
          <t>MK00199</t>
        </is>
      </c>
      <c r="B1035" s="13" t="n">
        <v>528000358</v>
      </c>
      <c r="C1035" s="13" t="inlineStr">
        <is>
          <t>Lulu Agustin</t>
        </is>
      </c>
      <c r="D1035" s="13" t="inlineStr">
        <is>
          <t>PROD</t>
        </is>
      </c>
      <c r="E1035" s="13" t="inlineStr">
        <is>
          <t>Produksi Harian</t>
        </is>
      </c>
      <c r="F1035" s="170" t="n">
        <v>46149.23520833333</v>
      </c>
      <c r="G1035" s="13" t="inlineStr">
        <is>
          <t>FREE</t>
        </is>
      </c>
      <c r="H1035" s="170" t="n">
        <v>46149.58732638889</v>
      </c>
    </row>
    <row r="1036">
      <c r="A1036" s="13" t="inlineStr">
        <is>
          <t>MK00154</t>
        </is>
      </c>
      <c r="B1036" s="13" t="n">
        <v>528000262</v>
      </c>
      <c r="C1036" s="13" t="inlineStr">
        <is>
          <t>Ndari Dwiwanti</t>
        </is>
      </c>
      <c r="D1036" s="13" t="inlineStr">
        <is>
          <t>PROD</t>
        </is>
      </c>
      <c r="E1036" s="13" t="inlineStr">
        <is>
          <t>Produksi Harian</t>
        </is>
      </c>
      <c r="F1036" s="170" t="n">
        <v>46149.236875</v>
      </c>
      <c r="G1036" s="13" t="inlineStr">
        <is>
          <t>FREE</t>
        </is>
      </c>
      <c r="H1036" s="170" t="n">
        <v>46149.58721064815</v>
      </c>
    </row>
    <row r="1037">
      <c r="A1037" s="13" t="inlineStr">
        <is>
          <t>MK00213</t>
        </is>
      </c>
      <c r="B1037" s="13" t="n">
        <v>528000266</v>
      </c>
      <c r="C1037" s="13" t="inlineStr">
        <is>
          <t>M. Syirajatieq</t>
        </is>
      </c>
      <c r="D1037" s="13" t="inlineStr">
        <is>
          <t>LOG</t>
        </is>
      </c>
      <c r="E1037" s="13" t="inlineStr">
        <is>
          <t>WFG Harian</t>
        </is>
      </c>
      <c r="F1037" s="170" t="n">
        <v>46149.23984953704</v>
      </c>
      <c r="G1037" s="13" t="inlineStr">
        <is>
          <t>FREE</t>
        </is>
      </c>
      <c r="H1037" s="170" t="n">
        <v>46210.24285879629</v>
      </c>
    </row>
    <row r="1038">
      <c r="A1038" s="13" t="inlineStr">
        <is>
          <t>MK00151</t>
        </is>
      </c>
      <c r="B1038" s="13" t="n">
        <v>528000261</v>
      </c>
      <c r="C1038" s="13" t="inlineStr">
        <is>
          <t>Ergi Ergianto</t>
        </is>
      </c>
      <c r="D1038" s="13" t="inlineStr">
        <is>
          <t>HRGA</t>
        </is>
      </c>
      <c r="E1038" s="13" t="inlineStr">
        <is>
          <t>GA Harian</t>
        </is>
      </c>
      <c r="F1038" s="170" t="n">
        <v>46149.24237268518</v>
      </c>
      <c r="G1038" s="13" t="inlineStr">
        <is>
          <t>FREE</t>
        </is>
      </c>
      <c r="H1038" s="170" t="n">
        <v>46149.58733796296</v>
      </c>
    </row>
    <row r="1039">
      <c r="A1039" s="13" t="inlineStr">
        <is>
          <t>MK00113</t>
        </is>
      </c>
      <c r="B1039" s="13" t="n">
        <v>528000291</v>
      </c>
      <c r="C1039" s="13" t="inlineStr">
        <is>
          <t>Andrian</t>
        </is>
      </c>
      <c r="D1039" s="13" t="inlineStr">
        <is>
          <t>PROD</t>
        </is>
      </c>
      <c r="E1039" s="13" t="inlineStr">
        <is>
          <t>Produksi Harian</t>
        </is>
      </c>
      <c r="F1039" s="170" t="n">
        <v>46149.24712962963</v>
      </c>
      <c r="G1039" s="13" t="inlineStr">
        <is>
          <t>FREE</t>
        </is>
      </c>
      <c r="H1039" s="170" t="n">
        <v>46149.58672453704</v>
      </c>
    </row>
    <row r="1040">
      <c r="A1040" s="13" t="inlineStr">
        <is>
          <t>MK00138</t>
        </is>
      </c>
      <c r="B1040" s="13" t="n">
        <v>528000265</v>
      </c>
      <c r="C1040" s="13" t="inlineStr">
        <is>
          <t>Muhammad Haerul Rozikin</t>
        </is>
      </c>
      <c r="D1040" s="13" t="inlineStr">
        <is>
          <t>LOG</t>
        </is>
      </c>
      <c r="E1040" s="13" t="inlineStr">
        <is>
          <t>WRM Harian</t>
        </is>
      </c>
      <c r="F1040" s="170" t="n">
        <v>46149.32185185186</v>
      </c>
      <c r="G1040" s="13" t="inlineStr">
        <is>
          <t>FREE</t>
        </is>
      </c>
      <c r="H1040" s="170" t="n">
        <v>46149.67092592592</v>
      </c>
    </row>
    <row r="1041">
      <c r="A1041" s="13" t="inlineStr">
        <is>
          <t>MK00116</t>
        </is>
      </c>
      <c r="B1041" s="13" t="n">
        <v>628000061</v>
      </c>
      <c r="C1041" s="13" t="inlineStr">
        <is>
          <t>Nayla Fadillah Exwantoro</t>
        </is>
      </c>
      <c r="D1041" s="13" t="inlineStr">
        <is>
          <t>PROD</t>
        </is>
      </c>
      <c r="E1041" s="13" t="inlineStr">
        <is>
          <t>Produksi Borongan</t>
        </is>
      </c>
      <c r="F1041" s="170" t="n">
        <v>46149.54138888889</v>
      </c>
      <c r="G1041" s="13" t="inlineStr">
        <is>
          <t>FREE</t>
        </is>
      </c>
      <c r="H1041" s="170" t="n">
        <v>46149.94217592593</v>
      </c>
    </row>
    <row r="1042">
      <c r="A1042" s="13" t="inlineStr">
        <is>
          <t>MK00108</t>
        </is>
      </c>
      <c r="B1042" s="13" t="n">
        <v>528000299</v>
      </c>
      <c r="C1042" s="13" t="inlineStr">
        <is>
          <t>Siti Nurjanah</t>
        </is>
      </c>
      <c r="D1042" s="13" t="inlineStr">
        <is>
          <t>PROD</t>
        </is>
      </c>
      <c r="E1042" s="13" t="inlineStr">
        <is>
          <t>Produksi Harian</t>
        </is>
      </c>
      <c r="F1042" s="170" t="n">
        <v>46149.55586805556</v>
      </c>
      <c r="G1042" s="13" t="inlineStr">
        <is>
          <t>FREE</t>
        </is>
      </c>
      <c r="H1042" s="170" t="n">
        <v>46149.91930555556</v>
      </c>
    </row>
    <row r="1043">
      <c r="A1043" s="13" t="inlineStr">
        <is>
          <t>MK00221</t>
        </is>
      </c>
      <c r="B1043" s="13" t="n">
        <v>528000305</v>
      </c>
      <c r="C1043" s="13" t="inlineStr">
        <is>
          <t>Puji Puspita</t>
        </is>
      </c>
      <c r="D1043" s="13" t="inlineStr">
        <is>
          <t>PROD</t>
        </is>
      </c>
      <c r="E1043" s="13" t="inlineStr">
        <is>
          <t>Produksi Harian</t>
        </is>
      </c>
      <c r="F1043" s="170" t="n">
        <v>46149.56512731482</v>
      </c>
      <c r="G1043" s="13" t="inlineStr">
        <is>
          <t>FREE</t>
        </is>
      </c>
      <c r="H1043" s="170" t="n">
        <v>46149.9190162037</v>
      </c>
    </row>
    <row r="1044">
      <c r="A1044" s="13" t="inlineStr">
        <is>
          <t>MK00209</t>
        </is>
      </c>
      <c r="B1044" s="13" t="n">
        <v>528000302</v>
      </c>
      <c r="C1044" s="13" t="inlineStr">
        <is>
          <t>Henkey gumilar</t>
        </is>
      </c>
      <c r="D1044" s="13" t="inlineStr">
        <is>
          <t>PROD</t>
        </is>
      </c>
      <c r="E1044" s="13" t="inlineStr">
        <is>
          <t>Produksi Harian</t>
        </is>
      </c>
      <c r="F1044" s="170" t="n">
        <v>46149.57047453704</v>
      </c>
      <c r="G1044" s="13" t="inlineStr">
        <is>
          <t>FREE</t>
        </is>
      </c>
      <c r="H1044" s="170" t="n">
        <v>46149.92180555555</v>
      </c>
    </row>
    <row r="1045">
      <c r="A1045" s="13" t="inlineStr">
        <is>
          <t>MK00126</t>
        </is>
      </c>
      <c r="B1045" s="13" t="n">
        <v>528000298</v>
      </c>
      <c r="C1045" s="13" t="inlineStr">
        <is>
          <t>Desta Cahaya Pratama</t>
        </is>
      </c>
      <c r="D1045" s="13" t="inlineStr">
        <is>
          <t>PROD</t>
        </is>
      </c>
      <c r="E1045" s="13" t="inlineStr">
        <is>
          <t>Produksi Harian</t>
        </is>
      </c>
      <c r="F1045" s="170" t="n">
        <v>46149.57512731481</v>
      </c>
      <c r="G1045" s="13" t="inlineStr">
        <is>
          <t>FREE</t>
        </is>
      </c>
      <c r="H1045" s="170" t="n">
        <v>46149.91854166667</v>
      </c>
    </row>
    <row r="1046">
      <c r="A1046" s="13" t="inlineStr">
        <is>
          <t>MK00192</t>
        </is>
      </c>
      <c r="B1046" s="13" t="n">
        <v>528000270</v>
      </c>
      <c r="C1046" s="13" t="inlineStr">
        <is>
          <t>Febri Najmudin</t>
        </is>
      </c>
      <c r="D1046" s="13" t="inlineStr">
        <is>
          <t>LOG</t>
        </is>
      </c>
      <c r="E1046" s="13" t="inlineStr">
        <is>
          <t>WRM Harian</t>
        </is>
      </c>
      <c r="F1046" s="170" t="n">
        <v>46149.57515046297</v>
      </c>
      <c r="G1046" s="13" t="inlineStr">
        <is>
          <t>FREE</t>
        </is>
      </c>
      <c r="H1046" s="170" t="n">
        <v>46149.92965277778</v>
      </c>
    </row>
    <row r="1047">
      <c r="A1047" s="13" t="inlineStr">
        <is>
          <t>MK00249</t>
        </is>
      </c>
      <c r="B1047" s="13" t="n">
        <v>528000309</v>
      </c>
      <c r="C1047" s="13" t="inlineStr">
        <is>
          <t>Ilham Ramadhan</t>
        </is>
      </c>
      <c r="D1047" s="13" t="inlineStr">
        <is>
          <t>LOG</t>
        </is>
      </c>
      <c r="E1047" s="13" t="inlineStr">
        <is>
          <t>WRM Harian</t>
        </is>
      </c>
      <c r="F1047" s="170" t="n">
        <v>46149.57552083334</v>
      </c>
      <c r="G1047" s="13" t="inlineStr">
        <is>
          <t>FREE</t>
        </is>
      </c>
      <c r="H1047" s="170" t="n">
        <v>46149.91960648148</v>
      </c>
    </row>
    <row r="1048">
      <c r="A1048" s="13" t="inlineStr">
        <is>
          <t>MK00138</t>
        </is>
      </c>
      <c r="B1048" s="13" t="n">
        <v>528000244</v>
      </c>
      <c r="C1048" s="13" t="inlineStr">
        <is>
          <t>Rodian Rifai</t>
        </is>
      </c>
      <c r="D1048" s="13" t="inlineStr">
        <is>
          <t>PROD</t>
        </is>
      </c>
      <c r="E1048" s="13" t="inlineStr">
        <is>
          <t>Produksi Harian</t>
        </is>
      </c>
      <c r="F1048" s="170" t="n">
        <v>46149.88944444444</v>
      </c>
      <c r="G1048" s="13" t="inlineStr">
        <is>
          <t>FREE</t>
        </is>
      </c>
      <c r="H1048" s="170" t="n">
        <v>46180.28665509259</v>
      </c>
    </row>
    <row r="1049">
      <c r="A1049" s="13" t="inlineStr">
        <is>
          <t>MK00204</t>
        </is>
      </c>
      <c r="B1049" s="13" t="n">
        <v>528000201</v>
      </c>
      <c r="C1049" s="13" t="inlineStr">
        <is>
          <t>Zahwa Amelia Choerunissa</t>
        </is>
      </c>
      <c r="D1049" s="13" t="inlineStr">
        <is>
          <t>PROD</t>
        </is>
      </c>
      <c r="E1049" s="13" t="inlineStr">
        <is>
          <t>Produksi Harian</t>
        </is>
      </c>
      <c r="F1049" s="170" t="n">
        <v>46149.90302083334</v>
      </c>
      <c r="G1049" s="13" t="inlineStr">
        <is>
          <t>FREE</t>
        </is>
      </c>
      <c r="H1049" s="170" t="n">
        <v>46180.2528587963</v>
      </c>
    </row>
    <row r="1050">
      <c r="A1050" s="13" t="inlineStr">
        <is>
          <t>MK00158</t>
        </is>
      </c>
      <c r="B1050" s="13" t="n">
        <v>528000099</v>
      </c>
      <c r="C1050" s="13" t="inlineStr">
        <is>
          <t>Siti Nurawaliah</t>
        </is>
      </c>
      <c r="D1050" s="13" t="inlineStr">
        <is>
          <t>PROD</t>
        </is>
      </c>
      <c r="E1050" s="13" t="inlineStr">
        <is>
          <t>Produksi Harian</t>
        </is>
      </c>
      <c r="F1050" s="170" t="n">
        <v>46149.90401620371</v>
      </c>
      <c r="G1050" s="13" t="inlineStr">
        <is>
          <t>FREE</t>
        </is>
      </c>
      <c r="H1050" s="170" t="n">
        <v>46180.25325231482</v>
      </c>
    </row>
    <row r="1051">
      <c r="A1051" s="13" t="inlineStr">
        <is>
          <t>MK00199</t>
        </is>
      </c>
      <c r="B1051" s="13" t="n">
        <v>528000286</v>
      </c>
      <c r="C1051" s="13" t="inlineStr">
        <is>
          <t>Imelda Amelia</t>
        </is>
      </c>
      <c r="D1051" s="13" t="inlineStr">
        <is>
          <t>PROD</t>
        </is>
      </c>
      <c r="E1051" s="13" t="inlineStr">
        <is>
          <t>Produksi Harian</t>
        </is>
      </c>
      <c r="F1051" s="170" t="n">
        <v>46149.9047337963</v>
      </c>
      <c r="G1051" s="13" t="inlineStr">
        <is>
          <t>FREE</t>
        </is>
      </c>
      <c r="H1051" s="170" t="n">
        <v>46180.25349537037</v>
      </c>
    </row>
    <row r="1052">
      <c r="A1052" s="13" t="inlineStr">
        <is>
          <t>MK00145</t>
        </is>
      </c>
      <c r="B1052" s="13" t="n">
        <v>528000289</v>
      </c>
      <c r="C1052" s="13" t="inlineStr">
        <is>
          <t>Adit Supriyadi</t>
        </is>
      </c>
      <c r="D1052" s="13" t="inlineStr">
        <is>
          <t>PROD</t>
        </is>
      </c>
      <c r="E1052" s="13" t="inlineStr">
        <is>
          <t>Produksi Harian</t>
        </is>
      </c>
      <c r="F1052" s="170" t="n">
        <v>46149.90585648148</v>
      </c>
      <c r="G1052" s="13" t="inlineStr">
        <is>
          <t>FREE</t>
        </is>
      </c>
      <c r="H1052" s="170" t="n">
        <v>46180.90039351852</v>
      </c>
    </row>
    <row r="1053">
      <c r="A1053" s="13" t="inlineStr">
        <is>
          <t>MK00148</t>
        </is>
      </c>
      <c r="B1053" s="13" t="n">
        <v>528000241</v>
      </c>
      <c r="C1053" s="13" t="inlineStr">
        <is>
          <t>Balia Nurafif Bilah</t>
        </is>
      </c>
      <c r="D1053" s="13" t="inlineStr">
        <is>
          <t>PROD</t>
        </is>
      </c>
      <c r="E1053" s="13" t="inlineStr">
        <is>
          <t>Produksi Harian</t>
        </is>
      </c>
      <c r="F1053" s="170" t="n">
        <v>46149.91196759259</v>
      </c>
      <c r="G1053" s="13" t="inlineStr">
        <is>
          <t>FREE</t>
        </is>
      </c>
      <c r="H1053" s="170" t="n">
        <v>46180.25314814815</v>
      </c>
    </row>
    <row r="1054">
      <c r="A1054" s="13" t="inlineStr">
        <is>
          <t>MK00109</t>
        </is>
      </c>
      <c r="B1054" s="13" t="n">
        <v>528000318</v>
      </c>
      <c r="C1054" s="13" t="inlineStr">
        <is>
          <t>Bayu Padli Sepriyana</t>
        </is>
      </c>
      <c r="D1054" s="13" t="inlineStr">
        <is>
          <t>LOG</t>
        </is>
      </c>
      <c r="E1054" s="13" t="inlineStr">
        <is>
          <t>WRM Harian</t>
        </is>
      </c>
      <c r="F1054" s="170" t="n">
        <v>46149.91375</v>
      </c>
      <c r="G1054" s="13" t="inlineStr">
        <is>
          <t>FREE</t>
        </is>
      </c>
      <c r="H1054" s="170" t="n">
        <v>46180.25298611111</v>
      </c>
    </row>
    <row r="1055">
      <c r="A1055" s="13" t="inlineStr">
        <is>
          <t>MK00112</t>
        </is>
      </c>
      <c r="B1055" s="13" t="n">
        <v>528000290</v>
      </c>
      <c r="C1055" s="13" t="inlineStr">
        <is>
          <t>Eval Pranata</t>
        </is>
      </c>
      <c r="D1055" s="13" t="inlineStr">
        <is>
          <t>PROD</t>
        </is>
      </c>
      <c r="E1055" s="13" t="inlineStr">
        <is>
          <t>Produksi Harian</t>
        </is>
      </c>
      <c r="F1055" s="170" t="n">
        <v>46149.91435185185</v>
      </c>
      <c r="G1055" s="13" t="inlineStr">
        <is>
          <t>FREE</t>
        </is>
      </c>
      <c r="H1055" s="170" t="n">
        <v>46180.25320601852</v>
      </c>
    </row>
    <row r="1056">
      <c r="A1056" s="13" t="inlineStr">
        <is>
          <t>MK00136</t>
        </is>
      </c>
      <c r="B1056" s="13" t="n">
        <v>528000090</v>
      </c>
      <c r="C1056" s="13" t="inlineStr">
        <is>
          <t>Suganda</t>
        </is>
      </c>
      <c r="D1056" s="13" t="inlineStr">
        <is>
          <t>PROD</t>
        </is>
      </c>
      <c r="E1056" s="13" t="inlineStr">
        <is>
          <t>Produksi Harian</t>
        </is>
      </c>
      <c r="F1056" s="170" t="n">
        <v>46149.91440972222</v>
      </c>
      <c r="G1056" s="13" t="inlineStr">
        <is>
          <t>FREE</t>
        </is>
      </c>
      <c r="H1056" s="170" t="n">
        <v>46180.25311342593</v>
      </c>
    </row>
    <row r="1057">
      <c r="A1057" s="13" t="inlineStr">
        <is>
          <t>MK0192</t>
        </is>
      </c>
      <c r="B1057" s="13" t="n">
        <v>528000052</v>
      </c>
      <c r="C1057" s="13" t="inlineStr">
        <is>
          <t>Mustopa</t>
        </is>
      </c>
      <c r="D1057" s="13" t="inlineStr">
        <is>
          <t>PROD</t>
        </is>
      </c>
      <c r="E1057" s="13" t="inlineStr">
        <is>
          <t>Produksi Harian</t>
        </is>
      </c>
      <c r="F1057" s="170" t="n">
        <v>46180.22390046297</v>
      </c>
      <c r="G1057" s="13" t="inlineStr">
        <is>
          <t>FREE</t>
        </is>
      </c>
      <c r="H1057" s="170" t="n">
        <v>46180.58501157408</v>
      </c>
    </row>
    <row r="1058">
      <c r="A1058" s="13" t="inlineStr">
        <is>
          <t>MK00221</t>
        </is>
      </c>
      <c r="B1058" s="13" t="n">
        <v>528000262</v>
      </c>
      <c r="C1058" s="13" t="inlineStr">
        <is>
          <t>Ndari Dwiwanti</t>
        </is>
      </c>
      <c r="D1058" s="13" t="inlineStr">
        <is>
          <t>PROD</t>
        </is>
      </c>
      <c r="E1058" s="13" t="inlineStr">
        <is>
          <t>Produksi Harian</t>
        </is>
      </c>
      <c r="F1058" s="170" t="n">
        <v>46180.23097222222</v>
      </c>
      <c r="G1058" s="13" t="inlineStr">
        <is>
          <t>FREE</t>
        </is>
      </c>
      <c r="H1058" s="170" t="n">
        <v>46180.58450231481</v>
      </c>
    </row>
    <row r="1059">
      <c r="A1059" s="13" t="inlineStr">
        <is>
          <t>MK00250</t>
        </is>
      </c>
      <c r="B1059" s="13" t="n">
        <v>528000195</v>
      </c>
      <c r="C1059" s="13" t="inlineStr">
        <is>
          <t>Rahma Sariwati</t>
        </is>
      </c>
      <c r="D1059" s="13" t="inlineStr">
        <is>
          <t>PROD</t>
        </is>
      </c>
      <c r="E1059" s="13" t="inlineStr">
        <is>
          <t>Produksi Harian</t>
        </is>
      </c>
      <c r="F1059" s="170" t="n">
        <v>46180.23730324074</v>
      </c>
      <c r="G1059" s="13" t="inlineStr">
        <is>
          <t>FREE</t>
        </is>
      </c>
      <c r="H1059" s="170" t="n">
        <v>46180.58607638889</v>
      </c>
    </row>
    <row r="1060">
      <c r="A1060" s="13" t="inlineStr">
        <is>
          <t>MK00209</t>
        </is>
      </c>
      <c r="B1060" s="13" t="n">
        <v>528000291</v>
      </c>
      <c r="C1060" s="13" t="inlineStr">
        <is>
          <t>Andrian</t>
        </is>
      </c>
      <c r="D1060" s="13" t="inlineStr">
        <is>
          <t>PROD</t>
        </is>
      </c>
      <c r="E1060" s="13" t="inlineStr">
        <is>
          <t>Produksi Harian</t>
        </is>
      </c>
      <c r="F1060" s="170" t="n">
        <v>46180.23854166667</v>
      </c>
      <c r="G1060" s="13" t="inlineStr">
        <is>
          <t>FREE</t>
        </is>
      </c>
      <c r="H1060" s="170" t="n">
        <v>46180.58422453704</v>
      </c>
    </row>
    <row r="1061">
      <c r="A1061" s="13" t="inlineStr">
        <is>
          <t>MK0249</t>
        </is>
      </c>
      <c r="B1061" s="13" t="n">
        <v>528000358</v>
      </c>
      <c r="C1061" s="13" t="inlineStr">
        <is>
          <t>Lulu Agustin</t>
        </is>
      </c>
      <c r="D1061" s="13" t="inlineStr">
        <is>
          <t>PROD</t>
        </is>
      </c>
      <c r="E1061" s="13" t="inlineStr">
        <is>
          <t>Produksi Harian</t>
        </is>
      </c>
      <c r="F1061" s="170" t="n">
        <v>46180.24028935185</v>
      </c>
      <c r="G1061" s="13" t="inlineStr">
        <is>
          <t>FREE</t>
        </is>
      </c>
      <c r="H1061" s="170" t="n">
        <v>46210.57609953704</v>
      </c>
    </row>
    <row r="1062">
      <c r="A1062" s="13" t="inlineStr">
        <is>
          <t>MK00230</t>
        </is>
      </c>
      <c r="B1062" s="13" t="n">
        <v>528000282</v>
      </c>
      <c r="C1062" s="13" t="inlineStr">
        <is>
          <t>Defa Desfiana</t>
        </is>
      </c>
      <c r="D1062" s="13" t="inlineStr">
        <is>
          <t>PROD</t>
        </is>
      </c>
      <c r="E1062" s="13" t="inlineStr">
        <is>
          <t>Produksi Harian</t>
        </is>
      </c>
      <c r="F1062" s="170" t="n">
        <v>46180.24449074074</v>
      </c>
      <c r="G1062" s="13" t="inlineStr">
        <is>
          <t>FREE</t>
        </is>
      </c>
      <c r="H1062" s="170" t="n">
        <v>46180.76791666666</v>
      </c>
    </row>
    <row r="1063">
      <c r="A1063" s="13" t="inlineStr">
        <is>
          <t>MK00126</t>
        </is>
      </c>
      <c r="B1063" s="13" t="n">
        <v>528000265</v>
      </c>
      <c r="C1063" s="13" t="inlineStr">
        <is>
          <t>Muhammad Haerul Rozikin</t>
        </is>
      </c>
      <c r="D1063" s="13" t="inlineStr">
        <is>
          <t>LOG</t>
        </is>
      </c>
      <c r="E1063" s="13" t="inlineStr">
        <is>
          <t>WRM Harian</t>
        </is>
      </c>
      <c r="F1063" s="170" t="n">
        <v>46180.24498842593</v>
      </c>
      <c r="G1063" s="13" t="inlineStr">
        <is>
          <t>FREE</t>
        </is>
      </c>
      <c r="H1063" s="170" t="n">
        <v>46180.58583333333</v>
      </c>
    </row>
    <row r="1064">
      <c r="A1064" s="13" t="inlineStr">
        <is>
          <t>MK00134</t>
        </is>
      </c>
      <c r="B1064" s="13" t="n">
        <v>528000310</v>
      </c>
      <c r="C1064" s="13" t="inlineStr">
        <is>
          <t>Fachrul Rozzi Suryana</t>
        </is>
      </c>
      <c r="D1064" s="13" t="inlineStr">
        <is>
          <t>LOG</t>
        </is>
      </c>
      <c r="E1064" s="13" t="inlineStr">
        <is>
          <t>WRM Harian</t>
        </is>
      </c>
      <c r="F1064" s="170" t="n">
        <v>46180.24915509259</v>
      </c>
      <c r="G1064" s="13" t="inlineStr">
        <is>
          <t>FREE</t>
        </is>
      </c>
      <c r="H1064" s="170" t="n">
        <v>46180.58403935185</v>
      </c>
    </row>
    <row r="1065">
      <c r="A1065" s="13" t="inlineStr">
        <is>
          <t>MK00204</t>
        </is>
      </c>
      <c r="B1065" s="13" t="n">
        <v>528000203</v>
      </c>
      <c r="C1065" s="13" t="inlineStr">
        <is>
          <t>Yudha Ramdhan Putra</t>
        </is>
      </c>
      <c r="D1065" s="13" t="inlineStr">
        <is>
          <t>ENG</t>
        </is>
      </c>
      <c r="E1065" s="13" t="inlineStr">
        <is>
          <t>Engineering Harian</t>
        </is>
      </c>
      <c r="F1065" s="170" t="n">
        <v>46180.33159722222</v>
      </c>
      <c r="G1065" s="13" t="inlineStr">
        <is>
          <t>FREE</t>
        </is>
      </c>
      <c r="H1065" s="170" t="n">
        <v>46180.6687962963</v>
      </c>
    </row>
    <row r="1066">
      <c r="A1066" s="13" t="inlineStr">
        <is>
          <t>MK00199</t>
        </is>
      </c>
      <c r="B1066" s="13" t="n">
        <v>528000267</v>
      </c>
      <c r="C1066" s="13" t="inlineStr">
        <is>
          <t>Bagas Patulloh</t>
        </is>
      </c>
      <c r="D1066" s="13" t="inlineStr">
        <is>
          <t>LOG</t>
        </is>
      </c>
      <c r="E1066" s="13" t="inlineStr">
        <is>
          <t>WRM Harian</t>
        </is>
      </c>
      <c r="F1066" s="170" t="n">
        <v>46180.3320949074</v>
      </c>
      <c r="G1066" s="13" t="inlineStr">
        <is>
          <t>FREE</t>
        </is>
      </c>
      <c r="H1066" s="170" t="n">
        <v>46180.73229166667</v>
      </c>
    </row>
    <row r="1067">
      <c r="A1067" s="13" t="inlineStr">
        <is>
          <t>MK00138</t>
        </is>
      </c>
      <c r="B1067" s="13" t="n">
        <v>528000351</v>
      </c>
      <c r="C1067" s="13" t="inlineStr">
        <is>
          <t>Mulyana</t>
        </is>
      </c>
      <c r="D1067" s="13" t="inlineStr">
        <is>
          <t>PROD</t>
        </is>
      </c>
      <c r="E1067" s="13" t="inlineStr">
        <is>
          <t>Produksi Harian</t>
        </is>
      </c>
      <c r="F1067" s="170" t="n">
        <v>46180.34202546296</v>
      </c>
      <c r="G1067" s="13" t="inlineStr">
        <is>
          <t>FREE</t>
        </is>
      </c>
      <c r="H1067" s="170" t="n">
        <v>46180.67209490741</v>
      </c>
    </row>
    <row r="1068">
      <c r="A1068" s="13" t="inlineStr">
        <is>
          <t>MK00228</t>
        </is>
      </c>
      <c r="B1068" s="13" t="n">
        <v>528000132</v>
      </c>
      <c r="C1068" s="13" t="inlineStr">
        <is>
          <t>Giopani</t>
        </is>
      </c>
      <c r="D1068" s="13" t="inlineStr">
        <is>
          <t>LOG</t>
        </is>
      </c>
      <c r="E1068" s="13" t="inlineStr">
        <is>
          <t>WRM Harian</t>
        </is>
      </c>
      <c r="F1068" s="170" t="n">
        <v>46180.36883101852</v>
      </c>
      <c r="G1068" s="13" t="inlineStr">
        <is>
          <t>FREE</t>
        </is>
      </c>
      <c r="H1068" s="170" t="n">
        <v>46210.37328703704</v>
      </c>
    </row>
    <row r="1069">
      <c r="A1069" s="13" t="inlineStr">
        <is>
          <t>MK00095</t>
        </is>
      </c>
      <c r="B1069" s="13" t="n">
        <v>528000232</v>
      </c>
      <c r="C1069" s="13" t="inlineStr">
        <is>
          <t>Agung Aji Suhada</t>
        </is>
      </c>
      <c r="D1069" s="13" t="inlineStr">
        <is>
          <t>LOG</t>
        </is>
      </c>
      <c r="E1069" s="13" t="inlineStr">
        <is>
          <t>WRM Harian</t>
        </is>
      </c>
      <c r="F1069" s="170" t="n">
        <v>46180.37342592593</v>
      </c>
      <c r="G1069" s="13" t="inlineStr">
        <is>
          <t>FREE</t>
        </is>
      </c>
      <c r="H1069" s="170" t="n">
        <v>46180.71592592593</v>
      </c>
    </row>
    <row r="1070">
      <c r="A1070" s="13" t="inlineStr">
        <is>
          <t>MK00109</t>
        </is>
      </c>
      <c r="B1070" s="13" t="n">
        <v>528000349</v>
      </c>
      <c r="C1070" s="13" t="inlineStr">
        <is>
          <t>Anas Abdul Fatah</t>
        </is>
      </c>
      <c r="D1070" s="13" t="inlineStr">
        <is>
          <t>LOG</t>
        </is>
      </c>
      <c r="E1070" s="13" t="inlineStr">
        <is>
          <t>WFG Harian</t>
        </is>
      </c>
      <c r="F1070" s="170" t="n">
        <v>46180.40539351852</v>
      </c>
      <c r="G1070" s="13" t="inlineStr">
        <is>
          <t>FREE</t>
        </is>
      </c>
      <c r="H1070" s="170" t="n">
        <v>46180.75869212963</v>
      </c>
    </row>
    <row r="1071">
      <c r="A1071" s="13" t="inlineStr">
        <is>
          <t>MK00085</t>
        </is>
      </c>
      <c r="B1071" s="13" t="n">
        <v>628000061</v>
      </c>
      <c r="C1071" s="13" t="inlineStr">
        <is>
          <t>Nayla Fadillah Exwantoro</t>
        </is>
      </c>
      <c r="D1071" s="13" t="inlineStr">
        <is>
          <t>PROD</t>
        </is>
      </c>
      <c r="E1071" s="13" t="inlineStr">
        <is>
          <t>Produksi Borongan</t>
        </is>
      </c>
      <c r="F1071" s="170" t="n">
        <v>46180.5330787037</v>
      </c>
      <c r="G1071" s="13" t="inlineStr">
        <is>
          <t>FREE</t>
        </is>
      </c>
      <c r="H1071" s="170" t="n">
        <v>46180.93895833333</v>
      </c>
    </row>
    <row r="1072">
      <c r="A1072" s="13" t="inlineStr">
        <is>
          <t>MK00154</t>
        </is>
      </c>
      <c r="B1072" s="13" t="n">
        <v>528000098</v>
      </c>
      <c r="C1072" s="13" t="inlineStr">
        <is>
          <t>Edi Junaedi</t>
        </is>
      </c>
      <c r="D1072" s="13" t="inlineStr">
        <is>
          <t>PROD</t>
        </is>
      </c>
      <c r="E1072" s="13" t="inlineStr">
        <is>
          <t>Produksi Harian</t>
        </is>
      </c>
      <c r="F1072" s="170" t="n">
        <v>46180.55222222222</v>
      </c>
      <c r="G1072" s="13" t="inlineStr">
        <is>
          <t>FREE</t>
        </is>
      </c>
      <c r="H1072" s="170" t="n">
        <v>46210.57728009259</v>
      </c>
    </row>
    <row r="1073">
      <c r="A1073" s="13" t="inlineStr">
        <is>
          <t>MK00185</t>
        </is>
      </c>
      <c r="B1073" s="13" t="n">
        <v>528000313</v>
      </c>
      <c r="C1073" s="13" t="inlineStr">
        <is>
          <t>Muhamad Rifki</t>
        </is>
      </c>
      <c r="D1073" s="13" t="inlineStr">
        <is>
          <t>PROD</t>
        </is>
      </c>
      <c r="E1073" s="13" t="inlineStr">
        <is>
          <t>Produksi Harian</t>
        </is>
      </c>
      <c r="F1073" s="170" t="n">
        <v>46180.57017361111</v>
      </c>
      <c r="G1073" s="13" t="inlineStr">
        <is>
          <t>FREE</t>
        </is>
      </c>
      <c r="H1073" s="170" t="n">
        <v>46180.92168981482</v>
      </c>
    </row>
    <row r="1074">
      <c r="A1074" s="13" t="inlineStr">
        <is>
          <t>MK00090</t>
        </is>
      </c>
      <c r="B1074" s="13" t="n">
        <v>628000091</v>
      </c>
      <c r="C1074" s="13" t="inlineStr">
        <is>
          <t>Devita Handayani</t>
        </is>
      </c>
      <c r="D1074" s="13" t="inlineStr">
        <is>
          <t>PROD</t>
        </is>
      </c>
      <c r="E1074" s="13" t="inlineStr">
        <is>
          <t>Produksi Borongan</t>
        </is>
      </c>
      <c r="F1074" s="170" t="n">
        <v>46180.57060185185</v>
      </c>
      <c r="G1074" s="13" t="inlineStr">
        <is>
          <t>FREE</t>
        </is>
      </c>
      <c r="H1074" s="170" t="n">
        <v>46180.94922453703</v>
      </c>
    </row>
    <row r="1075">
      <c r="A1075" s="13" t="inlineStr">
        <is>
          <t>MK00113</t>
        </is>
      </c>
      <c r="B1075" s="13" t="n">
        <v>528000299</v>
      </c>
      <c r="C1075" s="13" t="inlineStr">
        <is>
          <t>Siti Nurjanah</t>
        </is>
      </c>
      <c r="D1075" s="13" t="inlineStr">
        <is>
          <t>PROD</t>
        </is>
      </c>
      <c r="E1075" s="13" t="inlineStr">
        <is>
          <t>Produksi Harian</t>
        </is>
      </c>
      <c r="F1075" s="170" t="n">
        <v>46180.57204861111</v>
      </c>
      <c r="G1075" s="13" t="inlineStr">
        <is>
          <t>FREE</t>
        </is>
      </c>
      <c r="H1075" s="170" t="n">
        <v>46180.92015046296</v>
      </c>
    </row>
    <row r="1076">
      <c r="A1076" s="13" t="inlineStr">
        <is>
          <t>MK00093</t>
        </is>
      </c>
      <c r="B1076" s="13" t="n">
        <v>528000305</v>
      </c>
      <c r="C1076" s="13" t="inlineStr">
        <is>
          <t>Puji Puspita</t>
        </is>
      </c>
      <c r="D1076" s="13" t="inlineStr">
        <is>
          <t>PROD</t>
        </is>
      </c>
      <c r="E1076" s="13" t="inlineStr">
        <is>
          <t>Produksi Harian</t>
        </is>
      </c>
      <c r="F1076" s="170" t="n">
        <v>46180.5721412037</v>
      </c>
      <c r="G1076" s="13" t="inlineStr">
        <is>
          <t>FREE</t>
        </is>
      </c>
      <c r="H1076" s="170" t="n">
        <v>46180.91914351852</v>
      </c>
    </row>
    <row r="1077">
      <c r="A1077" s="13" t="inlineStr">
        <is>
          <t>MK00151</t>
        </is>
      </c>
      <c r="B1077" s="13" t="n">
        <v>528000270</v>
      </c>
      <c r="C1077" s="13" t="inlineStr">
        <is>
          <t>Febri Najmudin</t>
        </is>
      </c>
      <c r="D1077" s="13" t="inlineStr">
        <is>
          <t>LOG</t>
        </is>
      </c>
      <c r="E1077" s="13" t="inlineStr">
        <is>
          <t>WRM Harian</t>
        </is>
      </c>
      <c r="F1077" s="170" t="n">
        <v>46180.57505787037</v>
      </c>
      <c r="G1077" s="13" t="inlineStr">
        <is>
          <t>FREE</t>
        </is>
      </c>
      <c r="H1077" s="170" t="n">
        <v>46180.93615740741</v>
      </c>
    </row>
    <row r="1078">
      <c r="A1078" s="13" t="inlineStr">
        <is>
          <t>MK00235</t>
        </is>
      </c>
      <c r="B1078" s="13" t="n">
        <v>528000298</v>
      </c>
      <c r="C1078" s="13" t="inlineStr">
        <is>
          <t>Desta Cahaya Pratama</t>
        </is>
      </c>
      <c r="D1078" s="13" t="inlineStr">
        <is>
          <t>PROD</t>
        </is>
      </c>
      <c r="E1078" s="13" t="inlineStr">
        <is>
          <t>Produksi Harian</t>
        </is>
      </c>
      <c r="F1078" s="170" t="n">
        <v>46180.57630787037</v>
      </c>
      <c r="G1078" s="13" t="inlineStr">
        <is>
          <t>FREE</t>
        </is>
      </c>
      <c r="H1078" s="170" t="n">
        <v>46210.57778935185</v>
      </c>
    </row>
    <row r="1079">
      <c r="A1079" s="13" t="inlineStr">
        <is>
          <t>MK00208</t>
        </is>
      </c>
      <c r="B1079" s="13" t="n">
        <v>528000302</v>
      </c>
      <c r="C1079" s="13" t="inlineStr">
        <is>
          <t>Henkey gumilar</t>
        </is>
      </c>
      <c r="D1079" s="13" t="inlineStr">
        <is>
          <t>PROD</t>
        </is>
      </c>
      <c r="E1079" s="13" t="inlineStr">
        <is>
          <t>Produksi Harian</t>
        </is>
      </c>
      <c r="F1079" s="170" t="n">
        <v>46180.58016203704</v>
      </c>
      <c r="G1079" s="13" t="inlineStr">
        <is>
          <t>FREE</t>
        </is>
      </c>
      <c r="H1079" s="170" t="n">
        <v>46180.92201388889</v>
      </c>
    </row>
    <row r="1080">
      <c r="A1080" s="13" t="inlineStr">
        <is>
          <t>MK00181</t>
        </is>
      </c>
      <c r="B1080" s="13" t="n">
        <v>528000015</v>
      </c>
      <c r="C1080" s="13" t="inlineStr">
        <is>
          <t>Erwin</t>
        </is>
      </c>
      <c r="D1080" s="13" t="inlineStr">
        <is>
          <t>LOG</t>
        </is>
      </c>
      <c r="E1080" s="13" t="inlineStr">
        <is>
          <t>WRM Harian</t>
        </is>
      </c>
      <c r="F1080" s="170" t="n">
        <v>46180.65211805556</v>
      </c>
      <c r="G1080" s="13" t="inlineStr">
        <is>
          <t>FREE</t>
        </is>
      </c>
      <c r="H1080" s="170" t="n">
        <v>46210.00141203704</v>
      </c>
    </row>
    <row r="1081">
      <c r="A1081" s="13" t="inlineStr">
        <is>
          <t>MK00221</t>
        </is>
      </c>
      <c r="B1081" s="13" t="n">
        <v>528000144</v>
      </c>
      <c r="C1081" s="13" t="inlineStr">
        <is>
          <t>Jodi Hanafi</t>
        </is>
      </c>
      <c r="D1081" s="13" t="inlineStr">
        <is>
          <t>LOG</t>
        </is>
      </c>
      <c r="E1081" s="13" t="inlineStr">
        <is>
          <t>WRM Harian</t>
        </is>
      </c>
      <c r="F1081" s="170" t="n">
        <v>46180.66172453704</v>
      </c>
      <c r="G1081" s="13" t="inlineStr">
        <is>
          <t>FREE</t>
        </is>
      </c>
      <c r="H1081" s="170" t="n">
        <v>46210.02105324074</v>
      </c>
    </row>
    <row r="1082">
      <c r="A1082" s="13" t="inlineStr">
        <is>
          <t>MK00205</t>
        </is>
      </c>
      <c r="B1082" s="13" t="n">
        <v>528000348</v>
      </c>
      <c r="C1082" s="13" t="inlineStr">
        <is>
          <t>Saepuloh Ardiansah</t>
        </is>
      </c>
      <c r="D1082" s="13" t="inlineStr">
        <is>
          <t>LOG</t>
        </is>
      </c>
      <c r="E1082" s="13" t="inlineStr">
        <is>
          <t>WRM Harian</t>
        </is>
      </c>
      <c r="F1082" s="170" t="n">
        <v>46180.66711805556</v>
      </c>
      <c r="G1082" s="13" t="inlineStr">
        <is>
          <t>FREE</t>
        </is>
      </c>
      <c r="H1082" s="170" t="n">
        <v>46210.41616898148</v>
      </c>
    </row>
    <row r="1083">
      <c r="A1083" s="13" t="inlineStr">
        <is>
          <t>MK00130</t>
        </is>
      </c>
      <c r="B1083" s="13" t="n">
        <v>528000309</v>
      </c>
      <c r="C1083" s="13" t="inlineStr">
        <is>
          <t>Ilham Ramadhan</t>
        </is>
      </c>
      <c r="D1083" s="13" t="inlineStr">
        <is>
          <t>LOG</t>
        </is>
      </c>
      <c r="E1083" s="13" t="inlineStr">
        <is>
          <t>WRM Harian</t>
        </is>
      </c>
      <c r="F1083" s="170" t="n">
        <v>46180.77869212963</v>
      </c>
      <c r="G1083" s="13" t="inlineStr">
        <is>
          <t>FREE</t>
        </is>
      </c>
      <c r="H1083" s="170" t="n">
        <v>46210.57834490741</v>
      </c>
    </row>
    <row r="1084">
      <c r="A1084" s="13" t="inlineStr">
        <is>
          <t>MK00109</t>
        </is>
      </c>
      <c r="B1084" s="13" t="n">
        <v>528000244</v>
      </c>
      <c r="C1084" s="13" t="inlineStr">
        <is>
          <t>Rodian Rifai</t>
        </is>
      </c>
      <c r="D1084" s="13" t="inlineStr">
        <is>
          <t>PROD</t>
        </is>
      </c>
      <c r="E1084" s="13" t="inlineStr">
        <is>
          <t>Produksi Harian</t>
        </is>
      </c>
      <c r="F1084" s="170" t="n">
        <v>46180.89</v>
      </c>
      <c r="G1084" s="13" t="inlineStr">
        <is>
          <t>FREE</t>
        </is>
      </c>
      <c r="H1084" s="170" t="n">
        <v>46210.27800925926</v>
      </c>
    </row>
    <row r="1085">
      <c r="A1085" s="13" t="inlineStr">
        <is>
          <t>MK00204</t>
        </is>
      </c>
      <c r="B1085" s="13" t="n">
        <v>528000289</v>
      </c>
      <c r="C1085" s="13" t="inlineStr">
        <is>
          <t>Adit Supriyadi</t>
        </is>
      </c>
      <c r="D1085" s="13" t="inlineStr">
        <is>
          <t>PROD</t>
        </is>
      </c>
      <c r="E1085" s="13" t="inlineStr">
        <is>
          <t>Produksi Harian</t>
        </is>
      </c>
      <c r="F1085" s="170" t="n">
        <v>46180.90067129629</v>
      </c>
      <c r="G1085" s="13" t="inlineStr">
        <is>
          <t>FREE</t>
        </is>
      </c>
      <c r="H1085" s="170" t="n">
        <v>46210.30793981482</v>
      </c>
    </row>
    <row r="1086">
      <c r="A1086" s="13" t="inlineStr">
        <is>
          <t>MK00250</t>
        </is>
      </c>
      <c r="B1086" s="13" t="n">
        <v>528000306</v>
      </c>
      <c r="C1086" s="13" t="inlineStr">
        <is>
          <t>Windy Olivia</t>
        </is>
      </c>
      <c r="D1086" s="13" t="inlineStr">
        <is>
          <t>PROD</t>
        </is>
      </c>
      <c r="E1086" s="13" t="inlineStr">
        <is>
          <t>Produksi Harian</t>
        </is>
      </c>
      <c r="F1086" s="170" t="n">
        <v>46180.9012962963</v>
      </c>
      <c r="G1086" s="13" t="inlineStr">
        <is>
          <t>FREE</t>
        </is>
      </c>
      <c r="H1086" s="170" t="n">
        <v>46210.25188657407</v>
      </c>
    </row>
    <row r="1087">
      <c r="A1087" s="13" t="inlineStr">
        <is>
          <t>MK00116</t>
        </is>
      </c>
      <c r="B1087" s="13" t="n">
        <v>528000201</v>
      </c>
      <c r="C1087" s="13" t="inlineStr">
        <is>
          <t>Zahwa Amelia Choerunissa</t>
        </is>
      </c>
      <c r="D1087" s="13" t="inlineStr">
        <is>
          <t>PROD</t>
        </is>
      </c>
      <c r="E1087" s="13" t="inlineStr">
        <is>
          <t>Produksi Harian</t>
        </is>
      </c>
      <c r="F1087" s="170" t="n">
        <v>46180.90164351852</v>
      </c>
      <c r="G1087" s="13" t="inlineStr">
        <is>
          <t>FREE</t>
        </is>
      </c>
      <c r="H1087" s="170" t="n">
        <v>46210.25314814815</v>
      </c>
    </row>
    <row r="1088">
      <c r="A1088" s="13" t="inlineStr">
        <is>
          <t>MK00249</t>
        </is>
      </c>
      <c r="B1088" s="13" t="n">
        <v>528000099</v>
      </c>
      <c r="C1088" s="13" t="inlineStr">
        <is>
          <t>Siti Nurawaliah</t>
        </is>
      </c>
      <c r="D1088" s="13" t="inlineStr">
        <is>
          <t>PROD</t>
        </is>
      </c>
      <c r="E1088" s="13" t="inlineStr">
        <is>
          <t>Produksi Harian</t>
        </is>
      </c>
      <c r="F1088" s="170" t="n">
        <v>46180.90269675926</v>
      </c>
      <c r="G1088" s="13" t="inlineStr">
        <is>
          <t>FREE</t>
        </is>
      </c>
      <c r="H1088" s="170" t="n">
        <v>46210.2543287037</v>
      </c>
    </row>
    <row r="1089">
      <c r="A1089" s="13" t="inlineStr">
        <is>
          <t>MK00095</t>
        </is>
      </c>
      <c r="B1089" s="13" t="n">
        <v>528000286</v>
      </c>
      <c r="C1089" s="13" t="inlineStr">
        <is>
          <t>Imelda Amelia</t>
        </is>
      </c>
      <c r="D1089" s="13" t="inlineStr">
        <is>
          <t>PROD</t>
        </is>
      </c>
      <c r="E1089" s="13" t="inlineStr">
        <is>
          <t>Produksi Harian</t>
        </is>
      </c>
      <c r="F1089" s="170" t="n">
        <v>46180.90392361111</v>
      </c>
      <c r="G1089" s="13" t="inlineStr">
        <is>
          <t>FREE</t>
        </is>
      </c>
      <c r="H1089" s="170" t="n">
        <v>46210.25371527778</v>
      </c>
    </row>
    <row r="1090">
      <c r="A1090" s="13" t="inlineStr">
        <is>
          <t>MK00134</t>
        </is>
      </c>
      <c r="B1090" s="13" t="n">
        <v>528000274</v>
      </c>
      <c r="C1090" s="13" t="inlineStr">
        <is>
          <t>Zepri</t>
        </is>
      </c>
      <c r="D1090" s="13" t="inlineStr">
        <is>
          <t>PROD</t>
        </is>
      </c>
      <c r="E1090" s="13" t="inlineStr">
        <is>
          <t>Produksi Harian</t>
        </is>
      </c>
      <c r="F1090" s="170" t="n">
        <v>46180.9128125</v>
      </c>
      <c r="G1090" s="13" t="inlineStr">
        <is>
          <t>FREE</t>
        </is>
      </c>
      <c r="H1090" s="170" t="n">
        <v>46210.25148148148</v>
      </c>
    </row>
    <row r="1091">
      <c r="A1091" s="13" t="inlineStr">
        <is>
          <t>MK0015</t>
        </is>
      </c>
      <c r="B1091" s="13" t="n">
        <v>528000241</v>
      </c>
      <c r="C1091" s="13" t="inlineStr">
        <is>
          <t>Balia Nurafif Bilah</t>
        </is>
      </c>
      <c r="D1091" s="13" t="inlineStr">
        <is>
          <t>PROD</t>
        </is>
      </c>
      <c r="E1091" s="13" t="inlineStr">
        <is>
          <t>Produksi Harian</t>
        </is>
      </c>
      <c r="F1091" s="170" t="n">
        <v>46180.91289351852</v>
      </c>
      <c r="G1091" s="13" t="inlineStr">
        <is>
          <t>FREE</t>
        </is>
      </c>
      <c r="H1091" s="170" t="n">
        <v>46180.91569444445</v>
      </c>
    </row>
    <row r="1092">
      <c r="A1092" s="13" t="inlineStr">
        <is>
          <t>MK00136</t>
        </is>
      </c>
      <c r="B1092" s="13" t="n">
        <v>528000290</v>
      </c>
      <c r="C1092" s="13" t="inlineStr">
        <is>
          <t>Eval Pranata</t>
        </is>
      </c>
      <c r="D1092" s="13" t="inlineStr">
        <is>
          <t>PROD</t>
        </is>
      </c>
      <c r="E1092" s="13" t="inlineStr">
        <is>
          <t>Produksi Harian</t>
        </is>
      </c>
      <c r="F1092" s="170" t="n">
        <v>46180.91521990741</v>
      </c>
      <c r="G1092" s="13" t="inlineStr">
        <is>
          <t>FREE</t>
        </is>
      </c>
      <c r="H1092" s="170" t="n">
        <v>46210.25171296296</v>
      </c>
    </row>
    <row r="1093">
      <c r="A1093" s="13" t="inlineStr">
        <is>
          <t>MK00112</t>
        </is>
      </c>
      <c r="B1093" s="13" t="n">
        <v>528000090</v>
      </c>
      <c r="C1093" s="13" t="inlineStr">
        <is>
          <t>Suganda</t>
        </is>
      </c>
      <c r="D1093" s="13" t="inlineStr">
        <is>
          <t>PROD</t>
        </is>
      </c>
      <c r="E1093" s="13" t="inlineStr">
        <is>
          <t>Produksi Harian</t>
        </is>
      </c>
      <c r="F1093" s="170" t="n">
        <v>46180.91527777778</v>
      </c>
      <c r="G1093" s="13" t="inlineStr">
        <is>
          <t>FREE</t>
        </is>
      </c>
      <c r="H1093" s="170" t="n">
        <v>46210.25157407407</v>
      </c>
    </row>
    <row r="1094">
      <c r="A1094" s="13" t="inlineStr">
        <is>
          <t>MK0082</t>
        </is>
      </c>
      <c r="B1094" s="13" t="n">
        <v>528000212</v>
      </c>
      <c r="C1094" s="13" t="inlineStr">
        <is>
          <t>Rizal Fauzi</t>
        </is>
      </c>
      <c r="D1094" s="13" t="inlineStr">
        <is>
          <t>PROD</t>
        </is>
      </c>
      <c r="E1094" s="13" t="inlineStr">
        <is>
          <t>Produksi Harian</t>
        </is>
      </c>
      <c r="F1094" s="170" t="n">
        <v>46180.91572916666</v>
      </c>
      <c r="G1094" s="13" t="inlineStr">
        <is>
          <t>FREE</t>
        </is>
      </c>
      <c r="H1094" s="170" t="n">
        <v>46210.25171296296</v>
      </c>
    </row>
    <row r="1095">
      <c r="A1095" s="13" t="inlineStr">
        <is>
          <t>MK00158</t>
        </is>
      </c>
      <c r="B1095" s="13" t="n">
        <v>528000241</v>
      </c>
      <c r="C1095" s="13" t="inlineStr">
        <is>
          <t>Balia Nurafif Bilah</t>
        </is>
      </c>
      <c r="D1095" s="13" t="inlineStr">
        <is>
          <t>PROD</t>
        </is>
      </c>
      <c r="E1095" s="13" t="inlineStr">
        <is>
          <t>Produksi Harian</t>
        </is>
      </c>
      <c r="F1095" s="170" t="n">
        <v>46180.91590277778</v>
      </c>
      <c r="G1095" s="13" t="inlineStr">
        <is>
          <t>FREE</t>
        </is>
      </c>
      <c r="H1095" s="170" t="n">
        <v>46210.25185185186</v>
      </c>
    </row>
    <row r="1096">
      <c r="A1096" s="13" t="inlineStr">
        <is>
          <t>MK0192</t>
        </is>
      </c>
      <c r="B1096" s="13" t="n">
        <v>528000052</v>
      </c>
      <c r="C1096" s="13" t="inlineStr">
        <is>
          <t>Mustopa</t>
        </is>
      </c>
      <c r="D1096" s="13" t="inlineStr">
        <is>
          <t>PROD</t>
        </is>
      </c>
      <c r="E1096" s="13" t="inlineStr">
        <is>
          <t>Produksi Harian</t>
        </is>
      </c>
      <c r="F1096" s="170" t="n">
        <v>46210.22991898148</v>
      </c>
      <c r="G1096" s="13" t="inlineStr">
        <is>
          <t>FREE</t>
        </is>
      </c>
      <c r="H1096" s="170" t="n">
        <v>46210.58486111111</v>
      </c>
    </row>
    <row r="1097">
      <c r="A1097" s="13" t="inlineStr">
        <is>
          <t>MK00208</t>
        </is>
      </c>
      <c r="B1097" s="13" t="n">
        <v>528000262</v>
      </c>
      <c r="C1097" s="13" t="inlineStr">
        <is>
          <t>Ndari Dwiwanti</t>
        </is>
      </c>
      <c r="D1097" s="13" t="inlineStr">
        <is>
          <t>PROD</t>
        </is>
      </c>
      <c r="E1097" s="13" t="inlineStr">
        <is>
          <t>Produksi Harian</t>
        </is>
      </c>
      <c r="F1097" s="170" t="n">
        <v>46210.23746527778</v>
      </c>
      <c r="G1097" s="13" t="inlineStr">
        <is>
          <t>FREE</t>
        </is>
      </c>
      <c r="H1097" s="170" t="n">
        <v>46210.58987268519</v>
      </c>
    </row>
    <row r="1098">
      <c r="A1098" s="13" t="inlineStr">
        <is>
          <t>MK00151</t>
        </is>
      </c>
      <c r="B1098" s="13" t="n">
        <v>528000195</v>
      </c>
      <c r="C1098" s="13" t="inlineStr">
        <is>
          <t>Rahma Sariwati</t>
        </is>
      </c>
      <c r="D1098" s="13" t="inlineStr">
        <is>
          <t>PROD</t>
        </is>
      </c>
      <c r="E1098" s="13" t="inlineStr">
        <is>
          <t>Produksi Harian</t>
        </is>
      </c>
      <c r="F1098" s="170" t="n">
        <v>46210.23796296296</v>
      </c>
      <c r="G1098" s="13" t="inlineStr">
        <is>
          <t>FREE</t>
        </is>
      </c>
      <c r="H1098" s="170" t="n">
        <v>46210.58872685185</v>
      </c>
    </row>
    <row r="1099">
      <c r="A1099" s="13" t="inlineStr">
        <is>
          <t>MK000209</t>
        </is>
      </c>
      <c r="B1099" s="13" t="n">
        <v>528000328</v>
      </c>
      <c r="C1099" s="13" t="inlineStr">
        <is>
          <t>Nur Anjani</t>
        </is>
      </c>
      <c r="D1099" s="13" t="inlineStr">
        <is>
          <t>PROD</t>
        </is>
      </c>
      <c r="E1099" s="13" t="inlineStr">
        <is>
          <t>Produksi Harian</t>
        </is>
      </c>
      <c r="F1099" s="170" t="n">
        <v>46210.24237268518</v>
      </c>
      <c r="G1099" s="13" t="inlineStr">
        <is>
          <t>FREE</t>
        </is>
      </c>
      <c r="H1099" s="170" t="n">
        <v>46219.98320601852</v>
      </c>
    </row>
    <row r="1100">
      <c r="A1100" s="13" t="inlineStr">
        <is>
          <t>MK00230</t>
        </is>
      </c>
      <c r="B1100" s="13" t="n">
        <v>528000261</v>
      </c>
      <c r="C1100" s="13" t="inlineStr">
        <is>
          <t>Ergi Ergianto</t>
        </is>
      </c>
      <c r="D1100" s="13" t="inlineStr">
        <is>
          <t>HRGA</t>
        </is>
      </c>
      <c r="E1100" s="13" t="inlineStr">
        <is>
          <t>GA Harian</t>
        </is>
      </c>
      <c r="F1100" s="170" t="n">
        <v>46210.24305555555</v>
      </c>
      <c r="G1100" s="13" t="inlineStr">
        <is>
          <t>FREE</t>
        </is>
      </c>
      <c r="H1100" s="170" t="n">
        <v>46210.58630787037</v>
      </c>
    </row>
    <row r="1101">
      <c r="A1101" s="13" t="inlineStr">
        <is>
          <t>MK00008</t>
        </is>
      </c>
      <c r="B1101" s="13" t="n">
        <v>528000266</v>
      </c>
      <c r="C1101" s="13" t="inlineStr">
        <is>
          <t>M. Syirajatieq</t>
        </is>
      </c>
      <c r="D1101" s="13" t="inlineStr">
        <is>
          <t>LOG</t>
        </is>
      </c>
      <c r="E1101" s="13" t="inlineStr">
        <is>
          <t>WFG Harian</t>
        </is>
      </c>
      <c r="F1101" s="170" t="n">
        <v>46210.24336805556</v>
      </c>
      <c r="G1101" s="13" t="inlineStr">
        <is>
          <t>FREE</t>
        </is>
      </c>
      <c r="H1101" s="170" t="n">
        <v>46210.59672453703</v>
      </c>
    </row>
    <row r="1102">
      <c r="A1102" s="13" t="inlineStr">
        <is>
          <t>MK00202</t>
        </is>
      </c>
      <c r="B1102" s="13" t="n">
        <v>528000069</v>
      </c>
      <c r="C1102" s="13" t="inlineStr">
        <is>
          <t>Jajang Ardiansyah</t>
        </is>
      </c>
      <c r="D1102" s="13" t="inlineStr">
        <is>
          <t>PROD</t>
        </is>
      </c>
      <c r="E1102" s="13" t="inlineStr">
        <is>
          <t>Produksi Harian</t>
        </is>
      </c>
      <c r="F1102" s="170" t="n">
        <v>46210.29180555556</v>
      </c>
      <c r="G1102" s="13" t="inlineStr">
        <is>
          <t>FREE</t>
        </is>
      </c>
      <c r="H1102" s="170" t="n">
        <v>46210.92321759259</v>
      </c>
    </row>
    <row r="1103">
      <c r="A1103" s="13" t="inlineStr">
        <is>
          <t>MK00145</t>
        </is>
      </c>
      <c r="B1103" s="13" t="n">
        <v>528000282</v>
      </c>
      <c r="C1103" s="13" t="inlineStr">
        <is>
          <t>Defa Desfiana</t>
        </is>
      </c>
      <c r="D1103" s="13" t="inlineStr">
        <is>
          <t>PROD</t>
        </is>
      </c>
      <c r="E1103" s="13" t="inlineStr">
        <is>
          <t>Produksi Harian</t>
        </is>
      </c>
      <c r="F1103" s="170" t="n">
        <v>46210.31936342592</v>
      </c>
      <c r="G1103" s="13" t="inlineStr">
        <is>
          <t>FREE</t>
        </is>
      </c>
      <c r="H1103" s="170" t="n">
        <v>46210.66783564815</v>
      </c>
    </row>
    <row r="1104">
      <c r="A1104" s="13" t="inlineStr">
        <is>
          <t>MKZ0116</t>
        </is>
      </c>
      <c r="B1104" s="13" t="n">
        <v>528000265</v>
      </c>
      <c r="C1104" s="13" t="inlineStr">
        <is>
          <t>Muhammad Haerul Rozikin</t>
        </is>
      </c>
      <c r="D1104" s="13" t="inlineStr">
        <is>
          <t>LOG</t>
        </is>
      </c>
      <c r="E1104" s="13" t="inlineStr">
        <is>
          <t>WRM Harian</t>
        </is>
      </c>
      <c r="F1104" s="170" t="n">
        <v>46210.32400462963</v>
      </c>
      <c r="G1104" s="13" t="inlineStr">
        <is>
          <t>FREE</t>
        </is>
      </c>
      <c r="H1104" s="170" t="n">
        <v>46210.66887731481</v>
      </c>
    </row>
    <row r="1105">
      <c r="A1105" s="13" t="inlineStr">
        <is>
          <t>MK00138</t>
        </is>
      </c>
      <c r="B1105" s="13" t="n">
        <v>528000351</v>
      </c>
      <c r="C1105" s="13" t="inlineStr">
        <is>
          <t>Mulyana</t>
        </is>
      </c>
      <c r="D1105" s="13" t="inlineStr">
        <is>
          <t>PROD</t>
        </is>
      </c>
      <c r="E1105" s="13" t="inlineStr">
        <is>
          <t>Produksi Harian</t>
        </is>
      </c>
      <c r="F1105" s="170" t="n">
        <v>46210.32438657407</v>
      </c>
      <c r="G1105" s="13" t="inlineStr">
        <is>
          <t>FREE</t>
        </is>
      </c>
      <c r="H1105" s="170" t="n">
        <v>46210.66957175926</v>
      </c>
    </row>
    <row r="1106">
      <c r="A1106" s="13" t="inlineStr">
        <is>
          <t>MK00249</t>
        </is>
      </c>
      <c r="B1106" s="13" t="n">
        <v>528000310</v>
      </c>
      <c r="C1106" s="13" t="inlineStr">
        <is>
          <t>Fachrul Rozzi Suryana</t>
        </is>
      </c>
      <c r="D1106" s="13" t="inlineStr">
        <is>
          <t>LOG</t>
        </is>
      </c>
      <c r="E1106" s="13" t="inlineStr">
        <is>
          <t>WRM Harian</t>
        </is>
      </c>
      <c r="F1106" s="170" t="n">
        <v>46210.328125</v>
      </c>
      <c r="G1106" s="13" t="inlineStr">
        <is>
          <t>FREE</t>
        </is>
      </c>
      <c r="H1106" s="170" t="n">
        <v>46210.66778935185</v>
      </c>
    </row>
    <row r="1107">
      <c r="A1107" s="13" t="inlineStr">
        <is>
          <t>MK00112</t>
        </is>
      </c>
      <c r="B1107" s="13" t="n">
        <v>528000203</v>
      </c>
      <c r="C1107" s="13" t="inlineStr">
        <is>
          <t>Yudha Ramdhan Putra</t>
        </is>
      </c>
      <c r="D1107" s="13" t="inlineStr">
        <is>
          <t>ENG</t>
        </is>
      </c>
      <c r="E1107" s="13" t="inlineStr">
        <is>
          <t>Engineering Harian</t>
        </is>
      </c>
      <c r="F1107" s="170" t="n">
        <v>46210.3337962963</v>
      </c>
      <c r="G1107" s="13" t="inlineStr">
        <is>
          <t>FREE</t>
        </is>
      </c>
      <c r="H1107" s="170" t="n">
        <v>46210.66792824074</v>
      </c>
    </row>
    <row r="1108">
      <c r="A1108" s="13" t="inlineStr">
        <is>
          <t>MK00204</t>
        </is>
      </c>
      <c r="B1108" s="13" t="n">
        <v>528000232</v>
      </c>
      <c r="C1108" s="13" t="inlineStr">
        <is>
          <t>Agung Aji Suhada</t>
        </is>
      </c>
      <c r="D1108" s="13" t="inlineStr">
        <is>
          <t>LOG</t>
        </is>
      </c>
      <c r="E1108" s="13" t="inlineStr">
        <is>
          <t>WRM Harian</t>
        </is>
      </c>
      <c r="F1108" s="170" t="n">
        <v>46210.37276620371</v>
      </c>
      <c r="G1108" s="13" t="inlineStr">
        <is>
          <t>FREE</t>
        </is>
      </c>
      <c r="H1108" s="170" t="n">
        <v>46210.71003472222</v>
      </c>
    </row>
    <row r="1109">
      <c r="A1109" s="13" t="inlineStr">
        <is>
          <t>MK00228</t>
        </is>
      </c>
      <c r="B1109" s="13" t="n">
        <v>528000132</v>
      </c>
      <c r="C1109" s="13" t="inlineStr">
        <is>
          <t>Giopani</t>
        </is>
      </c>
      <c r="D1109" s="13" t="inlineStr">
        <is>
          <t>LOG</t>
        </is>
      </c>
      <c r="E1109" s="13" t="inlineStr">
        <is>
          <t>WRM Harian</t>
        </is>
      </c>
      <c r="F1109" s="170" t="n">
        <v>46210.3734837963</v>
      </c>
      <c r="G1109" s="13" t="inlineStr">
        <is>
          <t>FREE</t>
        </is>
      </c>
      <c r="H1109" s="170" t="n">
        <v>46241.37377314815</v>
      </c>
    </row>
    <row r="1110">
      <c r="A1110" s="13" t="inlineStr">
        <is>
          <t>MK0082</t>
        </is>
      </c>
      <c r="B1110" s="13" t="n">
        <v>528000349</v>
      </c>
      <c r="C1110" s="13" t="inlineStr">
        <is>
          <t>Anas Abdul Fatah</t>
        </is>
      </c>
      <c r="D1110" s="13" t="inlineStr">
        <is>
          <t>LOG</t>
        </is>
      </c>
      <c r="E1110" s="13" t="inlineStr">
        <is>
          <t>WFG Harian</t>
        </is>
      </c>
      <c r="F1110" s="170" t="n">
        <v>46210.40135416666</v>
      </c>
      <c r="G1110" s="13" t="inlineStr">
        <is>
          <t>FREE</t>
        </is>
      </c>
      <c r="H1110" s="170" t="n">
        <v>46210.76100694444</v>
      </c>
    </row>
    <row r="1111">
      <c r="A1111" s="13" t="inlineStr">
        <is>
          <t>MK00148</t>
        </is>
      </c>
      <c r="B1111" s="13" t="n">
        <v>628000064</v>
      </c>
      <c r="C1111" s="13" t="inlineStr">
        <is>
          <t>Silva Alypia</t>
        </is>
      </c>
      <c r="D1111" s="13" t="inlineStr">
        <is>
          <t>PROD</t>
        </is>
      </c>
      <c r="E1111" s="13" t="inlineStr">
        <is>
          <t>Produksi Borongan</t>
        </is>
      </c>
      <c r="F1111" s="170" t="n">
        <v>46210.57125</v>
      </c>
      <c r="G1111" s="13" t="inlineStr">
        <is>
          <t>FREE</t>
        </is>
      </c>
      <c r="H1111" s="170" t="n">
        <v>46210.91976851852</v>
      </c>
    </row>
    <row r="1112">
      <c r="A1112" s="13" t="inlineStr">
        <is>
          <t>MK00093</t>
        </is>
      </c>
      <c r="B1112" s="13" t="n">
        <v>528000297</v>
      </c>
      <c r="C1112" s="13" t="inlineStr">
        <is>
          <t>Muhamad Budiana</t>
        </is>
      </c>
      <c r="D1112" s="13" t="inlineStr">
        <is>
          <t>PROD</t>
        </is>
      </c>
      <c r="E1112" s="13" t="inlineStr">
        <is>
          <t>Produksi Harian</t>
        </is>
      </c>
      <c r="F1112" s="170" t="n">
        <v>46210.57609953704</v>
      </c>
      <c r="G1112" s="13" t="inlineStr">
        <is>
          <t>FREE</t>
        </is>
      </c>
      <c r="H1112" s="170" t="n">
        <v>46210.97413194444</v>
      </c>
    </row>
    <row r="1113">
      <c r="A1113" s="13" t="inlineStr">
        <is>
          <t>MK00136</t>
        </is>
      </c>
      <c r="B1113" s="13" t="n">
        <v>528000318</v>
      </c>
      <c r="C1113" s="13" t="inlineStr">
        <is>
          <t>Bayu Padli Sepriyana</t>
        </is>
      </c>
      <c r="D1113" s="13" t="inlineStr">
        <is>
          <t>LOG</t>
        </is>
      </c>
      <c r="E1113" s="13" t="inlineStr">
        <is>
          <t>WRM Harian</t>
        </is>
      </c>
      <c r="F1113" s="170" t="n">
        <v>46210.57643518518</v>
      </c>
      <c r="G1113" s="13" t="inlineStr">
        <is>
          <t>FREE</t>
        </is>
      </c>
      <c r="H1113" s="170" t="n">
        <v>46210.91902777777</v>
      </c>
    </row>
    <row r="1114">
      <c r="A1114" s="13" t="inlineStr">
        <is>
          <t>MK00046</t>
        </is>
      </c>
      <c r="B1114" s="13" t="n">
        <v>528000279</v>
      </c>
      <c r="C1114" s="13" t="inlineStr">
        <is>
          <t>Mahdalena Dalfa Riani</t>
        </is>
      </c>
      <c r="D1114" s="13" t="inlineStr">
        <is>
          <t>PROD</t>
        </is>
      </c>
      <c r="E1114" s="13" t="inlineStr">
        <is>
          <t>Produksi Harian</t>
        </is>
      </c>
      <c r="F1114" s="170" t="n">
        <v>46210.58520833333</v>
      </c>
      <c r="G1114" s="13" t="inlineStr">
        <is>
          <t>FREE</t>
        </is>
      </c>
      <c r="H1114" s="170" t="n">
        <v>46210.91917824074</v>
      </c>
    </row>
    <row r="1115">
      <c r="A1115" s="13" t="inlineStr">
        <is>
          <t>MK00209</t>
        </is>
      </c>
      <c r="B1115" s="13" t="n">
        <v>528000300</v>
      </c>
      <c r="C1115" s="13" t="inlineStr">
        <is>
          <t>Lia pitaloka</t>
        </is>
      </c>
      <c r="D1115" s="13" t="inlineStr">
        <is>
          <t>PROD</t>
        </is>
      </c>
      <c r="E1115" s="13" t="inlineStr">
        <is>
          <t>Produksi Harian</t>
        </is>
      </c>
      <c r="F1115" s="170" t="n">
        <v>46210.58877314815</v>
      </c>
      <c r="G1115" s="13" t="inlineStr">
        <is>
          <t>FREE</t>
        </is>
      </c>
      <c r="H1115" s="170" t="n">
        <v>46210.91964120371</v>
      </c>
    </row>
    <row r="1116">
      <c r="A1116" s="13" t="inlineStr">
        <is>
          <t>MK00208</t>
        </is>
      </c>
      <c r="B1116" s="13" t="n">
        <v>528000248</v>
      </c>
      <c r="C1116" s="13" t="inlineStr">
        <is>
          <t>Roka Jaya Salka Mulya</t>
        </is>
      </c>
      <c r="D1116" s="13" t="inlineStr">
        <is>
          <t>PROD</t>
        </is>
      </c>
      <c r="E1116" s="13" t="inlineStr">
        <is>
          <t>Produksi Harian</t>
        </is>
      </c>
      <c r="F1116" s="170" t="n">
        <v>46210.59314814815</v>
      </c>
      <c r="G1116" s="13" t="inlineStr">
        <is>
          <t>FREE</t>
        </is>
      </c>
      <c r="H1116" s="170" t="n">
        <v>46241.56560185185</v>
      </c>
    </row>
    <row r="1117">
      <c r="A1117" s="13" t="inlineStr">
        <is>
          <t>MK00213</t>
        </is>
      </c>
      <c r="B1117" s="13" t="n">
        <v>528000015</v>
      </c>
      <c r="C1117" s="13" t="inlineStr">
        <is>
          <t>Erwin</t>
        </is>
      </c>
      <c r="D1117" s="13" t="inlineStr">
        <is>
          <t>LOG</t>
        </is>
      </c>
      <c r="E1117" s="13" t="inlineStr">
        <is>
          <t>WRM Harian</t>
        </is>
      </c>
      <c r="F1117" s="170" t="n">
        <v>46210.65263888889</v>
      </c>
      <c r="G1117" s="13" t="inlineStr">
        <is>
          <t>FREE</t>
        </is>
      </c>
      <c r="H1117" s="170" t="n">
        <v>46241.00277777778</v>
      </c>
    </row>
    <row r="1118">
      <c r="A1118" s="13" t="inlineStr">
        <is>
          <t>MK00221</t>
        </is>
      </c>
      <c r="B1118" s="13" t="n">
        <v>528000144</v>
      </c>
      <c r="C1118" s="13" t="inlineStr">
        <is>
          <t>Jodi Hanafi</t>
        </is>
      </c>
      <c r="D1118" s="13" t="inlineStr">
        <is>
          <t>LOG</t>
        </is>
      </c>
      <c r="E1118" s="13" t="inlineStr">
        <is>
          <t>WRM Harian</t>
        </is>
      </c>
      <c r="F1118" s="170" t="n">
        <v>46210.65363425926</v>
      </c>
      <c r="G1118" s="13" t="inlineStr">
        <is>
          <t>FREE</t>
        </is>
      </c>
      <c r="H1118" s="170" t="n">
        <v>46272.66584490741</v>
      </c>
    </row>
    <row r="1119">
      <c r="A1119" s="13" t="inlineStr">
        <is>
          <t>MK00205</t>
        </is>
      </c>
      <c r="B1119" s="13" t="n">
        <v>528000348</v>
      </c>
      <c r="C1119" s="13" t="inlineStr">
        <is>
          <t>Saepuloh Ardiansah</t>
        </is>
      </c>
      <c r="D1119" s="13" t="inlineStr">
        <is>
          <t>LOG</t>
        </is>
      </c>
      <c r="E1119" s="13" t="inlineStr">
        <is>
          <t>WRM Harian</t>
        </is>
      </c>
      <c r="F1119" s="170" t="n">
        <v>46210.66483796296</v>
      </c>
      <c r="G1119" s="13" t="inlineStr">
        <is>
          <t>FREE</t>
        </is>
      </c>
      <c r="H1119" s="170" t="n">
        <v>46241.55707175926</v>
      </c>
    </row>
    <row r="1120">
      <c r="A1120" s="13" t="inlineStr">
        <is>
          <t>MK00235</t>
        </is>
      </c>
      <c r="B1120" s="13" t="n">
        <v>528000288</v>
      </c>
      <c r="C1120" s="13" t="inlineStr">
        <is>
          <t>Dede gunawan</t>
        </is>
      </c>
      <c r="D1120" s="13" t="inlineStr">
        <is>
          <t>PROD</t>
        </is>
      </c>
      <c r="E1120" s="13" t="inlineStr">
        <is>
          <t>Produksi Harian</t>
        </is>
      </c>
      <c r="F1120" s="170" t="n">
        <v>46210.73622685186</v>
      </c>
      <c r="G1120" s="13" t="inlineStr">
        <is>
          <t>FREE</t>
        </is>
      </c>
      <c r="H1120" s="170" t="n">
        <v>46241.56989583333</v>
      </c>
    </row>
    <row r="1121">
      <c r="A1121" s="13" t="inlineStr">
        <is>
          <t>MK0082</t>
        </is>
      </c>
      <c r="B1121" s="13" t="n">
        <v>528000349</v>
      </c>
      <c r="C1121" s="13" t="inlineStr">
        <is>
          <t>Anas Abdul Fatah</t>
        </is>
      </c>
      <c r="D1121" s="13" t="inlineStr">
        <is>
          <t>LOG</t>
        </is>
      </c>
      <c r="E1121" s="13" t="inlineStr">
        <is>
          <t>WFG Harian</t>
        </is>
      </c>
      <c r="F1121" s="170" t="n">
        <v>46210.76152777778</v>
      </c>
      <c r="G1121" s="13" t="inlineStr">
        <is>
          <t>FREE</t>
        </is>
      </c>
      <c r="H1121" s="170" t="n">
        <v>46210.76204861111</v>
      </c>
    </row>
    <row r="1122">
      <c r="A1122" s="13" t="inlineStr">
        <is>
          <t>MK00113</t>
        </is>
      </c>
      <c r="B1122" s="13" t="n">
        <v>528000244</v>
      </c>
      <c r="C1122" s="13" t="inlineStr">
        <is>
          <t>Rodian Rifai</t>
        </is>
      </c>
      <c r="D1122" s="13" t="inlineStr">
        <is>
          <t>PROD</t>
        </is>
      </c>
      <c r="E1122" s="13" t="inlineStr">
        <is>
          <t>Produksi Harian</t>
        </is>
      </c>
      <c r="F1122" s="170" t="n">
        <v>46210.89158564815</v>
      </c>
      <c r="G1122" s="13" t="inlineStr">
        <is>
          <t>FREE</t>
        </is>
      </c>
      <c r="H1122" s="170" t="n">
        <v>46241.2624074074</v>
      </c>
    </row>
    <row r="1123">
      <c r="A1123" s="13" t="inlineStr">
        <is>
          <t>MK00112</t>
        </is>
      </c>
      <c r="B1123" s="13" t="n">
        <v>528000289</v>
      </c>
      <c r="C1123" s="13" t="inlineStr">
        <is>
          <t>Adit Supriyadi</t>
        </is>
      </c>
      <c r="D1123" s="13" t="inlineStr">
        <is>
          <t>PROD</t>
        </is>
      </c>
      <c r="E1123" s="13" t="inlineStr">
        <is>
          <t>Produksi Harian</t>
        </is>
      </c>
      <c r="F1123" s="170" t="n">
        <v>46210.89773148148</v>
      </c>
      <c r="G1123" s="13" t="inlineStr">
        <is>
          <t>FREE</t>
        </is>
      </c>
      <c r="H1123" s="170" t="n">
        <v>46241.25357638889</v>
      </c>
    </row>
    <row r="1124">
      <c r="A1124" s="13" t="inlineStr">
        <is>
          <t>MK00095</t>
        </is>
      </c>
      <c r="B1124" s="13" t="n">
        <v>528000201</v>
      </c>
      <c r="C1124" s="13" t="inlineStr">
        <is>
          <t>Zahwa Amelia Choerunissa</t>
        </is>
      </c>
      <c r="D1124" s="13" t="inlineStr">
        <is>
          <t>PROD</t>
        </is>
      </c>
      <c r="E1124" s="13" t="inlineStr">
        <is>
          <t>Produksi Harian</t>
        </is>
      </c>
      <c r="F1124" s="170" t="n">
        <v>46210.90333333334</v>
      </c>
      <c r="G1124" s="13" t="inlineStr">
        <is>
          <t>FREE</t>
        </is>
      </c>
      <c r="H1124" s="170" t="n">
        <v>46241.25368055556</v>
      </c>
    </row>
    <row r="1125">
      <c r="A1125" s="13" t="inlineStr">
        <is>
          <t>MK0090</t>
        </is>
      </c>
      <c r="B1125" s="13" t="n">
        <v>528000099</v>
      </c>
      <c r="C1125" s="13" t="inlineStr">
        <is>
          <t>Siti Nurawaliah</t>
        </is>
      </c>
      <c r="D1125" s="13" t="inlineStr">
        <is>
          <t>PROD</t>
        </is>
      </c>
      <c r="E1125" s="13" t="inlineStr">
        <is>
          <t>Produksi Harian</t>
        </is>
      </c>
      <c r="F1125" s="170" t="n">
        <v>46210.9037962963</v>
      </c>
      <c r="G1125" s="13" t="inlineStr">
        <is>
          <t>FREE</t>
        </is>
      </c>
      <c r="H1125" s="170" t="n">
        <v>46241.25435185185</v>
      </c>
    </row>
    <row r="1126">
      <c r="A1126" s="13" t="inlineStr">
        <is>
          <t>MK00250</t>
        </is>
      </c>
      <c r="B1126" s="13" t="n">
        <v>528000286</v>
      </c>
      <c r="C1126" s="13" t="inlineStr">
        <is>
          <t>Imelda Amelia</t>
        </is>
      </c>
      <c r="D1126" s="13" t="inlineStr">
        <is>
          <t>PROD</t>
        </is>
      </c>
      <c r="E1126" s="13" t="inlineStr">
        <is>
          <t>Produksi Harian</t>
        </is>
      </c>
      <c r="F1126" s="170" t="n">
        <v>46210.90789351852</v>
      </c>
      <c r="G1126" s="13" t="inlineStr">
        <is>
          <t>FREE</t>
        </is>
      </c>
      <c r="H1126" s="170" t="n">
        <v>46241.25454861111</v>
      </c>
    </row>
    <row r="1127">
      <c r="A1127" s="13" t="inlineStr">
        <is>
          <t>MK00116</t>
        </is>
      </c>
      <c r="B1127" s="13" t="n">
        <v>528000241</v>
      </c>
      <c r="C1127" s="13" t="inlineStr">
        <is>
          <t>Balia Nurafif Bilah</t>
        </is>
      </c>
      <c r="D1127" s="13" t="inlineStr">
        <is>
          <t>PROD</t>
        </is>
      </c>
      <c r="E1127" s="13" t="inlineStr">
        <is>
          <t>Produksi Harian</t>
        </is>
      </c>
      <c r="F1127" s="170" t="n">
        <v>46210.91256944444</v>
      </c>
      <c r="G1127" s="13" t="inlineStr">
        <is>
          <t>FREE</t>
        </is>
      </c>
      <c r="H1127" s="170" t="n">
        <v>46241.25313657407</v>
      </c>
    </row>
    <row r="1128">
      <c r="A1128" s="13" t="inlineStr">
        <is>
          <t>MK00158</t>
        </is>
      </c>
      <c r="B1128" s="13" t="n">
        <v>528000090</v>
      </c>
      <c r="C1128" s="13" t="inlineStr">
        <is>
          <t>Suganda</t>
        </is>
      </c>
      <c r="D1128" s="13" t="inlineStr">
        <is>
          <t>PROD</t>
        </is>
      </c>
      <c r="E1128" s="13" t="inlineStr">
        <is>
          <t>Produksi Harian</t>
        </is>
      </c>
      <c r="F1128" s="170" t="n">
        <v>46210.91311342592</v>
      </c>
      <c r="G1128" s="13" t="inlineStr">
        <is>
          <t>FREE</t>
        </is>
      </c>
      <c r="H1128" s="170" t="n">
        <v>46241.25398148148</v>
      </c>
    </row>
    <row r="1129">
      <c r="A1129" s="13" t="inlineStr">
        <is>
          <t>MK00108</t>
        </is>
      </c>
      <c r="B1129" s="13" t="n">
        <v>528000274</v>
      </c>
      <c r="C1129" s="13" t="inlineStr">
        <is>
          <t>Zepri</t>
        </is>
      </c>
      <c r="D1129" s="13" t="inlineStr">
        <is>
          <t>PROD</t>
        </is>
      </c>
      <c r="E1129" s="13" t="inlineStr">
        <is>
          <t>Produksi Harian</t>
        </is>
      </c>
      <c r="F1129" s="170" t="n">
        <v>46210.91357638889</v>
      </c>
      <c r="G1129" s="13" t="inlineStr">
        <is>
          <t>FREE</t>
        </is>
      </c>
      <c r="H1129" s="170" t="n">
        <v>46241.25324074074</v>
      </c>
    </row>
    <row r="1130">
      <c r="A1130" s="13" t="inlineStr">
        <is>
          <t>MK00154</t>
        </is>
      </c>
      <c r="B1130" s="13" t="n">
        <v>528000212</v>
      </c>
      <c r="C1130" s="13" t="inlineStr">
        <is>
          <t>Rizal Fauzi</t>
        </is>
      </c>
      <c r="D1130" s="13" t="inlineStr">
        <is>
          <t>PROD</t>
        </is>
      </c>
      <c r="E1130" s="13" t="inlineStr">
        <is>
          <t>Produksi Harian</t>
        </is>
      </c>
      <c r="F1130" s="170" t="n">
        <v>46210.91699074074</v>
      </c>
      <c r="G1130" s="13" t="inlineStr">
        <is>
          <t>FREE</t>
        </is>
      </c>
      <c r="H1130" s="170" t="n">
        <v>46241.25412037037</v>
      </c>
    </row>
    <row r="1131">
      <c r="A1131" s="13" t="inlineStr">
        <is>
          <t>MK00148</t>
        </is>
      </c>
      <c r="B1131" s="13" t="n">
        <v>528000305</v>
      </c>
      <c r="C1131" s="13" t="inlineStr">
        <is>
          <t>Puji Puspita</t>
        </is>
      </c>
      <c r="D1131" s="13" t="inlineStr">
        <is>
          <t>PROD</t>
        </is>
      </c>
      <c r="E1131" s="13" t="inlineStr">
        <is>
          <t>Produksi Harian</t>
        </is>
      </c>
      <c r="F1131" s="170" t="n">
        <v>46241.23131944444</v>
      </c>
      <c r="G1131" s="13" t="inlineStr">
        <is>
          <t>FREE</t>
        </is>
      </c>
      <c r="H1131" s="170" t="n">
        <v>46241.58678240741</v>
      </c>
    </row>
    <row r="1132">
      <c r="A1132" s="13" t="inlineStr">
        <is>
          <t>MK00181</t>
        </is>
      </c>
      <c r="B1132" s="13" t="n">
        <v>528000299</v>
      </c>
      <c r="C1132" s="13" t="inlineStr">
        <is>
          <t>Siti Nurjanah</t>
        </is>
      </c>
      <c r="D1132" s="13" t="inlineStr">
        <is>
          <t>PROD</t>
        </is>
      </c>
      <c r="E1132" s="13" t="inlineStr">
        <is>
          <t>Produksi Harian</t>
        </is>
      </c>
      <c r="F1132" s="170" t="n">
        <v>46241.23342592592</v>
      </c>
      <c r="G1132" s="13" t="inlineStr">
        <is>
          <t>FREE</t>
        </is>
      </c>
      <c r="H1132" s="170" t="n">
        <v>46241.23395833333</v>
      </c>
    </row>
    <row r="1133">
      <c r="A1133" s="13" t="inlineStr">
        <is>
          <t>MK00181</t>
        </is>
      </c>
      <c r="B1133" s="13" t="n">
        <v>528000299</v>
      </c>
      <c r="C1133" s="13" t="inlineStr">
        <is>
          <t>Siti Nurjanah</t>
        </is>
      </c>
      <c r="D1133" s="13" t="inlineStr">
        <is>
          <t>PROD</t>
        </is>
      </c>
      <c r="E1133" s="13" t="inlineStr">
        <is>
          <t>Produksi Harian</t>
        </is>
      </c>
      <c r="F1133" s="170" t="n">
        <v>46241.23447916667</v>
      </c>
      <c r="G1133" s="13" t="inlineStr">
        <is>
          <t>FREE</t>
        </is>
      </c>
      <c r="H1133" s="170" t="n">
        <v>46241.58646990741</v>
      </c>
    </row>
    <row r="1134">
      <c r="A1134" s="13" t="inlineStr">
        <is>
          <t>MK000235</t>
        </is>
      </c>
      <c r="B1134" s="13" t="n">
        <v>628000061</v>
      </c>
      <c r="C1134" s="13" t="inlineStr">
        <is>
          <t>Nayla Fadillah Exwantoro</t>
        </is>
      </c>
      <c r="D1134" s="13" t="inlineStr">
        <is>
          <t>PROD</t>
        </is>
      </c>
      <c r="E1134" s="13" t="inlineStr">
        <is>
          <t>Produksi Borongan</t>
        </is>
      </c>
      <c r="F1134" s="170" t="n">
        <v>46241.23486111111</v>
      </c>
      <c r="G1134" s="13" t="inlineStr">
        <is>
          <t>FREE</t>
        </is>
      </c>
      <c r="H1134" s="170" t="n">
        <v>46224.97657407408</v>
      </c>
    </row>
    <row r="1135">
      <c r="A1135" s="13" t="inlineStr">
        <is>
          <t>MK00126</t>
        </is>
      </c>
      <c r="B1135" s="13" t="n">
        <v>528000313</v>
      </c>
      <c r="C1135" s="13" t="inlineStr">
        <is>
          <t>Muhamad Rifki</t>
        </is>
      </c>
      <c r="D1135" s="13" t="inlineStr">
        <is>
          <t>PROD</t>
        </is>
      </c>
      <c r="E1135" s="13" t="inlineStr">
        <is>
          <t>Produksi Harian</t>
        </is>
      </c>
      <c r="F1135" s="170" t="n">
        <v>46241.23516203704</v>
      </c>
      <c r="G1135" s="13" t="inlineStr">
        <is>
          <t>FREE</t>
        </is>
      </c>
      <c r="H1135" s="170" t="n">
        <v>46241.58912037037</v>
      </c>
    </row>
    <row r="1136">
      <c r="A1136" s="13" t="inlineStr">
        <is>
          <t>MK00085</t>
        </is>
      </c>
      <c r="B1136" s="13" t="n">
        <v>528000298</v>
      </c>
      <c r="C1136" s="13" t="inlineStr">
        <is>
          <t>Desta Cahaya Pratama</t>
        </is>
      </c>
      <c r="D1136" s="13" t="inlineStr">
        <is>
          <t>PROD</t>
        </is>
      </c>
      <c r="E1136" s="13" t="inlineStr">
        <is>
          <t>Produksi Harian</t>
        </is>
      </c>
      <c r="F1136" s="170" t="n">
        <v>46241.23761574074</v>
      </c>
      <c r="G1136" s="13" t="inlineStr">
        <is>
          <t>FREE</t>
        </is>
      </c>
      <c r="H1136" s="170" t="n">
        <v>46241.58487268518</v>
      </c>
    </row>
    <row r="1137">
      <c r="A1137" s="13" t="inlineStr">
        <is>
          <t>MK00109</t>
        </is>
      </c>
      <c r="B1137" s="13" t="n">
        <v>628000091</v>
      </c>
      <c r="C1137" s="13" t="inlineStr">
        <is>
          <t>Devita Handayani</t>
        </is>
      </c>
      <c r="D1137" s="13" t="inlineStr">
        <is>
          <t>PROD</t>
        </is>
      </c>
      <c r="E1137" s="13" t="inlineStr">
        <is>
          <t>Produksi Borongan</t>
        </is>
      </c>
      <c r="F1137" s="170" t="n">
        <v>46241.23777777778</v>
      </c>
      <c r="G1137" s="13" t="inlineStr">
        <is>
          <t>FREE</t>
        </is>
      </c>
      <c r="H1137" s="170" t="n">
        <v>46241.58541666667</v>
      </c>
    </row>
    <row r="1138">
      <c r="A1138" s="13" t="inlineStr">
        <is>
          <t>MK00136</t>
        </is>
      </c>
      <c r="B1138" s="13" t="n">
        <v>528000302</v>
      </c>
      <c r="C1138" s="13" t="inlineStr">
        <is>
          <t>Henkey gumilar</t>
        </is>
      </c>
      <c r="D1138" s="13" t="inlineStr">
        <is>
          <t>PROD</t>
        </is>
      </c>
      <c r="E1138" s="13" t="inlineStr">
        <is>
          <t>Produksi Harian</t>
        </is>
      </c>
      <c r="F1138" s="170" t="n">
        <v>46241.24204861111</v>
      </c>
      <c r="G1138" s="13" t="inlineStr">
        <is>
          <t>FREE</t>
        </is>
      </c>
      <c r="H1138" s="170" t="n">
        <v>46241.5896412037</v>
      </c>
    </row>
    <row r="1139">
      <c r="A1139" s="13" t="inlineStr">
        <is>
          <t>MK00134</t>
        </is>
      </c>
      <c r="B1139" s="13" t="n">
        <v>528000270</v>
      </c>
      <c r="C1139" s="13" t="inlineStr">
        <is>
          <t>Febri Najmudin</t>
        </is>
      </c>
      <c r="D1139" s="13" t="inlineStr">
        <is>
          <t>LOG</t>
        </is>
      </c>
      <c r="E1139" s="13" t="inlineStr">
        <is>
          <t>WRM Harian</t>
        </is>
      </c>
      <c r="F1139" s="170" t="n">
        <v>46241.24267361111</v>
      </c>
      <c r="G1139" s="13" t="inlineStr">
        <is>
          <t>FREE</t>
        </is>
      </c>
      <c r="H1139" s="170" t="n">
        <v>46241.63101851852</v>
      </c>
    </row>
    <row r="1140">
      <c r="A1140" s="13" t="inlineStr">
        <is>
          <t>MK00046</t>
        </is>
      </c>
      <c r="B1140" s="13" t="n">
        <v>528000309</v>
      </c>
      <c r="C1140" s="13" t="inlineStr">
        <is>
          <t>Ilham Ramadhan</t>
        </is>
      </c>
      <c r="D1140" s="13" t="inlineStr">
        <is>
          <t>LOG</t>
        </is>
      </c>
      <c r="E1140" s="13" t="inlineStr">
        <is>
          <t>WRM Harian</t>
        </is>
      </c>
      <c r="F1140" s="170" t="n">
        <v>46241.24674768518</v>
      </c>
      <c r="G1140" s="13" t="inlineStr">
        <is>
          <t>FREE</t>
        </is>
      </c>
      <c r="H1140" s="170" t="n">
        <v>46241.58829861111</v>
      </c>
    </row>
    <row r="1141">
      <c r="A1141" s="13" t="inlineStr">
        <is>
          <t>MK00158</t>
        </is>
      </c>
      <c r="B1141" s="13" t="n">
        <v>528000282</v>
      </c>
      <c r="C1141" s="13" t="inlineStr">
        <is>
          <t>Defa Desfiana</t>
        </is>
      </c>
      <c r="D1141" s="13" t="inlineStr">
        <is>
          <t>PROD</t>
        </is>
      </c>
      <c r="E1141" s="13" t="inlineStr">
        <is>
          <t>Produksi Harian</t>
        </is>
      </c>
      <c r="F1141" s="170" t="n">
        <v>46241.31613425926</v>
      </c>
      <c r="G1141" s="13" t="inlineStr">
        <is>
          <t>FREE</t>
        </is>
      </c>
      <c r="H1141" s="170" t="n">
        <v>46241.67481481482</v>
      </c>
    </row>
    <row r="1142">
      <c r="A1142" s="13" t="inlineStr">
        <is>
          <t>MK00138</t>
        </is>
      </c>
      <c r="B1142" s="13" t="n">
        <v>528000351</v>
      </c>
      <c r="C1142" s="13" t="inlineStr">
        <is>
          <t>Mulyana</t>
        </is>
      </c>
      <c r="D1142" s="13" t="inlineStr">
        <is>
          <t>PROD</t>
        </is>
      </c>
      <c r="E1142" s="13" t="inlineStr">
        <is>
          <t>Produksi Harian</t>
        </is>
      </c>
      <c r="F1142" s="170" t="n">
        <v>46241.3227662037</v>
      </c>
      <c r="G1142" s="13" t="inlineStr">
        <is>
          <t>FREE</t>
        </is>
      </c>
      <c r="H1142" s="170" t="n">
        <v>46241.67028935185</v>
      </c>
    </row>
    <row r="1143">
      <c r="A1143" s="13" t="inlineStr">
        <is>
          <t>MK00108</t>
        </is>
      </c>
      <c r="B1143" s="13" t="n">
        <v>528000265</v>
      </c>
      <c r="C1143" s="13" t="inlineStr">
        <is>
          <t>Muhammad Haerul Rozikin</t>
        </is>
      </c>
      <c r="D1143" s="13" t="inlineStr">
        <is>
          <t>LOG</t>
        </is>
      </c>
      <c r="E1143" s="13" t="inlineStr">
        <is>
          <t>WRM Harian</t>
        </is>
      </c>
      <c r="F1143" s="170" t="n">
        <v>46241.32741898148</v>
      </c>
      <c r="G1143" s="13" t="inlineStr">
        <is>
          <t>FREE</t>
        </is>
      </c>
      <c r="H1143" s="170" t="n">
        <v>46241.66886574074</v>
      </c>
    </row>
    <row r="1144">
      <c r="A1144" s="13" t="inlineStr">
        <is>
          <t>MK00199</t>
        </is>
      </c>
      <c r="B1144" s="13" t="n">
        <v>528000267</v>
      </c>
      <c r="C1144" s="13" t="inlineStr">
        <is>
          <t>Bagas Patulloh</t>
        </is>
      </c>
      <c r="D1144" s="13" t="inlineStr">
        <is>
          <t>LOG</t>
        </is>
      </c>
      <c r="E1144" s="13" t="inlineStr">
        <is>
          <t>WRM Harian</t>
        </is>
      </c>
      <c r="F1144" s="170" t="n">
        <v>46241.33054398148</v>
      </c>
      <c r="G1144" s="13" t="inlineStr">
        <is>
          <t>FREE</t>
        </is>
      </c>
      <c r="H1144" s="170" t="n">
        <v>46220.08986111111</v>
      </c>
    </row>
    <row r="1145">
      <c r="A1145" s="13" t="inlineStr">
        <is>
          <t>MK00250</t>
        </is>
      </c>
      <c r="B1145" s="13" t="n">
        <v>528000310</v>
      </c>
      <c r="C1145" s="13" t="inlineStr">
        <is>
          <t>Fachrul Rozzi Suryana</t>
        </is>
      </c>
      <c r="D1145" s="13" t="inlineStr">
        <is>
          <t>LOG</t>
        </is>
      </c>
      <c r="E1145" s="13" t="inlineStr">
        <is>
          <t>WRM Harian</t>
        </is>
      </c>
      <c r="F1145" s="170" t="n">
        <v>46241.33167824074</v>
      </c>
      <c r="G1145" s="13" t="inlineStr">
        <is>
          <t>FREE</t>
        </is>
      </c>
      <c r="H1145" s="170" t="n">
        <v>46241.66988425926</v>
      </c>
    </row>
    <row r="1146">
      <c r="A1146" s="13" t="inlineStr">
        <is>
          <t>MK00204</t>
        </is>
      </c>
      <c r="B1146" s="13" t="n">
        <v>528000232</v>
      </c>
      <c r="C1146" s="13" t="inlineStr">
        <is>
          <t>Agung Aji Suhada</t>
        </is>
      </c>
      <c r="D1146" s="13" t="inlineStr">
        <is>
          <t>LOG</t>
        </is>
      </c>
      <c r="E1146" s="13" t="inlineStr">
        <is>
          <t>WRM Harian</t>
        </is>
      </c>
      <c r="F1146" s="170" t="n">
        <v>46241.37291666667</v>
      </c>
      <c r="G1146" s="13" t="inlineStr">
        <is>
          <t>FREE</t>
        </is>
      </c>
      <c r="H1146" s="170" t="n">
        <v>46241.71043981481</v>
      </c>
    </row>
    <row r="1147">
      <c r="A1147" s="13" t="inlineStr">
        <is>
          <t>MK00228</t>
        </is>
      </c>
      <c r="B1147" s="13" t="n">
        <v>528000132</v>
      </c>
      <c r="C1147" s="13" t="inlineStr">
        <is>
          <t>Giopani</t>
        </is>
      </c>
      <c r="D1147" s="13" t="inlineStr">
        <is>
          <t>LOG</t>
        </is>
      </c>
      <c r="E1147" s="13" t="inlineStr">
        <is>
          <t>WRM Harian</t>
        </is>
      </c>
      <c r="F1147" s="170" t="n">
        <v>46241.37399305555</v>
      </c>
      <c r="G1147" s="13" t="inlineStr">
        <is>
          <t>FREE</t>
        </is>
      </c>
      <c r="H1147" s="170" t="n">
        <v>46241.70986111111</v>
      </c>
    </row>
    <row r="1148">
      <c r="A1148" s="13" t="inlineStr">
        <is>
          <t>MK0130</t>
        </is>
      </c>
      <c r="B1148" s="13" t="n">
        <v>528000149</v>
      </c>
      <c r="C1148" s="13" t="inlineStr">
        <is>
          <t>Tio Fernanda</t>
        </is>
      </c>
      <c r="D1148" s="13" t="inlineStr">
        <is>
          <t>LOG</t>
        </is>
      </c>
      <c r="E1148" s="13" t="inlineStr">
        <is>
          <t>WRM Harian</t>
        </is>
      </c>
      <c r="F1148" s="170" t="n">
        <v>46241.37430555555</v>
      </c>
      <c r="G1148" s="13" t="inlineStr">
        <is>
          <t>FREE</t>
        </is>
      </c>
      <c r="H1148" s="170" t="n">
        <v>46241.70929398148</v>
      </c>
    </row>
    <row r="1149">
      <c r="A1149" s="13" t="inlineStr">
        <is>
          <t>MK00209</t>
        </is>
      </c>
      <c r="B1149" s="13" t="n">
        <v>528000349</v>
      </c>
      <c r="C1149" s="13" t="inlineStr">
        <is>
          <t>Anas Abdul Fatah</t>
        </is>
      </c>
      <c r="D1149" s="13" t="inlineStr">
        <is>
          <t>LOG</t>
        </is>
      </c>
      <c r="E1149" s="13" t="inlineStr">
        <is>
          <t>WFG Harian</t>
        </is>
      </c>
      <c r="F1149" s="170" t="n">
        <v>46241.40506944444</v>
      </c>
      <c r="G1149" s="13" t="inlineStr">
        <is>
          <t>FREE</t>
        </is>
      </c>
      <c r="H1149" s="170" t="n">
        <v>46241.75815972222</v>
      </c>
    </row>
    <row r="1150">
      <c r="A1150" s="13" t="inlineStr">
        <is>
          <t>MK00212</t>
        </is>
      </c>
      <c r="B1150" s="13" t="n">
        <v>528000325</v>
      </c>
      <c r="C1150" s="13" t="inlineStr">
        <is>
          <t>Rani Septia Ramadani</t>
        </is>
      </c>
      <c r="D1150" s="13" t="inlineStr">
        <is>
          <t>PROD</t>
        </is>
      </c>
      <c r="E1150" s="13" t="inlineStr">
        <is>
          <t>Produksi Harian</t>
        </is>
      </c>
      <c r="F1150" s="170" t="n">
        <v>46241.5609375</v>
      </c>
      <c r="G1150" s="13" t="inlineStr">
        <is>
          <t>FREE</t>
        </is>
      </c>
      <c r="H1150" s="170" t="n">
        <v>46302.58065972223</v>
      </c>
    </row>
    <row r="1151">
      <c r="A1151" s="13" t="inlineStr">
        <is>
          <t>MK00249</t>
        </is>
      </c>
      <c r="B1151" s="13" t="n">
        <v>528000297</v>
      </c>
      <c r="C1151" s="13" t="inlineStr">
        <is>
          <t>Muhamad Budiana</t>
        </is>
      </c>
      <c r="D1151" s="13" t="inlineStr">
        <is>
          <t>PROD</t>
        </is>
      </c>
      <c r="E1151" s="13" t="inlineStr">
        <is>
          <t>Produksi Harian</t>
        </is>
      </c>
      <c r="F1151" s="170" t="n">
        <v>46241.56547453703</v>
      </c>
      <c r="G1151" s="13" t="inlineStr">
        <is>
          <t>FREE</t>
        </is>
      </c>
      <c r="H1151" s="170" t="n">
        <v>46241.94980324074</v>
      </c>
    </row>
    <row r="1152">
      <c r="A1152" s="13" t="inlineStr">
        <is>
          <t>MK00213</t>
        </is>
      </c>
      <c r="B1152" s="13" t="n">
        <v>528000288</v>
      </c>
      <c r="C1152" s="13" t="inlineStr">
        <is>
          <t>Dede gunawan</t>
        </is>
      </c>
      <c r="D1152" s="13" t="inlineStr">
        <is>
          <t>PROD</t>
        </is>
      </c>
      <c r="E1152" s="13" t="inlineStr">
        <is>
          <t>Produksi Harian</t>
        </is>
      </c>
      <c r="F1152" s="170" t="n">
        <v>46241.57030092592</v>
      </c>
      <c r="G1152" s="13" t="inlineStr">
        <is>
          <t>FREE</t>
        </is>
      </c>
      <c r="H1152" s="170" t="n">
        <v>46241.92122685185</v>
      </c>
    </row>
    <row r="1153">
      <c r="A1153" s="13" t="inlineStr">
        <is>
          <t>MK00145</t>
        </is>
      </c>
      <c r="B1153" s="13" t="n">
        <v>628000064</v>
      </c>
      <c r="C1153" s="13" t="inlineStr">
        <is>
          <t>Silva Alypia</t>
        </is>
      </c>
      <c r="D1153" s="13" t="inlineStr">
        <is>
          <t>PROD</t>
        </is>
      </c>
      <c r="E1153" s="13" t="inlineStr">
        <is>
          <t>Produksi Borongan</t>
        </is>
      </c>
      <c r="F1153" s="170" t="n">
        <v>46241.57380787037</v>
      </c>
      <c r="G1153" s="13" t="inlineStr">
        <is>
          <t>FREE</t>
        </is>
      </c>
      <c r="H1153" s="170" t="n">
        <v>46241.92261574074</v>
      </c>
    </row>
    <row r="1154">
      <c r="A1154" s="13" t="inlineStr">
        <is>
          <t>MK00208</t>
        </is>
      </c>
      <c r="B1154" s="13" t="n">
        <v>528000300</v>
      </c>
      <c r="C1154" s="13" t="inlineStr">
        <is>
          <t>Lia pitaloka</t>
        </is>
      </c>
      <c r="D1154" s="13" t="inlineStr">
        <is>
          <t>PROD</t>
        </is>
      </c>
      <c r="E1154" s="13" t="inlineStr">
        <is>
          <t>Produksi Harian</t>
        </is>
      </c>
      <c r="F1154" s="170" t="n">
        <v>46241.57417824074</v>
      </c>
      <c r="G1154" s="13" t="inlineStr">
        <is>
          <t>FREE</t>
        </is>
      </c>
      <c r="H1154" s="170" t="n">
        <v>46241.92349537037</v>
      </c>
    </row>
    <row r="1155">
      <c r="A1155" s="13" t="inlineStr">
        <is>
          <t>MK00093</t>
        </is>
      </c>
      <c r="B1155" s="13" t="n">
        <v>528000248</v>
      </c>
      <c r="C1155" s="13" t="inlineStr">
        <is>
          <t>Roka Jaya Salka Mulya</t>
        </is>
      </c>
      <c r="D1155" s="13" t="inlineStr">
        <is>
          <t>PROD</t>
        </is>
      </c>
      <c r="E1155" s="13" t="inlineStr">
        <is>
          <t>Produksi Harian</t>
        </is>
      </c>
      <c r="F1155" s="170" t="n">
        <v>46241.574375</v>
      </c>
      <c r="G1155" s="13" t="inlineStr">
        <is>
          <t>FREE</t>
        </is>
      </c>
      <c r="H1155" s="170" t="n">
        <v>46241.91800925926</v>
      </c>
    </row>
    <row r="1156">
      <c r="A1156" s="13" t="inlineStr">
        <is>
          <t>MK00088</t>
        </is>
      </c>
      <c r="B1156" s="13" t="n">
        <v>528000069</v>
      </c>
      <c r="C1156" s="13" t="inlineStr">
        <is>
          <t>Jajang Ardiansyah</t>
        </is>
      </c>
      <c r="D1156" s="13" t="inlineStr">
        <is>
          <t>PROD</t>
        </is>
      </c>
      <c r="E1156" s="13" t="inlineStr">
        <is>
          <t>Produksi Harian</t>
        </is>
      </c>
      <c r="F1156" s="170" t="n">
        <v>46241.58202546297</v>
      </c>
      <c r="G1156" s="13" t="inlineStr">
        <is>
          <t>FREE</t>
        </is>
      </c>
      <c r="H1156" s="170" t="n">
        <v>46241.9228125</v>
      </c>
    </row>
    <row r="1157">
      <c r="A1157" s="13" t="inlineStr">
        <is>
          <t>MK00109</t>
        </is>
      </c>
      <c r="B1157" s="13" t="n">
        <v>528000279</v>
      </c>
      <c r="C1157" s="13" t="inlineStr">
        <is>
          <t>Mahdalena Dalfa Riani</t>
        </is>
      </c>
      <c r="D1157" s="13" t="inlineStr">
        <is>
          <t>PROD</t>
        </is>
      </c>
      <c r="E1157" s="13" t="inlineStr">
        <is>
          <t>Produksi Harian</t>
        </is>
      </c>
      <c r="F1157" s="170" t="n">
        <v>46241.58579861111</v>
      </c>
      <c r="G1157" s="13" t="inlineStr">
        <is>
          <t>FREE</t>
        </is>
      </c>
      <c r="H1157" s="170" t="n">
        <v>46241.9216087963</v>
      </c>
    </row>
    <row r="1158">
      <c r="A1158" s="13" t="inlineStr">
        <is>
          <t>MK00136</t>
        </is>
      </c>
      <c r="B1158" s="13" t="n">
        <v>528000052</v>
      </c>
      <c r="C1158" s="13" t="inlineStr">
        <is>
          <t>Mustopa</t>
        </is>
      </c>
      <c r="D1158" s="13" t="inlineStr">
        <is>
          <t>PROD</t>
        </is>
      </c>
      <c r="E1158" s="13" t="inlineStr">
        <is>
          <t>Produksi Harian</t>
        </is>
      </c>
      <c r="F1158" s="170" t="n">
        <v>46241.62466435185</v>
      </c>
      <c r="G1158" s="13" t="inlineStr">
        <is>
          <t>FREE</t>
        </is>
      </c>
      <c r="H1158" s="170" t="n">
        <v>46241.91877314815</v>
      </c>
    </row>
    <row r="1159">
      <c r="A1159" s="13" t="inlineStr">
        <is>
          <t>MK00156</t>
        </is>
      </c>
      <c r="B1159" s="13" t="n">
        <v>528000015</v>
      </c>
      <c r="C1159" s="13" t="inlineStr">
        <is>
          <t>Erwin</t>
        </is>
      </c>
      <c r="D1159" s="13" t="inlineStr">
        <is>
          <t>LOG</t>
        </is>
      </c>
      <c r="E1159" s="13" t="inlineStr">
        <is>
          <t>WRM Harian</t>
        </is>
      </c>
      <c r="F1159" s="170" t="n">
        <v>46241.65362268518</v>
      </c>
      <c r="G1159" s="13" t="inlineStr">
        <is>
          <t>FREE</t>
        </is>
      </c>
      <c r="H1159" s="170" t="n">
        <v>46272.00358796296</v>
      </c>
    </row>
    <row r="1160">
      <c r="A1160" s="13" t="inlineStr">
        <is>
          <t>MK00205</t>
        </is>
      </c>
      <c r="B1160" s="13" t="n">
        <v>528000348</v>
      </c>
      <c r="C1160" s="13" t="inlineStr">
        <is>
          <t>Saepuloh Ardiansah</t>
        </is>
      </c>
      <c r="D1160" s="13" t="inlineStr">
        <is>
          <t>LOG</t>
        </is>
      </c>
      <c r="E1160" s="13" t="inlineStr">
        <is>
          <t>WRM Harian</t>
        </is>
      </c>
      <c r="F1160" s="170" t="n">
        <v>46241.6605324074</v>
      </c>
      <c r="G1160" s="13" t="inlineStr">
        <is>
          <t>FREE</t>
        </is>
      </c>
      <c r="H1160" s="170" t="n">
        <v>46302.00217592593</v>
      </c>
    </row>
    <row r="1161">
      <c r="A1161" s="13" t="inlineStr">
        <is>
          <t>MK00046</t>
        </is>
      </c>
      <c r="B1161" s="13" t="n">
        <v>528000335</v>
      </c>
      <c r="C1161" s="13" t="inlineStr">
        <is>
          <t>Rizal Saepuloh</t>
        </is>
      </c>
      <c r="D1161" s="13" t="inlineStr">
        <is>
          <t>LOG</t>
        </is>
      </c>
      <c r="E1161" s="13" t="inlineStr">
        <is>
          <t>WRM Harian</t>
        </is>
      </c>
      <c r="F1161" s="170" t="n">
        <v>46241.66070601852</v>
      </c>
      <c r="G1161" s="13" t="inlineStr">
        <is>
          <t>FREE</t>
        </is>
      </c>
      <c r="H1161" s="170" t="n">
        <v>46215.74577546296</v>
      </c>
    </row>
    <row r="1162">
      <c r="A1162" s="13" t="inlineStr">
        <is>
          <t>MK00126</t>
        </is>
      </c>
      <c r="B1162" s="13" t="n">
        <v>528000314</v>
      </c>
      <c r="C1162" s="13" t="inlineStr">
        <is>
          <t>Rusmana</t>
        </is>
      </c>
      <c r="D1162" s="13" t="inlineStr">
        <is>
          <t>PROD</t>
        </is>
      </c>
      <c r="E1162" s="13" t="inlineStr">
        <is>
          <t>Produksi Harian</t>
        </is>
      </c>
      <c r="F1162" s="170" t="n">
        <v>46241.66180555556</v>
      </c>
      <c r="G1162" s="13" t="inlineStr">
        <is>
          <t>FREE</t>
        </is>
      </c>
      <c r="H1162" s="170" t="n">
        <v>46272.00202546296</v>
      </c>
    </row>
    <row r="1163">
      <c r="A1163" s="13" t="inlineStr">
        <is>
          <t>MK00154</t>
        </is>
      </c>
      <c r="B1163" s="13" t="n">
        <v>528000244</v>
      </c>
      <c r="C1163" s="13" t="inlineStr">
        <is>
          <t>Rodian Rifai</t>
        </is>
      </c>
      <c r="D1163" s="13" t="inlineStr">
        <is>
          <t>PROD</t>
        </is>
      </c>
      <c r="E1163" s="13" t="inlineStr">
        <is>
          <t>Produksi Harian</t>
        </is>
      </c>
      <c r="F1163" s="170" t="n">
        <v>46241.89040509259</v>
      </c>
      <c r="G1163" s="13" t="inlineStr">
        <is>
          <t>FREE</t>
        </is>
      </c>
      <c r="H1163" s="170" t="n">
        <v>46272.268125</v>
      </c>
    </row>
    <row r="1164">
      <c r="A1164" s="13" t="inlineStr">
        <is>
          <t>MK00209</t>
        </is>
      </c>
      <c r="B1164" s="13" t="n">
        <v>528000289</v>
      </c>
      <c r="C1164" s="13" t="inlineStr">
        <is>
          <t>Adit Supriyadi</t>
        </is>
      </c>
      <c r="D1164" s="13" t="inlineStr">
        <is>
          <t>PROD</t>
        </is>
      </c>
      <c r="E1164" s="13" t="inlineStr">
        <is>
          <t>Produksi Harian</t>
        </is>
      </c>
      <c r="F1164" s="170" t="n">
        <v>46241.89449074074</v>
      </c>
      <c r="G1164" s="13" t="inlineStr">
        <is>
          <t>FREE</t>
        </is>
      </c>
      <c r="H1164" s="170" t="n">
        <v>46272.25386574074</v>
      </c>
    </row>
    <row r="1165">
      <c r="A1165" s="13" t="inlineStr">
        <is>
          <t>MK00210</t>
        </is>
      </c>
      <c r="B1165" s="13" t="n">
        <v>528000323</v>
      </c>
      <c r="C1165" s="13" t="inlineStr">
        <is>
          <t>Dian Hamidah</t>
        </is>
      </c>
      <c r="D1165" s="13" t="inlineStr">
        <is>
          <t>PROD</t>
        </is>
      </c>
      <c r="E1165" s="13" t="inlineStr">
        <is>
          <t>Produksi Harian</t>
        </is>
      </c>
      <c r="F1165" s="170" t="n">
        <v>46241.90098379629</v>
      </c>
      <c r="G1165" s="13" t="inlineStr">
        <is>
          <t>FREE</t>
        </is>
      </c>
      <c r="H1165" s="170" t="n">
        <v>46272.25403935185</v>
      </c>
    </row>
    <row r="1166">
      <c r="A1166" s="13" t="inlineStr">
        <is>
          <t>MK00116</t>
        </is>
      </c>
      <c r="B1166" s="13" t="n">
        <v>528000286</v>
      </c>
      <c r="C1166" s="13" t="inlineStr">
        <is>
          <t>Imelda Amelia</t>
        </is>
      </c>
      <c r="D1166" s="13" t="inlineStr">
        <is>
          <t>PROD</t>
        </is>
      </c>
      <c r="E1166" s="13" t="inlineStr">
        <is>
          <t>Produksi Harian</t>
        </is>
      </c>
      <c r="F1166" s="170" t="n">
        <v>46241.90607638889</v>
      </c>
      <c r="G1166" s="13" t="inlineStr">
        <is>
          <t>FREE</t>
        </is>
      </c>
      <c r="H1166" s="170" t="n">
        <v>46272.25434027778</v>
      </c>
    </row>
    <row r="1167">
      <c r="A1167" s="13" t="inlineStr">
        <is>
          <t>MK0095</t>
        </is>
      </c>
      <c r="B1167" s="13" t="n">
        <v>528000201</v>
      </c>
      <c r="C1167" s="13" t="inlineStr">
        <is>
          <t>Zahwa Amelia Choerunissa</t>
        </is>
      </c>
      <c r="D1167" s="13" t="inlineStr">
        <is>
          <t>PROD</t>
        </is>
      </c>
      <c r="E1167" s="13" t="inlineStr">
        <is>
          <t>Produksi Harian</t>
        </is>
      </c>
      <c r="F1167" s="170" t="n">
        <v>46241.90688657408</v>
      </c>
      <c r="G1167" s="13" t="inlineStr">
        <is>
          <t>FREE</t>
        </is>
      </c>
      <c r="H1167" s="170" t="n">
        <v>46272.25329861111</v>
      </c>
    </row>
    <row r="1168">
      <c r="A1168" s="13" t="inlineStr">
        <is>
          <t>MK0090</t>
        </is>
      </c>
      <c r="B1168" s="13" t="n">
        <v>528000099</v>
      </c>
      <c r="C1168" s="13" t="inlineStr">
        <is>
          <t>Siti Nurawaliah</t>
        </is>
      </c>
      <c r="D1168" s="13" t="inlineStr">
        <is>
          <t>PROD</t>
        </is>
      </c>
      <c r="E1168" s="13" t="inlineStr">
        <is>
          <t>Produksi Harian</t>
        </is>
      </c>
      <c r="F1168" s="170" t="n">
        <v>46241.90719907408</v>
      </c>
      <c r="G1168" s="13" t="inlineStr">
        <is>
          <t>FREE</t>
        </is>
      </c>
      <c r="H1168" s="170" t="n">
        <v>46272.25381944444</v>
      </c>
    </row>
    <row r="1169">
      <c r="A1169" s="13" t="inlineStr">
        <is>
          <t>MK00202</t>
        </is>
      </c>
      <c r="B1169" s="13" t="n">
        <v>528000241</v>
      </c>
      <c r="C1169" s="13" t="inlineStr">
        <is>
          <t>Balia Nurafif Bilah</t>
        </is>
      </c>
      <c r="D1169" s="13" t="inlineStr">
        <is>
          <t>PROD</t>
        </is>
      </c>
      <c r="E1169" s="13" t="inlineStr">
        <is>
          <t>Produksi Harian</t>
        </is>
      </c>
      <c r="F1169" s="170" t="n">
        <v>46241.91149305556</v>
      </c>
      <c r="G1169" s="13" t="inlineStr">
        <is>
          <t>FREE</t>
        </is>
      </c>
      <c r="H1169" s="170" t="n">
        <v>46272.25255787037</v>
      </c>
    </row>
    <row r="1170">
      <c r="A1170" s="13" t="inlineStr">
        <is>
          <t>MK00158</t>
        </is>
      </c>
      <c r="B1170" s="13" t="n">
        <v>528000274</v>
      </c>
      <c r="C1170" s="13" t="inlineStr">
        <is>
          <t>Zepri</t>
        </is>
      </c>
      <c r="D1170" s="13" t="inlineStr">
        <is>
          <t>PROD</t>
        </is>
      </c>
      <c r="E1170" s="13" t="inlineStr">
        <is>
          <t>Produksi Harian</t>
        </is>
      </c>
      <c r="F1170" s="170" t="n">
        <v>46241.91289351852</v>
      </c>
      <c r="G1170" s="13" t="inlineStr">
        <is>
          <t>FREE</t>
        </is>
      </c>
      <c r="H1170" s="170" t="n">
        <v>46272.25291666666</v>
      </c>
    </row>
    <row r="1171">
      <c r="A1171" s="13" t="inlineStr">
        <is>
          <t>MK00250</t>
        </is>
      </c>
      <c r="B1171" s="13" t="n">
        <v>528000090</v>
      </c>
      <c r="C1171" s="13" t="inlineStr">
        <is>
          <t>Suganda</t>
        </is>
      </c>
      <c r="D1171" s="13" t="inlineStr">
        <is>
          <t>PROD</t>
        </is>
      </c>
      <c r="E1171" s="13" t="inlineStr">
        <is>
          <t>Produksi Harian</t>
        </is>
      </c>
      <c r="F1171" s="170" t="n">
        <v>46241.91631944444</v>
      </c>
      <c r="G1171" s="13" t="inlineStr">
        <is>
          <t>FREE</t>
        </is>
      </c>
      <c r="H1171" s="170" t="n">
        <v>46272.2528587963</v>
      </c>
    </row>
    <row r="1172">
      <c r="A1172" s="13" t="inlineStr">
        <is>
          <t>MK00108</t>
        </is>
      </c>
      <c r="B1172" s="13" t="n">
        <v>528000212</v>
      </c>
      <c r="C1172" s="13" t="inlineStr">
        <is>
          <t>Rizal Fauzi</t>
        </is>
      </c>
      <c r="D1172" s="13" t="inlineStr">
        <is>
          <t>PROD</t>
        </is>
      </c>
      <c r="E1172" s="13" t="inlineStr">
        <is>
          <t>Produksi Harian</t>
        </is>
      </c>
      <c r="F1172" s="170" t="n">
        <v>46241.91753472222</v>
      </c>
      <c r="G1172" s="13" t="inlineStr">
        <is>
          <t>FREE</t>
        </is>
      </c>
      <c r="H1172" s="170" t="n">
        <v>46272.28413194444</v>
      </c>
    </row>
    <row r="1173">
      <c r="A1173" s="13" t="inlineStr">
        <is>
          <t>MK00145</t>
        </is>
      </c>
      <c r="B1173" s="13" t="n">
        <v>528000305</v>
      </c>
      <c r="C1173" s="13" t="inlineStr">
        <is>
          <t>Puji Puspita</t>
        </is>
      </c>
      <c r="D1173" s="13" t="inlineStr">
        <is>
          <t>PROD</t>
        </is>
      </c>
      <c r="E1173" s="13" t="inlineStr">
        <is>
          <t>Produksi Harian</t>
        </is>
      </c>
      <c r="F1173" s="170" t="n">
        <v>46272.23262731481</v>
      </c>
      <c r="G1173" s="13" t="inlineStr">
        <is>
          <t>FREE</t>
        </is>
      </c>
      <c r="H1173" s="170" t="n">
        <v>46272.58553240741</v>
      </c>
    </row>
    <row r="1174">
      <c r="A1174" s="13" t="inlineStr">
        <is>
          <t>CK00126</t>
        </is>
      </c>
      <c r="B1174" s="13" t="n">
        <v>528000299</v>
      </c>
      <c r="C1174" s="13" t="inlineStr">
        <is>
          <t>Siti Nurjanah</t>
        </is>
      </c>
      <c r="D1174" s="13" t="inlineStr">
        <is>
          <t>PROD</t>
        </is>
      </c>
      <c r="E1174" s="13" t="inlineStr">
        <is>
          <t>Produksi Harian</t>
        </is>
      </c>
      <c r="F1174" s="170" t="n">
        <v>46272.2334837963</v>
      </c>
      <c r="G1174" s="13" t="inlineStr">
        <is>
          <t>FREE</t>
        </is>
      </c>
      <c r="H1174" s="170" t="n">
        <v>46302.23841435185</v>
      </c>
    </row>
    <row r="1175">
      <c r="A1175" s="13" t="inlineStr">
        <is>
          <t>MK00213</t>
        </is>
      </c>
      <c r="B1175" s="13" t="n">
        <v>528000313</v>
      </c>
      <c r="C1175" s="13" t="inlineStr">
        <is>
          <t>Muhamad Rifki</t>
        </is>
      </c>
      <c r="D1175" s="13" t="inlineStr">
        <is>
          <t>PROD</t>
        </is>
      </c>
      <c r="E1175" s="13" t="inlineStr">
        <is>
          <t>Produksi Harian</t>
        </is>
      </c>
      <c r="F1175" s="170" t="n">
        <v>46272.23630787037</v>
      </c>
      <c r="G1175" s="13" t="inlineStr">
        <is>
          <t>FREE</t>
        </is>
      </c>
      <c r="H1175" s="170" t="n">
        <v>46272.58716435185</v>
      </c>
    </row>
    <row r="1176">
      <c r="A1176" s="13" t="inlineStr">
        <is>
          <t>MK00249</t>
        </is>
      </c>
      <c r="B1176" s="13" t="n">
        <v>628000091</v>
      </c>
      <c r="C1176" s="13" t="inlineStr">
        <is>
          <t>Devita Handayani</t>
        </is>
      </c>
      <c r="D1176" s="13" t="inlineStr">
        <is>
          <t>PROD</t>
        </is>
      </c>
      <c r="E1176" s="13" t="inlineStr">
        <is>
          <t>Produksi Borongan</t>
        </is>
      </c>
      <c r="F1176" s="170" t="n">
        <v>46272.24228009259</v>
      </c>
      <c r="G1176" s="13" t="inlineStr">
        <is>
          <t>FREE</t>
        </is>
      </c>
      <c r="H1176" s="170" t="n">
        <v>46272.58704861111</v>
      </c>
    </row>
    <row r="1177">
      <c r="A1177" s="13" t="inlineStr">
        <is>
          <t>MK00208</t>
        </is>
      </c>
      <c r="B1177" s="13" t="n">
        <v>528000318</v>
      </c>
      <c r="C1177" s="13" t="inlineStr">
        <is>
          <t>Bayu Padli Sepriyana</t>
        </is>
      </c>
      <c r="D1177" s="13" t="inlineStr">
        <is>
          <t>LOG</t>
        </is>
      </c>
      <c r="E1177" s="13" t="inlineStr">
        <is>
          <t>WRM Harian</t>
        </is>
      </c>
      <c r="F1177" s="170" t="n">
        <v>46272.24303240741</v>
      </c>
      <c r="G1177" s="13" t="inlineStr">
        <is>
          <t>FREE</t>
        </is>
      </c>
      <c r="H1177" s="170" t="n">
        <v>46272.58474537037</v>
      </c>
    </row>
    <row r="1178">
      <c r="A1178" s="13" t="inlineStr">
        <is>
          <t>MK00134</t>
        </is>
      </c>
      <c r="B1178" s="13" t="n">
        <v>528000298</v>
      </c>
      <c r="C1178" s="13" t="inlineStr">
        <is>
          <t>Desta Cahaya Pratama</t>
        </is>
      </c>
      <c r="D1178" s="13" t="inlineStr">
        <is>
          <t>PROD</t>
        </is>
      </c>
      <c r="E1178" s="13" t="inlineStr">
        <is>
          <t>Produksi Harian</t>
        </is>
      </c>
      <c r="F1178" s="170" t="n">
        <v>46272.24326388889</v>
      </c>
      <c r="G1178" s="13" t="inlineStr">
        <is>
          <t>FREE</t>
        </is>
      </c>
      <c r="H1178" s="170" t="n">
        <v>46272.58453703704</v>
      </c>
    </row>
    <row r="1179">
      <c r="A1179" s="13" t="inlineStr">
        <is>
          <t>MK00185</t>
        </is>
      </c>
      <c r="B1179" s="13" t="n">
        <v>528000309</v>
      </c>
      <c r="C1179" s="13" t="inlineStr">
        <is>
          <t>Ilham Ramadhan</t>
        </is>
      </c>
      <c r="D1179" s="13" t="inlineStr">
        <is>
          <t>LOG</t>
        </is>
      </c>
      <c r="E1179" s="13" t="inlineStr">
        <is>
          <t>WRM Harian</t>
        </is>
      </c>
      <c r="F1179" s="170" t="n">
        <v>46272.24521990741</v>
      </c>
      <c r="G1179" s="13" t="inlineStr">
        <is>
          <t>FREE</t>
        </is>
      </c>
      <c r="H1179" s="170" t="n">
        <v>46272.58857638889</v>
      </c>
    </row>
    <row r="1180">
      <c r="A1180" s="13" t="inlineStr">
        <is>
          <t>MK00113</t>
        </is>
      </c>
      <c r="B1180" s="13" t="n">
        <v>528000270</v>
      </c>
      <c r="C1180" s="13" t="inlineStr">
        <is>
          <t>Febri Najmudin</t>
        </is>
      </c>
      <c r="D1180" s="13" t="inlineStr">
        <is>
          <t>LOG</t>
        </is>
      </c>
      <c r="E1180" s="13" t="inlineStr">
        <is>
          <t>WRM Harian</t>
        </is>
      </c>
      <c r="F1180" s="170" t="n">
        <v>46272.24576388889</v>
      </c>
      <c r="G1180" s="13" t="inlineStr">
        <is>
          <t>FREE</t>
        </is>
      </c>
      <c r="H1180" s="170" t="n">
        <v>46272.60928240741</v>
      </c>
    </row>
    <row r="1181">
      <c r="A1181" s="13" t="inlineStr">
        <is>
          <t>MK00138</t>
        </is>
      </c>
      <c r="B1181" s="13" t="n">
        <v>528000302</v>
      </c>
      <c r="C1181" s="13" t="inlineStr">
        <is>
          <t>Henkey gumilar</t>
        </is>
      </c>
      <c r="D1181" s="13" t="inlineStr">
        <is>
          <t>PROD</t>
        </is>
      </c>
      <c r="E1181" s="13" t="inlineStr">
        <is>
          <t>Produksi Harian</t>
        </is>
      </c>
      <c r="F1181" s="170" t="n">
        <v>46272.24612268519</v>
      </c>
      <c r="G1181" s="13" t="inlineStr">
        <is>
          <t>FREE</t>
        </is>
      </c>
      <c r="H1181" s="170" t="n">
        <v>46272.59040509259</v>
      </c>
    </row>
    <row r="1182">
      <c r="A1182" s="13" t="inlineStr">
        <is>
          <t>MK00093</t>
        </is>
      </c>
      <c r="B1182" s="13" t="n">
        <v>528000361</v>
      </c>
      <c r="C1182" s="13" t="inlineStr">
        <is>
          <t>Denada Munggarani</t>
        </is>
      </c>
      <c r="D1182" s="13" t="inlineStr">
        <is>
          <t>PROD</t>
        </is>
      </c>
      <c r="E1182" s="13" t="inlineStr">
        <is>
          <t>Produksi Harian</t>
        </is>
      </c>
      <c r="F1182" s="170" t="n">
        <v>46272.24876157408</v>
      </c>
      <c r="G1182" s="13" t="inlineStr">
        <is>
          <t>FREE</t>
        </is>
      </c>
      <c r="H1182" s="170" t="n">
        <v>46272.59006944444</v>
      </c>
    </row>
    <row r="1183">
      <c r="A1183" s="13" t="inlineStr">
        <is>
          <t>MK00082</t>
        </is>
      </c>
      <c r="B1183" s="13" t="n">
        <v>528000340</v>
      </c>
      <c r="C1183" s="13" t="inlineStr">
        <is>
          <t>Muhammad Wildan Adithya</t>
        </is>
      </c>
      <c r="D1183" s="13" t="inlineStr">
        <is>
          <t>PROD</t>
        </is>
      </c>
      <c r="E1183" s="13" t="inlineStr">
        <is>
          <t>Produksi Harian</t>
        </is>
      </c>
      <c r="F1183" s="170" t="n">
        <v>46272.25212962963</v>
      </c>
      <c r="G1183" s="13" t="inlineStr">
        <is>
          <t>FREE</t>
        </is>
      </c>
      <c r="H1183" s="170" t="n">
        <v>46302.25261574074</v>
      </c>
    </row>
    <row r="1184">
      <c r="A1184" s="13" t="inlineStr">
        <is>
          <t>MK00250</t>
        </is>
      </c>
      <c r="B1184" s="13" t="n">
        <v>528000282</v>
      </c>
      <c r="C1184" s="13" t="inlineStr">
        <is>
          <t>Defa Desfiana</t>
        </is>
      </c>
      <c r="D1184" s="13" t="inlineStr">
        <is>
          <t>PROD</t>
        </is>
      </c>
      <c r="E1184" s="13" t="inlineStr">
        <is>
          <t>Produksi Harian</t>
        </is>
      </c>
      <c r="F1184" s="170" t="n">
        <v>46272.32130787037</v>
      </c>
      <c r="G1184" s="13" t="inlineStr">
        <is>
          <t>FREE</t>
        </is>
      </c>
      <c r="H1184" s="170" t="n">
        <v>46272.6678587963</v>
      </c>
    </row>
    <row r="1185">
      <c r="A1185" s="13" t="inlineStr">
        <is>
          <t>MK00209</t>
        </is>
      </c>
      <c r="B1185" s="13" t="n">
        <v>528000359</v>
      </c>
      <c r="C1185" s="13" t="inlineStr">
        <is>
          <t>M. Iqbal Maulana. S</t>
        </is>
      </c>
      <c r="D1185" s="13" t="inlineStr">
        <is>
          <t>LOG</t>
        </is>
      </c>
      <c r="E1185" s="13" t="inlineStr">
        <is>
          <t>WRM Harian</t>
        </is>
      </c>
      <c r="F1185" s="170" t="n">
        <v>46272.32201388889</v>
      </c>
      <c r="G1185" s="13" t="inlineStr">
        <is>
          <t>FREE</t>
        </is>
      </c>
      <c r="H1185" s="170" t="n">
        <v>46272.67019675926</v>
      </c>
    </row>
    <row r="1186">
      <c r="A1186" s="13" t="inlineStr">
        <is>
          <t>MK00202</t>
        </is>
      </c>
      <c r="B1186" s="13" t="n">
        <v>528000265</v>
      </c>
      <c r="C1186" s="13" t="inlineStr">
        <is>
          <t>Muhammad Haerul Rozikin</t>
        </is>
      </c>
      <c r="D1186" s="13" t="inlineStr">
        <is>
          <t>LOG</t>
        </is>
      </c>
      <c r="E1186" s="13" t="inlineStr">
        <is>
          <t>WRM Harian</t>
        </is>
      </c>
      <c r="F1186" s="170" t="n">
        <v>46272.3233912037</v>
      </c>
      <c r="G1186" s="13" t="inlineStr">
        <is>
          <t>FREE</t>
        </is>
      </c>
      <c r="H1186" s="170" t="n">
        <v>46272.67076388889</v>
      </c>
    </row>
    <row r="1187">
      <c r="A1187" s="13" t="inlineStr">
        <is>
          <t>MK0050</t>
        </is>
      </c>
      <c r="B1187" s="13" t="n">
        <v>528000351</v>
      </c>
      <c r="C1187" s="13" t="inlineStr">
        <is>
          <t>Mulyana</t>
        </is>
      </c>
      <c r="D1187" s="13" t="inlineStr">
        <is>
          <t>PROD</t>
        </is>
      </c>
      <c r="E1187" s="13" t="inlineStr">
        <is>
          <t>Produksi Harian</t>
        </is>
      </c>
      <c r="F1187" s="170" t="n">
        <v>46272.3269212963</v>
      </c>
      <c r="G1187" s="13" t="inlineStr">
        <is>
          <t>FREE</t>
        </is>
      </c>
      <c r="H1187" s="170" t="n">
        <v>46215.74550925926</v>
      </c>
    </row>
    <row r="1188">
      <c r="A1188" s="13" t="inlineStr">
        <is>
          <t>MK00116</t>
        </is>
      </c>
      <c r="B1188" s="13" t="n">
        <v>528000310</v>
      </c>
      <c r="C1188" s="13" t="inlineStr">
        <is>
          <t>Fachrul Rozzi Suryana</t>
        </is>
      </c>
      <c r="D1188" s="13" t="inlineStr">
        <is>
          <t>LOG</t>
        </is>
      </c>
      <c r="E1188" s="13" t="inlineStr">
        <is>
          <t>WRM Harian</t>
        </is>
      </c>
      <c r="F1188" s="170" t="n">
        <v>46272.3313425926</v>
      </c>
      <c r="G1188" s="13" t="inlineStr">
        <is>
          <t>FREE</t>
        </is>
      </c>
      <c r="H1188" s="170" t="n">
        <v>46272.66895833334</v>
      </c>
    </row>
    <row r="1189">
      <c r="A1189" s="13" t="inlineStr">
        <is>
          <t>MK00228</t>
        </is>
      </c>
      <c r="B1189" s="13" t="n">
        <v>528000132</v>
      </c>
      <c r="C1189" s="13" t="inlineStr">
        <is>
          <t>Giopani</t>
        </is>
      </c>
      <c r="D1189" s="13" t="inlineStr">
        <is>
          <t>LOG</t>
        </is>
      </c>
      <c r="E1189" s="13" t="inlineStr">
        <is>
          <t>WRM Harian</t>
        </is>
      </c>
      <c r="F1189" s="170" t="n">
        <v>46272.37405092592</v>
      </c>
      <c r="G1189" s="13" t="inlineStr">
        <is>
          <t>FREE</t>
        </is>
      </c>
      <c r="H1189" s="170" t="n">
        <v>46272.71085648148</v>
      </c>
    </row>
    <row r="1190">
      <c r="A1190" s="13" t="inlineStr">
        <is>
          <t>MK00204</t>
        </is>
      </c>
      <c r="B1190" s="13" t="n">
        <v>528000232</v>
      </c>
      <c r="C1190" s="13" t="inlineStr">
        <is>
          <t>Agung Aji Suhada</t>
        </is>
      </c>
      <c r="D1190" s="13" t="inlineStr">
        <is>
          <t>LOG</t>
        </is>
      </c>
      <c r="E1190" s="13" t="inlineStr">
        <is>
          <t>WRM Harian</t>
        </is>
      </c>
      <c r="F1190" s="170" t="n">
        <v>46272.37451388889</v>
      </c>
      <c r="G1190" s="13" t="inlineStr">
        <is>
          <t>FREE</t>
        </is>
      </c>
      <c r="H1190" s="170" t="n">
        <v>46272.71015046296</v>
      </c>
    </row>
    <row r="1191">
      <c r="A1191" s="13" t="inlineStr">
        <is>
          <t>MK00108</t>
        </is>
      </c>
      <c r="B1191" s="13" t="n">
        <v>528000349</v>
      </c>
      <c r="C1191" s="13" t="inlineStr">
        <is>
          <t>Anas Abdul Fatah</t>
        </is>
      </c>
      <c r="D1191" s="13" t="inlineStr">
        <is>
          <t>LOG</t>
        </is>
      </c>
      <c r="E1191" s="13" t="inlineStr">
        <is>
          <t>WFG Harian</t>
        </is>
      </c>
      <c r="F1191" s="170" t="n">
        <v>46272.40585648148</v>
      </c>
      <c r="G1191" s="13" t="inlineStr">
        <is>
          <t>FREE</t>
        </is>
      </c>
      <c r="H1191" s="170" t="n">
        <v>46272.75834490741</v>
      </c>
    </row>
    <row r="1192">
      <c r="A1192" s="13" t="inlineStr">
        <is>
          <t>MK00141</t>
        </is>
      </c>
      <c r="B1192" s="13" t="n">
        <v>528000324</v>
      </c>
      <c r="C1192" s="13" t="inlineStr">
        <is>
          <t>Sri Yanti</t>
        </is>
      </c>
      <c r="D1192" s="13" t="inlineStr">
        <is>
          <t>PROD</t>
        </is>
      </c>
      <c r="E1192" s="13" t="inlineStr">
        <is>
          <t>Produksi Harian</t>
        </is>
      </c>
      <c r="F1192" s="170" t="n">
        <v>46272.5508912037</v>
      </c>
      <c r="G1192" s="13" t="inlineStr">
        <is>
          <t>FREE</t>
        </is>
      </c>
      <c r="H1192" s="170" t="n">
        <v>46272.93199074074</v>
      </c>
    </row>
    <row r="1193">
      <c r="A1193" s="13" t="inlineStr">
        <is>
          <t>MK00160</t>
        </is>
      </c>
      <c r="B1193" s="13" t="n">
        <v>528000248</v>
      </c>
      <c r="C1193" s="13" t="inlineStr">
        <is>
          <t>Roka Jaya Salka Mulya</t>
        </is>
      </c>
      <c r="D1193" s="13" t="inlineStr">
        <is>
          <t>PROD</t>
        </is>
      </c>
      <c r="E1193" s="13" t="inlineStr">
        <is>
          <t>Produksi Harian</t>
        </is>
      </c>
      <c r="F1193" s="170" t="n">
        <v>46272.55351851852</v>
      </c>
      <c r="G1193" s="13" t="inlineStr">
        <is>
          <t>FREE</t>
        </is>
      </c>
      <c r="H1193" s="170" t="n">
        <v>46272.91975694444</v>
      </c>
    </row>
    <row r="1194">
      <c r="A1194" s="13" t="inlineStr">
        <is>
          <t>MK00150</t>
        </is>
      </c>
      <c r="B1194" s="13" t="n">
        <v>528000297</v>
      </c>
      <c r="C1194" s="13" t="inlineStr">
        <is>
          <t>Muhamad Budiana</t>
        </is>
      </c>
      <c r="D1194" s="13" t="inlineStr">
        <is>
          <t>PROD</t>
        </is>
      </c>
      <c r="E1194" s="13" t="inlineStr">
        <is>
          <t>Produksi Harian</t>
        </is>
      </c>
      <c r="F1194" s="170" t="n">
        <v>46272.57053240741</v>
      </c>
      <c r="G1194" s="13" t="inlineStr">
        <is>
          <t>FREE</t>
        </is>
      </c>
      <c r="H1194" s="170" t="n">
        <v>46272.96829861111</v>
      </c>
    </row>
    <row r="1195">
      <c r="A1195" s="13" t="inlineStr">
        <is>
          <t>MK00235</t>
        </is>
      </c>
      <c r="B1195" s="13" t="n">
        <v>528000306</v>
      </c>
      <c r="C1195" s="13" t="inlineStr">
        <is>
          <t>Windy Olivia</t>
        </is>
      </c>
      <c r="D1195" s="13" t="inlineStr">
        <is>
          <t>PROD</t>
        </is>
      </c>
      <c r="E1195" s="13" t="inlineStr">
        <is>
          <t>Produksi Harian</t>
        </is>
      </c>
      <c r="F1195" s="170" t="n">
        <v>46272.57270833333</v>
      </c>
      <c r="G1195" s="13" t="inlineStr">
        <is>
          <t>FREE</t>
        </is>
      </c>
      <c r="H1195" s="170" t="n">
        <v>46272.92148148148</v>
      </c>
    </row>
    <row r="1196">
      <c r="A1196" s="13" t="inlineStr">
        <is>
          <t>MK00148</t>
        </is>
      </c>
      <c r="B1196" s="13" t="n">
        <v>628000064</v>
      </c>
      <c r="C1196" s="13" t="inlineStr">
        <is>
          <t>Silva Alypia</t>
        </is>
      </c>
      <c r="D1196" s="13" t="inlineStr">
        <is>
          <t>PROD</t>
        </is>
      </c>
      <c r="E1196" s="13" t="inlineStr">
        <is>
          <t>Produksi Borongan</t>
        </is>
      </c>
      <c r="F1196" s="170" t="n">
        <v>46272.57346064815</v>
      </c>
      <c r="G1196" s="13" t="inlineStr">
        <is>
          <t>FREE</t>
        </is>
      </c>
      <c r="H1196" s="170" t="n">
        <v>46272.92078703704</v>
      </c>
    </row>
    <row r="1197">
      <c r="A1197" s="13" t="inlineStr">
        <is>
          <t>MK00143</t>
        </is>
      </c>
      <c r="B1197" s="13" t="n">
        <v>528000329</v>
      </c>
      <c r="C1197" s="13" t="inlineStr">
        <is>
          <t>Havid Ilham Firdaus</t>
        </is>
      </c>
      <c r="D1197" s="13" t="inlineStr">
        <is>
          <t>PROD</t>
        </is>
      </c>
      <c r="E1197" s="13" t="inlineStr">
        <is>
          <t>Produksi Harian</t>
        </is>
      </c>
      <c r="F1197" s="170" t="n">
        <v>46272.57394675926</v>
      </c>
      <c r="G1197" s="13" t="inlineStr">
        <is>
          <t>FREE</t>
        </is>
      </c>
      <c r="H1197" s="170" t="n">
        <v>46219.79583333333</v>
      </c>
    </row>
    <row r="1198">
      <c r="A1198" s="13" t="inlineStr">
        <is>
          <t>MK00181</t>
        </is>
      </c>
      <c r="B1198" s="13" t="n">
        <v>528000300</v>
      </c>
      <c r="C1198" s="13" t="inlineStr">
        <is>
          <t>Lia pitaloka</t>
        </is>
      </c>
      <c r="D1198" s="13" t="inlineStr">
        <is>
          <t>PROD</t>
        </is>
      </c>
      <c r="E1198" s="13" t="inlineStr">
        <is>
          <t>Produksi Harian</t>
        </is>
      </c>
      <c r="F1198" s="170" t="n">
        <v>46272.57439814815</v>
      </c>
      <c r="G1198" s="13" t="inlineStr">
        <is>
          <t>FREE</t>
        </is>
      </c>
      <c r="H1198" s="170" t="n">
        <v>46272.92141203704</v>
      </c>
    </row>
    <row r="1199">
      <c r="A1199" s="13" t="inlineStr">
        <is>
          <t>MK00192</t>
        </is>
      </c>
      <c r="B1199" s="13" t="n">
        <v>528000288</v>
      </c>
      <c r="C1199" s="13" t="inlineStr">
        <is>
          <t>Dede gunawan</t>
        </is>
      </c>
      <c r="D1199" s="13" t="inlineStr">
        <is>
          <t>PROD</t>
        </is>
      </c>
      <c r="E1199" s="13" t="inlineStr">
        <is>
          <t>Produksi Harian</t>
        </is>
      </c>
      <c r="F1199" s="170" t="n">
        <v>46272.57616898148</v>
      </c>
      <c r="G1199" s="13" t="inlineStr">
        <is>
          <t>FREE</t>
        </is>
      </c>
      <c r="H1199" s="170" t="n">
        <v>46302.57942129629</v>
      </c>
    </row>
    <row r="1200">
      <c r="A1200" s="13" t="n">
        <v>207</v>
      </c>
      <c r="B1200" s="13" t="n">
        <v>528000292</v>
      </c>
      <c r="C1200" s="13" t="inlineStr">
        <is>
          <t>Aditia Nugraha</t>
        </is>
      </c>
      <c r="D1200" s="13" t="inlineStr">
        <is>
          <t>PROD</t>
        </is>
      </c>
      <c r="E1200" s="13" t="inlineStr">
        <is>
          <t>Produksi Harian</t>
        </is>
      </c>
      <c r="F1200" s="170" t="n">
        <v>46272.57769675926</v>
      </c>
      <c r="G1200" s="13" t="inlineStr">
        <is>
          <t>FREE</t>
        </is>
      </c>
      <c r="H1200" s="170" t="n">
        <v>46224.97736111111</v>
      </c>
    </row>
    <row r="1201">
      <c r="A1201" s="13" t="inlineStr">
        <is>
          <t>MK00121</t>
        </is>
      </c>
      <c r="B1201" s="13" t="n">
        <v>528000279</v>
      </c>
      <c r="C1201" s="13" t="inlineStr">
        <is>
          <t>Mahdalena Dalfa Riani</t>
        </is>
      </c>
      <c r="D1201" s="13" t="inlineStr">
        <is>
          <t>PROD</t>
        </is>
      </c>
      <c r="E1201" s="13" t="inlineStr">
        <is>
          <t>Produksi Harian</t>
        </is>
      </c>
      <c r="F1201" s="170" t="n">
        <v>46272.57908564815</v>
      </c>
      <c r="G1201" s="13" t="inlineStr">
        <is>
          <t>FREE</t>
        </is>
      </c>
      <c r="H1201" s="170" t="n">
        <v>46272.92089120371</v>
      </c>
    </row>
    <row r="1202">
      <c r="A1202" s="13" t="inlineStr">
        <is>
          <t>MK00125</t>
        </is>
      </c>
      <c r="B1202" s="13" t="n">
        <v>528000314</v>
      </c>
      <c r="C1202" s="13" t="inlineStr">
        <is>
          <t>Rusmana</t>
        </is>
      </c>
      <c r="D1202" s="13" t="inlineStr">
        <is>
          <t>PROD</t>
        </is>
      </c>
      <c r="E1202" s="13" t="inlineStr">
        <is>
          <t>Produksi Harian</t>
        </is>
      </c>
      <c r="F1202" s="170" t="n">
        <v>46272.63719907407</v>
      </c>
      <c r="G1202" s="13" t="inlineStr">
        <is>
          <t>FREE</t>
        </is>
      </c>
      <c r="H1202" s="170" t="n">
        <v>46302.00234953704</v>
      </c>
    </row>
    <row r="1203">
      <c r="A1203" s="13" t="inlineStr">
        <is>
          <t>MK00213</t>
        </is>
      </c>
      <c r="B1203" s="13" t="n">
        <v>528000015</v>
      </c>
      <c r="C1203" s="13" t="inlineStr">
        <is>
          <t>Erwin</t>
        </is>
      </c>
      <c r="D1203" s="13" t="inlineStr">
        <is>
          <t>LOG</t>
        </is>
      </c>
      <c r="E1203" s="13" t="inlineStr">
        <is>
          <t>WRM Harian</t>
        </is>
      </c>
      <c r="F1203" s="170" t="n">
        <v>46272.65067129629</v>
      </c>
      <c r="G1203" s="13" t="inlineStr">
        <is>
          <t>FREE</t>
        </is>
      </c>
      <c r="H1203" s="170" t="n">
        <v>46302.00197916666</v>
      </c>
    </row>
    <row r="1204">
      <c r="A1204" s="13" t="inlineStr">
        <is>
          <t>MK00221</t>
        </is>
      </c>
      <c r="B1204" s="13" t="n">
        <v>528000144</v>
      </c>
      <c r="C1204" s="13" t="inlineStr">
        <is>
          <t>Jodi Hanafi</t>
        </is>
      </c>
      <c r="D1204" s="13" t="inlineStr">
        <is>
          <t>LOG</t>
        </is>
      </c>
      <c r="E1204" s="13" t="inlineStr">
        <is>
          <t>WRM Harian</t>
        </is>
      </c>
      <c r="F1204" s="170" t="n">
        <v>46272.66601851852</v>
      </c>
      <c r="G1204" s="13" t="inlineStr">
        <is>
          <t>FREE</t>
        </is>
      </c>
      <c r="H1204" s="170" t="n">
        <v>46302.00815972222</v>
      </c>
    </row>
    <row r="1205">
      <c r="A1205" s="13" t="inlineStr">
        <is>
          <t>MK00210</t>
        </is>
      </c>
      <c r="B1205" s="13" t="n">
        <v>528000323</v>
      </c>
      <c r="C1205" s="13" t="inlineStr">
        <is>
          <t>Dian Hamidah</t>
        </is>
      </c>
      <c r="D1205" s="13" t="inlineStr">
        <is>
          <t>PROD</t>
        </is>
      </c>
      <c r="E1205" s="13" t="inlineStr">
        <is>
          <t>Produksi Harian</t>
        </is>
      </c>
      <c r="F1205" s="170" t="n">
        <v>46272.90079861111</v>
      </c>
      <c r="G1205" s="13" t="inlineStr">
        <is>
          <t>FREE</t>
        </is>
      </c>
      <c r="H1205" s="170" t="n">
        <v>46302.25604166667</v>
      </c>
    </row>
    <row r="1206">
      <c r="A1206" s="13" t="inlineStr">
        <is>
          <t>MK00145</t>
        </is>
      </c>
      <c r="B1206" s="13" t="n">
        <v>528000286</v>
      </c>
      <c r="C1206" s="13" t="inlineStr">
        <is>
          <t>Imelda Amelia</t>
        </is>
      </c>
      <c r="D1206" s="13" t="inlineStr">
        <is>
          <t>PROD</t>
        </is>
      </c>
      <c r="E1206" s="13" t="inlineStr">
        <is>
          <t>Produksi Harian</t>
        </is>
      </c>
      <c r="F1206" s="170" t="n">
        <v>46272.90273148148</v>
      </c>
      <c r="G1206" s="13" t="inlineStr">
        <is>
          <t>FREE</t>
        </is>
      </c>
      <c r="H1206" s="170" t="n">
        <v>46302.2549074074</v>
      </c>
    </row>
    <row r="1207">
      <c r="A1207" s="13" t="inlineStr">
        <is>
          <t>MK00154</t>
        </is>
      </c>
      <c r="B1207" s="13" t="n">
        <v>528000201</v>
      </c>
      <c r="C1207" s="13" t="inlineStr">
        <is>
          <t>Zahwa Amelia Choerunissa</t>
        </is>
      </c>
      <c r="D1207" s="13" t="inlineStr">
        <is>
          <t>PROD</t>
        </is>
      </c>
      <c r="E1207" s="13" t="inlineStr">
        <is>
          <t>Produksi Harian</t>
        </is>
      </c>
      <c r="F1207" s="170" t="n">
        <v>46272.90475694444</v>
      </c>
      <c r="G1207" s="13" t="inlineStr">
        <is>
          <t>FREE</t>
        </is>
      </c>
      <c r="H1207" s="170" t="n">
        <v>46302.25412037037</v>
      </c>
    </row>
    <row r="1208">
      <c r="A1208" s="13" t="inlineStr">
        <is>
          <t>MK0090</t>
        </is>
      </c>
      <c r="B1208" s="13" t="n">
        <v>528000099</v>
      </c>
      <c r="C1208" s="13" t="inlineStr">
        <is>
          <t>Siti Nurawaliah</t>
        </is>
      </c>
      <c r="D1208" s="13" t="inlineStr">
        <is>
          <t>PROD</t>
        </is>
      </c>
      <c r="E1208" s="13" t="inlineStr">
        <is>
          <t>Produksi Harian</t>
        </is>
      </c>
      <c r="F1208" s="170" t="n">
        <v>46272.90549768518</v>
      </c>
      <c r="G1208" s="13" t="inlineStr">
        <is>
          <t>FREE</t>
        </is>
      </c>
      <c r="H1208" s="170" t="n">
        <v>46302.25444444444</v>
      </c>
    </row>
    <row r="1209">
      <c r="A1209" s="13" t="inlineStr">
        <is>
          <t>MK00138</t>
        </is>
      </c>
      <c r="B1209" s="13" t="n">
        <v>528000241</v>
      </c>
      <c r="C1209" s="13" t="inlineStr">
        <is>
          <t>Balia Nurafif Bilah</t>
        </is>
      </c>
      <c r="D1209" s="13" t="inlineStr">
        <is>
          <t>PROD</t>
        </is>
      </c>
      <c r="E1209" s="13" t="inlineStr">
        <is>
          <t>Produksi Harian</t>
        </is>
      </c>
      <c r="F1209" s="170" t="n">
        <v>46272.91047453704</v>
      </c>
      <c r="G1209" s="13" t="inlineStr">
        <is>
          <t>FREE</t>
        </is>
      </c>
      <c r="H1209" s="170" t="n">
        <v>46302.25358796296</v>
      </c>
    </row>
    <row r="1210">
      <c r="A1210" s="13" t="inlineStr">
        <is>
          <t>MK00250</t>
        </is>
      </c>
      <c r="B1210" s="13" t="n">
        <v>528000244</v>
      </c>
      <c r="C1210" s="13" t="inlineStr">
        <is>
          <t>Rodian Rifai</t>
        </is>
      </c>
      <c r="D1210" s="13" t="inlineStr">
        <is>
          <t>PROD</t>
        </is>
      </c>
      <c r="E1210" s="13" t="inlineStr">
        <is>
          <t>Produksi Harian</t>
        </is>
      </c>
      <c r="F1210" s="170" t="n">
        <v>46272.91074074074</v>
      </c>
      <c r="G1210" s="13" t="inlineStr">
        <is>
          <t>FREE</t>
        </is>
      </c>
      <c r="H1210" s="170" t="n">
        <v>46302.27517361111</v>
      </c>
    </row>
    <row r="1211">
      <c r="A1211" s="13" t="inlineStr">
        <is>
          <t>MK00116</t>
        </is>
      </c>
      <c r="B1211" s="13" t="n">
        <v>528000274</v>
      </c>
      <c r="C1211" s="13" t="inlineStr">
        <is>
          <t>Zepri</t>
        </is>
      </c>
      <c r="D1211" s="13" t="inlineStr">
        <is>
          <t>PROD</t>
        </is>
      </c>
      <c r="E1211" s="13" t="inlineStr">
        <is>
          <t>Produksi Harian</t>
        </is>
      </c>
      <c r="F1211" s="170" t="n">
        <v>46272.91375</v>
      </c>
      <c r="G1211" s="13" t="inlineStr">
        <is>
          <t>FREE</t>
        </is>
      </c>
      <c r="H1211" s="170" t="n">
        <v>46302.25342592593</v>
      </c>
    </row>
    <row r="1212">
      <c r="A1212" s="13" t="inlineStr">
        <is>
          <t>MK00185</t>
        </is>
      </c>
      <c r="B1212" s="13" t="n">
        <v>528000289</v>
      </c>
      <c r="C1212" s="13" t="inlineStr">
        <is>
          <t>Adit Supriyadi</t>
        </is>
      </c>
      <c r="D1212" s="13" t="inlineStr">
        <is>
          <t>PROD</t>
        </is>
      </c>
      <c r="E1212" s="13" t="inlineStr">
        <is>
          <t>Produksi Harian</t>
        </is>
      </c>
      <c r="F1212" s="170" t="n">
        <v>46272.91439814815</v>
      </c>
      <c r="G1212" s="13" t="inlineStr">
        <is>
          <t>FREE</t>
        </is>
      </c>
      <c r="H1212" s="170" t="n">
        <v>46302.25354166667</v>
      </c>
    </row>
    <row r="1213">
      <c r="A1213" s="13" t="inlineStr">
        <is>
          <t>MK00112</t>
        </is>
      </c>
      <c r="B1213" s="13" t="n">
        <v>528000090</v>
      </c>
      <c r="C1213" s="13" t="inlineStr">
        <is>
          <t>Suganda</t>
        </is>
      </c>
      <c r="D1213" s="13" t="inlineStr">
        <is>
          <t>PROD</t>
        </is>
      </c>
      <c r="E1213" s="13" t="inlineStr">
        <is>
          <t>Produksi Harian</t>
        </is>
      </c>
      <c r="F1213" s="170" t="n">
        <v>46272.91525462963</v>
      </c>
      <c r="G1213" s="13" t="inlineStr">
        <is>
          <t>FREE</t>
        </is>
      </c>
      <c r="H1213" s="170" t="n">
        <v>46302.2536574074</v>
      </c>
    </row>
    <row r="1214">
      <c r="A1214" s="13" t="inlineStr">
        <is>
          <t>MK00202</t>
        </is>
      </c>
      <c r="B1214" s="13" t="n">
        <v>528000212</v>
      </c>
      <c r="C1214" s="13" t="inlineStr">
        <is>
          <t>Rizal Fauzi</t>
        </is>
      </c>
      <c r="D1214" s="13" t="inlineStr">
        <is>
          <t>PROD</t>
        </is>
      </c>
      <c r="E1214" s="13" t="inlineStr">
        <is>
          <t>Produksi Harian</t>
        </is>
      </c>
      <c r="F1214" s="170" t="n">
        <v>46272.91525462963</v>
      </c>
      <c r="G1214" s="13" t="inlineStr">
        <is>
          <t>FREE</t>
        </is>
      </c>
      <c r="H1214" s="170" t="n">
        <v>46302.60121527778</v>
      </c>
    </row>
    <row r="1215">
      <c r="A1215" s="13" t="inlineStr">
        <is>
          <t>MK00249</t>
        </is>
      </c>
      <c r="B1215" s="13" t="n">
        <v>528000290</v>
      </c>
      <c r="C1215" s="13" t="inlineStr">
        <is>
          <t>Eval Pranata</t>
        </is>
      </c>
      <c r="D1215" s="13" t="inlineStr">
        <is>
          <t>PROD</t>
        </is>
      </c>
      <c r="E1215" s="13" t="inlineStr">
        <is>
          <t>Produksi Harian</t>
        </is>
      </c>
      <c r="F1215" s="170" t="n">
        <v>46272.9200462963</v>
      </c>
      <c r="G1215" s="13" t="inlineStr">
        <is>
          <t>FREE</t>
        </is>
      </c>
      <c r="H1215" s="170" t="n">
        <v>46302.25469907407</v>
      </c>
    </row>
    <row r="1216">
      <c r="A1216" s="13" t="inlineStr">
        <is>
          <t>MK00150</t>
        </is>
      </c>
      <c r="B1216" s="13" t="n">
        <v>528000305</v>
      </c>
      <c r="C1216" s="13" t="inlineStr">
        <is>
          <t>Puji Puspita</t>
        </is>
      </c>
      <c r="D1216" s="13" t="inlineStr">
        <is>
          <t>PROD</t>
        </is>
      </c>
      <c r="E1216" s="13" t="inlineStr">
        <is>
          <t>Produksi Harian</t>
        </is>
      </c>
      <c r="F1216" s="170" t="n">
        <v>46302.23283564814</v>
      </c>
      <c r="G1216" s="13" t="inlineStr">
        <is>
          <t>FREE</t>
        </is>
      </c>
      <c r="H1216" s="170" t="n">
        <v>46302.58400462963</v>
      </c>
    </row>
    <row r="1217">
      <c r="A1217" s="13" t="inlineStr">
        <is>
          <t>MK00134</t>
        </is>
      </c>
      <c r="B1217" s="13" t="n">
        <v>528000313</v>
      </c>
      <c r="C1217" s="13" t="inlineStr">
        <is>
          <t>Muhamad Rifki</t>
        </is>
      </c>
      <c r="D1217" s="13" t="inlineStr">
        <is>
          <t>PROD</t>
        </is>
      </c>
      <c r="E1217" s="13" t="inlineStr">
        <is>
          <t>Produksi Harian</t>
        </is>
      </c>
      <c r="F1217" s="170" t="n">
        <v>46302.23574074074</v>
      </c>
      <c r="G1217" s="13" t="inlineStr">
        <is>
          <t>FREE</t>
        </is>
      </c>
      <c r="H1217" s="170" t="n">
        <v>46302.58883101852</v>
      </c>
    </row>
    <row r="1218">
      <c r="A1218" s="13" t="inlineStr">
        <is>
          <t>MK00093</t>
        </is>
      </c>
      <c r="B1218" s="13" t="n">
        <v>528000298</v>
      </c>
      <c r="C1218" s="13" t="inlineStr">
        <is>
          <t>Desta Cahaya Pratama</t>
        </is>
      </c>
      <c r="D1218" s="13" t="inlineStr">
        <is>
          <t>PROD</t>
        </is>
      </c>
      <c r="E1218" s="13" t="inlineStr">
        <is>
          <t>Produksi Harian</t>
        </is>
      </c>
      <c r="F1218" s="170" t="n">
        <v>46302.23813657407</v>
      </c>
      <c r="G1218" s="13" t="inlineStr">
        <is>
          <t>FREE</t>
        </is>
      </c>
      <c r="H1218" s="170" t="n">
        <v>46333.58570601852</v>
      </c>
    </row>
    <row r="1219">
      <c r="A1219" s="13" t="inlineStr">
        <is>
          <t>MK00181</t>
        </is>
      </c>
      <c r="B1219" s="13" t="n">
        <v>528000299</v>
      </c>
      <c r="C1219" s="13" t="inlineStr">
        <is>
          <t>Siti Nurjanah</t>
        </is>
      </c>
      <c r="D1219" s="13" t="inlineStr">
        <is>
          <t>PROD</t>
        </is>
      </c>
      <c r="E1219" s="13" t="inlineStr">
        <is>
          <t>Produksi Harian</t>
        </is>
      </c>
      <c r="F1219" s="170" t="n">
        <v>46302.23862268519</v>
      </c>
      <c r="G1219" s="13" t="inlineStr">
        <is>
          <t>FREE</t>
        </is>
      </c>
      <c r="H1219" s="170" t="n">
        <v>46302.58390046296</v>
      </c>
    </row>
    <row r="1220">
      <c r="A1220" s="13" t="inlineStr">
        <is>
          <t>MK00121</t>
        </is>
      </c>
      <c r="B1220" s="13" t="n">
        <v>628000091</v>
      </c>
      <c r="C1220" s="13" t="inlineStr">
        <is>
          <t>Devita Handayani</t>
        </is>
      </c>
      <c r="D1220" s="13" t="inlineStr">
        <is>
          <t>PROD</t>
        </is>
      </c>
      <c r="E1220" s="13" t="inlineStr">
        <is>
          <t>Produksi Borongan</t>
        </is>
      </c>
      <c r="F1220" s="170" t="n">
        <v>46302.23871527778</v>
      </c>
      <c r="G1220" s="13" t="inlineStr">
        <is>
          <t>FREE</t>
        </is>
      </c>
      <c r="H1220" s="170" t="n">
        <v>46302.58326388889</v>
      </c>
    </row>
    <row r="1221">
      <c r="A1221" s="13" t="inlineStr">
        <is>
          <t>MK00203</t>
        </is>
      </c>
      <c r="B1221" s="13" t="n">
        <v>528000361</v>
      </c>
      <c r="C1221" s="13" t="inlineStr">
        <is>
          <t>Denada Munggarani</t>
        </is>
      </c>
      <c r="D1221" s="13" t="inlineStr">
        <is>
          <t>PROD</t>
        </is>
      </c>
      <c r="E1221" s="13" t="inlineStr">
        <is>
          <t>Produksi Harian</t>
        </is>
      </c>
      <c r="F1221" s="170" t="n">
        <v>46302.24145833333</v>
      </c>
      <c r="G1221" s="13" t="inlineStr">
        <is>
          <t>FREE</t>
        </is>
      </c>
      <c r="H1221" s="170" t="n">
        <v>46302.59483796296</v>
      </c>
    </row>
    <row r="1222">
      <c r="A1222" s="13" t="inlineStr">
        <is>
          <t>MK00235</t>
        </is>
      </c>
      <c r="B1222" s="13" t="n">
        <v>528000318</v>
      </c>
      <c r="C1222" s="13" t="inlineStr">
        <is>
          <t>Bayu Padli Sepriyana</t>
        </is>
      </c>
      <c r="D1222" s="13" t="inlineStr">
        <is>
          <t>LOG</t>
        </is>
      </c>
      <c r="E1222" s="13" t="inlineStr">
        <is>
          <t>WRM Harian</t>
        </is>
      </c>
      <c r="F1222" s="170" t="n">
        <v>46302.24474537037</v>
      </c>
      <c r="G1222" s="13" t="inlineStr">
        <is>
          <t>FREE</t>
        </is>
      </c>
      <c r="H1222" s="170" t="n">
        <v>46302.58506944445</v>
      </c>
    </row>
    <row r="1223">
      <c r="A1223" s="13" t="inlineStr">
        <is>
          <t>MK00148</t>
        </is>
      </c>
      <c r="B1223" s="13" t="n">
        <v>528000270</v>
      </c>
      <c r="C1223" s="13" t="inlineStr">
        <is>
          <t>Febri Najmudin</t>
        </is>
      </c>
      <c r="D1223" s="13" t="inlineStr">
        <is>
          <t>LOG</t>
        </is>
      </c>
      <c r="E1223" s="13" t="inlineStr">
        <is>
          <t>WRM Harian</t>
        </is>
      </c>
      <c r="F1223" s="170" t="n">
        <v>46302.24502314815</v>
      </c>
      <c r="G1223" s="13" t="inlineStr">
        <is>
          <t>FREE</t>
        </is>
      </c>
      <c r="H1223" s="170" t="n">
        <v>46302.60059027778</v>
      </c>
    </row>
    <row r="1224">
      <c r="A1224" s="13" t="inlineStr">
        <is>
          <t>MK00160</t>
        </is>
      </c>
      <c r="B1224" s="13" t="n">
        <v>528000309</v>
      </c>
      <c r="C1224" s="13" t="inlineStr">
        <is>
          <t>Ilham Ramadhan</t>
        </is>
      </c>
      <c r="D1224" s="13" t="inlineStr">
        <is>
          <t>LOG</t>
        </is>
      </c>
      <c r="E1224" s="13" t="inlineStr">
        <is>
          <t>WRM Harian</t>
        </is>
      </c>
      <c r="F1224" s="170" t="n">
        <v>46302.24726851852</v>
      </c>
      <c r="G1224" s="13" t="inlineStr">
        <is>
          <t>FREE</t>
        </is>
      </c>
      <c r="H1224" s="170" t="n">
        <v>46302.58767361111</v>
      </c>
    </row>
    <row r="1225">
      <c r="A1225" s="13" t="inlineStr">
        <is>
          <t>MK00208</t>
        </is>
      </c>
      <c r="B1225" s="13" t="n">
        <v>528000302</v>
      </c>
      <c r="C1225" s="13" t="inlineStr">
        <is>
          <t>Henkey gumilar</t>
        </is>
      </c>
      <c r="D1225" s="13" t="inlineStr">
        <is>
          <t>PROD</t>
        </is>
      </c>
      <c r="E1225" s="13" t="inlineStr">
        <is>
          <t>Produksi Harian</t>
        </is>
      </c>
      <c r="F1225" s="170" t="n">
        <v>46302.24930555555</v>
      </c>
      <c r="G1225" s="13" t="inlineStr">
        <is>
          <t>FREE</t>
        </is>
      </c>
      <c r="H1225" s="170" t="n">
        <v>46333.59569444445</v>
      </c>
    </row>
    <row r="1226">
      <c r="A1226" s="13" t="inlineStr">
        <is>
          <t>MK00158</t>
        </is>
      </c>
      <c r="B1226" s="13" t="n">
        <v>528000340</v>
      </c>
      <c r="C1226" s="13" t="inlineStr">
        <is>
          <t>Muhammad Wildan Adithya</t>
        </is>
      </c>
      <c r="D1226" s="13" t="inlineStr">
        <is>
          <t>PROD</t>
        </is>
      </c>
      <c r="E1226" s="13" t="inlineStr">
        <is>
          <t>Produksi Harian</t>
        </is>
      </c>
      <c r="F1226" s="170" t="n">
        <v>46302.2529050926</v>
      </c>
      <c r="G1226" s="13" t="inlineStr">
        <is>
          <t>FREE</t>
        </is>
      </c>
      <c r="H1226" s="170" t="n">
        <v>46302.58858796296</v>
      </c>
    </row>
    <row r="1227">
      <c r="A1227" s="13" t="inlineStr">
        <is>
          <t>MK00213</t>
        </is>
      </c>
      <c r="B1227" s="13" t="n">
        <v>528000282</v>
      </c>
      <c r="C1227" s="13" t="inlineStr">
        <is>
          <t>Defa Desfiana</t>
        </is>
      </c>
      <c r="D1227" s="13" t="inlineStr">
        <is>
          <t>PROD</t>
        </is>
      </c>
      <c r="E1227" s="13" t="inlineStr">
        <is>
          <t>Produksi Harian</t>
        </is>
      </c>
      <c r="F1227" s="170" t="n">
        <v>46302.31903935185</v>
      </c>
      <c r="G1227" s="13" t="inlineStr">
        <is>
          <t>FREE</t>
        </is>
      </c>
      <c r="H1227" s="170" t="n">
        <v>46302.66869212963</v>
      </c>
    </row>
    <row r="1228">
      <c r="A1228" s="13" t="inlineStr">
        <is>
          <t>MK00249</t>
        </is>
      </c>
      <c r="B1228" s="13" t="n">
        <v>528000265</v>
      </c>
      <c r="C1228" s="13" t="inlineStr">
        <is>
          <t>Muhammad Haerul Rozikin</t>
        </is>
      </c>
      <c r="D1228" s="13" t="inlineStr">
        <is>
          <t>LOG</t>
        </is>
      </c>
      <c r="E1228" s="13" t="inlineStr">
        <is>
          <t>WRM Harian</t>
        </is>
      </c>
      <c r="F1228" s="170" t="n">
        <v>46302.32018518518</v>
      </c>
      <c r="G1228" s="13" t="inlineStr">
        <is>
          <t>FREE</t>
        </is>
      </c>
      <c r="H1228" s="170" t="n">
        <v>46302.66836805556</v>
      </c>
    </row>
    <row r="1229">
      <c r="A1229" s="13" t="inlineStr">
        <is>
          <t>MK00250</t>
        </is>
      </c>
      <c r="B1229" s="13" t="n">
        <v>528000310</v>
      </c>
      <c r="C1229" s="13" t="inlineStr">
        <is>
          <t>Fachrul Rozzi Suryana</t>
        </is>
      </c>
      <c r="D1229" s="13" t="inlineStr">
        <is>
          <t>LOG</t>
        </is>
      </c>
      <c r="E1229" s="13" t="inlineStr">
        <is>
          <t>WRM Harian</t>
        </is>
      </c>
      <c r="F1229" s="170" t="n">
        <v>46302.33274305556</v>
      </c>
      <c r="G1229" s="13" t="inlineStr">
        <is>
          <t>FREE</t>
        </is>
      </c>
      <c r="H1229" s="170" t="n">
        <v>46302.66863425926</v>
      </c>
    </row>
    <row r="1230">
      <c r="A1230" s="13" t="inlineStr">
        <is>
          <t>MK0130</t>
        </is>
      </c>
      <c r="B1230" s="13" t="n">
        <v>528000149</v>
      </c>
      <c r="C1230" s="13" t="inlineStr">
        <is>
          <t>Tio Fernanda</t>
        </is>
      </c>
      <c r="D1230" s="13" t="inlineStr">
        <is>
          <t>LOG</t>
        </is>
      </c>
      <c r="E1230" s="13" t="inlineStr">
        <is>
          <t>WRM Harian</t>
        </is>
      </c>
      <c r="F1230" s="170" t="n">
        <v>46302.37063657407</v>
      </c>
      <c r="G1230" s="13" t="inlineStr">
        <is>
          <t>FREE</t>
        </is>
      </c>
      <c r="H1230" s="170" t="n">
        <v>46302.71028935185</v>
      </c>
    </row>
    <row r="1231">
      <c r="A1231" s="13" t="inlineStr">
        <is>
          <t>MM00204</t>
        </is>
      </c>
      <c r="B1231" s="13" t="n">
        <v>528000132</v>
      </c>
      <c r="C1231" s="13" t="inlineStr">
        <is>
          <t>Giopani</t>
        </is>
      </c>
      <c r="D1231" s="13" t="inlineStr">
        <is>
          <t>LOG</t>
        </is>
      </c>
      <c r="E1231" s="13" t="inlineStr">
        <is>
          <t>WRM Harian</t>
        </is>
      </c>
      <c r="F1231" s="170" t="n">
        <v>46302.3740625</v>
      </c>
      <c r="G1231" s="13" t="inlineStr">
        <is>
          <t>FREE</t>
        </is>
      </c>
      <c r="H1231" s="170" t="n">
        <v>46302.37618055556</v>
      </c>
    </row>
    <row r="1232">
      <c r="A1232" s="13" t="inlineStr">
        <is>
          <t>MK00204</t>
        </is>
      </c>
      <c r="B1232" s="13" t="n">
        <v>528000232</v>
      </c>
      <c r="C1232" s="13" t="inlineStr">
        <is>
          <t>Agung Aji Suhada</t>
        </is>
      </c>
      <c r="D1232" s="13" t="inlineStr">
        <is>
          <t>LOG</t>
        </is>
      </c>
      <c r="E1232" s="13" t="inlineStr">
        <is>
          <t>WRM Harian</t>
        </is>
      </c>
      <c r="F1232" s="170" t="n">
        <v>46302.37543981482</v>
      </c>
      <c r="G1232" s="13" t="inlineStr">
        <is>
          <t>FREE</t>
        </is>
      </c>
      <c r="H1232" s="170" t="n">
        <v>46302.71043981481</v>
      </c>
    </row>
    <row r="1233">
      <c r="A1233" s="13" t="inlineStr">
        <is>
          <t>MK00228</t>
        </is>
      </c>
      <c r="B1233" s="13" t="n">
        <v>528000132</v>
      </c>
      <c r="C1233" s="13" t="inlineStr">
        <is>
          <t>Giopani</t>
        </is>
      </c>
      <c r="D1233" s="13" t="inlineStr">
        <is>
          <t>LOG</t>
        </is>
      </c>
      <c r="E1233" s="13" t="inlineStr">
        <is>
          <t>WRM Harian</t>
        </is>
      </c>
      <c r="F1233" s="170" t="n">
        <v>46302.37633101852</v>
      </c>
      <c r="G1233" s="13" t="inlineStr">
        <is>
          <t>FREE</t>
        </is>
      </c>
      <c r="H1233" s="170" t="n">
        <v>46302.71084490741</v>
      </c>
    </row>
    <row r="1234">
      <c r="A1234" s="13" t="inlineStr">
        <is>
          <t>MK00145</t>
        </is>
      </c>
      <c r="B1234" s="13" t="n">
        <v>528000349</v>
      </c>
      <c r="C1234" s="13" t="inlineStr">
        <is>
          <t>Anas Abdul Fatah</t>
        </is>
      </c>
      <c r="D1234" s="13" t="inlineStr">
        <is>
          <t>LOG</t>
        </is>
      </c>
      <c r="E1234" s="13" t="inlineStr">
        <is>
          <t>WFG Harian</t>
        </is>
      </c>
      <c r="F1234" s="170" t="n">
        <v>46302.40262731481</v>
      </c>
      <c r="G1234" s="13" t="inlineStr">
        <is>
          <t>FREE</t>
        </is>
      </c>
      <c r="H1234" s="170" t="n">
        <v>46302.75788194445</v>
      </c>
    </row>
    <row r="1235">
      <c r="A1235" s="13" t="inlineStr">
        <is>
          <t>MK00085</t>
        </is>
      </c>
      <c r="B1235" s="13" t="n">
        <v>528000324</v>
      </c>
      <c r="C1235" s="13" t="inlineStr">
        <is>
          <t>Sri Yanti</t>
        </is>
      </c>
      <c r="D1235" s="13" t="inlineStr">
        <is>
          <t>PROD</t>
        </is>
      </c>
      <c r="E1235" s="13" t="inlineStr">
        <is>
          <t>Produksi Harian</t>
        </is>
      </c>
      <c r="F1235" s="170" t="n">
        <v>46302.55329861111</v>
      </c>
      <c r="G1235" s="13" t="inlineStr">
        <is>
          <t>FREE</t>
        </is>
      </c>
      <c r="H1235" s="170" t="n">
        <v>46302.92064814815</v>
      </c>
    </row>
    <row r="1236">
      <c r="A1236" s="13" t="inlineStr">
        <is>
          <t>MK00109</t>
        </is>
      </c>
      <c r="B1236" s="13" t="n">
        <v>528000300</v>
      </c>
      <c r="C1236" s="13" t="inlineStr">
        <is>
          <t>Lia pitaloka</t>
        </is>
      </c>
      <c r="D1236" s="13" t="inlineStr">
        <is>
          <t>PROD</t>
        </is>
      </c>
      <c r="E1236" s="13" t="inlineStr">
        <is>
          <t>Produksi Harian</t>
        </is>
      </c>
      <c r="F1236" s="170" t="n">
        <v>46302.57898148148</v>
      </c>
      <c r="G1236" s="13" t="inlineStr">
        <is>
          <t>FREE</t>
        </is>
      </c>
      <c r="H1236" s="170" t="n">
        <v>46302.9212962963</v>
      </c>
    </row>
    <row r="1237">
      <c r="A1237" s="13" t="inlineStr">
        <is>
          <t>MK00095</t>
        </is>
      </c>
      <c r="B1237" s="13" t="n">
        <v>528000288</v>
      </c>
      <c r="C1237" s="13" t="inlineStr">
        <is>
          <t>Dede gunawan</t>
        </is>
      </c>
      <c r="D1237" s="13" t="inlineStr">
        <is>
          <t>PROD</t>
        </is>
      </c>
      <c r="E1237" s="13" t="inlineStr">
        <is>
          <t>Produksi Harian</t>
        </is>
      </c>
      <c r="F1237" s="170" t="n">
        <v>46302.57981481482</v>
      </c>
      <c r="G1237" s="13" t="inlineStr">
        <is>
          <t>FREE</t>
        </is>
      </c>
      <c r="H1237" s="170" t="n">
        <v>46215.6605324074</v>
      </c>
    </row>
    <row r="1238">
      <c r="A1238" s="13" t="inlineStr">
        <is>
          <t>MK00212</t>
        </is>
      </c>
      <c r="B1238" s="13" t="n">
        <v>628000064</v>
      </c>
      <c r="C1238" s="13" t="inlineStr">
        <is>
          <t>Silva Alypia</t>
        </is>
      </c>
      <c r="D1238" s="13" t="inlineStr">
        <is>
          <t>PROD</t>
        </is>
      </c>
      <c r="E1238" s="13" t="inlineStr">
        <is>
          <t>Produksi Borongan</t>
        </is>
      </c>
      <c r="F1238" s="170" t="n">
        <v>46302.58092592593</v>
      </c>
      <c r="G1238" s="13" t="inlineStr">
        <is>
          <t>FREE</t>
        </is>
      </c>
      <c r="H1238" s="170" t="n">
        <v>46302.92106481481</v>
      </c>
    </row>
    <row r="1239">
      <c r="A1239" s="13" t="inlineStr">
        <is>
          <t>MK00136</t>
        </is>
      </c>
      <c r="B1239" s="13" t="n">
        <v>528000279</v>
      </c>
      <c r="C1239" s="13" t="inlineStr">
        <is>
          <t>Mahdalena Dalfa Riani</t>
        </is>
      </c>
      <c r="D1239" s="13" t="inlineStr">
        <is>
          <t>PROD</t>
        </is>
      </c>
      <c r="E1239" s="13" t="inlineStr">
        <is>
          <t>Produksi Harian</t>
        </is>
      </c>
      <c r="F1239" s="170" t="n">
        <v>46302.58212962963</v>
      </c>
      <c r="G1239" s="13" t="inlineStr">
        <is>
          <t>FREE</t>
        </is>
      </c>
      <c r="H1239" s="170" t="n">
        <v>46302.58446759259</v>
      </c>
    </row>
    <row r="1240">
      <c r="A1240" s="13" t="inlineStr">
        <is>
          <t>MK00055</t>
        </is>
      </c>
      <c r="B1240" s="13" t="n">
        <v>528000248</v>
      </c>
      <c r="C1240" s="13" t="inlineStr">
        <is>
          <t>Roka Jaya Salka Mulya</t>
        </is>
      </c>
      <c r="D1240" s="13" t="inlineStr">
        <is>
          <t>PROD</t>
        </is>
      </c>
      <c r="E1240" s="13" t="inlineStr">
        <is>
          <t>Produksi Harian</t>
        </is>
      </c>
      <c r="F1240" s="170" t="n">
        <v>46302.5824537037</v>
      </c>
      <c r="G1240" s="13" t="inlineStr">
        <is>
          <t>FREE</t>
        </is>
      </c>
      <c r="H1240" s="170" t="n">
        <v>46302.9189699074</v>
      </c>
    </row>
    <row r="1241">
      <c r="A1241" s="13" t="inlineStr">
        <is>
          <t>MK00136</t>
        </is>
      </c>
      <c r="B1241" s="13" t="n">
        <v>528000279</v>
      </c>
      <c r="C1241" s="13" t="inlineStr">
        <is>
          <t>Mahdalena Dalfa Riani</t>
        </is>
      </c>
      <c r="D1241" s="13" t="inlineStr">
        <is>
          <t>PROD</t>
        </is>
      </c>
      <c r="E1241" s="13" t="inlineStr">
        <is>
          <t>Produksi Harian</t>
        </is>
      </c>
      <c r="F1241" s="170" t="n">
        <v>46302.58464120371</v>
      </c>
      <c r="G1241" s="13" t="inlineStr">
        <is>
          <t>FREE</t>
        </is>
      </c>
      <c r="H1241" s="170" t="n">
        <v>46302.92053240741</v>
      </c>
    </row>
    <row r="1242">
      <c r="A1242" s="13" t="inlineStr">
        <is>
          <t>MK00160</t>
        </is>
      </c>
      <c r="B1242" s="13" t="n">
        <v>528000063</v>
      </c>
      <c r="C1242" s="13" t="inlineStr">
        <is>
          <t>Muhamad Ripki Pebrian</t>
        </is>
      </c>
      <c r="D1242" s="13" t="inlineStr">
        <is>
          <t>PROD</t>
        </is>
      </c>
      <c r="E1242" s="13" t="inlineStr">
        <is>
          <t>Produksi Harian</t>
        </is>
      </c>
      <c r="F1242" s="170" t="n">
        <v>46302.59427083333</v>
      </c>
      <c r="G1242" s="13" t="inlineStr">
        <is>
          <t>FREE</t>
        </is>
      </c>
      <c r="H1242" s="170" t="n">
        <v>46302.92099537037</v>
      </c>
    </row>
    <row r="1243">
      <c r="A1243" s="13" t="inlineStr">
        <is>
          <t>ML00148</t>
        </is>
      </c>
      <c r="B1243" s="13" t="n">
        <v>528000297</v>
      </c>
      <c r="C1243" s="13" t="inlineStr">
        <is>
          <t>Muhamad Budiana</t>
        </is>
      </c>
      <c r="D1243" s="13" t="inlineStr">
        <is>
          <t>PROD</t>
        </is>
      </c>
      <c r="E1243" s="13" t="inlineStr">
        <is>
          <t>Produksi Harian</t>
        </is>
      </c>
      <c r="F1243" s="170" t="n">
        <v>46302.60422453703</v>
      </c>
      <c r="G1243" s="13" t="inlineStr">
        <is>
          <t>FREE</t>
        </is>
      </c>
      <c r="H1243" s="170" t="n">
        <v>46302.95467592592</v>
      </c>
    </row>
    <row r="1244">
      <c r="A1244" s="13" t="inlineStr">
        <is>
          <t>MK00203</t>
        </is>
      </c>
      <c r="B1244" s="13" t="n">
        <v>528000361</v>
      </c>
      <c r="C1244" s="13" t="inlineStr">
        <is>
          <t>Denada Munggarani</t>
        </is>
      </c>
      <c r="D1244" s="13" t="inlineStr">
        <is>
          <t>PROD</t>
        </is>
      </c>
      <c r="E1244" s="13" t="inlineStr">
        <is>
          <t>Produksi Harian</t>
        </is>
      </c>
      <c r="F1244" s="170" t="n">
        <v>46302.62140046297</v>
      </c>
      <c r="G1244" s="13" t="inlineStr">
        <is>
          <t>FREE</t>
        </is>
      </c>
      <c r="H1244" s="170" t="n">
        <v>46333.59024305556</v>
      </c>
    </row>
    <row r="1245">
      <c r="A1245" s="13" t="inlineStr">
        <is>
          <t>MK00216</t>
        </is>
      </c>
      <c r="B1245" s="13" t="n">
        <v>528000015</v>
      </c>
      <c r="C1245" s="13" t="inlineStr">
        <is>
          <t>Erwin</t>
        </is>
      </c>
      <c r="D1245" s="13" t="inlineStr">
        <is>
          <t>LOG</t>
        </is>
      </c>
      <c r="E1245" s="13" t="inlineStr">
        <is>
          <t>WRM Harian</t>
        </is>
      </c>
      <c r="F1245" s="170" t="n">
        <v>46302.65784722222</v>
      </c>
      <c r="G1245" s="13" t="inlineStr">
        <is>
          <t>FREE</t>
        </is>
      </c>
      <c r="H1245" s="170" t="n">
        <v>46333.00181712963</v>
      </c>
    </row>
    <row r="1246">
      <c r="A1246" s="13" t="inlineStr">
        <is>
          <t>MK00125</t>
        </is>
      </c>
      <c r="B1246" s="13" t="n">
        <v>528000314</v>
      </c>
      <c r="C1246" s="13" t="inlineStr">
        <is>
          <t>Rusmana</t>
        </is>
      </c>
      <c r="D1246" s="13" t="inlineStr">
        <is>
          <t>PROD</t>
        </is>
      </c>
      <c r="E1246" s="13" t="inlineStr">
        <is>
          <t>Produksi Harian</t>
        </is>
      </c>
      <c r="F1246" s="170" t="n">
        <v>46302.66063657407</v>
      </c>
      <c r="G1246" s="13" t="inlineStr">
        <is>
          <t>FREE</t>
        </is>
      </c>
      <c r="H1246" s="170" t="n">
        <v>46333.00327546296</v>
      </c>
    </row>
    <row r="1247">
      <c r="A1247" s="13" t="inlineStr">
        <is>
          <t>MK00205</t>
        </is>
      </c>
      <c r="B1247" s="13" t="n">
        <v>528000348</v>
      </c>
      <c r="C1247" s="13" t="inlineStr">
        <is>
          <t>Saepuloh Ardiansah</t>
        </is>
      </c>
      <c r="D1247" s="13" t="inlineStr">
        <is>
          <t>LOG</t>
        </is>
      </c>
      <c r="E1247" s="13" t="inlineStr">
        <is>
          <t>WRM Harian</t>
        </is>
      </c>
      <c r="F1247" s="170" t="n">
        <v>46302.66439814815</v>
      </c>
      <c r="G1247" s="13" t="inlineStr">
        <is>
          <t>FREE</t>
        </is>
      </c>
      <c r="H1247" s="170" t="n">
        <v>46333.02015046297</v>
      </c>
    </row>
    <row r="1248">
      <c r="A1248" s="13" t="inlineStr">
        <is>
          <t>MK00221</t>
        </is>
      </c>
      <c r="B1248" s="13" t="n">
        <v>528000144</v>
      </c>
      <c r="C1248" s="13" t="inlineStr">
        <is>
          <t>Jodi Hanafi</t>
        </is>
      </c>
      <c r="D1248" s="13" t="inlineStr">
        <is>
          <t>LOG</t>
        </is>
      </c>
      <c r="E1248" s="13" t="inlineStr">
        <is>
          <t>WRM Harian</t>
        </is>
      </c>
      <c r="F1248" s="170" t="n">
        <v>46302.67</v>
      </c>
      <c r="G1248" s="13" t="inlineStr">
        <is>
          <t>FREE</t>
        </is>
      </c>
      <c r="H1248" s="170" t="n">
        <v>46333.53476851852</v>
      </c>
    </row>
    <row r="1249">
      <c r="A1249" s="13" t="inlineStr">
        <is>
          <t>MK00202</t>
        </is>
      </c>
      <c r="B1249" s="13" t="n">
        <v>528000337</v>
      </c>
      <c r="C1249" s="13" t="inlineStr">
        <is>
          <t>Ahmad Zaldi Firdaus</t>
        </is>
      </c>
      <c r="D1249" s="13" t="inlineStr">
        <is>
          <t>PROD</t>
        </is>
      </c>
      <c r="E1249" s="13" t="inlineStr">
        <is>
          <t>Produksi Harian</t>
        </is>
      </c>
      <c r="F1249" s="170" t="n">
        <v>46302.87405092592</v>
      </c>
      <c r="G1249" s="13" t="inlineStr">
        <is>
          <t>FREE</t>
        </is>
      </c>
      <c r="H1249" s="170" t="n">
        <v>46333.25642361111</v>
      </c>
    </row>
    <row r="1250">
      <c r="A1250" s="13" t="inlineStr">
        <is>
          <t>MK00235</t>
        </is>
      </c>
      <c r="B1250" s="13" t="n">
        <v>528000052</v>
      </c>
      <c r="C1250" s="13" t="inlineStr">
        <is>
          <t>Mustopa</t>
        </is>
      </c>
      <c r="D1250" s="13" t="inlineStr">
        <is>
          <t>PROD</t>
        </is>
      </c>
      <c r="E1250" s="13" t="inlineStr">
        <is>
          <t>Produksi Harian</t>
        </is>
      </c>
      <c r="F1250" s="170" t="n">
        <v>46302.87659722222</v>
      </c>
      <c r="G1250" s="13" t="inlineStr">
        <is>
          <t>FREE</t>
        </is>
      </c>
      <c r="H1250" s="170" t="n">
        <v>46333.25259259259</v>
      </c>
    </row>
    <row r="1251">
      <c r="A1251" s="13" t="inlineStr">
        <is>
          <t>MK00185</t>
        </is>
      </c>
      <c r="B1251" s="13" t="n">
        <v>528000336</v>
      </c>
      <c r="C1251" s="13" t="inlineStr">
        <is>
          <t>Ali Nurhanafi</t>
        </is>
      </c>
      <c r="D1251" s="13" t="inlineStr">
        <is>
          <t>PROD</t>
        </is>
      </c>
      <c r="E1251" s="13" t="inlineStr">
        <is>
          <t>Produksi Harian</t>
        </is>
      </c>
      <c r="F1251" s="170" t="n">
        <v>46302.88258101852</v>
      </c>
      <c r="G1251" s="13" t="inlineStr">
        <is>
          <t>FREE</t>
        </is>
      </c>
      <c r="H1251" s="170" t="n">
        <v>46217.33141203703</v>
      </c>
    </row>
    <row r="1252">
      <c r="A1252" s="13" t="inlineStr">
        <is>
          <t>MK00108</t>
        </is>
      </c>
      <c r="B1252" s="13" t="n">
        <v>528000195</v>
      </c>
      <c r="C1252" s="13" t="inlineStr">
        <is>
          <t>Rahma Sariwati</t>
        </is>
      </c>
      <c r="D1252" s="13" t="inlineStr">
        <is>
          <t>PROD</t>
        </is>
      </c>
      <c r="E1252" s="13" t="inlineStr">
        <is>
          <t>Produksi Harian</t>
        </is>
      </c>
      <c r="F1252" s="170" t="n">
        <v>46302.89695601852</v>
      </c>
      <c r="G1252" s="13" t="inlineStr">
        <is>
          <t>FREE</t>
        </is>
      </c>
      <c r="H1252" s="170" t="n">
        <v>46333.25480324074</v>
      </c>
    </row>
    <row r="1253">
      <c r="A1253" s="13" t="inlineStr">
        <is>
          <t>MK00150</t>
        </is>
      </c>
      <c r="B1253" s="13" t="n">
        <v>528000266</v>
      </c>
      <c r="C1253" s="13" t="inlineStr">
        <is>
          <t>M. Syirajatieq</t>
        </is>
      </c>
      <c r="D1253" s="13" t="inlineStr">
        <is>
          <t>LOG</t>
        </is>
      </c>
      <c r="E1253" s="13" t="inlineStr">
        <is>
          <t>WFG Harian</t>
        </is>
      </c>
      <c r="F1253" s="170" t="n">
        <v>46302.90041666666</v>
      </c>
      <c r="G1253" s="13" t="inlineStr">
        <is>
          <t>FREE</t>
        </is>
      </c>
      <c r="H1253" s="170" t="n">
        <v>46333.28736111111</v>
      </c>
    </row>
    <row r="1254">
      <c r="A1254" s="13" t="inlineStr">
        <is>
          <t>MK00210</t>
        </is>
      </c>
      <c r="B1254" s="13" t="n">
        <v>528000262</v>
      </c>
      <c r="C1254" s="13" t="inlineStr">
        <is>
          <t>Ndari Dwiwanti</t>
        </is>
      </c>
      <c r="D1254" s="13" t="inlineStr">
        <is>
          <t>PROD</t>
        </is>
      </c>
      <c r="E1254" s="13" t="inlineStr">
        <is>
          <t>Produksi Harian</t>
        </is>
      </c>
      <c r="F1254" s="170" t="n">
        <v>46302.90277777778</v>
      </c>
      <c r="G1254" s="13" t="inlineStr">
        <is>
          <t>FREE</t>
        </is>
      </c>
      <c r="H1254" s="170" t="n">
        <v>46333.25334490741</v>
      </c>
    </row>
    <row r="1255">
      <c r="A1255" s="13" t="inlineStr">
        <is>
          <t>MK00209</t>
        </is>
      </c>
      <c r="B1255" s="13" t="n">
        <v>528000306</v>
      </c>
      <c r="C1255" s="13" t="inlineStr">
        <is>
          <t>Windy Olivia</t>
        </is>
      </c>
      <c r="D1255" s="13" t="inlineStr">
        <is>
          <t>PROD</t>
        </is>
      </c>
      <c r="E1255" s="13" t="inlineStr">
        <is>
          <t>Produksi Harian</t>
        </is>
      </c>
      <c r="F1255" s="170" t="n">
        <v>46302.90438657408</v>
      </c>
      <c r="G1255" s="13" t="inlineStr">
        <is>
          <t>FREE</t>
        </is>
      </c>
      <c r="H1255" s="170" t="n">
        <v>46333.25298611111</v>
      </c>
    </row>
    <row r="1256">
      <c r="A1256" s="13" t="inlineStr">
        <is>
          <t>MK00250</t>
        </is>
      </c>
      <c r="B1256" s="13" t="n">
        <v>528000358</v>
      </c>
      <c r="C1256" s="13" t="inlineStr">
        <is>
          <t>Lulu Agustin</t>
        </is>
      </c>
      <c r="D1256" s="13" t="inlineStr">
        <is>
          <t>PROD</t>
        </is>
      </c>
      <c r="E1256" s="13" t="inlineStr">
        <is>
          <t>Produksi Harian</t>
        </is>
      </c>
      <c r="F1256" s="170" t="n">
        <v>46302.9056712963</v>
      </c>
      <c r="G1256" s="13" t="inlineStr">
        <is>
          <t>FREE</t>
        </is>
      </c>
      <c r="H1256" s="170" t="n">
        <v>46333.2537037037</v>
      </c>
    </row>
    <row r="1257">
      <c r="A1257" s="13" t="inlineStr">
        <is>
          <t>MK00141</t>
        </is>
      </c>
      <c r="B1257" s="13" t="n">
        <v>528000261</v>
      </c>
      <c r="C1257" s="13" t="inlineStr">
        <is>
          <t>Ergi Ergianto</t>
        </is>
      </c>
      <c r="D1257" s="13" t="inlineStr">
        <is>
          <t>HRGA</t>
        </is>
      </c>
      <c r="E1257" s="13" t="inlineStr">
        <is>
          <t>GA Harian</t>
        </is>
      </c>
      <c r="F1257" s="170" t="n">
        <v>46302.90922453703</v>
      </c>
      <c r="G1257" s="13" t="inlineStr">
        <is>
          <t>FREE</t>
        </is>
      </c>
      <c r="H1257" s="170" t="n">
        <v>46333.25255787037</v>
      </c>
    </row>
    <row r="1258">
      <c r="A1258" s="13" t="inlineStr">
        <is>
          <t>MK00116</t>
        </is>
      </c>
      <c r="B1258" s="13" t="n">
        <v>528000283</v>
      </c>
      <c r="C1258" s="13" t="inlineStr">
        <is>
          <t>Purwanda Sugiri</t>
        </is>
      </c>
      <c r="D1258" s="13" t="inlineStr">
        <is>
          <t>LOG</t>
        </is>
      </c>
      <c r="E1258" s="13" t="inlineStr">
        <is>
          <t>WRM Harian</t>
        </is>
      </c>
      <c r="F1258" s="170" t="n">
        <v>46302.91275462963</v>
      </c>
      <c r="G1258" s="13" t="inlineStr">
        <is>
          <t>FREE</t>
        </is>
      </c>
      <c r="H1258" s="170" t="n">
        <v>46333.25358796296</v>
      </c>
    </row>
    <row r="1259">
      <c r="A1259" s="13" t="inlineStr">
        <is>
          <t>MK00113</t>
        </is>
      </c>
      <c r="B1259" s="13" t="n">
        <v>528000291</v>
      </c>
      <c r="C1259" s="13" t="inlineStr">
        <is>
          <t>Andrian</t>
        </is>
      </c>
      <c r="D1259" s="13" t="inlineStr">
        <is>
          <t>PROD</t>
        </is>
      </c>
      <c r="E1259" s="13" t="inlineStr">
        <is>
          <t>Produksi Harian</t>
        </is>
      </c>
      <c r="F1259" s="170" t="n">
        <v>46302.91302083333</v>
      </c>
      <c r="G1259" s="13" t="inlineStr">
        <is>
          <t>FREE</t>
        </is>
      </c>
      <c r="H1259" s="170" t="n">
        <v>46333.25267361111</v>
      </c>
    </row>
    <row r="1260">
      <c r="A1260" s="13" t="inlineStr">
        <is>
          <t>MK00230</t>
        </is>
      </c>
      <c r="B1260" s="13" t="n">
        <v>528000313</v>
      </c>
      <c r="C1260" s="13" t="inlineStr">
        <is>
          <t>Muhamad Rifki</t>
        </is>
      </c>
      <c r="D1260" s="13" t="inlineStr">
        <is>
          <t>PROD</t>
        </is>
      </c>
      <c r="E1260" s="13" t="inlineStr">
        <is>
          <t>Produksi Harian</t>
        </is>
      </c>
      <c r="F1260" s="170" t="n">
        <v>46333.22903935185</v>
      </c>
      <c r="G1260" s="13" t="inlineStr">
        <is>
          <t>FREE</t>
        </is>
      </c>
      <c r="H1260" s="170" t="n">
        <v>46333.58699074074</v>
      </c>
    </row>
    <row r="1261">
      <c r="A1261" s="13" t="inlineStr">
        <is>
          <t>MK00160</t>
        </is>
      </c>
      <c r="B1261" s="13" t="n">
        <v>528000299</v>
      </c>
      <c r="C1261" s="13" t="inlineStr">
        <is>
          <t>Siti Nurjanah</t>
        </is>
      </c>
      <c r="D1261" s="13" t="inlineStr">
        <is>
          <t>PROD</t>
        </is>
      </c>
      <c r="E1261" s="13" t="inlineStr">
        <is>
          <t>Produksi Harian</t>
        </is>
      </c>
      <c r="F1261" s="170" t="n">
        <v>46333.23111111111</v>
      </c>
      <c r="G1261" s="13" t="inlineStr">
        <is>
          <t>FREE</t>
        </is>
      </c>
      <c r="H1261" s="170" t="n">
        <v>46333.58744212963</v>
      </c>
    </row>
    <row r="1262">
      <c r="A1262" s="13" t="inlineStr">
        <is>
          <t>MK00008</t>
        </is>
      </c>
      <c r="B1262" s="13" t="n">
        <v>528000305</v>
      </c>
      <c r="C1262" s="13" t="inlineStr">
        <is>
          <t>Puji Puspita</t>
        </is>
      </c>
      <c r="D1262" s="13" t="inlineStr">
        <is>
          <t>PROD</t>
        </is>
      </c>
      <c r="E1262" s="13" t="inlineStr">
        <is>
          <t>Produksi Harian</t>
        </is>
      </c>
      <c r="F1262" s="170" t="n">
        <v>46333.23143518518</v>
      </c>
      <c r="G1262" s="13" t="inlineStr">
        <is>
          <t>FREE</t>
        </is>
      </c>
      <c r="H1262" s="170" t="n">
        <v>46333.58627314815</v>
      </c>
    </row>
    <row r="1263">
      <c r="A1263" s="13" t="inlineStr">
        <is>
          <t>MK00213</t>
        </is>
      </c>
      <c r="B1263" s="13" t="n">
        <v>528000270</v>
      </c>
      <c r="C1263" s="13" t="inlineStr">
        <is>
          <t>Febri Najmudin</t>
        </is>
      </c>
      <c r="D1263" s="13" t="inlineStr">
        <is>
          <t>LOG</t>
        </is>
      </c>
      <c r="E1263" s="13" t="inlineStr">
        <is>
          <t>WRM Harian</t>
        </is>
      </c>
      <c r="F1263" s="170" t="n">
        <v>46333.24172453704</v>
      </c>
      <c r="G1263" s="13" t="inlineStr">
        <is>
          <t>FREE</t>
        </is>
      </c>
      <c r="H1263" s="170" t="n">
        <v>46333.60079861111</v>
      </c>
    </row>
    <row r="1264">
      <c r="A1264" s="13" t="inlineStr">
        <is>
          <t>MK00181</t>
        </is>
      </c>
      <c r="B1264" s="13" t="n">
        <v>528000340</v>
      </c>
      <c r="C1264" s="13" t="inlineStr">
        <is>
          <t>Muhammad Wildan Adithya</t>
        </is>
      </c>
      <c r="D1264" s="13" t="inlineStr">
        <is>
          <t>PROD</t>
        </is>
      </c>
      <c r="E1264" s="13" t="inlineStr">
        <is>
          <t>Produksi Harian</t>
        </is>
      </c>
      <c r="F1264" s="170" t="n">
        <v>46333.24282407408</v>
      </c>
      <c r="G1264" s="13" t="inlineStr">
        <is>
          <t>FREE</t>
        </is>
      </c>
      <c r="H1264" s="170" t="n">
        <v>46333.58881944444</v>
      </c>
    </row>
    <row r="1265">
      <c r="A1265" s="13" t="inlineStr">
        <is>
          <t>MK00148</t>
        </is>
      </c>
      <c r="B1265" s="13" t="n">
        <v>528000318</v>
      </c>
      <c r="C1265" s="13" t="inlineStr">
        <is>
          <t>Bayu Padli Sepriyana</t>
        </is>
      </c>
      <c r="D1265" s="13" t="inlineStr">
        <is>
          <t>LOG</t>
        </is>
      </c>
      <c r="E1265" s="13" t="inlineStr">
        <is>
          <t>WRM Harian</t>
        </is>
      </c>
      <c r="F1265" s="170" t="n">
        <v>46333.24302083333</v>
      </c>
      <c r="G1265" s="13" t="inlineStr">
        <is>
          <t>FREE</t>
        </is>
      </c>
      <c r="H1265" s="170" t="n">
        <v>46333.58601851852</v>
      </c>
    </row>
    <row r="1266">
      <c r="A1266" s="13" t="inlineStr">
        <is>
          <t>MK00212</t>
        </is>
      </c>
      <c r="B1266" s="13" t="n">
        <v>528000309</v>
      </c>
      <c r="C1266" s="13" t="inlineStr">
        <is>
          <t>Ilham Ramadhan</t>
        </is>
      </c>
      <c r="D1266" s="13" t="inlineStr">
        <is>
          <t>LOG</t>
        </is>
      </c>
      <c r="E1266" s="13" t="inlineStr">
        <is>
          <t>WRM Harian</t>
        </is>
      </c>
      <c r="F1266" s="170" t="n">
        <v>46333.24684027778</v>
      </c>
      <c r="G1266" s="13" t="inlineStr">
        <is>
          <t>FREE</t>
        </is>
      </c>
      <c r="H1266" s="170" t="n">
        <v>46333.58729166666</v>
      </c>
    </row>
    <row r="1267">
      <c r="A1267" s="13" t="inlineStr">
        <is>
          <t>MK00210</t>
        </is>
      </c>
      <c r="B1267" s="13" t="n">
        <v>528000282</v>
      </c>
      <c r="C1267" s="13" t="inlineStr">
        <is>
          <t>Defa Desfiana</t>
        </is>
      </c>
      <c r="D1267" s="13" t="inlineStr">
        <is>
          <t>PROD</t>
        </is>
      </c>
      <c r="E1267" s="13" t="inlineStr">
        <is>
          <t>Produksi Harian</t>
        </is>
      </c>
      <c r="F1267" s="170" t="n">
        <v>46333.3161574074</v>
      </c>
      <c r="G1267" s="13" t="inlineStr">
        <is>
          <t>FREE</t>
        </is>
      </c>
      <c r="H1267" s="170" t="n">
        <v>46333.54241898148</v>
      </c>
    </row>
    <row r="1268">
      <c r="A1268" s="13" t="inlineStr">
        <is>
          <t>MK00113</t>
        </is>
      </c>
      <c r="B1268" s="13" t="n">
        <v>528000265</v>
      </c>
      <c r="C1268" s="13" t="inlineStr">
        <is>
          <t>Muhammad Haerul Rozikin</t>
        </is>
      </c>
      <c r="D1268" s="13" t="inlineStr">
        <is>
          <t>LOG</t>
        </is>
      </c>
      <c r="E1268" s="13" t="inlineStr">
        <is>
          <t>WRM Harian</t>
        </is>
      </c>
      <c r="F1268" s="170" t="n">
        <v>46333.32554398148</v>
      </c>
      <c r="G1268" s="13" t="inlineStr">
        <is>
          <t>FREE</t>
        </is>
      </c>
      <c r="H1268" s="170" t="n">
        <v>46333.54667824074</v>
      </c>
    </row>
    <row r="1269">
      <c r="A1269" s="13" t="inlineStr">
        <is>
          <t>MK00250</t>
        </is>
      </c>
      <c r="B1269" s="13" t="n">
        <v>528000310</v>
      </c>
      <c r="C1269" s="13" t="inlineStr">
        <is>
          <t>Fachrul Rozzi Suryana</t>
        </is>
      </c>
      <c r="D1269" s="13" t="inlineStr">
        <is>
          <t>LOG</t>
        </is>
      </c>
      <c r="E1269" s="13" t="inlineStr">
        <is>
          <t>WRM Harian</t>
        </is>
      </c>
      <c r="F1269" s="170" t="n">
        <v>46333.32989583333</v>
      </c>
      <c r="G1269" s="13" t="inlineStr">
        <is>
          <t>FREE</t>
        </is>
      </c>
      <c r="H1269" s="170" t="n">
        <v>46333.54349537037</v>
      </c>
    </row>
    <row r="1270">
      <c r="A1270" s="13" t="inlineStr">
        <is>
          <t>MK00204</t>
        </is>
      </c>
      <c r="B1270" s="13" t="n">
        <v>528000232</v>
      </c>
      <c r="C1270" s="13" t="inlineStr">
        <is>
          <t>Agung Aji Suhada</t>
        </is>
      </c>
      <c r="D1270" s="13" t="inlineStr">
        <is>
          <t>LOG</t>
        </is>
      </c>
      <c r="E1270" s="13" t="inlineStr">
        <is>
          <t>WRM Harian</t>
        </is>
      </c>
      <c r="F1270" s="170" t="n">
        <v>46333.36991898148</v>
      </c>
      <c r="G1270" s="13" t="inlineStr">
        <is>
          <t>FREE</t>
        </is>
      </c>
      <c r="H1270" s="170" t="n">
        <v>46333.58650462963</v>
      </c>
    </row>
    <row r="1271">
      <c r="A1271" s="13" t="inlineStr">
        <is>
          <t>MK0130</t>
        </is>
      </c>
      <c r="B1271" s="13" t="n">
        <v>528000149</v>
      </c>
      <c r="C1271" s="13" t="inlineStr">
        <is>
          <t>Tio Fernanda</t>
        </is>
      </c>
      <c r="D1271" s="13" t="inlineStr">
        <is>
          <t>LOG</t>
        </is>
      </c>
      <c r="E1271" s="13" t="inlineStr">
        <is>
          <t>WRM Harian</t>
        </is>
      </c>
      <c r="F1271" s="170" t="n">
        <v>46333.37608796296</v>
      </c>
      <c r="G1271" s="13" t="inlineStr">
        <is>
          <t>FREE</t>
        </is>
      </c>
      <c r="H1271" s="170" t="n">
        <v>46216.0712037037</v>
      </c>
    </row>
    <row r="1272">
      <c r="A1272" s="13" t="inlineStr">
        <is>
          <t>MK00228</t>
        </is>
      </c>
      <c r="B1272" s="13" t="n">
        <v>528000132</v>
      </c>
      <c r="C1272" s="13" t="inlineStr">
        <is>
          <t>Giopani</t>
        </is>
      </c>
      <c r="D1272" s="13" t="inlineStr">
        <is>
          <t>LOG</t>
        </is>
      </c>
      <c r="E1272" s="13" t="inlineStr">
        <is>
          <t>WRM Harian</t>
        </is>
      </c>
      <c r="F1272" s="170" t="n">
        <v>46333.37615740741</v>
      </c>
      <c r="G1272" s="13" t="inlineStr">
        <is>
          <t>FREE</t>
        </is>
      </c>
      <c r="H1272" s="170" t="n">
        <v>46333.58594907408</v>
      </c>
    </row>
    <row r="1273">
      <c r="A1273" s="13" t="inlineStr">
        <is>
          <t>MK00214</t>
        </is>
      </c>
      <c r="B1273" s="13" t="n">
        <v>528000015</v>
      </c>
      <c r="C1273" s="13" t="inlineStr">
        <is>
          <t>Erwin</t>
        </is>
      </c>
      <c r="D1273" s="13" t="inlineStr">
        <is>
          <t>LOG</t>
        </is>
      </c>
      <c r="E1273" s="13" t="inlineStr">
        <is>
          <t>WRM Harian</t>
        </is>
      </c>
      <c r="F1273" s="170" t="n">
        <v>46333.5283449074</v>
      </c>
      <c r="G1273" s="13" t="inlineStr">
        <is>
          <t>FREE</t>
        </is>
      </c>
      <c r="H1273" s="170" t="n">
        <v>46215.74585648148</v>
      </c>
    </row>
    <row r="1274">
      <c r="A1274" s="13" t="inlineStr">
        <is>
          <t>MK00125</t>
        </is>
      </c>
      <c r="B1274" s="13" t="n">
        <v>528000314</v>
      </c>
      <c r="C1274" s="13" t="inlineStr">
        <is>
          <t>Rusmana</t>
        </is>
      </c>
      <c r="D1274" s="13" t="inlineStr">
        <is>
          <t>PROD</t>
        </is>
      </c>
      <c r="E1274" s="13" t="inlineStr">
        <is>
          <t>Produksi Harian</t>
        </is>
      </c>
      <c r="F1274" s="170" t="n">
        <v>46333.5334375</v>
      </c>
      <c r="G1274" s="13" t="inlineStr">
        <is>
          <t>FREE</t>
        </is>
      </c>
      <c r="H1274" s="170" t="n">
        <v>46333.75204861111</v>
      </c>
    </row>
    <row r="1275">
      <c r="A1275" s="13" t="inlineStr">
        <is>
          <t>MK00221</t>
        </is>
      </c>
      <c r="B1275" s="13" t="n">
        <v>528000144</v>
      </c>
      <c r="C1275" s="13" t="inlineStr">
        <is>
          <t>Jodi Hanafi</t>
        </is>
      </c>
      <c r="D1275" s="13" t="inlineStr">
        <is>
          <t>LOG</t>
        </is>
      </c>
      <c r="E1275" s="13" t="inlineStr">
        <is>
          <t>WRM Harian</t>
        </is>
      </c>
      <c r="F1275" s="170" t="n">
        <v>46333.53527777778</v>
      </c>
      <c r="G1275" s="13" t="inlineStr">
        <is>
          <t>FREE</t>
        </is>
      </c>
      <c r="H1275" s="170" t="n">
        <v>46215.74855324074</v>
      </c>
    </row>
    <row r="1276">
      <c r="A1276" s="13" t="inlineStr">
        <is>
          <t>MK00205</t>
        </is>
      </c>
      <c r="B1276" s="13" t="n">
        <v>528000348</v>
      </c>
      <c r="C1276" s="13" t="inlineStr">
        <is>
          <t>Saepuloh Ardiansah</t>
        </is>
      </c>
      <c r="D1276" s="13" t="inlineStr">
        <is>
          <t>LOG</t>
        </is>
      </c>
      <c r="E1276" s="13" t="inlineStr">
        <is>
          <t>WRM Harian</t>
        </is>
      </c>
      <c r="F1276" s="170" t="n">
        <v>46333.5427662037</v>
      </c>
      <c r="G1276" s="13" t="inlineStr">
        <is>
          <t>FREE</t>
        </is>
      </c>
      <c r="H1276" s="170" t="n">
        <v>46333.75157407407</v>
      </c>
    </row>
    <row r="1277">
      <c r="A1277" s="13" t="inlineStr">
        <is>
          <t>MK00154</t>
        </is>
      </c>
      <c r="B1277" s="13" t="n">
        <v>528000248</v>
      </c>
      <c r="C1277" s="13" t="inlineStr">
        <is>
          <t>Roka Jaya Salka Mulya</t>
        </is>
      </c>
      <c r="D1277" s="13" t="inlineStr">
        <is>
          <t>PROD</t>
        </is>
      </c>
      <c r="E1277" s="13" t="inlineStr">
        <is>
          <t>Produksi Harian</t>
        </is>
      </c>
      <c r="F1277" s="170" t="n">
        <v>46333.56298611111</v>
      </c>
      <c r="G1277" s="13" t="inlineStr">
        <is>
          <t>FREE</t>
        </is>
      </c>
      <c r="H1277" s="170" t="n">
        <v>46333.91746527778</v>
      </c>
    </row>
    <row r="1278">
      <c r="A1278" s="13" t="inlineStr">
        <is>
          <t>MK00249</t>
        </is>
      </c>
      <c r="B1278" s="13" t="n">
        <v>528000297</v>
      </c>
      <c r="C1278" s="13" t="inlineStr">
        <is>
          <t>Muhamad Budiana</t>
        </is>
      </c>
      <c r="D1278" s="13" t="inlineStr">
        <is>
          <t>PROD</t>
        </is>
      </c>
      <c r="E1278" s="13" t="inlineStr">
        <is>
          <t>Produksi Harian</t>
        </is>
      </c>
      <c r="F1278" s="170" t="n">
        <v>46333.56612268519</v>
      </c>
      <c r="G1278" s="13" t="inlineStr">
        <is>
          <t>FREE</t>
        </is>
      </c>
      <c r="H1278" s="170" t="n">
        <v>46333.95282407408</v>
      </c>
    </row>
    <row r="1279">
      <c r="A1279" s="13" t="inlineStr">
        <is>
          <t>MK00210</t>
        </is>
      </c>
      <c r="B1279" s="13" t="n">
        <v>528000323</v>
      </c>
      <c r="C1279" s="13" t="inlineStr">
        <is>
          <t>Dian Hamidah</t>
        </is>
      </c>
      <c r="D1279" s="13" t="inlineStr">
        <is>
          <t>PROD</t>
        </is>
      </c>
      <c r="E1279" s="13" t="inlineStr">
        <is>
          <t>Produksi Harian</t>
        </is>
      </c>
      <c r="F1279" s="170" t="n">
        <v>46333.56875</v>
      </c>
      <c r="G1279" s="13" t="inlineStr">
        <is>
          <t>FREE</t>
        </is>
      </c>
      <c r="H1279" s="170" t="n">
        <v>46333.92519675926</v>
      </c>
    </row>
    <row r="1280">
      <c r="A1280" s="13" t="inlineStr">
        <is>
          <t>MK00192</t>
        </is>
      </c>
      <c r="B1280" s="13" t="n">
        <v>528000332</v>
      </c>
      <c r="C1280" s="13" t="inlineStr">
        <is>
          <t>Ena Indriani</t>
        </is>
      </c>
      <c r="D1280" s="13" t="inlineStr">
        <is>
          <t>PROD</t>
        </is>
      </c>
      <c r="E1280" s="13" t="inlineStr">
        <is>
          <t>Produksi Harian</t>
        </is>
      </c>
      <c r="F1280" s="170" t="n">
        <v>46333.56894675926</v>
      </c>
      <c r="G1280" s="13" t="inlineStr">
        <is>
          <t>FREE</t>
        </is>
      </c>
      <c r="H1280" s="170" t="n">
        <v>46363.57138888889</v>
      </c>
    </row>
    <row r="1281">
      <c r="A1281" s="13" t="inlineStr">
        <is>
          <t>MK00109</t>
        </is>
      </c>
      <c r="B1281" s="13" t="n">
        <v>528000300</v>
      </c>
      <c r="C1281" s="13" t="inlineStr">
        <is>
          <t>Lia pitaloka</t>
        </is>
      </c>
      <c r="D1281" s="13" t="inlineStr">
        <is>
          <t>PROD</t>
        </is>
      </c>
      <c r="E1281" s="13" t="inlineStr">
        <is>
          <t>Produksi Harian</t>
        </is>
      </c>
      <c r="F1281" s="170" t="n">
        <v>46333.57877314815</v>
      </c>
      <c r="G1281" s="13" t="inlineStr">
        <is>
          <t>FREE</t>
        </is>
      </c>
      <c r="H1281" s="170" t="n">
        <v>46333.91902777777</v>
      </c>
    </row>
    <row r="1282">
      <c r="A1282" s="13" t="inlineStr">
        <is>
          <t>MK00082</t>
        </is>
      </c>
      <c r="B1282" s="13" t="n">
        <v>528000279</v>
      </c>
      <c r="C1282" s="13" t="inlineStr">
        <is>
          <t>Mahdalena Dalfa Riani</t>
        </is>
      </c>
      <c r="D1282" s="13" t="inlineStr">
        <is>
          <t>PROD</t>
        </is>
      </c>
      <c r="E1282" s="13" t="inlineStr">
        <is>
          <t>Produksi Harian</t>
        </is>
      </c>
      <c r="F1282" s="170" t="n">
        <v>46333.57946759259</v>
      </c>
      <c r="G1282" s="13" t="inlineStr">
        <is>
          <t>FREE</t>
        </is>
      </c>
      <c r="H1282" s="170" t="n">
        <v>46333.91964120371</v>
      </c>
    </row>
    <row r="1283">
      <c r="A1283" s="13" t="inlineStr">
        <is>
          <t>MK00136</t>
        </is>
      </c>
      <c r="B1283" s="13" t="n">
        <v>628000064</v>
      </c>
      <c r="C1283" s="13" t="inlineStr">
        <is>
          <t>Silva Alypia</t>
        </is>
      </c>
      <c r="D1283" s="13" t="inlineStr">
        <is>
          <t>PROD</t>
        </is>
      </c>
      <c r="E1283" s="13" t="inlineStr">
        <is>
          <t>Produksi Borongan</t>
        </is>
      </c>
      <c r="F1283" s="170" t="n">
        <v>46333.58236111111</v>
      </c>
      <c r="G1283" s="13" t="inlineStr">
        <is>
          <t>FREE</t>
        </is>
      </c>
      <c r="H1283" s="170" t="n">
        <v>46333.91934027777</v>
      </c>
    </row>
    <row r="1284">
      <c r="A1284" s="13" t="inlineStr">
        <is>
          <t>MK00108</t>
        </is>
      </c>
      <c r="B1284" s="13" t="n">
        <v>528000337</v>
      </c>
      <c r="C1284" s="13" t="inlineStr">
        <is>
          <t>Ahmad Zaldi Firdaus</t>
        </is>
      </c>
      <c r="D1284" s="13" t="inlineStr">
        <is>
          <t>PROD</t>
        </is>
      </c>
      <c r="E1284" s="13" t="inlineStr">
        <is>
          <t>Produksi Harian</t>
        </is>
      </c>
      <c r="F1284" s="170" t="n">
        <v>46333.86862268519</v>
      </c>
      <c r="G1284" s="13" t="inlineStr">
        <is>
          <t>FREE</t>
        </is>
      </c>
      <c r="H1284" s="170" t="n">
        <v>46363.25693287037</v>
      </c>
    </row>
    <row r="1285">
      <c r="A1285" s="13" t="inlineStr">
        <is>
          <t>MK00126</t>
        </is>
      </c>
      <c r="B1285" s="13" t="n">
        <v>528000052</v>
      </c>
      <c r="C1285" s="13" t="inlineStr">
        <is>
          <t>Mustopa</t>
        </is>
      </c>
      <c r="D1285" s="13" t="inlineStr">
        <is>
          <t>PROD</t>
        </is>
      </c>
      <c r="E1285" s="13" t="inlineStr">
        <is>
          <t>Produksi Harian</t>
        </is>
      </c>
      <c r="F1285" s="170" t="n">
        <v>46333.87710648148</v>
      </c>
      <c r="G1285" s="13" t="inlineStr">
        <is>
          <t>FREE</t>
        </is>
      </c>
      <c r="H1285" s="170" t="n">
        <v>46363.25248842593</v>
      </c>
    </row>
    <row r="1286">
      <c r="A1286" s="13" t="inlineStr">
        <is>
          <t>MK00204</t>
        </is>
      </c>
      <c r="B1286" s="13" t="n">
        <v>528000266</v>
      </c>
      <c r="C1286" s="13" t="inlineStr">
        <is>
          <t>M. Syirajatieq</t>
        </is>
      </c>
      <c r="D1286" s="13" t="inlineStr">
        <is>
          <t>LOG</t>
        </is>
      </c>
      <c r="E1286" s="13" t="inlineStr">
        <is>
          <t>WFG Harian</t>
        </is>
      </c>
      <c r="F1286" s="170" t="n">
        <v>46333.90184027778</v>
      </c>
      <c r="G1286" s="13" t="inlineStr">
        <is>
          <t>FREE</t>
        </is>
      </c>
      <c r="H1286" s="170" t="n">
        <v>46363.27371527778</v>
      </c>
    </row>
    <row r="1287">
      <c r="A1287" s="13" t="inlineStr">
        <is>
          <t>MK00230</t>
        </is>
      </c>
      <c r="B1287" s="13" t="n">
        <v>528000358</v>
      </c>
      <c r="C1287" s="13" t="inlineStr">
        <is>
          <t>Lulu Agustin</t>
        </is>
      </c>
      <c r="D1287" s="13" t="inlineStr">
        <is>
          <t>PROD</t>
        </is>
      </c>
      <c r="E1287" s="13" t="inlineStr">
        <is>
          <t>Produksi Harian</t>
        </is>
      </c>
      <c r="F1287" s="170" t="n">
        <v>46333.90265046297</v>
      </c>
      <c r="G1287" s="13" t="inlineStr">
        <is>
          <t>FREE</t>
        </is>
      </c>
      <c r="H1287" s="170" t="n">
        <v>46363.25090277778</v>
      </c>
    </row>
    <row r="1288">
      <c r="A1288" s="13" t="inlineStr">
        <is>
          <t>MK00203</t>
        </is>
      </c>
      <c r="B1288" s="13" t="n">
        <v>528000306</v>
      </c>
      <c r="C1288" s="13" t="inlineStr">
        <is>
          <t>Windy Olivia</t>
        </is>
      </c>
      <c r="D1288" s="13" t="inlineStr">
        <is>
          <t>PROD</t>
        </is>
      </c>
      <c r="E1288" s="13" t="inlineStr">
        <is>
          <t>Produksi Harian</t>
        </is>
      </c>
      <c r="F1288" s="170" t="n">
        <v>46333.90326388889</v>
      </c>
      <c r="G1288" s="13" t="inlineStr">
        <is>
          <t>FREE</t>
        </is>
      </c>
      <c r="H1288" s="170" t="n">
        <v>46363.25229166666</v>
      </c>
    </row>
    <row r="1289">
      <c r="A1289" s="13" t="inlineStr">
        <is>
          <t>MK00008</t>
        </is>
      </c>
      <c r="B1289" s="13" t="n">
        <v>528000262</v>
      </c>
      <c r="C1289" s="13" t="inlineStr">
        <is>
          <t>Ndari Dwiwanti</t>
        </is>
      </c>
      <c r="D1289" s="13" t="inlineStr">
        <is>
          <t>PROD</t>
        </is>
      </c>
      <c r="E1289" s="13" t="inlineStr">
        <is>
          <t>Produksi Harian</t>
        </is>
      </c>
      <c r="F1289" s="170" t="n">
        <v>46333.90399305556</v>
      </c>
      <c r="G1289" s="13" t="inlineStr">
        <is>
          <t>FREE</t>
        </is>
      </c>
      <c r="H1289" s="170" t="n">
        <v>46363.2505787037</v>
      </c>
    </row>
    <row r="1290">
      <c r="A1290" s="13" t="inlineStr">
        <is>
          <t>MK00148</t>
        </is>
      </c>
      <c r="B1290" s="13" t="n">
        <v>528000195</v>
      </c>
      <c r="C1290" s="13" t="inlineStr">
        <is>
          <t>Rahma Sariwati</t>
        </is>
      </c>
      <c r="D1290" s="13" t="inlineStr">
        <is>
          <t>PROD</t>
        </is>
      </c>
      <c r="E1290" s="13" t="inlineStr">
        <is>
          <t>Produksi Harian</t>
        </is>
      </c>
      <c r="F1290" s="170" t="n">
        <v>46333.90450231481</v>
      </c>
      <c r="G1290" s="13" t="inlineStr">
        <is>
          <t>FREE</t>
        </is>
      </c>
      <c r="H1290" s="170" t="n">
        <v>46363.25185185186</v>
      </c>
    </row>
    <row r="1291">
      <c r="A1291" s="13" t="inlineStr">
        <is>
          <t>MK00202</t>
        </is>
      </c>
      <c r="B1291" s="13" t="n">
        <v>528000261</v>
      </c>
      <c r="C1291" s="13" t="inlineStr">
        <is>
          <t>Ergi Ergianto</t>
        </is>
      </c>
      <c r="D1291" s="13" t="inlineStr">
        <is>
          <t>HRGA</t>
        </is>
      </c>
      <c r="E1291" s="13" t="inlineStr">
        <is>
          <t>GA Harian</t>
        </is>
      </c>
      <c r="F1291" s="170" t="n">
        <v>46333.90733796296</v>
      </c>
      <c r="G1291" s="13" t="inlineStr">
        <is>
          <t>FREE</t>
        </is>
      </c>
      <c r="H1291" s="170" t="n">
        <v>46363.25248842593</v>
      </c>
    </row>
    <row r="1292">
      <c r="A1292" s="13" t="inlineStr">
        <is>
          <t>MK00145</t>
        </is>
      </c>
      <c r="B1292" s="13" t="n">
        <v>528000283</v>
      </c>
      <c r="C1292" s="13" t="inlineStr">
        <is>
          <t>Purwanda Sugiri</t>
        </is>
      </c>
      <c r="D1292" s="13" t="inlineStr">
        <is>
          <t>LOG</t>
        </is>
      </c>
      <c r="E1292" s="13" t="inlineStr">
        <is>
          <t>WRM Harian</t>
        </is>
      </c>
      <c r="F1292" s="170" t="n">
        <v>46333.91005787037</v>
      </c>
      <c r="G1292" s="13" t="inlineStr">
        <is>
          <t>FREE</t>
        </is>
      </c>
      <c r="H1292" s="170" t="n">
        <v>46363.25190972222</v>
      </c>
    </row>
    <row r="1293">
      <c r="A1293" s="13" t="inlineStr">
        <is>
          <t>MK00134</t>
        </is>
      </c>
      <c r="B1293" s="13" t="n">
        <v>528000291</v>
      </c>
      <c r="C1293" s="13" t="inlineStr">
        <is>
          <t>Andrian</t>
        </is>
      </c>
      <c r="D1293" s="13" t="inlineStr">
        <is>
          <t>PROD</t>
        </is>
      </c>
      <c r="E1293" s="13" t="inlineStr">
        <is>
          <t>Produksi Harian</t>
        </is>
      </c>
      <c r="F1293" s="170" t="n">
        <v>46333.91074074074</v>
      </c>
      <c r="G1293" s="13" t="inlineStr">
        <is>
          <t>FREE</t>
        </is>
      </c>
      <c r="H1293" s="170" t="n">
        <v>46363.25234953704</v>
      </c>
    </row>
    <row r="1294">
      <c r="A1294" s="13" t="inlineStr">
        <is>
          <t>MK00138</t>
        </is>
      </c>
      <c r="B1294" s="13" t="n">
        <v>528000313</v>
      </c>
      <c r="C1294" s="13" t="inlineStr">
        <is>
          <t>Muhamad Rifki</t>
        </is>
      </c>
      <c r="D1294" s="13" t="inlineStr">
        <is>
          <t>PROD</t>
        </is>
      </c>
      <c r="E1294" s="13" t="inlineStr">
        <is>
          <t>Produksi Harian</t>
        </is>
      </c>
      <c r="F1294" s="170" t="n">
        <v>46363.23646990741</v>
      </c>
      <c r="G1294" s="13" t="inlineStr">
        <is>
          <t>FREE</t>
        </is>
      </c>
      <c r="H1294" s="170" t="n">
        <v>46363.58568287037</v>
      </c>
    </row>
    <row r="1295">
      <c r="A1295" s="13" t="inlineStr">
        <is>
          <t>MK00154</t>
        </is>
      </c>
      <c r="B1295" s="13" t="n">
        <v>528000299</v>
      </c>
      <c r="C1295" s="13" t="inlineStr">
        <is>
          <t>Siti Nurjanah</t>
        </is>
      </c>
      <c r="D1295" s="13" t="inlineStr">
        <is>
          <t>PROD</t>
        </is>
      </c>
      <c r="E1295" s="13" t="inlineStr">
        <is>
          <t>Produksi Harian</t>
        </is>
      </c>
      <c r="F1295" s="170" t="n">
        <v>46363.23663194444</v>
      </c>
      <c r="G1295" s="13" t="inlineStr">
        <is>
          <t>FREE</t>
        </is>
      </c>
      <c r="H1295" s="170" t="n">
        <v>46363.58773148148</v>
      </c>
    </row>
    <row r="1296">
      <c r="A1296" s="13" t="inlineStr">
        <is>
          <t>MK00121</t>
        </is>
      </c>
      <c r="B1296" s="13" t="n">
        <v>528000305</v>
      </c>
      <c r="C1296" s="13" t="inlineStr">
        <is>
          <t>Puji Puspita</t>
        </is>
      </c>
      <c r="D1296" s="13" t="inlineStr">
        <is>
          <t>PROD</t>
        </is>
      </c>
      <c r="E1296" s="13" t="inlineStr">
        <is>
          <t>Produksi Harian</t>
        </is>
      </c>
      <c r="F1296" s="170" t="n">
        <v>46363.23695601852</v>
      </c>
      <c r="G1296" s="13" t="inlineStr">
        <is>
          <t>FREE</t>
        </is>
      </c>
      <c r="H1296" s="170" t="n">
        <v>46363.58454861111</v>
      </c>
    </row>
    <row r="1297">
      <c r="A1297" s="13" t="inlineStr">
        <is>
          <t>MK00136</t>
        </is>
      </c>
      <c r="B1297" s="13" t="n">
        <v>528000244</v>
      </c>
      <c r="C1297" s="13" t="inlineStr">
        <is>
          <t>Rodian Rifai</t>
        </is>
      </c>
      <c r="D1297" s="13" t="inlineStr">
        <is>
          <t>PROD</t>
        </is>
      </c>
      <c r="E1297" s="13" t="inlineStr">
        <is>
          <t>Produksi Harian</t>
        </is>
      </c>
      <c r="F1297" s="170" t="n">
        <v>46363.24091435185</v>
      </c>
      <c r="G1297" s="13" t="inlineStr">
        <is>
          <t>FREE</t>
        </is>
      </c>
      <c r="H1297" s="170" t="n">
        <v>46363.92928240741</v>
      </c>
    </row>
    <row r="1298">
      <c r="A1298" s="13" t="inlineStr">
        <is>
          <t>MK00158</t>
        </is>
      </c>
      <c r="B1298" s="13" t="n">
        <v>528000302</v>
      </c>
      <c r="C1298" s="13" t="inlineStr">
        <is>
          <t>Henkey gumilar</t>
        </is>
      </c>
      <c r="D1298" s="13" t="inlineStr">
        <is>
          <t>PROD</t>
        </is>
      </c>
      <c r="E1298" s="13" t="inlineStr">
        <is>
          <t>Produksi Harian</t>
        </is>
      </c>
      <c r="F1298" s="170" t="n">
        <v>46363.2421412037</v>
      </c>
      <c r="G1298" s="13" t="inlineStr">
        <is>
          <t>FREE</t>
        </is>
      </c>
      <c r="H1298" s="170" t="n">
        <v>46363.58769675926</v>
      </c>
    </row>
    <row r="1299">
      <c r="A1299" s="13" t="inlineStr">
        <is>
          <t>MK00249</t>
        </is>
      </c>
      <c r="B1299" s="13" t="n">
        <v>528000340</v>
      </c>
      <c r="C1299" s="13" t="inlineStr">
        <is>
          <t>Muhammad Wildan Adithya</t>
        </is>
      </c>
      <c r="D1299" s="13" t="inlineStr">
        <is>
          <t>PROD</t>
        </is>
      </c>
      <c r="E1299" s="13" t="inlineStr">
        <is>
          <t>Produksi Harian</t>
        </is>
      </c>
      <c r="F1299" s="170" t="n">
        <v>46363.2424537037</v>
      </c>
      <c r="G1299" s="13" t="inlineStr">
        <is>
          <t>FREE</t>
        </is>
      </c>
      <c r="H1299" s="170" t="n">
        <v>46363.59065972222</v>
      </c>
    </row>
    <row r="1300">
      <c r="A1300" s="13" t="inlineStr">
        <is>
          <t>MK00210</t>
        </is>
      </c>
      <c r="B1300" s="13" t="n">
        <v>528000318</v>
      </c>
      <c r="C1300" s="13" t="inlineStr">
        <is>
          <t>Bayu Padli Sepriyana</t>
        </is>
      </c>
      <c r="D1300" s="13" t="inlineStr">
        <is>
          <t>LOG</t>
        </is>
      </c>
      <c r="E1300" s="13" t="inlineStr">
        <is>
          <t>WRM Harian</t>
        </is>
      </c>
      <c r="F1300" s="170" t="n">
        <v>46363.24252314815</v>
      </c>
      <c r="G1300" s="13" t="inlineStr">
        <is>
          <t>FREE</t>
        </is>
      </c>
      <c r="H1300" s="170" t="n">
        <v>46215.786875</v>
      </c>
    </row>
    <row r="1301">
      <c r="A1301" s="13" t="inlineStr">
        <is>
          <t>MK00141</t>
        </is>
      </c>
      <c r="B1301" s="13" t="n">
        <v>528000361</v>
      </c>
      <c r="C1301" s="13" t="inlineStr">
        <is>
          <t>Denada Munggarani</t>
        </is>
      </c>
      <c r="D1301" s="13" t="inlineStr">
        <is>
          <t>PROD</t>
        </is>
      </c>
      <c r="E1301" s="13" t="inlineStr">
        <is>
          <t>Produksi Harian</t>
        </is>
      </c>
      <c r="F1301" s="170" t="n">
        <v>46363.2446412037</v>
      </c>
      <c r="G1301" s="13" t="inlineStr">
        <is>
          <t>FREE</t>
        </is>
      </c>
      <c r="H1301" s="170" t="n">
        <v>46363.58831018519</v>
      </c>
    </row>
    <row r="1302">
      <c r="A1302" s="13" t="inlineStr">
        <is>
          <t>MK00212</t>
        </is>
      </c>
      <c r="B1302" s="13" t="n">
        <v>528000298</v>
      </c>
      <c r="C1302" s="13" t="inlineStr">
        <is>
          <t>Desta Cahaya Pratama</t>
        </is>
      </c>
      <c r="D1302" s="13" t="inlineStr">
        <is>
          <t>PROD</t>
        </is>
      </c>
      <c r="E1302" s="13" t="inlineStr">
        <is>
          <t>Produksi Harian</t>
        </is>
      </c>
      <c r="F1302" s="170" t="n">
        <v>46363.24576388889</v>
      </c>
      <c r="G1302" s="13" t="inlineStr">
        <is>
          <t>FREE</t>
        </is>
      </c>
      <c r="H1302" s="170" t="n">
        <v>46363.58591435185</v>
      </c>
    </row>
    <row r="1303">
      <c r="A1303" s="13" t="inlineStr">
        <is>
          <t>MK00208</t>
        </is>
      </c>
      <c r="B1303" s="13" t="n">
        <v>528000309</v>
      </c>
      <c r="C1303" s="13" t="inlineStr">
        <is>
          <t>Ilham Ramadhan</t>
        </is>
      </c>
      <c r="D1303" s="13" t="inlineStr">
        <is>
          <t>LOG</t>
        </is>
      </c>
      <c r="E1303" s="13" t="inlineStr">
        <is>
          <t>WRM Harian</t>
        </is>
      </c>
      <c r="F1303" s="170" t="n">
        <v>46363.2461574074</v>
      </c>
      <c r="G1303" s="13" t="inlineStr">
        <is>
          <t>FREE</t>
        </is>
      </c>
      <c r="H1303" s="170" t="n">
        <v>46363.58817129629</v>
      </c>
    </row>
    <row r="1304">
      <c r="A1304" s="13" t="inlineStr">
        <is>
          <t>MK00160</t>
        </is>
      </c>
      <c r="B1304" s="13" t="n">
        <v>528000201</v>
      </c>
      <c r="C1304" s="13" t="inlineStr">
        <is>
          <t>Zahwa Amelia Choerunissa</t>
        </is>
      </c>
      <c r="D1304" s="13" t="inlineStr">
        <is>
          <t>PROD</t>
        </is>
      </c>
      <c r="E1304" s="13" t="inlineStr">
        <is>
          <t>Produksi Harian</t>
        </is>
      </c>
      <c r="F1304" s="170" t="n">
        <v>46363.57121527778</v>
      </c>
      <c r="G1304" s="13" t="inlineStr">
        <is>
          <t>FREE</t>
        </is>
      </c>
      <c r="H1304" s="170" t="n">
        <v>46363.91912037037</v>
      </c>
    </row>
    <row r="1305">
      <c r="A1305" s="13" t="inlineStr">
        <is>
          <t>MK00090</t>
        </is>
      </c>
      <c r="B1305" s="13" t="n">
        <v>528000099</v>
      </c>
      <c r="C1305" s="13" t="inlineStr">
        <is>
          <t>Siti Nurawaliah</t>
        </is>
      </c>
      <c r="D1305" s="13" t="inlineStr">
        <is>
          <t>PROD</t>
        </is>
      </c>
      <c r="E1305" s="13" t="inlineStr">
        <is>
          <t>Produksi Harian</t>
        </is>
      </c>
      <c r="F1305" s="170" t="n">
        <v>46363.57157407407</v>
      </c>
      <c r="G1305" s="13" t="inlineStr">
        <is>
          <t>FREE</t>
        </is>
      </c>
      <c r="H1305" s="170" t="n">
        <v>46363.91974537037</v>
      </c>
    </row>
    <row r="1306">
      <c r="A1306" s="13" t="inlineStr">
        <is>
          <t>MK00145</t>
        </is>
      </c>
      <c r="B1306" s="13" t="n">
        <v>528000332</v>
      </c>
      <c r="C1306" s="13" t="inlineStr">
        <is>
          <t>Ena Indriani</t>
        </is>
      </c>
      <c r="D1306" s="13" t="inlineStr">
        <is>
          <t>PROD</t>
        </is>
      </c>
      <c r="E1306" s="13" t="inlineStr">
        <is>
          <t>Produksi Harian</t>
        </is>
      </c>
      <c r="F1306" s="170" t="n">
        <v>46363.5724537037</v>
      </c>
      <c r="G1306" s="13" t="inlineStr">
        <is>
          <t>FREE</t>
        </is>
      </c>
      <c r="H1306" s="170" t="n">
        <v>46363.92254629629</v>
      </c>
    </row>
    <row r="1307">
      <c r="A1307" s="13" t="inlineStr">
        <is>
          <t>MK00008</t>
        </is>
      </c>
      <c r="B1307" s="13" t="n">
        <v>528000286</v>
      </c>
      <c r="C1307" s="13" t="inlineStr">
        <is>
          <t>Imelda Amelia</t>
        </is>
      </c>
      <c r="D1307" s="13" t="inlineStr">
        <is>
          <t>PROD</t>
        </is>
      </c>
      <c r="E1307" s="13" t="inlineStr">
        <is>
          <t>Produksi Harian</t>
        </is>
      </c>
      <c r="F1307" s="170" t="n">
        <v>46363.57412037037</v>
      </c>
      <c r="G1307" s="13" t="inlineStr">
        <is>
          <t>FREE</t>
        </is>
      </c>
      <c r="H1307" s="170" t="n">
        <v>46363.92150462963</v>
      </c>
    </row>
    <row r="1308">
      <c r="A1308" s="13" t="inlineStr">
        <is>
          <t>MK00203</t>
        </is>
      </c>
      <c r="B1308" s="13" t="n">
        <v>528000274</v>
      </c>
      <c r="C1308" s="13" t="inlineStr">
        <is>
          <t>Zepri</t>
        </is>
      </c>
      <c r="D1308" s="13" t="inlineStr">
        <is>
          <t>PROD</t>
        </is>
      </c>
      <c r="E1308" s="13" t="inlineStr">
        <is>
          <t>Produksi Harian</t>
        </is>
      </c>
      <c r="F1308" s="170" t="n">
        <v>46363.57618055555</v>
      </c>
      <c r="G1308" s="13" t="inlineStr">
        <is>
          <t>FREE</t>
        </is>
      </c>
      <c r="H1308" s="170" t="n">
        <v>46363.9171875</v>
      </c>
    </row>
    <row r="1309">
      <c r="A1309" s="13" t="inlineStr">
        <is>
          <t>MK00192</t>
        </is>
      </c>
      <c r="B1309" s="13" t="n">
        <v>528000359</v>
      </c>
      <c r="C1309" s="13" t="inlineStr">
        <is>
          <t>M. Iqbal Maulana. S</t>
        </is>
      </c>
      <c r="D1309" s="13" t="inlineStr">
        <is>
          <t>LOG</t>
        </is>
      </c>
      <c r="E1309" s="13" t="inlineStr">
        <is>
          <t>WRM Harian</t>
        </is>
      </c>
      <c r="F1309" s="170" t="n">
        <v>46363.57622685185</v>
      </c>
      <c r="G1309" s="13" t="inlineStr">
        <is>
          <t>FREE</t>
        </is>
      </c>
      <c r="H1309" s="170" t="n">
        <v>46363.918125</v>
      </c>
    </row>
    <row r="1310">
      <c r="A1310" s="13" t="inlineStr">
        <is>
          <t>MK00202</t>
        </is>
      </c>
      <c r="B1310" s="13" t="n">
        <v>528000241</v>
      </c>
      <c r="C1310" s="13" t="inlineStr">
        <is>
          <t>Balia Nurafif Bilah</t>
        </is>
      </c>
      <c r="D1310" s="13" t="inlineStr">
        <is>
          <t>PROD</t>
        </is>
      </c>
      <c r="E1310" s="13" t="inlineStr">
        <is>
          <t>Produksi Harian</t>
        </is>
      </c>
      <c r="F1310" s="170" t="n">
        <v>46363.57681712963</v>
      </c>
      <c r="G1310" s="13" t="inlineStr">
        <is>
          <t>FREE</t>
        </is>
      </c>
      <c r="H1310" s="170" t="n">
        <v>46363.91784722222</v>
      </c>
    </row>
    <row r="1311">
      <c r="A1311" s="13" t="inlineStr">
        <is>
          <t>MK00108</t>
        </is>
      </c>
      <c r="B1311" s="13" t="n">
        <v>528000289</v>
      </c>
      <c r="C1311" s="13" t="inlineStr">
        <is>
          <t>Adit Supriyadi</t>
        </is>
      </c>
      <c r="D1311" s="13" t="inlineStr">
        <is>
          <t>PROD</t>
        </is>
      </c>
      <c r="E1311" s="13" t="inlineStr">
        <is>
          <t>Produksi Harian</t>
        </is>
      </c>
      <c r="F1311" s="170" t="n">
        <v>46363.57777777778</v>
      </c>
      <c r="G1311" s="13" t="inlineStr">
        <is>
          <t>FREE</t>
        </is>
      </c>
      <c r="H1311" s="170" t="n">
        <v>46363.9177662037</v>
      </c>
    </row>
    <row r="1312">
      <c r="A1312" s="13" t="inlineStr">
        <is>
          <t>MK00230</t>
        </is>
      </c>
      <c r="B1312" s="13" t="n">
        <v>528000090</v>
      </c>
      <c r="C1312" s="13" t="inlineStr">
        <is>
          <t>Suganda</t>
        </is>
      </c>
      <c r="D1312" s="13" t="inlineStr">
        <is>
          <t>PROD</t>
        </is>
      </c>
      <c r="E1312" s="13" t="inlineStr">
        <is>
          <t>Produksi Harian</t>
        </is>
      </c>
      <c r="F1312" s="170" t="n">
        <v>46363.58086805556</v>
      </c>
      <c r="G1312" s="13" t="inlineStr">
        <is>
          <t>FREE</t>
        </is>
      </c>
      <c r="H1312" s="170" t="n">
        <v>46216.00045138889</v>
      </c>
    </row>
    <row r="1313">
      <c r="A1313" s="13" t="inlineStr">
        <is>
          <t>MK00116</t>
        </is>
      </c>
      <c r="B1313" s="13" t="n">
        <v>528000212</v>
      </c>
      <c r="C1313" s="13" t="inlineStr">
        <is>
          <t>Rizal Fauzi</t>
        </is>
      </c>
      <c r="D1313" s="13" t="inlineStr">
        <is>
          <t>PROD</t>
        </is>
      </c>
      <c r="E1313" s="13" t="inlineStr">
        <is>
          <t>Produksi Harian</t>
        </is>
      </c>
      <c r="F1313" s="170" t="n">
        <v>46363.58099537037</v>
      </c>
      <c r="G1313" s="13" t="inlineStr">
        <is>
          <t>FREE</t>
        </is>
      </c>
      <c r="H1313" s="170" t="n">
        <v>46363.94402777778</v>
      </c>
    </row>
    <row r="1314">
      <c r="A1314" s="13" t="inlineStr">
        <is>
          <t>MK00109</t>
        </is>
      </c>
      <c r="B1314" s="13" t="n">
        <v>528000290</v>
      </c>
      <c r="C1314" s="13" t="inlineStr">
        <is>
          <t>Eval Pranata</t>
        </is>
      </c>
      <c r="D1314" s="13" t="inlineStr">
        <is>
          <t>PROD</t>
        </is>
      </c>
      <c r="E1314" s="13" t="inlineStr">
        <is>
          <t>Produksi Harian</t>
        </is>
      </c>
      <c r="F1314" s="170" t="n">
        <v>46363.5820949074</v>
      </c>
      <c r="G1314" s="13" t="inlineStr">
        <is>
          <t>FREE</t>
        </is>
      </c>
      <c r="H1314" s="170" t="n">
        <v>46363.91762731481</v>
      </c>
    </row>
    <row r="1315">
      <c r="A1315" s="13" t="inlineStr">
        <is>
          <t>MK00213</t>
        </is>
      </c>
      <c r="B1315" s="13" t="n">
        <v>528000337</v>
      </c>
      <c r="C1315" s="13" t="inlineStr">
        <is>
          <t>Ahmad Zaldi Firdaus</t>
        </is>
      </c>
      <c r="D1315" s="13" t="inlineStr">
        <is>
          <t>PROD</t>
        </is>
      </c>
      <c r="E1315" s="13" t="inlineStr">
        <is>
          <t>Produksi Harian</t>
        </is>
      </c>
      <c r="F1315" s="170" t="n">
        <v>46363.86775462963</v>
      </c>
      <c r="G1315" s="13" t="inlineStr">
        <is>
          <t>FREE</t>
        </is>
      </c>
      <c r="H1315" s="170" t="n">
        <v>46215.67285879629</v>
      </c>
    </row>
    <row r="1316">
      <c r="A1316" s="13" t="inlineStr">
        <is>
          <t>MK00148</t>
        </is>
      </c>
      <c r="B1316" s="13" t="n">
        <v>528000052</v>
      </c>
      <c r="C1316" s="13" t="inlineStr">
        <is>
          <t>Mustopa</t>
        </is>
      </c>
      <c r="D1316" s="13" t="inlineStr">
        <is>
          <t>PROD</t>
        </is>
      </c>
      <c r="E1316" s="13" t="inlineStr">
        <is>
          <t>Produksi Harian</t>
        </is>
      </c>
      <c r="F1316" s="170" t="n">
        <v>46363.87986111111</v>
      </c>
      <c r="G1316" s="13" t="inlineStr">
        <is>
          <t>FREE</t>
        </is>
      </c>
      <c r="H1316" s="170" t="n">
        <v>46215.66885416667</v>
      </c>
    </row>
    <row r="1317">
      <c r="A1317" s="13" t="inlineStr">
        <is>
          <t>MK00138</t>
        </is>
      </c>
      <c r="B1317" s="13" t="n">
        <v>528000306</v>
      </c>
      <c r="C1317" s="13" t="inlineStr">
        <is>
          <t>Windy Olivia</t>
        </is>
      </c>
      <c r="D1317" s="13" t="inlineStr">
        <is>
          <t>PROD</t>
        </is>
      </c>
      <c r="E1317" s="13" t="inlineStr">
        <is>
          <t>Produksi Harian</t>
        </is>
      </c>
      <c r="F1317" s="170" t="n">
        <v>46363.89795138889</v>
      </c>
      <c r="G1317" s="13" t="inlineStr">
        <is>
          <t>FREE</t>
        </is>
      </c>
      <c r="H1317" s="170" t="n">
        <v>46215.66768518519</v>
      </c>
    </row>
    <row r="1318">
      <c r="A1318" s="13" t="inlineStr">
        <is>
          <t>MK00141</t>
        </is>
      </c>
      <c r="B1318" s="13" t="n">
        <v>528000323</v>
      </c>
      <c r="C1318" s="13" t="inlineStr">
        <is>
          <t>Dian Hamidah</t>
        </is>
      </c>
      <c r="D1318" s="13" t="inlineStr">
        <is>
          <t>PROD</t>
        </is>
      </c>
      <c r="E1318" s="13" t="inlineStr">
        <is>
          <t>Produksi Harian</t>
        </is>
      </c>
      <c r="F1318" s="170" t="n">
        <v>46363.90053240741</v>
      </c>
      <c r="G1318" s="13" t="inlineStr">
        <is>
          <t>FREE</t>
        </is>
      </c>
      <c r="H1318" s="170" t="n">
        <v>46215.67070601852</v>
      </c>
    </row>
    <row r="1319">
      <c r="A1319" s="13" t="inlineStr">
        <is>
          <t>MK00134</t>
        </is>
      </c>
      <c r="B1319" s="13" t="n">
        <v>528000266</v>
      </c>
      <c r="C1319" s="13" t="inlineStr">
        <is>
          <t>M. Syirajatieq</t>
        </is>
      </c>
      <c r="D1319" s="13" t="inlineStr">
        <is>
          <t>LOG</t>
        </is>
      </c>
      <c r="E1319" s="13" t="inlineStr">
        <is>
          <t>WFG Harian</t>
        </is>
      </c>
      <c r="F1319" s="170" t="n">
        <v>46363.90252314815</v>
      </c>
      <c r="G1319" s="13" t="inlineStr">
        <is>
          <t>FREE</t>
        </is>
      </c>
      <c r="H1319" s="170" t="n">
        <v>46215.67922453704</v>
      </c>
    </row>
    <row r="1320">
      <c r="A1320" s="13" t="inlineStr">
        <is>
          <t>MK00112</t>
        </is>
      </c>
      <c r="B1320" s="13" t="n">
        <v>528000261</v>
      </c>
      <c r="C1320" s="13" t="inlineStr">
        <is>
          <t>Ergi Ergianto</t>
        </is>
      </c>
      <c r="D1320" s="13" t="inlineStr">
        <is>
          <t>HRGA</t>
        </is>
      </c>
      <c r="E1320" s="13" t="inlineStr">
        <is>
          <t>GA Harian</t>
        </is>
      </c>
      <c r="F1320" s="170" t="n">
        <v>46363.9071412037</v>
      </c>
      <c r="G1320" s="13" t="inlineStr">
        <is>
          <t>FREE</t>
        </is>
      </c>
      <c r="H1320" s="170" t="n">
        <v>46215.66866898148</v>
      </c>
    </row>
    <row r="1321">
      <c r="A1321" s="13" t="inlineStr">
        <is>
          <t>MK00154</t>
        </is>
      </c>
      <c r="B1321" s="13" t="n">
        <v>528000283</v>
      </c>
      <c r="C1321" s="13" t="inlineStr">
        <is>
          <t>Purwanda Sugiri</t>
        </is>
      </c>
      <c r="D1321" s="13" t="inlineStr">
        <is>
          <t>LOG</t>
        </is>
      </c>
      <c r="E1321" s="13" t="inlineStr">
        <is>
          <t>WRM Harian</t>
        </is>
      </c>
      <c r="F1321" s="170" t="n">
        <v>46363.9119212963</v>
      </c>
      <c r="G1321" s="13" t="inlineStr">
        <is>
          <t>FREE</t>
        </is>
      </c>
      <c r="H1321" s="170" t="n">
        <v>46215.66828703704</v>
      </c>
    </row>
    <row r="1322">
      <c r="A1322" s="13" t="inlineStr">
        <is>
          <t>MK00212</t>
        </is>
      </c>
      <c r="B1322" s="13" t="n">
        <v>528000291</v>
      </c>
      <c r="C1322" s="13" t="inlineStr">
        <is>
          <t>Andrian</t>
        </is>
      </c>
      <c r="D1322" s="13" t="inlineStr">
        <is>
          <t>PROD</t>
        </is>
      </c>
      <c r="E1322" s="13" t="inlineStr">
        <is>
          <t>Produksi Harian</t>
        </is>
      </c>
      <c r="F1322" s="170" t="n">
        <v>46363.91266203704</v>
      </c>
      <c r="G1322" s="13" t="inlineStr">
        <is>
          <t>FREE</t>
        </is>
      </c>
      <c r="H1322" s="170" t="n">
        <v>46215.66871527778</v>
      </c>
    </row>
    <row r="1323">
      <c r="A1323" s="13" t="inlineStr">
        <is>
          <t>MK00108</t>
        </is>
      </c>
      <c r="B1323" s="13" t="n">
        <v>628000064</v>
      </c>
      <c r="C1323" s="13" t="inlineStr">
        <is>
          <t>Silva Alypia</t>
        </is>
      </c>
      <c r="D1323" s="13" t="inlineStr">
        <is>
          <t>PROD</t>
        </is>
      </c>
      <c r="E1323" s="13" t="inlineStr">
        <is>
          <t>Produksi Borongan</t>
        </is>
      </c>
      <c r="F1323" s="170" t="n">
        <v>46215.65520833333</v>
      </c>
      <c r="G1323" s="13" t="inlineStr">
        <is>
          <t>FREE</t>
        </is>
      </c>
      <c r="H1323" s="170" t="n">
        <v>46216.00373842593</v>
      </c>
    </row>
    <row r="1324">
      <c r="A1324" s="13" t="inlineStr">
        <is>
          <t>MK00202</t>
        </is>
      </c>
      <c r="B1324" s="13" t="n">
        <v>528000279</v>
      </c>
      <c r="C1324" s="13" t="inlineStr">
        <is>
          <t>Mahdalena Dalfa Riani</t>
        </is>
      </c>
      <c r="D1324" s="13" t="inlineStr">
        <is>
          <t>PROD</t>
        </is>
      </c>
      <c r="E1324" s="13" t="inlineStr">
        <is>
          <t>Produksi Harian</t>
        </is>
      </c>
      <c r="F1324" s="170" t="n">
        <v>46215.6575</v>
      </c>
      <c r="G1324" s="13" t="inlineStr">
        <is>
          <t>FREE</t>
        </is>
      </c>
      <c r="H1324" s="170" t="n">
        <v>46216.00439814815</v>
      </c>
    </row>
    <row r="1325">
      <c r="A1325" s="13" t="inlineStr">
        <is>
          <t>MK00145</t>
        </is>
      </c>
      <c r="B1325" s="13" t="n">
        <v>528000297</v>
      </c>
      <c r="C1325" s="13" t="inlineStr">
        <is>
          <t>Muhamad Budiana</t>
        </is>
      </c>
      <c r="D1325" s="13" t="inlineStr">
        <is>
          <t>PROD</t>
        </is>
      </c>
      <c r="E1325" s="13" t="inlineStr">
        <is>
          <t>Produksi Harian</t>
        </is>
      </c>
      <c r="F1325" s="170" t="n">
        <v>46215.65898148148</v>
      </c>
      <c r="G1325" s="13" t="inlineStr">
        <is>
          <t>FREE</t>
        </is>
      </c>
      <c r="H1325" s="170" t="n">
        <v>46216.08778935186</v>
      </c>
    </row>
    <row r="1326">
      <c r="A1326" s="13" t="inlineStr">
        <is>
          <t>MK00126</t>
        </is>
      </c>
      <c r="B1326" s="13" t="n">
        <v>528000288</v>
      </c>
      <c r="C1326" s="13" t="inlineStr">
        <is>
          <t>Dede gunawan</t>
        </is>
      </c>
      <c r="D1326" s="13" t="inlineStr">
        <is>
          <t>PROD</t>
        </is>
      </c>
      <c r="E1326" s="13" t="inlineStr">
        <is>
          <t>Produksi Harian</t>
        </is>
      </c>
      <c r="F1326" s="170" t="n">
        <v>46215.66094907407</v>
      </c>
      <c r="G1326" s="13" t="inlineStr">
        <is>
          <t>FREE</t>
        </is>
      </c>
      <c r="H1326" s="170" t="n">
        <v>46217.31616898148</v>
      </c>
    </row>
    <row r="1327">
      <c r="A1327" s="13" t="inlineStr">
        <is>
          <t>MK00090</t>
        </is>
      </c>
      <c r="B1327" s="13" t="n">
        <v>528000359</v>
      </c>
      <c r="C1327" s="13" t="inlineStr">
        <is>
          <t>M. Iqbal Maulana. S</t>
        </is>
      </c>
      <c r="D1327" s="13" t="inlineStr">
        <is>
          <t>LOG</t>
        </is>
      </c>
      <c r="E1327" s="13" t="inlineStr">
        <is>
          <t>WRM Harian</t>
        </is>
      </c>
      <c r="F1327" s="170" t="n">
        <v>46215.66350694445</v>
      </c>
      <c r="G1327" s="13" t="inlineStr">
        <is>
          <t>FREE</t>
        </is>
      </c>
      <c r="H1327" s="170" t="n">
        <v>46216.00381944444</v>
      </c>
    </row>
    <row r="1328">
      <c r="A1328" s="13" t="inlineStr">
        <is>
          <t>MK00160</t>
        </is>
      </c>
      <c r="B1328" s="13" t="n">
        <v>528000361</v>
      </c>
      <c r="C1328" s="13" t="inlineStr">
        <is>
          <t>Denada Munggarani</t>
        </is>
      </c>
      <c r="D1328" s="13" t="inlineStr">
        <is>
          <t>PROD</t>
        </is>
      </c>
      <c r="E1328" s="13" t="inlineStr">
        <is>
          <t>Produksi Harian</t>
        </is>
      </c>
      <c r="F1328" s="170" t="n">
        <v>46215.66349537037</v>
      </c>
      <c r="G1328" s="13" t="inlineStr">
        <is>
          <t>FREE</t>
        </is>
      </c>
      <c r="H1328" s="170" t="n">
        <v>46215.66555555556</v>
      </c>
    </row>
    <row r="1329">
      <c r="A1329" s="13" t="inlineStr">
        <is>
          <t>MK00150</t>
        </is>
      </c>
      <c r="B1329" s="13" t="n">
        <v>528000300</v>
      </c>
      <c r="C1329" s="13" t="inlineStr">
        <is>
          <t>Lia pitaloka</t>
        </is>
      </c>
      <c r="D1329" s="13" t="inlineStr">
        <is>
          <t>PROD</t>
        </is>
      </c>
      <c r="E1329" s="13" t="inlineStr">
        <is>
          <t>Produksi Harian</t>
        </is>
      </c>
      <c r="F1329" s="170" t="n">
        <v>46215.66452546296</v>
      </c>
      <c r="G1329" s="13" t="inlineStr">
        <is>
          <t>FREE</t>
        </is>
      </c>
      <c r="H1329" s="170" t="n">
        <v>46216.01623842592</v>
      </c>
    </row>
    <row r="1330">
      <c r="A1330" s="13" t="inlineStr">
        <is>
          <t>MK00008</t>
        </is>
      </c>
      <c r="B1330" s="13" t="n">
        <v>528000248</v>
      </c>
      <c r="C1330" s="13" t="inlineStr">
        <is>
          <t>Roka Jaya Salka Mulya</t>
        </is>
      </c>
      <c r="D1330" s="13" t="inlineStr">
        <is>
          <t>PROD</t>
        </is>
      </c>
      <c r="E1330" s="13" t="inlineStr">
        <is>
          <t>Produksi Harian</t>
        </is>
      </c>
      <c r="F1330" s="170" t="n">
        <v>46215.66488425926</v>
      </c>
      <c r="G1330" s="13" t="inlineStr">
        <is>
          <t>FREE</t>
        </is>
      </c>
      <c r="H1330" s="170" t="n">
        <v>46216.0028587963</v>
      </c>
    </row>
    <row r="1331">
      <c r="A1331" s="13" t="inlineStr">
        <is>
          <t>MK00192</t>
        </is>
      </c>
      <c r="B1331" s="13" t="n">
        <v>528000063</v>
      </c>
      <c r="C1331" s="13" t="inlineStr">
        <is>
          <t>Muhamad Ripki Pebrian</t>
        </is>
      </c>
      <c r="D1331" s="13" t="inlineStr">
        <is>
          <t>PROD</t>
        </is>
      </c>
      <c r="E1331" s="13" t="inlineStr">
        <is>
          <t>Produksi Harian</t>
        </is>
      </c>
      <c r="F1331" s="170" t="n">
        <v>46215.66601851852</v>
      </c>
      <c r="G1331" s="13" t="inlineStr">
        <is>
          <t>FREE</t>
        </is>
      </c>
      <c r="H1331" s="170" t="n">
        <v>46216.00251157407</v>
      </c>
    </row>
    <row r="1332">
      <c r="A1332" s="13" t="inlineStr">
        <is>
          <t>MK00208</t>
        </is>
      </c>
      <c r="B1332" s="13" t="n">
        <v>528000282</v>
      </c>
      <c r="C1332" s="13" t="inlineStr">
        <is>
          <t>Defa Desfiana</t>
        </is>
      </c>
      <c r="D1332" s="13" t="inlineStr">
        <is>
          <t>PROD</t>
        </is>
      </c>
      <c r="E1332" s="13" t="inlineStr">
        <is>
          <t>Produksi Harian</t>
        </is>
      </c>
      <c r="F1332" s="170" t="n">
        <v>46215.73107638889</v>
      </c>
      <c r="G1332" s="13" t="inlineStr">
        <is>
          <t>FREE</t>
        </is>
      </c>
      <c r="H1332" s="170" t="n">
        <v>46216.09684027778</v>
      </c>
    </row>
    <row r="1333">
      <c r="A1333" s="13" t="inlineStr">
        <is>
          <t>MK00160</t>
        </is>
      </c>
      <c r="B1333" s="13" t="n">
        <v>528000069</v>
      </c>
      <c r="C1333" s="13" t="inlineStr">
        <is>
          <t>Jajang Ardiansyah</t>
        </is>
      </c>
      <c r="D1333" s="13" t="inlineStr">
        <is>
          <t>PROD</t>
        </is>
      </c>
      <c r="E1333" s="13" t="inlineStr">
        <is>
          <t>Produksi Harian</t>
        </is>
      </c>
      <c r="F1333" s="170" t="n">
        <v>46215.73388888889</v>
      </c>
      <c r="G1333" s="13" t="inlineStr">
        <is>
          <t>FREE</t>
        </is>
      </c>
      <c r="H1333" s="170" t="n">
        <v>46216.3636574074</v>
      </c>
    </row>
    <row r="1334">
      <c r="A1334" s="13" t="inlineStr">
        <is>
          <t>MK00085</t>
        </is>
      </c>
      <c r="B1334" s="13" t="n">
        <v>528000310</v>
      </c>
      <c r="C1334" s="13" t="inlineStr">
        <is>
          <t>Fachrul Rozzi Suryana</t>
        </is>
      </c>
      <c r="D1334" s="13" t="inlineStr">
        <is>
          <t>LOG</t>
        </is>
      </c>
      <c r="E1334" s="13" t="inlineStr">
        <is>
          <t>WRM Harian</t>
        </is>
      </c>
      <c r="F1334" s="170" t="n">
        <v>46215.74026620371</v>
      </c>
      <c r="G1334" s="13" t="inlineStr">
        <is>
          <t>FREE</t>
        </is>
      </c>
      <c r="H1334" s="170" t="n">
        <v>46216.08613425926</v>
      </c>
    </row>
    <row r="1335">
      <c r="A1335" s="13" t="inlineStr">
        <is>
          <t>MK00093</t>
        </is>
      </c>
      <c r="B1335" s="13" t="n">
        <v>528000265</v>
      </c>
      <c r="C1335" s="13" t="inlineStr">
        <is>
          <t>Muhammad Haerul Rozikin</t>
        </is>
      </c>
      <c r="D1335" s="13" t="inlineStr">
        <is>
          <t>LOG</t>
        </is>
      </c>
      <c r="E1335" s="13" t="inlineStr">
        <is>
          <t>WRM Harian</t>
        </is>
      </c>
      <c r="F1335" s="170" t="n">
        <v>46215.74138888889</v>
      </c>
      <c r="G1335" s="13" t="inlineStr">
        <is>
          <t>FREE</t>
        </is>
      </c>
      <c r="H1335" s="170" t="n">
        <v>46216.08605324074</v>
      </c>
    </row>
    <row r="1336">
      <c r="A1336" s="13" t="inlineStr">
        <is>
          <t>MK00181</t>
        </is>
      </c>
      <c r="B1336" s="13" t="n">
        <v>528000351</v>
      </c>
      <c r="C1336" s="13" t="inlineStr">
        <is>
          <t>Mulyana</t>
        </is>
      </c>
      <c r="D1336" s="13" t="inlineStr">
        <is>
          <t>PROD</t>
        </is>
      </c>
      <c r="E1336" s="13" t="inlineStr">
        <is>
          <t>Produksi Harian</t>
        </is>
      </c>
      <c r="F1336" s="170" t="n">
        <v>46215.74574074074</v>
      </c>
      <c r="G1336" s="13" t="inlineStr">
        <is>
          <t>FREE</t>
        </is>
      </c>
      <c r="H1336" s="170" t="n">
        <v>46216.08359953704</v>
      </c>
    </row>
    <row r="1337">
      <c r="A1337" s="13" t="inlineStr">
        <is>
          <t>MK00088</t>
        </is>
      </c>
      <c r="B1337" s="13" t="n">
        <v>528000015</v>
      </c>
      <c r="C1337" s="13" t="inlineStr">
        <is>
          <t>Erwin</t>
        </is>
      </c>
      <c r="D1337" s="13" t="inlineStr">
        <is>
          <t>LOG</t>
        </is>
      </c>
      <c r="E1337" s="13" t="inlineStr">
        <is>
          <t>WRM Harian</t>
        </is>
      </c>
      <c r="F1337" s="170" t="n">
        <v>46215.74607638889</v>
      </c>
      <c r="G1337" s="13" t="inlineStr">
        <is>
          <t>FREE</t>
        </is>
      </c>
      <c r="H1337" s="170" t="n">
        <v>46216.09549768519</v>
      </c>
    </row>
    <row r="1338">
      <c r="A1338" s="13" t="inlineStr">
        <is>
          <t>MK00125</t>
        </is>
      </c>
      <c r="B1338" s="13" t="n">
        <v>528000314</v>
      </c>
      <c r="C1338" s="13" t="inlineStr">
        <is>
          <t>Rusmana</t>
        </is>
      </c>
      <c r="D1338" s="13" t="inlineStr">
        <is>
          <t>PROD</t>
        </is>
      </c>
      <c r="E1338" s="13" t="inlineStr">
        <is>
          <t>Produksi Harian</t>
        </is>
      </c>
      <c r="F1338" s="170" t="n">
        <v>46215.7487962963</v>
      </c>
      <c r="G1338" s="13" t="inlineStr">
        <is>
          <t>FREE</t>
        </is>
      </c>
      <c r="H1338" s="170" t="n">
        <v>46216.08771990741</v>
      </c>
    </row>
    <row r="1339">
      <c r="A1339" s="13" t="inlineStr">
        <is>
          <t>MK00221</t>
        </is>
      </c>
      <c r="B1339" s="13" t="n">
        <v>528000144</v>
      </c>
      <c r="C1339" s="13" t="inlineStr">
        <is>
          <t>Jodi Hanafi</t>
        </is>
      </c>
      <c r="D1339" s="13" t="inlineStr">
        <is>
          <t>LOG</t>
        </is>
      </c>
      <c r="E1339" s="13" t="inlineStr">
        <is>
          <t>WRM Harian</t>
        </is>
      </c>
      <c r="F1339" s="170" t="n">
        <v>46215.74907407408</v>
      </c>
      <c r="G1339" s="13" t="inlineStr">
        <is>
          <t>FREE</t>
        </is>
      </c>
      <c r="H1339" s="170" t="n">
        <v>46216.10555555556</v>
      </c>
    </row>
    <row r="1340">
      <c r="A1340" s="13" t="inlineStr">
        <is>
          <t>MK00205</t>
        </is>
      </c>
      <c r="B1340" s="13" t="n">
        <v>528000348</v>
      </c>
      <c r="C1340" s="13" t="inlineStr">
        <is>
          <t>Saepuloh Ardiansah</t>
        </is>
      </c>
      <c r="D1340" s="13" t="inlineStr">
        <is>
          <t>LOG</t>
        </is>
      </c>
      <c r="E1340" s="13" t="inlineStr">
        <is>
          <t>WRM Harian</t>
        </is>
      </c>
      <c r="F1340" s="170" t="n">
        <v>46215.78619212963</v>
      </c>
      <c r="G1340" s="13" t="inlineStr">
        <is>
          <t>FREE</t>
        </is>
      </c>
      <c r="H1340" s="170" t="n">
        <v>46216.1790625</v>
      </c>
    </row>
    <row r="1341">
      <c r="A1341" s="13" t="inlineStr">
        <is>
          <t>MK00210</t>
        </is>
      </c>
      <c r="B1341" s="13" t="n">
        <v>528000232</v>
      </c>
      <c r="C1341" s="13" t="inlineStr">
        <is>
          <t>Agung Aji Suhada</t>
        </is>
      </c>
      <c r="D1341" s="13" t="inlineStr">
        <is>
          <t>LOG</t>
        </is>
      </c>
      <c r="E1341" s="13" t="inlineStr">
        <is>
          <t>WRM Harian</t>
        </is>
      </c>
      <c r="F1341" s="170" t="n">
        <v>46215.78714120371</v>
      </c>
      <c r="G1341" s="13" t="inlineStr">
        <is>
          <t>FREE</t>
        </is>
      </c>
      <c r="H1341" s="170" t="n">
        <v>46216.12572916667</v>
      </c>
    </row>
    <row r="1342">
      <c r="A1342" s="13" t="inlineStr">
        <is>
          <t>MK00228</t>
        </is>
      </c>
      <c r="B1342" s="13" t="n">
        <v>528000132</v>
      </c>
      <c r="C1342" s="13" t="inlineStr">
        <is>
          <t>Giopani</t>
        </is>
      </c>
      <c r="D1342" s="13" t="inlineStr">
        <is>
          <t>LOG</t>
        </is>
      </c>
      <c r="E1342" s="13" t="inlineStr">
        <is>
          <t>WRM Harian</t>
        </is>
      </c>
      <c r="F1342" s="170" t="n">
        <v>46215.78748842593</v>
      </c>
      <c r="G1342" s="13" t="inlineStr">
        <is>
          <t>FREE</t>
        </is>
      </c>
      <c r="H1342" s="170" t="n">
        <v>46216.12523148148</v>
      </c>
    </row>
    <row r="1343">
      <c r="A1343" s="13" t="inlineStr">
        <is>
          <t>MK00212</t>
        </is>
      </c>
      <c r="B1343" s="13" t="n">
        <v>528000349</v>
      </c>
      <c r="C1343" s="13" t="inlineStr">
        <is>
          <t>Anas Abdul Fatah</t>
        </is>
      </c>
      <c r="D1343" s="13" t="inlineStr">
        <is>
          <t>LOG</t>
        </is>
      </c>
      <c r="E1343" s="13" t="inlineStr">
        <is>
          <t>WFG Harian</t>
        </is>
      </c>
      <c r="F1343" s="170" t="n">
        <v>46215.81784722222</v>
      </c>
      <c r="G1343" s="13" t="inlineStr">
        <is>
          <t>FREE</t>
        </is>
      </c>
      <c r="H1343" s="170" t="n">
        <v>46216.17497685185</v>
      </c>
    </row>
    <row r="1344">
      <c r="A1344" s="13" t="inlineStr">
        <is>
          <t>MK00109</t>
        </is>
      </c>
      <c r="B1344" s="13" t="n">
        <v>528000324</v>
      </c>
      <c r="C1344" s="13" t="inlineStr">
        <is>
          <t>Sri Yanti</t>
        </is>
      </c>
      <c r="D1344" s="13" t="inlineStr">
        <is>
          <t>PROD</t>
        </is>
      </c>
      <c r="E1344" s="13" t="inlineStr">
        <is>
          <t>Produksi Harian</t>
        </is>
      </c>
      <c r="F1344" s="170" t="n">
        <v>46215.9715162037</v>
      </c>
      <c r="G1344" s="13" t="inlineStr">
        <is>
          <t>FREE</t>
        </is>
      </c>
      <c r="H1344" s="170" t="n">
        <v>46216.33479166667</v>
      </c>
    </row>
    <row r="1345">
      <c r="A1345" s="13" t="inlineStr">
        <is>
          <t>MK00154</t>
        </is>
      </c>
      <c r="B1345" s="13" t="n">
        <v>528000244</v>
      </c>
      <c r="C1345" s="13" t="inlineStr">
        <is>
          <t>Rodian Rifai</t>
        </is>
      </c>
      <c r="D1345" s="13" t="inlineStr">
        <is>
          <t>PROD</t>
        </is>
      </c>
      <c r="E1345" s="13" t="inlineStr">
        <is>
          <t>Produksi Harian</t>
        </is>
      </c>
      <c r="F1345" s="170" t="n">
        <v>46215.97506944444</v>
      </c>
      <c r="G1345" s="13" t="inlineStr">
        <is>
          <t>FREE</t>
        </is>
      </c>
      <c r="H1345" s="170" t="n">
        <v>46216.37068287037</v>
      </c>
    </row>
    <row r="1346">
      <c r="A1346" s="13" t="inlineStr">
        <is>
          <t>MK00113</t>
        </is>
      </c>
      <c r="B1346" s="13" t="n">
        <v>528000201</v>
      </c>
      <c r="C1346" s="13" t="inlineStr">
        <is>
          <t>Zahwa Amelia Choerunissa</t>
        </is>
      </c>
      <c r="D1346" s="13" t="inlineStr">
        <is>
          <t>PROD</t>
        </is>
      </c>
      <c r="E1346" s="13" t="inlineStr">
        <is>
          <t>Produksi Harian</t>
        </is>
      </c>
      <c r="F1346" s="170" t="n">
        <v>46215.98931712963</v>
      </c>
      <c r="G1346" s="13" t="inlineStr">
        <is>
          <t>FREE</t>
        </is>
      </c>
      <c r="H1346" s="170" t="n">
        <v>46216.33707175926</v>
      </c>
    </row>
    <row r="1347">
      <c r="A1347" s="13" t="inlineStr">
        <is>
          <t>MK00138</t>
        </is>
      </c>
      <c r="B1347" s="13" t="n">
        <v>528000099</v>
      </c>
      <c r="C1347" s="13" t="inlineStr">
        <is>
          <t>Siti Nurawaliah</t>
        </is>
      </c>
      <c r="D1347" s="13" t="inlineStr">
        <is>
          <t>PROD</t>
        </is>
      </c>
      <c r="E1347" s="13" t="inlineStr">
        <is>
          <t>Produksi Harian</t>
        </is>
      </c>
      <c r="F1347" s="170" t="n">
        <v>46215.98983796296</v>
      </c>
      <c r="G1347" s="13" t="inlineStr">
        <is>
          <t>FREE</t>
        </is>
      </c>
      <c r="H1347" s="170" t="n">
        <v>46216.33747685186</v>
      </c>
    </row>
    <row r="1348">
      <c r="A1348" s="13" t="inlineStr">
        <is>
          <t>MK00141</t>
        </is>
      </c>
      <c r="B1348" s="13" t="n">
        <v>528000286</v>
      </c>
      <c r="C1348" s="13" t="inlineStr">
        <is>
          <t>Imelda Amelia</t>
        </is>
      </c>
      <c r="D1348" s="13" t="inlineStr">
        <is>
          <t>PROD</t>
        </is>
      </c>
      <c r="E1348" s="13" t="inlineStr">
        <is>
          <t>Produksi Harian</t>
        </is>
      </c>
      <c r="F1348" s="170" t="n">
        <v>46215.99254629629</v>
      </c>
      <c r="G1348" s="13" t="inlineStr">
        <is>
          <t>FREE</t>
        </is>
      </c>
      <c r="H1348" s="170" t="n">
        <v>46216.33693287037</v>
      </c>
    </row>
    <row r="1349">
      <c r="A1349" s="13" t="inlineStr">
        <is>
          <t>MK00239</t>
        </is>
      </c>
      <c r="B1349" s="13" t="n">
        <v>528000289</v>
      </c>
      <c r="C1349" s="13" t="inlineStr">
        <is>
          <t>Adit Supriyadi</t>
        </is>
      </c>
      <c r="D1349" s="13" t="inlineStr">
        <is>
          <t>PROD</t>
        </is>
      </c>
      <c r="E1349" s="13" t="inlineStr">
        <is>
          <t>Produksi Harian</t>
        </is>
      </c>
      <c r="F1349" s="170" t="n">
        <v>46215.99415509259</v>
      </c>
      <c r="G1349" s="13" t="inlineStr">
        <is>
          <t>FREE</t>
        </is>
      </c>
      <c r="H1349" s="170" t="n">
        <v>46216.99211805555</v>
      </c>
    </row>
    <row r="1350">
      <c r="A1350" s="13" t="inlineStr">
        <is>
          <t>MK0082</t>
        </is>
      </c>
      <c r="B1350" s="13" t="n">
        <v>528000241</v>
      </c>
      <c r="C1350" s="13" t="inlineStr">
        <is>
          <t>Balia Nurafif Bilah</t>
        </is>
      </c>
      <c r="D1350" s="13" t="inlineStr">
        <is>
          <t>PROD</t>
        </is>
      </c>
      <c r="E1350" s="13" t="inlineStr">
        <is>
          <t>Produksi Harian</t>
        </is>
      </c>
      <c r="F1350" s="170" t="n">
        <v>46215.99467592593</v>
      </c>
      <c r="G1350" s="13" t="inlineStr">
        <is>
          <t>FREE</t>
        </is>
      </c>
      <c r="H1350" s="170" t="n">
        <v>46216.33606481482</v>
      </c>
    </row>
    <row r="1351">
      <c r="A1351" s="13" t="inlineStr">
        <is>
          <t>MK00095</t>
        </is>
      </c>
      <c r="B1351" s="13" t="n">
        <v>528000274</v>
      </c>
      <c r="C1351" s="13" t="inlineStr">
        <is>
          <t>Zepri</t>
        </is>
      </c>
      <c r="D1351" s="13" t="inlineStr">
        <is>
          <t>PROD</t>
        </is>
      </c>
      <c r="E1351" s="13" t="inlineStr">
        <is>
          <t>Produksi Harian</t>
        </is>
      </c>
      <c r="F1351" s="170" t="n">
        <v>46215.99520833333</v>
      </c>
      <c r="G1351" s="13" t="inlineStr">
        <is>
          <t>FREE</t>
        </is>
      </c>
      <c r="H1351" s="170" t="n">
        <v>46216.33576388889</v>
      </c>
    </row>
    <row r="1352">
      <c r="A1352" s="13" t="inlineStr">
        <is>
          <t>MK00250</t>
        </is>
      </c>
      <c r="B1352" s="13" t="n">
        <v>528000290</v>
      </c>
      <c r="C1352" s="13" t="inlineStr">
        <is>
          <t>Eval Pranata</t>
        </is>
      </c>
      <c r="D1352" s="13" t="inlineStr">
        <is>
          <t>PROD</t>
        </is>
      </c>
      <c r="E1352" s="13" t="inlineStr">
        <is>
          <t>Produksi Harian</t>
        </is>
      </c>
      <c r="F1352" s="170" t="n">
        <v>46215.99883101852</v>
      </c>
      <c r="G1352" s="13" t="inlineStr">
        <is>
          <t>FREE</t>
        </is>
      </c>
      <c r="H1352" s="170" t="n">
        <v>46216.33549768518</v>
      </c>
    </row>
    <row r="1353">
      <c r="A1353" s="13" t="inlineStr">
        <is>
          <t>MK0130</t>
        </is>
      </c>
      <c r="B1353" s="13" t="n">
        <v>528000149</v>
      </c>
      <c r="C1353" s="13" t="inlineStr">
        <is>
          <t>Tio Fernanda</t>
        </is>
      </c>
      <c r="D1353" s="13" t="inlineStr">
        <is>
          <t>LOG</t>
        </is>
      </c>
      <c r="E1353" s="13" t="inlineStr">
        <is>
          <t>WRM Harian</t>
        </is>
      </c>
      <c r="F1353" s="170" t="n">
        <v>46216.0715162037</v>
      </c>
      <c r="G1353" s="13" t="inlineStr">
        <is>
          <t>FREE</t>
        </is>
      </c>
      <c r="H1353" s="170" t="n">
        <v>46220.08810185185</v>
      </c>
    </row>
    <row r="1354">
      <c r="A1354" s="13" t="inlineStr">
        <is>
          <t>MK00202</t>
        </is>
      </c>
      <c r="B1354" s="13" t="n">
        <v>528000337</v>
      </c>
      <c r="C1354" s="13" t="inlineStr">
        <is>
          <t>Ahmad Zaldi Firdaus</t>
        </is>
      </c>
      <c r="D1354" s="13" t="inlineStr">
        <is>
          <t>PROD</t>
        </is>
      </c>
      <c r="E1354" s="13" t="inlineStr">
        <is>
          <t>Produksi Harian</t>
        </is>
      </c>
      <c r="F1354" s="170" t="n">
        <v>46216.28637731481</v>
      </c>
      <c r="G1354" s="13" t="inlineStr">
        <is>
          <t>FREE</t>
        </is>
      </c>
      <c r="H1354" s="170" t="n">
        <v>46216.67259259259</v>
      </c>
    </row>
    <row r="1355">
      <c r="A1355" s="13" t="inlineStr">
        <is>
          <t>MK00212</t>
        </is>
      </c>
      <c r="B1355" s="13" t="n">
        <v>528000052</v>
      </c>
      <c r="C1355" s="13" t="inlineStr">
        <is>
          <t>Mustopa</t>
        </is>
      </c>
      <c r="D1355" s="13" t="inlineStr">
        <is>
          <t>PROD</t>
        </is>
      </c>
      <c r="E1355" s="13" t="inlineStr">
        <is>
          <t>Produksi Harian</t>
        </is>
      </c>
      <c r="F1355" s="170" t="n">
        <v>46216.2997800926</v>
      </c>
      <c r="G1355" s="13" t="inlineStr">
        <is>
          <t>FREE</t>
        </is>
      </c>
      <c r="H1355" s="170" t="n">
        <v>46216.66825231481</v>
      </c>
    </row>
    <row r="1356">
      <c r="A1356" s="13" t="inlineStr">
        <is>
          <t>MK00208</t>
        </is>
      </c>
      <c r="B1356" s="13" t="n">
        <v>528000360</v>
      </c>
      <c r="C1356" s="13" t="inlineStr">
        <is>
          <t>Hendra Permana</t>
        </is>
      </c>
      <c r="D1356" s="13" t="inlineStr">
        <is>
          <t>ENG</t>
        </is>
      </c>
      <c r="E1356" s="13" t="inlineStr">
        <is>
          <t>Engineering Harian</t>
        </is>
      </c>
      <c r="F1356" s="170" t="n">
        <v>46216.31155092592</v>
      </c>
      <c r="G1356" s="13" t="inlineStr">
        <is>
          <t>FREE</t>
        </is>
      </c>
      <c r="H1356" s="170" t="n">
        <v>46217.30809027778</v>
      </c>
    </row>
    <row r="1357">
      <c r="A1357" s="13" t="inlineStr">
        <is>
          <t>MK00088</t>
        </is>
      </c>
      <c r="B1357" s="13" t="n">
        <v>528000195</v>
      </c>
      <c r="C1357" s="13" t="inlineStr">
        <is>
          <t>Rahma Sariwati</t>
        </is>
      </c>
      <c r="D1357" s="13" t="inlineStr">
        <is>
          <t>PROD</t>
        </is>
      </c>
      <c r="E1357" s="13" t="inlineStr">
        <is>
          <t>Produksi Harian</t>
        </is>
      </c>
      <c r="F1357" s="170" t="n">
        <v>46216.3175462963</v>
      </c>
      <c r="G1357" s="13" t="inlineStr">
        <is>
          <t>FREE</t>
        </is>
      </c>
      <c r="H1357" s="170" t="n">
        <v>46216.67392361111</v>
      </c>
    </row>
    <row r="1358">
      <c r="A1358" s="13" t="inlineStr">
        <is>
          <t>MK00156</t>
        </is>
      </c>
      <c r="B1358" s="13" t="n">
        <v>528000262</v>
      </c>
      <c r="C1358" s="13" t="inlineStr">
        <is>
          <t>Ndari Dwiwanti</t>
        </is>
      </c>
      <c r="D1358" s="13" t="inlineStr">
        <is>
          <t>PROD</t>
        </is>
      </c>
      <c r="E1358" s="13" t="inlineStr">
        <is>
          <t>Produksi Harian</t>
        </is>
      </c>
      <c r="F1358" s="170" t="n">
        <v>46216.31964120371</v>
      </c>
      <c r="G1358" s="13" t="inlineStr">
        <is>
          <t>FREE</t>
        </is>
      </c>
      <c r="H1358" s="170" t="n">
        <v>46216.66854166667</v>
      </c>
    </row>
    <row r="1359">
      <c r="A1359" s="13" t="inlineStr">
        <is>
          <t>MK00108</t>
        </is>
      </c>
      <c r="B1359" s="13" t="n">
        <v>528000266</v>
      </c>
      <c r="C1359" s="13" t="inlineStr">
        <is>
          <t>M. Syirajatieq</t>
        </is>
      </c>
      <c r="D1359" s="13" t="inlineStr">
        <is>
          <t>LOG</t>
        </is>
      </c>
      <c r="E1359" s="13" t="inlineStr">
        <is>
          <t>WFG Harian</t>
        </is>
      </c>
      <c r="F1359" s="170" t="n">
        <v>46216.32134259259</v>
      </c>
      <c r="G1359" s="13" t="inlineStr">
        <is>
          <t>FREE</t>
        </is>
      </c>
      <c r="H1359" s="170" t="n">
        <v>46216.68106481482</v>
      </c>
    </row>
    <row r="1360">
      <c r="A1360" s="13" t="inlineStr">
        <is>
          <t>MK00150</t>
        </is>
      </c>
      <c r="B1360" s="13" t="n">
        <v>528000358</v>
      </c>
      <c r="C1360" s="13" t="inlineStr">
        <is>
          <t>Lulu Agustin</t>
        </is>
      </c>
      <c r="D1360" s="13" t="inlineStr">
        <is>
          <t>PROD</t>
        </is>
      </c>
      <c r="E1360" s="13" t="inlineStr">
        <is>
          <t>Produksi Harian</t>
        </is>
      </c>
      <c r="F1360" s="170" t="n">
        <v>46216.32184027778</v>
      </c>
      <c r="G1360" s="13" t="inlineStr">
        <is>
          <t>FREE</t>
        </is>
      </c>
      <c r="H1360" s="170" t="n">
        <v>46216.6684375</v>
      </c>
    </row>
    <row r="1361">
      <c r="A1361" s="13" t="inlineStr">
        <is>
          <t>MK00145</t>
        </is>
      </c>
      <c r="B1361" s="13" t="n">
        <v>528000261</v>
      </c>
      <c r="C1361" s="13" t="inlineStr">
        <is>
          <t>Ergi Ergianto</t>
        </is>
      </c>
      <c r="D1361" s="13" t="inlineStr">
        <is>
          <t>HRGA</t>
        </is>
      </c>
      <c r="E1361" s="13" t="inlineStr">
        <is>
          <t>GA Harian</t>
        </is>
      </c>
      <c r="F1361" s="170" t="n">
        <v>46216.32350694444</v>
      </c>
      <c r="G1361" s="13" t="inlineStr">
        <is>
          <t>FREE</t>
        </is>
      </c>
      <c r="H1361" s="170" t="n">
        <v>46216.66849537037</v>
      </c>
    </row>
    <row r="1362">
      <c r="A1362" s="13" t="inlineStr">
        <is>
          <t>MK00093</t>
        </is>
      </c>
      <c r="B1362" s="13" t="n">
        <v>528000291</v>
      </c>
      <c r="C1362" s="13" t="inlineStr">
        <is>
          <t>Andrian</t>
        </is>
      </c>
      <c r="D1362" s="13" t="inlineStr">
        <is>
          <t>PROD</t>
        </is>
      </c>
      <c r="E1362" s="13" t="inlineStr">
        <is>
          <t>Produksi Harian</t>
        </is>
      </c>
      <c r="F1362" s="170" t="n">
        <v>46216.33003472222</v>
      </c>
      <c r="G1362" s="13" t="inlineStr">
        <is>
          <t>FREE</t>
        </is>
      </c>
      <c r="H1362" s="170" t="n">
        <v>46216.66849537037</v>
      </c>
    </row>
    <row r="1363">
      <c r="A1363" s="13" t="inlineStr">
        <is>
          <t>MK00085</t>
        </is>
      </c>
      <c r="B1363" s="13" t="n">
        <v>528000283</v>
      </c>
      <c r="C1363" s="13" t="inlineStr">
        <is>
          <t>Purwanda Sugiri</t>
        </is>
      </c>
      <c r="D1363" s="13" t="inlineStr">
        <is>
          <t>LOG</t>
        </is>
      </c>
      <c r="E1363" s="13" t="inlineStr">
        <is>
          <t>WRM Harian</t>
        </is>
      </c>
      <c r="F1363" s="170" t="n">
        <v>46216.33002314815</v>
      </c>
      <c r="G1363" s="13" t="inlineStr">
        <is>
          <t>FREE</t>
        </is>
      </c>
      <c r="H1363" s="170" t="n">
        <v>46216.66900462963</v>
      </c>
    </row>
    <row r="1364">
      <c r="A1364" s="13" t="inlineStr">
        <is>
          <t>MK00121</t>
        </is>
      </c>
      <c r="B1364" s="13" t="n">
        <v>628000064</v>
      </c>
      <c r="C1364" s="13" t="inlineStr">
        <is>
          <t>Silva Alypia</t>
        </is>
      </c>
      <c r="D1364" s="13" t="inlineStr">
        <is>
          <t>PROD</t>
        </is>
      </c>
      <c r="E1364" s="13" t="inlineStr">
        <is>
          <t>Produksi Borongan</t>
        </is>
      </c>
      <c r="F1364" s="170" t="n">
        <v>46216.65832175926</v>
      </c>
      <c r="G1364" s="13" t="inlineStr">
        <is>
          <t>FREE</t>
        </is>
      </c>
      <c r="H1364" s="170" t="n">
        <v>46217.00724537037</v>
      </c>
    </row>
    <row r="1365">
      <c r="A1365" s="13" t="inlineStr">
        <is>
          <t>MK00235</t>
        </is>
      </c>
      <c r="B1365" s="13" t="n">
        <v>528000279</v>
      </c>
      <c r="C1365" s="13" t="inlineStr">
        <is>
          <t>Mahdalena Dalfa Riani</t>
        </is>
      </c>
      <c r="D1365" s="13" t="inlineStr">
        <is>
          <t>PROD</t>
        </is>
      </c>
      <c r="E1365" s="13" t="inlineStr">
        <is>
          <t>Produksi Harian</t>
        </is>
      </c>
      <c r="F1365" s="170" t="n">
        <v>46216.66020833333</v>
      </c>
      <c r="G1365" s="13" t="inlineStr">
        <is>
          <t>FREE</t>
        </is>
      </c>
      <c r="H1365" s="170" t="n">
        <v>46217.00810185185</v>
      </c>
    </row>
    <row r="1366">
      <c r="A1366" s="13" t="inlineStr">
        <is>
          <t>MK00138</t>
        </is>
      </c>
      <c r="B1366" s="13" t="n">
        <v>528000359</v>
      </c>
      <c r="C1366" s="13" t="inlineStr">
        <is>
          <t>M. Iqbal Maulana. S</t>
        </is>
      </c>
      <c r="D1366" s="13" t="inlineStr">
        <is>
          <t>LOG</t>
        </is>
      </c>
      <c r="E1366" s="13" t="inlineStr">
        <is>
          <t>WRM Harian</t>
        </is>
      </c>
      <c r="F1366" s="170" t="n">
        <v>46216.66065972222</v>
      </c>
      <c r="G1366" s="13" t="inlineStr">
        <is>
          <t>FREE</t>
        </is>
      </c>
      <c r="H1366" s="170" t="n">
        <v>46217.00355324074</v>
      </c>
    </row>
    <row r="1367">
      <c r="A1367" s="13" t="inlineStr">
        <is>
          <t>MK00134</t>
        </is>
      </c>
      <c r="B1367" s="13" t="n">
        <v>528000297</v>
      </c>
      <c r="C1367" s="13" t="inlineStr">
        <is>
          <t>Muhamad Budiana</t>
        </is>
      </c>
      <c r="D1367" s="13" t="inlineStr">
        <is>
          <t>PROD</t>
        </is>
      </c>
      <c r="E1367" s="13" t="inlineStr">
        <is>
          <t>Produksi Harian</t>
        </is>
      </c>
      <c r="F1367" s="170" t="n">
        <v>46216.66226851852</v>
      </c>
      <c r="G1367" s="13" t="inlineStr">
        <is>
          <t>FREE</t>
        </is>
      </c>
      <c r="H1367" s="170" t="n">
        <v>46217.04053240741</v>
      </c>
    </row>
    <row r="1368">
      <c r="A1368" s="13" t="inlineStr">
        <is>
          <t>MK00154</t>
        </is>
      </c>
      <c r="B1368" s="13" t="n">
        <v>528000063</v>
      </c>
      <c r="C1368" s="13" t="inlineStr">
        <is>
          <t>Muhamad Ripki Pebrian</t>
        </is>
      </c>
      <c r="D1368" s="13" t="inlineStr">
        <is>
          <t>PROD</t>
        </is>
      </c>
      <c r="E1368" s="13" t="inlineStr">
        <is>
          <t>Produksi Harian</t>
        </is>
      </c>
      <c r="F1368" s="170" t="n">
        <v>46216.664375</v>
      </c>
      <c r="G1368" s="13" t="inlineStr">
        <is>
          <t>FREE</t>
        </is>
      </c>
      <c r="H1368" s="170" t="n">
        <v>46217.00300925926</v>
      </c>
    </row>
    <row r="1369">
      <c r="A1369" s="13" t="inlineStr">
        <is>
          <t>MK00082</t>
        </is>
      </c>
      <c r="B1369" s="13" t="n">
        <v>528000300</v>
      </c>
      <c r="C1369" s="13" t="inlineStr">
        <is>
          <t>Lia pitaloka</t>
        </is>
      </c>
      <c r="D1369" s="13" t="inlineStr">
        <is>
          <t>PROD</t>
        </is>
      </c>
      <c r="E1369" s="13" t="inlineStr">
        <is>
          <t>Produksi Harian</t>
        </is>
      </c>
      <c r="F1369" s="170" t="n">
        <v>46216.66579861111</v>
      </c>
      <c r="G1369" s="13" t="inlineStr">
        <is>
          <t>FREE</t>
        </is>
      </c>
      <c r="H1369" s="170" t="n">
        <v>46217.00663194444</v>
      </c>
    </row>
    <row r="1370">
      <c r="A1370" s="13" t="inlineStr">
        <is>
          <t>MK00160</t>
        </is>
      </c>
      <c r="B1370" s="13" t="n">
        <v>528000069</v>
      </c>
      <c r="C1370" s="13" t="inlineStr">
        <is>
          <t>Jajang Ardiansyah</t>
        </is>
      </c>
      <c r="D1370" s="13" t="inlineStr">
        <is>
          <t>PROD</t>
        </is>
      </c>
      <c r="E1370" s="13" t="inlineStr">
        <is>
          <t>Produksi Harian</t>
        </is>
      </c>
      <c r="F1370" s="170" t="n">
        <v>46216.66966435185</v>
      </c>
      <c r="G1370" s="13" t="inlineStr">
        <is>
          <t>FREE</t>
        </is>
      </c>
      <c r="H1370" s="170" t="n">
        <v>46217.31064814814</v>
      </c>
    </row>
    <row r="1371">
      <c r="A1371" s="13" t="inlineStr">
        <is>
          <t>MK00212</t>
        </is>
      </c>
      <c r="B1371" s="13" t="n">
        <v>528000282</v>
      </c>
      <c r="C1371" s="13" t="inlineStr">
        <is>
          <t>Defa Desfiana</t>
        </is>
      </c>
      <c r="D1371" s="13" t="inlineStr">
        <is>
          <t>PROD</t>
        </is>
      </c>
      <c r="E1371" s="13" t="inlineStr">
        <is>
          <t>Produksi Harian</t>
        </is>
      </c>
      <c r="F1371" s="170" t="n">
        <v>46216.73078703704</v>
      </c>
      <c r="G1371" s="13" t="inlineStr">
        <is>
          <t>FREE</t>
        </is>
      </c>
      <c r="H1371" s="170" t="n">
        <v>46217.08497685185</v>
      </c>
    </row>
    <row r="1372">
      <c r="A1372" s="13" t="inlineStr">
        <is>
          <t>MK00213</t>
        </is>
      </c>
      <c r="B1372" s="13" t="n">
        <v>528000015</v>
      </c>
      <c r="C1372" s="13" t="inlineStr">
        <is>
          <t>Erwin</t>
        </is>
      </c>
      <c r="D1372" s="13" t="inlineStr">
        <is>
          <t>LOG</t>
        </is>
      </c>
      <c r="E1372" s="13" t="inlineStr">
        <is>
          <t>WRM Harian</t>
        </is>
      </c>
      <c r="F1372" s="170" t="n">
        <v>46216.73717592593</v>
      </c>
      <c r="G1372" s="13" t="inlineStr">
        <is>
          <t>FREE</t>
        </is>
      </c>
      <c r="H1372" s="170" t="n">
        <v>46217.08769675926</v>
      </c>
    </row>
    <row r="1373">
      <c r="A1373" s="13" t="inlineStr">
        <is>
          <t>MK00181</t>
        </is>
      </c>
      <c r="B1373" s="13" t="n">
        <v>528000265</v>
      </c>
      <c r="C1373" s="13" t="inlineStr">
        <is>
          <t>Muhammad Haerul Rozikin</t>
        </is>
      </c>
      <c r="D1373" s="13" t="inlineStr">
        <is>
          <t>LOG</t>
        </is>
      </c>
      <c r="E1373" s="13" t="inlineStr">
        <is>
          <t>WRM Harian</t>
        </is>
      </c>
      <c r="F1373" s="170" t="n">
        <v>46216.73844907407</v>
      </c>
      <c r="G1373" s="13" t="inlineStr">
        <is>
          <t>FREE</t>
        </is>
      </c>
      <c r="H1373" s="170" t="n">
        <v>46217.08478009259</v>
      </c>
    </row>
    <row r="1374">
      <c r="A1374" s="13" t="inlineStr">
        <is>
          <t>MK00046</t>
        </is>
      </c>
      <c r="B1374" s="13" t="n">
        <v>528000335</v>
      </c>
      <c r="C1374" s="13" t="inlineStr">
        <is>
          <t>Rizal Saepuloh</t>
        </is>
      </c>
      <c r="D1374" s="13" t="inlineStr">
        <is>
          <t>LOG</t>
        </is>
      </c>
      <c r="E1374" s="13" t="inlineStr">
        <is>
          <t>WRM Harian</t>
        </is>
      </c>
      <c r="F1374" s="170" t="n">
        <v>46216.74636574074</v>
      </c>
      <c r="G1374" s="13" t="inlineStr">
        <is>
          <t>FREE</t>
        </is>
      </c>
      <c r="H1374" s="170" t="n">
        <v>46217.08689814815</v>
      </c>
    </row>
    <row r="1375">
      <c r="A1375" s="13" t="inlineStr">
        <is>
          <t>MK00221</t>
        </is>
      </c>
      <c r="B1375" s="13" t="n">
        <v>528000144</v>
      </c>
      <c r="C1375" s="13" t="inlineStr">
        <is>
          <t>Jodi Hanafi</t>
        </is>
      </c>
      <c r="D1375" s="13" t="inlineStr">
        <is>
          <t>LOG</t>
        </is>
      </c>
      <c r="E1375" s="13" t="inlineStr">
        <is>
          <t>WRM Harian</t>
        </is>
      </c>
      <c r="F1375" s="170" t="n">
        <v>46216.7469212963</v>
      </c>
      <c r="G1375" s="13" t="inlineStr">
        <is>
          <t>FREE</t>
        </is>
      </c>
      <c r="H1375" s="170" t="n">
        <v>46217.08604166667</v>
      </c>
    </row>
    <row r="1376">
      <c r="A1376" s="13" t="inlineStr">
        <is>
          <t>MK00093</t>
        </is>
      </c>
      <c r="B1376" s="13" t="n">
        <v>528000310</v>
      </c>
      <c r="C1376" s="13" t="inlineStr">
        <is>
          <t>Fachrul Rozzi Suryana</t>
        </is>
      </c>
      <c r="D1376" s="13" t="inlineStr">
        <is>
          <t>LOG</t>
        </is>
      </c>
      <c r="E1376" s="13" t="inlineStr">
        <is>
          <t>WRM Harian</t>
        </is>
      </c>
      <c r="F1376" s="170" t="n">
        <v>46216.74759259259</v>
      </c>
      <c r="G1376" s="13" t="inlineStr">
        <is>
          <t>FREE</t>
        </is>
      </c>
      <c r="H1376" s="170" t="n">
        <v>46217.08634259259</v>
      </c>
    </row>
    <row r="1377">
      <c r="A1377" s="13" t="inlineStr">
        <is>
          <t>MK00204</t>
        </is>
      </c>
      <c r="B1377" s="13" t="n">
        <v>528000314</v>
      </c>
      <c r="C1377" s="13" t="inlineStr">
        <is>
          <t>Rusmana</t>
        </is>
      </c>
      <c r="D1377" s="13" t="inlineStr">
        <is>
          <t>PROD</t>
        </is>
      </c>
      <c r="E1377" s="13" t="inlineStr">
        <is>
          <t>Produksi Harian</t>
        </is>
      </c>
      <c r="F1377" s="170" t="n">
        <v>46216.74913194445</v>
      </c>
      <c r="G1377" s="13" t="inlineStr">
        <is>
          <t>FREE</t>
        </is>
      </c>
      <c r="H1377" s="170" t="n">
        <v>46217.08746527778</v>
      </c>
    </row>
    <row r="1378">
      <c r="A1378" s="13" t="inlineStr">
        <is>
          <t>MK00210</t>
        </is>
      </c>
      <c r="B1378" s="13" t="n">
        <v>528000232</v>
      </c>
      <c r="C1378" s="13" t="inlineStr">
        <is>
          <t>Agung Aji Suhada</t>
        </is>
      </c>
      <c r="D1378" s="13" t="inlineStr">
        <is>
          <t>LOG</t>
        </is>
      </c>
      <c r="E1378" s="13" t="inlineStr">
        <is>
          <t>WRM Harian</t>
        </is>
      </c>
      <c r="F1378" s="170" t="n">
        <v>46216.78365740741</v>
      </c>
      <c r="G1378" s="13" t="inlineStr">
        <is>
          <t>FREE</t>
        </is>
      </c>
      <c r="H1378" s="170" t="n">
        <v>46217.12837962963</v>
      </c>
    </row>
    <row r="1379">
      <c r="A1379" s="13" t="inlineStr">
        <is>
          <t>MK00228</t>
        </is>
      </c>
      <c r="B1379" s="13" t="n">
        <v>528000132</v>
      </c>
      <c r="C1379" s="13" t="inlineStr">
        <is>
          <t>Giopani</t>
        </is>
      </c>
      <c r="D1379" s="13" t="inlineStr">
        <is>
          <t>LOG</t>
        </is>
      </c>
      <c r="E1379" s="13" t="inlineStr">
        <is>
          <t>WRM Harian</t>
        </is>
      </c>
      <c r="F1379" s="170" t="n">
        <v>46216.78434027778</v>
      </c>
      <c r="G1379" s="13" t="inlineStr">
        <is>
          <t>FREE</t>
        </is>
      </c>
      <c r="H1379" s="170" t="n">
        <v>46217.12783564815</v>
      </c>
    </row>
    <row r="1380">
      <c r="A1380" s="13" t="inlineStr">
        <is>
          <t>MK00205</t>
        </is>
      </c>
      <c r="B1380" s="13" t="n">
        <v>528000348</v>
      </c>
      <c r="C1380" s="13" t="inlineStr">
        <is>
          <t>Saepuloh Ardiansah</t>
        </is>
      </c>
      <c r="D1380" s="13" t="inlineStr">
        <is>
          <t>LOG</t>
        </is>
      </c>
      <c r="E1380" s="13" t="inlineStr">
        <is>
          <t>WRM Harian</t>
        </is>
      </c>
      <c r="F1380" s="170" t="n">
        <v>46216.78866898148</v>
      </c>
      <c r="G1380" s="13" t="inlineStr">
        <is>
          <t>FREE</t>
        </is>
      </c>
      <c r="H1380" s="170" t="n">
        <v>46217.13951388889</v>
      </c>
    </row>
    <row r="1381">
      <c r="A1381" s="13" t="inlineStr">
        <is>
          <t>MK00249</t>
        </is>
      </c>
      <c r="B1381" s="13" t="n">
        <v>528000349</v>
      </c>
      <c r="C1381" s="13" t="inlineStr">
        <is>
          <t>Anas Abdul Fatah</t>
        </is>
      </c>
      <c r="D1381" s="13" t="inlineStr">
        <is>
          <t>LOG</t>
        </is>
      </c>
      <c r="E1381" s="13" t="inlineStr">
        <is>
          <t>WFG Harian</t>
        </is>
      </c>
      <c r="F1381" s="170" t="n">
        <v>46216.82341435185</v>
      </c>
      <c r="G1381" s="13" t="inlineStr">
        <is>
          <t>FREE</t>
        </is>
      </c>
      <c r="H1381" s="170" t="n">
        <v>46217.1758912037</v>
      </c>
    </row>
    <row r="1382">
      <c r="A1382" s="13" t="inlineStr">
        <is>
          <t>MK00141</t>
        </is>
      </c>
      <c r="B1382" s="13" t="n">
        <v>528000340</v>
      </c>
      <c r="C1382" s="13" t="inlineStr">
        <is>
          <t>Muhammad Wildan Adithya</t>
        </is>
      </c>
      <c r="D1382" s="13" t="inlineStr">
        <is>
          <t>PROD</t>
        </is>
      </c>
      <c r="E1382" s="13" t="inlineStr">
        <is>
          <t>Produksi Harian</t>
        </is>
      </c>
      <c r="F1382" s="170" t="n">
        <v>46216.9591087963</v>
      </c>
      <c r="G1382" s="13" t="inlineStr">
        <is>
          <t>FREE</t>
        </is>
      </c>
      <c r="H1382" s="170" t="n">
        <v>46217.33899305556</v>
      </c>
    </row>
    <row r="1383">
      <c r="A1383" s="13" t="inlineStr">
        <is>
          <t>MK00203</t>
        </is>
      </c>
      <c r="B1383" s="13" t="n">
        <v>528000201</v>
      </c>
      <c r="C1383" s="13" t="inlineStr">
        <is>
          <t>Zahwa Amelia Choerunissa</t>
        </is>
      </c>
      <c r="D1383" s="13" t="inlineStr">
        <is>
          <t>PROD</t>
        </is>
      </c>
      <c r="E1383" s="13" t="inlineStr">
        <is>
          <t>Produksi Harian</t>
        </is>
      </c>
      <c r="F1383" s="170" t="n">
        <v>46216.98744212963</v>
      </c>
      <c r="G1383" s="13" t="inlineStr">
        <is>
          <t>FREE</t>
        </is>
      </c>
      <c r="H1383" s="170" t="n">
        <v>46217.33835648148</v>
      </c>
    </row>
    <row r="1384">
      <c r="A1384" s="13" t="inlineStr">
        <is>
          <t>MK00116</t>
        </is>
      </c>
      <c r="B1384" s="13" t="n">
        <v>528000099</v>
      </c>
      <c r="C1384" s="13" t="inlineStr">
        <is>
          <t>Siti Nurawaliah</t>
        </is>
      </c>
      <c r="D1384" s="13" t="inlineStr">
        <is>
          <t>PROD</t>
        </is>
      </c>
      <c r="E1384" s="13" t="inlineStr">
        <is>
          <t>Produksi Harian</t>
        </is>
      </c>
      <c r="F1384" s="170" t="n">
        <v>46216.98880787037</v>
      </c>
      <c r="G1384" s="13" t="inlineStr">
        <is>
          <t>FREE</t>
        </is>
      </c>
      <c r="H1384" s="170" t="n">
        <v>46217.33886574074</v>
      </c>
    </row>
    <row r="1385">
      <c r="A1385" s="13" t="inlineStr">
        <is>
          <t>MK00192</t>
        </is>
      </c>
      <c r="B1385" s="13" t="n">
        <v>528000289</v>
      </c>
      <c r="C1385" s="13" t="inlineStr">
        <is>
          <t>Adit Supriyadi</t>
        </is>
      </c>
      <c r="D1385" s="13" t="inlineStr">
        <is>
          <t>PROD</t>
        </is>
      </c>
      <c r="E1385" s="13" t="inlineStr">
        <is>
          <t>Produksi Harian</t>
        </is>
      </c>
      <c r="F1385" s="170" t="n">
        <v>46216.99277777778</v>
      </c>
      <c r="G1385" s="13" t="inlineStr">
        <is>
          <t>FREE</t>
        </is>
      </c>
      <c r="H1385" s="170" t="n">
        <v>46217.88334490741</v>
      </c>
    </row>
    <row r="1386">
      <c r="A1386" s="13" t="inlineStr">
        <is>
          <t>MK00148</t>
        </is>
      </c>
      <c r="B1386" s="13" t="n">
        <v>528000286</v>
      </c>
      <c r="C1386" s="13" t="inlineStr">
        <is>
          <t>Imelda Amelia</t>
        </is>
      </c>
      <c r="D1386" s="13" t="inlineStr">
        <is>
          <t>PROD</t>
        </is>
      </c>
      <c r="E1386" s="13" t="inlineStr">
        <is>
          <t>Produksi Harian</t>
        </is>
      </c>
      <c r="F1386" s="170" t="n">
        <v>46216.99284722222</v>
      </c>
      <c r="G1386" s="13" t="inlineStr">
        <is>
          <t>FREE</t>
        </is>
      </c>
      <c r="H1386" s="170" t="n">
        <v>46217.33869212963</v>
      </c>
    </row>
    <row r="1387">
      <c r="A1387" s="13" t="inlineStr">
        <is>
          <t>MK00112</t>
        </is>
      </c>
      <c r="B1387" s="13" t="n">
        <v>528000318</v>
      </c>
      <c r="C1387" s="13" t="inlineStr">
        <is>
          <t>Bayu Padli Sepriyana</t>
        </is>
      </c>
      <c r="D1387" s="13" t="inlineStr">
        <is>
          <t>LOG</t>
        </is>
      </c>
      <c r="E1387" s="13" t="inlineStr">
        <is>
          <t>WRM Harian</t>
        </is>
      </c>
      <c r="F1387" s="170" t="n">
        <v>46216.99434027778</v>
      </c>
      <c r="G1387" s="13" t="inlineStr">
        <is>
          <t>FREE</t>
        </is>
      </c>
      <c r="H1387" s="170" t="n">
        <v>46217.33829861111</v>
      </c>
    </row>
    <row r="1388">
      <c r="A1388" s="13" t="inlineStr">
        <is>
          <t>MK00158</t>
        </is>
      </c>
      <c r="B1388" s="13" t="n">
        <v>528000244</v>
      </c>
      <c r="C1388" s="13" t="inlineStr">
        <is>
          <t>Rodian Rifai</t>
        </is>
      </c>
      <c r="D1388" s="13" t="inlineStr">
        <is>
          <t>PROD</t>
        </is>
      </c>
      <c r="E1388" s="13" t="inlineStr">
        <is>
          <t>Produksi Harian</t>
        </is>
      </c>
      <c r="F1388" s="170" t="n">
        <v>46216.99497685185</v>
      </c>
      <c r="G1388" s="13" t="inlineStr">
        <is>
          <t>FREE</t>
        </is>
      </c>
      <c r="H1388" s="170" t="n">
        <v>46217.37104166667</v>
      </c>
    </row>
    <row r="1389">
      <c r="A1389" s="13" t="inlineStr">
        <is>
          <t>MK0008</t>
        </is>
      </c>
      <c r="B1389" s="13" t="n">
        <v>528000290</v>
      </c>
      <c r="C1389" s="13" t="inlineStr">
        <is>
          <t>Eval Pranata</t>
        </is>
      </c>
      <c r="D1389" s="13" t="inlineStr">
        <is>
          <t>PROD</t>
        </is>
      </c>
      <c r="E1389" s="13" t="inlineStr">
        <is>
          <t>Produksi Harian</t>
        </is>
      </c>
      <c r="F1389" s="170" t="n">
        <v>46216.99643518519</v>
      </c>
      <c r="G1389" s="13" t="inlineStr">
        <is>
          <t>FREE</t>
        </is>
      </c>
      <c r="H1389" s="170" t="n">
        <v>46217.33815972223</v>
      </c>
    </row>
    <row r="1390">
      <c r="A1390" s="13" t="inlineStr">
        <is>
          <t>MK00055</t>
        </is>
      </c>
      <c r="B1390" s="13" t="n">
        <v>528000090</v>
      </c>
      <c r="C1390" s="13" t="inlineStr">
        <is>
          <t>Suganda</t>
        </is>
      </c>
      <c r="D1390" s="13" t="inlineStr">
        <is>
          <t>PROD</t>
        </is>
      </c>
      <c r="E1390" s="13" t="inlineStr">
        <is>
          <t>Produksi Harian</t>
        </is>
      </c>
      <c r="F1390" s="170" t="n">
        <v>46216.99826388889</v>
      </c>
      <c r="G1390" s="13" t="inlineStr">
        <is>
          <t>FREE</t>
        </is>
      </c>
      <c r="H1390" s="170" t="n">
        <v>46217.33873842593</v>
      </c>
    </row>
    <row r="1391">
      <c r="A1391" s="13" t="inlineStr">
        <is>
          <t>MK00136</t>
        </is>
      </c>
      <c r="B1391" s="13" t="n">
        <v>528000274</v>
      </c>
      <c r="C1391" s="13" t="inlineStr">
        <is>
          <t>Zepri</t>
        </is>
      </c>
      <c r="D1391" s="13" t="inlineStr">
        <is>
          <t>PROD</t>
        </is>
      </c>
      <c r="E1391" s="13" t="inlineStr">
        <is>
          <t>Produksi Harian</t>
        </is>
      </c>
      <c r="F1391" s="170" t="n">
        <v>46216.99831018518</v>
      </c>
      <c r="G1391" s="13" t="inlineStr">
        <is>
          <t>FREE</t>
        </is>
      </c>
      <c r="H1391" s="170" t="n">
        <v>46217.33747685186</v>
      </c>
    </row>
    <row r="1392">
      <c r="A1392" s="13" t="inlineStr">
        <is>
          <t>MK00250</t>
        </is>
      </c>
      <c r="B1392" s="13" t="n">
        <v>528000212</v>
      </c>
      <c r="C1392" s="13" t="inlineStr">
        <is>
          <t>Rizal Fauzi</t>
        </is>
      </c>
      <c r="D1392" s="13" t="inlineStr">
        <is>
          <t>PROD</t>
        </is>
      </c>
      <c r="E1392" s="13" t="inlineStr">
        <is>
          <t>Produksi Harian</t>
        </is>
      </c>
      <c r="F1392" s="170" t="n">
        <v>46217.00243055556</v>
      </c>
      <c r="G1392" s="13" t="inlineStr">
        <is>
          <t>FREE</t>
        </is>
      </c>
      <c r="H1392" s="170" t="n">
        <v>46217.87601851852</v>
      </c>
    </row>
    <row r="1393">
      <c r="A1393" s="13" t="inlineStr">
        <is>
          <t>MK00202</t>
        </is>
      </c>
      <c r="B1393" s="13" t="n">
        <v>528000337</v>
      </c>
      <c r="C1393" s="13" t="inlineStr">
        <is>
          <t>Ahmad Zaldi Firdaus</t>
        </is>
      </c>
      <c r="D1393" s="13" t="inlineStr">
        <is>
          <t>PROD</t>
        </is>
      </c>
      <c r="E1393" s="13" t="inlineStr">
        <is>
          <t>Produksi Harian</t>
        </is>
      </c>
      <c r="F1393" s="170" t="n">
        <v>46217.27918981481</v>
      </c>
      <c r="G1393" s="13" t="inlineStr">
        <is>
          <t>FREE</t>
        </is>
      </c>
      <c r="H1393" s="170" t="n">
        <v>46217.67125</v>
      </c>
    </row>
    <row r="1394">
      <c r="A1394" s="13" t="inlineStr">
        <is>
          <t>MK00121</t>
        </is>
      </c>
      <c r="B1394" s="13" t="n">
        <v>528000052</v>
      </c>
      <c r="C1394" s="13" t="inlineStr">
        <is>
          <t>Mustopa</t>
        </is>
      </c>
      <c r="D1394" s="13" t="inlineStr">
        <is>
          <t>PROD</t>
        </is>
      </c>
      <c r="E1394" s="13" t="inlineStr">
        <is>
          <t>Produksi Harian</t>
        </is>
      </c>
      <c r="F1394" s="170" t="n">
        <v>46217.29550925926</v>
      </c>
      <c r="G1394" s="13" t="inlineStr">
        <is>
          <t>FREE</t>
        </is>
      </c>
      <c r="H1394" s="170" t="n">
        <v>46217.66849537037</v>
      </c>
    </row>
    <row r="1395">
      <c r="A1395" s="13" t="inlineStr">
        <is>
          <t>MK00082</t>
        </is>
      </c>
      <c r="B1395" s="13" t="n">
        <v>528000360</v>
      </c>
      <c r="C1395" s="13" t="inlineStr">
        <is>
          <t>Hendra Permana</t>
        </is>
      </c>
      <c r="D1395" s="13" t="inlineStr">
        <is>
          <t>ENG</t>
        </is>
      </c>
      <c r="E1395" s="13" t="inlineStr">
        <is>
          <t>Engineering Harian</t>
        </is>
      </c>
      <c r="F1395" s="170" t="n">
        <v>46217.3083912037</v>
      </c>
      <c r="G1395" s="13" t="inlineStr">
        <is>
          <t>FREE</t>
        </is>
      </c>
      <c r="H1395" s="170" t="n">
        <v>46217.66961805556</v>
      </c>
    </row>
    <row r="1396">
      <c r="A1396" s="13" t="inlineStr">
        <is>
          <t>MK00213</t>
        </is>
      </c>
      <c r="B1396" s="13" t="n">
        <v>528000238</v>
      </c>
      <c r="C1396" s="13" t="inlineStr">
        <is>
          <t>Indah Lusiana</t>
        </is>
      </c>
      <c r="D1396" s="13" t="inlineStr">
        <is>
          <t>PROD</t>
        </is>
      </c>
      <c r="E1396" s="13" t="inlineStr">
        <is>
          <t>Produksi Harian</t>
        </is>
      </c>
      <c r="F1396" s="170" t="n">
        <v>46217.30943287037</v>
      </c>
      <c r="G1396" s="13" t="inlineStr">
        <is>
          <t>FREE</t>
        </is>
      </c>
      <c r="H1396" s="170" t="n">
        <v>46217.6740162037</v>
      </c>
    </row>
    <row r="1397">
      <c r="A1397" s="13" t="inlineStr">
        <is>
          <t>MK00160</t>
        </is>
      </c>
      <c r="B1397" s="13" t="n">
        <v>528000262</v>
      </c>
      <c r="C1397" s="13" t="inlineStr">
        <is>
          <t>Ndari Dwiwanti</t>
        </is>
      </c>
      <c r="D1397" s="13" t="inlineStr">
        <is>
          <t>PROD</t>
        </is>
      </c>
      <c r="E1397" s="13" t="inlineStr">
        <is>
          <t>Produksi Harian</t>
        </is>
      </c>
      <c r="F1397" s="170" t="n">
        <v>46217.31450231482</v>
      </c>
      <c r="G1397" s="13" t="inlineStr">
        <is>
          <t>FREE</t>
        </is>
      </c>
      <c r="H1397" s="170" t="n">
        <v>46217.66944444444</v>
      </c>
    </row>
    <row r="1398">
      <c r="A1398" s="13" t="inlineStr">
        <is>
          <t>MK00126</t>
        </is>
      </c>
      <c r="B1398" s="13" t="n">
        <v>528000195</v>
      </c>
      <c r="C1398" s="13" t="inlineStr">
        <is>
          <t>Rahma Sariwati</t>
        </is>
      </c>
      <c r="D1398" s="13" t="inlineStr">
        <is>
          <t>PROD</t>
        </is>
      </c>
      <c r="E1398" s="13" t="inlineStr">
        <is>
          <t>Produksi Harian</t>
        </is>
      </c>
      <c r="F1398" s="170" t="n">
        <v>46217.31637731481</v>
      </c>
      <c r="G1398" s="13" t="inlineStr">
        <is>
          <t>FREE</t>
        </is>
      </c>
      <c r="H1398" s="170" t="n">
        <v>46217.67116898148</v>
      </c>
    </row>
    <row r="1399">
      <c r="A1399" s="13" t="inlineStr">
        <is>
          <t>MK00109</t>
        </is>
      </c>
      <c r="B1399" s="13" t="n">
        <v>528000266</v>
      </c>
      <c r="C1399" s="13" t="inlineStr">
        <is>
          <t>M. Syirajatieq</t>
        </is>
      </c>
      <c r="D1399" s="13" t="inlineStr">
        <is>
          <t>LOG</t>
        </is>
      </c>
      <c r="E1399" s="13" t="inlineStr">
        <is>
          <t>WFG Harian</t>
        </is>
      </c>
      <c r="F1399" s="170" t="n">
        <v>46217.31877314814</v>
      </c>
      <c r="G1399" s="13" t="inlineStr">
        <is>
          <t>FREE</t>
        </is>
      </c>
      <c r="H1399" s="170" t="n">
        <v>46217.6815162037</v>
      </c>
    </row>
    <row r="1400">
      <c r="A1400" s="13" t="inlineStr">
        <is>
          <t>MK00154</t>
        </is>
      </c>
      <c r="B1400" s="13" t="n">
        <v>528000358</v>
      </c>
      <c r="C1400" s="13" t="inlineStr">
        <is>
          <t>Lulu Agustin</t>
        </is>
      </c>
      <c r="D1400" s="13" t="inlineStr">
        <is>
          <t>PROD</t>
        </is>
      </c>
      <c r="E1400" s="13" t="inlineStr">
        <is>
          <t>Produksi Harian</t>
        </is>
      </c>
      <c r="F1400" s="170" t="n">
        <v>46217.31996527778</v>
      </c>
      <c r="G1400" s="13" t="inlineStr">
        <is>
          <t>FREE</t>
        </is>
      </c>
      <c r="H1400" s="170" t="n">
        <v>46217.66920138889</v>
      </c>
    </row>
    <row r="1401">
      <c r="A1401" s="13" t="inlineStr">
        <is>
          <t>MK00208</t>
        </is>
      </c>
      <c r="B1401" s="13" t="n">
        <v>528000261</v>
      </c>
      <c r="C1401" s="13" t="inlineStr">
        <is>
          <t>Ergi Ergianto</t>
        </is>
      </c>
      <c r="D1401" s="13" t="inlineStr">
        <is>
          <t>HRGA</t>
        </is>
      </c>
      <c r="E1401" s="13" t="inlineStr">
        <is>
          <t>GA Harian</t>
        </is>
      </c>
      <c r="F1401" s="170" t="n">
        <v>46217.32667824074</v>
      </c>
      <c r="G1401" s="13" t="inlineStr">
        <is>
          <t>FREE</t>
        </is>
      </c>
      <c r="H1401" s="170" t="n">
        <v>46217.66907407407</v>
      </c>
    </row>
    <row r="1402">
      <c r="A1402" s="13" t="inlineStr">
        <is>
          <t>MK00113</t>
        </is>
      </c>
      <c r="B1402" s="13" t="n">
        <v>528000283</v>
      </c>
      <c r="C1402" s="13" t="inlineStr">
        <is>
          <t>Purwanda Sugiri</t>
        </is>
      </c>
      <c r="D1402" s="13" t="inlineStr">
        <is>
          <t>LOG</t>
        </is>
      </c>
      <c r="E1402" s="13" t="inlineStr">
        <is>
          <t>WRM Harian</t>
        </is>
      </c>
      <c r="F1402" s="170" t="n">
        <v>46217.33017361111</v>
      </c>
      <c r="G1402" s="13" t="inlineStr">
        <is>
          <t>FREE</t>
        </is>
      </c>
      <c r="H1402" s="170" t="n">
        <v>46217.66842592593</v>
      </c>
    </row>
    <row r="1403">
      <c r="A1403" s="13" t="inlineStr">
        <is>
          <t>MK00186</t>
        </is>
      </c>
      <c r="B1403" s="13" t="n">
        <v>528000291</v>
      </c>
      <c r="C1403" s="13" t="inlineStr">
        <is>
          <t>Andrian</t>
        </is>
      </c>
      <c r="D1403" s="13" t="inlineStr">
        <is>
          <t>PROD</t>
        </is>
      </c>
      <c r="E1403" s="13" t="inlineStr">
        <is>
          <t>Produksi Harian</t>
        </is>
      </c>
      <c r="F1403" s="170" t="n">
        <v>46217.33164351852</v>
      </c>
      <c r="G1403" s="13" t="inlineStr">
        <is>
          <t>FREE</t>
        </is>
      </c>
      <c r="H1403" s="170" t="n">
        <v>46219.99108796296</v>
      </c>
    </row>
    <row r="1404">
      <c r="A1404" s="13" t="inlineStr">
        <is>
          <t>MK0008</t>
        </is>
      </c>
      <c r="B1404" s="13" t="n">
        <v>628000064</v>
      </c>
      <c r="C1404" s="13" t="inlineStr">
        <is>
          <t>Silva Alypia</t>
        </is>
      </c>
      <c r="D1404" s="13" t="inlineStr">
        <is>
          <t>PROD</t>
        </is>
      </c>
      <c r="E1404" s="13" t="inlineStr">
        <is>
          <t>Produksi Borongan</t>
        </is>
      </c>
      <c r="F1404" s="170" t="n">
        <v>46217.66020833333</v>
      </c>
      <c r="G1404" s="13" t="inlineStr">
        <is>
          <t>FREE</t>
        </is>
      </c>
      <c r="H1404" s="170" t="n">
        <v>46218.0024537037</v>
      </c>
    </row>
    <row r="1405">
      <c r="A1405" s="13" t="inlineStr">
        <is>
          <t>MK00230</t>
        </is>
      </c>
      <c r="B1405" s="13" t="n">
        <v>528000282</v>
      </c>
      <c r="C1405" s="13" t="inlineStr">
        <is>
          <t>Defa Desfiana</t>
        </is>
      </c>
      <c r="D1405" s="13" t="inlineStr">
        <is>
          <t>PROD</t>
        </is>
      </c>
      <c r="E1405" s="13" t="inlineStr">
        <is>
          <t>Produksi Harian</t>
        </is>
      </c>
      <c r="F1405" s="170" t="n">
        <v>46217.66049768519</v>
      </c>
      <c r="G1405" s="13" t="inlineStr">
        <is>
          <t>FREE</t>
        </is>
      </c>
      <c r="H1405" s="170" t="n">
        <v>46218.01534722222</v>
      </c>
    </row>
    <row r="1406">
      <c r="A1406" s="13" t="inlineStr">
        <is>
          <t>MK00203</t>
        </is>
      </c>
      <c r="B1406" s="13" t="n">
        <v>528000279</v>
      </c>
      <c r="C1406" s="13" t="inlineStr">
        <is>
          <t>Mahdalena Dalfa Riani</t>
        </is>
      </c>
      <c r="D1406" s="13" t="inlineStr">
        <is>
          <t>PROD</t>
        </is>
      </c>
      <c r="E1406" s="13" t="inlineStr">
        <is>
          <t>Produksi Harian</t>
        </is>
      </c>
      <c r="F1406" s="170" t="n">
        <v>46217.66195601852</v>
      </c>
      <c r="G1406" s="13" t="inlineStr">
        <is>
          <t>FREE</t>
        </is>
      </c>
      <c r="H1406" s="170" t="n">
        <v>46218.00326388889</v>
      </c>
    </row>
    <row r="1407">
      <c r="A1407" s="13" t="inlineStr">
        <is>
          <t>MK00H57</t>
        </is>
      </c>
      <c r="B1407" s="13" t="n">
        <v>528000265</v>
      </c>
      <c r="C1407" s="13" t="inlineStr">
        <is>
          <t>Muhammad Haerul Rozikin</t>
        </is>
      </c>
      <c r="D1407" s="13" t="inlineStr">
        <is>
          <t>LOG</t>
        </is>
      </c>
      <c r="E1407" s="13" t="inlineStr">
        <is>
          <t>WRM Harian</t>
        </is>
      </c>
      <c r="F1407" s="170" t="n">
        <v>46217.66393518518</v>
      </c>
      <c r="G1407" s="13" t="inlineStr">
        <is>
          <t>FREE</t>
        </is>
      </c>
      <c r="H1407" s="170" t="n">
        <v>46218.00239583333</v>
      </c>
    </row>
    <row r="1408">
      <c r="A1408" s="13" t="inlineStr">
        <is>
          <t>MK00136</t>
        </is>
      </c>
      <c r="B1408" s="13" t="n">
        <v>528000300</v>
      </c>
      <c r="C1408" s="13" t="inlineStr">
        <is>
          <t>Lia pitaloka</t>
        </is>
      </c>
      <c r="D1408" s="13" t="inlineStr">
        <is>
          <t>PROD</t>
        </is>
      </c>
      <c r="E1408" s="13" t="inlineStr">
        <is>
          <t>Produksi Harian</t>
        </is>
      </c>
      <c r="F1408" s="170" t="n">
        <v>46217.66408564815</v>
      </c>
      <c r="G1408" s="13" t="inlineStr">
        <is>
          <t>FREE</t>
        </is>
      </c>
      <c r="H1408" s="170" t="n">
        <v>46218.00229166666</v>
      </c>
    </row>
    <row r="1409">
      <c r="A1409" s="13" t="inlineStr">
        <is>
          <t>MK00141</t>
        </is>
      </c>
      <c r="B1409" s="13" t="n">
        <v>528000063</v>
      </c>
      <c r="C1409" s="13" t="inlineStr">
        <is>
          <t>Muhamad Ripki Pebrian</t>
        </is>
      </c>
      <c r="D1409" s="13" t="inlineStr">
        <is>
          <t>PROD</t>
        </is>
      </c>
      <c r="E1409" s="13" t="inlineStr">
        <is>
          <t>Produksi Harian</t>
        </is>
      </c>
      <c r="F1409" s="170" t="n">
        <v>46217.66453703704</v>
      </c>
      <c r="G1409" s="13" t="inlineStr">
        <is>
          <t>FREE</t>
        </is>
      </c>
      <c r="H1409" s="170" t="n">
        <v>46218.00071759259</v>
      </c>
    </row>
    <row r="1410">
      <c r="A1410" s="13" t="inlineStr">
        <is>
          <t>MK0053</t>
        </is>
      </c>
      <c r="B1410" s="13" t="n">
        <v>528000310</v>
      </c>
      <c r="C1410" s="13" t="inlineStr">
        <is>
          <t>Fachrul Rozzi Suryana</t>
        </is>
      </c>
      <c r="D1410" s="13" t="inlineStr">
        <is>
          <t>LOG</t>
        </is>
      </c>
      <c r="E1410" s="13" t="inlineStr">
        <is>
          <t>WRM Harian</t>
        </is>
      </c>
      <c r="F1410" s="170" t="n">
        <v>46217.66975694444</v>
      </c>
      <c r="G1410" s="13" t="inlineStr">
        <is>
          <t>FREE</t>
        </is>
      </c>
      <c r="H1410" s="170" t="n">
        <v>46218.22597222222</v>
      </c>
    </row>
    <row r="1411">
      <c r="A1411" s="13" t="inlineStr">
        <is>
          <t>MK00088</t>
        </is>
      </c>
      <c r="B1411" s="13" t="n">
        <v>528000015</v>
      </c>
      <c r="C1411" s="13" t="inlineStr">
        <is>
          <t>Erwin</t>
        </is>
      </c>
      <c r="D1411" s="13" t="inlineStr">
        <is>
          <t>LOG</t>
        </is>
      </c>
      <c r="E1411" s="13" t="inlineStr">
        <is>
          <t>WRM Harian</t>
        </is>
      </c>
      <c r="F1411" s="170" t="n">
        <v>46217.73601851852</v>
      </c>
      <c r="G1411" s="13" t="inlineStr">
        <is>
          <t>FREE</t>
        </is>
      </c>
      <c r="H1411" s="170" t="n">
        <v>46218.73649305556</v>
      </c>
    </row>
    <row r="1412">
      <c r="A1412" s="13" t="inlineStr">
        <is>
          <t>MK00160</t>
        </is>
      </c>
      <c r="B1412" s="13" t="n">
        <v>528000069</v>
      </c>
      <c r="C1412" s="13" t="inlineStr">
        <is>
          <t>Jajang Ardiansyah</t>
        </is>
      </c>
      <c r="D1412" s="13" t="inlineStr">
        <is>
          <t>PROD</t>
        </is>
      </c>
      <c r="E1412" s="13" t="inlineStr">
        <is>
          <t>Produksi Harian</t>
        </is>
      </c>
      <c r="F1412" s="170" t="n">
        <v>46217.73806712963</v>
      </c>
      <c r="G1412" s="13" t="inlineStr">
        <is>
          <t>FREE</t>
        </is>
      </c>
      <c r="H1412" s="170" t="n">
        <v>46218.35177083333</v>
      </c>
    </row>
    <row r="1413">
      <c r="A1413" s="13" t="inlineStr">
        <is>
          <t>MK00221</t>
        </is>
      </c>
      <c r="B1413" s="13" t="n">
        <v>528000144</v>
      </c>
      <c r="C1413" s="13" t="inlineStr">
        <is>
          <t>Jodi Hanafi</t>
        </is>
      </c>
      <c r="D1413" s="13" t="inlineStr">
        <is>
          <t>LOG</t>
        </is>
      </c>
      <c r="E1413" s="13" t="inlineStr">
        <is>
          <t>WRM Harian</t>
        </is>
      </c>
      <c r="F1413" s="170" t="n">
        <v>46217.74927083333</v>
      </c>
      <c r="G1413" s="13" t="inlineStr">
        <is>
          <t>FREE</t>
        </is>
      </c>
      <c r="H1413" s="170" t="n">
        <v>46218.14769675926</v>
      </c>
    </row>
    <row r="1414">
      <c r="A1414" s="13" t="inlineStr">
        <is>
          <t>MK00125</t>
        </is>
      </c>
      <c r="B1414" s="13" t="n">
        <v>528000314</v>
      </c>
      <c r="C1414" s="13" t="inlineStr">
        <is>
          <t>Rusmana</t>
        </is>
      </c>
      <c r="D1414" s="13" t="inlineStr">
        <is>
          <t>PROD</t>
        </is>
      </c>
      <c r="E1414" s="13" t="inlineStr">
        <is>
          <t>Produksi Harian</t>
        </is>
      </c>
      <c r="F1414" s="170" t="n">
        <v>46217.74958333333</v>
      </c>
      <c r="G1414" s="13" t="inlineStr">
        <is>
          <t>FREE</t>
        </is>
      </c>
      <c r="H1414" s="170" t="n">
        <v>46218.74590277778</v>
      </c>
    </row>
    <row r="1415">
      <c r="A1415" s="13" t="inlineStr">
        <is>
          <t>MK00210</t>
        </is>
      </c>
      <c r="B1415" s="13" t="n">
        <v>528000232</v>
      </c>
      <c r="C1415" s="13" t="inlineStr">
        <is>
          <t>Agung Aji Suhada</t>
        </is>
      </c>
      <c r="D1415" s="13" t="inlineStr">
        <is>
          <t>LOG</t>
        </is>
      </c>
      <c r="E1415" s="13" t="inlineStr">
        <is>
          <t>WRM Harian</t>
        </is>
      </c>
      <c r="F1415" s="170" t="n">
        <v>46217.78008101852</v>
      </c>
      <c r="G1415" s="13" t="inlineStr">
        <is>
          <t>FREE</t>
        </is>
      </c>
      <c r="H1415" s="170" t="n">
        <v>46218.12587962963</v>
      </c>
    </row>
    <row r="1416">
      <c r="A1416" s="13" t="inlineStr">
        <is>
          <t>MK00228</t>
        </is>
      </c>
      <c r="B1416" s="13" t="n">
        <v>528000132</v>
      </c>
      <c r="C1416" s="13" t="inlineStr">
        <is>
          <t>Giopani</t>
        </is>
      </c>
      <c r="D1416" s="13" t="inlineStr">
        <is>
          <t>LOG</t>
        </is>
      </c>
      <c r="E1416" s="13" t="inlineStr">
        <is>
          <t>WRM Harian</t>
        </is>
      </c>
      <c r="F1416" s="170" t="n">
        <v>46217.78949074074</v>
      </c>
      <c r="G1416" s="13" t="inlineStr">
        <is>
          <t>FREE</t>
        </is>
      </c>
      <c r="H1416" s="170" t="n">
        <v>46218.12535879629</v>
      </c>
    </row>
    <row r="1417">
      <c r="A1417" s="13" t="inlineStr">
        <is>
          <t>MK00205</t>
        </is>
      </c>
      <c r="B1417" s="13" t="n">
        <v>528000348</v>
      </c>
      <c r="C1417" s="13" t="inlineStr">
        <is>
          <t>Saepuloh Ardiansah</t>
        </is>
      </c>
      <c r="D1417" s="13" t="inlineStr">
        <is>
          <t>LOG</t>
        </is>
      </c>
      <c r="E1417" s="13" t="inlineStr">
        <is>
          <t>WRM Harian</t>
        </is>
      </c>
      <c r="F1417" s="170" t="n">
        <v>46217.78958333333</v>
      </c>
      <c r="G1417" s="13" t="inlineStr">
        <is>
          <t>FREE</t>
        </is>
      </c>
      <c r="H1417" s="170" t="n">
        <v>46218.21537037037</v>
      </c>
    </row>
    <row r="1418">
      <c r="A1418" s="13" t="inlineStr">
        <is>
          <t>MK00134</t>
        </is>
      </c>
      <c r="B1418" s="13" t="n">
        <v>528000349</v>
      </c>
      <c r="C1418" s="13" t="inlineStr">
        <is>
          <t>Anas Abdul Fatah</t>
        </is>
      </c>
      <c r="D1418" s="13" t="inlineStr">
        <is>
          <t>LOG</t>
        </is>
      </c>
      <c r="E1418" s="13" t="inlineStr">
        <is>
          <t>WFG Harian</t>
        </is>
      </c>
      <c r="F1418" s="170" t="n">
        <v>46217.81730324074</v>
      </c>
      <c r="G1418" s="13" t="inlineStr">
        <is>
          <t>FREE</t>
        </is>
      </c>
      <c r="H1418" s="170" t="n">
        <v>46218.18064814815</v>
      </c>
    </row>
    <row r="1419">
      <c r="A1419" s="13" t="inlineStr">
        <is>
          <t>MK00090</t>
        </is>
      </c>
      <c r="B1419" s="13" t="n">
        <v>528000201</v>
      </c>
      <c r="C1419" s="13" t="inlineStr">
        <is>
          <t>Zahwa Amelia Choerunissa</t>
        </is>
      </c>
      <c r="D1419" s="13" t="inlineStr">
        <is>
          <t>PROD</t>
        </is>
      </c>
      <c r="E1419" s="13" t="inlineStr">
        <is>
          <t>Produksi Harian</t>
        </is>
      </c>
      <c r="F1419" s="170" t="n">
        <v>46217.9890625</v>
      </c>
      <c r="G1419" s="13" t="inlineStr">
        <is>
          <t>FREE</t>
        </is>
      </c>
      <c r="H1419" s="170" t="n">
        <v>46218.34104166667</v>
      </c>
    </row>
    <row r="1420">
      <c r="A1420" s="13" t="inlineStr">
        <is>
          <t>MK00181</t>
        </is>
      </c>
      <c r="B1420" s="13" t="n">
        <v>528000099</v>
      </c>
      <c r="C1420" s="13" t="inlineStr">
        <is>
          <t>Siti Nurawaliah</t>
        </is>
      </c>
      <c r="D1420" s="13" t="inlineStr">
        <is>
          <t>PROD</t>
        </is>
      </c>
      <c r="E1420" s="13" t="inlineStr">
        <is>
          <t>Produksi Harian</t>
        </is>
      </c>
      <c r="F1420" s="170" t="n">
        <v>46217.98938657407</v>
      </c>
      <c r="G1420" s="13" t="inlineStr">
        <is>
          <t>FREE</t>
        </is>
      </c>
      <c r="H1420" s="170" t="n">
        <v>46218.34158564815</v>
      </c>
    </row>
    <row r="1421">
      <c r="A1421" s="13" t="inlineStr">
        <is>
          <t>MK00156</t>
        </is>
      </c>
      <c r="B1421" s="13" t="n">
        <v>528000286</v>
      </c>
      <c r="C1421" s="13" t="inlineStr">
        <is>
          <t>Imelda Amelia</t>
        </is>
      </c>
      <c r="D1421" s="13" t="inlineStr">
        <is>
          <t>PROD</t>
        </is>
      </c>
      <c r="E1421" s="13" t="inlineStr">
        <is>
          <t>Produksi Harian</t>
        </is>
      </c>
      <c r="F1421" s="170" t="n">
        <v>46217.99103009259</v>
      </c>
      <c r="G1421" s="13" t="inlineStr">
        <is>
          <t>FREE</t>
        </is>
      </c>
      <c r="H1421" s="170" t="n">
        <v>46218.33969907407</v>
      </c>
    </row>
    <row r="1422">
      <c r="A1422" s="13" t="inlineStr">
        <is>
          <t>MK00138</t>
        </is>
      </c>
      <c r="B1422" s="13" t="n">
        <v>528000359</v>
      </c>
      <c r="C1422" s="13" t="inlineStr">
        <is>
          <t>M. Iqbal Maulana. S</t>
        </is>
      </c>
      <c r="D1422" s="13" t="inlineStr">
        <is>
          <t>LOG</t>
        </is>
      </c>
      <c r="E1422" s="13" t="inlineStr">
        <is>
          <t>WRM Harian</t>
        </is>
      </c>
      <c r="F1422" s="170" t="n">
        <v>46217.99197916667</v>
      </c>
      <c r="G1422" s="13" t="inlineStr">
        <is>
          <t>FREE</t>
        </is>
      </c>
      <c r="H1422" s="170" t="n">
        <v>46218.33605324074</v>
      </c>
    </row>
    <row r="1423">
      <c r="A1423" s="13" t="inlineStr">
        <is>
          <t>MK00085</t>
        </is>
      </c>
      <c r="B1423" s="13" t="n">
        <v>528000289</v>
      </c>
      <c r="C1423" s="13" t="inlineStr">
        <is>
          <t>Adit Supriyadi</t>
        </is>
      </c>
      <c r="D1423" s="13" t="inlineStr">
        <is>
          <t>PROD</t>
        </is>
      </c>
      <c r="E1423" s="13" t="inlineStr">
        <is>
          <t>Produksi Harian</t>
        </is>
      </c>
      <c r="F1423" s="170" t="n">
        <v>46217.99200231482</v>
      </c>
      <c r="G1423" s="13" t="inlineStr">
        <is>
          <t>FREE</t>
        </is>
      </c>
      <c r="H1423" s="170" t="n">
        <v>46218.99304398148</v>
      </c>
    </row>
    <row r="1424">
      <c r="A1424" s="13" t="inlineStr">
        <is>
          <t>MK00204</t>
        </is>
      </c>
      <c r="B1424" s="13" t="n">
        <v>528000241</v>
      </c>
      <c r="C1424" s="13" t="inlineStr">
        <is>
          <t>Balia Nurafif Bilah</t>
        </is>
      </c>
      <c r="D1424" s="13" t="inlineStr">
        <is>
          <t>PROD</t>
        </is>
      </c>
      <c r="E1424" s="13" t="inlineStr">
        <is>
          <t>Produksi Harian</t>
        </is>
      </c>
      <c r="F1424" s="170" t="n">
        <v>46217.99317129629</v>
      </c>
      <c r="G1424" s="13" t="inlineStr">
        <is>
          <t>FREE</t>
        </is>
      </c>
      <c r="H1424" s="170" t="n">
        <v>46218.33614583333</v>
      </c>
    </row>
    <row r="1425">
      <c r="A1425" s="13" t="inlineStr">
        <is>
          <t>MK00112</t>
        </is>
      </c>
      <c r="B1425" s="13" t="n">
        <v>528000274</v>
      </c>
      <c r="C1425" s="13" t="inlineStr">
        <is>
          <t>Zepri</t>
        </is>
      </c>
      <c r="D1425" s="13" t="inlineStr">
        <is>
          <t>PROD</t>
        </is>
      </c>
      <c r="E1425" s="13" t="inlineStr">
        <is>
          <t>Produksi Harian</t>
        </is>
      </c>
      <c r="F1425" s="170" t="n">
        <v>46217.99631944444</v>
      </c>
      <c r="G1425" s="13" t="inlineStr">
        <is>
          <t>FREE</t>
        </is>
      </c>
      <c r="H1425" s="170" t="n">
        <v>46218.33547453704</v>
      </c>
    </row>
    <row r="1426">
      <c r="A1426" s="13" t="inlineStr">
        <is>
          <t>MK00249</t>
        </is>
      </c>
      <c r="B1426" s="13" t="n">
        <v>528000228</v>
      </c>
      <c r="C1426" s="13" t="inlineStr">
        <is>
          <t>Banyu Resmi Putri</t>
        </is>
      </c>
      <c r="D1426" s="13" t="inlineStr">
        <is>
          <t>PROD</t>
        </is>
      </c>
      <c r="E1426" s="13" t="inlineStr">
        <is>
          <t>Produksi Harian</t>
        </is>
      </c>
      <c r="F1426" s="170" t="n">
        <v>46217.99699074074</v>
      </c>
      <c r="G1426" s="13" t="inlineStr">
        <is>
          <t>FREE</t>
        </is>
      </c>
      <c r="H1426" s="170" t="n">
        <v>46221.33579861111</v>
      </c>
    </row>
    <row r="1427">
      <c r="A1427" s="13" t="inlineStr">
        <is>
          <t>MK00145</t>
        </is>
      </c>
      <c r="B1427" s="13" t="n">
        <v>528000090</v>
      </c>
      <c r="C1427" s="13" t="inlineStr">
        <is>
          <t>Suganda</t>
        </is>
      </c>
      <c r="D1427" s="13" t="inlineStr">
        <is>
          <t>PROD</t>
        </is>
      </c>
      <c r="E1427" s="13" t="inlineStr">
        <is>
          <t>Produksi Harian</t>
        </is>
      </c>
      <c r="F1427" s="170" t="n">
        <v>46217.99784722222</v>
      </c>
      <c r="G1427" s="13" t="inlineStr">
        <is>
          <t>FREE</t>
        </is>
      </c>
      <c r="H1427" s="170" t="n">
        <v>46218.33571759259</v>
      </c>
    </row>
    <row r="1428">
      <c r="A1428" s="13" t="inlineStr">
        <is>
          <t>MK00212</t>
        </is>
      </c>
      <c r="B1428" s="13" t="n">
        <v>528000290</v>
      </c>
      <c r="C1428" s="13" t="inlineStr">
        <is>
          <t>Eval Pranata</t>
        </is>
      </c>
      <c r="D1428" s="13" t="inlineStr">
        <is>
          <t>PROD</t>
        </is>
      </c>
      <c r="E1428" s="13" t="inlineStr">
        <is>
          <t>Produksi Harian</t>
        </is>
      </c>
      <c r="F1428" s="170" t="n">
        <v>46217.99836805555</v>
      </c>
      <c r="G1428" s="13" t="inlineStr">
        <is>
          <t>FREE</t>
        </is>
      </c>
      <c r="H1428" s="170" t="n">
        <v>46218.33555555555</v>
      </c>
    </row>
    <row r="1429">
      <c r="A1429" s="13" t="inlineStr">
        <is>
          <t>MK00150</t>
        </is>
      </c>
      <c r="B1429" s="13" t="n">
        <v>528000212</v>
      </c>
      <c r="C1429" s="13" t="inlineStr">
        <is>
          <t>Rizal Fauzi</t>
        </is>
      </c>
      <c r="D1429" s="13" t="inlineStr">
        <is>
          <t>PROD</t>
        </is>
      </c>
      <c r="E1429" s="13" t="inlineStr">
        <is>
          <t>Produksi Harian</t>
        </is>
      </c>
      <c r="F1429" s="170" t="n">
        <v>46218.00155092592</v>
      </c>
      <c r="G1429" s="13" t="inlineStr">
        <is>
          <t>FREE</t>
        </is>
      </c>
      <c r="H1429" s="170" t="n">
        <v>46219.00024305555</v>
      </c>
    </row>
    <row r="1430">
      <c r="A1430" s="13" t="inlineStr">
        <is>
          <t>MK00208</t>
        </is>
      </c>
      <c r="B1430" s="13" t="n">
        <v>528000313</v>
      </c>
      <c r="C1430" s="13" t="inlineStr">
        <is>
          <t>Muhamad Rifki</t>
        </is>
      </c>
      <c r="D1430" s="13" t="inlineStr">
        <is>
          <t>PROD</t>
        </is>
      </c>
      <c r="E1430" s="13" t="inlineStr">
        <is>
          <t>Produksi Harian</t>
        </is>
      </c>
      <c r="F1430" s="170" t="n">
        <v>46218.29523148148</v>
      </c>
      <c r="G1430" s="13" t="inlineStr">
        <is>
          <t>FREE</t>
        </is>
      </c>
      <c r="H1430" s="170" t="n">
        <v>46218.67005787037</v>
      </c>
    </row>
    <row r="1431">
      <c r="A1431" s="13" t="inlineStr">
        <is>
          <t>MK00154</t>
        </is>
      </c>
      <c r="B1431" s="13" t="n">
        <v>628000091</v>
      </c>
      <c r="C1431" s="13" t="inlineStr">
        <is>
          <t>Devita Handayani</t>
        </is>
      </c>
      <c r="D1431" s="13" t="inlineStr">
        <is>
          <t>PROD</t>
        </is>
      </c>
      <c r="E1431" s="13" t="inlineStr">
        <is>
          <t>Produksi Borongan</t>
        </is>
      </c>
      <c r="F1431" s="170" t="n">
        <v>46218.3092824074</v>
      </c>
      <c r="G1431" s="13" t="inlineStr">
        <is>
          <t>FREE</t>
        </is>
      </c>
      <c r="H1431" s="170" t="n">
        <v>46218.67451388889</v>
      </c>
    </row>
    <row r="1432">
      <c r="A1432" s="13" t="inlineStr">
        <is>
          <t>MK00202</t>
        </is>
      </c>
      <c r="B1432" s="13" t="n">
        <v>528000340</v>
      </c>
      <c r="C1432" s="13" t="inlineStr">
        <is>
          <t>Muhammad Wildan Adithya</t>
        </is>
      </c>
      <c r="D1432" s="13" t="inlineStr">
        <is>
          <t>PROD</t>
        </is>
      </c>
      <c r="E1432" s="13" t="inlineStr">
        <is>
          <t>Produksi Harian</t>
        </is>
      </c>
      <c r="F1432" s="170" t="n">
        <v>46218.30969907407</v>
      </c>
      <c r="G1432" s="13" t="inlineStr">
        <is>
          <t>FREE</t>
        </is>
      </c>
      <c r="H1432" s="170" t="n">
        <v>46218.67165509259</v>
      </c>
    </row>
    <row r="1433">
      <c r="A1433" s="13" t="inlineStr">
        <is>
          <t>MK00185</t>
        </is>
      </c>
      <c r="B1433" s="13" t="n">
        <v>528000318</v>
      </c>
      <c r="C1433" s="13" t="inlineStr">
        <is>
          <t>Bayu Padli Sepriyana</t>
        </is>
      </c>
      <c r="D1433" s="13" t="inlineStr">
        <is>
          <t>LOG</t>
        </is>
      </c>
      <c r="E1433" s="13" t="inlineStr">
        <is>
          <t>WRM Harian</t>
        </is>
      </c>
      <c r="F1433" s="170" t="n">
        <v>46218.31864583334</v>
      </c>
      <c r="G1433" s="13" t="inlineStr">
        <is>
          <t>FREE</t>
        </is>
      </c>
      <c r="H1433" s="170" t="n">
        <v>46218.66837962963</v>
      </c>
    </row>
    <row r="1434">
      <c r="A1434" s="13" t="inlineStr">
        <is>
          <t>MK00213</t>
        </is>
      </c>
      <c r="B1434" s="13" t="n">
        <v>528000270</v>
      </c>
      <c r="C1434" s="13" t="inlineStr">
        <is>
          <t>Febri Najmudin</t>
        </is>
      </c>
      <c r="D1434" s="13" t="inlineStr">
        <is>
          <t>LOG</t>
        </is>
      </c>
      <c r="E1434" s="13" t="inlineStr">
        <is>
          <t>WRM Harian</t>
        </is>
      </c>
      <c r="F1434" s="170" t="n">
        <v>46218.32111111111</v>
      </c>
      <c r="G1434" s="13" t="inlineStr">
        <is>
          <t>FREE</t>
        </is>
      </c>
      <c r="H1434" s="170" t="n">
        <v>46218.68976851852</v>
      </c>
    </row>
    <row r="1435">
      <c r="A1435" s="13" t="inlineStr">
        <is>
          <t>MK00134</t>
        </is>
      </c>
      <c r="B1435" s="13" t="n">
        <v>528000298</v>
      </c>
      <c r="C1435" s="13" t="inlineStr">
        <is>
          <t>Desta Cahaya Pratama</t>
        </is>
      </c>
      <c r="D1435" s="13" t="inlineStr">
        <is>
          <t>PROD</t>
        </is>
      </c>
      <c r="E1435" s="13" t="inlineStr">
        <is>
          <t>Produksi Harian</t>
        </is>
      </c>
      <c r="F1435" s="170" t="n">
        <v>46218.32244212963</v>
      </c>
      <c r="G1435" s="13" t="inlineStr">
        <is>
          <t>FREE</t>
        </is>
      </c>
      <c r="H1435" s="170" t="n">
        <v>46218.67131944445</v>
      </c>
    </row>
    <row r="1436">
      <c r="A1436" s="13" t="inlineStr">
        <is>
          <t>MK00230</t>
        </is>
      </c>
      <c r="B1436" s="13" t="n">
        <v>528000305</v>
      </c>
      <c r="C1436" s="13" t="inlineStr">
        <is>
          <t>Puji Puspita</t>
        </is>
      </c>
      <c r="D1436" s="13" t="inlineStr">
        <is>
          <t>PROD</t>
        </is>
      </c>
      <c r="E1436" s="13" t="inlineStr">
        <is>
          <t>Produksi Harian</t>
        </is>
      </c>
      <c r="F1436" s="170" t="n">
        <v>46218.32275462963</v>
      </c>
      <c r="G1436" s="13" t="inlineStr">
        <is>
          <t>FREE</t>
        </is>
      </c>
      <c r="H1436" s="170" t="n">
        <v>46218.66887731481</v>
      </c>
    </row>
    <row r="1437">
      <c r="A1437" s="13" t="inlineStr">
        <is>
          <t>MK00126</t>
        </is>
      </c>
      <c r="B1437" s="13" t="n">
        <v>528000299</v>
      </c>
      <c r="C1437" s="13" t="inlineStr">
        <is>
          <t>Siti Nurjanah</t>
        </is>
      </c>
      <c r="D1437" s="13" t="inlineStr">
        <is>
          <t>PROD</t>
        </is>
      </c>
      <c r="E1437" s="13" t="inlineStr">
        <is>
          <t>Produksi Harian</t>
        </is>
      </c>
      <c r="F1437" s="170" t="n">
        <v>46218.32315972223</v>
      </c>
      <c r="G1437" s="13" t="inlineStr">
        <is>
          <t>FREE</t>
        </is>
      </c>
      <c r="H1437" s="170" t="n">
        <v>46218.67234953704</v>
      </c>
    </row>
    <row r="1438">
      <c r="A1438" s="13" t="inlineStr">
        <is>
          <t>MK00250</t>
        </is>
      </c>
      <c r="B1438" s="13" t="n">
        <v>528000309</v>
      </c>
      <c r="C1438" s="13" t="inlineStr">
        <is>
          <t>Ilham Ramadhan</t>
        </is>
      </c>
      <c r="D1438" s="13" t="inlineStr">
        <is>
          <t>LOG</t>
        </is>
      </c>
      <c r="E1438" s="13" t="inlineStr">
        <is>
          <t>WRM Harian</t>
        </is>
      </c>
      <c r="F1438" s="170" t="n">
        <v>46218.32541666667</v>
      </c>
      <c r="G1438" s="13" t="inlineStr">
        <is>
          <t>FREE</t>
        </is>
      </c>
      <c r="H1438" s="170" t="n">
        <v>46218.66986111111</v>
      </c>
    </row>
    <row r="1439">
      <c r="A1439" s="13" t="inlineStr">
        <is>
          <t>MK00082</t>
        </is>
      </c>
      <c r="B1439" s="13" t="n">
        <v>528000302</v>
      </c>
      <c r="C1439" s="13" t="inlineStr">
        <is>
          <t>Henkey gumilar</t>
        </is>
      </c>
      <c r="D1439" s="13" t="inlineStr">
        <is>
          <t>PROD</t>
        </is>
      </c>
      <c r="E1439" s="13" t="inlineStr">
        <is>
          <t>Produksi Harian</t>
        </is>
      </c>
      <c r="F1439" s="170" t="n">
        <v>46218.3293287037</v>
      </c>
      <c r="G1439" s="13" t="inlineStr">
        <is>
          <t>FREE</t>
        </is>
      </c>
      <c r="H1439" s="170" t="n">
        <v>46218.6718287037</v>
      </c>
    </row>
    <row r="1440">
      <c r="A1440" s="13" t="inlineStr">
        <is>
          <t>MK00121</t>
        </is>
      </c>
      <c r="B1440" s="13" t="n">
        <v>528000306</v>
      </c>
      <c r="C1440" s="13" t="inlineStr">
        <is>
          <t>Windy Olivia</t>
        </is>
      </c>
      <c r="D1440" s="13" t="inlineStr">
        <is>
          <t>PROD</t>
        </is>
      </c>
      <c r="E1440" s="13" t="inlineStr">
        <is>
          <t>Produksi Harian</t>
        </is>
      </c>
      <c r="F1440" s="170" t="n">
        <v>46218.65909722223</v>
      </c>
      <c r="G1440" s="13" t="inlineStr">
        <is>
          <t>FREE</t>
        </is>
      </c>
      <c r="H1440" s="170" t="n">
        <v>46219.00168981482</v>
      </c>
    </row>
    <row r="1441">
      <c r="A1441" s="13" t="inlineStr">
        <is>
          <t>MK00212</t>
        </is>
      </c>
      <c r="B1441" s="13" t="n">
        <v>528000279</v>
      </c>
      <c r="C1441" s="13" t="inlineStr">
        <is>
          <t>Mahdalena Dalfa Riani</t>
        </is>
      </c>
      <c r="D1441" s="13" t="inlineStr">
        <is>
          <t>PROD</t>
        </is>
      </c>
      <c r="E1441" s="13" t="inlineStr">
        <is>
          <t>Produksi Harian</t>
        </is>
      </c>
      <c r="F1441" s="170" t="n">
        <v>46218.66248842593</v>
      </c>
      <c r="G1441" s="13" t="inlineStr">
        <is>
          <t>FREE</t>
        </is>
      </c>
      <c r="H1441" s="170" t="n">
        <v>46219.00155092592</v>
      </c>
    </row>
    <row r="1442">
      <c r="A1442" s="13" t="inlineStr">
        <is>
          <t>MK00148</t>
        </is>
      </c>
      <c r="B1442" s="13" t="n">
        <v>528000248</v>
      </c>
      <c r="C1442" s="13" t="inlineStr">
        <is>
          <t>Roka Jaya Salka Mulya</t>
        </is>
      </c>
      <c r="D1442" s="13" t="inlineStr">
        <is>
          <t>PROD</t>
        </is>
      </c>
      <c r="E1442" s="13" t="inlineStr">
        <is>
          <t>Produksi Harian</t>
        </is>
      </c>
      <c r="F1442" s="170" t="n">
        <v>46218.66274305555</v>
      </c>
      <c r="G1442" s="13" t="inlineStr">
        <is>
          <t>FREE</t>
        </is>
      </c>
      <c r="H1442" s="170" t="n">
        <v>46219.00135416666</v>
      </c>
    </row>
    <row r="1443">
      <c r="A1443" s="13" t="inlineStr">
        <is>
          <t>MK00235</t>
        </is>
      </c>
      <c r="B1443" s="13" t="n">
        <v>528000359</v>
      </c>
      <c r="C1443" s="13" t="inlineStr">
        <is>
          <t>M. Iqbal Maulana. S</t>
        </is>
      </c>
      <c r="D1443" s="13" t="inlineStr">
        <is>
          <t>LOG</t>
        </is>
      </c>
      <c r="E1443" s="13" t="inlineStr">
        <is>
          <t>WRM Harian</t>
        </is>
      </c>
      <c r="F1443" s="170" t="n">
        <v>46218.66300925926</v>
      </c>
      <c r="G1443" s="13" t="inlineStr">
        <is>
          <t>FREE</t>
        </is>
      </c>
      <c r="H1443" s="170" t="n">
        <v>46219.0015162037</v>
      </c>
    </row>
    <row r="1444">
      <c r="A1444" s="13" t="inlineStr">
        <is>
          <t>MK00108</t>
        </is>
      </c>
      <c r="B1444" s="13" t="n">
        <v>528000288</v>
      </c>
      <c r="C1444" s="13" t="inlineStr">
        <is>
          <t>Dede gunawan</t>
        </is>
      </c>
      <c r="D1444" s="13" t="inlineStr">
        <is>
          <t>PROD</t>
        </is>
      </c>
      <c r="E1444" s="13" t="inlineStr">
        <is>
          <t>Produksi Harian</t>
        </is>
      </c>
      <c r="F1444" s="170" t="n">
        <v>46218.663125</v>
      </c>
      <c r="G1444" s="13" t="inlineStr">
        <is>
          <t>FREE</t>
        </is>
      </c>
      <c r="H1444" s="170" t="n">
        <v>46219.66506944445</v>
      </c>
    </row>
    <row r="1445">
      <c r="A1445" s="13" t="inlineStr">
        <is>
          <t>MK00109</t>
        </is>
      </c>
      <c r="B1445" s="13" t="n">
        <v>628000064</v>
      </c>
      <c r="C1445" s="13" t="inlineStr">
        <is>
          <t>Silva Alypia</t>
        </is>
      </c>
      <c r="D1445" s="13" t="inlineStr">
        <is>
          <t>PROD</t>
        </is>
      </c>
      <c r="E1445" s="13" t="inlineStr">
        <is>
          <t>Produksi Borongan</t>
        </is>
      </c>
      <c r="F1445" s="170" t="n">
        <v>46218.66328703704</v>
      </c>
      <c r="G1445" s="13" t="inlineStr">
        <is>
          <t>FREE</t>
        </is>
      </c>
      <c r="H1445" s="170" t="n">
        <v>46219.00258101852</v>
      </c>
    </row>
    <row r="1446">
      <c r="A1446" s="13" t="inlineStr">
        <is>
          <t>MK00145</t>
        </is>
      </c>
      <c r="B1446" s="13" t="n">
        <v>528000300</v>
      </c>
      <c r="C1446" s="13" t="inlineStr">
        <is>
          <t>Lia pitaloka</t>
        </is>
      </c>
      <c r="D1446" s="13" t="inlineStr">
        <is>
          <t>PROD</t>
        </is>
      </c>
      <c r="E1446" s="13" t="inlineStr">
        <is>
          <t>Produksi Harian</t>
        </is>
      </c>
      <c r="F1446" s="170" t="n">
        <v>46218.66372685185</v>
      </c>
      <c r="G1446" s="13" t="inlineStr">
        <is>
          <t>FREE</t>
        </is>
      </c>
      <c r="H1446" s="170" t="n">
        <v>46219.0024537037</v>
      </c>
    </row>
    <row r="1447">
      <c r="A1447" s="13" t="inlineStr">
        <is>
          <t>MK00116</t>
        </is>
      </c>
      <c r="B1447" s="13" t="n">
        <v>528000297</v>
      </c>
      <c r="C1447" s="13" t="inlineStr">
        <is>
          <t>Muhamad Budiana</t>
        </is>
      </c>
      <c r="D1447" s="13" t="inlineStr">
        <is>
          <t>PROD</t>
        </is>
      </c>
      <c r="E1447" s="13" t="inlineStr">
        <is>
          <t>Produksi Harian</t>
        </is>
      </c>
      <c r="F1447" s="170" t="n">
        <v>46218.66371527778</v>
      </c>
      <c r="G1447" s="13" t="inlineStr">
        <is>
          <t>FREE</t>
        </is>
      </c>
      <c r="H1447" s="170" t="n">
        <v>46219.03928240741</v>
      </c>
    </row>
    <row r="1448">
      <c r="A1448" s="13" t="inlineStr">
        <is>
          <t>MK00158</t>
        </is>
      </c>
      <c r="B1448" s="13" t="n">
        <v>528000063</v>
      </c>
      <c r="C1448" s="13" t="inlineStr">
        <is>
          <t>Muhamad Ripki Pebrian</t>
        </is>
      </c>
      <c r="D1448" s="13" t="inlineStr">
        <is>
          <t>PROD</t>
        </is>
      </c>
      <c r="E1448" s="13" t="inlineStr">
        <is>
          <t>Produksi Harian</t>
        </is>
      </c>
      <c r="F1448" s="170" t="n">
        <v>46218.66501157408</v>
      </c>
      <c r="G1448" s="13" t="inlineStr">
        <is>
          <t>FREE</t>
        </is>
      </c>
      <c r="H1448" s="170" t="n">
        <v>46219.00122685185</v>
      </c>
    </row>
    <row r="1449">
      <c r="A1449" s="13" t="inlineStr">
        <is>
          <t>MK00160</t>
        </is>
      </c>
      <c r="B1449" s="13" t="n">
        <v>528000069</v>
      </c>
      <c r="C1449" s="13" t="inlineStr">
        <is>
          <t>Jajang Ardiansyah</t>
        </is>
      </c>
      <c r="D1449" s="13" t="inlineStr">
        <is>
          <t>PROD</t>
        </is>
      </c>
      <c r="E1449" s="13" t="inlineStr">
        <is>
          <t>Produksi Harian</t>
        </is>
      </c>
      <c r="F1449" s="170" t="n">
        <v>46218.72070601852</v>
      </c>
      <c r="G1449" s="13" t="inlineStr">
        <is>
          <t>FREE</t>
        </is>
      </c>
      <c r="H1449" s="170" t="n">
        <v>46219.09510416666</v>
      </c>
    </row>
    <row r="1450">
      <c r="A1450" s="13" t="inlineStr">
        <is>
          <t>MK00213</t>
        </is>
      </c>
      <c r="B1450" s="13" t="n">
        <v>528000282</v>
      </c>
      <c r="C1450" s="13" t="inlineStr">
        <is>
          <t>Defa Desfiana</t>
        </is>
      </c>
      <c r="D1450" s="13" t="inlineStr">
        <is>
          <t>PROD</t>
        </is>
      </c>
      <c r="E1450" s="13" t="inlineStr">
        <is>
          <t>Produksi Harian</t>
        </is>
      </c>
      <c r="F1450" s="170" t="n">
        <v>46218.72981481482</v>
      </c>
      <c r="G1450" s="13" t="inlineStr">
        <is>
          <t>FREE</t>
        </is>
      </c>
      <c r="H1450" s="170" t="n">
        <v>46219.09357638889</v>
      </c>
    </row>
    <row r="1451">
      <c r="A1451" s="13" t="inlineStr">
        <is>
          <t>MK00221</t>
        </is>
      </c>
      <c r="B1451" s="13" t="n">
        <v>528000144</v>
      </c>
      <c r="C1451" s="13" t="inlineStr">
        <is>
          <t>Jodi Hanafi</t>
        </is>
      </c>
      <c r="D1451" s="13" t="inlineStr">
        <is>
          <t>LOG</t>
        </is>
      </c>
      <c r="E1451" s="13" t="inlineStr">
        <is>
          <t>WRM Harian</t>
        </is>
      </c>
      <c r="F1451" s="170" t="n">
        <v>46218.7355787037</v>
      </c>
      <c r="G1451" s="13" t="inlineStr">
        <is>
          <t>FREE</t>
        </is>
      </c>
      <c r="H1451" s="170" t="n">
        <v>46219.09417824074</v>
      </c>
    </row>
    <row r="1452">
      <c r="A1452" s="13" t="inlineStr">
        <is>
          <t>MK00181</t>
        </is>
      </c>
      <c r="B1452" s="13" t="n">
        <v>528000015</v>
      </c>
      <c r="C1452" s="13" t="inlineStr">
        <is>
          <t>Erwin</t>
        </is>
      </c>
      <c r="D1452" s="13" t="inlineStr">
        <is>
          <t>LOG</t>
        </is>
      </c>
      <c r="E1452" s="13" t="inlineStr">
        <is>
          <t>WRM Harian</t>
        </is>
      </c>
      <c r="F1452" s="170" t="n">
        <v>46218.73679398148</v>
      </c>
      <c r="G1452" s="13" t="inlineStr">
        <is>
          <t>FREE</t>
        </is>
      </c>
      <c r="H1452" s="170" t="n">
        <v>46219.23447916667</v>
      </c>
    </row>
    <row r="1453">
      <c r="A1453" s="13" t="inlineStr">
        <is>
          <t>MK00208</t>
        </is>
      </c>
      <c r="B1453" s="13" t="n">
        <v>528000351</v>
      </c>
      <c r="C1453" s="13" t="inlineStr">
        <is>
          <t>Mulyana</t>
        </is>
      </c>
      <c r="D1453" s="13" t="inlineStr">
        <is>
          <t>PROD</t>
        </is>
      </c>
      <c r="E1453" s="13" t="inlineStr">
        <is>
          <t>Produksi Harian</t>
        </is>
      </c>
      <c r="F1453" s="170" t="n">
        <v>46218.74300925926</v>
      </c>
      <c r="G1453" s="13" t="inlineStr">
        <is>
          <t>FREE</t>
        </is>
      </c>
      <c r="H1453" s="170" t="n">
        <v>46219.0853587963</v>
      </c>
    </row>
    <row r="1454">
      <c r="A1454" s="13" t="inlineStr">
        <is>
          <t>MK00192</t>
        </is>
      </c>
      <c r="B1454" s="13" t="n">
        <v>528000310</v>
      </c>
      <c r="C1454" s="13" t="inlineStr">
        <is>
          <t>Fachrul Rozzi Suryana</t>
        </is>
      </c>
      <c r="D1454" s="13" t="inlineStr">
        <is>
          <t>LOG</t>
        </is>
      </c>
      <c r="E1454" s="13" t="inlineStr">
        <is>
          <t>WRM Harian</t>
        </is>
      </c>
      <c r="F1454" s="170" t="n">
        <v>46218.74410879629</v>
      </c>
      <c r="G1454" s="13" t="inlineStr">
        <is>
          <t>FREE</t>
        </is>
      </c>
      <c r="H1454" s="170" t="n">
        <v>46219.08394675926</v>
      </c>
    </row>
    <row r="1455">
      <c r="A1455" s="13" t="inlineStr">
        <is>
          <t>MK00203</t>
        </is>
      </c>
      <c r="B1455" s="13" t="n">
        <v>528000265</v>
      </c>
      <c r="C1455" s="13" t="inlineStr">
        <is>
          <t>Muhammad Haerul Rozikin</t>
        </is>
      </c>
      <c r="D1455" s="13" t="inlineStr">
        <is>
          <t>LOG</t>
        </is>
      </c>
      <c r="E1455" s="13" t="inlineStr">
        <is>
          <t>WRM Harian</t>
        </is>
      </c>
      <c r="F1455" s="170" t="n">
        <v>46218.74697916667</v>
      </c>
      <c r="G1455" s="13" t="inlineStr">
        <is>
          <t>FREE</t>
        </is>
      </c>
      <c r="H1455" s="170" t="n">
        <v>46219.08420138889</v>
      </c>
    </row>
    <row r="1456">
      <c r="A1456" s="13" t="inlineStr">
        <is>
          <t>MK00125</t>
        </is>
      </c>
      <c r="B1456" s="13" t="n">
        <v>528000314</v>
      </c>
      <c r="C1456" s="13" t="inlineStr">
        <is>
          <t>Rusmana</t>
        </is>
      </c>
      <c r="D1456" s="13" t="inlineStr">
        <is>
          <t>PROD</t>
        </is>
      </c>
      <c r="E1456" s="13" t="inlineStr">
        <is>
          <t>Produksi Harian</t>
        </is>
      </c>
      <c r="F1456" s="170" t="n">
        <v>46218.74697916667</v>
      </c>
      <c r="G1456" s="13" t="inlineStr">
        <is>
          <t>FREE</t>
        </is>
      </c>
      <c r="H1456" s="170" t="n">
        <v>46219.98577546296</v>
      </c>
    </row>
    <row r="1457">
      <c r="A1457" s="13" t="inlineStr">
        <is>
          <t>MK00210</t>
        </is>
      </c>
      <c r="B1457" s="13" t="n">
        <v>528000232</v>
      </c>
      <c r="C1457" s="13" t="inlineStr">
        <is>
          <t>Agung Aji Suhada</t>
        </is>
      </c>
      <c r="D1457" s="13" t="inlineStr">
        <is>
          <t>LOG</t>
        </is>
      </c>
      <c r="E1457" s="13" t="inlineStr">
        <is>
          <t>WRM Harian</t>
        </is>
      </c>
      <c r="F1457" s="170" t="n">
        <v>46218.78715277778</v>
      </c>
      <c r="G1457" s="13" t="inlineStr">
        <is>
          <t>FREE</t>
        </is>
      </c>
      <c r="H1457" s="170" t="n">
        <v>46219.77989583334</v>
      </c>
    </row>
    <row r="1458">
      <c r="A1458" s="13" t="inlineStr">
        <is>
          <t>MK00228</t>
        </is>
      </c>
      <c r="B1458" s="13" t="n">
        <v>528000132</v>
      </c>
      <c r="C1458" s="13" t="inlineStr">
        <is>
          <t>Giopani</t>
        </is>
      </c>
      <c r="D1458" s="13" t="inlineStr">
        <is>
          <t>LOG</t>
        </is>
      </c>
      <c r="E1458" s="13" t="inlineStr">
        <is>
          <t>WRM Harian</t>
        </is>
      </c>
      <c r="F1458" s="170" t="n">
        <v>46218.78755787037</v>
      </c>
      <c r="G1458" s="13" t="inlineStr">
        <is>
          <t>FREE</t>
        </is>
      </c>
      <c r="H1458" s="170" t="n">
        <v>46219.77931712963</v>
      </c>
    </row>
    <row r="1459">
      <c r="A1459" s="13" t="inlineStr">
        <is>
          <t>MK00205</t>
        </is>
      </c>
      <c r="B1459" s="13" t="n">
        <v>528000348</v>
      </c>
      <c r="C1459" s="13" t="inlineStr">
        <is>
          <t>Saepuloh Ardiansah</t>
        </is>
      </c>
      <c r="D1459" s="13" t="inlineStr">
        <is>
          <t>LOG</t>
        </is>
      </c>
      <c r="E1459" s="13" t="inlineStr">
        <is>
          <t>WRM Harian</t>
        </is>
      </c>
      <c r="F1459" s="170" t="n">
        <v>46218.78866898148</v>
      </c>
      <c r="G1459" s="13" t="inlineStr">
        <is>
          <t>FREE</t>
        </is>
      </c>
      <c r="H1459" s="170" t="n">
        <v>46219.14430555556</v>
      </c>
    </row>
    <row r="1460">
      <c r="A1460" s="13" t="inlineStr">
        <is>
          <t>MK00202</t>
        </is>
      </c>
      <c r="B1460" s="13" t="n">
        <v>528000349</v>
      </c>
      <c r="C1460" s="13" t="inlineStr">
        <is>
          <t>Anas Abdul Fatah</t>
        </is>
      </c>
      <c r="D1460" s="13" t="inlineStr">
        <is>
          <t>LOG</t>
        </is>
      </c>
      <c r="E1460" s="13" t="inlineStr">
        <is>
          <t>WFG Harian</t>
        </is>
      </c>
      <c r="F1460" s="170" t="n">
        <v>46218.82143518519</v>
      </c>
      <c r="G1460" s="13" t="inlineStr">
        <is>
          <t>FREE</t>
        </is>
      </c>
      <c r="H1460" s="170" t="n">
        <v>46219.17552083333</v>
      </c>
    </row>
    <row r="1461">
      <c r="A1461" s="13" t="inlineStr">
        <is>
          <t>MK00050</t>
        </is>
      </c>
      <c r="B1461" s="13" t="n">
        <v>528000244</v>
      </c>
      <c r="C1461" s="13" t="inlineStr">
        <is>
          <t>Rodian Rifai</t>
        </is>
      </c>
      <c r="D1461" s="13" t="inlineStr">
        <is>
          <t>PROD</t>
        </is>
      </c>
      <c r="E1461" s="13" t="inlineStr">
        <is>
          <t>Produksi Harian</t>
        </is>
      </c>
      <c r="F1461" s="170" t="n">
        <v>46218.97637731482</v>
      </c>
      <c r="G1461" s="13" t="inlineStr">
        <is>
          <t>FREE</t>
        </is>
      </c>
      <c r="H1461" s="170" t="n">
        <v>46219.35241898148</v>
      </c>
    </row>
    <row r="1462">
      <c r="A1462" s="13" t="inlineStr">
        <is>
          <t>MK00220</t>
        </is>
      </c>
      <c r="B1462" s="13" t="n">
        <v>528000286</v>
      </c>
      <c r="C1462" s="13" t="inlineStr">
        <is>
          <t>Imelda Amelia</t>
        </is>
      </c>
      <c r="D1462" s="13" t="inlineStr">
        <is>
          <t>PROD</t>
        </is>
      </c>
      <c r="E1462" s="13" t="inlineStr">
        <is>
          <t>Produksi Harian</t>
        </is>
      </c>
      <c r="F1462" s="170" t="n">
        <v>46218.99023148148</v>
      </c>
      <c r="G1462" s="13" t="inlineStr">
        <is>
          <t>FREE</t>
        </is>
      </c>
      <c r="H1462" s="170" t="n">
        <v>46219.33916666666</v>
      </c>
    </row>
    <row r="1463">
      <c r="A1463" s="13" t="inlineStr">
        <is>
          <t>MK00184</t>
        </is>
      </c>
      <c r="B1463" s="13" t="n">
        <v>528000201</v>
      </c>
      <c r="C1463" s="13" t="inlineStr">
        <is>
          <t>Zahwa Amelia Choerunissa</t>
        </is>
      </c>
      <c r="D1463" s="13" t="inlineStr">
        <is>
          <t>PROD</t>
        </is>
      </c>
      <c r="E1463" s="13" t="inlineStr">
        <is>
          <t>Produksi Harian</t>
        </is>
      </c>
      <c r="F1463" s="170" t="n">
        <v>46218.99091435185</v>
      </c>
      <c r="G1463" s="13" t="inlineStr">
        <is>
          <t>FREE</t>
        </is>
      </c>
      <c r="H1463" s="170" t="n">
        <v>46219.33787037037</v>
      </c>
    </row>
    <row r="1464">
      <c r="A1464" s="13" t="inlineStr">
        <is>
          <t>MK00217</t>
        </is>
      </c>
      <c r="B1464" s="13" t="n">
        <v>528000099</v>
      </c>
      <c r="C1464" s="13" t="inlineStr">
        <is>
          <t>Siti Nurawaliah</t>
        </is>
      </c>
      <c r="D1464" s="13" t="inlineStr">
        <is>
          <t>PROD</t>
        </is>
      </c>
      <c r="E1464" s="13" t="inlineStr">
        <is>
          <t>Produksi Harian</t>
        </is>
      </c>
      <c r="F1464" s="170" t="n">
        <v>46218.99122685185</v>
      </c>
      <c r="G1464" s="13" t="inlineStr">
        <is>
          <t>FREE</t>
        </is>
      </c>
      <c r="H1464" s="170" t="n">
        <v>46219.33825231482</v>
      </c>
    </row>
    <row r="1465">
      <c r="A1465" s="13" t="inlineStr">
        <is>
          <t>MK00219</t>
        </is>
      </c>
      <c r="B1465" s="13" t="n">
        <v>528000289</v>
      </c>
      <c r="C1465" s="13" t="inlineStr">
        <is>
          <t>Adit Supriyadi</t>
        </is>
      </c>
      <c r="D1465" s="13" t="inlineStr">
        <is>
          <t>PROD</t>
        </is>
      </c>
      <c r="E1465" s="13" t="inlineStr">
        <is>
          <t>Produksi Harian</t>
        </is>
      </c>
      <c r="F1465" s="170" t="n">
        <v>46218.99363425926</v>
      </c>
      <c r="G1465" s="13" t="inlineStr">
        <is>
          <t>FREE</t>
        </is>
      </c>
      <c r="H1465" s="170" t="n">
        <v>46219.66616898148</v>
      </c>
    </row>
    <row r="1466">
      <c r="A1466" s="13" t="inlineStr">
        <is>
          <t>MK00218</t>
        </is>
      </c>
      <c r="B1466" s="13" t="n">
        <v>528000241</v>
      </c>
      <c r="C1466" s="13" t="inlineStr">
        <is>
          <t>Balia Nurafif Bilah</t>
        </is>
      </c>
      <c r="D1466" s="13" t="inlineStr">
        <is>
          <t>PROD</t>
        </is>
      </c>
      <c r="E1466" s="13" t="inlineStr">
        <is>
          <t>Produksi Harian</t>
        </is>
      </c>
      <c r="F1466" s="170" t="n">
        <v>46218.99371527778</v>
      </c>
      <c r="G1466" s="13" t="inlineStr">
        <is>
          <t>FREE</t>
        </is>
      </c>
      <c r="H1466" s="170" t="n">
        <v>46219.33538194445</v>
      </c>
    </row>
    <row r="1467">
      <c r="A1467" s="13" t="inlineStr">
        <is>
          <t>MK00156</t>
        </is>
      </c>
      <c r="B1467" s="13" t="n">
        <v>528000274</v>
      </c>
      <c r="C1467" s="13" t="inlineStr">
        <is>
          <t>Zepri</t>
        </is>
      </c>
      <c r="D1467" s="13" t="inlineStr">
        <is>
          <t>PROD</t>
        </is>
      </c>
      <c r="E1467" s="13" t="inlineStr">
        <is>
          <t>Produksi Harian</t>
        </is>
      </c>
      <c r="F1467" s="170" t="n">
        <v>46218.9962037037</v>
      </c>
      <c r="G1467" s="13" t="inlineStr">
        <is>
          <t>FREE</t>
        </is>
      </c>
      <c r="H1467" s="170" t="n">
        <v>46219.33628472222</v>
      </c>
    </row>
    <row r="1468">
      <c r="A1468" s="13" t="inlineStr">
        <is>
          <t>MK00090</t>
        </is>
      </c>
      <c r="B1468" s="13" t="n">
        <v>528000090</v>
      </c>
      <c r="C1468" s="13" t="inlineStr">
        <is>
          <t>Suganda</t>
        </is>
      </c>
      <c r="D1468" s="13" t="inlineStr">
        <is>
          <t>PROD</t>
        </is>
      </c>
      <c r="E1468" s="13" t="inlineStr">
        <is>
          <t>Produksi Harian</t>
        </is>
      </c>
      <c r="F1468" s="170" t="n">
        <v>46218.99666666667</v>
      </c>
      <c r="G1468" s="13" t="inlineStr">
        <is>
          <t>FREE</t>
        </is>
      </c>
      <c r="H1468" s="170" t="n">
        <v>46219.33556712963</v>
      </c>
    </row>
    <row r="1469">
      <c r="A1469" s="13" t="inlineStr">
        <is>
          <t>MK00154</t>
        </is>
      </c>
      <c r="B1469" s="13" t="n">
        <v>528000290</v>
      </c>
      <c r="C1469" s="13" t="inlineStr">
        <is>
          <t>Eval Pranata</t>
        </is>
      </c>
      <c r="D1469" s="13" t="inlineStr">
        <is>
          <t>PROD</t>
        </is>
      </c>
      <c r="E1469" s="13" t="inlineStr">
        <is>
          <t>Produksi Harian</t>
        </is>
      </c>
      <c r="F1469" s="170" t="n">
        <v>46218.99895833333</v>
      </c>
      <c r="G1469" s="13" t="inlineStr">
        <is>
          <t>FREE</t>
        </is>
      </c>
      <c r="H1469" s="170" t="n">
        <v>46219.33606481482</v>
      </c>
    </row>
    <row r="1470">
      <c r="A1470" s="13" t="inlineStr">
        <is>
          <t>MK00134</t>
        </is>
      </c>
      <c r="B1470" s="13" t="n">
        <v>528000212</v>
      </c>
      <c r="C1470" s="13" t="inlineStr">
        <is>
          <t>Rizal Fauzi</t>
        </is>
      </c>
      <c r="D1470" s="13" t="inlineStr">
        <is>
          <t>PROD</t>
        </is>
      </c>
      <c r="E1470" s="13" t="inlineStr">
        <is>
          <t>Produksi Harian</t>
        </is>
      </c>
      <c r="F1470" s="170" t="n">
        <v>46219.00050925926</v>
      </c>
      <c r="G1470" s="13" t="inlineStr">
        <is>
          <t>FREE</t>
        </is>
      </c>
      <c r="H1470" s="170" t="n">
        <v>46220.13760416667</v>
      </c>
    </row>
    <row r="1471">
      <c r="A1471" s="13" t="inlineStr">
        <is>
          <t>MK00204</t>
        </is>
      </c>
      <c r="B1471" s="13" t="n">
        <v>528000340</v>
      </c>
      <c r="C1471" s="13" t="inlineStr">
        <is>
          <t>Muhammad Wildan Adithya</t>
        </is>
      </c>
      <c r="D1471" s="13" t="inlineStr">
        <is>
          <t>PROD</t>
        </is>
      </c>
      <c r="E1471" s="13" t="inlineStr">
        <is>
          <t>Produksi Harian</t>
        </is>
      </c>
      <c r="F1471" s="170" t="n">
        <v>46219.30396990741</v>
      </c>
      <c r="G1471" s="13" t="inlineStr">
        <is>
          <t>FREE</t>
        </is>
      </c>
      <c r="H1471" s="170" t="n">
        <v>46219.670625</v>
      </c>
    </row>
    <row r="1472">
      <c r="A1472" s="13" t="inlineStr">
        <is>
          <t>MK00085</t>
        </is>
      </c>
      <c r="B1472" s="13" t="n">
        <v>528000313</v>
      </c>
      <c r="C1472" s="13" t="inlineStr">
        <is>
          <t>Muhamad Rifki</t>
        </is>
      </c>
      <c r="D1472" s="13" t="inlineStr">
        <is>
          <t>PROD</t>
        </is>
      </c>
      <c r="E1472" s="13" t="inlineStr">
        <is>
          <t>Produksi Harian</t>
        </is>
      </c>
      <c r="F1472" s="170" t="n">
        <v>46219.30483796296</v>
      </c>
      <c r="G1472" s="13" t="inlineStr">
        <is>
          <t>FREE</t>
        </is>
      </c>
      <c r="H1472" s="170" t="n">
        <v>46219.66993055555</v>
      </c>
    </row>
    <row r="1473">
      <c r="A1473" s="13" t="inlineStr">
        <is>
          <t>MK00203</t>
        </is>
      </c>
      <c r="B1473" s="13" t="n">
        <v>628000091</v>
      </c>
      <c r="C1473" s="13" t="inlineStr">
        <is>
          <t>Devita Handayani</t>
        </is>
      </c>
      <c r="D1473" s="13" t="inlineStr">
        <is>
          <t>PROD</t>
        </is>
      </c>
      <c r="E1473" s="13" t="inlineStr">
        <is>
          <t>Produksi Borongan</t>
        </is>
      </c>
      <c r="F1473" s="170" t="n">
        <v>46219.30783564815</v>
      </c>
      <c r="G1473" s="13" t="inlineStr">
        <is>
          <t>FREE</t>
        </is>
      </c>
      <c r="H1473" s="170" t="n">
        <v>46219.67471064815</v>
      </c>
    </row>
    <row r="1474">
      <c r="A1474" s="13" t="inlineStr">
        <is>
          <t>MK00145</t>
        </is>
      </c>
      <c r="B1474" s="13" t="n">
        <v>528000305</v>
      </c>
      <c r="C1474" s="13" t="inlineStr">
        <is>
          <t>Puji Puspita</t>
        </is>
      </c>
      <c r="D1474" s="13" t="inlineStr">
        <is>
          <t>PROD</t>
        </is>
      </c>
      <c r="E1474" s="13" t="inlineStr">
        <is>
          <t>Produksi Harian</t>
        </is>
      </c>
      <c r="F1474" s="170" t="n">
        <v>46219.31679398148</v>
      </c>
      <c r="G1474" s="13" t="inlineStr">
        <is>
          <t>FREE</t>
        </is>
      </c>
      <c r="H1474" s="170" t="n">
        <v>46219.6682175926</v>
      </c>
    </row>
    <row r="1475">
      <c r="A1475" s="13" t="inlineStr">
        <is>
          <t>MK00109</t>
        </is>
      </c>
      <c r="B1475" s="13" t="n">
        <v>528000299</v>
      </c>
      <c r="C1475" s="13" t="inlineStr">
        <is>
          <t>Siti Nurjanah</t>
        </is>
      </c>
      <c r="D1475" s="13" t="inlineStr">
        <is>
          <t>PROD</t>
        </is>
      </c>
      <c r="E1475" s="13" t="inlineStr">
        <is>
          <t>Produksi Harian</t>
        </is>
      </c>
      <c r="F1475" s="170" t="n">
        <v>46219.3170949074</v>
      </c>
      <c r="G1475" s="13" t="inlineStr">
        <is>
          <t>FREE</t>
        </is>
      </c>
      <c r="H1475" s="170" t="n">
        <v>46219.66978009259</v>
      </c>
    </row>
    <row r="1476">
      <c r="A1476" s="13" t="inlineStr">
        <is>
          <t>MK00213</t>
        </is>
      </c>
      <c r="B1476" s="13" t="n">
        <v>528000318</v>
      </c>
      <c r="C1476" s="13" t="inlineStr">
        <is>
          <t>Bayu Padli Sepriyana</t>
        </is>
      </c>
      <c r="D1476" s="13" t="inlineStr">
        <is>
          <t>LOG</t>
        </is>
      </c>
      <c r="E1476" s="13" t="inlineStr">
        <is>
          <t>WRM Harian</t>
        </is>
      </c>
      <c r="F1476" s="170" t="n">
        <v>46219.32275462963</v>
      </c>
      <c r="G1476" s="13" t="inlineStr">
        <is>
          <t>FREE</t>
        </is>
      </c>
      <c r="H1476" s="170" t="n">
        <v>46219.6678125</v>
      </c>
    </row>
    <row r="1477">
      <c r="A1477" s="13" t="inlineStr">
        <is>
          <t>MK00250</t>
        </is>
      </c>
      <c r="B1477" s="13" t="n">
        <v>528000298</v>
      </c>
      <c r="C1477" s="13" t="inlineStr">
        <is>
          <t>Desta Cahaya Pratama</t>
        </is>
      </c>
      <c r="D1477" s="13" t="inlineStr">
        <is>
          <t>PROD</t>
        </is>
      </c>
      <c r="E1477" s="13" t="inlineStr">
        <is>
          <t>Produksi Harian</t>
        </is>
      </c>
      <c r="F1477" s="170" t="n">
        <v>46219.32318287037</v>
      </c>
      <c r="G1477" s="13" t="inlineStr">
        <is>
          <t>FREE</t>
        </is>
      </c>
      <c r="H1477" s="170" t="n">
        <v>46219.66984953704</v>
      </c>
    </row>
    <row r="1478">
      <c r="A1478" s="13" t="inlineStr">
        <is>
          <t>MK00082</t>
        </is>
      </c>
      <c r="B1478" s="13" t="n">
        <v>528000302</v>
      </c>
      <c r="C1478" s="13" t="inlineStr">
        <is>
          <t>Henkey gumilar</t>
        </is>
      </c>
      <c r="D1478" s="13" t="inlineStr">
        <is>
          <t>PROD</t>
        </is>
      </c>
      <c r="E1478" s="13" t="inlineStr">
        <is>
          <t>Produksi Harian</t>
        </is>
      </c>
      <c r="F1478" s="170" t="n">
        <v>46219.325</v>
      </c>
      <c r="G1478" s="13" t="inlineStr">
        <is>
          <t>FREE</t>
        </is>
      </c>
      <c r="H1478" s="170" t="n">
        <v>46219.67366898148</v>
      </c>
    </row>
    <row r="1479">
      <c r="A1479" s="13" t="inlineStr">
        <is>
          <t>MH0208</t>
        </is>
      </c>
      <c r="B1479" s="13" t="n">
        <v>528000270</v>
      </c>
      <c r="C1479" s="13" t="inlineStr">
        <is>
          <t>Febri Najmudin</t>
        </is>
      </c>
      <c r="D1479" s="13" t="inlineStr">
        <is>
          <t>LOG</t>
        </is>
      </c>
      <c r="E1479" s="13" t="inlineStr">
        <is>
          <t>WRM Harian</t>
        </is>
      </c>
      <c r="F1479" s="170" t="n">
        <v>46219.32581018518</v>
      </c>
      <c r="G1479" s="13" t="inlineStr">
        <is>
          <t>FREE</t>
        </is>
      </c>
      <c r="H1479" s="170" t="n">
        <v>46220.32247685185</v>
      </c>
    </row>
    <row r="1480">
      <c r="A1480" s="13" t="inlineStr">
        <is>
          <t>MK00235</t>
        </is>
      </c>
      <c r="B1480" s="13" t="n">
        <v>528000309</v>
      </c>
      <c r="C1480" s="13" t="inlineStr">
        <is>
          <t>Ilham Ramadhan</t>
        </is>
      </c>
      <c r="D1480" s="13" t="inlineStr">
        <is>
          <t>LOG</t>
        </is>
      </c>
      <c r="E1480" s="13" t="inlineStr">
        <is>
          <t>WRM Harian</t>
        </is>
      </c>
      <c r="F1480" s="170" t="n">
        <v>46219.32707175926</v>
      </c>
      <c r="G1480" s="13" t="inlineStr">
        <is>
          <t>FREE</t>
        </is>
      </c>
      <c r="H1480" s="170" t="n">
        <v>46219.67082175926</v>
      </c>
    </row>
    <row r="1481">
      <c r="A1481" s="13" t="inlineStr">
        <is>
          <t>MK00220</t>
        </is>
      </c>
      <c r="B1481" s="13" t="n">
        <v>528000324</v>
      </c>
      <c r="C1481" s="13" t="inlineStr">
        <is>
          <t>Sri Yanti</t>
        </is>
      </c>
      <c r="D1481" s="13" t="inlineStr">
        <is>
          <t>PROD</t>
        </is>
      </c>
      <c r="E1481" s="13" t="inlineStr">
        <is>
          <t>Produksi Harian</t>
        </is>
      </c>
      <c r="F1481" s="170" t="n">
        <v>46219.64579861111</v>
      </c>
      <c r="G1481" s="13" t="inlineStr">
        <is>
          <t>FREE</t>
        </is>
      </c>
      <c r="H1481" s="170" t="n">
        <v>46220.00049768519</v>
      </c>
    </row>
    <row r="1482">
      <c r="A1482" s="13" t="inlineStr">
        <is>
          <t>MK00088</t>
        </is>
      </c>
      <c r="B1482" s="13" t="n">
        <v>528000015</v>
      </c>
      <c r="C1482" s="13" t="inlineStr">
        <is>
          <t>Erwin</t>
        </is>
      </c>
      <c r="D1482" s="13" t="inlineStr">
        <is>
          <t>LOG</t>
        </is>
      </c>
      <c r="E1482" s="13" t="inlineStr">
        <is>
          <t>WRM Harian</t>
        </is>
      </c>
      <c r="F1482" s="170" t="n">
        <v>46219.64751157408</v>
      </c>
      <c r="G1482" s="13" t="inlineStr">
        <is>
          <t>FREE</t>
        </is>
      </c>
      <c r="H1482" s="170" t="n">
        <v>46220.00165509259</v>
      </c>
    </row>
    <row r="1483">
      <c r="A1483" s="13" t="inlineStr">
        <is>
          <t>MK00212</t>
        </is>
      </c>
      <c r="B1483" s="13" t="n">
        <v>528000297</v>
      </c>
      <c r="C1483" s="13" t="inlineStr">
        <is>
          <t>Muhamad Budiana</t>
        </is>
      </c>
      <c r="D1483" s="13" t="inlineStr">
        <is>
          <t>PROD</t>
        </is>
      </c>
      <c r="E1483" s="13" t="inlineStr">
        <is>
          <t>Produksi Harian</t>
        </is>
      </c>
      <c r="F1483" s="170" t="n">
        <v>46219.65541666667</v>
      </c>
      <c r="G1483" s="13" t="inlineStr">
        <is>
          <t>FREE</t>
        </is>
      </c>
      <c r="H1483" s="170" t="n">
        <v>46220.01545138889</v>
      </c>
    </row>
    <row r="1484">
      <c r="A1484" s="13" t="inlineStr">
        <is>
          <t>MK00218</t>
        </is>
      </c>
      <c r="B1484" s="13" t="n">
        <v>628000064</v>
      </c>
      <c r="C1484" s="13" t="inlineStr">
        <is>
          <t>Silva Alypia</t>
        </is>
      </c>
      <c r="D1484" s="13" t="inlineStr">
        <is>
          <t>PROD</t>
        </is>
      </c>
      <c r="E1484" s="13" t="inlineStr">
        <is>
          <t>Produksi Borongan</t>
        </is>
      </c>
      <c r="F1484" s="170" t="n">
        <v>46219.65991898148</v>
      </c>
      <c r="G1484" s="13" t="inlineStr">
        <is>
          <t>FREE</t>
        </is>
      </c>
      <c r="H1484" s="170" t="n">
        <v>46220.00170138889</v>
      </c>
    </row>
    <row r="1485">
      <c r="A1485" s="13" t="inlineStr">
        <is>
          <t>MK00185</t>
        </is>
      </c>
      <c r="B1485" s="13" t="n">
        <v>528000248</v>
      </c>
      <c r="C1485" s="13" t="inlineStr">
        <is>
          <t>Roka Jaya Salka Mulya</t>
        </is>
      </c>
      <c r="D1485" s="13" t="inlineStr">
        <is>
          <t>PROD</t>
        </is>
      </c>
      <c r="E1485" s="13" t="inlineStr">
        <is>
          <t>Produksi Harian</t>
        </is>
      </c>
      <c r="F1485" s="170" t="n">
        <v>46219.66258101852</v>
      </c>
      <c r="G1485" s="13" t="inlineStr">
        <is>
          <t>FREE</t>
        </is>
      </c>
      <c r="H1485" s="170" t="n">
        <v>46220.00045138889</v>
      </c>
    </row>
    <row r="1486">
      <c r="A1486" s="13" t="inlineStr">
        <is>
          <t>MK00156</t>
        </is>
      </c>
      <c r="B1486" s="13" t="n">
        <v>528000300</v>
      </c>
      <c r="C1486" s="13" t="inlineStr">
        <is>
          <t>Lia pitaloka</t>
        </is>
      </c>
      <c r="D1486" s="13" t="inlineStr">
        <is>
          <t>PROD</t>
        </is>
      </c>
      <c r="E1486" s="13" t="inlineStr">
        <is>
          <t>Produksi Harian</t>
        </is>
      </c>
      <c r="F1486" s="170" t="n">
        <v>46219.66373842592</v>
      </c>
      <c r="G1486" s="13" t="inlineStr">
        <is>
          <t>FREE</t>
        </is>
      </c>
      <c r="H1486" s="170" t="n">
        <v>46220.00246527778</v>
      </c>
    </row>
    <row r="1487">
      <c r="A1487" s="13" t="inlineStr">
        <is>
          <t>MK00090</t>
        </is>
      </c>
      <c r="B1487" s="13" t="n">
        <v>528000279</v>
      </c>
      <c r="C1487" s="13" t="inlineStr">
        <is>
          <t>Mahdalena Dalfa Riani</t>
        </is>
      </c>
      <c r="D1487" s="13" t="inlineStr">
        <is>
          <t>PROD</t>
        </is>
      </c>
      <c r="E1487" s="13" t="inlineStr">
        <is>
          <t>Produksi Harian</t>
        </is>
      </c>
      <c r="F1487" s="170" t="n">
        <v>46219.66395833333</v>
      </c>
      <c r="G1487" s="13" t="inlineStr">
        <is>
          <t>FREE</t>
        </is>
      </c>
      <c r="H1487" s="170" t="n">
        <v>46220.00177083333</v>
      </c>
    </row>
    <row r="1488">
      <c r="A1488" s="13" t="inlineStr">
        <is>
          <t>MK0088</t>
        </is>
      </c>
      <c r="B1488" s="13" t="n">
        <v>528000063</v>
      </c>
      <c r="C1488" s="13" t="inlineStr">
        <is>
          <t>Muhamad Ripki Pebrian</t>
        </is>
      </c>
      <c r="D1488" s="13" t="inlineStr">
        <is>
          <t>PROD</t>
        </is>
      </c>
      <c r="E1488" s="13" t="inlineStr">
        <is>
          <t>Produksi Harian</t>
        </is>
      </c>
      <c r="F1488" s="170" t="n">
        <v>46219.66409722222</v>
      </c>
      <c r="G1488" s="13" t="inlineStr">
        <is>
          <t>FREE</t>
        </is>
      </c>
      <c r="H1488" s="170" t="n">
        <v>46220.96328703704</v>
      </c>
    </row>
    <row r="1489">
      <c r="A1489" s="13" t="inlineStr">
        <is>
          <t>MK00108</t>
        </is>
      </c>
      <c r="B1489" s="13" t="n">
        <v>528000288</v>
      </c>
      <c r="C1489" s="13" t="inlineStr">
        <is>
          <t>Dede gunawan</t>
        </is>
      </c>
      <c r="D1489" s="13" t="inlineStr">
        <is>
          <t>PROD</t>
        </is>
      </c>
      <c r="E1489" s="13" t="inlineStr">
        <is>
          <t>Produksi Harian</t>
        </is>
      </c>
      <c r="F1489" s="170" t="n">
        <v>46219.66559027778</v>
      </c>
      <c r="G1489" s="13" t="inlineStr">
        <is>
          <t>FREE</t>
        </is>
      </c>
      <c r="H1489" s="170" t="n">
        <v>46223.32048611111</v>
      </c>
    </row>
    <row r="1490">
      <c r="A1490" s="13" t="inlineStr">
        <is>
          <t>MK000219</t>
        </is>
      </c>
      <c r="B1490" s="13" t="n">
        <v>528000334</v>
      </c>
      <c r="C1490" s="13" t="inlineStr">
        <is>
          <t>Naufal Yudhistira</t>
        </is>
      </c>
      <c r="D1490" s="13" t="inlineStr">
        <is>
          <t>PROD</t>
        </is>
      </c>
      <c r="E1490" s="13" t="inlineStr">
        <is>
          <t>Produksi Harian</t>
        </is>
      </c>
      <c r="F1490" s="170" t="n">
        <v>46219.66663194444</v>
      </c>
      <c r="G1490" s="13" t="inlineStr">
        <is>
          <t>FREE</t>
        </is>
      </c>
      <c r="H1490" s="170" t="n">
        <v>46223.32646990741</v>
      </c>
    </row>
    <row r="1491">
      <c r="A1491" s="13" t="inlineStr">
        <is>
          <t>MK00208</t>
        </is>
      </c>
      <c r="B1491" s="13" t="n">
        <v>528000069</v>
      </c>
      <c r="C1491" s="13" t="inlineStr">
        <is>
          <t>Jajang Ardiansyah</t>
        </is>
      </c>
      <c r="D1491" s="13" t="inlineStr">
        <is>
          <t>PROD</t>
        </is>
      </c>
      <c r="E1491" s="13" t="inlineStr">
        <is>
          <t>Produksi Harian</t>
        </is>
      </c>
      <c r="F1491" s="170" t="n">
        <v>46219.69878472222</v>
      </c>
      <c r="G1491" s="13" t="inlineStr">
        <is>
          <t>FREE</t>
        </is>
      </c>
      <c r="H1491" s="170" t="n">
        <v>46220.31994212963</v>
      </c>
    </row>
    <row r="1492">
      <c r="A1492" s="13" t="inlineStr">
        <is>
          <t>MK00213</t>
        </is>
      </c>
      <c r="B1492" s="13" t="n">
        <v>528000282</v>
      </c>
      <c r="C1492" s="13" t="inlineStr">
        <is>
          <t>Defa Desfiana</t>
        </is>
      </c>
      <c r="D1492" s="13" t="inlineStr">
        <is>
          <t>PROD</t>
        </is>
      </c>
      <c r="E1492" s="13" t="inlineStr">
        <is>
          <t>Produksi Harian</t>
        </is>
      </c>
      <c r="F1492" s="170" t="n">
        <v>46219.7325462963</v>
      </c>
      <c r="G1492" s="13" t="inlineStr">
        <is>
          <t>FREE</t>
        </is>
      </c>
      <c r="H1492" s="170" t="n">
        <v>46220.09028935185</v>
      </c>
    </row>
    <row r="1493">
      <c r="A1493" s="13" t="inlineStr">
        <is>
          <t>MK00145</t>
        </is>
      </c>
      <c r="B1493" s="13" t="n">
        <v>528000310</v>
      </c>
      <c r="C1493" s="13" t="inlineStr">
        <is>
          <t>Fachrul Rozzi Suryana</t>
        </is>
      </c>
      <c r="D1493" s="13" t="inlineStr">
        <is>
          <t>LOG</t>
        </is>
      </c>
      <c r="E1493" s="13" t="inlineStr">
        <is>
          <t>WRM Harian</t>
        </is>
      </c>
      <c r="F1493" s="170" t="n">
        <v>46219.74403935186</v>
      </c>
      <c r="G1493" s="13" t="inlineStr">
        <is>
          <t>FREE</t>
        </is>
      </c>
      <c r="H1493" s="170" t="n">
        <v>46220.09025462963</v>
      </c>
    </row>
    <row r="1494">
      <c r="A1494" s="13" t="inlineStr">
        <is>
          <t>MK00203</t>
        </is>
      </c>
      <c r="B1494" s="13" t="n">
        <v>528000265</v>
      </c>
      <c r="C1494" s="13" t="inlineStr">
        <is>
          <t>Muhammad Haerul Rozikin</t>
        </is>
      </c>
      <c r="D1494" s="13" t="inlineStr">
        <is>
          <t>LOG</t>
        </is>
      </c>
      <c r="E1494" s="13" t="inlineStr">
        <is>
          <t>WRM Harian</t>
        </is>
      </c>
      <c r="F1494" s="170" t="n">
        <v>46219.74554398148</v>
      </c>
      <c r="G1494" s="13" t="inlineStr">
        <is>
          <t>FREE</t>
        </is>
      </c>
      <c r="H1494" s="170" t="n">
        <v>46220.09061342593</v>
      </c>
    </row>
    <row r="1495">
      <c r="A1495" s="13" t="inlineStr">
        <is>
          <t>MK00046</t>
        </is>
      </c>
      <c r="B1495" s="13" t="n">
        <v>528000335</v>
      </c>
      <c r="C1495" s="13" t="inlineStr">
        <is>
          <t>Rizal Saepuloh</t>
        </is>
      </c>
      <c r="D1495" s="13" t="inlineStr">
        <is>
          <t>LOG</t>
        </is>
      </c>
      <c r="E1495" s="13" t="inlineStr">
        <is>
          <t>WRM Harian</t>
        </is>
      </c>
      <c r="F1495" s="170" t="n">
        <v>46219.74653935185</v>
      </c>
      <c r="G1495" s="13" t="inlineStr">
        <is>
          <t>FREE</t>
        </is>
      </c>
      <c r="H1495" s="170" t="n">
        <v>46220.08650462963</v>
      </c>
    </row>
    <row r="1496">
      <c r="A1496" s="13" t="inlineStr">
        <is>
          <t>MK0082</t>
        </is>
      </c>
      <c r="B1496" s="13" t="n">
        <v>528000351</v>
      </c>
      <c r="C1496" s="13" t="inlineStr">
        <is>
          <t>Mulyana</t>
        </is>
      </c>
      <c r="D1496" s="13" t="inlineStr">
        <is>
          <t>PROD</t>
        </is>
      </c>
      <c r="E1496" s="13" t="inlineStr">
        <is>
          <t>Produksi Harian</t>
        </is>
      </c>
      <c r="F1496" s="170" t="n">
        <v>46219.74672453704</v>
      </c>
      <c r="G1496" s="13" t="inlineStr">
        <is>
          <t>FREE</t>
        </is>
      </c>
      <c r="H1496" s="170" t="n">
        <v>46220.08543981481</v>
      </c>
    </row>
    <row r="1497">
      <c r="A1497" s="13" t="inlineStr">
        <is>
          <t>MK00221</t>
        </is>
      </c>
      <c r="B1497" s="13" t="n">
        <v>528000144</v>
      </c>
      <c r="C1497" s="13" t="inlineStr">
        <is>
          <t>Jodi Hanafi</t>
        </is>
      </c>
      <c r="D1497" s="13" t="inlineStr">
        <is>
          <t>LOG</t>
        </is>
      </c>
      <c r="E1497" s="13" t="inlineStr">
        <is>
          <t>WRM Harian</t>
        </is>
      </c>
      <c r="F1497" s="170" t="n">
        <v>46219.74895833333</v>
      </c>
      <c r="G1497" s="13" t="inlineStr">
        <is>
          <t>FREE</t>
        </is>
      </c>
      <c r="H1497" s="170" t="n">
        <v>46220.10243055555</v>
      </c>
    </row>
    <row r="1498">
      <c r="A1498" s="13" t="inlineStr">
        <is>
          <t>MK00228</t>
        </is>
      </c>
      <c r="B1498" s="13" t="n">
        <v>528000132</v>
      </c>
      <c r="C1498" s="13" t="inlineStr">
        <is>
          <t>Giopani</t>
        </is>
      </c>
      <c r="D1498" s="13" t="inlineStr">
        <is>
          <t>LOG</t>
        </is>
      </c>
      <c r="E1498" s="13" t="inlineStr">
        <is>
          <t>WRM Harian</t>
        </is>
      </c>
      <c r="F1498" s="170" t="n">
        <v>46219.77947916667</v>
      </c>
      <c r="G1498" s="13" t="inlineStr">
        <is>
          <t>FREE</t>
        </is>
      </c>
      <c r="H1498" s="170" t="n">
        <v>46220.31136574074</v>
      </c>
    </row>
    <row r="1499">
      <c r="A1499" s="13" t="inlineStr">
        <is>
          <t>MK00210</t>
        </is>
      </c>
      <c r="B1499" s="13" t="n">
        <v>528000232</v>
      </c>
      <c r="C1499" s="13" t="inlineStr">
        <is>
          <t>Agung Aji Suhada</t>
        </is>
      </c>
      <c r="D1499" s="13" t="inlineStr">
        <is>
          <t>LOG</t>
        </is>
      </c>
      <c r="E1499" s="13" t="inlineStr">
        <is>
          <t>WRM Harian</t>
        </is>
      </c>
      <c r="F1499" s="170" t="n">
        <v>46219.78003472222</v>
      </c>
      <c r="G1499" s="13" t="inlineStr">
        <is>
          <t>FREE</t>
        </is>
      </c>
      <c r="H1499" s="170" t="n">
        <v>46220.12648148148</v>
      </c>
    </row>
    <row r="1500">
      <c r="A1500" s="13" t="inlineStr">
        <is>
          <t>MK00205</t>
        </is>
      </c>
      <c r="B1500" s="13" t="n">
        <v>528000348</v>
      </c>
      <c r="C1500" s="13" t="inlineStr">
        <is>
          <t>Saepuloh Ardiansah</t>
        </is>
      </c>
      <c r="D1500" s="13" t="inlineStr">
        <is>
          <t>LOG</t>
        </is>
      </c>
      <c r="E1500" s="13" t="inlineStr">
        <is>
          <t>WRM Harian</t>
        </is>
      </c>
      <c r="F1500" s="170" t="n">
        <v>46219.7921875</v>
      </c>
      <c r="G1500" s="13" t="inlineStr">
        <is>
          <t>FREE</t>
        </is>
      </c>
      <c r="H1500" s="170" t="n">
        <v>46220.30917824074</v>
      </c>
    </row>
    <row r="1501">
      <c r="A1501" s="13" t="inlineStr">
        <is>
          <t>MK00138</t>
        </is>
      </c>
      <c r="B1501" s="13" t="n">
        <v>528000040</v>
      </c>
      <c r="C1501" s="13" t="inlineStr">
        <is>
          <t>Agus Suryaman</t>
        </is>
      </c>
      <c r="D1501" s="13" t="inlineStr">
        <is>
          <t>PROD</t>
        </is>
      </c>
      <c r="E1501" s="13" t="inlineStr">
        <is>
          <t>Produksi Harian</t>
        </is>
      </c>
      <c r="F1501" s="170" t="n">
        <v>46219.79310185185</v>
      </c>
      <c r="G1501" s="13" t="inlineStr">
        <is>
          <t>FREE</t>
        </is>
      </c>
      <c r="H1501" s="170" t="n">
        <v>46220.12333333334</v>
      </c>
    </row>
    <row r="1502">
      <c r="A1502" s="13" t="inlineStr">
        <is>
          <t>MK00113</t>
        </is>
      </c>
      <c r="B1502" s="13" t="n">
        <v>528000349</v>
      </c>
      <c r="C1502" s="13" t="inlineStr">
        <is>
          <t>Anas Abdul Fatah</t>
        </is>
      </c>
      <c r="D1502" s="13" t="inlineStr">
        <is>
          <t>LOG</t>
        </is>
      </c>
      <c r="E1502" s="13" t="inlineStr">
        <is>
          <t>WFG Harian</t>
        </is>
      </c>
      <c r="F1502" s="170" t="n">
        <v>46219.8208912037</v>
      </c>
      <c r="G1502" s="13" t="inlineStr">
        <is>
          <t>FREE</t>
        </is>
      </c>
      <c r="H1502" s="170" t="n">
        <v>46220.17607638889</v>
      </c>
    </row>
    <row r="1503">
      <c r="A1503" s="13" t="inlineStr">
        <is>
          <t>MK00141</t>
        </is>
      </c>
      <c r="B1503" s="13" t="n">
        <v>528000337</v>
      </c>
      <c r="C1503" s="13" t="inlineStr">
        <is>
          <t>Ahmad Zaldi Firdaus</t>
        </is>
      </c>
      <c r="D1503" s="13" t="inlineStr">
        <is>
          <t>PROD</t>
        </is>
      </c>
      <c r="E1503" s="13" t="inlineStr">
        <is>
          <t>Produksi Harian</t>
        </is>
      </c>
      <c r="F1503" s="170" t="n">
        <v>46219.95587962963</v>
      </c>
      <c r="G1503" s="13" t="inlineStr">
        <is>
          <t>FREE</t>
        </is>
      </c>
      <c r="H1503" s="170" t="n">
        <v>46220.33734953704</v>
      </c>
    </row>
    <row r="1504">
      <c r="A1504" s="13" t="inlineStr">
        <is>
          <t>MK00158</t>
        </is>
      </c>
      <c r="B1504" s="13" t="n">
        <v>528000052</v>
      </c>
      <c r="C1504" s="13" t="inlineStr">
        <is>
          <t>Mustopa</t>
        </is>
      </c>
      <c r="D1504" s="13" t="inlineStr">
        <is>
          <t>PROD</t>
        </is>
      </c>
      <c r="E1504" s="13" t="inlineStr">
        <is>
          <t>Produksi Harian</t>
        </is>
      </c>
      <c r="F1504" s="170" t="n">
        <v>46219.96290509259</v>
      </c>
      <c r="G1504" s="13" t="inlineStr">
        <is>
          <t>FREE</t>
        </is>
      </c>
      <c r="H1504" s="170" t="n">
        <v>46220.00016203704</v>
      </c>
    </row>
    <row r="1505">
      <c r="A1505" s="13" t="inlineStr">
        <is>
          <t>MK00143</t>
        </is>
      </c>
      <c r="B1505" s="13" t="n">
        <v>528000262</v>
      </c>
      <c r="C1505" s="13" t="inlineStr">
        <is>
          <t>Ndari Dwiwanti</t>
        </is>
      </c>
      <c r="D1505" s="13" t="inlineStr">
        <is>
          <t>PROD</t>
        </is>
      </c>
      <c r="E1505" s="13" t="inlineStr">
        <is>
          <t>Produksi Harian</t>
        </is>
      </c>
      <c r="F1505" s="170" t="n">
        <v>46219.98024305556</v>
      </c>
      <c r="G1505" s="13" t="inlineStr">
        <is>
          <t>FREE</t>
        </is>
      </c>
      <c r="H1505" s="170" t="n">
        <v>46220.33412037037</v>
      </c>
    </row>
    <row r="1506">
      <c r="A1506" s="13" t="inlineStr">
        <is>
          <t>MK00148</t>
        </is>
      </c>
      <c r="B1506" s="13" t="n">
        <v>528000195</v>
      </c>
      <c r="C1506" s="13" t="inlineStr">
        <is>
          <t>Rahma Sariwati</t>
        </is>
      </c>
      <c r="D1506" s="13" t="inlineStr">
        <is>
          <t>PROD</t>
        </is>
      </c>
      <c r="E1506" s="13" t="inlineStr">
        <is>
          <t>Produksi Harian</t>
        </is>
      </c>
      <c r="F1506" s="170" t="n">
        <v>46219.98217592593</v>
      </c>
      <c r="G1506" s="13" t="inlineStr">
        <is>
          <t>FREE</t>
        </is>
      </c>
      <c r="H1506" s="170" t="n">
        <v>46220.33607638889</v>
      </c>
    </row>
    <row r="1507">
      <c r="A1507" s="13" t="inlineStr">
        <is>
          <t>MK00116</t>
        </is>
      </c>
      <c r="B1507" s="13" t="n">
        <v>528000358</v>
      </c>
      <c r="C1507" s="13" t="inlineStr">
        <is>
          <t>Lulu Agustin</t>
        </is>
      </c>
      <c r="D1507" s="13" t="inlineStr">
        <is>
          <t>PROD</t>
        </is>
      </c>
      <c r="E1507" s="13" t="inlineStr">
        <is>
          <t>Produksi Harian</t>
        </is>
      </c>
      <c r="F1507" s="170" t="n">
        <v>46219.98278935185</v>
      </c>
      <c r="G1507" s="13" t="inlineStr">
        <is>
          <t>FREE</t>
        </is>
      </c>
      <c r="H1507" s="170" t="n">
        <v>46220.33429398148</v>
      </c>
    </row>
    <row r="1508">
      <c r="A1508" s="13" t="inlineStr">
        <is>
          <t>MK00136</t>
        </is>
      </c>
      <c r="B1508" s="13" t="n">
        <v>528000328</v>
      </c>
      <c r="C1508" s="13" t="inlineStr">
        <is>
          <t>Nur Anjani</t>
        </is>
      </c>
      <c r="D1508" s="13" t="inlineStr">
        <is>
          <t>PROD</t>
        </is>
      </c>
      <c r="E1508" s="13" t="inlineStr">
        <is>
          <t>Produksi Harian</t>
        </is>
      </c>
      <c r="F1508" s="170" t="n">
        <v>46219.98355324074</v>
      </c>
      <c r="G1508" s="13" t="inlineStr">
        <is>
          <t>FREE</t>
        </is>
      </c>
      <c r="H1508" s="170" t="n">
        <v>46220.33542824074</v>
      </c>
    </row>
    <row r="1509">
      <c r="A1509" s="13" t="inlineStr">
        <is>
          <t>MK00121</t>
        </is>
      </c>
      <c r="B1509" s="13" t="n">
        <v>528000360</v>
      </c>
      <c r="C1509" s="13" t="inlineStr">
        <is>
          <t>Hendra Permana</t>
        </is>
      </c>
      <c r="D1509" s="13" t="inlineStr">
        <is>
          <t>ENG</t>
        </is>
      </c>
      <c r="E1509" s="13" t="inlineStr">
        <is>
          <t>Engineering Harian</t>
        </is>
      </c>
      <c r="F1509" s="170" t="n">
        <v>46219.98515046296</v>
      </c>
      <c r="G1509" s="13" t="inlineStr">
        <is>
          <t>FREE</t>
        </is>
      </c>
      <c r="H1509" s="170" t="n">
        <v>46220.3347337963</v>
      </c>
    </row>
    <row r="1510">
      <c r="A1510" s="13" t="inlineStr">
        <is>
          <t>MK00202</t>
        </is>
      </c>
      <c r="B1510" s="13" t="n">
        <v>528000266</v>
      </c>
      <c r="C1510" s="13" t="inlineStr">
        <is>
          <t>M. Syirajatieq</t>
        </is>
      </c>
      <c r="D1510" s="13" t="inlineStr">
        <is>
          <t>LOG</t>
        </is>
      </c>
      <c r="E1510" s="13" t="inlineStr">
        <is>
          <t>WFG Harian</t>
        </is>
      </c>
      <c r="F1510" s="170" t="n">
        <v>46219.98634259259</v>
      </c>
      <c r="G1510" s="13" t="inlineStr">
        <is>
          <t>FREE</t>
        </is>
      </c>
      <c r="H1510" s="170" t="n">
        <v>46220.42513888889</v>
      </c>
    </row>
    <row r="1511">
      <c r="A1511" s="13" t="inlineStr">
        <is>
          <t>MK00125</t>
        </is>
      </c>
      <c r="B1511" s="13" t="n">
        <v>528000314</v>
      </c>
      <c r="C1511" s="13" t="inlineStr">
        <is>
          <t>Rusmana</t>
        </is>
      </c>
      <c r="D1511" s="13" t="inlineStr">
        <is>
          <t>PROD</t>
        </is>
      </c>
      <c r="E1511" s="13" t="inlineStr">
        <is>
          <t>Produksi Harian</t>
        </is>
      </c>
      <c r="F1511" s="170" t="n">
        <v>46219.98664351852</v>
      </c>
      <c r="G1511" s="13" t="inlineStr">
        <is>
          <t>FREE</t>
        </is>
      </c>
      <c r="H1511" s="170" t="n">
        <v>46220.97053240741</v>
      </c>
    </row>
    <row r="1512">
      <c r="A1512" s="13" t="inlineStr">
        <is>
          <t>MK00192</t>
        </is>
      </c>
      <c r="B1512" s="13" t="n">
        <v>528000283</v>
      </c>
      <c r="C1512" s="13" t="inlineStr">
        <is>
          <t>Purwanda Sugiri</t>
        </is>
      </c>
      <c r="D1512" s="13" t="inlineStr">
        <is>
          <t>LOG</t>
        </is>
      </c>
      <c r="E1512" s="13" t="inlineStr">
        <is>
          <t>WRM Harian</t>
        </is>
      </c>
      <c r="F1512" s="170" t="n">
        <v>46219.98899305556</v>
      </c>
      <c r="G1512" s="13" t="inlineStr">
        <is>
          <t>FREE</t>
        </is>
      </c>
      <c r="H1512" s="170" t="n">
        <v>46220.33517361111</v>
      </c>
    </row>
    <row r="1513">
      <c r="A1513" s="13" t="inlineStr">
        <is>
          <t>MK00112</t>
        </is>
      </c>
      <c r="B1513" s="13" t="n">
        <v>528000291</v>
      </c>
      <c r="C1513" s="13" t="inlineStr">
        <is>
          <t>Andrian</t>
        </is>
      </c>
      <c r="D1513" s="13" t="inlineStr">
        <is>
          <t>PROD</t>
        </is>
      </c>
      <c r="E1513" s="13" t="inlineStr">
        <is>
          <t>Produksi Harian</t>
        </is>
      </c>
      <c r="F1513" s="170" t="n">
        <v>46219.99125</v>
      </c>
      <c r="G1513" s="13" t="inlineStr">
        <is>
          <t>FREE</t>
        </is>
      </c>
      <c r="H1513" s="170" t="n">
        <v>46220.33534722222</v>
      </c>
    </row>
    <row r="1514">
      <c r="A1514" s="13" t="inlineStr">
        <is>
          <t>MK0130</t>
        </is>
      </c>
      <c r="B1514" s="13" t="n">
        <v>528000149</v>
      </c>
      <c r="C1514" s="13" t="inlineStr">
        <is>
          <t>Tio Fernanda</t>
        </is>
      </c>
      <c r="D1514" s="13" t="inlineStr">
        <is>
          <t>LOG</t>
        </is>
      </c>
      <c r="E1514" s="13" t="inlineStr">
        <is>
          <t>WRM Harian</t>
        </is>
      </c>
      <c r="F1514" s="170" t="n">
        <v>46220.08824074074</v>
      </c>
      <c r="G1514" s="13" t="inlineStr">
        <is>
          <t>FREE</t>
        </is>
      </c>
      <c r="H1514" s="170" t="n">
        <v>46222.79723379629</v>
      </c>
    </row>
    <row r="1515">
      <c r="A1515" s="13" t="inlineStr">
        <is>
          <t>MK00082</t>
        </is>
      </c>
      <c r="B1515" s="13" t="n">
        <v>528000267</v>
      </c>
      <c r="C1515" s="13" t="inlineStr">
        <is>
          <t>Bagas Patulloh</t>
        </is>
      </c>
      <c r="D1515" s="13" t="inlineStr">
        <is>
          <t>LOG</t>
        </is>
      </c>
      <c r="E1515" s="13" t="inlineStr">
        <is>
          <t>WRM Harian</t>
        </is>
      </c>
      <c r="F1515" s="170" t="n">
        <v>46220.0900925926</v>
      </c>
      <c r="G1515" s="13" t="inlineStr">
        <is>
          <t>FREE</t>
        </is>
      </c>
      <c r="H1515" s="170" t="n">
        <v>46220.4178125</v>
      </c>
    </row>
    <row r="1516">
      <c r="A1516" s="13" t="inlineStr">
        <is>
          <t>MK00217</t>
        </is>
      </c>
      <c r="B1516" s="13" t="n">
        <v>528000340</v>
      </c>
      <c r="C1516" s="13" t="inlineStr">
        <is>
          <t>Muhammad Wildan Adithya</t>
        </is>
      </c>
      <c r="D1516" s="13" t="inlineStr">
        <is>
          <t>PROD</t>
        </is>
      </c>
      <c r="E1516" s="13" t="inlineStr">
        <is>
          <t>Produksi Harian</t>
        </is>
      </c>
      <c r="F1516" s="170" t="n">
        <v>46220.30653935186</v>
      </c>
      <c r="G1516" s="13" t="inlineStr">
        <is>
          <t>FREE</t>
        </is>
      </c>
      <c r="H1516" s="170" t="n">
        <v>46220.67217592592</v>
      </c>
    </row>
    <row r="1517">
      <c r="A1517" s="13" t="inlineStr">
        <is>
          <t>MK00213</t>
        </is>
      </c>
      <c r="B1517" s="13" t="n">
        <v>528000015</v>
      </c>
      <c r="C1517" s="13" t="inlineStr">
        <is>
          <t>Erwin</t>
        </is>
      </c>
      <c r="D1517" s="13" t="inlineStr">
        <is>
          <t>LOG</t>
        </is>
      </c>
      <c r="E1517" s="13" t="inlineStr">
        <is>
          <t>WRM Harian</t>
        </is>
      </c>
      <c r="F1517" s="170" t="n">
        <v>46220.31570601852</v>
      </c>
      <c r="G1517" s="13" t="inlineStr">
        <is>
          <t>FREE</t>
        </is>
      </c>
      <c r="H1517" s="170" t="n">
        <v>46220.66958333334</v>
      </c>
    </row>
    <row r="1518">
      <c r="A1518" s="13" t="inlineStr">
        <is>
          <t>MK00181</t>
        </is>
      </c>
      <c r="B1518" s="13" t="n">
        <v>528000318</v>
      </c>
      <c r="C1518" s="13" t="inlineStr">
        <is>
          <t>Bayu Padli Sepriyana</t>
        </is>
      </c>
      <c r="D1518" s="13" t="inlineStr">
        <is>
          <t>LOG</t>
        </is>
      </c>
      <c r="E1518" s="13" t="inlineStr">
        <is>
          <t>WRM Harian</t>
        </is>
      </c>
      <c r="F1518" s="170" t="n">
        <v>46220.31792824074</v>
      </c>
      <c r="G1518" s="13" t="inlineStr">
        <is>
          <t>FREE</t>
        </is>
      </c>
      <c r="H1518" s="170" t="n">
        <v>46220.66802083333</v>
      </c>
    </row>
    <row r="1519">
      <c r="A1519" s="13" t="inlineStr">
        <is>
          <t>MK00160</t>
        </is>
      </c>
      <c r="B1519" s="13" t="n">
        <v>528000361</v>
      </c>
      <c r="C1519" s="13" t="inlineStr">
        <is>
          <t>Denada Munggarani</t>
        </is>
      </c>
      <c r="D1519" s="13" t="inlineStr">
        <is>
          <t>PROD</t>
        </is>
      </c>
      <c r="E1519" s="13" t="inlineStr">
        <is>
          <t>Produksi Harian</t>
        </is>
      </c>
      <c r="F1519" s="170" t="n">
        <v>46220.31912037037</v>
      </c>
      <c r="G1519" s="13" t="inlineStr">
        <is>
          <t>FREE</t>
        </is>
      </c>
      <c r="H1519" s="170" t="n">
        <v>46220.89357638889</v>
      </c>
    </row>
    <row r="1520">
      <c r="A1520" s="13" t="inlineStr">
        <is>
          <t>MK00138</t>
        </is>
      </c>
      <c r="B1520" s="13" t="n">
        <v>528000298</v>
      </c>
      <c r="C1520" s="13" t="inlineStr">
        <is>
          <t>Desta Cahaya Pratama</t>
        </is>
      </c>
      <c r="D1520" s="13" t="inlineStr">
        <is>
          <t>PROD</t>
        </is>
      </c>
      <c r="E1520" s="13" t="inlineStr">
        <is>
          <t>Produksi Harian</t>
        </is>
      </c>
      <c r="F1520" s="170" t="n">
        <v>46220.32033564815</v>
      </c>
      <c r="G1520" s="13" t="inlineStr">
        <is>
          <t>FREE</t>
        </is>
      </c>
      <c r="H1520" s="170" t="n">
        <v>46220.66982638889</v>
      </c>
    </row>
    <row r="1521">
      <c r="A1521" s="13" t="inlineStr">
        <is>
          <t>MK00109</t>
        </is>
      </c>
      <c r="B1521" s="13" t="n">
        <v>528000299</v>
      </c>
      <c r="C1521" s="13" t="inlineStr">
        <is>
          <t>Siti Nurjanah</t>
        </is>
      </c>
      <c r="D1521" s="13" t="inlineStr">
        <is>
          <t>PROD</t>
        </is>
      </c>
      <c r="E1521" s="13" t="inlineStr">
        <is>
          <t>Produksi Harian</t>
        </is>
      </c>
      <c r="F1521" s="170" t="n">
        <v>46220.32052083333</v>
      </c>
      <c r="G1521" s="13" t="inlineStr">
        <is>
          <t>FREE</t>
        </is>
      </c>
      <c r="H1521" s="170" t="n">
        <v>46220.66980324074</v>
      </c>
    </row>
    <row r="1522">
      <c r="A1522" s="13" t="inlineStr">
        <is>
          <t>MK00184</t>
        </is>
      </c>
      <c r="B1522" s="13" t="n">
        <v>528000305</v>
      </c>
      <c r="C1522" s="13" t="inlineStr">
        <is>
          <t>Puji Puspita</t>
        </is>
      </c>
      <c r="D1522" s="13" t="inlineStr">
        <is>
          <t>PROD</t>
        </is>
      </c>
      <c r="E1522" s="13" t="inlineStr">
        <is>
          <t>Produksi Harian</t>
        </is>
      </c>
      <c r="F1522" s="170" t="n">
        <v>46220.32061342592</v>
      </c>
      <c r="G1522" s="13" t="inlineStr">
        <is>
          <t>FREE</t>
        </is>
      </c>
      <c r="H1522" s="170" t="n">
        <v>46220.66840277778</v>
      </c>
    </row>
    <row r="1523">
      <c r="A1523" s="13" t="inlineStr">
        <is>
          <t>MK00134</t>
        </is>
      </c>
      <c r="B1523" s="13" t="n">
        <v>528000270</v>
      </c>
      <c r="C1523" s="13" t="inlineStr">
        <is>
          <t>Febri Najmudin</t>
        </is>
      </c>
      <c r="D1523" s="13" t="inlineStr">
        <is>
          <t>LOG</t>
        </is>
      </c>
      <c r="E1523" s="13" t="inlineStr">
        <is>
          <t>WRM Harian</t>
        </is>
      </c>
      <c r="F1523" s="170" t="n">
        <v>46220.32361111111</v>
      </c>
      <c r="G1523" s="13" t="inlineStr">
        <is>
          <t>FREE</t>
        </is>
      </c>
      <c r="H1523" s="170" t="n">
        <v>46220.68297453703</v>
      </c>
    </row>
    <row r="1524">
      <c r="A1524" s="13" t="inlineStr">
        <is>
          <t>MK00230</t>
        </is>
      </c>
      <c r="B1524" s="13" t="n">
        <v>528000322</v>
      </c>
      <c r="C1524" s="13" t="inlineStr">
        <is>
          <t>Muhamad Aliludin</t>
        </is>
      </c>
      <c r="D1524" s="13" t="inlineStr">
        <is>
          <t>PROD</t>
        </is>
      </c>
      <c r="E1524" s="13" t="inlineStr">
        <is>
          <t>Produksi Harian</t>
        </is>
      </c>
      <c r="F1524" s="170" t="n">
        <v>46220.3246875</v>
      </c>
      <c r="G1524" s="13" t="inlineStr">
        <is>
          <t>FREE</t>
        </is>
      </c>
      <c r="H1524" s="170" t="n">
        <v>46220.96226851852</v>
      </c>
    </row>
    <row r="1525">
      <c r="A1525" s="13" t="inlineStr">
        <is>
          <t>MK00113</t>
        </is>
      </c>
      <c r="B1525" s="13" t="n">
        <v>528000313</v>
      </c>
      <c r="C1525" s="13" t="inlineStr">
        <is>
          <t>Muhamad Rifki</t>
        </is>
      </c>
      <c r="D1525" s="13" t="inlineStr">
        <is>
          <t>PROD</t>
        </is>
      </c>
      <c r="E1525" s="13" t="inlineStr">
        <is>
          <t>Produksi Harian</t>
        </is>
      </c>
      <c r="F1525" s="170" t="n">
        <v>46220.32523148148</v>
      </c>
      <c r="G1525" s="13" t="inlineStr">
        <is>
          <t>FREE</t>
        </is>
      </c>
      <c r="H1525" s="170" t="n">
        <v>46220.66939814815</v>
      </c>
    </row>
    <row r="1526">
      <c r="A1526" s="13" t="inlineStr">
        <is>
          <t>MK00208</t>
        </is>
      </c>
      <c r="B1526" s="13" t="n">
        <v>528000302</v>
      </c>
      <c r="C1526" s="13" t="inlineStr">
        <is>
          <t>Henkey gumilar</t>
        </is>
      </c>
      <c r="D1526" s="13" t="inlineStr">
        <is>
          <t>PROD</t>
        </is>
      </c>
      <c r="E1526" s="13" t="inlineStr">
        <is>
          <t>Produksi Harian</t>
        </is>
      </c>
      <c r="F1526" s="170" t="n">
        <v>46220.32552083334</v>
      </c>
      <c r="G1526" s="13" t="inlineStr">
        <is>
          <t>FREE</t>
        </is>
      </c>
      <c r="H1526" s="170" t="n">
        <v>46220.67018518518</v>
      </c>
    </row>
    <row r="1527">
      <c r="A1527" s="13" t="inlineStr">
        <is>
          <t>MK00219</t>
        </is>
      </c>
      <c r="B1527" s="13" t="n">
        <v>528000309</v>
      </c>
      <c r="C1527" s="13" t="inlineStr">
        <is>
          <t>Ilham Ramadhan</t>
        </is>
      </c>
      <c r="D1527" s="13" t="inlineStr">
        <is>
          <t>LOG</t>
        </is>
      </c>
      <c r="E1527" s="13" t="inlineStr">
        <is>
          <t>WRM Harian</t>
        </is>
      </c>
      <c r="F1527" s="170" t="n">
        <v>46220.32644675926</v>
      </c>
      <c r="G1527" s="13" t="inlineStr">
        <is>
          <t>FREE</t>
        </is>
      </c>
      <c r="H1527" s="170" t="n">
        <v>46220.67060185185</v>
      </c>
    </row>
    <row r="1528">
      <c r="A1528" s="13" t="inlineStr">
        <is>
          <t>MK00202</t>
        </is>
      </c>
      <c r="B1528" s="13" t="n">
        <v>528000289</v>
      </c>
      <c r="C1528" s="13" t="inlineStr">
        <is>
          <t>Adit Supriyadi</t>
        </is>
      </c>
      <c r="D1528" s="13" t="inlineStr">
        <is>
          <t>PROD</t>
        </is>
      </c>
      <c r="E1528" s="13" t="inlineStr">
        <is>
          <t>Produksi Harian</t>
        </is>
      </c>
      <c r="F1528" s="170" t="n">
        <v>46220.64880787037</v>
      </c>
      <c r="G1528" s="13" t="inlineStr">
        <is>
          <t>FREE</t>
        </is>
      </c>
      <c r="H1528" s="170" t="n">
        <v>46221.00421296297</v>
      </c>
    </row>
    <row r="1529">
      <c r="A1529" s="13" t="inlineStr">
        <is>
          <t>MK0082</t>
        </is>
      </c>
      <c r="B1529" s="13" t="n">
        <v>528000201</v>
      </c>
      <c r="C1529" s="13" t="inlineStr">
        <is>
          <t>Zahwa Amelia Choerunissa</t>
        </is>
      </c>
      <c r="D1529" s="13" t="inlineStr">
        <is>
          <t>PROD</t>
        </is>
      </c>
      <c r="E1529" s="13" t="inlineStr">
        <is>
          <t>Produksi Harian</t>
        </is>
      </c>
      <c r="F1529" s="170" t="n">
        <v>46220.6513425926</v>
      </c>
      <c r="G1529" s="13" t="inlineStr">
        <is>
          <t>FREE</t>
        </is>
      </c>
      <c r="H1529" s="170" t="n">
        <v>46221.0056712963</v>
      </c>
    </row>
    <row r="1530">
      <c r="A1530" s="13" t="inlineStr">
        <is>
          <t>MK0779</t>
        </is>
      </c>
      <c r="B1530" s="13" t="n">
        <v>528000099</v>
      </c>
      <c r="C1530" s="13" t="inlineStr">
        <is>
          <t>Siti Nurawaliah</t>
        </is>
      </c>
      <c r="D1530" s="13" t="inlineStr">
        <is>
          <t>PROD</t>
        </is>
      </c>
      <c r="E1530" s="13" t="inlineStr">
        <is>
          <t>Produksi Harian</t>
        </is>
      </c>
      <c r="F1530" s="170" t="n">
        <v>46220.65206018519</v>
      </c>
      <c r="G1530" s="13" t="inlineStr">
        <is>
          <t>FREE</t>
        </is>
      </c>
      <c r="H1530" s="170" t="n">
        <v>46221.00652777778</v>
      </c>
    </row>
    <row r="1531">
      <c r="A1531" s="13" t="inlineStr">
        <is>
          <t>MK00158</t>
        </is>
      </c>
      <c r="B1531" s="13" t="n">
        <v>528000339</v>
      </c>
      <c r="C1531" s="13" t="inlineStr">
        <is>
          <t>Muhamad Ripai'i</t>
        </is>
      </c>
      <c r="D1531" s="13" t="inlineStr">
        <is>
          <t>HRGA</t>
        </is>
      </c>
      <c r="E1531" s="13" t="inlineStr">
        <is>
          <t>GA Harian</t>
        </is>
      </c>
      <c r="F1531" s="170" t="n">
        <v>46220.65311342593</v>
      </c>
      <c r="G1531" s="13" t="inlineStr">
        <is>
          <t>FREE</t>
        </is>
      </c>
      <c r="H1531" s="170" t="n">
        <v>46221.00506944444</v>
      </c>
    </row>
    <row r="1532">
      <c r="A1532" s="13" t="inlineStr">
        <is>
          <t>MK00143</t>
        </is>
      </c>
      <c r="B1532" s="13" t="n">
        <v>528000286</v>
      </c>
      <c r="C1532" s="13" t="inlineStr">
        <is>
          <t>Imelda Amelia</t>
        </is>
      </c>
      <c r="D1532" s="13" t="inlineStr">
        <is>
          <t>PROD</t>
        </is>
      </c>
      <c r="E1532" s="13" t="inlineStr">
        <is>
          <t>Produksi Harian</t>
        </is>
      </c>
      <c r="F1532" s="170" t="n">
        <v>46220.65831018519</v>
      </c>
      <c r="G1532" s="13" t="inlineStr">
        <is>
          <t>FREE</t>
        </is>
      </c>
      <c r="H1532" s="170" t="n">
        <v>46221.00696759259</v>
      </c>
    </row>
    <row r="1533">
      <c r="A1533" s="13" t="inlineStr">
        <is>
          <t>MK00192</t>
        </is>
      </c>
      <c r="B1533" s="13" t="n">
        <v>528000241</v>
      </c>
      <c r="C1533" s="13" t="inlineStr">
        <is>
          <t>Balia Nurafif Bilah</t>
        </is>
      </c>
      <c r="D1533" s="13" t="inlineStr">
        <is>
          <t>PROD</t>
        </is>
      </c>
      <c r="E1533" s="13" t="inlineStr">
        <is>
          <t>Produksi Harian</t>
        </is>
      </c>
      <c r="F1533" s="170" t="n">
        <v>46220.66226851852</v>
      </c>
      <c r="G1533" s="13" t="inlineStr">
        <is>
          <t>FREE</t>
        </is>
      </c>
      <c r="H1533" s="170" t="n">
        <v>46221.0036574074</v>
      </c>
    </row>
    <row r="1534">
      <c r="A1534" s="13" t="inlineStr">
        <is>
          <t>MK00141</t>
        </is>
      </c>
      <c r="B1534" s="13" t="n">
        <v>528000274</v>
      </c>
      <c r="C1534" s="13" t="inlineStr">
        <is>
          <t>Zepri</t>
        </is>
      </c>
      <c r="D1534" s="13" t="inlineStr">
        <is>
          <t>PROD</t>
        </is>
      </c>
      <c r="E1534" s="13" t="inlineStr">
        <is>
          <t>Produksi Harian</t>
        </is>
      </c>
      <c r="F1534" s="170" t="n">
        <v>46220.66368055555</v>
      </c>
      <c r="G1534" s="13" t="inlineStr">
        <is>
          <t>FREE</t>
        </is>
      </c>
      <c r="H1534" s="170" t="n">
        <v>46221.00503472222</v>
      </c>
    </row>
    <row r="1535">
      <c r="A1535" s="13" t="inlineStr">
        <is>
          <t>MK00116</t>
        </is>
      </c>
      <c r="B1535" s="13" t="n">
        <v>528000090</v>
      </c>
      <c r="C1535" s="13" t="inlineStr">
        <is>
          <t>Suganda</t>
        </is>
      </c>
      <c r="D1535" s="13" t="inlineStr">
        <is>
          <t>PROD</t>
        </is>
      </c>
      <c r="E1535" s="13" t="inlineStr">
        <is>
          <t>Produksi Harian</t>
        </is>
      </c>
      <c r="F1535" s="170" t="n">
        <v>46220.66399305555</v>
      </c>
      <c r="G1535" s="13" t="inlineStr">
        <is>
          <t>FREE</t>
        </is>
      </c>
      <c r="H1535" s="170" t="n">
        <v>46221.00456018518</v>
      </c>
    </row>
    <row r="1536">
      <c r="A1536" s="13" t="inlineStr">
        <is>
          <t>MK00121</t>
        </is>
      </c>
      <c r="B1536" s="13" t="n">
        <v>528000244</v>
      </c>
      <c r="C1536" s="13" t="inlineStr">
        <is>
          <t>Rodian Rifai</t>
        </is>
      </c>
      <c r="D1536" s="13" t="inlineStr">
        <is>
          <t>PROD</t>
        </is>
      </c>
      <c r="E1536" s="13" t="inlineStr">
        <is>
          <t>Produksi Harian</t>
        </is>
      </c>
      <c r="F1536" s="170" t="n">
        <v>46220.66434027778</v>
      </c>
      <c r="G1536" s="13" t="inlineStr">
        <is>
          <t>FREE</t>
        </is>
      </c>
      <c r="H1536" s="170" t="n">
        <v>46221.01533564815</v>
      </c>
    </row>
    <row r="1537">
      <c r="A1537" s="13" t="inlineStr">
        <is>
          <t>MK0093</t>
        </is>
      </c>
      <c r="B1537" s="13" t="n">
        <v>528000290</v>
      </c>
      <c r="C1537" s="13" t="inlineStr">
        <is>
          <t>Eval Pranata</t>
        </is>
      </c>
      <c r="D1537" s="13" t="inlineStr">
        <is>
          <t>PROD</t>
        </is>
      </c>
      <c r="E1537" s="13" t="inlineStr">
        <is>
          <t>Produksi Harian</t>
        </is>
      </c>
      <c r="F1537" s="170" t="n">
        <v>46220.66465277778</v>
      </c>
      <c r="G1537" s="13" t="inlineStr">
        <is>
          <t>FREE</t>
        </is>
      </c>
      <c r="H1537" s="170" t="n">
        <v>46221.66621527778</v>
      </c>
    </row>
    <row r="1538">
      <c r="A1538" s="13" t="inlineStr">
        <is>
          <t>MK00124</t>
        </is>
      </c>
      <c r="B1538" s="13" t="n">
        <v>528000212</v>
      </c>
      <c r="C1538" s="13" t="inlineStr">
        <is>
          <t>Rizal Fauzi</t>
        </is>
      </c>
      <c r="D1538" s="13" t="inlineStr">
        <is>
          <t>PROD</t>
        </is>
      </c>
      <c r="E1538" s="13" t="inlineStr">
        <is>
          <t>Produksi Harian</t>
        </is>
      </c>
      <c r="F1538" s="170" t="n">
        <v>46220.66695601852</v>
      </c>
      <c r="G1538" s="13" t="inlineStr">
        <is>
          <t>FREE</t>
        </is>
      </c>
      <c r="H1538" s="170" t="n">
        <v>46221.01625</v>
      </c>
    </row>
    <row r="1539">
      <c r="A1539" s="13" t="n">
        <v>46</v>
      </c>
      <c r="B1539" s="13" t="n">
        <v>528000335</v>
      </c>
      <c r="C1539" s="13" t="inlineStr">
        <is>
          <t>Rizal Saepuloh</t>
        </is>
      </c>
      <c r="D1539" s="13" t="inlineStr">
        <is>
          <t>LOG</t>
        </is>
      </c>
      <c r="E1539" s="13" t="inlineStr">
        <is>
          <t>WRM Harian</t>
        </is>
      </c>
      <c r="F1539" s="170" t="n">
        <v>46220.73105324074</v>
      </c>
      <c r="G1539" s="13" t="inlineStr">
        <is>
          <t>FREE</t>
        </is>
      </c>
      <c r="H1539" s="170" t="n"/>
    </row>
    <row r="1540">
      <c r="A1540" s="13" t="inlineStr">
        <is>
          <t>MK00217</t>
        </is>
      </c>
      <c r="B1540" s="13" t="n">
        <v>528000282</v>
      </c>
      <c r="C1540" s="13" t="inlineStr">
        <is>
          <t>Defa Desfiana</t>
        </is>
      </c>
      <c r="D1540" s="13" t="inlineStr">
        <is>
          <t>PROD</t>
        </is>
      </c>
      <c r="E1540" s="13" t="inlineStr">
        <is>
          <t>Produksi Harian</t>
        </is>
      </c>
      <c r="F1540" s="170" t="n">
        <v>46220.73590277778</v>
      </c>
      <c r="G1540" s="13" t="inlineStr">
        <is>
          <t>FREE</t>
        </is>
      </c>
      <c r="H1540" s="170" t="n">
        <v>46220.95924768518</v>
      </c>
    </row>
    <row r="1541">
      <c r="A1541" s="13" t="inlineStr">
        <is>
          <t>MK00181</t>
        </is>
      </c>
      <c r="B1541" s="13" t="n">
        <v>528000265</v>
      </c>
      <c r="C1541" s="13" t="inlineStr">
        <is>
          <t>Muhammad Haerul Rozikin</t>
        </is>
      </c>
      <c r="D1541" s="13" t="inlineStr">
        <is>
          <t>LOG</t>
        </is>
      </c>
      <c r="E1541" s="13" t="inlineStr">
        <is>
          <t>WRM Harian</t>
        </is>
      </c>
      <c r="F1541" s="170" t="n">
        <v>46220.73983796296</v>
      </c>
      <c r="G1541" s="13" t="inlineStr">
        <is>
          <t>FREE</t>
        </is>
      </c>
      <c r="H1541" s="170" t="n">
        <v>46220.96303240741</v>
      </c>
    </row>
    <row r="1542">
      <c r="A1542" s="13" t="inlineStr">
        <is>
          <t>MK00184</t>
        </is>
      </c>
      <c r="B1542" s="13" t="n">
        <v>528000351</v>
      </c>
      <c r="C1542" s="13" t="inlineStr">
        <is>
          <t>Mulyana</t>
        </is>
      </c>
      <c r="D1542" s="13" t="inlineStr">
        <is>
          <t>PROD</t>
        </is>
      </c>
      <c r="E1542" s="13" t="inlineStr">
        <is>
          <t>Produksi Harian</t>
        </is>
      </c>
      <c r="F1542" s="170" t="n">
        <v>46220.74320601852</v>
      </c>
      <c r="G1542" s="13" t="inlineStr">
        <is>
          <t>FREE</t>
        </is>
      </c>
      <c r="H1542" s="170" t="n">
        <v>46220.97237268519</v>
      </c>
    </row>
    <row r="1543">
      <c r="A1543" s="13" t="inlineStr">
        <is>
          <t>MK00138</t>
        </is>
      </c>
      <c r="B1543" s="13" t="n">
        <v>528000310</v>
      </c>
      <c r="C1543" s="13" t="inlineStr">
        <is>
          <t>Fachrul Rozzi Suryana</t>
        </is>
      </c>
      <c r="D1543" s="13" t="inlineStr">
        <is>
          <t>LOG</t>
        </is>
      </c>
      <c r="E1543" s="13" t="inlineStr">
        <is>
          <t>WRM Harian</t>
        </is>
      </c>
      <c r="F1543" s="170" t="n">
        <v>46220.7440625</v>
      </c>
      <c r="G1543" s="13" t="inlineStr">
        <is>
          <t>FREE</t>
        </is>
      </c>
      <c r="H1543" s="170" t="n">
        <v>46220.96012731481</v>
      </c>
    </row>
    <row r="1544">
      <c r="A1544" s="13" t="inlineStr">
        <is>
          <t>MK00154</t>
        </is>
      </c>
      <c r="B1544" s="13" t="n">
        <v>528000069</v>
      </c>
      <c r="C1544" s="13" t="inlineStr">
        <is>
          <t>Jajang Ardiansyah</t>
        </is>
      </c>
      <c r="D1544" s="13" t="inlineStr">
        <is>
          <t>PROD</t>
        </is>
      </c>
      <c r="E1544" s="13" t="inlineStr">
        <is>
          <t>Produksi Harian</t>
        </is>
      </c>
      <c r="F1544" s="170" t="n">
        <v>46220.74600694444</v>
      </c>
      <c r="G1544" s="13" t="inlineStr">
        <is>
          <t>FREE</t>
        </is>
      </c>
      <c r="H1544" s="170" t="n">
        <v>46221.25685185185</v>
      </c>
    </row>
    <row r="1545">
      <c r="A1545" s="13" t="inlineStr">
        <is>
          <t>MK000221</t>
        </is>
      </c>
      <c r="B1545" s="13" t="n">
        <v>528000144</v>
      </c>
      <c r="C1545" s="13" t="inlineStr">
        <is>
          <t>Jodi Hanafi</t>
        </is>
      </c>
      <c r="D1545" s="13" t="inlineStr">
        <is>
          <t>LOG</t>
        </is>
      </c>
      <c r="E1545" s="13" t="inlineStr">
        <is>
          <t>WRM Harian</t>
        </is>
      </c>
      <c r="F1545" s="170" t="n">
        <v>46220.75331018519</v>
      </c>
      <c r="G1545" s="13" t="inlineStr">
        <is>
          <t>FREE</t>
        </is>
      </c>
      <c r="H1545" s="170" t="n">
        <v>46220.75368055556</v>
      </c>
    </row>
    <row r="1546">
      <c r="A1546" s="13" t="inlineStr">
        <is>
          <t>MK00221</t>
        </is>
      </c>
      <c r="B1546" s="13" t="n">
        <v>528000144</v>
      </c>
      <c r="C1546" s="13" t="inlineStr">
        <is>
          <t>Jodi Hanafi</t>
        </is>
      </c>
      <c r="D1546" s="13" t="inlineStr">
        <is>
          <t>LOG</t>
        </is>
      </c>
      <c r="E1546" s="13" t="inlineStr">
        <is>
          <t>WRM Harian</t>
        </is>
      </c>
      <c r="F1546" s="170" t="n">
        <v>46220.75387731481</v>
      </c>
      <c r="G1546" s="13" t="inlineStr">
        <is>
          <t>FREE</t>
        </is>
      </c>
      <c r="H1546" s="170" t="n">
        <v>46221.03690972222</v>
      </c>
    </row>
    <row r="1547">
      <c r="A1547" s="13" t="inlineStr">
        <is>
          <t>MK00205</t>
        </is>
      </c>
      <c r="B1547" s="13" t="n">
        <v>528000348</v>
      </c>
      <c r="C1547" s="13" t="inlineStr">
        <is>
          <t>Saepuloh Ardiansah</t>
        </is>
      </c>
      <c r="D1547" s="13" t="inlineStr">
        <is>
          <t>LOG</t>
        </is>
      </c>
      <c r="E1547" s="13" t="inlineStr">
        <is>
          <t>WRM Harian</t>
        </is>
      </c>
      <c r="F1547" s="170" t="n">
        <v>46220.78376157407</v>
      </c>
      <c r="G1547" s="13" t="inlineStr">
        <is>
          <t>FREE</t>
        </is>
      </c>
      <c r="H1547" s="170" t="n">
        <v>46221.00746527778</v>
      </c>
    </row>
    <row r="1548">
      <c r="A1548" s="13" t="inlineStr">
        <is>
          <t>MK00210</t>
        </is>
      </c>
      <c r="B1548" s="13" t="n">
        <v>528000232</v>
      </c>
      <c r="C1548" s="13" t="inlineStr">
        <is>
          <t>Agung Aji Suhada</t>
        </is>
      </c>
      <c r="D1548" s="13" t="inlineStr">
        <is>
          <t>LOG</t>
        </is>
      </c>
      <c r="E1548" s="13" t="inlineStr">
        <is>
          <t>WRM Harian</t>
        </is>
      </c>
      <c r="F1548" s="170" t="n">
        <v>46220.78752314814</v>
      </c>
      <c r="G1548" s="13" t="inlineStr">
        <is>
          <t>FREE</t>
        </is>
      </c>
      <c r="H1548" s="170" t="n">
        <v>46221.00077546296</v>
      </c>
    </row>
    <row r="1549">
      <c r="A1549" s="13" t="inlineStr">
        <is>
          <t>MK00148</t>
        </is>
      </c>
      <c r="B1549" s="13" t="n">
        <v>528000040</v>
      </c>
      <c r="C1549" s="13" t="inlineStr">
        <is>
          <t>Agus Suryaman</t>
        </is>
      </c>
      <c r="D1549" s="13" t="inlineStr">
        <is>
          <t>PROD</t>
        </is>
      </c>
      <c r="E1549" s="13" t="inlineStr">
        <is>
          <t>Produksi Harian</t>
        </is>
      </c>
      <c r="F1549" s="170" t="n">
        <v>46220.7930787037</v>
      </c>
      <c r="G1549" s="13" t="inlineStr">
        <is>
          <t>FREE</t>
        </is>
      </c>
      <c r="H1549" s="170" t="n">
        <v>46221.00123842592</v>
      </c>
    </row>
    <row r="1550">
      <c r="A1550" s="13" t="inlineStr">
        <is>
          <t>MK00228</t>
        </is>
      </c>
      <c r="B1550" s="13" t="n">
        <v>528000132</v>
      </c>
      <c r="C1550" s="13" t="inlineStr">
        <is>
          <t>Giopani</t>
        </is>
      </c>
      <c r="D1550" s="13" t="inlineStr">
        <is>
          <t>LOG</t>
        </is>
      </c>
      <c r="E1550" s="13" t="inlineStr">
        <is>
          <t>WRM Harian</t>
        </is>
      </c>
      <c r="F1550" s="170" t="n">
        <v>46220.81760416667</v>
      </c>
      <c r="G1550" s="13" t="inlineStr">
        <is>
          <t>FREE</t>
        </is>
      </c>
      <c r="H1550" s="170" t="n">
        <v>46221.00113425926</v>
      </c>
    </row>
    <row r="1551">
      <c r="A1551" s="13" t="inlineStr">
        <is>
          <t>MK00218</t>
        </is>
      </c>
      <c r="B1551" s="13" t="n">
        <v>528000337</v>
      </c>
      <c r="C1551" s="13" t="inlineStr">
        <is>
          <t>Ahmad Zaldi Firdaus</t>
        </is>
      </c>
      <c r="D1551" s="13" t="inlineStr">
        <is>
          <t>PROD</t>
        </is>
      </c>
      <c r="E1551" s="13" t="inlineStr">
        <is>
          <t>Produksi Harian</t>
        </is>
      </c>
      <c r="F1551" s="170" t="n">
        <v>46220.95565972223</v>
      </c>
      <c r="G1551" s="13" t="inlineStr">
        <is>
          <t>FREE</t>
        </is>
      </c>
      <c r="H1551" s="170" t="n">
        <v>46221.34087962963</v>
      </c>
    </row>
    <row r="1552">
      <c r="A1552" s="13" t="inlineStr">
        <is>
          <t>MK00230</t>
        </is>
      </c>
      <c r="B1552" s="13" t="n">
        <v>528000267</v>
      </c>
      <c r="C1552" s="13" t="inlineStr">
        <is>
          <t>Bagas Patulloh</t>
        </is>
      </c>
      <c r="D1552" s="13" t="inlineStr">
        <is>
          <t>LOG</t>
        </is>
      </c>
      <c r="E1552" s="13" t="inlineStr">
        <is>
          <t>WRM Harian</t>
        </is>
      </c>
      <c r="F1552" s="170" t="n">
        <v>46220.96243055556</v>
      </c>
      <c r="G1552" s="13" t="inlineStr">
        <is>
          <t>FREE</t>
        </is>
      </c>
      <c r="H1552" s="170" t="n">
        <v>46221.16704861111</v>
      </c>
    </row>
    <row r="1553">
      <c r="A1553" s="13" t="inlineStr">
        <is>
          <t>MK0088</t>
        </is>
      </c>
      <c r="B1553" s="13" t="n">
        <v>528000052</v>
      </c>
      <c r="C1553" s="13" t="inlineStr">
        <is>
          <t>Mustopa</t>
        </is>
      </c>
      <c r="D1553" s="13" t="inlineStr">
        <is>
          <t>PROD</t>
        </is>
      </c>
      <c r="E1553" s="13" t="inlineStr">
        <is>
          <t>Produksi Harian</t>
        </is>
      </c>
      <c r="F1553" s="170" t="n">
        <v>46220.96357638889</v>
      </c>
      <c r="G1553" s="13" t="inlineStr">
        <is>
          <t>FREE</t>
        </is>
      </c>
      <c r="H1553" s="170" t="n">
        <v>46221.33572916667</v>
      </c>
    </row>
    <row r="1554">
      <c r="A1554" s="13" t="inlineStr">
        <is>
          <t>MK00212</t>
        </is>
      </c>
      <c r="B1554" s="13" t="n">
        <v>528000360</v>
      </c>
      <c r="C1554" s="13" t="inlineStr">
        <is>
          <t>Hendra Permana</t>
        </is>
      </c>
      <c r="D1554" s="13" t="inlineStr">
        <is>
          <t>ENG</t>
        </is>
      </c>
      <c r="E1554" s="13" t="inlineStr">
        <is>
          <t>Engineering Harian</t>
        </is>
      </c>
      <c r="F1554" s="170" t="n">
        <v>46220.97324074074</v>
      </c>
      <c r="G1554" s="13" t="inlineStr">
        <is>
          <t>FREE</t>
        </is>
      </c>
      <c r="H1554" s="170" t="n">
        <v>46221.33534722222</v>
      </c>
    </row>
    <row r="1555">
      <c r="A1555" s="13" t="inlineStr">
        <is>
          <t>MK00145</t>
        </is>
      </c>
      <c r="B1555" s="13" t="n">
        <v>528000195</v>
      </c>
      <c r="C1555" s="13" t="inlineStr">
        <is>
          <t>Rahma Sariwati</t>
        </is>
      </c>
      <c r="D1555" s="13" t="inlineStr">
        <is>
          <t>PROD</t>
        </is>
      </c>
      <c r="E1555" s="13" t="inlineStr">
        <is>
          <t>Produksi Harian</t>
        </is>
      </c>
      <c r="F1555" s="170" t="n">
        <v>46220.98405092592</v>
      </c>
      <c r="G1555" s="13" t="inlineStr">
        <is>
          <t>FREE</t>
        </is>
      </c>
      <c r="H1555" s="170" t="n">
        <v>46221.33503472222</v>
      </c>
    </row>
    <row r="1556">
      <c r="A1556" s="13" t="inlineStr">
        <is>
          <t>MK00184</t>
        </is>
      </c>
      <c r="B1556" s="13" t="n">
        <v>528000358</v>
      </c>
      <c r="C1556" s="13" t="inlineStr">
        <is>
          <t>Lulu Agustin</t>
        </is>
      </c>
      <c r="D1556" s="13" t="inlineStr">
        <is>
          <t>PROD</t>
        </is>
      </c>
      <c r="E1556" s="13" t="inlineStr">
        <is>
          <t>Produksi Harian</t>
        </is>
      </c>
      <c r="F1556" s="170" t="n">
        <v>46220.98789351852</v>
      </c>
      <c r="G1556" s="13" t="inlineStr">
        <is>
          <t>FREE</t>
        </is>
      </c>
      <c r="H1556" s="170" t="n">
        <v>46221.33425925926</v>
      </c>
    </row>
    <row r="1557">
      <c r="A1557" s="13" t="inlineStr">
        <is>
          <t>MK00181</t>
        </is>
      </c>
      <c r="B1557" s="13" t="n">
        <v>528000266</v>
      </c>
      <c r="C1557" s="13" t="inlineStr">
        <is>
          <t>M. Syirajatieq</t>
        </is>
      </c>
      <c r="D1557" s="13" t="inlineStr">
        <is>
          <t>LOG</t>
        </is>
      </c>
      <c r="E1557" s="13" t="inlineStr">
        <is>
          <t>WFG Harian</t>
        </is>
      </c>
      <c r="F1557" s="170" t="n">
        <v>46220.9884837963</v>
      </c>
      <c r="G1557" s="13" t="inlineStr">
        <is>
          <t>FREE</t>
        </is>
      </c>
      <c r="H1557" s="170" t="n">
        <v>46221.35564814815</v>
      </c>
    </row>
    <row r="1558">
      <c r="A1558" s="13" t="inlineStr">
        <is>
          <t>MK00113</t>
        </is>
      </c>
      <c r="B1558" s="13" t="n">
        <v>528000262</v>
      </c>
      <c r="C1558" s="13" t="inlineStr">
        <is>
          <t>Ndari Dwiwanti</t>
        </is>
      </c>
      <c r="D1558" s="13" t="inlineStr">
        <is>
          <t>PROD</t>
        </is>
      </c>
      <c r="E1558" s="13" t="inlineStr">
        <is>
          <t>Produksi Harian</t>
        </is>
      </c>
      <c r="F1558" s="170" t="n">
        <v>46220.98869212963</v>
      </c>
      <c r="G1558" s="13" t="inlineStr">
        <is>
          <t>FREE</t>
        </is>
      </c>
      <c r="H1558" s="170" t="n">
        <v>46221.33417824074</v>
      </c>
    </row>
    <row r="1559">
      <c r="A1559" s="13" t="inlineStr">
        <is>
          <t>MK00235</t>
        </is>
      </c>
      <c r="B1559" s="13" t="n">
        <v>528000291</v>
      </c>
      <c r="C1559" s="13" t="inlineStr">
        <is>
          <t>Andrian</t>
        </is>
      </c>
      <c r="D1559" s="13" t="inlineStr">
        <is>
          <t>PROD</t>
        </is>
      </c>
      <c r="E1559" s="13" t="inlineStr">
        <is>
          <t>Produksi Harian</t>
        </is>
      </c>
      <c r="F1559" s="170" t="n">
        <v>46220.99107638889</v>
      </c>
      <c r="G1559" s="13" t="inlineStr">
        <is>
          <t>FREE</t>
        </is>
      </c>
      <c r="H1559" s="170" t="n">
        <v>46221.3362037037</v>
      </c>
    </row>
    <row r="1560">
      <c r="A1560" s="13" t="inlineStr">
        <is>
          <t>MK00248</t>
        </is>
      </c>
      <c r="B1560" s="13" t="n">
        <v>528000283</v>
      </c>
      <c r="C1560" s="13" t="inlineStr">
        <is>
          <t>Purwanda Sugiri</t>
        </is>
      </c>
      <c r="D1560" s="13" t="inlineStr">
        <is>
          <t>LOG</t>
        </is>
      </c>
      <c r="E1560" s="13" t="inlineStr">
        <is>
          <t>WRM Harian</t>
        </is>
      </c>
      <c r="F1560" s="170" t="n">
        <v>46220.99467592593</v>
      </c>
      <c r="G1560" s="13" t="inlineStr">
        <is>
          <t>FREE</t>
        </is>
      </c>
      <c r="H1560" s="170" t="n">
        <v>46221.99252314815</v>
      </c>
    </row>
    <row r="1561">
      <c r="A1561" s="13" t="inlineStr">
        <is>
          <t>MK00125</t>
        </is>
      </c>
      <c r="B1561" s="13" t="n">
        <v>528000314</v>
      </c>
      <c r="C1561" s="13" t="inlineStr">
        <is>
          <t>Rusmana</t>
        </is>
      </c>
      <c r="D1561" s="13" t="inlineStr">
        <is>
          <t>PROD</t>
        </is>
      </c>
      <c r="E1561" s="13" t="inlineStr">
        <is>
          <t>Produksi Harian</t>
        </is>
      </c>
      <c r="F1561" s="170" t="n">
        <v>46221.00092592592</v>
      </c>
      <c r="G1561" s="13" t="inlineStr">
        <is>
          <t>FREE</t>
        </is>
      </c>
      <c r="H1561" s="170" t="n">
        <v>46221.99649305556</v>
      </c>
    </row>
    <row r="1562">
      <c r="A1562" s="13" t="inlineStr">
        <is>
          <t>MK00230</t>
        </is>
      </c>
      <c r="B1562" s="13" t="n">
        <v>528000313</v>
      </c>
      <c r="C1562" s="13" t="inlineStr">
        <is>
          <t>Muhamad Rifki</t>
        </is>
      </c>
      <c r="D1562" s="13" t="inlineStr">
        <is>
          <t>PROD</t>
        </is>
      </c>
      <c r="E1562" s="13" t="inlineStr">
        <is>
          <t>Produksi Harian</t>
        </is>
      </c>
      <c r="F1562" s="170" t="n">
        <v>46221.31045138889</v>
      </c>
      <c r="G1562" s="13" t="inlineStr">
        <is>
          <t>FREE</t>
        </is>
      </c>
      <c r="H1562" s="170" t="n">
        <v>46221.67138888889</v>
      </c>
    </row>
    <row r="1563">
      <c r="A1563" s="13" t="inlineStr">
        <is>
          <t>MK00192</t>
        </is>
      </c>
      <c r="B1563" s="13" t="n">
        <v>528000361</v>
      </c>
      <c r="C1563" s="13" t="inlineStr">
        <is>
          <t>Denada Munggarani</t>
        </is>
      </c>
      <c r="D1563" s="13" t="inlineStr">
        <is>
          <t>PROD</t>
        </is>
      </c>
      <c r="E1563" s="13" t="inlineStr">
        <is>
          <t>Produksi Harian</t>
        </is>
      </c>
      <c r="F1563" s="170" t="n">
        <v>46221.31168981481</v>
      </c>
      <c r="G1563" s="13" t="inlineStr">
        <is>
          <t>FREE</t>
        </is>
      </c>
      <c r="H1563" s="170" t="n">
        <v>46221.67525462963</v>
      </c>
    </row>
    <row r="1564">
      <c r="A1564" s="13" t="inlineStr">
        <is>
          <t>MK00088</t>
        </is>
      </c>
      <c r="B1564" s="13" t="n">
        <v>528000015</v>
      </c>
      <c r="C1564" s="13" t="inlineStr">
        <is>
          <t>Erwin</t>
        </is>
      </c>
      <c r="D1564" s="13" t="inlineStr">
        <is>
          <t>LOG</t>
        </is>
      </c>
      <c r="E1564" s="13" t="inlineStr">
        <is>
          <t>WRM Harian</t>
        </is>
      </c>
      <c r="F1564" s="170" t="n">
        <v>46221.31469907407</v>
      </c>
      <c r="G1564" s="13" t="inlineStr">
        <is>
          <t>FREE</t>
        </is>
      </c>
      <c r="H1564" s="170" t="n">
        <v>46221.66380787037</v>
      </c>
    </row>
    <row r="1565">
      <c r="A1565" s="13" t="inlineStr">
        <is>
          <t>MK00109</t>
        </is>
      </c>
      <c r="B1565" s="13" t="n">
        <v>528000305</v>
      </c>
      <c r="C1565" s="13" t="inlineStr">
        <is>
          <t>Puji Puspita</t>
        </is>
      </c>
      <c r="D1565" s="13" t="inlineStr">
        <is>
          <t>PROD</t>
        </is>
      </c>
      <c r="E1565" s="13" t="inlineStr">
        <is>
          <t>Produksi Harian</t>
        </is>
      </c>
      <c r="F1565" s="170" t="n">
        <v>46221.31548611111</v>
      </c>
      <c r="G1565" s="13" t="inlineStr">
        <is>
          <t>FREE</t>
        </is>
      </c>
      <c r="H1565" s="170" t="n">
        <v>46221.66837962963</v>
      </c>
    </row>
    <row r="1566">
      <c r="A1566" s="13" t="inlineStr">
        <is>
          <t>MK00148</t>
        </is>
      </c>
      <c r="B1566" s="13" t="n">
        <v>528000322</v>
      </c>
      <c r="C1566" s="13" t="inlineStr">
        <is>
          <t>Muhamad Aliludin</t>
        </is>
      </c>
      <c r="D1566" s="13" t="inlineStr">
        <is>
          <t>PROD</t>
        </is>
      </c>
      <c r="E1566" s="13" t="inlineStr">
        <is>
          <t>Produksi Harian</t>
        </is>
      </c>
      <c r="F1566" s="170" t="n">
        <v>46221.31585648148</v>
      </c>
      <c r="G1566" s="13" t="inlineStr">
        <is>
          <t>FREE</t>
        </is>
      </c>
      <c r="H1566" s="170" t="n">
        <v>46221.66878472222</v>
      </c>
    </row>
    <row r="1567">
      <c r="A1567" s="13" t="inlineStr">
        <is>
          <t>MK00160</t>
        </is>
      </c>
      <c r="B1567" s="13" t="n">
        <v>528000299</v>
      </c>
      <c r="C1567" s="13" t="inlineStr">
        <is>
          <t>Siti Nurjanah</t>
        </is>
      </c>
      <c r="D1567" s="13" t="inlineStr">
        <is>
          <t>PROD</t>
        </is>
      </c>
      <c r="E1567" s="13" t="inlineStr">
        <is>
          <t>Produksi Harian</t>
        </is>
      </c>
      <c r="F1567" s="170" t="n">
        <v>46221.31633101852</v>
      </c>
      <c r="G1567" s="13" t="inlineStr">
        <is>
          <t>FREE</t>
        </is>
      </c>
      <c r="H1567" s="170" t="n">
        <v>46221.67533564815</v>
      </c>
    </row>
    <row r="1568">
      <c r="A1568" s="13" t="inlineStr">
        <is>
          <t>MK00208</t>
        </is>
      </c>
      <c r="B1568" s="13" t="n">
        <v>528000318</v>
      </c>
      <c r="C1568" s="13" t="inlineStr">
        <is>
          <t>Bayu Padli Sepriyana</t>
        </is>
      </c>
      <c r="D1568" s="13" t="inlineStr">
        <is>
          <t>LOG</t>
        </is>
      </c>
      <c r="E1568" s="13" t="inlineStr">
        <is>
          <t>WRM Harian</t>
        </is>
      </c>
      <c r="F1568" s="170" t="n">
        <v>46221.31876157408</v>
      </c>
      <c r="G1568" s="13" t="inlineStr">
        <is>
          <t>FREE</t>
        </is>
      </c>
      <c r="H1568" s="170" t="n">
        <v>46221.66810185185</v>
      </c>
    </row>
    <row r="1569">
      <c r="A1569" s="13" t="inlineStr">
        <is>
          <t>MK00116</t>
        </is>
      </c>
      <c r="B1569" s="13" t="n">
        <v>528000298</v>
      </c>
      <c r="C1569" s="13" t="inlineStr">
        <is>
          <t>Desta Cahaya Pratama</t>
        </is>
      </c>
      <c r="D1569" s="13" t="inlineStr">
        <is>
          <t>PROD</t>
        </is>
      </c>
      <c r="E1569" s="13" t="inlineStr">
        <is>
          <t>Produksi Harian</t>
        </is>
      </c>
      <c r="F1569" s="170" t="n">
        <v>46221.320625</v>
      </c>
      <c r="G1569" s="13" t="inlineStr">
        <is>
          <t>FREE</t>
        </is>
      </c>
      <c r="H1569" s="170" t="n">
        <v>46221.669375</v>
      </c>
    </row>
    <row r="1570">
      <c r="A1570" s="13" t="inlineStr">
        <is>
          <t>MK00219</t>
        </is>
      </c>
      <c r="B1570" s="13" t="n">
        <v>528000340</v>
      </c>
      <c r="C1570" s="13" t="inlineStr">
        <is>
          <t>Muhammad Wildan Adithya</t>
        </is>
      </c>
      <c r="D1570" s="13" t="inlineStr">
        <is>
          <t>PROD</t>
        </is>
      </c>
      <c r="E1570" s="13" t="inlineStr">
        <is>
          <t>Produksi Harian</t>
        </is>
      </c>
      <c r="F1570" s="170" t="n">
        <v>46221.32129629629</v>
      </c>
      <c r="G1570" s="13" t="inlineStr">
        <is>
          <t>FREE</t>
        </is>
      </c>
      <c r="H1570" s="170" t="n">
        <v>46221.67494212963</v>
      </c>
    </row>
    <row r="1571">
      <c r="A1571" s="13" t="inlineStr">
        <is>
          <t>MK00085</t>
        </is>
      </c>
      <c r="B1571" s="13" t="n">
        <v>528000270</v>
      </c>
      <c r="C1571" s="13" t="inlineStr">
        <is>
          <t>Febri Najmudin</t>
        </is>
      </c>
      <c r="D1571" s="13" t="inlineStr">
        <is>
          <t>LOG</t>
        </is>
      </c>
      <c r="E1571" s="13" t="inlineStr">
        <is>
          <t>WRM Harian</t>
        </is>
      </c>
      <c r="F1571" s="170" t="n">
        <v>46221.32232638889</v>
      </c>
      <c r="G1571" s="13" t="inlineStr">
        <is>
          <t>FREE</t>
        </is>
      </c>
      <c r="H1571" s="170" t="n">
        <v>46221.6829050926</v>
      </c>
    </row>
    <row r="1572">
      <c r="A1572" s="13" t="inlineStr">
        <is>
          <t>MK00143</t>
        </is>
      </c>
      <c r="B1572" s="13" t="n">
        <v>528000309</v>
      </c>
      <c r="C1572" s="13" t="inlineStr">
        <is>
          <t>Ilham Ramadhan</t>
        </is>
      </c>
      <c r="D1572" s="13" t="inlineStr">
        <is>
          <t>LOG</t>
        </is>
      </c>
      <c r="E1572" s="13" t="inlineStr">
        <is>
          <t>WRM Harian</t>
        </is>
      </c>
      <c r="F1572" s="170" t="n">
        <v>46221.32759259259</v>
      </c>
      <c r="G1572" s="13" t="inlineStr">
        <is>
          <t>FREE</t>
        </is>
      </c>
      <c r="H1572" s="170" t="n">
        <v>46221.67158564815</v>
      </c>
    </row>
    <row r="1573">
      <c r="A1573" s="13" t="inlineStr">
        <is>
          <t>MK00141</t>
        </is>
      </c>
      <c r="B1573" s="13" t="n">
        <v>528000302</v>
      </c>
      <c r="C1573" s="13" t="inlineStr">
        <is>
          <t>Henkey gumilar</t>
        </is>
      </c>
      <c r="D1573" s="13" t="inlineStr">
        <is>
          <t>PROD</t>
        </is>
      </c>
      <c r="E1573" s="13" t="inlineStr">
        <is>
          <t>Produksi Harian</t>
        </is>
      </c>
      <c r="F1573" s="170" t="n">
        <v>46221.32857638889</v>
      </c>
      <c r="G1573" s="13" t="inlineStr">
        <is>
          <t>FREE</t>
        </is>
      </c>
      <c r="H1573" s="170" t="n">
        <v>46221.66994212963</v>
      </c>
    </row>
    <row r="1574">
      <c r="A1574" s="13" t="inlineStr">
        <is>
          <t>MK00217</t>
        </is>
      </c>
      <c r="B1574" s="13" t="n">
        <v>528000325</v>
      </c>
      <c r="C1574" s="13" t="inlineStr">
        <is>
          <t>Rani Septia Ramadani</t>
        </is>
      </c>
      <c r="D1574" s="13" t="inlineStr">
        <is>
          <t>PROD</t>
        </is>
      </c>
      <c r="E1574" s="13" t="inlineStr">
        <is>
          <t>Produksi Harian</t>
        </is>
      </c>
      <c r="F1574" s="170" t="n">
        <v>46221.3337962963</v>
      </c>
      <c r="G1574" s="13" t="inlineStr">
        <is>
          <t>FREE</t>
        </is>
      </c>
      <c r="H1574" s="170" t="n">
        <v>46221.33422453704</v>
      </c>
    </row>
    <row r="1575">
      <c r="A1575" s="13" t="inlineStr">
        <is>
          <t>MK0055</t>
        </is>
      </c>
      <c r="B1575" s="13" t="n">
        <v>528000052</v>
      </c>
      <c r="C1575" s="13" t="inlineStr">
        <is>
          <t>Mustopa</t>
        </is>
      </c>
      <c r="D1575" s="13" t="inlineStr">
        <is>
          <t>PROD</t>
        </is>
      </c>
      <c r="E1575" s="13" t="inlineStr">
        <is>
          <t>Produksi Harian</t>
        </is>
      </c>
      <c r="F1575" s="170" t="n">
        <v>46221.64260416666</v>
      </c>
      <c r="G1575" s="13" t="inlineStr">
        <is>
          <t>FREE</t>
        </is>
      </c>
      <c r="H1575" s="170" t="n">
        <v>46222.33493055555</v>
      </c>
    </row>
    <row r="1576">
      <c r="A1576" s="13" t="inlineStr">
        <is>
          <t>MK00217</t>
        </is>
      </c>
      <c r="B1576" s="13" t="n">
        <v>528000339</v>
      </c>
      <c r="C1576" s="13" t="inlineStr">
        <is>
          <t>Muhamad Ripai'i</t>
        </is>
      </c>
      <c r="D1576" s="13" t="inlineStr">
        <is>
          <t>HRGA</t>
        </is>
      </c>
      <c r="E1576" s="13" t="inlineStr">
        <is>
          <t>GA Harian</t>
        </is>
      </c>
      <c r="F1576" s="170" t="n">
        <v>46221.64671296296</v>
      </c>
      <c r="G1576" s="13" t="inlineStr">
        <is>
          <t>FREE</t>
        </is>
      </c>
      <c r="H1576" s="170" t="n">
        <v>46222.00550925926</v>
      </c>
    </row>
    <row r="1577">
      <c r="A1577" s="13" t="inlineStr">
        <is>
          <t>MK00213</t>
        </is>
      </c>
      <c r="B1577" s="13" t="n">
        <v>528000201</v>
      </c>
      <c r="C1577" s="13" t="inlineStr">
        <is>
          <t>Zahwa Amelia Choerunissa</t>
        </is>
      </c>
      <c r="D1577" s="13" t="inlineStr">
        <is>
          <t>PROD</t>
        </is>
      </c>
      <c r="E1577" s="13" t="inlineStr">
        <is>
          <t>Produksi Harian</t>
        </is>
      </c>
      <c r="F1577" s="170" t="n">
        <v>46221.65728009259</v>
      </c>
      <c r="G1577" s="13" t="inlineStr">
        <is>
          <t>FREE</t>
        </is>
      </c>
      <c r="H1577" s="170" t="n">
        <v>46222.00327546296</v>
      </c>
    </row>
    <row r="1578">
      <c r="A1578" s="13" t="inlineStr">
        <is>
          <t>MK00235</t>
        </is>
      </c>
      <c r="B1578" s="13" t="n">
        <v>528000099</v>
      </c>
      <c r="C1578" s="13" t="inlineStr">
        <is>
          <t>Siti Nurawaliah</t>
        </is>
      </c>
      <c r="D1578" s="13" t="inlineStr">
        <is>
          <t>PROD</t>
        </is>
      </c>
      <c r="E1578" s="13" t="inlineStr">
        <is>
          <t>Produksi Harian</t>
        </is>
      </c>
      <c r="F1578" s="170" t="n">
        <v>46221.65780092592</v>
      </c>
      <c r="G1578" s="13" t="inlineStr">
        <is>
          <t>FREE</t>
        </is>
      </c>
      <c r="H1578" s="170" t="n">
        <v>46222.00359953703</v>
      </c>
    </row>
    <row r="1579">
      <c r="A1579" s="13" t="inlineStr">
        <is>
          <t>MK00184</t>
        </is>
      </c>
      <c r="B1579" s="13" t="n">
        <v>528000296</v>
      </c>
      <c r="C1579" s="13" t="inlineStr">
        <is>
          <t>Nurdin</t>
        </is>
      </c>
      <c r="D1579" s="13" t="inlineStr">
        <is>
          <t>PROD</t>
        </is>
      </c>
      <c r="E1579" s="13" t="inlineStr">
        <is>
          <t>Produksi Harian</t>
        </is>
      </c>
      <c r="F1579" s="170" t="n">
        <v>46221.66045138889</v>
      </c>
      <c r="G1579" s="13" t="inlineStr">
        <is>
          <t>FREE</t>
        </is>
      </c>
      <c r="H1579" s="170" t="n">
        <v>46222.00645833334</v>
      </c>
    </row>
    <row r="1580">
      <c r="A1580" s="13" t="inlineStr">
        <is>
          <t>MK00145</t>
        </is>
      </c>
      <c r="B1580" s="13" t="n">
        <v>528000286</v>
      </c>
      <c r="C1580" s="13" t="inlineStr">
        <is>
          <t>Imelda Amelia</t>
        </is>
      </c>
      <c r="D1580" s="13" t="inlineStr">
        <is>
          <t>PROD</t>
        </is>
      </c>
      <c r="E1580" s="13" t="inlineStr">
        <is>
          <t>Produksi Harian</t>
        </is>
      </c>
      <c r="F1580" s="170" t="n">
        <v>46221.66111111111</v>
      </c>
      <c r="G1580" s="13" t="inlineStr">
        <is>
          <t>FREE</t>
        </is>
      </c>
      <c r="H1580" s="170" t="n">
        <v>46222.0040162037</v>
      </c>
    </row>
    <row r="1581">
      <c r="A1581" s="13" t="inlineStr">
        <is>
          <t>MK00218</t>
        </is>
      </c>
      <c r="B1581" s="13" t="n">
        <v>528000241</v>
      </c>
      <c r="C1581" s="13" t="inlineStr">
        <is>
          <t>Balia Nurafif Bilah</t>
        </is>
      </c>
      <c r="D1581" s="13" t="inlineStr">
        <is>
          <t>PROD</t>
        </is>
      </c>
      <c r="E1581" s="13" t="inlineStr">
        <is>
          <t>Produksi Harian</t>
        </is>
      </c>
      <c r="F1581" s="170" t="n">
        <v>46221.66221064814</v>
      </c>
      <c r="G1581" s="13" t="inlineStr">
        <is>
          <t>FREE</t>
        </is>
      </c>
      <c r="H1581" s="170" t="n">
        <v>46222.00304398148</v>
      </c>
    </row>
    <row r="1582">
      <c r="A1582" s="13" t="inlineStr">
        <is>
          <t>MK00212</t>
        </is>
      </c>
      <c r="B1582" s="13" t="n">
        <v>528000289</v>
      </c>
      <c r="C1582" s="13" t="inlineStr">
        <is>
          <t>Adit Supriyadi</t>
        </is>
      </c>
      <c r="D1582" s="13" t="inlineStr">
        <is>
          <t>PROD</t>
        </is>
      </c>
      <c r="E1582" s="13" t="inlineStr">
        <is>
          <t>Produksi Harian</t>
        </is>
      </c>
      <c r="F1582" s="170" t="n">
        <v>46221.66239583334</v>
      </c>
      <c r="G1582" s="13" t="inlineStr">
        <is>
          <t>FREE</t>
        </is>
      </c>
      <c r="H1582" s="170" t="n">
        <v>46222.00184027778</v>
      </c>
    </row>
    <row r="1583">
      <c r="A1583" s="13" t="inlineStr">
        <is>
          <t>MK00249</t>
        </is>
      </c>
      <c r="B1583" s="13" t="n">
        <v>528000090</v>
      </c>
      <c r="C1583" s="13" t="inlineStr">
        <is>
          <t>Suganda</t>
        </is>
      </c>
      <c r="D1583" s="13" t="inlineStr">
        <is>
          <t>PROD</t>
        </is>
      </c>
      <c r="E1583" s="13" t="inlineStr">
        <is>
          <t>Produksi Harian</t>
        </is>
      </c>
      <c r="F1583" s="170" t="n">
        <v>46221.66473379629</v>
      </c>
      <c r="G1583" s="13" t="inlineStr">
        <is>
          <t>FREE</t>
        </is>
      </c>
      <c r="H1583" s="170" t="n">
        <v>46223.66690972223</v>
      </c>
    </row>
    <row r="1584">
      <c r="A1584" s="13" t="n">
        <v>52800088</v>
      </c>
      <c r="B1584" s="13" t="n">
        <v>528000244</v>
      </c>
      <c r="C1584" s="13" t="inlineStr">
        <is>
          <t>Rodian Rifai</t>
        </is>
      </c>
      <c r="D1584" s="13" t="inlineStr">
        <is>
          <t>PROD</t>
        </is>
      </c>
      <c r="E1584" s="13" t="inlineStr">
        <is>
          <t>Produksi Harian</t>
        </is>
      </c>
      <c r="F1584" s="170" t="n">
        <v>46221.665</v>
      </c>
      <c r="G1584" s="13" t="inlineStr">
        <is>
          <t>FREE</t>
        </is>
      </c>
      <c r="H1584" s="170" t="n">
        <v>46223.66125</v>
      </c>
    </row>
    <row r="1585">
      <c r="A1585" s="13" t="inlineStr">
        <is>
          <t>MK00113</t>
        </is>
      </c>
      <c r="B1585" s="13" t="n">
        <v>528000274</v>
      </c>
      <c r="C1585" s="13" t="inlineStr">
        <is>
          <t>Zepri</t>
        </is>
      </c>
      <c r="D1585" s="13" t="inlineStr">
        <is>
          <t>PROD</t>
        </is>
      </c>
      <c r="E1585" s="13" t="inlineStr">
        <is>
          <t>Produksi Harian</t>
        </is>
      </c>
      <c r="F1585" s="170" t="n">
        <v>46221.66516203704</v>
      </c>
      <c r="G1585" s="13" t="inlineStr">
        <is>
          <t>FREE</t>
        </is>
      </c>
      <c r="H1585" s="170" t="n">
        <v>46222.00331018519</v>
      </c>
    </row>
    <row r="1586">
      <c r="A1586" s="13" t="inlineStr">
        <is>
          <t>MK00220</t>
        </is>
      </c>
      <c r="B1586" s="13" t="n">
        <v>528000290</v>
      </c>
      <c r="C1586" s="13" t="inlineStr">
        <is>
          <t>Eval Pranata</t>
        </is>
      </c>
      <c r="D1586" s="13" t="inlineStr">
        <is>
          <t>PROD</t>
        </is>
      </c>
      <c r="E1586" s="13" t="inlineStr">
        <is>
          <t>Produksi Harian</t>
        </is>
      </c>
      <c r="F1586" s="170" t="n">
        <v>46221.66634259259</v>
      </c>
      <c r="G1586" s="13" t="inlineStr">
        <is>
          <t>FREE</t>
        </is>
      </c>
      <c r="H1586" s="170" t="n">
        <v>46222.0034375</v>
      </c>
    </row>
    <row r="1587">
      <c r="A1587" s="13" t="inlineStr">
        <is>
          <t>MK00088</t>
        </is>
      </c>
      <c r="B1587" s="13" t="n">
        <v>528000015</v>
      </c>
      <c r="C1587" s="13" t="inlineStr">
        <is>
          <t>Erwin</t>
        </is>
      </c>
      <c r="D1587" s="13" t="inlineStr">
        <is>
          <t>LOG</t>
        </is>
      </c>
      <c r="E1587" s="13" t="inlineStr">
        <is>
          <t>WRM Harian</t>
        </is>
      </c>
      <c r="F1587" s="170" t="n">
        <v>46221.67104166667</v>
      </c>
      <c r="G1587" s="13" t="inlineStr">
        <is>
          <t>FREE</t>
        </is>
      </c>
      <c r="H1587" s="170" t="n">
        <v>46221.67157407408</v>
      </c>
    </row>
    <row r="1588">
      <c r="A1588" s="13" t="inlineStr">
        <is>
          <t>MK00095</t>
        </is>
      </c>
      <c r="B1588" s="13" t="n">
        <v>528000273</v>
      </c>
      <c r="C1588" s="13" t="inlineStr">
        <is>
          <t>Asep Mulyana</t>
        </is>
      </c>
      <c r="D1588" s="13" t="inlineStr">
        <is>
          <t>PROD</t>
        </is>
      </c>
      <c r="E1588" s="13" t="inlineStr">
        <is>
          <t>Produksi Harian</t>
        </is>
      </c>
      <c r="F1588" s="170" t="n">
        <v>46221.76114583333</v>
      </c>
      <c r="G1588" s="13" t="inlineStr">
        <is>
          <t>FREE</t>
        </is>
      </c>
      <c r="H1588" s="170" t="n">
        <v>46222.00438657407</v>
      </c>
    </row>
    <row r="1589">
      <c r="A1589" s="13" t="inlineStr">
        <is>
          <t>MK00202</t>
        </is>
      </c>
      <c r="B1589" s="13" t="n">
        <v>528000337</v>
      </c>
      <c r="C1589" s="13" t="inlineStr">
        <is>
          <t>Ahmad Zaldi Firdaus</t>
        </is>
      </c>
      <c r="D1589" s="13" t="inlineStr">
        <is>
          <t>PROD</t>
        </is>
      </c>
      <c r="E1589" s="13" t="inlineStr">
        <is>
          <t>Produksi Harian</t>
        </is>
      </c>
      <c r="F1589" s="170" t="n">
        <v>46221.95638888889</v>
      </c>
      <c r="G1589" s="13" t="inlineStr">
        <is>
          <t>FREE</t>
        </is>
      </c>
      <c r="H1589" s="170" t="n">
        <v>46222.33886574074</v>
      </c>
    </row>
    <row r="1590">
      <c r="A1590" s="13" t="inlineStr">
        <is>
          <t>MK00208</t>
        </is>
      </c>
      <c r="B1590" s="13" t="n">
        <v>528000336</v>
      </c>
      <c r="C1590" s="13" t="inlineStr">
        <is>
          <t>Ali Nurhanafi</t>
        </is>
      </c>
      <c r="D1590" s="13" t="inlineStr">
        <is>
          <t>PROD</t>
        </is>
      </c>
      <c r="E1590" s="13" t="inlineStr">
        <is>
          <t>Produksi Harian</t>
        </is>
      </c>
      <c r="F1590" s="170" t="n">
        <v>46221.96568287037</v>
      </c>
      <c r="G1590" s="13" t="inlineStr">
        <is>
          <t>FREE</t>
        </is>
      </c>
      <c r="H1590" s="170" t="n">
        <v>46222.33831018519</v>
      </c>
    </row>
    <row r="1591">
      <c r="A1591" s="13" t="inlineStr">
        <is>
          <t>MK00112</t>
        </is>
      </c>
      <c r="B1591" s="13" t="n">
        <v>528000262</v>
      </c>
      <c r="C1591" s="13" t="inlineStr">
        <is>
          <t>Ndari Dwiwanti</t>
        </is>
      </c>
      <c r="D1591" s="13" t="inlineStr">
        <is>
          <t>PROD</t>
        </is>
      </c>
      <c r="E1591" s="13" t="inlineStr">
        <is>
          <t>Produksi Harian</t>
        </is>
      </c>
      <c r="F1591" s="170" t="n">
        <v>46221.98302083334</v>
      </c>
      <c r="G1591" s="13" t="inlineStr">
        <is>
          <t>FREE</t>
        </is>
      </c>
      <c r="H1591" s="170" t="n">
        <v>46222.33597222222</v>
      </c>
    </row>
    <row r="1592">
      <c r="A1592" s="13" t="inlineStr">
        <is>
          <t>MK00138</t>
        </is>
      </c>
      <c r="B1592" s="13" t="n">
        <v>528000266</v>
      </c>
      <c r="C1592" s="13" t="inlineStr">
        <is>
          <t>M. Syirajatieq</t>
        </is>
      </c>
      <c r="D1592" s="13" t="inlineStr">
        <is>
          <t>LOG</t>
        </is>
      </c>
      <c r="E1592" s="13" t="inlineStr">
        <is>
          <t>WFG Harian</t>
        </is>
      </c>
      <c r="F1592" s="170" t="n">
        <v>46221.98555555556</v>
      </c>
      <c r="G1592" s="13" t="inlineStr">
        <is>
          <t>FREE</t>
        </is>
      </c>
      <c r="H1592" s="170" t="n">
        <v>46222.35402777778</v>
      </c>
    </row>
    <row r="1593">
      <c r="A1593" s="13" t="inlineStr">
        <is>
          <t>MK00134</t>
        </is>
      </c>
      <c r="B1593" s="13" t="n">
        <v>528000195</v>
      </c>
      <c r="C1593" s="13" t="inlineStr">
        <is>
          <t>Rahma Sariwati</t>
        </is>
      </c>
      <c r="D1593" s="13" t="inlineStr">
        <is>
          <t>PROD</t>
        </is>
      </c>
      <c r="E1593" s="13" t="inlineStr">
        <is>
          <t>Produksi Harian</t>
        </is>
      </c>
      <c r="F1593" s="170" t="n">
        <v>46221.98609953704</v>
      </c>
      <c r="G1593" s="13" t="inlineStr">
        <is>
          <t>FREE</t>
        </is>
      </c>
      <c r="H1593" s="170" t="n">
        <v>46222.33701388889</v>
      </c>
    </row>
    <row r="1594">
      <c r="A1594" s="13" t="inlineStr">
        <is>
          <t>MK00204</t>
        </is>
      </c>
      <c r="B1594" s="13" t="n">
        <v>528000358</v>
      </c>
      <c r="C1594" s="13" t="inlineStr">
        <is>
          <t>Lulu Agustin</t>
        </is>
      </c>
      <c r="D1594" s="13" t="inlineStr">
        <is>
          <t>PROD</t>
        </is>
      </c>
      <c r="E1594" s="13" t="inlineStr">
        <is>
          <t>Produksi Harian</t>
        </is>
      </c>
      <c r="F1594" s="170" t="n">
        <v>46221.98652777778</v>
      </c>
      <c r="G1594" s="13" t="inlineStr">
        <is>
          <t>FREE</t>
        </is>
      </c>
      <c r="H1594" s="170" t="n">
        <v>46222.33532407408</v>
      </c>
    </row>
    <row r="1595">
      <c r="A1595" s="13" t="inlineStr">
        <is>
          <t>MK00185</t>
        </is>
      </c>
      <c r="B1595" s="13" t="n">
        <v>528000291</v>
      </c>
      <c r="C1595" s="13" t="inlineStr">
        <is>
          <t>Andrian</t>
        </is>
      </c>
      <c r="D1595" s="13" t="inlineStr">
        <is>
          <t>PROD</t>
        </is>
      </c>
      <c r="E1595" s="13" t="inlineStr">
        <is>
          <t>Produksi Harian</t>
        </is>
      </c>
      <c r="F1595" s="170" t="n">
        <v>46221.99206018518</v>
      </c>
      <c r="G1595" s="13" t="inlineStr">
        <is>
          <t>FREE</t>
        </is>
      </c>
      <c r="H1595" s="170" t="n">
        <v>46222.33583333333</v>
      </c>
    </row>
    <row r="1596">
      <c r="A1596" s="13" t="inlineStr">
        <is>
          <t>MK00090</t>
        </is>
      </c>
      <c r="B1596" s="13" t="n">
        <v>528000283</v>
      </c>
      <c r="C1596" s="13" t="inlineStr">
        <is>
          <t>Purwanda Sugiri</t>
        </is>
      </c>
      <c r="D1596" s="13" t="inlineStr">
        <is>
          <t>LOG</t>
        </is>
      </c>
      <c r="E1596" s="13" t="inlineStr">
        <is>
          <t>WRM Harian</t>
        </is>
      </c>
      <c r="F1596" s="170" t="n">
        <v>46221.99305555555</v>
      </c>
      <c r="G1596" s="13" t="inlineStr">
        <is>
          <t>FREE</t>
        </is>
      </c>
      <c r="H1596" s="170" t="n">
        <v>46222.98957175926</v>
      </c>
    </row>
    <row r="1597">
      <c r="A1597" s="13" t="inlineStr">
        <is>
          <t>MK00125</t>
        </is>
      </c>
      <c r="B1597" s="13" t="n">
        <v>528000314</v>
      </c>
      <c r="C1597" s="13" t="inlineStr">
        <is>
          <t>Rusmana</t>
        </is>
      </c>
      <c r="D1597" s="13" t="inlineStr">
        <is>
          <t>PROD</t>
        </is>
      </c>
      <c r="E1597" s="13" t="inlineStr">
        <is>
          <t>Produksi Harian</t>
        </is>
      </c>
      <c r="F1597" s="170" t="n">
        <v>46221.99695601852</v>
      </c>
      <c r="G1597" s="13" t="inlineStr">
        <is>
          <t>FREE</t>
        </is>
      </c>
      <c r="H1597" s="170" t="n">
        <v>46222.9961574074</v>
      </c>
    </row>
    <row r="1598">
      <c r="A1598" s="13" t="inlineStr">
        <is>
          <t>MK00213</t>
        </is>
      </c>
      <c r="B1598" s="13" t="n">
        <v>528000360</v>
      </c>
      <c r="C1598" s="13" t="inlineStr">
        <is>
          <t>Hendra Permana</t>
        </is>
      </c>
      <c r="D1598" s="13" t="inlineStr">
        <is>
          <t>ENG</t>
        </is>
      </c>
      <c r="E1598" s="13" t="inlineStr">
        <is>
          <t>Engineering Harian</t>
        </is>
      </c>
      <c r="F1598" s="170" t="n">
        <v>46222.00793981482</v>
      </c>
      <c r="G1598" s="13" t="inlineStr">
        <is>
          <t>FREE</t>
        </is>
      </c>
      <c r="H1598" s="170" t="n">
        <v>46222.33510416667</v>
      </c>
    </row>
    <row r="1599">
      <c r="A1599" s="13" t="inlineStr">
        <is>
          <t>MK00230</t>
        </is>
      </c>
      <c r="B1599" s="13" t="n">
        <v>528000340</v>
      </c>
      <c r="C1599" s="13" t="inlineStr">
        <is>
          <t>Muhammad Wildan Adithya</t>
        </is>
      </c>
      <c r="D1599" s="13" t="inlineStr">
        <is>
          <t>PROD</t>
        </is>
      </c>
      <c r="E1599" s="13" t="inlineStr">
        <is>
          <t>Produksi Harian</t>
        </is>
      </c>
      <c r="F1599" s="170" t="n">
        <v>46222.31076388889</v>
      </c>
      <c r="G1599" s="13" t="inlineStr">
        <is>
          <t>FREE</t>
        </is>
      </c>
      <c r="H1599" s="170" t="n">
        <v>46222.99543981482</v>
      </c>
    </row>
    <row r="1600">
      <c r="A1600" s="13" t="inlineStr">
        <is>
          <t>MK00160</t>
        </is>
      </c>
      <c r="B1600" s="13" t="n">
        <v>528000313</v>
      </c>
      <c r="C1600" s="13" t="inlineStr">
        <is>
          <t>Muhamad Rifki</t>
        </is>
      </c>
      <c r="D1600" s="13" t="inlineStr">
        <is>
          <t>PROD</t>
        </is>
      </c>
      <c r="E1600" s="13" t="inlineStr">
        <is>
          <t>Produksi Harian</t>
        </is>
      </c>
      <c r="F1600" s="170" t="n">
        <v>46222.31362268519</v>
      </c>
      <c r="G1600" s="13" t="inlineStr">
        <is>
          <t>FREE</t>
        </is>
      </c>
      <c r="H1600" s="170" t="n">
        <v>46222.67143518518</v>
      </c>
    </row>
    <row r="1601">
      <c r="A1601" s="13" t="inlineStr">
        <is>
          <t>MK00184</t>
        </is>
      </c>
      <c r="B1601" s="13" t="n">
        <v>528000015</v>
      </c>
      <c r="C1601" s="13" t="inlineStr">
        <is>
          <t>Erwin</t>
        </is>
      </c>
      <c r="D1601" s="13" t="inlineStr">
        <is>
          <t>LOG</t>
        </is>
      </c>
      <c r="E1601" s="13" t="inlineStr">
        <is>
          <t>WRM Harian</t>
        </is>
      </c>
      <c r="F1601" s="170" t="n">
        <v>46222.31429398148</v>
      </c>
      <c r="G1601" s="13" t="inlineStr">
        <is>
          <t>FREE</t>
        </is>
      </c>
      <c r="H1601" s="170" t="n">
        <v>46222.70273148148</v>
      </c>
    </row>
    <row r="1602">
      <c r="A1602" s="13" t="inlineStr">
        <is>
          <t>MK00143</t>
        </is>
      </c>
      <c r="B1602" s="13" t="n">
        <v>528000318</v>
      </c>
      <c r="C1602" s="13" t="inlineStr">
        <is>
          <t>Bayu Padli Sepriyana</t>
        </is>
      </c>
      <c r="D1602" s="13" t="inlineStr">
        <is>
          <t>LOG</t>
        </is>
      </c>
      <c r="E1602" s="13" t="inlineStr">
        <is>
          <t>WRM Harian</t>
        </is>
      </c>
      <c r="F1602" s="170" t="n">
        <v>46222.31833333334</v>
      </c>
      <c r="G1602" s="13" t="inlineStr">
        <is>
          <t>FREE</t>
        </is>
      </c>
      <c r="H1602" s="170" t="n">
        <v>46222.66863425926</v>
      </c>
    </row>
    <row r="1603">
      <c r="A1603" s="13" t="inlineStr">
        <is>
          <t>MK00109</t>
        </is>
      </c>
      <c r="B1603" s="13" t="n">
        <v>528000305</v>
      </c>
      <c r="C1603" s="13" t="inlineStr">
        <is>
          <t>Puji Puspita</t>
        </is>
      </c>
      <c r="D1603" s="13" t="inlineStr">
        <is>
          <t>PROD</t>
        </is>
      </c>
      <c r="E1603" s="13" t="inlineStr">
        <is>
          <t>Produksi Harian</t>
        </is>
      </c>
      <c r="F1603" s="170" t="n">
        <v>46222.32116898148</v>
      </c>
      <c r="G1603" s="13" t="inlineStr">
        <is>
          <t>FREE</t>
        </is>
      </c>
      <c r="H1603" s="170" t="n">
        <v>46222.66895833334</v>
      </c>
    </row>
    <row r="1604">
      <c r="A1604" s="13" t="inlineStr">
        <is>
          <t>MK00219</t>
        </is>
      </c>
      <c r="B1604" s="13" t="n">
        <v>528000299</v>
      </c>
      <c r="C1604" s="13" t="inlineStr">
        <is>
          <t>Siti Nurjanah</t>
        </is>
      </c>
      <c r="D1604" s="13" t="inlineStr">
        <is>
          <t>PROD</t>
        </is>
      </c>
      <c r="E1604" s="13" t="inlineStr">
        <is>
          <t>Produksi Harian</t>
        </is>
      </c>
      <c r="F1604" s="170" t="n">
        <v>46222.32131944445</v>
      </c>
      <c r="G1604" s="13" t="inlineStr">
        <is>
          <t>FREE</t>
        </is>
      </c>
      <c r="H1604" s="170" t="n">
        <v>46222.66922453704</v>
      </c>
    </row>
    <row r="1605">
      <c r="A1605" s="13" t="inlineStr">
        <is>
          <t>MK00116</t>
        </is>
      </c>
      <c r="B1605" s="13" t="n">
        <v>528000322</v>
      </c>
      <c r="C1605" s="13" t="inlineStr">
        <is>
          <t>Muhamad Aliludin</t>
        </is>
      </c>
      <c r="D1605" s="13" t="inlineStr">
        <is>
          <t>PROD</t>
        </is>
      </c>
      <c r="E1605" s="13" t="inlineStr">
        <is>
          <t>Produksi Harian</t>
        </is>
      </c>
      <c r="F1605" s="170" t="n">
        <v>46222.3215162037</v>
      </c>
      <c r="G1605" s="13" t="inlineStr">
        <is>
          <t>FREE</t>
        </is>
      </c>
      <c r="H1605" s="170" t="n">
        <v>46222.6696875</v>
      </c>
    </row>
    <row r="1606">
      <c r="A1606" s="13" t="inlineStr">
        <is>
          <t>MK00192</t>
        </is>
      </c>
      <c r="B1606" s="13" t="n">
        <v>528000298</v>
      </c>
      <c r="C1606" s="13" t="inlineStr">
        <is>
          <t>Desta Cahaya Pratama</t>
        </is>
      </c>
      <c r="D1606" s="13" t="inlineStr">
        <is>
          <t>PROD</t>
        </is>
      </c>
      <c r="E1606" s="13" t="inlineStr">
        <is>
          <t>Produksi Harian</t>
        </is>
      </c>
      <c r="F1606" s="170" t="n">
        <v>46222.32322916666</v>
      </c>
      <c r="G1606" s="13" t="inlineStr">
        <is>
          <t>FREE</t>
        </is>
      </c>
      <c r="H1606" s="170" t="n">
        <v>46222.67048611111</v>
      </c>
    </row>
    <row r="1607">
      <c r="A1607" s="13" t="inlineStr">
        <is>
          <t>MK00113</t>
        </is>
      </c>
      <c r="B1607" s="13" t="n">
        <v>528000270</v>
      </c>
      <c r="C1607" s="13" t="inlineStr">
        <is>
          <t>Febri Najmudin</t>
        </is>
      </c>
      <c r="D1607" s="13" t="inlineStr">
        <is>
          <t>LOG</t>
        </is>
      </c>
      <c r="E1607" s="13" t="inlineStr">
        <is>
          <t>WRM Harian</t>
        </is>
      </c>
      <c r="F1607" s="170" t="n">
        <v>46222.32359953703</v>
      </c>
      <c r="G1607" s="13" t="inlineStr">
        <is>
          <t>FREE</t>
        </is>
      </c>
      <c r="H1607" s="170" t="n">
        <v>46222.67861111111</v>
      </c>
    </row>
    <row r="1608">
      <c r="A1608" s="13" t="inlineStr">
        <is>
          <t>MK00181</t>
        </is>
      </c>
      <c r="B1608" s="13" t="n">
        <v>528000302</v>
      </c>
      <c r="C1608" s="13" t="inlineStr">
        <is>
          <t>Henkey gumilar</t>
        </is>
      </c>
      <c r="D1608" s="13" t="inlineStr">
        <is>
          <t>PROD</t>
        </is>
      </c>
      <c r="E1608" s="13" t="inlineStr">
        <is>
          <t>Produksi Harian</t>
        </is>
      </c>
      <c r="F1608" s="170" t="n">
        <v>46222.32427083333</v>
      </c>
      <c r="G1608" s="13" t="inlineStr">
        <is>
          <t>FREE</t>
        </is>
      </c>
      <c r="H1608" s="170" t="n">
        <v>46222.67175925926</v>
      </c>
    </row>
    <row r="1609">
      <c r="A1609" s="13" t="inlineStr">
        <is>
          <t>MK00121</t>
        </is>
      </c>
      <c r="B1609" s="13" t="n">
        <v>528000361</v>
      </c>
      <c r="C1609" s="13" t="inlineStr">
        <is>
          <t>Denada Munggarani</t>
        </is>
      </c>
      <c r="D1609" s="13" t="inlineStr">
        <is>
          <t>PROD</t>
        </is>
      </c>
      <c r="E1609" s="13" t="inlineStr">
        <is>
          <t>Produksi Harian</t>
        </is>
      </c>
      <c r="F1609" s="170" t="n">
        <v>46222.32585648148</v>
      </c>
      <c r="G1609" s="13" t="inlineStr">
        <is>
          <t>FREE</t>
        </is>
      </c>
      <c r="H1609" s="170" t="n">
        <v>46222.69415509259</v>
      </c>
    </row>
    <row r="1610">
      <c r="A1610" s="13" t="inlineStr">
        <is>
          <t>MK00218</t>
        </is>
      </c>
      <c r="B1610" s="13" t="n">
        <v>528000309</v>
      </c>
      <c r="C1610" s="13" t="inlineStr">
        <is>
          <t>Ilham Ramadhan</t>
        </is>
      </c>
      <c r="D1610" s="13" t="inlineStr">
        <is>
          <t>LOG</t>
        </is>
      </c>
      <c r="E1610" s="13" t="inlineStr">
        <is>
          <t>WRM Harian</t>
        </is>
      </c>
      <c r="F1610" s="170" t="n">
        <v>46222.3284375</v>
      </c>
      <c r="G1610" s="13" t="inlineStr">
        <is>
          <t>FREE</t>
        </is>
      </c>
      <c r="H1610" s="170" t="n">
        <v>46222.67087962963</v>
      </c>
    </row>
    <row r="1611">
      <c r="A1611" s="13" t="inlineStr">
        <is>
          <t>MK00203</t>
        </is>
      </c>
      <c r="B1611" s="13" t="n">
        <v>528000201</v>
      </c>
      <c r="C1611" s="13" t="inlineStr">
        <is>
          <t>Zahwa Amelia Choerunissa</t>
        </is>
      </c>
      <c r="D1611" s="13" t="inlineStr">
        <is>
          <t>PROD</t>
        </is>
      </c>
      <c r="E1611" s="13" t="inlineStr">
        <is>
          <t>Produksi Harian</t>
        </is>
      </c>
      <c r="F1611" s="170" t="n">
        <v>46222.65655092592</v>
      </c>
      <c r="G1611" s="13" t="inlineStr">
        <is>
          <t>FREE</t>
        </is>
      </c>
      <c r="H1611" s="170" t="n">
        <v>46223.00346064815</v>
      </c>
    </row>
    <row r="1612">
      <c r="A1612" s="13" t="inlineStr">
        <is>
          <t>MK00202</t>
        </is>
      </c>
      <c r="B1612" s="13" t="n">
        <v>528000099</v>
      </c>
      <c r="C1612" s="13" t="inlineStr">
        <is>
          <t>Siti Nurawaliah</t>
        </is>
      </c>
      <c r="D1612" s="13" t="inlineStr">
        <is>
          <t>PROD</t>
        </is>
      </c>
      <c r="E1612" s="13" t="inlineStr">
        <is>
          <t>Produksi Harian</t>
        </is>
      </c>
      <c r="F1612" s="170" t="n">
        <v>46222.65704861111</v>
      </c>
      <c r="G1612" s="13" t="inlineStr">
        <is>
          <t>FREE</t>
        </is>
      </c>
      <c r="H1612" s="170" t="n">
        <v>46223.00387731481</v>
      </c>
    </row>
    <row r="1613">
      <c r="A1613" s="13" t="inlineStr">
        <is>
          <t>MK00208</t>
        </is>
      </c>
      <c r="B1613" s="13" t="n">
        <v>528000286</v>
      </c>
      <c r="C1613" s="13" t="inlineStr">
        <is>
          <t>Imelda Amelia</t>
        </is>
      </c>
      <c r="D1613" s="13" t="inlineStr">
        <is>
          <t>PROD</t>
        </is>
      </c>
      <c r="E1613" s="13" t="inlineStr">
        <is>
          <t>Produksi Harian</t>
        </is>
      </c>
      <c r="F1613" s="170" t="n">
        <v>46222.65954861111</v>
      </c>
      <c r="G1613" s="13" t="inlineStr">
        <is>
          <t>FREE</t>
        </is>
      </c>
      <c r="H1613" s="170" t="n">
        <v>46223.00591435185</v>
      </c>
    </row>
    <row r="1614">
      <c r="A1614" s="13" t="inlineStr">
        <is>
          <t>MK00134</t>
        </is>
      </c>
      <c r="B1614" s="13" t="n">
        <v>528000290</v>
      </c>
      <c r="C1614" s="13" t="inlineStr">
        <is>
          <t>Eval Pranata</t>
        </is>
      </c>
      <c r="D1614" s="13" t="inlineStr">
        <is>
          <t>PROD</t>
        </is>
      </c>
      <c r="E1614" s="13" t="inlineStr">
        <is>
          <t>Produksi Harian</t>
        </is>
      </c>
      <c r="F1614" s="170" t="n">
        <v>46222.66222222222</v>
      </c>
      <c r="G1614" s="13" t="inlineStr">
        <is>
          <t>FREE</t>
        </is>
      </c>
      <c r="H1614" s="170" t="n">
        <v>46223.00450231481</v>
      </c>
    </row>
    <row r="1615">
      <c r="A1615" s="13" t="inlineStr">
        <is>
          <t>MK00204</t>
        </is>
      </c>
      <c r="B1615" s="13" t="n">
        <v>528000241</v>
      </c>
      <c r="C1615" s="13" t="inlineStr">
        <is>
          <t>Balia Nurafif Bilah</t>
        </is>
      </c>
      <c r="D1615" s="13" t="inlineStr">
        <is>
          <t>PROD</t>
        </is>
      </c>
      <c r="E1615" s="13" t="inlineStr">
        <is>
          <t>Produksi Harian</t>
        </is>
      </c>
      <c r="F1615" s="170" t="n">
        <v>46222.66261574074</v>
      </c>
      <c r="G1615" s="13" t="inlineStr">
        <is>
          <t>FREE</t>
        </is>
      </c>
      <c r="H1615" s="170" t="n">
        <v>46223.00364583333</v>
      </c>
    </row>
    <row r="1616">
      <c r="A1616" s="13" t="inlineStr">
        <is>
          <t>MK00138</t>
        </is>
      </c>
      <c r="B1616" s="13" t="n">
        <v>528000289</v>
      </c>
      <c r="C1616" s="13" t="inlineStr">
        <is>
          <t>Adit Supriyadi</t>
        </is>
      </c>
      <c r="D1616" s="13" t="inlineStr">
        <is>
          <t>PROD</t>
        </is>
      </c>
      <c r="E1616" s="13" t="inlineStr">
        <is>
          <t>Produksi Harian</t>
        </is>
      </c>
      <c r="F1616" s="170" t="n">
        <v>46222.66267361111</v>
      </c>
      <c r="G1616" s="13" t="inlineStr">
        <is>
          <t>FREE</t>
        </is>
      </c>
      <c r="H1616" s="170" t="n">
        <v>46223.00230324074</v>
      </c>
    </row>
    <row r="1617">
      <c r="A1617" s="13" t="inlineStr">
        <is>
          <t>MK00093</t>
        </is>
      </c>
      <c r="B1617" s="13" t="n">
        <v>528000274</v>
      </c>
      <c r="C1617" s="13" t="inlineStr">
        <is>
          <t>Zepri</t>
        </is>
      </c>
      <c r="D1617" s="13" t="inlineStr">
        <is>
          <t>PROD</t>
        </is>
      </c>
      <c r="E1617" s="13" t="inlineStr">
        <is>
          <t>Produksi Harian</t>
        </is>
      </c>
      <c r="F1617" s="170" t="n">
        <v>46222.66418981482</v>
      </c>
      <c r="G1617" s="13" t="inlineStr">
        <is>
          <t>FREE</t>
        </is>
      </c>
      <c r="H1617" s="170" t="n">
        <v>46223.00358796296</v>
      </c>
    </row>
    <row r="1618">
      <c r="A1618" s="13" t="inlineStr">
        <is>
          <t>MK00213</t>
        </is>
      </c>
      <c r="B1618" s="13" t="n">
        <v>528000265</v>
      </c>
      <c r="C1618" s="13" t="inlineStr">
        <is>
          <t>Muhammad Haerul Rozikin</t>
        </is>
      </c>
      <c r="D1618" s="13" t="inlineStr">
        <is>
          <t>LOG</t>
        </is>
      </c>
      <c r="E1618" s="13" t="inlineStr">
        <is>
          <t>WRM Harian</t>
        </is>
      </c>
      <c r="F1618" s="170" t="n">
        <v>46222.66465277778</v>
      </c>
      <c r="G1618" s="13" t="inlineStr">
        <is>
          <t>FREE</t>
        </is>
      </c>
      <c r="H1618" s="170" t="n">
        <v>46223.00392361111</v>
      </c>
    </row>
    <row r="1619">
      <c r="A1619" s="13" t="n">
        <v>338</v>
      </c>
      <c r="B1619" s="13" t="n">
        <v>528000273</v>
      </c>
      <c r="C1619" s="13" t="inlineStr">
        <is>
          <t>Asep Mulyana</t>
        </is>
      </c>
      <c r="D1619" s="13" t="inlineStr">
        <is>
          <t>PROD</t>
        </is>
      </c>
      <c r="E1619" s="13" t="inlineStr">
        <is>
          <t>Produksi Harian</t>
        </is>
      </c>
      <c r="F1619" s="170" t="n">
        <v>46222.66537037037</v>
      </c>
      <c r="G1619" s="13" t="inlineStr">
        <is>
          <t>FREE</t>
        </is>
      </c>
      <c r="H1619" s="170" t="n">
        <v>46223.00168981482</v>
      </c>
    </row>
    <row r="1620">
      <c r="A1620" s="13" t="inlineStr">
        <is>
          <t>MK00212</t>
        </is>
      </c>
      <c r="B1620" s="13" t="n">
        <v>528000359</v>
      </c>
      <c r="C1620" s="13" t="inlineStr">
        <is>
          <t>M. Iqbal Maulana. S</t>
        </is>
      </c>
      <c r="D1620" s="13" t="inlineStr">
        <is>
          <t>LOG</t>
        </is>
      </c>
      <c r="E1620" s="13" t="inlineStr">
        <is>
          <t>WRM Harian</t>
        </is>
      </c>
      <c r="F1620" s="170" t="n">
        <v>46222.66598379629</v>
      </c>
      <c r="G1620" s="13" t="inlineStr">
        <is>
          <t>FREE</t>
        </is>
      </c>
      <c r="H1620" s="170" t="n">
        <v>46223.00354166667</v>
      </c>
    </row>
    <row r="1621">
      <c r="A1621" s="13" t="inlineStr">
        <is>
          <t>MK00141</t>
        </is>
      </c>
      <c r="B1621" s="13" t="n">
        <v>528000310</v>
      </c>
      <c r="C1621" s="13" t="inlineStr">
        <is>
          <t>Fachrul Rozzi Suryana</t>
        </is>
      </c>
      <c r="D1621" s="13" t="inlineStr">
        <is>
          <t>LOG</t>
        </is>
      </c>
      <c r="E1621" s="13" t="inlineStr">
        <is>
          <t>WRM Harian</t>
        </is>
      </c>
      <c r="F1621" s="170" t="n">
        <v>46222.67015046296</v>
      </c>
      <c r="G1621" s="13" t="inlineStr">
        <is>
          <t>FREE</t>
        </is>
      </c>
      <c r="H1621" s="170" t="n">
        <v>46223.00119212963</v>
      </c>
    </row>
    <row r="1622">
      <c r="A1622" s="13" t="inlineStr">
        <is>
          <t>MK00082</t>
        </is>
      </c>
      <c r="B1622" s="13" t="n">
        <v>528000351</v>
      </c>
      <c r="C1622" s="13" t="inlineStr">
        <is>
          <t>Mulyana</t>
        </is>
      </c>
      <c r="D1622" s="13" t="inlineStr">
        <is>
          <t>PROD</t>
        </is>
      </c>
      <c r="E1622" s="13" t="inlineStr">
        <is>
          <t>Produksi Harian</t>
        </is>
      </c>
      <c r="F1622" s="170" t="n">
        <v>46222.748125</v>
      </c>
      <c r="G1622" s="13" t="inlineStr">
        <is>
          <t>FREE</t>
        </is>
      </c>
      <c r="H1622" s="170" t="n">
        <v>46223.08747685186</v>
      </c>
    </row>
    <row r="1623">
      <c r="A1623" s="13" t="inlineStr">
        <is>
          <t>MK00205</t>
        </is>
      </c>
      <c r="B1623" s="13" t="n">
        <v>528000348</v>
      </c>
      <c r="C1623" s="13" t="inlineStr">
        <is>
          <t>Saepuloh Ardiansah</t>
        </is>
      </c>
      <c r="D1623" s="13" t="inlineStr">
        <is>
          <t>LOG</t>
        </is>
      </c>
      <c r="E1623" s="13" t="inlineStr">
        <is>
          <t>WRM Harian</t>
        </is>
      </c>
      <c r="F1623" s="170" t="n">
        <v>46222.7772337963</v>
      </c>
      <c r="G1623" s="13" t="inlineStr">
        <is>
          <t>FREE</t>
        </is>
      </c>
      <c r="H1623" s="170" t="n">
        <v>46224.12724537037</v>
      </c>
    </row>
    <row r="1624">
      <c r="A1624" s="13" t="inlineStr">
        <is>
          <t>MK00235</t>
        </is>
      </c>
      <c r="B1624" s="13" t="n">
        <v>528000040</v>
      </c>
      <c r="C1624" s="13" t="inlineStr">
        <is>
          <t>Agus Suryaman</t>
        </is>
      </c>
      <c r="D1624" s="13" t="inlineStr">
        <is>
          <t>PROD</t>
        </is>
      </c>
      <c r="E1624" s="13" t="inlineStr">
        <is>
          <t>Produksi Harian</t>
        </is>
      </c>
      <c r="F1624" s="170" t="n">
        <v>46222.79221064815</v>
      </c>
      <c r="G1624" s="13" t="inlineStr">
        <is>
          <t>FREE</t>
        </is>
      </c>
      <c r="H1624" s="170" t="n">
        <v>46223.4190625</v>
      </c>
    </row>
    <row r="1625">
      <c r="A1625" s="13" t="inlineStr">
        <is>
          <t>MK0130</t>
        </is>
      </c>
      <c r="B1625" s="13" t="n">
        <v>528000149</v>
      </c>
      <c r="C1625" s="13" t="inlineStr">
        <is>
          <t>Tio Fernanda</t>
        </is>
      </c>
      <c r="D1625" s="13" t="inlineStr">
        <is>
          <t>LOG</t>
        </is>
      </c>
      <c r="E1625" s="13" t="inlineStr">
        <is>
          <t>WRM Harian</t>
        </is>
      </c>
      <c r="F1625" s="170" t="n">
        <v>46222.79741898148</v>
      </c>
      <c r="G1625" s="13" t="inlineStr">
        <is>
          <t>FREE</t>
        </is>
      </c>
      <c r="H1625" s="170" t="n"/>
    </row>
    <row r="1626">
      <c r="A1626" s="13" t="inlineStr">
        <is>
          <t>MK00055</t>
        </is>
      </c>
      <c r="B1626" s="13" t="n">
        <v>528000349</v>
      </c>
      <c r="C1626" s="13" t="inlineStr">
        <is>
          <t>Anas Abdul Fatah</t>
        </is>
      </c>
      <c r="D1626" s="13" t="inlineStr">
        <is>
          <t>LOG</t>
        </is>
      </c>
      <c r="E1626" s="13" t="inlineStr">
        <is>
          <t>WFG Harian</t>
        </is>
      </c>
      <c r="F1626" s="170" t="n">
        <v>46222.82135416667</v>
      </c>
      <c r="G1626" s="13" t="inlineStr">
        <is>
          <t>FREE</t>
        </is>
      </c>
      <c r="H1626" s="170" t="n">
        <v>46223.17462962963</v>
      </c>
    </row>
    <row r="1627">
      <c r="A1627" s="13" t="inlineStr">
        <is>
          <t>MK00085</t>
        </is>
      </c>
      <c r="B1627" s="13" t="n">
        <v>528000336</v>
      </c>
      <c r="C1627" s="13" t="inlineStr">
        <is>
          <t>Ali Nurhanafi</t>
        </is>
      </c>
      <c r="D1627" s="13" t="inlineStr">
        <is>
          <t>PROD</t>
        </is>
      </c>
      <c r="E1627" s="13" t="inlineStr">
        <is>
          <t>Produksi Harian</t>
        </is>
      </c>
      <c r="F1627" s="170" t="n">
        <v>46222.95767361111</v>
      </c>
      <c r="G1627" s="13" t="inlineStr">
        <is>
          <t>FREE</t>
        </is>
      </c>
      <c r="H1627" s="170" t="n">
        <v>46223.33951388889</v>
      </c>
    </row>
    <row r="1628">
      <c r="A1628" s="13" t="inlineStr">
        <is>
          <t>MK00217</t>
        </is>
      </c>
      <c r="B1628" s="13" t="n">
        <v>528000337</v>
      </c>
      <c r="C1628" s="13" t="inlineStr">
        <is>
          <t>Ahmad Zaldi Firdaus</t>
        </is>
      </c>
      <c r="D1628" s="13" t="inlineStr">
        <is>
          <t>PROD</t>
        </is>
      </c>
      <c r="E1628" s="13" t="inlineStr">
        <is>
          <t>Produksi Harian</t>
        </is>
      </c>
      <c r="F1628" s="170" t="n">
        <v>46222.95780092593</v>
      </c>
      <c r="G1628" s="13" t="inlineStr">
        <is>
          <t>FREE</t>
        </is>
      </c>
      <c r="H1628" s="170" t="n">
        <v>46223.33930555556</v>
      </c>
    </row>
    <row r="1629">
      <c r="A1629" s="13" t="inlineStr">
        <is>
          <t>MK00218</t>
        </is>
      </c>
      <c r="B1629" s="13" t="n">
        <v>528000052</v>
      </c>
      <c r="C1629" s="13" t="inlineStr">
        <is>
          <t>Mustopa</t>
        </is>
      </c>
      <c r="D1629" s="13" t="inlineStr">
        <is>
          <t>PROD</t>
        </is>
      </c>
      <c r="E1629" s="13" t="inlineStr">
        <is>
          <t>Produksi Harian</t>
        </is>
      </c>
      <c r="F1629" s="170" t="n">
        <v>46222.97600694445</v>
      </c>
      <c r="G1629" s="13" t="inlineStr">
        <is>
          <t>FREE</t>
        </is>
      </c>
      <c r="H1629" s="170" t="n">
        <v>46223.33719907407</v>
      </c>
    </row>
    <row r="1630">
      <c r="A1630" s="13" t="inlineStr">
        <is>
          <t>MK00184</t>
        </is>
      </c>
      <c r="B1630" s="13" t="n">
        <v>528000360</v>
      </c>
      <c r="C1630" s="13" t="inlineStr">
        <is>
          <t>Hendra Permana</t>
        </is>
      </c>
      <c r="D1630" s="13" t="inlineStr">
        <is>
          <t>ENG</t>
        </is>
      </c>
      <c r="E1630" s="13" t="inlineStr">
        <is>
          <t>Engineering Harian</t>
        </is>
      </c>
      <c r="F1630" s="170" t="n">
        <v>46222.976875</v>
      </c>
      <c r="G1630" s="13" t="inlineStr">
        <is>
          <t>FREE</t>
        </is>
      </c>
      <c r="H1630" s="170" t="n">
        <v>46223.3365162037</v>
      </c>
    </row>
    <row r="1631">
      <c r="A1631" s="13" t="inlineStr">
        <is>
          <t>MK00220</t>
        </is>
      </c>
      <c r="B1631" s="13" t="n">
        <v>528000262</v>
      </c>
      <c r="C1631" s="13" t="inlineStr">
        <is>
          <t>Ndari Dwiwanti</t>
        </is>
      </c>
      <c r="D1631" s="13" t="inlineStr">
        <is>
          <t>PROD</t>
        </is>
      </c>
      <c r="E1631" s="13" t="inlineStr">
        <is>
          <t>Produksi Harian</t>
        </is>
      </c>
      <c r="F1631" s="170" t="n">
        <v>46222.98328703704</v>
      </c>
      <c r="G1631" s="13" t="inlineStr">
        <is>
          <t>FREE</t>
        </is>
      </c>
      <c r="H1631" s="170" t="n">
        <v>46223.33616898148</v>
      </c>
    </row>
    <row r="1632">
      <c r="A1632" s="13" t="inlineStr">
        <is>
          <t>MK00192</t>
        </is>
      </c>
      <c r="B1632" s="13" t="n">
        <v>528000306</v>
      </c>
      <c r="C1632" s="13" t="inlineStr">
        <is>
          <t>Windy Olivia</t>
        </is>
      </c>
      <c r="D1632" s="13" t="inlineStr">
        <is>
          <t>PROD</t>
        </is>
      </c>
      <c r="E1632" s="13" t="inlineStr">
        <is>
          <t>Produksi Harian</t>
        </is>
      </c>
      <c r="F1632" s="170" t="n">
        <v>46222.98428240741</v>
      </c>
      <c r="G1632" s="13" t="inlineStr">
        <is>
          <t>FREE</t>
        </is>
      </c>
      <c r="H1632" s="170" t="n">
        <v>46223.33590277778</v>
      </c>
    </row>
    <row r="1633">
      <c r="A1633" s="13" t="inlineStr">
        <is>
          <t>MK00116</t>
        </is>
      </c>
      <c r="B1633" s="13" t="n">
        <v>528000195</v>
      </c>
      <c r="C1633" s="13" t="inlineStr">
        <is>
          <t>Rahma Sariwati</t>
        </is>
      </c>
      <c r="D1633" s="13" t="inlineStr">
        <is>
          <t>PROD</t>
        </is>
      </c>
      <c r="E1633" s="13" t="inlineStr">
        <is>
          <t>Produksi Harian</t>
        </is>
      </c>
      <c r="F1633" s="170" t="n">
        <v>46222.98881944444</v>
      </c>
      <c r="G1633" s="13" t="inlineStr">
        <is>
          <t>FREE</t>
        </is>
      </c>
      <c r="H1633" s="170" t="n">
        <v>46223.33754629629</v>
      </c>
    </row>
    <row r="1634">
      <c r="A1634" s="13" t="inlineStr">
        <is>
          <t>MK00150</t>
        </is>
      </c>
      <c r="B1634" s="13" t="n">
        <v>528000266</v>
      </c>
      <c r="C1634" s="13" t="inlineStr">
        <is>
          <t>M. Syirajatieq</t>
        </is>
      </c>
      <c r="D1634" s="13" t="inlineStr">
        <is>
          <t>LOG</t>
        </is>
      </c>
      <c r="E1634" s="13" t="inlineStr">
        <is>
          <t>WFG Harian</t>
        </is>
      </c>
      <c r="F1634" s="170" t="n">
        <v>46222.98908564815</v>
      </c>
      <c r="G1634" s="13" t="inlineStr">
        <is>
          <t>FREE</t>
        </is>
      </c>
      <c r="H1634" s="170" t="n">
        <v>46223.36371527778</v>
      </c>
    </row>
    <row r="1635">
      <c r="A1635" s="13" t="inlineStr">
        <is>
          <t>MK00095</t>
        </is>
      </c>
      <c r="B1635" s="13" t="n">
        <v>528000291</v>
      </c>
      <c r="C1635" s="13" t="inlineStr">
        <is>
          <t>Andrian</t>
        </is>
      </c>
      <c r="D1635" s="13" t="inlineStr">
        <is>
          <t>PROD</t>
        </is>
      </c>
      <c r="E1635" s="13" t="inlineStr">
        <is>
          <t>Produksi Harian</t>
        </is>
      </c>
      <c r="F1635" s="170" t="n">
        <v>46222.98994212963</v>
      </c>
      <c r="G1635" s="13" t="inlineStr">
        <is>
          <t>FREE</t>
        </is>
      </c>
      <c r="H1635" s="170" t="n">
        <v>46223.33715277778</v>
      </c>
    </row>
    <row r="1636">
      <c r="A1636" s="13" t="inlineStr">
        <is>
          <t>MK00143</t>
        </is>
      </c>
      <c r="B1636" s="13" t="n">
        <v>528000283</v>
      </c>
      <c r="C1636" s="13" t="inlineStr">
        <is>
          <t>Purwanda Sugiri</t>
        </is>
      </c>
      <c r="D1636" s="13" t="inlineStr">
        <is>
          <t>LOG</t>
        </is>
      </c>
      <c r="E1636" s="13" t="inlineStr">
        <is>
          <t>WRM Harian</t>
        </is>
      </c>
      <c r="F1636" s="170" t="n">
        <v>46222.99018518518</v>
      </c>
      <c r="G1636" s="13" t="inlineStr">
        <is>
          <t>FREE</t>
        </is>
      </c>
      <c r="H1636" s="170" t="n">
        <v>46223.98859953704</v>
      </c>
    </row>
    <row r="1637">
      <c r="A1637" s="13" t="inlineStr">
        <is>
          <t>MK00125</t>
        </is>
      </c>
      <c r="B1637" s="13" t="n">
        <v>528000314</v>
      </c>
      <c r="C1637" s="13" t="inlineStr">
        <is>
          <t>Rusmana</t>
        </is>
      </c>
      <c r="D1637" s="13" t="inlineStr">
        <is>
          <t>PROD</t>
        </is>
      </c>
      <c r="E1637" s="13" t="inlineStr">
        <is>
          <t>Produksi Harian</t>
        </is>
      </c>
      <c r="F1637" s="170" t="n">
        <v>46222.99670138889</v>
      </c>
      <c r="G1637" s="13" t="inlineStr">
        <is>
          <t>FREE</t>
        </is>
      </c>
      <c r="H1637" s="170" t="n">
        <v>46223.73936342593</v>
      </c>
    </row>
    <row r="1638">
      <c r="A1638" s="13" t="inlineStr">
        <is>
          <t>MK00210</t>
        </is>
      </c>
      <c r="B1638" s="13" t="n">
        <v>528000232</v>
      </c>
      <c r="C1638" s="13" t="inlineStr">
        <is>
          <t>Agung Aji Suhada</t>
        </is>
      </c>
      <c r="D1638" s="13" t="inlineStr">
        <is>
          <t>LOG</t>
        </is>
      </c>
      <c r="E1638" s="13" t="inlineStr">
        <is>
          <t>WRM Harian</t>
        </is>
      </c>
      <c r="F1638" s="170" t="n">
        <v>46223.07241898148</v>
      </c>
      <c r="G1638" s="13" t="inlineStr">
        <is>
          <t>FREE</t>
        </is>
      </c>
      <c r="H1638" s="170" t="n">
        <v>46223.4194212963</v>
      </c>
    </row>
    <row r="1639">
      <c r="A1639" s="13" t="inlineStr">
        <is>
          <t>MK00221</t>
        </is>
      </c>
      <c r="B1639" s="13" t="n">
        <v>528000144</v>
      </c>
      <c r="C1639" s="13" t="inlineStr">
        <is>
          <t>Jodi Hanafi</t>
        </is>
      </c>
      <c r="D1639" s="13" t="inlineStr">
        <is>
          <t>LOG</t>
        </is>
      </c>
      <c r="E1639" s="13" t="inlineStr">
        <is>
          <t>WRM Harian</t>
        </is>
      </c>
      <c r="F1639" s="170" t="n">
        <v>46223.08380787037</v>
      </c>
      <c r="G1639" s="13" t="inlineStr">
        <is>
          <t>FREE</t>
        </is>
      </c>
      <c r="H1639" s="170" t="n">
        <v>46223.4272337963</v>
      </c>
    </row>
    <row r="1640">
      <c r="A1640" s="13" t="inlineStr">
        <is>
          <t>MK00230</t>
        </is>
      </c>
      <c r="B1640" s="13" t="n">
        <v>528000340</v>
      </c>
      <c r="C1640" s="13" t="inlineStr">
        <is>
          <t>Muhammad Wildan Adithya</t>
        </is>
      </c>
      <c r="D1640" s="13" t="inlineStr">
        <is>
          <t>PROD</t>
        </is>
      </c>
      <c r="E1640" s="13" t="inlineStr">
        <is>
          <t>Produksi Harian</t>
        </is>
      </c>
      <c r="F1640" s="170" t="n">
        <v>46223.14586805556</v>
      </c>
      <c r="G1640" s="13" t="inlineStr">
        <is>
          <t>FREE</t>
        </is>
      </c>
      <c r="H1640" s="170" t="n">
        <v>46223.98783564815</v>
      </c>
    </row>
    <row r="1641">
      <c r="A1641" s="13" t="inlineStr">
        <is>
          <t>MK00185</t>
        </is>
      </c>
      <c r="B1641" s="13" t="n">
        <v>528000300</v>
      </c>
      <c r="C1641" s="13" t="inlineStr">
        <is>
          <t>Lia pitaloka</t>
        </is>
      </c>
      <c r="D1641" s="13" t="inlineStr">
        <is>
          <t>PROD</t>
        </is>
      </c>
      <c r="E1641" s="13" t="inlineStr">
        <is>
          <t>Produksi Harian</t>
        </is>
      </c>
      <c r="F1641" s="170" t="n">
        <v>46223.32114583333</v>
      </c>
      <c r="G1641" s="13" t="inlineStr">
        <is>
          <t>FREE</t>
        </is>
      </c>
      <c r="H1641" s="170" t="n">
        <v>46223.66929398148</v>
      </c>
    </row>
    <row r="1642">
      <c r="A1642" s="13" t="inlineStr">
        <is>
          <t>MK00108</t>
        </is>
      </c>
      <c r="B1642" s="13" t="n">
        <v>528000323</v>
      </c>
      <c r="C1642" s="13" t="inlineStr">
        <is>
          <t>Dian Hamidah</t>
        </is>
      </c>
      <c r="D1642" s="13" t="inlineStr">
        <is>
          <t>PROD</t>
        </is>
      </c>
      <c r="E1642" s="13" t="inlineStr">
        <is>
          <t>Produksi Harian</t>
        </is>
      </c>
      <c r="F1642" s="170" t="n">
        <v>46223.32138888889</v>
      </c>
      <c r="G1642" s="13" t="inlineStr">
        <is>
          <t>FREE</t>
        </is>
      </c>
      <c r="H1642" s="170" t="n">
        <v>46223.67254629629</v>
      </c>
    </row>
    <row r="1643">
      <c r="A1643" s="13" t="inlineStr">
        <is>
          <t>MK00082</t>
        </is>
      </c>
      <c r="B1643" s="13" t="n">
        <v>528000279</v>
      </c>
      <c r="C1643" s="13" t="inlineStr">
        <is>
          <t>Mahdalena Dalfa Riani</t>
        </is>
      </c>
      <c r="D1643" s="13" t="inlineStr">
        <is>
          <t>PROD</t>
        </is>
      </c>
      <c r="E1643" s="13" t="inlineStr">
        <is>
          <t>Produksi Harian</t>
        </is>
      </c>
      <c r="F1643" s="170" t="n">
        <v>46223.32181712963</v>
      </c>
      <c r="G1643" s="13" t="inlineStr">
        <is>
          <t>FREE</t>
        </is>
      </c>
      <c r="H1643" s="170" t="n">
        <v>46223.66978009259</v>
      </c>
    </row>
    <row r="1644">
      <c r="A1644" s="13" t="inlineStr">
        <is>
          <t>MK00208</t>
        </is>
      </c>
      <c r="B1644" s="13" t="n">
        <v>528000297</v>
      </c>
      <c r="C1644" s="13" t="inlineStr">
        <is>
          <t>Muhamad Budiana</t>
        </is>
      </c>
      <c r="D1644" s="13" t="inlineStr">
        <is>
          <t>PROD</t>
        </is>
      </c>
      <c r="E1644" s="13" t="inlineStr">
        <is>
          <t>Produksi Harian</t>
        </is>
      </c>
      <c r="F1644" s="170" t="n">
        <v>46223.3252199074</v>
      </c>
      <c r="G1644" s="13" t="inlineStr">
        <is>
          <t>FREE</t>
        </is>
      </c>
      <c r="H1644" s="170" t="n">
        <v>46223.69042824074</v>
      </c>
    </row>
    <row r="1645">
      <c r="A1645" s="13" t="inlineStr">
        <is>
          <t>MK00156</t>
        </is>
      </c>
      <c r="B1645" s="13" t="n">
        <v>528000248</v>
      </c>
      <c r="C1645" s="13" t="inlineStr">
        <is>
          <t>Roka Jaya Salka Mulya</t>
        </is>
      </c>
      <c r="D1645" s="13" t="inlineStr">
        <is>
          <t>PROD</t>
        </is>
      </c>
      <c r="E1645" s="13" t="inlineStr">
        <is>
          <t>Produksi Harian</t>
        </is>
      </c>
      <c r="F1645" s="170" t="n">
        <v>46223.32615740741</v>
      </c>
      <c r="G1645" s="13" t="inlineStr">
        <is>
          <t>FREE</t>
        </is>
      </c>
      <c r="H1645" s="170" t="n">
        <v>46223.66792824074</v>
      </c>
    </row>
    <row r="1646">
      <c r="A1646" s="13" t="inlineStr">
        <is>
          <t>MK00212</t>
        </is>
      </c>
      <c r="B1646" s="13" t="n">
        <v>528000334</v>
      </c>
      <c r="C1646" s="13" t="inlineStr">
        <is>
          <t>Naufal Yudhistira</t>
        </is>
      </c>
      <c r="D1646" s="13" t="inlineStr">
        <is>
          <t>PROD</t>
        </is>
      </c>
      <c r="E1646" s="13" t="inlineStr">
        <is>
          <t>Produksi Harian</t>
        </is>
      </c>
      <c r="F1646" s="170" t="n">
        <v>46223.32700231481</v>
      </c>
      <c r="G1646" s="13" t="inlineStr">
        <is>
          <t>FREE</t>
        </is>
      </c>
      <c r="H1646" s="170" t="n">
        <v>46223.66932870371</v>
      </c>
    </row>
    <row r="1647">
      <c r="A1647" s="13" t="inlineStr">
        <is>
          <t>MK00113</t>
        </is>
      </c>
      <c r="B1647" s="13" t="n">
        <v>628000064</v>
      </c>
      <c r="C1647" s="13" t="inlineStr">
        <is>
          <t>Silva Alypia</t>
        </is>
      </c>
      <c r="D1647" s="13" t="inlineStr">
        <is>
          <t>PROD</t>
        </is>
      </c>
      <c r="E1647" s="13" t="inlineStr">
        <is>
          <t>Produksi Borongan</t>
        </is>
      </c>
      <c r="F1647" s="170" t="n">
        <v>46223.32829861111</v>
      </c>
      <c r="G1647" s="13" t="inlineStr">
        <is>
          <t>FREE</t>
        </is>
      </c>
      <c r="H1647" s="170" t="n">
        <v>46223.66983796296</v>
      </c>
    </row>
    <row r="1648">
      <c r="A1648" s="13" t="inlineStr">
        <is>
          <t>MK00204</t>
        </is>
      </c>
      <c r="B1648" s="13" t="n">
        <v>528000335</v>
      </c>
      <c r="C1648" s="13" t="inlineStr">
        <is>
          <t>Rizal Saepuloh</t>
        </is>
      </c>
      <c r="D1648" s="13" t="inlineStr">
        <is>
          <t>LOG</t>
        </is>
      </c>
      <c r="E1648" s="13" t="inlineStr">
        <is>
          <t>WRM Harian</t>
        </is>
      </c>
      <c r="F1648" s="170" t="n">
        <v>46223.40731481482</v>
      </c>
      <c r="G1648" s="13" t="inlineStr">
        <is>
          <t>FREE</t>
        </is>
      </c>
      <c r="H1648" s="170" t="n">
        <v>46223.41717592593</v>
      </c>
    </row>
    <row r="1649">
      <c r="A1649" s="13" t="inlineStr">
        <is>
          <t>MK00235</t>
        </is>
      </c>
      <c r="B1649" s="13" t="n">
        <v>528000339</v>
      </c>
      <c r="C1649" s="13" t="inlineStr">
        <is>
          <t>Muhamad Ripai'i</t>
        </is>
      </c>
      <c r="D1649" s="13" t="inlineStr">
        <is>
          <t>HRGA</t>
        </is>
      </c>
      <c r="E1649" s="13" t="inlineStr">
        <is>
          <t>GA Harian</t>
        </is>
      </c>
      <c r="F1649" s="170" t="n">
        <v>46223.64844907408</v>
      </c>
      <c r="G1649" s="13" t="inlineStr">
        <is>
          <t>FREE</t>
        </is>
      </c>
      <c r="H1649" s="170" t="n">
        <v>46224.00571759259</v>
      </c>
    </row>
    <row r="1650">
      <c r="A1650" s="13" t="inlineStr">
        <is>
          <t>MK00180</t>
        </is>
      </c>
      <c r="B1650" s="13" t="n">
        <v>528000273</v>
      </c>
      <c r="C1650" s="13" t="inlineStr">
        <is>
          <t>Asep Mulyana</t>
        </is>
      </c>
      <c r="D1650" s="13" t="inlineStr">
        <is>
          <t>PROD</t>
        </is>
      </c>
      <c r="E1650" s="13" t="inlineStr">
        <is>
          <t>Produksi Harian</t>
        </is>
      </c>
      <c r="F1650" s="170" t="n">
        <v>46223.65328703704</v>
      </c>
      <c r="G1650" s="13" t="inlineStr">
        <is>
          <t>FREE</t>
        </is>
      </c>
      <c r="H1650" s="170" t="n">
        <v>46224.00255787037</v>
      </c>
    </row>
    <row r="1651">
      <c r="A1651" s="13" t="inlineStr">
        <is>
          <t>MK00150</t>
        </is>
      </c>
      <c r="B1651" s="13" t="n">
        <v>528000289</v>
      </c>
      <c r="C1651" s="13" t="inlineStr">
        <is>
          <t>Adit Supriyadi</t>
        </is>
      </c>
      <c r="D1651" s="13" t="inlineStr">
        <is>
          <t>PROD</t>
        </is>
      </c>
      <c r="E1651" s="13" t="inlineStr">
        <is>
          <t>Produksi Harian</t>
        </is>
      </c>
      <c r="F1651" s="170" t="n">
        <v>46223.65377314815</v>
      </c>
      <c r="G1651" s="13" t="inlineStr">
        <is>
          <t>FREE</t>
        </is>
      </c>
      <c r="H1651" s="170" t="n">
        <v>46224.00278935185</v>
      </c>
    </row>
    <row r="1652">
      <c r="A1652" s="13" t="inlineStr">
        <is>
          <t>MK00184</t>
        </is>
      </c>
      <c r="B1652" s="13" t="n">
        <v>528000286</v>
      </c>
      <c r="C1652" s="13" t="inlineStr">
        <is>
          <t>Imelda Amelia</t>
        </is>
      </c>
      <c r="D1652" s="13" t="inlineStr">
        <is>
          <t>PROD</t>
        </is>
      </c>
      <c r="E1652" s="13" t="inlineStr">
        <is>
          <t>Produksi Harian</t>
        </is>
      </c>
      <c r="F1652" s="170" t="n">
        <v>46223.65692129629</v>
      </c>
      <c r="G1652" s="13" t="inlineStr">
        <is>
          <t>FREE</t>
        </is>
      </c>
      <c r="H1652" s="170" t="n">
        <v>46224.00431712963</v>
      </c>
    </row>
    <row r="1653">
      <c r="A1653" s="13" t="inlineStr">
        <is>
          <t>MK00217</t>
        </is>
      </c>
      <c r="B1653" s="13" t="n">
        <v>528000201</v>
      </c>
      <c r="C1653" s="13" t="inlineStr">
        <is>
          <t>Zahwa Amelia Choerunissa</t>
        </is>
      </c>
      <c r="D1653" s="13" t="inlineStr">
        <is>
          <t>PROD</t>
        </is>
      </c>
      <c r="E1653" s="13" t="inlineStr">
        <is>
          <t>Produksi Harian</t>
        </is>
      </c>
      <c r="F1653" s="170" t="n">
        <v>46223.66050925926</v>
      </c>
      <c r="G1653" s="13" t="inlineStr">
        <is>
          <t>FREE</t>
        </is>
      </c>
      <c r="H1653" s="170" t="n">
        <v>46224.00304398148</v>
      </c>
    </row>
    <row r="1654">
      <c r="A1654" s="13" t="inlineStr">
        <is>
          <t>MK00218</t>
        </is>
      </c>
      <c r="B1654" s="13" t="n">
        <v>528000241</v>
      </c>
      <c r="C1654" s="13" t="inlineStr">
        <is>
          <t>Balia Nurafif Bilah</t>
        </is>
      </c>
      <c r="D1654" s="13" t="inlineStr">
        <is>
          <t>PROD</t>
        </is>
      </c>
      <c r="E1654" s="13" t="inlineStr">
        <is>
          <t>Produksi Harian</t>
        </is>
      </c>
      <c r="F1654" s="170" t="n">
        <v>46223.66106481481</v>
      </c>
      <c r="G1654" s="13" t="inlineStr">
        <is>
          <t>FREE</t>
        </is>
      </c>
      <c r="H1654" s="170" t="n">
        <v>46224.00165509259</v>
      </c>
    </row>
    <row r="1655">
      <c r="A1655" s="13" t="inlineStr">
        <is>
          <t>MK00145</t>
        </is>
      </c>
      <c r="B1655" s="13" t="n">
        <v>528000099</v>
      </c>
      <c r="C1655" s="13" t="inlineStr">
        <is>
          <t>Siti Nurawaliah</t>
        </is>
      </c>
      <c r="D1655" s="13" t="inlineStr">
        <is>
          <t>PROD</t>
        </is>
      </c>
      <c r="E1655" s="13" t="inlineStr">
        <is>
          <t>Produksi Harian</t>
        </is>
      </c>
      <c r="F1655" s="170" t="n">
        <v>46223.66142361111</v>
      </c>
      <c r="G1655" s="13" t="inlineStr">
        <is>
          <t>FREE</t>
        </is>
      </c>
      <c r="H1655" s="170" t="n">
        <v>46224.00337962963</v>
      </c>
    </row>
    <row r="1656">
      <c r="A1656" s="13" t="inlineStr">
        <is>
          <t>MK00121</t>
        </is>
      </c>
      <c r="B1656" s="13" t="n">
        <v>528000228</v>
      </c>
      <c r="C1656" s="13" t="inlineStr">
        <is>
          <t>Banyu Resmi Putri</t>
        </is>
      </c>
      <c r="D1656" s="13" t="inlineStr">
        <is>
          <t>PROD</t>
        </is>
      </c>
      <c r="E1656" s="13" t="inlineStr">
        <is>
          <t>Produksi Harian</t>
        </is>
      </c>
      <c r="F1656" s="170" t="n">
        <v>46223.66209490741</v>
      </c>
      <c r="G1656" s="13" t="inlineStr">
        <is>
          <t>FREE</t>
        </is>
      </c>
      <c r="H1656" s="170" t="n">
        <v>46224.00194444445</v>
      </c>
    </row>
    <row r="1657">
      <c r="A1657" s="13" t="inlineStr">
        <is>
          <t>MK00095</t>
        </is>
      </c>
      <c r="B1657" s="13" t="n">
        <v>528000244</v>
      </c>
      <c r="C1657" s="13" t="inlineStr">
        <is>
          <t>Rodian Rifai</t>
        </is>
      </c>
      <c r="D1657" s="13" t="inlineStr">
        <is>
          <t>PROD</t>
        </is>
      </c>
      <c r="E1657" s="13" t="inlineStr">
        <is>
          <t>Produksi Harian</t>
        </is>
      </c>
      <c r="F1657" s="170" t="n">
        <v>46223.66255787037</v>
      </c>
      <c r="G1657" s="13" t="inlineStr">
        <is>
          <t>FREE</t>
        </is>
      </c>
      <c r="H1657" s="170" t="n">
        <v>46224.65449074074</v>
      </c>
    </row>
    <row r="1658">
      <c r="A1658" s="13" t="inlineStr">
        <is>
          <t>MK000136</t>
        </is>
      </c>
      <c r="B1658" s="13" t="n">
        <v>528000274</v>
      </c>
      <c r="C1658" s="13" t="inlineStr">
        <is>
          <t>Zepri</t>
        </is>
      </c>
      <c r="D1658" s="13" t="inlineStr">
        <is>
          <t>PROD</t>
        </is>
      </c>
      <c r="E1658" s="13" t="inlineStr">
        <is>
          <t>Produksi Harian</t>
        </is>
      </c>
      <c r="F1658" s="170" t="n">
        <v>46223.66428240741</v>
      </c>
      <c r="G1658" s="13" t="inlineStr">
        <is>
          <t>FREE</t>
        </is>
      </c>
      <c r="H1658" s="170" t="n">
        <v>46224.00480324074</v>
      </c>
    </row>
    <row r="1659">
      <c r="A1659" s="13" t="inlineStr">
        <is>
          <t>MK00141</t>
        </is>
      </c>
      <c r="B1659" s="13" t="n">
        <v>528000290</v>
      </c>
      <c r="C1659" s="13" t="inlineStr">
        <is>
          <t>Eval Pranata</t>
        </is>
      </c>
      <c r="D1659" s="13" t="inlineStr">
        <is>
          <t>PROD</t>
        </is>
      </c>
      <c r="E1659" s="13" t="inlineStr">
        <is>
          <t>Produksi Harian</t>
        </is>
      </c>
      <c r="F1659" s="170" t="n">
        <v>46223.6652662037</v>
      </c>
      <c r="G1659" s="13" t="inlineStr">
        <is>
          <t>FREE</t>
        </is>
      </c>
      <c r="H1659" s="170" t="n">
        <v>46224.00229166666</v>
      </c>
    </row>
    <row r="1660">
      <c r="A1660" s="13" t="inlineStr">
        <is>
          <t>MK00116</t>
        </is>
      </c>
      <c r="B1660" s="13" t="n">
        <v>528000212</v>
      </c>
      <c r="C1660" s="13" t="inlineStr">
        <is>
          <t>Rizal Fauzi</t>
        </is>
      </c>
      <c r="D1660" s="13" t="inlineStr">
        <is>
          <t>PROD</t>
        </is>
      </c>
      <c r="E1660" s="13" t="inlineStr">
        <is>
          <t>Produksi Harian</t>
        </is>
      </c>
      <c r="F1660" s="170" t="n">
        <v>46223.66627314815</v>
      </c>
      <c r="G1660" s="13" t="inlineStr">
        <is>
          <t>FREE</t>
        </is>
      </c>
      <c r="H1660" s="170" t="n">
        <v>46224.00269675926</v>
      </c>
    </row>
    <row r="1661">
      <c r="A1661" s="13" t="inlineStr">
        <is>
          <t>MK00181</t>
        </is>
      </c>
      <c r="B1661" s="13" t="n">
        <v>528000090</v>
      </c>
      <c r="C1661" s="13" t="inlineStr">
        <is>
          <t>Suganda</t>
        </is>
      </c>
      <c r="D1661" s="13" t="inlineStr">
        <is>
          <t>PROD</t>
        </is>
      </c>
      <c r="E1661" s="13" t="inlineStr">
        <is>
          <t>Produksi Harian</t>
        </is>
      </c>
      <c r="F1661" s="170" t="n">
        <v>46223.66777777778</v>
      </c>
      <c r="G1661" s="13" t="inlineStr">
        <is>
          <t>FREE</t>
        </is>
      </c>
      <c r="H1661" s="170" t="n">
        <v>46224.32402777778</v>
      </c>
    </row>
    <row r="1662">
      <c r="A1662" s="13" t="inlineStr">
        <is>
          <t>MK00154</t>
        </is>
      </c>
      <c r="B1662" s="13" t="n">
        <v>528000069</v>
      </c>
      <c r="C1662" s="13" t="inlineStr">
        <is>
          <t>Jajang Ardiansyah</t>
        </is>
      </c>
      <c r="D1662" s="13" t="inlineStr">
        <is>
          <t>PROD</t>
        </is>
      </c>
      <c r="E1662" s="13" t="inlineStr">
        <is>
          <t>Produksi Harian</t>
        </is>
      </c>
      <c r="F1662" s="170" t="n">
        <v>46223.69899305556</v>
      </c>
      <c r="G1662" s="13" t="inlineStr">
        <is>
          <t>FREE</t>
        </is>
      </c>
      <c r="H1662" s="170" t="n">
        <v>46224.31894675926</v>
      </c>
    </row>
    <row r="1663">
      <c r="A1663" s="13" t="inlineStr">
        <is>
          <t>MK00108</t>
        </is>
      </c>
      <c r="B1663" s="13" t="n">
        <v>528000282</v>
      </c>
      <c r="C1663" s="13" t="inlineStr">
        <is>
          <t>Defa Desfiana</t>
        </is>
      </c>
      <c r="D1663" s="13" t="inlineStr">
        <is>
          <t>PROD</t>
        </is>
      </c>
      <c r="E1663" s="13" t="inlineStr">
        <is>
          <t>Produksi Harian</t>
        </is>
      </c>
      <c r="F1663" s="170" t="n">
        <v>46223.73692129629</v>
      </c>
      <c r="G1663" s="13" t="inlineStr">
        <is>
          <t>FREE</t>
        </is>
      </c>
      <c r="H1663" s="170" t="n">
        <v>46224.08774305556</v>
      </c>
    </row>
    <row r="1664">
      <c r="A1664" s="13" t="inlineStr">
        <is>
          <t>MK00090</t>
        </is>
      </c>
      <c r="B1664" s="13" t="n">
        <v>528000265</v>
      </c>
      <c r="C1664" s="13" t="inlineStr">
        <is>
          <t>Muhammad Haerul Rozikin</t>
        </is>
      </c>
      <c r="D1664" s="13" t="inlineStr">
        <is>
          <t>LOG</t>
        </is>
      </c>
      <c r="E1664" s="13" t="inlineStr">
        <is>
          <t>WRM Harian</t>
        </is>
      </c>
      <c r="F1664" s="170" t="n">
        <v>46223.7393287037</v>
      </c>
      <c r="G1664" s="13" t="inlineStr">
        <is>
          <t>FREE</t>
        </is>
      </c>
      <c r="H1664" s="170" t="n">
        <v>46224.08490740741</v>
      </c>
    </row>
    <row r="1665">
      <c r="A1665" s="13" t="inlineStr">
        <is>
          <t>MK00185</t>
        </is>
      </c>
      <c r="B1665" s="13" t="n">
        <v>528000351</v>
      </c>
      <c r="C1665" s="13" t="inlineStr">
        <is>
          <t>Mulyana</t>
        </is>
      </c>
      <c r="D1665" s="13" t="inlineStr">
        <is>
          <t>PROD</t>
        </is>
      </c>
      <c r="E1665" s="13" t="inlineStr">
        <is>
          <t>Produksi Harian</t>
        </is>
      </c>
      <c r="F1665" s="170" t="n">
        <v>46223.74486111111</v>
      </c>
      <c r="G1665" s="13" t="inlineStr">
        <is>
          <t>FREE</t>
        </is>
      </c>
      <c r="H1665" s="170" t="n">
        <v>46224.08342592593</v>
      </c>
    </row>
    <row r="1666">
      <c r="A1666" s="13" t="inlineStr">
        <is>
          <t>MK00055</t>
        </is>
      </c>
      <c r="B1666" s="13" t="n">
        <v>528000310</v>
      </c>
      <c r="C1666" s="13" t="inlineStr">
        <is>
          <t>Fachrul Rozzi Suryana</t>
        </is>
      </c>
      <c r="D1666" s="13" t="inlineStr">
        <is>
          <t>LOG</t>
        </is>
      </c>
      <c r="E1666" s="13" t="inlineStr">
        <is>
          <t>WRM Harian</t>
        </is>
      </c>
      <c r="F1666" s="170" t="n">
        <v>46223.74664351852</v>
      </c>
      <c r="G1666" s="13" t="inlineStr">
        <is>
          <t>FREE</t>
        </is>
      </c>
      <c r="H1666" s="170" t="n">
        <v>46224.08431712963</v>
      </c>
    </row>
    <row r="1667">
      <c r="A1667" s="13" t="inlineStr">
        <is>
          <t>MK00156</t>
        </is>
      </c>
      <c r="B1667" s="13" t="n">
        <v>528000040</v>
      </c>
      <c r="C1667" s="13" t="inlineStr">
        <is>
          <t>Agus Suryaman</t>
        </is>
      </c>
      <c r="D1667" s="13" t="inlineStr">
        <is>
          <t>PROD</t>
        </is>
      </c>
      <c r="E1667" s="13" t="inlineStr">
        <is>
          <t>Produksi Harian</t>
        </is>
      </c>
      <c r="F1667" s="170" t="n">
        <v>46223.76565972222</v>
      </c>
      <c r="G1667" s="13" t="inlineStr">
        <is>
          <t>FREE</t>
        </is>
      </c>
      <c r="H1667" s="170" t="n">
        <v>46224.12678240741</v>
      </c>
    </row>
    <row r="1668">
      <c r="A1668" s="13" t="inlineStr">
        <is>
          <t>MK00160</t>
        </is>
      </c>
      <c r="B1668" s="13" t="n">
        <v>528000349</v>
      </c>
      <c r="C1668" s="13" t="inlineStr">
        <is>
          <t>Anas Abdul Fatah</t>
        </is>
      </c>
      <c r="D1668" s="13" t="inlineStr">
        <is>
          <t>LOG</t>
        </is>
      </c>
      <c r="E1668" s="13" t="inlineStr">
        <is>
          <t>WFG Harian</t>
        </is>
      </c>
      <c r="F1668" s="170" t="n">
        <v>46223.82203703704</v>
      </c>
      <c r="G1668" s="13" t="inlineStr">
        <is>
          <t>FREE</t>
        </is>
      </c>
      <c r="H1668" s="170" t="n">
        <v>46224.17680555556</v>
      </c>
    </row>
    <row r="1669">
      <c r="A1669" s="13" t="inlineStr">
        <is>
          <t>MK00085</t>
        </is>
      </c>
      <c r="B1669" s="13" t="n">
        <v>528000336</v>
      </c>
      <c r="C1669" s="13" t="inlineStr">
        <is>
          <t>Ali Nurhanafi</t>
        </is>
      </c>
      <c r="D1669" s="13" t="inlineStr">
        <is>
          <t>PROD</t>
        </is>
      </c>
      <c r="E1669" s="13" t="inlineStr">
        <is>
          <t>Produksi Harian</t>
        </is>
      </c>
      <c r="F1669" s="170" t="n">
        <v>46223.95650462963</v>
      </c>
      <c r="G1669" s="13" t="inlineStr">
        <is>
          <t>FREE</t>
        </is>
      </c>
      <c r="H1669" s="170" t="n">
        <v>46224.33679398148</v>
      </c>
    </row>
    <row r="1670">
      <c r="A1670" s="13" t="inlineStr">
        <is>
          <t>MK00202</t>
        </is>
      </c>
      <c r="B1670" s="13" t="n">
        <v>528000337</v>
      </c>
      <c r="C1670" s="13" t="inlineStr">
        <is>
          <t>Ahmad Zaldi Firdaus</t>
        </is>
      </c>
      <c r="D1670" s="13" t="inlineStr">
        <is>
          <t>PROD</t>
        </is>
      </c>
      <c r="E1670" s="13" t="inlineStr">
        <is>
          <t>Produksi Harian</t>
        </is>
      </c>
      <c r="F1670" s="170" t="n">
        <v>46223.95659722222</v>
      </c>
      <c r="G1670" s="13" t="inlineStr">
        <is>
          <t>FREE</t>
        </is>
      </c>
      <c r="H1670" s="170" t="n">
        <v>46224.33721064815</v>
      </c>
    </row>
    <row r="1671">
      <c r="A1671" s="13" t="inlineStr">
        <is>
          <t>MK00008</t>
        </is>
      </c>
      <c r="B1671" s="13" t="n">
        <v>528000052</v>
      </c>
      <c r="C1671" s="13" t="inlineStr">
        <is>
          <t>Mustopa</t>
        </is>
      </c>
      <c r="D1671" s="13" t="inlineStr">
        <is>
          <t>PROD</t>
        </is>
      </c>
      <c r="E1671" s="13" t="inlineStr">
        <is>
          <t>Produksi Harian</t>
        </is>
      </c>
      <c r="F1671" s="170" t="n">
        <v>46223.95972222222</v>
      </c>
      <c r="G1671" s="13" t="inlineStr">
        <is>
          <t>FREE</t>
        </is>
      </c>
      <c r="H1671" s="170" t="n">
        <v>46224.33478009259</v>
      </c>
    </row>
    <row r="1672">
      <c r="A1672" s="13" t="inlineStr">
        <is>
          <t>MKOO138</t>
        </is>
      </c>
      <c r="B1672" s="13" t="n">
        <v>528000332</v>
      </c>
      <c r="C1672" s="13" t="inlineStr">
        <is>
          <t>Ena Indriani</t>
        </is>
      </c>
      <c r="D1672" s="13" t="inlineStr">
        <is>
          <t>PROD</t>
        </is>
      </c>
      <c r="E1672" s="13" t="inlineStr">
        <is>
          <t>Produksi Harian</t>
        </is>
      </c>
      <c r="F1672" s="170" t="n">
        <v>46223.97754629629</v>
      </c>
      <c r="G1672" s="13" t="inlineStr">
        <is>
          <t>FREE</t>
        </is>
      </c>
      <c r="H1672" s="170" t="n"/>
    </row>
    <row r="1673">
      <c r="A1673" s="13" t="inlineStr">
        <is>
          <t>MK00213</t>
        </is>
      </c>
      <c r="B1673" s="13" t="n">
        <v>528000328</v>
      </c>
      <c r="C1673" s="13" t="inlineStr">
        <is>
          <t>Nur Anjani</t>
        </is>
      </c>
      <c r="D1673" s="13" t="inlineStr">
        <is>
          <t>PROD</t>
        </is>
      </c>
      <c r="E1673" s="13" t="inlineStr">
        <is>
          <t>Produksi Harian</t>
        </is>
      </c>
      <c r="F1673" s="170" t="n">
        <v>46223.98401620371</v>
      </c>
      <c r="G1673" s="13" t="inlineStr">
        <is>
          <t>FREE</t>
        </is>
      </c>
      <c r="H1673" s="170" t="n">
        <v>46224.33649305555</v>
      </c>
    </row>
    <row r="1674">
      <c r="A1674" s="13" t="inlineStr">
        <is>
          <t>MK00212</t>
        </is>
      </c>
      <c r="B1674" s="13" t="n">
        <v>528000266</v>
      </c>
      <c r="C1674" s="13" t="inlineStr">
        <is>
          <t>M. Syirajatieq</t>
        </is>
      </c>
      <c r="D1674" s="13" t="inlineStr">
        <is>
          <t>LOG</t>
        </is>
      </c>
      <c r="E1674" s="13" t="inlineStr">
        <is>
          <t>WFG Harian</t>
        </is>
      </c>
      <c r="F1674" s="170" t="n">
        <v>46223.98653935185</v>
      </c>
      <c r="G1674" s="13" t="inlineStr">
        <is>
          <t>FREE</t>
        </is>
      </c>
      <c r="H1674" s="170" t="n">
        <v>46224.3641087963</v>
      </c>
    </row>
    <row r="1675">
      <c r="A1675" s="13" t="inlineStr">
        <is>
          <t>MK00220</t>
        </is>
      </c>
      <c r="B1675" s="13" t="n">
        <v>528000262</v>
      </c>
      <c r="C1675" s="13" t="inlineStr">
        <is>
          <t>Ndari Dwiwanti</t>
        </is>
      </c>
      <c r="D1675" s="13" t="inlineStr">
        <is>
          <t>PROD</t>
        </is>
      </c>
      <c r="E1675" s="13" t="inlineStr">
        <is>
          <t>Produksi Harian</t>
        </is>
      </c>
      <c r="F1675" s="170" t="n">
        <v>46223.98789351852</v>
      </c>
      <c r="G1675" s="13" t="inlineStr">
        <is>
          <t>FREE</t>
        </is>
      </c>
      <c r="H1675" s="170" t="n">
        <v>46224.33565972222</v>
      </c>
    </row>
    <row r="1676">
      <c r="A1676" s="13" t="inlineStr">
        <is>
          <t>MK00143</t>
        </is>
      </c>
      <c r="B1676" s="13" t="n">
        <v>528000358</v>
      </c>
      <c r="C1676" s="13" t="inlineStr">
        <is>
          <t>Lulu Agustin</t>
        </is>
      </c>
      <c r="D1676" s="13" t="inlineStr">
        <is>
          <t>PROD</t>
        </is>
      </c>
      <c r="E1676" s="13" t="inlineStr">
        <is>
          <t>Produksi Harian</t>
        </is>
      </c>
      <c r="F1676" s="170" t="n">
        <v>46223.98885416667</v>
      </c>
      <c r="G1676" s="13" t="inlineStr">
        <is>
          <t>FREE</t>
        </is>
      </c>
      <c r="H1676" s="170" t="n">
        <v>46224.33586805555</v>
      </c>
    </row>
    <row r="1677">
      <c r="A1677" s="13" t="inlineStr">
        <is>
          <t>MK00093</t>
        </is>
      </c>
      <c r="B1677" s="13" t="n">
        <v>528000283</v>
      </c>
      <c r="C1677" s="13" t="inlineStr">
        <is>
          <t>Purwanda Sugiri</t>
        </is>
      </c>
      <c r="D1677" s="13" t="inlineStr">
        <is>
          <t>LOG</t>
        </is>
      </c>
      <c r="E1677" s="13" t="inlineStr">
        <is>
          <t>WRM Harian</t>
        </is>
      </c>
      <c r="F1677" s="170" t="n">
        <v>46223.98962962963</v>
      </c>
      <c r="G1677" s="13" t="inlineStr">
        <is>
          <t>FREE</t>
        </is>
      </c>
      <c r="H1677" s="170" t="n">
        <v>46224.75165509259</v>
      </c>
    </row>
    <row r="1678">
      <c r="A1678" s="13" t="inlineStr">
        <is>
          <t>MK00230</t>
        </is>
      </c>
      <c r="B1678" s="13" t="n">
        <v>528000306</v>
      </c>
      <c r="C1678" s="13" t="inlineStr">
        <is>
          <t>Windy Olivia</t>
        </is>
      </c>
      <c r="D1678" s="13" t="inlineStr">
        <is>
          <t>PROD</t>
        </is>
      </c>
      <c r="E1678" s="13" t="inlineStr">
        <is>
          <t>Produksi Harian</t>
        </is>
      </c>
      <c r="F1678" s="170" t="n">
        <v>46223.99038194444</v>
      </c>
      <c r="G1678" s="13" t="inlineStr">
        <is>
          <t>FREE</t>
        </is>
      </c>
      <c r="H1678" s="170" t="n">
        <v>46224.33513888889</v>
      </c>
    </row>
    <row r="1679">
      <c r="A1679" s="13" t="inlineStr">
        <is>
          <t>MK00250</t>
        </is>
      </c>
      <c r="B1679" s="13" t="n">
        <v>528000291</v>
      </c>
      <c r="C1679" s="13" t="inlineStr">
        <is>
          <t>Andrian</t>
        </is>
      </c>
      <c r="D1679" s="13" t="inlineStr">
        <is>
          <t>PROD</t>
        </is>
      </c>
      <c r="E1679" s="13" t="inlineStr">
        <is>
          <t>Produksi Harian</t>
        </is>
      </c>
      <c r="F1679" s="170" t="n">
        <v>46223.99111111111</v>
      </c>
      <c r="G1679" s="13" t="inlineStr">
        <is>
          <t>FREE</t>
        </is>
      </c>
      <c r="H1679" s="170" t="n">
        <v>46224.33517361111</v>
      </c>
    </row>
    <row r="1680">
      <c r="A1680" s="13" t="inlineStr">
        <is>
          <t>MK00112</t>
        </is>
      </c>
      <c r="B1680" s="13" t="n">
        <v>528000261</v>
      </c>
      <c r="C1680" s="13" t="inlineStr">
        <is>
          <t>Ergi Ergianto</t>
        </is>
      </c>
      <c r="D1680" s="13" t="inlineStr">
        <is>
          <t>HRGA</t>
        </is>
      </c>
      <c r="E1680" s="13" t="inlineStr">
        <is>
          <t>GA Harian</t>
        </is>
      </c>
      <c r="F1680" s="170" t="n">
        <v>46223.99141203704</v>
      </c>
      <c r="G1680" s="13" t="inlineStr">
        <is>
          <t>FREE</t>
        </is>
      </c>
      <c r="H1680" s="170" t="n">
        <v>46224.33572916667</v>
      </c>
    </row>
    <row r="1681">
      <c r="A1681" s="13" t="inlineStr">
        <is>
          <t>MK00218</t>
        </is>
      </c>
      <c r="B1681" s="13" t="n">
        <v>528000340</v>
      </c>
      <c r="C1681" s="13" t="inlineStr">
        <is>
          <t>Muhammad Wildan Adithya</t>
        </is>
      </c>
      <c r="D1681" s="13" t="inlineStr">
        <is>
          <t>PROD</t>
        </is>
      </c>
      <c r="E1681" s="13" t="inlineStr">
        <is>
          <t>Produksi Harian</t>
        </is>
      </c>
      <c r="F1681" s="170" t="n">
        <v>46224.01828703703</v>
      </c>
      <c r="G1681" s="13" t="inlineStr">
        <is>
          <t>FREE</t>
        </is>
      </c>
      <c r="H1681" s="170" t="n">
        <v>46224.73291666667</v>
      </c>
    </row>
    <row r="1682">
      <c r="A1682" s="13" t="inlineStr">
        <is>
          <t>MK00210</t>
        </is>
      </c>
      <c r="B1682" s="13" t="n">
        <v>528000232</v>
      </c>
      <c r="C1682" s="13" t="inlineStr">
        <is>
          <t>Agung Aji Suhada</t>
        </is>
      </c>
      <c r="D1682" s="13" t="inlineStr">
        <is>
          <t>LOG</t>
        </is>
      </c>
      <c r="E1682" s="13" t="inlineStr">
        <is>
          <t>WRM Harian</t>
        </is>
      </c>
      <c r="F1682" s="170" t="n">
        <v>46224.063125</v>
      </c>
      <c r="G1682" s="13" t="inlineStr">
        <is>
          <t>FREE</t>
        </is>
      </c>
      <c r="H1682" s="170" t="n"/>
    </row>
    <row r="1683">
      <c r="A1683" s="13" t="inlineStr">
        <is>
          <t>MK00122</t>
        </is>
      </c>
      <c r="B1683" s="13" t="n">
        <v>528000144</v>
      </c>
      <c r="C1683" s="13" t="inlineStr">
        <is>
          <t>Jodi Hanafi</t>
        </is>
      </c>
      <c r="D1683" s="13" t="inlineStr">
        <is>
          <t>LOG</t>
        </is>
      </c>
      <c r="E1683" s="13" t="inlineStr">
        <is>
          <t>WRM Harian</t>
        </is>
      </c>
      <c r="F1683" s="170" t="n">
        <v>46224.07209490741</v>
      </c>
      <c r="G1683" s="13" t="inlineStr">
        <is>
          <t>FREE</t>
        </is>
      </c>
      <c r="H1683" s="170" t="n">
        <v>46224.42777777778</v>
      </c>
    </row>
    <row r="1684">
      <c r="A1684" s="13" t="inlineStr">
        <is>
          <t>MK00204</t>
        </is>
      </c>
      <c r="B1684" s="13" t="n">
        <v>528000335</v>
      </c>
      <c r="C1684" s="13" t="inlineStr">
        <is>
          <t>Rizal Saepuloh</t>
        </is>
      </c>
      <c r="D1684" s="13" t="inlineStr">
        <is>
          <t>LOG</t>
        </is>
      </c>
      <c r="E1684" s="13" t="inlineStr">
        <is>
          <t>WRM Harian</t>
        </is>
      </c>
      <c r="F1684" s="170" t="n">
        <v>46224.07956018519</v>
      </c>
      <c r="G1684" s="13" t="inlineStr">
        <is>
          <t>FREE</t>
        </is>
      </c>
      <c r="H1684" s="170" t="n">
        <v>46224.41711805556</v>
      </c>
    </row>
    <row r="1685">
      <c r="A1685" s="13" t="inlineStr">
        <is>
          <t>MK00235</t>
        </is>
      </c>
      <c r="B1685" s="13" t="n">
        <v>528000324</v>
      </c>
      <c r="C1685" s="13" t="inlineStr">
        <is>
          <t>Sri Yanti</t>
        </is>
      </c>
      <c r="D1685" s="13" t="inlineStr">
        <is>
          <t>PROD</t>
        </is>
      </c>
      <c r="E1685" s="13" t="inlineStr">
        <is>
          <t>Produksi Harian</t>
        </is>
      </c>
      <c r="F1685" s="170" t="n">
        <v>46224.30550925926</v>
      </c>
      <c r="G1685" s="13" t="inlineStr">
        <is>
          <t>FREE</t>
        </is>
      </c>
      <c r="H1685" s="170" t="n">
        <v>46224.66875</v>
      </c>
    </row>
    <row r="1686">
      <c r="A1686" s="13" t="inlineStr">
        <is>
          <t>MK00082</t>
        </is>
      </c>
      <c r="B1686" s="13" t="n">
        <v>528000297</v>
      </c>
      <c r="C1686" s="13" t="inlineStr">
        <is>
          <t>Muhamad Budiana</t>
        </is>
      </c>
      <c r="D1686" s="13" t="inlineStr">
        <is>
          <t>PROD</t>
        </is>
      </c>
      <c r="E1686" s="13" t="inlineStr">
        <is>
          <t>Produksi Harian</t>
        </is>
      </c>
      <c r="F1686" s="170" t="n">
        <v>46224.32075231482</v>
      </c>
      <c r="G1686" s="13" t="inlineStr">
        <is>
          <t>FREE</t>
        </is>
      </c>
      <c r="H1686" s="170" t="n">
        <v>46224.69618055555</v>
      </c>
    </row>
    <row r="1687">
      <c r="A1687" s="13" t="inlineStr">
        <is>
          <t>MK00154</t>
        </is>
      </c>
      <c r="B1687" s="13" t="n">
        <v>528000300</v>
      </c>
      <c r="C1687" s="13" t="inlineStr">
        <is>
          <t>Lia pitaloka</t>
        </is>
      </c>
      <c r="D1687" s="13" t="inlineStr">
        <is>
          <t>PROD</t>
        </is>
      </c>
      <c r="E1687" s="13" t="inlineStr">
        <is>
          <t>Produksi Harian</t>
        </is>
      </c>
      <c r="F1687" s="170" t="n">
        <v>46224.32217592592</v>
      </c>
      <c r="G1687" s="13" t="inlineStr">
        <is>
          <t>FREE</t>
        </is>
      </c>
      <c r="H1687" s="170" t="n">
        <v>46224.67084490741</v>
      </c>
    </row>
    <row r="1688">
      <c r="A1688" s="13" t="inlineStr">
        <is>
          <t>MK00181</t>
        </is>
      </c>
      <c r="B1688" s="13" t="n">
        <v>628000064</v>
      </c>
      <c r="C1688" s="13" t="inlineStr">
        <is>
          <t>Silva Alypia</t>
        </is>
      </c>
      <c r="D1688" s="13" t="inlineStr">
        <is>
          <t>PROD</t>
        </is>
      </c>
      <c r="E1688" s="13" t="inlineStr">
        <is>
          <t>Produksi Borongan</t>
        </is>
      </c>
      <c r="F1688" s="170" t="n">
        <v>46224.32427083333</v>
      </c>
      <c r="G1688" s="13" t="inlineStr">
        <is>
          <t>FREE</t>
        </is>
      </c>
      <c r="H1688" s="170" t="n">
        <v>46224.67075231481</v>
      </c>
    </row>
    <row r="1689">
      <c r="A1689" s="13" t="inlineStr">
        <is>
          <t>MK00121</t>
        </is>
      </c>
      <c r="B1689" s="13" t="n">
        <v>528000248</v>
      </c>
      <c r="C1689" s="13" t="inlineStr">
        <is>
          <t>Roka Jaya Salka Mulya</t>
        </is>
      </c>
      <c r="D1689" s="13" t="inlineStr">
        <is>
          <t>PROD</t>
        </is>
      </c>
      <c r="E1689" s="13" t="inlineStr">
        <is>
          <t>Produksi Harian</t>
        </is>
      </c>
      <c r="F1689" s="170" t="n">
        <v>46224.32571759259</v>
      </c>
      <c r="G1689" s="13" t="inlineStr">
        <is>
          <t>FREE</t>
        </is>
      </c>
      <c r="H1689" s="170" t="n">
        <v>46224.66927083334</v>
      </c>
    </row>
    <row r="1690">
      <c r="A1690" s="13" t="inlineStr">
        <is>
          <t>MK00141</t>
        </is>
      </c>
      <c r="B1690" s="13" t="n">
        <v>528000279</v>
      </c>
      <c r="C1690" s="13" t="inlineStr">
        <is>
          <t>Mahdalena Dalfa Riani</t>
        </is>
      </c>
      <c r="D1690" s="13" t="inlineStr">
        <is>
          <t>PROD</t>
        </is>
      </c>
      <c r="E1690" s="13" t="inlineStr">
        <is>
          <t>Produksi Harian</t>
        </is>
      </c>
      <c r="F1690" s="170" t="n">
        <v>46224.32633101852</v>
      </c>
      <c r="G1690" s="13" t="inlineStr">
        <is>
          <t>FREE</t>
        </is>
      </c>
      <c r="H1690" s="170" t="n">
        <v>46224.67188657408</v>
      </c>
    </row>
    <row r="1691">
      <c r="A1691" s="13" t="inlineStr">
        <is>
          <t>MK0050</t>
        </is>
      </c>
      <c r="B1691" s="13" t="n">
        <v>528000288</v>
      </c>
      <c r="C1691" s="13" t="inlineStr">
        <is>
          <t>Dede gunawan</t>
        </is>
      </c>
      <c r="D1691" s="13" t="inlineStr">
        <is>
          <t>PROD</t>
        </is>
      </c>
      <c r="E1691" s="13" t="inlineStr">
        <is>
          <t>Produksi Harian</t>
        </is>
      </c>
      <c r="F1691" s="170" t="n">
        <v>46224.32942129629</v>
      </c>
      <c r="G1691" s="13" t="inlineStr">
        <is>
          <t>FREE</t>
        </is>
      </c>
      <c r="H1691" s="170" t="n"/>
    </row>
    <row r="1692">
      <c r="A1692" s="13" t="inlineStr">
        <is>
          <t>MK00112</t>
        </is>
      </c>
      <c r="B1692" s="13" t="n">
        <v>528000339</v>
      </c>
      <c r="C1692" s="13" t="inlineStr">
        <is>
          <t>Muhamad Ripai'i</t>
        </is>
      </c>
      <c r="D1692" s="13" t="inlineStr">
        <is>
          <t>HRGA</t>
        </is>
      </c>
      <c r="E1692" s="13" t="inlineStr">
        <is>
          <t>GA Harian</t>
        </is>
      </c>
      <c r="F1692" s="170" t="n">
        <v>46224.64936342592</v>
      </c>
      <c r="G1692" s="13" t="inlineStr">
        <is>
          <t>FREE</t>
        </is>
      </c>
      <c r="H1692" s="170" t="n">
        <v>46225.00427083333</v>
      </c>
    </row>
    <row r="1693">
      <c r="A1693" s="13" t="inlineStr">
        <is>
          <t>MK00092</t>
        </is>
      </c>
      <c r="B1693" s="13" t="n">
        <v>528000273</v>
      </c>
      <c r="C1693" s="13" t="inlineStr">
        <is>
          <t>Asep Mulyana</t>
        </is>
      </c>
      <c r="D1693" s="13" t="inlineStr">
        <is>
          <t>PROD</t>
        </is>
      </c>
      <c r="E1693" s="13" t="inlineStr">
        <is>
          <t>Produksi Harian</t>
        </is>
      </c>
      <c r="F1693" s="170" t="n">
        <v>46224.6496412037</v>
      </c>
      <c r="G1693" s="13" t="inlineStr">
        <is>
          <t>FREE</t>
        </is>
      </c>
      <c r="H1693" s="170" t="n">
        <v>46225.01212962963</v>
      </c>
    </row>
    <row r="1694">
      <c r="A1694" s="13" t="inlineStr">
        <is>
          <t>MK00202</t>
        </is>
      </c>
      <c r="B1694" s="13" t="n">
        <v>528000244</v>
      </c>
      <c r="C1694" s="13" t="inlineStr">
        <is>
          <t>Rodian Rifai</t>
        </is>
      </c>
      <c r="D1694" s="13" t="inlineStr">
        <is>
          <t>PROD</t>
        </is>
      </c>
      <c r="E1694" s="13" t="inlineStr">
        <is>
          <t>Produksi Harian</t>
        </is>
      </c>
      <c r="F1694" s="170" t="n">
        <v>46224.6553587963</v>
      </c>
      <c r="G1694" s="13" t="inlineStr">
        <is>
          <t>FREE</t>
        </is>
      </c>
      <c r="H1694" s="170" t="n">
        <v>46226.98570601852</v>
      </c>
    </row>
    <row r="1695">
      <c r="A1695" s="13" t="inlineStr">
        <is>
          <t>MK00213</t>
        </is>
      </c>
      <c r="B1695" s="13" t="n">
        <v>528000286</v>
      </c>
      <c r="C1695" s="13" t="inlineStr">
        <is>
          <t>Imelda Amelia</t>
        </is>
      </c>
      <c r="D1695" s="13" t="inlineStr">
        <is>
          <t>PROD</t>
        </is>
      </c>
      <c r="E1695" s="13" t="inlineStr">
        <is>
          <t>Produksi Harian</t>
        </is>
      </c>
      <c r="F1695" s="170" t="n">
        <v>46224.66065972222</v>
      </c>
      <c r="G1695" s="13" t="inlineStr">
        <is>
          <t>FREE</t>
        </is>
      </c>
      <c r="H1695" s="170" t="n">
        <v>46225.00543981481</v>
      </c>
    </row>
    <row r="1696">
      <c r="A1696" s="13" t="inlineStr">
        <is>
          <t>MK00085</t>
        </is>
      </c>
      <c r="B1696" s="13" t="n">
        <v>528000201</v>
      </c>
      <c r="C1696" s="13" t="inlineStr">
        <is>
          <t>Zahwa Amelia Choerunissa</t>
        </is>
      </c>
      <c r="D1696" s="13" t="inlineStr">
        <is>
          <t>PROD</t>
        </is>
      </c>
      <c r="E1696" s="13" t="inlineStr">
        <is>
          <t>Produksi Harian</t>
        </is>
      </c>
      <c r="F1696" s="170" t="n">
        <v>46224.66074074074</v>
      </c>
      <c r="G1696" s="13" t="inlineStr">
        <is>
          <t>FREE</t>
        </is>
      </c>
      <c r="H1696" s="170" t="n">
        <v>46225.00209490741</v>
      </c>
    </row>
    <row r="1697">
      <c r="A1697" s="13" t="inlineStr">
        <is>
          <t>MK00109</t>
        </is>
      </c>
      <c r="B1697" s="13" t="n">
        <v>528000241</v>
      </c>
      <c r="C1697" s="13" t="inlineStr">
        <is>
          <t>Balia Nurafif Bilah</t>
        </is>
      </c>
      <c r="D1697" s="13" t="inlineStr">
        <is>
          <t>PROD</t>
        </is>
      </c>
      <c r="E1697" s="13" t="inlineStr">
        <is>
          <t>Produksi Harian</t>
        </is>
      </c>
      <c r="F1697" s="170" t="n">
        <v>46224.6616087963</v>
      </c>
      <c r="G1697" s="13" t="inlineStr">
        <is>
          <t>FREE</t>
        </is>
      </c>
      <c r="H1697" s="170" t="n">
        <v>46225.00078703704</v>
      </c>
    </row>
    <row r="1698">
      <c r="A1698" s="13" t="inlineStr">
        <is>
          <t>MK00184</t>
        </is>
      </c>
      <c r="B1698" s="13" t="n">
        <v>528000099</v>
      </c>
      <c r="C1698" s="13" t="inlineStr">
        <is>
          <t>Siti Nurawaliah</t>
        </is>
      </c>
      <c r="D1698" s="13" t="inlineStr">
        <is>
          <t>PROD</t>
        </is>
      </c>
      <c r="E1698" s="13" t="inlineStr">
        <is>
          <t>Produksi Harian</t>
        </is>
      </c>
      <c r="F1698" s="170" t="n">
        <v>46224.66207175926</v>
      </c>
      <c r="G1698" s="13" t="inlineStr">
        <is>
          <t>FREE</t>
        </is>
      </c>
      <c r="H1698" s="170" t="n">
        <v>46225.00240740741</v>
      </c>
    </row>
    <row r="1699">
      <c r="A1699" s="13" t="inlineStr">
        <is>
          <t>MK00134</t>
        </is>
      </c>
      <c r="B1699" s="13" t="n">
        <v>528000289</v>
      </c>
      <c r="C1699" s="13" t="inlineStr">
        <is>
          <t>Adit Supriyadi</t>
        </is>
      </c>
      <c r="D1699" s="13" t="inlineStr">
        <is>
          <t>PROD</t>
        </is>
      </c>
      <c r="E1699" s="13" t="inlineStr">
        <is>
          <t>Produksi Harian</t>
        </is>
      </c>
      <c r="F1699" s="170" t="n">
        <v>46224.66342592592</v>
      </c>
      <c r="G1699" s="13" t="inlineStr">
        <is>
          <t>FREE</t>
        </is>
      </c>
      <c r="H1699" s="170" t="n">
        <v>46225.82375</v>
      </c>
    </row>
    <row r="1700">
      <c r="A1700" s="13" t="inlineStr">
        <is>
          <t>MK00055</t>
        </is>
      </c>
      <c r="B1700" s="13" t="n">
        <v>528000228</v>
      </c>
      <c r="C1700" s="13" t="inlineStr">
        <is>
          <t>Banyu Resmi Putri</t>
        </is>
      </c>
      <c r="D1700" s="13" t="inlineStr">
        <is>
          <t>PROD</t>
        </is>
      </c>
      <c r="E1700" s="13" t="inlineStr">
        <is>
          <t>Produksi Harian</t>
        </is>
      </c>
      <c r="F1700" s="170" t="n">
        <v>46224.66405092592</v>
      </c>
      <c r="G1700" s="13" t="inlineStr">
        <is>
          <t>FREE</t>
        </is>
      </c>
      <c r="H1700" s="170" t="n">
        <v>46225.00194444445</v>
      </c>
    </row>
    <row r="1701">
      <c r="A1701" s="13" t="inlineStr">
        <is>
          <t>MK00108</t>
        </is>
      </c>
      <c r="B1701" s="13" t="n">
        <v>528000274</v>
      </c>
      <c r="C1701" s="13" t="inlineStr">
        <is>
          <t>Zepri</t>
        </is>
      </c>
      <c r="D1701" s="13" t="inlineStr">
        <is>
          <t>PROD</t>
        </is>
      </c>
      <c r="E1701" s="13" t="inlineStr">
        <is>
          <t>Produksi Harian</t>
        </is>
      </c>
      <c r="F1701" s="170" t="n">
        <v>46224.66457175926</v>
      </c>
      <c r="G1701" s="13" t="inlineStr">
        <is>
          <t>FREE</t>
        </is>
      </c>
      <c r="H1701" s="170" t="n">
        <v>46225.00021990741</v>
      </c>
    </row>
    <row r="1702">
      <c r="A1702" s="13" t="inlineStr">
        <is>
          <t>MK00212</t>
        </is>
      </c>
      <c r="B1702" s="13" t="n">
        <v>528000290</v>
      </c>
      <c r="C1702" s="13" t="inlineStr">
        <is>
          <t>Eval Pranata</t>
        </is>
      </c>
      <c r="D1702" s="13" t="inlineStr">
        <is>
          <t>PROD</t>
        </is>
      </c>
      <c r="E1702" s="13" t="inlineStr">
        <is>
          <t>Produksi Harian</t>
        </is>
      </c>
      <c r="F1702" s="170" t="n">
        <v>46224.66586805556</v>
      </c>
      <c r="G1702" s="13" t="inlineStr">
        <is>
          <t>FREE</t>
        </is>
      </c>
      <c r="H1702" s="170" t="n">
        <v>46225.00155092592</v>
      </c>
    </row>
    <row r="1703">
      <c r="A1703" s="13" t="inlineStr">
        <is>
          <t>MK00143</t>
        </is>
      </c>
      <c r="B1703" s="13" t="n">
        <v>528000212</v>
      </c>
      <c r="C1703" s="13" t="inlineStr">
        <is>
          <t>Rizal Fauzi</t>
        </is>
      </c>
      <c r="D1703" s="13" t="inlineStr">
        <is>
          <t>PROD</t>
        </is>
      </c>
      <c r="E1703" s="13" t="inlineStr">
        <is>
          <t>Produksi Harian</t>
        </is>
      </c>
      <c r="F1703" s="170" t="n">
        <v>46224.66590277778</v>
      </c>
      <c r="G1703" s="13" t="inlineStr">
        <is>
          <t>FREE</t>
        </is>
      </c>
      <c r="H1703" s="170" t="n">
        <v>46225.03064814815</v>
      </c>
    </row>
    <row r="1704">
      <c r="A1704" s="13" t="inlineStr">
        <is>
          <t>MK00230</t>
        </is>
      </c>
      <c r="B1704" s="13" t="n">
        <v>528000090</v>
      </c>
      <c r="C1704" s="13" t="inlineStr">
        <is>
          <t>Suganda</t>
        </is>
      </c>
      <c r="D1704" s="13" t="inlineStr">
        <is>
          <t>PROD</t>
        </is>
      </c>
      <c r="E1704" s="13" t="inlineStr">
        <is>
          <t>Produksi Harian</t>
        </is>
      </c>
      <c r="F1704" s="170" t="n">
        <v>46224.66710648148</v>
      </c>
      <c r="G1704" s="13" t="inlineStr">
        <is>
          <t>FREE</t>
        </is>
      </c>
      <c r="H1704" s="170" t="n">
        <v>46225.00018518518</v>
      </c>
    </row>
    <row r="1705">
      <c r="A1705" s="13" t="inlineStr">
        <is>
          <t>MK00217</t>
        </is>
      </c>
      <c r="B1705" s="13" t="n">
        <v>528000069</v>
      </c>
      <c r="C1705" s="13" t="inlineStr">
        <is>
          <t>Jajang Ardiansyah</t>
        </is>
      </c>
      <c r="D1705" s="13" t="inlineStr">
        <is>
          <t>PROD</t>
        </is>
      </c>
      <c r="E1705" s="13" t="inlineStr">
        <is>
          <t>Produksi Harian</t>
        </is>
      </c>
      <c r="F1705" s="170" t="n">
        <v>46224.71027777778</v>
      </c>
      <c r="G1705" s="13" t="inlineStr">
        <is>
          <t>FREE</t>
        </is>
      </c>
      <c r="H1705" s="170" t="n">
        <v>46225.10372685185</v>
      </c>
    </row>
    <row r="1706">
      <c r="A1706" s="13" t="inlineStr">
        <is>
          <t>MK00218</t>
        </is>
      </c>
      <c r="B1706" s="13" t="n">
        <v>528000282</v>
      </c>
      <c r="C1706" s="13" t="inlineStr">
        <is>
          <t>Defa Desfiana</t>
        </is>
      </c>
      <c r="D1706" s="13" t="inlineStr">
        <is>
          <t>PROD</t>
        </is>
      </c>
      <c r="E1706" s="13" t="inlineStr">
        <is>
          <t>Produksi Harian</t>
        </is>
      </c>
      <c r="F1706" s="170" t="n">
        <v>46224.733125</v>
      </c>
      <c r="G1706" s="13" t="inlineStr">
        <is>
          <t>FREE</t>
        </is>
      </c>
      <c r="H1706" s="170" t="n">
        <v>46225.08395833334</v>
      </c>
    </row>
    <row r="1707">
      <c r="A1707" s="13" t="inlineStr">
        <is>
          <t>MK00235</t>
        </is>
      </c>
      <c r="B1707" s="13" t="n">
        <v>528000265</v>
      </c>
      <c r="C1707" s="13" t="inlineStr">
        <is>
          <t>Muhammad Haerul Rozikin</t>
        </is>
      </c>
      <c r="D1707" s="13" t="inlineStr">
        <is>
          <t>LOG</t>
        </is>
      </c>
      <c r="E1707" s="13" t="inlineStr">
        <is>
          <t>WRM Harian</t>
        </is>
      </c>
      <c r="F1707" s="170" t="n">
        <v>46224.7419212963</v>
      </c>
      <c r="G1707" s="13" t="inlineStr">
        <is>
          <t>FREE</t>
        </is>
      </c>
      <c r="H1707" s="170" t="n">
        <v>46225.08591435185</v>
      </c>
    </row>
    <row r="1708">
      <c r="A1708" s="13" t="inlineStr">
        <is>
          <t>MK00154</t>
        </is>
      </c>
      <c r="B1708" s="13" t="n">
        <v>528000310</v>
      </c>
      <c r="C1708" s="13" t="inlineStr">
        <is>
          <t>Fachrul Rozzi Suryana</t>
        </is>
      </c>
      <c r="D1708" s="13" t="inlineStr">
        <is>
          <t>LOG</t>
        </is>
      </c>
      <c r="E1708" s="13" t="inlineStr">
        <is>
          <t>WRM Harian</t>
        </is>
      </c>
      <c r="F1708" s="170" t="n">
        <v>46224.74274305555</v>
      </c>
      <c r="G1708" s="13" t="inlineStr">
        <is>
          <t>FREE</t>
        </is>
      </c>
      <c r="H1708" s="170" t="n">
        <v>46225.0837962963</v>
      </c>
    </row>
    <row r="1709">
      <c r="A1709" s="13" t="n">
        <v>220</v>
      </c>
      <c r="B1709" s="13" t="n">
        <v>528000203</v>
      </c>
      <c r="C1709" s="13" t="inlineStr">
        <is>
          <t>Yudha Ramdhan Putra</t>
        </is>
      </c>
      <c r="D1709" s="13" t="inlineStr">
        <is>
          <t>ENG</t>
        </is>
      </c>
      <c r="E1709" s="13" t="inlineStr">
        <is>
          <t>Engineering Harian</t>
        </is>
      </c>
      <c r="F1709" s="170" t="n">
        <v>46224.75173611111</v>
      </c>
      <c r="G1709" s="13" t="inlineStr">
        <is>
          <t>FREE</t>
        </is>
      </c>
      <c r="H1709" s="170" t="n"/>
    </row>
    <row r="1710">
      <c r="A1710" s="13" t="inlineStr">
        <is>
          <t>MK00093</t>
        </is>
      </c>
      <c r="B1710" s="13" t="n">
        <v>528000267</v>
      </c>
      <c r="C1710" s="13" t="inlineStr">
        <is>
          <t>Bagas Patulloh</t>
        </is>
      </c>
      <c r="D1710" s="13" t="inlineStr">
        <is>
          <t>LOG</t>
        </is>
      </c>
      <c r="E1710" s="13" t="inlineStr">
        <is>
          <t>WRM Harian</t>
        </is>
      </c>
      <c r="F1710" s="170" t="n">
        <v>46224.75184027778</v>
      </c>
      <c r="G1710" s="13" t="inlineStr">
        <is>
          <t>FREE</t>
        </is>
      </c>
      <c r="H1710" s="170" t="n">
        <v>46225.9008912037</v>
      </c>
    </row>
    <row r="1711">
      <c r="A1711" s="13" t="inlineStr">
        <is>
          <t>MK00116</t>
        </is>
      </c>
      <c r="B1711" s="13" t="n">
        <v>528000351</v>
      </c>
      <c r="C1711" s="13" t="inlineStr">
        <is>
          <t>Mulyana</t>
        </is>
      </c>
      <c r="D1711" s="13" t="inlineStr">
        <is>
          <t>PROD</t>
        </is>
      </c>
      <c r="E1711" s="13" t="inlineStr">
        <is>
          <t>Produksi Harian</t>
        </is>
      </c>
      <c r="F1711" s="170" t="n">
        <v>46224.75462962963</v>
      </c>
      <c r="G1711" s="13" t="inlineStr">
        <is>
          <t>FREE</t>
        </is>
      </c>
      <c r="H1711" s="170" t="n">
        <v>46225.08347222222</v>
      </c>
    </row>
    <row r="1712">
      <c r="A1712" s="13" t="inlineStr">
        <is>
          <t>MK00141</t>
        </is>
      </c>
      <c r="B1712" s="13" t="n">
        <v>528000040</v>
      </c>
      <c r="C1712" s="13" t="inlineStr">
        <is>
          <t>Agus Suryaman</t>
        </is>
      </c>
      <c r="D1712" s="13" t="inlineStr">
        <is>
          <t>PROD</t>
        </is>
      </c>
      <c r="E1712" s="13" t="inlineStr">
        <is>
          <t>Produksi Harian</t>
        </is>
      </c>
      <c r="F1712" s="170" t="n">
        <v>46224.78063657408</v>
      </c>
      <c r="G1712" s="13" t="inlineStr">
        <is>
          <t>FREE</t>
        </is>
      </c>
      <c r="H1712" s="170" t="n">
        <v>46225.12998842593</v>
      </c>
    </row>
    <row r="1713">
      <c r="A1713" s="13" t="inlineStr">
        <is>
          <t>MK00205</t>
        </is>
      </c>
      <c r="B1713" s="13" t="n">
        <v>528000348</v>
      </c>
      <c r="C1713" s="13" t="inlineStr">
        <is>
          <t>Saepuloh Ardiansah</t>
        </is>
      </c>
      <c r="D1713" s="13" t="inlineStr">
        <is>
          <t>LOG</t>
        </is>
      </c>
      <c r="E1713" s="13" t="inlineStr">
        <is>
          <t>WRM Harian</t>
        </is>
      </c>
      <c r="F1713" s="170" t="n">
        <v>46224.79078703704</v>
      </c>
      <c r="G1713" s="13" t="inlineStr">
        <is>
          <t>FREE</t>
        </is>
      </c>
      <c r="H1713" s="170" t="n">
        <v>46225.13847222222</v>
      </c>
    </row>
    <row r="1714">
      <c r="A1714" s="13" t="inlineStr">
        <is>
          <t>MK00203</t>
        </is>
      </c>
      <c r="B1714" s="13" t="n">
        <v>528000359</v>
      </c>
      <c r="C1714" s="13" t="inlineStr">
        <is>
          <t>M. Iqbal Maulana. S</t>
        </is>
      </c>
      <c r="D1714" s="13" t="inlineStr">
        <is>
          <t>LOG</t>
        </is>
      </c>
      <c r="E1714" s="13" t="inlineStr">
        <is>
          <t>WRM Harian</t>
        </is>
      </c>
      <c r="F1714" s="170" t="n">
        <v>46224.80094907407</v>
      </c>
      <c r="G1714" s="13" t="inlineStr">
        <is>
          <t>FREE</t>
        </is>
      </c>
      <c r="H1714" s="170" t="n">
        <v>46225.12731481482</v>
      </c>
    </row>
    <row r="1715">
      <c r="A1715" s="13" t="inlineStr">
        <is>
          <t>MK00160</t>
        </is>
      </c>
      <c r="B1715" s="13" t="n">
        <v>528000349</v>
      </c>
      <c r="C1715" s="13" t="inlineStr">
        <is>
          <t>Anas Abdul Fatah</t>
        </is>
      </c>
      <c r="D1715" s="13" t="inlineStr">
        <is>
          <t>LOG</t>
        </is>
      </c>
      <c r="E1715" s="13" t="inlineStr">
        <is>
          <t>WFG Harian</t>
        </is>
      </c>
      <c r="F1715" s="170" t="n">
        <v>46224.82105324074</v>
      </c>
      <c r="G1715" s="13" t="inlineStr">
        <is>
          <t>FREE</t>
        </is>
      </c>
      <c r="H1715" s="170" t="n">
        <v>46225.17442129629</v>
      </c>
    </row>
    <row r="1716">
      <c r="A1716" s="13" t="inlineStr">
        <is>
          <t>MK00090</t>
        </is>
      </c>
      <c r="B1716" s="13" t="n">
        <v>628000091</v>
      </c>
      <c r="C1716" s="13" t="inlineStr">
        <is>
          <t>Devita Handayani</t>
        </is>
      </c>
      <c r="D1716" s="13" t="inlineStr">
        <is>
          <t>PROD</t>
        </is>
      </c>
      <c r="E1716" s="13" t="inlineStr">
        <is>
          <t>Produksi Borongan</t>
        </is>
      </c>
      <c r="F1716" s="170" t="n">
        <v>46224.96688657408</v>
      </c>
      <c r="G1716" s="13" t="inlineStr">
        <is>
          <t>FREE</t>
        </is>
      </c>
      <c r="H1716" s="170" t="n">
        <v>46225.35946759259</v>
      </c>
    </row>
    <row r="1717">
      <c r="A1717" s="13" t="inlineStr">
        <is>
          <t>MK00209</t>
        </is>
      </c>
      <c r="B1717" s="13" t="n">
        <v>528000340</v>
      </c>
      <c r="C1717" s="13" t="inlineStr">
        <is>
          <t>Muhammad Wildan Adithya</t>
        </is>
      </c>
      <c r="D1717" s="13" t="inlineStr">
        <is>
          <t>PROD</t>
        </is>
      </c>
      <c r="E1717" s="13" t="inlineStr">
        <is>
          <t>Produksi Harian</t>
        </is>
      </c>
      <c r="F1717" s="170" t="n">
        <v>46224.97834490741</v>
      </c>
      <c r="G1717" s="13" t="inlineStr">
        <is>
          <t>FREE</t>
        </is>
      </c>
      <c r="H1717" s="170" t="n">
        <v>46225.9815162037</v>
      </c>
    </row>
    <row r="1718">
      <c r="A1718" s="13" t="inlineStr">
        <is>
          <t>MK00185</t>
        </is>
      </c>
      <c r="B1718" s="13" t="n">
        <v>528000361</v>
      </c>
      <c r="C1718" s="13" t="inlineStr">
        <is>
          <t>Denada Munggarani</t>
        </is>
      </c>
      <c r="D1718" s="13" t="inlineStr">
        <is>
          <t>PROD</t>
        </is>
      </c>
      <c r="E1718" s="13" t="inlineStr">
        <is>
          <t>Produksi Harian</t>
        </is>
      </c>
      <c r="F1718" s="170" t="n">
        <v>46224.97854166666</v>
      </c>
      <c r="G1718" s="13" t="inlineStr">
        <is>
          <t>FREE</t>
        </is>
      </c>
      <c r="H1718" s="170" t="n">
        <v>46225.33721064815</v>
      </c>
    </row>
    <row r="1719">
      <c r="A1719" s="13" t="inlineStr">
        <is>
          <t>MK00250</t>
        </is>
      </c>
      <c r="B1719" s="13" t="n">
        <v>528000313</v>
      </c>
      <c r="C1719" s="13" t="inlineStr">
        <is>
          <t>Muhamad Rifki</t>
        </is>
      </c>
      <c r="D1719" s="13" t="inlineStr">
        <is>
          <t>PROD</t>
        </is>
      </c>
      <c r="E1719" s="13" t="inlineStr">
        <is>
          <t>Produksi Harian</t>
        </is>
      </c>
      <c r="F1719" s="170" t="n">
        <v>46224.98427083333</v>
      </c>
      <c r="G1719" s="13" t="inlineStr">
        <is>
          <t>FREE</t>
        </is>
      </c>
      <c r="H1719" s="170" t="n">
        <v>46225.33671296296</v>
      </c>
    </row>
    <row r="1720">
      <c r="A1720" s="13" t="inlineStr">
        <is>
          <t>MK00113</t>
        </is>
      </c>
      <c r="B1720" s="13" t="n">
        <v>528000298</v>
      </c>
      <c r="C1720" s="13" t="inlineStr">
        <is>
          <t>Desta Cahaya Pratama</t>
        </is>
      </c>
      <c r="D1720" s="13" t="inlineStr">
        <is>
          <t>PROD</t>
        </is>
      </c>
      <c r="E1720" s="13" t="inlineStr">
        <is>
          <t>Produksi Harian</t>
        </is>
      </c>
      <c r="F1720" s="170" t="n">
        <v>46224.98435185185</v>
      </c>
      <c r="G1720" s="13" t="inlineStr">
        <is>
          <t>FREE</t>
        </is>
      </c>
      <c r="H1720" s="170" t="n">
        <v>46225.33546296296</v>
      </c>
    </row>
    <row r="1721">
      <c r="A1721" s="13" t="inlineStr">
        <is>
          <t>MK00208</t>
        </is>
      </c>
      <c r="B1721" s="13" t="n">
        <v>528000015</v>
      </c>
      <c r="C1721" s="13" t="inlineStr">
        <is>
          <t>Erwin</t>
        </is>
      </c>
      <c r="D1721" s="13" t="inlineStr">
        <is>
          <t>LOG</t>
        </is>
      </c>
      <c r="E1721" s="13" t="inlineStr">
        <is>
          <t>WRM Harian</t>
        </is>
      </c>
      <c r="F1721" s="170" t="n">
        <v>46224.98847222222</v>
      </c>
      <c r="G1721" s="13" t="inlineStr">
        <is>
          <t>FREE</t>
        </is>
      </c>
      <c r="H1721" s="170" t="n">
        <v>46225.346875</v>
      </c>
    </row>
    <row r="1722">
      <c r="A1722" s="13" t="inlineStr">
        <is>
          <t>MK00008</t>
        </is>
      </c>
      <c r="B1722" s="13" t="n">
        <v>528000305</v>
      </c>
      <c r="C1722" s="13" t="inlineStr">
        <is>
          <t>Puji Puspita</t>
        </is>
      </c>
      <c r="D1722" s="13" t="inlineStr">
        <is>
          <t>PROD</t>
        </is>
      </c>
      <c r="E1722" s="13" t="inlineStr">
        <is>
          <t>Produksi Harian</t>
        </is>
      </c>
      <c r="F1722" s="170" t="n">
        <v>46224.98847222222</v>
      </c>
      <c r="G1722" s="13" t="inlineStr">
        <is>
          <t>FREE</t>
        </is>
      </c>
      <c r="H1722" s="170" t="n">
        <v>46225.33981481481</v>
      </c>
    </row>
    <row r="1723">
      <c r="A1723" s="13" t="inlineStr">
        <is>
          <t>MK00181</t>
        </is>
      </c>
      <c r="B1723" s="13" t="n">
        <v>528000299</v>
      </c>
      <c r="C1723" s="13" t="inlineStr">
        <is>
          <t>Siti Nurjanah</t>
        </is>
      </c>
      <c r="D1723" s="13" t="inlineStr">
        <is>
          <t>PROD</t>
        </is>
      </c>
      <c r="E1723" s="13" t="inlineStr">
        <is>
          <t>Produksi Harian</t>
        </is>
      </c>
      <c r="F1723" s="170" t="n">
        <v>46224.98917824074</v>
      </c>
      <c r="G1723" s="13" t="inlineStr">
        <is>
          <t>FREE</t>
        </is>
      </c>
      <c r="H1723" s="170" t="n">
        <v>46225.33571759259</v>
      </c>
    </row>
    <row r="1724">
      <c r="A1724" s="13" t="inlineStr">
        <is>
          <t>MK00082</t>
        </is>
      </c>
      <c r="B1724" s="13" t="n">
        <v>528000302</v>
      </c>
      <c r="C1724" s="13" t="inlineStr">
        <is>
          <t>Henkey gumilar</t>
        </is>
      </c>
      <c r="D1724" s="13" t="inlineStr">
        <is>
          <t>PROD</t>
        </is>
      </c>
      <c r="E1724" s="13" t="inlineStr">
        <is>
          <t>Produksi Harian</t>
        </is>
      </c>
      <c r="F1724" s="170" t="n">
        <v>46224.99005787037</v>
      </c>
      <c r="G1724" s="13" t="inlineStr">
        <is>
          <t>FREE</t>
        </is>
      </c>
      <c r="H1724" s="170" t="n">
        <v>46225.33875</v>
      </c>
    </row>
    <row r="1725">
      <c r="A1725" s="13" t="inlineStr">
        <is>
          <t>MK00121</t>
        </is>
      </c>
      <c r="B1725" s="13" t="n">
        <v>528000309</v>
      </c>
      <c r="C1725" s="13" t="inlineStr">
        <is>
          <t>Ilham Ramadhan</t>
        </is>
      </c>
      <c r="D1725" s="13" t="inlineStr">
        <is>
          <t>LOG</t>
        </is>
      </c>
      <c r="E1725" s="13" t="inlineStr">
        <is>
          <t>WRM Harian</t>
        </is>
      </c>
      <c r="F1725" s="170" t="n">
        <v>46224.990625</v>
      </c>
      <c r="G1725" s="13" t="inlineStr">
        <is>
          <t>FREE</t>
        </is>
      </c>
      <c r="H1725" s="170" t="n">
        <v>46225.33616898148</v>
      </c>
    </row>
    <row r="1726">
      <c r="A1726" s="13" t="inlineStr">
        <is>
          <t>MK00088</t>
        </is>
      </c>
      <c r="B1726" s="13" t="n">
        <v>528000318</v>
      </c>
      <c r="C1726" s="13" t="inlineStr">
        <is>
          <t>Bayu Padli Sepriyana</t>
        </is>
      </c>
      <c r="D1726" s="13" t="inlineStr">
        <is>
          <t>LOG</t>
        </is>
      </c>
      <c r="E1726" s="13" t="inlineStr">
        <is>
          <t>WRM Harian</t>
        </is>
      </c>
      <c r="F1726" s="170" t="n">
        <v>46224.9909375</v>
      </c>
      <c r="G1726" s="13" t="inlineStr">
        <is>
          <t>FREE</t>
        </is>
      </c>
      <c r="H1726" s="170" t="n">
        <v>46225.33563657408</v>
      </c>
    </row>
    <row r="1727">
      <c r="A1727" s="13" t="inlineStr">
        <is>
          <t>MK00030</t>
        </is>
      </c>
      <c r="B1727" s="13" t="n">
        <v>528000098</v>
      </c>
      <c r="C1727" s="13" t="inlineStr">
        <is>
          <t>Edi Junaedi</t>
        </is>
      </c>
      <c r="D1727" s="13" t="inlineStr">
        <is>
          <t>PROD</t>
        </is>
      </c>
      <c r="E1727" s="13" t="inlineStr">
        <is>
          <t>Produksi Harian</t>
        </is>
      </c>
      <c r="F1727" s="170" t="n">
        <v>46224.99548611111</v>
      </c>
      <c r="G1727" s="13" t="inlineStr">
        <is>
          <t>FREE</t>
        </is>
      </c>
      <c r="H1727" s="170" t="n"/>
    </row>
    <row r="1728">
      <c r="A1728" s="13" t="inlineStr">
        <is>
          <t>MK00158</t>
        </is>
      </c>
      <c r="B1728" s="13" t="n">
        <v>528000322</v>
      </c>
      <c r="C1728" s="13" t="inlineStr">
        <is>
          <t>Muhamad Aliludin</t>
        </is>
      </c>
      <c r="D1728" s="13" t="inlineStr">
        <is>
          <t>PROD</t>
        </is>
      </c>
      <c r="E1728" s="13" t="inlineStr">
        <is>
          <t>Produksi Harian</t>
        </is>
      </c>
      <c r="F1728" s="170" t="n">
        <v>46224.99585648148</v>
      </c>
      <c r="G1728" s="13" t="inlineStr">
        <is>
          <t>FREE</t>
        </is>
      </c>
      <c r="H1728" s="170" t="n">
        <v>46225.33555555555</v>
      </c>
    </row>
    <row r="1729">
      <c r="A1729" s="13" t="inlineStr">
        <is>
          <t>MK00030</t>
        </is>
      </c>
      <c r="B1729" s="13" t="n">
        <v>528000144</v>
      </c>
      <c r="C1729" s="13" t="inlineStr">
        <is>
          <t>Jodi Hanafi</t>
        </is>
      </c>
      <c r="D1729" s="13" t="inlineStr">
        <is>
          <t>LOG</t>
        </is>
      </c>
      <c r="E1729" s="13" t="inlineStr">
        <is>
          <t>WRM Harian</t>
        </is>
      </c>
      <c r="F1729" s="170" t="n">
        <v>46225.00650462963</v>
      </c>
      <c r="G1729" s="13" t="inlineStr">
        <is>
          <t>FREE</t>
        </is>
      </c>
      <c r="H1729" s="170" t="n"/>
    </row>
    <row r="1730">
      <c r="A1730" s="13" t="inlineStr">
        <is>
          <t>MK00210</t>
        </is>
      </c>
      <c r="B1730" s="13" t="n">
        <v>528000232</v>
      </c>
      <c r="C1730" s="13" t="inlineStr">
        <is>
          <t>Agung Aji Suhada</t>
        </is>
      </c>
      <c r="D1730" s="13" t="inlineStr">
        <is>
          <t>LOG</t>
        </is>
      </c>
      <c r="E1730" s="13" t="inlineStr">
        <is>
          <t>WRM Harian</t>
        </is>
      </c>
      <c r="F1730" s="170" t="n">
        <v>46225.07850694445</v>
      </c>
      <c r="G1730" s="13" t="inlineStr">
        <is>
          <t>FREE</t>
        </is>
      </c>
      <c r="H1730" s="170" t="n">
        <v>46225.41872685185</v>
      </c>
    </row>
    <row r="1731">
      <c r="A1731" s="13" t="inlineStr">
        <is>
          <t>MK00204</t>
        </is>
      </c>
      <c r="B1731" s="13" t="n">
        <v>528000335</v>
      </c>
      <c r="C1731" s="13" t="inlineStr">
        <is>
          <t>Rizal Saepuloh</t>
        </is>
      </c>
      <c r="D1731" s="13" t="inlineStr">
        <is>
          <t>LOG</t>
        </is>
      </c>
      <c r="E1731" s="13" t="inlineStr">
        <is>
          <t>WRM Harian</t>
        </is>
      </c>
      <c r="F1731" s="170" t="n">
        <v>46225.09932870371</v>
      </c>
      <c r="G1731" s="13" t="inlineStr">
        <is>
          <t>FREE</t>
        </is>
      </c>
      <c r="H1731" s="170" t="n">
        <v>46225.41709490741</v>
      </c>
    </row>
    <row r="1732">
      <c r="A1732" s="13" t="inlineStr">
        <is>
          <t>MK00160</t>
        </is>
      </c>
      <c r="B1732" s="13" t="n">
        <v>528000323</v>
      </c>
      <c r="C1732" s="13" t="inlineStr">
        <is>
          <t>Dian Hamidah</t>
        </is>
      </c>
      <c r="D1732" s="13" t="inlineStr">
        <is>
          <t>PROD</t>
        </is>
      </c>
      <c r="E1732" s="13" t="inlineStr">
        <is>
          <t>Produksi Harian</t>
        </is>
      </c>
      <c r="F1732" s="170" t="n">
        <v>46225.31813657407</v>
      </c>
      <c r="G1732" s="13" t="inlineStr">
        <is>
          <t>FREE</t>
        </is>
      </c>
      <c r="H1732" s="170" t="n">
        <v>46225.67373842592</v>
      </c>
    </row>
    <row r="1733">
      <c r="A1733" s="13" t="inlineStr">
        <is>
          <t>MK00150</t>
        </is>
      </c>
      <c r="B1733" s="13" t="n">
        <v>628000064</v>
      </c>
      <c r="C1733" s="13" t="inlineStr">
        <is>
          <t>Silva Alypia</t>
        </is>
      </c>
      <c r="D1733" s="13" t="inlineStr">
        <is>
          <t>PROD</t>
        </is>
      </c>
      <c r="E1733" s="13" t="inlineStr">
        <is>
          <t>Produksi Borongan</t>
        </is>
      </c>
      <c r="F1733" s="170" t="n">
        <v>46225.32430555556</v>
      </c>
      <c r="G1733" s="13" t="inlineStr">
        <is>
          <t>FREE</t>
        </is>
      </c>
      <c r="H1733" s="170" t="n">
        <v>46225.67052083334</v>
      </c>
    </row>
    <row r="1734">
      <c r="A1734" s="13" t="inlineStr">
        <is>
          <t>MK00145</t>
        </is>
      </c>
      <c r="B1734" s="13" t="n">
        <v>528000248</v>
      </c>
      <c r="C1734" s="13" t="inlineStr">
        <is>
          <t>Roka Jaya Salka Mulya</t>
        </is>
      </c>
      <c r="D1734" s="13" t="inlineStr">
        <is>
          <t>PROD</t>
        </is>
      </c>
      <c r="E1734" s="13" t="inlineStr">
        <is>
          <t>Produksi Harian</t>
        </is>
      </c>
      <c r="F1734" s="170" t="n">
        <v>46225.3249537037</v>
      </c>
      <c r="G1734" s="13" t="inlineStr">
        <is>
          <t>FREE</t>
        </is>
      </c>
      <c r="H1734" s="170" t="n">
        <v>46225.66831018519</v>
      </c>
    </row>
    <row r="1735">
      <c r="A1735" s="13" t="inlineStr">
        <is>
          <t>MK00095</t>
        </is>
      </c>
      <c r="B1735" s="13" t="n">
        <v>528000297</v>
      </c>
      <c r="C1735" s="13" t="inlineStr">
        <is>
          <t>Muhamad Budiana</t>
        </is>
      </c>
      <c r="D1735" s="13" t="inlineStr">
        <is>
          <t>PROD</t>
        </is>
      </c>
      <c r="E1735" s="13" t="inlineStr">
        <is>
          <t>Produksi Harian</t>
        </is>
      </c>
      <c r="F1735" s="170" t="n">
        <v>46225.32648148148</v>
      </c>
      <c r="G1735" s="13" t="inlineStr">
        <is>
          <t>FREE</t>
        </is>
      </c>
      <c r="H1735" s="170" t="n">
        <v>46225.69436342592</v>
      </c>
    </row>
    <row r="1736">
      <c r="A1736" s="13" t="inlineStr">
        <is>
          <t>MK00143</t>
        </is>
      </c>
      <c r="B1736" s="13" t="n">
        <v>528000279</v>
      </c>
      <c r="C1736" s="13" t="inlineStr">
        <is>
          <t>Mahdalena Dalfa Riani</t>
        </is>
      </c>
      <c r="D1736" s="13" t="inlineStr">
        <is>
          <t>PROD</t>
        </is>
      </c>
      <c r="E1736" s="13" t="inlineStr">
        <is>
          <t>Produksi Harian</t>
        </is>
      </c>
      <c r="F1736" s="170" t="n">
        <v>46225.32697916667</v>
      </c>
      <c r="G1736" s="13" t="inlineStr">
        <is>
          <t>FREE</t>
        </is>
      </c>
      <c r="H1736" s="170" t="n">
        <v>46225.67284722222</v>
      </c>
    </row>
    <row r="1737">
      <c r="A1737" s="13" t="inlineStr">
        <is>
          <t>MK00136</t>
        </is>
      </c>
      <c r="B1737" s="13" t="n">
        <v>528000300</v>
      </c>
      <c r="C1737" s="13" t="inlineStr">
        <is>
          <t>Lia pitaloka</t>
        </is>
      </c>
      <c r="D1737" s="13" t="inlineStr">
        <is>
          <t>PROD</t>
        </is>
      </c>
      <c r="E1737" s="13" t="inlineStr">
        <is>
          <t>Produksi Harian</t>
        </is>
      </c>
      <c r="F1737" s="170" t="n">
        <v>46225.32967592592</v>
      </c>
      <c r="G1737" s="13" t="inlineStr">
        <is>
          <t>FREE</t>
        </is>
      </c>
      <c r="H1737" s="170" t="n">
        <v>46225.66959490741</v>
      </c>
    </row>
    <row r="1738">
      <c r="A1738" s="13" t="inlineStr">
        <is>
          <t>MK00221</t>
        </is>
      </c>
      <c r="B1738" s="13" t="n">
        <v>528000144</v>
      </c>
      <c r="C1738" s="13" t="inlineStr">
        <is>
          <t>Jodi Hanafi</t>
        </is>
      </c>
      <c r="D1738" s="13" t="inlineStr">
        <is>
          <t>LOG</t>
        </is>
      </c>
      <c r="E1738" s="13" t="inlineStr">
        <is>
          <t>WRM Harian</t>
        </is>
      </c>
      <c r="F1738" s="170" t="n">
        <v>46225.46605324074</v>
      </c>
      <c r="G1738" s="13" t="inlineStr">
        <is>
          <t>FREE</t>
        </is>
      </c>
      <c r="H1738" s="170" t="n">
        <v>46225.4662962963</v>
      </c>
    </row>
    <row r="1739">
      <c r="A1739" s="13" t="inlineStr">
        <is>
          <t>MK00125</t>
        </is>
      </c>
      <c r="B1739" s="13" t="n">
        <v>528000314</v>
      </c>
      <c r="C1739" s="13" t="inlineStr">
        <is>
          <t>Rusmana</t>
        </is>
      </c>
      <c r="D1739" s="13" t="inlineStr">
        <is>
          <t>PROD</t>
        </is>
      </c>
      <c r="E1739" s="13" t="inlineStr">
        <is>
          <t>Produksi Harian</t>
        </is>
      </c>
      <c r="F1739" s="170" t="n">
        <v>46225.63103009259</v>
      </c>
      <c r="G1739" s="13" t="inlineStr">
        <is>
          <t>FREE</t>
        </is>
      </c>
      <c r="H1739" s="170" t="n">
        <v>46226.66233796296</v>
      </c>
    </row>
    <row r="1740">
      <c r="A1740" s="13" t="inlineStr">
        <is>
          <t>MK00203</t>
        </is>
      </c>
      <c r="B1740" s="13" t="n">
        <v>528000052</v>
      </c>
      <c r="C1740" s="13" t="inlineStr">
        <is>
          <t>Mustopa</t>
        </is>
      </c>
      <c r="D1740" s="13" t="inlineStr">
        <is>
          <t>PROD</t>
        </is>
      </c>
      <c r="E1740" s="13" t="inlineStr">
        <is>
          <t>Produksi Harian</t>
        </is>
      </c>
      <c r="F1740" s="170" t="n">
        <v>46225.643125</v>
      </c>
      <c r="G1740" s="13" t="inlineStr">
        <is>
          <t>FREE</t>
        </is>
      </c>
      <c r="H1740" s="170" t="n">
        <v>46226.00258101852</v>
      </c>
    </row>
    <row r="1741">
      <c r="A1741" s="13" t="inlineStr">
        <is>
          <t>MK00220</t>
        </is>
      </c>
      <c r="B1741" s="13" t="n">
        <v>528000337</v>
      </c>
      <c r="C1741" s="13" t="inlineStr">
        <is>
          <t>Ahmad Zaldi Firdaus</t>
        </is>
      </c>
      <c r="D1741" s="13" t="inlineStr">
        <is>
          <t>PROD</t>
        </is>
      </c>
      <c r="E1741" s="13" t="inlineStr">
        <is>
          <t>Produksi Harian</t>
        </is>
      </c>
      <c r="F1741" s="170" t="n">
        <v>46225.64865740741</v>
      </c>
      <c r="G1741" s="13" t="inlineStr">
        <is>
          <t>FREE</t>
        </is>
      </c>
      <c r="H1741" s="170" t="n">
        <v>46226.00586805555</v>
      </c>
    </row>
    <row r="1742">
      <c r="A1742" s="13" t="inlineStr">
        <is>
          <t>MK00154</t>
        </is>
      </c>
      <c r="B1742" s="13" t="n">
        <v>528000262</v>
      </c>
      <c r="C1742" s="13" t="inlineStr">
        <is>
          <t>Ndari Dwiwanti</t>
        </is>
      </c>
      <c r="D1742" s="13" t="inlineStr">
        <is>
          <t>PROD</t>
        </is>
      </c>
      <c r="E1742" s="13" t="inlineStr">
        <is>
          <t>Produksi Harian</t>
        </is>
      </c>
      <c r="F1742" s="170" t="n">
        <v>46225.65115740741</v>
      </c>
      <c r="G1742" s="13" t="inlineStr">
        <is>
          <t>FREE</t>
        </is>
      </c>
      <c r="H1742" s="170" t="n">
        <v>46226.00277777778</v>
      </c>
    </row>
    <row r="1743">
      <c r="A1743" s="13" t="inlineStr">
        <is>
          <t>MK00249</t>
        </is>
      </c>
      <c r="B1743" s="13" t="n">
        <v>528000358</v>
      </c>
      <c r="C1743" s="13" t="inlineStr">
        <is>
          <t>Lulu Agustin</t>
        </is>
      </c>
      <c r="D1743" s="13" t="inlineStr">
        <is>
          <t>PROD</t>
        </is>
      </c>
      <c r="E1743" s="13" t="inlineStr">
        <is>
          <t>Produksi Harian</t>
        </is>
      </c>
      <c r="F1743" s="170" t="n">
        <v>46225.6516087963</v>
      </c>
      <c r="G1743" s="13" t="inlineStr">
        <is>
          <t>FREE</t>
        </is>
      </c>
      <c r="H1743" s="170" t="n">
        <v>46226.00234953704</v>
      </c>
    </row>
    <row r="1744">
      <c r="A1744" s="13" t="inlineStr">
        <is>
          <t>MK00235</t>
        </is>
      </c>
      <c r="B1744" s="13" t="n">
        <v>528000306</v>
      </c>
      <c r="C1744" s="13" t="inlineStr">
        <is>
          <t>Windy Olivia</t>
        </is>
      </c>
      <c r="D1744" s="13" t="inlineStr">
        <is>
          <t>PROD</t>
        </is>
      </c>
      <c r="E1744" s="13" t="inlineStr">
        <is>
          <t>Produksi Harian</t>
        </is>
      </c>
      <c r="F1744" s="170" t="n">
        <v>46225.653125</v>
      </c>
      <c r="G1744" s="13" t="inlineStr">
        <is>
          <t>FREE</t>
        </is>
      </c>
      <c r="H1744" s="170" t="n">
        <v>46226.00297453703</v>
      </c>
    </row>
    <row r="1745">
      <c r="A1745" s="13" t="inlineStr">
        <is>
          <t>MK00113</t>
        </is>
      </c>
      <c r="B1745" s="13" t="n">
        <v>528000328</v>
      </c>
      <c r="C1745" s="13" t="inlineStr">
        <is>
          <t>Nur Anjani</t>
        </is>
      </c>
      <c r="D1745" s="13" t="inlineStr">
        <is>
          <t>PROD</t>
        </is>
      </c>
      <c r="E1745" s="13" t="inlineStr">
        <is>
          <t>Produksi Harian</t>
        </is>
      </c>
      <c r="F1745" s="170" t="n">
        <v>46225.65524305555</v>
      </c>
      <c r="G1745" s="13" t="inlineStr">
        <is>
          <t>FREE</t>
        </is>
      </c>
      <c r="H1745" s="170" t="n">
        <v>46226.00361111111</v>
      </c>
    </row>
    <row r="1746">
      <c r="A1746" s="13" t="inlineStr">
        <is>
          <t>MK0088</t>
        </is>
      </c>
      <c r="B1746" s="13" t="n">
        <v>528000266</v>
      </c>
      <c r="C1746" s="13" t="inlineStr">
        <is>
          <t>M. Syirajatieq</t>
        </is>
      </c>
      <c r="D1746" s="13" t="inlineStr">
        <is>
          <t>LOG</t>
        </is>
      </c>
      <c r="E1746" s="13" t="inlineStr">
        <is>
          <t>WFG Harian</t>
        </is>
      </c>
      <c r="F1746" s="170" t="n">
        <v>46225.65736111111</v>
      </c>
      <c r="G1746" s="13" t="inlineStr">
        <is>
          <t>FREE</t>
        </is>
      </c>
      <c r="H1746" s="170" t="n">
        <v>46226.06476851852</v>
      </c>
    </row>
    <row r="1747">
      <c r="A1747" s="13" t="inlineStr">
        <is>
          <t>MK00181</t>
        </is>
      </c>
      <c r="B1747" s="13" t="n">
        <v>528000195</v>
      </c>
      <c r="C1747" s="13" t="inlineStr">
        <is>
          <t>Rahma Sariwati</t>
        </is>
      </c>
      <c r="D1747" s="13" t="inlineStr">
        <is>
          <t>PROD</t>
        </is>
      </c>
      <c r="E1747" s="13" t="inlineStr">
        <is>
          <t>Produksi Harian</t>
        </is>
      </c>
      <c r="F1747" s="170" t="n">
        <v>46225.65836805556</v>
      </c>
      <c r="G1747" s="13" t="inlineStr">
        <is>
          <t>FREE</t>
        </is>
      </c>
      <c r="H1747" s="170" t="n">
        <v>46226.00283564815</v>
      </c>
    </row>
    <row r="1748">
      <c r="A1748" s="13" t="inlineStr">
        <is>
          <t>MK00250</t>
        </is>
      </c>
      <c r="B1748" s="13" t="n">
        <v>528000261</v>
      </c>
      <c r="C1748" s="13" t="inlineStr">
        <is>
          <t>Ergi Ergianto</t>
        </is>
      </c>
      <c r="D1748" s="13" t="inlineStr">
        <is>
          <t>HRGA</t>
        </is>
      </c>
      <c r="E1748" s="13" t="inlineStr">
        <is>
          <t>GA Harian</t>
        </is>
      </c>
      <c r="F1748" s="170" t="n">
        <v>46225.6590162037</v>
      </c>
      <c r="G1748" s="13" t="inlineStr">
        <is>
          <t>FREE</t>
        </is>
      </c>
      <c r="H1748" s="170" t="n">
        <v>46226.00143518519</v>
      </c>
    </row>
    <row r="1749">
      <c r="A1749" s="13" t="inlineStr">
        <is>
          <t>MK00008</t>
        </is>
      </c>
      <c r="B1749" s="13" t="n">
        <v>528000291</v>
      </c>
      <c r="C1749" s="13" t="inlineStr">
        <is>
          <t>Andrian</t>
        </is>
      </c>
      <c r="D1749" s="13" t="inlineStr">
        <is>
          <t>PROD</t>
        </is>
      </c>
      <c r="E1749" s="13" t="inlineStr">
        <is>
          <t>Produksi Harian</t>
        </is>
      </c>
      <c r="F1749" s="170" t="n">
        <v>46225.65923611111</v>
      </c>
      <c r="G1749" s="13" t="inlineStr">
        <is>
          <t>FREE</t>
        </is>
      </c>
      <c r="H1749" s="170" t="n">
        <v>46226.00131944445</v>
      </c>
    </row>
    <row r="1750">
      <c r="A1750" s="13" t="inlineStr">
        <is>
          <t>MK00185</t>
        </is>
      </c>
      <c r="B1750" s="13" t="n">
        <v>528000336</v>
      </c>
      <c r="C1750" s="13" t="inlineStr">
        <is>
          <t>Ali Nurhanafi</t>
        </is>
      </c>
      <c r="D1750" s="13" t="inlineStr">
        <is>
          <t>PROD</t>
        </is>
      </c>
      <c r="E1750" s="13" t="inlineStr">
        <is>
          <t>Produksi Harian</t>
        </is>
      </c>
      <c r="F1750" s="170" t="n">
        <v>46225.6593287037</v>
      </c>
      <c r="G1750" s="13" t="inlineStr">
        <is>
          <t>FREE</t>
        </is>
      </c>
      <c r="H1750" s="170" t="n">
        <v>46226.0050462963</v>
      </c>
    </row>
    <row r="1751">
      <c r="A1751" s="13" t="inlineStr">
        <is>
          <t>MK00121</t>
        </is>
      </c>
      <c r="B1751" s="13" t="n">
        <v>528000283</v>
      </c>
      <c r="C1751" s="13" t="inlineStr">
        <is>
          <t>Purwanda Sugiri</t>
        </is>
      </c>
      <c r="D1751" s="13" t="inlineStr">
        <is>
          <t>LOG</t>
        </is>
      </c>
      <c r="E1751" s="13" t="inlineStr">
        <is>
          <t>WRM Harian</t>
        </is>
      </c>
      <c r="F1751" s="170" t="n">
        <v>46225.65956018519</v>
      </c>
      <c r="G1751" s="13" t="inlineStr">
        <is>
          <t>FREE</t>
        </is>
      </c>
      <c r="H1751" s="170" t="n">
        <v>46226.00128472222</v>
      </c>
    </row>
    <row r="1752">
      <c r="A1752" s="13" t="inlineStr">
        <is>
          <t>MK00218</t>
        </is>
      </c>
      <c r="B1752" s="13" t="n">
        <v>528000282</v>
      </c>
      <c r="C1752" s="13" t="inlineStr">
        <is>
          <t>Defa Desfiana</t>
        </is>
      </c>
      <c r="D1752" s="13" t="inlineStr">
        <is>
          <t>PROD</t>
        </is>
      </c>
      <c r="E1752" s="13" t="inlineStr">
        <is>
          <t>Produksi Harian</t>
        </is>
      </c>
      <c r="F1752" s="170" t="n">
        <v>46225.7328587963</v>
      </c>
      <c r="G1752" s="13" t="inlineStr">
        <is>
          <t>FREE</t>
        </is>
      </c>
      <c r="H1752" s="170" t="n">
        <v>46226.08413194444</v>
      </c>
    </row>
    <row r="1753">
      <c r="A1753" s="13" t="inlineStr">
        <is>
          <t>MK00184</t>
        </is>
      </c>
      <c r="B1753" s="13" t="n">
        <v>528000265</v>
      </c>
      <c r="C1753" s="13" t="inlineStr">
        <is>
          <t>Muhammad Haerul Rozikin</t>
        </is>
      </c>
      <c r="D1753" s="13" t="inlineStr">
        <is>
          <t>LOG</t>
        </is>
      </c>
      <c r="E1753" s="13" t="inlineStr">
        <is>
          <t>WRM Harian</t>
        </is>
      </c>
      <c r="F1753" s="170" t="n">
        <v>46225.73569444445</v>
      </c>
      <c r="G1753" s="13" t="inlineStr">
        <is>
          <t>FREE</t>
        </is>
      </c>
      <c r="H1753" s="170" t="n">
        <v>46226.08604166667</v>
      </c>
    </row>
    <row r="1754">
      <c r="A1754" s="13" t="inlineStr">
        <is>
          <t>MK00090</t>
        </is>
      </c>
      <c r="B1754" s="13" t="n">
        <v>528000310</v>
      </c>
      <c r="C1754" s="13" t="inlineStr">
        <is>
          <t>Fachrul Rozzi Suryana</t>
        </is>
      </c>
      <c r="D1754" s="13" t="inlineStr">
        <is>
          <t>LOG</t>
        </is>
      </c>
      <c r="E1754" s="13" t="inlineStr">
        <is>
          <t>WRM Harian</t>
        </is>
      </c>
      <c r="F1754" s="170" t="n">
        <v>46225.74768518518</v>
      </c>
      <c r="G1754" s="13" t="inlineStr">
        <is>
          <t>FREE</t>
        </is>
      </c>
      <c r="H1754" s="170" t="n">
        <v>46226.08381944444</v>
      </c>
    </row>
    <row r="1755">
      <c r="A1755" s="13" t="inlineStr">
        <is>
          <t>MK00156</t>
        </is>
      </c>
      <c r="B1755" s="13" t="n">
        <v>528000351</v>
      </c>
      <c r="C1755" s="13" t="inlineStr">
        <is>
          <t>Mulyana</t>
        </is>
      </c>
      <c r="D1755" s="13" t="inlineStr">
        <is>
          <t>PROD</t>
        </is>
      </c>
      <c r="E1755" s="13" t="inlineStr">
        <is>
          <t>Produksi Harian</t>
        </is>
      </c>
      <c r="F1755" s="170" t="n">
        <v>46225.75748842592</v>
      </c>
      <c r="G1755" s="13" t="inlineStr">
        <is>
          <t>FREE</t>
        </is>
      </c>
      <c r="H1755" s="170" t="n">
        <v>46226.08347222222</v>
      </c>
    </row>
    <row r="1756">
      <c r="A1756" s="13" t="inlineStr">
        <is>
          <t>MK0130</t>
        </is>
      </c>
      <c r="B1756" s="13" t="n">
        <v>528000149</v>
      </c>
      <c r="C1756" s="13" t="inlineStr">
        <is>
          <t>Tio Fernanda</t>
        </is>
      </c>
      <c r="D1756" s="13" t="inlineStr">
        <is>
          <t>LOG</t>
        </is>
      </c>
      <c r="E1756" s="13" t="inlineStr">
        <is>
          <t>WRM Harian</t>
        </is>
      </c>
      <c r="F1756" s="170" t="n">
        <v>46225.77608796296</v>
      </c>
      <c r="G1756" s="13" t="inlineStr">
        <is>
          <t>FREE</t>
        </is>
      </c>
      <c r="H1756" s="170" t="n">
        <v>46226.14071759259</v>
      </c>
    </row>
    <row r="1757">
      <c r="A1757" s="13" t="inlineStr">
        <is>
          <t>MK00205</t>
        </is>
      </c>
      <c r="B1757" s="13" t="n">
        <v>528000348</v>
      </c>
      <c r="C1757" s="13" t="inlineStr">
        <is>
          <t>Saepuloh Ardiansah</t>
        </is>
      </c>
      <c r="D1757" s="13" t="inlineStr">
        <is>
          <t>LOG</t>
        </is>
      </c>
      <c r="E1757" s="13" t="inlineStr">
        <is>
          <t>WRM Harian</t>
        </is>
      </c>
      <c r="F1757" s="170" t="n">
        <v>46225.78405092593</v>
      </c>
      <c r="G1757" s="13" t="inlineStr">
        <is>
          <t>FREE</t>
        </is>
      </c>
      <c r="H1757" s="170" t="n">
        <v>46226.14065972222</v>
      </c>
    </row>
    <row r="1758">
      <c r="A1758" s="13" t="inlineStr">
        <is>
          <t>MK00141</t>
        </is>
      </c>
      <c r="B1758" s="13" t="n">
        <v>528000040</v>
      </c>
      <c r="C1758" s="13" t="inlineStr">
        <is>
          <t>Agus Suryaman</t>
        </is>
      </c>
      <c r="D1758" s="13" t="inlineStr">
        <is>
          <t>PROD</t>
        </is>
      </c>
      <c r="E1758" s="13" t="inlineStr">
        <is>
          <t>Produksi Harian</t>
        </is>
      </c>
      <c r="F1758" s="170" t="n">
        <v>46225.78921296296</v>
      </c>
      <c r="G1758" s="13" t="inlineStr">
        <is>
          <t>FREE</t>
        </is>
      </c>
      <c r="H1758" s="170" t="n">
        <v>46226.12592592592</v>
      </c>
    </row>
    <row r="1759">
      <c r="A1759" s="13" t="inlineStr">
        <is>
          <t>MK00160</t>
        </is>
      </c>
      <c r="B1759" s="13" t="n">
        <v>528000349</v>
      </c>
      <c r="C1759" s="13" t="inlineStr">
        <is>
          <t>Anas Abdul Fatah</t>
        </is>
      </c>
      <c r="D1759" s="13" t="inlineStr">
        <is>
          <t>LOG</t>
        </is>
      </c>
      <c r="E1759" s="13" t="inlineStr">
        <is>
          <t>WFG Harian</t>
        </is>
      </c>
      <c r="F1759" s="170" t="n">
        <v>46225.82296296296</v>
      </c>
      <c r="G1759" s="13" t="inlineStr">
        <is>
          <t>FREE</t>
        </is>
      </c>
      <c r="H1759" s="170" t="n">
        <v>46226.17451388889</v>
      </c>
    </row>
    <row r="1760">
      <c r="A1760" s="13" t="inlineStr">
        <is>
          <t>MK00093</t>
        </is>
      </c>
      <c r="B1760" s="13" t="n">
        <v>528000267</v>
      </c>
      <c r="C1760" s="13" t="inlineStr">
        <is>
          <t>Bagas Patulloh</t>
        </is>
      </c>
      <c r="D1760" s="13" t="inlineStr">
        <is>
          <t>LOG</t>
        </is>
      </c>
      <c r="E1760" s="13" t="inlineStr">
        <is>
          <t>WRM Harian</t>
        </is>
      </c>
      <c r="F1760" s="170" t="n">
        <v>46225.90127314815</v>
      </c>
      <c r="G1760" s="13" t="inlineStr">
        <is>
          <t>FREE</t>
        </is>
      </c>
      <c r="H1760" s="170" t="n">
        <v>46226.14254629629</v>
      </c>
    </row>
    <row r="1761">
      <c r="A1761" s="13" t="inlineStr">
        <is>
          <t>MK00085</t>
        </is>
      </c>
      <c r="B1761" s="13" t="n">
        <v>528000313</v>
      </c>
      <c r="C1761" s="13" t="inlineStr">
        <is>
          <t>Muhamad Rifki</t>
        </is>
      </c>
      <c r="D1761" s="13" t="inlineStr">
        <is>
          <t>PROD</t>
        </is>
      </c>
      <c r="E1761" s="13" t="inlineStr">
        <is>
          <t>Produksi Harian</t>
        </is>
      </c>
      <c r="F1761" s="170" t="n">
        <v>46225.98030092593</v>
      </c>
      <c r="G1761" s="13" t="inlineStr">
        <is>
          <t>FREE</t>
        </is>
      </c>
      <c r="H1761" s="170" t="n">
        <v>46226.33586805555</v>
      </c>
    </row>
    <row r="1762">
      <c r="A1762" s="13" t="inlineStr">
        <is>
          <t>MK00217</t>
        </is>
      </c>
      <c r="B1762" s="13" t="n">
        <v>528000340</v>
      </c>
      <c r="C1762" s="13" t="inlineStr">
        <is>
          <t>Muhammad Wildan Adithya</t>
        </is>
      </c>
      <c r="D1762" s="13" t="inlineStr">
        <is>
          <t>PROD</t>
        </is>
      </c>
      <c r="E1762" s="13" t="inlineStr">
        <is>
          <t>Produksi Harian</t>
        </is>
      </c>
      <c r="F1762" s="170" t="n">
        <v>46225.98231481481</v>
      </c>
      <c r="G1762" s="13" t="inlineStr">
        <is>
          <t>FREE</t>
        </is>
      </c>
      <c r="H1762" s="170" t="n">
        <v>46226.36099537037</v>
      </c>
    </row>
    <row r="1763">
      <c r="A1763" s="13" t="inlineStr">
        <is>
          <t>MK00213</t>
        </is>
      </c>
      <c r="B1763" s="13" t="n">
        <v>528000015</v>
      </c>
      <c r="C1763" s="13" t="inlineStr">
        <is>
          <t>Erwin</t>
        </is>
      </c>
      <c r="D1763" s="13" t="inlineStr">
        <is>
          <t>LOG</t>
        </is>
      </c>
      <c r="E1763" s="13" t="inlineStr">
        <is>
          <t>WRM Harian</t>
        </is>
      </c>
      <c r="F1763" s="170" t="n">
        <v>46225.98347222222</v>
      </c>
      <c r="G1763" s="13" t="inlineStr">
        <is>
          <t>FREE</t>
        </is>
      </c>
      <c r="H1763" s="170" t="n">
        <v>46226.35334490741</v>
      </c>
    </row>
    <row r="1764">
      <c r="A1764" s="13" t="inlineStr">
        <is>
          <t>MK00145</t>
        </is>
      </c>
      <c r="B1764" s="13" t="n">
        <v>528000298</v>
      </c>
      <c r="C1764" s="13" t="inlineStr">
        <is>
          <t>Desta Cahaya Pratama</t>
        </is>
      </c>
      <c r="D1764" s="13" t="inlineStr">
        <is>
          <t>PROD</t>
        </is>
      </c>
      <c r="E1764" s="13" t="inlineStr">
        <is>
          <t>Produksi Harian</t>
        </is>
      </c>
      <c r="F1764" s="170" t="n">
        <v>46225.98564814815</v>
      </c>
      <c r="G1764" s="13" t="inlineStr">
        <is>
          <t>FREE</t>
        </is>
      </c>
      <c r="H1764" s="170" t="n">
        <v>46226.33928240741</v>
      </c>
    </row>
    <row r="1765">
      <c r="A1765" s="13" t="inlineStr">
        <is>
          <t>MK00212</t>
        </is>
      </c>
      <c r="B1765" s="13" t="n">
        <v>528000361</v>
      </c>
      <c r="C1765" s="13" t="inlineStr">
        <is>
          <t>Denada Munggarani</t>
        </is>
      </c>
      <c r="D1765" s="13" t="inlineStr">
        <is>
          <t>PROD</t>
        </is>
      </c>
      <c r="E1765" s="13" t="inlineStr">
        <is>
          <t>Produksi Harian</t>
        </is>
      </c>
      <c r="F1765" s="170" t="n">
        <v>46225.98657407407</v>
      </c>
      <c r="G1765" s="13" t="inlineStr">
        <is>
          <t>FREE</t>
        </is>
      </c>
      <c r="H1765" s="170" t="n">
        <v>46226.33467592593</v>
      </c>
    </row>
    <row r="1766">
      <c r="A1766" s="13" t="inlineStr">
        <is>
          <t>MK00082</t>
        </is>
      </c>
      <c r="B1766" s="13" t="n">
        <v>528000305</v>
      </c>
      <c r="C1766" s="13" t="inlineStr">
        <is>
          <t>Puji Puspita</t>
        </is>
      </c>
      <c r="D1766" s="13" t="inlineStr">
        <is>
          <t>PROD</t>
        </is>
      </c>
      <c r="E1766" s="13" t="inlineStr">
        <is>
          <t>Produksi Harian</t>
        </is>
      </c>
      <c r="F1766" s="170" t="n">
        <v>46225.98780092593</v>
      </c>
      <c r="G1766" s="13" t="inlineStr">
        <is>
          <t>FREE</t>
        </is>
      </c>
      <c r="H1766" s="170" t="n">
        <v>46226.33490740741</v>
      </c>
    </row>
    <row r="1767">
      <c r="A1767" s="13" t="inlineStr">
        <is>
          <t>MK00230</t>
        </is>
      </c>
      <c r="B1767" s="13" t="n">
        <v>528000270</v>
      </c>
      <c r="C1767" s="13" t="inlineStr">
        <is>
          <t>Febri Najmudin</t>
        </is>
      </c>
      <c r="D1767" s="13" t="inlineStr">
        <is>
          <t>LOG</t>
        </is>
      </c>
      <c r="E1767" s="13" t="inlineStr">
        <is>
          <t>WRM Harian</t>
        </is>
      </c>
      <c r="F1767" s="170" t="n">
        <v>46225.98876157407</v>
      </c>
      <c r="G1767" s="13" t="inlineStr">
        <is>
          <t>FREE</t>
        </is>
      </c>
      <c r="H1767" s="170" t="n">
        <v>46226.34601851852</v>
      </c>
    </row>
    <row r="1768">
      <c r="A1768" s="13" t="inlineStr">
        <is>
          <t>MH00108</t>
        </is>
      </c>
      <c r="B1768" s="13" t="n">
        <v>528000302</v>
      </c>
      <c r="C1768" s="13" t="inlineStr">
        <is>
          <t>Henkey gumilar</t>
        </is>
      </c>
      <c r="D1768" s="13" t="inlineStr">
        <is>
          <t>PROD</t>
        </is>
      </c>
      <c r="E1768" s="13" t="inlineStr">
        <is>
          <t>Produksi Harian</t>
        </is>
      </c>
      <c r="F1768" s="170" t="n">
        <v>46225.98958333334</v>
      </c>
      <c r="G1768" s="13" t="inlineStr">
        <is>
          <t>FREE</t>
        </is>
      </c>
      <c r="H1768" s="170" t="n">
        <v>46226.98645833333</v>
      </c>
    </row>
    <row r="1769">
      <c r="A1769" s="13" t="inlineStr">
        <is>
          <t>MK00208</t>
        </is>
      </c>
      <c r="B1769" s="13" t="n">
        <v>528000299</v>
      </c>
      <c r="C1769" s="13" t="inlineStr">
        <is>
          <t>Siti Nurjanah</t>
        </is>
      </c>
      <c r="D1769" s="13" t="inlineStr">
        <is>
          <t>PROD</t>
        </is>
      </c>
      <c r="E1769" s="13" t="inlineStr">
        <is>
          <t>Produksi Harian</t>
        </is>
      </c>
      <c r="F1769" s="170" t="n">
        <v>46225.99096064815</v>
      </c>
      <c r="G1769" s="13" t="inlineStr">
        <is>
          <t>FREE</t>
        </is>
      </c>
      <c r="H1769" s="170" t="n">
        <v>46226.33627314815</v>
      </c>
    </row>
    <row r="1770">
      <c r="A1770" s="13" t="inlineStr">
        <is>
          <t>MK00136</t>
        </is>
      </c>
      <c r="B1770" s="13" t="n">
        <v>528000318</v>
      </c>
      <c r="C1770" s="13" t="inlineStr">
        <is>
          <t>Bayu Padli Sepriyana</t>
        </is>
      </c>
      <c r="D1770" s="13" t="inlineStr">
        <is>
          <t>LOG</t>
        </is>
      </c>
      <c r="E1770" s="13" t="inlineStr">
        <is>
          <t>WRM Harian</t>
        </is>
      </c>
      <c r="F1770" s="170" t="n">
        <v>46225.99170138889</v>
      </c>
      <c r="G1770" s="13" t="inlineStr">
        <is>
          <t>FREE</t>
        </is>
      </c>
      <c r="H1770" s="170" t="n">
        <v>46226.33576388889</v>
      </c>
    </row>
    <row r="1771">
      <c r="A1771" s="13" t="inlineStr">
        <is>
          <t>MK00134</t>
        </is>
      </c>
      <c r="B1771" s="13" t="n">
        <v>528000309</v>
      </c>
      <c r="C1771" s="13" t="inlineStr">
        <is>
          <t>Ilham Ramadhan</t>
        </is>
      </c>
      <c r="D1771" s="13" t="inlineStr">
        <is>
          <t>LOG</t>
        </is>
      </c>
      <c r="E1771" s="13" t="inlineStr">
        <is>
          <t>WRM Harian</t>
        </is>
      </c>
      <c r="F1771" s="170" t="n">
        <v>46225.99681712963</v>
      </c>
      <c r="G1771" s="13" t="inlineStr">
        <is>
          <t>FREE</t>
        </is>
      </c>
      <c r="H1771" s="170" t="n">
        <v>46226.33586805555</v>
      </c>
    </row>
    <row r="1772">
      <c r="A1772" s="13" t="inlineStr">
        <is>
          <t>MK00220</t>
        </is>
      </c>
      <c r="B1772" s="13" t="n">
        <v>528000322</v>
      </c>
      <c r="C1772" s="13" t="inlineStr">
        <is>
          <t>Muhamad Aliludin</t>
        </is>
      </c>
      <c r="D1772" s="13" t="inlineStr">
        <is>
          <t>PROD</t>
        </is>
      </c>
      <c r="E1772" s="13" t="inlineStr">
        <is>
          <t>Produksi Harian</t>
        </is>
      </c>
      <c r="F1772" s="170" t="n">
        <v>46226.02408564815</v>
      </c>
      <c r="G1772" s="13" t="inlineStr">
        <is>
          <t>FREE</t>
        </is>
      </c>
      <c r="H1772" s="170" t="n">
        <v>46226.32684027778</v>
      </c>
    </row>
    <row r="1773">
      <c r="A1773" s="13" t="inlineStr">
        <is>
          <t>MK00221</t>
        </is>
      </c>
      <c r="B1773" s="13" t="n">
        <v>528000144</v>
      </c>
      <c r="C1773" s="13" t="inlineStr">
        <is>
          <t>Jodi Hanafi</t>
        </is>
      </c>
      <c r="D1773" s="13" t="inlineStr">
        <is>
          <t>LOG</t>
        </is>
      </c>
      <c r="E1773" s="13" t="inlineStr">
        <is>
          <t>WRM Harian</t>
        </is>
      </c>
      <c r="F1773" s="170" t="n">
        <v>46226.06255787037</v>
      </c>
      <c r="G1773" s="13" t="inlineStr">
        <is>
          <t>FREE</t>
        </is>
      </c>
      <c r="H1773" s="170" t="n">
        <v>46226.43451388889</v>
      </c>
    </row>
    <row r="1774">
      <c r="A1774" s="13" t="inlineStr">
        <is>
          <t>MK00210</t>
        </is>
      </c>
      <c r="B1774" s="13" t="n">
        <v>528000232</v>
      </c>
      <c r="C1774" s="13" t="inlineStr">
        <is>
          <t>Agung Aji Suhada</t>
        </is>
      </c>
      <c r="D1774" s="13" t="inlineStr">
        <is>
          <t>LOG</t>
        </is>
      </c>
      <c r="E1774" s="13" t="inlineStr">
        <is>
          <t>WRM Harian</t>
        </is>
      </c>
      <c r="F1774" s="170" t="n">
        <v>46226.07097222222</v>
      </c>
      <c r="G1774" s="13" t="inlineStr">
        <is>
          <t>FREE</t>
        </is>
      </c>
      <c r="H1774" s="170" t="n">
        <v>46227.07739583333</v>
      </c>
    </row>
    <row r="1775">
      <c r="A1775" s="13" t="inlineStr">
        <is>
          <t>MK00204</t>
        </is>
      </c>
      <c r="B1775" s="13" t="n">
        <v>528000335</v>
      </c>
      <c r="C1775" s="13" t="inlineStr">
        <is>
          <t>Rizal Saepuloh</t>
        </is>
      </c>
      <c r="D1775" s="13" t="inlineStr">
        <is>
          <t>LOG</t>
        </is>
      </c>
      <c r="E1775" s="13" t="inlineStr">
        <is>
          <t>WRM Harian</t>
        </is>
      </c>
      <c r="F1775" s="170" t="n">
        <v>46226.08527777778</v>
      </c>
      <c r="G1775" s="13" t="inlineStr">
        <is>
          <t>FREE</t>
        </is>
      </c>
      <c r="H1775" s="170" t="n">
        <v>46226.41688657407</v>
      </c>
    </row>
    <row r="1776">
      <c r="A1776" s="13" t="inlineStr">
        <is>
          <t>MK00154</t>
        </is>
      </c>
      <c r="B1776" s="13" t="n">
        <v>528000324</v>
      </c>
      <c r="C1776" s="13" t="inlineStr">
        <is>
          <t>Sri Yanti</t>
        </is>
      </c>
      <c r="D1776" s="13" t="inlineStr">
        <is>
          <t>PROD</t>
        </is>
      </c>
      <c r="E1776" s="13" t="inlineStr">
        <is>
          <t>Produksi Harian</t>
        </is>
      </c>
      <c r="F1776" s="170" t="n">
        <v>46226.3095949074</v>
      </c>
      <c r="G1776" s="13" t="inlineStr">
        <is>
          <t>FREE</t>
        </is>
      </c>
      <c r="H1776" s="170" t="n">
        <v>46226.67240740741</v>
      </c>
    </row>
    <row r="1777">
      <c r="A1777" s="13" t="inlineStr">
        <is>
          <t>MK00185</t>
        </is>
      </c>
      <c r="B1777" s="13" t="n">
        <v>528000297</v>
      </c>
      <c r="C1777" s="13" t="inlineStr">
        <is>
          <t>Muhamad Budiana</t>
        </is>
      </c>
      <c r="D1777" s="13" t="inlineStr">
        <is>
          <t>PROD</t>
        </is>
      </c>
      <c r="E1777" s="13" t="inlineStr">
        <is>
          <t>Produksi Harian</t>
        </is>
      </c>
      <c r="F1777" s="170" t="n">
        <v>46226.32115740741</v>
      </c>
      <c r="G1777" s="13" t="inlineStr">
        <is>
          <t>FREE</t>
        </is>
      </c>
      <c r="H1777" s="170" t="n">
        <v>46226.70532407407</v>
      </c>
    </row>
    <row r="1778">
      <c r="A1778" s="13" t="inlineStr">
        <is>
          <t>MK00088</t>
        </is>
      </c>
      <c r="B1778" s="13" t="n">
        <v>528000248</v>
      </c>
      <c r="C1778" s="13" t="inlineStr">
        <is>
          <t>Roka Jaya Salka Mulya</t>
        </is>
      </c>
      <c r="D1778" s="13" t="inlineStr">
        <is>
          <t>PROD</t>
        </is>
      </c>
      <c r="E1778" s="13" t="inlineStr">
        <is>
          <t>Produksi Harian</t>
        </is>
      </c>
      <c r="F1778" s="170" t="n">
        <v>46226.32356481482</v>
      </c>
      <c r="G1778" s="13" t="inlineStr">
        <is>
          <t>FREE</t>
        </is>
      </c>
      <c r="H1778" s="170" t="n">
        <v>46226.66777777778</v>
      </c>
    </row>
    <row r="1779">
      <c r="A1779" s="13" t="inlineStr">
        <is>
          <t>MK00220</t>
        </is>
      </c>
      <c r="B1779" s="13" t="n">
        <v>628000064</v>
      </c>
      <c r="C1779" s="13" t="inlineStr">
        <is>
          <t>Silva Alypia</t>
        </is>
      </c>
      <c r="D1779" s="13" t="inlineStr">
        <is>
          <t>PROD</t>
        </is>
      </c>
      <c r="E1779" s="13" t="inlineStr">
        <is>
          <t>Produksi Borongan</t>
        </is>
      </c>
      <c r="F1779" s="170" t="n">
        <v>46226.32714120371</v>
      </c>
      <c r="G1779" s="13" t="inlineStr">
        <is>
          <t>FREE</t>
        </is>
      </c>
      <c r="H1779" s="170" t="n">
        <v>46226.66913194444</v>
      </c>
    </row>
    <row r="1780">
      <c r="A1780" s="13" t="inlineStr">
        <is>
          <t>MK00095</t>
        </is>
      </c>
      <c r="B1780" s="13" t="n">
        <v>528000300</v>
      </c>
      <c r="C1780" s="13" t="inlineStr">
        <is>
          <t>Lia pitaloka</t>
        </is>
      </c>
      <c r="D1780" s="13" t="inlineStr">
        <is>
          <t>PROD</t>
        </is>
      </c>
      <c r="E1780" s="13" t="inlineStr">
        <is>
          <t>Produksi Harian</t>
        </is>
      </c>
      <c r="F1780" s="170" t="n">
        <v>46226.32721064815</v>
      </c>
      <c r="G1780" s="13" t="inlineStr">
        <is>
          <t>FREE</t>
        </is>
      </c>
      <c r="H1780" s="170" t="n">
        <v>46226.66883101852</v>
      </c>
    </row>
    <row r="1781">
      <c r="A1781" s="13" t="inlineStr">
        <is>
          <t>MK00192</t>
        </is>
      </c>
      <c r="B1781" s="13" t="n">
        <v>528000279</v>
      </c>
      <c r="C1781" s="13" t="inlineStr">
        <is>
          <t>Mahdalena Dalfa Riani</t>
        </is>
      </c>
      <c r="D1781" s="13" t="inlineStr">
        <is>
          <t>PROD</t>
        </is>
      </c>
      <c r="E1781" s="13" t="inlineStr">
        <is>
          <t>Produksi Harian</t>
        </is>
      </c>
      <c r="F1781" s="170" t="n">
        <v>46226.3290625</v>
      </c>
      <c r="G1781" s="13" t="inlineStr">
        <is>
          <t>FREE</t>
        </is>
      </c>
      <c r="H1781" s="170" t="n">
        <v>46226.67113425926</v>
      </c>
    </row>
    <row r="1782">
      <c r="A1782" s="13" t="inlineStr">
        <is>
          <t>MK00143</t>
        </is>
      </c>
      <c r="B1782" s="13" t="n">
        <v>528000288</v>
      </c>
      <c r="C1782" s="13" t="inlineStr">
        <is>
          <t>Dede gunawan</t>
        </is>
      </c>
      <c r="D1782" s="13" t="inlineStr">
        <is>
          <t>PROD</t>
        </is>
      </c>
      <c r="E1782" s="13" t="inlineStr">
        <is>
          <t>Produksi Harian</t>
        </is>
      </c>
      <c r="F1782" s="170" t="n">
        <v>46226.32908564815</v>
      </c>
      <c r="G1782" s="13" t="inlineStr">
        <is>
          <t>FREE</t>
        </is>
      </c>
      <c r="H1782" s="170" t="n">
        <v>46226.67118055555</v>
      </c>
    </row>
    <row r="1783">
      <c r="A1783" s="13" t="inlineStr">
        <is>
          <t>MK00085</t>
        </is>
      </c>
      <c r="B1783" s="13" t="n">
        <v>528000313</v>
      </c>
      <c r="C1783" s="13" t="inlineStr">
        <is>
          <t>Muhamad Rifki</t>
        </is>
      </c>
      <c r="D1783" s="13" t="inlineStr">
        <is>
          <t>PROD</t>
        </is>
      </c>
      <c r="E1783" s="13" t="inlineStr">
        <is>
          <t>Produksi Harian</t>
        </is>
      </c>
      <c r="F1783" s="170" t="n">
        <v>46226.33893518519</v>
      </c>
      <c r="G1783" s="13" t="inlineStr">
        <is>
          <t>FREE</t>
        </is>
      </c>
      <c r="H1783" s="170" t="n">
        <v>46226.33918981482</v>
      </c>
    </row>
    <row r="1784">
      <c r="A1784" s="13" t="inlineStr">
        <is>
          <t>MK00230</t>
        </is>
      </c>
      <c r="B1784" s="13" t="n">
        <v>528000337</v>
      </c>
      <c r="C1784" s="13" t="inlineStr">
        <is>
          <t>Ahmad Zaldi Firdaus</t>
        </is>
      </c>
      <c r="D1784" s="13" t="inlineStr">
        <is>
          <t>PROD</t>
        </is>
      </c>
      <c r="E1784" s="13" t="inlineStr">
        <is>
          <t>Produksi Harian</t>
        </is>
      </c>
      <c r="F1784" s="170" t="n">
        <v>46226.64965277778</v>
      </c>
      <c r="G1784" s="13" t="inlineStr">
        <is>
          <t>FREE</t>
        </is>
      </c>
      <c r="H1784" s="170" t="n">
        <v>46227.00445601852</v>
      </c>
    </row>
    <row r="1785">
      <c r="A1785" s="13" t="inlineStr">
        <is>
          <t>MK00156</t>
        </is>
      </c>
      <c r="B1785" s="13" t="n">
        <v>528000052</v>
      </c>
      <c r="C1785" s="13" t="inlineStr">
        <is>
          <t>Mustopa</t>
        </is>
      </c>
      <c r="D1785" s="13" t="inlineStr">
        <is>
          <t>PROD</t>
        </is>
      </c>
      <c r="E1785" s="13" t="inlineStr">
        <is>
          <t>Produksi Harian</t>
        </is>
      </c>
      <c r="F1785" s="170" t="n">
        <v>46226.65432870371</v>
      </c>
      <c r="G1785" s="13" t="inlineStr">
        <is>
          <t>FREE</t>
        </is>
      </c>
      <c r="H1785" s="170" t="n">
        <v>46227.00261574074</v>
      </c>
    </row>
    <row r="1786">
      <c r="A1786" s="13" t="inlineStr">
        <is>
          <t>MK0217</t>
        </is>
      </c>
      <c r="B1786" s="13" t="n">
        <v>528000195</v>
      </c>
      <c r="C1786" s="13" t="inlineStr">
        <is>
          <t>Rahma Sariwati</t>
        </is>
      </c>
      <c r="D1786" s="13" t="inlineStr">
        <is>
          <t>PROD</t>
        </is>
      </c>
      <c r="E1786" s="13" t="inlineStr">
        <is>
          <t>Produksi Harian</t>
        </is>
      </c>
      <c r="F1786" s="170" t="n">
        <v>46226.65509259259</v>
      </c>
      <c r="G1786" s="13" t="inlineStr">
        <is>
          <t>FREE</t>
        </is>
      </c>
      <c r="H1786" s="170" t="n">
        <v>46227.00914351852</v>
      </c>
    </row>
    <row r="1787">
      <c r="A1787" s="13" t="inlineStr">
        <is>
          <t>MK00208</t>
        </is>
      </c>
      <c r="B1787" s="13" t="n">
        <v>528000328</v>
      </c>
      <c r="C1787" s="13" t="inlineStr">
        <is>
          <t>Nur Anjani</t>
        </is>
      </c>
      <c r="D1787" s="13" t="inlineStr">
        <is>
          <t>PROD</t>
        </is>
      </c>
      <c r="E1787" s="13" t="inlineStr">
        <is>
          <t>Produksi Harian</t>
        </is>
      </c>
      <c r="F1787" s="170" t="n">
        <v>46226.6553125</v>
      </c>
      <c r="G1787" s="13" t="inlineStr">
        <is>
          <t>FREE</t>
        </is>
      </c>
      <c r="H1787" s="170" t="n">
        <v>46227.00421296297</v>
      </c>
    </row>
    <row r="1788">
      <c r="A1788" s="13" t="inlineStr">
        <is>
          <t>MK00108</t>
        </is>
      </c>
      <c r="B1788" s="13" t="n">
        <v>528000261</v>
      </c>
      <c r="C1788" s="13" t="inlineStr">
        <is>
          <t>Ergi Ergianto</t>
        </is>
      </c>
      <c r="D1788" s="13" t="inlineStr">
        <is>
          <t>HRGA</t>
        </is>
      </c>
      <c r="E1788" s="13" t="inlineStr">
        <is>
          <t>GA Harian</t>
        </is>
      </c>
      <c r="F1788" s="170" t="n">
        <v>46226.65643518518</v>
      </c>
      <c r="G1788" s="13" t="inlineStr">
        <is>
          <t>FREE</t>
        </is>
      </c>
      <c r="H1788" s="170" t="n">
        <v>46227.00329861111</v>
      </c>
    </row>
    <row r="1789">
      <c r="A1789" s="13" t="inlineStr">
        <is>
          <t>MK00085</t>
        </is>
      </c>
      <c r="B1789" s="13" t="n">
        <v>528000306</v>
      </c>
      <c r="C1789" s="13" t="inlineStr">
        <is>
          <t>Windy Olivia</t>
        </is>
      </c>
      <c r="D1789" s="13" t="inlineStr">
        <is>
          <t>PROD</t>
        </is>
      </c>
      <c r="E1789" s="13" t="inlineStr">
        <is>
          <t>Produksi Harian</t>
        </is>
      </c>
      <c r="F1789" s="170" t="n">
        <v>46226.65659722222</v>
      </c>
      <c r="G1789" s="13" t="inlineStr">
        <is>
          <t>FREE</t>
        </is>
      </c>
      <c r="H1789" s="170" t="n">
        <v>46227.00254629629</v>
      </c>
    </row>
    <row r="1790">
      <c r="A1790" s="13" t="inlineStr">
        <is>
          <t>MK00112</t>
        </is>
      </c>
      <c r="B1790" s="13" t="n">
        <v>528000266</v>
      </c>
      <c r="C1790" s="13" t="inlineStr">
        <is>
          <t>M. Syirajatieq</t>
        </is>
      </c>
      <c r="D1790" s="13" t="inlineStr">
        <is>
          <t>LOG</t>
        </is>
      </c>
      <c r="E1790" s="13" t="inlineStr">
        <is>
          <t>WFG Harian</t>
        </is>
      </c>
      <c r="F1790" s="170" t="n">
        <v>46226.65815972222</v>
      </c>
      <c r="G1790" s="13" t="inlineStr">
        <is>
          <t>FREE</t>
        </is>
      </c>
      <c r="H1790" s="170" t="n">
        <v>46227.01971064815</v>
      </c>
    </row>
    <row r="1791">
      <c r="A1791" s="13" t="inlineStr">
        <is>
          <t>MK00082</t>
        </is>
      </c>
      <c r="B1791" s="13" t="n">
        <v>528000358</v>
      </c>
      <c r="C1791" s="13" t="inlineStr">
        <is>
          <t>Lulu Agustin</t>
        </is>
      </c>
      <c r="D1791" s="13" t="inlineStr">
        <is>
          <t>PROD</t>
        </is>
      </c>
      <c r="E1791" s="13" t="inlineStr">
        <is>
          <t>Produksi Harian</t>
        </is>
      </c>
      <c r="F1791" s="170" t="n">
        <v>46226.65965277778</v>
      </c>
      <c r="G1791" s="13" t="inlineStr">
        <is>
          <t>FREE</t>
        </is>
      </c>
      <c r="H1791" s="170" t="n">
        <v>46227.00336805556</v>
      </c>
    </row>
    <row r="1792">
      <c r="A1792" s="13" t="inlineStr">
        <is>
          <t>MK00136</t>
        </is>
      </c>
      <c r="B1792" s="13" t="n">
        <v>528000262</v>
      </c>
      <c r="C1792" s="13" t="inlineStr">
        <is>
          <t>Ndari Dwiwanti</t>
        </is>
      </c>
      <c r="D1792" s="13" t="inlineStr">
        <is>
          <t>PROD</t>
        </is>
      </c>
      <c r="E1792" s="13" t="inlineStr">
        <is>
          <t>Produksi Harian</t>
        </is>
      </c>
      <c r="F1792" s="170" t="n">
        <v>46226.65987268519</v>
      </c>
      <c r="G1792" s="13" t="inlineStr">
        <is>
          <t>FREE</t>
        </is>
      </c>
      <c r="H1792" s="170" t="n">
        <v>46227.00274305556</v>
      </c>
    </row>
    <row r="1793">
      <c r="A1793" s="13" t="inlineStr">
        <is>
          <t>MK00250</t>
        </is>
      </c>
      <c r="B1793" s="13" t="n">
        <v>528000291</v>
      </c>
      <c r="C1793" s="13" t="inlineStr">
        <is>
          <t>Andrian</t>
        </is>
      </c>
      <c r="D1793" s="13" t="inlineStr">
        <is>
          <t>PROD</t>
        </is>
      </c>
      <c r="E1793" s="13" t="inlineStr">
        <is>
          <t>Produksi Harian</t>
        </is>
      </c>
      <c r="F1793" s="170" t="n">
        <v>46226.66152777777</v>
      </c>
      <c r="G1793" s="13" t="inlineStr">
        <is>
          <t>FREE</t>
        </is>
      </c>
      <c r="H1793" s="170" t="n">
        <v>46227.00309027778</v>
      </c>
    </row>
    <row r="1794">
      <c r="A1794" s="13" t="inlineStr">
        <is>
          <t>MK00218</t>
        </is>
      </c>
      <c r="B1794" s="13" t="n">
        <v>528000283</v>
      </c>
      <c r="C1794" s="13" t="inlineStr">
        <is>
          <t>Purwanda Sugiri</t>
        </is>
      </c>
      <c r="D1794" s="13" t="inlineStr">
        <is>
          <t>LOG</t>
        </is>
      </c>
      <c r="E1794" s="13" t="inlineStr">
        <is>
          <t>WRM Harian</t>
        </is>
      </c>
      <c r="F1794" s="170" t="n">
        <v>46226.66273148148</v>
      </c>
      <c r="G1794" s="13" t="inlineStr">
        <is>
          <t>FREE</t>
        </is>
      </c>
      <c r="H1794" s="170" t="n">
        <v>46227.66349537037</v>
      </c>
    </row>
    <row r="1795">
      <c r="A1795" s="13" t="inlineStr">
        <is>
          <t>MK00125</t>
        </is>
      </c>
      <c r="B1795" s="13" t="n">
        <v>528000314</v>
      </c>
      <c r="C1795" s="13" t="inlineStr">
        <is>
          <t>Rusmana</t>
        </is>
      </c>
      <c r="D1795" s="13" t="inlineStr">
        <is>
          <t>PROD</t>
        </is>
      </c>
      <c r="E1795" s="13" t="inlineStr">
        <is>
          <t>Produksi Harian</t>
        </is>
      </c>
      <c r="F1795" s="170" t="n">
        <v>46226.66399305555</v>
      </c>
      <c r="G1795" s="13" t="inlineStr">
        <is>
          <t>FREE</t>
        </is>
      </c>
      <c r="H1795" s="170" t="n">
        <v>46227.66155092593</v>
      </c>
    </row>
    <row r="1796">
      <c r="A1796" s="13" t="inlineStr">
        <is>
          <t>MK00185</t>
        </is>
      </c>
      <c r="B1796" s="13" t="n">
        <v>528000282</v>
      </c>
      <c r="C1796" s="13" t="inlineStr">
        <is>
          <t>Defa Desfiana</t>
        </is>
      </c>
      <c r="D1796" s="13" t="inlineStr">
        <is>
          <t>PROD</t>
        </is>
      </c>
      <c r="E1796" s="13" t="inlineStr">
        <is>
          <t>Produksi Harian</t>
        </is>
      </c>
      <c r="F1796" s="170" t="n">
        <v>46226.73289351852</v>
      </c>
      <c r="G1796" s="13" t="inlineStr">
        <is>
          <t>FREE</t>
        </is>
      </c>
      <c r="H1796" s="170" t="n">
        <v>46227.09376157408</v>
      </c>
    </row>
    <row r="1797">
      <c r="A1797" s="13" t="inlineStr">
        <is>
          <t>MK00160</t>
        </is>
      </c>
      <c r="B1797" s="13" t="n">
        <v>528000265</v>
      </c>
      <c r="C1797" s="13" t="inlineStr">
        <is>
          <t>Muhammad Haerul Rozikin</t>
        </is>
      </c>
      <c r="D1797" s="13" t="inlineStr">
        <is>
          <t>LOG</t>
        </is>
      </c>
      <c r="E1797" s="13" t="inlineStr">
        <is>
          <t>WRM Harian</t>
        </is>
      </c>
      <c r="F1797" s="170" t="n">
        <v>46226.7390625</v>
      </c>
      <c r="G1797" s="13" t="inlineStr">
        <is>
          <t>FREE</t>
        </is>
      </c>
      <c r="H1797" s="170" t="n">
        <v>46227.0884375</v>
      </c>
    </row>
    <row r="1798">
      <c r="A1798" s="13" t="inlineStr">
        <is>
          <t>MK00121</t>
        </is>
      </c>
      <c r="B1798" s="13" t="n">
        <v>528000310</v>
      </c>
      <c r="C1798" s="13" t="inlineStr">
        <is>
          <t>Fachrul Rozzi Suryana</t>
        </is>
      </c>
      <c r="D1798" s="13" t="inlineStr">
        <is>
          <t>LOG</t>
        </is>
      </c>
      <c r="E1798" s="13" t="inlineStr">
        <is>
          <t>WRM Harian</t>
        </is>
      </c>
      <c r="F1798" s="170" t="n">
        <v>46226.74270833333</v>
      </c>
      <c r="G1798" s="13" t="inlineStr">
        <is>
          <t>FREE</t>
        </is>
      </c>
      <c r="H1798" s="170" t="n">
        <v>46227.08469907408</v>
      </c>
    </row>
    <row r="1799">
      <c r="A1799" s="13" t="inlineStr">
        <is>
          <t>MK00192</t>
        </is>
      </c>
      <c r="B1799" s="13" t="n">
        <v>528000351</v>
      </c>
      <c r="C1799" s="13" t="inlineStr">
        <is>
          <t>Mulyana</t>
        </is>
      </c>
      <c r="D1799" s="13" t="inlineStr">
        <is>
          <t>PROD</t>
        </is>
      </c>
      <c r="E1799" s="13" t="inlineStr">
        <is>
          <t>Produksi Harian</t>
        </is>
      </c>
      <c r="F1799" s="170" t="n">
        <v>46226.75706018518</v>
      </c>
      <c r="G1799" s="13" t="inlineStr">
        <is>
          <t>FREE</t>
        </is>
      </c>
      <c r="H1799" s="170" t="n">
        <v>46227.08429398148</v>
      </c>
    </row>
    <row r="1800">
      <c r="A1800" s="13" t="inlineStr">
        <is>
          <t>MK0130</t>
        </is>
      </c>
      <c r="B1800" s="13" t="n">
        <v>528000149</v>
      </c>
      <c r="C1800" s="13" t="inlineStr">
        <is>
          <t>Tio Fernanda</t>
        </is>
      </c>
      <c r="D1800" s="13" t="inlineStr">
        <is>
          <t>LOG</t>
        </is>
      </c>
      <c r="E1800" s="13" t="inlineStr">
        <is>
          <t>WRM Harian</t>
        </is>
      </c>
      <c r="F1800" s="170" t="n">
        <v>46226.78434027778</v>
      </c>
      <c r="G1800" s="13" t="inlineStr">
        <is>
          <t>FREE</t>
        </is>
      </c>
      <c r="H1800" s="170" t="n">
        <v>46227.13537037037</v>
      </c>
    </row>
    <row r="1801">
      <c r="A1801" s="13" t="inlineStr">
        <is>
          <t>MK00141</t>
        </is>
      </c>
      <c r="B1801" s="13" t="n">
        <v>528000040</v>
      </c>
      <c r="C1801" s="13" t="inlineStr">
        <is>
          <t>Agus Suryaman</t>
        </is>
      </c>
      <c r="D1801" s="13" t="inlineStr">
        <is>
          <t>PROD</t>
        </is>
      </c>
      <c r="E1801" s="13" t="inlineStr">
        <is>
          <t>Produksi Harian</t>
        </is>
      </c>
      <c r="F1801" s="170" t="n">
        <v>46226.78565972222</v>
      </c>
      <c r="G1801" s="13" t="inlineStr">
        <is>
          <t>FREE</t>
        </is>
      </c>
      <c r="H1801" s="170" t="n">
        <v>46227.12974537037</v>
      </c>
    </row>
    <row r="1802">
      <c r="A1802" s="13" t="inlineStr">
        <is>
          <t>MK00205</t>
        </is>
      </c>
      <c r="B1802" s="13" t="n">
        <v>528000348</v>
      </c>
      <c r="C1802" s="13" t="inlineStr">
        <is>
          <t>Saepuloh Ardiansah</t>
        </is>
      </c>
      <c r="D1802" s="13" t="inlineStr">
        <is>
          <t>LOG</t>
        </is>
      </c>
      <c r="E1802" s="13" t="inlineStr">
        <is>
          <t>WRM Harian</t>
        </is>
      </c>
      <c r="F1802" s="170" t="n">
        <v>46226.78611111111</v>
      </c>
      <c r="G1802" s="13" t="inlineStr">
        <is>
          <t>FREE</t>
        </is>
      </c>
      <c r="H1802" s="170" t="n">
        <v>46227.13613425926</v>
      </c>
    </row>
    <row r="1803">
      <c r="A1803" s="13" t="inlineStr">
        <is>
          <t>MK00209</t>
        </is>
      </c>
      <c r="B1803" s="13" t="n">
        <v>528000349</v>
      </c>
      <c r="C1803" s="13" t="inlineStr">
        <is>
          <t>Anas Abdul Fatah</t>
        </is>
      </c>
      <c r="D1803" s="13" t="inlineStr">
        <is>
          <t>LOG</t>
        </is>
      </c>
      <c r="E1803" s="13" t="inlineStr">
        <is>
          <t>WFG Harian</t>
        </is>
      </c>
      <c r="F1803" s="170" t="n">
        <v>46226.81645833333</v>
      </c>
      <c r="G1803" s="13" t="inlineStr">
        <is>
          <t>FREE</t>
        </is>
      </c>
      <c r="H1803" s="170" t="n">
        <v>46227.17496527778</v>
      </c>
    </row>
    <row r="1804">
      <c r="A1804" s="13" t="inlineStr">
        <is>
          <t>MK00113</t>
        </is>
      </c>
      <c r="B1804" s="13" t="n">
        <v>628000091</v>
      </c>
      <c r="C1804" s="13" t="inlineStr">
        <is>
          <t>Devita Handayani</t>
        </is>
      </c>
      <c r="D1804" s="13" t="inlineStr">
        <is>
          <t>PROD</t>
        </is>
      </c>
      <c r="E1804" s="13" t="inlineStr">
        <is>
          <t>Produksi Borongan</t>
        </is>
      </c>
      <c r="F1804" s="170" t="n">
        <v>46226.96832175926</v>
      </c>
      <c r="G1804" s="13" t="inlineStr">
        <is>
          <t>FREE</t>
        </is>
      </c>
      <c r="H1804" s="170" t="n">
        <v>46231.82930555556</v>
      </c>
    </row>
    <row r="1805">
      <c r="A1805" s="13" t="inlineStr">
        <is>
          <t>MK00090</t>
        </is>
      </c>
      <c r="B1805" s="13" t="n">
        <v>528000340</v>
      </c>
      <c r="C1805" s="13" t="inlineStr">
        <is>
          <t>Muhammad Wildan Adithya</t>
        </is>
      </c>
      <c r="D1805" s="13" t="inlineStr">
        <is>
          <t>PROD</t>
        </is>
      </c>
      <c r="E1805" s="13" t="inlineStr">
        <is>
          <t>Produksi Harian</t>
        </is>
      </c>
      <c r="F1805" s="170" t="n">
        <v>46226.98401620371</v>
      </c>
      <c r="G1805" s="13" t="inlineStr">
        <is>
          <t>FREE</t>
        </is>
      </c>
      <c r="H1805" s="170" t="n">
        <v>46227.33629629629</v>
      </c>
    </row>
    <row r="1806">
      <c r="A1806" s="13" t="inlineStr">
        <is>
          <t>MK00181</t>
        </is>
      </c>
      <c r="B1806" s="13" t="n">
        <v>528000313</v>
      </c>
      <c r="C1806" s="13" t="inlineStr">
        <is>
          <t>Muhamad Rifki</t>
        </is>
      </c>
      <c r="D1806" s="13" t="inlineStr">
        <is>
          <t>PROD</t>
        </is>
      </c>
      <c r="E1806" s="13" t="inlineStr">
        <is>
          <t>Produksi Harian</t>
        </is>
      </c>
      <c r="F1806" s="170" t="n">
        <v>46226.98486111111</v>
      </c>
      <c r="G1806" s="13" t="inlineStr">
        <is>
          <t>FREE</t>
        </is>
      </c>
      <c r="H1806" s="170" t="n">
        <v>46227.33775462963</v>
      </c>
    </row>
    <row r="1807">
      <c r="A1807" s="13" t="inlineStr">
        <is>
          <t>MK00184</t>
        </is>
      </c>
      <c r="B1807" s="13" t="n">
        <v>528000298</v>
      </c>
      <c r="C1807" s="13" t="inlineStr">
        <is>
          <t>Desta Cahaya Pratama</t>
        </is>
      </c>
      <c r="D1807" s="13" t="inlineStr">
        <is>
          <t>PROD</t>
        </is>
      </c>
      <c r="E1807" s="13" t="inlineStr">
        <is>
          <t>Produksi Harian</t>
        </is>
      </c>
      <c r="F1807" s="170" t="n">
        <v>46226.98505787037</v>
      </c>
      <c r="G1807" s="13" t="inlineStr">
        <is>
          <t>FREE</t>
        </is>
      </c>
      <c r="H1807" s="170" t="n">
        <v>46227.33612268518</v>
      </c>
    </row>
    <row r="1808">
      <c r="A1808" s="13" t="inlineStr">
        <is>
          <t>MK00109</t>
        </is>
      </c>
      <c r="B1808" s="13" t="n">
        <v>528000305</v>
      </c>
      <c r="C1808" s="13" t="inlineStr">
        <is>
          <t>Puji Puspita</t>
        </is>
      </c>
      <c r="D1808" s="13" t="inlineStr">
        <is>
          <t>PROD</t>
        </is>
      </c>
      <c r="E1808" s="13" t="inlineStr">
        <is>
          <t>Produksi Harian</t>
        </is>
      </c>
      <c r="F1808" s="170" t="n">
        <v>46226.98721064815</v>
      </c>
      <c r="G1808" s="13" t="inlineStr">
        <is>
          <t>FREE</t>
        </is>
      </c>
      <c r="H1808" s="170" t="n">
        <v>46227.98496527778</v>
      </c>
    </row>
    <row r="1809">
      <c r="A1809" s="13" t="inlineStr">
        <is>
          <t>MK00202</t>
        </is>
      </c>
      <c r="B1809" s="13" t="n">
        <v>528000302</v>
      </c>
      <c r="C1809" s="13" t="inlineStr">
        <is>
          <t>Henkey gumilar</t>
        </is>
      </c>
      <c r="D1809" s="13" t="inlineStr">
        <is>
          <t>PROD</t>
        </is>
      </c>
      <c r="E1809" s="13" t="inlineStr">
        <is>
          <t>Produksi Harian</t>
        </is>
      </c>
      <c r="F1809" s="170" t="n">
        <v>46226.98810185185</v>
      </c>
      <c r="G1809" s="13" t="inlineStr">
        <is>
          <t>FREE</t>
        </is>
      </c>
      <c r="H1809" s="170" t="n">
        <v>46229.331875</v>
      </c>
    </row>
    <row r="1810">
      <c r="A1810" s="13" t="inlineStr">
        <is>
          <t>MK00118</t>
        </is>
      </c>
      <c r="B1810" s="13" t="n">
        <v>528000015</v>
      </c>
      <c r="C1810" s="13" t="inlineStr">
        <is>
          <t>Erwin</t>
        </is>
      </c>
      <c r="D1810" s="13" t="inlineStr">
        <is>
          <t>LOG</t>
        </is>
      </c>
      <c r="E1810" s="13" t="inlineStr">
        <is>
          <t>WRM Harian</t>
        </is>
      </c>
      <c r="F1810" s="170" t="n">
        <v>46226.98842592593</v>
      </c>
      <c r="G1810" s="13" t="inlineStr">
        <is>
          <t>FREE</t>
        </is>
      </c>
      <c r="H1810" s="170" t="n">
        <v>46227.87668981482</v>
      </c>
    </row>
    <row r="1811">
      <c r="A1811" s="13" t="inlineStr">
        <is>
          <t>MK00055</t>
        </is>
      </c>
      <c r="B1811" s="13" t="n">
        <v>528000299</v>
      </c>
      <c r="C1811" s="13" t="inlineStr">
        <is>
          <t>Siti Nurjanah</t>
        </is>
      </c>
      <c r="D1811" s="13" t="inlineStr">
        <is>
          <t>PROD</t>
        </is>
      </c>
      <c r="E1811" s="13" t="inlineStr">
        <is>
          <t>Produksi Harian</t>
        </is>
      </c>
      <c r="F1811" s="170" t="n">
        <v>46226.98847222222</v>
      </c>
      <c r="G1811" s="13" t="inlineStr">
        <is>
          <t>FREE</t>
        </is>
      </c>
      <c r="H1811" s="170" t="n">
        <v>46227.33484953704</v>
      </c>
    </row>
    <row r="1812">
      <c r="A1812" s="13" t="inlineStr">
        <is>
          <t>MK00249</t>
        </is>
      </c>
      <c r="B1812" s="13" t="n">
        <v>528000322</v>
      </c>
      <c r="C1812" s="13" t="inlineStr">
        <is>
          <t>Muhamad Aliludin</t>
        </is>
      </c>
      <c r="D1812" s="13" t="inlineStr">
        <is>
          <t>PROD</t>
        </is>
      </c>
      <c r="E1812" s="13" t="inlineStr">
        <is>
          <t>Produksi Harian</t>
        </is>
      </c>
      <c r="F1812" s="170" t="n">
        <v>46226.98873842593</v>
      </c>
      <c r="G1812" s="13" t="inlineStr">
        <is>
          <t>FREE</t>
        </is>
      </c>
      <c r="H1812" s="170" t="n">
        <v>46227.33765046296</v>
      </c>
    </row>
    <row r="1813">
      <c r="A1813" s="13" t="inlineStr">
        <is>
          <t>MK00095</t>
        </is>
      </c>
      <c r="B1813" s="13" t="n">
        <v>528000361</v>
      </c>
      <c r="C1813" s="13" t="inlineStr">
        <is>
          <t>Denada Munggarani</t>
        </is>
      </c>
      <c r="D1813" s="13" t="inlineStr">
        <is>
          <t>PROD</t>
        </is>
      </c>
      <c r="E1813" s="13" t="inlineStr">
        <is>
          <t>Produksi Harian</t>
        </is>
      </c>
      <c r="F1813" s="170" t="n">
        <v>46226.99030092593</v>
      </c>
      <c r="G1813" s="13" t="inlineStr">
        <is>
          <t>FREE</t>
        </is>
      </c>
      <c r="H1813" s="170" t="n">
        <v>46227.33375</v>
      </c>
    </row>
    <row r="1814">
      <c r="A1814" s="13" t="inlineStr">
        <is>
          <t>MK00145</t>
        </is>
      </c>
      <c r="B1814" s="13" t="n">
        <v>528000309</v>
      </c>
      <c r="C1814" s="13" t="inlineStr">
        <is>
          <t>Ilham Ramadhan</t>
        </is>
      </c>
      <c r="D1814" s="13" t="inlineStr">
        <is>
          <t>LOG</t>
        </is>
      </c>
      <c r="E1814" s="13" t="inlineStr">
        <is>
          <t>WRM Harian</t>
        </is>
      </c>
      <c r="F1814" s="170" t="n">
        <v>46226.99128472222</v>
      </c>
      <c r="G1814" s="13" t="inlineStr">
        <is>
          <t>FREE</t>
        </is>
      </c>
      <c r="H1814" s="170" t="n">
        <v>46227.33645833333</v>
      </c>
    </row>
    <row r="1815">
      <c r="A1815" s="13" t="inlineStr">
        <is>
          <t>MK00116</t>
        </is>
      </c>
      <c r="B1815" s="13" t="n">
        <v>528000270</v>
      </c>
      <c r="C1815" s="13" t="inlineStr">
        <is>
          <t>Febri Najmudin</t>
        </is>
      </c>
      <c r="D1815" s="13" t="inlineStr">
        <is>
          <t>LOG</t>
        </is>
      </c>
      <c r="E1815" s="13" t="inlineStr">
        <is>
          <t>WRM Harian</t>
        </is>
      </c>
      <c r="F1815" s="170" t="n">
        <v>46226.99166666667</v>
      </c>
      <c r="G1815" s="13" t="inlineStr">
        <is>
          <t>FREE</t>
        </is>
      </c>
      <c r="H1815" s="170" t="n">
        <v>46227.34916666667</v>
      </c>
    </row>
    <row r="1816">
      <c r="A1816" s="13" t="inlineStr">
        <is>
          <t>MK00235</t>
        </is>
      </c>
      <c r="B1816" s="13" t="n">
        <v>528000318</v>
      </c>
      <c r="C1816" s="13" t="inlineStr">
        <is>
          <t>Bayu Padli Sepriyana</t>
        </is>
      </c>
      <c r="D1816" s="13" t="inlineStr">
        <is>
          <t>LOG</t>
        </is>
      </c>
      <c r="E1816" s="13" t="inlineStr">
        <is>
          <t>WRM Harian</t>
        </is>
      </c>
      <c r="F1816" s="170" t="n">
        <v>46226.9922337963</v>
      </c>
      <c r="G1816" s="13" t="inlineStr">
        <is>
          <t>FREE</t>
        </is>
      </c>
      <c r="H1816" s="170" t="n">
        <v>46227.33636574074</v>
      </c>
    </row>
    <row r="1817">
      <c r="A1817" s="13" t="inlineStr">
        <is>
          <t>MK00212</t>
        </is>
      </c>
      <c r="B1817" s="13" t="n">
        <v>528000244</v>
      </c>
      <c r="C1817" s="13" t="inlineStr">
        <is>
          <t>Rodian Rifai</t>
        </is>
      </c>
      <c r="D1817" s="13" t="inlineStr">
        <is>
          <t>PROD</t>
        </is>
      </c>
      <c r="E1817" s="13" t="inlineStr">
        <is>
          <t>Produksi Harian</t>
        </is>
      </c>
      <c r="F1817" s="170" t="n">
        <v>46227.00774305555</v>
      </c>
      <c r="G1817" s="13" t="inlineStr">
        <is>
          <t>FREE</t>
        </is>
      </c>
      <c r="H1817" s="170" t="n">
        <v>46228.30460648148</v>
      </c>
    </row>
    <row r="1818">
      <c r="A1818" s="13" t="inlineStr">
        <is>
          <t>MK00221</t>
        </is>
      </c>
      <c r="B1818" s="13" t="n">
        <v>528000144</v>
      </c>
      <c r="C1818" s="13" t="inlineStr">
        <is>
          <t>Jodi Hanafi</t>
        </is>
      </c>
      <c r="D1818" s="13" t="inlineStr">
        <is>
          <t>LOG</t>
        </is>
      </c>
      <c r="E1818" s="13" t="inlineStr">
        <is>
          <t>WRM Harian</t>
        </is>
      </c>
      <c r="F1818" s="170" t="n">
        <v>46227.06706018518</v>
      </c>
      <c r="G1818" s="13" t="inlineStr">
        <is>
          <t>FREE</t>
        </is>
      </c>
      <c r="H1818" s="170" t="n">
        <v>46227.43940972222</v>
      </c>
    </row>
    <row r="1819">
      <c r="A1819" s="13" t="inlineStr">
        <is>
          <t>MK00210</t>
        </is>
      </c>
      <c r="B1819" s="13" t="n">
        <v>528000232</v>
      </c>
      <c r="C1819" s="13" t="inlineStr">
        <is>
          <t>Agung Aji Suhada</t>
        </is>
      </c>
      <c r="D1819" s="13" t="inlineStr">
        <is>
          <t>LOG</t>
        </is>
      </c>
      <c r="E1819" s="13" t="inlineStr">
        <is>
          <t>WRM Harian</t>
        </is>
      </c>
      <c r="F1819" s="170" t="n">
        <v>46227.07761574074</v>
      </c>
      <c r="G1819" s="13" t="inlineStr">
        <is>
          <t>FREE</t>
        </is>
      </c>
      <c r="H1819" s="170" t="n">
        <v>46227.42740740741</v>
      </c>
    </row>
    <row r="1820">
      <c r="A1820" s="13" t="inlineStr">
        <is>
          <t>MK00204</t>
        </is>
      </c>
      <c r="B1820" s="13" t="n">
        <v>528000335</v>
      </c>
      <c r="C1820" s="13" t="inlineStr">
        <is>
          <t>Rizal Saepuloh</t>
        </is>
      </c>
      <c r="D1820" s="13" t="inlineStr">
        <is>
          <t>LOG</t>
        </is>
      </c>
      <c r="E1820" s="13" t="inlineStr">
        <is>
          <t>WRM Harian</t>
        </is>
      </c>
      <c r="F1820" s="170" t="n">
        <v>46227.07899305555</v>
      </c>
      <c r="G1820" s="13" t="inlineStr">
        <is>
          <t>FREE</t>
        </is>
      </c>
      <c r="H1820" s="170" t="n">
        <v>46227.4175</v>
      </c>
    </row>
    <row r="1821">
      <c r="A1821" s="13" t="inlineStr">
        <is>
          <t>MK00160</t>
        </is>
      </c>
      <c r="B1821" s="13" t="n">
        <v>528000323</v>
      </c>
      <c r="C1821" s="13" t="inlineStr">
        <is>
          <t>Dian Hamidah</t>
        </is>
      </c>
      <c r="D1821" s="13" t="inlineStr">
        <is>
          <t>PROD</t>
        </is>
      </c>
      <c r="E1821" s="13" t="inlineStr">
        <is>
          <t>Produksi Harian</t>
        </is>
      </c>
      <c r="F1821" s="170" t="n">
        <v>46227.31978009259</v>
      </c>
      <c r="G1821" s="13" t="inlineStr">
        <is>
          <t>FREE</t>
        </is>
      </c>
      <c r="H1821" s="170" t="n">
        <v>46227.67622685185</v>
      </c>
    </row>
    <row r="1822">
      <c r="A1822" s="13" t="inlineStr">
        <is>
          <t>MK00185</t>
        </is>
      </c>
      <c r="B1822" s="13" t="n">
        <v>528000248</v>
      </c>
      <c r="C1822" s="13" t="inlineStr">
        <is>
          <t>Roka Jaya Salka Mulya</t>
        </is>
      </c>
      <c r="D1822" s="13" t="inlineStr">
        <is>
          <t>PROD</t>
        </is>
      </c>
      <c r="E1822" s="13" t="inlineStr">
        <is>
          <t>Produksi Harian</t>
        </is>
      </c>
      <c r="F1822" s="170" t="n">
        <v>46227.32644675926</v>
      </c>
      <c r="G1822" s="13" t="inlineStr">
        <is>
          <t>FREE</t>
        </is>
      </c>
      <c r="H1822" s="170" t="n">
        <v>46227.66736111111</v>
      </c>
    </row>
    <row r="1823">
      <c r="A1823" s="13" t="inlineStr">
        <is>
          <t>MK00121</t>
        </is>
      </c>
      <c r="B1823" s="13" t="n">
        <v>528000297</v>
      </c>
      <c r="C1823" s="13" t="inlineStr">
        <is>
          <t>Muhamad Budiana</t>
        </is>
      </c>
      <c r="D1823" s="13" t="inlineStr">
        <is>
          <t>PROD</t>
        </is>
      </c>
      <c r="E1823" s="13" t="inlineStr">
        <is>
          <t>Produksi Harian</t>
        </is>
      </c>
      <c r="F1823" s="170" t="n">
        <v>46227.32719907408</v>
      </c>
      <c r="G1823" s="13" t="inlineStr">
        <is>
          <t>FREE</t>
        </is>
      </c>
      <c r="H1823" s="170" t="n">
        <v>46227.69834490741</v>
      </c>
    </row>
    <row r="1824">
      <c r="A1824" s="13" t="inlineStr">
        <is>
          <t>MK00220</t>
        </is>
      </c>
      <c r="B1824" s="13" t="n">
        <v>528000279</v>
      </c>
      <c r="C1824" s="13" t="inlineStr">
        <is>
          <t>Mahdalena Dalfa Riani</t>
        </is>
      </c>
      <c r="D1824" s="13" t="inlineStr">
        <is>
          <t>PROD</t>
        </is>
      </c>
      <c r="E1824" s="13" t="inlineStr">
        <is>
          <t>Produksi Harian</t>
        </is>
      </c>
      <c r="F1824" s="170" t="n">
        <v>46227.32850694445</v>
      </c>
      <c r="G1824" s="13" t="inlineStr">
        <is>
          <t>FREE</t>
        </is>
      </c>
      <c r="H1824" s="170" t="n">
        <v>46227.66944444444</v>
      </c>
    </row>
    <row r="1825">
      <c r="A1825" s="13" t="inlineStr">
        <is>
          <t>MK00134</t>
        </is>
      </c>
      <c r="B1825" s="13" t="n">
        <v>528000288</v>
      </c>
      <c r="C1825" s="13" t="inlineStr">
        <is>
          <t>Dede gunawan</t>
        </is>
      </c>
      <c r="D1825" s="13" t="inlineStr">
        <is>
          <t>PROD</t>
        </is>
      </c>
      <c r="E1825" s="13" t="inlineStr">
        <is>
          <t>Produksi Harian</t>
        </is>
      </c>
      <c r="F1825" s="170" t="n">
        <v>46227.33034722223</v>
      </c>
      <c r="G1825" s="13" t="inlineStr">
        <is>
          <t>FREE</t>
        </is>
      </c>
      <c r="H1825" s="170" t="n">
        <v>46120.40756944445</v>
      </c>
    </row>
    <row r="1826">
      <c r="A1826" s="13" t="inlineStr">
        <is>
          <t>MK00090</t>
        </is>
      </c>
      <c r="B1826" s="13" t="n">
        <v>528000052</v>
      </c>
      <c r="C1826" s="13" t="inlineStr">
        <is>
          <t>Mustopa</t>
        </is>
      </c>
      <c r="D1826" s="13" t="inlineStr">
        <is>
          <t>PROD</t>
        </is>
      </c>
      <c r="E1826" s="13" t="inlineStr">
        <is>
          <t>Produksi Harian</t>
        </is>
      </c>
      <c r="F1826" s="170" t="n">
        <v>46227.64759259259</v>
      </c>
      <c r="G1826" s="13" t="inlineStr">
        <is>
          <t>FREE</t>
        </is>
      </c>
      <c r="H1826" s="170" t="n">
        <v>46228.00288194444</v>
      </c>
    </row>
    <row r="1827">
      <c r="A1827" s="13" t="inlineStr">
        <is>
          <t>MK00249</t>
        </is>
      </c>
      <c r="B1827" s="13" t="n">
        <v>528000337</v>
      </c>
      <c r="C1827" s="13" t="inlineStr">
        <is>
          <t>Ahmad Zaldi Firdaus</t>
        </is>
      </c>
      <c r="D1827" s="13" t="inlineStr">
        <is>
          <t>PROD</t>
        </is>
      </c>
      <c r="E1827" s="13" t="inlineStr">
        <is>
          <t>Produksi Harian</t>
        </is>
      </c>
      <c r="F1827" s="170" t="n">
        <v>46227.65605324074</v>
      </c>
      <c r="G1827" s="13" t="inlineStr">
        <is>
          <t>FREE</t>
        </is>
      </c>
      <c r="H1827" s="170" t="n">
        <v>46228.00537037037</v>
      </c>
    </row>
    <row r="1828">
      <c r="A1828" s="13" t="inlineStr">
        <is>
          <t>MK00145</t>
        </is>
      </c>
      <c r="B1828" s="13" t="n">
        <v>528000336</v>
      </c>
      <c r="C1828" s="13" t="inlineStr">
        <is>
          <t>Ali Nurhanafi</t>
        </is>
      </c>
      <c r="D1828" s="13" t="inlineStr">
        <is>
          <t>PROD</t>
        </is>
      </c>
      <c r="E1828" s="13" t="inlineStr">
        <is>
          <t>Produksi Harian</t>
        </is>
      </c>
      <c r="F1828" s="170" t="n">
        <v>46227.65670138889</v>
      </c>
      <c r="G1828" s="13" t="inlineStr">
        <is>
          <t>FREE</t>
        </is>
      </c>
      <c r="H1828" s="170" t="n">
        <v>46228.00548611111</v>
      </c>
    </row>
    <row r="1829">
      <c r="A1829" s="13" t="inlineStr">
        <is>
          <t>MK00095</t>
        </is>
      </c>
      <c r="B1829" s="13" t="n">
        <v>528000358</v>
      </c>
      <c r="C1829" s="13" t="inlineStr">
        <is>
          <t>Lulu Agustin</t>
        </is>
      </c>
      <c r="D1829" s="13" t="inlineStr">
        <is>
          <t>PROD</t>
        </is>
      </c>
      <c r="E1829" s="13" t="inlineStr">
        <is>
          <t>Produksi Harian</t>
        </is>
      </c>
      <c r="F1829" s="170" t="n">
        <v>46227.65684027778</v>
      </c>
      <c r="G1829" s="13" t="inlineStr">
        <is>
          <t>FREE</t>
        </is>
      </c>
      <c r="H1829" s="170" t="n">
        <v>46228.00381944444</v>
      </c>
    </row>
    <row r="1830">
      <c r="A1830" s="13" t="inlineStr">
        <is>
          <t>MK00156</t>
        </is>
      </c>
      <c r="B1830" s="13" t="n">
        <v>528000306</v>
      </c>
      <c r="C1830" s="13" t="inlineStr">
        <is>
          <t>Windy Olivia</t>
        </is>
      </c>
      <c r="D1830" s="13" t="inlineStr">
        <is>
          <t>PROD</t>
        </is>
      </c>
      <c r="E1830" s="13" t="inlineStr">
        <is>
          <t>Produksi Harian</t>
        </is>
      </c>
      <c r="F1830" s="170" t="n">
        <v>46227.65755787037</v>
      </c>
      <c r="G1830" s="13" t="inlineStr">
        <is>
          <t>FREE</t>
        </is>
      </c>
      <c r="H1830" s="170" t="n">
        <v>46228.00238425926</v>
      </c>
    </row>
    <row r="1831">
      <c r="A1831" s="13" t="inlineStr">
        <is>
          <t>MK00055</t>
        </is>
      </c>
      <c r="B1831" s="13" t="n">
        <v>528000266</v>
      </c>
      <c r="C1831" s="13" t="inlineStr">
        <is>
          <t>M. Syirajatieq</t>
        </is>
      </c>
      <c r="D1831" s="13" t="inlineStr">
        <is>
          <t>LOG</t>
        </is>
      </c>
      <c r="E1831" s="13" t="inlineStr">
        <is>
          <t>WFG Harian</t>
        </is>
      </c>
      <c r="F1831" s="170" t="n">
        <v>46227.65907407407</v>
      </c>
      <c r="G1831" s="13" t="inlineStr">
        <is>
          <t>FREE</t>
        </is>
      </c>
      <c r="H1831" s="170" t="n">
        <v>46228.01938657407</v>
      </c>
    </row>
    <row r="1832">
      <c r="A1832" s="13" t="inlineStr">
        <is>
          <t>MK00184</t>
        </is>
      </c>
      <c r="B1832" s="13" t="n">
        <v>528000195</v>
      </c>
      <c r="C1832" s="13" t="inlineStr">
        <is>
          <t>Rahma Sariwati</t>
        </is>
      </c>
      <c r="D1832" s="13" t="inlineStr">
        <is>
          <t>PROD</t>
        </is>
      </c>
      <c r="E1832" s="13" t="inlineStr">
        <is>
          <t>Produksi Harian</t>
        </is>
      </c>
      <c r="F1832" s="170" t="n">
        <v>46227.6594212963</v>
      </c>
      <c r="G1832" s="13" t="inlineStr">
        <is>
          <t>FREE</t>
        </is>
      </c>
      <c r="H1832" s="170" t="n">
        <v>46228.0041550926</v>
      </c>
    </row>
    <row r="1833">
      <c r="A1833" s="13" t="inlineStr">
        <is>
          <t>MK00181</t>
        </is>
      </c>
      <c r="B1833" s="13" t="n">
        <v>528000328</v>
      </c>
      <c r="C1833" s="13" t="inlineStr">
        <is>
          <t>Nur Anjani</t>
        </is>
      </c>
      <c r="D1833" s="13" t="inlineStr">
        <is>
          <t>PROD</t>
        </is>
      </c>
      <c r="E1833" s="13" t="inlineStr">
        <is>
          <t>Produksi Harian</t>
        </is>
      </c>
      <c r="F1833" s="170" t="n">
        <v>46227.65967592593</v>
      </c>
      <c r="G1833" s="13" t="inlineStr">
        <is>
          <t>FREE</t>
        </is>
      </c>
      <c r="H1833" s="170" t="n">
        <v>46228.00354166667</v>
      </c>
    </row>
    <row r="1834">
      <c r="A1834" s="13" t="inlineStr">
        <is>
          <t>MK00136</t>
        </is>
      </c>
      <c r="B1834" s="13" t="n">
        <v>528000261</v>
      </c>
      <c r="C1834" s="13" t="inlineStr">
        <is>
          <t>Ergi Ergianto</t>
        </is>
      </c>
      <c r="D1834" s="13" t="inlineStr">
        <is>
          <t>HRGA</t>
        </is>
      </c>
      <c r="E1834" s="13" t="inlineStr">
        <is>
          <t>GA Harian</t>
        </is>
      </c>
      <c r="F1834" s="170" t="n">
        <v>46227.65982638889</v>
      </c>
      <c r="G1834" s="13" t="inlineStr">
        <is>
          <t>FREE</t>
        </is>
      </c>
      <c r="H1834" s="170" t="n">
        <v>46228.0031712963</v>
      </c>
    </row>
    <row r="1835">
      <c r="A1835" s="13" t="inlineStr">
        <is>
          <t>MK00125</t>
        </is>
      </c>
      <c r="B1835" s="13" t="n">
        <v>528000314</v>
      </c>
      <c r="C1835" s="13" t="inlineStr">
        <is>
          <t>Rusmana</t>
        </is>
      </c>
      <c r="D1835" s="13" t="inlineStr">
        <is>
          <t>PROD</t>
        </is>
      </c>
      <c r="E1835" s="13" t="inlineStr">
        <is>
          <t>Produksi Harian</t>
        </is>
      </c>
      <c r="F1835" s="170" t="n">
        <v>46227.66282407408</v>
      </c>
      <c r="G1835" s="13" t="inlineStr">
        <is>
          <t>FREE</t>
        </is>
      </c>
      <c r="H1835" s="170" t="n">
        <v>46228.66042824074</v>
      </c>
    </row>
    <row r="1836">
      <c r="A1836" s="13" t="inlineStr">
        <is>
          <t>MK00217</t>
        </is>
      </c>
      <c r="B1836" s="13" t="n">
        <v>528000340</v>
      </c>
      <c r="C1836" s="13" t="inlineStr">
        <is>
          <t>Muhammad Wildan Adithya</t>
        </is>
      </c>
      <c r="D1836" s="13" t="inlineStr">
        <is>
          <t>PROD</t>
        </is>
      </c>
      <c r="E1836" s="13" t="inlineStr">
        <is>
          <t>Produksi Harian</t>
        </is>
      </c>
      <c r="F1836" s="170" t="n">
        <v>46227.66288194444</v>
      </c>
      <c r="G1836" s="13" t="inlineStr">
        <is>
          <t>FREE</t>
        </is>
      </c>
      <c r="H1836" s="170" t="n">
        <v>46228.3395949074</v>
      </c>
    </row>
    <row r="1837">
      <c r="A1837" s="13" t="inlineStr">
        <is>
          <t>MK00085</t>
        </is>
      </c>
      <c r="B1837" s="13" t="n">
        <v>528000283</v>
      </c>
      <c r="C1837" s="13" t="inlineStr">
        <is>
          <t>Purwanda Sugiri</t>
        </is>
      </c>
      <c r="D1837" s="13" t="inlineStr">
        <is>
          <t>LOG</t>
        </is>
      </c>
      <c r="E1837" s="13" t="inlineStr">
        <is>
          <t>WRM Harian</t>
        </is>
      </c>
      <c r="F1837" s="170" t="n">
        <v>46227.66414351852</v>
      </c>
      <c r="G1837" s="13" t="inlineStr">
        <is>
          <t>FREE</t>
        </is>
      </c>
      <c r="H1837" s="170" t="n">
        <v>46228.66123842593</v>
      </c>
    </row>
    <row r="1838">
      <c r="A1838" s="13" t="inlineStr">
        <is>
          <t>MK00160</t>
        </is>
      </c>
      <c r="B1838" s="13" t="n">
        <v>528000282</v>
      </c>
      <c r="C1838" s="13" t="inlineStr">
        <is>
          <t>Defa Desfiana</t>
        </is>
      </c>
      <c r="D1838" s="13" t="inlineStr">
        <is>
          <t>PROD</t>
        </is>
      </c>
      <c r="E1838" s="13" t="inlineStr">
        <is>
          <t>Produksi Harian</t>
        </is>
      </c>
      <c r="F1838" s="170" t="n">
        <v>46227.73743055556</v>
      </c>
      <c r="G1838" s="13" t="inlineStr">
        <is>
          <t>FREE</t>
        </is>
      </c>
      <c r="H1838" s="170" t="n">
        <v>46227.95899305555</v>
      </c>
    </row>
    <row r="1839">
      <c r="A1839" s="13" t="inlineStr">
        <is>
          <t>MK00220</t>
        </is>
      </c>
      <c r="B1839" s="13" t="n">
        <v>528000310</v>
      </c>
      <c r="C1839" s="13" t="inlineStr">
        <is>
          <t>Fachrul Rozzi Suryana</t>
        </is>
      </c>
      <c r="D1839" s="13" t="inlineStr">
        <is>
          <t>LOG</t>
        </is>
      </c>
      <c r="E1839" s="13" t="inlineStr">
        <is>
          <t>WRM Harian</t>
        </is>
      </c>
      <c r="F1839" s="170" t="n">
        <v>46227.74373842592</v>
      </c>
      <c r="G1839" s="13" t="inlineStr">
        <is>
          <t>FREE</t>
        </is>
      </c>
      <c r="H1839" s="170" t="n">
        <v>46227.95856481481</v>
      </c>
    </row>
    <row r="1840">
      <c r="A1840" s="13" t="inlineStr">
        <is>
          <t>MK00143</t>
        </is>
      </c>
      <c r="B1840" s="13" t="n">
        <v>528000265</v>
      </c>
      <c r="C1840" s="13" t="inlineStr">
        <is>
          <t>Muhammad Haerul Rozikin</t>
        </is>
      </c>
      <c r="D1840" s="13" t="inlineStr">
        <is>
          <t>LOG</t>
        </is>
      </c>
      <c r="E1840" s="13" t="inlineStr">
        <is>
          <t>WRM Harian</t>
        </is>
      </c>
      <c r="F1840" s="170" t="n">
        <v>46227.74605324074</v>
      </c>
      <c r="G1840" s="13" t="inlineStr">
        <is>
          <t>FREE</t>
        </is>
      </c>
      <c r="H1840" s="170" t="n">
        <v>46227.96128472222</v>
      </c>
    </row>
    <row r="1841">
      <c r="A1841" s="13" t="inlineStr">
        <is>
          <t>MK00192</t>
        </is>
      </c>
      <c r="B1841" s="13" t="n">
        <v>528000351</v>
      </c>
      <c r="C1841" s="13" t="inlineStr">
        <is>
          <t>Mulyana</t>
        </is>
      </c>
      <c r="D1841" s="13" t="inlineStr">
        <is>
          <t>PROD</t>
        </is>
      </c>
      <c r="E1841" s="13" t="inlineStr">
        <is>
          <t>Produksi Harian</t>
        </is>
      </c>
      <c r="F1841" s="170" t="n">
        <v>46227.74758101852</v>
      </c>
      <c r="G1841" s="13" t="inlineStr">
        <is>
          <t>FREE</t>
        </is>
      </c>
      <c r="H1841" s="170" t="n">
        <v>46227.96135416667</v>
      </c>
    </row>
    <row r="1842">
      <c r="A1842" s="13" t="inlineStr">
        <is>
          <t>MK0130</t>
        </is>
      </c>
      <c r="B1842" s="13" t="n">
        <v>528000149</v>
      </c>
      <c r="C1842" s="13" t="inlineStr">
        <is>
          <t>Tio Fernanda</t>
        </is>
      </c>
      <c r="D1842" s="13" t="inlineStr">
        <is>
          <t>LOG</t>
        </is>
      </c>
      <c r="E1842" s="13" t="inlineStr">
        <is>
          <t>WRM Harian</t>
        </is>
      </c>
      <c r="F1842" s="170" t="n">
        <v>46227.78908564815</v>
      </c>
      <c r="G1842" s="13" t="inlineStr">
        <is>
          <t>FREE</t>
        </is>
      </c>
      <c r="H1842" s="170" t="n">
        <v>46229.78626157407</v>
      </c>
    </row>
    <row r="1843">
      <c r="A1843" s="13" t="inlineStr">
        <is>
          <t>MK00205</t>
        </is>
      </c>
      <c r="B1843" s="13" t="n">
        <v>528000348</v>
      </c>
      <c r="C1843" s="13" t="inlineStr">
        <is>
          <t>Saepuloh Ardiansah</t>
        </is>
      </c>
      <c r="D1843" s="13" t="inlineStr">
        <is>
          <t>LOG</t>
        </is>
      </c>
      <c r="E1843" s="13" t="inlineStr">
        <is>
          <t>WRM Harian</t>
        </is>
      </c>
      <c r="F1843" s="170" t="n">
        <v>46227.78957175926</v>
      </c>
      <c r="G1843" s="13" t="inlineStr">
        <is>
          <t>FREE</t>
        </is>
      </c>
      <c r="H1843" s="170" t="n">
        <v>46228.03581018518</v>
      </c>
    </row>
    <row r="1844">
      <c r="A1844" s="13" t="inlineStr">
        <is>
          <t>MK00141</t>
        </is>
      </c>
      <c r="B1844" s="13" t="n">
        <v>528000040</v>
      </c>
      <c r="C1844" s="13" t="inlineStr">
        <is>
          <t>Agus Suryaman</t>
        </is>
      </c>
      <c r="D1844" s="13" t="inlineStr">
        <is>
          <t>PROD</t>
        </is>
      </c>
      <c r="E1844" s="13" t="inlineStr">
        <is>
          <t>Produksi Harian</t>
        </is>
      </c>
      <c r="F1844" s="170" t="n">
        <v>46227.78972222222</v>
      </c>
      <c r="G1844" s="13" t="inlineStr">
        <is>
          <t>FREE</t>
        </is>
      </c>
      <c r="H1844" s="170" t="n">
        <v>46228.00427083333</v>
      </c>
    </row>
    <row r="1845">
      <c r="A1845" s="13" t="inlineStr">
        <is>
          <t>MK00210</t>
        </is>
      </c>
      <c r="B1845" s="13" t="n">
        <v>528000232</v>
      </c>
      <c r="C1845" s="13" t="inlineStr">
        <is>
          <t>Agung Aji Suhada</t>
        </is>
      </c>
      <c r="D1845" s="13" t="inlineStr">
        <is>
          <t>LOG</t>
        </is>
      </c>
      <c r="E1845" s="13" t="inlineStr">
        <is>
          <t>WRM Harian</t>
        </is>
      </c>
      <c r="F1845" s="170" t="n">
        <v>46227.94953703704</v>
      </c>
      <c r="G1845" s="13" t="inlineStr">
        <is>
          <t>FREE</t>
        </is>
      </c>
      <c r="H1845" s="170" t="n">
        <v>46228.16921296297</v>
      </c>
    </row>
    <row r="1846">
      <c r="A1846" s="13" t="inlineStr">
        <is>
          <t>MK00221</t>
        </is>
      </c>
      <c r="B1846" s="13" t="n">
        <v>528000144</v>
      </c>
      <c r="C1846" s="13" t="inlineStr">
        <is>
          <t>Jodi Hanafi</t>
        </is>
      </c>
      <c r="D1846" s="13" t="inlineStr">
        <is>
          <t>LOG</t>
        </is>
      </c>
      <c r="E1846" s="13" t="inlineStr">
        <is>
          <t>WRM Harian</t>
        </is>
      </c>
      <c r="F1846" s="170" t="n">
        <v>46227.95704861111</v>
      </c>
      <c r="G1846" s="13" t="inlineStr">
        <is>
          <t>FREE</t>
        </is>
      </c>
      <c r="H1846" s="170" t="n">
        <v>46228.1837037037</v>
      </c>
    </row>
    <row r="1847">
      <c r="A1847" s="13" t="inlineStr">
        <is>
          <t>MK00204</t>
        </is>
      </c>
      <c r="B1847" s="13" t="n">
        <v>528000335</v>
      </c>
      <c r="C1847" s="13" t="inlineStr">
        <is>
          <t>Rizal Saepuloh</t>
        </is>
      </c>
      <c r="D1847" s="13" t="inlineStr">
        <is>
          <t>LOG</t>
        </is>
      </c>
      <c r="E1847" s="13" t="inlineStr">
        <is>
          <t>WRM Harian</t>
        </is>
      </c>
      <c r="F1847" s="170" t="n">
        <v>46227.95775462963</v>
      </c>
      <c r="G1847" s="13" t="inlineStr">
        <is>
          <t>FREE</t>
        </is>
      </c>
      <c r="H1847" s="170" t="n">
        <v>46228.16652777778</v>
      </c>
    </row>
    <row r="1848">
      <c r="A1848" s="13" t="inlineStr">
        <is>
          <t>MK00082</t>
        </is>
      </c>
      <c r="B1848" s="13" t="n">
        <v>528000313</v>
      </c>
      <c r="C1848" s="13" t="inlineStr">
        <is>
          <t>Muhamad Rifki</t>
        </is>
      </c>
      <c r="D1848" s="13" t="inlineStr">
        <is>
          <t>PROD</t>
        </is>
      </c>
      <c r="E1848" s="13" t="inlineStr">
        <is>
          <t>Produksi Harian</t>
        </is>
      </c>
      <c r="F1848" s="170" t="n">
        <v>46227.98206018518</v>
      </c>
      <c r="G1848" s="13" t="inlineStr">
        <is>
          <t>FREE</t>
        </is>
      </c>
      <c r="H1848" s="170" t="n">
        <v>46228.33769675926</v>
      </c>
    </row>
    <row r="1849">
      <c r="A1849" s="13" t="inlineStr">
        <is>
          <t>MK00108</t>
        </is>
      </c>
      <c r="B1849" s="13" t="n">
        <v>528000299</v>
      </c>
      <c r="C1849" s="13" t="inlineStr">
        <is>
          <t>Siti Nurjanah</t>
        </is>
      </c>
      <c r="D1849" s="13" t="inlineStr">
        <is>
          <t>PROD</t>
        </is>
      </c>
      <c r="E1849" s="13" t="inlineStr">
        <is>
          <t>Produksi Harian</t>
        </is>
      </c>
      <c r="F1849" s="170" t="n">
        <v>46227.98486111111</v>
      </c>
      <c r="G1849" s="13" t="inlineStr">
        <is>
          <t>FREE</t>
        </is>
      </c>
      <c r="H1849" s="170" t="n">
        <v>46228.33635416667</v>
      </c>
    </row>
    <row r="1850">
      <c r="A1850" s="13" t="inlineStr">
        <is>
          <t>MK00154</t>
        </is>
      </c>
      <c r="B1850" s="13" t="n">
        <v>528000305</v>
      </c>
      <c r="C1850" s="13" t="inlineStr">
        <is>
          <t>Puji Puspita</t>
        </is>
      </c>
      <c r="D1850" s="13" t="inlineStr">
        <is>
          <t>PROD</t>
        </is>
      </c>
      <c r="E1850" s="13" t="inlineStr">
        <is>
          <t>Produksi Harian</t>
        </is>
      </c>
      <c r="F1850" s="170" t="n">
        <v>46227.98570601852</v>
      </c>
      <c r="G1850" s="13" t="inlineStr">
        <is>
          <t>FREE</t>
        </is>
      </c>
      <c r="H1850" s="170" t="n">
        <v>46228.35366898148</v>
      </c>
    </row>
    <row r="1851">
      <c r="A1851" s="13" t="inlineStr">
        <is>
          <t>MK00218</t>
        </is>
      </c>
      <c r="B1851" s="13" t="n">
        <v>528000309</v>
      </c>
      <c r="C1851" s="13" t="inlineStr">
        <is>
          <t>Ilham Ramadhan</t>
        </is>
      </c>
      <c r="D1851" s="13" t="inlineStr">
        <is>
          <t>LOG</t>
        </is>
      </c>
      <c r="E1851" s="13" t="inlineStr">
        <is>
          <t>WRM Harian</t>
        </is>
      </c>
      <c r="F1851" s="170" t="n">
        <v>46227.98623842592</v>
      </c>
      <c r="G1851" s="13" t="inlineStr">
        <is>
          <t>FREE</t>
        </is>
      </c>
      <c r="H1851" s="170" t="n">
        <v>46228.33721064815</v>
      </c>
    </row>
    <row r="1852">
      <c r="A1852" s="13" t="inlineStr">
        <is>
          <t>MK00183</t>
        </is>
      </c>
      <c r="B1852" s="13" t="n">
        <v>528000015</v>
      </c>
      <c r="C1852" s="13" t="inlineStr">
        <is>
          <t>Erwin</t>
        </is>
      </c>
      <c r="D1852" s="13" t="inlineStr">
        <is>
          <t>LOG</t>
        </is>
      </c>
      <c r="E1852" s="13" t="inlineStr">
        <is>
          <t>WRM Harian</t>
        </is>
      </c>
      <c r="F1852" s="170" t="n">
        <v>46227.98995370371</v>
      </c>
      <c r="G1852" s="13" t="inlineStr">
        <is>
          <t>FREE</t>
        </is>
      </c>
      <c r="H1852" s="170" t="n">
        <v>46228.34211805555</v>
      </c>
    </row>
    <row r="1853">
      <c r="A1853" s="13" t="inlineStr">
        <is>
          <t>MK00213</t>
        </is>
      </c>
      <c r="B1853" s="13" t="n">
        <v>528000318</v>
      </c>
      <c r="C1853" s="13" t="inlineStr">
        <is>
          <t>Bayu Padli Sepriyana</t>
        </is>
      </c>
      <c r="D1853" s="13" t="inlineStr">
        <is>
          <t>LOG</t>
        </is>
      </c>
      <c r="E1853" s="13" t="inlineStr">
        <is>
          <t>WRM Harian</t>
        </is>
      </c>
      <c r="F1853" s="170" t="n">
        <v>46227.9909375</v>
      </c>
      <c r="G1853" s="13" t="inlineStr">
        <is>
          <t>FREE</t>
        </is>
      </c>
      <c r="H1853" s="170" t="n">
        <v>46228.33733796296</v>
      </c>
    </row>
    <row r="1854">
      <c r="A1854" s="13" t="inlineStr">
        <is>
          <t>MK00138</t>
        </is>
      </c>
      <c r="B1854" s="13" t="n">
        <v>528000270</v>
      </c>
      <c r="C1854" s="13" t="inlineStr">
        <is>
          <t>Febri Najmudin</t>
        </is>
      </c>
      <c r="D1854" s="13" t="inlineStr">
        <is>
          <t>LOG</t>
        </is>
      </c>
      <c r="E1854" s="13" t="inlineStr">
        <is>
          <t>WRM Harian</t>
        </is>
      </c>
      <c r="F1854" s="170" t="n">
        <v>46227.99126157408</v>
      </c>
      <c r="G1854" s="13" t="inlineStr">
        <is>
          <t>FREE</t>
        </is>
      </c>
      <c r="H1854" s="170" t="n">
        <v>46228.34604166666</v>
      </c>
    </row>
    <row r="1855">
      <c r="A1855" s="13" t="inlineStr">
        <is>
          <t>MK000230</t>
        </is>
      </c>
      <c r="B1855" s="13" t="n">
        <v>528000298</v>
      </c>
      <c r="C1855" s="13" t="inlineStr">
        <is>
          <t>Desta Cahaya Pratama</t>
        </is>
      </c>
      <c r="D1855" s="13" t="inlineStr">
        <is>
          <t>PROD</t>
        </is>
      </c>
      <c r="E1855" s="13" t="inlineStr">
        <is>
          <t>Produksi Harian</t>
        </is>
      </c>
      <c r="F1855" s="170" t="n">
        <v>46227.99186342592</v>
      </c>
      <c r="G1855" s="13" t="inlineStr">
        <is>
          <t>FREE</t>
        </is>
      </c>
      <c r="H1855" s="170" t="n">
        <v>46228.99206018518</v>
      </c>
    </row>
    <row r="1856">
      <c r="A1856" s="13" t="inlineStr">
        <is>
          <t>MK00088</t>
        </is>
      </c>
      <c r="B1856" s="13" t="n">
        <v>528000361</v>
      </c>
      <c r="C1856" s="13" t="inlineStr">
        <is>
          <t>Denada Munggarani</t>
        </is>
      </c>
      <c r="D1856" s="13" t="inlineStr">
        <is>
          <t>PROD</t>
        </is>
      </c>
      <c r="E1856" s="13" t="inlineStr">
        <is>
          <t>Produksi Harian</t>
        </is>
      </c>
      <c r="F1856" s="170" t="n">
        <v>46227.99423611111</v>
      </c>
      <c r="G1856" s="13" t="inlineStr">
        <is>
          <t>FREE</t>
        </is>
      </c>
      <c r="H1856" s="170" t="n">
        <v>46228.35835648148</v>
      </c>
    </row>
    <row r="1857">
      <c r="A1857" s="13" t="inlineStr">
        <is>
          <t>MK00112</t>
        </is>
      </c>
      <c r="B1857" s="13" t="n">
        <v>528000322</v>
      </c>
      <c r="C1857" s="13" t="inlineStr">
        <is>
          <t>Muhamad Aliludin</t>
        </is>
      </c>
      <c r="D1857" s="13" t="inlineStr">
        <is>
          <t>PROD</t>
        </is>
      </c>
      <c r="E1857" s="13" t="inlineStr">
        <is>
          <t>Produksi Harian</t>
        </is>
      </c>
      <c r="F1857" s="170" t="n">
        <v>46227.99894675926</v>
      </c>
      <c r="G1857" s="13" t="inlineStr">
        <is>
          <t>FREE</t>
        </is>
      </c>
      <c r="H1857" s="170" t="n">
        <v>46229.31450231482</v>
      </c>
    </row>
    <row r="1858">
      <c r="A1858" s="13" t="inlineStr">
        <is>
          <t>MK00055</t>
        </is>
      </c>
      <c r="B1858" s="13" t="n">
        <v>528000296</v>
      </c>
      <c r="C1858" s="13" t="inlineStr">
        <is>
          <t>Nurdin</t>
        </is>
      </c>
      <c r="D1858" s="13" t="inlineStr">
        <is>
          <t>PROD</t>
        </is>
      </c>
      <c r="E1858" s="13" t="inlineStr">
        <is>
          <t>Produksi Harian</t>
        </is>
      </c>
      <c r="F1858" s="170" t="n">
        <v>46228.04092592592</v>
      </c>
      <c r="G1858" s="13" t="inlineStr">
        <is>
          <t>FREE</t>
        </is>
      </c>
      <c r="H1858" s="170" t="n">
        <v>46228.37756944444</v>
      </c>
    </row>
    <row r="1859">
      <c r="A1859" s="13" t="inlineStr">
        <is>
          <t>MK00210</t>
        </is>
      </c>
      <c r="B1859" s="13" t="n">
        <v>528000339</v>
      </c>
      <c r="C1859" s="13" t="inlineStr">
        <is>
          <t>Muhamad Ripai'i</t>
        </is>
      </c>
      <c r="D1859" s="13" t="inlineStr">
        <is>
          <t>HRGA</t>
        </is>
      </c>
      <c r="E1859" s="13" t="inlineStr">
        <is>
          <t>GA Harian</t>
        </is>
      </c>
      <c r="F1859" s="170" t="n">
        <v>46228.2925462963</v>
      </c>
      <c r="G1859" s="13" t="inlineStr">
        <is>
          <t>FREE</t>
        </is>
      </c>
      <c r="H1859" s="170" t="n">
        <v>46228.67085648148</v>
      </c>
    </row>
    <row r="1860">
      <c r="A1860" s="13" t="inlineStr">
        <is>
          <t>MK00150</t>
        </is>
      </c>
      <c r="B1860" s="13" t="n">
        <v>528000244</v>
      </c>
      <c r="C1860" s="13" t="inlineStr">
        <is>
          <t>Rodian Rifai</t>
        </is>
      </c>
      <c r="D1860" s="13" t="inlineStr">
        <is>
          <t>PROD</t>
        </is>
      </c>
      <c r="E1860" s="13" t="inlineStr">
        <is>
          <t>Produksi Harian</t>
        </is>
      </c>
      <c r="F1860" s="170" t="n">
        <v>46228.30483796296</v>
      </c>
      <c r="G1860" s="13" t="inlineStr">
        <is>
          <t>FREE</t>
        </is>
      </c>
      <c r="H1860" s="170" t="n">
        <v>46228.72008101852</v>
      </c>
    </row>
    <row r="1861">
      <c r="A1861" s="13" t="inlineStr">
        <is>
          <t>MK00209</t>
        </is>
      </c>
      <c r="B1861" s="13" t="n">
        <v>528000325</v>
      </c>
      <c r="C1861" s="13" t="inlineStr">
        <is>
          <t>Rani Septia Ramadani</t>
        </is>
      </c>
      <c r="D1861" s="13" t="inlineStr">
        <is>
          <t>PROD</t>
        </is>
      </c>
      <c r="E1861" s="13" t="inlineStr">
        <is>
          <t>Produksi Harian</t>
        </is>
      </c>
      <c r="F1861" s="170" t="n">
        <v>46228.30659722222</v>
      </c>
      <c r="G1861" s="13" t="inlineStr">
        <is>
          <t>FREE</t>
        </is>
      </c>
      <c r="H1861" s="170" t="n">
        <v>46229.75025462963</v>
      </c>
    </row>
    <row r="1862">
      <c r="A1862" s="13" t="inlineStr">
        <is>
          <t>MK00235</t>
        </is>
      </c>
      <c r="B1862" s="13" t="n">
        <v>528000286</v>
      </c>
      <c r="C1862" s="13" t="inlineStr">
        <is>
          <t>Imelda Amelia</t>
        </is>
      </c>
      <c r="D1862" s="13" t="inlineStr">
        <is>
          <t>PROD</t>
        </is>
      </c>
      <c r="E1862" s="13" t="inlineStr">
        <is>
          <t>Produksi Harian</t>
        </is>
      </c>
      <c r="F1862" s="170" t="n">
        <v>46228.31766203704</v>
      </c>
      <c r="G1862" s="13" t="inlineStr">
        <is>
          <t>FREE</t>
        </is>
      </c>
      <c r="H1862" s="170" t="n">
        <v>46228.6709375</v>
      </c>
    </row>
    <row r="1863">
      <c r="A1863" s="13" t="inlineStr">
        <is>
          <t>MK0095</t>
        </is>
      </c>
      <c r="B1863" s="13" t="n">
        <v>528000201</v>
      </c>
      <c r="C1863" s="13" t="inlineStr">
        <is>
          <t>Zahwa Amelia Choerunissa</t>
        </is>
      </c>
      <c r="D1863" s="13" t="inlineStr">
        <is>
          <t>PROD</t>
        </is>
      </c>
      <c r="E1863" s="13" t="inlineStr">
        <is>
          <t>Produksi Harian</t>
        </is>
      </c>
      <c r="F1863" s="170" t="n">
        <v>46228.32355324074</v>
      </c>
      <c r="G1863" s="13" t="inlineStr">
        <is>
          <t>FREE</t>
        </is>
      </c>
      <c r="H1863" s="170" t="n">
        <v>46228.66994212963</v>
      </c>
    </row>
    <row r="1864">
      <c r="A1864" s="13" t="n">
        <v>145</v>
      </c>
      <c r="B1864" s="13" t="n">
        <v>528000099</v>
      </c>
      <c r="C1864" s="13" t="inlineStr">
        <is>
          <t>Siti Nurawaliah</t>
        </is>
      </c>
      <c r="D1864" s="13" t="inlineStr">
        <is>
          <t>PROD</t>
        </is>
      </c>
      <c r="E1864" s="13" t="inlineStr">
        <is>
          <t>Produksi Harian</t>
        </is>
      </c>
      <c r="F1864" s="170" t="n">
        <v>46228.32440972222</v>
      </c>
      <c r="G1864" s="13" t="inlineStr">
        <is>
          <t>FREE</t>
        </is>
      </c>
      <c r="H1864" s="170" t="n"/>
    </row>
    <row r="1865">
      <c r="A1865" s="13" t="inlineStr">
        <is>
          <t>MK00249</t>
        </is>
      </c>
      <c r="B1865" s="13" t="n">
        <v>528000289</v>
      </c>
      <c r="C1865" s="13" t="inlineStr">
        <is>
          <t>Adit Supriyadi</t>
        </is>
      </c>
      <c r="D1865" s="13" t="inlineStr">
        <is>
          <t>PROD</t>
        </is>
      </c>
      <c r="E1865" s="13" t="inlineStr">
        <is>
          <t>Produksi Harian</t>
        </is>
      </c>
      <c r="F1865" s="170" t="n">
        <v>46228.32628472222</v>
      </c>
      <c r="G1865" s="13" t="inlineStr">
        <is>
          <t>FREE</t>
        </is>
      </c>
      <c r="H1865" s="170" t="n">
        <v>46228.66818287037</v>
      </c>
    </row>
    <row r="1866">
      <c r="A1866" s="13" t="inlineStr">
        <is>
          <t>MK00156</t>
        </is>
      </c>
      <c r="B1866" s="13" t="n">
        <v>528000241</v>
      </c>
      <c r="C1866" s="13" t="inlineStr">
        <is>
          <t>Balia Nurafif Bilah</t>
        </is>
      </c>
      <c r="D1866" s="13" t="inlineStr">
        <is>
          <t>PROD</t>
        </is>
      </c>
      <c r="E1866" s="13" t="inlineStr">
        <is>
          <t>Produksi Harian</t>
        </is>
      </c>
      <c r="F1866" s="170" t="n">
        <v>46228.32748842592</v>
      </c>
      <c r="G1866" s="13" t="inlineStr">
        <is>
          <t>FREE</t>
        </is>
      </c>
      <c r="H1866" s="170" t="n">
        <v>46228.67114583333</v>
      </c>
    </row>
    <row r="1867">
      <c r="A1867" s="13" t="inlineStr">
        <is>
          <t>MK00185</t>
        </is>
      </c>
      <c r="B1867" s="13" t="n">
        <v>528000273</v>
      </c>
      <c r="C1867" s="13" t="inlineStr">
        <is>
          <t>Asep Mulyana</t>
        </is>
      </c>
      <c r="D1867" s="13" t="inlineStr">
        <is>
          <t>PROD</t>
        </is>
      </c>
      <c r="E1867" s="13" t="inlineStr">
        <is>
          <t>Produksi Harian</t>
        </is>
      </c>
      <c r="F1867" s="170" t="n">
        <v>46228.32871527778</v>
      </c>
      <c r="G1867" s="13" t="inlineStr">
        <is>
          <t>FREE</t>
        </is>
      </c>
      <c r="H1867" s="170" t="n">
        <v>46228.66763888889</v>
      </c>
    </row>
    <row r="1868">
      <c r="A1868" s="13" t="inlineStr">
        <is>
          <t>MK00136</t>
        </is>
      </c>
      <c r="B1868" s="13" t="n">
        <v>528000274</v>
      </c>
      <c r="C1868" s="13" t="inlineStr">
        <is>
          <t>Zepri</t>
        </is>
      </c>
      <c r="D1868" s="13" t="inlineStr">
        <is>
          <t>PROD</t>
        </is>
      </c>
      <c r="E1868" s="13" t="inlineStr">
        <is>
          <t>Produksi Harian</t>
        </is>
      </c>
      <c r="F1868" s="170" t="n">
        <v>46228.33084490741</v>
      </c>
      <c r="G1868" s="13" t="inlineStr">
        <is>
          <t>FREE</t>
        </is>
      </c>
      <c r="H1868" s="170" t="n">
        <v>46228.66987268518</v>
      </c>
    </row>
    <row r="1869">
      <c r="A1869" s="13" t="inlineStr">
        <is>
          <t>MK00116</t>
        </is>
      </c>
      <c r="B1869" s="13" t="n">
        <v>528000212</v>
      </c>
      <c r="C1869" s="13" t="inlineStr">
        <is>
          <t>Rizal Fauzi</t>
        </is>
      </c>
      <c r="D1869" s="13" t="inlineStr">
        <is>
          <t>PROD</t>
        </is>
      </c>
      <c r="E1869" s="13" t="inlineStr">
        <is>
          <t>Produksi Harian</t>
        </is>
      </c>
      <c r="F1869" s="170" t="n">
        <v>46228.3310300926</v>
      </c>
      <c r="G1869" s="13" t="inlineStr">
        <is>
          <t>FREE</t>
        </is>
      </c>
      <c r="H1869" s="170" t="n">
        <v>46229.2777199074</v>
      </c>
    </row>
    <row r="1870">
      <c r="A1870" s="13" t="inlineStr">
        <is>
          <t>MK0085</t>
        </is>
      </c>
      <c r="B1870" s="13" t="n">
        <v>528000290</v>
      </c>
      <c r="C1870" s="13" t="inlineStr">
        <is>
          <t>Eval Pranata</t>
        </is>
      </c>
      <c r="D1870" s="13" t="inlineStr">
        <is>
          <t>PROD</t>
        </is>
      </c>
      <c r="E1870" s="13" t="inlineStr">
        <is>
          <t>Produksi Harian</t>
        </is>
      </c>
      <c r="F1870" s="170" t="n">
        <v>46228.33163194444</v>
      </c>
      <c r="G1870" s="13" t="inlineStr">
        <is>
          <t>FREE</t>
        </is>
      </c>
      <c r="H1870" s="170" t="n">
        <v>46228.67172453704</v>
      </c>
    </row>
    <row r="1871">
      <c r="A1871" s="13" t="inlineStr">
        <is>
          <t>MK00143</t>
        </is>
      </c>
      <c r="B1871" s="13" t="n">
        <v>528000090</v>
      </c>
      <c r="C1871" s="13" t="inlineStr">
        <is>
          <t>Suganda</t>
        </is>
      </c>
      <c r="D1871" s="13" t="inlineStr">
        <is>
          <t>PROD</t>
        </is>
      </c>
      <c r="E1871" s="13" t="inlineStr">
        <is>
          <t>Produksi Harian</t>
        </is>
      </c>
      <c r="F1871" s="170" t="n">
        <v>46228.33236111111</v>
      </c>
      <c r="G1871" s="13" t="inlineStr">
        <is>
          <t>FREE</t>
        </is>
      </c>
      <c r="H1871" s="170" t="n">
        <v>46228.67210648148</v>
      </c>
    </row>
    <row r="1872">
      <c r="A1872" s="13" t="inlineStr">
        <is>
          <t>MK00138</t>
        </is>
      </c>
      <c r="B1872" s="13" t="n">
        <v>528000262</v>
      </c>
      <c r="C1872" s="13" t="inlineStr">
        <is>
          <t>Ndari Dwiwanti</t>
        </is>
      </c>
      <c r="D1872" s="13" t="inlineStr">
        <is>
          <t>PROD</t>
        </is>
      </c>
      <c r="E1872" s="13" t="inlineStr">
        <is>
          <t>Produksi Harian</t>
        </is>
      </c>
      <c r="F1872" s="170" t="n">
        <v>46228.64990740741</v>
      </c>
      <c r="G1872" s="13" t="inlineStr">
        <is>
          <t>FREE</t>
        </is>
      </c>
      <c r="H1872" s="170" t="n">
        <v>46229.00283564815</v>
      </c>
    </row>
    <row r="1873">
      <c r="A1873" s="13" t="inlineStr">
        <is>
          <t>MK00055</t>
        </is>
      </c>
      <c r="B1873" s="13" t="n">
        <v>528000052</v>
      </c>
      <c r="C1873" s="13" t="inlineStr">
        <is>
          <t>Mustopa</t>
        </is>
      </c>
      <c r="D1873" s="13" t="inlineStr">
        <is>
          <t>PROD</t>
        </is>
      </c>
      <c r="E1873" s="13" t="inlineStr">
        <is>
          <t>Produksi Harian</t>
        </is>
      </c>
      <c r="F1873" s="170" t="n">
        <v>46228.65059027778</v>
      </c>
      <c r="G1873" s="13" t="inlineStr">
        <is>
          <t>FREE</t>
        </is>
      </c>
      <c r="H1873" s="170" t="n">
        <v>46229.00222222223</v>
      </c>
    </row>
    <row r="1874">
      <c r="A1874" s="13" t="inlineStr">
        <is>
          <t>MK00230</t>
        </is>
      </c>
      <c r="B1874" s="13" t="n">
        <v>528000266</v>
      </c>
      <c r="C1874" s="13" t="inlineStr">
        <is>
          <t>M. Syirajatieq</t>
        </is>
      </c>
      <c r="D1874" s="13" t="inlineStr">
        <is>
          <t>LOG</t>
        </is>
      </c>
      <c r="E1874" s="13" t="inlineStr">
        <is>
          <t>WFG Harian</t>
        </is>
      </c>
      <c r="F1874" s="170" t="n">
        <v>46228.65247685185</v>
      </c>
      <c r="G1874" s="13" t="inlineStr">
        <is>
          <t>FREE</t>
        </is>
      </c>
      <c r="H1874" s="170" t="n">
        <v>46229.01215277778</v>
      </c>
    </row>
    <row r="1875">
      <c r="A1875" s="13" t="inlineStr">
        <is>
          <t>MK00217</t>
        </is>
      </c>
      <c r="B1875" s="13" t="n">
        <v>528000337</v>
      </c>
      <c r="C1875" s="13" t="inlineStr">
        <is>
          <t>Ahmad Zaldi Firdaus</t>
        </is>
      </c>
      <c r="D1875" s="13" t="inlineStr">
        <is>
          <t>PROD</t>
        </is>
      </c>
      <c r="E1875" s="13" t="inlineStr">
        <is>
          <t>Produksi Harian</t>
        </is>
      </c>
      <c r="F1875" s="170" t="n">
        <v>46228.65252314815</v>
      </c>
      <c r="G1875" s="13" t="inlineStr">
        <is>
          <t>FREE</t>
        </is>
      </c>
      <c r="H1875" s="170" t="n">
        <v>46229.00739583333</v>
      </c>
    </row>
    <row r="1876">
      <c r="A1876" s="13" t="inlineStr">
        <is>
          <t>MK00218</t>
        </is>
      </c>
      <c r="B1876" s="13" t="n">
        <v>528000324</v>
      </c>
      <c r="C1876" s="13" t="inlineStr">
        <is>
          <t>Sri Yanti</t>
        </is>
      </c>
      <c r="D1876" s="13" t="inlineStr">
        <is>
          <t>PROD</t>
        </is>
      </c>
      <c r="E1876" s="13" t="inlineStr">
        <is>
          <t>Produksi Harian</t>
        </is>
      </c>
      <c r="F1876" s="170" t="n">
        <v>46228.65373842593</v>
      </c>
      <c r="G1876" s="13" t="inlineStr">
        <is>
          <t>FREE</t>
        </is>
      </c>
      <c r="H1876" s="170" t="n">
        <v>46229.0033912037</v>
      </c>
    </row>
    <row r="1877">
      <c r="A1877" s="13" t="inlineStr">
        <is>
          <t>MK00154</t>
        </is>
      </c>
      <c r="B1877" s="13" t="n">
        <v>528000261</v>
      </c>
      <c r="C1877" s="13" t="inlineStr">
        <is>
          <t>Ergi Ergianto</t>
        </is>
      </c>
      <c r="D1877" s="13" t="inlineStr">
        <is>
          <t>HRGA</t>
        </is>
      </c>
      <c r="E1877" s="13" t="inlineStr">
        <is>
          <t>GA Harian</t>
        </is>
      </c>
      <c r="F1877" s="170" t="n">
        <v>46228.65773148148</v>
      </c>
      <c r="G1877" s="13" t="inlineStr">
        <is>
          <t>FREE</t>
        </is>
      </c>
      <c r="H1877" s="170" t="n">
        <v>46229.00199074074</v>
      </c>
    </row>
    <row r="1878">
      <c r="A1878" s="13" t="inlineStr">
        <is>
          <t>MK00208</t>
        </is>
      </c>
      <c r="B1878" s="13" t="n">
        <v>528000358</v>
      </c>
      <c r="C1878" s="13" t="inlineStr">
        <is>
          <t>Lulu Agustin</t>
        </is>
      </c>
      <c r="D1878" s="13" t="inlineStr">
        <is>
          <t>PROD</t>
        </is>
      </c>
      <c r="E1878" s="13" t="inlineStr">
        <is>
          <t>Produksi Harian</t>
        </is>
      </c>
      <c r="F1878" s="170" t="n">
        <v>46228.65975694444</v>
      </c>
      <c r="G1878" s="13" t="inlineStr">
        <is>
          <t>FREE</t>
        </is>
      </c>
      <c r="H1878" s="170" t="n">
        <v>46229.00350694444</v>
      </c>
    </row>
    <row r="1879">
      <c r="A1879" s="13" t="inlineStr">
        <is>
          <t>MK00125</t>
        </is>
      </c>
      <c r="B1879" s="13" t="n">
        <v>528000314</v>
      </c>
      <c r="C1879" s="13" t="inlineStr">
        <is>
          <t>Rusmana</t>
        </is>
      </c>
      <c r="D1879" s="13" t="inlineStr">
        <is>
          <t>PROD</t>
        </is>
      </c>
      <c r="E1879" s="13" t="inlineStr">
        <is>
          <t>Produksi Harian</t>
        </is>
      </c>
      <c r="F1879" s="170" t="n">
        <v>46228.66162037037</v>
      </c>
      <c r="G1879" s="13" t="inlineStr">
        <is>
          <t>FREE</t>
        </is>
      </c>
      <c r="H1879" s="170" t="n">
        <v>46233.32842592592</v>
      </c>
    </row>
    <row r="1880">
      <c r="A1880" s="13" t="inlineStr">
        <is>
          <t>MK00108</t>
        </is>
      </c>
      <c r="B1880" s="13" t="n">
        <v>528000291</v>
      </c>
      <c r="C1880" s="13" t="inlineStr">
        <is>
          <t>Andrian</t>
        </is>
      </c>
      <c r="D1880" s="13" t="inlineStr">
        <is>
          <t>PROD</t>
        </is>
      </c>
      <c r="E1880" s="13" t="inlineStr">
        <is>
          <t>Produksi Harian</t>
        </is>
      </c>
      <c r="F1880" s="170" t="n">
        <v>46228.66164351852</v>
      </c>
      <c r="G1880" s="13" t="inlineStr">
        <is>
          <t>FREE</t>
        </is>
      </c>
      <c r="H1880" s="170" t="n">
        <v>46229.00202546296</v>
      </c>
    </row>
    <row r="1881">
      <c r="A1881" s="13" t="inlineStr">
        <is>
          <t>MK00213</t>
        </is>
      </c>
      <c r="B1881" s="13" t="n">
        <v>528000283</v>
      </c>
      <c r="C1881" s="13" t="inlineStr">
        <is>
          <t>Purwanda Sugiri</t>
        </is>
      </c>
      <c r="D1881" s="13" t="inlineStr">
        <is>
          <t>LOG</t>
        </is>
      </c>
      <c r="E1881" s="13" t="inlineStr">
        <is>
          <t>WRM Harian</t>
        </is>
      </c>
      <c r="F1881" s="170" t="n">
        <v>46228.66179398148</v>
      </c>
      <c r="G1881" s="13" t="inlineStr">
        <is>
          <t>FREE</t>
        </is>
      </c>
      <c r="H1881" s="170" t="n">
        <v>46229.6594212963</v>
      </c>
    </row>
    <row r="1882">
      <c r="A1882" s="13" t="inlineStr">
        <is>
          <t>MK00186</t>
        </is>
      </c>
      <c r="B1882" s="13" t="n">
        <v>528000360</v>
      </c>
      <c r="C1882" s="13" t="inlineStr">
        <is>
          <t>Hendra Permana</t>
        </is>
      </c>
      <c r="D1882" s="13" t="inlineStr">
        <is>
          <t>ENG</t>
        </is>
      </c>
      <c r="E1882" s="13" t="inlineStr">
        <is>
          <t>Engineering Harian</t>
        </is>
      </c>
      <c r="F1882" s="170" t="n">
        <v>46228.66475694445</v>
      </c>
      <c r="G1882" s="13" t="inlineStr">
        <is>
          <t>FREE</t>
        </is>
      </c>
      <c r="H1882" s="170" t="n">
        <v>46229.00177083333</v>
      </c>
    </row>
    <row r="1883">
      <c r="A1883" s="13" t="inlineStr">
        <is>
          <t>MK00088</t>
        </is>
      </c>
      <c r="B1883" s="13" t="n">
        <v>528000336</v>
      </c>
      <c r="C1883" s="13" t="inlineStr">
        <is>
          <t>Ali Nurhanafi</t>
        </is>
      </c>
      <c r="D1883" s="13" t="inlineStr">
        <is>
          <t>PROD</t>
        </is>
      </c>
      <c r="E1883" s="13" t="inlineStr">
        <is>
          <t>Produksi Harian</t>
        </is>
      </c>
      <c r="F1883" s="170" t="n">
        <v>46228.66969907407</v>
      </c>
      <c r="G1883" s="13" t="inlineStr">
        <is>
          <t>FREE</t>
        </is>
      </c>
      <c r="H1883" s="170" t="n">
        <v>46229.00408564815</v>
      </c>
    </row>
    <row r="1884">
      <c r="A1884" s="13" t="inlineStr">
        <is>
          <t>MK00181</t>
        </is>
      </c>
      <c r="B1884" s="13" t="n">
        <v>528000323</v>
      </c>
      <c r="C1884" s="13" t="inlineStr">
        <is>
          <t>Dian Hamidah</t>
        </is>
      </c>
      <c r="D1884" s="13" t="inlineStr">
        <is>
          <t>PROD</t>
        </is>
      </c>
      <c r="E1884" s="13" t="inlineStr">
        <is>
          <t>Produksi Harian</t>
        </is>
      </c>
      <c r="F1884" s="170" t="n">
        <v>46228.67017361111</v>
      </c>
      <c r="G1884" s="13" t="inlineStr">
        <is>
          <t>FREE</t>
        </is>
      </c>
      <c r="H1884" s="170" t="n">
        <v>46229.00354166667</v>
      </c>
    </row>
    <row r="1885">
      <c r="A1885" s="13" t="inlineStr">
        <is>
          <t>MK00143</t>
        </is>
      </c>
      <c r="B1885" s="13" t="n">
        <v>528000340</v>
      </c>
      <c r="C1885" s="13" t="inlineStr">
        <is>
          <t>Muhammad Wildan Adithya</t>
        </is>
      </c>
      <c r="D1885" s="13" t="inlineStr">
        <is>
          <t>PROD</t>
        </is>
      </c>
      <c r="E1885" s="13" t="inlineStr">
        <is>
          <t>Produksi Harian</t>
        </is>
      </c>
      <c r="F1885" s="170" t="n">
        <v>46228.95236111111</v>
      </c>
      <c r="G1885" s="13" t="inlineStr">
        <is>
          <t>FREE</t>
        </is>
      </c>
      <c r="H1885" s="170" t="n">
        <v>46229.33703703704</v>
      </c>
    </row>
    <row r="1886">
      <c r="A1886" s="13" t="inlineStr">
        <is>
          <t>MK00220</t>
        </is>
      </c>
      <c r="B1886" s="13" t="n">
        <v>528000313</v>
      </c>
      <c r="C1886" s="13" t="inlineStr">
        <is>
          <t>Muhamad Rifki</t>
        </is>
      </c>
      <c r="D1886" s="13" t="inlineStr">
        <is>
          <t>PROD</t>
        </is>
      </c>
      <c r="E1886" s="13" t="inlineStr">
        <is>
          <t>Produksi Harian</t>
        </is>
      </c>
      <c r="F1886" s="170" t="n">
        <v>46228.98163194444</v>
      </c>
      <c r="G1886" s="13" t="inlineStr">
        <is>
          <t>FREE</t>
        </is>
      </c>
      <c r="H1886" s="170" t="n">
        <v>46229.33644675926</v>
      </c>
    </row>
    <row r="1887">
      <c r="A1887" s="13" t="inlineStr">
        <is>
          <t>MK00121</t>
        </is>
      </c>
      <c r="B1887" s="13" t="n">
        <v>528000361</v>
      </c>
      <c r="C1887" s="13" t="inlineStr">
        <is>
          <t>Denada Munggarani</t>
        </is>
      </c>
      <c r="D1887" s="13" t="inlineStr">
        <is>
          <t>PROD</t>
        </is>
      </c>
      <c r="E1887" s="13" t="inlineStr">
        <is>
          <t>Produksi Harian</t>
        </is>
      </c>
      <c r="F1887" s="170" t="n">
        <v>46228.98555555556</v>
      </c>
      <c r="G1887" s="13" t="inlineStr">
        <is>
          <t>FREE</t>
        </is>
      </c>
      <c r="H1887" s="170" t="n">
        <v>46229.34043981481</v>
      </c>
    </row>
    <row r="1888">
      <c r="A1888" s="13" t="inlineStr">
        <is>
          <t>MK00250</t>
        </is>
      </c>
      <c r="B1888" s="13" t="n">
        <v>628000018</v>
      </c>
      <c r="C1888" s="13" t="inlineStr">
        <is>
          <t>Annisa Tri Pratiwi</t>
        </is>
      </c>
      <c r="D1888" s="13" t="inlineStr">
        <is>
          <t>PROD</t>
        </is>
      </c>
      <c r="E1888" s="13" t="inlineStr">
        <is>
          <t>Produksi Borongan</t>
        </is>
      </c>
      <c r="F1888" s="170" t="n">
        <v>46228.98697916666</v>
      </c>
      <c r="G1888" s="13" t="inlineStr">
        <is>
          <t>FREE</t>
        </is>
      </c>
      <c r="H1888" s="170" t="n">
        <v>46229.33826388889</v>
      </c>
    </row>
    <row r="1889">
      <c r="A1889" s="13" t="inlineStr">
        <is>
          <t>MK00123</t>
        </is>
      </c>
      <c r="B1889" s="13" t="n">
        <v>528000015</v>
      </c>
      <c r="C1889" s="13" t="inlineStr">
        <is>
          <t>Erwin</t>
        </is>
      </c>
      <c r="D1889" s="13" t="inlineStr">
        <is>
          <t>LOG</t>
        </is>
      </c>
      <c r="E1889" s="13" t="inlineStr">
        <is>
          <t>WRM Harian</t>
        </is>
      </c>
      <c r="F1889" s="170" t="n">
        <v>46228.98726851852</v>
      </c>
      <c r="G1889" s="13" t="inlineStr">
        <is>
          <t>FREE</t>
        </is>
      </c>
      <c r="H1889" s="170" t="n">
        <v>46229.40583333333</v>
      </c>
    </row>
    <row r="1890">
      <c r="A1890" s="13" t="inlineStr">
        <is>
          <t>MK00210</t>
        </is>
      </c>
      <c r="B1890" s="13" t="n">
        <v>528000309</v>
      </c>
      <c r="C1890" s="13" t="inlineStr">
        <is>
          <t>Ilham Ramadhan</t>
        </is>
      </c>
      <c r="D1890" s="13" t="inlineStr">
        <is>
          <t>LOG</t>
        </is>
      </c>
      <c r="E1890" s="13" t="inlineStr">
        <is>
          <t>WRM Harian</t>
        </is>
      </c>
      <c r="F1890" s="170" t="n">
        <v>46228.9891087963</v>
      </c>
      <c r="G1890" s="13" t="inlineStr">
        <is>
          <t>FREE</t>
        </is>
      </c>
      <c r="H1890" s="170" t="n">
        <v>46229.33646990741</v>
      </c>
    </row>
    <row r="1891">
      <c r="A1891" s="13" t="inlineStr">
        <is>
          <t>MK00095</t>
        </is>
      </c>
      <c r="B1891" s="13" t="n">
        <v>528000328</v>
      </c>
      <c r="C1891" s="13" t="inlineStr">
        <is>
          <t>Nur Anjani</t>
        </is>
      </c>
      <c r="D1891" s="13" t="inlineStr">
        <is>
          <t>PROD</t>
        </is>
      </c>
      <c r="E1891" s="13" t="inlineStr">
        <is>
          <t>Produksi Harian</t>
        </is>
      </c>
      <c r="F1891" s="170" t="n">
        <v>46228.98961805556</v>
      </c>
      <c r="G1891" s="13" t="inlineStr">
        <is>
          <t>FREE</t>
        </is>
      </c>
      <c r="H1891" s="170" t="n">
        <v>46229.33615740741</v>
      </c>
    </row>
    <row r="1892">
      <c r="A1892" s="13" t="inlineStr">
        <is>
          <t>MK00235</t>
        </is>
      </c>
      <c r="B1892" s="13" t="n">
        <v>528000318</v>
      </c>
      <c r="C1892" s="13" t="inlineStr">
        <is>
          <t>Bayu Padli Sepriyana</t>
        </is>
      </c>
      <c r="D1892" s="13" t="inlineStr">
        <is>
          <t>LOG</t>
        </is>
      </c>
      <c r="E1892" s="13" t="inlineStr">
        <is>
          <t>WRM Harian</t>
        </is>
      </c>
      <c r="F1892" s="170" t="n">
        <v>46228.99047453704</v>
      </c>
      <c r="G1892" s="13" t="inlineStr">
        <is>
          <t>FREE</t>
        </is>
      </c>
      <c r="H1892" s="170" t="n">
        <v>46229.33638888889</v>
      </c>
    </row>
    <row r="1893">
      <c r="A1893" s="13" t="inlineStr">
        <is>
          <t>MK00184</t>
        </is>
      </c>
      <c r="B1893" s="13" t="n">
        <v>528000270</v>
      </c>
      <c r="C1893" s="13" t="inlineStr">
        <is>
          <t>Febri Najmudin</t>
        </is>
      </c>
      <c r="D1893" s="13" t="inlineStr">
        <is>
          <t>LOG</t>
        </is>
      </c>
      <c r="E1893" s="13" t="inlineStr">
        <is>
          <t>WRM Harian</t>
        </is>
      </c>
      <c r="F1893" s="170" t="n">
        <v>46228.99107638889</v>
      </c>
      <c r="G1893" s="13" t="inlineStr">
        <is>
          <t>FREE</t>
        </is>
      </c>
      <c r="H1893" s="170" t="n">
        <v>46229.34885416667</v>
      </c>
    </row>
    <row r="1894">
      <c r="A1894" s="13" t="inlineStr">
        <is>
          <t>MK00085</t>
        </is>
      </c>
      <c r="B1894" s="13" t="n">
        <v>528000298</v>
      </c>
      <c r="C1894" s="13" t="inlineStr">
        <is>
          <t>Desta Cahaya Pratama</t>
        </is>
      </c>
      <c r="D1894" s="13" t="inlineStr">
        <is>
          <t>PROD</t>
        </is>
      </c>
      <c r="E1894" s="13" t="inlineStr">
        <is>
          <t>Produksi Harian</t>
        </is>
      </c>
      <c r="F1894" s="170" t="n">
        <v>46228.99284722222</v>
      </c>
      <c r="G1894" s="13" t="inlineStr">
        <is>
          <t>FREE</t>
        </is>
      </c>
      <c r="H1894" s="170" t="n">
        <v>46229.8395949074</v>
      </c>
    </row>
    <row r="1895">
      <c r="A1895" s="13" t="inlineStr">
        <is>
          <t>MK00185</t>
        </is>
      </c>
      <c r="B1895" s="13" t="n">
        <v>528000296</v>
      </c>
      <c r="C1895" s="13" t="inlineStr">
        <is>
          <t>Nurdin</t>
        </is>
      </c>
      <c r="D1895" s="13" t="inlineStr">
        <is>
          <t>PROD</t>
        </is>
      </c>
      <c r="E1895" s="13" t="inlineStr">
        <is>
          <t>Produksi Harian</t>
        </is>
      </c>
      <c r="F1895" s="170" t="n">
        <v>46228.99481481482</v>
      </c>
      <c r="G1895" s="13" t="inlineStr">
        <is>
          <t>FREE</t>
        </is>
      </c>
      <c r="H1895" s="170" t="n">
        <v>46229.33658564815</v>
      </c>
    </row>
    <row r="1896">
      <c r="A1896" s="13" t="inlineStr">
        <is>
          <t>MK00109</t>
        </is>
      </c>
      <c r="B1896" s="13" t="n">
        <v>528000244</v>
      </c>
      <c r="C1896" s="13" t="inlineStr">
        <is>
          <t>Rodian Rifai</t>
        </is>
      </c>
      <c r="D1896" s="13" t="inlineStr">
        <is>
          <t>PROD</t>
        </is>
      </c>
      <c r="E1896" s="13" t="inlineStr">
        <is>
          <t>Produksi Harian</t>
        </is>
      </c>
      <c r="F1896" s="170" t="n">
        <v>46229.2927199074</v>
      </c>
      <c r="G1896" s="13" t="inlineStr">
        <is>
          <t>FREE</t>
        </is>
      </c>
      <c r="H1896" s="170" t="n">
        <v>46229.70229166667</v>
      </c>
    </row>
    <row r="1897">
      <c r="A1897" s="13" t="inlineStr">
        <is>
          <t>MK00008</t>
        </is>
      </c>
      <c r="B1897" s="13" t="n">
        <v>528000339</v>
      </c>
      <c r="C1897" s="13" t="inlineStr">
        <is>
          <t>Muhamad Ripai'i</t>
        </is>
      </c>
      <c r="D1897" s="13" t="inlineStr">
        <is>
          <t>HRGA</t>
        </is>
      </c>
      <c r="E1897" s="13" t="inlineStr">
        <is>
          <t>GA Harian</t>
        </is>
      </c>
      <c r="F1897" s="170" t="n">
        <v>46229.29368055556</v>
      </c>
      <c r="G1897" s="13" t="inlineStr">
        <is>
          <t>FREE</t>
        </is>
      </c>
      <c r="H1897" s="170" t="n">
        <v>46229.67049768518</v>
      </c>
    </row>
    <row r="1898">
      <c r="A1898" s="13" t="inlineStr">
        <is>
          <t>MK00112</t>
        </is>
      </c>
      <c r="B1898" s="13" t="n">
        <v>528000289</v>
      </c>
      <c r="C1898" s="13" t="inlineStr">
        <is>
          <t>Adit Supriyadi</t>
        </is>
      </c>
      <c r="D1898" s="13" t="inlineStr">
        <is>
          <t>PROD</t>
        </is>
      </c>
      <c r="E1898" s="13" t="inlineStr">
        <is>
          <t>Produksi Harian</t>
        </is>
      </c>
      <c r="F1898" s="170" t="n">
        <v>46229.31493055556</v>
      </c>
      <c r="G1898" s="13" t="inlineStr">
        <is>
          <t>FREE</t>
        </is>
      </c>
      <c r="H1898" s="170" t="n">
        <v>46229.671875</v>
      </c>
    </row>
    <row r="1899">
      <c r="A1899" s="13" t="inlineStr">
        <is>
          <t>MK00249</t>
        </is>
      </c>
      <c r="B1899" s="13" t="n">
        <v>528000201</v>
      </c>
      <c r="C1899" s="13" t="inlineStr">
        <is>
          <t>Zahwa Amelia Choerunissa</t>
        </is>
      </c>
      <c r="D1899" s="13" t="inlineStr">
        <is>
          <t>PROD</t>
        </is>
      </c>
      <c r="E1899" s="13" t="inlineStr">
        <is>
          <t>Produksi Harian</t>
        </is>
      </c>
      <c r="F1899" s="170" t="n">
        <v>46229.32133101852</v>
      </c>
      <c r="G1899" s="13" t="inlineStr">
        <is>
          <t>FREE</t>
        </is>
      </c>
      <c r="H1899" s="170" t="n">
        <v>46229.66940972222</v>
      </c>
    </row>
    <row r="1900">
      <c r="A1900" s="13" t="inlineStr">
        <is>
          <t>MK00212</t>
        </is>
      </c>
      <c r="B1900" s="13" t="n">
        <v>528000286</v>
      </c>
      <c r="C1900" s="13" t="inlineStr">
        <is>
          <t>Imelda Amelia</t>
        </is>
      </c>
      <c r="D1900" s="13" t="inlineStr">
        <is>
          <t>PROD</t>
        </is>
      </c>
      <c r="E1900" s="13" t="inlineStr">
        <is>
          <t>Produksi Harian</t>
        </is>
      </c>
      <c r="F1900" s="170" t="n">
        <v>46229.32133101852</v>
      </c>
      <c r="G1900" s="13" t="inlineStr">
        <is>
          <t>FREE</t>
        </is>
      </c>
      <c r="H1900" s="170" t="n">
        <v>46229.749375</v>
      </c>
    </row>
    <row r="1901">
      <c r="A1901" s="13" t="inlineStr">
        <is>
          <t>MK00150</t>
        </is>
      </c>
      <c r="B1901" s="13" t="n">
        <v>528000273</v>
      </c>
      <c r="C1901" s="13" t="inlineStr">
        <is>
          <t>Asep Mulyana</t>
        </is>
      </c>
      <c r="D1901" s="13" t="inlineStr">
        <is>
          <t>PROD</t>
        </is>
      </c>
      <c r="E1901" s="13" t="inlineStr">
        <is>
          <t>Produksi Harian</t>
        </is>
      </c>
      <c r="F1901" s="170" t="n">
        <v>46229.32644675926</v>
      </c>
      <c r="G1901" s="13" t="inlineStr">
        <is>
          <t>FREE</t>
        </is>
      </c>
      <c r="H1901" s="170" t="n">
        <v>46229.66748842593</v>
      </c>
    </row>
    <row r="1902">
      <c r="A1902" s="13" t="inlineStr">
        <is>
          <t>MK00138</t>
        </is>
      </c>
      <c r="B1902" s="13" t="n">
        <v>528000241</v>
      </c>
      <c r="C1902" s="13" t="inlineStr">
        <is>
          <t>Balia Nurafif Bilah</t>
        </is>
      </c>
      <c r="D1902" s="13" t="inlineStr">
        <is>
          <t>PROD</t>
        </is>
      </c>
      <c r="E1902" s="13" t="inlineStr">
        <is>
          <t>Produksi Harian</t>
        </is>
      </c>
      <c r="F1902" s="170" t="n">
        <v>46229.32769675926</v>
      </c>
      <c r="G1902" s="13" t="inlineStr">
        <is>
          <t>FREE</t>
        </is>
      </c>
      <c r="H1902" s="170" t="n">
        <v>46229.66954861111</v>
      </c>
    </row>
    <row r="1903">
      <c r="A1903" s="13" t="inlineStr">
        <is>
          <t>MK00156</t>
        </is>
      </c>
      <c r="B1903" s="13" t="n">
        <v>528000274</v>
      </c>
      <c r="C1903" s="13" t="inlineStr">
        <is>
          <t>Zepri</t>
        </is>
      </c>
      <c r="D1903" s="13" t="inlineStr">
        <is>
          <t>PROD</t>
        </is>
      </c>
      <c r="E1903" s="13" t="inlineStr">
        <is>
          <t>Produksi Harian</t>
        </is>
      </c>
      <c r="F1903" s="170" t="n">
        <v>46229.32980324074</v>
      </c>
      <c r="G1903" s="13" t="inlineStr">
        <is>
          <t>FREE</t>
        </is>
      </c>
      <c r="H1903" s="170" t="n">
        <v>46229.66949074074</v>
      </c>
    </row>
    <row r="1904">
      <c r="A1904" s="13" t="inlineStr">
        <is>
          <t>MK00208</t>
        </is>
      </c>
      <c r="B1904" s="13" t="n">
        <v>528000290</v>
      </c>
      <c r="C1904" s="13" t="inlineStr">
        <is>
          <t>Eval Pranata</t>
        </is>
      </c>
      <c r="D1904" s="13" t="inlineStr">
        <is>
          <t>PROD</t>
        </is>
      </c>
      <c r="E1904" s="13" t="inlineStr">
        <is>
          <t>Produksi Harian</t>
        </is>
      </c>
      <c r="F1904" s="170" t="n">
        <v>46229.33054398148</v>
      </c>
      <c r="G1904" s="13" t="inlineStr">
        <is>
          <t>FREE</t>
        </is>
      </c>
      <c r="H1904" s="170" t="n">
        <v>46229.67089120371</v>
      </c>
    </row>
    <row r="1905">
      <c r="A1905" s="13" t="inlineStr">
        <is>
          <t>MK00181</t>
        </is>
      </c>
      <c r="B1905" s="13" t="n">
        <v>528000090</v>
      </c>
      <c r="C1905" s="13" t="inlineStr">
        <is>
          <t>Suganda</t>
        </is>
      </c>
      <c r="D1905" s="13" t="inlineStr">
        <is>
          <t>PROD</t>
        </is>
      </c>
      <c r="E1905" s="13" t="inlineStr">
        <is>
          <t>Produksi Harian</t>
        </is>
      </c>
      <c r="F1905" s="170" t="n">
        <v>46229.33053240741</v>
      </c>
      <c r="G1905" s="13" t="inlineStr">
        <is>
          <t>FREE</t>
        </is>
      </c>
      <c r="H1905" s="170" t="n">
        <v>46229.67059027778</v>
      </c>
    </row>
    <row r="1906">
      <c r="A1906" s="13" t="inlineStr">
        <is>
          <t>MK00202</t>
        </is>
      </c>
      <c r="B1906" s="13" t="n">
        <v>528000212</v>
      </c>
      <c r="C1906" s="13" t="inlineStr">
        <is>
          <t>Rizal Fauzi</t>
        </is>
      </c>
      <c r="D1906" s="13" t="inlineStr">
        <is>
          <t>PROD</t>
        </is>
      </c>
      <c r="E1906" s="13" t="inlineStr">
        <is>
          <t>Produksi Harian</t>
        </is>
      </c>
      <c r="F1906" s="170" t="n">
        <v>46229.33246527778</v>
      </c>
      <c r="G1906" s="13" t="inlineStr">
        <is>
          <t>FREE</t>
        </is>
      </c>
      <c r="H1906" s="170" t="n">
        <v>46230.23206018518</v>
      </c>
    </row>
    <row r="1907">
      <c r="A1907" s="13" t="inlineStr">
        <is>
          <t>MK00136</t>
        </is>
      </c>
      <c r="B1907" s="13" t="n">
        <v>528000262</v>
      </c>
      <c r="C1907" s="13" t="inlineStr">
        <is>
          <t>Ndari Dwiwanti</t>
        </is>
      </c>
      <c r="D1907" s="13" t="inlineStr">
        <is>
          <t>PROD</t>
        </is>
      </c>
      <c r="E1907" s="13" t="inlineStr">
        <is>
          <t>Produksi Harian</t>
        </is>
      </c>
      <c r="F1907" s="170" t="n">
        <v>46229.65427083334</v>
      </c>
      <c r="G1907" s="13" t="inlineStr">
        <is>
          <t>FREE</t>
        </is>
      </c>
      <c r="H1907" s="170" t="n">
        <v>46230.00052083333</v>
      </c>
    </row>
    <row r="1908">
      <c r="A1908" s="13" t="inlineStr">
        <is>
          <t>MK00210</t>
        </is>
      </c>
      <c r="B1908" s="13" t="n">
        <v>528000337</v>
      </c>
      <c r="C1908" s="13" t="inlineStr">
        <is>
          <t>Ahmad Zaldi Firdaus</t>
        </is>
      </c>
      <c r="D1908" s="13" t="inlineStr">
        <is>
          <t>PROD</t>
        </is>
      </c>
      <c r="E1908" s="13" t="inlineStr">
        <is>
          <t>Produksi Harian</t>
        </is>
      </c>
      <c r="F1908" s="170" t="n">
        <v>46229.65434027778</v>
      </c>
      <c r="G1908" s="13" t="inlineStr">
        <is>
          <t>FREE</t>
        </is>
      </c>
      <c r="H1908" s="170" t="n">
        <v>46230.00324074074</v>
      </c>
    </row>
    <row r="1909">
      <c r="A1909" s="13" t="inlineStr">
        <is>
          <t>MK00143</t>
        </is>
      </c>
      <c r="B1909" s="13" t="n">
        <v>528000261</v>
      </c>
      <c r="C1909" s="13" t="inlineStr">
        <is>
          <t>Ergi Ergianto</t>
        </is>
      </c>
      <c r="D1909" s="13" t="inlineStr">
        <is>
          <t>HRGA</t>
        </is>
      </c>
      <c r="E1909" s="13" t="inlineStr">
        <is>
          <t>GA Harian</t>
        </is>
      </c>
      <c r="F1909" s="170" t="n">
        <v>46229.65517361111</v>
      </c>
      <c r="G1909" s="13" t="inlineStr">
        <is>
          <t>FREE</t>
        </is>
      </c>
      <c r="H1909" s="170" t="n">
        <v>46230.00032407408</v>
      </c>
    </row>
    <row r="1910">
      <c r="A1910" s="13" t="inlineStr">
        <is>
          <t>MK00090</t>
        </is>
      </c>
      <c r="B1910" s="13" t="n">
        <v>528000306</v>
      </c>
      <c r="C1910" s="13" t="inlineStr">
        <is>
          <t>Windy Olivia</t>
        </is>
      </c>
      <c r="D1910" s="13" t="inlineStr">
        <is>
          <t>PROD</t>
        </is>
      </c>
      <c r="E1910" s="13" t="inlineStr">
        <is>
          <t>Produksi Harian</t>
        </is>
      </c>
      <c r="F1910" s="170" t="n">
        <v>46229.655625</v>
      </c>
      <c r="G1910" s="13" t="inlineStr">
        <is>
          <t>FREE</t>
        </is>
      </c>
      <c r="H1910" s="170" t="n">
        <v>46230.00114583333</v>
      </c>
    </row>
    <row r="1911">
      <c r="A1911" s="13" t="inlineStr">
        <is>
          <t>MK00185</t>
        </is>
      </c>
      <c r="B1911" s="13" t="n">
        <v>528000195</v>
      </c>
      <c r="C1911" s="13" t="inlineStr">
        <is>
          <t>Rahma Sariwati</t>
        </is>
      </c>
      <c r="D1911" s="13" t="inlineStr">
        <is>
          <t>PROD</t>
        </is>
      </c>
      <c r="E1911" s="13" t="inlineStr">
        <is>
          <t>Produksi Harian</t>
        </is>
      </c>
      <c r="F1911" s="170" t="n">
        <v>46229.65813657407</v>
      </c>
      <c r="G1911" s="13" t="inlineStr">
        <is>
          <t>FREE</t>
        </is>
      </c>
      <c r="H1911" s="170" t="n">
        <v>46230.00315972222</v>
      </c>
    </row>
    <row r="1912">
      <c r="A1912" s="13" t="inlineStr">
        <is>
          <t>MK00184</t>
        </is>
      </c>
      <c r="B1912" s="13" t="n">
        <v>528000266</v>
      </c>
      <c r="C1912" s="13" t="inlineStr">
        <is>
          <t>M. Syirajatieq</t>
        </is>
      </c>
      <c r="D1912" s="13" t="inlineStr">
        <is>
          <t>LOG</t>
        </is>
      </c>
      <c r="E1912" s="13" t="inlineStr">
        <is>
          <t>WFG Harian</t>
        </is>
      </c>
      <c r="F1912" s="170" t="n">
        <v>46229.65828703704</v>
      </c>
      <c r="G1912" s="13" t="inlineStr">
        <is>
          <t>FREE</t>
        </is>
      </c>
      <c r="H1912" s="170" t="n">
        <v>46230.02013888889</v>
      </c>
    </row>
    <row r="1913">
      <c r="A1913" s="13" t="inlineStr">
        <is>
          <t>MK00095</t>
        </is>
      </c>
      <c r="B1913" s="13" t="n">
        <v>528000283</v>
      </c>
      <c r="C1913" s="13" t="inlineStr">
        <is>
          <t>Purwanda Sugiri</t>
        </is>
      </c>
      <c r="D1913" s="13" t="inlineStr">
        <is>
          <t>LOG</t>
        </is>
      </c>
      <c r="E1913" s="13" t="inlineStr">
        <is>
          <t>WRM Harian</t>
        </is>
      </c>
      <c r="F1913" s="170" t="n">
        <v>46229.66008101852</v>
      </c>
      <c r="G1913" s="13" t="inlineStr">
        <is>
          <t>FREE</t>
        </is>
      </c>
      <c r="H1913" s="170" t="n">
        <v>46233.32636574074</v>
      </c>
    </row>
    <row r="1914">
      <c r="A1914" s="13" t="inlineStr">
        <is>
          <t>MK00192</t>
        </is>
      </c>
      <c r="B1914" s="13" t="n">
        <v>528000358</v>
      </c>
      <c r="C1914" s="13" t="inlineStr">
        <is>
          <t>Lulu Agustin</t>
        </is>
      </c>
      <c r="D1914" s="13" t="inlineStr">
        <is>
          <t>PROD</t>
        </is>
      </c>
      <c r="E1914" s="13" t="inlineStr">
        <is>
          <t>Produksi Harian</t>
        </is>
      </c>
      <c r="F1914" s="170" t="n">
        <v>46229.66103009259</v>
      </c>
      <c r="G1914" s="13" t="inlineStr">
        <is>
          <t>FREE</t>
        </is>
      </c>
      <c r="H1914" s="170" t="n">
        <v>46230.00056712963</v>
      </c>
    </row>
    <row r="1915">
      <c r="A1915" s="13" t="inlineStr">
        <is>
          <t>MK00230</t>
        </is>
      </c>
      <c r="B1915" s="13" t="n">
        <v>528000291</v>
      </c>
      <c r="C1915" s="13" t="inlineStr">
        <is>
          <t>Andrian</t>
        </is>
      </c>
      <c r="D1915" s="13" t="inlineStr">
        <is>
          <t>PROD</t>
        </is>
      </c>
      <c r="E1915" s="13" t="inlineStr">
        <is>
          <t>Produksi Harian</t>
        </is>
      </c>
      <c r="F1915" s="170" t="n">
        <v>46229.66133101852</v>
      </c>
      <c r="G1915" s="13" t="inlineStr">
        <is>
          <t>FREE</t>
        </is>
      </c>
      <c r="H1915" s="170" t="n">
        <v>46230.00025462963</v>
      </c>
    </row>
    <row r="1916">
      <c r="A1916" s="13" t="inlineStr">
        <is>
          <t>MK00220</t>
        </is>
      </c>
      <c r="B1916" s="13" t="n">
        <v>528000360</v>
      </c>
      <c r="C1916" s="13" t="inlineStr">
        <is>
          <t>Hendra Permana</t>
        </is>
      </c>
      <c r="D1916" s="13" t="inlineStr">
        <is>
          <t>ENG</t>
        </is>
      </c>
      <c r="E1916" s="13" t="inlineStr">
        <is>
          <t>Engineering Harian</t>
        </is>
      </c>
      <c r="F1916" s="170" t="n">
        <v>46229.66333333333</v>
      </c>
      <c r="G1916" s="13" t="inlineStr">
        <is>
          <t>FREE</t>
        </is>
      </c>
      <c r="H1916" s="170" t="n">
        <v>46230.00013888889</v>
      </c>
    </row>
    <row r="1917">
      <c r="A1917" s="13" t="inlineStr">
        <is>
          <t>MK00138</t>
        </is>
      </c>
      <c r="B1917" s="13" t="n">
        <v>528000069</v>
      </c>
      <c r="C1917" s="13" t="inlineStr">
        <is>
          <t>Jajang Ardiansyah</t>
        </is>
      </c>
      <c r="D1917" s="13" t="inlineStr">
        <is>
          <t>PROD</t>
        </is>
      </c>
      <c r="E1917" s="13" t="inlineStr">
        <is>
          <t>Produksi Harian</t>
        </is>
      </c>
      <c r="F1917" s="170" t="n">
        <v>46229.69949074074</v>
      </c>
      <c r="G1917" s="13" t="inlineStr">
        <is>
          <t>FREE</t>
        </is>
      </c>
      <c r="H1917" s="170" t="n">
        <v>46230.26753472222</v>
      </c>
    </row>
    <row r="1918">
      <c r="A1918" s="13" t="inlineStr">
        <is>
          <t>MK00249</t>
        </is>
      </c>
      <c r="B1918" s="13" t="n">
        <v>528000340</v>
      </c>
      <c r="C1918" s="13" t="inlineStr">
        <is>
          <t>Muhammad Wildan Adithya</t>
        </is>
      </c>
      <c r="D1918" s="13" t="inlineStr">
        <is>
          <t>PROD</t>
        </is>
      </c>
      <c r="E1918" s="13" t="inlineStr">
        <is>
          <t>Produksi Harian</t>
        </is>
      </c>
      <c r="F1918" s="170" t="n">
        <v>46229.72982638889</v>
      </c>
      <c r="G1918" s="13" t="inlineStr">
        <is>
          <t>FREE</t>
        </is>
      </c>
      <c r="H1918" s="170" t="n">
        <v>46230.00263888889</v>
      </c>
    </row>
    <row r="1919">
      <c r="A1919" s="13" t="inlineStr">
        <is>
          <t>MK00181</t>
        </is>
      </c>
      <c r="B1919" s="13" t="n">
        <v>528000282</v>
      </c>
      <c r="C1919" s="13" t="inlineStr">
        <is>
          <t>Defa Desfiana</t>
        </is>
      </c>
      <c r="D1919" s="13" t="inlineStr">
        <is>
          <t>PROD</t>
        </is>
      </c>
      <c r="E1919" s="13" t="inlineStr">
        <is>
          <t>Produksi Harian</t>
        </is>
      </c>
      <c r="F1919" s="170" t="n">
        <v>46229.74068287037</v>
      </c>
      <c r="G1919" s="13" t="inlineStr">
        <is>
          <t>FREE</t>
        </is>
      </c>
      <c r="H1919" s="170" t="n">
        <v>46230.09258101852</v>
      </c>
    </row>
    <row r="1920">
      <c r="A1920" s="13" t="inlineStr">
        <is>
          <t>MK00208</t>
        </is>
      </c>
      <c r="B1920" s="13" t="n">
        <v>528000310</v>
      </c>
      <c r="C1920" s="13" t="inlineStr">
        <is>
          <t>Fachrul Rozzi Suryana</t>
        </is>
      </c>
      <c r="D1920" s="13" t="inlineStr">
        <is>
          <t>LOG</t>
        </is>
      </c>
      <c r="E1920" s="13" t="inlineStr">
        <is>
          <t>WRM Harian</t>
        </is>
      </c>
      <c r="F1920" s="170" t="n">
        <v>46229.74371527778</v>
      </c>
      <c r="G1920" s="13" t="inlineStr">
        <is>
          <t>FREE</t>
        </is>
      </c>
      <c r="H1920" s="170" t="n">
        <v>46230.08387731481</v>
      </c>
    </row>
    <row r="1921">
      <c r="A1921" s="13" t="inlineStr">
        <is>
          <t>MK00145</t>
        </is>
      </c>
      <c r="B1921" s="13" t="n">
        <v>528000265</v>
      </c>
      <c r="C1921" s="13" t="inlineStr">
        <is>
          <t>Muhammad Haerul Rozikin</t>
        </is>
      </c>
      <c r="D1921" s="13" t="inlineStr">
        <is>
          <t>LOG</t>
        </is>
      </c>
      <c r="E1921" s="13" t="inlineStr">
        <is>
          <t>WRM Harian</t>
        </is>
      </c>
      <c r="F1921" s="170" t="n">
        <v>46229.74494212963</v>
      </c>
      <c r="G1921" s="13" t="inlineStr">
        <is>
          <t>FREE</t>
        </is>
      </c>
      <c r="H1921" s="170" t="n">
        <v>46230.08574074074</v>
      </c>
    </row>
    <row r="1922">
      <c r="A1922" s="13" t="inlineStr">
        <is>
          <t>MK00112</t>
        </is>
      </c>
      <c r="B1922" s="13" t="n">
        <v>528000351</v>
      </c>
      <c r="C1922" s="13" t="inlineStr">
        <is>
          <t>Mulyana</t>
        </is>
      </c>
      <c r="D1922" s="13" t="inlineStr">
        <is>
          <t>PROD</t>
        </is>
      </c>
      <c r="E1922" s="13" t="inlineStr">
        <is>
          <t>Produksi Harian</t>
        </is>
      </c>
      <c r="F1922" s="170" t="n">
        <v>46229.74539351852</v>
      </c>
      <c r="G1922" s="13" t="inlineStr">
        <is>
          <t>FREE</t>
        </is>
      </c>
      <c r="H1922" s="170" t="n">
        <v>46230.08393518518</v>
      </c>
    </row>
    <row r="1923">
      <c r="A1923" s="13" t="inlineStr">
        <is>
          <t>MK00204</t>
        </is>
      </c>
      <c r="B1923" s="13" t="n">
        <v>528000335</v>
      </c>
      <c r="C1923" s="13" t="inlineStr">
        <is>
          <t>Rizal Saepuloh</t>
        </is>
      </c>
      <c r="D1923" s="13" t="inlineStr">
        <is>
          <t>LOG</t>
        </is>
      </c>
      <c r="E1923" s="13" t="inlineStr">
        <is>
          <t>WRM Harian</t>
        </is>
      </c>
      <c r="F1923" s="170" t="n">
        <v>46229.74689814815</v>
      </c>
      <c r="G1923" s="13" t="inlineStr">
        <is>
          <t>FREE</t>
        </is>
      </c>
      <c r="H1923" s="170" t="n">
        <v>46230.08349537037</v>
      </c>
    </row>
    <row r="1924">
      <c r="A1924" s="13" t="inlineStr">
        <is>
          <t>MK00221</t>
        </is>
      </c>
      <c r="B1924" s="13" t="n">
        <v>528000144</v>
      </c>
      <c r="C1924" s="13" t="inlineStr">
        <is>
          <t>Jodi Hanafi</t>
        </is>
      </c>
      <c r="D1924" s="13" t="inlineStr">
        <is>
          <t>LOG</t>
        </is>
      </c>
      <c r="E1924" s="13" t="inlineStr">
        <is>
          <t>WRM Harian</t>
        </is>
      </c>
      <c r="F1924" s="170" t="n">
        <v>46229.75134259259</v>
      </c>
      <c r="G1924" s="13" t="inlineStr">
        <is>
          <t>FREE</t>
        </is>
      </c>
      <c r="H1924" s="170" t="n">
        <v>46230.08866898148</v>
      </c>
    </row>
    <row r="1925">
      <c r="A1925" s="13" t="inlineStr">
        <is>
          <t>MK0130</t>
        </is>
      </c>
      <c r="B1925" s="13" t="n">
        <v>528000149</v>
      </c>
      <c r="C1925" s="13" t="inlineStr">
        <is>
          <t>Tio Fernanda</t>
        </is>
      </c>
      <c r="D1925" s="13" t="inlineStr">
        <is>
          <t>LOG</t>
        </is>
      </c>
      <c r="E1925" s="13" t="inlineStr">
        <is>
          <t>WRM Harian</t>
        </is>
      </c>
      <c r="F1925" s="170" t="n">
        <v>46229.78641203704</v>
      </c>
      <c r="G1925" s="13" t="inlineStr">
        <is>
          <t>FREE</t>
        </is>
      </c>
      <c r="H1925" s="170" t="n">
        <v>46230.78457175926</v>
      </c>
    </row>
    <row r="1926">
      <c r="A1926" s="13" t="inlineStr">
        <is>
          <t>MK00141</t>
        </is>
      </c>
      <c r="B1926" s="13" t="n">
        <v>528000040</v>
      </c>
      <c r="C1926" s="13" t="inlineStr">
        <is>
          <t>Agus Suryaman</t>
        </is>
      </c>
      <c r="D1926" s="13" t="inlineStr">
        <is>
          <t>PROD</t>
        </is>
      </c>
      <c r="E1926" s="13" t="inlineStr">
        <is>
          <t>Produksi Harian</t>
        </is>
      </c>
      <c r="F1926" s="170" t="n">
        <v>46229.78649305556</v>
      </c>
      <c r="G1926" s="13" t="inlineStr">
        <is>
          <t>FREE</t>
        </is>
      </c>
      <c r="H1926" s="170" t="n">
        <v>46230.13119212963</v>
      </c>
    </row>
    <row r="1927">
      <c r="A1927" s="13" t="inlineStr">
        <is>
          <t>MK00150</t>
        </is>
      </c>
      <c r="B1927" s="13" t="n">
        <v>528000232</v>
      </c>
      <c r="C1927" s="13" t="inlineStr">
        <is>
          <t>Agung Aji Suhada</t>
        </is>
      </c>
      <c r="D1927" s="13" t="inlineStr">
        <is>
          <t>LOG</t>
        </is>
      </c>
      <c r="E1927" s="13" t="inlineStr">
        <is>
          <t>WRM Harian</t>
        </is>
      </c>
      <c r="F1927" s="170" t="n">
        <v>46229.78733796296</v>
      </c>
      <c r="G1927" s="13" t="inlineStr">
        <is>
          <t>FREE</t>
        </is>
      </c>
      <c r="H1927" s="170" t="n">
        <v>46230.33462962963</v>
      </c>
    </row>
    <row r="1928">
      <c r="A1928" s="13" t="inlineStr">
        <is>
          <t>MK00205</t>
        </is>
      </c>
      <c r="B1928" s="13" t="n">
        <v>528000348</v>
      </c>
      <c r="C1928" s="13" t="inlineStr">
        <is>
          <t>Saepuloh Ardiansah</t>
        </is>
      </c>
      <c r="D1928" s="13" t="inlineStr">
        <is>
          <t>LOG</t>
        </is>
      </c>
      <c r="E1928" s="13" t="inlineStr">
        <is>
          <t>WRM Harian</t>
        </is>
      </c>
      <c r="F1928" s="170" t="n">
        <v>46229.78792824074</v>
      </c>
      <c r="G1928" s="13" t="inlineStr">
        <is>
          <t>FREE</t>
        </is>
      </c>
      <c r="H1928" s="170" t="n">
        <v>46230.135625</v>
      </c>
    </row>
    <row r="1929">
      <c r="A1929" s="13" t="inlineStr">
        <is>
          <t>MK00082</t>
        </is>
      </c>
      <c r="B1929" s="13" t="n">
        <v>528000296</v>
      </c>
      <c r="C1929" s="13" t="inlineStr">
        <is>
          <t>Nurdin</t>
        </is>
      </c>
      <c r="D1929" s="13" t="inlineStr">
        <is>
          <t>PROD</t>
        </is>
      </c>
      <c r="E1929" s="13" t="inlineStr">
        <is>
          <t>Produksi Harian</t>
        </is>
      </c>
      <c r="F1929" s="170" t="n">
        <v>46229.78807870371</v>
      </c>
      <c r="G1929" s="13" t="inlineStr">
        <is>
          <t>FREE</t>
        </is>
      </c>
      <c r="H1929" s="170" t="n">
        <v>46230.12726851852</v>
      </c>
    </row>
    <row r="1930">
      <c r="A1930" s="13" t="inlineStr">
        <is>
          <t>MK00160</t>
        </is>
      </c>
      <c r="B1930" s="13" t="n">
        <v>528000324</v>
      </c>
      <c r="C1930" s="13" t="inlineStr">
        <is>
          <t>Sri Yanti</t>
        </is>
      </c>
      <c r="D1930" s="13" t="inlineStr">
        <is>
          <t>PROD</t>
        </is>
      </c>
      <c r="E1930" s="13" t="inlineStr">
        <is>
          <t>Produksi Harian</t>
        </is>
      </c>
      <c r="F1930" s="170" t="n">
        <v>46229.97105324074</v>
      </c>
      <c r="G1930" s="13" t="inlineStr">
        <is>
          <t>FREE</t>
        </is>
      </c>
      <c r="H1930" s="170" t="n">
        <v>46230.33675925926</v>
      </c>
    </row>
    <row r="1931">
      <c r="A1931" s="13" t="inlineStr">
        <is>
          <t>MK00218</t>
        </is>
      </c>
      <c r="B1931" s="13" t="n">
        <v>528000323</v>
      </c>
      <c r="C1931" s="13" t="inlineStr">
        <is>
          <t>Dian Hamidah</t>
        </is>
      </c>
      <c r="D1931" s="13" t="inlineStr">
        <is>
          <t>PROD</t>
        </is>
      </c>
      <c r="E1931" s="13" t="inlineStr">
        <is>
          <t>Produksi Harian</t>
        </is>
      </c>
      <c r="F1931" s="170" t="n">
        <v>46229.98752314815</v>
      </c>
      <c r="G1931" s="13" t="inlineStr">
        <is>
          <t>FREE</t>
        </is>
      </c>
      <c r="H1931" s="170" t="n">
        <v>46230.3394212963</v>
      </c>
    </row>
    <row r="1932">
      <c r="A1932" s="13" t="inlineStr">
        <is>
          <t>MK00121</t>
        </is>
      </c>
      <c r="B1932" s="13" t="n">
        <v>628000064</v>
      </c>
      <c r="C1932" s="13" t="inlineStr">
        <is>
          <t>Silva Alypia</t>
        </is>
      </c>
      <c r="D1932" s="13" t="inlineStr">
        <is>
          <t>PROD</t>
        </is>
      </c>
      <c r="E1932" s="13" t="inlineStr">
        <is>
          <t>Produksi Borongan</t>
        </is>
      </c>
      <c r="F1932" s="170" t="n">
        <v>46229.98946759259</v>
      </c>
      <c r="G1932" s="13" t="inlineStr">
        <is>
          <t>FREE</t>
        </is>
      </c>
      <c r="H1932" s="170" t="n">
        <v>46230.33762731482</v>
      </c>
    </row>
    <row r="1933">
      <c r="A1933" s="13" t="inlineStr">
        <is>
          <t>MK00217</t>
        </is>
      </c>
      <c r="B1933" s="13" t="n">
        <v>528000297</v>
      </c>
      <c r="C1933" s="13" t="inlineStr">
        <is>
          <t>Muhamad Budiana</t>
        </is>
      </c>
      <c r="D1933" s="13" t="inlineStr">
        <is>
          <t>PROD</t>
        </is>
      </c>
      <c r="E1933" s="13" t="inlineStr">
        <is>
          <t>Produksi Harian</t>
        </is>
      </c>
      <c r="F1933" s="170" t="n">
        <v>46229.99069444444</v>
      </c>
      <c r="G1933" s="13" t="inlineStr">
        <is>
          <t>FREE</t>
        </is>
      </c>
      <c r="H1933" s="170" t="n">
        <v>46230.39472222222</v>
      </c>
    </row>
    <row r="1934">
      <c r="A1934" s="13" t="inlineStr">
        <is>
          <t>MK00154</t>
        </is>
      </c>
      <c r="B1934" s="13" t="n">
        <v>528000300</v>
      </c>
      <c r="C1934" s="13" t="inlineStr">
        <is>
          <t>Lia pitaloka</t>
        </is>
      </c>
      <c r="D1934" s="13" t="inlineStr">
        <is>
          <t>PROD</t>
        </is>
      </c>
      <c r="E1934" s="13" t="inlineStr">
        <is>
          <t>Produksi Harian</t>
        </is>
      </c>
      <c r="F1934" s="170" t="n">
        <v>46229.99393518519</v>
      </c>
      <c r="G1934" s="13" t="inlineStr">
        <is>
          <t>FREE</t>
        </is>
      </c>
      <c r="H1934" s="170" t="n">
        <v>46230.33755787037</v>
      </c>
    </row>
    <row r="1935">
      <c r="A1935" s="13" t="inlineStr">
        <is>
          <t>MK00235</t>
        </is>
      </c>
      <c r="B1935" s="13" t="n">
        <v>528000248</v>
      </c>
      <c r="C1935" s="13" t="inlineStr">
        <is>
          <t>Roka Jaya Salka Mulya</t>
        </is>
      </c>
      <c r="D1935" s="13" t="inlineStr">
        <is>
          <t>PROD</t>
        </is>
      </c>
      <c r="E1935" s="13" t="inlineStr">
        <is>
          <t>Produksi Harian</t>
        </is>
      </c>
      <c r="F1935" s="170" t="n">
        <v>46229.99440972223</v>
      </c>
      <c r="G1935" s="13" t="inlineStr">
        <is>
          <t>FREE</t>
        </is>
      </c>
      <c r="H1935" s="170" t="n">
        <v>46230.33619212963</v>
      </c>
    </row>
    <row r="1936">
      <c r="A1936" s="13" t="inlineStr">
        <is>
          <t>MK00213</t>
        </is>
      </c>
      <c r="B1936" s="13" t="n">
        <v>528000279</v>
      </c>
      <c r="C1936" s="13" t="inlineStr">
        <is>
          <t>Mahdalena Dalfa Riani</t>
        </is>
      </c>
      <c r="D1936" s="13" t="inlineStr">
        <is>
          <t>PROD</t>
        </is>
      </c>
      <c r="E1936" s="13" t="inlineStr">
        <is>
          <t>Produksi Harian</t>
        </is>
      </c>
      <c r="F1936" s="170" t="n">
        <v>46229.99489583333</v>
      </c>
      <c r="G1936" s="13" t="inlineStr">
        <is>
          <t>FREE</t>
        </is>
      </c>
      <c r="H1936" s="170" t="n">
        <v>46230.338125</v>
      </c>
    </row>
    <row r="1937">
      <c r="A1937" s="13" t="inlineStr">
        <is>
          <t>MA00108</t>
        </is>
      </c>
      <c r="B1937" s="13" t="n">
        <v>528000063</v>
      </c>
      <c r="C1937" s="13" t="inlineStr">
        <is>
          <t>Muhamad Ripki Pebrian</t>
        </is>
      </c>
      <c r="D1937" s="13" t="inlineStr">
        <is>
          <t>PROD</t>
        </is>
      </c>
      <c r="E1937" s="13" t="inlineStr">
        <is>
          <t>Produksi Harian</t>
        </is>
      </c>
      <c r="F1937" s="170" t="n">
        <v>46229.99696759259</v>
      </c>
      <c r="G1937" s="13" t="inlineStr">
        <is>
          <t>FREE</t>
        </is>
      </c>
      <c r="H1937" s="170" t="n"/>
    </row>
    <row r="1938">
      <c r="A1938" s="13" t="inlineStr">
        <is>
          <t>MK00093</t>
        </is>
      </c>
      <c r="B1938" s="13" t="n">
        <v>528000267</v>
      </c>
      <c r="C1938" s="13" t="inlineStr">
        <is>
          <t>Bagas Patulloh</t>
        </is>
      </c>
      <c r="D1938" s="13" t="inlineStr">
        <is>
          <t>LOG</t>
        </is>
      </c>
      <c r="E1938" s="13" t="inlineStr">
        <is>
          <t>WRM Harian</t>
        </is>
      </c>
      <c r="F1938" s="170" t="n">
        <v>46230.085625</v>
      </c>
      <c r="G1938" s="13" t="inlineStr">
        <is>
          <t>FREE</t>
        </is>
      </c>
      <c r="H1938" s="170" t="n">
        <v>46230.41853009259</v>
      </c>
    </row>
    <row r="1939">
      <c r="A1939" s="13" t="inlineStr">
        <is>
          <t>MK00008</t>
        </is>
      </c>
      <c r="B1939" s="13" t="n">
        <v>528000244</v>
      </c>
      <c r="C1939" s="13" t="inlineStr">
        <is>
          <t>Rodian Rifai</t>
        </is>
      </c>
      <c r="D1939" s="13" t="inlineStr">
        <is>
          <t>PROD</t>
        </is>
      </c>
      <c r="E1939" s="13" t="inlineStr">
        <is>
          <t>Produksi Harian</t>
        </is>
      </c>
      <c r="F1939" s="170" t="n">
        <v>46230.29351851852</v>
      </c>
      <c r="G1939" s="13" t="inlineStr">
        <is>
          <t>FREE</t>
        </is>
      </c>
      <c r="H1939" s="170" t="n">
        <v>46230.70582175926</v>
      </c>
    </row>
    <row r="1940">
      <c r="A1940" s="13" t="inlineStr">
        <is>
          <t>MK00138</t>
        </is>
      </c>
      <c r="B1940" s="13" t="n">
        <v>528000339</v>
      </c>
      <c r="C1940" s="13" t="inlineStr">
        <is>
          <t>Muhamad Ripai'i</t>
        </is>
      </c>
      <c r="D1940" s="13" t="inlineStr">
        <is>
          <t>HRGA</t>
        </is>
      </c>
      <c r="E1940" s="13" t="inlineStr">
        <is>
          <t>GA Harian</t>
        </is>
      </c>
      <c r="F1940" s="170" t="n">
        <v>46230.29428240741</v>
      </c>
      <c r="G1940" s="13" t="inlineStr">
        <is>
          <t>FREE</t>
        </is>
      </c>
      <c r="H1940" s="170" t="n">
        <v>46230.67261574074</v>
      </c>
    </row>
    <row r="1941">
      <c r="A1941" s="13" t="inlineStr">
        <is>
          <t>MK00145</t>
        </is>
      </c>
      <c r="B1941" s="13" t="n">
        <v>528000289</v>
      </c>
      <c r="C1941" s="13" t="inlineStr">
        <is>
          <t>Adit Supriyadi</t>
        </is>
      </c>
      <c r="D1941" s="13" t="inlineStr">
        <is>
          <t>PROD</t>
        </is>
      </c>
      <c r="E1941" s="13" t="inlineStr">
        <is>
          <t>Produksi Harian</t>
        </is>
      </c>
      <c r="F1941" s="170" t="n">
        <v>46230.29434027777</v>
      </c>
      <c r="G1941" s="13" t="inlineStr">
        <is>
          <t>FREE</t>
        </is>
      </c>
      <c r="H1941" s="170" t="n">
        <v>46230.73359953704</v>
      </c>
    </row>
    <row r="1942">
      <c r="A1942" s="13" t="inlineStr">
        <is>
          <t>MK00202</t>
        </is>
      </c>
      <c r="B1942" s="13" t="n">
        <v>528000201</v>
      </c>
      <c r="C1942" s="13" t="inlineStr">
        <is>
          <t>Zahwa Amelia Choerunissa</t>
        </is>
      </c>
      <c r="D1942" s="13" t="inlineStr">
        <is>
          <t>PROD</t>
        </is>
      </c>
      <c r="E1942" s="13" t="inlineStr">
        <is>
          <t>Produksi Harian</t>
        </is>
      </c>
      <c r="F1942" s="170" t="n">
        <v>46230.32028935185</v>
      </c>
      <c r="G1942" s="13" t="inlineStr">
        <is>
          <t>FREE</t>
        </is>
      </c>
      <c r="H1942" s="170" t="n">
        <v>46230.66989583334</v>
      </c>
    </row>
    <row r="1943">
      <c r="A1943" s="13" t="inlineStr">
        <is>
          <t>MK00185</t>
        </is>
      </c>
      <c r="B1943" s="13" t="n">
        <v>528000286</v>
      </c>
      <c r="C1943" s="13" t="inlineStr">
        <is>
          <t>Imelda Amelia</t>
        </is>
      </c>
      <c r="D1943" s="13" t="inlineStr">
        <is>
          <t>PROD</t>
        </is>
      </c>
      <c r="E1943" s="13" t="inlineStr">
        <is>
          <t>Produksi Harian</t>
        </is>
      </c>
      <c r="F1943" s="170" t="n">
        <v>46230.3221412037</v>
      </c>
      <c r="G1943" s="13" t="inlineStr">
        <is>
          <t>FREE</t>
        </is>
      </c>
      <c r="H1943" s="170" t="n">
        <v>46230.67231481482</v>
      </c>
    </row>
    <row r="1944">
      <c r="A1944" s="13" t="inlineStr">
        <is>
          <t>MK00209</t>
        </is>
      </c>
      <c r="B1944" s="13" t="n">
        <v>528000273</v>
      </c>
      <c r="C1944" s="13" t="inlineStr">
        <is>
          <t>Asep Mulyana</t>
        </is>
      </c>
      <c r="D1944" s="13" t="inlineStr">
        <is>
          <t>PROD</t>
        </is>
      </c>
      <c r="E1944" s="13" t="inlineStr">
        <is>
          <t>Produksi Harian</t>
        </is>
      </c>
      <c r="F1944" s="170" t="n">
        <v>46230.32465277778</v>
      </c>
      <c r="G1944" s="13" t="inlineStr">
        <is>
          <t>FREE</t>
        </is>
      </c>
      <c r="H1944" s="170" t="n">
        <v>46230.67059027778</v>
      </c>
    </row>
    <row r="1945">
      <c r="A1945" s="13" t="inlineStr">
        <is>
          <t>MK00212</t>
        </is>
      </c>
      <c r="B1945" s="13" t="n">
        <v>528000228</v>
      </c>
      <c r="C1945" s="13" t="inlineStr">
        <is>
          <t>Banyu Resmi Putri</t>
        </is>
      </c>
      <c r="D1945" s="13" t="inlineStr">
        <is>
          <t>PROD</t>
        </is>
      </c>
      <c r="E1945" s="13" t="inlineStr">
        <is>
          <t>Produksi Harian</t>
        </is>
      </c>
      <c r="F1945" s="170" t="n">
        <v>46230.32765046296</v>
      </c>
      <c r="G1945" s="13" t="inlineStr">
        <is>
          <t>FREE</t>
        </is>
      </c>
      <c r="H1945" s="170" t="n">
        <v>46230.67100694445</v>
      </c>
    </row>
    <row r="1946">
      <c r="A1946" s="13" t="inlineStr">
        <is>
          <t>MK00208</t>
        </is>
      </c>
      <c r="B1946" s="13" t="n">
        <v>528000241</v>
      </c>
      <c r="C1946" s="13" t="inlineStr">
        <is>
          <t>Balia Nurafif Bilah</t>
        </is>
      </c>
      <c r="D1946" s="13" t="inlineStr">
        <is>
          <t>PROD</t>
        </is>
      </c>
      <c r="E1946" s="13" t="inlineStr">
        <is>
          <t>Produksi Harian</t>
        </is>
      </c>
      <c r="F1946" s="170" t="n">
        <v>46230.32869212963</v>
      </c>
      <c r="G1946" s="13" t="inlineStr">
        <is>
          <t>FREE</t>
        </is>
      </c>
      <c r="H1946" s="170" t="n">
        <v>46230.66914351852</v>
      </c>
    </row>
    <row r="1947">
      <c r="A1947" s="13" t="inlineStr">
        <is>
          <t>MK00181</t>
        </is>
      </c>
      <c r="B1947" s="13" t="n">
        <v>528000274</v>
      </c>
      <c r="C1947" s="13" t="inlineStr">
        <is>
          <t>Zepri</t>
        </is>
      </c>
      <c r="D1947" s="13" t="inlineStr">
        <is>
          <t>PROD</t>
        </is>
      </c>
      <c r="E1947" s="13" t="inlineStr">
        <is>
          <t>Produksi Harian</t>
        </is>
      </c>
      <c r="F1947" s="170" t="n">
        <v>46230.32899305555</v>
      </c>
      <c r="G1947" s="13" t="inlineStr">
        <is>
          <t>FREE</t>
        </is>
      </c>
      <c r="H1947" s="170" t="n">
        <v>46230.669375</v>
      </c>
    </row>
    <row r="1948">
      <c r="A1948" s="13" t="inlineStr">
        <is>
          <t>MK00112</t>
        </is>
      </c>
      <c r="B1948" s="13" t="n">
        <v>528000090</v>
      </c>
      <c r="C1948" s="13" t="inlineStr">
        <is>
          <t>Suganda</t>
        </is>
      </c>
      <c r="D1948" s="13" t="inlineStr">
        <is>
          <t>PROD</t>
        </is>
      </c>
      <c r="E1948" s="13" t="inlineStr">
        <is>
          <t>Produksi Harian</t>
        </is>
      </c>
      <c r="F1948" s="170" t="n">
        <v>46230.3290625</v>
      </c>
      <c r="G1948" s="13" t="inlineStr">
        <is>
          <t>FREE</t>
        </is>
      </c>
      <c r="H1948" s="170" t="n">
        <v>46230.68563657408</v>
      </c>
    </row>
    <row r="1949">
      <c r="A1949" s="13" t="inlineStr">
        <is>
          <t>MK00249</t>
        </is>
      </c>
      <c r="B1949" s="13" t="n">
        <v>528000290</v>
      </c>
      <c r="C1949" s="13" t="inlineStr">
        <is>
          <t>Eval Pranata</t>
        </is>
      </c>
      <c r="D1949" s="13" t="inlineStr">
        <is>
          <t>PROD</t>
        </is>
      </c>
      <c r="E1949" s="13" t="inlineStr">
        <is>
          <t>Produksi Harian</t>
        </is>
      </c>
      <c r="F1949" s="170" t="n">
        <v>46230.33037037037</v>
      </c>
      <c r="G1949" s="13" t="inlineStr">
        <is>
          <t>FREE</t>
        </is>
      </c>
      <c r="H1949" s="170" t="n">
        <v>46230.66964120371</v>
      </c>
    </row>
    <row r="1950">
      <c r="A1950" s="13" t="inlineStr">
        <is>
          <t>MK00109</t>
        </is>
      </c>
      <c r="B1950" s="13" t="n">
        <v>528000322</v>
      </c>
      <c r="C1950" s="13" t="inlineStr">
        <is>
          <t>Muhamad Aliludin</t>
        </is>
      </c>
      <c r="D1950" s="13" t="inlineStr">
        <is>
          <t>PROD</t>
        </is>
      </c>
      <c r="E1950" s="13" t="inlineStr">
        <is>
          <t>Produksi Harian</t>
        </is>
      </c>
      <c r="F1950" s="170" t="n">
        <v>46230.64229166666</v>
      </c>
      <c r="G1950" s="13" t="inlineStr">
        <is>
          <t>FREE</t>
        </is>
      </c>
      <c r="H1950" s="170" t="n">
        <v>46231.00388888889</v>
      </c>
    </row>
    <row r="1951">
      <c r="A1951" s="13" t="inlineStr">
        <is>
          <t>MK00210</t>
        </is>
      </c>
      <c r="B1951" s="13" t="n">
        <v>528000305</v>
      </c>
      <c r="C1951" s="13" t="inlineStr">
        <is>
          <t>Puji Puspita</t>
        </is>
      </c>
      <c r="D1951" s="13" t="inlineStr">
        <is>
          <t>PROD</t>
        </is>
      </c>
      <c r="E1951" s="13" t="inlineStr">
        <is>
          <t>Produksi Harian</t>
        </is>
      </c>
      <c r="F1951" s="170" t="n">
        <v>46230.6528587963</v>
      </c>
      <c r="G1951" s="13" t="inlineStr">
        <is>
          <t>FREE</t>
        </is>
      </c>
      <c r="H1951" s="170" t="n">
        <v>46231.00188657407</v>
      </c>
    </row>
    <row r="1952">
      <c r="A1952" s="13" t="inlineStr">
        <is>
          <t>MK00184</t>
        </is>
      </c>
      <c r="B1952" s="13" t="n">
        <v>528000299</v>
      </c>
      <c r="C1952" s="13" t="inlineStr">
        <is>
          <t>Siti Nurjanah</t>
        </is>
      </c>
      <c r="D1952" s="13" t="inlineStr">
        <is>
          <t>PROD</t>
        </is>
      </c>
      <c r="E1952" s="13" t="inlineStr">
        <is>
          <t>Produksi Harian</t>
        </is>
      </c>
      <c r="F1952" s="170" t="n">
        <v>46230.65309027778</v>
      </c>
      <c r="G1952" s="13" t="inlineStr">
        <is>
          <t>FREE</t>
        </is>
      </c>
      <c r="H1952" s="170" t="n">
        <v>46231.00456018518</v>
      </c>
    </row>
    <row r="1953">
      <c r="A1953" s="13" t="n">
        <v>116</v>
      </c>
      <c r="B1953" s="13" t="n">
        <v>528000313</v>
      </c>
      <c r="C1953" s="13" t="inlineStr">
        <is>
          <t>Muhamad Rifki</t>
        </is>
      </c>
      <c r="D1953" s="13" t="inlineStr">
        <is>
          <t>PROD</t>
        </is>
      </c>
      <c r="E1953" s="13" t="inlineStr">
        <is>
          <t>Produksi Harian</t>
        </is>
      </c>
      <c r="F1953" s="170" t="n">
        <v>46230.65680555555</v>
      </c>
      <c r="G1953" s="13" t="inlineStr">
        <is>
          <t>FREE</t>
        </is>
      </c>
      <c r="H1953" s="170" t="n">
        <v>46231.83157407407</v>
      </c>
    </row>
    <row r="1954">
      <c r="A1954" s="13" t="inlineStr">
        <is>
          <t>MK00088</t>
        </is>
      </c>
      <c r="B1954" s="13" t="n">
        <v>528000015</v>
      </c>
      <c r="C1954" s="13" t="inlineStr">
        <is>
          <t>Erwin</t>
        </is>
      </c>
      <c r="D1954" s="13" t="inlineStr">
        <is>
          <t>LOG</t>
        </is>
      </c>
      <c r="E1954" s="13" t="inlineStr">
        <is>
          <t>WRM Harian</t>
        </is>
      </c>
      <c r="F1954" s="170" t="n">
        <v>46230.65688657408</v>
      </c>
      <c r="G1954" s="13" t="inlineStr">
        <is>
          <t>FREE</t>
        </is>
      </c>
      <c r="H1954" s="170" t="n">
        <v>46230.99489583333</v>
      </c>
    </row>
    <row r="1955">
      <c r="A1955" s="13" t="inlineStr">
        <is>
          <t>MK00192</t>
        </is>
      </c>
      <c r="B1955" s="13" t="n">
        <v>528000282</v>
      </c>
      <c r="C1955" s="13" t="inlineStr">
        <is>
          <t>Defa Desfiana</t>
        </is>
      </c>
      <c r="D1955" s="13" t="inlineStr">
        <is>
          <t>PROD</t>
        </is>
      </c>
      <c r="E1955" s="13" t="inlineStr">
        <is>
          <t>Produksi Harian</t>
        </is>
      </c>
      <c r="F1955" s="170" t="n">
        <v>46230.65756944445</v>
      </c>
      <c r="G1955" s="13" t="inlineStr">
        <is>
          <t>FREE</t>
        </is>
      </c>
      <c r="H1955" s="170" t="n">
        <v>46231.00068287037</v>
      </c>
    </row>
    <row r="1956">
      <c r="A1956" s="13" t="inlineStr">
        <is>
          <t>MK00217</t>
        </is>
      </c>
      <c r="B1956" s="13" t="n">
        <v>528000318</v>
      </c>
      <c r="C1956" s="13" t="inlineStr">
        <is>
          <t>Bayu Padli Sepriyana</t>
        </is>
      </c>
      <c r="D1956" s="13" t="inlineStr">
        <is>
          <t>LOG</t>
        </is>
      </c>
      <c r="E1956" s="13" t="inlineStr">
        <is>
          <t>WRM Harian</t>
        </is>
      </c>
      <c r="F1956" s="170" t="n">
        <v>46230.65755787037</v>
      </c>
      <c r="G1956" s="13" t="inlineStr">
        <is>
          <t>FREE</t>
        </is>
      </c>
      <c r="H1956" s="170" t="n">
        <v>46231.00243055556</v>
      </c>
    </row>
    <row r="1957">
      <c r="A1957" s="13" t="inlineStr">
        <is>
          <t>MK00090</t>
        </is>
      </c>
      <c r="B1957" s="13" t="n">
        <v>528000270</v>
      </c>
      <c r="C1957" s="13" t="inlineStr">
        <is>
          <t>Febri Najmudin</t>
        </is>
      </c>
      <c r="D1957" s="13" t="inlineStr">
        <is>
          <t>LOG</t>
        </is>
      </c>
      <c r="E1957" s="13" t="inlineStr">
        <is>
          <t>WRM Harian</t>
        </is>
      </c>
      <c r="F1957" s="170" t="n">
        <v>46230.65796296296</v>
      </c>
      <c r="G1957" s="13" t="inlineStr">
        <is>
          <t>FREE</t>
        </is>
      </c>
      <c r="H1957" s="170" t="n">
        <v>46231.01918981481</v>
      </c>
    </row>
    <row r="1958">
      <c r="A1958" s="13" t="inlineStr">
        <is>
          <t>MK00108</t>
        </is>
      </c>
      <c r="B1958" s="13" t="n">
        <v>528000298</v>
      </c>
      <c r="C1958" s="13" t="inlineStr">
        <is>
          <t>Desta Cahaya Pratama</t>
        </is>
      </c>
      <c r="D1958" s="13" t="inlineStr">
        <is>
          <t>PROD</t>
        </is>
      </c>
      <c r="E1958" s="13" t="inlineStr">
        <is>
          <t>Produksi Harian</t>
        </is>
      </c>
      <c r="F1958" s="170" t="n">
        <v>46230.65872685185</v>
      </c>
      <c r="G1958" s="13" t="inlineStr">
        <is>
          <t>FREE</t>
        </is>
      </c>
      <c r="H1958" s="170" t="n">
        <v>46231.00291666666</v>
      </c>
    </row>
    <row r="1959">
      <c r="A1959" s="13" t="inlineStr">
        <is>
          <t>MK00154</t>
        </is>
      </c>
      <c r="B1959" s="13" t="n">
        <v>528000309</v>
      </c>
      <c r="C1959" s="13" t="inlineStr">
        <is>
          <t>Ilham Ramadhan</t>
        </is>
      </c>
      <c r="D1959" s="13" t="inlineStr">
        <is>
          <t>LOG</t>
        </is>
      </c>
      <c r="E1959" s="13" t="inlineStr">
        <is>
          <t>WRM Harian</t>
        </is>
      </c>
      <c r="F1959" s="170" t="n">
        <v>46230.66311342592</v>
      </c>
      <c r="G1959" s="13" t="inlineStr">
        <is>
          <t>FREE</t>
        </is>
      </c>
      <c r="H1959" s="170" t="n">
        <v>46231.0025</v>
      </c>
    </row>
    <row r="1960">
      <c r="A1960" s="13" t="inlineStr">
        <is>
          <t>MK00203</t>
        </is>
      </c>
      <c r="B1960" s="13" t="n">
        <v>528000265</v>
      </c>
      <c r="C1960" s="13" t="inlineStr">
        <is>
          <t>Muhammad Haerul Rozikin</t>
        </is>
      </c>
      <c r="D1960" s="13" t="inlineStr">
        <is>
          <t>LOG</t>
        </is>
      </c>
      <c r="E1960" s="13" t="inlineStr">
        <is>
          <t>WRM Harian</t>
        </is>
      </c>
      <c r="F1960" s="170" t="n">
        <v>46230.66371527778</v>
      </c>
      <c r="G1960" s="13" t="inlineStr">
        <is>
          <t>FREE</t>
        </is>
      </c>
      <c r="H1960" s="170" t="n">
        <v>46231.00280092593</v>
      </c>
    </row>
    <row r="1961">
      <c r="A1961" s="13" t="inlineStr">
        <is>
          <t>MK00121</t>
        </is>
      </c>
      <c r="B1961" s="13" t="n">
        <v>528000310</v>
      </c>
      <c r="C1961" s="13" t="inlineStr">
        <is>
          <t>Fachrul Rozzi Suryana</t>
        </is>
      </c>
      <c r="D1961" s="13" t="inlineStr">
        <is>
          <t>LOG</t>
        </is>
      </c>
      <c r="E1961" s="13" t="inlineStr">
        <is>
          <t>WRM Harian</t>
        </is>
      </c>
      <c r="F1961" s="170" t="n">
        <v>46230.66518518519</v>
      </c>
      <c r="G1961" s="13" t="inlineStr">
        <is>
          <t>FREE</t>
        </is>
      </c>
      <c r="H1961" s="170" t="n">
        <v>46231.00039351852</v>
      </c>
    </row>
    <row r="1962">
      <c r="A1962" s="13" t="inlineStr">
        <is>
          <t>MK00218</t>
        </is>
      </c>
      <c r="B1962" s="13" t="n">
        <v>528000361</v>
      </c>
      <c r="C1962" s="13" t="inlineStr">
        <is>
          <t>Denada Munggarani</t>
        </is>
      </c>
      <c r="D1962" s="13" t="inlineStr">
        <is>
          <t>PROD</t>
        </is>
      </c>
      <c r="E1962" s="13" t="inlineStr">
        <is>
          <t>Produksi Harian</t>
        </is>
      </c>
      <c r="F1962" s="170" t="n">
        <v>46230.66773148148</v>
      </c>
      <c r="G1962" s="13" t="inlineStr">
        <is>
          <t>FREE</t>
        </is>
      </c>
      <c r="H1962" s="170" t="n">
        <v>46231.02332175926</v>
      </c>
    </row>
    <row r="1963">
      <c r="A1963" s="13" t="inlineStr">
        <is>
          <t>MK00208</t>
        </is>
      </c>
      <c r="B1963" s="13" t="n">
        <v>528000340</v>
      </c>
      <c r="C1963" s="13" t="inlineStr">
        <is>
          <t>Muhammad Wildan Adithya</t>
        </is>
      </c>
      <c r="D1963" s="13" t="inlineStr">
        <is>
          <t>PROD</t>
        </is>
      </c>
      <c r="E1963" s="13" t="inlineStr">
        <is>
          <t>Produksi Harian</t>
        </is>
      </c>
      <c r="F1963" s="170" t="n">
        <v>46230.68300925926</v>
      </c>
      <c r="G1963" s="13" t="inlineStr">
        <is>
          <t>FREE</t>
        </is>
      </c>
      <c r="H1963" s="170" t="n">
        <v>46231.0034375</v>
      </c>
    </row>
    <row r="1964">
      <c r="A1964" s="13" t="inlineStr">
        <is>
          <t>MK00145</t>
        </is>
      </c>
      <c r="B1964" s="13" t="n">
        <v>528000351</v>
      </c>
      <c r="C1964" s="13" t="inlineStr">
        <is>
          <t>Mulyana</t>
        </is>
      </c>
      <c r="D1964" s="13" t="inlineStr">
        <is>
          <t>PROD</t>
        </is>
      </c>
      <c r="E1964" s="13" t="inlineStr">
        <is>
          <t>Produksi Harian</t>
        </is>
      </c>
      <c r="F1964" s="170" t="n">
        <v>46230.74193287037</v>
      </c>
      <c r="G1964" s="13" t="inlineStr">
        <is>
          <t>FREE</t>
        </is>
      </c>
      <c r="H1964" s="170" t="n">
        <v>46231.08401620371</v>
      </c>
    </row>
    <row r="1965">
      <c r="A1965" s="13" t="inlineStr">
        <is>
          <t>MK00221</t>
        </is>
      </c>
      <c r="B1965" s="13" t="n">
        <v>528000144</v>
      </c>
      <c r="C1965" s="13" t="inlineStr">
        <is>
          <t>Jodi Hanafi</t>
        </is>
      </c>
      <c r="D1965" s="13" t="inlineStr">
        <is>
          <t>LOG</t>
        </is>
      </c>
      <c r="E1965" s="13" t="inlineStr">
        <is>
          <t>WRM Harian</t>
        </is>
      </c>
      <c r="F1965" s="170" t="n">
        <v>46230.74570601852</v>
      </c>
      <c r="G1965" s="13" t="inlineStr">
        <is>
          <t>FREE</t>
        </is>
      </c>
      <c r="H1965" s="170" t="n">
        <v>46231.16762731481</v>
      </c>
    </row>
    <row r="1966">
      <c r="A1966" s="13" t="inlineStr">
        <is>
          <t>MK00204</t>
        </is>
      </c>
      <c r="B1966" s="13" t="n">
        <v>528000335</v>
      </c>
      <c r="C1966" s="13" t="inlineStr">
        <is>
          <t>Rizal Saepuloh</t>
        </is>
      </c>
      <c r="D1966" s="13" t="inlineStr">
        <is>
          <t>LOG</t>
        </is>
      </c>
      <c r="E1966" s="13" t="inlineStr">
        <is>
          <t>WRM Harian</t>
        </is>
      </c>
      <c r="F1966" s="170" t="n">
        <v>46230.74936342592</v>
      </c>
      <c r="G1966" s="13" t="inlineStr">
        <is>
          <t>FREE</t>
        </is>
      </c>
      <c r="H1966" s="170" t="n">
        <v>46231.08432870371</v>
      </c>
    </row>
    <row r="1967">
      <c r="A1967" s="13" t="inlineStr">
        <is>
          <t>MK00141</t>
        </is>
      </c>
      <c r="B1967" s="13" t="n">
        <v>528000040</v>
      </c>
      <c r="C1967" s="13" t="inlineStr">
        <is>
          <t>Agus Suryaman</t>
        </is>
      </c>
      <c r="D1967" s="13" t="inlineStr">
        <is>
          <t>PROD</t>
        </is>
      </c>
      <c r="E1967" s="13" t="inlineStr">
        <is>
          <t>Produksi Harian</t>
        </is>
      </c>
      <c r="F1967" s="170" t="n">
        <v>46230.75607638889</v>
      </c>
      <c r="G1967" s="13" t="inlineStr">
        <is>
          <t>FREE</t>
        </is>
      </c>
      <c r="H1967" s="170" t="n">
        <v>46231.7753125</v>
      </c>
    </row>
    <row r="1968">
      <c r="A1968" s="13" t="inlineStr">
        <is>
          <t>MK00205</t>
        </is>
      </c>
      <c r="B1968" s="13" t="n">
        <v>528000348</v>
      </c>
      <c r="C1968" s="13" t="inlineStr">
        <is>
          <t>Saepuloh Ardiansah</t>
        </is>
      </c>
      <c r="D1968" s="13" t="inlineStr">
        <is>
          <t>LOG</t>
        </is>
      </c>
      <c r="E1968" s="13" t="inlineStr">
        <is>
          <t>WRM Harian</t>
        </is>
      </c>
      <c r="F1968" s="170" t="n">
        <v>46230.78305555556</v>
      </c>
      <c r="G1968" s="13" t="inlineStr">
        <is>
          <t>FREE</t>
        </is>
      </c>
      <c r="H1968" s="170" t="n">
        <v>46231.13925925926</v>
      </c>
    </row>
    <row r="1969">
      <c r="A1969" s="13" t="inlineStr">
        <is>
          <t>MK0130</t>
        </is>
      </c>
      <c r="B1969" s="13" t="n">
        <v>528000149</v>
      </c>
      <c r="C1969" s="13" t="inlineStr">
        <is>
          <t>Tio Fernanda</t>
        </is>
      </c>
      <c r="D1969" s="13" t="inlineStr">
        <is>
          <t>LOG</t>
        </is>
      </c>
      <c r="E1969" s="13" t="inlineStr">
        <is>
          <t>WRM Harian</t>
        </is>
      </c>
      <c r="F1969" s="170" t="n">
        <v>46230.78469907407</v>
      </c>
      <c r="G1969" s="13" t="inlineStr">
        <is>
          <t>FREE</t>
        </is>
      </c>
      <c r="H1969" s="170" t="n">
        <v>46231.77297453704</v>
      </c>
    </row>
    <row r="1970">
      <c r="A1970" s="13" t="inlineStr">
        <is>
          <t>MK00150</t>
        </is>
      </c>
      <c r="B1970" s="13" t="n">
        <v>528000232</v>
      </c>
      <c r="C1970" s="13" t="inlineStr">
        <is>
          <t>Agung Aji Suhada</t>
        </is>
      </c>
      <c r="D1970" s="13" t="inlineStr">
        <is>
          <t>LOG</t>
        </is>
      </c>
      <c r="E1970" s="13" t="inlineStr">
        <is>
          <t>WRM Harian</t>
        </is>
      </c>
      <c r="F1970" s="170" t="n">
        <v>46230.78651620371</v>
      </c>
      <c r="G1970" s="13" t="inlineStr">
        <is>
          <t>FREE</t>
        </is>
      </c>
      <c r="H1970" s="170" t="n">
        <v>46231.78898148148</v>
      </c>
    </row>
    <row r="1971">
      <c r="A1971" s="13" t="inlineStr">
        <is>
          <t>MK00202</t>
        </is>
      </c>
      <c r="B1971" s="13" t="n">
        <v>528000349</v>
      </c>
      <c r="C1971" s="13" t="inlineStr">
        <is>
          <t>Anas Abdul Fatah</t>
        </is>
      </c>
      <c r="D1971" s="13" t="inlineStr">
        <is>
          <t>LOG</t>
        </is>
      </c>
      <c r="E1971" s="13" t="inlineStr">
        <is>
          <t>WFG Harian</t>
        </is>
      </c>
      <c r="F1971" s="170" t="n">
        <v>46230.82025462963</v>
      </c>
      <c r="G1971" s="13" t="inlineStr">
        <is>
          <t>FREE</t>
        </is>
      </c>
      <c r="H1971" s="170" t="n">
        <v>46231.17423611111</v>
      </c>
    </row>
    <row r="1972">
      <c r="A1972" s="13" t="inlineStr">
        <is>
          <t>MK00213</t>
        </is>
      </c>
      <c r="B1972" s="13" t="n">
        <v>528000306</v>
      </c>
      <c r="C1972" s="13" t="inlineStr">
        <is>
          <t>Windy Olivia</t>
        </is>
      </c>
      <c r="D1972" s="13" t="inlineStr">
        <is>
          <t>PROD</t>
        </is>
      </c>
      <c r="E1972" s="13" t="inlineStr">
        <is>
          <t>Produksi Harian</t>
        </is>
      </c>
      <c r="F1972" s="170" t="n">
        <v>46230.98370370371</v>
      </c>
      <c r="G1972" s="13" t="inlineStr">
        <is>
          <t>FREE</t>
        </is>
      </c>
      <c r="H1972" s="170" t="n">
        <v>46231.33612268518</v>
      </c>
    </row>
    <row r="1973">
      <c r="A1973" s="13" t="inlineStr">
        <is>
          <t>MK00160</t>
        </is>
      </c>
      <c r="B1973" s="13" t="n">
        <v>528000323</v>
      </c>
      <c r="C1973" s="13" t="inlineStr">
        <is>
          <t>Dian Hamidah</t>
        </is>
      </c>
      <c r="D1973" s="13" t="inlineStr">
        <is>
          <t>PROD</t>
        </is>
      </c>
      <c r="E1973" s="13" t="inlineStr">
        <is>
          <t>Produksi Harian</t>
        </is>
      </c>
      <c r="F1973" s="170" t="n">
        <v>46230.98598379629</v>
      </c>
      <c r="G1973" s="13" t="inlineStr">
        <is>
          <t>FREE</t>
        </is>
      </c>
      <c r="H1973" s="170" t="n">
        <v>46231.33962962963</v>
      </c>
    </row>
    <row r="1974">
      <c r="A1974" s="13" t="inlineStr">
        <is>
          <t>MK00143</t>
        </is>
      </c>
      <c r="B1974" s="13" t="n">
        <v>528000300</v>
      </c>
      <c r="C1974" s="13" t="inlineStr">
        <is>
          <t>Lia pitaloka</t>
        </is>
      </c>
      <c r="D1974" s="13" t="inlineStr">
        <is>
          <t>PROD</t>
        </is>
      </c>
      <c r="E1974" s="13" t="inlineStr">
        <is>
          <t>Produksi Harian</t>
        </is>
      </c>
      <c r="F1974" s="170" t="n">
        <v>46230.98981481481</v>
      </c>
      <c r="G1974" s="13" t="inlineStr">
        <is>
          <t>FREE</t>
        </is>
      </c>
      <c r="H1974" s="170" t="n">
        <v>46231.33859953703</v>
      </c>
    </row>
    <row r="1975">
      <c r="A1975" s="13" t="inlineStr">
        <is>
          <t>MK00186</t>
        </is>
      </c>
      <c r="B1975" s="13" t="n">
        <v>628000064</v>
      </c>
      <c r="C1975" s="13" t="inlineStr">
        <is>
          <t>Silva Alypia</t>
        </is>
      </c>
      <c r="D1975" s="13" t="inlineStr">
        <is>
          <t>PROD</t>
        </is>
      </c>
      <c r="E1975" s="13" t="inlineStr">
        <is>
          <t>Produksi Borongan</t>
        </is>
      </c>
      <c r="F1975" s="170" t="n">
        <v>46230.9921412037</v>
      </c>
      <c r="G1975" s="13" t="inlineStr">
        <is>
          <t>FREE</t>
        </is>
      </c>
      <c r="H1975" s="170" t="n">
        <v>46231.33619212963</v>
      </c>
    </row>
    <row r="1976">
      <c r="A1976" s="13" t="inlineStr">
        <is>
          <t>MK00136</t>
        </is>
      </c>
      <c r="B1976" s="13" t="n">
        <v>528000248</v>
      </c>
      <c r="C1976" s="13" t="inlineStr">
        <is>
          <t>Roka Jaya Salka Mulya</t>
        </is>
      </c>
      <c r="D1976" s="13" t="inlineStr">
        <is>
          <t>PROD</t>
        </is>
      </c>
      <c r="E1976" s="13" t="inlineStr">
        <is>
          <t>Produksi Harian</t>
        </is>
      </c>
      <c r="F1976" s="170" t="n">
        <v>46230.99333333333</v>
      </c>
      <c r="G1976" s="13" t="inlineStr">
        <is>
          <t>FREE</t>
        </is>
      </c>
      <c r="H1976" s="170" t="n">
        <v>46231.33501157408</v>
      </c>
    </row>
    <row r="1977">
      <c r="A1977" s="13" t="inlineStr">
        <is>
          <t>MK00082</t>
        </is>
      </c>
      <c r="B1977" s="13" t="n">
        <v>528000329</v>
      </c>
      <c r="C1977" s="13" t="inlineStr">
        <is>
          <t>Havid Ilham Firdaus</t>
        </is>
      </c>
      <c r="D1977" s="13" t="inlineStr">
        <is>
          <t>PROD</t>
        </is>
      </c>
      <c r="E1977" s="13" t="inlineStr">
        <is>
          <t>Produksi Harian</t>
        </is>
      </c>
      <c r="F1977" s="170" t="n">
        <v>46230.99438657407</v>
      </c>
      <c r="G1977" s="13" t="inlineStr">
        <is>
          <t>FREE</t>
        </is>
      </c>
      <c r="H1977" s="170" t="n">
        <v>46030.58353009259</v>
      </c>
    </row>
    <row r="1978">
      <c r="A1978" s="13" t="inlineStr">
        <is>
          <t>MK00235</t>
        </is>
      </c>
      <c r="B1978" s="13" t="n">
        <v>528000297</v>
      </c>
      <c r="C1978" s="13" t="inlineStr">
        <is>
          <t>Muhamad Budiana</t>
        </is>
      </c>
      <c r="D1978" s="13" t="inlineStr">
        <is>
          <t>PROD</t>
        </is>
      </c>
      <c r="E1978" s="13" t="inlineStr">
        <is>
          <t>Produksi Harian</t>
        </is>
      </c>
      <c r="F1978" s="170" t="n">
        <v>46230.99519675926</v>
      </c>
      <c r="G1978" s="13" t="inlineStr">
        <is>
          <t>FREE</t>
        </is>
      </c>
      <c r="H1978" s="170" t="n">
        <v>46231.36880787037</v>
      </c>
    </row>
    <row r="1979">
      <c r="A1979" s="13" t="inlineStr">
        <is>
          <t>MK00230</t>
        </is>
      </c>
      <c r="B1979" s="13" t="n">
        <v>528000279</v>
      </c>
      <c r="C1979" s="13" t="inlineStr">
        <is>
          <t>Mahdalena Dalfa Riani</t>
        </is>
      </c>
      <c r="D1979" s="13" t="inlineStr">
        <is>
          <t>PROD</t>
        </is>
      </c>
      <c r="E1979" s="13" t="inlineStr">
        <is>
          <t>Produksi Harian</t>
        </is>
      </c>
      <c r="F1979" s="170" t="n">
        <v>46230.99903935185</v>
      </c>
      <c r="G1979" s="13" t="inlineStr">
        <is>
          <t>FREE</t>
        </is>
      </c>
      <c r="H1979" s="170" t="n">
        <v>46231.33798611111</v>
      </c>
    </row>
    <row r="1980">
      <c r="A1980" s="13" t="inlineStr">
        <is>
          <t>MK00093</t>
        </is>
      </c>
      <c r="B1980" s="13" t="n">
        <v>528000267</v>
      </c>
      <c r="C1980" s="13" t="inlineStr">
        <is>
          <t>Bagas Patulloh</t>
        </is>
      </c>
      <c r="D1980" s="13" t="inlineStr">
        <is>
          <t>LOG</t>
        </is>
      </c>
      <c r="E1980" s="13" t="inlineStr">
        <is>
          <t>WRM Harian</t>
        </is>
      </c>
      <c r="F1980" s="170" t="n">
        <v>46231.08115740741</v>
      </c>
      <c r="G1980" s="13" t="inlineStr">
        <is>
          <t>FREE</t>
        </is>
      </c>
      <c r="H1980" s="170" t="n">
        <v>46231.4190162037</v>
      </c>
    </row>
    <row r="1981">
      <c r="A1981" s="13" t="inlineStr">
        <is>
          <t>MK00228</t>
        </is>
      </c>
      <c r="B1981" s="13" t="n">
        <v>528000132</v>
      </c>
      <c r="C1981" s="13" t="inlineStr">
        <is>
          <t>Giopani</t>
        </is>
      </c>
      <c r="D1981" s="13" t="inlineStr">
        <is>
          <t>LOG</t>
        </is>
      </c>
      <c r="E1981" s="13" t="inlineStr">
        <is>
          <t>WRM Harian</t>
        </is>
      </c>
      <c r="F1981" s="170" t="n">
        <v>46231.0817824074</v>
      </c>
      <c r="G1981" s="13" t="inlineStr">
        <is>
          <t>FREE</t>
        </is>
      </c>
      <c r="H1981" s="170" t="n">
        <v>46231.4183449074</v>
      </c>
    </row>
    <row r="1982">
      <c r="A1982" s="13" t="inlineStr">
        <is>
          <t>MK00108</t>
        </is>
      </c>
      <c r="B1982" s="13" t="n">
        <v>528000052</v>
      </c>
      <c r="C1982" s="13" t="inlineStr">
        <is>
          <t>Mustopa</t>
        </is>
      </c>
      <c r="D1982" s="13" t="inlineStr">
        <is>
          <t>PROD</t>
        </is>
      </c>
      <c r="E1982" s="13" t="inlineStr">
        <is>
          <t>Produksi Harian</t>
        </is>
      </c>
      <c r="F1982" s="170" t="n">
        <v>46231.28688657407</v>
      </c>
      <c r="G1982" s="13" t="inlineStr">
        <is>
          <t>FREE</t>
        </is>
      </c>
      <c r="H1982" s="170" t="n">
        <v>46231.67194444445</v>
      </c>
    </row>
    <row r="1983">
      <c r="A1983" s="13" t="inlineStr">
        <is>
          <t>MK00202</t>
        </is>
      </c>
      <c r="B1983" s="13" t="n">
        <v>528000339</v>
      </c>
      <c r="C1983" s="13" t="inlineStr">
        <is>
          <t>Muhamad Ripai'i</t>
        </is>
      </c>
      <c r="D1983" s="13" t="inlineStr">
        <is>
          <t>HRGA</t>
        </is>
      </c>
      <c r="E1983" s="13" t="inlineStr">
        <is>
          <t>GA Harian</t>
        </is>
      </c>
      <c r="F1983" s="170" t="n">
        <v>46231.29952546296</v>
      </c>
      <c r="G1983" s="13" t="inlineStr">
        <is>
          <t>FREE</t>
        </is>
      </c>
      <c r="H1983" s="170" t="n">
        <v>46231.72679398148</v>
      </c>
    </row>
    <row r="1984">
      <c r="A1984" s="13" t="inlineStr">
        <is>
          <t>MK00116</t>
        </is>
      </c>
      <c r="B1984" s="13" t="n">
        <v>528000244</v>
      </c>
      <c r="C1984" s="13" t="inlineStr">
        <is>
          <t>Rodian Rifai</t>
        </is>
      </c>
      <c r="D1984" s="13" t="inlineStr">
        <is>
          <t>PROD</t>
        </is>
      </c>
      <c r="E1984" s="13" t="inlineStr">
        <is>
          <t>Produksi Harian</t>
        </is>
      </c>
      <c r="F1984" s="170" t="n">
        <v>46231.30396990741</v>
      </c>
      <c r="G1984" s="13" t="inlineStr">
        <is>
          <t>FREE</t>
        </is>
      </c>
      <c r="H1984" s="170" t="n">
        <v>46231.71657407407</v>
      </c>
    </row>
    <row r="1985">
      <c r="A1985" s="13" t="inlineStr">
        <is>
          <t>MK00154</t>
        </is>
      </c>
      <c r="B1985" s="13" t="n">
        <v>528000289</v>
      </c>
      <c r="C1985" s="13" t="inlineStr">
        <is>
          <t>Adit Supriyadi</t>
        </is>
      </c>
      <c r="D1985" s="13" t="inlineStr">
        <is>
          <t>PROD</t>
        </is>
      </c>
      <c r="E1985" s="13" t="inlineStr">
        <is>
          <t>Produksi Harian</t>
        </is>
      </c>
      <c r="F1985" s="170" t="n">
        <v>46231.3091087963</v>
      </c>
      <c r="G1985" s="13" t="inlineStr">
        <is>
          <t>FREE</t>
        </is>
      </c>
      <c r="H1985" s="170" t="n">
        <v>46231.67378472222</v>
      </c>
    </row>
    <row r="1986">
      <c r="A1986" s="13" t="inlineStr">
        <is>
          <t>MK00218</t>
        </is>
      </c>
      <c r="B1986" s="13" t="n">
        <v>528000201</v>
      </c>
      <c r="C1986" s="13" t="inlineStr">
        <is>
          <t>Zahwa Amelia Choerunissa</t>
        </is>
      </c>
      <c r="D1986" s="13" t="inlineStr">
        <is>
          <t>PROD</t>
        </is>
      </c>
      <c r="E1986" s="13" t="inlineStr">
        <is>
          <t>Produksi Harian</t>
        </is>
      </c>
      <c r="F1986" s="170" t="n">
        <v>46231.32247685185</v>
      </c>
      <c r="G1986" s="13" t="inlineStr">
        <is>
          <t>FREE</t>
        </is>
      </c>
      <c r="H1986" s="170" t="n">
        <v>46231.67</v>
      </c>
    </row>
    <row r="1987">
      <c r="A1987" s="13" t="inlineStr">
        <is>
          <t>MK00208</t>
        </is>
      </c>
      <c r="B1987" s="13" t="n">
        <v>528000286</v>
      </c>
      <c r="C1987" s="13" t="inlineStr">
        <is>
          <t>Imelda Amelia</t>
        </is>
      </c>
      <c r="D1987" s="13" t="inlineStr">
        <is>
          <t>PROD</t>
        </is>
      </c>
      <c r="E1987" s="13" t="inlineStr">
        <is>
          <t>Produksi Harian</t>
        </is>
      </c>
      <c r="F1987" s="170" t="n">
        <v>46231.32576388889</v>
      </c>
      <c r="G1987" s="13" t="inlineStr">
        <is>
          <t>FREE</t>
        </is>
      </c>
      <c r="H1987" s="170" t="n">
        <v>46231.67077546296</v>
      </c>
    </row>
    <row r="1988">
      <c r="A1988" s="13" t="inlineStr">
        <is>
          <t>MK00184</t>
        </is>
      </c>
      <c r="B1988" s="13" t="n">
        <v>528000241</v>
      </c>
      <c r="C1988" s="13" t="inlineStr">
        <is>
          <t>Balia Nurafif Bilah</t>
        </is>
      </c>
      <c r="D1988" s="13" t="inlineStr">
        <is>
          <t>PROD</t>
        </is>
      </c>
      <c r="E1988" s="13" t="inlineStr">
        <is>
          <t>Produksi Harian</t>
        </is>
      </c>
      <c r="F1988" s="170" t="n">
        <v>46231.32854166667</v>
      </c>
      <c r="G1988" s="13" t="inlineStr">
        <is>
          <t>FREE</t>
        </is>
      </c>
      <c r="H1988" s="170" t="n">
        <v>46231.67010416667</v>
      </c>
    </row>
    <row r="1989">
      <c r="A1989" s="13" t="inlineStr">
        <is>
          <t>MK00109</t>
        </is>
      </c>
      <c r="B1989" s="13" t="n">
        <v>528000273</v>
      </c>
      <c r="C1989" s="13" t="inlineStr">
        <is>
          <t>Asep Mulyana</t>
        </is>
      </c>
      <c r="D1989" s="13" t="inlineStr">
        <is>
          <t>PROD</t>
        </is>
      </c>
      <c r="E1989" s="13" t="inlineStr">
        <is>
          <t>Produksi Harian</t>
        </is>
      </c>
      <c r="F1989" s="170" t="n">
        <v>46231.32888888889</v>
      </c>
      <c r="G1989" s="13" t="inlineStr">
        <is>
          <t>FREE</t>
        </is>
      </c>
      <c r="H1989" s="170" t="n">
        <v>46231.73952546297</v>
      </c>
    </row>
    <row r="1990">
      <c r="A1990" s="13" t="inlineStr">
        <is>
          <t>MK00210</t>
        </is>
      </c>
      <c r="B1990" s="13" t="n">
        <v>528000274</v>
      </c>
      <c r="C1990" s="13" t="inlineStr">
        <is>
          <t>Zepri</t>
        </is>
      </c>
      <c r="D1990" s="13" t="inlineStr">
        <is>
          <t>PROD</t>
        </is>
      </c>
      <c r="E1990" s="13" t="inlineStr">
        <is>
          <t>Produksi Harian</t>
        </is>
      </c>
      <c r="F1990" s="170" t="n">
        <v>46231.3312962963</v>
      </c>
      <c r="G1990" s="13" t="inlineStr">
        <is>
          <t>FREE</t>
        </is>
      </c>
      <c r="H1990" s="170" t="n">
        <v>46232.15643518518</v>
      </c>
    </row>
    <row r="1991">
      <c r="A1991" s="13" t="inlineStr">
        <is>
          <t>MK00088</t>
        </is>
      </c>
      <c r="B1991" s="13" t="n">
        <v>528000090</v>
      </c>
      <c r="C1991" s="13" t="inlineStr">
        <is>
          <t>Suganda</t>
        </is>
      </c>
      <c r="D1991" s="13" t="inlineStr">
        <is>
          <t>PROD</t>
        </is>
      </c>
      <c r="E1991" s="13" t="inlineStr">
        <is>
          <t>Produksi Harian</t>
        </is>
      </c>
      <c r="F1991" s="170" t="n">
        <v>46231.33144675926</v>
      </c>
      <c r="G1991" s="13" t="inlineStr">
        <is>
          <t>FREE</t>
        </is>
      </c>
      <c r="H1991" s="170" t="n">
        <v>46232.09309027778</v>
      </c>
    </row>
    <row r="1992">
      <c r="A1992" s="13" t="inlineStr">
        <is>
          <t>MK00249</t>
        </is>
      </c>
      <c r="B1992" s="13" t="n">
        <v>528000290</v>
      </c>
      <c r="C1992" s="13" t="inlineStr">
        <is>
          <t>Eval Pranata</t>
        </is>
      </c>
      <c r="D1992" s="13" t="inlineStr">
        <is>
          <t>PROD</t>
        </is>
      </c>
      <c r="E1992" s="13" t="inlineStr">
        <is>
          <t>Produksi Harian</t>
        </is>
      </c>
      <c r="F1992" s="170" t="n">
        <v>46231.33153935185</v>
      </c>
      <c r="G1992" s="13" t="inlineStr">
        <is>
          <t>FREE</t>
        </is>
      </c>
      <c r="H1992" s="170" t="n">
        <v>46231.68677083333</v>
      </c>
    </row>
    <row r="1993">
      <c r="A1993" s="13" t="inlineStr">
        <is>
          <t>MK00212</t>
        </is>
      </c>
      <c r="B1993" s="13" t="n">
        <v>528000212</v>
      </c>
      <c r="C1993" s="13" t="inlineStr">
        <is>
          <t>Rizal Fauzi</t>
        </is>
      </c>
      <c r="D1993" s="13" t="inlineStr">
        <is>
          <t>PROD</t>
        </is>
      </c>
      <c r="E1993" s="13" t="inlineStr">
        <is>
          <t>Produksi Harian</t>
        </is>
      </c>
      <c r="F1993" s="170" t="n">
        <v>46231.33168981481</v>
      </c>
      <c r="G1993" s="13" t="inlineStr">
        <is>
          <t>FREE</t>
        </is>
      </c>
      <c r="H1993" s="170" t="n">
        <v>46231.99355324074</v>
      </c>
    </row>
    <row r="1994">
      <c r="A1994" s="13" t="inlineStr">
        <is>
          <t>MK00136</t>
        </is>
      </c>
      <c r="B1994" s="13" t="n">
        <v>528000305</v>
      </c>
      <c r="C1994" s="13" t="inlineStr">
        <is>
          <t>Puji Puspita</t>
        </is>
      </c>
      <c r="D1994" s="13" t="inlineStr">
        <is>
          <t>PROD</t>
        </is>
      </c>
      <c r="E1994" s="13" t="inlineStr">
        <is>
          <t>Produksi Harian</t>
        </is>
      </c>
      <c r="F1994" s="170" t="n">
        <v>46231.64960648148</v>
      </c>
      <c r="G1994" s="13" t="inlineStr">
        <is>
          <t>FREE</t>
        </is>
      </c>
      <c r="H1994" s="170" t="n">
        <v>46232.00133101852</v>
      </c>
    </row>
    <row r="1995">
      <c r="A1995" s="13" t="inlineStr">
        <is>
          <t>MK00250</t>
        </is>
      </c>
      <c r="B1995" s="13" t="n">
        <v>528000299</v>
      </c>
      <c r="C1995" s="13" t="inlineStr">
        <is>
          <t>Siti Nurjanah</t>
        </is>
      </c>
      <c r="D1995" s="13" t="inlineStr">
        <is>
          <t>PROD</t>
        </is>
      </c>
      <c r="E1995" s="13" t="inlineStr">
        <is>
          <t>Produksi Harian</t>
        </is>
      </c>
      <c r="F1995" s="170" t="n">
        <v>46231.64988425926</v>
      </c>
      <c r="G1995" s="13" t="inlineStr">
        <is>
          <t>FREE</t>
        </is>
      </c>
      <c r="H1995" s="170" t="n">
        <v>46232.00458333334</v>
      </c>
    </row>
    <row r="1996">
      <c r="A1996" s="13" t="inlineStr">
        <is>
          <t>MK00168</t>
        </is>
      </c>
      <c r="B1996" s="13" t="n">
        <v>528000015</v>
      </c>
      <c r="C1996" s="13" t="inlineStr">
        <is>
          <t>Erwin</t>
        </is>
      </c>
      <c r="D1996" s="13" t="inlineStr">
        <is>
          <t>LOG</t>
        </is>
      </c>
      <c r="E1996" s="13" t="inlineStr">
        <is>
          <t>WRM Harian</t>
        </is>
      </c>
      <c r="F1996" s="170" t="n">
        <v>46231.65164351852</v>
      </c>
      <c r="G1996" s="13" t="inlineStr">
        <is>
          <t>FREE</t>
        </is>
      </c>
      <c r="H1996" s="170" t="n">
        <v>46232.66011574074</v>
      </c>
    </row>
    <row r="1997">
      <c r="A1997" s="13" t="inlineStr">
        <is>
          <t>MK00138</t>
        </is>
      </c>
      <c r="B1997" s="13" t="n">
        <v>528000325</v>
      </c>
      <c r="C1997" s="13" t="inlineStr">
        <is>
          <t>Rani Septia Ramadani</t>
        </is>
      </c>
      <c r="D1997" s="13" t="inlineStr">
        <is>
          <t>PROD</t>
        </is>
      </c>
      <c r="E1997" s="13" t="inlineStr">
        <is>
          <t>Produksi Harian</t>
        </is>
      </c>
      <c r="F1997" s="170" t="n">
        <v>46231.65357638889</v>
      </c>
      <c r="G1997" s="13" t="inlineStr">
        <is>
          <t>FREE</t>
        </is>
      </c>
      <c r="H1997" s="170" t="n">
        <v>46232.00210648148</v>
      </c>
    </row>
    <row r="1998">
      <c r="A1998" s="13" t="inlineStr">
        <is>
          <t>MK00230</t>
        </is>
      </c>
      <c r="B1998" s="13" t="n">
        <v>528000298</v>
      </c>
      <c r="C1998" s="13" t="inlineStr">
        <is>
          <t>Desta Cahaya Pratama</t>
        </is>
      </c>
      <c r="D1998" s="13" t="inlineStr">
        <is>
          <t>PROD</t>
        </is>
      </c>
      <c r="E1998" s="13" t="inlineStr">
        <is>
          <t>Produksi Harian</t>
        </is>
      </c>
      <c r="F1998" s="170" t="n">
        <v>46231.65791666666</v>
      </c>
      <c r="G1998" s="13" t="inlineStr">
        <is>
          <t>FREE</t>
        </is>
      </c>
      <c r="H1998" s="170" t="n">
        <v>46232.00295138889</v>
      </c>
    </row>
    <row r="1999">
      <c r="A1999" s="13" t="inlineStr">
        <is>
          <t>MK00085</t>
        </is>
      </c>
      <c r="B1999" s="13" t="n">
        <v>528000318</v>
      </c>
      <c r="C1999" s="13" t="inlineStr">
        <is>
          <t>Bayu Padli Sepriyana</t>
        </is>
      </c>
      <c r="D1999" s="13" t="inlineStr">
        <is>
          <t>LOG</t>
        </is>
      </c>
      <c r="E1999" s="13" t="inlineStr">
        <is>
          <t>WRM Harian</t>
        </is>
      </c>
      <c r="F1999" s="170" t="n">
        <v>46231.65849537037</v>
      </c>
      <c r="G1999" s="13" t="inlineStr">
        <is>
          <t>FREE</t>
        </is>
      </c>
      <c r="H1999" s="170" t="n">
        <v>46232.00180555556</v>
      </c>
    </row>
    <row r="2000">
      <c r="A2000" s="13" t="inlineStr">
        <is>
          <t>MK00160</t>
        </is>
      </c>
      <c r="B2000" s="13" t="n">
        <v>528000340</v>
      </c>
      <c r="C2000" s="13" t="inlineStr">
        <is>
          <t>Muhammad Wildan Adithya</t>
        </is>
      </c>
      <c r="D2000" s="13" t="inlineStr">
        <is>
          <t>PROD</t>
        </is>
      </c>
      <c r="E2000" s="13" t="inlineStr">
        <is>
          <t>Produksi Harian</t>
        </is>
      </c>
      <c r="F2000" s="170" t="n">
        <v>46231.6594212963</v>
      </c>
      <c r="G2000" s="13" t="inlineStr">
        <is>
          <t>FREE</t>
        </is>
      </c>
      <c r="H2000" s="170" t="n">
        <v>46232.00383101852</v>
      </c>
    </row>
    <row r="2001">
      <c r="A2001" s="13" t="inlineStr">
        <is>
          <t>MK00143</t>
        </is>
      </c>
      <c r="B2001" s="13" t="n">
        <v>528000270</v>
      </c>
      <c r="C2001" s="13" t="inlineStr">
        <is>
          <t>Febri Najmudin</t>
        </is>
      </c>
      <c r="D2001" s="13" t="inlineStr">
        <is>
          <t>LOG</t>
        </is>
      </c>
      <c r="E2001" s="13" t="inlineStr">
        <is>
          <t>WRM Harian</t>
        </is>
      </c>
      <c r="F2001" s="170" t="n">
        <v>46231.65997685185</v>
      </c>
      <c r="G2001" s="13" t="inlineStr">
        <is>
          <t>FREE</t>
        </is>
      </c>
      <c r="H2001" s="170" t="n">
        <v>46232.02325231482</v>
      </c>
    </row>
    <row r="2002">
      <c r="A2002" s="13" t="inlineStr">
        <is>
          <t>MK00186</t>
        </is>
      </c>
      <c r="B2002" s="13" t="n">
        <v>528000361</v>
      </c>
      <c r="C2002" s="13" t="inlineStr">
        <is>
          <t>Denada Munggarani</t>
        </is>
      </c>
      <c r="D2002" s="13" t="inlineStr">
        <is>
          <t>PROD</t>
        </is>
      </c>
      <c r="E2002" s="13" t="inlineStr">
        <is>
          <t>Produksi Harian</t>
        </is>
      </c>
      <c r="F2002" s="170" t="n">
        <v>46231.66064814815</v>
      </c>
      <c r="G2002" s="13" t="inlineStr">
        <is>
          <t>FREE</t>
        </is>
      </c>
      <c r="H2002" s="170" t="n">
        <v>46232.03357638889</v>
      </c>
    </row>
    <row r="2003">
      <c r="A2003" s="13" t="inlineStr">
        <is>
          <t>MK00235</t>
        </is>
      </c>
      <c r="B2003" s="13" t="n">
        <v>528000309</v>
      </c>
      <c r="C2003" s="13" t="inlineStr">
        <is>
          <t>Ilham Ramadhan</t>
        </is>
      </c>
      <c r="D2003" s="13" t="inlineStr">
        <is>
          <t>LOG</t>
        </is>
      </c>
      <c r="E2003" s="13" t="inlineStr">
        <is>
          <t>WRM Harian</t>
        </is>
      </c>
      <c r="F2003" s="170" t="n">
        <v>46231.66208333334</v>
      </c>
      <c r="G2003" s="13" t="inlineStr">
        <is>
          <t>FREE</t>
        </is>
      </c>
      <c r="H2003" s="170" t="n">
        <v>46232.00327546296</v>
      </c>
    </row>
    <row r="2004">
      <c r="A2004" s="13" t="inlineStr">
        <is>
          <t>MK0095</t>
        </is>
      </c>
      <c r="B2004" s="13" t="n">
        <v>528000302</v>
      </c>
      <c r="C2004" s="13" t="inlineStr">
        <is>
          <t>Henkey gumilar</t>
        </is>
      </c>
      <c r="D2004" s="13" t="inlineStr">
        <is>
          <t>PROD</t>
        </is>
      </c>
      <c r="E2004" s="13" t="inlineStr">
        <is>
          <t>Produksi Harian</t>
        </is>
      </c>
      <c r="F2004" s="170" t="n">
        <v>46231.66234953704</v>
      </c>
      <c r="G2004" s="13" t="inlineStr">
        <is>
          <t>FREE</t>
        </is>
      </c>
      <c r="H2004" s="170" t="n">
        <v>46233.66140046297</v>
      </c>
    </row>
    <row r="2005">
      <c r="A2005" s="13" t="inlineStr">
        <is>
          <t>MK00217</t>
        </is>
      </c>
      <c r="B2005" s="13" t="n">
        <v>528000265</v>
      </c>
      <c r="C2005" s="13" t="inlineStr">
        <is>
          <t>Muhammad Haerul Rozikin</t>
        </is>
      </c>
      <c r="D2005" s="13" t="inlineStr">
        <is>
          <t>LOG</t>
        </is>
      </c>
      <c r="E2005" s="13" t="inlineStr">
        <is>
          <t>WRM Harian</t>
        </is>
      </c>
      <c r="F2005" s="170" t="n">
        <v>46231.73810185185</v>
      </c>
      <c r="G2005" s="13" t="inlineStr">
        <is>
          <t>FREE</t>
        </is>
      </c>
      <c r="H2005" s="170" t="n">
        <v>46232.0853125</v>
      </c>
    </row>
    <row r="2006">
      <c r="A2006" s="13" t="inlineStr">
        <is>
          <t>MK00109</t>
        </is>
      </c>
      <c r="B2006" s="13" t="n">
        <v>528000282</v>
      </c>
      <c r="C2006" s="13" t="inlineStr">
        <is>
          <t>Defa Desfiana</t>
        </is>
      </c>
      <c r="D2006" s="13" t="inlineStr">
        <is>
          <t>PROD</t>
        </is>
      </c>
      <c r="E2006" s="13" t="inlineStr">
        <is>
          <t>Produksi Harian</t>
        </is>
      </c>
      <c r="F2006" s="170" t="n">
        <v>46231.7396875</v>
      </c>
      <c r="G2006" s="13" t="inlineStr">
        <is>
          <t>FREE</t>
        </is>
      </c>
      <c r="H2006" s="170" t="n">
        <v>46232.08418981481</v>
      </c>
    </row>
    <row r="2007">
      <c r="A2007" s="13" t="inlineStr">
        <is>
          <t>MK00055</t>
        </is>
      </c>
      <c r="B2007" s="13" t="n">
        <v>528000351</v>
      </c>
      <c r="C2007" s="13" t="inlineStr">
        <is>
          <t>Mulyana</t>
        </is>
      </c>
      <c r="D2007" s="13" t="inlineStr">
        <is>
          <t>PROD</t>
        </is>
      </c>
      <c r="E2007" s="13" t="inlineStr">
        <is>
          <t>Produksi Harian</t>
        </is>
      </c>
      <c r="F2007" s="170" t="n">
        <v>46231.74012731481</v>
      </c>
      <c r="G2007" s="13" t="inlineStr">
        <is>
          <t>FREE</t>
        </is>
      </c>
      <c r="H2007" s="170" t="n">
        <v>46232.0841087963</v>
      </c>
    </row>
    <row r="2008">
      <c r="A2008" s="13" t="inlineStr">
        <is>
          <t>MK00221</t>
        </is>
      </c>
      <c r="B2008" s="13" t="n">
        <v>528000144</v>
      </c>
      <c r="C2008" s="13" t="inlineStr">
        <is>
          <t>Jodi Hanafi</t>
        </is>
      </c>
      <c r="D2008" s="13" t="inlineStr">
        <is>
          <t>LOG</t>
        </is>
      </c>
      <c r="E2008" s="13" t="inlineStr">
        <is>
          <t>WRM Harian</t>
        </is>
      </c>
      <c r="F2008" s="170" t="n">
        <v>46231.74182870371</v>
      </c>
      <c r="G2008" s="13" t="inlineStr">
        <is>
          <t>FREE</t>
        </is>
      </c>
      <c r="H2008" s="170" t="n">
        <v>46232.11266203703</v>
      </c>
    </row>
    <row r="2009">
      <c r="A2009" s="13" t="inlineStr">
        <is>
          <t>MK00204</t>
        </is>
      </c>
      <c r="B2009" s="13" t="n">
        <v>528000335</v>
      </c>
      <c r="C2009" s="13" t="inlineStr">
        <is>
          <t>Rizal Saepuloh</t>
        </is>
      </c>
      <c r="D2009" s="13" t="inlineStr">
        <is>
          <t>LOG</t>
        </is>
      </c>
      <c r="E2009" s="13" t="inlineStr">
        <is>
          <t>WRM Harian</t>
        </is>
      </c>
      <c r="F2009" s="170" t="n">
        <v>46231.74628472222</v>
      </c>
      <c r="G2009" s="13" t="inlineStr">
        <is>
          <t>FREE</t>
        </is>
      </c>
      <c r="H2009" s="170" t="n">
        <v>46232.08738425926</v>
      </c>
    </row>
    <row r="2010">
      <c r="A2010" s="13" t="inlineStr">
        <is>
          <t>MK0130</t>
        </is>
      </c>
      <c r="B2010" s="13" t="n">
        <v>528000149</v>
      </c>
      <c r="C2010" s="13" t="inlineStr">
        <is>
          <t>Tio Fernanda</t>
        </is>
      </c>
      <c r="D2010" s="13" t="inlineStr">
        <is>
          <t>LOG</t>
        </is>
      </c>
      <c r="E2010" s="13" t="inlineStr">
        <is>
          <t>WRM Harian</t>
        </is>
      </c>
      <c r="F2010" s="170" t="n">
        <v>46231.77314814815</v>
      </c>
      <c r="G2010" s="13" t="inlineStr">
        <is>
          <t>FREE</t>
        </is>
      </c>
      <c r="H2010" s="170" t="n">
        <v>46232.79039351852</v>
      </c>
    </row>
    <row r="2011">
      <c r="A2011" s="13" t="inlineStr">
        <is>
          <t>MK00141</t>
        </is>
      </c>
      <c r="B2011" s="13" t="n">
        <v>528000040</v>
      </c>
      <c r="C2011" s="13" t="inlineStr">
        <is>
          <t>Agus Suryaman</t>
        </is>
      </c>
      <c r="D2011" s="13" t="inlineStr">
        <is>
          <t>PROD</t>
        </is>
      </c>
      <c r="E2011" s="13" t="inlineStr">
        <is>
          <t>Produksi Harian</t>
        </is>
      </c>
      <c r="F2011" s="170" t="n">
        <v>46231.77597222223</v>
      </c>
      <c r="G2011" s="13" t="inlineStr">
        <is>
          <t>FREE</t>
        </is>
      </c>
      <c r="H2011" s="170" t="n">
        <v>46232.12892361111</v>
      </c>
    </row>
    <row r="2012">
      <c r="A2012" s="13" t="inlineStr">
        <is>
          <t>MK00205</t>
        </is>
      </c>
      <c r="B2012" s="13" t="n">
        <v>528000348</v>
      </c>
      <c r="C2012" s="13" t="inlineStr">
        <is>
          <t>Saepuloh Ardiansah</t>
        </is>
      </c>
      <c r="D2012" s="13" t="inlineStr">
        <is>
          <t>LOG</t>
        </is>
      </c>
      <c r="E2012" s="13" t="inlineStr">
        <is>
          <t>WRM Harian</t>
        </is>
      </c>
      <c r="F2012" s="170" t="n">
        <v>46231.78708333334</v>
      </c>
      <c r="G2012" s="13" t="inlineStr">
        <is>
          <t>FREE</t>
        </is>
      </c>
      <c r="H2012" s="170" t="n">
        <v>46232.79099537037</v>
      </c>
    </row>
    <row r="2013">
      <c r="A2013" s="13" t="inlineStr">
        <is>
          <t>MK00150</t>
        </is>
      </c>
      <c r="B2013" s="13" t="n">
        <v>528000232</v>
      </c>
      <c r="C2013" s="13" t="inlineStr">
        <is>
          <t>Agung Aji Suhada</t>
        </is>
      </c>
      <c r="D2013" s="13" t="inlineStr">
        <is>
          <t>LOG</t>
        </is>
      </c>
      <c r="E2013" s="13" t="inlineStr">
        <is>
          <t>WRM Harian</t>
        </is>
      </c>
      <c r="F2013" s="170" t="n">
        <v>46231.78913194445</v>
      </c>
      <c r="G2013" s="13" t="inlineStr">
        <is>
          <t>FREE</t>
        </is>
      </c>
      <c r="H2013" s="170" t="n">
        <v>46232.12621527778</v>
      </c>
    </row>
    <row r="2014">
      <c r="A2014" s="13" t="inlineStr">
        <is>
          <t>MK00184</t>
        </is>
      </c>
      <c r="B2014" s="13" t="n">
        <v>528000349</v>
      </c>
      <c r="C2014" s="13" t="inlineStr">
        <is>
          <t>Anas Abdul Fatah</t>
        </is>
      </c>
      <c r="D2014" s="13" t="inlineStr">
        <is>
          <t>LOG</t>
        </is>
      </c>
      <c r="E2014" s="13" t="inlineStr">
        <is>
          <t>WFG Harian</t>
        </is>
      </c>
      <c r="F2014" s="170" t="n">
        <v>46231.82733796296</v>
      </c>
      <c r="G2014" s="13" t="inlineStr">
        <is>
          <t>FREE</t>
        </is>
      </c>
      <c r="H2014" s="170" t="n">
        <v>46232.17680555556</v>
      </c>
    </row>
    <row r="2015">
      <c r="A2015" s="13" t="inlineStr">
        <is>
          <t>MK00213</t>
        </is>
      </c>
      <c r="B2015" s="13" t="n">
        <v>528000313</v>
      </c>
      <c r="C2015" s="13" t="inlineStr">
        <is>
          <t>Muhamad Rifki</t>
        </is>
      </c>
      <c r="D2015" s="13" t="inlineStr">
        <is>
          <t>PROD</t>
        </is>
      </c>
      <c r="E2015" s="13" t="inlineStr">
        <is>
          <t>Produksi Harian</t>
        </is>
      </c>
      <c r="F2015" s="170" t="n">
        <v>46231.83221064815</v>
      </c>
      <c r="G2015" s="13" t="inlineStr">
        <is>
          <t>FREE</t>
        </is>
      </c>
      <c r="H2015" s="170" t="n">
        <v>46232.00355324074</v>
      </c>
    </row>
    <row r="2016">
      <c r="A2016" s="13" t="inlineStr">
        <is>
          <t>MK00113</t>
        </is>
      </c>
      <c r="B2016" s="13" t="n">
        <v>528000322</v>
      </c>
      <c r="C2016" s="13" t="inlineStr">
        <is>
          <t>Muhamad Aliludin</t>
        </is>
      </c>
      <c r="D2016" s="13" t="inlineStr">
        <is>
          <t>PROD</t>
        </is>
      </c>
      <c r="E2016" s="13" t="inlineStr">
        <is>
          <t>Produksi Harian</t>
        </is>
      </c>
      <c r="F2016" s="170" t="n">
        <v>46231.83293981481</v>
      </c>
      <c r="G2016" s="13" t="inlineStr">
        <is>
          <t>FREE</t>
        </is>
      </c>
      <c r="H2016" s="170" t="n">
        <v>46232.00265046296</v>
      </c>
    </row>
    <row r="2017">
      <c r="A2017" s="13" t="inlineStr">
        <is>
          <t>MK00181</t>
        </is>
      </c>
      <c r="B2017" s="13" t="n">
        <v>528000324</v>
      </c>
      <c r="C2017" s="13" t="inlineStr">
        <is>
          <t>Sri Yanti</t>
        </is>
      </c>
      <c r="D2017" s="13" t="inlineStr">
        <is>
          <t>PROD</t>
        </is>
      </c>
      <c r="E2017" s="13" t="inlineStr">
        <is>
          <t>Produksi Harian</t>
        </is>
      </c>
      <c r="F2017" s="170" t="n">
        <v>46231.97109953704</v>
      </c>
      <c r="G2017" s="13" t="inlineStr">
        <is>
          <t>FREE</t>
        </is>
      </c>
      <c r="H2017" s="170" t="n">
        <v>46232.33422453704</v>
      </c>
    </row>
    <row r="2018">
      <c r="A2018" s="13" t="inlineStr">
        <is>
          <t>MK00185</t>
        </is>
      </c>
      <c r="B2018" s="13" t="n">
        <v>528000297</v>
      </c>
      <c r="C2018" s="13" t="inlineStr">
        <is>
          <t>Muhamad Budiana</t>
        </is>
      </c>
      <c r="D2018" s="13" t="inlineStr">
        <is>
          <t>PROD</t>
        </is>
      </c>
      <c r="E2018" s="13" t="inlineStr">
        <is>
          <t>Produksi Harian</t>
        </is>
      </c>
      <c r="F2018" s="170" t="n">
        <v>46231.99116898148</v>
      </c>
      <c r="G2018" s="13" t="inlineStr">
        <is>
          <t>FREE</t>
        </is>
      </c>
      <c r="H2018" s="170" t="n">
        <v>46232.36</v>
      </c>
    </row>
    <row r="2019">
      <c r="A2019" s="13" t="inlineStr">
        <is>
          <t>MK00203</t>
        </is>
      </c>
      <c r="B2019" s="13" t="n">
        <v>528000279</v>
      </c>
      <c r="C2019" s="13" t="inlineStr">
        <is>
          <t>Mahdalena Dalfa Riani</t>
        </is>
      </c>
      <c r="D2019" s="13" t="inlineStr">
        <is>
          <t>PROD</t>
        </is>
      </c>
      <c r="E2019" s="13" t="inlineStr">
        <is>
          <t>Produksi Harian</t>
        </is>
      </c>
      <c r="F2019" s="170" t="n">
        <v>46231.99394675926</v>
      </c>
      <c r="G2019" s="13" t="inlineStr">
        <is>
          <t>FREE</t>
        </is>
      </c>
      <c r="H2019" s="170" t="n">
        <v>46232.33518518518</v>
      </c>
    </row>
    <row r="2020">
      <c r="A2020" s="13" t="inlineStr">
        <is>
          <t>MK00121</t>
        </is>
      </c>
      <c r="B2020" s="13" t="n">
        <v>628000018</v>
      </c>
      <c r="C2020" s="13" t="inlineStr">
        <is>
          <t>Annisa Tri Pratiwi</t>
        </is>
      </c>
      <c r="D2020" s="13" t="inlineStr">
        <is>
          <t>PROD</t>
        </is>
      </c>
      <c r="E2020" s="13" t="inlineStr">
        <is>
          <t>Produksi Borongan</t>
        </is>
      </c>
      <c r="F2020" s="170" t="n">
        <v>46231.99483796296</v>
      </c>
      <c r="G2020" s="13" t="inlineStr">
        <is>
          <t>FREE</t>
        </is>
      </c>
      <c r="H2020" s="170" t="n">
        <v>46232.33550925926</v>
      </c>
    </row>
    <row r="2021">
      <c r="A2021" s="13" t="inlineStr">
        <is>
          <t>MK00112</t>
        </is>
      </c>
      <c r="B2021" s="13" t="n">
        <v>528000248</v>
      </c>
      <c r="C2021" s="13" t="inlineStr">
        <is>
          <t>Roka Jaya Salka Mulya</t>
        </is>
      </c>
      <c r="D2021" s="13" t="inlineStr">
        <is>
          <t>PROD</t>
        </is>
      </c>
      <c r="E2021" s="13" t="inlineStr">
        <is>
          <t>Produksi Harian</t>
        </is>
      </c>
      <c r="F2021" s="170" t="n">
        <v>46231.9954050926</v>
      </c>
      <c r="G2021" s="13" t="inlineStr">
        <is>
          <t>FREE</t>
        </is>
      </c>
      <c r="H2021" s="170" t="n">
        <v>46232.33365740741</v>
      </c>
    </row>
    <row r="2022">
      <c r="A2022" s="13" t="inlineStr">
        <is>
          <t>MK00218</t>
        </is>
      </c>
      <c r="B2022" s="13" t="n">
        <v>628000064</v>
      </c>
      <c r="C2022" s="13" t="inlineStr">
        <is>
          <t>Silva Alypia</t>
        </is>
      </c>
      <c r="D2022" s="13" t="inlineStr">
        <is>
          <t>PROD</t>
        </is>
      </c>
      <c r="E2022" s="13" t="inlineStr">
        <is>
          <t>Produksi Borongan</t>
        </is>
      </c>
      <c r="F2022" s="170" t="n">
        <v>46231.99549768519</v>
      </c>
      <c r="G2022" s="13" t="inlineStr">
        <is>
          <t>FREE</t>
        </is>
      </c>
      <c r="H2022" s="170" t="n">
        <v>46232.33622685185</v>
      </c>
    </row>
    <row r="2023">
      <c r="A2023" s="13" t="inlineStr">
        <is>
          <t>MK00212</t>
        </is>
      </c>
      <c r="B2023" s="13" t="n">
        <v>528000300</v>
      </c>
      <c r="C2023" s="13" t="inlineStr">
        <is>
          <t>Lia pitaloka</t>
        </is>
      </c>
      <c r="D2023" s="13" t="inlineStr">
        <is>
          <t>PROD</t>
        </is>
      </c>
      <c r="E2023" s="13" t="inlineStr">
        <is>
          <t>Produksi Harian</t>
        </is>
      </c>
      <c r="F2023" s="170" t="n">
        <v>46231.99873842593</v>
      </c>
      <c r="G2023" s="13" t="inlineStr">
        <is>
          <t>FREE</t>
        </is>
      </c>
      <c r="H2023" s="170" t="n">
        <v>46232.33592592592</v>
      </c>
    </row>
    <row r="2024">
      <c r="A2024" s="13" t="inlineStr">
        <is>
          <t>MK00160</t>
        </is>
      </c>
      <c r="B2024" s="13" t="n">
        <v>128000054</v>
      </c>
      <c r="C2024" s="13" t="inlineStr">
        <is>
          <t>Nurhaslinda Lubis</t>
        </is>
      </c>
      <c r="D2024" s="13" t="inlineStr">
        <is>
          <t>HRGA</t>
        </is>
      </c>
      <c r="E2024" s="13" t="inlineStr">
        <is>
          <t>General Affair Officer</t>
        </is>
      </c>
      <c r="F2024" s="170" t="n">
        <v>46232.13532407407</v>
      </c>
      <c r="G2024" s="13" t="inlineStr">
        <is>
          <t>FREE</t>
        </is>
      </c>
      <c r="H2024" s="170" t="n">
        <v>46232.13552083333</v>
      </c>
    </row>
    <row r="2025">
      <c r="A2025" s="13" t="inlineStr">
        <is>
          <t>MK00213</t>
        </is>
      </c>
      <c r="B2025" s="13" t="n">
        <v>528000339</v>
      </c>
      <c r="C2025" s="13" t="inlineStr">
        <is>
          <t>Muhamad Ripai'i</t>
        </is>
      </c>
      <c r="D2025" s="13" t="inlineStr">
        <is>
          <t>HRGA</t>
        </is>
      </c>
      <c r="E2025" s="13" t="inlineStr">
        <is>
          <t>GA Harian</t>
        </is>
      </c>
      <c r="F2025" s="170" t="n">
        <v>46232.29208333333</v>
      </c>
      <c r="G2025" s="13" t="inlineStr">
        <is>
          <t>FREE</t>
        </is>
      </c>
      <c r="H2025" s="170" t="n">
        <v>46232.67119212963</v>
      </c>
    </row>
    <row r="2026">
      <c r="A2026" s="13" t="inlineStr">
        <is>
          <t>MK00008</t>
        </is>
      </c>
      <c r="B2026" s="13" t="n">
        <v>528000244</v>
      </c>
      <c r="C2026" s="13" t="inlineStr">
        <is>
          <t>Rodian Rifai</t>
        </is>
      </c>
      <c r="D2026" s="13" t="inlineStr">
        <is>
          <t>PROD</t>
        </is>
      </c>
      <c r="E2026" s="13" t="inlineStr">
        <is>
          <t>Produksi Harian</t>
        </is>
      </c>
      <c r="F2026" s="170" t="n">
        <v>46232.29671296296</v>
      </c>
      <c r="G2026" s="13" t="inlineStr">
        <is>
          <t>FREE</t>
        </is>
      </c>
      <c r="H2026" s="170" t="n">
        <v>46232.67797453704</v>
      </c>
    </row>
    <row r="2027">
      <c r="A2027" s="13" t="inlineStr">
        <is>
          <t>MK00249</t>
        </is>
      </c>
      <c r="B2027" s="13" t="n">
        <v>528000289</v>
      </c>
      <c r="C2027" s="13" t="inlineStr">
        <is>
          <t>Adit Supriyadi</t>
        </is>
      </c>
      <c r="D2027" s="13" t="inlineStr">
        <is>
          <t>PROD</t>
        </is>
      </c>
      <c r="E2027" s="13" t="inlineStr">
        <is>
          <t>Produksi Harian</t>
        </is>
      </c>
      <c r="F2027" s="170" t="n">
        <v>46232.30711805556</v>
      </c>
      <c r="G2027" s="13" t="inlineStr">
        <is>
          <t>FREE</t>
        </is>
      </c>
      <c r="H2027" s="170" t="n">
        <v>46234.33692129629</v>
      </c>
    </row>
    <row r="2028">
      <c r="A2028" s="13" t="inlineStr">
        <is>
          <t>MK00145</t>
        </is>
      </c>
      <c r="B2028" s="13" t="n">
        <v>528000306</v>
      </c>
      <c r="C2028" s="13" t="inlineStr">
        <is>
          <t>Windy Olivia</t>
        </is>
      </c>
      <c r="D2028" s="13" t="inlineStr">
        <is>
          <t>PROD</t>
        </is>
      </c>
      <c r="E2028" s="13" t="inlineStr">
        <is>
          <t>Produksi Harian</t>
        </is>
      </c>
      <c r="F2028" s="170" t="n">
        <v>46232.31681712963</v>
      </c>
      <c r="G2028" s="13" t="inlineStr">
        <is>
          <t>FREE</t>
        </is>
      </c>
      <c r="H2028" s="170" t="n">
        <v>46232.66719907407</v>
      </c>
    </row>
    <row r="2029">
      <c r="A2029" s="13" t="inlineStr">
        <is>
          <t>MK00158</t>
        </is>
      </c>
      <c r="B2029" s="13" t="n">
        <v>528000273</v>
      </c>
      <c r="C2029" s="13" t="inlineStr">
        <is>
          <t>Asep Mulyana</t>
        </is>
      </c>
      <c r="D2029" s="13" t="inlineStr">
        <is>
          <t>PROD</t>
        </is>
      </c>
      <c r="E2029" s="13" t="inlineStr">
        <is>
          <t>Produksi Harian</t>
        </is>
      </c>
      <c r="F2029" s="170" t="n">
        <v>46232.31766203704</v>
      </c>
      <c r="G2029" s="13" t="inlineStr">
        <is>
          <t>FREE</t>
        </is>
      </c>
      <c r="H2029" s="170" t="n">
        <v>46232.71543981481</v>
      </c>
    </row>
    <row r="2030">
      <c r="A2030" s="13" t="inlineStr">
        <is>
          <t>MK00230</t>
        </is>
      </c>
      <c r="B2030" s="13" t="n">
        <v>528000286</v>
      </c>
      <c r="C2030" s="13" t="inlineStr">
        <is>
          <t>Imelda Amelia</t>
        </is>
      </c>
      <c r="D2030" s="13" t="inlineStr">
        <is>
          <t>PROD</t>
        </is>
      </c>
      <c r="E2030" s="13" t="inlineStr">
        <is>
          <t>Produksi Harian</t>
        </is>
      </c>
      <c r="F2030" s="170" t="n">
        <v>46232.32185185186</v>
      </c>
      <c r="G2030" s="13" t="inlineStr">
        <is>
          <t>FREE</t>
        </is>
      </c>
      <c r="H2030" s="170" t="n">
        <v>46232.66945601852</v>
      </c>
    </row>
    <row r="2031">
      <c r="A2031" s="13" t="inlineStr">
        <is>
          <t>MK00085</t>
        </is>
      </c>
      <c r="B2031" s="13" t="n">
        <v>528000201</v>
      </c>
      <c r="C2031" s="13" t="inlineStr">
        <is>
          <t>Zahwa Amelia Choerunissa</t>
        </is>
      </c>
      <c r="D2031" s="13" t="inlineStr">
        <is>
          <t>PROD</t>
        </is>
      </c>
      <c r="E2031" s="13" t="inlineStr">
        <is>
          <t>Produksi Harian</t>
        </is>
      </c>
      <c r="F2031" s="170" t="n">
        <v>46232.3241087963</v>
      </c>
      <c r="G2031" s="13" t="inlineStr">
        <is>
          <t>FREE</t>
        </is>
      </c>
      <c r="H2031" s="170" t="n">
        <v>46232.66893518518</v>
      </c>
    </row>
    <row r="2032">
      <c r="A2032" s="13" t="inlineStr">
        <is>
          <t>MK00210</t>
        </is>
      </c>
      <c r="B2032" s="13" t="n">
        <v>528000241</v>
      </c>
      <c r="C2032" s="13" t="inlineStr">
        <is>
          <t>Balia Nurafif Bilah</t>
        </is>
      </c>
      <c r="D2032" s="13" t="inlineStr">
        <is>
          <t>PROD</t>
        </is>
      </c>
      <c r="E2032" s="13" t="inlineStr">
        <is>
          <t>Produksi Harian</t>
        </is>
      </c>
      <c r="F2032" s="170" t="n">
        <v>46232.32842592592</v>
      </c>
      <c r="G2032" s="13" t="inlineStr">
        <is>
          <t>FREE</t>
        </is>
      </c>
      <c r="H2032" s="170" t="n">
        <v>46232.66833333333</v>
      </c>
    </row>
    <row r="2033">
      <c r="A2033" s="13" t="inlineStr">
        <is>
          <t>MK00217</t>
        </is>
      </c>
      <c r="B2033" s="13" t="n">
        <v>528000290</v>
      </c>
      <c r="C2033" s="13" t="inlineStr">
        <is>
          <t>Eval Pranata</t>
        </is>
      </c>
      <c r="D2033" s="13" t="inlineStr">
        <is>
          <t>PROD</t>
        </is>
      </c>
      <c r="E2033" s="13" t="inlineStr">
        <is>
          <t>Produksi Harian</t>
        </is>
      </c>
      <c r="F2033" s="170" t="n">
        <v>46232.33244212963</v>
      </c>
      <c r="G2033" s="13" t="inlineStr">
        <is>
          <t>FREE</t>
        </is>
      </c>
      <c r="H2033" s="170" t="n">
        <v>46232.68074074074</v>
      </c>
    </row>
    <row r="2034">
      <c r="A2034" s="13" t="inlineStr">
        <is>
          <t>MK00116</t>
        </is>
      </c>
      <c r="B2034" s="13" t="n">
        <v>528000274</v>
      </c>
      <c r="C2034" s="13" t="inlineStr">
        <is>
          <t>Zepri</t>
        </is>
      </c>
      <c r="D2034" s="13" t="inlineStr">
        <is>
          <t>PROD</t>
        </is>
      </c>
      <c r="E2034" s="13" t="inlineStr">
        <is>
          <t>Produksi Harian</t>
        </is>
      </c>
      <c r="F2034" s="170" t="n">
        <v>46232.33270833334</v>
      </c>
      <c r="G2034" s="13" t="inlineStr">
        <is>
          <t>FREE</t>
        </is>
      </c>
      <c r="H2034" s="170" t="n">
        <v>46232.6821412037</v>
      </c>
    </row>
    <row r="2035">
      <c r="A2035" s="13" t="inlineStr">
        <is>
          <t>MK00113</t>
        </is>
      </c>
      <c r="B2035" s="13" t="n">
        <v>528000090</v>
      </c>
      <c r="C2035" s="13" t="inlineStr">
        <is>
          <t>Suganda</t>
        </is>
      </c>
      <c r="D2035" s="13" t="inlineStr">
        <is>
          <t>PROD</t>
        </is>
      </c>
      <c r="E2035" s="13" t="inlineStr">
        <is>
          <t>Produksi Harian</t>
        </is>
      </c>
      <c r="F2035" s="170" t="n">
        <v>46232.33309027777</v>
      </c>
      <c r="G2035" s="13" t="inlineStr">
        <is>
          <t>FREE</t>
        </is>
      </c>
      <c r="H2035" s="170" t="n">
        <v>46232.74594907407</v>
      </c>
    </row>
    <row r="2036">
      <c r="A2036" s="13" t="inlineStr">
        <is>
          <t>MK0090</t>
        </is>
      </c>
      <c r="B2036" s="13" t="n">
        <v>528000212</v>
      </c>
      <c r="C2036" s="13" t="inlineStr">
        <is>
          <t>Rizal Fauzi</t>
        </is>
      </c>
      <c r="D2036" s="13" t="inlineStr">
        <is>
          <t>PROD</t>
        </is>
      </c>
      <c r="E2036" s="13" t="inlineStr">
        <is>
          <t>Produksi Harian</t>
        </is>
      </c>
      <c r="F2036" s="170" t="n">
        <v>46232.33339120371</v>
      </c>
      <c r="G2036" s="13" t="inlineStr">
        <is>
          <t>FREE</t>
        </is>
      </c>
      <c r="H2036" s="170" t="n">
        <v>46030.58495370371</v>
      </c>
    </row>
    <row r="2037">
      <c r="A2037" s="13" t="inlineStr">
        <is>
          <t>MK00185</t>
        </is>
      </c>
      <c r="B2037" s="13" t="n">
        <v>528000322</v>
      </c>
      <c r="C2037" s="13" t="inlineStr">
        <is>
          <t>Muhamad Aliludin</t>
        </is>
      </c>
      <c r="D2037" s="13" t="inlineStr">
        <is>
          <t>PROD</t>
        </is>
      </c>
      <c r="E2037" s="13" t="inlineStr">
        <is>
          <t>Produksi Harian</t>
        </is>
      </c>
      <c r="F2037" s="170" t="n">
        <v>46232.64349537037</v>
      </c>
      <c r="G2037" s="13" t="inlineStr">
        <is>
          <t>FREE</t>
        </is>
      </c>
      <c r="H2037" s="170" t="n">
        <v>46233.00498842593</v>
      </c>
    </row>
    <row r="2038">
      <c r="A2038" s="13" t="inlineStr">
        <is>
          <t>MK00181</t>
        </is>
      </c>
      <c r="B2038" s="13" t="n">
        <v>528000305</v>
      </c>
      <c r="C2038" s="13" t="inlineStr">
        <is>
          <t>Puji Puspita</t>
        </is>
      </c>
      <c r="D2038" s="13" t="inlineStr">
        <is>
          <t>PROD</t>
        </is>
      </c>
      <c r="E2038" s="13" t="inlineStr">
        <is>
          <t>Produksi Harian</t>
        </is>
      </c>
      <c r="F2038" s="170" t="n">
        <v>46232.65138888889</v>
      </c>
      <c r="G2038" s="13" t="inlineStr">
        <is>
          <t>FREE</t>
        </is>
      </c>
      <c r="H2038" s="170" t="n">
        <v>46233.003125</v>
      </c>
    </row>
    <row r="2039">
      <c r="A2039" s="13" t="inlineStr">
        <is>
          <t>MK00220</t>
        </is>
      </c>
      <c r="B2039" s="13" t="n">
        <v>528000299</v>
      </c>
      <c r="C2039" s="13" t="inlineStr">
        <is>
          <t>Siti Nurjanah</t>
        </is>
      </c>
      <c r="D2039" s="13" t="inlineStr">
        <is>
          <t>PROD</t>
        </is>
      </c>
      <c r="E2039" s="13" t="inlineStr">
        <is>
          <t>Produksi Harian</t>
        </is>
      </c>
      <c r="F2039" s="170" t="n">
        <v>46232.65251157407</v>
      </c>
      <c r="G2039" s="13" t="inlineStr">
        <is>
          <t>FREE</t>
        </is>
      </c>
      <c r="H2039" s="170" t="n">
        <v>46233.00512731481</v>
      </c>
    </row>
    <row r="2040">
      <c r="A2040" s="13" t="inlineStr">
        <is>
          <t>MK00218</t>
        </is>
      </c>
      <c r="B2040" s="13" t="n">
        <v>528000323</v>
      </c>
      <c r="C2040" s="13" t="inlineStr">
        <is>
          <t>Dian Hamidah</t>
        </is>
      </c>
      <c r="D2040" s="13" t="inlineStr">
        <is>
          <t>PROD</t>
        </is>
      </c>
      <c r="E2040" s="13" t="inlineStr">
        <is>
          <t>Produksi Harian</t>
        </is>
      </c>
      <c r="F2040" s="170" t="n">
        <v>46232.65443287037</v>
      </c>
      <c r="G2040" s="13" t="inlineStr">
        <is>
          <t>FREE</t>
        </is>
      </c>
      <c r="H2040" s="170" t="n">
        <v>46233.00753472222</v>
      </c>
    </row>
    <row r="2041">
      <c r="A2041" s="13" t="inlineStr">
        <is>
          <t>MK00156</t>
        </is>
      </c>
      <c r="B2041" s="13" t="n">
        <v>528000361</v>
      </c>
      <c r="C2041" s="13" t="inlineStr">
        <is>
          <t>Denada Munggarani</t>
        </is>
      </c>
      <c r="D2041" s="13" t="inlineStr">
        <is>
          <t>PROD</t>
        </is>
      </c>
      <c r="E2041" s="13" t="inlineStr">
        <is>
          <t>Produksi Harian</t>
        </is>
      </c>
      <c r="F2041" s="170" t="n">
        <v>46232.65523148148</v>
      </c>
      <c r="G2041" s="13" t="inlineStr">
        <is>
          <t>FREE</t>
        </is>
      </c>
      <c r="H2041" s="170" t="n">
        <v>46233.02336805555</v>
      </c>
    </row>
    <row r="2042">
      <c r="A2042" s="13" t="inlineStr">
        <is>
          <t>MK00209</t>
        </is>
      </c>
      <c r="B2042" s="13" t="n">
        <v>528000313</v>
      </c>
      <c r="C2042" s="13" t="inlineStr">
        <is>
          <t>Muhamad Rifki</t>
        </is>
      </c>
      <c r="D2042" s="13" t="inlineStr">
        <is>
          <t>PROD</t>
        </is>
      </c>
      <c r="E2042" s="13" t="inlineStr">
        <is>
          <t>Produksi Harian</t>
        </is>
      </c>
      <c r="F2042" s="170" t="n">
        <v>46232.65829861111</v>
      </c>
      <c r="G2042" s="13" t="inlineStr">
        <is>
          <t>FREE</t>
        </is>
      </c>
      <c r="H2042" s="170" t="n">
        <v>46233.00523148148</v>
      </c>
    </row>
    <row r="2043">
      <c r="A2043" s="13" t="inlineStr">
        <is>
          <t>MK00108</t>
        </is>
      </c>
      <c r="B2043" s="13" t="n">
        <v>528000318</v>
      </c>
      <c r="C2043" s="13" t="inlineStr">
        <is>
          <t>Bayu Padli Sepriyana</t>
        </is>
      </c>
      <c r="D2043" s="13" t="inlineStr">
        <is>
          <t>LOG</t>
        </is>
      </c>
      <c r="E2043" s="13" t="inlineStr">
        <is>
          <t>WRM Harian</t>
        </is>
      </c>
      <c r="F2043" s="170" t="n">
        <v>46232.65835648148</v>
      </c>
      <c r="G2043" s="13" t="inlineStr">
        <is>
          <t>FREE</t>
        </is>
      </c>
      <c r="H2043" s="170" t="n">
        <v>46233.00395833333</v>
      </c>
    </row>
    <row r="2044">
      <c r="A2044" s="13" t="inlineStr">
        <is>
          <t>MK00192</t>
        </is>
      </c>
      <c r="B2044" s="13" t="n">
        <v>528000298</v>
      </c>
      <c r="C2044" s="13" t="inlineStr">
        <is>
          <t>Desta Cahaya Pratama</t>
        </is>
      </c>
      <c r="D2044" s="13" t="inlineStr">
        <is>
          <t>PROD</t>
        </is>
      </c>
      <c r="E2044" s="13" t="inlineStr">
        <is>
          <t>Produksi Harian</t>
        </is>
      </c>
      <c r="F2044" s="170" t="n">
        <v>46232.6599074074</v>
      </c>
      <c r="G2044" s="13" t="inlineStr">
        <is>
          <t>FREE</t>
        </is>
      </c>
      <c r="H2044" s="170" t="n">
        <v>46233.00652777778</v>
      </c>
    </row>
    <row r="2045">
      <c r="A2045" s="13" t="inlineStr">
        <is>
          <t>MK00115</t>
        </is>
      </c>
      <c r="B2045" s="13" t="n">
        <v>528000015</v>
      </c>
      <c r="C2045" s="13" t="inlineStr">
        <is>
          <t>Erwin</t>
        </is>
      </c>
      <c r="D2045" s="13" t="inlineStr">
        <is>
          <t>LOG</t>
        </is>
      </c>
      <c r="E2045" s="13" t="inlineStr">
        <is>
          <t>WRM Harian</t>
        </is>
      </c>
      <c r="F2045" s="170" t="n">
        <v>46232.66118055556</v>
      </c>
      <c r="G2045" s="13" t="inlineStr">
        <is>
          <t>FREE</t>
        </is>
      </c>
      <c r="H2045" s="170" t="n">
        <v>46233.08721064815</v>
      </c>
    </row>
    <row r="2046">
      <c r="A2046" s="13" t="inlineStr">
        <is>
          <t>MK00208</t>
        </is>
      </c>
      <c r="B2046" s="13" t="n">
        <v>528000309</v>
      </c>
      <c r="C2046" s="13" t="inlineStr">
        <is>
          <t>Ilham Ramadhan</t>
        </is>
      </c>
      <c r="D2046" s="13" t="inlineStr">
        <is>
          <t>LOG</t>
        </is>
      </c>
      <c r="E2046" s="13" t="inlineStr">
        <is>
          <t>WRM Harian</t>
        </is>
      </c>
      <c r="F2046" s="170" t="n">
        <v>46232.66380787037</v>
      </c>
      <c r="G2046" s="13" t="inlineStr">
        <is>
          <t>FREE</t>
        </is>
      </c>
      <c r="H2046" s="170" t="n">
        <v>46232.66496527778</v>
      </c>
    </row>
    <row r="2047">
      <c r="A2047" s="13" t="inlineStr">
        <is>
          <t>MK00202</t>
        </is>
      </c>
      <c r="B2047" s="13" t="n">
        <v>528000340</v>
      </c>
      <c r="C2047" s="13" t="inlineStr">
        <is>
          <t>Muhammad Wildan Adithya</t>
        </is>
      </c>
      <c r="D2047" s="13" t="inlineStr">
        <is>
          <t>PROD</t>
        </is>
      </c>
      <c r="E2047" s="13" t="inlineStr">
        <is>
          <t>Produksi Harian</t>
        </is>
      </c>
      <c r="F2047" s="170" t="n">
        <v>46232.66502314815</v>
      </c>
      <c r="G2047" s="13" t="inlineStr">
        <is>
          <t>FREE</t>
        </is>
      </c>
      <c r="H2047" s="170" t="n">
        <v>46233.00519675926</v>
      </c>
    </row>
    <row r="2048">
      <c r="A2048" s="13" t="inlineStr">
        <is>
          <t>MK00221</t>
        </is>
      </c>
      <c r="B2048" s="13" t="n">
        <v>528000144</v>
      </c>
      <c r="C2048" s="13" t="inlineStr">
        <is>
          <t>Jodi Hanafi</t>
        </is>
      </c>
      <c r="D2048" s="13" t="inlineStr">
        <is>
          <t>LOG</t>
        </is>
      </c>
      <c r="E2048" s="13" t="inlineStr">
        <is>
          <t>WRM Harian</t>
        </is>
      </c>
      <c r="F2048" s="170" t="n">
        <v>46232.73849537037</v>
      </c>
      <c r="G2048" s="13" t="inlineStr">
        <is>
          <t>FREE</t>
        </is>
      </c>
      <c r="H2048" s="170" t="n">
        <v>46233.23871527778</v>
      </c>
    </row>
    <row r="2049">
      <c r="A2049" s="13" t="inlineStr">
        <is>
          <t>MK00008</t>
        </is>
      </c>
      <c r="B2049" s="13" t="n">
        <v>528000265</v>
      </c>
      <c r="C2049" s="13" t="inlineStr">
        <is>
          <t>Muhammad Haerul Rozikin</t>
        </is>
      </c>
      <c r="D2049" s="13" t="inlineStr">
        <is>
          <t>LOG</t>
        </is>
      </c>
      <c r="E2049" s="13" t="inlineStr">
        <is>
          <t>WRM Harian</t>
        </is>
      </c>
      <c r="F2049" s="170" t="n">
        <v>46232.74050925926</v>
      </c>
      <c r="G2049" s="13" t="inlineStr">
        <is>
          <t>FREE</t>
        </is>
      </c>
      <c r="H2049" s="170" t="n">
        <v>46233.08627314815</v>
      </c>
    </row>
    <row r="2050">
      <c r="A2050" s="13" t="inlineStr">
        <is>
          <t>MK00210</t>
        </is>
      </c>
      <c r="B2050" s="13" t="n">
        <v>528000310</v>
      </c>
      <c r="C2050" s="13" t="inlineStr">
        <is>
          <t>Fachrul Rozzi Suryana</t>
        </is>
      </c>
      <c r="D2050" s="13" t="inlineStr">
        <is>
          <t>LOG</t>
        </is>
      </c>
      <c r="E2050" s="13" t="inlineStr">
        <is>
          <t>WRM Harian</t>
        </is>
      </c>
      <c r="F2050" s="170" t="n">
        <v>46232.74189814815</v>
      </c>
      <c r="G2050" s="13" t="inlineStr">
        <is>
          <t>FREE</t>
        </is>
      </c>
      <c r="H2050" s="170" t="n">
        <v>46233.08427083334</v>
      </c>
    </row>
    <row r="2051">
      <c r="A2051" s="13" t="inlineStr">
        <is>
          <t>MK00230</t>
        </is>
      </c>
      <c r="B2051" s="13" t="n">
        <v>528000282</v>
      </c>
      <c r="C2051" s="13" t="inlineStr">
        <is>
          <t>Defa Desfiana</t>
        </is>
      </c>
      <c r="D2051" s="13" t="inlineStr">
        <is>
          <t>PROD</t>
        </is>
      </c>
      <c r="E2051" s="13" t="inlineStr">
        <is>
          <t>Produksi Harian</t>
        </is>
      </c>
      <c r="F2051" s="170" t="n">
        <v>46232.743125</v>
      </c>
      <c r="G2051" s="13" t="inlineStr">
        <is>
          <t>FREE</t>
        </is>
      </c>
      <c r="H2051" s="170" t="n">
        <v>46233.08751157407</v>
      </c>
    </row>
    <row r="2052">
      <c r="A2052" s="13" t="inlineStr">
        <is>
          <t>MK00145</t>
        </is>
      </c>
      <c r="B2052" s="13" t="n">
        <v>528000351</v>
      </c>
      <c r="C2052" s="13" t="inlineStr">
        <is>
          <t>Mulyana</t>
        </is>
      </c>
      <c r="D2052" s="13" t="inlineStr">
        <is>
          <t>PROD</t>
        </is>
      </c>
      <c r="E2052" s="13" t="inlineStr">
        <is>
          <t>Produksi Harian</t>
        </is>
      </c>
      <c r="F2052" s="170" t="n">
        <v>46232.74469907407</v>
      </c>
      <c r="G2052" s="13" t="inlineStr">
        <is>
          <t>FREE</t>
        </is>
      </c>
      <c r="H2052" s="170" t="n">
        <v>46233.08384259259</v>
      </c>
    </row>
    <row r="2053">
      <c r="A2053" s="13" t="inlineStr">
        <is>
          <t>MK00204</t>
        </is>
      </c>
      <c r="B2053" s="13" t="n">
        <v>528000335</v>
      </c>
      <c r="C2053" s="13" t="inlineStr">
        <is>
          <t>Rizal Saepuloh</t>
        </is>
      </c>
      <c r="D2053" s="13" t="inlineStr">
        <is>
          <t>LOG</t>
        </is>
      </c>
      <c r="E2053" s="13" t="inlineStr">
        <is>
          <t>WRM Harian</t>
        </is>
      </c>
      <c r="F2053" s="170" t="n">
        <v>46232.74533564815</v>
      </c>
      <c r="G2053" s="13" t="inlineStr">
        <is>
          <t>FREE</t>
        </is>
      </c>
      <c r="H2053" s="170" t="n">
        <v>46233.08434027778</v>
      </c>
    </row>
    <row r="2054">
      <c r="A2054" s="13" t="inlineStr">
        <is>
          <t>MK00141</t>
        </is>
      </c>
      <c r="B2054" s="13" t="n">
        <v>528000040</v>
      </c>
      <c r="C2054" s="13" t="inlineStr">
        <is>
          <t>Agus Suryaman</t>
        </is>
      </c>
      <c r="D2054" s="13" t="inlineStr">
        <is>
          <t>PROD</t>
        </is>
      </c>
      <c r="E2054" s="13" t="inlineStr">
        <is>
          <t>Produksi Harian</t>
        </is>
      </c>
      <c r="F2054" s="170" t="n">
        <v>46232.78215277778</v>
      </c>
      <c r="G2054" s="13" t="inlineStr">
        <is>
          <t>FREE</t>
        </is>
      </c>
      <c r="H2054" s="170" t="n">
        <v>46233.14185185185</v>
      </c>
    </row>
    <row r="2055">
      <c r="A2055" s="13" t="inlineStr">
        <is>
          <t>MK00150</t>
        </is>
      </c>
      <c r="B2055" s="13" t="n">
        <v>528000232</v>
      </c>
      <c r="C2055" s="13" t="inlineStr">
        <is>
          <t>Agung Aji Suhada</t>
        </is>
      </c>
      <c r="D2055" s="13" t="inlineStr">
        <is>
          <t>LOG</t>
        </is>
      </c>
      <c r="E2055" s="13" t="inlineStr">
        <is>
          <t>WRM Harian</t>
        </is>
      </c>
      <c r="F2055" s="170" t="n">
        <v>46232.78980324074</v>
      </c>
      <c r="G2055" s="13" t="inlineStr">
        <is>
          <t>FREE</t>
        </is>
      </c>
      <c r="H2055" s="170" t="n">
        <v>46233.12719907407</v>
      </c>
    </row>
    <row r="2056">
      <c r="A2056" s="13" t="inlineStr">
        <is>
          <t>MK0130</t>
        </is>
      </c>
      <c r="B2056" s="13" t="n">
        <v>528000149</v>
      </c>
      <c r="C2056" s="13" t="inlineStr">
        <is>
          <t>Tio Fernanda</t>
        </is>
      </c>
      <c r="D2056" s="13" t="inlineStr">
        <is>
          <t>LOG</t>
        </is>
      </c>
      <c r="E2056" s="13" t="inlineStr">
        <is>
          <t>WRM Harian</t>
        </is>
      </c>
      <c r="F2056" s="170" t="n">
        <v>46232.79052083333</v>
      </c>
      <c r="G2056" s="13" t="inlineStr">
        <is>
          <t>FREE</t>
        </is>
      </c>
      <c r="H2056" s="170" t="n">
        <v>46233.77239583333</v>
      </c>
    </row>
    <row r="2057">
      <c r="A2057" s="13" t="inlineStr">
        <is>
          <t>MK00205</t>
        </is>
      </c>
      <c r="B2057" s="13" t="n">
        <v>528000348</v>
      </c>
      <c r="C2057" s="13" t="inlineStr">
        <is>
          <t>Saepuloh Ardiansah</t>
        </is>
      </c>
      <c r="D2057" s="13" t="inlineStr">
        <is>
          <t>LOG</t>
        </is>
      </c>
      <c r="E2057" s="13" t="inlineStr">
        <is>
          <t>WRM Harian</t>
        </is>
      </c>
      <c r="F2057" s="170" t="n">
        <v>46232.79118055556</v>
      </c>
      <c r="G2057" s="13" t="inlineStr">
        <is>
          <t>FREE</t>
        </is>
      </c>
      <c r="H2057" s="170" t="n">
        <v>46233.22368055556</v>
      </c>
    </row>
    <row r="2058">
      <c r="A2058" s="13" t="inlineStr">
        <is>
          <t>MK00116</t>
        </is>
      </c>
      <c r="B2058" s="13" t="n">
        <v>528000349</v>
      </c>
      <c r="C2058" s="13" t="inlineStr">
        <is>
          <t>Anas Abdul Fatah</t>
        </is>
      </c>
      <c r="D2058" s="13" t="inlineStr">
        <is>
          <t>LOG</t>
        </is>
      </c>
      <c r="E2058" s="13" t="inlineStr">
        <is>
          <t>WFG Harian</t>
        </is>
      </c>
      <c r="F2058" s="170" t="n">
        <v>46232.82200231482</v>
      </c>
      <c r="G2058" s="13" t="inlineStr">
        <is>
          <t>FREE</t>
        </is>
      </c>
      <c r="H2058" s="170" t="n">
        <v>46233.17729166667</v>
      </c>
    </row>
    <row r="2059">
      <c r="A2059" s="13" t="inlineStr">
        <is>
          <t>MK00160</t>
        </is>
      </c>
      <c r="B2059" s="13" t="n">
        <v>528000324</v>
      </c>
      <c r="C2059" s="13" t="inlineStr">
        <is>
          <t>Sri Yanti</t>
        </is>
      </c>
      <c r="D2059" s="13" t="inlineStr">
        <is>
          <t>PROD</t>
        </is>
      </c>
      <c r="E2059" s="13" t="inlineStr">
        <is>
          <t>Produksi Harian</t>
        </is>
      </c>
      <c r="F2059" s="170" t="n">
        <v>46232.96540509259</v>
      </c>
      <c r="G2059" s="13" t="inlineStr">
        <is>
          <t>FREE</t>
        </is>
      </c>
      <c r="H2059" s="170" t="n">
        <v>46233.33640046296</v>
      </c>
    </row>
    <row r="2060">
      <c r="A2060" s="13" t="inlineStr">
        <is>
          <t>MK00143</t>
        </is>
      </c>
      <c r="B2060" s="13" t="n">
        <v>628000018</v>
      </c>
      <c r="C2060" s="13" t="inlineStr">
        <is>
          <t>Annisa Tri Pratiwi</t>
        </is>
      </c>
      <c r="D2060" s="13" t="inlineStr">
        <is>
          <t>PROD</t>
        </is>
      </c>
      <c r="E2060" s="13" t="inlineStr">
        <is>
          <t>Produksi Borongan</t>
        </is>
      </c>
      <c r="F2060" s="170" t="n">
        <v>46232.99158564815</v>
      </c>
      <c r="G2060" s="13" t="inlineStr">
        <is>
          <t>FREE</t>
        </is>
      </c>
      <c r="H2060" s="170" t="n">
        <v>46233.33712962963</v>
      </c>
    </row>
    <row r="2061">
      <c r="A2061" s="13" t="inlineStr">
        <is>
          <t>MK00090</t>
        </is>
      </c>
      <c r="B2061" s="13" t="n">
        <v>528000279</v>
      </c>
      <c r="C2061" s="13" t="inlineStr">
        <is>
          <t>Mahdalena Dalfa Riani</t>
        </is>
      </c>
      <c r="D2061" s="13" t="inlineStr">
        <is>
          <t>PROD</t>
        </is>
      </c>
      <c r="E2061" s="13" t="inlineStr">
        <is>
          <t>Produksi Harian</t>
        </is>
      </c>
      <c r="F2061" s="170" t="n">
        <v>46232.99246527778</v>
      </c>
      <c r="G2061" s="13" t="inlineStr">
        <is>
          <t>FREE</t>
        </is>
      </c>
      <c r="H2061" s="170" t="n">
        <v>46233.33668981482</v>
      </c>
    </row>
    <row r="2062">
      <c r="A2062" s="13" t="inlineStr">
        <is>
          <t>MK00154</t>
        </is>
      </c>
      <c r="B2062" s="13" t="n">
        <v>628000064</v>
      </c>
      <c r="C2062" s="13" t="inlineStr">
        <is>
          <t>Silva Alypia</t>
        </is>
      </c>
      <c r="D2062" s="13" t="inlineStr">
        <is>
          <t>PROD</t>
        </is>
      </c>
      <c r="E2062" s="13" t="inlineStr">
        <is>
          <t>Produksi Borongan</t>
        </is>
      </c>
      <c r="F2062" s="170" t="n">
        <v>46232.99293981482</v>
      </c>
      <c r="G2062" s="13" t="inlineStr">
        <is>
          <t>FREE</t>
        </is>
      </c>
      <c r="H2062" s="170" t="n">
        <v>46233.33657407408</v>
      </c>
    </row>
    <row r="2063">
      <c r="A2063" s="13" t="inlineStr">
        <is>
          <t>MK00138</t>
        </is>
      </c>
      <c r="B2063" s="13" t="n">
        <v>528000248</v>
      </c>
      <c r="C2063" s="13" t="inlineStr">
        <is>
          <t>Roka Jaya Salka Mulya</t>
        </is>
      </c>
      <c r="D2063" s="13" t="inlineStr">
        <is>
          <t>PROD</t>
        </is>
      </c>
      <c r="E2063" s="13" t="inlineStr">
        <is>
          <t>Produksi Harian</t>
        </is>
      </c>
      <c r="F2063" s="170" t="n">
        <v>46232.99357638889</v>
      </c>
      <c r="G2063" s="13" t="inlineStr">
        <is>
          <t>FREE</t>
        </is>
      </c>
      <c r="H2063" s="170" t="n">
        <v>46233.33581018518</v>
      </c>
    </row>
    <row r="2064">
      <c r="A2064" s="13" t="inlineStr">
        <is>
          <t>MK00093</t>
        </is>
      </c>
      <c r="B2064" s="13" t="n">
        <v>528000267</v>
      </c>
      <c r="C2064" s="13" t="inlineStr">
        <is>
          <t>Bagas Patulloh</t>
        </is>
      </c>
      <c r="D2064" s="13" t="inlineStr">
        <is>
          <t>LOG</t>
        </is>
      </c>
      <c r="E2064" s="13" t="inlineStr">
        <is>
          <t>WRM Harian</t>
        </is>
      </c>
      <c r="F2064" s="170" t="n">
        <v>46233.08778935186</v>
      </c>
      <c r="G2064" s="13" t="inlineStr">
        <is>
          <t>FREE</t>
        </is>
      </c>
      <c r="H2064" s="170" t="n">
        <v>46233.41724537037</v>
      </c>
    </row>
    <row r="2065">
      <c r="A2065" s="13" t="inlineStr">
        <is>
          <t>MK00202</t>
        </is>
      </c>
      <c r="B2065" s="13" t="n">
        <v>528000337</v>
      </c>
      <c r="C2065" s="13" t="inlineStr">
        <is>
          <t>Ahmad Zaldi Firdaus</t>
        </is>
      </c>
      <c r="D2065" s="13" t="inlineStr">
        <is>
          <t>PROD</t>
        </is>
      </c>
      <c r="E2065" s="13" t="inlineStr">
        <is>
          <t>Produksi Harian</t>
        </is>
      </c>
      <c r="F2065" s="170" t="n">
        <v>46233.27422453704</v>
      </c>
      <c r="G2065" s="13" t="inlineStr">
        <is>
          <t>FREE</t>
        </is>
      </c>
      <c r="H2065" s="170" t="n">
        <v>46233.67498842593</v>
      </c>
    </row>
    <row r="2066">
      <c r="A2066" s="13" t="inlineStr">
        <is>
          <t>MK00145</t>
        </is>
      </c>
      <c r="B2066" s="13" t="n">
        <v>528000052</v>
      </c>
      <c r="C2066" s="13" t="inlineStr">
        <is>
          <t>Mustopa</t>
        </is>
      </c>
      <c r="D2066" s="13" t="inlineStr">
        <is>
          <t>PROD</t>
        </is>
      </c>
      <c r="E2066" s="13" t="inlineStr">
        <is>
          <t>Produksi Harian</t>
        </is>
      </c>
      <c r="F2066" s="170" t="n">
        <v>46233.28682870371</v>
      </c>
      <c r="G2066" s="13" t="inlineStr">
        <is>
          <t>FREE</t>
        </is>
      </c>
      <c r="H2066" s="170" t="n">
        <v>46233.66924768518</v>
      </c>
    </row>
    <row r="2067">
      <c r="A2067" s="13" t="inlineStr">
        <is>
          <t>MK00088</t>
        </is>
      </c>
      <c r="B2067" s="13" t="n">
        <v>528000336</v>
      </c>
      <c r="C2067" s="13" t="inlineStr">
        <is>
          <t>Ali Nurhanafi</t>
        </is>
      </c>
      <c r="D2067" s="13" t="inlineStr">
        <is>
          <t>PROD</t>
        </is>
      </c>
      <c r="E2067" s="13" t="inlineStr">
        <is>
          <t>Produksi Harian</t>
        </is>
      </c>
      <c r="F2067" s="170" t="n">
        <v>46233.28796296296</v>
      </c>
      <c r="G2067" s="13" t="inlineStr">
        <is>
          <t>FREE</t>
        </is>
      </c>
      <c r="H2067" s="170" t="n">
        <v>46233.67443287037</v>
      </c>
    </row>
    <row r="2068">
      <c r="A2068" s="13" t="inlineStr">
        <is>
          <t>MK00210</t>
        </is>
      </c>
      <c r="B2068" s="13" t="n">
        <v>528000325</v>
      </c>
      <c r="C2068" s="13" t="inlineStr">
        <is>
          <t>Rani Septia Ramadani</t>
        </is>
      </c>
      <c r="D2068" s="13" t="inlineStr">
        <is>
          <t>PROD</t>
        </is>
      </c>
      <c r="E2068" s="13" t="inlineStr">
        <is>
          <t>Produksi Harian</t>
        </is>
      </c>
      <c r="F2068" s="170" t="n">
        <v>46233.298125</v>
      </c>
      <c r="G2068" s="13" t="inlineStr">
        <is>
          <t>FREE</t>
        </is>
      </c>
      <c r="H2068" s="170" t="n">
        <v>46233.67008101852</v>
      </c>
    </row>
    <row r="2069">
      <c r="A2069" s="13" t="inlineStr">
        <is>
          <t>MK00108</t>
        </is>
      </c>
      <c r="B2069" s="13" t="n">
        <v>528000262</v>
      </c>
      <c r="C2069" s="13" t="inlineStr">
        <is>
          <t>Ndari Dwiwanti</t>
        </is>
      </c>
      <c r="D2069" s="13" t="inlineStr">
        <is>
          <t>PROD</t>
        </is>
      </c>
      <c r="E2069" s="13" t="inlineStr">
        <is>
          <t>Produksi Harian</t>
        </is>
      </c>
      <c r="F2069" s="170" t="n">
        <v>46233.31719907407</v>
      </c>
      <c r="G2069" s="13" t="inlineStr">
        <is>
          <t>FREE</t>
        </is>
      </c>
      <c r="H2069" s="170" t="n">
        <v>46233.67030092593</v>
      </c>
    </row>
    <row r="2070">
      <c r="A2070" s="13" t="inlineStr">
        <is>
          <t>MK00230</t>
        </is>
      </c>
      <c r="B2070" s="13" t="n">
        <v>528000306</v>
      </c>
      <c r="C2070" s="13" t="inlineStr">
        <is>
          <t>Windy Olivia</t>
        </is>
      </c>
      <c r="D2070" s="13" t="inlineStr">
        <is>
          <t>PROD</t>
        </is>
      </c>
      <c r="E2070" s="13" t="inlineStr">
        <is>
          <t>Produksi Harian</t>
        </is>
      </c>
      <c r="F2070" s="170" t="n">
        <v>46233.31913194444</v>
      </c>
      <c r="G2070" s="13" t="inlineStr">
        <is>
          <t>FREE</t>
        </is>
      </c>
      <c r="H2070" s="170" t="n">
        <v>46233.67075231481</v>
      </c>
    </row>
    <row r="2071">
      <c r="A2071" s="13" t="inlineStr">
        <is>
          <t>MK00136</t>
        </is>
      </c>
      <c r="B2071" s="13" t="n">
        <v>528000328</v>
      </c>
      <c r="C2071" s="13" t="inlineStr">
        <is>
          <t>Nur Anjani</t>
        </is>
      </c>
      <c r="D2071" s="13" t="inlineStr">
        <is>
          <t>PROD</t>
        </is>
      </c>
      <c r="E2071" s="13" t="inlineStr">
        <is>
          <t>Produksi Harian</t>
        </is>
      </c>
      <c r="F2071" s="170" t="n">
        <v>46233.32134259259</v>
      </c>
      <c r="G2071" s="13" t="inlineStr">
        <is>
          <t>FREE</t>
        </is>
      </c>
      <c r="H2071" s="170" t="n">
        <v>46233.67019675926</v>
      </c>
    </row>
    <row r="2072">
      <c r="A2072" s="13" t="inlineStr">
        <is>
          <t>MK00186</t>
        </is>
      </c>
      <c r="B2072" s="13" t="n">
        <v>528000360</v>
      </c>
      <c r="C2072" s="13" t="inlineStr">
        <is>
          <t>Hendra Permana</t>
        </is>
      </c>
      <c r="D2072" s="13" t="inlineStr">
        <is>
          <t>ENG</t>
        </is>
      </c>
      <c r="E2072" s="13" t="inlineStr">
        <is>
          <t>Engineering Harian</t>
        </is>
      </c>
      <c r="F2072" s="170" t="n">
        <v>46233.32484953704</v>
      </c>
      <c r="G2072" s="13" t="inlineStr">
        <is>
          <t>FREE</t>
        </is>
      </c>
      <c r="H2072" s="170" t="n">
        <v>46233.66951388889</v>
      </c>
    </row>
    <row r="2073">
      <c r="A2073" s="13" t="inlineStr">
        <is>
          <t>MK00181</t>
        </is>
      </c>
      <c r="B2073" s="13" t="n">
        <v>528000291</v>
      </c>
      <c r="C2073" s="13" t="inlineStr">
        <is>
          <t>Andrian</t>
        </is>
      </c>
      <c r="D2073" s="13" t="inlineStr">
        <is>
          <t>PROD</t>
        </is>
      </c>
      <c r="E2073" s="13" t="inlineStr">
        <is>
          <t>Produksi Harian</t>
        </is>
      </c>
      <c r="F2073" s="170" t="n">
        <v>46233.32611111111</v>
      </c>
      <c r="G2073" s="13" t="inlineStr">
        <is>
          <t>FREE</t>
        </is>
      </c>
      <c r="H2073" s="170" t="n">
        <v>46233.6703587963</v>
      </c>
    </row>
    <row r="2074">
      <c r="A2074" s="13" t="inlineStr">
        <is>
          <t>MK00209</t>
        </is>
      </c>
      <c r="B2074" s="13" t="n">
        <v>528000266</v>
      </c>
      <c r="C2074" s="13" t="inlineStr">
        <is>
          <t>M. Syirajatieq</t>
        </is>
      </c>
      <c r="D2074" s="13" t="inlineStr">
        <is>
          <t>LOG</t>
        </is>
      </c>
      <c r="E2074" s="13" t="inlineStr">
        <is>
          <t>WFG Harian</t>
        </is>
      </c>
      <c r="F2074" s="170" t="n">
        <v>46233.32642361111</v>
      </c>
      <c r="G2074" s="13" t="inlineStr">
        <is>
          <t>FREE</t>
        </is>
      </c>
      <c r="H2074" s="170" t="n">
        <v>46233.34349537037</v>
      </c>
    </row>
    <row r="2075">
      <c r="A2075" s="13" t="inlineStr">
        <is>
          <t>MK00220</t>
        </is>
      </c>
      <c r="B2075" s="13" t="n">
        <v>528000358</v>
      </c>
      <c r="C2075" s="13" t="inlineStr">
        <is>
          <t>Lulu Agustin</t>
        </is>
      </c>
      <c r="D2075" s="13" t="inlineStr">
        <is>
          <t>PROD</t>
        </is>
      </c>
      <c r="E2075" s="13" t="inlineStr">
        <is>
          <t>Produksi Harian</t>
        </is>
      </c>
      <c r="F2075" s="170" t="n">
        <v>46233.32704861111</v>
      </c>
      <c r="G2075" s="13" t="inlineStr">
        <is>
          <t>FREE</t>
        </is>
      </c>
      <c r="H2075" s="170" t="n">
        <v>46233.67040509259</v>
      </c>
    </row>
    <row r="2076">
      <c r="A2076" s="13" t="inlineStr">
        <is>
          <t>MK00109</t>
        </is>
      </c>
      <c r="B2076" s="13" t="n">
        <v>528000283</v>
      </c>
      <c r="C2076" s="13" t="inlineStr">
        <is>
          <t>Purwanda Sugiri</t>
        </is>
      </c>
      <c r="D2076" s="13" t="inlineStr">
        <is>
          <t>LOG</t>
        </is>
      </c>
      <c r="E2076" s="13" t="inlineStr">
        <is>
          <t>WRM Harian</t>
        </is>
      </c>
      <c r="F2076" s="170" t="n">
        <v>46233.32708333333</v>
      </c>
      <c r="G2076" s="13" t="inlineStr">
        <is>
          <t>FREE</t>
        </is>
      </c>
      <c r="H2076" s="170" t="n">
        <v>46233.67017361111</v>
      </c>
    </row>
    <row r="2077">
      <c r="A2077" s="13" t="inlineStr">
        <is>
          <t>MK00218</t>
        </is>
      </c>
      <c r="B2077" s="13" t="n">
        <v>528000261</v>
      </c>
      <c r="C2077" s="13" t="inlineStr">
        <is>
          <t>Ergi Ergianto</t>
        </is>
      </c>
      <c r="D2077" s="13" t="inlineStr">
        <is>
          <t>HRGA</t>
        </is>
      </c>
      <c r="E2077" s="13" t="inlineStr">
        <is>
          <t>GA Harian</t>
        </is>
      </c>
      <c r="F2077" s="170" t="n">
        <v>46233.32716435185</v>
      </c>
      <c r="G2077" s="13" t="inlineStr">
        <is>
          <t>FREE</t>
        </is>
      </c>
      <c r="H2077" s="170" t="n">
        <v>46233.66971064815</v>
      </c>
    </row>
    <row r="2078">
      <c r="A2078" s="13" t="inlineStr">
        <is>
          <t>MK00125</t>
        </is>
      </c>
      <c r="B2078" s="13" t="n">
        <v>528000314</v>
      </c>
      <c r="C2078" s="13" t="inlineStr">
        <is>
          <t>Rusmana</t>
        </is>
      </c>
      <c r="D2078" s="13" t="inlineStr">
        <is>
          <t>PROD</t>
        </is>
      </c>
      <c r="E2078" s="13" t="inlineStr">
        <is>
          <t>Produksi Harian</t>
        </is>
      </c>
      <c r="F2078" s="170" t="n">
        <v>46233.32935185185</v>
      </c>
      <c r="G2078" s="13" t="inlineStr">
        <is>
          <t>FREE</t>
        </is>
      </c>
      <c r="H2078" s="170" t="n">
        <v>46234.32483796297</v>
      </c>
    </row>
    <row r="2079">
      <c r="A2079" s="13" t="inlineStr">
        <is>
          <t>MK00121</t>
        </is>
      </c>
      <c r="B2079" s="13" t="n">
        <v>528000322</v>
      </c>
      <c r="C2079" s="13" t="inlineStr">
        <is>
          <t>Muhamad Aliludin</t>
        </is>
      </c>
      <c r="D2079" s="13" t="inlineStr">
        <is>
          <t>PROD</t>
        </is>
      </c>
      <c r="E2079" s="13" t="inlineStr">
        <is>
          <t>Produksi Harian</t>
        </is>
      </c>
      <c r="F2079" s="170" t="n">
        <v>46233.64144675926</v>
      </c>
      <c r="G2079" s="13" t="inlineStr">
        <is>
          <t>FREE</t>
        </is>
      </c>
      <c r="H2079" s="170" t="n">
        <v>46234.00528935185</v>
      </c>
    </row>
    <row r="2080">
      <c r="A2080" s="13" t="inlineStr">
        <is>
          <t>MK00250</t>
        </is>
      </c>
      <c r="B2080" s="13" t="n">
        <v>528000305</v>
      </c>
      <c r="C2080" s="13" t="inlineStr">
        <is>
          <t>Puji Puspita</t>
        </is>
      </c>
      <c r="D2080" s="13" t="inlineStr">
        <is>
          <t>PROD</t>
        </is>
      </c>
      <c r="E2080" s="13" t="inlineStr">
        <is>
          <t>Produksi Harian</t>
        </is>
      </c>
      <c r="F2080" s="170" t="n">
        <v>46233.65052083333</v>
      </c>
      <c r="G2080" s="13" t="inlineStr">
        <is>
          <t>FREE</t>
        </is>
      </c>
      <c r="H2080" s="170" t="n">
        <v>46234.00263888889</v>
      </c>
    </row>
    <row r="2081">
      <c r="A2081" s="13" t="inlineStr">
        <is>
          <t>MK00123</t>
        </is>
      </c>
      <c r="B2081" s="13" t="n">
        <v>528000015</v>
      </c>
      <c r="C2081" s="13" t="inlineStr">
        <is>
          <t>Erwin</t>
        </is>
      </c>
      <c r="D2081" s="13" t="inlineStr">
        <is>
          <t>LOG</t>
        </is>
      </c>
      <c r="E2081" s="13" t="inlineStr">
        <is>
          <t>WRM Harian</t>
        </is>
      </c>
      <c r="F2081" s="170" t="n">
        <v>46233.65520833333</v>
      </c>
      <c r="G2081" s="13" t="inlineStr">
        <is>
          <t>FREE</t>
        </is>
      </c>
      <c r="H2081" s="170" t="n">
        <v>46234.01635416667</v>
      </c>
    </row>
    <row r="2082">
      <c r="A2082" s="13" t="inlineStr">
        <is>
          <t>MK00138</t>
        </is>
      </c>
      <c r="B2082" s="13" t="n">
        <v>528000318</v>
      </c>
      <c r="C2082" s="13" t="inlineStr">
        <is>
          <t>Bayu Padli Sepriyana</t>
        </is>
      </c>
      <c r="D2082" s="13" t="inlineStr">
        <is>
          <t>LOG</t>
        </is>
      </c>
      <c r="E2082" s="13" t="inlineStr">
        <is>
          <t>WRM Harian</t>
        </is>
      </c>
      <c r="F2082" s="170" t="n">
        <v>46233.65587962963</v>
      </c>
      <c r="G2082" s="13" t="inlineStr">
        <is>
          <t>FREE</t>
        </is>
      </c>
      <c r="H2082" s="170" t="n">
        <v>46234.00304398148</v>
      </c>
    </row>
    <row r="2083">
      <c r="A2083" s="13" t="inlineStr">
        <is>
          <t>MK00160</t>
        </is>
      </c>
      <c r="B2083" s="13" t="n">
        <v>528000340</v>
      </c>
      <c r="C2083" s="13" t="inlineStr">
        <is>
          <t>Muhammad Wildan Adithya</t>
        </is>
      </c>
      <c r="D2083" s="13" t="inlineStr">
        <is>
          <t>PROD</t>
        </is>
      </c>
      <c r="E2083" s="13" t="inlineStr">
        <is>
          <t>Produksi Harian</t>
        </is>
      </c>
      <c r="F2083" s="170" t="n">
        <v>46233.65739583333</v>
      </c>
      <c r="G2083" s="13" t="inlineStr">
        <is>
          <t>FREE</t>
        </is>
      </c>
      <c r="H2083" s="170" t="n">
        <v>46234.00431712963</v>
      </c>
    </row>
    <row r="2084">
      <c r="A2084" s="13" t="inlineStr">
        <is>
          <t>MK00212</t>
        </is>
      </c>
      <c r="B2084" s="13" t="n">
        <v>528000298</v>
      </c>
      <c r="C2084" s="13" t="inlineStr">
        <is>
          <t>Desta Cahaya Pratama</t>
        </is>
      </c>
      <c r="D2084" s="13" t="inlineStr">
        <is>
          <t>PROD</t>
        </is>
      </c>
      <c r="E2084" s="13" t="inlineStr">
        <is>
          <t>Produksi Harian</t>
        </is>
      </c>
      <c r="F2084" s="170" t="n">
        <v>46233.65840277778</v>
      </c>
      <c r="G2084" s="13" t="inlineStr">
        <is>
          <t>FREE</t>
        </is>
      </c>
      <c r="H2084" s="170" t="n">
        <v>46234.0040625</v>
      </c>
    </row>
    <row r="2085">
      <c r="A2085" s="13" t="inlineStr">
        <is>
          <t>MK00008</t>
        </is>
      </c>
      <c r="B2085" s="13" t="n">
        <v>528000313</v>
      </c>
      <c r="C2085" s="13" t="inlineStr">
        <is>
          <t>Muhamad Rifki</t>
        </is>
      </c>
      <c r="D2085" s="13" t="inlineStr">
        <is>
          <t>PROD</t>
        </is>
      </c>
      <c r="E2085" s="13" t="inlineStr">
        <is>
          <t>Produksi Harian</t>
        </is>
      </c>
      <c r="F2085" s="170" t="n">
        <v>46233.65844907407</v>
      </c>
      <c r="G2085" s="13" t="inlineStr">
        <is>
          <t>FREE</t>
        </is>
      </c>
      <c r="H2085" s="170" t="n">
        <v>46234.00393518519</v>
      </c>
    </row>
    <row r="2086">
      <c r="A2086" s="13" t="inlineStr">
        <is>
          <t>MK00203</t>
        </is>
      </c>
      <c r="B2086" s="13" t="n">
        <v>528000361</v>
      </c>
      <c r="C2086" s="13" t="inlineStr">
        <is>
          <t>Denada Munggarani</t>
        </is>
      </c>
      <c r="D2086" s="13" t="inlineStr">
        <is>
          <t>PROD</t>
        </is>
      </c>
      <c r="E2086" s="13" t="inlineStr">
        <is>
          <t>Produksi Harian</t>
        </is>
      </c>
      <c r="F2086" s="170" t="n">
        <v>46233.65962962963</v>
      </c>
      <c r="G2086" s="13" t="inlineStr">
        <is>
          <t>FREE</t>
        </is>
      </c>
      <c r="H2086" s="170" t="n">
        <v>46234.12586805555</v>
      </c>
    </row>
    <row r="2087">
      <c r="A2087" s="13" t="inlineStr">
        <is>
          <t>MK00143</t>
        </is>
      </c>
      <c r="B2087" s="13" t="n">
        <v>628000091</v>
      </c>
      <c r="C2087" s="13" t="inlineStr">
        <is>
          <t>Devita Handayani</t>
        </is>
      </c>
      <c r="D2087" s="13" t="inlineStr">
        <is>
          <t>PROD</t>
        </is>
      </c>
      <c r="E2087" s="13" t="inlineStr">
        <is>
          <t>Produksi Borongan</t>
        </is>
      </c>
      <c r="F2087" s="170" t="n">
        <v>46233.66094907407</v>
      </c>
      <c r="G2087" s="13" t="inlineStr">
        <is>
          <t>FREE</t>
        </is>
      </c>
      <c r="H2087" s="170" t="n">
        <v>46234.0053587963</v>
      </c>
    </row>
    <row r="2088">
      <c r="A2088" s="13" t="inlineStr">
        <is>
          <t>MK00213</t>
        </is>
      </c>
      <c r="B2088" s="13" t="n">
        <v>528000299</v>
      </c>
      <c r="C2088" s="13" t="inlineStr">
        <is>
          <t>Siti Nurjanah</t>
        </is>
      </c>
      <c r="D2088" s="13" t="inlineStr">
        <is>
          <t>PROD</t>
        </is>
      </c>
      <c r="E2088" s="13" t="inlineStr">
        <is>
          <t>Produksi Harian</t>
        </is>
      </c>
      <c r="F2088" s="170" t="n">
        <v>46233.66122685185</v>
      </c>
      <c r="G2088" s="13" t="inlineStr">
        <is>
          <t>FREE</t>
        </is>
      </c>
      <c r="H2088" s="170" t="n">
        <v>46234.0042824074</v>
      </c>
    </row>
    <row r="2089">
      <c r="A2089" s="13" t="inlineStr">
        <is>
          <t>MK00090</t>
        </is>
      </c>
      <c r="B2089" s="13" t="n">
        <v>528000302</v>
      </c>
      <c r="C2089" s="13" t="inlineStr">
        <is>
          <t>Henkey gumilar</t>
        </is>
      </c>
      <c r="D2089" s="13" t="inlineStr">
        <is>
          <t>PROD</t>
        </is>
      </c>
      <c r="E2089" s="13" t="inlineStr">
        <is>
          <t>Produksi Harian</t>
        </is>
      </c>
      <c r="F2089" s="170" t="n">
        <v>46233.66270833334</v>
      </c>
      <c r="G2089" s="13" t="inlineStr">
        <is>
          <t>FREE</t>
        </is>
      </c>
      <c r="H2089" s="170" t="n">
        <v>46030.2427662037</v>
      </c>
    </row>
    <row r="2090">
      <c r="A2090" s="13" t="inlineStr">
        <is>
          <t>MK00154</t>
        </is>
      </c>
      <c r="B2090" s="13" t="n">
        <v>528000309</v>
      </c>
      <c r="C2090" s="13" t="inlineStr">
        <is>
          <t>Ilham Ramadhan</t>
        </is>
      </c>
      <c r="D2090" s="13" t="inlineStr">
        <is>
          <t>LOG</t>
        </is>
      </c>
      <c r="E2090" s="13" t="inlineStr">
        <is>
          <t>WRM Harian</t>
        </is>
      </c>
      <c r="F2090" s="170" t="n">
        <v>46233.66447916667</v>
      </c>
      <c r="G2090" s="13" t="inlineStr">
        <is>
          <t>FREE</t>
        </is>
      </c>
      <c r="H2090" s="170" t="n">
        <v>46234.00375</v>
      </c>
    </row>
    <row r="2091">
      <c r="A2091" s="13" t="inlineStr">
        <is>
          <t>MK00209</t>
        </is>
      </c>
      <c r="B2091" s="13" t="n">
        <v>528000282</v>
      </c>
      <c r="C2091" s="13" t="inlineStr">
        <is>
          <t>Defa Desfiana</t>
        </is>
      </c>
      <c r="D2091" s="13" t="inlineStr">
        <is>
          <t>PROD</t>
        </is>
      </c>
      <c r="E2091" s="13" t="inlineStr">
        <is>
          <t>Produksi Harian</t>
        </is>
      </c>
      <c r="F2091" s="170" t="n">
        <v>46233.73795138889</v>
      </c>
      <c r="G2091" s="13" t="inlineStr">
        <is>
          <t>FREE</t>
        </is>
      </c>
      <c r="H2091" s="170" t="n">
        <v>46234.08418981481</v>
      </c>
    </row>
    <row r="2092">
      <c r="A2092" s="13" t="inlineStr">
        <is>
          <t>MK00186</t>
        </is>
      </c>
      <c r="B2092" s="13" t="n">
        <v>528000265</v>
      </c>
      <c r="C2092" s="13" t="inlineStr">
        <is>
          <t>Muhammad Haerul Rozikin</t>
        </is>
      </c>
      <c r="D2092" s="13" t="inlineStr">
        <is>
          <t>LOG</t>
        </is>
      </c>
      <c r="E2092" s="13" t="inlineStr">
        <is>
          <t>WRM Harian</t>
        </is>
      </c>
      <c r="F2092" s="170" t="n">
        <v>46233.740625</v>
      </c>
      <c r="G2092" s="13" t="inlineStr">
        <is>
          <t>FREE</t>
        </is>
      </c>
      <c r="H2092" s="170" t="n">
        <v>46234.08576388889</v>
      </c>
    </row>
    <row r="2093">
      <c r="A2093" s="13" t="inlineStr">
        <is>
          <t>MK00136</t>
        </is>
      </c>
      <c r="B2093" s="13" t="n">
        <v>528000310</v>
      </c>
      <c r="C2093" s="13" t="inlineStr">
        <is>
          <t>Fachrul Rozzi Suryana</t>
        </is>
      </c>
      <c r="D2093" s="13" t="inlineStr">
        <is>
          <t>LOG</t>
        </is>
      </c>
      <c r="E2093" s="13" t="inlineStr">
        <is>
          <t>WRM Harian</t>
        </is>
      </c>
      <c r="F2093" s="170" t="n">
        <v>46233.74265046296</v>
      </c>
      <c r="G2093" s="13" t="inlineStr">
        <is>
          <t>FREE</t>
        </is>
      </c>
      <c r="H2093" s="170" t="n">
        <v>46234.08344907407</v>
      </c>
    </row>
    <row r="2094">
      <c r="A2094" s="13" t="inlineStr">
        <is>
          <t>MK00204</t>
        </is>
      </c>
      <c r="B2094" s="13" t="n">
        <v>528000335</v>
      </c>
      <c r="C2094" s="13" t="inlineStr">
        <is>
          <t>Rizal Saepuloh</t>
        </is>
      </c>
      <c r="D2094" s="13" t="inlineStr">
        <is>
          <t>LOG</t>
        </is>
      </c>
      <c r="E2094" s="13" t="inlineStr">
        <is>
          <t>WRM Harian</t>
        </is>
      </c>
      <c r="F2094" s="170" t="n">
        <v>46233.74844907408</v>
      </c>
      <c r="G2094" s="13" t="inlineStr">
        <is>
          <t>FREE</t>
        </is>
      </c>
      <c r="H2094" s="170" t="n">
        <v>46234.08534722222</v>
      </c>
    </row>
    <row r="2095">
      <c r="A2095" s="13" t="inlineStr">
        <is>
          <t>MK00221</t>
        </is>
      </c>
      <c r="B2095" s="13" t="n">
        <v>528000144</v>
      </c>
      <c r="C2095" s="13" t="inlineStr">
        <is>
          <t>Jodi Hanafi</t>
        </is>
      </c>
      <c r="D2095" s="13" t="inlineStr">
        <is>
          <t>LOG</t>
        </is>
      </c>
      <c r="E2095" s="13" t="inlineStr">
        <is>
          <t>WRM Harian</t>
        </is>
      </c>
      <c r="F2095" s="170" t="n">
        <v>46233.74864583334</v>
      </c>
      <c r="G2095" s="13" t="inlineStr">
        <is>
          <t>FREE</t>
        </is>
      </c>
      <c r="H2095" s="170" t="n">
        <v>46234.08820601852</v>
      </c>
    </row>
    <row r="2096">
      <c r="A2096" s="13" t="inlineStr">
        <is>
          <t>MK00208</t>
        </is>
      </c>
      <c r="B2096" s="13" t="n">
        <v>528000351</v>
      </c>
      <c r="C2096" s="13" t="inlineStr">
        <is>
          <t>Mulyana</t>
        </is>
      </c>
      <c r="D2096" s="13" t="inlineStr">
        <is>
          <t>PROD</t>
        </is>
      </c>
      <c r="E2096" s="13" t="inlineStr">
        <is>
          <t>Produksi Harian</t>
        </is>
      </c>
      <c r="F2096" s="170" t="n">
        <v>46233.75739583333</v>
      </c>
      <c r="G2096" s="13" t="inlineStr">
        <is>
          <t>FREE</t>
        </is>
      </c>
      <c r="H2096" s="170" t="n">
        <v>46234.08556712963</v>
      </c>
    </row>
    <row r="2097">
      <c r="A2097" s="13" t="inlineStr">
        <is>
          <t>MK0130</t>
        </is>
      </c>
      <c r="B2097" s="13" t="n">
        <v>528000149</v>
      </c>
      <c r="C2097" s="13" t="inlineStr">
        <is>
          <t>Tio Fernanda</t>
        </is>
      </c>
      <c r="D2097" s="13" t="inlineStr">
        <is>
          <t>LOG</t>
        </is>
      </c>
      <c r="E2097" s="13" t="inlineStr">
        <is>
          <t>WRM Harian</t>
        </is>
      </c>
      <c r="F2097" s="170" t="n">
        <v>46233.7725462963</v>
      </c>
      <c r="G2097" s="13" t="inlineStr">
        <is>
          <t>FREE</t>
        </is>
      </c>
      <c r="H2097" s="170" t="n">
        <v>46030.37759259259</v>
      </c>
    </row>
    <row r="2098">
      <c r="A2098" s="13" t="inlineStr">
        <is>
          <t>MK00141</t>
        </is>
      </c>
      <c r="B2098" s="13" t="n">
        <v>528000040</v>
      </c>
      <c r="C2098" s="13" t="inlineStr">
        <is>
          <t>Agus Suryaman</t>
        </is>
      </c>
      <c r="D2098" s="13" t="inlineStr">
        <is>
          <t>PROD</t>
        </is>
      </c>
      <c r="E2098" s="13" t="inlineStr">
        <is>
          <t>Produksi Harian</t>
        </is>
      </c>
      <c r="F2098" s="170" t="n">
        <v>46233.7809375</v>
      </c>
      <c r="G2098" s="13" t="inlineStr">
        <is>
          <t>FREE</t>
        </is>
      </c>
      <c r="H2098" s="170" t="n">
        <v>46233.78207175926</v>
      </c>
    </row>
    <row r="2099">
      <c r="A2099" s="13" t="inlineStr">
        <is>
          <t>MK00205</t>
        </is>
      </c>
      <c r="B2099" s="13" t="n">
        <v>528000348</v>
      </c>
      <c r="C2099" s="13" t="inlineStr">
        <is>
          <t>Saepuloh Ardiansah</t>
        </is>
      </c>
      <c r="D2099" s="13" t="inlineStr">
        <is>
          <t>LOG</t>
        </is>
      </c>
      <c r="E2099" s="13" t="inlineStr">
        <is>
          <t>WRM Harian</t>
        </is>
      </c>
      <c r="F2099" s="170" t="n">
        <v>46233.78270833333</v>
      </c>
      <c r="G2099" s="13" t="inlineStr">
        <is>
          <t>FREE</t>
        </is>
      </c>
      <c r="H2099" s="170" t="n">
        <v>46030.32542824074</v>
      </c>
    </row>
    <row r="2100">
      <c r="A2100" s="13" t="inlineStr">
        <is>
          <t>MK00150</t>
        </is>
      </c>
      <c r="B2100" s="13" t="n">
        <v>528000232</v>
      </c>
      <c r="C2100" s="13" t="inlineStr">
        <is>
          <t>Agung Aji Suhada</t>
        </is>
      </c>
      <c r="D2100" s="13" t="inlineStr">
        <is>
          <t>LOG</t>
        </is>
      </c>
      <c r="E2100" s="13" t="inlineStr">
        <is>
          <t>WRM Harian</t>
        </is>
      </c>
      <c r="F2100" s="170" t="n">
        <v>46233.78678240741</v>
      </c>
      <c r="G2100" s="13" t="inlineStr">
        <is>
          <t>FREE</t>
        </is>
      </c>
      <c r="H2100" s="170" t="n">
        <v>46234.1259375</v>
      </c>
    </row>
    <row r="2101">
      <c r="A2101" s="13" t="inlineStr">
        <is>
          <t>MK00218</t>
        </is>
      </c>
      <c r="B2101" s="13" t="n">
        <v>528000349</v>
      </c>
      <c r="C2101" s="13" t="inlineStr">
        <is>
          <t>Anas Abdul Fatah</t>
        </is>
      </c>
      <c r="D2101" s="13" t="inlineStr">
        <is>
          <t>LOG</t>
        </is>
      </c>
      <c r="E2101" s="13" t="inlineStr">
        <is>
          <t>WFG Harian</t>
        </is>
      </c>
      <c r="F2101" s="170" t="n">
        <v>46233.82074074074</v>
      </c>
      <c r="G2101" s="13" t="inlineStr">
        <is>
          <t>FREE</t>
        </is>
      </c>
      <c r="H2101" s="170" t="n">
        <v>46089.40673611111</v>
      </c>
    </row>
    <row r="2102">
      <c r="A2102" s="13" t="inlineStr">
        <is>
          <t>MK00181</t>
        </is>
      </c>
      <c r="B2102" s="13" t="n">
        <v>628000064</v>
      </c>
      <c r="C2102" s="13" t="inlineStr">
        <is>
          <t>Silva Alypia</t>
        </is>
      </c>
      <c r="D2102" s="13" t="inlineStr">
        <is>
          <t>PROD</t>
        </is>
      </c>
      <c r="E2102" s="13" t="inlineStr">
        <is>
          <t>Produksi Borongan</t>
        </is>
      </c>
      <c r="F2102" s="170" t="n">
        <v>46233.99381944445</v>
      </c>
      <c r="G2102" s="13" t="inlineStr">
        <is>
          <t>FREE</t>
        </is>
      </c>
      <c r="H2102" s="170" t="n">
        <v>46234.33751157407</v>
      </c>
    </row>
    <row r="2103">
      <c r="A2103" s="13" t="inlineStr">
        <is>
          <t>MK00217</t>
        </is>
      </c>
      <c r="B2103" s="13" t="n">
        <v>528000279</v>
      </c>
      <c r="C2103" s="13" t="inlineStr">
        <is>
          <t>Mahdalena Dalfa Riani</t>
        </is>
      </c>
      <c r="D2103" s="13" t="inlineStr">
        <is>
          <t>PROD</t>
        </is>
      </c>
      <c r="E2103" s="13" t="inlineStr">
        <is>
          <t>Produksi Harian</t>
        </is>
      </c>
      <c r="F2103" s="170" t="n">
        <v>46233.99418981482</v>
      </c>
      <c r="G2103" s="13" t="inlineStr">
        <is>
          <t>FREE</t>
        </is>
      </c>
      <c r="H2103" s="170" t="n">
        <v>46234.34033564815</v>
      </c>
    </row>
    <row r="2104">
      <c r="A2104" s="13" t="inlineStr">
        <is>
          <t>MK00230</t>
        </is>
      </c>
      <c r="B2104" s="13" t="n">
        <v>528000300</v>
      </c>
      <c r="C2104" s="13" t="inlineStr">
        <is>
          <t>Lia pitaloka</t>
        </is>
      </c>
      <c r="D2104" s="13" t="inlineStr">
        <is>
          <t>PROD</t>
        </is>
      </c>
      <c r="E2104" s="13" t="inlineStr">
        <is>
          <t>Produksi Harian</t>
        </is>
      </c>
      <c r="F2104" s="170" t="n">
        <v>46233.99523148148</v>
      </c>
      <c r="G2104" s="13" t="inlineStr">
        <is>
          <t>FREE</t>
        </is>
      </c>
      <c r="H2104" s="170" t="n">
        <v>46234.33966435185</v>
      </c>
    </row>
    <row r="2105">
      <c r="A2105" s="13" t="inlineStr">
        <is>
          <t>MK00093</t>
        </is>
      </c>
      <c r="B2105" s="13" t="n">
        <v>528000267</v>
      </c>
      <c r="C2105" s="13" t="inlineStr">
        <is>
          <t>Bagas Patulloh</t>
        </is>
      </c>
      <c r="D2105" s="13" t="inlineStr">
        <is>
          <t>LOG</t>
        </is>
      </c>
      <c r="E2105" s="13" t="inlineStr">
        <is>
          <t>WRM Harian</t>
        </is>
      </c>
      <c r="F2105" s="170" t="n">
        <v>46234.07877314815</v>
      </c>
      <c r="G2105" s="13" t="inlineStr">
        <is>
          <t>FREE</t>
        </is>
      </c>
      <c r="H2105" s="170" t="n">
        <v>46089.33568287037</v>
      </c>
    </row>
    <row r="2106">
      <c r="A2106" s="13" t="inlineStr">
        <is>
          <t>MK00228</t>
        </is>
      </c>
      <c r="B2106" s="13" t="n">
        <v>528000132</v>
      </c>
      <c r="C2106" s="13" t="inlineStr">
        <is>
          <t>Giopani</t>
        </is>
      </c>
      <c r="D2106" s="13" t="inlineStr">
        <is>
          <t>LOG</t>
        </is>
      </c>
      <c r="E2106" s="13" t="inlineStr">
        <is>
          <t>WRM Harian</t>
        </is>
      </c>
      <c r="F2106" s="170" t="n">
        <v>46234.08815972223</v>
      </c>
      <c r="G2106" s="13" t="inlineStr">
        <is>
          <t>FREE</t>
        </is>
      </c>
      <c r="H2106" s="170" t="n"/>
    </row>
    <row r="2107">
      <c r="A2107" s="13" t="inlineStr">
        <is>
          <t>MK00202</t>
        </is>
      </c>
      <c r="B2107" s="13" t="n">
        <v>528000337</v>
      </c>
      <c r="C2107" s="13" t="inlineStr">
        <is>
          <t>Ahmad Zaldi Firdaus</t>
        </is>
      </c>
      <c r="D2107" s="13" t="inlineStr">
        <is>
          <t>PROD</t>
        </is>
      </c>
      <c r="E2107" s="13" t="inlineStr">
        <is>
          <t>Produksi Harian</t>
        </is>
      </c>
      <c r="F2107" s="170" t="n">
        <v>46234.28658564815</v>
      </c>
      <c r="G2107" s="13" t="inlineStr">
        <is>
          <t>FREE</t>
        </is>
      </c>
      <c r="H2107" s="170" t="n">
        <v>46030.25634259259</v>
      </c>
    </row>
    <row r="2108">
      <c r="A2108" s="13" t="inlineStr">
        <is>
          <t>MK00185</t>
        </is>
      </c>
      <c r="B2108" s="13" t="n">
        <v>528000336</v>
      </c>
      <c r="C2108" s="13" t="inlineStr">
        <is>
          <t>Ali Nurhanafi</t>
        </is>
      </c>
      <c r="D2108" s="13" t="inlineStr">
        <is>
          <t>PROD</t>
        </is>
      </c>
      <c r="E2108" s="13" t="inlineStr">
        <is>
          <t>Produksi Harian</t>
        </is>
      </c>
      <c r="F2108" s="170" t="n">
        <v>46234.28800925926</v>
      </c>
      <c r="G2108" s="13" t="inlineStr">
        <is>
          <t>FREE</t>
        </is>
      </c>
      <c r="H2108" s="170" t="n">
        <v>46030.25398148148</v>
      </c>
    </row>
    <row r="2109">
      <c r="A2109" s="13" t="inlineStr">
        <is>
          <t>MK00143</t>
        </is>
      </c>
      <c r="B2109" s="13" t="n">
        <v>528000052</v>
      </c>
      <c r="C2109" s="13" t="inlineStr">
        <is>
          <t>Mustopa</t>
        </is>
      </c>
      <c r="D2109" s="13" t="inlineStr">
        <is>
          <t>PROD</t>
        </is>
      </c>
      <c r="E2109" s="13" t="inlineStr">
        <is>
          <t>Produksi Harian</t>
        </is>
      </c>
      <c r="F2109" s="170" t="n">
        <v>46234.2893287037</v>
      </c>
      <c r="G2109" s="13" t="inlineStr">
        <is>
          <t>FREE</t>
        </is>
      </c>
      <c r="H2109" s="170" t="n">
        <v>46030.2529050926</v>
      </c>
    </row>
    <row r="2110">
      <c r="A2110" s="13" t="inlineStr">
        <is>
          <t>MK00250</t>
        </is>
      </c>
      <c r="B2110" s="13" t="n">
        <v>528000283</v>
      </c>
      <c r="C2110" s="13" t="inlineStr">
        <is>
          <t>Purwanda Sugiri</t>
        </is>
      </c>
      <c r="D2110" s="13" t="inlineStr">
        <is>
          <t>LOG</t>
        </is>
      </c>
      <c r="E2110" s="13" t="inlineStr">
        <is>
          <t>WRM Harian</t>
        </is>
      </c>
      <c r="F2110" s="170" t="n">
        <v>46234.31524305556</v>
      </c>
      <c r="G2110" s="13" t="inlineStr">
        <is>
          <t>FREE</t>
        </is>
      </c>
      <c r="H2110" s="170" t="n">
        <v>46030.25236111111</v>
      </c>
    </row>
    <row r="2111">
      <c r="A2111" s="13" t="inlineStr">
        <is>
          <t>MK00136</t>
        </is>
      </c>
      <c r="B2111" s="13" t="n">
        <v>528000195</v>
      </c>
      <c r="C2111" s="13" t="inlineStr">
        <is>
          <t>Rahma Sariwati</t>
        </is>
      </c>
      <c r="D2111" s="13" t="inlineStr">
        <is>
          <t>PROD</t>
        </is>
      </c>
      <c r="E2111" s="13" t="inlineStr">
        <is>
          <t>Produksi Harian</t>
        </is>
      </c>
      <c r="F2111" s="170" t="n">
        <v>46234.3167824074</v>
      </c>
      <c r="G2111" s="13" t="inlineStr">
        <is>
          <t>FREE</t>
        </is>
      </c>
      <c r="H2111" s="170" t="n">
        <v>46030.25309027778</v>
      </c>
    </row>
    <row r="2112">
      <c r="A2112" s="13" t="inlineStr">
        <is>
          <t>MK00192</t>
        </is>
      </c>
      <c r="B2112" s="13" t="n">
        <v>528000358</v>
      </c>
      <c r="C2112" s="13" t="inlineStr">
        <is>
          <t>Lulu Agustin</t>
        </is>
      </c>
      <c r="D2112" s="13" t="inlineStr">
        <is>
          <t>PROD</t>
        </is>
      </c>
      <c r="E2112" s="13" t="inlineStr">
        <is>
          <t>Produksi Harian</t>
        </is>
      </c>
      <c r="F2112" s="170" t="n">
        <v>46234.31730324074</v>
      </c>
      <c r="G2112" s="13" t="inlineStr">
        <is>
          <t>FREE</t>
        </is>
      </c>
      <c r="H2112" s="170" t="n">
        <v>46030.25300925926</v>
      </c>
    </row>
    <row r="2113">
      <c r="A2113" s="13" t="inlineStr">
        <is>
          <t>MK00186</t>
        </is>
      </c>
      <c r="B2113" s="13" t="n">
        <v>528000262</v>
      </c>
      <c r="C2113" s="13" t="inlineStr">
        <is>
          <t>Ndari Dwiwanti</t>
        </is>
      </c>
      <c r="D2113" s="13" t="inlineStr">
        <is>
          <t>PROD</t>
        </is>
      </c>
      <c r="E2113" s="13" t="inlineStr">
        <is>
          <t>Produksi Harian</t>
        </is>
      </c>
      <c r="F2113" s="170" t="n">
        <v>46234.31935185185</v>
      </c>
      <c r="G2113" s="13" t="inlineStr">
        <is>
          <t>FREE</t>
        </is>
      </c>
      <c r="H2113" s="170" t="n">
        <v>46030.25304398148</v>
      </c>
    </row>
    <row r="2114">
      <c r="A2114" s="13" t="inlineStr">
        <is>
          <t>MK00121</t>
        </is>
      </c>
      <c r="B2114" s="13" t="n">
        <v>528000323</v>
      </c>
      <c r="C2114" s="13" t="inlineStr">
        <is>
          <t>Dian Hamidah</t>
        </is>
      </c>
      <c r="D2114" s="13" t="inlineStr">
        <is>
          <t>PROD</t>
        </is>
      </c>
      <c r="E2114" s="13" t="inlineStr">
        <is>
          <t>Produksi Harian</t>
        </is>
      </c>
      <c r="F2114" s="170" t="n">
        <v>46234.32030092592</v>
      </c>
      <c r="G2114" s="13" t="inlineStr">
        <is>
          <t>FREE</t>
        </is>
      </c>
      <c r="H2114" s="170" t="n">
        <v>46030.25335648148</v>
      </c>
    </row>
    <row r="2115">
      <c r="A2115" s="13" t="inlineStr">
        <is>
          <t>MK00008</t>
        </is>
      </c>
      <c r="B2115" s="13" t="n">
        <v>528000360</v>
      </c>
      <c r="C2115" s="13" t="inlineStr">
        <is>
          <t>Hendra Permana</t>
        </is>
      </c>
      <c r="D2115" s="13" t="inlineStr">
        <is>
          <t>ENG</t>
        </is>
      </c>
      <c r="E2115" s="13" t="inlineStr">
        <is>
          <t>Engineering Harian</t>
        </is>
      </c>
      <c r="F2115" s="170" t="n">
        <v>46234.32094907408</v>
      </c>
      <c r="G2115" s="13" t="inlineStr">
        <is>
          <t>FREE</t>
        </is>
      </c>
      <c r="H2115" s="170" t="n">
        <v>46030.25208333333</v>
      </c>
    </row>
    <row r="2116">
      <c r="A2116" s="13" t="inlineStr">
        <is>
          <t>MK00203</t>
        </is>
      </c>
      <c r="B2116" s="13" t="n">
        <v>528000261</v>
      </c>
      <c r="C2116" s="13" t="inlineStr">
        <is>
          <t>Ergi Ergianto</t>
        </is>
      </c>
      <c r="D2116" s="13" t="inlineStr">
        <is>
          <t>HRGA</t>
        </is>
      </c>
      <c r="E2116" s="13" t="inlineStr">
        <is>
          <t>GA Harian</t>
        </is>
      </c>
      <c r="F2116" s="170" t="n">
        <v>46234.32607638889</v>
      </c>
      <c r="G2116" s="13" t="inlineStr">
        <is>
          <t>FREE</t>
        </is>
      </c>
      <c r="H2116" s="170" t="n">
        <v>46030.25261574074</v>
      </c>
    </row>
    <row r="2117">
      <c r="A2117" s="13" t="inlineStr">
        <is>
          <t>MK00138</t>
        </is>
      </c>
      <c r="B2117" s="13" t="n">
        <v>528000291</v>
      </c>
      <c r="C2117" s="13" t="inlineStr">
        <is>
          <t>Andrian</t>
        </is>
      </c>
      <c r="D2117" s="13" t="inlineStr">
        <is>
          <t>PROD</t>
        </is>
      </c>
      <c r="E2117" s="13" t="inlineStr">
        <is>
          <t>Produksi Harian</t>
        </is>
      </c>
      <c r="F2117" s="170" t="n">
        <v>46234.32704861111</v>
      </c>
      <c r="G2117" s="13" t="inlineStr">
        <is>
          <t>FREE</t>
        </is>
      </c>
      <c r="H2117" s="170" t="n">
        <v>46030.25253472223</v>
      </c>
    </row>
    <row r="2118">
      <c r="A2118" s="13" t="inlineStr">
        <is>
          <t>MK00125</t>
        </is>
      </c>
      <c r="B2118" s="13" t="n">
        <v>528000314</v>
      </c>
      <c r="C2118" s="13" t="inlineStr">
        <is>
          <t>Rusmana</t>
        </is>
      </c>
      <c r="D2118" s="13" t="inlineStr">
        <is>
          <t>PROD</t>
        </is>
      </c>
      <c r="E2118" s="13" t="inlineStr">
        <is>
          <t>Produksi Harian</t>
        </is>
      </c>
      <c r="F2118" s="170" t="n">
        <v>46234.32736111111</v>
      </c>
      <c r="G2118" s="13" t="inlineStr">
        <is>
          <t>FREE</t>
        </is>
      </c>
      <c r="H2118" s="170" t="n">
        <v>46030.91403935185</v>
      </c>
    </row>
    <row r="2119">
      <c r="A2119" s="13" t="inlineStr">
        <is>
          <t>MK00217</t>
        </is>
      </c>
      <c r="B2119" s="13" t="n">
        <v>528000322</v>
      </c>
      <c r="C2119" s="13" t="inlineStr">
        <is>
          <t>Muhamad Aliludin</t>
        </is>
      </c>
      <c r="D2119" s="13" t="inlineStr">
        <is>
          <t>PROD</t>
        </is>
      </c>
      <c r="E2119" s="13" t="inlineStr">
        <is>
          <t>Produksi Harian</t>
        </is>
      </c>
      <c r="F2119" s="170" t="n">
        <v>46030.22363425926</v>
      </c>
      <c r="G2119" s="13" t="inlineStr">
        <is>
          <t>FREE</t>
        </is>
      </c>
      <c r="H2119" s="170" t="n">
        <v>46030.58613425926</v>
      </c>
    </row>
    <row r="2120">
      <c r="A2120" s="13" t="inlineStr">
        <is>
          <t>MK00230</t>
        </is>
      </c>
      <c r="B2120" s="13" t="n">
        <v>528000361</v>
      </c>
      <c r="C2120" s="13" t="inlineStr">
        <is>
          <t>Denada Munggarani</t>
        </is>
      </c>
      <c r="D2120" s="13" t="inlineStr">
        <is>
          <t>PROD</t>
        </is>
      </c>
      <c r="E2120" s="13" t="inlineStr">
        <is>
          <t>Produksi Harian</t>
        </is>
      </c>
      <c r="F2120" s="170" t="n">
        <v>46030.23789351852</v>
      </c>
      <c r="G2120" s="13" t="inlineStr">
        <is>
          <t>FREE</t>
        </is>
      </c>
      <c r="H2120" s="170" t="n">
        <v>46030.32356481482</v>
      </c>
    </row>
    <row r="2121">
      <c r="A2121" s="13" t="inlineStr">
        <is>
          <t>MK00210</t>
        </is>
      </c>
      <c r="B2121" s="13" t="n">
        <v>528000305</v>
      </c>
      <c r="C2121" s="13" t="inlineStr">
        <is>
          <t>Puji Puspita</t>
        </is>
      </c>
      <c r="D2121" s="13" t="inlineStr">
        <is>
          <t>PROD</t>
        </is>
      </c>
      <c r="E2121" s="13" t="inlineStr">
        <is>
          <t>Produksi Harian</t>
        </is>
      </c>
      <c r="F2121" s="170" t="n">
        <v>46030.23868055556</v>
      </c>
      <c r="G2121" s="13" t="inlineStr">
        <is>
          <t>FREE</t>
        </is>
      </c>
      <c r="H2121" s="170" t="n">
        <v>46030.23995370371</v>
      </c>
    </row>
    <row r="2122">
      <c r="A2122" s="13" t="inlineStr">
        <is>
          <t>MK00235</t>
        </is>
      </c>
      <c r="B2122" s="13" t="n">
        <v>528000318</v>
      </c>
      <c r="C2122" s="13" t="inlineStr">
        <is>
          <t>Bayu Padli Sepriyana</t>
        </is>
      </c>
      <c r="D2122" s="13" t="inlineStr">
        <is>
          <t>LOG</t>
        </is>
      </c>
      <c r="E2122" s="13" t="inlineStr">
        <is>
          <t>WRM Harian</t>
        </is>
      </c>
      <c r="F2122" s="170" t="n">
        <v>46030.23945601852</v>
      </c>
      <c r="G2122" s="13" t="inlineStr">
        <is>
          <t>FREE</t>
        </is>
      </c>
      <c r="H2122" s="170" t="n">
        <v>46030.5865625</v>
      </c>
    </row>
    <row r="2123">
      <c r="A2123" s="13" t="inlineStr">
        <is>
          <t>MK00181</t>
        </is>
      </c>
      <c r="B2123" s="13" t="n">
        <v>528000299</v>
      </c>
      <c r="C2123" s="13" t="inlineStr">
        <is>
          <t>Siti Nurjanah</t>
        </is>
      </c>
      <c r="D2123" s="13" t="inlineStr">
        <is>
          <t>PROD</t>
        </is>
      </c>
      <c r="E2123" s="13" t="inlineStr">
        <is>
          <t>Produksi Harian</t>
        </is>
      </c>
      <c r="F2123" s="170" t="n">
        <v>46030.24030092593</v>
      </c>
      <c r="G2123" s="13" t="inlineStr">
        <is>
          <t>FREE</t>
        </is>
      </c>
      <c r="H2123" s="170" t="n">
        <v>46030.58571759259</v>
      </c>
    </row>
    <row r="2124">
      <c r="A2124" s="13" t="inlineStr">
        <is>
          <t>MK00210</t>
        </is>
      </c>
      <c r="B2124" s="13" t="n">
        <v>528000305</v>
      </c>
      <c r="C2124" s="13" t="inlineStr">
        <is>
          <t>Puji Puspita</t>
        </is>
      </c>
      <c r="D2124" s="13" t="inlineStr">
        <is>
          <t>PROD</t>
        </is>
      </c>
      <c r="E2124" s="13" t="inlineStr">
        <is>
          <t>Produksi Harian</t>
        </is>
      </c>
      <c r="F2124" s="170" t="n">
        <v>46030.24071759259</v>
      </c>
      <c r="G2124" s="13" t="inlineStr">
        <is>
          <t>FREE</t>
        </is>
      </c>
      <c r="H2124" s="170" t="n">
        <v>46030.24456018519</v>
      </c>
    </row>
    <row r="2125">
      <c r="A2125" s="13" t="inlineStr">
        <is>
          <t>MK00108</t>
        </is>
      </c>
      <c r="B2125" s="13" t="n">
        <v>528000340</v>
      </c>
      <c r="C2125" s="13" t="inlineStr">
        <is>
          <t>Muhammad Wildan Adithya</t>
        </is>
      </c>
      <c r="D2125" s="13" t="inlineStr">
        <is>
          <t>PROD</t>
        </is>
      </c>
      <c r="E2125" s="13" t="inlineStr">
        <is>
          <t>Produksi Harian</t>
        </is>
      </c>
      <c r="F2125" s="170" t="n">
        <v>46030.24215277778</v>
      </c>
      <c r="G2125" s="13" t="inlineStr">
        <is>
          <t>FREE</t>
        </is>
      </c>
      <c r="H2125" s="170" t="n">
        <v>46030.59952546296</v>
      </c>
    </row>
    <row r="2126">
      <c r="A2126" s="13" t="inlineStr">
        <is>
          <t>MK00123</t>
        </is>
      </c>
      <c r="B2126" s="13" t="n">
        <v>528000015</v>
      </c>
      <c r="C2126" s="13" t="inlineStr">
        <is>
          <t>Erwin</t>
        </is>
      </c>
      <c r="D2126" s="13" t="inlineStr">
        <is>
          <t>LOG</t>
        </is>
      </c>
      <c r="E2126" s="13" t="inlineStr">
        <is>
          <t>WRM Harian</t>
        </is>
      </c>
      <c r="F2126" s="170" t="n">
        <v>46030.24377314815</v>
      </c>
      <c r="G2126" s="13" t="inlineStr">
        <is>
          <t>FREE</t>
        </is>
      </c>
      <c r="H2126" s="170" t="n">
        <v>46120.90353009259</v>
      </c>
    </row>
    <row r="2127">
      <c r="A2127" s="13" t="inlineStr">
        <is>
          <t>MK00088</t>
        </is>
      </c>
      <c r="B2127" s="13" t="n">
        <v>528000302</v>
      </c>
      <c r="C2127" s="13" t="inlineStr">
        <is>
          <t>Henkey gumilar</t>
        </is>
      </c>
      <c r="D2127" s="13" t="inlineStr">
        <is>
          <t>PROD</t>
        </is>
      </c>
      <c r="E2127" s="13" t="inlineStr">
        <is>
          <t>Produksi Harian</t>
        </is>
      </c>
      <c r="F2127" s="170" t="n">
        <v>46030.24392361111</v>
      </c>
      <c r="G2127" s="13" t="inlineStr">
        <is>
          <t>FREE</t>
        </is>
      </c>
      <c r="H2127" s="170" t="n">
        <v>46030.58784722222</v>
      </c>
    </row>
    <row r="2128">
      <c r="A2128" s="13" t="inlineStr">
        <is>
          <t>MK00156</t>
        </is>
      </c>
      <c r="B2128" s="13" t="n">
        <v>528000298</v>
      </c>
      <c r="C2128" s="13" t="inlineStr">
        <is>
          <t>Desta Cahaya Pratama</t>
        </is>
      </c>
      <c r="D2128" s="13" t="inlineStr">
        <is>
          <t>PROD</t>
        </is>
      </c>
      <c r="E2128" s="13" t="inlineStr">
        <is>
          <t>Produksi Harian</t>
        </is>
      </c>
      <c r="F2128" s="170" t="n">
        <v>46030.24528935185</v>
      </c>
      <c r="G2128" s="13" t="inlineStr">
        <is>
          <t>FREE</t>
        </is>
      </c>
      <c r="H2128" s="170" t="n">
        <v>46030.58681712963</v>
      </c>
    </row>
    <row r="2129">
      <c r="A2129" s="13" t="inlineStr">
        <is>
          <t>MK00109</t>
        </is>
      </c>
      <c r="B2129" s="13" t="n">
        <v>528000309</v>
      </c>
      <c r="C2129" s="13" t="inlineStr">
        <is>
          <t>Ilham Ramadhan</t>
        </is>
      </c>
      <c r="D2129" s="13" t="inlineStr">
        <is>
          <t>LOG</t>
        </is>
      </c>
      <c r="E2129" s="13" t="inlineStr">
        <is>
          <t>WRM Harian</t>
        </is>
      </c>
      <c r="F2129" s="170" t="n">
        <v>46030.24790509259</v>
      </c>
      <c r="G2129" s="13" t="inlineStr">
        <is>
          <t>FREE</t>
        </is>
      </c>
      <c r="H2129" s="170" t="n">
        <v>46030.58719907407</v>
      </c>
    </row>
    <row r="2130">
      <c r="A2130" s="13" t="inlineStr">
        <is>
          <t>MK00113</t>
        </is>
      </c>
      <c r="B2130" s="13" t="n">
        <v>528000313</v>
      </c>
      <c r="C2130" s="13" t="inlineStr">
        <is>
          <t>Muhamad Rifki</t>
        </is>
      </c>
      <c r="D2130" s="13" t="inlineStr">
        <is>
          <t>PROD</t>
        </is>
      </c>
      <c r="E2130" s="13" t="inlineStr">
        <is>
          <t>Produksi Harian</t>
        </is>
      </c>
      <c r="F2130" s="170" t="n">
        <v>46030.25160879629</v>
      </c>
      <c r="G2130" s="13" t="inlineStr">
        <is>
          <t>FREE</t>
        </is>
      </c>
      <c r="H2130" s="170" t="n">
        <v>46030.586875</v>
      </c>
    </row>
    <row r="2131">
      <c r="A2131" s="13" t="inlineStr">
        <is>
          <t>MK00250</t>
        </is>
      </c>
      <c r="B2131" s="13" t="n">
        <v>528000265</v>
      </c>
      <c r="C2131" s="13" t="inlineStr">
        <is>
          <t>Muhammad Haerul Rozikin</t>
        </is>
      </c>
      <c r="D2131" s="13" t="inlineStr">
        <is>
          <t>LOG</t>
        </is>
      </c>
      <c r="E2131" s="13" t="inlineStr">
        <is>
          <t>WRM Harian</t>
        </is>
      </c>
      <c r="F2131" s="170" t="n">
        <v>46030.31969907408</v>
      </c>
      <c r="G2131" s="13" t="inlineStr">
        <is>
          <t>FREE</t>
        </is>
      </c>
      <c r="H2131" s="170" t="n">
        <v>46030.5450462963</v>
      </c>
    </row>
    <row r="2132">
      <c r="A2132" s="13" t="inlineStr">
        <is>
          <t>MK00230</t>
        </is>
      </c>
      <c r="B2132" s="13" t="n">
        <v>528000282</v>
      </c>
      <c r="C2132" s="13" t="inlineStr">
        <is>
          <t>Defa Desfiana</t>
        </is>
      </c>
      <c r="D2132" s="13" t="inlineStr">
        <is>
          <t>PROD</t>
        </is>
      </c>
      <c r="E2132" s="13" t="inlineStr">
        <is>
          <t>Produksi Harian</t>
        </is>
      </c>
      <c r="F2132" s="170" t="n">
        <v>46030.32388888889</v>
      </c>
      <c r="G2132" s="13" t="inlineStr">
        <is>
          <t>FREE</t>
        </is>
      </c>
      <c r="H2132" s="170" t="n">
        <v>46030.54320601852</v>
      </c>
    </row>
    <row r="2133">
      <c r="A2133" s="13" t="inlineStr">
        <is>
          <t>MK00204</t>
        </is>
      </c>
      <c r="B2133" s="13" t="n">
        <v>528000335</v>
      </c>
      <c r="C2133" s="13" t="inlineStr">
        <is>
          <t>Rizal Saepuloh</t>
        </is>
      </c>
      <c r="D2133" s="13" t="inlineStr">
        <is>
          <t>LOG</t>
        </is>
      </c>
      <c r="E2133" s="13" t="inlineStr">
        <is>
          <t>WRM Harian</t>
        </is>
      </c>
      <c r="F2133" s="170" t="n">
        <v>46030.3272337963</v>
      </c>
      <c r="G2133" s="13" t="inlineStr">
        <is>
          <t>FREE</t>
        </is>
      </c>
      <c r="H2133" s="170" t="n">
        <v>46030.54237268519</v>
      </c>
    </row>
    <row r="2134">
      <c r="A2134" s="13" t="inlineStr">
        <is>
          <t>MK00185</t>
        </is>
      </c>
      <c r="B2134" s="13" t="n">
        <v>528000351</v>
      </c>
      <c r="C2134" s="13" t="inlineStr">
        <is>
          <t>Mulyana</t>
        </is>
      </c>
      <c r="D2134" s="13" t="inlineStr">
        <is>
          <t>PROD</t>
        </is>
      </c>
      <c r="E2134" s="13" t="inlineStr">
        <is>
          <t>Produksi Harian</t>
        </is>
      </c>
      <c r="F2134" s="170" t="n">
        <v>46030.32774305555</v>
      </c>
      <c r="G2134" s="13" t="inlineStr">
        <is>
          <t>FREE</t>
        </is>
      </c>
      <c r="H2134" s="170" t="n">
        <v>46030.54903935185</v>
      </c>
    </row>
    <row r="2135">
      <c r="A2135" s="13" t="inlineStr">
        <is>
          <t>MK00221</t>
        </is>
      </c>
      <c r="B2135" s="13" t="n">
        <v>528000144</v>
      </c>
      <c r="C2135" s="13" t="inlineStr">
        <is>
          <t>Jodi Hanafi</t>
        </is>
      </c>
      <c r="D2135" s="13" t="inlineStr">
        <is>
          <t>LOG</t>
        </is>
      </c>
      <c r="E2135" s="13" t="inlineStr">
        <is>
          <t>WRM Harian</t>
        </is>
      </c>
      <c r="F2135" s="170" t="n">
        <v>46030.33076388889</v>
      </c>
      <c r="G2135" s="13" t="inlineStr">
        <is>
          <t>FREE</t>
        </is>
      </c>
      <c r="H2135" s="170" t="n">
        <v>46089.6596875</v>
      </c>
    </row>
    <row r="2136">
      <c r="A2136" s="13" t="inlineStr">
        <is>
          <t>MK00160</t>
        </is>
      </c>
      <c r="B2136" s="13" t="n">
        <v>528000310</v>
      </c>
      <c r="C2136" s="13" t="inlineStr">
        <is>
          <t>Fachrul Rozzi Suryana</t>
        </is>
      </c>
      <c r="D2136" s="13" t="inlineStr">
        <is>
          <t>LOG</t>
        </is>
      </c>
      <c r="E2136" s="13" t="inlineStr">
        <is>
          <t>WRM Harian</t>
        </is>
      </c>
      <c r="F2136" s="170" t="n">
        <v>46030.3322800926</v>
      </c>
      <c r="G2136" s="13" t="inlineStr">
        <is>
          <t>FREE</t>
        </is>
      </c>
      <c r="H2136" s="170" t="n">
        <v>46030.54533564814</v>
      </c>
    </row>
    <row r="2137">
      <c r="A2137" s="13" t="inlineStr">
        <is>
          <t>MK00205</t>
        </is>
      </c>
      <c r="B2137" s="13" t="n">
        <v>528000348</v>
      </c>
      <c r="C2137" s="13" t="inlineStr">
        <is>
          <t>Saepuloh Ardiansah</t>
        </is>
      </c>
      <c r="D2137" s="13" t="inlineStr">
        <is>
          <t>LOG</t>
        </is>
      </c>
      <c r="E2137" s="13" t="inlineStr">
        <is>
          <t>WRM Harian</t>
        </is>
      </c>
      <c r="F2137" s="170" t="n">
        <v>46030.36703703704</v>
      </c>
      <c r="G2137" s="13" t="inlineStr">
        <is>
          <t>FREE</t>
        </is>
      </c>
      <c r="H2137" s="170" t="n">
        <v>46030.60924768518</v>
      </c>
    </row>
    <row r="2138">
      <c r="A2138" s="13" t="inlineStr">
        <is>
          <t>MK150</t>
        </is>
      </c>
      <c r="B2138" s="13" t="n">
        <v>528000232</v>
      </c>
      <c r="C2138" s="13" t="inlineStr">
        <is>
          <t>Agung Aji Suhada</t>
        </is>
      </c>
      <c r="D2138" s="13" t="inlineStr">
        <is>
          <t>LOG</t>
        </is>
      </c>
      <c r="E2138" s="13" t="inlineStr">
        <is>
          <t>WRM Harian</t>
        </is>
      </c>
      <c r="F2138" s="170" t="n">
        <v>46030.37137731481</v>
      </c>
      <c r="G2138" s="13" t="inlineStr">
        <is>
          <t>FREE</t>
        </is>
      </c>
      <c r="H2138" s="170" t="n">
        <v>46030.585</v>
      </c>
    </row>
    <row r="2139">
      <c r="A2139" s="13" t="inlineStr">
        <is>
          <t>MK00141</t>
        </is>
      </c>
      <c r="B2139" s="13" t="n">
        <v>528000040</v>
      </c>
      <c r="C2139" s="13" t="inlineStr">
        <is>
          <t>Agus Suryaman</t>
        </is>
      </c>
      <c r="D2139" s="13" t="inlineStr">
        <is>
          <t>PROD</t>
        </is>
      </c>
      <c r="E2139" s="13" t="inlineStr">
        <is>
          <t>Produksi Harian</t>
        </is>
      </c>
      <c r="F2139" s="170" t="n">
        <v>46030.37215277777</v>
      </c>
      <c r="G2139" s="13" t="inlineStr">
        <is>
          <t>FREE</t>
        </is>
      </c>
      <c r="H2139" s="170" t="n">
        <v>46030.37300925926</v>
      </c>
    </row>
    <row r="2140">
      <c r="A2140" s="13" t="inlineStr">
        <is>
          <t>MK00141</t>
        </is>
      </c>
      <c r="B2140" s="13" t="n">
        <v>528000040</v>
      </c>
      <c r="C2140" s="13" t="inlineStr">
        <is>
          <t>Agus Suryaman</t>
        </is>
      </c>
      <c r="D2140" s="13" t="inlineStr">
        <is>
          <t>PROD</t>
        </is>
      </c>
      <c r="E2140" s="13" t="inlineStr">
        <is>
          <t>Produksi Harian</t>
        </is>
      </c>
      <c r="F2140" s="170" t="n">
        <v>46030.37383101852</v>
      </c>
      <c r="G2140" s="13" t="inlineStr">
        <is>
          <t>FREE</t>
        </is>
      </c>
      <c r="H2140" s="170" t="n">
        <v>46030.58635416667</v>
      </c>
    </row>
    <row r="2141">
      <c r="A2141" s="13" t="inlineStr">
        <is>
          <t>MK0130</t>
        </is>
      </c>
      <c r="B2141" s="13" t="n">
        <v>528000149</v>
      </c>
      <c r="C2141" s="13" t="inlineStr">
        <is>
          <t>Tio Fernanda</t>
        </is>
      </c>
      <c r="D2141" s="13" t="inlineStr">
        <is>
          <t>LOG</t>
        </is>
      </c>
      <c r="E2141" s="13" t="inlineStr">
        <is>
          <t>WRM Harian</t>
        </is>
      </c>
      <c r="F2141" s="170" t="n">
        <v>46030.37773148148</v>
      </c>
      <c r="G2141" s="13" t="inlineStr">
        <is>
          <t>FREE</t>
        </is>
      </c>
      <c r="H2141" s="170" t="n">
        <v>46030.58530092592</v>
      </c>
    </row>
    <row r="2142">
      <c r="A2142" s="13" t="inlineStr">
        <is>
          <t>MK00136</t>
        </is>
      </c>
      <c r="B2142" s="13" t="n">
        <v>528000339</v>
      </c>
      <c r="C2142" s="13" t="inlineStr">
        <is>
          <t>Muhamad Ripai'i</t>
        </is>
      </c>
      <c r="D2142" s="13" t="inlineStr">
        <is>
          <t>HRGA</t>
        </is>
      </c>
      <c r="E2142" s="13" t="inlineStr">
        <is>
          <t>GA Harian</t>
        </is>
      </c>
      <c r="F2142" s="170" t="n">
        <v>46030.54859953704</v>
      </c>
      <c r="G2142" s="13" t="inlineStr">
        <is>
          <t>FREE</t>
        </is>
      </c>
      <c r="H2142" s="170" t="n">
        <v>46030.921875</v>
      </c>
    </row>
    <row r="2143">
      <c r="A2143" s="13" t="inlineStr">
        <is>
          <t>MK00184</t>
        </is>
      </c>
      <c r="B2143" s="13" t="n">
        <v>528000201</v>
      </c>
      <c r="C2143" s="13" t="inlineStr">
        <is>
          <t>Zahwa Amelia Choerunissa</t>
        </is>
      </c>
      <c r="D2143" s="13" t="inlineStr">
        <is>
          <t>PROD</t>
        </is>
      </c>
      <c r="E2143" s="13" t="inlineStr">
        <is>
          <t>Produksi Harian</t>
        </is>
      </c>
      <c r="F2143" s="170" t="n">
        <v>46030.5665625</v>
      </c>
      <c r="G2143" s="13" t="inlineStr">
        <is>
          <t>FREE</t>
        </is>
      </c>
      <c r="H2143" s="170" t="n">
        <v>46030.92038194444</v>
      </c>
    </row>
    <row r="2144">
      <c r="A2144" s="13" t="inlineStr">
        <is>
          <t>MK00213</t>
        </is>
      </c>
      <c r="B2144" s="13" t="n">
        <v>528000286</v>
      </c>
      <c r="C2144" s="13" t="inlineStr">
        <is>
          <t>Imelda Amelia</t>
        </is>
      </c>
      <c r="D2144" s="13" t="inlineStr">
        <is>
          <t>PROD</t>
        </is>
      </c>
      <c r="E2144" s="13" t="inlineStr">
        <is>
          <t>Produksi Harian</t>
        </is>
      </c>
      <c r="F2144" s="170" t="n">
        <v>46030.57407407407</v>
      </c>
      <c r="G2144" s="13" t="inlineStr">
        <is>
          <t>FREE</t>
        </is>
      </c>
      <c r="H2144" s="170" t="n">
        <v>46030.92096064815</v>
      </c>
    </row>
    <row r="2145">
      <c r="A2145" s="13" t="inlineStr">
        <is>
          <t>MK00090</t>
        </is>
      </c>
      <c r="B2145" s="13" t="n">
        <v>528000289</v>
      </c>
      <c r="C2145" s="13" t="inlineStr">
        <is>
          <t>Adit Supriyadi</t>
        </is>
      </c>
      <c r="D2145" s="13" t="inlineStr">
        <is>
          <t>PROD</t>
        </is>
      </c>
      <c r="E2145" s="13" t="inlineStr">
        <is>
          <t>Produksi Harian</t>
        </is>
      </c>
      <c r="F2145" s="170" t="n">
        <v>46030.57503472222</v>
      </c>
      <c r="G2145" s="13" t="inlineStr">
        <is>
          <t>FREE</t>
        </is>
      </c>
      <c r="H2145" s="170" t="n">
        <v>46030.92064814815</v>
      </c>
    </row>
    <row r="2146">
      <c r="A2146" s="13" t="inlineStr">
        <is>
          <t>MK00154</t>
        </is>
      </c>
      <c r="B2146" s="13" t="n">
        <v>528000274</v>
      </c>
      <c r="C2146" s="13" t="inlineStr">
        <is>
          <t>Zepri</t>
        </is>
      </c>
      <c r="D2146" s="13" t="inlineStr">
        <is>
          <t>PROD</t>
        </is>
      </c>
      <c r="E2146" s="13" t="inlineStr">
        <is>
          <t>Produksi Harian</t>
        </is>
      </c>
      <c r="F2146" s="170" t="n">
        <v>46030.57508101852</v>
      </c>
      <c r="G2146" s="13" t="inlineStr">
        <is>
          <t>FREE</t>
        </is>
      </c>
      <c r="H2146" s="170" t="n">
        <v>46030.91959490741</v>
      </c>
    </row>
    <row r="2147">
      <c r="A2147" s="13" t="inlineStr">
        <is>
          <t>MK00145</t>
        </is>
      </c>
      <c r="B2147" s="13" t="n">
        <v>528000241</v>
      </c>
      <c r="C2147" s="13" t="inlineStr">
        <is>
          <t>Balia Nurafif Bilah</t>
        </is>
      </c>
      <c r="D2147" s="13" t="inlineStr">
        <is>
          <t>PROD</t>
        </is>
      </c>
      <c r="E2147" s="13" t="inlineStr">
        <is>
          <t>Produksi Harian</t>
        </is>
      </c>
      <c r="F2147" s="170" t="n">
        <v>46030.57638888889</v>
      </c>
      <c r="G2147" s="13" t="inlineStr">
        <is>
          <t>FREE</t>
        </is>
      </c>
      <c r="H2147" s="170" t="n">
        <v>46030.91953703704</v>
      </c>
    </row>
    <row r="2148">
      <c r="A2148" s="13" t="inlineStr">
        <is>
          <t>MK00085</t>
        </is>
      </c>
      <c r="B2148" s="13" t="n">
        <v>528000090</v>
      </c>
      <c r="C2148" s="13" t="inlineStr">
        <is>
          <t>Suganda</t>
        </is>
      </c>
      <c r="D2148" s="13" t="inlineStr">
        <is>
          <t>PROD</t>
        </is>
      </c>
      <c r="E2148" s="13" t="inlineStr">
        <is>
          <t>Produksi Harian</t>
        </is>
      </c>
      <c r="F2148" s="170" t="n">
        <v>46030.57665509259</v>
      </c>
      <c r="G2148" s="13" t="inlineStr">
        <is>
          <t>FREE</t>
        </is>
      </c>
      <c r="H2148" s="170" t="n">
        <v>46030.92628472222</v>
      </c>
    </row>
    <row r="2149">
      <c r="A2149" s="13" t="inlineStr">
        <is>
          <t>MK00249</t>
        </is>
      </c>
      <c r="B2149" s="13" t="n">
        <v>528000273</v>
      </c>
      <c r="C2149" s="13" t="inlineStr">
        <is>
          <t>Asep Mulyana</t>
        </is>
      </c>
      <c r="D2149" s="13" t="inlineStr">
        <is>
          <t>PROD</t>
        </is>
      </c>
      <c r="E2149" s="13" t="inlineStr">
        <is>
          <t>Produksi Harian</t>
        </is>
      </c>
      <c r="F2149" s="170" t="n">
        <v>46030.57776620371</v>
      </c>
      <c r="G2149" s="13" t="inlineStr">
        <is>
          <t>FREE</t>
        </is>
      </c>
      <c r="H2149" s="170" t="n">
        <v>46030.9175462963</v>
      </c>
    </row>
    <row r="2150">
      <c r="A2150" s="13" t="inlineStr">
        <is>
          <t>MK00209</t>
        </is>
      </c>
      <c r="B2150" s="13" t="n">
        <v>528000290</v>
      </c>
      <c r="C2150" s="13" t="inlineStr">
        <is>
          <t>Eval Pranata</t>
        </is>
      </c>
      <c r="D2150" s="13" t="inlineStr">
        <is>
          <t>PROD</t>
        </is>
      </c>
      <c r="E2150" s="13" t="inlineStr">
        <is>
          <t>Produksi Harian</t>
        </is>
      </c>
      <c r="F2150" s="170" t="n">
        <v>46030.58237268519</v>
      </c>
      <c r="G2150" s="13" t="inlineStr">
        <is>
          <t>FREE</t>
        </is>
      </c>
      <c r="H2150" s="170" t="n">
        <v>46030.92011574074</v>
      </c>
    </row>
    <row r="2151">
      <c r="A2151" s="13" t="inlineStr">
        <is>
          <t>MK00082</t>
        </is>
      </c>
      <c r="B2151" s="13" t="n">
        <v>528000212</v>
      </c>
      <c r="C2151" s="13" t="inlineStr">
        <is>
          <t>Rizal Fauzi</t>
        </is>
      </c>
      <c r="D2151" s="13" t="inlineStr">
        <is>
          <t>PROD</t>
        </is>
      </c>
      <c r="E2151" s="13" t="inlineStr">
        <is>
          <t>Produksi Harian</t>
        </is>
      </c>
      <c r="F2151" s="170" t="n">
        <v>46030.58569444445</v>
      </c>
      <c r="G2151" s="13" t="inlineStr">
        <is>
          <t>FREE</t>
        </is>
      </c>
      <c r="H2151" s="170" t="n">
        <v>46061.58381944444</v>
      </c>
    </row>
    <row r="2152">
      <c r="A2152" s="13" t="inlineStr">
        <is>
          <t>MK00138</t>
        </is>
      </c>
      <c r="B2152" s="13" t="n">
        <v>528000336</v>
      </c>
      <c r="C2152" s="13" t="inlineStr">
        <is>
          <t>Ali Nurhanafi</t>
        </is>
      </c>
      <c r="D2152" s="13" t="inlineStr">
        <is>
          <t>PROD</t>
        </is>
      </c>
      <c r="E2152" s="13" t="inlineStr">
        <is>
          <t>Produksi Harian</t>
        </is>
      </c>
      <c r="F2152" s="170" t="n">
        <v>46030.85395833333</v>
      </c>
      <c r="G2152" s="13" t="inlineStr">
        <is>
          <t>FREE</t>
        </is>
      </c>
      <c r="H2152" s="170" t="n">
        <v>46061.2540625</v>
      </c>
    </row>
    <row r="2153">
      <c r="A2153" s="13" t="inlineStr">
        <is>
          <t>MK00217</t>
        </is>
      </c>
      <c r="B2153" s="13" t="n">
        <v>528000337</v>
      </c>
      <c r="C2153" s="13" t="inlineStr">
        <is>
          <t>Ahmad Zaldi Firdaus</t>
        </is>
      </c>
      <c r="D2153" s="13" t="inlineStr">
        <is>
          <t>PROD</t>
        </is>
      </c>
      <c r="E2153" s="13" t="inlineStr">
        <is>
          <t>Produksi Harian</t>
        </is>
      </c>
      <c r="F2153" s="170" t="n">
        <v>46030.86694444445</v>
      </c>
      <c r="G2153" s="13" t="inlineStr">
        <is>
          <t>FREE</t>
        </is>
      </c>
      <c r="H2153" s="170" t="n">
        <v>46061.25465277778</v>
      </c>
    </row>
    <row r="2154">
      <c r="A2154" s="13" t="inlineStr">
        <is>
          <t>MK00143</t>
        </is>
      </c>
      <c r="B2154" s="13" t="n">
        <v>528000052</v>
      </c>
      <c r="C2154" s="13" t="inlineStr">
        <is>
          <t>Mustopa</t>
        </is>
      </c>
      <c r="D2154" s="13" t="inlineStr">
        <is>
          <t>PROD</t>
        </is>
      </c>
      <c r="E2154" s="13" t="inlineStr">
        <is>
          <t>Produksi Harian</t>
        </is>
      </c>
      <c r="F2154" s="170" t="n">
        <v>46030.87982638889</v>
      </c>
      <c r="G2154" s="13" t="inlineStr">
        <is>
          <t>FREE</t>
        </is>
      </c>
      <c r="H2154" s="170" t="n">
        <v>46061.25278935185</v>
      </c>
    </row>
    <row r="2155">
      <c r="A2155" s="13" t="inlineStr">
        <is>
          <t>MK00212</t>
        </is>
      </c>
      <c r="B2155" s="13" t="n">
        <v>528000195</v>
      </c>
      <c r="C2155" s="13" t="inlineStr">
        <is>
          <t>Rahma Sariwati</t>
        </is>
      </c>
      <c r="D2155" s="13" t="inlineStr">
        <is>
          <t>PROD</t>
        </is>
      </c>
      <c r="E2155" s="13" t="inlineStr">
        <is>
          <t>Produksi Harian</t>
        </is>
      </c>
      <c r="F2155" s="170" t="n">
        <v>46030.9030324074</v>
      </c>
      <c r="G2155" s="13" t="inlineStr">
        <is>
          <t>FREE</t>
        </is>
      </c>
      <c r="H2155" s="170" t="n">
        <v>46061.26180555556</v>
      </c>
    </row>
    <row r="2156">
      <c r="A2156" s="13" t="inlineStr">
        <is>
          <t>MK00208</t>
        </is>
      </c>
      <c r="B2156" s="13" t="n">
        <v>528000358</v>
      </c>
      <c r="C2156" s="13" t="inlineStr">
        <is>
          <t>Lulu Agustin</t>
        </is>
      </c>
      <c r="D2156" s="13" t="inlineStr">
        <is>
          <t>PROD</t>
        </is>
      </c>
      <c r="E2156" s="13" t="inlineStr">
        <is>
          <t>Produksi Harian</t>
        </is>
      </c>
      <c r="F2156" s="170" t="n">
        <v>46030.90385416667</v>
      </c>
      <c r="G2156" s="13" t="inlineStr">
        <is>
          <t>FREE</t>
        </is>
      </c>
      <c r="H2156" s="170" t="n">
        <v>46061.25318287037</v>
      </c>
    </row>
    <row r="2157">
      <c r="A2157" s="13" t="inlineStr">
        <is>
          <t>MK00230</t>
        </is>
      </c>
      <c r="B2157" s="13" t="n">
        <v>528000328</v>
      </c>
      <c r="C2157" s="13" t="inlineStr">
        <is>
          <t>Nur Anjani</t>
        </is>
      </c>
      <c r="D2157" s="13" t="inlineStr">
        <is>
          <t>PROD</t>
        </is>
      </c>
      <c r="E2157" s="13" t="inlineStr">
        <is>
          <t>Produksi Harian</t>
        </is>
      </c>
      <c r="F2157" s="170" t="n">
        <v>46030.9053587963</v>
      </c>
      <c r="G2157" s="13" t="inlineStr">
        <is>
          <t>FREE</t>
        </is>
      </c>
      <c r="H2157" s="170" t="n">
        <v>46061.25412037037</v>
      </c>
    </row>
    <row r="2158">
      <c r="A2158" s="13" t="inlineStr">
        <is>
          <t>MK00235</t>
        </is>
      </c>
      <c r="B2158" s="13" t="n">
        <v>528000261</v>
      </c>
      <c r="C2158" s="13" t="inlineStr">
        <is>
          <t>Ergi Ergianto</t>
        </is>
      </c>
      <c r="D2158" s="13" t="inlineStr">
        <is>
          <t>HRGA</t>
        </is>
      </c>
      <c r="E2158" s="13" t="inlineStr">
        <is>
          <t>GA Harian</t>
        </is>
      </c>
      <c r="F2158" s="170" t="n">
        <v>46030.90892361111</v>
      </c>
      <c r="G2158" s="13" t="inlineStr">
        <is>
          <t>FREE</t>
        </is>
      </c>
      <c r="H2158" s="170" t="n">
        <v>46061.25275462963</v>
      </c>
    </row>
    <row r="2159">
      <c r="A2159" s="13" t="inlineStr">
        <is>
          <t>MK00112</t>
        </is>
      </c>
      <c r="B2159" s="13" t="n">
        <v>528000291</v>
      </c>
      <c r="C2159" s="13" t="inlineStr">
        <is>
          <t>Andrian</t>
        </is>
      </c>
      <c r="D2159" s="13" t="inlineStr">
        <is>
          <t>PROD</t>
        </is>
      </c>
      <c r="E2159" s="13" t="inlineStr">
        <is>
          <t>Produksi Harian</t>
        </is>
      </c>
      <c r="F2159" s="170" t="n">
        <v>46030.91047453704</v>
      </c>
      <c r="G2159" s="13" t="inlineStr">
        <is>
          <t>FREE</t>
        </is>
      </c>
      <c r="H2159" s="170" t="n">
        <v>46061.25258101852</v>
      </c>
    </row>
    <row r="2160">
      <c r="A2160" s="13" t="inlineStr">
        <is>
          <t>MK00095</t>
        </is>
      </c>
      <c r="B2160" s="13" t="n">
        <v>528000283</v>
      </c>
      <c r="C2160" s="13" t="inlineStr">
        <is>
          <t>Purwanda Sugiri</t>
        </is>
      </c>
      <c r="D2160" s="13" t="inlineStr">
        <is>
          <t>LOG</t>
        </is>
      </c>
      <c r="E2160" s="13" t="inlineStr">
        <is>
          <t>WRM Harian</t>
        </is>
      </c>
      <c r="F2160" s="170" t="n">
        <v>46030.91091435185</v>
      </c>
      <c r="G2160" s="13" t="inlineStr">
        <is>
          <t>FREE</t>
        </is>
      </c>
      <c r="H2160" s="170" t="n">
        <v>46061.25253472223</v>
      </c>
    </row>
    <row r="2161">
      <c r="A2161" s="13" t="inlineStr">
        <is>
          <t>MK00109</t>
        </is>
      </c>
      <c r="B2161" s="13" t="n">
        <v>528000360</v>
      </c>
      <c r="C2161" s="13" t="inlineStr">
        <is>
          <t>Hendra Permana</t>
        </is>
      </c>
      <c r="D2161" s="13" t="inlineStr">
        <is>
          <t>ENG</t>
        </is>
      </c>
      <c r="E2161" s="13" t="inlineStr">
        <is>
          <t>Engineering Harian</t>
        </is>
      </c>
      <c r="F2161" s="170" t="n">
        <v>46030.91163194444</v>
      </c>
      <c r="G2161" s="13" t="inlineStr">
        <is>
          <t>FREE</t>
        </is>
      </c>
      <c r="H2161" s="170" t="n">
        <v>46061.25230324074</v>
      </c>
    </row>
    <row r="2162">
      <c r="A2162" s="13" t="inlineStr">
        <is>
          <t>MK00125</t>
        </is>
      </c>
      <c r="B2162" s="13" t="n">
        <v>528000314</v>
      </c>
      <c r="C2162" s="13" t="inlineStr">
        <is>
          <t>Rusmana</t>
        </is>
      </c>
      <c r="D2162" s="13" t="inlineStr">
        <is>
          <t>PROD</t>
        </is>
      </c>
      <c r="E2162" s="13" t="inlineStr">
        <is>
          <t>Produksi Harian</t>
        </is>
      </c>
      <c r="F2162" s="170" t="n">
        <v>46030.91998842593</v>
      </c>
      <c r="G2162" s="13" t="inlineStr">
        <is>
          <t>FREE</t>
        </is>
      </c>
      <c r="H2162" s="170" t="n"/>
    </row>
    <row r="2163">
      <c r="A2163" s="13" t="inlineStr">
        <is>
          <t>MK00145</t>
        </is>
      </c>
      <c r="B2163" s="13" t="n">
        <v>628000064</v>
      </c>
      <c r="C2163" s="13" t="inlineStr">
        <is>
          <t>Silva Alypia</t>
        </is>
      </c>
      <c r="D2163" s="13" t="inlineStr">
        <is>
          <t>PROD</t>
        </is>
      </c>
      <c r="E2163" s="13" t="inlineStr">
        <is>
          <t>Produksi Borongan</t>
        </is>
      </c>
      <c r="F2163" s="170" t="n">
        <v>46061.24131944445</v>
      </c>
      <c r="G2163" s="13" t="inlineStr">
        <is>
          <t>FREE</t>
        </is>
      </c>
      <c r="H2163" s="170" t="n">
        <v>46061.58622685185</v>
      </c>
    </row>
    <row r="2164">
      <c r="A2164" s="13" t="inlineStr">
        <is>
          <t>MK00202</t>
        </is>
      </c>
      <c r="B2164" s="13" t="n">
        <v>528000248</v>
      </c>
      <c r="C2164" s="13" t="inlineStr">
        <is>
          <t>Roka Jaya Salka Mulya</t>
        </is>
      </c>
      <c r="D2164" s="13" t="inlineStr">
        <is>
          <t>PROD</t>
        </is>
      </c>
      <c r="E2164" s="13" t="inlineStr">
        <is>
          <t>Produksi Harian</t>
        </is>
      </c>
      <c r="F2164" s="170" t="n">
        <v>46061.24222222222</v>
      </c>
      <c r="G2164" s="13" t="inlineStr">
        <is>
          <t>FREE</t>
        </is>
      </c>
      <c r="H2164" s="170" t="n">
        <v>46061.58421296296</v>
      </c>
    </row>
    <row r="2165">
      <c r="A2165" s="13" t="inlineStr">
        <is>
          <t>MK00213</t>
        </is>
      </c>
      <c r="B2165" s="13" t="n">
        <v>528000279</v>
      </c>
      <c r="C2165" s="13" t="inlineStr">
        <is>
          <t>Mahdalena Dalfa Riani</t>
        </is>
      </c>
      <c r="D2165" s="13" t="inlineStr">
        <is>
          <t>PROD</t>
        </is>
      </c>
      <c r="E2165" s="13" t="inlineStr">
        <is>
          <t>Produksi Harian</t>
        </is>
      </c>
      <c r="F2165" s="170" t="n">
        <v>46061.24474537037</v>
      </c>
      <c r="G2165" s="13" t="inlineStr">
        <is>
          <t>FREE</t>
        </is>
      </c>
      <c r="H2165" s="170" t="n">
        <v>46061.58938657407</v>
      </c>
    </row>
    <row r="2166">
      <c r="A2166" s="13" t="inlineStr">
        <is>
          <t>MK00136</t>
        </is>
      </c>
      <c r="B2166" s="13" t="n">
        <v>528000334</v>
      </c>
      <c r="C2166" s="13" t="inlineStr">
        <is>
          <t>Naufal Yudhistira</t>
        </is>
      </c>
      <c r="D2166" s="13" t="inlineStr">
        <is>
          <t>PROD</t>
        </is>
      </c>
      <c r="E2166" s="13" t="inlineStr">
        <is>
          <t>Produksi Harian</t>
        </is>
      </c>
      <c r="F2166" s="170" t="n">
        <v>46061.24725694444</v>
      </c>
      <c r="G2166" s="13" t="inlineStr">
        <is>
          <t>FREE</t>
        </is>
      </c>
      <c r="H2166" s="170" t="n">
        <v>46061.58574074074</v>
      </c>
    </row>
    <row r="2167">
      <c r="A2167" s="13" t="inlineStr">
        <is>
          <t>MK00209</t>
        </is>
      </c>
      <c r="B2167" s="13" t="n">
        <v>528000300</v>
      </c>
      <c r="C2167" s="13" t="inlineStr">
        <is>
          <t>Lia pitaloka</t>
        </is>
      </c>
      <c r="D2167" s="13" t="inlineStr">
        <is>
          <t>PROD</t>
        </is>
      </c>
      <c r="E2167" s="13" t="inlineStr">
        <is>
          <t>Produksi Harian</t>
        </is>
      </c>
      <c r="F2167" s="170" t="n">
        <v>46061.24869212963</v>
      </c>
      <c r="G2167" s="13" t="inlineStr">
        <is>
          <t>FREE</t>
        </is>
      </c>
      <c r="H2167" s="170" t="n">
        <v>46061.59054398148</v>
      </c>
    </row>
    <row r="2168">
      <c r="A2168" s="13" t="inlineStr">
        <is>
          <t>MK00212</t>
        </is>
      </c>
      <c r="B2168" s="13" t="n">
        <v>528000359</v>
      </c>
      <c r="C2168" s="13" t="inlineStr">
        <is>
          <t>M. Iqbal Maulana. S</t>
        </is>
      </c>
      <c r="D2168" s="13" t="inlineStr">
        <is>
          <t>LOG</t>
        </is>
      </c>
      <c r="E2168" s="13" t="inlineStr">
        <is>
          <t>WRM Harian</t>
        </is>
      </c>
      <c r="F2168" s="170" t="n">
        <v>46061.29982638889</v>
      </c>
      <c r="G2168" s="13" t="inlineStr">
        <is>
          <t>FREE</t>
        </is>
      </c>
      <c r="H2168" s="170" t="n">
        <v>46061.58483796296</v>
      </c>
    </row>
    <row r="2169">
      <c r="A2169" s="13" t="inlineStr">
        <is>
          <t>MK00108</t>
        </is>
      </c>
      <c r="B2169" s="13" t="n">
        <v>528000339</v>
      </c>
      <c r="C2169" s="13" t="inlineStr">
        <is>
          <t>Muhamad Ripai'i</t>
        </is>
      </c>
      <c r="D2169" s="13" t="inlineStr">
        <is>
          <t>HRGA</t>
        </is>
      </c>
      <c r="E2169" s="13" t="inlineStr">
        <is>
          <t>GA Harian</t>
        </is>
      </c>
      <c r="F2169" s="170" t="n">
        <v>46061.56922453704</v>
      </c>
      <c r="G2169" s="13" t="inlineStr">
        <is>
          <t>FREE</t>
        </is>
      </c>
      <c r="H2169" s="170" t="n">
        <v>46061.92019675926</v>
      </c>
    </row>
    <row r="2170">
      <c r="A2170" s="13" t="inlineStr">
        <is>
          <t>MK00181</t>
        </is>
      </c>
      <c r="B2170" s="13" t="n">
        <v>528000286</v>
      </c>
      <c r="C2170" s="13" t="inlineStr">
        <is>
          <t>Imelda Amelia</t>
        </is>
      </c>
      <c r="D2170" s="13" t="inlineStr">
        <is>
          <t>PROD</t>
        </is>
      </c>
      <c r="E2170" s="13" t="inlineStr">
        <is>
          <t>Produksi Harian</t>
        </is>
      </c>
      <c r="F2170" s="170" t="n">
        <v>46061.56925925926</v>
      </c>
      <c r="G2170" s="13" t="inlineStr">
        <is>
          <t>FREE</t>
        </is>
      </c>
      <c r="H2170" s="170" t="n">
        <v>46061.92202546296</v>
      </c>
    </row>
    <row r="2171">
      <c r="A2171" s="13" t="inlineStr">
        <is>
          <t>MK00095</t>
        </is>
      </c>
      <c r="B2171" s="13" t="n">
        <v>528000201</v>
      </c>
      <c r="C2171" s="13" t="inlineStr">
        <is>
          <t>Zahwa Amelia Choerunissa</t>
        </is>
      </c>
      <c r="D2171" s="13" t="inlineStr">
        <is>
          <t>PROD</t>
        </is>
      </c>
      <c r="E2171" s="13" t="inlineStr">
        <is>
          <t>Produksi Harian</t>
        </is>
      </c>
      <c r="F2171" s="170" t="n">
        <v>46061.57092592592</v>
      </c>
      <c r="G2171" s="13" t="inlineStr">
        <is>
          <t>FREE</t>
        </is>
      </c>
      <c r="H2171" s="170" t="n">
        <v>46061.92054398148</v>
      </c>
    </row>
    <row r="2172">
      <c r="A2172" s="13" t="inlineStr">
        <is>
          <t>MK00235</t>
        </is>
      </c>
      <c r="B2172" s="13" t="n">
        <v>528000273</v>
      </c>
      <c r="C2172" s="13" t="inlineStr">
        <is>
          <t>Asep Mulyana</t>
        </is>
      </c>
      <c r="D2172" s="13" t="inlineStr">
        <is>
          <t>PROD</t>
        </is>
      </c>
      <c r="E2172" s="13" t="inlineStr">
        <is>
          <t>Produksi Harian</t>
        </is>
      </c>
      <c r="F2172" s="170" t="n">
        <v>46061.57342592593</v>
      </c>
      <c r="G2172" s="13" t="inlineStr">
        <is>
          <t>FREE</t>
        </is>
      </c>
      <c r="H2172" s="170" t="n">
        <v>46061.5790625</v>
      </c>
    </row>
    <row r="2173">
      <c r="A2173" s="13" t="inlineStr">
        <is>
          <t>MK00217</t>
        </is>
      </c>
      <c r="B2173" s="13" t="n">
        <v>528000274</v>
      </c>
      <c r="C2173" s="13" t="inlineStr">
        <is>
          <t>Zepri</t>
        </is>
      </c>
      <c r="D2173" s="13" t="inlineStr">
        <is>
          <t>PROD</t>
        </is>
      </c>
      <c r="E2173" s="13" t="inlineStr">
        <is>
          <t>Produksi Harian</t>
        </is>
      </c>
      <c r="F2173" s="170" t="n">
        <v>46061.57546296297</v>
      </c>
      <c r="G2173" s="13" t="inlineStr">
        <is>
          <t>FREE</t>
        </is>
      </c>
      <c r="H2173" s="170" t="n">
        <v>46061.91859953704</v>
      </c>
    </row>
    <row r="2174">
      <c r="A2174" s="13" t="inlineStr">
        <is>
          <t>MK00138</t>
        </is>
      </c>
      <c r="B2174" s="13" t="n">
        <v>528000289</v>
      </c>
      <c r="C2174" s="13" t="inlineStr">
        <is>
          <t>Adit Supriyadi</t>
        </is>
      </c>
      <c r="D2174" s="13" t="inlineStr">
        <is>
          <t>PROD</t>
        </is>
      </c>
      <c r="E2174" s="13" t="inlineStr">
        <is>
          <t>Produksi Harian</t>
        </is>
      </c>
      <c r="F2174" s="170" t="n">
        <v>46061.57577546296</v>
      </c>
      <c r="G2174" s="13" t="inlineStr">
        <is>
          <t>FREE</t>
        </is>
      </c>
      <c r="H2174" s="170" t="n">
        <v>46061.94015046296</v>
      </c>
    </row>
    <row r="2175">
      <c r="A2175" s="13" t="inlineStr">
        <is>
          <t>MK00143</t>
        </is>
      </c>
      <c r="B2175" s="13" t="n">
        <v>528000241</v>
      </c>
      <c r="C2175" s="13" t="inlineStr">
        <is>
          <t>Balia Nurafif Bilah</t>
        </is>
      </c>
      <c r="D2175" s="13" t="inlineStr">
        <is>
          <t>PROD</t>
        </is>
      </c>
      <c r="E2175" s="13" t="inlineStr">
        <is>
          <t>Produksi Harian</t>
        </is>
      </c>
      <c r="F2175" s="170" t="n">
        <v>46061.57675925926</v>
      </c>
      <c r="G2175" s="13" t="inlineStr">
        <is>
          <t>FREE</t>
        </is>
      </c>
      <c r="H2175" s="170" t="n">
        <v>46061.91921296297</v>
      </c>
    </row>
    <row r="2176">
      <c r="A2176" s="13" t="inlineStr">
        <is>
          <t>MK00121</t>
        </is>
      </c>
      <c r="B2176" s="13" t="n">
        <v>528000296</v>
      </c>
      <c r="C2176" s="13" t="inlineStr">
        <is>
          <t>Nurdin</t>
        </is>
      </c>
      <c r="D2176" s="13" t="inlineStr">
        <is>
          <t>PROD</t>
        </is>
      </c>
      <c r="E2176" s="13" t="inlineStr">
        <is>
          <t>Produksi Harian</t>
        </is>
      </c>
      <c r="F2176" s="170" t="n">
        <v>46061.57717592592</v>
      </c>
      <c r="G2176" s="13" t="inlineStr">
        <is>
          <t>FREE</t>
        </is>
      </c>
      <c r="H2176" s="170" t="n">
        <v>46211.23211805556</v>
      </c>
    </row>
    <row r="2177">
      <c r="A2177" s="13" t="inlineStr">
        <is>
          <t>MK00235</t>
        </is>
      </c>
      <c r="B2177" s="13" t="n">
        <v>528000273</v>
      </c>
      <c r="C2177" s="13" t="inlineStr">
        <is>
          <t>Asep Mulyana</t>
        </is>
      </c>
      <c r="D2177" s="13" t="inlineStr">
        <is>
          <t>PROD</t>
        </is>
      </c>
      <c r="E2177" s="13" t="inlineStr">
        <is>
          <t>Produksi Harian</t>
        </is>
      </c>
      <c r="F2177" s="170" t="n">
        <v>46061.57984953704</v>
      </c>
      <c r="G2177" s="13" t="inlineStr">
        <is>
          <t>FREE</t>
        </is>
      </c>
      <c r="H2177" s="170" t="n">
        <v>46061.91799768519</v>
      </c>
    </row>
    <row r="2178">
      <c r="A2178" s="13" t="inlineStr">
        <is>
          <t>MK00109</t>
        </is>
      </c>
      <c r="B2178" s="13" t="n">
        <v>528000090</v>
      </c>
      <c r="C2178" s="13" t="inlineStr">
        <is>
          <t>Suganda</t>
        </is>
      </c>
      <c r="D2178" s="13" t="inlineStr">
        <is>
          <t>PROD</t>
        </is>
      </c>
      <c r="E2178" s="13" t="inlineStr">
        <is>
          <t>Produksi Harian</t>
        </is>
      </c>
      <c r="F2178" s="170" t="n">
        <v>46061.5820949074</v>
      </c>
      <c r="G2178" s="13" t="inlineStr">
        <is>
          <t>FREE</t>
        </is>
      </c>
      <c r="H2178" s="170" t="n">
        <v>46061.92068287037</v>
      </c>
    </row>
    <row r="2179">
      <c r="A2179" s="13" t="inlineStr">
        <is>
          <t>MK00208</t>
        </is>
      </c>
      <c r="B2179" s="13" t="n">
        <v>528000290</v>
      </c>
      <c r="C2179" s="13" t="inlineStr">
        <is>
          <t>Eval Pranata</t>
        </is>
      </c>
      <c r="D2179" s="13" t="inlineStr">
        <is>
          <t>PROD</t>
        </is>
      </c>
      <c r="E2179" s="13" t="inlineStr">
        <is>
          <t>Produksi Harian</t>
        </is>
      </c>
      <c r="F2179" s="170" t="n">
        <v>46061.5822337963</v>
      </c>
      <c r="G2179" s="13" t="inlineStr">
        <is>
          <t>FREE</t>
        </is>
      </c>
      <c r="H2179" s="170" t="n">
        <v>46061.91925925926</v>
      </c>
    </row>
    <row r="2180">
      <c r="A2180" s="13" t="inlineStr">
        <is>
          <t>MK00112</t>
        </is>
      </c>
      <c r="B2180" s="13" t="n">
        <v>528000212</v>
      </c>
      <c r="C2180" s="13" t="inlineStr">
        <is>
          <t>Rizal Fauzi</t>
        </is>
      </c>
      <c r="D2180" s="13" t="inlineStr">
        <is>
          <t>PROD</t>
        </is>
      </c>
      <c r="E2180" s="13" t="inlineStr">
        <is>
          <t>Produksi Harian</t>
        </is>
      </c>
      <c r="F2180" s="170" t="n">
        <v>46061.58474537037</v>
      </c>
      <c r="G2180" s="13" t="inlineStr">
        <is>
          <t>FREE</t>
        </is>
      </c>
      <c r="H2180" s="170" t="n">
        <v>46061.91947916667</v>
      </c>
    </row>
    <row r="2181">
      <c r="A2181" s="13" t="inlineStr">
        <is>
          <t>MK00212</t>
        </is>
      </c>
      <c r="B2181" s="13" t="n">
        <v>528000337</v>
      </c>
      <c r="C2181" s="13" t="inlineStr">
        <is>
          <t>Ahmad Zaldi Firdaus</t>
        </is>
      </c>
      <c r="D2181" s="13" t="inlineStr">
        <is>
          <t>PROD</t>
        </is>
      </c>
      <c r="E2181" s="13" t="inlineStr">
        <is>
          <t>Produksi Harian</t>
        </is>
      </c>
      <c r="F2181" s="170" t="n">
        <v>46061.8690625</v>
      </c>
      <c r="G2181" s="13" t="inlineStr">
        <is>
          <t>FREE</t>
        </is>
      </c>
      <c r="H2181" s="170" t="n">
        <v>46089.25601851852</v>
      </c>
    </row>
    <row r="2182">
      <c r="A2182" s="13" t="inlineStr">
        <is>
          <t>MK00160</t>
        </is>
      </c>
      <c r="B2182" s="13" t="n">
        <v>528000052</v>
      </c>
      <c r="C2182" s="13" t="inlineStr">
        <is>
          <t>Mustopa</t>
        </is>
      </c>
      <c r="D2182" s="13" t="inlineStr">
        <is>
          <t>PROD</t>
        </is>
      </c>
      <c r="E2182" s="13" t="inlineStr">
        <is>
          <t>Produksi Harian</t>
        </is>
      </c>
      <c r="F2182" s="170" t="n">
        <v>46061.87803240741</v>
      </c>
      <c r="G2182" s="13" t="inlineStr">
        <is>
          <t>FREE</t>
        </is>
      </c>
      <c r="H2182" s="170" t="n">
        <v>46089.87842592593</v>
      </c>
    </row>
    <row r="2183">
      <c r="A2183" s="13" t="inlineStr">
        <is>
          <t>MK00090</t>
        </is>
      </c>
      <c r="B2183" s="13" t="n">
        <v>528000318</v>
      </c>
      <c r="C2183" s="13" t="inlineStr">
        <is>
          <t>Bayu Padli Sepriyana</t>
        </is>
      </c>
      <c r="D2183" s="13" t="inlineStr">
        <is>
          <t>LOG</t>
        </is>
      </c>
      <c r="E2183" s="13" t="inlineStr">
        <is>
          <t>WRM Harian</t>
        </is>
      </c>
      <c r="F2183" s="170" t="n">
        <v>46061.89972222222</v>
      </c>
      <c r="G2183" s="13" t="inlineStr">
        <is>
          <t>FREE</t>
        </is>
      </c>
      <c r="H2183" s="170" t="n">
        <v>46089.25349537037</v>
      </c>
    </row>
    <row r="2184">
      <c r="A2184" s="13" t="inlineStr">
        <is>
          <t>MK00113</t>
        </is>
      </c>
      <c r="B2184" s="13" t="n">
        <v>528000262</v>
      </c>
      <c r="C2184" s="13" t="inlineStr">
        <is>
          <t>Ndari Dwiwanti</t>
        </is>
      </c>
      <c r="D2184" s="13" t="inlineStr">
        <is>
          <t>PROD</t>
        </is>
      </c>
      <c r="E2184" s="13" t="inlineStr">
        <is>
          <t>Produksi Harian</t>
        </is>
      </c>
      <c r="F2184" s="170" t="n">
        <v>46061.9008912037</v>
      </c>
      <c r="G2184" s="13" t="inlineStr">
        <is>
          <t>FREE</t>
        </is>
      </c>
      <c r="H2184" s="170" t="n">
        <v>46089.90762731482</v>
      </c>
    </row>
    <row r="2185">
      <c r="A2185" s="13" t="inlineStr">
        <is>
          <t>MK00213</t>
        </is>
      </c>
      <c r="B2185" s="13" t="n">
        <v>528000358</v>
      </c>
      <c r="C2185" s="13" t="inlineStr">
        <is>
          <t>Lulu Agustin</t>
        </is>
      </c>
      <c r="D2185" s="13" t="inlineStr">
        <is>
          <t>PROD</t>
        </is>
      </c>
      <c r="E2185" s="13" t="inlineStr">
        <is>
          <t>Produksi Harian</t>
        </is>
      </c>
      <c r="F2185" s="170" t="n">
        <v>46061.90326388889</v>
      </c>
      <c r="G2185" s="13" t="inlineStr">
        <is>
          <t>FREE</t>
        </is>
      </c>
      <c r="H2185" s="170" t="n">
        <v>46089.33695601852</v>
      </c>
    </row>
    <row r="2186">
      <c r="A2186" s="13" t="inlineStr">
        <is>
          <t>MK00085</t>
        </is>
      </c>
      <c r="B2186" s="13" t="n">
        <v>528000360</v>
      </c>
      <c r="C2186" s="13" t="inlineStr">
        <is>
          <t>Hendra Permana</t>
        </is>
      </c>
      <c r="D2186" s="13" t="inlineStr">
        <is>
          <t>ENG</t>
        </is>
      </c>
      <c r="E2186" s="13" t="inlineStr">
        <is>
          <t>Engineering Harian</t>
        </is>
      </c>
      <c r="F2186" s="170" t="n">
        <v>46061.9090625</v>
      </c>
      <c r="G2186" s="13" t="inlineStr">
        <is>
          <t>FREE</t>
        </is>
      </c>
      <c r="H2186" s="170" t="n">
        <v>46089.25392361111</v>
      </c>
    </row>
    <row r="2187">
      <c r="A2187" s="13" t="inlineStr">
        <is>
          <t>MK00202</t>
        </is>
      </c>
      <c r="B2187" s="13" t="n">
        <v>528000261</v>
      </c>
      <c r="C2187" s="13" t="inlineStr">
        <is>
          <t>Ergi Ergianto</t>
        </is>
      </c>
      <c r="D2187" s="13" t="inlineStr">
        <is>
          <t>HRGA</t>
        </is>
      </c>
      <c r="E2187" s="13" t="inlineStr">
        <is>
          <t>GA Harian</t>
        </is>
      </c>
      <c r="F2187" s="170" t="n">
        <v>46061.91023148148</v>
      </c>
      <c r="G2187" s="13" t="inlineStr">
        <is>
          <t>FREE</t>
        </is>
      </c>
      <c r="H2187" s="170" t="n">
        <v>46089.33614583333</v>
      </c>
    </row>
    <row r="2188">
      <c r="A2188" s="13" t="inlineStr">
        <is>
          <t>MK00082</t>
        </is>
      </c>
      <c r="B2188" s="13" t="n">
        <v>528000291</v>
      </c>
      <c r="C2188" s="13" t="inlineStr">
        <is>
          <t>Andrian</t>
        </is>
      </c>
      <c r="D2188" s="13" t="inlineStr">
        <is>
          <t>PROD</t>
        </is>
      </c>
      <c r="E2188" s="13" t="inlineStr">
        <is>
          <t>Produksi Harian</t>
        </is>
      </c>
      <c r="F2188" s="170" t="n">
        <v>46061.91177083334</v>
      </c>
      <c r="G2188" s="13" t="inlineStr">
        <is>
          <t>FREE</t>
        </is>
      </c>
      <c r="H2188" s="170" t="n">
        <v>46089.9068287037</v>
      </c>
    </row>
    <row r="2189">
      <c r="A2189" s="13" t="inlineStr">
        <is>
          <t>MK00154</t>
        </is>
      </c>
      <c r="B2189" s="13" t="n">
        <v>528000283</v>
      </c>
      <c r="C2189" s="13" t="inlineStr">
        <is>
          <t>Purwanda Sugiri</t>
        </is>
      </c>
      <c r="D2189" s="13" t="inlineStr">
        <is>
          <t>LOG</t>
        </is>
      </c>
      <c r="E2189" s="13" t="inlineStr">
        <is>
          <t>WRM Harian</t>
        </is>
      </c>
      <c r="F2189" s="170" t="n">
        <v>46061.91202546296</v>
      </c>
      <c r="G2189" s="13" t="inlineStr">
        <is>
          <t>FREE</t>
        </is>
      </c>
      <c r="H2189" s="170" t="n">
        <v>46089.25289351852</v>
      </c>
    </row>
    <row r="2190">
      <c r="A2190" s="13" t="inlineStr">
        <is>
          <t>MK00108</t>
        </is>
      </c>
      <c r="B2190" s="13" t="n">
        <v>628000064</v>
      </c>
      <c r="C2190" s="13" t="inlineStr">
        <is>
          <t>Silva Alypia</t>
        </is>
      </c>
      <c r="D2190" s="13" t="inlineStr">
        <is>
          <t>PROD</t>
        </is>
      </c>
      <c r="E2190" s="13" t="inlineStr">
        <is>
          <t>Produksi Borongan</t>
        </is>
      </c>
      <c r="F2190" s="170" t="n">
        <v>46089.24353009259</v>
      </c>
      <c r="G2190" s="13" t="inlineStr">
        <is>
          <t>FREE</t>
        </is>
      </c>
      <c r="H2190" s="170" t="n">
        <v>46089.58697916667</v>
      </c>
    </row>
    <row r="2191">
      <c r="A2191" s="13" t="inlineStr">
        <is>
          <t>MK00138</t>
        </is>
      </c>
      <c r="B2191" s="13" t="n">
        <v>528000300</v>
      </c>
      <c r="C2191" s="13" t="inlineStr">
        <is>
          <t>Lia pitaloka</t>
        </is>
      </c>
      <c r="D2191" s="13" t="inlineStr">
        <is>
          <t>PROD</t>
        </is>
      </c>
      <c r="E2191" s="13" t="inlineStr">
        <is>
          <t>Produksi Harian</t>
        </is>
      </c>
      <c r="F2191" s="170" t="n">
        <v>46089.24751157407</v>
      </c>
      <c r="G2191" s="13" t="inlineStr">
        <is>
          <t>FREE</t>
        </is>
      </c>
      <c r="H2191" s="170" t="n">
        <v>46089.58811342593</v>
      </c>
    </row>
    <row r="2192">
      <c r="A2192" s="13" t="inlineStr">
        <is>
          <t>MK00208</t>
        </is>
      </c>
      <c r="B2192" s="13" t="n">
        <v>528000279</v>
      </c>
      <c r="C2192" s="13" t="inlineStr">
        <is>
          <t>Mahdalena Dalfa Riani</t>
        </is>
      </c>
      <c r="D2192" s="13" t="inlineStr">
        <is>
          <t>PROD</t>
        </is>
      </c>
      <c r="E2192" s="13" t="inlineStr">
        <is>
          <t>Produksi Harian</t>
        </is>
      </c>
      <c r="F2192" s="170" t="n">
        <v>46089.24792824074</v>
      </c>
      <c r="G2192" s="13" t="inlineStr">
        <is>
          <t>FREE</t>
        </is>
      </c>
      <c r="H2192" s="170" t="n">
        <v>46089.58856481482</v>
      </c>
    </row>
    <row r="2193">
      <c r="A2193" s="13" t="inlineStr">
        <is>
          <t>MK00210</t>
        </is>
      </c>
      <c r="B2193" s="13" t="n">
        <v>528000282</v>
      </c>
      <c r="C2193" s="13" t="inlineStr">
        <is>
          <t>Defa Desfiana</t>
        </is>
      </c>
      <c r="D2193" s="13" t="inlineStr">
        <is>
          <t>PROD</t>
        </is>
      </c>
      <c r="E2193" s="13" t="inlineStr">
        <is>
          <t>Produksi Harian</t>
        </is>
      </c>
      <c r="F2193" s="170" t="n">
        <v>46089.31783564815</v>
      </c>
      <c r="G2193" s="13" t="inlineStr">
        <is>
          <t>FREE</t>
        </is>
      </c>
      <c r="H2193" s="170" t="n">
        <v>46089.66793981481</v>
      </c>
    </row>
    <row r="2194">
      <c r="A2194" s="13" t="inlineStr">
        <is>
          <t>MK00154</t>
        </is>
      </c>
      <c r="B2194" s="13" t="n">
        <v>528000265</v>
      </c>
      <c r="C2194" s="13" t="inlineStr">
        <is>
          <t>Muhammad Haerul Rozikin</t>
        </is>
      </c>
      <c r="D2194" s="13" t="inlineStr">
        <is>
          <t>LOG</t>
        </is>
      </c>
      <c r="E2194" s="13" t="inlineStr">
        <is>
          <t>WRM Harian</t>
        </is>
      </c>
      <c r="F2194" s="170" t="n">
        <v>46089.32354166666</v>
      </c>
      <c r="G2194" s="13" t="inlineStr">
        <is>
          <t>FREE</t>
        </is>
      </c>
      <c r="H2194" s="170" t="n">
        <v>46089.67020833334</v>
      </c>
    </row>
    <row r="2195">
      <c r="A2195" s="13" t="inlineStr">
        <is>
          <t>MK00209</t>
        </is>
      </c>
      <c r="B2195" s="13" t="n">
        <v>528000351</v>
      </c>
      <c r="C2195" s="13" t="inlineStr">
        <is>
          <t>Mulyana</t>
        </is>
      </c>
      <c r="D2195" s="13" t="inlineStr">
        <is>
          <t>PROD</t>
        </is>
      </c>
      <c r="E2195" s="13" t="inlineStr">
        <is>
          <t>Produksi Harian</t>
        </is>
      </c>
      <c r="F2195" s="48" t="n">
        <v>46089.32760416667</v>
      </c>
      <c r="G2195" s="13" t="inlineStr">
        <is>
          <t>FREE</t>
        </is>
      </c>
      <c r="H2195" s="170" t="n">
        <v>46089.66881944444</v>
      </c>
    </row>
    <row r="2196">
      <c r="A2196" s="13" t="inlineStr">
        <is>
          <t>MK00181</t>
        </is>
      </c>
      <c r="B2196" s="13" t="n">
        <v>528000310</v>
      </c>
      <c r="C2196" s="13" t="inlineStr">
        <is>
          <t>Fachrul Rozzi Suryana</t>
        </is>
      </c>
      <c r="D2196" s="13" t="inlineStr">
        <is>
          <t>LOG</t>
        </is>
      </c>
      <c r="E2196" s="13" t="inlineStr">
        <is>
          <t>WRM Harian</t>
        </is>
      </c>
      <c r="F2196" s="48" t="n">
        <v>46089.32952546296</v>
      </c>
      <c r="G2196" s="13" t="inlineStr">
        <is>
          <t>FREE</t>
        </is>
      </c>
      <c r="H2196" s="170" t="n">
        <v>46089.66944444444</v>
      </c>
    </row>
    <row r="2197">
      <c r="A2197" s="13" t="inlineStr">
        <is>
          <t>MK00093</t>
        </is>
      </c>
      <c r="B2197" s="13" t="n">
        <v>528000267</v>
      </c>
      <c r="C2197" s="13" t="inlineStr">
        <is>
          <t>Bagas Patulloh</t>
        </is>
      </c>
      <c r="D2197" s="13" t="inlineStr">
        <is>
          <t>LOG</t>
        </is>
      </c>
      <c r="E2197" s="13" t="inlineStr">
        <is>
          <t>WRM Harian</t>
        </is>
      </c>
      <c r="F2197" s="48" t="n">
        <v>46089.33590277778</v>
      </c>
      <c r="G2197" s="13" t="inlineStr">
        <is>
          <t>FREE</t>
        </is>
      </c>
      <c r="H2197" s="170" t="n">
        <v>46089.74069444444</v>
      </c>
    </row>
    <row r="2198">
      <c r="A2198" s="13" t="inlineStr">
        <is>
          <t>MK00150</t>
        </is>
      </c>
      <c r="B2198" s="13" t="n">
        <v>528000232</v>
      </c>
      <c r="C2198" s="13" t="inlineStr">
        <is>
          <t>Agung Aji Suhada</t>
        </is>
      </c>
      <c r="D2198" s="13" t="inlineStr">
        <is>
          <t>LOG</t>
        </is>
      </c>
      <c r="E2198" s="13" t="inlineStr">
        <is>
          <t>WRM Harian</t>
        </is>
      </c>
      <c r="F2198" s="48" t="n">
        <v>46089.36140046296</v>
      </c>
      <c r="G2198" s="13" t="inlineStr">
        <is>
          <t>FREE</t>
        </is>
      </c>
      <c r="H2198" s="170" t="n">
        <v>46089.7178587963</v>
      </c>
    </row>
    <row r="2199">
      <c r="A2199" s="13" t="inlineStr">
        <is>
          <t>MK00141</t>
        </is>
      </c>
      <c r="B2199" s="13" t="n">
        <v>528000040</v>
      </c>
      <c r="C2199" s="13" t="inlineStr">
        <is>
          <t>Agus Suryaman</t>
        </is>
      </c>
      <c r="D2199" s="13" t="inlineStr">
        <is>
          <t>PROD</t>
        </is>
      </c>
      <c r="E2199" s="13" t="inlineStr">
        <is>
          <t>Produksi Harian</t>
        </is>
      </c>
      <c r="F2199" s="48" t="n">
        <v>46089.36876157407</v>
      </c>
      <c r="G2199" s="13" t="inlineStr">
        <is>
          <t>FREE</t>
        </is>
      </c>
      <c r="H2199" s="170" t="n">
        <v>46089.92539351852</v>
      </c>
    </row>
    <row r="2200">
      <c r="A2200" s="13" t="inlineStr">
        <is>
          <t>MK00205</t>
        </is>
      </c>
      <c r="B2200" s="13" t="n">
        <v>528000348</v>
      </c>
      <c r="C2200" s="13" t="inlineStr">
        <is>
          <t>Saepuloh Ardiansah</t>
        </is>
      </c>
      <c r="D2200" s="13" t="inlineStr">
        <is>
          <t>LOG</t>
        </is>
      </c>
      <c r="E2200" s="13" t="inlineStr">
        <is>
          <t>WRM Harian</t>
        </is>
      </c>
      <c r="F2200" s="48" t="n">
        <v>46089.37164351852</v>
      </c>
      <c r="G2200" s="13" t="inlineStr">
        <is>
          <t>FREE</t>
        </is>
      </c>
      <c r="H2200" s="170" t="n">
        <v>46089.92452546296</v>
      </c>
    </row>
    <row r="2201">
      <c r="A2201" s="13" t="inlineStr">
        <is>
          <t>MK00185</t>
        </is>
      </c>
      <c r="B2201" s="13" t="n">
        <v>528000349</v>
      </c>
      <c r="C2201" s="13" t="inlineStr">
        <is>
          <t>Anas Abdul Fatah</t>
        </is>
      </c>
      <c r="D2201" s="13" t="inlineStr">
        <is>
          <t>LOG</t>
        </is>
      </c>
      <c r="E2201" s="13" t="inlineStr">
        <is>
          <t>WFG Harian</t>
        </is>
      </c>
      <c r="F2201" s="48" t="n">
        <v>46089.40770833333</v>
      </c>
      <c r="G2201" s="13" t="inlineStr">
        <is>
          <t>FREE</t>
        </is>
      </c>
      <c r="H2201" s="170" t="n">
        <v>46089.76157407407</v>
      </c>
    </row>
    <row r="2202">
      <c r="A2202" s="13" t="inlineStr">
        <is>
          <t>MK00192</t>
        </is>
      </c>
      <c r="B2202" s="13" t="n">
        <v>528000201</v>
      </c>
      <c r="C2202" s="13" t="inlineStr">
        <is>
          <t>Zahwa Amelia Choerunissa</t>
        </is>
      </c>
      <c r="D2202" s="13" t="inlineStr">
        <is>
          <t>PROD</t>
        </is>
      </c>
      <c r="E2202" s="13" t="inlineStr">
        <is>
          <t>Produksi Harian</t>
        </is>
      </c>
      <c r="F2202" s="48" t="n">
        <v>46089.57083333333</v>
      </c>
      <c r="G2202" s="13" t="inlineStr">
        <is>
          <t>FREE</t>
        </is>
      </c>
      <c r="H2202" s="170" t="n">
        <v>46089.91953703704</v>
      </c>
    </row>
    <row r="2203">
      <c r="A2203" s="13" t="inlineStr">
        <is>
          <t>MK00136</t>
        </is>
      </c>
      <c r="B2203" s="13" t="n">
        <v>528000339</v>
      </c>
      <c r="C2203" s="13" t="inlineStr">
        <is>
          <t>Muhamad Ripai'i</t>
        </is>
      </c>
      <c r="D2203" s="13" t="inlineStr">
        <is>
          <t>HRGA</t>
        </is>
      </c>
      <c r="E2203" s="13" t="inlineStr">
        <is>
          <t>GA Harian</t>
        </is>
      </c>
      <c r="F2203" s="48" t="n">
        <v>46089.57130787037</v>
      </c>
      <c r="G2203" s="13" t="inlineStr">
        <is>
          <t>FREE</t>
        </is>
      </c>
      <c r="H2203" s="170" t="n">
        <v>46089.94467592592</v>
      </c>
    </row>
    <row r="2204">
      <c r="A2204" s="13" t="inlineStr">
        <is>
          <t>MK00230</t>
        </is>
      </c>
      <c r="B2204" s="13" t="n">
        <v>528000286</v>
      </c>
      <c r="C2204" s="13" t="inlineStr">
        <is>
          <t>Imelda Amelia</t>
        </is>
      </c>
      <c r="D2204" s="13" t="inlineStr">
        <is>
          <t>PROD</t>
        </is>
      </c>
      <c r="E2204" s="13" t="inlineStr">
        <is>
          <t>Produksi Harian</t>
        </is>
      </c>
      <c r="F2204" s="48" t="n">
        <v>46089.57155092592</v>
      </c>
      <c r="G2204" s="13" t="inlineStr">
        <is>
          <t>FREE</t>
        </is>
      </c>
      <c r="H2204" s="170" t="n">
        <v>46089.92252314815</v>
      </c>
    </row>
    <row r="2205">
      <c r="A2205" s="13" t="inlineStr">
        <is>
          <t>MK00145</t>
        </is>
      </c>
      <c r="B2205" s="13" t="n">
        <v>528000289</v>
      </c>
      <c r="C2205" s="13" t="inlineStr">
        <is>
          <t>Adit Supriyadi</t>
        </is>
      </c>
      <c r="D2205" s="13" t="inlineStr">
        <is>
          <t>PROD</t>
        </is>
      </c>
      <c r="E2205" s="13" t="inlineStr">
        <is>
          <t>Produksi Harian</t>
        </is>
      </c>
      <c r="F2205" s="48" t="n">
        <v>46089.57306712963</v>
      </c>
      <c r="G2205" s="13" t="inlineStr">
        <is>
          <t>FREE</t>
        </is>
      </c>
      <c r="H2205" s="170" t="n">
        <v>46120.24930555555</v>
      </c>
    </row>
    <row r="2206">
      <c r="A2206" s="13" t="inlineStr">
        <is>
          <t>MK00116</t>
        </is>
      </c>
      <c r="B2206" s="13" t="n">
        <v>528000273</v>
      </c>
      <c r="C2206" s="13" t="inlineStr">
        <is>
          <t>Asep Mulyana</t>
        </is>
      </c>
      <c r="D2206" s="13" t="inlineStr">
        <is>
          <t>PROD</t>
        </is>
      </c>
      <c r="E2206" s="13" t="inlineStr">
        <is>
          <t>Produksi Harian</t>
        </is>
      </c>
      <c r="F2206" s="48" t="n">
        <v>46089.57645833334</v>
      </c>
      <c r="G2206" s="13" t="inlineStr">
        <is>
          <t>FREE</t>
        </is>
      </c>
      <c r="H2206" s="170" t="n">
        <v>46089.9178587963</v>
      </c>
    </row>
    <row r="2207">
      <c r="A2207" s="13" t="inlineStr">
        <is>
          <t>MK00250</t>
        </is>
      </c>
      <c r="B2207" s="13" t="n">
        <v>528000090</v>
      </c>
      <c r="C2207" s="13" t="inlineStr">
        <is>
          <t>Suganda</t>
        </is>
      </c>
      <c r="D2207" s="13" t="inlineStr">
        <is>
          <t>PROD</t>
        </is>
      </c>
      <c r="E2207" s="13" t="inlineStr">
        <is>
          <t>Produksi Harian</t>
        </is>
      </c>
      <c r="F2207" s="48" t="n">
        <v>46089.57883101852</v>
      </c>
      <c r="G2207" s="13" t="inlineStr">
        <is>
          <t>FREE</t>
        </is>
      </c>
      <c r="H2207" s="170" t="n">
        <v>46089.91993055555</v>
      </c>
    </row>
    <row r="2208">
      <c r="A2208" s="13" t="inlineStr">
        <is>
          <t>MK00217</t>
        </is>
      </c>
      <c r="B2208" s="13" t="n">
        <v>528000241</v>
      </c>
      <c r="C2208" s="13" t="inlineStr">
        <is>
          <t>Balia Nurafif Bilah</t>
        </is>
      </c>
      <c r="D2208" s="13" t="inlineStr">
        <is>
          <t>PROD</t>
        </is>
      </c>
      <c r="E2208" s="13" t="inlineStr">
        <is>
          <t>Produksi Harian</t>
        </is>
      </c>
      <c r="F2208" s="48" t="n">
        <v>46089.57984953704</v>
      </c>
      <c r="G2208" s="13" t="inlineStr">
        <is>
          <t>FREE</t>
        </is>
      </c>
      <c r="H2208" s="170" t="n">
        <v>46089.91947916667</v>
      </c>
    </row>
    <row r="2209">
      <c r="A2209" s="13" t="inlineStr">
        <is>
          <t>MK00008</t>
        </is>
      </c>
      <c r="B2209" s="13" t="n">
        <v>528000274</v>
      </c>
      <c r="C2209" s="13" t="inlineStr">
        <is>
          <t>Zepri</t>
        </is>
      </c>
      <c r="D2209" s="13" t="inlineStr">
        <is>
          <t>PROD</t>
        </is>
      </c>
      <c r="E2209" s="13" t="inlineStr">
        <is>
          <t>Produksi Harian</t>
        </is>
      </c>
      <c r="F2209" s="48" t="n">
        <v>46089.57994212963</v>
      </c>
      <c r="G2209" s="13" t="inlineStr">
        <is>
          <t>FREE</t>
        </is>
      </c>
      <c r="H2209" s="170" t="n">
        <v>46089.91900462963</v>
      </c>
    </row>
    <row r="2210">
      <c r="A2210" s="13" t="inlineStr">
        <is>
          <t>MK00109</t>
        </is>
      </c>
      <c r="B2210" s="13" t="n">
        <v>528000290</v>
      </c>
      <c r="C2210" s="13" t="inlineStr">
        <is>
          <t>Eval Pranata</t>
        </is>
      </c>
      <c r="D2210" s="13" t="inlineStr">
        <is>
          <t>PROD</t>
        </is>
      </c>
      <c r="E2210" s="13" t="inlineStr">
        <is>
          <t>Produksi Harian</t>
        </is>
      </c>
      <c r="F2210" s="48" t="n">
        <v>46089.58325231481</v>
      </c>
      <c r="G2210" s="13" t="inlineStr">
        <is>
          <t>FREE</t>
        </is>
      </c>
      <c r="H2210" s="170" t="n">
        <v>46089.92001157408</v>
      </c>
    </row>
    <row r="2211">
      <c r="A2211" s="13" t="inlineStr">
        <is>
          <t>MK00156</t>
        </is>
      </c>
      <c r="B2211" s="13" t="n">
        <v>528000212</v>
      </c>
      <c r="C2211" s="13" t="inlineStr">
        <is>
          <t>Rizal Fauzi</t>
        </is>
      </c>
      <c r="D2211" s="13" t="inlineStr">
        <is>
          <t>PROD</t>
        </is>
      </c>
      <c r="E2211" s="13" t="inlineStr">
        <is>
          <t>Produksi Harian</t>
        </is>
      </c>
      <c r="F2211" s="48" t="n">
        <v>46089.58390046296</v>
      </c>
      <c r="G2211" s="13" t="inlineStr">
        <is>
          <t>FREE</t>
        </is>
      </c>
      <c r="H2211" s="170" t="n">
        <v>46120.08962962963</v>
      </c>
    </row>
    <row r="2212">
      <c r="A2212" s="13" t="inlineStr">
        <is>
          <t>MK00221</t>
        </is>
      </c>
      <c r="B2212" s="13" t="n">
        <v>528000144</v>
      </c>
      <c r="C2212" s="13" t="inlineStr">
        <is>
          <t>Jodi Hanafi</t>
        </is>
      </c>
      <c r="D2212" s="13" t="inlineStr">
        <is>
          <t>LOG</t>
        </is>
      </c>
      <c r="E2212" s="13" t="inlineStr">
        <is>
          <t>WRM Harian</t>
        </is>
      </c>
      <c r="F2212" s="48" t="n">
        <v>46089.65991898148</v>
      </c>
      <c r="G2212" s="13" t="inlineStr">
        <is>
          <t>FREE</t>
        </is>
      </c>
      <c r="H2212" s="170" t="n">
        <v>46120.00278935185</v>
      </c>
    </row>
    <row r="2213">
      <c r="A2213" s="13" t="inlineStr">
        <is>
          <t>MK0130</t>
        </is>
      </c>
      <c r="B2213" s="13" t="n">
        <v>528000149</v>
      </c>
      <c r="C2213" s="13" t="inlineStr">
        <is>
          <t>Tio Fernanda</t>
        </is>
      </c>
      <c r="D2213" s="13" t="inlineStr">
        <is>
          <t>LOG</t>
        </is>
      </c>
      <c r="E2213" s="13" t="inlineStr">
        <is>
          <t>WRM Harian</t>
        </is>
      </c>
      <c r="F2213" s="48" t="n">
        <v>46089.66006944444</v>
      </c>
      <c r="G2213" s="13" t="inlineStr">
        <is>
          <t>FREE</t>
        </is>
      </c>
      <c r="H2213" s="170" t="n">
        <v>46120.00255787037</v>
      </c>
    </row>
    <row r="2214">
      <c r="A2214" s="13" t="inlineStr">
        <is>
          <t>MK00204</t>
        </is>
      </c>
      <c r="B2214" s="13" t="n">
        <v>528000335</v>
      </c>
      <c r="C2214" s="13" t="inlineStr">
        <is>
          <t>Rizal Saepuloh</t>
        </is>
      </c>
      <c r="D2214" s="13" t="inlineStr">
        <is>
          <t>LOG</t>
        </is>
      </c>
      <c r="E2214" s="13" t="inlineStr">
        <is>
          <t>WRM Harian</t>
        </is>
      </c>
      <c r="F2214" s="48" t="n">
        <v>46089.66887731481</v>
      </c>
      <c r="G2214" s="13" t="inlineStr">
        <is>
          <t>FREE</t>
        </is>
      </c>
      <c r="H2214" s="170" t="n">
        <v>46120.00017361111</v>
      </c>
    </row>
    <row r="2215">
      <c r="A2215" s="13" t="inlineStr">
        <is>
          <t>MK00209</t>
        </is>
      </c>
      <c r="B2215" s="13" t="n">
        <v>528000337</v>
      </c>
      <c r="C2215" s="13" t="inlineStr">
        <is>
          <t>Ahmad Zaldi Firdaus</t>
        </is>
      </c>
      <c r="D2215" s="13" t="inlineStr">
        <is>
          <t>PROD</t>
        </is>
      </c>
      <c r="E2215" s="13" t="inlineStr">
        <is>
          <t>Produksi Harian</t>
        </is>
      </c>
      <c r="F2215" s="48" t="n">
        <v>46089.86795138889</v>
      </c>
      <c r="G2215" s="13" t="inlineStr">
        <is>
          <t>FREE</t>
        </is>
      </c>
      <c r="H2215" s="170" t="n">
        <v>46120.25581018518</v>
      </c>
    </row>
    <row r="2216">
      <c r="A2216" s="13" t="inlineStr">
        <is>
          <t>MK00185</t>
        </is>
      </c>
      <c r="B2216" s="13" t="n">
        <v>528000336</v>
      </c>
      <c r="C2216" s="13" t="inlineStr">
        <is>
          <t>Ali Nurhanafi</t>
        </is>
      </c>
      <c r="D2216" s="13" t="inlineStr">
        <is>
          <t>PROD</t>
        </is>
      </c>
      <c r="E2216" s="13" t="inlineStr">
        <is>
          <t>Produksi Harian</t>
        </is>
      </c>
      <c r="F2216" s="48" t="n">
        <v>46089.87741898148</v>
      </c>
      <c r="G2216" s="13" t="inlineStr">
        <is>
          <t>FREE</t>
        </is>
      </c>
      <c r="H2216" s="170" t="n">
        <v>46120.25537037037</v>
      </c>
    </row>
    <row r="2217">
      <c r="A2217" s="13" t="inlineStr">
        <is>
          <t>MK00154</t>
        </is>
      </c>
      <c r="B2217" s="13" t="n">
        <v>528000052</v>
      </c>
      <c r="C2217" s="13" t="inlineStr">
        <is>
          <t>Mustopa</t>
        </is>
      </c>
      <c r="D2217" s="13" t="inlineStr">
        <is>
          <t>PROD</t>
        </is>
      </c>
      <c r="E2217" s="13" t="inlineStr">
        <is>
          <t>Produksi Harian</t>
        </is>
      </c>
      <c r="F2217" s="48" t="n">
        <v>46089.87878472222</v>
      </c>
      <c r="G2217" s="13" t="inlineStr">
        <is>
          <t>FREE</t>
        </is>
      </c>
      <c r="H2217" s="170" t="n">
        <v>46120.25420138889</v>
      </c>
    </row>
    <row r="2218">
      <c r="A2218" s="13" t="inlineStr">
        <is>
          <t>MK00181</t>
        </is>
      </c>
      <c r="B2218" s="13" t="n">
        <v>528000323</v>
      </c>
      <c r="C2218" s="13" t="inlineStr">
        <is>
          <t>Dian Hamidah</t>
        </is>
      </c>
      <c r="D2218" s="13" t="inlineStr">
        <is>
          <t>PROD</t>
        </is>
      </c>
      <c r="E2218" s="13" t="inlineStr">
        <is>
          <t>Produksi Harian</t>
        </is>
      </c>
      <c r="F2218" s="48" t="n">
        <v>46089.90422453704</v>
      </c>
      <c r="G2218" s="13" t="inlineStr">
        <is>
          <t>FREE</t>
        </is>
      </c>
      <c r="H2218" s="170" t="n">
        <v>46120.25493055556</v>
      </c>
    </row>
    <row r="2219">
      <c r="A2219" s="13" t="inlineStr">
        <is>
          <t>MK00235</t>
        </is>
      </c>
      <c r="B2219" s="13" t="n">
        <v>528000358</v>
      </c>
      <c r="C2219" s="13" t="inlineStr">
        <is>
          <t>Lulu Agustin</t>
        </is>
      </c>
      <c r="D2219" s="13" t="inlineStr">
        <is>
          <t>PROD</t>
        </is>
      </c>
      <c r="E2219" s="13" t="inlineStr">
        <is>
          <t>Produksi Harian</t>
        </is>
      </c>
      <c r="F2219" s="48" t="n">
        <v>46089.90744212963</v>
      </c>
      <c r="G2219" s="13" t="inlineStr">
        <is>
          <t>FREE</t>
        </is>
      </c>
      <c r="H2219" s="170" t="n">
        <v>46120.25398148148</v>
      </c>
    </row>
    <row r="2220">
      <c r="A2220" s="13" t="inlineStr">
        <is>
          <t>MK00088</t>
        </is>
      </c>
      <c r="B2220" s="13" t="n">
        <v>528000262</v>
      </c>
      <c r="C2220" s="13" t="inlineStr">
        <is>
          <t>Ndari Dwiwanti</t>
        </is>
      </c>
      <c r="D2220" s="13" t="inlineStr">
        <is>
          <t>PROD</t>
        </is>
      </c>
      <c r="E2220" s="13" t="inlineStr">
        <is>
          <t>Produksi Harian</t>
        </is>
      </c>
      <c r="F2220" s="48" t="n">
        <v>46089.90785879629</v>
      </c>
      <c r="G2220" s="13" t="inlineStr">
        <is>
          <t>FREE</t>
        </is>
      </c>
      <c r="H2220" s="170" t="n">
        <v>46120.25364583333</v>
      </c>
    </row>
    <row r="2221">
      <c r="A2221" s="13" t="inlineStr">
        <is>
          <t>MK00249</t>
        </is>
      </c>
      <c r="B2221" s="13" t="n">
        <v>528000291</v>
      </c>
      <c r="C2221" s="13" t="inlineStr">
        <is>
          <t>Andrian</t>
        </is>
      </c>
      <c r="D2221" s="13" t="inlineStr">
        <is>
          <t>PROD</t>
        </is>
      </c>
      <c r="E2221" s="13" t="inlineStr">
        <is>
          <t>Produksi Harian</t>
        </is>
      </c>
      <c r="F2221" s="48" t="n">
        <v>46089.91195601852</v>
      </c>
      <c r="G2221" s="13" t="inlineStr">
        <is>
          <t>FREE</t>
        </is>
      </c>
      <c r="H2221" s="170" t="n">
        <v>46120.25326388889</v>
      </c>
    </row>
    <row r="2222">
      <c r="A2222" s="13" t="inlineStr">
        <is>
          <t>MK00218</t>
        </is>
      </c>
      <c r="B2222" s="13" t="n">
        <v>528000283</v>
      </c>
      <c r="C2222" s="13" t="inlineStr">
        <is>
          <t>Purwanda Sugiri</t>
        </is>
      </c>
      <c r="D2222" s="13" t="inlineStr">
        <is>
          <t>LOG</t>
        </is>
      </c>
      <c r="E2222" s="13" t="inlineStr">
        <is>
          <t>WRM Harian</t>
        </is>
      </c>
      <c r="F2222" s="48" t="n">
        <v>46089.91232638889</v>
      </c>
      <c r="G2222" s="13" t="inlineStr">
        <is>
          <t>FREE</t>
        </is>
      </c>
      <c r="H2222" s="170" t="n">
        <v>46120.25357638889</v>
      </c>
    </row>
    <row r="2223">
      <c r="A2223" s="13" t="inlineStr">
        <is>
          <t>MK00208</t>
        </is>
      </c>
      <c r="B2223" s="13" t="n">
        <v>528000360</v>
      </c>
      <c r="C2223" s="13" t="inlineStr">
        <is>
          <t>Hendra Permana</t>
        </is>
      </c>
      <c r="D2223" s="13" t="inlineStr">
        <is>
          <t>ENG</t>
        </is>
      </c>
      <c r="E2223" s="13" t="inlineStr">
        <is>
          <t>Engineering Harian</t>
        </is>
      </c>
      <c r="F2223" s="48" t="n">
        <v>46089.91296296296</v>
      </c>
      <c r="G2223" s="13" t="inlineStr">
        <is>
          <t>FREE</t>
        </is>
      </c>
      <c r="H2223" s="170" t="n">
        <v>46120.2532175926</v>
      </c>
    </row>
    <row r="2224">
      <c r="A2224" s="13" t="inlineStr">
        <is>
          <t>MK00108</t>
        </is>
      </c>
      <c r="B2224" s="13" t="n">
        <v>528000282</v>
      </c>
      <c r="C2224" s="13" t="inlineStr">
        <is>
          <t>Defa Desfiana</t>
        </is>
      </c>
      <c r="D2224" s="13" t="inlineStr">
        <is>
          <t>PROD</t>
        </is>
      </c>
      <c r="E2224" s="13" t="inlineStr">
        <is>
          <t>Produksi Harian</t>
        </is>
      </c>
      <c r="F2224" s="48" t="n">
        <v>46120.23949074074</v>
      </c>
      <c r="G2224" s="13" t="inlineStr">
        <is>
          <t>FREE</t>
        </is>
      </c>
      <c r="H2224" s="170" t="n">
        <v>46120.59045138889</v>
      </c>
    </row>
    <row r="2225">
      <c r="A2225" s="13" t="inlineStr">
        <is>
          <t>MK00109</t>
        </is>
      </c>
      <c r="B2225" s="13" t="n">
        <v>628000064</v>
      </c>
      <c r="C2225" s="13" t="inlineStr">
        <is>
          <t>Silva Alypia</t>
        </is>
      </c>
      <c r="D2225" s="13" t="inlineStr">
        <is>
          <t>PROD</t>
        </is>
      </c>
      <c r="E2225" s="13" t="inlineStr">
        <is>
          <t>Produksi Borongan</t>
        </is>
      </c>
      <c r="F2225" s="48" t="n">
        <v>46120.24284722222</v>
      </c>
      <c r="G2225" s="13" t="inlineStr">
        <is>
          <t>FREE</t>
        </is>
      </c>
      <c r="H2225" s="170" t="n">
        <v>46120.58729166666</v>
      </c>
    </row>
    <row r="2226">
      <c r="A2226" s="13" t="inlineStr">
        <is>
          <t>MK00192</t>
        </is>
      </c>
      <c r="B2226" s="13" t="n">
        <v>528000265</v>
      </c>
      <c r="C2226" s="13" t="inlineStr">
        <is>
          <t>Muhammad Haerul Rozikin</t>
        </is>
      </c>
      <c r="D2226" s="13" t="inlineStr">
        <is>
          <t>LOG</t>
        </is>
      </c>
      <c r="E2226" s="13" t="inlineStr">
        <is>
          <t>WRM Harian</t>
        </is>
      </c>
      <c r="F2226" s="48" t="n">
        <v>46120.24780092593</v>
      </c>
      <c r="G2226" s="13" t="inlineStr">
        <is>
          <t>FREE</t>
        </is>
      </c>
      <c r="H2226" s="170" t="n">
        <v>46120.58626157408</v>
      </c>
    </row>
    <row r="2227">
      <c r="A2227" s="13" t="inlineStr">
        <is>
          <t>MK00250</t>
        </is>
      </c>
      <c r="B2227" s="13" t="n">
        <v>528000300</v>
      </c>
      <c r="C2227" s="13" t="inlineStr">
        <is>
          <t>Lia pitaloka</t>
        </is>
      </c>
      <c r="D2227" s="13" t="inlineStr">
        <is>
          <t>PROD</t>
        </is>
      </c>
      <c r="E2227" s="13" t="inlineStr">
        <is>
          <t>Produksi Harian</t>
        </is>
      </c>
      <c r="F2227" s="48" t="n">
        <v>46120.24854166667</v>
      </c>
      <c r="G2227" s="13" t="inlineStr">
        <is>
          <t>FREE</t>
        </is>
      </c>
      <c r="H2227" s="170" t="n">
        <v>46120.38652777778</v>
      </c>
    </row>
    <row r="2228">
      <c r="A2228" s="13" t="inlineStr">
        <is>
          <t>MK00145</t>
        </is>
      </c>
      <c r="B2228" s="13" t="n">
        <v>528000279</v>
      </c>
      <c r="C2228" s="13" t="inlineStr">
        <is>
          <t>Mahdalena Dalfa Riani</t>
        </is>
      </c>
      <c r="D2228" s="13" t="inlineStr">
        <is>
          <t>PROD</t>
        </is>
      </c>
      <c r="E2228" s="13" t="inlineStr">
        <is>
          <t>Produksi Harian</t>
        </is>
      </c>
      <c r="F2228" s="48" t="n">
        <v>46120.25013888889</v>
      </c>
      <c r="G2228" s="13" t="inlineStr">
        <is>
          <t>FREE</t>
        </is>
      </c>
      <c r="H2228" s="170" t="n">
        <v>46120.58790509259</v>
      </c>
    </row>
    <row r="2229">
      <c r="A2229" s="13" t="inlineStr">
        <is>
          <t>MK00095</t>
        </is>
      </c>
      <c r="B2229" s="13" t="n">
        <v>528000310</v>
      </c>
      <c r="C2229" s="13" t="inlineStr">
        <is>
          <t>Fachrul Rozzi Suryana</t>
        </is>
      </c>
      <c r="D2229" s="13" t="inlineStr">
        <is>
          <t>LOG</t>
        </is>
      </c>
      <c r="E2229" s="13" t="inlineStr">
        <is>
          <t>WRM Harian</t>
        </is>
      </c>
      <c r="F2229" s="48" t="n">
        <v>46120.25178240741</v>
      </c>
      <c r="G2229" s="13" t="inlineStr">
        <is>
          <t>FREE</t>
        </is>
      </c>
      <c r="H2229" s="170" t="n">
        <v>46120.58614583333</v>
      </c>
    </row>
    <row r="2230">
      <c r="A2230" s="13" t="inlineStr">
        <is>
          <t>MK00218</t>
        </is>
      </c>
      <c r="B2230" s="13" t="n">
        <v>528000351</v>
      </c>
      <c r="C2230" s="13" t="inlineStr">
        <is>
          <t>Mulyana</t>
        </is>
      </c>
      <c r="D2230" s="13" t="inlineStr">
        <is>
          <t>PROD</t>
        </is>
      </c>
      <c r="E2230" s="13" t="inlineStr">
        <is>
          <t>Produksi Harian</t>
        </is>
      </c>
      <c r="F2230" s="48" t="n">
        <v>46120.32978009259</v>
      </c>
      <c r="G2230" s="13" t="inlineStr">
        <is>
          <t>FREE</t>
        </is>
      </c>
      <c r="H2230" s="170" t="n">
        <v>46120.66719907407</v>
      </c>
    </row>
    <row r="2231">
      <c r="A2231" s="13" t="inlineStr">
        <is>
          <t>MK00093</t>
        </is>
      </c>
      <c r="B2231" s="13" t="n">
        <v>528000267</v>
      </c>
      <c r="C2231" s="13" t="inlineStr">
        <is>
          <t>Bagas Patulloh</t>
        </is>
      </c>
      <c r="D2231" s="13" t="inlineStr">
        <is>
          <t>LOG</t>
        </is>
      </c>
      <c r="E2231" s="13" t="inlineStr">
        <is>
          <t>WRM Harian</t>
        </is>
      </c>
      <c r="F2231" s="48" t="n">
        <v>46120.33372685185</v>
      </c>
      <c r="G2231" s="13" t="inlineStr">
        <is>
          <t>FREE</t>
        </is>
      </c>
      <c r="H2231" s="170" t="n">
        <v>46120.71777777778</v>
      </c>
    </row>
    <row r="2232">
      <c r="A2232" s="13" t="inlineStr">
        <is>
          <t>MK00141</t>
        </is>
      </c>
      <c r="B2232" s="13" t="n">
        <v>528000040</v>
      </c>
      <c r="C2232" s="13" t="inlineStr">
        <is>
          <t>Agus Suryaman</t>
        </is>
      </c>
      <c r="D2232" s="13" t="inlineStr">
        <is>
          <t>PROD</t>
        </is>
      </c>
      <c r="E2232" s="13" t="inlineStr">
        <is>
          <t>Produksi Harian</t>
        </is>
      </c>
      <c r="F2232" s="48" t="n">
        <v>46120.34798611111</v>
      </c>
      <c r="G2232" s="13" t="inlineStr">
        <is>
          <t>FREE</t>
        </is>
      </c>
      <c r="H2232" s="170" t="n">
        <v>46120.71178240741</v>
      </c>
    </row>
    <row r="2233">
      <c r="A2233" s="13" t="inlineStr">
        <is>
          <t>MK00205</t>
        </is>
      </c>
      <c r="B2233" s="13" t="n">
        <v>528000348</v>
      </c>
      <c r="C2233" s="13" t="inlineStr">
        <is>
          <t>Saepuloh Ardiansah</t>
        </is>
      </c>
      <c r="D2233" s="13" t="inlineStr">
        <is>
          <t>LOG</t>
        </is>
      </c>
      <c r="E2233" s="13" t="inlineStr">
        <is>
          <t>WRM Harian</t>
        </is>
      </c>
      <c r="F2233" s="48" t="n">
        <v>46120.35311342592</v>
      </c>
      <c r="G2233" s="13" t="inlineStr">
        <is>
          <t>FREE</t>
        </is>
      </c>
      <c r="H2233" s="170" t="n">
        <v>46120.35363425926</v>
      </c>
    </row>
    <row r="2234">
      <c r="A2234" s="13" t="inlineStr">
        <is>
          <t>MK00205</t>
        </is>
      </c>
      <c r="B2234" s="13" t="n">
        <v>528000348</v>
      </c>
      <c r="C2234" s="13" t="inlineStr">
        <is>
          <t>Saepuloh Ardiansah</t>
        </is>
      </c>
      <c r="D2234" s="13" t="inlineStr">
        <is>
          <t>LOG</t>
        </is>
      </c>
      <c r="E2234" s="13" t="inlineStr">
        <is>
          <t>WRM Harian</t>
        </is>
      </c>
      <c r="F2234" s="48" t="n">
        <v>46120.35398148148</v>
      </c>
      <c r="G2234" s="13" t="inlineStr">
        <is>
          <t>FREE</t>
        </is>
      </c>
      <c r="H2234" s="170" t="n">
        <v>46120.81770833334</v>
      </c>
    </row>
    <row r="2235">
      <c r="A2235" s="13" t="inlineStr">
        <is>
          <t>MK00150</t>
        </is>
      </c>
      <c r="B2235" s="13" t="n">
        <v>528000232</v>
      </c>
      <c r="C2235" s="13" t="inlineStr">
        <is>
          <t>Agung Aji Suhada</t>
        </is>
      </c>
      <c r="D2235" s="13" t="inlineStr">
        <is>
          <t>LOG</t>
        </is>
      </c>
      <c r="E2235" s="13" t="inlineStr">
        <is>
          <t>WRM Harian</t>
        </is>
      </c>
      <c r="F2235" s="48" t="n">
        <v>46120.3602662037</v>
      </c>
      <c r="G2235" s="13" t="inlineStr">
        <is>
          <t>FREE</t>
        </is>
      </c>
      <c r="H2235" s="170" t="n">
        <v>46150.36771990741</v>
      </c>
    </row>
    <row r="2236">
      <c r="A2236" s="13" t="inlineStr">
        <is>
          <t>MK00213</t>
        </is>
      </c>
      <c r="B2236" s="13" t="n">
        <v>528000349</v>
      </c>
      <c r="C2236" s="13" t="inlineStr">
        <is>
          <t>Anas Abdul Fatah</t>
        </is>
      </c>
      <c r="D2236" s="13" t="inlineStr">
        <is>
          <t>LOG</t>
        </is>
      </c>
      <c r="E2236" s="13" t="inlineStr">
        <is>
          <t>WFG Harian</t>
        </is>
      </c>
      <c r="F2236" s="48" t="n">
        <v>46120.40494212963</v>
      </c>
      <c r="G2236" s="13" t="inlineStr">
        <is>
          <t>FREE</t>
        </is>
      </c>
      <c r="H2236" s="170" t="n">
        <v>46120.75820601852</v>
      </c>
    </row>
    <row r="2237">
      <c r="A2237" s="13" t="inlineStr">
        <is>
          <t>MK00250</t>
        </is>
      </c>
      <c r="B2237" s="13" t="n">
        <v>528000288</v>
      </c>
      <c r="C2237" s="13" t="inlineStr">
        <is>
          <t>Dede gunawan</t>
        </is>
      </c>
      <c r="D2237" s="13" t="inlineStr">
        <is>
          <t>PROD</t>
        </is>
      </c>
      <c r="E2237" s="13" t="inlineStr">
        <is>
          <t>Produksi Harian</t>
        </is>
      </c>
      <c r="F2237" s="48" t="n">
        <v>46120.40819444445</v>
      </c>
      <c r="G2237" s="13" t="inlineStr">
        <is>
          <t>FREE</t>
        </is>
      </c>
      <c r="H2237" s="170" t="n">
        <v>46150.57902777778</v>
      </c>
    </row>
    <row r="2238">
      <c r="A2238" s="13" t="inlineStr">
        <is>
          <t>MK00208</t>
        </is>
      </c>
      <c r="B2238" s="13" t="n">
        <v>528000339</v>
      </c>
      <c r="C2238" s="13" t="inlineStr">
        <is>
          <t>Muhamad Ripai'i</t>
        </is>
      </c>
      <c r="D2238" s="13" t="inlineStr">
        <is>
          <t>HRGA</t>
        </is>
      </c>
      <c r="E2238" s="13" t="inlineStr">
        <is>
          <t>GA Harian</t>
        </is>
      </c>
      <c r="F2238" s="48" t="n">
        <v>46120.550625</v>
      </c>
      <c r="G2238" s="13" t="inlineStr">
        <is>
          <t>FREE</t>
        </is>
      </c>
      <c r="H2238" s="170" t="n">
        <v>46120.94680555556</v>
      </c>
    </row>
    <row r="2239">
      <c r="A2239" s="13" t="inlineStr">
        <is>
          <t>MK00136</t>
        </is>
      </c>
      <c r="B2239" s="13" t="n">
        <v>528000201</v>
      </c>
      <c r="C2239" s="13" t="inlineStr">
        <is>
          <t>Zahwa Amelia Choerunissa</t>
        </is>
      </c>
      <c r="D2239" s="13" t="inlineStr">
        <is>
          <t>PROD</t>
        </is>
      </c>
      <c r="E2239" s="13" t="inlineStr">
        <is>
          <t>Produksi Harian</t>
        </is>
      </c>
      <c r="F2239" s="48" t="n">
        <v>46120.56916666667</v>
      </c>
      <c r="G2239" s="13" t="inlineStr">
        <is>
          <t>FREE</t>
        </is>
      </c>
      <c r="H2239" s="170" t="n">
        <v>46120.91837962963</v>
      </c>
    </row>
    <row r="2240">
      <c r="A2240" s="13" t="inlineStr">
        <is>
          <t>MK00143</t>
        </is>
      </c>
      <c r="B2240" s="13" t="n">
        <v>528000286</v>
      </c>
      <c r="C2240" s="13" t="inlineStr">
        <is>
          <t>Imelda Amelia</t>
        </is>
      </c>
      <c r="D2240" s="13" t="inlineStr">
        <is>
          <t>PROD</t>
        </is>
      </c>
      <c r="E2240" s="13" t="inlineStr">
        <is>
          <t>Produksi Harian</t>
        </is>
      </c>
      <c r="F2240" s="48" t="n">
        <v>46120.56978009259</v>
      </c>
      <c r="G2240" s="13" t="inlineStr">
        <is>
          <t>FREE</t>
        </is>
      </c>
      <c r="H2240" s="170" t="n">
        <v>46120.92082175926</v>
      </c>
    </row>
    <row r="2241">
      <c r="A2241" s="13" t="inlineStr">
        <is>
          <t>MK00212</t>
        </is>
      </c>
      <c r="B2241" s="13" t="n">
        <v>528000228</v>
      </c>
      <c r="C2241" s="13" t="inlineStr">
        <is>
          <t>Banyu Resmi Putri</t>
        </is>
      </c>
      <c r="D2241" s="13" t="inlineStr">
        <is>
          <t>PROD</t>
        </is>
      </c>
      <c r="E2241" s="13" t="inlineStr">
        <is>
          <t>Produksi Harian</t>
        </is>
      </c>
      <c r="F2241" s="48" t="n">
        <v>46120.57045138889</v>
      </c>
      <c r="G2241" s="13" t="inlineStr">
        <is>
          <t>FREE</t>
        </is>
      </c>
      <c r="H2241" s="170" t="n">
        <v>46120.91928240741</v>
      </c>
    </row>
    <row r="2242">
      <c r="A2242" s="13" t="inlineStr">
        <is>
          <t>MK00186</t>
        </is>
      </c>
      <c r="B2242" s="13" t="n">
        <v>528000289</v>
      </c>
      <c r="C2242" s="13" t="inlineStr">
        <is>
          <t>Adit Supriyadi</t>
        </is>
      </c>
      <c r="D2242" s="13" t="inlineStr">
        <is>
          <t>PROD</t>
        </is>
      </c>
      <c r="E2242" s="13" t="inlineStr">
        <is>
          <t>Produksi Harian</t>
        </is>
      </c>
      <c r="F2242" s="48" t="n">
        <v>46120.57675925926</v>
      </c>
      <c r="G2242" s="13" t="inlineStr">
        <is>
          <t>FREE</t>
        </is>
      </c>
      <c r="H2242" s="170" t="n">
        <v>46120.91891203704</v>
      </c>
    </row>
    <row r="2243">
      <c r="A2243" s="13" t="inlineStr">
        <is>
          <t>MK00085</t>
        </is>
      </c>
      <c r="B2243" s="13" t="n">
        <v>528000273</v>
      </c>
      <c r="C2243" s="13" t="inlineStr">
        <is>
          <t>Asep Mulyana</t>
        </is>
      </c>
      <c r="D2243" s="13" t="inlineStr">
        <is>
          <t>PROD</t>
        </is>
      </c>
      <c r="E2243" s="13" t="inlineStr">
        <is>
          <t>Produksi Harian</t>
        </is>
      </c>
      <c r="F2243" s="48" t="n">
        <v>46120.57805555555</v>
      </c>
      <c r="G2243" s="13" t="inlineStr">
        <is>
          <t>FREE</t>
        </is>
      </c>
      <c r="H2243" s="170" t="n">
        <v>46120.91709490741</v>
      </c>
    </row>
    <row r="2244">
      <c r="A2244" s="13" t="inlineStr">
        <is>
          <t>MK00184</t>
        </is>
      </c>
      <c r="B2244" s="13" t="n">
        <v>528000090</v>
      </c>
      <c r="C2244" s="13" t="inlineStr">
        <is>
          <t>Suganda</t>
        </is>
      </c>
      <c r="D2244" s="13" t="inlineStr">
        <is>
          <t>PROD</t>
        </is>
      </c>
      <c r="E2244" s="13" t="inlineStr">
        <is>
          <t>Produksi Harian</t>
        </is>
      </c>
      <c r="F2244" s="48" t="n">
        <v>46120.57980324074</v>
      </c>
      <c r="G2244" s="13" t="inlineStr">
        <is>
          <t>FREE</t>
        </is>
      </c>
      <c r="H2244" s="170" t="n">
        <v>46120.92092592592</v>
      </c>
    </row>
    <row r="2245">
      <c r="A2245" s="13" t="inlineStr">
        <is>
          <t>MK00008</t>
        </is>
      </c>
      <c r="B2245" s="13" t="n">
        <v>528000359</v>
      </c>
      <c r="C2245" s="13" t="inlineStr">
        <is>
          <t>M. Iqbal Maulana. S</t>
        </is>
      </c>
      <c r="D2245" s="13" t="inlineStr">
        <is>
          <t>LOG</t>
        </is>
      </c>
      <c r="E2245" s="13" t="inlineStr">
        <is>
          <t>WRM Harian</t>
        </is>
      </c>
      <c r="F2245" s="48" t="n">
        <v>46120.58012731482</v>
      </c>
      <c r="G2245" s="13" t="inlineStr">
        <is>
          <t>FREE</t>
        </is>
      </c>
      <c r="H2245" s="170" t="n">
        <v>46120.92010416667</v>
      </c>
    </row>
    <row r="2246">
      <c r="A2246" s="13" t="inlineStr">
        <is>
          <t>MK00181</t>
        </is>
      </c>
      <c r="B2246" s="13" t="n">
        <v>528000290</v>
      </c>
      <c r="C2246" s="13" t="inlineStr">
        <is>
          <t>Eval Pranata</t>
        </is>
      </c>
      <c r="D2246" s="13" t="inlineStr">
        <is>
          <t>PROD</t>
        </is>
      </c>
      <c r="E2246" s="13" t="inlineStr">
        <is>
          <t>Produksi Harian</t>
        </is>
      </c>
      <c r="F2246" s="48" t="n">
        <v>46120.58283564815</v>
      </c>
      <c r="G2246" s="13" t="inlineStr">
        <is>
          <t>FREE</t>
        </is>
      </c>
      <c r="H2246" s="170" t="n">
        <v>46120.92077546296</v>
      </c>
    </row>
    <row r="2247">
      <c r="A2247" s="13" t="inlineStr">
        <is>
          <t>MK00154</t>
        </is>
      </c>
      <c r="B2247" s="13" t="n">
        <v>528000212</v>
      </c>
      <c r="C2247" s="13" t="inlineStr">
        <is>
          <t>Rizal Fauzi</t>
        </is>
      </c>
      <c r="D2247" s="13" t="inlineStr">
        <is>
          <t>PROD</t>
        </is>
      </c>
      <c r="E2247" s="13" t="inlineStr">
        <is>
          <t>Produksi Harian</t>
        </is>
      </c>
      <c r="F2247" s="48" t="n">
        <v>46120.58340277777</v>
      </c>
      <c r="G2247" s="13" t="inlineStr">
        <is>
          <t>FREE</t>
        </is>
      </c>
      <c r="H2247" s="170" t="n">
        <v>46150.5825462963</v>
      </c>
    </row>
    <row r="2248">
      <c r="A2248" s="13" t="inlineStr">
        <is>
          <t>MK00221</t>
        </is>
      </c>
      <c r="B2248" s="13" t="n">
        <v>528000144</v>
      </c>
      <c r="C2248" s="13" t="inlineStr">
        <is>
          <t>Jodi Hanafi</t>
        </is>
      </c>
      <c r="D2248" s="13" t="inlineStr">
        <is>
          <t>LOG</t>
        </is>
      </c>
      <c r="E2248" s="13" t="inlineStr">
        <is>
          <t>WRM Harian</t>
        </is>
      </c>
      <c r="F2248" s="48" t="n">
        <v>46120.65372685185</v>
      </c>
      <c r="G2248" s="13" t="inlineStr">
        <is>
          <t>FREE</t>
        </is>
      </c>
      <c r="H2248" s="170" t="n">
        <v>46150.0109837963</v>
      </c>
    </row>
    <row r="2249">
      <c r="A2249" s="13" t="inlineStr">
        <is>
          <t>MK00204</t>
        </is>
      </c>
      <c r="B2249" s="13" t="n">
        <v>528000335</v>
      </c>
      <c r="C2249" s="13" t="inlineStr">
        <is>
          <t>Rizal Saepuloh</t>
        </is>
      </c>
      <c r="D2249" s="13" t="inlineStr">
        <is>
          <t>LOG</t>
        </is>
      </c>
      <c r="E2249" s="13" t="inlineStr">
        <is>
          <t>WRM Harian</t>
        </is>
      </c>
      <c r="F2249" s="48" t="n">
        <v>46120.66945601852</v>
      </c>
      <c r="G2249" s="13" t="inlineStr">
        <is>
          <t>FREE</t>
        </is>
      </c>
      <c r="H2249" s="170" t="n">
        <v>46150.00060185185</v>
      </c>
    </row>
    <row r="2250">
      <c r="A2250" s="13" t="inlineStr">
        <is>
          <t>MK00220</t>
        </is>
      </c>
      <c r="B2250" s="13" t="n">
        <v>528000340</v>
      </c>
      <c r="C2250" s="13" t="inlineStr">
        <is>
          <t>Muhammad Wildan Adithya</t>
        </is>
      </c>
      <c r="D2250" s="13" t="inlineStr">
        <is>
          <t>PROD</t>
        </is>
      </c>
      <c r="E2250" s="13" t="inlineStr">
        <is>
          <t>Produksi Harian</t>
        </is>
      </c>
      <c r="F2250" s="48" t="n">
        <v>46120.87709490741</v>
      </c>
      <c r="G2250" s="13" t="inlineStr">
        <is>
          <t>FREE</t>
        </is>
      </c>
      <c r="H2250" s="170" t="n">
        <v>46150.25649305555</v>
      </c>
    </row>
    <row r="2251">
      <c r="A2251" s="13" t="inlineStr">
        <is>
          <t>MK00109</t>
        </is>
      </c>
      <c r="B2251" s="13" t="n">
        <v>528000361</v>
      </c>
      <c r="C2251" s="13" t="inlineStr">
        <is>
          <t>Denada Munggarani</t>
        </is>
      </c>
      <c r="D2251" s="13" t="inlineStr">
        <is>
          <t>PROD</t>
        </is>
      </c>
      <c r="E2251" s="13" t="inlineStr">
        <is>
          <t>Produksi Harian</t>
        </is>
      </c>
      <c r="F2251" s="48" t="n">
        <v>46120.89591435185</v>
      </c>
      <c r="G2251" s="13" t="inlineStr">
        <is>
          <t>FREE</t>
        </is>
      </c>
      <c r="H2251" s="170" t="n">
        <v>46150.25386574074</v>
      </c>
    </row>
    <row r="2252">
      <c r="A2252" s="13" t="inlineStr">
        <is>
          <t>MK00145</t>
        </is>
      </c>
      <c r="B2252" s="13" t="n">
        <v>528000309</v>
      </c>
      <c r="C2252" s="13" t="inlineStr">
        <is>
          <t>Ilham Ramadhan</t>
        </is>
      </c>
      <c r="D2252" s="13" t="inlineStr">
        <is>
          <t>LOG</t>
        </is>
      </c>
      <c r="E2252" s="13" t="inlineStr">
        <is>
          <t>WRM Harian</t>
        </is>
      </c>
      <c r="F2252" s="48" t="n">
        <v>46120.8978587963</v>
      </c>
      <c r="G2252" s="13" t="inlineStr">
        <is>
          <t>FREE</t>
        </is>
      </c>
      <c r="H2252" s="170" t="n">
        <v>46120.90296296297</v>
      </c>
    </row>
    <row r="2253">
      <c r="A2253" s="13" t="inlineStr">
        <is>
          <t>MK00138</t>
        </is>
      </c>
      <c r="B2253" s="13" t="n">
        <v>628000091</v>
      </c>
      <c r="C2253" s="13" t="inlineStr">
        <is>
          <t>Devita Handayani</t>
        </is>
      </c>
      <c r="D2253" s="13" t="inlineStr">
        <is>
          <t>PROD</t>
        </is>
      </c>
      <c r="E2253" s="13" t="inlineStr">
        <is>
          <t>Produksi Borongan</t>
        </is>
      </c>
      <c r="F2253" s="48" t="n">
        <v>46120.89842592592</v>
      </c>
      <c r="G2253" s="13" t="inlineStr">
        <is>
          <t>FREE</t>
        </is>
      </c>
      <c r="H2253" s="170" t="n">
        <v>46150.25733796296</v>
      </c>
    </row>
    <row r="2254">
      <c r="A2254" s="13" t="inlineStr">
        <is>
          <t>MK00108</t>
        </is>
      </c>
      <c r="B2254" s="13" t="n">
        <v>528000305</v>
      </c>
      <c r="C2254" s="13" t="inlineStr">
        <is>
          <t>Puji Puspita</t>
        </is>
      </c>
      <c r="D2254" s="13" t="inlineStr">
        <is>
          <t>PROD</t>
        </is>
      </c>
      <c r="E2254" s="13" t="inlineStr">
        <is>
          <t>Produksi Harian</t>
        </is>
      </c>
      <c r="F2254" s="48" t="n">
        <v>46120.89890046296</v>
      </c>
      <c r="G2254" s="13" t="inlineStr">
        <is>
          <t>FREE</t>
        </is>
      </c>
      <c r="H2254" s="170" t="n">
        <v>46150.25392361111</v>
      </c>
    </row>
    <row r="2255">
      <c r="A2255" s="13" t="inlineStr">
        <is>
          <t>MK00230</t>
        </is>
      </c>
      <c r="B2255" s="13" t="n">
        <v>528000318</v>
      </c>
      <c r="C2255" s="13" t="inlineStr">
        <is>
          <t>Bayu Padli Sepriyana</t>
        </is>
      </c>
      <c r="D2255" s="13" t="inlineStr">
        <is>
          <t>LOG</t>
        </is>
      </c>
      <c r="E2255" s="13" t="inlineStr">
        <is>
          <t>WRM Harian</t>
        </is>
      </c>
      <c r="F2255" s="48" t="n">
        <v>46120.90195601852</v>
      </c>
      <c r="G2255" s="13" t="inlineStr">
        <is>
          <t>FREE</t>
        </is>
      </c>
      <c r="H2255" s="170" t="n">
        <v>46150.25472222222</v>
      </c>
    </row>
    <row r="2256">
      <c r="A2256" s="13" t="inlineStr">
        <is>
          <t>MK00156</t>
        </is>
      </c>
      <c r="B2256" s="13" t="n">
        <v>528000309</v>
      </c>
      <c r="C2256" s="13" t="inlineStr">
        <is>
          <t>Ilham Ramadhan</t>
        </is>
      </c>
      <c r="D2256" s="13" t="inlineStr">
        <is>
          <t>LOG</t>
        </is>
      </c>
      <c r="E2256" s="13" t="inlineStr">
        <is>
          <t>WRM Harian</t>
        </is>
      </c>
      <c r="F2256" s="48" t="n">
        <v>46120.90363425926</v>
      </c>
      <c r="G2256" s="13" t="inlineStr">
        <is>
          <t>FREE</t>
        </is>
      </c>
      <c r="H2256" s="170" t="n">
        <v>46150.25435185185</v>
      </c>
    </row>
    <row r="2257">
      <c r="A2257" s="13" t="inlineStr">
        <is>
          <t>MK00213</t>
        </is>
      </c>
      <c r="B2257" s="13" t="n">
        <v>528000015</v>
      </c>
      <c r="C2257" s="13" t="inlineStr">
        <is>
          <t>Erwin</t>
        </is>
      </c>
      <c r="D2257" s="13" t="inlineStr">
        <is>
          <t>LOG</t>
        </is>
      </c>
      <c r="E2257" s="13" t="inlineStr">
        <is>
          <t>WRM Harian</t>
        </is>
      </c>
      <c r="F2257" s="48" t="n">
        <v>46120.90387731481</v>
      </c>
      <c r="G2257" s="13" t="inlineStr">
        <is>
          <t>FREE</t>
        </is>
      </c>
      <c r="H2257" s="170" t="n">
        <v>46150.32796296296</v>
      </c>
    </row>
    <row r="2258">
      <c r="A2258" s="13" t="inlineStr">
        <is>
          <t>MK00209</t>
        </is>
      </c>
      <c r="B2258" s="13" t="n">
        <v>528000299</v>
      </c>
      <c r="C2258" s="13" t="inlineStr">
        <is>
          <t>Siti Nurjanah</t>
        </is>
      </c>
      <c r="D2258" s="13" t="inlineStr">
        <is>
          <t>PROD</t>
        </is>
      </c>
      <c r="E2258" s="13" t="inlineStr">
        <is>
          <t>Produksi Harian</t>
        </is>
      </c>
      <c r="F2258" s="48" t="n">
        <v>46120.90457175926</v>
      </c>
      <c r="G2258" s="13" t="inlineStr">
        <is>
          <t>FREE</t>
        </is>
      </c>
      <c r="H2258" s="170" t="n">
        <v>46150.25822916667</v>
      </c>
    </row>
    <row r="2259">
      <c r="A2259" s="13" t="inlineStr">
        <is>
          <t>MK00235</t>
        </is>
      </c>
      <c r="B2259" s="13" t="n">
        <v>528000298</v>
      </c>
      <c r="C2259" s="13" t="inlineStr">
        <is>
          <t>Desta Cahaya Pratama</t>
        </is>
      </c>
      <c r="D2259" s="13" t="inlineStr">
        <is>
          <t>PROD</t>
        </is>
      </c>
      <c r="E2259" s="13" t="inlineStr">
        <is>
          <t>Produksi Harian</t>
        </is>
      </c>
      <c r="F2259" s="48" t="n">
        <v>46120.90502314815</v>
      </c>
      <c r="G2259" s="13" t="inlineStr">
        <is>
          <t>FREE</t>
        </is>
      </c>
      <c r="H2259" s="170" t="n">
        <v>46150.25592592593</v>
      </c>
    </row>
    <row r="2260">
      <c r="A2260" s="13" t="inlineStr">
        <is>
          <t>MK00185</t>
        </is>
      </c>
      <c r="B2260" s="13" t="n">
        <v>528000313</v>
      </c>
      <c r="C2260" s="13" t="inlineStr">
        <is>
          <t>Muhamad Rifki</t>
        </is>
      </c>
      <c r="D2260" s="13" t="inlineStr">
        <is>
          <t>PROD</t>
        </is>
      </c>
      <c r="E2260" s="13" t="inlineStr">
        <is>
          <t>Produksi Harian</t>
        </is>
      </c>
      <c r="F2260" s="48" t="n">
        <v>46120.90645833333</v>
      </c>
      <c r="G2260" s="13" t="inlineStr">
        <is>
          <t>FREE</t>
        </is>
      </c>
      <c r="H2260" s="170" t="n">
        <v>46150.25434027778</v>
      </c>
    </row>
    <row r="2261">
      <c r="A2261" s="13" t="inlineStr">
        <is>
          <t>MK00095</t>
        </is>
      </c>
      <c r="B2261" s="13" t="n">
        <v>528000302</v>
      </c>
      <c r="C2261" s="13" t="inlineStr">
        <is>
          <t>Henkey gumilar</t>
        </is>
      </c>
      <c r="D2261" s="13" t="inlineStr">
        <is>
          <t>PROD</t>
        </is>
      </c>
      <c r="E2261" s="13" t="inlineStr">
        <is>
          <t>Produksi Harian</t>
        </is>
      </c>
      <c r="F2261" s="48" t="n">
        <v>46120.91484953704</v>
      </c>
      <c r="G2261" s="13" t="inlineStr">
        <is>
          <t>FREE</t>
        </is>
      </c>
      <c r="H2261" s="170" t="n">
        <v>46150.1259375</v>
      </c>
    </row>
    <row r="2262">
      <c r="A2262" s="13" t="inlineStr">
        <is>
          <t>MK00095</t>
        </is>
      </c>
      <c r="B2262" s="13" t="n">
        <v>528000302</v>
      </c>
      <c r="C2262" s="13" t="inlineStr">
        <is>
          <t>Henkey gumilar</t>
        </is>
      </c>
      <c r="D2262" s="13" t="inlineStr">
        <is>
          <t>PROD</t>
        </is>
      </c>
      <c r="E2262" s="13" t="inlineStr">
        <is>
          <t>Produksi Harian</t>
        </is>
      </c>
      <c r="F2262" s="48" t="n">
        <v>46150.12743055556</v>
      </c>
      <c r="G2262" s="13" t="inlineStr">
        <is>
          <t>FREE</t>
        </is>
      </c>
      <c r="H2262" s="170" t="n">
        <v>46150.25528935185</v>
      </c>
    </row>
    <row r="2263">
      <c r="A2263" s="13" t="inlineStr">
        <is>
          <t>MK000145</t>
        </is>
      </c>
      <c r="B2263" s="13" t="n">
        <v>528000306</v>
      </c>
      <c r="C2263" s="13" t="inlineStr">
        <is>
          <t>Windy Olivia</t>
        </is>
      </c>
      <c r="D2263" s="13" t="inlineStr">
        <is>
          <t>PROD</t>
        </is>
      </c>
      <c r="E2263" s="13" t="inlineStr">
        <is>
          <t>Produksi Harian</t>
        </is>
      </c>
      <c r="F2263" s="48" t="n">
        <v>46150.23836805556</v>
      </c>
      <c r="G2263" s="13" t="inlineStr">
        <is>
          <t>FREE</t>
        </is>
      </c>
      <c r="H2263" s="170" t="n">
        <v>46150.5874537037</v>
      </c>
    </row>
    <row r="2264">
      <c r="A2264" s="13" t="inlineStr">
        <is>
          <t>MK00143</t>
        </is>
      </c>
      <c r="B2264" s="13" t="n">
        <v>528000300</v>
      </c>
      <c r="C2264" s="13" t="inlineStr">
        <is>
          <t>Lia pitaloka</t>
        </is>
      </c>
      <c r="D2264" s="13" t="inlineStr">
        <is>
          <t>PROD</t>
        </is>
      </c>
      <c r="E2264" s="13" t="inlineStr">
        <is>
          <t>Produksi Harian</t>
        </is>
      </c>
      <c r="F2264" s="48" t="n">
        <v>46150.24366898148</v>
      </c>
      <c r="G2264" s="13" t="inlineStr">
        <is>
          <t>FREE</t>
        </is>
      </c>
      <c r="H2264" s="170" t="n">
        <v>46150.5894212963</v>
      </c>
    </row>
    <row r="2265">
      <c r="A2265" s="13" t="inlineStr">
        <is>
          <t>MK00184</t>
        </is>
      </c>
      <c r="B2265" s="13" t="n">
        <v>628000064</v>
      </c>
      <c r="C2265" s="13" t="inlineStr">
        <is>
          <t>Silva Alypia</t>
        </is>
      </c>
      <c r="D2265" s="13" t="inlineStr">
        <is>
          <t>PROD</t>
        </is>
      </c>
      <c r="E2265" s="13" t="inlineStr">
        <is>
          <t>Produksi Borongan</t>
        </is>
      </c>
      <c r="F2265" s="48" t="n">
        <v>46150.24373842592</v>
      </c>
      <c r="G2265" s="13" t="inlineStr">
        <is>
          <t>FREE</t>
        </is>
      </c>
      <c r="H2265" s="170" t="n">
        <v>46150.58868055556</v>
      </c>
    </row>
    <row r="2266">
      <c r="A2266" s="13" t="inlineStr">
        <is>
          <t>MK00181</t>
        </is>
      </c>
      <c r="B2266" s="13" t="n">
        <v>528000279</v>
      </c>
      <c r="C2266" s="13" t="inlineStr">
        <is>
          <t>Mahdalena Dalfa Riani</t>
        </is>
      </c>
      <c r="D2266" s="13" t="inlineStr">
        <is>
          <t>PROD</t>
        </is>
      </c>
      <c r="E2266" s="13" t="inlineStr">
        <is>
          <t>Produksi Harian</t>
        </is>
      </c>
      <c r="F2266" s="48" t="n">
        <v>46150.24722222222</v>
      </c>
      <c r="G2266" s="13" t="inlineStr">
        <is>
          <t>FREE</t>
        </is>
      </c>
      <c r="H2266" s="170" t="n">
        <v>46150.58655092592</v>
      </c>
    </row>
    <row r="2267">
      <c r="A2267" s="13" t="inlineStr">
        <is>
          <t>MK00220</t>
        </is>
      </c>
      <c r="B2267" s="13" t="n">
        <v>528000340</v>
      </c>
      <c r="C2267" s="13" t="inlineStr">
        <is>
          <t>Muhammad Wildan Adithya</t>
        </is>
      </c>
      <c r="D2267" s="13" t="inlineStr">
        <is>
          <t>PROD</t>
        </is>
      </c>
      <c r="E2267" s="13" t="inlineStr">
        <is>
          <t>Produksi Harian</t>
        </is>
      </c>
      <c r="F2267" s="48" t="n">
        <v>46150.258125</v>
      </c>
      <c r="G2267" s="13" t="inlineStr">
        <is>
          <t>FREE</t>
        </is>
      </c>
      <c r="H2267" s="170" t="n">
        <v>46150.25869212963</v>
      </c>
    </row>
    <row r="2268">
      <c r="A2268" s="13" t="inlineStr">
        <is>
          <t>MK00220</t>
        </is>
      </c>
      <c r="B2268" s="13" t="n">
        <v>528000282</v>
      </c>
      <c r="C2268" s="13" t="inlineStr">
        <is>
          <t>Defa Desfiana</t>
        </is>
      </c>
      <c r="D2268" s="13" t="inlineStr">
        <is>
          <t>PROD</t>
        </is>
      </c>
      <c r="E2268" s="13" t="inlineStr">
        <is>
          <t>Produksi Harian</t>
        </is>
      </c>
      <c r="F2268" s="48" t="n">
        <v>46150.32195601852</v>
      </c>
      <c r="G2268" s="13" t="inlineStr">
        <is>
          <t>FREE</t>
        </is>
      </c>
      <c r="H2268" s="170" t="n">
        <v>46150.67893518518</v>
      </c>
    </row>
    <row r="2269">
      <c r="A2269" s="13" t="inlineStr">
        <is>
          <t>MK00108</t>
        </is>
      </c>
      <c r="B2269" s="13" t="n">
        <v>528000265</v>
      </c>
      <c r="C2269" s="13" t="inlineStr">
        <is>
          <t>Muhammad Haerul Rozikin</t>
        </is>
      </c>
      <c r="D2269" s="13" t="inlineStr">
        <is>
          <t>LOG</t>
        </is>
      </c>
      <c r="E2269" s="13" t="inlineStr">
        <is>
          <t>WRM Harian</t>
        </is>
      </c>
      <c r="F2269" s="48" t="n">
        <v>46150.32357638889</v>
      </c>
      <c r="G2269" s="13" t="inlineStr">
        <is>
          <t>FREE</t>
        </is>
      </c>
      <c r="H2269" s="170" t="n">
        <v>46150.67018518518</v>
      </c>
    </row>
    <row r="2270">
      <c r="A2270" s="13" t="inlineStr">
        <is>
          <t>MK00138</t>
        </is>
      </c>
      <c r="B2270" s="13" t="n">
        <v>528000351</v>
      </c>
      <c r="C2270" s="13" t="inlineStr">
        <is>
          <t>Mulyana</t>
        </is>
      </c>
      <c r="D2270" s="13" t="inlineStr">
        <is>
          <t>PROD</t>
        </is>
      </c>
      <c r="E2270" s="13" t="inlineStr">
        <is>
          <t>Produksi Harian</t>
        </is>
      </c>
      <c r="F2270" s="48" t="n">
        <v>46150.3317824074</v>
      </c>
      <c r="G2270" s="13" t="inlineStr">
        <is>
          <t>FREE</t>
        </is>
      </c>
      <c r="H2270" s="170" t="n">
        <v>46150.66704861111</v>
      </c>
    </row>
    <row r="2271">
      <c r="A2271" s="13" t="inlineStr">
        <is>
          <t>MK00235</t>
        </is>
      </c>
      <c r="B2271" s="13" t="n">
        <v>528000310</v>
      </c>
      <c r="C2271" s="13" t="inlineStr">
        <is>
          <t>Fachrul Rozzi Suryana</t>
        </is>
      </c>
      <c r="D2271" s="13" t="inlineStr">
        <is>
          <t>LOG</t>
        </is>
      </c>
      <c r="E2271" s="13" t="inlineStr">
        <is>
          <t>WRM Harian</t>
        </is>
      </c>
      <c r="F2271" s="48" t="n">
        <v>46150.33288194444</v>
      </c>
      <c r="G2271" s="13" t="inlineStr">
        <is>
          <t>FREE</t>
        </is>
      </c>
      <c r="H2271" s="170" t="n">
        <v>46150.666875</v>
      </c>
    </row>
    <row r="2272">
      <c r="A2272" s="13" t="inlineStr">
        <is>
          <t>MK00141</t>
        </is>
      </c>
      <c r="B2272" s="13" t="n">
        <v>528000040</v>
      </c>
      <c r="C2272" s="13" t="inlineStr">
        <is>
          <t>Agus Suryaman</t>
        </is>
      </c>
      <c r="D2272" s="13" t="inlineStr">
        <is>
          <t>PROD</t>
        </is>
      </c>
      <c r="E2272" s="13" t="inlineStr">
        <is>
          <t>Produksi Harian</t>
        </is>
      </c>
      <c r="F2272" s="48" t="n">
        <v>46150.36346064815</v>
      </c>
      <c r="G2272" s="13" t="inlineStr">
        <is>
          <t>FREE</t>
        </is>
      </c>
      <c r="H2272" s="170" t="n">
        <v>46150.71190972222</v>
      </c>
    </row>
    <row r="2273">
      <c r="A2273" s="13" t="inlineStr">
        <is>
          <t>MK00150</t>
        </is>
      </c>
      <c r="B2273" s="13" t="n">
        <v>528000232</v>
      </c>
      <c r="C2273" s="13" t="inlineStr">
        <is>
          <t>Agung Aji Suhada</t>
        </is>
      </c>
      <c r="D2273" s="13" t="inlineStr">
        <is>
          <t>LOG</t>
        </is>
      </c>
      <c r="E2273" s="13" t="inlineStr">
        <is>
          <t>WRM Harian</t>
        </is>
      </c>
      <c r="F2273" s="48" t="n">
        <v>46150.36792824074</v>
      </c>
      <c r="G2273" s="13" t="inlineStr">
        <is>
          <t>FREE</t>
        </is>
      </c>
      <c r="H2273" s="170" t="n">
        <v>46150.99825231481</v>
      </c>
    </row>
    <row r="2274">
      <c r="A2274" s="13" t="inlineStr">
        <is>
          <t>MK00205</t>
        </is>
      </c>
      <c r="B2274" s="13" t="n">
        <v>528000348</v>
      </c>
      <c r="C2274" s="13" t="inlineStr">
        <is>
          <t>Saepuloh Ardiansah</t>
        </is>
      </c>
      <c r="D2274" s="13" t="inlineStr">
        <is>
          <t>LOG</t>
        </is>
      </c>
      <c r="E2274" s="13" t="inlineStr">
        <is>
          <t>WRM Harian</t>
        </is>
      </c>
      <c r="F2274" s="48" t="n">
        <v>46150.37388888889</v>
      </c>
      <c r="G2274" s="13" t="inlineStr">
        <is>
          <t>FREE</t>
        </is>
      </c>
      <c r="H2274" s="170" t="n">
        <v>46150.72337962963</v>
      </c>
    </row>
    <row r="2275">
      <c r="A2275" s="13" t="inlineStr">
        <is>
          <t>MK00213</t>
        </is>
      </c>
      <c r="B2275" s="13" t="n">
        <v>528000349</v>
      </c>
      <c r="C2275" s="13" t="inlineStr">
        <is>
          <t>Anas Abdul Fatah</t>
        </is>
      </c>
      <c r="D2275" s="13" t="inlineStr">
        <is>
          <t>LOG</t>
        </is>
      </c>
      <c r="E2275" s="13" t="inlineStr">
        <is>
          <t>WFG Harian</t>
        </is>
      </c>
      <c r="F2275" s="48" t="n">
        <v>46150.40625</v>
      </c>
      <c r="G2275" s="13" t="inlineStr">
        <is>
          <t>FREE</t>
        </is>
      </c>
      <c r="H2275" s="170" t="n">
        <v>46181.40907407407</v>
      </c>
    </row>
    <row r="2276">
      <c r="A2276" s="13" t="inlineStr">
        <is>
          <t>MK00217</t>
        </is>
      </c>
      <c r="B2276" s="13" t="n">
        <v>528000339</v>
      </c>
      <c r="C2276" s="13" t="inlineStr">
        <is>
          <t>Muhamad Ripai'i</t>
        </is>
      </c>
      <c r="D2276" s="13" t="inlineStr">
        <is>
          <t>HRGA</t>
        </is>
      </c>
      <c r="E2276" s="13" t="inlineStr">
        <is>
          <t>GA Harian</t>
        </is>
      </c>
      <c r="F2276" s="48" t="n">
        <v>46150.55920138889</v>
      </c>
      <c r="G2276" s="13" t="inlineStr">
        <is>
          <t>FREE</t>
        </is>
      </c>
      <c r="H2276" s="170" t="n">
        <v>46150.92212962963</v>
      </c>
    </row>
    <row r="2277">
      <c r="A2277" s="13" t="inlineStr">
        <is>
          <t>MK00088</t>
        </is>
      </c>
      <c r="B2277" s="13" t="n">
        <v>528000201</v>
      </c>
      <c r="C2277" s="13" t="inlineStr">
        <is>
          <t>Zahwa Amelia Choerunissa</t>
        </is>
      </c>
      <c r="D2277" s="13" t="inlineStr">
        <is>
          <t>PROD</t>
        </is>
      </c>
      <c r="E2277" s="13" t="inlineStr">
        <is>
          <t>Produksi Harian</t>
        </is>
      </c>
      <c r="F2277" s="48" t="n">
        <v>46150.56590277778</v>
      </c>
      <c r="G2277" s="13" t="inlineStr">
        <is>
          <t>FREE</t>
        </is>
      </c>
      <c r="H2277" s="170" t="n">
        <v>46150.91813657407</v>
      </c>
    </row>
    <row r="2278">
      <c r="A2278" s="13" t="inlineStr">
        <is>
          <t>MK00160</t>
        </is>
      </c>
      <c r="B2278" s="13" t="n">
        <v>528000286</v>
      </c>
      <c r="C2278" s="13" t="inlineStr">
        <is>
          <t>Imelda Amelia</t>
        </is>
      </c>
      <c r="D2278" s="13" t="inlineStr">
        <is>
          <t>PROD</t>
        </is>
      </c>
      <c r="E2278" s="13" t="inlineStr">
        <is>
          <t>Produksi Harian</t>
        </is>
      </c>
      <c r="F2278" s="48" t="n">
        <v>46150.57195601852</v>
      </c>
      <c r="G2278" s="13" t="inlineStr">
        <is>
          <t>FREE</t>
        </is>
      </c>
      <c r="H2278" s="170" t="n">
        <v>46150.92057870371</v>
      </c>
    </row>
    <row r="2279">
      <c r="A2279" s="13" t="inlineStr">
        <is>
          <t>MK00134</t>
        </is>
      </c>
      <c r="B2279" s="13" t="n">
        <v>528000289</v>
      </c>
      <c r="C2279" s="13" t="inlineStr">
        <is>
          <t>Adit Supriyadi</t>
        </is>
      </c>
      <c r="D2279" s="13" t="inlineStr">
        <is>
          <t>PROD</t>
        </is>
      </c>
      <c r="E2279" s="13" t="inlineStr">
        <is>
          <t>Produksi Harian</t>
        </is>
      </c>
      <c r="F2279" s="48" t="n">
        <v>46150.57565972222</v>
      </c>
      <c r="G2279" s="13" t="inlineStr">
        <is>
          <t>FREE</t>
        </is>
      </c>
      <c r="H2279" s="170" t="n">
        <v>46150.91665509259</v>
      </c>
    </row>
    <row r="2280">
      <c r="A2280" s="13" t="inlineStr">
        <is>
          <t>MK00112</t>
        </is>
      </c>
      <c r="B2280" s="13" t="n">
        <v>528000274</v>
      </c>
      <c r="C2280" s="13" t="inlineStr">
        <is>
          <t>Zepri</t>
        </is>
      </c>
      <c r="D2280" s="13" t="inlineStr">
        <is>
          <t>PROD</t>
        </is>
      </c>
      <c r="E2280" s="13" t="inlineStr">
        <is>
          <t>Produksi Harian</t>
        </is>
      </c>
      <c r="F2280" s="48" t="n">
        <v>46150.57842592592</v>
      </c>
      <c r="G2280" s="13" t="inlineStr">
        <is>
          <t>FREE</t>
        </is>
      </c>
      <c r="H2280" s="170" t="n">
        <v>46150.9169675926</v>
      </c>
    </row>
    <row r="2281">
      <c r="A2281" s="13" t="inlineStr">
        <is>
          <t>MK00218</t>
        </is>
      </c>
      <c r="B2281" s="13" t="n">
        <v>528000228</v>
      </c>
      <c r="C2281" s="13" t="inlineStr">
        <is>
          <t>Banyu Resmi Putri</t>
        </is>
      </c>
      <c r="D2281" s="13" t="inlineStr">
        <is>
          <t>PROD</t>
        </is>
      </c>
      <c r="E2281" s="13" t="inlineStr">
        <is>
          <t>Produksi Harian</t>
        </is>
      </c>
      <c r="F2281" s="48" t="n">
        <v>46150.57866898148</v>
      </c>
      <c r="G2281" s="13" t="inlineStr">
        <is>
          <t>FREE</t>
        </is>
      </c>
      <c r="H2281" s="170" t="n">
        <v>46150.91957175926</v>
      </c>
    </row>
    <row r="2282">
      <c r="A2282" s="13" t="inlineStr">
        <is>
          <t>MK00090</t>
        </is>
      </c>
      <c r="B2282" s="13" t="n">
        <v>528000359</v>
      </c>
      <c r="C2282" s="13" t="inlineStr">
        <is>
          <t>M. Iqbal Maulana. S</t>
        </is>
      </c>
      <c r="D2282" s="13" t="inlineStr">
        <is>
          <t>LOG</t>
        </is>
      </c>
      <c r="E2282" s="13" t="inlineStr">
        <is>
          <t>WRM Harian</t>
        </is>
      </c>
      <c r="F2282" s="48" t="n">
        <v>46150.5787037037</v>
      </c>
      <c r="G2282" s="13" t="inlineStr">
        <is>
          <t>FREE</t>
        </is>
      </c>
      <c r="H2282" s="170" t="n">
        <v>46150.9184375</v>
      </c>
    </row>
    <row r="2283">
      <c r="A2283" s="13" t="inlineStr">
        <is>
          <t>MK00203</t>
        </is>
      </c>
      <c r="B2283" s="13" t="n">
        <v>528000273</v>
      </c>
      <c r="C2283" s="13" t="inlineStr">
        <is>
          <t>Asep Mulyana</t>
        </is>
      </c>
      <c r="D2283" s="13" t="inlineStr">
        <is>
          <t>PROD</t>
        </is>
      </c>
      <c r="E2283" s="13" t="inlineStr">
        <is>
          <t>Produksi Harian</t>
        </is>
      </c>
      <c r="F2283" s="48" t="n">
        <v>46150.57917824074</v>
      </c>
      <c r="G2283" s="13" t="inlineStr">
        <is>
          <t>FREE</t>
        </is>
      </c>
      <c r="H2283" s="170" t="n">
        <v>46150.9169212963</v>
      </c>
    </row>
    <row r="2284">
      <c r="A2284" s="13" t="inlineStr">
        <is>
          <t>MK00210</t>
        </is>
      </c>
      <c r="B2284" s="13" t="n">
        <v>528000090</v>
      </c>
      <c r="C2284" s="13" t="inlineStr">
        <is>
          <t>Suganda</t>
        </is>
      </c>
      <c r="D2284" s="13" t="inlineStr">
        <is>
          <t>PROD</t>
        </is>
      </c>
      <c r="E2284" s="13" t="inlineStr">
        <is>
          <t>Produksi Harian</t>
        </is>
      </c>
      <c r="F2284" s="48" t="n">
        <v>46150.57996527778</v>
      </c>
      <c r="G2284" s="13" t="inlineStr">
        <is>
          <t>FREE</t>
        </is>
      </c>
      <c r="H2284" s="170" t="n">
        <v>46150.92659722222</v>
      </c>
    </row>
    <row r="2285">
      <c r="A2285" s="13" t="inlineStr">
        <is>
          <t>MK00082</t>
        </is>
      </c>
      <c r="B2285" s="13" t="n">
        <v>528000290</v>
      </c>
      <c r="C2285" s="13" t="inlineStr">
        <is>
          <t>Eval Pranata</t>
        </is>
      </c>
      <c r="D2285" s="13" t="inlineStr">
        <is>
          <t>PROD</t>
        </is>
      </c>
      <c r="E2285" s="13" t="inlineStr">
        <is>
          <t>Produksi Harian</t>
        </is>
      </c>
      <c r="F2285" s="48" t="n">
        <v>46150.58074074074</v>
      </c>
      <c r="G2285" s="13" t="inlineStr">
        <is>
          <t>FREE</t>
        </is>
      </c>
      <c r="H2285" s="170" t="n">
        <v>46150.91847222222</v>
      </c>
    </row>
    <row r="2286">
      <c r="A2286" s="13" t="inlineStr">
        <is>
          <t>MK00250</t>
        </is>
      </c>
      <c r="B2286" s="13" t="n">
        <v>528000212</v>
      </c>
      <c r="C2286" s="13" t="inlineStr">
        <is>
          <t>Rizal Fauzi</t>
        </is>
      </c>
      <c r="D2286" s="13" t="inlineStr">
        <is>
          <t>PROD</t>
        </is>
      </c>
      <c r="E2286" s="13" t="inlineStr">
        <is>
          <t>Produksi Harian</t>
        </is>
      </c>
      <c r="F2286" s="48" t="n">
        <v>46150.583125</v>
      </c>
      <c r="G2286" s="13" t="inlineStr">
        <is>
          <t>FREE</t>
        </is>
      </c>
      <c r="H2286" s="170" t="n">
        <v>46150.92755787037</v>
      </c>
    </row>
    <row r="2287">
      <c r="A2287" s="13" t="inlineStr">
        <is>
          <t>MK00221</t>
        </is>
      </c>
      <c r="B2287" s="13" t="n">
        <v>528000144</v>
      </c>
      <c r="C2287" s="13" t="inlineStr">
        <is>
          <t>Jodi Hanafi</t>
        </is>
      </c>
      <c r="D2287" s="13" t="inlineStr">
        <is>
          <t>LOG</t>
        </is>
      </c>
      <c r="E2287" s="13" t="inlineStr">
        <is>
          <t>WRM Harian</t>
        </is>
      </c>
      <c r="F2287" s="48" t="n">
        <v>46150.65572916667</v>
      </c>
      <c r="G2287" s="13" t="inlineStr">
        <is>
          <t>FREE</t>
        </is>
      </c>
      <c r="H2287" s="170" t="n">
        <v>46181.00223379629</v>
      </c>
    </row>
    <row r="2288">
      <c r="A2288" s="13" t="inlineStr">
        <is>
          <t>MK0130</t>
        </is>
      </c>
      <c r="B2288" s="13" t="n">
        <v>528000149</v>
      </c>
      <c r="C2288" s="13" t="inlineStr">
        <is>
          <t>Tio Fernanda</t>
        </is>
      </c>
      <c r="D2288" s="13" t="inlineStr">
        <is>
          <t>LOG</t>
        </is>
      </c>
      <c r="E2288" s="13" t="inlineStr">
        <is>
          <t>WRM Harian</t>
        </is>
      </c>
      <c r="F2288" s="48" t="n">
        <v>46150.66694444444</v>
      </c>
      <c r="G2288" s="13" t="inlineStr">
        <is>
          <t>FREE</t>
        </is>
      </c>
      <c r="H2288" s="170" t="n">
        <v>46181.00177083333</v>
      </c>
    </row>
    <row r="2289">
      <c r="A2289" s="13" t="inlineStr">
        <is>
          <t>MK00204</t>
        </is>
      </c>
      <c r="B2289" s="13" t="n">
        <v>528000335</v>
      </c>
      <c r="C2289" s="13" t="inlineStr">
        <is>
          <t>Rizal Saepuloh</t>
        </is>
      </c>
      <c r="D2289" s="13" t="inlineStr">
        <is>
          <t>LOG</t>
        </is>
      </c>
      <c r="E2289" s="13" t="inlineStr">
        <is>
          <t>WRM Harian</t>
        </is>
      </c>
      <c r="F2289" s="48" t="n">
        <v>46150.74337962963</v>
      </c>
      <c r="G2289" s="13" t="inlineStr">
        <is>
          <t>FREE</t>
        </is>
      </c>
      <c r="H2289" s="170" t="n">
        <v>46181.00016203704</v>
      </c>
    </row>
    <row r="2290">
      <c r="A2290" s="13" t="inlineStr">
        <is>
          <t>MK00230</t>
        </is>
      </c>
      <c r="B2290" s="13" t="n">
        <v>528000340</v>
      </c>
      <c r="C2290" s="13" t="inlineStr">
        <is>
          <t>Muhammad Wildan Adithya</t>
        </is>
      </c>
      <c r="D2290" s="13" t="inlineStr">
        <is>
          <t>PROD</t>
        </is>
      </c>
      <c r="E2290" s="13" t="inlineStr">
        <is>
          <t>Produksi Harian</t>
        </is>
      </c>
      <c r="F2290" s="48" t="n">
        <v>46150.89103009259</v>
      </c>
      <c r="G2290" s="13" t="inlineStr">
        <is>
          <t>FREE</t>
        </is>
      </c>
      <c r="H2290" s="170" t="n">
        <v>46181.25469907407</v>
      </c>
    </row>
    <row r="2291">
      <c r="A2291" s="13" t="inlineStr">
        <is>
          <t>MK00154</t>
        </is>
      </c>
      <c r="B2291" s="13" t="n">
        <v>628000091</v>
      </c>
      <c r="C2291" s="13" t="inlineStr">
        <is>
          <t>Devita Handayani</t>
        </is>
      </c>
      <c r="D2291" s="13" t="inlineStr">
        <is>
          <t>PROD</t>
        </is>
      </c>
      <c r="E2291" s="13" t="inlineStr">
        <is>
          <t>Produksi Borongan</t>
        </is>
      </c>
      <c r="F2291" s="48" t="n">
        <v>46150.89518518518</v>
      </c>
      <c r="G2291" s="13" t="inlineStr">
        <is>
          <t>FREE</t>
        </is>
      </c>
      <c r="H2291" s="170" t="n">
        <v>46181.25204861111</v>
      </c>
    </row>
    <row r="2292">
      <c r="A2292" s="13" t="inlineStr">
        <is>
          <t>MK00156</t>
        </is>
      </c>
      <c r="B2292" s="13" t="n">
        <v>528000361</v>
      </c>
      <c r="C2292" s="13" t="inlineStr">
        <is>
          <t>Denada Munggarani</t>
        </is>
      </c>
      <c r="D2292" s="13" t="inlineStr">
        <is>
          <t>PROD</t>
        </is>
      </c>
      <c r="E2292" s="13" t="inlineStr">
        <is>
          <t>Produksi Harian</t>
        </is>
      </c>
      <c r="F2292" s="48" t="n">
        <v>46150.89965277778</v>
      </c>
      <c r="G2292" s="13" t="inlineStr">
        <is>
          <t>FREE</t>
        </is>
      </c>
      <c r="H2292" s="170" t="n">
        <v>46181.25612268518</v>
      </c>
    </row>
    <row r="2293">
      <c r="A2293" s="13" t="inlineStr">
        <is>
          <t>MK00192</t>
        </is>
      </c>
      <c r="B2293" s="13" t="n">
        <v>528000298</v>
      </c>
      <c r="C2293" s="13" t="inlineStr">
        <is>
          <t>Desta Cahaya Pratama</t>
        </is>
      </c>
      <c r="D2293" s="13" t="inlineStr">
        <is>
          <t>PROD</t>
        </is>
      </c>
      <c r="E2293" s="13" t="inlineStr">
        <is>
          <t>Produksi Harian</t>
        </is>
      </c>
      <c r="F2293" s="48" t="n">
        <v>46150.90020833333</v>
      </c>
      <c r="G2293" s="13" t="inlineStr">
        <is>
          <t>FREE</t>
        </is>
      </c>
      <c r="H2293" s="170" t="n">
        <v>46181.55715277778</v>
      </c>
    </row>
    <row r="2294">
      <c r="A2294" s="13" t="inlineStr">
        <is>
          <t>MK00138</t>
        </is>
      </c>
      <c r="B2294" s="13" t="n">
        <v>528000238</v>
      </c>
      <c r="C2294" s="13" t="inlineStr">
        <is>
          <t>Indah Lusiana</t>
        </is>
      </c>
      <c r="D2294" s="13" t="inlineStr">
        <is>
          <t>PROD</t>
        </is>
      </c>
      <c r="E2294" s="13" t="inlineStr">
        <is>
          <t>Produksi Harian</t>
        </is>
      </c>
      <c r="F2294" s="48" t="n">
        <v>46150.90027777778</v>
      </c>
      <c r="G2294" s="13" t="inlineStr">
        <is>
          <t>FREE</t>
        </is>
      </c>
      <c r="H2294" s="170" t="n">
        <v>46181.40747685185</v>
      </c>
    </row>
    <row r="2295">
      <c r="A2295" s="13" t="inlineStr">
        <is>
          <t>MK00220</t>
        </is>
      </c>
      <c r="B2295" s="13" t="n">
        <v>528000318</v>
      </c>
      <c r="C2295" s="13" t="inlineStr">
        <is>
          <t>Bayu Padli Sepriyana</t>
        </is>
      </c>
      <c r="D2295" s="13" t="inlineStr">
        <is>
          <t>LOG</t>
        </is>
      </c>
      <c r="E2295" s="13" t="inlineStr">
        <is>
          <t>WRM Harian</t>
        </is>
      </c>
      <c r="F2295" s="48" t="n">
        <v>46150.9015625</v>
      </c>
      <c r="G2295" s="13" t="inlineStr">
        <is>
          <t>FREE</t>
        </is>
      </c>
      <c r="H2295" s="170" t="n">
        <v>46181.25162037037</v>
      </c>
    </row>
    <row r="2296">
      <c r="A2296" s="13" t="inlineStr">
        <is>
          <t>MK00108</t>
        </is>
      </c>
      <c r="B2296" s="13" t="n">
        <v>528000313</v>
      </c>
      <c r="C2296" s="13" t="inlineStr">
        <is>
          <t>Muhamad Rifki</t>
        </is>
      </c>
      <c r="D2296" s="13" t="inlineStr">
        <is>
          <t>PROD</t>
        </is>
      </c>
      <c r="E2296" s="13" t="inlineStr">
        <is>
          <t>Produksi Harian</t>
        </is>
      </c>
      <c r="F2296" s="48" t="n">
        <v>46150.90162037037</v>
      </c>
      <c r="G2296" s="13" t="inlineStr">
        <is>
          <t>FREE</t>
        </is>
      </c>
      <c r="H2296" s="170" t="n">
        <v>46181.25236111111</v>
      </c>
    </row>
    <row r="2297">
      <c r="A2297" s="13" t="inlineStr">
        <is>
          <t>MK00209</t>
        </is>
      </c>
      <c r="B2297" s="13" t="n">
        <v>528000305</v>
      </c>
      <c r="C2297" s="13" t="inlineStr">
        <is>
          <t>Puji Puspita</t>
        </is>
      </c>
      <c r="D2297" s="13" t="inlineStr">
        <is>
          <t>PROD</t>
        </is>
      </c>
      <c r="E2297" s="13" t="inlineStr">
        <is>
          <t>Produksi Harian</t>
        </is>
      </c>
      <c r="F2297" s="48" t="n">
        <v>46150.90201388889</v>
      </c>
      <c r="G2297" s="13" t="inlineStr">
        <is>
          <t>FREE</t>
        </is>
      </c>
      <c r="H2297" s="170" t="n">
        <v>46181.54498842593</v>
      </c>
    </row>
    <row r="2298">
      <c r="A2298" s="13" t="inlineStr">
        <is>
          <t>MK00208</t>
        </is>
      </c>
      <c r="B2298" s="13" t="n">
        <v>528000309</v>
      </c>
      <c r="C2298" s="13" t="inlineStr">
        <is>
          <t>Ilham Ramadhan</t>
        </is>
      </c>
      <c r="D2298" s="13" t="inlineStr">
        <is>
          <t>LOG</t>
        </is>
      </c>
      <c r="E2298" s="13" t="inlineStr">
        <is>
          <t>WRM Harian</t>
        </is>
      </c>
      <c r="F2298" s="48" t="n">
        <v>46150.90280092593</v>
      </c>
      <c r="G2298" s="13" t="inlineStr">
        <is>
          <t>FREE</t>
        </is>
      </c>
      <c r="H2298" s="170" t="n">
        <v>46181.25277777778</v>
      </c>
    </row>
    <row r="2299">
      <c r="A2299" s="13" t="inlineStr">
        <is>
          <t>MK00123</t>
        </is>
      </c>
      <c r="B2299" s="13" t="n">
        <v>528000015</v>
      </c>
      <c r="C2299" s="13" t="inlineStr">
        <is>
          <t>Erwin</t>
        </is>
      </c>
      <c r="D2299" s="13" t="inlineStr">
        <is>
          <t>LOG</t>
        </is>
      </c>
      <c r="E2299" s="13" t="inlineStr">
        <is>
          <t>WRM Harian</t>
        </is>
      </c>
      <c r="F2299" s="48" t="n">
        <v>46150.9030787037</v>
      </c>
      <c r="G2299" s="13" t="inlineStr">
        <is>
          <t>FREE</t>
        </is>
      </c>
      <c r="H2299" s="170" t="n">
        <v>46150.90384259259</v>
      </c>
    </row>
    <row r="2300">
      <c r="A2300" s="13" t="inlineStr">
        <is>
          <t>MK00168</t>
        </is>
      </c>
      <c r="B2300" s="13" t="n">
        <v>528000015</v>
      </c>
      <c r="C2300" s="13" t="inlineStr">
        <is>
          <t>Erwin</t>
        </is>
      </c>
      <c r="D2300" s="13" t="inlineStr">
        <is>
          <t>LOG</t>
        </is>
      </c>
      <c r="E2300" s="13" t="inlineStr">
        <is>
          <t>WRM Harian</t>
        </is>
      </c>
      <c r="F2300" s="48" t="n">
        <v>46150.90634259259</v>
      </c>
      <c r="G2300" s="13" t="inlineStr">
        <is>
          <t>FREE</t>
        </is>
      </c>
      <c r="H2300" s="170" t="n">
        <v>46150.9074537037</v>
      </c>
    </row>
    <row r="2301">
      <c r="A2301" s="13" t="inlineStr">
        <is>
          <t>MK00168</t>
        </is>
      </c>
      <c r="B2301" s="13" t="n">
        <v>528000015</v>
      </c>
      <c r="C2301" s="13" t="inlineStr">
        <is>
          <t>Erwin</t>
        </is>
      </c>
      <c r="D2301" s="13" t="inlineStr">
        <is>
          <t>LOG</t>
        </is>
      </c>
      <c r="E2301" s="13" t="inlineStr">
        <is>
          <t>WRM Harian</t>
        </is>
      </c>
      <c r="F2301" s="48" t="n">
        <v>46150.90768518519</v>
      </c>
      <c r="G2301" s="13" t="inlineStr">
        <is>
          <t>FREE</t>
        </is>
      </c>
      <c r="H2301" s="170" t="n">
        <v>46181.90590277778</v>
      </c>
    </row>
    <row r="2302">
      <c r="A2302" s="13" t="inlineStr">
        <is>
          <t>MK00095</t>
        </is>
      </c>
      <c r="B2302" s="13" t="n">
        <v>528000302</v>
      </c>
      <c r="C2302" s="13" t="inlineStr">
        <is>
          <t>Henkey gumilar</t>
        </is>
      </c>
      <c r="D2302" s="13" t="inlineStr">
        <is>
          <t>PROD</t>
        </is>
      </c>
      <c r="E2302" s="13" t="inlineStr">
        <is>
          <t>Produksi Harian</t>
        </is>
      </c>
      <c r="F2302" s="48" t="n">
        <v>46150.91185185185</v>
      </c>
      <c r="G2302" s="13" t="inlineStr">
        <is>
          <t>FREE</t>
        </is>
      </c>
      <c r="H2302" s="170" t="n">
        <v>46181.2537962963</v>
      </c>
    </row>
    <row r="2303">
      <c r="A2303" s="13" t="inlineStr">
        <is>
          <t>MK00218</t>
        </is>
      </c>
      <c r="B2303" s="13" t="n">
        <v>528000325</v>
      </c>
      <c r="C2303" s="13" t="inlineStr">
        <is>
          <t>Rani Septia Ramadani</t>
        </is>
      </c>
      <c r="D2303" s="13" t="inlineStr">
        <is>
          <t>PROD</t>
        </is>
      </c>
      <c r="E2303" s="13" t="inlineStr">
        <is>
          <t>Produksi Harian</t>
        </is>
      </c>
      <c r="F2303" s="48" t="n">
        <v>46181.23645833333</v>
      </c>
      <c r="G2303" s="13" t="inlineStr">
        <is>
          <t>FREE</t>
        </is>
      </c>
      <c r="H2303" s="170" t="n">
        <v>46181.58844907407</v>
      </c>
    </row>
    <row r="2304">
      <c r="A2304" s="13" t="inlineStr">
        <is>
          <t>MK00113</t>
        </is>
      </c>
      <c r="B2304" s="13" t="n">
        <v>628000064</v>
      </c>
      <c r="C2304" s="13" t="inlineStr">
        <is>
          <t>Silva Alypia</t>
        </is>
      </c>
      <c r="D2304" s="13" t="inlineStr">
        <is>
          <t>PROD</t>
        </is>
      </c>
      <c r="E2304" s="13" t="inlineStr">
        <is>
          <t>Produksi Borongan</t>
        </is>
      </c>
      <c r="F2304" s="48" t="n">
        <v>46181.2434375</v>
      </c>
      <c r="G2304" s="13" t="inlineStr">
        <is>
          <t>FREE</t>
        </is>
      </c>
      <c r="H2304" s="170" t="n">
        <v>46181.58945601852</v>
      </c>
    </row>
    <row r="2305">
      <c r="A2305" s="13" t="inlineStr">
        <is>
          <t>MK00112</t>
        </is>
      </c>
      <c r="B2305" s="13" t="n">
        <v>528000279</v>
      </c>
      <c r="C2305" s="13" t="inlineStr">
        <is>
          <t>Mahdalena Dalfa Riani</t>
        </is>
      </c>
      <c r="D2305" s="13" t="inlineStr">
        <is>
          <t>PROD</t>
        </is>
      </c>
      <c r="E2305" s="13" t="inlineStr">
        <is>
          <t>Produksi Harian</t>
        </is>
      </c>
      <c r="F2305" s="48" t="n">
        <v>46181.2491087963</v>
      </c>
      <c r="G2305" s="13" t="inlineStr">
        <is>
          <t>FREE</t>
        </is>
      </c>
      <c r="H2305" s="170" t="n">
        <v>46181.58658564815</v>
      </c>
    </row>
    <row r="2306">
      <c r="A2306" s="13" t="inlineStr">
        <is>
          <t>MK00134</t>
        </is>
      </c>
      <c r="B2306" s="13" t="n">
        <v>528000300</v>
      </c>
      <c r="C2306" s="13" t="inlineStr">
        <is>
          <t>Lia pitaloka</t>
        </is>
      </c>
      <c r="D2306" s="13" t="inlineStr">
        <is>
          <t>PROD</t>
        </is>
      </c>
      <c r="E2306" s="13" t="inlineStr">
        <is>
          <t>Produksi Harian</t>
        </is>
      </c>
      <c r="F2306" s="48" t="n">
        <v>46181.24951388889</v>
      </c>
      <c r="G2306" s="13" t="inlineStr">
        <is>
          <t>FREE</t>
        </is>
      </c>
      <c r="H2306" s="170" t="n">
        <v>46181.58618055555</v>
      </c>
    </row>
    <row r="2307">
      <c r="A2307" s="13" t="inlineStr">
        <is>
          <t>MK00095</t>
        </is>
      </c>
      <c r="B2307" s="13" t="n">
        <v>528000265</v>
      </c>
      <c r="C2307" s="13" t="inlineStr">
        <is>
          <t>Muhammad Haerul Rozikin</t>
        </is>
      </c>
      <c r="D2307" s="13" t="inlineStr">
        <is>
          <t>LOG</t>
        </is>
      </c>
      <c r="E2307" s="13" t="inlineStr">
        <is>
          <t>WRM Harian</t>
        </is>
      </c>
      <c r="F2307" s="48" t="n">
        <v>46181.31831018518</v>
      </c>
      <c r="G2307" s="13" t="inlineStr">
        <is>
          <t>FREE</t>
        </is>
      </c>
      <c r="H2307" s="170" t="n">
        <v>46181.69135416667</v>
      </c>
    </row>
    <row r="2308">
      <c r="A2308" s="13" t="inlineStr">
        <is>
          <t>MK00208</t>
        </is>
      </c>
      <c r="B2308" s="13" t="n">
        <v>528000282</v>
      </c>
      <c r="C2308" s="13" t="inlineStr">
        <is>
          <t>Defa Desfiana</t>
        </is>
      </c>
      <c r="D2308" s="13" t="inlineStr">
        <is>
          <t>PROD</t>
        </is>
      </c>
      <c r="E2308" s="13" t="inlineStr">
        <is>
          <t>Produksi Harian</t>
        </is>
      </c>
      <c r="F2308" s="48" t="n">
        <v>46181.32327546296</v>
      </c>
      <c r="G2308" s="13" t="inlineStr">
        <is>
          <t>FREE</t>
        </is>
      </c>
      <c r="H2308" s="170" t="n">
        <v>46181.66920138889</v>
      </c>
    </row>
    <row r="2309">
      <c r="A2309" s="13" t="inlineStr">
        <is>
          <t>MK00210</t>
        </is>
      </c>
      <c r="B2309" s="13" t="n">
        <v>528000310</v>
      </c>
      <c r="C2309" s="13" t="inlineStr">
        <is>
          <t>Fachrul Rozzi Suryana</t>
        </is>
      </c>
      <c r="D2309" s="13" t="inlineStr">
        <is>
          <t>LOG</t>
        </is>
      </c>
      <c r="E2309" s="13" t="inlineStr">
        <is>
          <t>WRM Harian</t>
        </is>
      </c>
      <c r="F2309" s="48" t="n">
        <v>46181.33032407407</v>
      </c>
      <c r="G2309" s="13" t="inlineStr">
        <is>
          <t>FREE</t>
        </is>
      </c>
      <c r="H2309" s="170" t="n">
        <v>46181.67046296296</v>
      </c>
    </row>
    <row r="2310">
      <c r="A2310" s="13" t="inlineStr">
        <is>
          <t>MK00108</t>
        </is>
      </c>
      <c r="B2310" s="13" t="n">
        <v>528000359</v>
      </c>
      <c r="C2310" s="13" t="inlineStr">
        <is>
          <t>M. Iqbal Maulana. S</t>
        </is>
      </c>
      <c r="D2310" s="13" t="inlineStr">
        <is>
          <t>LOG</t>
        </is>
      </c>
      <c r="E2310" s="13" t="inlineStr">
        <is>
          <t>WRM Harian</t>
        </is>
      </c>
      <c r="F2310" s="48" t="n">
        <v>46181.33333333334</v>
      </c>
      <c r="G2310" s="13" t="inlineStr">
        <is>
          <t>FREE</t>
        </is>
      </c>
      <c r="H2310" s="170" t="n">
        <v>46181.69128472222</v>
      </c>
    </row>
    <row r="2311">
      <c r="A2311" s="13" t="inlineStr">
        <is>
          <t>MK00205</t>
        </is>
      </c>
      <c r="B2311" s="13" t="n">
        <v>528000348</v>
      </c>
      <c r="C2311" s="13" t="inlineStr">
        <is>
          <t>Saepuloh Ardiansah</t>
        </is>
      </c>
      <c r="D2311" s="13" t="inlineStr">
        <is>
          <t>LOG</t>
        </is>
      </c>
      <c r="E2311" s="13" t="inlineStr">
        <is>
          <t>WRM Harian</t>
        </is>
      </c>
      <c r="F2311" s="48" t="n">
        <v>46181.35162037037</v>
      </c>
      <c r="G2311" s="13" t="inlineStr">
        <is>
          <t>FREE</t>
        </is>
      </c>
      <c r="H2311" s="170" t="n">
        <v>46211.37096064815</v>
      </c>
    </row>
    <row r="2312">
      <c r="A2312" s="13" t="inlineStr">
        <is>
          <t>MK00141</t>
        </is>
      </c>
      <c r="B2312" s="13" t="n">
        <v>528000040</v>
      </c>
      <c r="C2312" s="13" t="inlineStr">
        <is>
          <t>Agus Suryaman</t>
        </is>
      </c>
      <c r="D2312" s="13" t="inlineStr">
        <is>
          <t>PROD</t>
        </is>
      </c>
      <c r="E2312" s="13" t="inlineStr">
        <is>
          <t>Produksi Harian</t>
        </is>
      </c>
      <c r="F2312" s="48" t="n">
        <v>46181.36479166667</v>
      </c>
      <c r="G2312" s="13" t="inlineStr">
        <is>
          <t>FREE</t>
        </is>
      </c>
      <c r="H2312" s="170" t="n">
        <v>46181.72600694445</v>
      </c>
    </row>
    <row r="2313">
      <c r="A2313" s="13" t="inlineStr">
        <is>
          <t>MK00150</t>
        </is>
      </c>
      <c r="B2313" s="13" t="n">
        <v>528000232</v>
      </c>
      <c r="C2313" s="13" t="inlineStr">
        <is>
          <t>Agung Aji Suhada</t>
        </is>
      </c>
      <c r="D2313" s="13" t="inlineStr">
        <is>
          <t>LOG</t>
        </is>
      </c>
      <c r="E2313" s="13" t="inlineStr">
        <is>
          <t>WRM Harian</t>
        </is>
      </c>
      <c r="F2313" s="48" t="n">
        <v>46181.37162037037</v>
      </c>
      <c r="G2313" s="13" t="inlineStr">
        <is>
          <t>FREE</t>
        </is>
      </c>
      <c r="H2313" s="170" t="n">
        <v>46181.96675925926</v>
      </c>
    </row>
    <row r="2314">
      <c r="A2314" s="13" t="inlineStr">
        <is>
          <t>MK00138</t>
        </is>
      </c>
      <c r="B2314" s="13" t="n">
        <v>528000349</v>
      </c>
      <c r="C2314" s="13" t="inlineStr">
        <is>
          <t>Anas Abdul Fatah</t>
        </is>
      </c>
      <c r="D2314" s="13" t="inlineStr">
        <is>
          <t>LOG</t>
        </is>
      </c>
      <c r="E2314" s="13" t="inlineStr">
        <is>
          <t>WFG Harian</t>
        </is>
      </c>
      <c r="F2314" s="48" t="n">
        <v>46181.40988425926</v>
      </c>
      <c r="G2314" s="13" t="inlineStr">
        <is>
          <t>FREE</t>
        </is>
      </c>
      <c r="H2314" s="170" t="n">
        <v>46181.75956018519</v>
      </c>
    </row>
    <row r="2315">
      <c r="A2315" s="13" t="inlineStr">
        <is>
          <t>MK00212</t>
        </is>
      </c>
      <c r="B2315" s="13" t="n">
        <v>528000337</v>
      </c>
      <c r="C2315" s="13" t="inlineStr">
        <is>
          <t>Ahmad Zaldi Firdaus</t>
        </is>
      </c>
      <c r="D2315" s="13" t="inlineStr">
        <is>
          <t>PROD</t>
        </is>
      </c>
      <c r="E2315" s="13" t="inlineStr">
        <is>
          <t>Produksi Harian</t>
        </is>
      </c>
      <c r="F2315" s="48" t="n">
        <v>46181.54136574074</v>
      </c>
      <c r="G2315" s="13" t="inlineStr">
        <is>
          <t>FREE</t>
        </is>
      </c>
      <c r="H2315" s="170" t="n">
        <v>46181.92189814815</v>
      </c>
    </row>
    <row r="2316">
      <c r="A2316" s="13" t="inlineStr">
        <is>
          <t>MK00209</t>
        </is>
      </c>
      <c r="B2316" s="13" t="n">
        <v>528000052</v>
      </c>
      <c r="C2316" s="13" t="inlineStr">
        <is>
          <t>Mustopa</t>
        </is>
      </c>
      <c r="D2316" s="13" t="inlineStr">
        <is>
          <t>PROD</t>
        </is>
      </c>
      <c r="E2316" s="13" t="inlineStr">
        <is>
          <t>Produksi Harian</t>
        </is>
      </c>
      <c r="F2316" s="48" t="n">
        <v>46181.54520833334</v>
      </c>
      <c r="G2316" s="13" t="inlineStr">
        <is>
          <t>FREE</t>
        </is>
      </c>
      <c r="H2316" s="170" t="n">
        <v>46181.91981481481</v>
      </c>
    </row>
    <row r="2317">
      <c r="A2317" s="13" t="inlineStr">
        <is>
          <t>MK00145</t>
        </is>
      </c>
      <c r="B2317" s="13" t="n">
        <v>528000324</v>
      </c>
      <c r="C2317" s="13" t="inlineStr">
        <is>
          <t>Sri Yanti</t>
        </is>
      </c>
      <c r="D2317" s="13" t="inlineStr">
        <is>
          <t>PROD</t>
        </is>
      </c>
      <c r="E2317" s="13" t="inlineStr">
        <is>
          <t>Produksi Harian</t>
        </is>
      </c>
      <c r="F2317" s="48" t="n">
        <v>46181.55438657408</v>
      </c>
      <c r="G2317" s="13" t="inlineStr">
        <is>
          <t>FREE</t>
        </is>
      </c>
      <c r="H2317" s="170" t="n">
        <v>46181.92006944444</v>
      </c>
    </row>
    <row r="2318">
      <c r="A2318" s="13" t="inlineStr">
        <is>
          <t>MK00143</t>
        </is>
      </c>
      <c r="B2318" s="13" t="n">
        <v>528000262</v>
      </c>
      <c r="C2318" s="13" t="inlineStr">
        <is>
          <t>Ndari Dwiwanti</t>
        </is>
      </c>
      <c r="D2318" s="13" t="inlineStr">
        <is>
          <t>PROD</t>
        </is>
      </c>
      <c r="E2318" s="13" t="inlineStr">
        <is>
          <t>Produksi Harian</t>
        </is>
      </c>
      <c r="F2318" s="48" t="n">
        <v>46181.56793981481</v>
      </c>
      <c r="G2318" s="13" t="inlineStr">
        <is>
          <t>FREE</t>
        </is>
      </c>
      <c r="H2318" s="170" t="n">
        <v>46181.9197337963</v>
      </c>
    </row>
    <row r="2319">
      <c r="A2319" s="13" t="inlineStr">
        <is>
          <t>MK00181</t>
        </is>
      </c>
      <c r="B2319" s="13" t="n">
        <v>528000195</v>
      </c>
      <c r="C2319" s="13" t="inlineStr">
        <is>
          <t>Rahma Sariwati</t>
        </is>
      </c>
      <c r="D2319" s="13" t="inlineStr">
        <is>
          <t>PROD</t>
        </is>
      </c>
      <c r="E2319" s="13" t="inlineStr">
        <is>
          <t>Produksi Harian</t>
        </is>
      </c>
      <c r="F2319" s="48" t="n">
        <v>46181.56931712963</v>
      </c>
      <c r="G2319" s="13" t="inlineStr">
        <is>
          <t>FREE</t>
        </is>
      </c>
      <c r="H2319" s="170" t="n">
        <v>46181.92325231482</v>
      </c>
    </row>
    <row r="2320">
      <c r="A2320" s="13" t="inlineStr">
        <is>
          <t>MK00184</t>
        </is>
      </c>
      <c r="B2320" s="13" t="n">
        <v>528000336</v>
      </c>
      <c r="C2320" s="13" t="inlineStr">
        <is>
          <t>Ali Nurhanafi</t>
        </is>
      </c>
      <c r="D2320" s="13" t="inlineStr">
        <is>
          <t>PROD</t>
        </is>
      </c>
      <c r="E2320" s="13" t="inlineStr">
        <is>
          <t>Produksi Harian</t>
        </is>
      </c>
      <c r="F2320" s="48" t="n">
        <v>46181.57015046296</v>
      </c>
      <c r="G2320" s="13" t="inlineStr">
        <is>
          <t>FREE</t>
        </is>
      </c>
      <c r="H2320" s="170" t="n">
        <v>46181.92039351852</v>
      </c>
    </row>
    <row r="2321">
      <c r="A2321" s="13" t="inlineStr">
        <is>
          <t>MK00136</t>
        </is>
      </c>
      <c r="B2321" s="13" t="n">
        <v>528000358</v>
      </c>
      <c r="C2321" s="13" t="inlineStr">
        <is>
          <t>Lulu Agustin</t>
        </is>
      </c>
      <c r="D2321" s="13" t="inlineStr">
        <is>
          <t>PROD</t>
        </is>
      </c>
      <c r="E2321" s="13" t="inlineStr">
        <is>
          <t>Produksi Harian</t>
        </is>
      </c>
      <c r="F2321" s="48" t="n">
        <v>46181.57053240741</v>
      </c>
      <c r="G2321" s="13" t="inlineStr">
        <is>
          <t>FREE</t>
        </is>
      </c>
      <c r="H2321" s="170" t="n">
        <v>46181.92170138889</v>
      </c>
    </row>
    <row r="2322">
      <c r="A2322" s="13" t="inlineStr">
        <is>
          <t>MK00156</t>
        </is>
      </c>
      <c r="B2322" s="13" t="n">
        <v>528000291</v>
      </c>
      <c r="C2322" s="13" t="inlineStr">
        <is>
          <t>Andrian</t>
        </is>
      </c>
      <c r="D2322" s="13" t="inlineStr">
        <is>
          <t>PROD</t>
        </is>
      </c>
      <c r="E2322" s="13" t="inlineStr">
        <is>
          <t>Produksi Harian</t>
        </is>
      </c>
      <c r="F2322" s="48" t="n">
        <v>46181.57378472222</v>
      </c>
      <c r="G2322" s="13" t="inlineStr">
        <is>
          <t>FREE</t>
        </is>
      </c>
      <c r="H2322" s="170" t="n">
        <v>46181.91944444444</v>
      </c>
    </row>
    <row r="2323">
      <c r="A2323" s="13" t="inlineStr">
        <is>
          <t>MK00249</t>
        </is>
      </c>
      <c r="B2323" s="13" t="n">
        <v>528000283</v>
      </c>
      <c r="C2323" s="13" t="inlineStr">
        <is>
          <t>Purwanda Sugiri</t>
        </is>
      </c>
      <c r="D2323" s="13" t="inlineStr">
        <is>
          <t>LOG</t>
        </is>
      </c>
      <c r="E2323" s="13" t="inlineStr">
        <is>
          <t>WRM Harian</t>
        </is>
      </c>
      <c r="F2323" s="48" t="n">
        <v>46181.57402777778</v>
      </c>
      <c r="G2323" s="13" t="inlineStr">
        <is>
          <t>FREE</t>
        </is>
      </c>
      <c r="H2323" s="170" t="n">
        <v>46181.91890046297</v>
      </c>
    </row>
    <row r="2324">
      <c r="A2324" s="13" t="inlineStr">
        <is>
          <t>MK00186</t>
        </is>
      </c>
      <c r="B2324" s="13" t="n">
        <v>528000261</v>
      </c>
      <c r="C2324" s="13" t="inlineStr">
        <is>
          <t>Ergi Ergianto</t>
        </is>
      </c>
      <c r="D2324" s="13" t="inlineStr">
        <is>
          <t>HRGA</t>
        </is>
      </c>
      <c r="E2324" s="13" t="inlineStr">
        <is>
          <t>GA Harian</t>
        </is>
      </c>
      <c r="F2324" s="48" t="n">
        <v>46181.57476851852</v>
      </c>
      <c r="G2324" s="13" t="inlineStr">
        <is>
          <t>FREE</t>
        </is>
      </c>
      <c r="H2324" s="170" t="n">
        <v>46181.91954861111</v>
      </c>
    </row>
    <row r="2325">
      <c r="A2325" s="13" t="inlineStr">
        <is>
          <t>MK00008</t>
        </is>
      </c>
      <c r="B2325" s="13" t="n">
        <v>528000360</v>
      </c>
      <c r="C2325" s="13" t="inlineStr">
        <is>
          <t>Hendra Permana</t>
        </is>
      </c>
      <c r="D2325" s="13" t="inlineStr">
        <is>
          <t>ENG</t>
        </is>
      </c>
      <c r="E2325" s="13" t="inlineStr">
        <is>
          <t>Engineering Harian</t>
        </is>
      </c>
      <c r="F2325" s="48" t="n">
        <v>46181.5769212963</v>
      </c>
      <c r="G2325" s="13" t="inlineStr">
        <is>
          <t>FREE</t>
        </is>
      </c>
      <c r="H2325" s="170" t="n">
        <v>46181.91855324074</v>
      </c>
    </row>
    <row r="2326">
      <c r="A2326" s="13" t="inlineStr">
        <is>
          <t>MK0130</t>
        </is>
      </c>
      <c r="B2326" s="13" t="n">
        <v>528000149</v>
      </c>
      <c r="C2326" s="13" t="inlineStr">
        <is>
          <t>Tio Fernanda</t>
        </is>
      </c>
      <c r="D2326" s="13" t="inlineStr">
        <is>
          <t>LOG</t>
        </is>
      </c>
      <c r="E2326" s="13" t="inlineStr">
        <is>
          <t>WRM Harian</t>
        </is>
      </c>
      <c r="F2326" s="48" t="n">
        <v>46181.65050925926</v>
      </c>
      <c r="G2326" s="13" t="inlineStr">
        <is>
          <t>FREE</t>
        </is>
      </c>
      <c r="H2326" s="170" t="n">
        <v>46211.00010416667</v>
      </c>
    </row>
    <row r="2327">
      <c r="A2327" s="13" t="inlineStr">
        <is>
          <t>MK00221</t>
        </is>
      </c>
      <c r="B2327" s="13" t="n">
        <v>528000144</v>
      </c>
      <c r="C2327" s="13" t="inlineStr">
        <is>
          <t>Jodi Hanafi</t>
        </is>
      </c>
      <c r="D2327" s="13" t="inlineStr">
        <is>
          <t>LOG</t>
        </is>
      </c>
      <c r="E2327" s="13" t="inlineStr">
        <is>
          <t>WRM Harian</t>
        </is>
      </c>
      <c r="F2327" s="48" t="n">
        <v>46181.65865740741</v>
      </c>
      <c r="G2327" s="13" t="inlineStr">
        <is>
          <t>FREE</t>
        </is>
      </c>
      <c r="H2327" s="170" t="n"/>
    </row>
    <row r="2328">
      <c r="A2328" s="13" t="inlineStr">
        <is>
          <t>MK00204</t>
        </is>
      </c>
      <c r="B2328" s="13" t="n">
        <v>528000335</v>
      </c>
      <c r="C2328" s="13" t="inlineStr">
        <is>
          <t>Rizal Saepuloh</t>
        </is>
      </c>
      <c r="D2328" s="13" t="inlineStr">
        <is>
          <t>LOG</t>
        </is>
      </c>
      <c r="E2328" s="13" t="inlineStr">
        <is>
          <t>WRM Harian</t>
        </is>
      </c>
      <c r="F2328" s="48" t="n">
        <v>46181.66208333334</v>
      </c>
      <c r="G2328" s="13" t="inlineStr">
        <is>
          <t>FREE</t>
        </is>
      </c>
      <c r="H2328" s="170" t="n">
        <v>46211.00060185185</v>
      </c>
    </row>
    <row r="2329">
      <c r="A2329" s="13" t="inlineStr">
        <is>
          <t>MK00138</t>
        </is>
      </c>
      <c r="B2329" s="13" t="n">
        <v>528000361</v>
      </c>
      <c r="C2329" s="13" t="inlineStr">
        <is>
          <t>Denada Munggarani</t>
        </is>
      </c>
      <c r="D2329" s="13" t="inlineStr">
        <is>
          <t>PROD</t>
        </is>
      </c>
      <c r="E2329" s="13" t="inlineStr">
        <is>
          <t>Produksi Harian</t>
        </is>
      </c>
      <c r="F2329" s="48" t="n">
        <v>46181.89097222222</v>
      </c>
      <c r="G2329" s="13" t="inlineStr">
        <is>
          <t>FREE</t>
        </is>
      </c>
      <c r="H2329" s="170" t="n">
        <v>46211.27649305556</v>
      </c>
    </row>
    <row r="2330">
      <c r="A2330" s="13" t="inlineStr">
        <is>
          <t>MK00108</t>
        </is>
      </c>
      <c r="B2330" s="13" t="n">
        <v>528000313</v>
      </c>
      <c r="C2330" s="13" t="inlineStr">
        <is>
          <t>Muhamad Rifki</t>
        </is>
      </c>
      <c r="D2330" s="13" t="inlineStr">
        <is>
          <t>PROD</t>
        </is>
      </c>
      <c r="E2330" s="13" t="inlineStr">
        <is>
          <t>Produksi Harian</t>
        </is>
      </c>
      <c r="F2330" s="48" t="n">
        <v>46181.89364583333</v>
      </c>
      <c r="G2330" s="13" t="inlineStr">
        <is>
          <t>FREE</t>
        </is>
      </c>
      <c r="H2330" s="170" t="n">
        <v>46211.2535300926</v>
      </c>
    </row>
    <row r="2331">
      <c r="A2331" s="13" t="inlineStr">
        <is>
          <t>MK00208</t>
        </is>
      </c>
      <c r="B2331" s="13" t="n">
        <v>528000305</v>
      </c>
      <c r="C2331" s="13" t="inlineStr">
        <is>
          <t>Puji Puspita</t>
        </is>
      </c>
      <c r="D2331" s="13" t="inlineStr">
        <is>
          <t>PROD</t>
        </is>
      </c>
      <c r="E2331" s="13" t="inlineStr">
        <is>
          <t>Produksi Harian</t>
        </is>
      </c>
      <c r="F2331" s="48" t="n">
        <v>46181.89393518519</v>
      </c>
      <c r="G2331" s="13" t="inlineStr">
        <is>
          <t>FREE</t>
        </is>
      </c>
      <c r="H2331" s="170" t="n">
        <v>46211.25178240741</v>
      </c>
    </row>
    <row r="2332">
      <c r="A2332" s="13" t="inlineStr">
        <is>
          <t>MK00213</t>
        </is>
      </c>
      <c r="B2332" s="13" t="n">
        <v>528000238</v>
      </c>
      <c r="C2332" s="13" t="inlineStr">
        <is>
          <t>Indah Lusiana</t>
        </is>
      </c>
      <c r="D2332" s="13" t="inlineStr">
        <is>
          <t>PROD</t>
        </is>
      </c>
      <c r="E2332" s="13" t="inlineStr">
        <is>
          <t>Produksi Harian</t>
        </is>
      </c>
      <c r="F2332" s="48" t="n">
        <v>46181.89704861111</v>
      </c>
      <c r="G2332" s="13" t="inlineStr">
        <is>
          <t>FREE</t>
        </is>
      </c>
      <c r="H2332" s="170" t="n">
        <v>46211.25377314815</v>
      </c>
    </row>
    <row r="2333">
      <c r="A2333" s="13" t="inlineStr">
        <is>
          <t>MK00192</t>
        </is>
      </c>
      <c r="B2333" s="13" t="n">
        <v>528000322</v>
      </c>
      <c r="C2333" s="13" t="inlineStr">
        <is>
          <t>Muhamad Aliludin</t>
        </is>
      </c>
      <c r="D2333" s="13" t="inlineStr">
        <is>
          <t>PROD</t>
        </is>
      </c>
      <c r="E2333" s="13" t="inlineStr">
        <is>
          <t>Produksi Harian</t>
        </is>
      </c>
      <c r="F2333" s="48" t="n">
        <v>46181.90140046296</v>
      </c>
      <c r="G2333" s="13" t="inlineStr">
        <is>
          <t>FREE</t>
        </is>
      </c>
      <c r="H2333" s="170" t="n">
        <v>46211.30127314815</v>
      </c>
    </row>
    <row r="2334">
      <c r="A2334" s="13" t="inlineStr">
        <is>
          <t>MK00230</t>
        </is>
      </c>
      <c r="B2334" s="13" t="n">
        <v>528000309</v>
      </c>
      <c r="C2334" s="13" t="inlineStr">
        <is>
          <t>Ilham Ramadhan</t>
        </is>
      </c>
      <c r="D2334" s="13" t="inlineStr">
        <is>
          <t>LOG</t>
        </is>
      </c>
      <c r="E2334" s="13" t="inlineStr">
        <is>
          <t>WRM Harian</t>
        </is>
      </c>
      <c r="F2334" s="48" t="n">
        <v>46181.90164351852</v>
      </c>
      <c r="G2334" s="13" t="inlineStr">
        <is>
          <t>FREE</t>
        </is>
      </c>
      <c r="H2334" s="170" t="n">
        <v>46211.25476851852</v>
      </c>
    </row>
    <row r="2335">
      <c r="A2335" s="13" t="inlineStr">
        <is>
          <t>MK00160</t>
        </is>
      </c>
      <c r="B2335" s="13" t="n">
        <v>628000091</v>
      </c>
      <c r="C2335" s="13" t="inlineStr">
        <is>
          <t>Devita Handayani</t>
        </is>
      </c>
      <c r="D2335" s="13" t="inlineStr">
        <is>
          <t>PROD</t>
        </is>
      </c>
      <c r="E2335" s="13" t="inlineStr">
        <is>
          <t>Produksi Borongan</t>
        </is>
      </c>
      <c r="F2335" s="48" t="n">
        <v>46181.90283564815</v>
      </c>
      <c r="G2335" s="13" t="inlineStr">
        <is>
          <t>FREE</t>
        </is>
      </c>
      <c r="H2335" s="170" t="n">
        <v>46211.28335648148</v>
      </c>
    </row>
    <row r="2336">
      <c r="A2336" s="13" t="inlineStr">
        <is>
          <t>MK00220</t>
        </is>
      </c>
      <c r="B2336" s="13" t="n">
        <v>528000340</v>
      </c>
      <c r="C2336" s="13" t="inlineStr">
        <is>
          <t>Muhammad Wildan Adithya</t>
        </is>
      </c>
      <c r="D2336" s="13" t="inlineStr">
        <is>
          <t>PROD</t>
        </is>
      </c>
      <c r="E2336" s="13" t="inlineStr">
        <is>
          <t>Produksi Harian</t>
        </is>
      </c>
      <c r="F2336" s="48" t="n">
        <v>46181.90315972222</v>
      </c>
      <c r="G2336" s="13" t="inlineStr">
        <is>
          <t>FREE</t>
        </is>
      </c>
      <c r="H2336" s="170" t="n">
        <v>46211.2541087963</v>
      </c>
    </row>
    <row r="2337">
      <c r="A2337" s="13" t="inlineStr">
        <is>
          <t>MK00116</t>
        </is>
      </c>
      <c r="B2337" s="13" t="n">
        <v>528000298</v>
      </c>
      <c r="C2337" s="13" t="inlineStr">
        <is>
          <t>Desta Cahaya Pratama</t>
        </is>
      </c>
      <c r="D2337" s="13" t="inlineStr">
        <is>
          <t>PROD</t>
        </is>
      </c>
      <c r="E2337" s="13" t="inlineStr">
        <is>
          <t>Produksi Harian</t>
        </is>
      </c>
      <c r="F2337" s="48" t="n">
        <v>46181.90671296296</v>
      </c>
      <c r="G2337" s="13" t="inlineStr">
        <is>
          <t>FREE</t>
        </is>
      </c>
      <c r="H2337" s="170" t="n"/>
    </row>
    <row r="2338">
      <c r="A2338" s="13" t="inlineStr">
        <is>
          <t>MK00200</t>
        </is>
      </c>
      <c r="B2338" s="13" t="n">
        <v>528000015</v>
      </c>
      <c r="C2338" s="13" t="inlineStr">
        <is>
          <t>Erwin</t>
        </is>
      </c>
      <c r="D2338" s="13" t="inlineStr">
        <is>
          <t>LOG</t>
        </is>
      </c>
      <c r="E2338" s="13" t="inlineStr">
        <is>
          <t>WRM Harian</t>
        </is>
      </c>
      <c r="F2338" s="48" t="n">
        <v>46181.90782407407</v>
      </c>
      <c r="G2338" s="13" t="inlineStr">
        <is>
          <t>FREE</t>
        </is>
      </c>
      <c r="H2338" s="170" t="n"/>
    </row>
    <row r="2339">
      <c r="A2339" s="13" t="inlineStr">
        <is>
          <t>MK00095</t>
        </is>
      </c>
      <c r="B2339" s="13" t="n">
        <v>528000302</v>
      </c>
      <c r="C2339" s="13" t="inlineStr">
        <is>
          <t>Henkey gumilar</t>
        </is>
      </c>
      <c r="D2339" s="13" t="inlineStr">
        <is>
          <t>PROD</t>
        </is>
      </c>
      <c r="E2339" s="13" t="inlineStr">
        <is>
          <t>Produksi Harian</t>
        </is>
      </c>
      <c r="F2339" s="48" t="n">
        <v>46181.91734953703</v>
      </c>
      <c r="G2339" s="13" t="inlineStr">
        <is>
          <t>FREE</t>
        </is>
      </c>
      <c r="H2339" s="170" t="n">
        <v>46211.25569444444</v>
      </c>
    </row>
    <row r="2340">
      <c r="A2340" s="13" t="inlineStr">
        <is>
          <t>MK00217</t>
        </is>
      </c>
      <c r="B2340" s="13" t="n">
        <v>528000339</v>
      </c>
      <c r="C2340" s="13" t="inlineStr">
        <is>
          <t>Muhamad Ripai'i</t>
        </is>
      </c>
      <c r="D2340" s="13" t="inlineStr">
        <is>
          <t>HRGA</t>
        </is>
      </c>
      <c r="E2340" s="13" t="inlineStr">
        <is>
          <t>GA Harian</t>
        </is>
      </c>
      <c r="F2340" s="48" t="n">
        <v>46211.2315162037</v>
      </c>
      <c r="G2340" s="13" t="inlineStr">
        <is>
          <t>FREE</t>
        </is>
      </c>
      <c r="H2340" s="170" t="n">
        <v>46211.24927083333</v>
      </c>
    </row>
    <row r="2341">
      <c r="A2341" s="13" t="inlineStr">
        <is>
          <t>MK00121</t>
        </is>
      </c>
      <c r="B2341" s="13" t="n">
        <v>528000289</v>
      </c>
      <c r="C2341" s="13" t="inlineStr">
        <is>
          <t>Adit Supriyadi</t>
        </is>
      </c>
      <c r="D2341" s="13" t="inlineStr">
        <is>
          <t>PROD</t>
        </is>
      </c>
      <c r="E2341" s="13" t="inlineStr">
        <is>
          <t>Produksi Harian</t>
        </is>
      </c>
      <c r="F2341" s="48" t="n">
        <v>46211.23247685185</v>
      </c>
      <c r="G2341" s="13" t="inlineStr">
        <is>
          <t>FREE</t>
        </is>
      </c>
      <c r="H2341" s="170" t="n">
        <v>46211.67414351852</v>
      </c>
    </row>
    <row r="2342">
      <c r="A2342" s="13" t="inlineStr">
        <is>
          <t>MK00203</t>
        </is>
      </c>
      <c r="B2342" s="13" t="n">
        <v>528000286</v>
      </c>
      <c r="C2342" s="13" t="inlineStr">
        <is>
          <t>Imelda Amelia</t>
        </is>
      </c>
      <c r="D2342" s="13" t="inlineStr">
        <is>
          <t>PROD</t>
        </is>
      </c>
      <c r="E2342" s="13" t="inlineStr">
        <is>
          <t>Produksi Harian</t>
        </is>
      </c>
      <c r="F2342" s="48" t="n">
        <v>46211.23680555556</v>
      </c>
      <c r="G2342" s="13" t="inlineStr">
        <is>
          <t>FREE</t>
        </is>
      </c>
      <c r="H2342" s="170" t="n">
        <v>46211.58900462963</v>
      </c>
    </row>
    <row r="2343">
      <c r="A2343" s="13" t="inlineStr">
        <is>
          <t>MK00112</t>
        </is>
      </c>
      <c r="B2343" s="13" t="n">
        <v>528000201</v>
      </c>
      <c r="C2343" s="13" t="inlineStr">
        <is>
          <t>Zahwa Amelia Choerunissa</t>
        </is>
      </c>
      <c r="D2343" s="13" t="inlineStr">
        <is>
          <t>PROD</t>
        </is>
      </c>
      <c r="E2343" s="13" t="inlineStr">
        <is>
          <t>Produksi Harian</t>
        </is>
      </c>
      <c r="F2343" s="48" t="n">
        <v>46211.24050925926</v>
      </c>
      <c r="G2343" s="13" t="inlineStr">
        <is>
          <t>FREE</t>
        </is>
      </c>
      <c r="H2343" s="170" t="n">
        <v>46211.58773148148</v>
      </c>
    </row>
    <row r="2344">
      <c r="A2344" s="13" t="inlineStr">
        <is>
          <t>MK00134</t>
        </is>
      </c>
      <c r="B2344" s="13" t="n">
        <v>528000090</v>
      </c>
      <c r="C2344" s="13" t="inlineStr">
        <is>
          <t>Suganda</t>
        </is>
      </c>
      <c r="D2344" s="13" t="inlineStr">
        <is>
          <t>PROD</t>
        </is>
      </c>
      <c r="E2344" s="13" t="inlineStr">
        <is>
          <t>Produksi Harian</t>
        </is>
      </c>
      <c r="F2344" s="48" t="n">
        <v>46211.24364583333</v>
      </c>
      <c r="G2344" s="13" t="inlineStr">
        <is>
          <t>FREE</t>
        </is>
      </c>
      <c r="H2344" s="170" t="n">
        <v>46211.67465277778</v>
      </c>
    </row>
    <row r="2345">
      <c r="A2345" s="13" t="inlineStr">
        <is>
          <t>MK00250</t>
        </is>
      </c>
      <c r="B2345" s="13" t="n">
        <v>528000241</v>
      </c>
      <c r="C2345" s="13" t="inlineStr">
        <is>
          <t>Balia Nurafif Bilah</t>
        </is>
      </c>
      <c r="D2345" s="13" t="inlineStr">
        <is>
          <t>PROD</t>
        </is>
      </c>
      <c r="E2345" s="13" t="inlineStr">
        <is>
          <t>Produksi Harian</t>
        </is>
      </c>
      <c r="F2345" s="48" t="n">
        <v>46211.24446759259</v>
      </c>
      <c r="G2345" s="13" t="inlineStr">
        <is>
          <t>FREE</t>
        </is>
      </c>
      <c r="H2345" s="170" t="n">
        <v>46211.58563657408</v>
      </c>
    </row>
    <row r="2346">
      <c r="A2346" s="13" t="inlineStr">
        <is>
          <t>MK00249</t>
        </is>
      </c>
      <c r="B2346" s="13" t="n">
        <v>528000228</v>
      </c>
      <c r="C2346" s="13" t="inlineStr">
        <is>
          <t>Banyu Resmi Putri</t>
        </is>
      </c>
      <c r="D2346" s="13" t="inlineStr">
        <is>
          <t>PROD</t>
        </is>
      </c>
      <c r="E2346" s="13" t="inlineStr">
        <is>
          <t>Produksi Harian</t>
        </is>
      </c>
      <c r="F2346" s="48" t="n">
        <v>46211.24576388889</v>
      </c>
      <c r="G2346" s="13" t="inlineStr">
        <is>
          <t>FREE</t>
        </is>
      </c>
      <c r="H2346" s="170" t="n">
        <v>46211.58854166666</v>
      </c>
    </row>
    <row r="2347">
      <c r="A2347" s="13" t="inlineStr">
        <is>
          <t>MK00082</t>
        </is>
      </c>
      <c r="B2347" s="13" t="n">
        <v>528000273</v>
      </c>
      <c r="C2347" s="13" t="inlineStr">
        <is>
          <t>Asep Mulyana</t>
        </is>
      </c>
      <c r="D2347" s="13" t="inlineStr">
        <is>
          <t>PROD</t>
        </is>
      </c>
      <c r="E2347" s="13" t="inlineStr">
        <is>
          <t>Produksi Harian</t>
        </is>
      </c>
      <c r="F2347" s="48" t="n">
        <v>46211.24666666667</v>
      </c>
      <c r="G2347" s="13" t="inlineStr">
        <is>
          <t>FREE</t>
        </is>
      </c>
      <c r="H2347" s="170" t="n">
        <v>46211.58395833334</v>
      </c>
    </row>
    <row r="2348">
      <c r="A2348" s="13" t="inlineStr">
        <is>
          <t>MK00109</t>
        </is>
      </c>
      <c r="B2348" s="13" t="n">
        <v>528000290</v>
      </c>
      <c r="C2348" s="13" t="inlineStr">
        <is>
          <t>Eval Pranata</t>
        </is>
      </c>
      <c r="D2348" s="13" t="inlineStr">
        <is>
          <t>PROD</t>
        </is>
      </c>
      <c r="E2348" s="13" t="inlineStr">
        <is>
          <t>Produksi Harian</t>
        </is>
      </c>
      <c r="F2348" s="48" t="n">
        <v>46211.24858796296</v>
      </c>
      <c r="G2348" s="13" t="inlineStr">
        <is>
          <t>FREE</t>
        </is>
      </c>
      <c r="H2348" s="170" t="n">
        <v>46211.58556712963</v>
      </c>
    </row>
    <row r="2349">
      <c r="A2349" s="13" t="inlineStr">
        <is>
          <t>MK00186</t>
        </is>
      </c>
      <c r="B2349" s="13" t="n">
        <v>528000212</v>
      </c>
      <c r="C2349" s="13" t="inlineStr">
        <is>
          <t>Rizal Fauzi</t>
        </is>
      </c>
      <c r="D2349" s="13" t="inlineStr">
        <is>
          <t>PROD</t>
        </is>
      </c>
      <c r="E2349" s="13" t="inlineStr">
        <is>
          <t>Produksi Harian</t>
        </is>
      </c>
      <c r="F2349" s="48" t="n">
        <v>46211.24912037037</v>
      </c>
      <c r="G2349" s="13" t="inlineStr">
        <is>
          <t>BOUND</t>
        </is>
      </c>
      <c r="H2349" s="170" t="n"/>
    </row>
    <row r="2350">
      <c r="A2350" s="13" t="inlineStr">
        <is>
          <t>MK00217</t>
        </is>
      </c>
      <c r="B2350" s="13" t="n">
        <v>528000274</v>
      </c>
      <c r="C2350" s="13" t="inlineStr">
        <is>
          <t>Zepri</t>
        </is>
      </c>
      <c r="D2350" s="13" t="inlineStr">
        <is>
          <t>PROD</t>
        </is>
      </c>
      <c r="E2350" s="13" t="inlineStr">
        <is>
          <t>Produksi Harian</t>
        </is>
      </c>
      <c r="F2350" s="48" t="n">
        <v>46211.24946759259</v>
      </c>
      <c r="G2350" s="13" t="inlineStr">
        <is>
          <t>FREE</t>
        </is>
      </c>
      <c r="H2350" s="170" t="n">
        <v>46211.59753472222</v>
      </c>
    </row>
    <row r="2351">
      <c r="A2351" s="13" t="inlineStr">
        <is>
          <t>MK00184</t>
        </is>
      </c>
      <c r="B2351" s="13" t="n">
        <v>528000359</v>
      </c>
      <c r="C2351" s="13" t="inlineStr">
        <is>
          <t>M. Iqbal Maulana. S</t>
        </is>
      </c>
      <c r="D2351" s="13" t="inlineStr">
        <is>
          <t>LOG</t>
        </is>
      </c>
      <c r="E2351" s="13" t="inlineStr">
        <is>
          <t>WRM Harian</t>
        </is>
      </c>
      <c r="F2351" s="48" t="n">
        <v>46211.25060185185</v>
      </c>
      <c r="G2351" s="13" t="inlineStr">
        <is>
          <t>FREE</t>
        </is>
      </c>
      <c r="H2351" s="170" t="n">
        <v>46211.58581018518</v>
      </c>
    </row>
    <row r="2352">
      <c r="A2352" s="13" t="inlineStr">
        <is>
          <t>MK00160</t>
        </is>
      </c>
      <c r="B2352" s="13" t="n">
        <v>528000282</v>
      </c>
      <c r="C2352" s="13" t="inlineStr">
        <is>
          <t>Defa Desfiana</t>
        </is>
      </c>
      <c r="D2352" s="13" t="inlineStr">
        <is>
          <t>PROD</t>
        </is>
      </c>
      <c r="E2352" s="13" t="inlineStr">
        <is>
          <t>Produksi Harian</t>
        </is>
      </c>
      <c r="F2352" s="48" t="n">
        <v>46211.32324074074</v>
      </c>
      <c r="G2352" s="13" t="inlineStr">
        <is>
          <t>FREE</t>
        </is>
      </c>
      <c r="H2352" s="170" t="n">
        <v>46211.67133101852</v>
      </c>
    </row>
    <row r="2353">
      <c r="A2353" s="13" t="inlineStr">
        <is>
          <t>MK00138</t>
        </is>
      </c>
      <c r="B2353" s="13" t="n">
        <v>528000265</v>
      </c>
      <c r="C2353" s="13" t="inlineStr">
        <is>
          <t>Muhammad Haerul Rozikin</t>
        </is>
      </c>
      <c r="D2353" s="13" t="inlineStr">
        <is>
          <t>LOG</t>
        </is>
      </c>
      <c r="E2353" s="13" t="inlineStr">
        <is>
          <t>WRM Harian</t>
        </is>
      </c>
      <c r="F2353" s="48" t="n">
        <v>46211.32398148148</v>
      </c>
      <c r="G2353" s="13" t="inlineStr">
        <is>
          <t>FREE</t>
        </is>
      </c>
      <c r="H2353" s="170" t="n">
        <v>46211.66824074074</v>
      </c>
    </row>
    <row r="2354">
      <c r="A2354" s="13" t="inlineStr">
        <is>
          <t>MK00208</t>
        </is>
      </c>
      <c r="B2354" s="13" t="n">
        <v>528000310</v>
      </c>
      <c r="C2354" s="13" t="inlineStr">
        <is>
          <t>Fachrul Rozzi Suryana</t>
        </is>
      </c>
      <c r="D2354" s="13" t="inlineStr">
        <is>
          <t>LOG</t>
        </is>
      </c>
      <c r="E2354" s="13" t="inlineStr">
        <is>
          <t>WRM Harian</t>
        </is>
      </c>
      <c r="F2354" s="48" t="n">
        <v>46211.33333333334</v>
      </c>
      <c r="G2354" s="13" t="inlineStr">
        <is>
          <t>FREE</t>
        </is>
      </c>
      <c r="H2354" s="170" t="n">
        <v>46211.66755787037</v>
      </c>
    </row>
    <row r="2355">
      <c r="A2355" s="13" t="inlineStr">
        <is>
          <t>MK00150</t>
        </is>
      </c>
      <c r="B2355" s="13" t="n">
        <v>528000232</v>
      </c>
      <c r="C2355" s="13" t="inlineStr">
        <is>
          <t>Agung Aji Suhada</t>
        </is>
      </c>
      <c r="D2355" s="13" t="inlineStr">
        <is>
          <t>LOG</t>
        </is>
      </c>
      <c r="E2355" s="13" t="inlineStr">
        <is>
          <t>WRM Harian</t>
        </is>
      </c>
      <c r="F2355" s="48" t="n">
        <v>46211.36623842592</v>
      </c>
      <c r="G2355" s="13" t="inlineStr">
        <is>
          <t>FREE</t>
        </is>
      </c>
      <c r="H2355" s="170" t="n">
        <v>46211.71127314815</v>
      </c>
    </row>
    <row r="2356">
      <c r="A2356" s="13" t="inlineStr">
        <is>
          <t>MK00141</t>
        </is>
      </c>
      <c r="B2356" s="13" t="n">
        <v>528000040</v>
      </c>
      <c r="C2356" s="13" t="inlineStr">
        <is>
          <t>Agus Suryaman</t>
        </is>
      </c>
      <c r="D2356" s="13" t="inlineStr">
        <is>
          <t>PROD</t>
        </is>
      </c>
      <c r="E2356" s="13" t="inlineStr">
        <is>
          <t>Produksi Harian</t>
        </is>
      </c>
      <c r="F2356" s="48" t="n">
        <v>46211.36862268519</v>
      </c>
      <c r="G2356" s="13" t="inlineStr">
        <is>
          <t>FREE</t>
        </is>
      </c>
      <c r="H2356" s="170" t="n">
        <v>46211.71341435185</v>
      </c>
    </row>
    <row r="2357">
      <c r="A2357" s="13" t="inlineStr">
        <is>
          <t>MK00205</t>
        </is>
      </c>
      <c r="B2357" s="13" t="n">
        <v>528000348</v>
      </c>
      <c r="C2357" s="13" t="inlineStr">
        <is>
          <t>Saepuloh Ardiansah</t>
        </is>
      </c>
      <c r="D2357" s="13" t="inlineStr">
        <is>
          <t>LOG</t>
        </is>
      </c>
      <c r="E2357" s="13" t="inlineStr">
        <is>
          <t>WRM Harian</t>
        </is>
      </c>
      <c r="F2357" s="48" t="n">
        <v>46211.37113425926</v>
      </c>
      <c r="G2357" s="13" t="inlineStr">
        <is>
          <t>FREE</t>
        </is>
      </c>
      <c r="H2357" s="170" t="n">
        <v>46211.71174768519</v>
      </c>
    </row>
    <row r="2358">
      <c r="A2358" s="13" t="inlineStr">
        <is>
          <t>MK00220</t>
        </is>
      </c>
      <c r="B2358" s="13" t="n">
        <v>528000349</v>
      </c>
      <c r="C2358" s="13" t="inlineStr">
        <is>
          <t>Anas Abdul Fatah</t>
        </is>
      </c>
      <c r="D2358" s="13" t="inlineStr">
        <is>
          <t>LOG</t>
        </is>
      </c>
      <c r="E2358" s="13" t="inlineStr">
        <is>
          <t>WFG Harian</t>
        </is>
      </c>
      <c r="F2358" s="48" t="n">
        <v>46211.39803240741</v>
      </c>
      <c r="G2358" s="13" t="inlineStr">
        <is>
          <t>FREE</t>
        </is>
      </c>
      <c r="H2358" s="170" t="n">
        <v>46211.75864583333</v>
      </c>
    </row>
    <row r="2359">
      <c r="A2359" s="13" t="inlineStr">
        <is>
          <t>MK00108</t>
        </is>
      </c>
      <c r="B2359" s="13" t="n">
        <v>528000052</v>
      </c>
      <c r="C2359" s="13" t="inlineStr">
        <is>
          <t>Mustopa</t>
        </is>
      </c>
      <c r="D2359" s="13" t="inlineStr">
        <is>
          <t>PROD</t>
        </is>
      </c>
      <c r="E2359" s="13" t="inlineStr">
        <is>
          <t>Produksi Harian</t>
        </is>
      </c>
      <c r="F2359" s="48" t="n">
        <v>46211.54592592592</v>
      </c>
      <c r="G2359" s="13" t="inlineStr">
        <is>
          <t>FREE</t>
        </is>
      </c>
      <c r="H2359" s="170" t="n">
        <v>46211.92026620371</v>
      </c>
    </row>
    <row r="2360">
      <c r="A2360" s="13" t="inlineStr">
        <is>
          <t>MK00209</t>
        </is>
      </c>
      <c r="B2360" s="13" t="n">
        <v>528000262</v>
      </c>
      <c r="C2360" s="13" t="inlineStr">
        <is>
          <t>Ndari Dwiwanti</t>
        </is>
      </c>
      <c r="D2360" s="13" t="inlineStr">
        <is>
          <t>PROD</t>
        </is>
      </c>
      <c r="E2360" s="13" t="inlineStr">
        <is>
          <t>Produksi Harian</t>
        </is>
      </c>
      <c r="F2360" s="48" t="n">
        <v>46211.56586805556</v>
      </c>
      <c r="G2360" s="13" t="inlineStr">
        <is>
          <t>BOUND</t>
        </is>
      </c>
      <c r="H2360" s="170" t="n"/>
    </row>
    <row r="2361">
      <c r="A2361" s="13" t="inlineStr">
        <is>
          <t>MK00143</t>
        </is>
      </c>
      <c r="B2361" s="13" t="n">
        <v>528000358</v>
      </c>
      <c r="C2361" s="13" t="inlineStr">
        <is>
          <t>Lulu Agustin</t>
        </is>
      </c>
      <c r="D2361" s="13" t="inlineStr">
        <is>
          <t>PROD</t>
        </is>
      </c>
      <c r="E2361" s="13" t="inlineStr">
        <is>
          <t>Produksi Harian</t>
        </is>
      </c>
      <c r="F2361" s="48" t="n">
        <v>46211.56829861111</v>
      </c>
      <c r="G2361" s="13" t="inlineStr">
        <is>
          <t>FREE</t>
        </is>
      </c>
      <c r="H2361" s="170" t="n">
        <v>46242.23446759259</v>
      </c>
    </row>
    <row r="2362">
      <c r="A2362" s="13" t="inlineStr">
        <is>
          <t>MK0088</t>
        </is>
      </c>
      <c r="B2362" s="13" t="n">
        <v>528000336</v>
      </c>
      <c r="C2362" s="13" t="inlineStr">
        <is>
          <t>Ali Nurhanafi</t>
        </is>
      </c>
      <c r="D2362" s="13" t="inlineStr">
        <is>
          <t>PROD</t>
        </is>
      </c>
      <c r="E2362" s="13" t="inlineStr">
        <is>
          <t>Produksi Harian</t>
        </is>
      </c>
      <c r="F2362" s="48" t="n">
        <v>46211.56868055555</v>
      </c>
      <c r="G2362" s="13" t="inlineStr">
        <is>
          <t>BOUND</t>
        </is>
      </c>
      <c r="H2362" s="170" t="n"/>
    </row>
    <row r="2363">
      <c r="A2363" s="13" t="inlineStr">
        <is>
          <t>MK00213</t>
        </is>
      </c>
      <c r="B2363" s="13" t="n">
        <v>528000195</v>
      </c>
      <c r="C2363" s="13" t="inlineStr">
        <is>
          <t>Rahma Sariwati</t>
        </is>
      </c>
      <c r="D2363" s="13" t="inlineStr">
        <is>
          <t>PROD</t>
        </is>
      </c>
      <c r="E2363" s="13" t="inlineStr">
        <is>
          <t>Produksi Harian</t>
        </is>
      </c>
      <c r="F2363" s="48" t="n">
        <v>46211.56982638889</v>
      </c>
      <c r="G2363" s="13" t="inlineStr">
        <is>
          <t>BOUND</t>
        </is>
      </c>
      <c r="H2363" s="170" t="n"/>
    </row>
    <row r="2364">
      <c r="A2364" s="13" t="inlineStr">
        <is>
          <t>MK00192</t>
        </is>
      </c>
      <c r="B2364" s="13" t="n">
        <v>528000291</v>
      </c>
      <c r="C2364" s="13" t="inlineStr">
        <is>
          <t>Andrian</t>
        </is>
      </c>
      <c r="D2364" s="13" t="inlineStr">
        <is>
          <t>PROD</t>
        </is>
      </c>
      <c r="E2364" s="13" t="inlineStr">
        <is>
          <t>Produksi Harian</t>
        </is>
      </c>
      <c r="F2364" s="48" t="n">
        <v>46211.57221064815</v>
      </c>
      <c r="G2364" s="13" t="inlineStr">
        <is>
          <t>FREE</t>
        </is>
      </c>
      <c r="H2364" s="170" t="n">
        <v>46211.91961805556</v>
      </c>
    </row>
    <row r="2365">
      <c r="A2365" s="13" t="inlineStr">
        <is>
          <t>MK00125</t>
        </is>
      </c>
      <c r="B2365" s="13" t="n">
        <v>528000314</v>
      </c>
      <c r="C2365" s="13" t="inlineStr">
        <is>
          <t>Rusmana</t>
        </is>
      </c>
      <c r="D2365" s="13" t="inlineStr">
        <is>
          <t>PROD</t>
        </is>
      </c>
      <c r="E2365" s="13" t="inlineStr">
        <is>
          <t>Produksi Harian</t>
        </is>
      </c>
      <c r="F2365" s="48" t="n">
        <v>46211.57366898148</v>
      </c>
      <c r="G2365" s="13" t="inlineStr">
        <is>
          <t>FREE</t>
        </is>
      </c>
      <c r="H2365" s="170" t="n">
        <v>46211.93775462963</v>
      </c>
    </row>
    <row r="2366">
      <c r="A2366" s="13" t="inlineStr">
        <is>
          <t>MK00230</t>
        </is>
      </c>
      <c r="B2366" s="13" t="n">
        <v>528000283</v>
      </c>
      <c r="C2366" s="13" t="inlineStr">
        <is>
          <t>Purwanda Sugiri</t>
        </is>
      </c>
      <c r="D2366" s="13" t="inlineStr">
        <is>
          <t>LOG</t>
        </is>
      </c>
      <c r="E2366" s="13" t="inlineStr">
        <is>
          <t>WRM Harian</t>
        </is>
      </c>
      <c r="F2366" s="48" t="n">
        <v>46211.5740162037</v>
      </c>
      <c r="G2366" s="13" t="inlineStr">
        <is>
          <t>FREE</t>
        </is>
      </c>
      <c r="H2366" s="170" t="n">
        <v>46211.91849537037</v>
      </c>
    </row>
    <row r="2367">
      <c r="A2367" s="13" t="inlineStr">
        <is>
          <t>MK00210</t>
        </is>
      </c>
      <c r="B2367" s="13" t="n">
        <v>528000261</v>
      </c>
      <c r="C2367" s="13" t="inlineStr">
        <is>
          <t>Ergi Ergianto</t>
        </is>
      </c>
      <c r="D2367" s="13" t="inlineStr">
        <is>
          <t>HRGA</t>
        </is>
      </c>
      <c r="E2367" s="13" t="inlineStr">
        <is>
          <t>GA Harian</t>
        </is>
      </c>
      <c r="F2367" s="48" t="n">
        <v>46211.57517361111</v>
      </c>
      <c r="G2367" s="13" t="inlineStr">
        <is>
          <t>FREE</t>
        </is>
      </c>
      <c r="H2367" s="170" t="n">
        <v>46211.57739583333</v>
      </c>
    </row>
    <row r="2368">
      <c r="A2368" s="13" t="inlineStr">
        <is>
          <t>MK00212</t>
        </is>
      </c>
      <c r="B2368" s="13" t="n">
        <v>528000261</v>
      </c>
      <c r="C2368" s="13" t="inlineStr">
        <is>
          <t>Ergi Ergianto</t>
        </is>
      </c>
      <c r="D2368" s="13" t="inlineStr">
        <is>
          <t>HRGA</t>
        </is>
      </c>
      <c r="E2368" s="13" t="inlineStr">
        <is>
          <t>GA Harian</t>
        </is>
      </c>
      <c r="F2368" s="48" t="n">
        <v>46211.57761574074</v>
      </c>
      <c r="G2368" s="13" t="inlineStr">
        <is>
          <t>FREE</t>
        </is>
      </c>
      <c r="H2368" s="170" t="n">
        <v>46211.92089120371</v>
      </c>
    </row>
    <row r="2369">
      <c r="A2369" s="13" t="inlineStr">
        <is>
          <t>MK00235</t>
        </is>
      </c>
      <c r="B2369" s="13" t="n">
        <v>528000360</v>
      </c>
      <c r="C2369" s="13" t="inlineStr">
        <is>
          <t>Hendra Permana</t>
        </is>
      </c>
      <c r="D2369" s="13" t="inlineStr">
        <is>
          <t>ENG</t>
        </is>
      </c>
      <c r="E2369" s="13" t="inlineStr">
        <is>
          <t>Engineering Harian</t>
        </is>
      </c>
      <c r="F2369" s="48" t="n">
        <v>46211.57982638889</v>
      </c>
      <c r="G2369" s="13" t="inlineStr">
        <is>
          <t>FREE</t>
        </is>
      </c>
      <c r="H2369" s="170" t="n">
        <v>46211.91927083334</v>
      </c>
    </row>
    <row r="2370">
      <c r="A2370" s="13" t="inlineStr">
        <is>
          <t>MK00112</t>
        </is>
      </c>
      <c r="B2370" s="13" t="n">
        <v>528000098</v>
      </c>
      <c r="C2370" s="13" t="inlineStr">
        <is>
          <t>Edi Junaedi</t>
        </is>
      </c>
      <c r="D2370" s="13" t="inlineStr">
        <is>
          <t>PROD</t>
        </is>
      </c>
      <c r="E2370" s="13" t="inlineStr">
        <is>
          <t>Produksi Harian</t>
        </is>
      </c>
      <c r="F2370" s="170" t="n">
        <v>46241.02077234954</v>
      </c>
      <c r="G2370" s="13" t="inlineStr">
        <is>
          <t>FREE</t>
        </is>
      </c>
      <c r="H2370" s="170" t="n">
        <v>46241.03073689814</v>
      </c>
    </row>
    <row r="2371">
      <c r="A2371" s="13" t="inlineStr">
        <is>
          <t>MK0130</t>
        </is>
      </c>
      <c r="B2371" s="13" t="n">
        <v>528000149</v>
      </c>
      <c r="C2371" s="13" t="inlineStr">
        <is>
          <t>Tio Fernanda</t>
        </is>
      </c>
      <c r="D2371" s="13" t="inlineStr">
        <is>
          <t>LOG</t>
        </is>
      </c>
      <c r="E2371" s="13" t="inlineStr">
        <is>
          <t>WRM Harian</t>
        </is>
      </c>
      <c r="F2371" s="48" t="n">
        <v>46211.64482638889</v>
      </c>
      <c r="G2371" s="13" t="inlineStr">
        <is>
          <t>BOUND</t>
        </is>
      </c>
      <c r="H2371" s="170" t="n"/>
    </row>
    <row r="2372">
      <c r="A2372" s="13" t="inlineStr">
        <is>
          <t>MK00204</t>
        </is>
      </c>
      <c r="B2372" s="13" t="n">
        <v>528000335</v>
      </c>
      <c r="C2372" s="13" t="inlineStr">
        <is>
          <t>Rizal Saepuloh</t>
        </is>
      </c>
      <c r="D2372" s="13" t="inlineStr">
        <is>
          <t>LOG</t>
        </is>
      </c>
      <c r="E2372" s="13" t="inlineStr">
        <is>
          <t>WRM Harian</t>
        </is>
      </c>
      <c r="F2372" s="48" t="n">
        <v>46211.66069444444</v>
      </c>
      <c r="G2372" s="13" t="inlineStr">
        <is>
          <t>FREE</t>
        </is>
      </c>
      <c r="H2372" s="170" t="n">
        <v>46242.00106481482</v>
      </c>
    </row>
    <row r="2373">
      <c r="A2373" s="13" t="inlineStr">
        <is>
          <t>MK00221</t>
        </is>
      </c>
      <c r="B2373" s="13" t="n">
        <v>528000144</v>
      </c>
      <c r="C2373" s="13" t="inlineStr">
        <is>
          <t>Jodi Hanafi</t>
        </is>
      </c>
      <c r="D2373" s="13" t="inlineStr">
        <is>
          <t>LOG</t>
        </is>
      </c>
      <c r="E2373" s="13" t="inlineStr">
        <is>
          <t>WRM Harian</t>
        </is>
      </c>
      <c r="F2373" s="48" t="n">
        <v>46211.66829861111</v>
      </c>
      <c r="G2373" s="13" t="inlineStr">
        <is>
          <t>BOUND</t>
        </is>
      </c>
      <c r="H2373" s="170" t="n"/>
    </row>
    <row r="2374">
      <c r="A2374" s="13" t="inlineStr">
        <is>
          <t>MK00136</t>
        </is>
      </c>
      <c r="B2374" s="13" t="n">
        <v>528000203</v>
      </c>
      <c r="C2374" s="13" t="inlineStr">
        <is>
          <t>Yudha Ramdhan Putra</t>
        </is>
      </c>
      <c r="D2374" s="13" t="inlineStr">
        <is>
          <t>ENG</t>
        </is>
      </c>
      <c r="E2374" s="13" t="inlineStr">
        <is>
          <t>Engineering Harian</t>
        </is>
      </c>
      <c r="F2374" s="48" t="n">
        <v>46211.66997685185</v>
      </c>
      <c r="G2374" s="13" t="inlineStr">
        <is>
          <t>BOUND</t>
        </is>
      </c>
      <c r="H2374" s="170" t="n"/>
    </row>
    <row r="2375">
      <c r="A2375" s="13" t="inlineStr">
        <is>
          <t>MK00141</t>
        </is>
      </c>
      <c r="B2375" s="13" t="n">
        <v>528000040</v>
      </c>
      <c r="C2375" s="13" t="inlineStr">
        <is>
          <t>Agus Suryaman</t>
        </is>
      </c>
      <c r="D2375" s="13" t="inlineStr">
        <is>
          <t>PROD</t>
        </is>
      </c>
      <c r="E2375" s="13" t="inlineStr">
        <is>
          <t>Produksi Harian</t>
        </is>
      </c>
      <c r="F2375" s="48" t="n">
        <v>46211.71744212963</v>
      </c>
      <c r="G2375" s="13" t="inlineStr">
        <is>
          <t>FREE</t>
        </is>
      </c>
      <c r="H2375" s="170" t="n">
        <v>46211.71847222222</v>
      </c>
    </row>
    <row r="2376">
      <c r="A2376" s="13" t="inlineStr">
        <is>
          <t>MK00207</t>
        </is>
      </c>
      <c r="B2376" s="13" t="n">
        <v>628000078</v>
      </c>
      <c r="C2376" s="13" t="inlineStr">
        <is>
          <t>Sudiro</t>
        </is>
      </c>
      <c r="D2376" s="13" t="inlineStr">
        <is>
          <t>LOG</t>
        </is>
      </c>
      <c r="E2376" s="13" t="inlineStr">
        <is>
          <t>WFG Borongan</t>
        </is>
      </c>
      <c r="F2376" s="48" t="n">
        <v>46211.71784722222</v>
      </c>
      <c r="G2376" s="13" t="inlineStr">
        <is>
          <t>BOUND</t>
        </is>
      </c>
      <c r="H2376" s="170" t="n"/>
    </row>
    <row r="2377">
      <c r="A2377" s="13" t="inlineStr">
        <is>
          <t>MK00220</t>
        </is>
      </c>
      <c r="B2377" s="13" t="n">
        <v>528000299</v>
      </c>
      <c r="C2377" s="13" t="inlineStr">
        <is>
          <t>Siti Nurjanah</t>
        </is>
      </c>
      <c r="D2377" s="13" t="inlineStr">
        <is>
          <t>PROD</t>
        </is>
      </c>
      <c r="E2377" s="13" t="inlineStr">
        <is>
          <t>Produksi Harian</t>
        </is>
      </c>
      <c r="F2377" s="170" t="n">
        <v>46211.89030092592</v>
      </c>
      <c r="G2377" s="13" t="inlineStr">
        <is>
          <t>BOUND</t>
        </is>
      </c>
      <c r="H2377" s="170" t="n"/>
    </row>
    <row r="2378">
      <c r="A2378" s="13" t="inlineStr">
        <is>
          <t>MK00185</t>
        </is>
      </c>
      <c r="B2378" s="13" t="n">
        <v>528000305</v>
      </c>
      <c r="C2378" s="13" t="inlineStr">
        <is>
          <t>Puji Puspita</t>
        </is>
      </c>
      <c r="D2378" s="13" t="inlineStr">
        <is>
          <t>PROD</t>
        </is>
      </c>
      <c r="E2378" s="13" t="inlineStr">
        <is>
          <t>Produksi Harian</t>
        </is>
      </c>
      <c r="F2378" s="170" t="n">
        <v>46211.89586805556</v>
      </c>
      <c r="G2378" s="13" t="inlineStr">
        <is>
          <t>FREE</t>
        </is>
      </c>
      <c r="H2378" s="170" t="n">
        <v>46242.25126157407</v>
      </c>
    </row>
    <row r="2379">
      <c r="A2379" s="13" t="inlineStr">
        <is>
          <t>MK00134</t>
        </is>
      </c>
      <c r="B2379" s="13" t="n">
        <v>528000361</v>
      </c>
      <c r="C2379" s="13" t="inlineStr">
        <is>
          <t>Denada Munggarani</t>
        </is>
      </c>
      <c r="D2379" s="13" t="inlineStr">
        <is>
          <t>PROD</t>
        </is>
      </c>
      <c r="E2379" s="13" t="inlineStr">
        <is>
          <t>Produksi Harian</t>
        </is>
      </c>
      <c r="F2379" s="170" t="n">
        <v>46211.89737268518</v>
      </c>
      <c r="G2379" s="13" t="inlineStr">
        <is>
          <t>FREE</t>
        </is>
      </c>
      <c r="H2379" s="170" t="n">
        <v>46242.2527662037</v>
      </c>
    </row>
    <row r="2380">
      <c r="A2380" s="13" t="inlineStr">
        <is>
          <t>MK00218</t>
        </is>
      </c>
      <c r="B2380" s="13" t="n">
        <v>528000340</v>
      </c>
      <c r="C2380" s="13" t="inlineStr">
        <is>
          <t>Muhammad Wildan Adithya</t>
        </is>
      </c>
      <c r="D2380" s="13" t="inlineStr">
        <is>
          <t>PROD</t>
        </is>
      </c>
      <c r="E2380" s="13" t="inlineStr">
        <is>
          <t>Produksi Harian</t>
        </is>
      </c>
      <c r="F2380" s="170" t="n">
        <v>46211.89765046296</v>
      </c>
      <c r="G2380" s="13" t="inlineStr">
        <is>
          <t>FREE</t>
        </is>
      </c>
      <c r="H2380" s="170" t="n">
        <v>46242.25546296296</v>
      </c>
    </row>
    <row r="2381">
      <c r="A2381" s="13" t="inlineStr">
        <is>
          <t>MK00184</t>
        </is>
      </c>
      <c r="B2381" s="13" t="n">
        <v>528000318</v>
      </c>
      <c r="C2381" s="13" t="inlineStr">
        <is>
          <t>Bayu Padli Sepriyana</t>
        </is>
      </c>
      <c r="D2381" s="13" t="inlineStr">
        <is>
          <t>LOG</t>
        </is>
      </c>
      <c r="E2381" s="13" t="inlineStr">
        <is>
          <t>WRM Harian</t>
        </is>
      </c>
      <c r="F2381" s="170" t="n">
        <v>46211.89833333333</v>
      </c>
      <c r="G2381" s="13" t="inlineStr">
        <is>
          <t>FREE</t>
        </is>
      </c>
      <c r="H2381" s="170" t="n">
        <v>46242.25469907407</v>
      </c>
    </row>
    <row r="2382">
      <c r="A2382" s="13" t="inlineStr">
        <is>
          <t>MK00138</t>
        </is>
      </c>
      <c r="B2382" s="13" t="n">
        <v>528000298</v>
      </c>
      <c r="C2382" s="13" t="inlineStr">
        <is>
          <t>Desta Cahaya Pratama</t>
        </is>
      </c>
      <c r="D2382" s="13" t="inlineStr">
        <is>
          <t>PROD</t>
        </is>
      </c>
      <c r="E2382" s="13" t="inlineStr">
        <is>
          <t>Produksi Harian</t>
        </is>
      </c>
      <c r="F2382" s="170" t="n">
        <v>46211.90086805556</v>
      </c>
      <c r="G2382" s="13" t="inlineStr">
        <is>
          <t>FREE</t>
        </is>
      </c>
      <c r="H2382" s="170" t="n">
        <v>46242.25430555556</v>
      </c>
    </row>
    <row r="2383">
      <c r="A2383" s="13" t="inlineStr">
        <is>
          <t>MK00217</t>
        </is>
      </c>
      <c r="B2383" s="13" t="n">
        <v>528000309</v>
      </c>
      <c r="C2383" s="13" t="inlineStr">
        <is>
          <t>Ilham Ramadhan</t>
        </is>
      </c>
      <c r="D2383" s="13" t="inlineStr">
        <is>
          <t>LOG</t>
        </is>
      </c>
      <c r="E2383" s="13" t="inlineStr">
        <is>
          <t>WRM Harian</t>
        </is>
      </c>
      <c r="F2383" s="170" t="n">
        <v>46211.90186342593</v>
      </c>
      <c r="G2383" s="13" t="inlineStr">
        <is>
          <t>FREE</t>
        </is>
      </c>
      <c r="H2383" s="170" t="n">
        <v>46242.25395833333</v>
      </c>
    </row>
    <row r="2384">
      <c r="A2384" s="13" t="inlineStr">
        <is>
          <t>MK00082</t>
        </is>
      </c>
      <c r="B2384" s="13" t="n">
        <v>528000313</v>
      </c>
      <c r="C2384" s="13" t="inlineStr">
        <is>
          <t>Muhamad Rifki</t>
        </is>
      </c>
      <c r="D2384" s="13" t="inlineStr">
        <is>
          <t>PROD</t>
        </is>
      </c>
      <c r="E2384" s="13" t="inlineStr">
        <is>
          <t>Produksi Harian</t>
        </is>
      </c>
      <c r="F2384" s="170" t="n">
        <v>46211.90394675926</v>
      </c>
      <c r="G2384" s="13" t="inlineStr">
        <is>
          <t>FREE</t>
        </is>
      </c>
      <c r="H2384" s="170" t="n">
        <v>46242.25388888889</v>
      </c>
    </row>
    <row r="2385">
      <c r="A2385" s="13" t="inlineStr">
        <is>
          <t>MK00112</t>
        </is>
      </c>
      <c r="B2385" s="13" t="n">
        <v>528000322</v>
      </c>
      <c r="C2385" s="13" t="inlineStr">
        <is>
          <t>Muhamad Aliludin</t>
        </is>
      </c>
      <c r="D2385" s="13" t="inlineStr">
        <is>
          <t>PROD</t>
        </is>
      </c>
      <c r="E2385" s="13" t="inlineStr">
        <is>
          <t>Produksi Harian</t>
        </is>
      </c>
      <c r="F2385" s="48" t="n">
        <v>46211.90599537037</v>
      </c>
      <c r="G2385" s="13" t="inlineStr">
        <is>
          <t>FREE</t>
        </is>
      </c>
      <c r="H2385" s="170" t="n">
        <v>46242.25496527777</v>
      </c>
    </row>
    <row r="2386">
      <c r="A2386" s="13" t="inlineStr">
        <is>
          <t>MK00181</t>
        </is>
      </c>
      <c r="B2386" s="13" t="n">
        <v>528000015</v>
      </c>
      <c r="C2386" s="13" t="inlineStr">
        <is>
          <t>Erwin</t>
        </is>
      </c>
      <c r="D2386" s="13" t="inlineStr">
        <is>
          <t>LOG</t>
        </is>
      </c>
      <c r="E2386" s="13" t="inlineStr">
        <is>
          <t>WRM Harian</t>
        </is>
      </c>
      <c r="F2386" s="170" t="n">
        <v>46211.9121875</v>
      </c>
      <c r="G2386" s="13" t="inlineStr">
        <is>
          <t>FREE</t>
        </is>
      </c>
      <c r="H2386" s="170" t="n">
        <v>46242.25422453704</v>
      </c>
    </row>
    <row r="2387">
      <c r="A2387" s="13" t="inlineStr">
        <is>
          <t>MK00145</t>
        </is>
      </c>
      <c r="B2387" s="13" t="n">
        <v>528000345</v>
      </c>
      <c r="C2387" s="13" t="inlineStr">
        <is>
          <t>Dandi</t>
        </is>
      </c>
      <c r="D2387" s="13" t="inlineStr">
        <is>
          <t>LOG</t>
        </is>
      </c>
      <c r="E2387" s="13" t="inlineStr">
        <is>
          <t>WRM Harian</t>
        </is>
      </c>
      <c r="F2387" s="170" t="n">
        <v>46211.92412037037</v>
      </c>
      <c r="G2387" s="13" t="inlineStr">
        <is>
          <t>FREE</t>
        </is>
      </c>
      <c r="H2387" s="170" t="n">
        <v>46211.9275</v>
      </c>
    </row>
    <row r="2388">
      <c r="A2388" s="13" t="inlineStr">
        <is>
          <t>MK00143</t>
        </is>
      </c>
      <c r="B2388" s="13" t="n">
        <v>528000289</v>
      </c>
      <c r="C2388" s="13" t="inlineStr">
        <is>
          <t>Adit Supriyadi</t>
        </is>
      </c>
      <c r="D2388" s="13" t="inlineStr">
        <is>
          <t>PROD</t>
        </is>
      </c>
      <c r="E2388" s="13" t="inlineStr">
        <is>
          <t>Produksi Harian</t>
        </is>
      </c>
      <c r="F2388" s="48" t="n">
        <v>46242.2352662037</v>
      </c>
      <c r="G2388" s="13" t="inlineStr">
        <is>
          <t>BOUND</t>
        </is>
      </c>
      <c r="H2388" s="170" t="n"/>
    </row>
    <row r="2389">
      <c r="A2389" s="13" t="inlineStr">
        <is>
          <t>MK00210</t>
        </is>
      </c>
      <c r="B2389" s="13" t="n">
        <v>528000339</v>
      </c>
      <c r="C2389" s="13" t="inlineStr">
        <is>
          <t>Muhamad Ripai'i</t>
        </is>
      </c>
      <c r="D2389" s="13" t="inlineStr">
        <is>
          <t>HRGA</t>
        </is>
      </c>
      <c r="E2389" s="13" t="inlineStr">
        <is>
          <t>GA Harian</t>
        </is>
      </c>
      <c r="F2389" s="170" t="n">
        <v>46242.23579861111</v>
      </c>
      <c r="G2389" s="13" t="inlineStr">
        <is>
          <t>BOUND</t>
        </is>
      </c>
      <c r="H2389" s="170" t="n"/>
    </row>
    <row r="2390">
      <c r="A2390" s="13" t="inlineStr">
        <is>
          <t>MK00108</t>
        </is>
      </c>
      <c r="B2390" s="13" t="n">
        <v>528000286</v>
      </c>
      <c r="C2390" s="13" t="inlineStr">
        <is>
          <t>Imelda Amelia</t>
        </is>
      </c>
      <c r="D2390" s="13" t="inlineStr">
        <is>
          <t>PROD</t>
        </is>
      </c>
      <c r="E2390" s="13" t="inlineStr">
        <is>
          <t>Produksi Harian</t>
        </is>
      </c>
      <c r="F2390" s="170" t="n">
        <v>46242.23777777778</v>
      </c>
      <c r="G2390" s="13" t="inlineStr">
        <is>
          <t>BOUND</t>
        </is>
      </c>
      <c r="H2390" s="170" t="n"/>
    </row>
    <row r="2391">
      <c r="A2391" s="13" t="inlineStr">
        <is>
          <t>MK0156</t>
        </is>
      </c>
      <c r="B2391" s="13" t="n">
        <v>528000201</v>
      </c>
      <c r="C2391" s="13" t="inlineStr">
        <is>
          <t>Zahwa Amelia Choerunissa</t>
        </is>
      </c>
      <c r="D2391" s="13" t="inlineStr">
        <is>
          <t>PROD</t>
        </is>
      </c>
      <c r="E2391" s="13" t="inlineStr">
        <is>
          <t>Produksi Harian</t>
        </is>
      </c>
      <c r="F2391" s="170" t="n">
        <v>46242.2400462963</v>
      </c>
      <c r="G2391" s="13" t="inlineStr">
        <is>
          <t>BOUND</t>
        </is>
      </c>
      <c r="H2391" s="170" t="n"/>
    </row>
    <row r="2392">
      <c r="A2392" s="13" t="inlineStr">
        <is>
          <t>MK00145</t>
        </is>
      </c>
      <c r="B2392" s="13" t="n">
        <v>528000099</v>
      </c>
      <c r="C2392" s="13" t="inlineStr">
        <is>
          <t>Siti Nurawaliah</t>
        </is>
      </c>
      <c r="D2392" s="13" t="inlineStr">
        <is>
          <t>PROD</t>
        </is>
      </c>
      <c r="E2392" s="13" t="inlineStr">
        <is>
          <t>Produksi Harian</t>
        </is>
      </c>
      <c r="F2392" s="170" t="n">
        <v>46242.24103009259</v>
      </c>
      <c r="G2392" s="13" t="inlineStr">
        <is>
          <t>BOUND</t>
        </is>
      </c>
      <c r="H2392" s="170" t="n"/>
    </row>
    <row r="2393">
      <c r="A2393" s="13" t="inlineStr">
        <is>
          <t>MK00192</t>
        </is>
      </c>
      <c r="B2393" s="13" t="n">
        <v>528000273</v>
      </c>
      <c r="C2393" s="13" t="inlineStr">
        <is>
          <t>Asep Mulyana</t>
        </is>
      </c>
      <c r="D2393" s="13" t="inlineStr">
        <is>
          <t>PROD</t>
        </is>
      </c>
      <c r="E2393" s="13" t="inlineStr">
        <is>
          <t>Produksi Harian</t>
        </is>
      </c>
      <c r="F2393" s="48" t="n">
        <v>46242.24556712963</v>
      </c>
      <c r="G2393" s="13" t="inlineStr">
        <is>
          <t>BOUND</t>
        </is>
      </c>
      <c r="H2393" s="170" t="n"/>
    </row>
    <row r="2394">
      <c r="A2394" s="13" t="inlineStr">
        <is>
          <t>MK00212</t>
        </is>
      </c>
      <c r="B2394" s="13" t="n">
        <v>528000241</v>
      </c>
      <c r="C2394" s="13" t="inlineStr">
        <is>
          <t>Balia Nurafif Bilah</t>
        </is>
      </c>
      <c r="D2394" s="13" t="inlineStr">
        <is>
          <t>PROD</t>
        </is>
      </c>
      <c r="E2394" s="13" t="inlineStr">
        <is>
          <t>Produksi Harian</t>
        </is>
      </c>
      <c r="F2394" s="170" t="n">
        <v>46242.24570601852</v>
      </c>
      <c r="G2394" s="13" t="inlineStr">
        <is>
          <t>BOUND</t>
        </is>
      </c>
      <c r="H2394" s="170" t="n"/>
    </row>
    <row r="2395">
      <c r="A2395" s="13" t="inlineStr">
        <is>
          <t>MK00208</t>
        </is>
      </c>
      <c r="B2395" s="13" t="n">
        <v>528000274</v>
      </c>
      <c r="C2395" s="13" t="inlineStr">
        <is>
          <t>Zepri</t>
        </is>
      </c>
      <c r="D2395" s="13" t="inlineStr">
        <is>
          <t>PROD</t>
        </is>
      </c>
      <c r="E2395" s="13" t="inlineStr">
        <is>
          <t>Produksi Harian</t>
        </is>
      </c>
      <c r="F2395" s="170" t="n">
        <v>46242.24605324074</v>
      </c>
      <c r="G2395" s="13" t="inlineStr">
        <is>
          <t>BOUND</t>
        </is>
      </c>
      <c r="H2395" s="170" t="n"/>
    </row>
    <row r="2396">
      <c r="A2396" s="13" t="inlineStr">
        <is>
          <t>MK00082</t>
        </is>
      </c>
      <c r="B2396" s="13" t="n">
        <v>528000359</v>
      </c>
      <c r="C2396" s="13" t="inlineStr">
        <is>
          <t>M. Iqbal Maulana. S</t>
        </is>
      </c>
      <c r="D2396" s="13" t="inlineStr">
        <is>
          <t>LOG</t>
        </is>
      </c>
      <c r="E2396" s="13" t="inlineStr">
        <is>
          <t>WRM Harian</t>
        </is>
      </c>
      <c r="F2396" s="170" t="n">
        <v>46242.25568287037</v>
      </c>
      <c r="G2396" s="13" t="inlineStr">
        <is>
          <t>BOUND</t>
        </is>
      </c>
      <c r="H2396" s="170" t="n"/>
    </row>
    <row r="2397">
      <c r="A2397" s="13" t="inlineStr">
        <is>
          <t>MK00217</t>
        </is>
      </c>
      <c r="B2397" s="13" t="n">
        <v>628000085</v>
      </c>
      <c r="C2397" s="13" t="inlineStr">
        <is>
          <t>Ahmad Surnadi</t>
        </is>
      </c>
      <c r="D2397" s="13" t="inlineStr">
        <is>
          <t>LOG</t>
        </is>
      </c>
      <c r="E2397" s="13" t="inlineStr">
        <is>
          <t>WFG Borongan</t>
        </is>
      </c>
      <c r="F2397" s="48" t="n">
        <v>46242.30876157407</v>
      </c>
      <c r="G2397" s="13" t="inlineStr">
        <is>
          <t>BOUND</t>
        </is>
      </c>
      <c r="H2397" s="170" t="n"/>
    </row>
    <row r="2398">
      <c r="A2398" s="13" t="inlineStr">
        <is>
          <t>MK00181</t>
        </is>
      </c>
      <c r="B2398" s="13" t="n">
        <v>628000131</v>
      </c>
      <c r="C2398" s="13" t="inlineStr">
        <is>
          <t>Aos Iskandar</t>
        </is>
      </c>
      <c r="D2398" s="13" t="inlineStr">
        <is>
          <t>LOG</t>
        </is>
      </c>
      <c r="E2398" s="13" t="inlineStr">
        <is>
          <t>WFG Borongan</t>
        </is>
      </c>
      <c r="F2398" s="48" t="n">
        <v>46242.30940972222</v>
      </c>
      <c r="G2398" s="13" t="inlineStr">
        <is>
          <t>BOUND</t>
        </is>
      </c>
      <c r="H2398" s="170" t="n"/>
    </row>
    <row r="2399">
      <c r="A2399" s="13" t="inlineStr">
        <is>
          <t>MK00134</t>
        </is>
      </c>
      <c r="B2399" s="13" t="n">
        <v>528000265</v>
      </c>
      <c r="C2399" s="13" t="inlineStr">
        <is>
          <t>Muhammad Haerul Rozikin</t>
        </is>
      </c>
      <c r="D2399" s="13" t="inlineStr">
        <is>
          <t>LOG</t>
        </is>
      </c>
      <c r="E2399" s="13" t="inlineStr">
        <is>
          <t>WRM Harian</t>
        </is>
      </c>
      <c r="F2399" s="170" t="n">
        <v>46242.32171296296</v>
      </c>
      <c r="G2399" s="13" t="inlineStr">
        <is>
          <t>BOUND</t>
        </is>
      </c>
      <c r="H2399" s="170" t="n"/>
    </row>
    <row r="2400">
      <c r="A2400" s="13" t="inlineStr">
        <is>
          <t>MK00218</t>
        </is>
      </c>
      <c r="B2400" s="13" t="n">
        <v>528000282</v>
      </c>
      <c r="C2400" s="13" t="inlineStr">
        <is>
          <t>Defa Desfiana</t>
        </is>
      </c>
      <c r="D2400" s="13" t="inlineStr">
        <is>
          <t>PROD</t>
        </is>
      </c>
      <c r="E2400" s="13" t="inlineStr">
        <is>
          <t>Produksi Harian</t>
        </is>
      </c>
      <c r="F2400" s="170" t="n">
        <v>46242.32291666666</v>
      </c>
      <c r="G2400" s="13" t="inlineStr">
        <is>
          <t>BOUND</t>
        </is>
      </c>
      <c r="H2400" s="170" t="n"/>
    </row>
    <row r="2401">
      <c r="A2401" s="13" t="inlineStr">
        <is>
          <t>MK00185</t>
        </is>
      </c>
      <c r="B2401" s="13" t="n">
        <v>528000351</v>
      </c>
      <c r="C2401" s="13" t="inlineStr">
        <is>
          <t>Mulyana</t>
        </is>
      </c>
      <c r="D2401" s="13" t="inlineStr">
        <is>
          <t>PROD</t>
        </is>
      </c>
      <c r="E2401" s="13" t="inlineStr">
        <is>
          <t>Produksi Harian</t>
        </is>
      </c>
      <c r="F2401" s="170" t="n">
        <v>46242.32329861111</v>
      </c>
      <c r="G2401" s="13" t="inlineStr">
        <is>
          <t>FREE</t>
        </is>
      </c>
      <c r="H2401" s="170" t="n">
        <v>46242.32612268518</v>
      </c>
    </row>
    <row r="2402">
      <c r="A2402" s="13" t="inlineStr">
        <is>
          <t>MK00250</t>
        </is>
      </c>
      <c r="B2402" s="13" t="n">
        <v>528000310</v>
      </c>
      <c r="C2402" s="13" t="inlineStr">
        <is>
          <t>Fachrul Rozzi Suryana</t>
        </is>
      </c>
      <c r="D2402" s="13" t="inlineStr">
        <is>
          <t>LOG</t>
        </is>
      </c>
      <c r="E2402" s="13" t="inlineStr">
        <is>
          <t>WRM Harian</t>
        </is>
      </c>
      <c r="F2402" s="48" t="n">
        <v>46242.3321875</v>
      </c>
      <c r="G2402" s="13" t="inlineStr">
        <is>
          <t>BOUND</t>
        </is>
      </c>
      <c r="H2402" s="170" t="n"/>
    </row>
    <row r="2403">
      <c r="A2403" s="13" t="inlineStr">
        <is>
          <t>MK00112</t>
        </is>
      </c>
      <c r="B2403" s="13" t="n">
        <v>628000079</v>
      </c>
      <c r="C2403" s="13" t="inlineStr">
        <is>
          <t>Maman Suherman</t>
        </is>
      </c>
      <c r="D2403" s="13" t="inlineStr">
        <is>
          <t>LOG</t>
        </is>
      </c>
      <c r="E2403" s="13" t="inlineStr">
        <is>
          <t>WFG Borongan</t>
        </is>
      </c>
      <c r="F2403" s="170" t="n">
        <v>46242.34097222222</v>
      </c>
      <c r="G2403" s="13" t="inlineStr">
        <is>
          <t>BOUND</t>
        </is>
      </c>
      <c r="H2403" s="170" t="n"/>
    </row>
    <row r="2404">
      <c r="A2404" s="13" t="inlineStr">
        <is>
          <t>MK00228</t>
        </is>
      </c>
      <c r="B2404" s="13" t="n">
        <v>528000132</v>
      </c>
      <c r="C2404" s="13" t="inlineStr">
        <is>
          <t>Giopani</t>
        </is>
      </c>
      <c r="D2404" s="13" t="inlineStr">
        <is>
          <t>LOG</t>
        </is>
      </c>
      <c r="E2404" s="13" t="inlineStr">
        <is>
          <t>WRM Harian</t>
        </is>
      </c>
      <c r="F2404" s="170" t="n">
        <v>46242.34880787037</v>
      </c>
      <c r="G2404" s="13" t="inlineStr">
        <is>
          <t>BOUND</t>
        </is>
      </c>
      <c r="H2404" s="170" t="n"/>
    </row>
    <row r="2405">
      <c r="A2405" s="13" t="inlineStr">
        <is>
          <t>MK0041</t>
        </is>
      </c>
      <c r="B2405" s="13" t="n">
        <v>528000040</v>
      </c>
      <c r="C2405" s="13" t="inlineStr">
        <is>
          <t>Agus Suryaman</t>
        </is>
      </c>
      <c r="D2405" s="13" t="inlineStr">
        <is>
          <t>PROD</t>
        </is>
      </c>
      <c r="E2405" s="13" t="inlineStr">
        <is>
          <t>Produksi Harian</t>
        </is>
      </c>
      <c r="F2405" s="48" t="n">
        <v>46242.36949074074</v>
      </c>
      <c r="G2405" s="13" t="inlineStr">
        <is>
          <t>BOUND</t>
        </is>
      </c>
      <c r="H2405" s="170" t="n"/>
    </row>
    <row r="2406">
      <c r="A2406" s="13" t="inlineStr">
        <is>
          <t>MK00205</t>
        </is>
      </c>
      <c r="B2406" s="13" t="n">
        <v>528000348</v>
      </c>
      <c r="C2406" s="13" t="inlineStr">
        <is>
          <t>Saepuloh Ardiansah</t>
        </is>
      </c>
      <c r="D2406" s="13" t="inlineStr">
        <is>
          <t>LOG</t>
        </is>
      </c>
      <c r="E2406" s="13" t="inlineStr">
        <is>
          <t>WRM Harian</t>
        </is>
      </c>
      <c r="F2406" s="48" t="n">
        <v>46242.37511574074</v>
      </c>
      <c r="G2406" s="13" t="inlineStr">
        <is>
          <t>BOUND</t>
        </is>
      </c>
      <c r="H2406" s="170" t="n"/>
    </row>
    <row r="2407">
      <c r="A2407" s="13" t="inlineStr">
        <is>
          <t>MK00150</t>
        </is>
      </c>
      <c r="B2407" s="13" t="n">
        <v>528000232</v>
      </c>
      <c r="C2407" s="13" t="inlineStr">
        <is>
          <t>Agung Aji Suhada</t>
        </is>
      </c>
      <c r="D2407" s="13" t="inlineStr">
        <is>
          <t>LOG</t>
        </is>
      </c>
      <c r="E2407" s="13" t="inlineStr">
        <is>
          <t>WRM Harian</t>
        </is>
      </c>
      <c r="F2407" s="170" t="n">
        <v>46242.37530092592</v>
      </c>
      <c r="G2407" s="13" t="inlineStr">
        <is>
          <t>BOUND</t>
        </is>
      </c>
      <c r="H2407" s="17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2416"/>
  <sheetViews>
    <sheetView workbookViewId="0">
      <selection activeCell="A1" sqref="A1"/>
    </sheetView>
  </sheetViews>
  <sheetFormatPr baseColWidth="8" defaultColWidth="12.63" defaultRowHeight="15" customHeight="1"/>
  <cols>
    <col width="12.5" customWidth="1" style="169" min="1" max="1"/>
    <col width="9.380000000000001" customWidth="1" style="169" min="2" max="2"/>
    <col width="21.38" customWidth="1" style="169" min="3" max="3"/>
    <col width="9.380000000000001" customWidth="1" style="169" min="4" max="4"/>
    <col width="10.75" customWidth="1" style="169" min="5" max="5"/>
    <col width="5.88" customWidth="1" style="169" min="6" max="6"/>
    <col width="9.630000000000001" customWidth="1" style="169" min="7" max="7"/>
  </cols>
  <sheetData>
    <row r="1">
      <c r="A1" s="27" t="inlineStr">
        <is>
          <t>NO KARTU MK</t>
        </is>
      </c>
      <c r="B1" s="27" t="inlineStr">
        <is>
          <t>NIK</t>
        </is>
      </c>
      <c r="C1" s="27" t="inlineStr">
        <is>
          <t>NAMA</t>
        </is>
      </c>
      <c r="D1" s="27" t="inlineStr">
        <is>
          <t>TANGGAL</t>
        </is>
      </c>
      <c r="E1" s="27" t="inlineStr">
        <is>
          <t>JAM MASUK</t>
        </is>
      </c>
      <c r="F1" s="27" t="inlineStr">
        <is>
          <t>SHIFT</t>
        </is>
      </c>
      <c r="G1" s="27" t="inlineStr">
        <is>
          <t>NO LOKER</t>
        </is>
      </c>
    </row>
    <row r="2" hidden="1" s="169">
      <c r="A2" s="27" t="inlineStr">
        <is>
          <t>MK0090</t>
        </is>
      </c>
      <c r="B2" s="27" t="n">
        <v>528000069</v>
      </c>
      <c r="C2" s="27" t="inlineStr">
        <is>
          <t>Jajang Ardiansyah</t>
        </is>
      </c>
      <c r="D2" s="171" t="n">
        <v>46164.41666666666</v>
      </c>
      <c r="E2" s="26" t="n">
        <v>0.4362847222222222</v>
      </c>
      <c r="F2" s="27" t="inlineStr">
        <is>
          <t>Shift 1</t>
        </is>
      </c>
      <c r="G2" s="27" t="n"/>
    </row>
    <row r="3" hidden="1" s="169">
      <c r="A3" s="27" t="inlineStr">
        <is>
          <t>MK00160</t>
        </is>
      </c>
      <c r="B3" s="27" t="n">
        <v>628000039</v>
      </c>
      <c r="C3" s="27" t="inlineStr">
        <is>
          <t>Nani Maryani</t>
        </is>
      </c>
      <c r="D3" s="171" t="n">
        <v>46166.41666666666</v>
      </c>
      <c r="E3" s="26" t="n">
        <v>0.5734722222222223</v>
      </c>
      <c r="F3" s="27" t="inlineStr">
        <is>
          <t>Shift 2</t>
        </is>
      </c>
      <c r="G3" s="27" t="n"/>
    </row>
    <row r="4" hidden="1" s="169">
      <c r="A4" s="27" t="inlineStr">
        <is>
          <t>MK00112</t>
        </is>
      </c>
      <c r="B4" s="27" t="n">
        <v>528000016</v>
      </c>
      <c r="C4" s="27" t="inlineStr">
        <is>
          <t>Randi Apriyanto</t>
        </is>
      </c>
      <c r="D4" s="171" t="n">
        <v>46170.41666666666</v>
      </c>
      <c r="E4" s="26" t="n">
        <v>0.5922222222222222</v>
      </c>
      <c r="F4" s="27" t="inlineStr">
        <is>
          <t>Shift 2</t>
        </is>
      </c>
      <c r="G4" s="27" t="n"/>
    </row>
    <row r="5" hidden="1" s="169">
      <c r="A5" s="27" t="inlineStr">
        <is>
          <t>MK00112</t>
        </is>
      </c>
      <c r="B5" s="27" t="n">
        <v>528000059</v>
      </c>
      <c r="C5" s="27" t="inlineStr">
        <is>
          <t>N. Santika Dewi</t>
        </is>
      </c>
      <c r="D5" s="171" t="n">
        <v>46170.41666666666</v>
      </c>
      <c r="E5" s="26" t="n">
        <v>0.6062962962962963</v>
      </c>
      <c r="F5" s="27" t="inlineStr">
        <is>
          <t>Shift 2</t>
        </is>
      </c>
      <c r="G5" s="27" t="n"/>
    </row>
    <row r="6" hidden="1" s="169">
      <c r="A6" s="27" t="inlineStr">
        <is>
          <t>MK00126</t>
        </is>
      </c>
      <c r="B6" s="27" t="n">
        <v>528000052</v>
      </c>
      <c r="C6" s="27" t="inlineStr">
        <is>
          <t>Mustopa</t>
        </is>
      </c>
      <c r="D6" s="171" t="n">
        <v>46170.41666666666</v>
      </c>
      <c r="E6" s="26" t="n">
        <v>0.6098148148148148</v>
      </c>
      <c r="F6" s="27" t="inlineStr">
        <is>
          <t>Shift 2</t>
        </is>
      </c>
      <c r="G6" s="27" t="n"/>
    </row>
    <row r="7" hidden="1" s="169">
      <c r="A7" s="27" t="inlineStr">
        <is>
          <t>MK00112</t>
        </is>
      </c>
      <c r="B7" s="27" t="n">
        <v>528000059</v>
      </c>
      <c r="C7" s="27" t="inlineStr">
        <is>
          <t>N. Santika Dewi</t>
        </is>
      </c>
      <c r="D7" s="171" t="n">
        <v>46170.41666666666</v>
      </c>
      <c r="E7" s="26" t="n">
        <v>0.6248842592592593</v>
      </c>
      <c r="F7" s="27" t="inlineStr">
        <is>
          <t>Shift 2</t>
        </is>
      </c>
      <c r="G7" s="27" t="n"/>
    </row>
    <row r="8" hidden="1" s="169">
      <c r="A8" s="27" t="inlineStr">
        <is>
          <t>CK0093</t>
        </is>
      </c>
      <c r="B8" s="27" t="n">
        <v>528000055</v>
      </c>
      <c r="C8" s="27" t="inlineStr">
        <is>
          <t>Dika Prasetya</t>
        </is>
      </c>
      <c r="D8" s="171" t="n">
        <v>46170.41666666666</v>
      </c>
      <c r="E8" s="26" t="n">
        <v>0.8335532407407408</v>
      </c>
      <c r="F8" s="27" t="inlineStr">
        <is>
          <t>Shift 2</t>
        </is>
      </c>
      <c r="G8" s="27" t="n"/>
    </row>
    <row r="9" hidden="1" s="169">
      <c r="A9" s="27" t="inlineStr">
        <is>
          <t>MK00156</t>
        </is>
      </c>
      <c r="B9" s="27" t="n">
        <v>528000201</v>
      </c>
      <c r="C9" s="27" t="inlineStr">
        <is>
          <t>Zahwa Amelia Choerunissa</t>
        </is>
      </c>
      <c r="D9" s="171" t="n">
        <v>46170.41666666666</v>
      </c>
      <c r="E9" s="26" t="n">
        <v>0.8984606481481482</v>
      </c>
      <c r="F9" s="27" t="inlineStr">
        <is>
          <t>Shift 3</t>
        </is>
      </c>
      <c r="G9" s="27" t="n"/>
    </row>
    <row r="10" hidden="1" s="169">
      <c r="A10" s="27" t="inlineStr">
        <is>
          <t>MK00184</t>
        </is>
      </c>
      <c r="B10" s="27" t="n">
        <v>528000099</v>
      </c>
      <c r="C10" s="27" t="inlineStr">
        <is>
          <t>Siti Nurawaliah</t>
        </is>
      </c>
      <c r="D10" s="171" t="n">
        <v>46170.41666666666</v>
      </c>
      <c r="E10" s="26" t="n">
        <v>0.9002430555555555</v>
      </c>
      <c r="F10" s="27" t="inlineStr">
        <is>
          <t>Shift 3</t>
        </is>
      </c>
      <c r="G10" s="27" t="n"/>
    </row>
    <row r="11" hidden="1" s="169">
      <c r="A11" s="27" t="inlineStr">
        <is>
          <t>MK00116</t>
        </is>
      </c>
      <c r="B11" s="27" t="n">
        <v>528000244</v>
      </c>
      <c r="C11" s="27" t="inlineStr">
        <is>
          <t>Rodian Rifai</t>
        </is>
      </c>
      <c r="D11" s="171" t="n">
        <v>46170.41666666666</v>
      </c>
      <c r="E11" s="26" t="n">
        <v>0.9033449074074074</v>
      </c>
      <c r="F11" s="27" t="inlineStr">
        <is>
          <t>Shift 3</t>
        </is>
      </c>
      <c r="G11" s="27" t="inlineStr">
        <is>
          <t>D-26</t>
        </is>
      </c>
    </row>
    <row r="12" hidden="1" s="169">
      <c r="A12" s="27" t="inlineStr">
        <is>
          <t>MK00181</t>
        </is>
      </c>
      <c r="B12" s="27" t="n">
        <v>528000286</v>
      </c>
      <c r="C12" s="27" t="inlineStr">
        <is>
          <t>Imelda Amelia</t>
        </is>
      </c>
      <c r="D12" s="171" t="n">
        <v>46170.41666666666</v>
      </c>
      <c r="E12" s="26" t="n">
        <v>0.9083564814814815</v>
      </c>
      <c r="F12" s="27" t="inlineStr">
        <is>
          <t>Shift 3</t>
        </is>
      </c>
      <c r="G12" s="27" t="n"/>
    </row>
    <row r="13" hidden="1" s="169">
      <c r="A13" s="27" t="inlineStr">
        <is>
          <t>MK00118</t>
        </is>
      </c>
      <c r="B13" s="27" t="n">
        <v>528000228</v>
      </c>
      <c r="C13" s="27" t="inlineStr">
        <is>
          <t>Banyu Resmi Putri</t>
        </is>
      </c>
      <c r="D13" s="171" t="n">
        <v>46170.41666666666</v>
      </c>
      <c r="E13" s="26" t="n">
        <v>0.9121064814814814</v>
      </c>
      <c r="F13" s="27" t="inlineStr">
        <is>
          <t>Shift 3</t>
        </is>
      </c>
      <c r="G13" s="27" t="n"/>
    </row>
    <row r="14" hidden="1" s="169">
      <c r="A14" s="27" t="inlineStr">
        <is>
          <t>MK00082</t>
        </is>
      </c>
      <c r="B14" s="27" t="n">
        <v>528000241</v>
      </c>
      <c r="C14" s="27" t="inlineStr">
        <is>
          <t>Balia Nurafif Bilah</t>
        </is>
      </c>
      <c r="D14" s="171" t="n">
        <v>46170.41666666666</v>
      </c>
      <c r="E14" s="26" t="n">
        <v>0.9151851851851852</v>
      </c>
      <c r="F14" s="27" t="inlineStr">
        <is>
          <t>Shift 3</t>
        </is>
      </c>
      <c r="G14" s="27" t="n"/>
    </row>
    <row r="15" hidden="1" s="169">
      <c r="A15" s="27" t="inlineStr">
        <is>
          <t>MK00155</t>
        </is>
      </c>
      <c r="B15" s="27" t="n">
        <v>528000212</v>
      </c>
      <c r="C15" s="27" t="inlineStr">
        <is>
          <t>Rizal Fauzi</t>
        </is>
      </c>
      <c r="D15" s="171" t="n">
        <v>46170.41666666666</v>
      </c>
      <c r="E15" s="26" t="n">
        <v>0.916712962962963</v>
      </c>
      <c r="F15" s="27" t="inlineStr">
        <is>
          <t>Shift 3</t>
        </is>
      </c>
      <c r="G15" s="27" t="n"/>
    </row>
    <row r="16" hidden="1" s="169">
      <c r="A16" s="27" t="inlineStr">
        <is>
          <t>MK00085</t>
        </is>
      </c>
      <c r="B16" s="27" t="n">
        <v>528000290</v>
      </c>
      <c r="C16" s="27" t="inlineStr">
        <is>
          <t>Eval Pranata</t>
        </is>
      </c>
      <c r="D16" s="171" t="n">
        <v>46170.41666666666</v>
      </c>
      <c r="E16" s="26" t="n">
        <v>0.9170601851851852</v>
      </c>
      <c r="F16" s="27" t="inlineStr">
        <is>
          <t>Shift 3</t>
        </is>
      </c>
      <c r="G16" s="27" t="n"/>
    </row>
    <row r="17" hidden="1" s="169">
      <c r="A17" s="27" t="inlineStr">
        <is>
          <t>MK00136</t>
        </is>
      </c>
      <c r="B17" s="27" t="n">
        <v>528000274</v>
      </c>
      <c r="C17" s="27" t="inlineStr">
        <is>
          <t>Zepri</t>
        </is>
      </c>
      <c r="D17" s="171" t="n">
        <v>46170.41666666666</v>
      </c>
      <c r="E17" s="26" t="n">
        <v>0.9183217592592593</v>
      </c>
      <c r="F17" s="27" t="inlineStr">
        <is>
          <t>Shift 3</t>
        </is>
      </c>
      <c r="G17" s="27" t="n"/>
    </row>
    <row r="18" hidden="1" s="169">
      <c r="A18" s="27" t="inlineStr">
        <is>
          <t>MK00093</t>
        </is>
      </c>
      <c r="B18" s="27" t="n">
        <v>528000090</v>
      </c>
      <c r="C18" s="27" t="inlineStr">
        <is>
          <t>Suganda</t>
        </is>
      </c>
      <c r="D18" s="171" t="n">
        <v>46170.41666666666</v>
      </c>
      <c r="E18" s="26" t="n">
        <v>0.918587962962963</v>
      </c>
      <c r="F18" s="27" t="inlineStr">
        <is>
          <t>Shift 3</t>
        </is>
      </c>
      <c r="G18" s="27" t="n"/>
    </row>
    <row r="19" hidden="1" s="169">
      <c r="A19" s="27" t="inlineStr">
        <is>
          <t>MK00138</t>
        </is>
      </c>
      <c r="B19" s="27" t="n">
        <v>528000273</v>
      </c>
      <c r="C19" s="27" t="inlineStr">
        <is>
          <t>Asep Mulyana</t>
        </is>
      </c>
      <c r="D19" s="171" t="n">
        <v>46170.41666666666</v>
      </c>
      <c r="E19" s="26" t="n">
        <v>0.9214351851851852</v>
      </c>
      <c r="F19" s="27" t="inlineStr">
        <is>
          <t>Shift 3</t>
        </is>
      </c>
      <c r="G19" s="27" t="n"/>
    </row>
    <row r="20" hidden="1" s="169">
      <c r="A20" s="27" t="inlineStr">
        <is>
          <t>MK00141</t>
        </is>
      </c>
      <c r="B20" s="27" t="n">
        <v>528000098</v>
      </c>
      <c r="C20" s="27" t="inlineStr">
        <is>
          <t>Edi Junaedi</t>
        </is>
      </c>
      <c r="D20" s="171" t="n">
        <v>46171.41666666666</v>
      </c>
      <c r="E20" s="26" t="n">
        <v>0.2261342592592593</v>
      </c>
      <c r="F20" s="27" t="inlineStr">
        <is>
          <t>Shift 1</t>
        </is>
      </c>
      <c r="G20" s="27" t="inlineStr">
        <is>
          <t>2F</t>
        </is>
      </c>
    </row>
    <row r="21" hidden="1" s="169">
      <c r="A21" s="27" t="inlineStr">
        <is>
          <t>MK00151</t>
        </is>
      </c>
      <c r="B21" s="27" t="n">
        <v>628000061</v>
      </c>
      <c r="C21" s="27" t="inlineStr">
        <is>
          <t>Nayla Fadillah Exwantoro</t>
        </is>
      </c>
      <c r="D21" s="171" t="n">
        <v>46171.41666666666</v>
      </c>
      <c r="E21" s="26" t="n">
        <v>0.2316898148148148</v>
      </c>
      <c r="F21" s="27" t="inlineStr">
        <is>
          <t>Shift 1</t>
        </is>
      </c>
      <c r="G21" s="27" t="n"/>
    </row>
    <row r="22" hidden="1" s="169">
      <c r="A22" s="27" t="inlineStr">
        <is>
          <t>MK00158</t>
        </is>
      </c>
      <c r="B22" s="27" t="n">
        <v>528000299</v>
      </c>
      <c r="C22" s="27" t="inlineStr">
        <is>
          <t>Siti Nurjanah</t>
        </is>
      </c>
      <c r="D22" s="171" t="n">
        <v>46171.41666666666</v>
      </c>
      <c r="E22" s="26" t="n">
        <v>0.2409259259259259</v>
      </c>
      <c r="F22" s="27" t="inlineStr">
        <is>
          <t>Shift 1</t>
        </is>
      </c>
      <c r="G22" s="27" t="n"/>
    </row>
    <row r="23" hidden="1" s="169">
      <c r="A23" s="27" t="inlineStr">
        <is>
          <t>MK00145</t>
        </is>
      </c>
      <c r="B23" s="27" t="n">
        <v>528000302</v>
      </c>
      <c r="C23" s="27" t="inlineStr">
        <is>
          <t>Henkey gumilar</t>
        </is>
      </c>
      <c r="D23" s="171" t="n">
        <v>46171.41666666666</v>
      </c>
      <c r="E23" s="26" t="n">
        <v>0.2485416666666667</v>
      </c>
      <c r="F23" s="27" t="inlineStr">
        <is>
          <t>Shift 1</t>
        </is>
      </c>
      <c r="G23" s="27" t="n"/>
    </row>
    <row r="24" hidden="1" s="169">
      <c r="A24" s="27" t="inlineStr">
        <is>
          <t>MK00150</t>
        </is>
      </c>
      <c r="B24" s="27" t="n">
        <v>628000091</v>
      </c>
      <c r="C24" s="27" t="inlineStr">
        <is>
          <t>Devita Handayani</t>
        </is>
      </c>
      <c r="D24" s="171" t="n">
        <v>46171.41666666666</v>
      </c>
      <c r="E24" s="26" t="n">
        <v>0.2498958333333333</v>
      </c>
      <c r="F24" s="27" t="inlineStr">
        <is>
          <t>Shift 1</t>
        </is>
      </c>
      <c r="G24" s="27" t="n"/>
    </row>
    <row r="25">
      <c r="A25" s="27" t="inlineStr">
        <is>
          <t>MK00046</t>
        </is>
      </c>
      <c r="B25" s="27" t="n">
        <v>528000015</v>
      </c>
      <c r="C25" s="27" t="inlineStr">
        <is>
          <t>Erwin</t>
        </is>
      </c>
      <c r="D25" s="171" t="n">
        <v>46171.41666666666</v>
      </c>
      <c r="E25" s="26" t="n">
        <v>0.2530787037037037</v>
      </c>
      <c r="F25" s="27" t="inlineStr">
        <is>
          <t>Shift 1</t>
        </is>
      </c>
      <c r="G25" s="27" t="n"/>
    </row>
    <row r="26" hidden="1" s="169">
      <c r="A26" s="27" t="inlineStr">
        <is>
          <t>MK00155</t>
        </is>
      </c>
      <c r="B26" s="27" t="n">
        <v>528000282</v>
      </c>
      <c r="C26" s="27" t="inlineStr">
        <is>
          <t>Defa Desfiana</t>
        </is>
      </c>
      <c r="D26" s="171" t="n">
        <v>46171.41666666666</v>
      </c>
      <c r="E26" s="26" t="n">
        <v>0.3188657407407408</v>
      </c>
      <c r="F26" s="27" t="inlineStr">
        <is>
          <t>Shift 1</t>
        </is>
      </c>
      <c r="G26" s="27" t="inlineStr">
        <is>
          <t>23C</t>
        </is>
      </c>
    </row>
    <row r="27" hidden="1" s="169">
      <c r="A27" s="27" t="inlineStr">
        <is>
          <t>MK00085</t>
        </is>
      </c>
      <c r="B27" s="27" t="n">
        <v>528000265</v>
      </c>
      <c r="C27" s="27" t="inlineStr">
        <is>
          <t>Muhammad Haerul Rozikin</t>
        </is>
      </c>
      <c r="D27" s="171" t="n">
        <v>46171.41666666666</v>
      </c>
      <c r="E27" s="26" t="n">
        <v>0.3212847222222222</v>
      </c>
      <c r="F27" s="27" t="inlineStr">
        <is>
          <t>Shift 1</t>
        </is>
      </c>
      <c r="G27" s="27" t="n"/>
    </row>
    <row r="28" hidden="1" s="169">
      <c r="A28" s="27" t="inlineStr">
        <is>
          <t>MK00136</t>
        </is>
      </c>
      <c r="B28" s="27" t="n">
        <v>528000351</v>
      </c>
      <c r="C28" s="27" t="inlineStr">
        <is>
          <t>Mulyana</t>
        </is>
      </c>
      <c r="D28" s="171" t="n">
        <v>46171.41666666666</v>
      </c>
      <c r="E28" s="26" t="n">
        <v>0.3371064814814815</v>
      </c>
      <c r="F28" s="27" t="inlineStr">
        <is>
          <t>Shift 1</t>
        </is>
      </c>
      <c r="G28" s="27" t="n"/>
    </row>
    <row r="29" hidden="1" s="169">
      <c r="A29" s="27" t="inlineStr">
        <is>
          <t>MK008I</t>
        </is>
      </c>
      <c r="B29" s="27" t="n">
        <v>528000288</v>
      </c>
      <c r="C29" s="27" t="inlineStr">
        <is>
          <t>Dede gunawan</t>
        </is>
      </c>
      <c r="D29" s="171" t="n">
        <v>46171.41666666666</v>
      </c>
      <c r="E29" s="26" t="n">
        <v>0.5502893518518519</v>
      </c>
      <c r="F29" s="27" t="inlineStr">
        <is>
          <t>Shift 2</t>
        </is>
      </c>
      <c r="G29" s="27" t="n"/>
    </row>
    <row r="30" hidden="1" s="169">
      <c r="A30" s="27" t="inlineStr">
        <is>
          <t>MK00116</t>
        </is>
      </c>
      <c r="B30" s="27" t="n">
        <v>528000306</v>
      </c>
      <c r="C30" s="27" t="inlineStr">
        <is>
          <t>Windy Olivia</t>
        </is>
      </c>
      <c r="D30" s="171" t="n">
        <v>46171.41666666666</v>
      </c>
      <c r="E30" s="26" t="n">
        <v>0.5723148148148148</v>
      </c>
      <c r="F30" s="27" t="inlineStr">
        <is>
          <t>Shift 2</t>
        </is>
      </c>
      <c r="G30" s="27" t="n"/>
    </row>
    <row r="31" hidden="1" s="169">
      <c r="A31" s="27" t="inlineStr">
        <is>
          <t>MK00155</t>
        </is>
      </c>
      <c r="B31" s="27" t="n">
        <v>628000064</v>
      </c>
      <c r="C31" s="27" t="inlineStr">
        <is>
          <t>Silva Alypia</t>
        </is>
      </c>
      <c r="D31" s="171" t="n">
        <v>46171.41666666666</v>
      </c>
      <c r="E31" s="26" t="n">
        <v>0.5795138888888889</v>
      </c>
      <c r="F31" s="27" t="inlineStr">
        <is>
          <t>Shift 2</t>
        </is>
      </c>
      <c r="G31" s="27" t="n"/>
    </row>
    <row r="32" hidden="1" s="169">
      <c r="A32" s="27" t="inlineStr">
        <is>
          <t>MK00085</t>
        </is>
      </c>
      <c r="B32" s="27" t="n">
        <v>528000279</v>
      </c>
      <c r="C32" s="27" t="inlineStr">
        <is>
          <t>Mahdalena Dalfa Riani</t>
        </is>
      </c>
      <c r="D32" s="171" t="n">
        <v>46171.41666666666</v>
      </c>
      <c r="E32" s="26" t="n">
        <v>0.5827199074074074</v>
      </c>
      <c r="F32" s="27" t="inlineStr">
        <is>
          <t>Shift 2</t>
        </is>
      </c>
      <c r="G32" s="27" t="n"/>
    </row>
    <row r="33" hidden="1" s="169">
      <c r="A33" s="27" t="inlineStr">
        <is>
          <t>MK00082</t>
        </is>
      </c>
      <c r="B33" s="27" t="n">
        <v>528000297</v>
      </c>
      <c r="C33" s="27" t="inlineStr">
        <is>
          <t>Muhamad Budiana</t>
        </is>
      </c>
      <c r="D33" s="171" t="n">
        <v>46171.41666666666</v>
      </c>
      <c r="E33" s="26" t="n">
        <v>0.5828935185185186</v>
      </c>
      <c r="F33" s="27" t="inlineStr">
        <is>
          <t>Shift 2</t>
        </is>
      </c>
      <c r="G33" s="27" t="n"/>
    </row>
    <row r="34" hidden="1" s="169">
      <c r="A34" s="27" t="n">
        <v>628000061</v>
      </c>
      <c r="B34" s="27" t="n">
        <v>528000089</v>
      </c>
      <c r="C34" s="27" t="inlineStr">
        <is>
          <t>Santi Susanti</t>
        </is>
      </c>
      <c r="D34" s="171" t="n">
        <v>46171.41666666666</v>
      </c>
      <c r="E34" s="26" t="n">
        <v>0.5918055555555556</v>
      </c>
      <c r="F34" s="27" t="inlineStr">
        <is>
          <t>Shift 2</t>
        </is>
      </c>
      <c r="G34" s="27" t="n"/>
    </row>
    <row r="35" hidden="1" s="169">
      <c r="A35" s="27" t="inlineStr">
        <is>
          <t>MK00145</t>
        </is>
      </c>
      <c r="B35" s="27" t="n">
        <v>528000302</v>
      </c>
      <c r="C35" s="27" t="inlineStr">
        <is>
          <t>Henkey gumilar</t>
        </is>
      </c>
      <c r="D35" s="171" t="n">
        <v>46171.41666666666</v>
      </c>
      <c r="E35" s="26" t="n">
        <v>0.5985648148148148</v>
      </c>
      <c r="F35" s="27" t="inlineStr">
        <is>
          <t>Shift 2</t>
        </is>
      </c>
      <c r="G35" s="27" t="n"/>
    </row>
    <row r="36" hidden="1" s="169">
      <c r="A36" s="27" t="n">
        <v>528000232</v>
      </c>
      <c r="B36" s="27" t="n">
        <v>528000232</v>
      </c>
      <c r="C36" s="27" t="inlineStr">
        <is>
          <t>Agung Aji Suhada</t>
        </is>
      </c>
      <c r="D36" s="171" t="n">
        <v>46171.41666666666</v>
      </c>
      <c r="E36" s="26" t="n">
        <v>0.6016319444444445</v>
      </c>
      <c r="F36" s="27" t="inlineStr">
        <is>
          <t>Shift 2</t>
        </is>
      </c>
      <c r="G36" s="27" t="n"/>
    </row>
    <row r="37" hidden="1" s="169">
      <c r="A37" s="27" t="inlineStr">
        <is>
          <t>MK528000144</t>
        </is>
      </c>
      <c r="B37" s="27" t="n">
        <v>528000144</v>
      </c>
      <c r="C37" s="27" t="inlineStr">
        <is>
          <t>Jodi Hanafi</t>
        </is>
      </c>
      <c r="D37" s="171" t="n">
        <v>46171.41666666666</v>
      </c>
      <c r="E37" s="26" t="n">
        <v>0.6023842592592593</v>
      </c>
      <c r="F37" s="27" t="inlineStr">
        <is>
          <t>Shift 2</t>
        </is>
      </c>
      <c r="G37" s="27" t="n"/>
    </row>
    <row r="38" hidden="1" s="169">
      <c r="A38" s="27" t="inlineStr">
        <is>
          <t>MK00093</t>
        </is>
      </c>
      <c r="B38" s="27" t="n">
        <v>528000273</v>
      </c>
      <c r="C38" s="27" t="inlineStr">
        <is>
          <t>Asep Mulyana</t>
        </is>
      </c>
      <c r="D38" s="171" t="n">
        <v>46171.41666666666</v>
      </c>
      <c r="E38" s="26" t="n">
        <v>0.6632754629629629</v>
      </c>
      <c r="F38" s="27" t="inlineStr">
        <is>
          <t>Shift 2</t>
        </is>
      </c>
      <c r="G38" s="27" t="n"/>
    </row>
    <row r="39" hidden="1" s="169">
      <c r="A39" s="27" t="inlineStr">
        <is>
          <t>MK00158</t>
        </is>
      </c>
      <c r="B39" s="27" t="n">
        <v>528000244</v>
      </c>
      <c r="C39" s="27" t="inlineStr">
        <is>
          <t>Rodian Rifai</t>
        </is>
      </c>
      <c r="D39" s="171" t="n">
        <v>46171.41666666666</v>
      </c>
      <c r="E39" s="26" t="n">
        <v>0.8965625</v>
      </c>
      <c r="F39" s="27" t="inlineStr">
        <is>
          <t>Shift 3</t>
        </is>
      </c>
      <c r="G39" s="27" t="n"/>
    </row>
    <row r="40" hidden="1" s="169">
      <c r="A40" s="27" t="inlineStr">
        <is>
          <t>MKZ0138</t>
        </is>
      </c>
      <c r="B40" s="27" t="n">
        <v>528000301</v>
      </c>
      <c r="C40" s="27" t="inlineStr">
        <is>
          <t>Muhammad Mukti Ridwan</t>
        </is>
      </c>
      <c r="D40" s="171" t="n">
        <v>46171.41666666666</v>
      </c>
      <c r="E40" s="26" t="n">
        <v>0.8969675925925926</v>
      </c>
      <c r="F40" s="27" t="inlineStr">
        <is>
          <t>Shift 3</t>
        </is>
      </c>
      <c r="G40" s="27" t="n"/>
    </row>
    <row r="41" hidden="1" s="169">
      <c r="A41" s="27" t="inlineStr">
        <is>
          <t>MK00181</t>
        </is>
      </c>
      <c r="B41" s="27" t="n">
        <v>528000286</v>
      </c>
      <c r="C41" s="27" t="inlineStr">
        <is>
          <t>Imelda Amelia</t>
        </is>
      </c>
      <c r="D41" s="171" t="n">
        <v>46171.41666666666</v>
      </c>
      <c r="E41" s="26" t="n">
        <v>0.9025115740740741</v>
      </c>
      <c r="F41" s="27" t="inlineStr">
        <is>
          <t>Shift 3</t>
        </is>
      </c>
      <c r="G41" s="27" t="n"/>
    </row>
    <row r="42" hidden="1" s="169">
      <c r="A42" s="27" t="inlineStr">
        <is>
          <t>MK00141</t>
        </is>
      </c>
      <c r="B42" s="27" t="n">
        <v>528000241</v>
      </c>
      <c r="C42" s="27" t="inlineStr">
        <is>
          <t>Balia Nurafif Bilah</t>
        </is>
      </c>
      <c r="D42" s="171" t="n">
        <v>46171.41666666666</v>
      </c>
      <c r="E42" s="26" t="n">
        <v>0.9088888888888889</v>
      </c>
      <c r="F42" s="27" t="inlineStr">
        <is>
          <t>Shift 3</t>
        </is>
      </c>
      <c r="G42" s="27" t="n"/>
    </row>
    <row r="43" hidden="1" s="169">
      <c r="A43" s="27" t="inlineStr">
        <is>
          <t>MK00145</t>
        </is>
      </c>
      <c r="B43" s="27" t="n">
        <v>528000274</v>
      </c>
      <c r="C43" s="27" t="inlineStr">
        <is>
          <t>Zepri</t>
        </is>
      </c>
      <c r="D43" s="171" t="n">
        <v>46171.41666666666</v>
      </c>
      <c r="E43" s="26" t="n">
        <v>0.9116898148148148</v>
      </c>
      <c r="F43" s="27" t="inlineStr">
        <is>
          <t>Shift 3</t>
        </is>
      </c>
      <c r="G43" s="27" t="n"/>
    </row>
    <row r="44" hidden="1" s="169">
      <c r="A44" s="27" t="inlineStr">
        <is>
          <t>MK00250</t>
        </is>
      </c>
      <c r="B44" s="27" t="n">
        <v>528000090</v>
      </c>
      <c r="C44" s="27" t="inlineStr">
        <is>
          <t>Suganda</t>
        </is>
      </c>
      <c r="D44" s="171" t="n">
        <v>46171.41666666666</v>
      </c>
      <c r="E44" s="26" t="n">
        <v>0.9129976851851852</v>
      </c>
      <c r="F44" s="27" t="inlineStr">
        <is>
          <t>Shift 3</t>
        </is>
      </c>
      <c r="G44" s="27" t="n"/>
    </row>
    <row r="45" hidden="1" s="169">
      <c r="A45" s="27" t="inlineStr">
        <is>
          <t>MK00150</t>
        </is>
      </c>
      <c r="B45" s="27" t="n">
        <v>528000212</v>
      </c>
      <c r="C45" s="27" t="inlineStr">
        <is>
          <t>Rizal Fauzi</t>
        </is>
      </c>
      <c r="D45" s="171" t="n">
        <v>46171.41666666666</v>
      </c>
      <c r="E45" s="26" t="n">
        <v>0.9132060185185186</v>
      </c>
      <c r="F45" s="27" t="inlineStr">
        <is>
          <t>Shift 3</t>
        </is>
      </c>
      <c r="G45" s="27" t="n"/>
    </row>
    <row r="46" hidden="1" s="169">
      <c r="A46" s="27" t="inlineStr">
        <is>
          <t>MK00159</t>
        </is>
      </c>
      <c r="B46" s="27" t="n">
        <v>528000290</v>
      </c>
      <c r="C46" s="27" t="inlineStr">
        <is>
          <t>Eval Pranata</t>
        </is>
      </c>
      <c r="D46" s="171" t="n">
        <v>46171.41666666666</v>
      </c>
      <c r="E46" s="26" t="n">
        <v>0.916875</v>
      </c>
      <c r="F46" s="27" t="inlineStr">
        <is>
          <t>Shift 3</t>
        </is>
      </c>
      <c r="G46" s="27" t="n"/>
    </row>
    <row r="47" hidden="1" s="169">
      <c r="A47" s="27" t="inlineStr">
        <is>
          <t>MK00136</t>
        </is>
      </c>
      <c r="B47" s="27" t="n">
        <v>528000052</v>
      </c>
      <c r="C47" s="27" t="inlineStr">
        <is>
          <t>Mustopa</t>
        </is>
      </c>
      <c r="D47" s="171" t="n">
        <v>46171.41666666666</v>
      </c>
      <c r="E47" s="26" t="n">
        <v>0.926712962962963</v>
      </c>
      <c r="F47" s="27" t="inlineStr">
        <is>
          <t>Shift 3</t>
        </is>
      </c>
      <c r="G47" s="27" t="n"/>
    </row>
    <row r="48" hidden="1" s="169">
      <c r="A48" s="27" t="n">
        <v>528000296</v>
      </c>
      <c r="B48" s="27" t="n">
        <v>528000296</v>
      </c>
      <c r="C48" s="27" t="inlineStr">
        <is>
          <t>Nurdin</t>
        </is>
      </c>
      <c r="D48" s="171" t="n">
        <v>46171.41666666666</v>
      </c>
      <c r="E48" s="26" t="n">
        <v>0.9367476851851851</v>
      </c>
      <c r="F48" s="27" t="inlineStr">
        <is>
          <t>Shift 3</t>
        </is>
      </c>
      <c r="G48" s="27" t="n">
        <v>116</v>
      </c>
    </row>
    <row r="49" hidden="1" s="169">
      <c r="A49" s="27" t="inlineStr">
        <is>
          <t>MK00085</t>
        </is>
      </c>
      <c r="B49" s="27" t="n">
        <v>528000098</v>
      </c>
      <c r="C49" s="27" t="inlineStr">
        <is>
          <t>Edi Junaedi</t>
        </is>
      </c>
      <c r="D49" s="171" t="n">
        <v>46172.41666666666</v>
      </c>
      <c r="E49" s="26" t="n">
        <v>0.2250231481481481</v>
      </c>
      <c r="F49" s="27" t="inlineStr">
        <is>
          <t>Shift 1</t>
        </is>
      </c>
      <c r="G49" s="27" t="n"/>
    </row>
    <row r="50" hidden="1" s="169">
      <c r="A50" s="27" t="inlineStr">
        <is>
          <t>MK00082</t>
        </is>
      </c>
      <c r="B50" s="27" t="n">
        <v>628000061</v>
      </c>
      <c r="C50" s="27" t="inlineStr">
        <is>
          <t>Nayla Fadillah Exwantoro</t>
        </is>
      </c>
      <c r="D50" s="171" t="n">
        <v>46172.41666666666</v>
      </c>
      <c r="E50" s="26" t="n">
        <v>0.230150462962963</v>
      </c>
      <c r="F50" s="27" t="inlineStr">
        <is>
          <t>Shift 1</t>
        </is>
      </c>
      <c r="G50" s="27" t="n"/>
    </row>
    <row r="51" hidden="1" s="169">
      <c r="A51" s="27" t="inlineStr">
        <is>
          <t>MK00154</t>
        </is>
      </c>
      <c r="B51" s="27" t="n">
        <v>528000299</v>
      </c>
      <c r="C51" s="27" t="inlineStr">
        <is>
          <t>Siti Nurjanah</t>
        </is>
      </c>
      <c r="D51" s="171" t="n">
        <v>46172.41666666666</v>
      </c>
      <c r="E51" s="26" t="n">
        <v>0.2367476851851852</v>
      </c>
      <c r="F51" s="27" t="inlineStr">
        <is>
          <t>Shift 1</t>
        </is>
      </c>
      <c r="G51" s="27" t="n"/>
    </row>
    <row r="52" hidden="1" s="169">
      <c r="A52" s="27" t="inlineStr">
        <is>
          <t>MK00055</t>
        </is>
      </c>
      <c r="B52" s="27" t="n">
        <v>528000302</v>
      </c>
      <c r="C52" s="27" t="inlineStr">
        <is>
          <t>Henkey gumilar</t>
        </is>
      </c>
      <c r="D52" s="171" t="n">
        <v>46172.41666666666</v>
      </c>
      <c r="E52" s="26" t="n">
        <v>0.2398842592592593</v>
      </c>
      <c r="F52" s="27" t="inlineStr">
        <is>
          <t>Shift 1</t>
        </is>
      </c>
      <c r="G52" s="27" t="n"/>
    </row>
    <row r="53" hidden="1" s="169">
      <c r="A53" s="27" t="inlineStr">
        <is>
          <t>MK00126</t>
        </is>
      </c>
      <c r="B53" s="27" t="n">
        <v>528000251</v>
      </c>
      <c r="C53" s="27" t="inlineStr">
        <is>
          <t>Salya Nugraha</t>
        </is>
      </c>
      <c r="D53" s="171" t="n">
        <v>46172.41666666666</v>
      </c>
      <c r="E53" s="26" t="n">
        <v>0.2418287037037037</v>
      </c>
      <c r="F53" s="27" t="inlineStr">
        <is>
          <t>Shift 1</t>
        </is>
      </c>
      <c r="G53" s="27" t="n"/>
    </row>
    <row r="54" hidden="1" s="169">
      <c r="A54" s="27" t="inlineStr">
        <is>
          <t>MK00151</t>
        </is>
      </c>
      <c r="B54" s="27" t="n">
        <v>528000270</v>
      </c>
      <c r="C54" s="27" t="inlineStr">
        <is>
          <t>Febri Najmudin</t>
        </is>
      </c>
      <c r="D54" s="171" t="n">
        <v>46172.41666666666</v>
      </c>
      <c r="E54" s="26" t="n">
        <v>0.2433101851851852</v>
      </c>
      <c r="F54" s="27" t="inlineStr">
        <is>
          <t>Shift 1</t>
        </is>
      </c>
      <c r="G54" s="27" t="n"/>
    </row>
    <row r="55" hidden="1" s="169">
      <c r="A55" s="27" t="inlineStr">
        <is>
          <t>MK00145</t>
        </is>
      </c>
      <c r="B55" s="27" t="n">
        <v>528000354</v>
      </c>
      <c r="C55" s="27" t="inlineStr">
        <is>
          <t>Dian Rosdianti</t>
        </is>
      </c>
      <c r="D55" s="171" t="n">
        <v>46172.41666666666</v>
      </c>
      <c r="E55" s="26" t="n">
        <v>0.2727546296296297</v>
      </c>
      <c r="F55" s="27" t="inlineStr">
        <is>
          <t>Shift 1</t>
        </is>
      </c>
      <c r="G55" s="27" t="n"/>
    </row>
    <row r="56" hidden="1" s="169">
      <c r="A56" s="27" t="inlineStr">
        <is>
          <t>MK00150</t>
        </is>
      </c>
      <c r="B56" s="27" t="n">
        <v>528000297</v>
      </c>
      <c r="C56" s="27" t="inlineStr">
        <is>
          <t>Muhamad Budiana</t>
        </is>
      </c>
      <c r="D56" s="171" t="n">
        <v>46172.41666666666</v>
      </c>
      <c r="E56" s="26" t="n">
        <v>0.5736689814814815</v>
      </c>
      <c r="F56" s="27" t="inlineStr">
        <is>
          <t>Shift 2</t>
        </is>
      </c>
      <c r="G56" s="27" t="n"/>
    </row>
    <row r="57" hidden="1" s="169">
      <c r="A57" s="27" t="inlineStr">
        <is>
          <t>MK00141</t>
        </is>
      </c>
      <c r="B57" s="27" t="n">
        <v>528000279</v>
      </c>
      <c r="C57" s="27" t="inlineStr">
        <is>
          <t>Mahdalena Dalfa Riani</t>
        </is>
      </c>
      <c r="D57" s="171" t="n">
        <v>46172.41666666666</v>
      </c>
      <c r="E57" s="26" t="n">
        <v>0.5763310185185185</v>
      </c>
      <c r="F57" s="27" t="inlineStr">
        <is>
          <t>Shift 2</t>
        </is>
      </c>
      <c r="G57" s="27" t="n"/>
    </row>
    <row r="58" hidden="1" s="169">
      <c r="A58" s="27" t="inlineStr">
        <is>
          <t>MK0046</t>
        </is>
      </c>
      <c r="B58" s="27" t="n">
        <v>628000064</v>
      </c>
      <c r="C58" s="27" t="inlineStr">
        <is>
          <t>Silva Alypia</t>
        </is>
      </c>
      <c r="D58" s="171" t="n">
        <v>46172.41666666666</v>
      </c>
      <c r="E58" s="26" t="n">
        <v>0.5778819444444444</v>
      </c>
      <c r="F58" s="27" t="inlineStr">
        <is>
          <t>Shift 2</t>
        </is>
      </c>
      <c r="G58" s="27" t="n"/>
    </row>
    <row r="59" hidden="1" s="169">
      <c r="A59" s="27" t="n">
        <v>528000283</v>
      </c>
      <c r="B59" s="27" t="n">
        <v>528000283</v>
      </c>
      <c r="C59" s="27" t="inlineStr">
        <is>
          <t>Purwanda Sugiri</t>
        </is>
      </c>
      <c r="D59" s="171" t="n">
        <v>46172.41666666666</v>
      </c>
      <c r="E59" s="26" t="n">
        <v>0.9000115740740741</v>
      </c>
      <c r="F59" s="27" t="inlineStr">
        <is>
          <t>Shift 3</t>
        </is>
      </c>
      <c r="G59" s="27" t="inlineStr">
        <is>
          <t>E-12</t>
        </is>
      </c>
    </row>
    <row r="60" hidden="1" s="169">
      <c r="A60" s="27" t="inlineStr">
        <is>
          <t>MK00085</t>
        </is>
      </c>
      <c r="B60" s="27" t="n">
        <v>528000306</v>
      </c>
      <c r="C60" s="27" t="inlineStr">
        <is>
          <t>Windy Olivia</t>
        </is>
      </c>
      <c r="D60" s="171" t="n">
        <v>46172.41666666666</v>
      </c>
      <c r="E60" s="26" t="n">
        <v>0.9006481481481482</v>
      </c>
      <c r="F60" s="27" t="inlineStr">
        <is>
          <t>Shift 3</t>
        </is>
      </c>
      <c r="G60" s="27" t="n"/>
    </row>
    <row r="61" hidden="1" s="169">
      <c r="A61" s="27" t="inlineStr">
        <is>
          <t>MK00126</t>
        </is>
      </c>
      <c r="B61" s="27" t="n">
        <v>528000262</v>
      </c>
      <c r="C61" s="27" t="inlineStr">
        <is>
          <t>Ndari Dwiwanti</t>
        </is>
      </c>
      <c r="D61" s="171" t="n">
        <v>46172.41666666666</v>
      </c>
      <c r="E61" s="26" t="n">
        <v>0.9008217592592592</v>
      </c>
      <c r="F61" s="27" t="inlineStr">
        <is>
          <t>Shift 3</t>
        </is>
      </c>
      <c r="G61" s="27" t="n"/>
    </row>
    <row r="62" hidden="1" s="169">
      <c r="A62" s="27" t="n">
        <v>528000291</v>
      </c>
      <c r="B62" s="27" t="n">
        <v>528000291</v>
      </c>
      <c r="C62" s="27" t="inlineStr">
        <is>
          <t>Andrian</t>
        </is>
      </c>
      <c r="D62" s="171" t="n">
        <v>46172.41666666666</v>
      </c>
      <c r="E62" s="26" t="n">
        <v>0.9054976851851851</v>
      </c>
      <c r="F62" s="27" t="inlineStr">
        <is>
          <t>Shift 3</t>
        </is>
      </c>
      <c r="G62" s="27" t="inlineStr">
        <is>
          <t>E-14</t>
        </is>
      </c>
    </row>
    <row r="63" hidden="1" s="169">
      <c r="A63" s="27" t="inlineStr">
        <is>
          <t>MK00055</t>
        </is>
      </c>
      <c r="B63" s="27" t="n">
        <v>528000266</v>
      </c>
      <c r="C63" s="27" t="inlineStr">
        <is>
          <t>M. Syirajatieq</t>
        </is>
      </c>
      <c r="D63" s="171" t="n">
        <v>46172.41666666666</v>
      </c>
      <c r="E63" s="26" t="n">
        <v>0.9096875</v>
      </c>
      <c r="F63" s="27" t="inlineStr">
        <is>
          <t>Shift 3</t>
        </is>
      </c>
      <c r="G63" s="27" t="n"/>
    </row>
    <row r="64" hidden="1" s="169">
      <c r="A64" s="27" t="inlineStr">
        <is>
          <t>MK00151</t>
        </is>
      </c>
      <c r="B64" s="27" t="n">
        <v>528000283</v>
      </c>
      <c r="C64" s="27" t="inlineStr">
        <is>
          <t>Purwanda Sugiri</t>
        </is>
      </c>
      <c r="D64" s="171" t="n">
        <v>46172.41666666666</v>
      </c>
      <c r="E64" s="26" t="n">
        <v>0.9119791666666667</v>
      </c>
      <c r="F64" s="27" t="inlineStr">
        <is>
          <t>Shift 3</t>
        </is>
      </c>
      <c r="G64" s="27" t="n"/>
    </row>
    <row r="65" hidden="1" s="169">
      <c r="A65" s="27" t="inlineStr">
        <is>
          <t>MK00093</t>
        </is>
      </c>
      <c r="B65" s="27" t="n">
        <v>528000291</v>
      </c>
      <c r="C65" s="27" t="inlineStr">
        <is>
          <t>Andrian</t>
        </is>
      </c>
      <c r="D65" s="171" t="n">
        <v>46172.41666666666</v>
      </c>
      <c r="E65" s="26" t="n">
        <v>0.9135185185185185</v>
      </c>
      <c r="F65" s="27" t="inlineStr">
        <is>
          <t>Shift 3</t>
        </is>
      </c>
      <c r="G65" s="27" t="n"/>
    </row>
    <row r="66" hidden="1" s="169">
      <c r="A66" s="27" t="inlineStr">
        <is>
          <t>MK00138</t>
        </is>
      </c>
      <c r="B66" s="27" t="n">
        <v>528000261</v>
      </c>
      <c r="C66" s="27" t="inlineStr">
        <is>
          <t>Ergi Ergianto</t>
        </is>
      </c>
      <c r="D66" s="171" t="n">
        <v>46172.41666666666</v>
      </c>
      <c r="E66" s="26" t="n">
        <v>0.914525462962963</v>
      </c>
      <c r="F66" s="27" t="inlineStr">
        <is>
          <t>Shift 3</t>
        </is>
      </c>
      <c r="G66" s="27" t="n"/>
    </row>
    <row r="67" hidden="1" s="169">
      <c r="A67" s="27" t="inlineStr">
        <is>
          <t>MK00109</t>
        </is>
      </c>
      <c r="B67" s="27" t="n">
        <v>528000298</v>
      </c>
      <c r="C67" s="27" t="inlineStr">
        <is>
          <t>Desta Cahaya Pratama</t>
        </is>
      </c>
      <c r="D67" s="171" t="n">
        <v>46142.41666666666</v>
      </c>
      <c r="E67" s="26" t="n">
        <v>0.193599537037037</v>
      </c>
      <c r="F67" s="27" t="inlineStr">
        <is>
          <t>Shift 3</t>
        </is>
      </c>
      <c r="G67" s="27" t="inlineStr">
        <is>
          <t>9-B</t>
        </is>
      </c>
    </row>
    <row r="68" hidden="1" s="169">
      <c r="A68" s="27" t="inlineStr">
        <is>
          <t>MK00250</t>
        </is>
      </c>
      <c r="B68" s="27" t="n">
        <v>528000098</v>
      </c>
      <c r="C68" s="27" t="inlineStr">
        <is>
          <t>Edi Junaedi</t>
        </is>
      </c>
      <c r="D68" s="171" t="n">
        <v>46142.41666666666</v>
      </c>
      <c r="E68" s="26" t="n">
        <v>0.231875</v>
      </c>
      <c r="F68" s="27" t="inlineStr">
        <is>
          <t>Shift 1</t>
        </is>
      </c>
      <c r="G68" s="27" t="n"/>
    </row>
    <row r="69" hidden="1" s="169">
      <c r="A69" s="27" t="inlineStr">
        <is>
          <t>MK00082</t>
        </is>
      </c>
      <c r="B69" s="27" t="n">
        <v>628000061</v>
      </c>
      <c r="C69" s="27" t="inlineStr">
        <is>
          <t>Nayla Fadillah Exwantoro</t>
        </is>
      </c>
      <c r="D69" s="171" t="n">
        <v>46142.41666666666</v>
      </c>
      <c r="E69" s="26" t="n">
        <v>0.233125</v>
      </c>
      <c r="F69" s="27" t="inlineStr">
        <is>
          <t>Shift 1</t>
        </is>
      </c>
      <c r="G69" s="27" t="n"/>
    </row>
    <row r="70" hidden="1" s="169">
      <c r="A70" s="27" t="inlineStr">
        <is>
          <t>MK00141</t>
        </is>
      </c>
      <c r="B70" s="27" t="n">
        <v>528000299</v>
      </c>
      <c r="C70" s="27" t="inlineStr">
        <is>
          <t>Siti Nurjanah</t>
        </is>
      </c>
      <c r="D70" s="171" t="n">
        <v>46142.41666666666</v>
      </c>
      <c r="E70" s="26" t="n">
        <v>0.2367013888888889</v>
      </c>
      <c r="F70" s="27" t="inlineStr">
        <is>
          <t>Shift 1</t>
        </is>
      </c>
      <c r="G70" s="27" t="n"/>
    </row>
    <row r="71" hidden="1" s="169">
      <c r="A71" s="27" t="inlineStr">
        <is>
          <t>MK00150</t>
        </is>
      </c>
      <c r="B71" s="27" t="n">
        <v>528000305</v>
      </c>
      <c r="C71" s="27" t="inlineStr">
        <is>
          <t>Puji Puspita</t>
        </is>
      </c>
      <c r="D71" s="171" t="n">
        <v>46142.41666666666</v>
      </c>
      <c r="E71" s="26" t="n">
        <v>0.2386111111111111</v>
      </c>
      <c r="F71" s="27" t="inlineStr">
        <is>
          <t>Shift 1</t>
        </is>
      </c>
      <c r="G71" s="27" t="n"/>
    </row>
    <row r="72" hidden="1" s="169">
      <c r="A72" s="27" t="n">
        <v>7200181</v>
      </c>
      <c r="B72" s="27" t="n">
        <v>528000251</v>
      </c>
      <c r="C72" s="27" t="inlineStr">
        <is>
          <t>Salya Nugraha</t>
        </is>
      </c>
      <c r="D72" s="171" t="n">
        <v>46142.41666666666</v>
      </c>
      <c r="E72" s="26" t="n">
        <v>0.2400347222222222</v>
      </c>
      <c r="F72" s="27" t="inlineStr">
        <is>
          <t>Shift 1</t>
        </is>
      </c>
      <c r="G72" s="27" t="n"/>
    </row>
    <row r="73" hidden="1" s="169">
      <c r="A73" s="27" t="inlineStr">
        <is>
          <t>MK00145</t>
        </is>
      </c>
      <c r="B73" s="27" t="n">
        <v>528000302</v>
      </c>
      <c r="C73" s="27" t="inlineStr">
        <is>
          <t>Henkey gumilar</t>
        </is>
      </c>
      <c r="D73" s="171" t="n">
        <v>46142.41666666666</v>
      </c>
      <c r="E73" s="26" t="n">
        <v>0.2428240740740741</v>
      </c>
      <c r="F73" s="27" t="inlineStr">
        <is>
          <t>Shift 1</t>
        </is>
      </c>
      <c r="G73" s="27" t="n"/>
    </row>
    <row r="74" hidden="1" s="169">
      <c r="A74" s="27" t="inlineStr">
        <is>
          <t>MK00156</t>
        </is>
      </c>
      <c r="B74" s="27" t="n">
        <v>528000270</v>
      </c>
      <c r="C74" s="27" t="inlineStr">
        <is>
          <t>Febri Najmudin</t>
        </is>
      </c>
      <c r="D74" s="171" t="n">
        <v>46142.41666666666</v>
      </c>
      <c r="E74" s="26" t="n">
        <v>0.2432060185185185</v>
      </c>
      <c r="F74" s="27" t="inlineStr">
        <is>
          <t>Shift 1</t>
        </is>
      </c>
      <c r="G74" s="27" t="n"/>
    </row>
    <row r="75" hidden="1" s="169">
      <c r="A75" s="27" t="inlineStr">
        <is>
          <t>MK00109</t>
        </is>
      </c>
      <c r="B75" s="27" t="n">
        <v>528000298</v>
      </c>
      <c r="C75" s="27" t="inlineStr">
        <is>
          <t>Desta Cahaya Pratama</t>
        </is>
      </c>
      <c r="D75" s="171" t="n">
        <v>46142.41666666666</v>
      </c>
      <c r="E75" s="26" t="n">
        <v>0.2436342592592593</v>
      </c>
      <c r="F75" s="27" t="inlineStr">
        <is>
          <t>Shift 1</t>
        </is>
      </c>
      <c r="G75" s="27" t="n"/>
    </row>
    <row r="76" hidden="1" s="169">
      <c r="A76" s="27" t="inlineStr">
        <is>
          <t>MK00154</t>
        </is>
      </c>
      <c r="B76" s="27" t="n">
        <v>528000265</v>
      </c>
      <c r="C76" s="27" t="inlineStr">
        <is>
          <t>Muhammad Haerul Rozikin</t>
        </is>
      </c>
      <c r="D76" s="171" t="n">
        <v>46142.41666666666</v>
      </c>
      <c r="E76" s="26" t="n">
        <v>0.3206018518518519</v>
      </c>
      <c r="F76" s="27" t="inlineStr">
        <is>
          <t>Shift 1</t>
        </is>
      </c>
      <c r="G76" s="27" t="n"/>
    </row>
    <row r="77" hidden="1" s="169">
      <c r="A77" s="27" t="inlineStr">
        <is>
          <t>MK00138</t>
        </is>
      </c>
      <c r="B77" s="27" t="n">
        <v>528000296</v>
      </c>
      <c r="C77" s="27" t="inlineStr">
        <is>
          <t>Nurdin</t>
        </is>
      </c>
      <c r="D77" s="171" t="n">
        <v>46142.41666666666</v>
      </c>
      <c r="E77" s="26" t="n">
        <v>0.3354166666666666</v>
      </c>
      <c r="F77" s="27" t="inlineStr">
        <is>
          <t>Shift 1</t>
        </is>
      </c>
      <c r="G77" s="27" t="n"/>
    </row>
    <row r="78" hidden="1" s="169">
      <c r="A78" s="27" t="inlineStr">
        <is>
          <t>MK00126</t>
        </is>
      </c>
      <c r="B78" s="27" t="n">
        <v>528000069</v>
      </c>
      <c r="C78" s="27" t="inlineStr">
        <is>
          <t>Jajang Ardiansyah</t>
        </is>
      </c>
      <c r="D78" s="171" t="n">
        <v>46142.41666666666</v>
      </c>
      <c r="E78" s="26" t="n">
        <v>0.3354976851851852</v>
      </c>
      <c r="F78" s="27" t="inlineStr">
        <is>
          <t>Shift 1</t>
        </is>
      </c>
      <c r="G78" s="27" t="n"/>
    </row>
    <row r="79" hidden="1" s="169">
      <c r="A79" s="27" t="inlineStr">
        <is>
          <t>MK00151</t>
        </is>
      </c>
      <c r="B79" s="27" t="n">
        <v>528000279</v>
      </c>
      <c r="C79" s="27" t="inlineStr">
        <is>
          <t>Mahdalena Dalfa Riani</t>
        </is>
      </c>
      <c r="D79" s="171" t="n">
        <v>46142.41666666666</v>
      </c>
      <c r="E79" s="26" t="n">
        <v>0.573599537037037</v>
      </c>
      <c r="F79" s="27" t="inlineStr">
        <is>
          <t>Shift 2</t>
        </is>
      </c>
      <c r="G79" s="27" t="n"/>
    </row>
    <row r="80" hidden="1" s="169">
      <c r="A80" s="27" t="inlineStr">
        <is>
          <t>MK00116</t>
        </is>
      </c>
      <c r="B80" s="27" t="n">
        <v>528000297</v>
      </c>
      <c r="C80" s="27" t="inlineStr">
        <is>
          <t>Muhamad Budiana</t>
        </is>
      </c>
      <c r="D80" s="171" t="n">
        <v>46142.41666666666</v>
      </c>
      <c r="E80" s="26" t="n">
        <v>0.5759837962962963</v>
      </c>
      <c r="F80" s="27" t="inlineStr">
        <is>
          <t>Shift 2</t>
        </is>
      </c>
      <c r="G80" s="27" t="n"/>
    </row>
    <row r="81" hidden="1" s="169">
      <c r="A81" s="27" t="inlineStr">
        <is>
          <t>MK00148</t>
        </is>
      </c>
      <c r="B81" s="27" t="n">
        <v>528000300</v>
      </c>
      <c r="C81" s="27" t="inlineStr">
        <is>
          <t>Lia pitaloka</t>
        </is>
      </c>
      <c r="D81" s="171" t="n">
        <v>46142.41666666666</v>
      </c>
      <c r="E81" s="26" t="n">
        <v>0.5774305555555556</v>
      </c>
      <c r="F81" s="27" t="inlineStr">
        <is>
          <t>Shift 2</t>
        </is>
      </c>
      <c r="G81" s="27" t="n"/>
    </row>
    <row r="82" hidden="1" s="169">
      <c r="A82" s="27" t="inlineStr">
        <is>
          <t>MK00113</t>
        </is>
      </c>
      <c r="B82" s="27" t="n">
        <v>528000210</v>
      </c>
      <c r="C82" s="27" t="inlineStr">
        <is>
          <t>Muhamad Aldi Agustiana</t>
        </is>
      </c>
      <c r="D82" s="171" t="n">
        <v>46142.41666666666</v>
      </c>
      <c r="E82" s="26" t="n">
        <v>0.5778472222222222</v>
      </c>
      <c r="F82" s="27" t="inlineStr">
        <is>
          <t>Shift 2</t>
        </is>
      </c>
      <c r="G82" s="27" t="n"/>
    </row>
    <row r="83" hidden="1" s="169">
      <c r="A83" s="27" t="inlineStr">
        <is>
          <t>MK00093</t>
        </is>
      </c>
      <c r="B83" s="27" t="n">
        <v>528000292</v>
      </c>
      <c r="C83" s="27" t="inlineStr">
        <is>
          <t>Aditia Nugraha</t>
        </is>
      </c>
      <c r="D83" s="171" t="n">
        <v>46142.41666666666</v>
      </c>
      <c r="E83" s="26" t="n">
        <v>0.5790740740740741</v>
      </c>
      <c r="F83" s="27" t="inlineStr">
        <is>
          <t>Shift 2</t>
        </is>
      </c>
      <c r="G83" s="27" t="n"/>
    </row>
    <row r="84" hidden="1" s="169">
      <c r="A84" s="27" t="inlineStr">
        <is>
          <t>MK00154</t>
        </is>
      </c>
      <c r="B84" s="27" t="n">
        <v>528000052</v>
      </c>
      <c r="C84" s="27" t="inlineStr">
        <is>
          <t>Mustopa</t>
        </is>
      </c>
      <c r="D84" s="171" t="n">
        <v>46142.41666666666</v>
      </c>
      <c r="E84" s="26" t="n">
        <v>0.8834953703703704</v>
      </c>
      <c r="F84" s="27" t="inlineStr">
        <is>
          <t>Shift 3</t>
        </is>
      </c>
      <c r="G84" s="27" t="n"/>
    </row>
    <row r="85" hidden="1" s="169">
      <c r="A85" s="27" t="inlineStr">
        <is>
          <t>MK00109</t>
        </is>
      </c>
      <c r="B85" s="27" t="n">
        <v>528000262</v>
      </c>
      <c r="C85" s="27" t="inlineStr">
        <is>
          <t>Ndari Dwiwanti</t>
        </is>
      </c>
      <c r="D85" s="171" t="n">
        <v>46142.41666666666</v>
      </c>
      <c r="E85" s="26" t="n">
        <v>0.9001041666666667</v>
      </c>
      <c r="F85" s="27" t="inlineStr">
        <is>
          <t>Shift 3</t>
        </is>
      </c>
      <c r="G85" s="27" t="n"/>
    </row>
    <row r="86" hidden="1" s="169">
      <c r="A86" s="27" t="inlineStr">
        <is>
          <t>MK00250</t>
        </is>
      </c>
      <c r="B86" s="27" t="n">
        <v>528000306</v>
      </c>
      <c r="C86" s="27" t="inlineStr">
        <is>
          <t>Windy Olivia</t>
        </is>
      </c>
      <c r="D86" s="171" t="n">
        <v>46142.41666666666</v>
      </c>
      <c r="E86" s="26" t="n">
        <v>0.900162037037037</v>
      </c>
      <c r="F86" s="27" t="inlineStr">
        <is>
          <t>Shift 3</t>
        </is>
      </c>
      <c r="G86" s="27" t="n"/>
    </row>
    <row r="87" hidden="1" s="169">
      <c r="A87" s="27" t="inlineStr">
        <is>
          <t>MK00126</t>
        </is>
      </c>
      <c r="B87" s="27" t="n">
        <v>528000266</v>
      </c>
      <c r="C87" s="27" t="inlineStr">
        <is>
          <t>M. Syirajatieq</t>
        </is>
      </c>
      <c r="D87" s="171" t="n">
        <v>46142.41666666666</v>
      </c>
      <c r="E87" s="26" t="n">
        <v>0.9005439814814815</v>
      </c>
      <c r="F87" s="27" t="inlineStr">
        <is>
          <t>Shift 3</t>
        </is>
      </c>
      <c r="G87" s="27" t="n"/>
    </row>
    <row r="88" hidden="1" s="169">
      <c r="A88" s="27" t="inlineStr">
        <is>
          <t>MK00156</t>
        </is>
      </c>
      <c r="B88" s="27" t="n">
        <v>528000195</v>
      </c>
      <c r="C88" s="27" t="inlineStr">
        <is>
          <t>Rahma Sariwati</t>
        </is>
      </c>
      <c r="D88" s="171" t="n">
        <v>46142.41666666666</v>
      </c>
      <c r="E88" s="26" t="n">
        <v>0.9053125</v>
      </c>
      <c r="F88" s="27" t="inlineStr">
        <is>
          <t>Shift 3</t>
        </is>
      </c>
      <c r="G88" s="27" t="n"/>
    </row>
    <row r="89" hidden="1" s="169">
      <c r="A89" s="27" t="inlineStr">
        <is>
          <t>MK00082</t>
        </is>
      </c>
      <c r="B89" s="27" t="n">
        <v>528000291</v>
      </c>
      <c r="C89" s="27" t="inlineStr">
        <is>
          <t>Andrian</t>
        </is>
      </c>
      <c r="D89" s="171" t="n">
        <v>46142.41666666666</v>
      </c>
      <c r="E89" s="26" t="n">
        <v>0.9104398148148148</v>
      </c>
      <c r="F89" s="27" t="inlineStr">
        <is>
          <t>Shift 3</t>
        </is>
      </c>
      <c r="G89" s="27" t="n"/>
    </row>
    <row r="90" hidden="1" s="169">
      <c r="A90" s="27" t="inlineStr">
        <is>
          <t>MK00158</t>
        </is>
      </c>
      <c r="B90" s="27" t="n">
        <v>528000261</v>
      </c>
      <c r="C90" s="27" t="inlineStr">
        <is>
          <t>Ergi Ergianto</t>
        </is>
      </c>
      <c r="D90" s="171" t="n">
        <v>46142.41666666666</v>
      </c>
      <c r="E90" s="26" t="n">
        <v>0.9116087962962963</v>
      </c>
      <c r="F90" s="27" t="inlineStr">
        <is>
          <t>Shift 3</t>
        </is>
      </c>
      <c r="G90" s="27" t="n"/>
    </row>
    <row r="91" hidden="1" s="169">
      <c r="A91" s="27" t="inlineStr">
        <is>
          <t>MK00150</t>
        </is>
      </c>
      <c r="B91" s="27" t="n">
        <v>528000283</v>
      </c>
      <c r="C91" s="27" t="inlineStr">
        <is>
          <t>Purwanda Sugiri</t>
        </is>
      </c>
      <c r="D91" s="171" t="n">
        <v>46142.41666666666</v>
      </c>
      <c r="E91" s="26" t="n">
        <v>0.9129861111111112</v>
      </c>
      <c r="F91" s="27" t="inlineStr">
        <is>
          <t>Shift 3</t>
        </is>
      </c>
      <c r="G91" s="27" t="n"/>
    </row>
    <row r="92" hidden="1" s="169">
      <c r="A92" s="27" t="inlineStr">
        <is>
          <t>MK00056</t>
        </is>
      </c>
      <c r="B92" s="27" t="n">
        <v>528000301</v>
      </c>
      <c r="C92" s="27" t="inlineStr">
        <is>
          <t>Muhammad Mukti Ridwan</t>
        </is>
      </c>
      <c r="D92" s="171" t="n">
        <v>46142.41666666666</v>
      </c>
      <c r="E92" s="26" t="n">
        <v>0.9132870370370371</v>
      </c>
      <c r="F92" s="27" t="inlineStr">
        <is>
          <t>Shift 3</t>
        </is>
      </c>
      <c r="G92" s="27" t="n"/>
    </row>
    <row r="93" hidden="1" s="169">
      <c r="A93" s="27" t="inlineStr">
        <is>
          <t>MK00082</t>
        </is>
      </c>
      <c r="B93" s="27" t="n">
        <v>528000291</v>
      </c>
      <c r="C93" s="27" t="inlineStr">
        <is>
          <t>Andrian</t>
        </is>
      </c>
      <c r="D93" s="171" t="n">
        <v>46142.41666666666</v>
      </c>
      <c r="E93" s="26" t="n">
        <v>0.9136805555555556</v>
      </c>
      <c r="F93" s="27" t="inlineStr">
        <is>
          <t>Shift 3</t>
        </is>
      </c>
      <c r="G93" s="27" t="n"/>
    </row>
    <row r="94">
      <c r="A94" s="27" t="inlineStr">
        <is>
          <t>MK00145</t>
        </is>
      </c>
      <c r="B94" s="27" t="n">
        <v>528000015</v>
      </c>
      <c r="C94" s="27" t="inlineStr">
        <is>
          <t>Erwin</t>
        </is>
      </c>
      <c r="D94" s="171" t="n">
        <v>46142.41666666666</v>
      </c>
      <c r="E94" s="26" t="n">
        <v>0.915</v>
      </c>
      <c r="F94" s="27" t="inlineStr">
        <is>
          <t>Shift 3</t>
        </is>
      </c>
      <c r="G94" s="27" t="n"/>
    </row>
    <row r="95" hidden="1" s="169">
      <c r="A95" s="27" t="inlineStr">
        <is>
          <t>MK00136</t>
        </is>
      </c>
      <c r="B95" s="27" t="n">
        <v>628000064</v>
      </c>
      <c r="C95" s="27" t="inlineStr">
        <is>
          <t>Silva Alypia</t>
        </is>
      </c>
      <c r="D95" s="171" t="n">
        <v>46142.41666666666</v>
      </c>
      <c r="E95" s="26" t="n">
        <v>0.9229398148148148</v>
      </c>
      <c r="F95" s="27" t="inlineStr">
        <is>
          <t>Shift 3</t>
        </is>
      </c>
      <c r="G95" s="27" t="n"/>
    </row>
    <row r="96" hidden="1" s="169">
      <c r="A96" s="27" t="inlineStr">
        <is>
          <t>MK00116</t>
        </is>
      </c>
      <c r="B96" s="27" t="n">
        <v>528000098</v>
      </c>
      <c r="C96" s="27" t="inlineStr">
        <is>
          <t>Edi Junaedi</t>
        </is>
      </c>
      <c r="D96" s="171" t="n">
        <v>46143.41666666666</v>
      </c>
      <c r="E96" s="26" t="n">
        <v>0.2219328703703704</v>
      </c>
      <c r="F96" s="27" t="inlineStr">
        <is>
          <t>Shift 1</t>
        </is>
      </c>
      <c r="G96" s="27" t="n"/>
    </row>
    <row r="97" hidden="1" s="169">
      <c r="A97" s="27" t="inlineStr">
        <is>
          <t>MK00184</t>
        </is>
      </c>
      <c r="B97" s="27" t="n">
        <v>528000305</v>
      </c>
      <c r="C97" s="27" t="inlineStr">
        <is>
          <t>Puji Puspita</t>
        </is>
      </c>
      <c r="D97" s="171" t="n">
        <v>46143.41666666666</v>
      </c>
      <c r="E97" s="26" t="n">
        <v>0.2356944444444445</v>
      </c>
      <c r="F97" s="27" t="inlineStr">
        <is>
          <t>Shift 1</t>
        </is>
      </c>
      <c r="G97" s="27" t="n"/>
    </row>
    <row r="98" hidden="1" s="169">
      <c r="A98" s="27" t="inlineStr">
        <is>
          <t>MK00136</t>
        </is>
      </c>
      <c r="B98" s="27" t="n">
        <v>628000061</v>
      </c>
      <c r="C98" s="27" t="inlineStr">
        <is>
          <t>Nayla Fadillah Exwantoro</t>
        </is>
      </c>
      <c r="D98" s="171" t="n">
        <v>46143.41666666666</v>
      </c>
      <c r="E98" s="26" t="n">
        <v>0.2360763888888889</v>
      </c>
      <c r="F98" s="27" t="inlineStr">
        <is>
          <t>Shift 1</t>
        </is>
      </c>
      <c r="G98" s="27" t="n"/>
    </row>
    <row r="99" hidden="1" s="169">
      <c r="A99" s="27" t="inlineStr">
        <is>
          <t>MK00181</t>
        </is>
      </c>
      <c r="B99" s="27" t="n">
        <v>528000299</v>
      </c>
      <c r="C99" s="27" t="inlineStr">
        <is>
          <t>Siti Nurjanah</t>
        </is>
      </c>
      <c r="D99" s="171" t="n">
        <v>46143.41666666666</v>
      </c>
      <c r="E99" s="26" t="n">
        <v>0.2362962962962963</v>
      </c>
      <c r="F99" s="27" t="inlineStr">
        <is>
          <t>Shift 1</t>
        </is>
      </c>
      <c r="G99" s="27" t="n"/>
    </row>
    <row r="100" hidden="1" s="169">
      <c r="A100" s="27" t="inlineStr">
        <is>
          <t>MK0085</t>
        </is>
      </c>
      <c r="B100" s="27" t="n">
        <v>528000302</v>
      </c>
      <c r="C100" s="27" t="inlineStr">
        <is>
          <t>Henkey gumilar</t>
        </is>
      </c>
      <c r="D100" s="171" t="n">
        <v>46143.41666666666</v>
      </c>
      <c r="E100" s="26" t="n">
        <v>0.2431134259259259</v>
      </c>
      <c r="F100" s="27" t="inlineStr">
        <is>
          <t>Shift 1</t>
        </is>
      </c>
      <c r="G100" s="27" t="n"/>
    </row>
    <row r="101" hidden="1" s="169">
      <c r="A101" s="27" t="inlineStr">
        <is>
          <t>MK00046</t>
        </is>
      </c>
      <c r="B101" s="27" t="n">
        <v>528000270</v>
      </c>
      <c r="C101" s="27" t="inlineStr">
        <is>
          <t>Febri Najmudin</t>
        </is>
      </c>
      <c r="D101" s="171" t="n">
        <v>46143.41666666666</v>
      </c>
      <c r="E101" s="26" t="n">
        <v>0.2456944444444444</v>
      </c>
      <c r="F101" s="27" t="inlineStr">
        <is>
          <t>Shift 1</t>
        </is>
      </c>
      <c r="G101" s="27" t="n"/>
    </row>
    <row r="102" hidden="1" s="169">
      <c r="A102" s="27" t="inlineStr">
        <is>
          <t>MK00155</t>
        </is>
      </c>
      <c r="B102" s="27" t="n">
        <v>528000298</v>
      </c>
      <c r="C102" s="27" t="inlineStr">
        <is>
          <t>Desta Cahaya Pratama</t>
        </is>
      </c>
      <c r="D102" s="171" t="n">
        <v>46143.41666666666</v>
      </c>
      <c r="E102" s="26" t="n">
        <v>0.2505092592592593</v>
      </c>
      <c r="F102" s="27" t="inlineStr">
        <is>
          <t>Shift 1</t>
        </is>
      </c>
      <c r="G102" s="27" t="n"/>
    </row>
    <row r="103" hidden="1" s="169">
      <c r="A103" s="27" t="inlineStr">
        <is>
          <t>MK00088</t>
        </is>
      </c>
      <c r="B103" s="27" t="n">
        <v>528000069</v>
      </c>
      <c r="C103" s="27" t="inlineStr">
        <is>
          <t>Jajang Ardiansyah</t>
        </is>
      </c>
      <c r="D103" s="171" t="n">
        <v>46143.41666666666</v>
      </c>
      <c r="E103" s="26" t="n">
        <v>0.2905671296296296</v>
      </c>
      <c r="F103" s="27" t="inlineStr">
        <is>
          <t>Shift 1</t>
        </is>
      </c>
      <c r="G103" s="27" t="n"/>
    </row>
    <row r="104" hidden="1" s="169">
      <c r="A104" s="27" t="inlineStr">
        <is>
          <t>MK00145</t>
        </is>
      </c>
      <c r="B104" s="27" t="n">
        <v>528000282</v>
      </c>
      <c r="C104" s="27" t="inlineStr">
        <is>
          <t>Defa Desfiana</t>
        </is>
      </c>
      <c r="D104" s="171" t="n">
        <v>46143.41666666666</v>
      </c>
      <c r="E104" s="26" t="n">
        <v>0.3120138888888889</v>
      </c>
      <c r="F104" s="27" t="inlineStr">
        <is>
          <t>Shift 1</t>
        </is>
      </c>
      <c r="G104" s="27" t="inlineStr">
        <is>
          <t>23C</t>
        </is>
      </c>
    </row>
    <row r="105" hidden="1" s="169">
      <c r="A105" s="27" t="inlineStr">
        <is>
          <t>MK00082</t>
        </is>
      </c>
      <c r="B105" s="27" t="n">
        <v>528000265</v>
      </c>
      <c r="C105" s="27" t="inlineStr">
        <is>
          <t>Muhammad Haerul Rozikin</t>
        </is>
      </c>
      <c r="D105" s="171" t="n">
        <v>46143.41666666666</v>
      </c>
      <c r="E105" s="26" t="n">
        <v>0.3215509259259259</v>
      </c>
      <c r="F105" s="27" t="inlineStr">
        <is>
          <t>Shift 1</t>
        </is>
      </c>
      <c r="G105" s="27" t="n"/>
    </row>
    <row r="106" hidden="1" s="169">
      <c r="A106" s="27" t="inlineStr">
        <is>
          <t>MK00141</t>
        </is>
      </c>
      <c r="B106" s="27" t="n">
        <v>528000351</v>
      </c>
      <c r="C106" s="27" t="inlineStr">
        <is>
          <t>Mulyana</t>
        </is>
      </c>
      <c r="D106" s="171" t="n">
        <v>46143.41666666666</v>
      </c>
      <c r="E106" s="26" t="n">
        <v>0.3254513888888889</v>
      </c>
      <c r="F106" s="27" t="inlineStr">
        <is>
          <t>Shift 1</t>
        </is>
      </c>
      <c r="G106" s="27" t="n"/>
    </row>
    <row r="107" hidden="1" s="169">
      <c r="A107" s="27" t="inlineStr">
        <is>
          <t>MK00156</t>
        </is>
      </c>
      <c r="B107" s="27" t="n">
        <v>528000287</v>
      </c>
      <c r="C107" s="27" t="inlineStr">
        <is>
          <t>Muhamad Angga Ramdani</t>
        </is>
      </c>
      <c r="D107" s="171" t="n">
        <v>46143.41666666666</v>
      </c>
      <c r="E107" s="26" t="n">
        <v>0.3291087962962963</v>
      </c>
      <c r="F107" s="27" t="inlineStr">
        <is>
          <t>Shift 1</t>
        </is>
      </c>
      <c r="G107" s="27" t="n"/>
    </row>
    <row r="108" hidden="1" s="169">
      <c r="A108" s="27" t="inlineStr">
        <is>
          <t>MK00158</t>
        </is>
      </c>
      <c r="B108" s="27" t="n">
        <v>528000232</v>
      </c>
      <c r="C108" s="27" t="inlineStr">
        <is>
          <t>Agung Aji Suhada</t>
        </is>
      </c>
      <c r="D108" s="171" t="n">
        <v>46143.41666666666</v>
      </c>
      <c r="E108" s="26" t="n">
        <v>0.3733912037037037</v>
      </c>
      <c r="F108" s="27" t="inlineStr">
        <is>
          <t>Shift 1</t>
        </is>
      </c>
      <c r="G108" s="27" t="n"/>
    </row>
    <row r="109" hidden="1" s="169">
      <c r="A109" s="27" t="inlineStr">
        <is>
          <t>MK00154</t>
        </is>
      </c>
      <c r="B109" s="27" t="n">
        <v>528000203</v>
      </c>
      <c r="C109" s="27" t="inlineStr">
        <is>
          <t>Yudha Ramdhan Putra</t>
        </is>
      </c>
      <c r="D109" s="171" t="n">
        <v>46143.41666666666</v>
      </c>
      <c r="E109" s="26" t="n">
        <v>0.3745486111111111</v>
      </c>
      <c r="F109" s="27" t="inlineStr">
        <is>
          <t>Shift 1</t>
        </is>
      </c>
      <c r="G109" s="27" t="n"/>
    </row>
    <row r="110" hidden="1" s="169">
      <c r="A110" s="27" t="inlineStr">
        <is>
          <t>MK00126</t>
        </is>
      </c>
      <c r="B110" s="27" t="n">
        <v>528000244</v>
      </c>
      <c r="C110" s="27" t="inlineStr">
        <is>
          <t>Rodian Rifai</t>
        </is>
      </c>
      <c r="D110" s="171" t="n">
        <v>46143.41666666666</v>
      </c>
      <c r="E110" s="26" t="n">
        <v>0.5562615740740741</v>
      </c>
      <c r="F110" s="27" t="inlineStr">
        <is>
          <t>Shift 2</t>
        </is>
      </c>
      <c r="G110" s="27" t="n"/>
    </row>
    <row r="111" hidden="1" s="169">
      <c r="A111" s="27" t="inlineStr">
        <is>
          <t>MK00148</t>
        </is>
      </c>
      <c r="B111" s="27" t="n">
        <v>528000201</v>
      </c>
      <c r="C111" s="27" t="inlineStr">
        <is>
          <t>Zahwa Amelia Choerunissa</t>
        </is>
      </c>
      <c r="D111" s="171" t="n">
        <v>46143.41666666666</v>
      </c>
      <c r="E111" s="26" t="n">
        <v>0.5633101851851852</v>
      </c>
      <c r="F111" s="27" t="inlineStr">
        <is>
          <t>Shift 2</t>
        </is>
      </c>
      <c r="G111" s="27" t="n"/>
    </row>
    <row r="112" hidden="1" s="169">
      <c r="A112" s="27" t="inlineStr">
        <is>
          <t>MK0155</t>
        </is>
      </c>
      <c r="B112" s="27" t="n">
        <v>528000212</v>
      </c>
      <c r="C112" s="27" t="inlineStr">
        <is>
          <t>Rizal Fauzi</t>
        </is>
      </c>
      <c r="D112" s="171" t="n">
        <v>46143.41666666666</v>
      </c>
      <c r="E112" s="26" t="n">
        <v>0.5635300925925926</v>
      </c>
      <c r="F112" s="27" t="inlineStr">
        <is>
          <t>Shift 2</t>
        </is>
      </c>
      <c r="G112" s="27" t="n"/>
    </row>
    <row r="113" hidden="1" s="169">
      <c r="A113" s="27" t="inlineStr">
        <is>
          <t>MK00113</t>
        </is>
      </c>
      <c r="B113" s="27" t="n">
        <v>528000099</v>
      </c>
      <c r="C113" s="27" t="inlineStr">
        <is>
          <t>Siti Nurawaliah</t>
        </is>
      </c>
      <c r="D113" s="171" t="n">
        <v>46143.41666666666</v>
      </c>
      <c r="E113" s="26" t="n">
        <v>0.5652083333333333</v>
      </c>
      <c r="F113" s="27" t="inlineStr">
        <is>
          <t>Shift 2</t>
        </is>
      </c>
      <c r="G113" s="27" t="n"/>
    </row>
    <row r="114" hidden="1" s="169">
      <c r="A114" s="27" t="inlineStr">
        <is>
          <t>MK00207</t>
        </is>
      </c>
      <c r="B114" s="27" t="n">
        <v>528000286</v>
      </c>
      <c r="C114" s="27" t="inlineStr">
        <is>
          <t>Imelda Amelia</t>
        </is>
      </c>
      <c r="D114" s="171" t="n">
        <v>46143.41666666666</v>
      </c>
      <c r="E114" s="26" t="n">
        <v>0.5692013888888889</v>
      </c>
      <c r="F114" s="27" t="inlineStr">
        <is>
          <t>Shift 2</t>
        </is>
      </c>
      <c r="G114" s="27" t="n"/>
    </row>
    <row r="115" hidden="1" s="169">
      <c r="A115" s="27" t="inlineStr">
        <is>
          <t>MK00208</t>
        </is>
      </c>
      <c r="B115" s="27" t="n">
        <v>528000241</v>
      </c>
      <c r="C115" s="27" t="inlineStr">
        <is>
          <t>Balia Nurafif Bilah</t>
        </is>
      </c>
      <c r="D115" s="171" t="n">
        <v>46143.41666666666</v>
      </c>
      <c r="E115" s="26" t="n">
        <v>0.5767361111111111</v>
      </c>
      <c r="F115" s="27" t="inlineStr">
        <is>
          <t>Shift 2</t>
        </is>
      </c>
      <c r="G115" s="27" t="n"/>
    </row>
    <row r="116" hidden="1" s="169">
      <c r="A116" s="27" t="inlineStr">
        <is>
          <t>MK00211</t>
        </is>
      </c>
      <c r="B116" s="27" t="n">
        <v>528000274</v>
      </c>
      <c r="C116" s="27" t="inlineStr">
        <is>
          <t>Zepri</t>
        </is>
      </c>
      <c r="D116" s="171" t="n">
        <v>46143.41666666666</v>
      </c>
      <c r="E116" s="26" t="n">
        <v>0.5790046296296296</v>
      </c>
      <c r="F116" s="27" t="inlineStr">
        <is>
          <t>Shift 2</t>
        </is>
      </c>
      <c r="G116" s="27" t="n"/>
    </row>
    <row r="117" hidden="1" s="169">
      <c r="A117" s="27" t="inlineStr">
        <is>
          <t>MK00210</t>
        </is>
      </c>
      <c r="B117" s="27" t="n">
        <v>528000290</v>
      </c>
      <c r="C117" s="27" t="inlineStr">
        <is>
          <t>Eval Pranata</t>
        </is>
      </c>
      <c r="D117" s="171" t="n">
        <v>46143.41666666666</v>
      </c>
      <c r="E117" s="26" t="n">
        <v>0.5796643518518518</v>
      </c>
      <c r="F117" s="27" t="inlineStr">
        <is>
          <t>Shift 2</t>
        </is>
      </c>
      <c r="G117" s="27" t="n"/>
    </row>
    <row r="118" hidden="1" s="169">
      <c r="A118" s="27" t="inlineStr">
        <is>
          <t>MK00085</t>
        </is>
      </c>
      <c r="B118" s="27" t="n">
        <v>528000052</v>
      </c>
      <c r="C118" s="27" t="inlineStr">
        <is>
          <t>Mustopa</t>
        </is>
      </c>
      <c r="D118" s="171" t="n">
        <v>46143.41666666666</v>
      </c>
      <c r="E118" s="26" t="n">
        <v>0.8719328703703704</v>
      </c>
      <c r="F118" s="27" t="inlineStr">
        <is>
          <t>Shift 2</t>
        </is>
      </c>
      <c r="G118" s="27" t="n"/>
    </row>
    <row r="119" hidden="1" s="169">
      <c r="A119" s="27" t="inlineStr">
        <is>
          <t>MK00085</t>
        </is>
      </c>
      <c r="B119" s="27" t="n">
        <v>528000052</v>
      </c>
      <c r="C119" s="27" t="inlineStr">
        <is>
          <t>Mustopa</t>
        </is>
      </c>
      <c r="D119" s="171" t="n">
        <v>46143.41666666666</v>
      </c>
      <c r="E119" s="26" t="n">
        <v>0.8742013888888889</v>
      </c>
      <c r="F119" s="27" t="inlineStr">
        <is>
          <t>Shift 2</t>
        </is>
      </c>
      <c r="G119" s="27" t="n"/>
    </row>
    <row r="120" hidden="1" s="169">
      <c r="A120" s="27" t="inlineStr">
        <is>
          <t>MK00199</t>
        </is>
      </c>
      <c r="B120" s="27" t="n">
        <v>528000261</v>
      </c>
      <c r="C120" s="27" t="inlineStr">
        <is>
          <t>Ergi Ergianto</t>
        </is>
      </c>
      <c r="D120" s="171" t="n">
        <v>46143.41666666666</v>
      </c>
      <c r="E120" s="26" t="n">
        <v>0.9082754629629629</v>
      </c>
      <c r="F120" s="27" t="inlineStr">
        <is>
          <t>Shift 3</t>
        </is>
      </c>
      <c r="G120" s="27" t="n"/>
    </row>
    <row r="121" hidden="1" s="169">
      <c r="A121" s="27" t="inlineStr">
        <is>
          <t>MK00205</t>
        </is>
      </c>
      <c r="B121" s="27" t="n">
        <v>528000301</v>
      </c>
      <c r="C121" s="27" t="inlineStr">
        <is>
          <t>Muhammad Mukti Ridwan</t>
        </is>
      </c>
      <c r="D121" s="171" t="n">
        <v>46143.41666666666</v>
      </c>
      <c r="E121" s="26" t="n">
        <v>0.9096643518518519</v>
      </c>
      <c r="F121" s="27" t="inlineStr">
        <is>
          <t>Shift 3</t>
        </is>
      </c>
      <c r="G121" s="27" t="n"/>
    </row>
    <row r="122" hidden="1" s="169">
      <c r="A122" s="27" t="inlineStr">
        <is>
          <t>MK00192</t>
        </is>
      </c>
      <c r="B122" s="27" t="n">
        <v>528000283</v>
      </c>
      <c r="C122" s="27" t="inlineStr">
        <is>
          <t>Purwanda Sugiri</t>
        </is>
      </c>
      <c r="D122" s="171" t="n">
        <v>46143.41666666666</v>
      </c>
      <c r="E122" s="26" t="n">
        <v>0.9103587962962963</v>
      </c>
      <c r="F122" s="27" t="inlineStr">
        <is>
          <t>Shift 3</t>
        </is>
      </c>
      <c r="G122" s="27" t="n"/>
    </row>
    <row r="123" hidden="1" s="169">
      <c r="A123" s="27" t="inlineStr">
        <is>
          <t>MK00093</t>
        </is>
      </c>
      <c r="B123" s="27" t="n">
        <v>528000291</v>
      </c>
      <c r="C123" s="27" t="inlineStr">
        <is>
          <t>Andrian</t>
        </is>
      </c>
      <c r="D123" s="171" t="n">
        <v>46143.41666666666</v>
      </c>
      <c r="E123" s="26" t="n">
        <v>0.9111921296296296</v>
      </c>
      <c r="F123" s="27" t="inlineStr">
        <is>
          <t>Shift 3</t>
        </is>
      </c>
      <c r="G123" s="27" t="n"/>
    </row>
    <row r="124">
      <c r="A124" s="27" t="inlineStr">
        <is>
          <t>MK00118</t>
        </is>
      </c>
      <c r="B124" s="27" t="n">
        <v>528000015</v>
      </c>
      <c r="C124" s="27" t="inlineStr">
        <is>
          <t>Erwin</t>
        </is>
      </c>
      <c r="D124" s="171" t="n">
        <v>46143.41666666666</v>
      </c>
      <c r="E124" s="26" t="n">
        <v>0.9139236111111111</v>
      </c>
      <c r="F124" s="27" t="inlineStr">
        <is>
          <t>Shift 3</t>
        </is>
      </c>
      <c r="G124" s="27" t="n"/>
    </row>
    <row r="125" hidden="1" s="169">
      <c r="A125" s="27" t="inlineStr">
        <is>
          <t>MK000209</t>
        </is>
      </c>
      <c r="B125" s="27" t="n">
        <v>528000300</v>
      </c>
      <c r="C125" s="27" t="inlineStr">
        <is>
          <t>Lia pitaloka</t>
        </is>
      </c>
      <c r="D125" s="171" t="n">
        <v>46144.41666666666</v>
      </c>
      <c r="E125" s="26" t="n">
        <v>0.2392476851851852</v>
      </c>
      <c r="F125" s="27" t="inlineStr">
        <is>
          <t>Shift 1</t>
        </is>
      </c>
      <c r="G125" s="27" t="n"/>
    </row>
    <row r="126" hidden="1" s="169">
      <c r="A126" s="27" t="inlineStr">
        <is>
          <t>MK00116</t>
        </is>
      </c>
      <c r="B126" s="27" t="n">
        <v>528000297</v>
      </c>
      <c r="C126" s="27" t="inlineStr">
        <is>
          <t>Muhamad Budiana</t>
        </is>
      </c>
      <c r="D126" s="171" t="n">
        <v>46144.41666666666</v>
      </c>
      <c r="E126" s="26" t="n">
        <v>0.2461689814814815</v>
      </c>
      <c r="F126" s="27" t="inlineStr">
        <is>
          <t>Shift 1</t>
        </is>
      </c>
      <c r="G126" s="27" t="n"/>
    </row>
    <row r="127" hidden="1" s="169">
      <c r="A127" s="27" t="inlineStr">
        <is>
          <t>MK00088</t>
        </is>
      </c>
      <c r="B127" s="27" t="n">
        <v>528000069</v>
      </c>
      <c r="C127" s="27" t="inlineStr">
        <is>
          <t>Jajang Ardiansyah</t>
        </is>
      </c>
      <c r="D127" s="171" t="n">
        <v>46144.41666666666</v>
      </c>
      <c r="E127" s="26" t="n">
        <v>0.3054861111111111</v>
      </c>
      <c r="F127" s="27" t="inlineStr">
        <is>
          <t>Shift 1</t>
        </is>
      </c>
      <c r="G127" s="27" t="n"/>
    </row>
    <row r="128" hidden="1" s="169">
      <c r="A128" s="27" t="inlineStr">
        <is>
          <t>MK00141</t>
        </is>
      </c>
      <c r="B128" s="27" t="n">
        <v>528000282</v>
      </c>
      <c r="C128" s="27" t="inlineStr">
        <is>
          <t>Defa Desfiana</t>
        </is>
      </c>
      <c r="D128" s="171" t="n">
        <v>46144.41666666666</v>
      </c>
      <c r="E128" s="26" t="n">
        <v>0.3106597222222222</v>
      </c>
      <c r="F128" s="27" t="inlineStr">
        <is>
          <t>Shift 1</t>
        </is>
      </c>
      <c r="G128" s="27" t="inlineStr">
        <is>
          <t>23c</t>
        </is>
      </c>
    </row>
    <row r="129" hidden="1" s="169">
      <c r="A129" s="27" t="inlineStr">
        <is>
          <t>MK0082</t>
        </is>
      </c>
      <c r="B129" s="27" t="n">
        <v>528000351</v>
      </c>
      <c r="C129" s="27" t="inlineStr">
        <is>
          <t>Mulyana</t>
        </is>
      </c>
      <c r="D129" s="171" t="n">
        <v>46144.41666666666</v>
      </c>
      <c r="E129" s="26" t="n">
        <v>0.3223611111111111</v>
      </c>
      <c r="F129" s="27" t="inlineStr">
        <is>
          <t>Shift 1</t>
        </is>
      </c>
      <c r="G129" s="27" t="n"/>
    </row>
    <row r="130" hidden="1" s="169">
      <c r="A130" s="27" t="inlineStr">
        <is>
          <t>MK00200</t>
        </is>
      </c>
      <c r="B130" s="27" t="n">
        <v>528000287</v>
      </c>
      <c r="C130" s="27" t="inlineStr">
        <is>
          <t>Muhamad Angga Ramdani</t>
        </is>
      </c>
      <c r="D130" s="171" t="n">
        <v>46144.41666666666</v>
      </c>
      <c r="E130" s="26" t="n">
        <v>0.3263078703703703</v>
      </c>
      <c r="F130" s="27" t="inlineStr">
        <is>
          <t>Shift 1</t>
        </is>
      </c>
      <c r="G130" s="27" t="n"/>
    </row>
    <row r="131" hidden="1" s="169">
      <c r="A131" s="27" t="inlineStr">
        <is>
          <t>MK00249</t>
        </is>
      </c>
      <c r="B131" s="27" t="n">
        <v>528000265</v>
      </c>
      <c r="C131" s="27" t="inlineStr">
        <is>
          <t>Muhammad Haerul Rozikin</t>
        </is>
      </c>
      <c r="D131" s="171" t="n">
        <v>46144.41666666666</v>
      </c>
      <c r="E131" s="26" t="n">
        <v>0.3265856481481482</v>
      </c>
      <c r="F131" s="27" t="inlineStr">
        <is>
          <t>Shift 1</t>
        </is>
      </c>
      <c r="G131" s="27" t="n"/>
    </row>
    <row r="132" hidden="1" s="169">
      <c r="A132" s="27" t="inlineStr">
        <is>
          <t>MK00205</t>
        </is>
      </c>
      <c r="B132" s="27" t="n">
        <v>528000349</v>
      </c>
      <c r="C132" s="27" t="inlineStr">
        <is>
          <t>Anas Abdul Fatah</t>
        </is>
      </c>
      <c r="D132" s="171" t="n">
        <v>46144.41666666666</v>
      </c>
      <c r="E132" s="26" t="n">
        <v>0.3273958333333333</v>
      </c>
      <c r="F132" s="27" t="inlineStr">
        <is>
          <t>Shift 1</t>
        </is>
      </c>
      <c r="G132" s="27" t="n"/>
    </row>
    <row r="133" hidden="1" s="169">
      <c r="A133" s="27" t="inlineStr">
        <is>
          <t>MK00150</t>
        </is>
      </c>
      <c r="B133" s="27" t="n">
        <v>528000144</v>
      </c>
      <c r="C133" s="27" t="inlineStr">
        <is>
          <t>Jodi Hanafi</t>
        </is>
      </c>
      <c r="D133" s="171" t="n">
        <v>46144.41666666666</v>
      </c>
      <c r="E133" s="26" t="n">
        <v>0.3323148148148148</v>
      </c>
      <c r="F133" s="27" t="inlineStr">
        <is>
          <t>Shift 1</t>
        </is>
      </c>
      <c r="G133" s="27" t="n"/>
    </row>
    <row r="134" hidden="1" s="169">
      <c r="A134" s="27" t="inlineStr">
        <is>
          <t>MK00150</t>
        </is>
      </c>
      <c r="B134" s="27" t="n">
        <v>528000144</v>
      </c>
      <c r="C134" s="27" t="inlineStr">
        <is>
          <t>Jodi Hanafi</t>
        </is>
      </c>
      <c r="D134" s="171" t="n">
        <v>46144.41666666666</v>
      </c>
      <c r="E134" s="26" t="n">
        <v>0.3346296296296296</v>
      </c>
      <c r="F134" s="27" t="inlineStr">
        <is>
          <t>Shift 1</t>
        </is>
      </c>
      <c r="G134" s="27" t="n"/>
    </row>
    <row r="135" hidden="1" s="169">
      <c r="A135" s="27" t="inlineStr">
        <is>
          <t>MK00186</t>
        </is>
      </c>
      <c r="B135" s="27" t="n">
        <v>528000149</v>
      </c>
      <c r="C135" s="27" t="inlineStr">
        <is>
          <t>Tio Fernanda</t>
        </is>
      </c>
      <c r="D135" s="171" t="n">
        <v>46144.41666666666</v>
      </c>
      <c r="E135" s="26" t="n">
        <v>0.3669097222222222</v>
      </c>
      <c r="F135" s="27" t="inlineStr">
        <is>
          <t>Shift 1</t>
        </is>
      </c>
      <c r="G135" s="27" t="n"/>
    </row>
    <row r="136" hidden="1" s="169">
      <c r="A136" s="27" t="inlineStr">
        <is>
          <t>MK00199</t>
        </is>
      </c>
      <c r="B136" s="27" t="n">
        <v>528000348</v>
      </c>
      <c r="C136" s="27" t="inlineStr">
        <is>
          <t>Saepuloh Ardiansah</t>
        </is>
      </c>
      <c r="D136" s="171" t="n">
        <v>46144.41666666666</v>
      </c>
      <c r="E136" s="26" t="n">
        <v>0.3708101851851852</v>
      </c>
      <c r="F136" s="27" t="inlineStr">
        <is>
          <t>Shift 1</t>
        </is>
      </c>
      <c r="G136" s="27" t="n"/>
    </row>
    <row r="137" hidden="1" s="169">
      <c r="A137" s="27" t="inlineStr">
        <is>
          <t>MK00212</t>
        </is>
      </c>
      <c r="B137" s="27" t="n">
        <v>528000203</v>
      </c>
      <c r="C137" s="27" t="inlineStr">
        <is>
          <t>Yudha Ramdhan Putra</t>
        </is>
      </c>
      <c r="D137" s="171" t="n">
        <v>46144.41666666666</v>
      </c>
      <c r="E137" s="26" t="n">
        <v>0.3711458333333333</v>
      </c>
      <c r="F137" s="27" t="inlineStr">
        <is>
          <t>Shift 1</t>
        </is>
      </c>
      <c r="G137" s="27" t="n"/>
    </row>
    <row r="138" hidden="1" s="169">
      <c r="A138" s="27" t="inlineStr">
        <is>
          <t>MK00246</t>
        </is>
      </c>
      <c r="B138" s="27" t="n">
        <v>528000212</v>
      </c>
      <c r="C138" s="27" t="inlineStr">
        <is>
          <t>Rizal Fauzi</t>
        </is>
      </c>
      <c r="D138" s="171" t="n">
        <v>46144.41666666666</v>
      </c>
      <c r="E138" s="26" t="n">
        <v>0.5640972222222222</v>
      </c>
      <c r="F138" s="27" t="inlineStr">
        <is>
          <t>Shift 2</t>
        </is>
      </c>
      <c r="G138" s="27" t="n"/>
    </row>
    <row r="139" hidden="1" s="169">
      <c r="A139" s="27" t="inlineStr">
        <is>
          <t>MK00250</t>
        </is>
      </c>
      <c r="B139" s="27" t="n">
        <v>528000201</v>
      </c>
      <c r="C139" s="27" t="inlineStr">
        <is>
          <t>Zahwa Amelia Choerunissa</t>
        </is>
      </c>
      <c r="D139" s="171" t="n">
        <v>46144.41666666666</v>
      </c>
      <c r="E139" s="26" t="n">
        <v>0.5688194444444444</v>
      </c>
      <c r="F139" s="27" t="inlineStr">
        <is>
          <t>Shift 2</t>
        </is>
      </c>
      <c r="G139" s="27" t="n"/>
    </row>
    <row r="140" hidden="1" s="169">
      <c r="A140" s="27" t="inlineStr">
        <is>
          <t>MK00136</t>
        </is>
      </c>
      <c r="B140" s="27" t="n">
        <v>528000099</v>
      </c>
      <c r="C140" s="27" t="inlineStr">
        <is>
          <t>Siti Nurawaliah</t>
        </is>
      </c>
      <c r="D140" s="171" t="n">
        <v>46144.41666666666</v>
      </c>
      <c r="E140" s="26" t="n">
        <v>0.570324074074074</v>
      </c>
      <c r="F140" s="27" t="inlineStr">
        <is>
          <t>Shift 2</t>
        </is>
      </c>
      <c r="G140" s="27" t="n"/>
    </row>
    <row r="141" hidden="1" s="169">
      <c r="A141" s="27" t="inlineStr">
        <is>
          <t>MK00046</t>
        </is>
      </c>
      <c r="B141" s="27" t="n">
        <v>528000286</v>
      </c>
      <c r="C141" s="27" t="inlineStr">
        <is>
          <t>Imelda Amelia</t>
        </is>
      </c>
      <c r="D141" s="171" t="n">
        <v>46144.41666666666</v>
      </c>
      <c r="E141" s="26" t="n">
        <v>0.5704629629629629</v>
      </c>
      <c r="F141" s="27" t="inlineStr">
        <is>
          <t>Shift 2</t>
        </is>
      </c>
      <c r="G141" s="27" t="n"/>
    </row>
    <row r="142" hidden="1" s="169">
      <c r="A142" s="27" t="inlineStr">
        <is>
          <t>MK00113</t>
        </is>
      </c>
      <c r="B142" s="27" t="n">
        <v>528000228</v>
      </c>
      <c r="C142" s="27" t="inlineStr">
        <is>
          <t>Banyu Resmi Putri</t>
        </is>
      </c>
      <c r="D142" s="171" t="n">
        <v>46144.41666666666</v>
      </c>
      <c r="E142" s="26" t="n">
        <v>0.5743402777777777</v>
      </c>
      <c r="F142" s="27" t="inlineStr">
        <is>
          <t>Shift 2</t>
        </is>
      </c>
      <c r="G142" s="27" t="n"/>
    </row>
    <row r="143" hidden="1" s="169">
      <c r="A143" s="27" t="inlineStr">
        <is>
          <t>MK00154</t>
        </is>
      </c>
      <c r="B143" s="27" t="n">
        <v>528000244</v>
      </c>
      <c r="C143" s="27" t="inlineStr">
        <is>
          <t>Rodian Rifai</t>
        </is>
      </c>
      <c r="D143" s="171" t="n">
        <v>46144.41666666666</v>
      </c>
      <c r="E143" s="26" t="n">
        <v>0.5751157407407408</v>
      </c>
      <c r="F143" s="27" t="inlineStr">
        <is>
          <t>Shift 2</t>
        </is>
      </c>
      <c r="G143" s="27" t="inlineStr">
        <is>
          <t>22F</t>
        </is>
      </c>
    </row>
    <row r="144" hidden="1" s="169">
      <c r="A144" s="27" t="inlineStr">
        <is>
          <t>MK00156</t>
        </is>
      </c>
      <c r="B144" s="27" t="n">
        <v>528000241</v>
      </c>
      <c r="C144" s="27" t="inlineStr">
        <is>
          <t>Balia Nurafif Bilah</t>
        </is>
      </c>
      <c r="D144" s="171" t="n">
        <v>46144.41666666666</v>
      </c>
      <c r="E144" s="26" t="n">
        <v>0.5772453703703704</v>
      </c>
      <c r="F144" s="27" t="inlineStr">
        <is>
          <t>Shift 2</t>
        </is>
      </c>
      <c r="G144" s="27" t="n"/>
    </row>
    <row r="145" hidden="1" s="169">
      <c r="A145" s="27" t="inlineStr">
        <is>
          <t>MK00126</t>
        </is>
      </c>
      <c r="B145" s="27" t="n">
        <v>528000274</v>
      </c>
      <c r="C145" s="27" t="inlineStr">
        <is>
          <t>Zepri</t>
        </is>
      </c>
      <c r="D145" s="171" t="n">
        <v>46144.41666666666</v>
      </c>
      <c r="E145" s="26" t="n">
        <v>0.5777546296296296</v>
      </c>
      <c r="F145" s="27" t="inlineStr">
        <is>
          <t>Shift 2</t>
        </is>
      </c>
      <c r="G145" s="27" t="n"/>
    </row>
    <row r="146" hidden="1" s="169">
      <c r="A146" s="27" t="inlineStr">
        <is>
          <t>MK00145</t>
        </is>
      </c>
      <c r="B146" s="27" t="n">
        <v>528000290</v>
      </c>
      <c r="C146" s="27" t="inlineStr">
        <is>
          <t>Eval Pranata</t>
        </is>
      </c>
      <c r="D146" s="171" t="n">
        <v>46144.41666666666</v>
      </c>
      <c r="E146" s="26" t="n">
        <v>0.5778819444444444</v>
      </c>
      <c r="F146" s="27" t="inlineStr">
        <is>
          <t>Shift 2</t>
        </is>
      </c>
      <c r="G146" s="27" t="n"/>
    </row>
    <row r="147">
      <c r="A147" s="27" t="inlineStr">
        <is>
          <t>MK00055</t>
        </is>
      </c>
      <c r="B147" s="27" t="n">
        <v>528000015</v>
      </c>
      <c r="C147" s="27" t="inlineStr">
        <is>
          <t>Erwin</t>
        </is>
      </c>
      <c r="D147" s="171" t="n">
        <v>46144.41666666666</v>
      </c>
      <c r="E147" s="26" t="n">
        <v>0.5799074074074074</v>
      </c>
      <c r="F147" s="27" t="inlineStr">
        <is>
          <t>Shift 2</t>
        </is>
      </c>
      <c r="G147" s="27" t="n"/>
    </row>
    <row r="148" hidden="1" s="169">
      <c r="A148" s="27" t="inlineStr">
        <is>
          <t>MK00112</t>
        </is>
      </c>
      <c r="B148" s="27" t="n">
        <v>528000055</v>
      </c>
      <c r="C148" s="27" t="inlineStr">
        <is>
          <t>Dika Prasetya</t>
        </is>
      </c>
      <c r="D148" s="171" t="n">
        <v>46144.41666666666</v>
      </c>
      <c r="E148" s="26" t="n">
        <v>0.5808217592592593</v>
      </c>
      <c r="F148" s="27" t="inlineStr">
        <is>
          <t>Shift 2</t>
        </is>
      </c>
      <c r="G148" s="27" t="n"/>
    </row>
    <row r="149" hidden="1" s="169">
      <c r="A149" s="27" t="inlineStr">
        <is>
          <t>MK00138</t>
        </is>
      </c>
      <c r="B149" s="27" t="n">
        <v>528000090</v>
      </c>
      <c r="C149" s="27" t="inlineStr">
        <is>
          <t>Suganda</t>
        </is>
      </c>
      <c r="D149" s="171" t="n">
        <v>46144.41666666666</v>
      </c>
      <c r="E149" s="26" t="n">
        <v>0.5808796296296296</v>
      </c>
      <c r="F149" s="27" t="inlineStr">
        <is>
          <t>Shift 2</t>
        </is>
      </c>
      <c r="G149" s="27" t="n"/>
    </row>
    <row r="150" hidden="1" s="169">
      <c r="A150" s="27" t="n">
        <v>128000267</v>
      </c>
      <c r="B150" s="27" t="n">
        <v>528000267</v>
      </c>
      <c r="C150" s="27" t="inlineStr">
        <is>
          <t>Bagas Patulloh</t>
        </is>
      </c>
      <c r="D150" s="171" t="n">
        <v>46144.41666666666</v>
      </c>
      <c r="E150" s="26" t="n">
        <v>0.6530439814814815</v>
      </c>
      <c r="F150" s="27" t="inlineStr">
        <is>
          <t>Shift 2</t>
        </is>
      </c>
      <c r="G150" s="27" t="n"/>
    </row>
    <row r="151" hidden="1" s="169">
      <c r="A151" s="27" t="inlineStr">
        <is>
          <t>MKOO58</t>
        </is>
      </c>
      <c r="B151" s="27" t="n">
        <v>528000052</v>
      </c>
      <c r="C151" s="27" t="inlineStr">
        <is>
          <t>Mustopa</t>
        </is>
      </c>
      <c r="D151" s="171" t="n">
        <v>46144.41666666666</v>
      </c>
      <c r="E151" s="26" t="n">
        <v>0.8228587962962963</v>
      </c>
      <c r="F151" s="27" t="inlineStr">
        <is>
          <t>Shift 2</t>
        </is>
      </c>
      <c r="G151" s="27" t="n"/>
    </row>
    <row r="152" hidden="1" s="169">
      <c r="A152" s="27" t="inlineStr">
        <is>
          <t>MK00192</t>
        </is>
      </c>
      <c r="B152" s="27" t="n">
        <v>528000195</v>
      </c>
      <c r="C152" s="27" t="inlineStr">
        <is>
          <t>Rahma Sariwati</t>
        </is>
      </c>
      <c r="D152" s="171" t="n">
        <v>46144.41666666666</v>
      </c>
      <c r="E152" s="26" t="n">
        <v>0.8954398148148148</v>
      </c>
      <c r="F152" s="27" t="inlineStr">
        <is>
          <t>Shift 3</t>
        </is>
      </c>
      <c r="G152" s="27" t="n"/>
    </row>
    <row r="153" hidden="1" s="169">
      <c r="A153" s="27" t="inlineStr">
        <is>
          <t>MK00221</t>
        </is>
      </c>
      <c r="B153" s="27" t="n">
        <v>528000266</v>
      </c>
      <c r="C153" s="27" t="inlineStr">
        <is>
          <t>M. Syirajatieq</t>
        </is>
      </c>
      <c r="D153" s="171" t="n">
        <v>46144.41666666666</v>
      </c>
      <c r="E153" s="26" t="n">
        <v>0.8993981481481481</v>
      </c>
      <c r="F153" s="27" t="inlineStr">
        <is>
          <t>Shift 3</t>
        </is>
      </c>
      <c r="G153" s="27" t="n"/>
    </row>
    <row r="154" hidden="1" s="169">
      <c r="A154" s="27" t="inlineStr">
        <is>
          <t>MK00109</t>
        </is>
      </c>
      <c r="B154" s="27" t="n">
        <v>528000262</v>
      </c>
      <c r="C154" s="27" t="inlineStr">
        <is>
          <t>Ndari Dwiwanti</t>
        </is>
      </c>
      <c r="D154" s="171" t="n">
        <v>46144.41666666666</v>
      </c>
      <c r="E154" s="26" t="n">
        <v>0.9011805555555555</v>
      </c>
      <c r="F154" s="27" t="inlineStr">
        <is>
          <t>Shift 3</t>
        </is>
      </c>
      <c r="G154" s="27" t="n"/>
    </row>
    <row r="155" hidden="1" s="169">
      <c r="A155" s="27" t="inlineStr">
        <is>
          <t>MK00249</t>
        </is>
      </c>
      <c r="B155" s="27" t="n">
        <v>528000358</v>
      </c>
      <c r="C155" s="27" t="inlineStr">
        <is>
          <t>Lulu Agustin</t>
        </is>
      </c>
      <c r="D155" s="171" t="n">
        <v>46144.41666666666</v>
      </c>
      <c r="E155" s="26" t="n">
        <v>0.9027430555555556</v>
      </c>
      <c r="F155" s="27" t="inlineStr">
        <is>
          <t>Shift 3</t>
        </is>
      </c>
      <c r="G155" s="27" t="n"/>
    </row>
    <row r="156" hidden="1" s="169">
      <c r="A156" s="27" t="inlineStr">
        <is>
          <t>MK00213</t>
        </is>
      </c>
      <c r="B156" s="27" t="n">
        <v>528000261</v>
      </c>
      <c r="C156" s="27" t="inlineStr">
        <is>
          <t>Ergi Ergianto</t>
        </is>
      </c>
      <c r="D156" s="171" t="n">
        <v>46144.41666666666</v>
      </c>
      <c r="E156" s="26" t="n">
        <v>0.9070717592592593</v>
      </c>
      <c r="F156" s="27" t="inlineStr">
        <is>
          <t>Shift 3</t>
        </is>
      </c>
      <c r="G156" s="27" t="n"/>
    </row>
    <row r="157" hidden="1" s="169">
      <c r="A157" s="27" t="inlineStr">
        <is>
          <t>MK00150</t>
        </is>
      </c>
      <c r="B157" s="27" t="n">
        <v>528000283</v>
      </c>
      <c r="C157" s="27" t="inlineStr">
        <is>
          <t>Purwanda Sugiri</t>
        </is>
      </c>
      <c r="D157" s="171" t="n">
        <v>46144.41666666666</v>
      </c>
      <c r="E157" s="26" t="n">
        <v>0.9126620370370371</v>
      </c>
      <c r="F157" s="27" t="inlineStr">
        <is>
          <t>Shift 3</t>
        </is>
      </c>
      <c r="G157" s="27" t="n"/>
    </row>
    <row r="158" hidden="1" s="169">
      <c r="A158" s="27" t="inlineStr">
        <is>
          <t>MK00082</t>
        </is>
      </c>
      <c r="B158" s="27" t="n">
        <v>528000291</v>
      </c>
      <c r="C158" s="27" t="inlineStr">
        <is>
          <t>Andrian</t>
        </is>
      </c>
      <c r="D158" s="171" t="n">
        <v>46144.41666666666</v>
      </c>
      <c r="E158" s="26" t="n">
        <v>0.9129282407407407</v>
      </c>
      <c r="F158" s="27" t="inlineStr">
        <is>
          <t>Shift 3</t>
        </is>
      </c>
      <c r="G158" s="27" t="n"/>
    </row>
    <row r="159" hidden="1" s="169">
      <c r="A159" s="27" t="inlineStr">
        <is>
          <t>MK00155</t>
        </is>
      </c>
      <c r="B159" s="27" t="n">
        <v>528000301</v>
      </c>
      <c r="C159" s="27" t="inlineStr">
        <is>
          <t>Muhammad Mukti Ridwan</t>
        </is>
      </c>
      <c r="D159" s="171" t="n">
        <v>46144.41666666666</v>
      </c>
      <c r="E159" s="26" t="n">
        <v>0.9136689814814815</v>
      </c>
      <c r="F159" s="27" t="inlineStr">
        <is>
          <t>Shift 3</t>
        </is>
      </c>
      <c r="G159" s="27" t="n"/>
    </row>
    <row r="160" hidden="1" s="169">
      <c r="A160" s="27" t="inlineStr">
        <is>
          <t>MK00249</t>
        </is>
      </c>
      <c r="B160" s="27" t="n">
        <v>528000358</v>
      </c>
      <c r="C160" s="27" t="inlineStr">
        <is>
          <t>Lulu Agustin</t>
        </is>
      </c>
      <c r="D160" s="171" t="n">
        <v>46145.41666666666</v>
      </c>
      <c r="E160" s="26" t="n">
        <v>0.03123842592592593</v>
      </c>
      <c r="F160" s="27" t="inlineStr">
        <is>
          <t>Shift 3</t>
        </is>
      </c>
      <c r="G160" s="27" t="n"/>
    </row>
    <row r="161" hidden="1" s="169">
      <c r="A161" s="27" t="inlineStr">
        <is>
          <t>MK00136</t>
        </is>
      </c>
      <c r="B161" s="27" t="n">
        <v>528000306</v>
      </c>
      <c r="C161" s="27" t="inlineStr">
        <is>
          <t>Windy Olivia</t>
        </is>
      </c>
      <c r="D161" s="171" t="n">
        <v>46145.41666666666</v>
      </c>
      <c r="E161" s="26" t="n">
        <v>0.2383564814814815</v>
      </c>
      <c r="F161" s="27" t="inlineStr">
        <is>
          <t>Shift 1</t>
        </is>
      </c>
      <c r="G161" s="27" t="n"/>
    </row>
    <row r="162" hidden="1" s="169">
      <c r="A162" s="27" t="inlineStr">
        <is>
          <t>MK00184</t>
        </is>
      </c>
      <c r="B162" s="27" t="n">
        <v>528000282</v>
      </c>
      <c r="C162" s="27" t="inlineStr">
        <is>
          <t>Defa Desfiana</t>
        </is>
      </c>
      <c r="D162" s="171" t="n">
        <v>46145.41666666666</v>
      </c>
      <c r="E162" s="26" t="n">
        <v>0.240162037037037</v>
      </c>
      <c r="F162" s="27" t="inlineStr">
        <is>
          <t>Shift 1</t>
        </is>
      </c>
      <c r="G162" s="27" t="n"/>
    </row>
    <row r="163" hidden="1" s="169">
      <c r="A163" s="27" t="inlineStr">
        <is>
          <t>MK00141</t>
        </is>
      </c>
      <c r="B163" s="27" t="n">
        <v>628000064</v>
      </c>
      <c r="C163" s="27" t="inlineStr">
        <is>
          <t>Silva Alypia</t>
        </is>
      </c>
      <c r="D163" s="171" t="n">
        <v>46145.41666666666</v>
      </c>
      <c r="E163" s="26" t="n">
        <v>0.2422916666666667</v>
      </c>
      <c r="F163" s="27" t="inlineStr">
        <is>
          <t>Shift 1</t>
        </is>
      </c>
      <c r="G163" s="27" t="n"/>
    </row>
    <row r="164" hidden="1" s="169">
      <c r="A164" s="27" t="inlineStr">
        <is>
          <t>MK00250</t>
        </is>
      </c>
      <c r="B164" s="27" t="n">
        <v>528000210</v>
      </c>
      <c r="C164" s="27" t="inlineStr">
        <is>
          <t>Muhamad Aldi Agustiana</t>
        </is>
      </c>
      <c r="D164" s="171" t="n">
        <v>46145.41666666666</v>
      </c>
      <c r="E164" s="26" t="n">
        <v>0.2473726851851852</v>
      </c>
      <c r="F164" s="27" t="inlineStr">
        <is>
          <t>Shift 1</t>
        </is>
      </c>
      <c r="G164" s="27" t="n"/>
    </row>
    <row r="165" hidden="1" s="169">
      <c r="A165" s="27" t="inlineStr">
        <is>
          <t>MK00156</t>
        </is>
      </c>
      <c r="B165" s="27" t="n">
        <v>528000265</v>
      </c>
      <c r="C165" s="27" t="inlineStr">
        <is>
          <t>Muhammad Haerul Rozikin</t>
        </is>
      </c>
      <c r="D165" s="171" t="n">
        <v>46145.41666666666</v>
      </c>
      <c r="E165" s="26" t="n">
        <v>0.2480787037037037</v>
      </c>
      <c r="F165" s="27" t="inlineStr">
        <is>
          <t>Shift 1</t>
        </is>
      </c>
      <c r="G165" s="27" t="n"/>
    </row>
    <row r="166" hidden="1" s="169">
      <c r="A166" s="27" t="inlineStr">
        <is>
          <t>MK00145</t>
        </is>
      </c>
      <c r="B166" s="27" t="n">
        <v>528000279</v>
      </c>
      <c r="C166" s="27" t="inlineStr">
        <is>
          <t>Mahdalena Dalfa Riani</t>
        </is>
      </c>
      <c r="D166" s="171" t="n">
        <v>46145.41666666666</v>
      </c>
      <c r="E166" s="26" t="n">
        <v>0.2490046296296296</v>
      </c>
      <c r="F166" s="27" t="inlineStr">
        <is>
          <t>Shift 1</t>
        </is>
      </c>
      <c r="G166" s="27" t="n"/>
    </row>
    <row r="167" hidden="1" s="169">
      <c r="A167" s="27" t="inlineStr">
        <is>
          <t>MK00213</t>
        </is>
      </c>
      <c r="B167" s="27" t="n">
        <v>528000297</v>
      </c>
      <c r="C167" s="27" t="inlineStr">
        <is>
          <t>Muhamad Budiana</t>
        </is>
      </c>
      <c r="D167" s="171" t="n">
        <v>46145.41666666666</v>
      </c>
      <c r="E167" s="26" t="n">
        <v>0.2520138888888889</v>
      </c>
      <c r="F167" s="27" t="inlineStr">
        <is>
          <t>Shift 1</t>
        </is>
      </c>
      <c r="G167" s="27" t="n"/>
    </row>
    <row r="168" hidden="1" s="169">
      <c r="A168" s="27" t="inlineStr">
        <is>
          <t>MK00155</t>
        </is>
      </c>
      <c r="B168" s="27" t="n">
        <v>528000351</v>
      </c>
      <c r="C168" s="27" t="inlineStr">
        <is>
          <t>Mulyana</t>
        </is>
      </c>
      <c r="D168" s="171" t="n">
        <v>46145.41666666666</v>
      </c>
      <c r="E168" s="26" t="n">
        <v>0.3253587962962963</v>
      </c>
      <c r="F168" s="27" t="inlineStr">
        <is>
          <t>Shift 1</t>
        </is>
      </c>
      <c r="G168" s="27" t="n"/>
    </row>
    <row r="169" hidden="1" s="169">
      <c r="A169" s="27" t="inlineStr">
        <is>
          <t>MK00113</t>
        </is>
      </c>
      <c r="B169" s="27" t="n">
        <v>528000287</v>
      </c>
      <c r="C169" s="27" t="inlineStr">
        <is>
          <t>Muhamad Angga Ramdani</t>
        </is>
      </c>
      <c r="D169" s="171" t="n">
        <v>46145.41666666666</v>
      </c>
      <c r="E169" s="26" t="n">
        <v>0.3256018518518519</v>
      </c>
      <c r="F169" s="27" t="inlineStr">
        <is>
          <t>Shift 1</t>
        </is>
      </c>
      <c r="G169" s="27" t="n"/>
    </row>
    <row r="170" hidden="1" s="169">
      <c r="A170" s="27" t="inlineStr">
        <is>
          <t>MK00093</t>
        </is>
      </c>
      <c r="B170" s="27" t="n">
        <v>528000349</v>
      </c>
      <c r="C170" s="27" t="inlineStr">
        <is>
          <t>Anas Abdul Fatah</t>
        </is>
      </c>
      <c r="D170" s="171" t="n">
        <v>46145.41666666666</v>
      </c>
      <c r="E170" s="26" t="n">
        <v>0.3275231481481481</v>
      </c>
      <c r="F170" s="27" t="inlineStr">
        <is>
          <t>Shift 1</t>
        </is>
      </c>
      <c r="G170" s="27" t="n"/>
    </row>
    <row r="171" hidden="1" s="169">
      <c r="A171" s="27" t="inlineStr">
        <is>
          <t>MK00186</t>
        </is>
      </c>
      <c r="B171" s="27" t="n">
        <v>528000149</v>
      </c>
      <c r="C171" s="27" t="inlineStr">
        <is>
          <t>Tio Fernanda</t>
        </is>
      </c>
      <c r="D171" s="171" t="n">
        <v>46145.41666666666</v>
      </c>
      <c r="E171" s="26" t="n">
        <v>0.361400462962963</v>
      </c>
      <c r="F171" s="27" t="inlineStr">
        <is>
          <t>Shift 1</t>
        </is>
      </c>
      <c r="G171" s="27" t="n"/>
    </row>
    <row r="172" hidden="1" s="169">
      <c r="A172" s="27" t="inlineStr">
        <is>
          <t>MK00150</t>
        </is>
      </c>
      <c r="B172" s="27" t="n">
        <v>528000144</v>
      </c>
      <c r="C172" s="27" t="inlineStr">
        <is>
          <t>Jodi Hanafi</t>
        </is>
      </c>
      <c r="D172" s="171" t="n">
        <v>46145.41666666666</v>
      </c>
      <c r="E172" s="26" t="n">
        <v>0.3627430555555556</v>
      </c>
      <c r="F172" s="27" t="inlineStr">
        <is>
          <t>Shift 1</t>
        </is>
      </c>
      <c r="G172" s="27" t="n"/>
    </row>
    <row r="173" hidden="1" s="169">
      <c r="A173" s="27" t="inlineStr">
        <is>
          <t>CK00046</t>
        </is>
      </c>
      <c r="B173" s="27" t="n">
        <v>528000232</v>
      </c>
      <c r="C173" s="27" t="inlineStr">
        <is>
          <t>Agung Aji Suhada</t>
        </is>
      </c>
      <c r="D173" s="171" t="n">
        <v>46145.41666666666</v>
      </c>
      <c r="E173" s="26" t="n">
        <v>0.3734837962962963</v>
      </c>
      <c r="F173" s="27" t="inlineStr">
        <is>
          <t>Shift 1</t>
        </is>
      </c>
      <c r="G173" s="27" t="n"/>
    </row>
    <row r="174" hidden="1" s="169">
      <c r="A174" s="27" t="inlineStr">
        <is>
          <t>MK00151</t>
        </is>
      </c>
      <c r="B174" s="27" t="n">
        <v>528000203</v>
      </c>
      <c r="C174" s="27" t="inlineStr">
        <is>
          <t>Yudha Ramdhan Putra</t>
        </is>
      </c>
      <c r="D174" s="171" t="n">
        <v>46145.41666666666</v>
      </c>
      <c r="E174" s="26" t="n">
        <v>0.3780092592592593</v>
      </c>
      <c r="F174" s="27" t="inlineStr">
        <is>
          <t>Shift 1</t>
        </is>
      </c>
      <c r="G174" s="27" t="n"/>
    </row>
    <row r="175" hidden="1" s="169">
      <c r="A175" s="27" t="inlineStr">
        <is>
          <t>MK00221</t>
        </is>
      </c>
      <c r="B175" s="27" t="n">
        <v>528000348</v>
      </c>
      <c r="C175" s="27" t="inlineStr">
        <is>
          <t>Saepuloh Ardiansah</t>
        </is>
      </c>
      <c r="D175" s="171" t="n">
        <v>46145.41666666666</v>
      </c>
      <c r="E175" s="26" t="n">
        <v>0.3791087962962963</v>
      </c>
      <c r="F175" s="27" t="inlineStr">
        <is>
          <t>Shift 1</t>
        </is>
      </c>
      <c r="G175" s="27" t="n"/>
    </row>
    <row r="176" hidden="1" s="169">
      <c r="A176" s="27" t="inlineStr">
        <is>
          <t>MK00158</t>
        </is>
      </c>
      <c r="B176" s="27" t="n">
        <v>528000201</v>
      </c>
      <c r="C176" s="27" t="inlineStr">
        <is>
          <t>Zahwa Amelia Choerunissa</t>
        </is>
      </c>
      <c r="D176" s="171" t="n">
        <v>46145.41666666666</v>
      </c>
      <c r="E176" s="26" t="n">
        <v>0.5626504629629629</v>
      </c>
      <c r="F176" s="27" t="inlineStr">
        <is>
          <t>Shift 2</t>
        </is>
      </c>
      <c r="G176" s="27" t="n"/>
    </row>
    <row r="177" hidden="1" s="169">
      <c r="A177" s="27" t="inlineStr">
        <is>
          <t>MK00148</t>
        </is>
      </c>
      <c r="B177" s="27" t="n">
        <v>528000099</v>
      </c>
      <c r="C177" s="27" t="inlineStr">
        <is>
          <t>Siti Nurawaliah</t>
        </is>
      </c>
      <c r="D177" s="171" t="n">
        <v>46145.41666666666</v>
      </c>
      <c r="E177" s="26" t="n">
        <v>0.5634375</v>
      </c>
      <c r="F177" s="27" t="inlineStr">
        <is>
          <t>Shift 2</t>
        </is>
      </c>
      <c r="G177" s="27" t="n"/>
    </row>
    <row r="178" hidden="1" s="169">
      <c r="A178" s="27" t="inlineStr">
        <is>
          <t>MK00181</t>
        </is>
      </c>
      <c r="B178" s="27" t="n">
        <v>528000286</v>
      </c>
      <c r="C178" s="27" t="inlineStr">
        <is>
          <t>Imelda Amelia</t>
        </is>
      </c>
      <c r="D178" s="171" t="n">
        <v>46145.41666666666</v>
      </c>
      <c r="E178" s="26" t="n">
        <v>0.5681018518518518</v>
      </c>
      <c r="F178" s="27" t="inlineStr">
        <is>
          <t>Shift 2</t>
        </is>
      </c>
      <c r="G178" s="27" t="n"/>
    </row>
    <row r="179" hidden="1" s="169">
      <c r="A179" s="27" t="inlineStr">
        <is>
          <t>MK00126</t>
        </is>
      </c>
      <c r="B179" s="27" t="n">
        <v>528000244</v>
      </c>
      <c r="C179" s="27" t="inlineStr">
        <is>
          <t>Rodian Rifai</t>
        </is>
      </c>
      <c r="D179" s="171" t="n">
        <v>46145.41666666666</v>
      </c>
      <c r="E179" s="26" t="n">
        <v>0.5711689814814814</v>
      </c>
      <c r="F179" s="27" t="inlineStr">
        <is>
          <t>Shift 2</t>
        </is>
      </c>
      <c r="G179" s="27" t="inlineStr">
        <is>
          <t>4E</t>
        </is>
      </c>
    </row>
    <row r="180" hidden="1" s="169">
      <c r="A180" s="27" t="inlineStr">
        <is>
          <t>MK00199</t>
        </is>
      </c>
      <c r="B180" s="27" t="n">
        <v>528000228</v>
      </c>
      <c r="C180" s="27" t="inlineStr">
        <is>
          <t>Banyu Resmi Putri</t>
        </is>
      </c>
      <c r="D180" s="171" t="n">
        <v>46145.41666666666</v>
      </c>
      <c r="E180" s="26" t="n">
        <v>0.5768287037037036</v>
      </c>
      <c r="F180" s="27" t="inlineStr">
        <is>
          <t>Shift 2</t>
        </is>
      </c>
      <c r="G180" s="27" t="n"/>
    </row>
    <row r="181" hidden="1" s="169">
      <c r="A181" s="27" t="inlineStr">
        <is>
          <t>MK00181</t>
        </is>
      </c>
      <c r="B181" s="27" t="n">
        <v>528000286</v>
      </c>
      <c r="C181" s="27" t="inlineStr">
        <is>
          <t>Imelda Amelia</t>
        </is>
      </c>
      <c r="D181" s="171" t="n">
        <v>46145.41666666666</v>
      </c>
      <c r="E181" s="26" t="n">
        <v>0.5791782407407408</v>
      </c>
      <c r="F181" s="27" t="inlineStr">
        <is>
          <t>Shift 2</t>
        </is>
      </c>
      <c r="G181" s="27" t="n"/>
    </row>
    <row r="182" hidden="1" s="169">
      <c r="A182" s="27" t="inlineStr">
        <is>
          <t>MK00141</t>
        </is>
      </c>
      <c r="B182" s="27" t="n">
        <v>528000279</v>
      </c>
      <c r="C182" s="27" t="inlineStr">
        <is>
          <t>Mahdalena Dalfa Riani</t>
        </is>
      </c>
      <c r="D182" s="171" t="n">
        <v>46145.41666666666</v>
      </c>
      <c r="E182" s="26" t="n">
        <v>0.5909375</v>
      </c>
      <c r="F182" s="27" t="inlineStr">
        <is>
          <t>Shift 2</t>
        </is>
      </c>
      <c r="G182" s="27" t="n"/>
    </row>
    <row r="183" hidden="1" s="169">
      <c r="A183" s="27" t="inlineStr">
        <is>
          <t>MK00085</t>
        </is>
      </c>
      <c r="B183" s="27" t="n">
        <v>528000262</v>
      </c>
      <c r="C183" s="27" t="inlineStr">
        <is>
          <t>Ndari Dwiwanti</t>
        </is>
      </c>
      <c r="D183" s="171" t="n">
        <v>46145.41666666666</v>
      </c>
      <c r="E183" s="26" t="n">
        <v>0.8964120370370371</v>
      </c>
      <c r="F183" s="27" t="inlineStr">
        <is>
          <t>Shift 3</t>
        </is>
      </c>
      <c r="G183" s="27" t="n"/>
    </row>
    <row r="184" hidden="1" s="169">
      <c r="A184" s="27" t="inlineStr">
        <is>
          <t>MK00221</t>
        </is>
      </c>
      <c r="B184" s="27" t="n">
        <v>528000261</v>
      </c>
      <c r="C184" s="27" t="inlineStr">
        <is>
          <t>Ergi Ergianto</t>
        </is>
      </c>
      <c r="D184" s="171" t="n">
        <v>46145.41666666666</v>
      </c>
      <c r="E184" s="26" t="n">
        <v>0.9105208333333333</v>
      </c>
      <c r="F184" s="27" t="inlineStr">
        <is>
          <t>Shift 3</t>
        </is>
      </c>
      <c r="G184" s="27" t="n"/>
    </row>
    <row r="185" hidden="1" s="169">
      <c r="A185" s="27" t="inlineStr">
        <is>
          <t>MK00150</t>
        </is>
      </c>
      <c r="B185" s="27" t="n">
        <v>528000266</v>
      </c>
      <c r="C185" s="27" t="inlineStr">
        <is>
          <t>M. Syirajatieq</t>
        </is>
      </c>
      <c r="D185" s="171" t="n">
        <v>46145.41666666666</v>
      </c>
      <c r="E185" s="26" t="n">
        <v>0.9112847222222222</v>
      </c>
      <c r="F185" s="27" t="inlineStr">
        <is>
          <t>Shift 3</t>
        </is>
      </c>
      <c r="G185" s="27" t="n"/>
    </row>
    <row r="186" hidden="1" s="169">
      <c r="A186" s="27" t="inlineStr">
        <is>
          <t>MK00155</t>
        </is>
      </c>
      <c r="B186" s="27" t="n">
        <v>528000301</v>
      </c>
      <c r="C186" s="27" t="inlineStr">
        <is>
          <t>Muhammad Mukti Ridwan</t>
        </is>
      </c>
      <c r="D186" s="171" t="n">
        <v>46145.41666666666</v>
      </c>
      <c r="E186" s="26" t="n">
        <v>0.9116550925925926</v>
      </c>
      <c r="F186" s="27" t="inlineStr">
        <is>
          <t>Shift 3</t>
        </is>
      </c>
      <c r="G186" s="27" t="n"/>
    </row>
    <row r="187" hidden="1" s="169">
      <c r="A187" s="27" t="inlineStr">
        <is>
          <t>MK000184</t>
        </is>
      </c>
      <c r="B187" s="27" t="n">
        <v>528000291</v>
      </c>
      <c r="C187" s="27" t="inlineStr">
        <is>
          <t>Andrian</t>
        </is>
      </c>
      <c r="D187" s="171" t="n">
        <v>46145.41666666666</v>
      </c>
      <c r="E187" s="26" t="n">
        <v>0.9117361111111111</v>
      </c>
      <c r="F187" s="27" t="inlineStr">
        <is>
          <t>Shift 3</t>
        </is>
      </c>
      <c r="G187" s="27" t="n"/>
    </row>
    <row r="188" hidden="1" s="169">
      <c r="A188" s="27" t="inlineStr">
        <is>
          <t>MK00138</t>
        </is>
      </c>
      <c r="B188" s="27" t="n">
        <v>528000283</v>
      </c>
      <c r="C188" s="27" t="inlineStr">
        <is>
          <t>Purwanda Sugiri</t>
        </is>
      </c>
      <c r="D188" s="171" t="n">
        <v>46145.41666666666</v>
      </c>
      <c r="E188" s="26" t="n">
        <v>0.9120138888888889</v>
      </c>
      <c r="F188" s="27" t="inlineStr">
        <is>
          <t>Shift 3</t>
        </is>
      </c>
      <c r="G188" s="27" t="n"/>
    </row>
    <row r="189">
      <c r="A189" s="27" t="inlineStr">
        <is>
          <t>MK00082</t>
        </is>
      </c>
      <c r="B189" s="27" t="n">
        <v>528000015</v>
      </c>
      <c r="C189" s="27" t="inlineStr">
        <is>
          <t>Erwin</t>
        </is>
      </c>
      <c r="D189" s="171" t="n">
        <v>46145.41666666666</v>
      </c>
      <c r="E189" s="26" t="n">
        <v>0.9155555555555556</v>
      </c>
      <c r="F189" s="27" t="inlineStr">
        <is>
          <t>Shift 3</t>
        </is>
      </c>
      <c r="G189" s="27" t="n"/>
    </row>
    <row r="190" hidden="1" s="169">
      <c r="A190" s="27" t="inlineStr">
        <is>
          <t>MK00181</t>
        </is>
      </c>
      <c r="B190" s="27" t="n">
        <v>528000286</v>
      </c>
      <c r="C190" s="27" t="inlineStr">
        <is>
          <t>Imelda Amelia</t>
        </is>
      </c>
      <c r="D190" s="171" t="n">
        <v>46145.41666666666</v>
      </c>
      <c r="E190" s="26" t="n">
        <v>0.9224652777777778</v>
      </c>
      <c r="F190" s="27" t="inlineStr">
        <is>
          <t>Shift 3</t>
        </is>
      </c>
      <c r="G190" s="27" t="n"/>
    </row>
    <row r="191" hidden="1" s="169">
      <c r="A191" s="27" t="inlineStr">
        <is>
          <t>MK00154</t>
        </is>
      </c>
      <c r="B191" s="27" t="n">
        <v>528000297</v>
      </c>
      <c r="C191" s="27" t="inlineStr">
        <is>
          <t>Muhamad Budiana</t>
        </is>
      </c>
      <c r="D191" s="171" t="n">
        <v>46147.41666666666</v>
      </c>
      <c r="E191" s="26" t="n">
        <v>0.2418518518518518</v>
      </c>
      <c r="F191" s="27" t="inlineStr">
        <is>
          <t>Shift 1</t>
        </is>
      </c>
      <c r="G191" s="27" t="n"/>
    </row>
    <row r="192" hidden="1" s="169">
      <c r="A192" s="27" t="inlineStr">
        <is>
          <t>MK00126</t>
        </is>
      </c>
      <c r="B192" s="27" t="n">
        <v>628000064</v>
      </c>
      <c r="C192" s="27" t="inlineStr">
        <is>
          <t>Silva Alypia</t>
        </is>
      </c>
      <c r="D192" s="171" t="n">
        <v>46147.41666666666</v>
      </c>
      <c r="E192" s="26" t="n">
        <v>0.244837962962963</v>
      </c>
      <c r="F192" s="27" t="inlineStr">
        <is>
          <t>Shift 1</t>
        </is>
      </c>
      <c r="G192" s="27" t="n"/>
    </row>
    <row r="193" hidden="1" s="169">
      <c r="A193" s="27" t="inlineStr">
        <is>
          <t>MK00249</t>
        </is>
      </c>
      <c r="B193" s="27" t="n">
        <v>528000279</v>
      </c>
      <c r="C193" s="27" t="inlineStr">
        <is>
          <t>Mahdalena Dalfa Riani</t>
        </is>
      </c>
      <c r="D193" s="171" t="n">
        <v>46147.41666666666</v>
      </c>
      <c r="E193" s="26" t="n">
        <v>0.2470833333333333</v>
      </c>
      <c r="F193" s="27" t="inlineStr">
        <is>
          <t>Shift 1</t>
        </is>
      </c>
      <c r="G193" s="27" t="n"/>
    </row>
    <row r="194" hidden="1" s="169">
      <c r="A194" s="27" t="n">
        <v>1000210</v>
      </c>
      <c r="B194" s="27" t="n">
        <v>528000069</v>
      </c>
      <c r="C194" s="27" t="inlineStr">
        <is>
          <t>Jajang Ardiansyah</t>
        </is>
      </c>
      <c r="D194" s="171" t="n">
        <v>46147.41666666666</v>
      </c>
      <c r="E194" s="26" t="n">
        <v>0.2613078703703703</v>
      </c>
      <c r="F194" s="27" t="inlineStr">
        <is>
          <t>Shift 1</t>
        </is>
      </c>
      <c r="G194" s="27" t="n"/>
    </row>
    <row r="195" hidden="1" s="169">
      <c r="A195" s="27" t="inlineStr">
        <is>
          <t>MK00209</t>
        </is>
      </c>
      <c r="B195" s="27" t="n">
        <v>528000282</v>
      </c>
      <c r="C195" s="27" t="inlineStr">
        <is>
          <t>Defa Desfiana</t>
        </is>
      </c>
      <c r="D195" s="171" t="n">
        <v>46147.41666666666</v>
      </c>
      <c r="E195" s="26" t="n">
        <v>0.3136689814814815</v>
      </c>
      <c r="F195" s="27" t="inlineStr">
        <is>
          <t>Shift 1</t>
        </is>
      </c>
      <c r="G195" s="27" t="inlineStr">
        <is>
          <t>23c</t>
        </is>
      </c>
    </row>
    <row r="196" hidden="1" s="169">
      <c r="A196" s="27" t="inlineStr">
        <is>
          <t>MK00212</t>
        </is>
      </c>
      <c r="B196" s="27" t="n">
        <v>528000144</v>
      </c>
      <c r="C196" s="27" t="inlineStr">
        <is>
          <t>Jodi Hanafi</t>
        </is>
      </c>
      <c r="D196" s="171" t="n">
        <v>46147.41666666666</v>
      </c>
      <c r="E196" s="26" t="n">
        <v>0.3147222222222222</v>
      </c>
      <c r="F196" s="27" t="inlineStr">
        <is>
          <t>Shift 1</t>
        </is>
      </c>
      <c r="G196" s="27" t="n"/>
    </row>
    <row r="197" hidden="1" s="169">
      <c r="A197" s="27" t="inlineStr">
        <is>
          <t>MK00210</t>
        </is>
      </c>
      <c r="B197" s="27" t="n">
        <v>528000069</v>
      </c>
      <c r="C197" s="27" t="inlineStr">
        <is>
          <t>Jajang Ardiansyah</t>
        </is>
      </c>
      <c r="D197" s="171" t="n">
        <v>46147.41666666666</v>
      </c>
      <c r="E197" s="26" t="n">
        <v>0.3171412037037037</v>
      </c>
      <c r="F197" s="27" t="inlineStr">
        <is>
          <t>Shift 1</t>
        </is>
      </c>
      <c r="G197" s="27" t="n">
        <v>89</v>
      </c>
    </row>
    <row r="198" hidden="1" s="169">
      <c r="A198" s="27" t="inlineStr">
        <is>
          <t>MK00192</t>
        </is>
      </c>
      <c r="B198" s="27" t="n">
        <v>528000287</v>
      </c>
      <c r="C198" s="27" t="inlineStr">
        <is>
          <t>Muhamad Angga Ramdani</t>
        </is>
      </c>
      <c r="D198" s="171" t="n">
        <v>46147.41666666666</v>
      </c>
      <c r="E198" s="26" t="n">
        <v>0.3225925925925926</v>
      </c>
      <c r="F198" s="27" t="inlineStr">
        <is>
          <t>Shift 1</t>
        </is>
      </c>
      <c r="G198" s="27" t="n"/>
    </row>
    <row r="199" hidden="1" s="169">
      <c r="A199" s="27" t="inlineStr">
        <is>
          <t>MK00155</t>
        </is>
      </c>
      <c r="B199" s="27" t="n">
        <v>528000265</v>
      </c>
      <c r="C199" s="27" t="inlineStr">
        <is>
          <t>Muhammad Haerul Rozikin</t>
        </is>
      </c>
      <c r="D199" s="171" t="n">
        <v>46147.41666666666</v>
      </c>
      <c r="E199" s="26" t="n">
        <v>0.3227314814814815</v>
      </c>
      <c r="F199" s="27" t="inlineStr">
        <is>
          <t>Shift 1</t>
        </is>
      </c>
      <c r="G199" s="27" t="n"/>
    </row>
    <row r="200" hidden="1" s="169">
      <c r="A200" s="27" t="inlineStr">
        <is>
          <t>MK00109</t>
        </is>
      </c>
      <c r="B200" s="27" t="n">
        <v>528000349</v>
      </c>
      <c r="C200" s="27" t="inlineStr">
        <is>
          <t>Anas Abdul Fatah</t>
        </is>
      </c>
      <c r="D200" s="171" t="n">
        <v>46147.41666666666</v>
      </c>
      <c r="E200" s="26" t="n">
        <v>0.3261689814814815</v>
      </c>
      <c r="F200" s="27" t="inlineStr">
        <is>
          <t>Shift 1</t>
        </is>
      </c>
      <c r="G200" s="27" t="n"/>
    </row>
    <row r="201" hidden="1" s="169">
      <c r="A201" s="27" t="inlineStr">
        <is>
          <t>MK00112</t>
        </is>
      </c>
      <c r="B201" s="27" t="n">
        <v>528000351</v>
      </c>
      <c r="C201" s="27" t="inlineStr">
        <is>
          <t>Mulyana</t>
        </is>
      </c>
      <c r="D201" s="171" t="n">
        <v>46147.41666666666</v>
      </c>
      <c r="E201" s="26" t="n">
        <v>0.3399652777777778</v>
      </c>
      <c r="F201" s="27" t="inlineStr">
        <is>
          <t>Shift 1</t>
        </is>
      </c>
      <c r="G201" s="27" t="n"/>
    </row>
    <row r="202" hidden="1" s="169">
      <c r="A202" s="27" t="inlineStr">
        <is>
          <t>MK00046</t>
        </is>
      </c>
      <c r="B202" s="27" t="n">
        <v>528000232</v>
      </c>
      <c r="C202" s="27" t="inlineStr">
        <is>
          <t>Agung Aji Suhada</t>
        </is>
      </c>
      <c r="D202" s="171" t="n">
        <v>46147.41666666666</v>
      </c>
      <c r="E202" s="26" t="n">
        <v>0.3696064814814815</v>
      </c>
      <c r="F202" s="27" t="inlineStr">
        <is>
          <t>Shift 1</t>
        </is>
      </c>
      <c r="G202" s="27" t="n"/>
    </row>
    <row r="203" hidden="1" s="169">
      <c r="A203" s="27" t="inlineStr">
        <is>
          <t>MA00145</t>
        </is>
      </c>
      <c r="B203" s="27" t="n">
        <v>528000348</v>
      </c>
      <c r="C203" s="27" t="inlineStr">
        <is>
          <t>Saepuloh Ardiansah</t>
        </is>
      </c>
      <c r="D203" s="171" t="n">
        <v>46147.41666666666</v>
      </c>
      <c r="E203" s="26" t="n">
        <v>0.3696527777777778</v>
      </c>
      <c r="F203" s="27" t="inlineStr">
        <is>
          <t>Shift 1</t>
        </is>
      </c>
      <c r="G203" s="27" t="n"/>
    </row>
    <row r="204" hidden="1" s="169">
      <c r="A204" s="27" t="inlineStr">
        <is>
          <t>MK00138</t>
        </is>
      </c>
      <c r="B204" s="27" t="n">
        <v>528000203</v>
      </c>
      <c r="C204" s="27" t="inlineStr">
        <is>
          <t>Yudha Ramdhan Putra</t>
        </is>
      </c>
      <c r="D204" s="171" t="n">
        <v>46147.41666666666</v>
      </c>
      <c r="E204" s="26" t="n">
        <v>0.3763078703703704</v>
      </c>
      <c r="F204" s="27" t="inlineStr">
        <is>
          <t>Shift 1</t>
        </is>
      </c>
      <c r="G204" s="27" t="n"/>
    </row>
    <row r="205" hidden="1" s="169">
      <c r="A205" s="27" t="inlineStr">
        <is>
          <t>MK00141</t>
        </is>
      </c>
      <c r="B205" s="27" t="n">
        <v>528000244</v>
      </c>
      <c r="C205" s="27" t="inlineStr">
        <is>
          <t>Rodian Rifai</t>
        </is>
      </c>
      <c r="D205" s="171" t="n">
        <v>46147.41666666666</v>
      </c>
      <c r="E205" s="26" t="n">
        <v>0.5627546296296296</v>
      </c>
      <c r="F205" s="27" t="inlineStr">
        <is>
          <t>Shift 2</t>
        </is>
      </c>
      <c r="G205" s="27" t="inlineStr">
        <is>
          <t>23F</t>
        </is>
      </c>
    </row>
    <row r="206" hidden="1" s="169">
      <c r="A206" s="27" t="inlineStr">
        <is>
          <t>MK00181</t>
        </is>
      </c>
      <c r="B206" s="27" t="n">
        <v>528000286</v>
      </c>
      <c r="C206" s="27" t="inlineStr">
        <is>
          <t>Imelda Amelia</t>
        </is>
      </c>
      <c r="D206" s="171" t="n">
        <v>46147.41666666666</v>
      </c>
      <c r="E206" s="26" t="n">
        <v>0.5649421296296296</v>
      </c>
      <c r="F206" s="27" t="inlineStr">
        <is>
          <t>Shift 2</t>
        </is>
      </c>
      <c r="G206" s="27" t="n"/>
    </row>
    <row r="207" hidden="1" s="169">
      <c r="A207" s="27" t="inlineStr">
        <is>
          <t>MK00200</t>
        </is>
      </c>
      <c r="B207" s="27" t="n">
        <v>528000201</v>
      </c>
      <c r="C207" s="27" t="inlineStr">
        <is>
          <t>Zahwa Amelia Choerunissa</t>
        </is>
      </c>
      <c r="D207" s="171" t="n">
        <v>46147.41666666666</v>
      </c>
      <c r="E207" s="26" t="n">
        <v>0.565625</v>
      </c>
      <c r="F207" s="27" t="inlineStr">
        <is>
          <t>Shift 2</t>
        </is>
      </c>
      <c r="G207" s="27" t="n"/>
    </row>
    <row r="208" hidden="1" s="169">
      <c r="A208" s="27" t="inlineStr">
        <is>
          <t>MK00136</t>
        </is>
      </c>
      <c r="B208" s="27" t="n">
        <v>528000099</v>
      </c>
      <c r="C208" s="27" t="inlineStr">
        <is>
          <t>Siti Nurawaliah</t>
        </is>
      </c>
      <c r="D208" s="171" t="n">
        <v>46147.41666666666</v>
      </c>
      <c r="E208" s="26" t="n">
        <v>0.5662037037037037</v>
      </c>
      <c r="F208" s="27" t="inlineStr">
        <is>
          <t>Shift 2</t>
        </is>
      </c>
      <c r="G208" s="27" t="n"/>
    </row>
    <row r="209" hidden="1" s="169">
      <c r="A209" s="27" t="inlineStr">
        <is>
          <t>MK00156</t>
        </is>
      </c>
      <c r="B209" s="27" t="n">
        <v>528000228</v>
      </c>
      <c r="C209" s="27" t="inlineStr">
        <is>
          <t>Banyu Resmi Putri</t>
        </is>
      </c>
      <c r="D209" s="171" t="n">
        <v>46147.41666666666</v>
      </c>
      <c r="E209" s="26" t="n">
        <v>0.574849537037037</v>
      </c>
      <c r="F209" s="27" t="inlineStr">
        <is>
          <t>Shift 2</t>
        </is>
      </c>
      <c r="G209" s="27" t="n"/>
    </row>
    <row r="210" hidden="1" s="169">
      <c r="A210" s="27" t="inlineStr">
        <is>
          <t>MK00082</t>
        </is>
      </c>
      <c r="B210" s="27" t="n">
        <v>528000241</v>
      </c>
      <c r="C210" s="27" t="inlineStr">
        <is>
          <t>Balia Nurafif Bilah</t>
        </is>
      </c>
      <c r="D210" s="171" t="n">
        <v>46147.41666666666</v>
      </c>
      <c r="E210" s="26" t="n">
        <v>0.5784143518518519</v>
      </c>
      <c r="F210" s="27" t="inlineStr">
        <is>
          <t>Shift 2</t>
        </is>
      </c>
      <c r="G210" s="27" t="n"/>
    </row>
    <row r="211" hidden="1" s="169">
      <c r="A211" s="27" t="inlineStr">
        <is>
          <t>MK00118</t>
        </is>
      </c>
      <c r="B211" s="27" t="n">
        <v>528000274</v>
      </c>
      <c r="C211" s="27" t="inlineStr">
        <is>
          <t>Zepri</t>
        </is>
      </c>
      <c r="D211" s="171" t="n">
        <v>46147.41666666666</v>
      </c>
      <c r="E211" s="26" t="n">
        <v>0.5784722222222223</v>
      </c>
      <c r="F211" s="27" t="inlineStr">
        <is>
          <t>Shift 2</t>
        </is>
      </c>
      <c r="G211" s="27" t="n"/>
    </row>
    <row r="212" hidden="1" s="169">
      <c r="A212" s="27" t="inlineStr">
        <is>
          <t>MK00199</t>
        </is>
      </c>
      <c r="B212" s="27" t="n">
        <v>528000090</v>
      </c>
      <c r="C212" s="27" t="inlineStr">
        <is>
          <t>Suganda</t>
        </is>
      </c>
      <c r="D212" s="171" t="n">
        <v>46147.41666666666</v>
      </c>
      <c r="E212" s="26" t="n">
        <v>0.5789467592592593</v>
      </c>
      <c r="F212" s="27" t="inlineStr">
        <is>
          <t>Shift 2</t>
        </is>
      </c>
      <c r="G212" s="27" t="n"/>
    </row>
    <row r="213" hidden="1" s="169">
      <c r="A213" s="27" t="inlineStr">
        <is>
          <t>MK00116</t>
        </is>
      </c>
      <c r="B213" s="27" t="n">
        <v>528000290</v>
      </c>
      <c r="C213" s="27" t="inlineStr">
        <is>
          <t>Eval Pranata</t>
        </is>
      </c>
      <c r="D213" s="171" t="n">
        <v>46147.41666666666</v>
      </c>
      <c r="E213" s="26" t="n">
        <v>0.5790740740740741</v>
      </c>
      <c r="F213" s="27" t="inlineStr">
        <is>
          <t>Shift 2</t>
        </is>
      </c>
      <c r="G213" s="27" t="n"/>
    </row>
    <row r="214" hidden="1" s="169">
      <c r="A214" s="27" t="inlineStr">
        <is>
          <t>MK00055</t>
        </is>
      </c>
      <c r="B214" s="27" t="n">
        <v>528000212</v>
      </c>
      <c r="C214" s="27" t="inlineStr">
        <is>
          <t>Rizal Fauzi</t>
        </is>
      </c>
      <c r="D214" s="171" t="n">
        <v>46147.41666666666</v>
      </c>
      <c r="E214" s="26" t="n">
        <v>0.5811226851851852</v>
      </c>
      <c r="F214" s="27" t="inlineStr">
        <is>
          <t>Shift 2</t>
        </is>
      </c>
      <c r="G214" s="27" t="n"/>
    </row>
    <row r="215" hidden="1" s="169">
      <c r="A215" s="27" t="inlineStr">
        <is>
          <t>MK00205</t>
        </is>
      </c>
      <c r="B215" s="27" t="n">
        <v>528000267</v>
      </c>
      <c r="C215" s="27" t="inlineStr">
        <is>
          <t>Bagas Patulloh</t>
        </is>
      </c>
      <c r="D215" s="171" t="n">
        <v>46147.41666666666</v>
      </c>
      <c r="E215" s="26" t="n">
        <v>0.6711111111111111</v>
      </c>
      <c r="F215" s="27" t="inlineStr">
        <is>
          <t>Shift 2</t>
        </is>
      </c>
      <c r="G215" s="27" t="n"/>
    </row>
    <row r="216" hidden="1" s="169">
      <c r="A216" s="27" t="inlineStr">
        <is>
          <t>MK00215</t>
        </is>
      </c>
      <c r="B216" s="27" t="n">
        <v>528000132</v>
      </c>
      <c r="C216" s="27" t="inlineStr">
        <is>
          <t>Giopani</t>
        </is>
      </c>
      <c r="D216" s="171" t="n">
        <v>46147.41666666666</v>
      </c>
      <c r="E216" s="26" t="n">
        <v>0.6783680555555556</v>
      </c>
      <c r="F216" s="27" t="inlineStr">
        <is>
          <t>Shift 2</t>
        </is>
      </c>
      <c r="G216" s="27" t="n"/>
    </row>
    <row r="217" hidden="1" s="169">
      <c r="A217" s="27" t="inlineStr">
        <is>
          <t>MK00221</t>
        </is>
      </c>
      <c r="B217" s="27" t="n">
        <v>628000091</v>
      </c>
      <c r="C217" s="27" t="inlineStr">
        <is>
          <t>Devita Handayani</t>
        </is>
      </c>
      <c r="D217" s="171" t="n">
        <v>46147.41666666666</v>
      </c>
      <c r="E217" s="26" t="n">
        <v>0.8861342592592593</v>
      </c>
      <c r="F217" s="27" t="inlineStr">
        <is>
          <t>Shift 3</t>
        </is>
      </c>
      <c r="G217" s="27" t="n"/>
    </row>
    <row r="218" hidden="1" s="169">
      <c r="A218" s="27" t="inlineStr">
        <is>
          <t>MK00150</t>
        </is>
      </c>
      <c r="B218" s="27" t="n">
        <v>628000061</v>
      </c>
      <c r="C218" s="27" t="inlineStr">
        <is>
          <t>Nayla Fadillah Exwantoro</t>
        </is>
      </c>
      <c r="D218" s="171" t="n">
        <v>46147.41666666666</v>
      </c>
      <c r="E218" s="26" t="n">
        <v>0.8888078703703703</v>
      </c>
      <c r="F218" s="27" t="inlineStr">
        <is>
          <t>Shift 3</t>
        </is>
      </c>
      <c r="G218" s="27" t="n"/>
    </row>
    <row r="219" hidden="1" s="169">
      <c r="A219" s="27" t="inlineStr">
        <is>
          <t>MK00184</t>
        </is>
      </c>
      <c r="B219" s="27" t="n">
        <v>528000098</v>
      </c>
      <c r="C219" s="27" t="inlineStr">
        <is>
          <t>Edi Junaedi</t>
        </is>
      </c>
      <c r="D219" s="171" t="n">
        <v>46147.41666666666</v>
      </c>
      <c r="E219" s="26" t="n">
        <v>0.8929166666666667</v>
      </c>
      <c r="F219" s="27" t="inlineStr">
        <is>
          <t>Shift 3</t>
        </is>
      </c>
      <c r="G219" s="27" t="n"/>
    </row>
    <row r="220" hidden="1" s="169">
      <c r="A220" s="27" t="inlineStr">
        <is>
          <t>MK00209</t>
        </is>
      </c>
      <c r="B220" s="27" t="n">
        <v>528000298</v>
      </c>
      <c r="C220" s="27" t="inlineStr">
        <is>
          <t>Desta Cahaya Pratama</t>
        </is>
      </c>
      <c r="D220" s="171" t="n">
        <v>46147.41666666666</v>
      </c>
      <c r="E220" s="26" t="n">
        <v>0.9027430555555556</v>
      </c>
      <c r="F220" s="27" t="inlineStr">
        <is>
          <t>Shift 3</t>
        </is>
      </c>
      <c r="G220" s="27" t="n"/>
    </row>
    <row r="221">
      <c r="A221" s="27" t="inlineStr">
        <is>
          <t>MK00145</t>
        </is>
      </c>
      <c r="B221" s="27" t="n">
        <v>528000015</v>
      </c>
      <c r="C221" s="27" t="inlineStr">
        <is>
          <t>Erwin</t>
        </is>
      </c>
      <c r="D221" s="171" t="n">
        <v>46147.41666666666</v>
      </c>
      <c r="E221" s="26" t="n">
        <v>0.9032523148148148</v>
      </c>
      <c r="F221" s="27" t="inlineStr">
        <is>
          <t>Shift 3</t>
        </is>
      </c>
      <c r="G221" s="27" t="n"/>
    </row>
    <row r="222" hidden="1" s="169">
      <c r="A222" s="27" t="inlineStr">
        <is>
          <t>MK00046</t>
        </is>
      </c>
      <c r="B222" s="27" t="n">
        <v>528000305</v>
      </c>
      <c r="C222" s="27" t="inlineStr">
        <is>
          <t>Puji Puspita</t>
        </is>
      </c>
      <c r="D222" s="171" t="n">
        <v>46147.41666666666</v>
      </c>
      <c r="E222" s="26" t="n">
        <v>0.905775462962963</v>
      </c>
      <c r="F222" s="27" t="inlineStr">
        <is>
          <t>Shift 3</t>
        </is>
      </c>
      <c r="G222" s="27" t="n"/>
    </row>
    <row r="223" hidden="1" s="169">
      <c r="A223" s="27" t="inlineStr">
        <is>
          <t>MK00192</t>
        </is>
      </c>
      <c r="B223" s="27" t="n">
        <v>528000302</v>
      </c>
      <c r="C223" s="27" t="inlineStr">
        <is>
          <t>Henkey gumilar</t>
        </is>
      </c>
      <c r="D223" s="171" t="n">
        <v>46147.41666666666</v>
      </c>
      <c r="E223" s="26" t="n">
        <v>0.9060995370370371</v>
      </c>
      <c r="F223" s="27" t="inlineStr">
        <is>
          <t>Shift 3</t>
        </is>
      </c>
      <c r="G223" s="27" t="n"/>
    </row>
    <row r="224" hidden="1" s="169">
      <c r="A224" s="27" t="inlineStr">
        <is>
          <t>MK00155</t>
        </is>
      </c>
      <c r="B224" s="27" t="n">
        <v>528000299</v>
      </c>
      <c r="C224" s="27" t="inlineStr">
        <is>
          <t>Siti Nurjanah</t>
        </is>
      </c>
      <c r="D224" s="171" t="n">
        <v>46147.41666666666</v>
      </c>
      <c r="E224" s="26" t="n">
        <v>0.9063310185185185</v>
      </c>
      <c r="F224" s="27" t="inlineStr">
        <is>
          <t>Shift 3</t>
        </is>
      </c>
      <c r="G224" s="27" t="n"/>
    </row>
    <row r="225" hidden="1" s="169">
      <c r="A225" s="27" t="inlineStr">
        <is>
          <t>MK00112</t>
        </is>
      </c>
      <c r="B225" s="27" t="n">
        <v>528000270</v>
      </c>
      <c r="C225" s="27" t="inlineStr">
        <is>
          <t>Febri Najmudin</t>
        </is>
      </c>
      <c r="D225" s="171" t="n">
        <v>46147.41666666666</v>
      </c>
      <c r="E225" s="26" t="n">
        <v>0.9092592592592592</v>
      </c>
      <c r="F225" s="27" t="inlineStr">
        <is>
          <t>Shift 3</t>
        </is>
      </c>
      <c r="G225" s="27" t="n"/>
    </row>
    <row r="226" hidden="1" s="169">
      <c r="A226" s="27" t="inlineStr">
        <is>
          <t>MK00156</t>
        </is>
      </c>
      <c r="B226" s="27" t="n">
        <v>528000238</v>
      </c>
      <c r="C226" s="27" t="inlineStr">
        <is>
          <t>Indah Lusiana</t>
        </is>
      </c>
      <c r="D226" s="171" t="n">
        <v>46178.41666666666</v>
      </c>
      <c r="E226" s="26" t="n">
        <v>0.2353587962962963</v>
      </c>
      <c r="F226" s="27" t="inlineStr">
        <is>
          <t>Shift 1</t>
        </is>
      </c>
      <c r="G226" s="27" t="n"/>
    </row>
    <row r="227" hidden="1" s="169">
      <c r="A227" s="27" t="inlineStr">
        <is>
          <t>MK0082</t>
        </is>
      </c>
      <c r="B227" s="27" t="n">
        <v>528000297</v>
      </c>
      <c r="C227" s="27" t="inlineStr">
        <is>
          <t>Muhamad Budiana</t>
        </is>
      </c>
      <c r="D227" s="171" t="n">
        <v>46178.41666666666</v>
      </c>
      <c r="E227" s="26" t="n">
        <v>0.2455671296296296</v>
      </c>
      <c r="F227" s="27" t="inlineStr">
        <is>
          <t>Shift 1</t>
        </is>
      </c>
      <c r="G227" s="27" t="n"/>
    </row>
    <row r="228" hidden="1" s="169">
      <c r="A228" s="27" t="inlineStr">
        <is>
          <t>MK00213</t>
        </is>
      </c>
      <c r="B228" s="27" t="n">
        <v>528000279</v>
      </c>
      <c r="C228" s="27" t="inlineStr">
        <is>
          <t>Mahdalena Dalfa Riani</t>
        </is>
      </c>
      <c r="D228" s="171" t="n">
        <v>46178.41666666666</v>
      </c>
      <c r="E228" s="26" t="n">
        <v>0.2469444444444444</v>
      </c>
      <c r="F228" s="27" t="inlineStr">
        <is>
          <t>Shift 1</t>
        </is>
      </c>
      <c r="G228" s="27" t="n"/>
    </row>
    <row r="229" hidden="1" s="169">
      <c r="A229" s="27" t="inlineStr">
        <is>
          <t>MK00249</t>
        </is>
      </c>
      <c r="B229" s="27" t="n">
        <v>528000282</v>
      </c>
      <c r="C229" s="27" t="inlineStr">
        <is>
          <t>Defa Desfiana</t>
        </is>
      </c>
      <c r="D229" s="171" t="n">
        <v>46178.41666666666</v>
      </c>
      <c r="E229" s="26" t="n">
        <v>0.3206365740740741</v>
      </c>
      <c r="F229" s="27" t="inlineStr">
        <is>
          <t>Shift 1</t>
        </is>
      </c>
      <c r="G229" s="27" t="inlineStr">
        <is>
          <t>23c</t>
        </is>
      </c>
    </row>
    <row r="230" hidden="1" s="169">
      <c r="A230" s="27" t="inlineStr">
        <is>
          <t>MK00151</t>
        </is>
      </c>
      <c r="B230" s="27" t="n">
        <v>528000287</v>
      </c>
      <c r="C230" s="27" t="inlineStr">
        <is>
          <t>Muhamad Angga Ramdani</t>
        </is>
      </c>
      <c r="D230" s="171" t="n">
        <v>46178.41666666666</v>
      </c>
      <c r="E230" s="26" t="n">
        <v>0.3232754629629629</v>
      </c>
      <c r="F230" s="27" t="inlineStr">
        <is>
          <t>Shift 1</t>
        </is>
      </c>
      <c r="G230" s="27" t="n"/>
    </row>
    <row r="231" hidden="1" s="169">
      <c r="A231" s="27" t="inlineStr">
        <is>
          <t>MK00150</t>
        </is>
      </c>
      <c r="B231" s="27" t="n">
        <v>528000265</v>
      </c>
      <c r="C231" s="27" t="inlineStr">
        <is>
          <t>Muhammad Haerul Rozikin</t>
        </is>
      </c>
      <c r="D231" s="171" t="n">
        <v>46178.41666666666</v>
      </c>
      <c r="E231" s="26" t="n">
        <v>0.3247685185185185</v>
      </c>
      <c r="F231" s="27" t="inlineStr">
        <is>
          <t>Shift 1</t>
        </is>
      </c>
      <c r="G231" s="27" t="n"/>
    </row>
    <row r="232" hidden="1" s="169">
      <c r="A232" s="27" t="inlineStr">
        <is>
          <t>MK00212</t>
        </is>
      </c>
      <c r="B232" s="27" t="n">
        <v>528000144</v>
      </c>
      <c r="C232" s="27" t="inlineStr">
        <is>
          <t>Jodi Hanafi</t>
        </is>
      </c>
      <c r="D232" s="171" t="n">
        <v>46178.41666666666</v>
      </c>
      <c r="E232" s="26" t="n">
        <v>0.3318981481481482</v>
      </c>
      <c r="F232" s="27" t="inlineStr">
        <is>
          <t>Shift 1</t>
        </is>
      </c>
      <c r="G232" s="27" t="n"/>
    </row>
    <row r="233" hidden="1" s="169">
      <c r="A233" s="27" t="inlineStr">
        <is>
          <t>MK00192</t>
        </is>
      </c>
      <c r="B233" s="27" t="n">
        <v>528000348</v>
      </c>
      <c r="C233" s="27" t="inlineStr">
        <is>
          <t>Saepuloh Ardiansah</t>
        </is>
      </c>
      <c r="D233" s="171" t="n">
        <v>46178.41666666666</v>
      </c>
      <c r="E233" s="26" t="n">
        <v>0.3657175925925926</v>
      </c>
      <c r="F233" s="27" t="inlineStr">
        <is>
          <t>Shift 1</t>
        </is>
      </c>
      <c r="G233" s="27" t="n"/>
    </row>
    <row r="234" hidden="1" s="169">
      <c r="A234" s="27" t="inlineStr">
        <is>
          <t>MK00155</t>
        </is>
      </c>
      <c r="B234" s="27" t="n">
        <v>528000232</v>
      </c>
      <c r="C234" s="27" t="inlineStr">
        <is>
          <t>Agung Aji Suhada</t>
        </is>
      </c>
      <c r="D234" s="171" t="n">
        <v>46178.41666666666</v>
      </c>
      <c r="E234" s="26" t="n">
        <v>0.370787037037037</v>
      </c>
      <c r="F234" s="27" t="inlineStr">
        <is>
          <t>Shift 1</t>
        </is>
      </c>
      <c r="G234" s="27" t="n"/>
    </row>
    <row r="235" hidden="1" s="169">
      <c r="A235" s="27" t="inlineStr">
        <is>
          <t>MK00158</t>
        </is>
      </c>
      <c r="B235" s="27" t="n">
        <v>528000203</v>
      </c>
      <c r="C235" s="27" t="inlineStr">
        <is>
          <t>Yudha Ramdhan Putra</t>
        </is>
      </c>
      <c r="D235" s="171" t="n">
        <v>46178.41666666666</v>
      </c>
      <c r="E235" s="26" t="n">
        <v>0.3712152777777778</v>
      </c>
      <c r="F235" s="27" t="inlineStr">
        <is>
          <t>Shift 1</t>
        </is>
      </c>
      <c r="G235" s="27" t="n"/>
    </row>
    <row r="236" hidden="1" s="169">
      <c r="A236" s="27" t="inlineStr">
        <is>
          <t>MK00148</t>
        </is>
      </c>
      <c r="B236" s="27" t="n">
        <v>528000040</v>
      </c>
      <c r="C236" s="27" t="inlineStr">
        <is>
          <t>Agus Suryaman</t>
        </is>
      </c>
      <c r="D236" s="171" t="n">
        <v>46178.41666666666</v>
      </c>
      <c r="E236" s="26" t="n">
        <v>0.3723263888888889</v>
      </c>
      <c r="F236" s="27" t="inlineStr">
        <is>
          <t>Shift 1</t>
        </is>
      </c>
      <c r="G236" s="27" t="n"/>
    </row>
    <row r="237" hidden="1" s="169">
      <c r="A237" s="27" t="inlineStr">
        <is>
          <t>MK00186</t>
        </is>
      </c>
      <c r="B237" s="27" t="n">
        <v>528000149</v>
      </c>
      <c r="C237" s="27" t="inlineStr">
        <is>
          <t>Tio Fernanda</t>
        </is>
      </c>
      <c r="D237" s="171" t="n">
        <v>46178.41666666666</v>
      </c>
      <c r="E237" s="26" t="n">
        <v>0.373599537037037</v>
      </c>
      <c r="F237" s="27" t="inlineStr">
        <is>
          <t>Shift 1</t>
        </is>
      </c>
      <c r="G237" s="27" t="n"/>
    </row>
    <row r="238" hidden="1" s="169">
      <c r="A238" s="27" t="inlineStr">
        <is>
          <t>MK00118</t>
        </is>
      </c>
      <c r="B238" s="27" t="n">
        <v>528000055</v>
      </c>
      <c r="C238" s="27" t="inlineStr">
        <is>
          <t>Dika Prasetya</t>
        </is>
      </c>
      <c r="D238" s="171" t="n">
        <v>46178.41666666666</v>
      </c>
      <c r="E238" s="26" t="n">
        <v>0.4577199074074074</v>
      </c>
      <c r="F238" s="27" t="inlineStr">
        <is>
          <t>Shift 1</t>
        </is>
      </c>
      <c r="G238" s="27" t="n"/>
    </row>
    <row r="239" hidden="1" s="169">
      <c r="A239" s="27" t="inlineStr">
        <is>
          <t>MK00116</t>
        </is>
      </c>
      <c r="B239" s="27" t="n">
        <v>528000273</v>
      </c>
      <c r="C239" s="27" t="inlineStr">
        <is>
          <t>Asep Mulyana</t>
        </is>
      </c>
      <c r="D239" s="171" t="n">
        <v>46178.41666666666</v>
      </c>
      <c r="E239" s="26" t="n">
        <v>0.4592013888888889</v>
      </c>
      <c r="F239" s="27" t="inlineStr">
        <is>
          <t>Shift 1</t>
        </is>
      </c>
      <c r="G239" s="27" t="n"/>
    </row>
    <row r="240" hidden="1" s="169">
      <c r="A240" s="27" t="inlineStr">
        <is>
          <t>MK00109</t>
        </is>
      </c>
      <c r="B240" s="27" t="n">
        <v>528000267</v>
      </c>
      <c r="C240" s="27" t="inlineStr">
        <is>
          <t>Bagas Patulloh</t>
        </is>
      </c>
      <c r="D240" s="171" t="n">
        <v>46178.41666666666</v>
      </c>
      <c r="E240" s="26" t="n">
        <v>0.539375</v>
      </c>
      <c r="F240" s="27" t="inlineStr">
        <is>
          <t>Shift 1</t>
        </is>
      </c>
      <c r="G240" s="27" t="n"/>
    </row>
    <row r="241" hidden="1" s="169">
      <c r="A241" s="27" t="inlineStr">
        <is>
          <t>MK00085</t>
        </is>
      </c>
      <c r="B241" s="27" t="n">
        <v>528000132</v>
      </c>
      <c r="C241" s="27" t="inlineStr">
        <is>
          <t>Giopani</t>
        </is>
      </c>
      <c r="D241" s="171" t="n">
        <v>46178.41666666666</v>
      </c>
      <c r="E241" s="26" t="n">
        <v>0.5402893518518519</v>
      </c>
      <c r="F241" s="27" t="inlineStr">
        <is>
          <t>Shift 1</t>
        </is>
      </c>
      <c r="G241" s="27" t="n"/>
    </row>
    <row r="242" hidden="1" s="169">
      <c r="A242" s="27" t="inlineStr">
        <is>
          <t>MK00249</t>
        </is>
      </c>
      <c r="B242" s="27" t="n">
        <v>528000244</v>
      </c>
      <c r="C242" s="27" t="inlineStr">
        <is>
          <t>Rodian Rifai</t>
        </is>
      </c>
      <c r="D242" s="171" t="n">
        <v>46178.41666666666</v>
      </c>
      <c r="E242" s="26" t="n">
        <v>0.5634953703703703</v>
      </c>
      <c r="F242" s="27" t="inlineStr">
        <is>
          <t>Shift 2</t>
        </is>
      </c>
      <c r="G242" s="27" t="n"/>
    </row>
    <row r="243" hidden="1" s="169">
      <c r="A243" s="27" t="inlineStr">
        <is>
          <t>MK00055</t>
        </is>
      </c>
      <c r="B243" s="27" t="n">
        <v>528000212</v>
      </c>
      <c r="C243" s="27" t="inlineStr">
        <is>
          <t>Rizal Fauzi</t>
        </is>
      </c>
      <c r="D243" s="171" t="n">
        <v>46178.41666666666</v>
      </c>
      <c r="E243" s="26" t="n">
        <v>0.5640972222222222</v>
      </c>
      <c r="F243" s="27" t="inlineStr">
        <is>
          <t>Shift 2</t>
        </is>
      </c>
      <c r="G243" s="27" t="n"/>
    </row>
    <row r="244" hidden="1" s="169">
      <c r="A244" s="27" t="inlineStr">
        <is>
          <t>MK00151</t>
        </is>
      </c>
      <c r="B244" s="27" t="n">
        <v>528000201</v>
      </c>
      <c r="C244" s="27" t="inlineStr">
        <is>
          <t>Zahwa Amelia Choerunissa</t>
        </is>
      </c>
      <c r="D244" s="171" t="n">
        <v>46178.41666666666</v>
      </c>
      <c r="E244" s="26" t="n">
        <v>0.5650462962962963</v>
      </c>
      <c r="F244" s="27" t="inlineStr">
        <is>
          <t>Shift 2</t>
        </is>
      </c>
      <c r="G244" s="27" t="n"/>
    </row>
    <row r="245" hidden="1" s="169">
      <c r="A245" s="27" t="inlineStr">
        <is>
          <t>MK00209</t>
        </is>
      </c>
      <c r="B245" s="27" t="n">
        <v>528000099</v>
      </c>
      <c r="C245" s="27" t="inlineStr">
        <is>
          <t>Siti Nurawaliah</t>
        </is>
      </c>
      <c r="D245" s="171" t="n">
        <v>46178.41666666666</v>
      </c>
      <c r="E245" s="26" t="n">
        <v>0.5655671296296296</v>
      </c>
      <c r="F245" s="27" t="inlineStr">
        <is>
          <t>Shift 2</t>
        </is>
      </c>
      <c r="G245" s="27" t="n"/>
    </row>
    <row r="246" hidden="1" s="169">
      <c r="A246" s="27" t="inlineStr">
        <is>
          <t>MK0046</t>
        </is>
      </c>
      <c r="B246" s="27" t="n">
        <v>528000286</v>
      </c>
      <c r="C246" s="27" t="inlineStr">
        <is>
          <t>Imelda Amelia</t>
        </is>
      </c>
      <c r="D246" s="171" t="n">
        <v>46178.41666666666</v>
      </c>
      <c r="E246" s="26" t="n">
        <v>0.5702777777777778</v>
      </c>
      <c r="F246" s="27" t="inlineStr">
        <is>
          <t>Shift 2</t>
        </is>
      </c>
      <c r="G246" s="27" t="n"/>
    </row>
    <row r="247" hidden="1" s="169">
      <c r="A247" s="27" t="inlineStr">
        <is>
          <t>MK00154</t>
        </is>
      </c>
      <c r="B247" s="27" t="n">
        <v>528000241</v>
      </c>
      <c r="C247" s="27" t="inlineStr">
        <is>
          <t>Balia Nurafif Bilah</t>
        </is>
      </c>
      <c r="D247" s="171" t="n">
        <v>46178.41666666666</v>
      </c>
      <c r="E247" s="26" t="n">
        <v>0.5763657407407408</v>
      </c>
      <c r="F247" s="27" t="inlineStr">
        <is>
          <t>Shift 2</t>
        </is>
      </c>
      <c r="G247" s="27" t="n"/>
    </row>
    <row r="248" hidden="1" s="169">
      <c r="A248" s="27" t="inlineStr">
        <is>
          <t>MK00113</t>
        </is>
      </c>
      <c r="B248" s="27" t="n">
        <v>528000274</v>
      </c>
      <c r="C248" s="27" t="inlineStr">
        <is>
          <t>Zepri</t>
        </is>
      </c>
      <c r="D248" s="171" t="n">
        <v>46178.41666666666</v>
      </c>
      <c r="E248" s="26" t="n">
        <v>0.5791087962962963</v>
      </c>
      <c r="F248" s="27" t="inlineStr">
        <is>
          <t>Shift 2</t>
        </is>
      </c>
      <c r="G248" s="27" t="n"/>
    </row>
    <row r="249" hidden="1" s="169">
      <c r="A249" s="27" t="inlineStr">
        <is>
          <t>MK00126</t>
        </is>
      </c>
      <c r="B249" s="27" t="n">
        <v>528000290</v>
      </c>
      <c r="C249" s="27" t="inlineStr">
        <is>
          <t>Eval Pranata</t>
        </is>
      </c>
      <c r="D249" s="171" t="n">
        <v>46178.41666666666</v>
      </c>
      <c r="E249" s="26" t="n">
        <v>0.5793055555555555</v>
      </c>
      <c r="F249" s="27" t="inlineStr">
        <is>
          <t>Shift 2</t>
        </is>
      </c>
      <c r="G249" s="27" t="n"/>
    </row>
    <row r="250" hidden="1" s="169">
      <c r="A250" s="27" t="inlineStr">
        <is>
          <t>MK00200</t>
        </is>
      </c>
      <c r="B250" s="27" t="n">
        <v>528000292</v>
      </c>
      <c r="C250" s="27" t="inlineStr">
        <is>
          <t>Aditia Nugraha</t>
        </is>
      </c>
      <c r="D250" s="171" t="n">
        <v>46178.41666666666</v>
      </c>
      <c r="E250" s="26" t="n">
        <v>0.588275462962963</v>
      </c>
      <c r="F250" s="27" t="inlineStr">
        <is>
          <t>Shift 2</t>
        </is>
      </c>
      <c r="G250" s="27" t="n"/>
    </row>
    <row r="251">
      <c r="A251" s="27" t="inlineStr">
        <is>
          <t>MK00221</t>
        </is>
      </c>
      <c r="B251" s="27" t="n">
        <v>528000015</v>
      </c>
      <c r="C251" s="27" t="inlineStr">
        <is>
          <t>Erwin</t>
        </is>
      </c>
      <c r="D251" s="171" t="n">
        <v>46178.41666666666</v>
      </c>
      <c r="E251" s="26" t="n">
        <v>0.6601851851851852</v>
      </c>
      <c r="F251" s="27" t="inlineStr">
        <is>
          <t>Shift 2</t>
        </is>
      </c>
      <c r="G251" s="27" t="n"/>
    </row>
    <row r="252" hidden="1" s="169">
      <c r="A252" s="27" t="inlineStr">
        <is>
          <t>MK00213</t>
        </is>
      </c>
      <c r="B252" s="27" t="n">
        <v>628000091</v>
      </c>
      <c r="C252" s="27" t="inlineStr">
        <is>
          <t>Devita Handayani</t>
        </is>
      </c>
      <c r="D252" s="171" t="n">
        <v>46178.41666666666</v>
      </c>
      <c r="E252" s="26" t="n">
        <v>0.8787037037037037</v>
      </c>
      <c r="F252" s="27" t="inlineStr">
        <is>
          <t>Shift 3</t>
        </is>
      </c>
      <c r="G252" s="27" t="n"/>
    </row>
    <row r="253" hidden="1" s="169">
      <c r="A253" s="27" t="inlineStr">
        <is>
          <t>MK00221</t>
        </is>
      </c>
      <c r="B253" s="27" t="n">
        <v>628000061</v>
      </c>
      <c r="C253" s="27" t="inlineStr">
        <is>
          <t>Nayla Fadillah Exwantoro</t>
        </is>
      </c>
      <c r="D253" s="171" t="n">
        <v>46178.41666666666</v>
      </c>
      <c r="E253" s="26" t="n">
        <v>0.8816666666666667</v>
      </c>
      <c r="F253" s="27" t="inlineStr">
        <is>
          <t>Shift 3</t>
        </is>
      </c>
      <c r="G253" s="27" t="inlineStr">
        <is>
          <t>19E</t>
        </is>
      </c>
    </row>
    <row r="254" hidden="1" s="169">
      <c r="A254" s="27" t="inlineStr">
        <is>
          <t>MK00145</t>
        </is>
      </c>
      <c r="B254" s="27" t="n">
        <v>528000098</v>
      </c>
      <c r="C254" s="27" t="inlineStr">
        <is>
          <t>Edi Junaedi</t>
        </is>
      </c>
      <c r="D254" s="171" t="n">
        <v>46178.41666666666</v>
      </c>
      <c r="E254" s="26" t="n">
        <v>0.8932060185185186</v>
      </c>
      <c r="F254" s="27" t="inlineStr">
        <is>
          <t>Shift 3</t>
        </is>
      </c>
      <c r="G254" s="27" t="n"/>
    </row>
    <row r="255" hidden="1" s="169">
      <c r="A255" s="27" t="inlineStr">
        <is>
          <t>MK00181</t>
        </is>
      </c>
      <c r="B255" s="27" t="n">
        <v>528000302</v>
      </c>
      <c r="C255" s="27" t="inlineStr">
        <is>
          <t>Henkey gumilar</t>
        </is>
      </c>
      <c r="D255" s="171" t="n">
        <v>46178.41666666666</v>
      </c>
      <c r="E255" s="26" t="n">
        <v>0.8971875</v>
      </c>
      <c r="F255" s="27" t="inlineStr">
        <is>
          <t>Shift 3</t>
        </is>
      </c>
      <c r="G255" s="27" t="n"/>
    </row>
    <row r="256" hidden="1" s="169">
      <c r="A256" s="27" t="inlineStr">
        <is>
          <t>MK00082</t>
        </is>
      </c>
      <c r="B256" s="27" t="n">
        <v>528000298</v>
      </c>
      <c r="C256" s="27" t="inlineStr">
        <is>
          <t>Desta Cahaya Pratama</t>
        </is>
      </c>
      <c r="D256" s="171" t="n">
        <v>46178.41666666666</v>
      </c>
      <c r="E256" s="26" t="n">
        <v>0.9002314814814815</v>
      </c>
      <c r="F256" s="27" t="inlineStr">
        <is>
          <t>Shift 3</t>
        </is>
      </c>
      <c r="G256" s="27" t="n"/>
    </row>
    <row r="257" hidden="1" s="169">
      <c r="A257" s="27" t="inlineStr">
        <is>
          <t>MK00109</t>
        </is>
      </c>
      <c r="B257" s="27" t="n">
        <v>528000306</v>
      </c>
      <c r="C257" s="27" t="inlineStr">
        <is>
          <t>Windy Olivia</t>
        </is>
      </c>
      <c r="D257" s="171" t="n">
        <v>46178.41666666666</v>
      </c>
      <c r="E257" s="26" t="n">
        <v>0.9011342592592593</v>
      </c>
      <c r="F257" s="27" t="inlineStr">
        <is>
          <t>Shift 3</t>
        </is>
      </c>
      <c r="G257" s="27" t="n"/>
    </row>
    <row r="258" hidden="1" s="169">
      <c r="A258" s="27" t="inlineStr">
        <is>
          <t>MK00085</t>
        </is>
      </c>
      <c r="B258" s="27" t="n">
        <v>528000299</v>
      </c>
      <c r="C258" s="27" t="inlineStr">
        <is>
          <t>Siti Nurjanah</t>
        </is>
      </c>
      <c r="D258" s="171" t="n">
        <v>46178.41666666666</v>
      </c>
      <c r="E258" s="26" t="n">
        <v>0.9037037037037037</v>
      </c>
      <c r="F258" s="27" t="inlineStr">
        <is>
          <t>Shift 3</t>
        </is>
      </c>
      <c r="G258" s="27" t="n"/>
    </row>
    <row r="259" hidden="1" s="169">
      <c r="A259" s="27" t="inlineStr">
        <is>
          <t>MK00249</t>
        </is>
      </c>
      <c r="B259" s="27" t="n">
        <v>528000279</v>
      </c>
      <c r="C259" s="27" t="inlineStr">
        <is>
          <t>Mahdalena Dalfa Riani</t>
        </is>
      </c>
      <c r="D259" s="171" t="n">
        <v>46208.41666666666</v>
      </c>
      <c r="E259" s="26" t="n">
        <v>0.2444560185185185</v>
      </c>
      <c r="F259" s="27" t="inlineStr">
        <is>
          <t>Shift 1</t>
        </is>
      </c>
      <c r="G259" s="27" t="n"/>
    </row>
    <row r="260" hidden="1" s="169">
      <c r="A260" s="27" t="inlineStr">
        <is>
          <t>MK00100</t>
        </is>
      </c>
      <c r="B260" s="27" t="n">
        <v>628000064</v>
      </c>
      <c r="C260" s="27" t="inlineStr">
        <is>
          <t>Silva Alypia</t>
        </is>
      </c>
      <c r="D260" s="171" t="n">
        <v>46208.41666666666</v>
      </c>
      <c r="E260" s="26" t="n">
        <v>0.2456481481481481</v>
      </c>
      <c r="F260" s="27" t="inlineStr">
        <is>
          <t>Shift 1</t>
        </is>
      </c>
      <c r="G260" s="27" t="n"/>
    </row>
    <row r="261" hidden="1" s="169">
      <c r="A261" s="27" t="inlineStr">
        <is>
          <t>MK00126</t>
        </is>
      </c>
      <c r="B261" s="27" t="n">
        <v>528000297</v>
      </c>
      <c r="C261" s="27" t="inlineStr">
        <is>
          <t>Muhamad Budiana</t>
        </is>
      </c>
      <c r="D261" s="171" t="n">
        <v>46208.41666666666</v>
      </c>
      <c r="E261" s="26" t="n">
        <v>0.2457175925925926</v>
      </c>
      <c r="F261" s="27" t="inlineStr">
        <is>
          <t>Shift 1</t>
        </is>
      </c>
      <c r="G261" s="27" t="n"/>
    </row>
    <row r="262">
      <c r="A262" s="27" t="inlineStr">
        <is>
          <t>MK00145</t>
        </is>
      </c>
      <c r="B262" s="27" t="n">
        <v>528000015</v>
      </c>
      <c r="C262" s="27" t="inlineStr">
        <is>
          <t>Erwin</t>
        </is>
      </c>
      <c r="D262" s="171" t="n">
        <v>46208.41666666666</v>
      </c>
      <c r="E262" s="26" t="n">
        <v>0.3243287037037037</v>
      </c>
      <c r="F262" s="27" t="inlineStr">
        <is>
          <t>Shift 1</t>
        </is>
      </c>
      <c r="G262" s="27" t="n"/>
    </row>
    <row r="263" hidden="1" s="169">
      <c r="A263" s="27" t="inlineStr">
        <is>
          <t>MK00205</t>
        </is>
      </c>
      <c r="B263" s="27" t="n">
        <v>528000348</v>
      </c>
      <c r="C263" s="27" t="inlineStr">
        <is>
          <t>Saepuloh Ardiansah</t>
        </is>
      </c>
      <c r="D263" s="171" t="n">
        <v>46208.41666666666</v>
      </c>
      <c r="E263" s="26" t="n">
        <v>0.3729050925925926</v>
      </c>
      <c r="F263" s="27" t="inlineStr">
        <is>
          <t>Shift 1</t>
        </is>
      </c>
      <c r="G263" s="27" t="n"/>
    </row>
    <row r="264" hidden="1" s="169">
      <c r="A264" s="27" t="inlineStr">
        <is>
          <t>MK00141</t>
        </is>
      </c>
      <c r="B264" s="27" t="n">
        <v>528000195</v>
      </c>
      <c r="C264" s="27" t="inlineStr">
        <is>
          <t>Rahma Sariwati</t>
        </is>
      </c>
      <c r="D264" s="171" t="n">
        <v>46208.41666666666</v>
      </c>
      <c r="E264" s="26" t="n">
        <v>0.5630787037037037</v>
      </c>
      <c r="F264" s="27" t="inlineStr">
        <is>
          <t>Shift 2</t>
        </is>
      </c>
      <c r="G264" s="27" t="n"/>
    </row>
    <row r="265" hidden="1" s="169">
      <c r="A265" s="27" t="inlineStr">
        <is>
          <t>MK00082</t>
        </is>
      </c>
      <c r="B265" s="27" t="n">
        <v>528000358</v>
      </c>
      <c r="C265" s="27" t="inlineStr">
        <is>
          <t>Lulu Agustin</t>
        </is>
      </c>
      <c r="D265" s="171" t="n">
        <v>46208.41666666666</v>
      </c>
      <c r="E265" s="26" t="n">
        <v>0.5631712962962963</v>
      </c>
      <c r="F265" s="27" t="inlineStr">
        <is>
          <t>Shift 2</t>
        </is>
      </c>
      <c r="G265" s="27" t="n"/>
    </row>
    <row r="266" hidden="1" s="169">
      <c r="A266" s="27" t="inlineStr">
        <is>
          <t>MK00155</t>
        </is>
      </c>
      <c r="B266" s="27" t="n">
        <v>528000262</v>
      </c>
      <c r="C266" s="27" t="inlineStr">
        <is>
          <t>Ndari Dwiwanti</t>
        </is>
      </c>
      <c r="D266" s="171" t="n">
        <v>46208.41666666666</v>
      </c>
      <c r="E266" s="26" t="n">
        <v>0.5638194444444444</v>
      </c>
      <c r="F266" s="27" t="inlineStr">
        <is>
          <t>Shift 2</t>
        </is>
      </c>
      <c r="G266" s="27" t="n"/>
    </row>
    <row r="267" hidden="1" s="169">
      <c r="A267" s="27" t="inlineStr">
        <is>
          <t>MK00150</t>
        </is>
      </c>
      <c r="B267" s="27" t="n">
        <v>528000266</v>
      </c>
      <c r="C267" s="27" t="inlineStr">
        <is>
          <t>M. Syirajatieq</t>
        </is>
      </c>
      <c r="D267" s="171" t="n">
        <v>46208.41666666666</v>
      </c>
      <c r="E267" s="26" t="n">
        <v>0.5730092592592593</v>
      </c>
      <c r="F267" s="27" t="inlineStr">
        <is>
          <t>Shift 2</t>
        </is>
      </c>
      <c r="G267" s="27" t="n"/>
    </row>
    <row r="268" hidden="1" s="169">
      <c r="A268" s="27" t="inlineStr">
        <is>
          <t>MK00046</t>
        </is>
      </c>
      <c r="B268" s="27" t="n">
        <v>528000283</v>
      </c>
      <c r="C268" s="27" t="inlineStr">
        <is>
          <t>Purwanda Sugiri</t>
        </is>
      </c>
      <c r="D268" s="171" t="n">
        <v>46208.41666666666</v>
      </c>
      <c r="E268" s="26" t="n">
        <v>0.5736805555555555</v>
      </c>
      <c r="F268" s="27" t="inlineStr">
        <is>
          <t>Shift 2</t>
        </is>
      </c>
      <c r="G268" s="27" t="n"/>
    </row>
    <row r="269" hidden="1" s="169">
      <c r="A269" s="27" t="inlineStr">
        <is>
          <t>MK00192</t>
        </is>
      </c>
      <c r="B269" s="27" t="n">
        <v>528000261</v>
      </c>
      <c r="C269" s="27" t="inlineStr">
        <is>
          <t>Ergi Ergianto</t>
        </is>
      </c>
      <c r="D269" s="171" t="n">
        <v>46208.41666666666</v>
      </c>
      <c r="E269" s="26" t="n">
        <v>0.5761458333333334</v>
      </c>
      <c r="F269" s="27" t="inlineStr">
        <is>
          <t>Shift 2</t>
        </is>
      </c>
      <c r="G269" s="27" t="n"/>
    </row>
    <row r="270" hidden="1" s="169">
      <c r="A270" s="27" t="inlineStr">
        <is>
          <t>MK00085</t>
        </is>
      </c>
      <c r="B270" s="27" t="n">
        <v>528000301</v>
      </c>
      <c r="C270" s="27" t="inlineStr">
        <is>
          <t>Muhammad Mukti Ridwan</t>
        </is>
      </c>
      <c r="D270" s="171" t="n">
        <v>46208.41666666666</v>
      </c>
      <c r="E270" s="26" t="n">
        <v>0.5780671296296296</v>
      </c>
      <c r="F270" s="27" t="inlineStr">
        <is>
          <t>Shift 2</t>
        </is>
      </c>
      <c r="G270" s="27" t="n"/>
    </row>
    <row r="271" hidden="1" s="169">
      <c r="A271" s="27" t="inlineStr">
        <is>
          <t>MK00250</t>
        </is>
      </c>
      <c r="B271" s="27" t="n">
        <v>528000238</v>
      </c>
      <c r="C271" s="27" t="inlineStr">
        <is>
          <t>Indah Lusiana</t>
        </is>
      </c>
      <c r="D271" s="171" t="n">
        <v>46208.41666666666</v>
      </c>
      <c r="E271" s="26" t="n">
        <v>0.5784259259259259</v>
      </c>
      <c r="F271" s="27" t="inlineStr">
        <is>
          <t>Shift 2</t>
        </is>
      </c>
      <c r="G271" s="27" t="n"/>
    </row>
    <row r="272" hidden="1" s="169">
      <c r="A272" s="27" t="inlineStr">
        <is>
          <t>MK00088</t>
        </is>
      </c>
      <c r="B272" s="27" t="n">
        <v>528000291</v>
      </c>
      <c r="C272" s="27" t="inlineStr">
        <is>
          <t>Andrian</t>
        </is>
      </c>
      <c r="D272" s="171" t="n">
        <v>46208.41666666666</v>
      </c>
      <c r="E272" s="26" t="n">
        <v>0.5796296296296296</v>
      </c>
      <c r="F272" s="27" t="inlineStr">
        <is>
          <t>Shift 2</t>
        </is>
      </c>
      <c r="G272" s="27" t="n"/>
    </row>
    <row r="273" hidden="1" s="169">
      <c r="A273" s="27" t="inlineStr">
        <is>
          <t>MK00151</t>
        </is>
      </c>
      <c r="B273" s="27" t="n">
        <v>528000098</v>
      </c>
      <c r="C273" s="27" t="inlineStr">
        <is>
          <t>Edi Junaedi</t>
        </is>
      </c>
      <c r="D273" s="171" t="n">
        <v>46208.41666666666</v>
      </c>
      <c r="E273" s="26" t="n">
        <v>0.896099537037037</v>
      </c>
      <c r="F273" s="27" t="inlineStr">
        <is>
          <t>Shift 3</t>
        </is>
      </c>
      <c r="G273" s="27" t="n"/>
    </row>
    <row r="274" hidden="1" s="169">
      <c r="A274" s="27" t="inlineStr">
        <is>
          <t>MK00249</t>
        </is>
      </c>
      <c r="B274" s="27" t="n">
        <v>628000091</v>
      </c>
      <c r="C274" s="27" t="inlineStr">
        <is>
          <t>Devita Handayani</t>
        </is>
      </c>
      <c r="D274" s="171" t="n">
        <v>46208.41666666666</v>
      </c>
      <c r="E274" s="26" t="n">
        <v>0.8961689814814815</v>
      </c>
      <c r="F274" s="27" t="inlineStr">
        <is>
          <t>Shift 3</t>
        </is>
      </c>
      <c r="G274" s="27" t="n"/>
    </row>
    <row r="275" hidden="1" s="169">
      <c r="A275" s="27" t="inlineStr">
        <is>
          <t>MK00156</t>
        </is>
      </c>
      <c r="B275" s="27" t="n">
        <v>528000306</v>
      </c>
      <c r="C275" s="27" t="inlineStr">
        <is>
          <t>Windy Olivia</t>
        </is>
      </c>
      <c r="D275" s="171" t="n">
        <v>46208.41666666666</v>
      </c>
      <c r="E275" s="26" t="n">
        <v>0.9012037037037037</v>
      </c>
      <c r="F275" s="27" t="inlineStr">
        <is>
          <t>Shift 3</t>
        </is>
      </c>
      <c r="G275" s="27" t="n"/>
    </row>
    <row r="276" hidden="1" s="169">
      <c r="A276" s="27" t="inlineStr">
        <is>
          <t>MK00113</t>
        </is>
      </c>
      <c r="B276" s="27" t="n">
        <v>528000305</v>
      </c>
      <c r="C276" s="27" t="inlineStr">
        <is>
          <t>Puji Puspita</t>
        </is>
      </c>
      <c r="D276" s="171" t="n">
        <v>46208.41666666666</v>
      </c>
      <c r="E276" s="26" t="n">
        <v>0.9021643518518518</v>
      </c>
      <c r="F276" s="27" t="inlineStr">
        <is>
          <t>Shift 3</t>
        </is>
      </c>
      <c r="G276" s="27" t="n"/>
    </row>
    <row r="277" hidden="1" s="169">
      <c r="A277" s="27" t="inlineStr">
        <is>
          <t>MK00154</t>
        </is>
      </c>
      <c r="B277" s="27" t="n">
        <v>528000302</v>
      </c>
      <c r="C277" s="27" t="inlineStr">
        <is>
          <t>Henkey gumilar</t>
        </is>
      </c>
      <c r="D277" s="171" t="n">
        <v>46208.41666666666</v>
      </c>
      <c r="E277" s="26" t="n">
        <v>0.902337962962963</v>
      </c>
      <c r="F277" s="27" t="inlineStr">
        <is>
          <t>Shift 3</t>
        </is>
      </c>
      <c r="G277" s="27" t="n"/>
    </row>
    <row r="278" hidden="1" s="169">
      <c r="A278" s="27" t="inlineStr">
        <is>
          <t>MK00093</t>
        </is>
      </c>
      <c r="B278" s="27" t="n">
        <v>528000298</v>
      </c>
      <c r="C278" s="27" t="inlineStr">
        <is>
          <t>Desta Cahaya Pratama</t>
        </is>
      </c>
      <c r="D278" s="171" t="n">
        <v>46208.41666666666</v>
      </c>
      <c r="E278" s="26" t="n">
        <v>0.9026273148148148</v>
      </c>
      <c r="F278" s="27" t="inlineStr">
        <is>
          <t>Shift 3</t>
        </is>
      </c>
      <c r="G278" s="27" t="n"/>
    </row>
    <row r="279" hidden="1" s="169">
      <c r="A279" s="27" t="inlineStr">
        <is>
          <t>MK00181</t>
        </is>
      </c>
      <c r="B279" s="27" t="n">
        <v>528000270</v>
      </c>
      <c r="C279" s="27" t="inlineStr">
        <is>
          <t>Febri Najmudin</t>
        </is>
      </c>
      <c r="D279" s="171" t="n">
        <v>46208.41666666666</v>
      </c>
      <c r="E279" s="26" t="n">
        <v>0.9078819444444445</v>
      </c>
      <c r="F279" s="27" t="inlineStr">
        <is>
          <t>Shift 3</t>
        </is>
      </c>
      <c r="G279" s="27" t="n"/>
    </row>
    <row r="280" hidden="1" s="169">
      <c r="A280" s="27" t="inlineStr">
        <is>
          <t>MK00250</t>
        </is>
      </c>
      <c r="B280" s="27" t="n">
        <v>528000201</v>
      </c>
      <c r="C280" s="27" t="inlineStr">
        <is>
          <t>Zahwa Amelia Choerunissa</t>
        </is>
      </c>
      <c r="D280" s="171" t="n">
        <v>46149.41666666666</v>
      </c>
      <c r="E280" s="26" t="n">
        <v>0.2321296296296296</v>
      </c>
      <c r="F280" s="27" t="inlineStr">
        <is>
          <t>Shift 1</t>
        </is>
      </c>
      <c r="G280" s="27" t="n"/>
    </row>
    <row r="281" hidden="1" s="169">
      <c r="A281" s="27" t="inlineStr">
        <is>
          <t>MK00184</t>
        </is>
      </c>
      <c r="B281" s="27" t="n">
        <v>528000099</v>
      </c>
      <c r="C281" s="27" t="inlineStr">
        <is>
          <t>Siti Nurawaliah</t>
        </is>
      </c>
      <c r="D281" s="171" t="n">
        <v>46149.41666666666</v>
      </c>
      <c r="E281" s="26" t="n">
        <v>0.2324768518518519</v>
      </c>
      <c r="F281" s="27" t="inlineStr">
        <is>
          <t>Shift 1</t>
        </is>
      </c>
      <c r="G281" s="27" t="n"/>
    </row>
    <row r="282" hidden="1" s="169">
      <c r="A282" s="27" t="inlineStr">
        <is>
          <t>MK00221</t>
        </is>
      </c>
      <c r="B282" s="27" t="n">
        <v>528000244</v>
      </c>
      <c r="C282" s="27" t="inlineStr">
        <is>
          <t>Rodian Rifai</t>
        </is>
      </c>
      <c r="D282" s="171" t="n">
        <v>46149.41666666666</v>
      </c>
      <c r="E282" s="26" t="n">
        <v>0.245625</v>
      </c>
      <c r="F282" s="27" t="inlineStr">
        <is>
          <t>Shift 1</t>
        </is>
      </c>
      <c r="G282" s="27" t="n"/>
    </row>
    <row r="283" hidden="1" s="169">
      <c r="A283" s="27" t="inlineStr">
        <is>
          <t>MK0082</t>
        </is>
      </c>
      <c r="B283" s="27" t="n">
        <v>528000241</v>
      </c>
      <c r="C283" s="27" t="inlineStr">
        <is>
          <t>Balia Nurafif Bilah</t>
        </is>
      </c>
      <c r="D283" s="171" t="n">
        <v>46149.41666666666</v>
      </c>
      <c r="E283" s="26" t="n">
        <v>0.2458217592592593</v>
      </c>
      <c r="F283" s="27" t="inlineStr">
        <is>
          <t>Shift 1</t>
        </is>
      </c>
      <c r="G283" s="27" t="n"/>
    </row>
    <row r="284" hidden="1" s="169">
      <c r="A284" s="27" t="inlineStr">
        <is>
          <t>MK00155</t>
        </is>
      </c>
      <c r="B284" s="27" t="n">
        <v>528000274</v>
      </c>
      <c r="C284" s="27" t="inlineStr">
        <is>
          <t>Zepri</t>
        </is>
      </c>
      <c r="D284" s="171" t="n">
        <v>46149.41666666666</v>
      </c>
      <c r="E284" s="26" t="n">
        <v>0.246099537037037</v>
      </c>
      <c r="F284" s="27" t="inlineStr">
        <is>
          <t>Shift 1</t>
        </is>
      </c>
      <c r="G284" s="27" t="n"/>
    </row>
    <row r="285" hidden="1" s="169">
      <c r="A285" s="27" t="inlineStr">
        <is>
          <t>MK00141</t>
        </is>
      </c>
      <c r="B285" s="27" t="n">
        <v>528000228</v>
      </c>
      <c r="C285" s="27" t="inlineStr">
        <is>
          <t>Banyu Resmi Putri</t>
        </is>
      </c>
      <c r="D285" s="171" t="n">
        <v>46149.41666666666</v>
      </c>
      <c r="E285" s="26" t="n">
        <v>0.2465509259259259</v>
      </c>
      <c r="F285" s="27" t="inlineStr">
        <is>
          <t>Shift 1</t>
        </is>
      </c>
      <c r="G285" s="27" t="n"/>
    </row>
    <row r="286" hidden="1" s="169">
      <c r="A286" s="27" t="inlineStr">
        <is>
          <t>MK00150</t>
        </is>
      </c>
      <c r="B286" s="27" t="n">
        <v>528000290</v>
      </c>
      <c r="C286" s="27" t="inlineStr">
        <is>
          <t>Eval Pranata</t>
        </is>
      </c>
      <c r="D286" s="171" t="n">
        <v>46149.41666666666</v>
      </c>
      <c r="E286" s="26" t="n">
        <v>0.2510763888888889</v>
      </c>
      <c r="F286" s="27" t="inlineStr">
        <is>
          <t>Shift 1</t>
        </is>
      </c>
      <c r="G286" s="27" t="n"/>
    </row>
    <row r="287" hidden="1" s="169">
      <c r="A287" s="27" t="inlineStr">
        <is>
          <t>MK00181</t>
        </is>
      </c>
      <c r="B287" s="27" t="n">
        <v>528000282</v>
      </c>
      <c r="C287" s="27" t="inlineStr">
        <is>
          <t>Defa Desfiana</t>
        </is>
      </c>
      <c r="D287" s="171" t="n">
        <v>46149.41666666666</v>
      </c>
      <c r="E287" s="26" t="n">
        <v>0.3152777777777778</v>
      </c>
      <c r="F287" s="27" t="inlineStr">
        <is>
          <t>Shift 1</t>
        </is>
      </c>
      <c r="G287" s="27" t="inlineStr">
        <is>
          <t>23c</t>
        </is>
      </c>
    </row>
    <row r="288" hidden="1" s="169">
      <c r="A288" s="27" t="inlineStr">
        <is>
          <t>MK00209</t>
        </is>
      </c>
      <c r="B288" s="27" t="n">
        <v>528000265</v>
      </c>
      <c r="C288" s="27" t="inlineStr">
        <is>
          <t>Muhammad Haerul Rozikin</t>
        </is>
      </c>
      <c r="D288" s="171" t="n">
        <v>46149.41666666666</v>
      </c>
      <c r="E288" s="26" t="n">
        <v>0.32</v>
      </c>
      <c r="F288" s="27" t="inlineStr">
        <is>
          <t>Shift 1</t>
        </is>
      </c>
      <c r="G288" s="27" t="n"/>
    </row>
    <row r="289" hidden="1" s="169">
      <c r="A289" s="27" t="inlineStr">
        <is>
          <t>MK00154</t>
        </is>
      </c>
      <c r="B289" s="27" t="n">
        <v>528000351</v>
      </c>
      <c r="C289" s="27" t="inlineStr">
        <is>
          <t>Mulyana</t>
        </is>
      </c>
      <c r="D289" s="171" t="n">
        <v>46149.41666666666</v>
      </c>
      <c r="E289" s="26" t="n">
        <v>0.3230208333333333</v>
      </c>
      <c r="F289" s="27" t="inlineStr">
        <is>
          <t>Shift 1</t>
        </is>
      </c>
      <c r="G289" s="27" t="n"/>
    </row>
    <row r="290" hidden="1" s="169">
      <c r="A290" s="27" t="inlineStr">
        <is>
          <t>MK00113</t>
        </is>
      </c>
      <c r="B290" s="27" t="n">
        <v>528000055</v>
      </c>
      <c r="C290" s="27" t="inlineStr">
        <is>
          <t>Dika Prasetya</t>
        </is>
      </c>
      <c r="D290" s="171" t="n">
        <v>46149.41666666666</v>
      </c>
      <c r="E290" s="26" t="n">
        <v>0.3271990740740741</v>
      </c>
      <c r="F290" s="27" t="inlineStr">
        <is>
          <t>Shift 1</t>
        </is>
      </c>
      <c r="G290" s="27" t="n"/>
    </row>
    <row r="291" hidden="1" s="169">
      <c r="A291" s="27" t="inlineStr">
        <is>
          <t>MK00136</t>
        </is>
      </c>
      <c r="B291" s="27" t="n">
        <v>528000287</v>
      </c>
      <c r="C291" s="27" t="inlineStr">
        <is>
          <t>Muhamad Angga Ramdani</t>
        </is>
      </c>
      <c r="D291" s="171" t="n">
        <v>46149.41666666666</v>
      </c>
      <c r="E291" s="26" t="n">
        <v>0.3280902777777778</v>
      </c>
      <c r="F291" s="27" t="inlineStr">
        <is>
          <t>Shift 1</t>
        </is>
      </c>
      <c r="G291" s="27" t="n"/>
    </row>
    <row r="292" hidden="1" s="169">
      <c r="A292" s="27" t="inlineStr">
        <is>
          <t>MK00249</t>
        </is>
      </c>
      <c r="B292" s="27" t="n">
        <v>528000349</v>
      </c>
      <c r="C292" s="27" t="inlineStr">
        <is>
          <t>Anas Abdul Fatah</t>
        </is>
      </c>
      <c r="D292" s="171" t="n">
        <v>46149.41666666666</v>
      </c>
      <c r="E292" s="26" t="n">
        <v>0.3287962962962963</v>
      </c>
      <c r="F292" s="27" t="inlineStr">
        <is>
          <t>Shift 1</t>
        </is>
      </c>
      <c r="G292" s="27" t="n"/>
    </row>
    <row r="293" hidden="1" s="169">
      <c r="A293" s="27" t="inlineStr">
        <is>
          <t>MK0085</t>
        </is>
      </c>
      <c r="B293" s="27" t="n">
        <v>528000267</v>
      </c>
      <c r="C293" s="27" t="inlineStr">
        <is>
          <t>Bagas Patulloh</t>
        </is>
      </c>
      <c r="D293" s="171" t="n">
        <v>46149.41666666666</v>
      </c>
      <c r="E293" s="26" t="n">
        <v>0.3313541666666667</v>
      </c>
      <c r="F293" s="27" t="inlineStr">
        <is>
          <t>Shift 1</t>
        </is>
      </c>
      <c r="G293" s="27" t="n"/>
    </row>
    <row r="294" hidden="1" s="169">
      <c r="A294" s="27" t="inlineStr">
        <is>
          <t>MK00151</t>
        </is>
      </c>
      <c r="B294" s="27" t="n">
        <v>528000273</v>
      </c>
      <c r="C294" s="27" t="inlineStr">
        <is>
          <t>Asep Mulyana</t>
        </is>
      </c>
      <c r="D294" s="171" t="n">
        <v>46149.41666666666</v>
      </c>
      <c r="E294" s="26" t="n">
        <v>0.331712962962963</v>
      </c>
      <c r="F294" s="27" t="inlineStr">
        <is>
          <t>Shift 1</t>
        </is>
      </c>
      <c r="G294" s="27" t="n"/>
    </row>
    <row r="295" hidden="1" s="169">
      <c r="A295" s="27" t="inlineStr">
        <is>
          <t>MK00158</t>
        </is>
      </c>
      <c r="B295" s="27" t="n">
        <v>528000267</v>
      </c>
      <c r="C295" s="27" t="inlineStr">
        <is>
          <t>Bagas Patulloh</t>
        </is>
      </c>
      <c r="D295" s="171" t="n">
        <v>46149.41666666666</v>
      </c>
      <c r="E295" s="26" t="n">
        <v>0.3339351851851852</v>
      </c>
      <c r="F295" s="27" t="inlineStr">
        <is>
          <t>Shift 1</t>
        </is>
      </c>
      <c r="G295" s="27" t="n"/>
    </row>
    <row r="296" hidden="1" s="169">
      <c r="A296" s="27" t="inlineStr">
        <is>
          <t>MK00192</t>
        </is>
      </c>
      <c r="B296" s="27" t="n">
        <v>528000292</v>
      </c>
      <c r="C296" s="27" t="inlineStr">
        <is>
          <t>Aditia Nugraha</t>
        </is>
      </c>
      <c r="D296" s="171" t="n">
        <v>46149.41666666666</v>
      </c>
      <c r="E296" s="26" t="n">
        <v>0.358287037037037</v>
      </c>
      <c r="F296" s="27" t="inlineStr">
        <is>
          <t>Shift 1</t>
        </is>
      </c>
      <c r="G296" s="27" t="n"/>
    </row>
    <row r="297" hidden="1" s="169">
      <c r="A297" s="27" t="inlineStr">
        <is>
          <t>MK00212</t>
        </is>
      </c>
      <c r="B297" s="27" t="n">
        <v>528000132</v>
      </c>
      <c r="C297" s="27" t="inlineStr">
        <is>
          <t>Giopani</t>
        </is>
      </c>
      <c r="D297" s="171" t="n">
        <v>46149.41666666666</v>
      </c>
      <c r="E297" s="26" t="n">
        <v>0.3698611111111111</v>
      </c>
      <c r="F297" s="27" t="inlineStr">
        <is>
          <t>Shift 1</t>
        </is>
      </c>
      <c r="G297" s="27" t="n"/>
    </row>
    <row r="298" hidden="1" s="169">
      <c r="A298" s="27" t="inlineStr">
        <is>
          <t>MK00085</t>
        </is>
      </c>
      <c r="B298" s="27" t="n">
        <v>528000203</v>
      </c>
      <c r="C298" s="27" t="inlineStr">
        <is>
          <t>Yudha Ramdhan Putra</t>
        </is>
      </c>
      <c r="D298" s="171" t="n">
        <v>46149.41666666666</v>
      </c>
      <c r="E298" s="26" t="n">
        <v>0.3728472222222222</v>
      </c>
      <c r="F298" s="27" t="inlineStr">
        <is>
          <t>Shift 1</t>
        </is>
      </c>
      <c r="G298" s="27" t="n"/>
    </row>
    <row r="299" hidden="1" s="169">
      <c r="A299" s="27" t="inlineStr">
        <is>
          <t>MK00118</t>
        </is>
      </c>
      <c r="B299" s="27" t="n">
        <v>528000232</v>
      </c>
      <c r="C299" s="27" t="inlineStr">
        <is>
          <t>Agung Aji Suhada</t>
        </is>
      </c>
      <c r="D299" s="171" t="n">
        <v>46149.41666666666</v>
      </c>
      <c r="E299" s="26" t="n">
        <v>0.3741550925925926</v>
      </c>
      <c r="F299" s="27" t="inlineStr">
        <is>
          <t>Shift 1</t>
        </is>
      </c>
      <c r="G299" s="27" t="n"/>
    </row>
    <row r="300" hidden="1" s="169">
      <c r="A300" s="27" t="inlineStr">
        <is>
          <t>MK00205</t>
        </is>
      </c>
      <c r="B300" s="27" t="n">
        <v>528000348</v>
      </c>
      <c r="C300" s="27" t="inlineStr">
        <is>
          <t>Saepuloh Ardiansah</t>
        </is>
      </c>
      <c r="D300" s="171" t="n">
        <v>46149.41666666666</v>
      </c>
      <c r="E300" s="26" t="n">
        <v>0.3773842592592593</v>
      </c>
      <c r="F300" s="27" t="inlineStr">
        <is>
          <t>Shift 1</t>
        </is>
      </c>
      <c r="G300" s="27" t="n"/>
    </row>
    <row r="301" hidden="1" s="169">
      <c r="A301" s="27" t="inlineStr">
        <is>
          <t>MK00116</t>
        </is>
      </c>
      <c r="B301" s="27" t="n">
        <v>528000358</v>
      </c>
      <c r="C301" s="27" t="inlineStr">
        <is>
          <t>Lulu Agustin</t>
        </is>
      </c>
      <c r="D301" s="171" t="n">
        <v>46149.41666666666</v>
      </c>
      <c r="E301" s="26" t="n">
        <v>0.5629513888888888</v>
      </c>
      <c r="F301" s="27" t="inlineStr">
        <is>
          <t>Shift 2</t>
        </is>
      </c>
      <c r="G301" s="27" t="n"/>
    </row>
    <row r="302" hidden="1" s="169">
      <c r="A302" s="27" t="inlineStr">
        <is>
          <t>MK00126</t>
        </is>
      </c>
      <c r="B302" s="27" t="n">
        <v>528000195</v>
      </c>
      <c r="C302" s="27" t="inlineStr">
        <is>
          <t>Rahma Sariwati</t>
        </is>
      </c>
      <c r="D302" s="171" t="n">
        <v>46149.41666666666</v>
      </c>
      <c r="E302" s="26" t="n">
        <v>0.5638773148148148</v>
      </c>
      <c r="F302" s="27" t="inlineStr">
        <is>
          <t>Shift 2</t>
        </is>
      </c>
      <c r="G302" s="27" t="n"/>
    </row>
    <row r="303" hidden="1" s="169">
      <c r="A303" s="27" t="inlineStr">
        <is>
          <t>MK00138</t>
        </is>
      </c>
      <c r="B303" s="27" t="n">
        <v>528000262</v>
      </c>
      <c r="C303" s="27" t="inlineStr">
        <is>
          <t>Ndari Dwiwanti</t>
        </is>
      </c>
      <c r="D303" s="171" t="n">
        <v>46149.41666666666</v>
      </c>
      <c r="E303" s="26" t="n">
        <v>0.5649074074074074</v>
      </c>
      <c r="F303" s="27" t="inlineStr">
        <is>
          <t>Shift 2</t>
        </is>
      </c>
      <c r="G303" s="27" t="n"/>
    </row>
    <row r="304">
      <c r="A304" s="27" t="inlineStr">
        <is>
          <t>MK00082</t>
        </is>
      </c>
      <c r="B304" s="27" t="n">
        <v>528000015</v>
      </c>
      <c r="C304" s="27" t="inlineStr">
        <is>
          <t>Erwin</t>
        </is>
      </c>
      <c r="D304" s="171" t="n">
        <v>46149.41666666666</v>
      </c>
      <c r="E304" s="26" t="n">
        <v>0.6580671296296297</v>
      </c>
      <c r="F304" s="27" t="inlineStr">
        <is>
          <t>Shift 2</t>
        </is>
      </c>
      <c r="G304" s="27" t="n"/>
    </row>
    <row r="305" hidden="1" s="169">
      <c r="A305" s="27" t="inlineStr">
        <is>
          <t>MK00213</t>
        </is>
      </c>
      <c r="B305" s="27" t="n">
        <v>528000144</v>
      </c>
      <c r="C305" s="27" t="inlineStr">
        <is>
          <t>Jodi Hanafi</t>
        </is>
      </c>
      <c r="D305" s="171" t="n">
        <v>46149.41666666666</v>
      </c>
      <c r="E305" s="26" t="n">
        <v>0.663587962962963</v>
      </c>
      <c r="F305" s="27" t="inlineStr">
        <is>
          <t>Shift 2</t>
        </is>
      </c>
      <c r="G305" s="27" t="n"/>
    </row>
    <row r="306" hidden="1" s="169">
      <c r="A306" s="27" t="inlineStr">
        <is>
          <t>MK00186</t>
        </is>
      </c>
      <c r="B306" s="27" t="n">
        <v>528000149</v>
      </c>
      <c r="C306" s="27" t="inlineStr">
        <is>
          <t>Tio Fernanda</t>
        </is>
      </c>
      <c r="D306" s="171" t="n">
        <v>46149.41666666666</v>
      </c>
      <c r="E306" s="26" t="n">
        <v>0.6641666666666667</v>
      </c>
      <c r="F306" s="27" t="inlineStr">
        <is>
          <t>Shift 2</t>
        </is>
      </c>
      <c r="G306" s="27" t="n"/>
    </row>
    <row r="307" hidden="1" s="169">
      <c r="A307" s="27" t="inlineStr">
        <is>
          <t>MK00145</t>
        </is>
      </c>
      <c r="B307" s="27" t="n">
        <v>628000061</v>
      </c>
      <c r="C307" s="27" t="inlineStr">
        <is>
          <t>Nayla Fadillah Exwantoro</t>
        </is>
      </c>
      <c r="D307" s="171" t="n">
        <v>46149.41666666666</v>
      </c>
      <c r="E307" s="26" t="n">
        <v>0.8775578703703704</v>
      </c>
      <c r="F307" s="27" t="inlineStr">
        <is>
          <t>Shift 3</t>
        </is>
      </c>
      <c r="G307" s="27" t="n"/>
    </row>
    <row r="308" hidden="1" s="169">
      <c r="A308" s="27" t="inlineStr">
        <is>
          <t>MK00145</t>
        </is>
      </c>
      <c r="B308" s="27" t="n">
        <v>628000061</v>
      </c>
      <c r="C308" s="27" t="inlineStr">
        <is>
          <t>Nayla Fadillah Exwantoro</t>
        </is>
      </c>
      <c r="D308" s="171" t="n">
        <v>46149.41666666666</v>
      </c>
      <c r="E308" s="26" t="n">
        <v>0.8792824074074074</v>
      </c>
      <c r="F308" s="27" t="inlineStr">
        <is>
          <t>Shift 3</t>
        </is>
      </c>
      <c r="G308" s="27" t="n"/>
    </row>
    <row r="309" hidden="1" s="169">
      <c r="A309" s="27" t="inlineStr">
        <is>
          <t>MK00202</t>
        </is>
      </c>
      <c r="B309" s="27" t="n">
        <v>528000098</v>
      </c>
      <c r="C309" s="27" t="inlineStr">
        <is>
          <t>Edi Junaedi</t>
        </is>
      </c>
      <c r="D309" s="171" t="n">
        <v>46149.41666666666</v>
      </c>
      <c r="E309" s="26" t="n">
        <v>0.8932986111111111</v>
      </c>
      <c r="F309" s="27" t="inlineStr">
        <is>
          <t>Shift 3</t>
        </is>
      </c>
      <c r="G309" s="27" t="n"/>
    </row>
    <row r="310" hidden="1" s="169">
      <c r="A310" s="27" t="inlineStr">
        <is>
          <t>MK0093</t>
        </is>
      </c>
      <c r="B310" s="27" t="n">
        <v>528000305</v>
      </c>
      <c r="C310" s="27" t="inlineStr">
        <is>
          <t>Puji Puspita</t>
        </is>
      </c>
      <c r="D310" s="171" t="n">
        <v>46149.41666666666</v>
      </c>
      <c r="E310" s="26" t="n">
        <v>0.902962962962963</v>
      </c>
      <c r="F310" s="27" t="inlineStr">
        <is>
          <t>Shift 3</t>
        </is>
      </c>
      <c r="G310" s="27" t="n"/>
    </row>
    <row r="311" hidden="1" s="169">
      <c r="A311" s="27" t="inlineStr">
        <is>
          <t>MK00151</t>
        </is>
      </c>
      <c r="B311" s="27" t="n">
        <v>528000299</v>
      </c>
      <c r="C311" s="27" t="inlineStr">
        <is>
          <t>Siti Nurjanah</t>
        </is>
      </c>
      <c r="D311" s="171" t="n">
        <v>46149.41666666666</v>
      </c>
      <c r="E311" s="26" t="n">
        <v>0.9047685185185185</v>
      </c>
      <c r="F311" s="27" t="inlineStr">
        <is>
          <t>Shift 3</t>
        </is>
      </c>
      <c r="G311" s="27" t="n"/>
    </row>
    <row r="312" hidden="1" s="169">
      <c r="A312" s="27" t="inlineStr">
        <is>
          <t>MK00230</t>
        </is>
      </c>
      <c r="B312" s="27" t="n">
        <v>528000270</v>
      </c>
      <c r="C312" s="27" t="inlineStr">
        <is>
          <t>Febri Najmudin</t>
        </is>
      </c>
      <c r="D312" s="171" t="n">
        <v>46149.41666666666</v>
      </c>
      <c r="E312" s="26" t="n">
        <v>0.9071643518518518</v>
      </c>
      <c r="F312" s="27" t="inlineStr">
        <is>
          <t>Shift 3</t>
        </is>
      </c>
      <c r="G312" s="27" t="n"/>
    </row>
    <row r="313" hidden="1" s="169">
      <c r="A313" s="27" t="inlineStr">
        <is>
          <t>MK0085</t>
        </is>
      </c>
      <c r="B313" s="27" t="n">
        <v>528000302</v>
      </c>
      <c r="C313" s="27" t="inlineStr">
        <is>
          <t>Henkey gumilar</t>
        </is>
      </c>
      <c r="D313" s="171" t="n">
        <v>46149.41666666666</v>
      </c>
      <c r="E313" s="26" t="n">
        <v>0.9082407407407408</v>
      </c>
      <c r="F313" s="27" t="inlineStr">
        <is>
          <t>Shift 3</t>
        </is>
      </c>
      <c r="G313" s="27" t="n"/>
    </row>
    <row r="314" hidden="1" s="169">
      <c r="A314" s="27" t="inlineStr">
        <is>
          <t>MK00138</t>
        </is>
      </c>
      <c r="B314" s="27" t="n">
        <v>528000201</v>
      </c>
      <c r="C314" s="27" t="inlineStr">
        <is>
          <t>Zahwa Amelia Choerunissa</t>
        </is>
      </c>
      <c r="D314" s="171" t="n">
        <v>46150.41666666666</v>
      </c>
      <c r="E314" s="26" t="n">
        <v>0.2313773148148148</v>
      </c>
      <c r="F314" s="27" t="inlineStr">
        <is>
          <t>Shift 1</t>
        </is>
      </c>
      <c r="G314" s="27" t="n"/>
    </row>
    <row r="315" hidden="1" s="169">
      <c r="A315" s="27" t="inlineStr">
        <is>
          <t>MK00055</t>
        </is>
      </c>
      <c r="B315" s="27" t="n">
        <v>528000212</v>
      </c>
      <c r="C315" s="27" t="inlineStr">
        <is>
          <t>Rizal Fauzi</t>
        </is>
      </c>
      <c r="D315" s="171" t="n">
        <v>46150.41666666666</v>
      </c>
      <c r="E315" s="26" t="n">
        <v>0.2314699074074074</v>
      </c>
      <c r="F315" s="27" t="inlineStr">
        <is>
          <t>Shift 1</t>
        </is>
      </c>
      <c r="G315" s="27" t="n"/>
    </row>
    <row r="316" hidden="1" s="169">
      <c r="A316" s="27" t="inlineStr">
        <is>
          <t>MK00082</t>
        </is>
      </c>
      <c r="B316" s="27" t="n">
        <v>528000099</v>
      </c>
      <c r="C316" s="27" t="inlineStr">
        <is>
          <t>Siti Nurawaliah</t>
        </is>
      </c>
      <c r="D316" s="171" t="n">
        <v>46150.41666666666</v>
      </c>
      <c r="E316" s="26" t="n">
        <v>0.2317708333333333</v>
      </c>
      <c r="F316" s="27" t="inlineStr">
        <is>
          <t>Shift 1</t>
        </is>
      </c>
      <c r="G316" s="27" t="n"/>
    </row>
    <row r="317" hidden="1" s="169">
      <c r="A317" s="27" t="inlineStr">
        <is>
          <t>MK00046</t>
        </is>
      </c>
      <c r="B317" s="27" t="n">
        <v>528000286</v>
      </c>
      <c r="C317" s="27" t="inlineStr">
        <is>
          <t>Imelda Amelia</t>
        </is>
      </c>
      <c r="D317" s="171" t="n">
        <v>46150.41666666666</v>
      </c>
      <c r="E317" s="26" t="n">
        <v>0.2381828703703704</v>
      </c>
      <c r="F317" s="27" t="inlineStr">
        <is>
          <t>Shift 1</t>
        </is>
      </c>
      <c r="G317" s="27" t="n"/>
    </row>
    <row r="318" hidden="1" s="169">
      <c r="A318" s="27" t="inlineStr">
        <is>
          <t>MK00228</t>
        </is>
      </c>
      <c r="B318" s="27" t="n">
        <v>528000241</v>
      </c>
      <c r="C318" s="27" t="inlineStr">
        <is>
          <t>Balia Nurafif Bilah</t>
        </is>
      </c>
      <c r="D318" s="171" t="n">
        <v>46150.41666666666</v>
      </c>
      <c r="E318" s="26" t="n">
        <v>0.2445486111111111</v>
      </c>
      <c r="F318" s="27" t="inlineStr">
        <is>
          <t>Shift 1</t>
        </is>
      </c>
      <c r="G318" s="27" t="n"/>
    </row>
    <row r="319" hidden="1" s="169">
      <c r="A319" s="27" t="inlineStr">
        <is>
          <t>MK00203</t>
        </is>
      </c>
      <c r="B319" s="27" t="n">
        <v>528000274</v>
      </c>
      <c r="C319" s="27" t="inlineStr">
        <is>
          <t>Zepri</t>
        </is>
      </c>
      <c r="D319" s="171" t="n">
        <v>46150.41666666666</v>
      </c>
      <c r="E319" s="26" t="n">
        <v>0.2448148148148148</v>
      </c>
      <c r="F319" s="27" t="inlineStr">
        <is>
          <t>Shift 1</t>
        </is>
      </c>
      <c r="G319" s="27" t="n"/>
    </row>
    <row r="320" hidden="1" s="169">
      <c r="A320" s="27" t="inlineStr">
        <is>
          <t>MK00221</t>
        </is>
      </c>
      <c r="B320" s="27" t="n">
        <v>528000244</v>
      </c>
      <c r="C320" s="27" t="inlineStr">
        <is>
          <t>Rodian Rifai</t>
        </is>
      </c>
      <c r="D320" s="171" t="n">
        <v>46150.41666666666</v>
      </c>
      <c r="E320" s="26" t="n">
        <v>0.2450231481481482</v>
      </c>
      <c r="F320" s="27" t="inlineStr">
        <is>
          <t>Shift 1</t>
        </is>
      </c>
      <c r="G320" s="27" t="n"/>
    </row>
    <row r="321" hidden="1" s="169">
      <c r="A321" s="27" t="inlineStr">
        <is>
          <t>MK00116</t>
        </is>
      </c>
      <c r="B321" s="27" t="n">
        <v>528000290</v>
      </c>
      <c r="C321" s="27" t="inlineStr">
        <is>
          <t>Eval Pranata</t>
        </is>
      </c>
      <c r="D321" s="171" t="n">
        <v>46150.41666666666</v>
      </c>
      <c r="E321" s="26" t="n">
        <v>0.245775462962963</v>
      </c>
      <c r="F321" s="27" t="inlineStr">
        <is>
          <t>Shift 1</t>
        </is>
      </c>
      <c r="G321" s="27" t="n"/>
    </row>
    <row r="322" hidden="1" s="169">
      <c r="A322" s="27" t="inlineStr">
        <is>
          <t>MK00230</t>
        </is>
      </c>
      <c r="B322" s="27" t="n">
        <v>528000282</v>
      </c>
      <c r="C322" s="27" t="inlineStr">
        <is>
          <t>Defa Desfiana</t>
        </is>
      </c>
      <c r="D322" s="171" t="n">
        <v>46150.41666666666</v>
      </c>
      <c r="E322" s="26" t="n">
        <v>0.3157986111111111</v>
      </c>
      <c r="F322" s="27" t="inlineStr">
        <is>
          <t>Shift 1</t>
        </is>
      </c>
      <c r="G322" s="27" t="inlineStr">
        <is>
          <t>23c</t>
        </is>
      </c>
    </row>
    <row r="323" hidden="1" s="169">
      <c r="A323" s="27" t="inlineStr">
        <is>
          <t>MK00249</t>
        </is>
      </c>
      <c r="B323" s="27" t="n">
        <v>528000349</v>
      </c>
      <c r="C323" s="27" t="inlineStr">
        <is>
          <t>Anas Abdul Fatah</t>
        </is>
      </c>
      <c r="D323" s="171" t="n">
        <v>46150.41666666666</v>
      </c>
      <c r="E323" s="26" t="n">
        <v>0.3265740740740741</v>
      </c>
      <c r="F323" s="27" t="inlineStr">
        <is>
          <t>Shift 1</t>
        </is>
      </c>
      <c r="G323" s="27" t="n"/>
    </row>
    <row r="324" hidden="1" s="169">
      <c r="A324" s="27" t="inlineStr">
        <is>
          <t>MK00151</t>
        </is>
      </c>
      <c r="B324" s="27" t="n">
        <v>528000265</v>
      </c>
      <c r="C324" s="27" t="inlineStr">
        <is>
          <t>Muhammad Haerul Rozikin</t>
        </is>
      </c>
      <c r="D324" s="171" t="n">
        <v>46150.41666666666</v>
      </c>
      <c r="E324" s="26" t="n">
        <v>0.3267013888888889</v>
      </c>
      <c r="F324" s="27" t="inlineStr">
        <is>
          <t>Shift 1</t>
        </is>
      </c>
      <c r="G324" s="27" t="n"/>
    </row>
    <row r="325" hidden="1" s="169">
      <c r="A325" s="27" t="inlineStr">
        <is>
          <t>MK00141</t>
        </is>
      </c>
      <c r="B325" s="27" t="n">
        <v>528000055</v>
      </c>
      <c r="C325" s="27" t="inlineStr">
        <is>
          <t>Dika Prasetya</t>
        </is>
      </c>
      <c r="D325" s="171" t="n">
        <v>46150.41666666666</v>
      </c>
      <c r="E325" s="26" t="n">
        <v>0.3274305555555556</v>
      </c>
      <c r="F325" s="27" t="inlineStr">
        <is>
          <t>Shift 1</t>
        </is>
      </c>
      <c r="G325" s="27" t="n"/>
    </row>
    <row r="326" hidden="1" s="169">
      <c r="A326" s="27" t="inlineStr">
        <is>
          <t>MK00200</t>
        </is>
      </c>
      <c r="B326" s="27" t="n">
        <v>528000287</v>
      </c>
      <c r="C326" s="27" t="inlineStr">
        <is>
          <t>Muhamad Angga Ramdani</t>
        </is>
      </c>
      <c r="D326" s="171" t="n">
        <v>46150.41666666666</v>
      </c>
      <c r="E326" s="26" t="n">
        <v>0.3286226851851852</v>
      </c>
      <c r="F326" s="27" t="inlineStr">
        <is>
          <t>Shift 1</t>
        </is>
      </c>
      <c r="G326" s="27" t="n"/>
    </row>
    <row r="327" hidden="1" s="169">
      <c r="A327" s="27" t="inlineStr">
        <is>
          <t>MK00112</t>
        </is>
      </c>
      <c r="B327" s="27" t="n">
        <v>528000273</v>
      </c>
      <c r="C327" s="27" t="inlineStr">
        <is>
          <t>Asep Mulyana</t>
        </is>
      </c>
      <c r="D327" s="171" t="n">
        <v>46150.41666666666</v>
      </c>
      <c r="E327" s="26" t="n">
        <v>0.3292592592592593</v>
      </c>
      <c r="F327" s="27" t="inlineStr">
        <is>
          <t>Shift 1</t>
        </is>
      </c>
      <c r="G327" s="27" t="n"/>
    </row>
    <row r="328" hidden="1" s="169">
      <c r="A328" s="27" t="inlineStr">
        <is>
          <t>MK00201</t>
        </is>
      </c>
      <c r="B328" s="27" t="n">
        <v>528000267</v>
      </c>
      <c r="C328" s="27" t="inlineStr">
        <is>
          <t>Bagas Patulloh</t>
        </is>
      </c>
      <c r="D328" s="171" t="n">
        <v>46150.41666666666</v>
      </c>
      <c r="E328" s="26" t="n">
        <v>0.3327199074074074</v>
      </c>
      <c r="F328" s="27" t="inlineStr">
        <is>
          <t>Shift 1</t>
        </is>
      </c>
      <c r="G328" s="27" t="n"/>
    </row>
    <row r="329" hidden="1" s="169">
      <c r="A329" s="27" t="inlineStr">
        <is>
          <t>MK00205</t>
        </is>
      </c>
      <c r="B329" s="27" t="n">
        <v>528000348</v>
      </c>
      <c r="C329" s="27" t="inlineStr">
        <is>
          <t>Saepuloh Ardiansah</t>
        </is>
      </c>
      <c r="D329" s="171" t="n">
        <v>46150.41666666666</v>
      </c>
      <c r="E329" s="26" t="n">
        <v>0.3713194444444444</v>
      </c>
      <c r="F329" s="27" t="inlineStr">
        <is>
          <t>Shift 1</t>
        </is>
      </c>
      <c r="G329" s="27" t="n"/>
    </row>
    <row r="330" hidden="1" s="169">
      <c r="A330" s="27" t="inlineStr">
        <is>
          <t>MK00113</t>
        </is>
      </c>
      <c r="B330" s="27" t="n">
        <v>528000358</v>
      </c>
      <c r="C330" s="27" t="inlineStr">
        <is>
          <t>Lulu Agustin</t>
        </is>
      </c>
      <c r="D330" s="171" t="n">
        <v>46150.41666666666</v>
      </c>
      <c r="E330" s="26" t="n">
        <v>0.5609837962962962</v>
      </c>
      <c r="F330" s="27" t="inlineStr">
        <is>
          <t>Shift 2</t>
        </is>
      </c>
      <c r="G330" s="27" t="n"/>
    </row>
    <row r="331" hidden="1" s="169">
      <c r="A331" s="27" t="inlineStr">
        <is>
          <t>MK00158</t>
        </is>
      </c>
      <c r="B331" s="27" t="n">
        <v>528000266</v>
      </c>
      <c r="C331" s="27" t="inlineStr">
        <is>
          <t>M. Syirajatieq</t>
        </is>
      </c>
      <c r="D331" s="171" t="n">
        <v>46150.41666666666</v>
      </c>
      <c r="E331" s="26" t="n">
        <v>0.5615740740740741</v>
      </c>
      <c r="F331" s="27" t="inlineStr">
        <is>
          <t>Shift 2</t>
        </is>
      </c>
      <c r="G331" s="27" t="n"/>
    </row>
    <row r="332" hidden="1" s="169">
      <c r="A332" s="27" t="inlineStr">
        <is>
          <t>MK00155</t>
        </is>
      </c>
      <c r="B332" s="27" t="n">
        <v>528000195</v>
      </c>
      <c r="C332" s="27" t="inlineStr">
        <is>
          <t>Rahma Sariwati</t>
        </is>
      </c>
      <c r="D332" s="171" t="n">
        <v>46150.41666666666</v>
      </c>
      <c r="E332" s="26" t="n">
        <v>0.5665162037037037</v>
      </c>
      <c r="F332" s="27" t="inlineStr">
        <is>
          <t>Shift 2</t>
        </is>
      </c>
      <c r="G332" s="27" t="n"/>
    </row>
    <row r="333" hidden="1" s="169">
      <c r="A333" s="27" t="inlineStr">
        <is>
          <t>MK00156</t>
        </is>
      </c>
      <c r="B333" s="27" t="n">
        <v>528000262</v>
      </c>
      <c r="C333" s="27" t="inlineStr">
        <is>
          <t>Ndari Dwiwanti</t>
        </is>
      </c>
      <c r="D333" s="171" t="n">
        <v>46150.41666666666</v>
      </c>
      <c r="E333" s="26" t="n">
        <v>0.5666898148148148</v>
      </c>
      <c r="F333" s="27" t="inlineStr">
        <is>
          <t>Shift 2</t>
        </is>
      </c>
      <c r="G333" s="27" t="n"/>
    </row>
    <row r="334" hidden="1" s="169">
      <c r="A334" s="27" t="inlineStr">
        <is>
          <t>MK00150</t>
        </is>
      </c>
      <c r="B334" s="27" t="n">
        <v>528000306</v>
      </c>
      <c r="C334" s="27" t="inlineStr">
        <is>
          <t>Windy Olivia</t>
        </is>
      </c>
      <c r="D334" s="171" t="n">
        <v>46150.41666666666</v>
      </c>
      <c r="E334" s="26" t="n">
        <v>0.5683101851851852</v>
      </c>
      <c r="F334" s="27" t="inlineStr">
        <is>
          <t>Shift 2</t>
        </is>
      </c>
      <c r="G334" s="27" t="n"/>
    </row>
    <row r="335" hidden="1" s="169">
      <c r="A335" s="27" t="inlineStr">
        <is>
          <t>MK00192</t>
        </is>
      </c>
      <c r="B335" s="27" t="n">
        <v>528000283</v>
      </c>
      <c r="C335" s="27" t="inlineStr">
        <is>
          <t>Purwanda Sugiri</t>
        </is>
      </c>
      <c r="D335" s="171" t="n">
        <v>46150.41666666666</v>
      </c>
      <c r="E335" s="26" t="n">
        <v>0.5734027777777778</v>
      </c>
      <c r="F335" s="27" t="inlineStr">
        <is>
          <t>Shift 2</t>
        </is>
      </c>
      <c r="G335" s="27" t="n"/>
    </row>
    <row r="336" hidden="1" s="169">
      <c r="A336" s="27" t="inlineStr">
        <is>
          <t>MK00136</t>
        </is>
      </c>
      <c r="B336" s="27" t="n">
        <v>528000291</v>
      </c>
      <c r="C336" s="27" t="inlineStr">
        <is>
          <t>Andrian</t>
        </is>
      </c>
      <c r="D336" s="171" t="n">
        <v>46150.41666666666</v>
      </c>
      <c r="E336" s="26" t="n">
        <v>0.5753819444444445</v>
      </c>
      <c r="F336" s="27" t="inlineStr">
        <is>
          <t>Shift 2</t>
        </is>
      </c>
      <c r="G336" s="27" t="n"/>
    </row>
    <row r="337">
      <c r="A337" s="27" t="inlineStr">
        <is>
          <t>MK00221</t>
        </is>
      </c>
      <c r="B337" s="27" t="n">
        <v>528000015</v>
      </c>
      <c r="C337" s="27" t="inlineStr">
        <is>
          <t>Erwin</t>
        </is>
      </c>
      <c r="D337" s="171" t="n">
        <v>46150.41666666666</v>
      </c>
      <c r="E337" s="26" t="n">
        <v>0.6519097222222222</v>
      </c>
      <c r="F337" s="27" t="inlineStr">
        <is>
          <t>Shift 2</t>
        </is>
      </c>
      <c r="G337" s="27" t="n"/>
    </row>
    <row r="338" hidden="1" s="169">
      <c r="A338" s="27" t="inlineStr">
        <is>
          <t>MK00213</t>
        </is>
      </c>
      <c r="B338" s="27" t="n">
        <v>528000144</v>
      </c>
      <c r="C338" s="27" t="inlineStr">
        <is>
          <t>Jodi Hanafi</t>
        </is>
      </c>
      <c r="D338" s="171" t="n">
        <v>46150.41666666666</v>
      </c>
      <c r="E338" s="26" t="n">
        <v>0.6536921296296296</v>
      </c>
      <c r="F338" s="27" t="inlineStr">
        <is>
          <t>Shift 2</t>
        </is>
      </c>
      <c r="G338" s="27" t="n"/>
    </row>
    <row r="339" hidden="1" s="169">
      <c r="A339" s="27" t="inlineStr">
        <is>
          <t>MK00186</t>
        </is>
      </c>
      <c r="B339" s="27" t="n">
        <v>528000149</v>
      </c>
      <c r="C339" s="27" t="inlineStr">
        <is>
          <t>Tio Fernanda</t>
        </is>
      </c>
      <c r="D339" s="171" t="n">
        <v>46150.41666666666</v>
      </c>
      <c r="E339" s="26" t="n">
        <v>0.6626851851851852</v>
      </c>
      <c r="F339" s="27" t="inlineStr">
        <is>
          <t>Shift 2</t>
        </is>
      </c>
      <c r="G339" s="27" t="n"/>
    </row>
    <row r="340" hidden="1" s="169">
      <c r="A340" s="27" t="inlineStr">
        <is>
          <t>MK00088</t>
        </is>
      </c>
      <c r="B340" s="27" t="n">
        <v>628000061</v>
      </c>
      <c r="C340" s="27" t="inlineStr">
        <is>
          <t>Nayla Fadillah Exwantoro</t>
        </is>
      </c>
      <c r="D340" s="171" t="n">
        <v>46150.41666666666</v>
      </c>
      <c r="E340" s="26" t="n">
        <v>0.8762037037037037</v>
      </c>
      <c r="F340" s="27" t="inlineStr">
        <is>
          <t>Shift 3</t>
        </is>
      </c>
      <c r="G340" s="27" t="inlineStr">
        <is>
          <t>B-28</t>
        </is>
      </c>
    </row>
    <row r="341" hidden="1" s="169">
      <c r="A341" s="27" t="inlineStr">
        <is>
          <t>MK00204</t>
        </is>
      </c>
      <c r="B341" s="27" t="n">
        <v>528000098</v>
      </c>
      <c r="C341" s="27" t="inlineStr">
        <is>
          <t>Edi Junaedi</t>
        </is>
      </c>
      <c r="D341" s="171" t="n">
        <v>46150.41666666666</v>
      </c>
      <c r="E341" s="26" t="n">
        <v>0.8903125</v>
      </c>
      <c r="F341" s="27" t="inlineStr">
        <is>
          <t>Shift 3</t>
        </is>
      </c>
      <c r="G341" s="27" t="n"/>
    </row>
    <row r="342" hidden="1" s="169">
      <c r="A342" s="27" t="inlineStr">
        <is>
          <t>MK00200</t>
        </is>
      </c>
      <c r="B342" s="27" t="n">
        <v>628000091</v>
      </c>
      <c r="C342" s="27" t="inlineStr">
        <is>
          <t>Devita Handayani</t>
        </is>
      </c>
      <c r="D342" s="171" t="n">
        <v>46150.41666666666</v>
      </c>
      <c r="E342" s="26" t="n">
        <v>0.8936342592592592</v>
      </c>
      <c r="F342" s="27" t="inlineStr">
        <is>
          <t>Shift 3</t>
        </is>
      </c>
      <c r="G342" s="27" t="n"/>
    </row>
    <row r="343" hidden="1" s="169">
      <c r="A343" s="27" t="inlineStr">
        <is>
          <t>MK0085</t>
        </is>
      </c>
      <c r="B343" s="27" t="n">
        <v>528000305</v>
      </c>
      <c r="C343" s="27" t="inlineStr">
        <is>
          <t>Puji Puspita</t>
        </is>
      </c>
      <c r="D343" s="171" t="n">
        <v>46150.41666666666</v>
      </c>
      <c r="E343" s="26" t="n">
        <v>0.9046064814814815</v>
      </c>
      <c r="F343" s="27" t="inlineStr">
        <is>
          <t>Shift 3</t>
        </is>
      </c>
      <c r="G343" s="27" t="n"/>
    </row>
    <row r="344" hidden="1" s="169">
      <c r="A344" s="27" t="inlineStr">
        <is>
          <t>MK00230</t>
        </is>
      </c>
      <c r="B344" s="27" t="n">
        <v>528000299</v>
      </c>
      <c r="C344" s="27" t="inlineStr">
        <is>
          <t>Siti Nurjanah</t>
        </is>
      </c>
      <c r="D344" s="171" t="n">
        <v>46150.41666666666</v>
      </c>
      <c r="E344" s="26" t="n">
        <v>0.9048495370370371</v>
      </c>
      <c r="F344" s="27" t="inlineStr">
        <is>
          <t>Shift 3</t>
        </is>
      </c>
      <c r="G344" s="27" t="n"/>
    </row>
    <row r="345" hidden="1" s="169">
      <c r="A345" s="27" t="inlineStr">
        <is>
          <t>MK00202</t>
        </is>
      </c>
      <c r="B345" s="27" t="n">
        <v>528000302</v>
      </c>
      <c r="C345" s="27" t="inlineStr">
        <is>
          <t>Henkey gumilar</t>
        </is>
      </c>
      <c r="D345" s="171" t="n">
        <v>46150.41666666666</v>
      </c>
      <c r="E345" s="26" t="n">
        <v>0.9064814814814814</v>
      </c>
      <c r="F345" s="27" t="inlineStr">
        <is>
          <t>Shift 3</t>
        </is>
      </c>
      <c r="G345" s="27" t="n"/>
    </row>
    <row r="346" hidden="1" s="169">
      <c r="A346" s="27" t="inlineStr">
        <is>
          <t>MK00211</t>
        </is>
      </c>
      <c r="B346" s="27" t="n">
        <v>528000270</v>
      </c>
      <c r="C346" s="27" t="inlineStr">
        <is>
          <t>Febri Najmudin</t>
        </is>
      </c>
      <c r="D346" s="171" t="n">
        <v>46150.41666666666</v>
      </c>
      <c r="E346" s="26" t="n">
        <v>0.9096180555555555</v>
      </c>
      <c r="F346" s="27" t="inlineStr">
        <is>
          <t>Shift 3</t>
        </is>
      </c>
      <c r="G346" s="27" t="n"/>
    </row>
    <row r="347" hidden="1" s="169">
      <c r="A347" s="27" t="inlineStr">
        <is>
          <t>MK00150</t>
        </is>
      </c>
      <c r="B347" s="27" t="n">
        <v>528000244</v>
      </c>
      <c r="C347" s="27" t="inlineStr">
        <is>
          <t>Rodian Rifai</t>
        </is>
      </c>
      <c r="D347" s="171" t="n">
        <v>46151.41666666666</v>
      </c>
      <c r="E347" s="26" t="n">
        <v>0.2245717592592593</v>
      </c>
      <c r="F347" s="27" t="inlineStr">
        <is>
          <t>Shift 1</t>
        </is>
      </c>
      <c r="G347" s="27" t="inlineStr">
        <is>
          <t>23E</t>
        </is>
      </c>
    </row>
    <row r="348" hidden="1" s="169">
      <c r="A348" s="27" t="inlineStr">
        <is>
          <t>MK00192</t>
        </is>
      </c>
      <c r="B348" s="27" t="n">
        <v>528000201</v>
      </c>
      <c r="C348" s="27" t="inlineStr">
        <is>
          <t>Zahwa Amelia Choerunissa</t>
        </is>
      </c>
      <c r="D348" s="171" t="n">
        <v>46151.41666666666</v>
      </c>
      <c r="E348" s="26" t="n">
        <v>0.2338888888888889</v>
      </c>
      <c r="F348" s="27" t="inlineStr">
        <is>
          <t>Shift 1</t>
        </is>
      </c>
      <c r="G348" s="27" t="n"/>
    </row>
    <row r="349" hidden="1" s="169">
      <c r="A349" s="27" t="inlineStr">
        <is>
          <t>MK00181</t>
        </is>
      </c>
      <c r="B349" s="27" t="n">
        <v>528000099</v>
      </c>
      <c r="C349" s="27" t="inlineStr">
        <is>
          <t>Siti Nurawaliah</t>
        </is>
      </c>
      <c r="D349" s="171" t="n">
        <v>46151.41666666666</v>
      </c>
      <c r="E349" s="26" t="n">
        <v>0.2341782407407407</v>
      </c>
      <c r="F349" s="27" t="inlineStr">
        <is>
          <t>Shift 1</t>
        </is>
      </c>
      <c r="G349" s="27" t="n"/>
    </row>
    <row r="350" hidden="1" s="169">
      <c r="A350" s="27" t="inlineStr">
        <is>
          <t>MK00091</t>
        </is>
      </c>
      <c r="B350" s="27" t="n">
        <v>528000274</v>
      </c>
      <c r="C350" s="27" t="inlineStr">
        <is>
          <t>Zepri</t>
        </is>
      </c>
      <c r="D350" s="171" t="n">
        <v>46151.41666666666</v>
      </c>
      <c r="E350" s="26" t="n">
        <v>0.2371296296296296</v>
      </c>
      <c r="F350" s="27" t="inlineStr">
        <is>
          <t>Shift 1</t>
        </is>
      </c>
      <c r="G350" s="27" t="n"/>
    </row>
    <row r="351" hidden="1" s="169">
      <c r="A351" s="27" t="inlineStr">
        <is>
          <t>MK00156</t>
        </is>
      </c>
      <c r="B351" s="27" t="n">
        <v>528000286</v>
      </c>
      <c r="C351" s="27" t="inlineStr">
        <is>
          <t>Imelda Amelia</t>
        </is>
      </c>
      <c r="D351" s="171" t="n">
        <v>46151.41666666666</v>
      </c>
      <c r="E351" s="26" t="n">
        <v>0.2390393518518519</v>
      </c>
      <c r="F351" s="27" t="inlineStr">
        <is>
          <t>Shift 1</t>
        </is>
      </c>
      <c r="G351" s="27" t="n"/>
    </row>
    <row r="352" hidden="1" s="169">
      <c r="A352" s="27" t="inlineStr">
        <is>
          <t>MK00221</t>
        </is>
      </c>
      <c r="B352" s="27" t="n">
        <v>528000282</v>
      </c>
      <c r="C352" s="27" t="inlineStr">
        <is>
          <t>Defa Desfiana</t>
        </is>
      </c>
      <c r="D352" s="171" t="n">
        <v>46151.41666666666</v>
      </c>
      <c r="E352" s="26" t="n">
        <v>0.2408217592592592</v>
      </c>
      <c r="F352" s="27" t="inlineStr">
        <is>
          <t>Shift 1</t>
        </is>
      </c>
      <c r="G352" s="27" t="n"/>
    </row>
    <row r="353" hidden="1" s="169">
      <c r="A353" s="27" t="inlineStr">
        <is>
          <t>MK00207</t>
        </is>
      </c>
      <c r="B353" s="27" t="n">
        <v>528000265</v>
      </c>
      <c r="C353" s="27" t="inlineStr">
        <is>
          <t>Muhammad Haerul Rozikin</t>
        </is>
      </c>
      <c r="D353" s="171" t="n">
        <v>46151.41666666666</v>
      </c>
      <c r="E353" s="26" t="n">
        <v>0.2412962962962963</v>
      </c>
      <c r="F353" s="27" t="inlineStr">
        <is>
          <t>Shift 1</t>
        </is>
      </c>
      <c r="G353" s="27" t="n"/>
    </row>
    <row r="354" hidden="1" s="169">
      <c r="A354" s="27" t="inlineStr">
        <is>
          <t>MK00210</t>
        </is>
      </c>
      <c r="B354" s="27" t="n">
        <v>528000241</v>
      </c>
      <c r="C354" s="27" t="inlineStr">
        <is>
          <t>Balia Nurafif Bilah</t>
        </is>
      </c>
      <c r="D354" s="171" t="n">
        <v>46151.41666666666</v>
      </c>
      <c r="E354" s="26" t="n">
        <v>0.2459027777777778</v>
      </c>
      <c r="F354" s="27" t="inlineStr">
        <is>
          <t>Shift 1</t>
        </is>
      </c>
      <c r="G354" s="27" t="n"/>
    </row>
    <row r="355" hidden="1" s="169">
      <c r="A355" s="27" t="inlineStr">
        <is>
          <t>MK0082</t>
        </is>
      </c>
      <c r="B355" s="27" t="n">
        <v>528000290</v>
      </c>
      <c r="C355" s="27" t="inlineStr">
        <is>
          <t>Eval Pranata</t>
        </is>
      </c>
      <c r="D355" s="171" t="n">
        <v>46151.41666666666</v>
      </c>
      <c r="E355" s="26" t="n">
        <v>0.2498148148148148</v>
      </c>
      <c r="F355" s="27" t="inlineStr">
        <is>
          <t>Shift 1</t>
        </is>
      </c>
      <c r="G355" s="27" t="n"/>
    </row>
    <row r="356" hidden="1" s="169">
      <c r="A356" s="27" t="inlineStr">
        <is>
          <t>MK00199</t>
        </is>
      </c>
      <c r="B356" s="27" t="n">
        <v>528000349</v>
      </c>
      <c r="C356" s="27" t="inlineStr">
        <is>
          <t>Anas Abdul Fatah</t>
        </is>
      </c>
      <c r="D356" s="171" t="n">
        <v>46151.41666666666</v>
      </c>
      <c r="E356" s="26" t="n">
        <v>0.3280787037037037</v>
      </c>
      <c r="F356" s="27" t="inlineStr">
        <is>
          <t>Shift 1</t>
        </is>
      </c>
      <c r="G356" s="27" t="n"/>
    </row>
    <row r="357" hidden="1" s="169">
      <c r="A357" s="27" t="inlineStr">
        <is>
          <t>MK00203</t>
        </is>
      </c>
      <c r="B357" s="27" t="n">
        <v>528000287</v>
      </c>
      <c r="C357" s="27" t="inlineStr">
        <is>
          <t>Muhamad Angga Ramdani</t>
        </is>
      </c>
      <c r="D357" s="171" t="n">
        <v>46151.41666666666</v>
      </c>
      <c r="E357" s="26" t="n">
        <v>0.3284143518518519</v>
      </c>
      <c r="F357" s="27" t="inlineStr">
        <is>
          <t>Shift 1</t>
        </is>
      </c>
      <c r="G357" s="27" t="n"/>
    </row>
    <row r="358" hidden="1" s="169">
      <c r="A358" s="27" t="inlineStr">
        <is>
          <t>MK00046</t>
        </is>
      </c>
      <c r="B358" s="27" t="n">
        <v>528000351</v>
      </c>
      <c r="C358" s="27" t="inlineStr">
        <is>
          <t>Mulyana</t>
        </is>
      </c>
      <c r="D358" s="171" t="n">
        <v>46151.41666666666</v>
      </c>
      <c r="E358" s="26" t="n">
        <v>0.329525462962963</v>
      </c>
      <c r="F358" s="27" t="inlineStr">
        <is>
          <t>Shift 1</t>
        </is>
      </c>
      <c r="G358" s="27" t="n"/>
    </row>
    <row r="359" hidden="1" s="169">
      <c r="A359" s="27" t="inlineStr">
        <is>
          <t>MK00230</t>
        </is>
      </c>
      <c r="B359" s="27" t="n">
        <v>528000055</v>
      </c>
      <c r="C359" s="27" t="inlineStr">
        <is>
          <t>Dika Prasetya</t>
        </is>
      </c>
      <c r="D359" s="171" t="n">
        <v>46151.41666666666</v>
      </c>
      <c r="E359" s="26" t="n">
        <v>0.3301388888888889</v>
      </c>
      <c r="F359" s="27" t="inlineStr">
        <is>
          <t>Shift 1</t>
        </is>
      </c>
      <c r="G359" s="27" t="n"/>
    </row>
    <row r="360">
      <c r="A360" s="27" t="inlineStr">
        <is>
          <t>MK00158</t>
        </is>
      </c>
      <c r="B360" s="27" t="n">
        <v>528000015</v>
      </c>
      <c r="C360" s="27" t="inlineStr">
        <is>
          <t>Erwin</t>
        </is>
      </c>
      <c r="D360" s="171" t="n">
        <v>46151.41666666666</v>
      </c>
      <c r="E360" s="26" t="n">
        <v>0.3372337962962963</v>
      </c>
      <c r="F360" s="27" t="inlineStr">
        <is>
          <t>Shift 1</t>
        </is>
      </c>
      <c r="G360" s="27" t="n"/>
    </row>
    <row r="361" hidden="1" s="169">
      <c r="A361" s="27" t="inlineStr">
        <is>
          <t>MK00205</t>
        </is>
      </c>
      <c r="B361" s="27" t="n">
        <v>528000348</v>
      </c>
      <c r="C361" s="27" t="inlineStr">
        <is>
          <t>Saepuloh Ardiansah</t>
        </is>
      </c>
      <c r="D361" s="171" t="n">
        <v>46151.41666666666</v>
      </c>
      <c r="E361" s="26" t="n">
        <v>0.3732407407407408</v>
      </c>
      <c r="F361" s="27" t="inlineStr">
        <is>
          <t>Shift 1</t>
        </is>
      </c>
      <c r="G361" s="27" t="n"/>
    </row>
    <row r="362" hidden="1" s="169">
      <c r="A362" s="27" t="inlineStr">
        <is>
          <t>MK00118</t>
        </is>
      </c>
      <c r="B362" s="27" t="n">
        <v>528000203</v>
      </c>
      <c r="C362" s="27" t="inlineStr">
        <is>
          <t>Yudha Ramdhan Putra</t>
        </is>
      </c>
      <c r="D362" s="171" t="n">
        <v>46151.41666666666</v>
      </c>
      <c r="E362" s="26" t="n">
        <v>0.3816550925925926</v>
      </c>
      <c r="F362" s="27" t="inlineStr">
        <is>
          <t>Shift 1</t>
        </is>
      </c>
      <c r="G362" s="27" t="n"/>
    </row>
    <row r="363" hidden="1" s="169">
      <c r="A363" s="27" t="inlineStr">
        <is>
          <t>MK00112</t>
        </is>
      </c>
      <c r="B363" s="27" t="n">
        <v>528000292</v>
      </c>
      <c r="C363" s="27" t="inlineStr">
        <is>
          <t>Aditia Nugraha</t>
        </is>
      </c>
      <c r="D363" s="171" t="n">
        <v>46151.41666666666</v>
      </c>
      <c r="E363" s="26" t="n">
        <v>0.3826736111111111</v>
      </c>
      <c r="F363" s="27" t="inlineStr">
        <is>
          <t>Shift 1</t>
        </is>
      </c>
      <c r="G363" s="27" t="n"/>
    </row>
    <row r="364" hidden="1" s="169">
      <c r="A364" s="27" t="inlineStr">
        <is>
          <t>MK00211</t>
        </is>
      </c>
      <c r="B364" s="27" t="n">
        <v>528000195</v>
      </c>
      <c r="C364" s="27" t="inlineStr">
        <is>
          <t>Rahma Sariwati</t>
        </is>
      </c>
      <c r="D364" s="171" t="n">
        <v>46151.41666666666</v>
      </c>
      <c r="E364" s="26" t="n">
        <v>0.5561458333333333</v>
      </c>
      <c r="F364" s="27" t="inlineStr">
        <is>
          <t>Shift 2</t>
        </is>
      </c>
      <c r="G364" s="27" t="n"/>
    </row>
    <row r="365" hidden="1" s="169">
      <c r="A365" s="27" t="inlineStr">
        <is>
          <t>MK00200</t>
        </is>
      </c>
      <c r="B365" s="27" t="n">
        <v>528000266</v>
      </c>
      <c r="C365" s="27" t="inlineStr">
        <is>
          <t>M. Syirajatieq</t>
        </is>
      </c>
      <c r="D365" s="171" t="n">
        <v>46151.41666666666</v>
      </c>
      <c r="E365" s="26" t="n">
        <v>0.5627314814814814</v>
      </c>
      <c r="F365" s="27" t="inlineStr">
        <is>
          <t>Shift 2</t>
        </is>
      </c>
      <c r="G365" s="27" t="n"/>
    </row>
    <row r="366" hidden="1" s="169">
      <c r="A366" s="27" t="inlineStr">
        <is>
          <t>MK00249</t>
        </is>
      </c>
      <c r="B366" s="27" t="n">
        <v>528000358</v>
      </c>
      <c r="C366" s="27" t="inlineStr">
        <is>
          <t>Lulu Agustin</t>
        </is>
      </c>
      <c r="D366" s="171" t="n">
        <v>46151.41666666666</v>
      </c>
      <c r="E366" s="26" t="n">
        <v>0.5646875</v>
      </c>
      <c r="F366" s="27" t="inlineStr">
        <is>
          <t>Shift 2</t>
        </is>
      </c>
      <c r="G366" s="27" t="n"/>
    </row>
    <row r="367" hidden="1" s="169">
      <c r="A367" s="27" t="inlineStr">
        <is>
          <t>MK00088</t>
        </is>
      </c>
      <c r="B367" s="27" t="n">
        <v>528000262</v>
      </c>
      <c r="C367" s="27" t="inlineStr">
        <is>
          <t>Ndari Dwiwanti</t>
        </is>
      </c>
      <c r="D367" s="171" t="n">
        <v>46151.41666666666</v>
      </c>
      <c r="E367" s="26" t="n">
        <v>0.5659375</v>
      </c>
      <c r="F367" s="27" t="inlineStr">
        <is>
          <t>Shift 2</t>
        </is>
      </c>
      <c r="G367" s="27" t="n"/>
    </row>
    <row r="368" hidden="1" s="169">
      <c r="A368" s="27" t="inlineStr">
        <is>
          <t>MK00109</t>
        </is>
      </c>
      <c r="B368" s="27" t="n">
        <v>528000283</v>
      </c>
      <c r="C368" s="27" t="inlineStr">
        <is>
          <t>Purwanda Sugiri</t>
        </is>
      </c>
      <c r="D368" s="171" t="n">
        <v>46151.41666666666</v>
      </c>
      <c r="E368" s="26" t="n">
        <v>0.5751041666666666</v>
      </c>
      <c r="F368" s="27" t="inlineStr">
        <is>
          <t>Shift 2</t>
        </is>
      </c>
      <c r="G368" s="27" t="n"/>
    </row>
    <row r="369" hidden="1" s="169">
      <c r="A369" s="27" t="inlineStr">
        <is>
          <t>MK00145</t>
        </is>
      </c>
      <c r="B369" s="27" t="n">
        <v>528000261</v>
      </c>
      <c r="C369" s="27" t="inlineStr">
        <is>
          <t>Ergi Ergianto</t>
        </is>
      </c>
      <c r="D369" s="171" t="n">
        <v>46151.41666666666</v>
      </c>
      <c r="E369" s="26" t="n">
        <v>0.5760300925925926</v>
      </c>
      <c r="F369" s="27" t="inlineStr">
        <is>
          <t>Shift 2</t>
        </is>
      </c>
      <c r="G369" s="27" t="n"/>
    </row>
    <row r="370" hidden="1" s="169">
      <c r="A370" s="27" t="inlineStr">
        <is>
          <t>MK00250</t>
        </is>
      </c>
      <c r="B370" s="27" t="n">
        <v>528000291</v>
      </c>
      <c r="C370" s="27" t="inlineStr">
        <is>
          <t>Andrian</t>
        </is>
      </c>
      <c r="D370" s="171" t="n">
        <v>46151.41666666666</v>
      </c>
      <c r="E370" s="26" t="n">
        <v>0.576875</v>
      </c>
      <c r="F370" s="27" t="inlineStr">
        <is>
          <t>Shift 2</t>
        </is>
      </c>
      <c r="G370" s="27" t="n"/>
    </row>
    <row r="371" hidden="1" s="169">
      <c r="A371" s="27" t="inlineStr">
        <is>
          <t>MK00212</t>
        </is>
      </c>
      <c r="B371" s="27" t="n">
        <v>528000149</v>
      </c>
      <c r="C371" s="27" t="inlineStr">
        <is>
          <t>Tio Fernanda</t>
        </is>
      </c>
      <c r="D371" s="171" t="n">
        <v>46151.41666666666</v>
      </c>
      <c r="E371" s="26" t="n">
        <v>0.6618981481481482</v>
      </c>
      <c r="F371" s="27" t="inlineStr">
        <is>
          <t>Shift 2</t>
        </is>
      </c>
      <c r="G371" s="27" t="n"/>
    </row>
    <row r="372" hidden="1" s="169">
      <c r="A372" s="27" t="inlineStr">
        <is>
          <t>MK00199</t>
        </is>
      </c>
      <c r="B372" s="27" t="n">
        <v>528000279</v>
      </c>
      <c r="C372" s="27" t="inlineStr">
        <is>
          <t>Mahdalena Dalfa Riani</t>
        </is>
      </c>
      <c r="D372" s="171" t="n">
        <v>46151.41666666666</v>
      </c>
      <c r="E372" s="26" t="n">
        <v>0.8863310185185185</v>
      </c>
      <c r="F372" s="27" t="inlineStr">
        <is>
          <t>Shift 3</t>
        </is>
      </c>
      <c r="G372" s="27" t="n"/>
    </row>
    <row r="373" hidden="1" s="169">
      <c r="A373" s="27" t="inlineStr">
        <is>
          <t>MK00221</t>
        </is>
      </c>
      <c r="B373" s="27" t="n">
        <v>528000238</v>
      </c>
      <c r="C373" s="27" t="inlineStr">
        <is>
          <t>Indah Lusiana</t>
        </is>
      </c>
      <c r="D373" s="171" t="n">
        <v>46151.41666666666</v>
      </c>
      <c r="E373" s="26" t="n">
        <v>0.9005902777777778</v>
      </c>
      <c r="F373" s="27" t="inlineStr">
        <is>
          <t>Shift 3</t>
        </is>
      </c>
      <c r="G373" s="27" t="n"/>
    </row>
    <row r="374" hidden="1" s="169">
      <c r="A374" s="27" t="inlineStr">
        <is>
          <t>MK00210</t>
        </is>
      </c>
      <c r="B374" s="27" t="n">
        <v>628000064</v>
      </c>
      <c r="C374" s="27" t="inlineStr">
        <is>
          <t>Silva Alypia</t>
        </is>
      </c>
      <c r="D374" s="171" t="n">
        <v>46151.41666666666</v>
      </c>
      <c r="E374" s="26" t="n">
        <v>0.9119560185185185</v>
      </c>
      <c r="F374" s="27" t="inlineStr">
        <is>
          <t>Shift 3</t>
        </is>
      </c>
      <c r="G374" s="27" t="n"/>
    </row>
    <row r="375" hidden="1" s="169">
      <c r="A375" s="27" t="inlineStr">
        <is>
          <t>MV-26</t>
        </is>
      </c>
      <c r="B375" s="27" t="n">
        <v>528000297</v>
      </c>
      <c r="C375" s="27" t="inlineStr">
        <is>
          <t>Muhamad Budiana</t>
        </is>
      </c>
      <c r="D375" s="171" t="n">
        <v>46151.41666666666</v>
      </c>
      <c r="E375" s="26" t="n">
        <v>0.9138657407407408</v>
      </c>
      <c r="F375" s="27" t="inlineStr">
        <is>
          <t>Shift 3</t>
        </is>
      </c>
      <c r="G375" s="27" t="n"/>
    </row>
    <row r="376" hidden="1" s="169">
      <c r="A376" s="27" t="inlineStr">
        <is>
          <t>MK00228</t>
        </is>
      </c>
      <c r="B376" s="27" t="n">
        <v>528000201</v>
      </c>
      <c r="C376" s="27" t="inlineStr">
        <is>
          <t>Zahwa Amelia Choerunissa</t>
        </is>
      </c>
      <c r="D376" s="171" t="n">
        <v>46152.41666666666</v>
      </c>
      <c r="E376" s="26" t="n">
        <v>0.2334375</v>
      </c>
      <c r="F376" s="27" t="inlineStr">
        <is>
          <t>Shift 1</t>
        </is>
      </c>
      <c r="G376" s="27" t="n"/>
    </row>
    <row r="377" hidden="1" s="169">
      <c r="A377" s="27" t="inlineStr">
        <is>
          <t>MK00055</t>
        </is>
      </c>
      <c r="B377" s="27" t="n">
        <v>528000212</v>
      </c>
      <c r="C377" s="27" t="inlineStr">
        <is>
          <t>Rizal Fauzi</t>
        </is>
      </c>
      <c r="D377" s="171" t="n">
        <v>46152.41666666666</v>
      </c>
      <c r="E377" s="26" t="n">
        <v>0.2336111111111111</v>
      </c>
      <c r="F377" s="27" t="inlineStr">
        <is>
          <t>Shift 1</t>
        </is>
      </c>
      <c r="G377" s="27" t="n"/>
    </row>
    <row r="378" hidden="1" s="169">
      <c r="A378" s="27" t="inlineStr">
        <is>
          <t>MK00158</t>
        </is>
      </c>
      <c r="B378" s="27" t="n">
        <v>528000099</v>
      </c>
      <c r="C378" s="27" t="inlineStr">
        <is>
          <t>Siti Nurawaliah</t>
        </is>
      </c>
      <c r="D378" s="171" t="n">
        <v>46152.41666666666</v>
      </c>
      <c r="E378" s="26" t="n">
        <v>0.23375</v>
      </c>
      <c r="F378" s="27" t="inlineStr">
        <is>
          <t>Shift 1</t>
        </is>
      </c>
      <c r="G378" s="27" t="n"/>
    </row>
    <row r="379" hidden="1" s="169">
      <c r="A379" s="27" t="inlineStr">
        <is>
          <t>MK00192</t>
        </is>
      </c>
      <c r="B379" s="27" t="n">
        <v>528000244</v>
      </c>
      <c r="C379" s="27" t="inlineStr">
        <is>
          <t>Rodian Rifai</t>
        </is>
      </c>
      <c r="D379" s="171" t="n">
        <v>46152.41666666666</v>
      </c>
      <c r="E379" s="26" t="n">
        <v>0.2356712962962963</v>
      </c>
      <c r="F379" s="27" t="inlineStr">
        <is>
          <t>Shift 1</t>
        </is>
      </c>
      <c r="G379" s="27" t="inlineStr">
        <is>
          <t>5B</t>
        </is>
      </c>
    </row>
    <row r="380" hidden="1" s="169">
      <c r="A380" s="27" t="inlineStr">
        <is>
          <t>MK00202</t>
        </is>
      </c>
      <c r="B380" s="27" t="n">
        <v>528000286</v>
      </c>
      <c r="C380" s="27" t="inlineStr">
        <is>
          <t>Imelda Amelia</t>
        </is>
      </c>
      <c r="D380" s="171" t="n">
        <v>46152.41666666666</v>
      </c>
      <c r="E380" s="26" t="n">
        <v>0.2411458333333333</v>
      </c>
      <c r="F380" s="27" t="inlineStr">
        <is>
          <t>Shift 1</t>
        </is>
      </c>
      <c r="G380" s="27" t="n"/>
    </row>
    <row r="381" hidden="1" s="169">
      <c r="A381" s="27" t="inlineStr">
        <is>
          <t>MK00249</t>
        </is>
      </c>
      <c r="B381" s="27" t="n">
        <v>528000241</v>
      </c>
      <c r="C381" s="27" t="inlineStr">
        <is>
          <t>Balia Nurafif Bilah</t>
        </is>
      </c>
      <c r="D381" s="171" t="n">
        <v>46152.41666666666</v>
      </c>
      <c r="E381" s="26" t="n">
        <v>0.2461574074074074</v>
      </c>
      <c r="F381" s="27" t="inlineStr">
        <is>
          <t>Shift 1</t>
        </is>
      </c>
      <c r="G381" s="27" t="n"/>
    </row>
    <row r="382" hidden="1" s="169">
      <c r="A382" s="27" t="inlineStr">
        <is>
          <t>MK00200</t>
        </is>
      </c>
      <c r="B382" s="27" t="n">
        <v>528000228</v>
      </c>
      <c r="C382" s="27" t="inlineStr">
        <is>
          <t>Banyu Resmi Putri</t>
        </is>
      </c>
      <c r="D382" s="171" t="n">
        <v>46152.41666666666</v>
      </c>
      <c r="E382" s="26" t="n">
        <v>0.2480092592592593</v>
      </c>
      <c r="F382" s="27" t="inlineStr">
        <is>
          <t>Shift 1</t>
        </is>
      </c>
      <c r="G382" s="27" t="n"/>
    </row>
    <row r="383" hidden="1" s="169">
      <c r="A383" s="27" t="inlineStr">
        <is>
          <t>MK00136</t>
        </is>
      </c>
      <c r="B383" s="27" t="n">
        <v>528000290</v>
      </c>
      <c r="C383" s="27" t="inlineStr">
        <is>
          <t>Eval Pranata</t>
        </is>
      </c>
      <c r="D383" s="171" t="n">
        <v>46152.41666666666</v>
      </c>
      <c r="E383" s="26" t="n">
        <v>0.2483680555555556</v>
      </c>
      <c r="F383" s="27" t="inlineStr">
        <is>
          <t>Shift 1</t>
        </is>
      </c>
      <c r="G383" s="27" t="n"/>
    </row>
    <row r="384" hidden="1" s="169">
      <c r="A384" s="27" t="inlineStr">
        <is>
          <t>MK0085</t>
        </is>
      </c>
      <c r="B384" s="27" t="n">
        <v>528000282</v>
      </c>
      <c r="C384" s="27" t="inlineStr">
        <is>
          <t>Defa Desfiana</t>
        </is>
      </c>
      <c r="D384" s="171" t="n">
        <v>46152.41666666666</v>
      </c>
      <c r="E384" s="26" t="n">
        <v>0.313287037037037</v>
      </c>
      <c r="F384" s="27" t="inlineStr">
        <is>
          <t>Shift 1</t>
        </is>
      </c>
      <c r="G384" s="27" t="inlineStr">
        <is>
          <t>33b</t>
        </is>
      </c>
    </row>
    <row r="385" hidden="1" s="169">
      <c r="A385" s="27" t="inlineStr">
        <is>
          <t>MK00126</t>
        </is>
      </c>
      <c r="B385" s="27" t="n">
        <v>528000265</v>
      </c>
      <c r="C385" s="27" t="inlineStr">
        <is>
          <t>Muhammad Haerul Rozikin</t>
        </is>
      </c>
      <c r="D385" s="171" t="n">
        <v>46152.41666666666</v>
      </c>
      <c r="E385" s="26" t="n">
        <v>0.3243171296296296</v>
      </c>
      <c r="F385" s="27" t="inlineStr">
        <is>
          <t>Shift 1</t>
        </is>
      </c>
      <c r="G385" s="27" t="n"/>
    </row>
    <row r="386" hidden="1" s="169">
      <c r="A386" s="27" t="inlineStr">
        <is>
          <t>MK00093</t>
        </is>
      </c>
      <c r="B386" s="27" t="n">
        <v>528000055</v>
      </c>
      <c r="C386" s="27" t="inlineStr">
        <is>
          <t>Dika Prasetya</t>
        </is>
      </c>
      <c r="D386" s="171" t="n">
        <v>46152.41666666666</v>
      </c>
      <c r="E386" s="26" t="n">
        <v>0.3329282407407407</v>
      </c>
      <c r="F386" s="27" t="inlineStr">
        <is>
          <t>Shift 1</t>
        </is>
      </c>
      <c r="G386" s="27" t="n"/>
    </row>
    <row r="387" hidden="1" s="169">
      <c r="A387" s="27" t="inlineStr">
        <is>
          <t>MK00221</t>
        </is>
      </c>
      <c r="B387" s="27" t="n">
        <v>528000267</v>
      </c>
      <c r="C387" s="27" t="inlineStr">
        <is>
          <t>Bagas Patulloh</t>
        </is>
      </c>
      <c r="D387" s="171" t="n">
        <v>46152.41666666666</v>
      </c>
      <c r="E387" s="26" t="n">
        <v>0.3337962962962963</v>
      </c>
      <c r="F387" s="27" t="inlineStr">
        <is>
          <t>Shift 1</t>
        </is>
      </c>
      <c r="G387" s="27" t="n"/>
    </row>
    <row r="388" hidden="1" s="169">
      <c r="A388" s="27" t="inlineStr">
        <is>
          <t>MK00250</t>
        </is>
      </c>
      <c r="B388" s="27" t="n">
        <v>528000287</v>
      </c>
      <c r="C388" s="27" t="inlineStr">
        <is>
          <t>Muhamad Angga Ramdani</t>
        </is>
      </c>
      <c r="D388" s="171" t="n">
        <v>46152.41666666666</v>
      </c>
      <c r="E388" s="26" t="n">
        <v>0.3395949074074074</v>
      </c>
      <c r="F388" s="27" t="inlineStr">
        <is>
          <t>Shift 1</t>
        </is>
      </c>
      <c r="G388" s="27" t="n"/>
    </row>
    <row r="389" hidden="1" s="169">
      <c r="A389" s="27" t="inlineStr">
        <is>
          <t>MK00082</t>
        </is>
      </c>
      <c r="B389" s="27" t="n">
        <v>528000351</v>
      </c>
      <c r="C389" s="27" t="inlineStr">
        <is>
          <t>Mulyana</t>
        </is>
      </c>
      <c r="D389" s="171" t="n">
        <v>46152.41666666666</v>
      </c>
      <c r="E389" s="26" t="n">
        <v>0.3418287037037037</v>
      </c>
      <c r="F389" s="27" t="inlineStr">
        <is>
          <t>Shift 1</t>
        </is>
      </c>
      <c r="G389" s="27" t="n"/>
    </row>
    <row r="390" hidden="1" s="169">
      <c r="A390" s="27" t="inlineStr">
        <is>
          <t>MK00151</t>
        </is>
      </c>
      <c r="B390" s="27" t="n">
        <v>528000292</v>
      </c>
      <c r="C390" s="27" t="inlineStr">
        <is>
          <t>Aditia Nugraha</t>
        </is>
      </c>
      <c r="D390" s="171" t="n">
        <v>46152.41666666666</v>
      </c>
      <c r="E390" s="26" t="n">
        <v>0.3672685185185185</v>
      </c>
      <c r="F390" s="27" t="inlineStr">
        <is>
          <t>Shift 1</t>
        </is>
      </c>
      <c r="G390" s="27" t="n"/>
    </row>
    <row r="391" hidden="1" s="169">
      <c r="A391" s="27" t="inlineStr">
        <is>
          <t>MK00205</t>
        </is>
      </c>
      <c r="B391" s="27" t="n">
        <v>528000348</v>
      </c>
      <c r="C391" s="27" t="inlineStr">
        <is>
          <t>Saepuloh Ardiansah</t>
        </is>
      </c>
      <c r="D391" s="171" t="n">
        <v>46152.41666666666</v>
      </c>
      <c r="E391" s="26" t="n">
        <v>0.3717476851851852</v>
      </c>
      <c r="F391" s="27" t="inlineStr">
        <is>
          <t>Shift 1</t>
        </is>
      </c>
      <c r="G391" s="27" t="n"/>
    </row>
    <row r="392" hidden="1" s="169">
      <c r="A392" s="27" t="inlineStr">
        <is>
          <t>MK00204</t>
        </is>
      </c>
      <c r="B392" s="27" t="n">
        <v>528000232</v>
      </c>
      <c r="C392" s="27" t="inlineStr">
        <is>
          <t>Agung Aji Suhada</t>
        </is>
      </c>
      <c r="D392" s="171" t="n">
        <v>46152.41666666666</v>
      </c>
      <c r="E392" s="26" t="n">
        <v>0.3763541666666667</v>
      </c>
      <c r="F392" s="27" t="inlineStr">
        <is>
          <t>Shift 1</t>
        </is>
      </c>
      <c r="G392" s="27" t="n"/>
    </row>
    <row r="393" hidden="1" s="169">
      <c r="A393" s="27" t="inlineStr">
        <is>
          <t>MK00211</t>
        </is>
      </c>
      <c r="B393" s="27" t="n">
        <v>528000266</v>
      </c>
      <c r="C393" s="27" t="inlineStr">
        <is>
          <t>M. Syirajatieq</t>
        </is>
      </c>
      <c r="D393" s="171" t="n">
        <v>46152.41666666666</v>
      </c>
      <c r="E393" s="26" t="n">
        <v>0.5604629629629629</v>
      </c>
      <c r="F393" s="27" t="inlineStr">
        <is>
          <t>Shift 2</t>
        </is>
      </c>
      <c r="G393" s="27" t="n"/>
    </row>
    <row r="394" hidden="1" s="169">
      <c r="A394" s="27" t="inlineStr">
        <is>
          <t>MK00208</t>
        </is>
      </c>
      <c r="B394" s="27" t="n">
        <v>528000195</v>
      </c>
      <c r="C394" s="27" t="inlineStr">
        <is>
          <t>Rahma Sariwati</t>
        </is>
      </c>
      <c r="D394" s="171" t="n">
        <v>46152.41666666666</v>
      </c>
      <c r="E394" s="26" t="n">
        <v>0.5626157407407407</v>
      </c>
      <c r="F394" s="27" t="inlineStr">
        <is>
          <t>Shift 2</t>
        </is>
      </c>
      <c r="G394" s="27" t="n"/>
    </row>
    <row r="395" hidden="1" s="169">
      <c r="A395" s="27" t="inlineStr">
        <is>
          <t>MK00199</t>
        </is>
      </c>
      <c r="B395" s="27" t="n">
        <v>528000262</v>
      </c>
      <c r="C395" s="27" t="inlineStr">
        <is>
          <t>Ndari Dwiwanti</t>
        </is>
      </c>
      <c r="D395" s="171" t="n">
        <v>46152.41666666666</v>
      </c>
      <c r="E395" s="26" t="n">
        <v>0.568113425925926</v>
      </c>
      <c r="F395" s="27" t="inlineStr">
        <is>
          <t>Shift 2</t>
        </is>
      </c>
      <c r="G395" s="27" t="n"/>
    </row>
    <row r="396" hidden="1" s="169">
      <c r="A396" s="27" t="inlineStr">
        <is>
          <t>MK00156</t>
        </is>
      </c>
      <c r="B396" s="27" t="n">
        <v>528000306</v>
      </c>
      <c r="C396" s="27" t="inlineStr">
        <is>
          <t>Windy Olivia</t>
        </is>
      </c>
      <c r="D396" s="171" t="n">
        <v>46152.41666666666</v>
      </c>
      <c r="E396" s="26" t="n">
        <v>0.5703125</v>
      </c>
      <c r="F396" s="27" t="inlineStr">
        <is>
          <t>Shift 2</t>
        </is>
      </c>
      <c r="G396" s="27" t="n"/>
    </row>
    <row r="397" hidden="1" s="169">
      <c r="A397" s="27" t="inlineStr">
        <is>
          <t>MK00155</t>
        </is>
      </c>
      <c r="B397" s="27" t="n">
        <v>528000283</v>
      </c>
      <c r="C397" s="27" t="inlineStr">
        <is>
          <t>Purwanda Sugiri</t>
        </is>
      </c>
      <c r="D397" s="171" t="n">
        <v>46152.41666666666</v>
      </c>
      <c r="E397" s="26" t="n">
        <v>0.5763773148148148</v>
      </c>
      <c r="F397" s="27" t="inlineStr">
        <is>
          <t>Shift 2</t>
        </is>
      </c>
      <c r="G397" s="27" t="n"/>
    </row>
    <row r="398">
      <c r="A398" s="27" t="inlineStr">
        <is>
          <t>MK00136</t>
        </is>
      </c>
      <c r="B398" s="27" t="n">
        <v>528000015</v>
      </c>
      <c r="C398" s="27" t="inlineStr">
        <is>
          <t>Erwin</t>
        </is>
      </c>
      <c r="D398" s="171" t="n">
        <v>46152.41666666666</v>
      </c>
      <c r="E398" s="26" t="n">
        <v>0.6594444444444445</v>
      </c>
      <c r="F398" s="27" t="inlineStr">
        <is>
          <t>Shift 2</t>
        </is>
      </c>
      <c r="G398" s="27" t="n"/>
    </row>
    <row r="399" hidden="1" s="169">
      <c r="A399" s="27" t="inlineStr">
        <is>
          <t>MK00213</t>
        </is>
      </c>
      <c r="B399" s="27" t="n">
        <v>528000144</v>
      </c>
      <c r="C399" s="27" t="inlineStr">
        <is>
          <t>Jodi Hanafi</t>
        </is>
      </c>
      <c r="D399" s="171" t="n">
        <v>46152.41666666666</v>
      </c>
      <c r="E399" s="26" t="n">
        <v>0.6655208333333333</v>
      </c>
      <c r="F399" s="27" t="inlineStr">
        <is>
          <t>Shift 2</t>
        </is>
      </c>
      <c r="G399" s="27" t="n"/>
    </row>
    <row r="400" hidden="1" s="169">
      <c r="A400" s="27" t="inlineStr">
        <is>
          <t>MK00212</t>
        </is>
      </c>
      <c r="B400" s="27" t="n">
        <v>528000149</v>
      </c>
      <c r="C400" s="27" t="inlineStr">
        <is>
          <t>Tio Fernanda</t>
        </is>
      </c>
      <c r="D400" s="171" t="n">
        <v>46152.41666666666</v>
      </c>
      <c r="E400" s="26" t="n">
        <v>0.6719097222222222</v>
      </c>
      <c r="F400" s="27" t="inlineStr">
        <is>
          <t>Shift 2</t>
        </is>
      </c>
      <c r="G400" s="27" t="n"/>
    </row>
    <row r="401" hidden="1" s="169">
      <c r="A401" s="27" t="inlineStr">
        <is>
          <t>MK00249</t>
        </is>
      </c>
      <c r="B401" s="27" t="n">
        <v>628000064</v>
      </c>
      <c r="C401" s="27" t="inlineStr">
        <is>
          <t>Silva Alypia</t>
        </is>
      </c>
      <c r="D401" s="171" t="n">
        <v>46152.41666666666</v>
      </c>
      <c r="E401" s="26" t="n">
        <v>0.9073148148148148</v>
      </c>
      <c r="F401" s="27" t="inlineStr">
        <is>
          <t>Shift 3</t>
        </is>
      </c>
      <c r="G401" s="27" t="n"/>
    </row>
    <row r="402" hidden="1" s="169">
      <c r="A402" s="27" t="inlineStr">
        <is>
          <t>MK00203</t>
        </is>
      </c>
      <c r="B402" s="27" t="n">
        <v>528000279</v>
      </c>
      <c r="C402" s="27" t="inlineStr">
        <is>
          <t>Mahdalena Dalfa Riani</t>
        </is>
      </c>
      <c r="D402" s="171" t="n">
        <v>46152.41666666666</v>
      </c>
      <c r="E402" s="26" t="n">
        <v>0.9080439814814815</v>
      </c>
      <c r="F402" s="27" t="inlineStr">
        <is>
          <t>Shift 3</t>
        </is>
      </c>
      <c r="G402" s="27" t="n"/>
    </row>
    <row r="403" hidden="1" s="169">
      <c r="A403" s="27" t="inlineStr">
        <is>
          <t>MK00150</t>
        </is>
      </c>
      <c r="B403" s="27" t="n">
        <v>528000297</v>
      </c>
      <c r="C403" s="27" t="inlineStr">
        <is>
          <t>Muhamad Budiana</t>
        </is>
      </c>
      <c r="D403" s="171" t="n">
        <v>46152.41666666666</v>
      </c>
      <c r="E403" s="26" t="n">
        <v>0.9130324074074074</v>
      </c>
      <c r="F403" s="27" t="inlineStr">
        <is>
          <t>Shift 3</t>
        </is>
      </c>
      <c r="G403" s="27" t="n"/>
    </row>
    <row r="404" hidden="1" s="169">
      <c r="A404" s="27" t="inlineStr">
        <is>
          <t>MK00235</t>
        </is>
      </c>
      <c r="B404" s="27" t="n">
        <v>528000201</v>
      </c>
      <c r="C404" s="27" t="inlineStr">
        <is>
          <t>Zahwa Amelia Choerunissa</t>
        </is>
      </c>
      <c r="D404" s="171" t="n">
        <v>46153.41666666666</v>
      </c>
      <c r="E404" s="26" t="n">
        <v>0.2318055555555555</v>
      </c>
      <c r="F404" s="27" t="inlineStr">
        <is>
          <t>Shift 1</t>
        </is>
      </c>
      <c r="G404" s="27" t="n"/>
    </row>
    <row r="405" hidden="1" s="169">
      <c r="A405" s="27" t="inlineStr">
        <is>
          <t>MK00088</t>
        </is>
      </c>
      <c r="B405" s="27" t="n">
        <v>528000099</v>
      </c>
      <c r="C405" s="27" t="inlineStr">
        <is>
          <t>Siti Nurawaliah</t>
        </is>
      </c>
      <c r="D405" s="171" t="n">
        <v>46153.41666666666</v>
      </c>
      <c r="E405" s="26" t="n">
        <v>0.2324305555555556</v>
      </c>
      <c r="F405" s="27" t="inlineStr">
        <is>
          <t>Shift 1</t>
        </is>
      </c>
      <c r="G405" s="27" t="n"/>
    </row>
    <row r="406" hidden="1" s="169">
      <c r="A406" s="27" t="inlineStr">
        <is>
          <t>MK00155</t>
        </is>
      </c>
      <c r="B406" s="27" t="n">
        <v>528000286</v>
      </c>
      <c r="C406" s="27" t="inlineStr">
        <is>
          <t>Imelda Amelia</t>
        </is>
      </c>
      <c r="D406" s="171" t="n">
        <v>46153.41666666666</v>
      </c>
      <c r="E406" s="26" t="n">
        <v>0.2370717592592592</v>
      </c>
      <c r="F406" s="27" t="inlineStr">
        <is>
          <t>Shift 1</t>
        </is>
      </c>
      <c r="G406" s="27" t="n"/>
    </row>
    <row r="407" hidden="1" s="169">
      <c r="A407" s="27" t="inlineStr">
        <is>
          <t>MK00118</t>
        </is>
      </c>
      <c r="B407" s="27" t="n">
        <v>528000244</v>
      </c>
      <c r="C407" s="27" t="inlineStr">
        <is>
          <t>Rodian Rifai</t>
        </is>
      </c>
      <c r="D407" s="171" t="n">
        <v>46153.41666666666</v>
      </c>
      <c r="E407" s="26" t="n">
        <v>0.2458680555555555</v>
      </c>
      <c r="F407" s="27" t="inlineStr">
        <is>
          <t>Shift 1</t>
        </is>
      </c>
      <c r="G407" s="27" t="inlineStr">
        <is>
          <t>2D</t>
        </is>
      </c>
    </row>
    <row r="408" hidden="1" s="169">
      <c r="A408" s="27" t="inlineStr">
        <is>
          <t>MK00202</t>
        </is>
      </c>
      <c r="B408" s="27" t="n">
        <v>528000241</v>
      </c>
      <c r="C408" s="27" t="inlineStr">
        <is>
          <t>Balia Nurafif Bilah</t>
        </is>
      </c>
      <c r="D408" s="171" t="n">
        <v>46153.41666666666</v>
      </c>
      <c r="E408" s="26" t="n">
        <v>0.2465509259259259</v>
      </c>
      <c r="F408" s="27" t="inlineStr">
        <is>
          <t>Shift 1</t>
        </is>
      </c>
      <c r="G408" s="27" t="n"/>
    </row>
    <row r="409" hidden="1" s="169">
      <c r="A409" s="27" t="inlineStr">
        <is>
          <t>MK00112</t>
        </is>
      </c>
      <c r="B409" s="27" t="n">
        <v>528000290</v>
      </c>
      <c r="C409" s="27" t="inlineStr">
        <is>
          <t>Eval Pranata</t>
        </is>
      </c>
      <c r="D409" s="171" t="n">
        <v>46153.41666666666</v>
      </c>
      <c r="E409" s="26" t="n">
        <v>0.2505324074074074</v>
      </c>
      <c r="F409" s="27" t="inlineStr">
        <is>
          <t>Shift 1</t>
        </is>
      </c>
      <c r="G409" s="27" t="n"/>
    </row>
    <row r="410" hidden="1" s="169">
      <c r="A410" s="27" t="inlineStr">
        <is>
          <t>MK00230</t>
        </is>
      </c>
      <c r="B410" s="27" t="n">
        <v>528000282</v>
      </c>
      <c r="C410" s="27" t="inlineStr">
        <is>
          <t>Defa Desfiana</t>
        </is>
      </c>
      <c r="D410" s="171" t="n">
        <v>46153.41666666666</v>
      </c>
      <c r="E410" s="26" t="n">
        <v>0.3163888888888889</v>
      </c>
      <c r="F410" s="27" t="inlineStr">
        <is>
          <t>Shift 1</t>
        </is>
      </c>
      <c r="G410" s="27" t="inlineStr">
        <is>
          <t>23c</t>
        </is>
      </c>
    </row>
    <row r="411" hidden="1" s="169">
      <c r="A411" s="27" t="inlineStr">
        <is>
          <t>MK00192</t>
        </is>
      </c>
      <c r="B411" s="27" t="n">
        <v>528000349</v>
      </c>
      <c r="C411" s="27" t="inlineStr">
        <is>
          <t>Anas Abdul Fatah</t>
        </is>
      </c>
      <c r="D411" s="171" t="n">
        <v>46153.41666666666</v>
      </c>
      <c r="E411" s="26" t="n">
        <v>0.3213310185185185</v>
      </c>
      <c r="F411" s="27" t="inlineStr">
        <is>
          <t>Shift 1</t>
        </is>
      </c>
      <c r="G411" s="27" t="n"/>
    </row>
    <row r="412" hidden="1" s="169">
      <c r="A412" s="27" t="inlineStr">
        <is>
          <t>MK00204</t>
        </is>
      </c>
      <c r="B412" s="27" t="n">
        <v>528000287</v>
      </c>
      <c r="C412" s="27" t="inlineStr">
        <is>
          <t>Muhamad Angga Ramdani</t>
        </is>
      </c>
      <c r="D412" s="171" t="n">
        <v>46153.41666666666</v>
      </c>
      <c r="E412" s="26" t="n">
        <v>0.3305208333333333</v>
      </c>
      <c r="F412" s="27" t="inlineStr">
        <is>
          <t>Shift 1</t>
        </is>
      </c>
      <c r="G412" s="27" t="n"/>
    </row>
    <row r="413" hidden="1" s="169">
      <c r="A413" s="27" t="inlineStr">
        <is>
          <t>MK00208</t>
        </is>
      </c>
      <c r="B413" s="27" t="n">
        <v>528000265</v>
      </c>
      <c r="C413" s="27" t="inlineStr">
        <is>
          <t>Muhammad Haerul Rozikin</t>
        </is>
      </c>
      <c r="D413" s="171" t="n">
        <v>46153.41666666666</v>
      </c>
      <c r="E413" s="26" t="n">
        <v>0.3306134259259259</v>
      </c>
      <c r="F413" s="27" t="inlineStr">
        <is>
          <t>Shift 1</t>
        </is>
      </c>
      <c r="G413" s="27" t="n"/>
    </row>
    <row r="414" hidden="1" s="169">
      <c r="A414" s="27" t="inlineStr">
        <is>
          <t>MK00109</t>
        </is>
      </c>
      <c r="B414" s="27" t="n">
        <v>528000351</v>
      </c>
      <c r="C414" s="27" t="inlineStr">
        <is>
          <t>Mulyana</t>
        </is>
      </c>
      <c r="D414" s="171" t="n">
        <v>46153.41666666666</v>
      </c>
      <c r="E414" s="26" t="n">
        <v>0.3392476851851852</v>
      </c>
      <c r="F414" s="27" t="inlineStr">
        <is>
          <t>Shift 1</t>
        </is>
      </c>
      <c r="G414" s="27" t="n"/>
    </row>
    <row r="415" hidden="1" s="169">
      <c r="A415" s="27" t="inlineStr">
        <is>
          <t>MK00205</t>
        </is>
      </c>
      <c r="B415" s="27" t="n">
        <v>528000348</v>
      </c>
      <c r="C415" s="27" t="inlineStr">
        <is>
          <t>Saepuloh Ardiansah</t>
        </is>
      </c>
      <c r="D415" s="171" t="n">
        <v>46153.41666666666</v>
      </c>
      <c r="E415" s="26" t="n">
        <v>0.3726041666666667</v>
      </c>
      <c r="F415" s="27" t="inlineStr">
        <is>
          <t>Shift 1</t>
        </is>
      </c>
      <c r="G415" s="27" t="n"/>
    </row>
    <row r="416" hidden="1" s="169">
      <c r="A416" s="27" t="inlineStr">
        <is>
          <t>MK00211</t>
        </is>
      </c>
      <c r="B416" s="27" t="n">
        <v>528000203</v>
      </c>
      <c r="C416" s="27" t="inlineStr">
        <is>
          <t>Yudha Ramdhan Putra</t>
        </is>
      </c>
      <c r="D416" s="171" t="n">
        <v>46153.41666666666</v>
      </c>
      <c r="E416" s="26" t="n">
        <v>0.3741550925925926</v>
      </c>
      <c r="F416" s="27" t="inlineStr">
        <is>
          <t>Shift 1</t>
        </is>
      </c>
      <c r="G416" s="27" t="n"/>
    </row>
    <row r="417" hidden="1" s="169">
      <c r="A417" s="27" t="inlineStr">
        <is>
          <t>MK00228</t>
        </is>
      </c>
      <c r="B417" s="27" t="n">
        <v>628000061</v>
      </c>
      <c r="C417" s="27" t="inlineStr">
        <is>
          <t>Nayla Fadillah Exwantoro</t>
        </is>
      </c>
      <c r="D417" s="171" t="n">
        <v>46153.41666666666</v>
      </c>
      <c r="E417" s="26" t="n">
        <v>0.5447106481481482</v>
      </c>
      <c r="F417" s="27" t="inlineStr">
        <is>
          <t>Shift 2</t>
        </is>
      </c>
      <c r="G417" s="27" t="n"/>
    </row>
    <row r="418" hidden="1" s="169">
      <c r="A418" s="27" t="inlineStr">
        <is>
          <t>MK00200</t>
        </is>
      </c>
      <c r="B418" s="27" t="n">
        <v>528000098</v>
      </c>
      <c r="C418" s="27" t="inlineStr">
        <is>
          <t>Edi Junaedi</t>
        </is>
      </c>
      <c r="D418" s="171" t="n">
        <v>46153.41666666666</v>
      </c>
      <c r="E418" s="26" t="n">
        <v>0.5587037037037037</v>
      </c>
      <c r="F418" s="27" t="inlineStr">
        <is>
          <t>Shift 2</t>
        </is>
      </c>
      <c r="G418" s="27" t="n"/>
    </row>
    <row r="419" hidden="1" s="169">
      <c r="A419" s="27" t="inlineStr">
        <is>
          <t>MK00093</t>
        </is>
      </c>
      <c r="B419" s="27" t="n">
        <v>528000238</v>
      </c>
      <c r="C419" s="27" t="inlineStr">
        <is>
          <t>Indah Lusiana</t>
        </is>
      </c>
      <c r="D419" s="171" t="n">
        <v>46153.41666666666</v>
      </c>
      <c r="E419" s="26" t="n">
        <v>0.5641898148148148</v>
      </c>
      <c r="F419" s="27" t="inlineStr">
        <is>
          <t>Shift 2</t>
        </is>
      </c>
      <c r="G419" s="27" t="n"/>
    </row>
    <row r="420" hidden="1" s="169">
      <c r="A420" s="27" t="inlineStr">
        <is>
          <t>MK00158</t>
        </is>
      </c>
      <c r="B420" s="27" t="n">
        <v>528000302</v>
      </c>
      <c r="C420" s="27" t="inlineStr">
        <is>
          <t>Henkey gumilar</t>
        </is>
      </c>
      <c r="D420" s="171" t="n">
        <v>46153.41666666666</v>
      </c>
      <c r="E420" s="26" t="n">
        <v>0.5658796296296297</v>
      </c>
      <c r="F420" s="27" t="inlineStr">
        <is>
          <t>Shift 2</t>
        </is>
      </c>
      <c r="G420" s="27" t="n"/>
    </row>
    <row r="421" hidden="1" s="169">
      <c r="A421" s="27" t="inlineStr">
        <is>
          <t>MK00141</t>
        </is>
      </c>
      <c r="B421" s="27" t="n">
        <v>528000299</v>
      </c>
      <c r="C421" s="27" t="inlineStr">
        <is>
          <t>Siti Nurjanah</t>
        </is>
      </c>
      <c r="D421" s="171" t="n">
        <v>46153.41666666666</v>
      </c>
      <c r="E421" s="26" t="n">
        <v>0.5685416666666666</v>
      </c>
      <c r="F421" s="27" t="inlineStr">
        <is>
          <t>Shift 2</t>
        </is>
      </c>
      <c r="G421" s="27" t="n"/>
    </row>
    <row r="422" hidden="1" s="169">
      <c r="A422" s="27" t="inlineStr">
        <is>
          <t>MK00250</t>
        </is>
      </c>
      <c r="B422" s="27" t="n">
        <v>528000270</v>
      </c>
      <c r="C422" s="27" t="inlineStr">
        <is>
          <t>Febri Najmudin</t>
        </is>
      </c>
      <c r="D422" s="171" t="n">
        <v>46153.41666666666</v>
      </c>
      <c r="E422" s="26" t="n">
        <v>0.5756134259259259</v>
      </c>
      <c r="F422" s="27" t="inlineStr">
        <is>
          <t>Shift 2</t>
        </is>
      </c>
      <c r="G422" s="27" t="n"/>
    </row>
    <row r="423" hidden="1" s="169">
      <c r="A423" s="27" t="inlineStr">
        <is>
          <t>MK00207</t>
        </is>
      </c>
      <c r="B423" s="27" t="n">
        <v>628000091</v>
      </c>
      <c r="C423" s="27" t="inlineStr">
        <is>
          <t>Devita Handayani</t>
        </is>
      </c>
      <c r="D423" s="171" t="n">
        <v>46153.41666666666</v>
      </c>
      <c r="E423" s="26" t="n">
        <v>0.5889930555555556</v>
      </c>
      <c r="F423" s="27" t="inlineStr">
        <is>
          <t>Shift 2</t>
        </is>
      </c>
      <c r="G423" s="27" t="n"/>
    </row>
    <row r="424" hidden="1" s="169">
      <c r="A424" s="27" t="inlineStr">
        <is>
          <t>MK00212</t>
        </is>
      </c>
      <c r="B424" s="27" t="n">
        <v>528000149</v>
      </c>
      <c r="C424" s="27" t="inlineStr">
        <is>
          <t>Tio Fernanda</t>
        </is>
      </c>
      <c r="D424" s="171" t="n">
        <v>46153.41666666666</v>
      </c>
      <c r="E424" s="26" t="n">
        <v>0.6605671296296296</v>
      </c>
      <c r="F424" s="27" t="inlineStr">
        <is>
          <t>Shift 2</t>
        </is>
      </c>
      <c r="G424" s="27" t="n"/>
    </row>
    <row r="425">
      <c r="A425" s="27" t="inlineStr">
        <is>
          <t>MK00203</t>
        </is>
      </c>
      <c r="B425" s="27" t="n">
        <v>528000015</v>
      </c>
      <c r="C425" s="27" t="inlineStr">
        <is>
          <t>Erwin</t>
        </is>
      </c>
      <c r="D425" s="171" t="n">
        <v>46153.41666666666</v>
      </c>
      <c r="E425" s="26" t="n">
        <v>0.6609606481481481</v>
      </c>
      <c r="F425" s="27" t="inlineStr">
        <is>
          <t>Shift 2</t>
        </is>
      </c>
      <c r="G425" s="27" t="n"/>
    </row>
    <row r="426" hidden="1" s="169">
      <c r="A426" s="27" t="inlineStr">
        <is>
          <t>MK00213</t>
        </is>
      </c>
      <c r="B426" s="27" t="n">
        <v>528000144</v>
      </c>
      <c r="C426" s="27" t="inlineStr">
        <is>
          <t>Jodi Hanafi</t>
        </is>
      </c>
      <c r="D426" s="171" t="n">
        <v>46153.41666666666</v>
      </c>
      <c r="E426" s="26" t="n">
        <v>0.6654745370370371</v>
      </c>
      <c r="F426" s="27" t="inlineStr">
        <is>
          <t>Shift 2</t>
        </is>
      </c>
      <c r="G426" s="27" t="n"/>
    </row>
    <row r="427" hidden="1" s="169">
      <c r="A427" s="27" t="inlineStr">
        <is>
          <t>MK00150</t>
        </is>
      </c>
      <c r="B427" s="27" t="n">
        <v>528000306</v>
      </c>
      <c r="C427" s="27" t="inlineStr">
        <is>
          <t>Windy Olivia</t>
        </is>
      </c>
      <c r="D427" s="171" t="n">
        <v>46153.41666666666</v>
      </c>
      <c r="E427" s="26" t="n">
        <v>0.9049189814814815</v>
      </c>
      <c r="F427" s="27" t="inlineStr">
        <is>
          <t>Shift 3</t>
        </is>
      </c>
      <c r="G427" s="27" t="n"/>
    </row>
    <row r="428" hidden="1" s="169">
      <c r="A428" s="27" t="inlineStr">
        <is>
          <t>MK00204</t>
        </is>
      </c>
      <c r="B428" s="27" t="n">
        <v>528000279</v>
      </c>
      <c r="C428" s="27" t="inlineStr">
        <is>
          <t>Mahdalena Dalfa Riani</t>
        </is>
      </c>
      <c r="D428" s="171" t="n">
        <v>46153.41666666666</v>
      </c>
      <c r="E428" s="26" t="n">
        <v>0.9058101851851852</v>
      </c>
      <c r="F428" s="27" t="inlineStr">
        <is>
          <t>Shift 3</t>
        </is>
      </c>
      <c r="G428" s="27" t="n"/>
    </row>
    <row r="429" hidden="1" s="169">
      <c r="A429" s="27" t="inlineStr">
        <is>
          <t>MK00192</t>
        </is>
      </c>
      <c r="B429" s="27" t="n">
        <v>628000064</v>
      </c>
      <c r="C429" s="27" t="inlineStr">
        <is>
          <t>Silva Alypia</t>
        </is>
      </c>
      <c r="D429" s="171" t="n">
        <v>46153.41666666666</v>
      </c>
      <c r="E429" s="26" t="n">
        <v>0.9087268518518519</v>
      </c>
      <c r="F429" s="27" t="inlineStr">
        <is>
          <t>Shift 3</t>
        </is>
      </c>
      <c r="G429" s="27" t="n"/>
    </row>
    <row r="430" hidden="1" s="169">
      <c r="A430" s="27" t="inlineStr">
        <is>
          <t>MK00109</t>
        </is>
      </c>
      <c r="B430" s="27" t="n">
        <v>528000297</v>
      </c>
      <c r="C430" s="27" t="inlineStr">
        <is>
          <t>Muhamad Budiana</t>
        </is>
      </c>
      <c r="D430" s="171" t="n">
        <v>46153.41666666666</v>
      </c>
      <c r="E430" s="26" t="n">
        <v>0.9133333333333333</v>
      </c>
      <c r="F430" s="27" t="inlineStr">
        <is>
          <t>Shift 3</t>
        </is>
      </c>
      <c r="G430" s="27" t="n"/>
    </row>
    <row r="431" hidden="1" s="169">
      <c r="A431" s="27" t="inlineStr">
        <is>
          <t>MK00141</t>
        </is>
      </c>
      <c r="B431" s="27" t="n">
        <v>528000358</v>
      </c>
      <c r="C431" s="27" t="inlineStr">
        <is>
          <t>Lulu Agustin</t>
        </is>
      </c>
      <c r="D431" s="171" t="n">
        <v>46185.41666666666</v>
      </c>
      <c r="E431" s="26" t="n">
        <v>0.2361226851851852</v>
      </c>
      <c r="F431" s="27" t="inlineStr">
        <is>
          <t>Shift 1</t>
        </is>
      </c>
      <c r="G431" s="27" t="n"/>
    </row>
    <row r="432" hidden="1" s="169">
      <c r="A432" s="27" t="inlineStr">
        <is>
          <t>MK00228</t>
        </is>
      </c>
      <c r="B432" s="27" t="n">
        <v>528000262</v>
      </c>
      <c r="C432" s="27" t="inlineStr">
        <is>
          <t>Ndari Dwiwanti</t>
        </is>
      </c>
      <c r="D432" s="171" t="n">
        <v>46185.41666666666</v>
      </c>
      <c r="E432" s="26" t="n">
        <v>0.2390162037037037</v>
      </c>
      <c r="F432" s="27" t="inlineStr">
        <is>
          <t>Shift 1</t>
        </is>
      </c>
      <c r="G432" s="27" t="n"/>
    </row>
    <row r="433" hidden="1" s="169">
      <c r="A433" s="27" t="inlineStr">
        <is>
          <t>MK00210</t>
        </is>
      </c>
      <c r="B433" s="27" t="n">
        <v>528000195</v>
      </c>
      <c r="C433" s="27" t="inlineStr">
        <is>
          <t>Rahma Sariwati</t>
        </is>
      </c>
      <c r="D433" s="171" t="n">
        <v>46185.41666666666</v>
      </c>
      <c r="E433" s="26" t="n">
        <v>0.2419791666666667</v>
      </c>
      <c r="F433" s="27" t="inlineStr">
        <is>
          <t>Shift 1</t>
        </is>
      </c>
      <c r="G433" s="27" t="n"/>
    </row>
    <row r="434" hidden="1" s="169">
      <c r="A434" s="27" t="inlineStr">
        <is>
          <t>MK00230</t>
        </is>
      </c>
      <c r="B434" s="27" t="n">
        <v>528000282</v>
      </c>
      <c r="C434" s="27" t="inlineStr">
        <is>
          <t>Defa Desfiana</t>
        </is>
      </c>
      <c r="D434" s="171" t="n">
        <v>46185.41666666666</v>
      </c>
      <c r="E434" s="26" t="n">
        <v>0.3159953703703703</v>
      </c>
      <c r="F434" s="27" t="inlineStr">
        <is>
          <t>Shift 1</t>
        </is>
      </c>
      <c r="G434" s="27" t="inlineStr">
        <is>
          <t>23c</t>
        </is>
      </c>
    </row>
    <row r="435" hidden="1" s="169">
      <c r="A435" s="27" t="inlineStr">
        <is>
          <t>MK00204</t>
        </is>
      </c>
      <c r="B435" s="27" t="n">
        <v>528000287</v>
      </c>
      <c r="C435" s="27" t="inlineStr">
        <is>
          <t>Muhamad Angga Ramdani</t>
        </is>
      </c>
      <c r="D435" s="171" t="n">
        <v>46185.41666666666</v>
      </c>
      <c r="E435" s="26" t="n">
        <v>0.3263657407407408</v>
      </c>
      <c r="F435" s="27" t="inlineStr">
        <is>
          <t>Shift 1</t>
        </is>
      </c>
      <c r="G435" s="27" t="n"/>
    </row>
    <row r="436" hidden="1" s="169">
      <c r="A436" s="27" t="inlineStr">
        <is>
          <t>MK00181</t>
        </is>
      </c>
      <c r="B436" s="27" t="n">
        <v>528000265</v>
      </c>
      <c r="C436" s="27" t="inlineStr">
        <is>
          <t>Muhammad Haerul Rozikin</t>
        </is>
      </c>
      <c r="D436" s="171" t="n">
        <v>46185.41666666666</v>
      </c>
      <c r="E436" s="26" t="n">
        <v>0.3286111111111111</v>
      </c>
      <c r="F436" s="27" t="inlineStr">
        <is>
          <t>Shift 1</t>
        </is>
      </c>
      <c r="G436" s="27" t="n"/>
    </row>
    <row r="437" hidden="1" s="169">
      <c r="A437" s="27" t="inlineStr">
        <is>
          <t>MK00113</t>
        </is>
      </c>
      <c r="B437" s="27" t="n">
        <v>528000351</v>
      </c>
      <c r="C437" s="27" t="inlineStr">
        <is>
          <t>Mulyana</t>
        </is>
      </c>
      <c r="D437" s="171" t="n">
        <v>46185.41666666666</v>
      </c>
      <c r="E437" s="26" t="n">
        <v>0.3415740740740741</v>
      </c>
      <c r="F437" s="27" t="inlineStr">
        <is>
          <t>Shift 1</t>
        </is>
      </c>
      <c r="G437" s="27" t="n"/>
    </row>
    <row r="438" hidden="1" s="169">
      <c r="A438" s="27" t="inlineStr">
        <is>
          <t>MK00205</t>
        </is>
      </c>
      <c r="B438" s="27" t="n">
        <v>528000348</v>
      </c>
      <c r="C438" s="27" t="inlineStr">
        <is>
          <t>Saepuloh Ardiansah</t>
        </is>
      </c>
      <c r="D438" s="171" t="n">
        <v>46185.41666666666</v>
      </c>
      <c r="E438" s="26" t="n">
        <v>0.3712847222222222</v>
      </c>
      <c r="F438" s="27" t="inlineStr">
        <is>
          <t>Shift 1</t>
        </is>
      </c>
      <c r="G438" s="27" t="n"/>
    </row>
    <row r="439">
      <c r="A439" s="27" t="inlineStr">
        <is>
          <t>MK00138</t>
        </is>
      </c>
      <c r="B439" s="27" t="n">
        <v>528000015</v>
      </c>
      <c r="C439" s="27" t="inlineStr">
        <is>
          <t>Erwin</t>
        </is>
      </c>
      <c r="D439" s="171" t="n">
        <v>46185.41666666666</v>
      </c>
      <c r="E439" s="26" t="n">
        <v>0.5313194444444445</v>
      </c>
      <c r="F439" s="27" t="inlineStr">
        <is>
          <t>Shift 1</t>
        </is>
      </c>
      <c r="G439" s="27" t="n"/>
    </row>
    <row r="440" hidden="1" s="169">
      <c r="A440" s="27" t="inlineStr">
        <is>
          <t>MK00212</t>
        </is>
      </c>
      <c r="B440" s="27" t="n">
        <v>528000149</v>
      </c>
      <c r="C440" s="27" t="inlineStr">
        <is>
          <t>Tio Fernanda</t>
        </is>
      </c>
      <c r="D440" s="171" t="n">
        <v>46185.41666666666</v>
      </c>
      <c r="E440" s="26" t="n">
        <v>0.5316435185185185</v>
      </c>
      <c r="F440" s="27" t="inlineStr">
        <is>
          <t>Shift 1</t>
        </is>
      </c>
      <c r="G440" s="27" t="n"/>
    </row>
    <row r="441" hidden="1" s="169">
      <c r="A441" s="27" t="inlineStr">
        <is>
          <t>MK00192</t>
        </is>
      </c>
      <c r="B441" s="27" t="n">
        <v>628000061</v>
      </c>
      <c r="C441" s="27" t="inlineStr">
        <is>
          <t>Nayla Fadillah Exwantoro</t>
        </is>
      </c>
      <c r="D441" s="171" t="n">
        <v>46185.41666666666</v>
      </c>
      <c r="E441" s="26" t="n">
        <v>0.5356944444444445</v>
      </c>
      <c r="F441" s="27" t="inlineStr">
        <is>
          <t>Shift 1</t>
        </is>
      </c>
      <c r="G441" s="27" t="inlineStr">
        <is>
          <t>E-12</t>
        </is>
      </c>
    </row>
    <row r="442" hidden="1" s="169">
      <c r="A442" s="27" t="inlineStr">
        <is>
          <t>MK00213</t>
        </is>
      </c>
      <c r="B442" s="27" t="n">
        <v>528000144</v>
      </c>
      <c r="C442" s="27" t="inlineStr">
        <is>
          <t>Jodi Hanafi</t>
        </is>
      </c>
      <c r="D442" s="171" t="n">
        <v>46185.41666666666</v>
      </c>
      <c r="E442" s="26" t="n">
        <v>0.5387268518518519</v>
      </c>
      <c r="F442" s="27" t="inlineStr">
        <is>
          <t>Shift 1</t>
        </is>
      </c>
      <c r="G442" s="27" t="n"/>
    </row>
    <row r="443" hidden="1" s="169">
      <c r="A443" s="27" t="inlineStr">
        <is>
          <t>MK00204</t>
        </is>
      </c>
      <c r="B443" s="27" t="n">
        <v>528000298</v>
      </c>
      <c r="C443" s="27" t="inlineStr">
        <is>
          <t>Desta Cahaya Pratama</t>
        </is>
      </c>
      <c r="D443" s="171" t="n">
        <v>46185.41666666666</v>
      </c>
      <c r="E443" s="26" t="n">
        <v>0.5655787037037037</v>
      </c>
      <c r="F443" s="27" t="inlineStr">
        <is>
          <t>Shift 2</t>
        </is>
      </c>
      <c r="G443" s="27" t="n"/>
    </row>
    <row r="444" hidden="1" s="169">
      <c r="A444" s="27" t="inlineStr">
        <is>
          <t>MK00221</t>
        </is>
      </c>
      <c r="B444" s="27" t="n">
        <v>528000299</v>
      </c>
      <c r="C444" s="27" t="inlineStr">
        <is>
          <t>Siti Nurjanah</t>
        </is>
      </c>
      <c r="D444" s="171" t="n">
        <v>46185.41666666666</v>
      </c>
      <c r="E444" s="26" t="n">
        <v>0.571400462962963</v>
      </c>
      <c r="F444" s="27" t="inlineStr">
        <is>
          <t>Shift 2</t>
        </is>
      </c>
      <c r="G444" s="27" t="n"/>
    </row>
    <row r="445" hidden="1" s="169">
      <c r="A445" s="27" t="inlineStr">
        <is>
          <t>MK00151</t>
        </is>
      </c>
      <c r="B445" s="27" t="n">
        <v>528000270</v>
      </c>
      <c r="C445" s="27" t="inlineStr">
        <is>
          <t>Febri Najmudin</t>
        </is>
      </c>
      <c r="D445" s="171" t="n">
        <v>46185.41666666666</v>
      </c>
      <c r="E445" s="26" t="n">
        <v>0.5739004629629629</v>
      </c>
      <c r="F445" s="27" t="inlineStr">
        <is>
          <t>Shift 2</t>
        </is>
      </c>
      <c r="G445" s="27" t="n"/>
    </row>
    <row r="446" hidden="1" s="169">
      <c r="A446" s="27" t="inlineStr">
        <is>
          <t>MK00109</t>
        </is>
      </c>
      <c r="B446" s="27" t="n">
        <v>528000302</v>
      </c>
      <c r="C446" s="27" t="inlineStr">
        <is>
          <t>Henkey gumilar</t>
        </is>
      </c>
      <c r="D446" s="171" t="n">
        <v>46185.41666666666</v>
      </c>
      <c r="E446" s="26" t="n">
        <v>0.5755902777777778</v>
      </c>
      <c r="F446" s="27" t="inlineStr">
        <is>
          <t>Shift 2</t>
        </is>
      </c>
      <c r="G446" s="27" t="n"/>
    </row>
    <row r="447" hidden="1" s="169">
      <c r="A447" s="27" t="inlineStr">
        <is>
          <t>MK00113</t>
        </is>
      </c>
      <c r="B447" s="27" t="n">
        <v>628000091</v>
      </c>
      <c r="C447" s="27" t="inlineStr">
        <is>
          <t>Devita Handayani</t>
        </is>
      </c>
      <c r="D447" s="171" t="n">
        <v>46185.41666666666</v>
      </c>
      <c r="E447" s="26" t="n">
        <v>0.7046990740740741</v>
      </c>
      <c r="F447" s="27" t="inlineStr">
        <is>
          <t>Shift 2</t>
        </is>
      </c>
      <c r="G447" s="27" t="n"/>
    </row>
    <row r="448" hidden="1" s="169">
      <c r="A448" s="27" t="inlineStr">
        <is>
          <t>MK00085</t>
        </is>
      </c>
      <c r="B448" s="27" t="n">
        <v>528000238</v>
      </c>
      <c r="C448" s="27" t="inlineStr">
        <is>
          <t>Indah Lusiana</t>
        </is>
      </c>
      <c r="D448" s="171" t="n">
        <v>46185.41666666666</v>
      </c>
      <c r="E448" s="26" t="n">
        <v>0.895613425925926</v>
      </c>
      <c r="F448" s="27" t="inlineStr">
        <is>
          <t>Shift 3</t>
        </is>
      </c>
      <c r="G448" s="27" t="n"/>
    </row>
    <row r="449" hidden="1" s="169">
      <c r="A449" s="27" t="inlineStr">
        <is>
          <t>MK00082</t>
        </is>
      </c>
      <c r="B449" s="27" t="n">
        <v>528000306</v>
      </c>
      <c r="C449" s="27" t="inlineStr">
        <is>
          <t>Windy Olivia</t>
        </is>
      </c>
      <c r="D449" s="171" t="n">
        <v>46185.41666666666</v>
      </c>
      <c r="E449" s="26" t="n">
        <v>0.9006828703703704</v>
      </c>
      <c r="F449" s="27" t="inlineStr">
        <is>
          <t>Shift 3</t>
        </is>
      </c>
      <c r="G449" s="27" t="n"/>
    </row>
    <row r="450" hidden="1" s="169">
      <c r="A450" s="27" t="inlineStr">
        <is>
          <t>MK00207</t>
        </is>
      </c>
      <c r="B450" s="27" t="n">
        <v>528000279</v>
      </c>
      <c r="C450" s="27" t="inlineStr">
        <is>
          <t>Mahdalena Dalfa Riani</t>
        </is>
      </c>
      <c r="D450" s="171" t="n">
        <v>46185.41666666666</v>
      </c>
      <c r="E450" s="26" t="n">
        <v>0.9057986111111112</v>
      </c>
      <c r="F450" s="27" t="inlineStr">
        <is>
          <t>Shift 3</t>
        </is>
      </c>
      <c r="G450" s="27" t="n"/>
    </row>
    <row r="451" hidden="1" s="169">
      <c r="A451" s="27" t="inlineStr">
        <is>
          <t>MK00208</t>
        </is>
      </c>
      <c r="B451" s="27" t="n">
        <v>528000297</v>
      </c>
      <c r="C451" s="27" t="inlineStr">
        <is>
          <t>Muhamad Budiana</t>
        </is>
      </c>
      <c r="D451" s="171" t="n">
        <v>46185.41666666666</v>
      </c>
      <c r="E451" s="26" t="n">
        <v>0.9090972222222222</v>
      </c>
      <c r="F451" s="27" t="inlineStr">
        <is>
          <t>Shift 3</t>
        </is>
      </c>
      <c r="G451" s="27" t="n"/>
    </row>
    <row r="452" hidden="1" s="169">
      <c r="A452" s="27" t="inlineStr">
        <is>
          <t>MK00228</t>
        </is>
      </c>
      <c r="B452" s="27" t="n">
        <v>628000064</v>
      </c>
      <c r="C452" s="27" t="inlineStr">
        <is>
          <t>Silva Alypia</t>
        </is>
      </c>
      <c r="D452" s="171" t="n">
        <v>46185.41666666666</v>
      </c>
      <c r="E452" s="26" t="n">
        <v>0.9097222222222222</v>
      </c>
      <c r="F452" s="27" t="inlineStr">
        <is>
          <t>Shift 3</t>
        </is>
      </c>
      <c r="G452" s="27" t="n"/>
    </row>
    <row r="453" hidden="1" s="169">
      <c r="A453" s="27" t="inlineStr">
        <is>
          <t>MK00151</t>
        </is>
      </c>
      <c r="B453" s="27" t="n">
        <v>528000262</v>
      </c>
      <c r="C453" s="27" t="inlineStr">
        <is>
          <t>Ndari Dwiwanti</t>
        </is>
      </c>
      <c r="D453" s="171" t="n">
        <v>46186.41666666666</v>
      </c>
      <c r="E453" s="26" t="n">
        <v>0.2318287037037037</v>
      </c>
      <c r="F453" s="27" t="inlineStr">
        <is>
          <t>Shift 1</t>
        </is>
      </c>
      <c r="G453" s="27" t="n"/>
    </row>
    <row r="454" hidden="1" s="169">
      <c r="A454" s="27" t="inlineStr">
        <is>
          <t>MK00141</t>
        </is>
      </c>
      <c r="B454" s="27" t="n">
        <v>528000358</v>
      </c>
      <c r="C454" s="27" t="inlineStr">
        <is>
          <t>Lulu Agustin</t>
        </is>
      </c>
      <c r="D454" s="171" t="n">
        <v>46186.41666666666</v>
      </c>
      <c r="E454" s="26" t="n">
        <v>0.2319675925925926</v>
      </c>
      <c r="F454" s="27" t="inlineStr">
        <is>
          <t>Shift 1</t>
        </is>
      </c>
      <c r="G454" s="27" t="n"/>
    </row>
    <row r="455" hidden="1" s="169">
      <c r="A455" s="27" t="inlineStr">
        <is>
          <t>MK00210</t>
        </is>
      </c>
      <c r="B455" s="27" t="n">
        <v>528000266</v>
      </c>
      <c r="C455" s="27" t="inlineStr">
        <is>
          <t>M. Syirajatieq</t>
        </is>
      </c>
      <c r="D455" s="171" t="n">
        <v>46186.41666666666</v>
      </c>
      <c r="E455" s="26" t="n">
        <v>0.2379513888888889</v>
      </c>
      <c r="F455" s="27" t="inlineStr">
        <is>
          <t>Shift 1</t>
        </is>
      </c>
      <c r="G455" s="27" t="n"/>
    </row>
    <row r="456" hidden="1" s="169">
      <c r="A456" s="27" t="inlineStr">
        <is>
          <t>MK00150</t>
        </is>
      </c>
      <c r="B456" s="27" t="n">
        <v>528000283</v>
      </c>
      <c r="C456" s="27" t="inlineStr">
        <is>
          <t>Purwanda Sugiri</t>
        </is>
      </c>
      <c r="D456" s="171" t="n">
        <v>46186.41666666666</v>
      </c>
      <c r="E456" s="26" t="n">
        <v>0.2410416666666667</v>
      </c>
      <c r="F456" s="27" t="inlineStr">
        <is>
          <t>Shift 1</t>
        </is>
      </c>
      <c r="G456" s="27" t="n"/>
    </row>
    <row r="457" hidden="1" s="169">
      <c r="A457" s="27" t="inlineStr">
        <is>
          <t>MK00088</t>
        </is>
      </c>
      <c r="B457" s="27" t="n">
        <v>528000291</v>
      </c>
      <c r="C457" s="27" t="inlineStr">
        <is>
          <t>Andrian</t>
        </is>
      </c>
      <c r="D457" s="171" t="n">
        <v>46186.41666666666</v>
      </c>
      <c r="E457" s="26" t="n">
        <v>0.2428587962962963</v>
      </c>
      <c r="F457" s="27" t="inlineStr">
        <is>
          <t>Shift 1</t>
        </is>
      </c>
      <c r="G457" s="27" t="n"/>
    </row>
    <row r="458">
      <c r="A458" s="27" t="inlineStr">
        <is>
          <t>MK00228</t>
        </is>
      </c>
      <c r="B458" s="27" t="n">
        <v>528000015</v>
      </c>
      <c r="C458" s="27" t="inlineStr">
        <is>
          <t>Erwin</t>
        </is>
      </c>
      <c r="D458" s="171" t="n">
        <v>46186.41666666666</v>
      </c>
      <c r="E458" s="26" t="n">
        <v>0.3266666666666667</v>
      </c>
      <c r="F458" s="27" t="inlineStr">
        <is>
          <t>Shift 1</t>
        </is>
      </c>
      <c r="G458" s="27" t="n"/>
    </row>
    <row r="459" hidden="1" s="169">
      <c r="A459" s="27" t="inlineStr">
        <is>
          <t>MK00138</t>
        </is>
      </c>
      <c r="B459" s="27" t="n">
        <v>528000265</v>
      </c>
      <c r="C459" s="27" t="inlineStr">
        <is>
          <t>Muhammad Haerul Rozikin</t>
        </is>
      </c>
      <c r="D459" s="171" t="n">
        <v>46186.41666666666</v>
      </c>
      <c r="E459" s="26" t="n">
        <v>0.3297685185185185</v>
      </c>
      <c r="F459" s="27" t="inlineStr">
        <is>
          <t>Shift 1</t>
        </is>
      </c>
      <c r="G459" s="27" t="n"/>
    </row>
    <row r="460" hidden="1" s="169">
      <c r="A460" s="27" t="inlineStr">
        <is>
          <t>MK00202</t>
        </is>
      </c>
      <c r="B460" s="27" t="n">
        <v>528000287</v>
      </c>
      <c r="C460" s="27" t="inlineStr">
        <is>
          <t>Muhamad Angga Ramdani</t>
        </is>
      </c>
      <c r="D460" s="171" t="n">
        <v>46186.41666666666</v>
      </c>
      <c r="E460" s="26" t="n">
        <v>0.339375</v>
      </c>
      <c r="F460" s="27" t="inlineStr">
        <is>
          <t>Shift 1</t>
        </is>
      </c>
      <c r="G460" s="27" t="n"/>
    </row>
    <row r="461" hidden="1" s="169">
      <c r="A461" s="27" t="inlineStr">
        <is>
          <t>MK00160</t>
        </is>
      </c>
      <c r="B461" s="27" t="n">
        <v>628000061</v>
      </c>
      <c r="C461" s="27" t="inlineStr">
        <is>
          <t>Nayla Fadillah Exwantoro</t>
        </is>
      </c>
      <c r="D461" s="171" t="n">
        <v>46186.41666666666</v>
      </c>
      <c r="E461" s="26" t="n">
        <v>0.5432407407407407</v>
      </c>
      <c r="F461" s="27" t="inlineStr">
        <is>
          <t>Shift 2</t>
        </is>
      </c>
      <c r="G461" s="27" t="inlineStr">
        <is>
          <t>C-12</t>
        </is>
      </c>
    </row>
    <row r="462" hidden="1" s="169">
      <c r="A462" s="27" t="inlineStr">
        <is>
          <t>MK00156</t>
        </is>
      </c>
      <c r="B462" s="27" t="n">
        <v>528000282</v>
      </c>
      <c r="C462" s="27" t="inlineStr">
        <is>
          <t>Defa Desfiana</t>
        </is>
      </c>
      <c r="D462" s="171" t="n">
        <v>46186.41666666666</v>
      </c>
      <c r="E462" s="26" t="n">
        <v>0.5658217592592593</v>
      </c>
      <c r="F462" s="27" t="inlineStr">
        <is>
          <t>Shift 2</t>
        </is>
      </c>
      <c r="G462" s="27" t="n"/>
    </row>
    <row r="463" hidden="1" s="169">
      <c r="A463" s="27" t="inlineStr">
        <is>
          <t>MK00181</t>
        </is>
      </c>
      <c r="B463" s="27" t="n">
        <v>528000302</v>
      </c>
      <c r="C463" s="27" t="inlineStr">
        <is>
          <t>Henkey gumilar</t>
        </is>
      </c>
      <c r="D463" s="171" t="n">
        <v>46186.41666666666</v>
      </c>
      <c r="E463" s="26" t="n">
        <v>0.5680324074074075</v>
      </c>
      <c r="F463" s="27" t="inlineStr">
        <is>
          <t>Shift 2</t>
        </is>
      </c>
      <c r="G463" s="27" t="n"/>
    </row>
    <row r="464" hidden="1" s="169">
      <c r="A464" s="27" t="inlineStr">
        <is>
          <t>MK00221</t>
        </is>
      </c>
      <c r="B464" s="27" t="n">
        <v>528000299</v>
      </c>
      <c r="C464" s="27" t="inlineStr">
        <is>
          <t>Siti Nurjanah</t>
        </is>
      </c>
      <c r="D464" s="171" t="n">
        <v>46186.41666666666</v>
      </c>
      <c r="E464" s="26" t="n">
        <v>0.5724305555555556</v>
      </c>
      <c r="F464" s="27" t="inlineStr">
        <is>
          <t>Shift 2</t>
        </is>
      </c>
      <c r="G464" s="27" t="n"/>
    </row>
    <row r="465" hidden="1" s="169">
      <c r="A465" s="27" t="inlineStr">
        <is>
          <t>MK00158</t>
        </is>
      </c>
      <c r="B465" s="27" t="n">
        <v>528000270</v>
      </c>
      <c r="C465" s="27" t="inlineStr">
        <is>
          <t>Febri Najmudin</t>
        </is>
      </c>
      <c r="D465" s="171" t="n">
        <v>46186.41666666666</v>
      </c>
      <c r="E465" s="26" t="n">
        <v>0.5737847222222222</v>
      </c>
      <c r="F465" s="27" t="inlineStr">
        <is>
          <t>Shift 2</t>
        </is>
      </c>
      <c r="G465" s="27" t="n"/>
    </row>
    <row r="466" hidden="1" s="169">
      <c r="A466" s="27" t="inlineStr">
        <is>
          <t>MK00250</t>
        </is>
      </c>
      <c r="B466" s="27" t="n">
        <v>628000091</v>
      </c>
      <c r="C466" s="27" t="inlineStr">
        <is>
          <t>Devita Handayani</t>
        </is>
      </c>
      <c r="D466" s="171" t="n">
        <v>46186.41666666666</v>
      </c>
      <c r="E466" s="26" t="n">
        <v>0.8055902777777778</v>
      </c>
      <c r="F466" s="27" t="inlineStr">
        <is>
          <t>Shift 2</t>
        </is>
      </c>
      <c r="G466" s="27" t="n"/>
    </row>
    <row r="467" hidden="1" s="169">
      <c r="A467" s="27" t="inlineStr">
        <is>
          <t>MK00150</t>
        </is>
      </c>
      <c r="B467" s="27" t="n">
        <v>628000064</v>
      </c>
      <c r="C467" s="27" t="inlineStr">
        <is>
          <t>Silva Alypia</t>
        </is>
      </c>
      <c r="D467" s="171" t="n">
        <v>46186.41666666666</v>
      </c>
      <c r="E467" s="26" t="n">
        <v>0.9091782407407407</v>
      </c>
      <c r="F467" s="27" t="inlineStr">
        <is>
          <t>Shift 3</t>
        </is>
      </c>
      <c r="G467" s="27" t="n"/>
    </row>
    <row r="468" hidden="1" s="169">
      <c r="A468" s="27" t="inlineStr">
        <is>
          <t>MK00210</t>
        </is>
      </c>
      <c r="B468" s="27" t="n">
        <v>528000279</v>
      </c>
      <c r="C468" s="27" t="inlineStr">
        <is>
          <t>Mahdalena Dalfa Riani</t>
        </is>
      </c>
      <c r="D468" s="171" t="n">
        <v>46186.41666666666</v>
      </c>
      <c r="E468" s="26" t="n">
        <v>0.9093287037037037</v>
      </c>
      <c r="F468" s="27" t="inlineStr">
        <is>
          <t>Shift 3</t>
        </is>
      </c>
      <c r="G468" s="27" t="n"/>
    </row>
    <row r="469" hidden="1" s="169">
      <c r="A469" s="27" t="inlineStr">
        <is>
          <t>MK00138</t>
        </is>
      </c>
      <c r="B469" s="27" t="n">
        <v>528000297</v>
      </c>
      <c r="C469" s="27" t="inlineStr">
        <is>
          <t>Muhamad Budiana</t>
        </is>
      </c>
      <c r="D469" s="171" t="n">
        <v>46186.41666666666</v>
      </c>
      <c r="E469" s="26" t="n">
        <v>0.9116203703703704</v>
      </c>
      <c r="F469" s="27" t="inlineStr">
        <is>
          <t>Shift 3</t>
        </is>
      </c>
      <c r="G469" s="27" t="n"/>
    </row>
    <row r="470" hidden="1" s="169">
      <c r="A470" s="27" t="inlineStr">
        <is>
          <t>MK00230</t>
        </is>
      </c>
      <c r="B470" s="27" t="n">
        <v>528000358</v>
      </c>
      <c r="C470" s="27" t="inlineStr">
        <is>
          <t>Lulu Agustin</t>
        </is>
      </c>
      <c r="D470" s="171" t="n">
        <v>46187.41666666666</v>
      </c>
      <c r="E470" s="26" t="n">
        <v>0.2325115740740741</v>
      </c>
      <c r="F470" s="27" t="inlineStr">
        <is>
          <t>Shift 1</t>
        </is>
      </c>
      <c r="G470" s="27" t="n"/>
    </row>
    <row r="471" hidden="1" s="169">
      <c r="A471" s="27" t="inlineStr">
        <is>
          <t>MK00203</t>
        </is>
      </c>
      <c r="B471" s="27" t="n">
        <v>528000195</v>
      </c>
      <c r="C471" s="27" t="inlineStr">
        <is>
          <t>Rahma Sariwati</t>
        </is>
      </c>
      <c r="D471" s="171" t="n">
        <v>46187.41666666666</v>
      </c>
      <c r="E471" s="26" t="n">
        <v>0.2384027777777778</v>
      </c>
      <c r="F471" s="27" t="inlineStr">
        <is>
          <t>Shift 1</t>
        </is>
      </c>
      <c r="G471" s="27" t="n"/>
    </row>
    <row r="472" hidden="1" s="169">
      <c r="A472" s="27" t="inlineStr">
        <is>
          <t>MK00207</t>
        </is>
      </c>
      <c r="B472" s="27" t="n">
        <v>528000266</v>
      </c>
      <c r="C472" s="27" t="inlineStr">
        <is>
          <t>M. Syirajatieq</t>
        </is>
      </c>
      <c r="D472" s="171" t="n">
        <v>46187.41666666666</v>
      </c>
      <c r="E472" s="26" t="n">
        <v>0.2387615740740741</v>
      </c>
      <c r="F472" s="27" t="inlineStr">
        <is>
          <t>Shift 1</t>
        </is>
      </c>
      <c r="G472" s="27" t="n"/>
    </row>
    <row r="473" hidden="1" s="169">
      <c r="A473" s="27" t="inlineStr">
        <is>
          <t>MK00208</t>
        </is>
      </c>
      <c r="B473" s="27" t="n">
        <v>528000262</v>
      </c>
      <c r="C473" s="27" t="inlineStr">
        <is>
          <t>Ndari Dwiwanti</t>
        </is>
      </c>
      <c r="D473" s="171" t="n">
        <v>46187.41666666666</v>
      </c>
      <c r="E473" s="26" t="n">
        <v>0.2392939814814815</v>
      </c>
      <c r="F473" s="27" t="inlineStr">
        <is>
          <t>Shift 1</t>
        </is>
      </c>
      <c r="G473" s="27" t="n"/>
    </row>
    <row r="474" hidden="1" s="169">
      <c r="A474" s="27" t="inlineStr">
        <is>
          <t>MK00158</t>
        </is>
      </c>
      <c r="B474" s="27" t="n">
        <v>528000306</v>
      </c>
      <c r="C474" s="27" t="inlineStr">
        <is>
          <t>Windy Olivia</t>
        </is>
      </c>
      <c r="D474" s="171" t="n">
        <v>46187.41666666666</v>
      </c>
      <c r="E474" s="26" t="n">
        <v>0.2432638888888889</v>
      </c>
      <c r="F474" s="27" t="inlineStr">
        <is>
          <t>Shift 1</t>
        </is>
      </c>
      <c r="G474" s="27" t="n"/>
    </row>
    <row r="475" hidden="1" s="169">
      <c r="A475" s="27" t="inlineStr">
        <is>
          <t>MK00116</t>
        </is>
      </c>
      <c r="B475" s="27" t="n">
        <v>528000283</v>
      </c>
      <c r="C475" s="27" t="inlineStr">
        <is>
          <t>Purwanda Sugiri</t>
        </is>
      </c>
      <c r="D475" s="171" t="n">
        <v>46187.41666666666</v>
      </c>
      <c r="E475" s="26" t="n">
        <v>0.2459953703703704</v>
      </c>
      <c r="F475" s="27" t="inlineStr">
        <is>
          <t>Shift 1</t>
        </is>
      </c>
      <c r="G475" s="27" t="n"/>
    </row>
    <row r="476" hidden="1" s="169">
      <c r="A476" s="27" t="inlineStr">
        <is>
          <t>MK00213</t>
        </is>
      </c>
      <c r="B476" s="27" t="n">
        <v>528000144</v>
      </c>
      <c r="C476" s="27" t="inlineStr">
        <is>
          <t>Jodi Hanafi</t>
        </is>
      </c>
      <c r="D476" s="171" t="n">
        <v>46187.41666666666</v>
      </c>
      <c r="E476" s="26" t="n">
        <v>0.3208101851851852</v>
      </c>
      <c r="F476" s="27" t="inlineStr">
        <is>
          <t>Shift 1</t>
        </is>
      </c>
      <c r="G476" s="27" t="n"/>
    </row>
    <row r="477">
      <c r="A477" s="27" t="inlineStr">
        <is>
          <t>MK00150</t>
        </is>
      </c>
      <c r="B477" s="27" t="n">
        <v>528000015</v>
      </c>
      <c r="C477" s="27" t="inlineStr">
        <is>
          <t>Erwin</t>
        </is>
      </c>
      <c r="D477" s="171" t="n">
        <v>46187.41666666666</v>
      </c>
      <c r="E477" s="26" t="n">
        <v>0.3219328703703704</v>
      </c>
      <c r="F477" s="27" t="inlineStr">
        <is>
          <t>Shift 1</t>
        </is>
      </c>
      <c r="G477" s="27" t="n"/>
    </row>
    <row r="478" hidden="1" s="169">
      <c r="A478" s="27" t="inlineStr">
        <is>
          <t>MK00210</t>
        </is>
      </c>
      <c r="B478" s="27" t="n">
        <v>528000287</v>
      </c>
      <c r="C478" s="27" t="inlineStr">
        <is>
          <t>Muhamad Angga Ramdani</t>
        </is>
      </c>
      <c r="D478" s="171" t="n">
        <v>46187.41666666666</v>
      </c>
      <c r="E478" s="26" t="n">
        <v>0.3281597222222222</v>
      </c>
      <c r="F478" s="27" t="inlineStr">
        <is>
          <t>Shift 1</t>
        </is>
      </c>
      <c r="G478" s="27" t="n"/>
    </row>
    <row r="479" hidden="1" s="169">
      <c r="A479" s="27" t="inlineStr">
        <is>
          <t>MK00249</t>
        </is>
      </c>
      <c r="B479" s="27" t="n">
        <v>528000349</v>
      </c>
      <c r="C479" s="27" t="inlineStr">
        <is>
          <t>Anas Abdul Fatah</t>
        </is>
      </c>
      <c r="D479" s="171" t="n">
        <v>46187.41666666666</v>
      </c>
      <c r="E479" s="26" t="n">
        <v>0.3284259259259259</v>
      </c>
      <c r="F479" s="27" t="inlineStr">
        <is>
          <t>Shift 1</t>
        </is>
      </c>
      <c r="G479" s="27" t="n"/>
    </row>
    <row r="480" hidden="1" s="169">
      <c r="A480" s="27" t="inlineStr">
        <is>
          <t>MK00145</t>
        </is>
      </c>
      <c r="B480" s="27" t="n">
        <v>528000265</v>
      </c>
      <c r="C480" s="27" t="inlineStr">
        <is>
          <t>Muhammad Haerul Rozikin</t>
        </is>
      </c>
      <c r="D480" s="171" t="n">
        <v>46187.41666666666</v>
      </c>
      <c r="E480" s="26" t="n">
        <v>0.3302430555555556</v>
      </c>
      <c r="F480" s="27" t="inlineStr">
        <is>
          <t>Shift 1</t>
        </is>
      </c>
      <c r="G480" s="27" t="n"/>
    </row>
    <row r="481" hidden="1" s="169">
      <c r="A481" s="27" t="inlineStr">
        <is>
          <t>MK00156</t>
        </is>
      </c>
      <c r="B481" s="27" t="n">
        <v>528000270</v>
      </c>
      <c r="C481" s="27" t="inlineStr">
        <is>
          <t>Febri Najmudin</t>
        </is>
      </c>
      <c r="D481" s="171" t="n">
        <v>46187.41666666666</v>
      </c>
      <c r="E481" s="26" t="n">
        <v>0.3923263888888889</v>
      </c>
      <c r="F481" s="27" t="inlineStr">
        <is>
          <t>Shift 1</t>
        </is>
      </c>
      <c r="G481" s="27" t="n"/>
    </row>
    <row r="482" hidden="1" s="169">
      <c r="A482" s="27" t="inlineStr">
        <is>
          <t>MK00109</t>
        </is>
      </c>
      <c r="B482" s="27" t="n">
        <v>528000305</v>
      </c>
      <c r="C482" s="27" t="inlineStr">
        <is>
          <t>Puji Puspita</t>
        </is>
      </c>
      <c r="D482" s="171" t="n">
        <v>46187.41666666666</v>
      </c>
      <c r="E482" s="26" t="n">
        <v>0.5655671296296296</v>
      </c>
      <c r="F482" s="27" t="inlineStr">
        <is>
          <t>Shift 2</t>
        </is>
      </c>
      <c r="G482" s="27" t="n"/>
    </row>
    <row r="483" hidden="1" s="169">
      <c r="A483" s="27" t="inlineStr">
        <is>
          <t>MK00151</t>
        </is>
      </c>
      <c r="B483" s="27" t="n">
        <v>528000302</v>
      </c>
      <c r="C483" s="27" t="inlineStr">
        <is>
          <t>Henkey gumilar</t>
        </is>
      </c>
      <c r="D483" s="171" t="n">
        <v>46187.41666666666</v>
      </c>
      <c r="E483" s="26" t="n">
        <v>0.5756712962962963</v>
      </c>
      <c r="F483" s="27" t="inlineStr">
        <is>
          <t>Shift 2</t>
        </is>
      </c>
      <c r="G483" s="27" t="n"/>
    </row>
    <row r="484" hidden="1" s="169">
      <c r="A484" s="27" t="inlineStr">
        <is>
          <t>MK00207</t>
        </is>
      </c>
      <c r="B484" s="27" t="n">
        <v>528000292</v>
      </c>
      <c r="C484" s="27" t="inlineStr">
        <is>
          <t>Aditia Nugraha</t>
        </is>
      </c>
      <c r="D484" s="171" t="n">
        <v>46187.41666666666</v>
      </c>
      <c r="E484" s="26" t="n">
        <v>0.6595833333333333</v>
      </c>
      <c r="F484" s="27" t="inlineStr">
        <is>
          <t>Shift 2</t>
        </is>
      </c>
      <c r="G484" s="27" t="n"/>
    </row>
    <row r="485" hidden="1" s="169">
      <c r="A485" s="27" t="inlineStr">
        <is>
          <t>MK00138</t>
        </is>
      </c>
      <c r="B485" s="27" t="n">
        <v>528000273</v>
      </c>
      <c r="C485" s="27" t="inlineStr">
        <is>
          <t>Asep Mulyana</t>
        </is>
      </c>
      <c r="D485" s="171" t="n">
        <v>46187.41666666666</v>
      </c>
      <c r="E485" s="26" t="n">
        <v>0.6612268518518518</v>
      </c>
      <c r="F485" s="27" t="inlineStr">
        <is>
          <t>Shift 2</t>
        </is>
      </c>
      <c r="G485" s="27" t="n"/>
    </row>
    <row r="486" hidden="1" s="169">
      <c r="A486" s="27" t="inlineStr">
        <is>
          <t>MK00205</t>
        </is>
      </c>
      <c r="B486" s="27" t="n">
        <v>528000348</v>
      </c>
      <c r="C486" s="27" t="inlineStr">
        <is>
          <t>Saepuloh Ardiansah</t>
        </is>
      </c>
      <c r="D486" s="171" t="n">
        <v>46187.41666666666</v>
      </c>
      <c r="E486" s="26" t="n">
        <v>0.6622222222222223</v>
      </c>
      <c r="F486" s="27" t="inlineStr">
        <is>
          <t>Shift 2</t>
        </is>
      </c>
      <c r="G486" s="27" t="n"/>
    </row>
    <row r="487" hidden="1" s="169">
      <c r="A487" s="27" t="inlineStr">
        <is>
          <t>MK00055</t>
        </is>
      </c>
      <c r="B487" s="27" t="n">
        <v>528000212</v>
      </c>
      <c r="C487" s="27" t="inlineStr">
        <is>
          <t>Rizal Fauzi</t>
        </is>
      </c>
      <c r="D487" s="171" t="n">
        <v>46187.41666666666</v>
      </c>
      <c r="E487" s="26" t="n">
        <v>0.8692824074074074</v>
      </c>
      <c r="F487" s="27" t="inlineStr">
        <is>
          <t>Shift 2</t>
        </is>
      </c>
      <c r="G487" s="27" t="n"/>
    </row>
    <row r="488" hidden="1" s="169">
      <c r="A488" s="27" t="inlineStr">
        <is>
          <t>MK00249</t>
        </is>
      </c>
      <c r="B488" s="27" t="n">
        <v>528000244</v>
      </c>
      <c r="C488" s="27" t="inlineStr">
        <is>
          <t>Rodian Rifai</t>
        </is>
      </c>
      <c r="D488" s="171" t="n">
        <v>46187.41666666666</v>
      </c>
      <c r="E488" s="26" t="n">
        <v>0.8971759259259259</v>
      </c>
      <c r="F488" s="27" t="inlineStr">
        <is>
          <t>Shift 3</t>
        </is>
      </c>
      <c r="G488" s="27" t="inlineStr">
        <is>
          <t>31B</t>
        </is>
      </c>
    </row>
    <row r="489" hidden="1" s="169">
      <c r="A489" s="27" t="inlineStr">
        <is>
          <t>MK00230</t>
        </is>
      </c>
      <c r="B489" s="27" t="n">
        <v>528000286</v>
      </c>
      <c r="C489" s="27" t="inlineStr">
        <is>
          <t>Imelda Amelia</t>
        </is>
      </c>
      <c r="D489" s="171" t="n">
        <v>46187.41666666666</v>
      </c>
      <c r="E489" s="26" t="n">
        <v>0.8999189814814815</v>
      </c>
      <c r="F489" s="27" t="inlineStr">
        <is>
          <t>Shift 3</t>
        </is>
      </c>
      <c r="G489" s="27" t="n"/>
    </row>
    <row r="490" hidden="1" s="169">
      <c r="A490" s="27" t="inlineStr">
        <is>
          <t>MK00112</t>
        </is>
      </c>
      <c r="B490" s="27" t="n">
        <v>528000201</v>
      </c>
      <c r="C490" s="27" t="inlineStr">
        <is>
          <t>Zahwa Amelia Choerunissa</t>
        </is>
      </c>
      <c r="D490" s="171" t="n">
        <v>46187.41666666666</v>
      </c>
      <c r="E490" s="26" t="n">
        <v>0.9014467592592592</v>
      </c>
      <c r="F490" s="27" t="inlineStr">
        <is>
          <t>Shift 3</t>
        </is>
      </c>
      <c r="G490" s="27" t="n"/>
    </row>
    <row r="491" hidden="1" s="169">
      <c r="A491" s="27" t="inlineStr">
        <is>
          <t>MK00116</t>
        </is>
      </c>
      <c r="B491" s="27" t="n">
        <v>528000099</v>
      </c>
      <c r="C491" s="27" t="inlineStr">
        <is>
          <t>Siti Nurawaliah</t>
        </is>
      </c>
      <c r="D491" s="171" t="n">
        <v>46187.41666666666</v>
      </c>
      <c r="E491" s="26" t="n">
        <v>0.9017361111111111</v>
      </c>
      <c r="F491" s="27" t="inlineStr">
        <is>
          <t>Shift 3</t>
        </is>
      </c>
      <c r="G491" s="27" t="n"/>
    </row>
    <row r="492" hidden="1" s="169">
      <c r="A492" s="27" t="inlineStr">
        <is>
          <t>MK00150</t>
        </is>
      </c>
      <c r="B492" s="27" t="n">
        <v>528000290</v>
      </c>
      <c r="C492" s="27" t="inlineStr">
        <is>
          <t>Eval Pranata</t>
        </is>
      </c>
      <c r="D492" s="171" t="n">
        <v>46187.41666666666</v>
      </c>
      <c r="E492" s="26" t="n">
        <v>0.9074305555555555</v>
      </c>
      <c r="F492" s="27" t="inlineStr">
        <is>
          <t>Shift 3</t>
        </is>
      </c>
      <c r="G492" s="27" t="n"/>
    </row>
    <row r="493" hidden="1" s="169">
      <c r="A493" s="27" t="inlineStr">
        <is>
          <t>MK00141</t>
        </is>
      </c>
      <c r="B493" s="27" t="n">
        <v>528000262</v>
      </c>
      <c r="C493" s="27" t="inlineStr">
        <is>
          <t>Ndari Dwiwanti</t>
        </is>
      </c>
      <c r="D493" s="171" t="n">
        <v>46188.41666666666</v>
      </c>
      <c r="E493" s="26" t="n">
        <v>0.2324884259259259</v>
      </c>
      <c r="F493" s="27" t="inlineStr">
        <is>
          <t>Shift 1</t>
        </is>
      </c>
      <c r="G493" s="27" t="n"/>
    </row>
    <row r="494" hidden="1" s="169">
      <c r="A494" s="27" t="inlineStr">
        <is>
          <t>MK00151</t>
        </is>
      </c>
      <c r="B494" s="27" t="n">
        <v>528000358</v>
      </c>
      <c r="C494" s="27" t="inlineStr">
        <is>
          <t>Lulu Agustin</t>
        </is>
      </c>
      <c r="D494" s="171" t="n">
        <v>46188.41666666666</v>
      </c>
      <c r="E494" s="26" t="n">
        <v>0.2366898148148148</v>
      </c>
      <c r="F494" s="27" t="inlineStr">
        <is>
          <t>Shift 1</t>
        </is>
      </c>
      <c r="G494" s="27" t="n"/>
    </row>
    <row r="495" hidden="1" s="169">
      <c r="A495" s="27" t="inlineStr">
        <is>
          <t>MK00203</t>
        </is>
      </c>
      <c r="B495" s="27" t="n">
        <v>528000266</v>
      </c>
      <c r="C495" s="27" t="inlineStr">
        <is>
          <t>M. Syirajatieq</t>
        </is>
      </c>
      <c r="D495" s="171" t="n">
        <v>46188.41666666666</v>
      </c>
      <c r="E495" s="26" t="n">
        <v>0.2396412037037037</v>
      </c>
      <c r="F495" s="27" t="inlineStr">
        <is>
          <t>Shift 1</t>
        </is>
      </c>
      <c r="G495" s="27" t="n"/>
    </row>
    <row r="496" hidden="1" s="169">
      <c r="A496" s="27" t="inlineStr">
        <is>
          <t>MK00208</t>
        </is>
      </c>
      <c r="B496" s="27" t="n">
        <v>528000195</v>
      </c>
      <c r="C496" s="27" t="inlineStr">
        <is>
          <t>Rahma Sariwati</t>
        </is>
      </c>
      <c r="D496" s="171" t="n">
        <v>46188.41666666666</v>
      </c>
      <c r="E496" s="26" t="n">
        <v>0.2416203703703704</v>
      </c>
      <c r="F496" s="27" t="inlineStr">
        <is>
          <t>Shift 1</t>
        </is>
      </c>
      <c r="G496" s="27" t="n"/>
    </row>
    <row r="497" hidden="1" s="169">
      <c r="A497" s="27" t="inlineStr">
        <is>
          <t>MK00109</t>
        </is>
      </c>
      <c r="B497" s="27" t="n">
        <v>528000283</v>
      </c>
      <c r="C497" s="27" t="inlineStr">
        <is>
          <t>Purwanda Sugiri</t>
        </is>
      </c>
      <c r="D497" s="171" t="n">
        <v>46188.41666666666</v>
      </c>
      <c r="E497" s="26" t="n">
        <v>0.2433217592592593</v>
      </c>
      <c r="F497" s="27" t="inlineStr">
        <is>
          <t>Shift 1</t>
        </is>
      </c>
      <c r="G497" s="27" t="n"/>
    </row>
    <row r="498" hidden="1" s="169">
      <c r="A498" s="27" t="inlineStr">
        <is>
          <t>MK00192</t>
        </is>
      </c>
      <c r="B498" s="27" t="n">
        <v>528000349</v>
      </c>
      <c r="C498" s="27" t="inlineStr">
        <is>
          <t>Anas Abdul Fatah</t>
        </is>
      </c>
      <c r="D498" s="171" t="n">
        <v>46188.41666666666</v>
      </c>
      <c r="E498" s="26" t="n">
        <v>0.3255671296296296</v>
      </c>
      <c r="F498" s="27" t="inlineStr">
        <is>
          <t>Shift 1</t>
        </is>
      </c>
      <c r="G498" s="27" t="n"/>
    </row>
    <row r="499">
      <c r="A499" s="27" t="inlineStr">
        <is>
          <t>MK00249</t>
        </is>
      </c>
      <c r="B499" s="27" t="n">
        <v>528000015</v>
      </c>
      <c r="C499" s="27" t="inlineStr">
        <is>
          <t>Erwin</t>
        </is>
      </c>
      <c r="D499" s="171" t="n">
        <v>46188.41666666666</v>
      </c>
      <c r="E499" s="26" t="n">
        <v>0.3280671296296296</v>
      </c>
      <c r="F499" s="27" t="inlineStr">
        <is>
          <t>Shift 1</t>
        </is>
      </c>
      <c r="G499" s="27" t="n"/>
    </row>
    <row r="500" hidden="1" s="169">
      <c r="A500" s="27" t="inlineStr">
        <is>
          <t>MK00213</t>
        </is>
      </c>
      <c r="B500" s="27" t="n">
        <v>528000144</v>
      </c>
      <c r="C500" s="27" t="inlineStr">
        <is>
          <t>Jodi Hanafi</t>
        </is>
      </c>
      <c r="D500" s="171" t="n">
        <v>46188.41666666666</v>
      </c>
      <c r="E500" s="26" t="n">
        <v>0.3282291666666667</v>
      </c>
      <c r="F500" s="27" t="inlineStr">
        <is>
          <t>Shift 1</t>
        </is>
      </c>
      <c r="G500" s="27" t="n"/>
    </row>
    <row r="501" hidden="1" s="169">
      <c r="A501" s="27" t="inlineStr">
        <is>
          <t>MK00008</t>
        </is>
      </c>
      <c r="B501" s="27" t="n">
        <v>528000265</v>
      </c>
      <c r="C501" s="27" t="inlineStr">
        <is>
          <t>Muhammad Haerul Rozikin</t>
        </is>
      </c>
      <c r="D501" s="171" t="n">
        <v>46188.41666666666</v>
      </c>
      <c r="E501" s="26" t="n">
        <v>0.3296990740740741</v>
      </c>
      <c r="F501" s="27" t="inlineStr">
        <is>
          <t>Shift 1</t>
        </is>
      </c>
      <c r="G501" s="27" t="n"/>
    </row>
    <row r="502" hidden="1" s="169">
      <c r="A502" s="27" t="inlineStr">
        <is>
          <t>MK00207</t>
        </is>
      </c>
      <c r="B502" s="27" t="n">
        <v>528000292</v>
      </c>
      <c r="C502" s="27" t="inlineStr">
        <is>
          <t>Aditia Nugraha</t>
        </is>
      </c>
      <c r="D502" s="171" t="n">
        <v>46188.41666666666</v>
      </c>
      <c r="E502" s="26" t="n">
        <v>0.3759490740740741</v>
      </c>
      <c r="F502" s="27" t="inlineStr">
        <is>
          <t>Shift 1</t>
        </is>
      </c>
      <c r="G502" s="27" t="n"/>
    </row>
    <row r="503" hidden="1" s="169">
      <c r="A503" s="27" t="inlineStr">
        <is>
          <t>MK00158</t>
        </is>
      </c>
      <c r="B503" s="27" t="n">
        <v>628000061</v>
      </c>
      <c r="C503" s="27" t="inlineStr">
        <is>
          <t>Nayla Fadillah Exwantoro</t>
        </is>
      </c>
      <c r="D503" s="171" t="n">
        <v>46188.41666666666</v>
      </c>
      <c r="E503" s="26" t="n">
        <v>0.5426504629629629</v>
      </c>
      <c r="F503" s="27" t="inlineStr">
        <is>
          <t>Shift 2</t>
        </is>
      </c>
      <c r="G503" s="27" t="n"/>
    </row>
    <row r="504" hidden="1" s="169">
      <c r="A504" s="27" t="inlineStr">
        <is>
          <t>MK00160</t>
        </is>
      </c>
      <c r="B504" s="27" t="n">
        <v>528000302</v>
      </c>
      <c r="C504" s="27" t="inlineStr">
        <is>
          <t>Henkey gumilar</t>
        </is>
      </c>
      <c r="D504" s="171" t="n">
        <v>46188.41666666666</v>
      </c>
      <c r="E504" s="26" t="n">
        <v>0.5617824074074074</v>
      </c>
      <c r="F504" s="27" t="inlineStr">
        <is>
          <t>Shift 2</t>
        </is>
      </c>
      <c r="G504" s="27" t="n"/>
    </row>
    <row r="505" hidden="1" s="169">
      <c r="A505" s="27" t="inlineStr">
        <is>
          <t>MK00202</t>
        </is>
      </c>
      <c r="B505" s="27" t="n">
        <v>528000305</v>
      </c>
      <c r="C505" s="27" t="inlineStr">
        <is>
          <t>Puji Puspita</t>
        </is>
      </c>
      <c r="D505" s="171" t="n">
        <v>46188.41666666666</v>
      </c>
      <c r="E505" s="26" t="n">
        <v>0.5711226851851852</v>
      </c>
      <c r="F505" s="27" t="inlineStr">
        <is>
          <t>Shift 2</t>
        </is>
      </c>
      <c r="G505" s="27" t="n"/>
    </row>
    <row r="506" hidden="1" s="169">
      <c r="A506" s="27" t="inlineStr">
        <is>
          <t>MK00085</t>
        </is>
      </c>
      <c r="B506" s="27" t="n">
        <v>528000270</v>
      </c>
      <c r="C506" s="27" t="inlineStr">
        <is>
          <t>Febri Najmudin</t>
        </is>
      </c>
      <c r="D506" s="171" t="n">
        <v>46188.41666666666</v>
      </c>
      <c r="E506" s="26" t="n">
        <v>0.5746643518518518</v>
      </c>
      <c r="F506" s="27" t="inlineStr">
        <is>
          <t>Shift 2</t>
        </is>
      </c>
      <c r="G506" s="27" t="n"/>
    </row>
    <row r="507" hidden="1" s="169">
      <c r="A507" s="27" t="inlineStr">
        <is>
          <t>MK00205</t>
        </is>
      </c>
      <c r="B507" s="27" t="n">
        <v>528000348</v>
      </c>
      <c r="C507" s="27" t="inlineStr">
        <is>
          <t>Saepuloh Ardiansah</t>
        </is>
      </c>
      <c r="D507" s="171" t="n">
        <v>46188.41666666666</v>
      </c>
      <c r="E507" s="26" t="n">
        <v>0.6575115740740741</v>
      </c>
      <c r="F507" s="27" t="inlineStr">
        <is>
          <t>Shift 2</t>
        </is>
      </c>
      <c r="G507" s="27" t="n"/>
    </row>
    <row r="508" hidden="1" s="169">
      <c r="A508" s="27" t="inlineStr">
        <is>
          <t>MK00228</t>
        </is>
      </c>
      <c r="B508" s="27" t="n">
        <v>528000244</v>
      </c>
      <c r="C508" s="27" t="inlineStr">
        <is>
          <t>Rodian Rifai</t>
        </is>
      </c>
      <c r="D508" s="171" t="n">
        <v>46188.41666666666</v>
      </c>
      <c r="E508" s="26" t="n">
        <v>0.8874884259259259</v>
      </c>
      <c r="F508" s="27" t="inlineStr">
        <is>
          <t>Shift 3</t>
        </is>
      </c>
      <c r="G508" s="27" t="inlineStr">
        <is>
          <t>23E</t>
        </is>
      </c>
    </row>
    <row r="509" hidden="1" s="169">
      <c r="A509" s="27" t="inlineStr">
        <is>
          <t>MK00208</t>
        </is>
      </c>
      <c r="B509" s="27" t="n">
        <v>528000286</v>
      </c>
      <c r="C509" s="27" t="inlineStr">
        <is>
          <t>Imelda Amelia</t>
        </is>
      </c>
      <c r="D509" s="171" t="n">
        <v>46188.41666666666</v>
      </c>
      <c r="E509" s="26" t="n">
        <v>0.8975810185185186</v>
      </c>
      <c r="F509" s="27" t="inlineStr">
        <is>
          <t>Shift 3</t>
        </is>
      </c>
      <c r="G509" s="27" t="n"/>
    </row>
    <row r="510" hidden="1" s="169">
      <c r="A510" s="27" t="inlineStr">
        <is>
          <t>MK00156</t>
        </is>
      </c>
      <c r="B510" s="27" t="n">
        <v>528000201</v>
      </c>
      <c r="C510" s="27" t="inlineStr">
        <is>
          <t>Zahwa Amelia Choerunissa</t>
        </is>
      </c>
      <c r="D510" s="171" t="n">
        <v>46188.41666666666</v>
      </c>
      <c r="E510" s="26" t="n">
        <v>0.9007175925925925</v>
      </c>
      <c r="F510" s="27" t="inlineStr">
        <is>
          <t>Shift 3</t>
        </is>
      </c>
      <c r="G510" s="27" t="n"/>
    </row>
    <row r="511" hidden="1" s="169">
      <c r="A511" s="27" t="inlineStr">
        <is>
          <t>MK00046</t>
        </is>
      </c>
      <c r="B511" s="27" t="n">
        <v>528000099</v>
      </c>
      <c r="C511" s="27" t="inlineStr">
        <is>
          <t>Siti Nurawaliah</t>
        </is>
      </c>
      <c r="D511" s="171" t="n">
        <v>46188.41666666666</v>
      </c>
      <c r="E511" s="26" t="n">
        <v>0.9013541666666667</v>
      </c>
      <c r="F511" s="27" t="inlineStr">
        <is>
          <t>Shift 3</t>
        </is>
      </c>
      <c r="G511" s="27" t="n"/>
    </row>
    <row r="512" hidden="1" s="169">
      <c r="A512" s="27" t="inlineStr">
        <is>
          <t>MK00150</t>
        </is>
      </c>
      <c r="B512" s="27" t="n">
        <v>528000283</v>
      </c>
      <c r="C512" s="27" t="inlineStr">
        <is>
          <t>Purwanda Sugiri</t>
        </is>
      </c>
      <c r="D512" s="171" t="n">
        <v>46188.41666666666</v>
      </c>
      <c r="E512" s="26" t="n">
        <v>0.9123032407407408</v>
      </c>
      <c r="F512" s="27" t="inlineStr">
        <is>
          <t>Shift 3</t>
        </is>
      </c>
      <c r="G512" s="27" t="n"/>
    </row>
    <row r="513" hidden="1" s="169">
      <c r="A513" s="27" t="inlineStr">
        <is>
          <t>MK00055</t>
        </is>
      </c>
      <c r="B513" s="27" t="n">
        <v>528000212</v>
      </c>
      <c r="C513" s="27" t="inlineStr">
        <is>
          <t>Rizal Fauzi</t>
        </is>
      </c>
      <c r="D513" s="171" t="n">
        <v>46188.41666666666</v>
      </c>
      <c r="E513" s="26" t="n">
        <v>0.9145833333333333</v>
      </c>
      <c r="F513" s="27" t="inlineStr">
        <is>
          <t>Shift 3</t>
        </is>
      </c>
      <c r="G513" s="27" t="n"/>
    </row>
    <row r="514" hidden="1" s="169">
      <c r="A514" s="27" t="inlineStr">
        <is>
          <t>MK00088</t>
        </is>
      </c>
      <c r="B514" s="27" t="n">
        <v>528000262</v>
      </c>
      <c r="C514" s="27" t="inlineStr">
        <is>
          <t>Ndari Dwiwanti</t>
        </is>
      </c>
      <c r="D514" s="171" t="n">
        <v>46189.41666666666</v>
      </c>
      <c r="E514" s="26" t="n">
        <v>0.2358912037037037</v>
      </c>
      <c r="F514" s="27" t="inlineStr">
        <is>
          <t>Shift 1</t>
        </is>
      </c>
      <c r="G514" s="27" t="n"/>
    </row>
    <row r="515" hidden="1" s="169">
      <c r="A515" s="27" t="inlineStr">
        <is>
          <t>MK00085</t>
        </is>
      </c>
      <c r="B515" s="27" t="n">
        <v>528000358</v>
      </c>
      <c r="C515" s="27" t="inlineStr">
        <is>
          <t>Lulu Agustin</t>
        </is>
      </c>
      <c r="D515" s="171" t="n">
        <v>46189.41666666666</v>
      </c>
      <c r="E515" s="26" t="n">
        <v>0.2371759259259259</v>
      </c>
      <c r="F515" s="27" t="inlineStr">
        <is>
          <t>Shift 1</t>
        </is>
      </c>
      <c r="G515" s="27" t="n"/>
    </row>
    <row r="516" hidden="1" s="169">
      <c r="A516" s="27" t="inlineStr">
        <is>
          <t>MK00181</t>
        </is>
      </c>
      <c r="B516" s="27" t="n">
        <v>528000266</v>
      </c>
      <c r="C516" s="27" t="inlineStr">
        <is>
          <t>M. Syirajatieq</t>
        </is>
      </c>
      <c r="D516" s="171" t="n">
        <v>46189.41666666666</v>
      </c>
      <c r="E516" s="26" t="n">
        <v>0.2400462962962963</v>
      </c>
      <c r="F516" s="27" t="inlineStr">
        <is>
          <t>Shift 1</t>
        </is>
      </c>
      <c r="G516" s="27" t="n"/>
    </row>
    <row r="517" hidden="1" s="169">
      <c r="A517" s="27" t="inlineStr">
        <is>
          <t>MK00249</t>
        </is>
      </c>
      <c r="B517" s="27" t="n">
        <v>528000265</v>
      </c>
      <c r="C517" s="27" t="inlineStr">
        <is>
          <t>Muhammad Haerul Rozikin</t>
        </is>
      </c>
      <c r="D517" s="171" t="n">
        <v>46189.41666666666</v>
      </c>
      <c r="E517" s="26" t="n">
        <v>0.2494097222222222</v>
      </c>
      <c r="F517" s="27" t="inlineStr">
        <is>
          <t>Shift 1</t>
        </is>
      </c>
      <c r="G517" s="27" t="n"/>
    </row>
    <row r="518" hidden="1" s="169">
      <c r="A518" s="27" t="inlineStr">
        <is>
          <t>MK00210</t>
        </is>
      </c>
      <c r="B518" s="27" t="n">
        <v>528000349</v>
      </c>
      <c r="C518" s="27" t="inlineStr">
        <is>
          <t>Anas Abdul Fatah</t>
        </is>
      </c>
      <c r="D518" s="171" t="n">
        <v>46189.41666666666</v>
      </c>
      <c r="E518" s="26" t="n">
        <v>0.3267592592592592</v>
      </c>
      <c r="F518" s="27" t="inlineStr">
        <is>
          <t>Shift 1</t>
        </is>
      </c>
      <c r="G518" s="27" t="n"/>
    </row>
    <row r="519">
      <c r="A519" s="27" t="inlineStr">
        <is>
          <t>MK00156</t>
        </is>
      </c>
      <c r="B519" s="27" t="n">
        <v>528000015</v>
      </c>
      <c r="C519" s="27" t="inlineStr">
        <is>
          <t>Erwin</t>
        </is>
      </c>
      <c r="D519" s="171" t="n">
        <v>46189.41666666666</v>
      </c>
      <c r="E519" s="26" t="n">
        <v>0.3285532407407407</v>
      </c>
      <c r="F519" s="27" t="inlineStr">
        <is>
          <t>Shift 1</t>
        </is>
      </c>
      <c r="G519" s="27" t="n"/>
    </row>
    <row r="520" hidden="1" s="169">
      <c r="A520" s="27" t="inlineStr">
        <is>
          <t>MK00230</t>
        </is>
      </c>
      <c r="B520" s="27" t="n">
        <v>528000287</v>
      </c>
      <c r="C520" s="27" t="inlineStr">
        <is>
          <t>Muhamad Angga Ramdani</t>
        </is>
      </c>
      <c r="D520" s="171" t="n">
        <v>46189.41666666666</v>
      </c>
      <c r="E520" s="26" t="n">
        <v>0.3314351851851852</v>
      </c>
      <c r="F520" s="27" t="inlineStr">
        <is>
          <t>Shift 1</t>
        </is>
      </c>
      <c r="G520" s="27" t="n"/>
    </row>
    <row r="521" hidden="1" s="169">
      <c r="A521" s="27" t="inlineStr">
        <is>
          <t>MK00212</t>
        </is>
      </c>
      <c r="B521" s="27" t="n">
        <v>528000149</v>
      </c>
      <c r="C521" s="27" t="inlineStr">
        <is>
          <t>Tio Fernanda</t>
        </is>
      </c>
      <c r="D521" s="171" t="n">
        <v>46189.41666666666</v>
      </c>
      <c r="E521" s="26" t="n">
        <v>0.3734375</v>
      </c>
      <c r="F521" s="27" t="inlineStr">
        <is>
          <t>Shift 1</t>
        </is>
      </c>
      <c r="G521" s="27" t="n"/>
    </row>
    <row r="522" hidden="1" s="169">
      <c r="A522" s="27" t="inlineStr">
        <is>
          <t>MK00113</t>
        </is>
      </c>
      <c r="B522" s="27" t="n">
        <v>528000297</v>
      </c>
      <c r="C522" s="27" t="inlineStr">
        <is>
          <t>Muhamad Budiana</t>
        </is>
      </c>
      <c r="D522" s="171" t="n">
        <v>46189.41666666666</v>
      </c>
      <c r="E522" s="26" t="n">
        <v>0.5614467592592592</v>
      </c>
      <c r="F522" s="27" t="inlineStr">
        <is>
          <t>Shift 2</t>
        </is>
      </c>
      <c r="G522" s="27" t="n"/>
    </row>
    <row r="523" hidden="1" s="169">
      <c r="A523" s="27" t="inlineStr">
        <is>
          <t>MK00150</t>
        </is>
      </c>
      <c r="B523" s="27" t="n">
        <v>628000064</v>
      </c>
      <c r="C523" s="27" t="inlineStr">
        <is>
          <t>Silva Alypia</t>
        </is>
      </c>
      <c r="D523" s="171" t="n">
        <v>46189.41666666666</v>
      </c>
      <c r="E523" s="26" t="n">
        <v>0.5696990740740741</v>
      </c>
      <c r="F523" s="27" t="inlineStr">
        <is>
          <t>Shift 2</t>
        </is>
      </c>
      <c r="G523" s="27" t="n"/>
    </row>
    <row r="524" hidden="1" s="169">
      <c r="A524" s="27" t="inlineStr">
        <is>
          <t>MK00208</t>
        </is>
      </c>
      <c r="B524" s="27" t="n">
        <v>528000279</v>
      </c>
      <c r="C524" s="27" t="inlineStr">
        <is>
          <t>Mahdalena Dalfa Riani</t>
        </is>
      </c>
      <c r="D524" s="171" t="n">
        <v>46189.41666666666</v>
      </c>
      <c r="E524" s="26" t="n">
        <v>0.5738310185185185</v>
      </c>
      <c r="F524" s="27" t="inlineStr">
        <is>
          <t>Shift 2</t>
        </is>
      </c>
      <c r="G524" s="27" t="n"/>
    </row>
    <row r="525" hidden="1" s="169">
      <c r="A525" s="27" t="inlineStr">
        <is>
          <t>MK00228</t>
        </is>
      </c>
      <c r="B525" s="27" t="n">
        <v>528000273</v>
      </c>
      <c r="C525" s="27" t="inlineStr">
        <is>
          <t>Asep Mulyana</t>
        </is>
      </c>
      <c r="D525" s="171" t="n">
        <v>46189.41666666666</v>
      </c>
      <c r="E525" s="26" t="n">
        <v>0.6605324074074074</v>
      </c>
      <c r="F525" s="27" t="inlineStr">
        <is>
          <t>Shift 2</t>
        </is>
      </c>
      <c r="G525" s="27" t="n"/>
    </row>
    <row r="526" hidden="1" s="169">
      <c r="A526" s="27" t="inlineStr">
        <is>
          <t>MK00207</t>
        </is>
      </c>
      <c r="B526" s="27" t="n">
        <v>528000292</v>
      </c>
      <c r="C526" s="27" t="inlineStr">
        <is>
          <t>Aditia Nugraha</t>
        </is>
      </c>
      <c r="D526" s="171" t="n">
        <v>46189.41666666666</v>
      </c>
      <c r="E526" s="26" t="n">
        <v>0.6626967592592593</v>
      </c>
      <c r="F526" s="27" t="inlineStr">
        <is>
          <t>Shift 2</t>
        </is>
      </c>
      <c r="G526" s="27" t="n"/>
    </row>
    <row r="527" hidden="1" s="169">
      <c r="A527" s="27" t="inlineStr">
        <is>
          <t>MK00205</t>
        </is>
      </c>
      <c r="B527" s="27" t="n">
        <v>528000348</v>
      </c>
      <c r="C527" s="27" t="inlineStr">
        <is>
          <t>Saepuloh Ardiansah</t>
        </is>
      </c>
      <c r="D527" s="171" t="n">
        <v>46189.41666666666</v>
      </c>
      <c r="E527" s="26" t="n">
        <v>0.6646643518518518</v>
      </c>
      <c r="F527" s="27" t="inlineStr">
        <is>
          <t>Shift 2</t>
        </is>
      </c>
      <c r="G527" s="27" t="n"/>
    </row>
    <row r="528" hidden="1" s="169">
      <c r="A528" s="27" t="inlineStr">
        <is>
          <t>MK00230</t>
        </is>
      </c>
      <c r="B528" s="27" t="n">
        <v>528000201</v>
      </c>
      <c r="C528" s="27" t="inlineStr">
        <is>
          <t>Zahwa Amelia Choerunissa</t>
        </is>
      </c>
      <c r="D528" s="171" t="n">
        <v>46189.41666666666</v>
      </c>
      <c r="E528" s="26" t="n">
        <v>0.8979166666666667</v>
      </c>
      <c r="F528" s="27" t="inlineStr">
        <is>
          <t>Shift 3</t>
        </is>
      </c>
      <c r="G528" s="27" t="n"/>
    </row>
    <row r="529" hidden="1" s="169">
      <c r="A529" s="27" t="inlineStr">
        <is>
          <t>MK00181</t>
        </is>
      </c>
      <c r="B529" s="27" t="n">
        <v>528000099</v>
      </c>
      <c r="C529" s="27" t="inlineStr">
        <is>
          <t>Siti Nurawaliah</t>
        </is>
      </c>
      <c r="D529" s="171" t="n">
        <v>46189.41666666666</v>
      </c>
      <c r="E529" s="26" t="n">
        <v>0.8989699074074075</v>
      </c>
      <c r="F529" s="27" t="inlineStr">
        <is>
          <t>Shift 3</t>
        </is>
      </c>
      <c r="G529" s="27" t="n"/>
    </row>
    <row r="530" hidden="1" s="169">
      <c r="A530" s="27" t="inlineStr">
        <is>
          <t>MK00210</t>
        </is>
      </c>
      <c r="B530" s="27" t="n">
        <v>528000244</v>
      </c>
      <c r="C530" s="27" t="inlineStr">
        <is>
          <t>Rodian Rifai</t>
        </is>
      </c>
      <c r="D530" s="171" t="n">
        <v>46189.41666666666</v>
      </c>
      <c r="E530" s="26" t="n">
        <v>0.8996527777777777</v>
      </c>
      <c r="F530" s="27" t="inlineStr">
        <is>
          <t>Shift 3</t>
        </is>
      </c>
      <c r="G530" s="27" t="n"/>
    </row>
    <row r="531" hidden="1" s="169">
      <c r="A531" s="27" t="inlineStr">
        <is>
          <t>MK00055</t>
        </is>
      </c>
      <c r="B531" s="27" t="n">
        <v>528000212</v>
      </c>
      <c r="C531" s="27" t="inlineStr">
        <is>
          <t>Rizal Fauzi</t>
        </is>
      </c>
      <c r="D531" s="171" t="n">
        <v>46189.41666666666</v>
      </c>
      <c r="E531" s="26" t="n">
        <v>0.9001157407407407</v>
      </c>
      <c r="F531" s="27" t="inlineStr">
        <is>
          <t>Shift 3</t>
        </is>
      </c>
      <c r="G531" s="27" t="n"/>
    </row>
    <row r="532" hidden="1" s="169">
      <c r="A532" s="27" t="inlineStr">
        <is>
          <t>MK00249</t>
        </is>
      </c>
      <c r="B532" s="27" t="n">
        <v>528000286</v>
      </c>
      <c r="C532" s="27" t="inlineStr">
        <is>
          <t>Imelda Amelia</t>
        </is>
      </c>
      <c r="D532" s="171" t="n">
        <v>46189.41666666666</v>
      </c>
      <c r="E532" s="26" t="n">
        <v>0.9005324074074074</v>
      </c>
      <c r="F532" s="27" t="inlineStr">
        <is>
          <t>Shift 3</t>
        </is>
      </c>
      <c r="G532" s="27" t="n"/>
    </row>
    <row r="533" hidden="1" s="169">
      <c r="A533" s="27" t="inlineStr">
        <is>
          <t>MK00151</t>
        </is>
      </c>
      <c r="B533" s="27" t="n">
        <v>528000241</v>
      </c>
      <c r="C533" s="27" t="inlineStr">
        <is>
          <t>Balia Nurafif Bilah</t>
        </is>
      </c>
      <c r="D533" s="171" t="n">
        <v>46189.41666666666</v>
      </c>
      <c r="E533" s="26" t="n">
        <v>0.9109606481481481</v>
      </c>
      <c r="F533" s="27" t="inlineStr">
        <is>
          <t>Shift 3</t>
        </is>
      </c>
      <c r="G533" s="27" t="n"/>
    </row>
    <row r="534" hidden="1" s="169">
      <c r="A534" s="27" t="inlineStr">
        <is>
          <t>MK00160</t>
        </is>
      </c>
      <c r="B534" s="27" t="n">
        <v>528000290</v>
      </c>
      <c r="C534" s="27" t="inlineStr">
        <is>
          <t>Eval Pranata</t>
        </is>
      </c>
      <c r="D534" s="171" t="n">
        <v>46189.41666666666</v>
      </c>
      <c r="E534" s="26" t="n">
        <v>0.9176157407407407</v>
      </c>
      <c r="F534" s="27" t="inlineStr">
        <is>
          <t>Shift 3</t>
        </is>
      </c>
      <c r="G534" s="27" t="n"/>
    </row>
    <row r="535" hidden="1" s="169">
      <c r="A535" s="27" t="inlineStr">
        <is>
          <t>MK00150</t>
        </is>
      </c>
      <c r="B535" s="27" t="n">
        <v>528000270</v>
      </c>
      <c r="C535" s="27" t="inlineStr">
        <is>
          <t>Febri Najmudin</t>
        </is>
      </c>
      <c r="D535" s="171" t="n">
        <v>46190.41666666666</v>
      </c>
      <c r="E535" s="26" t="n">
        <v>0.2422916666666667</v>
      </c>
      <c r="F535" s="27" t="inlineStr">
        <is>
          <t>Shift 1</t>
        </is>
      </c>
      <c r="G535" s="27" t="n"/>
    </row>
    <row r="536" hidden="1" s="169">
      <c r="A536" s="27" t="inlineStr">
        <is>
          <t>MK00145</t>
        </is>
      </c>
      <c r="B536" s="27" t="n">
        <v>528000302</v>
      </c>
      <c r="C536" s="27" t="inlineStr">
        <is>
          <t>Henkey gumilar</t>
        </is>
      </c>
      <c r="D536" s="171" t="n">
        <v>46190.41666666666</v>
      </c>
      <c r="E536" s="26" t="n">
        <v>0.2431597222222222</v>
      </c>
      <c r="F536" s="27" t="inlineStr">
        <is>
          <t>Shift 1</t>
        </is>
      </c>
      <c r="G536" s="27" t="n"/>
    </row>
    <row r="537" hidden="1" s="169">
      <c r="A537" s="27" t="inlineStr">
        <is>
          <t>MK001009</t>
        </is>
      </c>
      <c r="B537" s="27" t="n">
        <v>628000061</v>
      </c>
      <c r="C537" s="27" t="inlineStr">
        <is>
          <t>Nayla Fadillah Exwantoro</t>
        </is>
      </c>
      <c r="D537" s="171" t="n">
        <v>46190.41666666666</v>
      </c>
      <c r="E537" s="26" t="n">
        <v>0.2440856481481481</v>
      </c>
      <c r="F537" s="27" t="inlineStr">
        <is>
          <t>Shift 1</t>
        </is>
      </c>
      <c r="G537" s="27" t="n"/>
    </row>
    <row r="538" hidden="1" s="169">
      <c r="A538" s="27" t="inlineStr">
        <is>
          <t>MK00112</t>
        </is>
      </c>
      <c r="B538" s="27" t="n">
        <v>528000265</v>
      </c>
      <c r="C538" s="27" t="inlineStr">
        <is>
          <t>Muhammad Haerul Rozikin</t>
        </is>
      </c>
      <c r="D538" s="171" t="n">
        <v>46190.41666666666</v>
      </c>
      <c r="E538" s="26" t="n">
        <v>0.2485416666666667</v>
      </c>
      <c r="F538" s="27" t="inlineStr">
        <is>
          <t>Shift 1</t>
        </is>
      </c>
      <c r="G538" s="27" t="n"/>
    </row>
    <row r="539" hidden="1" s="169">
      <c r="A539" s="27" t="inlineStr">
        <is>
          <t>MK00230</t>
        </is>
      </c>
      <c r="B539" s="27" t="n">
        <v>528000282</v>
      </c>
      <c r="C539" s="27" t="inlineStr">
        <is>
          <t>Defa Desfiana</t>
        </is>
      </c>
      <c r="D539" s="171" t="n">
        <v>46190.41666666666</v>
      </c>
      <c r="E539" s="26" t="n">
        <v>0.3075347222222222</v>
      </c>
      <c r="F539" s="27" t="inlineStr">
        <is>
          <t>Shift 1</t>
        </is>
      </c>
      <c r="G539" s="27" t="inlineStr">
        <is>
          <t>32b</t>
        </is>
      </c>
    </row>
    <row r="540" hidden="1" s="169">
      <c r="A540" s="27" t="inlineStr">
        <is>
          <t>MK00249</t>
        </is>
      </c>
      <c r="B540" s="27" t="n">
        <v>528000349</v>
      </c>
      <c r="C540" s="27" t="inlineStr">
        <is>
          <t>Anas Abdul Fatah</t>
        </is>
      </c>
      <c r="D540" s="171" t="n">
        <v>46190.41666666666</v>
      </c>
      <c r="E540" s="26" t="n">
        <v>0.3278587962962963</v>
      </c>
      <c r="F540" s="27" t="inlineStr">
        <is>
          <t>Shift 1</t>
        </is>
      </c>
      <c r="G540" s="27" t="n"/>
    </row>
    <row r="541" hidden="1" s="169">
      <c r="A541" s="27" t="inlineStr">
        <is>
          <t>MK00210</t>
        </is>
      </c>
      <c r="B541" s="27" t="n">
        <v>528000287</v>
      </c>
      <c r="C541" s="27" t="inlineStr">
        <is>
          <t>Muhamad Angga Ramdani</t>
        </is>
      </c>
      <c r="D541" s="171" t="n">
        <v>46190.41666666666</v>
      </c>
      <c r="E541" s="26" t="n">
        <v>0.3280555555555555</v>
      </c>
      <c r="F541" s="27" t="inlineStr">
        <is>
          <t>Shift 1</t>
        </is>
      </c>
      <c r="G541" s="27" t="n"/>
    </row>
    <row r="542">
      <c r="A542" s="27" t="inlineStr">
        <is>
          <t>MK00181</t>
        </is>
      </c>
      <c r="B542" s="27" t="n">
        <v>528000015</v>
      </c>
      <c r="C542" s="27" t="inlineStr">
        <is>
          <t>Erwin</t>
        </is>
      </c>
      <c r="D542" s="171" t="n">
        <v>46190.41666666666</v>
      </c>
      <c r="E542" s="26" t="n">
        <v>0.3298842592592592</v>
      </c>
      <c r="F542" s="27" t="inlineStr">
        <is>
          <t>Shift 1</t>
        </is>
      </c>
      <c r="G542" s="27" t="n"/>
    </row>
    <row r="543" hidden="1" s="169">
      <c r="A543" s="27" t="inlineStr">
        <is>
          <t>MK00212</t>
        </is>
      </c>
      <c r="B543" s="27" t="n">
        <v>528000149</v>
      </c>
      <c r="C543" s="27" t="inlineStr">
        <is>
          <t>Tio Fernanda</t>
        </is>
      </c>
      <c r="D543" s="171" t="n">
        <v>46190.41666666666</v>
      </c>
      <c r="E543" s="26" t="n">
        <v>0.3710185185185185</v>
      </c>
      <c r="F543" s="27" t="inlineStr">
        <is>
          <t>Shift 1</t>
        </is>
      </c>
      <c r="G543" s="27" t="n"/>
    </row>
    <row r="544" hidden="1" s="169">
      <c r="A544" s="27" t="inlineStr">
        <is>
          <t>MK00213</t>
        </is>
      </c>
      <c r="B544" s="27" t="n">
        <v>528000144</v>
      </c>
      <c r="C544" s="27" t="inlineStr">
        <is>
          <t>Jodi Hanafi</t>
        </is>
      </c>
      <c r="D544" s="171" t="n">
        <v>46190.41666666666</v>
      </c>
      <c r="E544" s="26" t="n">
        <v>0.4016319444444444</v>
      </c>
      <c r="F544" s="27" t="inlineStr">
        <is>
          <t>Shift 1</t>
        </is>
      </c>
      <c r="G544" s="27" t="n"/>
    </row>
    <row r="545" hidden="1" s="169">
      <c r="A545" s="27" t="inlineStr">
        <is>
          <t>MK00126</t>
        </is>
      </c>
      <c r="B545" s="27" t="n">
        <v>628000064</v>
      </c>
      <c r="C545" s="27" t="inlineStr">
        <is>
          <t>Silva Alypia</t>
        </is>
      </c>
      <c r="D545" s="171" t="n">
        <v>46190.41666666666</v>
      </c>
      <c r="E545" s="26" t="n">
        <v>0.5726273148148148</v>
      </c>
      <c r="F545" s="27" t="inlineStr">
        <is>
          <t>Shift 2</t>
        </is>
      </c>
      <c r="G545" s="27" t="n"/>
    </row>
    <row r="546" hidden="1" s="169">
      <c r="A546" s="27" t="inlineStr">
        <is>
          <t>MK00208</t>
        </is>
      </c>
      <c r="B546" s="27" t="n">
        <v>528000279</v>
      </c>
      <c r="C546" s="27" t="inlineStr">
        <is>
          <t>Mahdalena Dalfa Riani</t>
        </is>
      </c>
      <c r="D546" s="171" t="n">
        <v>46190.41666666666</v>
      </c>
      <c r="E546" s="26" t="n">
        <v>0.5775462962962963</v>
      </c>
      <c r="F546" s="27" t="inlineStr">
        <is>
          <t>Shift 2</t>
        </is>
      </c>
      <c r="G546" s="27" t="n"/>
    </row>
    <row r="547" hidden="1" s="169">
      <c r="A547" s="27" t="inlineStr">
        <is>
          <t>MK00116</t>
        </is>
      </c>
      <c r="B547" s="27" t="n">
        <v>528000297</v>
      </c>
      <c r="C547" s="27" t="inlineStr">
        <is>
          <t>Muhamad Budiana</t>
        </is>
      </c>
      <c r="D547" s="171" t="n">
        <v>46190.41666666666</v>
      </c>
      <c r="E547" s="26" t="n">
        <v>0.5788773148148149</v>
      </c>
      <c r="F547" s="27" t="inlineStr">
        <is>
          <t>Shift 2</t>
        </is>
      </c>
      <c r="G547" s="27" t="n"/>
    </row>
    <row r="548" hidden="1" s="169">
      <c r="A548" s="27" t="inlineStr">
        <is>
          <t>MK00205</t>
        </is>
      </c>
      <c r="B548" s="27" t="n">
        <v>528000348</v>
      </c>
      <c r="C548" s="27" t="inlineStr">
        <is>
          <t>Saepuloh Ardiansah</t>
        </is>
      </c>
      <c r="D548" s="171" t="n">
        <v>46190.41666666666</v>
      </c>
      <c r="E548" s="26" t="n">
        <v>0.6582638888888889</v>
      </c>
      <c r="F548" s="27" t="inlineStr">
        <is>
          <t>Shift 2</t>
        </is>
      </c>
      <c r="G548" s="27" t="n"/>
    </row>
    <row r="549" hidden="1" s="169">
      <c r="A549" s="27" t="inlineStr">
        <is>
          <t>MK00160</t>
        </is>
      </c>
      <c r="B549" s="27" t="n">
        <v>528000273</v>
      </c>
      <c r="C549" s="27" t="inlineStr">
        <is>
          <t>Asep Mulyana</t>
        </is>
      </c>
      <c r="D549" s="171" t="n">
        <v>46190.41666666666</v>
      </c>
      <c r="E549" s="26" t="n">
        <v>0.6613657407407407</v>
      </c>
      <c r="F549" s="27" t="inlineStr">
        <is>
          <t>Shift 2</t>
        </is>
      </c>
      <c r="G549" s="27" t="n"/>
    </row>
    <row r="550" hidden="1" s="169">
      <c r="A550" s="27" t="inlineStr">
        <is>
          <t>MK00055</t>
        </is>
      </c>
      <c r="B550" s="27" t="n">
        <v>528000212</v>
      </c>
      <c r="C550" s="27" t="inlineStr">
        <is>
          <t>Rizal Fauzi</t>
        </is>
      </c>
      <c r="D550" s="171" t="n">
        <v>46190.41666666666</v>
      </c>
      <c r="E550" s="26" t="n">
        <v>0.8988541666666666</v>
      </c>
      <c r="F550" s="27" t="inlineStr">
        <is>
          <t>Shift 3</t>
        </is>
      </c>
      <c r="G550" s="27" t="n"/>
    </row>
    <row r="551" hidden="1" s="169">
      <c r="A551" s="27" t="inlineStr">
        <is>
          <t>MK00150</t>
        </is>
      </c>
      <c r="B551" s="27" t="n">
        <v>528000244</v>
      </c>
      <c r="C551" s="27" t="inlineStr">
        <is>
          <t>Rodian Rifai</t>
        </is>
      </c>
      <c r="D551" s="171" t="n">
        <v>46190.41666666666</v>
      </c>
      <c r="E551" s="26" t="n">
        <v>0.9012962962962963</v>
      </c>
      <c r="F551" s="27" t="inlineStr">
        <is>
          <t>Shift 3</t>
        </is>
      </c>
      <c r="G551" s="27" t="inlineStr">
        <is>
          <t>22f</t>
        </is>
      </c>
    </row>
    <row r="552" hidden="1" s="169">
      <c r="A552" s="27" t="inlineStr">
        <is>
          <t>MK00249</t>
        </is>
      </c>
      <c r="B552" s="27" t="n">
        <v>528000286</v>
      </c>
      <c r="C552" s="27" t="inlineStr">
        <is>
          <t>Imelda Amelia</t>
        </is>
      </c>
      <c r="D552" s="171" t="n">
        <v>46190.41666666666</v>
      </c>
      <c r="E552" s="26" t="n">
        <v>0.901412037037037</v>
      </c>
      <c r="F552" s="27" t="inlineStr">
        <is>
          <t>Shift 3</t>
        </is>
      </c>
      <c r="G552" s="27" t="n"/>
    </row>
    <row r="553" hidden="1" s="169">
      <c r="A553" s="27" t="inlineStr">
        <is>
          <t>MK00228</t>
        </is>
      </c>
      <c r="B553" s="27" t="n">
        <v>528000201</v>
      </c>
      <c r="C553" s="27" t="inlineStr">
        <is>
          <t>Zahwa Amelia Choerunissa</t>
        </is>
      </c>
      <c r="D553" s="171" t="n">
        <v>46190.41666666666</v>
      </c>
      <c r="E553" s="26" t="n">
        <v>0.9025925925925926</v>
      </c>
      <c r="F553" s="27" t="inlineStr">
        <is>
          <t>Shift 3</t>
        </is>
      </c>
      <c r="G553" s="27" t="n"/>
    </row>
    <row r="554" hidden="1" s="169">
      <c r="A554" s="27" t="inlineStr">
        <is>
          <t>MK00192</t>
        </is>
      </c>
      <c r="B554" s="27" t="n">
        <v>528000099</v>
      </c>
      <c r="C554" s="27" t="inlineStr">
        <is>
          <t>Siti Nurawaliah</t>
        </is>
      </c>
      <c r="D554" s="171" t="n">
        <v>46190.41666666666</v>
      </c>
      <c r="E554" s="26" t="n">
        <v>0.9032175925925926</v>
      </c>
      <c r="F554" s="27" t="inlineStr">
        <is>
          <t>Shift 3</t>
        </is>
      </c>
      <c r="G554" s="27" t="n"/>
    </row>
    <row r="555" hidden="1" s="169">
      <c r="A555" s="27" t="inlineStr">
        <is>
          <t>MK00210</t>
        </is>
      </c>
      <c r="B555" s="27" t="n">
        <v>528000306</v>
      </c>
      <c r="C555" s="27" t="inlineStr">
        <is>
          <t>Windy Olivia</t>
        </is>
      </c>
      <c r="D555" s="171" t="n">
        <v>46190.41666666666</v>
      </c>
      <c r="E555" s="26" t="n">
        <v>0.9047916666666667</v>
      </c>
      <c r="F555" s="27" t="inlineStr">
        <is>
          <t>Shift 3</t>
        </is>
      </c>
      <c r="G555" s="27" t="n"/>
    </row>
    <row r="556" hidden="1" s="169">
      <c r="A556" s="27" t="inlineStr">
        <is>
          <t>MK00230</t>
        </is>
      </c>
      <c r="B556" s="27" t="n">
        <v>528000302</v>
      </c>
      <c r="C556" s="27" t="inlineStr">
        <is>
          <t>Henkey gumilar</t>
        </is>
      </c>
      <c r="D556" s="171" t="n">
        <v>46191.41666666666</v>
      </c>
      <c r="E556" s="26" t="n">
        <v>0.2390162037037037</v>
      </c>
      <c r="F556" s="27" t="inlineStr">
        <is>
          <t>Shift 1</t>
        </is>
      </c>
      <c r="G556" s="27" t="n"/>
    </row>
    <row r="557" hidden="1" s="169">
      <c r="A557" s="27" t="inlineStr">
        <is>
          <t>MK00138</t>
        </is>
      </c>
      <c r="B557" s="27" t="n">
        <v>528000270</v>
      </c>
      <c r="C557" s="27" t="inlineStr">
        <is>
          <t>Febri Najmudin</t>
        </is>
      </c>
      <c r="D557" s="171" t="n">
        <v>46191.41666666666</v>
      </c>
      <c r="E557" s="26" t="n">
        <v>0.2419212962962963</v>
      </c>
      <c r="F557" s="27" t="inlineStr">
        <is>
          <t>Shift 1</t>
        </is>
      </c>
      <c r="G557" s="27" t="n"/>
    </row>
    <row r="558" hidden="1" s="169">
      <c r="A558" s="27" t="inlineStr">
        <is>
          <t>MK00151</t>
        </is>
      </c>
      <c r="B558" s="27" t="n">
        <v>528000282</v>
      </c>
      <c r="C558" s="27" t="inlineStr">
        <is>
          <t>Defa Desfiana</t>
        </is>
      </c>
      <c r="D558" s="171" t="n">
        <v>46191.41666666666</v>
      </c>
      <c r="E558" s="26" t="n">
        <v>0.3194097222222222</v>
      </c>
      <c r="F558" s="27" t="inlineStr">
        <is>
          <t>Shift 1</t>
        </is>
      </c>
      <c r="G558" s="27" t="inlineStr">
        <is>
          <t>22b</t>
        </is>
      </c>
    </row>
    <row r="559" hidden="1" s="169">
      <c r="A559" s="27" t="inlineStr">
        <is>
          <t>MK00210</t>
        </is>
      </c>
      <c r="B559" s="27" t="n">
        <v>528000265</v>
      </c>
      <c r="C559" s="27" t="inlineStr">
        <is>
          <t>Muhammad Haerul Rozikin</t>
        </is>
      </c>
      <c r="D559" s="171" t="n">
        <v>46191.41666666666</v>
      </c>
      <c r="E559" s="26" t="n">
        <v>0.3228703703703704</v>
      </c>
      <c r="F559" s="27" t="inlineStr">
        <is>
          <t>Shift 1</t>
        </is>
      </c>
      <c r="G559" s="27" t="n"/>
    </row>
    <row r="560">
      <c r="A560" s="27" t="inlineStr">
        <is>
          <t>MK00113</t>
        </is>
      </c>
      <c r="B560" s="27" t="n">
        <v>528000015</v>
      </c>
      <c r="C560" s="27" t="inlineStr">
        <is>
          <t>Erwin</t>
        </is>
      </c>
      <c r="D560" s="171" t="n">
        <v>46191.41666666666</v>
      </c>
      <c r="E560" s="26" t="n">
        <v>0.3274074074074074</v>
      </c>
      <c r="F560" s="27" t="inlineStr">
        <is>
          <t>Shift 1</t>
        </is>
      </c>
      <c r="G560" s="27" t="n"/>
    </row>
    <row r="561" hidden="1" s="169">
      <c r="A561" s="27" t="inlineStr">
        <is>
          <t>MK00235</t>
        </is>
      </c>
      <c r="B561" s="27" t="n">
        <v>528000287</v>
      </c>
      <c r="C561" s="27" t="inlineStr">
        <is>
          <t>Muhamad Angga Ramdani</t>
        </is>
      </c>
      <c r="D561" s="171" t="n">
        <v>46191.41666666666</v>
      </c>
      <c r="E561" s="26" t="n">
        <v>0.3277777777777778</v>
      </c>
      <c r="F561" s="27" t="inlineStr">
        <is>
          <t>Shift 1</t>
        </is>
      </c>
      <c r="G561" s="27" t="n"/>
    </row>
    <row r="562" hidden="1" s="169">
      <c r="A562" s="27" t="inlineStr">
        <is>
          <t>MK00228</t>
        </is>
      </c>
      <c r="B562" s="27" t="n">
        <v>528000349</v>
      </c>
      <c r="C562" s="27" t="inlineStr">
        <is>
          <t>Anas Abdul Fatah</t>
        </is>
      </c>
      <c r="D562" s="171" t="n">
        <v>46191.41666666666</v>
      </c>
      <c r="E562" s="26" t="n">
        <v>0.3281481481481481</v>
      </c>
      <c r="F562" s="27" t="inlineStr">
        <is>
          <t>Shift 1</t>
        </is>
      </c>
      <c r="G562" s="27" t="n"/>
    </row>
    <row r="563" hidden="1" s="169">
      <c r="A563" s="27" t="inlineStr">
        <is>
          <t>MK00109</t>
        </is>
      </c>
      <c r="B563" s="27" t="n">
        <v>528000144</v>
      </c>
      <c r="C563" s="27" t="inlineStr">
        <is>
          <t>Jodi Hanafi</t>
        </is>
      </c>
      <c r="D563" s="171" t="n">
        <v>46191.41666666666</v>
      </c>
      <c r="E563" s="26" t="n">
        <v>0.334537037037037</v>
      </c>
      <c r="F563" s="27" t="inlineStr">
        <is>
          <t>Shift 1</t>
        </is>
      </c>
      <c r="G563" s="27" t="n"/>
    </row>
    <row r="564" hidden="1" s="169">
      <c r="A564" s="27" t="inlineStr">
        <is>
          <t>MK00158</t>
        </is>
      </c>
      <c r="B564" s="27" t="n">
        <v>528000351</v>
      </c>
      <c r="C564" s="27" t="inlineStr">
        <is>
          <t>Mulyana</t>
        </is>
      </c>
      <c r="D564" s="171" t="n">
        <v>46191.41666666666</v>
      </c>
      <c r="E564" s="26" t="n">
        <v>0.3483101851851852</v>
      </c>
      <c r="F564" s="27" t="inlineStr">
        <is>
          <t>Shift 1</t>
        </is>
      </c>
      <c r="G564" s="27" t="n"/>
    </row>
    <row r="565" hidden="1" s="169">
      <c r="A565" s="27" t="inlineStr">
        <is>
          <t>MK00126</t>
        </is>
      </c>
      <c r="B565" s="27" t="n">
        <v>628000064</v>
      </c>
      <c r="C565" s="27" t="inlineStr">
        <is>
          <t>Silva Alypia</t>
        </is>
      </c>
      <c r="D565" s="171" t="n">
        <v>46191.41666666666</v>
      </c>
      <c r="E565" s="26" t="n">
        <v>0.5733564814814814</v>
      </c>
      <c r="F565" s="27" t="inlineStr">
        <is>
          <t>Shift 2</t>
        </is>
      </c>
      <c r="G565" s="27" t="n"/>
    </row>
    <row r="566" hidden="1" s="169">
      <c r="A566" s="27" t="inlineStr">
        <is>
          <t>MK00112</t>
        </is>
      </c>
      <c r="B566" s="27" t="n">
        <v>528000297</v>
      </c>
      <c r="C566" s="27" t="inlineStr">
        <is>
          <t>Muhamad Budiana</t>
        </is>
      </c>
      <c r="D566" s="171" t="n">
        <v>46191.41666666666</v>
      </c>
      <c r="E566" s="26" t="n">
        <v>0.5768634259259259</v>
      </c>
      <c r="F566" s="27" t="inlineStr">
        <is>
          <t>Shift 2</t>
        </is>
      </c>
      <c r="G566" s="27" t="n"/>
    </row>
    <row r="567" hidden="1" s="169">
      <c r="A567" s="27" t="inlineStr">
        <is>
          <t>MK00208</t>
        </is>
      </c>
      <c r="B567" s="27" t="n">
        <v>528000279</v>
      </c>
      <c r="C567" s="27" t="inlineStr">
        <is>
          <t>Mahdalena Dalfa Riani</t>
        </is>
      </c>
      <c r="D567" s="171" t="n">
        <v>46191.41666666666</v>
      </c>
      <c r="E567" s="26" t="n">
        <v>0.5812384259259259</v>
      </c>
      <c r="F567" s="27" t="inlineStr">
        <is>
          <t>Shift 2</t>
        </is>
      </c>
      <c r="G567" s="27" t="n"/>
    </row>
    <row r="568" hidden="1" s="169">
      <c r="A568" s="27" t="inlineStr">
        <is>
          <t>MK00205</t>
        </is>
      </c>
      <c r="B568" s="27" t="n">
        <v>528000348</v>
      </c>
      <c r="C568" s="27" t="inlineStr">
        <is>
          <t>Saepuloh Ardiansah</t>
        </is>
      </c>
      <c r="D568" s="171" t="n">
        <v>46191.41666666666</v>
      </c>
      <c r="E568" s="26" t="n">
        <v>0.6801273148148148</v>
      </c>
      <c r="F568" s="27" t="inlineStr">
        <is>
          <t>Shift 2</t>
        </is>
      </c>
      <c r="G568" s="27" t="n"/>
    </row>
    <row r="569" hidden="1" s="169">
      <c r="A569" s="27" t="inlineStr">
        <is>
          <t>MK00230</t>
        </is>
      </c>
      <c r="B569" s="27" t="n">
        <v>528000273</v>
      </c>
      <c r="C569" s="27" t="inlineStr">
        <is>
          <t>Asep Mulyana</t>
        </is>
      </c>
      <c r="D569" s="171" t="n">
        <v>46191.41666666666</v>
      </c>
      <c r="E569" s="26" t="n">
        <v>0.7508449074074074</v>
      </c>
      <c r="F569" s="27" t="inlineStr">
        <is>
          <t>Shift 2</t>
        </is>
      </c>
      <c r="G569" s="27" t="n"/>
    </row>
    <row r="570" hidden="1" s="169">
      <c r="A570" s="27" t="inlineStr">
        <is>
          <t>MK00055</t>
        </is>
      </c>
      <c r="B570" s="27" t="n">
        <v>528000212</v>
      </c>
      <c r="C570" s="27" t="inlineStr">
        <is>
          <t>Rizal Fauzi</t>
        </is>
      </c>
      <c r="D570" s="171" t="n">
        <v>46191.41666666666</v>
      </c>
      <c r="E570" s="26" t="n">
        <v>0.8909259259259259</v>
      </c>
      <c r="F570" s="27" t="inlineStr">
        <is>
          <t>Shift 3</t>
        </is>
      </c>
      <c r="G570" s="27" t="n"/>
    </row>
    <row r="571" hidden="1" s="169">
      <c r="A571" s="27" t="inlineStr">
        <is>
          <t>MK00203</t>
        </is>
      </c>
      <c r="B571" s="27" t="n">
        <v>528000201</v>
      </c>
      <c r="C571" s="27" t="inlineStr">
        <is>
          <t>Zahwa Amelia Choerunissa</t>
        </is>
      </c>
      <c r="D571" s="171" t="n">
        <v>46191.41666666666</v>
      </c>
      <c r="E571" s="26" t="n">
        <v>0.8944560185185185</v>
      </c>
      <c r="F571" s="27" t="inlineStr">
        <is>
          <t>Shift 3</t>
        </is>
      </c>
      <c r="G571" s="27" t="n"/>
    </row>
    <row r="572" hidden="1" s="169">
      <c r="A572" s="27" t="inlineStr">
        <is>
          <t>MK00181</t>
        </is>
      </c>
      <c r="B572" s="27" t="n">
        <v>528000099</v>
      </c>
      <c r="C572" s="27" t="inlineStr">
        <is>
          <t>Siti Nurawaliah</t>
        </is>
      </c>
      <c r="D572" s="171" t="n">
        <v>46191.41666666666</v>
      </c>
      <c r="E572" s="26" t="n">
        <v>0.8963078703703704</v>
      </c>
      <c r="F572" s="27" t="inlineStr">
        <is>
          <t>Shift 3</t>
        </is>
      </c>
      <c r="G572" s="27" t="n"/>
    </row>
    <row r="573" hidden="1" s="169">
      <c r="A573" s="27" t="inlineStr">
        <is>
          <t>MK00235</t>
        </is>
      </c>
      <c r="B573" s="27" t="n">
        <v>528000244</v>
      </c>
      <c r="C573" s="27" t="inlineStr">
        <is>
          <t>Rodian Rifai</t>
        </is>
      </c>
      <c r="D573" s="171" t="n">
        <v>46191.41666666666</v>
      </c>
      <c r="E573" s="26" t="n">
        <v>0.8967708333333333</v>
      </c>
      <c r="F573" s="27" t="inlineStr">
        <is>
          <t>Shift 3</t>
        </is>
      </c>
      <c r="G573" s="27" t="inlineStr">
        <is>
          <t>22F</t>
        </is>
      </c>
    </row>
    <row r="574" hidden="1" s="169">
      <c r="A574" s="27" t="inlineStr">
        <is>
          <t>MK00228</t>
        </is>
      </c>
      <c r="B574" s="27" t="n">
        <v>528000286</v>
      </c>
      <c r="C574" s="27" t="inlineStr">
        <is>
          <t>Imelda Amelia</t>
        </is>
      </c>
      <c r="D574" s="171" t="n">
        <v>46191.41666666666</v>
      </c>
      <c r="E574" s="26" t="n">
        <v>0.8971180555555556</v>
      </c>
      <c r="F574" s="27" t="inlineStr">
        <is>
          <t>Shift 3</t>
        </is>
      </c>
      <c r="G574" s="27" t="n"/>
    </row>
    <row r="575" hidden="1" s="169">
      <c r="A575" s="27" t="inlineStr">
        <is>
          <t>MK00151</t>
        </is>
      </c>
      <c r="B575" s="27" t="n">
        <v>528000290</v>
      </c>
      <c r="C575" s="27" t="inlineStr">
        <is>
          <t>Eval Pranata</t>
        </is>
      </c>
      <c r="D575" s="171" t="n">
        <v>46191.41666666666</v>
      </c>
      <c r="E575" s="26" t="n">
        <v>0.9153240740740741</v>
      </c>
      <c r="F575" s="27" t="inlineStr">
        <is>
          <t>Shift 3</t>
        </is>
      </c>
      <c r="G575" s="27" t="n"/>
    </row>
    <row r="576" hidden="1" s="169">
      <c r="A576" s="27" t="inlineStr">
        <is>
          <t>MK00156</t>
        </is>
      </c>
      <c r="B576" s="27" t="n">
        <v>628000061</v>
      </c>
      <c r="C576" s="27" t="inlineStr">
        <is>
          <t>Nayla Fadillah Exwantoro</t>
        </is>
      </c>
      <c r="D576" s="171" t="n">
        <v>46192.41666666666</v>
      </c>
      <c r="E576" s="26" t="n">
        <v>0.2337615740740741</v>
      </c>
      <c r="F576" s="27" t="inlineStr">
        <is>
          <t>Shift 1</t>
        </is>
      </c>
      <c r="G576" s="27" t="n"/>
    </row>
    <row r="577" hidden="1" s="169">
      <c r="A577" s="27" t="inlineStr">
        <is>
          <t>MK00202</t>
        </is>
      </c>
      <c r="B577" s="27" t="n">
        <v>528000305</v>
      </c>
      <c r="C577" s="27" t="inlineStr">
        <is>
          <t>Puji Puspita</t>
        </is>
      </c>
      <c r="D577" s="171" t="n">
        <v>46192.41666666666</v>
      </c>
      <c r="E577" s="26" t="n">
        <v>0.2394791666666667</v>
      </c>
      <c r="F577" s="27" t="inlineStr">
        <is>
          <t>Shift 1</t>
        </is>
      </c>
      <c r="G577" s="27" t="n"/>
    </row>
    <row r="578" hidden="1" s="169">
      <c r="A578" s="27" t="inlineStr">
        <is>
          <t>MK00093</t>
        </is>
      </c>
      <c r="B578" s="27" t="n">
        <v>528000270</v>
      </c>
      <c r="C578" s="27" t="inlineStr">
        <is>
          <t>Febri Najmudin</t>
        </is>
      </c>
      <c r="D578" s="171" t="n">
        <v>46192.41666666666</v>
      </c>
      <c r="E578" s="26" t="n">
        <v>0.2402893518518519</v>
      </c>
      <c r="F578" s="27" t="inlineStr">
        <is>
          <t>Shift 1</t>
        </is>
      </c>
      <c r="G578" s="27" t="n"/>
    </row>
    <row r="579" hidden="1" s="169">
      <c r="A579" s="27" t="inlineStr">
        <is>
          <t>MK00230</t>
        </is>
      </c>
      <c r="B579" s="27" t="n">
        <v>528000299</v>
      </c>
      <c r="C579" s="27" t="inlineStr">
        <is>
          <t>Siti Nurjanah</t>
        </is>
      </c>
      <c r="D579" s="171" t="n">
        <v>46192.41666666666</v>
      </c>
      <c r="E579" s="26" t="n">
        <v>0.2403472222222222</v>
      </c>
      <c r="F579" s="27" t="inlineStr">
        <is>
          <t>Shift 1</t>
        </is>
      </c>
      <c r="G579" s="27" t="n"/>
    </row>
    <row r="580" hidden="1" s="169">
      <c r="A580" s="27" t="inlineStr">
        <is>
          <t>MK00138</t>
        </is>
      </c>
      <c r="B580" s="27" t="n">
        <v>528000302</v>
      </c>
      <c r="C580" s="27" t="inlineStr">
        <is>
          <t>Henkey gumilar</t>
        </is>
      </c>
      <c r="D580" s="171" t="n">
        <v>46192.41666666666</v>
      </c>
      <c r="E580" s="26" t="n">
        <v>0.2435416666666667</v>
      </c>
      <c r="F580" s="27" t="inlineStr">
        <is>
          <t>Shift 1</t>
        </is>
      </c>
      <c r="G580" s="27" t="n"/>
    </row>
    <row r="581">
      <c r="A581" s="27" t="inlineStr">
        <is>
          <t>MK00150</t>
        </is>
      </c>
      <c r="B581" s="27" t="n">
        <v>528000015</v>
      </c>
      <c r="C581" s="27" t="inlineStr">
        <is>
          <t>Erwin</t>
        </is>
      </c>
      <c r="D581" s="171" t="n">
        <v>46192.41666666666</v>
      </c>
      <c r="E581" s="26" t="n">
        <v>0.3177430555555555</v>
      </c>
      <c r="F581" s="27" t="inlineStr">
        <is>
          <t>Shift 1</t>
        </is>
      </c>
      <c r="G581" s="27" t="n"/>
    </row>
    <row r="582" hidden="1" s="169">
      <c r="A582" s="27" t="inlineStr">
        <is>
          <t>MK00145</t>
        </is>
      </c>
      <c r="B582" s="27" t="n">
        <v>528000282</v>
      </c>
      <c r="C582" s="27" t="inlineStr">
        <is>
          <t>Defa Desfiana</t>
        </is>
      </c>
      <c r="D582" s="171" t="n">
        <v>46192.41666666666</v>
      </c>
      <c r="E582" s="26" t="n">
        <v>0.325150462962963</v>
      </c>
      <c r="F582" s="27" t="inlineStr">
        <is>
          <t>Shift 1</t>
        </is>
      </c>
      <c r="G582" s="27" t="inlineStr">
        <is>
          <t>33b</t>
        </is>
      </c>
    </row>
    <row r="583" hidden="1" s="169">
      <c r="A583" s="27" t="inlineStr">
        <is>
          <t>MK00126</t>
        </is>
      </c>
      <c r="B583" s="27" t="n">
        <v>528000265</v>
      </c>
      <c r="C583" s="27" t="inlineStr">
        <is>
          <t>Muhammad Haerul Rozikin</t>
        </is>
      </c>
      <c r="D583" s="171" t="n">
        <v>46192.41666666666</v>
      </c>
      <c r="E583" s="26" t="n">
        <v>0.3266782407407408</v>
      </c>
      <c r="F583" s="27" t="inlineStr">
        <is>
          <t>Shift 1</t>
        </is>
      </c>
      <c r="G583" s="27" t="n"/>
    </row>
    <row r="584" hidden="1" s="169">
      <c r="A584" s="27" t="inlineStr">
        <is>
          <t>MK00192</t>
        </is>
      </c>
      <c r="B584" s="27" t="n">
        <v>528000144</v>
      </c>
      <c r="C584" s="27" t="inlineStr">
        <is>
          <t>Jodi Hanafi</t>
        </is>
      </c>
      <c r="D584" s="171" t="n">
        <v>46192.41666666666</v>
      </c>
      <c r="E584" s="26" t="n">
        <v>0.3325810185185185</v>
      </c>
      <c r="F584" s="27" t="inlineStr">
        <is>
          <t>Shift 1</t>
        </is>
      </c>
      <c r="G584" s="27" t="n"/>
    </row>
    <row r="585" hidden="1" s="169">
      <c r="A585" s="27" t="inlineStr">
        <is>
          <t>MK00228</t>
        </is>
      </c>
      <c r="B585" s="27" t="n">
        <v>528000351</v>
      </c>
      <c r="C585" s="27" t="inlineStr">
        <is>
          <t>Mulyana</t>
        </is>
      </c>
      <c r="D585" s="171" t="n">
        <v>46192.41666666666</v>
      </c>
      <c r="E585" s="26" t="n">
        <v>0.3420949074074074</v>
      </c>
      <c r="F585" s="27" t="inlineStr">
        <is>
          <t>Shift 1</t>
        </is>
      </c>
      <c r="G585" s="27" t="n"/>
    </row>
    <row r="586" hidden="1" s="169">
      <c r="A586" s="27" t="inlineStr">
        <is>
          <t>MK00213</t>
        </is>
      </c>
      <c r="B586" s="27" t="n">
        <v>528000232</v>
      </c>
      <c r="C586" s="27" t="inlineStr">
        <is>
          <t>Agung Aji Suhada</t>
        </is>
      </c>
      <c r="D586" s="171" t="n">
        <v>46192.41666666666</v>
      </c>
      <c r="E586" s="26" t="n">
        <v>0.3767824074074074</v>
      </c>
      <c r="F586" s="27" t="inlineStr">
        <is>
          <t>Shift 1</t>
        </is>
      </c>
      <c r="G586" s="27" t="n"/>
    </row>
    <row r="587" hidden="1" s="169">
      <c r="A587" s="27" t="inlineStr">
        <is>
          <t>MK00212</t>
        </is>
      </c>
      <c r="B587" s="27" t="n">
        <v>528000149</v>
      </c>
      <c r="C587" s="27" t="inlineStr">
        <is>
          <t>Tio Fernanda</t>
        </is>
      </c>
      <c r="D587" s="171" t="n">
        <v>46192.41666666666</v>
      </c>
      <c r="E587" s="26" t="n">
        <v>0.377662037037037</v>
      </c>
      <c r="F587" s="27" t="inlineStr">
        <is>
          <t>Shift 1</t>
        </is>
      </c>
      <c r="G587" s="27" t="n"/>
    </row>
    <row r="588" hidden="1" s="169">
      <c r="A588" s="27" t="inlineStr">
        <is>
          <t>MK00203</t>
        </is>
      </c>
      <c r="B588" s="27" t="n">
        <v>528000203</v>
      </c>
      <c r="C588" s="27" t="inlineStr">
        <is>
          <t>Yudha Ramdhan Putra</t>
        </is>
      </c>
      <c r="D588" s="171" t="n">
        <v>46192.41666666666</v>
      </c>
      <c r="E588" s="26" t="n">
        <v>0.3778125</v>
      </c>
      <c r="F588" s="27" t="inlineStr">
        <is>
          <t>Shift 1</t>
        </is>
      </c>
      <c r="G588" s="27" t="n"/>
    </row>
    <row r="589" hidden="1" s="169">
      <c r="A589" s="27" t="inlineStr">
        <is>
          <t>MK00205</t>
        </is>
      </c>
      <c r="B589" s="27" t="n">
        <v>528000348</v>
      </c>
      <c r="C589" s="27" t="inlineStr">
        <is>
          <t>Saepuloh Ardiansah</t>
        </is>
      </c>
      <c r="D589" s="171" t="n">
        <v>46192.41666666666</v>
      </c>
      <c r="E589" s="26" t="n">
        <v>0.5348611111111111</v>
      </c>
      <c r="F589" s="27" t="inlineStr">
        <is>
          <t>Shift 1</t>
        </is>
      </c>
      <c r="G589" s="27" t="n"/>
    </row>
    <row r="590" hidden="1" s="169">
      <c r="A590" s="27" t="inlineStr">
        <is>
          <t>MK00085</t>
        </is>
      </c>
      <c r="B590" s="27" t="n">
        <v>528000273</v>
      </c>
      <c r="C590" s="27" t="inlineStr">
        <is>
          <t>Asep Mulyana</t>
        </is>
      </c>
      <c r="D590" s="171" t="n">
        <v>46192.41666666666</v>
      </c>
      <c r="E590" s="26" t="n">
        <v>0.5379861111111112</v>
      </c>
      <c r="F590" s="27" t="inlineStr">
        <is>
          <t>Shift 1</t>
        </is>
      </c>
      <c r="G590" s="27" t="n"/>
    </row>
    <row r="591" hidden="1" s="169">
      <c r="A591" s="27" t="inlineStr">
        <is>
          <t>MK00158</t>
        </is>
      </c>
      <c r="B591" s="27" t="n">
        <v>628000064</v>
      </c>
      <c r="C591" s="27" t="inlineStr">
        <is>
          <t>Silva Alypia</t>
        </is>
      </c>
      <c r="D591" s="171" t="n">
        <v>46192.41666666666</v>
      </c>
      <c r="E591" s="26" t="n">
        <v>0.5697916666666667</v>
      </c>
      <c r="F591" s="27" t="inlineStr">
        <is>
          <t>Shift 2</t>
        </is>
      </c>
      <c r="G591" s="27" t="n"/>
    </row>
    <row r="592" hidden="1" s="169">
      <c r="A592" s="27" t="inlineStr">
        <is>
          <t>MK00228</t>
        </is>
      </c>
      <c r="B592" s="27" t="n">
        <v>528000279</v>
      </c>
      <c r="C592" s="27" t="inlineStr">
        <is>
          <t>Mahdalena Dalfa Riani</t>
        </is>
      </c>
      <c r="D592" s="171" t="n">
        <v>46192.41666666666</v>
      </c>
      <c r="E592" s="26" t="n">
        <v>0.5749768518518519</v>
      </c>
      <c r="F592" s="27" t="inlineStr">
        <is>
          <t>Shift 2</t>
        </is>
      </c>
      <c r="G592" s="27" t="n"/>
    </row>
    <row r="593" hidden="1" s="169">
      <c r="A593" s="27" t="inlineStr">
        <is>
          <t>MK00088</t>
        </is>
      </c>
      <c r="B593" s="27" t="n">
        <v>528000297</v>
      </c>
      <c r="C593" s="27" t="inlineStr">
        <is>
          <t>Muhamad Budiana</t>
        </is>
      </c>
      <c r="D593" s="171" t="n">
        <v>46192.41666666666</v>
      </c>
      <c r="E593" s="26" t="n">
        <v>0.575787037037037</v>
      </c>
      <c r="F593" s="27" t="inlineStr">
        <is>
          <t>Shift 2</t>
        </is>
      </c>
      <c r="G593" s="27" t="n"/>
    </row>
    <row r="594" hidden="1" s="169">
      <c r="A594" s="27" t="inlineStr">
        <is>
          <t>MK00151</t>
        </is>
      </c>
      <c r="B594" s="27" t="n">
        <v>528000195</v>
      </c>
      <c r="C594" s="27" t="inlineStr">
        <is>
          <t>Rahma Sariwati</t>
        </is>
      </c>
      <c r="D594" s="171" t="n">
        <v>46192.41666666666</v>
      </c>
      <c r="E594" s="26" t="n">
        <v>0.8941550925925926</v>
      </c>
      <c r="F594" s="27" t="inlineStr">
        <is>
          <t>Shift 3</t>
        </is>
      </c>
      <c r="G594" s="27" t="n"/>
    </row>
    <row r="595" hidden="1" s="169">
      <c r="A595" s="27" t="inlineStr">
        <is>
          <t>MK00208</t>
        </is>
      </c>
      <c r="B595" s="27" t="n">
        <v>528000262</v>
      </c>
      <c r="C595" s="27" t="inlineStr">
        <is>
          <t>Ndari Dwiwanti</t>
        </is>
      </c>
      <c r="D595" s="171" t="n">
        <v>46192.41666666666</v>
      </c>
      <c r="E595" s="26" t="n">
        <v>0.8978125</v>
      </c>
      <c r="F595" s="27" t="inlineStr">
        <is>
          <t>Shift 3</t>
        </is>
      </c>
      <c r="G595" s="27" t="n"/>
    </row>
    <row r="596" hidden="1" s="169">
      <c r="A596" s="27" t="inlineStr">
        <is>
          <t>MK00249</t>
        </is>
      </c>
      <c r="B596" s="27" t="n">
        <v>528000266</v>
      </c>
      <c r="C596" s="27" t="inlineStr">
        <is>
          <t>M. Syirajatieq</t>
        </is>
      </c>
      <c r="D596" s="171" t="n">
        <v>46192.41666666666</v>
      </c>
      <c r="E596" s="26" t="n">
        <v>0.8986805555555556</v>
      </c>
      <c r="F596" s="27" t="inlineStr">
        <is>
          <t>Shift 3</t>
        </is>
      </c>
      <c r="G596" s="27" t="n"/>
    </row>
    <row r="597" hidden="1" s="169">
      <c r="A597" s="27" t="inlineStr">
        <is>
          <t>MK00145</t>
        </is>
      </c>
      <c r="B597" s="27" t="n">
        <v>528000261</v>
      </c>
      <c r="C597" s="27" t="inlineStr">
        <is>
          <t>Ergi Ergianto</t>
        </is>
      </c>
      <c r="D597" s="171" t="n">
        <v>46192.41666666666</v>
      </c>
      <c r="E597" s="26" t="n">
        <v>0.908125</v>
      </c>
      <c r="F597" s="27" t="inlineStr">
        <is>
          <t>Shift 3</t>
        </is>
      </c>
      <c r="G597" s="27" t="n"/>
    </row>
    <row r="598" hidden="1" s="169">
      <c r="A598" s="27" t="inlineStr">
        <is>
          <t>MK00093</t>
        </is>
      </c>
      <c r="B598" s="27" t="n">
        <v>528000291</v>
      </c>
      <c r="C598" s="27" t="inlineStr">
        <is>
          <t>Andrian</t>
        </is>
      </c>
      <c r="D598" s="171" t="n">
        <v>46192.41666666666</v>
      </c>
      <c r="E598" s="26" t="n">
        <v>0.9114236111111111</v>
      </c>
      <c r="F598" s="27" t="inlineStr">
        <is>
          <t>Shift 3</t>
        </is>
      </c>
      <c r="G598" s="27" t="n"/>
    </row>
    <row r="599" hidden="1" s="169">
      <c r="A599" s="27" t="inlineStr">
        <is>
          <t>MK00126</t>
        </is>
      </c>
      <c r="B599" s="27" t="n">
        <v>528000283</v>
      </c>
      <c r="C599" s="27" t="inlineStr">
        <is>
          <t>Purwanda Sugiri</t>
        </is>
      </c>
      <c r="D599" s="171" t="n">
        <v>46192.41666666666</v>
      </c>
      <c r="E599" s="26" t="n">
        <v>0.911875</v>
      </c>
      <c r="F599" s="27" t="inlineStr">
        <is>
          <t>Shift 3</t>
        </is>
      </c>
      <c r="G599" s="27" t="n"/>
    </row>
    <row r="600" hidden="1" s="169">
      <c r="A600" s="27" t="inlineStr">
        <is>
          <t>MK00158</t>
        </is>
      </c>
      <c r="B600" s="27" t="n">
        <v>528000299</v>
      </c>
      <c r="C600" s="27" t="inlineStr">
        <is>
          <t>Siti Nurjanah</t>
        </is>
      </c>
      <c r="D600" s="171" t="n">
        <v>46193.41666666666</v>
      </c>
      <c r="E600" s="26" t="n">
        <v>0.2384606481481482</v>
      </c>
      <c r="F600" s="27" t="inlineStr">
        <is>
          <t>Shift 1</t>
        </is>
      </c>
      <c r="G600" s="27" t="n"/>
    </row>
    <row r="601" hidden="1" s="169">
      <c r="A601" s="27" t="inlineStr">
        <is>
          <t>MK00192</t>
        </is>
      </c>
      <c r="B601" s="27" t="n">
        <v>528000270</v>
      </c>
      <c r="C601" s="27" t="inlineStr">
        <is>
          <t>Febri Najmudin</t>
        </is>
      </c>
      <c r="D601" s="171" t="n">
        <v>46193.41666666666</v>
      </c>
      <c r="E601" s="26" t="n">
        <v>0.2428356481481481</v>
      </c>
      <c r="F601" s="27" t="inlineStr">
        <is>
          <t>Shift 1</t>
        </is>
      </c>
      <c r="G601" s="27" t="n"/>
    </row>
    <row r="602" hidden="1" s="169">
      <c r="A602" s="27" t="inlineStr">
        <is>
          <t>MK00046</t>
        </is>
      </c>
      <c r="B602" s="27" t="n">
        <v>628000061</v>
      </c>
      <c r="C602" s="27" t="inlineStr">
        <is>
          <t>Nayla Fadillah Exwantoro</t>
        </is>
      </c>
      <c r="D602" s="171" t="n">
        <v>46193.41666666666</v>
      </c>
      <c r="E602" s="26" t="n">
        <v>0.2438657407407407</v>
      </c>
      <c r="F602" s="27" t="inlineStr">
        <is>
          <t>Shift 1</t>
        </is>
      </c>
      <c r="G602" s="27" t="n"/>
    </row>
    <row r="603" hidden="1" s="169">
      <c r="A603" s="27" t="inlineStr">
        <is>
          <t>MK00156</t>
        </is>
      </c>
      <c r="B603" s="27" t="n">
        <v>528000302</v>
      </c>
      <c r="C603" s="27" t="inlineStr">
        <is>
          <t>Henkey gumilar</t>
        </is>
      </c>
      <c r="D603" s="171" t="n">
        <v>46193.41666666666</v>
      </c>
      <c r="E603" s="26" t="n">
        <v>0.2452199074074074</v>
      </c>
      <c r="F603" s="27" t="inlineStr">
        <is>
          <t>Shift 1</t>
        </is>
      </c>
      <c r="G603" s="27" t="n"/>
    </row>
    <row r="604" hidden="1" s="169">
      <c r="A604" s="27" t="inlineStr">
        <is>
          <t>MK00085</t>
        </is>
      </c>
      <c r="B604" s="27" t="n">
        <v>628000064</v>
      </c>
      <c r="C604" s="27" t="inlineStr">
        <is>
          <t>Silva Alypia</t>
        </is>
      </c>
      <c r="D604" s="171" t="n">
        <v>46193.41666666666</v>
      </c>
      <c r="E604" s="26" t="n">
        <v>0.5728356481481481</v>
      </c>
      <c r="F604" s="27" t="inlineStr">
        <is>
          <t>Shift 2</t>
        </is>
      </c>
      <c r="G604" s="27" t="n"/>
    </row>
    <row r="605" hidden="1" s="169">
      <c r="A605" s="27" t="inlineStr">
        <is>
          <t>MK00230</t>
        </is>
      </c>
      <c r="B605" s="27" t="n">
        <v>528000297</v>
      </c>
      <c r="C605" s="27" t="inlineStr">
        <is>
          <t>Muhamad Budiana</t>
        </is>
      </c>
      <c r="D605" s="171" t="n">
        <v>46193.41666666666</v>
      </c>
      <c r="E605" s="26" t="n">
        <v>0.5742013888888889</v>
      </c>
      <c r="F605" s="27" t="inlineStr">
        <is>
          <t>Shift 2</t>
        </is>
      </c>
      <c r="G605" s="27" t="n"/>
    </row>
    <row r="606" hidden="1" s="169">
      <c r="A606" s="27" t="inlineStr">
        <is>
          <t>MK00249</t>
        </is>
      </c>
      <c r="B606" s="27" t="n">
        <v>528000279</v>
      </c>
      <c r="C606" s="27" t="inlineStr">
        <is>
          <t>Mahdalena Dalfa Riani</t>
        </is>
      </c>
      <c r="D606" s="171" t="n">
        <v>46193.41666666666</v>
      </c>
      <c r="E606" s="26" t="n">
        <v>0.5767708333333333</v>
      </c>
      <c r="F606" s="27" t="inlineStr">
        <is>
          <t>Shift 2</t>
        </is>
      </c>
      <c r="G606" s="27" t="n"/>
    </row>
    <row r="607">
      <c r="A607" s="27" t="inlineStr">
        <is>
          <t>MK00113</t>
        </is>
      </c>
      <c r="B607" s="27" t="n">
        <v>528000015</v>
      </c>
      <c r="C607" s="27" t="inlineStr">
        <is>
          <t>Erwin</t>
        </is>
      </c>
      <c r="D607" s="171" t="n">
        <v>46193.41666666666</v>
      </c>
      <c r="E607" s="26" t="n">
        <v>0.6516087962962963</v>
      </c>
      <c r="F607" s="27" t="inlineStr">
        <is>
          <t>Shift 2</t>
        </is>
      </c>
      <c r="G607" s="27" t="n"/>
    </row>
    <row r="608" hidden="1" s="169">
      <c r="A608" s="27" t="inlineStr">
        <is>
          <t>MK00088</t>
        </is>
      </c>
      <c r="B608" s="27" t="n">
        <v>528000262</v>
      </c>
      <c r="C608" s="27" t="inlineStr">
        <is>
          <t>Ndari Dwiwanti</t>
        </is>
      </c>
      <c r="D608" s="171" t="n">
        <v>46193.41666666666</v>
      </c>
      <c r="E608" s="26" t="n">
        <v>0.8972569444444445</v>
      </c>
      <c r="F608" s="27" t="inlineStr">
        <is>
          <t>Shift 3</t>
        </is>
      </c>
      <c r="G608" s="27" t="n"/>
    </row>
    <row r="609" hidden="1" s="169">
      <c r="A609" s="27" t="inlineStr">
        <is>
          <t>MK00156</t>
        </is>
      </c>
      <c r="B609" s="27" t="n">
        <v>528000195</v>
      </c>
      <c r="C609" s="27" t="inlineStr">
        <is>
          <t>Rahma Sariwati</t>
        </is>
      </c>
      <c r="D609" s="171" t="n">
        <v>46193.41666666666</v>
      </c>
      <c r="E609" s="26" t="n">
        <v>0.8976273148148148</v>
      </c>
      <c r="F609" s="27" t="inlineStr">
        <is>
          <t>Shift 3</t>
        </is>
      </c>
      <c r="G609" s="27" t="n"/>
    </row>
    <row r="610" hidden="1" s="169">
      <c r="A610" s="27" t="inlineStr">
        <is>
          <t>MK00082</t>
        </is>
      </c>
      <c r="B610" s="27" t="n">
        <v>528000358</v>
      </c>
      <c r="C610" s="27" t="inlineStr">
        <is>
          <t>Lulu Agustin</t>
        </is>
      </c>
      <c r="D610" s="171" t="n">
        <v>46193.41666666666</v>
      </c>
      <c r="E610" s="26" t="n">
        <v>0.8987615740740741</v>
      </c>
      <c r="F610" s="27" t="inlineStr">
        <is>
          <t>Shift 3</t>
        </is>
      </c>
      <c r="G610" s="27" t="n"/>
    </row>
    <row r="611" hidden="1" s="169">
      <c r="A611" s="27" t="inlineStr">
        <is>
          <t>MK00213</t>
        </is>
      </c>
      <c r="B611" s="27" t="n">
        <v>528000266</v>
      </c>
      <c r="C611" s="27" t="inlineStr">
        <is>
          <t>M. Syirajatieq</t>
        </is>
      </c>
      <c r="D611" s="171" t="n">
        <v>46193.41666666666</v>
      </c>
      <c r="E611" s="26" t="n">
        <v>0.9013888888888889</v>
      </c>
      <c r="F611" s="27" t="inlineStr">
        <is>
          <t>Shift 3</t>
        </is>
      </c>
      <c r="G611" s="27" t="n"/>
    </row>
    <row r="612" hidden="1" s="169">
      <c r="A612" s="27" t="inlineStr">
        <is>
          <t>MK00138</t>
        </is>
      </c>
      <c r="B612" s="27" t="n">
        <v>528000261</v>
      </c>
      <c r="C612" s="27" t="inlineStr">
        <is>
          <t>Ergi Ergianto</t>
        </is>
      </c>
      <c r="D612" s="171" t="n">
        <v>46193.41666666666</v>
      </c>
      <c r="E612" s="26" t="n">
        <v>0.9095138888888888</v>
      </c>
      <c r="F612" s="27" t="inlineStr">
        <is>
          <t>Shift 3</t>
        </is>
      </c>
      <c r="G612" s="27" t="n"/>
    </row>
    <row r="613" hidden="1" s="169">
      <c r="A613" s="27" t="inlineStr">
        <is>
          <t>MK00150</t>
        </is>
      </c>
      <c r="B613" s="27" t="n">
        <v>528000291</v>
      </c>
      <c r="C613" s="27" t="inlineStr">
        <is>
          <t>Andrian</t>
        </is>
      </c>
      <c r="D613" s="171" t="n">
        <v>46193.41666666666</v>
      </c>
      <c r="E613" s="26" t="n">
        <v>0.9117013888888889</v>
      </c>
      <c r="F613" s="27" t="inlineStr">
        <is>
          <t>Shift 3</t>
        </is>
      </c>
      <c r="G613" s="27" t="n"/>
    </row>
    <row r="614" hidden="1" s="169">
      <c r="A614" s="27" t="inlineStr">
        <is>
          <t>AK0046</t>
        </is>
      </c>
      <c r="B614" s="27" t="n">
        <v>528000283</v>
      </c>
      <c r="C614" s="27" t="inlineStr">
        <is>
          <t>Purwanda Sugiri</t>
        </is>
      </c>
      <c r="D614" s="171" t="n">
        <v>46193.41666666666</v>
      </c>
      <c r="E614" s="26" t="n">
        <v>0.911886574074074</v>
      </c>
      <c r="F614" s="27" t="inlineStr">
        <is>
          <t>Shift 3</t>
        </is>
      </c>
      <c r="G614" s="27" t="n"/>
    </row>
    <row r="615" hidden="1" s="169">
      <c r="A615" s="27" t="inlineStr">
        <is>
          <t>MK00230</t>
        </is>
      </c>
      <c r="B615" s="27" t="n">
        <v>628000061</v>
      </c>
      <c r="C615" s="27" t="inlineStr">
        <is>
          <t>Nayla Fadillah Exwantoro</t>
        </is>
      </c>
      <c r="D615" s="171" t="n">
        <v>46194.41666666666</v>
      </c>
      <c r="E615" s="26" t="n">
        <v>0.238275462962963</v>
      </c>
      <c r="F615" s="27" t="inlineStr">
        <is>
          <t>Shift 1</t>
        </is>
      </c>
      <c r="G615" s="27" t="n"/>
    </row>
    <row r="616" hidden="1" s="169">
      <c r="A616" s="27" t="inlineStr">
        <is>
          <t>MK00181</t>
        </is>
      </c>
      <c r="B616" s="27" t="n">
        <v>528000299</v>
      </c>
      <c r="C616" s="27" t="inlineStr">
        <is>
          <t>Siti Nurjanah</t>
        </is>
      </c>
      <c r="D616" s="171" t="n">
        <v>46194.41666666666</v>
      </c>
      <c r="E616" s="26" t="n">
        <v>0.2387847222222222</v>
      </c>
      <c r="F616" s="27" t="inlineStr">
        <is>
          <t>Shift 1</t>
        </is>
      </c>
      <c r="G616" s="27" t="n"/>
    </row>
    <row r="617" hidden="1" s="169">
      <c r="A617" s="27" t="inlineStr">
        <is>
          <t>MK00192</t>
        </is>
      </c>
      <c r="B617" s="27" t="n">
        <v>528000282</v>
      </c>
      <c r="C617" s="27" t="inlineStr">
        <is>
          <t>Defa Desfiana</t>
        </is>
      </c>
      <c r="D617" s="171" t="n">
        <v>46194.41666666666</v>
      </c>
      <c r="E617" s="26" t="n">
        <v>0.2390509259259259</v>
      </c>
      <c r="F617" s="27" t="inlineStr">
        <is>
          <t>Shift 1</t>
        </is>
      </c>
      <c r="G617" s="27" t="n"/>
    </row>
    <row r="618" hidden="1" s="169">
      <c r="A618" s="27" t="inlineStr">
        <is>
          <t>MK0008</t>
        </is>
      </c>
      <c r="B618" s="27" t="n">
        <v>528000270</v>
      </c>
      <c r="C618" s="27" t="inlineStr">
        <is>
          <t>Febri Najmudin</t>
        </is>
      </c>
      <c r="D618" s="171" t="n">
        <v>46194.41666666666</v>
      </c>
      <c r="E618" s="26" t="n">
        <v>0.2433680555555555</v>
      </c>
      <c r="F618" s="27" t="inlineStr">
        <is>
          <t>Shift 1</t>
        </is>
      </c>
      <c r="G618" s="27" t="n"/>
    </row>
    <row r="619" hidden="1" s="169">
      <c r="A619" s="27" t="inlineStr">
        <is>
          <t>MA00109</t>
        </is>
      </c>
      <c r="B619" s="27" t="n">
        <v>528000265</v>
      </c>
      <c r="C619" s="27" t="inlineStr">
        <is>
          <t>Muhammad Haerul Rozikin</t>
        </is>
      </c>
      <c r="D619" s="171" t="n">
        <v>46194.41666666666</v>
      </c>
      <c r="E619" s="26" t="n">
        <v>0.2476851851851852</v>
      </c>
      <c r="F619" s="27" t="inlineStr">
        <is>
          <t>Shift 1</t>
        </is>
      </c>
      <c r="G619" s="27" t="n"/>
    </row>
    <row r="620" hidden="1" s="169">
      <c r="A620" s="27" t="inlineStr">
        <is>
          <t>MK00213</t>
        </is>
      </c>
      <c r="B620" s="27" t="n">
        <v>528000351</v>
      </c>
      <c r="C620" s="27" t="inlineStr">
        <is>
          <t>Mulyana</t>
        </is>
      </c>
      <c r="D620" s="171" t="n">
        <v>46194.41666666666</v>
      </c>
      <c r="E620" s="26" t="n">
        <v>0.3253240740740741</v>
      </c>
      <c r="F620" s="27" t="inlineStr">
        <is>
          <t>Shift 1</t>
        </is>
      </c>
      <c r="G620" s="27" t="n"/>
    </row>
    <row r="621" hidden="1" s="169">
      <c r="A621" s="27" t="inlineStr">
        <is>
          <t>MK00249</t>
        </is>
      </c>
      <c r="B621" s="27" t="n">
        <v>528000287</v>
      </c>
      <c r="C621" s="27" t="inlineStr">
        <is>
          <t>Muhamad Angga Ramdani</t>
        </is>
      </c>
      <c r="D621" s="171" t="n">
        <v>46194.41666666666</v>
      </c>
      <c r="E621" s="26" t="n">
        <v>0.3254513888888889</v>
      </c>
      <c r="F621" s="27" t="inlineStr">
        <is>
          <t>Shift 1</t>
        </is>
      </c>
      <c r="G621" s="27" t="n"/>
    </row>
    <row r="622" hidden="1" s="169">
      <c r="A622" s="27" t="inlineStr">
        <is>
          <t>MK00141</t>
        </is>
      </c>
      <c r="B622" s="27" t="n">
        <v>528000273</v>
      </c>
      <c r="C622" s="27" t="inlineStr">
        <is>
          <t>Asep Mulyana</t>
        </is>
      </c>
      <c r="D622" s="171" t="n">
        <v>46194.41666666666</v>
      </c>
      <c r="E622" s="26" t="n">
        <v>0.3273842592592592</v>
      </c>
      <c r="F622" s="27" t="inlineStr">
        <is>
          <t>Shift 1</t>
        </is>
      </c>
      <c r="G622" s="27" t="n"/>
    </row>
    <row r="623" hidden="1" s="169">
      <c r="A623" s="27" t="inlineStr">
        <is>
          <t>MK00145</t>
        </is>
      </c>
      <c r="B623" s="27" t="n">
        <v>528000349</v>
      </c>
      <c r="C623" s="27" t="inlineStr">
        <is>
          <t>Anas Abdul Fatah</t>
        </is>
      </c>
      <c r="D623" s="171" t="n">
        <v>46194.41666666666</v>
      </c>
      <c r="E623" s="26" t="n">
        <v>0.3307060185185185</v>
      </c>
      <c r="F623" s="27" t="inlineStr">
        <is>
          <t>Shift 1</t>
        </is>
      </c>
      <c r="G623" s="27" t="n"/>
    </row>
    <row r="624" hidden="1" s="169">
      <c r="A624" s="27" t="inlineStr">
        <is>
          <t>MK00156</t>
        </is>
      </c>
      <c r="B624" s="27" t="n">
        <v>528000055</v>
      </c>
      <c r="C624" s="27" t="inlineStr">
        <is>
          <t>Dika Prasetya</t>
        </is>
      </c>
      <c r="D624" s="171" t="n">
        <v>46194.41666666666</v>
      </c>
      <c r="E624" s="26" t="n">
        <v>0.3313541666666667</v>
      </c>
      <c r="F624" s="27" t="inlineStr">
        <is>
          <t>Shift 1</t>
        </is>
      </c>
      <c r="G624" s="27" t="n"/>
    </row>
    <row r="625" hidden="1" s="169">
      <c r="A625" s="27" t="inlineStr">
        <is>
          <t>MK00212</t>
        </is>
      </c>
      <c r="B625" s="27" t="n">
        <v>528000149</v>
      </c>
      <c r="C625" s="27" t="inlineStr">
        <is>
          <t>Tio Fernanda</t>
        </is>
      </c>
      <c r="D625" s="171" t="n">
        <v>46194.41666666666</v>
      </c>
      <c r="E625" s="26" t="n">
        <v>0.3682523148148148</v>
      </c>
      <c r="F625" s="27" t="inlineStr">
        <is>
          <t>Shift 1</t>
        </is>
      </c>
      <c r="G625" s="27" t="n"/>
    </row>
    <row r="626" hidden="1" s="169">
      <c r="A626" s="27" t="inlineStr">
        <is>
          <t>MK00205</t>
        </is>
      </c>
      <c r="B626" s="27" t="n">
        <v>528000348</v>
      </c>
      <c r="C626" s="27" t="inlineStr">
        <is>
          <t>Saepuloh Ardiansah</t>
        </is>
      </c>
      <c r="D626" s="171" t="n">
        <v>46194.41666666666</v>
      </c>
      <c r="E626" s="26" t="n">
        <v>0.371875</v>
      </c>
      <c r="F626" s="27" t="inlineStr">
        <is>
          <t>Shift 1</t>
        </is>
      </c>
      <c r="G626" s="27" t="n"/>
    </row>
    <row r="627" hidden="1" s="169">
      <c r="A627" s="27" t="inlineStr">
        <is>
          <t>MK00046</t>
        </is>
      </c>
      <c r="B627" s="27" t="n">
        <v>528000232</v>
      </c>
      <c r="C627" s="27" t="inlineStr">
        <is>
          <t>Agung Aji Suhada</t>
        </is>
      </c>
      <c r="D627" s="171" t="n">
        <v>46194.41666666666</v>
      </c>
      <c r="E627" s="26" t="n">
        <v>0.3753472222222222</v>
      </c>
      <c r="F627" s="27" t="inlineStr">
        <is>
          <t>Shift 1</t>
        </is>
      </c>
      <c r="G627" s="27" t="n"/>
    </row>
    <row r="628" hidden="1" s="169">
      <c r="A628" s="27" t="inlineStr">
        <is>
          <t>MK00095</t>
        </is>
      </c>
      <c r="B628" s="27" t="n">
        <v>528000203</v>
      </c>
      <c r="C628" s="27" t="inlineStr">
        <is>
          <t>Yudha Ramdhan Putra</t>
        </is>
      </c>
      <c r="D628" s="171" t="n">
        <v>46194.41666666666</v>
      </c>
      <c r="E628" s="26" t="n">
        <v>0.3765625</v>
      </c>
      <c r="F628" s="27" t="inlineStr">
        <is>
          <t>Shift 1</t>
        </is>
      </c>
      <c r="G628" s="27" t="n"/>
    </row>
    <row r="629" hidden="1" s="169">
      <c r="A629" s="27" t="inlineStr">
        <is>
          <t>MK00055</t>
        </is>
      </c>
      <c r="B629" s="27" t="n">
        <v>528000212</v>
      </c>
      <c r="C629" s="27" t="inlineStr">
        <is>
          <t>Rizal Fauzi</t>
        </is>
      </c>
      <c r="D629" s="171" t="n">
        <v>46194.41666666666</v>
      </c>
      <c r="E629" s="26" t="n">
        <v>0.5685185185185185</v>
      </c>
      <c r="F629" s="27" t="inlineStr">
        <is>
          <t>Shift 2</t>
        </is>
      </c>
      <c r="G629" s="27" t="n"/>
    </row>
    <row r="630" hidden="1" s="169">
      <c r="A630" s="27" t="inlineStr">
        <is>
          <t>MK00208</t>
        </is>
      </c>
      <c r="B630" s="27" t="n">
        <v>528000286</v>
      </c>
      <c r="C630" s="27" t="inlineStr">
        <is>
          <t>Imelda Amelia</t>
        </is>
      </c>
      <c r="D630" s="171" t="n">
        <v>46194.41666666666</v>
      </c>
      <c r="E630" s="26" t="n">
        <v>0.5700115740740741</v>
      </c>
      <c r="F630" s="27" t="inlineStr">
        <is>
          <t>Shift 2</t>
        </is>
      </c>
      <c r="G630" s="27" t="n"/>
    </row>
    <row r="631" hidden="1" s="169">
      <c r="A631" s="27" t="inlineStr">
        <is>
          <t>MK0082</t>
        </is>
      </c>
      <c r="B631" s="27" t="n">
        <v>528000201</v>
      </c>
      <c r="C631" s="27" t="inlineStr">
        <is>
          <t>Zahwa Amelia Choerunissa</t>
        </is>
      </c>
      <c r="D631" s="171" t="n">
        <v>46194.41666666666</v>
      </c>
      <c r="E631" s="26" t="n">
        <v>0.5704861111111111</v>
      </c>
      <c r="F631" s="27" t="inlineStr">
        <is>
          <t>Shift 2</t>
        </is>
      </c>
      <c r="G631" s="27" t="n"/>
    </row>
    <row r="632" hidden="1" s="169">
      <c r="A632" s="27" t="inlineStr">
        <is>
          <t>MK00138</t>
        </is>
      </c>
      <c r="B632" s="27" t="n">
        <v>528000099</v>
      </c>
      <c r="C632" s="27" t="inlineStr">
        <is>
          <t>Siti Nurawaliah</t>
        </is>
      </c>
      <c r="D632" s="171" t="n">
        <v>46194.41666666666</v>
      </c>
      <c r="E632" s="26" t="n">
        <v>0.5709837962962963</v>
      </c>
      <c r="F632" s="27" t="inlineStr">
        <is>
          <t>Shift 2</t>
        </is>
      </c>
      <c r="G632" s="27" t="n"/>
    </row>
    <row r="633" hidden="1" s="169">
      <c r="A633" s="27" t="inlineStr">
        <is>
          <t>MK00126</t>
        </is>
      </c>
      <c r="B633" s="27" t="n">
        <v>528000244</v>
      </c>
      <c r="C633" s="27" t="inlineStr">
        <is>
          <t>Rodian Rifai</t>
        </is>
      </c>
      <c r="D633" s="171" t="n">
        <v>46194.41666666666</v>
      </c>
      <c r="E633" s="26" t="n">
        <v>0.5711921296296296</v>
      </c>
      <c r="F633" s="27" t="inlineStr">
        <is>
          <t>Shift 2</t>
        </is>
      </c>
      <c r="G633" s="27" t="n"/>
    </row>
    <row r="634" hidden="1" s="169">
      <c r="A634" s="27" t="inlineStr">
        <is>
          <t>MK0025Q</t>
        </is>
      </c>
      <c r="B634" s="27" t="n">
        <v>528000290</v>
      </c>
      <c r="C634" s="27" t="inlineStr">
        <is>
          <t>Eval Pranata</t>
        </is>
      </c>
      <c r="D634" s="171" t="n">
        <v>46194.41666666666</v>
      </c>
      <c r="E634" s="26" t="n">
        <v>0.5820949074074074</v>
      </c>
      <c r="F634" s="27" t="inlineStr">
        <is>
          <t>Shift 2</t>
        </is>
      </c>
      <c r="G634" s="27" t="n"/>
    </row>
    <row r="635">
      <c r="A635" s="27" t="inlineStr">
        <is>
          <t>MK00155</t>
        </is>
      </c>
      <c r="B635" s="27" t="n">
        <v>528000015</v>
      </c>
      <c r="C635" s="27" t="inlineStr">
        <is>
          <t>Erwin</t>
        </is>
      </c>
      <c r="D635" s="171" t="n">
        <v>46194.41666666666</v>
      </c>
      <c r="E635" s="26" t="n">
        <v>0.6536111111111111</v>
      </c>
      <c r="F635" s="27" t="inlineStr">
        <is>
          <t>Shift 2</t>
        </is>
      </c>
      <c r="G635" s="27" t="n"/>
    </row>
    <row r="636" hidden="1" s="169">
      <c r="A636" s="27" t="inlineStr">
        <is>
          <t>MK00089</t>
        </is>
      </c>
      <c r="B636" s="27" t="n">
        <v>528000144</v>
      </c>
      <c r="C636" s="27" t="inlineStr">
        <is>
          <t>Jodi Hanafi</t>
        </is>
      </c>
      <c r="D636" s="171" t="n">
        <v>46194.41666666666</v>
      </c>
      <c r="E636" s="26" t="n">
        <v>0.6632060185185186</v>
      </c>
      <c r="F636" s="27" t="inlineStr">
        <is>
          <t>Shift 2</t>
        </is>
      </c>
      <c r="G636" s="27" t="n"/>
    </row>
    <row r="637" hidden="1" s="169">
      <c r="A637" s="27" t="inlineStr">
        <is>
          <t>MK00186</t>
        </is>
      </c>
      <c r="B637" s="27" t="n">
        <v>528000195</v>
      </c>
      <c r="C637" s="27" t="inlineStr">
        <is>
          <t>Rahma Sariwati</t>
        </is>
      </c>
      <c r="D637" s="171" t="n">
        <v>46194.41666666666</v>
      </c>
      <c r="E637" s="26" t="n">
        <v>0.8997106481481482</v>
      </c>
      <c r="F637" s="27" t="inlineStr">
        <is>
          <t>Shift 3</t>
        </is>
      </c>
      <c r="G637" s="27" t="n"/>
    </row>
    <row r="638" hidden="1" s="169">
      <c r="A638" s="27" t="inlineStr">
        <is>
          <t>MK00156</t>
        </is>
      </c>
      <c r="B638" s="27" t="n">
        <v>528000266</v>
      </c>
      <c r="C638" s="27" t="inlineStr">
        <is>
          <t>M. Syirajatieq</t>
        </is>
      </c>
      <c r="D638" s="171" t="n">
        <v>46194.41666666666</v>
      </c>
      <c r="E638" s="26" t="n">
        <v>0.9003472222222222</v>
      </c>
      <c r="F638" s="27" t="inlineStr">
        <is>
          <t>Shift 3</t>
        </is>
      </c>
      <c r="G638" s="27" t="n"/>
    </row>
    <row r="639" hidden="1" s="169">
      <c r="A639" s="27" t="inlineStr">
        <is>
          <t>MK00213</t>
        </is>
      </c>
      <c r="B639" s="27" t="n">
        <v>528000262</v>
      </c>
      <c r="C639" s="27" t="inlineStr">
        <is>
          <t>Ndari Dwiwanti</t>
        </is>
      </c>
      <c r="D639" s="171" t="n">
        <v>46194.41666666666</v>
      </c>
      <c r="E639" s="26" t="n">
        <v>0.9004629629629629</v>
      </c>
      <c r="F639" s="27" t="inlineStr">
        <is>
          <t>Shift 3</t>
        </is>
      </c>
      <c r="G639" s="27" t="n"/>
    </row>
    <row r="640" hidden="1" s="169">
      <c r="A640" s="27" t="inlineStr">
        <is>
          <t>MK00141</t>
        </is>
      </c>
      <c r="B640" s="27" t="n">
        <v>528000358</v>
      </c>
      <c r="C640" s="27" t="inlineStr">
        <is>
          <t>Lulu Agustin</t>
        </is>
      </c>
      <c r="D640" s="171" t="n">
        <v>46194.41666666666</v>
      </c>
      <c r="E640" s="26" t="n">
        <v>0.9030208333333334</v>
      </c>
      <c r="F640" s="27" t="inlineStr">
        <is>
          <t>Shift 3</t>
        </is>
      </c>
      <c r="G640" s="27" t="n"/>
    </row>
    <row r="641" hidden="1" s="169">
      <c r="A641" s="27" t="inlineStr">
        <is>
          <t>MK00192</t>
        </is>
      </c>
      <c r="B641" s="27" t="n">
        <v>528000306</v>
      </c>
      <c r="C641" s="27" t="inlineStr">
        <is>
          <t>Windy Olivia</t>
        </is>
      </c>
      <c r="D641" s="171" t="n">
        <v>46194.41666666666</v>
      </c>
      <c r="E641" s="26" t="n">
        <v>0.9035763888888889</v>
      </c>
      <c r="F641" s="27" t="inlineStr">
        <is>
          <t>Shift 3</t>
        </is>
      </c>
      <c r="G641" s="27" t="n"/>
    </row>
    <row r="642" hidden="1" s="169">
      <c r="A642" s="27" t="inlineStr">
        <is>
          <t>MK00203</t>
        </is>
      </c>
      <c r="B642" s="27" t="n">
        <v>528000261</v>
      </c>
      <c r="C642" s="27" t="inlineStr">
        <is>
          <t>Ergi Ergianto</t>
        </is>
      </c>
      <c r="D642" s="171" t="n">
        <v>46194.41666666666</v>
      </c>
      <c r="E642" s="26" t="n">
        <v>0.9076388888888889</v>
      </c>
      <c r="F642" s="27" t="inlineStr">
        <is>
          <t>Shift 3</t>
        </is>
      </c>
      <c r="G642" s="27" t="n"/>
    </row>
    <row r="643" hidden="1" s="169">
      <c r="A643" s="27" t="inlineStr">
        <is>
          <t>MK00008</t>
        </is>
      </c>
      <c r="B643" s="27" t="n">
        <v>528000291</v>
      </c>
      <c r="C643" s="27" t="inlineStr">
        <is>
          <t>Andrian</t>
        </is>
      </c>
      <c r="D643" s="171" t="n">
        <v>46194.41666666666</v>
      </c>
      <c r="E643" s="26" t="n">
        <v>0.9124768518518519</v>
      </c>
      <c r="F643" s="27" t="inlineStr">
        <is>
          <t>Shift 3</t>
        </is>
      </c>
      <c r="G643" s="27" t="n"/>
    </row>
    <row r="644" hidden="1" s="169">
      <c r="A644" s="27" t="inlineStr">
        <is>
          <t>MK0093</t>
        </is>
      </c>
      <c r="B644" s="27" t="n">
        <v>528000283</v>
      </c>
      <c r="C644" s="27" t="inlineStr">
        <is>
          <t>Purwanda Sugiri</t>
        </is>
      </c>
      <c r="D644" s="171" t="n">
        <v>46194.41666666666</v>
      </c>
      <c r="E644" s="26" t="n">
        <v>0.9135069444444445</v>
      </c>
      <c r="F644" s="27" t="inlineStr">
        <is>
          <t>Shift 3</t>
        </is>
      </c>
      <c r="G644" s="27" t="n"/>
    </row>
    <row r="645" hidden="1" s="169">
      <c r="A645" s="27" t="inlineStr">
        <is>
          <t>MK00088</t>
        </is>
      </c>
      <c r="B645" s="27" t="n">
        <v>528000132</v>
      </c>
      <c r="C645" s="27" t="inlineStr">
        <is>
          <t>Giopani</t>
        </is>
      </c>
      <c r="D645" s="171" t="n">
        <v>46195.41666666666</v>
      </c>
      <c r="E645" s="26" t="n">
        <v>0.002615740740740741</v>
      </c>
      <c r="F645" s="27" t="inlineStr">
        <is>
          <t>Shift 3</t>
        </is>
      </c>
      <c r="G645" s="27" t="n"/>
    </row>
    <row r="646" hidden="1" s="169">
      <c r="A646" s="27" t="inlineStr">
        <is>
          <t>MK00126</t>
        </is>
      </c>
      <c r="B646" s="27" t="n">
        <v>628000064</v>
      </c>
      <c r="C646" s="27" t="inlineStr">
        <is>
          <t>Silva Alypia</t>
        </is>
      </c>
      <c r="D646" s="171" t="n">
        <v>46195.41666666666</v>
      </c>
      <c r="E646" s="26" t="n">
        <v>0.2419907407407407</v>
      </c>
      <c r="F646" s="27" t="inlineStr">
        <is>
          <t>Shift 1</t>
        </is>
      </c>
      <c r="G646" s="27" t="n"/>
    </row>
    <row r="647" hidden="1" s="169">
      <c r="A647" s="27" t="inlineStr">
        <is>
          <t>MK00228</t>
        </is>
      </c>
      <c r="B647" s="27" t="n">
        <v>528000279</v>
      </c>
      <c r="C647" s="27" t="inlineStr">
        <is>
          <t>Mahdalena Dalfa Riani</t>
        </is>
      </c>
      <c r="D647" s="171" t="n">
        <v>46195.41666666666</v>
      </c>
      <c r="E647" s="26" t="n">
        <v>0.2452314814814815</v>
      </c>
      <c r="F647" s="27" t="inlineStr">
        <is>
          <t>Shift 1</t>
        </is>
      </c>
      <c r="G647" s="27" t="n"/>
    </row>
    <row r="648" hidden="1" s="169">
      <c r="A648" s="27" t="inlineStr">
        <is>
          <t>MK00109</t>
        </is>
      </c>
      <c r="B648" s="27" t="n">
        <v>528000297</v>
      </c>
      <c r="C648" s="27" t="inlineStr">
        <is>
          <t>Muhamad Budiana</t>
        </is>
      </c>
      <c r="D648" s="171" t="n">
        <v>46195.41666666666</v>
      </c>
      <c r="E648" s="26" t="n">
        <v>0.2457407407407407</v>
      </c>
      <c r="F648" s="27" t="inlineStr">
        <is>
          <t>Shift 1</t>
        </is>
      </c>
      <c r="G648" s="27" t="n"/>
    </row>
    <row r="649" hidden="1" s="169">
      <c r="A649" s="27" t="inlineStr">
        <is>
          <t>MK00085</t>
        </is>
      </c>
      <c r="B649" s="27" t="n">
        <v>528000300</v>
      </c>
      <c r="C649" s="27" t="inlineStr">
        <is>
          <t>Lia pitaloka</t>
        </is>
      </c>
      <c r="D649" s="171" t="n">
        <v>46195.41666666666</v>
      </c>
      <c r="E649" s="26" t="n">
        <v>0.2475347222222222</v>
      </c>
      <c r="F649" s="27" t="inlineStr">
        <is>
          <t>Shift 1</t>
        </is>
      </c>
      <c r="G649" s="27" t="n"/>
    </row>
    <row r="650" hidden="1" s="169">
      <c r="A650" s="27" t="inlineStr">
        <is>
          <t>MK00145</t>
        </is>
      </c>
      <c r="B650" s="27" t="n">
        <v>528000273</v>
      </c>
      <c r="C650" s="27" t="inlineStr">
        <is>
          <t>Asep Mulyana</t>
        </is>
      </c>
      <c r="D650" s="171" t="n">
        <v>46195.41666666666</v>
      </c>
      <c r="E650" s="26" t="n">
        <v>0.3039351851851852</v>
      </c>
      <c r="F650" s="27" t="inlineStr">
        <is>
          <t>Shift 1</t>
        </is>
      </c>
      <c r="G650" s="27" t="n"/>
    </row>
    <row r="651" hidden="1" s="169">
      <c r="A651" s="27" t="inlineStr">
        <is>
          <t>MK00203</t>
        </is>
      </c>
      <c r="B651" s="27" t="n">
        <v>528000282</v>
      </c>
      <c r="C651" s="27" t="inlineStr">
        <is>
          <t>Defa Desfiana</t>
        </is>
      </c>
      <c r="D651" s="171" t="n">
        <v>46195.41666666666</v>
      </c>
      <c r="E651" s="26" t="n">
        <v>0.3146412037037037</v>
      </c>
      <c r="F651" s="27" t="inlineStr">
        <is>
          <t>Shift 1</t>
        </is>
      </c>
      <c r="G651" s="27" t="inlineStr">
        <is>
          <t>23b</t>
        </is>
      </c>
    </row>
    <row r="652" hidden="1" s="169">
      <c r="A652" s="27" t="inlineStr">
        <is>
          <t>MK00199</t>
        </is>
      </c>
      <c r="B652" s="27" t="n">
        <v>528000287</v>
      </c>
      <c r="C652" s="27" t="inlineStr">
        <is>
          <t>Muhamad Angga Ramdani</t>
        </is>
      </c>
      <c r="D652" s="171" t="n">
        <v>46195.41666666666</v>
      </c>
      <c r="E652" s="26" t="n">
        <v>0.3263888888888889</v>
      </c>
      <c r="F652" s="27" t="inlineStr">
        <is>
          <t>Shift 1</t>
        </is>
      </c>
      <c r="G652" s="27" t="n"/>
    </row>
    <row r="653" hidden="1" s="169">
      <c r="A653" s="27" t="inlineStr">
        <is>
          <t>MK00151</t>
        </is>
      </c>
      <c r="B653" s="27" t="n">
        <v>528000349</v>
      </c>
      <c r="C653" s="27" t="inlineStr">
        <is>
          <t>Anas Abdul Fatah</t>
        </is>
      </c>
      <c r="D653" s="171" t="n">
        <v>46195.41666666666</v>
      </c>
      <c r="E653" s="26" t="n">
        <v>0.3275925925925926</v>
      </c>
      <c r="F653" s="27" t="inlineStr">
        <is>
          <t>Shift 1</t>
        </is>
      </c>
      <c r="G653" s="27" t="n"/>
    </row>
    <row r="654" hidden="1" s="169">
      <c r="A654" s="27" t="inlineStr">
        <is>
          <t>MK00156</t>
        </is>
      </c>
      <c r="B654" s="27" t="n">
        <v>528000265</v>
      </c>
      <c r="C654" s="27" t="inlineStr">
        <is>
          <t>Muhammad Haerul Rozikin</t>
        </is>
      </c>
      <c r="D654" s="171" t="n">
        <v>46195.41666666666</v>
      </c>
      <c r="E654" s="26" t="n">
        <v>0.3292939814814815</v>
      </c>
      <c r="F654" s="27" t="inlineStr">
        <is>
          <t>Shift 1</t>
        </is>
      </c>
      <c r="G654" s="27" t="n"/>
    </row>
    <row r="655" hidden="1" s="169">
      <c r="A655" s="27" t="inlineStr">
        <is>
          <t>MK00046</t>
        </is>
      </c>
      <c r="B655" s="27" t="n">
        <v>528000351</v>
      </c>
      <c r="C655" s="27" t="inlineStr">
        <is>
          <t>Mulyana</t>
        </is>
      </c>
      <c r="D655" s="171" t="n">
        <v>46195.41666666666</v>
      </c>
      <c r="E655" s="26" t="n">
        <v>0.3303125</v>
      </c>
      <c r="F655" s="27" t="inlineStr">
        <is>
          <t>Shift 1</t>
        </is>
      </c>
      <c r="G655" s="27" t="n"/>
    </row>
    <row r="656" hidden="1" s="169">
      <c r="A656" s="27" t="inlineStr">
        <is>
          <t>MK0008</t>
        </is>
      </c>
      <c r="B656" s="27" t="n">
        <v>528000055</v>
      </c>
      <c r="C656" s="27" t="inlineStr">
        <is>
          <t>Dika Prasetya</t>
        </is>
      </c>
      <c r="D656" s="171" t="n">
        <v>46195.41666666666</v>
      </c>
      <c r="E656" s="26" t="n">
        <v>0.3316087962962963</v>
      </c>
      <c r="F656" s="27" t="inlineStr">
        <is>
          <t>Shift 1</t>
        </is>
      </c>
      <c r="G656" s="27" t="n"/>
    </row>
    <row r="657" hidden="1" s="169">
      <c r="A657" s="27" t="inlineStr">
        <is>
          <t>MK00046</t>
        </is>
      </c>
      <c r="B657" s="27" t="n">
        <v>528000232</v>
      </c>
      <c r="C657" s="27" t="inlineStr">
        <is>
          <t>Agung Aji Suhada</t>
        </is>
      </c>
      <c r="D657" s="171" t="n">
        <v>46195.41666666666</v>
      </c>
      <c r="E657" s="26" t="n">
        <v>0.3726504629629629</v>
      </c>
      <c r="F657" s="27" t="inlineStr">
        <is>
          <t>Shift 1</t>
        </is>
      </c>
      <c r="G657" s="27" t="n"/>
    </row>
    <row r="658" hidden="1" s="169">
      <c r="A658" s="27" t="inlineStr">
        <is>
          <t>MK00205</t>
        </is>
      </c>
      <c r="B658" s="27" t="n">
        <v>528000348</v>
      </c>
      <c r="C658" s="27" t="inlineStr">
        <is>
          <t>Saepuloh Ardiansah</t>
        </is>
      </c>
      <c r="D658" s="171" t="n">
        <v>46195.41666666666</v>
      </c>
      <c r="E658" s="26" t="n">
        <v>0.3732291666666667</v>
      </c>
      <c r="F658" s="27" t="inlineStr">
        <is>
          <t>Shift 1</t>
        </is>
      </c>
      <c r="G658" s="27" t="n"/>
    </row>
    <row r="659" hidden="1" s="169">
      <c r="A659" s="27" t="inlineStr">
        <is>
          <t>MK00212</t>
        </is>
      </c>
      <c r="B659" s="27" t="n">
        <v>528000149</v>
      </c>
      <c r="C659" s="27" t="inlineStr">
        <is>
          <t>Tio Fernanda</t>
        </is>
      </c>
      <c r="D659" s="171" t="n">
        <v>46195.41666666666</v>
      </c>
      <c r="E659" s="26" t="n">
        <v>0.3736342592592592</v>
      </c>
      <c r="F659" s="27" t="inlineStr">
        <is>
          <t>Shift 1</t>
        </is>
      </c>
      <c r="G659" s="27" t="n"/>
    </row>
    <row r="660" hidden="1" s="169">
      <c r="A660" s="27" t="inlineStr">
        <is>
          <t>MK00185</t>
        </is>
      </c>
      <c r="B660" s="27" t="n">
        <v>528000203</v>
      </c>
      <c r="C660" s="27" t="inlineStr">
        <is>
          <t>Yudha Ramdhan Putra</t>
        </is>
      </c>
      <c r="D660" s="171" t="n">
        <v>46195.41666666666</v>
      </c>
      <c r="E660" s="26" t="n">
        <v>0.3775694444444445</v>
      </c>
      <c r="F660" s="27" t="inlineStr">
        <is>
          <t>Shift 1</t>
        </is>
      </c>
      <c r="G660" s="27" t="n"/>
    </row>
    <row r="661" hidden="1" s="169">
      <c r="A661" s="27" t="inlineStr">
        <is>
          <t>MK00055</t>
        </is>
      </c>
      <c r="B661" s="27" t="n">
        <v>528000212</v>
      </c>
      <c r="C661" s="27" t="inlineStr">
        <is>
          <t>Rizal Fauzi</t>
        </is>
      </c>
      <c r="D661" s="171" t="n">
        <v>46195.41666666666</v>
      </c>
      <c r="E661" s="26" t="n">
        <v>0.5588310185185185</v>
      </c>
      <c r="F661" s="27" t="inlineStr">
        <is>
          <t>Shift 2</t>
        </is>
      </c>
      <c r="G661" s="27" t="n"/>
    </row>
    <row r="662" hidden="1" s="169">
      <c r="A662" s="27" t="inlineStr">
        <is>
          <t>MK00116</t>
        </is>
      </c>
      <c r="B662" s="27" t="n">
        <v>528000201</v>
      </c>
      <c r="C662" s="27" t="inlineStr">
        <is>
          <t>Zahwa Amelia Choerunissa</t>
        </is>
      </c>
      <c r="D662" s="171" t="n">
        <v>46195.41666666666</v>
      </c>
      <c r="E662" s="26" t="n">
        <v>0.5693634259259259</v>
      </c>
      <c r="F662" s="27" t="inlineStr">
        <is>
          <t>Shift 2</t>
        </is>
      </c>
      <c r="G662" s="27" t="n"/>
    </row>
    <row r="663" hidden="1" s="169">
      <c r="A663" s="27" t="inlineStr">
        <is>
          <t>MK00136</t>
        </is>
      </c>
      <c r="B663" s="27" t="n">
        <v>528000244</v>
      </c>
      <c r="C663" s="27" t="inlineStr">
        <is>
          <t>Rodian Rifai</t>
        </is>
      </c>
      <c r="D663" s="171" t="n">
        <v>46195.41666666666</v>
      </c>
      <c r="E663" s="26" t="n">
        <v>0.5697337962962963</v>
      </c>
      <c r="F663" s="27" t="inlineStr">
        <is>
          <t>Shift 2</t>
        </is>
      </c>
      <c r="G663" s="27" t="n"/>
    </row>
    <row r="664" hidden="1" s="169">
      <c r="A664" s="27" t="inlineStr">
        <is>
          <t>MK00158</t>
        </is>
      </c>
      <c r="B664" s="27" t="n">
        <v>528000099</v>
      </c>
      <c r="C664" s="27" t="inlineStr">
        <is>
          <t>Siti Nurawaliah</t>
        </is>
      </c>
      <c r="D664" s="171" t="n">
        <v>46195.41666666666</v>
      </c>
      <c r="E664" s="26" t="n">
        <v>0.5698842592592592</v>
      </c>
      <c r="F664" s="27" t="inlineStr">
        <is>
          <t>Shift 2</t>
        </is>
      </c>
      <c r="G664" s="27" t="n"/>
    </row>
    <row r="665" hidden="1" s="169">
      <c r="A665" s="27" t="inlineStr">
        <is>
          <t>MK00221</t>
        </is>
      </c>
      <c r="B665" s="27" t="n">
        <v>528000286</v>
      </c>
      <c r="C665" s="27" t="inlineStr">
        <is>
          <t>Imelda Amelia</t>
        </is>
      </c>
      <c r="D665" s="171" t="n">
        <v>46195.41666666666</v>
      </c>
      <c r="E665" s="26" t="n">
        <v>0.5698842592592592</v>
      </c>
      <c r="F665" s="27" t="inlineStr">
        <is>
          <t>Shift 2</t>
        </is>
      </c>
      <c r="G665" s="27" t="n"/>
    </row>
    <row r="666" hidden="1" s="169">
      <c r="A666" s="27" t="inlineStr">
        <is>
          <t>MK00250</t>
        </is>
      </c>
      <c r="B666" s="27" t="n">
        <v>528000241</v>
      </c>
      <c r="C666" s="27" t="inlineStr">
        <is>
          <t>Balia Nurafif Bilah</t>
        </is>
      </c>
      <c r="D666" s="171" t="n">
        <v>46195.41666666666</v>
      </c>
      <c r="E666" s="26" t="n">
        <v>0.5770023148148148</v>
      </c>
      <c r="F666" s="27" t="inlineStr">
        <is>
          <t>Shift 2</t>
        </is>
      </c>
      <c r="G666" s="27" t="n"/>
    </row>
    <row r="667" hidden="1" s="169">
      <c r="A667" s="27" t="inlineStr">
        <is>
          <t>MK00138</t>
        </is>
      </c>
      <c r="B667" s="27" t="n">
        <v>528000228</v>
      </c>
      <c r="C667" s="27" t="inlineStr">
        <is>
          <t>Banyu Resmi Putri</t>
        </is>
      </c>
      <c r="D667" s="171" t="n">
        <v>46195.41666666666</v>
      </c>
      <c r="E667" s="26" t="n">
        <v>0.5787384259259259</v>
      </c>
      <c r="F667" s="27" t="inlineStr">
        <is>
          <t>Shift 2</t>
        </is>
      </c>
      <c r="G667" s="27" t="n"/>
    </row>
    <row r="668" hidden="1" s="169">
      <c r="A668" s="27" t="inlineStr">
        <is>
          <t>MK00235</t>
        </is>
      </c>
      <c r="B668" s="27" t="n">
        <v>528000290</v>
      </c>
      <c r="C668" s="27" t="inlineStr">
        <is>
          <t>Eval Pranata</t>
        </is>
      </c>
      <c r="D668" s="171" t="n">
        <v>46195.41666666666</v>
      </c>
      <c r="E668" s="26" t="n">
        <v>0.5792708333333333</v>
      </c>
      <c r="F668" s="27" t="inlineStr">
        <is>
          <t>Shift 2</t>
        </is>
      </c>
      <c r="G668" s="27" t="n"/>
    </row>
    <row r="669">
      <c r="A669" s="27" t="inlineStr">
        <is>
          <t>MK00215</t>
        </is>
      </c>
      <c r="B669" s="27" t="n">
        <v>528000015</v>
      </c>
      <c r="C669" s="27" t="inlineStr">
        <is>
          <t>Erwin</t>
        </is>
      </c>
      <c r="D669" s="171" t="n">
        <v>46195.41666666666</v>
      </c>
      <c r="E669" s="26" t="n">
        <v>0.6525925925925926</v>
      </c>
      <c r="F669" s="27" t="inlineStr">
        <is>
          <t>Shift 2</t>
        </is>
      </c>
      <c r="G669" s="27" t="n"/>
    </row>
    <row r="670" hidden="1" s="169">
      <c r="A670" s="27" t="inlineStr">
        <is>
          <t>MK00093</t>
        </is>
      </c>
      <c r="B670" s="27" t="n">
        <v>528000144</v>
      </c>
      <c r="C670" s="27" t="inlineStr">
        <is>
          <t>Jodi Hanafi</t>
        </is>
      </c>
      <c r="D670" s="171" t="n">
        <v>46195.41666666666</v>
      </c>
      <c r="E670" s="26" t="n">
        <v>0.6635185185185185</v>
      </c>
      <c r="F670" s="27" t="inlineStr">
        <is>
          <t>Shift 2</t>
        </is>
      </c>
      <c r="G670" s="27" t="n"/>
    </row>
    <row r="671" hidden="1" s="169">
      <c r="A671" s="27" t="inlineStr">
        <is>
          <t>MK00228</t>
        </is>
      </c>
      <c r="B671" s="27" t="n">
        <v>528000132</v>
      </c>
      <c r="C671" s="27" t="inlineStr">
        <is>
          <t>Giopani</t>
        </is>
      </c>
      <c r="D671" s="171" t="n">
        <v>46195.41666666666</v>
      </c>
      <c r="E671" s="26" t="n">
        <v>0.6656365740740741</v>
      </c>
      <c r="F671" s="27" t="inlineStr">
        <is>
          <t>Shift 2</t>
        </is>
      </c>
      <c r="G671" s="27" t="n"/>
    </row>
    <row r="672" hidden="1" s="169">
      <c r="A672" s="27" t="inlineStr">
        <is>
          <t>MK00230</t>
        </is>
      </c>
      <c r="B672" s="27" t="n">
        <v>528000262</v>
      </c>
      <c r="C672" s="27" t="inlineStr">
        <is>
          <t>Ndari Dwiwanti</t>
        </is>
      </c>
      <c r="D672" s="171" t="n">
        <v>46195.41666666666</v>
      </c>
      <c r="E672" s="26" t="n">
        <v>0.8960069444444444</v>
      </c>
      <c r="F672" s="27" t="inlineStr">
        <is>
          <t>Shift 3</t>
        </is>
      </c>
      <c r="G672" s="27" t="n"/>
    </row>
    <row r="673" hidden="1" s="169">
      <c r="A673" s="27" t="inlineStr">
        <is>
          <t>MK00208</t>
        </is>
      </c>
      <c r="B673" s="27" t="n">
        <v>528000266</v>
      </c>
      <c r="C673" s="27" t="inlineStr">
        <is>
          <t>M. Syirajatieq</t>
        </is>
      </c>
      <c r="D673" s="171" t="n">
        <v>46195.41666666666</v>
      </c>
      <c r="E673" s="26" t="n">
        <v>0.8999884259259259</v>
      </c>
      <c r="F673" s="27" t="inlineStr">
        <is>
          <t>Shift 3</t>
        </is>
      </c>
      <c r="G673" s="27" t="n"/>
    </row>
    <row r="674" hidden="1" s="169">
      <c r="A674" s="27" t="inlineStr">
        <is>
          <t>MK00082</t>
        </is>
      </c>
      <c r="B674" s="27" t="n">
        <v>528000358</v>
      </c>
      <c r="C674" s="27" t="inlineStr">
        <is>
          <t>Lulu Agustin</t>
        </is>
      </c>
      <c r="D674" s="171" t="n">
        <v>46195.41666666666</v>
      </c>
      <c r="E674" s="26" t="n">
        <v>0.9034837962962963</v>
      </c>
      <c r="F674" s="27" t="inlineStr">
        <is>
          <t>Shift 3</t>
        </is>
      </c>
      <c r="G674" s="27" t="n"/>
    </row>
    <row r="675" hidden="1" s="169">
      <c r="A675" s="27" t="inlineStr">
        <is>
          <t>MK00150</t>
        </is>
      </c>
      <c r="B675" s="27" t="n">
        <v>528000195</v>
      </c>
      <c r="C675" s="27" t="inlineStr">
        <is>
          <t>Rahma Sariwati</t>
        </is>
      </c>
      <c r="D675" s="171" t="n">
        <v>46195.41666666666</v>
      </c>
      <c r="E675" s="26" t="n">
        <v>0.9038888888888889</v>
      </c>
      <c r="F675" s="27" t="inlineStr">
        <is>
          <t>Shift 3</t>
        </is>
      </c>
      <c r="G675" s="27" t="n"/>
    </row>
    <row r="676" hidden="1" s="169">
      <c r="A676" s="27" t="inlineStr">
        <is>
          <t>MK00192</t>
        </is>
      </c>
      <c r="B676" s="27" t="n">
        <v>528000261</v>
      </c>
      <c r="C676" s="27" t="inlineStr">
        <is>
          <t>Ergi Ergianto</t>
        </is>
      </c>
      <c r="D676" s="171" t="n">
        <v>46195.41666666666</v>
      </c>
      <c r="E676" s="26" t="n">
        <v>0.9082407407407408</v>
      </c>
      <c r="F676" s="27" t="inlineStr">
        <is>
          <t>Shift 3</t>
        </is>
      </c>
      <c r="G676" s="27" t="n"/>
    </row>
    <row r="677" hidden="1" s="169">
      <c r="A677" s="27" t="inlineStr">
        <is>
          <t>MK00126</t>
        </is>
      </c>
      <c r="B677" s="27" t="n">
        <v>528000291</v>
      </c>
      <c r="C677" s="27" t="inlineStr">
        <is>
          <t>Andrian</t>
        </is>
      </c>
      <c r="D677" s="171" t="n">
        <v>46195.41666666666</v>
      </c>
      <c r="E677" s="26" t="n">
        <v>0.9116550925925926</v>
      </c>
      <c r="F677" s="27" t="inlineStr">
        <is>
          <t>Shift 3</t>
        </is>
      </c>
      <c r="G677" s="27" t="n"/>
    </row>
    <row r="678" hidden="1" s="169">
      <c r="A678" s="27" t="inlineStr">
        <is>
          <t>MK00085</t>
        </is>
      </c>
      <c r="B678" s="27" t="n">
        <v>628000064</v>
      </c>
      <c r="C678" s="27" t="inlineStr">
        <is>
          <t>Silva Alypia</t>
        </is>
      </c>
      <c r="D678" s="171" t="n">
        <v>46196.41666666666</v>
      </c>
      <c r="E678" s="26" t="n">
        <v>0.2388425925925926</v>
      </c>
      <c r="F678" s="27" t="inlineStr">
        <is>
          <t>Shift 1</t>
        </is>
      </c>
      <c r="G678" s="27" t="n"/>
    </row>
    <row r="679" hidden="1" s="169">
      <c r="A679" s="27" t="inlineStr">
        <is>
          <t>MK00088</t>
        </is>
      </c>
      <c r="B679" s="27" t="n">
        <v>528000297</v>
      </c>
      <c r="C679" s="27" t="inlineStr">
        <is>
          <t>Muhamad Budiana</t>
        </is>
      </c>
      <c r="D679" s="171" t="n">
        <v>46196.41666666666</v>
      </c>
      <c r="E679" s="26" t="n">
        <v>0.2436574074074074</v>
      </c>
      <c r="F679" s="27" t="inlineStr">
        <is>
          <t>Shift 1</t>
        </is>
      </c>
      <c r="G679" s="27" t="n"/>
    </row>
    <row r="680" hidden="1" s="169">
      <c r="A680" s="27" t="inlineStr">
        <is>
          <t>MK00202</t>
        </is>
      </c>
      <c r="B680" s="27" t="n">
        <v>528000279</v>
      </c>
      <c r="C680" s="27" t="inlineStr">
        <is>
          <t>Mahdalena Dalfa Riani</t>
        </is>
      </c>
      <c r="D680" s="171" t="n">
        <v>46196.41666666666</v>
      </c>
      <c r="E680" s="26" t="n">
        <v>0.2469791666666667</v>
      </c>
      <c r="F680" s="27" t="inlineStr">
        <is>
          <t>Shift 1</t>
        </is>
      </c>
      <c r="G680" s="27" t="n"/>
    </row>
    <row r="681" hidden="1" s="169">
      <c r="A681" s="27" t="inlineStr">
        <is>
          <t>MK00207</t>
        </is>
      </c>
      <c r="B681" s="27" t="n">
        <v>528000292</v>
      </c>
      <c r="C681" s="27" t="inlineStr">
        <is>
          <t>Aditia Nugraha</t>
        </is>
      </c>
      <c r="D681" s="171" t="n">
        <v>46196.41666666666</v>
      </c>
      <c r="E681" s="26" t="n">
        <v>0.2979050925925926</v>
      </c>
      <c r="F681" s="27" t="inlineStr">
        <is>
          <t>Shift 1</t>
        </is>
      </c>
      <c r="G681" s="27" t="n"/>
    </row>
    <row r="682" hidden="1" s="169">
      <c r="A682" s="27" t="inlineStr">
        <is>
          <t>MK00208</t>
        </is>
      </c>
      <c r="B682" s="27" t="n">
        <v>528000282</v>
      </c>
      <c r="C682" s="27" t="inlineStr">
        <is>
          <t>Defa Desfiana</t>
        </is>
      </c>
      <c r="D682" s="171" t="n">
        <v>46196.41666666666</v>
      </c>
      <c r="E682" s="26" t="n">
        <v>0.3155555555555555</v>
      </c>
      <c r="F682" s="27" t="inlineStr">
        <is>
          <t>Shift 1</t>
        </is>
      </c>
      <c r="G682" s="27" t="inlineStr">
        <is>
          <t>23b</t>
        </is>
      </c>
    </row>
    <row r="683" hidden="1" s="169">
      <c r="A683" s="27" t="inlineStr">
        <is>
          <t>MK00230</t>
        </is>
      </c>
      <c r="B683" s="27" t="n">
        <v>528000069</v>
      </c>
      <c r="C683" s="27" t="inlineStr">
        <is>
          <t>Jajang Ardiansyah</t>
        </is>
      </c>
      <c r="D683" s="171" t="n">
        <v>46196.41666666666</v>
      </c>
      <c r="E683" s="26" t="n">
        <v>0.3165740740740741</v>
      </c>
      <c r="F683" s="27" t="inlineStr">
        <is>
          <t>Shift 1</t>
        </is>
      </c>
      <c r="G683" s="27" t="n"/>
    </row>
    <row r="684" hidden="1" s="169">
      <c r="A684" s="27" t="inlineStr">
        <is>
          <t>MK00185</t>
        </is>
      </c>
      <c r="B684" s="27" t="n">
        <v>528000265</v>
      </c>
      <c r="C684" s="27" t="inlineStr">
        <is>
          <t>Muhammad Haerul Rozikin</t>
        </is>
      </c>
      <c r="D684" s="171" t="n">
        <v>46196.41666666666</v>
      </c>
      <c r="E684" s="26" t="n">
        <v>0.3256481481481481</v>
      </c>
      <c r="F684" s="27" t="inlineStr">
        <is>
          <t>Shift 1</t>
        </is>
      </c>
      <c r="G684" s="27" t="n"/>
    </row>
    <row r="685" hidden="1" s="169">
      <c r="A685" s="27" t="inlineStr">
        <is>
          <t>MK00082</t>
        </is>
      </c>
      <c r="B685" s="27" t="n">
        <v>528000287</v>
      </c>
      <c r="C685" s="27" t="inlineStr">
        <is>
          <t>Muhamad Angga Ramdani</t>
        </is>
      </c>
      <c r="D685" s="171" t="n">
        <v>46196.41666666666</v>
      </c>
      <c r="E685" s="26" t="n">
        <v>0.3301273148148148</v>
      </c>
      <c r="F685" s="27" t="inlineStr">
        <is>
          <t>Shift 1</t>
        </is>
      </c>
      <c r="G685" s="27" t="n"/>
    </row>
    <row r="686" hidden="1" s="169">
      <c r="A686" s="27" t="inlineStr">
        <is>
          <t>MK00235</t>
        </is>
      </c>
      <c r="B686" s="27" t="n">
        <v>528000273</v>
      </c>
      <c r="C686" s="27" t="inlineStr">
        <is>
          <t>Asep Mulyana</t>
        </is>
      </c>
      <c r="D686" s="171" t="n">
        <v>46196.41666666666</v>
      </c>
      <c r="E686" s="26" t="n">
        <v>0.3333101851851852</v>
      </c>
      <c r="F686" s="27" t="inlineStr">
        <is>
          <t>Shift 1</t>
        </is>
      </c>
      <c r="G686" s="27" t="n"/>
    </row>
    <row r="687" hidden="1" s="169">
      <c r="A687" s="27" t="inlineStr">
        <is>
          <t>MK00221</t>
        </is>
      </c>
      <c r="B687" s="27" t="n">
        <v>528000351</v>
      </c>
      <c r="C687" s="27" t="inlineStr">
        <is>
          <t>Mulyana</t>
        </is>
      </c>
      <c r="D687" s="171" t="n">
        <v>46196.41666666666</v>
      </c>
      <c r="E687" s="26" t="n">
        <v>0.3333449074074074</v>
      </c>
      <c r="F687" s="27" t="inlineStr">
        <is>
          <t>Shift 1</t>
        </is>
      </c>
      <c r="G687" s="27" t="n"/>
    </row>
    <row r="688" hidden="1" s="169">
      <c r="A688" s="27" t="inlineStr">
        <is>
          <t>MK00250</t>
        </is>
      </c>
      <c r="B688" s="27" t="n">
        <v>528000055</v>
      </c>
      <c r="C688" s="27" t="inlineStr">
        <is>
          <t>Dika Prasetya</t>
        </is>
      </c>
      <c r="D688" s="171" t="n">
        <v>46196.41666666666</v>
      </c>
      <c r="E688" s="26" t="n">
        <v>0.3336689814814815</v>
      </c>
      <c r="F688" s="27" t="inlineStr">
        <is>
          <t>Shift 1</t>
        </is>
      </c>
      <c r="G688" s="27" t="n"/>
    </row>
    <row r="689" hidden="1" s="169">
      <c r="A689" s="27" t="inlineStr">
        <is>
          <t>MK0020</t>
        </is>
      </c>
      <c r="B689" s="27" t="n">
        <v>528000348</v>
      </c>
      <c r="C689" s="27" t="inlineStr">
        <is>
          <t>Saepuloh Ardiansah</t>
        </is>
      </c>
      <c r="D689" s="171" t="n">
        <v>46196.41666666666</v>
      </c>
      <c r="E689" s="26" t="n">
        <v>0.3716898148148148</v>
      </c>
      <c r="F689" s="27" t="inlineStr">
        <is>
          <t>Shift 1</t>
        </is>
      </c>
      <c r="G689" s="27" t="n"/>
    </row>
    <row r="690" hidden="1" s="169">
      <c r="A690" s="27" t="inlineStr">
        <is>
          <t>MK00046</t>
        </is>
      </c>
      <c r="B690" s="27" t="n">
        <v>528000232</v>
      </c>
      <c r="C690" s="27" t="inlineStr">
        <is>
          <t>Agung Aji Suhada</t>
        </is>
      </c>
      <c r="D690" s="171" t="n">
        <v>46196.41666666666</v>
      </c>
      <c r="E690" s="26" t="n">
        <v>0.3736689814814815</v>
      </c>
      <c r="F690" s="27" t="inlineStr">
        <is>
          <t>Shift 1</t>
        </is>
      </c>
      <c r="G690" s="27" t="n"/>
    </row>
    <row r="691" hidden="1" s="169">
      <c r="A691" s="27" t="inlineStr">
        <is>
          <t>MK00212</t>
        </is>
      </c>
      <c r="B691" s="27" t="n">
        <v>528000149</v>
      </c>
      <c r="C691" s="27" t="inlineStr">
        <is>
          <t>Tio Fernanda</t>
        </is>
      </c>
      <c r="D691" s="171" t="n">
        <v>46196.41666666666</v>
      </c>
      <c r="E691" s="26" t="n">
        <v>0.3743981481481481</v>
      </c>
      <c r="F691" s="27" t="inlineStr">
        <is>
          <t>Shift 1</t>
        </is>
      </c>
      <c r="G691" s="27" t="n"/>
    </row>
    <row r="692" hidden="1" s="169">
      <c r="A692" s="27" t="inlineStr">
        <is>
          <t>MK00090</t>
        </is>
      </c>
      <c r="B692" s="27" t="n">
        <v>528000203</v>
      </c>
      <c r="C692" s="27" t="inlineStr">
        <is>
          <t>Yudha Ramdhan Putra</t>
        </is>
      </c>
      <c r="D692" s="171" t="n">
        <v>46196.41666666666</v>
      </c>
      <c r="E692" s="26" t="n">
        <v>0.3776157407407407</v>
      </c>
      <c r="F692" s="27" t="inlineStr">
        <is>
          <t>Shift 1</t>
        </is>
      </c>
      <c r="G692" s="27" t="n"/>
    </row>
    <row r="693" hidden="1" s="169">
      <c r="A693" s="27" t="inlineStr">
        <is>
          <t>MK00055</t>
        </is>
      </c>
      <c r="B693" s="27" t="n">
        <v>528000212</v>
      </c>
      <c r="C693" s="27" t="inlineStr">
        <is>
          <t>Rizal Fauzi</t>
        </is>
      </c>
      <c r="D693" s="171" t="n">
        <v>46196.41666666666</v>
      </c>
      <c r="E693" s="26" t="n">
        <v>0.5601851851851852</v>
      </c>
      <c r="F693" s="27" t="inlineStr">
        <is>
          <t>Shift 2</t>
        </is>
      </c>
      <c r="G693" s="27" t="n"/>
    </row>
    <row r="694" hidden="1" s="169">
      <c r="A694" s="27" t="inlineStr">
        <is>
          <t>MK00109</t>
        </is>
      </c>
      <c r="B694" s="27" t="n">
        <v>528000201</v>
      </c>
      <c r="C694" s="27" t="inlineStr">
        <is>
          <t>Zahwa Amelia Choerunissa</t>
        </is>
      </c>
      <c r="D694" s="171" t="n">
        <v>46196.41666666666</v>
      </c>
      <c r="E694" s="26" t="n">
        <v>0.5689467592592593</v>
      </c>
      <c r="F694" s="27" t="inlineStr">
        <is>
          <t>Shift 2</t>
        </is>
      </c>
      <c r="G694" s="27" t="n"/>
    </row>
    <row r="695" hidden="1" s="169">
      <c r="A695" s="27" t="inlineStr">
        <is>
          <t>MK00192</t>
        </is>
      </c>
      <c r="B695" s="27" t="n">
        <v>528000099</v>
      </c>
      <c r="C695" s="27" t="inlineStr">
        <is>
          <t>Siti Nurawaliah</t>
        </is>
      </c>
      <c r="D695" s="171" t="n">
        <v>46196.41666666666</v>
      </c>
      <c r="E695" s="26" t="n">
        <v>0.5693287037037037</v>
      </c>
      <c r="F695" s="27" t="inlineStr">
        <is>
          <t>Shift 2</t>
        </is>
      </c>
      <c r="G695" s="27" t="n"/>
    </row>
    <row r="696" hidden="1" s="169">
      <c r="A696" s="27" t="inlineStr">
        <is>
          <t>MK00145</t>
        </is>
      </c>
      <c r="B696" s="27" t="n">
        <v>528000244</v>
      </c>
      <c r="C696" s="27" t="inlineStr">
        <is>
          <t>Rodian Rifai</t>
        </is>
      </c>
      <c r="D696" s="171" t="n">
        <v>46196.41666666666</v>
      </c>
      <c r="E696" s="26" t="n">
        <v>0.5696064814814815</v>
      </c>
      <c r="F696" s="27" t="inlineStr">
        <is>
          <t>Shift 2</t>
        </is>
      </c>
      <c r="G696" s="27" t="n"/>
    </row>
    <row r="697" hidden="1" s="169">
      <c r="A697" s="27" t="inlineStr">
        <is>
          <t>MK00203</t>
        </is>
      </c>
      <c r="B697" s="27" t="n">
        <v>528000286</v>
      </c>
      <c r="C697" s="27" t="inlineStr">
        <is>
          <t>Imelda Amelia</t>
        </is>
      </c>
      <c r="D697" s="171" t="n">
        <v>46196.41666666666</v>
      </c>
      <c r="E697" s="26" t="n">
        <v>0.5706481481481481</v>
      </c>
      <c r="F697" s="27" t="inlineStr">
        <is>
          <t>Shift 2</t>
        </is>
      </c>
      <c r="G697" s="27" t="n"/>
    </row>
    <row r="698" hidden="1" s="169">
      <c r="A698" s="27" t="inlineStr">
        <is>
          <t>MK00150</t>
        </is>
      </c>
      <c r="B698" s="27" t="n">
        <v>528000241</v>
      </c>
      <c r="C698" s="27" t="inlineStr">
        <is>
          <t>Balia Nurafif Bilah</t>
        </is>
      </c>
      <c r="D698" s="171" t="n">
        <v>46196.41666666666</v>
      </c>
      <c r="E698" s="26" t="n">
        <v>0.5758796296296296</v>
      </c>
      <c r="F698" s="27" t="inlineStr">
        <is>
          <t>Shift 2</t>
        </is>
      </c>
      <c r="G698" s="27" t="n"/>
    </row>
    <row r="699" hidden="1" s="169">
      <c r="A699" s="27" t="inlineStr">
        <is>
          <t>MK00095</t>
        </is>
      </c>
      <c r="B699" s="27" t="n">
        <v>528000228</v>
      </c>
      <c r="C699" s="27" t="inlineStr">
        <is>
          <t>Banyu Resmi Putri</t>
        </is>
      </c>
      <c r="D699" s="171" t="n">
        <v>46196.41666666666</v>
      </c>
      <c r="E699" s="26" t="n">
        <v>0.5793402777777777</v>
      </c>
      <c r="F699" s="27" t="inlineStr">
        <is>
          <t>Shift 2</t>
        </is>
      </c>
      <c r="G699" s="27" t="n"/>
    </row>
    <row r="700" hidden="1" s="169">
      <c r="A700" s="27" t="inlineStr">
        <is>
          <t>MK00154</t>
        </is>
      </c>
      <c r="B700" s="27" t="n">
        <v>528000290</v>
      </c>
      <c r="C700" s="27" t="inlineStr">
        <is>
          <t>Eval Pranata</t>
        </is>
      </c>
      <c r="D700" s="171" t="n">
        <v>46196.41666666666</v>
      </c>
      <c r="E700" s="26" t="n">
        <v>0.5809606481481482</v>
      </c>
      <c r="F700" s="27" t="inlineStr">
        <is>
          <t>Shift 2</t>
        </is>
      </c>
      <c r="G700" s="27" t="n"/>
    </row>
    <row r="701" hidden="1" s="169">
      <c r="A701" s="27" t="inlineStr">
        <is>
          <t>MK00209</t>
        </is>
      </c>
      <c r="B701" s="27" t="n">
        <v>528000274</v>
      </c>
      <c r="C701" s="27" t="inlineStr">
        <is>
          <t>Zepri</t>
        </is>
      </c>
      <c r="D701" s="171" t="n">
        <v>46196.41666666666</v>
      </c>
      <c r="E701" s="26" t="n">
        <v>0.5818981481481481</v>
      </c>
      <c r="F701" s="27" t="inlineStr">
        <is>
          <t>Shift 2</t>
        </is>
      </c>
      <c r="G701" s="27" t="n"/>
    </row>
    <row r="702">
      <c r="A702" s="27" t="inlineStr">
        <is>
          <t>MK00172</t>
        </is>
      </c>
      <c r="B702" s="27" t="n">
        <v>528000015</v>
      </c>
      <c r="C702" s="27" t="inlineStr">
        <is>
          <t>Erwin</t>
        </is>
      </c>
      <c r="D702" s="171" t="n">
        <v>46196.41666666666</v>
      </c>
      <c r="E702" s="26" t="n">
        <v>0.6521875</v>
      </c>
      <c r="F702" s="27" t="inlineStr">
        <is>
          <t>Shift 2</t>
        </is>
      </c>
      <c r="G702" s="27" t="n"/>
    </row>
    <row r="703" hidden="1" s="169">
      <c r="A703" s="27" t="inlineStr">
        <is>
          <t>MK00228</t>
        </is>
      </c>
      <c r="B703" s="27" t="n">
        <v>528000132</v>
      </c>
      <c r="C703" s="27" t="inlineStr">
        <is>
          <t>Giopani</t>
        </is>
      </c>
      <c r="D703" s="171" t="n">
        <v>46196.41666666666</v>
      </c>
      <c r="E703" s="26" t="n">
        <v>0.6578587962962963</v>
      </c>
      <c r="F703" s="27" t="inlineStr">
        <is>
          <t>Shift 2</t>
        </is>
      </c>
      <c r="G703" s="27" t="n"/>
    </row>
    <row r="704" hidden="1" s="169">
      <c r="A704" s="27" t="inlineStr">
        <is>
          <t>MK00088</t>
        </is>
      </c>
      <c r="B704" s="27" t="n">
        <v>528000144</v>
      </c>
      <c r="C704" s="27" t="inlineStr">
        <is>
          <t>Jodi Hanafi</t>
        </is>
      </c>
      <c r="D704" s="171" t="n">
        <v>46196.41666666666</v>
      </c>
      <c r="E704" s="26" t="n">
        <v>0.6588657407407408</v>
      </c>
      <c r="F704" s="27" t="inlineStr">
        <is>
          <t>Shift 2</t>
        </is>
      </c>
      <c r="G704" s="27" t="n"/>
    </row>
    <row r="705" hidden="1" s="169">
      <c r="A705" s="27" t="inlineStr">
        <is>
          <t>MK00141</t>
        </is>
      </c>
      <c r="B705" s="27" t="n">
        <v>528000306</v>
      </c>
      <c r="C705" s="27" t="inlineStr">
        <is>
          <t>Windy Olivia</t>
        </is>
      </c>
      <c r="D705" s="171" t="n">
        <v>46196.41666666666</v>
      </c>
      <c r="E705" s="26" t="n">
        <v>0.9016782407407408</v>
      </c>
      <c r="F705" s="27" t="inlineStr">
        <is>
          <t>Shift 3</t>
        </is>
      </c>
      <c r="G705" s="27" t="n"/>
    </row>
    <row r="706" hidden="1" s="169">
      <c r="A706" s="27" t="inlineStr">
        <is>
          <t>MK00208</t>
        </is>
      </c>
      <c r="B706" s="27" t="n">
        <v>528000266</v>
      </c>
      <c r="C706" s="27" t="inlineStr">
        <is>
          <t>M. Syirajatieq</t>
        </is>
      </c>
      <c r="D706" s="171" t="n">
        <v>46196.41666666666</v>
      </c>
      <c r="E706" s="26" t="n">
        <v>0.9023958333333333</v>
      </c>
      <c r="F706" s="27" t="inlineStr">
        <is>
          <t>Shift 3</t>
        </is>
      </c>
      <c r="G706" s="27" t="n"/>
    </row>
    <row r="707" hidden="1" s="169">
      <c r="A707" s="27" t="inlineStr">
        <is>
          <t>MK00148</t>
        </is>
      </c>
      <c r="B707" s="27" t="n">
        <v>528000195</v>
      </c>
      <c r="C707" s="27" t="inlineStr">
        <is>
          <t>Rahma Sariwati</t>
        </is>
      </c>
      <c r="D707" s="171" t="n">
        <v>46196.41666666666</v>
      </c>
      <c r="E707" s="26" t="n">
        <v>0.9044328703703703</v>
      </c>
      <c r="F707" s="27" t="inlineStr">
        <is>
          <t>Shift 3</t>
        </is>
      </c>
      <c r="G707" s="27" t="n"/>
    </row>
    <row r="708" hidden="1" s="169">
      <c r="A708" s="27" t="inlineStr">
        <is>
          <t>MK00199</t>
        </is>
      </c>
      <c r="B708" s="27" t="n">
        <v>528000291</v>
      </c>
      <c r="C708" s="27" t="inlineStr">
        <is>
          <t>Andrian</t>
        </is>
      </c>
      <c r="D708" s="171" t="n">
        <v>46196.41666666666</v>
      </c>
      <c r="E708" s="26" t="n">
        <v>0.9111805555555555</v>
      </c>
      <c r="F708" s="27" t="inlineStr">
        <is>
          <t>Shift 3</t>
        </is>
      </c>
      <c r="G708" s="27" t="n"/>
    </row>
    <row r="709" hidden="1" s="169">
      <c r="A709" s="27" t="inlineStr">
        <is>
          <t>MK00158</t>
        </is>
      </c>
      <c r="B709" s="27" t="n">
        <v>628000064</v>
      </c>
      <c r="C709" s="27" t="inlineStr">
        <is>
          <t>Silva Alypia</t>
        </is>
      </c>
      <c r="D709" s="171" t="n">
        <v>46197.41666666666</v>
      </c>
      <c r="E709" s="26" t="n">
        <v>0.2410069444444445</v>
      </c>
      <c r="F709" s="27" t="inlineStr">
        <is>
          <t>Shift 1</t>
        </is>
      </c>
      <c r="G709" s="27" t="n"/>
    </row>
    <row r="710" hidden="1" s="169">
      <c r="A710" s="27" t="inlineStr">
        <is>
          <t>MK00145</t>
        </is>
      </c>
      <c r="B710" s="27" t="n">
        <v>528000300</v>
      </c>
      <c r="C710" s="27" t="inlineStr">
        <is>
          <t>Lia pitaloka</t>
        </is>
      </c>
      <c r="D710" s="171" t="n">
        <v>46197.41666666666</v>
      </c>
      <c r="E710" s="26" t="n">
        <v>0.2457986111111111</v>
      </c>
      <c r="F710" s="27" t="inlineStr">
        <is>
          <t>Shift 1</t>
        </is>
      </c>
      <c r="G710" s="27" t="n"/>
    </row>
    <row r="711" hidden="1" s="169">
      <c r="A711" s="27" t="inlineStr">
        <is>
          <t>MK00136</t>
        </is>
      </c>
      <c r="B711" s="27" t="n">
        <v>528000297</v>
      </c>
      <c r="C711" s="27" t="inlineStr">
        <is>
          <t>Muhamad Budiana</t>
        </is>
      </c>
      <c r="D711" s="171" t="n">
        <v>46197.41666666666</v>
      </c>
      <c r="E711" s="26" t="n">
        <v>0.246724537037037</v>
      </c>
      <c r="F711" s="27" t="inlineStr">
        <is>
          <t>Shift 1</t>
        </is>
      </c>
      <c r="G711" s="27" t="n"/>
    </row>
    <row r="712" hidden="1" s="169">
      <c r="A712" s="27" t="inlineStr">
        <is>
          <t>MK00230</t>
        </is>
      </c>
      <c r="B712" s="27" t="n">
        <v>528000279</v>
      </c>
      <c r="C712" s="27" t="inlineStr">
        <is>
          <t>Mahdalena Dalfa Riani</t>
        </is>
      </c>
      <c r="D712" s="171" t="n">
        <v>46197.41666666666</v>
      </c>
      <c r="E712" s="26" t="n">
        <v>0.2471296296296296</v>
      </c>
      <c r="F712" s="27" t="inlineStr">
        <is>
          <t>Shift 1</t>
        </is>
      </c>
      <c r="G712" s="27" t="n"/>
    </row>
    <row r="713" hidden="1" s="169">
      <c r="A713" s="27" t="inlineStr">
        <is>
          <t>MK00208</t>
        </is>
      </c>
      <c r="B713" s="27" t="n">
        <v>528000282</v>
      </c>
      <c r="C713" s="27" t="inlineStr">
        <is>
          <t>Defa Desfiana</t>
        </is>
      </c>
      <c r="D713" s="171" t="n">
        <v>46197.41666666666</v>
      </c>
      <c r="E713" s="26" t="n">
        <v>0.3126736111111111</v>
      </c>
      <c r="F713" s="27" t="inlineStr">
        <is>
          <t>Shift 1</t>
        </is>
      </c>
      <c r="G713" s="27" t="inlineStr">
        <is>
          <t>23b</t>
        </is>
      </c>
    </row>
    <row r="714" hidden="1" s="169">
      <c r="A714" s="27" t="inlineStr">
        <is>
          <t>MK00141</t>
        </is>
      </c>
      <c r="B714" s="27" t="n">
        <v>528000265</v>
      </c>
      <c r="C714" s="27" t="inlineStr">
        <is>
          <t>Muhammad Haerul Rozikin</t>
        </is>
      </c>
      <c r="D714" s="171" t="n">
        <v>46197.41666666666</v>
      </c>
      <c r="E714" s="26" t="n">
        <v>0.3221990740740741</v>
      </c>
      <c r="F714" s="27" t="inlineStr">
        <is>
          <t>Shift 1</t>
        </is>
      </c>
      <c r="G714" s="27" t="n"/>
    </row>
    <row r="715" hidden="1" s="169">
      <c r="A715" s="27" t="inlineStr">
        <is>
          <t>MK0082</t>
        </is>
      </c>
      <c r="B715" s="27" t="n">
        <v>528000349</v>
      </c>
      <c r="C715" s="27" t="inlineStr">
        <is>
          <t>Anas Abdul Fatah</t>
        </is>
      </c>
      <c r="D715" s="171" t="n">
        <v>46197.41666666666</v>
      </c>
      <c r="E715" s="26" t="n">
        <v>0.3287037037037037</v>
      </c>
      <c r="F715" s="27" t="inlineStr">
        <is>
          <t>Shift 1</t>
        </is>
      </c>
      <c r="G715" s="27" t="n"/>
    </row>
    <row r="716" hidden="1" s="169">
      <c r="A716" s="27" t="inlineStr">
        <is>
          <t>MK00204</t>
        </is>
      </c>
      <c r="B716" s="27" t="n">
        <v>528000273</v>
      </c>
      <c r="C716" s="27" t="inlineStr">
        <is>
          <t>Asep Mulyana</t>
        </is>
      </c>
      <c r="D716" s="171" t="n">
        <v>46197.41666666666</v>
      </c>
      <c r="E716" s="26" t="n">
        <v>0.3290740740740741</v>
      </c>
      <c r="F716" s="27" t="inlineStr">
        <is>
          <t>Shift 1</t>
        </is>
      </c>
      <c r="G716" s="27" t="n"/>
    </row>
    <row r="717" hidden="1" s="169">
      <c r="A717" s="27" t="inlineStr">
        <is>
          <t>MK00199</t>
        </is>
      </c>
      <c r="B717" s="27" t="n">
        <v>528000055</v>
      </c>
      <c r="C717" s="27" t="inlineStr">
        <is>
          <t>Dika Prasetya</t>
        </is>
      </c>
      <c r="D717" s="171" t="n">
        <v>46197.41666666666</v>
      </c>
      <c r="E717" s="26" t="n">
        <v>0.3296412037037037</v>
      </c>
      <c r="F717" s="27" t="inlineStr">
        <is>
          <t>Shift 1</t>
        </is>
      </c>
      <c r="G717" s="27" t="n"/>
    </row>
    <row r="718" hidden="1" s="169">
      <c r="A718" s="27" t="inlineStr">
        <is>
          <t>MA00185</t>
        </is>
      </c>
      <c r="B718" s="27" t="n">
        <v>528000351</v>
      </c>
      <c r="C718" s="27" t="inlineStr">
        <is>
          <t>Mulyana</t>
        </is>
      </c>
      <c r="D718" s="171" t="n">
        <v>46197.41666666666</v>
      </c>
      <c r="E718" s="26" t="n">
        <v>0.3429050925925926</v>
      </c>
      <c r="F718" s="27" t="inlineStr">
        <is>
          <t>Shift 1</t>
        </is>
      </c>
      <c r="G718" s="27" t="n"/>
    </row>
    <row r="719" hidden="1" s="169">
      <c r="A719" s="27" t="inlineStr">
        <is>
          <t>MK00126</t>
        </is>
      </c>
      <c r="B719" s="27" t="n">
        <v>528000254</v>
      </c>
      <c r="C719" s="27" t="inlineStr">
        <is>
          <t>M. Difa Ramdani</t>
        </is>
      </c>
      <c r="D719" s="171" t="n">
        <v>46197.41666666666</v>
      </c>
      <c r="E719" s="26" t="n">
        <v>0.3514583333333333</v>
      </c>
      <c r="F719" s="27" t="inlineStr">
        <is>
          <t>Shift 1</t>
        </is>
      </c>
      <c r="G719" s="27" t="n"/>
    </row>
    <row r="720" hidden="1" s="169">
      <c r="A720" s="27" t="inlineStr">
        <is>
          <t>MK00212</t>
        </is>
      </c>
      <c r="B720" s="27" t="n">
        <v>528000149</v>
      </c>
      <c r="C720" s="27" t="inlineStr">
        <is>
          <t>Tio Fernanda</t>
        </is>
      </c>
      <c r="D720" s="171" t="n">
        <v>46197.41666666666</v>
      </c>
      <c r="E720" s="26" t="n">
        <v>0.3710185185185185</v>
      </c>
      <c r="F720" s="27" t="inlineStr">
        <is>
          <t>Shift 1</t>
        </is>
      </c>
      <c r="G720" s="27" t="n"/>
    </row>
    <row r="721" hidden="1" s="169">
      <c r="A721" s="27" t="inlineStr">
        <is>
          <t>MK00134</t>
        </is>
      </c>
      <c r="B721" s="27" t="n">
        <v>528000203</v>
      </c>
      <c r="C721" s="27" t="inlineStr">
        <is>
          <t>Yudha Ramdhan Putra</t>
        </is>
      </c>
      <c r="D721" s="171" t="n">
        <v>46197.41666666666</v>
      </c>
      <c r="E721" s="26" t="n">
        <v>0.3759837962962963</v>
      </c>
      <c r="F721" s="27" t="inlineStr">
        <is>
          <t>Shift 1</t>
        </is>
      </c>
      <c r="G721" s="27" t="n"/>
    </row>
    <row r="722" hidden="1" s="169">
      <c r="A722" s="27" t="inlineStr">
        <is>
          <t>MK00046</t>
        </is>
      </c>
      <c r="B722" s="27" t="n">
        <v>528000232</v>
      </c>
      <c r="C722" s="27" t="inlineStr">
        <is>
          <t>Agung Aji Suhada</t>
        </is>
      </c>
      <c r="D722" s="171" t="n">
        <v>46197.41666666666</v>
      </c>
      <c r="E722" s="26" t="n">
        <v>0.3770949074074074</v>
      </c>
      <c r="F722" s="27" t="inlineStr">
        <is>
          <t>Shift 1</t>
        </is>
      </c>
      <c r="G722" s="27" t="n"/>
    </row>
    <row r="723" hidden="1" s="169">
      <c r="A723" s="27" t="inlineStr">
        <is>
          <t>MK00154</t>
        </is>
      </c>
      <c r="B723" s="27" t="n">
        <v>528000201</v>
      </c>
      <c r="C723" s="27" t="inlineStr">
        <is>
          <t>Zahwa Amelia Choerunissa</t>
        </is>
      </c>
      <c r="D723" s="171" t="n">
        <v>46197.41666666666</v>
      </c>
      <c r="E723" s="26" t="n">
        <v>0.5707175925925926</v>
      </c>
      <c r="F723" s="27" t="inlineStr">
        <is>
          <t>Shift 2</t>
        </is>
      </c>
      <c r="G723" s="27" t="n"/>
    </row>
    <row r="724" hidden="1" s="169">
      <c r="A724" s="27" t="inlineStr">
        <is>
          <t>MK00090</t>
        </is>
      </c>
      <c r="B724" s="27" t="n">
        <v>528000099</v>
      </c>
      <c r="C724" s="27" t="inlineStr">
        <is>
          <t>Siti Nurawaliah</t>
        </is>
      </c>
      <c r="D724" s="171" t="n">
        <v>46197.41666666666</v>
      </c>
      <c r="E724" s="26" t="n">
        <v>0.5710416666666667</v>
      </c>
      <c r="F724" s="27" t="inlineStr">
        <is>
          <t>Shift 2</t>
        </is>
      </c>
      <c r="G724" s="27" t="n"/>
    </row>
    <row r="725" hidden="1" s="169">
      <c r="A725" s="27" t="inlineStr">
        <is>
          <t>MK00235</t>
        </is>
      </c>
      <c r="B725" s="27" t="n">
        <v>528000286</v>
      </c>
      <c r="C725" s="27" t="inlineStr">
        <is>
          <t>Imelda Amelia</t>
        </is>
      </c>
      <c r="D725" s="171" t="n">
        <v>46197.41666666666</v>
      </c>
      <c r="E725" s="26" t="n">
        <v>0.5714467592592593</v>
      </c>
      <c r="F725" s="27" t="inlineStr">
        <is>
          <t>Shift 2</t>
        </is>
      </c>
      <c r="G725" s="27" t="n"/>
    </row>
    <row r="726" hidden="1" s="169">
      <c r="A726" s="27" t="inlineStr">
        <is>
          <t>MK00202</t>
        </is>
      </c>
      <c r="B726" s="27" t="n">
        <v>528000241</v>
      </c>
      <c r="C726" s="27" t="inlineStr">
        <is>
          <t>Balia Nurafif Bilah</t>
        </is>
      </c>
      <c r="D726" s="171" t="n">
        <v>46197.41666666666</v>
      </c>
      <c r="E726" s="26" t="n">
        <v>0.5764583333333333</v>
      </c>
      <c r="F726" s="27" t="inlineStr">
        <is>
          <t>Shift 2</t>
        </is>
      </c>
      <c r="G726" s="27" t="n"/>
    </row>
    <row r="727" hidden="1" s="169">
      <c r="A727" s="27" t="inlineStr">
        <is>
          <t>MK00250</t>
        </is>
      </c>
      <c r="B727" s="27" t="n">
        <v>528000274</v>
      </c>
      <c r="C727" s="27" t="inlineStr">
        <is>
          <t>Zepri</t>
        </is>
      </c>
      <c r="D727" s="171" t="n">
        <v>46197.41666666666</v>
      </c>
      <c r="E727" s="26" t="n">
        <v>0.5786226851851852</v>
      </c>
      <c r="F727" s="27" t="inlineStr">
        <is>
          <t>Shift 2</t>
        </is>
      </c>
      <c r="G727" s="27" t="n"/>
    </row>
    <row r="728" hidden="1" s="169">
      <c r="A728" s="27" t="inlineStr">
        <is>
          <t>MK00085</t>
        </is>
      </c>
      <c r="B728" s="27" t="n">
        <v>528000244</v>
      </c>
      <c r="C728" s="27" t="inlineStr">
        <is>
          <t>Rodian Rifai</t>
        </is>
      </c>
      <c r="D728" s="171" t="n">
        <v>46197.41666666666</v>
      </c>
      <c r="E728" s="26" t="n">
        <v>0.578761574074074</v>
      </c>
      <c r="F728" s="27" t="inlineStr">
        <is>
          <t>Shift 2</t>
        </is>
      </c>
      <c r="G728" s="27" t="n"/>
    </row>
    <row r="729" hidden="1" s="169">
      <c r="A729" s="27" t="inlineStr">
        <is>
          <t>MK00213</t>
        </is>
      </c>
      <c r="B729" s="27" t="n">
        <v>528000290</v>
      </c>
      <c r="C729" s="27" t="inlineStr">
        <is>
          <t>Eval Pranata</t>
        </is>
      </c>
      <c r="D729" s="171" t="n">
        <v>46197.41666666666</v>
      </c>
      <c r="E729" s="26" t="n">
        <v>0.5797453703703703</v>
      </c>
      <c r="F729" s="27" t="inlineStr">
        <is>
          <t>Shift 2</t>
        </is>
      </c>
      <c r="G729" s="27" t="n"/>
    </row>
    <row r="730" hidden="1" s="169">
      <c r="A730" s="27" t="inlineStr">
        <is>
          <t>MK00093</t>
        </is>
      </c>
      <c r="B730" s="27" t="n">
        <v>528000090</v>
      </c>
      <c r="C730" s="27" t="inlineStr">
        <is>
          <t>Suganda</t>
        </is>
      </c>
      <c r="D730" s="171" t="n">
        <v>46197.41666666666</v>
      </c>
      <c r="E730" s="26" t="n">
        <v>0.5808217592592593</v>
      </c>
      <c r="F730" s="27" t="inlineStr">
        <is>
          <t>Shift 2</t>
        </is>
      </c>
      <c r="G730" s="27" t="n"/>
    </row>
    <row r="731" hidden="1" s="169">
      <c r="A731" s="27" t="inlineStr">
        <is>
          <t>MK00150</t>
        </is>
      </c>
      <c r="B731" s="27" t="n">
        <v>528000212</v>
      </c>
      <c r="C731" s="27" t="inlineStr">
        <is>
          <t>Rizal Fauzi</t>
        </is>
      </c>
      <c r="D731" s="171" t="n">
        <v>46197.41666666666</v>
      </c>
      <c r="E731" s="26" t="n">
        <v>0.5822916666666667</v>
      </c>
      <c r="F731" s="27" t="inlineStr">
        <is>
          <t>Shift 2</t>
        </is>
      </c>
      <c r="G731" s="27" t="n"/>
    </row>
    <row r="732">
      <c r="A732" s="27" t="inlineStr">
        <is>
          <t>MK00109</t>
        </is>
      </c>
      <c r="B732" s="27" t="n">
        <v>528000015</v>
      </c>
      <c r="C732" s="27" t="inlineStr">
        <is>
          <t>Erwin</t>
        </is>
      </c>
      <c r="D732" s="171" t="n">
        <v>46197.41666666666</v>
      </c>
      <c r="E732" s="26" t="n">
        <v>0.6606481481481481</v>
      </c>
      <c r="F732" s="27" t="inlineStr">
        <is>
          <t>Shift 2</t>
        </is>
      </c>
      <c r="G732" s="27" t="n"/>
    </row>
    <row r="733" hidden="1" s="169">
      <c r="A733" s="27" t="inlineStr">
        <is>
          <t>MK00088</t>
        </is>
      </c>
      <c r="B733" s="27" t="n">
        <v>528000144</v>
      </c>
      <c r="C733" s="27" t="inlineStr">
        <is>
          <t>Jodi Hanafi</t>
        </is>
      </c>
      <c r="D733" s="171" t="n">
        <v>46197.41666666666</v>
      </c>
      <c r="E733" s="26" t="n">
        <v>0.6654166666666667</v>
      </c>
      <c r="F733" s="27" t="inlineStr">
        <is>
          <t>Shift 2</t>
        </is>
      </c>
      <c r="G733" s="27" t="n"/>
    </row>
    <row r="734" hidden="1" s="169">
      <c r="A734" s="27" t="inlineStr">
        <is>
          <t>MK00228</t>
        </is>
      </c>
      <c r="B734" s="27" t="n">
        <v>528000132</v>
      </c>
      <c r="C734" s="27" t="inlineStr">
        <is>
          <t>Giopani</t>
        </is>
      </c>
      <c r="D734" s="171" t="n">
        <v>46197.41666666666</v>
      </c>
      <c r="E734" s="26" t="n">
        <v>0.6665277777777778</v>
      </c>
      <c r="F734" s="27" t="inlineStr">
        <is>
          <t>Shift 2</t>
        </is>
      </c>
      <c r="G734" s="27" t="n"/>
    </row>
    <row r="735" hidden="1" s="169">
      <c r="A735" s="27" t="inlineStr">
        <is>
          <t>MK00221</t>
        </is>
      </c>
      <c r="B735" s="27" t="n">
        <v>628000061</v>
      </c>
      <c r="C735" s="27" t="inlineStr">
        <is>
          <t>Nayla Fadillah Exwantoro</t>
        </is>
      </c>
      <c r="D735" s="171" t="n">
        <v>46197.41666666666</v>
      </c>
      <c r="E735" s="26" t="n">
        <v>0.8816087962962963</v>
      </c>
      <c r="F735" s="27" t="inlineStr">
        <is>
          <t>Shift 3</t>
        </is>
      </c>
      <c r="G735" s="27" t="n"/>
    </row>
    <row r="736" hidden="1" s="169">
      <c r="A736" s="27" t="inlineStr">
        <is>
          <t>MK00203</t>
        </is>
      </c>
      <c r="B736" s="27" t="n">
        <v>528000302</v>
      </c>
      <c r="C736" s="27" t="inlineStr">
        <is>
          <t>Henkey gumilar</t>
        </is>
      </c>
      <c r="D736" s="171" t="n">
        <v>46197.41666666666</v>
      </c>
      <c r="E736" s="26" t="n">
        <v>0.9068402777777778</v>
      </c>
      <c r="F736" s="27" t="inlineStr">
        <is>
          <t>Shift 3</t>
        </is>
      </c>
      <c r="G736" s="27" t="n"/>
    </row>
    <row r="737" hidden="1" s="169">
      <c r="A737" s="27" t="inlineStr">
        <is>
          <t>MK00126</t>
        </is>
      </c>
      <c r="B737" s="27" t="n">
        <v>528000305</v>
      </c>
      <c r="C737" s="27" t="inlineStr">
        <is>
          <t>Puji Puspita</t>
        </is>
      </c>
      <c r="D737" s="171" t="n">
        <v>46197.41666666666</v>
      </c>
      <c r="E737" s="26" t="n">
        <v>0.9075462962962964</v>
      </c>
      <c r="F737" s="27" t="inlineStr">
        <is>
          <t>Shift 3</t>
        </is>
      </c>
      <c r="G737" s="27" t="n"/>
    </row>
    <row r="738" hidden="1" s="169">
      <c r="A738" s="27" t="inlineStr">
        <is>
          <t>MK00151</t>
        </is>
      </c>
      <c r="B738" s="27" t="n">
        <v>528000270</v>
      </c>
      <c r="C738" s="27" t="inlineStr">
        <is>
          <t>Febri Najmudin</t>
        </is>
      </c>
      <c r="D738" s="171" t="n">
        <v>46197.41666666666</v>
      </c>
      <c r="E738" s="26" t="n">
        <v>0.9077777777777778</v>
      </c>
      <c r="F738" s="27" t="inlineStr">
        <is>
          <t>Shift 3</t>
        </is>
      </c>
      <c r="G738" s="27" t="n"/>
    </row>
    <row r="739" hidden="1" s="169">
      <c r="A739" s="27" t="inlineStr">
        <is>
          <t>MK00230</t>
        </is>
      </c>
      <c r="B739" s="27" t="n">
        <v>528000299</v>
      </c>
      <c r="C739" s="27" t="inlineStr">
        <is>
          <t>Siti Nurjanah</t>
        </is>
      </c>
      <c r="D739" s="171" t="n">
        <v>46197.41666666666</v>
      </c>
      <c r="E739" s="26" t="n">
        <v>0.9078935185185185</v>
      </c>
      <c r="F739" s="27" t="inlineStr">
        <is>
          <t>Shift 3</t>
        </is>
      </c>
      <c r="G739" s="27" t="n"/>
    </row>
    <row r="740" hidden="1" s="169">
      <c r="A740" s="27" t="inlineStr">
        <is>
          <t>MKOO134</t>
        </is>
      </c>
      <c r="B740" s="27" t="n">
        <v>528000298</v>
      </c>
      <c r="C740" s="27" t="inlineStr">
        <is>
          <t>Desta Cahaya Pratama</t>
        </is>
      </c>
      <c r="D740" s="171" t="n">
        <v>46198.41666666666</v>
      </c>
      <c r="E740" s="26" t="n">
        <v>0.004282407407407408</v>
      </c>
      <c r="F740" s="27" t="inlineStr">
        <is>
          <t>Shift 3</t>
        </is>
      </c>
      <c r="G740" s="27" t="n"/>
    </row>
    <row r="741" hidden="1" s="169">
      <c r="A741" s="27" t="inlineStr">
        <is>
          <t>MK00154</t>
        </is>
      </c>
      <c r="B741" s="27" t="n">
        <v>628000064</v>
      </c>
      <c r="C741" s="27" t="inlineStr">
        <is>
          <t>Silva Alypia</t>
        </is>
      </c>
      <c r="D741" s="171" t="n">
        <v>46198.41666666666</v>
      </c>
      <c r="E741" s="26" t="n">
        <v>0.2419097222222222</v>
      </c>
      <c r="F741" s="27" t="inlineStr">
        <is>
          <t>Shift 1</t>
        </is>
      </c>
      <c r="G741" s="27" t="n"/>
    </row>
    <row r="742" hidden="1" s="169">
      <c r="A742" s="27" t="inlineStr">
        <is>
          <t>MK00085</t>
        </is>
      </c>
      <c r="B742" s="27" t="n">
        <v>528000279</v>
      </c>
      <c r="C742" s="27" t="inlineStr">
        <is>
          <t>Mahdalena Dalfa Riani</t>
        </is>
      </c>
      <c r="D742" s="171" t="n">
        <v>46198.41666666666</v>
      </c>
      <c r="E742" s="26" t="n">
        <v>0.2421064814814815</v>
      </c>
      <c r="F742" s="27" t="inlineStr">
        <is>
          <t>Shift 1</t>
        </is>
      </c>
      <c r="G742" s="27" t="n"/>
    </row>
    <row r="743" hidden="1" s="169">
      <c r="A743" s="27" t="inlineStr">
        <is>
          <t>MK00090</t>
        </is>
      </c>
      <c r="B743" s="27" t="n">
        <v>528000300</v>
      </c>
      <c r="C743" s="27" t="inlineStr">
        <is>
          <t>Lia pitaloka</t>
        </is>
      </c>
      <c r="D743" s="171" t="n">
        <v>46198.41666666666</v>
      </c>
      <c r="E743" s="26" t="n">
        <v>0.2460532407407408</v>
      </c>
      <c r="F743" s="27" t="inlineStr">
        <is>
          <t>Shift 1</t>
        </is>
      </c>
      <c r="G743" s="27" t="n"/>
    </row>
    <row r="744" hidden="1" s="169">
      <c r="A744" s="27" t="inlineStr">
        <is>
          <t>MK00235</t>
        </is>
      </c>
      <c r="B744" s="27" t="n">
        <v>528000063</v>
      </c>
      <c r="C744" s="27" t="inlineStr">
        <is>
          <t>Muhamad Ripki Pebrian</t>
        </is>
      </c>
      <c r="D744" s="171" t="n">
        <v>46198.41666666666</v>
      </c>
      <c r="E744" s="26" t="n">
        <v>0.2462384259259259</v>
      </c>
      <c r="F744" s="27" t="inlineStr">
        <is>
          <t>Shift 1</t>
        </is>
      </c>
      <c r="G744" s="27" t="n"/>
    </row>
    <row r="745" hidden="1" s="169">
      <c r="A745" s="27" t="inlineStr">
        <is>
          <t>MK00208</t>
        </is>
      </c>
      <c r="B745" s="27" t="n">
        <v>528000256</v>
      </c>
      <c r="C745" s="27" t="inlineStr">
        <is>
          <t>Rasianah</t>
        </is>
      </c>
      <c r="D745" s="171" t="n">
        <v>46198.41666666666</v>
      </c>
      <c r="E745" s="26" t="n">
        <v>0.2463773148148148</v>
      </c>
      <c r="F745" s="27" t="inlineStr">
        <is>
          <t>Shift 1</t>
        </is>
      </c>
      <c r="G745" s="27" t="n"/>
    </row>
    <row r="746" hidden="1" s="169">
      <c r="A746" s="27" t="inlineStr">
        <is>
          <t>MK00250</t>
        </is>
      </c>
      <c r="B746" s="27" t="n">
        <v>528000254</v>
      </c>
      <c r="C746" s="27" t="inlineStr">
        <is>
          <t>M. Difa Ramdani</t>
        </is>
      </c>
      <c r="D746" s="171" t="n">
        <v>46198.41666666666</v>
      </c>
      <c r="E746" s="26" t="n">
        <v>0.2470486111111111</v>
      </c>
      <c r="F746" s="27" t="inlineStr">
        <is>
          <t>Shift 1</t>
        </is>
      </c>
      <c r="G746" s="27" t="n"/>
    </row>
    <row r="747" hidden="1" s="169">
      <c r="A747" s="27" t="inlineStr">
        <is>
          <t>MK00136</t>
        </is>
      </c>
      <c r="B747" s="27" t="n">
        <v>528000297</v>
      </c>
      <c r="C747" s="27" t="inlineStr">
        <is>
          <t>Muhamad Budiana</t>
        </is>
      </c>
      <c r="D747" s="171" t="n">
        <v>46198.41666666666</v>
      </c>
      <c r="E747" s="26" t="n">
        <v>0.2493634259259259</v>
      </c>
      <c r="F747" s="27" t="inlineStr">
        <is>
          <t>Shift 1</t>
        </is>
      </c>
      <c r="G747" s="27" t="n"/>
    </row>
    <row r="748" hidden="1" s="169">
      <c r="A748" s="27" t="inlineStr">
        <is>
          <t>MK00203</t>
        </is>
      </c>
      <c r="B748" s="27" t="n">
        <v>528000069</v>
      </c>
      <c r="C748" s="27" t="inlineStr">
        <is>
          <t>Jajang Ardiansyah</t>
        </is>
      </c>
      <c r="D748" s="171" t="n">
        <v>46198.41666666666</v>
      </c>
      <c r="E748" s="26" t="n">
        <v>0.2896759259259259</v>
      </c>
      <c r="F748" s="27" t="inlineStr">
        <is>
          <t>Shift 1</t>
        </is>
      </c>
      <c r="G748" s="27" t="n"/>
    </row>
    <row r="749" hidden="1" s="169">
      <c r="A749" s="27" t="inlineStr">
        <is>
          <t>MK00116</t>
        </is>
      </c>
      <c r="B749" s="27" t="n">
        <v>528000282</v>
      </c>
      <c r="C749" s="27" t="inlineStr">
        <is>
          <t>Defa Desfiana</t>
        </is>
      </c>
      <c r="D749" s="171" t="n">
        <v>46198.41666666666</v>
      </c>
      <c r="E749" s="26" t="n">
        <v>0.3171412037037037</v>
      </c>
      <c r="F749" s="27" t="inlineStr">
        <is>
          <t>Shift 1</t>
        </is>
      </c>
      <c r="G749" s="27" t="inlineStr">
        <is>
          <t>23c</t>
        </is>
      </c>
    </row>
    <row r="750" hidden="1" s="169">
      <c r="A750" s="27" t="inlineStr">
        <is>
          <t>MK00213</t>
        </is>
      </c>
      <c r="B750" s="27" t="n">
        <v>528000265</v>
      </c>
      <c r="C750" s="27" t="inlineStr">
        <is>
          <t>Muhammad Haerul Rozikin</t>
        </is>
      </c>
      <c r="D750" s="171" t="n">
        <v>46198.41666666666</v>
      </c>
      <c r="E750" s="26" t="n">
        <v>0.3213657407407408</v>
      </c>
      <c r="F750" s="27" t="inlineStr">
        <is>
          <t>Shift 1</t>
        </is>
      </c>
      <c r="G750" s="27" t="n"/>
    </row>
    <row r="751" hidden="1" s="169">
      <c r="A751" s="27" t="inlineStr">
        <is>
          <t>MK00199</t>
        </is>
      </c>
      <c r="B751" s="27" t="n">
        <v>528000273</v>
      </c>
      <c r="C751" s="27" t="inlineStr">
        <is>
          <t>Asep Mulyana</t>
        </is>
      </c>
      <c r="D751" s="171" t="n">
        <v>46198.41666666666</v>
      </c>
      <c r="E751" s="26" t="n">
        <v>0.32875</v>
      </c>
      <c r="F751" s="27" t="inlineStr">
        <is>
          <t>Shift 1</t>
        </is>
      </c>
      <c r="G751" s="27" t="n"/>
    </row>
    <row r="752" hidden="1" s="169">
      <c r="A752" s="27" t="inlineStr">
        <is>
          <t>MK00082</t>
        </is>
      </c>
      <c r="B752" s="27" t="n">
        <v>528000055</v>
      </c>
      <c r="C752" s="27" t="inlineStr">
        <is>
          <t>Dika Prasetya</t>
        </is>
      </c>
      <c r="D752" s="171" t="n">
        <v>46198.41666666666</v>
      </c>
      <c r="E752" s="26" t="n">
        <v>0.3291203703703704</v>
      </c>
      <c r="F752" s="27" t="inlineStr">
        <is>
          <t>Shift 1</t>
        </is>
      </c>
      <c r="G752" s="27" t="n"/>
    </row>
    <row r="753" hidden="1" s="169">
      <c r="A753" s="27" t="inlineStr">
        <is>
          <t>MK00158</t>
        </is>
      </c>
      <c r="B753" s="27" t="n">
        <v>528000349</v>
      </c>
      <c r="C753" s="27" t="inlineStr">
        <is>
          <t>Anas Abdul Fatah</t>
        </is>
      </c>
      <c r="D753" s="171" t="n">
        <v>46198.41666666666</v>
      </c>
      <c r="E753" s="26" t="n">
        <v>0.3353240740740741</v>
      </c>
      <c r="F753" s="27" t="inlineStr">
        <is>
          <t>Shift 1</t>
        </is>
      </c>
      <c r="G753" s="27" t="n"/>
    </row>
    <row r="754" hidden="1" s="169">
      <c r="A754" s="27" t="inlineStr">
        <is>
          <t>MK00212</t>
        </is>
      </c>
      <c r="B754" s="27" t="n">
        <v>528000149</v>
      </c>
      <c r="C754" s="27" t="inlineStr">
        <is>
          <t>Tio Fernanda</t>
        </is>
      </c>
      <c r="D754" s="171" t="n">
        <v>46198.41666666666</v>
      </c>
      <c r="E754" s="26" t="n">
        <v>0.3683217592592593</v>
      </c>
      <c r="F754" s="27" t="inlineStr">
        <is>
          <t>Shift 1</t>
        </is>
      </c>
      <c r="G754" s="27" t="n"/>
    </row>
    <row r="755" hidden="1" s="169">
      <c r="A755" s="27" t="inlineStr">
        <is>
          <t>MK00046</t>
        </is>
      </c>
      <c r="B755" s="27" t="n">
        <v>528000232</v>
      </c>
      <c r="C755" s="27" t="inlineStr">
        <is>
          <t>Agung Aji Suhada</t>
        </is>
      </c>
      <c r="D755" s="171" t="n">
        <v>46198.41666666666</v>
      </c>
      <c r="E755" s="26" t="n">
        <v>0.3735648148148148</v>
      </c>
      <c r="F755" s="27" t="inlineStr">
        <is>
          <t>Shift 1</t>
        </is>
      </c>
      <c r="G755" s="27" t="n"/>
    </row>
    <row r="756" hidden="1" s="169">
      <c r="A756" s="27" t="inlineStr">
        <is>
          <t>MK00205</t>
        </is>
      </c>
      <c r="B756" s="27" t="n">
        <v>528000348</v>
      </c>
      <c r="C756" s="27" t="inlineStr">
        <is>
          <t>Saepuloh Ardiansah</t>
        </is>
      </c>
      <c r="D756" s="171" t="n">
        <v>46198.41666666666</v>
      </c>
      <c r="E756" s="26" t="n">
        <v>0.3782638888888889</v>
      </c>
      <c r="F756" s="27" t="inlineStr">
        <is>
          <t>Shift 1</t>
        </is>
      </c>
      <c r="G756" s="27" t="n"/>
    </row>
    <row r="757" hidden="1" s="169">
      <c r="A757" s="27" t="inlineStr">
        <is>
          <t>MK00221</t>
        </is>
      </c>
      <c r="B757" s="27" t="n">
        <v>528000090</v>
      </c>
      <c r="C757" s="27" t="inlineStr">
        <is>
          <t>Suganda</t>
        </is>
      </c>
      <c r="D757" s="171" t="n">
        <v>46198.41666666666</v>
      </c>
      <c r="E757" s="26" t="n">
        <v>0.3877546296296296</v>
      </c>
      <c r="F757" s="27" t="inlineStr">
        <is>
          <t>Shift 1</t>
        </is>
      </c>
      <c r="G757" s="27" t="inlineStr">
        <is>
          <t>21-A</t>
        </is>
      </c>
    </row>
    <row r="758" hidden="1" s="169">
      <c r="A758" s="27" t="inlineStr">
        <is>
          <t>MK00185</t>
        </is>
      </c>
      <c r="B758" s="27" t="n">
        <v>528000286</v>
      </c>
      <c r="C758" s="27" t="inlineStr">
        <is>
          <t>Imelda Amelia</t>
        </is>
      </c>
      <c r="D758" s="171" t="n">
        <v>46198.41666666666</v>
      </c>
      <c r="E758" s="26" t="n">
        <v>0.5703356481481482</v>
      </c>
      <c r="F758" s="27" t="inlineStr">
        <is>
          <t>Shift 2</t>
        </is>
      </c>
      <c r="G758" s="27" t="n"/>
    </row>
    <row r="759" hidden="1" s="169">
      <c r="A759" s="27" t="inlineStr">
        <is>
          <t>MK00148</t>
        </is>
      </c>
      <c r="B759" s="27" t="n">
        <v>528000244</v>
      </c>
      <c r="C759" s="27" t="inlineStr">
        <is>
          <t>Rodian Rifai</t>
        </is>
      </c>
      <c r="D759" s="171" t="n">
        <v>46198.41666666666</v>
      </c>
      <c r="E759" s="26" t="n">
        <v>0.5749768518518519</v>
      </c>
      <c r="F759" s="27" t="inlineStr">
        <is>
          <t>Shift 2</t>
        </is>
      </c>
      <c r="G759" s="27" t="n"/>
    </row>
    <row r="760" hidden="1" s="169">
      <c r="A760" s="27" t="inlineStr">
        <is>
          <t>MK00230</t>
        </is>
      </c>
      <c r="B760" s="27" t="n">
        <v>528000201</v>
      </c>
      <c r="C760" s="27" t="inlineStr">
        <is>
          <t>Zahwa Amelia Choerunissa</t>
        </is>
      </c>
      <c r="D760" s="171" t="n">
        <v>46198.41666666666</v>
      </c>
      <c r="E760" s="26" t="n">
        <v>0.5754976851851852</v>
      </c>
      <c r="F760" s="27" t="inlineStr">
        <is>
          <t>Shift 2</t>
        </is>
      </c>
      <c r="G760" s="27" t="n"/>
    </row>
    <row r="761" hidden="1" s="169">
      <c r="A761" s="27" t="inlineStr">
        <is>
          <t>MK00204</t>
        </is>
      </c>
      <c r="B761" s="27" t="n">
        <v>528000099</v>
      </c>
      <c r="C761" s="27" t="inlineStr">
        <is>
          <t>Siti Nurawaliah</t>
        </is>
      </c>
      <c r="D761" s="171" t="n">
        <v>46198.41666666666</v>
      </c>
      <c r="E761" s="26" t="n">
        <v>0.575787037037037</v>
      </c>
      <c r="F761" s="27" t="inlineStr">
        <is>
          <t>Shift 2</t>
        </is>
      </c>
      <c r="G761" s="27" t="n"/>
    </row>
    <row r="762" hidden="1" s="169">
      <c r="A762" s="27" t="inlineStr">
        <is>
          <t>MK00145</t>
        </is>
      </c>
      <c r="B762" s="27" t="n">
        <v>528000241</v>
      </c>
      <c r="C762" s="27" t="inlineStr">
        <is>
          <t>Balia Nurafif Bilah</t>
        </is>
      </c>
      <c r="D762" s="171" t="n">
        <v>46198.41666666666</v>
      </c>
      <c r="E762" s="26" t="n">
        <v>0.5766319444444444</v>
      </c>
      <c r="F762" s="27" t="inlineStr">
        <is>
          <t>Shift 2</t>
        </is>
      </c>
      <c r="G762" s="27" t="n"/>
    </row>
    <row r="763" hidden="1" s="169">
      <c r="A763" s="27" t="inlineStr">
        <is>
          <t>MK00156</t>
        </is>
      </c>
      <c r="B763" s="27" t="n">
        <v>528000274</v>
      </c>
      <c r="C763" s="27" t="inlineStr">
        <is>
          <t>Zepri</t>
        </is>
      </c>
      <c r="D763" s="171" t="n">
        <v>46198.41666666666</v>
      </c>
      <c r="E763" s="26" t="n">
        <v>0.5789583333333334</v>
      </c>
      <c r="F763" s="27" t="inlineStr">
        <is>
          <t>Shift 2</t>
        </is>
      </c>
      <c r="G763" s="27" t="n"/>
    </row>
    <row r="764" hidden="1" s="169">
      <c r="A764" s="27" t="inlineStr">
        <is>
          <t>MK00095</t>
        </is>
      </c>
      <c r="B764" s="27" t="n">
        <v>528000090</v>
      </c>
      <c r="C764" s="27" t="inlineStr">
        <is>
          <t>Suganda</t>
        </is>
      </c>
      <c r="D764" s="171" t="n">
        <v>46198.41666666666</v>
      </c>
      <c r="E764" s="26" t="n">
        <v>0.5791782407407408</v>
      </c>
      <c r="F764" s="27" t="inlineStr">
        <is>
          <t>Shift 2</t>
        </is>
      </c>
      <c r="G764" s="27" t="n"/>
    </row>
    <row r="765" hidden="1" s="169">
      <c r="A765" s="27" t="inlineStr">
        <is>
          <t>MK00141</t>
        </is>
      </c>
      <c r="B765" s="27" t="n">
        <v>528000290</v>
      </c>
      <c r="C765" s="27" t="inlineStr">
        <is>
          <t>Eval Pranata</t>
        </is>
      </c>
      <c r="D765" s="171" t="n">
        <v>46198.41666666666</v>
      </c>
      <c r="E765" s="26" t="n">
        <v>0.5798148148148148</v>
      </c>
      <c r="F765" s="27" t="inlineStr">
        <is>
          <t>Shift 2</t>
        </is>
      </c>
      <c r="G765" s="27" t="n"/>
    </row>
    <row r="766" hidden="1" s="169">
      <c r="A766" s="27" t="inlineStr">
        <is>
          <t>MK00150</t>
        </is>
      </c>
      <c r="B766" s="27" t="n">
        <v>528000212</v>
      </c>
      <c r="C766" s="27" t="inlineStr">
        <is>
          <t>Rizal Fauzi</t>
        </is>
      </c>
      <c r="D766" s="171" t="n">
        <v>46198.41666666666</v>
      </c>
      <c r="E766" s="26" t="n">
        <v>0.5841319444444445</v>
      </c>
      <c r="F766" s="27" t="inlineStr">
        <is>
          <t>Shift 2</t>
        </is>
      </c>
      <c r="G766" s="27" t="n"/>
    </row>
    <row r="767" hidden="1" s="169">
      <c r="A767" s="27" t="inlineStr">
        <is>
          <t>MK00088</t>
        </is>
      </c>
      <c r="B767" s="27" t="n">
        <v>528000132</v>
      </c>
      <c r="C767" s="27" t="inlineStr">
        <is>
          <t>Giopani</t>
        </is>
      </c>
      <c r="D767" s="171" t="n">
        <v>46198.41666666666</v>
      </c>
      <c r="E767" s="26" t="n">
        <v>0.6537731481481481</v>
      </c>
      <c r="F767" s="27" t="inlineStr">
        <is>
          <t>Shift 2</t>
        </is>
      </c>
      <c r="G767" s="27" t="n"/>
    </row>
    <row r="768" hidden="1" s="169">
      <c r="A768" s="27" t="inlineStr">
        <is>
          <t>MK00228</t>
        </is>
      </c>
      <c r="B768" s="27" t="n">
        <v>528000144</v>
      </c>
      <c r="C768" s="27" t="inlineStr">
        <is>
          <t>Jodi Hanafi</t>
        </is>
      </c>
      <c r="D768" s="171" t="n">
        <v>46198.41666666666</v>
      </c>
      <c r="E768" s="26" t="n">
        <v>0.6554166666666666</v>
      </c>
      <c r="F768" s="27" t="inlineStr">
        <is>
          <t>Shift 2</t>
        </is>
      </c>
      <c r="G768" s="27" t="n"/>
    </row>
    <row r="769">
      <c r="A769" s="27" t="inlineStr">
        <is>
          <t>MK00138</t>
        </is>
      </c>
      <c r="B769" s="27" t="n">
        <v>528000015</v>
      </c>
      <c r="C769" s="27" t="inlineStr">
        <is>
          <t>Erwin</t>
        </is>
      </c>
      <c r="D769" s="171" t="n">
        <v>46198.41666666666</v>
      </c>
      <c r="E769" s="26" t="n">
        <v>0.6625115740740741</v>
      </c>
      <c r="F769" s="27" t="inlineStr">
        <is>
          <t>Shift 2</t>
        </is>
      </c>
      <c r="G769" s="27" t="n"/>
    </row>
    <row r="770" hidden="1" s="169">
      <c r="A770" s="27" t="inlineStr">
        <is>
          <t>MK00124</t>
        </is>
      </c>
      <c r="B770" s="27" t="n">
        <v>628000061</v>
      </c>
      <c r="C770" s="27" t="inlineStr">
        <is>
          <t>Nayla Fadillah Exwantoro</t>
        </is>
      </c>
      <c r="D770" s="171" t="n">
        <v>46198.41666666666</v>
      </c>
      <c r="E770" s="26" t="n">
        <v>0.7041319444444445</v>
      </c>
      <c r="F770" s="27" t="inlineStr">
        <is>
          <t>Shift 2</t>
        </is>
      </c>
      <c r="G770" s="27" t="n"/>
    </row>
    <row r="771" hidden="1" s="169">
      <c r="A771" s="27" t="inlineStr">
        <is>
          <t>MK00213</t>
        </is>
      </c>
      <c r="B771" s="27" t="n">
        <v>528000298</v>
      </c>
      <c r="C771" s="27" t="inlineStr">
        <is>
          <t>Desta Cahaya Pratama</t>
        </is>
      </c>
      <c r="D771" s="171" t="n">
        <v>46198.41666666666</v>
      </c>
      <c r="E771" s="26" t="n">
        <v>0.9060532407407408</v>
      </c>
      <c r="F771" s="27" t="inlineStr">
        <is>
          <t>Shift 3</t>
        </is>
      </c>
      <c r="G771" s="27" t="n"/>
    </row>
    <row r="772" hidden="1" s="169">
      <c r="A772" s="27" t="inlineStr">
        <is>
          <t>MK00221</t>
        </is>
      </c>
      <c r="B772" s="27" t="n">
        <v>528000299</v>
      </c>
      <c r="C772" s="27" t="inlineStr">
        <is>
          <t>Siti Nurjanah</t>
        </is>
      </c>
      <c r="D772" s="171" t="n">
        <v>46198.41666666666</v>
      </c>
      <c r="E772" s="26" t="n">
        <v>0.9075462962962964</v>
      </c>
      <c r="F772" s="27" t="inlineStr">
        <is>
          <t>Shift 3</t>
        </is>
      </c>
      <c r="G772" s="27" t="n"/>
    </row>
    <row r="773" hidden="1" s="169">
      <c r="A773" s="27" t="inlineStr">
        <is>
          <t>MK00143</t>
        </is>
      </c>
      <c r="B773" s="27" t="n">
        <v>528000302</v>
      </c>
      <c r="C773" s="27" t="inlineStr">
        <is>
          <t>Henkey gumilar</t>
        </is>
      </c>
      <c r="D773" s="171" t="n">
        <v>46198.41666666666</v>
      </c>
      <c r="E773" s="26" t="n">
        <v>0.9078240740740741</v>
      </c>
      <c r="F773" s="27" t="inlineStr">
        <is>
          <t>Shift 3</t>
        </is>
      </c>
      <c r="G773" s="27" t="n"/>
    </row>
    <row r="774" hidden="1" s="169">
      <c r="A774" s="27" t="inlineStr">
        <is>
          <t>MK00181</t>
        </is>
      </c>
      <c r="B774" s="27" t="n">
        <v>528000305</v>
      </c>
      <c r="C774" s="27" t="inlineStr">
        <is>
          <t>Puji Puspita</t>
        </is>
      </c>
      <c r="D774" s="171" t="n">
        <v>46198.41666666666</v>
      </c>
      <c r="E774" s="26" t="n">
        <v>0.9078819444444445</v>
      </c>
      <c r="F774" s="27" t="inlineStr">
        <is>
          <t>Shift 3</t>
        </is>
      </c>
      <c r="G774" s="27" t="n"/>
    </row>
    <row r="775" hidden="1" s="169">
      <c r="A775" s="27" t="inlineStr">
        <is>
          <t>MK00082</t>
        </is>
      </c>
      <c r="B775" s="27" t="n">
        <v>528000270</v>
      </c>
      <c r="C775" s="27" t="inlineStr">
        <is>
          <t>Febri Najmudin</t>
        </is>
      </c>
      <c r="D775" s="171" t="n">
        <v>46198.41666666666</v>
      </c>
      <c r="E775" s="26" t="n">
        <v>0.9089236111111111</v>
      </c>
      <c r="F775" s="27" t="inlineStr">
        <is>
          <t>Shift 3</t>
        </is>
      </c>
      <c r="G775" s="27" t="n"/>
    </row>
    <row r="776" hidden="1" s="169">
      <c r="A776" s="27" t="inlineStr">
        <is>
          <t>MK00199</t>
        </is>
      </c>
      <c r="B776" s="27" t="n">
        <v>528000098</v>
      </c>
      <c r="C776" s="27" t="inlineStr">
        <is>
          <t>Edi Junaedi</t>
        </is>
      </c>
      <c r="D776" s="171" t="n">
        <v>46198.41666666666</v>
      </c>
      <c r="E776" s="26" t="n">
        <v>0.9159837962962963</v>
      </c>
      <c r="F776" s="27" t="inlineStr">
        <is>
          <t>Shift 3</t>
        </is>
      </c>
      <c r="G776" s="27" t="n"/>
    </row>
    <row r="777" hidden="1" s="169">
      <c r="A777" s="27" t="inlineStr">
        <is>
          <t>MK00101</t>
        </is>
      </c>
      <c r="B777" s="27" t="n">
        <v>528000256</v>
      </c>
      <c r="C777" s="27" t="inlineStr">
        <is>
          <t>Rasianah</t>
        </is>
      </c>
      <c r="D777" s="171" t="n">
        <v>46199.41666666666</v>
      </c>
      <c r="E777" s="26" t="n">
        <v>0.2271759259259259</v>
      </c>
      <c r="F777" s="27" t="inlineStr">
        <is>
          <t>Shift 1</t>
        </is>
      </c>
      <c r="G777" s="27" t="n"/>
    </row>
    <row r="778" hidden="1" s="169">
      <c r="A778" s="27" t="inlineStr">
        <is>
          <t>MK00230</t>
        </is>
      </c>
      <c r="B778" s="27" t="n">
        <v>628000064</v>
      </c>
      <c r="C778" s="27" t="inlineStr">
        <is>
          <t>Silva Alypia</t>
        </is>
      </c>
      <c r="D778" s="171" t="n">
        <v>46199.41666666666</v>
      </c>
      <c r="E778" s="26" t="n">
        <v>0.2409027777777778</v>
      </c>
      <c r="F778" s="27" t="inlineStr">
        <is>
          <t>Shift 1</t>
        </is>
      </c>
      <c r="G778" s="27" t="n"/>
    </row>
    <row r="779" hidden="1" s="169">
      <c r="A779" s="27" t="inlineStr">
        <is>
          <t>MK00185</t>
        </is>
      </c>
      <c r="B779" s="27" t="n">
        <v>528000279</v>
      </c>
      <c r="C779" s="27" t="inlineStr">
        <is>
          <t>Mahdalena Dalfa Riani</t>
        </is>
      </c>
      <c r="D779" s="171" t="n">
        <v>46199.41666666666</v>
      </c>
      <c r="E779" s="26" t="n">
        <v>0.2417013888888889</v>
      </c>
      <c r="F779" s="27" t="inlineStr">
        <is>
          <t>Shift 1</t>
        </is>
      </c>
      <c r="G779" s="27" t="n"/>
    </row>
    <row r="780" hidden="1" s="169">
      <c r="A780" s="27" t="inlineStr">
        <is>
          <t>MK00090</t>
        </is>
      </c>
      <c r="B780" s="27" t="n">
        <v>528000288</v>
      </c>
      <c r="C780" s="27" t="inlineStr">
        <is>
          <t>Dede gunawan</t>
        </is>
      </c>
      <c r="D780" s="171" t="n">
        <v>46199.41666666666</v>
      </c>
      <c r="E780" s="26" t="n">
        <v>0.2442361111111111</v>
      </c>
      <c r="F780" s="27" t="inlineStr">
        <is>
          <t>Shift 1</t>
        </is>
      </c>
      <c r="G780" s="27" t="n"/>
    </row>
    <row r="781" hidden="1" s="169">
      <c r="A781" s="27" t="inlineStr">
        <is>
          <t>MK00136</t>
        </is>
      </c>
      <c r="B781" s="27" t="n">
        <v>528000300</v>
      </c>
      <c r="C781" s="27" t="inlineStr">
        <is>
          <t>Lia pitaloka</t>
        </is>
      </c>
      <c r="D781" s="171" t="n">
        <v>46199.41666666666</v>
      </c>
      <c r="E781" s="26" t="n">
        <v>0.2459375</v>
      </c>
      <c r="F781" s="27" t="inlineStr">
        <is>
          <t>Shift 1</t>
        </is>
      </c>
      <c r="G781" s="27" t="n"/>
    </row>
    <row r="782" hidden="1" s="169">
      <c r="A782" s="27" t="inlineStr">
        <is>
          <t>MK00138</t>
        </is>
      </c>
      <c r="B782" s="27" t="n">
        <v>528000063</v>
      </c>
      <c r="C782" s="27" t="inlineStr">
        <is>
          <t>Muhamad Ripki Pebrian</t>
        </is>
      </c>
      <c r="D782" s="171" t="n">
        <v>46199.41666666666</v>
      </c>
      <c r="E782" s="26" t="n">
        <v>0.2463194444444445</v>
      </c>
      <c r="F782" s="27" t="inlineStr">
        <is>
          <t>Shift 1</t>
        </is>
      </c>
      <c r="G782" s="27" t="n"/>
    </row>
    <row r="783" hidden="1" s="169">
      <c r="A783" s="27" t="inlineStr">
        <is>
          <t>MK00134</t>
        </is>
      </c>
      <c r="B783" s="27" t="n">
        <v>528000254</v>
      </c>
      <c r="C783" s="27" t="inlineStr">
        <is>
          <t>M. Difa Ramdani</t>
        </is>
      </c>
      <c r="D783" s="171" t="n">
        <v>46199.41666666666</v>
      </c>
      <c r="E783" s="26" t="n">
        <v>0.2465740740740741</v>
      </c>
      <c r="F783" s="27" t="inlineStr">
        <is>
          <t>Shift 1</t>
        </is>
      </c>
      <c r="G783" s="27" t="n"/>
    </row>
    <row r="784" hidden="1" s="169">
      <c r="A784" s="27" t="inlineStr">
        <is>
          <t>MK00151</t>
        </is>
      </c>
      <c r="B784" s="27" t="n">
        <v>528000297</v>
      </c>
      <c r="C784" s="27" t="inlineStr">
        <is>
          <t>Muhamad Budiana</t>
        </is>
      </c>
      <c r="D784" s="171" t="n">
        <v>46199.41666666666</v>
      </c>
      <c r="E784" s="26" t="n">
        <v>0.2466319444444444</v>
      </c>
      <c r="F784" s="27" t="inlineStr">
        <is>
          <t>Shift 1</t>
        </is>
      </c>
      <c r="G784" s="27" t="n"/>
    </row>
    <row r="785" hidden="1" s="169">
      <c r="A785" s="27" t="inlineStr">
        <is>
          <t>MK00148</t>
        </is>
      </c>
      <c r="B785" s="27" t="n">
        <v>528000248</v>
      </c>
      <c r="C785" s="27" t="inlineStr">
        <is>
          <t>Roka Jaya Salka Mulya</t>
        </is>
      </c>
      <c r="D785" s="171" t="n">
        <v>46199.41666666666</v>
      </c>
      <c r="E785" s="26" t="n">
        <v>0.2469097222222222</v>
      </c>
      <c r="F785" s="27" t="inlineStr">
        <is>
          <t>Shift 1</t>
        </is>
      </c>
      <c r="G785" s="27" t="n"/>
    </row>
    <row r="786" hidden="1" s="169">
      <c r="A786" s="27" t="inlineStr">
        <is>
          <t>MK00082</t>
        </is>
      </c>
      <c r="B786" s="27" t="n">
        <v>528000282</v>
      </c>
      <c r="C786" s="27" t="inlineStr">
        <is>
          <t>Defa Desfiana</t>
        </is>
      </c>
      <c r="D786" s="171" t="n">
        <v>46199.41666666666</v>
      </c>
      <c r="E786" s="26" t="n">
        <v>0.3155671296296296</v>
      </c>
      <c r="F786" s="27" t="inlineStr">
        <is>
          <t>Shift 1</t>
        </is>
      </c>
      <c r="G786" s="27" t="inlineStr">
        <is>
          <t>23c</t>
        </is>
      </c>
    </row>
    <row r="787" hidden="1" s="169">
      <c r="A787" s="27" t="inlineStr">
        <is>
          <t>MK00221</t>
        </is>
      </c>
      <c r="B787" s="27" t="n">
        <v>528000265</v>
      </c>
      <c r="C787" s="27" t="inlineStr">
        <is>
          <t>Muhammad Haerul Rozikin</t>
        </is>
      </c>
      <c r="D787" s="171" t="n">
        <v>46199.41666666666</v>
      </c>
      <c r="E787" s="26" t="n">
        <v>0.3238425925925926</v>
      </c>
      <c r="F787" s="27" t="inlineStr">
        <is>
          <t>Shift 1</t>
        </is>
      </c>
      <c r="G787" s="27" t="n"/>
    </row>
    <row r="788" hidden="1" s="169">
      <c r="A788" s="27" t="inlineStr">
        <is>
          <t>MK00181</t>
        </is>
      </c>
      <c r="B788" s="27" t="n">
        <v>528000273</v>
      </c>
      <c r="C788" s="27" t="inlineStr">
        <is>
          <t>Asep Mulyana</t>
        </is>
      </c>
      <c r="D788" s="171" t="n">
        <v>46199.41666666666</v>
      </c>
      <c r="E788" s="26" t="n">
        <v>0.3275810185185185</v>
      </c>
      <c r="F788" s="27" t="inlineStr">
        <is>
          <t>Shift 1</t>
        </is>
      </c>
      <c r="G788" s="27" t="n"/>
    </row>
    <row r="789" hidden="1" s="169">
      <c r="A789" s="27" t="inlineStr">
        <is>
          <t>MK00202</t>
        </is>
      </c>
      <c r="B789" s="27" t="n">
        <v>528000055</v>
      </c>
      <c r="C789" s="27" t="inlineStr">
        <is>
          <t>Dika Prasetya</t>
        </is>
      </c>
      <c r="D789" s="171" t="n">
        <v>46199.41666666666</v>
      </c>
      <c r="E789" s="26" t="n">
        <v>0.3287152777777778</v>
      </c>
      <c r="F789" s="27" t="inlineStr">
        <is>
          <t>Shift 1</t>
        </is>
      </c>
      <c r="G789" s="27" t="n"/>
    </row>
    <row r="790" hidden="1" s="169">
      <c r="A790" s="27" t="inlineStr">
        <is>
          <t>MK00154</t>
        </is>
      </c>
      <c r="B790" s="27" t="n">
        <v>528000351</v>
      </c>
      <c r="C790" s="27" t="inlineStr">
        <is>
          <t>Mulyana</t>
        </is>
      </c>
      <c r="D790" s="171" t="n">
        <v>46199.41666666666</v>
      </c>
      <c r="E790" s="26" t="n">
        <v>0.332824074074074</v>
      </c>
      <c r="F790" s="27" t="inlineStr">
        <is>
          <t>Shift 1</t>
        </is>
      </c>
      <c r="G790" s="27" t="n"/>
    </row>
    <row r="791" hidden="1" s="169">
      <c r="A791" s="27" t="inlineStr">
        <is>
          <t>MK00205</t>
        </is>
      </c>
      <c r="B791" s="27" t="n">
        <v>528000348</v>
      </c>
      <c r="C791" s="27" t="inlineStr">
        <is>
          <t>Saepuloh Ardiansah</t>
        </is>
      </c>
      <c r="D791" s="171" t="n">
        <v>46199.41666666666</v>
      </c>
      <c r="E791" s="26" t="n">
        <v>0.3655439814814815</v>
      </c>
      <c r="F791" s="27" t="inlineStr">
        <is>
          <t>Shift 1</t>
        </is>
      </c>
      <c r="G791" s="27" t="n"/>
    </row>
    <row r="792" hidden="1" s="169">
      <c r="A792" s="27" t="inlineStr">
        <is>
          <t>MK00212</t>
        </is>
      </c>
      <c r="B792" s="27" t="n">
        <v>528000149</v>
      </c>
      <c r="C792" s="27" t="inlineStr">
        <is>
          <t>Tio Fernanda</t>
        </is>
      </c>
      <c r="D792" s="171" t="n">
        <v>46199.41666666666</v>
      </c>
      <c r="E792" s="26" t="n">
        <v>0.3691550925925926</v>
      </c>
      <c r="F792" s="27" t="inlineStr">
        <is>
          <t>Shift 1</t>
        </is>
      </c>
      <c r="G792" s="27" t="n"/>
    </row>
    <row r="793" hidden="1" s="169">
      <c r="A793" s="27" t="inlineStr">
        <is>
          <t>MK00046</t>
        </is>
      </c>
      <c r="B793" s="27" t="n">
        <v>528000232</v>
      </c>
      <c r="C793" s="27" t="inlineStr">
        <is>
          <t>Agung Aji Suhada</t>
        </is>
      </c>
      <c r="D793" s="171" t="n">
        <v>46199.41666666666</v>
      </c>
      <c r="E793" s="26" t="n">
        <v>0.3728703703703704</v>
      </c>
      <c r="F793" s="27" t="inlineStr">
        <is>
          <t>Shift 1</t>
        </is>
      </c>
      <c r="G793" s="27" t="n"/>
    </row>
    <row r="794">
      <c r="A794" s="27" t="inlineStr">
        <is>
          <t>MK00156</t>
        </is>
      </c>
      <c r="B794" s="27" t="n">
        <v>528000015</v>
      </c>
      <c r="C794" s="27" t="inlineStr">
        <is>
          <t>Erwin</t>
        </is>
      </c>
      <c r="D794" s="171" t="n">
        <v>46199.41666666666</v>
      </c>
      <c r="E794" s="26" t="n">
        <v>0.5314004629629629</v>
      </c>
      <c r="F794" s="27" t="inlineStr">
        <is>
          <t>Shift 1</t>
        </is>
      </c>
      <c r="G794" s="27" t="n"/>
    </row>
    <row r="795" hidden="1" s="169">
      <c r="A795" s="27" t="inlineStr">
        <is>
          <t>MK0085</t>
        </is>
      </c>
      <c r="B795" s="27" t="n">
        <v>528000052</v>
      </c>
      <c r="C795" s="27" t="inlineStr">
        <is>
          <t>Mustopa</t>
        </is>
      </c>
      <c r="D795" s="171" t="n">
        <v>46199.41666666666</v>
      </c>
      <c r="E795" s="26" t="n">
        <v>0.5377546296296296</v>
      </c>
      <c r="F795" s="27" t="inlineStr">
        <is>
          <t>Shift 1</t>
        </is>
      </c>
      <c r="G795" s="27" t="n"/>
    </row>
    <row r="796" hidden="1" s="169">
      <c r="A796" s="27" t="inlineStr">
        <is>
          <t>MK00088</t>
        </is>
      </c>
      <c r="B796" s="27" t="n">
        <v>528000144</v>
      </c>
      <c r="C796" s="27" t="inlineStr">
        <is>
          <t>Jodi Hanafi</t>
        </is>
      </c>
      <c r="D796" s="171" t="n">
        <v>46199.41666666666</v>
      </c>
      <c r="E796" s="26" t="n">
        <v>0.5397453703703704</v>
      </c>
      <c r="F796" s="27" t="inlineStr">
        <is>
          <t>Shift 1</t>
        </is>
      </c>
      <c r="G796" s="27" t="n"/>
    </row>
    <row r="797" hidden="1" s="169">
      <c r="A797" s="27" t="inlineStr">
        <is>
          <t>MK00228</t>
        </is>
      </c>
      <c r="B797" s="27" t="n">
        <v>528000132</v>
      </c>
      <c r="C797" s="27" t="inlineStr">
        <is>
          <t>Giopani</t>
        </is>
      </c>
      <c r="D797" s="171" t="n">
        <v>46199.41666666666</v>
      </c>
      <c r="E797" s="26" t="n">
        <v>0.5405902777777778</v>
      </c>
      <c r="F797" s="27" t="inlineStr">
        <is>
          <t>Shift 1</t>
        </is>
      </c>
      <c r="G797" s="27" t="n"/>
    </row>
    <row r="798" hidden="1" s="169">
      <c r="A798" s="27" t="inlineStr">
        <is>
          <t>MK0082</t>
        </is>
      </c>
      <c r="B798" s="27" t="n">
        <v>528000266</v>
      </c>
      <c r="C798" s="27" t="inlineStr">
        <is>
          <t>M. Syirajatieq</t>
        </is>
      </c>
      <c r="D798" s="171" t="n">
        <v>46199.41666666666</v>
      </c>
      <c r="E798" s="26" t="n">
        <v>0.5687962962962962</v>
      </c>
      <c r="F798" s="27" t="inlineStr">
        <is>
          <t>Shift 2</t>
        </is>
      </c>
      <c r="G798" s="27" t="n"/>
    </row>
    <row r="799" hidden="1" s="169">
      <c r="A799" s="27" t="inlineStr">
        <is>
          <t>MK00202</t>
        </is>
      </c>
      <c r="B799" s="27" t="n">
        <v>528000358</v>
      </c>
      <c r="C799" s="27" t="inlineStr">
        <is>
          <t>Lulu Agustin</t>
        </is>
      </c>
      <c r="D799" s="171" t="n">
        <v>46199.41666666666</v>
      </c>
      <c r="E799" s="26" t="n">
        <v>0.5688541666666667</v>
      </c>
      <c r="F799" s="27" t="inlineStr">
        <is>
          <t>Shift 2</t>
        </is>
      </c>
      <c r="G799" s="27" t="n"/>
    </row>
    <row r="800" hidden="1" s="169">
      <c r="A800" s="27" t="inlineStr">
        <is>
          <t>MK00221</t>
        </is>
      </c>
      <c r="B800" s="27" t="n">
        <v>528000195</v>
      </c>
      <c r="C800" s="27" t="inlineStr">
        <is>
          <t>Rahma Sariwati</t>
        </is>
      </c>
      <c r="D800" s="171" t="n">
        <v>46199.41666666666</v>
      </c>
      <c r="E800" s="26" t="n">
        <v>0.5715046296296297</v>
      </c>
      <c r="F800" s="27" t="inlineStr">
        <is>
          <t>Shift 2</t>
        </is>
      </c>
      <c r="G800" s="27" t="n"/>
    </row>
    <row r="801" hidden="1" s="169">
      <c r="A801" s="27" t="inlineStr">
        <is>
          <t>MK00141</t>
        </is>
      </c>
      <c r="B801" s="27" t="n">
        <v>528000306</v>
      </c>
      <c r="C801" s="27" t="inlineStr">
        <is>
          <t>Windy Olivia</t>
        </is>
      </c>
      <c r="D801" s="171" t="n">
        <v>46199.41666666666</v>
      </c>
      <c r="E801" s="26" t="n">
        <v>0.5718634259259259</v>
      </c>
      <c r="F801" s="27" t="inlineStr">
        <is>
          <t>Shift 2</t>
        </is>
      </c>
      <c r="G801" s="27" t="n"/>
    </row>
    <row r="802" hidden="1" s="169">
      <c r="A802" s="27" t="inlineStr">
        <is>
          <t>MK00126</t>
        </is>
      </c>
      <c r="B802" s="27" t="n">
        <v>528000291</v>
      </c>
      <c r="C802" s="27" t="inlineStr">
        <is>
          <t>Andrian</t>
        </is>
      </c>
      <c r="D802" s="171" t="n">
        <v>46199.41666666666</v>
      </c>
      <c r="E802" s="26" t="n">
        <v>0.5736111111111111</v>
      </c>
      <c r="F802" s="27" t="inlineStr">
        <is>
          <t>Shift 2</t>
        </is>
      </c>
      <c r="G802" s="27" t="n"/>
    </row>
    <row r="803" hidden="1" s="169">
      <c r="A803" s="27" t="inlineStr">
        <is>
          <t>MK00145</t>
        </is>
      </c>
      <c r="B803" s="27" t="n">
        <v>528000283</v>
      </c>
      <c r="C803" s="27" t="inlineStr">
        <is>
          <t>Purwanda Sugiri</t>
        </is>
      </c>
      <c r="D803" s="171" t="n">
        <v>46199.41666666666</v>
      </c>
      <c r="E803" s="26" t="n">
        <v>0.5736805555555555</v>
      </c>
      <c r="F803" s="27" t="inlineStr">
        <is>
          <t>Shift 2</t>
        </is>
      </c>
      <c r="G803" s="27" t="n"/>
    </row>
    <row r="804" hidden="1" s="169">
      <c r="A804" s="27" t="inlineStr">
        <is>
          <t>MK00213</t>
        </is>
      </c>
      <c r="B804" s="27" t="n">
        <v>528000261</v>
      </c>
      <c r="C804" s="27" t="inlineStr">
        <is>
          <t>Ergi Ergianto</t>
        </is>
      </c>
      <c r="D804" s="171" t="n">
        <v>46199.41666666666</v>
      </c>
      <c r="E804" s="26" t="n">
        <v>0.5754050925925925</v>
      </c>
      <c r="F804" s="27" t="inlineStr">
        <is>
          <t>Shift 2</t>
        </is>
      </c>
      <c r="G804" s="27" t="n"/>
    </row>
    <row r="805" hidden="1" s="169">
      <c r="A805" s="27" t="inlineStr">
        <is>
          <t>MK00116</t>
        </is>
      </c>
      <c r="B805" s="27" t="n">
        <v>628000061</v>
      </c>
      <c r="C805" s="27" t="inlineStr">
        <is>
          <t>Nayla Fadillah Exwantoro</t>
        </is>
      </c>
      <c r="D805" s="171" t="n">
        <v>46199.41666666666</v>
      </c>
      <c r="E805" s="26" t="n">
        <v>0.8748842592592593</v>
      </c>
      <c r="F805" s="27" t="inlineStr">
        <is>
          <t>Shift 2</t>
        </is>
      </c>
      <c r="G805" s="27" t="n"/>
    </row>
    <row r="806" hidden="1" s="169">
      <c r="A806" s="27" t="inlineStr">
        <is>
          <t>MK00209</t>
        </is>
      </c>
      <c r="B806" s="27" t="n">
        <v>528000298</v>
      </c>
      <c r="C806" s="27" t="inlineStr">
        <is>
          <t>Desta Cahaya Pratama</t>
        </is>
      </c>
      <c r="D806" s="171" t="n">
        <v>46199.41666666666</v>
      </c>
      <c r="E806" s="26" t="n">
        <v>0.9055902777777778</v>
      </c>
      <c r="F806" s="27" t="inlineStr">
        <is>
          <t>Shift 3</t>
        </is>
      </c>
      <c r="G806" s="27" t="n"/>
    </row>
    <row r="807" hidden="1" s="169">
      <c r="A807" s="27" t="inlineStr">
        <is>
          <t>MK00158</t>
        </is>
      </c>
      <c r="B807" s="27" t="n">
        <v>528000299</v>
      </c>
      <c r="C807" s="27" t="inlineStr">
        <is>
          <t>Siti Nurjanah</t>
        </is>
      </c>
      <c r="D807" s="171" t="n">
        <v>46199.41666666666</v>
      </c>
      <c r="E807" s="26" t="n">
        <v>0.9061805555555555</v>
      </c>
      <c r="F807" s="27" t="inlineStr">
        <is>
          <t>Shift 3</t>
        </is>
      </c>
      <c r="G807" s="27" t="n"/>
    </row>
    <row r="808" hidden="1" s="169">
      <c r="A808" s="27" t="inlineStr">
        <is>
          <t>PE8532</t>
        </is>
      </c>
      <c r="B808" s="27" t="n">
        <v>528000305</v>
      </c>
      <c r="C808" s="27" t="inlineStr">
        <is>
          <t>Puji Puspita</t>
        </is>
      </c>
      <c r="D808" s="171" t="n">
        <v>46199.41666666666</v>
      </c>
      <c r="E808" s="26" t="n">
        <v>0.9069560185185185</v>
      </c>
      <c r="F808" s="27" t="inlineStr">
        <is>
          <t>Shift 3</t>
        </is>
      </c>
      <c r="G808" s="27" t="n"/>
    </row>
    <row r="809" hidden="1" s="169">
      <c r="A809" s="27" t="inlineStr">
        <is>
          <t>MK00138</t>
        </is>
      </c>
      <c r="B809" s="27" t="n">
        <v>528000270</v>
      </c>
      <c r="C809" s="27" t="inlineStr">
        <is>
          <t>Febri Najmudin</t>
        </is>
      </c>
      <c r="D809" s="171" t="n">
        <v>46199.41666666666</v>
      </c>
      <c r="E809" s="26" t="n">
        <v>0.9075810185185185</v>
      </c>
      <c r="F809" s="27" t="inlineStr">
        <is>
          <t>Shift 3</t>
        </is>
      </c>
      <c r="G809" s="27" t="n"/>
    </row>
    <row r="810" hidden="1" s="169">
      <c r="A810" s="27" t="inlineStr">
        <is>
          <t>MK00204</t>
        </is>
      </c>
      <c r="B810" s="27" t="n">
        <v>528000302</v>
      </c>
      <c r="C810" s="27" t="inlineStr">
        <is>
          <t>Henkey gumilar</t>
        </is>
      </c>
      <c r="D810" s="171" t="n">
        <v>46199.41666666666</v>
      </c>
      <c r="E810" s="26" t="n">
        <v>0.9087152777777778</v>
      </c>
      <c r="F810" s="27" t="inlineStr">
        <is>
          <t>Shift 3</t>
        </is>
      </c>
      <c r="G810" s="27" t="n"/>
    </row>
    <row r="811" hidden="1" s="169">
      <c r="A811" s="27" t="inlineStr">
        <is>
          <t>MK00185</t>
        </is>
      </c>
      <c r="B811" s="27" t="n">
        <v>528000244</v>
      </c>
      <c r="C811" s="27" t="inlineStr">
        <is>
          <t>Rodian Rifai</t>
        </is>
      </c>
      <c r="D811" s="171" t="n">
        <v>46200.41666666666</v>
      </c>
      <c r="E811" s="26" t="n">
        <v>0.2338425925925926</v>
      </c>
      <c r="F811" s="27" t="inlineStr">
        <is>
          <t>Shift 1</t>
        </is>
      </c>
      <c r="G811" s="27" t="inlineStr">
        <is>
          <t>1E</t>
        </is>
      </c>
    </row>
    <row r="812" hidden="1" s="169">
      <c r="A812" s="27" t="inlineStr">
        <is>
          <t>MK00221</t>
        </is>
      </c>
      <c r="B812" s="27" t="n">
        <v>528000201</v>
      </c>
      <c r="C812" s="27" t="inlineStr">
        <is>
          <t>Zahwa Amelia Choerunissa</t>
        </is>
      </c>
      <c r="D812" s="171" t="n">
        <v>46200.41666666666</v>
      </c>
      <c r="E812" s="26" t="n">
        <v>0.2358912037037037</v>
      </c>
      <c r="F812" s="27" t="inlineStr">
        <is>
          <t>Shift 1</t>
        </is>
      </c>
      <c r="G812" s="27" t="n"/>
    </row>
    <row r="813" hidden="1" s="169">
      <c r="A813" s="27" t="inlineStr">
        <is>
          <t>MK00203</t>
        </is>
      </c>
      <c r="B813" s="27" t="n">
        <v>528000099</v>
      </c>
      <c r="C813" s="27" t="inlineStr">
        <is>
          <t>Siti Nurawaliah</t>
        </is>
      </c>
      <c r="D813" s="171" t="n">
        <v>46200.41666666666</v>
      </c>
      <c r="E813" s="26" t="n">
        <v>0.2363425925925926</v>
      </c>
      <c r="F813" s="27" t="inlineStr">
        <is>
          <t>Shift 1</t>
        </is>
      </c>
      <c r="G813" s="27" t="n"/>
    </row>
    <row r="814" hidden="1" s="169">
      <c r="A814" s="27" t="inlineStr">
        <is>
          <t>MK00202</t>
        </is>
      </c>
      <c r="B814" s="27" t="n">
        <v>528000286</v>
      </c>
      <c r="C814" s="27" t="inlineStr">
        <is>
          <t>Imelda Amelia</t>
        </is>
      </c>
      <c r="D814" s="171" t="n">
        <v>46200.41666666666</v>
      </c>
      <c r="E814" s="26" t="n">
        <v>0.2389814814814815</v>
      </c>
      <c r="F814" s="27" t="inlineStr">
        <is>
          <t>Shift 1</t>
        </is>
      </c>
      <c r="G814" s="27" t="n"/>
    </row>
    <row r="815" hidden="1" s="169">
      <c r="A815" s="27" t="inlineStr">
        <is>
          <t>MK00213</t>
        </is>
      </c>
      <c r="B815" s="27" t="n">
        <v>528000241</v>
      </c>
      <c r="C815" s="27" t="inlineStr">
        <is>
          <t>Balia Nurafif Bilah</t>
        </is>
      </c>
      <c r="D815" s="171" t="n">
        <v>46200.41666666666</v>
      </c>
      <c r="E815" s="26" t="n">
        <v>0.2440046296296296</v>
      </c>
      <c r="F815" s="27" t="inlineStr">
        <is>
          <t>Shift 1</t>
        </is>
      </c>
      <c r="G815" s="27" t="n"/>
    </row>
    <row r="816" hidden="1" s="169">
      <c r="A816" s="27" t="inlineStr">
        <is>
          <t>MK00145</t>
        </is>
      </c>
      <c r="B816" s="27" t="n">
        <v>528000290</v>
      </c>
      <c r="C816" s="27" t="inlineStr">
        <is>
          <t>Eval Pranata</t>
        </is>
      </c>
      <c r="D816" s="171" t="n">
        <v>46200.41666666666</v>
      </c>
      <c r="E816" s="26" t="n">
        <v>0.2469675925925926</v>
      </c>
      <c r="F816" s="27" t="inlineStr">
        <is>
          <t>Shift 1</t>
        </is>
      </c>
      <c r="G816" s="27" t="n"/>
    </row>
    <row r="817" hidden="1" s="169">
      <c r="A817" s="27" t="inlineStr">
        <is>
          <t>MK00141</t>
        </is>
      </c>
      <c r="B817" s="27" t="n">
        <v>528000274</v>
      </c>
      <c r="C817" s="27" t="inlineStr">
        <is>
          <t>Zepri</t>
        </is>
      </c>
      <c r="D817" s="171" t="n">
        <v>46200.41666666666</v>
      </c>
      <c r="E817" s="26" t="n">
        <v>0.2472916666666667</v>
      </c>
      <c r="F817" s="27" t="inlineStr">
        <is>
          <t>Shift 1</t>
        </is>
      </c>
      <c r="G817" s="27" t="inlineStr">
        <is>
          <t>MK00142</t>
        </is>
      </c>
    </row>
    <row r="818" hidden="1" s="169">
      <c r="A818" s="27" t="inlineStr">
        <is>
          <t>MK00126</t>
        </is>
      </c>
      <c r="B818" s="27" t="n">
        <v>528000090</v>
      </c>
      <c r="C818" s="27" t="inlineStr">
        <is>
          <t>Suganda</t>
        </is>
      </c>
      <c r="D818" s="171" t="n">
        <v>46200.41666666666</v>
      </c>
      <c r="E818" s="26" t="n">
        <v>0.2477314814814815</v>
      </c>
      <c r="F818" s="27" t="inlineStr">
        <is>
          <t>Shift 1</t>
        </is>
      </c>
      <c r="G818" s="27" t="n"/>
    </row>
    <row r="819" hidden="1" s="169">
      <c r="A819" s="27" t="inlineStr">
        <is>
          <t>MK00109</t>
        </is>
      </c>
      <c r="B819" s="27" t="n">
        <v>528000358</v>
      </c>
      <c r="C819" s="27" t="inlineStr">
        <is>
          <t>Lulu Agustin</t>
        </is>
      </c>
      <c r="D819" s="171" t="n">
        <v>46200.41666666666</v>
      </c>
      <c r="E819" s="26" t="n">
        <v>0.5711458333333334</v>
      </c>
      <c r="F819" s="27" t="inlineStr">
        <is>
          <t>Shift 2</t>
        </is>
      </c>
      <c r="G819" s="27" t="n"/>
    </row>
    <row r="820" hidden="1" s="169">
      <c r="A820" s="27" t="inlineStr">
        <is>
          <t>MK00154</t>
        </is>
      </c>
      <c r="B820" s="27" t="n">
        <v>528000262</v>
      </c>
      <c r="C820" s="27" t="inlineStr">
        <is>
          <t>Ndari Dwiwanti</t>
        </is>
      </c>
      <c r="D820" s="171" t="n">
        <v>46200.41666666666</v>
      </c>
      <c r="E820" s="26" t="n">
        <v>0.5719328703703703</v>
      </c>
      <c r="F820" s="27" t="inlineStr">
        <is>
          <t>Shift 2</t>
        </is>
      </c>
      <c r="G820" s="27" t="n"/>
    </row>
    <row r="821" hidden="1" s="169">
      <c r="A821" s="27" t="inlineStr">
        <is>
          <t>MK00130</t>
        </is>
      </c>
      <c r="B821" s="27" t="n">
        <v>528000291</v>
      </c>
      <c r="C821" s="27" t="inlineStr">
        <is>
          <t>Andrian</t>
        </is>
      </c>
      <c r="D821" s="171" t="n">
        <v>46200.41666666666</v>
      </c>
      <c r="E821" s="26" t="n">
        <v>0.5726736111111111</v>
      </c>
      <c r="F821" s="27" t="inlineStr">
        <is>
          <t>Shift 2</t>
        </is>
      </c>
      <c r="G821" s="27" t="n"/>
    </row>
    <row r="822" hidden="1" s="169">
      <c r="A822" s="27" t="inlineStr">
        <is>
          <t>MK00095</t>
        </is>
      </c>
      <c r="B822" s="27" t="n">
        <v>528000283</v>
      </c>
      <c r="C822" s="27" t="inlineStr">
        <is>
          <t>Purwanda Sugiri</t>
        </is>
      </c>
      <c r="D822" s="171" t="n">
        <v>46200.41666666666</v>
      </c>
      <c r="E822" s="26" t="n">
        <v>0.5727777777777778</v>
      </c>
      <c r="F822" s="27" t="inlineStr">
        <is>
          <t>Shift 2</t>
        </is>
      </c>
      <c r="G822" s="27" t="n"/>
    </row>
    <row r="823" hidden="1" s="169">
      <c r="A823" s="27" t="inlineStr">
        <is>
          <t>MK00209</t>
        </is>
      </c>
      <c r="B823" s="27" t="n">
        <v>528000261</v>
      </c>
      <c r="C823" s="27" t="inlineStr">
        <is>
          <t>Ergi Ergianto</t>
        </is>
      </c>
      <c r="D823" s="171" t="n">
        <v>46200.41666666666</v>
      </c>
      <c r="E823" s="26" t="n">
        <v>0.5744212962962963</v>
      </c>
      <c r="F823" s="27" t="inlineStr">
        <is>
          <t>Shift 2</t>
        </is>
      </c>
      <c r="G823" s="27" t="n"/>
    </row>
    <row r="824" hidden="1" s="169">
      <c r="A824" s="27" t="inlineStr">
        <is>
          <t>MK00213</t>
        </is>
      </c>
      <c r="B824" s="27" t="n">
        <v>628000061</v>
      </c>
      <c r="C824" s="27" t="inlineStr">
        <is>
          <t>Nayla Fadillah Exwantoro</t>
        </is>
      </c>
      <c r="D824" s="171" t="n">
        <v>46200.41666666666</v>
      </c>
      <c r="E824" s="26" t="n">
        <v>0.8717939814814815</v>
      </c>
      <c r="F824" s="27" t="inlineStr">
        <is>
          <t>Shift 2</t>
        </is>
      </c>
      <c r="G824" s="27" t="n"/>
    </row>
    <row r="825" hidden="1" s="169">
      <c r="A825" s="27" t="inlineStr">
        <is>
          <t>MK00202</t>
        </is>
      </c>
      <c r="B825" s="27" t="n">
        <v>528000302</v>
      </c>
      <c r="C825" s="27" t="inlineStr">
        <is>
          <t>Henkey gumilar</t>
        </is>
      </c>
      <c r="D825" s="171" t="n">
        <v>46200.41666666666</v>
      </c>
      <c r="E825" s="26" t="n">
        <v>0.9026967592592593</v>
      </c>
      <c r="F825" s="27" t="inlineStr">
        <is>
          <t>Shift 3</t>
        </is>
      </c>
      <c r="G825" s="27" t="n"/>
    </row>
    <row r="826" hidden="1" s="169">
      <c r="A826" s="27" t="inlineStr">
        <is>
          <t>AK00203</t>
        </is>
      </c>
      <c r="B826" s="27" t="n">
        <v>528000299</v>
      </c>
      <c r="C826" s="27" t="inlineStr">
        <is>
          <t>Siti Nurjanah</t>
        </is>
      </c>
      <c r="D826" s="171" t="n">
        <v>46200.41666666666</v>
      </c>
      <c r="E826" s="26" t="n">
        <v>0.9039583333333333</v>
      </c>
      <c r="F826" s="27" t="inlineStr">
        <is>
          <t>Shift 3</t>
        </is>
      </c>
      <c r="G826" s="27" t="n"/>
    </row>
    <row r="827" hidden="1" s="169">
      <c r="A827" s="27" t="inlineStr">
        <is>
          <t>MK00141</t>
        </is>
      </c>
      <c r="B827" s="27" t="n">
        <v>528000298</v>
      </c>
      <c r="C827" s="27" t="inlineStr">
        <is>
          <t>Desta Cahaya Pratama</t>
        </is>
      </c>
      <c r="D827" s="171" t="n">
        <v>46200.41666666666</v>
      </c>
      <c r="E827" s="26" t="n">
        <v>0.9049768518518518</v>
      </c>
      <c r="F827" s="27" t="inlineStr">
        <is>
          <t>Shift 3</t>
        </is>
      </c>
      <c r="G827" s="27" t="n"/>
    </row>
    <row r="828" hidden="1" s="169">
      <c r="A828" s="27" t="inlineStr">
        <is>
          <t>MK00185</t>
        </is>
      </c>
      <c r="B828" s="27" t="n">
        <v>528000270</v>
      </c>
      <c r="C828" s="27" t="inlineStr">
        <is>
          <t>Febri Najmudin</t>
        </is>
      </c>
      <c r="D828" s="171" t="n">
        <v>46200.41666666666</v>
      </c>
      <c r="E828" s="26" t="n">
        <v>0.9055092592592593</v>
      </c>
      <c r="F828" s="27" t="inlineStr">
        <is>
          <t>Shift 3</t>
        </is>
      </c>
      <c r="G828" s="27" t="n"/>
    </row>
    <row r="829" hidden="1" s="169">
      <c r="A829" s="27" t="inlineStr">
        <is>
          <t>MK00181</t>
        </is>
      </c>
      <c r="B829" s="27" t="n">
        <v>528000201</v>
      </c>
      <c r="C829" s="27" t="inlineStr">
        <is>
          <t>Zahwa Amelia Choerunissa</t>
        </is>
      </c>
      <c r="D829" s="171" t="n">
        <v>46201.41666666666</v>
      </c>
      <c r="E829" s="26" t="n">
        <v>0.241724537037037</v>
      </c>
      <c r="F829" s="27" t="inlineStr">
        <is>
          <t>Shift 1</t>
        </is>
      </c>
      <c r="G829" s="27" t="n"/>
    </row>
    <row r="830" hidden="1" s="169">
      <c r="A830" s="27" t="inlineStr">
        <is>
          <t>MK00208</t>
        </is>
      </c>
      <c r="B830" s="27" t="n">
        <v>528000286</v>
      </c>
      <c r="C830" s="27" t="inlineStr">
        <is>
          <t>Imelda Amelia</t>
        </is>
      </c>
      <c r="D830" s="171" t="n">
        <v>46201.41666666666</v>
      </c>
      <c r="E830" s="26" t="n">
        <v>0.2417361111111111</v>
      </c>
      <c r="F830" s="27" t="inlineStr">
        <is>
          <t>Shift 1</t>
        </is>
      </c>
      <c r="G830" s="27" t="n"/>
    </row>
    <row r="831" hidden="1" s="169">
      <c r="A831" s="27" t="inlineStr">
        <is>
          <t>MK0046</t>
        </is>
      </c>
      <c r="B831" s="27" t="n">
        <v>528000099</v>
      </c>
      <c r="C831" s="27" t="inlineStr">
        <is>
          <t>Siti Nurawaliah</t>
        </is>
      </c>
      <c r="D831" s="171" t="n">
        <v>46201.41666666666</v>
      </c>
      <c r="E831" s="26" t="n">
        <v>0.2421180555555555</v>
      </c>
      <c r="F831" s="27" t="inlineStr">
        <is>
          <t>Shift 1</t>
        </is>
      </c>
      <c r="G831" s="27" t="n"/>
    </row>
    <row r="832" hidden="1" s="169">
      <c r="A832" s="27" t="inlineStr">
        <is>
          <t>MK00230</t>
        </is>
      </c>
      <c r="B832" s="27" t="n">
        <v>528000265</v>
      </c>
      <c r="C832" s="27" t="inlineStr">
        <is>
          <t>Muhammad Haerul Rozikin</t>
        </is>
      </c>
      <c r="D832" s="171" t="n">
        <v>46201.41666666666</v>
      </c>
      <c r="E832" s="26" t="n">
        <v>0.2439699074074074</v>
      </c>
      <c r="F832" s="27" t="inlineStr">
        <is>
          <t>Shift 1</t>
        </is>
      </c>
      <c r="G832" s="27" t="n"/>
    </row>
    <row r="833" hidden="1" s="169">
      <c r="A833" s="27" t="inlineStr">
        <is>
          <t>MK00151</t>
        </is>
      </c>
      <c r="B833" s="27" t="n">
        <v>528000090</v>
      </c>
      <c r="C833" s="27" t="inlineStr">
        <is>
          <t>Suganda</t>
        </is>
      </c>
      <c r="D833" s="171" t="n">
        <v>46201.41666666666</v>
      </c>
      <c r="E833" s="26" t="n">
        <v>0.2446064814814815</v>
      </c>
      <c r="F833" s="27" t="inlineStr">
        <is>
          <t>Shift 1</t>
        </is>
      </c>
      <c r="G833" s="27" t="n"/>
    </row>
    <row r="834" hidden="1" s="169">
      <c r="A834" s="27" t="inlineStr">
        <is>
          <t>MK00158</t>
        </is>
      </c>
      <c r="B834" s="27" t="n">
        <v>528000241</v>
      </c>
      <c r="C834" s="27" t="inlineStr">
        <is>
          <t>Balia Nurafif Bilah</t>
        </is>
      </c>
      <c r="D834" s="171" t="n">
        <v>46201.41666666666</v>
      </c>
      <c r="E834" s="26" t="n">
        <v>0.2463310185185185</v>
      </c>
      <c r="F834" s="27" t="inlineStr">
        <is>
          <t>Shift 1</t>
        </is>
      </c>
      <c r="G834" s="27" t="n"/>
    </row>
    <row r="835" hidden="1" s="169">
      <c r="A835" s="27" t="inlineStr">
        <is>
          <t>MK00136</t>
        </is>
      </c>
      <c r="B835" s="27" t="n">
        <v>528000274</v>
      </c>
      <c r="C835" s="27" t="inlineStr">
        <is>
          <t>Zepri</t>
        </is>
      </c>
      <c r="D835" s="171" t="n">
        <v>46201.41666666666</v>
      </c>
      <c r="E835" s="26" t="n">
        <v>0.2465740740740741</v>
      </c>
      <c r="F835" s="27" t="inlineStr">
        <is>
          <t>Shift 1</t>
        </is>
      </c>
      <c r="G835" s="27" t="n"/>
    </row>
    <row r="836" hidden="1" s="169">
      <c r="A836" s="27" t="inlineStr">
        <is>
          <t>MK00204</t>
        </is>
      </c>
      <c r="B836" s="27" t="n">
        <v>528000282</v>
      </c>
      <c r="C836" s="27" t="inlineStr">
        <is>
          <t>Defa Desfiana</t>
        </is>
      </c>
      <c r="D836" s="171" t="n">
        <v>46201.41666666666</v>
      </c>
      <c r="E836" s="26" t="n">
        <v>0.2473148148148148</v>
      </c>
      <c r="F836" s="27" t="inlineStr">
        <is>
          <t>Shift 1</t>
        </is>
      </c>
      <c r="G836" s="27" t="n"/>
    </row>
    <row r="837" hidden="1" s="169">
      <c r="A837" s="27" t="inlineStr">
        <is>
          <t>MK00249</t>
        </is>
      </c>
      <c r="B837" s="27" t="n">
        <v>528000290</v>
      </c>
      <c r="C837" s="27" t="inlineStr">
        <is>
          <t>Eval Pranata</t>
        </is>
      </c>
      <c r="D837" s="171" t="n">
        <v>46201.41666666666</v>
      </c>
      <c r="E837" s="26" t="n">
        <v>0.2484722222222222</v>
      </c>
      <c r="F837" s="27" t="inlineStr">
        <is>
          <t>Shift 1</t>
        </is>
      </c>
      <c r="G837" s="27" t="n"/>
    </row>
    <row r="838" hidden="1" s="169">
      <c r="A838" s="27" t="inlineStr">
        <is>
          <t>MK00109</t>
        </is>
      </c>
      <c r="B838" s="27" t="n">
        <v>528000244</v>
      </c>
      <c r="C838" s="27" t="inlineStr">
        <is>
          <t>Rodian Rifai</t>
        </is>
      </c>
      <c r="D838" s="171" t="n">
        <v>46201.41666666666</v>
      </c>
      <c r="E838" s="26" t="n">
        <v>0.2532754629629629</v>
      </c>
      <c r="F838" s="27" t="inlineStr">
        <is>
          <t>Shift 1</t>
        </is>
      </c>
      <c r="G838" s="27" t="n"/>
    </row>
    <row r="839" hidden="1" s="169">
      <c r="A839" s="27" t="inlineStr">
        <is>
          <t>MK00088</t>
        </is>
      </c>
      <c r="B839" s="27" t="n">
        <v>528000144</v>
      </c>
      <c r="C839" s="27" t="inlineStr">
        <is>
          <t>Jodi Hanafi</t>
        </is>
      </c>
      <c r="D839" s="171" t="n">
        <v>46201.41666666666</v>
      </c>
      <c r="E839" s="26" t="n">
        <v>0.3215856481481482</v>
      </c>
      <c r="F839" s="27" t="inlineStr">
        <is>
          <t>Shift 1</t>
        </is>
      </c>
      <c r="G839" s="27" t="n"/>
    </row>
    <row r="840" hidden="1" s="169">
      <c r="A840" s="27" t="inlineStr">
        <is>
          <t>MK00134</t>
        </is>
      </c>
      <c r="B840" s="27" t="n">
        <v>528000351</v>
      </c>
      <c r="C840" s="27" t="inlineStr">
        <is>
          <t>Mulyana</t>
        </is>
      </c>
      <c r="D840" s="171" t="n">
        <v>46201.41666666666</v>
      </c>
      <c r="E840" s="26" t="n">
        <v>0.3268865740740741</v>
      </c>
      <c r="F840" s="27" t="inlineStr">
        <is>
          <t>Shift 1</t>
        </is>
      </c>
      <c r="G840" s="27" t="n"/>
    </row>
    <row r="841">
      <c r="A841" s="27" t="inlineStr">
        <is>
          <t>MK00116</t>
        </is>
      </c>
      <c r="B841" s="27" t="n">
        <v>528000015</v>
      </c>
      <c r="C841" s="27" t="inlineStr">
        <is>
          <t>Erwin</t>
        </is>
      </c>
      <c r="D841" s="171" t="n">
        <v>46201.41666666666</v>
      </c>
      <c r="E841" s="26" t="n">
        <v>0.3270023148148148</v>
      </c>
      <c r="F841" s="27" t="inlineStr">
        <is>
          <t>Shift 1</t>
        </is>
      </c>
      <c r="G841" s="27" t="n"/>
    </row>
    <row r="842" hidden="1" s="169">
      <c r="A842" s="27" t="inlineStr">
        <is>
          <t>MK0003</t>
        </is>
      </c>
      <c r="B842" s="27" t="n">
        <v>528000349</v>
      </c>
      <c r="C842" s="27" t="inlineStr">
        <is>
          <t>Anas Abdul Fatah</t>
        </is>
      </c>
      <c r="D842" s="171" t="n">
        <v>46201.41666666666</v>
      </c>
      <c r="E842" s="26" t="n">
        <v>0.3302662037037037</v>
      </c>
      <c r="F842" s="27" t="inlineStr">
        <is>
          <t>Shift 1</t>
        </is>
      </c>
      <c r="G842" s="27" t="n"/>
    </row>
    <row r="843" hidden="1" s="169">
      <c r="A843" s="27" t="inlineStr">
        <is>
          <t>MK00212</t>
        </is>
      </c>
      <c r="B843" s="27" t="n">
        <v>528000149</v>
      </c>
      <c r="C843" s="27" t="inlineStr">
        <is>
          <t>Tio Fernanda</t>
        </is>
      </c>
      <c r="D843" s="171" t="n">
        <v>46201.41666666666</v>
      </c>
      <c r="E843" s="26" t="n">
        <v>0.3678587962962963</v>
      </c>
      <c r="F843" s="27" t="inlineStr">
        <is>
          <t>Shift 1</t>
        </is>
      </c>
      <c r="G843" s="27" t="n"/>
    </row>
    <row r="844" hidden="1" s="169">
      <c r="A844" s="27" t="inlineStr">
        <is>
          <t>MK00025</t>
        </is>
      </c>
      <c r="B844" s="27" t="n">
        <v>528000348</v>
      </c>
      <c r="C844" s="27" t="inlineStr">
        <is>
          <t>Saepuloh Ardiansah</t>
        </is>
      </c>
      <c r="D844" s="171" t="n">
        <v>46201.41666666666</v>
      </c>
      <c r="E844" s="26" t="n">
        <v>0.3741898148148148</v>
      </c>
      <c r="F844" s="27" t="inlineStr">
        <is>
          <t>Shift 1</t>
        </is>
      </c>
      <c r="G844" s="27" t="n"/>
    </row>
    <row r="845" hidden="1" s="169">
      <c r="A845" s="27" t="inlineStr">
        <is>
          <t>MK00154</t>
        </is>
      </c>
      <c r="B845" s="27" t="n">
        <v>528000262</v>
      </c>
      <c r="C845" s="27" t="inlineStr">
        <is>
          <t>Ndari Dwiwanti</t>
        </is>
      </c>
      <c r="D845" s="171" t="n">
        <v>46201.41666666666</v>
      </c>
      <c r="E845" s="26" t="n">
        <v>0.5665277777777777</v>
      </c>
      <c r="F845" s="27" t="inlineStr">
        <is>
          <t>Shift 2</t>
        </is>
      </c>
      <c r="G845" s="27" t="n"/>
    </row>
    <row r="846" hidden="1" s="169">
      <c r="A846" s="27" t="inlineStr">
        <is>
          <t>MK00199</t>
        </is>
      </c>
      <c r="B846" s="27" t="n">
        <v>528000306</v>
      </c>
      <c r="C846" s="27" t="inlineStr">
        <is>
          <t>Windy Olivia</t>
        </is>
      </c>
      <c r="D846" s="171" t="n">
        <v>46201.41666666666</v>
      </c>
      <c r="E846" s="26" t="n">
        <v>0.5680439814814815</v>
      </c>
      <c r="F846" s="27" t="inlineStr">
        <is>
          <t>Shift 2</t>
        </is>
      </c>
      <c r="G846" s="27" t="n"/>
    </row>
    <row r="847" hidden="1" s="169">
      <c r="A847" s="27" t="inlineStr">
        <is>
          <t>MK00082</t>
        </is>
      </c>
      <c r="B847" s="27" t="n">
        <v>528000358</v>
      </c>
      <c r="C847" s="27" t="inlineStr">
        <is>
          <t>Lulu Agustin</t>
        </is>
      </c>
      <c r="D847" s="171" t="n">
        <v>46201.41666666666</v>
      </c>
      <c r="E847" s="26" t="n">
        <v>0.569675925925926</v>
      </c>
      <c r="F847" s="27" t="inlineStr">
        <is>
          <t>Shift 2</t>
        </is>
      </c>
      <c r="G847" s="27" t="n"/>
    </row>
    <row r="848" hidden="1" s="169">
      <c r="A848" s="27" t="inlineStr">
        <is>
          <t>MK00202</t>
        </is>
      </c>
      <c r="B848" s="27" t="n">
        <v>528000283</v>
      </c>
      <c r="C848" s="27" t="inlineStr">
        <is>
          <t>Purwanda Sugiri</t>
        </is>
      </c>
      <c r="D848" s="171" t="n">
        <v>46201.41666666666</v>
      </c>
      <c r="E848" s="26" t="n">
        <v>0.5732060185185185</v>
      </c>
      <c r="F848" s="27" t="inlineStr">
        <is>
          <t>Shift 2</t>
        </is>
      </c>
      <c r="G848" s="27" t="n"/>
    </row>
    <row r="849" hidden="1" s="169">
      <c r="A849" s="27" t="inlineStr">
        <is>
          <t>MK00235</t>
        </is>
      </c>
      <c r="B849" s="27" t="n">
        <v>528000266</v>
      </c>
      <c r="C849" s="27" t="inlineStr">
        <is>
          <t>M. Syirajatieq</t>
        </is>
      </c>
      <c r="D849" s="171" t="n">
        <v>46201.41666666666</v>
      </c>
      <c r="E849" s="26" t="n">
        <v>0.5733217592592592</v>
      </c>
      <c r="F849" s="27" t="inlineStr">
        <is>
          <t>Shift 2</t>
        </is>
      </c>
      <c r="G849" s="27" t="n"/>
    </row>
    <row r="850" hidden="1" s="169">
      <c r="A850" s="27" t="inlineStr">
        <is>
          <t>MK00138</t>
        </is>
      </c>
      <c r="B850" s="27" t="n">
        <v>528000291</v>
      </c>
      <c r="C850" s="27" t="inlineStr">
        <is>
          <t>Andrian</t>
        </is>
      </c>
      <c r="D850" s="171" t="n">
        <v>46201.41666666666</v>
      </c>
      <c r="E850" s="26" t="n">
        <v>0.5742476851851852</v>
      </c>
      <c r="F850" s="27" t="inlineStr">
        <is>
          <t>Shift 2</t>
        </is>
      </c>
      <c r="G850" s="27" t="n"/>
    </row>
    <row r="851" hidden="1" s="169">
      <c r="A851" s="27" t="inlineStr">
        <is>
          <t>MK00213</t>
        </is>
      </c>
      <c r="B851" s="27" t="n">
        <v>528000261</v>
      </c>
      <c r="C851" s="27" t="inlineStr">
        <is>
          <t>Ergi Ergianto</t>
        </is>
      </c>
      <c r="D851" s="171" t="n">
        <v>46201.41666666666</v>
      </c>
      <c r="E851" s="26" t="n">
        <v>0.5761458333333334</v>
      </c>
      <c r="F851" s="27" t="inlineStr">
        <is>
          <t>Shift 2</t>
        </is>
      </c>
      <c r="G851" s="27" t="n"/>
    </row>
    <row r="852" hidden="1" s="169">
      <c r="A852" s="27" t="inlineStr">
        <is>
          <t>MK00156</t>
        </is>
      </c>
      <c r="B852" s="27" t="n">
        <v>528000273</v>
      </c>
      <c r="C852" s="27" t="inlineStr">
        <is>
          <t>Asep Mulyana</t>
        </is>
      </c>
      <c r="D852" s="171" t="n">
        <v>46201.41666666666</v>
      </c>
      <c r="E852" s="26" t="n">
        <v>0.6536458333333334</v>
      </c>
      <c r="F852" s="27" t="inlineStr">
        <is>
          <t>Shift 2</t>
        </is>
      </c>
      <c r="G852" s="27" t="n"/>
    </row>
    <row r="853" hidden="1" s="169">
      <c r="A853" s="27" t="inlineStr">
        <is>
          <t>MK00092</t>
        </is>
      </c>
      <c r="B853" s="27" t="n">
        <v>528000055</v>
      </c>
      <c r="C853" s="27" t="inlineStr">
        <is>
          <t>Dika Prasetya</t>
        </is>
      </c>
      <c r="D853" s="171" t="n">
        <v>46201.41666666666</v>
      </c>
      <c r="E853" s="26" t="n">
        <v>0.6547222222222222</v>
      </c>
      <c r="F853" s="27" t="inlineStr">
        <is>
          <t>Shift 2</t>
        </is>
      </c>
      <c r="G853" s="27" t="n"/>
    </row>
    <row r="854" hidden="1" s="169">
      <c r="A854" s="27" t="inlineStr">
        <is>
          <t>MK00109</t>
        </is>
      </c>
      <c r="B854" s="27" t="n">
        <v>528000232</v>
      </c>
      <c r="C854" s="27" t="inlineStr">
        <is>
          <t>Agung Aji Suhada</t>
        </is>
      </c>
      <c r="D854" s="171" t="n">
        <v>46201.41666666666</v>
      </c>
      <c r="E854" s="26" t="n">
        <v>0.6623611111111111</v>
      </c>
      <c r="F854" s="27" t="inlineStr">
        <is>
          <t>Shift 2</t>
        </is>
      </c>
      <c r="G854" s="27" t="n"/>
    </row>
    <row r="855" hidden="1" s="169">
      <c r="A855" s="27" t="inlineStr">
        <is>
          <t>MK00230</t>
        </is>
      </c>
      <c r="B855" s="27" t="n">
        <v>528000267</v>
      </c>
      <c r="C855" s="27" t="inlineStr">
        <is>
          <t>Bagas Patulloh</t>
        </is>
      </c>
      <c r="D855" s="171" t="n">
        <v>46201.41666666666</v>
      </c>
      <c r="E855" s="26" t="n">
        <v>0.6678587962962963</v>
      </c>
      <c r="F855" s="27" t="inlineStr">
        <is>
          <t>Shift 2</t>
        </is>
      </c>
      <c r="G855" s="27" t="n"/>
    </row>
    <row r="856" hidden="1" s="169">
      <c r="A856" s="27" t="inlineStr">
        <is>
          <t>MK00085</t>
        </is>
      </c>
      <c r="B856" s="27" t="n">
        <v>628000061</v>
      </c>
      <c r="C856" s="27" t="inlineStr">
        <is>
          <t>Nayla Fadillah Exwantoro</t>
        </is>
      </c>
      <c r="D856" s="171" t="n">
        <v>46201.41666666666</v>
      </c>
      <c r="E856" s="26" t="n">
        <v>0.8723842592592592</v>
      </c>
      <c r="F856" s="27" t="inlineStr">
        <is>
          <t>Shift 2</t>
        </is>
      </c>
      <c r="G856" s="27" t="n"/>
    </row>
    <row r="857" hidden="1" s="169">
      <c r="A857" s="27" t="inlineStr">
        <is>
          <t>MK00134</t>
        </is>
      </c>
      <c r="B857" s="27" t="n">
        <v>528000098</v>
      </c>
      <c r="C857" s="27" t="inlineStr">
        <is>
          <t>Edi Junaedi</t>
        </is>
      </c>
      <c r="D857" s="171" t="n">
        <v>46201.41666666666</v>
      </c>
      <c r="E857" s="26" t="n">
        <v>0.8891087962962962</v>
      </c>
      <c r="F857" s="27" t="inlineStr">
        <is>
          <t>Shift 3</t>
        </is>
      </c>
      <c r="G857" s="27" t="n"/>
    </row>
    <row r="858" hidden="1" s="169">
      <c r="A858" s="27" t="inlineStr">
        <is>
          <t>MK00158</t>
        </is>
      </c>
      <c r="B858" s="27" t="n">
        <v>528000299</v>
      </c>
      <c r="C858" s="27" t="inlineStr">
        <is>
          <t>Siti Nurjanah</t>
        </is>
      </c>
      <c r="D858" s="171" t="n">
        <v>46201.41666666666</v>
      </c>
      <c r="E858" s="26" t="n">
        <v>0.9005324074074074</v>
      </c>
      <c r="F858" s="27" t="inlineStr">
        <is>
          <t>Shift 3</t>
        </is>
      </c>
      <c r="G858" s="27" t="n"/>
    </row>
    <row r="859" hidden="1" s="169">
      <c r="A859" s="27" t="inlineStr">
        <is>
          <t>MK00148</t>
        </is>
      </c>
      <c r="B859" s="27" t="n">
        <v>528000305</v>
      </c>
      <c r="C859" s="27" t="inlineStr">
        <is>
          <t>Puji Puspita</t>
        </is>
      </c>
      <c r="D859" s="171" t="n">
        <v>46201.41666666666</v>
      </c>
      <c r="E859" s="26" t="n">
        <v>0.9029976851851852</v>
      </c>
      <c r="F859" s="27" t="inlineStr">
        <is>
          <t>Shift 3</t>
        </is>
      </c>
      <c r="G859" s="27" t="n"/>
    </row>
    <row r="860" hidden="1" s="169">
      <c r="A860" s="27" t="inlineStr">
        <is>
          <t>MK00209</t>
        </is>
      </c>
      <c r="B860" s="27" t="n">
        <v>528000298</v>
      </c>
      <c r="C860" s="27" t="inlineStr">
        <is>
          <t>Desta Cahaya Pratama</t>
        </is>
      </c>
      <c r="D860" s="171" t="n">
        <v>46201.41666666666</v>
      </c>
      <c r="E860" s="26" t="n">
        <v>0.9041782407407407</v>
      </c>
      <c r="F860" s="27" t="inlineStr">
        <is>
          <t>Shift 3</t>
        </is>
      </c>
      <c r="G860" s="27" t="n"/>
    </row>
    <row r="861" hidden="1" s="169">
      <c r="A861" s="27" t="inlineStr">
        <is>
          <t>MK00208</t>
        </is>
      </c>
      <c r="B861" s="27" t="n">
        <v>528000302</v>
      </c>
      <c r="C861" s="27" t="inlineStr">
        <is>
          <t>Henkey gumilar</t>
        </is>
      </c>
      <c r="D861" s="171" t="n">
        <v>46201.41666666666</v>
      </c>
      <c r="E861" s="26" t="n">
        <v>0.9066898148148148</v>
      </c>
      <c r="F861" s="27" t="inlineStr">
        <is>
          <t>Shift 3</t>
        </is>
      </c>
      <c r="G861" s="27" t="n"/>
    </row>
    <row r="862" hidden="1" s="169">
      <c r="A862" s="27" t="inlineStr">
        <is>
          <t>MK00249</t>
        </is>
      </c>
      <c r="B862" s="27" t="n">
        <v>528000270</v>
      </c>
      <c r="C862" s="27" t="inlineStr">
        <is>
          <t>Febri Najmudin</t>
        </is>
      </c>
      <c r="D862" s="171" t="n">
        <v>46201.41666666666</v>
      </c>
      <c r="E862" s="26" t="n">
        <v>0.9073842592592593</v>
      </c>
      <c r="F862" s="27" t="inlineStr">
        <is>
          <t>Shift 3</t>
        </is>
      </c>
      <c r="G862" s="27" t="n"/>
    </row>
    <row r="863" hidden="1" s="169">
      <c r="A863" s="27" t="inlineStr">
        <is>
          <t>MK00136</t>
        </is>
      </c>
      <c r="B863" s="27" t="n">
        <v>528000244</v>
      </c>
      <c r="C863" s="27" t="inlineStr">
        <is>
          <t>Rodian Rifai</t>
        </is>
      </c>
      <c r="D863" s="171" t="n">
        <v>46202.41666666666</v>
      </c>
      <c r="E863" s="26" t="n">
        <v>0.2386342592592593</v>
      </c>
      <c r="F863" s="27" t="inlineStr">
        <is>
          <t>Shift 1</t>
        </is>
      </c>
      <c r="G863" s="27" t="n"/>
    </row>
    <row r="864" hidden="1" s="169">
      <c r="A864" s="27" t="inlineStr">
        <is>
          <t>MK00230</t>
        </is>
      </c>
      <c r="B864" s="27" t="n">
        <v>528000286</v>
      </c>
      <c r="C864" s="27" t="inlineStr">
        <is>
          <t>Imelda Amelia</t>
        </is>
      </c>
      <c r="D864" s="171" t="n">
        <v>46202.41666666666</v>
      </c>
      <c r="E864" s="26" t="n">
        <v>0.2411805555555556</v>
      </c>
      <c r="F864" s="27" t="inlineStr">
        <is>
          <t>Shift 1</t>
        </is>
      </c>
      <c r="G864" s="27" t="n"/>
    </row>
    <row r="865" hidden="1" s="169">
      <c r="A865" s="27" t="inlineStr">
        <is>
          <t>MK00130</t>
        </is>
      </c>
      <c r="B865" s="27" t="n">
        <v>528000228</v>
      </c>
      <c r="C865" s="27" t="inlineStr">
        <is>
          <t>Banyu Resmi Putri</t>
        </is>
      </c>
      <c r="D865" s="171" t="n">
        <v>46202.41666666666</v>
      </c>
      <c r="E865" s="26" t="n">
        <v>0.2421759259259259</v>
      </c>
      <c r="F865" s="27" t="inlineStr">
        <is>
          <t>Shift 1</t>
        </is>
      </c>
      <c r="G865" s="27" t="n"/>
    </row>
    <row r="866" hidden="1" s="169">
      <c r="A866" s="27" t="inlineStr">
        <is>
          <t>MK00154</t>
        </is>
      </c>
      <c r="B866" s="27" t="n">
        <v>528000201</v>
      </c>
      <c r="C866" s="27" t="inlineStr">
        <is>
          <t>Zahwa Amelia Choerunissa</t>
        </is>
      </c>
      <c r="D866" s="171" t="n">
        <v>46202.41666666666</v>
      </c>
      <c r="E866" s="26" t="n">
        <v>0.2462384259259259</v>
      </c>
      <c r="F866" s="27" t="inlineStr">
        <is>
          <t>Shift 1</t>
        </is>
      </c>
      <c r="G866" s="27" t="n"/>
    </row>
    <row r="867" hidden="1" s="169">
      <c r="A867" s="27" t="inlineStr">
        <is>
          <t>MK00138</t>
        </is>
      </c>
      <c r="B867" s="27" t="n">
        <v>528000241</v>
      </c>
      <c r="C867" s="27" t="inlineStr">
        <is>
          <t>Balia Nurafif Bilah</t>
        </is>
      </c>
      <c r="D867" s="171" t="n">
        <v>46202.41666666666</v>
      </c>
      <c r="E867" s="26" t="n">
        <v>0.2462847222222222</v>
      </c>
      <c r="F867" s="27" t="inlineStr">
        <is>
          <t>Shift 1</t>
        </is>
      </c>
      <c r="G867" s="27" t="n"/>
    </row>
    <row r="868" hidden="1" s="169">
      <c r="A868" s="27" t="inlineStr">
        <is>
          <t>MK0093</t>
        </is>
      </c>
      <c r="B868" s="27" t="n">
        <v>528000099</v>
      </c>
      <c r="C868" s="27" t="inlineStr">
        <is>
          <t>Siti Nurawaliah</t>
        </is>
      </c>
      <c r="D868" s="171" t="n">
        <v>46202.41666666666</v>
      </c>
      <c r="E868" s="26" t="n">
        <v>0.2465509259259259</v>
      </c>
      <c r="F868" s="27" t="inlineStr">
        <is>
          <t>Shift 1</t>
        </is>
      </c>
      <c r="G868" s="27" t="n"/>
    </row>
    <row r="869" hidden="1" s="169">
      <c r="A869" s="27" t="inlineStr">
        <is>
          <t>MK00213</t>
        </is>
      </c>
      <c r="B869" s="27" t="n">
        <v>528000290</v>
      </c>
      <c r="C869" s="27" t="inlineStr">
        <is>
          <t>Eval Pranata</t>
        </is>
      </c>
      <c r="D869" s="171" t="n">
        <v>46202.41666666666</v>
      </c>
      <c r="E869" s="26" t="n">
        <v>0.2473148148148148</v>
      </c>
      <c r="F869" s="27" t="inlineStr">
        <is>
          <t>Shift 1</t>
        </is>
      </c>
      <c r="G869" s="27" t="n"/>
    </row>
    <row r="870" hidden="1" s="169">
      <c r="A870" s="27" t="inlineStr">
        <is>
          <t>MK00088</t>
        </is>
      </c>
      <c r="B870" s="27" t="n">
        <v>528000274</v>
      </c>
      <c r="C870" s="27" t="inlineStr">
        <is>
          <t>Zepri</t>
        </is>
      </c>
      <c r="D870" s="171" t="n">
        <v>46202.41666666666</v>
      </c>
      <c r="E870" s="26" t="n">
        <v>0.2475347222222222</v>
      </c>
      <c r="F870" s="27" t="inlineStr">
        <is>
          <t>Shift 1</t>
        </is>
      </c>
      <c r="G870" s="27" t="n"/>
    </row>
    <row r="871" hidden="1" s="169">
      <c r="A871" s="27" t="inlineStr">
        <is>
          <t>MK00185</t>
        </is>
      </c>
      <c r="B871" s="27" t="n">
        <v>528000090</v>
      </c>
      <c r="C871" s="27" t="inlineStr">
        <is>
          <t>Suganda</t>
        </is>
      </c>
      <c r="D871" s="171" t="n">
        <v>46202.41666666666</v>
      </c>
      <c r="E871" s="26" t="n">
        <v>0.2502546296296296</v>
      </c>
      <c r="F871" s="27" t="inlineStr">
        <is>
          <t>Shift 1</t>
        </is>
      </c>
      <c r="G871" s="27" t="n"/>
    </row>
    <row r="872" hidden="1" s="169">
      <c r="A872" s="27" t="inlineStr">
        <is>
          <t>MK00204</t>
        </is>
      </c>
      <c r="B872" s="27" t="n">
        <v>528000069</v>
      </c>
      <c r="C872" s="27" t="inlineStr">
        <is>
          <t>Jajang Ardiansyah</t>
        </is>
      </c>
      <c r="D872" s="171" t="n">
        <v>46202.41666666666</v>
      </c>
      <c r="E872" s="26" t="n">
        <v>0.2935648148148148</v>
      </c>
      <c r="F872" s="27" t="inlineStr">
        <is>
          <t>Shift 1</t>
        </is>
      </c>
      <c r="G872" s="27" t="n"/>
    </row>
    <row r="873" hidden="1" s="169">
      <c r="A873" s="27" t="inlineStr">
        <is>
          <t>MK00181</t>
        </is>
      </c>
      <c r="B873" s="27" t="n">
        <v>528000144</v>
      </c>
      <c r="C873" s="27" t="inlineStr">
        <is>
          <t>Jodi Hanafi</t>
        </is>
      </c>
      <c r="D873" s="171" t="n">
        <v>46202.41666666666</v>
      </c>
      <c r="E873" s="26" t="n">
        <v>0.3212847222222222</v>
      </c>
      <c r="F873" s="27" t="inlineStr">
        <is>
          <t>Shift 1</t>
        </is>
      </c>
      <c r="G873" s="27" t="n"/>
    </row>
    <row r="874" hidden="1" s="169">
      <c r="A874" s="27" t="inlineStr">
        <is>
          <t>MK00208</t>
        </is>
      </c>
      <c r="B874" s="27" t="n">
        <v>528000265</v>
      </c>
      <c r="C874" s="27" t="inlineStr">
        <is>
          <t>Muhammad Haerul Rozikin</t>
        </is>
      </c>
      <c r="D874" s="171" t="n">
        <v>46202.41666666666</v>
      </c>
      <c r="E874" s="26" t="n">
        <v>0.3217824074074074</v>
      </c>
      <c r="F874" s="27" t="inlineStr">
        <is>
          <t>Shift 1</t>
        </is>
      </c>
      <c r="G874" s="27" t="n"/>
    </row>
    <row r="875" hidden="1" s="169">
      <c r="A875" s="27" t="inlineStr">
        <is>
          <t>MK00209</t>
        </is>
      </c>
      <c r="B875" s="27" t="n">
        <v>528000282</v>
      </c>
      <c r="C875" s="27" t="inlineStr">
        <is>
          <t>Defa Desfiana</t>
        </is>
      </c>
      <c r="D875" s="171" t="n">
        <v>46202.41666666666</v>
      </c>
      <c r="E875" s="26" t="n">
        <v>0.3224421296296296</v>
      </c>
      <c r="F875" s="27" t="inlineStr">
        <is>
          <t>Shift 1</t>
        </is>
      </c>
      <c r="G875" s="27" t="inlineStr">
        <is>
          <t>10c</t>
        </is>
      </c>
    </row>
    <row r="876">
      <c r="A876" s="27" t="inlineStr">
        <is>
          <t>MK00118</t>
        </is>
      </c>
      <c r="B876" s="27" t="n">
        <v>528000015</v>
      </c>
      <c r="C876" s="27" t="inlineStr">
        <is>
          <t>Erwin</t>
        </is>
      </c>
      <c r="D876" s="171" t="n">
        <v>46202.41666666666</v>
      </c>
      <c r="E876" s="26" t="n">
        <v>0.3245949074074074</v>
      </c>
      <c r="F876" s="27" t="inlineStr">
        <is>
          <t>Shift 1</t>
        </is>
      </c>
      <c r="G876" s="27" t="n"/>
    </row>
    <row r="877" hidden="1" s="169">
      <c r="A877" s="27" t="inlineStr">
        <is>
          <t>MK00212</t>
        </is>
      </c>
      <c r="B877" s="27" t="n">
        <v>528000149</v>
      </c>
      <c r="C877" s="27" t="inlineStr">
        <is>
          <t>Tio Fernanda</t>
        </is>
      </c>
      <c r="D877" s="171" t="n">
        <v>46202.41666666666</v>
      </c>
      <c r="E877" s="26" t="n">
        <v>0.3692361111111111</v>
      </c>
      <c r="F877" s="27" t="inlineStr">
        <is>
          <t>Shift 1</t>
        </is>
      </c>
      <c r="G877" s="27" t="n"/>
    </row>
    <row r="878" hidden="1" s="169">
      <c r="A878" s="27" t="inlineStr">
        <is>
          <t>MK00228</t>
        </is>
      </c>
      <c r="B878" s="27" t="n">
        <v>528000132</v>
      </c>
      <c r="C878" s="27" t="inlineStr">
        <is>
          <t>Giopani</t>
        </is>
      </c>
      <c r="D878" s="171" t="n">
        <v>46202.41666666666</v>
      </c>
      <c r="E878" s="26" t="n">
        <v>0.3715856481481482</v>
      </c>
      <c r="F878" s="27" t="inlineStr">
        <is>
          <t>Shift 1</t>
        </is>
      </c>
      <c r="G878" s="27" t="n"/>
    </row>
    <row r="879" hidden="1" s="169">
      <c r="A879" s="27" t="inlineStr">
        <is>
          <t>MK00205</t>
        </is>
      </c>
      <c r="B879" s="27" t="n">
        <v>528000348</v>
      </c>
      <c r="C879" s="27" t="inlineStr">
        <is>
          <t>Saepuloh Ardiansah</t>
        </is>
      </c>
      <c r="D879" s="171" t="n">
        <v>46202.41666666666</v>
      </c>
      <c r="E879" s="26" t="n">
        <v>0.3763194444444444</v>
      </c>
      <c r="F879" s="27" t="inlineStr">
        <is>
          <t>Shift 1</t>
        </is>
      </c>
      <c r="G879" s="27" t="n"/>
    </row>
    <row r="880" hidden="1" s="169">
      <c r="A880" s="27" t="inlineStr">
        <is>
          <t>MK00249</t>
        </is>
      </c>
      <c r="B880" s="27" t="n">
        <v>528000052</v>
      </c>
      <c r="C880" s="27" t="inlineStr">
        <is>
          <t>Mustopa</t>
        </is>
      </c>
      <c r="D880" s="171" t="n">
        <v>46202.41666666666</v>
      </c>
      <c r="E880" s="26" t="n">
        <v>0.5448263888888889</v>
      </c>
      <c r="F880" s="27" t="inlineStr">
        <is>
          <t>Shift 2</t>
        </is>
      </c>
      <c r="G880" s="27" t="n"/>
    </row>
    <row r="881" hidden="1" s="169">
      <c r="A881" s="27" t="inlineStr">
        <is>
          <t>MK00095</t>
        </is>
      </c>
      <c r="B881" s="27" t="n">
        <v>528000358</v>
      </c>
      <c r="C881" s="27" t="inlineStr">
        <is>
          <t>Lulu Agustin</t>
        </is>
      </c>
      <c r="D881" s="171" t="n">
        <v>46202.41666666666</v>
      </c>
      <c r="E881" s="26" t="n">
        <v>0.5653703703703704</v>
      </c>
      <c r="F881" s="27" t="inlineStr">
        <is>
          <t>Shift 2</t>
        </is>
      </c>
      <c r="G881" s="27" t="n"/>
    </row>
    <row r="882" hidden="1" s="169">
      <c r="A882" s="27" t="inlineStr">
        <is>
          <t>MK00151</t>
        </is>
      </c>
      <c r="B882" s="27" t="n">
        <v>528000195</v>
      </c>
      <c r="C882" s="27" t="inlineStr">
        <is>
          <t>Rahma Sariwati</t>
        </is>
      </c>
      <c r="D882" s="171" t="n">
        <v>46202.41666666666</v>
      </c>
      <c r="E882" s="26" t="n">
        <v>0.5669675925925926</v>
      </c>
      <c r="F882" s="27" t="inlineStr">
        <is>
          <t>Shift 2</t>
        </is>
      </c>
      <c r="G882" s="27" t="n"/>
    </row>
    <row r="883" hidden="1" s="169">
      <c r="A883" s="27" t="inlineStr">
        <is>
          <t>MK00134</t>
        </is>
      </c>
      <c r="B883" s="27" t="n">
        <v>528000262</v>
      </c>
      <c r="C883" s="27" t="inlineStr">
        <is>
          <t>Ndari Dwiwanti</t>
        </is>
      </c>
      <c r="D883" s="171" t="n">
        <v>46202.41666666666</v>
      </c>
      <c r="E883" s="26" t="n">
        <v>0.5700925925925926</v>
      </c>
      <c r="F883" s="27" t="inlineStr">
        <is>
          <t>Shift 2</t>
        </is>
      </c>
      <c r="G883" s="27" t="n"/>
    </row>
    <row r="884" hidden="1" s="169">
      <c r="A884" s="27" t="inlineStr">
        <is>
          <t>MK00145</t>
        </is>
      </c>
      <c r="B884" s="27" t="n">
        <v>528000283</v>
      </c>
      <c r="C884" s="27" t="inlineStr">
        <is>
          <t>Purwanda Sugiri</t>
        </is>
      </c>
      <c r="D884" s="171" t="n">
        <v>46202.41666666666</v>
      </c>
      <c r="E884" s="26" t="n">
        <v>0.5705555555555556</v>
      </c>
      <c r="F884" s="27" t="inlineStr">
        <is>
          <t>Shift 2</t>
        </is>
      </c>
      <c r="G884" s="27" t="n"/>
    </row>
    <row r="885" hidden="1" s="169">
      <c r="A885" s="27" t="inlineStr">
        <is>
          <t>MK00212</t>
        </is>
      </c>
      <c r="B885" s="27" t="n">
        <v>528000288</v>
      </c>
      <c r="C885" s="27" t="inlineStr">
        <is>
          <t>Dede gunawan</t>
        </is>
      </c>
      <c r="D885" s="171" t="n">
        <v>46202.41666666666</v>
      </c>
      <c r="E885" s="26" t="n">
        <v>0.5721296296296297</v>
      </c>
      <c r="F885" s="27" t="inlineStr">
        <is>
          <t>Shift 2</t>
        </is>
      </c>
      <c r="G885" s="27" t="n"/>
    </row>
    <row r="886" hidden="1" s="169">
      <c r="A886" s="27" t="inlineStr">
        <is>
          <t>MK00212</t>
        </is>
      </c>
      <c r="B886" s="27" t="n">
        <v>528000291</v>
      </c>
      <c r="C886" s="27" t="inlineStr">
        <is>
          <t>Andrian</t>
        </is>
      </c>
      <c r="D886" s="171" t="n">
        <v>46202.41666666666</v>
      </c>
      <c r="E886" s="26" t="n">
        <v>0.5727546296296296</v>
      </c>
      <c r="F886" s="27" t="inlineStr">
        <is>
          <t>Shift 2</t>
        </is>
      </c>
      <c r="G886" s="27" t="n"/>
    </row>
    <row r="887" hidden="1" s="169">
      <c r="A887" s="27" t="inlineStr">
        <is>
          <t>MK0008</t>
        </is>
      </c>
      <c r="B887" s="27" t="n">
        <v>528000266</v>
      </c>
      <c r="C887" s="27" t="inlineStr">
        <is>
          <t>M. Syirajatieq</t>
        </is>
      </c>
      <c r="D887" s="171" t="n">
        <v>46202.41666666666</v>
      </c>
      <c r="E887" s="26" t="n">
        <v>0.5735300925925926</v>
      </c>
      <c r="F887" s="27" t="inlineStr">
        <is>
          <t>Shift 2</t>
        </is>
      </c>
      <c r="G887" s="27" t="n"/>
    </row>
    <row r="888" hidden="1" s="169">
      <c r="A888" s="27" t="inlineStr">
        <is>
          <t>MK00250</t>
        </is>
      </c>
      <c r="B888" s="27" t="n">
        <v>528000261</v>
      </c>
      <c r="C888" s="27" t="inlineStr">
        <is>
          <t>Ergi Ergianto</t>
        </is>
      </c>
      <c r="D888" s="171" t="n">
        <v>46202.41666666666</v>
      </c>
      <c r="E888" s="26" t="n">
        <v>0.5742592592592592</v>
      </c>
      <c r="F888" s="27" t="inlineStr">
        <is>
          <t>Shift 2</t>
        </is>
      </c>
      <c r="G888" s="27" t="n"/>
    </row>
    <row r="889" hidden="1" s="169">
      <c r="A889" s="27" t="inlineStr">
        <is>
          <t>MK00156</t>
        </is>
      </c>
      <c r="B889" s="27" t="n">
        <v>528000273</v>
      </c>
      <c r="C889" s="27" t="inlineStr">
        <is>
          <t>Asep Mulyana</t>
        </is>
      </c>
      <c r="D889" s="171" t="n">
        <v>46202.41666666666</v>
      </c>
      <c r="E889" s="26" t="n">
        <v>0.6522453703703703</v>
      </c>
      <c r="F889" s="27" t="inlineStr">
        <is>
          <t>Shift 2</t>
        </is>
      </c>
      <c r="G889" s="27" t="n"/>
    </row>
    <row r="890" hidden="1" s="169">
      <c r="A890" s="27" t="inlineStr">
        <is>
          <t>MK00092</t>
        </is>
      </c>
      <c r="B890" s="27" t="n">
        <v>528000055</v>
      </c>
      <c r="C890" s="27" t="inlineStr">
        <is>
          <t>Dika Prasetya</t>
        </is>
      </c>
      <c r="D890" s="171" t="n">
        <v>46202.41666666666</v>
      </c>
      <c r="E890" s="26" t="n">
        <v>0.6532870370370371</v>
      </c>
      <c r="F890" s="27" t="inlineStr">
        <is>
          <t>Shift 2</t>
        </is>
      </c>
      <c r="G890" s="27" t="n"/>
    </row>
    <row r="891" hidden="1" s="169">
      <c r="A891" s="27" t="inlineStr">
        <is>
          <t>MK00109</t>
        </is>
      </c>
      <c r="B891" s="27" t="n">
        <v>528000232</v>
      </c>
      <c r="C891" s="27" t="inlineStr">
        <is>
          <t>Agung Aji Suhada</t>
        </is>
      </c>
      <c r="D891" s="171" t="n">
        <v>46202.41666666666</v>
      </c>
      <c r="E891" s="26" t="n">
        <v>0.6632870370370371</v>
      </c>
      <c r="F891" s="27" t="inlineStr">
        <is>
          <t>Shift 2</t>
        </is>
      </c>
      <c r="G891" s="27" t="n"/>
    </row>
    <row r="892" hidden="1" s="169">
      <c r="A892" s="27" t="inlineStr">
        <is>
          <t>MK00136</t>
        </is>
      </c>
      <c r="B892" s="27" t="n">
        <v>528000267</v>
      </c>
      <c r="C892" s="27" t="inlineStr">
        <is>
          <t>Bagas Patulloh</t>
        </is>
      </c>
      <c r="D892" s="171" t="n">
        <v>46202.41666666666</v>
      </c>
      <c r="E892" s="26" t="n">
        <v>0.6660185185185186</v>
      </c>
      <c r="F892" s="27" t="inlineStr">
        <is>
          <t>Shift 2</t>
        </is>
      </c>
      <c r="G892" s="27" t="n"/>
    </row>
    <row r="893" hidden="1" s="169">
      <c r="A893" s="27" t="inlineStr">
        <is>
          <t>MK00116</t>
        </is>
      </c>
      <c r="B893" s="27" t="n">
        <v>528000248</v>
      </c>
      <c r="C893" s="27" t="inlineStr">
        <is>
          <t>Roka Jaya Salka Mulya</t>
        </is>
      </c>
      <c r="D893" s="171" t="n">
        <v>46202.41666666666</v>
      </c>
      <c r="E893" s="26" t="n">
        <v>0.9011921296296296</v>
      </c>
      <c r="F893" s="27" t="inlineStr">
        <is>
          <t>Shift 3</t>
        </is>
      </c>
      <c r="G893" s="27" t="n"/>
    </row>
    <row r="894" hidden="1" s="169">
      <c r="A894" s="27" t="inlineStr">
        <is>
          <t>MK00113</t>
        </is>
      </c>
      <c r="B894" s="27" t="n">
        <v>628000064</v>
      </c>
      <c r="C894" s="27" t="inlineStr">
        <is>
          <t>Silva Alypia</t>
        </is>
      </c>
      <c r="D894" s="171" t="n">
        <v>46202.41666666666</v>
      </c>
      <c r="E894" s="26" t="n">
        <v>0.910162037037037</v>
      </c>
      <c r="F894" s="27" t="inlineStr">
        <is>
          <t>Shift 3</t>
        </is>
      </c>
      <c r="G894" s="27" t="n"/>
    </row>
    <row r="895" hidden="1" s="169">
      <c r="A895" s="27" t="inlineStr">
        <is>
          <t>MK00210</t>
        </is>
      </c>
      <c r="B895" s="27" t="n">
        <v>528000300</v>
      </c>
      <c r="C895" s="27" t="inlineStr">
        <is>
          <t>Lia pitaloka</t>
        </is>
      </c>
      <c r="D895" s="171" t="n">
        <v>46202.41666666666</v>
      </c>
      <c r="E895" s="26" t="n">
        <v>0.9102314814814815</v>
      </c>
      <c r="F895" s="27" t="inlineStr">
        <is>
          <t>Shift 3</t>
        </is>
      </c>
      <c r="G895" s="27" t="n"/>
    </row>
    <row r="896" hidden="1" s="169">
      <c r="A896" s="27" t="inlineStr">
        <is>
          <t>MK00221</t>
        </is>
      </c>
      <c r="B896" s="27" t="n">
        <v>528000279</v>
      </c>
      <c r="C896" s="27" t="inlineStr">
        <is>
          <t>Mahdalena Dalfa Riani</t>
        </is>
      </c>
      <c r="D896" s="171" t="n">
        <v>46202.41666666666</v>
      </c>
      <c r="E896" s="26" t="n">
        <v>0.9106018518518518</v>
      </c>
      <c r="F896" s="27" t="inlineStr">
        <is>
          <t>Shift 3</t>
        </is>
      </c>
      <c r="G896" s="27" t="n"/>
    </row>
    <row r="897" hidden="1" s="169">
      <c r="A897" s="27" t="inlineStr">
        <is>
          <t>MK00209</t>
        </is>
      </c>
      <c r="B897" s="27" t="n">
        <v>528000297</v>
      </c>
      <c r="C897" s="27" t="inlineStr">
        <is>
          <t>Muhamad Budiana</t>
        </is>
      </c>
      <c r="D897" s="171" t="n">
        <v>46202.41666666666</v>
      </c>
      <c r="E897" s="26" t="n">
        <v>0.9125578703703704</v>
      </c>
      <c r="F897" s="27" t="inlineStr">
        <is>
          <t>Shift 3</t>
        </is>
      </c>
      <c r="G897" s="27" t="n"/>
    </row>
    <row r="898" hidden="1" s="169">
      <c r="A898" s="27" t="inlineStr">
        <is>
          <t>MK00199</t>
        </is>
      </c>
      <c r="B898" s="27" t="n">
        <v>528000063</v>
      </c>
      <c r="C898" s="27" t="inlineStr">
        <is>
          <t>Muhamad Ripki Pebrian</t>
        </is>
      </c>
      <c r="D898" s="171" t="n">
        <v>46202.41666666666</v>
      </c>
      <c r="E898" s="26" t="n">
        <v>0.9149537037037037</v>
      </c>
      <c r="F898" s="27" t="inlineStr">
        <is>
          <t>Shift 3</t>
        </is>
      </c>
      <c r="G898" s="27" t="n"/>
    </row>
    <row r="899" hidden="1" s="169">
      <c r="A899" s="27" t="inlineStr">
        <is>
          <t>MK00212</t>
        </is>
      </c>
      <c r="B899" s="27" t="n">
        <v>528000291</v>
      </c>
      <c r="C899" s="27" t="inlineStr">
        <is>
          <t>Andrian</t>
        </is>
      </c>
      <c r="D899" s="171" t="n">
        <v>46202.41666666666</v>
      </c>
      <c r="E899" s="26" t="n">
        <v>0.9204050925925926</v>
      </c>
      <c r="F899" s="27" t="inlineStr">
        <is>
          <t>Shift 3</t>
        </is>
      </c>
      <c r="G899" s="27" t="n"/>
    </row>
    <row r="900" hidden="1" s="169">
      <c r="A900" s="27" t="inlineStr">
        <is>
          <t>MK00109</t>
        </is>
      </c>
      <c r="B900" s="27" t="n">
        <v>528000201</v>
      </c>
      <c r="C900" s="27" t="inlineStr">
        <is>
          <t>Zahwa Amelia Choerunissa</t>
        </is>
      </c>
      <c r="D900" s="171" t="n">
        <v>46173.41666666666</v>
      </c>
      <c r="E900" s="26" t="n">
        <v>0.2418287037037037</v>
      </c>
      <c r="F900" s="27" t="inlineStr">
        <is>
          <t>Shift 1</t>
        </is>
      </c>
      <c r="G900" s="27" t="n"/>
    </row>
    <row r="901" hidden="1" s="169">
      <c r="A901" s="27" t="inlineStr">
        <is>
          <t>MK00136</t>
        </is>
      </c>
      <c r="B901" s="27" t="n">
        <v>528000099</v>
      </c>
      <c r="C901" s="27" t="inlineStr">
        <is>
          <t>Siti Nurawaliah</t>
        </is>
      </c>
      <c r="D901" s="171" t="n">
        <v>46173.41666666666</v>
      </c>
      <c r="E901" s="26" t="n">
        <v>0.2421527777777778</v>
      </c>
      <c r="F901" s="27" t="inlineStr">
        <is>
          <t>Shift 1</t>
        </is>
      </c>
      <c r="G901" s="27" t="n"/>
    </row>
    <row r="902" hidden="1" s="169">
      <c r="A902" s="27" t="inlineStr">
        <is>
          <t>MK00151</t>
        </is>
      </c>
      <c r="B902" s="27" t="n">
        <v>528000286</v>
      </c>
      <c r="C902" s="27" t="inlineStr">
        <is>
          <t>Imelda Amelia</t>
        </is>
      </c>
      <c r="D902" s="171" t="n">
        <v>46173.41666666666</v>
      </c>
      <c r="E902" s="26" t="n">
        <v>0.2421643518518518</v>
      </c>
      <c r="F902" s="27" t="inlineStr">
        <is>
          <t>Shift 1</t>
        </is>
      </c>
      <c r="G902" s="27" t="n"/>
    </row>
    <row r="903" hidden="1" s="169">
      <c r="A903" s="27" t="inlineStr">
        <is>
          <t>MK00154</t>
        </is>
      </c>
      <c r="B903" s="27" t="n">
        <v>528000244</v>
      </c>
      <c r="C903" s="27" t="inlineStr">
        <is>
          <t>Rodian Rifai</t>
        </is>
      </c>
      <c r="D903" s="171" t="n">
        <v>46173.41666666666</v>
      </c>
      <c r="E903" s="26" t="n">
        <v>0.2426273148148148</v>
      </c>
      <c r="F903" s="27" t="inlineStr">
        <is>
          <t>Shift 1</t>
        </is>
      </c>
      <c r="G903" s="27" t="n"/>
    </row>
    <row r="904" hidden="1" s="169">
      <c r="A904" s="27" t="inlineStr">
        <is>
          <t>MHZZ145</t>
        </is>
      </c>
      <c r="B904" s="27" t="n">
        <v>528000241</v>
      </c>
      <c r="C904" s="27" t="inlineStr">
        <is>
          <t>Balia Nurafif Bilah</t>
        </is>
      </c>
      <c r="D904" s="171" t="n">
        <v>46173.41666666666</v>
      </c>
      <c r="E904" s="26" t="n">
        <v>0.2460648148148148</v>
      </c>
      <c r="F904" s="27" t="inlineStr">
        <is>
          <t>Shift 1</t>
        </is>
      </c>
      <c r="G904" s="27" t="n"/>
    </row>
    <row r="905" hidden="1" s="169">
      <c r="A905" s="27" t="inlineStr">
        <is>
          <t>MK00158</t>
        </is>
      </c>
      <c r="B905" s="27" t="n">
        <v>528000228</v>
      </c>
      <c r="C905" s="27" t="inlineStr">
        <is>
          <t>Banyu Resmi Putri</t>
        </is>
      </c>
      <c r="D905" s="171" t="n">
        <v>46173.41666666666</v>
      </c>
      <c r="E905" s="26" t="n">
        <v>0.2461342592592592</v>
      </c>
      <c r="F905" s="27" t="inlineStr">
        <is>
          <t>Shift 1</t>
        </is>
      </c>
      <c r="G905" s="27" t="n"/>
    </row>
    <row r="906" hidden="1" s="169">
      <c r="A906" s="27" t="inlineStr">
        <is>
          <t>MK00095</t>
        </is>
      </c>
      <c r="B906" s="27" t="n">
        <v>528000274</v>
      </c>
      <c r="C906" s="27" t="inlineStr">
        <is>
          <t>Zepri</t>
        </is>
      </c>
      <c r="D906" s="171" t="n">
        <v>46173.41666666666</v>
      </c>
      <c r="E906" s="26" t="n">
        <v>0.2466898148148148</v>
      </c>
      <c r="F906" s="27" t="inlineStr">
        <is>
          <t>Shift 1</t>
        </is>
      </c>
      <c r="G906" s="27" t="n"/>
    </row>
    <row r="907" hidden="1" s="169">
      <c r="A907" s="27" t="inlineStr">
        <is>
          <t>MK00250</t>
        </is>
      </c>
      <c r="B907" s="27" t="n">
        <v>528000290</v>
      </c>
      <c r="C907" s="27" t="inlineStr">
        <is>
          <t>Eval Pranata</t>
        </is>
      </c>
      <c r="D907" s="171" t="n">
        <v>46173.41666666666</v>
      </c>
      <c r="E907" s="26" t="n">
        <v>0.2480555555555556</v>
      </c>
      <c r="F907" s="27" t="inlineStr">
        <is>
          <t>Shift 1</t>
        </is>
      </c>
      <c r="G907" s="27" t="n"/>
    </row>
    <row r="908" hidden="1" s="169">
      <c r="A908" s="27" t="inlineStr">
        <is>
          <t>MK00212</t>
        </is>
      </c>
      <c r="B908" s="27" t="n">
        <v>528000090</v>
      </c>
      <c r="C908" s="27" t="inlineStr">
        <is>
          <t>Suganda</t>
        </is>
      </c>
      <c r="D908" s="171" t="n">
        <v>46173.41666666666</v>
      </c>
      <c r="E908" s="26" t="n">
        <v>0.2503819444444444</v>
      </c>
      <c r="F908" s="27" t="inlineStr">
        <is>
          <t>Shift 1</t>
        </is>
      </c>
      <c r="G908" s="27" t="n"/>
    </row>
    <row r="909" hidden="1" s="169">
      <c r="A909" s="27" t="inlineStr">
        <is>
          <t>MK0134</t>
        </is>
      </c>
      <c r="B909" s="27" t="n">
        <v>528000212</v>
      </c>
      <c r="C909" s="27" t="inlineStr">
        <is>
          <t>Rizal Fauzi</t>
        </is>
      </c>
      <c r="D909" s="171" t="n">
        <v>46173.41666666666</v>
      </c>
      <c r="E909" s="26" t="n">
        <v>0.2509259259259259</v>
      </c>
      <c r="F909" s="27" t="inlineStr">
        <is>
          <t>Shift 1</t>
        </is>
      </c>
      <c r="G909" s="27" t="n"/>
    </row>
    <row r="910" hidden="1" s="169">
      <c r="A910" s="27" t="inlineStr">
        <is>
          <t>MK00008</t>
        </is>
      </c>
      <c r="B910" s="27" t="n">
        <v>528000282</v>
      </c>
      <c r="C910" s="27" t="inlineStr">
        <is>
          <t>Defa Desfiana</t>
        </is>
      </c>
      <c r="D910" s="171" t="n">
        <v>46173.41666666666</v>
      </c>
      <c r="E910" s="26" t="n">
        <v>0.3224652777777778</v>
      </c>
      <c r="F910" s="27" t="inlineStr">
        <is>
          <t>Shift 1</t>
        </is>
      </c>
      <c r="G910" s="27" t="inlineStr">
        <is>
          <t>10a</t>
        </is>
      </c>
    </row>
    <row r="911" hidden="1" s="169">
      <c r="A911" s="27" t="inlineStr">
        <is>
          <t>MK00235</t>
        </is>
      </c>
      <c r="B911" s="27" t="n">
        <v>528000265</v>
      </c>
      <c r="C911" s="27" t="inlineStr">
        <is>
          <t>Muhammad Haerul Rozikin</t>
        </is>
      </c>
      <c r="D911" s="171" t="n">
        <v>46173.41666666666</v>
      </c>
      <c r="E911" s="26" t="n">
        <v>0.3240509259259259</v>
      </c>
      <c r="F911" s="27" t="inlineStr">
        <is>
          <t>Shift 1</t>
        </is>
      </c>
      <c r="G911" s="27" t="n"/>
    </row>
    <row r="912">
      <c r="A912" s="27" t="inlineStr">
        <is>
          <t>MK0088</t>
        </is>
      </c>
      <c r="B912" s="27" t="n">
        <v>528000015</v>
      </c>
      <c r="C912" s="27" t="inlineStr">
        <is>
          <t>Erwin</t>
        </is>
      </c>
      <c r="D912" s="171" t="n">
        <v>46173.41666666666</v>
      </c>
      <c r="E912" s="26" t="n">
        <v>0.3278472222222222</v>
      </c>
      <c r="F912" s="27" t="inlineStr">
        <is>
          <t>Shift 1</t>
        </is>
      </c>
      <c r="G912" s="27" t="n"/>
    </row>
    <row r="913" hidden="1" s="169">
      <c r="A913" s="27" t="inlineStr">
        <is>
          <t>MK00249</t>
        </is>
      </c>
      <c r="B913" s="27" t="n">
        <v>528000349</v>
      </c>
      <c r="C913" s="27" t="inlineStr">
        <is>
          <t>Anas Abdul Fatah</t>
        </is>
      </c>
      <c r="D913" s="171" t="n">
        <v>46173.41666666666</v>
      </c>
      <c r="E913" s="26" t="n">
        <v>0.3298032407407407</v>
      </c>
      <c r="F913" s="27" t="inlineStr">
        <is>
          <t>Shift 1</t>
        </is>
      </c>
      <c r="G913" s="27" t="n"/>
    </row>
    <row r="914" hidden="1" s="169">
      <c r="A914" s="27" t="inlineStr">
        <is>
          <t>MK00148</t>
        </is>
      </c>
      <c r="B914" s="27" t="n">
        <v>528000351</v>
      </c>
      <c r="C914" s="27" t="inlineStr">
        <is>
          <t>Mulyana</t>
        </is>
      </c>
      <c r="D914" s="171" t="n">
        <v>46173.41666666666</v>
      </c>
      <c r="E914" s="26" t="n">
        <v>0.3298842592592592</v>
      </c>
      <c r="F914" s="27" t="inlineStr">
        <is>
          <t>Shift 1</t>
        </is>
      </c>
      <c r="G914" s="27" t="n"/>
    </row>
    <row r="915" hidden="1" s="169">
      <c r="A915" s="27" t="inlineStr">
        <is>
          <t>MK00082</t>
        </is>
      </c>
      <c r="B915" s="27" t="n">
        <v>528000144</v>
      </c>
      <c r="C915" s="27" t="inlineStr">
        <is>
          <t>Jodi Hanafi</t>
        </is>
      </c>
      <c r="D915" s="171" t="n">
        <v>46173.41666666666</v>
      </c>
      <c r="E915" s="26" t="n">
        <v>0.3327777777777778</v>
      </c>
      <c r="F915" s="27" t="inlineStr">
        <is>
          <t>Shift 1</t>
        </is>
      </c>
      <c r="G915" s="27" t="n"/>
    </row>
    <row r="916" hidden="1" s="169">
      <c r="A916" s="27" t="inlineStr">
        <is>
          <t>MK00228</t>
        </is>
      </c>
      <c r="B916" s="27" t="n">
        <v>528000132</v>
      </c>
      <c r="C916" s="27" t="inlineStr">
        <is>
          <t>Giopani</t>
        </is>
      </c>
      <c r="D916" s="171" t="n">
        <v>46173.41666666666</v>
      </c>
      <c r="E916" s="26" t="n">
        <v>0.3665162037037037</v>
      </c>
      <c r="F916" s="27" t="inlineStr">
        <is>
          <t>Shift 1</t>
        </is>
      </c>
      <c r="G916" s="27" t="n"/>
    </row>
    <row r="917" hidden="1" s="169">
      <c r="A917" s="27" t="inlineStr">
        <is>
          <t>MK00205</t>
        </is>
      </c>
      <c r="B917" s="27" t="n">
        <v>528000348</v>
      </c>
      <c r="C917" s="27" t="inlineStr">
        <is>
          <t>Saepuloh Ardiansah</t>
        </is>
      </c>
      <c r="D917" s="171" t="n">
        <v>46173.41666666666</v>
      </c>
      <c r="E917" s="26" t="n">
        <v>0.3734143518518518</v>
      </c>
      <c r="F917" s="27" t="inlineStr">
        <is>
          <t>Shift 1</t>
        </is>
      </c>
      <c r="G917" s="27" t="n"/>
    </row>
    <row r="918" hidden="1" s="169">
      <c r="A918" s="27" t="inlineStr">
        <is>
          <t>MK00204</t>
        </is>
      </c>
      <c r="B918" s="27" t="n">
        <v>528000052</v>
      </c>
      <c r="C918" s="27" t="inlineStr">
        <is>
          <t>Mustopa</t>
        </is>
      </c>
      <c r="D918" s="171" t="n">
        <v>46173.41666666666</v>
      </c>
      <c r="E918" s="26" t="n">
        <v>0.5393865740740741</v>
      </c>
      <c r="F918" s="27" t="inlineStr">
        <is>
          <t>Shift 1</t>
        </is>
      </c>
      <c r="G918" s="27" t="n"/>
    </row>
    <row r="919" hidden="1" s="169">
      <c r="A919" s="27" t="inlineStr">
        <is>
          <t>MK00199</t>
        </is>
      </c>
      <c r="B919" s="27" t="n">
        <v>528000358</v>
      </c>
      <c r="C919" s="27" t="inlineStr">
        <is>
          <t>Lulu Agustin</t>
        </is>
      </c>
      <c r="D919" s="171" t="n">
        <v>46173.41666666666</v>
      </c>
      <c r="E919" s="26" t="n">
        <v>0.5632986111111111</v>
      </c>
      <c r="F919" s="27" t="inlineStr">
        <is>
          <t>Shift 2</t>
        </is>
      </c>
      <c r="G919" s="27" t="n"/>
    </row>
    <row r="920" hidden="1" s="169">
      <c r="A920" s="27" t="inlineStr">
        <is>
          <t>MK00113</t>
        </is>
      </c>
      <c r="B920" s="27" t="n">
        <v>528000262</v>
      </c>
      <c r="C920" s="27" t="inlineStr">
        <is>
          <t>Ndari Dwiwanti</t>
        </is>
      </c>
      <c r="D920" s="171" t="n">
        <v>46173.41666666666</v>
      </c>
      <c r="E920" s="26" t="n">
        <v>0.5647685185185185</v>
      </c>
      <c r="F920" s="27" t="inlineStr">
        <is>
          <t>Shift 2</t>
        </is>
      </c>
      <c r="G920" s="27" t="n"/>
    </row>
    <row r="921" hidden="1" s="169">
      <c r="A921" s="27" t="inlineStr">
        <is>
          <t>MK00221</t>
        </is>
      </c>
      <c r="B921" s="27" t="n">
        <v>528000195</v>
      </c>
      <c r="C921" s="27" t="inlineStr">
        <is>
          <t>Rahma Sariwati</t>
        </is>
      </c>
      <c r="D921" s="171" t="n">
        <v>46173.41666666666</v>
      </c>
      <c r="E921" s="26" t="n">
        <v>0.5695138888888889</v>
      </c>
      <c r="F921" s="27" t="inlineStr">
        <is>
          <t>Shift 2</t>
        </is>
      </c>
      <c r="G921" s="27" t="n"/>
    </row>
    <row r="922" hidden="1" s="169">
      <c r="A922" s="27" t="inlineStr">
        <is>
          <t>MK00116</t>
        </is>
      </c>
      <c r="B922" s="27" t="n">
        <v>528000266</v>
      </c>
      <c r="C922" s="27" t="inlineStr">
        <is>
          <t>M. Syirajatieq</t>
        </is>
      </c>
      <c r="D922" s="171" t="n">
        <v>46173.41666666666</v>
      </c>
      <c r="E922" s="26" t="n">
        <v>0.5713773148148148</v>
      </c>
      <c r="F922" s="27" t="inlineStr">
        <is>
          <t>Shift 2</t>
        </is>
      </c>
      <c r="G922" s="27" t="n"/>
    </row>
    <row r="923" hidden="1" s="169">
      <c r="A923" s="27" t="inlineStr">
        <is>
          <t>MK00181</t>
        </is>
      </c>
      <c r="B923" s="27" t="n">
        <v>528000261</v>
      </c>
      <c r="C923" s="27" t="inlineStr">
        <is>
          <t>Ergi Ergianto</t>
        </is>
      </c>
      <c r="D923" s="171" t="n">
        <v>46173.41666666666</v>
      </c>
      <c r="E923" s="26" t="n">
        <v>0.5732986111111111</v>
      </c>
      <c r="F923" s="27" t="inlineStr">
        <is>
          <t>Shift 2</t>
        </is>
      </c>
      <c r="G923" s="27" t="n"/>
    </row>
    <row r="924" hidden="1" s="169">
      <c r="A924" s="27" t="inlineStr">
        <is>
          <t>MK0093</t>
        </is>
      </c>
      <c r="B924" s="27" t="n">
        <v>528000283</v>
      </c>
      <c r="C924" s="27" t="inlineStr">
        <is>
          <t>Purwanda Sugiri</t>
        </is>
      </c>
      <c r="D924" s="171" t="n">
        <v>46173.41666666666</v>
      </c>
      <c r="E924" s="26" t="n">
        <v>0.5744791666666667</v>
      </c>
      <c r="F924" s="27" t="inlineStr">
        <is>
          <t>Shift 2</t>
        </is>
      </c>
      <c r="G924" s="27" t="n"/>
    </row>
    <row r="925" hidden="1" s="169">
      <c r="A925" s="27" t="inlineStr">
        <is>
          <t>MK00185</t>
        </is>
      </c>
      <c r="B925" s="27" t="n">
        <v>528000291</v>
      </c>
      <c r="C925" s="27" t="inlineStr">
        <is>
          <t>Andrian</t>
        </is>
      </c>
      <c r="D925" s="171" t="n">
        <v>46173.41666666666</v>
      </c>
      <c r="E925" s="26" t="n">
        <v>0.5753703703703704</v>
      </c>
      <c r="F925" s="27" t="inlineStr">
        <is>
          <t>Shift 2</t>
        </is>
      </c>
      <c r="G925" s="27" t="n"/>
    </row>
    <row r="926" hidden="1" s="169">
      <c r="A926" s="27" t="inlineStr">
        <is>
          <t>MK00276</t>
        </is>
      </c>
      <c r="B926" s="27" t="n">
        <v>528000273</v>
      </c>
      <c r="C926" s="27" t="inlineStr">
        <is>
          <t>Asep Mulyana</t>
        </is>
      </c>
      <c r="D926" s="171" t="n">
        <v>46173.41666666666</v>
      </c>
      <c r="E926" s="26" t="n">
        <v>0.6504282407407408</v>
      </c>
      <c r="F926" s="27" t="inlineStr">
        <is>
          <t>Shift 2</t>
        </is>
      </c>
      <c r="G926" s="27" t="n"/>
    </row>
    <row r="927" hidden="1" s="169">
      <c r="A927" s="27" t="inlineStr">
        <is>
          <t>MK00250</t>
        </is>
      </c>
      <c r="B927" s="27" t="n">
        <v>528000232</v>
      </c>
      <c r="C927" s="27" t="inlineStr">
        <is>
          <t>Agung Aji Suhada</t>
        </is>
      </c>
      <c r="D927" s="171" t="n">
        <v>46173.41666666666</v>
      </c>
      <c r="E927" s="26" t="n">
        <v>0.6646527777777778</v>
      </c>
      <c r="F927" s="27" t="inlineStr">
        <is>
          <t>Shift 2</t>
        </is>
      </c>
      <c r="G927" s="27" t="n"/>
    </row>
    <row r="928" hidden="1" s="169">
      <c r="A928" s="27" t="inlineStr">
        <is>
          <t>MK00230</t>
        </is>
      </c>
      <c r="B928" s="27" t="n">
        <v>528000267</v>
      </c>
      <c r="C928" s="27" t="inlineStr">
        <is>
          <t>Bagas Patulloh</t>
        </is>
      </c>
      <c r="D928" s="171" t="n">
        <v>46173.41666666666</v>
      </c>
      <c r="E928" s="26" t="n">
        <v>0.6731597222222222</v>
      </c>
      <c r="F928" s="27" t="inlineStr">
        <is>
          <t>Shift 2</t>
        </is>
      </c>
      <c r="G928" s="27" t="n"/>
    </row>
    <row r="929" hidden="1" s="169">
      <c r="A929" s="27" t="inlineStr">
        <is>
          <t>MK00082</t>
        </is>
      </c>
      <c r="B929" s="27" t="n">
        <v>528000306</v>
      </c>
      <c r="C929" s="27" t="inlineStr">
        <is>
          <t>Windy Olivia</t>
        </is>
      </c>
      <c r="D929" s="171" t="n">
        <v>46173.41666666666</v>
      </c>
      <c r="E929" s="26" t="n">
        <v>0.9015625</v>
      </c>
      <c r="F929" s="27" t="inlineStr">
        <is>
          <t>Shift 3</t>
        </is>
      </c>
      <c r="G929" s="27" t="n"/>
    </row>
    <row r="930" hidden="1" s="169">
      <c r="A930" s="27" t="inlineStr">
        <is>
          <t>MK00148</t>
        </is>
      </c>
      <c r="B930" s="27" t="n">
        <v>528000063</v>
      </c>
      <c r="C930" s="27" t="inlineStr">
        <is>
          <t>Muhamad Ripki Pebrian</t>
        </is>
      </c>
      <c r="D930" s="171" t="n">
        <v>46173.41666666666</v>
      </c>
      <c r="E930" s="26" t="n">
        <v>0.9021412037037037</v>
      </c>
      <c r="F930" s="27" t="inlineStr">
        <is>
          <t>Shift 3</t>
        </is>
      </c>
      <c r="G930" s="27" t="n"/>
    </row>
    <row r="931" hidden="1" s="169">
      <c r="A931" s="27" t="inlineStr">
        <is>
          <t>MK00088</t>
        </is>
      </c>
      <c r="B931" s="27" t="n">
        <v>628000064</v>
      </c>
      <c r="C931" s="27" t="inlineStr">
        <is>
          <t>Silva Alypia</t>
        </is>
      </c>
      <c r="D931" s="171" t="n">
        <v>46173.41666666666</v>
      </c>
      <c r="E931" s="26" t="n">
        <v>0.9061226851851852</v>
      </c>
      <c r="F931" s="27" t="inlineStr">
        <is>
          <t>Shift 3</t>
        </is>
      </c>
      <c r="G931" s="27" t="n"/>
    </row>
    <row r="932" hidden="1" s="169">
      <c r="A932" s="27" t="inlineStr">
        <is>
          <t>MK00249</t>
        </is>
      </c>
      <c r="B932" s="27" t="n">
        <v>528000288</v>
      </c>
      <c r="C932" s="27" t="inlineStr">
        <is>
          <t>Dede gunawan</t>
        </is>
      </c>
      <c r="D932" s="171" t="n">
        <v>46173.41666666666</v>
      </c>
      <c r="E932" s="26" t="n">
        <v>0.9072916666666667</v>
      </c>
      <c r="F932" s="27" t="inlineStr">
        <is>
          <t>Shift 3</t>
        </is>
      </c>
      <c r="G932" s="27" t="n"/>
    </row>
    <row r="933" hidden="1" s="169">
      <c r="A933" s="27" t="inlineStr">
        <is>
          <t>MK00158</t>
        </is>
      </c>
      <c r="B933" s="27" t="n">
        <v>528000297</v>
      </c>
      <c r="C933" s="27" t="inlineStr">
        <is>
          <t>Muhamad Budiana</t>
        </is>
      </c>
      <c r="D933" s="171" t="n">
        <v>46173.41666666666</v>
      </c>
      <c r="E933" s="26" t="n">
        <v>0.9080324074074074</v>
      </c>
      <c r="F933" s="27" t="inlineStr">
        <is>
          <t>Shift 3</t>
        </is>
      </c>
      <c r="G933" s="27" t="n"/>
    </row>
    <row r="934" hidden="1" s="169">
      <c r="A934" s="27" t="inlineStr">
        <is>
          <t>MK00112</t>
        </is>
      </c>
      <c r="B934" s="27" t="n">
        <v>528000248</v>
      </c>
      <c r="C934" s="27" t="inlineStr">
        <is>
          <t>Roka Jaya Salka Mulya</t>
        </is>
      </c>
      <c r="D934" s="171" t="n">
        <v>46173.41666666666</v>
      </c>
      <c r="E934" s="26" t="n">
        <v>0.9094328703703703</v>
      </c>
      <c r="F934" s="27" t="inlineStr">
        <is>
          <t>Shift 3</t>
        </is>
      </c>
      <c r="G934" s="27" t="n"/>
    </row>
    <row r="935" hidden="1" s="169">
      <c r="A935" s="27" t="inlineStr">
        <is>
          <t>MK00154</t>
        </is>
      </c>
      <c r="B935" s="27" t="n">
        <v>528000300</v>
      </c>
      <c r="C935" s="27" t="inlineStr">
        <is>
          <t>Lia pitaloka</t>
        </is>
      </c>
      <c r="D935" s="171" t="n">
        <v>46173.41666666666</v>
      </c>
      <c r="E935" s="26" t="n">
        <v>0.9099768518518518</v>
      </c>
      <c r="F935" s="27" t="inlineStr">
        <is>
          <t>Shift 3</t>
        </is>
      </c>
      <c r="G935" s="27" t="n"/>
    </row>
    <row r="936" hidden="1" s="169">
      <c r="A936" s="27" t="inlineStr">
        <is>
          <t>MK00213</t>
        </is>
      </c>
      <c r="B936" s="27" t="n">
        <v>528000279</v>
      </c>
      <c r="C936" s="27" t="inlineStr">
        <is>
          <t>Mahdalena Dalfa Riani</t>
        </is>
      </c>
      <c r="D936" s="171" t="n">
        <v>46173.41666666666</v>
      </c>
      <c r="E936" s="26" t="n">
        <v>0.9108333333333334</v>
      </c>
      <c r="F936" s="27" t="inlineStr">
        <is>
          <t>Shift 3</t>
        </is>
      </c>
      <c r="G936" s="27" t="n"/>
    </row>
    <row r="937" hidden="1" s="169">
      <c r="A937" s="27" t="inlineStr">
        <is>
          <t>MK00230</t>
        </is>
      </c>
      <c r="B937" s="27" t="n">
        <v>528000201</v>
      </c>
      <c r="C937" s="27" t="inlineStr">
        <is>
          <t>Zahwa Amelia Choerunissa</t>
        </is>
      </c>
      <c r="D937" s="171" t="n">
        <v>46174.41666666666</v>
      </c>
      <c r="E937" s="26" t="n">
        <v>0.2286921296296296</v>
      </c>
      <c r="F937" s="27" t="inlineStr">
        <is>
          <t>Shift 1</t>
        </is>
      </c>
      <c r="G937" s="27" t="n"/>
    </row>
    <row r="938" hidden="1" s="169">
      <c r="A938" s="27" t="inlineStr">
        <is>
          <t>MK00192</t>
        </is>
      </c>
      <c r="B938" s="27" t="n">
        <v>528000099</v>
      </c>
      <c r="C938" s="27" t="inlineStr">
        <is>
          <t>Siti Nurawaliah</t>
        </is>
      </c>
      <c r="D938" s="171" t="n">
        <v>46174.41666666666</v>
      </c>
      <c r="E938" s="26" t="n">
        <v>0.2293402777777778</v>
      </c>
      <c r="F938" s="27" t="inlineStr">
        <is>
          <t>Shift 1</t>
        </is>
      </c>
      <c r="G938" s="27" t="n"/>
    </row>
    <row r="939" hidden="1" s="169">
      <c r="A939" s="27" t="inlineStr">
        <is>
          <t>MK00204</t>
        </is>
      </c>
      <c r="B939" s="27" t="n">
        <v>528000244</v>
      </c>
      <c r="C939" s="27" t="inlineStr">
        <is>
          <t>Rodian Rifai</t>
        </is>
      </c>
      <c r="D939" s="171" t="n">
        <v>46174.41666666666</v>
      </c>
      <c r="E939" s="26" t="n">
        <v>0.2387384259259259</v>
      </c>
      <c r="F939" s="27" t="inlineStr">
        <is>
          <t>Shift 1</t>
        </is>
      </c>
      <c r="G939" s="27" t="n"/>
    </row>
    <row r="940" hidden="1" s="169">
      <c r="A940" s="27" t="inlineStr">
        <is>
          <t>MK00185</t>
        </is>
      </c>
      <c r="B940" s="27" t="n">
        <v>528000286</v>
      </c>
      <c r="C940" s="27" t="inlineStr">
        <is>
          <t>Imelda Amelia</t>
        </is>
      </c>
      <c r="D940" s="171" t="n">
        <v>46174.41666666666</v>
      </c>
      <c r="E940" s="26" t="n">
        <v>0.2388425925925926</v>
      </c>
      <c r="F940" s="27" t="inlineStr">
        <is>
          <t>Shift 1</t>
        </is>
      </c>
      <c r="G940" s="27" t="n"/>
    </row>
    <row r="941" hidden="1" s="169">
      <c r="A941" s="27" t="inlineStr">
        <is>
          <t>MK00210</t>
        </is>
      </c>
      <c r="B941" s="27" t="n">
        <v>528000241</v>
      </c>
      <c r="C941" s="27" t="inlineStr">
        <is>
          <t>Balia Nurafif Bilah</t>
        </is>
      </c>
      <c r="D941" s="171" t="n">
        <v>46174.41666666666</v>
      </c>
      <c r="E941" s="26" t="n">
        <v>0.2469328703703704</v>
      </c>
      <c r="F941" s="27" t="inlineStr">
        <is>
          <t>Shift 1</t>
        </is>
      </c>
      <c r="G941" s="27" t="n"/>
    </row>
    <row r="942" hidden="1" s="169">
      <c r="A942" s="27" t="inlineStr">
        <is>
          <t>MK00181</t>
        </is>
      </c>
      <c r="B942" s="27" t="n">
        <v>528000290</v>
      </c>
      <c r="C942" s="27" t="inlineStr">
        <is>
          <t>Eval Pranata</t>
        </is>
      </c>
      <c r="D942" s="171" t="n">
        <v>46174.41666666666</v>
      </c>
      <c r="E942" s="26" t="n">
        <v>0.2480902777777778</v>
      </c>
      <c r="F942" s="27" t="inlineStr">
        <is>
          <t>Shift 1</t>
        </is>
      </c>
      <c r="G942" s="27" t="n"/>
    </row>
    <row r="943" hidden="1" s="169">
      <c r="A943" s="27" t="inlineStr">
        <is>
          <t>MK00126</t>
        </is>
      </c>
      <c r="B943" s="27" t="n">
        <v>528000274</v>
      </c>
      <c r="C943" s="27" t="inlineStr">
        <is>
          <t>Zepri</t>
        </is>
      </c>
      <c r="D943" s="171" t="n">
        <v>46174.41666666666</v>
      </c>
      <c r="E943" s="26" t="n">
        <v>0.2481944444444444</v>
      </c>
      <c r="F943" s="27" t="inlineStr">
        <is>
          <t>Shift 1</t>
        </is>
      </c>
      <c r="G943" s="27" t="n"/>
    </row>
    <row r="944" hidden="1" s="169">
      <c r="A944" s="27" t="inlineStr">
        <is>
          <t>MK0085</t>
        </is>
      </c>
      <c r="B944" s="27" t="n">
        <v>528000228</v>
      </c>
      <c r="C944" s="27" t="inlineStr">
        <is>
          <t>Banyu Resmi Putri</t>
        </is>
      </c>
      <c r="D944" s="171" t="n">
        <v>46174.41666666666</v>
      </c>
      <c r="E944" s="26" t="n">
        <v>0.2493287037037037</v>
      </c>
      <c r="F944" s="27" t="inlineStr">
        <is>
          <t>Shift 1</t>
        </is>
      </c>
      <c r="G944" s="27" t="n"/>
    </row>
    <row r="945" hidden="1" s="169">
      <c r="A945" s="27" t="inlineStr">
        <is>
          <t>MK00134</t>
        </is>
      </c>
      <c r="B945" s="27" t="n">
        <v>528000090</v>
      </c>
      <c r="C945" s="27" t="inlineStr">
        <is>
          <t>Suganda</t>
        </is>
      </c>
      <c r="D945" s="171" t="n">
        <v>46174.41666666666</v>
      </c>
      <c r="E945" s="26" t="n">
        <v>0.2511342592592593</v>
      </c>
      <c r="F945" s="27" t="inlineStr">
        <is>
          <t>Shift 1</t>
        </is>
      </c>
      <c r="G945" s="27" t="n"/>
    </row>
    <row r="946" hidden="1" s="169">
      <c r="A946" s="27" t="inlineStr">
        <is>
          <t>MK00130</t>
        </is>
      </c>
      <c r="B946" s="27" t="n">
        <v>528000212</v>
      </c>
      <c r="C946" s="27" t="inlineStr">
        <is>
          <t>Rizal Fauzi</t>
        </is>
      </c>
      <c r="D946" s="171" t="n">
        <v>46174.41666666666</v>
      </c>
      <c r="E946" s="26" t="n">
        <v>0.25125</v>
      </c>
      <c r="F946" s="27" t="inlineStr">
        <is>
          <t>Shift 1</t>
        </is>
      </c>
      <c r="G946" s="27" t="n"/>
    </row>
    <row r="947" hidden="1" s="169">
      <c r="A947" s="27" t="inlineStr">
        <is>
          <t>MK00158</t>
        </is>
      </c>
      <c r="B947" s="27" t="n">
        <v>528000282</v>
      </c>
      <c r="C947" s="27" t="inlineStr">
        <is>
          <t>Defa Desfiana</t>
        </is>
      </c>
      <c r="D947" s="171" t="n">
        <v>46174.41666666666</v>
      </c>
      <c r="E947" s="26" t="n">
        <v>0.3195717592592592</v>
      </c>
      <c r="F947" s="27" t="inlineStr">
        <is>
          <t>Shift 1</t>
        </is>
      </c>
      <c r="G947" s="27" t="inlineStr">
        <is>
          <t>23c</t>
        </is>
      </c>
    </row>
    <row r="948" hidden="1" s="169">
      <c r="A948" s="27" t="inlineStr">
        <is>
          <t>MK00108</t>
        </is>
      </c>
      <c r="B948" s="27" t="n">
        <v>528000351</v>
      </c>
      <c r="C948" s="27" t="inlineStr">
        <is>
          <t>Mulyana</t>
        </is>
      </c>
      <c r="D948" s="171" t="n">
        <v>46174.41666666666</v>
      </c>
      <c r="E948" s="26" t="n">
        <v>0.3254398148148148</v>
      </c>
      <c r="F948" s="27" t="inlineStr">
        <is>
          <t>Shift 1</t>
        </is>
      </c>
      <c r="G948" s="27" t="n"/>
    </row>
    <row r="949" hidden="1" s="169">
      <c r="A949" s="27" t="inlineStr">
        <is>
          <t>MK00213</t>
        </is>
      </c>
      <c r="B949" s="27" t="n">
        <v>528000265</v>
      </c>
      <c r="C949" s="27" t="inlineStr">
        <is>
          <t>Muhammad Haerul Rozikin</t>
        </is>
      </c>
      <c r="D949" s="171" t="n">
        <v>46174.41666666666</v>
      </c>
      <c r="E949" s="26" t="n">
        <v>0.3255092592592593</v>
      </c>
      <c r="F949" s="27" t="inlineStr">
        <is>
          <t>Shift 1</t>
        </is>
      </c>
      <c r="G949" s="27" t="n"/>
    </row>
    <row r="950" hidden="1" s="169">
      <c r="A950" s="27" t="inlineStr">
        <is>
          <t>MK00112</t>
        </is>
      </c>
      <c r="B950" s="27" t="n">
        <v>528000349</v>
      </c>
      <c r="C950" s="27" t="inlineStr">
        <is>
          <t>Anas Abdul Fatah</t>
        </is>
      </c>
      <c r="D950" s="171" t="n">
        <v>46174.41666666666</v>
      </c>
      <c r="E950" s="26" t="n">
        <v>0.3273032407407407</v>
      </c>
      <c r="F950" s="27" t="inlineStr">
        <is>
          <t>Shift 1</t>
        </is>
      </c>
      <c r="G950" s="27" t="n"/>
    </row>
    <row r="951">
      <c r="A951" s="27" t="inlineStr">
        <is>
          <t>MK0090</t>
        </is>
      </c>
      <c r="B951" s="27" t="n">
        <v>528000015</v>
      </c>
      <c r="C951" s="27" t="inlineStr">
        <is>
          <t>Erwin</t>
        </is>
      </c>
      <c r="D951" s="171" t="n">
        <v>46174.41666666666</v>
      </c>
      <c r="E951" s="26" t="n">
        <v>0.3294097222222222</v>
      </c>
      <c r="F951" s="27" t="inlineStr">
        <is>
          <t>Shift 1</t>
        </is>
      </c>
      <c r="G951" s="27" t="n"/>
    </row>
    <row r="952" hidden="1" s="169">
      <c r="A952" s="27" t="inlineStr">
        <is>
          <t>MK00082</t>
        </is>
      </c>
      <c r="B952" s="27" t="n">
        <v>528000144</v>
      </c>
      <c r="C952" s="27" t="inlineStr">
        <is>
          <t>Jodi Hanafi</t>
        </is>
      </c>
      <c r="D952" s="171" t="n">
        <v>46174.41666666666</v>
      </c>
      <c r="E952" s="26" t="n">
        <v>0.3304166666666667</v>
      </c>
      <c r="F952" s="27" t="inlineStr">
        <is>
          <t>Shift 1</t>
        </is>
      </c>
      <c r="G952" s="27" t="n"/>
    </row>
    <row r="953" hidden="1" s="169">
      <c r="A953" s="27" t="inlineStr">
        <is>
          <t>MK0008</t>
        </is>
      </c>
      <c r="B953" s="27" t="n">
        <v>528000310</v>
      </c>
      <c r="C953" s="27" t="inlineStr">
        <is>
          <t>Fachrul Rozzi Suryana</t>
        </is>
      </c>
      <c r="D953" s="171" t="n">
        <v>46174.41666666666</v>
      </c>
      <c r="E953" s="26" t="n">
        <v>0.3334490740740741</v>
      </c>
      <c r="F953" s="27" t="inlineStr">
        <is>
          <t>Shift 1</t>
        </is>
      </c>
      <c r="G953" s="27" t="n"/>
    </row>
    <row r="954" hidden="1" s="169">
      <c r="A954" s="27" t="inlineStr">
        <is>
          <t>MK00228</t>
        </is>
      </c>
      <c r="B954" s="27" t="n">
        <v>528000132</v>
      </c>
      <c r="C954" s="27" t="inlineStr">
        <is>
          <t>Giopani</t>
        </is>
      </c>
      <c r="D954" s="171" t="n">
        <v>46174.41666666666</v>
      </c>
      <c r="E954" s="26" t="n">
        <v>0.3697337962962963</v>
      </c>
      <c r="F954" s="27" t="inlineStr">
        <is>
          <t>Shift 1</t>
        </is>
      </c>
      <c r="G954" s="27" t="n"/>
    </row>
    <row r="955" hidden="1" s="169">
      <c r="A955" s="27" t="inlineStr">
        <is>
          <t>MK00205</t>
        </is>
      </c>
      <c r="B955" s="27" t="n">
        <v>528000348</v>
      </c>
      <c r="C955" s="27" t="inlineStr">
        <is>
          <t>Saepuloh Ardiansah</t>
        </is>
      </c>
      <c r="D955" s="171" t="n">
        <v>46174.41666666666</v>
      </c>
      <c r="E955" s="26" t="n">
        <v>0.3704629629629629</v>
      </c>
      <c r="F955" s="27" t="inlineStr">
        <is>
          <t>Shift 1</t>
        </is>
      </c>
      <c r="G955" s="27" t="n"/>
    </row>
    <row r="956" hidden="1" s="169">
      <c r="A956" s="27" t="inlineStr">
        <is>
          <t>MK00155</t>
        </is>
      </c>
      <c r="B956" s="27" t="n">
        <v>628000061</v>
      </c>
      <c r="C956" s="27" t="inlineStr">
        <is>
          <t>Nayla Fadillah Exwantoro</t>
        </is>
      </c>
      <c r="D956" s="171" t="n">
        <v>46174.41666666666</v>
      </c>
      <c r="E956" s="26" t="n">
        <v>0.5393287037037037</v>
      </c>
      <c r="F956" s="27" t="inlineStr">
        <is>
          <t>Shift 1</t>
        </is>
      </c>
      <c r="G956" s="27" t="n"/>
    </row>
    <row r="957" hidden="1" s="169">
      <c r="A957" s="27" t="inlineStr">
        <is>
          <t>MK00208</t>
        </is>
      </c>
      <c r="B957" s="27" t="n">
        <v>528000098</v>
      </c>
      <c r="C957" s="27" t="inlineStr">
        <is>
          <t>Edi Junaedi</t>
        </is>
      </c>
      <c r="D957" s="171" t="n">
        <v>46174.41666666666</v>
      </c>
      <c r="E957" s="26" t="n">
        <v>0.5562384259259259</v>
      </c>
      <c r="F957" s="27" t="inlineStr">
        <is>
          <t>Shift 2</t>
        </is>
      </c>
      <c r="G957" s="27" t="n"/>
    </row>
    <row r="958" hidden="1" s="169">
      <c r="A958" s="27" t="inlineStr">
        <is>
          <t>MK00199</t>
        </is>
      </c>
      <c r="B958" s="27" t="n">
        <v>628000091</v>
      </c>
      <c r="C958" s="27" t="inlineStr">
        <is>
          <t>Devita Handayani</t>
        </is>
      </c>
      <c r="D958" s="171" t="n">
        <v>46174.41666666666</v>
      </c>
      <c r="E958" s="26" t="n">
        <v>0.561875</v>
      </c>
      <c r="F958" s="27" t="inlineStr">
        <is>
          <t>Shift 2</t>
        </is>
      </c>
      <c r="G958" s="27" t="n"/>
    </row>
    <row r="959" hidden="1" s="169">
      <c r="A959" s="27" t="inlineStr">
        <is>
          <t>MK00221</t>
        </is>
      </c>
      <c r="B959" s="27" t="n">
        <v>528000299</v>
      </c>
      <c r="C959" s="27" t="inlineStr">
        <is>
          <t>Siti Nurjanah</t>
        </is>
      </c>
      <c r="D959" s="171" t="n">
        <v>46174.41666666666</v>
      </c>
      <c r="E959" s="26" t="n">
        <v>0.5637152777777777</v>
      </c>
      <c r="F959" s="27" t="inlineStr">
        <is>
          <t>Shift 2</t>
        </is>
      </c>
      <c r="G959" s="27" t="n"/>
    </row>
    <row r="960" hidden="1" s="169">
      <c r="A960" s="27" t="inlineStr">
        <is>
          <t>MK00145</t>
        </is>
      </c>
      <c r="B960" s="27" t="n">
        <v>528000298</v>
      </c>
      <c r="C960" s="27" t="inlineStr">
        <is>
          <t>Desta Cahaya Pratama</t>
        </is>
      </c>
      <c r="D960" s="171" t="n">
        <v>46174.41666666666</v>
      </c>
      <c r="E960" s="26" t="n">
        <v>0.5699189814814815</v>
      </c>
      <c r="F960" s="27" t="inlineStr">
        <is>
          <t>Shift 2</t>
        </is>
      </c>
      <c r="G960" s="27" t="n"/>
    </row>
    <row r="961" hidden="1" s="169">
      <c r="A961" s="27" t="inlineStr">
        <is>
          <t>MK00138</t>
        </is>
      </c>
      <c r="B961" s="27" t="n">
        <v>528000270</v>
      </c>
      <c r="C961" s="27" t="inlineStr">
        <is>
          <t>Febri Najmudin</t>
        </is>
      </c>
      <c r="D961" s="171" t="n">
        <v>46174.41666666666</v>
      </c>
      <c r="E961" s="26" t="n">
        <v>0.5734027777777778</v>
      </c>
      <c r="F961" s="27" t="inlineStr">
        <is>
          <t>Shift 2</t>
        </is>
      </c>
      <c r="G961" s="27" t="n"/>
    </row>
    <row r="962" hidden="1" s="169">
      <c r="A962" s="27" t="inlineStr">
        <is>
          <t>MK00151</t>
        </is>
      </c>
      <c r="B962" s="27" t="n">
        <v>528000309</v>
      </c>
      <c r="C962" s="27" t="inlineStr">
        <is>
          <t>Ilham Ramadhan</t>
        </is>
      </c>
      <c r="D962" s="171" t="n">
        <v>46174.41666666666</v>
      </c>
      <c r="E962" s="26" t="n">
        <v>0.5775462962962963</v>
      </c>
      <c r="F962" s="27" t="inlineStr">
        <is>
          <t>Shift 2</t>
        </is>
      </c>
      <c r="G962" s="27" t="n"/>
    </row>
    <row r="963" hidden="1" s="169">
      <c r="A963" s="27" t="inlineStr">
        <is>
          <t>MK00093</t>
        </is>
      </c>
      <c r="B963" s="27" t="n">
        <v>528000302</v>
      </c>
      <c r="C963" s="27" t="inlineStr">
        <is>
          <t>Henkey gumilar</t>
        </is>
      </c>
      <c r="D963" s="171" t="n">
        <v>46174.41666666666</v>
      </c>
      <c r="E963" s="26" t="n">
        <v>0.5778356481481481</v>
      </c>
      <c r="F963" s="27" t="inlineStr">
        <is>
          <t>Shift 2</t>
        </is>
      </c>
      <c r="G963" s="27" t="n"/>
    </row>
    <row r="964" hidden="1" s="169">
      <c r="A964" s="27" t="inlineStr">
        <is>
          <t>MK00185</t>
        </is>
      </c>
      <c r="B964" s="27" t="n">
        <v>528000286</v>
      </c>
      <c r="C964" s="27" t="inlineStr">
        <is>
          <t>Imelda Amelia</t>
        </is>
      </c>
      <c r="D964" s="171" t="n">
        <v>46174.41666666666</v>
      </c>
      <c r="E964" s="26" t="n">
        <v>0.5963425925925926</v>
      </c>
      <c r="F964" s="27" t="inlineStr">
        <is>
          <t>Shift 2</t>
        </is>
      </c>
      <c r="G964" s="27" t="n"/>
    </row>
    <row r="965" hidden="1" s="169">
      <c r="A965" s="27" t="inlineStr">
        <is>
          <t>MK00276</t>
        </is>
      </c>
      <c r="B965" s="27" t="n">
        <v>528000273</v>
      </c>
      <c r="C965" s="27" t="inlineStr">
        <is>
          <t>Asep Mulyana</t>
        </is>
      </c>
      <c r="D965" s="171" t="n">
        <v>46174.41666666666</v>
      </c>
      <c r="E965" s="26" t="n">
        <v>0.6431249999999999</v>
      </c>
      <c r="F965" s="27" t="inlineStr">
        <is>
          <t>Shift 2</t>
        </is>
      </c>
      <c r="G965" s="27" t="n"/>
    </row>
    <row r="966" hidden="1" s="169">
      <c r="A966" s="27" t="inlineStr">
        <is>
          <t>MK00190</t>
        </is>
      </c>
      <c r="B966" s="27" t="n">
        <v>528000055</v>
      </c>
      <c r="C966" s="27" t="inlineStr">
        <is>
          <t>Dika Prasetya</t>
        </is>
      </c>
      <c r="D966" s="171" t="n">
        <v>46174.41666666666</v>
      </c>
      <c r="E966" s="26" t="n">
        <v>0.6459259259259259</v>
      </c>
      <c r="F966" s="27" t="inlineStr">
        <is>
          <t>Shift 2</t>
        </is>
      </c>
      <c r="G966" s="27" t="n"/>
    </row>
    <row r="967" hidden="1" s="169">
      <c r="A967" s="27" t="inlineStr">
        <is>
          <t>MK00250</t>
        </is>
      </c>
      <c r="B967" s="27" t="n">
        <v>528000232</v>
      </c>
      <c r="C967" s="27" t="inlineStr">
        <is>
          <t>Agung Aji Suhada</t>
        </is>
      </c>
      <c r="D967" s="171" t="n">
        <v>46174.41666666666</v>
      </c>
      <c r="E967" s="26" t="n">
        <v>0.6652777777777777</v>
      </c>
      <c r="F967" s="27" t="inlineStr">
        <is>
          <t>Shift 2</t>
        </is>
      </c>
      <c r="G967" s="27" t="n"/>
    </row>
    <row r="968" hidden="1" s="169">
      <c r="A968" s="27" t="inlineStr">
        <is>
          <t>MK00201</t>
        </is>
      </c>
      <c r="B968" s="27" t="n">
        <v>528000267</v>
      </c>
      <c r="C968" s="27" t="inlineStr">
        <is>
          <t>Bagas Patulloh</t>
        </is>
      </c>
      <c r="D968" s="171" t="n">
        <v>46174.41666666666</v>
      </c>
      <c r="E968" s="26" t="n">
        <v>0.6684722222222222</v>
      </c>
      <c r="F968" s="27" t="inlineStr">
        <is>
          <t>Shift 2</t>
        </is>
      </c>
      <c r="G968" s="27" t="n"/>
    </row>
    <row r="969" hidden="1" s="169">
      <c r="A969" s="27" t="inlineStr">
        <is>
          <t>MK00249</t>
        </is>
      </c>
      <c r="B969" s="27" t="n">
        <v>528000306</v>
      </c>
      <c r="C969" s="27" t="inlineStr">
        <is>
          <t>Windy Olivia</t>
        </is>
      </c>
      <c r="D969" s="171" t="n">
        <v>46174.41666666666</v>
      </c>
      <c r="E969" s="26" t="n">
        <v>0.8996180555555555</v>
      </c>
      <c r="F969" s="27" t="inlineStr">
        <is>
          <t>Shift 3</t>
        </is>
      </c>
      <c r="G969" s="27" t="n"/>
    </row>
    <row r="970" hidden="1" s="169">
      <c r="A970" s="27" t="inlineStr">
        <is>
          <t>MK00126</t>
        </is>
      </c>
      <c r="B970" s="27" t="n">
        <v>528000323</v>
      </c>
      <c r="C970" s="27" t="inlineStr">
        <is>
          <t>Dian Hamidah</t>
        </is>
      </c>
      <c r="D970" s="171" t="n">
        <v>46174.41666666666</v>
      </c>
      <c r="E970" s="26" t="n">
        <v>0.9056018518518518</v>
      </c>
      <c r="F970" s="27" t="inlineStr">
        <is>
          <t>Shift 3</t>
        </is>
      </c>
      <c r="G970" s="27" t="n"/>
    </row>
    <row r="971" hidden="1" s="169">
      <c r="A971" s="27" t="inlineStr">
        <is>
          <t>MK00235</t>
        </is>
      </c>
      <c r="B971" s="27" t="n">
        <v>528000297</v>
      </c>
      <c r="C971" s="27" t="inlineStr">
        <is>
          <t>Muhamad Budiana</t>
        </is>
      </c>
      <c r="D971" s="171" t="n">
        <v>46174.41666666666</v>
      </c>
      <c r="E971" s="26" t="n">
        <v>0.9060069444444444</v>
      </c>
      <c r="F971" s="27" t="inlineStr">
        <is>
          <t>Shift 3</t>
        </is>
      </c>
      <c r="G971" s="27" t="n"/>
    </row>
    <row r="972" hidden="1" s="169">
      <c r="A972" s="27" t="inlineStr">
        <is>
          <t>MK00204</t>
        </is>
      </c>
      <c r="B972" s="27" t="n">
        <v>528000279</v>
      </c>
      <c r="C972" s="27" t="inlineStr">
        <is>
          <t>Mahdalena Dalfa Riani</t>
        </is>
      </c>
      <c r="D972" s="171" t="n">
        <v>46174.41666666666</v>
      </c>
      <c r="E972" s="26" t="n">
        <v>0.9080902777777777</v>
      </c>
      <c r="F972" s="27" t="inlineStr">
        <is>
          <t>Shift 3</t>
        </is>
      </c>
      <c r="G972" s="27" t="n"/>
    </row>
    <row r="973" hidden="1" s="169">
      <c r="A973" s="27" t="n">
        <v>90</v>
      </c>
      <c r="B973" s="27" t="n">
        <v>528000248</v>
      </c>
      <c r="C973" s="27" t="inlineStr">
        <is>
          <t>Roka Jaya Salka Mulya</t>
        </is>
      </c>
      <c r="D973" s="171" t="n">
        <v>46174.41666666666</v>
      </c>
      <c r="E973" s="26" t="n">
        <v>0.909050925925926</v>
      </c>
      <c r="F973" s="27" t="inlineStr">
        <is>
          <t>Shift 3</t>
        </is>
      </c>
      <c r="G973" s="27" t="n"/>
    </row>
    <row r="974" hidden="1" s="169">
      <c r="A974" s="27" t="inlineStr">
        <is>
          <t>MK00108</t>
        </is>
      </c>
      <c r="B974" s="27" t="n">
        <v>628000064</v>
      </c>
      <c r="C974" s="27" t="inlineStr">
        <is>
          <t>Silva Alypia</t>
        </is>
      </c>
      <c r="D974" s="171" t="n">
        <v>46174.41666666666</v>
      </c>
      <c r="E974" s="26" t="n">
        <v>0.9092013888888889</v>
      </c>
      <c r="F974" s="27" t="inlineStr">
        <is>
          <t>Shift 3</t>
        </is>
      </c>
      <c r="G974" s="27" t="n"/>
    </row>
    <row r="975" hidden="1" s="169">
      <c r="A975" s="27" t="inlineStr">
        <is>
          <t>MK00158</t>
        </is>
      </c>
      <c r="B975" s="27" t="n">
        <v>528000300</v>
      </c>
      <c r="C975" s="27" t="inlineStr">
        <is>
          <t>Lia pitaloka</t>
        </is>
      </c>
      <c r="D975" s="171" t="n">
        <v>46174.41666666666</v>
      </c>
      <c r="E975" s="26" t="n">
        <v>0.9092824074074074</v>
      </c>
      <c r="F975" s="27" t="inlineStr">
        <is>
          <t>Shift 3</t>
        </is>
      </c>
      <c r="G975" s="27" t="n"/>
    </row>
    <row r="976" hidden="1" s="169">
      <c r="A976" s="27" t="inlineStr">
        <is>
          <t>MK00008</t>
        </is>
      </c>
      <c r="B976" s="27" t="n">
        <v>528000288</v>
      </c>
      <c r="C976" s="27" t="inlineStr">
        <is>
          <t>Dede gunawan</t>
        </is>
      </c>
      <c r="D976" s="171" t="n">
        <v>46174.41666666666</v>
      </c>
      <c r="E976" s="26" t="n">
        <v>0.9096875</v>
      </c>
      <c r="F976" s="27" t="inlineStr">
        <is>
          <t>Shift 3</t>
        </is>
      </c>
      <c r="G976" s="27" t="n"/>
    </row>
    <row r="977" hidden="1" s="169">
      <c r="A977" s="27" t="inlineStr">
        <is>
          <t>MK00136</t>
        </is>
      </c>
      <c r="B977" s="27" t="n">
        <v>528000063</v>
      </c>
      <c r="C977" s="27" t="inlineStr">
        <is>
          <t>Muhamad Ripki Pebrian</t>
        </is>
      </c>
      <c r="D977" s="171" t="n">
        <v>46174.41666666666</v>
      </c>
      <c r="E977" s="26" t="n">
        <v>0.9150462962962963</v>
      </c>
      <c r="F977" s="27" t="inlineStr">
        <is>
          <t>Shift 3</t>
        </is>
      </c>
      <c r="G977" s="27" t="n"/>
    </row>
    <row r="978" hidden="1" s="169">
      <c r="A978" s="27" t="inlineStr">
        <is>
          <t>MK00250</t>
        </is>
      </c>
      <c r="B978" s="27" t="n">
        <v>528000052</v>
      </c>
      <c r="C978" s="27" t="inlineStr">
        <is>
          <t>Mustopa</t>
        </is>
      </c>
      <c r="D978" s="171" t="n">
        <v>46175.41666666666</v>
      </c>
      <c r="E978" s="26" t="n">
        <v>0.2284259259259259</v>
      </c>
      <c r="F978" s="27" t="inlineStr">
        <is>
          <t>Shift 1</t>
        </is>
      </c>
      <c r="G978" s="27" t="n"/>
    </row>
    <row r="979" hidden="1" s="169">
      <c r="A979" s="27" t="inlineStr">
        <is>
          <t>MK00093</t>
        </is>
      </c>
      <c r="B979" s="27" t="n">
        <v>528000266</v>
      </c>
      <c r="C979" s="27" t="inlineStr">
        <is>
          <t>M. Syirajatieq</t>
        </is>
      </c>
      <c r="D979" s="171" t="n">
        <v>46175.41666666666</v>
      </c>
      <c r="E979" s="26" t="n">
        <v>0.2383101851851852</v>
      </c>
      <c r="F979" s="27" t="inlineStr">
        <is>
          <t>Shift 1</t>
        </is>
      </c>
      <c r="G979" s="27" t="n"/>
    </row>
    <row r="980" hidden="1" s="169">
      <c r="A980" s="27" t="inlineStr">
        <is>
          <t>MK00151</t>
        </is>
      </c>
      <c r="B980" s="27" t="n">
        <v>528000358</v>
      </c>
      <c r="C980" s="27" t="inlineStr">
        <is>
          <t>Lulu Agustin</t>
        </is>
      </c>
      <c r="D980" s="171" t="n">
        <v>46175.41666666666</v>
      </c>
      <c r="E980" s="26" t="n">
        <v>0.2395138888888889</v>
      </c>
      <c r="F980" s="27" t="inlineStr">
        <is>
          <t>Shift 1</t>
        </is>
      </c>
      <c r="G980" s="27" t="n"/>
    </row>
    <row r="981" hidden="1" s="169">
      <c r="A981" s="27" t="inlineStr">
        <is>
          <t>MK00209</t>
        </is>
      </c>
      <c r="B981" s="27" t="n">
        <v>528000262</v>
      </c>
      <c r="C981" s="27" t="inlineStr">
        <is>
          <t>Ndari Dwiwanti</t>
        </is>
      </c>
      <c r="D981" s="171" t="n">
        <v>46175.41666666666</v>
      </c>
      <c r="E981" s="26" t="n">
        <v>0.2412037037037037</v>
      </c>
      <c r="F981" s="27" t="inlineStr">
        <is>
          <t>Shift 1</t>
        </is>
      </c>
      <c r="G981" s="27" t="n"/>
    </row>
    <row r="982" hidden="1" s="169">
      <c r="A982" s="27" t="inlineStr">
        <is>
          <t>MK00199</t>
        </is>
      </c>
      <c r="B982" s="27" t="n">
        <v>528000261</v>
      </c>
      <c r="C982" s="27" t="inlineStr">
        <is>
          <t>Ergi Ergianto</t>
        </is>
      </c>
      <c r="D982" s="171" t="n">
        <v>46175.41666666666</v>
      </c>
      <c r="E982" s="26" t="n">
        <v>0.2415277777777778</v>
      </c>
      <c r="F982" s="27" t="inlineStr">
        <is>
          <t>Shift 1</t>
        </is>
      </c>
      <c r="G982" s="27" t="n"/>
    </row>
    <row r="983" hidden="1" s="169">
      <c r="A983" s="27" t="inlineStr">
        <is>
          <t>MK00138</t>
        </is>
      </c>
      <c r="B983" s="27" t="n">
        <v>528000195</v>
      </c>
      <c r="C983" s="27" t="inlineStr">
        <is>
          <t>Rahma Sariwati</t>
        </is>
      </c>
      <c r="D983" s="171" t="n">
        <v>46175.41666666666</v>
      </c>
      <c r="E983" s="26" t="n">
        <v>0.2421527777777778</v>
      </c>
      <c r="F983" s="27" t="inlineStr">
        <is>
          <t>Shift 1</t>
        </is>
      </c>
      <c r="G983" s="27" t="n"/>
    </row>
    <row r="984" hidden="1" s="169">
      <c r="A984" s="27" t="inlineStr">
        <is>
          <t>MK00154</t>
        </is>
      </c>
      <c r="B984" s="27" t="n">
        <v>528000291</v>
      </c>
      <c r="C984" s="27" t="inlineStr">
        <is>
          <t>Andrian</t>
        </is>
      </c>
      <c r="D984" s="171" t="n">
        <v>46175.41666666666</v>
      </c>
      <c r="E984" s="26" t="n">
        <v>0.2446180555555555</v>
      </c>
      <c r="F984" s="27" t="inlineStr">
        <is>
          <t>Shift 1</t>
        </is>
      </c>
      <c r="G984" s="27" t="n"/>
    </row>
    <row r="985" hidden="1" s="169">
      <c r="A985" s="27" t="inlineStr">
        <is>
          <t>MK00210</t>
        </is>
      </c>
      <c r="B985" s="27" t="n">
        <v>528000282</v>
      </c>
      <c r="C985" s="27" t="inlineStr">
        <is>
          <t>Defa Desfiana</t>
        </is>
      </c>
      <c r="D985" s="171" t="n">
        <v>46175.41666666666</v>
      </c>
      <c r="E985" s="26" t="n">
        <v>0.3169907407407407</v>
      </c>
      <c r="F985" s="27" t="inlineStr">
        <is>
          <t>Shift 1</t>
        </is>
      </c>
      <c r="G985" s="27" t="inlineStr">
        <is>
          <t>31b</t>
        </is>
      </c>
    </row>
    <row r="986" hidden="1" s="169">
      <c r="A986" s="27" t="inlineStr">
        <is>
          <t>MK00249</t>
        </is>
      </c>
      <c r="B986" s="27" t="n">
        <v>528000265</v>
      </c>
      <c r="C986" s="27" t="inlineStr">
        <is>
          <t>Muhammad Haerul Rozikin</t>
        </is>
      </c>
      <c r="D986" s="171" t="n">
        <v>46175.41666666666</v>
      </c>
      <c r="E986" s="26" t="n">
        <v>0.3215393518518518</v>
      </c>
      <c r="F986" s="27" t="inlineStr">
        <is>
          <t>Shift 1</t>
        </is>
      </c>
      <c r="G986" s="27" t="n"/>
    </row>
    <row r="987">
      <c r="A987" s="27" t="inlineStr">
        <is>
          <t>MK00213</t>
        </is>
      </c>
      <c r="B987" s="27" t="n">
        <v>528000015</v>
      </c>
      <c r="C987" s="27" t="inlineStr">
        <is>
          <t>Erwin</t>
        </is>
      </c>
      <c r="D987" s="171" t="n">
        <v>46175.41666666666</v>
      </c>
      <c r="E987" s="26" t="n">
        <v>0.3280439814814815</v>
      </c>
      <c r="F987" s="27" t="inlineStr">
        <is>
          <t>Shift 1</t>
        </is>
      </c>
      <c r="G987" s="27" t="n"/>
    </row>
    <row r="988" hidden="1" s="169">
      <c r="A988" s="27" t="inlineStr">
        <is>
          <t>MK00158</t>
        </is>
      </c>
      <c r="B988" s="27" t="n">
        <v>528000349</v>
      </c>
      <c r="C988" s="27" t="inlineStr">
        <is>
          <t>Anas Abdul Fatah</t>
        </is>
      </c>
      <c r="D988" s="171" t="n">
        <v>46175.41666666666</v>
      </c>
      <c r="E988" s="26" t="n">
        <v>0.3295601851851852</v>
      </c>
      <c r="F988" s="27" t="inlineStr">
        <is>
          <t>Shift 1</t>
        </is>
      </c>
      <c r="G988" s="27" t="n"/>
    </row>
    <row r="989" hidden="1" s="169">
      <c r="A989" s="27" t="inlineStr">
        <is>
          <t>MK00082</t>
        </is>
      </c>
      <c r="B989" s="27" t="n">
        <v>528000144</v>
      </c>
      <c r="C989" s="27" t="inlineStr">
        <is>
          <t>Jodi Hanafi</t>
        </is>
      </c>
      <c r="D989" s="171" t="n">
        <v>46175.41666666666</v>
      </c>
      <c r="E989" s="26" t="n">
        <v>0.3328935185185185</v>
      </c>
      <c r="F989" s="27" t="inlineStr">
        <is>
          <t>Shift 1</t>
        </is>
      </c>
      <c r="G989" s="27" t="n"/>
    </row>
    <row r="990" hidden="1" s="169">
      <c r="A990" s="27" t="inlineStr">
        <is>
          <t>MK00008</t>
        </is>
      </c>
      <c r="B990" s="27" t="n">
        <v>528000310</v>
      </c>
      <c r="C990" s="27" t="inlineStr">
        <is>
          <t>Fachrul Rozzi Suryana</t>
        </is>
      </c>
      <c r="D990" s="171" t="n">
        <v>46175.41666666666</v>
      </c>
      <c r="E990" s="26" t="n">
        <v>0.334849537037037</v>
      </c>
      <c r="F990" s="27" t="inlineStr">
        <is>
          <t>Shift 1</t>
        </is>
      </c>
      <c r="G990" s="27" t="inlineStr">
        <is>
          <t>10 A</t>
        </is>
      </c>
    </row>
    <row r="991" hidden="1" s="169">
      <c r="A991" s="27" t="inlineStr">
        <is>
          <t>MK00228</t>
        </is>
      </c>
      <c r="B991" s="27" t="n">
        <v>528000132</v>
      </c>
      <c r="C991" s="27" t="inlineStr">
        <is>
          <t>Giopani</t>
        </is>
      </c>
      <c r="D991" s="171" t="n">
        <v>46175.41666666666</v>
      </c>
      <c r="E991" s="26" t="n">
        <v>0.364375</v>
      </c>
      <c r="F991" s="27" t="inlineStr">
        <is>
          <t>Shift 1</t>
        </is>
      </c>
      <c r="G991" s="27" t="n"/>
    </row>
    <row r="992" hidden="1" s="169">
      <c r="A992" s="27" t="inlineStr">
        <is>
          <t>MK00205</t>
        </is>
      </c>
      <c r="B992" s="27" t="n">
        <v>528000348</v>
      </c>
      <c r="C992" s="27" t="inlineStr">
        <is>
          <t>Saepuloh Ardiansah</t>
        </is>
      </c>
      <c r="D992" s="171" t="n">
        <v>46175.41666666666</v>
      </c>
      <c r="E992" s="26" t="n">
        <v>0.3713425925925926</v>
      </c>
      <c r="F992" s="27" t="inlineStr">
        <is>
          <t>Shift 1</t>
        </is>
      </c>
      <c r="G992" s="27" t="n"/>
    </row>
    <row r="993" hidden="1" s="169">
      <c r="A993" s="27" t="inlineStr">
        <is>
          <t>MK00112</t>
        </is>
      </c>
      <c r="B993" s="27" t="n">
        <v>628000061</v>
      </c>
      <c r="C993" s="27" t="inlineStr">
        <is>
          <t>Nayla Fadillah Exwantoro</t>
        </is>
      </c>
      <c r="D993" s="171" t="n">
        <v>46175.41666666666</v>
      </c>
      <c r="E993" s="26" t="n">
        <v>0.5389583333333333</v>
      </c>
      <c r="F993" s="27" t="inlineStr">
        <is>
          <t>Shift 1</t>
        </is>
      </c>
      <c r="G993" s="27" t="n"/>
    </row>
    <row r="994" hidden="1" s="169">
      <c r="A994" s="27" t="inlineStr">
        <is>
          <t>MK00U30</t>
        </is>
      </c>
      <c r="B994" s="27" t="n">
        <v>628000091</v>
      </c>
      <c r="C994" s="27" t="inlineStr">
        <is>
          <t>Devita Handayani</t>
        </is>
      </c>
      <c r="D994" s="171" t="n">
        <v>46175.41666666666</v>
      </c>
      <c r="E994" s="26" t="n">
        <v>0.5621759259259259</v>
      </c>
      <c r="F994" s="27" t="inlineStr">
        <is>
          <t>Shift 2</t>
        </is>
      </c>
      <c r="G994" s="27" t="n"/>
    </row>
    <row r="995" hidden="1" s="169">
      <c r="A995" s="27" t="inlineStr">
        <is>
          <t>MK00230</t>
        </is>
      </c>
      <c r="B995" s="27" t="n">
        <v>628000091</v>
      </c>
      <c r="C995" s="27" t="inlineStr">
        <is>
          <t>Devita Handayani</t>
        </is>
      </c>
      <c r="D995" s="171" t="n">
        <v>46175.41666666666</v>
      </c>
      <c r="E995" s="26" t="n">
        <v>0.5660995370370371</v>
      </c>
      <c r="F995" s="27" t="inlineStr">
        <is>
          <t>Shift 2</t>
        </is>
      </c>
      <c r="G995" s="27" t="n"/>
    </row>
    <row r="996" hidden="1" s="169">
      <c r="A996" s="27" t="inlineStr">
        <is>
          <t>MK00136</t>
        </is>
      </c>
      <c r="B996" s="27" t="n">
        <v>528000305</v>
      </c>
      <c r="C996" s="27" t="inlineStr">
        <is>
          <t>Puji Puspita</t>
        </is>
      </c>
      <c r="D996" s="171" t="n">
        <v>46175.41666666666</v>
      </c>
      <c r="E996" s="26" t="n">
        <v>0.5675694444444445</v>
      </c>
      <c r="F996" s="27" t="inlineStr">
        <is>
          <t>Shift 2</t>
        </is>
      </c>
      <c r="G996" s="27" t="n"/>
    </row>
    <row r="997" hidden="1" s="169">
      <c r="A997" s="27" t="inlineStr">
        <is>
          <t>MK00113</t>
        </is>
      </c>
      <c r="B997" s="27" t="n">
        <v>528000299</v>
      </c>
      <c r="C997" s="27" t="inlineStr">
        <is>
          <t>Siti Nurjanah</t>
        </is>
      </c>
      <c r="D997" s="171" t="n">
        <v>46175.41666666666</v>
      </c>
      <c r="E997" s="26" t="n">
        <v>0.5681481481481482</v>
      </c>
      <c r="F997" s="27" t="inlineStr">
        <is>
          <t>Shift 2</t>
        </is>
      </c>
      <c r="G997" s="27" t="n"/>
    </row>
    <row r="998" hidden="1" s="169">
      <c r="A998" s="27" t="inlineStr">
        <is>
          <t>MK00235</t>
        </is>
      </c>
      <c r="B998" s="27" t="n">
        <v>528000302</v>
      </c>
      <c r="C998" s="27" t="inlineStr">
        <is>
          <t>Henkey gumilar</t>
        </is>
      </c>
      <c r="D998" s="171" t="n">
        <v>46175.41666666666</v>
      </c>
      <c r="E998" s="26" t="n">
        <v>0.5690046296296296</v>
      </c>
      <c r="F998" s="27" t="inlineStr">
        <is>
          <t>Shift 2</t>
        </is>
      </c>
      <c r="G998" s="27" t="n"/>
    </row>
    <row r="999" hidden="1" s="169">
      <c r="A999" s="27" t="inlineStr">
        <is>
          <t>MK00181</t>
        </is>
      </c>
      <c r="B999" s="27" t="n">
        <v>528000298</v>
      </c>
      <c r="C999" s="27" t="inlineStr">
        <is>
          <t>Desta Cahaya Pratama</t>
        </is>
      </c>
      <c r="D999" s="171" t="n">
        <v>46175.41666666666</v>
      </c>
      <c r="E999" s="26" t="n">
        <v>0.5699768518518519</v>
      </c>
      <c r="F999" s="27" t="inlineStr">
        <is>
          <t>Shift 2</t>
        </is>
      </c>
      <c r="G999" s="27" t="n"/>
    </row>
    <row r="1000" hidden="1" s="169">
      <c r="A1000" s="27" t="inlineStr">
        <is>
          <t>MK00134</t>
        </is>
      </c>
      <c r="B1000" s="27" t="n">
        <v>528000270</v>
      </c>
      <c r="C1000" s="27" t="inlineStr">
        <is>
          <t>Febri Najmudin</t>
        </is>
      </c>
      <c r="D1000" s="171" t="n">
        <v>46175.41666666666</v>
      </c>
      <c r="E1000" s="26" t="n">
        <v>0.5729976851851852</v>
      </c>
      <c r="F1000" s="27" t="inlineStr">
        <is>
          <t>Shift 2</t>
        </is>
      </c>
      <c r="G1000" s="27" t="n"/>
    </row>
    <row r="1001" hidden="1" s="169">
      <c r="A1001" s="27" t="inlineStr">
        <is>
          <t>MK00116</t>
        </is>
      </c>
      <c r="B1001" s="27" t="n">
        <v>528000309</v>
      </c>
      <c r="C1001" s="27" t="inlineStr">
        <is>
          <t>Ilham Ramadhan</t>
        </is>
      </c>
      <c r="D1001" s="171" t="n">
        <v>46175.41666666666</v>
      </c>
      <c r="E1001" s="26" t="n">
        <v>0.5771180555555555</v>
      </c>
      <c r="F1001" s="27" t="inlineStr">
        <is>
          <t>Shift 2</t>
        </is>
      </c>
      <c r="G1001" s="27" t="n"/>
    </row>
    <row r="1002" hidden="1" s="169">
      <c r="A1002" s="27" t="inlineStr">
        <is>
          <t>MHZZZY3</t>
        </is>
      </c>
      <c r="B1002" s="27" t="n">
        <v>528000266</v>
      </c>
      <c r="C1002" s="27" t="inlineStr">
        <is>
          <t>M. Syirajatieq</t>
        </is>
      </c>
      <c r="D1002" s="171" t="n">
        <v>46175.41666666666</v>
      </c>
      <c r="E1002" s="26" t="n">
        <v>0.5923726851851852</v>
      </c>
      <c r="F1002" s="27" t="inlineStr">
        <is>
          <t>Shift 2</t>
        </is>
      </c>
      <c r="G1002" s="27" t="n"/>
    </row>
    <row r="1003" hidden="1" s="169">
      <c r="A1003" s="27" t="inlineStr">
        <is>
          <t>MK00180</t>
        </is>
      </c>
      <c r="B1003" s="27" t="n">
        <v>528000055</v>
      </c>
      <c r="C1003" s="27" t="inlineStr">
        <is>
          <t>Dika Prasetya</t>
        </is>
      </c>
      <c r="D1003" s="171" t="n">
        <v>46175.41666666666</v>
      </c>
      <c r="E1003" s="26" t="n">
        <v>0.6388888888888888</v>
      </c>
      <c r="F1003" s="27" t="inlineStr">
        <is>
          <t>Shift 2</t>
        </is>
      </c>
      <c r="G1003" s="27" t="n"/>
    </row>
    <row r="1004" hidden="1" s="169">
      <c r="A1004" s="27" t="n">
        <v>181</v>
      </c>
      <c r="B1004" s="27" t="n">
        <v>528000273</v>
      </c>
      <c r="C1004" s="27" t="inlineStr">
        <is>
          <t>Asep Mulyana</t>
        </is>
      </c>
      <c r="D1004" s="171" t="n">
        <v>46175.41666666666</v>
      </c>
      <c r="E1004" s="26" t="n">
        <v>0.6399074074074074</v>
      </c>
      <c r="F1004" s="27" t="inlineStr">
        <is>
          <t>Shift 2</t>
        </is>
      </c>
      <c r="G1004" s="27" t="n"/>
    </row>
    <row r="1005" hidden="1" s="169">
      <c r="A1005" s="27" t="inlineStr">
        <is>
          <t>MK00093</t>
        </is>
      </c>
      <c r="B1005" s="27" t="n">
        <v>528000232</v>
      </c>
      <c r="C1005" s="27" t="inlineStr">
        <is>
          <t>Agung Aji Suhada</t>
        </is>
      </c>
      <c r="D1005" s="171" t="n">
        <v>46175.41666666666</v>
      </c>
      <c r="E1005" s="26" t="n">
        <v>0.6615972222222222</v>
      </c>
      <c r="F1005" s="27" t="inlineStr">
        <is>
          <t>Shift 2</t>
        </is>
      </c>
      <c r="G1005" s="27" t="n"/>
    </row>
    <row r="1006" hidden="1" s="169">
      <c r="A1006" s="27" t="inlineStr">
        <is>
          <t>MK00213</t>
        </is>
      </c>
      <c r="B1006" s="27" t="n">
        <v>528000297</v>
      </c>
      <c r="C1006" s="27" t="inlineStr">
        <is>
          <t>Muhamad Budiana</t>
        </is>
      </c>
      <c r="D1006" s="171" t="n">
        <v>46175.41666666666</v>
      </c>
      <c r="E1006" s="26" t="n">
        <v>0.9082986111111111</v>
      </c>
      <c r="F1006" s="27" t="inlineStr">
        <is>
          <t>Shift 3</t>
        </is>
      </c>
      <c r="G1006" s="27" t="n"/>
    </row>
    <row r="1007" hidden="1" s="169">
      <c r="A1007" s="27" t="inlineStr">
        <is>
          <t>MK00202</t>
        </is>
      </c>
      <c r="B1007" s="27" t="n">
        <v>528000288</v>
      </c>
      <c r="C1007" s="27" t="inlineStr">
        <is>
          <t>Dede gunawan</t>
        </is>
      </c>
      <c r="D1007" s="171" t="n">
        <v>46175.41666666666</v>
      </c>
      <c r="E1007" s="26" t="n">
        <v>0.9100578703703703</v>
      </c>
      <c r="F1007" s="27" t="inlineStr">
        <is>
          <t>Shift 3</t>
        </is>
      </c>
      <c r="G1007" s="27" t="n"/>
    </row>
    <row r="1008" hidden="1" s="169">
      <c r="A1008" s="27" t="inlineStr">
        <is>
          <t>MK00148</t>
        </is>
      </c>
      <c r="B1008" s="27" t="n">
        <v>628000064</v>
      </c>
      <c r="C1008" s="27" t="inlineStr">
        <is>
          <t>Silva Alypia</t>
        </is>
      </c>
      <c r="D1008" s="171" t="n">
        <v>46175.41666666666</v>
      </c>
      <c r="E1008" s="26" t="n">
        <v>0.910775462962963</v>
      </c>
      <c r="F1008" s="27" t="inlineStr">
        <is>
          <t>Shift 3</t>
        </is>
      </c>
      <c r="G1008" s="27" t="n"/>
    </row>
    <row r="1009" hidden="1" s="169">
      <c r="A1009" s="27" t="inlineStr">
        <is>
          <t>MK00210</t>
        </is>
      </c>
      <c r="B1009" s="27" t="n">
        <v>528000300</v>
      </c>
      <c r="C1009" s="27" t="inlineStr">
        <is>
          <t>Lia pitaloka</t>
        </is>
      </c>
      <c r="D1009" s="171" t="n">
        <v>46175.41666666666</v>
      </c>
      <c r="E1009" s="26" t="n">
        <v>0.9115856481481481</v>
      </c>
      <c r="F1009" s="27" t="inlineStr">
        <is>
          <t>Shift 3</t>
        </is>
      </c>
      <c r="G1009" s="27" t="n"/>
    </row>
    <row r="1010" hidden="1" s="169">
      <c r="A1010" s="27" t="inlineStr">
        <is>
          <t>MK00145</t>
        </is>
      </c>
      <c r="B1010" s="27" t="n">
        <v>528000279</v>
      </c>
      <c r="C1010" s="27" t="inlineStr">
        <is>
          <t>Mahdalena Dalfa Riani</t>
        </is>
      </c>
      <c r="D1010" s="171" t="n">
        <v>46175.41666666666</v>
      </c>
      <c r="E1010" s="26" t="n">
        <v>0.9120717592592592</v>
      </c>
      <c r="F1010" s="27" t="inlineStr">
        <is>
          <t>Shift 3</t>
        </is>
      </c>
      <c r="G1010" s="27" t="n"/>
    </row>
    <row r="1011" hidden="1" s="169">
      <c r="A1011" s="27" t="inlineStr">
        <is>
          <t>MK00249</t>
        </is>
      </c>
      <c r="B1011" s="27" t="n">
        <v>528000063</v>
      </c>
      <c r="C1011" s="27" t="inlineStr">
        <is>
          <t>Muhamad Ripki Pebrian</t>
        </is>
      </c>
      <c r="D1011" s="171" t="n">
        <v>46175.41666666666</v>
      </c>
      <c r="E1011" s="26" t="n">
        <v>0.9141203703703704</v>
      </c>
      <c r="F1011" s="27" t="inlineStr">
        <is>
          <t>Shift 3</t>
        </is>
      </c>
      <c r="G1011" s="27" t="n"/>
    </row>
    <row r="1012" hidden="1" s="169">
      <c r="A1012" s="27" t="inlineStr">
        <is>
          <t>MK00208</t>
        </is>
      </c>
      <c r="B1012" s="27" t="n">
        <v>528000279</v>
      </c>
      <c r="C1012" s="27" t="inlineStr">
        <is>
          <t>Mahdalena Dalfa Riani</t>
        </is>
      </c>
      <c r="D1012" s="171" t="n">
        <v>46175.41666666666</v>
      </c>
      <c r="E1012" s="26" t="n">
        <v>0.9154976851851852</v>
      </c>
      <c r="F1012" s="27" t="inlineStr">
        <is>
          <t>Shift 3</t>
        </is>
      </c>
      <c r="G1012" s="27" t="n"/>
    </row>
    <row r="1013" hidden="1" s="169">
      <c r="A1013" s="27" t="inlineStr">
        <is>
          <t>MK00108</t>
        </is>
      </c>
      <c r="B1013" s="27" t="n">
        <v>528000052</v>
      </c>
      <c r="C1013" s="27" t="inlineStr">
        <is>
          <t>Mustopa</t>
        </is>
      </c>
      <c r="D1013" s="171" t="n">
        <v>46176.41666666666</v>
      </c>
      <c r="E1013" s="26" t="n">
        <v>0.219224537037037</v>
      </c>
      <c r="F1013" s="27" t="inlineStr">
        <is>
          <t>Shift 1</t>
        </is>
      </c>
      <c r="G1013" s="27" t="n"/>
    </row>
    <row r="1014" hidden="1" s="169">
      <c r="A1014" s="27" t="inlineStr">
        <is>
          <t>MK00090</t>
        </is>
      </c>
      <c r="B1014" s="27" t="n">
        <v>528000262</v>
      </c>
      <c r="C1014" s="27" t="inlineStr">
        <is>
          <t>Ndari Dwiwanti</t>
        </is>
      </c>
      <c r="D1014" s="171" t="n">
        <v>46176.41666666666</v>
      </c>
      <c r="E1014" s="26" t="n">
        <v>0.2343981481481482</v>
      </c>
      <c r="F1014" s="27" t="inlineStr">
        <is>
          <t>Shift 1</t>
        </is>
      </c>
      <c r="G1014" s="27" t="n"/>
    </row>
    <row r="1015" hidden="1" s="169">
      <c r="A1015" s="27" t="inlineStr">
        <is>
          <t>MK00230</t>
        </is>
      </c>
      <c r="B1015" s="27" t="n">
        <v>528000266</v>
      </c>
      <c r="C1015" s="27" t="inlineStr">
        <is>
          <t>M. Syirajatieq</t>
        </is>
      </c>
      <c r="D1015" s="171" t="n">
        <v>46176.41666666666</v>
      </c>
      <c r="E1015" s="26" t="n">
        <v>0.238275462962963</v>
      </c>
      <c r="F1015" s="27" t="inlineStr">
        <is>
          <t>Shift 1</t>
        </is>
      </c>
      <c r="G1015" s="27" t="n"/>
    </row>
    <row r="1016" hidden="1" s="169">
      <c r="A1016" s="27" t="inlineStr">
        <is>
          <t>MK00136</t>
        </is>
      </c>
      <c r="B1016" s="27" t="n">
        <v>528000195</v>
      </c>
      <c r="C1016" s="27" t="inlineStr">
        <is>
          <t>Rahma Sariwati</t>
        </is>
      </c>
      <c r="D1016" s="171" t="n">
        <v>46176.41666666666</v>
      </c>
      <c r="E1016" s="26" t="n">
        <v>0.2417013888888889</v>
      </c>
      <c r="F1016" s="27" t="inlineStr">
        <is>
          <t>Shift 1</t>
        </is>
      </c>
      <c r="G1016" s="27" t="n"/>
    </row>
    <row r="1017" hidden="1" s="169">
      <c r="A1017" s="27" t="inlineStr">
        <is>
          <t>MK00235</t>
        </is>
      </c>
      <c r="B1017" s="27" t="n">
        <v>528000261</v>
      </c>
      <c r="C1017" s="27" t="inlineStr">
        <is>
          <t>Ergi Ergianto</t>
        </is>
      </c>
      <c r="D1017" s="171" t="n">
        <v>46176.41666666666</v>
      </c>
      <c r="E1017" s="26" t="n">
        <v>0.2431597222222222</v>
      </c>
      <c r="F1017" s="27" t="inlineStr">
        <is>
          <t>Shift 1</t>
        </is>
      </c>
      <c r="G1017" s="27" t="n"/>
    </row>
    <row r="1018" hidden="1" s="169">
      <c r="A1018" s="27" t="inlineStr">
        <is>
          <t>MK00192</t>
        </is>
      </c>
      <c r="B1018" s="27" t="n">
        <v>528000291</v>
      </c>
      <c r="C1018" s="27" t="inlineStr">
        <is>
          <t>Andrian</t>
        </is>
      </c>
      <c r="D1018" s="171" t="n">
        <v>46176.41666666666</v>
      </c>
      <c r="E1018" s="26" t="n">
        <v>0.2462731481481482</v>
      </c>
      <c r="F1018" s="27" t="inlineStr">
        <is>
          <t>Shift 1</t>
        </is>
      </c>
      <c r="G1018" s="27" t="n"/>
    </row>
    <row r="1019">
      <c r="A1019" s="27" t="inlineStr">
        <is>
          <t>MK00215</t>
        </is>
      </c>
      <c r="B1019" s="27" t="n">
        <v>528000015</v>
      </c>
      <c r="C1019" s="27" t="inlineStr">
        <is>
          <t>Erwin</t>
        </is>
      </c>
      <c r="D1019" s="171" t="n">
        <v>46176.41666666666</v>
      </c>
      <c r="E1019" s="26" t="n">
        <v>0.3065393518518518</v>
      </c>
      <c r="F1019" s="27" t="inlineStr">
        <is>
          <t>Shift 1</t>
        </is>
      </c>
      <c r="G1019" s="27" t="n"/>
    </row>
    <row r="1020" hidden="1" s="169">
      <c r="A1020" s="27" t="inlineStr">
        <is>
          <t>MK00181</t>
        </is>
      </c>
      <c r="B1020" s="27" t="n">
        <v>528000144</v>
      </c>
      <c r="C1020" s="27" t="inlineStr">
        <is>
          <t>Jodi Hanafi</t>
        </is>
      </c>
      <c r="D1020" s="171" t="n">
        <v>46176.41666666666</v>
      </c>
      <c r="E1020" s="26" t="n">
        <v>0.3204513888888889</v>
      </c>
      <c r="F1020" s="27" t="inlineStr">
        <is>
          <t>Shift 1</t>
        </is>
      </c>
      <c r="G1020" s="27" t="n"/>
    </row>
    <row r="1021" hidden="1" s="169">
      <c r="A1021" s="27" t="inlineStr">
        <is>
          <t>MK00151</t>
        </is>
      </c>
      <c r="B1021" s="27" t="n">
        <v>528000265</v>
      </c>
      <c r="C1021" s="27" t="inlineStr">
        <is>
          <t>Muhammad Haerul Rozikin</t>
        </is>
      </c>
      <c r="D1021" s="171" t="n">
        <v>46176.41666666666</v>
      </c>
      <c r="E1021" s="26" t="n">
        <v>0.3249537037037037</v>
      </c>
      <c r="F1021" s="27" t="inlineStr">
        <is>
          <t>Shift 1</t>
        </is>
      </c>
      <c r="G1021" s="27" t="n"/>
    </row>
    <row r="1022" hidden="1" s="169">
      <c r="A1022" s="27" t="inlineStr">
        <is>
          <t>MK00209</t>
        </is>
      </c>
      <c r="B1022" s="27" t="n">
        <v>528000282</v>
      </c>
      <c r="C1022" s="27" t="inlineStr">
        <is>
          <t>Defa Desfiana</t>
        </is>
      </c>
      <c r="D1022" s="171" t="n">
        <v>46176.41666666666</v>
      </c>
      <c r="E1022" s="26" t="n">
        <v>0.3258101851851852</v>
      </c>
      <c r="F1022" s="27" t="inlineStr">
        <is>
          <t>Shift 1</t>
        </is>
      </c>
      <c r="G1022" s="27" t="inlineStr">
        <is>
          <t>2a</t>
        </is>
      </c>
    </row>
    <row r="1023" hidden="1" s="169">
      <c r="A1023" s="27" t="inlineStr">
        <is>
          <t>MK00145</t>
        </is>
      </c>
      <c r="B1023" s="27" t="n">
        <v>528000310</v>
      </c>
      <c r="C1023" s="27" t="inlineStr">
        <is>
          <t>Fachrul Rozzi Suryana</t>
        </is>
      </c>
      <c r="D1023" s="171" t="n">
        <v>46176.41666666666</v>
      </c>
      <c r="E1023" s="26" t="n">
        <v>0.331099537037037</v>
      </c>
      <c r="F1023" s="27" t="inlineStr">
        <is>
          <t>Shift 1</t>
        </is>
      </c>
      <c r="G1023" s="27" t="inlineStr">
        <is>
          <t>22F</t>
        </is>
      </c>
    </row>
    <row r="1024" hidden="1" s="169">
      <c r="A1024" s="27" t="inlineStr">
        <is>
          <t>MK00228</t>
        </is>
      </c>
      <c r="B1024" s="27" t="n">
        <v>528000132</v>
      </c>
      <c r="C1024" s="27" t="inlineStr">
        <is>
          <t>Giopani</t>
        </is>
      </c>
      <c r="D1024" s="171" t="n">
        <v>46176.41666666666</v>
      </c>
      <c r="E1024" s="26" t="n">
        <v>0.3659837962962963</v>
      </c>
      <c r="F1024" s="27" t="inlineStr">
        <is>
          <t>Shift 1</t>
        </is>
      </c>
      <c r="G1024" s="27" t="n"/>
    </row>
    <row r="1025" hidden="1" s="169">
      <c r="A1025" s="27" t="inlineStr">
        <is>
          <t>MK00205</t>
        </is>
      </c>
      <c r="B1025" s="27" t="n">
        <v>528000348</v>
      </c>
      <c r="C1025" s="27" t="inlineStr">
        <is>
          <t>Saepuloh Ardiansah</t>
        </is>
      </c>
      <c r="D1025" s="171" t="n">
        <v>46176.41666666666</v>
      </c>
      <c r="E1025" s="26" t="n">
        <v>0.3906712962962963</v>
      </c>
      <c r="F1025" s="27" t="inlineStr">
        <is>
          <t>Shift 1</t>
        </is>
      </c>
      <c r="G1025" s="27" t="n"/>
    </row>
    <row r="1026" hidden="1" s="169">
      <c r="A1026" s="27" t="inlineStr">
        <is>
          <t>MK00116</t>
        </is>
      </c>
      <c r="B1026" s="27" t="n">
        <v>628000061</v>
      </c>
      <c r="C1026" s="27" t="inlineStr">
        <is>
          <t>Nayla Fadillah Exwantoro</t>
        </is>
      </c>
      <c r="D1026" s="171" t="n">
        <v>46176.41666666666</v>
      </c>
      <c r="E1026" s="26" t="n">
        <v>0.5350462962962963</v>
      </c>
      <c r="F1026" s="27" t="inlineStr">
        <is>
          <t>Shift 1</t>
        </is>
      </c>
      <c r="G1026" s="27" t="n"/>
    </row>
    <row r="1027" hidden="1" s="169">
      <c r="A1027" s="27" t="inlineStr">
        <is>
          <t>MK00145</t>
        </is>
      </c>
      <c r="B1027" s="27" t="n">
        <v>528000098</v>
      </c>
      <c r="C1027" s="27" t="inlineStr">
        <is>
          <t>Edi Junaedi</t>
        </is>
      </c>
      <c r="D1027" s="171" t="n">
        <v>46176.41666666666</v>
      </c>
      <c r="E1027" s="26" t="n">
        <v>0.5550810185185185</v>
      </c>
      <c r="F1027" s="27" t="inlineStr">
        <is>
          <t>Shift 2</t>
        </is>
      </c>
      <c r="G1027" s="27" t="n"/>
    </row>
    <row r="1028" hidden="1" s="169">
      <c r="A1028" s="27" t="inlineStr">
        <is>
          <t>MK00148</t>
        </is>
      </c>
      <c r="B1028" s="27" t="n">
        <v>528000305</v>
      </c>
      <c r="C1028" s="27" t="inlineStr">
        <is>
          <t>Puji Puspita</t>
        </is>
      </c>
      <c r="D1028" s="171" t="n">
        <v>46176.41666666666</v>
      </c>
      <c r="E1028" s="26" t="n">
        <v>0.5726273148148148</v>
      </c>
      <c r="F1028" s="27" t="inlineStr">
        <is>
          <t>Shift 2</t>
        </is>
      </c>
      <c r="G1028" s="27" t="n"/>
    </row>
    <row r="1029" hidden="1" s="169">
      <c r="A1029" s="27" t="inlineStr">
        <is>
          <t>MK00209</t>
        </is>
      </c>
      <c r="B1029" s="27" t="n">
        <v>528000270</v>
      </c>
      <c r="C1029" s="27" t="inlineStr">
        <is>
          <t>Febri Najmudin</t>
        </is>
      </c>
      <c r="D1029" s="171" t="n">
        <v>46176.41666666666</v>
      </c>
      <c r="E1029" s="26" t="n">
        <v>0.5734027777777778</v>
      </c>
      <c r="F1029" s="27" t="inlineStr">
        <is>
          <t>Shift 2</t>
        </is>
      </c>
      <c r="G1029" s="27" t="n"/>
    </row>
    <row r="1030" hidden="1" s="169">
      <c r="A1030" s="27" t="inlineStr">
        <is>
          <t>MK00154</t>
        </is>
      </c>
      <c r="B1030" s="27" t="n">
        <v>528000298</v>
      </c>
      <c r="C1030" s="27" t="inlineStr">
        <is>
          <t>Desta Cahaya Pratama</t>
        </is>
      </c>
      <c r="D1030" s="171" t="n">
        <v>46176.41666666666</v>
      </c>
      <c r="E1030" s="26" t="n">
        <v>0.5767361111111111</v>
      </c>
      <c r="F1030" s="27" t="inlineStr">
        <is>
          <t>Shift 2</t>
        </is>
      </c>
      <c r="G1030" s="27" t="n"/>
    </row>
    <row r="1031" hidden="1" s="169">
      <c r="A1031" s="27" t="inlineStr">
        <is>
          <t>MK00199</t>
        </is>
      </c>
      <c r="B1031" s="27" t="n">
        <v>528000309</v>
      </c>
      <c r="C1031" s="27" t="inlineStr">
        <is>
          <t>Ilham Ramadhan</t>
        </is>
      </c>
      <c r="D1031" s="171" t="n">
        <v>46176.41666666666</v>
      </c>
      <c r="E1031" s="26" t="n">
        <v>0.5784259259259259</v>
      </c>
      <c r="F1031" s="27" t="inlineStr">
        <is>
          <t>Shift 2</t>
        </is>
      </c>
      <c r="G1031" s="27" t="n"/>
    </row>
    <row r="1032" hidden="1" s="169">
      <c r="A1032" s="27" t="inlineStr">
        <is>
          <t>MK00093</t>
        </is>
      </c>
      <c r="B1032" s="27" t="n">
        <v>528000288</v>
      </c>
      <c r="C1032" s="27" t="inlineStr">
        <is>
          <t>Dede gunawan</t>
        </is>
      </c>
      <c r="D1032" s="171" t="n">
        <v>46176.41666666666</v>
      </c>
      <c r="E1032" s="26" t="n">
        <v>0.8927546296296296</v>
      </c>
      <c r="F1032" s="27" t="inlineStr">
        <is>
          <t>Shift 3</t>
        </is>
      </c>
      <c r="G1032" s="27" t="n"/>
    </row>
    <row r="1033" hidden="1" s="169">
      <c r="A1033" s="27" t="inlineStr">
        <is>
          <t>MK00208</t>
        </is>
      </c>
      <c r="B1033" s="27" t="n">
        <v>528000063</v>
      </c>
      <c r="C1033" s="27" t="inlineStr">
        <is>
          <t>Muhamad Ripki Pebrian</t>
        </is>
      </c>
      <c r="D1033" s="171" t="n">
        <v>46176.41666666666</v>
      </c>
      <c r="E1033" s="26" t="n">
        <v>0.9005324074074074</v>
      </c>
      <c r="F1033" s="27" t="inlineStr">
        <is>
          <t>Shift 3</t>
        </is>
      </c>
      <c r="G1033" s="27" t="n"/>
    </row>
    <row r="1034" hidden="1" s="169">
      <c r="A1034" s="27" t="inlineStr">
        <is>
          <t>MK00221</t>
        </is>
      </c>
      <c r="B1034" s="27" t="n">
        <v>528000323</v>
      </c>
      <c r="C1034" s="27" t="inlineStr">
        <is>
          <t>Dian Hamidah</t>
        </is>
      </c>
      <c r="D1034" s="171" t="n">
        <v>46176.41666666666</v>
      </c>
      <c r="E1034" s="26" t="n">
        <v>0.9021990740740741</v>
      </c>
      <c r="F1034" s="27" t="inlineStr">
        <is>
          <t>Shift 3</t>
        </is>
      </c>
      <c r="G1034" s="27" t="n"/>
    </row>
    <row r="1035" hidden="1" s="169">
      <c r="A1035" s="27" t="inlineStr">
        <is>
          <t>MK00138</t>
        </is>
      </c>
      <c r="B1035" s="27" t="n">
        <v>528000297</v>
      </c>
      <c r="C1035" s="27" t="inlineStr">
        <is>
          <t>Muhamad Budiana</t>
        </is>
      </c>
      <c r="D1035" s="171" t="n">
        <v>46176.41666666666</v>
      </c>
      <c r="E1035" s="26" t="n">
        <v>0.9037615740740741</v>
      </c>
      <c r="F1035" s="27" t="inlineStr">
        <is>
          <t>Shift 3</t>
        </is>
      </c>
      <c r="G1035" s="27" t="n"/>
    </row>
    <row r="1036" hidden="1" s="169">
      <c r="A1036" s="27" t="inlineStr">
        <is>
          <t>MK00090</t>
        </is>
      </c>
      <c r="B1036" s="27" t="n">
        <v>528000306</v>
      </c>
      <c r="C1036" s="27" t="inlineStr">
        <is>
          <t>Windy Olivia</t>
        </is>
      </c>
      <c r="D1036" s="171" t="n">
        <v>46176.41666666666</v>
      </c>
      <c r="E1036" s="26" t="n">
        <v>0.9038194444444444</v>
      </c>
      <c r="F1036" s="27" t="inlineStr">
        <is>
          <t>Shift 3</t>
        </is>
      </c>
      <c r="G1036" s="27" t="n"/>
    </row>
    <row r="1037" hidden="1" s="169">
      <c r="A1037" s="27" t="inlineStr">
        <is>
          <t>MK00108</t>
        </is>
      </c>
      <c r="B1037" s="27" t="n">
        <v>628000064</v>
      </c>
      <c r="C1037" s="27" t="inlineStr">
        <is>
          <t>Silva Alypia</t>
        </is>
      </c>
      <c r="D1037" s="171" t="n">
        <v>46176.41666666666</v>
      </c>
      <c r="E1037" s="26" t="n">
        <v>0.9072569444444445</v>
      </c>
      <c r="F1037" s="27" t="inlineStr">
        <is>
          <t>Shift 3</t>
        </is>
      </c>
      <c r="G1037" s="27" t="n"/>
    </row>
    <row r="1038" hidden="1" s="169">
      <c r="A1038" s="27" t="inlineStr">
        <is>
          <t>MK00008</t>
        </is>
      </c>
      <c r="B1038" s="27" t="n">
        <v>528000329</v>
      </c>
      <c r="C1038" s="27" t="inlineStr">
        <is>
          <t>Havid Ilham Firdaus</t>
        </is>
      </c>
      <c r="D1038" s="171" t="n">
        <v>46176.41666666666</v>
      </c>
      <c r="E1038" s="26" t="n">
        <v>0.9095833333333333</v>
      </c>
      <c r="F1038" s="27" t="inlineStr">
        <is>
          <t>Shift 3</t>
        </is>
      </c>
      <c r="G1038" s="27" t="n"/>
    </row>
    <row r="1039" hidden="1" s="169">
      <c r="A1039" s="27" t="inlineStr">
        <is>
          <t>MK00202</t>
        </is>
      </c>
      <c r="B1039" s="27" t="n">
        <v>528000279</v>
      </c>
      <c r="C1039" s="27" t="inlineStr">
        <is>
          <t>Mahdalena Dalfa Riani</t>
        </is>
      </c>
      <c r="D1039" s="171" t="n">
        <v>46176.41666666666</v>
      </c>
      <c r="E1039" s="26" t="n">
        <v>0.9108564814814815</v>
      </c>
      <c r="F1039" s="27" t="inlineStr">
        <is>
          <t>Shift 3</t>
        </is>
      </c>
      <c r="G1039" s="27" t="n"/>
    </row>
    <row r="1040" hidden="1" s="169">
      <c r="A1040" s="27" t="inlineStr">
        <is>
          <t>MK00181</t>
        </is>
      </c>
      <c r="B1040" s="27" t="n">
        <v>528000300</v>
      </c>
      <c r="C1040" s="27" t="inlineStr">
        <is>
          <t>Lia pitaloka</t>
        </is>
      </c>
      <c r="D1040" s="171" t="n">
        <v>46176.41666666666</v>
      </c>
      <c r="E1040" s="26" t="n">
        <v>0.9109953703703704</v>
      </c>
      <c r="F1040" s="27" t="inlineStr">
        <is>
          <t>Shift 3</t>
        </is>
      </c>
      <c r="G1040" s="27" t="n"/>
    </row>
    <row r="1041" hidden="1" s="169">
      <c r="A1041" s="27" t="inlineStr">
        <is>
          <t>MK0109</t>
        </is>
      </c>
      <c r="B1041" s="27" t="n">
        <v>528000052</v>
      </c>
      <c r="C1041" s="27" t="inlineStr">
        <is>
          <t>Mustopa</t>
        </is>
      </c>
      <c r="D1041" s="171" t="n">
        <v>46148.41666666666</v>
      </c>
      <c r="E1041" s="26" t="n">
        <v>0.2304282407407408</v>
      </c>
      <c r="F1041" s="27" t="inlineStr">
        <is>
          <t>Shift 1</t>
        </is>
      </c>
      <c r="G1041" s="27" t="n"/>
    </row>
    <row r="1042" hidden="1" s="169">
      <c r="A1042" s="27" t="inlineStr">
        <is>
          <t>MK00199</t>
        </is>
      </c>
      <c r="B1042" s="27" t="n">
        <v>528000358</v>
      </c>
      <c r="C1042" s="27" t="inlineStr">
        <is>
          <t>Lulu Agustin</t>
        </is>
      </c>
      <c r="D1042" s="171" t="n">
        <v>46148.41666666666</v>
      </c>
      <c r="E1042" s="26" t="n">
        <v>0.2352083333333333</v>
      </c>
      <c r="F1042" s="27" t="inlineStr">
        <is>
          <t>Shift 1</t>
        </is>
      </c>
      <c r="G1042" s="27" t="n"/>
    </row>
    <row r="1043" hidden="1" s="169">
      <c r="A1043" s="27" t="inlineStr">
        <is>
          <t>MK00154</t>
        </is>
      </c>
      <c r="B1043" s="27" t="n">
        <v>528000262</v>
      </c>
      <c r="C1043" s="27" t="inlineStr">
        <is>
          <t>Ndari Dwiwanti</t>
        </is>
      </c>
      <c r="D1043" s="171" t="n">
        <v>46148.41666666666</v>
      </c>
      <c r="E1043" s="26" t="n">
        <v>0.236875</v>
      </c>
      <c r="F1043" s="27" t="inlineStr">
        <is>
          <t>Shift 1</t>
        </is>
      </c>
      <c r="G1043" s="27" t="n"/>
    </row>
    <row r="1044" hidden="1" s="169">
      <c r="A1044" s="27" t="inlineStr">
        <is>
          <t>MK00213</t>
        </is>
      </c>
      <c r="B1044" s="27" t="n">
        <v>528000266</v>
      </c>
      <c r="C1044" s="27" t="inlineStr">
        <is>
          <t>M. Syirajatieq</t>
        </is>
      </c>
      <c r="D1044" s="171" t="n">
        <v>46148.41666666666</v>
      </c>
      <c r="E1044" s="26" t="n">
        <v>0.239849537037037</v>
      </c>
      <c r="F1044" s="27" t="inlineStr">
        <is>
          <t>Shift 1</t>
        </is>
      </c>
      <c r="G1044" s="27" t="n"/>
    </row>
    <row r="1045" hidden="1" s="169">
      <c r="A1045" s="27" t="inlineStr">
        <is>
          <t>MK00151</t>
        </is>
      </c>
      <c r="B1045" s="27" t="n">
        <v>528000261</v>
      </c>
      <c r="C1045" s="27" t="inlineStr">
        <is>
          <t>Ergi Ergianto</t>
        </is>
      </c>
      <c r="D1045" s="171" t="n">
        <v>46148.41666666666</v>
      </c>
      <c r="E1045" s="26" t="n">
        <v>0.2423726851851852</v>
      </c>
      <c r="F1045" s="27" t="inlineStr">
        <is>
          <t>Shift 1</t>
        </is>
      </c>
      <c r="G1045" s="27" t="n"/>
    </row>
    <row r="1046" hidden="1" s="169">
      <c r="A1046" s="27" t="inlineStr">
        <is>
          <t>MK00113</t>
        </is>
      </c>
      <c r="B1046" s="27" t="n">
        <v>528000291</v>
      </c>
      <c r="C1046" s="27" t="inlineStr">
        <is>
          <t>Andrian</t>
        </is>
      </c>
      <c r="D1046" s="171" t="n">
        <v>46148.41666666666</v>
      </c>
      <c r="E1046" s="26" t="n">
        <v>0.2471296296296296</v>
      </c>
      <c r="F1046" s="27" t="inlineStr">
        <is>
          <t>Shift 1</t>
        </is>
      </c>
      <c r="G1046" s="27" t="n"/>
    </row>
    <row r="1047" hidden="1" s="169">
      <c r="A1047" s="27" t="inlineStr">
        <is>
          <t>MK00138</t>
        </is>
      </c>
      <c r="B1047" s="27" t="n">
        <v>528000265</v>
      </c>
      <c r="C1047" s="27" t="inlineStr">
        <is>
          <t>Muhammad Haerul Rozikin</t>
        </is>
      </c>
      <c r="D1047" s="171" t="n">
        <v>46148.41666666666</v>
      </c>
      <c r="E1047" s="26" t="n">
        <v>0.3218518518518518</v>
      </c>
      <c r="F1047" s="27" t="inlineStr">
        <is>
          <t>Shift 1</t>
        </is>
      </c>
      <c r="G1047" s="27" t="n"/>
    </row>
    <row r="1048" hidden="1" s="169">
      <c r="A1048" s="27" t="inlineStr">
        <is>
          <t>MK00116</t>
        </is>
      </c>
      <c r="B1048" s="27" t="n">
        <v>628000061</v>
      </c>
      <c r="C1048" s="27" t="inlineStr">
        <is>
          <t>Nayla Fadillah Exwantoro</t>
        </is>
      </c>
      <c r="D1048" s="171" t="n">
        <v>46148.41666666666</v>
      </c>
      <c r="E1048" s="26" t="n">
        <v>0.5413888888888889</v>
      </c>
      <c r="F1048" s="27" t="inlineStr">
        <is>
          <t>Shift 1</t>
        </is>
      </c>
      <c r="G1048" s="27" t="inlineStr">
        <is>
          <t>B-13</t>
        </is>
      </c>
    </row>
    <row r="1049" hidden="1" s="169">
      <c r="A1049" s="27" t="inlineStr">
        <is>
          <t>MK00108</t>
        </is>
      </c>
      <c r="B1049" s="27" t="n">
        <v>528000299</v>
      </c>
      <c r="C1049" s="27" t="inlineStr">
        <is>
          <t>Siti Nurjanah</t>
        </is>
      </c>
      <c r="D1049" s="171" t="n">
        <v>46148.41666666666</v>
      </c>
      <c r="E1049" s="26" t="n">
        <v>0.5558680555555555</v>
      </c>
      <c r="F1049" s="27" t="inlineStr">
        <is>
          <t>Shift 2</t>
        </is>
      </c>
      <c r="G1049" s="27" t="n"/>
    </row>
    <row r="1050" hidden="1" s="169">
      <c r="A1050" s="27" t="inlineStr">
        <is>
          <t>MK00221</t>
        </is>
      </c>
      <c r="B1050" s="27" t="n">
        <v>528000305</v>
      </c>
      <c r="C1050" s="27" t="inlineStr">
        <is>
          <t>Puji Puspita</t>
        </is>
      </c>
      <c r="D1050" s="171" t="n">
        <v>46148.41666666666</v>
      </c>
      <c r="E1050" s="26" t="n">
        <v>0.5651273148148148</v>
      </c>
      <c r="F1050" s="27" t="inlineStr">
        <is>
          <t>Shift 2</t>
        </is>
      </c>
      <c r="G1050" s="27" t="n"/>
    </row>
    <row r="1051" hidden="1" s="169">
      <c r="A1051" s="27" t="inlineStr">
        <is>
          <t>MK00209</t>
        </is>
      </c>
      <c r="B1051" s="27" t="n">
        <v>528000302</v>
      </c>
      <c r="C1051" s="27" t="inlineStr">
        <is>
          <t>Henkey gumilar</t>
        </is>
      </c>
      <c r="D1051" s="171" t="n">
        <v>46148.41666666666</v>
      </c>
      <c r="E1051" s="26" t="n">
        <v>0.570474537037037</v>
      </c>
      <c r="F1051" s="27" t="inlineStr">
        <is>
          <t>Shift 2</t>
        </is>
      </c>
      <c r="G1051" s="27" t="n"/>
    </row>
    <row r="1052" hidden="1" s="169">
      <c r="A1052" s="27" t="inlineStr">
        <is>
          <t>MK00126</t>
        </is>
      </c>
      <c r="B1052" s="27" t="n">
        <v>528000298</v>
      </c>
      <c r="C1052" s="27" t="inlineStr">
        <is>
          <t>Desta Cahaya Pratama</t>
        </is>
      </c>
      <c r="D1052" s="171" t="n">
        <v>46148.41666666666</v>
      </c>
      <c r="E1052" s="26" t="n">
        <v>0.5751273148148148</v>
      </c>
      <c r="F1052" s="27" t="inlineStr">
        <is>
          <t>Shift 2</t>
        </is>
      </c>
      <c r="G1052" s="27" t="n"/>
    </row>
    <row r="1053" hidden="1" s="169">
      <c r="A1053" s="27" t="inlineStr">
        <is>
          <t>MK00192</t>
        </is>
      </c>
      <c r="B1053" s="27" t="n">
        <v>528000270</v>
      </c>
      <c r="C1053" s="27" t="inlineStr">
        <is>
          <t>Febri Najmudin</t>
        </is>
      </c>
      <c r="D1053" s="171" t="n">
        <v>46148.41666666666</v>
      </c>
      <c r="E1053" s="26" t="n">
        <v>0.575150462962963</v>
      </c>
      <c r="F1053" s="27" t="inlineStr">
        <is>
          <t>Shift 2</t>
        </is>
      </c>
      <c r="G1053" s="27" t="n"/>
    </row>
    <row r="1054" hidden="1" s="169">
      <c r="A1054" s="27" t="inlineStr">
        <is>
          <t>MK00249</t>
        </is>
      </c>
      <c r="B1054" s="27" t="n">
        <v>528000309</v>
      </c>
      <c r="C1054" s="27" t="inlineStr">
        <is>
          <t>Ilham Ramadhan</t>
        </is>
      </c>
      <c r="D1054" s="171" t="n">
        <v>46148.41666666666</v>
      </c>
      <c r="E1054" s="26" t="n">
        <v>0.5755208333333334</v>
      </c>
      <c r="F1054" s="27" t="inlineStr">
        <is>
          <t>Shift 2</t>
        </is>
      </c>
      <c r="G1054" s="27" t="n"/>
    </row>
    <row r="1055" hidden="1" s="169">
      <c r="A1055" s="27" t="inlineStr">
        <is>
          <t>MK00138</t>
        </is>
      </c>
      <c r="B1055" s="27" t="n">
        <v>528000244</v>
      </c>
      <c r="C1055" s="27" t="inlineStr">
        <is>
          <t>Rodian Rifai</t>
        </is>
      </c>
      <c r="D1055" s="171" t="n">
        <v>46148.41666666666</v>
      </c>
      <c r="E1055" s="26" t="n">
        <v>0.8894444444444445</v>
      </c>
      <c r="F1055" s="27" t="inlineStr">
        <is>
          <t>Shift 3</t>
        </is>
      </c>
      <c r="G1055" s="27" t="inlineStr">
        <is>
          <t>23c</t>
        </is>
      </c>
    </row>
    <row r="1056" hidden="1" s="169">
      <c r="A1056" s="27" t="inlineStr">
        <is>
          <t>MK00204</t>
        </is>
      </c>
      <c r="B1056" s="27" t="n">
        <v>528000201</v>
      </c>
      <c r="C1056" s="27" t="inlineStr">
        <is>
          <t>Zahwa Amelia Choerunissa</t>
        </is>
      </c>
      <c r="D1056" s="171" t="n">
        <v>46148.41666666666</v>
      </c>
      <c r="E1056" s="26" t="n">
        <v>0.9030208333333334</v>
      </c>
      <c r="F1056" s="27" t="inlineStr">
        <is>
          <t>Shift 3</t>
        </is>
      </c>
      <c r="G1056" s="27" t="n"/>
    </row>
    <row r="1057" hidden="1" s="169">
      <c r="A1057" s="27" t="inlineStr">
        <is>
          <t>MK00158</t>
        </is>
      </c>
      <c r="B1057" s="27" t="n">
        <v>528000099</v>
      </c>
      <c r="C1057" s="27" t="inlineStr">
        <is>
          <t>Siti Nurawaliah</t>
        </is>
      </c>
      <c r="D1057" s="171" t="n">
        <v>46148.41666666666</v>
      </c>
      <c r="E1057" s="26" t="n">
        <v>0.9040162037037037</v>
      </c>
      <c r="F1057" s="27" t="inlineStr">
        <is>
          <t>Shift 3</t>
        </is>
      </c>
      <c r="G1057" s="27" t="n"/>
    </row>
    <row r="1058" hidden="1" s="169">
      <c r="A1058" s="27" t="inlineStr">
        <is>
          <t>MK00199</t>
        </is>
      </c>
      <c r="B1058" s="27" t="n">
        <v>528000286</v>
      </c>
      <c r="C1058" s="27" t="inlineStr">
        <is>
          <t>Imelda Amelia</t>
        </is>
      </c>
      <c r="D1058" s="171" t="n">
        <v>46148.41666666666</v>
      </c>
      <c r="E1058" s="26" t="n">
        <v>0.9047337962962962</v>
      </c>
      <c r="F1058" s="27" t="inlineStr">
        <is>
          <t>Shift 3</t>
        </is>
      </c>
      <c r="G1058" s="27" t="n"/>
    </row>
    <row r="1059" hidden="1" s="169">
      <c r="A1059" s="27" t="inlineStr">
        <is>
          <t>MK00145</t>
        </is>
      </c>
      <c r="B1059" s="27" t="n">
        <v>528000289</v>
      </c>
      <c r="C1059" s="27" t="inlineStr">
        <is>
          <t>Adit Supriyadi</t>
        </is>
      </c>
      <c r="D1059" s="171" t="n">
        <v>46148.41666666666</v>
      </c>
      <c r="E1059" s="26" t="n">
        <v>0.9058564814814815</v>
      </c>
      <c r="F1059" s="27" t="inlineStr">
        <is>
          <t>Shift 3</t>
        </is>
      </c>
      <c r="G1059" s="27" t="n"/>
    </row>
    <row r="1060" hidden="1" s="169">
      <c r="A1060" s="27" t="inlineStr">
        <is>
          <t>MK00148</t>
        </is>
      </c>
      <c r="B1060" s="27" t="n">
        <v>528000241</v>
      </c>
      <c r="C1060" s="27" t="inlineStr">
        <is>
          <t>Balia Nurafif Bilah</t>
        </is>
      </c>
      <c r="D1060" s="171" t="n">
        <v>46148.41666666666</v>
      </c>
      <c r="E1060" s="26" t="n">
        <v>0.9119675925925926</v>
      </c>
      <c r="F1060" s="27" t="inlineStr">
        <is>
          <t>Shift 3</t>
        </is>
      </c>
      <c r="G1060" s="27" t="n"/>
    </row>
    <row r="1061" hidden="1" s="169">
      <c r="A1061" s="27" t="inlineStr">
        <is>
          <t>MK00109</t>
        </is>
      </c>
      <c r="B1061" s="27" t="n">
        <v>528000318</v>
      </c>
      <c r="C1061" s="27" t="inlineStr">
        <is>
          <t>Bayu Padli Sepriyana</t>
        </is>
      </c>
      <c r="D1061" s="171" t="n">
        <v>46148.41666666666</v>
      </c>
      <c r="E1061" s="26" t="n">
        <v>0.91375</v>
      </c>
      <c r="F1061" s="27" t="inlineStr">
        <is>
          <t>Shift 3</t>
        </is>
      </c>
      <c r="G1061" s="27" t="n"/>
    </row>
    <row r="1062" hidden="1" s="169">
      <c r="A1062" s="27" t="inlineStr">
        <is>
          <t>MK00112</t>
        </is>
      </c>
      <c r="B1062" s="27" t="n">
        <v>528000290</v>
      </c>
      <c r="C1062" s="27" t="inlineStr">
        <is>
          <t>Eval Pranata</t>
        </is>
      </c>
      <c r="D1062" s="171" t="n">
        <v>46148.41666666666</v>
      </c>
      <c r="E1062" s="26" t="n">
        <v>0.9143518518518519</v>
      </c>
      <c r="F1062" s="27" t="inlineStr">
        <is>
          <t>Shift 3</t>
        </is>
      </c>
      <c r="G1062" s="27" t="n"/>
    </row>
    <row r="1063" hidden="1" s="169">
      <c r="A1063" s="27" t="inlineStr">
        <is>
          <t>MK00136</t>
        </is>
      </c>
      <c r="B1063" s="27" t="n">
        <v>528000090</v>
      </c>
      <c r="C1063" s="27" t="inlineStr">
        <is>
          <t>Suganda</t>
        </is>
      </c>
      <c r="D1063" s="171" t="n">
        <v>46148.41666666666</v>
      </c>
      <c r="E1063" s="26" t="n">
        <v>0.9144097222222223</v>
      </c>
      <c r="F1063" s="27" t="inlineStr">
        <is>
          <t>Shift 3</t>
        </is>
      </c>
      <c r="G1063" s="27" t="n"/>
    </row>
    <row r="1064" hidden="1" s="169">
      <c r="A1064" s="27" t="inlineStr">
        <is>
          <t>MK0192</t>
        </is>
      </c>
      <c r="B1064" s="27" t="n">
        <v>528000052</v>
      </c>
      <c r="C1064" s="27" t="inlineStr">
        <is>
          <t>Mustopa</t>
        </is>
      </c>
      <c r="D1064" s="171" t="n">
        <v>46179.41666666666</v>
      </c>
      <c r="E1064" s="26" t="n">
        <v>0.223900462962963</v>
      </c>
      <c r="F1064" s="27" t="inlineStr">
        <is>
          <t>Shift 1</t>
        </is>
      </c>
      <c r="G1064" s="27" t="n"/>
    </row>
    <row r="1065" hidden="1" s="169">
      <c r="A1065" s="27" t="inlineStr">
        <is>
          <t>MK00221</t>
        </is>
      </c>
      <c r="B1065" s="27" t="n">
        <v>528000262</v>
      </c>
      <c r="C1065" s="27" t="inlineStr">
        <is>
          <t>Ndari Dwiwanti</t>
        </is>
      </c>
      <c r="D1065" s="171" t="n">
        <v>46179.41666666666</v>
      </c>
      <c r="E1065" s="26" t="n">
        <v>0.2309722222222222</v>
      </c>
      <c r="F1065" s="27" t="inlineStr">
        <is>
          <t>Shift 1</t>
        </is>
      </c>
      <c r="G1065" s="27" t="n"/>
    </row>
    <row r="1066" hidden="1" s="169">
      <c r="A1066" s="27" t="inlineStr">
        <is>
          <t>MK00250</t>
        </is>
      </c>
      <c r="B1066" s="27" t="n">
        <v>528000195</v>
      </c>
      <c r="C1066" s="27" t="inlineStr">
        <is>
          <t>Rahma Sariwati</t>
        </is>
      </c>
      <c r="D1066" s="171" t="n">
        <v>46179.41666666666</v>
      </c>
      <c r="E1066" s="26" t="n">
        <v>0.2373032407407407</v>
      </c>
      <c r="F1066" s="27" t="inlineStr">
        <is>
          <t>Shift 1</t>
        </is>
      </c>
      <c r="G1066" s="27" t="n"/>
    </row>
    <row r="1067" hidden="1" s="169">
      <c r="A1067" s="27" t="inlineStr">
        <is>
          <t>MK00209</t>
        </is>
      </c>
      <c r="B1067" s="27" t="n">
        <v>528000291</v>
      </c>
      <c r="C1067" s="27" t="inlineStr">
        <is>
          <t>Andrian</t>
        </is>
      </c>
      <c r="D1067" s="171" t="n">
        <v>46179.41666666666</v>
      </c>
      <c r="E1067" s="26" t="n">
        <v>0.2385416666666667</v>
      </c>
      <c r="F1067" s="27" t="inlineStr">
        <is>
          <t>Shift 1</t>
        </is>
      </c>
      <c r="G1067" s="27" t="n"/>
    </row>
    <row r="1068" hidden="1" s="169">
      <c r="A1068" s="27" t="inlineStr">
        <is>
          <t>MK0249</t>
        </is>
      </c>
      <c r="B1068" s="27" t="n">
        <v>528000358</v>
      </c>
      <c r="C1068" s="27" t="inlineStr">
        <is>
          <t>Lulu Agustin</t>
        </is>
      </c>
      <c r="D1068" s="171" t="n">
        <v>46179.41666666666</v>
      </c>
      <c r="E1068" s="26" t="n">
        <v>0.2402893518518519</v>
      </c>
      <c r="F1068" s="27" t="inlineStr">
        <is>
          <t>Shift 1</t>
        </is>
      </c>
      <c r="G1068" s="27" t="n"/>
    </row>
    <row r="1069" hidden="1" s="169">
      <c r="A1069" s="27" t="inlineStr">
        <is>
          <t>MK00230</t>
        </is>
      </c>
      <c r="B1069" s="27" t="n">
        <v>528000282</v>
      </c>
      <c r="C1069" s="27" t="inlineStr">
        <is>
          <t>Defa Desfiana</t>
        </is>
      </c>
      <c r="D1069" s="171" t="n">
        <v>46179.41666666666</v>
      </c>
      <c r="E1069" s="26" t="n">
        <v>0.2444907407407407</v>
      </c>
      <c r="F1069" s="27" t="inlineStr">
        <is>
          <t>Shift 1</t>
        </is>
      </c>
      <c r="G1069" s="27" t="n"/>
    </row>
    <row r="1070" hidden="1" s="169">
      <c r="A1070" s="27" t="inlineStr">
        <is>
          <t>MK00126</t>
        </is>
      </c>
      <c r="B1070" s="27" t="n">
        <v>528000265</v>
      </c>
      <c r="C1070" s="27" t="inlineStr">
        <is>
          <t>Muhammad Haerul Rozikin</t>
        </is>
      </c>
      <c r="D1070" s="171" t="n">
        <v>46179.41666666666</v>
      </c>
      <c r="E1070" s="26" t="n">
        <v>0.2449884259259259</v>
      </c>
      <c r="F1070" s="27" t="inlineStr">
        <is>
          <t>Shift 1</t>
        </is>
      </c>
      <c r="G1070" s="27" t="n"/>
    </row>
    <row r="1071" hidden="1" s="169">
      <c r="A1071" s="27" t="inlineStr">
        <is>
          <t>MK00134</t>
        </is>
      </c>
      <c r="B1071" s="27" t="n">
        <v>528000310</v>
      </c>
      <c r="C1071" s="27" t="inlineStr">
        <is>
          <t>Fachrul Rozzi Suryana</t>
        </is>
      </c>
      <c r="D1071" s="171" t="n">
        <v>46179.41666666666</v>
      </c>
      <c r="E1071" s="26" t="n">
        <v>0.2491550925925926</v>
      </c>
      <c r="F1071" s="27" t="inlineStr">
        <is>
          <t>Shift 1</t>
        </is>
      </c>
      <c r="G1071" s="27" t="n"/>
    </row>
    <row r="1072" hidden="1" s="169">
      <c r="A1072" s="27" t="inlineStr">
        <is>
          <t>MK00204</t>
        </is>
      </c>
      <c r="B1072" s="27" t="n">
        <v>528000203</v>
      </c>
      <c r="C1072" s="27" t="inlineStr">
        <is>
          <t>Yudha Ramdhan Putra</t>
        </is>
      </c>
      <c r="D1072" s="171" t="n">
        <v>46179.41666666666</v>
      </c>
      <c r="E1072" s="26" t="n">
        <v>0.3315972222222222</v>
      </c>
      <c r="F1072" s="27" t="inlineStr">
        <is>
          <t>Shift 1</t>
        </is>
      </c>
      <c r="G1072" s="27" t="n"/>
    </row>
    <row r="1073" hidden="1" s="169">
      <c r="A1073" s="27" t="inlineStr">
        <is>
          <t>MK00199</t>
        </is>
      </c>
      <c r="B1073" s="27" t="n">
        <v>528000267</v>
      </c>
      <c r="C1073" s="27" t="inlineStr">
        <is>
          <t>Bagas Patulloh</t>
        </is>
      </c>
      <c r="D1073" s="171" t="n">
        <v>46179.41666666666</v>
      </c>
      <c r="E1073" s="26" t="n">
        <v>0.3320949074074074</v>
      </c>
      <c r="F1073" s="27" t="inlineStr">
        <is>
          <t>Shift 1</t>
        </is>
      </c>
      <c r="G1073" s="27" t="n"/>
    </row>
    <row r="1074" hidden="1" s="169">
      <c r="A1074" s="27" t="inlineStr">
        <is>
          <t>MK00138</t>
        </is>
      </c>
      <c r="B1074" s="27" t="n">
        <v>528000351</v>
      </c>
      <c r="C1074" s="27" t="inlineStr">
        <is>
          <t>Mulyana</t>
        </is>
      </c>
      <c r="D1074" s="171" t="n">
        <v>46179.41666666666</v>
      </c>
      <c r="E1074" s="26" t="n">
        <v>0.342025462962963</v>
      </c>
      <c r="F1074" s="27" t="inlineStr">
        <is>
          <t>Shift 1</t>
        </is>
      </c>
      <c r="G1074" s="27" t="n"/>
    </row>
    <row r="1075" hidden="1" s="169">
      <c r="A1075" s="27" t="inlineStr">
        <is>
          <t>MK00228</t>
        </is>
      </c>
      <c r="B1075" s="27" t="n">
        <v>528000132</v>
      </c>
      <c r="C1075" s="27" t="inlineStr">
        <is>
          <t>Giopani</t>
        </is>
      </c>
      <c r="D1075" s="171" t="n">
        <v>46179.41666666666</v>
      </c>
      <c r="E1075" s="26" t="n">
        <v>0.3688310185185185</v>
      </c>
      <c r="F1075" s="27" t="inlineStr">
        <is>
          <t>Shift 1</t>
        </is>
      </c>
      <c r="G1075" s="27" t="n"/>
    </row>
    <row r="1076" hidden="1" s="169">
      <c r="A1076" s="27" t="inlineStr">
        <is>
          <t>MK00095</t>
        </is>
      </c>
      <c r="B1076" s="27" t="n">
        <v>528000232</v>
      </c>
      <c r="C1076" s="27" t="inlineStr">
        <is>
          <t>Agung Aji Suhada</t>
        </is>
      </c>
      <c r="D1076" s="171" t="n">
        <v>46179.41666666666</v>
      </c>
      <c r="E1076" s="26" t="n">
        <v>0.3734259259259259</v>
      </c>
      <c r="F1076" s="27" t="inlineStr">
        <is>
          <t>Shift 1</t>
        </is>
      </c>
      <c r="G1076" s="27" t="n"/>
    </row>
    <row r="1077" hidden="1" s="169">
      <c r="A1077" s="27" t="inlineStr">
        <is>
          <t>MK00109</t>
        </is>
      </c>
      <c r="B1077" s="27" t="n">
        <v>528000349</v>
      </c>
      <c r="C1077" s="27" t="inlineStr">
        <is>
          <t>Anas Abdul Fatah</t>
        </is>
      </c>
      <c r="D1077" s="171" t="n">
        <v>46179.41666666666</v>
      </c>
      <c r="E1077" s="26" t="n">
        <v>0.4053935185185185</v>
      </c>
      <c r="F1077" s="27" t="inlineStr">
        <is>
          <t>Shift 1</t>
        </is>
      </c>
      <c r="G1077" s="27" t="n"/>
    </row>
    <row r="1078" hidden="1" s="169">
      <c r="A1078" s="27" t="inlineStr">
        <is>
          <t>MK00085</t>
        </is>
      </c>
      <c r="B1078" s="27" t="n">
        <v>628000061</v>
      </c>
      <c r="C1078" s="27" t="inlineStr">
        <is>
          <t>Nayla Fadillah Exwantoro</t>
        </is>
      </c>
      <c r="D1078" s="171" t="n">
        <v>46179.41666666666</v>
      </c>
      <c r="E1078" s="26" t="n">
        <v>0.5330787037037037</v>
      </c>
      <c r="F1078" s="27" t="inlineStr">
        <is>
          <t>Shift 1</t>
        </is>
      </c>
      <c r="G1078" s="27" t="n"/>
    </row>
    <row r="1079" hidden="1" s="169">
      <c r="A1079" s="27" t="inlineStr">
        <is>
          <t>MK00154</t>
        </is>
      </c>
      <c r="B1079" s="27" t="n">
        <v>528000098</v>
      </c>
      <c r="C1079" s="27" t="inlineStr">
        <is>
          <t>Edi Junaedi</t>
        </is>
      </c>
      <c r="D1079" s="171" t="n">
        <v>46179.41666666666</v>
      </c>
      <c r="E1079" s="26" t="n">
        <v>0.5522222222222222</v>
      </c>
      <c r="F1079" s="27" t="inlineStr">
        <is>
          <t>Shift 2</t>
        </is>
      </c>
      <c r="G1079" s="27" t="n"/>
    </row>
    <row r="1080" hidden="1" s="169">
      <c r="A1080" s="27" t="inlineStr">
        <is>
          <t>MK00185</t>
        </is>
      </c>
      <c r="B1080" s="27" t="n">
        <v>528000313</v>
      </c>
      <c r="C1080" s="27" t="inlineStr">
        <is>
          <t>Muhamad Rifki</t>
        </is>
      </c>
      <c r="D1080" s="171" t="n">
        <v>46179.41666666666</v>
      </c>
      <c r="E1080" s="26" t="n">
        <v>0.5701736111111111</v>
      </c>
      <c r="F1080" s="27" t="inlineStr">
        <is>
          <t>Shift 2</t>
        </is>
      </c>
      <c r="G1080" s="27" t="n"/>
    </row>
    <row r="1081" hidden="1" s="169">
      <c r="A1081" s="27" t="inlineStr">
        <is>
          <t>MK00090</t>
        </is>
      </c>
      <c r="B1081" s="27" t="n">
        <v>628000091</v>
      </c>
      <c r="C1081" s="27" t="inlineStr">
        <is>
          <t>Devita Handayani</t>
        </is>
      </c>
      <c r="D1081" s="171" t="n">
        <v>46179.41666666666</v>
      </c>
      <c r="E1081" s="26" t="n">
        <v>0.5706018518518519</v>
      </c>
      <c r="F1081" s="27" t="inlineStr">
        <is>
          <t>Shift 2</t>
        </is>
      </c>
      <c r="G1081" s="27" t="n"/>
    </row>
    <row r="1082" hidden="1" s="169">
      <c r="A1082" s="27" t="inlineStr">
        <is>
          <t>MK00113</t>
        </is>
      </c>
      <c r="B1082" s="27" t="n">
        <v>528000299</v>
      </c>
      <c r="C1082" s="27" t="inlineStr">
        <is>
          <t>Siti Nurjanah</t>
        </is>
      </c>
      <c r="D1082" s="171" t="n">
        <v>46179.41666666666</v>
      </c>
      <c r="E1082" s="26" t="n">
        <v>0.5720486111111112</v>
      </c>
      <c r="F1082" s="27" t="inlineStr">
        <is>
          <t>Shift 2</t>
        </is>
      </c>
      <c r="G1082" s="27" t="n"/>
    </row>
    <row r="1083" hidden="1" s="169">
      <c r="A1083" s="27" t="inlineStr">
        <is>
          <t>MK00093</t>
        </is>
      </c>
      <c r="B1083" s="27" t="n">
        <v>528000305</v>
      </c>
      <c r="C1083" s="27" t="inlineStr">
        <is>
          <t>Puji Puspita</t>
        </is>
      </c>
      <c r="D1083" s="171" t="n">
        <v>46179.41666666666</v>
      </c>
      <c r="E1083" s="26" t="n">
        <v>0.5721412037037037</v>
      </c>
      <c r="F1083" s="27" t="inlineStr">
        <is>
          <t>Shift 2</t>
        </is>
      </c>
      <c r="G1083" s="27" t="n"/>
    </row>
    <row r="1084" hidden="1" s="169">
      <c r="A1084" s="27" t="inlineStr">
        <is>
          <t>MK00151</t>
        </is>
      </c>
      <c r="B1084" s="27" t="n">
        <v>528000270</v>
      </c>
      <c r="C1084" s="27" t="inlineStr">
        <is>
          <t>Febri Najmudin</t>
        </is>
      </c>
      <c r="D1084" s="171" t="n">
        <v>46179.41666666666</v>
      </c>
      <c r="E1084" s="26" t="n">
        <v>0.5750578703703704</v>
      </c>
      <c r="F1084" s="27" t="inlineStr">
        <is>
          <t>Shift 2</t>
        </is>
      </c>
      <c r="G1084" s="27" t="n"/>
    </row>
    <row r="1085" hidden="1" s="169">
      <c r="A1085" s="27" t="inlineStr">
        <is>
          <t>MK00235</t>
        </is>
      </c>
      <c r="B1085" s="27" t="n">
        <v>528000298</v>
      </c>
      <c r="C1085" s="27" t="inlineStr">
        <is>
          <t>Desta Cahaya Pratama</t>
        </is>
      </c>
      <c r="D1085" s="171" t="n">
        <v>46179.41666666666</v>
      </c>
      <c r="E1085" s="26" t="n">
        <v>0.5763078703703703</v>
      </c>
      <c r="F1085" s="27" t="inlineStr">
        <is>
          <t>Shift 2</t>
        </is>
      </c>
      <c r="G1085" s="27" t="n"/>
    </row>
    <row r="1086" hidden="1" s="169">
      <c r="A1086" s="27" t="inlineStr">
        <is>
          <t>MK00208</t>
        </is>
      </c>
      <c r="B1086" s="27" t="n">
        <v>528000302</v>
      </c>
      <c r="C1086" s="27" t="inlineStr">
        <is>
          <t>Henkey gumilar</t>
        </is>
      </c>
      <c r="D1086" s="171" t="n">
        <v>46179.41666666666</v>
      </c>
      <c r="E1086" s="26" t="n">
        <v>0.5801620370370371</v>
      </c>
      <c r="F1086" s="27" t="inlineStr">
        <is>
          <t>Shift 2</t>
        </is>
      </c>
      <c r="G1086" s="27" t="n"/>
    </row>
    <row r="1087">
      <c r="A1087" s="27" t="inlineStr">
        <is>
          <t>MK00181</t>
        </is>
      </c>
      <c r="B1087" s="27" t="n">
        <v>528000015</v>
      </c>
      <c r="C1087" s="27" t="inlineStr">
        <is>
          <t>Erwin</t>
        </is>
      </c>
      <c r="D1087" s="171" t="n">
        <v>46179.41666666666</v>
      </c>
      <c r="E1087" s="26" t="n">
        <v>0.6521180555555556</v>
      </c>
      <c r="F1087" s="27" t="inlineStr">
        <is>
          <t>Shift 2</t>
        </is>
      </c>
      <c r="G1087" s="27" t="n"/>
    </row>
    <row r="1088" hidden="1" s="169">
      <c r="A1088" s="27" t="inlineStr">
        <is>
          <t>MK00221</t>
        </is>
      </c>
      <c r="B1088" s="27" t="n">
        <v>528000144</v>
      </c>
      <c r="C1088" s="27" t="inlineStr">
        <is>
          <t>Jodi Hanafi</t>
        </is>
      </c>
      <c r="D1088" s="171" t="n">
        <v>46179.41666666666</v>
      </c>
      <c r="E1088" s="26" t="n">
        <v>0.661724537037037</v>
      </c>
      <c r="F1088" s="27" t="inlineStr">
        <is>
          <t>Shift 2</t>
        </is>
      </c>
      <c r="G1088" s="27" t="n"/>
    </row>
    <row r="1089" hidden="1" s="169">
      <c r="A1089" s="27" t="inlineStr">
        <is>
          <t>MK00205</t>
        </is>
      </c>
      <c r="B1089" s="27" t="n">
        <v>528000348</v>
      </c>
      <c r="C1089" s="27" t="inlineStr">
        <is>
          <t>Saepuloh Ardiansah</t>
        </is>
      </c>
      <c r="D1089" s="171" t="n">
        <v>46179.41666666666</v>
      </c>
      <c r="E1089" s="26" t="n">
        <v>0.6671180555555556</v>
      </c>
      <c r="F1089" s="27" t="inlineStr">
        <is>
          <t>Shift 2</t>
        </is>
      </c>
      <c r="G1089" s="27" t="n"/>
    </row>
    <row r="1090" hidden="1" s="169">
      <c r="A1090" s="27" t="inlineStr">
        <is>
          <t>MK00130</t>
        </is>
      </c>
      <c r="B1090" s="27" t="n">
        <v>528000309</v>
      </c>
      <c r="C1090" s="27" t="inlineStr">
        <is>
          <t>Ilham Ramadhan</t>
        </is>
      </c>
      <c r="D1090" s="171" t="n">
        <v>46179.41666666666</v>
      </c>
      <c r="E1090" s="26" t="n">
        <v>0.7786921296296296</v>
      </c>
      <c r="F1090" s="27" t="inlineStr">
        <is>
          <t>Shift 2</t>
        </is>
      </c>
      <c r="G1090" s="27" t="n"/>
    </row>
    <row r="1091" hidden="1" s="169">
      <c r="A1091" s="27" t="inlineStr">
        <is>
          <t>MK00109</t>
        </is>
      </c>
      <c r="B1091" s="27" t="n">
        <v>528000244</v>
      </c>
      <c r="C1091" s="27" t="inlineStr">
        <is>
          <t>Rodian Rifai</t>
        </is>
      </c>
      <c r="D1091" s="171" t="n">
        <v>46179.41666666666</v>
      </c>
      <c r="E1091" s="26" t="n">
        <v>0.89</v>
      </c>
      <c r="F1091" s="27" t="inlineStr">
        <is>
          <t>Shift 3</t>
        </is>
      </c>
      <c r="G1091" s="27" t="inlineStr">
        <is>
          <t>31B</t>
        </is>
      </c>
    </row>
    <row r="1092" hidden="1" s="169">
      <c r="A1092" s="27" t="inlineStr">
        <is>
          <t>MK00204</t>
        </is>
      </c>
      <c r="B1092" s="27" t="n">
        <v>528000289</v>
      </c>
      <c r="C1092" s="27" t="inlineStr">
        <is>
          <t>Adit Supriyadi</t>
        </is>
      </c>
      <c r="D1092" s="171" t="n">
        <v>46179.41666666666</v>
      </c>
      <c r="E1092" s="26" t="n">
        <v>0.9006712962962963</v>
      </c>
      <c r="F1092" s="27" t="inlineStr">
        <is>
          <t>Shift 3</t>
        </is>
      </c>
      <c r="G1092" s="27" t="n"/>
    </row>
    <row r="1093" hidden="1" s="169">
      <c r="A1093" s="27" t="inlineStr">
        <is>
          <t>MK00250</t>
        </is>
      </c>
      <c r="B1093" s="27" t="n">
        <v>528000306</v>
      </c>
      <c r="C1093" s="27" t="inlineStr">
        <is>
          <t>Windy Olivia</t>
        </is>
      </c>
      <c r="D1093" s="171" t="n">
        <v>46179.41666666666</v>
      </c>
      <c r="E1093" s="26" t="n">
        <v>0.9012962962962963</v>
      </c>
      <c r="F1093" s="27" t="inlineStr">
        <is>
          <t>Shift 3</t>
        </is>
      </c>
      <c r="G1093" s="27" t="n"/>
    </row>
    <row r="1094" hidden="1" s="169">
      <c r="A1094" s="27" t="inlineStr">
        <is>
          <t>MK00116</t>
        </is>
      </c>
      <c r="B1094" s="27" t="n">
        <v>528000201</v>
      </c>
      <c r="C1094" s="27" t="inlineStr">
        <is>
          <t>Zahwa Amelia Choerunissa</t>
        </is>
      </c>
      <c r="D1094" s="171" t="n">
        <v>46179.41666666666</v>
      </c>
      <c r="E1094" s="26" t="n">
        <v>0.9016435185185185</v>
      </c>
      <c r="F1094" s="27" t="inlineStr">
        <is>
          <t>Shift 3</t>
        </is>
      </c>
      <c r="G1094" s="27" t="n"/>
    </row>
    <row r="1095" hidden="1" s="169">
      <c r="A1095" s="27" t="inlineStr">
        <is>
          <t>MK00249</t>
        </is>
      </c>
      <c r="B1095" s="27" t="n">
        <v>528000099</v>
      </c>
      <c r="C1095" s="27" t="inlineStr">
        <is>
          <t>Siti Nurawaliah</t>
        </is>
      </c>
      <c r="D1095" s="171" t="n">
        <v>46179.41666666666</v>
      </c>
      <c r="E1095" s="26" t="n">
        <v>0.9026967592592593</v>
      </c>
      <c r="F1095" s="27" t="inlineStr">
        <is>
          <t>Shift 3</t>
        </is>
      </c>
      <c r="G1095" s="27" t="n"/>
    </row>
    <row r="1096" hidden="1" s="169">
      <c r="A1096" s="27" t="inlineStr">
        <is>
          <t>MK00095</t>
        </is>
      </c>
      <c r="B1096" s="27" t="n">
        <v>528000286</v>
      </c>
      <c r="C1096" s="27" t="inlineStr">
        <is>
          <t>Imelda Amelia</t>
        </is>
      </c>
      <c r="D1096" s="171" t="n">
        <v>46179.41666666666</v>
      </c>
      <c r="E1096" s="26" t="n">
        <v>0.9039236111111111</v>
      </c>
      <c r="F1096" s="27" t="inlineStr">
        <is>
          <t>Shift 3</t>
        </is>
      </c>
      <c r="G1096" s="27" t="n"/>
    </row>
    <row r="1097" hidden="1" s="169">
      <c r="A1097" s="27" t="inlineStr">
        <is>
          <t>MK00134</t>
        </is>
      </c>
      <c r="B1097" s="27" t="n">
        <v>528000274</v>
      </c>
      <c r="C1097" s="27" t="inlineStr">
        <is>
          <t>Zepri</t>
        </is>
      </c>
      <c r="D1097" s="171" t="n">
        <v>46179.41666666666</v>
      </c>
      <c r="E1097" s="26" t="n">
        <v>0.9128125</v>
      </c>
      <c r="F1097" s="27" t="inlineStr">
        <is>
          <t>Shift 3</t>
        </is>
      </c>
      <c r="G1097" s="27" t="n"/>
    </row>
    <row r="1098" hidden="1" s="169">
      <c r="A1098" s="27" t="inlineStr">
        <is>
          <t>MK0015</t>
        </is>
      </c>
      <c r="B1098" s="27" t="n">
        <v>528000241</v>
      </c>
      <c r="C1098" s="27" t="inlineStr">
        <is>
          <t>Balia Nurafif Bilah</t>
        </is>
      </c>
      <c r="D1098" s="171" t="n">
        <v>46179.41666666666</v>
      </c>
      <c r="E1098" s="26" t="n">
        <v>0.9128935185185185</v>
      </c>
      <c r="F1098" s="27" t="inlineStr">
        <is>
          <t>Shift 3</t>
        </is>
      </c>
      <c r="G1098" s="27" t="n"/>
    </row>
    <row r="1099" hidden="1" s="169">
      <c r="A1099" s="27" t="inlineStr">
        <is>
          <t>MK00136</t>
        </is>
      </c>
      <c r="B1099" s="27" t="n">
        <v>528000290</v>
      </c>
      <c r="C1099" s="27" t="inlineStr">
        <is>
          <t>Eval Pranata</t>
        </is>
      </c>
      <c r="D1099" s="171" t="n">
        <v>46179.41666666666</v>
      </c>
      <c r="E1099" s="26" t="n">
        <v>0.9152199074074074</v>
      </c>
      <c r="F1099" s="27" t="inlineStr">
        <is>
          <t>Shift 3</t>
        </is>
      </c>
      <c r="G1099" s="27" t="n"/>
    </row>
    <row r="1100" hidden="1" s="169">
      <c r="A1100" s="27" t="inlineStr">
        <is>
          <t>MK00112</t>
        </is>
      </c>
      <c r="B1100" s="27" t="n">
        <v>528000090</v>
      </c>
      <c r="C1100" s="27" t="inlineStr">
        <is>
          <t>Suganda</t>
        </is>
      </c>
      <c r="D1100" s="171" t="n">
        <v>46179.41666666666</v>
      </c>
      <c r="E1100" s="26" t="n">
        <v>0.9152777777777777</v>
      </c>
      <c r="F1100" s="27" t="inlineStr">
        <is>
          <t>Shift 3</t>
        </is>
      </c>
      <c r="G1100" s="27" t="n"/>
    </row>
    <row r="1101" hidden="1" s="169">
      <c r="A1101" s="27" t="inlineStr">
        <is>
          <t>MK0082</t>
        </is>
      </c>
      <c r="B1101" s="27" t="n">
        <v>528000212</v>
      </c>
      <c r="C1101" s="27" t="inlineStr">
        <is>
          <t>Rizal Fauzi</t>
        </is>
      </c>
      <c r="D1101" s="171" t="n">
        <v>46179.41666666666</v>
      </c>
      <c r="E1101" s="26" t="n">
        <v>0.9157291666666667</v>
      </c>
      <c r="F1101" s="27" t="inlineStr">
        <is>
          <t>Shift 3</t>
        </is>
      </c>
      <c r="G1101" s="27" t="n"/>
    </row>
    <row r="1102" hidden="1" s="169">
      <c r="A1102" s="27" t="inlineStr">
        <is>
          <t>MK00158</t>
        </is>
      </c>
      <c r="B1102" s="27" t="n">
        <v>528000241</v>
      </c>
      <c r="C1102" s="27" t="inlineStr">
        <is>
          <t>Balia Nurafif Bilah</t>
        </is>
      </c>
      <c r="D1102" s="171" t="n">
        <v>46179.41666666666</v>
      </c>
      <c r="E1102" s="26" t="n">
        <v>0.9159027777777777</v>
      </c>
      <c r="F1102" s="27" t="inlineStr">
        <is>
          <t>Shift 3</t>
        </is>
      </c>
      <c r="G1102" s="27" t="n"/>
    </row>
    <row r="1103" hidden="1" s="169">
      <c r="A1103" s="27" t="inlineStr">
        <is>
          <t>MK0192</t>
        </is>
      </c>
      <c r="B1103" s="27" t="n">
        <v>528000052</v>
      </c>
      <c r="C1103" s="27" t="inlineStr">
        <is>
          <t>Mustopa</t>
        </is>
      </c>
      <c r="D1103" s="171" t="n">
        <v>46209.41666666666</v>
      </c>
      <c r="E1103" s="26" t="n">
        <v>0.2299189814814815</v>
      </c>
      <c r="F1103" s="27" t="inlineStr">
        <is>
          <t>Shift 1</t>
        </is>
      </c>
      <c r="G1103" s="27" t="n"/>
    </row>
    <row r="1104" hidden="1" s="169">
      <c r="A1104" s="27" t="inlineStr">
        <is>
          <t>MK00208</t>
        </is>
      </c>
      <c r="B1104" s="27" t="n">
        <v>528000262</v>
      </c>
      <c r="C1104" s="27" t="inlineStr">
        <is>
          <t>Ndari Dwiwanti</t>
        </is>
      </c>
      <c r="D1104" s="171" t="n">
        <v>46209.41666666666</v>
      </c>
      <c r="E1104" s="26" t="n">
        <v>0.2374652777777778</v>
      </c>
      <c r="F1104" s="27" t="inlineStr">
        <is>
          <t>Shift 1</t>
        </is>
      </c>
      <c r="G1104" s="27" t="n"/>
    </row>
    <row r="1105" hidden="1" s="169">
      <c r="A1105" s="27" t="inlineStr">
        <is>
          <t>MK00151</t>
        </is>
      </c>
      <c r="B1105" s="27" t="n">
        <v>528000195</v>
      </c>
      <c r="C1105" s="27" t="inlineStr">
        <is>
          <t>Rahma Sariwati</t>
        </is>
      </c>
      <c r="D1105" s="171" t="n">
        <v>46209.41666666666</v>
      </c>
      <c r="E1105" s="26" t="n">
        <v>0.237962962962963</v>
      </c>
      <c r="F1105" s="27" t="inlineStr">
        <is>
          <t>Shift 1</t>
        </is>
      </c>
      <c r="G1105" s="27" t="n"/>
    </row>
    <row r="1106" hidden="1" s="169">
      <c r="A1106" s="27" t="inlineStr">
        <is>
          <t>MK000209</t>
        </is>
      </c>
      <c r="B1106" s="27" t="n">
        <v>528000328</v>
      </c>
      <c r="C1106" s="27" t="inlineStr">
        <is>
          <t>Nur Anjani</t>
        </is>
      </c>
      <c r="D1106" s="171" t="n">
        <v>46209.41666666666</v>
      </c>
      <c r="E1106" s="26" t="n">
        <v>0.2423726851851852</v>
      </c>
      <c r="F1106" s="27" t="inlineStr">
        <is>
          <t>Shift 1</t>
        </is>
      </c>
      <c r="G1106" s="27" t="n"/>
    </row>
    <row r="1107" hidden="1" s="169">
      <c r="A1107" s="27" t="inlineStr">
        <is>
          <t>MK00230</t>
        </is>
      </c>
      <c r="B1107" s="27" t="n">
        <v>528000261</v>
      </c>
      <c r="C1107" s="27" t="inlineStr">
        <is>
          <t>Ergi Ergianto</t>
        </is>
      </c>
      <c r="D1107" s="171" t="n">
        <v>46209.41666666666</v>
      </c>
      <c r="E1107" s="26" t="n">
        <v>0.2430555555555556</v>
      </c>
      <c r="F1107" s="27" t="inlineStr">
        <is>
          <t>Shift 1</t>
        </is>
      </c>
      <c r="G1107" s="27" t="n"/>
    </row>
    <row r="1108" hidden="1" s="169">
      <c r="A1108" s="27" t="inlineStr">
        <is>
          <t>MK00008</t>
        </is>
      </c>
      <c r="B1108" s="27" t="n">
        <v>528000266</v>
      </c>
      <c r="C1108" s="27" t="inlineStr">
        <is>
          <t>M. Syirajatieq</t>
        </is>
      </c>
      <c r="D1108" s="171" t="n">
        <v>46209.41666666666</v>
      </c>
      <c r="E1108" s="26" t="n">
        <v>0.2433680555555555</v>
      </c>
      <c r="F1108" s="27" t="inlineStr">
        <is>
          <t>Shift 1</t>
        </is>
      </c>
      <c r="G1108" s="27" t="n"/>
    </row>
    <row r="1109" hidden="1" s="169">
      <c r="A1109" s="27" t="inlineStr">
        <is>
          <t>MK00202</t>
        </is>
      </c>
      <c r="B1109" s="27" t="n">
        <v>528000069</v>
      </c>
      <c r="C1109" s="27" t="inlineStr">
        <is>
          <t>Jajang Ardiansyah</t>
        </is>
      </c>
      <c r="D1109" s="171" t="n">
        <v>46209.41666666666</v>
      </c>
      <c r="E1109" s="26" t="n">
        <v>0.2918055555555555</v>
      </c>
      <c r="F1109" s="27" t="inlineStr">
        <is>
          <t>Shift 1</t>
        </is>
      </c>
      <c r="G1109" s="27" t="n"/>
    </row>
    <row r="1110" hidden="1" s="169">
      <c r="A1110" s="27" t="inlineStr">
        <is>
          <t>MK00145</t>
        </is>
      </c>
      <c r="B1110" s="27" t="n">
        <v>528000282</v>
      </c>
      <c r="C1110" s="27" t="inlineStr">
        <is>
          <t>Defa Desfiana</t>
        </is>
      </c>
      <c r="D1110" s="171" t="n">
        <v>46209.41666666666</v>
      </c>
      <c r="E1110" s="26" t="n">
        <v>0.3193634259259259</v>
      </c>
      <c r="F1110" s="27" t="inlineStr">
        <is>
          <t>Shift 1</t>
        </is>
      </c>
      <c r="G1110" s="27" t="inlineStr">
        <is>
          <t>22b</t>
        </is>
      </c>
    </row>
    <row r="1111" hidden="1" s="169">
      <c r="A1111" s="27" t="inlineStr">
        <is>
          <t>MKZ0116</t>
        </is>
      </c>
      <c r="B1111" s="27" t="n">
        <v>528000265</v>
      </c>
      <c r="C1111" s="27" t="inlineStr">
        <is>
          <t>Muhammad Haerul Rozikin</t>
        </is>
      </c>
      <c r="D1111" s="171" t="n">
        <v>46209.41666666666</v>
      </c>
      <c r="E1111" s="26" t="n">
        <v>0.3240046296296296</v>
      </c>
      <c r="F1111" s="27" t="inlineStr">
        <is>
          <t>Shift 1</t>
        </is>
      </c>
      <c r="G1111" s="27" t="n"/>
    </row>
    <row r="1112" hidden="1" s="169">
      <c r="A1112" s="27" t="inlineStr">
        <is>
          <t>MK00138</t>
        </is>
      </c>
      <c r="B1112" s="27" t="n">
        <v>528000351</v>
      </c>
      <c r="C1112" s="27" t="inlineStr">
        <is>
          <t>Mulyana</t>
        </is>
      </c>
      <c r="D1112" s="171" t="n">
        <v>46209.41666666666</v>
      </c>
      <c r="E1112" s="26" t="n">
        <v>0.3243865740740741</v>
      </c>
      <c r="F1112" s="27" t="inlineStr">
        <is>
          <t>Shift 1</t>
        </is>
      </c>
      <c r="G1112" s="27" t="n"/>
    </row>
    <row r="1113" hidden="1" s="169">
      <c r="A1113" s="27" t="inlineStr">
        <is>
          <t>MK00249</t>
        </is>
      </c>
      <c r="B1113" s="27" t="n">
        <v>528000310</v>
      </c>
      <c r="C1113" s="27" t="inlineStr">
        <is>
          <t>Fachrul Rozzi Suryana</t>
        </is>
      </c>
      <c r="D1113" s="171" t="n">
        <v>46209.41666666666</v>
      </c>
      <c r="E1113" s="26" t="n">
        <v>0.328125</v>
      </c>
      <c r="F1113" s="27" t="inlineStr">
        <is>
          <t>Shift 1</t>
        </is>
      </c>
      <c r="G1113" s="27" t="inlineStr">
        <is>
          <t>7B</t>
        </is>
      </c>
    </row>
    <row r="1114" hidden="1" s="169">
      <c r="A1114" s="27" t="inlineStr">
        <is>
          <t>MK00112</t>
        </is>
      </c>
      <c r="B1114" s="27" t="n">
        <v>528000203</v>
      </c>
      <c r="C1114" s="27" t="inlineStr">
        <is>
          <t>Yudha Ramdhan Putra</t>
        </is>
      </c>
      <c r="D1114" s="171" t="n">
        <v>46209.41666666666</v>
      </c>
      <c r="E1114" s="26" t="n">
        <v>0.3337962962962963</v>
      </c>
      <c r="F1114" s="27" t="inlineStr">
        <is>
          <t>Shift 1</t>
        </is>
      </c>
      <c r="G1114" s="27" t="n"/>
    </row>
    <row r="1115" hidden="1" s="169">
      <c r="A1115" s="27" t="inlineStr">
        <is>
          <t>MK00204</t>
        </is>
      </c>
      <c r="B1115" s="27" t="n">
        <v>528000232</v>
      </c>
      <c r="C1115" s="27" t="inlineStr">
        <is>
          <t>Agung Aji Suhada</t>
        </is>
      </c>
      <c r="D1115" s="171" t="n">
        <v>46209.41666666666</v>
      </c>
      <c r="E1115" s="26" t="n">
        <v>0.3727662037037037</v>
      </c>
      <c r="F1115" s="27" t="inlineStr">
        <is>
          <t>Shift 1</t>
        </is>
      </c>
      <c r="G1115" s="27" t="n"/>
    </row>
    <row r="1116" hidden="1" s="169">
      <c r="A1116" s="27" t="inlineStr">
        <is>
          <t>MK00228</t>
        </is>
      </c>
      <c r="B1116" s="27" t="n">
        <v>528000132</v>
      </c>
      <c r="C1116" s="27" t="inlineStr">
        <is>
          <t>Giopani</t>
        </is>
      </c>
      <c r="D1116" s="171" t="n">
        <v>46209.41666666666</v>
      </c>
      <c r="E1116" s="26" t="n">
        <v>0.3734837962962963</v>
      </c>
      <c r="F1116" s="27" t="inlineStr">
        <is>
          <t>Shift 1</t>
        </is>
      </c>
      <c r="G1116" s="27" t="n"/>
    </row>
    <row r="1117" hidden="1" s="169">
      <c r="A1117" s="27" t="inlineStr">
        <is>
          <t>MK0082</t>
        </is>
      </c>
      <c r="B1117" s="27" t="n">
        <v>528000349</v>
      </c>
      <c r="C1117" s="27" t="inlineStr">
        <is>
          <t>Anas Abdul Fatah</t>
        </is>
      </c>
      <c r="D1117" s="171" t="n">
        <v>46209.41666666666</v>
      </c>
      <c r="E1117" s="26" t="n">
        <v>0.4013541666666667</v>
      </c>
      <c r="F1117" s="27" t="inlineStr">
        <is>
          <t>Shift 1</t>
        </is>
      </c>
      <c r="G1117" s="27" t="n"/>
    </row>
    <row r="1118" hidden="1" s="169">
      <c r="A1118" s="27" t="inlineStr">
        <is>
          <t>MK00148</t>
        </is>
      </c>
      <c r="B1118" s="27" t="n">
        <v>628000064</v>
      </c>
      <c r="C1118" s="27" t="inlineStr">
        <is>
          <t>Silva Alypia</t>
        </is>
      </c>
      <c r="D1118" s="171" t="n">
        <v>46209.41666666666</v>
      </c>
      <c r="E1118" s="26" t="n">
        <v>0.57125</v>
      </c>
      <c r="F1118" s="27" t="inlineStr">
        <is>
          <t>Shift 2</t>
        </is>
      </c>
      <c r="G1118" s="27" t="n"/>
    </row>
    <row r="1119" hidden="1" s="169">
      <c r="A1119" s="27" t="inlineStr">
        <is>
          <t>MK00093</t>
        </is>
      </c>
      <c r="B1119" s="27" t="n">
        <v>528000297</v>
      </c>
      <c r="C1119" s="27" t="inlineStr">
        <is>
          <t>Muhamad Budiana</t>
        </is>
      </c>
      <c r="D1119" s="171" t="n">
        <v>46209.41666666666</v>
      </c>
      <c r="E1119" s="26" t="n">
        <v>0.5760995370370371</v>
      </c>
      <c r="F1119" s="27" t="inlineStr">
        <is>
          <t>Shift 2</t>
        </is>
      </c>
      <c r="G1119" s="27" t="n"/>
    </row>
    <row r="1120" hidden="1" s="169">
      <c r="A1120" s="27" t="inlineStr">
        <is>
          <t>MK00136</t>
        </is>
      </c>
      <c r="B1120" s="27" t="n">
        <v>528000318</v>
      </c>
      <c r="C1120" s="27" t="inlineStr">
        <is>
          <t>Bayu Padli Sepriyana</t>
        </is>
      </c>
      <c r="D1120" s="171" t="n">
        <v>46209.41666666666</v>
      </c>
      <c r="E1120" s="26" t="n">
        <v>0.5764351851851852</v>
      </c>
      <c r="F1120" s="27" t="inlineStr">
        <is>
          <t>Shift 2</t>
        </is>
      </c>
      <c r="G1120" s="27" t="n"/>
    </row>
    <row r="1121" hidden="1" s="169">
      <c r="A1121" s="27" t="inlineStr">
        <is>
          <t>MK00046</t>
        </is>
      </c>
      <c r="B1121" s="27" t="n">
        <v>528000279</v>
      </c>
      <c r="C1121" s="27" t="inlineStr">
        <is>
          <t>Mahdalena Dalfa Riani</t>
        </is>
      </c>
      <c r="D1121" s="171" t="n">
        <v>46209.41666666666</v>
      </c>
      <c r="E1121" s="26" t="n">
        <v>0.5852083333333333</v>
      </c>
      <c r="F1121" s="27" t="inlineStr">
        <is>
          <t>Shift 2</t>
        </is>
      </c>
      <c r="G1121" s="27" t="n"/>
    </row>
    <row r="1122" hidden="1" s="169">
      <c r="A1122" s="27" t="inlineStr">
        <is>
          <t>MK00209</t>
        </is>
      </c>
      <c r="B1122" s="27" t="n">
        <v>528000300</v>
      </c>
      <c r="C1122" s="27" t="inlineStr">
        <is>
          <t>Lia pitaloka</t>
        </is>
      </c>
      <c r="D1122" s="171" t="n">
        <v>46209.41666666666</v>
      </c>
      <c r="E1122" s="26" t="n">
        <v>0.5887731481481482</v>
      </c>
      <c r="F1122" s="27" t="inlineStr">
        <is>
          <t>Shift 2</t>
        </is>
      </c>
      <c r="G1122" s="27" t="n"/>
    </row>
    <row r="1123" hidden="1" s="169">
      <c r="A1123" s="27" t="inlineStr">
        <is>
          <t>MK00208</t>
        </is>
      </c>
      <c r="B1123" s="27" t="n">
        <v>528000248</v>
      </c>
      <c r="C1123" s="27" t="inlineStr">
        <is>
          <t>Roka Jaya Salka Mulya</t>
        </is>
      </c>
      <c r="D1123" s="171" t="n">
        <v>46209.41666666666</v>
      </c>
      <c r="E1123" s="26" t="n">
        <v>0.5931481481481482</v>
      </c>
      <c r="F1123" s="27" t="inlineStr">
        <is>
          <t>Shift 2</t>
        </is>
      </c>
      <c r="G1123" s="27" t="n"/>
    </row>
    <row r="1124">
      <c r="A1124" s="27" t="inlineStr">
        <is>
          <t>MK00213</t>
        </is>
      </c>
      <c r="B1124" s="27" t="n">
        <v>528000015</v>
      </c>
      <c r="C1124" s="27" t="inlineStr">
        <is>
          <t>Erwin</t>
        </is>
      </c>
      <c r="D1124" s="171" t="n">
        <v>46209.41666666666</v>
      </c>
      <c r="E1124" s="26" t="n">
        <v>0.6526388888888889</v>
      </c>
      <c r="F1124" s="27" t="inlineStr">
        <is>
          <t>Shift 2</t>
        </is>
      </c>
      <c r="G1124" s="27" t="n"/>
    </row>
    <row r="1125" hidden="1" s="169">
      <c r="A1125" s="27" t="inlineStr">
        <is>
          <t>MK00221</t>
        </is>
      </c>
      <c r="B1125" s="27" t="n">
        <v>528000144</v>
      </c>
      <c r="C1125" s="27" t="inlineStr">
        <is>
          <t>Jodi Hanafi</t>
        </is>
      </c>
      <c r="D1125" s="171" t="n">
        <v>46209.41666666666</v>
      </c>
      <c r="E1125" s="26" t="n">
        <v>0.6536342592592592</v>
      </c>
      <c r="F1125" s="27" t="inlineStr">
        <is>
          <t>Shift 2</t>
        </is>
      </c>
      <c r="G1125" s="27" t="n"/>
    </row>
    <row r="1126" hidden="1" s="169">
      <c r="A1126" s="27" t="inlineStr">
        <is>
          <t>MK00205</t>
        </is>
      </c>
      <c r="B1126" s="27" t="n">
        <v>528000348</v>
      </c>
      <c r="C1126" s="27" t="inlineStr">
        <is>
          <t>Saepuloh Ardiansah</t>
        </is>
      </c>
      <c r="D1126" s="171" t="n">
        <v>46209.41666666666</v>
      </c>
      <c r="E1126" s="26" t="n">
        <v>0.6648379629629629</v>
      </c>
      <c r="F1126" s="27" t="inlineStr">
        <is>
          <t>Shift 2</t>
        </is>
      </c>
      <c r="G1126" s="27" t="n"/>
    </row>
    <row r="1127" hidden="1" s="169">
      <c r="A1127" s="27" t="inlineStr">
        <is>
          <t>MK00235</t>
        </is>
      </c>
      <c r="B1127" s="27" t="n">
        <v>528000288</v>
      </c>
      <c r="C1127" s="27" t="inlineStr">
        <is>
          <t>Dede gunawan</t>
        </is>
      </c>
      <c r="D1127" s="171" t="n">
        <v>46209.41666666666</v>
      </c>
      <c r="E1127" s="26" t="n">
        <v>0.7362268518518519</v>
      </c>
      <c r="F1127" s="27" t="inlineStr">
        <is>
          <t>Shift 2</t>
        </is>
      </c>
      <c r="G1127" s="27" t="n"/>
    </row>
    <row r="1128" hidden="1" s="169">
      <c r="A1128" s="27" t="inlineStr">
        <is>
          <t>MK0082</t>
        </is>
      </c>
      <c r="B1128" s="27" t="n">
        <v>528000349</v>
      </c>
      <c r="C1128" s="27" t="inlineStr">
        <is>
          <t>Anas Abdul Fatah</t>
        </is>
      </c>
      <c r="D1128" s="171" t="n">
        <v>46209.41666666666</v>
      </c>
      <c r="E1128" s="26" t="n">
        <v>0.7615277777777778</v>
      </c>
      <c r="F1128" s="27" t="inlineStr">
        <is>
          <t>Shift 2</t>
        </is>
      </c>
      <c r="G1128" s="27" t="n"/>
    </row>
    <row r="1129" hidden="1" s="169">
      <c r="A1129" s="27" t="inlineStr">
        <is>
          <t>MK00113</t>
        </is>
      </c>
      <c r="B1129" s="27" t="n">
        <v>528000244</v>
      </c>
      <c r="C1129" s="27" t="inlineStr">
        <is>
          <t>Rodian Rifai</t>
        </is>
      </c>
      <c r="D1129" s="171" t="n">
        <v>46209.41666666666</v>
      </c>
      <c r="E1129" s="26" t="n">
        <v>0.8915856481481481</v>
      </c>
      <c r="F1129" s="27" t="inlineStr">
        <is>
          <t>Shift 3</t>
        </is>
      </c>
      <c r="G1129" s="27" t="inlineStr">
        <is>
          <t>31E</t>
        </is>
      </c>
    </row>
    <row r="1130" hidden="1" s="169">
      <c r="A1130" s="27" t="inlineStr">
        <is>
          <t>MK00112</t>
        </is>
      </c>
      <c r="B1130" s="27" t="n">
        <v>528000289</v>
      </c>
      <c r="C1130" s="27" t="inlineStr">
        <is>
          <t>Adit Supriyadi</t>
        </is>
      </c>
      <c r="D1130" s="171" t="n">
        <v>46209.41666666666</v>
      </c>
      <c r="E1130" s="26" t="n">
        <v>0.8977314814814815</v>
      </c>
      <c r="F1130" s="27" t="inlineStr">
        <is>
          <t>Shift 3</t>
        </is>
      </c>
      <c r="G1130" s="27" t="inlineStr">
        <is>
          <t>1-E</t>
        </is>
      </c>
    </row>
    <row r="1131" hidden="1" s="169">
      <c r="A1131" s="27" t="inlineStr">
        <is>
          <t>MK00095</t>
        </is>
      </c>
      <c r="B1131" s="27" t="n">
        <v>528000201</v>
      </c>
      <c r="C1131" s="27" t="inlineStr">
        <is>
          <t>Zahwa Amelia Choerunissa</t>
        </is>
      </c>
      <c r="D1131" s="171" t="n">
        <v>46209.41666666666</v>
      </c>
      <c r="E1131" s="26" t="n">
        <v>0.9033333333333333</v>
      </c>
      <c r="F1131" s="27" t="inlineStr">
        <is>
          <t>Shift 3</t>
        </is>
      </c>
      <c r="G1131" s="27" t="n"/>
    </row>
    <row r="1132" hidden="1" s="169">
      <c r="A1132" s="27" t="inlineStr">
        <is>
          <t>MK0090</t>
        </is>
      </c>
      <c r="B1132" s="27" t="n">
        <v>528000099</v>
      </c>
      <c r="C1132" s="27" t="inlineStr">
        <is>
          <t>Siti Nurawaliah</t>
        </is>
      </c>
      <c r="D1132" s="171" t="n">
        <v>46209.41666666666</v>
      </c>
      <c r="E1132" s="26" t="n">
        <v>0.9037962962962963</v>
      </c>
      <c r="F1132" s="27" t="inlineStr">
        <is>
          <t>Shift 3</t>
        </is>
      </c>
      <c r="G1132" s="27" t="n"/>
    </row>
    <row r="1133" hidden="1" s="169">
      <c r="A1133" s="27" t="inlineStr">
        <is>
          <t>MK00250</t>
        </is>
      </c>
      <c r="B1133" s="27" t="n">
        <v>528000286</v>
      </c>
      <c r="C1133" s="27" t="inlineStr">
        <is>
          <t>Imelda Amelia</t>
        </is>
      </c>
      <c r="D1133" s="171" t="n">
        <v>46209.41666666666</v>
      </c>
      <c r="E1133" s="26" t="n">
        <v>0.9078935185185185</v>
      </c>
      <c r="F1133" s="27" t="inlineStr">
        <is>
          <t>Shift 3</t>
        </is>
      </c>
      <c r="G1133" s="27" t="n"/>
    </row>
    <row r="1134" hidden="1" s="169">
      <c r="A1134" s="27" t="inlineStr">
        <is>
          <t>MK00116</t>
        </is>
      </c>
      <c r="B1134" s="27" t="n">
        <v>528000241</v>
      </c>
      <c r="C1134" s="27" t="inlineStr">
        <is>
          <t>Balia Nurafif Bilah</t>
        </is>
      </c>
      <c r="D1134" s="171" t="n">
        <v>46209.41666666666</v>
      </c>
      <c r="E1134" s="26" t="n">
        <v>0.9125694444444444</v>
      </c>
      <c r="F1134" s="27" t="inlineStr">
        <is>
          <t>Shift 3</t>
        </is>
      </c>
      <c r="G1134" s="27" t="n"/>
    </row>
    <row r="1135" hidden="1" s="169">
      <c r="A1135" s="27" t="inlineStr">
        <is>
          <t>MK00158</t>
        </is>
      </c>
      <c r="B1135" s="27" t="n">
        <v>528000090</v>
      </c>
      <c r="C1135" s="27" t="inlineStr">
        <is>
          <t>Suganda</t>
        </is>
      </c>
      <c r="D1135" s="171" t="n">
        <v>46209.41666666666</v>
      </c>
      <c r="E1135" s="26" t="n">
        <v>0.9131134259259259</v>
      </c>
      <c r="F1135" s="27" t="inlineStr">
        <is>
          <t>Shift 3</t>
        </is>
      </c>
      <c r="G1135" s="27" t="n"/>
    </row>
    <row r="1136" hidden="1" s="169">
      <c r="A1136" s="27" t="inlineStr">
        <is>
          <t>MK00108</t>
        </is>
      </c>
      <c r="B1136" s="27" t="n">
        <v>528000274</v>
      </c>
      <c r="C1136" s="27" t="inlineStr">
        <is>
          <t>Zepri</t>
        </is>
      </c>
      <c r="D1136" s="171" t="n">
        <v>46209.41666666666</v>
      </c>
      <c r="E1136" s="26" t="n">
        <v>0.9135763888888889</v>
      </c>
      <c r="F1136" s="27" t="inlineStr">
        <is>
          <t>Shift 3</t>
        </is>
      </c>
      <c r="G1136" s="27" t="n"/>
    </row>
    <row r="1137" hidden="1" s="169">
      <c r="A1137" s="27" t="inlineStr">
        <is>
          <t>MK00154</t>
        </is>
      </c>
      <c r="B1137" s="27" t="n">
        <v>528000212</v>
      </c>
      <c r="C1137" s="27" t="inlineStr">
        <is>
          <t>Rizal Fauzi</t>
        </is>
      </c>
      <c r="D1137" s="171" t="n">
        <v>46209.41666666666</v>
      </c>
      <c r="E1137" s="26" t="n">
        <v>0.9169907407407407</v>
      </c>
      <c r="F1137" s="27" t="inlineStr">
        <is>
          <t>Shift 3</t>
        </is>
      </c>
      <c r="G1137" s="27" t="inlineStr">
        <is>
          <t>14B</t>
        </is>
      </c>
    </row>
    <row r="1138" hidden="1" s="169">
      <c r="A1138" s="27" t="inlineStr">
        <is>
          <t>MK00148</t>
        </is>
      </c>
      <c r="B1138" s="27" t="n">
        <v>528000305</v>
      </c>
      <c r="C1138" s="27" t="inlineStr">
        <is>
          <t>Puji Puspita</t>
        </is>
      </c>
      <c r="D1138" s="171" t="n">
        <v>46180.41666666666</v>
      </c>
      <c r="E1138" s="26" t="n">
        <v>0.2313194444444444</v>
      </c>
      <c r="F1138" s="27" t="inlineStr">
        <is>
          <t>Shift 1</t>
        </is>
      </c>
      <c r="G1138" s="27" t="n"/>
    </row>
    <row r="1139" hidden="1" s="169">
      <c r="A1139" s="27" t="inlineStr">
        <is>
          <t>MK00181</t>
        </is>
      </c>
      <c r="B1139" s="27" t="n">
        <v>528000299</v>
      </c>
      <c r="C1139" s="27" t="inlineStr">
        <is>
          <t>Siti Nurjanah</t>
        </is>
      </c>
      <c r="D1139" s="171" t="n">
        <v>46180.41666666666</v>
      </c>
      <c r="E1139" s="26" t="n">
        <v>0.2334259259259259</v>
      </c>
      <c r="F1139" s="27" t="inlineStr">
        <is>
          <t>Shift 1</t>
        </is>
      </c>
      <c r="G1139" s="27" t="n"/>
    </row>
    <row r="1140" hidden="1" s="169">
      <c r="A1140" s="27" t="inlineStr">
        <is>
          <t>MK00181</t>
        </is>
      </c>
      <c r="B1140" s="27" t="n">
        <v>528000299</v>
      </c>
      <c r="C1140" s="27" t="inlineStr">
        <is>
          <t>Siti Nurjanah</t>
        </is>
      </c>
      <c r="D1140" s="171" t="n">
        <v>46180.41666666666</v>
      </c>
      <c r="E1140" s="26" t="n">
        <v>0.2344791666666667</v>
      </c>
      <c r="F1140" s="27" t="inlineStr">
        <is>
          <t>Shift 1</t>
        </is>
      </c>
      <c r="G1140" s="27" t="n"/>
    </row>
    <row r="1141" hidden="1" s="169">
      <c r="A1141" s="27" t="inlineStr">
        <is>
          <t>MK000235</t>
        </is>
      </c>
      <c r="B1141" s="27" t="n">
        <v>628000061</v>
      </c>
      <c r="C1141" s="27" t="inlineStr">
        <is>
          <t>Nayla Fadillah Exwantoro</t>
        </is>
      </c>
      <c r="D1141" s="171" t="n">
        <v>46180.41666666666</v>
      </c>
      <c r="E1141" s="26" t="n">
        <v>0.2348611111111111</v>
      </c>
      <c r="F1141" s="27" t="inlineStr">
        <is>
          <t>Shift 1</t>
        </is>
      </c>
      <c r="G1141" s="27" t="n"/>
    </row>
    <row r="1142" hidden="1" s="169">
      <c r="A1142" s="27" t="inlineStr">
        <is>
          <t>MK00126</t>
        </is>
      </c>
      <c r="B1142" s="27" t="n">
        <v>528000313</v>
      </c>
      <c r="C1142" s="27" t="inlineStr">
        <is>
          <t>Muhamad Rifki</t>
        </is>
      </c>
      <c r="D1142" s="171" t="n">
        <v>46180.41666666666</v>
      </c>
      <c r="E1142" s="26" t="n">
        <v>0.235162037037037</v>
      </c>
      <c r="F1142" s="27" t="inlineStr">
        <is>
          <t>Shift 1</t>
        </is>
      </c>
      <c r="G1142" s="27" t="n"/>
    </row>
    <row r="1143" hidden="1" s="169">
      <c r="A1143" s="27" t="inlineStr">
        <is>
          <t>MK00085</t>
        </is>
      </c>
      <c r="B1143" s="27" t="n">
        <v>528000298</v>
      </c>
      <c r="C1143" s="27" t="inlineStr">
        <is>
          <t>Desta Cahaya Pratama</t>
        </is>
      </c>
      <c r="D1143" s="171" t="n">
        <v>46180.41666666666</v>
      </c>
      <c r="E1143" s="26" t="n">
        <v>0.2376157407407407</v>
      </c>
      <c r="F1143" s="27" t="inlineStr">
        <is>
          <t>Shift 1</t>
        </is>
      </c>
      <c r="G1143" s="27" t="n"/>
    </row>
    <row r="1144" hidden="1" s="169">
      <c r="A1144" s="27" t="inlineStr">
        <is>
          <t>MK00109</t>
        </is>
      </c>
      <c r="B1144" s="27" t="n">
        <v>628000091</v>
      </c>
      <c r="C1144" s="27" t="inlineStr">
        <is>
          <t>Devita Handayani</t>
        </is>
      </c>
      <c r="D1144" s="171" t="n">
        <v>46180.41666666666</v>
      </c>
      <c r="E1144" s="26" t="n">
        <v>0.2377777777777778</v>
      </c>
      <c r="F1144" s="27" t="inlineStr">
        <is>
          <t>Shift 1</t>
        </is>
      </c>
      <c r="G1144" s="27" t="n"/>
    </row>
    <row r="1145" hidden="1" s="169">
      <c r="A1145" s="27" t="inlineStr">
        <is>
          <t>MK00136</t>
        </is>
      </c>
      <c r="B1145" s="27" t="n">
        <v>528000302</v>
      </c>
      <c r="C1145" s="27" t="inlineStr">
        <is>
          <t>Henkey gumilar</t>
        </is>
      </c>
      <c r="D1145" s="171" t="n">
        <v>46180.41666666666</v>
      </c>
      <c r="E1145" s="26" t="n">
        <v>0.2420486111111111</v>
      </c>
      <c r="F1145" s="27" t="inlineStr">
        <is>
          <t>Shift 1</t>
        </is>
      </c>
      <c r="G1145" s="27" t="n"/>
    </row>
    <row r="1146" hidden="1" s="169">
      <c r="A1146" s="27" t="inlineStr">
        <is>
          <t>MK00134</t>
        </is>
      </c>
      <c r="B1146" s="27" t="n">
        <v>528000270</v>
      </c>
      <c r="C1146" s="27" t="inlineStr">
        <is>
          <t>Febri Najmudin</t>
        </is>
      </c>
      <c r="D1146" s="171" t="n">
        <v>46180.41666666666</v>
      </c>
      <c r="E1146" s="26" t="n">
        <v>0.2426736111111111</v>
      </c>
      <c r="F1146" s="27" t="inlineStr">
        <is>
          <t>Shift 1</t>
        </is>
      </c>
      <c r="G1146" s="27" t="n"/>
    </row>
    <row r="1147" hidden="1" s="169">
      <c r="A1147" s="27" t="inlineStr">
        <is>
          <t>MK00046</t>
        </is>
      </c>
      <c r="B1147" s="27" t="n">
        <v>528000309</v>
      </c>
      <c r="C1147" s="27" t="inlineStr">
        <is>
          <t>Ilham Ramadhan</t>
        </is>
      </c>
      <c r="D1147" s="171" t="n">
        <v>46180.41666666666</v>
      </c>
      <c r="E1147" s="26" t="n">
        <v>0.2467476851851852</v>
      </c>
      <c r="F1147" s="27" t="inlineStr">
        <is>
          <t>Shift 1</t>
        </is>
      </c>
      <c r="G1147" s="27" t="n"/>
    </row>
    <row r="1148" hidden="1" s="169">
      <c r="A1148" s="27" t="inlineStr">
        <is>
          <t>MK00158</t>
        </is>
      </c>
      <c r="B1148" s="27" t="n">
        <v>528000282</v>
      </c>
      <c r="C1148" s="27" t="inlineStr">
        <is>
          <t>Defa Desfiana</t>
        </is>
      </c>
      <c r="D1148" s="171" t="n">
        <v>46180.41666666666</v>
      </c>
      <c r="E1148" s="26" t="n">
        <v>0.3161342592592593</v>
      </c>
      <c r="F1148" s="27" t="inlineStr">
        <is>
          <t>Shift 1</t>
        </is>
      </c>
      <c r="G1148" s="27" t="inlineStr">
        <is>
          <t>23c</t>
        </is>
      </c>
    </row>
    <row r="1149" hidden="1" s="169">
      <c r="A1149" s="27" t="inlineStr">
        <is>
          <t>MK00138</t>
        </is>
      </c>
      <c r="B1149" s="27" t="n">
        <v>528000351</v>
      </c>
      <c r="C1149" s="27" t="inlineStr">
        <is>
          <t>Mulyana</t>
        </is>
      </c>
      <c r="D1149" s="171" t="n">
        <v>46180.41666666666</v>
      </c>
      <c r="E1149" s="26" t="n">
        <v>0.3227662037037037</v>
      </c>
      <c r="F1149" s="27" t="inlineStr">
        <is>
          <t>Shift 1</t>
        </is>
      </c>
      <c r="G1149" s="27" t="n"/>
    </row>
    <row r="1150" hidden="1" s="169">
      <c r="A1150" s="27" t="inlineStr">
        <is>
          <t>MK00108</t>
        </is>
      </c>
      <c r="B1150" s="27" t="n">
        <v>528000265</v>
      </c>
      <c r="C1150" s="27" t="inlineStr">
        <is>
          <t>Muhammad Haerul Rozikin</t>
        </is>
      </c>
      <c r="D1150" s="171" t="n">
        <v>46180.41666666666</v>
      </c>
      <c r="E1150" s="26" t="n">
        <v>0.3274189814814815</v>
      </c>
      <c r="F1150" s="27" t="inlineStr">
        <is>
          <t>Shift 1</t>
        </is>
      </c>
      <c r="G1150" s="27" t="n"/>
    </row>
    <row r="1151" hidden="1" s="169">
      <c r="A1151" s="27" t="inlineStr">
        <is>
          <t>MK00199</t>
        </is>
      </c>
      <c r="B1151" s="27" t="n">
        <v>528000267</v>
      </c>
      <c r="C1151" s="27" t="inlineStr">
        <is>
          <t>Bagas Patulloh</t>
        </is>
      </c>
      <c r="D1151" s="171" t="n">
        <v>46180.41666666666</v>
      </c>
      <c r="E1151" s="26" t="n">
        <v>0.3305439814814815</v>
      </c>
      <c r="F1151" s="27" t="inlineStr">
        <is>
          <t>Shift 1</t>
        </is>
      </c>
      <c r="G1151" s="27" t="n"/>
    </row>
    <row r="1152" hidden="1" s="169">
      <c r="A1152" s="27" t="inlineStr">
        <is>
          <t>MK00250</t>
        </is>
      </c>
      <c r="B1152" s="27" t="n">
        <v>528000310</v>
      </c>
      <c r="C1152" s="27" t="inlineStr">
        <is>
          <t>Fachrul Rozzi Suryana</t>
        </is>
      </c>
      <c r="D1152" s="171" t="n">
        <v>46180.41666666666</v>
      </c>
      <c r="E1152" s="26" t="n">
        <v>0.3316782407407408</v>
      </c>
      <c r="F1152" s="27" t="inlineStr">
        <is>
          <t>Shift 1</t>
        </is>
      </c>
      <c r="G1152" s="27" t="inlineStr">
        <is>
          <t>7B</t>
        </is>
      </c>
    </row>
    <row r="1153" hidden="1" s="169">
      <c r="A1153" s="27" t="inlineStr">
        <is>
          <t>MK00204</t>
        </is>
      </c>
      <c r="B1153" s="27" t="n">
        <v>528000232</v>
      </c>
      <c r="C1153" s="27" t="inlineStr">
        <is>
          <t>Agung Aji Suhada</t>
        </is>
      </c>
      <c r="D1153" s="171" t="n">
        <v>46180.41666666666</v>
      </c>
      <c r="E1153" s="26" t="n">
        <v>0.3729166666666667</v>
      </c>
      <c r="F1153" s="27" t="inlineStr">
        <is>
          <t>Shift 1</t>
        </is>
      </c>
      <c r="G1153" s="27" t="n"/>
    </row>
    <row r="1154" hidden="1" s="169">
      <c r="A1154" s="27" t="inlineStr">
        <is>
          <t>MK00228</t>
        </is>
      </c>
      <c r="B1154" s="27" t="n">
        <v>528000132</v>
      </c>
      <c r="C1154" s="27" t="inlineStr">
        <is>
          <t>Giopani</t>
        </is>
      </c>
      <c r="D1154" s="171" t="n">
        <v>46180.41666666666</v>
      </c>
      <c r="E1154" s="26" t="n">
        <v>0.3739930555555556</v>
      </c>
      <c r="F1154" s="27" t="inlineStr">
        <is>
          <t>Shift 1</t>
        </is>
      </c>
      <c r="G1154" s="27" t="n"/>
    </row>
    <row r="1155" hidden="1" s="169">
      <c r="A1155" s="27" t="inlineStr">
        <is>
          <t>MK0130</t>
        </is>
      </c>
      <c r="B1155" s="27" t="n">
        <v>528000149</v>
      </c>
      <c r="C1155" s="27" t="inlineStr">
        <is>
          <t>Tio Fernanda</t>
        </is>
      </c>
      <c r="D1155" s="171" t="n">
        <v>46180.41666666666</v>
      </c>
      <c r="E1155" s="26" t="n">
        <v>0.3743055555555556</v>
      </c>
      <c r="F1155" s="27" t="inlineStr">
        <is>
          <t>Shift 1</t>
        </is>
      </c>
      <c r="G1155" s="27" t="n"/>
    </row>
    <row r="1156" hidden="1" s="169">
      <c r="A1156" s="27" t="inlineStr">
        <is>
          <t>MK00209</t>
        </is>
      </c>
      <c r="B1156" s="27" t="n">
        <v>528000349</v>
      </c>
      <c r="C1156" s="27" t="inlineStr">
        <is>
          <t>Anas Abdul Fatah</t>
        </is>
      </c>
      <c r="D1156" s="171" t="n">
        <v>46180.41666666666</v>
      </c>
      <c r="E1156" s="26" t="n">
        <v>0.4050694444444444</v>
      </c>
      <c r="F1156" s="27" t="inlineStr">
        <is>
          <t>Shift 1</t>
        </is>
      </c>
      <c r="G1156" s="27" t="n"/>
    </row>
    <row r="1157" hidden="1" s="169">
      <c r="A1157" s="27" t="inlineStr">
        <is>
          <t>MK00212</t>
        </is>
      </c>
      <c r="B1157" s="27" t="n">
        <v>528000325</v>
      </c>
      <c r="C1157" s="27" t="inlineStr">
        <is>
          <t>Rani Septia Ramadani</t>
        </is>
      </c>
      <c r="D1157" s="171" t="n">
        <v>46180.41666666666</v>
      </c>
      <c r="E1157" s="26" t="n">
        <v>0.5609375</v>
      </c>
      <c r="F1157" s="27" t="inlineStr">
        <is>
          <t>Shift 2</t>
        </is>
      </c>
      <c r="G1157" s="27" t="n"/>
    </row>
    <row r="1158" hidden="1" s="169">
      <c r="A1158" s="27" t="inlineStr">
        <is>
          <t>MK00249</t>
        </is>
      </c>
      <c r="B1158" s="27" t="n">
        <v>528000297</v>
      </c>
      <c r="C1158" s="27" t="inlineStr">
        <is>
          <t>Muhamad Budiana</t>
        </is>
      </c>
      <c r="D1158" s="171" t="n">
        <v>46180.41666666666</v>
      </c>
      <c r="E1158" s="26" t="n">
        <v>0.565474537037037</v>
      </c>
      <c r="F1158" s="27" t="inlineStr">
        <is>
          <t>Shift 2</t>
        </is>
      </c>
      <c r="G1158" s="27" t="n"/>
    </row>
    <row r="1159" hidden="1" s="169">
      <c r="A1159" s="27" t="inlineStr">
        <is>
          <t>MK00213</t>
        </is>
      </c>
      <c r="B1159" s="27" t="n">
        <v>528000288</v>
      </c>
      <c r="C1159" s="27" t="inlineStr">
        <is>
          <t>Dede gunawan</t>
        </is>
      </c>
      <c r="D1159" s="171" t="n">
        <v>46180.41666666666</v>
      </c>
      <c r="E1159" s="26" t="n">
        <v>0.570300925925926</v>
      </c>
      <c r="F1159" s="27" t="inlineStr">
        <is>
          <t>Shift 2</t>
        </is>
      </c>
      <c r="G1159" s="27" t="n"/>
    </row>
    <row r="1160" hidden="1" s="169">
      <c r="A1160" s="27" t="inlineStr">
        <is>
          <t>MK00145</t>
        </is>
      </c>
      <c r="B1160" s="27" t="n">
        <v>628000064</v>
      </c>
      <c r="C1160" s="27" t="inlineStr">
        <is>
          <t>Silva Alypia</t>
        </is>
      </c>
      <c r="D1160" s="171" t="n">
        <v>46180.41666666666</v>
      </c>
      <c r="E1160" s="26" t="n">
        <v>0.5738078703703704</v>
      </c>
      <c r="F1160" s="27" t="inlineStr">
        <is>
          <t>Shift 2</t>
        </is>
      </c>
      <c r="G1160" s="27" t="n"/>
    </row>
    <row r="1161" hidden="1" s="169">
      <c r="A1161" s="27" t="inlineStr">
        <is>
          <t>MK00208</t>
        </is>
      </c>
      <c r="B1161" s="27" t="n">
        <v>528000300</v>
      </c>
      <c r="C1161" s="27" t="inlineStr">
        <is>
          <t>Lia pitaloka</t>
        </is>
      </c>
      <c r="D1161" s="171" t="n">
        <v>46180.41666666666</v>
      </c>
      <c r="E1161" s="26" t="n">
        <v>0.5741782407407408</v>
      </c>
      <c r="F1161" s="27" t="inlineStr">
        <is>
          <t>Shift 2</t>
        </is>
      </c>
      <c r="G1161" s="27" t="n"/>
    </row>
    <row r="1162" hidden="1" s="169">
      <c r="A1162" s="27" t="inlineStr">
        <is>
          <t>MK00093</t>
        </is>
      </c>
      <c r="B1162" s="27" t="n">
        <v>528000248</v>
      </c>
      <c r="C1162" s="27" t="inlineStr">
        <is>
          <t>Roka Jaya Salka Mulya</t>
        </is>
      </c>
      <c r="D1162" s="171" t="n">
        <v>46180.41666666666</v>
      </c>
      <c r="E1162" s="26" t="n">
        <v>0.574375</v>
      </c>
      <c r="F1162" s="27" t="inlineStr">
        <is>
          <t>Shift 2</t>
        </is>
      </c>
      <c r="G1162" s="27" t="n"/>
    </row>
    <row r="1163" hidden="1" s="169">
      <c r="A1163" s="27" t="inlineStr">
        <is>
          <t>MK00088</t>
        </is>
      </c>
      <c r="B1163" s="27" t="n">
        <v>528000069</v>
      </c>
      <c r="C1163" s="27" t="inlineStr">
        <is>
          <t>Jajang Ardiansyah</t>
        </is>
      </c>
      <c r="D1163" s="171" t="n">
        <v>46180.41666666666</v>
      </c>
      <c r="E1163" s="26" t="n">
        <v>0.582025462962963</v>
      </c>
      <c r="F1163" s="27" t="inlineStr">
        <is>
          <t>Shift 2</t>
        </is>
      </c>
      <c r="G1163" s="27" t="n"/>
    </row>
    <row r="1164" hidden="1" s="169">
      <c r="A1164" s="27" t="inlineStr">
        <is>
          <t>MK00109</t>
        </is>
      </c>
      <c r="B1164" s="27" t="n">
        <v>528000279</v>
      </c>
      <c r="C1164" s="27" t="inlineStr">
        <is>
          <t>Mahdalena Dalfa Riani</t>
        </is>
      </c>
      <c r="D1164" s="171" t="n">
        <v>46180.41666666666</v>
      </c>
      <c r="E1164" s="26" t="n">
        <v>0.5857986111111111</v>
      </c>
      <c r="F1164" s="27" t="inlineStr">
        <is>
          <t>Shift 2</t>
        </is>
      </c>
      <c r="G1164" s="27" t="n"/>
    </row>
    <row r="1165" hidden="1" s="169">
      <c r="A1165" s="27" t="inlineStr">
        <is>
          <t>MK00136</t>
        </is>
      </c>
      <c r="B1165" s="27" t="n">
        <v>528000052</v>
      </c>
      <c r="C1165" s="27" t="inlineStr">
        <is>
          <t>Mustopa</t>
        </is>
      </c>
      <c r="D1165" s="171" t="n">
        <v>46180.41666666666</v>
      </c>
      <c r="E1165" s="26" t="n">
        <v>0.6246643518518519</v>
      </c>
      <c r="F1165" s="27" t="inlineStr">
        <is>
          <t>Shift 2</t>
        </is>
      </c>
      <c r="G1165" s="27" t="n"/>
    </row>
    <row r="1166">
      <c r="A1166" s="27" t="inlineStr">
        <is>
          <t>MK00156</t>
        </is>
      </c>
      <c r="B1166" s="27" t="n">
        <v>528000015</v>
      </c>
      <c r="C1166" s="27" t="inlineStr">
        <is>
          <t>Erwin</t>
        </is>
      </c>
      <c r="D1166" s="171" t="n">
        <v>46180.41666666666</v>
      </c>
      <c r="E1166" s="26" t="n">
        <v>0.6536226851851852</v>
      </c>
      <c r="F1166" s="27" t="inlineStr">
        <is>
          <t>Shift 2</t>
        </is>
      </c>
      <c r="G1166" s="27" t="n"/>
    </row>
    <row r="1167" hidden="1" s="169">
      <c r="A1167" s="27" t="inlineStr">
        <is>
          <t>MK00205</t>
        </is>
      </c>
      <c r="B1167" s="27" t="n">
        <v>528000348</v>
      </c>
      <c r="C1167" s="27" t="inlineStr">
        <is>
          <t>Saepuloh Ardiansah</t>
        </is>
      </c>
      <c r="D1167" s="171" t="n">
        <v>46180.41666666666</v>
      </c>
      <c r="E1167" s="26" t="n">
        <v>0.6605324074074074</v>
      </c>
      <c r="F1167" s="27" t="inlineStr">
        <is>
          <t>Shift 2</t>
        </is>
      </c>
      <c r="G1167" s="27" t="n"/>
    </row>
    <row r="1168" hidden="1" s="169">
      <c r="A1168" s="27" t="inlineStr">
        <is>
          <t>MK00046</t>
        </is>
      </c>
      <c r="B1168" s="27" t="n">
        <v>528000335</v>
      </c>
      <c r="C1168" s="27" t="inlineStr">
        <is>
          <t>Rizal Saepuloh</t>
        </is>
      </c>
      <c r="D1168" s="171" t="n">
        <v>46180.41666666666</v>
      </c>
      <c r="E1168" s="26" t="n">
        <v>0.6607060185185185</v>
      </c>
      <c r="F1168" s="27" t="inlineStr">
        <is>
          <t>Shift 2</t>
        </is>
      </c>
      <c r="G1168" s="27" t="n"/>
    </row>
    <row r="1169" hidden="1" s="169">
      <c r="A1169" s="27" t="inlineStr">
        <is>
          <t>MK00126</t>
        </is>
      </c>
      <c r="B1169" s="27" t="n">
        <v>528000314</v>
      </c>
      <c r="C1169" s="27" t="inlineStr">
        <is>
          <t>Rusmana</t>
        </is>
      </c>
      <c r="D1169" s="171" t="n">
        <v>46180.41666666666</v>
      </c>
      <c r="E1169" s="26" t="n">
        <v>0.6618055555555555</v>
      </c>
      <c r="F1169" s="27" t="inlineStr">
        <is>
          <t>Shift 2</t>
        </is>
      </c>
      <c r="G1169" s="27" t="n"/>
    </row>
    <row r="1170" hidden="1" s="169">
      <c r="A1170" s="27" t="inlineStr">
        <is>
          <t>MK00154</t>
        </is>
      </c>
      <c r="B1170" s="27" t="n">
        <v>528000244</v>
      </c>
      <c r="C1170" s="27" t="inlineStr">
        <is>
          <t>Rodian Rifai</t>
        </is>
      </c>
      <c r="D1170" s="171" t="n">
        <v>46180.41666666666</v>
      </c>
      <c r="E1170" s="26" t="n">
        <v>0.8904050925925926</v>
      </c>
      <c r="F1170" s="27" t="inlineStr">
        <is>
          <t>Shift 3</t>
        </is>
      </c>
      <c r="G1170" s="27" t="inlineStr">
        <is>
          <t>10F</t>
        </is>
      </c>
    </row>
    <row r="1171" hidden="1" s="169">
      <c r="A1171" s="27" t="inlineStr">
        <is>
          <t>MK00209</t>
        </is>
      </c>
      <c r="B1171" s="27" t="n">
        <v>528000289</v>
      </c>
      <c r="C1171" s="27" t="inlineStr">
        <is>
          <t>Adit Supriyadi</t>
        </is>
      </c>
      <c r="D1171" s="171" t="n">
        <v>46180.41666666666</v>
      </c>
      <c r="E1171" s="26" t="n">
        <v>0.8944907407407408</v>
      </c>
      <c r="F1171" s="27" t="inlineStr">
        <is>
          <t>Shift 3</t>
        </is>
      </c>
      <c r="G1171" s="27" t="inlineStr">
        <is>
          <t>C-10</t>
        </is>
      </c>
    </row>
    <row r="1172" hidden="1" s="169">
      <c r="A1172" s="27" t="inlineStr">
        <is>
          <t>MK00210</t>
        </is>
      </c>
      <c r="B1172" s="27" t="n">
        <v>528000323</v>
      </c>
      <c r="C1172" s="27" t="inlineStr">
        <is>
          <t>Dian Hamidah</t>
        </is>
      </c>
      <c r="D1172" s="171" t="n">
        <v>46180.41666666666</v>
      </c>
      <c r="E1172" s="26" t="n">
        <v>0.9009837962962963</v>
      </c>
      <c r="F1172" s="27" t="inlineStr">
        <is>
          <t>Shift 3</t>
        </is>
      </c>
      <c r="G1172" s="27" t="n"/>
    </row>
    <row r="1173" hidden="1" s="169">
      <c r="A1173" s="27" t="inlineStr">
        <is>
          <t>MK00116</t>
        </is>
      </c>
      <c r="B1173" s="27" t="n">
        <v>528000286</v>
      </c>
      <c r="C1173" s="27" t="inlineStr">
        <is>
          <t>Imelda Amelia</t>
        </is>
      </c>
      <c r="D1173" s="171" t="n">
        <v>46180.41666666666</v>
      </c>
      <c r="E1173" s="26" t="n">
        <v>0.9060763888888889</v>
      </c>
      <c r="F1173" s="27" t="inlineStr">
        <is>
          <t>Shift 3</t>
        </is>
      </c>
      <c r="G1173" s="27" t="n"/>
    </row>
    <row r="1174" hidden="1" s="169">
      <c r="A1174" s="27" t="inlineStr">
        <is>
          <t>MK0095</t>
        </is>
      </c>
      <c r="B1174" s="27" t="n">
        <v>528000201</v>
      </c>
      <c r="C1174" s="27" t="inlineStr">
        <is>
          <t>Zahwa Amelia Choerunissa</t>
        </is>
      </c>
      <c r="D1174" s="171" t="n">
        <v>46180.41666666666</v>
      </c>
      <c r="E1174" s="26" t="n">
        <v>0.906886574074074</v>
      </c>
      <c r="F1174" s="27" t="inlineStr">
        <is>
          <t>Shift 3</t>
        </is>
      </c>
      <c r="G1174" s="27" t="n"/>
    </row>
    <row r="1175" hidden="1" s="169">
      <c r="A1175" s="27" t="inlineStr">
        <is>
          <t>MK0090</t>
        </is>
      </c>
      <c r="B1175" s="27" t="n">
        <v>528000099</v>
      </c>
      <c r="C1175" s="27" t="inlineStr">
        <is>
          <t>Siti Nurawaliah</t>
        </is>
      </c>
      <c r="D1175" s="171" t="n">
        <v>46180.41666666666</v>
      </c>
      <c r="E1175" s="26" t="n">
        <v>0.9071990740740741</v>
      </c>
      <c r="F1175" s="27" t="inlineStr">
        <is>
          <t>Shift 3</t>
        </is>
      </c>
      <c r="G1175" s="27" t="n"/>
    </row>
    <row r="1176" hidden="1" s="169">
      <c r="A1176" s="27" t="inlineStr">
        <is>
          <t>MK00202</t>
        </is>
      </c>
      <c r="B1176" s="27" t="n">
        <v>528000241</v>
      </c>
      <c r="C1176" s="27" t="inlineStr">
        <is>
          <t>Balia Nurafif Bilah</t>
        </is>
      </c>
      <c r="D1176" s="171" t="n">
        <v>46180.41666666666</v>
      </c>
      <c r="E1176" s="26" t="n">
        <v>0.9114930555555556</v>
      </c>
      <c r="F1176" s="27" t="inlineStr">
        <is>
          <t>Shift 3</t>
        </is>
      </c>
      <c r="G1176" s="27" t="n"/>
    </row>
    <row r="1177" hidden="1" s="169">
      <c r="A1177" s="27" t="inlineStr">
        <is>
          <t>MK00158</t>
        </is>
      </c>
      <c r="B1177" s="27" t="n">
        <v>528000274</v>
      </c>
      <c r="C1177" s="27" t="inlineStr">
        <is>
          <t>Zepri</t>
        </is>
      </c>
      <c r="D1177" s="171" t="n">
        <v>46180.41666666666</v>
      </c>
      <c r="E1177" s="26" t="n">
        <v>0.9128935185185185</v>
      </c>
      <c r="F1177" s="27" t="inlineStr">
        <is>
          <t>Shift 3</t>
        </is>
      </c>
      <c r="G1177" s="27" t="n"/>
    </row>
    <row r="1178" hidden="1" s="169">
      <c r="A1178" s="27" t="inlineStr">
        <is>
          <t>MK00250</t>
        </is>
      </c>
      <c r="B1178" s="27" t="n">
        <v>528000090</v>
      </c>
      <c r="C1178" s="27" t="inlineStr">
        <is>
          <t>Suganda</t>
        </is>
      </c>
      <c r="D1178" s="171" t="n">
        <v>46180.41666666666</v>
      </c>
      <c r="E1178" s="26" t="n">
        <v>0.9163194444444445</v>
      </c>
      <c r="F1178" s="27" t="inlineStr">
        <is>
          <t>Shift 3</t>
        </is>
      </c>
      <c r="G1178" s="27" t="n"/>
    </row>
    <row r="1179" hidden="1" s="169">
      <c r="A1179" s="27" t="inlineStr">
        <is>
          <t>MK00108</t>
        </is>
      </c>
      <c r="B1179" s="27" t="n">
        <v>528000212</v>
      </c>
      <c r="C1179" s="27" t="inlineStr">
        <is>
          <t>Rizal Fauzi</t>
        </is>
      </c>
      <c r="D1179" s="171" t="n">
        <v>46180.41666666666</v>
      </c>
      <c r="E1179" s="26" t="n">
        <v>0.9175347222222222</v>
      </c>
      <c r="F1179" s="27" t="inlineStr">
        <is>
          <t>Shift 3</t>
        </is>
      </c>
      <c r="G1179" s="27" t="n"/>
    </row>
    <row r="1180" hidden="1" s="169">
      <c r="A1180" s="27" t="n">
        <v>528000335</v>
      </c>
      <c r="B1180" s="27" t="n">
        <v>528000335</v>
      </c>
      <c r="C1180" s="27" t="inlineStr">
        <is>
          <t>Rizal Saepuloh</t>
        </is>
      </c>
      <c r="D1180" s="171" t="n">
        <v>46181.41666666666</v>
      </c>
      <c r="E1180" s="26" t="n">
        <v>0.002453703703703704</v>
      </c>
      <c r="F1180" s="27" t="inlineStr">
        <is>
          <t>Shift 3</t>
        </is>
      </c>
      <c r="G1180" s="27" t="n"/>
    </row>
    <row r="1181" hidden="1" s="169">
      <c r="A1181" s="27" t="inlineStr">
        <is>
          <t>MK00145</t>
        </is>
      </c>
      <c r="B1181" s="27" t="n">
        <v>528000305</v>
      </c>
      <c r="C1181" s="27" t="inlineStr">
        <is>
          <t>Puji Puspita</t>
        </is>
      </c>
      <c r="D1181" s="171" t="n">
        <v>46181.41666666666</v>
      </c>
      <c r="E1181" s="26" t="n">
        <v>0.2326273148148148</v>
      </c>
      <c r="F1181" s="27" t="inlineStr">
        <is>
          <t>Shift 1</t>
        </is>
      </c>
      <c r="G1181" s="27" t="n"/>
    </row>
    <row r="1182" hidden="1" s="169">
      <c r="A1182" s="27" t="inlineStr">
        <is>
          <t>CK00126</t>
        </is>
      </c>
      <c r="B1182" s="27" t="n">
        <v>528000299</v>
      </c>
      <c r="C1182" s="27" t="inlineStr">
        <is>
          <t>Siti Nurjanah</t>
        </is>
      </c>
      <c r="D1182" s="171" t="n">
        <v>46181.41666666666</v>
      </c>
      <c r="E1182" s="26" t="n">
        <v>0.2334837962962963</v>
      </c>
      <c r="F1182" s="27" t="inlineStr">
        <is>
          <t>Shift 1</t>
        </is>
      </c>
      <c r="G1182" s="27" t="n"/>
    </row>
    <row r="1183" hidden="1" s="169">
      <c r="A1183" s="27" t="inlineStr">
        <is>
          <t>MK00213</t>
        </is>
      </c>
      <c r="B1183" s="27" t="n">
        <v>528000313</v>
      </c>
      <c r="C1183" s="27" t="inlineStr">
        <is>
          <t>Muhamad Rifki</t>
        </is>
      </c>
      <c r="D1183" s="171" t="n">
        <v>46181.41666666666</v>
      </c>
      <c r="E1183" s="26" t="n">
        <v>0.2363078703703704</v>
      </c>
      <c r="F1183" s="27" t="inlineStr">
        <is>
          <t>Shift 1</t>
        </is>
      </c>
      <c r="G1183" s="27" t="n"/>
    </row>
    <row r="1184" hidden="1" s="169">
      <c r="A1184" s="27" t="inlineStr">
        <is>
          <t>MK00249</t>
        </is>
      </c>
      <c r="B1184" s="27" t="n">
        <v>628000091</v>
      </c>
      <c r="C1184" s="27" t="inlineStr">
        <is>
          <t>Devita Handayani</t>
        </is>
      </c>
      <c r="D1184" s="171" t="n">
        <v>46181.41666666666</v>
      </c>
      <c r="E1184" s="26" t="n">
        <v>0.2422800925925926</v>
      </c>
      <c r="F1184" s="27" t="inlineStr">
        <is>
          <t>Shift 1</t>
        </is>
      </c>
      <c r="G1184" s="27" t="n"/>
    </row>
    <row r="1185" hidden="1" s="169">
      <c r="A1185" s="27" t="inlineStr">
        <is>
          <t>MK00208</t>
        </is>
      </c>
      <c r="B1185" s="27" t="n">
        <v>528000318</v>
      </c>
      <c r="C1185" s="27" t="inlineStr">
        <is>
          <t>Bayu Padli Sepriyana</t>
        </is>
      </c>
      <c r="D1185" s="171" t="n">
        <v>46181.41666666666</v>
      </c>
      <c r="E1185" s="26" t="n">
        <v>0.2430324074074074</v>
      </c>
      <c r="F1185" s="27" t="inlineStr">
        <is>
          <t>Shift 1</t>
        </is>
      </c>
      <c r="G1185" s="27" t="n"/>
    </row>
    <row r="1186" hidden="1" s="169">
      <c r="A1186" s="27" t="inlineStr">
        <is>
          <t>MK00134</t>
        </is>
      </c>
      <c r="B1186" s="27" t="n">
        <v>528000298</v>
      </c>
      <c r="C1186" s="27" t="inlineStr">
        <is>
          <t>Desta Cahaya Pratama</t>
        </is>
      </c>
      <c r="D1186" s="171" t="n">
        <v>46181.41666666666</v>
      </c>
      <c r="E1186" s="26" t="n">
        <v>0.2432638888888889</v>
      </c>
      <c r="F1186" s="27" t="inlineStr">
        <is>
          <t>Shift 1</t>
        </is>
      </c>
      <c r="G1186" s="27" t="n"/>
    </row>
    <row r="1187" hidden="1" s="169">
      <c r="A1187" s="27" t="inlineStr">
        <is>
          <t>MK00185</t>
        </is>
      </c>
      <c r="B1187" s="27" t="n">
        <v>528000309</v>
      </c>
      <c r="C1187" s="27" t="inlineStr">
        <is>
          <t>Ilham Ramadhan</t>
        </is>
      </c>
      <c r="D1187" s="171" t="n">
        <v>46181.41666666666</v>
      </c>
      <c r="E1187" s="26" t="n">
        <v>0.2452199074074074</v>
      </c>
      <c r="F1187" s="27" t="inlineStr">
        <is>
          <t>Shift 1</t>
        </is>
      </c>
      <c r="G1187" s="27" t="n"/>
    </row>
    <row r="1188" hidden="1" s="169">
      <c r="A1188" s="27" t="inlineStr">
        <is>
          <t>MK00113</t>
        </is>
      </c>
      <c r="B1188" s="27" t="n">
        <v>528000270</v>
      </c>
      <c r="C1188" s="27" t="inlineStr">
        <is>
          <t>Febri Najmudin</t>
        </is>
      </c>
      <c r="D1188" s="171" t="n">
        <v>46181.41666666666</v>
      </c>
      <c r="E1188" s="26" t="n">
        <v>0.2457638888888889</v>
      </c>
      <c r="F1188" s="27" t="inlineStr">
        <is>
          <t>Shift 1</t>
        </is>
      </c>
      <c r="G1188" s="27" t="n"/>
    </row>
    <row r="1189" hidden="1" s="169">
      <c r="A1189" s="27" t="inlineStr">
        <is>
          <t>MK00138</t>
        </is>
      </c>
      <c r="B1189" s="27" t="n">
        <v>528000302</v>
      </c>
      <c r="C1189" s="27" t="inlineStr">
        <is>
          <t>Henkey gumilar</t>
        </is>
      </c>
      <c r="D1189" s="171" t="n">
        <v>46181.41666666666</v>
      </c>
      <c r="E1189" s="26" t="n">
        <v>0.2461226851851852</v>
      </c>
      <c r="F1189" s="27" t="inlineStr">
        <is>
          <t>Shift 1</t>
        </is>
      </c>
      <c r="G1189" s="27" t="n"/>
    </row>
    <row r="1190" hidden="1" s="169">
      <c r="A1190" s="27" t="inlineStr">
        <is>
          <t>MK00093</t>
        </is>
      </c>
      <c r="B1190" s="27" t="n">
        <v>528000361</v>
      </c>
      <c r="C1190" s="27" t="inlineStr">
        <is>
          <t>Denada Munggarani</t>
        </is>
      </c>
      <c r="D1190" s="171" t="n">
        <v>46181.41666666666</v>
      </c>
      <c r="E1190" s="26" t="n">
        <v>0.2487615740740741</v>
      </c>
      <c r="F1190" s="27" t="inlineStr">
        <is>
          <t>Shift 1</t>
        </is>
      </c>
      <c r="G1190" s="27" t="n"/>
    </row>
    <row r="1191" hidden="1" s="169">
      <c r="A1191" s="27" t="inlineStr">
        <is>
          <t>MK00082</t>
        </is>
      </c>
      <c r="B1191" s="27" t="n">
        <v>528000340</v>
      </c>
      <c r="C1191" s="27" t="inlineStr">
        <is>
          <t>Muhammad Wildan Adithya</t>
        </is>
      </c>
      <c r="D1191" s="171" t="n">
        <v>46181.41666666666</v>
      </c>
      <c r="E1191" s="26" t="n">
        <v>0.2521296296296296</v>
      </c>
      <c r="F1191" s="27" t="inlineStr">
        <is>
          <t>Shift 1</t>
        </is>
      </c>
      <c r="G1191" s="27" t="n"/>
    </row>
    <row r="1192" hidden="1" s="169">
      <c r="A1192" s="27" t="inlineStr">
        <is>
          <t>MK00250</t>
        </is>
      </c>
      <c r="B1192" s="27" t="n">
        <v>528000282</v>
      </c>
      <c r="C1192" s="27" t="inlineStr">
        <is>
          <t>Defa Desfiana</t>
        </is>
      </c>
      <c r="D1192" s="171" t="n">
        <v>46181.41666666666</v>
      </c>
      <c r="E1192" s="26" t="n">
        <v>0.3213078703703704</v>
      </c>
      <c r="F1192" s="27" t="inlineStr">
        <is>
          <t>Shift 1</t>
        </is>
      </c>
      <c r="G1192" s="27" t="inlineStr">
        <is>
          <t>23c</t>
        </is>
      </c>
    </row>
    <row r="1193" hidden="1" s="169">
      <c r="A1193" s="27" t="inlineStr">
        <is>
          <t>MK00209</t>
        </is>
      </c>
      <c r="B1193" s="27" t="n">
        <v>528000359</v>
      </c>
      <c r="C1193" s="27" t="inlineStr">
        <is>
          <t>M. Iqbal Maulana. S</t>
        </is>
      </c>
      <c r="D1193" s="171" t="n">
        <v>46181.41666666666</v>
      </c>
      <c r="E1193" s="26" t="n">
        <v>0.3220138888888889</v>
      </c>
      <c r="F1193" s="27" t="inlineStr">
        <is>
          <t>Shift 1</t>
        </is>
      </c>
      <c r="G1193" s="27" t="n"/>
    </row>
    <row r="1194" hidden="1" s="169">
      <c r="A1194" s="27" t="inlineStr">
        <is>
          <t>MK00202</t>
        </is>
      </c>
      <c r="B1194" s="27" t="n">
        <v>528000265</v>
      </c>
      <c r="C1194" s="27" t="inlineStr">
        <is>
          <t>Muhammad Haerul Rozikin</t>
        </is>
      </c>
      <c r="D1194" s="171" t="n">
        <v>46181.41666666666</v>
      </c>
      <c r="E1194" s="26" t="n">
        <v>0.3233912037037037</v>
      </c>
      <c r="F1194" s="27" t="inlineStr">
        <is>
          <t>Shift 1</t>
        </is>
      </c>
      <c r="G1194" s="27" t="n"/>
    </row>
    <row r="1195" hidden="1" s="169">
      <c r="A1195" s="27" t="inlineStr">
        <is>
          <t>MK0050</t>
        </is>
      </c>
      <c r="B1195" s="27" t="n">
        <v>528000351</v>
      </c>
      <c r="C1195" s="27" t="inlineStr">
        <is>
          <t>Mulyana</t>
        </is>
      </c>
      <c r="D1195" s="171" t="n">
        <v>46181.41666666666</v>
      </c>
      <c r="E1195" s="26" t="n">
        <v>0.3269212962962963</v>
      </c>
      <c r="F1195" s="27" t="inlineStr">
        <is>
          <t>Shift 1</t>
        </is>
      </c>
      <c r="G1195" s="27" t="n"/>
    </row>
    <row r="1196" hidden="1" s="169">
      <c r="A1196" s="27" t="inlineStr">
        <is>
          <t>MK00116</t>
        </is>
      </c>
      <c r="B1196" s="27" t="n">
        <v>528000310</v>
      </c>
      <c r="C1196" s="27" t="inlineStr">
        <is>
          <t>Fachrul Rozzi Suryana</t>
        </is>
      </c>
      <c r="D1196" s="171" t="n">
        <v>46181.41666666666</v>
      </c>
      <c r="E1196" s="26" t="n">
        <v>0.3313425925925926</v>
      </c>
      <c r="F1196" s="27" t="inlineStr">
        <is>
          <t>Shift 1</t>
        </is>
      </c>
      <c r="G1196" s="27" t="inlineStr">
        <is>
          <t>7B</t>
        </is>
      </c>
    </row>
    <row r="1197" hidden="1" s="169">
      <c r="A1197" s="27" t="inlineStr">
        <is>
          <t>MK00228</t>
        </is>
      </c>
      <c r="B1197" s="27" t="n">
        <v>528000132</v>
      </c>
      <c r="C1197" s="27" t="inlineStr">
        <is>
          <t>Giopani</t>
        </is>
      </c>
      <c r="D1197" s="171" t="n">
        <v>46181.41666666666</v>
      </c>
      <c r="E1197" s="26" t="n">
        <v>0.3740509259259259</v>
      </c>
      <c r="F1197" s="27" t="inlineStr">
        <is>
          <t>Shift 1</t>
        </is>
      </c>
      <c r="G1197" s="27" t="n"/>
    </row>
    <row r="1198" hidden="1" s="169">
      <c r="A1198" s="27" t="inlineStr">
        <is>
          <t>MK00204</t>
        </is>
      </c>
      <c r="B1198" s="27" t="n">
        <v>528000232</v>
      </c>
      <c r="C1198" s="27" t="inlineStr">
        <is>
          <t>Agung Aji Suhada</t>
        </is>
      </c>
      <c r="D1198" s="171" t="n">
        <v>46181.41666666666</v>
      </c>
      <c r="E1198" s="26" t="n">
        <v>0.3745138888888889</v>
      </c>
      <c r="F1198" s="27" t="inlineStr">
        <is>
          <t>Shift 1</t>
        </is>
      </c>
      <c r="G1198" s="27" t="n"/>
    </row>
    <row r="1199" hidden="1" s="169">
      <c r="A1199" s="27" t="inlineStr">
        <is>
          <t>MK00108</t>
        </is>
      </c>
      <c r="B1199" s="27" t="n">
        <v>528000349</v>
      </c>
      <c r="C1199" s="27" t="inlineStr">
        <is>
          <t>Anas Abdul Fatah</t>
        </is>
      </c>
      <c r="D1199" s="171" t="n">
        <v>46181.41666666666</v>
      </c>
      <c r="E1199" s="26" t="n">
        <v>0.4058564814814815</v>
      </c>
      <c r="F1199" s="27" t="inlineStr">
        <is>
          <t>Shift 1</t>
        </is>
      </c>
      <c r="G1199" s="27" t="n"/>
    </row>
    <row r="1200" hidden="1" s="169">
      <c r="A1200" s="27" t="inlineStr">
        <is>
          <t>MK00141</t>
        </is>
      </c>
      <c r="B1200" s="27" t="n">
        <v>528000324</v>
      </c>
      <c r="C1200" s="27" t="inlineStr">
        <is>
          <t>Sri Yanti</t>
        </is>
      </c>
      <c r="D1200" s="171" t="n">
        <v>46181.41666666666</v>
      </c>
      <c r="E1200" s="26" t="n">
        <v>0.5508912037037037</v>
      </c>
      <c r="F1200" s="27" t="inlineStr">
        <is>
          <t>Shift 2</t>
        </is>
      </c>
      <c r="G1200" s="27" t="n"/>
    </row>
    <row r="1201" hidden="1" s="169">
      <c r="A1201" s="27" t="inlineStr">
        <is>
          <t>MK00160</t>
        </is>
      </c>
      <c r="B1201" s="27" t="n">
        <v>528000248</v>
      </c>
      <c r="C1201" s="27" t="inlineStr">
        <is>
          <t>Roka Jaya Salka Mulya</t>
        </is>
      </c>
      <c r="D1201" s="171" t="n">
        <v>46181.41666666666</v>
      </c>
      <c r="E1201" s="26" t="n">
        <v>0.5535185185185185</v>
      </c>
      <c r="F1201" s="27" t="inlineStr">
        <is>
          <t>Shift 2</t>
        </is>
      </c>
      <c r="G1201" s="27" t="n"/>
    </row>
    <row r="1202" hidden="1" s="169">
      <c r="A1202" s="27" t="inlineStr">
        <is>
          <t>MK00150</t>
        </is>
      </c>
      <c r="B1202" s="27" t="n">
        <v>528000297</v>
      </c>
      <c r="C1202" s="27" t="inlineStr">
        <is>
          <t>Muhamad Budiana</t>
        </is>
      </c>
      <c r="D1202" s="171" t="n">
        <v>46181.41666666666</v>
      </c>
      <c r="E1202" s="26" t="n">
        <v>0.5705324074074074</v>
      </c>
      <c r="F1202" s="27" t="inlineStr">
        <is>
          <t>Shift 2</t>
        </is>
      </c>
      <c r="G1202" s="27" t="n"/>
    </row>
    <row r="1203" hidden="1" s="169">
      <c r="A1203" s="27" t="inlineStr">
        <is>
          <t>MK00235</t>
        </is>
      </c>
      <c r="B1203" s="27" t="n">
        <v>528000306</v>
      </c>
      <c r="C1203" s="27" t="inlineStr">
        <is>
          <t>Windy Olivia</t>
        </is>
      </c>
      <c r="D1203" s="171" t="n">
        <v>46181.41666666666</v>
      </c>
      <c r="E1203" s="26" t="n">
        <v>0.5727083333333334</v>
      </c>
      <c r="F1203" s="27" t="inlineStr">
        <is>
          <t>Shift 2</t>
        </is>
      </c>
      <c r="G1203" s="27" t="n"/>
    </row>
    <row r="1204" hidden="1" s="169">
      <c r="A1204" s="27" t="inlineStr">
        <is>
          <t>MK00148</t>
        </is>
      </c>
      <c r="B1204" s="27" t="n">
        <v>628000064</v>
      </c>
      <c r="C1204" s="27" t="inlineStr">
        <is>
          <t>Silva Alypia</t>
        </is>
      </c>
      <c r="D1204" s="171" t="n">
        <v>46181.41666666666</v>
      </c>
      <c r="E1204" s="26" t="n">
        <v>0.5734606481481481</v>
      </c>
      <c r="F1204" s="27" t="inlineStr">
        <is>
          <t>Shift 2</t>
        </is>
      </c>
      <c r="G1204" s="27" t="n"/>
    </row>
    <row r="1205" hidden="1" s="169">
      <c r="A1205" s="27" t="inlineStr">
        <is>
          <t>MK00143</t>
        </is>
      </c>
      <c r="B1205" s="27" t="n">
        <v>528000329</v>
      </c>
      <c r="C1205" s="27" t="inlineStr">
        <is>
          <t>Havid Ilham Firdaus</t>
        </is>
      </c>
      <c r="D1205" s="171" t="n">
        <v>46181.41666666666</v>
      </c>
      <c r="E1205" s="26" t="n">
        <v>0.5739467592592593</v>
      </c>
      <c r="F1205" s="27" t="inlineStr">
        <is>
          <t>Shift 2</t>
        </is>
      </c>
      <c r="G1205" s="27" t="n"/>
    </row>
    <row r="1206" hidden="1" s="169">
      <c r="A1206" s="27" t="inlineStr">
        <is>
          <t>MK00181</t>
        </is>
      </c>
      <c r="B1206" s="27" t="n">
        <v>528000300</v>
      </c>
      <c r="C1206" s="27" t="inlineStr">
        <is>
          <t>Lia pitaloka</t>
        </is>
      </c>
      <c r="D1206" s="171" t="n">
        <v>46181.41666666666</v>
      </c>
      <c r="E1206" s="26" t="n">
        <v>0.5743981481481482</v>
      </c>
      <c r="F1206" s="27" t="inlineStr">
        <is>
          <t>Shift 2</t>
        </is>
      </c>
      <c r="G1206" s="27" t="n"/>
    </row>
    <row r="1207" hidden="1" s="169">
      <c r="A1207" s="27" t="inlineStr">
        <is>
          <t>MK00192</t>
        </is>
      </c>
      <c r="B1207" s="27" t="n">
        <v>528000288</v>
      </c>
      <c r="C1207" s="27" t="inlineStr">
        <is>
          <t>Dede gunawan</t>
        </is>
      </c>
      <c r="D1207" s="171" t="n">
        <v>46181.41666666666</v>
      </c>
      <c r="E1207" s="26" t="n">
        <v>0.5761689814814814</v>
      </c>
      <c r="F1207" s="27" t="inlineStr">
        <is>
          <t>Shift 2</t>
        </is>
      </c>
      <c r="G1207" s="27" t="n"/>
    </row>
    <row r="1208" hidden="1" s="169">
      <c r="A1208" s="27" t="n">
        <v>207</v>
      </c>
      <c r="B1208" s="27" t="n">
        <v>528000292</v>
      </c>
      <c r="C1208" s="27" t="inlineStr">
        <is>
          <t>Aditia Nugraha</t>
        </is>
      </c>
      <c r="D1208" s="171" t="n">
        <v>46181.41666666666</v>
      </c>
      <c r="E1208" s="26" t="n">
        <v>0.5776967592592592</v>
      </c>
      <c r="F1208" s="27" t="inlineStr">
        <is>
          <t>Shift 2</t>
        </is>
      </c>
      <c r="G1208" s="27" t="n"/>
    </row>
    <row r="1209" hidden="1" s="169">
      <c r="A1209" s="27" t="inlineStr">
        <is>
          <t>MK00121</t>
        </is>
      </c>
      <c r="B1209" s="27" t="n">
        <v>528000279</v>
      </c>
      <c r="C1209" s="27" t="inlineStr">
        <is>
          <t>Mahdalena Dalfa Riani</t>
        </is>
      </c>
      <c r="D1209" s="171" t="n">
        <v>46181.41666666666</v>
      </c>
      <c r="E1209" s="26" t="n">
        <v>0.5790856481481481</v>
      </c>
      <c r="F1209" s="27" t="inlineStr">
        <is>
          <t>Shift 2</t>
        </is>
      </c>
      <c r="G1209" s="27" t="n"/>
    </row>
    <row r="1210" hidden="1" s="169">
      <c r="A1210" s="27" t="inlineStr">
        <is>
          <t>MK00125</t>
        </is>
      </c>
      <c r="B1210" s="27" t="n">
        <v>528000314</v>
      </c>
      <c r="C1210" s="27" t="inlineStr">
        <is>
          <t>Rusmana</t>
        </is>
      </c>
      <c r="D1210" s="171" t="n">
        <v>46181.41666666666</v>
      </c>
      <c r="E1210" s="26" t="n">
        <v>0.6371990740740741</v>
      </c>
      <c r="F1210" s="27" t="inlineStr">
        <is>
          <t>Shift 2</t>
        </is>
      </c>
      <c r="G1210" s="27" t="n"/>
    </row>
    <row r="1211">
      <c r="A1211" s="27" t="inlineStr">
        <is>
          <t>MK00213</t>
        </is>
      </c>
      <c r="B1211" s="27" t="n">
        <v>528000015</v>
      </c>
      <c r="C1211" s="27" t="inlineStr">
        <is>
          <t>Erwin</t>
        </is>
      </c>
      <c r="D1211" s="171" t="n">
        <v>46181.41666666666</v>
      </c>
      <c r="E1211" s="26" t="n">
        <v>0.6506712962962963</v>
      </c>
      <c r="F1211" s="27" t="inlineStr">
        <is>
          <t>Shift 2</t>
        </is>
      </c>
      <c r="G1211" s="27" t="n"/>
    </row>
    <row r="1212" hidden="1" s="169">
      <c r="A1212" s="27" t="inlineStr">
        <is>
          <t>MK00221</t>
        </is>
      </c>
      <c r="B1212" s="27" t="n">
        <v>528000144</v>
      </c>
      <c r="C1212" s="27" t="inlineStr">
        <is>
          <t>Jodi Hanafi</t>
        </is>
      </c>
      <c r="D1212" s="171" t="n">
        <v>46181.41666666666</v>
      </c>
      <c r="E1212" s="26" t="n">
        <v>0.6660185185185186</v>
      </c>
      <c r="F1212" s="27" t="inlineStr">
        <is>
          <t>Shift 2</t>
        </is>
      </c>
      <c r="G1212" s="27" t="n"/>
    </row>
    <row r="1213" hidden="1" s="169">
      <c r="A1213" s="27" t="inlineStr">
        <is>
          <t>MK00210</t>
        </is>
      </c>
      <c r="B1213" s="27" t="n">
        <v>528000323</v>
      </c>
      <c r="C1213" s="27" t="inlineStr">
        <is>
          <t>Dian Hamidah</t>
        </is>
      </c>
      <c r="D1213" s="171" t="n">
        <v>46181.41666666666</v>
      </c>
      <c r="E1213" s="26" t="n">
        <v>0.9007986111111111</v>
      </c>
      <c r="F1213" s="27" t="inlineStr">
        <is>
          <t>Shift 3</t>
        </is>
      </c>
      <c r="G1213" s="27" t="n"/>
    </row>
    <row r="1214" hidden="1" s="169">
      <c r="A1214" s="27" t="inlineStr">
        <is>
          <t>MK00145</t>
        </is>
      </c>
      <c r="B1214" s="27" t="n">
        <v>528000286</v>
      </c>
      <c r="C1214" s="27" t="inlineStr">
        <is>
          <t>Imelda Amelia</t>
        </is>
      </c>
      <c r="D1214" s="171" t="n">
        <v>46181.41666666666</v>
      </c>
      <c r="E1214" s="26" t="n">
        <v>0.9027314814814815</v>
      </c>
      <c r="F1214" s="27" t="inlineStr">
        <is>
          <t>Shift 3</t>
        </is>
      </c>
      <c r="G1214" s="27" t="n"/>
    </row>
    <row r="1215" hidden="1" s="169">
      <c r="A1215" s="27" t="inlineStr">
        <is>
          <t>MK00154</t>
        </is>
      </c>
      <c r="B1215" s="27" t="n">
        <v>528000201</v>
      </c>
      <c r="C1215" s="27" t="inlineStr">
        <is>
          <t>Zahwa Amelia Choerunissa</t>
        </is>
      </c>
      <c r="D1215" s="171" t="n">
        <v>46181.41666666666</v>
      </c>
      <c r="E1215" s="26" t="n">
        <v>0.9047569444444444</v>
      </c>
      <c r="F1215" s="27" t="inlineStr">
        <is>
          <t>Shift 3</t>
        </is>
      </c>
      <c r="G1215" s="27" t="n"/>
    </row>
    <row r="1216" hidden="1" s="169">
      <c r="A1216" s="27" t="inlineStr">
        <is>
          <t>MK0090</t>
        </is>
      </c>
      <c r="B1216" s="27" t="n">
        <v>528000099</v>
      </c>
      <c r="C1216" s="27" t="inlineStr">
        <is>
          <t>Siti Nurawaliah</t>
        </is>
      </c>
      <c r="D1216" s="171" t="n">
        <v>46181.41666666666</v>
      </c>
      <c r="E1216" s="26" t="n">
        <v>0.9054976851851851</v>
      </c>
      <c r="F1216" s="27" t="inlineStr">
        <is>
          <t>Shift 3</t>
        </is>
      </c>
      <c r="G1216" s="27" t="n"/>
    </row>
    <row r="1217" hidden="1" s="169">
      <c r="A1217" s="27" t="inlineStr">
        <is>
          <t>MK00138</t>
        </is>
      </c>
      <c r="B1217" s="27" t="n">
        <v>528000241</v>
      </c>
      <c r="C1217" s="27" t="inlineStr">
        <is>
          <t>Balia Nurafif Bilah</t>
        </is>
      </c>
      <c r="D1217" s="171" t="n">
        <v>46181.41666666666</v>
      </c>
      <c r="E1217" s="26" t="n">
        <v>0.9104745370370371</v>
      </c>
      <c r="F1217" s="27" t="inlineStr">
        <is>
          <t>Shift 3</t>
        </is>
      </c>
      <c r="G1217" s="27" t="n"/>
    </row>
    <row r="1218" hidden="1" s="169">
      <c r="A1218" s="27" t="inlineStr">
        <is>
          <t>MK00250</t>
        </is>
      </c>
      <c r="B1218" s="27" t="n">
        <v>528000244</v>
      </c>
      <c r="C1218" s="27" t="inlineStr">
        <is>
          <t>Rodian Rifai</t>
        </is>
      </c>
      <c r="D1218" s="171" t="n">
        <v>46181.41666666666</v>
      </c>
      <c r="E1218" s="26" t="n">
        <v>0.9107407407407407</v>
      </c>
      <c r="F1218" s="27" t="inlineStr">
        <is>
          <t>Shift 3</t>
        </is>
      </c>
      <c r="G1218" s="27" t="n"/>
    </row>
    <row r="1219" hidden="1" s="169">
      <c r="A1219" s="27" t="inlineStr">
        <is>
          <t>MK00116</t>
        </is>
      </c>
      <c r="B1219" s="27" t="n">
        <v>528000274</v>
      </c>
      <c r="C1219" s="27" t="inlineStr">
        <is>
          <t>Zepri</t>
        </is>
      </c>
      <c r="D1219" s="171" t="n">
        <v>46181.41666666666</v>
      </c>
      <c r="E1219" s="26" t="n">
        <v>0.91375</v>
      </c>
      <c r="F1219" s="27" t="inlineStr">
        <is>
          <t>Shift 3</t>
        </is>
      </c>
      <c r="G1219" s="27" t="n"/>
    </row>
    <row r="1220" hidden="1" s="169">
      <c r="A1220" s="27" t="inlineStr">
        <is>
          <t>MK00185</t>
        </is>
      </c>
      <c r="B1220" s="27" t="n">
        <v>528000289</v>
      </c>
      <c r="C1220" s="27" t="inlineStr">
        <is>
          <t>Adit Supriyadi</t>
        </is>
      </c>
      <c r="D1220" s="171" t="n">
        <v>46181.41666666666</v>
      </c>
      <c r="E1220" s="26" t="n">
        <v>0.9143981481481481</v>
      </c>
      <c r="F1220" s="27" t="inlineStr">
        <is>
          <t>Shift 3</t>
        </is>
      </c>
      <c r="G1220" s="27" t="inlineStr">
        <is>
          <t>E-7</t>
        </is>
      </c>
    </row>
    <row r="1221" hidden="1" s="169">
      <c r="A1221" s="27" t="inlineStr">
        <is>
          <t>MK00112</t>
        </is>
      </c>
      <c r="B1221" s="27" t="n">
        <v>528000090</v>
      </c>
      <c r="C1221" s="27" t="inlineStr">
        <is>
          <t>Suganda</t>
        </is>
      </c>
      <c r="D1221" s="171" t="n">
        <v>46181.41666666666</v>
      </c>
      <c r="E1221" s="26" t="n">
        <v>0.9152546296296297</v>
      </c>
      <c r="F1221" s="27" t="inlineStr">
        <is>
          <t>Shift 3</t>
        </is>
      </c>
      <c r="G1221" s="27" t="n"/>
    </row>
    <row r="1222" hidden="1" s="169">
      <c r="A1222" s="27" t="inlineStr">
        <is>
          <t>MK00202</t>
        </is>
      </c>
      <c r="B1222" s="27" t="n">
        <v>528000212</v>
      </c>
      <c r="C1222" s="27" t="inlineStr">
        <is>
          <t>Rizal Fauzi</t>
        </is>
      </c>
      <c r="D1222" s="171" t="n">
        <v>46181.41666666666</v>
      </c>
      <c r="E1222" s="26" t="n">
        <v>0.9152546296296297</v>
      </c>
      <c r="F1222" s="27" t="inlineStr">
        <is>
          <t>Shift 3</t>
        </is>
      </c>
      <c r="G1222" s="27" t="n"/>
    </row>
    <row r="1223" hidden="1" s="169">
      <c r="A1223" s="27" t="inlineStr">
        <is>
          <t>MK00249</t>
        </is>
      </c>
      <c r="B1223" s="27" t="n">
        <v>528000290</v>
      </c>
      <c r="C1223" s="27" t="inlineStr">
        <is>
          <t>Eval Pranata</t>
        </is>
      </c>
      <c r="D1223" s="171" t="n">
        <v>46181.41666666666</v>
      </c>
      <c r="E1223" s="26" t="n">
        <v>0.9200462962962963</v>
      </c>
      <c r="F1223" s="27" t="inlineStr">
        <is>
          <t>Shift 3</t>
        </is>
      </c>
      <c r="G1223" s="27" t="n"/>
    </row>
    <row r="1224" hidden="1" s="169">
      <c r="A1224" s="27" t="inlineStr">
        <is>
          <t>MK00150</t>
        </is>
      </c>
      <c r="B1224" s="27" t="n">
        <v>528000305</v>
      </c>
      <c r="C1224" s="27" t="inlineStr">
        <is>
          <t>Puji Puspita</t>
        </is>
      </c>
      <c r="D1224" s="171" t="n">
        <v>46182.41666666666</v>
      </c>
      <c r="E1224" s="26" t="n">
        <v>0.2328356481481481</v>
      </c>
      <c r="F1224" s="27" t="inlineStr">
        <is>
          <t>Shift 1</t>
        </is>
      </c>
      <c r="G1224" s="27" t="n"/>
    </row>
    <row r="1225" hidden="1" s="169">
      <c r="A1225" s="27" t="inlineStr">
        <is>
          <t>MK00134</t>
        </is>
      </c>
      <c r="B1225" s="27" t="n">
        <v>528000313</v>
      </c>
      <c r="C1225" s="27" t="inlineStr">
        <is>
          <t>Muhamad Rifki</t>
        </is>
      </c>
      <c r="D1225" s="171" t="n">
        <v>46182.41666666666</v>
      </c>
      <c r="E1225" s="26" t="n">
        <v>0.2357407407407408</v>
      </c>
      <c r="F1225" s="27" t="inlineStr">
        <is>
          <t>Shift 1</t>
        </is>
      </c>
      <c r="G1225" s="27" t="n"/>
    </row>
    <row r="1226" hidden="1" s="169">
      <c r="A1226" s="27" t="inlineStr">
        <is>
          <t>MK00093</t>
        </is>
      </c>
      <c r="B1226" s="27" t="n">
        <v>528000298</v>
      </c>
      <c r="C1226" s="27" t="inlineStr">
        <is>
          <t>Desta Cahaya Pratama</t>
        </is>
      </c>
      <c r="D1226" s="171" t="n">
        <v>46182.41666666666</v>
      </c>
      <c r="E1226" s="26" t="n">
        <v>0.2381365740740741</v>
      </c>
      <c r="F1226" s="27" t="inlineStr">
        <is>
          <t>Shift 1</t>
        </is>
      </c>
      <c r="G1226" s="27" t="n"/>
    </row>
    <row r="1227" hidden="1" s="169">
      <c r="A1227" s="27" t="inlineStr">
        <is>
          <t>MK00181</t>
        </is>
      </c>
      <c r="B1227" s="27" t="n">
        <v>528000299</v>
      </c>
      <c r="C1227" s="27" t="inlineStr">
        <is>
          <t>Siti Nurjanah</t>
        </is>
      </c>
      <c r="D1227" s="171" t="n">
        <v>46182.41666666666</v>
      </c>
      <c r="E1227" s="26" t="n">
        <v>0.2386226851851852</v>
      </c>
      <c r="F1227" s="27" t="inlineStr">
        <is>
          <t>Shift 1</t>
        </is>
      </c>
      <c r="G1227" s="27" t="n"/>
    </row>
    <row r="1228" hidden="1" s="169">
      <c r="A1228" s="27" t="inlineStr">
        <is>
          <t>MK00121</t>
        </is>
      </c>
      <c r="B1228" s="27" t="n">
        <v>628000091</v>
      </c>
      <c r="C1228" s="27" t="inlineStr">
        <is>
          <t>Devita Handayani</t>
        </is>
      </c>
      <c r="D1228" s="171" t="n">
        <v>46182.41666666666</v>
      </c>
      <c r="E1228" s="26" t="n">
        <v>0.2387152777777778</v>
      </c>
      <c r="F1228" s="27" t="inlineStr">
        <is>
          <t>Shift 1</t>
        </is>
      </c>
      <c r="G1228" s="27" t="n"/>
    </row>
    <row r="1229" hidden="1" s="169">
      <c r="A1229" s="27" t="inlineStr">
        <is>
          <t>MK00203</t>
        </is>
      </c>
      <c r="B1229" s="27" t="n">
        <v>528000361</v>
      </c>
      <c r="C1229" s="27" t="inlineStr">
        <is>
          <t>Denada Munggarani</t>
        </is>
      </c>
      <c r="D1229" s="171" t="n">
        <v>46182.41666666666</v>
      </c>
      <c r="E1229" s="26" t="n">
        <v>0.2414583333333333</v>
      </c>
      <c r="F1229" s="27" t="inlineStr">
        <is>
          <t>Shift 1</t>
        </is>
      </c>
      <c r="G1229" s="27" t="n"/>
    </row>
    <row r="1230" hidden="1" s="169">
      <c r="A1230" s="27" t="inlineStr">
        <is>
          <t>MK00235</t>
        </is>
      </c>
      <c r="B1230" s="27" t="n">
        <v>528000318</v>
      </c>
      <c r="C1230" s="27" t="inlineStr">
        <is>
          <t>Bayu Padli Sepriyana</t>
        </is>
      </c>
      <c r="D1230" s="171" t="n">
        <v>46182.41666666666</v>
      </c>
      <c r="E1230" s="26" t="n">
        <v>0.2447453703703704</v>
      </c>
      <c r="F1230" s="27" t="inlineStr">
        <is>
          <t>Shift 1</t>
        </is>
      </c>
      <c r="G1230" s="27" t="n"/>
    </row>
    <row r="1231" hidden="1" s="169">
      <c r="A1231" s="27" t="inlineStr">
        <is>
          <t>MK00148</t>
        </is>
      </c>
      <c r="B1231" s="27" t="n">
        <v>528000270</v>
      </c>
      <c r="C1231" s="27" t="inlineStr">
        <is>
          <t>Febri Najmudin</t>
        </is>
      </c>
      <c r="D1231" s="171" t="n">
        <v>46182.41666666666</v>
      </c>
      <c r="E1231" s="26" t="n">
        <v>0.2450231481481482</v>
      </c>
      <c r="F1231" s="27" t="inlineStr">
        <is>
          <t>Shift 1</t>
        </is>
      </c>
      <c r="G1231" s="27" t="n"/>
    </row>
    <row r="1232" hidden="1" s="169">
      <c r="A1232" s="27" t="inlineStr">
        <is>
          <t>MK00160</t>
        </is>
      </c>
      <c r="B1232" s="27" t="n">
        <v>528000309</v>
      </c>
      <c r="C1232" s="27" t="inlineStr">
        <is>
          <t>Ilham Ramadhan</t>
        </is>
      </c>
      <c r="D1232" s="171" t="n">
        <v>46182.41666666666</v>
      </c>
      <c r="E1232" s="26" t="n">
        <v>0.2472685185185185</v>
      </c>
      <c r="F1232" s="27" t="inlineStr">
        <is>
          <t>Shift 1</t>
        </is>
      </c>
      <c r="G1232" s="27" t="n"/>
    </row>
    <row r="1233" hidden="1" s="169">
      <c r="A1233" s="27" t="inlineStr">
        <is>
          <t>MK00208</t>
        </is>
      </c>
      <c r="B1233" s="27" t="n">
        <v>528000302</v>
      </c>
      <c r="C1233" s="27" t="inlineStr">
        <is>
          <t>Henkey gumilar</t>
        </is>
      </c>
      <c r="D1233" s="171" t="n">
        <v>46182.41666666666</v>
      </c>
      <c r="E1233" s="26" t="n">
        <v>0.2493055555555556</v>
      </c>
      <c r="F1233" s="27" t="inlineStr">
        <is>
          <t>Shift 1</t>
        </is>
      </c>
      <c r="G1233" s="27" t="n"/>
    </row>
    <row r="1234" hidden="1" s="169">
      <c r="A1234" s="27" t="inlineStr">
        <is>
          <t>MK00158</t>
        </is>
      </c>
      <c r="B1234" s="27" t="n">
        <v>528000340</v>
      </c>
      <c r="C1234" s="27" t="inlineStr">
        <is>
          <t>Muhammad Wildan Adithya</t>
        </is>
      </c>
      <c r="D1234" s="171" t="n">
        <v>46182.41666666666</v>
      </c>
      <c r="E1234" s="26" t="n">
        <v>0.2529050925925926</v>
      </c>
      <c r="F1234" s="27" t="inlineStr">
        <is>
          <t>Shift 1</t>
        </is>
      </c>
      <c r="G1234" s="27" t="n"/>
    </row>
    <row r="1235" hidden="1" s="169">
      <c r="A1235" s="27" t="inlineStr">
        <is>
          <t>MK00213</t>
        </is>
      </c>
      <c r="B1235" s="27" t="n">
        <v>528000282</v>
      </c>
      <c r="C1235" s="27" t="inlineStr">
        <is>
          <t>Defa Desfiana</t>
        </is>
      </c>
      <c r="D1235" s="171" t="n">
        <v>46182.41666666666</v>
      </c>
      <c r="E1235" s="26" t="n">
        <v>0.3190393518518518</v>
      </c>
      <c r="F1235" s="27" t="inlineStr">
        <is>
          <t>Shift 1</t>
        </is>
      </c>
      <c r="G1235" s="27" t="inlineStr">
        <is>
          <t>23c</t>
        </is>
      </c>
    </row>
    <row r="1236" hidden="1" s="169">
      <c r="A1236" s="27" t="inlineStr">
        <is>
          <t>MK00249</t>
        </is>
      </c>
      <c r="B1236" s="27" t="n">
        <v>528000265</v>
      </c>
      <c r="C1236" s="27" t="inlineStr">
        <is>
          <t>Muhammad Haerul Rozikin</t>
        </is>
      </c>
      <c r="D1236" s="171" t="n">
        <v>46182.41666666666</v>
      </c>
      <c r="E1236" s="26" t="n">
        <v>0.3201851851851852</v>
      </c>
      <c r="F1236" s="27" t="inlineStr">
        <is>
          <t>Shift 1</t>
        </is>
      </c>
      <c r="G1236" s="27" t="n"/>
    </row>
    <row r="1237" hidden="1" s="169">
      <c r="A1237" s="27" t="inlineStr">
        <is>
          <t>MK00250</t>
        </is>
      </c>
      <c r="B1237" s="27" t="n">
        <v>528000310</v>
      </c>
      <c r="C1237" s="27" t="inlineStr">
        <is>
          <t>Fachrul Rozzi Suryana</t>
        </is>
      </c>
      <c r="D1237" s="171" t="n">
        <v>46182.41666666666</v>
      </c>
      <c r="E1237" s="26" t="n">
        <v>0.3327430555555556</v>
      </c>
      <c r="F1237" s="27" t="inlineStr">
        <is>
          <t>Shift 1</t>
        </is>
      </c>
      <c r="G1237" s="27" t="n"/>
    </row>
    <row r="1238" hidden="1" s="169">
      <c r="A1238" s="27" t="inlineStr">
        <is>
          <t>MK0130</t>
        </is>
      </c>
      <c r="B1238" s="27" t="n">
        <v>528000149</v>
      </c>
      <c r="C1238" s="27" t="inlineStr">
        <is>
          <t>Tio Fernanda</t>
        </is>
      </c>
      <c r="D1238" s="171" t="n">
        <v>46182.41666666666</v>
      </c>
      <c r="E1238" s="26" t="n">
        <v>0.3706365740740741</v>
      </c>
      <c r="F1238" s="27" t="inlineStr">
        <is>
          <t>Shift 1</t>
        </is>
      </c>
      <c r="G1238" s="27" t="n"/>
    </row>
    <row r="1239" hidden="1" s="169">
      <c r="A1239" s="27" t="inlineStr">
        <is>
          <t>MM00204</t>
        </is>
      </c>
      <c r="B1239" s="27" t="n">
        <v>528000132</v>
      </c>
      <c r="C1239" s="27" t="inlineStr">
        <is>
          <t>Giopani</t>
        </is>
      </c>
      <c r="D1239" s="171" t="n">
        <v>46182.41666666666</v>
      </c>
      <c r="E1239" s="26" t="n">
        <v>0.3740625</v>
      </c>
      <c r="F1239" s="27" t="inlineStr">
        <is>
          <t>Shift 1</t>
        </is>
      </c>
      <c r="G1239" s="27" t="n"/>
    </row>
    <row r="1240" hidden="1" s="169">
      <c r="A1240" s="27" t="inlineStr">
        <is>
          <t>MK00204</t>
        </is>
      </c>
      <c r="B1240" s="27" t="n">
        <v>528000232</v>
      </c>
      <c r="C1240" s="27" t="inlineStr">
        <is>
          <t>Agung Aji Suhada</t>
        </is>
      </c>
      <c r="D1240" s="171" t="n">
        <v>46182.41666666666</v>
      </c>
      <c r="E1240" s="26" t="n">
        <v>0.3754398148148148</v>
      </c>
      <c r="F1240" s="27" t="inlineStr">
        <is>
          <t>Shift 1</t>
        </is>
      </c>
      <c r="G1240" s="27" t="n"/>
    </row>
    <row r="1241" hidden="1" s="169">
      <c r="A1241" s="27" t="inlineStr">
        <is>
          <t>MK00228</t>
        </is>
      </c>
      <c r="B1241" s="27" t="n">
        <v>528000132</v>
      </c>
      <c r="C1241" s="27" t="inlineStr">
        <is>
          <t>Giopani</t>
        </is>
      </c>
      <c r="D1241" s="171" t="n">
        <v>46182.41666666666</v>
      </c>
      <c r="E1241" s="26" t="n">
        <v>0.3763310185185185</v>
      </c>
      <c r="F1241" s="27" t="inlineStr">
        <is>
          <t>Shift 1</t>
        </is>
      </c>
      <c r="G1241" s="27" t="n"/>
    </row>
    <row r="1242" hidden="1" s="169">
      <c r="A1242" s="27" t="inlineStr">
        <is>
          <t>MK00145</t>
        </is>
      </c>
      <c r="B1242" s="27" t="n">
        <v>528000349</v>
      </c>
      <c r="C1242" s="27" t="inlineStr">
        <is>
          <t>Anas Abdul Fatah</t>
        </is>
      </c>
      <c r="D1242" s="171" t="n">
        <v>46182.41666666666</v>
      </c>
      <c r="E1242" s="26" t="n">
        <v>0.4026273148148148</v>
      </c>
      <c r="F1242" s="27" t="inlineStr">
        <is>
          <t>Shift 1</t>
        </is>
      </c>
      <c r="G1242" s="27" t="n"/>
    </row>
    <row r="1243" hidden="1" s="169">
      <c r="A1243" s="27" t="inlineStr">
        <is>
          <t>MK00085</t>
        </is>
      </c>
      <c r="B1243" s="27" t="n">
        <v>528000324</v>
      </c>
      <c r="C1243" s="27" t="inlineStr">
        <is>
          <t>Sri Yanti</t>
        </is>
      </c>
      <c r="D1243" s="171" t="n">
        <v>46182.41666666666</v>
      </c>
      <c r="E1243" s="26" t="n">
        <v>0.5532986111111111</v>
      </c>
      <c r="F1243" s="27" t="inlineStr">
        <is>
          <t>Shift 2</t>
        </is>
      </c>
      <c r="G1243" s="27" t="n"/>
    </row>
    <row r="1244" hidden="1" s="169">
      <c r="A1244" s="27" t="inlineStr">
        <is>
          <t>MK00109</t>
        </is>
      </c>
      <c r="B1244" s="27" t="n">
        <v>528000300</v>
      </c>
      <c r="C1244" s="27" t="inlineStr">
        <is>
          <t>Lia pitaloka</t>
        </is>
      </c>
      <c r="D1244" s="171" t="n">
        <v>46182.41666666666</v>
      </c>
      <c r="E1244" s="26" t="n">
        <v>0.5789814814814814</v>
      </c>
      <c r="F1244" s="27" t="inlineStr">
        <is>
          <t>Shift 2</t>
        </is>
      </c>
      <c r="G1244" s="27" t="n"/>
    </row>
    <row r="1245" hidden="1" s="169">
      <c r="A1245" s="27" t="inlineStr">
        <is>
          <t>MK00095</t>
        </is>
      </c>
      <c r="B1245" s="27" t="n">
        <v>528000288</v>
      </c>
      <c r="C1245" s="27" t="inlineStr">
        <is>
          <t>Dede gunawan</t>
        </is>
      </c>
      <c r="D1245" s="171" t="n">
        <v>46182.41666666666</v>
      </c>
      <c r="E1245" s="26" t="n">
        <v>0.5798148148148148</v>
      </c>
      <c r="F1245" s="27" t="inlineStr">
        <is>
          <t>Shift 2</t>
        </is>
      </c>
      <c r="G1245" s="27" t="n"/>
    </row>
    <row r="1246" hidden="1" s="169">
      <c r="A1246" s="27" t="inlineStr">
        <is>
          <t>MK00212</t>
        </is>
      </c>
      <c r="B1246" s="27" t="n">
        <v>628000064</v>
      </c>
      <c r="C1246" s="27" t="inlineStr">
        <is>
          <t>Silva Alypia</t>
        </is>
      </c>
      <c r="D1246" s="171" t="n">
        <v>46182.41666666666</v>
      </c>
      <c r="E1246" s="26" t="n">
        <v>0.580925925925926</v>
      </c>
      <c r="F1246" s="27" t="inlineStr">
        <is>
          <t>Shift 2</t>
        </is>
      </c>
      <c r="G1246" s="27" t="n"/>
    </row>
    <row r="1247" hidden="1" s="169">
      <c r="A1247" s="27" t="inlineStr">
        <is>
          <t>MK00136</t>
        </is>
      </c>
      <c r="B1247" s="27" t="n">
        <v>528000279</v>
      </c>
      <c r="C1247" s="27" t="inlineStr">
        <is>
          <t>Mahdalena Dalfa Riani</t>
        </is>
      </c>
      <c r="D1247" s="171" t="n">
        <v>46182.41666666666</v>
      </c>
      <c r="E1247" s="26" t="n">
        <v>0.5821296296296297</v>
      </c>
      <c r="F1247" s="27" t="inlineStr">
        <is>
          <t>Shift 2</t>
        </is>
      </c>
      <c r="G1247" s="27" t="n"/>
    </row>
    <row r="1248" hidden="1" s="169">
      <c r="A1248" s="27" t="inlineStr">
        <is>
          <t>MK00055</t>
        </is>
      </c>
      <c r="B1248" s="27" t="n">
        <v>528000248</v>
      </c>
      <c r="C1248" s="27" t="inlineStr">
        <is>
          <t>Roka Jaya Salka Mulya</t>
        </is>
      </c>
      <c r="D1248" s="171" t="n">
        <v>46182.41666666666</v>
      </c>
      <c r="E1248" s="26" t="n">
        <v>0.5824537037037038</v>
      </c>
      <c r="F1248" s="27" t="inlineStr">
        <is>
          <t>Shift 2</t>
        </is>
      </c>
      <c r="G1248" s="27" t="n"/>
    </row>
    <row r="1249" hidden="1" s="169">
      <c r="A1249" s="27" t="inlineStr">
        <is>
          <t>MK00136</t>
        </is>
      </c>
      <c r="B1249" s="27" t="n">
        <v>528000279</v>
      </c>
      <c r="C1249" s="27" t="inlineStr">
        <is>
          <t>Mahdalena Dalfa Riani</t>
        </is>
      </c>
      <c r="D1249" s="171" t="n">
        <v>46182.41666666666</v>
      </c>
      <c r="E1249" s="26" t="n">
        <v>0.5846412037037036</v>
      </c>
      <c r="F1249" s="27" t="inlineStr">
        <is>
          <t>Shift 2</t>
        </is>
      </c>
      <c r="G1249" s="27" t="n"/>
    </row>
    <row r="1250" hidden="1" s="169">
      <c r="A1250" s="27" t="inlineStr">
        <is>
          <t>MK00160</t>
        </is>
      </c>
      <c r="B1250" s="27" t="n">
        <v>528000063</v>
      </c>
      <c r="C1250" s="27" t="inlineStr">
        <is>
          <t>Muhamad Ripki Pebrian</t>
        </is>
      </c>
      <c r="D1250" s="171" t="n">
        <v>46182.41666666666</v>
      </c>
      <c r="E1250" s="26" t="n">
        <v>0.5942708333333333</v>
      </c>
      <c r="F1250" s="27" t="inlineStr">
        <is>
          <t>Shift 2</t>
        </is>
      </c>
      <c r="G1250" s="27" t="n"/>
    </row>
    <row r="1251" hidden="1" s="169">
      <c r="A1251" s="27" t="inlineStr">
        <is>
          <t>ML00148</t>
        </is>
      </c>
      <c r="B1251" s="27" t="n">
        <v>528000297</v>
      </c>
      <c r="C1251" s="27" t="inlineStr">
        <is>
          <t>Muhamad Budiana</t>
        </is>
      </c>
      <c r="D1251" s="171" t="n">
        <v>46182.41666666666</v>
      </c>
      <c r="E1251" s="26" t="n">
        <v>0.604224537037037</v>
      </c>
      <c r="F1251" s="27" t="inlineStr">
        <is>
          <t>Shift 2</t>
        </is>
      </c>
      <c r="G1251" s="27" t="n"/>
    </row>
    <row r="1252" hidden="1" s="169">
      <c r="A1252" s="27" t="inlineStr">
        <is>
          <t>MK00203</t>
        </is>
      </c>
      <c r="B1252" s="27" t="n">
        <v>528000361</v>
      </c>
      <c r="C1252" s="27" t="inlineStr">
        <is>
          <t>Denada Munggarani</t>
        </is>
      </c>
      <c r="D1252" s="171" t="n">
        <v>46182.41666666666</v>
      </c>
      <c r="E1252" s="26" t="n">
        <v>0.6214004629629629</v>
      </c>
      <c r="F1252" s="27" t="inlineStr">
        <is>
          <t>Shift 2</t>
        </is>
      </c>
      <c r="G1252" s="27" t="n"/>
    </row>
    <row r="1253">
      <c r="A1253" s="27" t="inlineStr">
        <is>
          <t>MK00216</t>
        </is>
      </c>
      <c r="B1253" s="27" t="n">
        <v>528000015</v>
      </c>
      <c r="C1253" s="27" t="inlineStr">
        <is>
          <t>Erwin</t>
        </is>
      </c>
      <c r="D1253" s="171" t="n">
        <v>46182.41666666666</v>
      </c>
      <c r="E1253" s="26" t="n">
        <v>0.6578472222222222</v>
      </c>
      <c r="F1253" s="27" t="inlineStr">
        <is>
          <t>Shift 2</t>
        </is>
      </c>
      <c r="G1253" s="27" t="n"/>
    </row>
    <row r="1254" hidden="1" s="169">
      <c r="A1254" s="27" t="inlineStr">
        <is>
          <t>MK00125</t>
        </is>
      </c>
      <c r="B1254" s="27" t="n">
        <v>528000314</v>
      </c>
      <c r="C1254" s="27" t="inlineStr">
        <is>
          <t>Rusmana</t>
        </is>
      </c>
      <c r="D1254" s="171" t="n">
        <v>46182.41666666666</v>
      </c>
      <c r="E1254" s="26" t="n">
        <v>0.6606365740740741</v>
      </c>
      <c r="F1254" s="27" t="inlineStr">
        <is>
          <t>Shift 2</t>
        </is>
      </c>
      <c r="G1254" s="27" t="n"/>
    </row>
    <row r="1255" hidden="1" s="169">
      <c r="A1255" s="27" t="inlineStr">
        <is>
          <t>MK00205</t>
        </is>
      </c>
      <c r="B1255" s="27" t="n">
        <v>528000348</v>
      </c>
      <c r="C1255" s="27" t="inlineStr">
        <is>
          <t>Saepuloh Ardiansah</t>
        </is>
      </c>
      <c r="D1255" s="171" t="n">
        <v>46182.41666666666</v>
      </c>
      <c r="E1255" s="26" t="n">
        <v>0.6643981481481481</v>
      </c>
      <c r="F1255" s="27" t="inlineStr">
        <is>
          <t>Shift 2</t>
        </is>
      </c>
      <c r="G1255" s="27" t="n"/>
    </row>
    <row r="1256" hidden="1" s="169">
      <c r="A1256" s="27" t="inlineStr">
        <is>
          <t>MK00221</t>
        </is>
      </c>
      <c r="B1256" s="27" t="n">
        <v>528000144</v>
      </c>
      <c r="C1256" s="27" t="inlineStr">
        <is>
          <t>Jodi Hanafi</t>
        </is>
      </c>
      <c r="D1256" s="171" t="n">
        <v>46182.41666666666</v>
      </c>
      <c r="E1256" s="26" t="n">
        <v>0.67</v>
      </c>
      <c r="F1256" s="27" t="inlineStr">
        <is>
          <t>Shift 2</t>
        </is>
      </c>
      <c r="G1256" s="27" t="n"/>
    </row>
    <row r="1257" hidden="1" s="169">
      <c r="A1257" s="27" t="inlineStr">
        <is>
          <t>MK00202</t>
        </is>
      </c>
      <c r="B1257" s="27" t="n">
        <v>528000337</v>
      </c>
      <c r="C1257" s="27" t="inlineStr">
        <is>
          <t>Ahmad Zaldi Firdaus</t>
        </is>
      </c>
      <c r="D1257" s="171" t="n">
        <v>46182.41666666666</v>
      </c>
      <c r="E1257" s="26" t="n">
        <v>0.8740509259259259</v>
      </c>
      <c r="F1257" s="27" t="inlineStr">
        <is>
          <t>Shift 2</t>
        </is>
      </c>
      <c r="G1257" s="27" t="n"/>
    </row>
    <row r="1258" hidden="1" s="169">
      <c r="A1258" s="27" t="inlineStr">
        <is>
          <t>MK00235</t>
        </is>
      </c>
      <c r="B1258" s="27" t="n">
        <v>528000052</v>
      </c>
      <c r="C1258" s="27" t="inlineStr">
        <is>
          <t>Mustopa</t>
        </is>
      </c>
      <c r="D1258" s="171" t="n">
        <v>46182.41666666666</v>
      </c>
      <c r="E1258" s="26" t="n">
        <v>0.8765972222222222</v>
      </c>
      <c r="F1258" s="27" t="inlineStr">
        <is>
          <t>Shift 3</t>
        </is>
      </c>
      <c r="G1258" s="27" t="n"/>
    </row>
    <row r="1259" hidden="1" s="169">
      <c r="A1259" s="27" t="inlineStr">
        <is>
          <t>MK00185</t>
        </is>
      </c>
      <c r="B1259" s="27" t="n">
        <v>528000336</v>
      </c>
      <c r="C1259" s="27" t="inlineStr">
        <is>
          <t>Ali Nurhanafi</t>
        </is>
      </c>
      <c r="D1259" s="171" t="n">
        <v>46182.41666666666</v>
      </c>
      <c r="E1259" s="26" t="n">
        <v>0.8825810185185186</v>
      </c>
      <c r="F1259" s="27" t="inlineStr">
        <is>
          <t>Shift 3</t>
        </is>
      </c>
      <c r="G1259" s="27" t="n"/>
    </row>
    <row r="1260" hidden="1" s="169">
      <c r="A1260" s="27" t="inlineStr">
        <is>
          <t>MK00108</t>
        </is>
      </c>
      <c r="B1260" s="27" t="n">
        <v>528000195</v>
      </c>
      <c r="C1260" s="27" t="inlineStr">
        <is>
          <t>Rahma Sariwati</t>
        </is>
      </c>
      <c r="D1260" s="171" t="n">
        <v>46182.41666666666</v>
      </c>
      <c r="E1260" s="26" t="n">
        <v>0.8969560185185185</v>
      </c>
      <c r="F1260" s="27" t="inlineStr">
        <is>
          <t>Shift 3</t>
        </is>
      </c>
      <c r="G1260" s="27" t="n"/>
    </row>
    <row r="1261" hidden="1" s="169">
      <c r="A1261" s="27" t="inlineStr">
        <is>
          <t>MK00150</t>
        </is>
      </c>
      <c r="B1261" s="27" t="n">
        <v>528000266</v>
      </c>
      <c r="C1261" s="27" t="inlineStr">
        <is>
          <t>M. Syirajatieq</t>
        </is>
      </c>
      <c r="D1261" s="171" t="n">
        <v>46182.41666666666</v>
      </c>
      <c r="E1261" s="26" t="n">
        <v>0.9004166666666666</v>
      </c>
      <c r="F1261" s="27" t="inlineStr">
        <is>
          <t>Shift 3</t>
        </is>
      </c>
      <c r="G1261" s="27" t="n"/>
    </row>
    <row r="1262" hidden="1" s="169">
      <c r="A1262" s="27" t="inlineStr">
        <is>
          <t>MK00210</t>
        </is>
      </c>
      <c r="B1262" s="27" t="n">
        <v>528000262</v>
      </c>
      <c r="C1262" s="27" t="inlineStr">
        <is>
          <t>Ndari Dwiwanti</t>
        </is>
      </c>
      <c r="D1262" s="171" t="n">
        <v>46182.41666666666</v>
      </c>
      <c r="E1262" s="26" t="n">
        <v>0.9027777777777778</v>
      </c>
      <c r="F1262" s="27" t="inlineStr">
        <is>
          <t>Shift 3</t>
        </is>
      </c>
      <c r="G1262" s="27" t="n"/>
    </row>
    <row r="1263" hidden="1" s="169">
      <c r="A1263" s="27" t="inlineStr">
        <is>
          <t>MK00209</t>
        </is>
      </c>
      <c r="B1263" s="27" t="n">
        <v>528000306</v>
      </c>
      <c r="C1263" s="27" t="inlineStr">
        <is>
          <t>Windy Olivia</t>
        </is>
      </c>
      <c r="D1263" s="171" t="n">
        <v>46182.41666666666</v>
      </c>
      <c r="E1263" s="26" t="n">
        <v>0.9043865740740741</v>
      </c>
      <c r="F1263" s="27" t="inlineStr">
        <is>
          <t>Shift 3</t>
        </is>
      </c>
      <c r="G1263" s="27" t="n"/>
    </row>
    <row r="1264" hidden="1" s="169">
      <c r="A1264" s="27" t="inlineStr">
        <is>
          <t>MK00250</t>
        </is>
      </c>
      <c r="B1264" s="27" t="n">
        <v>528000358</v>
      </c>
      <c r="C1264" s="27" t="inlineStr">
        <is>
          <t>Lulu Agustin</t>
        </is>
      </c>
      <c r="D1264" s="171" t="n">
        <v>46182.41666666666</v>
      </c>
      <c r="E1264" s="26" t="n">
        <v>0.9056712962962963</v>
      </c>
      <c r="F1264" s="27" t="inlineStr">
        <is>
          <t>Shift 3</t>
        </is>
      </c>
      <c r="G1264" s="27" t="n"/>
    </row>
    <row r="1265" hidden="1" s="169">
      <c r="A1265" s="27" t="inlineStr">
        <is>
          <t>MK00141</t>
        </is>
      </c>
      <c r="B1265" s="27" t="n">
        <v>528000261</v>
      </c>
      <c r="C1265" s="27" t="inlineStr">
        <is>
          <t>Ergi Ergianto</t>
        </is>
      </c>
      <c r="D1265" s="171" t="n">
        <v>46182.41666666666</v>
      </c>
      <c r="E1265" s="26" t="n">
        <v>0.909224537037037</v>
      </c>
      <c r="F1265" s="27" t="inlineStr">
        <is>
          <t>Shift 3</t>
        </is>
      </c>
      <c r="G1265" s="27" t="n"/>
    </row>
    <row r="1266" hidden="1" s="169">
      <c r="A1266" s="27" t="inlineStr">
        <is>
          <t>MK00116</t>
        </is>
      </c>
      <c r="B1266" s="27" t="n">
        <v>528000283</v>
      </c>
      <c r="C1266" s="27" t="inlineStr">
        <is>
          <t>Purwanda Sugiri</t>
        </is>
      </c>
      <c r="D1266" s="171" t="n">
        <v>46182.41666666666</v>
      </c>
      <c r="E1266" s="26" t="n">
        <v>0.9127546296296296</v>
      </c>
      <c r="F1266" s="27" t="inlineStr">
        <is>
          <t>Shift 3</t>
        </is>
      </c>
      <c r="G1266" s="27" t="n"/>
    </row>
    <row r="1267" hidden="1" s="169">
      <c r="A1267" s="27" t="inlineStr">
        <is>
          <t>MK00113</t>
        </is>
      </c>
      <c r="B1267" s="27" t="n">
        <v>528000291</v>
      </c>
      <c r="C1267" s="27" t="inlineStr">
        <is>
          <t>Andrian</t>
        </is>
      </c>
      <c r="D1267" s="171" t="n">
        <v>46182.41666666666</v>
      </c>
      <c r="E1267" s="26" t="n">
        <v>0.9130208333333333</v>
      </c>
      <c r="F1267" s="27" t="inlineStr">
        <is>
          <t>Shift 3</t>
        </is>
      </c>
      <c r="G1267" s="27" t="n"/>
    </row>
    <row r="1268" hidden="1" s="169">
      <c r="A1268" s="27" t="inlineStr">
        <is>
          <t>MK00230</t>
        </is>
      </c>
      <c r="B1268" s="27" t="n">
        <v>528000313</v>
      </c>
      <c r="C1268" s="27" t="inlineStr">
        <is>
          <t>Muhamad Rifki</t>
        </is>
      </c>
      <c r="D1268" s="171" t="n">
        <v>46183.41666666666</v>
      </c>
      <c r="E1268" s="26" t="n">
        <v>0.2290393518518518</v>
      </c>
      <c r="F1268" s="27" t="inlineStr">
        <is>
          <t>Shift 1</t>
        </is>
      </c>
      <c r="G1268" s="27" t="n"/>
    </row>
    <row r="1269" hidden="1" s="169">
      <c r="A1269" s="27" t="inlineStr">
        <is>
          <t>MK00160</t>
        </is>
      </c>
      <c r="B1269" s="27" t="n">
        <v>528000299</v>
      </c>
      <c r="C1269" s="27" t="inlineStr">
        <is>
          <t>Siti Nurjanah</t>
        </is>
      </c>
      <c r="D1269" s="171" t="n">
        <v>46183.41666666666</v>
      </c>
      <c r="E1269" s="26" t="n">
        <v>0.2311111111111111</v>
      </c>
      <c r="F1269" s="27" t="inlineStr">
        <is>
          <t>Shift 1</t>
        </is>
      </c>
      <c r="G1269" s="27" t="n"/>
    </row>
    <row r="1270" hidden="1" s="169">
      <c r="A1270" s="27" t="inlineStr">
        <is>
          <t>MK00008</t>
        </is>
      </c>
      <c r="B1270" s="27" t="n">
        <v>528000305</v>
      </c>
      <c r="C1270" s="27" t="inlineStr">
        <is>
          <t>Puji Puspita</t>
        </is>
      </c>
      <c r="D1270" s="171" t="n">
        <v>46183.41666666666</v>
      </c>
      <c r="E1270" s="26" t="n">
        <v>0.2314351851851852</v>
      </c>
      <c r="F1270" s="27" t="inlineStr">
        <is>
          <t>Shift 1</t>
        </is>
      </c>
      <c r="G1270" s="27" t="n"/>
    </row>
    <row r="1271" hidden="1" s="169">
      <c r="A1271" s="27" t="inlineStr">
        <is>
          <t>MK00213</t>
        </is>
      </c>
      <c r="B1271" s="27" t="n">
        <v>528000270</v>
      </c>
      <c r="C1271" s="27" t="inlineStr">
        <is>
          <t>Febri Najmudin</t>
        </is>
      </c>
      <c r="D1271" s="171" t="n">
        <v>46183.41666666666</v>
      </c>
      <c r="E1271" s="26" t="n">
        <v>0.241724537037037</v>
      </c>
      <c r="F1271" s="27" t="inlineStr">
        <is>
          <t>Shift 1</t>
        </is>
      </c>
      <c r="G1271" s="27" t="n"/>
    </row>
    <row r="1272" hidden="1" s="169">
      <c r="A1272" s="27" t="inlineStr">
        <is>
          <t>MK00181</t>
        </is>
      </c>
      <c r="B1272" s="27" t="n">
        <v>528000340</v>
      </c>
      <c r="C1272" s="27" t="inlineStr">
        <is>
          <t>Muhammad Wildan Adithya</t>
        </is>
      </c>
      <c r="D1272" s="171" t="n">
        <v>46183.41666666666</v>
      </c>
      <c r="E1272" s="26" t="n">
        <v>0.2428240740740741</v>
      </c>
      <c r="F1272" s="27" t="inlineStr">
        <is>
          <t>Shift 1</t>
        </is>
      </c>
      <c r="G1272" s="27" t="n"/>
    </row>
    <row r="1273" hidden="1" s="169">
      <c r="A1273" s="27" t="inlineStr">
        <is>
          <t>MK00148</t>
        </is>
      </c>
      <c r="B1273" s="27" t="n">
        <v>528000318</v>
      </c>
      <c r="C1273" s="27" t="inlineStr">
        <is>
          <t>Bayu Padli Sepriyana</t>
        </is>
      </c>
      <c r="D1273" s="171" t="n">
        <v>46183.41666666666</v>
      </c>
      <c r="E1273" s="26" t="n">
        <v>0.2430208333333333</v>
      </c>
      <c r="F1273" s="27" t="inlineStr">
        <is>
          <t>Shift 1</t>
        </is>
      </c>
      <c r="G1273" s="27" t="n"/>
    </row>
    <row r="1274" hidden="1" s="169">
      <c r="A1274" s="27" t="inlineStr">
        <is>
          <t>MK00212</t>
        </is>
      </c>
      <c r="B1274" s="27" t="n">
        <v>528000309</v>
      </c>
      <c r="C1274" s="27" t="inlineStr">
        <is>
          <t>Ilham Ramadhan</t>
        </is>
      </c>
      <c r="D1274" s="171" t="n">
        <v>46183.41666666666</v>
      </c>
      <c r="E1274" s="26" t="n">
        <v>0.2468402777777778</v>
      </c>
      <c r="F1274" s="27" t="inlineStr">
        <is>
          <t>Shift 1</t>
        </is>
      </c>
      <c r="G1274" s="27" t="n"/>
    </row>
    <row r="1275" hidden="1" s="169">
      <c r="A1275" s="27" t="inlineStr">
        <is>
          <t>MK00210</t>
        </is>
      </c>
      <c r="B1275" s="27" t="n">
        <v>528000282</v>
      </c>
      <c r="C1275" s="27" t="inlineStr">
        <is>
          <t>Defa Desfiana</t>
        </is>
      </c>
      <c r="D1275" s="171" t="n">
        <v>46183.41666666666</v>
      </c>
      <c r="E1275" s="26" t="n">
        <v>0.3161574074074074</v>
      </c>
      <c r="F1275" s="27" t="inlineStr">
        <is>
          <t>Shift 1</t>
        </is>
      </c>
      <c r="G1275" s="27" t="inlineStr">
        <is>
          <t>7b</t>
        </is>
      </c>
    </row>
    <row r="1276" hidden="1" s="169">
      <c r="A1276" s="27" t="inlineStr">
        <is>
          <t>MK00113</t>
        </is>
      </c>
      <c r="B1276" s="27" t="n">
        <v>528000265</v>
      </c>
      <c r="C1276" s="27" t="inlineStr">
        <is>
          <t>Muhammad Haerul Rozikin</t>
        </is>
      </c>
      <c r="D1276" s="171" t="n">
        <v>46183.41666666666</v>
      </c>
      <c r="E1276" s="26" t="n">
        <v>0.3255439814814815</v>
      </c>
      <c r="F1276" s="27" t="inlineStr">
        <is>
          <t>Shift 1</t>
        </is>
      </c>
      <c r="G1276" s="27" t="n"/>
    </row>
    <row r="1277" hidden="1" s="169">
      <c r="A1277" s="27" t="inlineStr">
        <is>
          <t>MK00250</t>
        </is>
      </c>
      <c r="B1277" s="27" t="n">
        <v>528000310</v>
      </c>
      <c r="C1277" s="27" t="inlineStr">
        <is>
          <t>Fachrul Rozzi Suryana</t>
        </is>
      </c>
      <c r="D1277" s="171" t="n">
        <v>46183.41666666666</v>
      </c>
      <c r="E1277" s="26" t="n">
        <v>0.3298958333333333</v>
      </c>
      <c r="F1277" s="27" t="inlineStr">
        <is>
          <t>Shift 1</t>
        </is>
      </c>
      <c r="G1277" s="27" t="inlineStr">
        <is>
          <t>5B</t>
        </is>
      </c>
    </row>
    <row r="1278" hidden="1" s="169">
      <c r="A1278" s="27" t="inlineStr">
        <is>
          <t>MK00204</t>
        </is>
      </c>
      <c r="B1278" s="27" t="n">
        <v>528000232</v>
      </c>
      <c r="C1278" s="27" t="inlineStr">
        <is>
          <t>Agung Aji Suhada</t>
        </is>
      </c>
      <c r="D1278" s="171" t="n">
        <v>46183.41666666666</v>
      </c>
      <c r="E1278" s="26" t="n">
        <v>0.3699189814814815</v>
      </c>
      <c r="F1278" s="27" t="inlineStr">
        <is>
          <t>Shift 1</t>
        </is>
      </c>
      <c r="G1278" s="27" t="n"/>
    </row>
    <row r="1279" hidden="1" s="169">
      <c r="A1279" s="27" t="inlineStr">
        <is>
          <t>MK0130</t>
        </is>
      </c>
      <c r="B1279" s="27" t="n">
        <v>528000149</v>
      </c>
      <c r="C1279" s="27" t="inlineStr">
        <is>
          <t>Tio Fernanda</t>
        </is>
      </c>
      <c r="D1279" s="171" t="n">
        <v>46183.41666666666</v>
      </c>
      <c r="E1279" s="26" t="n">
        <v>0.376087962962963</v>
      </c>
      <c r="F1279" s="27" t="inlineStr">
        <is>
          <t>Shift 1</t>
        </is>
      </c>
      <c r="G1279" s="27" t="n"/>
    </row>
    <row r="1280" hidden="1" s="169">
      <c r="A1280" s="27" t="inlineStr">
        <is>
          <t>MK00228</t>
        </is>
      </c>
      <c r="B1280" s="27" t="n">
        <v>528000132</v>
      </c>
      <c r="C1280" s="27" t="inlineStr">
        <is>
          <t>Giopani</t>
        </is>
      </c>
      <c r="D1280" s="171" t="n">
        <v>46183.41666666666</v>
      </c>
      <c r="E1280" s="26" t="n">
        <v>0.3761574074074074</v>
      </c>
      <c r="F1280" s="27" t="inlineStr">
        <is>
          <t>Shift 1</t>
        </is>
      </c>
      <c r="G1280" s="27" t="n"/>
    </row>
    <row r="1281">
      <c r="A1281" s="27" t="inlineStr">
        <is>
          <t>MK00214</t>
        </is>
      </c>
      <c r="B1281" s="27" t="n">
        <v>528000015</v>
      </c>
      <c r="C1281" s="27" t="inlineStr">
        <is>
          <t>Erwin</t>
        </is>
      </c>
      <c r="D1281" s="171" t="n">
        <v>46183.41666666666</v>
      </c>
      <c r="E1281" s="26" t="n">
        <v>0.5283449074074074</v>
      </c>
      <c r="F1281" s="27" t="inlineStr">
        <is>
          <t>Shift 1</t>
        </is>
      </c>
      <c r="G1281" s="27" t="n"/>
    </row>
    <row r="1282" hidden="1" s="169">
      <c r="A1282" s="27" t="inlineStr">
        <is>
          <t>MK00125</t>
        </is>
      </c>
      <c r="B1282" s="27" t="n">
        <v>528000314</v>
      </c>
      <c r="C1282" s="27" t="inlineStr">
        <is>
          <t>Rusmana</t>
        </is>
      </c>
      <c r="D1282" s="171" t="n">
        <v>46183.41666666666</v>
      </c>
      <c r="E1282" s="26" t="n">
        <v>0.5334375</v>
      </c>
      <c r="F1282" s="27" t="inlineStr">
        <is>
          <t>Shift 1</t>
        </is>
      </c>
      <c r="G1282" s="27" t="n"/>
    </row>
    <row r="1283" hidden="1" s="169">
      <c r="A1283" s="27" t="inlineStr">
        <is>
          <t>MK00221</t>
        </is>
      </c>
      <c r="B1283" s="27" t="n">
        <v>528000144</v>
      </c>
      <c r="C1283" s="27" t="inlineStr">
        <is>
          <t>Jodi Hanafi</t>
        </is>
      </c>
      <c r="D1283" s="171" t="n">
        <v>46183.41666666666</v>
      </c>
      <c r="E1283" s="26" t="n">
        <v>0.5352777777777777</v>
      </c>
      <c r="F1283" s="27" t="inlineStr">
        <is>
          <t>Shift 1</t>
        </is>
      </c>
      <c r="G1283" s="27" t="n"/>
    </row>
    <row r="1284" hidden="1" s="169">
      <c r="A1284" s="27" t="inlineStr">
        <is>
          <t>MK00205</t>
        </is>
      </c>
      <c r="B1284" s="27" t="n">
        <v>528000348</v>
      </c>
      <c r="C1284" s="27" t="inlineStr">
        <is>
          <t>Saepuloh Ardiansah</t>
        </is>
      </c>
      <c r="D1284" s="171" t="n">
        <v>46183.41666666666</v>
      </c>
      <c r="E1284" s="26" t="n">
        <v>0.5427662037037037</v>
      </c>
      <c r="F1284" s="27" t="inlineStr">
        <is>
          <t>Shift 2</t>
        </is>
      </c>
      <c r="G1284" s="27" t="n"/>
    </row>
    <row r="1285" hidden="1" s="169">
      <c r="A1285" s="27" t="inlineStr">
        <is>
          <t>MK00154</t>
        </is>
      </c>
      <c r="B1285" s="27" t="n">
        <v>528000248</v>
      </c>
      <c r="C1285" s="27" t="inlineStr">
        <is>
          <t>Roka Jaya Salka Mulya</t>
        </is>
      </c>
      <c r="D1285" s="171" t="n">
        <v>46183.41666666666</v>
      </c>
      <c r="E1285" s="26" t="n">
        <v>0.5629861111111111</v>
      </c>
      <c r="F1285" s="27" t="inlineStr">
        <is>
          <t>Shift 2</t>
        </is>
      </c>
      <c r="G1285" s="27" t="n"/>
    </row>
    <row r="1286" hidden="1" s="169">
      <c r="A1286" s="27" t="inlineStr">
        <is>
          <t>MK00249</t>
        </is>
      </c>
      <c r="B1286" s="27" t="n">
        <v>528000297</v>
      </c>
      <c r="C1286" s="27" t="inlineStr">
        <is>
          <t>Muhamad Budiana</t>
        </is>
      </c>
      <c r="D1286" s="171" t="n">
        <v>46183.41666666666</v>
      </c>
      <c r="E1286" s="26" t="n">
        <v>0.5661226851851852</v>
      </c>
      <c r="F1286" s="27" t="inlineStr">
        <is>
          <t>Shift 2</t>
        </is>
      </c>
      <c r="G1286" s="27" t="n"/>
    </row>
    <row r="1287" hidden="1" s="169">
      <c r="A1287" s="27" t="inlineStr">
        <is>
          <t>MK00210</t>
        </is>
      </c>
      <c r="B1287" s="27" t="n">
        <v>528000323</v>
      </c>
      <c r="C1287" s="27" t="inlineStr">
        <is>
          <t>Dian Hamidah</t>
        </is>
      </c>
      <c r="D1287" s="171" t="n">
        <v>46183.41666666666</v>
      </c>
      <c r="E1287" s="26" t="n">
        <v>0.56875</v>
      </c>
      <c r="F1287" s="27" t="inlineStr">
        <is>
          <t>Shift 2</t>
        </is>
      </c>
      <c r="G1287" s="27" t="n"/>
    </row>
    <row r="1288" hidden="1" s="169">
      <c r="A1288" s="27" t="inlineStr">
        <is>
          <t>MK00192</t>
        </is>
      </c>
      <c r="B1288" s="27" t="n">
        <v>528000332</v>
      </c>
      <c r="C1288" s="27" t="inlineStr">
        <is>
          <t>Ena Indriani</t>
        </is>
      </c>
      <c r="D1288" s="171" t="n">
        <v>46183.41666666666</v>
      </c>
      <c r="E1288" s="26" t="n">
        <v>0.5689467592592593</v>
      </c>
      <c r="F1288" s="27" t="inlineStr">
        <is>
          <t>Shift 2</t>
        </is>
      </c>
      <c r="G1288" s="27" t="n"/>
    </row>
    <row r="1289" hidden="1" s="169">
      <c r="A1289" s="27" t="inlineStr">
        <is>
          <t>MK00109</t>
        </is>
      </c>
      <c r="B1289" s="27" t="n">
        <v>528000300</v>
      </c>
      <c r="C1289" s="27" t="inlineStr">
        <is>
          <t>Lia pitaloka</t>
        </is>
      </c>
      <c r="D1289" s="171" t="n">
        <v>46183.41666666666</v>
      </c>
      <c r="E1289" s="26" t="n">
        <v>0.5787731481481482</v>
      </c>
      <c r="F1289" s="27" t="inlineStr">
        <is>
          <t>Shift 2</t>
        </is>
      </c>
      <c r="G1289" s="27" t="n"/>
    </row>
    <row r="1290" hidden="1" s="169">
      <c r="A1290" s="27" t="inlineStr">
        <is>
          <t>MK00082</t>
        </is>
      </c>
      <c r="B1290" s="27" t="n">
        <v>528000279</v>
      </c>
      <c r="C1290" s="27" t="inlineStr">
        <is>
          <t>Mahdalena Dalfa Riani</t>
        </is>
      </c>
      <c r="D1290" s="171" t="n">
        <v>46183.41666666666</v>
      </c>
      <c r="E1290" s="26" t="n">
        <v>0.5794675925925926</v>
      </c>
      <c r="F1290" s="27" t="inlineStr">
        <is>
          <t>Shift 2</t>
        </is>
      </c>
      <c r="G1290" s="27" t="n"/>
    </row>
    <row r="1291" hidden="1" s="169">
      <c r="A1291" s="27" t="inlineStr">
        <is>
          <t>MK00136</t>
        </is>
      </c>
      <c r="B1291" s="27" t="n">
        <v>628000064</v>
      </c>
      <c r="C1291" s="27" t="inlineStr">
        <is>
          <t>Silva Alypia</t>
        </is>
      </c>
      <c r="D1291" s="171" t="n">
        <v>46183.41666666666</v>
      </c>
      <c r="E1291" s="26" t="n">
        <v>0.5823611111111111</v>
      </c>
      <c r="F1291" s="27" t="inlineStr">
        <is>
          <t>Shift 2</t>
        </is>
      </c>
      <c r="G1291" s="27" t="n"/>
    </row>
    <row r="1292" hidden="1" s="169">
      <c r="A1292" s="27" t="inlineStr">
        <is>
          <t>MK00108</t>
        </is>
      </c>
      <c r="B1292" s="27" t="n">
        <v>528000337</v>
      </c>
      <c r="C1292" s="27" t="inlineStr">
        <is>
          <t>Ahmad Zaldi Firdaus</t>
        </is>
      </c>
      <c r="D1292" s="171" t="n">
        <v>46183.41666666666</v>
      </c>
      <c r="E1292" s="26" t="n">
        <v>0.8686226851851852</v>
      </c>
      <c r="F1292" s="27" t="inlineStr">
        <is>
          <t>Shift 2</t>
        </is>
      </c>
      <c r="G1292" s="27" t="n"/>
    </row>
    <row r="1293" hidden="1" s="169">
      <c r="A1293" s="27" t="inlineStr">
        <is>
          <t>MK00126</t>
        </is>
      </c>
      <c r="B1293" s="27" t="n">
        <v>528000052</v>
      </c>
      <c r="C1293" s="27" t="inlineStr">
        <is>
          <t>Mustopa</t>
        </is>
      </c>
      <c r="D1293" s="171" t="n">
        <v>46183.41666666666</v>
      </c>
      <c r="E1293" s="26" t="n">
        <v>0.8771064814814815</v>
      </c>
      <c r="F1293" s="27" t="inlineStr">
        <is>
          <t>Shift 3</t>
        </is>
      </c>
      <c r="G1293" s="27" t="n"/>
    </row>
    <row r="1294" hidden="1" s="169">
      <c r="A1294" s="27" t="inlineStr">
        <is>
          <t>MK00204</t>
        </is>
      </c>
      <c r="B1294" s="27" t="n">
        <v>528000266</v>
      </c>
      <c r="C1294" s="27" t="inlineStr">
        <is>
          <t>M. Syirajatieq</t>
        </is>
      </c>
      <c r="D1294" s="171" t="n">
        <v>46183.41666666666</v>
      </c>
      <c r="E1294" s="26" t="n">
        <v>0.9018402777777778</v>
      </c>
      <c r="F1294" s="27" t="inlineStr">
        <is>
          <t>Shift 3</t>
        </is>
      </c>
      <c r="G1294" s="27" t="n"/>
    </row>
    <row r="1295" hidden="1" s="169">
      <c r="A1295" s="27" t="inlineStr">
        <is>
          <t>MK00230</t>
        </is>
      </c>
      <c r="B1295" s="27" t="n">
        <v>528000358</v>
      </c>
      <c r="C1295" s="27" t="inlineStr">
        <is>
          <t>Lulu Agustin</t>
        </is>
      </c>
      <c r="D1295" s="171" t="n">
        <v>46183.41666666666</v>
      </c>
      <c r="E1295" s="26" t="n">
        <v>0.9026504629629629</v>
      </c>
      <c r="F1295" s="27" t="inlineStr">
        <is>
          <t>Shift 3</t>
        </is>
      </c>
      <c r="G1295" s="27" t="n"/>
    </row>
    <row r="1296" hidden="1" s="169">
      <c r="A1296" s="27" t="inlineStr">
        <is>
          <t>MK00203</t>
        </is>
      </c>
      <c r="B1296" s="27" t="n">
        <v>528000306</v>
      </c>
      <c r="C1296" s="27" t="inlineStr">
        <is>
          <t>Windy Olivia</t>
        </is>
      </c>
      <c r="D1296" s="171" t="n">
        <v>46183.41666666666</v>
      </c>
      <c r="E1296" s="26" t="n">
        <v>0.9032638888888889</v>
      </c>
      <c r="F1296" s="27" t="inlineStr">
        <is>
          <t>Shift 3</t>
        </is>
      </c>
      <c r="G1296" s="27" t="n"/>
    </row>
    <row r="1297" hidden="1" s="169">
      <c r="A1297" s="27" t="inlineStr">
        <is>
          <t>MK00008</t>
        </is>
      </c>
      <c r="B1297" s="27" t="n">
        <v>528000262</v>
      </c>
      <c r="C1297" s="27" t="inlineStr">
        <is>
          <t>Ndari Dwiwanti</t>
        </is>
      </c>
      <c r="D1297" s="171" t="n">
        <v>46183.41666666666</v>
      </c>
      <c r="E1297" s="26" t="n">
        <v>0.9039930555555555</v>
      </c>
      <c r="F1297" s="27" t="inlineStr">
        <is>
          <t>Shift 3</t>
        </is>
      </c>
      <c r="G1297" s="27" t="n"/>
    </row>
    <row r="1298" hidden="1" s="169">
      <c r="A1298" s="27" t="inlineStr">
        <is>
          <t>MK00148</t>
        </is>
      </c>
      <c r="B1298" s="27" t="n">
        <v>528000195</v>
      </c>
      <c r="C1298" s="27" t="inlineStr">
        <is>
          <t>Rahma Sariwati</t>
        </is>
      </c>
      <c r="D1298" s="171" t="n">
        <v>46183.41666666666</v>
      </c>
      <c r="E1298" s="26" t="n">
        <v>0.9045023148148148</v>
      </c>
      <c r="F1298" s="27" t="inlineStr">
        <is>
          <t>Shift 3</t>
        </is>
      </c>
      <c r="G1298" s="27" t="n"/>
    </row>
    <row r="1299" hidden="1" s="169">
      <c r="A1299" s="27" t="inlineStr">
        <is>
          <t>MK00202</t>
        </is>
      </c>
      <c r="B1299" s="27" t="n">
        <v>528000261</v>
      </c>
      <c r="C1299" s="27" t="inlineStr">
        <is>
          <t>Ergi Ergianto</t>
        </is>
      </c>
      <c r="D1299" s="171" t="n">
        <v>46183.41666666666</v>
      </c>
      <c r="E1299" s="26" t="n">
        <v>0.907337962962963</v>
      </c>
      <c r="F1299" s="27" t="inlineStr">
        <is>
          <t>Shift 3</t>
        </is>
      </c>
      <c r="G1299" s="27" t="n"/>
    </row>
    <row r="1300" hidden="1" s="169">
      <c r="A1300" s="27" t="inlineStr">
        <is>
          <t>MK00145</t>
        </is>
      </c>
      <c r="B1300" s="27" t="n">
        <v>528000283</v>
      </c>
      <c r="C1300" s="27" t="inlineStr">
        <is>
          <t>Purwanda Sugiri</t>
        </is>
      </c>
      <c r="D1300" s="171" t="n">
        <v>46183.41666666666</v>
      </c>
      <c r="E1300" s="26" t="n">
        <v>0.9100578703703703</v>
      </c>
      <c r="F1300" s="27" t="inlineStr">
        <is>
          <t>Shift 3</t>
        </is>
      </c>
      <c r="G1300" s="27" t="n"/>
    </row>
    <row r="1301" hidden="1" s="169">
      <c r="A1301" s="27" t="inlineStr">
        <is>
          <t>MK00134</t>
        </is>
      </c>
      <c r="B1301" s="27" t="n">
        <v>528000291</v>
      </c>
      <c r="C1301" s="27" t="inlineStr">
        <is>
          <t>Andrian</t>
        </is>
      </c>
      <c r="D1301" s="171" t="n">
        <v>46183.41666666666</v>
      </c>
      <c r="E1301" s="26" t="n">
        <v>0.9107407407407407</v>
      </c>
      <c r="F1301" s="27" t="inlineStr">
        <is>
          <t>Shift 3</t>
        </is>
      </c>
      <c r="G1301" s="27" t="n"/>
    </row>
    <row r="1302" hidden="1" s="169">
      <c r="A1302" s="27" t="inlineStr">
        <is>
          <t>MK00138</t>
        </is>
      </c>
      <c r="B1302" s="27" t="n">
        <v>528000313</v>
      </c>
      <c r="C1302" s="27" t="inlineStr">
        <is>
          <t>Muhamad Rifki</t>
        </is>
      </c>
      <c r="D1302" s="171" t="n">
        <v>46184.41666666666</v>
      </c>
      <c r="E1302" s="26" t="n">
        <v>0.2364699074074074</v>
      </c>
      <c r="F1302" s="27" t="inlineStr">
        <is>
          <t>Shift 1</t>
        </is>
      </c>
      <c r="G1302" s="27" t="n"/>
    </row>
    <row r="1303" hidden="1" s="169">
      <c r="A1303" s="27" t="inlineStr">
        <is>
          <t>MK00154</t>
        </is>
      </c>
      <c r="B1303" s="27" t="n">
        <v>528000299</v>
      </c>
      <c r="C1303" s="27" t="inlineStr">
        <is>
          <t>Siti Nurjanah</t>
        </is>
      </c>
      <c r="D1303" s="171" t="n">
        <v>46184.41666666666</v>
      </c>
      <c r="E1303" s="26" t="n">
        <v>0.2366319444444444</v>
      </c>
      <c r="F1303" s="27" t="inlineStr">
        <is>
          <t>Shift 1</t>
        </is>
      </c>
      <c r="G1303" s="27" t="n"/>
    </row>
    <row r="1304" hidden="1" s="169">
      <c r="A1304" s="27" t="inlineStr">
        <is>
          <t>MK00121</t>
        </is>
      </c>
      <c r="B1304" s="27" t="n">
        <v>528000305</v>
      </c>
      <c r="C1304" s="27" t="inlineStr">
        <is>
          <t>Puji Puspita</t>
        </is>
      </c>
      <c r="D1304" s="171" t="n">
        <v>46184.41666666666</v>
      </c>
      <c r="E1304" s="26" t="n">
        <v>0.2369560185185185</v>
      </c>
      <c r="F1304" s="27" t="inlineStr">
        <is>
          <t>Shift 1</t>
        </is>
      </c>
      <c r="G1304" s="27" t="n"/>
    </row>
    <row r="1305" hidden="1" s="169">
      <c r="A1305" s="27" t="inlineStr">
        <is>
          <t>MK00136</t>
        </is>
      </c>
      <c r="B1305" s="27" t="n">
        <v>528000244</v>
      </c>
      <c r="C1305" s="27" t="inlineStr">
        <is>
          <t>Rodian Rifai</t>
        </is>
      </c>
      <c r="D1305" s="171" t="n">
        <v>46184.41666666666</v>
      </c>
      <c r="E1305" s="26" t="n">
        <v>0.2409143518518519</v>
      </c>
      <c r="F1305" s="27" t="inlineStr">
        <is>
          <t>Shift 1</t>
        </is>
      </c>
      <c r="G1305" s="27" t="n"/>
    </row>
    <row r="1306" hidden="1" s="169">
      <c r="A1306" s="27" t="inlineStr">
        <is>
          <t>MK00158</t>
        </is>
      </c>
      <c r="B1306" s="27" t="n">
        <v>528000302</v>
      </c>
      <c r="C1306" s="27" t="inlineStr">
        <is>
          <t>Henkey gumilar</t>
        </is>
      </c>
      <c r="D1306" s="171" t="n">
        <v>46184.41666666666</v>
      </c>
      <c r="E1306" s="26" t="n">
        <v>0.2421412037037037</v>
      </c>
      <c r="F1306" s="27" t="inlineStr">
        <is>
          <t>Shift 1</t>
        </is>
      </c>
      <c r="G1306" s="27" t="n"/>
    </row>
    <row r="1307" hidden="1" s="169">
      <c r="A1307" s="27" t="inlineStr">
        <is>
          <t>MK00249</t>
        </is>
      </c>
      <c r="B1307" s="27" t="n">
        <v>528000340</v>
      </c>
      <c r="C1307" s="27" t="inlineStr">
        <is>
          <t>Muhammad Wildan Adithya</t>
        </is>
      </c>
      <c r="D1307" s="171" t="n">
        <v>46184.41666666666</v>
      </c>
      <c r="E1307" s="26" t="n">
        <v>0.2424537037037037</v>
      </c>
      <c r="F1307" s="27" t="inlineStr">
        <is>
          <t>Shift 1</t>
        </is>
      </c>
      <c r="G1307" s="27" t="n"/>
    </row>
    <row r="1308" hidden="1" s="169">
      <c r="A1308" s="27" t="inlineStr">
        <is>
          <t>MK00210</t>
        </is>
      </c>
      <c r="B1308" s="27" t="n">
        <v>528000318</v>
      </c>
      <c r="C1308" s="27" t="inlineStr">
        <is>
          <t>Bayu Padli Sepriyana</t>
        </is>
      </c>
      <c r="D1308" s="171" t="n">
        <v>46184.41666666666</v>
      </c>
      <c r="E1308" s="26" t="n">
        <v>0.2425231481481482</v>
      </c>
      <c r="F1308" s="27" t="inlineStr">
        <is>
          <t>Shift 1</t>
        </is>
      </c>
      <c r="G1308" s="27" t="n"/>
    </row>
    <row r="1309" hidden="1" s="169">
      <c r="A1309" s="27" t="inlineStr">
        <is>
          <t>MK00141</t>
        </is>
      </c>
      <c r="B1309" s="27" t="n">
        <v>528000361</v>
      </c>
      <c r="C1309" s="27" t="inlineStr">
        <is>
          <t>Denada Munggarani</t>
        </is>
      </c>
      <c r="D1309" s="171" t="n">
        <v>46184.41666666666</v>
      </c>
      <c r="E1309" s="26" t="n">
        <v>0.2446412037037037</v>
      </c>
      <c r="F1309" s="27" t="inlineStr">
        <is>
          <t>Shift 1</t>
        </is>
      </c>
      <c r="G1309" s="27" t="n"/>
    </row>
    <row r="1310" hidden="1" s="169">
      <c r="A1310" s="27" t="inlineStr">
        <is>
          <t>MK00212</t>
        </is>
      </c>
      <c r="B1310" s="27" t="n">
        <v>528000298</v>
      </c>
      <c r="C1310" s="27" t="inlineStr">
        <is>
          <t>Desta Cahaya Pratama</t>
        </is>
      </c>
      <c r="D1310" s="171" t="n">
        <v>46184.41666666666</v>
      </c>
      <c r="E1310" s="26" t="n">
        <v>0.2457638888888889</v>
      </c>
      <c r="F1310" s="27" t="inlineStr">
        <is>
          <t>Shift 1</t>
        </is>
      </c>
      <c r="G1310" s="27" t="n"/>
    </row>
    <row r="1311" hidden="1" s="169">
      <c r="A1311" s="27" t="inlineStr">
        <is>
          <t>MK00208</t>
        </is>
      </c>
      <c r="B1311" s="27" t="n">
        <v>528000309</v>
      </c>
      <c r="C1311" s="27" t="inlineStr">
        <is>
          <t>Ilham Ramadhan</t>
        </is>
      </c>
      <c r="D1311" s="171" t="n">
        <v>46184.41666666666</v>
      </c>
      <c r="E1311" s="26" t="n">
        <v>0.2461574074074074</v>
      </c>
      <c r="F1311" s="27" t="inlineStr">
        <is>
          <t>Shift 1</t>
        </is>
      </c>
      <c r="G1311" s="27" t="n"/>
    </row>
    <row r="1312" hidden="1" s="169">
      <c r="A1312" s="27" t="inlineStr">
        <is>
          <t>MK00160</t>
        </is>
      </c>
      <c r="B1312" s="27" t="n">
        <v>528000201</v>
      </c>
      <c r="C1312" s="27" t="inlineStr">
        <is>
          <t>Zahwa Amelia Choerunissa</t>
        </is>
      </c>
      <c r="D1312" s="171" t="n">
        <v>46184.41666666666</v>
      </c>
      <c r="E1312" s="26" t="n">
        <v>0.5712152777777778</v>
      </c>
      <c r="F1312" s="27" t="inlineStr">
        <is>
          <t>Shift 2</t>
        </is>
      </c>
      <c r="G1312" s="27" t="n"/>
    </row>
    <row r="1313" hidden="1" s="169">
      <c r="A1313" s="27" t="inlineStr">
        <is>
          <t>MK00090</t>
        </is>
      </c>
      <c r="B1313" s="27" t="n">
        <v>528000099</v>
      </c>
      <c r="C1313" s="27" t="inlineStr">
        <is>
          <t>Siti Nurawaliah</t>
        </is>
      </c>
      <c r="D1313" s="171" t="n">
        <v>46184.41666666666</v>
      </c>
      <c r="E1313" s="26" t="n">
        <v>0.5715740740740741</v>
      </c>
      <c r="F1313" s="27" t="inlineStr">
        <is>
          <t>Shift 2</t>
        </is>
      </c>
      <c r="G1313" s="27" t="n"/>
    </row>
    <row r="1314" hidden="1" s="169">
      <c r="A1314" s="27" t="inlineStr">
        <is>
          <t>MK00145</t>
        </is>
      </c>
      <c r="B1314" s="27" t="n">
        <v>528000332</v>
      </c>
      <c r="C1314" s="27" t="inlineStr">
        <is>
          <t>Ena Indriani</t>
        </is>
      </c>
      <c r="D1314" s="171" t="n">
        <v>46184.41666666666</v>
      </c>
      <c r="E1314" s="26" t="n">
        <v>0.5724537037037037</v>
      </c>
      <c r="F1314" s="27" t="inlineStr">
        <is>
          <t>Shift 2</t>
        </is>
      </c>
      <c r="G1314" s="27" t="n"/>
    </row>
    <row r="1315" hidden="1" s="169">
      <c r="A1315" s="27" t="inlineStr">
        <is>
          <t>MK00008</t>
        </is>
      </c>
      <c r="B1315" s="27" t="n">
        <v>528000286</v>
      </c>
      <c r="C1315" s="27" t="inlineStr">
        <is>
          <t>Imelda Amelia</t>
        </is>
      </c>
      <c r="D1315" s="171" t="n">
        <v>46184.41666666666</v>
      </c>
      <c r="E1315" s="26" t="n">
        <v>0.5741203703703703</v>
      </c>
      <c r="F1315" s="27" t="inlineStr">
        <is>
          <t>Shift 2</t>
        </is>
      </c>
      <c r="G1315" s="27" t="n"/>
    </row>
    <row r="1316" hidden="1" s="169">
      <c r="A1316" s="27" t="inlineStr">
        <is>
          <t>MK00203</t>
        </is>
      </c>
      <c r="B1316" s="27" t="n">
        <v>528000274</v>
      </c>
      <c r="C1316" s="27" t="inlineStr">
        <is>
          <t>Zepri</t>
        </is>
      </c>
      <c r="D1316" s="171" t="n">
        <v>46184.41666666666</v>
      </c>
      <c r="E1316" s="26" t="n">
        <v>0.5761805555555556</v>
      </c>
      <c r="F1316" s="27" t="inlineStr">
        <is>
          <t>Shift 2</t>
        </is>
      </c>
      <c r="G1316" s="27" t="n"/>
    </row>
    <row r="1317" hidden="1" s="169">
      <c r="A1317" s="27" t="inlineStr">
        <is>
          <t>MK00192</t>
        </is>
      </c>
      <c r="B1317" s="27" t="n">
        <v>528000359</v>
      </c>
      <c r="C1317" s="27" t="inlineStr">
        <is>
          <t>M. Iqbal Maulana. S</t>
        </is>
      </c>
      <c r="D1317" s="171" t="n">
        <v>46184.41666666666</v>
      </c>
      <c r="E1317" s="26" t="n">
        <v>0.5762268518518519</v>
      </c>
      <c r="F1317" s="27" t="inlineStr">
        <is>
          <t>Shift 2</t>
        </is>
      </c>
      <c r="G1317" s="27" t="n"/>
    </row>
    <row r="1318" hidden="1" s="169">
      <c r="A1318" s="27" t="inlineStr">
        <is>
          <t>MK00202</t>
        </is>
      </c>
      <c r="B1318" s="27" t="n">
        <v>528000241</v>
      </c>
      <c r="C1318" s="27" t="inlineStr">
        <is>
          <t>Balia Nurafif Bilah</t>
        </is>
      </c>
      <c r="D1318" s="171" t="n">
        <v>46184.41666666666</v>
      </c>
      <c r="E1318" s="26" t="n">
        <v>0.5768171296296296</v>
      </c>
      <c r="F1318" s="27" t="inlineStr">
        <is>
          <t>Shift 2</t>
        </is>
      </c>
      <c r="G1318" s="27" t="n"/>
    </row>
    <row r="1319" hidden="1" s="169">
      <c r="A1319" s="27" t="inlineStr">
        <is>
          <t>MK00108</t>
        </is>
      </c>
      <c r="B1319" s="27" t="n">
        <v>528000289</v>
      </c>
      <c r="C1319" s="27" t="inlineStr">
        <is>
          <t>Adit Supriyadi</t>
        </is>
      </c>
      <c r="D1319" s="171" t="n">
        <v>46184.41666666666</v>
      </c>
      <c r="E1319" s="26" t="n">
        <v>0.5777777777777777</v>
      </c>
      <c r="F1319" s="27" t="inlineStr">
        <is>
          <t>Shift 2</t>
        </is>
      </c>
      <c r="G1319" s="27" t="n"/>
    </row>
    <row r="1320" hidden="1" s="169">
      <c r="A1320" s="27" t="inlineStr">
        <is>
          <t>MK00230</t>
        </is>
      </c>
      <c r="B1320" s="27" t="n">
        <v>528000090</v>
      </c>
      <c r="C1320" s="27" t="inlineStr">
        <is>
          <t>Suganda</t>
        </is>
      </c>
      <c r="D1320" s="171" t="n">
        <v>46184.41666666666</v>
      </c>
      <c r="E1320" s="26" t="n">
        <v>0.5808680555555555</v>
      </c>
      <c r="F1320" s="27" t="inlineStr">
        <is>
          <t>Shift 2</t>
        </is>
      </c>
      <c r="G1320" s="27" t="n"/>
    </row>
    <row r="1321" hidden="1" s="169">
      <c r="A1321" s="27" t="inlineStr">
        <is>
          <t>MK00116</t>
        </is>
      </c>
      <c r="B1321" s="27" t="n">
        <v>528000212</v>
      </c>
      <c r="C1321" s="27" t="inlineStr">
        <is>
          <t>Rizal Fauzi</t>
        </is>
      </c>
      <c r="D1321" s="171" t="n">
        <v>46184.41666666666</v>
      </c>
      <c r="E1321" s="26" t="n">
        <v>0.5809953703703704</v>
      </c>
      <c r="F1321" s="27" t="inlineStr">
        <is>
          <t>Shift 2</t>
        </is>
      </c>
      <c r="G1321" s="27" t="n"/>
    </row>
    <row r="1322" hidden="1" s="169">
      <c r="A1322" s="27" t="inlineStr">
        <is>
          <t>MK00109</t>
        </is>
      </c>
      <c r="B1322" s="27" t="n">
        <v>528000290</v>
      </c>
      <c r="C1322" s="27" t="inlineStr">
        <is>
          <t>Eval Pranata</t>
        </is>
      </c>
      <c r="D1322" s="171" t="n">
        <v>46184.41666666666</v>
      </c>
      <c r="E1322" s="26" t="n">
        <v>0.5820949074074074</v>
      </c>
      <c r="F1322" s="27" t="inlineStr">
        <is>
          <t>Shift 2</t>
        </is>
      </c>
      <c r="G1322" s="27" t="n"/>
    </row>
    <row r="1323" hidden="1" s="169">
      <c r="A1323" s="27" t="inlineStr">
        <is>
          <t>MK00213</t>
        </is>
      </c>
      <c r="B1323" s="27" t="n">
        <v>528000337</v>
      </c>
      <c r="C1323" s="27" t="inlineStr">
        <is>
          <t>Ahmad Zaldi Firdaus</t>
        </is>
      </c>
      <c r="D1323" s="171" t="n">
        <v>46184.41666666666</v>
      </c>
      <c r="E1323" s="26" t="n">
        <v>0.8677546296296297</v>
      </c>
      <c r="F1323" s="27" t="inlineStr">
        <is>
          <t>Shift 2</t>
        </is>
      </c>
      <c r="G1323" s="27" t="n"/>
    </row>
    <row r="1324" hidden="1" s="169">
      <c r="A1324" s="27" t="inlineStr">
        <is>
          <t>MK00148</t>
        </is>
      </c>
      <c r="B1324" s="27" t="n">
        <v>528000052</v>
      </c>
      <c r="C1324" s="27" t="inlineStr">
        <is>
          <t>Mustopa</t>
        </is>
      </c>
      <c r="D1324" s="171" t="n">
        <v>46184.41666666666</v>
      </c>
      <c r="E1324" s="26" t="n">
        <v>0.8798611111111111</v>
      </c>
      <c r="F1324" s="27" t="inlineStr">
        <is>
          <t>Shift 3</t>
        </is>
      </c>
      <c r="G1324" s="27" t="n"/>
    </row>
    <row r="1325" hidden="1" s="169">
      <c r="A1325" s="27" t="inlineStr">
        <is>
          <t>MK00138</t>
        </is>
      </c>
      <c r="B1325" s="27" t="n">
        <v>528000306</v>
      </c>
      <c r="C1325" s="27" t="inlineStr">
        <is>
          <t>Windy Olivia</t>
        </is>
      </c>
      <c r="D1325" s="171" t="n">
        <v>46184.41666666666</v>
      </c>
      <c r="E1325" s="26" t="n">
        <v>0.8979513888888889</v>
      </c>
      <c r="F1325" s="27" t="inlineStr">
        <is>
          <t>Shift 3</t>
        </is>
      </c>
      <c r="G1325" s="27" t="n"/>
    </row>
    <row r="1326" hidden="1" s="169">
      <c r="A1326" s="27" t="inlineStr">
        <is>
          <t>MK00141</t>
        </is>
      </c>
      <c r="B1326" s="27" t="n">
        <v>528000323</v>
      </c>
      <c r="C1326" s="27" t="inlineStr">
        <is>
          <t>Dian Hamidah</t>
        </is>
      </c>
      <c r="D1326" s="171" t="n">
        <v>46184.41666666666</v>
      </c>
      <c r="E1326" s="26" t="n">
        <v>0.9005324074074074</v>
      </c>
      <c r="F1326" s="27" t="inlineStr">
        <is>
          <t>Shift 3</t>
        </is>
      </c>
      <c r="G1326" s="27" t="n"/>
    </row>
    <row r="1327" hidden="1" s="169">
      <c r="A1327" s="27" t="inlineStr">
        <is>
          <t>MK00134</t>
        </is>
      </c>
      <c r="B1327" s="27" t="n">
        <v>528000266</v>
      </c>
      <c r="C1327" s="27" t="inlineStr">
        <is>
          <t>M. Syirajatieq</t>
        </is>
      </c>
      <c r="D1327" s="171" t="n">
        <v>46184.41666666666</v>
      </c>
      <c r="E1327" s="26" t="n">
        <v>0.9025231481481482</v>
      </c>
      <c r="F1327" s="27" t="inlineStr">
        <is>
          <t>Shift 3</t>
        </is>
      </c>
      <c r="G1327" s="27" t="n"/>
    </row>
    <row r="1328" hidden="1" s="169">
      <c r="A1328" s="27" t="inlineStr">
        <is>
          <t>MK00112</t>
        </is>
      </c>
      <c r="B1328" s="27" t="n">
        <v>528000261</v>
      </c>
      <c r="C1328" s="27" t="inlineStr">
        <is>
          <t>Ergi Ergianto</t>
        </is>
      </c>
      <c r="D1328" s="171" t="n">
        <v>46184.41666666666</v>
      </c>
      <c r="E1328" s="26" t="n">
        <v>0.9071412037037037</v>
      </c>
      <c r="F1328" s="27" t="inlineStr">
        <is>
          <t>Shift 3</t>
        </is>
      </c>
      <c r="G1328" s="27" t="n"/>
    </row>
    <row r="1329" hidden="1" s="169">
      <c r="A1329" s="27" t="inlineStr">
        <is>
          <t>MK00154</t>
        </is>
      </c>
      <c r="B1329" s="27" t="n">
        <v>528000283</v>
      </c>
      <c r="C1329" s="27" t="inlineStr">
        <is>
          <t>Purwanda Sugiri</t>
        </is>
      </c>
      <c r="D1329" s="171" t="n">
        <v>46184.41666666666</v>
      </c>
      <c r="E1329" s="26" t="n">
        <v>0.9119212962962963</v>
      </c>
      <c r="F1329" s="27" t="inlineStr">
        <is>
          <t>Shift 3</t>
        </is>
      </c>
      <c r="G1329" s="27" t="n"/>
    </row>
    <row r="1330" hidden="1" s="169">
      <c r="A1330" s="27" t="inlineStr">
        <is>
          <t>MK00212</t>
        </is>
      </c>
      <c r="B1330" s="27" t="n">
        <v>528000291</v>
      </c>
      <c r="C1330" s="27" t="inlineStr">
        <is>
          <t>Andrian</t>
        </is>
      </c>
      <c r="D1330" s="171" t="n">
        <v>46184.41666666666</v>
      </c>
      <c r="E1330" s="26" t="n">
        <v>0.9126620370370371</v>
      </c>
      <c r="F1330" s="27" t="inlineStr">
        <is>
          <t>Shift 3</t>
        </is>
      </c>
      <c r="G1330" s="27" t="n"/>
    </row>
    <row r="1331" hidden="1" s="169">
      <c r="A1331" s="27" t="inlineStr">
        <is>
          <t>MK00108</t>
        </is>
      </c>
      <c r="B1331" s="27" t="n">
        <v>628000064</v>
      </c>
      <c r="C1331" s="27" t="inlineStr">
        <is>
          <t>Silva Alypia</t>
        </is>
      </c>
      <c r="D1331" s="171" t="n">
        <v>46215.41666666666</v>
      </c>
      <c r="E1331" s="26" t="n">
        <v>0.2385416666666667</v>
      </c>
      <c r="F1331" s="27" t="inlineStr">
        <is>
          <t>Shift 1</t>
        </is>
      </c>
      <c r="G1331" s="27" t="n"/>
    </row>
    <row r="1332" hidden="1" s="169">
      <c r="A1332" s="27" t="inlineStr">
        <is>
          <t>MK00202</t>
        </is>
      </c>
      <c r="B1332" s="27" t="n">
        <v>528000279</v>
      </c>
      <c r="C1332" s="27" t="inlineStr">
        <is>
          <t>Mahdalena Dalfa Riani</t>
        </is>
      </c>
      <c r="D1332" s="171" t="n">
        <v>46215.41666666666</v>
      </c>
      <c r="E1332" s="26" t="n">
        <v>0.2408333333333333</v>
      </c>
      <c r="F1332" s="27" t="inlineStr">
        <is>
          <t>Shift 1</t>
        </is>
      </c>
      <c r="G1332" s="27" t="n"/>
    </row>
    <row r="1333" hidden="1" s="169">
      <c r="A1333" s="27" t="inlineStr">
        <is>
          <t>MK00145</t>
        </is>
      </c>
      <c r="B1333" s="27" t="n">
        <v>528000297</v>
      </c>
      <c r="C1333" s="27" t="inlineStr">
        <is>
          <t>Muhamad Budiana</t>
        </is>
      </c>
      <c r="D1333" s="171" t="n">
        <v>46215.41666666666</v>
      </c>
      <c r="E1333" s="26" t="n">
        <v>0.2423148148148148</v>
      </c>
      <c r="F1333" s="27" t="inlineStr">
        <is>
          <t>Shift 1</t>
        </is>
      </c>
      <c r="G1333" s="27" t="n"/>
    </row>
    <row r="1334" hidden="1" s="169">
      <c r="A1334" s="27" t="inlineStr">
        <is>
          <t>MK00126</t>
        </is>
      </c>
      <c r="B1334" s="27" t="n">
        <v>528000288</v>
      </c>
      <c r="C1334" s="27" t="inlineStr">
        <is>
          <t>Dede gunawan</t>
        </is>
      </c>
      <c r="D1334" s="171" t="n">
        <v>46215.41666666666</v>
      </c>
      <c r="E1334" s="26" t="n">
        <v>0.2442824074074074</v>
      </c>
      <c r="F1334" s="27" t="inlineStr">
        <is>
          <t>Shift 1</t>
        </is>
      </c>
      <c r="G1334" s="27" t="n"/>
    </row>
    <row r="1335" hidden="1" s="169">
      <c r="A1335" s="27" t="inlineStr">
        <is>
          <t>MK00090</t>
        </is>
      </c>
      <c r="B1335" s="27" t="n">
        <v>528000359</v>
      </c>
      <c r="C1335" s="27" t="inlineStr">
        <is>
          <t>M. Iqbal Maulana. S</t>
        </is>
      </c>
      <c r="D1335" s="171" t="n">
        <v>46215.41666666666</v>
      </c>
      <c r="E1335" s="26" t="n">
        <v>0.2468402777777778</v>
      </c>
      <c r="F1335" s="27" t="inlineStr">
        <is>
          <t>Shift 1</t>
        </is>
      </c>
      <c r="G1335" s="27" t="n"/>
    </row>
    <row r="1336" hidden="1" s="169">
      <c r="A1336" s="27" t="inlineStr">
        <is>
          <t>MK00160</t>
        </is>
      </c>
      <c r="B1336" s="27" t="n">
        <v>528000361</v>
      </c>
      <c r="C1336" s="27" t="inlineStr">
        <is>
          <t>Denada Munggarani</t>
        </is>
      </c>
      <c r="D1336" s="171" t="n">
        <v>46215.41666666666</v>
      </c>
      <c r="E1336" s="26" t="n">
        <v>0.2468287037037037</v>
      </c>
      <c r="F1336" s="27" t="inlineStr">
        <is>
          <t>Shift 1</t>
        </is>
      </c>
      <c r="G1336" s="27" t="n"/>
    </row>
    <row r="1337" hidden="1" s="169">
      <c r="A1337" s="27" t="inlineStr">
        <is>
          <t>MK00150</t>
        </is>
      </c>
      <c r="B1337" s="27" t="n">
        <v>528000300</v>
      </c>
      <c r="C1337" s="27" t="inlineStr">
        <is>
          <t>Lia pitaloka</t>
        </is>
      </c>
      <c r="D1337" s="171" t="n">
        <v>46215.41666666666</v>
      </c>
      <c r="E1337" s="26" t="n">
        <v>0.2478587962962963</v>
      </c>
      <c r="F1337" s="27" t="inlineStr">
        <is>
          <t>Shift 1</t>
        </is>
      </c>
      <c r="G1337" s="27" t="n"/>
    </row>
    <row r="1338" hidden="1" s="169">
      <c r="A1338" s="27" t="inlineStr">
        <is>
          <t>MK00008</t>
        </is>
      </c>
      <c r="B1338" s="27" t="n">
        <v>528000248</v>
      </c>
      <c r="C1338" s="27" t="inlineStr">
        <is>
          <t>Roka Jaya Salka Mulya</t>
        </is>
      </c>
      <c r="D1338" s="171" t="n">
        <v>46215.41666666666</v>
      </c>
      <c r="E1338" s="26" t="n">
        <v>0.2482175925925926</v>
      </c>
      <c r="F1338" s="27" t="inlineStr">
        <is>
          <t>Shift 1</t>
        </is>
      </c>
      <c r="G1338" s="27" t="n"/>
    </row>
    <row r="1339" hidden="1" s="169">
      <c r="A1339" s="27" t="inlineStr">
        <is>
          <t>MK00192</t>
        </is>
      </c>
      <c r="B1339" s="27" t="n">
        <v>528000063</v>
      </c>
      <c r="C1339" s="27" t="inlineStr">
        <is>
          <t>Muhamad Ripki Pebrian</t>
        </is>
      </c>
      <c r="D1339" s="171" t="n">
        <v>46215.41666666666</v>
      </c>
      <c r="E1339" s="26" t="n">
        <v>0.2493518518518519</v>
      </c>
      <c r="F1339" s="27" t="inlineStr">
        <is>
          <t>Shift 1</t>
        </is>
      </c>
      <c r="G1339" s="27" t="n"/>
    </row>
    <row r="1340" hidden="1" s="169">
      <c r="A1340" s="27" t="inlineStr">
        <is>
          <t>MK00208</t>
        </is>
      </c>
      <c r="B1340" s="27" t="n">
        <v>528000282</v>
      </c>
      <c r="C1340" s="27" t="inlineStr">
        <is>
          <t>Defa Desfiana</t>
        </is>
      </c>
      <c r="D1340" s="171" t="n">
        <v>46215.41666666666</v>
      </c>
      <c r="E1340" s="26" t="n">
        <v>0.3144097222222222</v>
      </c>
      <c r="F1340" s="27" t="inlineStr">
        <is>
          <t>Shift 1</t>
        </is>
      </c>
      <c r="G1340" s="27" t="inlineStr">
        <is>
          <t>7b</t>
        </is>
      </c>
    </row>
    <row r="1341" hidden="1" s="169">
      <c r="A1341" s="27" t="inlineStr">
        <is>
          <t>MK00160</t>
        </is>
      </c>
      <c r="B1341" s="27" t="n">
        <v>528000069</v>
      </c>
      <c r="C1341" s="27" t="inlineStr">
        <is>
          <t>Jajang Ardiansyah</t>
        </is>
      </c>
      <c r="D1341" s="171" t="n">
        <v>46215.41666666666</v>
      </c>
      <c r="E1341" s="26" t="n">
        <v>0.3172222222222222</v>
      </c>
      <c r="F1341" s="27" t="inlineStr">
        <is>
          <t>Shift 1</t>
        </is>
      </c>
      <c r="G1341" s="27" t="n"/>
    </row>
    <row r="1342" hidden="1" s="169">
      <c r="A1342" s="27" t="inlineStr">
        <is>
          <t>MK00085</t>
        </is>
      </c>
      <c r="B1342" s="27" t="n">
        <v>528000310</v>
      </c>
      <c r="C1342" s="27" t="inlineStr">
        <is>
          <t>Fachrul Rozzi Suryana</t>
        </is>
      </c>
      <c r="D1342" s="171" t="n">
        <v>46215.41666666666</v>
      </c>
      <c r="E1342" s="26" t="n">
        <v>0.323599537037037</v>
      </c>
      <c r="F1342" s="27" t="inlineStr">
        <is>
          <t>Shift 1</t>
        </is>
      </c>
      <c r="G1342" s="27" t="inlineStr">
        <is>
          <t>32B</t>
        </is>
      </c>
    </row>
    <row r="1343" hidden="1" s="169">
      <c r="A1343" s="27" t="inlineStr">
        <is>
          <t>MK00093</t>
        </is>
      </c>
      <c r="B1343" s="27" t="n">
        <v>528000265</v>
      </c>
      <c r="C1343" s="27" t="inlineStr">
        <is>
          <t>Muhammad Haerul Rozikin</t>
        </is>
      </c>
      <c r="D1343" s="171" t="n">
        <v>46215.41666666666</v>
      </c>
      <c r="E1343" s="26" t="n">
        <v>0.3247222222222222</v>
      </c>
      <c r="F1343" s="27" t="inlineStr">
        <is>
          <t>Shift 1</t>
        </is>
      </c>
      <c r="G1343" s="27" t="n"/>
    </row>
    <row r="1344" hidden="1" s="169">
      <c r="A1344" s="27" t="inlineStr">
        <is>
          <t>MK00181</t>
        </is>
      </c>
      <c r="B1344" s="27" t="n">
        <v>528000351</v>
      </c>
      <c r="C1344" s="27" t="inlineStr">
        <is>
          <t>Mulyana</t>
        </is>
      </c>
      <c r="D1344" s="171" t="n">
        <v>46215.41666666666</v>
      </c>
      <c r="E1344" s="26" t="n">
        <v>0.3290740740740741</v>
      </c>
      <c r="F1344" s="27" t="inlineStr">
        <is>
          <t>Shift 1</t>
        </is>
      </c>
      <c r="G1344" s="27" t="n"/>
    </row>
    <row r="1345">
      <c r="A1345" s="27" t="inlineStr">
        <is>
          <t>MK00088</t>
        </is>
      </c>
      <c r="B1345" s="27" t="n">
        <v>528000015</v>
      </c>
      <c r="C1345" s="27" t="inlineStr">
        <is>
          <t>Erwin</t>
        </is>
      </c>
      <c r="D1345" s="171" t="n">
        <v>46215.41666666666</v>
      </c>
      <c r="E1345" s="26" t="n">
        <v>0.3294097222222222</v>
      </c>
      <c r="F1345" s="27" t="inlineStr">
        <is>
          <t>Shift 1</t>
        </is>
      </c>
      <c r="G1345" s="27" t="n"/>
    </row>
    <row r="1346" hidden="1" s="169">
      <c r="A1346" s="27" t="inlineStr">
        <is>
          <t>MK00125</t>
        </is>
      </c>
      <c r="B1346" s="27" t="n">
        <v>528000314</v>
      </c>
      <c r="C1346" s="27" t="inlineStr">
        <is>
          <t>Rusmana</t>
        </is>
      </c>
      <c r="D1346" s="171" t="n">
        <v>46215.41666666666</v>
      </c>
      <c r="E1346" s="26" t="n">
        <v>0.3321296296296296</v>
      </c>
      <c r="F1346" s="27" t="inlineStr">
        <is>
          <t>Shift 1</t>
        </is>
      </c>
      <c r="G1346" s="27" t="n"/>
    </row>
    <row r="1347" hidden="1" s="169">
      <c r="A1347" s="27" t="inlineStr">
        <is>
          <t>MK00221</t>
        </is>
      </c>
      <c r="B1347" s="27" t="n">
        <v>528000144</v>
      </c>
      <c r="C1347" s="27" t="inlineStr">
        <is>
          <t>Jodi Hanafi</t>
        </is>
      </c>
      <c r="D1347" s="171" t="n">
        <v>46215.41666666666</v>
      </c>
      <c r="E1347" s="26" t="n">
        <v>0.3324074074074074</v>
      </c>
      <c r="F1347" s="27" t="inlineStr">
        <is>
          <t>Shift 1</t>
        </is>
      </c>
      <c r="G1347" s="27" t="n"/>
    </row>
    <row r="1348" hidden="1" s="169">
      <c r="A1348" s="27" t="inlineStr">
        <is>
          <t>MK00205</t>
        </is>
      </c>
      <c r="B1348" s="27" t="n">
        <v>528000348</v>
      </c>
      <c r="C1348" s="27" t="inlineStr">
        <is>
          <t>Saepuloh Ardiansah</t>
        </is>
      </c>
      <c r="D1348" s="171" t="n">
        <v>46215.41666666666</v>
      </c>
      <c r="E1348" s="26" t="n">
        <v>0.369525462962963</v>
      </c>
      <c r="F1348" s="27" t="inlineStr">
        <is>
          <t>Shift 1</t>
        </is>
      </c>
      <c r="G1348" s="27" t="n"/>
    </row>
    <row r="1349" hidden="1" s="169">
      <c r="A1349" s="27" t="inlineStr">
        <is>
          <t>MK00210</t>
        </is>
      </c>
      <c r="B1349" s="27" t="n">
        <v>528000232</v>
      </c>
      <c r="C1349" s="27" t="inlineStr">
        <is>
          <t>Agung Aji Suhada</t>
        </is>
      </c>
      <c r="D1349" s="171" t="n">
        <v>46215.41666666666</v>
      </c>
      <c r="E1349" s="26" t="n">
        <v>0.370474537037037</v>
      </c>
      <c r="F1349" s="27" t="inlineStr">
        <is>
          <t>Shift 1</t>
        </is>
      </c>
      <c r="G1349" s="27" t="n"/>
    </row>
    <row r="1350" hidden="1" s="169">
      <c r="A1350" s="27" t="inlineStr">
        <is>
          <t>MK00228</t>
        </is>
      </c>
      <c r="B1350" s="27" t="n">
        <v>528000132</v>
      </c>
      <c r="C1350" s="27" t="inlineStr">
        <is>
          <t>Giopani</t>
        </is>
      </c>
      <c r="D1350" s="171" t="n">
        <v>46215.41666666666</v>
      </c>
      <c r="E1350" s="26" t="n">
        <v>0.3708217592592593</v>
      </c>
      <c r="F1350" s="27" t="inlineStr">
        <is>
          <t>Shift 1</t>
        </is>
      </c>
      <c r="G1350" s="27" t="n"/>
    </row>
    <row r="1351" hidden="1" s="169">
      <c r="A1351" s="27" t="inlineStr">
        <is>
          <t>MK00212</t>
        </is>
      </c>
      <c r="B1351" s="27" t="n">
        <v>528000349</v>
      </c>
      <c r="C1351" s="27" t="inlineStr">
        <is>
          <t>Anas Abdul Fatah</t>
        </is>
      </c>
      <c r="D1351" s="171" t="n">
        <v>46215.41666666666</v>
      </c>
      <c r="E1351" s="26" t="n">
        <v>0.4011805555555555</v>
      </c>
      <c r="F1351" s="27" t="inlineStr">
        <is>
          <t>Shift 1</t>
        </is>
      </c>
      <c r="G1351" s="27" t="n"/>
    </row>
    <row r="1352" hidden="1" s="169">
      <c r="A1352" s="27" t="inlineStr">
        <is>
          <t>MK00109</t>
        </is>
      </c>
      <c r="B1352" s="27" t="n">
        <v>528000324</v>
      </c>
      <c r="C1352" s="27" t="inlineStr">
        <is>
          <t>Sri Yanti</t>
        </is>
      </c>
      <c r="D1352" s="171" t="n">
        <v>46215.41666666666</v>
      </c>
      <c r="E1352" s="26" t="n">
        <v>0.554849537037037</v>
      </c>
      <c r="F1352" s="27" t="inlineStr">
        <is>
          <t>Shift 2</t>
        </is>
      </c>
      <c r="G1352" s="27" t="n"/>
    </row>
    <row r="1353" hidden="1" s="169">
      <c r="A1353" s="27" t="inlineStr">
        <is>
          <t>MK00154</t>
        </is>
      </c>
      <c r="B1353" s="27" t="n">
        <v>528000244</v>
      </c>
      <c r="C1353" s="27" t="inlineStr">
        <is>
          <t>Rodian Rifai</t>
        </is>
      </c>
      <c r="D1353" s="171" t="n">
        <v>46215.41666666666</v>
      </c>
      <c r="E1353" s="26" t="n">
        <v>0.5584027777777778</v>
      </c>
      <c r="F1353" s="27" t="inlineStr">
        <is>
          <t>Shift 2</t>
        </is>
      </c>
      <c r="G1353" s="27" t="n"/>
    </row>
    <row r="1354" hidden="1" s="169">
      <c r="A1354" s="27" t="inlineStr">
        <is>
          <t>MK00113</t>
        </is>
      </c>
      <c r="B1354" s="27" t="n">
        <v>528000201</v>
      </c>
      <c r="C1354" s="27" t="inlineStr">
        <is>
          <t>Zahwa Amelia Choerunissa</t>
        </is>
      </c>
      <c r="D1354" s="171" t="n">
        <v>46215.41666666666</v>
      </c>
      <c r="E1354" s="26" t="n">
        <v>0.572650462962963</v>
      </c>
      <c r="F1354" s="27" t="inlineStr">
        <is>
          <t>Shift 2</t>
        </is>
      </c>
      <c r="G1354" s="27" t="n"/>
    </row>
    <row r="1355" hidden="1" s="169">
      <c r="A1355" s="27" t="inlineStr">
        <is>
          <t>MK00138</t>
        </is>
      </c>
      <c r="B1355" s="27" t="n">
        <v>528000099</v>
      </c>
      <c r="C1355" s="27" t="inlineStr">
        <is>
          <t>Siti Nurawaliah</t>
        </is>
      </c>
      <c r="D1355" s="171" t="n">
        <v>46215.41666666666</v>
      </c>
      <c r="E1355" s="26" t="n">
        <v>0.5731712962962963</v>
      </c>
      <c r="F1355" s="27" t="inlineStr">
        <is>
          <t>Shift 2</t>
        </is>
      </c>
      <c r="G1355" s="27" t="n"/>
    </row>
    <row r="1356" hidden="1" s="169">
      <c r="A1356" s="27" t="inlineStr">
        <is>
          <t>MK00141</t>
        </is>
      </c>
      <c r="B1356" s="27" t="n">
        <v>528000286</v>
      </c>
      <c r="C1356" s="27" t="inlineStr">
        <is>
          <t>Imelda Amelia</t>
        </is>
      </c>
      <c r="D1356" s="171" t="n">
        <v>46215.41666666666</v>
      </c>
      <c r="E1356" s="26" t="n">
        <v>0.5758796296296296</v>
      </c>
      <c r="F1356" s="27" t="inlineStr">
        <is>
          <t>Shift 2</t>
        </is>
      </c>
      <c r="G1356" s="27" t="n"/>
    </row>
    <row r="1357" hidden="1" s="169">
      <c r="A1357" s="27" t="inlineStr">
        <is>
          <t>MK00239</t>
        </is>
      </c>
      <c r="B1357" s="27" t="n">
        <v>528000289</v>
      </c>
      <c r="C1357" s="27" t="inlineStr">
        <is>
          <t>Adit Supriyadi</t>
        </is>
      </c>
      <c r="D1357" s="171" t="n">
        <v>46215.41666666666</v>
      </c>
      <c r="E1357" s="26" t="n">
        <v>0.577488425925926</v>
      </c>
      <c r="F1357" s="27" t="inlineStr">
        <is>
          <t>Shift 2</t>
        </is>
      </c>
      <c r="G1357" s="27" t="n"/>
    </row>
    <row r="1358" hidden="1" s="169">
      <c r="A1358" s="27" t="inlineStr">
        <is>
          <t>MK0082</t>
        </is>
      </c>
      <c r="B1358" s="27" t="n">
        <v>528000241</v>
      </c>
      <c r="C1358" s="27" t="inlineStr">
        <is>
          <t>Balia Nurafif Bilah</t>
        </is>
      </c>
      <c r="D1358" s="171" t="n">
        <v>46215.41666666666</v>
      </c>
      <c r="E1358" s="26" t="n">
        <v>0.5780092592592593</v>
      </c>
      <c r="F1358" s="27" t="inlineStr">
        <is>
          <t>Shift 2</t>
        </is>
      </c>
      <c r="G1358" s="27" t="n"/>
    </row>
    <row r="1359" hidden="1" s="169">
      <c r="A1359" s="27" t="inlineStr">
        <is>
          <t>MK00095</t>
        </is>
      </c>
      <c r="B1359" s="27" t="n">
        <v>528000274</v>
      </c>
      <c r="C1359" s="27" t="inlineStr">
        <is>
          <t>Zepri</t>
        </is>
      </c>
      <c r="D1359" s="171" t="n">
        <v>46215.41666666666</v>
      </c>
      <c r="E1359" s="26" t="n">
        <v>0.5785416666666666</v>
      </c>
      <c r="F1359" s="27" t="inlineStr">
        <is>
          <t>Shift 2</t>
        </is>
      </c>
      <c r="G1359" s="27" t="n"/>
    </row>
    <row r="1360" hidden="1" s="169">
      <c r="A1360" s="27" t="inlineStr">
        <is>
          <t>MK00250</t>
        </is>
      </c>
      <c r="B1360" s="27" t="n">
        <v>528000290</v>
      </c>
      <c r="C1360" s="27" t="inlineStr">
        <is>
          <t>Eval Pranata</t>
        </is>
      </c>
      <c r="D1360" s="171" t="n">
        <v>46215.41666666666</v>
      </c>
      <c r="E1360" s="26" t="n">
        <v>0.5821643518518519</v>
      </c>
      <c r="F1360" s="27" t="inlineStr">
        <is>
          <t>Shift 2</t>
        </is>
      </c>
      <c r="G1360" s="27" t="n"/>
    </row>
    <row r="1361" hidden="1" s="169">
      <c r="A1361" s="27" t="inlineStr">
        <is>
          <t>MK0130</t>
        </is>
      </c>
      <c r="B1361" s="27" t="n">
        <v>528000149</v>
      </c>
      <c r="C1361" s="27" t="inlineStr">
        <is>
          <t>Tio Fernanda</t>
        </is>
      </c>
      <c r="D1361" s="171" t="n">
        <v>46215.41666666666</v>
      </c>
      <c r="E1361" s="26" t="n">
        <v>0.6548495370370371</v>
      </c>
      <c r="F1361" s="27" t="inlineStr">
        <is>
          <t>Shift 2</t>
        </is>
      </c>
      <c r="G1361" s="27" t="n"/>
    </row>
    <row r="1362" hidden="1" s="169">
      <c r="A1362" s="27" t="inlineStr">
        <is>
          <t>MK00202</t>
        </is>
      </c>
      <c r="B1362" s="27" t="n">
        <v>528000337</v>
      </c>
      <c r="C1362" s="27" t="inlineStr">
        <is>
          <t>Ahmad Zaldi Firdaus</t>
        </is>
      </c>
      <c r="D1362" s="171" t="n">
        <v>46215.41666666666</v>
      </c>
      <c r="E1362" s="26" t="n">
        <v>0.8697106481481481</v>
      </c>
      <c r="F1362" s="27" t="inlineStr">
        <is>
          <t>Shift 2</t>
        </is>
      </c>
      <c r="G1362" s="27" t="n"/>
    </row>
    <row r="1363" hidden="1" s="169">
      <c r="A1363" s="27" t="inlineStr">
        <is>
          <t>MK00212</t>
        </is>
      </c>
      <c r="B1363" s="27" t="n">
        <v>528000052</v>
      </c>
      <c r="C1363" s="27" t="inlineStr">
        <is>
          <t>Mustopa</t>
        </is>
      </c>
      <c r="D1363" s="171" t="n">
        <v>46215.41666666666</v>
      </c>
      <c r="E1363" s="26" t="n">
        <v>0.8831134259259259</v>
      </c>
      <c r="F1363" s="27" t="inlineStr">
        <is>
          <t>Shift 3</t>
        </is>
      </c>
      <c r="G1363" s="27" t="n"/>
    </row>
    <row r="1364" hidden="1" s="169">
      <c r="A1364" s="27" t="inlineStr">
        <is>
          <t>MK00208</t>
        </is>
      </c>
      <c r="B1364" s="27" t="n">
        <v>528000360</v>
      </c>
      <c r="C1364" s="27" t="inlineStr">
        <is>
          <t>Hendra Permana</t>
        </is>
      </c>
      <c r="D1364" s="171" t="n">
        <v>46215.41666666666</v>
      </c>
      <c r="E1364" s="26" t="n">
        <v>0.8948842592592593</v>
      </c>
      <c r="F1364" s="27" t="inlineStr">
        <is>
          <t>Shift 3</t>
        </is>
      </c>
      <c r="G1364" s="27" t="n"/>
    </row>
    <row r="1365" hidden="1" s="169">
      <c r="A1365" s="27" t="inlineStr">
        <is>
          <t>MK00088</t>
        </is>
      </c>
      <c r="B1365" s="27" t="n">
        <v>528000195</v>
      </c>
      <c r="C1365" s="27" t="inlineStr">
        <is>
          <t>Rahma Sariwati</t>
        </is>
      </c>
      <c r="D1365" s="171" t="n">
        <v>46215.41666666666</v>
      </c>
      <c r="E1365" s="26" t="n">
        <v>0.9008796296296296</v>
      </c>
      <c r="F1365" s="27" t="inlineStr">
        <is>
          <t>Shift 3</t>
        </is>
      </c>
      <c r="G1365" s="27" t="n"/>
    </row>
    <row r="1366" hidden="1" s="169">
      <c r="A1366" s="27" t="inlineStr">
        <is>
          <t>MK00156</t>
        </is>
      </c>
      <c r="B1366" s="27" t="n">
        <v>528000262</v>
      </c>
      <c r="C1366" s="27" t="inlineStr">
        <is>
          <t>Ndari Dwiwanti</t>
        </is>
      </c>
      <c r="D1366" s="171" t="n">
        <v>46215.41666666666</v>
      </c>
      <c r="E1366" s="26" t="n">
        <v>0.902974537037037</v>
      </c>
      <c r="F1366" s="27" t="inlineStr">
        <is>
          <t>Shift 3</t>
        </is>
      </c>
      <c r="G1366" s="27" t="n"/>
    </row>
    <row r="1367" hidden="1" s="169">
      <c r="A1367" s="27" t="inlineStr">
        <is>
          <t>MK00108</t>
        </is>
      </c>
      <c r="B1367" s="27" t="n">
        <v>528000266</v>
      </c>
      <c r="C1367" s="27" t="inlineStr">
        <is>
          <t>M. Syirajatieq</t>
        </is>
      </c>
      <c r="D1367" s="171" t="n">
        <v>46215.41666666666</v>
      </c>
      <c r="E1367" s="26" t="n">
        <v>0.9046759259259259</v>
      </c>
      <c r="F1367" s="27" t="inlineStr">
        <is>
          <t>Shift 3</t>
        </is>
      </c>
      <c r="G1367" s="27" t="n"/>
    </row>
    <row r="1368" hidden="1" s="169">
      <c r="A1368" s="27" t="inlineStr">
        <is>
          <t>MK00150</t>
        </is>
      </c>
      <c r="B1368" s="27" t="n">
        <v>528000358</v>
      </c>
      <c r="C1368" s="27" t="inlineStr">
        <is>
          <t>Lulu Agustin</t>
        </is>
      </c>
      <c r="D1368" s="171" t="n">
        <v>46215.41666666666</v>
      </c>
      <c r="E1368" s="26" t="n">
        <v>0.9051736111111112</v>
      </c>
      <c r="F1368" s="27" t="inlineStr">
        <is>
          <t>Shift 3</t>
        </is>
      </c>
      <c r="G1368" s="27" t="n"/>
    </row>
    <row r="1369" hidden="1" s="169">
      <c r="A1369" s="27" t="inlineStr">
        <is>
          <t>MK00145</t>
        </is>
      </c>
      <c r="B1369" s="27" t="n">
        <v>528000261</v>
      </c>
      <c r="C1369" s="27" t="inlineStr">
        <is>
          <t>Ergi Ergianto</t>
        </is>
      </c>
      <c r="D1369" s="171" t="n">
        <v>46215.41666666666</v>
      </c>
      <c r="E1369" s="26" t="n">
        <v>0.9068402777777778</v>
      </c>
      <c r="F1369" s="27" t="inlineStr">
        <is>
          <t>Shift 3</t>
        </is>
      </c>
      <c r="G1369" s="27" t="n"/>
    </row>
    <row r="1370" hidden="1" s="169">
      <c r="A1370" s="27" t="inlineStr">
        <is>
          <t>MK00093</t>
        </is>
      </c>
      <c r="B1370" s="27" t="n">
        <v>528000291</v>
      </c>
      <c r="C1370" s="27" t="inlineStr">
        <is>
          <t>Andrian</t>
        </is>
      </c>
      <c r="D1370" s="171" t="n">
        <v>46215.41666666666</v>
      </c>
      <c r="E1370" s="26" t="n">
        <v>0.9133680555555556</v>
      </c>
      <c r="F1370" s="27" t="inlineStr">
        <is>
          <t>Shift 3</t>
        </is>
      </c>
      <c r="G1370" s="27" t="n"/>
    </row>
    <row r="1371" hidden="1" s="169">
      <c r="A1371" s="27" t="inlineStr">
        <is>
          <t>MK00085</t>
        </is>
      </c>
      <c r="B1371" s="27" t="n">
        <v>528000283</v>
      </c>
      <c r="C1371" s="27" t="inlineStr">
        <is>
          <t>Purwanda Sugiri</t>
        </is>
      </c>
      <c r="D1371" s="171" t="n">
        <v>46215.41666666666</v>
      </c>
      <c r="E1371" s="26" t="n">
        <v>0.9133564814814815</v>
      </c>
      <c r="F1371" s="27" t="inlineStr">
        <is>
          <t>Shift 3</t>
        </is>
      </c>
      <c r="G1371" s="27" t="n"/>
    </row>
    <row r="1372" hidden="1" s="169">
      <c r="A1372" s="27" t="inlineStr">
        <is>
          <t>MK00121</t>
        </is>
      </c>
      <c r="B1372" s="27" t="n">
        <v>628000064</v>
      </c>
      <c r="C1372" s="27" t="inlineStr">
        <is>
          <t>Silva Alypia</t>
        </is>
      </c>
      <c r="D1372" s="171" t="n">
        <v>46216.41666666666</v>
      </c>
      <c r="E1372" s="26" t="n">
        <v>0.2416550925925926</v>
      </c>
      <c r="F1372" s="27" t="inlineStr">
        <is>
          <t>Shift 1</t>
        </is>
      </c>
      <c r="G1372" s="27" t="n"/>
    </row>
    <row r="1373" hidden="1" s="169">
      <c r="A1373" s="27" t="inlineStr">
        <is>
          <t>MK00235</t>
        </is>
      </c>
      <c r="B1373" s="27" t="n">
        <v>528000279</v>
      </c>
      <c r="C1373" s="27" t="inlineStr">
        <is>
          <t>Mahdalena Dalfa Riani</t>
        </is>
      </c>
      <c r="D1373" s="171" t="n">
        <v>46216.41666666666</v>
      </c>
      <c r="E1373" s="26" t="n">
        <v>0.2435416666666667</v>
      </c>
      <c r="F1373" s="27" t="inlineStr">
        <is>
          <t>Shift 1</t>
        </is>
      </c>
      <c r="G1373" s="27" t="n"/>
    </row>
    <row r="1374" hidden="1" s="169">
      <c r="A1374" s="27" t="inlineStr">
        <is>
          <t>MK00138</t>
        </is>
      </c>
      <c r="B1374" s="27" t="n">
        <v>528000359</v>
      </c>
      <c r="C1374" s="27" t="inlineStr">
        <is>
          <t>M. Iqbal Maulana. S</t>
        </is>
      </c>
      <c r="D1374" s="171" t="n">
        <v>46216.41666666666</v>
      </c>
      <c r="E1374" s="26" t="n">
        <v>0.2439930555555556</v>
      </c>
      <c r="F1374" s="27" t="inlineStr">
        <is>
          <t>Shift 1</t>
        </is>
      </c>
      <c r="G1374" s="27" t="n"/>
    </row>
    <row r="1375" hidden="1" s="169">
      <c r="A1375" s="27" t="inlineStr">
        <is>
          <t>MK00134</t>
        </is>
      </c>
      <c r="B1375" s="27" t="n">
        <v>528000297</v>
      </c>
      <c r="C1375" s="27" t="inlineStr">
        <is>
          <t>Muhamad Budiana</t>
        </is>
      </c>
      <c r="D1375" s="171" t="n">
        <v>46216.41666666666</v>
      </c>
      <c r="E1375" s="26" t="n">
        <v>0.2456018518518518</v>
      </c>
      <c r="F1375" s="27" t="inlineStr">
        <is>
          <t>Shift 1</t>
        </is>
      </c>
      <c r="G1375" s="27" t="n"/>
    </row>
    <row r="1376" hidden="1" s="169">
      <c r="A1376" s="27" t="inlineStr">
        <is>
          <t>MK00154</t>
        </is>
      </c>
      <c r="B1376" s="27" t="n">
        <v>528000063</v>
      </c>
      <c r="C1376" s="27" t="inlineStr">
        <is>
          <t>Muhamad Ripki Pebrian</t>
        </is>
      </c>
      <c r="D1376" s="171" t="n">
        <v>46216.41666666666</v>
      </c>
      <c r="E1376" s="26" t="n">
        <v>0.2477083333333333</v>
      </c>
      <c r="F1376" s="27" t="inlineStr">
        <is>
          <t>Shift 1</t>
        </is>
      </c>
      <c r="G1376" s="27" t="n"/>
    </row>
    <row r="1377" hidden="1" s="169">
      <c r="A1377" s="27" t="inlineStr">
        <is>
          <t>MK00082</t>
        </is>
      </c>
      <c r="B1377" s="27" t="n">
        <v>528000300</v>
      </c>
      <c r="C1377" s="27" t="inlineStr">
        <is>
          <t>Lia pitaloka</t>
        </is>
      </c>
      <c r="D1377" s="171" t="n">
        <v>46216.41666666666</v>
      </c>
      <c r="E1377" s="26" t="n">
        <v>0.2491319444444444</v>
      </c>
      <c r="F1377" s="27" t="inlineStr">
        <is>
          <t>Shift 1</t>
        </is>
      </c>
      <c r="G1377" s="27" t="n"/>
    </row>
    <row r="1378" hidden="1" s="169">
      <c r="A1378" s="27" t="inlineStr">
        <is>
          <t>MK00160</t>
        </is>
      </c>
      <c r="B1378" s="27" t="n">
        <v>528000069</v>
      </c>
      <c r="C1378" s="27" t="inlineStr">
        <is>
          <t>Jajang Ardiansyah</t>
        </is>
      </c>
      <c r="D1378" s="171" t="n">
        <v>46216.41666666666</v>
      </c>
      <c r="E1378" s="26" t="n">
        <v>0.2529976851851852</v>
      </c>
      <c r="F1378" s="27" t="inlineStr">
        <is>
          <t>Shift 1</t>
        </is>
      </c>
      <c r="G1378" s="27" t="n"/>
    </row>
    <row r="1379" hidden="1" s="169">
      <c r="A1379" s="27" t="inlineStr">
        <is>
          <t>MK00212</t>
        </is>
      </c>
      <c r="B1379" s="27" t="n">
        <v>528000282</v>
      </c>
      <c r="C1379" s="27" t="inlineStr">
        <is>
          <t>Defa Desfiana</t>
        </is>
      </c>
      <c r="D1379" s="171" t="n">
        <v>46216.41666666666</v>
      </c>
      <c r="E1379" s="26" t="n">
        <v>0.3141203703703704</v>
      </c>
      <c r="F1379" s="27" t="inlineStr">
        <is>
          <t>Shift 1</t>
        </is>
      </c>
      <c r="G1379" s="27" t="inlineStr">
        <is>
          <t>22b</t>
        </is>
      </c>
    </row>
    <row r="1380">
      <c r="A1380" s="27" t="inlineStr">
        <is>
          <t>MK00213</t>
        </is>
      </c>
      <c r="B1380" s="27" t="n">
        <v>528000015</v>
      </c>
      <c r="C1380" s="27" t="inlineStr">
        <is>
          <t>Erwin</t>
        </is>
      </c>
      <c r="D1380" s="171" t="n">
        <v>46216.41666666666</v>
      </c>
      <c r="E1380" s="26" t="n">
        <v>0.3205092592592593</v>
      </c>
      <c r="F1380" s="27" t="inlineStr">
        <is>
          <t>Shift 1</t>
        </is>
      </c>
      <c r="G1380" s="27" t="n"/>
    </row>
    <row r="1381" hidden="1" s="169">
      <c r="A1381" s="27" t="inlineStr">
        <is>
          <t>MK00181</t>
        </is>
      </c>
      <c r="B1381" s="27" t="n">
        <v>528000265</v>
      </c>
      <c r="C1381" s="27" t="inlineStr">
        <is>
          <t>Muhammad Haerul Rozikin</t>
        </is>
      </c>
      <c r="D1381" s="171" t="n">
        <v>46216.41666666666</v>
      </c>
      <c r="E1381" s="26" t="n">
        <v>0.3217824074074074</v>
      </c>
      <c r="F1381" s="27" t="inlineStr">
        <is>
          <t>Shift 1</t>
        </is>
      </c>
      <c r="G1381" s="27" t="n"/>
    </row>
    <row r="1382" hidden="1" s="169">
      <c r="A1382" s="27" t="inlineStr">
        <is>
          <t>MK00046</t>
        </is>
      </c>
      <c r="B1382" s="27" t="n">
        <v>528000335</v>
      </c>
      <c r="C1382" s="27" t="inlineStr">
        <is>
          <t>Rizal Saepuloh</t>
        </is>
      </c>
      <c r="D1382" s="171" t="n">
        <v>46216.41666666666</v>
      </c>
      <c r="E1382" s="26" t="n">
        <v>0.3296990740740741</v>
      </c>
      <c r="F1382" s="27" t="inlineStr">
        <is>
          <t>Shift 1</t>
        </is>
      </c>
      <c r="G1382" s="27" t="n"/>
    </row>
    <row r="1383" hidden="1" s="169">
      <c r="A1383" s="27" t="inlineStr">
        <is>
          <t>MK00221</t>
        </is>
      </c>
      <c r="B1383" s="27" t="n">
        <v>528000144</v>
      </c>
      <c r="C1383" s="27" t="inlineStr">
        <is>
          <t>Jodi Hanafi</t>
        </is>
      </c>
      <c r="D1383" s="171" t="n">
        <v>46216.41666666666</v>
      </c>
      <c r="E1383" s="26" t="n">
        <v>0.3302546296296296</v>
      </c>
      <c r="F1383" s="27" t="inlineStr">
        <is>
          <t>Shift 1</t>
        </is>
      </c>
      <c r="G1383" s="27" t="n"/>
    </row>
    <row r="1384" hidden="1" s="169">
      <c r="A1384" s="27" t="inlineStr">
        <is>
          <t>MK00093</t>
        </is>
      </c>
      <c r="B1384" s="27" t="n">
        <v>528000310</v>
      </c>
      <c r="C1384" s="27" t="inlineStr">
        <is>
          <t>Fachrul Rozzi Suryana</t>
        </is>
      </c>
      <c r="D1384" s="171" t="n">
        <v>46216.41666666666</v>
      </c>
      <c r="E1384" s="26" t="n">
        <v>0.3309259259259259</v>
      </c>
      <c r="F1384" s="27" t="inlineStr">
        <is>
          <t>Shift 1</t>
        </is>
      </c>
      <c r="G1384" s="27" t="inlineStr">
        <is>
          <t>32B</t>
        </is>
      </c>
    </row>
    <row r="1385" hidden="1" s="169">
      <c r="A1385" s="27" t="inlineStr">
        <is>
          <t>MK00204</t>
        </is>
      </c>
      <c r="B1385" s="27" t="n">
        <v>528000314</v>
      </c>
      <c r="C1385" s="27" t="inlineStr">
        <is>
          <t>Rusmana</t>
        </is>
      </c>
      <c r="D1385" s="171" t="n">
        <v>46216.41666666666</v>
      </c>
      <c r="E1385" s="26" t="n">
        <v>0.3324652777777778</v>
      </c>
      <c r="F1385" s="27" t="inlineStr">
        <is>
          <t>Shift 1</t>
        </is>
      </c>
      <c r="G1385" s="27" t="n"/>
    </row>
    <row r="1386" hidden="1" s="169">
      <c r="A1386" s="27" t="inlineStr">
        <is>
          <t>MK00210</t>
        </is>
      </c>
      <c r="B1386" s="27" t="n">
        <v>528000232</v>
      </c>
      <c r="C1386" s="27" t="inlineStr">
        <is>
          <t>Agung Aji Suhada</t>
        </is>
      </c>
      <c r="D1386" s="171" t="n">
        <v>46216.41666666666</v>
      </c>
      <c r="E1386" s="26" t="n">
        <v>0.3669907407407407</v>
      </c>
      <c r="F1386" s="27" t="inlineStr">
        <is>
          <t>Shift 1</t>
        </is>
      </c>
      <c r="G1386" s="27" t="n"/>
    </row>
    <row r="1387" hidden="1" s="169">
      <c r="A1387" s="27" t="inlineStr">
        <is>
          <t>MK00228</t>
        </is>
      </c>
      <c r="B1387" s="27" t="n">
        <v>528000132</v>
      </c>
      <c r="C1387" s="27" t="inlineStr">
        <is>
          <t>Giopani</t>
        </is>
      </c>
      <c r="D1387" s="171" t="n">
        <v>46216.41666666666</v>
      </c>
      <c r="E1387" s="26" t="n">
        <v>0.3676736111111111</v>
      </c>
      <c r="F1387" s="27" t="inlineStr">
        <is>
          <t>Shift 1</t>
        </is>
      </c>
      <c r="G1387" s="27" t="n"/>
    </row>
    <row r="1388" hidden="1" s="169">
      <c r="A1388" s="27" t="inlineStr">
        <is>
          <t>MK00205</t>
        </is>
      </c>
      <c r="B1388" s="27" t="n">
        <v>528000348</v>
      </c>
      <c r="C1388" s="27" t="inlineStr">
        <is>
          <t>Saepuloh Ardiansah</t>
        </is>
      </c>
      <c r="D1388" s="171" t="n">
        <v>46216.41666666666</v>
      </c>
      <c r="E1388" s="26" t="n">
        <v>0.3720023148148148</v>
      </c>
      <c r="F1388" s="27" t="inlineStr">
        <is>
          <t>Shift 1</t>
        </is>
      </c>
      <c r="G1388" s="27" t="n"/>
    </row>
    <row r="1389" hidden="1" s="169">
      <c r="A1389" s="27" t="inlineStr">
        <is>
          <t>MK00249</t>
        </is>
      </c>
      <c r="B1389" s="27" t="n">
        <v>528000349</v>
      </c>
      <c r="C1389" s="27" t="inlineStr">
        <is>
          <t>Anas Abdul Fatah</t>
        </is>
      </c>
      <c r="D1389" s="171" t="n">
        <v>46216.41666666666</v>
      </c>
      <c r="E1389" s="26" t="n">
        <v>0.4067476851851852</v>
      </c>
      <c r="F1389" s="27" t="inlineStr">
        <is>
          <t>Shift 1</t>
        </is>
      </c>
      <c r="G1389" s="27" t="n"/>
    </row>
    <row r="1390" hidden="1" s="169">
      <c r="A1390" s="27" t="inlineStr">
        <is>
          <t>MK00141</t>
        </is>
      </c>
      <c r="B1390" s="27" t="n">
        <v>528000340</v>
      </c>
      <c r="C1390" s="27" t="inlineStr">
        <is>
          <t>Muhammad Wildan Adithya</t>
        </is>
      </c>
      <c r="D1390" s="171" t="n">
        <v>46216.41666666666</v>
      </c>
      <c r="E1390" s="26" t="n">
        <v>0.5424421296296297</v>
      </c>
      <c r="F1390" s="27" t="inlineStr">
        <is>
          <t>Shift 2</t>
        </is>
      </c>
      <c r="G1390" s="27" t="n"/>
    </row>
    <row r="1391" hidden="1" s="169">
      <c r="A1391" s="27" t="inlineStr">
        <is>
          <t>MK00203</t>
        </is>
      </c>
      <c r="B1391" s="27" t="n">
        <v>528000201</v>
      </c>
      <c r="C1391" s="27" t="inlineStr">
        <is>
          <t>Zahwa Amelia Choerunissa</t>
        </is>
      </c>
      <c r="D1391" s="171" t="n">
        <v>46216.41666666666</v>
      </c>
      <c r="E1391" s="26" t="n">
        <v>0.570775462962963</v>
      </c>
      <c r="F1391" s="27" t="inlineStr">
        <is>
          <t>Shift 2</t>
        </is>
      </c>
      <c r="G1391" s="27" t="n"/>
    </row>
    <row r="1392" hidden="1" s="169">
      <c r="A1392" s="27" t="inlineStr">
        <is>
          <t>MK00116</t>
        </is>
      </c>
      <c r="B1392" s="27" t="n">
        <v>528000099</v>
      </c>
      <c r="C1392" s="27" t="inlineStr">
        <is>
          <t>Siti Nurawaliah</t>
        </is>
      </c>
      <c r="D1392" s="171" t="n">
        <v>46216.41666666666</v>
      </c>
      <c r="E1392" s="26" t="n">
        <v>0.5721412037037037</v>
      </c>
      <c r="F1392" s="27" t="inlineStr">
        <is>
          <t>Shift 2</t>
        </is>
      </c>
      <c r="G1392" s="27" t="n"/>
    </row>
    <row r="1393" hidden="1" s="169">
      <c r="A1393" s="27" t="inlineStr">
        <is>
          <t>MK00192</t>
        </is>
      </c>
      <c r="B1393" s="27" t="n">
        <v>528000289</v>
      </c>
      <c r="C1393" s="27" t="inlineStr">
        <is>
          <t>Adit Supriyadi</t>
        </is>
      </c>
      <c r="D1393" s="171" t="n">
        <v>46216.41666666666</v>
      </c>
      <c r="E1393" s="26" t="n">
        <v>0.5761111111111111</v>
      </c>
      <c r="F1393" s="27" t="inlineStr">
        <is>
          <t>Shift 2</t>
        </is>
      </c>
      <c r="G1393" s="27" t="n"/>
    </row>
    <row r="1394" hidden="1" s="169">
      <c r="A1394" s="27" t="inlineStr">
        <is>
          <t>MK00148</t>
        </is>
      </c>
      <c r="B1394" s="27" t="n">
        <v>528000286</v>
      </c>
      <c r="C1394" s="27" t="inlineStr">
        <is>
          <t>Imelda Amelia</t>
        </is>
      </c>
      <c r="D1394" s="171" t="n">
        <v>46216.41666666666</v>
      </c>
      <c r="E1394" s="26" t="n">
        <v>0.5761805555555556</v>
      </c>
      <c r="F1394" s="27" t="inlineStr">
        <is>
          <t>Shift 2</t>
        </is>
      </c>
      <c r="G1394" s="27" t="n"/>
    </row>
    <row r="1395" hidden="1" s="169">
      <c r="A1395" s="27" t="inlineStr">
        <is>
          <t>MK00112</t>
        </is>
      </c>
      <c r="B1395" s="27" t="n">
        <v>528000318</v>
      </c>
      <c r="C1395" s="27" t="inlineStr">
        <is>
          <t>Bayu Padli Sepriyana</t>
        </is>
      </c>
      <c r="D1395" s="171" t="n">
        <v>46216.41666666666</v>
      </c>
      <c r="E1395" s="26" t="n">
        <v>0.5776736111111112</v>
      </c>
      <c r="F1395" s="27" t="inlineStr">
        <is>
          <t>Shift 2</t>
        </is>
      </c>
      <c r="G1395" s="27" t="n"/>
    </row>
    <row r="1396" hidden="1" s="169">
      <c r="A1396" s="27" t="inlineStr">
        <is>
          <t>MK00158</t>
        </is>
      </c>
      <c r="B1396" s="27" t="n">
        <v>528000244</v>
      </c>
      <c r="C1396" s="27" t="inlineStr">
        <is>
          <t>Rodian Rifai</t>
        </is>
      </c>
      <c r="D1396" s="171" t="n">
        <v>46216.41666666666</v>
      </c>
      <c r="E1396" s="26" t="n">
        <v>0.5783101851851852</v>
      </c>
      <c r="F1396" s="27" t="inlineStr">
        <is>
          <t>Shift 2</t>
        </is>
      </c>
      <c r="G1396" s="27" t="n"/>
    </row>
    <row r="1397" hidden="1" s="169">
      <c r="A1397" s="27" t="inlineStr">
        <is>
          <t>MK0008</t>
        </is>
      </c>
      <c r="B1397" s="27" t="n">
        <v>528000290</v>
      </c>
      <c r="C1397" s="27" t="inlineStr">
        <is>
          <t>Eval Pranata</t>
        </is>
      </c>
      <c r="D1397" s="171" t="n">
        <v>46216.41666666666</v>
      </c>
      <c r="E1397" s="26" t="n">
        <v>0.5797685185185185</v>
      </c>
      <c r="F1397" s="27" t="inlineStr">
        <is>
          <t>Shift 2</t>
        </is>
      </c>
      <c r="G1397" s="27" t="n"/>
    </row>
    <row r="1398" hidden="1" s="169">
      <c r="A1398" s="27" t="inlineStr">
        <is>
          <t>MK00055</t>
        </is>
      </c>
      <c r="B1398" s="27" t="n">
        <v>528000090</v>
      </c>
      <c r="C1398" s="27" t="inlineStr">
        <is>
          <t>Suganda</t>
        </is>
      </c>
      <c r="D1398" s="171" t="n">
        <v>46216.41666666666</v>
      </c>
      <c r="E1398" s="26" t="n">
        <v>0.5815972222222222</v>
      </c>
      <c r="F1398" s="27" t="inlineStr">
        <is>
          <t>Shift 2</t>
        </is>
      </c>
      <c r="G1398" s="27" t="n"/>
    </row>
    <row r="1399" hidden="1" s="169">
      <c r="A1399" s="27" t="inlineStr">
        <is>
          <t>MK00136</t>
        </is>
      </c>
      <c r="B1399" s="27" t="n">
        <v>528000274</v>
      </c>
      <c r="C1399" s="27" t="inlineStr">
        <is>
          <t>Zepri</t>
        </is>
      </c>
      <c r="D1399" s="171" t="n">
        <v>46216.41666666666</v>
      </c>
      <c r="E1399" s="26" t="n">
        <v>0.5816435185185185</v>
      </c>
      <c r="F1399" s="27" t="inlineStr">
        <is>
          <t>Shift 2</t>
        </is>
      </c>
      <c r="G1399" s="27" t="n"/>
    </row>
    <row r="1400" hidden="1" s="169">
      <c r="A1400" s="27" t="inlineStr">
        <is>
          <t>MK00250</t>
        </is>
      </c>
      <c r="B1400" s="27" t="n">
        <v>528000212</v>
      </c>
      <c r="C1400" s="27" t="inlineStr">
        <is>
          <t>Rizal Fauzi</t>
        </is>
      </c>
      <c r="D1400" s="171" t="n">
        <v>46216.41666666666</v>
      </c>
      <c r="E1400" s="26" t="n">
        <v>0.5857638888888889</v>
      </c>
      <c r="F1400" s="27" t="inlineStr">
        <is>
          <t>Shift 2</t>
        </is>
      </c>
      <c r="G1400" s="27" t="n"/>
    </row>
    <row r="1401" hidden="1" s="169">
      <c r="A1401" s="27" t="inlineStr">
        <is>
          <t>MK00202</t>
        </is>
      </c>
      <c r="B1401" s="27" t="n">
        <v>528000337</v>
      </c>
      <c r="C1401" s="27" t="inlineStr">
        <is>
          <t>Ahmad Zaldi Firdaus</t>
        </is>
      </c>
      <c r="D1401" s="171" t="n">
        <v>46216.41666666666</v>
      </c>
      <c r="E1401" s="26" t="n">
        <v>0.8625231481481481</v>
      </c>
      <c r="F1401" s="27" t="inlineStr">
        <is>
          <t>Shift 2</t>
        </is>
      </c>
      <c r="G1401" s="27" t="n"/>
    </row>
    <row r="1402" hidden="1" s="169">
      <c r="A1402" s="27" t="inlineStr">
        <is>
          <t>MK00121</t>
        </is>
      </c>
      <c r="B1402" s="27" t="n">
        <v>528000052</v>
      </c>
      <c r="C1402" s="27" t="inlineStr">
        <is>
          <t>Mustopa</t>
        </is>
      </c>
      <c r="D1402" s="171" t="n">
        <v>46216.41666666666</v>
      </c>
      <c r="E1402" s="26" t="n">
        <v>0.8788425925925926</v>
      </c>
      <c r="F1402" s="27" t="inlineStr">
        <is>
          <t>Shift 3</t>
        </is>
      </c>
      <c r="G1402" s="27" t="n"/>
    </row>
    <row r="1403" hidden="1" s="169">
      <c r="A1403" s="27" t="inlineStr">
        <is>
          <t>MK00082</t>
        </is>
      </c>
      <c r="B1403" s="27" t="n">
        <v>528000360</v>
      </c>
      <c r="C1403" s="27" t="inlineStr">
        <is>
          <t>Hendra Permana</t>
        </is>
      </c>
      <c r="D1403" s="171" t="n">
        <v>46216.41666666666</v>
      </c>
      <c r="E1403" s="26" t="n">
        <v>0.891724537037037</v>
      </c>
      <c r="F1403" s="27" t="inlineStr">
        <is>
          <t>Shift 3</t>
        </is>
      </c>
      <c r="G1403" s="27" t="n"/>
    </row>
    <row r="1404" hidden="1" s="169">
      <c r="A1404" s="27" t="inlineStr">
        <is>
          <t>MK00213</t>
        </is>
      </c>
      <c r="B1404" s="27" t="n">
        <v>528000238</v>
      </c>
      <c r="C1404" s="27" t="inlineStr">
        <is>
          <t>Indah Lusiana</t>
        </is>
      </c>
      <c r="D1404" s="171" t="n">
        <v>46216.41666666666</v>
      </c>
      <c r="E1404" s="26" t="n">
        <v>0.8927662037037037</v>
      </c>
      <c r="F1404" s="27" t="inlineStr">
        <is>
          <t>Shift 3</t>
        </is>
      </c>
      <c r="G1404" s="27" t="n"/>
    </row>
    <row r="1405" hidden="1" s="169">
      <c r="A1405" s="27" t="inlineStr">
        <is>
          <t>MK00160</t>
        </is>
      </c>
      <c r="B1405" s="27" t="n">
        <v>528000262</v>
      </c>
      <c r="C1405" s="27" t="inlineStr">
        <is>
          <t>Ndari Dwiwanti</t>
        </is>
      </c>
      <c r="D1405" s="171" t="n">
        <v>46216.41666666666</v>
      </c>
      <c r="E1405" s="26" t="n">
        <v>0.8978356481481482</v>
      </c>
      <c r="F1405" s="27" t="inlineStr">
        <is>
          <t>Shift 3</t>
        </is>
      </c>
      <c r="G1405" s="27" t="n"/>
    </row>
    <row r="1406" hidden="1" s="169">
      <c r="A1406" s="27" t="inlineStr">
        <is>
          <t>MK00126</t>
        </is>
      </c>
      <c r="B1406" s="27" t="n">
        <v>528000195</v>
      </c>
      <c r="C1406" s="27" t="inlineStr">
        <is>
          <t>Rahma Sariwati</t>
        </is>
      </c>
      <c r="D1406" s="171" t="n">
        <v>46216.41666666666</v>
      </c>
      <c r="E1406" s="26" t="n">
        <v>0.8997106481481482</v>
      </c>
      <c r="F1406" s="27" t="inlineStr">
        <is>
          <t>Shift 3</t>
        </is>
      </c>
      <c r="G1406" s="27" t="n"/>
    </row>
    <row r="1407" hidden="1" s="169">
      <c r="A1407" s="27" t="inlineStr">
        <is>
          <t>MK00109</t>
        </is>
      </c>
      <c r="B1407" s="27" t="n">
        <v>528000266</v>
      </c>
      <c r="C1407" s="27" t="inlineStr">
        <is>
          <t>M. Syirajatieq</t>
        </is>
      </c>
      <c r="D1407" s="171" t="n">
        <v>46216.41666666666</v>
      </c>
      <c r="E1407" s="26" t="n">
        <v>0.9021064814814815</v>
      </c>
      <c r="F1407" s="27" t="inlineStr">
        <is>
          <t>Shift 3</t>
        </is>
      </c>
      <c r="G1407" s="27" t="n"/>
    </row>
    <row r="1408" hidden="1" s="169">
      <c r="A1408" s="27" t="inlineStr">
        <is>
          <t>MK00154</t>
        </is>
      </c>
      <c r="B1408" s="27" t="n">
        <v>528000358</v>
      </c>
      <c r="C1408" s="27" t="inlineStr">
        <is>
          <t>Lulu Agustin</t>
        </is>
      </c>
      <c r="D1408" s="171" t="n">
        <v>46216.41666666666</v>
      </c>
      <c r="E1408" s="26" t="n">
        <v>0.9032986111111111</v>
      </c>
      <c r="F1408" s="27" t="inlineStr">
        <is>
          <t>Shift 3</t>
        </is>
      </c>
      <c r="G1408" s="27" t="n"/>
    </row>
    <row r="1409" hidden="1" s="169">
      <c r="A1409" s="27" t="inlineStr">
        <is>
          <t>MK00208</t>
        </is>
      </c>
      <c r="B1409" s="27" t="n">
        <v>528000261</v>
      </c>
      <c r="C1409" s="27" t="inlineStr">
        <is>
          <t>Ergi Ergianto</t>
        </is>
      </c>
      <c r="D1409" s="171" t="n">
        <v>46216.41666666666</v>
      </c>
      <c r="E1409" s="26" t="n">
        <v>0.9100115740740741</v>
      </c>
      <c r="F1409" s="27" t="inlineStr">
        <is>
          <t>Shift 3</t>
        </is>
      </c>
      <c r="G1409" s="27" t="n"/>
    </row>
    <row r="1410" hidden="1" s="169">
      <c r="A1410" s="27" t="inlineStr">
        <is>
          <t>MK00113</t>
        </is>
      </c>
      <c r="B1410" s="27" t="n">
        <v>528000283</v>
      </c>
      <c r="C1410" s="27" t="inlineStr">
        <is>
          <t>Purwanda Sugiri</t>
        </is>
      </c>
      <c r="D1410" s="171" t="n">
        <v>46216.41666666666</v>
      </c>
      <c r="E1410" s="26" t="n">
        <v>0.9135069444444445</v>
      </c>
      <c r="F1410" s="27" t="inlineStr">
        <is>
          <t>Shift 3</t>
        </is>
      </c>
      <c r="G1410" s="27" t="n"/>
    </row>
    <row r="1411" hidden="1" s="169">
      <c r="A1411" s="27" t="inlineStr">
        <is>
          <t>MK00186</t>
        </is>
      </c>
      <c r="B1411" s="27" t="n">
        <v>528000291</v>
      </c>
      <c r="C1411" s="27" t="inlineStr">
        <is>
          <t>Andrian</t>
        </is>
      </c>
      <c r="D1411" s="171" t="n">
        <v>46216.41666666666</v>
      </c>
      <c r="E1411" s="26" t="n">
        <v>0.9149768518518518</v>
      </c>
      <c r="F1411" s="27" t="inlineStr">
        <is>
          <t>Shift 3</t>
        </is>
      </c>
      <c r="G1411" s="27" t="n"/>
    </row>
    <row r="1412" hidden="1" s="169">
      <c r="A1412" s="27" t="inlineStr">
        <is>
          <t>MK0008</t>
        </is>
      </c>
      <c r="B1412" s="27" t="n">
        <v>628000064</v>
      </c>
      <c r="C1412" s="27" t="inlineStr">
        <is>
          <t>Silva Alypia</t>
        </is>
      </c>
      <c r="D1412" s="171" t="n">
        <v>46217.41666666666</v>
      </c>
      <c r="E1412" s="26" t="n">
        <v>0.2435416666666667</v>
      </c>
      <c r="F1412" s="27" t="inlineStr">
        <is>
          <t>Shift 1</t>
        </is>
      </c>
      <c r="G1412" s="27" t="n"/>
    </row>
    <row r="1413" hidden="1" s="169">
      <c r="A1413" s="27" t="inlineStr">
        <is>
          <t>MK00230</t>
        </is>
      </c>
      <c r="B1413" s="27" t="n">
        <v>528000282</v>
      </c>
      <c r="C1413" s="27" t="inlineStr">
        <is>
          <t>Defa Desfiana</t>
        </is>
      </c>
      <c r="D1413" s="171" t="n">
        <v>46217.41666666666</v>
      </c>
      <c r="E1413" s="26" t="n">
        <v>0.2438310185185185</v>
      </c>
      <c r="F1413" s="27" t="inlineStr">
        <is>
          <t>Shift 1</t>
        </is>
      </c>
      <c r="G1413" s="27" t="n"/>
    </row>
    <row r="1414" hidden="1" s="169">
      <c r="A1414" s="27" t="inlineStr">
        <is>
          <t>MK00203</t>
        </is>
      </c>
      <c r="B1414" s="27" t="n">
        <v>528000279</v>
      </c>
      <c r="C1414" s="27" t="inlineStr">
        <is>
          <t>Mahdalena Dalfa Riani</t>
        </is>
      </c>
      <c r="D1414" s="171" t="n">
        <v>46217.41666666666</v>
      </c>
      <c r="E1414" s="26" t="n">
        <v>0.2452893518518519</v>
      </c>
      <c r="F1414" s="27" t="inlineStr">
        <is>
          <t>Shift 1</t>
        </is>
      </c>
      <c r="G1414" s="27" t="n"/>
    </row>
    <row r="1415" hidden="1" s="169">
      <c r="A1415" s="27" t="inlineStr">
        <is>
          <t>MK00H57</t>
        </is>
      </c>
      <c r="B1415" s="27" t="n">
        <v>528000265</v>
      </c>
      <c r="C1415" s="27" t="inlineStr">
        <is>
          <t>Muhammad Haerul Rozikin</t>
        </is>
      </c>
      <c r="D1415" s="171" t="n">
        <v>46217.41666666666</v>
      </c>
      <c r="E1415" s="26" t="n">
        <v>0.2472685185185185</v>
      </c>
      <c r="F1415" s="27" t="inlineStr">
        <is>
          <t>Shift 1</t>
        </is>
      </c>
      <c r="G1415" s="27" t="n"/>
    </row>
    <row r="1416" hidden="1" s="169">
      <c r="A1416" s="27" t="inlineStr">
        <is>
          <t>MK00136</t>
        </is>
      </c>
      <c r="B1416" s="27" t="n">
        <v>528000300</v>
      </c>
      <c r="C1416" s="27" t="inlineStr">
        <is>
          <t>Lia pitaloka</t>
        </is>
      </c>
      <c r="D1416" s="171" t="n">
        <v>46217.41666666666</v>
      </c>
      <c r="E1416" s="26" t="n">
        <v>0.2474189814814815</v>
      </c>
      <c r="F1416" s="27" t="inlineStr">
        <is>
          <t>Shift 1</t>
        </is>
      </c>
      <c r="G1416" s="27" t="n"/>
    </row>
    <row r="1417" hidden="1" s="169">
      <c r="A1417" s="27" t="inlineStr">
        <is>
          <t>MK00141</t>
        </is>
      </c>
      <c r="B1417" s="27" t="n">
        <v>528000063</v>
      </c>
      <c r="C1417" s="27" t="inlineStr">
        <is>
          <t>Muhamad Ripki Pebrian</t>
        </is>
      </c>
      <c r="D1417" s="171" t="n">
        <v>46217.41666666666</v>
      </c>
      <c r="E1417" s="26" t="n">
        <v>0.2478703703703704</v>
      </c>
      <c r="F1417" s="27" t="inlineStr">
        <is>
          <t>Shift 1</t>
        </is>
      </c>
      <c r="G1417" s="27" t="n"/>
    </row>
    <row r="1418" hidden="1" s="169">
      <c r="A1418" s="27" t="inlineStr">
        <is>
          <t>MK0053</t>
        </is>
      </c>
      <c r="B1418" s="27" t="n">
        <v>528000310</v>
      </c>
      <c r="C1418" s="27" t="inlineStr">
        <is>
          <t>Fachrul Rozzi Suryana</t>
        </is>
      </c>
      <c r="D1418" s="171" t="n">
        <v>46217.41666666666</v>
      </c>
      <c r="E1418" s="26" t="n">
        <v>0.2530902777777778</v>
      </c>
      <c r="F1418" s="27" t="inlineStr">
        <is>
          <t>Shift 1</t>
        </is>
      </c>
      <c r="G1418" s="27" t="inlineStr">
        <is>
          <t>2A</t>
        </is>
      </c>
    </row>
    <row r="1419">
      <c r="A1419" s="27" t="inlineStr">
        <is>
          <t>MK00088</t>
        </is>
      </c>
      <c r="B1419" s="27" t="n">
        <v>528000015</v>
      </c>
      <c r="C1419" s="27" t="inlineStr">
        <is>
          <t>Erwin</t>
        </is>
      </c>
      <c r="D1419" s="171" t="n">
        <v>46217.41666666666</v>
      </c>
      <c r="E1419" s="26" t="n">
        <v>0.3193518518518518</v>
      </c>
      <c r="F1419" s="27" t="inlineStr">
        <is>
          <t>Shift 1</t>
        </is>
      </c>
      <c r="G1419" s="27" t="n"/>
    </row>
    <row r="1420" hidden="1" s="169">
      <c r="A1420" s="27" t="inlineStr">
        <is>
          <t>MK00160</t>
        </is>
      </c>
      <c r="B1420" s="27" t="n">
        <v>528000069</v>
      </c>
      <c r="C1420" s="27" t="inlineStr">
        <is>
          <t>Jajang Ardiansyah</t>
        </is>
      </c>
      <c r="D1420" s="171" t="n">
        <v>46217.41666666666</v>
      </c>
      <c r="E1420" s="26" t="n">
        <v>0.321400462962963</v>
      </c>
      <c r="F1420" s="27" t="inlineStr">
        <is>
          <t>Shift 1</t>
        </is>
      </c>
      <c r="G1420" s="27" t="n"/>
    </row>
    <row r="1421" hidden="1" s="169">
      <c r="A1421" s="27" t="inlineStr">
        <is>
          <t>MK00221</t>
        </is>
      </c>
      <c r="B1421" s="27" t="n">
        <v>528000144</v>
      </c>
      <c r="C1421" s="27" t="inlineStr">
        <is>
          <t>Jodi Hanafi</t>
        </is>
      </c>
      <c r="D1421" s="171" t="n">
        <v>46217.41666666666</v>
      </c>
      <c r="E1421" s="26" t="n">
        <v>0.3326041666666666</v>
      </c>
      <c r="F1421" s="27" t="inlineStr">
        <is>
          <t>Shift 1</t>
        </is>
      </c>
      <c r="G1421" s="27" t="n"/>
    </row>
    <row r="1422" hidden="1" s="169">
      <c r="A1422" s="27" t="inlineStr">
        <is>
          <t>MK00125</t>
        </is>
      </c>
      <c r="B1422" s="27" t="n">
        <v>528000314</v>
      </c>
      <c r="C1422" s="27" t="inlineStr">
        <is>
          <t>Rusmana</t>
        </is>
      </c>
      <c r="D1422" s="171" t="n">
        <v>46217.41666666666</v>
      </c>
      <c r="E1422" s="26" t="n">
        <v>0.3329166666666667</v>
      </c>
      <c r="F1422" s="27" t="inlineStr">
        <is>
          <t>Shift 1</t>
        </is>
      </c>
      <c r="G1422" s="27" t="n"/>
    </row>
    <row r="1423" hidden="1" s="169">
      <c r="A1423" s="27" t="inlineStr">
        <is>
          <t>MK00210</t>
        </is>
      </c>
      <c r="B1423" s="27" t="n">
        <v>528000232</v>
      </c>
      <c r="C1423" s="27" t="inlineStr">
        <is>
          <t>Agung Aji Suhada</t>
        </is>
      </c>
      <c r="D1423" s="171" t="n">
        <v>46217.41666666666</v>
      </c>
      <c r="E1423" s="26" t="n">
        <v>0.3634143518518518</v>
      </c>
      <c r="F1423" s="27" t="inlineStr">
        <is>
          <t>Shift 1</t>
        </is>
      </c>
      <c r="G1423" s="27" t="n"/>
    </row>
    <row r="1424" hidden="1" s="169">
      <c r="A1424" s="27" t="inlineStr">
        <is>
          <t>MK00228</t>
        </is>
      </c>
      <c r="B1424" s="27" t="n">
        <v>528000132</v>
      </c>
      <c r="C1424" s="27" t="inlineStr">
        <is>
          <t>Giopani</t>
        </is>
      </c>
      <c r="D1424" s="171" t="n">
        <v>46217.41666666666</v>
      </c>
      <c r="E1424" s="26" t="n">
        <v>0.3728240740740741</v>
      </c>
      <c r="F1424" s="27" t="inlineStr">
        <is>
          <t>Shift 1</t>
        </is>
      </c>
      <c r="G1424" s="27" t="n"/>
    </row>
    <row r="1425" hidden="1" s="169">
      <c r="A1425" s="27" t="inlineStr">
        <is>
          <t>MK00205</t>
        </is>
      </c>
      <c r="B1425" s="27" t="n">
        <v>528000348</v>
      </c>
      <c r="C1425" s="27" t="inlineStr">
        <is>
          <t>Saepuloh Ardiansah</t>
        </is>
      </c>
      <c r="D1425" s="171" t="n">
        <v>46217.41666666666</v>
      </c>
      <c r="E1425" s="26" t="n">
        <v>0.3729166666666667</v>
      </c>
      <c r="F1425" s="27" t="inlineStr">
        <is>
          <t>Shift 1</t>
        </is>
      </c>
      <c r="G1425" s="27" t="n"/>
    </row>
    <row r="1426" hidden="1" s="169">
      <c r="A1426" s="27" t="inlineStr">
        <is>
          <t>MK00134</t>
        </is>
      </c>
      <c r="B1426" s="27" t="n">
        <v>528000349</v>
      </c>
      <c r="C1426" s="27" t="inlineStr">
        <is>
          <t>Anas Abdul Fatah</t>
        </is>
      </c>
      <c r="D1426" s="171" t="n">
        <v>46217.41666666666</v>
      </c>
      <c r="E1426" s="26" t="n">
        <v>0.400636574074074</v>
      </c>
      <c r="F1426" s="27" t="inlineStr">
        <is>
          <t>Shift 1</t>
        </is>
      </c>
      <c r="G1426" s="27" t="n"/>
    </row>
    <row r="1427" hidden="1" s="169">
      <c r="A1427" s="27" t="inlineStr">
        <is>
          <t>MK00090</t>
        </is>
      </c>
      <c r="B1427" s="27" t="n">
        <v>528000201</v>
      </c>
      <c r="C1427" s="27" t="inlineStr">
        <is>
          <t>Zahwa Amelia Choerunissa</t>
        </is>
      </c>
      <c r="D1427" s="171" t="n">
        <v>46217.41666666666</v>
      </c>
      <c r="E1427" s="26" t="n">
        <v>0.5723958333333333</v>
      </c>
      <c r="F1427" s="27" t="inlineStr">
        <is>
          <t>Shift 2</t>
        </is>
      </c>
      <c r="G1427" s="27" t="n"/>
    </row>
    <row r="1428" hidden="1" s="169">
      <c r="A1428" s="27" t="inlineStr">
        <is>
          <t>MK00181</t>
        </is>
      </c>
      <c r="B1428" s="27" t="n">
        <v>528000099</v>
      </c>
      <c r="C1428" s="27" t="inlineStr">
        <is>
          <t>Siti Nurawaliah</t>
        </is>
      </c>
      <c r="D1428" s="171" t="n">
        <v>46217.41666666666</v>
      </c>
      <c r="E1428" s="26" t="n">
        <v>0.5727199074074074</v>
      </c>
      <c r="F1428" s="27" t="inlineStr">
        <is>
          <t>Shift 2</t>
        </is>
      </c>
      <c r="G1428" s="27" t="n"/>
    </row>
    <row r="1429" hidden="1" s="169">
      <c r="A1429" s="27" t="inlineStr">
        <is>
          <t>MK00156</t>
        </is>
      </c>
      <c r="B1429" s="27" t="n">
        <v>528000286</v>
      </c>
      <c r="C1429" s="27" t="inlineStr">
        <is>
          <t>Imelda Amelia</t>
        </is>
      </c>
      <c r="D1429" s="171" t="n">
        <v>46217.41666666666</v>
      </c>
      <c r="E1429" s="26" t="n">
        <v>0.5743634259259259</v>
      </c>
      <c r="F1429" s="27" t="inlineStr">
        <is>
          <t>Shift 2</t>
        </is>
      </c>
      <c r="G1429" s="27" t="n"/>
    </row>
    <row r="1430" hidden="1" s="169">
      <c r="A1430" s="27" t="inlineStr">
        <is>
          <t>MK00138</t>
        </is>
      </c>
      <c r="B1430" s="27" t="n">
        <v>528000359</v>
      </c>
      <c r="C1430" s="27" t="inlineStr">
        <is>
          <t>M. Iqbal Maulana. S</t>
        </is>
      </c>
      <c r="D1430" s="171" t="n">
        <v>46217.41666666666</v>
      </c>
      <c r="E1430" s="26" t="n">
        <v>0.5753125</v>
      </c>
      <c r="F1430" s="27" t="inlineStr">
        <is>
          <t>Shift 2</t>
        </is>
      </c>
      <c r="G1430" s="27" t="n"/>
    </row>
    <row r="1431" hidden="1" s="169">
      <c r="A1431" s="27" t="inlineStr">
        <is>
          <t>MK00085</t>
        </is>
      </c>
      <c r="B1431" s="27" t="n">
        <v>528000289</v>
      </c>
      <c r="C1431" s="27" t="inlineStr">
        <is>
          <t>Adit Supriyadi</t>
        </is>
      </c>
      <c r="D1431" s="171" t="n">
        <v>46217.41666666666</v>
      </c>
      <c r="E1431" s="26" t="n">
        <v>0.5753356481481482</v>
      </c>
      <c r="F1431" s="27" t="inlineStr">
        <is>
          <t>Shift 2</t>
        </is>
      </c>
      <c r="G1431" s="27" t="n"/>
    </row>
    <row r="1432" hidden="1" s="169">
      <c r="A1432" s="27" t="inlineStr">
        <is>
          <t>MK00204</t>
        </is>
      </c>
      <c r="B1432" s="27" t="n">
        <v>528000241</v>
      </c>
      <c r="C1432" s="27" t="inlineStr">
        <is>
          <t>Balia Nurafif Bilah</t>
        </is>
      </c>
      <c r="D1432" s="171" t="n">
        <v>46217.41666666666</v>
      </c>
      <c r="E1432" s="26" t="n">
        <v>0.5765046296296297</v>
      </c>
      <c r="F1432" s="27" t="inlineStr">
        <is>
          <t>Shift 2</t>
        </is>
      </c>
      <c r="G1432" s="27" t="n"/>
    </row>
    <row r="1433" hidden="1" s="169">
      <c r="A1433" s="27" t="inlineStr">
        <is>
          <t>MK00112</t>
        </is>
      </c>
      <c r="B1433" s="27" t="n">
        <v>528000274</v>
      </c>
      <c r="C1433" s="27" t="inlineStr">
        <is>
          <t>Zepri</t>
        </is>
      </c>
      <c r="D1433" s="171" t="n">
        <v>46217.41666666666</v>
      </c>
      <c r="E1433" s="26" t="n">
        <v>0.5796527777777778</v>
      </c>
      <c r="F1433" s="27" t="inlineStr">
        <is>
          <t>Shift 2</t>
        </is>
      </c>
      <c r="G1433" s="27" t="n"/>
    </row>
    <row r="1434" hidden="1" s="169">
      <c r="A1434" s="27" t="inlineStr">
        <is>
          <t>MK00249</t>
        </is>
      </c>
      <c r="B1434" s="27" t="n">
        <v>528000228</v>
      </c>
      <c r="C1434" s="27" t="inlineStr">
        <is>
          <t>Banyu Resmi Putri</t>
        </is>
      </c>
      <c r="D1434" s="171" t="n">
        <v>46217.41666666666</v>
      </c>
      <c r="E1434" s="26" t="n">
        <v>0.580324074074074</v>
      </c>
      <c r="F1434" s="27" t="inlineStr">
        <is>
          <t>Shift 2</t>
        </is>
      </c>
      <c r="G1434" s="27" t="n"/>
    </row>
    <row r="1435" hidden="1" s="169">
      <c r="A1435" s="27" t="inlineStr">
        <is>
          <t>MK00145</t>
        </is>
      </c>
      <c r="B1435" s="27" t="n">
        <v>528000090</v>
      </c>
      <c r="C1435" s="27" t="inlineStr">
        <is>
          <t>Suganda</t>
        </is>
      </c>
      <c r="D1435" s="171" t="n">
        <v>46217.41666666666</v>
      </c>
      <c r="E1435" s="26" t="n">
        <v>0.5811805555555556</v>
      </c>
      <c r="F1435" s="27" t="inlineStr">
        <is>
          <t>Shift 2</t>
        </is>
      </c>
      <c r="G1435" s="27" t="n"/>
    </row>
    <row r="1436" hidden="1" s="169">
      <c r="A1436" s="27" t="inlineStr">
        <is>
          <t>MK00212</t>
        </is>
      </c>
      <c r="B1436" s="27" t="n">
        <v>528000290</v>
      </c>
      <c r="C1436" s="27" t="inlineStr">
        <is>
          <t>Eval Pranata</t>
        </is>
      </c>
      <c r="D1436" s="171" t="n">
        <v>46217.41666666666</v>
      </c>
      <c r="E1436" s="26" t="n">
        <v>0.5817013888888889</v>
      </c>
      <c r="F1436" s="27" t="inlineStr">
        <is>
          <t>Shift 2</t>
        </is>
      </c>
      <c r="G1436" s="27" t="n"/>
    </row>
    <row r="1437" hidden="1" s="169">
      <c r="A1437" s="27" t="inlineStr">
        <is>
          <t>MK00150</t>
        </is>
      </c>
      <c r="B1437" s="27" t="n">
        <v>528000212</v>
      </c>
      <c r="C1437" s="27" t="inlineStr">
        <is>
          <t>Rizal Fauzi</t>
        </is>
      </c>
      <c r="D1437" s="171" t="n">
        <v>46217.41666666666</v>
      </c>
      <c r="E1437" s="26" t="n">
        <v>0.5848842592592592</v>
      </c>
      <c r="F1437" s="27" t="inlineStr">
        <is>
          <t>Shift 2</t>
        </is>
      </c>
      <c r="G1437" s="27" t="n"/>
    </row>
    <row r="1438" hidden="1" s="169">
      <c r="A1438" s="27" t="inlineStr">
        <is>
          <t>MK00208</t>
        </is>
      </c>
      <c r="B1438" s="27" t="n">
        <v>528000313</v>
      </c>
      <c r="C1438" s="27" t="inlineStr">
        <is>
          <t>Muhamad Rifki</t>
        </is>
      </c>
      <c r="D1438" s="171" t="n">
        <v>46217.41666666666</v>
      </c>
      <c r="E1438" s="26" t="n">
        <v>0.8785648148148149</v>
      </c>
      <c r="F1438" s="27" t="inlineStr">
        <is>
          <t>Shift 3</t>
        </is>
      </c>
      <c r="G1438" s="27" t="n"/>
    </row>
    <row r="1439" hidden="1" s="169">
      <c r="A1439" s="27" t="inlineStr">
        <is>
          <t>MK00154</t>
        </is>
      </c>
      <c r="B1439" s="27" t="n">
        <v>628000091</v>
      </c>
      <c r="C1439" s="27" t="inlineStr">
        <is>
          <t>Devita Handayani</t>
        </is>
      </c>
      <c r="D1439" s="171" t="n">
        <v>46217.41666666666</v>
      </c>
      <c r="E1439" s="26" t="n">
        <v>0.8926157407407408</v>
      </c>
      <c r="F1439" s="27" t="inlineStr">
        <is>
          <t>Shift 3</t>
        </is>
      </c>
      <c r="G1439" s="27" t="n"/>
    </row>
    <row r="1440" hidden="1" s="169">
      <c r="A1440" s="27" t="inlineStr">
        <is>
          <t>MK00202</t>
        </is>
      </c>
      <c r="B1440" s="27" t="n">
        <v>528000340</v>
      </c>
      <c r="C1440" s="27" t="inlineStr">
        <is>
          <t>Muhammad Wildan Adithya</t>
        </is>
      </c>
      <c r="D1440" s="171" t="n">
        <v>46217.41666666666</v>
      </c>
      <c r="E1440" s="26" t="n">
        <v>0.8930324074074074</v>
      </c>
      <c r="F1440" s="27" t="inlineStr">
        <is>
          <t>Shift 3</t>
        </is>
      </c>
      <c r="G1440" s="27" t="n"/>
    </row>
    <row r="1441" hidden="1" s="169">
      <c r="A1441" s="27" t="inlineStr">
        <is>
          <t>MK00185</t>
        </is>
      </c>
      <c r="B1441" s="27" t="n">
        <v>528000318</v>
      </c>
      <c r="C1441" s="27" t="inlineStr">
        <is>
          <t>Bayu Padli Sepriyana</t>
        </is>
      </c>
      <c r="D1441" s="171" t="n">
        <v>46217.41666666666</v>
      </c>
      <c r="E1441" s="26" t="n">
        <v>0.9019791666666667</v>
      </c>
      <c r="F1441" s="27" t="inlineStr">
        <is>
          <t>Shift 3</t>
        </is>
      </c>
      <c r="G1441" s="27" t="n"/>
    </row>
    <row r="1442" hidden="1" s="169">
      <c r="A1442" s="27" t="inlineStr">
        <is>
          <t>MK00213</t>
        </is>
      </c>
      <c r="B1442" s="27" t="n">
        <v>528000270</v>
      </c>
      <c r="C1442" s="27" t="inlineStr">
        <is>
          <t>Febri Najmudin</t>
        </is>
      </c>
      <c r="D1442" s="171" t="n">
        <v>46217.41666666666</v>
      </c>
      <c r="E1442" s="26" t="n">
        <v>0.9044444444444445</v>
      </c>
      <c r="F1442" s="27" t="inlineStr">
        <is>
          <t>Shift 3</t>
        </is>
      </c>
      <c r="G1442" s="27" t="n"/>
    </row>
    <row r="1443" hidden="1" s="169">
      <c r="A1443" s="27" t="inlineStr">
        <is>
          <t>MK00134</t>
        </is>
      </c>
      <c r="B1443" s="27" t="n">
        <v>528000298</v>
      </c>
      <c r="C1443" s="27" t="inlineStr">
        <is>
          <t>Desta Cahaya Pratama</t>
        </is>
      </c>
      <c r="D1443" s="171" t="n">
        <v>46217.41666666666</v>
      </c>
      <c r="E1443" s="26" t="n">
        <v>0.905775462962963</v>
      </c>
      <c r="F1443" s="27" t="inlineStr">
        <is>
          <t>Shift 3</t>
        </is>
      </c>
      <c r="G1443" s="27" t="n"/>
    </row>
    <row r="1444" hidden="1" s="169">
      <c r="A1444" s="27" t="inlineStr">
        <is>
          <t>MK00230</t>
        </is>
      </c>
      <c r="B1444" s="27" t="n">
        <v>528000305</v>
      </c>
      <c r="C1444" s="27" t="inlineStr">
        <is>
          <t>Puji Puspita</t>
        </is>
      </c>
      <c r="D1444" s="171" t="n">
        <v>46217.41666666666</v>
      </c>
      <c r="E1444" s="26" t="n">
        <v>0.906087962962963</v>
      </c>
      <c r="F1444" s="27" t="inlineStr">
        <is>
          <t>Shift 3</t>
        </is>
      </c>
      <c r="G1444" s="27" t="n"/>
    </row>
    <row r="1445" hidden="1" s="169">
      <c r="A1445" s="27" t="inlineStr">
        <is>
          <t>MK00126</t>
        </is>
      </c>
      <c r="B1445" s="27" t="n">
        <v>528000299</v>
      </c>
      <c r="C1445" s="27" t="inlineStr">
        <is>
          <t>Siti Nurjanah</t>
        </is>
      </c>
      <c r="D1445" s="171" t="n">
        <v>46217.41666666666</v>
      </c>
      <c r="E1445" s="26" t="n">
        <v>0.9064930555555556</v>
      </c>
      <c r="F1445" s="27" t="inlineStr">
        <is>
          <t>Shift 3</t>
        </is>
      </c>
      <c r="G1445" s="27" t="n"/>
    </row>
    <row r="1446" hidden="1" s="169">
      <c r="A1446" s="27" t="inlineStr">
        <is>
          <t>MK00250</t>
        </is>
      </c>
      <c r="B1446" s="27" t="n">
        <v>528000309</v>
      </c>
      <c r="C1446" s="27" t="inlineStr">
        <is>
          <t>Ilham Ramadhan</t>
        </is>
      </c>
      <c r="D1446" s="171" t="n">
        <v>46217.41666666666</v>
      </c>
      <c r="E1446" s="26" t="n">
        <v>0.9087499999999999</v>
      </c>
      <c r="F1446" s="27" t="inlineStr">
        <is>
          <t>Shift 3</t>
        </is>
      </c>
      <c r="G1446" s="27" t="n"/>
    </row>
    <row r="1447" hidden="1" s="169">
      <c r="A1447" s="27" t="inlineStr">
        <is>
          <t>MK00082</t>
        </is>
      </c>
      <c r="B1447" s="27" t="n">
        <v>528000302</v>
      </c>
      <c r="C1447" s="27" t="inlineStr">
        <is>
          <t>Henkey gumilar</t>
        </is>
      </c>
      <c r="D1447" s="171" t="n">
        <v>46217.41666666666</v>
      </c>
      <c r="E1447" s="26" t="n">
        <v>0.9126620370370371</v>
      </c>
      <c r="F1447" s="27" t="inlineStr">
        <is>
          <t>Shift 3</t>
        </is>
      </c>
      <c r="G1447" s="27" t="n"/>
    </row>
    <row r="1448" hidden="1" s="169">
      <c r="A1448" s="27" t="inlineStr">
        <is>
          <t>MK00121</t>
        </is>
      </c>
      <c r="B1448" s="27" t="n">
        <v>528000306</v>
      </c>
      <c r="C1448" s="27" t="inlineStr">
        <is>
          <t>Windy Olivia</t>
        </is>
      </c>
      <c r="D1448" s="171" t="n">
        <v>46218.41666666666</v>
      </c>
      <c r="E1448" s="26" t="n">
        <v>0.2424305555555556</v>
      </c>
      <c r="F1448" s="27" t="inlineStr">
        <is>
          <t>Shift 1</t>
        </is>
      </c>
      <c r="G1448" s="27" t="n"/>
    </row>
    <row r="1449" hidden="1" s="169">
      <c r="A1449" s="27" t="inlineStr">
        <is>
          <t>MK00212</t>
        </is>
      </c>
      <c r="B1449" s="27" t="n">
        <v>528000279</v>
      </c>
      <c r="C1449" s="27" t="inlineStr">
        <is>
          <t>Mahdalena Dalfa Riani</t>
        </is>
      </c>
      <c r="D1449" s="171" t="n">
        <v>46218.41666666666</v>
      </c>
      <c r="E1449" s="26" t="n">
        <v>0.2458217592592593</v>
      </c>
      <c r="F1449" s="27" t="inlineStr">
        <is>
          <t>Shift 1</t>
        </is>
      </c>
      <c r="G1449" s="27" t="n"/>
    </row>
    <row r="1450" hidden="1" s="169">
      <c r="A1450" s="27" t="inlineStr">
        <is>
          <t>MK00148</t>
        </is>
      </c>
      <c r="B1450" s="27" t="n">
        <v>528000248</v>
      </c>
      <c r="C1450" s="27" t="inlineStr">
        <is>
          <t>Roka Jaya Salka Mulya</t>
        </is>
      </c>
      <c r="D1450" s="171" t="n">
        <v>46218.41666666666</v>
      </c>
      <c r="E1450" s="26" t="n">
        <v>0.2460763888888889</v>
      </c>
      <c r="F1450" s="27" t="inlineStr">
        <is>
          <t>Shift 1</t>
        </is>
      </c>
      <c r="G1450" s="27" t="n"/>
    </row>
    <row r="1451" hidden="1" s="169">
      <c r="A1451" s="27" t="inlineStr">
        <is>
          <t>MK00235</t>
        </is>
      </c>
      <c r="B1451" s="27" t="n">
        <v>528000359</v>
      </c>
      <c r="C1451" s="27" t="inlineStr">
        <is>
          <t>M. Iqbal Maulana. S</t>
        </is>
      </c>
      <c r="D1451" s="171" t="n">
        <v>46218.41666666666</v>
      </c>
      <c r="E1451" s="26" t="n">
        <v>0.2463425925925926</v>
      </c>
      <c r="F1451" s="27" t="inlineStr">
        <is>
          <t>Shift 1</t>
        </is>
      </c>
      <c r="G1451" s="27" t="n"/>
    </row>
    <row r="1452" hidden="1" s="169">
      <c r="A1452" s="27" t="inlineStr">
        <is>
          <t>MK00108</t>
        </is>
      </c>
      <c r="B1452" s="27" t="n">
        <v>528000288</v>
      </c>
      <c r="C1452" s="27" t="inlineStr">
        <is>
          <t>Dede gunawan</t>
        </is>
      </c>
      <c r="D1452" s="171" t="n">
        <v>46218.41666666666</v>
      </c>
      <c r="E1452" s="26" t="n">
        <v>0.2464583333333333</v>
      </c>
      <c r="F1452" s="27" t="inlineStr">
        <is>
          <t>Shift 1</t>
        </is>
      </c>
      <c r="G1452" s="27" t="n"/>
    </row>
    <row r="1453" hidden="1" s="169">
      <c r="A1453" s="27" t="inlineStr">
        <is>
          <t>MK00109</t>
        </is>
      </c>
      <c r="B1453" s="27" t="n">
        <v>628000064</v>
      </c>
      <c r="C1453" s="27" t="inlineStr">
        <is>
          <t>Silva Alypia</t>
        </is>
      </c>
      <c r="D1453" s="171" t="n">
        <v>46218.41666666666</v>
      </c>
      <c r="E1453" s="26" t="n">
        <v>0.2466203703703704</v>
      </c>
      <c r="F1453" s="27" t="inlineStr">
        <is>
          <t>Shift 1</t>
        </is>
      </c>
      <c r="G1453" s="27" t="n"/>
    </row>
    <row r="1454" hidden="1" s="169">
      <c r="A1454" s="27" t="inlineStr">
        <is>
          <t>MK00145</t>
        </is>
      </c>
      <c r="B1454" s="27" t="n">
        <v>528000300</v>
      </c>
      <c r="C1454" s="27" t="inlineStr">
        <is>
          <t>Lia pitaloka</t>
        </is>
      </c>
      <c r="D1454" s="171" t="n">
        <v>46218.41666666666</v>
      </c>
      <c r="E1454" s="26" t="n">
        <v>0.2470601851851852</v>
      </c>
      <c r="F1454" s="27" t="inlineStr">
        <is>
          <t>Shift 1</t>
        </is>
      </c>
      <c r="G1454" s="27" t="n"/>
    </row>
    <row r="1455" hidden="1" s="169">
      <c r="A1455" s="27" t="inlineStr">
        <is>
          <t>MK00116</t>
        </is>
      </c>
      <c r="B1455" s="27" t="n">
        <v>528000297</v>
      </c>
      <c r="C1455" s="27" t="inlineStr">
        <is>
          <t>Muhamad Budiana</t>
        </is>
      </c>
      <c r="D1455" s="171" t="n">
        <v>46218.41666666666</v>
      </c>
      <c r="E1455" s="26" t="n">
        <v>0.2470486111111111</v>
      </c>
      <c r="F1455" s="27" t="inlineStr">
        <is>
          <t>Shift 1</t>
        </is>
      </c>
      <c r="G1455" s="27" t="n"/>
    </row>
    <row r="1456" hidden="1" s="169">
      <c r="A1456" s="27" t="inlineStr">
        <is>
          <t>MK00158</t>
        </is>
      </c>
      <c r="B1456" s="27" t="n">
        <v>528000063</v>
      </c>
      <c r="C1456" s="27" t="inlineStr">
        <is>
          <t>Muhamad Ripki Pebrian</t>
        </is>
      </c>
      <c r="D1456" s="171" t="n">
        <v>46218.41666666666</v>
      </c>
      <c r="E1456" s="26" t="n">
        <v>0.2483449074074074</v>
      </c>
      <c r="F1456" s="27" t="inlineStr">
        <is>
          <t>Shift 1</t>
        </is>
      </c>
      <c r="G1456" s="27" t="n"/>
    </row>
    <row r="1457" hidden="1" s="169">
      <c r="A1457" s="27" t="inlineStr">
        <is>
          <t>MK00160</t>
        </is>
      </c>
      <c r="B1457" s="27" t="n">
        <v>528000069</v>
      </c>
      <c r="C1457" s="27" t="inlineStr">
        <is>
          <t>Jajang Ardiansyah</t>
        </is>
      </c>
      <c r="D1457" s="171" t="n">
        <v>46218.41666666666</v>
      </c>
      <c r="E1457" s="26" t="n">
        <v>0.3040393518518518</v>
      </c>
      <c r="F1457" s="27" t="inlineStr">
        <is>
          <t>Shift 1</t>
        </is>
      </c>
      <c r="G1457" s="27" t="n"/>
    </row>
    <row r="1458" hidden="1" s="169">
      <c r="A1458" s="27" t="inlineStr">
        <is>
          <t>MK00213</t>
        </is>
      </c>
      <c r="B1458" s="27" t="n">
        <v>528000282</v>
      </c>
      <c r="C1458" s="27" t="inlineStr">
        <is>
          <t>Defa Desfiana</t>
        </is>
      </c>
      <c r="D1458" s="171" t="n">
        <v>46218.41666666666</v>
      </c>
      <c r="E1458" s="26" t="n">
        <v>0.3131481481481482</v>
      </c>
      <c r="F1458" s="27" t="inlineStr">
        <is>
          <t>Shift 1</t>
        </is>
      </c>
      <c r="G1458" s="27" t="inlineStr">
        <is>
          <t>30e</t>
        </is>
      </c>
    </row>
    <row r="1459" hidden="1" s="169">
      <c r="A1459" s="27" t="inlineStr">
        <is>
          <t>MK00221</t>
        </is>
      </c>
      <c r="B1459" s="27" t="n">
        <v>528000144</v>
      </c>
      <c r="C1459" s="27" t="inlineStr">
        <is>
          <t>Jodi Hanafi</t>
        </is>
      </c>
      <c r="D1459" s="171" t="n">
        <v>46218.41666666666</v>
      </c>
      <c r="E1459" s="26" t="n">
        <v>0.318912037037037</v>
      </c>
      <c r="F1459" s="27" t="inlineStr">
        <is>
          <t>Shift 1</t>
        </is>
      </c>
      <c r="G1459" s="27" t="n"/>
    </row>
    <row r="1460">
      <c r="A1460" s="27" t="inlineStr">
        <is>
          <t>MK00181</t>
        </is>
      </c>
      <c r="B1460" s="27" t="n">
        <v>528000015</v>
      </c>
      <c r="C1460" s="27" t="inlineStr">
        <is>
          <t>Erwin</t>
        </is>
      </c>
      <c r="D1460" s="171" t="n">
        <v>46218.41666666666</v>
      </c>
      <c r="E1460" s="26" t="n">
        <v>0.3201273148148148</v>
      </c>
      <c r="F1460" s="27" t="inlineStr">
        <is>
          <t>Shift 1</t>
        </is>
      </c>
      <c r="G1460" s="27" t="n"/>
    </row>
    <row r="1461" hidden="1" s="169">
      <c r="A1461" s="27" t="inlineStr">
        <is>
          <t>MK00208</t>
        </is>
      </c>
      <c r="B1461" s="27" t="n">
        <v>528000351</v>
      </c>
      <c r="C1461" s="27" t="inlineStr">
        <is>
          <t>Mulyana</t>
        </is>
      </c>
      <c r="D1461" s="171" t="n">
        <v>46218.41666666666</v>
      </c>
      <c r="E1461" s="26" t="n">
        <v>0.3263425925925926</v>
      </c>
      <c r="F1461" s="27" t="inlineStr">
        <is>
          <t>Shift 1</t>
        </is>
      </c>
      <c r="G1461" s="27" t="n"/>
    </row>
    <row r="1462" hidden="1" s="169">
      <c r="A1462" s="27" t="inlineStr">
        <is>
          <t>MK00192</t>
        </is>
      </c>
      <c r="B1462" s="27" t="n">
        <v>528000310</v>
      </c>
      <c r="C1462" s="27" t="inlineStr">
        <is>
          <t>Fachrul Rozzi Suryana</t>
        </is>
      </c>
      <c r="D1462" s="171" t="n">
        <v>46218.41666666666</v>
      </c>
      <c r="E1462" s="26" t="n">
        <v>0.3274421296296297</v>
      </c>
      <c r="F1462" s="27" t="inlineStr">
        <is>
          <t>Shift 1</t>
        </is>
      </c>
      <c r="G1462" s="27" t="inlineStr">
        <is>
          <t>32B</t>
        </is>
      </c>
    </row>
    <row r="1463" hidden="1" s="169">
      <c r="A1463" s="27" t="inlineStr">
        <is>
          <t>MK00203</t>
        </is>
      </c>
      <c r="B1463" s="27" t="n">
        <v>528000265</v>
      </c>
      <c r="C1463" s="27" t="inlineStr">
        <is>
          <t>Muhammad Haerul Rozikin</t>
        </is>
      </c>
      <c r="D1463" s="171" t="n">
        <v>46218.41666666666</v>
      </c>
      <c r="E1463" s="26" t="n">
        <v>0.3303125</v>
      </c>
      <c r="F1463" s="27" t="inlineStr">
        <is>
          <t>Shift 1</t>
        </is>
      </c>
      <c r="G1463" s="27" t="n"/>
    </row>
    <row r="1464" hidden="1" s="169">
      <c r="A1464" s="27" t="inlineStr">
        <is>
          <t>MK00125</t>
        </is>
      </c>
      <c r="B1464" s="27" t="n">
        <v>528000314</v>
      </c>
      <c r="C1464" s="27" t="inlineStr">
        <is>
          <t>Rusmana</t>
        </is>
      </c>
      <c r="D1464" s="171" t="n">
        <v>46218.41666666666</v>
      </c>
      <c r="E1464" s="26" t="n">
        <v>0.3303125</v>
      </c>
      <c r="F1464" s="27" t="inlineStr">
        <is>
          <t>Shift 1</t>
        </is>
      </c>
      <c r="G1464" s="27" t="n"/>
    </row>
    <row r="1465" hidden="1" s="169">
      <c r="A1465" s="27" t="inlineStr">
        <is>
          <t>MK00210</t>
        </is>
      </c>
      <c r="B1465" s="27" t="n">
        <v>528000232</v>
      </c>
      <c r="C1465" s="27" t="inlineStr">
        <is>
          <t>Agung Aji Suhada</t>
        </is>
      </c>
      <c r="D1465" s="171" t="n">
        <v>46218.41666666666</v>
      </c>
      <c r="E1465" s="26" t="n">
        <v>0.3704861111111111</v>
      </c>
      <c r="F1465" s="27" t="inlineStr">
        <is>
          <t>Shift 1</t>
        </is>
      </c>
      <c r="G1465" s="27" t="n"/>
    </row>
    <row r="1466" hidden="1" s="169">
      <c r="A1466" s="27" t="inlineStr">
        <is>
          <t>MK00228</t>
        </is>
      </c>
      <c r="B1466" s="27" t="n">
        <v>528000132</v>
      </c>
      <c r="C1466" s="27" t="inlineStr">
        <is>
          <t>Giopani</t>
        </is>
      </c>
      <c r="D1466" s="171" t="n">
        <v>46218.41666666666</v>
      </c>
      <c r="E1466" s="26" t="n">
        <v>0.3708912037037037</v>
      </c>
      <c r="F1466" s="27" t="inlineStr">
        <is>
          <t>Shift 1</t>
        </is>
      </c>
      <c r="G1466" s="27" t="n"/>
    </row>
    <row r="1467" hidden="1" s="169">
      <c r="A1467" s="27" t="inlineStr">
        <is>
          <t>MK00205</t>
        </is>
      </c>
      <c r="B1467" s="27" t="n">
        <v>528000348</v>
      </c>
      <c r="C1467" s="27" t="inlineStr">
        <is>
          <t>Saepuloh Ardiansah</t>
        </is>
      </c>
      <c r="D1467" s="171" t="n">
        <v>46218.41666666666</v>
      </c>
      <c r="E1467" s="26" t="n">
        <v>0.3720023148148148</v>
      </c>
      <c r="F1467" s="27" t="inlineStr">
        <is>
          <t>Shift 1</t>
        </is>
      </c>
      <c r="G1467" s="27" t="n"/>
    </row>
    <row r="1468" hidden="1" s="169">
      <c r="A1468" s="27" t="inlineStr">
        <is>
          <t>MK00202</t>
        </is>
      </c>
      <c r="B1468" s="27" t="n">
        <v>528000349</v>
      </c>
      <c r="C1468" s="27" t="inlineStr">
        <is>
          <t>Anas Abdul Fatah</t>
        </is>
      </c>
      <c r="D1468" s="171" t="n">
        <v>46218.41666666666</v>
      </c>
      <c r="E1468" s="26" t="n">
        <v>0.4047685185185185</v>
      </c>
      <c r="F1468" s="27" t="inlineStr">
        <is>
          <t>Shift 1</t>
        </is>
      </c>
      <c r="G1468" s="27" t="n"/>
    </row>
    <row r="1469" hidden="1" s="169">
      <c r="A1469" s="27" t="n">
        <v>528000335</v>
      </c>
      <c r="B1469" s="27" t="n">
        <v>528000335</v>
      </c>
      <c r="C1469" s="27" t="inlineStr">
        <is>
          <t>Rizal Saepuloh</t>
        </is>
      </c>
      <c r="D1469" s="171" t="n">
        <v>46218.41666666666</v>
      </c>
      <c r="E1469" s="26" t="n">
        <v>0.5238078703703704</v>
      </c>
      <c r="F1469" s="27" t="inlineStr">
        <is>
          <t>Shift 1</t>
        </is>
      </c>
      <c r="G1469" s="27" t="n"/>
    </row>
    <row r="1470" hidden="1" s="169">
      <c r="A1470" s="27" t="inlineStr">
        <is>
          <t>MK00050</t>
        </is>
      </c>
      <c r="B1470" s="27" t="n">
        <v>528000244</v>
      </c>
      <c r="C1470" s="27" t="inlineStr">
        <is>
          <t>Rodian Rifai</t>
        </is>
      </c>
      <c r="D1470" s="171" t="n">
        <v>46218.41666666666</v>
      </c>
      <c r="E1470" s="26" t="n">
        <v>0.5597106481481482</v>
      </c>
      <c r="F1470" s="27" t="inlineStr">
        <is>
          <t>Shift 2</t>
        </is>
      </c>
      <c r="G1470" s="27" t="n"/>
    </row>
    <row r="1471" hidden="1" s="169">
      <c r="A1471" s="27" t="inlineStr">
        <is>
          <t>MK00220</t>
        </is>
      </c>
      <c r="B1471" s="27" t="n">
        <v>528000286</v>
      </c>
      <c r="C1471" s="27" t="inlineStr">
        <is>
          <t>Imelda Amelia</t>
        </is>
      </c>
      <c r="D1471" s="171" t="n">
        <v>46218.41666666666</v>
      </c>
      <c r="E1471" s="26" t="n">
        <v>0.5735648148148148</v>
      </c>
      <c r="F1471" s="27" t="inlineStr">
        <is>
          <t>Shift 2</t>
        </is>
      </c>
      <c r="G1471" s="27" t="n"/>
    </row>
    <row r="1472" hidden="1" s="169">
      <c r="A1472" s="27" t="inlineStr">
        <is>
          <t>MK00184</t>
        </is>
      </c>
      <c r="B1472" s="27" t="n">
        <v>528000201</v>
      </c>
      <c r="C1472" s="27" t="inlineStr">
        <is>
          <t>Zahwa Amelia Choerunissa</t>
        </is>
      </c>
      <c r="D1472" s="171" t="n">
        <v>46218.41666666666</v>
      </c>
      <c r="E1472" s="26" t="n">
        <v>0.5742476851851852</v>
      </c>
      <c r="F1472" s="27" t="inlineStr">
        <is>
          <t>Shift 2</t>
        </is>
      </c>
      <c r="G1472" s="27" t="n"/>
    </row>
    <row r="1473" hidden="1" s="169">
      <c r="A1473" s="27" t="inlineStr">
        <is>
          <t>MK00217</t>
        </is>
      </c>
      <c r="B1473" s="27" t="n">
        <v>528000099</v>
      </c>
      <c r="C1473" s="27" t="inlineStr">
        <is>
          <t>Siti Nurawaliah</t>
        </is>
      </c>
      <c r="D1473" s="171" t="n">
        <v>46218.41666666666</v>
      </c>
      <c r="E1473" s="26" t="n">
        <v>0.5745601851851851</v>
      </c>
      <c r="F1473" s="27" t="inlineStr">
        <is>
          <t>Shift 2</t>
        </is>
      </c>
      <c r="G1473" s="27" t="n"/>
    </row>
    <row r="1474" hidden="1" s="169">
      <c r="A1474" s="27" t="inlineStr">
        <is>
          <t>MK00219</t>
        </is>
      </c>
      <c r="B1474" s="27" t="n">
        <v>528000289</v>
      </c>
      <c r="C1474" s="27" t="inlineStr">
        <is>
          <t>Adit Supriyadi</t>
        </is>
      </c>
      <c r="D1474" s="171" t="n">
        <v>46218.41666666666</v>
      </c>
      <c r="E1474" s="26" t="n">
        <v>0.5769675925925926</v>
      </c>
      <c r="F1474" s="27" t="inlineStr">
        <is>
          <t>Shift 2</t>
        </is>
      </c>
      <c r="G1474" s="27" t="n"/>
    </row>
    <row r="1475" hidden="1" s="169">
      <c r="A1475" s="27" t="inlineStr">
        <is>
          <t>MK00218</t>
        </is>
      </c>
      <c r="B1475" s="27" t="n">
        <v>528000241</v>
      </c>
      <c r="C1475" s="27" t="inlineStr">
        <is>
          <t>Balia Nurafif Bilah</t>
        </is>
      </c>
      <c r="D1475" s="171" t="n">
        <v>46218.41666666666</v>
      </c>
      <c r="E1475" s="26" t="n">
        <v>0.5770486111111112</v>
      </c>
      <c r="F1475" s="27" t="inlineStr">
        <is>
          <t>Shift 2</t>
        </is>
      </c>
      <c r="G1475" s="27" t="n"/>
    </row>
    <row r="1476" hidden="1" s="169">
      <c r="A1476" s="27" t="inlineStr">
        <is>
          <t>MK00156</t>
        </is>
      </c>
      <c r="B1476" s="27" t="n">
        <v>528000274</v>
      </c>
      <c r="C1476" s="27" t="inlineStr">
        <is>
          <t>Zepri</t>
        </is>
      </c>
      <c r="D1476" s="171" t="n">
        <v>46218.41666666666</v>
      </c>
      <c r="E1476" s="26" t="n">
        <v>0.5795370370370371</v>
      </c>
      <c r="F1476" s="27" t="inlineStr">
        <is>
          <t>Shift 2</t>
        </is>
      </c>
      <c r="G1476" s="27" t="n"/>
    </row>
    <row r="1477" hidden="1" s="169">
      <c r="A1477" s="27" t="inlineStr">
        <is>
          <t>MK00090</t>
        </is>
      </c>
      <c r="B1477" s="27" t="n">
        <v>528000090</v>
      </c>
      <c r="C1477" s="27" t="inlineStr">
        <is>
          <t>Suganda</t>
        </is>
      </c>
      <c r="D1477" s="171" t="n">
        <v>46218.41666666666</v>
      </c>
      <c r="E1477" s="26" t="n">
        <v>0.58</v>
      </c>
      <c r="F1477" s="27" t="inlineStr">
        <is>
          <t>Shift 2</t>
        </is>
      </c>
      <c r="G1477" s="27" t="n"/>
    </row>
    <row r="1478" hidden="1" s="169">
      <c r="A1478" s="27" t="inlineStr">
        <is>
          <t>MK00154</t>
        </is>
      </c>
      <c r="B1478" s="27" t="n">
        <v>528000290</v>
      </c>
      <c r="C1478" s="27" t="inlineStr">
        <is>
          <t>Eval Pranata</t>
        </is>
      </c>
      <c r="D1478" s="171" t="n">
        <v>46218.41666666666</v>
      </c>
      <c r="E1478" s="26" t="n">
        <v>0.5822916666666667</v>
      </c>
      <c r="F1478" s="27" t="inlineStr">
        <is>
          <t>Shift 2</t>
        </is>
      </c>
      <c r="G1478" s="27" t="n"/>
    </row>
    <row r="1479" hidden="1" s="169">
      <c r="A1479" s="27" t="inlineStr">
        <is>
          <t>MK00134</t>
        </is>
      </c>
      <c r="B1479" s="27" t="n">
        <v>528000212</v>
      </c>
      <c r="C1479" s="27" t="inlineStr">
        <is>
          <t>Rizal Fauzi</t>
        </is>
      </c>
      <c r="D1479" s="171" t="n">
        <v>46218.41666666666</v>
      </c>
      <c r="E1479" s="26" t="n">
        <v>0.5838425925925926</v>
      </c>
      <c r="F1479" s="27" t="inlineStr">
        <is>
          <t>Shift 2</t>
        </is>
      </c>
      <c r="G1479" s="27" t="n"/>
    </row>
    <row r="1480" hidden="1" s="169">
      <c r="A1480" s="27" t="inlineStr">
        <is>
          <t>MK00204</t>
        </is>
      </c>
      <c r="B1480" s="27" t="n">
        <v>528000340</v>
      </c>
      <c r="C1480" s="27" t="inlineStr">
        <is>
          <t>Muhammad Wildan Adithya</t>
        </is>
      </c>
      <c r="D1480" s="171" t="n">
        <v>46218.41666666666</v>
      </c>
      <c r="E1480" s="26" t="n">
        <v>0.8873032407407407</v>
      </c>
      <c r="F1480" s="27" t="inlineStr">
        <is>
          <t>Shift 3</t>
        </is>
      </c>
      <c r="G1480" s="27" t="n"/>
    </row>
    <row r="1481" hidden="1" s="169">
      <c r="A1481" s="27" t="inlineStr">
        <is>
          <t>MK00085</t>
        </is>
      </c>
      <c r="B1481" s="27" t="n">
        <v>528000313</v>
      </c>
      <c r="C1481" s="27" t="inlineStr">
        <is>
          <t>Muhamad Rifki</t>
        </is>
      </c>
      <c r="D1481" s="171" t="n">
        <v>46218.41666666666</v>
      </c>
      <c r="E1481" s="26" t="n">
        <v>0.8881712962962963</v>
      </c>
      <c r="F1481" s="27" t="inlineStr">
        <is>
          <t>Shift 3</t>
        </is>
      </c>
      <c r="G1481" s="27" t="n"/>
    </row>
    <row r="1482" hidden="1" s="169">
      <c r="A1482" s="27" t="inlineStr">
        <is>
          <t>MK00203</t>
        </is>
      </c>
      <c r="B1482" s="27" t="n">
        <v>628000091</v>
      </c>
      <c r="C1482" s="27" t="inlineStr">
        <is>
          <t>Devita Handayani</t>
        </is>
      </c>
      <c r="D1482" s="171" t="n">
        <v>46218.41666666666</v>
      </c>
      <c r="E1482" s="26" t="n">
        <v>0.8911689814814815</v>
      </c>
      <c r="F1482" s="27" t="inlineStr">
        <is>
          <t>Shift 3</t>
        </is>
      </c>
      <c r="G1482" s="27" t="n"/>
    </row>
    <row r="1483" hidden="1" s="169">
      <c r="A1483" s="27" t="inlineStr">
        <is>
          <t>MK00145</t>
        </is>
      </c>
      <c r="B1483" s="27" t="n">
        <v>528000305</v>
      </c>
      <c r="C1483" s="27" t="inlineStr">
        <is>
          <t>Puji Puspita</t>
        </is>
      </c>
      <c r="D1483" s="171" t="n">
        <v>46218.41666666666</v>
      </c>
      <c r="E1483" s="26" t="n">
        <v>0.9001273148148148</v>
      </c>
      <c r="F1483" s="27" t="inlineStr">
        <is>
          <t>Shift 3</t>
        </is>
      </c>
      <c r="G1483" s="27" t="n"/>
    </row>
    <row r="1484" hidden="1" s="169">
      <c r="A1484" s="27" t="inlineStr">
        <is>
          <t>MK00109</t>
        </is>
      </c>
      <c r="B1484" s="27" t="n">
        <v>528000299</v>
      </c>
      <c r="C1484" s="27" t="inlineStr">
        <is>
          <t>Siti Nurjanah</t>
        </is>
      </c>
      <c r="D1484" s="171" t="n">
        <v>46218.41666666666</v>
      </c>
      <c r="E1484" s="26" t="n">
        <v>0.9004282407407408</v>
      </c>
      <c r="F1484" s="27" t="inlineStr">
        <is>
          <t>Shift 3</t>
        </is>
      </c>
      <c r="G1484" s="27" t="n"/>
    </row>
    <row r="1485" hidden="1" s="169">
      <c r="A1485" s="27" t="inlineStr">
        <is>
          <t>MK00213</t>
        </is>
      </c>
      <c r="B1485" s="27" t="n">
        <v>528000318</v>
      </c>
      <c r="C1485" s="27" t="inlineStr">
        <is>
          <t>Bayu Padli Sepriyana</t>
        </is>
      </c>
      <c r="D1485" s="171" t="n">
        <v>46218.41666666666</v>
      </c>
      <c r="E1485" s="26" t="n">
        <v>0.906087962962963</v>
      </c>
      <c r="F1485" s="27" t="inlineStr">
        <is>
          <t>Shift 3</t>
        </is>
      </c>
      <c r="G1485" s="27" t="n"/>
    </row>
    <row r="1486" hidden="1" s="169">
      <c r="A1486" s="27" t="inlineStr">
        <is>
          <t>MK00250</t>
        </is>
      </c>
      <c r="B1486" s="27" t="n">
        <v>528000298</v>
      </c>
      <c r="C1486" s="27" t="inlineStr">
        <is>
          <t>Desta Cahaya Pratama</t>
        </is>
      </c>
      <c r="D1486" s="171" t="n">
        <v>46218.41666666666</v>
      </c>
      <c r="E1486" s="26" t="n">
        <v>0.9065162037037037</v>
      </c>
      <c r="F1486" s="27" t="inlineStr">
        <is>
          <t>Shift 3</t>
        </is>
      </c>
      <c r="G1486" s="27" t="n"/>
    </row>
    <row r="1487" hidden="1" s="169">
      <c r="A1487" s="27" t="inlineStr">
        <is>
          <t>MK00082</t>
        </is>
      </c>
      <c r="B1487" s="27" t="n">
        <v>528000302</v>
      </c>
      <c r="C1487" s="27" t="inlineStr">
        <is>
          <t>Henkey gumilar</t>
        </is>
      </c>
      <c r="D1487" s="171" t="n">
        <v>46218.41666666666</v>
      </c>
      <c r="E1487" s="26" t="n">
        <v>0.9083333333333333</v>
      </c>
      <c r="F1487" s="27" t="inlineStr">
        <is>
          <t>Shift 3</t>
        </is>
      </c>
      <c r="G1487" s="27" t="n"/>
    </row>
    <row r="1488" hidden="1" s="169">
      <c r="A1488" s="27" t="inlineStr">
        <is>
          <t>MH0208</t>
        </is>
      </c>
      <c r="B1488" s="27" t="n">
        <v>528000270</v>
      </c>
      <c r="C1488" s="27" t="inlineStr">
        <is>
          <t>Febri Najmudin</t>
        </is>
      </c>
      <c r="D1488" s="171" t="n">
        <v>46218.41666666666</v>
      </c>
      <c r="E1488" s="26" t="n">
        <v>0.9091435185185185</v>
      </c>
      <c r="F1488" s="27" t="inlineStr">
        <is>
          <t>Shift 3</t>
        </is>
      </c>
      <c r="G1488" s="27" t="n"/>
    </row>
    <row r="1489" hidden="1" s="169">
      <c r="A1489" s="27" t="inlineStr">
        <is>
          <t>MK00235</t>
        </is>
      </c>
      <c r="B1489" s="27" t="n">
        <v>528000309</v>
      </c>
      <c r="C1489" s="27" t="inlineStr">
        <is>
          <t>Ilham Ramadhan</t>
        </is>
      </c>
      <c r="D1489" s="171" t="n">
        <v>46218.41666666666</v>
      </c>
      <c r="E1489" s="26" t="n">
        <v>0.9104050925925926</v>
      </c>
      <c r="F1489" s="27" t="inlineStr">
        <is>
          <t>Shift 3</t>
        </is>
      </c>
      <c r="G1489" s="27" t="n"/>
    </row>
    <row r="1490" hidden="1" s="169">
      <c r="A1490" s="27" t="inlineStr">
        <is>
          <t>MK00220</t>
        </is>
      </c>
      <c r="B1490" s="27" t="n">
        <v>528000324</v>
      </c>
      <c r="C1490" s="27" t="inlineStr">
        <is>
          <t>Sri Yanti</t>
        </is>
      </c>
      <c r="D1490" s="171" t="n">
        <v>46219.41666666666</v>
      </c>
      <c r="E1490" s="26" t="n">
        <v>0.2291319444444445</v>
      </c>
      <c r="F1490" s="27" t="inlineStr">
        <is>
          <t>Shift 1</t>
        </is>
      </c>
      <c r="G1490" s="27" t="n"/>
    </row>
    <row r="1491">
      <c r="A1491" s="27" t="inlineStr">
        <is>
          <t>MK00088</t>
        </is>
      </c>
      <c r="B1491" s="27" t="n">
        <v>528000015</v>
      </c>
      <c r="C1491" s="27" t="inlineStr">
        <is>
          <t>Erwin</t>
        </is>
      </c>
      <c r="D1491" s="171" t="n">
        <v>46219.41666666666</v>
      </c>
      <c r="E1491" s="26" t="n">
        <v>0.2308449074074074</v>
      </c>
      <c r="F1491" s="27" t="inlineStr">
        <is>
          <t>Shift 1</t>
        </is>
      </c>
      <c r="G1491" s="27" t="n"/>
    </row>
    <row r="1492" hidden="1" s="169">
      <c r="A1492" s="27" t="inlineStr">
        <is>
          <t>MK00212</t>
        </is>
      </c>
      <c r="B1492" s="27" t="n">
        <v>528000297</v>
      </c>
      <c r="C1492" s="27" t="inlineStr">
        <is>
          <t>Muhamad Budiana</t>
        </is>
      </c>
      <c r="D1492" s="171" t="n">
        <v>46219.41666666666</v>
      </c>
      <c r="E1492" s="26" t="n">
        <v>0.23875</v>
      </c>
      <c r="F1492" s="27" t="inlineStr">
        <is>
          <t>Shift 1</t>
        </is>
      </c>
      <c r="G1492" s="27" t="n"/>
    </row>
    <row r="1493" hidden="1" s="169">
      <c r="A1493" s="27" t="inlineStr">
        <is>
          <t>MK00218</t>
        </is>
      </c>
      <c r="B1493" s="27" t="n">
        <v>628000064</v>
      </c>
      <c r="C1493" s="27" t="inlineStr">
        <is>
          <t>Silva Alypia</t>
        </is>
      </c>
      <c r="D1493" s="171" t="n">
        <v>46219.41666666666</v>
      </c>
      <c r="E1493" s="26" t="n">
        <v>0.2432523148148148</v>
      </c>
      <c r="F1493" s="27" t="inlineStr">
        <is>
          <t>Shift 1</t>
        </is>
      </c>
      <c r="G1493" s="27" t="n"/>
    </row>
    <row r="1494" hidden="1" s="169">
      <c r="A1494" s="27" t="inlineStr">
        <is>
          <t>MK00185</t>
        </is>
      </c>
      <c r="B1494" s="27" t="n">
        <v>528000248</v>
      </c>
      <c r="C1494" s="27" t="inlineStr">
        <is>
          <t>Roka Jaya Salka Mulya</t>
        </is>
      </c>
      <c r="D1494" s="171" t="n">
        <v>46219.41666666666</v>
      </c>
      <c r="E1494" s="26" t="n">
        <v>0.2459143518518518</v>
      </c>
      <c r="F1494" s="27" t="inlineStr">
        <is>
          <t>Shift 1</t>
        </is>
      </c>
      <c r="G1494" s="27" t="n"/>
    </row>
    <row r="1495" hidden="1" s="169">
      <c r="A1495" s="27" t="inlineStr">
        <is>
          <t>MK00156</t>
        </is>
      </c>
      <c r="B1495" s="27" t="n">
        <v>528000300</v>
      </c>
      <c r="C1495" s="27" t="inlineStr">
        <is>
          <t>Lia pitaloka</t>
        </is>
      </c>
      <c r="D1495" s="171" t="n">
        <v>46219.41666666666</v>
      </c>
      <c r="E1495" s="26" t="n">
        <v>0.2470717592592593</v>
      </c>
      <c r="F1495" s="27" t="inlineStr">
        <is>
          <t>Shift 1</t>
        </is>
      </c>
      <c r="G1495" s="27" t="n"/>
    </row>
    <row r="1496" hidden="1" s="169">
      <c r="A1496" s="27" t="inlineStr">
        <is>
          <t>MK00090</t>
        </is>
      </c>
      <c r="B1496" s="27" t="n">
        <v>528000279</v>
      </c>
      <c r="C1496" s="27" t="inlineStr">
        <is>
          <t>Mahdalena Dalfa Riani</t>
        </is>
      </c>
      <c r="D1496" s="171" t="n">
        <v>46219.41666666666</v>
      </c>
      <c r="E1496" s="26" t="n">
        <v>0.2472916666666667</v>
      </c>
      <c r="F1496" s="27" t="inlineStr">
        <is>
          <t>Shift 1</t>
        </is>
      </c>
      <c r="G1496" s="27" t="n"/>
    </row>
    <row r="1497" hidden="1" s="169">
      <c r="A1497" s="27" t="inlineStr">
        <is>
          <t>MK0088</t>
        </is>
      </c>
      <c r="B1497" s="27" t="n">
        <v>528000063</v>
      </c>
      <c r="C1497" s="27" t="inlineStr">
        <is>
          <t>Muhamad Ripki Pebrian</t>
        </is>
      </c>
      <c r="D1497" s="171" t="n">
        <v>46219.41666666666</v>
      </c>
      <c r="E1497" s="26" t="n">
        <v>0.2474305555555555</v>
      </c>
      <c r="F1497" s="27" t="inlineStr">
        <is>
          <t>Shift 1</t>
        </is>
      </c>
      <c r="G1497" s="27" t="n"/>
    </row>
    <row r="1498" hidden="1" s="169">
      <c r="A1498" s="27" t="inlineStr">
        <is>
          <t>MK00108</t>
        </is>
      </c>
      <c r="B1498" s="27" t="n">
        <v>528000288</v>
      </c>
      <c r="C1498" s="27" t="inlineStr">
        <is>
          <t>Dede gunawan</t>
        </is>
      </c>
      <c r="D1498" s="171" t="n">
        <v>46219.41666666666</v>
      </c>
      <c r="E1498" s="26" t="n">
        <v>0.2489236111111111</v>
      </c>
      <c r="F1498" s="27" t="inlineStr">
        <is>
          <t>Shift 1</t>
        </is>
      </c>
      <c r="G1498" s="27" t="n"/>
    </row>
    <row r="1499" hidden="1" s="169">
      <c r="A1499" s="27" t="inlineStr">
        <is>
          <t>MK000219</t>
        </is>
      </c>
      <c r="B1499" s="27" t="n">
        <v>528000334</v>
      </c>
      <c r="C1499" s="27" t="inlineStr">
        <is>
          <t>Naufal Yudhistira</t>
        </is>
      </c>
      <c r="D1499" s="171" t="n">
        <v>46219.41666666666</v>
      </c>
      <c r="E1499" s="26" t="n">
        <v>0.2499652777777778</v>
      </c>
      <c r="F1499" s="27" t="inlineStr">
        <is>
          <t>Shift 1</t>
        </is>
      </c>
      <c r="G1499" s="27" t="n"/>
    </row>
    <row r="1500" hidden="1" s="169">
      <c r="A1500" s="27" t="inlineStr">
        <is>
          <t>MK00208</t>
        </is>
      </c>
      <c r="B1500" s="27" t="n">
        <v>528000069</v>
      </c>
      <c r="C1500" s="27" t="inlineStr">
        <is>
          <t>Jajang Ardiansyah</t>
        </is>
      </c>
      <c r="D1500" s="171" t="n">
        <v>46219.41666666666</v>
      </c>
      <c r="E1500" s="26" t="n">
        <v>0.2821180555555556</v>
      </c>
      <c r="F1500" s="27" t="inlineStr">
        <is>
          <t>Shift 1</t>
        </is>
      </c>
      <c r="G1500" s="27" t="n"/>
    </row>
    <row r="1501" hidden="1" s="169">
      <c r="A1501" s="27" t="inlineStr">
        <is>
          <t>MK00213</t>
        </is>
      </c>
      <c r="B1501" s="27" t="n">
        <v>528000282</v>
      </c>
      <c r="C1501" s="27" t="inlineStr">
        <is>
          <t>Defa Desfiana</t>
        </is>
      </c>
      <c r="D1501" s="171" t="n">
        <v>46219.41666666666</v>
      </c>
      <c r="E1501" s="26" t="n">
        <v>0.3158796296296296</v>
      </c>
      <c r="F1501" s="27" t="inlineStr">
        <is>
          <t>Shift 1</t>
        </is>
      </c>
      <c r="G1501" s="27" t="inlineStr">
        <is>
          <t>23c</t>
        </is>
      </c>
    </row>
    <row r="1502" hidden="1" s="169">
      <c r="A1502" s="27" t="inlineStr">
        <is>
          <t>MK00145</t>
        </is>
      </c>
      <c r="B1502" s="27" t="n">
        <v>528000310</v>
      </c>
      <c r="C1502" s="27" t="inlineStr">
        <is>
          <t>Fachrul Rozzi Suryana</t>
        </is>
      </c>
      <c r="D1502" s="171" t="n">
        <v>46219.41666666666</v>
      </c>
      <c r="E1502" s="26" t="n">
        <v>0.3273726851851852</v>
      </c>
      <c r="F1502" s="27" t="inlineStr">
        <is>
          <t>Shift 1</t>
        </is>
      </c>
      <c r="G1502" s="27" t="inlineStr">
        <is>
          <t>7B</t>
        </is>
      </c>
    </row>
    <row r="1503" hidden="1" s="169">
      <c r="A1503" s="27" t="inlineStr">
        <is>
          <t>MK00203</t>
        </is>
      </c>
      <c r="B1503" s="27" t="n">
        <v>528000265</v>
      </c>
      <c r="C1503" s="27" t="inlineStr">
        <is>
          <t>Muhammad Haerul Rozikin</t>
        </is>
      </c>
      <c r="D1503" s="171" t="n">
        <v>46219.41666666666</v>
      </c>
      <c r="E1503" s="26" t="n">
        <v>0.3288773148148148</v>
      </c>
      <c r="F1503" s="27" t="inlineStr">
        <is>
          <t>Shift 1</t>
        </is>
      </c>
      <c r="G1503" s="27" t="n"/>
    </row>
    <row r="1504" hidden="1" s="169">
      <c r="A1504" s="27" t="inlineStr">
        <is>
          <t>MK00046</t>
        </is>
      </c>
      <c r="B1504" s="27" t="n">
        <v>528000335</v>
      </c>
      <c r="C1504" s="27" t="inlineStr">
        <is>
          <t>Rizal Saepuloh</t>
        </is>
      </c>
      <c r="D1504" s="171" t="n">
        <v>46219.41666666666</v>
      </c>
      <c r="E1504" s="26" t="n">
        <v>0.3298726851851852</v>
      </c>
      <c r="F1504" s="27" t="inlineStr">
        <is>
          <t>Shift 1</t>
        </is>
      </c>
      <c r="G1504" s="27" t="n"/>
    </row>
    <row r="1505" hidden="1" s="169">
      <c r="A1505" s="27" t="inlineStr">
        <is>
          <t>MK0082</t>
        </is>
      </c>
      <c r="B1505" s="27" t="n">
        <v>528000351</v>
      </c>
      <c r="C1505" s="27" t="inlineStr">
        <is>
          <t>Mulyana</t>
        </is>
      </c>
      <c r="D1505" s="171" t="n">
        <v>46219.41666666666</v>
      </c>
      <c r="E1505" s="26" t="n">
        <v>0.3300578703703704</v>
      </c>
      <c r="F1505" s="27" t="inlineStr">
        <is>
          <t>Shift 1</t>
        </is>
      </c>
      <c r="G1505" s="27" t="n"/>
    </row>
    <row r="1506" hidden="1" s="169">
      <c r="A1506" s="27" t="inlineStr">
        <is>
          <t>MK00221</t>
        </is>
      </c>
      <c r="B1506" s="27" t="n">
        <v>528000144</v>
      </c>
      <c r="C1506" s="27" t="inlineStr">
        <is>
          <t>Jodi Hanafi</t>
        </is>
      </c>
      <c r="D1506" s="171" t="n">
        <v>46219.41666666666</v>
      </c>
      <c r="E1506" s="26" t="n">
        <v>0.3322916666666667</v>
      </c>
      <c r="F1506" s="27" t="inlineStr">
        <is>
          <t>Shift 1</t>
        </is>
      </c>
      <c r="G1506" s="27" t="n"/>
    </row>
    <row r="1507" hidden="1" s="169">
      <c r="A1507" s="27" t="inlineStr">
        <is>
          <t>MK00228</t>
        </is>
      </c>
      <c r="B1507" s="27" t="n">
        <v>528000132</v>
      </c>
      <c r="C1507" s="27" t="inlineStr">
        <is>
          <t>Giopani</t>
        </is>
      </c>
      <c r="D1507" s="171" t="n">
        <v>46219.41666666666</v>
      </c>
      <c r="E1507" s="26" t="n">
        <v>0.3628125</v>
      </c>
      <c r="F1507" s="27" t="inlineStr">
        <is>
          <t>Shift 1</t>
        </is>
      </c>
      <c r="G1507" s="27" t="n"/>
    </row>
    <row r="1508" hidden="1" s="169">
      <c r="A1508" s="27" t="inlineStr">
        <is>
          <t>MK00210</t>
        </is>
      </c>
      <c r="B1508" s="27" t="n">
        <v>528000232</v>
      </c>
      <c r="C1508" s="27" t="inlineStr">
        <is>
          <t>Agung Aji Suhada</t>
        </is>
      </c>
      <c r="D1508" s="171" t="n">
        <v>46219.41666666666</v>
      </c>
      <c r="E1508" s="26" t="n">
        <v>0.3633680555555556</v>
      </c>
      <c r="F1508" s="27" t="inlineStr">
        <is>
          <t>Shift 1</t>
        </is>
      </c>
      <c r="G1508" s="27" t="n"/>
    </row>
    <row r="1509" hidden="1" s="169">
      <c r="A1509" s="27" t="inlineStr">
        <is>
          <t>MK00205</t>
        </is>
      </c>
      <c r="B1509" s="27" t="n">
        <v>528000348</v>
      </c>
      <c r="C1509" s="27" t="inlineStr">
        <is>
          <t>Saepuloh Ardiansah</t>
        </is>
      </c>
      <c r="D1509" s="171" t="n">
        <v>46219.41666666666</v>
      </c>
      <c r="E1509" s="26" t="n">
        <v>0.3755208333333334</v>
      </c>
      <c r="F1509" s="27" t="inlineStr">
        <is>
          <t>Shift 1</t>
        </is>
      </c>
      <c r="G1509" s="27" t="n"/>
    </row>
    <row r="1510" hidden="1" s="169">
      <c r="A1510" s="27" t="inlineStr">
        <is>
          <t>MK00138</t>
        </is>
      </c>
      <c r="B1510" s="27" t="n">
        <v>528000040</v>
      </c>
      <c r="C1510" s="27" t="inlineStr">
        <is>
          <t>Agus Suryaman</t>
        </is>
      </c>
      <c r="D1510" s="171" t="n">
        <v>46219.41666666666</v>
      </c>
      <c r="E1510" s="26" t="n">
        <v>0.3764351851851852</v>
      </c>
      <c r="F1510" s="27" t="inlineStr">
        <is>
          <t>Shift 1</t>
        </is>
      </c>
      <c r="G1510" s="27" t="n"/>
    </row>
    <row r="1511" hidden="1" s="169">
      <c r="A1511" s="27" t="inlineStr">
        <is>
          <t>MK00113</t>
        </is>
      </c>
      <c r="B1511" s="27" t="n">
        <v>528000349</v>
      </c>
      <c r="C1511" s="27" t="inlineStr">
        <is>
          <t>Anas Abdul Fatah</t>
        </is>
      </c>
      <c r="D1511" s="171" t="n">
        <v>46219.41666666666</v>
      </c>
      <c r="E1511" s="26" t="n">
        <v>0.404224537037037</v>
      </c>
      <c r="F1511" s="27" t="inlineStr">
        <is>
          <t>Shift 1</t>
        </is>
      </c>
      <c r="G1511" s="27" t="n"/>
    </row>
    <row r="1512" hidden="1" s="169">
      <c r="A1512" s="27" t="inlineStr">
        <is>
          <t>MK00141</t>
        </is>
      </c>
      <c r="B1512" s="27" t="n">
        <v>528000337</v>
      </c>
      <c r="C1512" s="27" t="inlineStr">
        <is>
          <t>Ahmad Zaldi Firdaus</t>
        </is>
      </c>
      <c r="D1512" s="171" t="n">
        <v>46219.41666666666</v>
      </c>
      <c r="E1512" s="26" t="n">
        <v>0.5392129629629629</v>
      </c>
      <c r="F1512" s="27" t="inlineStr">
        <is>
          <t>Shift 1</t>
        </is>
      </c>
      <c r="G1512" s="27" t="n"/>
    </row>
    <row r="1513" hidden="1" s="169">
      <c r="A1513" s="27" t="inlineStr">
        <is>
          <t>MK00158</t>
        </is>
      </c>
      <c r="B1513" s="27" t="n">
        <v>528000052</v>
      </c>
      <c r="C1513" s="27" t="inlineStr">
        <is>
          <t>Mustopa</t>
        </is>
      </c>
      <c r="D1513" s="171" t="n">
        <v>46219.41666666666</v>
      </c>
      <c r="E1513" s="26" t="n">
        <v>0.546238425925926</v>
      </c>
      <c r="F1513" s="27" t="inlineStr">
        <is>
          <t>Shift 2</t>
        </is>
      </c>
      <c r="G1513" s="27" t="n"/>
    </row>
    <row r="1514" hidden="1" s="169">
      <c r="A1514" s="27" t="inlineStr">
        <is>
          <t>MK00143</t>
        </is>
      </c>
      <c r="B1514" s="27" t="n">
        <v>528000262</v>
      </c>
      <c r="C1514" s="27" t="inlineStr">
        <is>
          <t>Ndari Dwiwanti</t>
        </is>
      </c>
      <c r="D1514" s="171" t="n">
        <v>46219.41666666666</v>
      </c>
      <c r="E1514" s="26" t="n">
        <v>0.5635763888888888</v>
      </c>
      <c r="F1514" s="27" t="inlineStr">
        <is>
          <t>Shift 2</t>
        </is>
      </c>
      <c r="G1514" s="27" t="n"/>
    </row>
    <row r="1515" hidden="1" s="169">
      <c r="A1515" s="27" t="inlineStr">
        <is>
          <t>MK00148</t>
        </is>
      </c>
      <c r="B1515" s="27" t="n">
        <v>528000195</v>
      </c>
      <c r="C1515" s="27" t="inlineStr">
        <is>
          <t>Rahma Sariwati</t>
        </is>
      </c>
      <c r="D1515" s="171" t="n">
        <v>46219.41666666666</v>
      </c>
      <c r="E1515" s="26" t="n">
        <v>0.5655092592592592</v>
      </c>
      <c r="F1515" s="27" t="inlineStr">
        <is>
          <t>Shift 2</t>
        </is>
      </c>
      <c r="G1515" s="27" t="n"/>
    </row>
    <row r="1516" hidden="1" s="169">
      <c r="A1516" s="27" t="inlineStr">
        <is>
          <t>MK00116</t>
        </is>
      </c>
      <c r="B1516" s="27" t="n">
        <v>528000358</v>
      </c>
      <c r="C1516" s="27" t="inlineStr">
        <is>
          <t>Lulu Agustin</t>
        </is>
      </c>
      <c r="D1516" s="171" t="n">
        <v>46219.41666666666</v>
      </c>
      <c r="E1516" s="26" t="n">
        <v>0.5661226851851852</v>
      </c>
      <c r="F1516" s="27" t="inlineStr">
        <is>
          <t>Shift 2</t>
        </is>
      </c>
      <c r="G1516" s="27" t="n"/>
    </row>
    <row r="1517" hidden="1" s="169">
      <c r="A1517" s="27" t="inlineStr">
        <is>
          <t>MK00136</t>
        </is>
      </c>
      <c r="B1517" s="27" t="n">
        <v>528000328</v>
      </c>
      <c r="C1517" s="27" t="inlineStr">
        <is>
          <t>Nur Anjani</t>
        </is>
      </c>
      <c r="D1517" s="171" t="n">
        <v>46219.41666666666</v>
      </c>
      <c r="E1517" s="26" t="n">
        <v>0.5668865740740741</v>
      </c>
      <c r="F1517" s="27" t="inlineStr">
        <is>
          <t>Shift 2</t>
        </is>
      </c>
      <c r="G1517" s="27" t="n"/>
    </row>
    <row r="1518" hidden="1" s="169">
      <c r="A1518" s="27" t="inlineStr">
        <is>
          <t>MK00121</t>
        </is>
      </c>
      <c r="B1518" s="27" t="n">
        <v>528000360</v>
      </c>
      <c r="C1518" s="27" t="inlineStr">
        <is>
          <t>Hendra Permana</t>
        </is>
      </c>
      <c r="D1518" s="171" t="n">
        <v>46219.41666666666</v>
      </c>
      <c r="E1518" s="26" t="n">
        <v>0.5684837962962963</v>
      </c>
      <c r="F1518" s="27" t="inlineStr">
        <is>
          <t>Shift 2</t>
        </is>
      </c>
      <c r="G1518" s="27" t="n"/>
    </row>
    <row r="1519" hidden="1" s="169">
      <c r="A1519" s="27" t="inlineStr">
        <is>
          <t>MK00202</t>
        </is>
      </c>
      <c r="B1519" s="27" t="n">
        <v>528000266</v>
      </c>
      <c r="C1519" s="27" t="inlineStr">
        <is>
          <t>M. Syirajatieq</t>
        </is>
      </c>
      <c r="D1519" s="171" t="n">
        <v>46219.41666666666</v>
      </c>
      <c r="E1519" s="26" t="n">
        <v>0.569675925925926</v>
      </c>
      <c r="F1519" s="27" t="inlineStr">
        <is>
          <t>Shift 2</t>
        </is>
      </c>
      <c r="G1519" s="27" t="n"/>
    </row>
    <row r="1520" hidden="1" s="169">
      <c r="A1520" s="27" t="inlineStr">
        <is>
          <t>MK00125</t>
        </is>
      </c>
      <c r="B1520" s="27" t="n">
        <v>528000314</v>
      </c>
      <c r="C1520" s="27" t="inlineStr">
        <is>
          <t>Rusmana</t>
        </is>
      </c>
      <c r="D1520" s="171" t="n">
        <v>46219.41666666666</v>
      </c>
      <c r="E1520" s="26" t="n">
        <v>0.5699768518518519</v>
      </c>
      <c r="F1520" s="27" t="inlineStr">
        <is>
          <t>Shift 2</t>
        </is>
      </c>
      <c r="G1520" s="27" t="n"/>
    </row>
    <row r="1521" hidden="1" s="169">
      <c r="A1521" s="27" t="inlineStr">
        <is>
          <t>MK00192</t>
        </is>
      </c>
      <c r="B1521" s="27" t="n">
        <v>528000283</v>
      </c>
      <c r="C1521" s="27" t="inlineStr">
        <is>
          <t>Purwanda Sugiri</t>
        </is>
      </c>
      <c r="D1521" s="171" t="n">
        <v>46219.41666666666</v>
      </c>
      <c r="E1521" s="26" t="n">
        <v>0.5723263888888889</v>
      </c>
      <c r="F1521" s="27" t="inlineStr">
        <is>
          <t>Shift 2</t>
        </is>
      </c>
      <c r="G1521" s="27" t="n"/>
    </row>
    <row r="1522" hidden="1" s="169">
      <c r="A1522" s="27" t="inlineStr">
        <is>
          <t>MK00112</t>
        </is>
      </c>
      <c r="B1522" s="27" t="n">
        <v>528000291</v>
      </c>
      <c r="C1522" s="27" t="inlineStr">
        <is>
          <t>Andrian</t>
        </is>
      </c>
      <c r="D1522" s="171" t="n">
        <v>46219.41666666666</v>
      </c>
      <c r="E1522" s="26" t="n">
        <v>0.5745833333333333</v>
      </c>
      <c r="F1522" s="27" t="inlineStr">
        <is>
          <t>Shift 2</t>
        </is>
      </c>
      <c r="G1522" s="27" t="n"/>
    </row>
    <row r="1523" hidden="1" s="169">
      <c r="A1523" s="27" t="inlineStr">
        <is>
          <t>MK0130</t>
        </is>
      </c>
      <c r="B1523" s="27" t="n">
        <v>528000149</v>
      </c>
      <c r="C1523" s="27" t="inlineStr">
        <is>
          <t>Tio Fernanda</t>
        </is>
      </c>
      <c r="D1523" s="171" t="n">
        <v>46219.41666666666</v>
      </c>
      <c r="E1523" s="26" t="n">
        <v>0.6715740740740741</v>
      </c>
      <c r="F1523" s="27" t="inlineStr">
        <is>
          <t>Shift 2</t>
        </is>
      </c>
      <c r="G1523" s="27" t="n"/>
    </row>
    <row r="1524" hidden="1" s="169">
      <c r="A1524" s="27" t="inlineStr">
        <is>
          <t>MK00082</t>
        </is>
      </c>
      <c r="B1524" s="27" t="n">
        <v>528000267</v>
      </c>
      <c r="C1524" s="27" t="inlineStr">
        <is>
          <t>Bagas Patulloh</t>
        </is>
      </c>
      <c r="D1524" s="171" t="n">
        <v>46219.41666666666</v>
      </c>
      <c r="E1524" s="26" t="n">
        <v>0.6734259259259259</v>
      </c>
      <c r="F1524" s="27" t="inlineStr">
        <is>
          <t>Shift 2</t>
        </is>
      </c>
      <c r="G1524" s="27" t="n"/>
    </row>
    <row r="1525" hidden="1" s="169">
      <c r="A1525" s="27" t="inlineStr">
        <is>
          <t>MK00217</t>
        </is>
      </c>
      <c r="B1525" s="27" t="n">
        <v>528000340</v>
      </c>
      <c r="C1525" s="27" t="inlineStr">
        <is>
          <t>Muhammad Wildan Adithya</t>
        </is>
      </c>
      <c r="D1525" s="171" t="n">
        <v>46219.41666666666</v>
      </c>
      <c r="E1525" s="26" t="n">
        <v>0.8898726851851851</v>
      </c>
      <c r="F1525" s="27" t="inlineStr">
        <is>
          <t>Shift 3</t>
        </is>
      </c>
      <c r="G1525" s="27" t="n"/>
    </row>
    <row r="1526">
      <c r="A1526" s="27" t="inlineStr">
        <is>
          <t>MK00213</t>
        </is>
      </c>
      <c r="B1526" s="27" t="n">
        <v>528000015</v>
      </c>
      <c r="C1526" s="27" t="inlineStr">
        <is>
          <t>Erwin</t>
        </is>
      </c>
      <c r="D1526" s="171" t="n">
        <v>46219.41666666666</v>
      </c>
      <c r="E1526" s="26" t="n">
        <v>0.8990393518518518</v>
      </c>
      <c r="F1526" s="27" t="inlineStr">
        <is>
          <t>Shift 3</t>
        </is>
      </c>
      <c r="G1526" s="27" t="n"/>
    </row>
    <row r="1527" hidden="1" s="169">
      <c r="A1527" s="27" t="inlineStr">
        <is>
          <t>MK00181</t>
        </is>
      </c>
      <c r="B1527" s="27" t="n">
        <v>528000318</v>
      </c>
      <c r="C1527" s="27" t="inlineStr">
        <is>
          <t>Bayu Padli Sepriyana</t>
        </is>
      </c>
      <c r="D1527" s="171" t="n">
        <v>46219.41666666666</v>
      </c>
      <c r="E1527" s="26" t="n">
        <v>0.901261574074074</v>
      </c>
      <c r="F1527" s="27" t="inlineStr">
        <is>
          <t>Shift 3</t>
        </is>
      </c>
      <c r="G1527" s="27" t="n"/>
    </row>
    <row r="1528" hidden="1" s="169">
      <c r="A1528" s="27" t="inlineStr">
        <is>
          <t>MK00160</t>
        </is>
      </c>
      <c r="B1528" s="27" t="n">
        <v>528000361</v>
      </c>
      <c r="C1528" s="27" t="inlineStr">
        <is>
          <t>Denada Munggarani</t>
        </is>
      </c>
      <c r="D1528" s="171" t="n">
        <v>46219.41666666666</v>
      </c>
      <c r="E1528" s="26" t="n">
        <v>0.9024537037037037</v>
      </c>
      <c r="F1528" s="27" t="inlineStr">
        <is>
          <t>Shift 3</t>
        </is>
      </c>
      <c r="G1528" s="27" t="n"/>
    </row>
    <row r="1529" hidden="1" s="169">
      <c r="A1529" s="27" t="inlineStr">
        <is>
          <t>MK00138</t>
        </is>
      </c>
      <c r="B1529" s="27" t="n">
        <v>528000298</v>
      </c>
      <c r="C1529" s="27" t="inlineStr">
        <is>
          <t>Desta Cahaya Pratama</t>
        </is>
      </c>
      <c r="D1529" s="171" t="n">
        <v>46219.41666666666</v>
      </c>
      <c r="E1529" s="26" t="n">
        <v>0.9036689814814814</v>
      </c>
      <c r="F1529" s="27" t="inlineStr">
        <is>
          <t>Shift 3</t>
        </is>
      </c>
      <c r="G1529" s="27" t="n"/>
    </row>
    <row r="1530" hidden="1" s="169">
      <c r="A1530" s="27" t="inlineStr">
        <is>
          <t>MK00109</t>
        </is>
      </c>
      <c r="B1530" s="27" t="n">
        <v>528000299</v>
      </c>
      <c r="C1530" s="27" t="inlineStr">
        <is>
          <t>Siti Nurjanah</t>
        </is>
      </c>
      <c r="D1530" s="171" t="n">
        <v>46219.41666666666</v>
      </c>
      <c r="E1530" s="26" t="n">
        <v>0.9038541666666666</v>
      </c>
      <c r="F1530" s="27" t="inlineStr">
        <is>
          <t>Shift 3</t>
        </is>
      </c>
      <c r="G1530" s="27" t="n"/>
    </row>
    <row r="1531" hidden="1" s="169">
      <c r="A1531" s="27" t="inlineStr">
        <is>
          <t>MK00184</t>
        </is>
      </c>
      <c r="B1531" s="27" t="n">
        <v>528000305</v>
      </c>
      <c r="C1531" s="27" t="inlineStr">
        <is>
          <t>Puji Puspita</t>
        </is>
      </c>
      <c r="D1531" s="171" t="n">
        <v>46219.41666666666</v>
      </c>
      <c r="E1531" s="26" t="n">
        <v>0.9039467592592593</v>
      </c>
      <c r="F1531" s="27" t="inlineStr">
        <is>
          <t>Shift 3</t>
        </is>
      </c>
      <c r="G1531" s="27" t="n"/>
    </row>
    <row r="1532" hidden="1" s="169">
      <c r="A1532" s="27" t="inlineStr">
        <is>
          <t>MK00134</t>
        </is>
      </c>
      <c r="B1532" s="27" t="n">
        <v>528000270</v>
      </c>
      <c r="C1532" s="27" t="inlineStr">
        <is>
          <t>Febri Najmudin</t>
        </is>
      </c>
      <c r="D1532" s="171" t="n">
        <v>46219.41666666666</v>
      </c>
      <c r="E1532" s="26" t="n">
        <v>0.9069444444444444</v>
      </c>
      <c r="F1532" s="27" t="inlineStr">
        <is>
          <t>Shift 3</t>
        </is>
      </c>
      <c r="G1532" s="27" t="n"/>
    </row>
    <row r="1533" hidden="1" s="169">
      <c r="A1533" s="27" t="inlineStr">
        <is>
          <t>MK00230</t>
        </is>
      </c>
      <c r="B1533" s="27" t="n">
        <v>528000322</v>
      </c>
      <c r="C1533" s="27" t="inlineStr">
        <is>
          <t>Muhamad Aliludin</t>
        </is>
      </c>
      <c r="D1533" s="171" t="n">
        <v>46219.41666666666</v>
      </c>
      <c r="E1533" s="26" t="n">
        <v>0.9080208333333334</v>
      </c>
      <c r="F1533" s="27" t="inlineStr">
        <is>
          <t>Shift 3</t>
        </is>
      </c>
      <c r="G1533" s="27" t="n"/>
    </row>
    <row r="1534" hidden="1" s="169">
      <c r="A1534" s="27" t="inlineStr">
        <is>
          <t>MK00113</t>
        </is>
      </c>
      <c r="B1534" s="27" t="n">
        <v>528000313</v>
      </c>
      <c r="C1534" s="27" t="inlineStr">
        <is>
          <t>Muhamad Rifki</t>
        </is>
      </c>
      <c r="D1534" s="171" t="n">
        <v>46219.41666666666</v>
      </c>
      <c r="E1534" s="26" t="n">
        <v>0.9085648148148148</v>
      </c>
      <c r="F1534" s="27" t="inlineStr">
        <is>
          <t>Shift 3</t>
        </is>
      </c>
      <c r="G1534" s="27" t="n"/>
    </row>
    <row r="1535" hidden="1" s="169">
      <c r="A1535" s="27" t="inlineStr">
        <is>
          <t>MK00208</t>
        </is>
      </c>
      <c r="B1535" s="27" t="n">
        <v>528000302</v>
      </c>
      <c r="C1535" s="27" t="inlineStr">
        <is>
          <t>Henkey gumilar</t>
        </is>
      </c>
      <c r="D1535" s="171" t="n">
        <v>46219.41666666666</v>
      </c>
      <c r="E1535" s="26" t="n">
        <v>0.9088541666666666</v>
      </c>
      <c r="F1535" s="27" t="inlineStr">
        <is>
          <t>Shift 3</t>
        </is>
      </c>
      <c r="G1535" s="27" t="n"/>
    </row>
    <row r="1536" hidden="1" s="169">
      <c r="A1536" s="27" t="inlineStr">
        <is>
          <t>MK00219</t>
        </is>
      </c>
      <c r="B1536" s="27" t="n">
        <v>528000309</v>
      </c>
      <c r="C1536" s="27" t="inlineStr">
        <is>
          <t>Ilham Ramadhan</t>
        </is>
      </c>
      <c r="D1536" s="171" t="n">
        <v>46219.41666666666</v>
      </c>
      <c r="E1536" s="26" t="n">
        <v>0.9097800925925926</v>
      </c>
      <c r="F1536" s="27" t="inlineStr">
        <is>
          <t>Shift 3</t>
        </is>
      </c>
      <c r="G1536" s="27" t="n"/>
    </row>
    <row r="1537" hidden="1" s="169">
      <c r="A1537" s="27" t="inlineStr">
        <is>
          <t>MK00202</t>
        </is>
      </c>
      <c r="B1537" s="27" t="n">
        <v>528000289</v>
      </c>
      <c r="C1537" s="27" t="inlineStr">
        <is>
          <t>Adit Supriyadi</t>
        </is>
      </c>
      <c r="D1537" s="171" t="n">
        <v>46220.41666666666</v>
      </c>
      <c r="E1537" s="26" t="n">
        <v>0.2321412037037037</v>
      </c>
      <c r="F1537" s="27" t="inlineStr">
        <is>
          <t>Shift 1</t>
        </is>
      </c>
      <c r="G1537" s="27" t="n"/>
    </row>
    <row r="1538" hidden="1" s="169">
      <c r="A1538" s="27" t="inlineStr">
        <is>
          <t>MK0082</t>
        </is>
      </c>
      <c r="B1538" s="27" t="n">
        <v>528000201</v>
      </c>
      <c r="C1538" s="27" t="inlineStr">
        <is>
          <t>Zahwa Amelia Choerunissa</t>
        </is>
      </c>
      <c r="D1538" s="171" t="n">
        <v>46220.41666666666</v>
      </c>
      <c r="E1538" s="26" t="n">
        <v>0.2346759259259259</v>
      </c>
      <c r="F1538" s="27" t="inlineStr">
        <is>
          <t>Shift 1</t>
        </is>
      </c>
      <c r="G1538" s="27" t="n"/>
    </row>
    <row r="1539" hidden="1" s="169">
      <c r="A1539" s="27" t="inlineStr">
        <is>
          <t>MK0779</t>
        </is>
      </c>
      <c r="B1539" s="27" t="n">
        <v>528000099</v>
      </c>
      <c r="C1539" s="27" t="inlineStr">
        <is>
          <t>Siti Nurawaliah</t>
        </is>
      </c>
      <c r="D1539" s="171" t="n">
        <v>46220.41666666666</v>
      </c>
      <c r="E1539" s="26" t="n">
        <v>0.2353935185185185</v>
      </c>
      <c r="F1539" s="27" t="inlineStr">
        <is>
          <t>Shift 1</t>
        </is>
      </c>
      <c r="G1539" s="27" t="n"/>
    </row>
    <row r="1540" hidden="1" s="169">
      <c r="A1540" s="27" t="inlineStr">
        <is>
          <t>MK00158</t>
        </is>
      </c>
      <c r="B1540" s="27" t="n">
        <v>528000339</v>
      </c>
      <c r="C1540" s="27" t="inlineStr">
        <is>
          <t>Muhamad Ripai'i</t>
        </is>
      </c>
      <c r="D1540" s="171" t="n">
        <v>46220.41666666666</v>
      </c>
      <c r="E1540" s="26" t="n">
        <v>0.2364467592592593</v>
      </c>
      <c r="F1540" s="27" t="inlineStr">
        <is>
          <t>Shift 1</t>
        </is>
      </c>
      <c r="G1540" s="27" t="n"/>
    </row>
    <row r="1541" hidden="1" s="169">
      <c r="A1541" s="27" t="inlineStr">
        <is>
          <t>MK00143</t>
        </is>
      </c>
      <c r="B1541" s="27" t="n">
        <v>528000286</v>
      </c>
      <c r="C1541" s="27" t="inlineStr">
        <is>
          <t>Imelda Amelia</t>
        </is>
      </c>
      <c r="D1541" s="171" t="n">
        <v>46220.41666666666</v>
      </c>
      <c r="E1541" s="26" t="n">
        <v>0.2416435185185185</v>
      </c>
      <c r="F1541" s="27" t="inlineStr">
        <is>
          <t>Shift 1</t>
        </is>
      </c>
      <c r="G1541" s="27" t="n"/>
    </row>
    <row r="1542" hidden="1" s="169">
      <c r="A1542" s="27" t="inlineStr">
        <is>
          <t>MK00192</t>
        </is>
      </c>
      <c r="B1542" s="27" t="n">
        <v>528000241</v>
      </c>
      <c r="C1542" s="27" t="inlineStr">
        <is>
          <t>Balia Nurafif Bilah</t>
        </is>
      </c>
      <c r="D1542" s="171" t="n">
        <v>46220.41666666666</v>
      </c>
      <c r="E1542" s="26" t="n">
        <v>0.2456018518518518</v>
      </c>
      <c r="F1542" s="27" t="inlineStr">
        <is>
          <t>Shift 1</t>
        </is>
      </c>
      <c r="G1542" s="27" t="n"/>
    </row>
    <row r="1543" hidden="1" s="169">
      <c r="A1543" s="27" t="inlineStr">
        <is>
          <t>MK00141</t>
        </is>
      </c>
      <c r="B1543" s="27" t="n">
        <v>528000274</v>
      </c>
      <c r="C1543" s="27" t="inlineStr">
        <is>
          <t>Zepri</t>
        </is>
      </c>
      <c r="D1543" s="171" t="n">
        <v>46220.41666666666</v>
      </c>
      <c r="E1543" s="26" t="n">
        <v>0.2470138888888889</v>
      </c>
      <c r="F1543" s="27" t="inlineStr">
        <is>
          <t>Shift 1</t>
        </is>
      </c>
      <c r="G1543" s="27" t="n"/>
    </row>
    <row r="1544" hidden="1" s="169">
      <c r="A1544" s="27" t="inlineStr">
        <is>
          <t>MK00116</t>
        </is>
      </c>
      <c r="B1544" s="27" t="n">
        <v>528000090</v>
      </c>
      <c r="C1544" s="27" t="inlineStr">
        <is>
          <t>Suganda</t>
        </is>
      </c>
      <c r="D1544" s="171" t="n">
        <v>46220.41666666666</v>
      </c>
      <c r="E1544" s="26" t="n">
        <v>0.2473263888888889</v>
      </c>
      <c r="F1544" s="27" t="inlineStr">
        <is>
          <t>Shift 1</t>
        </is>
      </c>
      <c r="G1544" s="27" t="n"/>
    </row>
    <row r="1545" hidden="1" s="169">
      <c r="A1545" s="27" t="inlineStr">
        <is>
          <t>MK00121</t>
        </is>
      </c>
      <c r="B1545" s="27" t="n">
        <v>528000244</v>
      </c>
      <c r="C1545" s="27" t="inlineStr">
        <is>
          <t>Rodian Rifai</t>
        </is>
      </c>
      <c r="D1545" s="171" t="n">
        <v>46220.41666666666</v>
      </c>
      <c r="E1545" s="26" t="n">
        <v>0.2476736111111111</v>
      </c>
      <c r="F1545" s="27" t="inlineStr">
        <is>
          <t>Shift 1</t>
        </is>
      </c>
      <c r="G1545" s="27" t="n"/>
    </row>
    <row r="1546" hidden="1" s="169">
      <c r="A1546" s="27" t="inlineStr">
        <is>
          <t>MK0093</t>
        </is>
      </c>
      <c r="B1546" s="27" t="n">
        <v>528000290</v>
      </c>
      <c r="C1546" s="27" t="inlineStr">
        <is>
          <t>Eval Pranata</t>
        </is>
      </c>
      <c r="D1546" s="171" t="n">
        <v>46220.41666666666</v>
      </c>
      <c r="E1546" s="26" t="n">
        <v>0.2479861111111111</v>
      </c>
      <c r="F1546" s="27" t="inlineStr">
        <is>
          <t>Shift 1</t>
        </is>
      </c>
      <c r="G1546" s="27" t="n"/>
    </row>
    <row r="1547" hidden="1" s="169">
      <c r="A1547" s="27" t="inlineStr">
        <is>
          <t>MK00124</t>
        </is>
      </c>
      <c r="B1547" s="27" t="n">
        <v>528000212</v>
      </c>
      <c r="C1547" s="27" t="inlineStr">
        <is>
          <t>Rizal Fauzi</t>
        </is>
      </c>
      <c r="D1547" s="171" t="n">
        <v>46220.41666666666</v>
      </c>
      <c r="E1547" s="26" t="n">
        <v>0.2502893518518519</v>
      </c>
      <c r="F1547" s="27" t="inlineStr">
        <is>
          <t>Shift 1</t>
        </is>
      </c>
      <c r="G1547" s="27" t="n"/>
    </row>
    <row r="1548" hidden="1" s="169">
      <c r="A1548" s="27" t="n">
        <v>46</v>
      </c>
      <c r="B1548" s="27" t="n">
        <v>528000335</v>
      </c>
      <c r="C1548" s="27" t="inlineStr">
        <is>
          <t>Rizal Saepuloh</t>
        </is>
      </c>
      <c r="D1548" s="171" t="n">
        <v>46220.41666666666</v>
      </c>
      <c r="E1548" s="26" t="n">
        <v>0.3143865740740741</v>
      </c>
      <c r="F1548" s="27" t="inlineStr">
        <is>
          <t>Shift 1</t>
        </is>
      </c>
      <c r="G1548" s="27" t="n"/>
    </row>
    <row r="1549" hidden="1" s="169">
      <c r="A1549" s="27" t="inlineStr">
        <is>
          <t>MK00217</t>
        </is>
      </c>
      <c r="B1549" s="27" t="n">
        <v>528000282</v>
      </c>
      <c r="C1549" s="27" t="inlineStr">
        <is>
          <t>Defa Desfiana</t>
        </is>
      </c>
      <c r="D1549" s="171" t="n">
        <v>46220.41666666666</v>
      </c>
      <c r="E1549" s="26" t="n">
        <v>0.3192361111111111</v>
      </c>
      <c r="F1549" s="27" t="inlineStr">
        <is>
          <t>Shift 1</t>
        </is>
      </c>
      <c r="G1549" s="27" t="inlineStr">
        <is>
          <t>22b</t>
        </is>
      </c>
    </row>
    <row r="1550" hidden="1" s="169">
      <c r="A1550" s="27" t="inlineStr">
        <is>
          <t>MK00181</t>
        </is>
      </c>
      <c r="B1550" s="27" t="n">
        <v>528000265</v>
      </c>
      <c r="C1550" s="27" t="inlineStr">
        <is>
          <t>Muhammad Haerul Rozikin</t>
        </is>
      </c>
      <c r="D1550" s="171" t="n">
        <v>46220.41666666666</v>
      </c>
      <c r="E1550" s="26" t="n">
        <v>0.3231712962962963</v>
      </c>
      <c r="F1550" s="27" t="inlineStr">
        <is>
          <t>Shift 1</t>
        </is>
      </c>
      <c r="G1550" s="27" t="n"/>
    </row>
    <row r="1551" hidden="1" s="169">
      <c r="A1551" s="27" t="inlineStr">
        <is>
          <t>MK00184</t>
        </is>
      </c>
      <c r="B1551" s="27" t="n">
        <v>528000351</v>
      </c>
      <c r="C1551" s="27" t="inlineStr">
        <is>
          <t>Mulyana</t>
        </is>
      </c>
      <c r="D1551" s="171" t="n">
        <v>46220.41666666666</v>
      </c>
      <c r="E1551" s="26" t="n">
        <v>0.3265393518518518</v>
      </c>
      <c r="F1551" s="27" t="inlineStr">
        <is>
          <t>Shift 1</t>
        </is>
      </c>
      <c r="G1551" s="27" t="n"/>
    </row>
    <row r="1552" hidden="1" s="169">
      <c r="A1552" s="27" t="inlineStr">
        <is>
          <t>MK00138</t>
        </is>
      </c>
      <c r="B1552" s="27" t="n">
        <v>528000310</v>
      </c>
      <c r="C1552" s="27" t="inlineStr">
        <is>
          <t>Fachrul Rozzi Suryana</t>
        </is>
      </c>
      <c r="D1552" s="171" t="n">
        <v>46220.41666666666</v>
      </c>
      <c r="E1552" s="26" t="n">
        <v>0.3273958333333333</v>
      </c>
      <c r="F1552" s="27" t="inlineStr">
        <is>
          <t>Shift 1</t>
        </is>
      </c>
      <c r="G1552" s="27" t="inlineStr">
        <is>
          <t>31B</t>
        </is>
      </c>
    </row>
    <row r="1553" hidden="1" s="169">
      <c r="A1553" s="27" t="inlineStr">
        <is>
          <t>MK00154</t>
        </is>
      </c>
      <c r="B1553" s="27" t="n">
        <v>528000069</v>
      </c>
      <c r="C1553" s="27" t="inlineStr">
        <is>
          <t>Jajang Ardiansyah</t>
        </is>
      </c>
      <c r="D1553" s="171" t="n">
        <v>46220.41666666666</v>
      </c>
      <c r="E1553" s="26" t="n">
        <v>0.3293402777777778</v>
      </c>
      <c r="F1553" s="27" t="inlineStr">
        <is>
          <t>Shift 1</t>
        </is>
      </c>
      <c r="G1553" s="27" t="n"/>
    </row>
    <row r="1554" hidden="1" s="169">
      <c r="A1554" s="27" t="inlineStr">
        <is>
          <t>MK000221</t>
        </is>
      </c>
      <c r="B1554" s="27" t="n">
        <v>528000144</v>
      </c>
      <c r="C1554" s="27" t="inlineStr">
        <is>
          <t>Jodi Hanafi</t>
        </is>
      </c>
      <c r="D1554" s="171" t="n">
        <v>46220.41666666666</v>
      </c>
      <c r="E1554" s="26" t="n">
        <v>0.3366435185185185</v>
      </c>
      <c r="F1554" s="27" t="inlineStr">
        <is>
          <t>Shift 1</t>
        </is>
      </c>
      <c r="G1554" s="27" t="n"/>
    </row>
    <row r="1555" hidden="1" s="169">
      <c r="A1555" s="27" t="inlineStr">
        <is>
          <t>MK00221</t>
        </is>
      </c>
      <c r="B1555" s="27" t="n">
        <v>528000144</v>
      </c>
      <c r="C1555" s="27" t="inlineStr">
        <is>
          <t>Jodi Hanafi</t>
        </is>
      </c>
      <c r="D1555" s="171" t="n">
        <v>46220.41666666666</v>
      </c>
      <c r="E1555" s="26" t="n">
        <v>0.3372106481481482</v>
      </c>
      <c r="F1555" s="27" t="inlineStr">
        <is>
          <t>Shift 1</t>
        </is>
      </c>
      <c r="G1555" s="27" t="n"/>
    </row>
    <row r="1556" hidden="1" s="169">
      <c r="A1556" s="27" t="inlineStr">
        <is>
          <t>MK00205</t>
        </is>
      </c>
      <c r="B1556" s="27" t="n">
        <v>528000348</v>
      </c>
      <c r="C1556" s="27" t="inlineStr">
        <is>
          <t>Saepuloh Ardiansah</t>
        </is>
      </c>
      <c r="D1556" s="171" t="n">
        <v>46220.41666666666</v>
      </c>
      <c r="E1556" s="26" t="n">
        <v>0.3670949074074074</v>
      </c>
      <c r="F1556" s="27" t="inlineStr">
        <is>
          <t>Shift 1</t>
        </is>
      </c>
      <c r="G1556" s="27" t="n"/>
    </row>
    <row r="1557" hidden="1" s="169">
      <c r="A1557" s="27" t="inlineStr">
        <is>
          <t>MK00210</t>
        </is>
      </c>
      <c r="B1557" s="27" t="n">
        <v>528000232</v>
      </c>
      <c r="C1557" s="27" t="inlineStr">
        <is>
          <t>Agung Aji Suhada</t>
        </is>
      </c>
      <c r="D1557" s="171" t="n">
        <v>46220.41666666666</v>
      </c>
      <c r="E1557" s="26" t="n">
        <v>0.3708564814814815</v>
      </c>
      <c r="F1557" s="27" t="inlineStr">
        <is>
          <t>Shift 1</t>
        </is>
      </c>
      <c r="G1557" s="27" t="n"/>
    </row>
    <row r="1558" hidden="1" s="169">
      <c r="A1558" s="27" t="inlineStr">
        <is>
          <t>MK00148</t>
        </is>
      </c>
      <c r="B1558" s="27" t="n">
        <v>528000040</v>
      </c>
      <c r="C1558" s="27" t="inlineStr">
        <is>
          <t>Agus Suryaman</t>
        </is>
      </c>
      <c r="D1558" s="171" t="n">
        <v>46220.41666666666</v>
      </c>
      <c r="E1558" s="26" t="n">
        <v>0.376412037037037</v>
      </c>
      <c r="F1558" s="27" t="inlineStr">
        <is>
          <t>Shift 1</t>
        </is>
      </c>
      <c r="G1558" s="27" t="n"/>
    </row>
    <row r="1559" hidden="1" s="169">
      <c r="A1559" s="27" t="inlineStr">
        <is>
          <t>MK00228</t>
        </is>
      </c>
      <c r="B1559" s="27" t="n">
        <v>528000132</v>
      </c>
      <c r="C1559" s="27" t="inlineStr">
        <is>
          <t>Giopani</t>
        </is>
      </c>
      <c r="D1559" s="171" t="n">
        <v>46220.41666666666</v>
      </c>
      <c r="E1559" s="26" t="n">
        <v>0.4009375</v>
      </c>
      <c r="F1559" s="27" t="inlineStr">
        <is>
          <t>Shift 1</t>
        </is>
      </c>
      <c r="G1559" s="27" t="n"/>
    </row>
    <row r="1560" hidden="1" s="169">
      <c r="A1560" s="27" t="inlineStr">
        <is>
          <t>MK00218</t>
        </is>
      </c>
      <c r="B1560" s="27" t="n">
        <v>528000337</v>
      </c>
      <c r="C1560" s="27" t="inlineStr">
        <is>
          <t>Ahmad Zaldi Firdaus</t>
        </is>
      </c>
      <c r="D1560" s="171" t="n">
        <v>46220.41666666666</v>
      </c>
      <c r="E1560" s="26" t="n">
        <v>0.5389930555555555</v>
      </c>
      <c r="F1560" s="27" t="inlineStr">
        <is>
          <t>Shift 1</t>
        </is>
      </c>
      <c r="G1560" s="27" t="n"/>
    </row>
    <row r="1561" hidden="1" s="169">
      <c r="A1561" s="27" t="inlineStr">
        <is>
          <t>MK00230</t>
        </is>
      </c>
      <c r="B1561" s="27" t="n">
        <v>528000267</v>
      </c>
      <c r="C1561" s="27" t="inlineStr">
        <is>
          <t>Bagas Patulloh</t>
        </is>
      </c>
      <c r="D1561" s="171" t="n">
        <v>46220.41666666666</v>
      </c>
      <c r="E1561" s="26" t="n">
        <v>0.5457638888888889</v>
      </c>
      <c r="F1561" s="27" t="inlineStr">
        <is>
          <t>Shift 2</t>
        </is>
      </c>
      <c r="G1561" s="27" t="n"/>
    </row>
    <row r="1562" hidden="1" s="169">
      <c r="A1562" s="27" t="inlineStr">
        <is>
          <t>MK0088</t>
        </is>
      </c>
      <c r="B1562" s="27" t="n">
        <v>528000052</v>
      </c>
      <c r="C1562" s="27" t="inlineStr">
        <is>
          <t>Mustopa</t>
        </is>
      </c>
      <c r="D1562" s="171" t="n">
        <v>46220.41666666666</v>
      </c>
      <c r="E1562" s="26" t="n">
        <v>0.5469097222222222</v>
      </c>
      <c r="F1562" s="27" t="inlineStr">
        <is>
          <t>Shift 2</t>
        </is>
      </c>
      <c r="G1562" s="27" t="n"/>
    </row>
    <row r="1563" hidden="1" s="169">
      <c r="A1563" s="27" t="inlineStr">
        <is>
          <t>MK00212</t>
        </is>
      </c>
      <c r="B1563" s="27" t="n">
        <v>528000360</v>
      </c>
      <c r="C1563" s="27" t="inlineStr">
        <is>
          <t>Hendra Permana</t>
        </is>
      </c>
      <c r="D1563" s="171" t="n">
        <v>46220.41666666666</v>
      </c>
      <c r="E1563" s="26" t="n">
        <v>0.5565740740740741</v>
      </c>
      <c r="F1563" s="27" t="inlineStr">
        <is>
          <t>Shift 2</t>
        </is>
      </c>
      <c r="G1563" s="27" t="n"/>
    </row>
    <row r="1564" hidden="1" s="169">
      <c r="A1564" s="27" t="inlineStr">
        <is>
          <t>MK00145</t>
        </is>
      </c>
      <c r="B1564" s="27" t="n">
        <v>528000195</v>
      </c>
      <c r="C1564" s="27" t="inlineStr">
        <is>
          <t>Rahma Sariwati</t>
        </is>
      </c>
      <c r="D1564" s="171" t="n">
        <v>46220.41666666666</v>
      </c>
      <c r="E1564" s="26" t="n">
        <v>0.5673842592592593</v>
      </c>
      <c r="F1564" s="27" t="inlineStr">
        <is>
          <t>Shift 2</t>
        </is>
      </c>
      <c r="G1564" s="27" t="n"/>
    </row>
    <row r="1565" hidden="1" s="169">
      <c r="A1565" s="27" t="inlineStr">
        <is>
          <t>MK00184</t>
        </is>
      </c>
      <c r="B1565" s="27" t="n">
        <v>528000358</v>
      </c>
      <c r="C1565" s="27" t="inlineStr">
        <is>
          <t>Lulu Agustin</t>
        </is>
      </c>
      <c r="D1565" s="171" t="n">
        <v>46220.41666666666</v>
      </c>
      <c r="E1565" s="26" t="n">
        <v>0.5712268518518518</v>
      </c>
      <c r="F1565" s="27" t="inlineStr">
        <is>
          <t>Shift 2</t>
        </is>
      </c>
      <c r="G1565" s="27" t="n"/>
    </row>
    <row r="1566" hidden="1" s="169">
      <c r="A1566" s="27" t="inlineStr">
        <is>
          <t>MK00181</t>
        </is>
      </c>
      <c r="B1566" s="27" t="n">
        <v>528000266</v>
      </c>
      <c r="C1566" s="27" t="inlineStr">
        <is>
          <t>M. Syirajatieq</t>
        </is>
      </c>
      <c r="D1566" s="171" t="n">
        <v>46220.41666666666</v>
      </c>
      <c r="E1566" s="26" t="n">
        <v>0.5718171296296296</v>
      </c>
      <c r="F1566" s="27" t="inlineStr">
        <is>
          <t>Shift 2</t>
        </is>
      </c>
      <c r="G1566" s="27" t="n"/>
    </row>
    <row r="1567" hidden="1" s="169">
      <c r="A1567" s="27" t="inlineStr">
        <is>
          <t>MK00113</t>
        </is>
      </c>
      <c r="B1567" s="27" t="n">
        <v>528000262</v>
      </c>
      <c r="C1567" s="27" t="inlineStr">
        <is>
          <t>Ndari Dwiwanti</t>
        </is>
      </c>
      <c r="D1567" s="171" t="n">
        <v>46220.41666666666</v>
      </c>
      <c r="E1567" s="26" t="n">
        <v>0.572025462962963</v>
      </c>
      <c r="F1567" s="27" t="inlineStr">
        <is>
          <t>Shift 2</t>
        </is>
      </c>
      <c r="G1567" s="27" t="n"/>
    </row>
    <row r="1568" hidden="1" s="169">
      <c r="A1568" s="27" t="inlineStr">
        <is>
          <t>MK00235</t>
        </is>
      </c>
      <c r="B1568" s="27" t="n">
        <v>528000291</v>
      </c>
      <c r="C1568" s="27" t="inlineStr">
        <is>
          <t>Andrian</t>
        </is>
      </c>
      <c r="D1568" s="171" t="n">
        <v>46220.41666666666</v>
      </c>
      <c r="E1568" s="26" t="n">
        <v>0.5744097222222222</v>
      </c>
      <c r="F1568" s="27" t="inlineStr">
        <is>
          <t>Shift 2</t>
        </is>
      </c>
      <c r="G1568" s="27" t="n"/>
    </row>
    <row r="1569" hidden="1" s="169">
      <c r="A1569" s="27" t="inlineStr">
        <is>
          <t>MK00248</t>
        </is>
      </c>
      <c r="B1569" s="27" t="n">
        <v>528000283</v>
      </c>
      <c r="C1569" s="27" t="inlineStr">
        <is>
          <t>Purwanda Sugiri</t>
        </is>
      </c>
      <c r="D1569" s="171" t="n">
        <v>46220.41666666666</v>
      </c>
      <c r="E1569" s="26" t="n">
        <v>0.5780092592592593</v>
      </c>
      <c r="F1569" s="27" t="inlineStr">
        <is>
          <t>Shift 2</t>
        </is>
      </c>
      <c r="G1569" s="27" t="n"/>
    </row>
    <row r="1570" hidden="1" s="169">
      <c r="A1570" s="27" t="inlineStr">
        <is>
          <t>MK00125</t>
        </is>
      </c>
      <c r="B1570" s="27" t="n">
        <v>528000314</v>
      </c>
      <c r="C1570" s="27" t="inlineStr">
        <is>
          <t>Rusmana</t>
        </is>
      </c>
      <c r="D1570" s="171" t="n">
        <v>46220.41666666666</v>
      </c>
      <c r="E1570" s="26" t="n">
        <v>0.5842592592592593</v>
      </c>
      <c r="F1570" s="27" t="inlineStr">
        <is>
          <t>Shift 2</t>
        </is>
      </c>
      <c r="G1570" s="27" t="n"/>
    </row>
    <row r="1571" hidden="1" s="169">
      <c r="A1571" s="27" t="inlineStr">
        <is>
          <t>MK00230</t>
        </is>
      </c>
      <c r="B1571" s="27" t="n">
        <v>528000313</v>
      </c>
      <c r="C1571" s="27" t="inlineStr">
        <is>
          <t>Muhamad Rifki</t>
        </is>
      </c>
      <c r="D1571" s="171" t="n">
        <v>46220.41666666666</v>
      </c>
      <c r="E1571" s="26" t="n">
        <v>0.8937847222222223</v>
      </c>
      <c r="F1571" s="27" t="inlineStr">
        <is>
          <t>Shift 3</t>
        </is>
      </c>
      <c r="G1571" s="27" t="n"/>
    </row>
    <row r="1572" hidden="1" s="169">
      <c r="A1572" s="27" t="inlineStr">
        <is>
          <t>MK00192</t>
        </is>
      </c>
      <c r="B1572" s="27" t="n">
        <v>528000361</v>
      </c>
      <c r="C1572" s="27" t="inlineStr">
        <is>
          <t>Denada Munggarani</t>
        </is>
      </c>
      <c r="D1572" s="171" t="n">
        <v>46220.41666666666</v>
      </c>
      <c r="E1572" s="26" t="n">
        <v>0.8950231481481481</v>
      </c>
      <c r="F1572" s="27" t="inlineStr">
        <is>
          <t>Shift 3</t>
        </is>
      </c>
      <c r="G1572" s="27" t="n"/>
    </row>
    <row r="1573">
      <c r="A1573" s="27" t="inlineStr">
        <is>
          <t>MK00088</t>
        </is>
      </c>
      <c r="B1573" s="27" t="n">
        <v>528000015</v>
      </c>
      <c r="C1573" s="27" t="inlineStr">
        <is>
          <t>Erwin</t>
        </is>
      </c>
      <c r="D1573" s="171" t="n">
        <v>46220.41666666666</v>
      </c>
      <c r="E1573" s="26" t="n">
        <v>0.8980324074074074</v>
      </c>
      <c r="F1573" s="27" t="inlineStr">
        <is>
          <t>Shift 3</t>
        </is>
      </c>
      <c r="G1573" s="27" t="n"/>
    </row>
    <row r="1574" hidden="1" s="169">
      <c r="A1574" s="27" t="inlineStr">
        <is>
          <t>MK00109</t>
        </is>
      </c>
      <c r="B1574" s="27" t="n">
        <v>528000305</v>
      </c>
      <c r="C1574" s="27" t="inlineStr">
        <is>
          <t>Puji Puspita</t>
        </is>
      </c>
      <c r="D1574" s="171" t="n">
        <v>46220.41666666666</v>
      </c>
      <c r="E1574" s="26" t="n">
        <v>0.8988194444444444</v>
      </c>
      <c r="F1574" s="27" t="inlineStr">
        <is>
          <t>Shift 3</t>
        </is>
      </c>
      <c r="G1574" s="27" t="n"/>
    </row>
    <row r="1575" hidden="1" s="169">
      <c r="A1575" s="27" t="inlineStr">
        <is>
          <t>MK00148</t>
        </is>
      </c>
      <c r="B1575" s="27" t="n">
        <v>528000322</v>
      </c>
      <c r="C1575" s="27" t="inlineStr">
        <is>
          <t>Muhamad Aliludin</t>
        </is>
      </c>
      <c r="D1575" s="171" t="n">
        <v>46220.41666666666</v>
      </c>
      <c r="E1575" s="26" t="n">
        <v>0.8991898148148149</v>
      </c>
      <c r="F1575" s="27" t="inlineStr">
        <is>
          <t>Shift 3</t>
        </is>
      </c>
      <c r="G1575" s="27" t="n"/>
    </row>
    <row r="1576" hidden="1" s="169">
      <c r="A1576" s="27" t="inlineStr">
        <is>
          <t>MK00160</t>
        </is>
      </c>
      <c r="B1576" s="27" t="n">
        <v>528000299</v>
      </c>
      <c r="C1576" s="27" t="inlineStr">
        <is>
          <t>Siti Nurjanah</t>
        </is>
      </c>
      <c r="D1576" s="171" t="n">
        <v>46220.41666666666</v>
      </c>
      <c r="E1576" s="26" t="n">
        <v>0.8996643518518519</v>
      </c>
      <c r="F1576" s="27" t="inlineStr">
        <is>
          <t>Shift 3</t>
        </is>
      </c>
      <c r="G1576" s="27" t="n"/>
    </row>
    <row r="1577" hidden="1" s="169">
      <c r="A1577" s="27" t="inlineStr">
        <is>
          <t>MK00208</t>
        </is>
      </c>
      <c r="B1577" s="27" t="n">
        <v>528000318</v>
      </c>
      <c r="C1577" s="27" t="inlineStr">
        <is>
          <t>Bayu Padli Sepriyana</t>
        </is>
      </c>
      <c r="D1577" s="171" t="n">
        <v>46220.41666666666</v>
      </c>
      <c r="E1577" s="26" t="n">
        <v>0.9020949074074074</v>
      </c>
      <c r="F1577" s="27" t="inlineStr">
        <is>
          <t>Shift 3</t>
        </is>
      </c>
      <c r="G1577" s="27" t="n"/>
    </row>
    <row r="1578" hidden="1" s="169">
      <c r="A1578" s="27" t="inlineStr">
        <is>
          <t>MK00116</t>
        </is>
      </c>
      <c r="B1578" s="27" t="n">
        <v>528000298</v>
      </c>
      <c r="C1578" s="27" t="inlineStr">
        <is>
          <t>Desta Cahaya Pratama</t>
        </is>
      </c>
      <c r="D1578" s="171" t="n">
        <v>46220.41666666666</v>
      </c>
      <c r="E1578" s="26" t="n">
        <v>0.9039583333333333</v>
      </c>
      <c r="F1578" s="27" t="inlineStr">
        <is>
          <t>Shift 3</t>
        </is>
      </c>
      <c r="G1578" s="27" t="n"/>
    </row>
    <row r="1579" hidden="1" s="169">
      <c r="A1579" s="27" t="inlineStr">
        <is>
          <t>MK00219</t>
        </is>
      </c>
      <c r="B1579" s="27" t="n">
        <v>528000340</v>
      </c>
      <c r="C1579" s="27" t="inlineStr">
        <is>
          <t>Muhammad Wildan Adithya</t>
        </is>
      </c>
      <c r="D1579" s="171" t="n">
        <v>46220.41666666666</v>
      </c>
      <c r="E1579" s="26" t="n">
        <v>0.9046296296296297</v>
      </c>
      <c r="F1579" s="27" t="inlineStr">
        <is>
          <t>Shift 3</t>
        </is>
      </c>
      <c r="G1579" s="27" t="n"/>
    </row>
    <row r="1580" hidden="1" s="169">
      <c r="A1580" s="27" t="inlineStr">
        <is>
          <t>MK00085</t>
        </is>
      </c>
      <c r="B1580" s="27" t="n">
        <v>528000270</v>
      </c>
      <c r="C1580" s="27" t="inlineStr">
        <is>
          <t>Febri Najmudin</t>
        </is>
      </c>
      <c r="D1580" s="171" t="n">
        <v>46220.41666666666</v>
      </c>
      <c r="E1580" s="26" t="n">
        <v>0.9056597222222222</v>
      </c>
      <c r="F1580" s="27" t="inlineStr">
        <is>
          <t>Shift 3</t>
        </is>
      </c>
      <c r="G1580" s="27" t="n"/>
    </row>
    <row r="1581" hidden="1" s="169">
      <c r="A1581" s="27" t="inlineStr">
        <is>
          <t>MK00143</t>
        </is>
      </c>
      <c r="B1581" s="27" t="n">
        <v>528000309</v>
      </c>
      <c r="C1581" s="27" t="inlineStr">
        <is>
          <t>Ilham Ramadhan</t>
        </is>
      </c>
      <c r="D1581" s="171" t="n">
        <v>46220.41666666666</v>
      </c>
      <c r="E1581" s="26" t="n">
        <v>0.9109259259259259</v>
      </c>
      <c r="F1581" s="27" t="inlineStr">
        <is>
          <t>Shift 3</t>
        </is>
      </c>
      <c r="G1581" s="27" t="n"/>
    </row>
    <row r="1582" hidden="1" s="169">
      <c r="A1582" s="27" t="inlineStr">
        <is>
          <t>MK00141</t>
        </is>
      </c>
      <c r="B1582" s="27" t="n">
        <v>528000302</v>
      </c>
      <c r="C1582" s="27" t="inlineStr">
        <is>
          <t>Henkey gumilar</t>
        </is>
      </c>
      <c r="D1582" s="171" t="n">
        <v>46220.41666666666</v>
      </c>
      <c r="E1582" s="26" t="n">
        <v>0.9119097222222222</v>
      </c>
      <c r="F1582" s="27" t="inlineStr">
        <is>
          <t>Shift 3</t>
        </is>
      </c>
      <c r="G1582" s="27" t="n"/>
    </row>
    <row r="1583" hidden="1" s="169">
      <c r="A1583" s="27" t="inlineStr">
        <is>
          <t>MK00217</t>
        </is>
      </c>
      <c r="B1583" s="27" t="n">
        <v>528000325</v>
      </c>
      <c r="C1583" s="27" t="inlineStr">
        <is>
          <t>Rani Septia Ramadani</t>
        </is>
      </c>
      <c r="D1583" s="171" t="n">
        <v>46220.41666666666</v>
      </c>
      <c r="E1583" s="26" t="n">
        <v>0.9171296296296296</v>
      </c>
      <c r="F1583" s="27" t="inlineStr">
        <is>
          <t>Shift 3</t>
        </is>
      </c>
      <c r="G1583" s="27" t="n"/>
    </row>
    <row r="1584" hidden="1" s="169">
      <c r="A1584" s="27" t="inlineStr">
        <is>
          <t>MK0055</t>
        </is>
      </c>
      <c r="B1584" s="27" t="n">
        <v>528000052</v>
      </c>
      <c r="C1584" s="27" t="inlineStr">
        <is>
          <t>Mustopa</t>
        </is>
      </c>
      <c r="D1584" s="171" t="n">
        <v>46221.41666666666</v>
      </c>
      <c r="E1584" s="26" t="n">
        <v>0.2259375</v>
      </c>
      <c r="F1584" s="27" t="inlineStr">
        <is>
          <t>Shift 1</t>
        </is>
      </c>
      <c r="G1584" s="27" t="n"/>
    </row>
    <row r="1585" hidden="1" s="169">
      <c r="A1585" s="27" t="inlineStr">
        <is>
          <t>MK00217</t>
        </is>
      </c>
      <c r="B1585" s="27" t="n">
        <v>528000339</v>
      </c>
      <c r="C1585" s="27" t="inlineStr">
        <is>
          <t>Muhamad Ripai'i</t>
        </is>
      </c>
      <c r="D1585" s="171" t="n">
        <v>46221.41666666666</v>
      </c>
      <c r="E1585" s="26" t="n">
        <v>0.2300462962962963</v>
      </c>
      <c r="F1585" s="27" t="inlineStr">
        <is>
          <t>Shift 1</t>
        </is>
      </c>
      <c r="G1585" s="27" t="n"/>
    </row>
    <row r="1586" hidden="1" s="169">
      <c r="A1586" s="27" t="inlineStr">
        <is>
          <t>MK00213</t>
        </is>
      </c>
      <c r="B1586" s="27" t="n">
        <v>528000201</v>
      </c>
      <c r="C1586" s="27" t="inlineStr">
        <is>
          <t>Zahwa Amelia Choerunissa</t>
        </is>
      </c>
      <c r="D1586" s="171" t="n">
        <v>46221.41666666666</v>
      </c>
      <c r="E1586" s="26" t="n">
        <v>0.2406134259259259</v>
      </c>
      <c r="F1586" s="27" t="inlineStr">
        <is>
          <t>Shift 1</t>
        </is>
      </c>
      <c r="G1586" s="27" t="n"/>
    </row>
    <row r="1587" hidden="1" s="169">
      <c r="A1587" s="27" t="inlineStr">
        <is>
          <t>MK00235</t>
        </is>
      </c>
      <c r="B1587" s="27" t="n">
        <v>528000099</v>
      </c>
      <c r="C1587" s="27" t="inlineStr">
        <is>
          <t>Siti Nurawaliah</t>
        </is>
      </c>
      <c r="D1587" s="171" t="n">
        <v>46221.41666666666</v>
      </c>
      <c r="E1587" s="26" t="n">
        <v>0.2411342592592593</v>
      </c>
      <c r="F1587" s="27" t="inlineStr">
        <is>
          <t>Shift 1</t>
        </is>
      </c>
      <c r="G1587" s="27" t="n"/>
    </row>
    <row r="1588" hidden="1" s="169">
      <c r="A1588" s="27" t="inlineStr">
        <is>
          <t>MK00184</t>
        </is>
      </c>
      <c r="B1588" s="27" t="n">
        <v>528000296</v>
      </c>
      <c r="C1588" s="27" t="inlineStr">
        <is>
          <t>Nurdin</t>
        </is>
      </c>
      <c r="D1588" s="171" t="n">
        <v>46221.41666666666</v>
      </c>
      <c r="E1588" s="26" t="n">
        <v>0.2437847222222222</v>
      </c>
      <c r="F1588" s="27" t="inlineStr">
        <is>
          <t>Shift 1</t>
        </is>
      </c>
      <c r="G1588" s="27" t="n"/>
    </row>
    <row r="1589" hidden="1" s="169">
      <c r="A1589" s="27" t="inlineStr">
        <is>
          <t>MK00145</t>
        </is>
      </c>
      <c r="B1589" s="27" t="n">
        <v>528000286</v>
      </c>
      <c r="C1589" s="27" t="inlineStr">
        <is>
          <t>Imelda Amelia</t>
        </is>
      </c>
      <c r="D1589" s="171" t="n">
        <v>46221.41666666666</v>
      </c>
      <c r="E1589" s="26" t="n">
        <v>0.2444444444444444</v>
      </c>
      <c r="F1589" s="27" t="inlineStr">
        <is>
          <t>Shift 1</t>
        </is>
      </c>
      <c r="G1589" s="27" t="n"/>
    </row>
    <row r="1590" hidden="1" s="169">
      <c r="A1590" s="27" t="inlineStr">
        <is>
          <t>MK00218</t>
        </is>
      </c>
      <c r="B1590" s="27" t="n">
        <v>528000241</v>
      </c>
      <c r="C1590" s="27" t="inlineStr">
        <is>
          <t>Balia Nurafif Bilah</t>
        </is>
      </c>
      <c r="D1590" s="171" t="n">
        <v>46221.41666666666</v>
      </c>
      <c r="E1590" s="26" t="n">
        <v>0.2455439814814815</v>
      </c>
      <c r="F1590" s="27" t="inlineStr">
        <is>
          <t>Shift 1</t>
        </is>
      </c>
      <c r="G1590" s="27" t="n"/>
    </row>
    <row r="1591" hidden="1" s="169">
      <c r="A1591" s="27" t="inlineStr">
        <is>
          <t>MK00212</t>
        </is>
      </c>
      <c r="B1591" s="27" t="n">
        <v>528000289</v>
      </c>
      <c r="C1591" s="27" t="inlineStr">
        <is>
          <t>Adit Supriyadi</t>
        </is>
      </c>
      <c r="D1591" s="171" t="n">
        <v>46221.41666666666</v>
      </c>
      <c r="E1591" s="26" t="n">
        <v>0.2457291666666667</v>
      </c>
      <c r="F1591" s="27" t="inlineStr">
        <is>
          <t>Shift 1</t>
        </is>
      </c>
      <c r="G1591" s="27" t="n"/>
    </row>
    <row r="1592" hidden="1" s="169">
      <c r="A1592" s="27" t="inlineStr">
        <is>
          <t>MK00249</t>
        </is>
      </c>
      <c r="B1592" s="27" t="n">
        <v>528000090</v>
      </c>
      <c r="C1592" s="27" t="inlineStr">
        <is>
          <t>Suganda</t>
        </is>
      </c>
      <c r="D1592" s="171" t="n">
        <v>46221.41666666666</v>
      </c>
      <c r="E1592" s="26" t="n">
        <v>0.2480671296296296</v>
      </c>
      <c r="F1592" s="27" t="inlineStr">
        <is>
          <t>Shift 1</t>
        </is>
      </c>
      <c r="G1592" s="27" t="n"/>
    </row>
    <row r="1593" hidden="1" s="169">
      <c r="A1593" s="27" t="n">
        <v>52800088</v>
      </c>
      <c r="B1593" s="27" t="n">
        <v>528000244</v>
      </c>
      <c r="C1593" s="27" t="inlineStr">
        <is>
          <t>Rodian Rifai</t>
        </is>
      </c>
      <c r="D1593" s="171" t="n">
        <v>46221.41666666666</v>
      </c>
      <c r="E1593" s="26" t="n">
        <v>0.2483333333333333</v>
      </c>
      <c r="F1593" s="27" t="inlineStr">
        <is>
          <t>Shift 1</t>
        </is>
      </c>
      <c r="G1593" s="27" t="n"/>
    </row>
    <row r="1594" hidden="1" s="169">
      <c r="A1594" s="27" t="inlineStr">
        <is>
          <t>MK00113</t>
        </is>
      </c>
      <c r="B1594" s="27" t="n">
        <v>528000274</v>
      </c>
      <c r="C1594" s="27" t="inlineStr">
        <is>
          <t>Zepri</t>
        </is>
      </c>
      <c r="D1594" s="171" t="n">
        <v>46221.41666666666</v>
      </c>
      <c r="E1594" s="26" t="n">
        <v>0.2484953703703704</v>
      </c>
      <c r="F1594" s="27" t="inlineStr">
        <is>
          <t>Shift 1</t>
        </is>
      </c>
      <c r="G1594" s="27" t="n"/>
    </row>
    <row r="1595" hidden="1" s="169">
      <c r="A1595" s="27" t="inlineStr">
        <is>
          <t>MK00220</t>
        </is>
      </c>
      <c r="B1595" s="27" t="n">
        <v>528000290</v>
      </c>
      <c r="C1595" s="27" t="inlineStr">
        <is>
          <t>Eval Pranata</t>
        </is>
      </c>
      <c r="D1595" s="171" t="n">
        <v>46221.41666666666</v>
      </c>
      <c r="E1595" s="26" t="n">
        <v>0.2496759259259259</v>
      </c>
      <c r="F1595" s="27" t="inlineStr">
        <is>
          <t>Shift 1</t>
        </is>
      </c>
      <c r="G1595" s="27" t="n"/>
    </row>
    <row r="1596">
      <c r="A1596" s="27" t="inlineStr">
        <is>
          <t>MK00088</t>
        </is>
      </c>
      <c r="B1596" s="27" t="n">
        <v>528000015</v>
      </c>
      <c r="C1596" s="27" t="inlineStr">
        <is>
          <t>Erwin</t>
        </is>
      </c>
      <c r="D1596" s="171" t="n">
        <v>46221.41666666666</v>
      </c>
      <c r="E1596" s="26" t="n">
        <v>0.254375</v>
      </c>
      <c r="F1596" s="27" t="inlineStr">
        <is>
          <t>Shift 1</t>
        </is>
      </c>
      <c r="G1596" s="27" t="n"/>
    </row>
    <row r="1597" hidden="1" s="169">
      <c r="A1597" s="27" t="inlineStr">
        <is>
          <t>MK00095</t>
        </is>
      </c>
      <c r="B1597" s="27" t="n">
        <v>528000273</v>
      </c>
      <c r="C1597" s="27" t="inlineStr">
        <is>
          <t>Asep Mulyana</t>
        </is>
      </c>
      <c r="D1597" s="171" t="n">
        <v>46221.41666666666</v>
      </c>
      <c r="E1597" s="26" t="n">
        <v>0.3444791666666667</v>
      </c>
      <c r="F1597" s="27" t="inlineStr">
        <is>
          <t>Shift 1</t>
        </is>
      </c>
      <c r="G1597" s="27" t="n"/>
    </row>
    <row r="1598" hidden="1" s="169">
      <c r="A1598" s="27" t="inlineStr">
        <is>
          <t>MK00202</t>
        </is>
      </c>
      <c r="B1598" s="27" t="n">
        <v>528000337</v>
      </c>
      <c r="C1598" s="27" t="inlineStr">
        <is>
          <t>Ahmad Zaldi Firdaus</t>
        </is>
      </c>
      <c r="D1598" s="171" t="n">
        <v>46221.41666666666</v>
      </c>
      <c r="E1598" s="26" t="n">
        <v>0.5397222222222222</v>
      </c>
      <c r="F1598" s="27" t="inlineStr">
        <is>
          <t>Shift 1</t>
        </is>
      </c>
      <c r="G1598" s="27" t="n"/>
    </row>
    <row r="1599" hidden="1" s="169">
      <c r="A1599" s="27" t="inlineStr">
        <is>
          <t>MK00208</t>
        </is>
      </c>
      <c r="B1599" s="27" t="n">
        <v>528000336</v>
      </c>
      <c r="C1599" s="27" t="inlineStr">
        <is>
          <t>Ali Nurhanafi</t>
        </is>
      </c>
      <c r="D1599" s="171" t="n">
        <v>46221.41666666666</v>
      </c>
      <c r="E1599" s="26" t="n">
        <v>0.5490162037037037</v>
      </c>
      <c r="F1599" s="27" t="inlineStr">
        <is>
          <t>Shift 2</t>
        </is>
      </c>
      <c r="G1599" s="27" t="n"/>
    </row>
    <row r="1600" hidden="1" s="169">
      <c r="A1600" s="27" t="inlineStr">
        <is>
          <t>MK00112</t>
        </is>
      </c>
      <c r="B1600" s="27" t="n">
        <v>528000262</v>
      </c>
      <c r="C1600" s="27" t="inlineStr">
        <is>
          <t>Ndari Dwiwanti</t>
        </is>
      </c>
      <c r="D1600" s="171" t="n">
        <v>46221.41666666666</v>
      </c>
      <c r="E1600" s="26" t="n">
        <v>0.5663541666666667</v>
      </c>
      <c r="F1600" s="27" t="inlineStr">
        <is>
          <t>Shift 2</t>
        </is>
      </c>
      <c r="G1600" s="27" t="n"/>
    </row>
    <row r="1601" hidden="1" s="169">
      <c r="A1601" s="27" t="inlineStr">
        <is>
          <t>MK00138</t>
        </is>
      </c>
      <c r="B1601" s="27" t="n">
        <v>528000266</v>
      </c>
      <c r="C1601" s="27" t="inlineStr">
        <is>
          <t>M. Syirajatieq</t>
        </is>
      </c>
      <c r="D1601" s="171" t="n">
        <v>46221.41666666666</v>
      </c>
      <c r="E1601" s="26" t="n">
        <v>0.5688888888888889</v>
      </c>
      <c r="F1601" s="27" t="inlineStr">
        <is>
          <t>Shift 2</t>
        </is>
      </c>
      <c r="G1601" s="27" t="n"/>
    </row>
    <row r="1602" hidden="1" s="169">
      <c r="A1602" s="27" t="inlineStr">
        <is>
          <t>MK00134</t>
        </is>
      </c>
      <c r="B1602" s="27" t="n">
        <v>528000195</v>
      </c>
      <c r="C1602" s="27" t="inlineStr">
        <is>
          <t>Rahma Sariwati</t>
        </is>
      </c>
      <c r="D1602" s="171" t="n">
        <v>46221.41666666666</v>
      </c>
      <c r="E1602" s="26" t="n">
        <v>0.5694328703703704</v>
      </c>
      <c r="F1602" s="27" t="inlineStr">
        <is>
          <t>Shift 2</t>
        </is>
      </c>
      <c r="G1602" s="27" t="n"/>
    </row>
    <row r="1603" hidden="1" s="169">
      <c r="A1603" s="27" t="inlineStr">
        <is>
          <t>MK00204</t>
        </is>
      </c>
      <c r="B1603" s="27" t="n">
        <v>528000358</v>
      </c>
      <c r="C1603" s="27" t="inlineStr">
        <is>
          <t>Lulu Agustin</t>
        </is>
      </c>
      <c r="D1603" s="171" t="n">
        <v>46221.41666666666</v>
      </c>
      <c r="E1603" s="26" t="n">
        <v>0.5698611111111112</v>
      </c>
      <c r="F1603" s="27" t="inlineStr">
        <is>
          <t>Shift 2</t>
        </is>
      </c>
      <c r="G1603" s="27" t="n"/>
    </row>
    <row r="1604" hidden="1" s="169">
      <c r="A1604" s="27" t="inlineStr">
        <is>
          <t>MK00185</t>
        </is>
      </c>
      <c r="B1604" s="27" t="n">
        <v>528000291</v>
      </c>
      <c r="C1604" s="27" t="inlineStr">
        <is>
          <t>Andrian</t>
        </is>
      </c>
      <c r="D1604" s="171" t="n">
        <v>46221.41666666666</v>
      </c>
      <c r="E1604" s="26" t="n">
        <v>0.5753935185185185</v>
      </c>
      <c r="F1604" s="27" t="inlineStr">
        <is>
          <t>Shift 2</t>
        </is>
      </c>
      <c r="G1604" s="27" t="n"/>
    </row>
    <row r="1605" hidden="1" s="169">
      <c r="A1605" s="27" t="inlineStr">
        <is>
          <t>MK00090</t>
        </is>
      </c>
      <c r="B1605" s="27" t="n">
        <v>528000283</v>
      </c>
      <c r="C1605" s="27" t="inlineStr">
        <is>
          <t>Purwanda Sugiri</t>
        </is>
      </c>
      <c r="D1605" s="171" t="n">
        <v>46221.41666666666</v>
      </c>
      <c r="E1605" s="26" t="n">
        <v>0.5763888888888888</v>
      </c>
      <c r="F1605" s="27" t="inlineStr">
        <is>
          <t>Shift 2</t>
        </is>
      </c>
      <c r="G1605" s="27" t="n"/>
    </row>
    <row r="1606" hidden="1" s="169">
      <c r="A1606" s="27" t="inlineStr">
        <is>
          <t>MK00125</t>
        </is>
      </c>
      <c r="B1606" s="27" t="n">
        <v>528000314</v>
      </c>
      <c r="C1606" s="27" t="inlineStr">
        <is>
          <t>Rusmana</t>
        </is>
      </c>
      <c r="D1606" s="171" t="n">
        <v>46221.41666666666</v>
      </c>
      <c r="E1606" s="26" t="n">
        <v>0.5802893518518518</v>
      </c>
      <c r="F1606" s="27" t="inlineStr">
        <is>
          <t>Shift 2</t>
        </is>
      </c>
      <c r="G1606" s="27" t="n"/>
    </row>
    <row r="1607" hidden="1" s="169">
      <c r="A1607" s="27" t="inlineStr">
        <is>
          <t>MK00213</t>
        </is>
      </c>
      <c r="B1607" s="27" t="n">
        <v>528000360</v>
      </c>
      <c r="C1607" s="27" t="inlineStr">
        <is>
          <t>Hendra Permana</t>
        </is>
      </c>
      <c r="D1607" s="171" t="n">
        <v>46221.41666666666</v>
      </c>
      <c r="E1607" s="26" t="n">
        <v>0.5912731481481481</v>
      </c>
      <c r="F1607" s="27" t="inlineStr">
        <is>
          <t>Shift 2</t>
        </is>
      </c>
      <c r="G1607" s="27" t="n"/>
    </row>
    <row r="1608" hidden="1" s="169">
      <c r="A1608" s="27" t="inlineStr">
        <is>
          <t>MK00230</t>
        </is>
      </c>
      <c r="B1608" s="27" t="n">
        <v>528000340</v>
      </c>
      <c r="C1608" s="27" t="inlineStr">
        <is>
          <t>Muhammad Wildan Adithya</t>
        </is>
      </c>
      <c r="D1608" s="171" t="n">
        <v>46221.41666666666</v>
      </c>
      <c r="E1608" s="26" t="n">
        <v>0.8940972222222222</v>
      </c>
      <c r="F1608" s="27" t="inlineStr">
        <is>
          <t>Shift 3</t>
        </is>
      </c>
      <c r="G1608" s="27" t="n"/>
    </row>
    <row r="1609" hidden="1" s="169">
      <c r="A1609" s="27" t="inlineStr">
        <is>
          <t>MK00160</t>
        </is>
      </c>
      <c r="B1609" s="27" t="n">
        <v>528000313</v>
      </c>
      <c r="C1609" s="27" t="inlineStr">
        <is>
          <t>Muhamad Rifki</t>
        </is>
      </c>
      <c r="D1609" s="171" t="n">
        <v>46221.41666666666</v>
      </c>
      <c r="E1609" s="26" t="n">
        <v>0.8969560185185185</v>
      </c>
      <c r="F1609" s="27" t="inlineStr">
        <is>
          <t>Shift 3</t>
        </is>
      </c>
      <c r="G1609" s="27" t="n"/>
    </row>
    <row r="1610">
      <c r="A1610" s="27" t="inlineStr">
        <is>
          <t>MK00184</t>
        </is>
      </c>
      <c r="B1610" s="27" t="n">
        <v>528000015</v>
      </c>
      <c r="C1610" s="27" t="inlineStr">
        <is>
          <t>Erwin</t>
        </is>
      </c>
      <c r="D1610" s="171" t="n">
        <v>46221.41666666666</v>
      </c>
      <c r="E1610" s="26" t="n">
        <v>0.8976273148148148</v>
      </c>
      <c r="F1610" s="27" t="inlineStr">
        <is>
          <t>Shift 3</t>
        </is>
      </c>
      <c r="G1610" s="27" t="n"/>
    </row>
    <row r="1611" hidden="1" s="169">
      <c r="A1611" s="27" t="inlineStr">
        <is>
          <t>MK00143</t>
        </is>
      </c>
      <c r="B1611" s="27" t="n">
        <v>528000318</v>
      </c>
      <c r="C1611" s="27" t="inlineStr">
        <is>
          <t>Bayu Padli Sepriyana</t>
        </is>
      </c>
      <c r="D1611" s="171" t="n">
        <v>46221.41666666666</v>
      </c>
      <c r="E1611" s="26" t="n">
        <v>0.9016666666666666</v>
      </c>
      <c r="F1611" s="27" t="inlineStr">
        <is>
          <t>Shift 3</t>
        </is>
      </c>
      <c r="G1611" s="27" t="n"/>
    </row>
    <row r="1612" hidden="1" s="169">
      <c r="A1612" s="27" t="inlineStr">
        <is>
          <t>MK00109</t>
        </is>
      </c>
      <c r="B1612" s="27" t="n">
        <v>528000305</v>
      </c>
      <c r="C1612" s="27" t="inlineStr">
        <is>
          <t>Puji Puspita</t>
        </is>
      </c>
      <c r="D1612" s="171" t="n">
        <v>46221.41666666666</v>
      </c>
      <c r="E1612" s="26" t="n">
        <v>0.9045023148148148</v>
      </c>
      <c r="F1612" s="27" t="inlineStr">
        <is>
          <t>Shift 3</t>
        </is>
      </c>
      <c r="G1612" s="27" t="n"/>
    </row>
    <row r="1613" hidden="1" s="169">
      <c r="A1613" s="27" t="inlineStr">
        <is>
          <t>MK00219</t>
        </is>
      </c>
      <c r="B1613" s="27" t="n">
        <v>528000299</v>
      </c>
      <c r="C1613" s="27" t="inlineStr">
        <is>
          <t>Siti Nurjanah</t>
        </is>
      </c>
      <c r="D1613" s="171" t="n">
        <v>46221.41666666666</v>
      </c>
      <c r="E1613" s="26" t="n">
        <v>0.9046527777777778</v>
      </c>
      <c r="F1613" s="27" t="inlineStr">
        <is>
          <t>Shift 3</t>
        </is>
      </c>
      <c r="G1613" s="27" t="n"/>
    </row>
    <row r="1614" hidden="1" s="169">
      <c r="A1614" s="27" t="inlineStr">
        <is>
          <t>MK00116</t>
        </is>
      </c>
      <c r="B1614" s="27" t="n">
        <v>528000322</v>
      </c>
      <c r="C1614" s="27" t="inlineStr">
        <is>
          <t>Muhamad Aliludin</t>
        </is>
      </c>
      <c r="D1614" s="171" t="n">
        <v>46221.41666666666</v>
      </c>
      <c r="E1614" s="26" t="n">
        <v>0.9048495370370371</v>
      </c>
      <c r="F1614" s="27" t="inlineStr">
        <is>
          <t>Shift 3</t>
        </is>
      </c>
      <c r="G1614" s="27" t="n"/>
    </row>
    <row r="1615" hidden="1" s="169">
      <c r="A1615" s="27" t="inlineStr">
        <is>
          <t>MK00192</t>
        </is>
      </c>
      <c r="B1615" s="27" t="n">
        <v>528000298</v>
      </c>
      <c r="C1615" s="27" t="inlineStr">
        <is>
          <t>Desta Cahaya Pratama</t>
        </is>
      </c>
      <c r="D1615" s="171" t="n">
        <v>46221.41666666666</v>
      </c>
      <c r="E1615" s="26" t="n">
        <v>0.9065625</v>
      </c>
      <c r="F1615" s="27" t="inlineStr">
        <is>
          <t>Shift 3</t>
        </is>
      </c>
      <c r="G1615" s="27" t="n"/>
    </row>
    <row r="1616" hidden="1" s="169">
      <c r="A1616" s="27" t="inlineStr">
        <is>
          <t>MK00113</t>
        </is>
      </c>
      <c r="B1616" s="27" t="n">
        <v>528000270</v>
      </c>
      <c r="C1616" s="27" t="inlineStr">
        <is>
          <t>Febri Najmudin</t>
        </is>
      </c>
      <c r="D1616" s="171" t="n">
        <v>46221.41666666666</v>
      </c>
      <c r="E1616" s="26" t="n">
        <v>0.9069328703703704</v>
      </c>
      <c r="F1616" s="27" t="inlineStr">
        <is>
          <t>Shift 3</t>
        </is>
      </c>
      <c r="G1616" s="27" t="n"/>
    </row>
    <row r="1617" hidden="1" s="169">
      <c r="A1617" s="27" t="inlineStr">
        <is>
          <t>MK00181</t>
        </is>
      </c>
      <c r="B1617" s="27" t="n">
        <v>528000302</v>
      </c>
      <c r="C1617" s="27" t="inlineStr">
        <is>
          <t>Henkey gumilar</t>
        </is>
      </c>
      <c r="D1617" s="171" t="n">
        <v>46221.41666666666</v>
      </c>
      <c r="E1617" s="26" t="n">
        <v>0.9076041666666667</v>
      </c>
      <c r="F1617" s="27" t="inlineStr">
        <is>
          <t>Shift 3</t>
        </is>
      </c>
      <c r="G1617" s="27" t="n"/>
    </row>
    <row r="1618" hidden="1" s="169">
      <c r="A1618" s="27" t="inlineStr">
        <is>
          <t>MK00121</t>
        </is>
      </c>
      <c r="B1618" s="27" t="n">
        <v>528000361</v>
      </c>
      <c r="C1618" s="27" t="inlineStr">
        <is>
          <t>Denada Munggarani</t>
        </is>
      </c>
      <c r="D1618" s="171" t="n">
        <v>46221.41666666666</v>
      </c>
      <c r="E1618" s="26" t="n">
        <v>0.9091898148148149</v>
      </c>
      <c r="F1618" s="27" t="inlineStr">
        <is>
          <t>Shift 3</t>
        </is>
      </c>
      <c r="G1618" s="27" t="n"/>
    </row>
    <row r="1619" hidden="1" s="169">
      <c r="A1619" s="27" t="inlineStr">
        <is>
          <t>MK00218</t>
        </is>
      </c>
      <c r="B1619" s="27" t="n">
        <v>528000309</v>
      </c>
      <c r="C1619" s="27" t="inlineStr">
        <is>
          <t>Ilham Ramadhan</t>
        </is>
      </c>
      <c r="D1619" s="171" t="n">
        <v>46221.41666666666</v>
      </c>
      <c r="E1619" s="26" t="n">
        <v>0.9117708333333333</v>
      </c>
      <c r="F1619" s="27" t="inlineStr">
        <is>
          <t>Shift 3</t>
        </is>
      </c>
      <c r="G1619" s="27" t="n"/>
    </row>
    <row r="1620" hidden="1" s="169">
      <c r="A1620" s="27" t="inlineStr">
        <is>
          <t>MK00203</t>
        </is>
      </c>
      <c r="B1620" s="27" t="n">
        <v>528000201</v>
      </c>
      <c r="C1620" s="27" t="inlineStr">
        <is>
          <t>Zahwa Amelia Choerunissa</t>
        </is>
      </c>
      <c r="D1620" s="171" t="n">
        <v>46222.41666666666</v>
      </c>
      <c r="E1620" s="26" t="n">
        <v>0.2398842592592593</v>
      </c>
      <c r="F1620" s="27" t="inlineStr">
        <is>
          <t>Shift 1</t>
        </is>
      </c>
      <c r="G1620" s="27" t="n"/>
    </row>
    <row r="1621" hidden="1" s="169">
      <c r="A1621" s="27" t="inlineStr">
        <is>
          <t>MK00202</t>
        </is>
      </c>
      <c r="B1621" s="27" t="n">
        <v>528000099</v>
      </c>
      <c r="C1621" s="27" t="inlineStr">
        <is>
          <t>Siti Nurawaliah</t>
        </is>
      </c>
      <c r="D1621" s="171" t="n">
        <v>46222.41666666666</v>
      </c>
      <c r="E1621" s="26" t="n">
        <v>0.2403819444444444</v>
      </c>
      <c r="F1621" s="27" t="inlineStr">
        <is>
          <t>Shift 1</t>
        </is>
      </c>
      <c r="G1621" s="27" t="n"/>
    </row>
    <row r="1622" hidden="1" s="169">
      <c r="A1622" s="27" t="inlineStr">
        <is>
          <t>MK00208</t>
        </is>
      </c>
      <c r="B1622" s="27" t="n">
        <v>528000286</v>
      </c>
      <c r="C1622" s="27" t="inlineStr">
        <is>
          <t>Imelda Amelia</t>
        </is>
      </c>
      <c r="D1622" s="171" t="n">
        <v>46222.41666666666</v>
      </c>
      <c r="E1622" s="26" t="n">
        <v>0.2428819444444444</v>
      </c>
      <c r="F1622" s="27" t="inlineStr">
        <is>
          <t>Shift 1</t>
        </is>
      </c>
      <c r="G1622" s="27" t="n"/>
    </row>
    <row r="1623" hidden="1" s="169">
      <c r="A1623" s="27" t="inlineStr">
        <is>
          <t>MK00134</t>
        </is>
      </c>
      <c r="B1623" s="27" t="n">
        <v>528000290</v>
      </c>
      <c r="C1623" s="27" t="inlineStr">
        <is>
          <t>Eval Pranata</t>
        </is>
      </c>
      <c r="D1623" s="171" t="n">
        <v>46222.41666666666</v>
      </c>
      <c r="E1623" s="26" t="n">
        <v>0.2455555555555556</v>
      </c>
      <c r="F1623" s="27" t="inlineStr">
        <is>
          <t>Shift 1</t>
        </is>
      </c>
      <c r="G1623" s="27" t="n"/>
    </row>
    <row r="1624" hidden="1" s="169">
      <c r="A1624" s="27" t="inlineStr">
        <is>
          <t>MK00204</t>
        </is>
      </c>
      <c r="B1624" s="27" t="n">
        <v>528000241</v>
      </c>
      <c r="C1624" s="27" t="inlineStr">
        <is>
          <t>Balia Nurafif Bilah</t>
        </is>
      </c>
      <c r="D1624" s="171" t="n">
        <v>46222.41666666666</v>
      </c>
      <c r="E1624" s="26" t="n">
        <v>0.2459490740740741</v>
      </c>
      <c r="F1624" s="27" t="inlineStr">
        <is>
          <t>Shift 1</t>
        </is>
      </c>
      <c r="G1624" s="27" t="n"/>
    </row>
    <row r="1625" hidden="1" s="169">
      <c r="A1625" s="27" t="inlineStr">
        <is>
          <t>MK00138</t>
        </is>
      </c>
      <c r="B1625" s="27" t="n">
        <v>528000289</v>
      </c>
      <c r="C1625" s="27" t="inlineStr">
        <is>
          <t>Adit Supriyadi</t>
        </is>
      </c>
      <c r="D1625" s="171" t="n">
        <v>46222.41666666666</v>
      </c>
      <c r="E1625" s="26" t="n">
        <v>0.2460069444444444</v>
      </c>
      <c r="F1625" s="27" t="inlineStr">
        <is>
          <t>Shift 1</t>
        </is>
      </c>
      <c r="G1625" s="27" t="n"/>
    </row>
    <row r="1626" hidden="1" s="169">
      <c r="A1626" s="27" t="inlineStr">
        <is>
          <t>MK00093</t>
        </is>
      </c>
      <c r="B1626" s="27" t="n">
        <v>528000274</v>
      </c>
      <c r="C1626" s="27" t="inlineStr">
        <is>
          <t>Zepri</t>
        </is>
      </c>
      <c r="D1626" s="171" t="n">
        <v>46222.41666666666</v>
      </c>
      <c r="E1626" s="26" t="n">
        <v>0.2475231481481482</v>
      </c>
      <c r="F1626" s="27" t="inlineStr">
        <is>
          <t>Shift 1</t>
        </is>
      </c>
      <c r="G1626" s="27" t="n"/>
    </row>
    <row r="1627" hidden="1" s="169">
      <c r="A1627" s="27" t="inlineStr">
        <is>
          <t>MK00213</t>
        </is>
      </c>
      <c r="B1627" s="27" t="n">
        <v>528000265</v>
      </c>
      <c r="C1627" s="27" t="inlineStr">
        <is>
          <t>Muhammad Haerul Rozikin</t>
        </is>
      </c>
      <c r="D1627" s="171" t="n">
        <v>46222.41666666666</v>
      </c>
      <c r="E1627" s="26" t="n">
        <v>0.2479861111111111</v>
      </c>
      <c r="F1627" s="27" t="inlineStr">
        <is>
          <t>Shift 1</t>
        </is>
      </c>
      <c r="G1627" s="27" t="n"/>
    </row>
    <row r="1628" hidden="1" s="169">
      <c r="A1628" s="27" t="n">
        <v>338</v>
      </c>
      <c r="B1628" s="27" t="n">
        <v>528000273</v>
      </c>
      <c r="C1628" s="27" t="inlineStr">
        <is>
          <t>Asep Mulyana</t>
        </is>
      </c>
      <c r="D1628" s="171" t="n">
        <v>46222.41666666666</v>
      </c>
      <c r="E1628" s="26" t="n">
        <v>0.2487037037037037</v>
      </c>
      <c r="F1628" s="27" t="inlineStr">
        <is>
          <t>Shift 1</t>
        </is>
      </c>
      <c r="G1628" s="27" t="n"/>
    </row>
    <row r="1629" hidden="1" s="169">
      <c r="A1629" s="27" t="inlineStr">
        <is>
          <t>MK00212</t>
        </is>
      </c>
      <c r="B1629" s="27" t="n">
        <v>528000359</v>
      </c>
      <c r="C1629" s="27" t="inlineStr">
        <is>
          <t>M. Iqbal Maulana. S</t>
        </is>
      </c>
      <c r="D1629" s="171" t="n">
        <v>46222.41666666666</v>
      </c>
      <c r="E1629" s="26" t="n">
        <v>0.2493171296296296</v>
      </c>
      <c r="F1629" s="27" t="inlineStr">
        <is>
          <t>Shift 1</t>
        </is>
      </c>
      <c r="G1629" s="27" t="inlineStr">
        <is>
          <t>26E</t>
        </is>
      </c>
    </row>
    <row r="1630" hidden="1" s="169">
      <c r="A1630" s="27" t="inlineStr">
        <is>
          <t>MK00141</t>
        </is>
      </c>
      <c r="B1630" s="27" t="n">
        <v>528000310</v>
      </c>
      <c r="C1630" s="27" t="inlineStr">
        <is>
          <t>Fachrul Rozzi Suryana</t>
        </is>
      </c>
      <c r="D1630" s="171" t="n">
        <v>46222.41666666666</v>
      </c>
      <c r="E1630" s="26" t="n">
        <v>0.2534837962962963</v>
      </c>
      <c r="F1630" s="27" t="inlineStr">
        <is>
          <t>Shift 1</t>
        </is>
      </c>
      <c r="G1630" s="27" t="inlineStr">
        <is>
          <t>33B</t>
        </is>
      </c>
    </row>
    <row r="1631" hidden="1" s="169">
      <c r="A1631" s="27" t="inlineStr">
        <is>
          <t>MK00082</t>
        </is>
      </c>
      <c r="B1631" s="27" t="n">
        <v>528000351</v>
      </c>
      <c r="C1631" s="27" t="inlineStr">
        <is>
          <t>Mulyana</t>
        </is>
      </c>
      <c r="D1631" s="171" t="n">
        <v>46222.41666666666</v>
      </c>
      <c r="E1631" s="26" t="n">
        <v>0.3314583333333334</v>
      </c>
      <c r="F1631" s="27" t="inlineStr">
        <is>
          <t>Shift 1</t>
        </is>
      </c>
      <c r="G1631" s="27" t="n"/>
    </row>
    <row r="1632" hidden="1" s="169">
      <c r="A1632" s="27" t="inlineStr">
        <is>
          <t>MK00205</t>
        </is>
      </c>
      <c r="B1632" s="27" t="n">
        <v>528000348</v>
      </c>
      <c r="C1632" s="27" t="inlineStr">
        <is>
          <t>Saepuloh Ardiansah</t>
        </is>
      </c>
      <c r="D1632" s="171" t="n">
        <v>46222.41666666666</v>
      </c>
      <c r="E1632" s="26" t="n">
        <v>0.3605671296296296</v>
      </c>
      <c r="F1632" s="27" t="inlineStr">
        <is>
          <t>Shift 1</t>
        </is>
      </c>
      <c r="G1632" s="27" t="n"/>
    </row>
    <row r="1633" hidden="1" s="169">
      <c r="A1633" s="27" t="inlineStr">
        <is>
          <t>MK00235</t>
        </is>
      </c>
      <c r="B1633" s="27" t="n">
        <v>528000040</v>
      </c>
      <c r="C1633" s="27" t="inlineStr">
        <is>
          <t>Agus Suryaman</t>
        </is>
      </c>
      <c r="D1633" s="171" t="n">
        <v>46222.41666666666</v>
      </c>
      <c r="E1633" s="26" t="n">
        <v>0.3755439814814815</v>
      </c>
      <c r="F1633" s="27" t="inlineStr">
        <is>
          <t>Shift 1</t>
        </is>
      </c>
      <c r="G1633" s="27" t="n"/>
    </row>
    <row r="1634" hidden="1" s="169">
      <c r="A1634" s="27" t="inlineStr">
        <is>
          <t>MK0130</t>
        </is>
      </c>
      <c r="B1634" s="27" t="n">
        <v>528000149</v>
      </c>
      <c r="C1634" s="27" t="inlineStr">
        <is>
          <t>Tio Fernanda</t>
        </is>
      </c>
      <c r="D1634" s="171" t="n">
        <v>46222.41666666666</v>
      </c>
      <c r="E1634" s="26" t="n">
        <v>0.3807523148148148</v>
      </c>
      <c r="F1634" s="27" t="inlineStr">
        <is>
          <t>Shift 1</t>
        </is>
      </c>
      <c r="G1634" s="27" t="n"/>
    </row>
    <row r="1635" hidden="1" s="169">
      <c r="A1635" s="27" t="inlineStr">
        <is>
          <t>MK00055</t>
        </is>
      </c>
      <c r="B1635" s="27" t="n">
        <v>528000349</v>
      </c>
      <c r="C1635" s="27" t="inlineStr">
        <is>
          <t>Anas Abdul Fatah</t>
        </is>
      </c>
      <c r="D1635" s="171" t="n">
        <v>46222.41666666666</v>
      </c>
      <c r="E1635" s="26" t="n">
        <v>0.4046875</v>
      </c>
      <c r="F1635" s="27" t="inlineStr">
        <is>
          <t>Shift 1</t>
        </is>
      </c>
      <c r="G1635" s="27" t="n"/>
    </row>
    <row r="1636" hidden="1" s="169">
      <c r="A1636" s="27" t="inlineStr">
        <is>
          <t>MK00085</t>
        </is>
      </c>
      <c r="B1636" s="27" t="n">
        <v>528000336</v>
      </c>
      <c r="C1636" s="27" t="inlineStr">
        <is>
          <t>Ali Nurhanafi</t>
        </is>
      </c>
      <c r="D1636" s="171" t="n">
        <v>46222.41666666666</v>
      </c>
      <c r="E1636" s="26" t="n">
        <v>0.5410069444444444</v>
      </c>
      <c r="F1636" s="27" t="inlineStr">
        <is>
          <t>Shift 1</t>
        </is>
      </c>
      <c r="G1636" s="27" t="n"/>
    </row>
    <row r="1637" hidden="1" s="169">
      <c r="A1637" s="27" t="inlineStr">
        <is>
          <t>MK00217</t>
        </is>
      </c>
      <c r="B1637" s="27" t="n">
        <v>528000337</v>
      </c>
      <c r="C1637" s="27" t="inlineStr">
        <is>
          <t>Ahmad Zaldi Firdaus</t>
        </is>
      </c>
      <c r="D1637" s="171" t="n">
        <v>46222.41666666666</v>
      </c>
      <c r="E1637" s="26" t="n">
        <v>0.5411342592592593</v>
      </c>
      <c r="F1637" s="27" t="inlineStr">
        <is>
          <t>Shift 1</t>
        </is>
      </c>
      <c r="G1637" s="27" t="n"/>
    </row>
    <row r="1638" hidden="1" s="169">
      <c r="A1638" s="27" t="inlineStr">
        <is>
          <t>MK00218</t>
        </is>
      </c>
      <c r="B1638" s="27" t="n">
        <v>528000052</v>
      </c>
      <c r="C1638" s="27" t="inlineStr">
        <is>
          <t>Mustopa</t>
        </is>
      </c>
      <c r="D1638" s="171" t="n">
        <v>46222.41666666666</v>
      </c>
      <c r="E1638" s="26" t="n">
        <v>0.5593402777777777</v>
      </c>
      <c r="F1638" s="27" t="inlineStr">
        <is>
          <t>Shift 2</t>
        </is>
      </c>
      <c r="G1638" s="27" t="n"/>
    </row>
    <row r="1639" hidden="1" s="169">
      <c r="A1639" s="27" t="inlineStr">
        <is>
          <t>MK00184</t>
        </is>
      </c>
      <c r="B1639" s="27" t="n">
        <v>528000360</v>
      </c>
      <c r="C1639" s="27" t="inlineStr">
        <is>
          <t>Hendra Permana</t>
        </is>
      </c>
      <c r="D1639" s="171" t="n">
        <v>46222.41666666666</v>
      </c>
      <c r="E1639" s="26" t="n">
        <v>0.5602083333333333</v>
      </c>
      <c r="F1639" s="27" t="inlineStr">
        <is>
          <t>Shift 2</t>
        </is>
      </c>
      <c r="G1639" s="27" t="n"/>
    </row>
    <row r="1640" hidden="1" s="169">
      <c r="A1640" s="27" t="inlineStr">
        <is>
          <t>MK00220</t>
        </is>
      </c>
      <c r="B1640" s="27" t="n">
        <v>528000262</v>
      </c>
      <c r="C1640" s="27" t="inlineStr">
        <is>
          <t>Ndari Dwiwanti</t>
        </is>
      </c>
      <c r="D1640" s="171" t="n">
        <v>46222.41666666666</v>
      </c>
      <c r="E1640" s="26" t="n">
        <v>0.5666203703703704</v>
      </c>
      <c r="F1640" s="27" t="inlineStr">
        <is>
          <t>Shift 2</t>
        </is>
      </c>
      <c r="G1640" s="27" t="n"/>
    </row>
    <row r="1641" hidden="1" s="169">
      <c r="A1641" s="27" t="inlineStr">
        <is>
          <t>MK00192</t>
        </is>
      </c>
      <c r="B1641" s="27" t="n">
        <v>528000306</v>
      </c>
      <c r="C1641" s="27" t="inlineStr">
        <is>
          <t>Windy Olivia</t>
        </is>
      </c>
      <c r="D1641" s="171" t="n">
        <v>46222.41666666666</v>
      </c>
      <c r="E1641" s="26" t="n">
        <v>0.5676157407407407</v>
      </c>
      <c r="F1641" s="27" t="inlineStr">
        <is>
          <t>Shift 2</t>
        </is>
      </c>
      <c r="G1641" s="27" t="n"/>
    </row>
    <row r="1642" hidden="1" s="169">
      <c r="A1642" s="27" t="inlineStr">
        <is>
          <t>MK00116</t>
        </is>
      </c>
      <c r="B1642" s="27" t="n">
        <v>528000195</v>
      </c>
      <c r="C1642" s="27" t="inlineStr">
        <is>
          <t>Rahma Sariwati</t>
        </is>
      </c>
      <c r="D1642" s="171" t="n">
        <v>46222.41666666666</v>
      </c>
      <c r="E1642" s="26" t="n">
        <v>0.5721527777777777</v>
      </c>
      <c r="F1642" s="27" t="inlineStr">
        <is>
          <t>Shift 2</t>
        </is>
      </c>
      <c r="G1642" s="27" t="n"/>
    </row>
    <row r="1643" hidden="1" s="169">
      <c r="A1643" s="27" t="inlineStr">
        <is>
          <t>MK00150</t>
        </is>
      </c>
      <c r="B1643" s="27" t="n">
        <v>528000266</v>
      </c>
      <c r="C1643" s="27" t="inlineStr">
        <is>
          <t>M. Syirajatieq</t>
        </is>
      </c>
      <c r="D1643" s="171" t="n">
        <v>46222.41666666666</v>
      </c>
      <c r="E1643" s="26" t="n">
        <v>0.5724189814814815</v>
      </c>
      <c r="F1643" s="27" t="inlineStr">
        <is>
          <t>Shift 2</t>
        </is>
      </c>
      <c r="G1643" s="27" t="n"/>
    </row>
    <row r="1644" hidden="1" s="169">
      <c r="A1644" s="27" t="inlineStr">
        <is>
          <t>MK00095</t>
        </is>
      </c>
      <c r="B1644" s="27" t="n">
        <v>528000291</v>
      </c>
      <c r="C1644" s="27" t="inlineStr">
        <is>
          <t>Andrian</t>
        </is>
      </c>
      <c r="D1644" s="171" t="n">
        <v>46222.41666666666</v>
      </c>
      <c r="E1644" s="26" t="n">
        <v>0.5732754629629629</v>
      </c>
      <c r="F1644" s="27" t="inlineStr">
        <is>
          <t>Shift 2</t>
        </is>
      </c>
      <c r="G1644" s="27" t="n"/>
    </row>
    <row r="1645" hidden="1" s="169">
      <c r="A1645" s="27" t="inlineStr">
        <is>
          <t>MK00143</t>
        </is>
      </c>
      <c r="B1645" s="27" t="n">
        <v>528000283</v>
      </c>
      <c r="C1645" s="27" t="inlineStr">
        <is>
          <t>Purwanda Sugiri</t>
        </is>
      </c>
      <c r="D1645" s="171" t="n">
        <v>46222.41666666666</v>
      </c>
      <c r="E1645" s="26" t="n">
        <v>0.5735185185185185</v>
      </c>
      <c r="F1645" s="27" t="inlineStr">
        <is>
          <t>Shift 2</t>
        </is>
      </c>
      <c r="G1645" s="27" t="n"/>
    </row>
    <row r="1646" hidden="1" s="169">
      <c r="A1646" s="27" t="inlineStr">
        <is>
          <t>MK00125</t>
        </is>
      </c>
      <c r="B1646" s="27" t="n">
        <v>528000314</v>
      </c>
      <c r="C1646" s="27" t="inlineStr">
        <is>
          <t>Rusmana</t>
        </is>
      </c>
      <c r="D1646" s="171" t="n">
        <v>46222.41666666666</v>
      </c>
      <c r="E1646" s="26" t="n">
        <v>0.5800347222222222</v>
      </c>
      <c r="F1646" s="27" t="inlineStr">
        <is>
          <t>Shift 2</t>
        </is>
      </c>
      <c r="G1646" s="27" t="n"/>
    </row>
    <row r="1647" hidden="1" s="169">
      <c r="A1647" s="27" t="inlineStr">
        <is>
          <t>MK00210</t>
        </is>
      </c>
      <c r="B1647" s="27" t="n">
        <v>528000232</v>
      </c>
      <c r="C1647" s="27" t="inlineStr">
        <is>
          <t>Agung Aji Suhada</t>
        </is>
      </c>
      <c r="D1647" s="171" t="n">
        <v>46222.41666666666</v>
      </c>
      <c r="E1647" s="26" t="n">
        <v>0.6557523148148148</v>
      </c>
      <c r="F1647" s="27" t="inlineStr">
        <is>
          <t>Shift 2</t>
        </is>
      </c>
      <c r="G1647" s="27" t="n"/>
    </row>
    <row r="1648" hidden="1" s="169">
      <c r="A1648" s="27" t="inlineStr">
        <is>
          <t>MK00221</t>
        </is>
      </c>
      <c r="B1648" s="27" t="n">
        <v>528000144</v>
      </c>
      <c r="C1648" s="27" t="inlineStr">
        <is>
          <t>Jodi Hanafi</t>
        </is>
      </c>
      <c r="D1648" s="171" t="n">
        <v>46222.41666666666</v>
      </c>
      <c r="E1648" s="26" t="n">
        <v>0.6671412037037037</v>
      </c>
      <c r="F1648" s="27" t="inlineStr">
        <is>
          <t>Shift 2</t>
        </is>
      </c>
      <c r="G1648" s="27" t="n"/>
    </row>
    <row r="1649" hidden="1" s="169">
      <c r="A1649" s="27" t="inlineStr">
        <is>
          <t>MK00230</t>
        </is>
      </c>
      <c r="B1649" s="27" t="n">
        <v>528000340</v>
      </c>
      <c r="C1649" s="27" t="inlineStr">
        <is>
          <t>Muhammad Wildan Adithya</t>
        </is>
      </c>
      <c r="D1649" s="171" t="n">
        <v>46222.41666666666</v>
      </c>
      <c r="E1649" s="26" t="n">
        <v>0.7292013888888889</v>
      </c>
      <c r="F1649" s="27" t="inlineStr">
        <is>
          <t>Shift 2</t>
        </is>
      </c>
      <c r="G1649" s="27" t="n"/>
    </row>
    <row r="1650" hidden="1" s="169">
      <c r="A1650" s="27" t="inlineStr">
        <is>
          <t>MK00185</t>
        </is>
      </c>
      <c r="B1650" s="27" t="n">
        <v>528000300</v>
      </c>
      <c r="C1650" s="27" t="inlineStr">
        <is>
          <t>Lia pitaloka</t>
        </is>
      </c>
      <c r="D1650" s="171" t="n">
        <v>46222.41666666666</v>
      </c>
      <c r="E1650" s="26" t="n">
        <v>0.9044791666666666</v>
      </c>
      <c r="F1650" s="27" t="inlineStr">
        <is>
          <t>Shift 3</t>
        </is>
      </c>
      <c r="G1650" s="27" t="n"/>
    </row>
    <row r="1651" hidden="1" s="169">
      <c r="A1651" s="27" t="inlineStr">
        <is>
          <t>MK00108</t>
        </is>
      </c>
      <c r="B1651" s="27" t="n">
        <v>528000323</v>
      </c>
      <c r="C1651" s="27" t="inlineStr">
        <is>
          <t>Dian Hamidah</t>
        </is>
      </c>
      <c r="D1651" s="171" t="n">
        <v>46222.41666666666</v>
      </c>
      <c r="E1651" s="26" t="n">
        <v>0.9047222222222222</v>
      </c>
      <c r="F1651" s="27" t="inlineStr">
        <is>
          <t>Shift 3</t>
        </is>
      </c>
      <c r="G1651" s="27" t="n"/>
    </row>
    <row r="1652" hidden="1" s="169">
      <c r="A1652" s="27" t="inlineStr">
        <is>
          <t>MK00082</t>
        </is>
      </c>
      <c r="B1652" s="27" t="n">
        <v>528000279</v>
      </c>
      <c r="C1652" s="27" t="inlineStr">
        <is>
          <t>Mahdalena Dalfa Riani</t>
        </is>
      </c>
      <c r="D1652" s="171" t="n">
        <v>46222.41666666666</v>
      </c>
      <c r="E1652" s="26" t="n">
        <v>0.905150462962963</v>
      </c>
      <c r="F1652" s="27" t="inlineStr">
        <is>
          <t>Shift 3</t>
        </is>
      </c>
      <c r="G1652" s="27" t="n"/>
    </row>
    <row r="1653" hidden="1" s="169">
      <c r="A1653" s="27" t="inlineStr">
        <is>
          <t>MK00208</t>
        </is>
      </c>
      <c r="B1653" s="27" t="n">
        <v>528000297</v>
      </c>
      <c r="C1653" s="27" t="inlineStr">
        <is>
          <t>Muhamad Budiana</t>
        </is>
      </c>
      <c r="D1653" s="171" t="n">
        <v>46222.41666666666</v>
      </c>
      <c r="E1653" s="26" t="n">
        <v>0.9085532407407407</v>
      </c>
      <c r="F1653" s="27" t="inlineStr">
        <is>
          <t>Shift 3</t>
        </is>
      </c>
      <c r="G1653" s="27" t="n"/>
    </row>
    <row r="1654" hidden="1" s="169">
      <c r="A1654" s="27" t="inlineStr">
        <is>
          <t>MK00156</t>
        </is>
      </c>
      <c r="B1654" s="27" t="n">
        <v>528000248</v>
      </c>
      <c r="C1654" s="27" t="inlineStr">
        <is>
          <t>Roka Jaya Salka Mulya</t>
        </is>
      </c>
      <c r="D1654" s="171" t="n">
        <v>46222.41666666666</v>
      </c>
      <c r="E1654" s="26" t="n">
        <v>0.9094907407407408</v>
      </c>
      <c r="F1654" s="27" t="inlineStr">
        <is>
          <t>Shift 3</t>
        </is>
      </c>
      <c r="G1654" s="27" t="n"/>
    </row>
    <row r="1655" hidden="1" s="169">
      <c r="A1655" s="27" t="inlineStr">
        <is>
          <t>MK00212</t>
        </is>
      </c>
      <c r="B1655" s="27" t="n">
        <v>528000334</v>
      </c>
      <c r="C1655" s="27" t="inlineStr">
        <is>
          <t>Naufal Yudhistira</t>
        </is>
      </c>
      <c r="D1655" s="171" t="n">
        <v>46222.41666666666</v>
      </c>
      <c r="E1655" s="26" t="n">
        <v>0.9103356481481482</v>
      </c>
      <c r="F1655" s="27" t="inlineStr">
        <is>
          <t>Shift 3</t>
        </is>
      </c>
      <c r="G1655" s="27" t="n"/>
    </row>
    <row r="1656" hidden="1" s="169">
      <c r="A1656" s="27" t="inlineStr">
        <is>
          <t>MK00113</t>
        </is>
      </c>
      <c r="B1656" s="27" t="n">
        <v>628000064</v>
      </c>
      <c r="C1656" s="27" t="inlineStr">
        <is>
          <t>Silva Alypia</t>
        </is>
      </c>
      <c r="D1656" s="171" t="n">
        <v>46222.41666666666</v>
      </c>
      <c r="E1656" s="26" t="n">
        <v>0.9116319444444444</v>
      </c>
      <c r="F1656" s="27" t="inlineStr">
        <is>
          <t>Shift 3</t>
        </is>
      </c>
      <c r="G1656" s="27" t="n"/>
    </row>
    <row r="1657" hidden="1" s="169">
      <c r="A1657" s="27" t="inlineStr">
        <is>
          <t>MK00204</t>
        </is>
      </c>
      <c r="B1657" s="27" t="n">
        <v>528000335</v>
      </c>
      <c r="C1657" s="27" t="inlineStr">
        <is>
          <t>Rizal Saepuloh</t>
        </is>
      </c>
      <c r="D1657" s="171" t="n">
        <v>46222.41666666666</v>
      </c>
      <c r="E1657" s="26" t="n">
        <v>0.9906481481481482</v>
      </c>
      <c r="F1657" s="27" t="inlineStr">
        <is>
          <t>Shift 3</t>
        </is>
      </c>
      <c r="G1657" s="27" t="n"/>
    </row>
    <row r="1658" hidden="1" s="169">
      <c r="A1658" s="27" t="inlineStr">
        <is>
          <t>MK00235</t>
        </is>
      </c>
      <c r="B1658" s="27" t="n">
        <v>528000339</v>
      </c>
      <c r="C1658" s="27" t="inlineStr">
        <is>
          <t>Muhamad Ripai'i</t>
        </is>
      </c>
      <c r="D1658" s="171" t="n">
        <v>46223.41666666666</v>
      </c>
      <c r="E1658" s="26" t="n">
        <v>0.2317824074074074</v>
      </c>
      <c r="F1658" s="27" t="inlineStr">
        <is>
          <t>Shift 1</t>
        </is>
      </c>
      <c r="G1658" s="27" t="n"/>
    </row>
    <row r="1659" hidden="1" s="169">
      <c r="A1659" s="27" t="inlineStr">
        <is>
          <t>MK00180</t>
        </is>
      </c>
      <c r="B1659" s="27" t="n">
        <v>528000273</v>
      </c>
      <c r="C1659" s="27" t="inlineStr">
        <is>
          <t>Asep Mulyana</t>
        </is>
      </c>
      <c r="D1659" s="171" t="n">
        <v>46223.41666666666</v>
      </c>
      <c r="E1659" s="26" t="n">
        <v>0.2366203703703704</v>
      </c>
      <c r="F1659" s="27" t="inlineStr">
        <is>
          <t>Shift 1</t>
        </is>
      </c>
      <c r="G1659" s="27" t="n"/>
    </row>
    <row r="1660" hidden="1" s="169">
      <c r="A1660" s="27" t="inlineStr">
        <is>
          <t>MK00150</t>
        </is>
      </c>
      <c r="B1660" s="27" t="n">
        <v>528000289</v>
      </c>
      <c r="C1660" s="27" t="inlineStr">
        <is>
          <t>Adit Supriyadi</t>
        </is>
      </c>
      <c r="D1660" s="171" t="n">
        <v>46223.41666666666</v>
      </c>
      <c r="E1660" s="26" t="n">
        <v>0.2371064814814815</v>
      </c>
      <c r="F1660" s="27" t="inlineStr">
        <is>
          <t>Shift 1</t>
        </is>
      </c>
      <c r="G1660" s="27" t="n"/>
    </row>
    <row r="1661" hidden="1" s="169">
      <c r="A1661" s="27" t="inlineStr">
        <is>
          <t>MK00184</t>
        </is>
      </c>
      <c r="B1661" s="27" t="n">
        <v>528000286</v>
      </c>
      <c r="C1661" s="27" t="inlineStr">
        <is>
          <t>Imelda Amelia</t>
        </is>
      </c>
      <c r="D1661" s="171" t="n">
        <v>46223.41666666666</v>
      </c>
      <c r="E1661" s="26" t="n">
        <v>0.2402546296296296</v>
      </c>
      <c r="F1661" s="27" t="inlineStr">
        <is>
          <t>Shift 1</t>
        </is>
      </c>
      <c r="G1661" s="27" t="n"/>
    </row>
    <row r="1662" hidden="1" s="169">
      <c r="A1662" s="27" t="inlineStr">
        <is>
          <t>MK00217</t>
        </is>
      </c>
      <c r="B1662" s="27" t="n">
        <v>528000201</v>
      </c>
      <c r="C1662" s="27" t="inlineStr">
        <is>
          <t>Zahwa Amelia Choerunissa</t>
        </is>
      </c>
      <c r="D1662" s="171" t="n">
        <v>46223.41666666666</v>
      </c>
      <c r="E1662" s="26" t="n">
        <v>0.2438425925925926</v>
      </c>
      <c r="F1662" s="27" t="inlineStr">
        <is>
          <t>Shift 1</t>
        </is>
      </c>
      <c r="G1662" s="27" t="n"/>
    </row>
    <row r="1663" hidden="1" s="169">
      <c r="A1663" s="27" t="inlineStr">
        <is>
          <t>MK00218</t>
        </is>
      </c>
      <c r="B1663" s="27" t="n">
        <v>528000241</v>
      </c>
      <c r="C1663" s="27" t="inlineStr">
        <is>
          <t>Balia Nurafif Bilah</t>
        </is>
      </c>
      <c r="D1663" s="171" t="n">
        <v>46223.41666666666</v>
      </c>
      <c r="E1663" s="26" t="n">
        <v>0.2443981481481481</v>
      </c>
      <c r="F1663" s="27" t="inlineStr">
        <is>
          <t>Shift 1</t>
        </is>
      </c>
      <c r="G1663" s="27" t="n"/>
    </row>
    <row r="1664" hidden="1" s="169">
      <c r="A1664" s="27" t="inlineStr">
        <is>
          <t>MK00145</t>
        </is>
      </c>
      <c r="B1664" s="27" t="n">
        <v>528000099</v>
      </c>
      <c r="C1664" s="27" t="inlineStr">
        <is>
          <t>Siti Nurawaliah</t>
        </is>
      </c>
      <c r="D1664" s="171" t="n">
        <v>46223.41666666666</v>
      </c>
      <c r="E1664" s="26" t="n">
        <v>0.2447569444444445</v>
      </c>
      <c r="F1664" s="27" t="inlineStr">
        <is>
          <t>Shift 1</t>
        </is>
      </c>
      <c r="G1664" s="27" t="n"/>
    </row>
    <row r="1665" hidden="1" s="169">
      <c r="A1665" s="27" t="inlineStr">
        <is>
          <t>MK00121</t>
        </is>
      </c>
      <c r="B1665" s="27" t="n">
        <v>528000228</v>
      </c>
      <c r="C1665" s="27" t="inlineStr">
        <is>
          <t>Banyu Resmi Putri</t>
        </is>
      </c>
      <c r="D1665" s="171" t="n">
        <v>46223.41666666666</v>
      </c>
      <c r="E1665" s="26" t="n">
        <v>0.2454282407407407</v>
      </c>
      <c r="F1665" s="27" t="inlineStr">
        <is>
          <t>Shift 1</t>
        </is>
      </c>
      <c r="G1665" s="27" t="n"/>
    </row>
    <row r="1666" hidden="1" s="169">
      <c r="A1666" s="27" t="inlineStr">
        <is>
          <t>MK00095</t>
        </is>
      </c>
      <c r="B1666" s="27" t="n">
        <v>528000244</v>
      </c>
      <c r="C1666" s="27" t="inlineStr">
        <is>
          <t>Rodian Rifai</t>
        </is>
      </c>
      <c r="D1666" s="171" t="n">
        <v>46223.41666666666</v>
      </c>
      <c r="E1666" s="26" t="n">
        <v>0.2458912037037037</v>
      </c>
      <c r="F1666" s="27" t="inlineStr">
        <is>
          <t>Shift 1</t>
        </is>
      </c>
      <c r="G1666" s="27" t="n"/>
    </row>
    <row r="1667" hidden="1" s="169">
      <c r="A1667" s="27" t="inlineStr">
        <is>
          <t>MK000136</t>
        </is>
      </c>
      <c r="B1667" s="27" t="n">
        <v>528000274</v>
      </c>
      <c r="C1667" s="27" t="inlineStr">
        <is>
          <t>Zepri</t>
        </is>
      </c>
      <c r="D1667" s="171" t="n">
        <v>46223.41666666666</v>
      </c>
      <c r="E1667" s="26" t="n">
        <v>0.2476157407407407</v>
      </c>
      <c r="F1667" s="27" t="inlineStr">
        <is>
          <t>Shift 1</t>
        </is>
      </c>
      <c r="G1667" s="27" t="n"/>
    </row>
    <row r="1668" hidden="1" s="169">
      <c r="A1668" s="27" t="inlineStr">
        <is>
          <t>MK00141</t>
        </is>
      </c>
      <c r="B1668" s="27" t="n">
        <v>528000290</v>
      </c>
      <c r="C1668" s="27" t="inlineStr">
        <is>
          <t>Eval Pranata</t>
        </is>
      </c>
      <c r="D1668" s="171" t="n">
        <v>46223.41666666666</v>
      </c>
      <c r="E1668" s="26" t="n">
        <v>0.248599537037037</v>
      </c>
      <c r="F1668" s="27" t="inlineStr">
        <is>
          <t>Shift 1</t>
        </is>
      </c>
      <c r="G1668" s="27" t="n"/>
    </row>
    <row r="1669" hidden="1" s="169">
      <c r="A1669" s="27" t="inlineStr">
        <is>
          <t>MK00116</t>
        </is>
      </c>
      <c r="B1669" s="27" t="n">
        <v>528000212</v>
      </c>
      <c r="C1669" s="27" t="inlineStr">
        <is>
          <t>Rizal Fauzi</t>
        </is>
      </c>
      <c r="D1669" s="171" t="n">
        <v>46223.41666666666</v>
      </c>
      <c r="E1669" s="26" t="n">
        <v>0.2496064814814815</v>
      </c>
      <c r="F1669" s="27" t="inlineStr">
        <is>
          <t>Shift 1</t>
        </is>
      </c>
      <c r="G1669" s="27" t="n"/>
    </row>
    <row r="1670" hidden="1" s="169">
      <c r="A1670" s="27" t="inlineStr">
        <is>
          <t>MK00181</t>
        </is>
      </c>
      <c r="B1670" s="27" t="n">
        <v>528000090</v>
      </c>
      <c r="C1670" s="27" t="inlineStr">
        <is>
          <t>Suganda</t>
        </is>
      </c>
      <c r="D1670" s="171" t="n">
        <v>46223.41666666666</v>
      </c>
      <c r="E1670" s="26" t="n">
        <v>0.2511111111111111</v>
      </c>
      <c r="F1670" s="27" t="inlineStr">
        <is>
          <t>Shift 1</t>
        </is>
      </c>
      <c r="G1670" s="27" t="n"/>
    </row>
    <row r="1671" hidden="1" s="169">
      <c r="A1671" s="27" t="inlineStr">
        <is>
          <t>MK00154</t>
        </is>
      </c>
      <c r="B1671" s="27" t="n">
        <v>528000069</v>
      </c>
      <c r="C1671" s="27" t="inlineStr">
        <is>
          <t>Jajang Ardiansyah</t>
        </is>
      </c>
      <c r="D1671" s="171" t="n">
        <v>46223.41666666666</v>
      </c>
      <c r="E1671" s="26" t="n">
        <v>0.2823263888888889</v>
      </c>
      <c r="F1671" s="27" t="inlineStr">
        <is>
          <t>Shift 1</t>
        </is>
      </c>
      <c r="G1671" s="27" t="n"/>
    </row>
    <row r="1672" hidden="1" s="169">
      <c r="A1672" s="27" t="inlineStr">
        <is>
          <t>MK00108</t>
        </is>
      </c>
      <c r="B1672" s="27" t="n">
        <v>528000282</v>
      </c>
      <c r="C1672" s="27" t="inlineStr">
        <is>
          <t>Defa Desfiana</t>
        </is>
      </c>
      <c r="D1672" s="171" t="n">
        <v>46223.41666666666</v>
      </c>
      <c r="E1672" s="26" t="n">
        <v>0.3202546296296296</v>
      </c>
      <c r="F1672" s="27" t="inlineStr">
        <is>
          <t>Shift 1</t>
        </is>
      </c>
      <c r="G1672" s="27" t="inlineStr">
        <is>
          <t>32c</t>
        </is>
      </c>
    </row>
    <row r="1673" hidden="1" s="169">
      <c r="A1673" s="27" t="inlineStr">
        <is>
          <t>MK00090</t>
        </is>
      </c>
      <c r="B1673" s="27" t="n">
        <v>528000265</v>
      </c>
      <c r="C1673" s="27" t="inlineStr">
        <is>
          <t>Muhammad Haerul Rozikin</t>
        </is>
      </c>
      <c r="D1673" s="171" t="n">
        <v>46223.41666666666</v>
      </c>
      <c r="E1673" s="26" t="n">
        <v>0.3226620370370371</v>
      </c>
      <c r="F1673" s="27" t="inlineStr">
        <is>
          <t>Shift 1</t>
        </is>
      </c>
      <c r="G1673" s="27" t="n"/>
    </row>
    <row r="1674" hidden="1" s="169">
      <c r="A1674" s="27" t="inlineStr">
        <is>
          <t>MK00185</t>
        </is>
      </c>
      <c r="B1674" s="27" t="n">
        <v>528000351</v>
      </c>
      <c r="C1674" s="27" t="inlineStr">
        <is>
          <t>Mulyana</t>
        </is>
      </c>
      <c r="D1674" s="171" t="n">
        <v>46223.41666666666</v>
      </c>
      <c r="E1674" s="26" t="n">
        <v>0.3281944444444445</v>
      </c>
      <c r="F1674" s="27" t="inlineStr">
        <is>
          <t>Shift 1</t>
        </is>
      </c>
      <c r="G1674" s="27" t="n"/>
    </row>
    <row r="1675" hidden="1" s="169">
      <c r="A1675" s="27" t="inlineStr">
        <is>
          <t>MK00055</t>
        </is>
      </c>
      <c r="B1675" s="27" t="n">
        <v>528000310</v>
      </c>
      <c r="C1675" s="27" t="inlineStr">
        <is>
          <t>Fachrul Rozzi Suryana</t>
        </is>
      </c>
      <c r="D1675" s="171" t="n">
        <v>46223.41666666666</v>
      </c>
      <c r="E1675" s="26" t="n">
        <v>0.3299768518518518</v>
      </c>
      <c r="F1675" s="27" t="inlineStr">
        <is>
          <t>Shift 1</t>
        </is>
      </c>
      <c r="G1675" s="27" t="inlineStr">
        <is>
          <t>10D</t>
        </is>
      </c>
    </row>
    <row r="1676" hidden="1" s="169">
      <c r="A1676" s="27" t="inlineStr">
        <is>
          <t>MK00156</t>
        </is>
      </c>
      <c r="B1676" s="27" t="n">
        <v>528000040</v>
      </c>
      <c r="C1676" s="27" t="inlineStr">
        <is>
          <t>Agus Suryaman</t>
        </is>
      </c>
      <c r="D1676" s="171" t="n">
        <v>46223.41666666666</v>
      </c>
      <c r="E1676" s="26" t="n">
        <v>0.3489930555555555</v>
      </c>
      <c r="F1676" s="27" t="inlineStr">
        <is>
          <t>Shift 1</t>
        </is>
      </c>
      <c r="G1676" s="27" t="n"/>
    </row>
    <row r="1677" hidden="1" s="169">
      <c r="A1677" s="27" t="inlineStr">
        <is>
          <t>MK00160</t>
        </is>
      </c>
      <c r="B1677" s="27" t="n">
        <v>528000349</v>
      </c>
      <c r="C1677" s="27" t="inlineStr">
        <is>
          <t>Anas Abdul Fatah</t>
        </is>
      </c>
      <c r="D1677" s="171" t="n">
        <v>46223.41666666666</v>
      </c>
      <c r="E1677" s="26" t="n">
        <v>0.4053703703703704</v>
      </c>
      <c r="F1677" s="27" t="inlineStr">
        <is>
          <t>Shift 1</t>
        </is>
      </c>
      <c r="G1677" s="27" t="n"/>
    </row>
    <row r="1678" hidden="1" s="169">
      <c r="A1678" s="27" t="inlineStr">
        <is>
          <t>MK00085</t>
        </is>
      </c>
      <c r="B1678" s="27" t="n">
        <v>528000336</v>
      </c>
      <c r="C1678" s="27" t="inlineStr">
        <is>
          <t>Ali Nurhanafi</t>
        </is>
      </c>
      <c r="D1678" s="171" t="n">
        <v>46223.41666666666</v>
      </c>
      <c r="E1678" s="26" t="n">
        <v>0.5398379629629629</v>
      </c>
      <c r="F1678" s="27" t="inlineStr">
        <is>
          <t>Shift 1</t>
        </is>
      </c>
      <c r="G1678" s="27" t="n"/>
    </row>
    <row r="1679" hidden="1" s="169">
      <c r="A1679" s="27" t="inlineStr">
        <is>
          <t>MK00202</t>
        </is>
      </c>
      <c r="B1679" s="27" t="n">
        <v>528000337</v>
      </c>
      <c r="C1679" s="27" t="inlineStr">
        <is>
          <t>Ahmad Zaldi Firdaus</t>
        </is>
      </c>
      <c r="D1679" s="171" t="n">
        <v>46223.41666666666</v>
      </c>
      <c r="E1679" s="26" t="n">
        <v>0.5399305555555556</v>
      </c>
      <c r="F1679" s="27" t="inlineStr">
        <is>
          <t>Shift 1</t>
        </is>
      </c>
      <c r="G1679" s="27" t="n"/>
    </row>
    <row r="1680" hidden="1" s="169">
      <c r="A1680" s="27" t="inlineStr">
        <is>
          <t>MK00008</t>
        </is>
      </c>
      <c r="B1680" s="27" t="n">
        <v>528000052</v>
      </c>
      <c r="C1680" s="27" t="inlineStr">
        <is>
          <t>Mustopa</t>
        </is>
      </c>
      <c r="D1680" s="171" t="n">
        <v>46223.41666666666</v>
      </c>
      <c r="E1680" s="26" t="n">
        <v>0.5430555555555555</v>
      </c>
      <c r="F1680" s="27" t="inlineStr">
        <is>
          <t>Shift 2</t>
        </is>
      </c>
      <c r="G1680" s="27" t="n"/>
    </row>
    <row r="1681" hidden="1" s="169">
      <c r="A1681" s="27" t="inlineStr">
        <is>
          <t>MKOO138</t>
        </is>
      </c>
      <c r="B1681" s="27" t="n">
        <v>528000332</v>
      </c>
      <c r="C1681" s="27" t="inlineStr">
        <is>
          <t>Ena Indriani</t>
        </is>
      </c>
      <c r="D1681" s="171" t="n">
        <v>46223.41666666666</v>
      </c>
      <c r="E1681" s="26" t="n">
        <v>0.5608796296296297</v>
      </c>
      <c r="F1681" s="27" t="inlineStr">
        <is>
          <t>Shift 2</t>
        </is>
      </c>
      <c r="G1681" s="27" t="n"/>
    </row>
    <row r="1682" hidden="1" s="169">
      <c r="A1682" s="27" t="inlineStr">
        <is>
          <t>MK00213</t>
        </is>
      </c>
      <c r="B1682" s="27" t="n">
        <v>528000328</v>
      </c>
      <c r="C1682" s="27" t="inlineStr">
        <is>
          <t>Nur Anjani</t>
        </is>
      </c>
      <c r="D1682" s="171" t="n">
        <v>46223.41666666666</v>
      </c>
      <c r="E1682" s="26" t="n">
        <v>0.5673495370370371</v>
      </c>
      <c r="F1682" s="27" t="inlineStr">
        <is>
          <t>Shift 2</t>
        </is>
      </c>
      <c r="G1682" s="27" t="n"/>
    </row>
    <row r="1683" hidden="1" s="169">
      <c r="A1683" s="27" t="inlineStr">
        <is>
          <t>MK00212</t>
        </is>
      </c>
      <c r="B1683" s="27" t="n">
        <v>528000266</v>
      </c>
      <c r="C1683" s="27" t="inlineStr">
        <is>
          <t>M. Syirajatieq</t>
        </is>
      </c>
      <c r="D1683" s="171" t="n">
        <v>46223.41666666666</v>
      </c>
      <c r="E1683" s="26" t="n">
        <v>0.5698726851851852</v>
      </c>
      <c r="F1683" s="27" t="inlineStr">
        <is>
          <t>Shift 2</t>
        </is>
      </c>
      <c r="G1683" s="27" t="n"/>
    </row>
    <row r="1684" hidden="1" s="169">
      <c r="A1684" s="27" t="inlineStr">
        <is>
          <t>MK00220</t>
        </is>
      </c>
      <c r="B1684" s="27" t="n">
        <v>528000262</v>
      </c>
      <c r="C1684" s="27" t="inlineStr">
        <is>
          <t>Ndari Dwiwanti</t>
        </is>
      </c>
      <c r="D1684" s="171" t="n">
        <v>46223.41666666666</v>
      </c>
      <c r="E1684" s="26" t="n">
        <v>0.5712268518518518</v>
      </c>
      <c r="F1684" s="27" t="inlineStr">
        <is>
          <t>Shift 2</t>
        </is>
      </c>
      <c r="G1684" s="27" t="n"/>
    </row>
    <row r="1685" hidden="1" s="169">
      <c r="A1685" s="27" t="inlineStr">
        <is>
          <t>MK00143</t>
        </is>
      </c>
      <c r="B1685" s="27" t="n">
        <v>528000358</v>
      </c>
      <c r="C1685" s="27" t="inlineStr">
        <is>
          <t>Lulu Agustin</t>
        </is>
      </c>
      <c r="D1685" s="171" t="n">
        <v>46223.41666666666</v>
      </c>
      <c r="E1685" s="26" t="n">
        <v>0.5721875</v>
      </c>
      <c r="F1685" s="27" t="inlineStr">
        <is>
          <t>Shift 2</t>
        </is>
      </c>
      <c r="G1685" s="27" t="n"/>
    </row>
    <row r="1686" hidden="1" s="169">
      <c r="A1686" s="27" t="inlineStr">
        <is>
          <t>MK00093</t>
        </is>
      </c>
      <c r="B1686" s="27" t="n">
        <v>528000283</v>
      </c>
      <c r="C1686" s="27" t="inlineStr">
        <is>
          <t>Purwanda Sugiri</t>
        </is>
      </c>
      <c r="D1686" s="171" t="n">
        <v>46223.41666666666</v>
      </c>
      <c r="E1686" s="26" t="n">
        <v>0.572962962962963</v>
      </c>
      <c r="F1686" s="27" t="inlineStr">
        <is>
          <t>Shift 2</t>
        </is>
      </c>
      <c r="G1686" s="27" t="n"/>
    </row>
    <row r="1687" hidden="1" s="169">
      <c r="A1687" s="27" t="inlineStr">
        <is>
          <t>MK00230</t>
        </is>
      </c>
      <c r="B1687" s="27" t="n">
        <v>528000306</v>
      </c>
      <c r="C1687" s="27" t="inlineStr">
        <is>
          <t>Windy Olivia</t>
        </is>
      </c>
      <c r="D1687" s="171" t="n">
        <v>46223.41666666666</v>
      </c>
      <c r="E1687" s="26" t="n">
        <v>0.5737152777777778</v>
      </c>
      <c r="F1687" s="27" t="inlineStr">
        <is>
          <t>Shift 2</t>
        </is>
      </c>
      <c r="G1687" s="27" t="n"/>
    </row>
    <row r="1688" hidden="1" s="169">
      <c r="A1688" s="27" t="inlineStr">
        <is>
          <t>MK00250</t>
        </is>
      </c>
      <c r="B1688" s="27" t="n">
        <v>528000291</v>
      </c>
      <c r="C1688" s="27" t="inlineStr">
        <is>
          <t>Andrian</t>
        </is>
      </c>
      <c r="D1688" s="171" t="n">
        <v>46223.41666666666</v>
      </c>
      <c r="E1688" s="26" t="n">
        <v>0.5744444444444444</v>
      </c>
      <c r="F1688" s="27" t="inlineStr">
        <is>
          <t>Shift 2</t>
        </is>
      </c>
      <c r="G1688" s="27" t="n"/>
    </row>
    <row r="1689" hidden="1" s="169">
      <c r="A1689" s="27" t="inlineStr">
        <is>
          <t>MK00112</t>
        </is>
      </c>
      <c r="B1689" s="27" t="n">
        <v>528000261</v>
      </c>
      <c r="C1689" s="27" t="inlineStr">
        <is>
          <t>Ergi Ergianto</t>
        </is>
      </c>
      <c r="D1689" s="171" t="n">
        <v>46223.41666666666</v>
      </c>
      <c r="E1689" s="26" t="n">
        <v>0.5747453703703703</v>
      </c>
      <c r="F1689" s="27" t="inlineStr">
        <is>
          <t>Shift 2</t>
        </is>
      </c>
      <c r="G1689" s="27" t="n"/>
    </row>
    <row r="1690" hidden="1" s="169">
      <c r="A1690" s="27" t="inlineStr">
        <is>
          <t>MK00218</t>
        </is>
      </c>
      <c r="B1690" s="27" t="n">
        <v>528000340</v>
      </c>
      <c r="C1690" s="27" t="inlineStr">
        <is>
          <t>Muhammad Wildan Adithya</t>
        </is>
      </c>
      <c r="D1690" s="171" t="n">
        <v>46223.41666666666</v>
      </c>
      <c r="E1690" s="26" t="n">
        <v>0.6016203703703704</v>
      </c>
      <c r="F1690" s="27" t="inlineStr">
        <is>
          <t>Shift 2</t>
        </is>
      </c>
      <c r="G1690" s="27" t="n"/>
    </row>
    <row r="1691" hidden="1" s="169">
      <c r="A1691" s="27" t="inlineStr">
        <is>
          <t>MK00210</t>
        </is>
      </c>
      <c r="B1691" s="27" t="n">
        <v>528000232</v>
      </c>
      <c r="C1691" s="27" t="inlineStr">
        <is>
          <t>Agung Aji Suhada</t>
        </is>
      </c>
      <c r="D1691" s="171" t="n">
        <v>46223.41666666666</v>
      </c>
      <c r="E1691" s="26" t="n">
        <v>0.6464583333333334</v>
      </c>
      <c r="F1691" s="27" t="inlineStr">
        <is>
          <t>Shift 2</t>
        </is>
      </c>
      <c r="G1691" s="27" t="n"/>
    </row>
    <row r="1692" hidden="1" s="169">
      <c r="A1692" s="27" t="inlineStr">
        <is>
          <t>MK00122</t>
        </is>
      </c>
      <c r="B1692" s="27" t="n">
        <v>528000144</v>
      </c>
      <c r="C1692" s="27" t="inlineStr">
        <is>
          <t>Jodi Hanafi</t>
        </is>
      </c>
      <c r="D1692" s="171" t="n">
        <v>46223.41666666666</v>
      </c>
      <c r="E1692" s="26" t="n">
        <v>0.6554282407407407</v>
      </c>
      <c r="F1692" s="27" t="inlineStr">
        <is>
          <t>Shift 2</t>
        </is>
      </c>
      <c r="G1692" s="27" t="n"/>
    </row>
    <row r="1693" hidden="1" s="169">
      <c r="A1693" s="27" t="inlineStr">
        <is>
          <t>MK00204</t>
        </is>
      </c>
      <c r="B1693" s="27" t="n">
        <v>528000335</v>
      </c>
      <c r="C1693" s="27" t="inlineStr">
        <is>
          <t>Rizal Saepuloh</t>
        </is>
      </c>
      <c r="D1693" s="171" t="n">
        <v>46223.41666666666</v>
      </c>
      <c r="E1693" s="26" t="n">
        <v>0.6628935185185185</v>
      </c>
      <c r="F1693" s="27" t="inlineStr">
        <is>
          <t>Shift 2</t>
        </is>
      </c>
      <c r="G1693" s="27" t="n"/>
    </row>
    <row r="1694" hidden="1" s="169">
      <c r="A1694" s="27" t="inlineStr">
        <is>
          <t>MK00235</t>
        </is>
      </c>
      <c r="B1694" s="27" t="n">
        <v>528000324</v>
      </c>
      <c r="C1694" s="27" t="inlineStr">
        <is>
          <t>Sri Yanti</t>
        </is>
      </c>
      <c r="D1694" s="171" t="n">
        <v>46223.41666666666</v>
      </c>
      <c r="E1694" s="26" t="n">
        <v>0.8888425925925926</v>
      </c>
      <c r="F1694" s="27" t="inlineStr">
        <is>
          <t>Shift 3</t>
        </is>
      </c>
      <c r="G1694" s="27" t="n"/>
    </row>
    <row r="1695" hidden="1" s="169">
      <c r="A1695" s="27" t="inlineStr">
        <is>
          <t>MK00082</t>
        </is>
      </c>
      <c r="B1695" s="27" t="n">
        <v>528000297</v>
      </c>
      <c r="C1695" s="27" t="inlineStr">
        <is>
          <t>Muhamad Budiana</t>
        </is>
      </c>
      <c r="D1695" s="171" t="n">
        <v>46223.41666666666</v>
      </c>
      <c r="E1695" s="26" t="n">
        <v>0.9040856481481482</v>
      </c>
      <c r="F1695" s="27" t="inlineStr">
        <is>
          <t>Shift 3</t>
        </is>
      </c>
      <c r="G1695" s="27" t="n"/>
    </row>
    <row r="1696" hidden="1" s="169">
      <c r="A1696" s="27" t="inlineStr">
        <is>
          <t>MK00154</t>
        </is>
      </c>
      <c r="B1696" s="27" t="n">
        <v>528000300</v>
      </c>
      <c r="C1696" s="27" t="inlineStr">
        <is>
          <t>Lia pitaloka</t>
        </is>
      </c>
      <c r="D1696" s="171" t="n">
        <v>46223.41666666666</v>
      </c>
      <c r="E1696" s="26" t="n">
        <v>0.9055092592592593</v>
      </c>
      <c r="F1696" s="27" t="inlineStr">
        <is>
          <t>Shift 3</t>
        </is>
      </c>
      <c r="G1696" s="27" t="n"/>
    </row>
    <row r="1697" hidden="1" s="169">
      <c r="A1697" s="27" t="inlineStr">
        <is>
          <t>MK00181</t>
        </is>
      </c>
      <c r="B1697" s="27" t="n">
        <v>628000064</v>
      </c>
      <c r="C1697" s="27" t="inlineStr">
        <is>
          <t>Silva Alypia</t>
        </is>
      </c>
      <c r="D1697" s="171" t="n">
        <v>46223.41666666666</v>
      </c>
      <c r="E1697" s="26" t="n">
        <v>0.9076041666666667</v>
      </c>
      <c r="F1697" s="27" t="inlineStr">
        <is>
          <t>Shift 3</t>
        </is>
      </c>
      <c r="G1697" s="27" t="n"/>
    </row>
    <row r="1698" hidden="1" s="169">
      <c r="A1698" s="27" t="inlineStr">
        <is>
          <t>MK00121</t>
        </is>
      </c>
      <c r="B1698" s="27" t="n">
        <v>528000248</v>
      </c>
      <c r="C1698" s="27" t="inlineStr">
        <is>
          <t>Roka Jaya Salka Mulya</t>
        </is>
      </c>
      <c r="D1698" s="171" t="n">
        <v>46223.41666666666</v>
      </c>
      <c r="E1698" s="26" t="n">
        <v>0.909050925925926</v>
      </c>
      <c r="F1698" s="27" t="inlineStr">
        <is>
          <t>Shift 3</t>
        </is>
      </c>
      <c r="G1698" s="27" t="n"/>
    </row>
    <row r="1699" hidden="1" s="169">
      <c r="A1699" s="27" t="inlineStr">
        <is>
          <t>MK00141</t>
        </is>
      </c>
      <c r="B1699" s="27" t="n">
        <v>528000279</v>
      </c>
      <c r="C1699" s="27" t="inlineStr">
        <is>
          <t>Mahdalena Dalfa Riani</t>
        </is>
      </c>
      <c r="D1699" s="171" t="n">
        <v>46223.41666666666</v>
      </c>
      <c r="E1699" s="26" t="n">
        <v>0.9096643518518519</v>
      </c>
      <c r="F1699" s="27" t="inlineStr">
        <is>
          <t>Shift 3</t>
        </is>
      </c>
      <c r="G1699" s="27" t="n"/>
    </row>
    <row r="1700" hidden="1" s="169">
      <c r="A1700" s="27" t="inlineStr">
        <is>
          <t>MK0050</t>
        </is>
      </c>
      <c r="B1700" s="27" t="n">
        <v>528000288</v>
      </c>
      <c r="C1700" s="27" t="inlineStr">
        <is>
          <t>Dede gunawan</t>
        </is>
      </c>
      <c r="D1700" s="171" t="n">
        <v>46223.41666666666</v>
      </c>
      <c r="E1700" s="26" t="n">
        <v>0.9127546296296296</v>
      </c>
      <c r="F1700" s="27" t="inlineStr">
        <is>
          <t>Shift 3</t>
        </is>
      </c>
      <c r="G1700" s="27" t="n"/>
    </row>
    <row r="1701" hidden="1" s="169">
      <c r="A1701" s="27" t="inlineStr">
        <is>
          <t>MK00112</t>
        </is>
      </c>
      <c r="B1701" s="27" t="n">
        <v>528000339</v>
      </c>
      <c r="C1701" s="27" t="inlineStr">
        <is>
          <t>Muhamad Ripai'i</t>
        </is>
      </c>
      <c r="D1701" s="171" t="n">
        <v>46224.41666666666</v>
      </c>
      <c r="E1701" s="26" t="n">
        <v>0.2326967592592593</v>
      </c>
      <c r="F1701" s="27" t="inlineStr">
        <is>
          <t>Shift 1</t>
        </is>
      </c>
      <c r="G1701" s="27" t="n"/>
    </row>
    <row r="1702" hidden="1" s="169">
      <c r="A1702" s="27" t="inlineStr">
        <is>
          <t>MK00092</t>
        </is>
      </c>
      <c r="B1702" s="27" t="n">
        <v>528000273</v>
      </c>
      <c r="C1702" s="27" t="inlineStr">
        <is>
          <t>Asep Mulyana</t>
        </is>
      </c>
      <c r="D1702" s="171" t="n">
        <v>46224.41666666666</v>
      </c>
      <c r="E1702" s="26" t="n">
        <v>0.232974537037037</v>
      </c>
      <c r="F1702" s="27" t="inlineStr">
        <is>
          <t>Shift 1</t>
        </is>
      </c>
      <c r="G1702" s="27" t="n"/>
    </row>
    <row r="1703" hidden="1" s="169">
      <c r="A1703" s="27" t="inlineStr">
        <is>
          <t>MK00202</t>
        </is>
      </c>
      <c r="B1703" s="27" t="n">
        <v>528000244</v>
      </c>
      <c r="C1703" s="27" t="inlineStr">
        <is>
          <t>Rodian Rifai</t>
        </is>
      </c>
      <c r="D1703" s="171" t="n">
        <v>46224.41666666666</v>
      </c>
      <c r="E1703" s="26" t="n">
        <v>0.2386921296296296</v>
      </c>
      <c r="F1703" s="27" t="inlineStr">
        <is>
          <t>Shift 1</t>
        </is>
      </c>
      <c r="G1703" s="27" t="n"/>
    </row>
    <row r="1704" hidden="1" s="169">
      <c r="A1704" s="27" t="inlineStr">
        <is>
          <t>MK00213</t>
        </is>
      </c>
      <c r="B1704" s="27" t="n">
        <v>528000286</v>
      </c>
      <c r="C1704" s="27" t="inlineStr">
        <is>
          <t>Imelda Amelia</t>
        </is>
      </c>
      <c r="D1704" s="171" t="n">
        <v>46224.41666666666</v>
      </c>
      <c r="E1704" s="26" t="n">
        <v>0.2439930555555556</v>
      </c>
      <c r="F1704" s="27" t="inlineStr">
        <is>
          <t>Shift 1</t>
        </is>
      </c>
      <c r="G1704" s="27" t="n"/>
    </row>
    <row r="1705" hidden="1" s="169">
      <c r="A1705" s="27" t="inlineStr">
        <is>
          <t>MK00085</t>
        </is>
      </c>
      <c r="B1705" s="27" t="n">
        <v>528000201</v>
      </c>
      <c r="C1705" s="27" t="inlineStr">
        <is>
          <t>Zahwa Amelia Choerunissa</t>
        </is>
      </c>
      <c r="D1705" s="171" t="n">
        <v>46224.41666666666</v>
      </c>
      <c r="E1705" s="26" t="n">
        <v>0.2440740740740741</v>
      </c>
      <c r="F1705" s="27" t="inlineStr">
        <is>
          <t>Shift 1</t>
        </is>
      </c>
      <c r="G1705" s="27" t="n"/>
    </row>
    <row r="1706" hidden="1" s="169">
      <c r="A1706" s="27" t="inlineStr">
        <is>
          <t>MK00109</t>
        </is>
      </c>
      <c r="B1706" s="27" t="n">
        <v>528000241</v>
      </c>
      <c r="C1706" s="27" t="inlineStr">
        <is>
          <t>Balia Nurafif Bilah</t>
        </is>
      </c>
      <c r="D1706" s="171" t="n">
        <v>46224.41666666666</v>
      </c>
      <c r="E1706" s="26" t="n">
        <v>0.2449421296296296</v>
      </c>
      <c r="F1706" s="27" t="inlineStr">
        <is>
          <t>Shift 1</t>
        </is>
      </c>
      <c r="G1706" s="27" t="n"/>
    </row>
    <row r="1707" hidden="1" s="169">
      <c r="A1707" s="27" t="inlineStr">
        <is>
          <t>MK00184</t>
        </is>
      </c>
      <c r="B1707" s="27" t="n">
        <v>528000099</v>
      </c>
      <c r="C1707" s="27" t="inlineStr">
        <is>
          <t>Siti Nurawaliah</t>
        </is>
      </c>
      <c r="D1707" s="171" t="n">
        <v>46224.41666666666</v>
      </c>
      <c r="E1707" s="26" t="n">
        <v>0.2454050925925926</v>
      </c>
      <c r="F1707" s="27" t="inlineStr">
        <is>
          <t>Shift 1</t>
        </is>
      </c>
      <c r="G1707" s="27" t="n"/>
    </row>
    <row r="1708" hidden="1" s="169">
      <c r="A1708" s="27" t="inlineStr">
        <is>
          <t>MK00134</t>
        </is>
      </c>
      <c r="B1708" s="27" t="n">
        <v>528000289</v>
      </c>
      <c r="C1708" s="27" t="inlineStr">
        <is>
          <t>Adit Supriyadi</t>
        </is>
      </c>
      <c r="D1708" s="171" t="n">
        <v>46224.41666666666</v>
      </c>
      <c r="E1708" s="26" t="n">
        <v>0.2467592592592593</v>
      </c>
      <c r="F1708" s="27" t="inlineStr">
        <is>
          <t>Shift 1</t>
        </is>
      </c>
      <c r="G1708" s="27" t="n"/>
    </row>
    <row r="1709" hidden="1" s="169">
      <c r="A1709" s="27" t="inlineStr">
        <is>
          <t>MK00055</t>
        </is>
      </c>
      <c r="B1709" s="27" t="n">
        <v>528000228</v>
      </c>
      <c r="C1709" s="27" t="inlineStr">
        <is>
          <t>Banyu Resmi Putri</t>
        </is>
      </c>
      <c r="D1709" s="171" t="n">
        <v>46224.41666666666</v>
      </c>
      <c r="E1709" s="26" t="n">
        <v>0.2473842592592592</v>
      </c>
      <c r="F1709" s="27" t="inlineStr">
        <is>
          <t>Shift 1</t>
        </is>
      </c>
      <c r="G1709" s="27" t="n"/>
    </row>
    <row r="1710" hidden="1" s="169">
      <c r="A1710" s="27" t="inlineStr">
        <is>
          <t>MK00108</t>
        </is>
      </c>
      <c r="B1710" s="27" t="n">
        <v>528000274</v>
      </c>
      <c r="C1710" s="27" t="inlineStr">
        <is>
          <t>Zepri</t>
        </is>
      </c>
      <c r="D1710" s="171" t="n">
        <v>46224.41666666666</v>
      </c>
      <c r="E1710" s="26" t="n">
        <v>0.2479050925925926</v>
      </c>
      <c r="F1710" s="27" t="inlineStr">
        <is>
          <t>Shift 1</t>
        </is>
      </c>
      <c r="G1710" s="27" t="n"/>
    </row>
    <row r="1711" hidden="1" s="169">
      <c r="A1711" s="27" t="inlineStr">
        <is>
          <t>MK00212</t>
        </is>
      </c>
      <c r="B1711" s="27" t="n">
        <v>528000290</v>
      </c>
      <c r="C1711" s="27" t="inlineStr">
        <is>
          <t>Eval Pranata</t>
        </is>
      </c>
      <c r="D1711" s="171" t="n">
        <v>46224.41666666666</v>
      </c>
      <c r="E1711" s="26" t="n">
        <v>0.2492013888888889</v>
      </c>
      <c r="F1711" s="27" t="inlineStr">
        <is>
          <t>Shift 1</t>
        </is>
      </c>
      <c r="G1711" s="27" t="n"/>
    </row>
    <row r="1712" hidden="1" s="169">
      <c r="A1712" s="27" t="inlineStr">
        <is>
          <t>MK00143</t>
        </is>
      </c>
      <c r="B1712" s="27" t="n">
        <v>528000212</v>
      </c>
      <c r="C1712" s="27" t="inlineStr">
        <is>
          <t>Rizal Fauzi</t>
        </is>
      </c>
      <c r="D1712" s="171" t="n">
        <v>46224.41666666666</v>
      </c>
      <c r="E1712" s="26" t="n">
        <v>0.2492361111111111</v>
      </c>
      <c r="F1712" s="27" t="inlineStr">
        <is>
          <t>Shift 1</t>
        </is>
      </c>
      <c r="G1712" s="27" t="n"/>
    </row>
    <row r="1713" hidden="1" s="169">
      <c r="A1713" s="27" t="inlineStr">
        <is>
          <t>MK00230</t>
        </is>
      </c>
      <c r="B1713" s="27" t="n">
        <v>528000090</v>
      </c>
      <c r="C1713" s="27" t="inlineStr">
        <is>
          <t>Suganda</t>
        </is>
      </c>
      <c r="D1713" s="171" t="n">
        <v>46224.41666666666</v>
      </c>
      <c r="E1713" s="26" t="n">
        <v>0.2504398148148148</v>
      </c>
      <c r="F1713" s="27" t="inlineStr">
        <is>
          <t>Shift 1</t>
        </is>
      </c>
      <c r="G1713" s="27" t="n"/>
    </row>
    <row r="1714" hidden="1" s="169">
      <c r="A1714" s="27" t="inlineStr">
        <is>
          <t>MK00217</t>
        </is>
      </c>
      <c r="B1714" s="27" t="n">
        <v>528000069</v>
      </c>
      <c r="C1714" s="27" t="inlineStr">
        <is>
          <t>Jajang Ardiansyah</t>
        </is>
      </c>
      <c r="D1714" s="171" t="n">
        <v>46224.41666666666</v>
      </c>
      <c r="E1714" s="26" t="n">
        <v>0.2936111111111111</v>
      </c>
      <c r="F1714" s="27" t="inlineStr">
        <is>
          <t>Shift 1</t>
        </is>
      </c>
      <c r="G1714" s="27" t="n"/>
    </row>
    <row r="1715" hidden="1" s="169">
      <c r="A1715" s="27" t="inlineStr">
        <is>
          <t>MK00218</t>
        </is>
      </c>
      <c r="B1715" s="27" t="n">
        <v>528000282</v>
      </c>
      <c r="C1715" s="27" t="inlineStr">
        <is>
          <t>Defa Desfiana</t>
        </is>
      </c>
      <c r="D1715" s="171" t="n">
        <v>46224.41666666666</v>
      </c>
      <c r="E1715" s="26" t="n">
        <v>0.3164583333333333</v>
      </c>
      <c r="F1715" s="27" t="inlineStr">
        <is>
          <t>Shift 1</t>
        </is>
      </c>
      <c r="G1715" s="27" t="inlineStr">
        <is>
          <t>32c</t>
        </is>
      </c>
    </row>
    <row r="1716" hidden="1" s="169">
      <c r="A1716" s="27" t="inlineStr">
        <is>
          <t>MK00235</t>
        </is>
      </c>
      <c r="B1716" s="27" t="n">
        <v>528000265</v>
      </c>
      <c r="C1716" s="27" t="inlineStr">
        <is>
          <t>Muhammad Haerul Rozikin</t>
        </is>
      </c>
      <c r="D1716" s="171" t="n">
        <v>46224.41666666666</v>
      </c>
      <c r="E1716" s="26" t="n">
        <v>0.3252546296296296</v>
      </c>
      <c r="F1716" s="27" t="inlineStr">
        <is>
          <t>Shift 1</t>
        </is>
      </c>
      <c r="G1716" s="27" t="n"/>
    </row>
    <row r="1717" hidden="1" s="169">
      <c r="A1717" s="27" t="inlineStr">
        <is>
          <t>MK00154</t>
        </is>
      </c>
      <c r="B1717" s="27" t="n">
        <v>528000310</v>
      </c>
      <c r="C1717" s="27" t="inlineStr">
        <is>
          <t>Fachrul Rozzi Suryana</t>
        </is>
      </c>
      <c r="D1717" s="171" t="n">
        <v>46224.41666666666</v>
      </c>
      <c r="E1717" s="26" t="n">
        <v>0.3260763888888889</v>
      </c>
      <c r="F1717" s="27" t="inlineStr">
        <is>
          <t>Shift 1</t>
        </is>
      </c>
      <c r="G1717" s="27" t="inlineStr">
        <is>
          <t>10D</t>
        </is>
      </c>
    </row>
    <row r="1718" hidden="1" s="169">
      <c r="A1718" s="27" t="n">
        <v>220</v>
      </c>
      <c r="B1718" s="27" t="n">
        <v>528000203</v>
      </c>
      <c r="C1718" s="27" t="inlineStr">
        <is>
          <t>Yudha Ramdhan Putra</t>
        </is>
      </c>
      <c r="D1718" s="171" t="n">
        <v>46224.41666666666</v>
      </c>
      <c r="E1718" s="26" t="n">
        <v>0.3350694444444444</v>
      </c>
      <c r="F1718" s="27" t="inlineStr">
        <is>
          <t>Shift 1</t>
        </is>
      </c>
      <c r="G1718" s="27" t="n"/>
    </row>
    <row r="1719" hidden="1" s="169">
      <c r="A1719" s="27" t="inlineStr">
        <is>
          <t>MK00093</t>
        </is>
      </c>
      <c r="B1719" s="27" t="n">
        <v>528000267</v>
      </c>
      <c r="C1719" s="27" t="inlineStr">
        <is>
          <t>Bagas Patulloh</t>
        </is>
      </c>
      <c r="D1719" s="171" t="n">
        <v>46224.41666666666</v>
      </c>
      <c r="E1719" s="26" t="n">
        <v>0.3351736111111111</v>
      </c>
      <c r="F1719" s="27" t="inlineStr">
        <is>
          <t>Shift 1</t>
        </is>
      </c>
      <c r="G1719" s="27" t="n"/>
    </row>
    <row r="1720" hidden="1" s="169">
      <c r="A1720" s="27" t="inlineStr">
        <is>
          <t>MK00116</t>
        </is>
      </c>
      <c r="B1720" s="27" t="n">
        <v>528000351</v>
      </c>
      <c r="C1720" s="27" t="inlineStr">
        <is>
          <t>Mulyana</t>
        </is>
      </c>
      <c r="D1720" s="171" t="n">
        <v>46224.41666666666</v>
      </c>
      <c r="E1720" s="26" t="n">
        <v>0.337962962962963</v>
      </c>
      <c r="F1720" s="27" t="inlineStr">
        <is>
          <t>Shift 1</t>
        </is>
      </c>
      <c r="G1720" s="27" t="n"/>
    </row>
    <row r="1721" hidden="1" s="169">
      <c r="A1721" s="27" t="inlineStr">
        <is>
          <t>MK00141</t>
        </is>
      </c>
      <c r="B1721" s="27" t="n">
        <v>528000040</v>
      </c>
      <c r="C1721" s="27" t="inlineStr">
        <is>
          <t>Agus Suryaman</t>
        </is>
      </c>
      <c r="D1721" s="171" t="n">
        <v>46224.41666666666</v>
      </c>
      <c r="E1721" s="26" t="n">
        <v>0.3639699074074074</v>
      </c>
      <c r="F1721" s="27" t="inlineStr">
        <is>
          <t>Shift 1</t>
        </is>
      </c>
      <c r="G1721" s="27" t="n"/>
    </row>
    <row r="1722" hidden="1" s="169">
      <c r="A1722" s="27" t="inlineStr">
        <is>
          <t>MK00205</t>
        </is>
      </c>
      <c r="B1722" s="27" t="n">
        <v>528000348</v>
      </c>
      <c r="C1722" s="27" t="inlineStr">
        <is>
          <t>Saepuloh Ardiansah</t>
        </is>
      </c>
      <c r="D1722" s="171" t="n">
        <v>46224.41666666666</v>
      </c>
      <c r="E1722" s="26" t="n">
        <v>0.3741203703703704</v>
      </c>
      <c r="F1722" s="27" t="inlineStr">
        <is>
          <t>Shift 1</t>
        </is>
      </c>
      <c r="G1722" s="27" t="n"/>
    </row>
    <row r="1723" hidden="1" s="169">
      <c r="A1723" s="27" t="inlineStr">
        <is>
          <t>MK00203</t>
        </is>
      </c>
      <c r="B1723" s="27" t="n">
        <v>528000359</v>
      </c>
      <c r="C1723" s="27" t="inlineStr">
        <is>
          <t>M. Iqbal Maulana. S</t>
        </is>
      </c>
      <c r="D1723" s="171" t="n">
        <v>46224.41666666666</v>
      </c>
      <c r="E1723" s="26" t="n">
        <v>0.3842824074074074</v>
      </c>
      <c r="F1723" s="27" t="inlineStr">
        <is>
          <t>Shift 1</t>
        </is>
      </c>
      <c r="G1723" s="27" t="n"/>
    </row>
    <row r="1724" hidden="1" s="169">
      <c r="A1724" s="27" t="inlineStr">
        <is>
          <t>MK00160</t>
        </is>
      </c>
      <c r="B1724" s="27" t="n">
        <v>528000349</v>
      </c>
      <c r="C1724" s="27" t="inlineStr">
        <is>
          <t>Anas Abdul Fatah</t>
        </is>
      </c>
      <c r="D1724" s="171" t="n">
        <v>46224.41666666666</v>
      </c>
      <c r="E1724" s="26" t="n">
        <v>0.4043865740740741</v>
      </c>
      <c r="F1724" s="27" t="inlineStr">
        <is>
          <t>Shift 1</t>
        </is>
      </c>
      <c r="G1724" s="27" t="n"/>
    </row>
    <row r="1725" hidden="1" s="169">
      <c r="A1725" s="27" t="inlineStr">
        <is>
          <t>MK00090</t>
        </is>
      </c>
      <c r="B1725" s="27" t="n">
        <v>628000091</v>
      </c>
      <c r="C1725" s="27" t="inlineStr">
        <is>
          <t>Devita Handayani</t>
        </is>
      </c>
      <c r="D1725" s="171" t="n">
        <v>46224.41666666666</v>
      </c>
      <c r="E1725" s="26" t="n">
        <v>0.5502199074074074</v>
      </c>
      <c r="F1725" s="27" t="inlineStr">
        <is>
          <t>Shift 2</t>
        </is>
      </c>
      <c r="G1725" s="27" t="n"/>
    </row>
    <row r="1726" hidden="1" s="169">
      <c r="A1726" s="27" t="inlineStr">
        <is>
          <t>MK00209</t>
        </is>
      </c>
      <c r="B1726" s="27" t="n">
        <v>528000340</v>
      </c>
      <c r="C1726" s="27" t="inlineStr">
        <is>
          <t>Muhammad Wildan Adithya</t>
        </is>
      </c>
      <c r="D1726" s="171" t="n">
        <v>46224.41666666666</v>
      </c>
      <c r="E1726" s="26" t="n">
        <v>0.5616782407407407</v>
      </c>
      <c r="F1726" s="27" t="inlineStr">
        <is>
          <t>Shift 2</t>
        </is>
      </c>
      <c r="G1726" s="27" t="n"/>
    </row>
    <row r="1727" hidden="1" s="169">
      <c r="A1727" s="27" t="inlineStr">
        <is>
          <t>MK00185</t>
        </is>
      </c>
      <c r="B1727" s="27" t="n">
        <v>528000361</v>
      </c>
      <c r="C1727" s="27" t="inlineStr">
        <is>
          <t>Denada Munggarani</t>
        </is>
      </c>
      <c r="D1727" s="171" t="n">
        <v>46224.41666666666</v>
      </c>
      <c r="E1727" s="26" t="n">
        <v>0.561875</v>
      </c>
      <c r="F1727" s="27" t="inlineStr">
        <is>
          <t>Shift 2</t>
        </is>
      </c>
      <c r="G1727" s="27" t="n"/>
    </row>
    <row r="1728" hidden="1" s="169">
      <c r="A1728" s="27" t="inlineStr">
        <is>
          <t>MK00250</t>
        </is>
      </c>
      <c r="B1728" s="27" t="n">
        <v>528000313</v>
      </c>
      <c r="C1728" s="27" t="inlineStr">
        <is>
          <t>Muhamad Rifki</t>
        </is>
      </c>
      <c r="D1728" s="171" t="n">
        <v>46224.41666666666</v>
      </c>
      <c r="E1728" s="26" t="n">
        <v>0.5676041666666667</v>
      </c>
      <c r="F1728" s="27" t="inlineStr">
        <is>
          <t>Shift 2</t>
        </is>
      </c>
      <c r="G1728" s="27" t="n"/>
    </row>
    <row r="1729" hidden="1" s="169">
      <c r="A1729" s="27" t="inlineStr">
        <is>
          <t>MK00113</t>
        </is>
      </c>
      <c r="B1729" s="27" t="n">
        <v>528000298</v>
      </c>
      <c r="C1729" s="27" t="inlineStr">
        <is>
          <t>Desta Cahaya Pratama</t>
        </is>
      </c>
      <c r="D1729" s="171" t="n">
        <v>46224.41666666666</v>
      </c>
      <c r="E1729" s="26" t="n">
        <v>0.5676851851851852</v>
      </c>
      <c r="F1729" s="27" t="inlineStr">
        <is>
          <t>Shift 2</t>
        </is>
      </c>
      <c r="G1729" s="27" t="n"/>
    </row>
    <row r="1730">
      <c r="A1730" s="27" t="inlineStr">
        <is>
          <t>MK00208</t>
        </is>
      </c>
      <c r="B1730" s="27" t="n">
        <v>528000015</v>
      </c>
      <c r="C1730" s="27" t="inlineStr">
        <is>
          <t>Erwin</t>
        </is>
      </c>
      <c r="D1730" s="171" t="n">
        <v>46224.41666666666</v>
      </c>
      <c r="E1730" s="26" t="n">
        <v>0.5718055555555556</v>
      </c>
      <c r="F1730" s="27" t="inlineStr">
        <is>
          <t>Shift 2</t>
        </is>
      </c>
      <c r="G1730" s="27" t="n"/>
    </row>
    <row r="1731" hidden="1" s="169">
      <c r="A1731" s="27" t="inlineStr">
        <is>
          <t>MK00008</t>
        </is>
      </c>
      <c r="B1731" s="27" t="n">
        <v>528000305</v>
      </c>
      <c r="C1731" s="27" t="inlineStr">
        <is>
          <t>Puji Puspita</t>
        </is>
      </c>
      <c r="D1731" s="171" t="n">
        <v>46224.41666666666</v>
      </c>
      <c r="E1731" s="26" t="n">
        <v>0.5718055555555556</v>
      </c>
      <c r="F1731" s="27" t="inlineStr">
        <is>
          <t>Shift 2</t>
        </is>
      </c>
      <c r="G1731" s="27" t="n"/>
    </row>
    <row r="1732" hidden="1" s="169">
      <c r="A1732" s="27" t="inlineStr">
        <is>
          <t>MK00181</t>
        </is>
      </c>
      <c r="B1732" s="27" t="n">
        <v>528000299</v>
      </c>
      <c r="C1732" s="27" t="inlineStr">
        <is>
          <t>Siti Nurjanah</t>
        </is>
      </c>
      <c r="D1732" s="171" t="n">
        <v>46224.41666666666</v>
      </c>
      <c r="E1732" s="26" t="n">
        <v>0.572511574074074</v>
      </c>
      <c r="F1732" s="27" t="inlineStr">
        <is>
          <t>Shift 2</t>
        </is>
      </c>
      <c r="G1732" s="27" t="n"/>
    </row>
    <row r="1733" hidden="1" s="169">
      <c r="A1733" s="27" t="inlineStr">
        <is>
          <t>MK00082</t>
        </is>
      </c>
      <c r="B1733" s="27" t="n">
        <v>528000302</v>
      </c>
      <c r="C1733" s="27" t="inlineStr">
        <is>
          <t>Henkey gumilar</t>
        </is>
      </c>
      <c r="D1733" s="171" t="n">
        <v>46224.41666666666</v>
      </c>
      <c r="E1733" s="26" t="n">
        <v>0.5733912037037037</v>
      </c>
      <c r="F1733" s="27" t="inlineStr">
        <is>
          <t>Shift 2</t>
        </is>
      </c>
      <c r="G1733" s="27" t="n"/>
    </row>
    <row r="1734" hidden="1" s="169">
      <c r="A1734" s="27" t="inlineStr">
        <is>
          <t>MK00121</t>
        </is>
      </c>
      <c r="B1734" s="27" t="n">
        <v>528000309</v>
      </c>
      <c r="C1734" s="27" t="inlineStr">
        <is>
          <t>Ilham Ramadhan</t>
        </is>
      </c>
      <c r="D1734" s="171" t="n">
        <v>46224.41666666666</v>
      </c>
      <c r="E1734" s="26" t="n">
        <v>0.5739583333333333</v>
      </c>
      <c r="F1734" s="27" t="inlineStr">
        <is>
          <t>Shift 2</t>
        </is>
      </c>
      <c r="G1734" s="27" t="n"/>
    </row>
    <row r="1735" hidden="1" s="169">
      <c r="A1735" s="27" t="inlineStr">
        <is>
          <t>MK00088</t>
        </is>
      </c>
      <c r="B1735" s="27" t="n">
        <v>528000318</v>
      </c>
      <c r="C1735" s="27" t="inlineStr">
        <is>
          <t>Bayu Padli Sepriyana</t>
        </is>
      </c>
      <c r="D1735" s="171" t="n">
        <v>46224.41666666666</v>
      </c>
      <c r="E1735" s="26" t="n">
        <v>0.5742708333333333</v>
      </c>
      <c r="F1735" s="27" t="inlineStr">
        <is>
          <t>Shift 2</t>
        </is>
      </c>
      <c r="G1735" s="27" t="n"/>
    </row>
    <row r="1736" hidden="1" s="169">
      <c r="A1736" s="27" t="inlineStr">
        <is>
          <t>MK00030</t>
        </is>
      </c>
      <c r="B1736" s="27" t="n">
        <v>528000098</v>
      </c>
      <c r="C1736" s="27" t="inlineStr">
        <is>
          <t>Edi Junaedi</t>
        </is>
      </c>
      <c r="D1736" s="171" t="n">
        <v>46224.41666666666</v>
      </c>
      <c r="E1736" s="26" t="n">
        <v>0.5788194444444444</v>
      </c>
      <c r="F1736" s="27" t="inlineStr">
        <is>
          <t>Shift 2</t>
        </is>
      </c>
      <c r="G1736" s="27" t="n"/>
    </row>
    <row r="1737" hidden="1" s="169">
      <c r="A1737" s="27" t="inlineStr">
        <is>
          <t>MK00158</t>
        </is>
      </c>
      <c r="B1737" s="27" t="n">
        <v>528000322</v>
      </c>
      <c r="C1737" s="27" t="inlineStr">
        <is>
          <t>Muhamad Aliludin</t>
        </is>
      </c>
      <c r="D1737" s="171" t="n">
        <v>46224.41666666666</v>
      </c>
      <c r="E1737" s="26" t="n">
        <v>0.5791898148148148</v>
      </c>
      <c r="F1737" s="27" t="inlineStr">
        <is>
          <t>Shift 2</t>
        </is>
      </c>
      <c r="G1737" s="27" t="n"/>
    </row>
    <row r="1738" hidden="1" s="169">
      <c r="A1738" s="27" t="inlineStr">
        <is>
          <t>MK00030</t>
        </is>
      </c>
      <c r="B1738" s="27" t="n">
        <v>528000144</v>
      </c>
      <c r="C1738" s="27" t="inlineStr">
        <is>
          <t>Jodi Hanafi</t>
        </is>
      </c>
      <c r="D1738" s="171" t="n">
        <v>46224.41666666666</v>
      </c>
      <c r="E1738" s="26" t="n">
        <v>0.589837962962963</v>
      </c>
      <c r="F1738" s="27" t="inlineStr">
        <is>
          <t>Shift 2</t>
        </is>
      </c>
      <c r="G1738" s="27" t="n"/>
    </row>
    <row r="1739" hidden="1" s="169">
      <c r="A1739" s="27" t="inlineStr">
        <is>
          <t>MK00210</t>
        </is>
      </c>
      <c r="B1739" s="27" t="n">
        <v>528000232</v>
      </c>
      <c r="C1739" s="27" t="inlineStr">
        <is>
          <t>Agung Aji Suhada</t>
        </is>
      </c>
      <c r="D1739" s="171" t="n">
        <v>46224.41666666666</v>
      </c>
      <c r="E1739" s="26" t="n">
        <v>0.6618402777777778</v>
      </c>
      <c r="F1739" s="27" t="inlineStr">
        <is>
          <t>Shift 2</t>
        </is>
      </c>
      <c r="G1739" s="27" t="n"/>
    </row>
    <row r="1740" hidden="1" s="169">
      <c r="A1740" s="27" t="inlineStr">
        <is>
          <t>MK00204</t>
        </is>
      </c>
      <c r="B1740" s="27" t="n">
        <v>528000335</v>
      </c>
      <c r="C1740" s="27" t="inlineStr">
        <is>
          <t>Rizal Saepuloh</t>
        </is>
      </c>
      <c r="D1740" s="171" t="n">
        <v>46224.41666666666</v>
      </c>
      <c r="E1740" s="26" t="n">
        <v>0.682662037037037</v>
      </c>
      <c r="F1740" s="27" t="inlineStr">
        <is>
          <t>Shift 2</t>
        </is>
      </c>
      <c r="G1740" s="27" t="n"/>
    </row>
    <row r="1741" hidden="1" s="169">
      <c r="A1741" s="27" t="inlineStr">
        <is>
          <t>MK00160</t>
        </is>
      </c>
      <c r="B1741" s="27" t="n">
        <v>528000323</v>
      </c>
      <c r="C1741" s="27" t="inlineStr">
        <is>
          <t>Dian Hamidah</t>
        </is>
      </c>
      <c r="D1741" s="171" t="n">
        <v>46224.41666666666</v>
      </c>
      <c r="E1741" s="26" t="n">
        <v>0.9014699074074074</v>
      </c>
      <c r="F1741" s="27" t="inlineStr">
        <is>
          <t>Shift 3</t>
        </is>
      </c>
      <c r="G1741" s="27" t="n"/>
    </row>
    <row r="1742" hidden="1" s="169">
      <c r="A1742" s="27" t="inlineStr">
        <is>
          <t>MK00150</t>
        </is>
      </c>
      <c r="B1742" s="27" t="n">
        <v>628000064</v>
      </c>
      <c r="C1742" s="27" t="inlineStr">
        <is>
          <t>Silva Alypia</t>
        </is>
      </c>
      <c r="D1742" s="171" t="n">
        <v>46224.41666666666</v>
      </c>
      <c r="E1742" s="26" t="n">
        <v>0.9076388888888889</v>
      </c>
      <c r="F1742" s="27" t="inlineStr">
        <is>
          <t>Shift 3</t>
        </is>
      </c>
      <c r="G1742" s="27" t="n"/>
    </row>
    <row r="1743" hidden="1" s="169">
      <c r="A1743" s="27" t="inlineStr">
        <is>
          <t>MK00145</t>
        </is>
      </c>
      <c r="B1743" s="27" t="n">
        <v>528000248</v>
      </c>
      <c r="C1743" s="27" t="inlineStr">
        <is>
          <t>Roka Jaya Salka Mulya</t>
        </is>
      </c>
      <c r="D1743" s="171" t="n">
        <v>46224.41666666666</v>
      </c>
      <c r="E1743" s="26" t="n">
        <v>0.9082870370370371</v>
      </c>
      <c r="F1743" s="27" t="inlineStr">
        <is>
          <t>Shift 3</t>
        </is>
      </c>
      <c r="G1743" s="27" t="n"/>
    </row>
    <row r="1744" hidden="1" s="169">
      <c r="A1744" s="27" t="inlineStr">
        <is>
          <t>MK00095</t>
        </is>
      </c>
      <c r="B1744" s="27" t="n">
        <v>528000297</v>
      </c>
      <c r="C1744" s="27" t="inlineStr">
        <is>
          <t>Muhamad Budiana</t>
        </is>
      </c>
      <c r="D1744" s="171" t="n">
        <v>46224.41666666666</v>
      </c>
      <c r="E1744" s="26" t="n">
        <v>0.9098148148148149</v>
      </c>
      <c r="F1744" s="27" t="inlineStr">
        <is>
          <t>Shift 3</t>
        </is>
      </c>
      <c r="G1744" s="27" t="n"/>
    </row>
    <row r="1745" hidden="1" s="169">
      <c r="A1745" s="27" t="inlineStr">
        <is>
          <t>MK00143</t>
        </is>
      </c>
      <c r="B1745" s="27" t="n">
        <v>528000279</v>
      </c>
      <c r="C1745" s="27" t="inlineStr">
        <is>
          <t>Mahdalena Dalfa Riani</t>
        </is>
      </c>
      <c r="D1745" s="171" t="n">
        <v>46224.41666666666</v>
      </c>
      <c r="E1745" s="26" t="n">
        <v>0.9103125</v>
      </c>
      <c r="F1745" s="27" t="inlineStr">
        <is>
          <t>Shift 3</t>
        </is>
      </c>
      <c r="G1745" s="27" t="n"/>
    </row>
    <row r="1746" hidden="1" s="169">
      <c r="A1746" s="27" t="inlineStr">
        <is>
          <t>MK00136</t>
        </is>
      </c>
      <c r="B1746" s="27" t="n">
        <v>528000300</v>
      </c>
      <c r="C1746" s="27" t="inlineStr">
        <is>
          <t>Lia pitaloka</t>
        </is>
      </c>
      <c r="D1746" s="171" t="n">
        <v>46224.41666666666</v>
      </c>
      <c r="E1746" s="26" t="n">
        <v>0.9130092592592592</v>
      </c>
      <c r="F1746" s="27" t="inlineStr">
        <is>
          <t>Shift 3</t>
        </is>
      </c>
      <c r="G1746" s="27" t="n"/>
    </row>
    <row r="1747" hidden="1" s="169">
      <c r="A1747" s="27" t="inlineStr">
        <is>
          <t>MK00221</t>
        </is>
      </c>
      <c r="B1747" s="27" t="n">
        <v>528000144</v>
      </c>
      <c r="C1747" s="27" t="inlineStr">
        <is>
          <t>Jodi Hanafi</t>
        </is>
      </c>
      <c r="D1747" s="171" t="n">
        <v>46225.41666666666</v>
      </c>
      <c r="E1747" s="26" t="n">
        <v>0.04938657407407408</v>
      </c>
      <c r="F1747" s="27" t="inlineStr">
        <is>
          <t>Shift 3</t>
        </is>
      </c>
      <c r="G1747" s="27" t="n"/>
    </row>
    <row r="1748" hidden="1" s="169">
      <c r="A1748" s="27" t="inlineStr">
        <is>
          <t>MK00125</t>
        </is>
      </c>
      <c r="B1748" s="27" t="n">
        <v>528000314</v>
      </c>
      <c r="C1748" s="27" t="inlineStr">
        <is>
          <t>Rusmana</t>
        </is>
      </c>
      <c r="D1748" s="171" t="n">
        <v>46225.41666666666</v>
      </c>
      <c r="E1748" s="26" t="n">
        <v>0.2143634259259259</v>
      </c>
      <c r="F1748" s="27" t="inlineStr">
        <is>
          <t>Shift 1</t>
        </is>
      </c>
      <c r="G1748" s="27" t="n"/>
    </row>
    <row r="1749" hidden="1" s="169">
      <c r="A1749" s="27" t="inlineStr">
        <is>
          <t>MK00203</t>
        </is>
      </c>
      <c r="B1749" s="27" t="n">
        <v>528000052</v>
      </c>
      <c r="C1749" s="27" t="inlineStr">
        <is>
          <t>Mustopa</t>
        </is>
      </c>
      <c r="D1749" s="171" t="n">
        <v>46225.41666666666</v>
      </c>
      <c r="E1749" s="26" t="n">
        <v>0.2264583333333333</v>
      </c>
      <c r="F1749" s="27" t="inlineStr">
        <is>
          <t>Shift 1</t>
        </is>
      </c>
      <c r="G1749" s="27" t="n"/>
    </row>
    <row r="1750" hidden="1" s="169">
      <c r="A1750" s="27" t="inlineStr">
        <is>
          <t>MK00220</t>
        </is>
      </c>
      <c r="B1750" s="27" t="n">
        <v>528000337</v>
      </c>
      <c r="C1750" s="27" t="inlineStr">
        <is>
          <t>Ahmad Zaldi Firdaus</t>
        </is>
      </c>
      <c r="D1750" s="171" t="n">
        <v>46225.41666666666</v>
      </c>
      <c r="E1750" s="26" t="n">
        <v>0.2319907407407407</v>
      </c>
      <c r="F1750" s="27" t="inlineStr">
        <is>
          <t>Shift 1</t>
        </is>
      </c>
      <c r="G1750" s="27" t="n"/>
    </row>
    <row r="1751" hidden="1" s="169">
      <c r="A1751" s="27" t="inlineStr">
        <is>
          <t>MK00154</t>
        </is>
      </c>
      <c r="B1751" s="27" t="n">
        <v>528000262</v>
      </c>
      <c r="C1751" s="27" t="inlineStr">
        <is>
          <t>Ndari Dwiwanti</t>
        </is>
      </c>
      <c r="D1751" s="171" t="n">
        <v>46225.41666666666</v>
      </c>
      <c r="E1751" s="26" t="n">
        <v>0.2344907407407407</v>
      </c>
      <c r="F1751" s="27" t="inlineStr">
        <is>
          <t>Shift 1</t>
        </is>
      </c>
      <c r="G1751" s="27" t="n"/>
    </row>
    <row r="1752" hidden="1" s="169">
      <c r="A1752" s="27" t="inlineStr">
        <is>
          <t>MK00249</t>
        </is>
      </c>
      <c r="B1752" s="27" t="n">
        <v>528000358</v>
      </c>
      <c r="C1752" s="27" t="inlineStr">
        <is>
          <t>Lulu Agustin</t>
        </is>
      </c>
      <c r="D1752" s="171" t="n">
        <v>46225.41666666666</v>
      </c>
      <c r="E1752" s="26" t="n">
        <v>0.2349421296296296</v>
      </c>
      <c r="F1752" s="27" t="inlineStr">
        <is>
          <t>Shift 1</t>
        </is>
      </c>
      <c r="G1752" s="27" t="n"/>
    </row>
    <row r="1753" hidden="1" s="169">
      <c r="A1753" s="27" t="inlineStr">
        <is>
          <t>MK00235</t>
        </is>
      </c>
      <c r="B1753" s="27" t="n">
        <v>528000306</v>
      </c>
      <c r="C1753" s="27" t="inlineStr">
        <is>
          <t>Windy Olivia</t>
        </is>
      </c>
      <c r="D1753" s="171" t="n">
        <v>46225.41666666666</v>
      </c>
      <c r="E1753" s="26" t="n">
        <v>0.2364583333333333</v>
      </c>
      <c r="F1753" s="27" t="inlineStr">
        <is>
          <t>Shift 1</t>
        </is>
      </c>
      <c r="G1753" s="27" t="n"/>
    </row>
    <row r="1754" hidden="1" s="169">
      <c r="A1754" s="27" t="inlineStr">
        <is>
          <t>MK00113</t>
        </is>
      </c>
      <c r="B1754" s="27" t="n">
        <v>528000328</v>
      </c>
      <c r="C1754" s="27" t="inlineStr">
        <is>
          <t>Nur Anjani</t>
        </is>
      </c>
      <c r="D1754" s="171" t="n">
        <v>46225.41666666666</v>
      </c>
      <c r="E1754" s="26" t="n">
        <v>0.2385763888888889</v>
      </c>
      <c r="F1754" s="27" t="inlineStr">
        <is>
          <t>Shift 1</t>
        </is>
      </c>
      <c r="G1754" s="27" t="n"/>
    </row>
    <row r="1755" hidden="1" s="169">
      <c r="A1755" s="27" t="inlineStr">
        <is>
          <t>MK0088</t>
        </is>
      </c>
      <c r="B1755" s="27" t="n">
        <v>528000266</v>
      </c>
      <c r="C1755" s="27" t="inlineStr">
        <is>
          <t>M. Syirajatieq</t>
        </is>
      </c>
      <c r="D1755" s="171" t="n">
        <v>46225.41666666666</v>
      </c>
      <c r="E1755" s="26" t="n">
        <v>0.2406944444444444</v>
      </c>
      <c r="F1755" s="27" t="inlineStr">
        <is>
          <t>Shift 1</t>
        </is>
      </c>
      <c r="G1755" s="27" t="n"/>
    </row>
    <row r="1756" hidden="1" s="169">
      <c r="A1756" s="27" t="inlineStr">
        <is>
          <t>MK00181</t>
        </is>
      </c>
      <c r="B1756" s="27" t="n">
        <v>528000195</v>
      </c>
      <c r="C1756" s="27" t="inlineStr">
        <is>
          <t>Rahma Sariwati</t>
        </is>
      </c>
      <c r="D1756" s="171" t="n">
        <v>46225.41666666666</v>
      </c>
      <c r="E1756" s="26" t="n">
        <v>0.2417013888888889</v>
      </c>
      <c r="F1756" s="27" t="inlineStr">
        <is>
          <t>Shift 1</t>
        </is>
      </c>
      <c r="G1756" s="27" t="n"/>
    </row>
    <row r="1757" hidden="1" s="169">
      <c r="A1757" s="27" t="inlineStr">
        <is>
          <t>MK00250</t>
        </is>
      </c>
      <c r="B1757" s="27" t="n">
        <v>528000261</v>
      </c>
      <c r="C1757" s="27" t="inlineStr">
        <is>
          <t>Ergi Ergianto</t>
        </is>
      </c>
      <c r="D1757" s="171" t="n">
        <v>46225.41666666666</v>
      </c>
      <c r="E1757" s="26" t="n">
        <v>0.242349537037037</v>
      </c>
      <c r="F1757" s="27" t="inlineStr">
        <is>
          <t>Shift 1</t>
        </is>
      </c>
      <c r="G1757" s="27" t="n"/>
    </row>
    <row r="1758" hidden="1" s="169">
      <c r="A1758" s="27" t="inlineStr">
        <is>
          <t>MK00008</t>
        </is>
      </c>
      <c r="B1758" s="27" t="n">
        <v>528000291</v>
      </c>
      <c r="C1758" s="27" t="inlineStr">
        <is>
          <t>Andrian</t>
        </is>
      </c>
      <c r="D1758" s="171" t="n">
        <v>46225.41666666666</v>
      </c>
      <c r="E1758" s="26" t="n">
        <v>0.2425694444444444</v>
      </c>
      <c r="F1758" s="27" t="inlineStr">
        <is>
          <t>Shift 1</t>
        </is>
      </c>
      <c r="G1758" s="27" t="n"/>
    </row>
    <row r="1759" hidden="1" s="169">
      <c r="A1759" s="27" t="inlineStr">
        <is>
          <t>MK00185</t>
        </is>
      </c>
      <c r="B1759" s="27" t="n">
        <v>528000336</v>
      </c>
      <c r="C1759" s="27" t="inlineStr">
        <is>
          <t>Ali Nurhanafi</t>
        </is>
      </c>
      <c r="D1759" s="171" t="n">
        <v>46225.41666666666</v>
      </c>
      <c r="E1759" s="26" t="n">
        <v>0.242662037037037</v>
      </c>
      <c r="F1759" s="27" t="inlineStr">
        <is>
          <t>Shift 1</t>
        </is>
      </c>
      <c r="G1759" s="27" t="n"/>
    </row>
    <row r="1760" hidden="1" s="169">
      <c r="A1760" s="27" t="inlineStr">
        <is>
          <t>MK00121</t>
        </is>
      </c>
      <c r="B1760" s="27" t="n">
        <v>528000283</v>
      </c>
      <c r="C1760" s="27" t="inlineStr">
        <is>
          <t>Purwanda Sugiri</t>
        </is>
      </c>
      <c r="D1760" s="171" t="n">
        <v>46225.41666666666</v>
      </c>
      <c r="E1760" s="26" t="n">
        <v>0.2428935185185185</v>
      </c>
      <c r="F1760" s="27" t="inlineStr">
        <is>
          <t>Shift 1</t>
        </is>
      </c>
      <c r="G1760" s="27" t="n"/>
    </row>
    <row r="1761" hidden="1" s="169">
      <c r="A1761" s="27" t="inlineStr">
        <is>
          <t>MK00218</t>
        </is>
      </c>
      <c r="B1761" s="27" t="n">
        <v>528000282</v>
      </c>
      <c r="C1761" s="27" t="inlineStr">
        <is>
          <t>Defa Desfiana</t>
        </is>
      </c>
      <c r="D1761" s="171" t="n">
        <v>46225.41666666666</v>
      </c>
      <c r="E1761" s="26" t="n">
        <v>0.3161921296296296</v>
      </c>
      <c r="F1761" s="27" t="inlineStr">
        <is>
          <t>Shift 1</t>
        </is>
      </c>
      <c r="G1761" s="27" t="inlineStr">
        <is>
          <t>32c</t>
        </is>
      </c>
    </row>
    <row r="1762" hidden="1" s="169">
      <c r="A1762" s="27" t="inlineStr">
        <is>
          <t>MK00184</t>
        </is>
      </c>
      <c r="B1762" s="27" t="n">
        <v>528000265</v>
      </c>
      <c r="C1762" s="27" t="inlineStr">
        <is>
          <t>Muhammad Haerul Rozikin</t>
        </is>
      </c>
      <c r="D1762" s="171" t="n">
        <v>46225.41666666666</v>
      </c>
      <c r="E1762" s="26" t="n">
        <v>0.3190277777777778</v>
      </c>
      <c r="F1762" s="27" t="inlineStr">
        <is>
          <t>Shift 1</t>
        </is>
      </c>
      <c r="G1762" s="27" t="n"/>
    </row>
    <row r="1763" hidden="1" s="169">
      <c r="A1763" s="27" t="inlineStr">
        <is>
          <t>MK00090</t>
        </is>
      </c>
      <c r="B1763" s="27" t="n">
        <v>528000310</v>
      </c>
      <c r="C1763" s="27" t="inlineStr">
        <is>
          <t>Fachrul Rozzi Suryana</t>
        </is>
      </c>
      <c r="D1763" s="171" t="n">
        <v>46225.41666666666</v>
      </c>
      <c r="E1763" s="26" t="n">
        <v>0.3310185185185185</v>
      </c>
      <c r="F1763" s="27" t="inlineStr">
        <is>
          <t>Shift 1</t>
        </is>
      </c>
      <c r="G1763" s="27" t="inlineStr">
        <is>
          <t>23F</t>
        </is>
      </c>
    </row>
    <row r="1764" hidden="1" s="169">
      <c r="A1764" s="27" t="inlineStr">
        <is>
          <t>MK00156</t>
        </is>
      </c>
      <c r="B1764" s="27" t="n">
        <v>528000351</v>
      </c>
      <c r="C1764" s="27" t="inlineStr">
        <is>
          <t>Mulyana</t>
        </is>
      </c>
      <c r="D1764" s="171" t="n">
        <v>46225.41666666666</v>
      </c>
      <c r="E1764" s="26" t="n">
        <v>0.3408217592592593</v>
      </c>
      <c r="F1764" s="27" t="inlineStr">
        <is>
          <t>Shift 1</t>
        </is>
      </c>
      <c r="G1764" s="27" t="n"/>
    </row>
    <row r="1765" hidden="1" s="169">
      <c r="A1765" s="27" t="inlineStr">
        <is>
          <t>MK0130</t>
        </is>
      </c>
      <c r="B1765" s="27" t="n">
        <v>528000149</v>
      </c>
      <c r="C1765" s="27" t="inlineStr">
        <is>
          <t>Tio Fernanda</t>
        </is>
      </c>
      <c r="D1765" s="171" t="n">
        <v>46225.41666666666</v>
      </c>
      <c r="E1765" s="26" t="n">
        <v>0.3594212962962963</v>
      </c>
      <c r="F1765" s="27" t="inlineStr">
        <is>
          <t>Shift 1</t>
        </is>
      </c>
      <c r="G1765" s="27" t="n"/>
    </row>
    <row r="1766" hidden="1" s="169">
      <c r="A1766" s="27" t="inlineStr">
        <is>
          <t>MK00205</t>
        </is>
      </c>
      <c r="B1766" s="27" t="n">
        <v>528000348</v>
      </c>
      <c r="C1766" s="27" t="inlineStr">
        <is>
          <t>Saepuloh Ardiansah</t>
        </is>
      </c>
      <c r="D1766" s="171" t="n">
        <v>46225.41666666666</v>
      </c>
      <c r="E1766" s="26" t="n">
        <v>0.3673842592592593</v>
      </c>
      <c r="F1766" s="27" t="inlineStr">
        <is>
          <t>Shift 1</t>
        </is>
      </c>
      <c r="G1766" s="27" t="n"/>
    </row>
    <row r="1767" hidden="1" s="169">
      <c r="A1767" s="27" t="inlineStr">
        <is>
          <t>MK00141</t>
        </is>
      </c>
      <c r="B1767" s="27" t="n">
        <v>528000040</v>
      </c>
      <c r="C1767" s="27" t="inlineStr">
        <is>
          <t>Agus Suryaman</t>
        </is>
      </c>
      <c r="D1767" s="171" t="n">
        <v>46225.41666666666</v>
      </c>
      <c r="E1767" s="26" t="n">
        <v>0.3725462962962963</v>
      </c>
      <c r="F1767" s="27" t="inlineStr">
        <is>
          <t>Shift 1</t>
        </is>
      </c>
      <c r="G1767" s="27" t="n"/>
    </row>
    <row r="1768" hidden="1" s="169">
      <c r="A1768" s="27" t="inlineStr">
        <is>
          <t>MK00160</t>
        </is>
      </c>
      <c r="B1768" s="27" t="n">
        <v>528000349</v>
      </c>
      <c r="C1768" s="27" t="inlineStr">
        <is>
          <t>Anas Abdul Fatah</t>
        </is>
      </c>
      <c r="D1768" s="171" t="n">
        <v>46225.41666666666</v>
      </c>
      <c r="E1768" s="26" t="n">
        <v>0.4062962962962963</v>
      </c>
      <c r="F1768" s="27" t="inlineStr">
        <is>
          <t>Shift 1</t>
        </is>
      </c>
      <c r="G1768" s="27" t="n"/>
    </row>
    <row r="1769" hidden="1" s="169">
      <c r="A1769" s="27" t="inlineStr">
        <is>
          <t>MK00093</t>
        </is>
      </c>
      <c r="B1769" s="27" t="n">
        <v>528000267</v>
      </c>
      <c r="C1769" s="27" t="inlineStr">
        <is>
          <t>Bagas Patulloh</t>
        </is>
      </c>
      <c r="D1769" s="171" t="n">
        <v>46225.41666666666</v>
      </c>
      <c r="E1769" s="26" t="n">
        <v>0.4846064814814815</v>
      </c>
      <c r="F1769" s="27" t="inlineStr">
        <is>
          <t>Shift 1</t>
        </is>
      </c>
      <c r="G1769" s="27" t="n"/>
    </row>
    <row r="1770" hidden="1" s="169">
      <c r="A1770" s="27" t="inlineStr">
        <is>
          <t>MK00085</t>
        </is>
      </c>
      <c r="B1770" s="27" t="n">
        <v>528000313</v>
      </c>
      <c r="C1770" s="27" t="inlineStr">
        <is>
          <t>Muhamad Rifki</t>
        </is>
      </c>
      <c r="D1770" s="171" t="n">
        <v>46225.41666666666</v>
      </c>
      <c r="E1770" s="26" t="n">
        <v>0.5636342592592593</v>
      </c>
      <c r="F1770" s="27" t="inlineStr">
        <is>
          <t>Shift 2</t>
        </is>
      </c>
      <c r="G1770" s="27" t="n"/>
    </row>
    <row r="1771" hidden="1" s="169">
      <c r="A1771" s="27" t="inlineStr">
        <is>
          <t>MK00217</t>
        </is>
      </c>
      <c r="B1771" s="27" t="n">
        <v>528000340</v>
      </c>
      <c r="C1771" s="27" t="inlineStr">
        <is>
          <t>Muhammad Wildan Adithya</t>
        </is>
      </c>
      <c r="D1771" s="171" t="n">
        <v>46225.41666666666</v>
      </c>
      <c r="E1771" s="26" t="n">
        <v>0.5656481481481481</v>
      </c>
      <c r="F1771" s="27" t="inlineStr">
        <is>
          <t>Shift 2</t>
        </is>
      </c>
      <c r="G1771" s="27" t="n"/>
    </row>
    <row r="1772">
      <c r="A1772" s="27" t="inlineStr">
        <is>
          <t>MK00213</t>
        </is>
      </c>
      <c r="B1772" s="27" t="n">
        <v>528000015</v>
      </c>
      <c r="C1772" s="27" t="inlineStr">
        <is>
          <t>Erwin</t>
        </is>
      </c>
      <c r="D1772" s="171" t="n">
        <v>46225.41666666666</v>
      </c>
      <c r="E1772" s="26" t="n">
        <v>0.5668055555555556</v>
      </c>
      <c r="F1772" s="27" t="inlineStr">
        <is>
          <t>Shift 2</t>
        </is>
      </c>
      <c r="G1772" s="27" t="n"/>
    </row>
    <row r="1773" hidden="1" s="169">
      <c r="A1773" s="27" t="inlineStr">
        <is>
          <t>MK00145</t>
        </is>
      </c>
      <c r="B1773" s="27" t="n">
        <v>528000298</v>
      </c>
      <c r="C1773" s="27" t="inlineStr">
        <is>
          <t>Desta Cahaya Pratama</t>
        </is>
      </c>
      <c r="D1773" s="171" t="n">
        <v>46225.41666666666</v>
      </c>
      <c r="E1773" s="26" t="n">
        <v>0.5689814814814815</v>
      </c>
      <c r="F1773" s="27" t="inlineStr">
        <is>
          <t>Shift 2</t>
        </is>
      </c>
      <c r="G1773" s="27" t="n"/>
    </row>
    <row r="1774" hidden="1" s="169">
      <c r="A1774" s="27" t="inlineStr">
        <is>
          <t>MK00212</t>
        </is>
      </c>
      <c r="B1774" s="27" t="n">
        <v>528000361</v>
      </c>
      <c r="C1774" s="27" t="inlineStr">
        <is>
          <t>Denada Munggarani</t>
        </is>
      </c>
      <c r="D1774" s="171" t="n">
        <v>46225.41666666666</v>
      </c>
      <c r="E1774" s="26" t="n">
        <v>0.5699074074074074</v>
      </c>
      <c r="F1774" s="27" t="inlineStr">
        <is>
          <t>Shift 2</t>
        </is>
      </c>
      <c r="G1774" s="27" t="n"/>
    </row>
    <row r="1775" hidden="1" s="169">
      <c r="A1775" s="27" t="inlineStr">
        <is>
          <t>MK00082</t>
        </is>
      </c>
      <c r="B1775" s="27" t="n">
        <v>528000305</v>
      </c>
      <c r="C1775" s="27" t="inlineStr">
        <is>
          <t>Puji Puspita</t>
        </is>
      </c>
      <c r="D1775" s="171" t="n">
        <v>46225.41666666666</v>
      </c>
      <c r="E1775" s="26" t="n">
        <v>0.5711342592592593</v>
      </c>
      <c r="F1775" s="27" t="inlineStr">
        <is>
          <t>Shift 2</t>
        </is>
      </c>
      <c r="G1775" s="27" t="n"/>
    </row>
    <row r="1776" hidden="1" s="169">
      <c r="A1776" s="27" t="inlineStr">
        <is>
          <t>MK00230</t>
        </is>
      </c>
      <c r="B1776" s="27" t="n">
        <v>528000270</v>
      </c>
      <c r="C1776" s="27" t="inlineStr">
        <is>
          <t>Febri Najmudin</t>
        </is>
      </c>
      <c r="D1776" s="171" t="n">
        <v>46225.41666666666</v>
      </c>
      <c r="E1776" s="26" t="n">
        <v>0.5720949074074074</v>
      </c>
      <c r="F1776" s="27" t="inlineStr">
        <is>
          <t>Shift 2</t>
        </is>
      </c>
      <c r="G1776" s="27" t="n"/>
    </row>
    <row r="1777" hidden="1" s="169">
      <c r="A1777" s="27" t="inlineStr">
        <is>
          <t>MH00108</t>
        </is>
      </c>
      <c r="B1777" s="27" t="n">
        <v>528000302</v>
      </c>
      <c r="C1777" s="27" t="inlineStr">
        <is>
          <t>Henkey gumilar</t>
        </is>
      </c>
      <c r="D1777" s="171" t="n">
        <v>46225.41666666666</v>
      </c>
      <c r="E1777" s="26" t="n">
        <v>0.5729166666666666</v>
      </c>
      <c r="F1777" s="27" t="inlineStr">
        <is>
          <t>Shift 2</t>
        </is>
      </c>
      <c r="G1777" s="27" t="n"/>
    </row>
    <row r="1778" hidden="1" s="169">
      <c r="A1778" s="27" t="inlineStr">
        <is>
          <t>MK00208</t>
        </is>
      </c>
      <c r="B1778" s="27" t="n">
        <v>528000299</v>
      </c>
      <c r="C1778" s="27" t="inlineStr">
        <is>
          <t>Siti Nurjanah</t>
        </is>
      </c>
      <c r="D1778" s="171" t="n">
        <v>46225.41666666666</v>
      </c>
      <c r="E1778" s="26" t="n">
        <v>0.5742939814814815</v>
      </c>
      <c r="F1778" s="27" t="inlineStr">
        <is>
          <t>Shift 2</t>
        </is>
      </c>
      <c r="G1778" s="27" t="n"/>
    </row>
    <row r="1779" hidden="1" s="169">
      <c r="A1779" s="27" t="inlineStr">
        <is>
          <t>MK00136</t>
        </is>
      </c>
      <c r="B1779" s="27" t="n">
        <v>528000318</v>
      </c>
      <c r="C1779" s="27" t="inlineStr">
        <is>
          <t>Bayu Padli Sepriyana</t>
        </is>
      </c>
      <c r="D1779" s="171" t="n">
        <v>46225.41666666666</v>
      </c>
      <c r="E1779" s="26" t="n">
        <v>0.5750347222222222</v>
      </c>
      <c r="F1779" s="27" t="inlineStr">
        <is>
          <t>Shift 2</t>
        </is>
      </c>
      <c r="G1779" s="27" t="n"/>
    </row>
    <row r="1780" hidden="1" s="169">
      <c r="A1780" s="27" t="inlineStr">
        <is>
          <t>MK00134</t>
        </is>
      </c>
      <c r="B1780" s="27" t="n">
        <v>528000309</v>
      </c>
      <c r="C1780" s="27" t="inlineStr">
        <is>
          <t>Ilham Ramadhan</t>
        </is>
      </c>
      <c r="D1780" s="171" t="n">
        <v>46225.41666666666</v>
      </c>
      <c r="E1780" s="26" t="n">
        <v>0.5801504629629629</v>
      </c>
      <c r="F1780" s="27" t="inlineStr">
        <is>
          <t>Shift 2</t>
        </is>
      </c>
      <c r="G1780" s="27" t="n"/>
    </row>
    <row r="1781" hidden="1" s="169">
      <c r="A1781" s="27" t="inlineStr">
        <is>
          <t>MK00220</t>
        </is>
      </c>
      <c r="B1781" s="27" t="n">
        <v>528000322</v>
      </c>
      <c r="C1781" s="27" t="inlineStr">
        <is>
          <t>Muhamad Aliludin</t>
        </is>
      </c>
      <c r="D1781" s="171" t="n">
        <v>46225.41666666666</v>
      </c>
      <c r="E1781" s="26" t="n">
        <v>0.6074189814814814</v>
      </c>
      <c r="F1781" s="27" t="inlineStr">
        <is>
          <t>Shift 2</t>
        </is>
      </c>
      <c r="G1781" s="27" t="n"/>
    </row>
    <row r="1782" hidden="1" s="169">
      <c r="A1782" s="27" t="inlineStr">
        <is>
          <t>MK00221</t>
        </is>
      </c>
      <c r="B1782" s="27" t="n">
        <v>528000144</v>
      </c>
      <c r="C1782" s="27" t="inlineStr">
        <is>
          <t>Jodi Hanafi</t>
        </is>
      </c>
      <c r="D1782" s="171" t="n">
        <v>46225.41666666666</v>
      </c>
      <c r="E1782" s="26" t="n">
        <v>0.6458912037037037</v>
      </c>
      <c r="F1782" s="27" t="inlineStr">
        <is>
          <t>Shift 2</t>
        </is>
      </c>
      <c r="G1782" s="27" t="n"/>
    </row>
    <row r="1783" hidden="1" s="169">
      <c r="A1783" s="27" t="inlineStr">
        <is>
          <t>MK00210</t>
        </is>
      </c>
      <c r="B1783" s="27" t="n">
        <v>528000232</v>
      </c>
      <c r="C1783" s="27" t="inlineStr">
        <is>
          <t>Agung Aji Suhada</t>
        </is>
      </c>
      <c r="D1783" s="171" t="n">
        <v>46225.41666666666</v>
      </c>
      <c r="E1783" s="26" t="n">
        <v>0.6543055555555556</v>
      </c>
      <c r="F1783" s="27" t="inlineStr">
        <is>
          <t>Shift 2</t>
        </is>
      </c>
      <c r="G1783" s="27" t="n"/>
    </row>
    <row r="1784" hidden="1" s="169">
      <c r="A1784" s="27" t="inlineStr">
        <is>
          <t>MK00204</t>
        </is>
      </c>
      <c r="B1784" s="27" t="n">
        <v>528000335</v>
      </c>
      <c r="C1784" s="27" t="inlineStr">
        <is>
          <t>Rizal Saepuloh</t>
        </is>
      </c>
      <c r="D1784" s="171" t="n">
        <v>46225.41666666666</v>
      </c>
      <c r="E1784" s="26" t="n">
        <v>0.6686111111111112</v>
      </c>
      <c r="F1784" s="27" t="inlineStr">
        <is>
          <t>Shift 2</t>
        </is>
      </c>
      <c r="G1784" s="27" t="n"/>
    </row>
    <row r="1785" hidden="1" s="169">
      <c r="A1785" s="27" t="inlineStr">
        <is>
          <t>MK00154</t>
        </is>
      </c>
      <c r="B1785" s="27" t="n">
        <v>528000324</v>
      </c>
      <c r="C1785" s="27" t="inlineStr">
        <is>
          <t>Sri Yanti</t>
        </is>
      </c>
      <c r="D1785" s="171" t="n">
        <v>46225.41666666666</v>
      </c>
      <c r="E1785" s="26" t="n">
        <v>0.8929282407407407</v>
      </c>
      <c r="F1785" s="27" t="inlineStr">
        <is>
          <t>Shift 3</t>
        </is>
      </c>
      <c r="G1785" s="27" t="n"/>
    </row>
    <row r="1786" hidden="1" s="169">
      <c r="A1786" s="27" t="inlineStr">
        <is>
          <t>MK00185</t>
        </is>
      </c>
      <c r="B1786" s="27" t="n">
        <v>528000297</v>
      </c>
      <c r="C1786" s="27" t="inlineStr">
        <is>
          <t>Muhamad Budiana</t>
        </is>
      </c>
      <c r="D1786" s="171" t="n">
        <v>46225.41666666666</v>
      </c>
      <c r="E1786" s="26" t="n">
        <v>0.9044907407407408</v>
      </c>
      <c r="F1786" s="27" t="inlineStr">
        <is>
          <t>Shift 3</t>
        </is>
      </c>
      <c r="G1786" s="27" t="n"/>
    </row>
    <row r="1787" hidden="1" s="169">
      <c r="A1787" s="27" t="inlineStr">
        <is>
          <t>MK00088</t>
        </is>
      </c>
      <c r="B1787" s="27" t="n">
        <v>528000248</v>
      </c>
      <c r="C1787" s="27" t="inlineStr">
        <is>
          <t>Roka Jaya Salka Mulya</t>
        </is>
      </c>
      <c r="D1787" s="171" t="n">
        <v>46225.41666666666</v>
      </c>
      <c r="E1787" s="26" t="n">
        <v>0.9068981481481482</v>
      </c>
      <c r="F1787" s="27" t="inlineStr">
        <is>
          <t>Shift 3</t>
        </is>
      </c>
      <c r="G1787" s="27" t="n"/>
    </row>
    <row r="1788" hidden="1" s="169">
      <c r="A1788" s="27" t="inlineStr">
        <is>
          <t>MK00220</t>
        </is>
      </c>
      <c r="B1788" s="27" t="n">
        <v>628000064</v>
      </c>
      <c r="C1788" s="27" t="inlineStr">
        <is>
          <t>Silva Alypia</t>
        </is>
      </c>
      <c r="D1788" s="171" t="n">
        <v>46225.41666666666</v>
      </c>
      <c r="E1788" s="26" t="n">
        <v>0.9104745370370371</v>
      </c>
      <c r="F1788" s="27" t="inlineStr">
        <is>
          <t>Shift 3</t>
        </is>
      </c>
      <c r="G1788" s="27" t="n"/>
    </row>
    <row r="1789" hidden="1" s="169">
      <c r="A1789" s="27" t="inlineStr">
        <is>
          <t>MK00095</t>
        </is>
      </c>
      <c r="B1789" s="27" t="n">
        <v>528000300</v>
      </c>
      <c r="C1789" s="27" t="inlineStr">
        <is>
          <t>Lia pitaloka</t>
        </is>
      </c>
      <c r="D1789" s="171" t="n">
        <v>46225.41666666666</v>
      </c>
      <c r="E1789" s="26" t="n">
        <v>0.9105439814814815</v>
      </c>
      <c r="F1789" s="27" t="inlineStr">
        <is>
          <t>Shift 3</t>
        </is>
      </c>
      <c r="G1789" s="27" t="n"/>
    </row>
    <row r="1790" hidden="1" s="169">
      <c r="A1790" s="27" t="inlineStr">
        <is>
          <t>MK00192</t>
        </is>
      </c>
      <c r="B1790" s="27" t="n">
        <v>528000279</v>
      </c>
      <c r="C1790" s="27" t="inlineStr">
        <is>
          <t>Mahdalena Dalfa Riani</t>
        </is>
      </c>
      <c r="D1790" s="171" t="n">
        <v>46225.41666666666</v>
      </c>
      <c r="E1790" s="26" t="n">
        <v>0.9123958333333333</v>
      </c>
      <c r="F1790" s="27" t="inlineStr">
        <is>
          <t>Shift 3</t>
        </is>
      </c>
      <c r="G1790" s="27" t="n"/>
    </row>
    <row r="1791" hidden="1" s="169">
      <c r="A1791" s="27" t="inlineStr">
        <is>
          <t>MK00143</t>
        </is>
      </c>
      <c r="B1791" s="27" t="n">
        <v>528000288</v>
      </c>
      <c r="C1791" s="27" t="inlineStr">
        <is>
          <t>Dede gunawan</t>
        </is>
      </c>
      <c r="D1791" s="171" t="n">
        <v>46225.41666666666</v>
      </c>
      <c r="E1791" s="26" t="n">
        <v>0.9124189814814815</v>
      </c>
      <c r="F1791" s="27" t="inlineStr">
        <is>
          <t>Shift 3</t>
        </is>
      </c>
      <c r="G1791" s="27" t="n"/>
    </row>
    <row r="1792" hidden="1" s="169">
      <c r="A1792" s="27" t="inlineStr">
        <is>
          <t>MK00085</t>
        </is>
      </c>
      <c r="B1792" s="27" t="n">
        <v>528000313</v>
      </c>
      <c r="C1792" s="27" t="inlineStr">
        <is>
          <t>Muhamad Rifki</t>
        </is>
      </c>
      <c r="D1792" s="171" t="n">
        <v>46225.41666666666</v>
      </c>
      <c r="E1792" s="26" t="n">
        <v>0.9222685185185185</v>
      </c>
      <c r="F1792" s="27" t="inlineStr">
        <is>
          <t>Shift 3</t>
        </is>
      </c>
      <c r="G1792" s="27" t="n"/>
    </row>
    <row r="1793" hidden="1" s="169">
      <c r="A1793" s="27" t="inlineStr">
        <is>
          <t>MK00230</t>
        </is>
      </c>
      <c r="B1793" s="27" t="n">
        <v>528000337</v>
      </c>
      <c r="C1793" s="27" t="inlineStr">
        <is>
          <t>Ahmad Zaldi Firdaus</t>
        </is>
      </c>
      <c r="D1793" s="171" t="n">
        <v>46226.41666666666</v>
      </c>
      <c r="E1793" s="26" t="n">
        <v>0.2329861111111111</v>
      </c>
      <c r="F1793" s="27" t="inlineStr">
        <is>
          <t>Shift 1</t>
        </is>
      </c>
      <c r="G1793" s="27" t="n"/>
    </row>
    <row r="1794" hidden="1" s="169">
      <c r="A1794" s="27" t="inlineStr">
        <is>
          <t>MK00156</t>
        </is>
      </c>
      <c r="B1794" s="27" t="n">
        <v>528000052</v>
      </c>
      <c r="C1794" s="27" t="inlineStr">
        <is>
          <t>Mustopa</t>
        </is>
      </c>
      <c r="D1794" s="171" t="n">
        <v>46226.41666666666</v>
      </c>
      <c r="E1794" s="26" t="n">
        <v>0.237662037037037</v>
      </c>
      <c r="F1794" s="27" t="inlineStr">
        <is>
          <t>Shift 1</t>
        </is>
      </c>
      <c r="G1794" s="27" t="n"/>
    </row>
    <row r="1795" hidden="1" s="169">
      <c r="A1795" s="27" t="inlineStr">
        <is>
          <t>MK0217</t>
        </is>
      </c>
      <c r="B1795" s="27" t="n">
        <v>528000195</v>
      </c>
      <c r="C1795" s="27" t="inlineStr">
        <is>
          <t>Rahma Sariwati</t>
        </is>
      </c>
      <c r="D1795" s="171" t="n">
        <v>46226.41666666666</v>
      </c>
      <c r="E1795" s="26" t="n">
        <v>0.2384259259259259</v>
      </c>
      <c r="F1795" s="27" t="inlineStr">
        <is>
          <t>Shift 1</t>
        </is>
      </c>
      <c r="G1795" s="27" t="n"/>
    </row>
    <row r="1796" hidden="1" s="169">
      <c r="A1796" s="27" t="inlineStr">
        <is>
          <t>MK00208</t>
        </is>
      </c>
      <c r="B1796" s="27" t="n">
        <v>528000328</v>
      </c>
      <c r="C1796" s="27" t="inlineStr">
        <is>
          <t>Nur Anjani</t>
        </is>
      </c>
      <c r="D1796" s="171" t="n">
        <v>46226.41666666666</v>
      </c>
      <c r="E1796" s="26" t="n">
        <v>0.2386458333333333</v>
      </c>
      <c r="F1796" s="27" t="inlineStr">
        <is>
          <t>Shift 1</t>
        </is>
      </c>
      <c r="G1796" s="27" t="n"/>
    </row>
    <row r="1797" hidden="1" s="169">
      <c r="A1797" s="27" t="inlineStr">
        <is>
          <t>MK00108</t>
        </is>
      </c>
      <c r="B1797" s="27" t="n">
        <v>528000261</v>
      </c>
      <c r="C1797" s="27" t="inlineStr">
        <is>
          <t>Ergi Ergianto</t>
        </is>
      </c>
      <c r="D1797" s="171" t="n">
        <v>46226.41666666666</v>
      </c>
      <c r="E1797" s="26" t="n">
        <v>0.2397685185185185</v>
      </c>
      <c r="F1797" s="27" t="inlineStr">
        <is>
          <t>Shift 1</t>
        </is>
      </c>
      <c r="G1797" s="27" t="n"/>
    </row>
    <row r="1798" hidden="1" s="169">
      <c r="A1798" s="27" t="inlineStr">
        <is>
          <t>MK00085</t>
        </is>
      </c>
      <c r="B1798" s="27" t="n">
        <v>528000306</v>
      </c>
      <c r="C1798" s="27" t="inlineStr">
        <is>
          <t>Windy Olivia</t>
        </is>
      </c>
      <c r="D1798" s="171" t="n">
        <v>46226.41666666666</v>
      </c>
      <c r="E1798" s="26" t="n">
        <v>0.2399305555555556</v>
      </c>
      <c r="F1798" s="27" t="inlineStr">
        <is>
          <t>Shift 1</t>
        </is>
      </c>
      <c r="G1798" s="27" t="n"/>
    </row>
    <row r="1799" hidden="1" s="169">
      <c r="A1799" s="27" t="inlineStr">
        <is>
          <t>MK00112</t>
        </is>
      </c>
      <c r="B1799" s="27" t="n">
        <v>528000266</v>
      </c>
      <c r="C1799" s="27" t="inlineStr">
        <is>
          <t>M. Syirajatieq</t>
        </is>
      </c>
      <c r="D1799" s="171" t="n">
        <v>46226.41666666666</v>
      </c>
      <c r="E1799" s="26" t="n">
        <v>0.2414930555555556</v>
      </c>
      <c r="F1799" s="27" t="inlineStr">
        <is>
          <t>Shift 1</t>
        </is>
      </c>
      <c r="G1799" s="27" t="n"/>
    </row>
    <row r="1800" hidden="1" s="169">
      <c r="A1800" s="27" t="inlineStr">
        <is>
          <t>MK00082</t>
        </is>
      </c>
      <c r="B1800" s="27" t="n">
        <v>528000358</v>
      </c>
      <c r="C1800" s="27" t="inlineStr">
        <is>
          <t>Lulu Agustin</t>
        </is>
      </c>
      <c r="D1800" s="171" t="n">
        <v>46226.41666666666</v>
      </c>
      <c r="E1800" s="26" t="n">
        <v>0.2429861111111111</v>
      </c>
      <c r="F1800" s="27" t="inlineStr">
        <is>
          <t>Shift 1</t>
        </is>
      </c>
      <c r="G1800" s="27" t="n"/>
    </row>
    <row r="1801" hidden="1" s="169">
      <c r="A1801" s="27" t="inlineStr">
        <is>
          <t>MK00136</t>
        </is>
      </c>
      <c r="B1801" s="27" t="n">
        <v>528000262</v>
      </c>
      <c r="C1801" s="27" t="inlineStr">
        <is>
          <t>Ndari Dwiwanti</t>
        </is>
      </c>
      <c r="D1801" s="171" t="n">
        <v>46226.41666666666</v>
      </c>
      <c r="E1801" s="26" t="n">
        <v>0.2432060185185185</v>
      </c>
      <c r="F1801" s="27" t="inlineStr">
        <is>
          <t>Shift 1</t>
        </is>
      </c>
      <c r="G1801" s="27" t="n"/>
    </row>
    <row r="1802" hidden="1" s="169">
      <c r="A1802" s="27" t="inlineStr">
        <is>
          <t>MK00250</t>
        </is>
      </c>
      <c r="B1802" s="27" t="n">
        <v>528000291</v>
      </c>
      <c r="C1802" s="27" t="inlineStr">
        <is>
          <t>Andrian</t>
        </is>
      </c>
      <c r="D1802" s="171" t="n">
        <v>46226.41666666666</v>
      </c>
      <c r="E1802" s="26" t="n">
        <v>0.2448611111111111</v>
      </c>
      <c r="F1802" s="27" t="inlineStr">
        <is>
          <t>Shift 1</t>
        </is>
      </c>
      <c r="G1802" s="27" t="n"/>
    </row>
    <row r="1803" hidden="1" s="169">
      <c r="A1803" s="27" t="inlineStr">
        <is>
          <t>MK00218</t>
        </is>
      </c>
      <c r="B1803" s="27" t="n">
        <v>528000283</v>
      </c>
      <c r="C1803" s="27" t="inlineStr">
        <is>
          <t>Purwanda Sugiri</t>
        </is>
      </c>
      <c r="D1803" s="171" t="n">
        <v>46226.41666666666</v>
      </c>
      <c r="E1803" s="26" t="n">
        <v>0.2460648148148148</v>
      </c>
      <c r="F1803" s="27" t="inlineStr">
        <is>
          <t>Shift 1</t>
        </is>
      </c>
      <c r="G1803" s="27" t="n"/>
    </row>
    <row r="1804" hidden="1" s="169">
      <c r="A1804" s="27" t="inlineStr">
        <is>
          <t>MK00125</t>
        </is>
      </c>
      <c r="B1804" s="27" t="n">
        <v>528000314</v>
      </c>
      <c r="C1804" s="27" t="inlineStr">
        <is>
          <t>Rusmana</t>
        </is>
      </c>
      <c r="D1804" s="171" t="n">
        <v>46226.41666666666</v>
      </c>
      <c r="E1804" s="26" t="n">
        <v>0.2473263888888889</v>
      </c>
      <c r="F1804" s="27" t="inlineStr">
        <is>
          <t>Shift 1</t>
        </is>
      </c>
      <c r="G1804" s="27" t="n"/>
    </row>
    <row r="1805" hidden="1" s="169">
      <c r="A1805" s="27" t="inlineStr">
        <is>
          <t>MK00185</t>
        </is>
      </c>
      <c r="B1805" s="27" t="n">
        <v>528000282</v>
      </c>
      <c r="C1805" s="27" t="inlineStr">
        <is>
          <t>Defa Desfiana</t>
        </is>
      </c>
      <c r="D1805" s="171" t="n">
        <v>46226.41666666666</v>
      </c>
      <c r="E1805" s="26" t="n">
        <v>0.3162268518518518</v>
      </c>
      <c r="F1805" s="27" t="inlineStr">
        <is>
          <t>Shift 1</t>
        </is>
      </c>
      <c r="G1805" s="27" t="inlineStr">
        <is>
          <t>32c</t>
        </is>
      </c>
    </row>
    <row r="1806" hidden="1" s="169">
      <c r="A1806" s="27" t="inlineStr">
        <is>
          <t>MK00160</t>
        </is>
      </c>
      <c r="B1806" s="27" t="n">
        <v>528000265</v>
      </c>
      <c r="C1806" s="27" t="inlineStr">
        <is>
          <t>Muhammad Haerul Rozikin</t>
        </is>
      </c>
      <c r="D1806" s="171" t="n">
        <v>46226.41666666666</v>
      </c>
      <c r="E1806" s="26" t="n">
        <v>0.3223958333333333</v>
      </c>
      <c r="F1806" s="27" t="inlineStr">
        <is>
          <t>Shift 1</t>
        </is>
      </c>
      <c r="G1806" s="27" t="n"/>
    </row>
    <row r="1807" hidden="1" s="169">
      <c r="A1807" s="27" t="inlineStr">
        <is>
          <t>MK00121</t>
        </is>
      </c>
      <c r="B1807" s="27" t="n">
        <v>528000310</v>
      </c>
      <c r="C1807" s="27" t="inlineStr">
        <is>
          <t>Fachrul Rozzi Suryana</t>
        </is>
      </c>
      <c r="D1807" s="171" t="n">
        <v>46226.41666666666</v>
      </c>
      <c r="E1807" s="26" t="n">
        <v>0.3260416666666667</v>
      </c>
      <c r="F1807" s="27" t="inlineStr">
        <is>
          <t>Shift 1</t>
        </is>
      </c>
      <c r="G1807" s="27" t="inlineStr">
        <is>
          <t>33F</t>
        </is>
      </c>
    </row>
    <row r="1808" hidden="1" s="169">
      <c r="A1808" s="27" t="inlineStr">
        <is>
          <t>MK00192</t>
        </is>
      </c>
      <c r="B1808" s="27" t="n">
        <v>528000351</v>
      </c>
      <c r="C1808" s="27" t="inlineStr">
        <is>
          <t>Mulyana</t>
        </is>
      </c>
      <c r="D1808" s="171" t="n">
        <v>46226.41666666666</v>
      </c>
      <c r="E1808" s="26" t="n">
        <v>0.3403935185185185</v>
      </c>
      <c r="F1808" s="27" t="inlineStr">
        <is>
          <t>Shift 1</t>
        </is>
      </c>
      <c r="G1808" s="27" t="n"/>
    </row>
    <row r="1809" hidden="1" s="169">
      <c r="A1809" s="27" t="inlineStr">
        <is>
          <t>MK0130</t>
        </is>
      </c>
      <c r="B1809" s="27" t="n">
        <v>528000149</v>
      </c>
      <c r="C1809" s="27" t="inlineStr">
        <is>
          <t>Tio Fernanda</t>
        </is>
      </c>
      <c r="D1809" s="171" t="n">
        <v>46226.41666666666</v>
      </c>
      <c r="E1809" s="26" t="n">
        <v>0.3676736111111111</v>
      </c>
      <c r="F1809" s="27" t="inlineStr">
        <is>
          <t>Shift 1</t>
        </is>
      </c>
      <c r="G1809" s="27" t="n"/>
    </row>
    <row r="1810" hidden="1" s="169">
      <c r="A1810" s="27" t="inlineStr">
        <is>
          <t>MK00141</t>
        </is>
      </c>
      <c r="B1810" s="27" t="n">
        <v>528000040</v>
      </c>
      <c r="C1810" s="27" t="inlineStr">
        <is>
          <t>Agus Suryaman</t>
        </is>
      </c>
      <c r="D1810" s="171" t="n">
        <v>46226.41666666666</v>
      </c>
      <c r="E1810" s="26" t="n">
        <v>0.3689930555555556</v>
      </c>
      <c r="F1810" s="27" t="inlineStr">
        <is>
          <t>Shift 1</t>
        </is>
      </c>
      <c r="G1810" s="27" t="n"/>
    </row>
    <row r="1811" hidden="1" s="169">
      <c r="A1811" s="27" t="inlineStr">
        <is>
          <t>MK00205</t>
        </is>
      </c>
      <c r="B1811" s="27" t="n">
        <v>528000348</v>
      </c>
      <c r="C1811" s="27" t="inlineStr">
        <is>
          <t>Saepuloh Ardiansah</t>
        </is>
      </c>
      <c r="D1811" s="171" t="n">
        <v>46226.41666666666</v>
      </c>
      <c r="E1811" s="26" t="n">
        <v>0.3694444444444445</v>
      </c>
      <c r="F1811" s="27" t="inlineStr">
        <is>
          <t>Shift 1</t>
        </is>
      </c>
      <c r="G1811" s="27" t="n"/>
    </row>
    <row r="1812" hidden="1" s="169">
      <c r="A1812" s="27" t="inlineStr">
        <is>
          <t>MK00209</t>
        </is>
      </c>
      <c r="B1812" s="27" t="n">
        <v>528000349</v>
      </c>
      <c r="C1812" s="27" t="inlineStr">
        <is>
          <t>Anas Abdul Fatah</t>
        </is>
      </c>
      <c r="D1812" s="171" t="n">
        <v>46226.41666666666</v>
      </c>
      <c r="E1812" s="26" t="n">
        <v>0.3997916666666667</v>
      </c>
      <c r="F1812" s="27" t="inlineStr">
        <is>
          <t>Shift 1</t>
        </is>
      </c>
      <c r="G1812" s="27" t="n"/>
    </row>
    <row r="1813" hidden="1" s="169">
      <c r="A1813" s="27" t="inlineStr">
        <is>
          <t>MK00113</t>
        </is>
      </c>
      <c r="B1813" s="27" t="n">
        <v>628000091</v>
      </c>
      <c r="C1813" s="27" t="inlineStr">
        <is>
          <t>Devita Handayani</t>
        </is>
      </c>
      <c r="D1813" s="171" t="n">
        <v>46226.41666666666</v>
      </c>
      <c r="E1813" s="26" t="n">
        <v>0.5516550925925926</v>
      </c>
      <c r="F1813" s="27" t="inlineStr">
        <is>
          <t>Shift 2</t>
        </is>
      </c>
      <c r="G1813" s="27" t="n"/>
    </row>
    <row r="1814" hidden="1" s="169">
      <c r="A1814" s="27" t="inlineStr">
        <is>
          <t>MK00090</t>
        </is>
      </c>
      <c r="B1814" s="27" t="n">
        <v>528000340</v>
      </c>
      <c r="C1814" s="27" t="inlineStr">
        <is>
          <t>Muhammad Wildan Adithya</t>
        </is>
      </c>
      <c r="D1814" s="171" t="n">
        <v>46226.41666666666</v>
      </c>
      <c r="E1814" s="26" t="n">
        <v>0.5673495370370371</v>
      </c>
      <c r="F1814" s="27" t="inlineStr">
        <is>
          <t>Shift 2</t>
        </is>
      </c>
      <c r="G1814" s="27" t="n"/>
    </row>
    <row r="1815" hidden="1" s="169">
      <c r="A1815" s="27" t="inlineStr">
        <is>
          <t>MK00181</t>
        </is>
      </c>
      <c r="B1815" s="27" t="n">
        <v>528000313</v>
      </c>
      <c r="C1815" s="27" t="inlineStr">
        <is>
          <t>Muhamad Rifki</t>
        </is>
      </c>
      <c r="D1815" s="171" t="n">
        <v>46226.41666666666</v>
      </c>
      <c r="E1815" s="26" t="n">
        <v>0.5681944444444444</v>
      </c>
      <c r="F1815" s="27" t="inlineStr">
        <is>
          <t>Shift 2</t>
        </is>
      </c>
      <c r="G1815" s="27" t="n"/>
    </row>
    <row r="1816" hidden="1" s="169">
      <c r="A1816" s="27" t="inlineStr">
        <is>
          <t>MK00184</t>
        </is>
      </c>
      <c r="B1816" s="27" t="n">
        <v>528000298</v>
      </c>
      <c r="C1816" s="27" t="inlineStr">
        <is>
          <t>Desta Cahaya Pratama</t>
        </is>
      </c>
      <c r="D1816" s="171" t="n">
        <v>46226.41666666666</v>
      </c>
      <c r="E1816" s="26" t="n">
        <v>0.5683912037037037</v>
      </c>
      <c r="F1816" s="27" t="inlineStr">
        <is>
          <t>Shift 2</t>
        </is>
      </c>
      <c r="G1816" s="27" t="n"/>
    </row>
    <row r="1817" hidden="1" s="169">
      <c r="A1817" s="27" t="inlineStr">
        <is>
          <t>MK00109</t>
        </is>
      </c>
      <c r="B1817" s="27" t="n">
        <v>528000305</v>
      </c>
      <c r="C1817" s="27" t="inlineStr">
        <is>
          <t>Puji Puspita</t>
        </is>
      </c>
      <c r="D1817" s="171" t="n">
        <v>46226.41666666666</v>
      </c>
      <c r="E1817" s="26" t="n">
        <v>0.5705439814814814</v>
      </c>
      <c r="F1817" s="27" t="inlineStr">
        <is>
          <t>Shift 2</t>
        </is>
      </c>
      <c r="G1817" s="27" t="n"/>
    </row>
    <row r="1818" hidden="1" s="169">
      <c r="A1818" s="27" t="inlineStr">
        <is>
          <t>MK00202</t>
        </is>
      </c>
      <c r="B1818" s="27" t="n">
        <v>528000302</v>
      </c>
      <c r="C1818" s="27" t="inlineStr">
        <is>
          <t>Henkey gumilar</t>
        </is>
      </c>
      <c r="D1818" s="171" t="n">
        <v>46226.41666666666</v>
      </c>
      <c r="E1818" s="26" t="n">
        <v>0.5714351851851852</v>
      </c>
      <c r="F1818" s="27" t="inlineStr">
        <is>
          <t>Shift 2</t>
        </is>
      </c>
      <c r="G1818" s="27" t="n"/>
    </row>
    <row r="1819">
      <c r="A1819" s="27" t="inlineStr">
        <is>
          <t>MK00118</t>
        </is>
      </c>
      <c r="B1819" s="27" t="n">
        <v>528000015</v>
      </c>
      <c r="C1819" s="27" t="inlineStr">
        <is>
          <t>Erwin</t>
        </is>
      </c>
      <c r="D1819" s="171" t="n">
        <v>46226.41666666666</v>
      </c>
      <c r="E1819" s="26" t="n">
        <v>0.5717592592592593</v>
      </c>
      <c r="F1819" s="27" t="inlineStr">
        <is>
          <t>Shift 2</t>
        </is>
      </c>
      <c r="G1819" s="27" t="n"/>
    </row>
    <row r="1820" hidden="1" s="169">
      <c r="A1820" s="27" t="inlineStr">
        <is>
          <t>MK00055</t>
        </is>
      </c>
      <c r="B1820" s="27" t="n">
        <v>528000299</v>
      </c>
      <c r="C1820" s="27" t="inlineStr">
        <is>
          <t>Siti Nurjanah</t>
        </is>
      </c>
      <c r="D1820" s="171" t="n">
        <v>46226.41666666666</v>
      </c>
      <c r="E1820" s="26" t="n">
        <v>0.5718055555555556</v>
      </c>
      <c r="F1820" s="27" t="inlineStr">
        <is>
          <t>Shift 2</t>
        </is>
      </c>
      <c r="G1820" s="27" t="n"/>
    </row>
    <row r="1821" hidden="1" s="169">
      <c r="A1821" s="27" t="inlineStr">
        <is>
          <t>MK00249</t>
        </is>
      </c>
      <c r="B1821" s="27" t="n">
        <v>528000322</v>
      </c>
      <c r="C1821" s="27" t="inlineStr">
        <is>
          <t>Muhamad Aliludin</t>
        </is>
      </c>
      <c r="D1821" s="171" t="n">
        <v>46226.41666666666</v>
      </c>
      <c r="E1821" s="26" t="n">
        <v>0.5720717592592592</v>
      </c>
      <c r="F1821" s="27" t="inlineStr">
        <is>
          <t>Shift 2</t>
        </is>
      </c>
      <c r="G1821" s="27" t="n"/>
    </row>
    <row r="1822" hidden="1" s="169">
      <c r="A1822" s="27" t="inlineStr">
        <is>
          <t>MK00095</t>
        </is>
      </c>
      <c r="B1822" s="27" t="n">
        <v>528000361</v>
      </c>
      <c r="C1822" s="27" t="inlineStr">
        <is>
          <t>Denada Munggarani</t>
        </is>
      </c>
      <c r="D1822" s="171" t="n">
        <v>46226.41666666666</v>
      </c>
      <c r="E1822" s="26" t="n">
        <v>0.5736342592592593</v>
      </c>
      <c r="F1822" s="27" t="inlineStr">
        <is>
          <t>Shift 2</t>
        </is>
      </c>
      <c r="G1822" s="27" t="n"/>
    </row>
    <row r="1823" hidden="1" s="169">
      <c r="A1823" s="27" t="inlineStr">
        <is>
          <t>MK00145</t>
        </is>
      </c>
      <c r="B1823" s="27" t="n">
        <v>528000309</v>
      </c>
      <c r="C1823" s="27" t="inlineStr">
        <is>
          <t>Ilham Ramadhan</t>
        </is>
      </c>
      <c r="D1823" s="171" t="n">
        <v>46226.41666666666</v>
      </c>
      <c r="E1823" s="26" t="n">
        <v>0.5746180555555556</v>
      </c>
      <c r="F1823" s="27" t="inlineStr">
        <is>
          <t>Shift 2</t>
        </is>
      </c>
      <c r="G1823" s="27" t="n"/>
    </row>
    <row r="1824" hidden="1" s="169">
      <c r="A1824" s="27" t="inlineStr">
        <is>
          <t>MK00116</t>
        </is>
      </c>
      <c r="B1824" s="27" t="n">
        <v>528000270</v>
      </c>
      <c r="C1824" s="27" t="inlineStr">
        <is>
          <t>Febri Najmudin</t>
        </is>
      </c>
      <c r="D1824" s="171" t="n">
        <v>46226.41666666666</v>
      </c>
      <c r="E1824" s="26" t="n">
        <v>0.575</v>
      </c>
      <c r="F1824" s="27" t="inlineStr">
        <is>
          <t>Shift 2</t>
        </is>
      </c>
      <c r="G1824" s="27" t="n"/>
    </row>
    <row r="1825" hidden="1" s="169">
      <c r="A1825" s="27" t="inlineStr">
        <is>
          <t>MK00235</t>
        </is>
      </c>
      <c r="B1825" s="27" t="n">
        <v>528000318</v>
      </c>
      <c r="C1825" s="27" t="inlineStr">
        <is>
          <t>Bayu Padli Sepriyana</t>
        </is>
      </c>
      <c r="D1825" s="171" t="n">
        <v>46226.41666666666</v>
      </c>
      <c r="E1825" s="26" t="n">
        <v>0.5755671296296296</v>
      </c>
      <c r="F1825" s="27" t="inlineStr">
        <is>
          <t>Shift 2</t>
        </is>
      </c>
      <c r="G1825" s="27" t="n"/>
    </row>
    <row r="1826" hidden="1" s="169">
      <c r="A1826" s="27" t="inlineStr">
        <is>
          <t>MK00212</t>
        </is>
      </c>
      <c r="B1826" s="27" t="n">
        <v>528000244</v>
      </c>
      <c r="C1826" s="27" t="inlineStr">
        <is>
          <t>Rodian Rifai</t>
        </is>
      </c>
      <c r="D1826" s="171" t="n">
        <v>46226.41666666666</v>
      </c>
      <c r="E1826" s="26" t="n">
        <v>0.5910763888888889</v>
      </c>
      <c r="F1826" s="27" t="inlineStr">
        <is>
          <t>Shift 2</t>
        </is>
      </c>
      <c r="G1826" s="27" t="n"/>
    </row>
    <row r="1827" hidden="1" s="169">
      <c r="A1827" s="27" t="inlineStr">
        <is>
          <t>MK00221</t>
        </is>
      </c>
      <c r="B1827" s="27" t="n">
        <v>528000144</v>
      </c>
      <c r="C1827" s="27" t="inlineStr">
        <is>
          <t>Jodi Hanafi</t>
        </is>
      </c>
      <c r="D1827" s="171" t="n">
        <v>46226.41666666666</v>
      </c>
      <c r="E1827" s="26" t="n">
        <v>0.6503935185185186</v>
      </c>
      <c r="F1827" s="27" t="inlineStr">
        <is>
          <t>Shift 2</t>
        </is>
      </c>
      <c r="G1827" s="27" t="n"/>
    </row>
    <row r="1828" hidden="1" s="169">
      <c r="A1828" s="27" t="inlineStr">
        <is>
          <t>MK00210</t>
        </is>
      </c>
      <c r="B1828" s="27" t="n">
        <v>528000232</v>
      </c>
      <c r="C1828" s="27" t="inlineStr">
        <is>
          <t>Agung Aji Suhada</t>
        </is>
      </c>
      <c r="D1828" s="171" t="n">
        <v>46226.41666666666</v>
      </c>
      <c r="E1828" s="26" t="n">
        <v>0.6609490740740741</v>
      </c>
      <c r="F1828" s="27" t="inlineStr">
        <is>
          <t>Shift 2</t>
        </is>
      </c>
      <c r="G1828" s="27" t="n"/>
    </row>
    <row r="1829" hidden="1" s="169">
      <c r="A1829" s="27" t="inlineStr">
        <is>
          <t>MK00204</t>
        </is>
      </c>
      <c r="B1829" s="27" t="n">
        <v>528000335</v>
      </c>
      <c r="C1829" s="27" t="inlineStr">
        <is>
          <t>Rizal Saepuloh</t>
        </is>
      </c>
      <c r="D1829" s="171" t="n">
        <v>46226.41666666666</v>
      </c>
      <c r="E1829" s="26" t="n">
        <v>0.6623263888888888</v>
      </c>
      <c r="F1829" s="27" t="inlineStr">
        <is>
          <t>Shift 2</t>
        </is>
      </c>
      <c r="G1829" s="27" t="n"/>
    </row>
    <row r="1830" hidden="1" s="169">
      <c r="A1830" s="27" t="inlineStr">
        <is>
          <t>MK00160</t>
        </is>
      </c>
      <c r="B1830" s="27" t="n">
        <v>528000323</v>
      </c>
      <c r="C1830" s="27" t="inlineStr">
        <is>
          <t>Dian Hamidah</t>
        </is>
      </c>
      <c r="D1830" s="171" t="n">
        <v>46226.41666666666</v>
      </c>
      <c r="E1830" s="26" t="n">
        <v>0.9031134259259259</v>
      </c>
      <c r="F1830" s="27" t="inlineStr">
        <is>
          <t>Shift 3</t>
        </is>
      </c>
      <c r="G1830" s="27" t="n"/>
    </row>
    <row r="1831" hidden="1" s="169">
      <c r="A1831" s="27" t="inlineStr">
        <is>
          <t>MK00185</t>
        </is>
      </c>
      <c r="B1831" s="27" t="n">
        <v>528000248</v>
      </c>
      <c r="C1831" s="27" t="inlineStr">
        <is>
          <t>Roka Jaya Salka Mulya</t>
        </is>
      </c>
      <c r="D1831" s="171" t="n">
        <v>46226.41666666666</v>
      </c>
      <c r="E1831" s="26" t="n">
        <v>0.9097800925925926</v>
      </c>
      <c r="F1831" s="27" t="inlineStr">
        <is>
          <t>Shift 3</t>
        </is>
      </c>
      <c r="G1831" s="27" t="n"/>
    </row>
    <row r="1832" hidden="1" s="169">
      <c r="A1832" s="27" t="inlineStr">
        <is>
          <t>MK00121</t>
        </is>
      </c>
      <c r="B1832" s="27" t="n">
        <v>528000297</v>
      </c>
      <c r="C1832" s="27" t="inlineStr">
        <is>
          <t>Muhamad Budiana</t>
        </is>
      </c>
      <c r="D1832" s="171" t="n">
        <v>46226.41666666666</v>
      </c>
      <c r="E1832" s="26" t="n">
        <v>0.9105324074074074</v>
      </c>
      <c r="F1832" s="27" t="inlineStr">
        <is>
          <t>Shift 3</t>
        </is>
      </c>
      <c r="G1832" s="27" t="n"/>
    </row>
    <row r="1833" hidden="1" s="169">
      <c r="A1833" s="27" t="inlineStr">
        <is>
          <t>MK00220</t>
        </is>
      </c>
      <c r="B1833" s="27" t="n">
        <v>528000279</v>
      </c>
      <c r="C1833" s="27" t="inlineStr">
        <is>
          <t>Mahdalena Dalfa Riani</t>
        </is>
      </c>
      <c r="D1833" s="171" t="n">
        <v>46226.41666666666</v>
      </c>
      <c r="E1833" s="26" t="n">
        <v>0.9118402777777778</v>
      </c>
      <c r="F1833" s="27" t="inlineStr">
        <is>
          <t>Shift 3</t>
        </is>
      </c>
      <c r="G1833" s="27" t="n"/>
    </row>
    <row r="1834" hidden="1" s="169">
      <c r="A1834" s="27" t="inlineStr">
        <is>
          <t>MK00134</t>
        </is>
      </c>
      <c r="B1834" s="27" t="n">
        <v>528000288</v>
      </c>
      <c r="C1834" s="27" t="inlineStr">
        <is>
          <t>Dede gunawan</t>
        </is>
      </c>
      <c r="D1834" s="171" t="n">
        <v>46226.41666666666</v>
      </c>
      <c r="E1834" s="26" t="n">
        <v>0.9136805555555556</v>
      </c>
      <c r="F1834" s="27" t="inlineStr">
        <is>
          <t>Shift 3</t>
        </is>
      </c>
      <c r="G1834" s="27" t="n"/>
    </row>
    <row r="1835" hidden="1" s="169">
      <c r="A1835" s="27" t="inlineStr">
        <is>
          <t>MK00090</t>
        </is>
      </c>
      <c r="B1835" s="27" t="n">
        <v>528000052</v>
      </c>
      <c r="C1835" s="27" t="inlineStr">
        <is>
          <t>Mustopa</t>
        </is>
      </c>
      <c r="D1835" s="171" t="n">
        <v>46227.41666666666</v>
      </c>
      <c r="E1835" s="26" t="n">
        <v>0.2309259259259259</v>
      </c>
      <c r="F1835" s="27" t="inlineStr">
        <is>
          <t>Shift 1</t>
        </is>
      </c>
      <c r="G1835" s="27" t="n"/>
    </row>
    <row r="1836" hidden="1" s="169">
      <c r="A1836" s="27" t="inlineStr">
        <is>
          <t>MK00249</t>
        </is>
      </c>
      <c r="B1836" s="27" t="n">
        <v>528000337</v>
      </c>
      <c r="C1836" s="27" t="inlineStr">
        <is>
          <t>Ahmad Zaldi Firdaus</t>
        </is>
      </c>
      <c r="D1836" s="171" t="n">
        <v>46227.41666666666</v>
      </c>
      <c r="E1836" s="26" t="n">
        <v>0.2393865740740741</v>
      </c>
      <c r="F1836" s="27" t="inlineStr">
        <is>
          <t>Shift 1</t>
        </is>
      </c>
      <c r="G1836" s="27" t="n"/>
    </row>
    <row r="1837" hidden="1" s="169">
      <c r="A1837" s="27" t="inlineStr">
        <is>
          <t>MK00145</t>
        </is>
      </c>
      <c r="B1837" s="27" t="n">
        <v>528000336</v>
      </c>
      <c r="C1837" s="27" t="inlineStr">
        <is>
          <t>Ali Nurhanafi</t>
        </is>
      </c>
      <c r="D1837" s="171" t="n">
        <v>46227.41666666666</v>
      </c>
      <c r="E1837" s="26" t="n">
        <v>0.2400347222222222</v>
      </c>
      <c r="F1837" s="27" t="inlineStr">
        <is>
          <t>Shift 1</t>
        </is>
      </c>
      <c r="G1837" s="27" t="n"/>
    </row>
    <row r="1838" hidden="1" s="169">
      <c r="A1838" s="27" t="inlineStr">
        <is>
          <t>MK00095</t>
        </is>
      </c>
      <c r="B1838" s="27" t="n">
        <v>528000358</v>
      </c>
      <c r="C1838" s="27" t="inlineStr">
        <is>
          <t>Lulu Agustin</t>
        </is>
      </c>
      <c r="D1838" s="171" t="n">
        <v>46227.41666666666</v>
      </c>
      <c r="E1838" s="26" t="n">
        <v>0.2401736111111111</v>
      </c>
      <c r="F1838" s="27" t="inlineStr">
        <is>
          <t>Shift 1</t>
        </is>
      </c>
      <c r="G1838" s="27" t="n"/>
    </row>
    <row r="1839" hidden="1" s="169">
      <c r="A1839" s="27" t="inlineStr">
        <is>
          <t>MK00156</t>
        </is>
      </c>
      <c r="B1839" s="27" t="n">
        <v>528000306</v>
      </c>
      <c r="C1839" s="27" t="inlineStr">
        <is>
          <t>Windy Olivia</t>
        </is>
      </c>
      <c r="D1839" s="171" t="n">
        <v>46227.41666666666</v>
      </c>
      <c r="E1839" s="26" t="n">
        <v>0.2408912037037037</v>
      </c>
      <c r="F1839" s="27" t="inlineStr">
        <is>
          <t>Shift 1</t>
        </is>
      </c>
      <c r="G1839" s="27" t="n"/>
    </row>
    <row r="1840" hidden="1" s="169">
      <c r="A1840" s="27" t="inlineStr">
        <is>
          <t>MK00055</t>
        </is>
      </c>
      <c r="B1840" s="27" t="n">
        <v>528000266</v>
      </c>
      <c r="C1840" s="27" t="inlineStr">
        <is>
          <t>M. Syirajatieq</t>
        </is>
      </c>
      <c r="D1840" s="171" t="n">
        <v>46227.41666666666</v>
      </c>
      <c r="E1840" s="26" t="n">
        <v>0.2424074074074074</v>
      </c>
      <c r="F1840" s="27" t="inlineStr">
        <is>
          <t>Shift 1</t>
        </is>
      </c>
      <c r="G1840" s="27" t="n"/>
    </row>
    <row r="1841" hidden="1" s="169">
      <c r="A1841" s="27" t="inlineStr">
        <is>
          <t>MK00184</t>
        </is>
      </c>
      <c r="B1841" s="27" t="n">
        <v>528000195</v>
      </c>
      <c r="C1841" s="27" t="inlineStr">
        <is>
          <t>Rahma Sariwati</t>
        </is>
      </c>
      <c r="D1841" s="171" t="n">
        <v>46227.41666666666</v>
      </c>
      <c r="E1841" s="26" t="n">
        <v>0.2427546296296296</v>
      </c>
      <c r="F1841" s="27" t="inlineStr">
        <is>
          <t>Shift 1</t>
        </is>
      </c>
      <c r="G1841" s="27" t="n"/>
    </row>
    <row r="1842" hidden="1" s="169">
      <c r="A1842" s="27" t="inlineStr">
        <is>
          <t>MK00181</t>
        </is>
      </c>
      <c r="B1842" s="27" t="n">
        <v>528000328</v>
      </c>
      <c r="C1842" s="27" t="inlineStr">
        <is>
          <t>Nur Anjani</t>
        </is>
      </c>
      <c r="D1842" s="171" t="n">
        <v>46227.41666666666</v>
      </c>
      <c r="E1842" s="26" t="n">
        <v>0.2430092592592593</v>
      </c>
      <c r="F1842" s="27" t="inlineStr">
        <is>
          <t>Shift 1</t>
        </is>
      </c>
      <c r="G1842" s="27" t="n"/>
    </row>
    <row r="1843" hidden="1" s="169">
      <c r="A1843" s="27" t="inlineStr">
        <is>
          <t>MK00136</t>
        </is>
      </c>
      <c r="B1843" s="27" t="n">
        <v>528000261</v>
      </c>
      <c r="C1843" s="27" t="inlineStr">
        <is>
          <t>Ergi Ergianto</t>
        </is>
      </c>
      <c r="D1843" s="171" t="n">
        <v>46227.41666666666</v>
      </c>
      <c r="E1843" s="26" t="n">
        <v>0.2431597222222222</v>
      </c>
      <c r="F1843" s="27" t="inlineStr">
        <is>
          <t>Shift 1</t>
        </is>
      </c>
      <c r="G1843" s="27" t="n"/>
    </row>
    <row r="1844" hidden="1" s="169">
      <c r="A1844" s="27" t="inlineStr">
        <is>
          <t>MK00125</t>
        </is>
      </c>
      <c r="B1844" s="27" t="n">
        <v>528000314</v>
      </c>
      <c r="C1844" s="27" t="inlineStr">
        <is>
          <t>Rusmana</t>
        </is>
      </c>
      <c r="D1844" s="171" t="n">
        <v>46227.41666666666</v>
      </c>
      <c r="E1844" s="26" t="n">
        <v>0.2461574074074074</v>
      </c>
      <c r="F1844" s="27" t="inlineStr">
        <is>
          <t>Shift 1</t>
        </is>
      </c>
      <c r="G1844" s="27" t="n"/>
    </row>
    <row r="1845" hidden="1" s="169">
      <c r="A1845" s="27" t="inlineStr">
        <is>
          <t>MK00217</t>
        </is>
      </c>
      <c r="B1845" s="27" t="n">
        <v>528000340</v>
      </c>
      <c r="C1845" s="27" t="inlineStr">
        <is>
          <t>Muhammad Wildan Adithya</t>
        </is>
      </c>
      <c r="D1845" s="171" t="n">
        <v>46227.41666666666</v>
      </c>
      <c r="E1845" s="26" t="n">
        <v>0.2462152777777778</v>
      </c>
      <c r="F1845" s="27" t="inlineStr">
        <is>
          <t>Shift 1</t>
        </is>
      </c>
      <c r="G1845" s="27" t="n"/>
    </row>
    <row r="1846" hidden="1" s="169">
      <c r="A1846" s="27" t="inlineStr">
        <is>
          <t>MK00085</t>
        </is>
      </c>
      <c r="B1846" s="27" t="n">
        <v>528000283</v>
      </c>
      <c r="C1846" s="27" t="inlineStr">
        <is>
          <t>Purwanda Sugiri</t>
        </is>
      </c>
      <c r="D1846" s="171" t="n">
        <v>46227.41666666666</v>
      </c>
      <c r="E1846" s="26" t="n">
        <v>0.2474768518518519</v>
      </c>
      <c r="F1846" s="27" t="inlineStr">
        <is>
          <t>Shift 1</t>
        </is>
      </c>
      <c r="G1846" s="27" t="n"/>
    </row>
    <row r="1847" hidden="1" s="169">
      <c r="A1847" s="27" t="inlineStr">
        <is>
          <t>MK00160</t>
        </is>
      </c>
      <c r="B1847" s="27" t="n">
        <v>528000282</v>
      </c>
      <c r="C1847" s="27" t="inlineStr">
        <is>
          <t>Defa Desfiana</t>
        </is>
      </c>
      <c r="D1847" s="171" t="n">
        <v>46227.41666666666</v>
      </c>
      <c r="E1847" s="26" t="n">
        <v>0.3207638888888889</v>
      </c>
      <c r="F1847" s="27" t="inlineStr">
        <is>
          <t>Shift 1</t>
        </is>
      </c>
      <c r="G1847" s="27" t="inlineStr">
        <is>
          <t>32c</t>
        </is>
      </c>
    </row>
    <row r="1848" hidden="1" s="169">
      <c r="A1848" s="27" t="inlineStr">
        <is>
          <t>MK00220</t>
        </is>
      </c>
      <c r="B1848" s="27" t="n">
        <v>528000310</v>
      </c>
      <c r="C1848" s="27" t="inlineStr">
        <is>
          <t>Fachrul Rozzi Suryana</t>
        </is>
      </c>
      <c r="D1848" s="171" t="n">
        <v>46227.41666666666</v>
      </c>
      <c r="E1848" s="26" t="n">
        <v>0.3270717592592592</v>
      </c>
      <c r="F1848" s="27" t="inlineStr">
        <is>
          <t>Shift 1</t>
        </is>
      </c>
      <c r="G1848" s="27" t="inlineStr">
        <is>
          <t>33F</t>
        </is>
      </c>
    </row>
    <row r="1849" hidden="1" s="169">
      <c r="A1849" s="27" t="inlineStr">
        <is>
          <t>MK00143</t>
        </is>
      </c>
      <c r="B1849" s="27" t="n">
        <v>528000265</v>
      </c>
      <c r="C1849" s="27" t="inlineStr">
        <is>
          <t>Muhammad Haerul Rozikin</t>
        </is>
      </c>
      <c r="D1849" s="171" t="n">
        <v>46227.41666666666</v>
      </c>
      <c r="E1849" s="26" t="n">
        <v>0.3293865740740741</v>
      </c>
      <c r="F1849" s="27" t="inlineStr">
        <is>
          <t>Shift 1</t>
        </is>
      </c>
      <c r="G1849" s="27" t="n"/>
    </row>
    <row r="1850" hidden="1" s="169">
      <c r="A1850" s="27" t="inlineStr">
        <is>
          <t>MK00192</t>
        </is>
      </c>
      <c r="B1850" s="27" t="n">
        <v>528000351</v>
      </c>
      <c r="C1850" s="27" t="inlineStr">
        <is>
          <t>Mulyana</t>
        </is>
      </c>
      <c r="D1850" s="171" t="n">
        <v>46227.41666666666</v>
      </c>
      <c r="E1850" s="26" t="n">
        <v>0.3309143518518519</v>
      </c>
      <c r="F1850" s="27" t="inlineStr">
        <is>
          <t>Shift 1</t>
        </is>
      </c>
      <c r="G1850" s="27" t="n"/>
    </row>
    <row r="1851" hidden="1" s="169">
      <c r="A1851" s="27" t="inlineStr">
        <is>
          <t>MK0130</t>
        </is>
      </c>
      <c r="B1851" s="27" t="n">
        <v>528000149</v>
      </c>
      <c r="C1851" s="27" t="inlineStr">
        <is>
          <t>Tio Fernanda</t>
        </is>
      </c>
      <c r="D1851" s="171" t="n">
        <v>46227.41666666666</v>
      </c>
      <c r="E1851" s="26" t="n">
        <v>0.3724189814814815</v>
      </c>
      <c r="F1851" s="27" t="inlineStr">
        <is>
          <t>Shift 1</t>
        </is>
      </c>
      <c r="G1851" s="27" t="n"/>
    </row>
    <row r="1852" hidden="1" s="169">
      <c r="A1852" s="27" t="inlineStr">
        <is>
          <t>MK00205</t>
        </is>
      </c>
      <c r="B1852" s="27" t="n">
        <v>528000348</v>
      </c>
      <c r="C1852" s="27" t="inlineStr">
        <is>
          <t>Saepuloh Ardiansah</t>
        </is>
      </c>
      <c r="D1852" s="171" t="n">
        <v>46227.41666666666</v>
      </c>
      <c r="E1852" s="26" t="n">
        <v>0.3729050925925926</v>
      </c>
      <c r="F1852" s="27" t="inlineStr">
        <is>
          <t>Shift 1</t>
        </is>
      </c>
      <c r="G1852" s="27" t="n"/>
    </row>
    <row r="1853" hidden="1" s="169">
      <c r="A1853" s="27" t="inlineStr">
        <is>
          <t>MK00141</t>
        </is>
      </c>
      <c r="B1853" s="27" t="n">
        <v>528000040</v>
      </c>
      <c r="C1853" s="27" t="inlineStr">
        <is>
          <t>Agus Suryaman</t>
        </is>
      </c>
      <c r="D1853" s="171" t="n">
        <v>46227.41666666666</v>
      </c>
      <c r="E1853" s="26" t="n">
        <v>0.3730555555555555</v>
      </c>
      <c r="F1853" s="27" t="inlineStr">
        <is>
          <t>Shift 1</t>
        </is>
      </c>
      <c r="G1853" s="27" t="n"/>
    </row>
    <row r="1854" hidden="1" s="169">
      <c r="A1854" s="27" t="inlineStr">
        <is>
          <t>MK00210</t>
        </is>
      </c>
      <c r="B1854" s="27" t="n">
        <v>528000232</v>
      </c>
      <c r="C1854" s="27" t="inlineStr">
        <is>
          <t>Agung Aji Suhada</t>
        </is>
      </c>
      <c r="D1854" s="171" t="n">
        <v>46227.41666666666</v>
      </c>
      <c r="E1854" s="26" t="n">
        <v>0.5328703703703703</v>
      </c>
      <c r="F1854" s="27" t="inlineStr">
        <is>
          <t>Shift 1</t>
        </is>
      </c>
      <c r="G1854" s="27" t="n"/>
    </row>
    <row r="1855" hidden="1" s="169">
      <c r="A1855" s="27" t="inlineStr">
        <is>
          <t>MK00221</t>
        </is>
      </c>
      <c r="B1855" s="27" t="n">
        <v>528000144</v>
      </c>
      <c r="C1855" s="27" t="inlineStr">
        <is>
          <t>Jodi Hanafi</t>
        </is>
      </c>
      <c r="D1855" s="171" t="n">
        <v>46227.41666666666</v>
      </c>
      <c r="E1855" s="26" t="n">
        <v>0.5403819444444444</v>
      </c>
      <c r="F1855" s="27" t="inlineStr">
        <is>
          <t>Shift 1</t>
        </is>
      </c>
      <c r="G1855" s="27" t="n"/>
    </row>
    <row r="1856" hidden="1" s="169">
      <c r="A1856" s="27" t="inlineStr">
        <is>
          <t>MK00204</t>
        </is>
      </c>
      <c r="B1856" s="27" t="n">
        <v>528000335</v>
      </c>
      <c r="C1856" s="27" t="inlineStr">
        <is>
          <t>Rizal Saepuloh</t>
        </is>
      </c>
      <c r="D1856" s="171" t="n">
        <v>46227.41666666666</v>
      </c>
      <c r="E1856" s="26" t="n">
        <v>0.5410879629629629</v>
      </c>
      <c r="F1856" s="27" t="inlineStr">
        <is>
          <t>Shift 1</t>
        </is>
      </c>
      <c r="G1856" s="27" t="n"/>
    </row>
    <row r="1857" hidden="1" s="169">
      <c r="A1857" s="27" t="inlineStr">
        <is>
          <t>MK00082</t>
        </is>
      </c>
      <c r="B1857" s="27" t="n">
        <v>528000313</v>
      </c>
      <c r="C1857" s="27" t="inlineStr">
        <is>
          <t>Muhamad Rifki</t>
        </is>
      </c>
      <c r="D1857" s="171" t="n">
        <v>46227.41666666666</v>
      </c>
      <c r="E1857" s="26" t="n">
        <v>0.5653935185185185</v>
      </c>
      <c r="F1857" s="27" t="inlineStr">
        <is>
          <t>Shift 2</t>
        </is>
      </c>
      <c r="G1857" s="27" t="n"/>
    </row>
    <row r="1858" hidden="1" s="169">
      <c r="A1858" s="27" t="inlineStr">
        <is>
          <t>MK00108</t>
        </is>
      </c>
      <c r="B1858" s="27" t="n">
        <v>528000299</v>
      </c>
      <c r="C1858" s="27" t="inlineStr">
        <is>
          <t>Siti Nurjanah</t>
        </is>
      </c>
      <c r="D1858" s="171" t="n">
        <v>46227.41666666666</v>
      </c>
      <c r="E1858" s="26" t="n">
        <v>0.5681944444444444</v>
      </c>
      <c r="F1858" s="27" t="inlineStr">
        <is>
          <t>Shift 2</t>
        </is>
      </c>
      <c r="G1858" s="27" t="n"/>
    </row>
    <row r="1859" hidden="1" s="169">
      <c r="A1859" s="27" t="inlineStr">
        <is>
          <t>MK00154</t>
        </is>
      </c>
      <c r="B1859" s="27" t="n">
        <v>528000305</v>
      </c>
      <c r="C1859" s="27" t="inlineStr">
        <is>
          <t>Puji Puspita</t>
        </is>
      </c>
      <c r="D1859" s="171" t="n">
        <v>46227.41666666666</v>
      </c>
      <c r="E1859" s="26" t="n">
        <v>0.5690393518518518</v>
      </c>
      <c r="F1859" s="27" t="inlineStr">
        <is>
          <t>Shift 2</t>
        </is>
      </c>
      <c r="G1859" s="27" t="n"/>
    </row>
    <row r="1860" hidden="1" s="169">
      <c r="A1860" s="27" t="inlineStr">
        <is>
          <t>MK00218</t>
        </is>
      </c>
      <c r="B1860" s="27" t="n">
        <v>528000309</v>
      </c>
      <c r="C1860" s="27" t="inlineStr">
        <is>
          <t>Ilham Ramadhan</t>
        </is>
      </c>
      <c r="D1860" s="171" t="n">
        <v>46227.41666666666</v>
      </c>
      <c r="E1860" s="26" t="n">
        <v>0.5695717592592593</v>
      </c>
      <c r="F1860" s="27" t="inlineStr">
        <is>
          <t>Shift 2</t>
        </is>
      </c>
      <c r="G1860" s="27" t="n"/>
    </row>
    <row r="1861">
      <c r="A1861" s="27" t="inlineStr">
        <is>
          <t>MK00183</t>
        </is>
      </c>
      <c r="B1861" s="27" t="n">
        <v>528000015</v>
      </c>
      <c r="C1861" s="27" t="inlineStr">
        <is>
          <t>Erwin</t>
        </is>
      </c>
      <c r="D1861" s="171" t="n">
        <v>46227.41666666666</v>
      </c>
      <c r="E1861" s="26" t="n">
        <v>0.573287037037037</v>
      </c>
      <c r="F1861" s="27" t="inlineStr">
        <is>
          <t>Shift 2</t>
        </is>
      </c>
      <c r="G1861" s="27" t="n"/>
    </row>
    <row r="1862" hidden="1" s="169">
      <c r="A1862" s="27" t="inlineStr">
        <is>
          <t>MK00213</t>
        </is>
      </c>
      <c r="B1862" s="27" t="n">
        <v>528000318</v>
      </c>
      <c r="C1862" s="27" t="inlineStr">
        <is>
          <t>Bayu Padli Sepriyana</t>
        </is>
      </c>
      <c r="D1862" s="171" t="n">
        <v>46227.41666666666</v>
      </c>
      <c r="E1862" s="26" t="n">
        <v>0.5742708333333333</v>
      </c>
      <c r="F1862" s="27" t="inlineStr">
        <is>
          <t>Shift 2</t>
        </is>
      </c>
      <c r="G1862" s="27" t="n"/>
    </row>
    <row r="1863" hidden="1" s="169">
      <c r="A1863" s="27" t="inlineStr">
        <is>
          <t>MK00138</t>
        </is>
      </c>
      <c r="B1863" s="27" t="n">
        <v>528000270</v>
      </c>
      <c r="C1863" s="27" t="inlineStr">
        <is>
          <t>Febri Najmudin</t>
        </is>
      </c>
      <c r="D1863" s="171" t="n">
        <v>46227.41666666666</v>
      </c>
      <c r="E1863" s="26" t="n">
        <v>0.5745949074074074</v>
      </c>
      <c r="F1863" s="27" t="inlineStr">
        <is>
          <t>Shift 2</t>
        </is>
      </c>
      <c r="G1863" s="27" t="n"/>
    </row>
    <row r="1864" hidden="1" s="169">
      <c r="A1864" s="27" t="inlineStr">
        <is>
          <t>MK000230</t>
        </is>
      </c>
      <c r="B1864" s="27" t="n">
        <v>528000298</v>
      </c>
      <c r="C1864" s="27" t="inlineStr">
        <is>
          <t>Desta Cahaya Pratama</t>
        </is>
      </c>
      <c r="D1864" s="171" t="n">
        <v>46227.41666666666</v>
      </c>
      <c r="E1864" s="26" t="n">
        <v>0.5751967592592593</v>
      </c>
      <c r="F1864" s="27" t="inlineStr">
        <is>
          <t>Shift 2</t>
        </is>
      </c>
      <c r="G1864" s="27" t="n"/>
    </row>
    <row r="1865" hidden="1" s="169">
      <c r="A1865" s="27" t="inlineStr">
        <is>
          <t>MK00088</t>
        </is>
      </c>
      <c r="B1865" s="27" t="n">
        <v>528000361</v>
      </c>
      <c r="C1865" s="27" t="inlineStr">
        <is>
          <t>Denada Munggarani</t>
        </is>
      </c>
      <c r="D1865" s="171" t="n">
        <v>46227.41666666666</v>
      </c>
      <c r="E1865" s="26" t="n">
        <v>0.5775694444444445</v>
      </c>
      <c r="F1865" s="27" t="inlineStr">
        <is>
          <t>Shift 2</t>
        </is>
      </c>
      <c r="G1865" s="27" t="n"/>
    </row>
    <row r="1866" hidden="1" s="169">
      <c r="A1866" s="27" t="inlineStr">
        <is>
          <t>MK00112</t>
        </is>
      </c>
      <c r="B1866" s="27" t="n">
        <v>528000322</v>
      </c>
      <c r="C1866" s="27" t="inlineStr">
        <is>
          <t>Muhamad Aliludin</t>
        </is>
      </c>
      <c r="D1866" s="171" t="n">
        <v>46227.41666666666</v>
      </c>
      <c r="E1866" s="26" t="n">
        <v>0.5822800925925926</v>
      </c>
      <c r="F1866" s="27" t="inlineStr">
        <is>
          <t>Shift 2</t>
        </is>
      </c>
      <c r="G1866" s="27" t="n"/>
    </row>
    <row r="1867" hidden="1" s="169">
      <c r="A1867" s="27" t="inlineStr">
        <is>
          <t>MK00055</t>
        </is>
      </c>
      <c r="B1867" s="27" t="n">
        <v>528000296</v>
      </c>
      <c r="C1867" s="27" t="inlineStr">
        <is>
          <t>Nurdin</t>
        </is>
      </c>
      <c r="D1867" s="171" t="n">
        <v>46227.41666666666</v>
      </c>
      <c r="E1867" s="26" t="n">
        <v>0.6242592592592593</v>
      </c>
      <c r="F1867" s="27" t="inlineStr">
        <is>
          <t>Shift 2</t>
        </is>
      </c>
      <c r="G1867" s="27" t="n"/>
    </row>
    <row r="1868" hidden="1" s="169">
      <c r="A1868" s="27" t="inlineStr">
        <is>
          <t>MK00210</t>
        </is>
      </c>
      <c r="B1868" s="27" t="n">
        <v>528000339</v>
      </c>
      <c r="C1868" s="27" t="inlineStr">
        <is>
          <t>Muhamad Ripai'i</t>
        </is>
      </c>
      <c r="D1868" s="171" t="n">
        <v>46227.41666666666</v>
      </c>
      <c r="E1868" s="26" t="n">
        <v>0.8758796296296296</v>
      </c>
      <c r="F1868" s="27" t="inlineStr">
        <is>
          <t>Shift 3</t>
        </is>
      </c>
      <c r="G1868" s="27" t="n"/>
    </row>
    <row r="1869" hidden="1" s="169">
      <c r="A1869" s="27" t="inlineStr">
        <is>
          <t>MK00150</t>
        </is>
      </c>
      <c r="B1869" s="27" t="n">
        <v>528000244</v>
      </c>
      <c r="C1869" s="27" t="inlineStr">
        <is>
          <t>Rodian Rifai</t>
        </is>
      </c>
      <c r="D1869" s="171" t="n">
        <v>46227.41666666666</v>
      </c>
      <c r="E1869" s="26" t="n">
        <v>0.8881712962962963</v>
      </c>
      <c r="F1869" s="27" t="inlineStr">
        <is>
          <t>Shift 3</t>
        </is>
      </c>
      <c r="G1869" s="27" t="n"/>
    </row>
    <row r="1870" hidden="1" s="169">
      <c r="A1870" s="27" t="inlineStr">
        <is>
          <t>MK00209</t>
        </is>
      </c>
      <c r="B1870" s="27" t="n">
        <v>528000325</v>
      </c>
      <c r="C1870" s="27" t="inlineStr">
        <is>
          <t>Rani Septia Ramadani</t>
        </is>
      </c>
      <c r="D1870" s="171" t="n">
        <v>46227.41666666666</v>
      </c>
      <c r="E1870" s="26" t="n">
        <v>0.8899305555555556</v>
      </c>
      <c r="F1870" s="27" t="inlineStr">
        <is>
          <t>Shift 3</t>
        </is>
      </c>
      <c r="G1870" s="27" t="n"/>
    </row>
    <row r="1871" hidden="1" s="169">
      <c r="A1871" s="27" t="inlineStr">
        <is>
          <t>MK00235</t>
        </is>
      </c>
      <c r="B1871" s="27" t="n">
        <v>528000286</v>
      </c>
      <c r="C1871" s="27" t="inlineStr">
        <is>
          <t>Imelda Amelia</t>
        </is>
      </c>
      <c r="D1871" s="171" t="n">
        <v>46227.41666666666</v>
      </c>
      <c r="E1871" s="26" t="n">
        <v>0.9009953703703704</v>
      </c>
      <c r="F1871" s="27" t="inlineStr">
        <is>
          <t>Shift 3</t>
        </is>
      </c>
      <c r="G1871" s="27" t="n"/>
    </row>
    <row r="1872" hidden="1" s="169">
      <c r="A1872" s="27" t="inlineStr">
        <is>
          <t>MK0095</t>
        </is>
      </c>
      <c r="B1872" s="27" t="n">
        <v>528000201</v>
      </c>
      <c r="C1872" s="27" t="inlineStr">
        <is>
          <t>Zahwa Amelia Choerunissa</t>
        </is>
      </c>
      <c r="D1872" s="171" t="n">
        <v>46227.41666666666</v>
      </c>
      <c r="E1872" s="26" t="n">
        <v>0.906886574074074</v>
      </c>
      <c r="F1872" s="27" t="inlineStr">
        <is>
          <t>Shift 3</t>
        </is>
      </c>
      <c r="G1872" s="27" t="n"/>
    </row>
    <row r="1873" hidden="1" s="169">
      <c r="A1873" s="27" t="n">
        <v>145</v>
      </c>
      <c r="B1873" s="27" t="n">
        <v>528000099</v>
      </c>
      <c r="C1873" s="27" t="inlineStr">
        <is>
          <t>Siti Nurawaliah</t>
        </is>
      </c>
      <c r="D1873" s="171" t="n">
        <v>46227.41666666666</v>
      </c>
      <c r="E1873" s="26" t="n">
        <v>0.9077430555555556</v>
      </c>
      <c r="F1873" s="27" t="inlineStr">
        <is>
          <t>Shift 3</t>
        </is>
      </c>
      <c r="G1873" s="27" t="n"/>
    </row>
    <row r="1874" hidden="1" s="169">
      <c r="A1874" s="27" t="inlineStr">
        <is>
          <t>MK00249</t>
        </is>
      </c>
      <c r="B1874" s="27" t="n">
        <v>528000289</v>
      </c>
      <c r="C1874" s="27" t="inlineStr">
        <is>
          <t>Adit Supriyadi</t>
        </is>
      </c>
      <c r="D1874" s="171" t="n">
        <v>46227.41666666666</v>
      </c>
      <c r="E1874" s="26" t="n">
        <v>0.9096180555555555</v>
      </c>
      <c r="F1874" s="27" t="inlineStr">
        <is>
          <t>Shift 3</t>
        </is>
      </c>
      <c r="G1874" s="27" t="n"/>
    </row>
    <row r="1875" hidden="1" s="169">
      <c r="A1875" s="27" t="inlineStr">
        <is>
          <t>MK00156</t>
        </is>
      </c>
      <c r="B1875" s="27" t="n">
        <v>528000241</v>
      </c>
      <c r="C1875" s="27" t="inlineStr">
        <is>
          <t>Balia Nurafif Bilah</t>
        </is>
      </c>
      <c r="D1875" s="171" t="n">
        <v>46227.41666666666</v>
      </c>
      <c r="E1875" s="26" t="n">
        <v>0.9108217592592592</v>
      </c>
      <c r="F1875" s="27" t="inlineStr">
        <is>
          <t>Shift 3</t>
        </is>
      </c>
      <c r="G1875" s="27" t="n"/>
    </row>
    <row r="1876" hidden="1" s="169">
      <c r="A1876" s="27" t="inlineStr">
        <is>
          <t>MK00185</t>
        </is>
      </c>
      <c r="B1876" s="27" t="n">
        <v>528000273</v>
      </c>
      <c r="C1876" s="27" t="inlineStr">
        <is>
          <t>Asep Mulyana</t>
        </is>
      </c>
      <c r="D1876" s="171" t="n">
        <v>46227.41666666666</v>
      </c>
      <c r="E1876" s="26" t="n">
        <v>0.9120486111111111</v>
      </c>
      <c r="F1876" s="27" t="inlineStr">
        <is>
          <t>Shift 3</t>
        </is>
      </c>
      <c r="G1876" s="27" t="n"/>
    </row>
    <row r="1877" hidden="1" s="169">
      <c r="A1877" s="27" t="inlineStr">
        <is>
          <t>MK00136</t>
        </is>
      </c>
      <c r="B1877" s="27" t="n">
        <v>528000274</v>
      </c>
      <c r="C1877" s="27" t="inlineStr">
        <is>
          <t>Zepri</t>
        </is>
      </c>
      <c r="D1877" s="171" t="n">
        <v>46227.41666666666</v>
      </c>
      <c r="E1877" s="26" t="n">
        <v>0.9141782407407407</v>
      </c>
      <c r="F1877" s="27" t="inlineStr">
        <is>
          <t>Shift 3</t>
        </is>
      </c>
      <c r="G1877" s="27" t="n"/>
    </row>
    <row r="1878" hidden="1" s="169">
      <c r="A1878" s="27" t="inlineStr">
        <is>
          <t>MK00116</t>
        </is>
      </c>
      <c r="B1878" s="27" t="n">
        <v>528000212</v>
      </c>
      <c r="C1878" s="27" t="inlineStr">
        <is>
          <t>Rizal Fauzi</t>
        </is>
      </c>
      <c r="D1878" s="171" t="n">
        <v>46227.41666666666</v>
      </c>
      <c r="E1878" s="26" t="n">
        <v>0.9143634259259259</v>
      </c>
      <c r="F1878" s="27" t="inlineStr">
        <is>
          <t>Shift 3</t>
        </is>
      </c>
      <c r="G1878" s="27" t="n"/>
    </row>
    <row r="1879" hidden="1" s="169">
      <c r="A1879" s="27" t="inlineStr">
        <is>
          <t>MK0085</t>
        </is>
      </c>
      <c r="B1879" s="27" t="n">
        <v>528000290</v>
      </c>
      <c r="C1879" s="27" t="inlineStr">
        <is>
          <t>Eval Pranata</t>
        </is>
      </c>
      <c r="D1879" s="171" t="n">
        <v>46227.41666666666</v>
      </c>
      <c r="E1879" s="26" t="n">
        <v>0.9149652777777778</v>
      </c>
      <c r="F1879" s="27" t="inlineStr">
        <is>
          <t>Shift 3</t>
        </is>
      </c>
      <c r="G1879" s="27" t="n"/>
    </row>
    <row r="1880" hidden="1" s="169">
      <c r="A1880" s="27" t="inlineStr">
        <is>
          <t>MK00143</t>
        </is>
      </c>
      <c r="B1880" s="27" t="n">
        <v>528000090</v>
      </c>
      <c r="C1880" s="27" t="inlineStr">
        <is>
          <t>Suganda</t>
        </is>
      </c>
      <c r="D1880" s="171" t="n">
        <v>46227.41666666666</v>
      </c>
      <c r="E1880" s="26" t="n">
        <v>0.9156944444444445</v>
      </c>
      <c r="F1880" s="27" t="inlineStr">
        <is>
          <t>Shift 3</t>
        </is>
      </c>
      <c r="G1880" s="27" t="n"/>
    </row>
    <row r="1881" hidden="1" s="169">
      <c r="A1881" s="27" t="inlineStr">
        <is>
          <t>MK00138</t>
        </is>
      </c>
      <c r="B1881" s="27" t="n">
        <v>528000262</v>
      </c>
      <c r="C1881" s="27" t="inlineStr">
        <is>
          <t>Ndari Dwiwanti</t>
        </is>
      </c>
      <c r="D1881" s="171" t="n">
        <v>46228.41666666666</v>
      </c>
      <c r="E1881" s="26" t="n">
        <v>0.2332407407407407</v>
      </c>
      <c r="F1881" s="27" t="inlineStr">
        <is>
          <t>Shift 1</t>
        </is>
      </c>
      <c r="G1881" s="27" t="n"/>
    </row>
    <row r="1882" hidden="1" s="169">
      <c r="A1882" s="27" t="inlineStr">
        <is>
          <t>MK00055</t>
        </is>
      </c>
      <c r="B1882" s="27" t="n">
        <v>528000052</v>
      </c>
      <c r="C1882" s="27" t="inlineStr">
        <is>
          <t>Mustopa</t>
        </is>
      </c>
      <c r="D1882" s="171" t="n">
        <v>46228.41666666666</v>
      </c>
      <c r="E1882" s="26" t="n">
        <v>0.2339236111111111</v>
      </c>
      <c r="F1882" s="27" t="inlineStr">
        <is>
          <t>Shift 1</t>
        </is>
      </c>
      <c r="G1882" s="27" t="n"/>
    </row>
    <row r="1883" hidden="1" s="169">
      <c r="A1883" s="27" t="inlineStr">
        <is>
          <t>MK00230</t>
        </is>
      </c>
      <c r="B1883" s="27" t="n">
        <v>528000266</v>
      </c>
      <c r="C1883" s="27" t="inlineStr">
        <is>
          <t>M. Syirajatieq</t>
        </is>
      </c>
      <c r="D1883" s="171" t="n">
        <v>46228.41666666666</v>
      </c>
      <c r="E1883" s="26" t="n">
        <v>0.2358101851851852</v>
      </c>
      <c r="F1883" s="27" t="inlineStr">
        <is>
          <t>Shift 1</t>
        </is>
      </c>
      <c r="G1883" s="27" t="n"/>
    </row>
    <row r="1884" hidden="1" s="169">
      <c r="A1884" s="27" t="inlineStr">
        <is>
          <t>MK00217</t>
        </is>
      </c>
      <c r="B1884" s="27" t="n">
        <v>528000337</v>
      </c>
      <c r="C1884" s="27" t="inlineStr">
        <is>
          <t>Ahmad Zaldi Firdaus</t>
        </is>
      </c>
      <c r="D1884" s="171" t="n">
        <v>46228.41666666666</v>
      </c>
      <c r="E1884" s="26" t="n">
        <v>0.2358564814814815</v>
      </c>
      <c r="F1884" s="27" t="inlineStr">
        <is>
          <t>Shift 1</t>
        </is>
      </c>
      <c r="G1884" s="27" t="n"/>
    </row>
    <row r="1885" hidden="1" s="169">
      <c r="A1885" s="27" t="inlineStr">
        <is>
          <t>MK00218</t>
        </is>
      </c>
      <c r="B1885" s="27" t="n">
        <v>528000324</v>
      </c>
      <c r="C1885" s="27" t="inlineStr">
        <is>
          <t>Sri Yanti</t>
        </is>
      </c>
      <c r="D1885" s="171" t="n">
        <v>46228.41666666666</v>
      </c>
      <c r="E1885" s="26" t="n">
        <v>0.2370717592592592</v>
      </c>
      <c r="F1885" s="27" t="inlineStr">
        <is>
          <t>Shift 1</t>
        </is>
      </c>
      <c r="G1885" s="27" t="n"/>
    </row>
    <row r="1886" hidden="1" s="169">
      <c r="A1886" s="27" t="inlineStr">
        <is>
          <t>MK00154</t>
        </is>
      </c>
      <c r="B1886" s="27" t="n">
        <v>528000261</v>
      </c>
      <c r="C1886" s="27" t="inlineStr">
        <is>
          <t>Ergi Ergianto</t>
        </is>
      </c>
      <c r="D1886" s="171" t="n">
        <v>46228.41666666666</v>
      </c>
      <c r="E1886" s="26" t="n">
        <v>0.2410648148148148</v>
      </c>
      <c r="F1886" s="27" t="inlineStr">
        <is>
          <t>Shift 1</t>
        </is>
      </c>
      <c r="G1886" s="27" t="n"/>
    </row>
    <row r="1887" hidden="1" s="169">
      <c r="A1887" s="27" t="inlineStr">
        <is>
          <t>MK00208</t>
        </is>
      </c>
      <c r="B1887" s="27" t="n">
        <v>528000358</v>
      </c>
      <c r="C1887" s="27" t="inlineStr">
        <is>
          <t>Lulu Agustin</t>
        </is>
      </c>
      <c r="D1887" s="171" t="n">
        <v>46228.41666666666</v>
      </c>
      <c r="E1887" s="26" t="n">
        <v>0.2430902777777778</v>
      </c>
      <c r="F1887" s="27" t="inlineStr">
        <is>
          <t>Shift 1</t>
        </is>
      </c>
      <c r="G1887" s="27" t="n"/>
    </row>
    <row r="1888" hidden="1" s="169">
      <c r="A1888" s="27" t="inlineStr">
        <is>
          <t>MK00125</t>
        </is>
      </c>
      <c r="B1888" s="27" t="n">
        <v>528000314</v>
      </c>
      <c r="C1888" s="27" t="inlineStr">
        <is>
          <t>Rusmana</t>
        </is>
      </c>
      <c r="D1888" s="171" t="n">
        <v>46228.41666666666</v>
      </c>
      <c r="E1888" s="26" t="n">
        <v>0.2449537037037037</v>
      </c>
      <c r="F1888" s="27" t="inlineStr">
        <is>
          <t>Shift 1</t>
        </is>
      </c>
      <c r="G1888" s="27" t="n"/>
    </row>
    <row r="1889" hidden="1" s="169">
      <c r="A1889" s="27" t="inlineStr">
        <is>
          <t>MK00108</t>
        </is>
      </c>
      <c r="B1889" s="27" t="n">
        <v>528000291</v>
      </c>
      <c r="C1889" s="27" t="inlineStr">
        <is>
          <t>Andrian</t>
        </is>
      </c>
      <c r="D1889" s="171" t="n">
        <v>46228.41666666666</v>
      </c>
      <c r="E1889" s="26" t="n">
        <v>0.2449768518518519</v>
      </c>
      <c r="F1889" s="27" t="inlineStr">
        <is>
          <t>Shift 1</t>
        </is>
      </c>
      <c r="G1889" s="27" t="n"/>
    </row>
    <row r="1890" hidden="1" s="169">
      <c r="A1890" s="27" t="inlineStr">
        <is>
          <t>MK00213</t>
        </is>
      </c>
      <c r="B1890" s="27" t="n">
        <v>528000283</v>
      </c>
      <c r="C1890" s="27" t="inlineStr">
        <is>
          <t>Purwanda Sugiri</t>
        </is>
      </c>
      <c r="D1890" s="171" t="n">
        <v>46228.41666666666</v>
      </c>
      <c r="E1890" s="26" t="n">
        <v>0.2451273148148148</v>
      </c>
      <c r="F1890" s="27" t="inlineStr">
        <is>
          <t>Shift 1</t>
        </is>
      </c>
      <c r="G1890" s="27" t="n"/>
    </row>
    <row r="1891" hidden="1" s="169">
      <c r="A1891" s="27" t="inlineStr">
        <is>
          <t>MK00186</t>
        </is>
      </c>
      <c r="B1891" s="27" t="n">
        <v>528000360</v>
      </c>
      <c r="C1891" s="27" t="inlineStr">
        <is>
          <t>Hendra Permana</t>
        </is>
      </c>
      <c r="D1891" s="171" t="n">
        <v>46228.41666666666</v>
      </c>
      <c r="E1891" s="26" t="n">
        <v>0.2480902777777778</v>
      </c>
      <c r="F1891" s="27" t="inlineStr">
        <is>
          <t>Shift 1</t>
        </is>
      </c>
      <c r="G1891" s="27" t="n"/>
    </row>
    <row r="1892" hidden="1" s="169">
      <c r="A1892" s="27" t="inlineStr">
        <is>
          <t>MK00088</t>
        </is>
      </c>
      <c r="B1892" s="27" t="n">
        <v>528000336</v>
      </c>
      <c r="C1892" s="27" t="inlineStr">
        <is>
          <t>Ali Nurhanafi</t>
        </is>
      </c>
      <c r="D1892" s="171" t="n">
        <v>46228.41666666666</v>
      </c>
      <c r="E1892" s="26" t="n">
        <v>0.2530324074074074</v>
      </c>
      <c r="F1892" s="27" t="inlineStr">
        <is>
          <t>Shift 1</t>
        </is>
      </c>
      <c r="G1892" s="27" t="n"/>
    </row>
    <row r="1893" hidden="1" s="169">
      <c r="A1893" s="27" t="inlineStr">
        <is>
          <t>MK00181</t>
        </is>
      </c>
      <c r="B1893" s="27" t="n">
        <v>528000323</v>
      </c>
      <c r="C1893" s="27" t="inlineStr">
        <is>
          <t>Dian Hamidah</t>
        </is>
      </c>
      <c r="D1893" s="171" t="n">
        <v>46228.41666666666</v>
      </c>
      <c r="E1893" s="26" t="n">
        <v>0.2535069444444444</v>
      </c>
      <c r="F1893" s="27" t="inlineStr">
        <is>
          <t>Shift 1</t>
        </is>
      </c>
      <c r="G1893" s="27" t="n"/>
    </row>
    <row r="1894" hidden="1" s="169">
      <c r="A1894" s="27" t="inlineStr">
        <is>
          <t>MK00143</t>
        </is>
      </c>
      <c r="B1894" s="27" t="n">
        <v>528000340</v>
      </c>
      <c r="C1894" s="27" t="inlineStr">
        <is>
          <t>Muhammad Wildan Adithya</t>
        </is>
      </c>
      <c r="D1894" s="171" t="n">
        <v>46228.41666666666</v>
      </c>
      <c r="E1894" s="26" t="n">
        <v>0.5356944444444445</v>
      </c>
      <c r="F1894" s="27" t="inlineStr">
        <is>
          <t>Shift 1</t>
        </is>
      </c>
      <c r="G1894" s="27" t="n"/>
    </row>
    <row r="1895" hidden="1" s="169">
      <c r="A1895" s="27" t="inlineStr">
        <is>
          <t>MK00220</t>
        </is>
      </c>
      <c r="B1895" s="27" t="n">
        <v>528000313</v>
      </c>
      <c r="C1895" s="27" t="inlineStr">
        <is>
          <t>Muhamad Rifki</t>
        </is>
      </c>
      <c r="D1895" s="171" t="n">
        <v>46228.41666666666</v>
      </c>
      <c r="E1895" s="26" t="n">
        <v>0.5649652777777778</v>
      </c>
      <c r="F1895" s="27" t="inlineStr">
        <is>
          <t>Shift 2</t>
        </is>
      </c>
      <c r="G1895" s="27" t="n"/>
    </row>
    <row r="1896" hidden="1" s="169">
      <c r="A1896" s="27" t="inlineStr">
        <is>
          <t>MK00121</t>
        </is>
      </c>
      <c r="B1896" s="27" t="n">
        <v>528000361</v>
      </c>
      <c r="C1896" s="27" t="inlineStr">
        <is>
          <t>Denada Munggarani</t>
        </is>
      </c>
      <c r="D1896" s="171" t="n">
        <v>46228.41666666666</v>
      </c>
      <c r="E1896" s="26" t="n">
        <v>0.5688888888888889</v>
      </c>
      <c r="F1896" s="27" t="inlineStr">
        <is>
          <t>Shift 2</t>
        </is>
      </c>
      <c r="G1896" s="27" t="n"/>
    </row>
    <row r="1897" hidden="1" s="169">
      <c r="A1897" s="27" t="inlineStr">
        <is>
          <t>MK00250</t>
        </is>
      </c>
      <c r="B1897" s="27" t="n">
        <v>628000018</v>
      </c>
      <c r="C1897" s="27" t="inlineStr">
        <is>
          <t>Annisa Tri Pratiwi</t>
        </is>
      </c>
      <c r="D1897" s="171" t="n">
        <v>46228.41666666666</v>
      </c>
      <c r="E1897" s="26" t="n">
        <v>0.5703125</v>
      </c>
      <c r="F1897" s="27" t="inlineStr">
        <is>
          <t>Shift 2</t>
        </is>
      </c>
      <c r="G1897" s="27" t="n"/>
    </row>
    <row r="1898">
      <c r="A1898" s="27" t="inlineStr">
        <is>
          <t>MK00123</t>
        </is>
      </c>
      <c r="B1898" s="27" t="n">
        <v>528000015</v>
      </c>
      <c r="C1898" s="27" t="inlineStr">
        <is>
          <t>Erwin</t>
        </is>
      </c>
      <c r="D1898" s="171" t="n">
        <v>46228.41666666666</v>
      </c>
      <c r="E1898" s="26" t="n">
        <v>0.5706018518518519</v>
      </c>
      <c r="F1898" s="27" t="inlineStr">
        <is>
          <t>Shift 2</t>
        </is>
      </c>
      <c r="G1898" s="27" t="n"/>
    </row>
    <row r="1899" hidden="1" s="169">
      <c r="A1899" s="27" t="inlineStr">
        <is>
          <t>MK00210</t>
        </is>
      </c>
      <c r="B1899" s="27" t="n">
        <v>528000309</v>
      </c>
      <c r="C1899" s="27" t="inlineStr">
        <is>
          <t>Ilham Ramadhan</t>
        </is>
      </c>
      <c r="D1899" s="171" t="n">
        <v>46228.41666666666</v>
      </c>
      <c r="E1899" s="26" t="n">
        <v>0.5724421296296296</v>
      </c>
      <c r="F1899" s="27" t="inlineStr">
        <is>
          <t>Shift 2</t>
        </is>
      </c>
      <c r="G1899" s="27" t="n"/>
    </row>
    <row r="1900" hidden="1" s="169">
      <c r="A1900" s="27" t="inlineStr">
        <is>
          <t>MK00095</t>
        </is>
      </c>
      <c r="B1900" s="27" t="n">
        <v>528000328</v>
      </c>
      <c r="C1900" s="27" t="inlineStr">
        <is>
          <t>Nur Anjani</t>
        </is>
      </c>
      <c r="D1900" s="171" t="n">
        <v>46228.41666666666</v>
      </c>
      <c r="E1900" s="26" t="n">
        <v>0.5729513888888889</v>
      </c>
      <c r="F1900" s="27" t="inlineStr">
        <is>
          <t>Shift 2</t>
        </is>
      </c>
      <c r="G1900" s="27" t="n"/>
    </row>
    <row r="1901" hidden="1" s="169">
      <c r="A1901" s="27" t="inlineStr">
        <is>
          <t>MK00235</t>
        </is>
      </c>
      <c r="B1901" s="27" t="n">
        <v>528000318</v>
      </c>
      <c r="C1901" s="27" t="inlineStr">
        <is>
          <t>Bayu Padli Sepriyana</t>
        </is>
      </c>
      <c r="D1901" s="171" t="n">
        <v>46228.41666666666</v>
      </c>
      <c r="E1901" s="26" t="n">
        <v>0.5738078703703704</v>
      </c>
      <c r="F1901" s="27" t="inlineStr">
        <is>
          <t>Shift 2</t>
        </is>
      </c>
      <c r="G1901" s="27" t="n"/>
    </row>
    <row r="1902" hidden="1" s="169">
      <c r="A1902" s="27" t="inlineStr">
        <is>
          <t>MK00184</t>
        </is>
      </c>
      <c r="B1902" s="27" t="n">
        <v>528000270</v>
      </c>
      <c r="C1902" s="27" t="inlineStr">
        <is>
          <t>Febri Najmudin</t>
        </is>
      </c>
      <c r="D1902" s="171" t="n">
        <v>46228.41666666666</v>
      </c>
      <c r="E1902" s="26" t="n">
        <v>0.5744097222222222</v>
      </c>
      <c r="F1902" s="27" t="inlineStr">
        <is>
          <t>Shift 2</t>
        </is>
      </c>
      <c r="G1902" s="27" t="n"/>
    </row>
    <row r="1903" hidden="1" s="169">
      <c r="A1903" s="27" t="inlineStr">
        <is>
          <t>MK00085</t>
        </is>
      </c>
      <c r="B1903" s="27" t="n">
        <v>528000298</v>
      </c>
      <c r="C1903" s="27" t="inlineStr">
        <is>
          <t>Desta Cahaya Pratama</t>
        </is>
      </c>
      <c r="D1903" s="171" t="n">
        <v>46228.41666666666</v>
      </c>
      <c r="E1903" s="26" t="n">
        <v>0.5761805555555556</v>
      </c>
      <c r="F1903" s="27" t="inlineStr">
        <is>
          <t>Shift 2</t>
        </is>
      </c>
      <c r="G1903" s="27" t="n"/>
    </row>
    <row r="1904" hidden="1" s="169">
      <c r="A1904" s="27" t="inlineStr">
        <is>
          <t>MK00185</t>
        </is>
      </c>
      <c r="B1904" s="27" t="n">
        <v>528000296</v>
      </c>
      <c r="C1904" s="27" t="inlineStr">
        <is>
          <t>Nurdin</t>
        </is>
      </c>
      <c r="D1904" s="171" t="n">
        <v>46228.41666666666</v>
      </c>
      <c r="E1904" s="26" t="n">
        <v>0.5781481481481482</v>
      </c>
      <c r="F1904" s="27" t="inlineStr">
        <is>
          <t>Shift 2</t>
        </is>
      </c>
      <c r="G1904" s="27" t="n"/>
    </row>
    <row r="1905" hidden="1" s="169">
      <c r="A1905" s="27" t="inlineStr">
        <is>
          <t>MK00109</t>
        </is>
      </c>
      <c r="B1905" s="27" t="n">
        <v>528000244</v>
      </c>
      <c r="C1905" s="27" t="inlineStr">
        <is>
          <t>Rodian Rifai</t>
        </is>
      </c>
      <c r="D1905" s="171" t="n">
        <v>46228.41666666666</v>
      </c>
      <c r="E1905" s="26" t="n">
        <v>0.8760532407407408</v>
      </c>
      <c r="F1905" s="27" t="inlineStr">
        <is>
          <t>Shift 3</t>
        </is>
      </c>
      <c r="G1905" s="27" t="n"/>
    </row>
    <row r="1906" hidden="1" s="169">
      <c r="A1906" s="27" t="inlineStr">
        <is>
          <t>MK00008</t>
        </is>
      </c>
      <c r="B1906" s="27" t="n">
        <v>528000339</v>
      </c>
      <c r="C1906" s="27" t="inlineStr">
        <is>
          <t>Muhamad Ripai'i</t>
        </is>
      </c>
      <c r="D1906" s="171" t="n">
        <v>46228.41666666666</v>
      </c>
      <c r="E1906" s="26" t="n">
        <v>0.8770138888888889</v>
      </c>
      <c r="F1906" s="27" t="inlineStr">
        <is>
          <t>Shift 3</t>
        </is>
      </c>
      <c r="G1906" s="27" t="n"/>
    </row>
    <row r="1907" hidden="1" s="169">
      <c r="A1907" s="27" t="inlineStr">
        <is>
          <t>MK00112</t>
        </is>
      </c>
      <c r="B1907" s="27" t="n">
        <v>528000289</v>
      </c>
      <c r="C1907" s="27" t="inlineStr">
        <is>
          <t>Adit Supriyadi</t>
        </is>
      </c>
      <c r="D1907" s="171" t="n">
        <v>46228.41666666666</v>
      </c>
      <c r="E1907" s="26" t="n">
        <v>0.8982638888888889</v>
      </c>
      <c r="F1907" s="27" t="inlineStr">
        <is>
          <t>Shift 3</t>
        </is>
      </c>
      <c r="G1907" s="27" t="n"/>
    </row>
    <row r="1908" hidden="1" s="169">
      <c r="A1908" s="27" t="inlineStr">
        <is>
          <t>MK00249</t>
        </is>
      </c>
      <c r="B1908" s="27" t="n">
        <v>528000201</v>
      </c>
      <c r="C1908" s="27" t="inlineStr">
        <is>
          <t>Zahwa Amelia Choerunissa</t>
        </is>
      </c>
      <c r="D1908" s="171" t="n">
        <v>46228.41666666666</v>
      </c>
      <c r="E1908" s="26" t="n">
        <v>0.9046643518518519</v>
      </c>
      <c r="F1908" s="27" t="inlineStr">
        <is>
          <t>Shift 3</t>
        </is>
      </c>
      <c r="G1908" s="27" t="n"/>
    </row>
    <row r="1909" hidden="1" s="169">
      <c r="A1909" s="27" t="inlineStr">
        <is>
          <t>MK00212</t>
        </is>
      </c>
      <c r="B1909" s="27" t="n">
        <v>528000286</v>
      </c>
      <c r="C1909" s="27" t="inlineStr">
        <is>
          <t>Imelda Amelia</t>
        </is>
      </c>
      <c r="D1909" s="171" t="n">
        <v>46228.41666666666</v>
      </c>
      <c r="E1909" s="26" t="n">
        <v>0.9046643518518519</v>
      </c>
      <c r="F1909" s="27" t="inlineStr">
        <is>
          <t>Shift 3</t>
        </is>
      </c>
      <c r="G1909" s="27" t="n"/>
    </row>
    <row r="1910" hidden="1" s="169">
      <c r="A1910" s="27" t="inlineStr">
        <is>
          <t>MK00150</t>
        </is>
      </c>
      <c r="B1910" s="27" t="n">
        <v>528000273</v>
      </c>
      <c r="C1910" s="27" t="inlineStr">
        <is>
          <t>Asep Mulyana</t>
        </is>
      </c>
      <c r="D1910" s="171" t="n">
        <v>46228.41666666666</v>
      </c>
      <c r="E1910" s="26" t="n">
        <v>0.9097800925925926</v>
      </c>
      <c r="F1910" s="27" t="inlineStr">
        <is>
          <t>Shift 3</t>
        </is>
      </c>
      <c r="G1910" s="27" t="n"/>
    </row>
    <row r="1911" hidden="1" s="169">
      <c r="A1911" s="27" t="inlineStr">
        <is>
          <t>MK00138</t>
        </is>
      </c>
      <c r="B1911" s="27" t="n">
        <v>528000241</v>
      </c>
      <c r="C1911" s="27" t="inlineStr">
        <is>
          <t>Balia Nurafif Bilah</t>
        </is>
      </c>
      <c r="D1911" s="171" t="n">
        <v>46228.41666666666</v>
      </c>
      <c r="E1911" s="26" t="n">
        <v>0.9110300925925926</v>
      </c>
      <c r="F1911" s="27" t="inlineStr">
        <is>
          <t>Shift 3</t>
        </is>
      </c>
      <c r="G1911" s="27" t="n"/>
    </row>
    <row r="1912" hidden="1" s="169">
      <c r="A1912" s="27" t="inlineStr">
        <is>
          <t>MK00156</t>
        </is>
      </c>
      <c r="B1912" s="27" t="n">
        <v>528000274</v>
      </c>
      <c r="C1912" s="27" t="inlineStr">
        <is>
          <t>Zepri</t>
        </is>
      </c>
      <c r="D1912" s="171" t="n">
        <v>46228.41666666666</v>
      </c>
      <c r="E1912" s="26" t="n">
        <v>0.9131365740740741</v>
      </c>
      <c r="F1912" s="27" t="inlineStr">
        <is>
          <t>Shift 3</t>
        </is>
      </c>
      <c r="G1912" s="27" t="n"/>
    </row>
    <row r="1913" hidden="1" s="169">
      <c r="A1913" s="27" t="inlineStr">
        <is>
          <t>MK00208</t>
        </is>
      </c>
      <c r="B1913" s="27" t="n">
        <v>528000290</v>
      </c>
      <c r="C1913" s="27" t="inlineStr">
        <is>
          <t>Eval Pranata</t>
        </is>
      </c>
      <c r="D1913" s="171" t="n">
        <v>46228.41666666666</v>
      </c>
      <c r="E1913" s="26" t="n">
        <v>0.9138773148148148</v>
      </c>
      <c r="F1913" s="27" t="inlineStr">
        <is>
          <t>Shift 3</t>
        </is>
      </c>
      <c r="G1913" s="27" t="n"/>
    </row>
    <row r="1914" hidden="1" s="169">
      <c r="A1914" s="27" t="inlineStr">
        <is>
          <t>MK00181</t>
        </is>
      </c>
      <c r="B1914" s="27" t="n">
        <v>528000090</v>
      </c>
      <c r="C1914" s="27" t="inlineStr">
        <is>
          <t>Suganda</t>
        </is>
      </c>
      <c r="D1914" s="171" t="n">
        <v>46228.41666666666</v>
      </c>
      <c r="E1914" s="26" t="n">
        <v>0.9138657407407408</v>
      </c>
      <c r="F1914" s="27" t="inlineStr">
        <is>
          <t>Shift 3</t>
        </is>
      </c>
      <c r="G1914" s="27" t="n"/>
    </row>
    <row r="1915" hidden="1" s="169">
      <c r="A1915" s="27" t="inlineStr">
        <is>
          <t>MK00202</t>
        </is>
      </c>
      <c r="B1915" s="27" t="n">
        <v>528000212</v>
      </c>
      <c r="C1915" s="27" t="inlineStr">
        <is>
          <t>Rizal Fauzi</t>
        </is>
      </c>
      <c r="D1915" s="171" t="n">
        <v>46228.41666666666</v>
      </c>
      <c r="E1915" s="26" t="n">
        <v>0.9157986111111112</v>
      </c>
      <c r="F1915" s="27" t="inlineStr">
        <is>
          <t>Shift 3</t>
        </is>
      </c>
      <c r="G1915" s="27" t="n"/>
    </row>
    <row r="1916" hidden="1" s="169">
      <c r="A1916" s="27" t="inlineStr">
        <is>
          <t>MK00136</t>
        </is>
      </c>
      <c r="B1916" s="27" t="n">
        <v>528000262</v>
      </c>
      <c r="C1916" s="27" t="inlineStr">
        <is>
          <t>Ndari Dwiwanti</t>
        </is>
      </c>
      <c r="D1916" s="171" t="n">
        <v>46229.41666666666</v>
      </c>
      <c r="E1916" s="26" t="n">
        <v>0.2376041666666667</v>
      </c>
      <c r="F1916" s="27" t="inlineStr">
        <is>
          <t>Shift 1</t>
        </is>
      </c>
      <c r="G1916" s="27" t="n"/>
    </row>
    <row r="1917" hidden="1" s="169">
      <c r="A1917" s="27" t="inlineStr">
        <is>
          <t>MK00210</t>
        </is>
      </c>
      <c r="B1917" s="27" t="n">
        <v>528000337</v>
      </c>
      <c r="C1917" s="27" t="inlineStr">
        <is>
          <t>Ahmad Zaldi Firdaus</t>
        </is>
      </c>
      <c r="D1917" s="171" t="n">
        <v>46229.41666666666</v>
      </c>
      <c r="E1917" s="26" t="n">
        <v>0.2376736111111111</v>
      </c>
      <c r="F1917" s="27" t="inlineStr">
        <is>
          <t>Shift 1</t>
        </is>
      </c>
      <c r="G1917" s="27" t="n"/>
    </row>
    <row r="1918" hidden="1" s="169">
      <c r="A1918" s="27" t="inlineStr">
        <is>
          <t>MK00143</t>
        </is>
      </c>
      <c r="B1918" s="27" t="n">
        <v>528000261</v>
      </c>
      <c r="C1918" s="27" t="inlineStr">
        <is>
          <t>Ergi Ergianto</t>
        </is>
      </c>
      <c r="D1918" s="171" t="n">
        <v>46229.41666666666</v>
      </c>
      <c r="E1918" s="26" t="n">
        <v>0.2385069444444445</v>
      </c>
      <c r="F1918" s="27" t="inlineStr">
        <is>
          <t>Shift 1</t>
        </is>
      </c>
      <c r="G1918" s="27" t="n"/>
    </row>
    <row r="1919" hidden="1" s="169">
      <c r="A1919" s="27" t="inlineStr">
        <is>
          <t>MK00090</t>
        </is>
      </c>
      <c r="B1919" s="27" t="n">
        <v>528000306</v>
      </c>
      <c r="C1919" s="27" t="inlineStr">
        <is>
          <t>Windy Olivia</t>
        </is>
      </c>
      <c r="D1919" s="171" t="n">
        <v>46229.41666666666</v>
      </c>
      <c r="E1919" s="26" t="n">
        <v>0.2389583333333333</v>
      </c>
      <c r="F1919" s="27" t="inlineStr">
        <is>
          <t>Shift 1</t>
        </is>
      </c>
      <c r="G1919" s="27" t="n"/>
    </row>
    <row r="1920" hidden="1" s="169">
      <c r="A1920" s="27" t="inlineStr">
        <is>
          <t>MK00185</t>
        </is>
      </c>
      <c r="B1920" s="27" t="n">
        <v>528000195</v>
      </c>
      <c r="C1920" s="27" t="inlineStr">
        <is>
          <t>Rahma Sariwati</t>
        </is>
      </c>
      <c r="D1920" s="171" t="n">
        <v>46229.41666666666</v>
      </c>
      <c r="E1920" s="26" t="n">
        <v>0.2414699074074074</v>
      </c>
      <c r="F1920" s="27" t="inlineStr">
        <is>
          <t>Shift 1</t>
        </is>
      </c>
      <c r="G1920" s="27" t="n"/>
    </row>
    <row r="1921" hidden="1" s="169">
      <c r="A1921" s="27" t="inlineStr">
        <is>
          <t>MK00184</t>
        </is>
      </c>
      <c r="B1921" s="27" t="n">
        <v>528000266</v>
      </c>
      <c r="C1921" s="27" t="inlineStr">
        <is>
          <t>M. Syirajatieq</t>
        </is>
      </c>
      <c r="D1921" s="171" t="n">
        <v>46229.41666666666</v>
      </c>
      <c r="E1921" s="26" t="n">
        <v>0.2416203703703704</v>
      </c>
      <c r="F1921" s="27" t="inlineStr">
        <is>
          <t>Shift 1</t>
        </is>
      </c>
      <c r="G1921" s="27" t="n"/>
    </row>
    <row r="1922" hidden="1" s="169">
      <c r="A1922" s="27" t="inlineStr">
        <is>
          <t>MK00095</t>
        </is>
      </c>
      <c r="B1922" s="27" t="n">
        <v>528000283</v>
      </c>
      <c r="C1922" s="27" t="inlineStr">
        <is>
          <t>Purwanda Sugiri</t>
        </is>
      </c>
      <c r="D1922" s="171" t="n">
        <v>46229.41666666666</v>
      </c>
      <c r="E1922" s="26" t="n">
        <v>0.2434143518518518</v>
      </c>
      <c r="F1922" s="27" t="inlineStr">
        <is>
          <t>Shift 1</t>
        </is>
      </c>
      <c r="G1922" s="27" t="n"/>
    </row>
    <row r="1923" hidden="1" s="169">
      <c r="A1923" s="27" t="inlineStr">
        <is>
          <t>MK00192</t>
        </is>
      </c>
      <c r="B1923" s="27" t="n">
        <v>528000358</v>
      </c>
      <c r="C1923" s="27" t="inlineStr">
        <is>
          <t>Lulu Agustin</t>
        </is>
      </c>
      <c r="D1923" s="171" t="n">
        <v>46229.41666666666</v>
      </c>
      <c r="E1923" s="26" t="n">
        <v>0.2443634259259259</v>
      </c>
      <c r="F1923" s="27" t="inlineStr">
        <is>
          <t>Shift 1</t>
        </is>
      </c>
      <c r="G1923" s="27" t="n"/>
    </row>
    <row r="1924" hidden="1" s="169">
      <c r="A1924" s="27" t="inlineStr">
        <is>
          <t>MK00230</t>
        </is>
      </c>
      <c r="B1924" s="27" t="n">
        <v>528000291</v>
      </c>
      <c r="C1924" s="27" t="inlineStr">
        <is>
          <t>Andrian</t>
        </is>
      </c>
      <c r="D1924" s="171" t="n">
        <v>46229.41666666666</v>
      </c>
      <c r="E1924" s="26" t="n">
        <v>0.2446643518518518</v>
      </c>
      <c r="F1924" s="27" t="inlineStr">
        <is>
          <t>Shift 1</t>
        </is>
      </c>
      <c r="G1924" s="27" t="n"/>
    </row>
    <row r="1925" hidden="1" s="169">
      <c r="A1925" s="27" t="inlineStr">
        <is>
          <t>MK00220</t>
        </is>
      </c>
      <c r="B1925" s="27" t="n">
        <v>528000360</v>
      </c>
      <c r="C1925" s="27" t="inlineStr">
        <is>
          <t>Hendra Permana</t>
        </is>
      </c>
      <c r="D1925" s="171" t="n">
        <v>46229.41666666666</v>
      </c>
      <c r="E1925" s="26" t="n">
        <v>0.2466666666666667</v>
      </c>
      <c r="F1925" s="27" t="inlineStr">
        <is>
          <t>Shift 1</t>
        </is>
      </c>
      <c r="G1925" s="27" t="n"/>
    </row>
    <row r="1926" hidden="1" s="169">
      <c r="A1926" s="27" t="inlineStr">
        <is>
          <t>MK00138</t>
        </is>
      </c>
      <c r="B1926" s="27" t="n">
        <v>528000069</v>
      </c>
      <c r="C1926" s="27" t="inlineStr">
        <is>
          <t>Jajang Ardiansyah</t>
        </is>
      </c>
      <c r="D1926" s="171" t="n">
        <v>46229.41666666666</v>
      </c>
      <c r="E1926" s="26" t="n">
        <v>0.2828240740740741</v>
      </c>
      <c r="F1926" s="27" t="inlineStr">
        <is>
          <t>Shift 1</t>
        </is>
      </c>
      <c r="G1926" s="27" t="n"/>
    </row>
    <row r="1927" hidden="1" s="169">
      <c r="A1927" s="27" t="inlineStr">
        <is>
          <t>MK00249</t>
        </is>
      </c>
      <c r="B1927" s="27" t="n">
        <v>528000340</v>
      </c>
      <c r="C1927" s="27" t="inlineStr">
        <is>
          <t>Muhammad Wildan Adithya</t>
        </is>
      </c>
      <c r="D1927" s="171" t="n">
        <v>46229.41666666666</v>
      </c>
      <c r="E1927" s="26" t="n">
        <v>0.3131597222222222</v>
      </c>
      <c r="F1927" s="27" t="inlineStr">
        <is>
          <t>Shift 1</t>
        </is>
      </c>
      <c r="G1927" s="27" t="n"/>
    </row>
    <row r="1928" hidden="1" s="169">
      <c r="A1928" s="27" t="inlineStr">
        <is>
          <t>MK00181</t>
        </is>
      </c>
      <c r="B1928" s="27" t="n">
        <v>528000282</v>
      </c>
      <c r="C1928" s="27" t="inlineStr">
        <is>
          <t>Defa Desfiana</t>
        </is>
      </c>
      <c r="D1928" s="171" t="n">
        <v>46229.41666666666</v>
      </c>
      <c r="E1928" s="26" t="n">
        <v>0.3240162037037037</v>
      </c>
      <c r="F1928" s="27" t="inlineStr">
        <is>
          <t>Shift 1</t>
        </is>
      </c>
      <c r="G1928" s="27" t="inlineStr">
        <is>
          <t>32c</t>
        </is>
      </c>
    </row>
    <row r="1929" hidden="1" s="169">
      <c r="A1929" s="27" t="inlineStr">
        <is>
          <t>MK00208</t>
        </is>
      </c>
      <c r="B1929" s="27" t="n">
        <v>528000310</v>
      </c>
      <c r="C1929" s="27" t="inlineStr">
        <is>
          <t>Fachrul Rozzi Suryana</t>
        </is>
      </c>
      <c r="D1929" s="171" t="n">
        <v>46229.41666666666</v>
      </c>
      <c r="E1929" s="26" t="n">
        <v>0.3270486111111111</v>
      </c>
      <c r="F1929" s="27" t="inlineStr">
        <is>
          <t>Shift 1</t>
        </is>
      </c>
      <c r="G1929" s="27" t="inlineStr">
        <is>
          <t>33E</t>
        </is>
      </c>
    </row>
    <row r="1930" hidden="1" s="169">
      <c r="A1930" s="27" t="inlineStr">
        <is>
          <t>MK00145</t>
        </is>
      </c>
      <c r="B1930" s="27" t="n">
        <v>528000265</v>
      </c>
      <c r="C1930" s="27" t="inlineStr">
        <is>
          <t>Muhammad Haerul Rozikin</t>
        </is>
      </c>
      <c r="D1930" s="171" t="n">
        <v>46229.41666666666</v>
      </c>
      <c r="E1930" s="26" t="n">
        <v>0.3282754629629629</v>
      </c>
      <c r="F1930" s="27" t="inlineStr">
        <is>
          <t>Shift 1</t>
        </is>
      </c>
      <c r="G1930" s="27" t="n"/>
    </row>
    <row r="1931" hidden="1" s="169">
      <c r="A1931" s="27" t="inlineStr">
        <is>
          <t>MK00112</t>
        </is>
      </c>
      <c r="B1931" s="27" t="n">
        <v>528000351</v>
      </c>
      <c r="C1931" s="27" t="inlineStr">
        <is>
          <t>Mulyana</t>
        </is>
      </c>
      <c r="D1931" s="171" t="n">
        <v>46229.41666666666</v>
      </c>
      <c r="E1931" s="26" t="n">
        <v>0.3287268518518519</v>
      </c>
      <c r="F1931" s="27" t="inlineStr">
        <is>
          <t>Shift 1</t>
        </is>
      </c>
      <c r="G1931" s="27" t="n"/>
    </row>
    <row r="1932" hidden="1" s="169">
      <c r="A1932" s="27" t="inlineStr">
        <is>
          <t>MK00204</t>
        </is>
      </c>
      <c r="B1932" s="27" t="n">
        <v>528000335</v>
      </c>
      <c r="C1932" s="27" t="inlineStr">
        <is>
          <t>Rizal Saepuloh</t>
        </is>
      </c>
      <c r="D1932" s="171" t="n">
        <v>46229.41666666666</v>
      </c>
      <c r="E1932" s="26" t="n">
        <v>0.3302314814814815</v>
      </c>
      <c r="F1932" s="27" t="inlineStr">
        <is>
          <t>Shift 1</t>
        </is>
      </c>
      <c r="G1932" s="27" t="n"/>
    </row>
    <row r="1933" hidden="1" s="169">
      <c r="A1933" s="27" t="inlineStr">
        <is>
          <t>MK00221</t>
        </is>
      </c>
      <c r="B1933" s="27" t="n">
        <v>528000144</v>
      </c>
      <c r="C1933" s="27" t="inlineStr">
        <is>
          <t>Jodi Hanafi</t>
        </is>
      </c>
      <c r="D1933" s="171" t="n">
        <v>46229.41666666666</v>
      </c>
      <c r="E1933" s="26" t="n">
        <v>0.3346759259259259</v>
      </c>
      <c r="F1933" s="27" t="inlineStr">
        <is>
          <t>Shift 1</t>
        </is>
      </c>
      <c r="G1933" s="27" t="n"/>
    </row>
    <row r="1934" hidden="1" s="169">
      <c r="A1934" s="27" t="inlineStr">
        <is>
          <t>MK0130</t>
        </is>
      </c>
      <c r="B1934" s="27" t="n">
        <v>528000149</v>
      </c>
      <c r="C1934" s="27" t="inlineStr">
        <is>
          <t>Tio Fernanda</t>
        </is>
      </c>
      <c r="D1934" s="171" t="n">
        <v>46229.41666666666</v>
      </c>
      <c r="E1934" s="26" t="n">
        <v>0.3697453703703704</v>
      </c>
      <c r="F1934" s="27" t="inlineStr">
        <is>
          <t>Shift 1</t>
        </is>
      </c>
      <c r="G1934" s="27" t="n"/>
    </row>
    <row r="1935" hidden="1" s="169">
      <c r="A1935" s="27" t="inlineStr">
        <is>
          <t>MK00141</t>
        </is>
      </c>
      <c r="B1935" s="27" t="n">
        <v>528000040</v>
      </c>
      <c r="C1935" s="27" t="inlineStr">
        <is>
          <t>Agus Suryaman</t>
        </is>
      </c>
      <c r="D1935" s="171" t="n">
        <v>46229.41666666666</v>
      </c>
      <c r="E1935" s="26" t="n">
        <v>0.3698263888888889</v>
      </c>
      <c r="F1935" s="27" t="inlineStr">
        <is>
          <t>Shift 1</t>
        </is>
      </c>
      <c r="G1935" s="27" t="n"/>
    </row>
    <row r="1936" hidden="1" s="169">
      <c r="A1936" s="27" t="inlineStr">
        <is>
          <t>MK00150</t>
        </is>
      </c>
      <c r="B1936" s="27" t="n">
        <v>528000232</v>
      </c>
      <c r="C1936" s="27" t="inlineStr">
        <is>
          <t>Agung Aji Suhada</t>
        </is>
      </c>
      <c r="D1936" s="171" t="n">
        <v>46229.41666666666</v>
      </c>
      <c r="E1936" s="26" t="n">
        <v>0.3706712962962963</v>
      </c>
      <c r="F1936" s="27" t="inlineStr">
        <is>
          <t>Shift 1</t>
        </is>
      </c>
      <c r="G1936" s="27" t="n"/>
    </row>
    <row r="1937" hidden="1" s="169">
      <c r="A1937" s="27" t="inlineStr">
        <is>
          <t>MK00205</t>
        </is>
      </c>
      <c r="B1937" s="27" t="n">
        <v>528000348</v>
      </c>
      <c r="C1937" s="27" t="inlineStr">
        <is>
          <t>Saepuloh Ardiansah</t>
        </is>
      </c>
      <c r="D1937" s="171" t="n">
        <v>46229.41666666666</v>
      </c>
      <c r="E1937" s="26" t="n">
        <v>0.3712615740740741</v>
      </c>
      <c r="F1937" s="27" t="inlineStr">
        <is>
          <t>Shift 1</t>
        </is>
      </c>
      <c r="G1937" s="27" t="n"/>
    </row>
    <row r="1938" hidden="1" s="169">
      <c r="A1938" s="27" t="inlineStr">
        <is>
          <t>MK00082</t>
        </is>
      </c>
      <c r="B1938" s="27" t="n">
        <v>528000296</v>
      </c>
      <c r="C1938" s="27" t="inlineStr">
        <is>
          <t>Nurdin</t>
        </is>
      </c>
      <c r="D1938" s="171" t="n">
        <v>46229.41666666666</v>
      </c>
      <c r="E1938" s="26" t="n">
        <v>0.371412037037037</v>
      </c>
      <c r="F1938" s="27" t="inlineStr">
        <is>
          <t>Shift 1</t>
        </is>
      </c>
      <c r="G1938" s="27" t="n"/>
    </row>
    <row r="1939" hidden="1" s="169">
      <c r="A1939" s="27" t="inlineStr">
        <is>
          <t>MK00160</t>
        </is>
      </c>
      <c r="B1939" s="27" t="n">
        <v>528000324</v>
      </c>
      <c r="C1939" s="27" t="inlineStr">
        <is>
          <t>Sri Yanti</t>
        </is>
      </c>
      <c r="D1939" s="171" t="n">
        <v>46229.41666666666</v>
      </c>
      <c r="E1939" s="26" t="n">
        <v>0.5543865740740741</v>
      </c>
      <c r="F1939" s="27" t="inlineStr">
        <is>
          <t>Shift 2</t>
        </is>
      </c>
      <c r="G1939" s="27" t="n"/>
    </row>
    <row r="1940" hidden="1" s="169">
      <c r="A1940" s="27" t="inlineStr">
        <is>
          <t>MK00218</t>
        </is>
      </c>
      <c r="B1940" s="27" t="n">
        <v>528000323</v>
      </c>
      <c r="C1940" s="27" t="inlineStr">
        <is>
          <t>Dian Hamidah</t>
        </is>
      </c>
      <c r="D1940" s="171" t="n">
        <v>46229.41666666666</v>
      </c>
      <c r="E1940" s="26" t="n">
        <v>0.5708564814814815</v>
      </c>
      <c r="F1940" s="27" t="inlineStr">
        <is>
          <t>Shift 2</t>
        </is>
      </c>
      <c r="G1940" s="27" t="n"/>
    </row>
    <row r="1941" hidden="1" s="169">
      <c r="A1941" s="27" t="inlineStr">
        <is>
          <t>MK00121</t>
        </is>
      </c>
      <c r="B1941" s="27" t="n">
        <v>628000064</v>
      </c>
      <c r="C1941" s="27" t="inlineStr">
        <is>
          <t>Silva Alypia</t>
        </is>
      </c>
      <c r="D1941" s="171" t="n">
        <v>46229.41666666666</v>
      </c>
      <c r="E1941" s="26" t="n">
        <v>0.5728009259259259</v>
      </c>
      <c r="F1941" s="27" t="inlineStr">
        <is>
          <t>Shift 2</t>
        </is>
      </c>
      <c r="G1941" s="27" t="n"/>
    </row>
    <row r="1942" hidden="1" s="169">
      <c r="A1942" s="27" t="inlineStr">
        <is>
          <t>MK00217</t>
        </is>
      </c>
      <c r="B1942" s="27" t="n">
        <v>528000297</v>
      </c>
      <c r="C1942" s="27" t="inlineStr">
        <is>
          <t>Muhamad Budiana</t>
        </is>
      </c>
      <c r="D1942" s="171" t="n">
        <v>46229.41666666666</v>
      </c>
      <c r="E1942" s="26" t="n">
        <v>0.5740277777777778</v>
      </c>
      <c r="F1942" s="27" t="inlineStr">
        <is>
          <t>Shift 2</t>
        </is>
      </c>
      <c r="G1942" s="27" t="n"/>
    </row>
    <row r="1943" hidden="1" s="169">
      <c r="A1943" s="27" t="inlineStr">
        <is>
          <t>MK00154</t>
        </is>
      </c>
      <c r="B1943" s="27" t="n">
        <v>528000300</v>
      </c>
      <c r="C1943" s="27" t="inlineStr">
        <is>
          <t>Lia pitaloka</t>
        </is>
      </c>
      <c r="D1943" s="171" t="n">
        <v>46229.41666666666</v>
      </c>
      <c r="E1943" s="26" t="n">
        <v>0.5772685185185186</v>
      </c>
      <c r="F1943" s="27" t="inlineStr">
        <is>
          <t>Shift 2</t>
        </is>
      </c>
      <c r="G1943" s="27" t="n"/>
    </row>
    <row r="1944" hidden="1" s="169">
      <c r="A1944" s="27" t="inlineStr">
        <is>
          <t>MK00235</t>
        </is>
      </c>
      <c r="B1944" s="27" t="n">
        <v>528000248</v>
      </c>
      <c r="C1944" s="27" t="inlineStr">
        <is>
          <t>Roka Jaya Salka Mulya</t>
        </is>
      </c>
      <c r="D1944" s="171" t="n">
        <v>46229.41666666666</v>
      </c>
      <c r="E1944" s="26" t="n">
        <v>0.5777430555555556</v>
      </c>
      <c r="F1944" s="27" t="inlineStr">
        <is>
          <t>Shift 2</t>
        </is>
      </c>
      <c r="G1944" s="27" t="n"/>
    </row>
    <row r="1945" hidden="1" s="169">
      <c r="A1945" s="27" t="inlineStr">
        <is>
          <t>MK00213</t>
        </is>
      </c>
      <c r="B1945" s="27" t="n">
        <v>528000279</v>
      </c>
      <c r="C1945" s="27" t="inlineStr">
        <is>
          <t>Mahdalena Dalfa Riani</t>
        </is>
      </c>
      <c r="D1945" s="171" t="n">
        <v>46229.41666666666</v>
      </c>
      <c r="E1945" s="26" t="n">
        <v>0.5782291666666667</v>
      </c>
      <c r="F1945" s="27" t="inlineStr">
        <is>
          <t>Shift 2</t>
        </is>
      </c>
      <c r="G1945" s="27" t="n"/>
    </row>
    <row r="1946" hidden="1" s="169">
      <c r="A1946" s="27" t="inlineStr">
        <is>
          <t>MA00108</t>
        </is>
      </c>
      <c r="B1946" s="27" t="n">
        <v>528000063</v>
      </c>
      <c r="C1946" s="27" t="inlineStr">
        <is>
          <t>Muhamad Ripki Pebrian</t>
        </is>
      </c>
      <c r="D1946" s="171" t="n">
        <v>46229.41666666666</v>
      </c>
      <c r="E1946" s="26" t="n">
        <v>0.580300925925926</v>
      </c>
      <c r="F1946" s="27" t="inlineStr">
        <is>
          <t>Shift 2</t>
        </is>
      </c>
      <c r="G1946" s="27" t="n"/>
    </row>
    <row r="1947" hidden="1" s="169">
      <c r="A1947" s="27" t="inlineStr">
        <is>
          <t>MK00093</t>
        </is>
      </c>
      <c r="B1947" s="27" t="n">
        <v>528000267</v>
      </c>
      <c r="C1947" s="27" t="inlineStr">
        <is>
          <t>Bagas Patulloh</t>
        </is>
      </c>
      <c r="D1947" s="171" t="n">
        <v>46229.41666666666</v>
      </c>
      <c r="E1947" s="26" t="n">
        <v>0.6689583333333333</v>
      </c>
      <c r="F1947" s="27" t="inlineStr">
        <is>
          <t>Shift 2</t>
        </is>
      </c>
      <c r="G1947" s="27" t="n"/>
    </row>
    <row r="1948" hidden="1" s="169">
      <c r="A1948" s="27" t="inlineStr">
        <is>
          <t>MK00008</t>
        </is>
      </c>
      <c r="B1948" s="27" t="n">
        <v>528000244</v>
      </c>
      <c r="C1948" s="27" t="inlineStr">
        <is>
          <t>Rodian Rifai</t>
        </is>
      </c>
      <c r="D1948" s="171" t="n">
        <v>46229.41666666666</v>
      </c>
      <c r="E1948" s="26" t="n">
        <v>0.8768518518518519</v>
      </c>
      <c r="F1948" s="27" t="inlineStr">
        <is>
          <t>Shift 3</t>
        </is>
      </c>
      <c r="G1948" s="27" t="n"/>
    </row>
    <row r="1949" hidden="1" s="169">
      <c r="A1949" s="27" t="inlineStr">
        <is>
          <t>MK00138</t>
        </is>
      </c>
      <c r="B1949" s="27" t="n">
        <v>528000339</v>
      </c>
      <c r="C1949" s="27" t="inlineStr">
        <is>
          <t>Muhamad Ripai'i</t>
        </is>
      </c>
      <c r="D1949" s="171" t="n">
        <v>46229.41666666666</v>
      </c>
      <c r="E1949" s="26" t="n">
        <v>0.8776157407407408</v>
      </c>
      <c r="F1949" s="27" t="inlineStr">
        <is>
          <t>Shift 3</t>
        </is>
      </c>
      <c r="G1949" s="27" t="n"/>
    </row>
    <row r="1950" hidden="1" s="169">
      <c r="A1950" s="27" t="inlineStr">
        <is>
          <t>MK00145</t>
        </is>
      </c>
      <c r="B1950" s="27" t="n">
        <v>528000289</v>
      </c>
      <c r="C1950" s="27" t="inlineStr">
        <is>
          <t>Adit Supriyadi</t>
        </is>
      </c>
      <c r="D1950" s="171" t="n">
        <v>46229.41666666666</v>
      </c>
      <c r="E1950" s="26" t="n">
        <v>0.8776736111111111</v>
      </c>
      <c r="F1950" s="27" t="inlineStr">
        <is>
          <t>Shift 3</t>
        </is>
      </c>
      <c r="G1950" s="27" t="n"/>
    </row>
    <row r="1951" hidden="1" s="169">
      <c r="A1951" s="27" t="inlineStr">
        <is>
          <t>MK00202</t>
        </is>
      </c>
      <c r="B1951" s="27" t="n">
        <v>528000201</v>
      </c>
      <c r="C1951" s="27" t="inlineStr">
        <is>
          <t>Zahwa Amelia Choerunissa</t>
        </is>
      </c>
      <c r="D1951" s="171" t="n">
        <v>46229.41666666666</v>
      </c>
      <c r="E1951" s="26" t="n">
        <v>0.9036226851851852</v>
      </c>
      <c r="F1951" s="27" t="inlineStr">
        <is>
          <t>Shift 3</t>
        </is>
      </c>
      <c r="G1951" s="27" t="n"/>
    </row>
    <row r="1952" hidden="1" s="169">
      <c r="A1952" s="27" t="inlineStr">
        <is>
          <t>MK00185</t>
        </is>
      </c>
      <c r="B1952" s="27" t="n">
        <v>528000286</v>
      </c>
      <c r="C1952" s="27" t="inlineStr">
        <is>
          <t>Imelda Amelia</t>
        </is>
      </c>
      <c r="D1952" s="171" t="n">
        <v>46229.41666666666</v>
      </c>
      <c r="E1952" s="26" t="n">
        <v>0.9054745370370371</v>
      </c>
      <c r="F1952" s="27" t="inlineStr">
        <is>
          <t>Shift 3</t>
        </is>
      </c>
      <c r="G1952" s="27" t="n"/>
    </row>
    <row r="1953" hidden="1" s="169">
      <c r="A1953" s="27" t="inlineStr">
        <is>
          <t>MK00209</t>
        </is>
      </c>
      <c r="B1953" s="27" t="n">
        <v>528000273</v>
      </c>
      <c r="C1953" s="27" t="inlineStr">
        <is>
          <t>Asep Mulyana</t>
        </is>
      </c>
      <c r="D1953" s="171" t="n">
        <v>46229.41666666666</v>
      </c>
      <c r="E1953" s="26" t="n">
        <v>0.9079861111111112</v>
      </c>
      <c r="F1953" s="27" t="inlineStr">
        <is>
          <t>Shift 3</t>
        </is>
      </c>
      <c r="G1953" s="27" t="n"/>
    </row>
    <row r="1954" hidden="1" s="169">
      <c r="A1954" s="27" t="inlineStr">
        <is>
          <t>MK00212</t>
        </is>
      </c>
      <c r="B1954" s="27" t="n">
        <v>528000228</v>
      </c>
      <c r="C1954" s="27" t="inlineStr">
        <is>
          <t>Banyu Resmi Putri</t>
        </is>
      </c>
      <c r="D1954" s="171" t="n">
        <v>46229.41666666666</v>
      </c>
      <c r="E1954" s="26" t="n">
        <v>0.9109837962962963</v>
      </c>
      <c r="F1954" s="27" t="inlineStr">
        <is>
          <t>Shift 3</t>
        </is>
      </c>
      <c r="G1954" s="27" t="n"/>
    </row>
    <row r="1955" hidden="1" s="169">
      <c r="A1955" s="27" t="inlineStr">
        <is>
          <t>MK00208</t>
        </is>
      </c>
      <c r="B1955" s="27" t="n">
        <v>528000241</v>
      </c>
      <c r="C1955" s="27" t="inlineStr">
        <is>
          <t>Balia Nurafif Bilah</t>
        </is>
      </c>
      <c r="D1955" s="171" t="n">
        <v>46229.41666666666</v>
      </c>
      <c r="E1955" s="26" t="n">
        <v>0.9120254629629629</v>
      </c>
      <c r="F1955" s="27" t="inlineStr">
        <is>
          <t>Shift 3</t>
        </is>
      </c>
      <c r="G1955" s="27" t="n"/>
    </row>
    <row r="1956" hidden="1" s="169">
      <c r="A1956" s="27" t="inlineStr">
        <is>
          <t>MK00181</t>
        </is>
      </c>
      <c r="B1956" s="27" t="n">
        <v>528000274</v>
      </c>
      <c r="C1956" s="27" t="inlineStr">
        <is>
          <t>Zepri</t>
        </is>
      </c>
      <c r="D1956" s="171" t="n">
        <v>46229.41666666666</v>
      </c>
      <c r="E1956" s="26" t="n">
        <v>0.9123263888888888</v>
      </c>
      <c r="F1956" s="27" t="inlineStr">
        <is>
          <t>Shift 3</t>
        </is>
      </c>
      <c r="G1956" s="27" t="n"/>
    </row>
    <row r="1957" hidden="1" s="169">
      <c r="A1957" s="27" t="inlineStr">
        <is>
          <t>MK00112</t>
        </is>
      </c>
      <c r="B1957" s="27" t="n">
        <v>528000090</v>
      </c>
      <c r="C1957" s="27" t="inlineStr">
        <is>
          <t>Suganda</t>
        </is>
      </c>
      <c r="D1957" s="171" t="n">
        <v>46229.41666666666</v>
      </c>
      <c r="E1957" s="26" t="n">
        <v>0.9123958333333333</v>
      </c>
      <c r="F1957" s="27" t="inlineStr">
        <is>
          <t>Shift 3</t>
        </is>
      </c>
      <c r="G1957" s="27" t="n"/>
    </row>
    <row r="1958" hidden="1" s="169">
      <c r="A1958" s="27" t="inlineStr">
        <is>
          <t>MK00249</t>
        </is>
      </c>
      <c r="B1958" s="27" t="n">
        <v>528000290</v>
      </c>
      <c r="C1958" s="27" t="inlineStr">
        <is>
          <t>Eval Pranata</t>
        </is>
      </c>
      <c r="D1958" s="171" t="n">
        <v>46229.41666666666</v>
      </c>
      <c r="E1958" s="26" t="n">
        <v>0.9137037037037037</v>
      </c>
      <c r="F1958" s="27" t="inlineStr">
        <is>
          <t>Shift 3</t>
        </is>
      </c>
      <c r="G1958" s="27" t="n"/>
    </row>
    <row r="1959" hidden="1" s="169">
      <c r="A1959" s="27" t="inlineStr">
        <is>
          <t>MK00109</t>
        </is>
      </c>
      <c r="B1959" s="27" t="n">
        <v>528000322</v>
      </c>
      <c r="C1959" s="27" t="inlineStr">
        <is>
          <t>Muhamad Aliludin</t>
        </is>
      </c>
      <c r="D1959" s="171" t="n">
        <v>46230.41666666666</v>
      </c>
      <c r="E1959" s="26" t="n">
        <v>0.225625</v>
      </c>
      <c r="F1959" s="27" t="inlineStr">
        <is>
          <t>Shift 1</t>
        </is>
      </c>
      <c r="G1959" s="27" t="n"/>
    </row>
    <row r="1960" hidden="1" s="169">
      <c r="A1960" s="27" t="inlineStr">
        <is>
          <t>MK00210</t>
        </is>
      </c>
      <c r="B1960" s="27" t="n">
        <v>528000305</v>
      </c>
      <c r="C1960" s="27" t="inlineStr">
        <is>
          <t>Puji Puspita</t>
        </is>
      </c>
      <c r="D1960" s="171" t="n">
        <v>46230.41666666666</v>
      </c>
      <c r="E1960" s="26" t="n">
        <v>0.2361921296296296</v>
      </c>
      <c r="F1960" s="27" t="inlineStr">
        <is>
          <t>Shift 1</t>
        </is>
      </c>
      <c r="G1960" s="27" t="n"/>
    </row>
    <row r="1961" hidden="1" s="169">
      <c r="A1961" s="27" t="inlineStr">
        <is>
          <t>MK00184</t>
        </is>
      </c>
      <c r="B1961" s="27" t="n">
        <v>528000299</v>
      </c>
      <c r="C1961" s="27" t="inlineStr">
        <is>
          <t>Siti Nurjanah</t>
        </is>
      </c>
      <c r="D1961" s="171" t="n">
        <v>46230.41666666666</v>
      </c>
      <c r="E1961" s="26" t="n">
        <v>0.2364236111111111</v>
      </c>
      <c r="F1961" s="27" t="inlineStr">
        <is>
          <t>Shift 1</t>
        </is>
      </c>
      <c r="G1961" s="27" t="n"/>
    </row>
    <row r="1962" hidden="1" s="169">
      <c r="A1962" s="27" t="n">
        <v>116</v>
      </c>
      <c r="B1962" s="27" t="n">
        <v>528000313</v>
      </c>
      <c r="C1962" s="27" t="inlineStr">
        <is>
          <t>Muhamad Rifki</t>
        </is>
      </c>
      <c r="D1962" s="171" t="n">
        <v>46230.41666666666</v>
      </c>
      <c r="E1962" s="26" t="n">
        <v>0.2401388888888889</v>
      </c>
      <c r="F1962" s="27" t="inlineStr">
        <is>
          <t>Shift 1</t>
        </is>
      </c>
      <c r="G1962" s="27" t="n"/>
    </row>
    <row r="1963">
      <c r="A1963" s="27" t="inlineStr">
        <is>
          <t>MK00088</t>
        </is>
      </c>
      <c r="B1963" s="27" t="n">
        <v>528000015</v>
      </c>
      <c r="C1963" s="27" t="inlineStr">
        <is>
          <t>Erwin</t>
        </is>
      </c>
      <c r="D1963" s="171" t="n">
        <v>46230.41666666666</v>
      </c>
      <c r="E1963" s="26" t="n">
        <v>0.2402199074074074</v>
      </c>
      <c r="F1963" s="27" t="inlineStr">
        <is>
          <t>Shift 1</t>
        </is>
      </c>
      <c r="G1963" s="27" t="n"/>
    </row>
    <row r="1964" hidden="1" s="169">
      <c r="A1964" s="27" t="inlineStr">
        <is>
          <t>MK00192</t>
        </is>
      </c>
      <c r="B1964" s="27" t="n">
        <v>528000282</v>
      </c>
      <c r="C1964" s="27" t="inlineStr">
        <is>
          <t>Defa Desfiana</t>
        </is>
      </c>
      <c r="D1964" s="171" t="n">
        <v>46230.41666666666</v>
      </c>
      <c r="E1964" s="26" t="n">
        <v>0.2409027777777778</v>
      </c>
      <c r="F1964" s="27" t="inlineStr">
        <is>
          <t>Shift 1</t>
        </is>
      </c>
      <c r="G1964" s="27" t="inlineStr">
        <is>
          <t>3a</t>
        </is>
      </c>
    </row>
    <row r="1965" hidden="1" s="169">
      <c r="A1965" s="27" t="inlineStr">
        <is>
          <t>MK00217</t>
        </is>
      </c>
      <c r="B1965" s="27" t="n">
        <v>528000318</v>
      </c>
      <c r="C1965" s="27" t="inlineStr">
        <is>
          <t>Bayu Padli Sepriyana</t>
        </is>
      </c>
      <c r="D1965" s="171" t="n">
        <v>46230.41666666666</v>
      </c>
      <c r="E1965" s="26" t="n">
        <v>0.2408912037037037</v>
      </c>
      <c r="F1965" s="27" t="inlineStr">
        <is>
          <t>Shift 1</t>
        </is>
      </c>
      <c r="G1965" s="27" t="n"/>
    </row>
    <row r="1966" hidden="1" s="169">
      <c r="A1966" s="27" t="inlineStr">
        <is>
          <t>MK00090</t>
        </is>
      </c>
      <c r="B1966" s="27" t="n">
        <v>528000270</v>
      </c>
      <c r="C1966" s="27" t="inlineStr">
        <is>
          <t>Febri Najmudin</t>
        </is>
      </c>
      <c r="D1966" s="171" t="n">
        <v>46230.41666666666</v>
      </c>
      <c r="E1966" s="26" t="n">
        <v>0.2412962962962963</v>
      </c>
      <c r="F1966" s="27" t="inlineStr">
        <is>
          <t>Shift 1</t>
        </is>
      </c>
      <c r="G1966" s="27" t="n"/>
    </row>
    <row r="1967" hidden="1" s="169">
      <c r="A1967" s="27" t="inlineStr">
        <is>
          <t>MK00108</t>
        </is>
      </c>
      <c r="B1967" s="27" t="n">
        <v>528000298</v>
      </c>
      <c r="C1967" s="27" t="inlineStr">
        <is>
          <t>Desta Cahaya Pratama</t>
        </is>
      </c>
      <c r="D1967" s="171" t="n">
        <v>46230.41666666666</v>
      </c>
      <c r="E1967" s="26" t="n">
        <v>0.2420601851851852</v>
      </c>
      <c r="F1967" s="27" t="inlineStr">
        <is>
          <t>Shift 1</t>
        </is>
      </c>
      <c r="G1967" s="27" t="n"/>
    </row>
    <row r="1968" hidden="1" s="169">
      <c r="A1968" s="27" t="inlineStr">
        <is>
          <t>MK00154</t>
        </is>
      </c>
      <c r="B1968" s="27" t="n">
        <v>528000309</v>
      </c>
      <c r="C1968" s="27" t="inlineStr">
        <is>
          <t>Ilham Ramadhan</t>
        </is>
      </c>
      <c r="D1968" s="171" t="n">
        <v>46230.41666666666</v>
      </c>
      <c r="E1968" s="26" t="n">
        <v>0.2464467592592593</v>
      </c>
      <c r="F1968" s="27" t="inlineStr">
        <is>
          <t>Shift 1</t>
        </is>
      </c>
      <c r="G1968" s="27" t="n"/>
    </row>
    <row r="1969" hidden="1" s="169">
      <c r="A1969" s="27" t="inlineStr">
        <is>
          <t>MK00203</t>
        </is>
      </c>
      <c r="B1969" s="27" t="n">
        <v>528000265</v>
      </c>
      <c r="C1969" s="27" t="inlineStr">
        <is>
          <t>Muhammad Haerul Rozikin</t>
        </is>
      </c>
      <c r="D1969" s="171" t="n">
        <v>46230.41666666666</v>
      </c>
      <c r="E1969" s="26" t="n">
        <v>0.2470486111111111</v>
      </c>
      <c r="F1969" s="27" t="inlineStr">
        <is>
          <t>Shift 1</t>
        </is>
      </c>
      <c r="G1969" s="27" t="n"/>
    </row>
    <row r="1970" hidden="1" s="169">
      <c r="A1970" s="27" t="inlineStr">
        <is>
          <t>MK00121</t>
        </is>
      </c>
      <c r="B1970" s="27" t="n">
        <v>528000310</v>
      </c>
      <c r="C1970" s="27" t="inlineStr">
        <is>
          <t>Fachrul Rozzi Suryana</t>
        </is>
      </c>
      <c r="D1970" s="171" t="n">
        <v>46230.41666666666</v>
      </c>
      <c r="E1970" s="26" t="n">
        <v>0.2485185185185185</v>
      </c>
      <c r="F1970" s="27" t="inlineStr">
        <is>
          <t>Shift 1</t>
        </is>
      </c>
      <c r="G1970" s="27" t="n"/>
    </row>
    <row r="1971" hidden="1" s="169">
      <c r="A1971" s="27" t="inlineStr">
        <is>
          <t>MK00218</t>
        </is>
      </c>
      <c r="B1971" s="27" t="n">
        <v>528000361</v>
      </c>
      <c r="C1971" s="27" t="inlineStr">
        <is>
          <t>Denada Munggarani</t>
        </is>
      </c>
      <c r="D1971" s="171" t="n">
        <v>46230.41666666666</v>
      </c>
      <c r="E1971" s="26" t="n">
        <v>0.2510648148148148</v>
      </c>
      <c r="F1971" s="27" t="inlineStr">
        <is>
          <t>Shift 1</t>
        </is>
      </c>
      <c r="G1971" s="27" t="n"/>
    </row>
    <row r="1972" hidden="1" s="169">
      <c r="A1972" s="27" t="inlineStr">
        <is>
          <t>MK00208</t>
        </is>
      </c>
      <c r="B1972" s="27" t="n">
        <v>528000340</v>
      </c>
      <c r="C1972" s="27" t="inlineStr">
        <is>
          <t>Muhammad Wildan Adithya</t>
        </is>
      </c>
      <c r="D1972" s="171" t="n">
        <v>46230.41666666666</v>
      </c>
      <c r="E1972" s="26" t="n">
        <v>0.2663425925925926</v>
      </c>
      <c r="F1972" s="27" t="inlineStr">
        <is>
          <t>Shift 1</t>
        </is>
      </c>
      <c r="G1972" s="27" t="n"/>
    </row>
    <row r="1973" hidden="1" s="169">
      <c r="A1973" s="27" t="inlineStr">
        <is>
          <t>MK00145</t>
        </is>
      </c>
      <c r="B1973" s="27" t="n">
        <v>528000351</v>
      </c>
      <c r="C1973" s="27" t="inlineStr">
        <is>
          <t>Mulyana</t>
        </is>
      </c>
      <c r="D1973" s="171" t="n">
        <v>46230.41666666666</v>
      </c>
      <c r="E1973" s="26" t="n">
        <v>0.3252662037037037</v>
      </c>
      <c r="F1973" s="27" t="inlineStr">
        <is>
          <t>Shift 1</t>
        </is>
      </c>
      <c r="G1973" s="27" t="n"/>
    </row>
    <row r="1974" hidden="1" s="169">
      <c r="A1974" s="27" t="inlineStr">
        <is>
          <t>MK00221</t>
        </is>
      </c>
      <c r="B1974" s="27" t="n">
        <v>528000144</v>
      </c>
      <c r="C1974" s="27" t="inlineStr">
        <is>
          <t>Jodi Hanafi</t>
        </is>
      </c>
      <c r="D1974" s="171" t="n">
        <v>46230.41666666666</v>
      </c>
      <c r="E1974" s="26" t="n">
        <v>0.3290393518518518</v>
      </c>
      <c r="F1974" s="27" t="inlineStr">
        <is>
          <t>Shift 1</t>
        </is>
      </c>
      <c r="G1974" s="27" t="n"/>
    </row>
    <row r="1975" hidden="1" s="169">
      <c r="A1975" s="27" t="inlineStr">
        <is>
          <t>MK00204</t>
        </is>
      </c>
      <c r="B1975" s="27" t="n">
        <v>528000335</v>
      </c>
      <c r="C1975" s="27" t="inlineStr">
        <is>
          <t>Rizal Saepuloh</t>
        </is>
      </c>
      <c r="D1975" s="171" t="n">
        <v>46230.41666666666</v>
      </c>
      <c r="E1975" s="26" t="n">
        <v>0.3326967592592592</v>
      </c>
      <c r="F1975" s="27" t="inlineStr">
        <is>
          <t>Shift 1</t>
        </is>
      </c>
      <c r="G1975" s="27" t="n"/>
    </row>
    <row r="1976" hidden="1" s="169">
      <c r="A1976" s="27" t="inlineStr">
        <is>
          <t>MK00141</t>
        </is>
      </c>
      <c r="B1976" s="27" t="n">
        <v>528000040</v>
      </c>
      <c r="C1976" s="27" t="inlineStr">
        <is>
          <t>Agus Suryaman</t>
        </is>
      </c>
      <c r="D1976" s="171" t="n">
        <v>46230.41666666666</v>
      </c>
      <c r="E1976" s="26" t="n">
        <v>0.3394097222222222</v>
      </c>
      <c r="F1976" s="27" t="inlineStr">
        <is>
          <t>Shift 1</t>
        </is>
      </c>
      <c r="G1976" s="27" t="n"/>
    </row>
    <row r="1977" hidden="1" s="169">
      <c r="A1977" s="27" t="inlineStr">
        <is>
          <t>MK00205</t>
        </is>
      </c>
      <c r="B1977" s="27" t="n">
        <v>528000348</v>
      </c>
      <c r="C1977" s="27" t="inlineStr">
        <is>
          <t>Saepuloh Ardiansah</t>
        </is>
      </c>
      <c r="D1977" s="171" t="n">
        <v>46230.41666666666</v>
      </c>
      <c r="E1977" s="26" t="n">
        <v>0.3663888888888889</v>
      </c>
      <c r="F1977" s="27" t="inlineStr">
        <is>
          <t>Shift 1</t>
        </is>
      </c>
      <c r="G1977" s="27" t="n"/>
    </row>
    <row r="1978" hidden="1" s="169">
      <c r="A1978" s="27" t="inlineStr">
        <is>
          <t>MK0130</t>
        </is>
      </c>
      <c r="B1978" s="27" t="n">
        <v>528000149</v>
      </c>
      <c r="C1978" s="27" t="inlineStr">
        <is>
          <t>Tio Fernanda</t>
        </is>
      </c>
      <c r="D1978" s="171" t="n">
        <v>46230.41666666666</v>
      </c>
      <c r="E1978" s="26" t="n">
        <v>0.3680324074074074</v>
      </c>
      <c r="F1978" s="27" t="inlineStr">
        <is>
          <t>Shift 1</t>
        </is>
      </c>
      <c r="G1978" s="27" t="n"/>
    </row>
    <row r="1979" hidden="1" s="169">
      <c r="A1979" s="27" t="inlineStr">
        <is>
          <t>MK00150</t>
        </is>
      </c>
      <c r="B1979" s="27" t="n">
        <v>528000232</v>
      </c>
      <c r="C1979" s="27" t="inlineStr">
        <is>
          <t>Agung Aji Suhada</t>
        </is>
      </c>
      <c r="D1979" s="171" t="n">
        <v>46230.41666666666</v>
      </c>
      <c r="E1979" s="26" t="n">
        <v>0.369849537037037</v>
      </c>
      <c r="F1979" s="27" t="inlineStr">
        <is>
          <t>Shift 1</t>
        </is>
      </c>
      <c r="G1979" s="27" t="n"/>
    </row>
    <row r="1980" hidden="1" s="169">
      <c r="A1980" s="27" t="inlineStr">
        <is>
          <t>MK00202</t>
        </is>
      </c>
      <c r="B1980" s="27" t="n">
        <v>528000349</v>
      </c>
      <c r="C1980" s="27" t="inlineStr">
        <is>
          <t>Anas Abdul Fatah</t>
        </is>
      </c>
      <c r="D1980" s="171" t="n">
        <v>46230.41666666666</v>
      </c>
      <c r="E1980" s="26" t="n">
        <v>0.403587962962963</v>
      </c>
      <c r="F1980" s="27" t="inlineStr">
        <is>
          <t>Shift 1</t>
        </is>
      </c>
      <c r="G1980" s="27" t="n"/>
    </row>
    <row r="1981" hidden="1" s="169">
      <c r="A1981" s="27" t="inlineStr">
        <is>
          <t>MK00213</t>
        </is>
      </c>
      <c r="B1981" s="27" t="n">
        <v>528000306</v>
      </c>
      <c r="C1981" s="27" t="inlineStr">
        <is>
          <t>Windy Olivia</t>
        </is>
      </c>
      <c r="D1981" s="171" t="n">
        <v>46230.41666666666</v>
      </c>
      <c r="E1981" s="26" t="n">
        <v>0.567037037037037</v>
      </c>
      <c r="F1981" s="27" t="inlineStr">
        <is>
          <t>Shift 2</t>
        </is>
      </c>
      <c r="G1981" s="27" t="n"/>
    </row>
    <row r="1982" hidden="1" s="169">
      <c r="A1982" s="27" t="inlineStr">
        <is>
          <t>MK00160</t>
        </is>
      </c>
      <c r="B1982" s="27" t="n">
        <v>528000323</v>
      </c>
      <c r="C1982" s="27" t="inlineStr">
        <is>
          <t>Dian Hamidah</t>
        </is>
      </c>
      <c r="D1982" s="171" t="n">
        <v>46230.41666666666</v>
      </c>
      <c r="E1982" s="26" t="n">
        <v>0.5693171296296297</v>
      </c>
      <c r="F1982" s="27" t="inlineStr">
        <is>
          <t>Shift 2</t>
        </is>
      </c>
      <c r="G1982" s="27" t="n"/>
    </row>
    <row r="1983" hidden="1" s="169">
      <c r="A1983" s="27" t="inlineStr">
        <is>
          <t>MK00143</t>
        </is>
      </c>
      <c r="B1983" s="27" t="n">
        <v>528000300</v>
      </c>
      <c r="C1983" s="27" t="inlineStr">
        <is>
          <t>Lia pitaloka</t>
        </is>
      </c>
      <c r="D1983" s="171" t="n">
        <v>46230.41666666666</v>
      </c>
      <c r="E1983" s="26" t="n">
        <v>0.5731481481481482</v>
      </c>
      <c r="F1983" s="27" t="inlineStr">
        <is>
          <t>Shift 2</t>
        </is>
      </c>
      <c r="G1983" s="27" t="n"/>
    </row>
    <row r="1984" hidden="1" s="169">
      <c r="A1984" s="27" t="inlineStr">
        <is>
          <t>MK00186</t>
        </is>
      </c>
      <c r="B1984" s="27" t="n">
        <v>628000064</v>
      </c>
      <c r="C1984" s="27" t="inlineStr">
        <is>
          <t>Silva Alypia</t>
        </is>
      </c>
      <c r="D1984" s="171" t="n">
        <v>46230.41666666666</v>
      </c>
      <c r="E1984" s="26" t="n">
        <v>0.575474537037037</v>
      </c>
      <c r="F1984" s="27" t="inlineStr">
        <is>
          <t>Shift 2</t>
        </is>
      </c>
      <c r="G1984" s="27" t="n"/>
    </row>
    <row r="1985" hidden="1" s="169">
      <c r="A1985" s="27" t="inlineStr">
        <is>
          <t>MK00136</t>
        </is>
      </c>
      <c r="B1985" s="27" t="n">
        <v>528000248</v>
      </c>
      <c r="C1985" s="27" t="inlineStr">
        <is>
          <t>Roka Jaya Salka Mulya</t>
        </is>
      </c>
      <c r="D1985" s="171" t="n">
        <v>46230.41666666666</v>
      </c>
      <c r="E1985" s="26" t="n">
        <v>0.5766666666666667</v>
      </c>
      <c r="F1985" s="27" t="inlineStr">
        <is>
          <t>Shift 2</t>
        </is>
      </c>
      <c r="G1985" s="27" t="n"/>
    </row>
    <row r="1986" hidden="1" s="169">
      <c r="A1986" s="27" t="inlineStr">
        <is>
          <t>MK00082</t>
        </is>
      </c>
      <c r="B1986" s="27" t="n">
        <v>528000329</v>
      </c>
      <c r="C1986" s="27" t="inlineStr">
        <is>
          <t>Havid Ilham Firdaus</t>
        </is>
      </c>
      <c r="D1986" s="171" t="n">
        <v>46230.41666666666</v>
      </c>
      <c r="E1986" s="26" t="n">
        <v>0.5777199074074074</v>
      </c>
      <c r="F1986" s="27" t="inlineStr">
        <is>
          <t>Shift 2</t>
        </is>
      </c>
      <c r="G1986" s="27" t="n"/>
    </row>
    <row r="1987" hidden="1" s="169">
      <c r="A1987" s="27" t="inlineStr">
        <is>
          <t>MK00235</t>
        </is>
      </c>
      <c r="B1987" s="27" t="n">
        <v>528000297</v>
      </c>
      <c r="C1987" s="27" t="inlineStr">
        <is>
          <t>Muhamad Budiana</t>
        </is>
      </c>
      <c r="D1987" s="171" t="n">
        <v>46230.41666666666</v>
      </c>
      <c r="E1987" s="26" t="n">
        <v>0.5785300925925926</v>
      </c>
      <c r="F1987" s="27" t="inlineStr">
        <is>
          <t>Shift 2</t>
        </is>
      </c>
      <c r="G1987" s="27" t="n"/>
    </row>
    <row r="1988" hidden="1" s="169">
      <c r="A1988" s="27" t="inlineStr">
        <is>
          <t>MK00230</t>
        </is>
      </c>
      <c r="B1988" s="27" t="n">
        <v>528000279</v>
      </c>
      <c r="C1988" s="27" t="inlineStr">
        <is>
          <t>Mahdalena Dalfa Riani</t>
        </is>
      </c>
      <c r="D1988" s="171" t="n">
        <v>46230.41666666666</v>
      </c>
      <c r="E1988" s="26" t="n">
        <v>0.5823726851851851</v>
      </c>
      <c r="F1988" s="27" t="inlineStr">
        <is>
          <t>Shift 2</t>
        </is>
      </c>
      <c r="G1988" s="27" t="n"/>
    </row>
    <row r="1989" hidden="1" s="169">
      <c r="A1989" s="27" t="inlineStr">
        <is>
          <t>MK00093</t>
        </is>
      </c>
      <c r="B1989" s="27" t="n">
        <v>528000267</v>
      </c>
      <c r="C1989" s="27" t="inlineStr">
        <is>
          <t>Bagas Patulloh</t>
        </is>
      </c>
      <c r="D1989" s="171" t="n">
        <v>46230.41666666666</v>
      </c>
      <c r="E1989" s="26" t="n">
        <v>0.6644907407407408</v>
      </c>
      <c r="F1989" s="27" t="inlineStr">
        <is>
          <t>Shift 2</t>
        </is>
      </c>
      <c r="G1989" s="27" t="n"/>
    </row>
    <row r="1990" hidden="1" s="169">
      <c r="A1990" s="27" t="inlineStr">
        <is>
          <t>MK00228</t>
        </is>
      </c>
      <c r="B1990" s="27" t="n">
        <v>528000132</v>
      </c>
      <c r="C1990" s="27" t="inlineStr">
        <is>
          <t>Giopani</t>
        </is>
      </c>
      <c r="D1990" s="171" t="n">
        <v>46230.41666666666</v>
      </c>
      <c r="E1990" s="26" t="n">
        <v>0.6651157407407408</v>
      </c>
      <c r="F1990" s="27" t="inlineStr">
        <is>
          <t>Shift 2</t>
        </is>
      </c>
      <c r="G1990" s="27" t="n"/>
    </row>
    <row r="1991" hidden="1" s="169">
      <c r="A1991" s="27" t="inlineStr">
        <is>
          <t>MK00108</t>
        </is>
      </c>
      <c r="B1991" s="27" t="n">
        <v>528000052</v>
      </c>
      <c r="C1991" s="27" t="inlineStr">
        <is>
          <t>Mustopa</t>
        </is>
      </c>
      <c r="D1991" s="171" t="n">
        <v>46230.41666666666</v>
      </c>
      <c r="E1991" s="26" t="n">
        <v>0.8702199074074074</v>
      </c>
      <c r="F1991" s="27" t="inlineStr">
        <is>
          <t>Shift 2</t>
        </is>
      </c>
      <c r="G1991" s="27" t="n"/>
    </row>
    <row r="1992" hidden="1" s="169">
      <c r="A1992" s="27" t="inlineStr">
        <is>
          <t>MK00202</t>
        </is>
      </c>
      <c r="B1992" s="27" t="n">
        <v>528000339</v>
      </c>
      <c r="C1992" s="27" t="inlineStr">
        <is>
          <t>Muhamad Ripai'i</t>
        </is>
      </c>
      <c r="D1992" s="171" t="n">
        <v>46230.41666666666</v>
      </c>
      <c r="E1992" s="26" t="n">
        <v>0.8828587962962963</v>
      </c>
      <c r="F1992" s="27" t="inlineStr">
        <is>
          <t>Shift 3</t>
        </is>
      </c>
      <c r="G1992" s="27" t="n"/>
    </row>
    <row r="1993" hidden="1" s="169">
      <c r="A1993" s="27" t="inlineStr">
        <is>
          <t>MK00116</t>
        </is>
      </c>
      <c r="B1993" s="27" t="n">
        <v>528000244</v>
      </c>
      <c r="C1993" s="27" t="inlineStr">
        <is>
          <t>Rodian Rifai</t>
        </is>
      </c>
      <c r="D1993" s="171" t="n">
        <v>46230.41666666666</v>
      </c>
      <c r="E1993" s="26" t="n">
        <v>0.8873032407407407</v>
      </c>
      <c r="F1993" s="27" t="inlineStr">
        <is>
          <t>Shift 3</t>
        </is>
      </c>
      <c r="G1993" s="27" t="n"/>
    </row>
    <row r="1994" hidden="1" s="169">
      <c r="A1994" s="27" t="inlineStr">
        <is>
          <t>MK00154</t>
        </is>
      </c>
      <c r="B1994" s="27" t="n">
        <v>528000289</v>
      </c>
      <c r="C1994" s="27" t="inlineStr">
        <is>
          <t>Adit Supriyadi</t>
        </is>
      </c>
      <c r="D1994" s="171" t="n">
        <v>46230.41666666666</v>
      </c>
      <c r="E1994" s="26" t="n">
        <v>0.8924421296296297</v>
      </c>
      <c r="F1994" s="27" t="inlineStr">
        <is>
          <t>Shift 3</t>
        </is>
      </c>
      <c r="G1994" s="27" t="n"/>
    </row>
    <row r="1995" hidden="1" s="169">
      <c r="A1995" s="27" t="inlineStr">
        <is>
          <t>MK00218</t>
        </is>
      </c>
      <c r="B1995" s="27" t="n">
        <v>528000201</v>
      </c>
      <c r="C1995" s="27" t="inlineStr">
        <is>
          <t>Zahwa Amelia Choerunissa</t>
        </is>
      </c>
      <c r="D1995" s="171" t="n">
        <v>46230.41666666666</v>
      </c>
      <c r="E1995" s="26" t="n">
        <v>0.9058101851851852</v>
      </c>
      <c r="F1995" s="27" t="inlineStr">
        <is>
          <t>Shift 3</t>
        </is>
      </c>
      <c r="G1995" s="27" t="n"/>
    </row>
    <row r="1996" hidden="1" s="169">
      <c r="A1996" s="27" t="inlineStr">
        <is>
          <t>MK00208</t>
        </is>
      </c>
      <c r="B1996" s="27" t="n">
        <v>528000286</v>
      </c>
      <c r="C1996" s="27" t="inlineStr">
        <is>
          <t>Imelda Amelia</t>
        </is>
      </c>
      <c r="D1996" s="171" t="n">
        <v>46230.41666666666</v>
      </c>
      <c r="E1996" s="26" t="n">
        <v>0.9090972222222222</v>
      </c>
      <c r="F1996" s="27" t="inlineStr">
        <is>
          <t>Shift 3</t>
        </is>
      </c>
      <c r="G1996" s="27" t="n"/>
    </row>
    <row r="1997" hidden="1" s="169">
      <c r="A1997" s="27" t="inlineStr">
        <is>
          <t>MK00184</t>
        </is>
      </c>
      <c r="B1997" s="27" t="n">
        <v>528000241</v>
      </c>
      <c r="C1997" s="27" t="inlineStr">
        <is>
          <t>Balia Nurafif Bilah</t>
        </is>
      </c>
      <c r="D1997" s="171" t="n">
        <v>46230.41666666666</v>
      </c>
      <c r="E1997" s="26" t="n">
        <v>0.911875</v>
      </c>
      <c r="F1997" s="27" t="inlineStr">
        <is>
          <t>Shift 3</t>
        </is>
      </c>
      <c r="G1997" s="27" t="n"/>
    </row>
    <row r="1998" hidden="1" s="169">
      <c r="A1998" s="27" t="inlineStr">
        <is>
          <t>MK00109</t>
        </is>
      </c>
      <c r="B1998" s="27" t="n">
        <v>528000273</v>
      </c>
      <c r="C1998" s="27" t="inlineStr">
        <is>
          <t>Asep Mulyana</t>
        </is>
      </c>
      <c r="D1998" s="171" t="n">
        <v>46230.41666666666</v>
      </c>
      <c r="E1998" s="26" t="n">
        <v>0.9122222222222223</v>
      </c>
      <c r="F1998" s="27" t="inlineStr">
        <is>
          <t>Shift 3</t>
        </is>
      </c>
      <c r="G1998" s="27" t="n"/>
    </row>
    <row r="1999" hidden="1" s="169">
      <c r="A1999" s="27" t="inlineStr">
        <is>
          <t>MK00210</t>
        </is>
      </c>
      <c r="B1999" s="27" t="n">
        <v>528000274</v>
      </c>
      <c r="C1999" s="27" t="inlineStr">
        <is>
          <t>Zepri</t>
        </is>
      </c>
      <c r="D1999" s="171" t="n">
        <v>46230.41666666666</v>
      </c>
      <c r="E1999" s="26" t="n">
        <v>0.9146296296296297</v>
      </c>
      <c r="F1999" s="27" t="inlineStr">
        <is>
          <t>Shift 3</t>
        </is>
      </c>
      <c r="G1999" s="27" t="n"/>
    </row>
    <row r="2000" hidden="1" s="169">
      <c r="A2000" s="27" t="inlineStr">
        <is>
          <t>MK00088</t>
        </is>
      </c>
      <c r="B2000" s="27" t="n">
        <v>528000090</v>
      </c>
      <c r="C2000" s="27" t="inlineStr">
        <is>
          <t>Suganda</t>
        </is>
      </c>
      <c r="D2000" s="171" t="n">
        <v>46230.41666666666</v>
      </c>
      <c r="E2000" s="26" t="n">
        <v>0.9147800925925926</v>
      </c>
      <c r="F2000" s="27" t="inlineStr">
        <is>
          <t>Shift 3</t>
        </is>
      </c>
      <c r="G2000" s="27" t="n"/>
    </row>
    <row r="2001" hidden="1" s="169">
      <c r="A2001" s="27" t="inlineStr">
        <is>
          <t>MK00249</t>
        </is>
      </c>
      <c r="B2001" s="27" t="n">
        <v>528000290</v>
      </c>
      <c r="C2001" s="27" t="inlineStr">
        <is>
          <t>Eval Pranata</t>
        </is>
      </c>
      <c r="D2001" s="171" t="n">
        <v>46230.41666666666</v>
      </c>
      <c r="E2001" s="26" t="n">
        <v>0.9148726851851852</v>
      </c>
      <c r="F2001" s="27" t="inlineStr">
        <is>
          <t>Shift 3</t>
        </is>
      </c>
      <c r="G2001" s="27" t="n"/>
    </row>
    <row r="2002" hidden="1" s="169">
      <c r="A2002" s="27" t="inlineStr">
        <is>
          <t>MK00212</t>
        </is>
      </c>
      <c r="B2002" s="27" t="n">
        <v>528000212</v>
      </c>
      <c r="C2002" s="27" t="inlineStr">
        <is>
          <t>Rizal Fauzi</t>
        </is>
      </c>
      <c r="D2002" s="171" t="n">
        <v>46230.41666666666</v>
      </c>
      <c r="E2002" s="26" t="n">
        <v>0.9150231481481481</v>
      </c>
      <c r="F2002" s="27" t="inlineStr">
        <is>
          <t>Shift 3</t>
        </is>
      </c>
      <c r="G2002" s="27" t="n"/>
    </row>
    <row r="2003" hidden="1" s="169">
      <c r="A2003" s="27" t="inlineStr">
        <is>
          <t>MK00136</t>
        </is>
      </c>
      <c r="B2003" s="27" t="n">
        <v>528000305</v>
      </c>
      <c r="C2003" s="27" t="inlineStr">
        <is>
          <t>Puji Puspita</t>
        </is>
      </c>
      <c r="D2003" s="171" t="n">
        <v>46231.41666666666</v>
      </c>
      <c r="E2003" s="26" t="n">
        <v>0.2329398148148148</v>
      </c>
      <c r="F2003" s="27" t="inlineStr">
        <is>
          <t>Shift 1</t>
        </is>
      </c>
      <c r="G2003" s="27" t="n"/>
    </row>
    <row r="2004" hidden="1" s="169">
      <c r="A2004" s="27" t="inlineStr">
        <is>
          <t>MK00250</t>
        </is>
      </c>
      <c r="B2004" s="27" t="n">
        <v>528000299</v>
      </c>
      <c r="C2004" s="27" t="inlineStr">
        <is>
          <t>Siti Nurjanah</t>
        </is>
      </c>
      <c r="D2004" s="171" t="n">
        <v>46231.41666666666</v>
      </c>
      <c r="E2004" s="26" t="n">
        <v>0.2332175925925926</v>
      </c>
      <c r="F2004" s="27" t="inlineStr">
        <is>
          <t>Shift 1</t>
        </is>
      </c>
      <c r="G2004" s="27" t="n"/>
    </row>
    <row r="2005">
      <c r="A2005" s="27" t="inlineStr">
        <is>
          <t>MK00168</t>
        </is>
      </c>
      <c r="B2005" s="27" t="n">
        <v>528000015</v>
      </c>
      <c r="C2005" s="27" t="inlineStr">
        <is>
          <t>Erwin</t>
        </is>
      </c>
      <c r="D2005" s="171" t="n">
        <v>46231.41666666666</v>
      </c>
      <c r="E2005" s="26" t="n">
        <v>0.2349768518518519</v>
      </c>
      <c r="F2005" s="27" t="inlineStr">
        <is>
          <t>Shift 1</t>
        </is>
      </c>
      <c r="G2005" s="27" t="n"/>
    </row>
    <row r="2006" hidden="1" s="169">
      <c r="A2006" s="27" t="inlineStr">
        <is>
          <t>MK00138</t>
        </is>
      </c>
      <c r="B2006" s="27" t="n">
        <v>528000325</v>
      </c>
      <c r="C2006" s="27" t="inlineStr">
        <is>
          <t>Rani Septia Ramadani</t>
        </is>
      </c>
      <c r="D2006" s="171" t="n">
        <v>46231.41666666666</v>
      </c>
      <c r="E2006" s="26" t="n">
        <v>0.2369097222222222</v>
      </c>
      <c r="F2006" s="27" t="inlineStr">
        <is>
          <t>Shift 1</t>
        </is>
      </c>
      <c r="G2006" s="27" t="n"/>
    </row>
    <row r="2007" hidden="1" s="169">
      <c r="A2007" s="27" t="inlineStr">
        <is>
          <t>MK00230</t>
        </is>
      </c>
      <c r="B2007" s="27" t="n">
        <v>528000298</v>
      </c>
      <c r="C2007" s="27" t="inlineStr">
        <is>
          <t>Desta Cahaya Pratama</t>
        </is>
      </c>
      <c r="D2007" s="171" t="n">
        <v>46231.41666666666</v>
      </c>
      <c r="E2007" s="26" t="n">
        <v>0.24125</v>
      </c>
      <c r="F2007" s="27" t="inlineStr">
        <is>
          <t>Shift 1</t>
        </is>
      </c>
      <c r="G2007" s="27" t="n"/>
    </row>
    <row r="2008" hidden="1" s="169">
      <c r="A2008" s="27" t="inlineStr">
        <is>
          <t>MK00085</t>
        </is>
      </c>
      <c r="B2008" s="27" t="n">
        <v>528000318</v>
      </c>
      <c r="C2008" s="27" t="inlineStr">
        <is>
          <t>Bayu Padli Sepriyana</t>
        </is>
      </c>
      <c r="D2008" s="171" t="n">
        <v>46231.41666666666</v>
      </c>
      <c r="E2008" s="26" t="n">
        <v>0.2418287037037037</v>
      </c>
      <c r="F2008" s="27" t="inlineStr">
        <is>
          <t>Shift 1</t>
        </is>
      </c>
      <c r="G2008" s="27" t="n"/>
    </row>
    <row r="2009" hidden="1" s="169">
      <c r="A2009" s="27" t="inlineStr">
        <is>
          <t>MK00160</t>
        </is>
      </c>
      <c r="B2009" s="27" t="n">
        <v>528000340</v>
      </c>
      <c r="C2009" s="27" t="inlineStr">
        <is>
          <t>Muhammad Wildan Adithya</t>
        </is>
      </c>
      <c r="D2009" s="171" t="n">
        <v>46231.41666666666</v>
      </c>
      <c r="E2009" s="26" t="n">
        <v>0.2427546296296296</v>
      </c>
      <c r="F2009" s="27" t="inlineStr">
        <is>
          <t>Shift 1</t>
        </is>
      </c>
      <c r="G2009" s="27" t="n"/>
    </row>
    <row r="2010" hidden="1" s="169">
      <c r="A2010" s="27" t="inlineStr">
        <is>
          <t>MK00143</t>
        </is>
      </c>
      <c r="B2010" s="27" t="n">
        <v>528000270</v>
      </c>
      <c r="C2010" s="27" t="inlineStr">
        <is>
          <t>Febri Najmudin</t>
        </is>
      </c>
      <c r="D2010" s="171" t="n">
        <v>46231.41666666666</v>
      </c>
      <c r="E2010" s="26" t="n">
        <v>0.2433101851851852</v>
      </c>
      <c r="F2010" s="27" t="inlineStr">
        <is>
          <t>Shift 1</t>
        </is>
      </c>
      <c r="G2010" s="27" t="n"/>
    </row>
    <row r="2011" hidden="1" s="169">
      <c r="A2011" s="27" t="inlineStr">
        <is>
          <t>MK00186</t>
        </is>
      </c>
      <c r="B2011" s="27" t="n">
        <v>528000361</v>
      </c>
      <c r="C2011" s="27" t="inlineStr">
        <is>
          <t>Denada Munggarani</t>
        </is>
      </c>
      <c r="D2011" s="171" t="n">
        <v>46231.41666666666</v>
      </c>
      <c r="E2011" s="26" t="n">
        <v>0.2439814814814815</v>
      </c>
      <c r="F2011" s="27" t="inlineStr">
        <is>
          <t>Shift 1</t>
        </is>
      </c>
      <c r="G2011" s="27" t="n"/>
    </row>
    <row r="2012" hidden="1" s="169">
      <c r="A2012" s="27" t="inlineStr">
        <is>
          <t>MK00235</t>
        </is>
      </c>
      <c r="B2012" s="27" t="n">
        <v>528000309</v>
      </c>
      <c r="C2012" s="27" t="inlineStr">
        <is>
          <t>Ilham Ramadhan</t>
        </is>
      </c>
      <c r="D2012" s="171" t="n">
        <v>46231.41666666666</v>
      </c>
      <c r="E2012" s="26" t="n">
        <v>0.2454166666666667</v>
      </c>
      <c r="F2012" s="27" t="inlineStr">
        <is>
          <t>Shift 1</t>
        </is>
      </c>
      <c r="G2012" s="27" t="n"/>
    </row>
    <row r="2013" hidden="1" s="169">
      <c r="A2013" s="27" t="inlineStr">
        <is>
          <t>MK0095</t>
        </is>
      </c>
      <c r="B2013" s="27" t="n">
        <v>528000302</v>
      </c>
      <c r="C2013" s="27" t="inlineStr">
        <is>
          <t>Henkey gumilar</t>
        </is>
      </c>
      <c r="D2013" s="171" t="n">
        <v>46231.41666666666</v>
      </c>
      <c r="E2013" s="26" t="n">
        <v>0.2456828703703704</v>
      </c>
      <c r="F2013" s="27" t="inlineStr">
        <is>
          <t>Shift 1</t>
        </is>
      </c>
      <c r="G2013" s="27" t="n"/>
    </row>
    <row r="2014" hidden="1" s="169">
      <c r="A2014" s="27" t="inlineStr">
        <is>
          <t>MK00217</t>
        </is>
      </c>
      <c r="B2014" s="27" t="n">
        <v>528000265</v>
      </c>
      <c r="C2014" s="27" t="inlineStr">
        <is>
          <t>Muhammad Haerul Rozikin</t>
        </is>
      </c>
      <c r="D2014" s="171" t="n">
        <v>46231.41666666666</v>
      </c>
      <c r="E2014" s="26" t="n">
        <v>0.3214351851851852</v>
      </c>
      <c r="F2014" s="27" t="inlineStr">
        <is>
          <t>Shift 1</t>
        </is>
      </c>
      <c r="G2014" s="27" t="n"/>
    </row>
    <row r="2015" hidden="1" s="169">
      <c r="A2015" s="27" t="inlineStr">
        <is>
          <t>MK00109</t>
        </is>
      </c>
      <c r="B2015" s="27" t="n">
        <v>528000282</v>
      </c>
      <c r="C2015" s="27" t="inlineStr">
        <is>
          <t>Defa Desfiana</t>
        </is>
      </c>
      <c r="D2015" s="171" t="n">
        <v>46231.41666666666</v>
      </c>
      <c r="E2015" s="26" t="n">
        <v>0.3230208333333333</v>
      </c>
      <c r="F2015" s="27" t="inlineStr">
        <is>
          <t>Shift 1</t>
        </is>
      </c>
      <c r="G2015" s="27" t="inlineStr">
        <is>
          <t>32b</t>
        </is>
      </c>
    </row>
    <row r="2016" hidden="1" s="169">
      <c r="A2016" s="27" t="inlineStr">
        <is>
          <t>MK00055</t>
        </is>
      </c>
      <c r="B2016" s="27" t="n">
        <v>528000351</v>
      </c>
      <c r="C2016" s="27" t="inlineStr">
        <is>
          <t>Mulyana</t>
        </is>
      </c>
      <c r="D2016" s="171" t="n">
        <v>46231.41666666666</v>
      </c>
      <c r="E2016" s="26" t="n">
        <v>0.3234606481481481</v>
      </c>
      <c r="F2016" s="27" t="inlineStr">
        <is>
          <t>Shift 1</t>
        </is>
      </c>
      <c r="G2016" s="27" t="n"/>
    </row>
    <row r="2017" hidden="1" s="169">
      <c r="A2017" s="27" t="inlineStr">
        <is>
          <t>MK00221</t>
        </is>
      </c>
      <c r="B2017" s="27" t="n">
        <v>528000144</v>
      </c>
      <c r="C2017" s="27" t="inlineStr">
        <is>
          <t>Jodi Hanafi</t>
        </is>
      </c>
      <c r="D2017" s="171" t="n">
        <v>46231.41666666666</v>
      </c>
      <c r="E2017" s="26" t="n">
        <v>0.3251620370370371</v>
      </c>
      <c r="F2017" s="27" t="inlineStr">
        <is>
          <t>Shift 1</t>
        </is>
      </c>
      <c r="G2017" s="27" t="n"/>
    </row>
    <row r="2018" hidden="1" s="169">
      <c r="A2018" s="27" t="inlineStr">
        <is>
          <t>MK00204</t>
        </is>
      </c>
      <c r="B2018" s="27" t="n">
        <v>528000335</v>
      </c>
      <c r="C2018" s="27" t="inlineStr">
        <is>
          <t>Rizal Saepuloh</t>
        </is>
      </c>
      <c r="D2018" s="171" t="n">
        <v>46231.41666666666</v>
      </c>
      <c r="E2018" s="26" t="n">
        <v>0.3296180555555556</v>
      </c>
      <c r="F2018" s="27" t="inlineStr">
        <is>
          <t>Shift 1</t>
        </is>
      </c>
      <c r="G2018" s="27" t="n"/>
    </row>
    <row r="2019" hidden="1" s="169">
      <c r="A2019" s="27" t="inlineStr">
        <is>
          <t>MK0130</t>
        </is>
      </c>
      <c r="B2019" s="27" t="n">
        <v>528000149</v>
      </c>
      <c r="C2019" s="27" t="inlineStr">
        <is>
          <t>Tio Fernanda</t>
        </is>
      </c>
      <c r="D2019" s="171" t="n">
        <v>46231.41666666666</v>
      </c>
      <c r="E2019" s="26" t="n">
        <v>0.3564814814814815</v>
      </c>
      <c r="F2019" s="27" t="inlineStr">
        <is>
          <t>Shift 1</t>
        </is>
      </c>
      <c r="G2019" s="27" t="n"/>
    </row>
    <row r="2020" hidden="1" s="169">
      <c r="A2020" s="27" t="inlineStr">
        <is>
          <t>MK00141</t>
        </is>
      </c>
      <c r="B2020" s="27" t="n">
        <v>528000040</v>
      </c>
      <c r="C2020" s="27" t="inlineStr">
        <is>
          <t>Agus Suryaman</t>
        </is>
      </c>
      <c r="D2020" s="171" t="n">
        <v>46231.41666666666</v>
      </c>
      <c r="E2020" s="26" t="n">
        <v>0.3593055555555555</v>
      </c>
      <c r="F2020" s="27" t="inlineStr">
        <is>
          <t>Shift 1</t>
        </is>
      </c>
      <c r="G2020" s="27" t="n"/>
    </row>
    <row r="2021" hidden="1" s="169">
      <c r="A2021" s="27" t="inlineStr">
        <is>
          <t>MK00205</t>
        </is>
      </c>
      <c r="B2021" s="27" t="n">
        <v>528000348</v>
      </c>
      <c r="C2021" s="27" t="inlineStr">
        <is>
          <t>Saepuloh Ardiansah</t>
        </is>
      </c>
      <c r="D2021" s="171" t="n">
        <v>46231.41666666666</v>
      </c>
      <c r="E2021" s="26" t="n">
        <v>0.3704166666666667</v>
      </c>
      <c r="F2021" s="27" t="inlineStr">
        <is>
          <t>Shift 1</t>
        </is>
      </c>
      <c r="G2021" s="27" t="n"/>
    </row>
    <row r="2022" hidden="1" s="169">
      <c r="A2022" s="27" t="inlineStr">
        <is>
          <t>MK00150</t>
        </is>
      </c>
      <c r="B2022" s="27" t="n">
        <v>528000232</v>
      </c>
      <c r="C2022" s="27" t="inlineStr">
        <is>
          <t>Agung Aji Suhada</t>
        </is>
      </c>
      <c r="D2022" s="171" t="n">
        <v>46231.41666666666</v>
      </c>
      <c r="E2022" s="26" t="n">
        <v>0.3724652777777778</v>
      </c>
      <c r="F2022" s="27" t="inlineStr">
        <is>
          <t>Shift 1</t>
        </is>
      </c>
      <c r="G2022" s="27" t="n"/>
    </row>
    <row r="2023" hidden="1" s="169">
      <c r="A2023" s="27" t="inlineStr">
        <is>
          <t>MK00184</t>
        </is>
      </c>
      <c r="B2023" s="27" t="n">
        <v>528000349</v>
      </c>
      <c r="C2023" s="27" t="inlineStr">
        <is>
          <t>Anas Abdul Fatah</t>
        </is>
      </c>
      <c r="D2023" s="171" t="n">
        <v>46231.41666666666</v>
      </c>
      <c r="E2023" s="26" t="n">
        <v>0.4106712962962963</v>
      </c>
      <c r="F2023" s="27" t="inlineStr">
        <is>
          <t>Shift 1</t>
        </is>
      </c>
      <c r="G2023" s="27" t="n"/>
    </row>
    <row r="2024" hidden="1" s="169">
      <c r="A2024" s="27" t="inlineStr">
        <is>
          <t>MK00213</t>
        </is>
      </c>
      <c r="B2024" s="27" t="n">
        <v>528000313</v>
      </c>
      <c r="C2024" s="27" t="inlineStr">
        <is>
          <t>Muhamad Rifki</t>
        </is>
      </c>
      <c r="D2024" s="171" t="n">
        <v>46231.41666666666</v>
      </c>
      <c r="E2024" s="26" t="n">
        <v>0.4155439814814815</v>
      </c>
      <c r="F2024" s="27" t="inlineStr">
        <is>
          <t>Shift 1</t>
        </is>
      </c>
      <c r="G2024" s="27" t="n"/>
    </row>
    <row r="2025" hidden="1" s="169">
      <c r="A2025" s="27" t="inlineStr">
        <is>
          <t>MK00113</t>
        </is>
      </c>
      <c r="B2025" s="27" t="n">
        <v>528000322</v>
      </c>
      <c r="C2025" s="27" t="inlineStr">
        <is>
          <t>Muhamad Aliludin</t>
        </is>
      </c>
      <c r="D2025" s="171" t="n">
        <v>46231.41666666666</v>
      </c>
      <c r="E2025" s="26" t="n">
        <v>0.4162731481481481</v>
      </c>
      <c r="F2025" s="27" t="inlineStr">
        <is>
          <t>Shift 1</t>
        </is>
      </c>
      <c r="G2025" s="27" t="n"/>
    </row>
    <row r="2026" hidden="1" s="169">
      <c r="A2026" s="27" t="inlineStr">
        <is>
          <t>MK00181</t>
        </is>
      </c>
      <c r="B2026" s="27" t="n">
        <v>528000324</v>
      </c>
      <c r="C2026" s="27" t="inlineStr">
        <is>
          <t>Sri Yanti</t>
        </is>
      </c>
      <c r="D2026" s="171" t="n">
        <v>46231.41666666666</v>
      </c>
      <c r="E2026" s="26" t="n">
        <v>0.5544328703703704</v>
      </c>
      <c r="F2026" s="27" t="inlineStr">
        <is>
          <t>Shift 2</t>
        </is>
      </c>
      <c r="G2026" s="27" t="n"/>
    </row>
    <row r="2027" hidden="1" s="169">
      <c r="A2027" s="27" t="inlineStr">
        <is>
          <t>MK00185</t>
        </is>
      </c>
      <c r="B2027" s="27" t="n">
        <v>528000297</v>
      </c>
      <c r="C2027" s="27" t="inlineStr">
        <is>
          <t>Muhamad Budiana</t>
        </is>
      </c>
      <c r="D2027" s="171" t="n">
        <v>46231.41666666666</v>
      </c>
      <c r="E2027" s="26" t="n">
        <v>0.5745023148148148</v>
      </c>
      <c r="F2027" s="27" t="inlineStr">
        <is>
          <t>Shift 2</t>
        </is>
      </c>
      <c r="G2027" s="27" t="n"/>
    </row>
    <row r="2028" hidden="1" s="169">
      <c r="A2028" s="27" t="inlineStr">
        <is>
          <t>MK00203</t>
        </is>
      </c>
      <c r="B2028" s="27" t="n">
        <v>528000279</v>
      </c>
      <c r="C2028" s="27" t="inlineStr">
        <is>
          <t>Mahdalena Dalfa Riani</t>
        </is>
      </c>
      <c r="D2028" s="171" t="n">
        <v>46231.41666666666</v>
      </c>
      <c r="E2028" s="26" t="n">
        <v>0.5772800925925926</v>
      </c>
      <c r="F2028" s="27" t="inlineStr">
        <is>
          <t>Shift 2</t>
        </is>
      </c>
      <c r="G2028" s="27" t="n"/>
    </row>
    <row r="2029" hidden="1" s="169">
      <c r="A2029" s="27" t="inlineStr">
        <is>
          <t>MK00121</t>
        </is>
      </c>
      <c r="B2029" s="27" t="n">
        <v>628000018</v>
      </c>
      <c r="C2029" s="27" t="inlineStr">
        <is>
          <t>Annisa Tri Pratiwi</t>
        </is>
      </c>
      <c r="D2029" s="171" t="n">
        <v>46231.41666666666</v>
      </c>
      <c r="E2029" s="26" t="n">
        <v>0.5781712962962963</v>
      </c>
      <c r="F2029" s="27" t="inlineStr">
        <is>
          <t>Shift 2</t>
        </is>
      </c>
      <c r="G2029" s="27" t="n"/>
    </row>
    <row r="2030" hidden="1" s="169">
      <c r="A2030" s="27" t="inlineStr">
        <is>
          <t>MK00112</t>
        </is>
      </c>
      <c r="B2030" s="27" t="n">
        <v>528000248</v>
      </c>
      <c r="C2030" s="27" t="inlineStr">
        <is>
          <t>Roka Jaya Salka Mulya</t>
        </is>
      </c>
      <c r="D2030" s="171" t="n">
        <v>46231.41666666666</v>
      </c>
      <c r="E2030" s="26" t="n">
        <v>0.5787384259259259</v>
      </c>
      <c r="F2030" s="27" t="inlineStr">
        <is>
          <t>Shift 2</t>
        </is>
      </c>
      <c r="G2030" s="27" t="n"/>
    </row>
    <row r="2031" hidden="1" s="169">
      <c r="A2031" s="27" t="inlineStr">
        <is>
          <t>MK00218</t>
        </is>
      </c>
      <c r="B2031" s="27" t="n">
        <v>628000064</v>
      </c>
      <c r="C2031" s="27" t="inlineStr">
        <is>
          <t>Silva Alypia</t>
        </is>
      </c>
      <c r="D2031" s="171" t="n">
        <v>46231.41666666666</v>
      </c>
      <c r="E2031" s="26" t="n">
        <v>0.5788310185185185</v>
      </c>
      <c r="F2031" s="27" t="inlineStr">
        <is>
          <t>Shift 2</t>
        </is>
      </c>
      <c r="G2031" s="27" t="n"/>
    </row>
    <row r="2032" hidden="1" s="169">
      <c r="A2032" s="27" t="inlineStr">
        <is>
          <t>MK00212</t>
        </is>
      </c>
      <c r="B2032" s="27" t="n">
        <v>528000300</v>
      </c>
      <c r="C2032" s="27" t="inlineStr">
        <is>
          <t>Lia pitaloka</t>
        </is>
      </c>
      <c r="D2032" s="171" t="n">
        <v>46231.41666666666</v>
      </c>
      <c r="E2032" s="26" t="n">
        <v>0.5820717592592592</v>
      </c>
      <c r="F2032" s="27" t="inlineStr">
        <is>
          <t>Shift 2</t>
        </is>
      </c>
      <c r="G2032" s="27" t="n"/>
    </row>
    <row r="2033" hidden="1" s="169">
      <c r="A2033" s="27" t="inlineStr">
        <is>
          <t>MK00160</t>
        </is>
      </c>
      <c r="B2033" s="27" t="n">
        <v>128000054</v>
      </c>
      <c r="C2033" s="27" t="inlineStr">
        <is>
          <t>Nurhaslinda Lubis</t>
        </is>
      </c>
      <c r="D2033" s="171" t="n">
        <v>46231.41666666666</v>
      </c>
      <c r="E2033" s="26" t="n">
        <v>0.7186574074074074</v>
      </c>
      <c r="F2033" s="27" t="inlineStr">
        <is>
          <t>Shift 2</t>
        </is>
      </c>
      <c r="G2033" s="27" t="n"/>
    </row>
    <row r="2034" hidden="1" s="169">
      <c r="A2034" s="27" t="inlineStr">
        <is>
          <t>MK00213</t>
        </is>
      </c>
      <c r="B2034" s="27" t="n">
        <v>528000339</v>
      </c>
      <c r="C2034" s="27" t="inlineStr">
        <is>
          <t>Muhamad Ripai'i</t>
        </is>
      </c>
      <c r="D2034" s="171" t="n">
        <v>46231.41666666666</v>
      </c>
      <c r="E2034" s="26" t="n">
        <v>0.8754166666666666</v>
      </c>
      <c r="F2034" s="27" t="inlineStr">
        <is>
          <t>Shift 3</t>
        </is>
      </c>
      <c r="G2034" s="27" t="n"/>
    </row>
    <row r="2035" hidden="1" s="169">
      <c r="A2035" s="27" t="inlineStr">
        <is>
          <t>MK00008</t>
        </is>
      </c>
      <c r="B2035" s="27" t="n">
        <v>528000244</v>
      </c>
      <c r="C2035" s="27" t="inlineStr">
        <is>
          <t>Rodian Rifai</t>
        </is>
      </c>
      <c r="D2035" s="171" t="n">
        <v>46231.41666666666</v>
      </c>
      <c r="E2035" s="26" t="n">
        <v>0.8800462962962963</v>
      </c>
      <c r="F2035" s="27" t="inlineStr">
        <is>
          <t>Shift 3</t>
        </is>
      </c>
      <c r="G2035" s="27" t="n"/>
    </row>
    <row r="2036" hidden="1" s="169">
      <c r="A2036" s="27" t="inlineStr">
        <is>
          <t>MK00249</t>
        </is>
      </c>
      <c r="B2036" s="27" t="n">
        <v>528000289</v>
      </c>
      <c r="C2036" s="27" t="inlineStr">
        <is>
          <t>Adit Supriyadi</t>
        </is>
      </c>
      <c r="D2036" s="171" t="n">
        <v>46231.41666666666</v>
      </c>
      <c r="E2036" s="26" t="n">
        <v>0.8904513888888889</v>
      </c>
      <c r="F2036" s="27" t="inlineStr">
        <is>
          <t>Shift 3</t>
        </is>
      </c>
      <c r="G2036" s="27" t="n"/>
    </row>
    <row r="2037" hidden="1" s="169">
      <c r="A2037" s="27" t="inlineStr">
        <is>
          <t>MK00145</t>
        </is>
      </c>
      <c r="B2037" s="27" t="n">
        <v>528000306</v>
      </c>
      <c r="C2037" s="27" t="inlineStr">
        <is>
          <t>Windy Olivia</t>
        </is>
      </c>
      <c r="D2037" s="171" t="n">
        <v>46231.41666666666</v>
      </c>
      <c r="E2037" s="26" t="n">
        <v>0.900150462962963</v>
      </c>
      <c r="F2037" s="27" t="inlineStr">
        <is>
          <t>Shift 3</t>
        </is>
      </c>
      <c r="G2037" s="27" t="n"/>
    </row>
    <row r="2038" hidden="1" s="169">
      <c r="A2038" s="27" t="inlineStr">
        <is>
          <t>MK00158</t>
        </is>
      </c>
      <c r="B2038" s="27" t="n">
        <v>528000273</v>
      </c>
      <c r="C2038" s="27" t="inlineStr">
        <is>
          <t>Asep Mulyana</t>
        </is>
      </c>
      <c r="D2038" s="171" t="n">
        <v>46231.41666666666</v>
      </c>
      <c r="E2038" s="26" t="n">
        <v>0.9009953703703704</v>
      </c>
      <c r="F2038" s="27" t="inlineStr">
        <is>
          <t>Shift 3</t>
        </is>
      </c>
      <c r="G2038" s="27" t="n"/>
    </row>
    <row r="2039" hidden="1" s="169">
      <c r="A2039" s="27" t="inlineStr">
        <is>
          <t>MK00230</t>
        </is>
      </c>
      <c r="B2039" s="27" t="n">
        <v>528000286</v>
      </c>
      <c r="C2039" s="27" t="inlineStr">
        <is>
          <t>Imelda Amelia</t>
        </is>
      </c>
      <c r="D2039" s="171" t="n">
        <v>46231.41666666666</v>
      </c>
      <c r="E2039" s="26" t="n">
        <v>0.9051851851851852</v>
      </c>
      <c r="F2039" s="27" t="inlineStr">
        <is>
          <t>Shift 3</t>
        </is>
      </c>
      <c r="G2039" s="27" t="n"/>
    </row>
    <row r="2040" hidden="1" s="169">
      <c r="A2040" s="27" t="inlineStr">
        <is>
          <t>MK00085</t>
        </is>
      </c>
      <c r="B2040" s="27" t="n">
        <v>528000201</v>
      </c>
      <c r="C2040" s="27" t="inlineStr">
        <is>
          <t>Zahwa Amelia Choerunissa</t>
        </is>
      </c>
      <c r="D2040" s="171" t="n">
        <v>46231.41666666666</v>
      </c>
      <c r="E2040" s="26" t="n">
        <v>0.9074421296296297</v>
      </c>
      <c r="F2040" s="27" t="inlineStr">
        <is>
          <t>Shift 3</t>
        </is>
      </c>
      <c r="G2040" s="27" t="n"/>
    </row>
    <row r="2041" hidden="1" s="169">
      <c r="A2041" s="27" t="inlineStr">
        <is>
          <t>MK00210</t>
        </is>
      </c>
      <c r="B2041" s="27" t="n">
        <v>528000241</v>
      </c>
      <c r="C2041" s="27" t="inlineStr">
        <is>
          <t>Balia Nurafif Bilah</t>
        </is>
      </c>
      <c r="D2041" s="171" t="n">
        <v>46231.41666666666</v>
      </c>
      <c r="E2041" s="26" t="n">
        <v>0.9117592592592593</v>
      </c>
      <c r="F2041" s="27" t="inlineStr">
        <is>
          <t>Shift 3</t>
        </is>
      </c>
      <c r="G2041" s="27" t="n"/>
    </row>
    <row r="2042" hidden="1" s="169">
      <c r="A2042" s="27" t="inlineStr">
        <is>
          <t>MK00217</t>
        </is>
      </c>
      <c r="B2042" s="27" t="n">
        <v>528000290</v>
      </c>
      <c r="C2042" s="27" t="inlineStr">
        <is>
          <t>Eval Pranata</t>
        </is>
      </c>
      <c r="D2042" s="171" t="n">
        <v>46231.41666666666</v>
      </c>
      <c r="E2042" s="26" t="n">
        <v>0.915775462962963</v>
      </c>
      <c r="F2042" s="27" t="inlineStr">
        <is>
          <t>Shift 3</t>
        </is>
      </c>
      <c r="G2042" s="27" t="n"/>
    </row>
    <row r="2043" hidden="1" s="169">
      <c r="A2043" s="27" t="inlineStr">
        <is>
          <t>MK00116</t>
        </is>
      </c>
      <c r="B2043" s="27" t="n">
        <v>528000274</v>
      </c>
      <c r="C2043" s="27" t="inlineStr">
        <is>
          <t>Zepri</t>
        </is>
      </c>
      <c r="D2043" s="171" t="n">
        <v>46231.41666666666</v>
      </c>
      <c r="E2043" s="26" t="n">
        <v>0.9160416666666666</v>
      </c>
      <c r="F2043" s="27" t="inlineStr">
        <is>
          <t>Shift 3</t>
        </is>
      </c>
      <c r="G2043" s="27" t="n"/>
    </row>
    <row r="2044" hidden="1" s="169">
      <c r="A2044" s="27" t="inlineStr">
        <is>
          <t>MK00113</t>
        </is>
      </c>
      <c r="B2044" s="27" t="n">
        <v>528000090</v>
      </c>
      <c r="C2044" s="27" t="inlineStr">
        <is>
          <t>Suganda</t>
        </is>
      </c>
      <c r="D2044" s="171" t="n">
        <v>46231.41666666666</v>
      </c>
      <c r="E2044" s="26" t="n">
        <v>0.9164236111111111</v>
      </c>
      <c r="F2044" s="27" t="inlineStr">
        <is>
          <t>Shift 3</t>
        </is>
      </c>
      <c r="G2044" s="27" t="n"/>
    </row>
    <row r="2045" hidden="1" s="169">
      <c r="A2045" s="27" t="inlineStr">
        <is>
          <t>MK0090</t>
        </is>
      </c>
      <c r="B2045" s="27" t="n">
        <v>528000212</v>
      </c>
      <c r="C2045" s="27" t="inlineStr">
        <is>
          <t>Rizal Fauzi</t>
        </is>
      </c>
      <c r="D2045" s="171" t="n">
        <v>46231.41666666666</v>
      </c>
      <c r="E2045" s="26" t="n">
        <v>0.916724537037037</v>
      </c>
      <c r="F2045" s="27" t="inlineStr">
        <is>
          <t>Shift 3</t>
        </is>
      </c>
      <c r="G2045" s="27" t="n"/>
    </row>
    <row r="2046" hidden="1" s="169">
      <c r="A2046" s="27" t="inlineStr">
        <is>
          <t>MK00185</t>
        </is>
      </c>
      <c r="B2046" s="27" t="n">
        <v>528000322</v>
      </c>
      <c r="C2046" s="27" t="inlineStr">
        <is>
          <t>Muhamad Aliludin</t>
        </is>
      </c>
      <c r="D2046" s="171" t="n">
        <v>46232.41666666666</v>
      </c>
      <c r="E2046" s="26" t="n">
        <v>0.2268287037037037</v>
      </c>
      <c r="F2046" s="27" t="inlineStr">
        <is>
          <t>Shift 1</t>
        </is>
      </c>
      <c r="G2046" s="27" t="n"/>
    </row>
    <row r="2047" hidden="1" s="169">
      <c r="A2047" s="27" t="inlineStr">
        <is>
          <t>MK00181</t>
        </is>
      </c>
      <c r="B2047" s="27" t="n">
        <v>528000305</v>
      </c>
      <c r="C2047" s="27" t="inlineStr">
        <is>
          <t>Puji Puspita</t>
        </is>
      </c>
      <c r="D2047" s="171" t="n">
        <v>46232.41666666666</v>
      </c>
      <c r="E2047" s="26" t="n">
        <v>0.2347222222222222</v>
      </c>
      <c r="F2047" s="27" t="inlineStr">
        <is>
          <t>Shift 1</t>
        </is>
      </c>
      <c r="G2047" s="27" t="n"/>
    </row>
    <row r="2048" hidden="1" s="169">
      <c r="A2048" s="27" t="inlineStr">
        <is>
          <t>MK00220</t>
        </is>
      </c>
      <c r="B2048" s="27" t="n">
        <v>528000299</v>
      </c>
      <c r="C2048" s="27" t="inlineStr">
        <is>
          <t>Siti Nurjanah</t>
        </is>
      </c>
      <c r="D2048" s="171" t="n">
        <v>46232.41666666666</v>
      </c>
      <c r="E2048" s="26" t="n">
        <v>0.2358449074074074</v>
      </c>
      <c r="F2048" s="27" t="inlineStr">
        <is>
          <t>Shift 1</t>
        </is>
      </c>
      <c r="G2048" s="27" t="n"/>
    </row>
    <row r="2049" hidden="1" s="169">
      <c r="A2049" s="27" t="inlineStr">
        <is>
          <t>MK00218</t>
        </is>
      </c>
      <c r="B2049" s="27" t="n">
        <v>528000323</v>
      </c>
      <c r="C2049" s="27" t="inlineStr">
        <is>
          <t>Dian Hamidah</t>
        </is>
      </c>
      <c r="D2049" s="171" t="n">
        <v>46232.41666666666</v>
      </c>
      <c r="E2049" s="26" t="n">
        <v>0.2377662037037037</v>
      </c>
      <c r="F2049" s="27" t="inlineStr">
        <is>
          <t>Shift 1</t>
        </is>
      </c>
      <c r="G2049" s="27" t="n"/>
    </row>
    <row r="2050" hidden="1" s="169">
      <c r="A2050" s="27" t="inlineStr">
        <is>
          <t>MK00156</t>
        </is>
      </c>
      <c r="B2050" s="27" t="n">
        <v>528000361</v>
      </c>
      <c r="C2050" s="27" t="inlineStr">
        <is>
          <t>Denada Munggarani</t>
        </is>
      </c>
      <c r="D2050" s="171" t="n">
        <v>46232.41666666666</v>
      </c>
      <c r="E2050" s="26" t="n">
        <v>0.2385648148148148</v>
      </c>
      <c r="F2050" s="27" t="inlineStr">
        <is>
          <t>Shift 1</t>
        </is>
      </c>
      <c r="G2050" s="27" t="n"/>
    </row>
    <row r="2051" hidden="1" s="169">
      <c r="A2051" s="27" t="inlineStr">
        <is>
          <t>MK00209</t>
        </is>
      </c>
      <c r="B2051" s="27" t="n">
        <v>528000313</v>
      </c>
      <c r="C2051" s="27" t="inlineStr">
        <is>
          <t>Muhamad Rifki</t>
        </is>
      </c>
      <c r="D2051" s="171" t="n">
        <v>46232.41666666666</v>
      </c>
      <c r="E2051" s="26" t="n">
        <v>0.2416319444444444</v>
      </c>
      <c r="F2051" s="27" t="inlineStr">
        <is>
          <t>Shift 1</t>
        </is>
      </c>
      <c r="G2051" s="27" t="n"/>
    </row>
    <row r="2052" hidden="1" s="169">
      <c r="A2052" s="27" t="inlineStr">
        <is>
          <t>MK00108</t>
        </is>
      </c>
      <c r="B2052" s="27" t="n">
        <v>528000318</v>
      </c>
      <c r="C2052" s="27" t="inlineStr">
        <is>
          <t>Bayu Padli Sepriyana</t>
        </is>
      </c>
      <c r="D2052" s="171" t="n">
        <v>46232.41666666666</v>
      </c>
      <c r="E2052" s="26" t="n">
        <v>0.2416898148148148</v>
      </c>
      <c r="F2052" s="27" t="inlineStr">
        <is>
          <t>Shift 1</t>
        </is>
      </c>
      <c r="G2052" s="27" t="n"/>
    </row>
    <row r="2053" hidden="1" s="169">
      <c r="A2053" s="27" t="inlineStr">
        <is>
          <t>MK00192</t>
        </is>
      </c>
      <c r="B2053" s="27" t="n">
        <v>528000298</v>
      </c>
      <c r="C2053" s="27" t="inlineStr">
        <is>
          <t>Desta Cahaya Pratama</t>
        </is>
      </c>
      <c r="D2053" s="171" t="n">
        <v>46232.41666666666</v>
      </c>
      <c r="E2053" s="26" t="n">
        <v>0.2432407407407407</v>
      </c>
      <c r="F2053" s="27" t="inlineStr">
        <is>
          <t>Shift 1</t>
        </is>
      </c>
      <c r="G2053" s="27" t="n"/>
    </row>
    <row r="2054">
      <c r="A2054" s="27" t="inlineStr">
        <is>
          <t>MK00115</t>
        </is>
      </c>
      <c r="B2054" s="27" t="n">
        <v>528000015</v>
      </c>
      <c r="C2054" s="27" t="inlineStr">
        <is>
          <t>Erwin</t>
        </is>
      </c>
      <c r="D2054" s="171" t="n">
        <v>46232.41666666666</v>
      </c>
      <c r="E2054" s="26" t="n">
        <v>0.2445138888888889</v>
      </c>
      <c r="F2054" s="27" t="inlineStr">
        <is>
          <t>Shift 1</t>
        </is>
      </c>
      <c r="G2054" s="27" t="n"/>
    </row>
    <row r="2055" hidden="1" s="169">
      <c r="A2055" s="27" t="inlineStr">
        <is>
          <t>MK00208</t>
        </is>
      </c>
      <c r="B2055" s="27" t="n">
        <v>528000309</v>
      </c>
      <c r="C2055" s="27" t="inlineStr">
        <is>
          <t>Ilham Ramadhan</t>
        </is>
      </c>
      <c r="D2055" s="171" t="n">
        <v>46232.41666666666</v>
      </c>
      <c r="E2055" s="26" t="n">
        <v>0.2471412037037037</v>
      </c>
      <c r="F2055" s="27" t="inlineStr">
        <is>
          <t>Shift 1</t>
        </is>
      </c>
      <c r="G2055" s="27" t="n"/>
    </row>
    <row r="2056" hidden="1" s="169">
      <c r="A2056" s="27" t="inlineStr">
        <is>
          <t>MK00202</t>
        </is>
      </c>
      <c r="B2056" s="27" t="n">
        <v>528000340</v>
      </c>
      <c r="C2056" s="27" t="inlineStr">
        <is>
          <t>Muhammad Wildan Adithya</t>
        </is>
      </c>
      <c r="D2056" s="171" t="n">
        <v>46232.41666666666</v>
      </c>
      <c r="E2056" s="26" t="n">
        <v>0.2483564814814815</v>
      </c>
      <c r="F2056" s="27" t="inlineStr">
        <is>
          <t>Shift 1</t>
        </is>
      </c>
      <c r="G2056" s="27" t="n"/>
    </row>
    <row r="2057" hidden="1" s="169">
      <c r="A2057" s="27" t="inlineStr">
        <is>
          <t>MK00221</t>
        </is>
      </c>
      <c r="B2057" s="27" t="n">
        <v>528000144</v>
      </c>
      <c r="C2057" s="27" t="inlineStr">
        <is>
          <t>Jodi Hanafi</t>
        </is>
      </c>
      <c r="D2057" s="171" t="n">
        <v>46232.41666666666</v>
      </c>
      <c r="E2057" s="26" t="n">
        <v>0.3218287037037037</v>
      </c>
      <c r="F2057" s="27" t="inlineStr">
        <is>
          <t>Shift 1</t>
        </is>
      </c>
      <c r="G2057" s="27" t="n"/>
    </row>
    <row r="2058" hidden="1" s="169">
      <c r="A2058" s="27" t="inlineStr">
        <is>
          <t>MK00008</t>
        </is>
      </c>
      <c r="B2058" s="27" t="n">
        <v>528000265</v>
      </c>
      <c r="C2058" s="27" t="inlineStr">
        <is>
          <t>Muhammad Haerul Rozikin</t>
        </is>
      </c>
      <c r="D2058" s="171" t="n">
        <v>46232.41666666666</v>
      </c>
      <c r="E2058" s="26" t="n">
        <v>0.3238425925925926</v>
      </c>
      <c r="F2058" s="27" t="inlineStr">
        <is>
          <t>Shift 1</t>
        </is>
      </c>
      <c r="G2058" s="27" t="n"/>
    </row>
    <row r="2059" hidden="1" s="169">
      <c r="A2059" s="27" t="inlineStr">
        <is>
          <t>MK00210</t>
        </is>
      </c>
      <c r="B2059" s="27" t="n">
        <v>528000310</v>
      </c>
      <c r="C2059" s="27" t="inlineStr">
        <is>
          <t>Fachrul Rozzi Suryana</t>
        </is>
      </c>
      <c r="D2059" s="171" t="n">
        <v>46232.41666666666</v>
      </c>
      <c r="E2059" s="26" t="n">
        <v>0.3252314814814815</v>
      </c>
      <c r="F2059" s="27" t="inlineStr">
        <is>
          <t>Shift 1</t>
        </is>
      </c>
      <c r="G2059" s="27" t="inlineStr">
        <is>
          <t>9E</t>
        </is>
      </c>
    </row>
    <row r="2060" hidden="1" s="169">
      <c r="A2060" s="27" t="inlineStr">
        <is>
          <t>MK00230</t>
        </is>
      </c>
      <c r="B2060" s="27" t="n">
        <v>528000282</v>
      </c>
      <c r="C2060" s="27" t="inlineStr">
        <is>
          <t>Defa Desfiana</t>
        </is>
      </c>
      <c r="D2060" s="171" t="n">
        <v>46232.41666666666</v>
      </c>
      <c r="E2060" s="26" t="n">
        <v>0.3264583333333334</v>
      </c>
      <c r="F2060" s="27" t="inlineStr">
        <is>
          <t>Shift 1</t>
        </is>
      </c>
      <c r="G2060" s="27" t="inlineStr">
        <is>
          <t>32c</t>
        </is>
      </c>
    </row>
    <row r="2061" hidden="1" s="169">
      <c r="A2061" s="27" t="inlineStr">
        <is>
          <t>MK00145</t>
        </is>
      </c>
      <c r="B2061" s="27" t="n">
        <v>528000351</v>
      </c>
      <c r="C2061" s="27" t="inlineStr">
        <is>
          <t>Mulyana</t>
        </is>
      </c>
      <c r="D2061" s="171" t="n">
        <v>46232.41666666666</v>
      </c>
      <c r="E2061" s="26" t="n">
        <v>0.3280324074074074</v>
      </c>
      <c r="F2061" s="27" t="inlineStr">
        <is>
          <t>Shift 1</t>
        </is>
      </c>
      <c r="G2061" s="27" t="n"/>
    </row>
    <row r="2062" hidden="1" s="169">
      <c r="A2062" s="27" t="inlineStr">
        <is>
          <t>MK00204</t>
        </is>
      </c>
      <c r="B2062" s="27" t="n">
        <v>528000335</v>
      </c>
      <c r="C2062" s="27" t="inlineStr">
        <is>
          <t>Rizal Saepuloh</t>
        </is>
      </c>
      <c r="D2062" s="171" t="n">
        <v>46232.41666666666</v>
      </c>
      <c r="E2062" s="26" t="n">
        <v>0.3286689814814815</v>
      </c>
      <c r="F2062" s="27" t="inlineStr">
        <is>
          <t>Shift 1</t>
        </is>
      </c>
      <c r="G2062" s="27" t="n"/>
    </row>
    <row r="2063" hidden="1" s="169">
      <c r="A2063" s="27" t="inlineStr">
        <is>
          <t>MK00141</t>
        </is>
      </c>
      <c r="B2063" s="27" t="n">
        <v>528000040</v>
      </c>
      <c r="C2063" s="27" t="inlineStr">
        <is>
          <t>Agus Suryaman</t>
        </is>
      </c>
      <c r="D2063" s="171" t="n">
        <v>46232.41666666666</v>
      </c>
      <c r="E2063" s="26" t="n">
        <v>0.3654861111111111</v>
      </c>
      <c r="F2063" s="27" t="inlineStr">
        <is>
          <t>Shift 1</t>
        </is>
      </c>
      <c r="G2063" s="27" t="n"/>
    </row>
    <row r="2064" hidden="1" s="169">
      <c r="A2064" s="27" t="inlineStr">
        <is>
          <t>MK00150</t>
        </is>
      </c>
      <c r="B2064" s="27" t="n">
        <v>528000232</v>
      </c>
      <c r="C2064" s="27" t="inlineStr">
        <is>
          <t>Agung Aji Suhada</t>
        </is>
      </c>
      <c r="D2064" s="171" t="n">
        <v>46232.41666666666</v>
      </c>
      <c r="E2064" s="26" t="n">
        <v>0.3731365740740741</v>
      </c>
      <c r="F2064" s="27" t="inlineStr">
        <is>
          <t>Shift 1</t>
        </is>
      </c>
      <c r="G2064" s="27" t="n"/>
    </row>
    <row r="2065" hidden="1" s="169">
      <c r="A2065" s="27" t="inlineStr">
        <is>
          <t>MK0130</t>
        </is>
      </c>
      <c r="B2065" s="27" t="n">
        <v>528000149</v>
      </c>
      <c r="C2065" s="27" t="inlineStr">
        <is>
          <t>Tio Fernanda</t>
        </is>
      </c>
      <c r="D2065" s="171" t="n">
        <v>46232.41666666666</v>
      </c>
      <c r="E2065" s="26" t="n">
        <v>0.3738541666666667</v>
      </c>
      <c r="F2065" s="27" t="inlineStr">
        <is>
          <t>Shift 1</t>
        </is>
      </c>
      <c r="G2065" s="27" t="n"/>
    </row>
    <row r="2066" hidden="1" s="169">
      <c r="A2066" s="27" t="inlineStr">
        <is>
          <t>MK00205</t>
        </is>
      </c>
      <c r="B2066" s="27" t="n">
        <v>528000348</v>
      </c>
      <c r="C2066" s="27" t="inlineStr">
        <is>
          <t>Saepuloh Ardiansah</t>
        </is>
      </c>
      <c r="D2066" s="171" t="n">
        <v>46232.41666666666</v>
      </c>
      <c r="E2066" s="26" t="n">
        <v>0.3745138888888889</v>
      </c>
      <c r="F2066" s="27" t="inlineStr">
        <is>
          <t>Shift 1</t>
        </is>
      </c>
      <c r="G2066" s="27" t="n"/>
    </row>
    <row r="2067" hidden="1" s="169">
      <c r="A2067" s="27" t="inlineStr">
        <is>
          <t>MK00116</t>
        </is>
      </c>
      <c r="B2067" s="27" t="n">
        <v>528000349</v>
      </c>
      <c r="C2067" s="27" t="inlineStr">
        <is>
          <t>Anas Abdul Fatah</t>
        </is>
      </c>
      <c r="D2067" s="171" t="n">
        <v>46232.41666666666</v>
      </c>
      <c r="E2067" s="26" t="n">
        <v>0.4053356481481482</v>
      </c>
      <c r="F2067" s="27" t="inlineStr">
        <is>
          <t>Shift 1</t>
        </is>
      </c>
      <c r="G2067" s="27" t="n"/>
    </row>
    <row r="2068" hidden="1" s="169">
      <c r="A2068" s="27" t="inlineStr">
        <is>
          <t>MK00160</t>
        </is>
      </c>
      <c r="B2068" s="27" t="n">
        <v>528000324</v>
      </c>
      <c r="C2068" s="27" t="inlineStr">
        <is>
          <t>Sri Yanti</t>
        </is>
      </c>
      <c r="D2068" s="171" t="n">
        <v>46232.41666666666</v>
      </c>
      <c r="E2068" s="26" t="n">
        <v>0.5487384259259259</v>
      </c>
      <c r="F2068" s="27" t="inlineStr">
        <is>
          <t>Shift 2</t>
        </is>
      </c>
      <c r="G2068" s="27" t="n"/>
    </row>
    <row r="2069" hidden="1" s="169">
      <c r="A2069" s="27" t="inlineStr">
        <is>
          <t>MK00143</t>
        </is>
      </c>
      <c r="B2069" s="27" t="n">
        <v>628000018</v>
      </c>
      <c r="C2069" s="27" t="inlineStr">
        <is>
          <t>Annisa Tri Pratiwi</t>
        </is>
      </c>
      <c r="D2069" s="171" t="n">
        <v>46232.41666666666</v>
      </c>
      <c r="E2069" s="26" t="n">
        <v>0.5749189814814815</v>
      </c>
      <c r="F2069" s="27" t="inlineStr">
        <is>
          <t>Shift 2</t>
        </is>
      </c>
      <c r="G2069" s="27" t="inlineStr">
        <is>
          <t>MK00143</t>
        </is>
      </c>
    </row>
    <row r="2070" hidden="1" s="169">
      <c r="A2070" s="27" t="inlineStr">
        <is>
          <t>MK00090</t>
        </is>
      </c>
      <c r="B2070" s="27" t="n">
        <v>528000279</v>
      </c>
      <c r="C2070" s="27" t="inlineStr">
        <is>
          <t>Mahdalena Dalfa Riani</t>
        </is>
      </c>
      <c r="D2070" s="171" t="n">
        <v>46232.41666666666</v>
      </c>
      <c r="E2070" s="26" t="n">
        <v>0.5757986111111111</v>
      </c>
      <c r="F2070" s="27" t="inlineStr">
        <is>
          <t>Shift 2</t>
        </is>
      </c>
      <c r="G2070" s="27" t="n"/>
    </row>
    <row r="2071" hidden="1" s="169">
      <c r="A2071" s="27" t="inlineStr">
        <is>
          <t>MK00154</t>
        </is>
      </c>
      <c r="B2071" s="27" t="n">
        <v>628000064</v>
      </c>
      <c r="C2071" s="27" t="inlineStr">
        <is>
          <t>Silva Alypia</t>
        </is>
      </c>
      <c r="D2071" s="171" t="n">
        <v>46232.41666666666</v>
      </c>
      <c r="E2071" s="26" t="n">
        <v>0.5762731481481481</v>
      </c>
      <c r="F2071" s="27" t="inlineStr">
        <is>
          <t>Shift 2</t>
        </is>
      </c>
      <c r="G2071" s="27" t="n"/>
    </row>
    <row r="2072" hidden="1" s="169">
      <c r="A2072" s="27" t="inlineStr">
        <is>
          <t>MK00138</t>
        </is>
      </c>
      <c r="B2072" s="27" t="n">
        <v>528000248</v>
      </c>
      <c r="C2072" s="27" t="inlineStr">
        <is>
          <t>Roka Jaya Salka Mulya</t>
        </is>
      </c>
      <c r="D2072" s="171" t="n">
        <v>46232.41666666666</v>
      </c>
      <c r="E2072" s="26" t="n">
        <v>0.5769097222222223</v>
      </c>
      <c r="F2072" s="27" t="inlineStr">
        <is>
          <t>Shift 2</t>
        </is>
      </c>
      <c r="G2072" s="27" t="n"/>
    </row>
    <row r="2073" hidden="1" s="169">
      <c r="A2073" s="27" t="inlineStr">
        <is>
          <t>MK00093</t>
        </is>
      </c>
      <c r="B2073" s="27" t="n">
        <v>528000267</v>
      </c>
      <c r="C2073" s="27" t="inlineStr">
        <is>
          <t>Bagas Patulloh</t>
        </is>
      </c>
      <c r="D2073" s="171" t="n">
        <v>46232.41666666666</v>
      </c>
      <c r="E2073" s="26" t="n">
        <v>0.6711226851851851</v>
      </c>
      <c r="F2073" s="27" t="inlineStr">
        <is>
          <t>Shift 2</t>
        </is>
      </c>
      <c r="G2073" s="27" t="n"/>
    </row>
    <row r="2074" hidden="1" s="169">
      <c r="A2074" s="27" t="inlineStr">
        <is>
          <t>MK00202</t>
        </is>
      </c>
      <c r="B2074" s="27" t="n">
        <v>528000337</v>
      </c>
      <c r="C2074" s="27" t="inlineStr">
        <is>
          <t>Ahmad Zaldi Firdaus</t>
        </is>
      </c>
      <c r="D2074" s="171" t="n">
        <v>46232.41666666666</v>
      </c>
      <c r="E2074" s="26" t="n">
        <v>0.8575578703703703</v>
      </c>
      <c r="F2074" s="27" t="inlineStr">
        <is>
          <t>Shift 2</t>
        </is>
      </c>
      <c r="G2074" s="27" t="n"/>
    </row>
    <row r="2075" hidden="1" s="169">
      <c r="A2075" s="27" t="inlineStr">
        <is>
          <t>MK00145</t>
        </is>
      </c>
      <c r="B2075" s="27" t="n">
        <v>528000052</v>
      </c>
      <c r="C2075" s="27" t="inlineStr">
        <is>
          <t>Mustopa</t>
        </is>
      </c>
      <c r="D2075" s="171" t="n">
        <v>46232.41666666666</v>
      </c>
      <c r="E2075" s="26" t="n">
        <v>0.870162037037037</v>
      </c>
      <c r="F2075" s="27" t="inlineStr">
        <is>
          <t>Shift 2</t>
        </is>
      </c>
      <c r="G2075" s="27" t="n"/>
    </row>
    <row r="2076" hidden="1" s="169">
      <c r="A2076" s="27" t="inlineStr">
        <is>
          <t>MK00088</t>
        </is>
      </c>
      <c r="B2076" s="27" t="n">
        <v>528000336</v>
      </c>
      <c r="C2076" s="27" t="inlineStr">
        <is>
          <t>Ali Nurhanafi</t>
        </is>
      </c>
      <c r="D2076" s="171" t="n">
        <v>46232.41666666666</v>
      </c>
      <c r="E2076" s="26" t="n">
        <v>0.8712962962962963</v>
      </c>
      <c r="F2076" s="27" t="inlineStr">
        <is>
          <t>Shift 2</t>
        </is>
      </c>
      <c r="G2076" s="27" t="n"/>
    </row>
    <row r="2077" hidden="1" s="169">
      <c r="A2077" s="27" t="inlineStr">
        <is>
          <t>MK00210</t>
        </is>
      </c>
      <c r="B2077" s="27" t="n">
        <v>528000325</v>
      </c>
      <c r="C2077" s="27" t="inlineStr">
        <is>
          <t>Rani Septia Ramadani</t>
        </is>
      </c>
      <c r="D2077" s="171" t="n">
        <v>46232.41666666666</v>
      </c>
      <c r="E2077" s="26" t="n">
        <v>0.8814583333333333</v>
      </c>
      <c r="F2077" s="27" t="inlineStr">
        <is>
          <t>Shift 3</t>
        </is>
      </c>
      <c r="G2077" s="27" t="n"/>
    </row>
    <row r="2078" hidden="1" s="169">
      <c r="A2078" s="27" t="inlineStr">
        <is>
          <t>MK00108</t>
        </is>
      </c>
      <c r="B2078" s="27" t="n">
        <v>528000262</v>
      </c>
      <c r="C2078" s="27" t="inlineStr">
        <is>
          <t>Ndari Dwiwanti</t>
        </is>
      </c>
      <c r="D2078" s="171" t="n">
        <v>46232.41666666666</v>
      </c>
      <c r="E2078" s="26" t="n">
        <v>0.9005324074074074</v>
      </c>
      <c r="F2078" s="27" t="inlineStr">
        <is>
          <t>Shift 3</t>
        </is>
      </c>
      <c r="G2078" s="27" t="n"/>
    </row>
    <row r="2079" hidden="1" s="169">
      <c r="A2079" s="27" t="inlineStr">
        <is>
          <t>MK00230</t>
        </is>
      </c>
      <c r="B2079" s="27" t="n">
        <v>528000306</v>
      </c>
      <c r="C2079" s="27" t="inlineStr">
        <is>
          <t>Windy Olivia</t>
        </is>
      </c>
      <c r="D2079" s="171" t="n">
        <v>46232.41666666666</v>
      </c>
      <c r="E2079" s="26" t="n">
        <v>0.9024652777777777</v>
      </c>
      <c r="F2079" s="27" t="inlineStr">
        <is>
          <t>Shift 3</t>
        </is>
      </c>
      <c r="G2079" s="27" t="n"/>
    </row>
    <row r="2080" hidden="1" s="169">
      <c r="A2080" s="27" t="inlineStr">
        <is>
          <t>MK00136</t>
        </is>
      </c>
      <c r="B2080" s="27" t="n">
        <v>528000328</v>
      </c>
      <c r="C2080" s="27" t="inlineStr">
        <is>
          <t>Nur Anjani</t>
        </is>
      </c>
      <c r="D2080" s="171" t="n">
        <v>46232.41666666666</v>
      </c>
      <c r="E2080" s="26" t="n">
        <v>0.9046759259259259</v>
      </c>
      <c r="F2080" s="27" t="inlineStr">
        <is>
          <t>Shift 3</t>
        </is>
      </c>
      <c r="G2080" s="27" t="n"/>
    </row>
    <row r="2081" hidden="1" s="169">
      <c r="A2081" s="27" t="inlineStr">
        <is>
          <t>MK00186</t>
        </is>
      </c>
      <c r="B2081" s="27" t="n">
        <v>528000360</v>
      </c>
      <c r="C2081" s="27" t="inlineStr">
        <is>
          <t>Hendra Permana</t>
        </is>
      </c>
      <c r="D2081" s="171" t="n">
        <v>46232.41666666666</v>
      </c>
      <c r="E2081" s="26" t="n">
        <v>0.9081828703703704</v>
      </c>
      <c r="F2081" s="27" t="inlineStr">
        <is>
          <t>Shift 3</t>
        </is>
      </c>
      <c r="G2081" s="27" t="n"/>
    </row>
    <row r="2082" hidden="1" s="169">
      <c r="A2082" s="27" t="inlineStr">
        <is>
          <t>MK00181</t>
        </is>
      </c>
      <c r="B2082" s="27" t="n">
        <v>528000291</v>
      </c>
      <c r="C2082" s="27" t="inlineStr">
        <is>
          <t>Andrian</t>
        </is>
      </c>
      <c r="D2082" s="171" t="n">
        <v>46232.41666666666</v>
      </c>
      <c r="E2082" s="26" t="n">
        <v>0.9094444444444445</v>
      </c>
      <c r="F2082" s="27" t="inlineStr">
        <is>
          <t>Shift 3</t>
        </is>
      </c>
      <c r="G2082" s="27" t="n"/>
    </row>
    <row r="2083" hidden="1" s="169">
      <c r="A2083" s="27" t="inlineStr">
        <is>
          <t>MK00209</t>
        </is>
      </c>
      <c r="B2083" s="27" t="n">
        <v>528000266</v>
      </c>
      <c r="C2083" s="27" t="inlineStr">
        <is>
          <t>M. Syirajatieq</t>
        </is>
      </c>
      <c r="D2083" s="171" t="n">
        <v>46232.41666666666</v>
      </c>
      <c r="E2083" s="26" t="n">
        <v>0.9097569444444444</v>
      </c>
      <c r="F2083" s="27" t="inlineStr">
        <is>
          <t>Shift 3</t>
        </is>
      </c>
      <c r="G2083" s="27" t="n"/>
    </row>
    <row r="2084" hidden="1" s="169">
      <c r="A2084" s="27" t="inlineStr">
        <is>
          <t>MK00220</t>
        </is>
      </c>
      <c r="B2084" s="27" t="n">
        <v>528000358</v>
      </c>
      <c r="C2084" s="27" t="inlineStr">
        <is>
          <t>Lulu Agustin</t>
        </is>
      </c>
      <c r="D2084" s="171" t="n">
        <v>46232.41666666666</v>
      </c>
      <c r="E2084" s="26" t="n">
        <v>0.9103819444444444</v>
      </c>
      <c r="F2084" s="27" t="inlineStr">
        <is>
          <t>Shift 3</t>
        </is>
      </c>
      <c r="G2084" s="27" t="n"/>
    </row>
    <row r="2085" hidden="1" s="169">
      <c r="A2085" s="27" t="inlineStr">
        <is>
          <t>MK00109</t>
        </is>
      </c>
      <c r="B2085" s="27" t="n">
        <v>528000283</v>
      </c>
      <c r="C2085" s="27" t="inlineStr">
        <is>
          <t>Purwanda Sugiri</t>
        </is>
      </c>
      <c r="D2085" s="171" t="n">
        <v>46232.41666666666</v>
      </c>
      <c r="E2085" s="26" t="n">
        <v>0.9104166666666667</v>
      </c>
      <c r="F2085" s="27" t="inlineStr">
        <is>
          <t>Shift 3</t>
        </is>
      </c>
      <c r="G2085" s="27" t="n"/>
    </row>
    <row r="2086" hidden="1" s="169">
      <c r="A2086" s="27" t="inlineStr">
        <is>
          <t>MK00218</t>
        </is>
      </c>
      <c r="B2086" s="27" t="n">
        <v>528000261</v>
      </c>
      <c r="C2086" s="27" t="inlineStr">
        <is>
          <t>Ergi Ergianto</t>
        </is>
      </c>
      <c r="D2086" s="171" t="n">
        <v>46232.41666666666</v>
      </c>
      <c r="E2086" s="26" t="n">
        <v>0.9104976851851851</v>
      </c>
      <c r="F2086" s="27" t="inlineStr">
        <is>
          <t>Shift 3</t>
        </is>
      </c>
      <c r="G2086" s="27" t="n"/>
    </row>
    <row r="2087" hidden="1" s="169">
      <c r="A2087" s="27" t="inlineStr">
        <is>
          <t>MK00125</t>
        </is>
      </c>
      <c r="B2087" s="27" t="n">
        <v>528000314</v>
      </c>
      <c r="C2087" s="27" t="inlineStr">
        <is>
          <t>Rusmana</t>
        </is>
      </c>
      <c r="D2087" s="171" t="n">
        <v>46232.41666666666</v>
      </c>
      <c r="E2087" s="26" t="n">
        <v>0.9126851851851852</v>
      </c>
      <c r="F2087" s="27" t="inlineStr">
        <is>
          <t>Shift 3</t>
        </is>
      </c>
      <c r="G2087" s="27" t="n"/>
    </row>
    <row r="2088" hidden="1" s="169">
      <c r="A2088" s="27" t="inlineStr">
        <is>
          <t>MK00121</t>
        </is>
      </c>
      <c r="B2088" s="27" t="n">
        <v>528000322</v>
      </c>
      <c r="C2088" s="27" t="inlineStr">
        <is>
          <t>Muhamad Aliludin</t>
        </is>
      </c>
      <c r="D2088" s="171" t="n">
        <v>46233.41666666666</v>
      </c>
      <c r="E2088" s="26" t="n">
        <v>0.2247800925925926</v>
      </c>
      <c r="F2088" s="27" t="inlineStr">
        <is>
          <t>Shift 1</t>
        </is>
      </c>
      <c r="G2088" s="27" t="n"/>
    </row>
    <row r="2089" hidden="1" s="169">
      <c r="A2089" s="27" t="inlineStr">
        <is>
          <t>MK00250</t>
        </is>
      </c>
      <c r="B2089" s="27" t="n">
        <v>528000305</v>
      </c>
      <c r="C2089" s="27" t="inlineStr">
        <is>
          <t>Puji Puspita</t>
        </is>
      </c>
      <c r="D2089" s="171" t="n">
        <v>46233.41666666666</v>
      </c>
      <c r="E2089" s="26" t="n">
        <v>0.2338541666666667</v>
      </c>
      <c r="F2089" s="27" t="inlineStr">
        <is>
          <t>Shift 1</t>
        </is>
      </c>
      <c r="G2089" s="27" t="n"/>
    </row>
    <row r="2090">
      <c r="A2090" s="27" t="inlineStr">
        <is>
          <t>MK00123</t>
        </is>
      </c>
      <c r="B2090" s="27" t="n">
        <v>528000015</v>
      </c>
      <c r="C2090" s="27" t="inlineStr">
        <is>
          <t>Erwin</t>
        </is>
      </c>
      <c r="D2090" s="171" t="n">
        <v>46233.41666666666</v>
      </c>
      <c r="E2090" s="26" t="n">
        <v>0.2385416666666667</v>
      </c>
      <c r="F2090" s="27" t="inlineStr">
        <is>
          <t>Shift 1</t>
        </is>
      </c>
      <c r="G2090" s="27" t="n"/>
    </row>
    <row r="2091" hidden="1" s="169">
      <c r="A2091" s="27" t="inlineStr">
        <is>
          <t>MK00138</t>
        </is>
      </c>
      <c r="B2091" s="27" t="n">
        <v>528000318</v>
      </c>
      <c r="C2091" s="27" t="inlineStr">
        <is>
          <t>Bayu Padli Sepriyana</t>
        </is>
      </c>
      <c r="D2091" s="171" t="n">
        <v>46233.41666666666</v>
      </c>
      <c r="E2091" s="26" t="n">
        <v>0.239212962962963</v>
      </c>
      <c r="F2091" s="27" t="inlineStr">
        <is>
          <t>Shift 1</t>
        </is>
      </c>
      <c r="G2091" s="27" t="n"/>
    </row>
    <row r="2092" hidden="1" s="169">
      <c r="A2092" s="27" t="inlineStr">
        <is>
          <t>MK00160</t>
        </is>
      </c>
      <c r="B2092" s="27" t="n">
        <v>528000340</v>
      </c>
      <c r="C2092" s="27" t="inlineStr">
        <is>
          <t>Muhammad Wildan Adithya</t>
        </is>
      </c>
      <c r="D2092" s="171" t="n">
        <v>46233.41666666666</v>
      </c>
      <c r="E2092" s="26" t="n">
        <v>0.2407291666666667</v>
      </c>
      <c r="F2092" s="27" t="inlineStr">
        <is>
          <t>Shift 1</t>
        </is>
      </c>
      <c r="G2092" s="27" t="n"/>
    </row>
    <row r="2093" hidden="1" s="169">
      <c r="A2093" s="27" t="inlineStr">
        <is>
          <t>MK00212</t>
        </is>
      </c>
      <c r="B2093" s="27" t="n">
        <v>528000298</v>
      </c>
      <c r="C2093" s="27" t="inlineStr">
        <is>
          <t>Desta Cahaya Pratama</t>
        </is>
      </c>
      <c r="D2093" s="171" t="n">
        <v>46233.41666666666</v>
      </c>
      <c r="E2093" s="26" t="n">
        <v>0.2417361111111111</v>
      </c>
      <c r="F2093" s="27" t="inlineStr">
        <is>
          <t>Shift 1</t>
        </is>
      </c>
      <c r="G2093" s="27" t="n"/>
    </row>
    <row r="2094" hidden="1" s="169">
      <c r="A2094" s="27" t="inlineStr">
        <is>
          <t>MK00008</t>
        </is>
      </c>
      <c r="B2094" s="27" t="n">
        <v>528000313</v>
      </c>
      <c r="C2094" s="27" t="inlineStr">
        <is>
          <t>Muhamad Rifki</t>
        </is>
      </c>
      <c r="D2094" s="171" t="n">
        <v>46233.41666666666</v>
      </c>
      <c r="E2094" s="26" t="n">
        <v>0.2417824074074074</v>
      </c>
      <c r="F2094" s="27" t="inlineStr">
        <is>
          <t>Shift 1</t>
        </is>
      </c>
      <c r="G2094" s="27" t="n"/>
    </row>
    <row r="2095" hidden="1" s="169">
      <c r="A2095" s="27" t="inlineStr">
        <is>
          <t>MK00203</t>
        </is>
      </c>
      <c r="B2095" s="27" t="n">
        <v>528000361</v>
      </c>
      <c r="C2095" s="27" t="inlineStr">
        <is>
          <t>Denada Munggarani</t>
        </is>
      </c>
      <c r="D2095" s="171" t="n">
        <v>46233.41666666666</v>
      </c>
      <c r="E2095" s="26" t="n">
        <v>0.242962962962963</v>
      </c>
      <c r="F2095" s="27" t="inlineStr">
        <is>
          <t>Shift 1</t>
        </is>
      </c>
      <c r="G2095" s="27" t="n"/>
    </row>
    <row r="2096" hidden="1" s="169">
      <c r="A2096" s="27" t="inlineStr">
        <is>
          <t>MK00143</t>
        </is>
      </c>
      <c r="B2096" s="27" t="n">
        <v>628000091</v>
      </c>
      <c r="C2096" s="27" t="inlineStr">
        <is>
          <t>Devita Handayani</t>
        </is>
      </c>
      <c r="D2096" s="171" t="n">
        <v>46233.41666666666</v>
      </c>
      <c r="E2096" s="26" t="n">
        <v>0.2442824074074074</v>
      </c>
      <c r="F2096" s="27" t="inlineStr">
        <is>
          <t>Shift 1</t>
        </is>
      </c>
      <c r="G2096" s="27" t="n"/>
    </row>
    <row r="2097" hidden="1" s="169">
      <c r="A2097" s="27" t="inlineStr">
        <is>
          <t>MK00213</t>
        </is>
      </c>
      <c r="B2097" s="27" t="n">
        <v>528000299</v>
      </c>
      <c r="C2097" s="27" t="inlineStr">
        <is>
          <t>Siti Nurjanah</t>
        </is>
      </c>
      <c r="D2097" s="171" t="n">
        <v>46233.41666666666</v>
      </c>
      <c r="E2097" s="26" t="n">
        <v>0.2445601851851852</v>
      </c>
      <c r="F2097" s="27" t="inlineStr">
        <is>
          <t>Shift 1</t>
        </is>
      </c>
      <c r="G2097" s="27" t="n"/>
    </row>
    <row r="2098" hidden="1" s="169">
      <c r="A2098" s="27" t="inlineStr">
        <is>
          <t>MK00090</t>
        </is>
      </c>
      <c r="B2098" s="27" t="n">
        <v>528000302</v>
      </c>
      <c r="C2098" s="27" t="inlineStr">
        <is>
          <t>Henkey gumilar</t>
        </is>
      </c>
      <c r="D2098" s="171" t="n">
        <v>46233.41666666666</v>
      </c>
      <c r="E2098" s="26" t="n">
        <v>0.2460416666666667</v>
      </c>
      <c r="F2098" s="27" t="inlineStr">
        <is>
          <t>Shift 1</t>
        </is>
      </c>
      <c r="G2098" s="27" t="n"/>
    </row>
    <row r="2099" hidden="1" s="169">
      <c r="A2099" s="27" t="inlineStr">
        <is>
          <t>MK00154</t>
        </is>
      </c>
      <c r="B2099" s="27" t="n">
        <v>528000309</v>
      </c>
      <c r="C2099" s="27" t="inlineStr">
        <is>
          <t>Ilham Ramadhan</t>
        </is>
      </c>
      <c r="D2099" s="171" t="n">
        <v>46233.41666666666</v>
      </c>
      <c r="E2099" s="26" t="n">
        <v>0.2478125</v>
      </c>
      <c r="F2099" s="27" t="inlineStr">
        <is>
          <t>Shift 1</t>
        </is>
      </c>
      <c r="G2099" s="27" t="n"/>
    </row>
    <row r="2100" hidden="1" s="169">
      <c r="A2100" s="27" t="inlineStr">
        <is>
          <t>MK00209</t>
        </is>
      </c>
      <c r="B2100" s="27" t="n">
        <v>528000282</v>
      </c>
      <c r="C2100" s="27" t="inlineStr">
        <is>
          <t>Defa Desfiana</t>
        </is>
      </c>
      <c r="D2100" s="171" t="n">
        <v>46233.41666666666</v>
      </c>
      <c r="E2100" s="26" t="n">
        <v>0.3212847222222222</v>
      </c>
      <c r="F2100" s="27" t="inlineStr">
        <is>
          <t>Shift 1</t>
        </is>
      </c>
      <c r="G2100" s="27" t="inlineStr">
        <is>
          <t>32c</t>
        </is>
      </c>
    </row>
    <row r="2101" hidden="1" s="169">
      <c r="A2101" s="27" t="inlineStr">
        <is>
          <t>MK00186</t>
        </is>
      </c>
      <c r="B2101" s="27" t="n">
        <v>528000265</v>
      </c>
      <c r="C2101" s="27" t="inlineStr">
        <is>
          <t>Muhammad Haerul Rozikin</t>
        </is>
      </c>
      <c r="D2101" s="171" t="n">
        <v>46233.41666666666</v>
      </c>
      <c r="E2101" s="26" t="n">
        <v>0.3239583333333333</v>
      </c>
      <c r="F2101" s="27" t="inlineStr">
        <is>
          <t>Shift 1</t>
        </is>
      </c>
      <c r="G2101" s="27" t="n"/>
    </row>
    <row r="2102" hidden="1" s="169">
      <c r="A2102" s="27" t="inlineStr">
        <is>
          <t>MK00136</t>
        </is>
      </c>
      <c r="B2102" s="27" t="n">
        <v>528000310</v>
      </c>
      <c r="C2102" s="27" t="inlineStr">
        <is>
          <t>Fachrul Rozzi Suryana</t>
        </is>
      </c>
      <c r="D2102" s="171" t="n">
        <v>46233.41666666666</v>
      </c>
      <c r="E2102" s="26" t="n">
        <v>0.3259837962962963</v>
      </c>
      <c r="F2102" s="27" t="inlineStr">
        <is>
          <t>Shift 1</t>
        </is>
      </c>
      <c r="G2102" s="27" t="inlineStr">
        <is>
          <t>9E</t>
        </is>
      </c>
    </row>
    <row r="2103" hidden="1" s="169">
      <c r="A2103" s="27" t="inlineStr">
        <is>
          <t>MK00204</t>
        </is>
      </c>
      <c r="B2103" s="27" t="n">
        <v>528000335</v>
      </c>
      <c r="C2103" s="27" t="inlineStr">
        <is>
          <t>Rizal Saepuloh</t>
        </is>
      </c>
      <c r="D2103" s="171" t="n">
        <v>46233.41666666666</v>
      </c>
      <c r="E2103" s="26" t="n">
        <v>0.3317824074074074</v>
      </c>
      <c r="F2103" s="27" t="inlineStr">
        <is>
          <t>Shift 1</t>
        </is>
      </c>
      <c r="G2103" s="27" t="n"/>
    </row>
    <row r="2104" hidden="1" s="169">
      <c r="A2104" s="27" t="inlineStr">
        <is>
          <t>MK00221</t>
        </is>
      </c>
      <c r="B2104" s="27" t="n">
        <v>528000144</v>
      </c>
      <c r="C2104" s="27" t="inlineStr">
        <is>
          <t>Jodi Hanafi</t>
        </is>
      </c>
      <c r="D2104" s="171" t="n">
        <v>46233.41666666666</v>
      </c>
      <c r="E2104" s="26" t="n">
        <v>0.3319791666666667</v>
      </c>
      <c r="F2104" s="27" t="inlineStr">
        <is>
          <t>Shift 1</t>
        </is>
      </c>
      <c r="G2104" s="27" t="n"/>
    </row>
    <row r="2105" hidden="1" s="169">
      <c r="A2105" s="27" t="inlineStr">
        <is>
          <t>MK00208</t>
        </is>
      </c>
      <c r="B2105" s="27" t="n">
        <v>528000351</v>
      </c>
      <c r="C2105" s="27" t="inlineStr">
        <is>
          <t>Mulyana</t>
        </is>
      </c>
      <c r="D2105" s="171" t="n">
        <v>46233.41666666666</v>
      </c>
      <c r="E2105" s="26" t="n">
        <v>0.3407291666666667</v>
      </c>
      <c r="F2105" s="27" t="inlineStr">
        <is>
          <t>Shift 1</t>
        </is>
      </c>
      <c r="G2105" s="27" t="n"/>
    </row>
    <row r="2106" hidden="1" s="169">
      <c r="A2106" s="27" t="inlineStr">
        <is>
          <t>MK0130</t>
        </is>
      </c>
      <c r="B2106" s="27" t="n">
        <v>528000149</v>
      </c>
      <c r="C2106" s="27" t="inlineStr">
        <is>
          <t>Tio Fernanda</t>
        </is>
      </c>
      <c r="D2106" s="171" t="n">
        <v>46233.41666666666</v>
      </c>
      <c r="E2106" s="26" t="n">
        <v>0.3558796296296297</v>
      </c>
      <c r="F2106" s="27" t="inlineStr">
        <is>
          <t>Shift 1</t>
        </is>
      </c>
      <c r="G2106" s="27" t="n"/>
    </row>
    <row r="2107" hidden="1" s="169">
      <c r="A2107" s="27" t="inlineStr">
        <is>
          <t>MK00141</t>
        </is>
      </c>
      <c r="B2107" s="27" t="n">
        <v>528000040</v>
      </c>
      <c r="C2107" s="27" t="inlineStr">
        <is>
          <t>Agus Suryaman</t>
        </is>
      </c>
      <c r="D2107" s="171" t="n">
        <v>46233.41666666666</v>
      </c>
      <c r="E2107" s="26" t="n">
        <v>0.3642708333333333</v>
      </c>
      <c r="F2107" s="27" t="inlineStr">
        <is>
          <t>Shift 1</t>
        </is>
      </c>
      <c r="G2107" s="27" t="n"/>
    </row>
    <row r="2108" hidden="1" s="169">
      <c r="A2108" s="27" t="inlineStr">
        <is>
          <t>MK00205</t>
        </is>
      </c>
      <c r="B2108" s="27" t="n">
        <v>528000348</v>
      </c>
      <c r="C2108" s="27" t="inlineStr">
        <is>
          <t>Saepuloh Ardiansah</t>
        </is>
      </c>
      <c r="D2108" s="171" t="n">
        <v>46233.41666666666</v>
      </c>
      <c r="E2108" s="26" t="n">
        <v>0.3660416666666667</v>
      </c>
      <c r="F2108" s="27" t="inlineStr">
        <is>
          <t>Shift 1</t>
        </is>
      </c>
      <c r="G2108" s="27" t="n"/>
    </row>
    <row r="2109" hidden="1" s="169">
      <c r="A2109" s="27" t="inlineStr">
        <is>
          <t>MK00150</t>
        </is>
      </c>
      <c r="B2109" s="27" t="n">
        <v>528000232</v>
      </c>
      <c r="C2109" s="27" t="inlineStr">
        <is>
          <t>Agung Aji Suhada</t>
        </is>
      </c>
      <c r="D2109" s="171" t="n">
        <v>46233.41666666666</v>
      </c>
      <c r="E2109" s="26" t="n">
        <v>0.3701157407407407</v>
      </c>
      <c r="F2109" s="27" t="inlineStr">
        <is>
          <t>Shift 1</t>
        </is>
      </c>
      <c r="G2109" s="27" t="n"/>
    </row>
    <row r="2110" hidden="1" s="169">
      <c r="A2110" s="27" t="inlineStr">
        <is>
          <t>MK00218</t>
        </is>
      </c>
      <c r="B2110" s="27" t="n">
        <v>528000349</v>
      </c>
      <c r="C2110" s="27" t="inlineStr">
        <is>
          <t>Anas Abdul Fatah</t>
        </is>
      </c>
      <c r="D2110" s="171" t="n">
        <v>46233.41666666666</v>
      </c>
      <c r="E2110" s="26" t="n">
        <v>0.4040740740740741</v>
      </c>
      <c r="F2110" s="27" t="inlineStr">
        <is>
          <t>Shift 1</t>
        </is>
      </c>
      <c r="G2110" s="27" t="n"/>
    </row>
    <row r="2111" hidden="1" s="169">
      <c r="A2111" s="27" t="inlineStr">
        <is>
          <t>MK00181</t>
        </is>
      </c>
      <c r="B2111" s="27" t="n">
        <v>628000064</v>
      </c>
      <c r="C2111" s="27" t="inlineStr">
        <is>
          <t>Silva Alypia</t>
        </is>
      </c>
      <c r="D2111" s="171" t="n">
        <v>46233.41666666666</v>
      </c>
      <c r="E2111" s="26" t="n">
        <v>0.5771527777777777</v>
      </c>
      <c r="F2111" s="27" t="inlineStr">
        <is>
          <t>Shift 2</t>
        </is>
      </c>
      <c r="G2111" s="27" t="n"/>
    </row>
    <row r="2112" hidden="1" s="169">
      <c r="A2112" s="27" t="inlineStr">
        <is>
          <t>MK00217</t>
        </is>
      </c>
      <c r="B2112" s="27" t="n">
        <v>528000279</v>
      </c>
      <c r="C2112" s="27" t="inlineStr">
        <is>
          <t>Mahdalena Dalfa Riani</t>
        </is>
      </c>
      <c r="D2112" s="171" t="n">
        <v>46233.41666666666</v>
      </c>
      <c r="E2112" s="26" t="n">
        <v>0.5775231481481482</v>
      </c>
      <c r="F2112" s="27" t="inlineStr">
        <is>
          <t>Shift 2</t>
        </is>
      </c>
      <c r="G2112" s="27" t="n"/>
    </row>
    <row r="2113" hidden="1" s="169">
      <c r="A2113" s="27" t="inlineStr">
        <is>
          <t>MK00230</t>
        </is>
      </c>
      <c r="B2113" s="27" t="n">
        <v>528000300</v>
      </c>
      <c r="C2113" s="27" t="inlineStr">
        <is>
          <t>Lia pitaloka</t>
        </is>
      </c>
      <c r="D2113" s="171" t="n">
        <v>46233.41666666666</v>
      </c>
      <c r="E2113" s="26" t="n">
        <v>0.5785648148148148</v>
      </c>
      <c r="F2113" s="27" t="inlineStr">
        <is>
          <t>Shift 2</t>
        </is>
      </c>
      <c r="G2113" s="27" t="n"/>
    </row>
    <row r="2114" hidden="1" s="169">
      <c r="A2114" s="27" t="inlineStr">
        <is>
          <t>MK00093</t>
        </is>
      </c>
      <c r="B2114" s="27" t="n">
        <v>528000267</v>
      </c>
      <c r="C2114" s="27" t="inlineStr">
        <is>
          <t>Bagas Patulloh</t>
        </is>
      </c>
      <c r="D2114" s="171" t="n">
        <v>46233.41666666666</v>
      </c>
      <c r="E2114" s="26" t="n">
        <v>0.6621064814814814</v>
      </c>
      <c r="F2114" s="27" t="inlineStr">
        <is>
          <t>Shift 2</t>
        </is>
      </c>
      <c r="G2114" s="27" t="n"/>
    </row>
    <row r="2115" hidden="1" s="169">
      <c r="A2115" s="27" t="inlineStr">
        <is>
          <t>MK00228</t>
        </is>
      </c>
      <c r="B2115" s="27" t="n">
        <v>528000132</v>
      </c>
      <c r="C2115" s="27" t="inlineStr">
        <is>
          <t>Giopani</t>
        </is>
      </c>
      <c r="D2115" s="171" t="n">
        <v>46233.41666666666</v>
      </c>
      <c r="E2115" s="26" t="n">
        <v>0.6714930555555556</v>
      </c>
      <c r="F2115" s="27" t="inlineStr">
        <is>
          <t>Shift 2</t>
        </is>
      </c>
      <c r="G2115" s="27" t="n"/>
    </row>
    <row r="2116" hidden="1" s="169">
      <c r="A2116" s="27" t="inlineStr">
        <is>
          <t>MK00202</t>
        </is>
      </c>
      <c r="B2116" s="27" t="n">
        <v>528000337</v>
      </c>
      <c r="C2116" s="27" t="inlineStr">
        <is>
          <t>Ahmad Zaldi Firdaus</t>
        </is>
      </c>
      <c r="D2116" s="171" t="n">
        <v>46233.41666666666</v>
      </c>
      <c r="E2116" s="26" t="n">
        <v>0.8699189814814815</v>
      </c>
      <c r="F2116" s="27" t="inlineStr">
        <is>
          <t>Shift 2</t>
        </is>
      </c>
      <c r="G2116" s="27" t="n"/>
    </row>
    <row r="2117" hidden="1" s="169">
      <c r="A2117" s="27" t="inlineStr">
        <is>
          <t>MK00185</t>
        </is>
      </c>
      <c r="B2117" s="27" t="n">
        <v>528000336</v>
      </c>
      <c r="C2117" s="27" t="inlineStr">
        <is>
          <t>Ali Nurhanafi</t>
        </is>
      </c>
      <c r="D2117" s="171" t="n">
        <v>46233.41666666666</v>
      </c>
      <c r="E2117" s="26" t="n">
        <v>0.8713425925925926</v>
      </c>
      <c r="F2117" s="27" t="inlineStr">
        <is>
          <t>Shift 2</t>
        </is>
      </c>
      <c r="G2117" s="27" t="n"/>
    </row>
    <row r="2118" hidden="1" s="169">
      <c r="A2118" s="27" t="inlineStr">
        <is>
          <t>MK00143</t>
        </is>
      </c>
      <c r="B2118" s="27" t="n">
        <v>528000052</v>
      </c>
      <c r="C2118" s="27" t="inlineStr">
        <is>
          <t>Mustopa</t>
        </is>
      </c>
      <c r="D2118" s="171" t="n">
        <v>46233.41666666666</v>
      </c>
      <c r="E2118" s="26" t="n">
        <v>0.872662037037037</v>
      </c>
      <c r="F2118" s="27" t="inlineStr">
        <is>
          <t>Shift 2</t>
        </is>
      </c>
      <c r="G2118" s="27" t="n"/>
    </row>
    <row r="2119" hidden="1" s="169">
      <c r="A2119" s="27" t="inlineStr">
        <is>
          <t>MK00250</t>
        </is>
      </c>
      <c r="B2119" s="27" t="n">
        <v>528000283</v>
      </c>
      <c r="C2119" s="27" t="inlineStr">
        <is>
          <t>Purwanda Sugiri</t>
        </is>
      </c>
      <c r="D2119" s="171" t="n">
        <v>46233.41666666666</v>
      </c>
      <c r="E2119" s="26" t="n">
        <v>0.8985763888888889</v>
      </c>
      <c r="F2119" s="27" t="inlineStr">
        <is>
          <t>Shift 3</t>
        </is>
      </c>
      <c r="G2119" s="27" t="n"/>
    </row>
    <row r="2120" hidden="1" s="169">
      <c r="A2120" s="27" t="inlineStr">
        <is>
          <t>MK00136</t>
        </is>
      </c>
      <c r="B2120" s="27" t="n">
        <v>528000195</v>
      </c>
      <c r="C2120" s="27" t="inlineStr">
        <is>
          <t>Rahma Sariwati</t>
        </is>
      </c>
      <c r="D2120" s="171" t="n">
        <v>46233.41666666666</v>
      </c>
      <c r="E2120" s="26" t="n">
        <v>0.9001157407407407</v>
      </c>
      <c r="F2120" s="27" t="inlineStr">
        <is>
          <t>Shift 3</t>
        </is>
      </c>
      <c r="G2120" s="27" t="n"/>
    </row>
    <row r="2121" hidden="1" s="169">
      <c r="A2121" s="27" t="inlineStr">
        <is>
          <t>MK00192</t>
        </is>
      </c>
      <c r="B2121" s="27" t="n">
        <v>528000358</v>
      </c>
      <c r="C2121" s="27" t="inlineStr">
        <is>
          <t>Lulu Agustin</t>
        </is>
      </c>
      <c r="D2121" s="171" t="n">
        <v>46233.41666666666</v>
      </c>
      <c r="E2121" s="26" t="n">
        <v>0.900636574074074</v>
      </c>
      <c r="F2121" s="27" t="inlineStr">
        <is>
          <t>Shift 3</t>
        </is>
      </c>
      <c r="G2121" s="27" t="n"/>
    </row>
    <row r="2122" hidden="1" s="169">
      <c r="A2122" s="27" t="inlineStr">
        <is>
          <t>MK00186</t>
        </is>
      </c>
      <c r="B2122" s="27" t="n">
        <v>528000262</v>
      </c>
      <c r="C2122" s="27" t="inlineStr">
        <is>
          <t>Ndari Dwiwanti</t>
        </is>
      </c>
      <c r="D2122" s="171" t="n">
        <v>46233.41666666666</v>
      </c>
      <c r="E2122" s="26" t="n">
        <v>0.9026851851851851</v>
      </c>
      <c r="F2122" s="27" t="inlineStr">
        <is>
          <t>Shift 3</t>
        </is>
      </c>
      <c r="G2122" s="27" t="n"/>
    </row>
    <row r="2123" hidden="1" s="169">
      <c r="A2123" s="27" t="inlineStr">
        <is>
          <t>MK00121</t>
        </is>
      </c>
      <c r="B2123" s="27" t="n">
        <v>528000323</v>
      </c>
      <c r="C2123" s="27" t="inlineStr">
        <is>
          <t>Dian Hamidah</t>
        </is>
      </c>
      <c r="D2123" s="171" t="n">
        <v>46233.41666666666</v>
      </c>
      <c r="E2123" s="26" t="n">
        <v>0.9036342592592592</v>
      </c>
      <c r="F2123" s="27" t="inlineStr">
        <is>
          <t>Shift 3</t>
        </is>
      </c>
      <c r="G2123" s="27" t="n"/>
    </row>
    <row r="2124" hidden="1" s="169">
      <c r="A2124" s="27" t="inlineStr">
        <is>
          <t>MK00008</t>
        </is>
      </c>
      <c r="B2124" s="27" t="n">
        <v>528000360</v>
      </c>
      <c r="C2124" s="27" t="inlineStr">
        <is>
          <t>Hendra Permana</t>
        </is>
      </c>
      <c r="D2124" s="171" t="n">
        <v>46233.41666666666</v>
      </c>
      <c r="E2124" s="26" t="n">
        <v>0.9042824074074074</v>
      </c>
      <c r="F2124" s="27" t="inlineStr">
        <is>
          <t>Shift 3</t>
        </is>
      </c>
      <c r="G2124" s="27" t="n"/>
    </row>
    <row r="2125" hidden="1" s="169">
      <c r="A2125" s="27" t="inlineStr">
        <is>
          <t>MK00203</t>
        </is>
      </c>
      <c r="B2125" s="27" t="n">
        <v>528000261</v>
      </c>
      <c r="C2125" s="27" t="inlineStr">
        <is>
          <t>Ergi Ergianto</t>
        </is>
      </c>
      <c r="D2125" s="171" t="n">
        <v>46233.41666666666</v>
      </c>
      <c r="E2125" s="26" t="n">
        <v>0.9094097222222223</v>
      </c>
      <c r="F2125" s="27" t="inlineStr">
        <is>
          <t>Shift 3</t>
        </is>
      </c>
      <c r="G2125" s="27" t="n"/>
    </row>
    <row r="2126" hidden="1" s="169">
      <c r="A2126" s="27" t="inlineStr">
        <is>
          <t>MK00138</t>
        </is>
      </c>
      <c r="B2126" s="27" t="n">
        <v>528000291</v>
      </c>
      <c r="C2126" s="27" t="inlineStr">
        <is>
          <t>Andrian</t>
        </is>
      </c>
      <c r="D2126" s="171" t="n">
        <v>46233.41666666666</v>
      </c>
      <c r="E2126" s="26" t="n">
        <v>0.9103819444444444</v>
      </c>
      <c r="F2126" s="27" t="inlineStr">
        <is>
          <t>Shift 3</t>
        </is>
      </c>
      <c r="G2126" s="27" t="n"/>
    </row>
    <row r="2127" hidden="1" s="169">
      <c r="A2127" s="27" t="inlineStr">
        <is>
          <t>MK00125</t>
        </is>
      </c>
      <c r="B2127" s="27" t="n">
        <v>528000314</v>
      </c>
      <c r="C2127" s="27" t="inlineStr">
        <is>
          <t>Rusmana</t>
        </is>
      </c>
      <c r="D2127" s="171" t="n">
        <v>46233.41666666666</v>
      </c>
      <c r="E2127" s="26" t="n">
        <v>0.9106944444444445</v>
      </c>
      <c r="F2127" s="27" t="inlineStr">
        <is>
          <t>Shift 3</t>
        </is>
      </c>
      <c r="G2127" s="27" t="n"/>
    </row>
    <row r="2128" hidden="1" s="169">
      <c r="A2128" s="27" t="inlineStr">
        <is>
          <t>MK00217</t>
        </is>
      </c>
      <c r="B2128" s="27" t="n">
        <v>528000322</v>
      </c>
      <c r="C2128" s="27" t="inlineStr">
        <is>
          <t>Muhamad Aliludin</t>
        </is>
      </c>
      <c r="D2128" s="171" t="n">
        <v>46203.41666666666</v>
      </c>
      <c r="E2128" s="26" t="n">
        <v>0.2236342592592593</v>
      </c>
      <c r="F2128" s="27" t="inlineStr">
        <is>
          <t>Shift 1</t>
        </is>
      </c>
      <c r="G2128" s="27" t="n"/>
    </row>
    <row r="2129" hidden="1" s="169">
      <c r="A2129" s="27" t="inlineStr">
        <is>
          <t>MK00230</t>
        </is>
      </c>
      <c r="B2129" s="27" t="n">
        <v>528000361</v>
      </c>
      <c r="C2129" s="27" t="inlineStr">
        <is>
          <t>Denada Munggarani</t>
        </is>
      </c>
      <c r="D2129" s="171" t="n">
        <v>46203.41666666666</v>
      </c>
      <c r="E2129" s="26" t="n">
        <v>0.2378935185185185</v>
      </c>
      <c r="F2129" s="27" t="inlineStr">
        <is>
          <t>Shift 1</t>
        </is>
      </c>
      <c r="G2129" s="27" t="n"/>
    </row>
    <row r="2130" hidden="1" s="169">
      <c r="A2130" s="27" t="inlineStr">
        <is>
          <t>MK00210</t>
        </is>
      </c>
      <c r="B2130" s="27" t="n">
        <v>528000305</v>
      </c>
      <c r="C2130" s="27" t="inlineStr">
        <is>
          <t>Puji Puspita</t>
        </is>
      </c>
      <c r="D2130" s="171" t="n">
        <v>46203.41666666666</v>
      </c>
      <c r="E2130" s="26" t="n">
        <v>0.2386805555555556</v>
      </c>
      <c r="F2130" s="27" t="inlineStr">
        <is>
          <t>Shift 1</t>
        </is>
      </c>
      <c r="G2130" s="27" t="n"/>
    </row>
    <row r="2131" hidden="1" s="169">
      <c r="A2131" s="27" t="inlineStr">
        <is>
          <t>MK00235</t>
        </is>
      </c>
      <c r="B2131" s="27" t="n">
        <v>528000318</v>
      </c>
      <c r="C2131" s="27" t="inlineStr">
        <is>
          <t>Bayu Padli Sepriyana</t>
        </is>
      </c>
      <c r="D2131" s="171" t="n">
        <v>46203.41666666666</v>
      </c>
      <c r="E2131" s="26" t="n">
        <v>0.2394560185185185</v>
      </c>
      <c r="F2131" s="27" t="inlineStr">
        <is>
          <t>Shift 1</t>
        </is>
      </c>
      <c r="G2131" s="27" t="n"/>
    </row>
    <row r="2132" hidden="1" s="169">
      <c r="A2132" s="27" t="inlineStr">
        <is>
          <t>MK00181</t>
        </is>
      </c>
      <c r="B2132" s="27" t="n">
        <v>528000299</v>
      </c>
      <c r="C2132" s="27" t="inlineStr">
        <is>
          <t>Siti Nurjanah</t>
        </is>
      </c>
      <c r="D2132" s="171" t="n">
        <v>46203.41666666666</v>
      </c>
      <c r="E2132" s="26" t="n">
        <v>0.2403009259259259</v>
      </c>
      <c r="F2132" s="27" t="inlineStr">
        <is>
          <t>Shift 1</t>
        </is>
      </c>
      <c r="G2132" s="27" t="n"/>
    </row>
    <row r="2133" hidden="1" s="169">
      <c r="A2133" s="27" t="inlineStr">
        <is>
          <t>MK00210</t>
        </is>
      </c>
      <c r="B2133" s="27" t="n">
        <v>528000305</v>
      </c>
      <c r="C2133" s="27" t="inlineStr">
        <is>
          <t>Puji Puspita</t>
        </is>
      </c>
      <c r="D2133" s="171" t="n">
        <v>46203.41666666666</v>
      </c>
      <c r="E2133" s="26" t="n">
        <v>0.2407175925925926</v>
      </c>
      <c r="F2133" s="27" t="inlineStr">
        <is>
          <t>Shift 1</t>
        </is>
      </c>
      <c r="G2133" s="27" t="n"/>
    </row>
    <row r="2134" hidden="1" s="169">
      <c r="A2134" s="27" t="inlineStr">
        <is>
          <t>MK00108</t>
        </is>
      </c>
      <c r="B2134" s="27" t="n">
        <v>528000340</v>
      </c>
      <c r="C2134" s="27" t="inlineStr">
        <is>
          <t>Muhammad Wildan Adithya</t>
        </is>
      </c>
      <c r="D2134" s="171" t="n">
        <v>46203.41666666666</v>
      </c>
      <c r="E2134" s="26" t="n">
        <v>0.2421527777777778</v>
      </c>
      <c r="F2134" s="27" t="inlineStr">
        <is>
          <t>Shift 1</t>
        </is>
      </c>
      <c r="G2134" s="27" t="n"/>
    </row>
    <row r="2135">
      <c r="A2135" s="27" t="inlineStr">
        <is>
          <t>MK00123</t>
        </is>
      </c>
      <c r="B2135" s="27" t="n">
        <v>528000015</v>
      </c>
      <c r="C2135" s="27" t="inlineStr">
        <is>
          <t>Erwin</t>
        </is>
      </c>
      <c r="D2135" s="171" t="n">
        <v>46203.41666666666</v>
      </c>
      <c r="E2135" s="26" t="n">
        <v>0.2437731481481482</v>
      </c>
      <c r="F2135" s="27" t="inlineStr">
        <is>
          <t>Shift 1</t>
        </is>
      </c>
      <c r="G2135" s="27" t="n"/>
    </row>
    <row r="2136" hidden="1" s="169">
      <c r="A2136" s="27" t="inlineStr">
        <is>
          <t>MK00088</t>
        </is>
      </c>
      <c r="B2136" s="27" t="n">
        <v>528000302</v>
      </c>
      <c r="C2136" s="27" t="inlineStr">
        <is>
          <t>Henkey gumilar</t>
        </is>
      </c>
      <c r="D2136" s="171" t="n">
        <v>46203.41666666666</v>
      </c>
      <c r="E2136" s="26" t="n">
        <v>0.2439236111111111</v>
      </c>
      <c r="F2136" s="27" t="inlineStr">
        <is>
          <t>Shift 1</t>
        </is>
      </c>
      <c r="G2136" s="27" t="n"/>
    </row>
    <row r="2137" hidden="1" s="169">
      <c r="A2137" s="27" t="inlineStr">
        <is>
          <t>MK00156</t>
        </is>
      </c>
      <c r="B2137" s="27" t="n">
        <v>528000298</v>
      </c>
      <c r="C2137" s="27" t="inlineStr">
        <is>
          <t>Desta Cahaya Pratama</t>
        </is>
      </c>
      <c r="D2137" s="171" t="n">
        <v>46203.41666666666</v>
      </c>
      <c r="E2137" s="26" t="n">
        <v>0.2452893518518519</v>
      </c>
      <c r="F2137" s="27" t="inlineStr">
        <is>
          <t>Shift 1</t>
        </is>
      </c>
      <c r="G2137" s="27" t="n"/>
    </row>
    <row r="2138" hidden="1" s="169">
      <c r="A2138" s="27" t="inlineStr">
        <is>
          <t>MK00109</t>
        </is>
      </c>
      <c r="B2138" s="27" t="n">
        <v>528000309</v>
      </c>
      <c r="C2138" s="27" t="inlineStr">
        <is>
          <t>Ilham Ramadhan</t>
        </is>
      </c>
      <c r="D2138" s="171" t="n">
        <v>46203.41666666666</v>
      </c>
      <c r="E2138" s="26" t="n">
        <v>0.2479050925925926</v>
      </c>
      <c r="F2138" s="27" t="inlineStr">
        <is>
          <t>Shift 1</t>
        </is>
      </c>
      <c r="G2138" s="27" t="n"/>
    </row>
    <row r="2139" hidden="1" s="169">
      <c r="A2139" s="27" t="inlineStr">
        <is>
          <t>MK00113</t>
        </is>
      </c>
      <c r="B2139" s="27" t="n">
        <v>528000313</v>
      </c>
      <c r="C2139" s="27" t="inlineStr">
        <is>
          <t>Muhamad Rifki</t>
        </is>
      </c>
      <c r="D2139" s="171" t="n">
        <v>46203.41666666666</v>
      </c>
      <c r="E2139" s="26" t="n">
        <v>0.2516087962962963</v>
      </c>
      <c r="F2139" s="27" t="inlineStr">
        <is>
          <t>Shift 1</t>
        </is>
      </c>
      <c r="G2139" s="27" t="n"/>
    </row>
    <row r="2140" hidden="1" s="169">
      <c r="A2140" s="27" t="inlineStr">
        <is>
          <t>MK00250</t>
        </is>
      </c>
      <c r="B2140" s="27" t="n">
        <v>528000265</v>
      </c>
      <c r="C2140" s="27" t="inlineStr">
        <is>
          <t>Muhammad Haerul Rozikin</t>
        </is>
      </c>
      <c r="D2140" s="171" t="n">
        <v>46203.41666666666</v>
      </c>
      <c r="E2140" s="26" t="n">
        <v>0.3196990740740741</v>
      </c>
      <c r="F2140" s="27" t="inlineStr">
        <is>
          <t>Shift 1</t>
        </is>
      </c>
      <c r="G2140" s="27" t="n"/>
    </row>
    <row r="2141" hidden="1" s="169">
      <c r="A2141" s="27" t="inlineStr">
        <is>
          <t>MK00230</t>
        </is>
      </c>
      <c r="B2141" s="27" t="n">
        <v>528000282</v>
      </c>
      <c r="C2141" s="27" t="inlineStr">
        <is>
          <t>Defa Desfiana</t>
        </is>
      </c>
      <c r="D2141" s="171" t="n">
        <v>46203.41666666666</v>
      </c>
      <c r="E2141" s="26" t="n">
        <v>0.3238888888888889</v>
      </c>
      <c r="F2141" s="27" t="inlineStr">
        <is>
          <t>Shift 1</t>
        </is>
      </c>
      <c r="G2141" s="27" t="inlineStr">
        <is>
          <t>4a</t>
        </is>
      </c>
    </row>
    <row r="2142" hidden="1" s="169">
      <c r="A2142" s="27" t="inlineStr">
        <is>
          <t>MK00204</t>
        </is>
      </c>
      <c r="B2142" s="27" t="n">
        <v>528000335</v>
      </c>
      <c r="C2142" s="27" t="inlineStr">
        <is>
          <t>Rizal Saepuloh</t>
        </is>
      </c>
      <c r="D2142" s="171" t="n">
        <v>46203.41666666666</v>
      </c>
      <c r="E2142" s="26" t="n">
        <v>0.3272337962962963</v>
      </c>
      <c r="F2142" s="27" t="inlineStr">
        <is>
          <t>Shift 1</t>
        </is>
      </c>
      <c r="G2142" s="27" t="n"/>
    </row>
    <row r="2143" hidden="1" s="169">
      <c r="A2143" s="27" t="inlineStr">
        <is>
          <t>MK00185</t>
        </is>
      </c>
      <c r="B2143" s="27" t="n">
        <v>528000351</v>
      </c>
      <c r="C2143" s="27" t="inlineStr">
        <is>
          <t>Mulyana</t>
        </is>
      </c>
      <c r="D2143" s="171" t="n">
        <v>46203.41666666666</v>
      </c>
      <c r="E2143" s="26" t="n">
        <v>0.3277430555555556</v>
      </c>
      <c r="F2143" s="27" t="inlineStr">
        <is>
          <t>Shift 1</t>
        </is>
      </c>
      <c r="G2143" s="27" t="n"/>
    </row>
    <row r="2144" hidden="1" s="169">
      <c r="A2144" s="27" t="inlineStr">
        <is>
          <t>MK00221</t>
        </is>
      </c>
      <c r="B2144" s="27" t="n">
        <v>528000144</v>
      </c>
      <c r="C2144" s="27" t="inlineStr">
        <is>
          <t>Jodi Hanafi</t>
        </is>
      </c>
      <c r="D2144" s="171" t="n">
        <v>46203.41666666666</v>
      </c>
      <c r="E2144" s="26" t="n">
        <v>0.3307638888888889</v>
      </c>
      <c r="F2144" s="27" t="inlineStr">
        <is>
          <t>Shift 1</t>
        </is>
      </c>
      <c r="G2144" s="27" t="n"/>
    </row>
    <row r="2145" hidden="1" s="169">
      <c r="A2145" s="27" t="inlineStr">
        <is>
          <t>MK00160</t>
        </is>
      </c>
      <c r="B2145" s="27" t="n">
        <v>528000310</v>
      </c>
      <c r="C2145" s="27" t="inlineStr">
        <is>
          <t>Fachrul Rozzi Suryana</t>
        </is>
      </c>
      <c r="D2145" s="171" t="n">
        <v>46203.41666666666</v>
      </c>
      <c r="E2145" s="26" t="n">
        <v>0.3322800925925926</v>
      </c>
      <c r="F2145" s="27" t="inlineStr">
        <is>
          <t>Shift 1</t>
        </is>
      </c>
      <c r="G2145" s="27" t="inlineStr">
        <is>
          <t>27F</t>
        </is>
      </c>
    </row>
    <row r="2146" hidden="1" s="169">
      <c r="A2146" s="27" t="inlineStr">
        <is>
          <t>MK00205</t>
        </is>
      </c>
      <c r="B2146" s="27" t="n">
        <v>528000348</v>
      </c>
      <c r="C2146" s="27" t="inlineStr">
        <is>
          <t>Saepuloh Ardiansah</t>
        </is>
      </c>
      <c r="D2146" s="171" t="n">
        <v>46203.41666666666</v>
      </c>
      <c r="E2146" s="26" t="n">
        <v>0.3670370370370371</v>
      </c>
      <c r="F2146" s="27" t="inlineStr">
        <is>
          <t>Shift 1</t>
        </is>
      </c>
      <c r="G2146" s="27" t="n"/>
    </row>
    <row r="2147" hidden="1" s="169">
      <c r="A2147" s="27" t="inlineStr">
        <is>
          <t>MK150</t>
        </is>
      </c>
      <c r="B2147" s="27" t="n">
        <v>528000232</v>
      </c>
      <c r="C2147" s="27" t="inlineStr">
        <is>
          <t>Agung Aji Suhada</t>
        </is>
      </c>
      <c r="D2147" s="171" t="n">
        <v>46203.41666666666</v>
      </c>
      <c r="E2147" s="26" t="n">
        <v>0.3713773148148148</v>
      </c>
      <c r="F2147" s="27" t="inlineStr">
        <is>
          <t>Shift 1</t>
        </is>
      </c>
      <c r="G2147" s="27" t="n"/>
    </row>
    <row r="2148" hidden="1" s="169">
      <c r="A2148" s="27" t="inlineStr">
        <is>
          <t>MK00141</t>
        </is>
      </c>
      <c r="B2148" s="27" t="n">
        <v>528000040</v>
      </c>
      <c r="C2148" s="27" t="inlineStr">
        <is>
          <t>Agus Suryaman</t>
        </is>
      </c>
      <c r="D2148" s="171" t="n">
        <v>46203.41666666666</v>
      </c>
      <c r="E2148" s="26" t="n">
        <v>0.3721527777777778</v>
      </c>
      <c r="F2148" s="27" t="inlineStr">
        <is>
          <t>Shift 1</t>
        </is>
      </c>
      <c r="G2148" s="27" t="n"/>
    </row>
    <row r="2149" hidden="1" s="169">
      <c r="A2149" s="27" t="inlineStr">
        <is>
          <t>MK00141</t>
        </is>
      </c>
      <c r="B2149" s="27" t="n">
        <v>528000040</v>
      </c>
      <c r="C2149" s="27" t="inlineStr">
        <is>
          <t>Agus Suryaman</t>
        </is>
      </c>
      <c r="D2149" s="171" t="n">
        <v>46203.41666666666</v>
      </c>
      <c r="E2149" s="26" t="n">
        <v>0.3738310185185185</v>
      </c>
      <c r="F2149" s="27" t="inlineStr">
        <is>
          <t>Shift 1</t>
        </is>
      </c>
      <c r="G2149" s="27" t="n"/>
    </row>
    <row r="2150" hidden="1" s="169">
      <c r="A2150" s="27" t="inlineStr">
        <is>
          <t>MK0130</t>
        </is>
      </c>
      <c r="B2150" s="27" t="n">
        <v>528000149</v>
      </c>
      <c r="C2150" s="27" t="inlineStr">
        <is>
          <t>Tio Fernanda</t>
        </is>
      </c>
      <c r="D2150" s="171" t="n">
        <v>46203.41666666666</v>
      </c>
      <c r="E2150" s="26" t="n">
        <v>0.3777314814814815</v>
      </c>
      <c r="F2150" s="27" t="inlineStr">
        <is>
          <t>Shift 1</t>
        </is>
      </c>
      <c r="G2150" s="27" t="n"/>
    </row>
    <row r="2151" hidden="1" s="169">
      <c r="A2151" s="27" t="inlineStr">
        <is>
          <t>MK00136</t>
        </is>
      </c>
      <c r="B2151" s="27" t="n">
        <v>528000339</v>
      </c>
      <c r="C2151" s="27" t="inlineStr">
        <is>
          <t>Muhamad Ripai'i</t>
        </is>
      </c>
      <c r="D2151" s="171" t="n">
        <v>46203.41666666666</v>
      </c>
      <c r="E2151" s="26" t="n">
        <v>0.548599537037037</v>
      </c>
      <c r="F2151" s="27" t="inlineStr">
        <is>
          <t>Shift 2</t>
        </is>
      </c>
      <c r="G2151" s="27" t="n"/>
    </row>
    <row r="2152" hidden="1" s="169">
      <c r="A2152" s="27" t="inlineStr">
        <is>
          <t>MK00184</t>
        </is>
      </c>
      <c r="B2152" s="27" t="n">
        <v>528000201</v>
      </c>
      <c r="C2152" s="27" t="inlineStr">
        <is>
          <t>Zahwa Amelia Choerunissa</t>
        </is>
      </c>
      <c r="D2152" s="171" t="n">
        <v>46203.41666666666</v>
      </c>
      <c r="E2152" s="26" t="n">
        <v>0.5665625</v>
      </c>
      <c r="F2152" s="27" t="inlineStr">
        <is>
          <t>Shift 2</t>
        </is>
      </c>
      <c r="G2152" s="27" t="n"/>
    </row>
    <row r="2153" hidden="1" s="169">
      <c r="A2153" s="27" t="inlineStr">
        <is>
          <t>MK00213</t>
        </is>
      </c>
      <c r="B2153" s="27" t="n">
        <v>528000286</v>
      </c>
      <c r="C2153" s="27" t="inlineStr">
        <is>
          <t>Imelda Amelia</t>
        </is>
      </c>
      <c r="D2153" s="171" t="n">
        <v>46203.41666666666</v>
      </c>
      <c r="E2153" s="26" t="n">
        <v>0.5740740740740741</v>
      </c>
      <c r="F2153" s="27" t="inlineStr">
        <is>
          <t>Shift 2</t>
        </is>
      </c>
      <c r="G2153" s="27" t="n"/>
    </row>
    <row r="2154" hidden="1" s="169">
      <c r="A2154" s="27" t="inlineStr">
        <is>
          <t>MK00090</t>
        </is>
      </c>
      <c r="B2154" s="27" t="n">
        <v>528000289</v>
      </c>
      <c r="C2154" s="27" t="inlineStr">
        <is>
          <t>Adit Supriyadi</t>
        </is>
      </c>
      <c r="D2154" s="171" t="n">
        <v>46203.41666666666</v>
      </c>
      <c r="E2154" s="26" t="n">
        <v>0.5750347222222222</v>
      </c>
      <c r="F2154" s="27" t="inlineStr">
        <is>
          <t>Shift 2</t>
        </is>
      </c>
      <c r="G2154" s="27" t="n"/>
    </row>
    <row r="2155" hidden="1" s="169">
      <c r="A2155" s="27" t="inlineStr">
        <is>
          <t>MK00154</t>
        </is>
      </c>
      <c r="B2155" s="27" t="n">
        <v>528000274</v>
      </c>
      <c r="C2155" s="27" t="inlineStr">
        <is>
          <t>Zepri</t>
        </is>
      </c>
      <c r="D2155" s="171" t="n">
        <v>46203.41666666666</v>
      </c>
      <c r="E2155" s="26" t="n">
        <v>0.5750810185185186</v>
      </c>
      <c r="F2155" s="27" t="inlineStr">
        <is>
          <t>Shift 2</t>
        </is>
      </c>
      <c r="G2155" s="27" t="n"/>
    </row>
    <row r="2156" hidden="1" s="169">
      <c r="A2156" s="27" t="inlineStr">
        <is>
          <t>MK00145</t>
        </is>
      </c>
      <c r="B2156" s="27" t="n">
        <v>528000241</v>
      </c>
      <c r="C2156" s="27" t="inlineStr">
        <is>
          <t>Balia Nurafif Bilah</t>
        </is>
      </c>
      <c r="D2156" s="171" t="n">
        <v>46203.41666666666</v>
      </c>
      <c r="E2156" s="26" t="n">
        <v>0.5763888888888888</v>
      </c>
      <c r="F2156" s="27" t="inlineStr">
        <is>
          <t>Shift 2</t>
        </is>
      </c>
      <c r="G2156" s="27" t="n"/>
    </row>
    <row r="2157" hidden="1" s="169">
      <c r="A2157" s="27" t="inlineStr">
        <is>
          <t>MK00085</t>
        </is>
      </c>
      <c r="B2157" s="27" t="n">
        <v>528000090</v>
      </c>
      <c r="C2157" s="27" t="inlineStr">
        <is>
          <t>Suganda</t>
        </is>
      </c>
      <c r="D2157" s="171" t="n">
        <v>46203.41666666666</v>
      </c>
      <c r="E2157" s="26" t="n">
        <v>0.5766550925925926</v>
      </c>
      <c r="F2157" s="27" t="inlineStr">
        <is>
          <t>Shift 2</t>
        </is>
      </c>
      <c r="G2157" s="27" t="n"/>
    </row>
    <row r="2158" hidden="1" s="169">
      <c r="A2158" s="27" t="inlineStr">
        <is>
          <t>MK00249</t>
        </is>
      </c>
      <c r="B2158" s="27" t="n">
        <v>528000273</v>
      </c>
      <c r="C2158" s="27" t="inlineStr">
        <is>
          <t>Asep Mulyana</t>
        </is>
      </c>
      <c r="D2158" s="171" t="n">
        <v>46203.41666666666</v>
      </c>
      <c r="E2158" s="26" t="n">
        <v>0.5777662037037037</v>
      </c>
      <c r="F2158" s="27" t="inlineStr">
        <is>
          <t>Shift 2</t>
        </is>
      </c>
      <c r="G2158" s="27" t="n"/>
    </row>
    <row r="2159" hidden="1" s="169">
      <c r="A2159" s="27" t="inlineStr">
        <is>
          <t>MK00209</t>
        </is>
      </c>
      <c r="B2159" s="27" t="n">
        <v>528000290</v>
      </c>
      <c r="C2159" s="27" t="inlineStr">
        <is>
          <t>Eval Pranata</t>
        </is>
      </c>
      <c r="D2159" s="171" t="n">
        <v>46203.41666666666</v>
      </c>
      <c r="E2159" s="26" t="n">
        <v>0.5823726851851851</v>
      </c>
      <c r="F2159" s="27" t="inlineStr">
        <is>
          <t>Shift 2</t>
        </is>
      </c>
      <c r="G2159" s="27" t="n"/>
    </row>
    <row r="2160" hidden="1" s="169">
      <c r="A2160" s="27" t="inlineStr">
        <is>
          <t>MK00082</t>
        </is>
      </c>
      <c r="B2160" s="27" t="n">
        <v>528000212</v>
      </c>
      <c r="C2160" s="27" t="inlineStr">
        <is>
          <t>Rizal Fauzi</t>
        </is>
      </c>
      <c r="D2160" s="171" t="n">
        <v>46203.41666666666</v>
      </c>
      <c r="E2160" s="26" t="n">
        <v>0.5856944444444444</v>
      </c>
      <c r="F2160" s="27" t="inlineStr">
        <is>
          <t>Shift 2</t>
        </is>
      </c>
      <c r="G2160" s="27" t="n"/>
    </row>
    <row r="2161" hidden="1" s="169">
      <c r="A2161" s="27" t="inlineStr">
        <is>
          <t>MK00138</t>
        </is>
      </c>
      <c r="B2161" s="27" t="n">
        <v>528000336</v>
      </c>
      <c r="C2161" s="27" t="inlineStr">
        <is>
          <t>Ali Nurhanafi</t>
        </is>
      </c>
      <c r="D2161" s="171" t="n">
        <v>46203.41666666666</v>
      </c>
      <c r="E2161" s="26" t="n">
        <v>0.8539583333333334</v>
      </c>
      <c r="F2161" s="27" t="inlineStr">
        <is>
          <t>Shift 2</t>
        </is>
      </c>
      <c r="G2161" s="27" t="n"/>
    </row>
    <row r="2162" hidden="1" s="169">
      <c r="A2162" s="27" t="inlineStr">
        <is>
          <t>MK00217</t>
        </is>
      </c>
      <c r="B2162" s="27" t="n">
        <v>528000337</v>
      </c>
      <c r="C2162" s="27" t="inlineStr">
        <is>
          <t>Ahmad Zaldi Firdaus</t>
        </is>
      </c>
      <c r="D2162" s="171" t="n">
        <v>46203.41666666666</v>
      </c>
      <c r="E2162" s="26" t="n">
        <v>0.8669444444444444</v>
      </c>
      <c r="F2162" s="27" t="inlineStr">
        <is>
          <t>Shift 2</t>
        </is>
      </c>
      <c r="G2162" s="27" t="n"/>
    </row>
    <row r="2163" hidden="1" s="169">
      <c r="A2163" s="27" t="inlineStr">
        <is>
          <t>MK00143</t>
        </is>
      </c>
      <c r="B2163" s="27" t="n">
        <v>528000052</v>
      </c>
      <c r="C2163" s="27" t="inlineStr">
        <is>
          <t>Mustopa</t>
        </is>
      </c>
      <c r="D2163" s="171" t="n">
        <v>46203.41666666666</v>
      </c>
      <c r="E2163" s="26" t="n">
        <v>0.8798263888888889</v>
      </c>
      <c r="F2163" s="27" t="inlineStr">
        <is>
          <t>Shift 3</t>
        </is>
      </c>
      <c r="G2163" s="27" t="n"/>
    </row>
    <row r="2164" hidden="1" s="169">
      <c r="A2164" s="27" t="inlineStr">
        <is>
          <t>MK00212</t>
        </is>
      </c>
      <c r="B2164" s="27" t="n">
        <v>528000195</v>
      </c>
      <c r="C2164" s="27" t="inlineStr">
        <is>
          <t>Rahma Sariwati</t>
        </is>
      </c>
      <c r="D2164" s="171" t="n">
        <v>46203.41666666666</v>
      </c>
      <c r="E2164" s="26" t="n">
        <v>0.9030324074074074</v>
      </c>
      <c r="F2164" s="27" t="inlineStr">
        <is>
          <t>Shift 3</t>
        </is>
      </c>
      <c r="G2164" s="27" t="n"/>
    </row>
    <row r="2165" hidden="1" s="169">
      <c r="A2165" s="27" t="inlineStr">
        <is>
          <t>MK00208</t>
        </is>
      </c>
      <c r="B2165" s="27" t="n">
        <v>528000358</v>
      </c>
      <c r="C2165" s="27" t="inlineStr">
        <is>
          <t>Lulu Agustin</t>
        </is>
      </c>
      <c r="D2165" s="171" t="n">
        <v>46203.41666666666</v>
      </c>
      <c r="E2165" s="26" t="n">
        <v>0.9038541666666666</v>
      </c>
      <c r="F2165" s="27" t="inlineStr">
        <is>
          <t>Shift 3</t>
        </is>
      </c>
      <c r="G2165" s="27" t="n"/>
    </row>
    <row r="2166" hidden="1" s="169">
      <c r="A2166" s="27" t="inlineStr">
        <is>
          <t>MK00230</t>
        </is>
      </c>
      <c r="B2166" s="27" t="n">
        <v>528000328</v>
      </c>
      <c r="C2166" s="27" t="inlineStr">
        <is>
          <t>Nur Anjani</t>
        </is>
      </c>
      <c r="D2166" s="171" t="n">
        <v>46203.41666666666</v>
      </c>
      <c r="E2166" s="26" t="n">
        <v>0.9053587962962963</v>
      </c>
      <c r="F2166" s="27" t="inlineStr">
        <is>
          <t>Shift 3</t>
        </is>
      </c>
      <c r="G2166" s="27" t="n"/>
    </row>
    <row r="2167" hidden="1" s="169">
      <c r="A2167" s="27" t="inlineStr">
        <is>
          <t>MK00235</t>
        </is>
      </c>
      <c r="B2167" s="27" t="n">
        <v>528000261</v>
      </c>
      <c r="C2167" s="27" t="inlineStr">
        <is>
          <t>Ergi Ergianto</t>
        </is>
      </c>
      <c r="D2167" s="171" t="n">
        <v>46203.41666666666</v>
      </c>
      <c r="E2167" s="26" t="n">
        <v>0.9089236111111111</v>
      </c>
      <c r="F2167" s="27" t="inlineStr">
        <is>
          <t>Shift 3</t>
        </is>
      </c>
      <c r="G2167" s="27" t="n"/>
    </row>
    <row r="2168" hidden="1" s="169">
      <c r="A2168" s="27" t="inlineStr">
        <is>
          <t>MK00112</t>
        </is>
      </c>
      <c r="B2168" s="27" t="n">
        <v>528000291</v>
      </c>
      <c r="C2168" s="27" t="inlineStr">
        <is>
          <t>Andrian</t>
        </is>
      </c>
      <c r="D2168" s="171" t="n">
        <v>46203.41666666666</v>
      </c>
      <c r="E2168" s="26" t="n">
        <v>0.9104745370370371</v>
      </c>
      <c r="F2168" s="27" t="inlineStr">
        <is>
          <t>Shift 3</t>
        </is>
      </c>
      <c r="G2168" s="27" t="n"/>
    </row>
    <row r="2169" hidden="1" s="169">
      <c r="A2169" s="27" t="inlineStr">
        <is>
          <t>MK00095</t>
        </is>
      </c>
      <c r="B2169" s="27" t="n">
        <v>528000283</v>
      </c>
      <c r="C2169" s="27" t="inlineStr">
        <is>
          <t>Purwanda Sugiri</t>
        </is>
      </c>
      <c r="D2169" s="171" t="n">
        <v>46203.41666666666</v>
      </c>
      <c r="E2169" s="26" t="n">
        <v>0.9109143518518519</v>
      </c>
      <c r="F2169" s="27" t="inlineStr">
        <is>
          <t>Shift 3</t>
        </is>
      </c>
      <c r="G2169" s="27" t="n"/>
    </row>
    <row r="2170" hidden="1" s="169">
      <c r="A2170" s="27" t="inlineStr">
        <is>
          <t>MK00109</t>
        </is>
      </c>
      <c r="B2170" s="27" t="n">
        <v>528000360</v>
      </c>
      <c r="C2170" s="27" t="inlineStr">
        <is>
          <t>Hendra Permana</t>
        </is>
      </c>
      <c r="D2170" s="171" t="n">
        <v>46203.41666666666</v>
      </c>
      <c r="E2170" s="26" t="n">
        <v>0.9116319444444444</v>
      </c>
      <c r="F2170" s="27" t="inlineStr">
        <is>
          <t>Shift 3</t>
        </is>
      </c>
      <c r="G2170" s="27" t="n"/>
    </row>
    <row r="2171" hidden="1" s="169">
      <c r="A2171" s="27" t="inlineStr">
        <is>
          <t>MK00125</t>
        </is>
      </c>
      <c r="B2171" s="27" t="n">
        <v>528000314</v>
      </c>
      <c r="C2171" s="27" t="inlineStr">
        <is>
          <t>Rusmana</t>
        </is>
      </c>
      <c r="D2171" s="171" t="n">
        <v>46203.41666666666</v>
      </c>
      <c r="E2171" s="26" t="n">
        <v>0.9199884259259259</v>
      </c>
      <c r="F2171" s="27" t="inlineStr">
        <is>
          <t>Shift 3</t>
        </is>
      </c>
      <c r="G2171" s="27" t="n"/>
    </row>
    <row r="2172" hidden="1" s="169">
      <c r="A2172" s="27" t="inlineStr">
        <is>
          <t>MK00145</t>
        </is>
      </c>
      <c r="B2172" s="27" t="n">
        <v>628000064</v>
      </c>
      <c r="C2172" s="27" t="inlineStr">
        <is>
          <t>Silva Alypia</t>
        </is>
      </c>
      <c r="D2172" s="171" t="n">
        <v>46204.41666666666</v>
      </c>
      <c r="E2172" s="26" t="n">
        <v>0.2413194444444444</v>
      </c>
      <c r="F2172" s="27" t="inlineStr">
        <is>
          <t>Shift 1</t>
        </is>
      </c>
      <c r="G2172" s="27" t="n"/>
    </row>
    <row r="2173" hidden="1" s="169">
      <c r="A2173" s="27" t="inlineStr">
        <is>
          <t>MK00202</t>
        </is>
      </c>
      <c r="B2173" s="27" t="n">
        <v>528000248</v>
      </c>
      <c r="C2173" s="27" t="inlineStr">
        <is>
          <t>Roka Jaya Salka Mulya</t>
        </is>
      </c>
      <c r="D2173" s="171" t="n">
        <v>46204.41666666666</v>
      </c>
      <c r="E2173" s="26" t="n">
        <v>0.2422222222222222</v>
      </c>
      <c r="F2173" s="27" t="inlineStr">
        <is>
          <t>Shift 1</t>
        </is>
      </c>
      <c r="G2173" s="27" t="n"/>
    </row>
    <row r="2174" hidden="1" s="169">
      <c r="A2174" s="27" t="inlineStr">
        <is>
          <t>MK00213</t>
        </is>
      </c>
      <c r="B2174" s="27" t="n">
        <v>528000279</v>
      </c>
      <c r="C2174" s="27" t="inlineStr">
        <is>
          <t>Mahdalena Dalfa Riani</t>
        </is>
      </c>
      <c r="D2174" s="171" t="n">
        <v>46204.41666666666</v>
      </c>
      <c r="E2174" s="26" t="n">
        <v>0.2447453703703704</v>
      </c>
      <c r="F2174" s="27" t="inlineStr">
        <is>
          <t>Shift 1</t>
        </is>
      </c>
      <c r="G2174" s="27" t="n"/>
    </row>
    <row r="2175" hidden="1" s="169">
      <c r="A2175" s="27" t="inlineStr">
        <is>
          <t>MK00136</t>
        </is>
      </c>
      <c r="B2175" s="27" t="n">
        <v>528000334</v>
      </c>
      <c r="C2175" s="27" t="inlineStr">
        <is>
          <t>Naufal Yudhistira</t>
        </is>
      </c>
      <c r="D2175" s="171" t="n">
        <v>46204.41666666666</v>
      </c>
      <c r="E2175" s="26" t="n">
        <v>0.2472569444444444</v>
      </c>
      <c r="F2175" s="27" t="inlineStr">
        <is>
          <t>Shift 1</t>
        </is>
      </c>
      <c r="G2175" s="27" t="n"/>
    </row>
    <row r="2176" hidden="1" s="169">
      <c r="A2176" s="27" t="inlineStr">
        <is>
          <t>MK00209</t>
        </is>
      </c>
      <c r="B2176" s="27" t="n">
        <v>528000300</v>
      </c>
      <c r="C2176" s="27" t="inlineStr">
        <is>
          <t>Lia pitaloka</t>
        </is>
      </c>
      <c r="D2176" s="171" t="n">
        <v>46204.41666666666</v>
      </c>
      <c r="E2176" s="26" t="n">
        <v>0.2486921296296296</v>
      </c>
      <c r="F2176" s="27" t="inlineStr">
        <is>
          <t>Shift 1</t>
        </is>
      </c>
      <c r="G2176" s="27" t="n"/>
    </row>
    <row r="2177" hidden="1" s="169">
      <c r="A2177" s="27" t="inlineStr">
        <is>
          <t>MK00212</t>
        </is>
      </c>
      <c r="B2177" s="27" t="n">
        <v>528000359</v>
      </c>
      <c r="C2177" s="27" t="inlineStr">
        <is>
          <t>M. Iqbal Maulana. S</t>
        </is>
      </c>
      <c r="D2177" s="171" t="n">
        <v>46235.41666666666</v>
      </c>
      <c r="E2177" s="26" t="n">
        <v>0.2998263888888889</v>
      </c>
      <c r="F2177" s="27" t="inlineStr">
        <is>
          <t>Shift 1</t>
        </is>
      </c>
      <c r="G2177" s="27" t="n"/>
    </row>
    <row r="2178" hidden="1" s="169">
      <c r="A2178" s="27" t="inlineStr">
        <is>
          <t>MK00108</t>
        </is>
      </c>
      <c r="B2178" s="27" t="n">
        <v>528000339</v>
      </c>
      <c r="C2178" s="27" t="inlineStr">
        <is>
          <t>Muhamad Ripai'i</t>
        </is>
      </c>
      <c r="D2178" s="171" t="n">
        <v>46235.41666666666</v>
      </c>
      <c r="E2178" s="26" t="n">
        <v>0.569224537037037</v>
      </c>
      <c r="F2178" s="27" t="inlineStr">
        <is>
          <t>Shift 2</t>
        </is>
      </c>
      <c r="G2178" s="27" t="n"/>
    </row>
    <row r="2179" hidden="1" s="169">
      <c r="A2179" s="27" t="inlineStr">
        <is>
          <t>MK00181</t>
        </is>
      </c>
      <c r="B2179" s="27" t="n">
        <v>528000286</v>
      </c>
      <c r="C2179" s="27" t="inlineStr">
        <is>
          <t>Imelda Amelia</t>
        </is>
      </c>
      <c r="D2179" s="171" t="n">
        <v>46235.41666666666</v>
      </c>
      <c r="E2179" s="26" t="n">
        <v>0.5692592592592592</v>
      </c>
      <c r="F2179" s="27" t="inlineStr">
        <is>
          <t>Shift 2</t>
        </is>
      </c>
      <c r="G2179" s="27" t="n"/>
    </row>
    <row r="2180" hidden="1" s="169">
      <c r="A2180" s="27" t="inlineStr">
        <is>
          <t>MK00095</t>
        </is>
      </c>
      <c r="B2180" s="27" t="n">
        <v>528000201</v>
      </c>
      <c r="C2180" s="27" t="inlineStr">
        <is>
          <t>Zahwa Amelia Choerunissa</t>
        </is>
      </c>
      <c r="D2180" s="171" t="n">
        <v>46235.41666666666</v>
      </c>
      <c r="E2180" s="26" t="n">
        <v>0.5709259259259259</v>
      </c>
      <c r="F2180" s="27" t="inlineStr">
        <is>
          <t>Shift 2</t>
        </is>
      </c>
      <c r="G2180" s="27" t="n"/>
    </row>
    <row r="2181" hidden="1" s="169">
      <c r="A2181" s="27" t="inlineStr">
        <is>
          <t>MK00235</t>
        </is>
      </c>
      <c r="B2181" s="27" t="n">
        <v>528000273</v>
      </c>
      <c r="C2181" s="27" t="inlineStr">
        <is>
          <t>Asep Mulyana</t>
        </is>
      </c>
      <c r="D2181" s="171" t="n">
        <v>46235.41666666666</v>
      </c>
      <c r="E2181" s="26" t="n">
        <v>0.5734259259259259</v>
      </c>
      <c r="F2181" s="27" t="inlineStr">
        <is>
          <t>Shift 2</t>
        </is>
      </c>
      <c r="G2181" s="27" t="n"/>
    </row>
    <row r="2182" hidden="1" s="169">
      <c r="A2182" s="27" t="inlineStr">
        <is>
          <t>MK00217</t>
        </is>
      </c>
      <c r="B2182" s="27" t="n">
        <v>528000274</v>
      </c>
      <c r="C2182" s="27" t="inlineStr">
        <is>
          <t>Zepri</t>
        </is>
      </c>
      <c r="D2182" s="171" t="n">
        <v>46235.41666666666</v>
      </c>
      <c r="E2182" s="26" t="n">
        <v>0.575462962962963</v>
      </c>
      <c r="F2182" s="27" t="inlineStr">
        <is>
          <t>Shift 2</t>
        </is>
      </c>
      <c r="G2182" s="27" t="n"/>
    </row>
    <row r="2183" hidden="1" s="169">
      <c r="A2183" s="27" t="inlineStr">
        <is>
          <t>MK00138</t>
        </is>
      </c>
      <c r="B2183" s="27" t="n">
        <v>528000289</v>
      </c>
      <c r="C2183" s="27" t="inlineStr">
        <is>
          <t>Adit Supriyadi</t>
        </is>
      </c>
      <c r="D2183" s="171" t="n">
        <v>46235.41666666666</v>
      </c>
      <c r="E2183" s="26" t="n">
        <v>0.575775462962963</v>
      </c>
      <c r="F2183" s="27" t="inlineStr">
        <is>
          <t>Shift 2</t>
        </is>
      </c>
      <c r="G2183" s="27" t="n"/>
    </row>
    <row r="2184" hidden="1" s="169">
      <c r="A2184" s="27" t="inlineStr">
        <is>
          <t>MK00143</t>
        </is>
      </c>
      <c r="B2184" s="27" t="n">
        <v>528000241</v>
      </c>
      <c r="C2184" s="27" t="inlineStr">
        <is>
          <t>Balia Nurafif Bilah</t>
        </is>
      </c>
      <c r="D2184" s="171" t="n">
        <v>46235.41666666666</v>
      </c>
      <c r="E2184" s="26" t="n">
        <v>0.5767592592592593</v>
      </c>
      <c r="F2184" s="27" t="inlineStr">
        <is>
          <t>Shift 2</t>
        </is>
      </c>
      <c r="G2184" s="27" t="n"/>
    </row>
    <row r="2185" hidden="1" s="169">
      <c r="A2185" s="27" t="inlineStr">
        <is>
          <t>MK00121</t>
        </is>
      </c>
      <c r="B2185" s="27" t="n">
        <v>528000296</v>
      </c>
      <c r="C2185" s="27" t="inlineStr">
        <is>
          <t>Nurdin</t>
        </is>
      </c>
      <c r="D2185" s="171" t="n">
        <v>46235.41666666666</v>
      </c>
      <c r="E2185" s="26" t="n">
        <v>0.5771759259259259</v>
      </c>
      <c r="F2185" s="27" t="inlineStr">
        <is>
          <t>Shift 2</t>
        </is>
      </c>
      <c r="G2185" s="27" t="n"/>
    </row>
    <row r="2186" hidden="1" s="169">
      <c r="A2186" s="27" t="inlineStr">
        <is>
          <t>MK00235</t>
        </is>
      </c>
      <c r="B2186" s="27" t="n">
        <v>528000273</v>
      </c>
      <c r="C2186" s="27" t="inlineStr">
        <is>
          <t>Asep Mulyana</t>
        </is>
      </c>
      <c r="D2186" s="171" t="n">
        <v>46235.41666666666</v>
      </c>
      <c r="E2186" s="26" t="n">
        <v>0.579849537037037</v>
      </c>
      <c r="F2186" s="27" t="inlineStr">
        <is>
          <t>Shift 2</t>
        </is>
      </c>
      <c r="G2186" s="27" t="n"/>
    </row>
    <row r="2187" hidden="1" s="169">
      <c r="A2187" s="27" t="inlineStr">
        <is>
          <t>MK00109</t>
        </is>
      </c>
      <c r="B2187" s="27" t="n">
        <v>528000090</v>
      </c>
      <c r="C2187" s="27" t="inlineStr">
        <is>
          <t>Suganda</t>
        </is>
      </c>
      <c r="D2187" s="171" t="n">
        <v>46235.41666666666</v>
      </c>
      <c r="E2187" s="26" t="n">
        <v>0.5820949074074074</v>
      </c>
      <c r="F2187" s="27" t="inlineStr">
        <is>
          <t>Shift 2</t>
        </is>
      </c>
      <c r="G2187" s="27" t="n"/>
    </row>
    <row r="2188" hidden="1" s="169">
      <c r="A2188" s="27" t="inlineStr">
        <is>
          <t>MK00208</t>
        </is>
      </c>
      <c r="B2188" s="27" t="n">
        <v>528000290</v>
      </c>
      <c r="C2188" s="27" t="inlineStr">
        <is>
          <t>Eval Pranata</t>
        </is>
      </c>
      <c r="D2188" s="171" t="n">
        <v>46235.41666666666</v>
      </c>
      <c r="E2188" s="26" t="n">
        <v>0.5822337962962963</v>
      </c>
      <c r="F2188" s="27" t="inlineStr">
        <is>
          <t>Shift 2</t>
        </is>
      </c>
      <c r="G2188" s="27" t="n"/>
    </row>
    <row r="2189" hidden="1" s="169">
      <c r="A2189" s="27" t="inlineStr">
        <is>
          <t>MK00112</t>
        </is>
      </c>
      <c r="B2189" s="27" t="n">
        <v>528000212</v>
      </c>
      <c r="C2189" s="27" t="inlineStr">
        <is>
          <t>Rizal Fauzi</t>
        </is>
      </c>
      <c r="D2189" s="171" t="n">
        <v>46235.41666666666</v>
      </c>
      <c r="E2189" s="26" t="n">
        <v>0.5847453703703703</v>
      </c>
      <c r="F2189" s="27" t="inlineStr">
        <is>
          <t>Shift 2</t>
        </is>
      </c>
      <c r="G2189" s="27" t="n"/>
    </row>
    <row r="2190" hidden="1" s="169">
      <c r="A2190" s="27" t="inlineStr">
        <is>
          <t>MK00212</t>
        </is>
      </c>
      <c r="B2190" s="27" t="n">
        <v>528000337</v>
      </c>
      <c r="C2190" s="27" t="inlineStr">
        <is>
          <t>Ahmad Zaldi Firdaus</t>
        </is>
      </c>
      <c r="D2190" s="171" t="n">
        <v>46235.41666666666</v>
      </c>
      <c r="E2190" s="26" t="n">
        <v>0.8690625</v>
      </c>
      <c r="F2190" s="27" t="inlineStr">
        <is>
          <t>Shift 2</t>
        </is>
      </c>
      <c r="G2190" s="27" t="n"/>
    </row>
    <row r="2191" hidden="1" s="169">
      <c r="A2191" s="27" t="inlineStr">
        <is>
          <t>MK00160</t>
        </is>
      </c>
      <c r="B2191" s="27" t="n">
        <v>528000052</v>
      </c>
      <c r="C2191" s="27" t="inlineStr">
        <is>
          <t>Mustopa</t>
        </is>
      </c>
      <c r="D2191" s="171" t="n">
        <v>46235.41666666666</v>
      </c>
      <c r="E2191" s="26" t="n">
        <v>0.8780324074074074</v>
      </c>
      <c r="F2191" s="27" t="inlineStr">
        <is>
          <t>Shift 3</t>
        </is>
      </c>
      <c r="G2191" s="27" t="n"/>
    </row>
    <row r="2192" hidden="1" s="169">
      <c r="A2192" s="27" t="inlineStr">
        <is>
          <t>MK00090</t>
        </is>
      </c>
      <c r="B2192" s="27" t="n">
        <v>528000318</v>
      </c>
      <c r="C2192" s="27" t="inlineStr">
        <is>
          <t>Bayu Padli Sepriyana</t>
        </is>
      </c>
      <c r="D2192" s="171" t="n">
        <v>46235.41666666666</v>
      </c>
      <c r="E2192" s="26" t="n">
        <v>0.8997222222222222</v>
      </c>
      <c r="F2192" s="27" t="inlineStr">
        <is>
          <t>Shift 3</t>
        </is>
      </c>
      <c r="G2192" s="27" t="n"/>
    </row>
    <row r="2193" hidden="1" s="169">
      <c r="A2193" s="27" t="inlineStr">
        <is>
          <t>MK00113</t>
        </is>
      </c>
      <c r="B2193" s="27" t="n">
        <v>528000262</v>
      </c>
      <c r="C2193" s="27" t="inlineStr">
        <is>
          <t>Ndari Dwiwanti</t>
        </is>
      </c>
      <c r="D2193" s="171" t="n">
        <v>46235.41666666666</v>
      </c>
      <c r="E2193" s="26" t="n">
        <v>0.9008912037037037</v>
      </c>
      <c r="F2193" s="27" t="inlineStr">
        <is>
          <t>Shift 3</t>
        </is>
      </c>
      <c r="G2193" s="27" t="n"/>
    </row>
    <row r="2194" hidden="1" s="169">
      <c r="A2194" s="27" t="inlineStr">
        <is>
          <t>MK00213</t>
        </is>
      </c>
      <c r="B2194" s="27" t="n">
        <v>528000358</v>
      </c>
      <c r="C2194" s="27" t="inlineStr">
        <is>
          <t>Lulu Agustin</t>
        </is>
      </c>
      <c r="D2194" s="171" t="n">
        <v>46235.41666666666</v>
      </c>
      <c r="E2194" s="26" t="n">
        <v>0.9032638888888889</v>
      </c>
      <c r="F2194" s="27" t="inlineStr">
        <is>
          <t>Shift 3</t>
        </is>
      </c>
      <c r="G2194" s="27" t="n"/>
    </row>
    <row r="2195" hidden="1" s="169">
      <c r="A2195" s="27" t="inlineStr">
        <is>
          <t>MK00085</t>
        </is>
      </c>
      <c r="B2195" s="27" t="n">
        <v>528000360</v>
      </c>
      <c r="C2195" s="27" t="inlineStr">
        <is>
          <t>Hendra Permana</t>
        </is>
      </c>
      <c r="D2195" s="171" t="n">
        <v>46235.41666666666</v>
      </c>
      <c r="E2195" s="26" t="n">
        <v>0.9090625</v>
      </c>
      <c r="F2195" s="27" t="inlineStr">
        <is>
          <t>Shift 3</t>
        </is>
      </c>
      <c r="G2195" s="27" t="inlineStr">
        <is>
          <t>5C</t>
        </is>
      </c>
    </row>
    <row r="2196" hidden="1" s="169">
      <c r="A2196" s="27" t="inlineStr">
        <is>
          <t>MK00202</t>
        </is>
      </c>
      <c r="B2196" s="27" t="n">
        <v>528000261</v>
      </c>
      <c r="C2196" s="27" t="inlineStr">
        <is>
          <t>Ergi Ergianto</t>
        </is>
      </c>
      <c r="D2196" s="171" t="n">
        <v>46235.41666666666</v>
      </c>
      <c r="E2196" s="26" t="n">
        <v>0.9102314814814815</v>
      </c>
      <c r="F2196" s="27" t="inlineStr">
        <is>
          <t>Shift 3</t>
        </is>
      </c>
      <c r="G2196" s="27" t="n"/>
    </row>
    <row r="2197" hidden="1" s="169">
      <c r="A2197" s="27" t="inlineStr">
        <is>
          <t>MK00082</t>
        </is>
      </c>
      <c r="B2197" s="27" t="n">
        <v>528000291</v>
      </c>
      <c r="C2197" s="27" t="inlineStr">
        <is>
          <t>Andrian</t>
        </is>
      </c>
      <c r="D2197" s="171" t="n">
        <v>46235.41666666666</v>
      </c>
      <c r="E2197" s="26" t="n">
        <v>0.9117708333333333</v>
      </c>
      <c r="F2197" s="27" t="inlineStr">
        <is>
          <t>Shift 3</t>
        </is>
      </c>
      <c r="G2197" s="27" t="n"/>
    </row>
    <row r="2198" hidden="1" s="169">
      <c r="A2198" s="27" t="inlineStr">
        <is>
          <t>MK00154</t>
        </is>
      </c>
      <c r="B2198" s="27" t="n">
        <v>528000283</v>
      </c>
      <c r="C2198" s="27" t="inlineStr">
        <is>
          <t>Purwanda Sugiri</t>
        </is>
      </c>
      <c r="D2198" s="171" t="n">
        <v>46235.41666666666</v>
      </c>
      <c r="E2198" s="26" t="n">
        <v>0.9120254629629629</v>
      </c>
      <c r="F2198" s="27" t="inlineStr">
        <is>
          <t>Shift 3</t>
        </is>
      </c>
      <c r="G2198" s="27" t="n"/>
    </row>
    <row r="2199" hidden="1" s="169">
      <c r="A2199" s="27" t="inlineStr">
        <is>
          <t>MK00108</t>
        </is>
      </c>
      <c r="B2199" s="27" t="n">
        <v>628000064</v>
      </c>
      <c r="C2199" s="27" t="inlineStr">
        <is>
          <t>Silva Alypia</t>
        </is>
      </c>
      <c r="D2199" s="171" t="n">
        <v>46236.41666666666</v>
      </c>
      <c r="E2199" s="26" t="n">
        <v>0.2435300925925926</v>
      </c>
      <c r="F2199" s="27" t="inlineStr">
        <is>
          <t>Shift 1</t>
        </is>
      </c>
      <c r="G2199" s="27" t="n"/>
    </row>
    <row r="2200" hidden="1" s="169">
      <c r="A2200" s="27" t="inlineStr">
        <is>
          <t>MK00138</t>
        </is>
      </c>
      <c r="B2200" s="27" t="n">
        <v>528000300</v>
      </c>
      <c r="C2200" s="27" t="inlineStr">
        <is>
          <t>Lia pitaloka</t>
        </is>
      </c>
      <c r="D2200" s="171" t="n">
        <v>46236.41666666666</v>
      </c>
      <c r="E2200" s="26" t="n">
        <v>0.2475115740740741</v>
      </c>
      <c r="F2200" s="27" t="inlineStr">
        <is>
          <t>Shift 1</t>
        </is>
      </c>
      <c r="G2200" s="27" t="n"/>
    </row>
    <row r="2201" hidden="1" s="169">
      <c r="A2201" s="27" t="inlineStr">
        <is>
          <t>MK00208</t>
        </is>
      </c>
      <c r="B2201" s="27" t="n">
        <v>528000279</v>
      </c>
      <c r="C2201" s="27" t="inlineStr">
        <is>
          <t>Mahdalena Dalfa Riani</t>
        </is>
      </c>
      <c r="D2201" s="171" t="n">
        <v>46236.41666666666</v>
      </c>
      <c r="E2201" s="26" t="n">
        <v>0.2479282407407407</v>
      </c>
      <c r="F2201" s="27" t="inlineStr">
        <is>
          <t>Shift 1</t>
        </is>
      </c>
      <c r="G2201" s="27" t="n"/>
    </row>
    <row r="2202" hidden="1" s="169">
      <c r="A2202" s="27" t="inlineStr">
        <is>
          <t>MK00210</t>
        </is>
      </c>
      <c r="B2202" s="27" t="n">
        <v>528000282</v>
      </c>
      <c r="C2202" s="27" t="inlineStr">
        <is>
          <t>Defa Desfiana</t>
        </is>
      </c>
      <c r="D2202" s="171" t="n">
        <v>46236.41666666666</v>
      </c>
      <c r="E2202" s="26" t="n">
        <v>0.3178356481481481</v>
      </c>
      <c r="F2202" s="27" t="inlineStr">
        <is>
          <t>Shift 1</t>
        </is>
      </c>
      <c r="G2202" s="27" t="inlineStr">
        <is>
          <t>32c</t>
        </is>
      </c>
    </row>
    <row r="2203" hidden="1" s="169">
      <c r="A2203" s="27" t="inlineStr">
        <is>
          <t>MK00154</t>
        </is>
      </c>
      <c r="B2203" s="27" t="n">
        <v>528000265</v>
      </c>
      <c r="C2203" s="27" t="inlineStr">
        <is>
          <t>Muhammad Haerul Rozikin</t>
        </is>
      </c>
      <c r="D2203" s="171" t="n">
        <v>46236.41666666666</v>
      </c>
      <c r="E2203" s="26" t="n">
        <v>0.3235416666666667</v>
      </c>
      <c r="F2203" s="27" t="inlineStr">
        <is>
          <t>Shift 1</t>
        </is>
      </c>
      <c r="G2203" s="27" t="n"/>
    </row>
    <row r="2204" hidden="1" s="169">
      <c r="A2204" s="27" t="inlineStr">
        <is>
          <t>MK00209</t>
        </is>
      </c>
      <c r="B2204" s="27" t="n">
        <v>528000351</v>
      </c>
      <c r="C2204" s="27" t="inlineStr">
        <is>
          <t>Mulyana</t>
        </is>
      </c>
      <c r="D2204" s="47" t="n">
        <v>46089</v>
      </c>
      <c r="E2204" s="26" t="n">
        <v>0.3276041666666666</v>
      </c>
      <c r="F2204" s="27" t="inlineStr">
        <is>
          <t>Shift 1</t>
        </is>
      </c>
      <c r="G2204" s="27" t="n"/>
    </row>
    <row r="2205" hidden="1" s="169">
      <c r="A2205" s="27" t="inlineStr">
        <is>
          <t>MK00181</t>
        </is>
      </c>
      <c r="B2205" s="27" t="n">
        <v>528000310</v>
      </c>
      <c r="C2205" s="27" t="inlineStr">
        <is>
          <t>Fachrul Rozzi Suryana</t>
        </is>
      </c>
      <c r="D2205" s="47" t="n">
        <v>46089</v>
      </c>
      <c r="E2205" s="26" t="n">
        <v>0.329525462962963</v>
      </c>
      <c r="F2205" s="27" t="inlineStr">
        <is>
          <t>Shift 1</t>
        </is>
      </c>
      <c r="G2205" s="27" t="inlineStr">
        <is>
          <t>33E</t>
        </is>
      </c>
    </row>
    <row r="2206" hidden="1" s="169">
      <c r="A2206" s="27" t="inlineStr">
        <is>
          <t>MK00093</t>
        </is>
      </c>
      <c r="B2206" s="27" t="n">
        <v>528000267</v>
      </c>
      <c r="C2206" s="27" t="inlineStr">
        <is>
          <t>Bagas Patulloh</t>
        </is>
      </c>
      <c r="D2206" s="47" t="n">
        <v>46089</v>
      </c>
      <c r="E2206" s="26" t="n">
        <v>0.3359027777777778</v>
      </c>
      <c r="F2206" s="27" t="inlineStr">
        <is>
          <t>Shift 1</t>
        </is>
      </c>
      <c r="G2206" s="27" t="n"/>
    </row>
    <row r="2207" hidden="1" s="169">
      <c r="A2207" s="27" t="inlineStr">
        <is>
          <t>MK00150</t>
        </is>
      </c>
      <c r="B2207" s="27" t="n">
        <v>528000232</v>
      </c>
      <c r="C2207" s="27" t="inlineStr">
        <is>
          <t>Agung Aji Suhada</t>
        </is>
      </c>
      <c r="D2207" s="47" t="n">
        <v>46089</v>
      </c>
      <c r="E2207" s="26" t="n">
        <v>0.361400462962963</v>
      </c>
      <c r="F2207" s="27" t="inlineStr">
        <is>
          <t>Shift 1</t>
        </is>
      </c>
      <c r="G2207" s="27" t="n"/>
    </row>
    <row r="2208" hidden="1" s="169">
      <c r="A2208" s="27" t="inlineStr">
        <is>
          <t>MK00141</t>
        </is>
      </c>
      <c r="B2208" s="27" t="n">
        <v>528000040</v>
      </c>
      <c r="C2208" s="27" t="inlineStr">
        <is>
          <t>Agus Suryaman</t>
        </is>
      </c>
      <c r="D2208" s="47" t="n">
        <v>46089</v>
      </c>
      <c r="E2208" s="26" t="n">
        <v>0.3687615740740741</v>
      </c>
      <c r="F2208" s="27" t="inlineStr">
        <is>
          <t>Shift 1</t>
        </is>
      </c>
      <c r="G2208" s="27" t="n"/>
    </row>
    <row r="2209" hidden="1" s="169">
      <c r="A2209" s="27" t="inlineStr">
        <is>
          <t>MK00205</t>
        </is>
      </c>
      <c r="B2209" s="27" t="n">
        <v>528000348</v>
      </c>
      <c r="C2209" s="27" t="inlineStr">
        <is>
          <t>Saepuloh Ardiansah</t>
        </is>
      </c>
      <c r="D2209" s="47" t="n">
        <v>46089</v>
      </c>
      <c r="E2209" s="26" t="n">
        <v>0.3716435185185185</v>
      </c>
      <c r="F2209" s="27" t="inlineStr">
        <is>
          <t>Shift 1</t>
        </is>
      </c>
      <c r="G2209" s="27" t="n"/>
    </row>
    <row r="2210" hidden="1" s="169">
      <c r="A2210" s="27" t="inlineStr">
        <is>
          <t>MK00185</t>
        </is>
      </c>
      <c r="B2210" s="27" t="n">
        <v>528000349</v>
      </c>
      <c r="C2210" s="27" t="inlineStr">
        <is>
          <t>Anas Abdul Fatah</t>
        </is>
      </c>
      <c r="D2210" s="47" t="n">
        <v>46089</v>
      </c>
      <c r="E2210" s="26" t="n">
        <v>0.4077083333333333</v>
      </c>
      <c r="F2210" s="27" t="inlineStr">
        <is>
          <t>Shift 1</t>
        </is>
      </c>
      <c r="G2210" s="27" t="n"/>
    </row>
    <row r="2211" hidden="1" s="169">
      <c r="A2211" s="27" t="inlineStr">
        <is>
          <t>MK00192</t>
        </is>
      </c>
      <c r="B2211" s="27" t="n">
        <v>528000201</v>
      </c>
      <c r="C2211" s="27" t="inlineStr">
        <is>
          <t>Zahwa Amelia Choerunissa</t>
        </is>
      </c>
      <c r="D2211" s="47" t="n">
        <v>46089</v>
      </c>
      <c r="E2211" s="26" t="n">
        <v>0.5708333333333333</v>
      </c>
      <c r="F2211" s="27" t="inlineStr">
        <is>
          <t>Shift 2</t>
        </is>
      </c>
      <c r="G2211" s="27" t="n"/>
    </row>
    <row r="2212" hidden="1" s="169">
      <c r="A2212" s="27" t="inlineStr">
        <is>
          <t>MK00136</t>
        </is>
      </c>
      <c r="B2212" s="27" t="n">
        <v>528000339</v>
      </c>
      <c r="C2212" s="27" t="inlineStr">
        <is>
          <t>Muhamad Ripai'i</t>
        </is>
      </c>
      <c r="D2212" s="47" t="n">
        <v>46089</v>
      </c>
      <c r="E2212" s="26" t="n">
        <v>0.5713078703703703</v>
      </c>
      <c r="F2212" s="27" t="inlineStr">
        <is>
          <t>Shift 2</t>
        </is>
      </c>
      <c r="G2212" s="27" t="n"/>
    </row>
    <row r="2213" hidden="1" s="169">
      <c r="A2213" s="27" t="inlineStr">
        <is>
          <t>MK00230</t>
        </is>
      </c>
      <c r="B2213" s="27" t="n">
        <v>528000286</v>
      </c>
      <c r="C2213" s="27" t="inlineStr">
        <is>
          <t>Imelda Amelia</t>
        </is>
      </c>
      <c r="D2213" s="47" t="n">
        <v>46089</v>
      </c>
      <c r="E2213" s="26" t="n">
        <v>0.5715509259259259</v>
      </c>
      <c r="F2213" s="27" t="inlineStr">
        <is>
          <t>Shift 2</t>
        </is>
      </c>
      <c r="G2213" s="27" t="n"/>
    </row>
    <row r="2214" hidden="1" s="169">
      <c r="A2214" s="27" t="inlineStr">
        <is>
          <t>MK00145</t>
        </is>
      </c>
      <c r="B2214" s="27" t="n">
        <v>528000289</v>
      </c>
      <c r="C2214" s="27" t="inlineStr">
        <is>
          <t>Adit Supriyadi</t>
        </is>
      </c>
      <c r="D2214" s="47" t="n">
        <v>46089</v>
      </c>
      <c r="E2214" s="26" t="n">
        <v>0.5730671296296296</v>
      </c>
      <c r="F2214" s="27" t="inlineStr">
        <is>
          <t>Shift 2</t>
        </is>
      </c>
      <c r="G2214" s="27" t="n"/>
    </row>
    <row r="2215" hidden="1" s="169">
      <c r="A2215" s="27" t="inlineStr">
        <is>
          <t>MK00116</t>
        </is>
      </c>
      <c r="B2215" s="27" t="n">
        <v>528000273</v>
      </c>
      <c r="C2215" s="27" t="inlineStr">
        <is>
          <t>Asep Mulyana</t>
        </is>
      </c>
      <c r="D2215" s="47" t="n">
        <v>46089</v>
      </c>
      <c r="E2215" s="26" t="n">
        <v>0.5764583333333333</v>
      </c>
      <c r="F2215" s="27" t="inlineStr">
        <is>
          <t>Shift 2</t>
        </is>
      </c>
      <c r="G2215" s="27" t="n"/>
    </row>
    <row r="2216" hidden="1" s="169">
      <c r="A2216" s="27" t="inlineStr">
        <is>
          <t>MK00250</t>
        </is>
      </c>
      <c r="B2216" s="27" t="n">
        <v>528000090</v>
      </c>
      <c r="C2216" s="27" t="inlineStr">
        <is>
          <t>Suganda</t>
        </is>
      </c>
      <c r="D2216" s="47" t="n">
        <v>46089</v>
      </c>
      <c r="E2216" s="26" t="n">
        <v>0.5788310185185185</v>
      </c>
      <c r="F2216" s="27" t="inlineStr">
        <is>
          <t>Shift 2</t>
        </is>
      </c>
      <c r="G2216" s="27" t="n"/>
    </row>
    <row r="2217" hidden="1" s="169">
      <c r="A2217" s="27" t="inlineStr">
        <is>
          <t>MK00217</t>
        </is>
      </c>
      <c r="B2217" s="27" t="n">
        <v>528000241</v>
      </c>
      <c r="C2217" s="27" t="inlineStr">
        <is>
          <t>Balia Nurafif Bilah</t>
        </is>
      </c>
      <c r="D2217" s="47" t="n">
        <v>46089</v>
      </c>
      <c r="E2217" s="26" t="n">
        <v>0.579849537037037</v>
      </c>
      <c r="F2217" s="27" t="inlineStr">
        <is>
          <t>Shift 2</t>
        </is>
      </c>
      <c r="G2217" s="27" t="n"/>
    </row>
    <row r="2218" hidden="1" s="169">
      <c r="A2218" s="27" t="inlineStr">
        <is>
          <t>MK00008</t>
        </is>
      </c>
      <c r="B2218" s="27" t="n">
        <v>528000274</v>
      </c>
      <c r="C2218" s="27" t="inlineStr">
        <is>
          <t>Zepri</t>
        </is>
      </c>
      <c r="D2218" s="47" t="n">
        <v>46089</v>
      </c>
      <c r="E2218" s="26" t="n">
        <v>0.5799421296296297</v>
      </c>
      <c r="F2218" s="27" t="inlineStr">
        <is>
          <t>Shift 2</t>
        </is>
      </c>
      <c r="G2218" s="27" t="n"/>
    </row>
    <row r="2219" hidden="1" s="169">
      <c r="A2219" s="27" t="inlineStr">
        <is>
          <t>MK00109</t>
        </is>
      </c>
      <c r="B2219" s="27" t="n">
        <v>528000290</v>
      </c>
      <c r="C2219" s="27" t="inlineStr">
        <is>
          <t>Eval Pranata</t>
        </is>
      </c>
      <c r="D2219" s="47" t="n">
        <v>46089</v>
      </c>
      <c r="E2219" s="26" t="n">
        <v>0.5832523148148148</v>
      </c>
      <c r="F2219" s="27" t="inlineStr">
        <is>
          <t>Shift 2</t>
        </is>
      </c>
      <c r="G2219" s="27" t="n"/>
    </row>
    <row r="2220" hidden="1" s="169">
      <c r="A2220" s="27" t="inlineStr">
        <is>
          <t>MK00156</t>
        </is>
      </c>
      <c r="B2220" s="27" t="n">
        <v>528000212</v>
      </c>
      <c r="C2220" s="27" t="inlineStr">
        <is>
          <t>Rizal Fauzi</t>
        </is>
      </c>
      <c r="D2220" s="47" t="n">
        <v>46089</v>
      </c>
      <c r="E2220" s="26" t="n">
        <v>0.5839004629629629</v>
      </c>
      <c r="F2220" s="27" t="inlineStr">
        <is>
          <t>Shift 2</t>
        </is>
      </c>
      <c r="G2220" s="27" t="n"/>
    </row>
    <row r="2221" hidden="1" s="169">
      <c r="A2221" s="27" t="inlineStr">
        <is>
          <t>MK00221</t>
        </is>
      </c>
      <c r="B2221" s="27" t="n">
        <v>528000144</v>
      </c>
      <c r="C2221" s="27" t="inlineStr">
        <is>
          <t>Jodi Hanafi</t>
        </is>
      </c>
      <c r="D2221" s="47" t="n">
        <v>46089</v>
      </c>
      <c r="E2221" s="26" t="n">
        <v>0.6599189814814815</v>
      </c>
      <c r="F2221" s="27" t="inlineStr">
        <is>
          <t>Shift 2</t>
        </is>
      </c>
      <c r="G2221" s="27" t="n"/>
    </row>
    <row r="2222" hidden="1" s="169">
      <c r="A2222" s="27" t="inlineStr">
        <is>
          <t>MK0130</t>
        </is>
      </c>
      <c r="B2222" s="27" t="n">
        <v>528000149</v>
      </c>
      <c r="C2222" s="27" t="inlineStr">
        <is>
          <t>Tio Fernanda</t>
        </is>
      </c>
      <c r="D2222" s="47" t="n">
        <v>46089</v>
      </c>
      <c r="E2222" s="26" t="n">
        <v>0.6600694444444445</v>
      </c>
      <c r="F2222" s="27" t="inlineStr">
        <is>
          <t>Shift 2</t>
        </is>
      </c>
      <c r="G2222" s="27" t="n"/>
    </row>
    <row r="2223" hidden="1" s="169">
      <c r="A2223" s="27" t="inlineStr">
        <is>
          <t>MK00204</t>
        </is>
      </c>
      <c r="B2223" s="27" t="n">
        <v>528000335</v>
      </c>
      <c r="C2223" s="27" t="inlineStr">
        <is>
          <t>Rizal Saepuloh</t>
        </is>
      </c>
      <c r="D2223" s="47" t="n">
        <v>46089</v>
      </c>
      <c r="E2223" s="26" t="n">
        <v>0.6688773148148148</v>
      </c>
      <c r="F2223" s="27" t="inlineStr">
        <is>
          <t>Shift 2</t>
        </is>
      </c>
      <c r="G2223" s="27" t="n"/>
    </row>
    <row r="2224" hidden="1" s="169">
      <c r="A2224" s="27" t="inlineStr">
        <is>
          <t>MK00209</t>
        </is>
      </c>
      <c r="B2224" s="27" t="n">
        <v>528000337</v>
      </c>
      <c r="C2224" s="27" t="inlineStr">
        <is>
          <t>Ahmad Zaldi Firdaus</t>
        </is>
      </c>
      <c r="D2224" s="47" t="n">
        <v>46089</v>
      </c>
      <c r="E2224" s="26" t="n">
        <v>0.8679513888888889</v>
      </c>
      <c r="F2224" s="27" t="inlineStr">
        <is>
          <t>Shift 2</t>
        </is>
      </c>
      <c r="G2224" s="27" t="n"/>
    </row>
    <row r="2225" hidden="1" s="169">
      <c r="A2225" s="27" t="inlineStr">
        <is>
          <t>MK00185</t>
        </is>
      </c>
      <c r="B2225" s="27" t="n">
        <v>528000336</v>
      </c>
      <c r="C2225" s="27" t="inlineStr">
        <is>
          <t>Ali Nurhanafi</t>
        </is>
      </c>
      <c r="D2225" s="47" t="n">
        <v>46089</v>
      </c>
      <c r="E2225" s="26" t="n">
        <v>0.8774189814814815</v>
      </c>
      <c r="F2225" s="27" t="inlineStr">
        <is>
          <t>Shift 3</t>
        </is>
      </c>
      <c r="G2225" s="27" t="n"/>
    </row>
    <row r="2226" hidden="1" s="169">
      <c r="A2226" s="27" t="inlineStr">
        <is>
          <t>MK00154</t>
        </is>
      </c>
      <c r="B2226" s="27" t="n">
        <v>528000052</v>
      </c>
      <c r="C2226" s="27" t="inlineStr">
        <is>
          <t>Mustopa</t>
        </is>
      </c>
      <c r="D2226" s="47" t="n">
        <v>46089</v>
      </c>
      <c r="E2226" s="26" t="n">
        <v>0.8787847222222223</v>
      </c>
      <c r="F2226" s="27" t="inlineStr">
        <is>
          <t>Shift 3</t>
        </is>
      </c>
      <c r="G2226" s="27" t="n"/>
    </row>
    <row r="2227" hidden="1" s="169">
      <c r="A2227" s="27" t="inlineStr">
        <is>
          <t>MK00181</t>
        </is>
      </c>
      <c r="B2227" s="27" t="n">
        <v>528000323</v>
      </c>
      <c r="C2227" s="27" t="inlineStr">
        <is>
          <t>Dian Hamidah</t>
        </is>
      </c>
      <c r="D2227" s="47" t="n">
        <v>46089</v>
      </c>
      <c r="E2227" s="26" t="n">
        <v>0.9042245370370371</v>
      </c>
      <c r="F2227" s="27" t="inlineStr">
        <is>
          <t>Shift 3</t>
        </is>
      </c>
      <c r="G2227" s="27" t="n"/>
    </row>
    <row r="2228" hidden="1" s="169">
      <c r="A2228" s="27" t="inlineStr">
        <is>
          <t>MK00235</t>
        </is>
      </c>
      <c r="B2228" s="27" t="n">
        <v>528000358</v>
      </c>
      <c r="C2228" s="27" t="inlineStr">
        <is>
          <t>Lulu Agustin</t>
        </is>
      </c>
      <c r="D2228" s="47" t="n">
        <v>46089</v>
      </c>
      <c r="E2228" s="26" t="n">
        <v>0.9074421296296297</v>
      </c>
      <c r="F2228" s="27" t="inlineStr">
        <is>
          <t>Shift 3</t>
        </is>
      </c>
      <c r="G2228" s="27" t="n"/>
    </row>
    <row r="2229" hidden="1" s="169">
      <c r="A2229" s="27" t="inlineStr">
        <is>
          <t>MK00088</t>
        </is>
      </c>
      <c r="B2229" s="27" t="n">
        <v>528000262</v>
      </c>
      <c r="C2229" s="27" t="inlineStr">
        <is>
          <t>Ndari Dwiwanti</t>
        </is>
      </c>
      <c r="D2229" s="47" t="n">
        <v>46089</v>
      </c>
      <c r="E2229" s="26" t="n">
        <v>0.9078587962962963</v>
      </c>
      <c r="F2229" s="27" t="inlineStr">
        <is>
          <t>Shift 3</t>
        </is>
      </c>
      <c r="G2229" s="27" t="n"/>
    </row>
    <row r="2230" hidden="1" s="169">
      <c r="A2230" s="27" t="inlineStr">
        <is>
          <t>MK00249</t>
        </is>
      </c>
      <c r="B2230" s="27" t="n">
        <v>528000291</v>
      </c>
      <c r="C2230" s="27" t="inlineStr">
        <is>
          <t>Andrian</t>
        </is>
      </c>
      <c r="D2230" s="47" t="n">
        <v>46089</v>
      </c>
      <c r="E2230" s="26" t="n">
        <v>0.9119560185185185</v>
      </c>
      <c r="F2230" s="27" t="inlineStr">
        <is>
          <t>Shift 3</t>
        </is>
      </c>
      <c r="G2230" s="27" t="n"/>
    </row>
    <row r="2231" hidden="1" s="169">
      <c r="A2231" s="27" t="inlineStr">
        <is>
          <t>MK00218</t>
        </is>
      </c>
      <c r="B2231" s="27" t="n">
        <v>528000283</v>
      </c>
      <c r="C2231" s="27" t="inlineStr">
        <is>
          <t>Purwanda Sugiri</t>
        </is>
      </c>
      <c r="D2231" s="47" t="n">
        <v>46089</v>
      </c>
      <c r="E2231" s="26" t="n">
        <v>0.9123263888888888</v>
      </c>
      <c r="F2231" s="27" t="inlineStr">
        <is>
          <t>Shift 3</t>
        </is>
      </c>
      <c r="G2231" s="27" t="n"/>
    </row>
    <row r="2232" hidden="1" s="169">
      <c r="A2232" s="27" t="inlineStr">
        <is>
          <t>MK00208</t>
        </is>
      </c>
      <c r="B2232" s="27" t="n">
        <v>528000360</v>
      </c>
      <c r="C2232" s="27" t="inlineStr">
        <is>
          <t>Hendra Permana</t>
        </is>
      </c>
      <c r="D2232" s="47" t="n">
        <v>46089</v>
      </c>
      <c r="E2232" s="26" t="n">
        <v>0.912962962962963</v>
      </c>
      <c r="F2232" s="27" t="inlineStr">
        <is>
          <t>Shift 3</t>
        </is>
      </c>
      <c r="G2232" s="27" t="inlineStr">
        <is>
          <t>8E</t>
        </is>
      </c>
    </row>
    <row r="2233" hidden="1" s="169">
      <c r="A2233" s="27" t="inlineStr">
        <is>
          <t>MK00108</t>
        </is>
      </c>
      <c r="B2233" s="27" t="n">
        <v>528000282</v>
      </c>
      <c r="C2233" s="27" t="inlineStr">
        <is>
          <t>Defa Desfiana</t>
        </is>
      </c>
      <c r="D2233" s="47" t="n">
        <v>46120</v>
      </c>
      <c r="E2233" s="26" t="n">
        <v>0.2394907407407408</v>
      </c>
      <c r="F2233" s="27" t="inlineStr">
        <is>
          <t>Shift 1</t>
        </is>
      </c>
      <c r="G2233" s="27" t="inlineStr">
        <is>
          <t>4b</t>
        </is>
      </c>
    </row>
    <row r="2234" hidden="1" s="169">
      <c r="A2234" s="27" t="inlineStr">
        <is>
          <t>MK00109</t>
        </is>
      </c>
      <c r="B2234" s="27" t="n">
        <v>628000064</v>
      </c>
      <c r="C2234" s="27" t="inlineStr">
        <is>
          <t>Silva Alypia</t>
        </is>
      </c>
      <c r="D2234" s="47" t="n">
        <v>46120</v>
      </c>
      <c r="E2234" s="26" t="n">
        <v>0.2428472222222222</v>
      </c>
      <c r="F2234" s="27" t="inlineStr">
        <is>
          <t>Shift 1</t>
        </is>
      </c>
      <c r="G2234" s="27" t="n"/>
    </row>
    <row r="2235" hidden="1" s="169">
      <c r="A2235" s="27" t="inlineStr">
        <is>
          <t>MK00192</t>
        </is>
      </c>
      <c r="B2235" s="27" t="n">
        <v>528000265</v>
      </c>
      <c r="C2235" s="27" t="inlineStr">
        <is>
          <t>Muhammad Haerul Rozikin</t>
        </is>
      </c>
      <c r="D2235" s="47" t="n">
        <v>46120</v>
      </c>
      <c r="E2235" s="26" t="n">
        <v>0.2478009259259259</v>
      </c>
      <c r="F2235" s="27" t="inlineStr">
        <is>
          <t>Shift 1</t>
        </is>
      </c>
      <c r="G2235" s="27" t="n"/>
    </row>
    <row r="2236" hidden="1" s="169">
      <c r="A2236" s="27" t="inlineStr">
        <is>
          <t>MK00250</t>
        </is>
      </c>
      <c r="B2236" s="27" t="n">
        <v>528000300</v>
      </c>
      <c r="C2236" s="27" t="inlineStr">
        <is>
          <t>Lia pitaloka</t>
        </is>
      </c>
      <c r="D2236" s="47" t="n">
        <v>46120</v>
      </c>
      <c r="E2236" s="26" t="n">
        <v>0.2485416666666667</v>
      </c>
      <c r="F2236" s="27" t="inlineStr">
        <is>
          <t>Shift 1</t>
        </is>
      </c>
      <c r="G2236" s="27" t="n"/>
    </row>
    <row r="2237" hidden="1" s="169">
      <c r="A2237" s="27" t="inlineStr">
        <is>
          <t>MK00145</t>
        </is>
      </c>
      <c r="B2237" s="27" t="n">
        <v>528000279</v>
      </c>
      <c r="C2237" s="27" t="inlineStr">
        <is>
          <t>Mahdalena Dalfa Riani</t>
        </is>
      </c>
      <c r="D2237" s="47" t="n">
        <v>46120</v>
      </c>
      <c r="E2237" s="26" t="n">
        <v>0.2501388888888889</v>
      </c>
      <c r="F2237" s="27" t="inlineStr">
        <is>
          <t>Shift 1</t>
        </is>
      </c>
      <c r="G2237" s="27" t="n"/>
    </row>
    <row r="2238" hidden="1" s="169">
      <c r="A2238" s="27" t="inlineStr">
        <is>
          <t>MK00095</t>
        </is>
      </c>
      <c r="B2238" s="27" t="n">
        <v>528000310</v>
      </c>
      <c r="C2238" s="27" t="inlineStr">
        <is>
          <t>Fachrul Rozzi Suryana</t>
        </is>
      </c>
      <c r="D2238" s="47" t="n">
        <v>46120</v>
      </c>
      <c r="E2238" s="26" t="n">
        <v>0.2517824074074074</v>
      </c>
      <c r="F2238" s="27" t="inlineStr">
        <is>
          <t>Shift 1</t>
        </is>
      </c>
      <c r="G2238" s="27" t="n"/>
    </row>
    <row r="2239" hidden="1" s="169">
      <c r="A2239" s="27" t="inlineStr">
        <is>
          <t>MK00218</t>
        </is>
      </c>
      <c r="B2239" s="27" t="n">
        <v>528000351</v>
      </c>
      <c r="C2239" s="27" t="inlineStr">
        <is>
          <t>Mulyana</t>
        </is>
      </c>
      <c r="D2239" s="47" t="n">
        <v>46120</v>
      </c>
      <c r="E2239" s="26" t="n">
        <v>0.3297800925925926</v>
      </c>
      <c r="F2239" s="27" t="inlineStr">
        <is>
          <t>Shift 1</t>
        </is>
      </c>
      <c r="G2239" s="27" t="n"/>
    </row>
    <row r="2240" hidden="1" s="169">
      <c r="A2240" s="27" t="inlineStr">
        <is>
          <t>MK00093</t>
        </is>
      </c>
      <c r="B2240" s="27" t="n">
        <v>528000267</v>
      </c>
      <c r="C2240" s="27" t="inlineStr">
        <is>
          <t>Bagas Patulloh</t>
        </is>
      </c>
      <c r="D2240" s="47" t="n">
        <v>46120</v>
      </c>
      <c r="E2240" s="26" t="n">
        <v>0.3337268518518519</v>
      </c>
      <c r="F2240" s="27" t="inlineStr">
        <is>
          <t>Shift 1</t>
        </is>
      </c>
      <c r="G2240" s="27" t="n"/>
    </row>
    <row r="2241" hidden="1" s="169">
      <c r="A2241" s="27" t="inlineStr">
        <is>
          <t>MK00141</t>
        </is>
      </c>
      <c r="B2241" s="27" t="n">
        <v>528000040</v>
      </c>
      <c r="C2241" s="27" t="inlineStr">
        <is>
          <t>Agus Suryaman</t>
        </is>
      </c>
      <c r="D2241" s="47" t="n">
        <v>46120</v>
      </c>
      <c r="E2241" s="26" t="n">
        <v>0.3479861111111111</v>
      </c>
      <c r="F2241" s="27" t="inlineStr">
        <is>
          <t>Shift 1</t>
        </is>
      </c>
      <c r="G2241" s="27" t="n"/>
    </row>
    <row r="2242" hidden="1" s="169">
      <c r="A2242" s="27" t="inlineStr">
        <is>
          <t>MK00205</t>
        </is>
      </c>
      <c r="B2242" s="27" t="n">
        <v>528000348</v>
      </c>
      <c r="C2242" s="27" t="inlineStr">
        <is>
          <t>Saepuloh Ardiansah</t>
        </is>
      </c>
      <c r="D2242" s="47" t="n">
        <v>46120</v>
      </c>
      <c r="E2242" s="26" t="n">
        <v>0.3531134259259259</v>
      </c>
      <c r="F2242" s="27" t="inlineStr">
        <is>
          <t>Shift 1</t>
        </is>
      </c>
      <c r="G2242" s="27" t="n"/>
    </row>
    <row r="2243" hidden="1" s="169">
      <c r="A2243" s="27" t="inlineStr">
        <is>
          <t>MK00205</t>
        </is>
      </c>
      <c r="B2243" s="27" t="n">
        <v>528000348</v>
      </c>
      <c r="C2243" s="27" t="inlineStr">
        <is>
          <t>Saepuloh Ardiansah</t>
        </is>
      </c>
      <c r="D2243" s="47" t="n">
        <v>46120</v>
      </c>
      <c r="E2243" s="26" t="n">
        <v>0.3539814814814815</v>
      </c>
      <c r="F2243" s="27" t="inlineStr">
        <is>
          <t>Shift 1</t>
        </is>
      </c>
      <c r="G2243" s="27" t="n"/>
    </row>
    <row r="2244" hidden="1" s="169">
      <c r="A2244" s="27" t="inlineStr">
        <is>
          <t>MK00150</t>
        </is>
      </c>
      <c r="B2244" s="27" t="n">
        <v>528000232</v>
      </c>
      <c r="C2244" s="27" t="inlineStr">
        <is>
          <t>Agung Aji Suhada</t>
        </is>
      </c>
      <c r="D2244" s="47" t="n">
        <v>46120</v>
      </c>
      <c r="E2244" s="26" t="n">
        <v>0.3602662037037037</v>
      </c>
      <c r="F2244" s="27" t="inlineStr">
        <is>
          <t>Shift 1</t>
        </is>
      </c>
      <c r="G2244" s="27" t="n"/>
    </row>
    <row r="2245" hidden="1" s="169">
      <c r="A2245" s="27" t="inlineStr">
        <is>
          <t>MK00213</t>
        </is>
      </c>
      <c r="B2245" s="27" t="n">
        <v>528000349</v>
      </c>
      <c r="C2245" s="27" t="inlineStr">
        <is>
          <t>Anas Abdul Fatah</t>
        </is>
      </c>
      <c r="D2245" s="47" t="n">
        <v>46120</v>
      </c>
      <c r="E2245" s="26" t="n">
        <v>0.4049421296296296</v>
      </c>
      <c r="F2245" s="27" t="inlineStr">
        <is>
          <t>Shift 1</t>
        </is>
      </c>
      <c r="G2245" s="27" t="n"/>
    </row>
    <row r="2246" hidden="1" s="169">
      <c r="A2246" s="27" t="inlineStr">
        <is>
          <t>MK00250</t>
        </is>
      </c>
      <c r="B2246" s="27" t="n">
        <v>528000288</v>
      </c>
      <c r="C2246" s="27" t="inlineStr">
        <is>
          <t>Dede gunawan</t>
        </is>
      </c>
      <c r="D2246" s="47" t="n">
        <v>46120</v>
      </c>
      <c r="E2246" s="26" t="n">
        <v>0.4081944444444445</v>
      </c>
      <c r="F2246" s="27" t="inlineStr">
        <is>
          <t>Shift 1</t>
        </is>
      </c>
      <c r="G2246" s="27" t="n"/>
    </row>
    <row r="2247" hidden="1" s="169">
      <c r="A2247" s="27" t="inlineStr">
        <is>
          <t>MK00208</t>
        </is>
      </c>
      <c r="B2247" s="27" t="n">
        <v>528000339</v>
      </c>
      <c r="C2247" s="27" t="inlineStr">
        <is>
          <t>Muhamad Ripai'i</t>
        </is>
      </c>
      <c r="D2247" s="47" t="n">
        <v>46120</v>
      </c>
      <c r="E2247" s="26" t="n">
        <v>0.550625</v>
      </c>
      <c r="F2247" s="27" t="inlineStr">
        <is>
          <t>Shift 2</t>
        </is>
      </c>
      <c r="G2247" s="27" t="n"/>
    </row>
    <row r="2248" hidden="1" s="169">
      <c r="A2248" s="27" t="inlineStr">
        <is>
          <t>MK00136</t>
        </is>
      </c>
      <c r="B2248" s="27" t="n">
        <v>528000201</v>
      </c>
      <c r="C2248" s="27" t="inlineStr">
        <is>
          <t>Zahwa Amelia Choerunissa</t>
        </is>
      </c>
      <c r="D2248" s="47" t="n">
        <v>46120</v>
      </c>
      <c r="E2248" s="26" t="n">
        <v>0.5691666666666667</v>
      </c>
      <c r="F2248" s="27" t="inlineStr">
        <is>
          <t>Shift 2</t>
        </is>
      </c>
      <c r="G2248" s="27" t="n"/>
    </row>
    <row r="2249" hidden="1" s="169">
      <c r="A2249" s="27" t="inlineStr">
        <is>
          <t>MK00143</t>
        </is>
      </c>
      <c r="B2249" s="27" t="n">
        <v>528000286</v>
      </c>
      <c r="C2249" s="27" t="inlineStr">
        <is>
          <t>Imelda Amelia</t>
        </is>
      </c>
      <c r="D2249" s="47" t="n">
        <v>46120</v>
      </c>
      <c r="E2249" s="26" t="n">
        <v>0.5697800925925925</v>
      </c>
      <c r="F2249" s="27" t="inlineStr">
        <is>
          <t>Shift 2</t>
        </is>
      </c>
      <c r="G2249" s="27" t="n"/>
    </row>
    <row r="2250" hidden="1" s="169">
      <c r="A2250" s="27" t="inlineStr">
        <is>
          <t>MK00212</t>
        </is>
      </c>
      <c r="B2250" s="27" t="n">
        <v>528000228</v>
      </c>
      <c r="C2250" s="27" t="inlineStr">
        <is>
          <t>Banyu Resmi Putri</t>
        </is>
      </c>
      <c r="D2250" s="47" t="n">
        <v>46120</v>
      </c>
      <c r="E2250" s="26" t="n">
        <v>0.5704513888888889</v>
      </c>
      <c r="F2250" s="27" t="inlineStr">
        <is>
          <t>Shift 2</t>
        </is>
      </c>
      <c r="G2250" s="27" t="n"/>
    </row>
    <row r="2251" hidden="1" s="169">
      <c r="A2251" s="27" t="inlineStr">
        <is>
          <t>MK00186</t>
        </is>
      </c>
      <c r="B2251" s="27" t="n">
        <v>528000289</v>
      </c>
      <c r="C2251" s="27" t="inlineStr">
        <is>
          <t>Adit Supriyadi</t>
        </is>
      </c>
      <c r="D2251" s="47" t="n">
        <v>46120</v>
      </c>
      <c r="E2251" s="26" t="n">
        <v>0.5767592592592593</v>
      </c>
      <c r="F2251" s="27" t="inlineStr">
        <is>
          <t>Shift 2</t>
        </is>
      </c>
      <c r="G2251" s="27" t="n"/>
    </row>
    <row r="2252" hidden="1" s="169">
      <c r="A2252" s="27" t="inlineStr">
        <is>
          <t>MK00085</t>
        </is>
      </c>
      <c r="B2252" s="27" t="n">
        <v>528000273</v>
      </c>
      <c r="C2252" s="27" t="inlineStr">
        <is>
          <t>Asep Mulyana</t>
        </is>
      </c>
      <c r="D2252" s="47" t="n">
        <v>46120</v>
      </c>
      <c r="E2252" s="26" t="n">
        <v>0.5780555555555555</v>
      </c>
      <c r="F2252" s="27" t="inlineStr">
        <is>
          <t>Shift 2</t>
        </is>
      </c>
      <c r="G2252" s="27" t="n"/>
    </row>
    <row r="2253" hidden="1" s="169">
      <c r="A2253" s="27" t="inlineStr">
        <is>
          <t>MK00184</t>
        </is>
      </c>
      <c r="B2253" s="27" t="n">
        <v>528000090</v>
      </c>
      <c r="C2253" s="27" t="inlineStr">
        <is>
          <t>Suganda</t>
        </is>
      </c>
      <c r="D2253" s="47" t="n">
        <v>46120</v>
      </c>
      <c r="E2253" s="26" t="n">
        <v>0.5798032407407407</v>
      </c>
      <c r="F2253" s="27" t="inlineStr">
        <is>
          <t>Shift 2</t>
        </is>
      </c>
      <c r="G2253" s="27" t="n"/>
    </row>
    <row r="2254" hidden="1" s="169">
      <c r="A2254" s="27" t="inlineStr">
        <is>
          <t>MK00008</t>
        </is>
      </c>
      <c r="B2254" s="27" t="n">
        <v>528000359</v>
      </c>
      <c r="C2254" s="27" t="inlineStr">
        <is>
          <t>M. Iqbal Maulana. S</t>
        </is>
      </c>
      <c r="D2254" s="47" t="n">
        <v>46120</v>
      </c>
      <c r="E2254" s="26" t="n">
        <v>0.5801273148148148</v>
      </c>
      <c r="F2254" s="27" t="inlineStr">
        <is>
          <t>Shift 2</t>
        </is>
      </c>
      <c r="G2254" s="27" t="n"/>
    </row>
    <row r="2255" hidden="1" s="169">
      <c r="A2255" s="27" t="inlineStr">
        <is>
          <t>MK00181</t>
        </is>
      </c>
      <c r="B2255" s="27" t="n">
        <v>528000290</v>
      </c>
      <c r="C2255" s="27" t="inlineStr">
        <is>
          <t>Eval Pranata</t>
        </is>
      </c>
      <c r="D2255" s="47" t="n">
        <v>46120</v>
      </c>
      <c r="E2255" s="26" t="n">
        <v>0.5828356481481481</v>
      </c>
      <c r="F2255" s="27" t="inlineStr">
        <is>
          <t>Shift 2</t>
        </is>
      </c>
      <c r="G2255" s="27" t="n"/>
    </row>
    <row r="2256" hidden="1" s="169">
      <c r="A2256" s="27" t="inlineStr">
        <is>
          <t>MK00154</t>
        </is>
      </c>
      <c r="B2256" s="27" t="n">
        <v>528000212</v>
      </c>
      <c r="C2256" s="27" t="inlineStr">
        <is>
          <t>Rizal Fauzi</t>
        </is>
      </c>
      <c r="D2256" s="47" t="n">
        <v>46120</v>
      </c>
      <c r="E2256" s="26" t="n">
        <v>0.5834027777777778</v>
      </c>
      <c r="F2256" s="27" t="inlineStr">
        <is>
          <t>Shift 2</t>
        </is>
      </c>
      <c r="G2256" s="27" t="n"/>
    </row>
    <row r="2257" hidden="1" s="169">
      <c r="A2257" s="27" t="inlineStr">
        <is>
          <t>MK00221</t>
        </is>
      </c>
      <c r="B2257" s="27" t="n">
        <v>528000144</v>
      </c>
      <c r="C2257" s="27" t="inlineStr">
        <is>
          <t>Jodi Hanafi</t>
        </is>
      </c>
      <c r="D2257" s="47" t="n">
        <v>46120</v>
      </c>
      <c r="E2257" s="26" t="n">
        <v>0.6537268518518519</v>
      </c>
      <c r="F2257" s="27" t="inlineStr">
        <is>
          <t>Shift 2</t>
        </is>
      </c>
      <c r="G2257" s="27" t="n"/>
    </row>
    <row r="2258" hidden="1" s="169">
      <c r="A2258" s="27" t="inlineStr">
        <is>
          <t>MK00204</t>
        </is>
      </c>
      <c r="B2258" s="27" t="n">
        <v>528000335</v>
      </c>
      <c r="C2258" s="27" t="inlineStr">
        <is>
          <t>Rizal Saepuloh</t>
        </is>
      </c>
      <c r="D2258" s="47" t="n">
        <v>46120</v>
      </c>
      <c r="E2258" s="26" t="n">
        <v>0.6694560185185185</v>
      </c>
      <c r="F2258" s="27" t="inlineStr">
        <is>
          <t>Shift 2</t>
        </is>
      </c>
      <c r="G2258" s="27" t="n"/>
    </row>
    <row r="2259" hidden="1" s="169">
      <c r="A2259" s="27" t="inlineStr">
        <is>
          <t>MK00220</t>
        </is>
      </c>
      <c r="B2259" s="27" t="n">
        <v>528000340</v>
      </c>
      <c r="C2259" s="27" t="inlineStr">
        <is>
          <t>Muhammad Wildan Adithya</t>
        </is>
      </c>
      <c r="D2259" s="47" t="n">
        <v>46120</v>
      </c>
      <c r="E2259" s="26" t="n">
        <v>0.8770949074074074</v>
      </c>
      <c r="F2259" s="27" t="inlineStr">
        <is>
          <t>Shift 3</t>
        </is>
      </c>
      <c r="G2259" s="27" t="n"/>
    </row>
    <row r="2260" hidden="1" s="169">
      <c r="A2260" s="27" t="inlineStr">
        <is>
          <t>MK00109</t>
        </is>
      </c>
      <c r="B2260" s="27" t="n">
        <v>528000361</v>
      </c>
      <c r="C2260" s="27" t="inlineStr">
        <is>
          <t>Denada Munggarani</t>
        </is>
      </c>
      <c r="D2260" s="47" t="n">
        <v>46120</v>
      </c>
      <c r="E2260" s="26" t="n">
        <v>0.8959143518518519</v>
      </c>
      <c r="F2260" s="27" t="inlineStr">
        <is>
          <t>Shift 3</t>
        </is>
      </c>
      <c r="G2260" s="27" t="n"/>
    </row>
    <row r="2261" hidden="1" s="169">
      <c r="A2261" s="27" t="inlineStr">
        <is>
          <t>MK00145</t>
        </is>
      </c>
      <c r="B2261" s="27" t="n">
        <v>528000309</v>
      </c>
      <c r="C2261" s="27" t="inlineStr">
        <is>
          <t>Ilham Ramadhan</t>
        </is>
      </c>
      <c r="D2261" s="47" t="n">
        <v>46120</v>
      </c>
      <c r="E2261" s="26" t="n">
        <v>0.8978587962962963</v>
      </c>
      <c r="F2261" s="27" t="inlineStr">
        <is>
          <t>Shift 3</t>
        </is>
      </c>
      <c r="G2261" s="27" t="n"/>
    </row>
    <row r="2262" hidden="1" s="169">
      <c r="A2262" s="27" t="inlineStr">
        <is>
          <t>MK00138</t>
        </is>
      </c>
      <c r="B2262" s="27" t="n">
        <v>628000091</v>
      </c>
      <c r="C2262" s="27" t="inlineStr">
        <is>
          <t>Devita Handayani</t>
        </is>
      </c>
      <c r="D2262" s="47" t="n">
        <v>46120</v>
      </c>
      <c r="E2262" s="26" t="n">
        <v>0.898425925925926</v>
      </c>
      <c r="F2262" s="27" t="inlineStr">
        <is>
          <t>Shift 3</t>
        </is>
      </c>
      <c r="G2262" s="27" t="n"/>
    </row>
    <row r="2263" hidden="1" s="169">
      <c r="A2263" s="27" t="inlineStr">
        <is>
          <t>MK00108</t>
        </is>
      </c>
      <c r="B2263" s="27" t="n">
        <v>528000305</v>
      </c>
      <c r="C2263" s="27" t="inlineStr">
        <is>
          <t>Puji Puspita</t>
        </is>
      </c>
      <c r="D2263" s="47" t="n">
        <v>46120</v>
      </c>
      <c r="E2263" s="26" t="n">
        <v>0.898900462962963</v>
      </c>
      <c r="F2263" s="27" t="inlineStr">
        <is>
          <t>Shift 3</t>
        </is>
      </c>
      <c r="G2263" s="27" t="n"/>
    </row>
    <row r="2264" hidden="1" s="169">
      <c r="A2264" s="27" t="inlineStr">
        <is>
          <t>MK00230</t>
        </is>
      </c>
      <c r="B2264" s="27" t="n">
        <v>528000318</v>
      </c>
      <c r="C2264" s="27" t="inlineStr">
        <is>
          <t>Bayu Padli Sepriyana</t>
        </is>
      </c>
      <c r="D2264" s="47" t="n">
        <v>46120</v>
      </c>
      <c r="E2264" s="26" t="n">
        <v>0.9019560185185185</v>
      </c>
      <c r="F2264" s="27" t="inlineStr">
        <is>
          <t>Shift 3</t>
        </is>
      </c>
      <c r="G2264" s="27" t="n"/>
    </row>
    <row r="2265" hidden="1" s="169">
      <c r="A2265" s="27" t="inlineStr">
        <is>
          <t>MK00156</t>
        </is>
      </c>
      <c r="B2265" s="27" t="n">
        <v>528000309</v>
      </c>
      <c r="C2265" s="27" t="inlineStr">
        <is>
          <t>Ilham Ramadhan</t>
        </is>
      </c>
      <c r="D2265" s="47" t="n">
        <v>46120</v>
      </c>
      <c r="E2265" s="26" t="n">
        <v>0.9036342592592592</v>
      </c>
      <c r="F2265" s="27" t="inlineStr">
        <is>
          <t>Shift 3</t>
        </is>
      </c>
      <c r="G2265" s="27" t="n"/>
    </row>
    <row r="2266">
      <c r="A2266" s="27" t="inlineStr">
        <is>
          <t>MK00213</t>
        </is>
      </c>
      <c r="B2266" s="27" t="n">
        <v>528000015</v>
      </c>
      <c r="C2266" s="27" t="inlineStr">
        <is>
          <t>Erwin</t>
        </is>
      </c>
      <c r="D2266" s="47" t="n">
        <v>46120</v>
      </c>
      <c r="E2266" s="26" t="n">
        <v>0.9038773148148148</v>
      </c>
      <c r="F2266" s="27" t="inlineStr">
        <is>
          <t>Shift 3</t>
        </is>
      </c>
      <c r="G2266" s="27" t="n"/>
    </row>
    <row r="2267" hidden="1" s="169">
      <c r="A2267" s="27" t="inlineStr">
        <is>
          <t>MK00209</t>
        </is>
      </c>
      <c r="B2267" s="27" t="n">
        <v>528000299</v>
      </c>
      <c r="C2267" s="27" t="inlineStr">
        <is>
          <t>Siti Nurjanah</t>
        </is>
      </c>
      <c r="D2267" s="47" t="n">
        <v>46120</v>
      </c>
      <c r="E2267" s="26" t="n">
        <v>0.9045717592592593</v>
      </c>
      <c r="F2267" s="27" t="inlineStr">
        <is>
          <t>Shift 3</t>
        </is>
      </c>
      <c r="G2267" s="27" t="n"/>
    </row>
    <row r="2268" hidden="1" s="169">
      <c r="A2268" s="27" t="inlineStr">
        <is>
          <t>MK00235</t>
        </is>
      </c>
      <c r="B2268" s="27" t="n">
        <v>528000298</v>
      </c>
      <c r="C2268" s="27" t="inlineStr">
        <is>
          <t>Desta Cahaya Pratama</t>
        </is>
      </c>
      <c r="D2268" s="47" t="n">
        <v>46120</v>
      </c>
      <c r="E2268" s="26" t="n">
        <v>0.9050231481481481</v>
      </c>
      <c r="F2268" s="27" t="inlineStr">
        <is>
          <t>Shift 3</t>
        </is>
      </c>
      <c r="G2268" s="27" t="n"/>
    </row>
    <row r="2269" hidden="1" s="169">
      <c r="A2269" s="27" t="inlineStr">
        <is>
          <t>MK00185</t>
        </is>
      </c>
      <c r="B2269" s="27" t="n">
        <v>528000313</v>
      </c>
      <c r="C2269" s="27" t="inlineStr">
        <is>
          <t>Muhamad Rifki</t>
        </is>
      </c>
      <c r="D2269" s="47" t="n">
        <v>46120</v>
      </c>
      <c r="E2269" s="26" t="n">
        <v>0.9064583333333334</v>
      </c>
      <c r="F2269" s="27" t="inlineStr">
        <is>
          <t>Shift 3</t>
        </is>
      </c>
      <c r="G2269" s="27" t="n"/>
    </row>
    <row r="2270" hidden="1" s="169">
      <c r="A2270" s="27" t="inlineStr">
        <is>
          <t>MK00095</t>
        </is>
      </c>
      <c r="B2270" s="27" t="n">
        <v>528000302</v>
      </c>
      <c r="C2270" s="27" t="inlineStr">
        <is>
          <t>Henkey gumilar</t>
        </is>
      </c>
      <c r="D2270" s="47" t="n">
        <v>46120</v>
      </c>
      <c r="E2270" s="26" t="n">
        <v>0.9148495370370371</v>
      </c>
      <c r="F2270" s="27" t="inlineStr">
        <is>
          <t>Shift 3</t>
        </is>
      </c>
      <c r="G2270" s="27" t="n"/>
    </row>
    <row r="2271" hidden="1" s="169">
      <c r="A2271" s="27" t="inlineStr">
        <is>
          <t>MK00095</t>
        </is>
      </c>
      <c r="B2271" s="27" t="n">
        <v>528000302</v>
      </c>
      <c r="C2271" s="27" t="inlineStr">
        <is>
          <t>Henkey gumilar</t>
        </is>
      </c>
      <c r="D2271" s="47" t="n">
        <v>46150</v>
      </c>
      <c r="E2271" s="26" t="n">
        <v>0.1274305555555555</v>
      </c>
      <c r="F2271" s="27" t="inlineStr">
        <is>
          <t>Shift 3</t>
        </is>
      </c>
      <c r="G2271" s="27" t="n"/>
    </row>
    <row r="2272" hidden="1" s="169">
      <c r="A2272" s="27" t="inlineStr">
        <is>
          <t>MK000145</t>
        </is>
      </c>
      <c r="B2272" s="27" t="n">
        <v>528000306</v>
      </c>
      <c r="C2272" s="27" t="inlineStr">
        <is>
          <t>Windy Olivia</t>
        </is>
      </c>
      <c r="D2272" s="47" t="n">
        <v>46150</v>
      </c>
      <c r="E2272" s="26" t="n">
        <v>0.2383680555555556</v>
      </c>
      <c r="F2272" s="27" t="inlineStr">
        <is>
          <t>Shift 1</t>
        </is>
      </c>
      <c r="G2272" s="27" t="n"/>
    </row>
    <row r="2273" hidden="1" s="169">
      <c r="A2273" s="27" t="inlineStr">
        <is>
          <t>MK00143</t>
        </is>
      </c>
      <c r="B2273" s="27" t="n">
        <v>528000300</v>
      </c>
      <c r="C2273" s="27" t="inlineStr">
        <is>
          <t>Lia pitaloka</t>
        </is>
      </c>
      <c r="D2273" s="47" t="n">
        <v>46150</v>
      </c>
      <c r="E2273" s="26" t="n">
        <v>0.2436689814814815</v>
      </c>
      <c r="F2273" s="27" t="inlineStr">
        <is>
          <t>Shift 1</t>
        </is>
      </c>
      <c r="G2273" s="27" t="n"/>
    </row>
    <row r="2274" hidden="1" s="169">
      <c r="A2274" s="27" t="inlineStr">
        <is>
          <t>MK00184</t>
        </is>
      </c>
      <c r="B2274" s="27" t="n">
        <v>628000064</v>
      </c>
      <c r="C2274" s="27" t="inlineStr">
        <is>
          <t>Silva Alypia</t>
        </is>
      </c>
      <c r="D2274" s="47" t="n">
        <v>46150</v>
      </c>
      <c r="E2274" s="26" t="n">
        <v>0.2437384259259259</v>
      </c>
      <c r="F2274" s="27" t="inlineStr">
        <is>
          <t>Shift 1</t>
        </is>
      </c>
      <c r="G2274" s="27" t="n"/>
    </row>
    <row r="2275" hidden="1" s="169">
      <c r="A2275" s="27" t="inlineStr">
        <is>
          <t>MK00181</t>
        </is>
      </c>
      <c r="B2275" s="27" t="n">
        <v>528000279</v>
      </c>
      <c r="C2275" s="27" t="inlineStr">
        <is>
          <t>Mahdalena Dalfa Riani</t>
        </is>
      </c>
      <c r="D2275" s="47" t="n">
        <v>46150</v>
      </c>
      <c r="E2275" s="26" t="n">
        <v>0.2472222222222222</v>
      </c>
      <c r="F2275" s="27" t="inlineStr">
        <is>
          <t>Shift 1</t>
        </is>
      </c>
      <c r="G2275" s="27" t="n"/>
    </row>
    <row r="2276" hidden="1" s="169">
      <c r="A2276" s="27" t="inlineStr">
        <is>
          <t>MK00220</t>
        </is>
      </c>
      <c r="B2276" s="27" t="n">
        <v>528000340</v>
      </c>
      <c r="C2276" s="27" t="inlineStr">
        <is>
          <t>Muhammad Wildan Adithya</t>
        </is>
      </c>
      <c r="D2276" s="47" t="n">
        <v>46150</v>
      </c>
      <c r="E2276" s="26" t="n">
        <v>0.258125</v>
      </c>
      <c r="F2276" s="27" t="inlineStr">
        <is>
          <t>Shift 1</t>
        </is>
      </c>
      <c r="G2276" s="27" t="n"/>
    </row>
    <row r="2277" hidden="1" s="169">
      <c r="A2277" s="27" t="inlineStr">
        <is>
          <t>MK00220</t>
        </is>
      </c>
      <c r="B2277" s="27" t="n">
        <v>528000282</v>
      </c>
      <c r="C2277" s="27" t="inlineStr">
        <is>
          <t>Defa Desfiana</t>
        </is>
      </c>
      <c r="D2277" s="47" t="n">
        <v>46150</v>
      </c>
      <c r="E2277" s="26" t="n">
        <v>0.3219560185185185</v>
      </c>
      <c r="F2277" s="27" t="inlineStr">
        <is>
          <t>Shift 1</t>
        </is>
      </c>
      <c r="G2277" s="27" t="inlineStr">
        <is>
          <t>32b</t>
        </is>
      </c>
    </row>
    <row r="2278" hidden="1" s="169">
      <c r="A2278" s="27" t="inlineStr">
        <is>
          <t>MK00108</t>
        </is>
      </c>
      <c r="B2278" s="27" t="n">
        <v>528000265</v>
      </c>
      <c r="C2278" s="27" t="inlineStr">
        <is>
          <t>Muhammad Haerul Rozikin</t>
        </is>
      </c>
      <c r="D2278" s="47" t="n">
        <v>46150</v>
      </c>
      <c r="E2278" s="26" t="n">
        <v>0.3235763888888889</v>
      </c>
      <c r="F2278" s="27" t="inlineStr">
        <is>
          <t>Shift 1</t>
        </is>
      </c>
      <c r="G2278" s="27" t="n"/>
    </row>
    <row r="2279" hidden="1" s="169">
      <c r="A2279" s="27" t="inlineStr">
        <is>
          <t>MK00138</t>
        </is>
      </c>
      <c r="B2279" s="27" t="n">
        <v>528000351</v>
      </c>
      <c r="C2279" s="27" t="inlineStr">
        <is>
          <t>Mulyana</t>
        </is>
      </c>
      <c r="D2279" s="47" t="n">
        <v>46150</v>
      </c>
      <c r="E2279" s="26" t="n">
        <v>0.3317824074074074</v>
      </c>
      <c r="F2279" s="27" t="inlineStr">
        <is>
          <t>Shift 1</t>
        </is>
      </c>
      <c r="G2279" s="27" t="n"/>
    </row>
    <row r="2280" hidden="1" s="169">
      <c r="A2280" s="27" t="inlineStr">
        <is>
          <t>MK00235</t>
        </is>
      </c>
      <c r="B2280" s="27" t="n">
        <v>528000310</v>
      </c>
      <c r="C2280" s="27" t="inlineStr">
        <is>
          <t>Fachrul Rozzi Suryana</t>
        </is>
      </c>
      <c r="D2280" s="47" t="n">
        <v>46150</v>
      </c>
      <c r="E2280" s="26" t="n">
        <v>0.3328819444444445</v>
      </c>
      <c r="F2280" s="27" t="inlineStr">
        <is>
          <t>Shift 1</t>
        </is>
      </c>
      <c r="G2280" s="27" t="inlineStr">
        <is>
          <t>23F</t>
        </is>
      </c>
    </row>
    <row r="2281" hidden="1" s="169">
      <c r="A2281" s="27" t="inlineStr">
        <is>
          <t>MK00141</t>
        </is>
      </c>
      <c r="B2281" s="27" t="n">
        <v>528000040</v>
      </c>
      <c r="C2281" s="27" t="inlineStr">
        <is>
          <t>Agus Suryaman</t>
        </is>
      </c>
      <c r="D2281" s="47" t="n">
        <v>46150</v>
      </c>
      <c r="E2281" s="26" t="n">
        <v>0.3634606481481482</v>
      </c>
      <c r="F2281" s="27" t="inlineStr">
        <is>
          <t>Shift 1</t>
        </is>
      </c>
      <c r="G2281" s="27" t="n"/>
    </row>
    <row r="2282" hidden="1" s="169">
      <c r="A2282" s="27" t="inlineStr">
        <is>
          <t>MK00150</t>
        </is>
      </c>
      <c r="B2282" s="27" t="n">
        <v>528000232</v>
      </c>
      <c r="C2282" s="27" t="inlineStr">
        <is>
          <t>Agung Aji Suhada</t>
        </is>
      </c>
      <c r="D2282" s="47" t="n">
        <v>46150</v>
      </c>
      <c r="E2282" s="26" t="n">
        <v>0.3679282407407408</v>
      </c>
      <c r="F2282" s="27" t="inlineStr">
        <is>
          <t>Shift 1</t>
        </is>
      </c>
      <c r="G2282" s="27" t="n"/>
    </row>
    <row r="2283" hidden="1" s="169">
      <c r="A2283" s="27" t="inlineStr">
        <is>
          <t>MK00205</t>
        </is>
      </c>
      <c r="B2283" s="27" t="n">
        <v>528000348</v>
      </c>
      <c r="C2283" s="27" t="inlineStr">
        <is>
          <t>Saepuloh Ardiansah</t>
        </is>
      </c>
      <c r="D2283" s="47" t="n">
        <v>46150</v>
      </c>
      <c r="E2283" s="26" t="n">
        <v>0.3738888888888889</v>
      </c>
      <c r="F2283" s="27" t="inlineStr">
        <is>
          <t>Shift 1</t>
        </is>
      </c>
      <c r="G2283" s="27" t="n"/>
    </row>
    <row r="2284" hidden="1" s="169">
      <c r="A2284" s="27" t="inlineStr">
        <is>
          <t>MK00213</t>
        </is>
      </c>
      <c r="B2284" s="27" t="n">
        <v>528000349</v>
      </c>
      <c r="C2284" s="27" t="inlineStr">
        <is>
          <t>Anas Abdul Fatah</t>
        </is>
      </c>
      <c r="D2284" s="47" t="n">
        <v>46150</v>
      </c>
      <c r="E2284" s="26" t="n">
        <v>0.40625</v>
      </c>
      <c r="F2284" s="27" t="inlineStr">
        <is>
          <t>Shift 1</t>
        </is>
      </c>
      <c r="G2284" s="27" t="n"/>
    </row>
    <row r="2285" hidden="1" s="169">
      <c r="A2285" s="27" t="inlineStr">
        <is>
          <t>MK00217</t>
        </is>
      </c>
      <c r="B2285" s="27" t="n">
        <v>528000339</v>
      </c>
      <c r="C2285" s="27" t="inlineStr">
        <is>
          <t>Muhamad Ripai'i</t>
        </is>
      </c>
      <c r="D2285" s="47" t="n">
        <v>46150</v>
      </c>
      <c r="E2285" s="26" t="n">
        <v>0.5592013888888889</v>
      </c>
      <c r="F2285" s="27" t="inlineStr">
        <is>
          <t>Shift 2</t>
        </is>
      </c>
      <c r="G2285" s="27" t="n"/>
    </row>
    <row r="2286" hidden="1" s="169">
      <c r="A2286" s="27" t="inlineStr">
        <is>
          <t>MK00088</t>
        </is>
      </c>
      <c r="B2286" s="27" t="n">
        <v>528000201</v>
      </c>
      <c r="C2286" s="27" t="inlineStr">
        <is>
          <t>Zahwa Amelia Choerunissa</t>
        </is>
      </c>
      <c r="D2286" s="47" t="n">
        <v>46150</v>
      </c>
      <c r="E2286" s="26" t="n">
        <v>0.5659027777777778</v>
      </c>
      <c r="F2286" s="27" t="inlineStr">
        <is>
          <t>Shift 2</t>
        </is>
      </c>
      <c r="G2286" s="27" t="n"/>
    </row>
    <row r="2287" hidden="1" s="169">
      <c r="A2287" s="27" t="inlineStr">
        <is>
          <t>MK00160</t>
        </is>
      </c>
      <c r="B2287" s="27" t="n">
        <v>528000286</v>
      </c>
      <c r="C2287" s="27" t="inlineStr">
        <is>
          <t>Imelda Amelia</t>
        </is>
      </c>
      <c r="D2287" s="47" t="n">
        <v>46150</v>
      </c>
      <c r="E2287" s="26" t="n">
        <v>0.5719560185185185</v>
      </c>
      <c r="F2287" s="27" t="inlineStr">
        <is>
          <t>Shift 2</t>
        </is>
      </c>
      <c r="G2287" s="27" t="n"/>
    </row>
    <row r="2288" hidden="1" s="169">
      <c r="A2288" s="27" t="inlineStr">
        <is>
          <t>MK00134</t>
        </is>
      </c>
      <c r="B2288" s="27" t="n">
        <v>528000289</v>
      </c>
      <c r="C2288" s="27" t="inlineStr">
        <is>
          <t>Adit Supriyadi</t>
        </is>
      </c>
      <c r="D2288" s="47" t="n">
        <v>46150</v>
      </c>
      <c r="E2288" s="26" t="n">
        <v>0.5756597222222222</v>
      </c>
      <c r="F2288" s="27" t="inlineStr">
        <is>
          <t>Shift 2</t>
        </is>
      </c>
      <c r="G2288" s="27" t="n"/>
    </row>
    <row r="2289" hidden="1" s="169">
      <c r="A2289" s="27" t="inlineStr">
        <is>
          <t>MK00112</t>
        </is>
      </c>
      <c r="B2289" s="27" t="n">
        <v>528000274</v>
      </c>
      <c r="C2289" s="27" t="inlineStr">
        <is>
          <t>Zepri</t>
        </is>
      </c>
      <c r="D2289" s="47" t="n">
        <v>46150</v>
      </c>
      <c r="E2289" s="26" t="n">
        <v>0.5784259259259259</v>
      </c>
      <c r="F2289" s="27" t="inlineStr">
        <is>
          <t>Shift 2</t>
        </is>
      </c>
      <c r="G2289" s="27" t="n"/>
    </row>
    <row r="2290" hidden="1" s="169">
      <c r="A2290" s="27" t="inlineStr">
        <is>
          <t>MK00218</t>
        </is>
      </c>
      <c r="B2290" s="27" t="n">
        <v>528000228</v>
      </c>
      <c r="C2290" s="27" t="inlineStr">
        <is>
          <t>Banyu Resmi Putri</t>
        </is>
      </c>
      <c r="D2290" s="47" t="n">
        <v>46150</v>
      </c>
      <c r="E2290" s="26" t="n">
        <v>0.5786689814814815</v>
      </c>
      <c r="F2290" s="27" t="inlineStr">
        <is>
          <t>Shift 2</t>
        </is>
      </c>
      <c r="G2290" s="27" t="n"/>
    </row>
    <row r="2291" hidden="1" s="169">
      <c r="A2291" s="27" t="inlineStr">
        <is>
          <t>MK00090</t>
        </is>
      </c>
      <c r="B2291" s="27" t="n">
        <v>528000359</v>
      </c>
      <c r="C2291" s="27" t="inlineStr">
        <is>
          <t>M. Iqbal Maulana. S</t>
        </is>
      </c>
      <c r="D2291" s="47" t="n">
        <v>46150</v>
      </c>
      <c r="E2291" s="26" t="n">
        <v>0.5787037037037037</v>
      </c>
      <c r="F2291" s="27" t="inlineStr">
        <is>
          <t>Shift 2</t>
        </is>
      </c>
      <c r="G2291" s="27" t="n"/>
    </row>
    <row r="2292" hidden="1" s="169">
      <c r="A2292" s="27" t="inlineStr">
        <is>
          <t>MK00203</t>
        </is>
      </c>
      <c r="B2292" s="27" t="n">
        <v>528000273</v>
      </c>
      <c r="C2292" s="27" t="inlineStr">
        <is>
          <t>Asep Mulyana</t>
        </is>
      </c>
      <c r="D2292" s="47" t="n">
        <v>46150</v>
      </c>
      <c r="E2292" s="26" t="n">
        <v>0.5791782407407408</v>
      </c>
      <c r="F2292" s="27" t="inlineStr">
        <is>
          <t>Shift 2</t>
        </is>
      </c>
      <c r="G2292" s="27" t="n"/>
    </row>
    <row r="2293" hidden="1" s="169">
      <c r="A2293" s="27" t="inlineStr">
        <is>
          <t>MK00210</t>
        </is>
      </c>
      <c r="B2293" s="27" t="n">
        <v>528000090</v>
      </c>
      <c r="C2293" s="27" t="inlineStr">
        <is>
          <t>Suganda</t>
        </is>
      </c>
      <c r="D2293" s="47" t="n">
        <v>46150</v>
      </c>
      <c r="E2293" s="26" t="n">
        <v>0.5799652777777777</v>
      </c>
      <c r="F2293" s="27" t="inlineStr">
        <is>
          <t>Shift 2</t>
        </is>
      </c>
      <c r="G2293" s="27" t="n"/>
    </row>
    <row r="2294" hidden="1" s="169">
      <c r="A2294" s="27" t="inlineStr">
        <is>
          <t>MK00082</t>
        </is>
      </c>
      <c r="B2294" s="27" t="n">
        <v>528000290</v>
      </c>
      <c r="C2294" s="27" t="inlineStr">
        <is>
          <t>Eval Pranata</t>
        </is>
      </c>
      <c r="D2294" s="47" t="n">
        <v>46150</v>
      </c>
      <c r="E2294" s="26" t="n">
        <v>0.5807407407407408</v>
      </c>
      <c r="F2294" s="27" t="inlineStr">
        <is>
          <t>Shift 2</t>
        </is>
      </c>
      <c r="G2294" s="27" t="n"/>
    </row>
    <row r="2295" hidden="1" s="169">
      <c r="A2295" s="27" t="inlineStr">
        <is>
          <t>MK00250</t>
        </is>
      </c>
      <c r="B2295" s="27" t="n">
        <v>528000212</v>
      </c>
      <c r="C2295" s="27" t="inlineStr">
        <is>
          <t>Rizal Fauzi</t>
        </is>
      </c>
      <c r="D2295" s="47" t="n">
        <v>46150</v>
      </c>
      <c r="E2295" s="26" t="n">
        <v>0.583125</v>
      </c>
      <c r="F2295" s="27" t="inlineStr">
        <is>
          <t>Shift 2</t>
        </is>
      </c>
      <c r="G2295" s="27" t="n"/>
    </row>
    <row r="2296" hidden="1" s="169">
      <c r="A2296" s="27" t="inlineStr">
        <is>
          <t>MK00221</t>
        </is>
      </c>
      <c r="B2296" s="27" t="n">
        <v>528000144</v>
      </c>
      <c r="C2296" s="27" t="inlineStr">
        <is>
          <t>Jodi Hanafi</t>
        </is>
      </c>
      <c r="D2296" s="47" t="n">
        <v>46150</v>
      </c>
      <c r="E2296" s="26" t="n">
        <v>0.6557291666666667</v>
      </c>
      <c r="F2296" s="27" t="inlineStr">
        <is>
          <t>Shift 2</t>
        </is>
      </c>
      <c r="G2296" s="27" t="n"/>
    </row>
    <row r="2297" hidden="1" s="169">
      <c r="A2297" s="27" t="inlineStr">
        <is>
          <t>MK0130</t>
        </is>
      </c>
      <c r="B2297" s="27" t="n">
        <v>528000149</v>
      </c>
      <c r="C2297" s="27" t="inlineStr">
        <is>
          <t>Tio Fernanda</t>
        </is>
      </c>
      <c r="D2297" s="47" t="n">
        <v>46150</v>
      </c>
      <c r="E2297" s="26" t="n">
        <v>0.6669444444444445</v>
      </c>
      <c r="F2297" s="27" t="inlineStr">
        <is>
          <t>Shift 2</t>
        </is>
      </c>
      <c r="G2297" s="27" t="n"/>
    </row>
    <row r="2298" hidden="1" s="169">
      <c r="A2298" s="27" t="inlineStr">
        <is>
          <t>MK00204</t>
        </is>
      </c>
      <c r="B2298" s="27" t="n">
        <v>528000335</v>
      </c>
      <c r="C2298" s="27" t="inlineStr">
        <is>
          <t>Rizal Saepuloh</t>
        </is>
      </c>
      <c r="D2298" s="47" t="n">
        <v>46150</v>
      </c>
      <c r="E2298" s="26" t="n">
        <v>0.7433796296296297</v>
      </c>
      <c r="F2298" s="27" t="inlineStr">
        <is>
          <t>Shift 2</t>
        </is>
      </c>
      <c r="G2298" s="27" t="n"/>
    </row>
    <row r="2299" hidden="1" s="169">
      <c r="A2299" s="27" t="inlineStr">
        <is>
          <t>MK00230</t>
        </is>
      </c>
      <c r="B2299" s="27" t="n">
        <v>528000340</v>
      </c>
      <c r="C2299" s="27" t="inlineStr">
        <is>
          <t>Muhammad Wildan Adithya</t>
        </is>
      </c>
      <c r="D2299" s="47" t="n">
        <v>46150</v>
      </c>
      <c r="E2299" s="26" t="n">
        <v>0.8910300925925926</v>
      </c>
      <c r="F2299" s="27" t="inlineStr">
        <is>
          <t>Shift 3</t>
        </is>
      </c>
      <c r="G2299" s="27" t="n"/>
    </row>
    <row r="2300" hidden="1" s="169">
      <c r="A2300" s="27" t="inlineStr">
        <is>
          <t>MK00154</t>
        </is>
      </c>
      <c r="B2300" s="27" t="n">
        <v>628000091</v>
      </c>
      <c r="C2300" s="27" t="inlineStr">
        <is>
          <t>Devita Handayani</t>
        </is>
      </c>
      <c r="D2300" s="47" t="n">
        <v>46150</v>
      </c>
      <c r="E2300" s="26" t="n">
        <v>0.8951851851851852</v>
      </c>
      <c r="F2300" s="27" t="inlineStr">
        <is>
          <t>Shift 3</t>
        </is>
      </c>
      <c r="G2300" s="27" t="n"/>
    </row>
    <row r="2301" hidden="1" s="169">
      <c r="A2301" s="27" t="inlineStr">
        <is>
          <t>MK00156</t>
        </is>
      </c>
      <c r="B2301" s="27" t="n">
        <v>528000361</v>
      </c>
      <c r="C2301" s="27" t="inlineStr">
        <is>
          <t>Denada Munggarani</t>
        </is>
      </c>
      <c r="D2301" s="47" t="n">
        <v>46150</v>
      </c>
      <c r="E2301" s="26" t="n">
        <v>0.8996527777777777</v>
      </c>
      <c r="F2301" s="27" t="inlineStr">
        <is>
          <t>Shift 3</t>
        </is>
      </c>
      <c r="G2301" s="27" t="n"/>
    </row>
    <row r="2302" hidden="1" s="169">
      <c r="A2302" s="27" t="inlineStr">
        <is>
          <t>MK00192</t>
        </is>
      </c>
      <c r="B2302" s="27" t="n">
        <v>528000298</v>
      </c>
      <c r="C2302" s="27" t="inlineStr">
        <is>
          <t>Desta Cahaya Pratama</t>
        </is>
      </c>
      <c r="D2302" s="47" t="n">
        <v>46150</v>
      </c>
      <c r="E2302" s="26" t="n">
        <v>0.9002083333333334</v>
      </c>
      <c r="F2302" s="27" t="inlineStr">
        <is>
          <t>Shift 3</t>
        </is>
      </c>
      <c r="G2302" s="27" t="n"/>
    </row>
    <row r="2303" hidden="1" s="169">
      <c r="A2303" s="27" t="inlineStr">
        <is>
          <t>MK00138</t>
        </is>
      </c>
      <c r="B2303" s="27" t="n">
        <v>528000238</v>
      </c>
      <c r="C2303" s="27" t="inlineStr">
        <is>
          <t>Indah Lusiana</t>
        </is>
      </c>
      <c r="D2303" s="47" t="n">
        <v>46150</v>
      </c>
      <c r="E2303" s="26" t="n">
        <v>0.9002777777777777</v>
      </c>
      <c r="F2303" s="27" t="inlineStr">
        <is>
          <t>Shift 3</t>
        </is>
      </c>
      <c r="G2303" s="27" t="n"/>
    </row>
    <row r="2304" hidden="1" s="169">
      <c r="A2304" s="27" t="inlineStr">
        <is>
          <t>MK00220</t>
        </is>
      </c>
      <c r="B2304" s="27" t="n">
        <v>528000318</v>
      </c>
      <c r="C2304" s="27" t="inlineStr">
        <is>
          <t>Bayu Padli Sepriyana</t>
        </is>
      </c>
      <c r="D2304" s="47" t="n">
        <v>46150</v>
      </c>
      <c r="E2304" s="26" t="n">
        <v>0.9015625</v>
      </c>
      <c r="F2304" s="27" t="inlineStr">
        <is>
          <t>Shift 3</t>
        </is>
      </c>
      <c r="G2304" s="27" t="n"/>
    </row>
    <row r="2305" hidden="1" s="169">
      <c r="A2305" s="27" t="inlineStr">
        <is>
          <t>MK00108</t>
        </is>
      </c>
      <c r="B2305" s="27" t="n">
        <v>528000313</v>
      </c>
      <c r="C2305" s="27" t="inlineStr">
        <is>
          <t>Muhamad Rifki</t>
        </is>
      </c>
      <c r="D2305" s="47" t="n">
        <v>46150</v>
      </c>
      <c r="E2305" s="26" t="n">
        <v>0.9016203703703703</v>
      </c>
      <c r="F2305" s="27" t="inlineStr">
        <is>
          <t>Shift 3</t>
        </is>
      </c>
      <c r="G2305" s="27" t="n"/>
    </row>
    <row r="2306" hidden="1" s="169">
      <c r="A2306" s="27" t="inlineStr">
        <is>
          <t>MK00209</t>
        </is>
      </c>
      <c r="B2306" s="27" t="n">
        <v>528000305</v>
      </c>
      <c r="C2306" s="27" t="inlineStr">
        <is>
          <t>Puji Puspita</t>
        </is>
      </c>
      <c r="D2306" s="47" t="n">
        <v>46150</v>
      </c>
      <c r="E2306" s="26" t="n">
        <v>0.9020138888888889</v>
      </c>
      <c r="F2306" s="27" t="inlineStr">
        <is>
          <t>Shift 3</t>
        </is>
      </c>
      <c r="G2306" s="27" t="n"/>
    </row>
    <row r="2307" hidden="1" s="169">
      <c r="A2307" s="27" t="inlineStr">
        <is>
          <t>MK00208</t>
        </is>
      </c>
      <c r="B2307" s="27" t="n">
        <v>528000309</v>
      </c>
      <c r="C2307" s="27" t="inlineStr">
        <is>
          <t>Ilham Ramadhan</t>
        </is>
      </c>
      <c r="D2307" s="47" t="n">
        <v>46150</v>
      </c>
      <c r="E2307" s="26" t="n">
        <v>0.902800925925926</v>
      </c>
      <c r="F2307" s="27" t="inlineStr">
        <is>
          <t>Shift 3</t>
        </is>
      </c>
      <c r="G2307" s="27" t="n"/>
    </row>
    <row r="2308">
      <c r="A2308" s="27" t="inlineStr">
        <is>
          <t>MK00123</t>
        </is>
      </c>
      <c r="B2308" s="27" t="n">
        <v>528000015</v>
      </c>
      <c r="C2308" s="27" t="inlineStr">
        <is>
          <t>Erwin</t>
        </is>
      </c>
      <c r="D2308" s="47" t="n">
        <v>46150</v>
      </c>
      <c r="E2308" s="26" t="n">
        <v>0.9030787037037037</v>
      </c>
      <c r="F2308" s="27" t="inlineStr">
        <is>
          <t>Shift 3</t>
        </is>
      </c>
      <c r="G2308" s="27" t="n"/>
    </row>
    <row r="2309">
      <c r="A2309" s="27" t="inlineStr">
        <is>
          <t>MK00168</t>
        </is>
      </c>
      <c r="B2309" s="27" t="n">
        <v>528000015</v>
      </c>
      <c r="C2309" s="27" t="inlineStr">
        <is>
          <t>Erwin</t>
        </is>
      </c>
      <c r="D2309" s="47" t="n">
        <v>46150</v>
      </c>
      <c r="E2309" s="26" t="n">
        <v>0.9063425925925926</v>
      </c>
      <c r="F2309" s="27" t="inlineStr">
        <is>
          <t>Shift 3</t>
        </is>
      </c>
      <c r="G2309" s="27" t="n"/>
    </row>
    <row r="2310">
      <c r="A2310" s="27" t="inlineStr">
        <is>
          <t>MK00168</t>
        </is>
      </c>
      <c r="B2310" s="27" t="n">
        <v>528000015</v>
      </c>
      <c r="C2310" s="27" t="inlineStr">
        <is>
          <t>Erwin</t>
        </is>
      </c>
      <c r="D2310" s="47" t="n">
        <v>46150</v>
      </c>
      <c r="E2310" s="26" t="n">
        <v>0.9076851851851852</v>
      </c>
      <c r="F2310" s="27" t="inlineStr">
        <is>
          <t>Shift 3</t>
        </is>
      </c>
      <c r="G2310" s="27" t="n"/>
    </row>
    <row r="2311" hidden="1" s="169">
      <c r="A2311" s="27" t="inlineStr">
        <is>
          <t>MK00095</t>
        </is>
      </c>
      <c r="B2311" s="27" t="n">
        <v>528000302</v>
      </c>
      <c r="C2311" s="27" t="inlineStr">
        <is>
          <t>Henkey gumilar</t>
        </is>
      </c>
      <c r="D2311" s="47" t="n">
        <v>46150</v>
      </c>
      <c r="E2311" s="26" t="n">
        <v>0.9118518518518518</v>
      </c>
      <c r="F2311" s="27" t="inlineStr">
        <is>
          <t>Shift 3</t>
        </is>
      </c>
      <c r="G2311" s="27" t="n"/>
    </row>
    <row r="2312" hidden="1" s="169">
      <c r="A2312" s="27" t="inlineStr">
        <is>
          <t>MK00218</t>
        </is>
      </c>
      <c r="B2312" s="27" t="n">
        <v>528000325</v>
      </c>
      <c r="C2312" s="27" t="inlineStr">
        <is>
          <t>Rani Septia Ramadani</t>
        </is>
      </c>
      <c r="D2312" s="47" t="n">
        <v>46181</v>
      </c>
      <c r="E2312" s="26" t="n">
        <v>0.2364583333333333</v>
      </c>
      <c r="F2312" s="27" t="inlineStr">
        <is>
          <t>Shift 1</t>
        </is>
      </c>
      <c r="G2312" s="27" t="n"/>
    </row>
    <row r="2313" hidden="1" s="169">
      <c r="A2313" s="27" t="inlineStr">
        <is>
          <t>MK00113</t>
        </is>
      </c>
      <c r="B2313" s="27" t="n">
        <v>628000064</v>
      </c>
      <c r="C2313" s="27" t="inlineStr">
        <is>
          <t>Silva Alypia</t>
        </is>
      </c>
      <c r="D2313" s="47" t="n">
        <v>46181</v>
      </c>
      <c r="E2313" s="26" t="n">
        <v>0.2434375</v>
      </c>
      <c r="F2313" s="27" t="inlineStr">
        <is>
          <t>Shift 1</t>
        </is>
      </c>
      <c r="G2313" s="27" t="n"/>
    </row>
    <row r="2314" hidden="1" s="169">
      <c r="A2314" s="27" t="inlineStr">
        <is>
          <t>MK00112</t>
        </is>
      </c>
      <c r="B2314" s="27" t="n">
        <v>528000279</v>
      </c>
      <c r="C2314" s="27" t="inlineStr">
        <is>
          <t>Mahdalena Dalfa Riani</t>
        </is>
      </c>
      <c r="D2314" s="47" t="n">
        <v>46181</v>
      </c>
      <c r="E2314" s="26" t="n">
        <v>0.2491087962962963</v>
      </c>
      <c r="F2314" s="27" t="inlineStr">
        <is>
          <t>Shift 1</t>
        </is>
      </c>
      <c r="G2314" s="27" t="n"/>
    </row>
    <row r="2315" hidden="1" s="169">
      <c r="A2315" s="27" t="inlineStr">
        <is>
          <t>MK00134</t>
        </is>
      </c>
      <c r="B2315" s="27" t="n">
        <v>528000300</v>
      </c>
      <c r="C2315" s="27" t="inlineStr">
        <is>
          <t>Lia pitaloka</t>
        </is>
      </c>
      <c r="D2315" s="47" t="n">
        <v>46181</v>
      </c>
      <c r="E2315" s="26" t="n">
        <v>0.2495138888888889</v>
      </c>
      <c r="F2315" s="27" t="inlineStr">
        <is>
          <t>Shift 1</t>
        </is>
      </c>
      <c r="G2315" s="27" t="n"/>
    </row>
    <row r="2316" hidden="1" s="169">
      <c r="A2316" s="27" t="inlineStr">
        <is>
          <t>MK00095</t>
        </is>
      </c>
      <c r="B2316" s="27" t="n">
        <v>528000265</v>
      </c>
      <c r="C2316" s="27" t="inlineStr">
        <is>
          <t>Muhammad Haerul Rozikin</t>
        </is>
      </c>
      <c r="D2316" s="47" t="n">
        <v>46181</v>
      </c>
      <c r="E2316" s="26" t="n">
        <v>0.3183101851851852</v>
      </c>
      <c r="F2316" s="27" t="inlineStr">
        <is>
          <t>Shift 1</t>
        </is>
      </c>
      <c r="G2316" s="27" t="n"/>
    </row>
    <row r="2317" hidden="1" s="169">
      <c r="A2317" s="27" t="inlineStr">
        <is>
          <t>MK00208</t>
        </is>
      </c>
      <c r="B2317" s="27" t="n">
        <v>528000282</v>
      </c>
      <c r="C2317" s="27" t="inlineStr">
        <is>
          <t>Defa Desfiana</t>
        </is>
      </c>
      <c r="D2317" s="47" t="n">
        <v>46181</v>
      </c>
      <c r="E2317" s="26" t="n">
        <v>0.3232754629629629</v>
      </c>
      <c r="F2317" s="27" t="inlineStr">
        <is>
          <t>Shift 1</t>
        </is>
      </c>
      <c r="G2317" s="27" t="inlineStr">
        <is>
          <t>23c</t>
        </is>
      </c>
    </row>
    <row r="2318" hidden="1" s="169">
      <c r="A2318" s="27" t="inlineStr">
        <is>
          <t>MK00210</t>
        </is>
      </c>
      <c r="B2318" s="27" t="n">
        <v>528000310</v>
      </c>
      <c r="C2318" s="27" t="inlineStr">
        <is>
          <t>Fachrul Rozzi Suryana</t>
        </is>
      </c>
      <c r="D2318" s="47" t="n">
        <v>46181</v>
      </c>
      <c r="E2318" s="26" t="n">
        <v>0.330324074074074</v>
      </c>
      <c r="F2318" s="27" t="inlineStr">
        <is>
          <t>Shift 1</t>
        </is>
      </c>
      <c r="G2318" s="27" t="inlineStr">
        <is>
          <t>23F</t>
        </is>
      </c>
    </row>
    <row r="2319" hidden="1" s="169">
      <c r="A2319" s="27" t="inlineStr">
        <is>
          <t>MK00108</t>
        </is>
      </c>
      <c r="B2319" s="27" t="n">
        <v>528000359</v>
      </c>
      <c r="C2319" s="27" t="inlineStr">
        <is>
          <t>M. Iqbal Maulana. S</t>
        </is>
      </c>
      <c r="D2319" s="47" t="n">
        <v>46181</v>
      </c>
      <c r="E2319" s="26" t="n">
        <v>0.3333333333333333</v>
      </c>
      <c r="F2319" s="27" t="inlineStr">
        <is>
          <t>Shift 1</t>
        </is>
      </c>
      <c r="G2319" s="27" t="n"/>
    </row>
    <row r="2320" hidden="1" s="169">
      <c r="A2320" s="27" t="inlineStr">
        <is>
          <t>MK00205</t>
        </is>
      </c>
      <c r="B2320" s="27" t="n">
        <v>528000348</v>
      </c>
      <c r="C2320" s="27" t="inlineStr">
        <is>
          <t>Saepuloh Ardiansah</t>
        </is>
      </c>
      <c r="D2320" s="47" t="n">
        <v>46181</v>
      </c>
      <c r="E2320" s="26" t="n">
        <v>0.3516203703703704</v>
      </c>
      <c r="F2320" s="27" t="inlineStr">
        <is>
          <t>Shift 1</t>
        </is>
      </c>
      <c r="G2320" s="27" t="n"/>
    </row>
    <row r="2321" hidden="1" s="169">
      <c r="A2321" s="27" t="inlineStr">
        <is>
          <t>MK00141</t>
        </is>
      </c>
      <c r="B2321" s="27" t="n">
        <v>528000040</v>
      </c>
      <c r="C2321" s="27" t="inlineStr">
        <is>
          <t>Agus Suryaman</t>
        </is>
      </c>
      <c r="D2321" s="47" t="n">
        <v>46181</v>
      </c>
      <c r="E2321" s="26" t="n">
        <v>0.3647916666666667</v>
      </c>
      <c r="F2321" s="27" t="inlineStr">
        <is>
          <t>Shift 1</t>
        </is>
      </c>
      <c r="G2321" s="27" t="n"/>
    </row>
    <row r="2322" hidden="1" s="169">
      <c r="A2322" s="27" t="inlineStr">
        <is>
          <t>MK00150</t>
        </is>
      </c>
      <c r="B2322" s="27" t="n">
        <v>528000232</v>
      </c>
      <c r="C2322" s="27" t="inlineStr">
        <is>
          <t>Agung Aji Suhada</t>
        </is>
      </c>
      <c r="D2322" s="47" t="n">
        <v>46181</v>
      </c>
      <c r="E2322" s="26" t="n">
        <v>0.3716203703703704</v>
      </c>
      <c r="F2322" s="27" t="inlineStr">
        <is>
          <t>Shift 1</t>
        </is>
      </c>
      <c r="G2322" s="27" t="n"/>
    </row>
    <row r="2323" hidden="1" s="169">
      <c r="A2323" s="27" t="inlineStr">
        <is>
          <t>MK00138</t>
        </is>
      </c>
      <c r="B2323" s="27" t="n">
        <v>528000349</v>
      </c>
      <c r="C2323" s="27" t="inlineStr">
        <is>
          <t>Anas Abdul Fatah</t>
        </is>
      </c>
      <c r="D2323" s="47" t="n">
        <v>46181</v>
      </c>
      <c r="E2323" s="26" t="n">
        <v>0.4098842592592593</v>
      </c>
      <c r="F2323" s="27" t="inlineStr">
        <is>
          <t>Shift 1</t>
        </is>
      </c>
      <c r="G2323" s="27" t="n"/>
    </row>
    <row r="2324" hidden="1" s="169">
      <c r="A2324" s="27" t="inlineStr">
        <is>
          <t>MK00212</t>
        </is>
      </c>
      <c r="B2324" s="27" t="n">
        <v>528000337</v>
      </c>
      <c r="C2324" s="27" t="inlineStr">
        <is>
          <t>Ahmad Zaldi Firdaus</t>
        </is>
      </c>
      <c r="D2324" s="47" t="n">
        <v>46181</v>
      </c>
      <c r="E2324" s="26" t="n">
        <v>0.5413657407407407</v>
      </c>
      <c r="F2324" s="27" t="inlineStr">
        <is>
          <t>Shift 1</t>
        </is>
      </c>
      <c r="G2324" s="27" t="n"/>
    </row>
    <row r="2325" hidden="1" s="169">
      <c r="A2325" s="27" t="inlineStr">
        <is>
          <t>MK00209</t>
        </is>
      </c>
      <c r="B2325" s="27" t="n">
        <v>528000052</v>
      </c>
      <c r="C2325" s="27" t="inlineStr">
        <is>
          <t>Mustopa</t>
        </is>
      </c>
      <c r="D2325" s="47" t="n">
        <v>46181</v>
      </c>
      <c r="E2325" s="26" t="n">
        <v>0.5452083333333333</v>
      </c>
      <c r="F2325" s="27" t="inlineStr">
        <is>
          <t>Shift 2</t>
        </is>
      </c>
      <c r="G2325" s="27" t="n"/>
    </row>
    <row r="2326" hidden="1" s="169">
      <c r="A2326" s="27" t="inlineStr">
        <is>
          <t>MK00145</t>
        </is>
      </c>
      <c r="B2326" s="27" t="n">
        <v>528000324</v>
      </c>
      <c r="C2326" s="27" t="inlineStr">
        <is>
          <t>Sri Yanti</t>
        </is>
      </c>
      <c r="D2326" s="47" t="n">
        <v>46181</v>
      </c>
      <c r="E2326" s="26" t="n">
        <v>0.5543865740740741</v>
      </c>
      <c r="F2326" s="27" t="inlineStr">
        <is>
          <t>Shift 2</t>
        </is>
      </c>
      <c r="G2326" s="27" t="n"/>
    </row>
    <row r="2327" hidden="1" s="169">
      <c r="A2327" s="27" t="inlineStr">
        <is>
          <t>MK00143</t>
        </is>
      </c>
      <c r="B2327" s="27" t="n">
        <v>528000262</v>
      </c>
      <c r="C2327" s="27" t="inlineStr">
        <is>
          <t>Ndari Dwiwanti</t>
        </is>
      </c>
      <c r="D2327" s="47" t="n">
        <v>46181</v>
      </c>
      <c r="E2327" s="26" t="n">
        <v>0.5679398148148148</v>
      </c>
      <c r="F2327" s="27" t="inlineStr">
        <is>
          <t>Shift 2</t>
        </is>
      </c>
      <c r="G2327" s="27" t="n"/>
    </row>
    <row r="2328" hidden="1" s="169">
      <c r="A2328" s="27" t="inlineStr">
        <is>
          <t>MK00181</t>
        </is>
      </c>
      <c r="B2328" s="27" t="n">
        <v>528000195</v>
      </c>
      <c r="C2328" s="27" t="inlineStr">
        <is>
          <t>Rahma Sariwati</t>
        </is>
      </c>
      <c r="D2328" s="47" t="n">
        <v>46181</v>
      </c>
      <c r="E2328" s="26" t="n">
        <v>0.5693171296296297</v>
      </c>
      <c r="F2328" s="27" t="inlineStr">
        <is>
          <t>Shift 2</t>
        </is>
      </c>
      <c r="G2328" s="27" t="n"/>
    </row>
    <row r="2329" hidden="1" s="169">
      <c r="A2329" s="27" t="inlineStr">
        <is>
          <t>MK00184</t>
        </is>
      </c>
      <c r="B2329" s="27" t="n">
        <v>528000336</v>
      </c>
      <c r="C2329" s="27" t="inlineStr">
        <is>
          <t>Ali Nurhanafi</t>
        </is>
      </c>
      <c r="D2329" s="47" t="n">
        <v>46181</v>
      </c>
      <c r="E2329" s="26" t="n">
        <v>0.570150462962963</v>
      </c>
      <c r="F2329" s="27" t="inlineStr">
        <is>
          <t>Shift 2</t>
        </is>
      </c>
      <c r="G2329" s="27" t="n"/>
    </row>
    <row r="2330" hidden="1" s="169">
      <c r="A2330" s="27" t="inlineStr">
        <is>
          <t>MK00136</t>
        </is>
      </c>
      <c r="B2330" s="27" t="n">
        <v>528000358</v>
      </c>
      <c r="C2330" s="27" t="inlineStr">
        <is>
          <t>Lulu Agustin</t>
        </is>
      </c>
      <c r="D2330" s="47" t="n">
        <v>46181</v>
      </c>
      <c r="E2330" s="26" t="n">
        <v>0.5705324074074074</v>
      </c>
      <c r="F2330" s="27" t="inlineStr">
        <is>
          <t>Shift 2</t>
        </is>
      </c>
      <c r="G2330" s="27" t="n"/>
    </row>
    <row r="2331" hidden="1" s="169">
      <c r="A2331" s="27" t="inlineStr">
        <is>
          <t>MK00156</t>
        </is>
      </c>
      <c r="B2331" s="27" t="n">
        <v>528000291</v>
      </c>
      <c r="C2331" s="27" t="inlineStr">
        <is>
          <t>Andrian</t>
        </is>
      </c>
      <c r="D2331" s="47" t="n">
        <v>46181</v>
      </c>
      <c r="E2331" s="26" t="n">
        <v>0.5737847222222222</v>
      </c>
      <c r="F2331" s="27" t="inlineStr">
        <is>
          <t>Shift 2</t>
        </is>
      </c>
      <c r="G2331" s="27" t="n"/>
    </row>
    <row r="2332" hidden="1" s="169">
      <c r="A2332" s="27" t="inlineStr">
        <is>
          <t>MK00249</t>
        </is>
      </c>
      <c r="B2332" s="27" t="n">
        <v>528000283</v>
      </c>
      <c r="C2332" s="27" t="inlineStr">
        <is>
          <t>Purwanda Sugiri</t>
        </is>
      </c>
      <c r="D2332" s="47" t="n">
        <v>46181</v>
      </c>
      <c r="E2332" s="26" t="n">
        <v>0.5740277777777778</v>
      </c>
      <c r="F2332" s="27" t="inlineStr">
        <is>
          <t>Shift 2</t>
        </is>
      </c>
      <c r="G2332" s="27" t="n"/>
    </row>
    <row r="2333" hidden="1" s="169">
      <c r="A2333" s="27" t="inlineStr">
        <is>
          <t>MK00186</t>
        </is>
      </c>
      <c r="B2333" s="27" t="n">
        <v>528000261</v>
      </c>
      <c r="C2333" s="27" t="inlineStr">
        <is>
          <t>Ergi Ergianto</t>
        </is>
      </c>
      <c r="D2333" s="47" t="n">
        <v>46181</v>
      </c>
      <c r="E2333" s="26" t="n">
        <v>0.5747685185185185</v>
      </c>
      <c r="F2333" s="27" t="inlineStr">
        <is>
          <t>Shift 2</t>
        </is>
      </c>
      <c r="G2333" s="27" t="n"/>
    </row>
    <row r="2334" hidden="1" s="169">
      <c r="A2334" s="27" t="inlineStr">
        <is>
          <t>MK00008</t>
        </is>
      </c>
      <c r="B2334" s="27" t="n">
        <v>528000360</v>
      </c>
      <c r="C2334" s="27" t="inlineStr">
        <is>
          <t>Hendra Permana</t>
        </is>
      </c>
      <c r="D2334" s="47" t="n">
        <v>46181</v>
      </c>
      <c r="E2334" s="26" t="n">
        <v>0.5769212962962963</v>
      </c>
      <c r="F2334" s="27" t="inlineStr">
        <is>
          <t>Shift 2</t>
        </is>
      </c>
      <c r="G2334" s="27" t="n"/>
    </row>
    <row r="2335" hidden="1" s="169">
      <c r="A2335" s="27" t="inlineStr">
        <is>
          <t>MK0130</t>
        </is>
      </c>
      <c r="B2335" s="27" t="n">
        <v>528000149</v>
      </c>
      <c r="C2335" s="27" t="inlineStr">
        <is>
          <t>Tio Fernanda</t>
        </is>
      </c>
      <c r="D2335" s="47" t="n">
        <v>46181</v>
      </c>
      <c r="E2335" s="26" t="n">
        <v>0.6505092592592593</v>
      </c>
      <c r="F2335" s="27" t="inlineStr">
        <is>
          <t>Shift 2</t>
        </is>
      </c>
      <c r="G2335" s="27" t="n"/>
    </row>
    <row r="2336" hidden="1" s="169">
      <c r="A2336" s="27" t="inlineStr">
        <is>
          <t>MK00221</t>
        </is>
      </c>
      <c r="B2336" s="27" t="n">
        <v>528000144</v>
      </c>
      <c r="C2336" s="27" t="inlineStr">
        <is>
          <t>Jodi Hanafi</t>
        </is>
      </c>
      <c r="D2336" s="47" t="n">
        <v>46181</v>
      </c>
      <c r="E2336" s="26" t="n">
        <v>0.6586574074074074</v>
      </c>
      <c r="F2336" s="27" t="inlineStr">
        <is>
          <t>Shift 2</t>
        </is>
      </c>
      <c r="G2336" s="27" t="n"/>
    </row>
    <row r="2337" hidden="1" s="169">
      <c r="A2337" s="27" t="inlineStr">
        <is>
          <t>MK00204</t>
        </is>
      </c>
      <c r="B2337" s="27" t="n">
        <v>528000335</v>
      </c>
      <c r="C2337" s="27" t="inlineStr">
        <is>
          <t>Rizal Saepuloh</t>
        </is>
      </c>
      <c r="D2337" s="47" t="n">
        <v>46181</v>
      </c>
      <c r="E2337" s="26" t="n">
        <v>0.6620833333333334</v>
      </c>
      <c r="F2337" s="27" t="inlineStr">
        <is>
          <t>Shift 2</t>
        </is>
      </c>
      <c r="G2337" s="27" t="n"/>
    </row>
    <row r="2338" hidden="1" s="169">
      <c r="A2338" s="27" t="inlineStr">
        <is>
          <t>MK00138</t>
        </is>
      </c>
      <c r="B2338" s="27" t="n">
        <v>528000361</v>
      </c>
      <c r="C2338" s="27" t="inlineStr">
        <is>
          <t>Denada Munggarani</t>
        </is>
      </c>
      <c r="D2338" s="47" t="n">
        <v>46181</v>
      </c>
      <c r="E2338" s="26" t="n">
        <v>0.8909722222222223</v>
      </c>
      <c r="F2338" s="27" t="inlineStr">
        <is>
          <t>Shift 3</t>
        </is>
      </c>
      <c r="G2338" s="27" t="n"/>
    </row>
    <row r="2339" hidden="1" s="169">
      <c r="A2339" s="27" t="inlineStr">
        <is>
          <t>MK00108</t>
        </is>
      </c>
      <c r="B2339" s="27" t="n">
        <v>528000313</v>
      </c>
      <c r="C2339" s="27" t="inlineStr">
        <is>
          <t>Muhamad Rifki</t>
        </is>
      </c>
      <c r="D2339" s="47" t="n">
        <v>46181</v>
      </c>
      <c r="E2339" s="26" t="n">
        <v>0.8936458333333334</v>
      </c>
      <c r="F2339" s="27" t="inlineStr">
        <is>
          <t>Shift 3</t>
        </is>
      </c>
      <c r="G2339" s="27" t="n"/>
    </row>
    <row r="2340" hidden="1" s="169">
      <c r="A2340" s="27" t="inlineStr">
        <is>
          <t>MK00208</t>
        </is>
      </c>
      <c r="B2340" s="27" t="n">
        <v>528000305</v>
      </c>
      <c r="C2340" s="27" t="inlineStr">
        <is>
          <t>Puji Puspita</t>
        </is>
      </c>
      <c r="D2340" s="47" t="n">
        <v>46181</v>
      </c>
      <c r="E2340" s="26" t="n">
        <v>0.8939351851851852</v>
      </c>
      <c r="F2340" s="27" t="inlineStr">
        <is>
          <t>Shift 3</t>
        </is>
      </c>
      <c r="G2340" s="27" t="n"/>
    </row>
    <row r="2341" hidden="1" s="169">
      <c r="A2341" s="27" t="inlineStr">
        <is>
          <t>MK00213</t>
        </is>
      </c>
      <c r="B2341" s="27" t="n">
        <v>528000238</v>
      </c>
      <c r="C2341" s="27" t="inlineStr">
        <is>
          <t>Indah Lusiana</t>
        </is>
      </c>
      <c r="D2341" s="47" t="n">
        <v>46181</v>
      </c>
      <c r="E2341" s="26" t="n">
        <v>0.8970486111111111</v>
      </c>
      <c r="F2341" s="27" t="inlineStr">
        <is>
          <t>Shift 3</t>
        </is>
      </c>
      <c r="G2341" s="27" t="n"/>
    </row>
    <row r="2342" hidden="1" s="169">
      <c r="A2342" s="27" t="inlineStr">
        <is>
          <t>MK00192</t>
        </is>
      </c>
      <c r="B2342" s="27" t="n">
        <v>528000322</v>
      </c>
      <c r="C2342" s="27" t="inlineStr">
        <is>
          <t>Muhamad Aliludin</t>
        </is>
      </c>
      <c r="D2342" s="47" t="n">
        <v>46181</v>
      </c>
      <c r="E2342" s="26" t="n">
        <v>0.9014004629629629</v>
      </c>
      <c r="F2342" s="27" t="inlineStr">
        <is>
          <t>Shift 3</t>
        </is>
      </c>
      <c r="G2342" s="27" t="n"/>
    </row>
    <row r="2343" hidden="1" s="169">
      <c r="A2343" s="27" t="inlineStr">
        <is>
          <t>MK00230</t>
        </is>
      </c>
      <c r="B2343" s="27" t="n">
        <v>528000309</v>
      </c>
      <c r="C2343" s="27" t="inlineStr">
        <is>
          <t>Ilham Ramadhan</t>
        </is>
      </c>
      <c r="D2343" s="47" t="n">
        <v>46181</v>
      </c>
      <c r="E2343" s="26" t="n">
        <v>0.9016435185185185</v>
      </c>
      <c r="F2343" s="27" t="inlineStr">
        <is>
          <t>Shift 3</t>
        </is>
      </c>
      <c r="G2343" s="27" t="n"/>
    </row>
    <row r="2344" hidden="1" s="169">
      <c r="A2344" s="27" t="inlineStr">
        <is>
          <t>MK00160</t>
        </is>
      </c>
      <c r="B2344" s="27" t="n">
        <v>628000091</v>
      </c>
      <c r="C2344" s="27" t="inlineStr">
        <is>
          <t>Devita Handayani</t>
        </is>
      </c>
      <c r="D2344" s="47" t="n">
        <v>46181</v>
      </c>
      <c r="E2344" s="26" t="n">
        <v>0.9028356481481481</v>
      </c>
      <c r="F2344" s="27" t="inlineStr">
        <is>
          <t>Shift 3</t>
        </is>
      </c>
      <c r="G2344" s="27" t="n"/>
    </row>
    <row r="2345" hidden="1" s="169">
      <c r="A2345" s="27" t="inlineStr">
        <is>
          <t>MK00220</t>
        </is>
      </c>
      <c r="B2345" s="27" t="n">
        <v>528000340</v>
      </c>
      <c r="C2345" s="27" t="inlineStr">
        <is>
          <t>Muhammad Wildan Adithya</t>
        </is>
      </c>
      <c r="D2345" s="47" t="n">
        <v>46181</v>
      </c>
      <c r="E2345" s="26" t="n">
        <v>0.9031597222222222</v>
      </c>
      <c r="F2345" s="27" t="inlineStr">
        <is>
          <t>Shift 3</t>
        </is>
      </c>
      <c r="G2345" s="27" t="n"/>
    </row>
    <row r="2346" hidden="1" s="169">
      <c r="A2346" s="27" t="inlineStr">
        <is>
          <t>MK00116</t>
        </is>
      </c>
      <c r="B2346" s="27" t="n">
        <v>528000298</v>
      </c>
      <c r="C2346" s="27" t="inlineStr">
        <is>
          <t>Desta Cahaya Pratama</t>
        </is>
      </c>
      <c r="D2346" s="47" t="n">
        <v>46181</v>
      </c>
      <c r="E2346" s="26" t="n">
        <v>0.906712962962963</v>
      </c>
      <c r="F2346" s="27" t="inlineStr">
        <is>
          <t>Shift 3</t>
        </is>
      </c>
      <c r="G2346" s="27" t="n"/>
    </row>
    <row r="2347">
      <c r="A2347" s="27" t="inlineStr">
        <is>
          <t>MK00200</t>
        </is>
      </c>
      <c r="B2347" s="27" t="n">
        <v>528000015</v>
      </c>
      <c r="C2347" s="27" t="inlineStr">
        <is>
          <t>Erwin</t>
        </is>
      </c>
      <c r="D2347" s="47" t="n">
        <v>46181</v>
      </c>
      <c r="E2347" s="26" t="n">
        <v>0.9078240740740741</v>
      </c>
      <c r="F2347" s="27" t="inlineStr">
        <is>
          <t>Shift 3</t>
        </is>
      </c>
      <c r="G2347" s="27" t="n"/>
    </row>
    <row r="2348" hidden="1" s="169">
      <c r="A2348" s="27" t="inlineStr">
        <is>
          <t>MK00095</t>
        </is>
      </c>
      <c r="B2348" s="27" t="n">
        <v>528000302</v>
      </c>
      <c r="C2348" s="27" t="inlineStr">
        <is>
          <t>Henkey gumilar</t>
        </is>
      </c>
      <c r="D2348" s="47" t="n">
        <v>46181</v>
      </c>
      <c r="E2348" s="26" t="n">
        <v>0.917349537037037</v>
      </c>
      <c r="F2348" s="27" t="inlineStr">
        <is>
          <t>Shift 3</t>
        </is>
      </c>
      <c r="G2348" s="27" t="n"/>
    </row>
    <row r="2349" hidden="1" s="169">
      <c r="A2349" s="27" t="inlineStr">
        <is>
          <t>MK00217</t>
        </is>
      </c>
      <c r="B2349" s="27" t="n">
        <v>528000339</v>
      </c>
      <c r="C2349" s="27" t="inlineStr">
        <is>
          <t>Muhamad Ripai'i</t>
        </is>
      </c>
      <c r="D2349" s="47" t="n">
        <v>46211</v>
      </c>
      <c r="E2349" s="26" t="n">
        <v>0.2315162037037037</v>
      </c>
      <c r="F2349" s="27" t="inlineStr">
        <is>
          <t>Shift 1</t>
        </is>
      </c>
      <c r="G2349" s="27" t="n"/>
    </row>
    <row r="2350" hidden="1" s="169">
      <c r="A2350" s="27" t="inlineStr">
        <is>
          <t>MK00121</t>
        </is>
      </c>
      <c r="B2350" s="27" t="n">
        <v>528000289</v>
      </c>
      <c r="C2350" s="27" t="inlineStr">
        <is>
          <t>Adit Supriyadi</t>
        </is>
      </c>
      <c r="D2350" s="47" t="n">
        <v>46211</v>
      </c>
      <c r="E2350" s="26" t="n">
        <v>0.2324768518518519</v>
      </c>
      <c r="F2350" s="27" t="inlineStr">
        <is>
          <t>Shift 1</t>
        </is>
      </c>
      <c r="G2350" s="27" t="n"/>
    </row>
    <row r="2351" hidden="1" s="169">
      <c r="A2351" s="27" t="inlineStr">
        <is>
          <t>MK00203</t>
        </is>
      </c>
      <c r="B2351" s="27" t="n">
        <v>528000286</v>
      </c>
      <c r="C2351" s="27" t="inlineStr">
        <is>
          <t>Imelda Amelia</t>
        </is>
      </c>
      <c r="D2351" s="47" t="n">
        <v>46211</v>
      </c>
      <c r="E2351" s="26" t="n">
        <v>0.2368055555555555</v>
      </c>
      <c r="F2351" s="27" t="inlineStr">
        <is>
          <t>Shift 1</t>
        </is>
      </c>
      <c r="G2351" s="27" t="n"/>
    </row>
    <row r="2352" hidden="1" s="169">
      <c r="A2352" s="27" t="inlineStr">
        <is>
          <t>MK00112</t>
        </is>
      </c>
      <c r="B2352" s="27" t="n">
        <v>528000201</v>
      </c>
      <c r="C2352" s="27" t="inlineStr">
        <is>
          <t>Zahwa Amelia Choerunissa</t>
        </is>
      </c>
      <c r="D2352" s="47" t="n">
        <v>46211</v>
      </c>
      <c r="E2352" s="26" t="n">
        <v>0.2405092592592593</v>
      </c>
      <c r="F2352" s="27" t="inlineStr">
        <is>
          <t>Shift 1</t>
        </is>
      </c>
      <c r="G2352" s="27" t="n"/>
    </row>
    <row r="2353" hidden="1" s="169">
      <c r="A2353" s="27" t="inlineStr">
        <is>
          <t>MK00134</t>
        </is>
      </c>
      <c r="B2353" s="27" t="n">
        <v>528000090</v>
      </c>
      <c r="C2353" s="27" t="inlineStr">
        <is>
          <t>Suganda</t>
        </is>
      </c>
      <c r="D2353" s="47" t="n">
        <v>46211</v>
      </c>
      <c r="E2353" s="26" t="n">
        <v>0.2436458333333333</v>
      </c>
      <c r="F2353" s="27" t="inlineStr">
        <is>
          <t>Shift 1</t>
        </is>
      </c>
      <c r="G2353" s="27" t="n"/>
    </row>
    <row r="2354" hidden="1" s="169">
      <c r="A2354" s="27" t="inlineStr">
        <is>
          <t>MK00250</t>
        </is>
      </c>
      <c r="B2354" s="27" t="n">
        <v>528000241</v>
      </c>
      <c r="C2354" s="27" t="inlineStr">
        <is>
          <t>Balia Nurafif Bilah</t>
        </is>
      </c>
      <c r="D2354" s="47" t="n">
        <v>46211</v>
      </c>
      <c r="E2354" s="26" t="n">
        <v>0.2444675925925926</v>
      </c>
      <c r="F2354" s="27" t="inlineStr">
        <is>
          <t>Shift 1</t>
        </is>
      </c>
      <c r="G2354" s="27" t="n"/>
    </row>
    <row r="2355" hidden="1" s="169">
      <c r="A2355" s="27" t="inlineStr">
        <is>
          <t>MK00249</t>
        </is>
      </c>
      <c r="B2355" s="27" t="n">
        <v>528000228</v>
      </c>
      <c r="C2355" s="27" t="inlineStr">
        <is>
          <t>Banyu Resmi Putri</t>
        </is>
      </c>
      <c r="D2355" s="47" t="n">
        <v>46211</v>
      </c>
      <c r="E2355" s="26" t="n">
        <v>0.2457638888888889</v>
      </c>
      <c r="F2355" s="27" t="inlineStr">
        <is>
          <t>Shift 1</t>
        </is>
      </c>
      <c r="G2355" s="27" t="n"/>
    </row>
    <row r="2356" hidden="1" s="169">
      <c r="A2356" s="27" t="inlineStr">
        <is>
          <t>MK00082</t>
        </is>
      </c>
      <c r="B2356" s="27" t="n">
        <v>528000273</v>
      </c>
      <c r="C2356" s="27" t="inlineStr">
        <is>
          <t>Asep Mulyana</t>
        </is>
      </c>
      <c r="D2356" s="47" t="n">
        <v>46211</v>
      </c>
      <c r="E2356" s="26" t="n">
        <v>0.2466666666666667</v>
      </c>
      <c r="F2356" s="27" t="inlineStr">
        <is>
          <t>Shift 1</t>
        </is>
      </c>
      <c r="G2356" s="27" t="n"/>
    </row>
    <row r="2357" hidden="1" s="169">
      <c r="A2357" s="27" t="inlineStr">
        <is>
          <t>MK00109</t>
        </is>
      </c>
      <c r="B2357" s="27" t="n">
        <v>528000290</v>
      </c>
      <c r="C2357" s="27" t="inlineStr">
        <is>
          <t>Eval Pranata</t>
        </is>
      </c>
      <c r="D2357" s="47" t="n">
        <v>46211</v>
      </c>
      <c r="E2357" s="26" t="n">
        <v>0.248587962962963</v>
      </c>
      <c r="F2357" s="27" t="inlineStr">
        <is>
          <t>Shift 1</t>
        </is>
      </c>
      <c r="G2357" s="27" t="n"/>
    </row>
    <row r="2358" hidden="1" s="169">
      <c r="A2358" s="27" t="inlineStr">
        <is>
          <t>MK00186</t>
        </is>
      </c>
      <c r="B2358" s="27" t="n">
        <v>528000212</v>
      </c>
      <c r="C2358" s="27" t="inlineStr">
        <is>
          <t>Rizal Fauzi</t>
        </is>
      </c>
      <c r="D2358" s="47" t="n">
        <v>46211</v>
      </c>
      <c r="E2358" s="26" t="n">
        <v>0.2491203703703704</v>
      </c>
      <c r="F2358" s="27" t="inlineStr">
        <is>
          <t>Shift 1</t>
        </is>
      </c>
      <c r="G2358" s="27" t="n"/>
    </row>
    <row r="2359" hidden="1" s="169">
      <c r="A2359" s="27" t="inlineStr">
        <is>
          <t>MK00217</t>
        </is>
      </c>
      <c r="B2359" s="27" t="n">
        <v>528000274</v>
      </c>
      <c r="C2359" s="27" t="inlineStr">
        <is>
          <t>Zepri</t>
        </is>
      </c>
      <c r="D2359" s="47" t="n">
        <v>46211</v>
      </c>
      <c r="E2359" s="26" t="n">
        <v>0.2494675925925926</v>
      </c>
      <c r="F2359" s="27" t="inlineStr">
        <is>
          <t>Shift 1</t>
        </is>
      </c>
      <c r="G2359" s="27" t="n"/>
    </row>
    <row r="2360" hidden="1" s="169">
      <c r="A2360" s="27" t="inlineStr">
        <is>
          <t>MK00184</t>
        </is>
      </c>
      <c r="B2360" s="27" t="n">
        <v>528000359</v>
      </c>
      <c r="C2360" s="27" t="inlineStr">
        <is>
          <t>M. Iqbal Maulana. S</t>
        </is>
      </c>
      <c r="D2360" s="47" t="n">
        <v>46211</v>
      </c>
      <c r="E2360" s="26" t="n">
        <v>0.2506018518518519</v>
      </c>
      <c r="F2360" s="27" t="inlineStr">
        <is>
          <t>Shift 1</t>
        </is>
      </c>
      <c r="G2360" s="27" t="n"/>
    </row>
    <row r="2361" hidden="1" s="169">
      <c r="A2361" s="27" t="inlineStr">
        <is>
          <t>MK00160</t>
        </is>
      </c>
      <c r="B2361" s="27" t="n">
        <v>528000282</v>
      </c>
      <c r="C2361" s="27" t="inlineStr">
        <is>
          <t>Defa Desfiana</t>
        </is>
      </c>
      <c r="D2361" s="47" t="n">
        <v>46211</v>
      </c>
      <c r="E2361" s="26" t="n">
        <v>0.3232407407407407</v>
      </c>
      <c r="F2361" s="27" t="inlineStr">
        <is>
          <t>Shift 1</t>
        </is>
      </c>
      <c r="G2361" s="27" t="inlineStr">
        <is>
          <t>5a</t>
        </is>
      </c>
    </row>
    <row r="2362" hidden="1" s="169">
      <c r="A2362" s="27" t="inlineStr">
        <is>
          <t>MK00138</t>
        </is>
      </c>
      <c r="B2362" s="27" t="n">
        <v>528000265</v>
      </c>
      <c r="C2362" s="27" t="inlineStr">
        <is>
          <t>Muhammad Haerul Rozikin</t>
        </is>
      </c>
      <c r="D2362" s="47" t="n">
        <v>46211</v>
      </c>
      <c r="E2362" s="26" t="n">
        <v>0.3239814814814815</v>
      </c>
      <c r="F2362" s="27" t="inlineStr">
        <is>
          <t>Shift 1</t>
        </is>
      </c>
      <c r="G2362" s="27" t="n"/>
    </row>
    <row r="2363" hidden="1" s="169">
      <c r="A2363" s="27" t="inlineStr">
        <is>
          <t>MK00208</t>
        </is>
      </c>
      <c r="B2363" s="27" t="n">
        <v>528000310</v>
      </c>
      <c r="C2363" s="27" t="inlineStr">
        <is>
          <t>Fachrul Rozzi Suryana</t>
        </is>
      </c>
      <c r="D2363" s="47" t="n">
        <v>46211</v>
      </c>
      <c r="E2363" s="26" t="n">
        <v>0.3333333333333333</v>
      </c>
      <c r="F2363" s="27" t="inlineStr">
        <is>
          <t>Shift 1</t>
        </is>
      </c>
      <c r="G2363" s="27" t="inlineStr">
        <is>
          <t>23F</t>
        </is>
      </c>
    </row>
    <row r="2364" hidden="1" s="169">
      <c r="A2364" s="27" t="inlineStr">
        <is>
          <t>MK00150</t>
        </is>
      </c>
      <c r="B2364" s="27" t="n">
        <v>528000232</v>
      </c>
      <c r="C2364" s="27" t="inlineStr">
        <is>
          <t>Agung Aji Suhada</t>
        </is>
      </c>
      <c r="D2364" s="47" t="n">
        <v>46211</v>
      </c>
      <c r="E2364" s="26" t="n">
        <v>0.3662384259259259</v>
      </c>
      <c r="F2364" s="27" t="inlineStr">
        <is>
          <t>Shift 1</t>
        </is>
      </c>
      <c r="G2364" s="27" t="n"/>
    </row>
    <row r="2365" hidden="1" s="169">
      <c r="A2365" s="27" t="inlineStr">
        <is>
          <t>MK00141</t>
        </is>
      </c>
      <c r="B2365" s="27" t="n">
        <v>528000040</v>
      </c>
      <c r="C2365" s="27" t="inlineStr">
        <is>
          <t>Agus Suryaman</t>
        </is>
      </c>
      <c r="D2365" s="47" t="n">
        <v>46211</v>
      </c>
      <c r="E2365" s="26" t="n">
        <v>0.3686226851851852</v>
      </c>
      <c r="F2365" s="27" t="inlineStr">
        <is>
          <t>Shift 1</t>
        </is>
      </c>
      <c r="G2365" s="27" t="n"/>
    </row>
    <row r="2366" hidden="1" s="169">
      <c r="A2366" s="27" t="inlineStr">
        <is>
          <t>MK00205</t>
        </is>
      </c>
      <c r="B2366" s="27" t="n">
        <v>528000348</v>
      </c>
      <c r="C2366" s="27" t="inlineStr">
        <is>
          <t>Saepuloh Ardiansah</t>
        </is>
      </c>
      <c r="D2366" s="47" t="n">
        <v>46211</v>
      </c>
      <c r="E2366" s="26" t="n">
        <v>0.3711342592592592</v>
      </c>
      <c r="F2366" s="27" t="inlineStr">
        <is>
          <t>Shift 1</t>
        </is>
      </c>
      <c r="G2366" s="27" t="n"/>
    </row>
    <row r="2367" hidden="1" s="169">
      <c r="A2367" s="27" t="inlineStr">
        <is>
          <t>MK00220</t>
        </is>
      </c>
      <c r="B2367" s="27" t="n">
        <v>528000349</v>
      </c>
      <c r="C2367" s="27" t="inlineStr">
        <is>
          <t>Anas Abdul Fatah</t>
        </is>
      </c>
      <c r="D2367" s="47" t="n">
        <v>46211</v>
      </c>
      <c r="E2367" s="26" t="n">
        <v>0.3980324074074074</v>
      </c>
      <c r="F2367" s="27" t="inlineStr">
        <is>
          <t>Shift 1</t>
        </is>
      </c>
      <c r="G2367" s="27" t="n"/>
    </row>
    <row r="2368" hidden="1" s="169">
      <c r="A2368" s="27" t="inlineStr">
        <is>
          <t>MK00108</t>
        </is>
      </c>
      <c r="B2368" s="27" t="n">
        <v>528000052</v>
      </c>
      <c r="C2368" s="27" t="inlineStr">
        <is>
          <t>Mustopa</t>
        </is>
      </c>
      <c r="D2368" s="47" t="n">
        <v>46211</v>
      </c>
      <c r="E2368" s="26" t="n">
        <v>0.5459259259259259</v>
      </c>
      <c r="F2368" s="27" t="inlineStr">
        <is>
          <t>Shift 2</t>
        </is>
      </c>
      <c r="G2368" s="27" t="n"/>
    </row>
    <row r="2369" hidden="1" s="169">
      <c r="A2369" s="27" t="inlineStr">
        <is>
          <t>MK00209</t>
        </is>
      </c>
      <c r="B2369" s="27" t="n">
        <v>528000262</v>
      </c>
      <c r="C2369" s="27" t="inlineStr">
        <is>
          <t>Ndari Dwiwanti</t>
        </is>
      </c>
      <c r="D2369" s="47" t="n">
        <v>46211</v>
      </c>
      <c r="E2369" s="26" t="n">
        <v>0.5658680555555555</v>
      </c>
      <c r="F2369" s="27" t="inlineStr">
        <is>
          <t>Shift 2</t>
        </is>
      </c>
      <c r="G2369" s="27" t="n"/>
    </row>
    <row r="2370" hidden="1" s="169">
      <c r="A2370" s="27" t="inlineStr">
        <is>
          <t>MK00143</t>
        </is>
      </c>
      <c r="B2370" s="27" t="n">
        <v>528000358</v>
      </c>
      <c r="C2370" s="27" t="inlineStr">
        <is>
          <t>Lulu Agustin</t>
        </is>
      </c>
      <c r="D2370" s="47" t="n">
        <v>46211</v>
      </c>
      <c r="E2370" s="26" t="n">
        <v>0.5682986111111111</v>
      </c>
      <c r="F2370" s="27" t="inlineStr">
        <is>
          <t>Shift 2</t>
        </is>
      </c>
      <c r="G2370" s="27" t="n"/>
    </row>
    <row r="2371" hidden="1" s="169">
      <c r="A2371" s="27" t="inlineStr">
        <is>
          <t>MK0088</t>
        </is>
      </c>
      <c r="B2371" s="27" t="n">
        <v>528000336</v>
      </c>
      <c r="C2371" s="27" t="inlineStr">
        <is>
          <t>Ali Nurhanafi</t>
        </is>
      </c>
      <c r="D2371" s="47" t="n">
        <v>46211</v>
      </c>
      <c r="E2371" s="26" t="n">
        <v>0.5686805555555555</v>
      </c>
      <c r="F2371" s="27" t="inlineStr">
        <is>
          <t>Shift 2</t>
        </is>
      </c>
      <c r="G2371" s="27" t="n"/>
    </row>
    <row r="2372" hidden="1" s="169">
      <c r="A2372" s="27" t="inlineStr">
        <is>
          <t>MK00213</t>
        </is>
      </c>
      <c r="B2372" s="27" t="n">
        <v>528000195</v>
      </c>
      <c r="C2372" s="27" t="inlineStr">
        <is>
          <t>Rahma Sariwati</t>
        </is>
      </c>
      <c r="D2372" s="47" t="n">
        <v>46211</v>
      </c>
      <c r="E2372" s="26" t="n">
        <v>0.5698263888888889</v>
      </c>
      <c r="F2372" s="27" t="inlineStr">
        <is>
          <t>Shift 2</t>
        </is>
      </c>
      <c r="G2372" s="27" t="n"/>
    </row>
    <row r="2373" hidden="1" s="169">
      <c r="A2373" s="27" t="inlineStr">
        <is>
          <t>MK00192</t>
        </is>
      </c>
      <c r="B2373" s="27" t="n">
        <v>528000291</v>
      </c>
      <c r="C2373" s="27" t="inlineStr">
        <is>
          <t>Andrian</t>
        </is>
      </c>
      <c r="D2373" s="47" t="n">
        <v>46211</v>
      </c>
      <c r="E2373" s="26" t="n">
        <v>0.5722106481481481</v>
      </c>
      <c r="F2373" s="27" t="inlineStr">
        <is>
          <t>Shift 2</t>
        </is>
      </c>
      <c r="G2373" s="27" t="n"/>
    </row>
    <row r="2374" hidden="1" s="169">
      <c r="A2374" s="27" t="inlineStr">
        <is>
          <t>MK00125</t>
        </is>
      </c>
      <c r="B2374" s="27" t="n">
        <v>528000314</v>
      </c>
      <c r="C2374" s="27" t="inlineStr">
        <is>
          <t>Rusmana</t>
        </is>
      </c>
      <c r="D2374" s="47" t="n">
        <v>46211</v>
      </c>
      <c r="E2374" s="26" t="n">
        <v>0.5736689814814815</v>
      </c>
      <c r="F2374" s="27" t="inlineStr">
        <is>
          <t>Shift 2</t>
        </is>
      </c>
      <c r="G2374" s="27" t="n"/>
    </row>
    <row r="2375" hidden="1" s="169">
      <c r="A2375" s="27" t="inlineStr">
        <is>
          <t>MK00230</t>
        </is>
      </c>
      <c r="B2375" s="27" t="n">
        <v>528000283</v>
      </c>
      <c r="C2375" s="27" t="inlineStr">
        <is>
          <t>Purwanda Sugiri</t>
        </is>
      </c>
      <c r="D2375" s="47" t="n">
        <v>46211</v>
      </c>
      <c r="E2375" s="26" t="n">
        <v>0.5740162037037037</v>
      </c>
      <c r="F2375" s="27" t="inlineStr">
        <is>
          <t>Shift 2</t>
        </is>
      </c>
      <c r="G2375" s="27" t="n"/>
    </row>
    <row r="2376" hidden="1" s="169">
      <c r="A2376" s="27" t="inlineStr">
        <is>
          <t>MK00210</t>
        </is>
      </c>
      <c r="B2376" s="27" t="n">
        <v>528000261</v>
      </c>
      <c r="C2376" s="27" t="inlineStr">
        <is>
          <t>Ergi Ergianto</t>
        </is>
      </c>
      <c r="D2376" s="47" t="n">
        <v>46211</v>
      </c>
      <c r="E2376" s="26" t="n">
        <v>0.5751736111111111</v>
      </c>
      <c r="F2376" s="27" t="inlineStr">
        <is>
          <t>Shift 2</t>
        </is>
      </c>
      <c r="G2376" s="27" t="n"/>
    </row>
    <row r="2377" hidden="1" s="169">
      <c r="A2377" s="27" t="inlineStr">
        <is>
          <t>MK00212</t>
        </is>
      </c>
      <c r="B2377" s="27" t="n">
        <v>528000261</v>
      </c>
      <c r="C2377" s="27" t="inlineStr">
        <is>
          <t>Ergi Ergianto</t>
        </is>
      </c>
      <c r="D2377" s="47" t="n">
        <v>46211</v>
      </c>
      <c r="E2377" s="26" t="n">
        <v>0.5776157407407407</v>
      </c>
      <c r="F2377" s="27" t="inlineStr">
        <is>
          <t>Shift 2</t>
        </is>
      </c>
      <c r="G2377" s="27" t="n"/>
    </row>
    <row r="2378" hidden="1" s="169">
      <c r="A2378" s="27" t="inlineStr">
        <is>
          <t>MK00235</t>
        </is>
      </c>
      <c r="B2378" s="27" t="n">
        <v>528000360</v>
      </c>
      <c r="C2378" s="27" t="inlineStr">
        <is>
          <t>Hendra Permana</t>
        </is>
      </c>
      <c r="D2378" s="47" t="n">
        <v>46211</v>
      </c>
      <c r="E2378" s="26" t="n">
        <v>0.5798263888888889</v>
      </c>
      <c r="F2378" s="27" t="inlineStr">
        <is>
          <t>Shift 2</t>
        </is>
      </c>
      <c r="G2378" s="27" t="n"/>
    </row>
    <row r="2379" hidden="1" s="169">
      <c r="A2379" s="27" t="inlineStr">
        <is>
          <t>MK00112</t>
        </is>
      </c>
      <c r="B2379" s="27" t="n">
        <v>528000098</v>
      </c>
      <c r="C2379" s="27" t="inlineStr">
        <is>
          <t>Edi Junaedi</t>
        </is>
      </c>
      <c r="D2379" s="171" t="n">
        <v>46240.41666666666</v>
      </c>
      <c r="E2379" s="26" t="n">
        <v>0.6040972222222222</v>
      </c>
      <c r="F2379" s="27" t="inlineStr">
        <is>
          <t>Shift 2</t>
        </is>
      </c>
      <c r="G2379" s="27" t="inlineStr">
        <is>
          <t>12A</t>
        </is>
      </c>
    </row>
    <row r="2380" hidden="1" s="169">
      <c r="A2380" s="27" t="inlineStr">
        <is>
          <t>MK0130</t>
        </is>
      </c>
      <c r="B2380" s="27" t="n">
        <v>528000149</v>
      </c>
      <c r="C2380" s="27" t="inlineStr">
        <is>
          <t>Tio Fernanda</t>
        </is>
      </c>
      <c r="D2380" s="47" t="n">
        <v>46211</v>
      </c>
      <c r="E2380" s="26" t="n">
        <v>0.6448263888888889</v>
      </c>
      <c r="F2380" s="27" t="inlineStr">
        <is>
          <t>Shift 2</t>
        </is>
      </c>
      <c r="G2380" s="27" t="n"/>
    </row>
    <row r="2381">
      <c r="A2381" s="27" t="inlineStr">
        <is>
          <t>MK00204</t>
        </is>
      </c>
      <c r="B2381" s="27" t="n">
        <v>528000335</v>
      </c>
      <c r="C2381" s="27" t="inlineStr">
        <is>
          <t>Rizal Saepuloh</t>
        </is>
      </c>
      <c r="D2381" s="47" t="n">
        <v>46211</v>
      </c>
      <c r="E2381" s="26" t="n">
        <v>0.6606944444444445</v>
      </c>
      <c r="F2381" s="27" t="inlineStr">
        <is>
          <t>Shift 2</t>
        </is>
      </c>
      <c r="G2381" s="27" t="n"/>
    </row>
    <row r="2382">
      <c r="A2382" s="27" t="inlineStr">
        <is>
          <t>MK00221</t>
        </is>
      </c>
      <c r="B2382" s="27" t="n">
        <v>528000144</v>
      </c>
      <c r="C2382" s="27" t="inlineStr">
        <is>
          <t>Jodi Hanafi</t>
        </is>
      </c>
      <c r="D2382" s="47" t="n">
        <v>46211</v>
      </c>
      <c r="E2382" s="26" t="n">
        <v>0.6682986111111111</v>
      </c>
      <c r="F2382" s="27" t="inlineStr">
        <is>
          <t>Shift 2</t>
        </is>
      </c>
      <c r="G2382" s="27" t="n"/>
    </row>
    <row r="2383">
      <c r="A2383" s="27" t="inlineStr">
        <is>
          <t>MK00136</t>
        </is>
      </c>
      <c r="B2383" s="27" t="n">
        <v>528000203</v>
      </c>
      <c r="C2383" s="27" t="inlineStr">
        <is>
          <t>Yudha Ramdhan Putra</t>
        </is>
      </c>
      <c r="D2383" s="47" t="n">
        <v>46211</v>
      </c>
      <c r="E2383" s="26" t="n">
        <v>0.6699768518518519</v>
      </c>
      <c r="F2383" s="27" t="inlineStr">
        <is>
          <t>Shift 2</t>
        </is>
      </c>
      <c r="G2383" s="27" t="n"/>
    </row>
    <row r="2384">
      <c r="A2384" s="27" t="inlineStr">
        <is>
          <t>MK00141</t>
        </is>
      </c>
      <c r="B2384" s="27" t="n">
        <v>528000040</v>
      </c>
      <c r="C2384" s="27" t="inlineStr">
        <is>
          <t>Agus Suryaman</t>
        </is>
      </c>
      <c r="D2384" s="47" t="n">
        <v>46211</v>
      </c>
      <c r="E2384" s="26" t="n">
        <v>0.7174421296296296</v>
      </c>
      <c r="F2384" s="27" t="inlineStr">
        <is>
          <t>Shift 2</t>
        </is>
      </c>
      <c r="G2384" s="27" t="n"/>
    </row>
    <row r="2385">
      <c r="A2385" s="27" t="inlineStr">
        <is>
          <t>MK00207</t>
        </is>
      </c>
      <c r="B2385" s="27" t="n">
        <v>628000078</v>
      </c>
      <c r="C2385" s="27" t="inlineStr">
        <is>
          <t>Sudiro</t>
        </is>
      </c>
      <c r="D2385" s="47" t="n">
        <v>46211</v>
      </c>
      <c r="E2385" s="26" t="n">
        <v>0.7178472222222222</v>
      </c>
      <c r="F2385" s="27" t="inlineStr">
        <is>
          <t>Shift 2</t>
        </is>
      </c>
      <c r="G2385" s="27" t="n"/>
    </row>
    <row r="2386">
      <c r="A2386" s="27" t="inlineStr">
        <is>
          <t>MK00220</t>
        </is>
      </c>
      <c r="B2386" s="27" t="n">
        <v>528000299</v>
      </c>
      <c r="C2386" s="27" t="inlineStr">
        <is>
          <t>Siti Nurjanah</t>
        </is>
      </c>
      <c r="D2386" s="171" t="n">
        <v>46240.41666666666</v>
      </c>
      <c r="E2386" s="26" t="n">
        <v>0.8903009259259259</v>
      </c>
      <c r="F2386" s="27" t="inlineStr">
        <is>
          <t>Shift 3</t>
        </is>
      </c>
      <c r="G2386" s="27" t="n"/>
    </row>
    <row r="2387">
      <c r="A2387" s="27" t="inlineStr">
        <is>
          <t>MK00185</t>
        </is>
      </c>
      <c r="B2387" s="27" t="n">
        <v>528000305</v>
      </c>
      <c r="C2387" s="27" t="inlineStr">
        <is>
          <t>Puji Puspita</t>
        </is>
      </c>
      <c r="D2387" s="171" t="n">
        <v>46240.41666666666</v>
      </c>
      <c r="E2387" s="26" t="n">
        <v>0.8958680555555556</v>
      </c>
      <c r="F2387" s="27" t="inlineStr">
        <is>
          <t>Shift 3</t>
        </is>
      </c>
      <c r="G2387" s="27" t="n"/>
    </row>
    <row r="2388">
      <c r="A2388" s="27" t="inlineStr">
        <is>
          <t>MK00134</t>
        </is>
      </c>
      <c r="B2388" s="27" t="n">
        <v>528000361</v>
      </c>
      <c r="C2388" s="27" t="inlineStr">
        <is>
          <t>Denada Munggarani</t>
        </is>
      </c>
      <c r="D2388" s="171" t="n">
        <v>46240.41666666666</v>
      </c>
      <c r="E2388" s="26" t="n">
        <v>0.8973726851851852</v>
      </c>
      <c r="F2388" s="27" t="inlineStr">
        <is>
          <t>Shift 3</t>
        </is>
      </c>
      <c r="G2388" s="27" t="n"/>
    </row>
    <row r="2389">
      <c r="A2389" s="27" t="inlineStr">
        <is>
          <t>MK00218</t>
        </is>
      </c>
      <c r="B2389" s="27" t="n">
        <v>528000340</v>
      </c>
      <c r="C2389" s="27" t="inlineStr">
        <is>
          <t>Muhammad Wildan Adithya</t>
        </is>
      </c>
      <c r="D2389" s="171" t="n">
        <v>46240.41666666666</v>
      </c>
      <c r="E2389" s="26" t="n">
        <v>0.8976504629629629</v>
      </c>
      <c r="F2389" s="27" t="inlineStr">
        <is>
          <t>Shift 3</t>
        </is>
      </c>
      <c r="G2389" s="27" t="n"/>
    </row>
    <row r="2390">
      <c r="A2390" s="27" t="inlineStr">
        <is>
          <t>MK00184</t>
        </is>
      </c>
      <c r="B2390" s="27" t="n">
        <v>528000318</v>
      </c>
      <c r="C2390" s="27" t="inlineStr">
        <is>
          <t>Bayu Padli Sepriyana</t>
        </is>
      </c>
      <c r="D2390" s="171" t="n">
        <v>46240.41666666666</v>
      </c>
      <c r="E2390" s="26" t="n">
        <v>0.8983333333333333</v>
      </c>
      <c r="F2390" s="27" t="inlineStr">
        <is>
          <t>Shift 3</t>
        </is>
      </c>
      <c r="G2390" s="27" t="n"/>
    </row>
    <row r="2391">
      <c r="A2391" s="27" t="inlineStr">
        <is>
          <t>MK00138</t>
        </is>
      </c>
      <c r="B2391" s="27" t="n">
        <v>528000298</v>
      </c>
      <c r="C2391" s="27" t="inlineStr">
        <is>
          <t>Desta Cahaya Pratama</t>
        </is>
      </c>
      <c r="D2391" s="171" t="n">
        <v>46240.41666666666</v>
      </c>
      <c r="E2391" s="26" t="n">
        <v>0.9008680555555556</v>
      </c>
      <c r="F2391" s="27" t="inlineStr">
        <is>
          <t>Shift 3</t>
        </is>
      </c>
      <c r="G2391" s="27" t="n"/>
    </row>
    <row r="2392">
      <c r="A2392" s="27" t="inlineStr">
        <is>
          <t>MK00217</t>
        </is>
      </c>
      <c r="B2392" s="27" t="n">
        <v>528000309</v>
      </c>
      <c r="C2392" s="27" t="inlineStr">
        <is>
          <t>Ilham Ramadhan</t>
        </is>
      </c>
      <c r="D2392" s="171" t="n">
        <v>46240.41666666666</v>
      </c>
      <c r="E2392" s="26" t="n">
        <v>0.9018634259259259</v>
      </c>
      <c r="F2392" s="27" t="inlineStr">
        <is>
          <t>Shift 3</t>
        </is>
      </c>
      <c r="G2392" s="27" t="n"/>
    </row>
    <row r="2393">
      <c r="A2393" s="27" t="inlineStr">
        <is>
          <t>MK00082</t>
        </is>
      </c>
      <c r="B2393" s="27" t="n">
        <v>528000313</v>
      </c>
      <c r="C2393" s="27" t="inlineStr">
        <is>
          <t>Muhamad Rifki</t>
        </is>
      </c>
      <c r="D2393" s="171" t="n">
        <v>46240.41666666666</v>
      </c>
      <c r="E2393" s="26" t="n">
        <v>0.9039467592592593</v>
      </c>
      <c r="F2393" s="27" t="inlineStr">
        <is>
          <t>Shift 3</t>
        </is>
      </c>
      <c r="G2393" s="27" t="n"/>
    </row>
    <row r="2394">
      <c r="A2394" s="27" t="inlineStr">
        <is>
          <t>MK00112</t>
        </is>
      </c>
      <c r="B2394" s="27" t="n">
        <v>528000322</v>
      </c>
      <c r="C2394" s="27" t="inlineStr">
        <is>
          <t>Muhamad Aliludin</t>
        </is>
      </c>
      <c r="D2394" s="47" t="n">
        <v>46211</v>
      </c>
      <c r="E2394" s="26" t="n">
        <v>0.9059953703703704</v>
      </c>
      <c r="F2394" s="27" t="inlineStr">
        <is>
          <t>Shift 3</t>
        </is>
      </c>
      <c r="G2394" s="27" t="n"/>
    </row>
    <row r="2395">
      <c r="A2395" s="27" t="inlineStr">
        <is>
          <t>MK00181</t>
        </is>
      </c>
      <c r="B2395" s="27" t="n">
        <v>528000015</v>
      </c>
      <c r="C2395" s="27" t="inlineStr">
        <is>
          <t>Erwin</t>
        </is>
      </c>
      <c r="D2395" s="171" t="n">
        <v>46240.41666666666</v>
      </c>
      <c r="E2395" s="26" t="n">
        <v>0.9121875</v>
      </c>
      <c r="F2395" s="27" t="inlineStr">
        <is>
          <t>Shift 3</t>
        </is>
      </c>
      <c r="G2395" s="27" t="n"/>
    </row>
    <row r="2396">
      <c r="A2396" s="27" t="inlineStr">
        <is>
          <t>MK00145</t>
        </is>
      </c>
      <c r="B2396" s="27" t="n">
        <v>528000345</v>
      </c>
      <c r="C2396" s="27" t="inlineStr">
        <is>
          <t>Dandi</t>
        </is>
      </c>
      <c r="D2396" s="171" t="n">
        <v>46240.41666666666</v>
      </c>
      <c r="E2396" s="26" t="n">
        <v>0.9241203703703704</v>
      </c>
      <c r="F2396" s="27" t="inlineStr">
        <is>
          <t>Shift 3</t>
        </is>
      </c>
      <c r="G2396" s="27" t="n"/>
    </row>
    <row r="2397">
      <c r="A2397" s="27" t="inlineStr">
        <is>
          <t>MK00143</t>
        </is>
      </c>
      <c r="B2397" s="27" t="n">
        <v>528000289</v>
      </c>
      <c r="C2397" s="27" t="inlineStr">
        <is>
          <t>Adit Supriyadi</t>
        </is>
      </c>
      <c r="D2397" s="47" t="n">
        <v>46242</v>
      </c>
      <c r="E2397" s="26" t="n">
        <v>0.2352662037037037</v>
      </c>
      <c r="F2397" s="27" t="inlineStr">
        <is>
          <t>Shift 1</t>
        </is>
      </c>
      <c r="G2397" s="27" t="n"/>
    </row>
    <row r="2398">
      <c r="A2398" s="27" t="inlineStr">
        <is>
          <t>MK00210</t>
        </is>
      </c>
      <c r="B2398" s="27" t="n">
        <v>528000339</v>
      </c>
      <c r="C2398" s="27" t="inlineStr">
        <is>
          <t>Muhamad Ripai'i</t>
        </is>
      </c>
      <c r="D2398" s="171" t="n">
        <v>46241.41666666666</v>
      </c>
      <c r="E2398" s="26" t="n">
        <v>0.2357986111111111</v>
      </c>
      <c r="F2398" s="27" t="inlineStr">
        <is>
          <t>Shift 1</t>
        </is>
      </c>
      <c r="G2398" s="27" t="n"/>
    </row>
    <row r="2399">
      <c r="A2399" s="27" t="inlineStr">
        <is>
          <t>MK00108</t>
        </is>
      </c>
      <c r="B2399" s="27" t="n">
        <v>528000286</v>
      </c>
      <c r="C2399" s="27" t="inlineStr">
        <is>
          <t>Imelda Amelia</t>
        </is>
      </c>
      <c r="D2399" s="171" t="n">
        <v>46241.41666666666</v>
      </c>
      <c r="E2399" s="26" t="n">
        <v>0.2377777777777778</v>
      </c>
      <c r="F2399" s="27" t="inlineStr">
        <is>
          <t>Shift 1</t>
        </is>
      </c>
      <c r="G2399" s="27" t="n"/>
    </row>
    <row r="2400">
      <c r="A2400" s="27" t="inlineStr">
        <is>
          <t>MK0156</t>
        </is>
      </c>
      <c r="B2400" s="27" t="n">
        <v>528000201</v>
      </c>
      <c r="C2400" s="27" t="inlineStr">
        <is>
          <t>Zahwa Amelia Choerunissa</t>
        </is>
      </c>
      <c r="D2400" s="171" t="n">
        <v>46241.41666666666</v>
      </c>
      <c r="E2400" s="26" t="n">
        <v>0.2400462962962963</v>
      </c>
      <c r="F2400" s="27" t="inlineStr">
        <is>
          <t>Shift 1</t>
        </is>
      </c>
      <c r="G2400" s="27" t="n"/>
    </row>
    <row r="2401">
      <c r="A2401" s="27" t="inlineStr">
        <is>
          <t>MK00145</t>
        </is>
      </c>
      <c r="B2401" s="27" t="n">
        <v>528000099</v>
      </c>
      <c r="C2401" s="27" t="inlineStr">
        <is>
          <t>Siti Nurawaliah</t>
        </is>
      </c>
      <c r="D2401" s="171" t="n">
        <v>46241.41666666666</v>
      </c>
      <c r="E2401" s="26" t="n">
        <v>0.2410300925925926</v>
      </c>
      <c r="F2401" s="27" t="inlineStr">
        <is>
          <t>Shift 1</t>
        </is>
      </c>
      <c r="G2401" s="27" t="n"/>
    </row>
    <row r="2402">
      <c r="A2402" s="27" t="inlineStr">
        <is>
          <t>MK00192</t>
        </is>
      </c>
      <c r="B2402" s="27" t="n">
        <v>528000273</v>
      </c>
      <c r="C2402" s="27" t="inlineStr">
        <is>
          <t>Asep Mulyana</t>
        </is>
      </c>
      <c r="D2402" s="47" t="n">
        <v>46242</v>
      </c>
      <c r="E2402" s="26" t="n">
        <v>0.2455671296296296</v>
      </c>
      <c r="F2402" s="27" t="inlineStr">
        <is>
          <t>Shift 1</t>
        </is>
      </c>
      <c r="G2402" s="27" t="n"/>
    </row>
    <row r="2403">
      <c r="A2403" s="27" t="inlineStr">
        <is>
          <t>MK00212</t>
        </is>
      </c>
      <c r="B2403" s="27" t="n">
        <v>528000241</v>
      </c>
      <c r="C2403" s="27" t="inlineStr">
        <is>
          <t>Balia Nurafif Bilah</t>
        </is>
      </c>
      <c r="D2403" s="171" t="n">
        <v>46241.41666666666</v>
      </c>
      <c r="E2403" s="26" t="n">
        <v>0.2457060185185185</v>
      </c>
      <c r="F2403" s="27" t="inlineStr">
        <is>
          <t>Shift 1</t>
        </is>
      </c>
      <c r="G2403" s="27" t="n"/>
    </row>
    <row r="2404">
      <c r="A2404" s="27" t="inlineStr">
        <is>
          <t>MK00208</t>
        </is>
      </c>
      <c r="B2404" s="27" t="n">
        <v>528000274</v>
      </c>
      <c r="C2404" s="27" t="inlineStr">
        <is>
          <t>Zepri</t>
        </is>
      </c>
      <c r="D2404" s="171" t="n">
        <v>46241.41666666666</v>
      </c>
      <c r="E2404" s="26" t="n">
        <v>0.2460532407407408</v>
      </c>
      <c r="F2404" s="27" t="inlineStr">
        <is>
          <t>Shift 1</t>
        </is>
      </c>
      <c r="G2404" s="27" t="n"/>
    </row>
    <row r="2405">
      <c r="A2405" s="27" t="inlineStr">
        <is>
          <t>MK00082</t>
        </is>
      </c>
      <c r="B2405" s="27" t="n">
        <v>528000359</v>
      </c>
      <c r="C2405" s="27" t="inlineStr">
        <is>
          <t>M. Iqbal Maulana. S</t>
        </is>
      </c>
      <c r="D2405" s="171" t="n">
        <v>46241.41666666666</v>
      </c>
      <c r="E2405" s="26" t="n">
        <v>0.2556828703703704</v>
      </c>
      <c r="F2405" s="27" t="inlineStr">
        <is>
          <t>Shift 1</t>
        </is>
      </c>
      <c r="G2405" s="27" t="n"/>
    </row>
    <row r="2406">
      <c r="A2406" s="27" t="inlineStr">
        <is>
          <t>MK00217</t>
        </is>
      </c>
      <c r="B2406" s="27" t="n">
        <v>628000085</v>
      </c>
      <c r="C2406" s="27" t="inlineStr">
        <is>
          <t>Ahmad Surnadi</t>
        </is>
      </c>
      <c r="D2406" s="47" t="n">
        <v>46242</v>
      </c>
      <c r="E2406" s="26" t="n">
        <v>0.3087615740740741</v>
      </c>
      <c r="F2406" s="27" t="inlineStr">
        <is>
          <t>Shift 1</t>
        </is>
      </c>
      <c r="G2406" s="27" t="n"/>
    </row>
    <row r="2407">
      <c r="A2407" s="27" t="inlineStr">
        <is>
          <t>MK00181</t>
        </is>
      </c>
      <c r="B2407" s="27" t="n">
        <v>628000131</v>
      </c>
      <c r="C2407" s="27" t="inlineStr">
        <is>
          <t>Aos Iskandar</t>
        </is>
      </c>
      <c r="D2407" s="47" t="n">
        <v>46242</v>
      </c>
      <c r="E2407" s="26" t="n">
        <v>0.3094097222222222</v>
      </c>
      <c r="F2407" s="27" t="inlineStr">
        <is>
          <t>Shift 1</t>
        </is>
      </c>
      <c r="G2407" s="27" t="n"/>
    </row>
    <row r="2408">
      <c r="A2408" s="27" t="inlineStr">
        <is>
          <t>MK00134</t>
        </is>
      </c>
      <c r="B2408" s="27" t="n">
        <v>528000265</v>
      </c>
      <c r="C2408" s="27" t="inlineStr">
        <is>
          <t>Muhammad Haerul Rozikin</t>
        </is>
      </c>
      <c r="D2408" s="171" t="n">
        <v>46241.41666666666</v>
      </c>
      <c r="E2408" s="26" t="n">
        <v>0.321712962962963</v>
      </c>
      <c r="F2408" s="27" t="inlineStr">
        <is>
          <t>Shift 1</t>
        </is>
      </c>
      <c r="G2408" s="27" t="n"/>
    </row>
    <row r="2409">
      <c r="A2409" s="27" t="inlineStr">
        <is>
          <t>MK00218</t>
        </is>
      </c>
      <c r="B2409" s="27" t="n">
        <v>528000282</v>
      </c>
      <c r="C2409" s="27" t="inlineStr">
        <is>
          <t>Defa Desfiana</t>
        </is>
      </c>
      <c r="D2409" s="171" t="n">
        <v>46241.41666666666</v>
      </c>
      <c r="E2409" s="26" t="n">
        <v>0.3229166666666667</v>
      </c>
      <c r="F2409" s="27" t="inlineStr">
        <is>
          <t>Shift 1</t>
        </is>
      </c>
      <c r="G2409" s="27" t="inlineStr">
        <is>
          <t>32c</t>
        </is>
      </c>
    </row>
    <row r="2410">
      <c r="A2410" s="27" t="inlineStr">
        <is>
          <t>MK00185</t>
        </is>
      </c>
      <c r="B2410" s="27" t="n">
        <v>528000351</v>
      </c>
      <c r="C2410" s="27" t="inlineStr">
        <is>
          <t>Mulyana</t>
        </is>
      </c>
      <c r="D2410" s="171" t="n">
        <v>46241.41666666666</v>
      </c>
      <c r="E2410" s="26" t="n">
        <v>0.3232986111111111</v>
      </c>
      <c r="F2410" s="27" t="inlineStr">
        <is>
          <t>Shift 1</t>
        </is>
      </c>
      <c r="G2410" s="27" t="n"/>
    </row>
    <row r="2411">
      <c r="A2411" s="27" t="inlineStr">
        <is>
          <t>MK00250</t>
        </is>
      </c>
      <c r="B2411" s="27" t="n">
        <v>528000310</v>
      </c>
      <c r="C2411" s="27" t="inlineStr">
        <is>
          <t>Fachrul Rozzi Suryana</t>
        </is>
      </c>
      <c r="D2411" s="47" t="n">
        <v>46242</v>
      </c>
      <c r="E2411" s="26" t="n">
        <v>0.3321875</v>
      </c>
      <c r="F2411" s="27" t="inlineStr">
        <is>
          <t>Shift 1</t>
        </is>
      </c>
      <c r="G2411" s="27" t="inlineStr">
        <is>
          <t>31F</t>
        </is>
      </c>
    </row>
    <row r="2412">
      <c r="A2412" s="27" t="inlineStr">
        <is>
          <t>MK00112</t>
        </is>
      </c>
      <c r="B2412" s="27" t="n">
        <v>628000079</v>
      </c>
      <c r="C2412" s="27" t="inlineStr">
        <is>
          <t>Maman Suherman</t>
        </is>
      </c>
      <c r="D2412" s="171" t="n">
        <v>46241.41666666666</v>
      </c>
      <c r="E2412" s="26" t="n">
        <v>0.3409722222222222</v>
      </c>
      <c r="F2412" s="27" t="inlineStr">
        <is>
          <t>Shift 1</t>
        </is>
      </c>
      <c r="G2412" s="27" t="n"/>
    </row>
    <row r="2413">
      <c r="A2413" s="27" t="inlineStr">
        <is>
          <t>MK00228</t>
        </is>
      </c>
      <c r="B2413" s="27" t="n">
        <v>528000132</v>
      </c>
      <c r="C2413" s="27" t="inlineStr">
        <is>
          <t>Giopani</t>
        </is>
      </c>
      <c r="D2413" s="171" t="n">
        <v>46241.41666666666</v>
      </c>
      <c r="E2413" s="26" t="n">
        <v>0.3488078703703704</v>
      </c>
      <c r="F2413" s="27" t="inlineStr">
        <is>
          <t>Shift 1</t>
        </is>
      </c>
      <c r="G2413" s="27" t="n"/>
    </row>
    <row r="2414">
      <c r="A2414" s="27" t="inlineStr">
        <is>
          <t>MK0041</t>
        </is>
      </c>
      <c r="B2414" s="27" t="n">
        <v>528000040</v>
      </c>
      <c r="C2414" s="27" t="inlineStr">
        <is>
          <t>Agus Suryaman</t>
        </is>
      </c>
      <c r="D2414" s="47" t="n">
        <v>46242</v>
      </c>
      <c r="E2414" s="26" t="n">
        <v>0.3694907407407407</v>
      </c>
      <c r="F2414" s="27" t="inlineStr">
        <is>
          <t>Shift 1</t>
        </is>
      </c>
      <c r="G2414" s="27" t="n"/>
    </row>
    <row r="2415">
      <c r="A2415" s="27" t="inlineStr">
        <is>
          <t>MK00205</t>
        </is>
      </c>
      <c r="B2415" s="27" t="n">
        <v>528000348</v>
      </c>
      <c r="C2415" s="27" t="inlineStr">
        <is>
          <t>Saepuloh Ardiansah</t>
        </is>
      </c>
      <c r="D2415" s="47" t="n">
        <v>46242</v>
      </c>
      <c r="E2415" s="26" t="n">
        <v>0.3751157407407407</v>
      </c>
      <c r="F2415" s="27" t="inlineStr">
        <is>
          <t>Shift 1</t>
        </is>
      </c>
      <c r="G2415" s="27" t="n"/>
    </row>
    <row r="2416">
      <c r="A2416" s="27" t="inlineStr">
        <is>
          <t>MK00150</t>
        </is>
      </c>
      <c r="B2416" s="27" t="n">
        <v>528000232</v>
      </c>
      <c r="C2416" s="27" t="inlineStr">
        <is>
          <t>Agung Aji Suhada</t>
        </is>
      </c>
      <c r="D2416" s="171" t="n">
        <v>46241.41666666666</v>
      </c>
      <c r="E2416" s="26" t="n">
        <v>0.3753009259259259</v>
      </c>
      <c r="F2416" s="27" t="inlineStr">
        <is>
          <t>Shift 1</t>
        </is>
      </c>
      <c r="G2416" s="27" t="n"/>
    </row>
  </sheetData>
  <autoFilter ref="$A$1:$Z$2416">
    <filterColumn colId="2" hiddenButton="0" showButton="1">
      <filters>
        <filter val="Sudiro"/>
        <filter val="Maman Suherman"/>
        <filter val="Dandi"/>
        <filter val="Erwin"/>
        <filter val="Aos Iskandar"/>
        <filter val="Ahmad Surnadi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269"/>
  <sheetViews>
    <sheetView workbookViewId="0">
      <selection activeCell="A1" sqref="A1"/>
    </sheetView>
  </sheetViews>
  <sheetFormatPr baseColWidth="8" defaultColWidth="12.63" defaultRowHeight="15" customHeight="1"/>
  <cols>
    <col width="4.88" customWidth="1" style="169" min="1" max="1"/>
    <col width="9.380000000000001" customWidth="1" style="169" min="2" max="2"/>
    <col width="25.75" customWidth="1" style="169" min="3" max="3"/>
    <col width="16.38" customWidth="1" style="169" min="4" max="4"/>
    <col width="13.63" customWidth="1" style="169" min="5" max="5"/>
    <col width="28.88" customWidth="1" style="169" min="6" max="6"/>
    <col width="48.25" customWidth="1" style="169" min="7" max="7"/>
    <col width="26" customWidth="1" style="169" min="8" max="8"/>
  </cols>
  <sheetData>
    <row r="1" ht="15.75" customHeight="1" s="169">
      <c r="A1" s="28">
        <f>IFERROR(__xludf.DUMMYFUNCTION("QUERY(IMPORTRANGE(""https://docs.google.com/spreadsheets/d/1FEoklqOOGVEuHVDC9BVeaIu8tA3fqheZAT3eO9syd2Y/edit?gid=380216187#gid=380216187"", ""STAFF DAM AKTIF!A:AN""), ""SELECT Col1,Col2,Col3,Col26,Col27,Col13,Col15,Col18,Col19,Col38,Col20"")"),"#REF!")</f>
        <v/>
      </c>
      <c r="B1" s="28" t="n"/>
      <c r="C1" s="28" t="n"/>
      <c r="D1" s="28" t="n"/>
      <c r="E1" s="172" t="n"/>
      <c r="F1" s="28" t="n"/>
      <c r="G1" s="28" t="n"/>
      <c r="H1" s="28" t="n"/>
      <c r="I1" s="28" t="n"/>
      <c r="J1" s="28" t="n"/>
      <c r="K1" s="28" t="n"/>
    </row>
    <row r="2" ht="15.75" customHeight="1" s="169">
      <c r="A2" s="15" t="n"/>
      <c r="B2" s="31" t="n"/>
      <c r="C2" s="28" t="n"/>
      <c r="D2" s="28" t="n"/>
      <c r="E2" s="173" t="n"/>
      <c r="F2" s="28" t="n"/>
      <c r="G2" s="15" t="n"/>
      <c r="H2" s="15" t="n"/>
      <c r="I2" s="28" t="n"/>
      <c r="J2" s="28" t="n"/>
      <c r="K2" s="28" t="n"/>
    </row>
    <row r="3" ht="15.75" customHeight="1" s="169">
      <c r="A3" s="15" t="n"/>
      <c r="B3" s="31" t="n"/>
      <c r="C3" s="28" t="n"/>
      <c r="D3" s="28" t="n"/>
      <c r="E3" s="173" t="n"/>
      <c r="F3" s="28" t="n"/>
      <c r="G3" s="15" t="n"/>
      <c r="H3" s="15" t="n"/>
      <c r="I3" s="28" t="n"/>
      <c r="J3" s="28" t="n"/>
      <c r="K3" s="28" t="n"/>
    </row>
    <row r="4" ht="15.75" customHeight="1" s="169">
      <c r="A4" s="15" t="n"/>
      <c r="B4" s="31" t="n"/>
      <c r="C4" s="28" t="n"/>
      <c r="D4" s="28" t="n"/>
      <c r="E4" s="173" t="n"/>
      <c r="F4" s="28" t="n"/>
      <c r="G4" s="15" t="n"/>
      <c r="H4" s="15" t="n"/>
      <c r="I4" s="28" t="n"/>
      <c r="J4" s="28" t="n"/>
      <c r="K4" s="28" t="n"/>
    </row>
    <row r="5" ht="15.75" customHeight="1" s="169">
      <c r="A5" s="15" t="n"/>
      <c r="B5" s="31" t="n"/>
      <c r="C5" s="28" t="n"/>
      <c r="D5" s="28" t="n"/>
      <c r="E5" s="173" t="n"/>
      <c r="F5" s="28" t="n"/>
      <c r="G5" s="15" t="n"/>
      <c r="H5" s="15" t="n"/>
      <c r="I5" s="28" t="n"/>
      <c r="J5" s="28" t="n"/>
      <c r="K5" s="28" t="n"/>
    </row>
    <row r="6" ht="15.75" customHeight="1" s="169">
      <c r="A6" s="15" t="n"/>
      <c r="B6" s="31" t="n"/>
      <c r="C6" s="28" t="n"/>
      <c r="D6" s="28" t="n"/>
      <c r="E6" s="173" t="n"/>
      <c r="F6" s="28" t="n"/>
      <c r="G6" s="15" t="n"/>
      <c r="H6" s="15" t="n"/>
      <c r="I6" s="28" t="n"/>
      <c r="J6" s="28" t="n"/>
      <c r="K6" s="28" t="n"/>
    </row>
    <row r="7" ht="15.75" customHeight="1" s="169">
      <c r="A7" s="15" t="n"/>
      <c r="B7" s="31" t="n"/>
      <c r="C7" s="28" t="n"/>
      <c r="D7" s="28" t="n"/>
      <c r="E7" s="173" t="n"/>
      <c r="F7" s="28" t="n"/>
      <c r="G7" s="15" t="n"/>
      <c r="H7" s="15" t="n"/>
      <c r="I7" s="28" t="n"/>
      <c r="J7" s="28" t="n"/>
      <c r="K7" s="28" t="n"/>
    </row>
    <row r="8" ht="15.75" customHeight="1" s="169">
      <c r="A8" s="15" t="n"/>
      <c r="B8" s="31" t="n"/>
      <c r="C8" s="28" t="n"/>
      <c r="D8" s="28" t="n"/>
      <c r="E8" s="173" t="n"/>
      <c r="F8" s="28" t="n"/>
      <c r="G8" s="15" t="n"/>
      <c r="H8" s="15" t="n"/>
      <c r="I8" s="28" t="n"/>
      <c r="J8" s="28" t="n"/>
      <c r="K8" s="28" t="n"/>
    </row>
    <row r="9" ht="15.75" customHeight="1" s="169">
      <c r="A9" s="15" t="n"/>
      <c r="B9" s="31" t="n"/>
      <c r="C9" s="28" t="n"/>
      <c r="D9" s="28" t="n"/>
      <c r="E9" s="173" t="n"/>
      <c r="F9" s="28" t="n"/>
      <c r="G9" s="15" t="n"/>
      <c r="H9" s="15" t="n"/>
      <c r="I9" s="28" t="n"/>
      <c r="J9" s="28" t="n"/>
      <c r="K9" s="28" t="n"/>
    </row>
    <row r="10" ht="15.75" customHeight="1" s="169">
      <c r="A10" s="15" t="n"/>
      <c r="B10" s="31" t="n"/>
      <c r="C10" s="28" t="n"/>
      <c r="D10" s="28" t="n"/>
      <c r="E10" s="173" t="n"/>
      <c r="F10" s="28" t="n"/>
      <c r="G10" s="15" t="n"/>
      <c r="H10" s="15" t="n"/>
      <c r="I10" s="28" t="n"/>
      <c r="J10" s="28" t="n"/>
      <c r="K10" s="28" t="n"/>
    </row>
    <row r="11" ht="15.75" customHeight="1" s="169">
      <c r="A11" s="15" t="n"/>
      <c r="B11" s="31" t="n"/>
      <c r="C11" s="28" t="n"/>
      <c r="D11" s="28" t="n"/>
      <c r="E11" s="173" t="n"/>
      <c r="F11" s="28" t="n"/>
      <c r="G11" s="15" t="n"/>
      <c r="H11" s="15" t="n"/>
      <c r="I11" s="28" t="n"/>
      <c r="J11" s="28" t="n"/>
      <c r="K11" s="28" t="n"/>
    </row>
    <row r="12" ht="15.75" customHeight="1" s="169">
      <c r="A12" s="15" t="n"/>
      <c r="B12" s="31" t="n"/>
      <c r="C12" s="28" t="n"/>
      <c r="D12" s="28" t="n"/>
      <c r="E12" s="173" t="n"/>
      <c r="F12" s="28" t="n"/>
      <c r="G12" s="15" t="n"/>
      <c r="H12" s="15" t="n"/>
      <c r="I12" s="28" t="n"/>
      <c r="J12" s="28" t="n"/>
      <c r="K12" s="28" t="n"/>
    </row>
    <row r="13" ht="15.75" customHeight="1" s="169">
      <c r="A13" s="15" t="n"/>
      <c r="B13" s="31" t="n"/>
      <c r="C13" s="28" t="n"/>
      <c r="D13" s="28" t="n"/>
      <c r="E13" s="173" t="n"/>
      <c r="F13" s="28" t="n"/>
      <c r="G13" s="15" t="n"/>
      <c r="H13" s="15" t="n"/>
      <c r="I13" s="28" t="n"/>
      <c r="J13" s="28" t="n"/>
      <c r="K13" s="28" t="n"/>
    </row>
    <row r="14" ht="15.75" customHeight="1" s="169">
      <c r="A14" s="15" t="n"/>
      <c r="B14" s="31" t="n"/>
      <c r="C14" s="28" t="n"/>
      <c r="D14" s="28" t="n"/>
      <c r="E14" s="173" t="n"/>
      <c r="F14" s="28" t="n"/>
      <c r="G14" s="15" t="n"/>
      <c r="H14" s="15" t="n"/>
      <c r="I14" s="28" t="n"/>
      <c r="J14" s="28" t="n"/>
      <c r="K14" s="28" t="n"/>
    </row>
    <row r="15" ht="15.75" customHeight="1" s="169">
      <c r="A15" s="15" t="n"/>
      <c r="B15" s="31" t="n"/>
      <c r="C15" s="28" t="n"/>
      <c r="D15" s="28" t="n"/>
      <c r="E15" s="173" t="n"/>
      <c r="F15" s="28" t="n"/>
      <c r="G15" s="15" t="n"/>
      <c r="H15" s="15" t="n"/>
      <c r="I15" s="28" t="n"/>
      <c r="J15" s="28" t="n"/>
      <c r="K15" s="28" t="n"/>
    </row>
    <row r="16" ht="15.75" customHeight="1" s="169">
      <c r="A16" s="15" t="n"/>
      <c r="B16" s="31" t="n"/>
      <c r="C16" s="28" t="n"/>
      <c r="D16" s="28" t="n"/>
      <c r="E16" s="173" t="n"/>
      <c r="F16" s="28" t="n"/>
      <c r="G16" s="15" t="n"/>
      <c r="H16" s="15" t="n"/>
      <c r="I16" s="28" t="n"/>
      <c r="J16" s="28" t="n"/>
      <c r="K16" s="28" t="n"/>
    </row>
    <row r="17" ht="15.75" customHeight="1" s="169">
      <c r="A17" s="15" t="n"/>
      <c r="B17" s="31" t="n"/>
      <c r="C17" s="28" t="n"/>
      <c r="D17" s="28" t="n"/>
      <c r="E17" s="173" t="n"/>
      <c r="F17" s="28" t="n"/>
      <c r="G17" s="15" t="n"/>
      <c r="H17" s="15" t="n"/>
      <c r="I17" s="28" t="n"/>
      <c r="J17" s="28" t="n"/>
      <c r="K17" s="28" t="n"/>
    </row>
    <row r="18" ht="15.75" customHeight="1" s="169">
      <c r="A18" s="15" t="n"/>
      <c r="B18" s="31" t="n"/>
      <c r="C18" s="28" t="n"/>
      <c r="D18" s="28" t="n"/>
      <c r="E18" s="173" t="n"/>
      <c r="F18" s="28" t="n"/>
      <c r="G18" s="15" t="n"/>
      <c r="H18" s="15" t="n"/>
      <c r="I18" s="28" t="n"/>
      <c r="J18" s="28" t="n"/>
      <c r="K18" s="28" t="n"/>
    </row>
    <row r="19" ht="15.75" customHeight="1" s="169">
      <c r="A19" s="15" t="n"/>
      <c r="B19" s="31" t="n"/>
      <c r="C19" s="28" t="n"/>
      <c r="D19" s="28" t="n"/>
      <c r="E19" s="173" t="n"/>
      <c r="F19" s="28" t="n"/>
      <c r="G19" s="15" t="n"/>
      <c r="H19" s="15" t="n"/>
      <c r="I19" s="28" t="n"/>
      <c r="J19" s="28" t="n"/>
      <c r="K19" s="28" t="n"/>
    </row>
    <row r="20" ht="15.75" customHeight="1" s="169">
      <c r="A20" s="15" t="n"/>
      <c r="B20" s="31" t="n"/>
      <c r="C20" s="28" t="n"/>
      <c r="D20" s="28" t="n"/>
      <c r="E20" s="173" t="n"/>
      <c r="F20" s="28" t="n"/>
      <c r="G20" s="15" t="n"/>
      <c r="H20" s="15" t="n"/>
      <c r="I20" s="28" t="n"/>
      <c r="J20" s="28" t="n"/>
      <c r="K20" s="28" t="n"/>
    </row>
    <row r="21" ht="15.75" customHeight="1" s="169">
      <c r="A21" s="15" t="n"/>
      <c r="B21" s="31" t="n"/>
      <c r="C21" s="28" t="n"/>
      <c r="D21" s="28" t="n"/>
      <c r="E21" s="173" t="n"/>
      <c r="F21" s="28" t="n"/>
      <c r="G21" s="15" t="n"/>
      <c r="H21" s="15" t="n"/>
      <c r="I21" s="28" t="n"/>
      <c r="J21" s="28" t="n"/>
      <c r="K21" s="28" t="n"/>
    </row>
    <row r="22" ht="15.75" customHeight="1" s="169">
      <c r="A22" s="15" t="n"/>
      <c r="B22" s="31" t="n"/>
      <c r="C22" s="28" t="n"/>
      <c r="D22" s="28" t="n"/>
      <c r="E22" s="173" t="n"/>
      <c r="F22" s="28" t="n"/>
      <c r="G22" s="15" t="n"/>
      <c r="H22" s="15" t="n"/>
      <c r="I22" s="28" t="n"/>
      <c r="J22" s="28" t="n"/>
      <c r="K22" s="28" t="n"/>
    </row>
    <row r="23" ht="15.75" customHeight="1" s="169">
      <c r="A23" s="15" t="n"/>
      <c r="B23" s="31" t="n"/>
      <c r="C23" s="28" t="n"/>
      <c r="D23" s="28" t="n"/>
      <c r="E23" s="173" t="n"/>
      <c r="F23" s="28" t="n"/>
      <c r="G23" s="15" t="n"/>
      <c r="H23" s="15" t="n"/>
      <c r="I23" s="28" t="n"/>
      <c r="J23" s="28" t="n"/>
      <c r="K23" s="28" t="n"/>
    </row>
    <row r="24" ht="15.75" customHeight="1" s="169">
      <c r="A24" s="15" t="n"/>
      <c r="B24" s="31" t="n"/>
      <c r="C24" s="28" t="n"/>
      <c r="D24" s="28" t="n"/>
      <c r="E24" s="173" t="n"/>
      <c r="F24" s="28" t="n"/>
      <c r="G24" s="15" t="n"/>
      <c r="H24" s="15" t="n"/>
      <c r="I24" s="28" t="n"/>
      <c r="J24" s="28" t="n"/>
      <c r="K24" s="28" t="n"/>
    </row>
    <row r="25" ht="15.75" customHeight="1" s="169">
      <c r="A25" s="15" t="n"/>
      <c r="B25" s="31" t="n"/>
      <c r="C25" s="28" t="n"/>
      <c r="D25" s="28" t="n"/>
      <c r="E25" s="173" t="n"/>
      <c r="F25" s="28" t="n"/>
      <c r="G25" s="15" t="n"/>
      <c r="H25" s="15" t="n"/>
      <c r="I25" s="28" t="n"/>
      <c r="J25" s="28" t="n"/>
      <c r="K25" s="28" t="n"/>
    </row>
    <row r="26" ht="15.75" customHeight="1" s="169">
      <c r="A26" s="15" t="n"/>
      <c r="B26" s="31" t="n"/>
      <c r="C26" s="28" t="n"/>
      <c r="D26" s="28" t="n"/>
      <c r="E26" s="173" t="n"/>
      <c r="F26" s="28" t="n"/>
      <c r="G26" s="15" t="n"/>
      <c r="H26" s="15" t="n"/>
      <c r="I26" s="28" t="n"/>
      <c r="J26" s="28" t="n"/>
      <c r="K26" s="28" t="n"/>
    </row>
    <row r="27" ht="15.75" customHeight="1" s="169">
      <c r="A27" s="15" t="n"/>
      <c r="B27" s="31" t="n"/>
      <c r="C27" s="28" t="n"/>
      <c r="D27" s="28" t="n"/>
      <c r="E27" s="173" t="n"/>
      <c r="F27" s="28" t="n"/>
      <c r="G27" s="15" t="n"/>
      <c r="H27" s="15" t="n"/>
      <c r="I27" s="28" t="n"/>
      <c r="J27" s="28" t="n"/>
      <c r="K27" s="28" t="n"/>
    </row>
    <row r="28" ht="15.75" customHeight="1" s="169">
      <c r="A28" s="15" t="n"/>
      <c r="B28" s="31" t="n"/>
      <c r="C28" s="28" t="n"/>
      <c r="D28" s="28" t="n"/>
      <c r="E28" s="173" t="n"/>
      <c r="F28" s="28" t="n"/>
      <c r="G28" s="15" t="n"/>
      <c r="H28" s="15" t="n"/>
      <c r="I28" s="28" t="n"/>
      <c r="J28" s="28" t="n"/>
      <c r="K28" s="28" t="n"/>
    </row>
    <row r="29" ht="15.75" customHeight="1" s="169">
      <c r="A29" s="15" t="n"/>
      <c r="B29" s="31" t="n"/>
      <c r="C29" s="28" t="n"/>
      <c r="D29" s="28" t="n"/>
      <c r="E29" s="173" t="n"/>
      <c r="F29" s="28" t="n"/>
      <c r="G29" s="15" t="n"/>
      <c r="H29" s="15" t="n"/>
      <c r="I29" s="28" t="n"/>
      <c r="J29" s="28" t="n"/>
      <c r="K29" s="28" t="n"/>
    </row>
    <row r="30" ht="15.75" customHeight="1" s="169">
      <c r="A30" s="15" t="n"/>
      <c r="B30" s="31" t="n"/>
      <c r="C30" s="28" t="n"/>
      <c r="D30" s="28" t="n"/>
      <c r="E30" s="173" t="n"/>
      <c r="F30" s="28" t="n"/>
      <c r="G30" s="15" t="n"/>
      <c r="H30" s="15" t="n"/>
      <c r="I30" s="28" t="n"/>
      <c r="J30" s="28" t="n"/>
      <c r="K30" s="28" t="n"/>
    </row>
    <row r="31" ht="15.75" customHeight="1" s="169">
      <c r="A31" s="15" t="n"/>
      <c r="B31" s="31" t="n"/>
      <c r="C31" s="28" t="n"/>
      <c r="D31" s="28" t="n"/>
      <c r="E31" s="173" t="n"/>
      <c r="F31" s="28" t="n"/>
      <c r="G31" s="15" t="n"/>
      <c r="H31" s="15" t="n"/>
      <c r="I31" s="28" t="n"/>
      <c r="J31" s="28" t="n"/>
      <c r="K31" s="28" t="n"/>
    </row>
    <row r="32" ht="15.75" customHeight="1" s="169">
      <c r="A32" s="15" t="n"/>
      <c r="B32" s="31" t="n"/>
      <c r="C32" s="28" t="n"/>
      <c r="D32" s="28" t="n"/>
      <c r="E32" s="173" t="n"/>
      <c r="F32" s="28" t="n"/>
      <c r="G32" s="15" t="n"/>
      <c r="H32" s="15" t="n"/>
      <c r="I32" s="28" t="n"/>
      <c r="J32" s="28" t="n"/>
      <c r="K32" s="28" t="n"/>
    </row>
    <row r="33" ht="15.75" customHeight="1" s="169">
      <c r="A33" s="15" t="n"/>
      <c r="B33" s="31" t="n"/>
      <c r="C33" s="28" t="n"/>
      <c r="D33" s="28" t="n"/>
      <c r="E33" s="173" t="n"/>
      <c r="F33" s="28" t="n"/>
      <c r="G33" s="15" t="n"/>
      <c r="H33" s="15" t="n"/>
      <c r="I33" s="28" t="n"/>
      <c r="J33" s="28" t="n"/>
      <c r="K33" s="28" t="n"/>
    </row>
    <row r="34" ht="15.75" customHeight="1" s="169">
      <c r="A34" s="15" t="n"/>
      <c r="B34" s="31" t="n"/>
      <c r="C34" s="28" t="n"/>
      <c r="D34" s="28" t="n"/>
      <c r="E34" s="173" t="n"/>
      <c r="F34" s="28" t="n"/>
      <c r="G34" s="15" t="n"/>
      <c r="H34" s="15" t="n"/>
      <c r="I34" s="28" t="n"/>
      <c r="J34" s="28" t="n"/>
      <c r="K34" s="28" t="n"/>
    </row>
    <row r="35" ht="15.75" customHeight="1" s="169">
      <c r="A35" s="15" t="n"/>
      <c r="B35" s="31" t="n"/>
      <c r="C35" s="28" t="n"/>
      <c r="D35" s="28" t="n"/>
      <c r="E35" s="173" t="n"/>
      <c r="F35" s="28" t="n"/>
      <c r="G35" s="15" t="n"/>
      <c r="H35" s="15" t="n"/>
      <c r="I35" s="28" t="n"/>
      <c r="J35" s="28" t="n"/>
      <c r="K35" s="28" t="n"/>
    </row>
    <row r="36" ht="15.75" customHeight="1" s="169">
      <c r="A36" s="15" t="n"/>
      <c r="B36" s="31" t="n"/>
      <c r="C36" s="28" t="n"/>
      <c r="D36" s="28" t="n"/>
      <c r="E36" s="173" t="n"/>
      <c r="F36" s="28" t="n"/>
      <c r="G36" s="15" t="n"/>
      <c r="H36" s="15" t="n"/>
      <c r="I36" s="28" t="n"/>
      <c r="J36" s="28" t="n"/>
      <c r="K36" s="28" t="n"/>
    </row>
    <row r="37" ht="15.75" customHeight="1" s="169">
      <c r="A37" s="15" t="n"/>
      <c r="B37" s="31" t="n"/>
      <c r="C37" s="28" t="n"/>
      <c r="D37" s="28" t="n"/>
      <c r="E37" s="173" t="n"/>
      <c r="F37" s="28" t="n"/>
      <c r="G37" s="15" t="n"/>
      <c r="H37" s="15" t="n"/>
      <c r="I37" s="28" t="n"/>
      <c r="J37" s="28" t="n"/>
      <c r="K37" s="28" t="n"/>
    </row>
    <row r="38" ht="15.75" customHeight="1" s="169">
      <c r="A38" s="15" t="n"/>
      <c r="B38" s="31" t="n"/>
      <c r="C38" s="28" t="n"/>
      <c r="D38" s="28" t="n"/>
      <c r="E38" s="173" t="n"/>
      <c r="F38" s="28" t="n"/>
      <c r="G38" s="15" t="n"/>
      <c r="H38" s="15" t="n"/>
      <c r="I38" s="28" t="n"/>
      <c r="J38" s="28" t="n"/>
      <c r="K38" s="28" t="n"/>
    </row>
    <row r="39" ht="15.75" customHeight="1" s="169">
      <c r="A39" s="15" t="n"/>
      <c r="B39" s="31" t="n"/>
      <c r="C39" s="28" t="n"/>
      <c r="D39" s="28" t="n"/>
      <c r="E39" s="173" t="n"/>
      <c r="F39" s="28" t="n"/>
      <c r="G39" s="15" t="n"/>
      <c r="H39" s="15" t="n"/>
      <c r="I39" s="28" t="n"/>
      <c r="J39" s="28" t="n"/>
      <c r="K39" s="28" t="n"/>
    </row>
    <row r="40" ht="15.75" customHeight="1" s="169">
      <c r="A40" s="15" t="n"/>
      <c r="B40" s="31" t="n"/>
      <c r="C40" s="28" t="n"/>
      <c r="D40" s="28" t="n"/>
      <c r="E40" s="173" t="n"/>
      <c r="F40" s="28" t="n"/>
      <c r="G40" s="15" t="n"/>
      <c r="H40" s="15" t="n"/>
      <c r="I40" s="28" t="n"/>
      <c r="J40" s="28" t="n"/>
      <c r="K40" s="28" t="n"/>
    </row>
    <row r="41" ht="15.75" customHeight="1" s="169">
      <c r="A41" s="15" t="n"/>
      <c r="B41" s="31" t="n"/>
      <c r="C41" s="28" t="n"/>
      <c r="D41" s="28" t="n"/>
      <c r="E41" s="173" t="n"/>
      <c r="F41" s="28" t="n"/>
      <c r="G41" s="15" t="n"/>
      <c r="H41" s="15" t="n"/>
      <c r="I41" s="28" t="n"/>
      <c r="J41" s="28" t="n"/>
      <c r="K41" s="28" t="n"/>
    </row>
    <row r="42" ht="15.75" customHeight="1" s="169">
      <c r="A42" s="15" t="n"/>
      <c r="B42" s="31" t="n"/>
      <c r="C42" s="28" t="n"/>
      <c r="D42" s="28" t="n"/>
      <c r="E42" s="173" t="n"/>
      <c r="F42" s="28" t="n"/>
      <c r="G42" s="15" t="n"/>
      <c r="H42" s="15" t="n"/>
      <c r="I42" s="28" t="n"/>
      <c r="J42" s="28" t="n"/>
      <c r="K42" s="28" t="n"/>
    </row>
    <row r="43" ht="15.75" customHeight="1" s="169">
      <c r="A43" s="15" t="n"/>
      <c r="B43" s="31" t="n"/>
      <c r="C43" s="28" t="n"/>
      <c r="D43" s="28" t="n"/>
      <c r="E43" s="173" t="n"/>
      <c r="F43" s="28" t="n"/>
      <c r="G43" s="15" t="n"/>
      <c r="H43" s="15" t="n"/>
      <c r="I43" s="28" t="n"/>
      <c r="J43" s="28" t="n"/>
      <c r="K43" s="28" t="n"/>
    </row>
    <row r="44" ht="15.75" customHeight="1" s="169">
      <c r="A44" s="15" t="n"/>
      <c r="B44" s="31" t="n"/>
      <c r="C44" s="28" t="n"/>
      <c r="D44" s="28" t="n"/>
      <c r="E44" s="173" t="n"/>
      <c r="F44" s="28" t="n"/>
      <c r="G44" s="15" t="n"/>
      <c r="H44" s="15" t="n"/>
      <c r="I44" s="28" t="n"/>
      <c r="J44" s="28" t="n"/>
      <c r="K44" s="28" t="n"/>
    </row>
    <row r="45" ht="15.75" customHeight="1" s="169">
      <c r="A45" s="15" t="n"/>
      <c r="B45" s="31" t="n"/>
      <c r="C45" s="28" t="n"/>
      <c r="D45" s="28" t="n"/>
      <c r="E45" s="173" t="n"/>
      <c r="F45" s="28" t="n"/>
      <c r="G45" s="15" t="n"/>
      <c r="H45" s="15" t="n"/>
      <c r="I45" s="28" t="n"/>
      <c r="J45" s="28" t="n"/>
      <c r="K45" s="28" t="n"/>
    </row>
    <row r="46" ht="15.75" customHeight="1" s="169">
      <c r="A46" s="15" t="n"/>
      <c r="B46" s="31" t="n"/>
      <c r="C46" s="28" t="n"/>
      <c r="D46" s="28" t="n"/>
      <c r="E46" s="173" t="n"/>
      <c r="F46" s="28" t="n"/>
      <c r="G46" s="15" t="n"/>
      <c r="H46" s="15" t="n"/>
      <c r="I46" s="28" t="n"/>
      <c r="J46" s="28" t="n"/>
      <c r="K46" s="28" t="n"/>
    </row>
    <row r="47" ht="15.75" customHeight="1" s="169">
      <c r="A47" s="15" t="n"/>
      <c r="B47" s="31" t="n"/>
      <c r="C47" s="28" t="n"/>
      <c r="D47" s="28" t="n"/>
      <c r="E47" s="173" t="n"/>
      <c r="F47" s="28" t="n"/>
      <c r="G47" s="15" t="n"/>
      <c r="H47" s="15" t="n"/>
      <c r="I47" s="28" t="n"/>
      <c r="J47" s="28" t="n"/>
      <c r="K47" s="28" t="n"/>
    </row>
    <row r="48" ht="15.75" customHeight="1" s="169">
      <c r="A48" s="15" t="n"/>
      <c r="B48" s="31" t="n"/>
      <c r="C48" s="28" t="n"/>
      <c r="D48" s="28" t="n"/>
      <c r="E48" s="173" t="n"/>
      <c r="F48" s="28" t="n"/>
      <c r="G48" s="15" t="n"/>
      <c r="H48" s="15" t="n"/>
      <c r="I48" s="28" t="n"/>
      <c r="J48" s="28" t="n"/>
      <c r="K48" s="28" t="n"/>
    </row>
    <row r="49" ht="15.75" customHeight="1" s="169">
      <c r="A49" s="15" t="n"/>
      <c r="B49" s="31" t="n"/>
      <c r="C49" s="28" t="n"/>
      <c r="D49" s="28" t="n"/>
      <c r="E49" s="173" t="n"/>
      <c r="F49" s="28" t="n"/>
      <c r="G49" s="15" t="n"/>
      <c r="H49" s="15" t="n"/>
      <c r="I49" s="28" t="n"/>
      <c r="J49" s="28" t="n"/>
      <c r="K49" s="28" t="n"/>
    </row>
    <row r="50" ht="15.75" customHeight="1" s="169">
      <c r="A50" s="15" t="n"/>
      <c r="B50" s="31" t="n"/>
      <c r="C50" s="28" t="n"/>
      <c r="D50" s="28" t="n"/>
      <c r="E50" s="173" t="n"/>
      <c r="F50" s="28" t="n"/>
      <c r="G50" s="15" t="n"/>
      <c r="H50" s="15" t="n"/>
      <c r="I50" s="28" t="n"/>
      <c r="J50" s="28" t="n"/>
      <c r="K50" s="28" t="n"/>
    </row>
    <row r="51" ht="15.75" customHeight="1" s="169">
      <c r="A51" s="15" t="n"/>
      <c r="B51" s="31" t="n"/>
      <c r="C51" s="28" t="n"/>
      <c r="D51" s="28" t="n"/>
      <c r="E51" s="173" t="n"/>
      <c r="F51" s="28" t="n"/>
      <c r="G51" s="15" t="n"/>
      <c r="H51" s="15" t="n"/>
      <c r="I51" s="28" t="n"/>
      <c r="J51" s="28" t="n"/>
      <c r="K51" s="28" t="n"/>
    </row>
    <row r="52" ht="15.75" customHeight="1" s="169">
      <c r="A52" s="15" t="n"/>
      <c r="B52" s="31" t="n"/>
      <c r="C52" s="28" t="n"/>
      <c r="D52" s="28" t="n"/>
      <c r="E52" s="173" t="n"/>
      <c r="F52" s="28" t="n"/>
      <c r="G52" s="15" t="n"/>
      <c r="H52" s="15" t="n"/>
      <c r="I52" s="28" t="n"/>
      <c r="J52" s="28" t="n"/>
      <c r="K52" s="28" t="n"/>
    </row>
    <row r="53" ht="15.75" customHeight="1" s="169">
      <c r="A53" s="15" t="n"/>
      <c r="B53" s="31" t="n"/>
      <c r="C53" s="28" t="n"/>
      <c r="D53" s="28" t="n"/>
      <c r="E53" s="173" t="n"/>
      <c r="F53" s="28" t="n"/>
      <c r="G53" s="15" t="n"/>
      <c r="H53" s="15" t="n"/>
      <c r="I53" s="28" t="n"/>
      <c r="J53" s="28" t="n"/>
      <c r="K53" s="28" t="n"/>
    </row>
    <row r="54" ht="15.75" customHeight="1" s="169">
      <c r="A54" s="15" t="n"/>
      <c r="B54" s="31" t="n"/>
      <c r="C54" s="28" t="n"/>
      <c r="D54" s="28" t="n"/>
      <c r="E54" s="173" t="n"/>
      <c r="F54" s="28" t="n"/>
      <c r="G54" s="15" t="n"/>
      <c r="H54" s="15" t="n"/>
      <c r="I54" s="28" t="n"/>
      <c r="J54" s="28" t="n"/>
      <c r="K54" s="28" t="n"/>
    </row>
    <row r="55" ht="15.75" customHeight="1" s="169">
      <c r="A55" s="15" t="n"/>
      <c r="B55" s="31" t="n"/>
      <c r="C55" s="28" t="n"/>
      <c r="D55" s="28" t="n"/>
      <c r="E55" s="173" t="n"/>
      <c r="F55" s="28" t="n"/>
      <c r="G55" s="15" t="n"/>
      <c r="H55" s="15" t="n"/>
      <c r="I55" s="28" t="n"/>
      <c r="J55" s="28" t="n"/>
      <c r="K55" s="28" t="n"/>
    </row>
    <row r="56" ht="15.75" customHeight="1" s="169">
      <c r="A56" s="15" t="n"/>
      <c r="B56" s="31" t="n"/>
      <c r="C56" s="28" t="n"/>
      <c r="D56" s="28" t="n"/>
      <c r="E56" s="173" t="n"/>
      <c r="F56" s="28" t="n"/>
      <c r="G56" s="15" t="n"/>
      <c r="H56" s="15" t="n"/>
      <c r="I56" s="28" t="n"/>
      <c r="J56" s="28" t="n"/>
      <c r="K56" s="28" t="n"/>
    </row>
    <row r="57" ht="15.75" customHeight="1" s="169">
      <c r="A57" s="15" t="n"/>
      <c r="B57" s="31" t="n"/>
      <c r="C57" s="28" t="n"/>
      <c r="D57" s="28" t="n"/>
      <c r="E57" s="173" t="n"/>
      <c r="F57" s="28" t="n"/>
      <c r="G57" s="15" t="n"/>
      <c r="H57" s="15" t="n"/>
      <c r="I57" s="28" t="n"/>
      <c r="J57" s="28" t="n"/>
      <c r="K57" s="28" t="n"/>
    </row>
    <row r="58" ht="15.75" customHeight="1" s="169">
      <c r="A58" s="15" t="n"/>
      <c r="B58" s="31" t="n"/>
      <c r="C58" s="28" t="n"/>
      <c r="D58" s="28" t="n"/>
      <c r="E58" s="173" t="n"/>
      <c r="F58" s="28" t="n"/>
      <c r="G58" s="15" t="n"/>
      <c r="H58" s="15" t="n"/>
      <c r="I58" s="28" t="n"/>
      <c r="J58" s="28" t="n"/>
      <c r="K58" s="28" t="n"/>
    </row>
    <row r="59" ht="15.75" customHeight="1" s="169">
      <c r="A59" s="15" t="n"/>
      <c r="B59" s="31" t="n"/>
      <c r="C59" s="28" t="n"/>
      <c r="D59" s="28" t="n"/>
      <c r="E59" s="173" t="n"/>
      <c r="F59" s="28" t="n"/>
      <c r="G59" s="15" t="n"/>
      <c r="H59" s="15" t="n"/>
      <c r="I59" s="28" t="n"/>
      <c r="J59" s="28" t="n"/>
      <c r="K59" s="28" t="n"/>
    </row>
    <row r="60" ht="15.75" customHeight="1" s="169">
      <c r="A60" s="15" t="n"/>
      <c r="B60" s="31" t="n"/>
      <c r="C60" s="28" t="n"/>
      <c r="D60" s="28" t="n"/>
      <c r="E60" s="173" t="n"/>
      <c r="F60" s="28" t="n"/>
      <c r="G60" s="15" t="n"/>
      <c r="H60" s="15" t="n"/>
      <c r="I60" s="28" t="n"/>
      <c r="J60" s="28" t="n"/>
      <c r="K60" s="28" t="n"/>
    </row>
    <row r="61" ht="15.75" customHeight="1" s="169">
      <c r="A61" s="15" t="n"/>
      <c r="B61" s="31" t="n"/>
      <c r="C61" s="28" t="n"/>
      <c r="D61" s="28" t="n"/>
      <c r="E61" s="173" t="n"/>
      <c r="F61" s="28" t="n"/>
      <c r="G61" s="15" t="n"/>
      <c r="H61" s="15" t="n"/>
      <c r="I61" s="28" t="n"/>
      <c r="J61" s="28" t="n"/>
      <c r="K61" s="28" t="n"/>
    </row>
    <row r="62" ht="15.75" customHeight="1" s="169">
      <c r="A62" s="15" t="n"/>
      <c r="B62" s="31" t="n"/>
      <c r="C62" s="28" t="n"/>
      <c r="D62" s="28" t="n"/>
      <c r="E62" s="173" t="n"/>
      <c r="F62" s="28" t="n"/>
      <c r="G62" s="15" t="n"/>
      <c r="H62" s="15" t="n"/>
      <c r="I62" s="28" t="n"/>
      <c r="J62" s="28" t="n"/>
      <c r="K62" s="28" t="n"/>
    </row>
    <row r="63" ht="15.75" customHeight="1" s="169">
      <c r="A63" s="15" t="n"/>
      <c r="B63" s="31" t="n"/>
      <c r="C63" s="28" t="n"/>
      <c r="D63" s="28" t="n"/>
      <c r="E63" s="173" t="n"/>
      <c r="F63" s="28" t="n"/>
      <c r="G63" s="15" t="n"/>
      <c r="H63" s="15" t="n"/>
      <c r="I63" s="28" t="n"/>
      <c r="J63" s="28" t="n"/>
      <c r="K63" s="28" t="n"/>
    </row>
    <row r="64" ht="15.75" customHeight="1" s="169">
      <c r="A64" s="15" t="n"/>
      <c r="B64" s="33" t="n"/>
      <c r="C64" s="34" t="n"/>
      <c r="D64" s="34" t="n"/>
      <c r="E64" s="174" t="n"/>
      <c r="F64" s="34" t="n"/>
      <c r="G64" s="36" t="n"/>
      <c r="H64" s="36" t="n"/>
      <c r="I64" s="34" t="n"/>
      <c r="J64" s="34" t="n"/>
      <c r="K64" s="34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 ht="15.75" customHeight="1" s="169">
      <c r="A65" s="15" t="n"/>
      <c r="B65" s="33" t="n"/>
      <c r="C65" s="34" t="n"/>
      <c r="D65" s="34" t="n"/>
      <c r="E65" s="174" t="n"/>
      <c r="F65" s="34" t="n"/>
      <c r="G65" s="36" t="n"/>
      <c r="H65" s="36" t="n"/>
      <c r="I65" s="34" t="n"/>
      <c r="J65" s="34" t="n"/>
      <c r="K65" s="34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 ht="15.75" customHeight="1" s="169">
      <c r="A66" s="15" t="n"/>
      <c r="B66" s="31" t="n"/>
      <c r="C66" s="28" t="n"/>
      <c r="D66" s="28" t="n"/>
      <c r="E66" s="175" t="n"/>
      <c r="F66" s="28" t="n"/>
      <c r="G66" s="15" t="n"/>
      <c r="H66" s="15" t="n"/>
      <c r="I66" s="28" t="n"/>
      <c r="J66" s="28" t="n"/>
      <c r="K66" s="28" t="n"/>
    </row>
    <row r="67" ht="15.75" customHeight="1" s="169">
      <c r="A67" s="15" t="n"/>
      <c r="B67" s="31" t="n"/>
      <c r="C67" s="28" t="n"/>
      <c r="D67" s="28" t="n"/>
      <c r="E67" s="175" t="n"/>
      <c r="F67" s="28" t="n"/>
      <c r="G67" s="15" t="n"/>
      <c r="H67" s="15" t="n"/>
      <c r="I67" s="28" t="n"/>
      <c r="J67" s="28" t="n"/>
      <c r="K67" s="28" t="n"/>
    </row>
    <row r="68" ht="15.75" customHeight="1" s="169">
      <c r="A68" s="15" t="n"/>
      <c r="B68" s="31" t="n"/>
      <c r="C68" s="28" t="n"/>
      <c r="D68" s="28" t="n"/>
      <c r="E68" s="175" t="n"/>
      <c r="F68" s="28" t="n"/>
      <c r="G68" s="15" t="n"/>
      <c r="H68" s="15" t="n"/>
      <c r="I68" s="28" t="n"/>
      <c r="J68" s="28" t="n"/>
      <c r="K68" s="28" t="n"/>
    </row>
    <row r="69" ht="15.75" customHeight="1" s="169">
      <c r="A69" s="15" t="n"/>
      <c r="B69" s="31" t="n"/>
      <c r="C69" s="28" t="n"/>
      <c r="D69" s="28" t="n"/>
      <c r="E69" s="175" t="n"/>
      <c r="F69" s="28" t="n"/>
      <c r="G69" s="15" t="n"/>
      <c r="H69" s="15" t="n"/>
      <c r="I69" s="28" t="n"/>
      <c r="J69" s="28" t="n"/>
      <c r="K69" s="28" t="n"/>
    </row>
    <row r="70" ht="15.75" customHeight="1" s="169">
      <c r="A70" s="28" t="n"/>
      <c r="B70" s="31" t="n"/>
      <c r="C70" s="28" t="n"/>
      <c r="D70" s="28" t="n"/>
      <c r="E70" s="175" t="n"/>
      <c r="F70" s="28" t="n"/>
      <c r="G70" s="15" t="n"/>
      <c r="H70" s="15" t="n"/>
      <c r="I70" s="28" t="n"/>
      <c r="J70" s="22" t="n"/>
      <c r="K70" s="22" t="n"/>
    </row>
    <row r="71" ht="15.75" customHeight="1" s="169">
      <c r="A71" s="28" t="n"/>
      <c r="B71" s="31" t="n"/>
      <c r="C71" s="28" t="n"/>
      <c r="D71" s="28" t="n"/>
      <c r="E71" s="175" t="n"/>
      <c r="F71" s="28" t="n"/>
      <c r="G71" s="15" t="n"/>
      <c r="H71" s="15" t="n"/>
      <c r="I71" s="28" t="n"/>
      <c r="J71" s="22" t="n"/>
      <c r="K71" s="22" t="n"/>
    </row>
    <row r="72" ht="15.75" customHeight="1" s="169">
      <c r="A72" s="28" t="n"/>
      <c r="B72" s="31" t="n"/>
      <c r="C72" s="28" t="n"/>
      <c r="D72" s="28" t="n"/>
      <c r="E72" s="175" t="n"/>
      <c r="F72" s="28" t="n"/>
      <c r="G72" s="15" t="n"/>
      <c r="H72" s="15" t="n"/>
      <c r="I72" s="28" t="n"/>
      <c r="J72" s="22" t="n"/>
      <c r="K72" s="22" t="n"/>
    </row>
    <row r="73" ht="15.75" customHeight="1" s="169">
      <c r="A73" s="28" t="n"/>
      <c r="B73" s="31" t="n"/>
      <c r="C73" s="28" t="n"/>
      <c r="D73" s="28" t="n"/>
      <c r="E73" s="175" t="n"/>
      <c r="F73" s="28" t="n"/>
      <c r="G73" s="15" t="n"/>
      <c r="H73" s="15" t="n"/>
      <c r="I73" s="28" t="n"/>
      <c r="J73" s="22" t="n"/>
      <c r="K73" s="22" t="n"/>
    </row>
    <row r="74" ht="15.75" customHeight="1" s="169">
      <c r="A74" s="28" t="n"/>
      <c r="B74" s="31" t="n"/>
      <c r="C74" s="28" t="n"/>
      <c r="D74" s="28" t="n"/>
      <c r="E74" s="175" t="n"/>
      <c r="F74" s="28" t="n"/>
      <c r="G74" s="15" t="n"/>
      <c r="H74" s="15" t="n"/>
      <c r="I74" s="28" t="n"/>
      <c r="J74" s="22" t="n"/>
      <c r="K74" s="22" t="n"/>
    </row>
    <row r="75" ht="15.75" customHeight="1" s="169">
      <c r="A75" s="28" t="n"/>
      <c r="B75" s="31" t="n"/>
      <c r="C75" s="28" t="n"/>
      <c r="D75" s="28" t="n"/>
      <c r="E75" s="175" t="n"/>
      <c r="F75" s="28" t="n"/>
      <c r="G75" s="15" t="n"/>
      <c r="H75" s="15" t="n"/>
      <c r="I75" s="28" t="n"/>
      <c r="J75" s="22" t="n"/>
      <c r="K75" s="22" t="n"/>
    </row>
    <row r="76" ht="15.75" customHeight="1" s="169">
      <c r="A76" s="28" t="n"/>
      <c r="B76" s="31" t="n"/>
      <c r="C76" s="28" t="n"/>
      <c r="D76" s="28" t="n"/>
      <c r="E76" s="175" t="n"/>
      <c r="F76" s="28" t="n"/>
      <c r="G76" s="15" t="n"/>
      <c r="H76" s="15" t="n"/>
      <c r="I76" s="28" t="n"/>
      <c r="J76" s="22" t="n"/>
      <c r="K76" s="22" t="n"/>
    </row>
    <row r="77" ht="15.75" customHeight="1" s="169">
      <c r="A77" s="28" t="n"/>
      <c r="B77" s="31" t="n"/>
      <c r="C77" s="28" t="n"/>
      <c r="D77" s="28" t="n"/>
      <c r="E77" s="175" t="n"/>
      <c r="F77" s="28" t="n"/>
      <c r="G77" s="15" t="n"/>
      <c r="H77" s="15" t="n"/>
      <c r="I77" s="28" t="n"/>
      <c r="J77" s="22" t="n"/>
      <c r="K77" s="22" t="n"/>
    </row>
    <row r="78" ht="15.75" customHeight="1" s="169">
      <c r="A78" s="28" t="n"/>
      <c r="B78" s="31" t="n"/>
      <c r="C78" s="28" t="n"/>
      <c r="D78" s="28" t="n"/>
      <c r="E78" s="175" t="n"/>
      <c r="F78" s="28" t="n"/>
      <c r="G78" s="15" t="n"/>
      <c r="H78" s="15" t="n"/>
      <c r="I78" s="28" t="n"/>
      <c r="J78" s="22" t="n"/>
      <c r="K78" s="22" t="n"/>
    </row>
    <row r="79" ht="15.75" customHeight="1" s="169">
      <c r="A79" s="28" t="n"/>
      <c r="B79" s="31" t="n"/>
      <c r="C79" s="28" t="n"/>
      <c r="D79" s="28" t="n"/>
      <c r="E79" s="175" t="n"/>
      <c r="F79" s="28" t="n"/>
      <c r="G79" s="15" t="n"/>
      <c r="H79" s="15" t="n"/>
      <c r="I79" s="28" t="n"/>
      <c r="J79" s="22" t="n"/>
      <c r="K79" s="22" t="n"/>
    </row>
    <row r="80" ht="15.75" customHeight="1" s="169">
      <c r="A80" s="28" t="n"/>
      <c r="B80" s="31" t="n"/>
      <c r="C80" s="28" t="n"/>
      <c r="D80" s="28" t="n"/>
      <c r="E80" s="175" t="n"/>
      <c r="F80" s="28" t="n"/>
      <c r="G80" s="15" t="n"/>
      <c r="H80" s="15" t="n"/>
      <c r="I80" s="28" t="n"/>
      <c r="J80" s="22" t="n"/>
      <c r="K80" s="22" t="n"/>
    </row>
    <row r="81" ht="15.75" customHeight="1" s="169">
      <c r="A81" s="28" t="n"/>
      <c r="B81" s="31" t="n"/>
      <c r="C81" s="28" t="n"/>
      <c r="D81" s="28" t="n"/>
      <c r="E81" s="175" t="n"/>
      <c r="F81" s="28" t="n"/>
      <c r="G81" s="15" t="n"/>
      <c r="H81" s="15" t="n"/>
      <c r="I81" s="28" t="n"/>
      <c r="J81" s="22" t="n"/>
      <c r="K81" s="22" t="n"/>
    </row>
    <row r="82" ht="15.75" customHeight="1" s="169">
      <c r="A82" s="28" t="n"/>
      <c r="B82" s="31" t="n"/>
      <c r="C82" s="28" t="n"/>
      <c r="D82" s="28" t="n"/>
      <c r="E82" s="175" t="n"/>
      <c r="F82" s="28" t="n"/>
      <c r="G82" s="15" t="n"/>
      <c r="H82" s="15" t="n"/>
      <c r="I82" s="28" t="n"/>
      <c r="J82" s="22" t="n"/>
      <c r="K82" s="22" t="n"/>
    </row>
    <row r="83" ht="15.75" customHeight="1" s="169">
      <c r="A83" s="28" t="n"/>
      <c r="B83" s="31" t="n"/>
      <c r="C83" s="28" t="n"/>
      <c r="D83" s="28" t="n"/>
      <c r="E83" s="175" t="n"/>
      <c r="F83" s="28" t="n"/>
      <c r="G83" s="15" t="n"/>
      <c r="H83" s="15" t="n"/>
      <c r="I83" s="28" t="n"/>
      <c r="J83" s="22" t="n"/>
      <c r="K83" s="22" t="n"/>
    </row>
    <row r="84" ht="15.75" customHeight="1" s="169">
      <c r="A84" s="28" t="n"/>
      <c r="B84" s="31" t="n"/>
      <c r="C84" s="28" t="n"/>
      <c r="D84" s="28" t="n"/>
      <c r="E84" s="175" t="n"/>
      <c r="F84" s="28" t="n"/>
      <c r="G84" s="15" t="n"/>
      <c r="H84" s="15" t="n"/>
      <c r="I84" s="28" t="n"/>
      <c r="J84" s="22" t="n"/>
      <c r="K84" s="22" t="n"/>
    </row>
    <row r="85" ht="15.75" customHeight="1" s="169">
      <c r="A85" s="28" t="n"/>
      <c r="B85" s="31" t="n"/>
      <c r="C85" s="28" t="n"/>
      <c r="D85" s="28" t="n"/>
      <c r="E85" s="175" t="n"/>
      <c r="F85" s="28" t="n"/>
      <c r="G85" s="15" t="n"/>
      <c r="H85" s="15" t="n"/>
      <c r="I85" s="28" t="n"/>
      <c r="J85" s="22" t="n"/>
      <c r="K85" s="22" t="n"/>
    </row>
    <row r="86" ht="15.75" customHeight="1" s="169">
      <c r="A86" s="28" t="n"/>
      <c r="B86" s="31" t="n"/>
      <c r="C86" s="28" t="n"/>
      <c r="D86" s="28" t="n"/>
      <c r="E86" s="175" t="n"/>
      <c r="F86" s="28" t="n"/>
      <c r="G86" s="15" t="n"/>
      <c r="H86" s="15" t="n"/>
      <c r="I86" s="28" t="n"/>
      <c r="J86" s="22" t="n"/>
      <c r="K86" s="22" t="n"/>
    </row>
    <row r="87" ht="15.75" customHeight="1" s="169">
      <c r="A87" s="28" t="n"/>
      <c r="B87" s="31" t="n"/>
      <c r="C87" s="28" t="n"/>
      <c r="D87" s="28" t="n"/>
      <c r="E87" s="175" t="n"/>
      <c r="F87" s="28" t="n"/>
      <c r="G87" s="15" t="n"/>
      <c r="H87" s="15" t="n"/>
      <c r="I87" s="28" t="n"/>
      <c r="J87" s="22" t="n"/>
      <c r="K87" s="22" t="n"/>
    </row>
    <row r="88" ht="15.75" customHeight="1" s="169">
      <c r="A88" s="28" t="n"/>
      <c r="B88" s="31" t="n"/>
      <c r="C88" s="28" t="n"/>
      <c r="D88" s="28" t="n"/>
      <c r="E88" s="175" t="n"/>
      <c r="F88" s="28" t="n"/>
      <c r="G88" s="15" t="n"/>
      <c r="H88" s="15" t="n"/>
      <c r="I88" s="28" t="n"/>
      <c r="J88" s="22" t="n"/>
      <c r="K88" s="22" t="n"/>
    </row>
    <row r="89" ht="15.75" customHeight="1" s="169">
      <c r="A89" s="28" t="n"/>
      <c r="B89" s="31" t="n"/>
      <c r="C89" s="28" t="n"/>
      <c r="D89" s="28" t="n"/>
      <c r="E89" s="175" t="n"/>
      <c r="F89" s="28" t="n"/>
      <c r="G89" s="15" t="n"/>
      <c r="H89" s="15" t="n"/>
      <c r="I89" s="28" t="n"/>
      <c r="J89" s="22" t="n"/>
      <c r="K89" s="22" t="n"/>
    </row>
    <row r="90" ht="15.75" customHeight="1" s="169">
      <c r="A90" s="28" t="n"/>
      <c r="B90" s="31" t="n"/>
      <c r="C90" s="28" t="n"/>
      <c r="D90" s="28" t="n"/>
      <c r="E90" s="175" t="n"/>
      <c r="F90" s="28" t="n"/>
      <c r="G90" s="15" t="n"/>
      <c r="H90" s="15" t="n"/>
      <c r="I90" s="28" t="n"/>
      <c r="J90" s="22" t="n"/>
      <c r="K90" s="22" t="n"/>
    </row>
    <row r="91" ht="15.75" customHeight="1" s="169">
      <c r="A91" s="28" t="n"/>
      <c r="B91" s="31" t="n"/>
      <c r="C91" s="28" t="n"/>
      <c r="D91" s="28" t="n"/>
      <c r="E91" s="175" t="n"/>
      <c r="F91" s="28" t="n"/>
      <c r="G91" s="15" t="n"/>
      <c r="H91" s="15" t="n"/>
      <c r="I91" s="28" t="n"/>
      <c r="J91" s="22" t="n"/>
      <c r="K91" s="22" t="n"/>
    </row>
    <row r="92" ht="15.75" customHeight="1" s="169">
      <c r="A92" s="28" t="n"/>
      <c r="B92" s="31" t="n"/>
      <c r="C92" s="28" t="n"/>
      <c r="D92" s="28" t="n"/>
      <c r="E92" s="175" t="n"/>
      <c r="F92" s="28" t="n"/>
      <c r="G92" s="15" t="n"/>
      <c r="H92" s="15" t="n"/>
      <c r="I92" s="28" t="n"/>
      <c r="J92" s="22" t="n"/>
      <c r="K92" s="22" t="n"/>
    </row>
    <row r="93" ht="15.75" customHeight="1" s="169">
      <c r="A93" s="28" t="n"/>
      <c r="B93" s="31" t="n"/>
      <c r="C93" s="28" t="n"/>
      <c r="D93" s="28" t="n"/>
      <c r="E93" s="175" t="n"/>
      <c r="F93" s="28" t="n"/>
      <c r="G93" s="15" t="n"/>
      <c r="H93" s="15" t="n"/>
      <c r="I93" s="28" t="n"/>
      <c r="J93" s="22" t="n"/>
      <c r="K93" s="22" t="n"/>
    </row>
    <row r="94" ht="15.75" customHeight="1" s="169">
      <c r="A94" s="28" t="n"/>
      <c r="B94" s="31" t="n"/>
      <c r="C94" s="28" t="n"/>
      <c r="D94" s="28" t="n"/>
      <c r="E94" s="175" t="n"/>
      <c r="F94" s="28" t="n"/>
      <c r="G94" s="15" t="n"/>
      <c r="H94" s="15" t="n"/>
      <c r="I94" s="28" t="n"/>
      <c r="J94" s="22" t="n"/>
      <c r="K94" s="22" t="n"/>
    </row>
    <row r="95" ht="15.75" customHeight="1" s="169">
      <c r="A95" s="28" t="n"/>
      <c r="B95" s="31" t="n"/>
      <c r="C95" s="28" t="n"/>
      <c r="D95" s="28" t="n"/>
      <c r="E95" s="175" t="n"/>
      <c r="F95" s="28" t="n"/>
      <c r="G95" s="15" t="n"/>
      <c r="H95" s="15" t="n"/>
      <c r="I95" s="28" t="n"/>
      <c r="J95" s="22" t="n"/>
      <c r="K95" s="22" t="n"/>
    </row>
    <row r="96" ht="15.75" customHeight="1" s="169">
      <c r="A96" s="28" t="n"/>
      <c r="B96" s="31" t="n"/>
      <c r="C96" s="28" t="n"/>
      <c r="D96" s="28" t="n"/>
      <c r="E96" s="175" t="n"/>
      <c r="F96" s="28" t="n"/>
      <c r="G96" s="15" t="n"/>
      <c r="H96" s="15" t="n"/>
      <c r="I96" s="28" t="n"/>
      <c r="J96" s="22" t="n"/>
      <c r="K96" s="22" t="n"/>
    </row>
    <row r="97" ht="15.75" customHeight="1" s="169">
      <c r="A97" s="28" t="n"/>
      <c r="B97" s="31" t="n"/>
      <c r="C97" s="28" t="n"/>
      <c r="D97" s="28" t="n"/>
      <c r="E97" s="175" t="n"/>
      <c r="F97" s="28" t="n"/>
      <c r="G97" s="15" t="n"/>
      <c r="H97" s="15" t="n"/>
      <c r="I97" s="28" t="n"/>
      <c r="J97" s="22" t="n"/>
      <c r="K97" s="22" t="n"/>
    </row>
    <row r="98" ht="15.75" customHeight="1" s="169">
      <c r="A98" s="28" t="n"/>
      <c r="B98" s="31" t="n"/>
      <c r="C98" s="28" t="n"/>
      <c r="D98" s="28" t="n"/>
      <c r="E98" s="175" t="n"/>
      <c r="F98" s="28" t="n"/>
      <c r="G98" s="15" t="n"/>
      <c r="H98" s="15" t="n"/>
      <c r="I98" s="28" t="n"/>
      <c r="J98" s="22" t="n"/>
      <c r="K98" s="22" t="n"/>
    </row>
    <row r="99" ht="15.75" customHeight="1" s="169">
      <c r="A99" s="28" t="n"/>
      <c r="B99" s="31" t="n"/>
      <c r="C99" s="28" t="n"/>
      <c r="D99" s="28" t="n"/>
      <c r="E99" s="175" t="n"/>
      <c r="F99" s="28" t="n"/>
      <c r="G99" s="15" t="n"/>
      <c r="H99" s="15" t="n"/>
      <c r="I99" s="28" t="n"/>
      <c r="J99" s="22" t="n"/>
      <c r="K99" s="22" t="n"/>
    </row>
    <row r="100" ht="15.75" customHeight="1" s="169">
      <c r="A100" s="28" t="n"/>
      <c r="B100" s="31" t="n"/>
      <c r="C100" s="28" t="n"/>
      <c r="D100" s="28" t="n"/>
      <c r="E100" s="175" t="n"/>
      <c r="F100" s="28" t="n"/>
      <c r="G100" s="15" t="n"/>
      <c r="H100" s="15" t="n"/>
      <c r="I100" s="28" t="n"/>
      <c r="J100" s="22" t="n"/>
      <c r="K100" s="22" t="n"/>
    </row>
    <row r="101" ht="15.75" customHeight="1" s="169">
      <c r="A101" s="28" t="n"/>
      <c r="B101" s="31" t="n"/>
      <c r="C101" s="28" t="n"/>
      <c r="D101" s="28" t="n"/>
      <c r="E101" s="175" t="n"/>
      <c r="F101" s="28" t="n"/>
      <c r="G101" s="15" t="n"/>
      <c r="H101" s="15" t="n"/>
      <c r="I101" s="28" t="n"/>
      <c r="J101" s="22" t="n"/>
      <c r="K101" s="22" t="n"/>
    </row>
    <row r="102" ht="15.75" customHeight="1" s="169">
      <c r="A102" s="28" t="n"/>
      <c r="B102" s="31" t="n"/>
      <c r="C102" s="28" t="n"/>
      <c r="D102" s="28" t="n"/>
      <c r="E102" s="175" t="n"/>
      <c r="F102" s="28" t="n"/>
      <c r="G102" s="15" t="n"/>
      <c r="H102" s="15" t="n"/>
      <c r="I102" s="28" t="n"/>
      <c r="J102" s="22" t="n"/>
      <c r="K102" s="22" t="n"/>
    </row>
    <row r="103" ht="15.75" customHeight="1" s="169">
      <c r="A103" s="28" t="n"/>
      <c r="B103" s="31" t="n"/>
      <c r="C103" s="28" t="n"/>
      <c r="D103" s="28" t="n"/>
      <c r="E103" s="175" t="n"/>
      <c r="F103" s="28" t="n"/>
      <c r="G103" s="15" t="n"/>
      <c r="H103" s="15" t="n"/>
      <c r="I103" s="28" t="n"/>
      <c r="J103" s="22" t="n"/>
      <c r="K103" s="22" t="n"/>
    </row>
    <row r="104" ht="15.75" customHeight="1" s="169">
      <c r="A104" s="28" t="n"/>
      <c r="B104" s="31" t="n"/>
      <c r="C104" s="28" t="n"/>
      <c r="D104" s="28" t="n"/>
      <c r="E104" s="175" t="n"/>
      <c r="F104" s="28" t="n"/>
      <c r="G104" s="15" t="n"/>
      <c r="H104" s="15" t="n"/>
      <c r="I104" s="28" t="n"/>
      <c r="J104" s="22" t="n"/>
      <c r="K104" s="22" t="n"/>
    </row>
    <row r="105" ht="15.75" customHeight="1" s="169">
      <c r="A105" s="28" t="n"/>
      <c r="B105" s="31" t="n"/>
      <c r="C105" s="28" t="n"/>
      <c r="D105" s="28" t="n"/>
      <c r="E105" s="175" t="n"/>
      <c r="F105" s="28" t="n"/>
      <c r="G105" s="15" t="n"/>
      <c r="H105" s="15" t="n"/>
      <c r="I105" s="28" t="n"/>
      <c r="J105" s="22" t="n"/>
      <c r="K105" s="22" t="n"/>
    </row>
    <row r="106" ht="15.75" customHeight="1" s="169">
      <c r="A106" s="28" t="n"/>
      <c r="B106" s="31" t="n"/>
      <c r="C106" s="28" t="n"/>
      <c r="D106" s="28" t="n"/>
      <c r="E106" s="175" t="n"/>
      <c r="F106" s="28" t="n"/>
      <c r="G106" s="15" t="n"/>
      <c r="H106" s="15" t="n"/>
      <c r="I106" s="28" t="n"/>
      <c r="J106" s="22" t="n"/>
      <c r="K106" s="22" t="n"/>
    </row>
    <row r="107" ht="15.75" customHeight="1" s="169">
      <c r="A107" s="28" t="n"/>
      <c r="B107" s="31" t="n"/>
      <c r="C107" s="28" t="n"/>
      <c r="D107" s="28" t="n"/>
      <c r="E107" s="175" t="n"/>
      <c r="F107" s="28" t="n"/>
      <c r="G107" s="15" t="n"/>
      <c r="H107" s="15" t="n"/>
      <c r="I107" s="28" t="n"/>
      <c r="J107" s="22" t="n"/>
      <c r="K107" s="22" t="n"/>
    </row>
    <row r="108" ht="15.75" customHeight="1" s="169">
      <c r="A108" s="28" t="n"/>
      <c r="B108" s="31" t="n"/>
      <c r="C108" s="28" t="n"/>
      <c r="D108" s="28" t="n"/>
      <c r="E108" s="175" t="n"/>
      <c r="F108" s="28" t="n"/>
      <c r="G108" s="15" t="n"/>
      <c r="H108" s="15" t="n"/>
      <c r="I108" s="28" t="n"/>
      <c r="J108" s="22" t="n"/>
      <c r="K108" s="22" t="n"/>
    </row>
    <row r="109" ht="15.75" customHeight="1" s="169">
      <c r="A109" s="28" t="n"/>
      <c r="B109" s="31" t="n"/>
      <c r="C109" s="28" t="n"/>
      <c r="D109" s="28" t="n"/>
      <c r="E109" s="175" t="n"/>
      <c r="F109" s="28" t="n"/>
      <c r="G109" s="15" t="n"/>
      <c r="H109" s="15" t="n"/>
      <c r="I109" s="28" t="n"/>
      <c r="J109" s="22" t="n"/>
      <c r="K109" s="22" t="n"/>
    </row>
    <row r="110" ht="15.75" customHeight="1" s="169">
      <c r="A110" s="28" t="n"/>
      <c r="B110" s="31" t="n"/>
      <c r="C110" s="28" t="n"/>
      <c r="D110" s="28" t="n"/>
      <c r="E110" s="175" t="n"/>
      <c r="F110" s="28" t="n"/>
      <c r="G110" s="15" t="n"/>
      <c r="H110" s="15" t="n"/>
      <c r="I110" s="28" t="n"/>
      <c r="J110" s="22" t="n"/>
      <c r="K110" s="22" t="n"/>
    </row>
    <row r="111" ht="15.75" customHeight="1" s="169">
      <c r="A111" s="22" t="n"/>
      <c r="B111" s="39" t="n"/>
      <c r="C111" s="22" t="n"/>
      <c r="D111" s="22" t="n"/>
      <c r="E111" s="176" t="n"/>
      <c r="F111" s="22" t="n"/>
      <c r="G111" s="22" t="n"/>
      <c r="H111" s="22" t="n"/>
      <c r="I111" s="22" t="n"/>
      <c r="J111" s="22" t="n"/>
      <c r="K111" s="22" t="n"/>
    </row>
    <row r="112" ht="15.75" customHeight="1" s="169">
      <c r="A112" s="22" t="n"/>
      <c r="B112" s="39" t="n"/>
      <c r="C112" s="22" t="n"/>
      <c r="D112" s="22" t="n"/>
      <c r="E112" s="176" t="n"/>
      <c r="F112" s="22" t="n"/>
      <c r="G112" s="22" t="n"/>
      <c r="H112" s="22" t="n"/>
      <c r="I112" s="22" t="n"/>
      <c r="J112" s="22" t="n"/>
      <c r="K112" s="22" t="n"/>
    </row>
    <row r="113" ht="15.75" customHeight="1" s="169">
      <c r="A113" s="22" t="n"/>
      <c r="B113" s="39" t="n"/>
      <c r="C113" s="22" t="n"/>
      <c r="D113" s="22" t="n"/>
      <c r="E113" s="176" t="n"/>
      <c r="F113" s="22" t="n"/>
      <c r="G113" s="22" t="n"/>
      <c r="H113" s="22" t="n"/>
      <c r="I113" s="22" t="n"/>
      <c r="J113" s="22" t="n"/>
      <c r="K113" s="22" t="n"/>
    </row>
    <row r="114" ht="15.75" customHeight="1" s="169">
      <c r="A114" s="22" t="n"/>
      <c r="B114" s="39" t="n"/>
      <c r="C114" s="22" t="n"/>
      <c r="D114" s="22" t="n"/>
      <c r="E114" s="176" t="n"/>
      <c r="F114" s="22" t="n"/>
      <c r="G114" s="22" t="n"/>
      <c r="H114" s="22" t="n"/>
      <c r="I114" s="22" t="n"/>
      <c r="J114" s="22" t="n"/>
      <c r="K114" s="22" t="n"/>
    </row>
    <row r="115" ht="15.75" customHeight="1" s="169">
      <c r="A115" s="22" t="n"/>
      <c r="B115" s="39" t="n"/>
      <c r="C115" s="22" t="n"/>
      <c r="D115" s="22" t="n"/>
      <c r="E115" s="176" t="n"/>
      <c r="F115" s="22" t="n"/>
      <c r="G115" s="22" t="n"/>
      <c r="H115" s="22" t="n"/>
      <c r="I115" s="22" t="n"/>
      <c r="J115" s="22" t="n"/>
      <c r="K115" s="22" t="n"/>
    </row>
    <row r="116" ht="15.75" customHeight="1" s="169">
      <c r="A116" s="22" t="n"/>
      <c r="B116" s="39" t="n"/>
      <c r="C116" s="22" t="n"/>
      <c r="D116" s="22" t="n"/>
      <c r="E116" s="176" t="n"/>
      <c r="F116" s="22" t="n"/>
      <c r="G116" s="22" t="n"/>
      <c r="H116" s="22" t="n"/>
      <c r="I116" s="22" t="n"/>
      <c r="J116" s="22" t="n"/>
      <c r="K116" s="22" t="n"/>
    </row>
    <row r="117" ht="15.75" customHeight="1" s="169">
      <c r="A117" s="22" t="n"/>
      <c r="B117" s="39" t="n"/>
      <c r="C117" s="22" t="n"/>
      <c r="D117" s="22" t="n"/>
      <c r="E117" s="176" t="n"/>
      <c r="F117" s="22" t="n"/>
      <c r="G117" s="22" t="n"/>
      <c r="H117" s="22" t="n"/>
      <c r="I117" s="22" t="n"/>
      <c r="J117" s="22" t="n"/>
      <c r="K117" s="22" t="n"/>
    </row>
    <row r="118" ht="15.75" customHeight="1" s="169">
      <c r="A118" s="22" t="n"/>
      <c r="B118" s="39" t="n"/>
      <c r="C118" s="22" t="n"/>
      <c r="D118" s="22" t="n"/>
      <c r="E118" s="176" t="n"/>
      <c r="F118" s="22" t="n"/>
      <c r="G118" s="22" t="n"/>
      <c r="H118" s="22" t="n"/>
      <c r="I118" s="22" t="n"/>
      <c r="J118" s="22" t="n"/>
      <c r="K118" s="22" t="n"/>
    </row>
    <row r="119" ht="15.75" customHeight="1" s="169">
      <c r="A119" s="22" t="n"/>
      <c r="B119" s="39" t="n"/>
      <c r="C119" s="22" t="n"/>
      <c r="D119" s="22" t="n"/>
      <c r="E119" s="176" t="n"/>
      <c r="F119" s="22" t="n"/>
      <c r="G119" s="22" t="n"/>
      <c r="H119" s="22" t="n"/>
      <c r="I119" s="22" t="n"/>
      <c r="J119" s="22" t="n"/>
      <c r="K119" s="22" t="n"/>
    </row>
    <row r="120" ht="15.75" customHeight="1" s="169">
      <c r="A120" s="22" t="n"/>
      <c r="B120" s="39" t="n"/>
      <c r="C120" s="22" t="n"/>
      <c r="D120" s="22" t="n"/>
      <c r="E120" s="176" t="n"/>
      <c r="F120" s="22" t="n"/>
      <c r="G120" s="22" t="n"/>
      <c r="H120" s="22" t="n"/>
      <c r="I120" s="22" t="n"/>
      <c r="J120" s="22" t="n"/>
      <c r="K120" s="22" t="n"/>
    </row>
    <row r="121" ht="15.75" customHeight="1" s="169">
      <c r="A121" s="22" t="n"/>
      <c r="B121" s="39" t="n"/>
      <c r="C121" s="22" t="n"/>
      <c r="D121" s="22" t="n"/>
      <c r="E121" s="176" t="n"/>
      <c r="F121" s="22" t="n"/>
      <c r="G121" s="22" t="n"/>
      <c r="H121" s="22" t="n"/>
      <c r="I121" s="22" t="n"/>
      <c r="J121" s="22" t="n"/>
      <c r="K121" s="22" t="n"/>
    </row>
    <row r="122" ht="15.75" customHeight="1" s="169">
      <c r="A122" s="22" t="n"/>
      <c r="B122" s="39" t="n"/>
      <c r="C122" s="22" t="n"/>
      <c r="D122" s="22" t="n"/>
      <c r="E122" s="176" t="n"/>
      <c r="F122" s="22" t="n"/>
      <c r="G122" s="22" t="n"/>
      <c r="H122" s="22" t="n"/>
      <c r="I122" s="22" t="n"/>
      <c r="J122" s="22" t="n"/>
      <c r="K122" s="22" t="n"/>
    </row>
    <row r="123" ht="15.75" customHeight="1" s="169">
      <c r="A123" s="22" t="n"/>
      <c r="B123" s="39" t="n"/>
      <c r="C123" s="22" t="n"/>
      <c r="D123" s="22" t="n"/>
      <c r="E123" s="176" t="n"/>
      <c r="F123" s="22" t="n"/>
      <c r="G123" s="22" t="n"/>
      <c r="H123" s="22" t="n"/>
      <c r="I123" s="22" t="n"/>
      <c r="J123" s="22" t="n"/>
      <c r="K123" s="22" t="n"/>
    </row>
    <row r="124" ht="15.75" customHeight="1" s="169">
      <c r="A124" s="22" t="n"/>
      <c r="B124" s="39" t="n"/>
      <c r="C124" s="22" t="n"/>
      <c r="D124" s="22" t="n"/>
      <c r="E124" s="176" t="n"/>
      <c r="F124" s="22" t="n"/>
      <c r="G124" s="22" t="n"/>
      <c r="H124" s="22" t="n"/>
      <c r="I124" s="22" t="n"/>
      <c r="J124" s="22" t="n"/>
      <c r="K124" s="22" t="n"/>
    </row>
    <row r="125" ht="15.75" customHeight="1" s="169">
      <c r="A125" s="22" t="n"/>
      <c r="B125" s="39" t="n"/>
      <c r="C125" s="22" t="n"/>
      <c r="D125" s="22" t="n"/>
      <c r="E125" s="176" t="n"/>
      <c r="F125" s="22" t="n"/>
      <c r="G125" s="22" t="n"/>
      <c r="H125" s="22" t="n"/>
      <c r="I125" s="22" t="n"/>
      <c r="J125" s="22" t="n"/>
      <c r="K125" s="22" t="n"/>
    </row>
    <row r="126" ht="15.75" customHeight="1" s="169">
      <c r="A126" s="22" t="n"/>
      <c r="B126" s="39" t="n"/>
      <c r="C126" s="22" t="n"/>
      <c r="D126" s="22" t="n"/>
      <c r="E126" s="176" t="n"/>
      <c r="F126" s="22" t="n"/>
      <c r="G126" s="22" t="n"/>
      <c r="H126" s="22" t="n"/>
      <c r="I126" s="22" t="n"/>
      <c r="J126" s="22" t="n"/>
      <c r="K126" s="22" t="n"/>
    </row>
    <row r="127" ht="15.75" customHeight="1" s="169">
      <c r="A127" s="22" t="n"/>
      <c r="B127" s="39" t="n"/>
      <c r="C127" s="22" t="n"/>
      <c r="D127" s="22" t="n"/>
      <c r="E127" s="176" t="n"/>
      <c r="F127" s="22" t="n"/>
      <c r="G127" s="22" t="n"/>
      <c r="H127" s="22" t="n"/>
      <c r="I127" s="22" t="n"/>
      <c r="J127" s="22" t="n"/>
      <c r="K127" s="22" t="n"/>
    </row>
    <row r="128" ht="15.75" customHeight="1" s="169">
      <c r="A128" s="22" t="n"/>
      <c r="B128" s="39" t="n"/>
      <c r="C128" s="22" t="n"/>
      <c r="D128" s="22" t="n"/>
      <c r="E128" s="176" t="n"/>
      <c r="F128" s="22" t="n"/>
      <c r="G128" s="22" t="n"/>
      <c r="H128" s="22" t="n"/>
      <c r="I128" s="22" t="n"/>
      <c r="J128" s="22" t="n"/>
      <c r="K128" s="22" t="n"/>
    </row>
    <row r="129" ht="15.75" customHeight="1" s="169">
      <c r="A129" s="22" t="n"/>
      <c r="B129" s="39" t="n"/>
      <c r="C129" s="22" t="n"/>
      <c r="D129" s="22" t="n"/>
      <c r="E129" s="176" t="n"/>
      <c r="F129" s="22" t="n"/>
      <c r="G129" s="22" t="n"/>
      <c r="H129" s="22" t="n"/>
      <c r="I129" s="22" t="n"/>
      <c r="J129" s="22" t="n"/>
      <c r="K129" s="22" t="n"/>
    </row>
    <row r="130" ht="15.75" customHeight="1" s="169">
      <c r="A130" s="22" t="n"/>
      <c r="B130" s="39" t="n"/>
      <c r="C130" s="22" t="n"/>
      <c r="D130" s="22" t="n"/>
      <c r="E130" s="176" t="n"/>
      <c r="F130" s="22" t="n"/>
      <c r="G130" s="22" t="n"/>
      <c r="H130" s="22" t="n"/>
      <c r="I130" s="22" t="n"/>
      <c r="J130" s="22" t="n"/>
      <c r="K130" s="22" t="n"/>
    </row>
    <row r="131" ht="15.75" customHeight="1" s="169">
      <c r="A131" s="22" t="n"/>
      <c r="B131" s="39" t="n"/>
      <c r="C131" s="22" t="n"/>
      <c r="D131" s="22" t="n"/>
      <c r="E131" s="176" t="n"/>
      <c r="F131" s="22" t="n"/>
      <c r="G131" s="22" t="n"/>
      <c r="H131" s="22" t="n"/>
      <c r="I131" s="22" t="n"/>
      <c r="J131" s="22" t="n"/>
      <c r="K131" s="22" t="n"/>
    </row>
    <row r="132" ht="15.75" customHeight="1" s="169">
      <c r="A132" s="22" t="n"/>
      <c r="B132" s="39" t="n"/>
      <c r="C132" s="22" t="n"/>
      <c r="D132" s="22" t="n"/>
      <c r="E132" s="176" t="n"/>
      <c r="F132" s="22" t="n"/>
      <c r="G132" s="22" t="n"/>
      <c r="H132" s="22" t="n"/>
      <c r="I132" s="22" t="n"/>
      <c r="J132" s="22" t="n"/>
      <c r="K132" s="22" t="n"/>
    </row>
    <row r="133" ht="15.75" customHeight="1" s="169">
      <c r="A133" s="22" t="n"/>
      <c r="B133" s="39" t="n"/>
      <c r="C133" s="22" t="n"/>
      <c r="D133" s="22" t="n"/>
      <c r="E133" s="176" t="n"/>
      <c r="F133" s="22" t="n"/>
      <c r="G133" s="22" t="n"/>
      <c r="H133" s="22" t="n"/>
      <c r="I133" s="22" t="n"/>
      <c r="J133" s="22" t="n"/>
      <c r="K133" s="22" t="n"/>
    </row>
    <row r="134" ht="15.75" customHeight="1" s="169">
      <c r="A134" s="22" t="n"/>
      <c r="B134" s="39" t="n"/>
      <c r="C134" s="22" t="n"/>
      <c r="D134" s="22" t="n"/>
      <c r="E134" s="176" t="n"/>
      <c r="F134" s="22" t="n"/>
      <c r="G134" s="22" t="n"/>
      <c r="H134" s="22" t="n"/>
      <c r="I134" s="22" t="n"/>
      <c r="J134" s="22" t="n"/>
      <c r="K134" s="22" t="n"/>
    </row>
    <row r="135" ht="15.75" customHeight="1" s="169">
      <c r="A135" s="22" t="n"/>
      <c r="B135" s="39" t="n"/>
      <c r="C135" s="22" t="n"/>
      <c r="D135" s="22" t="n"/>
      <c r="E135" s="176" t="n"/>
      <c r="F135" s="22" t="n"/>
      <c r="G135" s="22" t="n"/>
      <c r="H135" s="22" t="n"/>
      <c r="I135" s="22" t="n"/>
      <c r="J135" s="22" t="n"/>
      <c r="K135" s="22" t="n"/>
    </row>
    <row r="136" ht="15.75" customHeight="1" s="169">
      <c r="A136" s="22" t="n"/>
      <c r="B136" s="39" t="n"/>
      <c r="C136" s="22" t="n"/>
      <c r="D136" s="22" t="n"/>
      <c r="E136" s="176" t="n"/>
      <c r="F136" s="22" t="n"/>
      <c r="G136" s="22" t="n"/>
      <c r="H136" s="22" t="n"/>
      <c r="I136" s="22" t="n"/>
      <c r="J136" s="22" t="n"/>
      <c r="K136" s="22" t="n"/>
    </row>
    <row r="137" ht="15.75" customHeight="1" s="169">
      <c r="A137" s="22" t="n"/>
      <c r="B137" s="39" t="n"/>
      <c r="C137" s="22" t="n"/>
      <c r="D137" s="22" t="n"/>
      <c r="E137" s="176" t="n"/>
      <c r="F137" s="22" t="n"/>
      <c r="G137" s="22" t="n"/>
      <c r="H137" s="22" t="n"/>
      <c r="I137" s="22" t="n"/>
      <c r="J137" s="22" t="n"/>
      <c r="K137" s="22" t="n"/>
    </row>
    <row r="138" ht="15.75" customHeight="1" s="169">
      <c r="A138" s="22" t="n"/>
      <c r="B138" s="39" t="n"/>
      <c r="C138" s="22" t="n"/>
      <c r="D138" s="22" t="n"/>
      <c r="E138" s="176" t="n"/>
      <c r="F138" s="22" t="n"/>
      <c r="G138" s="22" t="n"/>
      <c r="H138" s="22" t="n"/>
      <c r="I138" s="22" t="n"/>
      <c r="J138" s="22" t="n"/>
      <c r="K138" s="22" t="n"/>
    </row>
    <row r="139" ht="15.75" customHeight="1" s="169">
      <c r="A139" s="22" t="n"/>
      <c r="B139" s="39" t="n"/>
      <c r="C139" s="22" t="n"/>
      <c r="D139" s="22" t="n"/>
      <c r="E139" s="176" t="n"/>
      <c r="F139" s="22" t="n"/>
      <c r="G139" s="22" t="n"/>
      <c r="H139" s="22" t="n"/>
      <c r="I139" s="22" t="n"/>
      <c r="J139" s="22" t="n"/>
      <c r="K139" s="22" t="n"/>
    </row>
    <row r="140" ht="15.75" customHeight="1" s="169">
      <c r="A140" s="22" t="n"/>
      <c r="B140" s="39" t="n"/>
      <c r="C140" s="22" t="n"/>
      <c r="D140" s="22" t="n"/>
      <c r="E140" s="176" t="n"/>
      <c r="F140" s="22" t="n"/>
      <c r="G140" s="22" t="n"/>
      <c r="H140" s="22" t="n"/>
      <c r="I140" s="22" t="n"/>
      <c r="J140" s="22" t="n"/>
      <c r="K140" s="22" t="n"/>
    </row>
    <row r="141" ht="15.75" customHeight="1" s="169">
      <c r="A141" s="22" t="n"/>
      <c r="B141" s="39" t="n"/>
      <c r="C141" s="22" t="n"/>
      <c r="D141" s="22" t="n"/>
      <c r="E141" s="176" t="n"/>
      <c r="F141" s="22" t="n"/>
      <c r="G141" s="22" t="n"/>
      <c r="H141" s="22" t="n"/>
      <c r="I141" s="22" t="n"/>
      <c r="J141" s="22" t="n"/>
      <c r="K141" s="22" t="n"/>
    </row>
    <row r="142" ht="15.75" customHeight="1" s="169">
      <c r="A142" s="22" t="n"/>
      <c r="B142" s="39" t="n"/>
      <c r="C142" s="22" t="n"/>
      <c r="D142" s="22" t="n"/>
      <c r="E142" s="176" t="n"/>
      <c r="F142" s="22" t="n"/>
      <c r="G142" s="22" t="n"/>
      <c r="H142" s="22" t="n"/>
      <c r="I142" s="22" t="n"/>
      <c r="J142" s="22" t="n"/>
      <c r="K142" s="22" t="n"/>
    </row>
    <row r="143" ht="15.75" customHeight="1" s="169">
      <c r="A143" s="22" t="n"/>
      <c r="B143" s="39" t="n"/>
      <c r="C143" s="22" t="n"/>
      <c r="D143" s="22" t="n"/>
      <c r="E143" s="176" t="n"/>
      <c r="F143" s="22" t="n"/>
      <c r="G143" s="22" t="n"/>
      <c r="H143" s="22" t="n"/>
      <c r="I143" s="22" t="n"/>
      <c r="J143" s="22" t="n"/>
      <c r="K143" s="22" t="n"/>
    </row>
    <row r="144" ht="15.75" customHeight="1" s="169">
      <c r="A144" s="22" t="n"/>
      <c r="B144" s="39" t="n"/>
      <c r="C144" s="22" t="n"/>
      <c r="D144" s="22" t="n"/>
      <c r="E144" s="176" t="n"/>
      <c r="F144" s="22" t="n"/>
      <c r="G144" s="22" t="n"/>
      <c r="H144" s="22" t="n"/>
      <c r="I144" s="22" t="n"/>
      <c r="J144" s="22" t="n"/>
      <c r="K144" s="22" t="n"/>
    </row>
    <row r="145" ht="15.75" customHeight="1" s="169">
      <c r="A145" s="22" t="n"/>
      <c r="B145" s="39" t="n"/>
      <c r="C145" s="22" t="n"/>
      <c r="D145" s="22" t="n"/>
      <c r="E145" s="176" t="n"/>
      <c r="F145" s="22" t="n"/>
      <c r="G145" s="22" t="n"/>
      <c r="H145" s="22" t="n"/>
      <c r="I145" s="22" t="n"/>
      <c r="J145" s="22" t="n"/>
      <c r="K145" s="22" t="n"/>
    </row>
    <row r="146" ht="15.75" customHeight="1" s="169">
      <c r="A146" s="22" t="n"/>
      <c r="B146" s="39" t="n"/>
      <c r="C146" s="22" t="n"/>
      <c r="D146" s="22" t="n"/>
      <c r="E146" s="176" t="n"/>
      <c r="F146" s="22" t="n"/>
      <c r="G146" s="22" t="n"/>
      <c r="H146" s="22" t="n"/>
      <c r="I146" s="22" t="n"/>
      <c r="J146" s="22" t="n"/>
      <c r="K146" s="22" t="n"/>
    </row>
    <row r="147" ht="15.75" customHeight="1" s="169">
      <c r="A147" s="22" t="n"/>
      <c r="B147" s="39" t="n"/>
      <c r="C147" s="22" t="n"/>
      <c r="D147" s="22" t="n"/>
      <c r="E147" s="176" t="n"/>
      <c r="F147" s="22" t="n"/>
      <c r="G147" s="22" t="n"/>
      <c r="H147" s="22" t="n"/>
      <c r="I147" s="22" t="n"/>
      <c r="J147" s="22" t="n"/>
      <c r="K147" s="22" t="n"/>
    </row>
    <row r="148" ht="15.75" customHeight="1" s="169">
      <c r="A148" s="22" t="n"/>
      <c r="B148" s="39" t="n"/>
      <c r="C148" s="22" t="n"/>
      <c r="D148" s="22" t="n"/>
      <c r="E148" s="176" t="n"/>
      <c r="F148" s="22" t="n"/>
      <c r="G148" s="22" t="n"/>
      <c r="H148" s="22" t="n"/>
      <c r="I148" s="22" t="n"/>
      <c r="J148" s="22" t="n"/>
      <c r="K148" s="22" t="n"/>
    </row>
    <row r="149" ht="15.75" customHeight="1" s="169">
      <c r="A149" s="22" t="n"/>
      <c r="B149" s="39" t="n"/>
      <c r="C149" s="22" t="n"/>
      <c r="D149" s="22" t="n"/>
      <c r="E149" s="176" t="n"/>
      <c r="F149" s="22" t="n"/>
      <c r="G149" s="22" t="n"/>
      <c r="H149" s="22" t="n"/>
      <c r="I149" s="22" t="n"/>
      <c r="J149" s="22" t="n"/>
      <c r="K149" s="22" t="n"/>
    </row>
    <row r="150" ht="15.75" customHeight="1" s="169">
      <c r="A150" s="22" t="n"/>
      <c r="B150" s="39" t="n"/>
      <c r="C150" s="22" t="n"/>
      <c r="D150" s="22" t="n"/>
      <c r="E150" s="176" t="n"/>
      <c r="F150" s="22" t="n"/>
      <c r="G150" s="22" t="n"/>
      <c r="H150" s="22" t="n"/>
      <c r="I150" s="22" t="n"/>
      <c r="J150" s="22" t="n"/>
      <c r="K150" s="22" t="n"/>
    </row>
    <row r="151" ht="15.75" customHeight="1" s="169">
      <c r="A151" s="22" t="n"/>
      <c r="B151" s="39" t="n"/>
      <c r="C151" s="22" t="n"/>
      <c r="D151" s="22" t="n"/>
      <c r="E151" s="176" t="n"/>
      <c r="F151" s="22" t="n"/>
      <c r="G151" s="22" t="n"/>
      <c r="H151" s="22" t="n"/>
      <c r="I151" s="22" t="n"/>
      <c r="J151" s="22" t="n"/>
      <c r="K151" s="22" t="n"/>
    </row>
    <row r="152" ht="15.75" customHeight="1" s="169">
      <c r="A152" s="22" t="n"/>
      <c r="B152" s="39" t="n"/>
      <c r="C152" s="22" t="n"/>
      <c r="D152" s="22" t="n"/>
      <c r="E152" s="176" t="n"/>
      <c r="F152" s="22" t="n"/>
      <c r="G152" s="22" t="n"/>
      <c r="H152" s="22" t="n"/>
      <c r="I152" s="22" t="n"/>
      <c r="J152" s="22" t="n"/>
      <c r="K152" s="22" t="n"/>
    </row>
    <row r="153" ht="15.75" customHeight="1" s="169">
      <c r="A153" s="22" t="n"/>
      <c r="B153" s="39" t="n"/>
      <c r="C153" s="22" t="n"/>
      <c r="D153" s="22" t="n"/>
      <c r="E153" s="176" t="n"/>
      <c r="F153" s="22" t="n"/>
      <c r="G153" s="22" t="n"/>
      <c r="H153" s="22" t="n"/>
      <c r="I153" s="22" t="n"/>
      <c r="J153" s="22" t="n"/>
      <c r="K153" s="22" t="n"/>
    </row>
    <row r="154" ht="15.75" customHeight="1" s="169">
      <c r="A154" s="22" t="n"/>
      <c r="B154" s="39" t="n"/>
      <c r="C154" s="22" t="n"/>
      <c r="D154" s="22" t="n"/>
      <c r="E154" s="176" t="n"/>
      <c r="F154" s="22" t="n"/>
      <c r="G154" s="22" t="n"/>
      <c r="H154" s="22" t="n"/>
      <c r="I154" s="22" t="n"/>
      <c r="J154" s="22" t="n"/>
      <c r="K154" s="22" t="n"/>
    </row>
    <row r="155" ht="15.75" customHeight="1" s="169">
      <c r="A155" s="22" t="n"/>
      <c r="B155" s="39" t="n"/>
      <c r="C155" s="22" t="n"/>
      <c r="D155" s="22" t="n"/>
      <c r="E155" s="176" t="n"/>
      <c r="F155" s="22" t="n"/>
      <c r="G155" s="22" t="n"/>
      <c r="H155" s="22" t="n"/>
      <c r="I155" s="22" t="n"/>
      <c r="J155" s="22" t="n"/>
      <c r="K155" s="22" t="n"/>
    </row>
    <row r="156" ht="15.75" customHeight="1" s="169">
      <c r="A156" s="22" t="n"/>
      <c r="B156" s="39" t="n"/>
      <c r="C156" s="22" t="n"/>
      <c r="D156" s="22" t="n"/>
      <c r="E156" s="176" t="n"/>
      <c r="F156" s="22" t="n"/>
      <c r="G156" s="22" t="n"/>
      <c r="H156" s="22" t="n"/>
      <c r="I156" s="22" t="n"/>
      <c r="J156" s="22" t="n"/>
      <c r="K156" s="22" t="n"/>
    </row>
    <row r="157" ht="15.75" customHeight="1" s="169">
      <c r="A157" s="22" t="n"/>
      <c r="B157" s="39" t="n"/>
      <c r="C157" s="22" t="n"/>
      <c r="D157" s="22" t="n"/>
      <c r="E157" s="176" t="n"/>
      <c r="F157" s="22" t="n"/>
      <c r="G157" s="22" t="n"/>
      <c r="H157" s="22" t="n"/>
      <c r="I157" s="22" t="n"/>
      <c r="J157" s="22" t="n"/>
      <c r="K157" s="22" t="n"/>
    </row>
    <row r="158" ht="15.75" customHeight="1" s="169">
      <c r="A158" s="22" t="n"/>
      <c r="B158" s="39" t="n"/>
      <c r="C158" s="22" t="n"/>
      <c r="D158" s="22" t="n"/>
      <c r="E158" s="176" t="n"/>
      <c r="F158" s="22" t="n"/>
      <c r="G158" s="22" t="n"/>
      <c r="H158" s="22" t="n"/>
      <c r="I158" s="22" t="n"/>
      <c r="J158" s="22" t="n"/>
      <c r="K158" s="22" t="n"/>
    </row>
    <row r="159" ht="15.75" customHeight="1" s="169">
      <c r="A159" s="22" t="n"/>
      <c r="B159" s="39" t="n"/>
      <c r="C159" s="22" t="n"/>
      <c r="D159" s="22" t="n"/>
      <c r="E159" s="176" t="n"/>
      <c r="F159" s="22" t="n"/>
      <c r="G159" s="22" t="n"/>
      <c r="H159" s="22" t="n"/>
      <c r="I159" s="22" t="n"/>
      <c r="J159" s="22" t="n"/>
      <c r="K159" s="22" t="n"/>
    </row>
    <row r="160" ht="15.75" customHeight="1" s="169">
      <c r="A160" s="22" t="n"/>
      <c r="B160" s="39" t="n"/>
      <c r="C160" s="22" t="n"/>
      <c r="D160" s="22" t="n"/>
      <c r="E160" s="176" t="n"/>
      <c r="F160" s="22" t="n"/>
      <c r="G160" s="22" t="n"/>
      <c r="H160" s="22" t="n"/>
      <c r="I160" s="22" t="n"/>
      <c r="J160" s="22" t="n"/>
      <c r="K160" s="22" t="n"/>
    </row>
    <row r="161" ht="15.75" customHeight="1" s="169">
      <c r="A161" s="22" t="n"/>
      <c r="B161" s="39" t="n"/>
      <c r="C161" s="22" t="n"/>
      <c r="D161" s="22" t="n"/>
      <c r="E161" s="176" t="n"/>
      <c r="F161" s="22" t="n"/>
      <c r="G161" s="22" t="n"/>
      <c r="H161" s="22" t="n"/>
      <c r="I161" s="22" t="n"/>
      <c r="J161" s="22" t="n"/>
      <c r="K161" s="22" t="n"/>
    </row>
    <row r="162" ht="15.75" customHeight="1" s="169">
      <c r="A162" s="22" t="n"/>
      <c r="B162" s="39" t="n"/>
      <c r="C162" s="22" t="n"/>
      <c r="D162" s="22" t="n"/>
      <c r="E162" s="176" t="n"/>
      <c r="F162" s="22" t="n"/>
      <c r="G162" s="22" t="n"/>
      <c r="H162" s="22" t="n"/>
      <c r="I162" s="22" t="n"/>
      <c r="J162" s="22" t="n"/>
      <c r="K162" s="22" t="n"/>
    </row>
    <row r="163" ht="15.75" customHeight="1" s="169">
      <c r="A163" s="22" t="n"/>
      <c r="B163" s="39" t="n"/>
      <c r="C163" s="22" t="n"/>
      <c r="D163" s="22" t="n"/>
      <c r="E163" s="176" t="n"/>
      <c r="F163" s="22" t="n"/>
      <c r="G163" s="22" t="n"/>
      <c r="H163" s="22" t="n"/>
      <c r="I163" s="22" t="n"/>
      <c r="J163" s="22" t="n"/>
      <c r="K163" s="22" t="n"/>
    </row>
    <row r="164" ht="15.75" customHeight="1" s="169">
      <c r="A164" s="22" t="n"/>
      <c r="B164" s="39" t="n"/>
      <c r="C164" s="22" t="n"/>
      <c r="D164" s="22" t="n"/>
      <c r="E164" s="176" t="n"/>
      <c r="F164" s="22" t="n"/>
      <c r="G164" s="22" t="n"/>
      <c r="H164" s="22" t="n"/>
      <c r="I164" s="22" t="n"/>
      <c r="J164" s="22" t="n"/>
      <c r="K164" s="22" t="n"/>
    </row>
    <row r="165" ht="15.75" customHeight="1" s="169">
      <c r="A165" s="22" t="n"/>
      <c r="B165" s="39" t="n"/>
      <c r="C165" s="22" t="n"/>
      <c r="D165" s="22" t="n"/>
      <c r="E165" s="176" t="n"/>
      <c r="F165" s="22" t="n"/>
      <c r="G165" s="22" t="n"/>
      <c r="H165" s="22" t="n"/>
      <c r="I165" s="22" t="n"/>
      <c r="J165" s="22" t="n"/>
      <c r="K165" s="22" t="n"/>
    </row>
    <row r="166" ht="15.75" customHeight="1" s="169">
      <c r="A166" s="22" t="n"/>
      <c r="B166" s="39" t="n"/>
      <c r="C166" s="22" t="n"/>
      <c r="D166" s="22" t="n"/>
      <c r="E166" s="176" t="n"/>
      <c r="F166" s="22" t="n"/>
      <c r="G166" s="22" t="n"/>
      <c r="H166" s="22" t="n"/>
      <c r="I166" s="22" t="n"/>
      <c r="J166" s="22" t="n"/>
      <c r="K166" s="22" t="n"/>
    </row>
    <row r="167" ht="15.75" customHeight="1" s="169">
      <c r="A167" s="22" t="n"/>
      <c r="B167" s="39" t="n"/>
      <c r="C167" s="22" t="n"/>
      <c r="D167" s="22" t="n"/>
      <c r="E167" s="176" t="n"/>
      <c r="F167" s="22" t="n"/>
      <c r="G167" s="22" t="n"/>
      <c r="H167" s="22" t="n"/>
      <c r="I167" s="22" t="n"/>
      <c r="J167" s="22" t="n"/>
      <c r="K167" s="22" t="n"/>
    </row>
    <row r="168" ht="15.75" customHeight="1" s="169">
      <c r="A168" s="22" t="n"/>
      <c r="B168" s="39" t="n"/>
      <c r="C168" s="22" t="n"/>
      <c r="D168" s="22" t="n"/>
      <c r="E168" s="176" t="n"/>
      <c r="F168" s="22" t="n"/>
      <c r="G168" s="22" t="n"/>
      <c r="H168" s="22" t="n"/>
      <c r="I168" s="22" t="n"/>
      <c r="J168" s="22" t="n"/>
      <c r="K168" s="22" t="n"/>
    </row>
    <row r="169" ht="15.75" customHeight="1" s="169">
      <c r="A169" s="22" t="n"/>
      <c r="B169" s="39" t="n"/>
      <c r="C169" s="22" t="n"/>
      <c r="D169" s="22" t="n"/>
      <c r="E169" s="176" t="n"/>
      <c r="F169" s="22" t="n"/>
      <c r="G169" s="22" t="n"/>
      <c r="H169" s="22" t="n"/>
      <c r="I169" s="22" t="n"/>
      <c r="J169" s="22" t="n"/>
      <c r="K169" s="22" t="n"/>
    </row>
    <row r="170" ht="15.75" customHeight="1" s="169">
      <c r="A170" s="22" t="n"/>
      <c r="B170" s="39" t="n"/>
      <c r="C170" s="22" t="n"/>
      <c r="D170" s="22" t="n"/>
      <c r="E170" s="176" t="n"/>
      <c r="F170" s="22" t="n"/>
      <c r="G170" s="22" t="n"/>
      <c r="H170" s="22" t="n"/>
      <c r="I170" s="22" t="n"/>
      <c r="J170" s="22" t="n"/>
      <c r="K170" s="22" t="n"/>
    </row>
    <row r="171" ht="15.75" customHeight="1" s="169">
      <c r="A171" s="22" t="n"/>
      <c r="B171" s="39" t="n"/>
      <c r="C171" s="22" t="n"/>
      <c r="D171" s="22" t="n"/>
      <c r="E171" s="176" t="n"/>
      <c r="F171" s="22" t="n"/>
      <c r="G171" s="22" t="n"/>
      <c r="H171" s="22" t="n"/>
      <c r="I171" s="22" t="n"/>
      <c r="J171" s="22" t="n"/>
      <c r="K171" s="22" t="n"/>
    </row>
    <row r="172" ht="15.75" customHeight="1" s="169">
      <c r="A172" s="22" t="n"/>
      <c r="B172" s="39" t="n"/>
      <c r="C172" s="22" t="n"/>
      <c r="D172" s="22" t="n"/>
      <c r="E172" s="176" t="n"/>
      <c r="F172" s="22" t="n"/>
      <c r="G172" s="22" t="n"/>
      <c r="H172" s="22" t="n"/>
      <c r="I172" s="22" t="n"/>
      <c r="J172" s="22" t="n"/>
      <c r="K172" s="22" t="n"/>
    </row>
    <row r="173" ht="15.75" customHeight="1" s="169">
      <c r="A173" s="22" t="n"/>
      <c r="B173" s="39" t="n"/>
      <c r="C173" s="22" t="n"/>
      <c r="D173" s="22" t="n"/>
      <c r="E173" s="176" t="n"/>
      <c r="F173" s="22" t="n"/>
      <c r="G173" s="22" t="n"/>
      <c r="H173" s="22" t="n"/>
      <c r="I173" s="22" t="n"/>
      <c r="J173" s="22" t="n"/>
      <c r="K173" s="22" t="n"/>
    </row>
    <row r="174" ht="15.75" customHeight="1" s="169">
      <c r="A174" s="22" t="n"/>
      <c r="B174" s="39" t="n"/>
      <c r="C174" s="22" t="n"/>
      <c r="D174" s="22" t="n"/>
      <c r="E174" s="176" t="n"/>
      <c r="F174" s="22" t="n"/>
      <c r="G174" s="22" t="n"/>
      <c r="H174" s="22" t="n"/>
      <c r="I174" s="22" t="n"/>
      <c r="J174" s="22" t="n"/>
      <c r="K174" s="22" t="n"/>
    </row>
    <row r="175" ht="15.75" customHeight="1" s="169">
      <c r="A175" s="22" t="n"/>
      <c r="B175" s="39" t="n"/>
      <c r="C175" s="22" t="n"/>
      <c r="D175" s="22" t="n"/>
      <c r="E175" s="176" t="n"/>
      <c r="F175" s="22" t="n"/>
      <c r="G175" s="22" t="n"/>
      <c r="H175" s="22" t="n"/>
      <c r="I175" s="22" t="n"/>
      <c r="J175" s="22" t="n"/>
      <c r="K175" s="22" t="n"/>
    </row>
    <row r="176" ht="15.75" customHeight="1" s="169">
      <c r="A176" s="22" t="n"/>
      <c r="B176" s="39" t="n"/>
      <c r="C176" s="22" t="n"/>
      <c r="D176" s="22" t="n"/>
      <c r="E176" s="176" t="n"/>
      <c r="F176" s="22" t="n"/>
      <c r="G176" s="22" t="n"/>
      <c r="H176" s="22" t="n"/>
      <c r="I176" s="22" t="n"/>
      <c r="J176" s="22" t="n"/>
      <c r="K176" s="22" t="n"/>
    </row>
    <row r="177" ht="15.75" customHeight="1" s="169">
      <c r="A177" s="22" t="n"/>
      <c r="B177" s="39" t="n"/>
      <c r="C177" s="22" t="n"/>
      <c r="D177" s="22" t="n"/>
      <c r="E177" s="176" t="n"/>
      <c r="F177" s="22" t="n"/>
      <c r="G177" s="22" t="n"/>
      <c r="H177" s="22" t="n"/>
      <c r="I177" s="22" t="n"/>
      <c r="J177" s="22" t="n"/>
      <c r="K177" s="22" t="n"/>
    </row>
    <row r="178" ht="15.75" customHeight="1" s="169">
      <c r="A178" s="22" t="n"/>
      <c r="B178" s="39" t="n"/>
      <c r="C178" s="22" t="n"/>
      <c r="D178" s="22" t="n"/>
      <c r="E178" s="176" t="n"/>
      <c r="F178" s="22" t="n"/>
      <c r="G178" s="22" t="n"/>
      <c r="H178" s="22" t="n"/>
      <c r="I178" s="22" t="n"/>
      <c r="J178" s="22" t="n"/>
      <c r="K178" s="22" t="n"/>
    </row>
    <row r="179" ht="15.75" customHeight="1" s="169">
      <c r="A179" s="22" t="n"/>
      <c r="B179" s="39" t="n"/>
      <c r="C179" s="22" t="n"/>
      <c r="D179" s="22" t="n"/>
      <c r="E179" s="176" t="n"/>
      <c r="F179" s="22" t="n"/>
      <c r="G179" s="22" t="n"/>
      <c r="H179" s="22" t="n"/>
      <c r="I179" s="22" t="n"/>
      <c r="J179" s="22" t="n"/>
      <c r="K179" s="22" t="n"/>
    </row>
    <row r="180" ht="15.75" customHeight="1" s="169">
      <c r="A180" s="22" t="n"/>
      <c r="B180" s="39" t="n"/>
      <c r="C180" s="22" t="n"/>
      <c r="D180" s="22" t="n"/>
      <c r="E180" s="176" t="n"/>
      <c r="F180" s="22" t="n"/>
      <c r="G180" s="22" t="n"/>
      <c r="H180" s="22" t="n"/>
      <c r="I180" s="22" t="n"/>
      <c r="J180" s="22" t="n"/>
      <c r="K180" s="22" t="n"/>
    </row>
    <row r="181" ht="15.75" customHeight="1" s="169">
      <c r="A181" s="22" t="n"/>
      <c r="B181" s="39" t="n"/>
      <c r="C181" s="22" t="n"/>
      <c r="D181" s="22" t="n"/>
      <c r="E181" s="176" t="n"/>
      <c r="F181" s="22" t="n"/>
      <c r="G181" s="22" t="n"/>
      <c r="H181" s="22" t="n"/>
      <c r="I181" s="22" t="n"/>
      <c r="J181" s="22" t="n"/>
      <c r="K181" s="22" t="n"/>
    </row>
    <row r="182" ht="15.75" customHeight="1" s="169">
      <c r="A182" s="22" t="n"/>
      <c r="B182" s="39" t="n"/>
      <c r="C182" s="22" t="n"/>
      <c r="D182" s="22" t="n"/>
      <c r="E182" s="176" t="n"/>
      <c r="F182" s="22" t="n"/>
      <c r="G182" s="22" t="n"/>
      <c r="H182" s="22" t="n"/>
      <c r="I182" s="22" t="n"/>
      <c r="J182" s="22" t="n"/>
      <c r="K182" s="22" t="n"/>
    </row>
    <row r="183" ht="15.75" customHeight="1" s="169">
      <c r="A183" s="22" t="n"/>
      <c r="B183" s="39" t="n"/>
      <c r="C183" s="22" t="n"/>
      <c r="D183" s="22" t="n"/>
      <c r="E183" s="176" t="n"/>
      <c r="F183" s="22" t="n"/>
      <c r="G183" s="22" t="n"/>
      <c r="H183" s="22" t="n"/>
      <c r="I183" s="22" t="n"/>
      <c r="J183" s="22" t="n"/>
      <c r="K183" s="22" t="n"/>
    </row>
    <row r="184" ht="15.75" customHeight="1" s="169">
      <c r="A184" s="22" t="n"/>
      <c r="B184" s="39" t="n"/>
      <c r="C184" s="22" t="n"/>
      <c r="D184" s="22" t="n"/>
      <c r="E184" s="176" t="n"/>
      <c r="F184" s="22" t="n"/>
      <c r="G184" s="22" t="n"/>
      <c r="H184" s="22" t="n"/>
      <c r="I184" s="22" t="n"/>
      <c r="J184" s="22" t="n"/>
      <c r="K184" s="22" t="n"/>
    </row>
    <row r="185" ht="15.75" customHeight="1" s="169">
      <c r="A185" s="22" t="n"/>
      <c r="B185" s="39" t="n"/>
      <c r="C185" s="22" t="n"/>
      <c r="D185" s="22" t="n"/>
      <c r="E185" s="176" t="n"/>
      <c r="F185" s="22" t="n"/>
      <c r="G185" s="22" t="n"/>
      <c r="H185" s="22" t="n"/>
      <c r="I185" s="22" t="n"/>
      <c r="J185" s="22" t="n"/>
      <c r="K185" s="22" t="n"/>
    </row>
    <row r="186" ht="15.75" customHeight="1" s="169">
      <c r="A186" s="22" t="n"/>
      <c r="B186" s="39" t="n"/>
      <c r="C186" s="22" t="n"/>
      <c r="D186" s="22" t="n"/>
      <c r="E186" s="176" t="n"/>
      <c r="F186" s="22" t="n"/>
      <c r="G186" s="22" t="n"/>
      <c r="H186" s="22" t="n"/>
      <c r="I186" s="22" t="n"/>
      <c r="J186" s="22" t="n"/>
      <c r="K186" s="22" t="n"/>
    </row>
    <row r="187" ht="15.75" customHeight="1" s="169">
      <c r="A187" s="22" t="n"/>
      <c r="B187" s="39" t="n"/>
      <c r="C187" s="22" t="n"/>
      <c r="D187" s="22" t="n"/>
      <c r="E187" s="176" t="n"/>
      <c r="F187" s="22" t="n"/>
      <c r="G187" s="22" t="n"/>
      <c r="H187" s="22" t="n"/>
      <c r="I187" s="22" t="n"/>
      <c r="J187" s="22" t="n"/>
      <c r="K187" s="22" t="n"/>
    </row>
    <row r="188" ht="15.75" customHeight="1" s="169">
      <c r="A188" s="22" t="n"/>
      <c r="B188" s="39" t="n"/>
      <c r="C188" s="22" t="n"/>
      <c r="D188" s="22" t="n"/>
      <c r="E188" s="176" t="n"/>
      <c r="F188" s="22" t="n"/>
      <c r="G188" s="22" t="n"/>
      <c r="H188" s="22" t="n"/>
      <c r="I188" s="22" t="n"/>
      <c r="J188" s="22" t="n"/>
      <c r="K188" s="22" t="n"/>
    </row>
    <row r="189" ht="15.75" customHeight="1" s="169">
      <c r="A189" s="22" t="n"/>
      <c r="B189" s="39" t="n"/>
      <c r="C189" s="22" t="n"/>
      <c r="D189" s="22" t="n"/>
      <c r="E189" s="176" t="n"/>
      <c r="F189" s="22" t="n"/>
      <c r="G189" s="22" t="n"/>
      <c r="H189" s="22" t="n"/>
      <c r="I189" s="22" t="n"/>
      <c r="J189" s="22" t="n"/>
      <c r="K189" s="22" t="n"/>
    </row>
    <row r="190" ht="15.75" customHeight="1" s="169">
      <c r="A190" s="22" t="n"/>
      <c r="B190" s="39" t="n"/>
      <c r="C190" s="22" t="n"/>
      <c r="D190" s="22" t="n"/>
      <c r="E190" s="176" t="n"/>
      <c r="F190" s="22" t="n"/>
      <c r="G190" s="22" t="n"/>
      <c r="H190" s="22" t="n"/>
      <c r="I190" s="22" t="n"/>
      <c r="J190" s="22" t="n"/>
      <c r="K190" s="22" t="n"/>
    </row>
    <row r="191" ht="15.75" customHeight="1" s="169">
      <c r="A191" s="22" t="n"/>
      <c r="B191" s="39" t="n"/>
      <c r="C191" s="22" t="n"/>
      <c r="D191" s="22" t="n"/>
      <c r="E191" s="176" t="n"/>
      <c r="F191" s="22" t="n"/>
      <c r="G191" s="22" t="n"/>
      <c r="H191" s="22" t="n"/>
      <c r="I191" s="22" t="n"/>
      <c r="J191" s="22" t="n"/>
      <c r="K191" s="22" t="n"/>
    </row>
    <row r="192" ht="15.75" customHeight="1" s="169">
      <c r="A192" s="22" t="n"/>
      <c r="B192" s="39" t="n"/>
      <c r="C192" s="22" t="n"/>
      <c r="D192" s="22" t="n"/>
      <c r="E192" s="176" t="n"/>
      <c r="F192" s="22" t="n"/>
      <c r="G192" s="22" t="n"/>
      <c r="H192" s="22" t="n"/>
      <c r="I192" s="22" t="n"/>
      <c r="J192" s="22" t="n"/>
      <c r="K192" s="22" t="n"/>
    </row>
    <row r="193" ht="15.75" customHeight="1" s="169">
      <c r="A193" s="22" t="n"/>
      <c r="B193" s="39" t="n"/>
      <c r="C193" s="22" t="n"/>
      <c r="D193" s="22" t="n"/>
      <c r="E193" s="176" t="n"/>
      <c r="F193" s="22" t="n"/>
      <c r="G193" s="22" t="n"/>
      <c r="H193" s="22" t="n"/>
      <c r="I193" s="22" t="n"/>
      <c r="J193" s="22" t="n"/>
      <c r="K193" s="22" t="n"/>
    </row>
    <row r="194" ht="15.75" customHeight="1" s="169">
      <c r="A194" s="22" t="n"/>
      <c r="B194" s="39" t="n"/>
      <c r="C194" s="22" t="n"/>
      <c r="D194" s="22" t="n"/>
      <c r="E194" s="176" t="n"/>
      <c r="F194" s="22" t="n"/>
      <c r="G194" s="22" t="n"/>
      <c r="H194" s="22" t="n"/>
      <c r="I194" s="22" t="n"/>
      <c r="J194" s="22" t="n"/>
      <c r="K194" s="22" t="n"/>
    </row>
    <row r="195" ht="15.75" customHeight="1" s="169">
      <c r="A195" s="22" t="n"/>
      <c r="B195" s="39" t="n"/>
      <c r="C195" s="22" t="n"/>
      <c r="D195" s="22" t="n"/>
      <c r="E195" s="176" t="n"/>
      <c r="F195" s="22" t="n"/>
      <c r="G195" s="22" t="n"/>
      <c r="H195" s="22" t="n"/>
      <c r="I195" s="22" t="n"/>
      <c r="J195" s="22" t="n"/>
      <c r="K195" s="22" t="n"/>
    </row>
    <row r="196" ht="15.75" customHeight="1" s="169">
      <c r="A196" s="22" t="n"/>
      <c r="B196" s="39" t="n"/>
      <c r="C196" s="22" t="n"/>
      <c r="D196" s="22" t="n"/>
      <c r="E196" s="176" t="n"/>
      <c r="F196" s="22" t="n"/>
      <c r="G196" s="22" t="n"/>
      <c r="H196" s="22" t="n"/>
      <c r="I196" s="22" t="n"/>
      <c r="J196" s="22" t="n"/>
      <c r="K196" s="22" t="n"/>
    </row>
    <row r="197" ht="15.75" customHeight="1" s="169">
      <c r="A197" s="22" t="n"/>
      <c r="B197" s="39" t="n"/>
      <c r="C197" s="22" t="n"/>
      <c r="D197" s="22" t="n"/>
      <c r="E197" s="176" t="n"/>
      <c r="F197" s="22" t="n"/>
      <c r="G197" s="22" t="n"/>
      <c r="H197" s="22" t="n"/>
      <c r="I197" s="22" t="n"/>
      <c r="J197" s="22" t="n"/>
      <c r="K197" s="22" t="n"/>
    </row>
    <row r="198" ht="15.75" customHeight="1" s="169">
      <c r="A198" s="22" t="n"/>
      <c r="B198" s="39" t="n"/>
      <c r="C198" s="22" t="n"/>
      <c r="D198" s="22" t="n"/>
      <c r="E198" s="176" t="n"/>
      <c r="F198" s="22" t="n"/>
      <c r="G198" s="22" t="n"/>
      <c r="H198" s="22" t="n"/>
      <c r="I198" s="22" t="n"/>
      <c r="J198" s="22" t="n"/>
      <c r="K198" s="22" t="n"/>
    </row>
    <row r="199" ht="15.75" customHeight="1" s="169">
      <c r="A199" s="22" t="n"/>
      <c r="B199" s="39" t="n"/>
      <c r="C199" s="22" t="n"/>
      <c r="D199" s="22" t="n"/>
      <c r="E199" s="176" t="n"/>
      <c r="F199" s="22" t="n"/>
      <c r="G199" s="22" t="n"/>
      <c r="H199" s="22" t="n"/>
      <c r="I199" s="22" t="n"/>
      <c r="J199" s="22" t="n"/>
      <c r="K199" s="22" t="n"/>
    </row>
    <row r="200" ht="15.75" customHeight="1" s="169">
      <c r="A200" s="22" t="n"/>
      <c r="B200" s="39" t="n"/>
      <c r="C200" s="22" t="n"/>
      <c r="D200" s="22" t="n"/>
      <c r="E200" s="176" t="n"/>
      <c r="F200" s="22" t="n"/>
      <c r="G200" s="22" t="n"/>
      <c r="H200" s="22" t="n"/>
      <c r="I200" s="22" t="n"/>
      <c r="J200" s="22" t="n"/>
      <c r="K200" s="22" t="n"/>
    </row>
    <row r="201" ht="15.75" customHeight="1" s="169">
      <c r="A201" s="22" t="n"/>
      <c r="B201" s="39" t="n"/>
      <c r="C201" s="22" t="n"/>
      <c r="D201" s="22" t="n"/>
      <c r="E201" s="176" t="n"/>
      <c r="F201" s="22" t="n"/>
      <c r="G201" s="22" t="n"/>
      <c r="H201" s="22" t="n"/>
      <c r="I201" s="22" t="n"/>
      <c r="J201" s="22" t="n"/>
      <c r="K201" s="22" t="n"/>
    </row>
    <row r="202" ht="15.75" customHeight="1" s="169">
      <c r="A202" s="22" t="n"/>
      <c r="B202" s="39" t="n"/>
      <c r="C202" s="22" t="n"/>
      <c r="D202" s="22" t="n"/>
      <c r="E202" s="176" t="n"/>
      <c r="F202" s="22" t="n"/>
      <c r="G202" s="22" t="n"/>
      <c r="H202" s="22" t="n"/>
      <c r="I202" s="22" t="n"/>
      <c r="J202" s="22" t="n"/>
      <c r="K202" s="22" t="n"/>
    </row>
    <row r="203" ht="15.75" customHeight="1" s="169">
      <c r="A203" s="22" t="n"/>
      <c r="B203" s="39" t="n"/>
      <c r="C203" s="22" t="n"/>
      <c r="D203" s="22" t="n"/>
      <c r="E203" s="176" t="n"/>
      <c r="F203" s="22" t="n"/>
      <c r="G203" s="22" t="n"/>
      <c r="H203" s="22" t="n"/>
      <c r="I203" s="22" t="n"/>
      <c r="J203" s="22" t="n"/>
      <c r="K203" s="22" t="n"/>
    </row>
    <row r="204" ht="15.75" customHeight="1" s="169">
      <c r="A204" s="22" t="n"/>
      <c r="B204" s="39" t="n"/>
      <c r="C204" s="22" t="n"/>
      <c r="D204" s="22" t="n"/>
      <c r="E204" s="176" t="n"/>
      <c r="F204" s="22" t="n"/>
      <c r="G204" s="22" t="n"/>
      <c r="H204" s="22" t="n"/>
      <c r="I204" s="22" t="n"/>
      <c r="J204" s="22" t="n"/>
      <c r="K204" s="22" t="n"/>
    </row>
    <row r="205" ht="15.75" customHeight="1" s="169">
      <c r="A205" s="22" t="n"/>
      <c r="B205" s="39" t="n"/>
      <c r="C205" s="22" t="n"/>
      <c r="D205" s="22" t="n"/>
      <c r="E205" s="176" t="n"/>
      <c r="F205" s="22" t="n"/>
      <c r="G205" s="22" t="n"/>
      <c r="H205" s="22" t="n"/>
      <c r="I205" s="22" t="n"/>
      <c r="J205" s="22" t="n"/>
      <c r="K205" s="22" t="n"/>
    </row>
    <row r="206" ht="15.75" customHeight="1" s="169">
      <c r="A206" s="22" t="n"/>
      <c r="B206" s="39" t="n"/>
      <c r="C206" s="22" t="n"/>
      <c r="D206" s="22" t="n"/>
      <c r="E206" s="176" t="n"/>
      <c r="F206" s="22" t="n"/>
      <c r="G206" s="22" t="n"/>
      <c r="H206" s="22" t="n"/>
      <c r="I206" s="22" t="n"/>
      <c r="J206" s="22" t="n"/>
      <c r="K206" s="22" t="n"/>
    </row>
    <row r="207" ht="15.75" customHeight="1" s="169">
      <c r="A207" s="22" t="n"/>
      <c r="B207" s="39" t="n"/>
      <c r="C207" s="22" t="n"/>
      <c r="D207" s="22" t="n"/>
      <c r="E207" s="176" t="n"/>
      <c r="F207" s="22" t="n"/>
      <c r="G207" s="22" t="n"/>
      <c r="H207" s="22" t="n"/>
      <c r="I207" s="22" t="n"/>
      <c r="J207" s="22" t="n"/>
      <c r="K207" s="22" t="n"/>
    </row>
    <row r="208" ht="15.75" customHeight="1" s="169">
      <c r="A208" s="22" t="n"/>
      <c r="B208" s="39" t="n"/>
      <c r="C208" s="22" t="n"/>
      <c r="D208" s="22" t="n"/>
      <c r="E208" s="176" t="n"/>
      <c r="F208" s="22" t="n"/>
      <c r="G208" s="22" t="n"/>
      <c r="H208" s="22" t="n"/>
      <c r="I208" s="22" t="n"/>
      <c r="J208" s="22" t="n"/>
      <c r="K208" s="22" t="n"/>
    </row>
    <row r="209" ht="15.75" customHeight="1" s="169">
      <c r="A209" s="22" t="n"/>
      <c r="B209" s="39" t="n"/>
      <c r="C209" s="22" t="n"/>
      <c r="D209" s="22" t="n"/>
      <c r="E209" s="176" t="n"/>
      <c r="F209" s="22" t="n"/>
      <c r="G209" s="22" t="n"/>
      <c r="H209" s="22" t="n"/>
      <c r="I209" s="22" t="n"/>
      <c r="J209" s="22" t="n"/>
      <c r="K209" s="22" t="n"/>
    </row>
    <row r="210" ht="15.75" customHeight="1" s="169">
      <c r="A210" s="22" t="n"/>
      <c r="B210" s="39" t="n"/>
      <c r="C210" s="22" t="n"/>
      <c r="D210" s="22" t="n"/>
      <c r="E210" s="176" t="n"/>
      <c r="F210" s="22" t="n"/>
      <c r="G210" s="22" t="n"/>
      <c r="H210" s="22" t="n"/>
      <c r="I210" s="22" t="n"/>
      <c r="J210" s="22" t="n"/>
      <c r="K210" s="22" t="n"/>
    </row>
    <row r="211" ht="15.75" customHeight="1" s="169">
      <c r="A211" s="22" t="n"/>
      <c r="B211" s="39" t="n"/>
      <c r="C211" s="22" t="n"/>
      <c r="D211" s="22" t="n"/>
      <c r="E211" s="176" t="n"/>
      <c r="F211" s="22" t="n"/>
      <c r="G211" s="22" t="n"/>
      <c r="H211" s="22" t="n"/>
      <c r="I211" s="22" t="n"/>
      <c r="J211" s="22" t="n"/>
      <c r="K211" s="22" t="n"/>
    </row>
    <row r="212" ht="15.75" customHeight="1" s="169">
      <c r="A212" s="22" t="n"/>
      <c r="B212" s="39" t="n"/>
      <c r="C212" s="22" t="n"/>
      <c r="D212" s="22" t="n"/>
      <c r="E212" s="176" t="n"/>
      <c r="F212" s="22" t="n"/>
      <c r="G212" s="22" t="n"/>
      <c r="H212" s="22" t="n"/>
      <c r="I212" s="22" t="n"/>
      <c r="J212" s="22" t="n"/>
      <c r="K212" s="22" t="n"/>
    </row>
    <row r="213" ht="15.75" customHeight="1" s="169">
      <c r="A213" s="22" t="n"/>
      <c r="B213" s="39" t="n"/>
      <c r="C213" s="22" t="n"/>
      <c r="D213" s="22" t="n"/>
      <c r="E213" s="176" t="n"/>
      <c r="F213" s="22" t="n"/>
      <c r="G213" s="22" t="n"/>
      <c r="H213" s="22" t="n"/>
      <c r="I213" s="22" t="n"/>
      <c r="J213" s="22" t="n"/>
      <c r="K213" s="22" t="n"/>
    </row>
    <row r="214" ht="15.75" customHeight="1" s="169">
      <c r="A214" s="22" t="n"/>
      <c r="B214" s="39" t="n"/>
      <c r="C214" s="22" t="n"/>
      <c r="D214" s="22" t="n"/>
      <c r="E214" s="176" t="n"/>
      <c r="F214" s="22" t="n"/>
      <c r="G214" s="22" t="n"/>
      <c r="H214" s="22" t="n"/>
      <c r="I214" s="22" t="n"/>
      <c r="J214" s="22" t="n"/>
      <c r="K214" s="22" t="n"/>
    </row>
    <row r="215" ht="15.75" customHeight="1" s="169">
      <c r="A215" s="22" t="n"/>
      <c r="B215" s="39" t="n"/>
      <c r="C215" s="22" t="n"/>
      <c r="D215" s="22" t="n"/>
      <c r="E215" s="176" t="n"/>
      <c r="F215" s="22" t="n"/>
      <c r="G215" s="22" t="n"/>
      <c r="H215" s="22" t="n"/>
      <c r="I215" s="22" t="n"/>
      <c r="J215" s="22" t="n"/>
      <c r="K215" s="22" t="n"/>
    </row>
    <row r="216" ht="15.75" customHeight="1" s="169">
      <c r="A216" s="22" t="n"/>
      <c r="B216" s="39" t="n"/>
      <c r="C216" s="22" t="n"/>
      <c r="D216" s="22" t="n"/>
      <c r="E216" s="176" t="n"/>
      <c r="F216" s="22" t="n"/>
      <c r="G216" s="22" t="n"/>
      <c r="H216" s="22" t="n"/>
      <c r="I216" s="22" t="n"/>
      <c r="J216" s="22" t="n"/>
      <c r="K216" s="22" t="n"/>
    </row>
    <row r="217" ht="15.75" customHeight="1" s="169">
      <c r="A217" s="22" t="n"/>
      <c r="B217" s="39" t="n"/>
      <c r="C217" s="22" t="n"/>
      <c r="D217" s="22" t="n"/>
      <c r="E217" s="176" t="n"/>
      <c r="F217" s="22" t="n"/>
      <c r="G217" s="22" t="n"/>
      <c r="H217" s="22" t="n"/>
      <c r="I217" s="22" t="n"/>
      <c r="J217" s="22" t="n"/>
      <c r="K217" s="22" t="n"/>
    </row>
    <row r="218" ht="15.75" customHeight="1" s="169">
      <c r="A218" s="22" t="n"/>
      <c r="B218" s="39" t="n"/>
      <c r="C218" s="22" t="n"/>
      <c r="D218" s="22" t="n"/>
      <c r="E218" s="176" t="n"/>
      <c r="F218" s="22" t="n"/>
      <c r="G218" s="22" t="n"/>
      <c r="H218" s="22" t="n"/>
      <c r="I218" s="22" t="n"/>
      <c r="J218" s="22" t="n"/>
      <c r="K218" s="22" t="n"/>
    </row>
    <row r="219" ht="15.75" customHeight="1" s="169">
      <c r="A219" s="22" t="n"/>
      <c r="B219" s="39" t="n"/>
      <c r="C219" s="22" t="n"/>
      <c r="D219" s="22" t="n"/>
      <c r="E219" s="176" t="n"/>
      <c r="F219" s="22" t="n"/>
      <c r="G219" s="22" t="n"/>
      <c r="H219" s="22" t="n"/>
      <c r="I219" s="22" t="n"/>
      <c r="J219" s="22" t="n"/>
      <c r="K219" s="22" t="n"/>
    </row>
    <row r="220" ht="15.75" customHeight="1" s="169">
      <c r="A220" s="22" t="n"/>
      <c r="B220" s="39" t="n"/>
      <c r="C220" s="22" t="n"/>
      <c r="D220" s="22" t="n"/>
      <c r="E220" s="176" t="n"/>
      <c r="F220" s="22" t="n"/>
      <c r="G220" s="22" t="n"/>
      <c r="H220" s="22" t="n"/>
      <c r="I220" s="22" t="n"/>
      <c r="J220" s="22" t="n"/>
      <c r="K220" s="22" t="n"/>
    </row>
    <row r="221" ht="15.75" customHeight="1" s="169">
      <c r="A221" s="22" t="n"/>
      <c r="B221" s="39" t="n"/>
      <c r="C221" s="22" t="n"/>
      <c r="D221" s="22" t="n"/>
      <c r="E221" s="176" t="n"/>
      <c r="F221" s="22" t="n"/>
      <c r="G221" s="22" t="n"/>
      <c r="H221" s="22" t="n"/>
      <c r="I221" s="22" t="n"/>
      <c r="J221" s="22" t="n"/>
      <c r="K221" s="22" t="n"/>
    </row>
    <row r="222" ht="15.75" customHeight="1" s="169">
      <c r="A222" s="22" t="n"/>
      <c r="B222" s="39" t="n"/>
      <c r="C222" s="22" t="n"/>
      <c r="D222" s="22" t="n"/>
      <c r="E222" s="176" t="n"/>
      <c r="F222" s="22" t="n"/>
      <c r="G222" s="22" t="n"/>
      <c r="H222" s="22" t="n"/>
      <c r="I222" s="22" t="n"/>
      <c r="J222" s="22" t="n"/>
      <c r="K222" s="22" t="n"/>
    </row>
    <row r="223" ht="15.75" customHeight="1" s="169">
      <c r="A223" s="22" t="n"/>
      <c r="B223" s="39" t="n"/>
      <c r="C223" s="22" t="n"/>
      <c r="D223" s="22" t="n"/>
      <c r="E223" s="176" t="n"/>
      <c r="F223" s="22" t="n"/>
      <c r="G223" s="22" t="n"/>
      <c r="H223" s="22" t="n"/>
      <c r="I223" s="22" t="n"/>
      <c r="J223" s="22" t="n"/>
      <c r="K223" s="22" t="n"/>
    </row>
    <row r="224" ht="15.75" customHeight="1" s="169">
      <c r="A224" s="22" t="n"/>
      <c r="B224" s="39" t="n"/>
      <c r="C224" s="22" t="n"/>
      <c r="D224" s="22" t="n"/>
      <c r="E224" s="176" t="n"/>
      <c r="F224" s="22" t="n"/>
      <c r="G224" s="22" t="n"/>
      <c r="H224" s="22" t="n"/>
      <c r="I224" s="22" t="n"/>
      <c r="J224" s="22" t="n"/>
      <c r="K224" s="22" t="n"/>
    </row>
    <row r="225" ht="15.75" customHeight="1" s="169">
      <c r="A225" s="22" t="n"/>
      <c r="B225" s="39" t="n"/>
      <c r="C225" s="22" t="n"/>
      <c r="D225" s="22" t="n"/>
      <c r="E225" s="176" t="n"/>
      <c r="F225" s="22" t="n"/>
      <c r="G225" s="22" t="n"/>
      <c r="H225" s="22" t="n"/>
      <c r="I225" s="22" t="n"/>
      <c r="J225" s="22" t="n"/>
      <c r="K225" s="22" t="n"/>
    </row>
    <row r="226" ht="15.75" customHeight="1" s="169">
      <c r="A226" s="22" t="n"/>
      <c r="B226" s="39" t="n"/>
      <c r="C226" s="22" t="n"/>
      <c r="D226" s="22" t="n"/>
      <c r="E226" s="176" t="n"/>
      <c r="F226" s="22" t="n"/>
      <c r="G226" s="22" t="n"/>
      <c r="H226" s="22" t="n"/>
      <c r="I226" s="22" t="n"/>
      <c r="J226" s="22" t="n"/>
      <c r="K226" s="22" t="n"/>
    </row>
    <row r="227" ht="15.75" customHeight="1" s="169">
      <c r="A227" s="22" t="n"/>
      <c r="B227" s="39" t="n"/>
      <c r="C227" s="22" t="n"/>
      <c r="D227" s="22" t="n"/>
      <c r="E227" s="176" t="n"/>
      <c r="F227" s="22" t="n"/>
      <c r="G227" s="22" t="n"/>
      <c r="H227" s="22" t="n"/>
      <c r="I227" s="22" t="n"/>
      <c r="J227" s="22" t="n"/>
      <c r="K227" s="22" t="n"/>
    </row>
    <row r="228" ht="15.75" customHeight="1" s="169">
      <c r="A228" s="22" t="n"/>
      <c r="B228" s="39" t="n"/>
      <c r="C228" s="22" t="n"/>
      <c r="D228" s="22" t="n"/>
      <c r="E228" s="176" t="n"/>
      <c r="F228" s="22" t="n"/>
      <c r="G228" s="22" t="n"/>
      <c r="H228" s="22" t="n"/>
      <c r="I228" s="22" t="n"/>
      <c r="J228" s="22" t="n"/>
      <c r="K228" s="22" t="n"/>
    </row>
    <row r="229" ht="15.75" customHeight="1" s="169">
      <c r="A229" s="22" t="n"/>
      <c r="B229" s="39" t="n"/>
      <c r="C229" s="22" t="n"/>
      <c r="D229" s="22" t="n"/>
      <c r="E229" s="176" t="n"/>
      <c r="F229" s="22" t="n"/>
      <c r="G229" s="22" t="n"/>
      <c r="H229" s="22" t="n"/>
      <c r="I229" s="22" t="n"/>
      <c r="J229" s="22" t="n"/>
      <c r="K229" s="22" t="n"/>
    </row>
    <row r="230" ht="15.75" customHeight="1" s="169">
      <c r="A230" s="22" t="n"/>
      <c r="B230" s="39" t="n"/>
      <c r="C230" s="22" t="n"/>
      <c r="D230" s="22" t="n"/>
      <c r="E230" s="176" t="n"/>
      <c r="F230" s="22" t="n"/>
      <c r="G230" s="22" t="n"/>
      <c r="H230" s="22" t="n"/>
      <c r="I230" s="22" t="n"/>
      <c r="J230" s="22" t="n"/>
      <c r="K230" s="22" t="n"/>
    </row>
    <row r="231" ht="15.75" customHeight="1" s="169">
      <c r="A231" s="22" t="n"/>
      <c r="B231" s="39" t="n"/>
      <c r="C231" s="22" t="n"/>
      <c r="D231" s="22" t="n"/>
      <c r="E231" s="176" t="n"/>
      <c r="F231" s="22" t="n"/>
      <c r="G231" s="22" t="n"/>
      <c r="H231" s="22" t="n"/>
      <c r="I231" s="22" t="n"/>
      <c r="J231" s="22" t="n"/>
      <c r="K231" s="22" t="n"/>
    </row>
    <row r="232" ht="15.75" customHeight="1" s="169">
      <c r="A232" s="22" t="n"/>
      <c r="B232" s="39" t="n"/>
      <c r="C232" s="22" t="n"/>
      <c r="D232" s="22" t="n"/>
      <c r="E232" s="176" t="n"/>
      <c r="F232" s="22" t="n"/>
      <c r="G232" s="22" t="n"/>
      <c r="H232" s="22" t="n"/>
      <c r="I232" s="22" t="n"/>
      <c r="J232" s="22" t="n"/>
      <c r="K232" s="22" t="n"/>
    </row>
    <row r="233" ht="15.75" customHeight="1" s="169">
      <c r="A233" s="22" t="n"/>
      <c r="B233" s="39" t="n"/>
      <c r="C233" s="22" t="n"/>
      <c r="D233" s="22" t="n"/>
      <c r="E233" s="176" t="n"/>
      <c r="F233" s="22" t="n"/>
      <c r="G233" s="22" t="n"/>
      <c r="H233" s="22" t="n"/>
      <c r="I233" s="22" t="n"/>
      <c r="J233" s="22" t="n"/>
      <c r="K233" s="22" t="n"/>
    </row>
    <row r="234" ht="15.75" customHeight="1" s="169">
      <c r="A234" s="22" t="n"/>
      <c r="B234" s="39" t="n"/>
      <c r="C234" s="22" t="n"/>
      <c r="D234" s="22" t="n"/>
      <c r="E234" s="176" t="n"/>
      <c r="F234" s="22" t="n"/>
      <c r="G234" s="22" t="n"/>
      <c r="H234" s="22" t="n"/>
      <c r="I234" s="22" t="n"/>
      <c r="J234" s="22" t="n"/>
      <c r="K234" s="22" t="n"/>
    </row>
    <row r="235" ht="15.75" customHeight="1" s="169">
      <c r="A235" s="22" t="n"/>
      <c r="B235" s="39" t="n"/>
      <c r="C235" s="22" t="n"/>
      <c r="D235" s="22" t="n"/>
      <c r="E235" s="176" t="n"/>
      <c r="F235" s="22" t="n"/>
      <c r="G235" s="22" t="n"/>
      <c r="H235" s="22" t="n"/>
      <c r="I235" s="22" t="n"/>
      <c r="J235" s="22" t="n"/>
      <c r="K235" s="22" t="n"/>
    </row>
    <row r="236" ht="15.75" customHeight="1" s="169">
      <c r="A236" s="22" t="n"/>
      <c r="B236" s="39" t="n"/>
      <c r="C236" s="22" t="n"/>
      <c r="D236" s="22" t="n"/>
      <c r="E236" s="176" t="n"/>
      <c r="F236" s="22" t="n"/>
      <c r="G236" s="22" t="n"/>
      <c r="H236" s="22" t="n"/>
      <c r="I236" s="22" t="n"/>
      <c r="J236" s="22" t="n"/>
      <c r="K236" s="22" t="n"/>
    </row>
    <row r="237" ht="15.75" customHeight="1" s="169">
      <c r="A237" s="22" t="n"/>
      <c r="B237" s="39" t="n"/>
      <c r="C237" s="22" t="n"/>
      <c r="D237" s="22" t="n"/>
      <c r="E237" s="176" t="n"/>
      <c r="F237" s="22" t="n"/>
      <c r="G237" s="22" t="n"/>
      <c r="H237" s="22" t="n"/>
      <c r="I237" s="22" t="n"/>
      <c r="J237" s="22" t="n"/>
      <c r="K237" s="22" t="n"/>
    </row>
    <row r="238" ht="15.75" customHeight="1" s="169">
      <c r="A238" s="22" t="n"/>
      <c r="B238" s="39" t="n"/>
      <c r="C238" s="22" t="n"/>
      <c r="D238" s="22" t="n"/>
      <c r="E238" s="176" t="n"/>
      <c r="F238" s="22" t="n"/>
      <c r="G238" s="22" t="n"/>
      <c r="H238" s="22" t="n"/>
      <c r="I238" s="22" t="n"/>
      <c r="J238" s="22" t="n"/>
      <c r="K238" s="22" t="n"/>
    </row>
    <row r="239" ht="15.75" customHeight="1" s="169">
      <c r="A239" s="22" t="n"/>
      <c r="B239" s="39" t="n"/>
      <c r="C239" s="22" t="n"/>
      <c r="D239" s="22" t="n"/>
      <c r="E239" s="176" t="n"/>
      <c r="F239" s="22" t="n"/>
      <c r="G239" s="22" t="n"/>
      <c r="H239" s="22" t="n"/>
      <c r="I239" s="22" t="n"/>
      <c r="J239" s="22" t="n"/>
      <c r="K239" s="22" t="n"/>
    </row>
    <row r="240" ht="15.75" customHeight="1" s="169">
      <c r="A240" s="22" t="n"/>
      <c r="B240" s="39" t="n"/>
      <c r="C240" s="22" t="n"/>
      <c r="D240" s="22" t="n"/>
      <c r="E240" s="176" t="n"/>
      <c r="F240" s="22" t="n"/>
      <c r="G240" s="22" t="n"/>
      <c r="H240" s="22" t="n"/>
      <c r="I240" s="22" t="n"/>
      <c r="J240" s="22" t="n"/>
      <c r="K240" s="22" t="n"/>
    </row>
    <row r="241" ht="15.75" customHeight="1" s="169">
      <c r="A241" s="22" t="n"/>
      <c r="B241" s="39" t="n"/>
      <c r="C241" s="22" t="n"/>
      <c r="D241" s="22" t="n"/>
      <c r="E241" s="176" t="n"/>
      <c r="F241" s="22" t="n"/>
      <c r="G241" s="22" t="n"/>
      <c r="H241" s="22" t="n"/>
      <c r="I241" s="22" t="n"/>
      <c r="J241" s="22" t="n"/>
      <c r="K241" s="22" t="n"/>
    </row>
    <row r="242" ht="15.75" customHeight="1" s="169">
      <c r="A242" s="22" t="n"/>
      <c r="B242" s="39" t="n"/>
      <c r="C242" s="22" t="n"/>
      <c r="D242" s="22" t="n"/>
      <c r="E242" s="176" t="n"/>
      <c r="F242" s="22" t="n"/>
      <c r="G242" s="22" t="n"/>
      <c r="H242" s="22" t="n"/>
      <c r="I242" s="22" t="n"/>
      <c r="J242" s="22" t="n"/>
      <c r="K242" s="22" t="n"/>
    </row>
    <row r="243" ht="15.75" customHeight="1" s="169">
      <c r="A243" s="22" t="n"/>
      <c r="B243" s="39" t="n"/>
      <c r="C243" s="22" t="n"/>
      <c r="D243" s="22" t="n"/>
      <c r="E243" s="176" t="n"/>
      <c r="F243" s="22" t="n"/>
      <c r="G243" s="22" t="n"/>
      <c r="H243" s="22" t="n"/>
      <c r="I243" s="22" t="n"/>
      <c r="J243" s="22" t="n"/>
      <c r="K243" s="22" t="n"/>
    </row>
    <row r="244" ht="15.75" customHeight="1" s="169">
      <c r="A244" s="22" t="n"/>
      <c r="B244" s="39" t="n"/>
      <c r="C244" s="22" t="n"/>
      <c r="D244" s="22" t="n"/>
      <c r="E244" s="176" t="n"/>
      <c r="F244" s="22" t="n"/>
      <c r="G244" s="22" t="n"/>
      <c r="H244" s="22" t="n"/>
      <c r="I244" s="22" t="n"/>
      <c r="J244" s="22" t="n"/>
      <c r="K244" s="22" t="n"/>
    </row>
    <row r="245" ht="15.75" customHeight="1" s="169">
      <c r="A245" s="22" t="n"/>
      <c r="B245" s="39" t="n"/>
      <c r="C245" s="22" t="n"/>
      <c r="D245" s="22" t="n"/>
      <c r="E245" s="176" t="n"/>
      <c r="F245" s="22" t="n"/>
      <c r="G245" s="22" t="n"/>
      <c r="H245" s="22" t="n"/>
      <c r="I245" s="22" t="n"/>
      <c r="J245" s="22" t="n"/>
      <c r="K245" s="22" t="n"/>
    </row>
    <row r="246" ht="15.75" customHeight="1" s="169">
      <c r="A246" s="22" t="n"/>
      <c r="B246" s="39" t="n"/>
      <c r="C246" s="22" t="n"/>
      <c r="D246" s="22" t="n"/>
      <c r="E246" s="176" t="n"/>
      <c r="F246" s="22" t="n"/>
      <c r="G246" s="22" t="n"/>
      <c r="H246" s="22" t="n"/>
      <c r="I246" s="22" t="n"/>
      <c r="J246" s="22" t="n"/>
      <c r="K246" s="22" t="n"/>
    </row>
    <row r="247" ht="15.75" customHeight="1" s="169">
      <c r="A247" s="22" t="n"/>
      <c r="B247" s="39" t="n"/>
      <c r="C247" s="22" t="n"/>
      <c r="D247" s="22" t="n"/>
      <c r="E247" s="176" t="n"/>
      <c r="F247" s="22" t="n"/>
      <c r="G247" s="22" t="n"/>
      <c r="H247" s="22" t="n"/>
      <c r="I247" s="22" t="n"/>
      <c r="J247" s="22" t="n"/>
      <c r="K247" s="22" t="n"/>
    </row>
    <row r="248" ht="15.75" customHeight="1" s="169">
      <c r="A248" s="22" t="n"/>
      <c r="B248" s="39" t="n"/>
      <c r="C248" s="22" t="n"/>
      <c r="D248" s="22" t="n"/>
      <c r="E248" s="176" t="n"/>
      <c r="F248" s="22" t="n"/>
      <c r="G248" s="22" t="n"/>
      <c r="H248" s="22" t="n"/>
      <c r="I248" s="22" t="n"/>
      <c r="J248" s="22" t="n"/>
      <c r="K248" s="22" t="n"/>
    </row>
    <row r="249" ht="15.75" customHeight="1" s="169">
      <c r="A249" s="22" t="n"/>
      <c r="B249" s="39" t="n"/>
      <c r="C249" s="22" t="n"/>
      <c r="D249" s="22" t="n"/>
      <c r="E249" s="176" t="n"/>
      <c r="F249" s="22" t="n"/>
      <c r="G249" s="22" t="n"/>
      <c r="H249" s="22" t="n"/>
      <c r="I249" s="22" t="n"/>
      <c r="J249" s="22" t="n"/>
      <c r="K249" s="22" t="n"/>
    </row>
    <row r="250" ht="15.75" customHeight="1" s="169">
      <c r="A250" s="22" t="n"/>
      <c r="B250" s="39" t="n"/>
      <c r="C250" s="22" t="n"/>
      <c r="D250" s="22" t="n"/>
      <c r="E250" s="176" t="n"/>
      <c r="F250" s="22" t="n"/>
      <c r="G250" s="22" t="n"/>
      <c r="H250" s="22" t="n"/>
      <c r="I250" s="22" t="n"/>
      <c r="J250" s="22" t="n"/>
      <c r="K250" s="22" t="n"/>
    </row>
    <row r="251" ht="15.75" customHeight="1" s="169">
      <c r="A251" s="22" t="n"/>
      <c r="B251" s="39" t="n"/>
      <c r="C251" s="22" t="n"/>
      <c r="D251" s="22" t="n"/>
      <c r="E251" s="176" t="n"/>
      <c r="F251" s="22" t="n"/>
      <c r="G251" s="22" t="n"/>
      <c r="H251" s="22" t="n"/>
      <c r="I251" s="22" t="n"/>
      <c r="J251" s="22" t="n"/>
      <c r="K251" s="22" t="n"/>
    </row>
    <row r="252" ht="15.75" customHeight="1" s="169">
      <c r="A252" s="22" t="n"/>
      <c r="B252" s="39" t="n"/>
      <c r="C252" s="22" t="n"/>
      <c r="D252" s="22" t="n"/>
      <c r="E252" s="176" t="n"/>
      <c r="F252" s="22" t="n"/>
      <c r="G252" s="22" t="n"/>
      <c r="H252" s="22" t="n"/>
      <c r="I252" s="22" t="n"/>
      <c r="J252" s="22" t="n"/>
      <c r="K252" s="22" t="n"/>
    </row>
    <row r="253" ht="15.75" customHeight="1" s="169">
      <c r="A253" s="22" t="n"/>
      <c r="B253" s="39" t="n"/>
      <c r="C253" s="22" t="n"/>
      <c r="D253" s="22" t="n"/>
      <c r="E253" s="176" t="n"/>
      <c r="F253" s="22" t="n"/>
      <c r="G253" s="22" t="n"/>
      <c r="H253" s="22" t="n"/>
      <c r="I253" s="22" t="n"/>
      <c r="J253" s="22" t="n"/>
      <c r="K253" s="22" t="n"/>
    </row>
    <row r="254" ht="15.75" customHeight="1" s="169">
      <c r="A254" s="22" t="n"/>
      <c r="B254" s="39" t="n"/>
      <c r="C254" s="22" t="n"/>
      <c r="D254" s="22" t="n"/>
      <c r="E254" s="176" t="n"/>
      <c r="F254" s="22" t="n"/>
      <c r="G254" s="22" t="n"/>
      <c r="H254" s="22" t="n"/>
      <c r="I254" s="22" t="n"/>
      <c r="J254" s="22" t="n"/>
      <c r="K254" s="22" t="n"/>
    </row>
    <row r="255" ht="15.75" customHeight="1" s="169">
      <c r="A255" s="22" t="n"/>
      <c r="B255" s="39" t="n"/>
      <c r="C255" s="22" t="n"/>
      <c r="D255" s="22" t="n"/>
      <c r="E255" s="176" t="n"/>
      <c r="F255" s="22" t="n"/>
      <c r="G255" s="22" t="n"/>
      <c r="H255" s="22" t="n"/>
      <c r="I255" s="22" t="n"/>
      <c r="J255" s="22" t="n"/>
      <c r="K255" s="22" t="n"/>
    </row>
    <row r="256" ht="15.75" customHeight="1" s="169">
      <c r="A256" s="22" t="n"/>
      <c r="B256" s="39" t="n"/>
      <c r="C256" s="22" t="n"/>
      <c r="D256" s="22" t="n"/>
      <c r="E256" s="176" t="n"/>
      <c r="F256" s="22" t="n"/>
      <c r="G256" s="22" t="n"/>
      <c r="H256" s="22" t="n"/>
      <c r="I256" s="22" t="n"/>
      <c r="J256" s="22" t="n"/>
      <c r="K256" s="22" t="n"/>
    </row>
    <row r="257" ht="15.75" customHeight="1" s="169">
      <c r="A257" s="22" t="n"/>
      <c r="B257" s="39" t="n"/>
      <c r="C257" s="22" t="n"/>
      <c r="D257" s="22" t="n"/>
      <c r="E257" s="176" t="n"/>
      <c r="F257" s="22" t="n"/>
      <c r="G257" s="22" t="n"/>
      <c r="H257" s="22" t="n"/>
      <c r="I257" s="22" t="n"/>
      <c r="J257" s="22" t="n"/>
      <c r="K257" s="22" t="n"/>
    </row>
    <row r="258" ht="15.75" customHeight="1" s="169">
      <c r="A258" s="22" t="n"/>
      <c r="B258" s="39" t="n"/>
      <c r="C258" s="22" t="n"/>
      <c r="D258" s="22" t="n"/>
      <c r="E258" s="176" t="n"/>
      <c r="F258" s="22" t="n"/>
      <c r="G258" s="22" t="n"/>
      <c r="H258" s="22" t="n"/>
      <c r="I258" s="22" t="n"/>
      <c r="J258" s="22" t="n"/>
      <c r="K258" s="22" t="n"/>
    </row>
    <row r="259" ht="15.75" customHeight="1" s="169">
      <c r="A259" s="22" t="n"/>
      <c r="B259" s="39" t="n"/>
      <c r="C259" s="22" t="n"/>
      <c r="D259" s="22" t="n"/>
      <c r="E259" s="176" t="n"/>
      <c r="F259" s="22" t="n"/>
      <c r="G259" s="22" t="n"/>
      <c r="H259" s="22" t="n"/>
      <c r="I259" s="22" t="n"/>
      <c r="J259" s="22" t="n"/>
      <c r="K259" s="22" t="n"/>
    </row>
    <row r="260" ht="15.75" customHeight="1" s="169">
      <c r="A260" s="22" t="n"/>
      <c r="B260" s="39" t="n"/>
      <c r="C260" s="22" t="n"/>
      <c r="D260" s="22" t="n"/>
      <c r="E260" s="176" t="n"/>
      <c r="F260" s="22" t="n"/>
      <c r="G260" s="22" t="n"/>
      <c r="H260" s="22" t="n"/>
      <c r="I260" s="22" t="n"/>
      <c r="J260" s="22" t="n"/>
      <c r="K260" s="22" t="n"/>
    </row>
    <row r="261" ht="15.75" customHeight="1" s="169">
      <c r="A261" s="22" t="n"/>
      <c r="B261" s="39" t="n"/>
      <c r="C261" s="22" t="n"/>
      <c r="D261" s="22" t="n"/>
      <c r="E261" s="176" t="n"/>
      <c r="F261" s="22" t="n"/>
      <c r="G261" s="22" t="n"/>
      <c r="H261" s="22" t="n"/>
      <c r="I261" s="22" t="n"/>
      <c r="J261" s="22" t="n"/>
      <c r="K261" s="22" t="n"/>
    </row>
    <row r="262" ht="15.75" customHeight="1" s="169">
      <c r="A262" s="22" t="n"/>
      <c r="B262" s="39" t="n"/>
      <c r="C262" s="22" t="n"/>
      <c r="D262" s="22" t="n"/>
      <c r="E262" s="176" t="n"/>
      <c r="F262" s="22" t="n"/>
      <c r="G262" s="22" t="n"/>
      <c r="H262" s="22" t="n"/>
      <c r="I262" s="22" t="n"/>
      <c r="J262" s="22" t="n"/>
      <c r="K262" s="22" t="n"/>
    </row>
    <row r="263" ht="15.75" customHeight="1" s="169">
      <c r="A263" s="22" t="n"/>
      <c r="B263" s="39" t="n"/>
      <c r="C263" s="22" t="n"/>
      <c r="D263" s="22" t="n"/>
      <c r="E263" s="176" t="n"/>
      <c r="F263" s="22" t="n"/>
      <c r="G263" s="22" t="n"/>
      <c r="H263" s="22" t="n"/>
      <c r="I263" s="22" t="n"/>
      <c r="J263" s="22" t="n"/>
      <c r="K263" s="22" t="n"/>
    </row>
    <row r="264" ht="15.75" customHeight="1" s="169">
      <c r="A264" s="22" t="n"/>
      <c r="B264" s="39" t="n"/>
      <c r="C264" s="22" t="n"/>
      <c r="D264" s="22" t="n"/>
      <c r="E264" s="176" t="n"/>
      <c r="F264" s="22" t="n"/>
      <c r="G264" s="22" t="n"/>
      <c r="H264" s="22" t="n"/>
      <c r="I264" s="22" t="n"/>
      <c r="J264" s="22" t="n"/>
      <c r="K264" s="22" t="n"/>
    </row>
    <row r="265" ht="15.75" customHeight="1" s="169">
      <c r="A265" s="22" t="n"/>
      <c r="B265" s="39" t="n"/>
      <c r="C265" s="22" t="n"/>
      <c r="D265" s="22" t="n"/>
      <c r="E265" s="176" t="n"/>
      <c r="F265" s="22" t="n"/>
      <c r="G265" s="22" t="n"/>
      <c r="H265" s="22" t="n"/>
      <c r="I265" s="22" t="n"/>
      <c r="J265" s="22" t="n"/>
      <c r="K265" s="22" t="n"/>
    </row>
    <row r="266" ht="15.75" customHeight="1" s="169">
      <c r="A266" s="22" t="n"/>
      <c r="B266" s="39" t="n"/>
      <c r="C266" s="22" t="n"/>
      <c r="D266" s="22" t="n"/>
      <c r="E266" s="176" t="n"/>
      <c r="F266" s="22" t="n"/>
      <c r="G266" s="22" t="n"/>
      <c r="H266" s="22" t="n"/>
      <c r="I266" s="22" t="n"/>
      <c r="J266" s="22" t="n"/>
      <c r="K266" s="22" t="n"/>
    </row>
    <row r="267" ht="15.75" customHeight="1" s="169">
      <c r="A267" s="22" t="n"/>
      <c r="B267" s="39" t="n"/>
      <c r="C267" s="22" t="n"/>
      <c r="D267" s="22" t="n"/>
      <c r="E267" s="176" t="n"/>
      <c r="F267" s="22" t="n"/>
      <c r="G267" s="22" t="n"/>
      <c r="H267" s="22" t="n"/>
      <c r="I267" s="22" t="n"/>
      <c r="J267" s="22" t="n"/>
      <c r="K267" s="22" t="n"/>
    </row>
    <row r="268" ht="15.75" customHeight="1" s="169">
      <c r="A268" s="22" t="n"/>
      <c r="B268" s="39" t="n"/>
      <c r="C268" s="22" t="n"/>
      <c r="D268" s="22" t="n"/>
      <c r="E268" s="176" t="n"/>
      <c r="F268" s="22" t="n"/>
      <c r="G268" s="22" t="n"/>
      <c r="H268" s="22" t="n"/>
      <c r="I268" s="22" t="n"/>
      <c r="J268" s="22" t="n"/>
      <c r="K268" s="22" t="n"/>
    </row>
    <row r="269" ht="15.75" customHeight="1" s="169">
      <c r="A269" s="22" t="n"/>
      <c r="B269" s="39" t="n"/>
      <c r="C269" s="22" t="n"/>
      <c r="D269" s="22" t="n"/>
      <c r="E269" s="176" t="n"/>
      <c r="F269" s="22" t="n"/>
      <c r="G269" s="22" t="n"/>
      <c r="H269" s="22" t="n"/>
      <c r="I269" s="22" t="n"/>
      <c r="J269" s="22" t="n"/>
      <c r="K269" s="22" t="n"/>
    </row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S1000"/>
  <sheetViews>
    <sheetView workbookViewId="0">
      <selection activeCell="A1" sqref="A1"/>
    </sheetView>
  </sheetViews>
  <sheetFormatPr baseColWidth="8" defaultColWidth="12.63" defaultRowHeight="15" customHeight="1"/>
  <cols>
    <col width="4.88" customWidth="1" style="169" min="1" max="1"/>
    <col width="9.380000000000001" customWidth="1" style="169" min="2" max="2"/>
    <col width="26.38" customWidth="1" style="169" min="3" max="3"/>
    <col width="37.13" customWidth="1" style="169" min="4" max="4"/>
    <col width="38.13" customWidth="1" style="169" min="5" max="5"/>
    <col width="12.63" customWidth="1" style="169" min="6" max="6"/>
  </cols>
  <sheetData>
    <row r="1" ht="15.75" customHeight="1" s="169">
      <c r="A1" s="41">
        <f>IFERROR(__xludf.DUMMYFUNCTION("QUERY(IMPORTRANGE(""https://docs.google.com/spreadsheets/d/1YuKF0APlK-VpXpbB6ITZTO7ALJdeV-34j7idE7TFcDc/edit?gid=478115743#gid=478115743"", ""AKTIF!B8:X""), ""SELECT Col1,Col2, Col4,Col9, Col11"")"),"No.")</f>
        <v/>
      </c>
      <c r="B1" s="41">
        <f>IFERROR(__xludf.DUMMYFUNCTION("""COMPUTED_VALUE"""),"NIK")</f>
        <v/>
      </c>
      <c r="C1" s="41">
        <f>IFERROR(__xludf.DUMMYFUNCTION("""COMPUTED_VALUE"""),"Nama (sesuai KTP)")</f>
        <v/>
      </c>
      <c r="D1" s="41">
        <f>IFERROR(__xludf.DUMMYFUNCTION("""COMPUTED_VALUE"""),"Bagian")</f>
        <v/>
      </c>
      <c r="E1" s="41">
        <f>IFERROR(__xludf.DUMMYFUNCTION("""COMPUTED_VALUE"""),"DEPT")</f>
        <v/>
      </c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</row>
    <row r="2" ht="15.75" customHeight="1" s="169">
      <c r="A2" s="15">
        <f>IFERROR(__xludf.DUMMYFUNCTION("""COMPUTED_VALUE"""),1.0)</f>
        <v/>
      </c>
      <c r="B2" s="28">
        <f>IFERROR(__xludf.DUMMYFUNCTION("""COMPUTED_VALUE"""),3.28000001E8)</f>
        <v/>
      </c>
      <c r="C2" s="28">
        <f>IFERROR(__xludf.DUMMYFUNCTION("""COMPUTED_VALUE"""),"RIO GUSTIAWAN")</f>
        <v/>
      </c>
      <c r="D2" s="175">
        <f>IFERROR(__xludf.DUMMYFUNCTION("""COMPUTED_VALUE"""),"ELECTRICAL MAINTENANCE")</f>
        <v/>
      </c>
      <c r="E2" s="28">
        <f>IFERROR(__xludf.DUMMYFUNCTION("""COMPUTED_VALUE"""),"ENGINEERING")</f>
        <v/>
      </c>
    </row>
    <row r="3" ht="15.75" customHeight="1" s="169">
      <c r="A3" s="15">
        <f>IFERROR(__xludf.DUMMYFUNCTION("""COMPUTED_VALUE"""),2.0)</f>
        <v/>
      </c>
      <c r="B3" s="28">
        <f>IFERROR(__xludf.DUMMYFUNCTION("""COMPUTED_VALUE"""),3.28000006E8)</f>
        <v/>
      </c>
      <c r="C3" s="28">
        <f>IFERROR(__xludf.DUMMYFUNCTION("""COMPUTED_VALUE"""),"RIZKI")</f>
        <v/>
      </c>
      <c r="D3" s="175">
        <f>IFERROR(__xludf.DUMMYFUNCTION("""COMPUTED_VALUE"""),"TECHNICIAN")</f>
        <v/>
      </c>
      <c r="E3" s="28">
        <f>IFERROR(__xludf.DUMMYFUNCTION("""COMPUTED_VALUE"""),"ENGINEERING")</f>
        <v/>
      </c>
    </row>
    <row r="4" ht="15.75" customHeight="1" s="169">
      <c r="A4" s="15">
        <f>IFERROR(__xludf.DUMMYFUNCTION("""COMPUTED_VALUE"""),3.0)</f>
        <v/>
      </c>
      <c r="B4" s="28">
        <f>IFERROR(__xludf.DUMMYFUNCTION("""COMPUTED_VALUE"""),3.28000009E8)</f>
        <v/>
      </c>
      <c r="C4" s="28">
        <f>IFERROR(__xludf.DUMMYFUNCTION("""COMPUTED_VALUE"""),"REZZA FEBRIANA")</f>
        <v/>
      </c>
      <c r="D4" s="175">
        <f>IFERROR(__xludf.DUMMYFUNCTION("""COMPUTED_VALUE"""),"TECHNICIAN")</f>
        <v/>
      </c>
      <c r="E4" s="28">
        <f>IFERROR(__xludf.DUMMYFUNCTION("""COMPUTED_VALUE"""),"ENGINEERING")</f>
        <v/>
      </c>
    </row>
    <row r="5" ht="15.75" customHeight="1" s="169">
      <c r="A5" s="15">
        <f>IFERROR(__xludf.DUMMYFUNCTION("""COMPUTED_VALUE"""),4.0)</f>
        <v/>
      </c>
      <c r="B5" s="28">
        <f>IFERROR(__xludf.DUMMYFUNCTION("""COMPUTED_VALUE"""),3.2800001E8)</f>
        <v/>
      </c>
      <c r="C5" s="28">
        <f>IFERROR(__xludf.DUMMYFUNCTION("""COMPUTED_VALUE"""),"DIAZ GHERY JUNIARSYAH RAHMAN")</f>
        <v/>
      </c>
      <c r="D5" s="175">
        <f>IFERROR(__xludf.DUMMYFUNCTION("""COMPUTED_VALUE"""),"TECHNICIAN")</f>
        <v/>
      </c>
      <c r="E5" s="28">
        <f>IFERROR(__xludf.DUMMYFUNCTION("""COMPUTED_VALUE"""),"ENGINEERING")</f>
        <v/>
      </c>
    </row>
    <row r="6" ht="15.75" customHeight="1" s="169">
      <c r="A6" s="15">
        <f>IFERROR(__xludf.DUMMYFUNCTION("""COMPUTED_VALUE"""),5.0)</f>
        <v/>
      </c>
      <c r="B6" s="28">
        <f>IFERROR(__xludf.DUMMYFUNCTION("""COMPUTED_VALUE"""),3.28000011E8)</f>
        <v/>
      </c>
      <c r="C6" s="28">
        <f>IFERROR(__xludf.DUMMYFUNCTION("""COMPUTED_VALUE"""),"DENI KUSNADI")</f>
        <v/>
      </c>
      <c r="D6" s="175">
        <f>IFERROR(__xludf.DUMMYFUNCTION("""COMPUTED_VALUE"""),"ADMIN WSP")</f>
        <v/>
      </c>
      <c r="E6" s="28">
        <f>IFERROR(__xludf.DUMMYFUNCTION("""COMPUTED_VALUE"""),"LOGISTIC")</f>
        <v/>
      </c>
    </row>
    <row r="7" ht="15.75" customHeight="1" s="169">
      <c r="A7" s="15">
        <f>IFERROR(__xludf.DUMMYFUNCTION("""COMPUTED_VALUE"""),6.0)</f>
        <v/>
      </c>
      <c r="B7" s="28">
        <f>IFERROR(__xludf.DUMMYFUNCTION("""COMPUTED_VALUE"""),3.28000022E8)</f>
        <v/>
      </c>
      <c r="C7" s="28">
        <f>IFERROR(__xludf.DUMMYFUNCTION("""COMPUTED_VALUE"""),"AZHAR AIZAD ALFARIDZI ")</f>
        <v/>
      </c>
      <c r="D7" s="175">
        <f>IFERROR(__xludf.DUMMYFUNCTION("""COMPUTED_VALUE"""),"OPERATOR PRODUCTION")</f>
        <v/>
      </c>
      <c r="E7" s="28">
        <f>IFERROR(__xludf.DUMMYFUNCTION("""COMPUTED_VALUE"""),"PRODUCTION")</f>
        <v/>
      </c>
    </row>
    <row r="8" ht="15.75" customHeight="1" s="169">
      <c r="A8" s="15">
        <f>IFERROR(__xludf.DUMMYFUNCTION("""COMPUTED_VALUE"""),7.0)</f>
        <v/>
      </c>
      <c r="B8" s="28">
        <f>IFERROR(__xludf.DUMMYFUNCTION("""COMPUTED_VALUE"""),3.28000023E8)</f>
        <v/>
      </c>
      <c r="C8" s="28">
        <f>IFERROR(__xludf.DUMMYFUNCTION("""COMPUTED_VALUE"""),"KEPIN NUGRAHA")</f>
        <v/>
      </c>
      <c r="D8" s="175">
        <f>IFERROR(__xludf.DUMMYFUNCTION("""COMPUTED_VALUE"""),"OPERATOR PRODUCTION")</f>
        <v/>
      </c>
      <c r="E8" s="28">
        <f>IFERROR(__xludf.DUMMYFUNCTION("""COMPUTED_VALUE"""),"PRODUCTION")</f>
        <v/>
      </c>
    </row>
    <row r="9" ht="15.75" customHeight="1" s="169">
      <c r="A9" s="15">
        <f>IFERROR(__xludf.DUMMYFUNCTION("""COMPUTED_VALUE"""),8.0)</f>
        <v/>
      </c>
      <c r="B9" s="28">
        <f>IFERROR(__xludf.DUMMYFUNCTION("""COMPUTED_VALUE"""),3.28000026E8)</f>
        <v/>
      </c>
      <c r="C9" s="28">
        <f>IFERROR(__xludf.DUMMYFUNCTION("""COMPUTED_VALUE"""),"DEDE WAHYUDIN ")</f>
        <v/>
      </c>
      <c r="D9" s="175">
        <f>IFERROR(__xludf.DUMMYFUNCTION("""COMPUTED_VALUE"""),"OPERATOR PRODUCTION")</f>
        <v/>
      </c>
      <c r="E9" s="28">
        <f>IFERROR(__xludf.DUMMYFUNCTION("""COMPUTED_VALUE"""),"PRODUCTION")</f>
        <v/>
      </c>
    </row>
    <row r="10" ht="15.75" customHeight="1" s="169">
      <c r="A10" s="15">
        <f>IFERROR(__xludf.DUMMYFUNCTION("""COMPUTED_VALUE"""),9.0)</f>
        <v/>
      </c>
      <c r="B10" s="28">
        <f>IFERROR(__xludf.DUMMYFUNCTION("""COMPUTED_VALUE"""),3.28000027E8)</f>
        <v/>
      </c>
      <c r="C10" s="28">
        <f>IFERROR(__xludf.DUMMYFUNCTION("""COMPUTED_VALUE"""),"GIGIN GINANJAR")</f>
        <v/>
      </c>
      <c r="D10" s="175">
        <f>IFERROR(__xludf.DUMMYFUNCTION("""COMPUTED_VALUE"""),"OPERATOR PRODUCTION")</f>
        <v/>
      </c>
      <c r="E10" s="28">
        <f>IFERROR(__xludf.DUMMYFUNCTION("""COMPUTED_VALUE"""),"PRODUCTION")</f>
        <v/>
      </c>
    </row>
    <row r="11" ht="15.75" customHeight="1" s="169">
      <c r="A11" s="15">
        <f>IFERROR(__xludf.DUMMYFUNCTION("""COMPUTED_VALUE"""),10.0)</f>
        <v/>
      </c>
      <c r="B11" s="28">
        <f>IFERROR(__xludf.DUMMYFUNCTION("""COMPUTED_VALUE"""),3.28000028E8)</f>
        <v/>
      </c>
      <c r="C11" s="28">
        <f>IFERROR(__xludf.DUMMYFUNCTION("""COMPUTED_VALUE"""),"TISNA GINANJAR")</f>
        <v/>
      </c>
      <c r="D11" s="175">
        <f>IFERROR(__xludf.DUMMYFUNCTION("""COMPUTED_VALUE"""),"OPERATOR PRODUCTION")</f>
        <v/>
      </c>
      <c r="E11" s="28">
        <f>IFERROR(__xludf.DUMMYFUNCTION("""COMPUTED_VALUE"""),"PRODUCTION")</f>
        <v/>
      </c>
    </row>
    <row r="12" ht="15.75" customHeight="1" s="169">
      <c r="A12" s="15">
        <f>IFERROR(__xludf.DUMMYFUNCTION("""COMPUTED_VALUE"""),11.0)</f>
        <v/>
      </c>
      <c r="B12" s="28">
        <f>IFERROR(__xludf.DUMMYFUNCTION("""COMPUTED_VALUE"""),3.2800003E8)</f>
        <v/>
      </c>
      <c r="C12" s="28">
        <f>IFERROR(__xludf.DUMMYFUNCTION("""COMPUTED_VALUE"""),"DAVA PUTRA YUDIANSYAH")</f>
        <v/>
      </c>
      <c r="D12" s="175">
        <f>IFERROR(__xludf.DUMMYFUNCTION("""COMPUTED_VALUE"""),"OPERATOR PRODUCTION")</f>
        <v/>
      </c>
      <c r="E12" s="28">
        <f>IFERROR(__xludf.DUMMYFUNCTION("""COMPUTED_VALUE"""),"PRODUCTION")</f>
        <v/>
      </c>
    </row>
    <row r="13" ht="15.75" customHeight="1" s="169">
      <c r="A13" s="15">
        <f>IFERROR(__xludf.DUMMYFUNCTION("""COMPUTED_VALUE"""),12.0)</f>
        <v/>
      </c>
      <c r="B13" s="28">
        <f>IFERROR(__xludf.DUMMYFUNCTION("""COMPUTED_VALUE"""),3.28000032E8)</f>
        <v/>
      </c>
      <c r="C13" s="28">
        <f>IFERROR(__xludf.DUMMYFUNCTION("""COMPUTED_VALUE"""),"RUBY SUBASTIAN")</f>
        <v/>
      </c>
      <c r="D13" s="175">
        <f>IFERROR(__xludf.DUMMYFUNCTION("""COMPUTED_VALUE"""),"OPERATOR PRODUCTION")</f>
        <v/>
      </c>
      <c r="E13" s="28">
        <f>IFERROR(__xludf.DUMMYFUNCTION("""COMPUTED_VALUE"""),"PRODUCTION")</f>
        <v/>
      </c>
    </row>
    <row r="14" ht="15.75" customHeight="1" s="169">
      <c r="A14" s="15">
        <f>IFERROR(__xludf.DUMMYFUNCTION("""COMPUTED_VALUE"""),13.0)</f>
        <v/>
      </c>
      <c r="B14" s="28">
        <f>IFERROR(__xludf.DUMMYFUNCTION("""COMPUTED_VALUE"""),3.28000033E8)</f>
        <v/>
      </c>
      <c r="C14" s="28">
        <f>IFERROR(__xludf.DUMMYFUNCTION("""COMPUTED_VALUE"""),"HENDRA")</f>
        <v/>
      </c>
      <c r="D14" s="175">
        <f>IFERROR(__xludf.DUMMYFUNCTION("""COMPUTED_VALUE"""),"OPERATOR PRODUCTION")</f>
        <v/>
      </c>
      <c r="E14" s="28">
        <f>IFERROR(__xludf.DUMMYFUNCTION("""COMPUTED_VALUE"""),"PRODUCTION")</f>
        <v/>
      </c>
    </row>
    <row r="15" ht="15.75" customHeight="1" s="169">
      <c r="A15" s="15">
        <f>IFERROR(__xludf.DUMMYFUNCTION("""COMPUTED_VALUE"""),14.0)</f>
        <v/>
      </c>
      <c r="B15" s="28">
        <f>IFERROR(__xludf.DUMMYFUNCTION("""COMPUTED_VALUE"""),3.28000038E8)</f>
        <v/>
      </c>
      <c r="C15" s="28">
        <f>IFERROR(__xludf.DUMMYFUNCTION("""COMPUTED_VALUE"""),"MESTHY PEBRIYANTI")</f>
        <v/>
      </c>
      <c r="D15" s="175">
        <f>IFERROR(__xludf.DUMMYFUNCTION("""COMPUTED_VALUE"""),"QC LAB")</f>
        <v/>
      </c>
      <c r="E15" s="28">
        <f>IFERROR(__xludf.DUMMYFUNCTION("""COMPUTED_VALUE"""),"QUALITY AND RESEARCH &amp; DEVELOPMENT")</f>
        <v/>
      </c>
    </row>
    <row r="16" ht="15.75" customHeight="1" s="169">
      <c r="A16" s="15">
        <f>IFERROR(__xludf.DUMMYFUNCTION("""COMPUTED_VALUE"""),15.0)</f>
        <v/>
      </c>
      <c r="B16" s="28">
        <f>IFERROR(__xludf.DUMMYFUNCTION("""COMPUTED_VALUE"""),3.28000039E8)</f>
        <v/>
      </c>
      <c r="C16" s="28">
        <f>IFERROR(__xludf.DUMMYFUNCTION("""COMPUTED_VALUE"""),"DESTY MARLIANI")</f>
        <v/>
      </c>
      <c r="D16" s="175">
        <f>IFERROR(__xludf.DUMMYFUNCTION("""COMPUTED_VALUE"""),"QC LAB")</f>
        <v/>
      </c>
      <c r="E16" s="28">
        <f>IFERROR(__xludf.DUMMYFUNCTION("""COMPUTED_VALUE"""),"QUALITY AND RESEARCH &amp; DEVELOPMENT")</f>
        <v/>
      </c>
    </row>
    <row r="17" ht="15.75" customHeight="1" s="169">
      <c r="A17" s="15">
        <f>IFERROR(__xludf.DUMMYFUNCTION("""COMPUTED_VALUE"""),16.0)</f>
        <v/>
      </c>
      <c r="B17" s="28">
        <f>IFERROR(__xludf.DUMMYFUNCTION("""COMPUTED_VALUE"""),3.28000041E8)</f>
        <v/>
      </c>
      <c r="C17" s="28">
        <f>IFERROR(__xludf.DUMMYFUNCTION("""COMPUTED_VALUE"""),"BUNGA ADELIYA")</f>
        <v/>
      </c>
      <c r="D17" s="175">
        <f>IFERROR(__xludf.DUMMYFUNCTION("""COMPUTED_VALUE"""),"PACKER")</f>
        <v/>
      </c>
      <c r="E17" s="28">
        <f>IFERROR(__xludf.DUMMYFUNCTION("""COMPUTED_VALUE"""),"PRODUCTION")</f>
        <v/>
      </c>
    </row>
    <row r="18" ht="15.75" customHeight="1" s="169">
      <c r="A18" s="15">
        <f>IFERROR(__xludf.DUMMYFUNCTION("""COMPUTED_VALUE"""),17.0)</f>
        <v/>
      </c>
      <c r="B18" s="28">
        <f>IFERROR(__xludf.DUMMYFUNCTION("""COMPUTED_VALUE"""),3.28000043E8)</f>
        <v/>
      </c>
      <c r="C18" s="28">
        <f>IFERROR(__xludf.DUMMYFUNCTION("""COMPUTED_VALUE"""),"ANDINI NOVIA RAMADANI")</f>
        <v/>
      </c>
      <c r="D18" s="175">
        <f>IFERROR(__xludf.DUMMYFUNCTION("""COMPUTED_VALUE"""),"PACKER")</f>
        <v/>
      </c>
      <c r="E18" s="28">
        <f>IFERROR(__xludf.DUMMYFUNCTION("""COMPUTED_VALUE"""),"PRODUCTION")</f>
        <v/>
      </c>
    </row>
    <row r="19" ht="15.75" customHeight="1" s="169">
      <c r="A19" s="15">
        <f>IFERROR(__xludf.DUMMYFUNCTION("""COMPUTED_VALUE"""),18.0)</f>
        <v/>
      </c>
      <c r="B19" s="28">
        <f>IFERROR(__xludf.DUMMYFUNCTION("""COMPUTED_VALUE"""),3.28000052E8)</f>
        <v/>
      </c>
      <c r="C19" s="28">
        <f>IFERROR(__xludf.DUMMYFUNCTION("""COMPUTED_VALUE"""),"DIMAS NUGROHO")</f>
        <v/>
      </c>
      <c r="D19" s="175">
        <f>IFERROR(__xludf.DUMMYFUNCTION("""COMPUTED_VALUE"""),"ADMIN WSP")</f>
        <v/>
      </c>
      <c r="E19" s="28">
        <f>IFERROR(__xludf.DUMMYFUNCTION("""COMPUTED_VALUE"""),"LOGISTIC")</f>
        <v/>
      </c>
    </row>
    <row r="20" ht="15.75" customHeight="1" s="169">
      <c r="A20" s="15">
        <f>IFERROR(__xludf.DUMMYFUNCTION("""COMPUTED_VALUE"""),19.0)</f>
        <v/>
      </c>
      <c r="B20" s="28">
        <f>IFERROR(__xludf.DUMMYFUNCTION("""COMPUTED_VALUE"""),3.28000053E8)</f>
        <v/>
      </c>
      <c r="C20" s="28">
        <f>IFERROR(__xludf.DUMMYFUNCTION("""COMPUTED_VALUE"""),"VERA PURBA")</f>
        <v/>
      </c>
      <c r="D20" s="175">
        <f>IFERROR(__xludf.DUMMYFUNCTION("""COMPUTED_VALUE"""),"PRODUCTION ADMIN")</f>
        <v/>
      </c>
      <c r="E20" s="28">
        <f>IFERROR(__xludf.DUMMYFUNCTION("""COMPUTED_VALUE"""),"PRODUCTION")</f>
        <v/>
      </c>
    </row>
    <row r="21" ht="15.75" customHeight="1" s="169">
      <c r="A21" s="15">
        <f>IFERROR(__xludf.DUMMYFUNCTION("""COMPUTED_VALUE"""),20.0)</f>
        <v/>
      </c>
      <c r="B21" s="28">
        <f>IFERROR(__xludf.DUMMYFUNCTION("""COMPUTED_VALUE"""),3.28000063E8)</f>
        <v/>
      </c>
      <c r="C21" s="28">
        <f>IFERROR(__xludf.DUMMYFUNCTION("""COMPUTED_VALUE"""),"RIZKI AGUNG")</f>
        <v/>
      </c>
      <c r="D21" s="175">
        <f>IFERROR(__xludf.DUMMYFUNCTION("""COMPUTED_VALUE"""),"OPERATOR PRODUCTION")</f>
        <v/>
      </c>
      <c r="E21" s="28">
        <f>IFERROR(__xludf.DUMMYFUNCTION("""COMPUTED_VALUE"""),"PRODUCTION")</f>
        <v/>
      </c>
    </row>
    <row r="22" ht="15.75" customHeight="1" s="169">
      <c r="A22" s="15">
        <f>IFERROR(__xludf.DUMMYFUNCTION("""COMPUTED_VALUE"""),21.0)</f>
        <v/>
      </c>
      <c r="B22" s="28">
        <f>IFERROR(__xludf.DUMMYFUNCTION("""COMPUTED_VALUE"""),3.28000066E8)</f>
        <v/>
      </c>
      <c r="C22" s="28">
        <f>IFERROR(__xludf.DUMMYFUNCTION("""COMPUTED_VALUE"""),"NADILA NAZIWA SOPIAN")</f>
        <v/>
      </c>
      <c r="D22" s="175">
        <f>IFERROR(__xludf.DUMMYFUNCTION("""COMPUTED_VALUE"""),"QC LAB")</f>
        <v/>
      </c>
      <c r="E22" s="28">
        <f>IFERROR(__xludf.DUMMYFUNCTION("""COMPUTED_VALUE"""),"QUALITY AND RESEARCH &amp; DEVELOPMENT")</f>
        <v/>
      </c>
    </row>
    <row r="23" ht="15.75" customHeight="1" s="169">
      <c r="A23" s="15">
        <f>IFERROR(__xludf.DUMMYFUNCTION("""COMPUTED_VALUE"""),22.0)</f>
        <v/>
      </c>
      <c r="B23" s="28">
        <f>IFERROR(__xludf.DUMMYFUNCTION("""COMPUTED_VALUE"""),3.28000068E8)</f>
        <v/>
      </c>
      <c r="C23" s="28">
        <f>IFERROR(__xludf.DUMMYFUNCTION("""COMPUTED_VALUE"""),"NADINE RIEZKI GHEFIRA")</f>
        <v/>
      </c>
      <c r="D23" s="175">
        <f>IFERROR(__xludf.DUMMYFUNCTION("""COMPUTED_VALUE"""),"QC LAB")</f>
        <v/>
      </c>
      <c r="E23" s="28">
        <f>IFERROR(__xludf.DUMMYFUNCTION("""COMPUTED_VALUE"""),"QUALITY AND RESEARCH &amp; DEVELOPMENT")</f>
        <v/>
      </c>
    </row>
    <row r="24" ht="15.75" customHeight="1" s="169">
      <c r="A24" s="15">
        <f>IFERROR(__xludf.DUMMYFUNCTION("""COMPUTED_VALUE"""),23.0)</f>
        <v/>
      </c>
      <c r="B24" s="28">
        <f>IFERROR(__xludf.DUMMYFUNCTION("""COMPUTED_VALUE"""),3.2800007E8)</f>
        <v/>
      </c>
      <c r="C24" s="28">
        <f>IFERROR(__xludf.DUMMYFUNCTION("""COMPUTED_VALUE"""),"BAYU AJIE PANGESTU")</f>
        <v/>
      </c>
      <c r="D24" s="175">
        <f>IFERROR(__xludf.DUMMYFUNCTION("""COMPUTED_VALUE"""),"QC PATROL")</f>
        <v/>
      </c>
      <c r="E24" s="28">
        <f>IFERROR(__xludf.DUMMYFUNCTION("""COMPUTED_VALUE"""),"QUALITY AND RESEARCH &amp; DEVELOPMENT")</f>
        <v/>
      </c>
    </row>
    <row r="25" ht="15.75" customHeight="1" s="169">
      <c r="A25" s="15">
        <f>IFERROR(__xludf.DUMMYFUNCTION("""COMPUTED_VALUE"""),24.0)</f>
        <v/>
      </c>
      <c r="B25" s="28">
        <f>IFERROR(__xludf.DUMMYFUNCTION("""COMPUTED_VALUE"""),3.28000072E8)</f>
        <v/>
      </c>
      <c r="C25" s="28">
        <f>IFERROR(__xludf.DUMMYFUNCTION("""COMPUTED_VALUE"""),"ANISA FITALOKA")</f>
        <v/>
      </c>
      <c r="D25" s="175">
        <f>IFERROR(__xludf.DUMMYFUNCTION("""COMPUTED_VALUE"""),"RF")</f>
        <v/>
      </c>
      <c r="E25" s="28">
        <f>IFERROR(__xludf.DUMMYFUNCTION("""COMPUTED_VALUE"""),"PRODUCTION")</f>
        <v/>
      </c>
    </row>
    <row r="26" ht="15.75" customHeight="1" s="169">
      <c r="A26" s="15">
        <f>IFERROR(__xludf.DUMMYFUNCTION("""COMPUTED_VALUE"""),25.0)</f>
        <v/>
      </c>
      <c r="B26" s="28">
        <f>IFERROR(__xludf.DUMMYFUNCTION("""COMPUTED_VALUE"""),3.2800008E8)</f>
        <v/>
      </c>
      <c r="C26" s="28">
        <f>IFERROR(__xludf.DUMMYFUNCTION("""COMPUTED_VALUE"""),"ILHAM PAOJI MUHAROM")</f>
        <v/>
      </c>
      <c r="D26" s="175">
        <f>IFERROR(__xludf.DUMMYFUNCTION("""COMPUTED_VALUE"""),"OPERATOR FORKLIFT")</f>
        <v/>
      </c>
      <c r="E26" s="28">
        <f>IFERROR(__xludf.DUMMYFUNCTION("""COMPUTED_VALUE"""),"LOGISTIC")</f>
        <v/>
      </c>
    </row>
    <row r="27" ht="15.75" customHeight="1" s="169">
      <c r="A27" s="15">
        <f>IFERROR(__xludf.DUMMYFUNCTION("""COMPUTED_VALUE"""),26.0)</f>
        <v/>
      </c>
      <c r="B27" s="28">
        <f>IFERROR(__xludf.DUMMYFUNCTION("""COMPUTED_VALUE"""),3.28000088E8)</f>
        <v/>
      </c>
      <c r="C27" s="28">
        <f>IFERROR(__xludf.DUMMYFUNCTION("""COMPUTED_VALUE"""),"MEISY TRESA HANDAYANI")</f>
        <v/>
      </c>
      <c r="D27" s="175">
        <f>IFERROR(__xludf.DUMMYFUNCTION("""COMPUTED_VALUE"""),"RF")</f>
        <v/>
      </c>
      <c r="E27" s="28">
        <f>IFERROR(__xludf.DUMMYFUNCTION("""COMPUTED_VALUE"""),"PRODUCTION")</f>
        <v/>
      </c>
    </row>
    <row r="28" ht="15.75" customHeight="1" s="169">
      <c r="A28" s="15">
        <f>IFERROR(__xludf.DUMMYFUNCTION("""COMPUTED_VALUE"""),27.0)</f>
        <v/>
      </c>
      <c r="B28" s="28">
        <f>IFERROR(__xludf.DUMMYFUNCTION("""COMPUTED_VALUE"""),3.28000095E8)</f>
        <v/>
      </c>
      <c r="C28" s="28">
        <f>IFERROR(__xludf.DUMMYFUNCTION("""COMPUTED_VALUE"""),"AGUS JONI")</f>
        <v/>
      </c>
      <c r="D28" s="175">
        <f>IFERROR(__xludf.DUMMYFUNCTION("""COMPUTED_VALUE"""),"OPERATOR PRODUCTION")</f>
        <v/>
      </c>
      <c r="E28" s="28">
        <f>IFERROR(__xludf.DUMMYFUNCTION("""COMPUTED_VALUE"""),"PRODUCTION")</f>
        <v/>
      </c>
    </row>
    <row r="29" ht="15.75" customHeight="1" s="169">
      <c r="A29" s="15">
        <f>IFERROR(__xludf.DUMMYFUNCTION("""COMPUTED_VALUE"""),28.0)</f>
        <v/>
      </c>
      <c r="B29" s="28">
        <f>IFERROR(__xludf.DUMMYFUNCTION("""COMPUTED_VALUE"""),3.28000097E8)</f>
        <v/>
      </c>
      <c r="C29" s="28">
        <f>IFERROR(__xludf.DUMMYFUNCTION("""COMPUTED_VALUE"""),"YOGI RUDIYANTO")</f>
        <v/>
      </c>
      <c r="D29" s="175">
        <f>IFERROR(__xludf.DUMMYFUNCTION("""COMPUTED_VALUE"""),"PIC AREA")</f>
        <v/>
      </c>
      <c r="E29" s="28">
        <f>IFERROR(__xludf.DUMMYFUNCTION("""COMPUTED_VALUE"""),"LOGISTIC")</f>
        <v/>
      </c>
    </row>
    <row r="30" ht="15.75" customHeight="1" s="169">
      <c r="A30" s="15">
        <f>IFERROR(__xludf.DUMMYFUNCTION("""COMPUTED_VALUE"""),29.0)</f>
        <v/>
      </c>
      <c r="B30" s="28">
        <f>IFERROR(__xludf.DUMMYFUNCTION("""COMPUTED_VALUE"""),3.28000104E8)</f>
        <v/>
      </c>
      <c r="C30" s="28">
        <f>IFERROR(__xludf.DUMMYFUNCTION("""COMPUTED_VALUE"""),"TASYA APRIANI")</f>
        <v/>
      </c>
      <c r="D30" s="175">
        <f>IFERROR(__xludf.DUMMYFUNCTION("""COMPUTED_VALUE"""),"PACKER")</f>
        <v/>
      </c>
      <c r="E30" s="28">
        <f>IFERROR(__xludf.DUMMYFUNCTION("""COMPUTED_VALUE"""),"PRODUCTION")</f>
        <v/>
      </c>
    </row>
    <row r="31" ht="15.75" customHeight="1" s="169">
      <c r="A31" s="15">
        <f>IFERROR(__xludf.DUMMYFUNCTION("""COMPUTED_VALUE"""),30.0)</f>
        <v/>
      </c>
      <c r="B31" s="28">
        <f>IFERROR(__xludf.DUMMYFUNCTION("""COMPUTED_VALUE"""),3.28000108E8)</f>
        <v/>
      </c>
      <c r="C31" s="28">
        <f>IFERROR(__xludf.DUMMYFUNCTION("""COMPUTED_VALUE"""),"AHMAD NUR FAJAR")</f>
        <v/>
      </c>
      <c r="D31" s="175">
        <f>IFERROR(__xludf.DUMMYFUNCTION("""COMPUTED_VALUE"""),"OPERATOR PRODUCTION")</f>
        <v/>
      </c>
      <c r="E31" s="28">
        <f>IFERROR(__xludf.DUMMYFUNCTION("""COMPUTED_VALUE"""),"PRODUCTION")</f>
        <v/>
      </c>
    </row>
    <row r="32" ht="15.75" customHeight="1" s="169">
      <c r="A32" s="15">
        <f>IFERROR(__xludf.DUMMYFUNCTION("""COMPUTED_VALUE"""),31.0)</f>
        <v/>
      </c>
      <c r="B32" s="28">
        <f>IFERROR(__xludf.DUMMYFUNCTION("""COMPUTED_VALUE"""),3.28000109E8)</f>
        <v/>
      </c>
      <c r="C32" s="28">
        <f>IFERROR(__xludf.DUMMYFUNCTION("""COMPUTED_VALUE"""),"RIZKY PRADANA R")</f>
        <v/>
      </c>
      <c r="D32" s="175">
        <f>IFERROR(__xludf.DUMMYFUNCTION("""COMPUTED_VALUE"""),"OPERATOR PRODUCTION")</f>
        <v/>
      </c>
      <c r="E32" s="28">
        <f>IFERROR(__xludf.DUMMYFUNCTION("""COMPUTED_VALUE"""),"PRODUCTION")</f>
        <v/>
      </c>
    </row>
    <row r="33" ht="15.75" customHeight="1" s="169">
      <c r="A33" s="15">
        <f>IFERROR(__xludf.DUMMYFUNCTION("""COMPUTED_VALUE"""),32.0)</f>
        <v/>
      </c>
      <c r="B33" s="28">
        <f>IFERROR(__xludf.DUMMYFUNCTION("""COMPUTED_VALUE"""),3.2800011E8)</f>
        <v/>
      </c>
      <c r="C33" s="28">
        <f>IFERROR(__xludf.DUMMYFUNCTION("""COMPUTED_VALUE"""),"PRATAMA WAHYU SAPUTRO")</f>
        <v/>
      </c>
      <c r="D33" s="175">
        <f>IFERROR(__xludf.DUMMYFUNCTION("""COMPUTED_VALUE"""),"OPERATOR PRODUCTION")</f>
        <v/>
      </c>
      <c r="E33" s="28">
        <f>IFERROR(__xludf.DUMMYFUNCTION("""COMPUTED_VALUE"""),"PRODUCTION")</f>
        <v/>
      </c>
    </row>
    <row r="34" ht="15.75" customHeight="1" s="169">
      <c r="A34" s="15">
        <f>IFERROR(__xludf.DUMMYFUNCTION("""COMPUTED_VALUE"""),33.0)</f>
        <v/>
      </c>
      <c r="B34" s="28">
        <f>IFERROR(__xludf.DUMMYFUNCTION("""COMPUTED_VALUE"""),3.28000111E8)</f>
        <v/>
      </c>
      <c r="C34" s="28">
        <f>IFERROR(__xludf.DUMMYFUNCTION("""COMPUTED_VALUE"""),"KESLERIA")</f>
        <v/>
      </c>
      <c r="D34" s="175">
        <f>IFERROR(__xludf.DUMMYFUNCTION("""COMPUTED_VALUE"""),"PACKER")</f>
        <v/>
      </c>
      <c r="E34" s="28">
        <f>IFERROR(__xludf.DUMMYFUNCTION("""COMPUTED_VALUE"""),"PRODUCTION")</f>
        <v/>
      </c>
    </row>
    <row r="35" ht="15.75" customHeight="1" s="169">
      <c r="A35" s="15">
        <f>IFERROR(__xludf.DUMMYFUNCTION("""COMPUTED_VALUE"""),34.0)</f>
        <v/>
      </c>
      <c r="B35" s="28">
        <f>IFERROR(__xludf.DUMMYFUNCTION("""COMPUTED_VALUE"""),3.28000112E8)</f>
        <v/>
      </c>
      <c r="C35" s="28">
        <f>IFERROR(__xludf.DUMMYFUNCTION("""COMPUTED_VALUE"""),"FIRDAWATI")</f>
        <v/>
      </c>
      <c r="D35" s="175">
        <f>IFERROR(__xludf.DUMMYFUNCTION("""COMPUTED_VALUE"""),"PACKER")</f>
        <v/>
      </c>
      <c r="E35" s="28">
        <f>IFERROR(__xludf.DUMMYFUNCTION("""COMPUTED_VALUE"""),"PRODUCTION")</f>
        <v/>
      </c>
    </row>
    <row r="36" ht="15.75" customHeight="1" s="169">
      <c r="A36" s="15">
        <f>IFERROR(__xludf.DUMMYFUNCTION("""COMPUTED_VALUE"""),35.0)</f>
        <v/>
      </c>
      <c r="B36" s="28">
        <f>IFERROR(__xludf.DUMMYFUNCTION("""COMPUTED_VALUE"""),3.28000115E8)</f>
        <v/>
      </c>
      <c r="C36" s="28">
        <f>IFERROR(__xludf.DUMMYFUNCTION("""COMPUTED_VALUE"""),"SELY RISDIYANI")</f>
        <v/>
      </c>
      <c r="D36" s="175">
        <f>IFERROR(__xludf.DUMMYFUNCTION("""COMPUTED_VALUE"""),"PACKER")</f>
        <v/>
      </c>
      <c r="E36" s="28">
        <f>IFERROR(__xludf.DUMMYFUNCTION("""COMPUTED_VALUE"""),"PRODUCTION")</f>
        <v/>
      </c>
    </row>
    <row r="37" ht="15.75" customHeight="1" s="169">
      <c r="A37" s="15">
        <f>IFERROR(__xludf.DUMMYFUNCTION("""COMPUTED_VALUE"""),36.0)</f>
        <v/>
      </c>
      <c r="B37" s="28">
        <f>IFERROR(__xludf.DUMMYFUNCTION("""COMPUTED_VALUE"""),3.28000122E8)</f>
        <v/>
      </c>
      <c r="C37" s="28">
        <f>IFERROR(__xludf.DUMMYFUNCTION("""COMPUTED_VALUE"""),"SENDI")</f>
        <v/>
      </c>
      <c r="D37" s="175">
        <f>IFERROR(__xludf.DUMMYFUNCTION("""COMPUTED_VALUE"""),"OPERATOR PRODUCTION")</f>
        <v/>
      </c>
      <c r="E37" s="28">
        <f>IFERROR(__xludf.DUMMYFUNCTION("""COMPUTED_VALUE"""),"PRODUCTION")</f>
        <v/>
      </c>
    </row>
    <row r="38" ht="15.75" customHeight="1" s="169">
      <c r="A38" s="15">
        <f>IFERROR(__xludf.DUMMYFUNCTION("""COMPUTED_VALUE"""),37.0)</f>
        <v/>
      </c>
      <c r="B38" s="28">
        <f>IFERROR(__xludf.DUMMYFUNCTION("""COMPUTED_VALUE"""),3.28000129E8)</f>
        <v/>
      </c>
      <c r="C38" s="28">
        <f>IFERROR(__xludf.DUMMYFUNCTION("""COMPUTED_VALUE"""),"AHMAD SYAEFUDIN LATIEF")</f>
        <v/>
      </c>
      <c r="D38" s="175">
        <f>IFERROR(__xludf.DUMMYFUNCTION("""COMPUTED_VALUE"""),"OPERATOR PRODUCTION")</f>
        <v/>
      </c>
      <c r="E38" s="28">
        <f>IFERROR(__xludf.DUMMYFUNCTION("""COMPUTED_VALUE"""),"PRODUCTION")</f>
        <v/>
      </c>
    </row>
    <row r="39" ht="15.75" customHeight="1" s="169">
      <c r="A39" s="15">
        <f>IFERROR(__xludf.DUMMYFUNCTION("""COMPUTED_VALUE"""),38.0)</f>
        <v/>
      </c>
      <c r="B39" s="28">
        <f>IFERROR(__xludf.DUMMYFUNCTION("""COMPUTED_VALUE"""),3.2800013E8)</f>
        <v/>
      </c>
      <c r="C39" s="28">
        <f>IFERROR(__xludf.DUMMYFUNCTION("""COMPUTED_VALUE"""),"AGIL AGUSTIAWAN")</f>
        <v/>
      </c>
      <c r="D39" s="175">
        <f>IFERROR(__xludf.DUMMYFUNCTION("""COMPUTED_VALUE"""),"OPERATOR PRODUCTION")</f>
        <v/>
      </c>
      <c r="E39" s="28">
        <f>IFERROR(__xludf.DUMMYFUNCTION("""COMPUTED_VALUE"""),"PRODUCTION")</f>
        <v/>
      </c>
    </row>
    <row r="40" ht="15.75" customHeight="1" s="169">
      <c r="A40" s="15">
        <f>IFERROR(__xludf.DUMMYFUNCTION("""COMPUTED_VALUE"""),39.0)</f>
        <v/>
      </c>
      <c r="B40" s="28">
        <f>IFERROR(__xludf.DUMMYFUNCTION("""COMPUTED_VALUE"""),3.28000132E8)</f>
        <v/>
      </c>
      <c r="C40" s="28">
        <f>IFERROR(__xludf.DUMMYFUNCTION("""COMPUTED_VALUE"""),"FIRYAL FITRIYAH ABID SADIAH")</f>
        <v/>
      </c>
      <c r="D40" s="175">
        <f>IFERROR(__xludf.DUMMYFUNCTION("""COMPUTED_VALUE"""),"QC PATROL")</f>
        <v/>
      </c>
      <c r="E40" s="28">
        <f>IFERROR(__xludf.DUMMYFUNCTION("""COMPUTED_VALUE"""),"QUALITY AND RESEARCH &amp; DEVELOPMENT")</f>
        <v/>
      </c>
    </row>
    <row r="41" ht="15.75" customHeight="1" s="169">
      <c r="A41" s="15">
        <f>IFERROR(__xludf.DUMMYFUNCTION("""COMPUTED_VALUE"""),40.0)</f>
        <v/>
      </c>
      <c r="B41" s="28">
        <f>IFERROR(__xludf.DUMMYFUNCTION("""COMPUTED_VALUE"""),3.28000133E8)</f>
        <v/>
      </c>
      <c r="C41" s="28">
        <f>IFERROR(__xludf.DUMMYFUNCTION("""COMPUTED_VALUE"""),"AMALIA INDRATAMA")</f>
        <v/>
      </c>
      <c r="D41" s="175">
        <f>IFERROR(__xludf.DUMMYFUNCTION("""COMPUTED_VALUE"""),"QC PATROL")</f>
        <v/>
      </c>
      <c r="E41" s="28">
        <f>IFERROR(__xludf.DUMMYFUNCTION("""COMPUTED_VALUE"""),"QUALITY AND RESEARCH &amp; DEVELOPMENT")</f>
        <v/>
      </c>
    </row>
    <row r="42" ht="15.75" customHeight="1" s="169">
      <c r="A42" s="15">
        <f>IFERROR(__xludf.DUMMYFUNCTION("""COMPUTED_VALUE"""),41.0)</f>
        <v/>
      </c>
      <c r="B42" s="28">
        <f>IFERROR(__xludf.DUMMYFUNCTION("""COMPUTED_VALUE"""),3.28000134E8)</f>
        <v/>
      </c>
      <c r="C42" s="28">
        <f>IFERROR(__xludf.DUMMYFUNCTION("""COMPUTED_VALUE"""),"ASEP SEPTIANA")</f>
        <v/>
      </c>
      <c r="D42" s="175">
        <f>IFERROR(__xludf.DUMMYFUNCTION("""COMPUTED_VALUE"""),"OPERATOR PRODUCTION")</f>
        <v/>
      </c>
      <c r="E42" s="28">
        <f>IFERROR(__xludf.DUMMYFUNCTION("""COMPUTED_VALUE"""),"PRODUCTION")</f>
        <v/>
      </c>
    </row>
    <row r="43" ht="15.75" customHeight="1" s="169">
      <c r="A43" s="15">
        <f>IFERROR(__xludf.DUMMYFUNCTION("""COMPUTED_VALUE"""),42.0)</f>
        <v/>
      </c>
      <c r="B43" s="28">
        <f>IFERROR(__xludf.DUMMYFUNCTION("""COMPUTED_VALUE"""),3.28000135E8)</f>
        <v/>
      </c>
      <c r="C43" s="28">
        <f>IFERROR(__xludf.DUMMYFUNCTION("""COMPUTED_VALUE"""),"HARRY PANCA")</f>
        <v/>
      </c>
      <c r="D43" s="175">
        <f>IFERROR(__xludf.DUMMYFUNCTION("""COMPUTED_VALUE"""),"OPERATOR PRODUCTION")</f>
        <v/>
      </c>
      <c r="E43" s="28">
        <f>IFERROR(__xludf.DUMMYFUNCTION("""COMPUTED_VALUE"""),"PRODUCTION")</f>
        <v/>
      </c>
    </row>
    <row r="44" ht="15.75" customHeight="1" s="169">
      <c r="A44" s="15">
        <f>IFERROR(__xludf.DUMMYFUNCTION("""COMPUTED_VALUE"""),43.0)</f>
        <v/>
      </c>
      <c r="B44" s="28">
        <f>IFERROR(__xludf.DUMMYFUNCTION("""COMPUTED_VALUE"""),3.2800014E8)</f>
        <v/>
      </c>
      <c r="C44" s="28">
        <f>IFERROR(__xludf.DUMMYFUNCTION("""COMPUTED_VALUE"""),"JERY GUNAWAN")</f>
        <v/>
      </c>
      <c r="D44" s="175">
        <f>IFERROR(__xludf.DUMMYFUNCTION("""COMPUTED_VALUE"""),"OPERATOR PRODUCTION")</f>
        <v/>
      </c>
      <c r="E44" s="28">
        <f>IFERROR(__xludf.DUMMYFUNCTION("""COMPUTED_VALUE"""),"PRODUCTION")</f>
        <v/>
      </c>
    </row>
    <row r="45" ht="15.75" customHeight="1" s="169">
      <c r="A45" s="15">
        <f>IFERROR(__xludf.DUMMYFUNCTION("""COMPUTED_VALUE"""),44.0)</f>
        <v/>
      </c>
      <c r="B45" s="28">
        <f>IFERROR(__xludf.DUMMYFUNCTION("""COMPUTED_VALUE"""),3.28000141E8)</f>
        <v/>
      </c>
      <c r="C45" s="28">
        <f>IFERROR(__xludf.DUMMYFUNCTION("""COMPUTED_VALUE"""),"MAIMUNAH")</f>
        <v/>
      </c>
      <c r="D45" s="175">
        <f>IFERROR(__xludf.DUMMYFUNCTION("""COMPUTED_VALUE"""),"PACKER")</f>
        <v/>
      </c>
      <c r="E45" s="28">
        <f>IFERROR(__xludf.DUMMYFUNCTION("""COMPUTED_VALUE"""),"PRODUCTION")</f>
        <v/>
      </c>
    </row>
    <row r="46" ht="15.75" customHeight="1" s="169">
      <c r="A46" s="15">
        <f>IFERROR(__xludf.DUMMYFUNCTION("""COMPUTED_VALUE"""),45.0)</f>
        <v/>
      </c>
      <c r="B46" s="28">
        <f>IFERROR(__xludf.DUMMYFUNCTION("""COMPUTED_VALUE"""),3.28000149E8)</f>
        <v/>
      </c>
      <c r="C46" s="28">
        <f>IFERROR(__xludf.DUMMYFUNCTION("""COMPUTED_VALUE"""),"IRA RIDAYANTI")</f>
        <v/>
      </c>
      <c r="D46" s="175">
        <f>IFERROR(__xludf.DUMMYFUNCTION("""COMPUTED_VALUE"""),"QC PRODUKSI")</f>
        <v/>
      </c>
      <c r="E46" s="28">
        <f>IFERROR(__xludf.DUMMYFUNCTION("""COMPUTED_VALUE"""),"QUALITY AND RESEARCH &amp; DEVELOPMENT")</f>
        <v/>
      </c>
    </row>
    <row r="47" ht="15.75" customHeight="1" s="169">
      <c r="A47" s="15">
        <f>IFERROR(__xludf.DUMMYFUNCTION("""COMPUTED_VALUE"""),46.0)</f>
        <v/>
      </c>
      <c r="B47" s="28">
        <f>IFERROR(__xludf.DUMMYFUNCTION("""COMPUTED_VALUE"""),3.28000148E8)</f>
        <v/>
      </c>
      <c r="C47" s="28">
        <f>IFERROR(__xludf.DUMMYFUNCTION("""COMPUTED_VALUE"""),"MUHAMMAD ALFIKRI")</f>
        <v/>
      </c>
      <c r="D47" s="175">
        <f>IFERROR(__xludf.DUMMYFUNCTION("""COMPUTED_VALUE"""),"CHECKER")</f>
        <v/>
      </c>
      <c r="E47" s="28">
        <f>IFERROR(__xludf.DUMMYFUNCTION("""COMPUTED_VALUE"""),"LOGISTIC")</f>
        <v/>
      </c>
    </row>
    <row r="48" ht="15.75" customHeight="1" s="169">
      <c r="A48" s="15">
        <f>IFERROR(__xludf.DUMMYFUNCTION("""COMPUTED_VALUE"""),47.0)</f>
        <v/>
      </c>
      <c r="B48" s="28">
        <f>IFERROR(__xludf.DUMMYFUNCTION("""COMPUTED_VALUE"""),3.2800015E8)</f>
        <v/>
      </c>
      <c r="C48" s="28">
        <f>IFERROR(__xludf.DUMMYFUNCTION("""COMPUTED_VALUE"""),"MUFTI ANAM")</f>
        <v/>
      </c>
      <c r="D48" s="175">
        <f>IFERROR(__xludf.DUMMYFUNCTION("""COMPUTED_VALUE"""),"QC PATROL")</f>
        <v/>
      </c>
      <c r="E48" s="28">
        <f>IFERROR(__xludf.DUMMYFUNCTION("""COMPUTED_VALUE"""),"QUALITY AND RESEARCH &amp; DEVELOPMENT")</f>
        <v/>
      </c>
    </row>
    <row r="49" ht="15.75" customHeight="1" s="169">
      <c r="A49" s="15">
        <f>IFERROR(__xludf.DUMMYFUNCTION("""COMPUTED_VALUE"""),48.0)</f>
        <v/>
      </c>
      <c r="B49" s="28">
        <f>IFERROR(__xludf.DUMMYFUNCTION("""COMPUTED_VALUE"""),3.28000153E8)</f>
        <v/>
      </c>
      <c r="C49" s="28">
        <f>IFERROR(__xludf.DUMMYFUNCTION("""COMPUTED_VALUE"""),"SUSILAWATI")</f>
        <v/>
      </c>
      <c r="D49" s="175">
        <f>IFERROR(__xludf.DUMMYFUNCTION("""COMPUTED_VALUE"""),"PACKER")</f>
        <v/>
      </c>
      <c r="E49" s="28">
        <f>IFERROR(__xludf.DUMMYFUNCTION("""COMPUTED_VALUE"""),"PRODUCTION")</f>
        <v/>
      </c>
    </row>
    <row r="50" ht="15.75" customHeight="1" s="169">
      <c r="A50" s="15">
        <f>IFERROR(__xludf.DUMMYFUNCTION("""COMPUTED_VALUE"""),49.0)</f>
        <v/>
      </c>
      <c r="B50" s="28">
        <f>IFERROR(__xludf.DUMMYFUNCTION("""COMPUTED_VALUE"""),3.28000157E8)</f>
        <v/>
      </c>
      <c r="C50" s="28">
        <f>IFERROR(__xludf.DUMMYFUNCTION("""COMPUTED_VALUE"""),"VIVI NABIYA PUTRI")</f>
        <v/>
      </c>
      <c r="D50" s="175">
        <f>IFERROR(__xludf.DUMMYFUNCTION("""COMPUTED_VALUE"""),"PACKER")</f>
        <v/>
      </c>
      <c r="E50" s="28">
        <f>IFERROR(__xludf.DUMMYFUNCTION("""COMPUTED_VALUE"""),"PRODUCTION")</f>
        <v/>
      </c>
    </row>
    <row r="51" ht="15.75" customHeight="1" s="169">
      <c r="A51" s="15">
        <f>IFERROR(__xludf.DUMMYFUNCTION("""COMPUTED_VALUE"""),50.0)</f>
        <v/>
      </c>
      <c r="B51" s="28">
        <f>IFERROR(__xludf.DUMMYFUNCTION("""COMPUTED_VALUE"""),3.28000161E8)</f>
        <v/>
      </c>
      <c r="C51" s="28">
        <f>IFERROR(__xludf.DUMMYFUNCTION("""COMPUTED_VALUE"""),"NURUL NAJAH")</f>
        <v/>
      </c>
      <c r="D51" s="175">
        <f>IFERROR(__xludf.DUMMYFUNCTION("""COMPUTED_VALUE"""),"QC PRODUKSI")</f>
        <v/>
      </c>
      <c r="E51" s="28">
        <f>IFERROR(__xludf.DUMMYFUNCTION("""COMPUTED_VALUE"""),"QUALITY AND RESEARCH &amp; DEVELOPMENT")</f>
        <v/>
      </c>
    </row>
    <row r="52" ht="15.75" customHeight="1" s="169">
      <c r="A52" s="15">
        <f>IFERROR(__xludf.DUMMYFUNCTION("""COMPUTED_VALUE"""),51.0)</f>
        <v/>
      </c>
      <c r="B52" s="28">
        <f>IFERROR(__xludf.DUMMYFUNCTION("""COMPUTED_VALUE"""),3.28000164E8)</f>
        <v/>
      </c>
      <c r="C52" s="28">
        <f>IFERROR(__xludf.DUMMYFUNCTION("""COMPUTED_VALUE"""),"RANI")</f>
        <v/>
      </c>
      <c r="D52" s="175">
        <f>IFERROR(__xludf.DUMMYFUNCTION("""COMPUTED_VALUE"""),"QC PRODUKSI")</f>
        <v/>
      </c>
      <c r="E52" s="28">
        <f>IFERROR(__xludf.DUMMYFUNCTION("""COMPUTED_VALUE"""),"QUALITY AND RESEARCH &amp; DEVELOPMENT")</f>
        <v/>
      </c>
    </row>
    <row r="53" ht="15.75" customHeight="1" s="169">
      <c r="A53" s="15">
        <f>IFERROR(__xludf.DUMMYFUNCTION("""COMPUTED_VALUE"""),52.0)</f>
        <v/>
      </c>
      <c r="B53" s="28">
        <f>IFERROR(__xludf.DUMMYFUNCTION("""COMPUTED_VALUE"""),3.28000173E8)</f>
        <v/>
      </c>
      <c r="C53" s="28">
        <f>IFERROR(__xludf.DUMMYFUNCTION("""COMPUTED_VALUE"""),"RIFQI FADIILAH")</f>
        <v/>
      </c>
      <c r="D53" s="175">
        <f>IFERROR(__xludf.DUMMYFUNCTION("""COMPUTED_VALUE"""),"OPERATOR PRODUCTION")</f>
        <v/>
      </c>
      <c r="E53" s="28">
        <f>IFERROR(__xludf.DUMMYFUNCTION("""COMPUTED_VALUE"""),"PRODUCTION")</f>
        <v/>
      </c>
    </row>
    <row r="54" ht="15.75" customHeight="1" s="169">
      <c r="A54" s="15">
        <f>IFERROR(__xludf.DUMMYFUNCTION("""COMPUTED_VALUE"""),53.0)</f>
        <v/>
      </c>
      <c r="B54" s="28">
        <f>IFERROR(__xludf.DUMMYFUNCTION("""COMPUTED_VALUE"""),3.28000175E8)</f>
        <v/>
      </c>
      <c r="C54" s="28">
        <f>IFERROR(__xludf.DUMMYFUNCTION("""COMPUTED_VALUE"""),"FADILLAH RAMADHAN")</f>
        <v/>
      </c>
      <c r="D54" s="175">
        <f>IFERROR(__xludf.DUMMYFUNCTION("""COMPUTED_VALUE"""),"OPERATOR PRODUCTION")</f>
        <v/>
      </c>
      <c r="E54" s="28">
        <f>IFERROR(__xludf.DUMMYFUNCTION("""COMPUTED_VALUE"""),"PRODUCTION")</f>
        <v/>
      </c>
    </row>
    <row r="55" ht="15.75" customHeight="1" s="169">
      <c r="A55" s="15">
        <f>IFERROR(__xludf.DUMMYFUNCTION("""COMPUTED_VALUE"""),54.0)</f>
        <v/>
      </c>
      <c r="B55" s="28">
        <f>IFERROR(__xludf.DUMMYFUNCTION("""COMPUTED_VALUE"""),3.28000178E8)</f>
        <v/>
      </c>
      <c r="C55" s="28">
        <f>IFERROR(__xludf.DUMMYFUNCTION("""COMPUTED_VALUE"""),"BAMBANG ARTIAN HERLAMBANG")</f>
        <v/>
      </c>
      <c r="D55" s="175">
        <f>IFERROR(__xludf.DUMMYFUNCTION("""COMPUTED_VALUE"""),"OPERATOR PRODUCTION")</f>
        <v/>
      </c>
      <c r="E55" s="28">
        <f>IFERROR(__xludf.DUMMYFUNCTION("""COMPUTED_VALUE"""),"PRODUCTION")</f>
        <v/>
      </c>
    </row>
    <row r="56" ht="15.75" customHeight="1" s="169">
      <c r="A56" s="15">
        <f>IFERROR(__xludf.DUMMYFUNCTION("""COMPUTED_VALUE"""),55.0)</f>
        <v/>
      </c>
      <c r="B56" s="28">
        <f>IFERROR(__xludf.DUMMYFUNCTION("""COMPUTED_VALUE"""),3.28000179E8)</f>
        <v/>
      </c>
      <c r="C56" s="28">
        <f>IFERROR(__xludf.DUMMYFUNCTION("""COMPUTED_VALUE"""),"MUHAMMAD NOFALDI RADHITIA")</f>
        <v/>
      </c>
      <c r="D56" s="175">
        <f>IFERROR(__xludf.DUMMYFUNCTION("""COMPUTED_VALUE"""),"OPERATOR PRODUCTION")</f>
        <v/>
      </c>
      <c r="E56" s="28">
        <f>IFERROR(__xludf.DUMMYFUNCTION("""COMPUTED_VALUE"""),"PRODUCTION")</f>
        <v/>
      </c>
    </row>
    <row r="57" ht="15.75" customHeight="1" s="169">
      <c r="A57" s="15">
        <f>IFERROR(__xludf.DUMMYFUNCTION("""COMPUTED_VALUE"""),56.0)</f>
        <v/>
      </c>
      <c r="B57" s="28">
        <f>IFERROR(__xludf.DUMMYFUNCTION("""COMPUTED_VALUE"""),3.2800018E8)</f>
        <v/>
      </c>
      <c r="C57" s="28">
        <f>IFERROR(__xludf.DUMMYFUNCTION("""COMPUTED_VALUE"""),"OKTAVIO KUSUMA")</f>
        <v/>
      </c>
      <c r="D57" s="175">
        <f>IFERROR(__xludf.DUMMYFUNCTION("""COMPUTED_VALUE"""),"OPERATOR PRODUCTION")</f>
        <v/>
      </c>
      <c r="E57" s="28">
        <f>IFERROR(__xludf.DUMMYFUNCTION("""COMPUTED_VALUE"""),"PRODUCTION")</f>
        <v/>
      </c>
    </row>
    <row r="58" ht="15.75" customHeight="1" s="169">
      <c r="A58" s="15">
        <f>IFERROR(__xludf.DUMMYFUNCTION("""COMPUTED_VALUE"""),57.0)</f>
        <v/>
      </c>
      <c r="B58" s="28">
        <f>IFERROR(__xludf.DUMMYFUNCTION("""COMPUTED_VALUE"""),3.28000185E8)</f>
        <v/>
      </c>
      <c r="C58" s="28">
        <f>IFERROR(__xludf.DUMMYFUNCTION("""COMPUTED_VALUE"""),"FAJAR NURSYAMSI")</f>
        <v/>
      </c>
      <c r="D58" s="175">
        <f>IFERROR(__xludf.DUMMYFUNCTION("""COMPUTED_VALUE"""),"OPERATOR PRODUCTION")</f>
        <v/>
      </c>
      <c r="E58" s="28">
        <f>IFERROR(__xludf.DUMMYFUNCTION("""COMPUTED_VALUE"""),"PRODUCTION")</f>
        <v/>
      </c>
    </row>
    <row r="59" ht="15.75" customHeight="1" s="169">
      <c r="A59" s="15">
        <f>IFERROR(__xludf.DUMMYFUNCTION("""COMPUTED_VALUE"""),58.0)</f>
        <v/>
      </c>
      <c r="B59" s="28">
        <f>IFERROR(__xludf.DUMMYFUNCTION("""COMPUTED_VALUE"""),3.28000191E8)</f>
        <v/>
      </c>
      <c r="C59" s="28">
        <f>IFERROR(__xludf.DUMMYFUNCTION("""COMPUTED_VALUE"""),"MIRANTI AZAHRA")</f>
        <v/>
      </c>
      <c r="D59" s="175">
        <f>IFERROR(__xludf.DUMMYFUNCTION("""COMPUTED_VALUE"""),"PACKER")</f>
        <v/>
      </c>
      <c r="E59" s="28">
        <f>IFERROR(__xludf.DUMMYFUNCTION("""COMPUTED_VALUE"""),"PRODUCTION")</f>
        <v/>
      </c>
    </row>
    <row r="60" ht="15.75" customHeight="1" s="169">
      <c r="A60" s="15">
        <f>IFERROR(__xludf.DUMMYFUNCTION("""COMPUTED_VALUE"""),59.0)</f>
        <v/>
      </c>
      <c r="B60" s="28">
        <f>IFERROR(__xludf.DUMMYFUNCTION("""COMPUTED_VALUE"""),3.28000197E8)</f>
        <v/>
      </c>
      <c r="C60" s="28">
        <f>IFERROR(__xludf.DUMMYFUNCTION("""COMPUTED_VALUE"""),"TINI IRNAWATI")</f>
        <v/>
      </c>
      <c r="D60" s="175">
        <f>IFERROR(__xludf.DUMMYFUNCTION("""COMPUTED_VALUE"""),"QC PRODUKSI")</f>
        <v/>
      </c>
      <c r="E60" s="28">
        <f>IFERROR(__xludf.DUMMYFUNCTION("""COMPUTED_VALUE"""),"QUALITY AND RESEARCH &amp; DEVELOPMENT")</f>
        <v/>
      </c>
    </row>
    <row r="61" ht="15.75" customHeight="1" s="169">
      <c r="A61" s="15">
        <f>IFERROR(__xludf.DUMMYFUNCTION("""COMPUTED_VALUE"""),60.0)</f>
        <v/>
      </c>
      <c r="B61" s="28">
        <f>IFERROR(__xludf.DUMMYFUNCTION("""COMPUTED_VALUE"""),3.280002E8)</f>
        <v/>
      </c>
      <c r="C61" s="28">
        <f>IFERROR(__xludf.DUMMYFUNCTION("""COMPUTED_VALUE"""),"CITRA AMEYLIA")</f>
        <v/>
      </c>
      <c r="D61" s="175">
        <f>IFERROR(__xludf.DUMMYFUNCTION("""COMPUTED_VALUE"""),"PACKER")</f>
        <v/>
      </c>
      <c r="E61" s="28">
        <f>IFERROR(__xludf.DUMMYFUNCTION("""COMPUTED_VALUE"""),"PRODUCTION")</f>
        <v/>
      </c>
    </row>
    <row r="62" ht="15.75" customHeight="1" s="169">
      <c r="A62" s="15">
        <f>IFERROR(__xludf.DUMMYFUNCTION("""COMPUTED_VALUE"""),61.0)</f>
        <v/>
      </c>
      <c r="B62" s="28">
        <f>IFERROR(__xludf.DUMMYFUNCTION("""COMPUTED_VALUE"""),3.28000201E8)</f>
        <v/>
      </c>
      <c r="C62" s="28">
        <f>IFERROR(__xludf.DUMMYFUNCTION("""COMPUTED_VALUE"""),"SITI ANNISA MAULINA")</f>
        <v/>
      </c>
      <c r="D62" s="175">
        <f>IFERROR(__xludf.DUMMYFUNCTION("""COMPUTED_VALUE"""),"PACKER")</f>
        <v/>
      </c>
      <c r="E62" s="28">
        <f>IFERROR(__xludf.DUMMYFUNCTION("""COMPUTED_VALUE"""),"PRODUCTION")</f>
        <v/>
      </c>
    </row>
    <row r="63" ht="15.75" customHeight="1" s="169">
      <c r="A63" s="15">
        <f>IFERROR(__xludf.DUMMYFUNCTION("""COMPUTED_VALUE"""),62.0)</f>
        <v/>
      </c>
      <c r="B63" s="28">
        <f>IFERROR(__xludf.DUMMYFUNCTION("""COMPUTED_VALUE"""),3.28000207E8)</f>
        <v/>
      </c>
      <c r="C63" s="28">
        <f>IFERROR(__xludf.DUMMYFUNCTION("""COMPUTED_VALUE"""),"MUHAMMAD ALVIANSYAH ZULFIKAR")</f>
        <v/>
      </c>
      <c r="D63" s="175">
        <f>IFERROR(__xludf.DUMMYFUNCTION("""COMPUTED_VALUE"""),"OPERATOR PRODUCTION")</f>
        <v/>
      </c>
      <c r="E63" s="28">
        <f>IFERROR(__xludf.DUMMYFUNCTION("""COMPUTED_VALUE"""),"PRODUCTION")</f>
        <v/>
      </c>
    </row>
    <row r="64" ht="15.75" customHeight="1" s="169">
      <c r="A64" s="15">
        <f>IFERROR(__xludf.DUMMYFUNCTION("""COMPUTED_VALUE"""),63.0)</f>
        <v/>
      </c>
      <c r="B64" s="28">
        <f>IFERROR(__xludf.DUMMYFUNCTION("""COMPUTED_VALUE"""),3.28000216E8)</f>
        <v/>
      </c>
      <c r="C64" s="28">
        <f>IFERROR(__xludf.DUMMYFUNCTION("""COMPUTED_VALUE"""),"MUHAMAD ADAM YANUAR")</f>
        <v/>
      </c>
      <c r="D64" s="175">
        <f>IFERROR(__xludf.DUMMYFUNCTION("""COMPUTED_VALUE"""),"ENGINEERING ADMIN")</f>
        <v/>
      </c>
      <c r="E64" s="28">
        <f>IFERROR(__xludf.DUMMYFUNCTION("""COMPUTED_VALUE"""),"ENGINEERING")</f>
        <v/>
      </c>
    </row>
    <row r="65" ht="15.75" customHeight="1" s="169">
      <c r="A65" s="15">
        <f>IFERROR(__xludf.DUMMYFUNCTION("""COMPUTED_VALUE"""),64.0)</f>
        <v/>
      </c>
      <c r="B65" s="28">
        <f>IFERROR(__xludf.DUMMYFUNCTION("""COMPUTED_VALUE"""),3.28000219E8)</f>
        <v/>
      </c>
      <c r="C65" s="28">
        <f>IFERROR(__xludf.DUMMYFUNCTION("""COMPUTED_VALUE"""),"WINDY MEILANI")</f>
        <v/>
      </c>
      <c r="D65" s="175">
        <f>IFERROR(__xludf.DUMMYFUNCTION("""COMPUTED_VALUE"""),"PACKER")</f>
        <v/>
      </c>
      <c r="E65" s="28">
        <f>IFERROR(__xludf.DUMMYFUNCTION("""COMPUTED_VALUE"""),"PRODUCTION")</f>
        <v/>
      </c>
    </row>
    <row r="66" ht="15.75" customHeight="1" s="169">
      <c r="A66" s="15">
        <f>IFERROR(__xludf.DUMMYFUNCTION("""COMPUTED_VALUE"""),65.0)</f>
        <v/>
      </c>
      <c r="B66" s="28">
        <f>IFERROR(__xludf.DUMMYFUNCTION("""COMPUTED_VALUE"""),3.28000225E8)</f>
        <v/>
      </c>
      <c r="C66" s="28">
        <f>IFERROR(__xludf.DUMMYFUNCTION("""COMPUTED_VALUE"""),"MUHAMAD RIZAL")</f>
        <v/>
      </c>
      <c r="D66" s="175">
        <f>IFERROR(__xludf.DUMMYFUNCTION("""COMPUTED_VALUE"""),"OPERATOR PRODUCTION")</f>
        <v/>
      </c>
      <c r="E66" s="28">
        <f>IFERROR(__xludf.DUMMYFUNCTION("""COMPUTED_VALUE"""),"PRODUCTION")</f>
        <v/>
      </c>
    </row>
    <row r="67" ht="15.75" customHeight="1" s="169">
      <c r="A67" s="15">
        <f>IFERROR(__xludf.DUMMYFUNCTION("""COMPUTED_VALUE"""),66.0)</f>
        <v/>
      </c>
      <c r="B67" s="28">
        <f>IFERROR(__xludf.DUMMYFUNCTION("""COMPUTED_VALUE"""),3.28000226E8)</f>
        <v/>
      </c>
      <c r="C67" s="28">
        <f>IFERROR(__xludf.DUMMYFUNCTION("""COMPUTED_VALUE"""),"PAISYAL ZULFAZILA IBRAHIM")</f>
        <v/>
      </c>
      <c r="D67" s="175">
        <f>IFERROR(__xludf.DUMMYFUNCTION("""COMPUTED_VALUE"""),"QC INCOMING")</f>
        <v/>
      </c>
      <c r="E67" s="28">
        <f>IFERROR(__xludf.DUMMYFUNCTION("""COMPUTED_VALUE"""),"QUALITY AND RESEARCH &amp; DEVELOPMENT")</f>
        <v/>
      </c>
    </row>
    <row r="68" ht="15.75" customHeight="1" s="169">
      <c r="A68" s="15">
        <f>IFERROR(__xludf.DUMMYFUNCTION("""COMPUTED_VALUE"""),67.0)</f>
        <v/>
      </c>
      <c r="B68" s="28">
        <f>IFERROR(__xludf.DUMMYFUNCTION("""COMPUTED_VALUE"""),3.28000228E8)</f>
        <v/>
      </c>
      <c r="C68" s="28">
        <f>IFERROR(__xludf.DUMMYFUNCTION("""COMPUTED_VALUE"""),"JULIANTORO SONJAYA")</f>
        <v/>
      </c>
      <c r="D68" s="175">
        <f>IFERROR(__xludf.DUMMYFUNCTION("""COMPUTED_VALUE"""),"OPERATOR PRODUCTION")</f>
        <v/>
      </c>
      <c r="E68" s="28">
        <f>IFERROR(__xludf.DUMMYFUNCTION("""COMPUTED_VALUE"""),"PRODUCTION")</f>
        <v/>
      </c>
    </row>
    <row r="69" ht="15.75" customHeight="1" s="169">
      <c r="A69" s="15">
        <f>IFERROR(__xludf.DUMMYFUNCTION("""COMPUTED_VALUE"""),68.0)</f>
        <v/>
      </c>
      <c r="B69" s="28">
        <f>IFERROR(__xludf.DUMMYFUNCTION("""COMPUTED_VALUE"""),3.2800023E8)</f>
        <v/>
      </c>
      <c r="C69" s="28">
        <f>IFERROR(__xludf.DUMMYFUNCTION("""COMPUTED_VALUE"""),"MUHAMAD AKBAR FAUZAN")</f>
        <v/>
      </c>
      <c r="D69" s="175">
        <f>IFERROR(__xludf.DUMMYFUNCTION("""COMPUTED_VALUE"""),"ADMIN TSP")</f>
        <v/>
      </c>
      <c r="E69" s="28">
        <f>IFERROR(__xludf.DUMMYFUNCTION("""COMPUTED_VALUE"""),"PRODUCTION")</f>
        <v/>
      </c>
    </row>
    <row r="70" ht="15.75" customHeight="1" s="169">
      <c r="A70" s="15">
        <f>IFERROR(__xludf.DUMMYFUNCTION("""COMPUTED_VALUE"""),69.0)</f>
        <v/>
      </c>
      <c r="B70" s="28">
        <f>IFERROR(__xludf.DUMMYFUNCTION("""COMPUTED_VALUE"""),3.28000231E8)</f>
        <v/>
      </c>
      <c r="C70" s="28">
        <f>IFERROR(__xludf.DUMMYFUNCTION("""COMPUTED_VALUE"""),"MARA MAULANA")</f>
        <v/>
      </c>
      <c r="D70" s="175">
        <f>IFERROR(__xludf.DUMMYFUNCTION("""COMPUTED_VALUE"""),"PACKER")</f>
        <v/>
      </c>
      <c r="E70" s="28">
        <f>IFERROR(__xludf.DUMMYFUNCTION("""COMPUTED_VALUE"""),"PRODUCTION")</f>
        <v/>
      </c>
    </row>
    <row r="71" ht="15.75" customHeight="1" s="169">
      <c r="A71" s="15">
        <f>IFERROR(__xludf.DUMMYFUNCTION("""COMPUTED_VALUE"""),70.0)</f>
        <v/>
      </c>
      <c r="B71" s="28">
        <f>IFERROR(__xludf.DUMMYFUNCTION("""COMPUTED_VALUE"""),3.28000235E8)</f>
        <v/>
      </c>
      <c r="C71" s="28">
        <f>IFERROR(__xludf.DUMMYFUNCTION("""COMPUTED_VALUE"""),"ROSALIA PUTRI")</f>
        <v/>
      </c>
      <c r="D71" s="175">
        <f>IFERROR(__xludf.DUMMYFUNCTION("""COMPUTED_VALUE"""),"QC PRODUKSI")</f>
        <v/>
      </c>
      <c r="E71" s="28">
        <f>IFERROR(__xludf.DUMMYFUNCTION("""COMPUTED_VALUE"""),"QUALITY AND RESEARCH &amp; DEVELOPMENT")</f>
        <v/>
      </c>
    </row>
    <row r="72" ht="15.75" customHeight="1" s="169">
      <c r="A72" s="15">
        <f>IFERROR(__xludf.DUMMYFUNCTION("""COMPUTED_VALUE"""),71.0)</f>
        <v/>
      </c>
      <c r="B72" s="28">
        <f>IFERROR(__xludf.DUMMYFUNCTION("""COMPUTED_VALUE"""),3.2800024E8)</f>
        <v/>
      </c>
      <c r="C72" s="28">
        <f>IFERROR(__xludf.DUMMYFUNCTION("""COMPUTED_VALUE"""),"RAHAJENG TRI NUGRAENI")</f>
        <v/>
      </c>
      <c r="D72" s="175">
        <f>IFERROR(__xludf.DUMMYFUNCTION("""COMPUTED_VALUE"""),"PACKER")</f>
        <v/>
      </c>
      <c r="E72" s="28">
        <f>IFERROR(__xludf.DUMMYFUNCTION("""COMPUTED_VALUE"""),"PRODUCTION")</f>
        <v/>
      </c>
    </row>
    <row r="73" ht="15.75" customHeight="1" s="169">
      <c r="A73" s="15">
        <f>IFERROR(__xludf.DUMMYFUNCTION("""COMPUTED_VALUE"""),72.0)</f>
        <v/>
      </c>
      <c r="B73" s="28">
        <f>IFERROR(__xludf.DUMMYFUNCTION("""COMPUTED_VALUE"""),3.28000246E8)</f>
        <v/>
      </c>
      <c r="C73" s="28">
        <f>IFERROR(__xludf.DUMMYFUNCTION("""COMPUTED_VALUE"""),"DWI FITRIANI")</f>
        <v/>
      </c>
      <c r="D73" s="175">
        <f>IFERROR(__xludf.DUMMYFUNCTION("""COMPUTED_VALUE"""),"PACKER")</f>
        <v/>
      </c>
      <c r="E73" s="28">
        <f>IFERROR(__xludf.DUMMYFUNCTION("""COMPUTED_VALUE"""),"PRODUCTION")</f>
        <v/>
      </c>
    </row>
    <row r="74" ht="15.75" customHeight="1" s="169">
      <c r="A74" s="15">
        <f>IFERROR(__xludf.DUMMYFUNCTION("""COMPUTED_VALUE"""),73.0)</f>
        <v/>
      </c>
      <c r="B74" s="28">
        <f>IFERROR(__xludf.DUMMYFUNCTION("""COMPUTED_VALUE"""),3.28000251E8)</f>
        <v/>
      </c>
      <c r="C74" s="28">
        <f>IFERROR(__xludf.DUMMYFUNCTION("""COMPUTED_VALUE"""),"DEDE SAMAN NURSAMSI ")</f>
        <v/>
      </c>
      <c r="D74" s="175">
        <f>IFERROR(__xludf.DUMMYFUNCTION("""COMPUTED_VALUE"""),"CHECKER")</f>
        <v/>
      </c>
      <c r="E74" s="28">
        <f>IFERROR(__xludf.DUMMYFUNCTION("""COMPUTED_VALUE"""),"LOGISTIC")</f>
        <v/>
      </c>
    </row>
    <row r="75" ht="15.75" customHeight="1" s="169">
      <c r="A75" s="15">
        <f>IFERROR(__xludf.DUMMYFUNCTION("""COMPUTED_VALUE"""),74.0)</f>
        <v/>
      </c>
      <c r="B75" s="28">
        <f>IFERROR(__xludf.DUMMYFUNCTION("""COMPUTED_VALUE"""),3.28000253E8)</f>
        <v/>
      </c>
      <c r="C75" s="28">
        <f>IFERROR(__xludf.DUMMYFUNCTION("""COMPUTED_VALUE"""),"DONI SUBHADA")</f>
        <v/>
      </c>
      <c r="D75" s="175">
        <f>IFERROR(__xludf.DUMMYFUNCTION("""COMPUTED_VALUE"""),"OPERATOR PRODUCTION")</f>
        <v/>
      </c>
      <c r="E75" s="28">
        <f>IFERROR(__xludf.DUMMYFUNCTION("""COMPUTED_VALUE"""),"PRODUCTION")</f>
        <v/>
      </c>
    </row>
    <row r="76" ht="15.75" customHeight="1" s="169">
      <c r="A76" s="15">
        <f>IFERROR(__xludf.DUMMYFUNCTION("""COMPUTED_VALUE"""),75.0)</f>
        <v/>
      </c>
      <c r="B76" s="28">
        <f>IFERROR(__xludf.DUMMYFUNCTION("""COMPUTED_VALUE"""),3.28000254E8)</f>
        <v/>
      </c>
      <c r="C76" s="28">
        <f>IFERROR(__xludf.DUMMYFUNCTION("""COMPUTED_VALUE"""),"ARI MUHAMAD RIDWAN ")</f>
        <v/>
      </c>
      <c r="D76" s="175">
        <f>IFERROR(__xludf.DUMMYFUNCTION("""COMPUTED_VALUE"""),"OPERATOR FORKLIFT")</f>
        <v/>
      </c>
      <c r="E76" s="28">
        <f>IFERROR(__xludf.DUMMYFUNCTION("""COMPUTED_VALUE"""),"LOGISTIC")</f>
        <v/>
      </c>
    </row>
    <row r="77" ht="15.75" customHeight="1" s="169">
      <c r="A77" s="15">
        <f>IFERROR(__xludf.DUMMYFUNCTION("""COMPUTED_VALUE"""),76.0)</f>
        <v/>
      </c>
      <c r="B77" s="28">
        <f>IFERROR(__xludf.DUMMYFUNCTION("""COMPUTED_VALUE"""),3.28000255E8)</f>
        <v/>
      </c>
      <c r="C77" s="28">
        <f>IFERROR(__xludf.DUMMYFUNCTION("""COMPUTED_VALUE"""),"FAHRI")</f>
        <v/>
      </c>
      <c r="D77" s="175">
        <f>IFERROR(__xludf.DUMMYFUNCTION("""COMPUTED_VALUE"""),"OPERATOR PRODUCTION")</f>
        <v/>
      </c>
      <c r="E77" s="28">
        <f>IFERROR(__xludf.DUMMYFUNCTION("""COMPUTED_VALUE"""),"PRODUCTION")</f>
        <v/>
      </c>
    </row>
    <row r="78" ht="15.75" customHeight="1" s="169">
      <c r="A78" s="15">
        <f>IFERROR(__xludf.DUMMYFUNCTION("""COMPUTED_VALUE"""),77.0)</f>
        <v/>
      </c>
      <c r="B78" s="28">
        <f>IFERROR(__xludf.DUMMYFUNCTION("""COMPUTED_VALUE"""),3.28000256E8)</f>
        <v/>
      </c>
      <c r="C78" s="28">
        <f>IFERROR(__xludf.DUMMYFUNCTION("""COMPUTED_VALUE"""),"MIFTAHUS SALAM")</f>
        <v/>
      </c>
      <c r="D78" s="175">
        <f>IFERROR(__xludf.DUMMYFUNCTION("""COMPUTED_VALUE"""),"OPERATOR FORKLIFT")</f>
        <v/>
      </c>
      <c r="E78" s="28">
        <f>IFERROR(__xludf.DUMMYFUNCTION("""COMPUTED_VALUE"""),"LOGISTIC")</f>
        <v/>
      </c>
    </row>
    <row r="79" ht="15.75" customHeight="1" s="169">
      <c r="A79" s="15">
        <f>IFERROR(__xludf.DUMMYFUNCTION("""COMPUTED_VALUE"""),78.0)</f>
        <v/>
      </c>
      <c r="B79" s="28">
        <f>IFERROR(__xludf.DUMMYFUNCTION("""COMPUTED_VALUE"""),3.28000257E8)</f>
        <v/>
      </c>
      <c r="C79" s="28">
        <f>IFERROR(__xludf.DUMMYFUNCTION("""COMPUTED_VALUE"""),"AGUNG BAGASKARA")</f>
        <v/>
      </c>
      <c r="D79" s="175">
        <f>IFERROR(__xludf.DUMMYFUNCTION("""COMPUTED_VALUE"""),"OPERATOR FORKLIFT")</f>
        <v/>
      </c>
      <c r="E79" s="28">
        <f>IFERROR(__xludf.DUMMYFUNCTION("""COMPUTED_VALUE"""),"LOGISTIC")</f>
        <v/>
      </c>
    </row>
    <row r="80" ht="15.75" customHeight="1" s="169">
      <c r="A80" s="15">
        <f>IFERROR(__xludf.DUMMYFUNCTION("""COMPUTED_VALUE"""),79.0)</f>
        <v/>
      </c>
      <c r="B80" s="28">
        <f>IFERROR(__xludf.DUMMYFUNCTION("""COMPUTED_VALUE"""),3.2800026E8)</f>
        <v/>
      </c>
      <c r="C80" s="28">
        <f>IFERROR(__xludf.DUMMYFUNCTION("""COMPUTED_VALUE"""),"ALI RAMDHAN")</f>
        <v/>
      </c>
      <c r="D80" s="175">
        <f>IFERROR(__xludf.DUMMYFUNCTION("""COMPUTED_VALUE"""),"OPERATOR PRODUCTION")</f>
        <v/>
      </c>
      <c r="E80" s="28">
        <f>IFERROR(__xludf.DUMMYFUNCTION("""COMPUTED_VALUE"""),"PRODUCTION")</f>
        <v/>
      </c>
    </row>
    <row r="81" ht="15.75" customHeight="1" s="169">
      <c r="A81" s="15">
        <f>IFERROR(__xludf.DUMMYFUNCTION("""COMPUTED_VALUE"""),80.0)</f>
        <v/>
      </c>
      <c r="B81" s="28">
        <f>IFERROR(__xludf.DUMMYFUNCTION("""COMPUTED_VALUE"""),3.28000261E8)</f>
        <v/>
      </c>
      <c r="C81" s="28">
        <f>IFERROR(__xludf.DUMMYFUNCTION("""COMPUTED_VALUE"""),"ARANIKITA BERU SIBIRO ")</f>
        <v/>
      </c>
      <c r="D81" s="175">
        <f>IFERROR(__xludf.DUMMYFUNCTION("""COMPUTED_VALUE"""),"ADMIN EKSPEDISI")</f>
        <v/>
      </c>
      <c r="E81" s="28">
        <f>IFERROR(__xludf.DUMMYFUNCTION("""COMPUTED_VALUE"""),"LOGISTIC")</f>
        <v/>
      </c>
    </row>
    <row r="82" ht="15.75" customHeight="1" s="169">
      <c r="A82" s="15">
        <f>IFERROR(__xludf.DUMMYFUNCTION("""COMPUTED_VALUE"""),81.0)</f>
        <v/>
      </c>
      <c r="B82" s="28">
        <f>IFERROR(__xludf.DUMMYFUNCTION("""COMPUTED_VALUE"""),3.28000262E8)</f>
        <v/>
      </c>
      <c r="C82" s="28">
        <f>IFERROR(__xludf.DUMMYFUNCTION("""COMPUTED_VALUE"""),"JUJUN JUNAEDI")</f>
        <v/>
      </c>
      <c r="D82" s="175">
        <f>IFERROR(__xludf.DUMMYFUNCTION("""COMPUTED_VALUE"""),"OPERATOR FORKLIFT")</f>
        <v/>
      </c>
      <c r="E82" s="28">
        <f>IFERROR(__xludf.DUMMYFUNCTION("""COMPUTED_VALUE"""),"LOGISTIC")</f>
        <v/>
      </c>
    </row>
    <row r="83" ht="15.75" customHeight="1" s="169">
      <c r="A83" s="15">
        <f>IFERROR(__xludf.DUMMYFUNCTION("""COMPUTED_VALUE"""),82.0)</f>
        <v/>
      </c>
      <c r="B83" s="28">
        <f>IFERROR(__xludf.DUMMYFUNCTION("""COMPUTED_VALUE"""),3.28000263E8)</f>
        <v/>
      </c>
      <c r="C83" s="28">
        <f>IFERROR(__xludf.DUMMYFUNCTION("""COMPUTED_VALUE"""),"MAGIE MAGHFIRA")</f>
        <v/>
      </c>
      <c r="D83" s="175">
        <f>IFERROR(__xludf.DUMMYFUNCTION("""COMPUTED_VALUE"""),"ADMIN WFG")</f>
        <v/>
      </c>
      <c r="E83" s="28">
        <f>IFERROR(__xludf.DUMMYFUNCTION("""COMPUTED_VALUE"""),"LOGISTIC")</f>
        <v/>
      </c>
    </row>
    <row r="84" ht="15.75" customHeight="1" s="169">
      <c r="A84" s="15">
        <f>IFERROR(__xludf.DUMMYFUNCTION("""COMPUTED_VALUE"""),83.0)</f>
        <v/>
      </c>
      <c r="B84" s="28">
        <f>IFERROR(__xludf.DUMMYFUNCTION("""COMPUTED_VALUE"""),3.28000265E8)</f>
        <v/>
      </c>
      <c r="C84" s="28">
        <f>IFERROR(__xludf.DUMMYFUNCTION("""COMPUTED_VALUE"""),"NELSON MANDELA ")</f>
        <v/>
      </c>
      <c r="D84" s="175">
        <f>IFERROR(__xludf.DUMMYFUNCTION("""COMPUTED_VALUE"""),"UTILITY, ELECTRICITY &amp; MHE MAINTENANCE")</f>
        <v/>
      </c>
      <c r="E84" s="28">
        <f>IFERROR(__xludf.DUMMYFUNCTION("""COMPUTED_VALUE"""),"ENGINEERING")</f>
        <v/>
      </c>
    </row>
    <row r="85" ht="15.75" customHeight="1" s="169">
      <c r="A85" s="15">
        <f>IFERROR(__xludf.DUMMYFUNCTION("""COMPUTED_VALUE"""),84.0)</f>
        <v/>
      </c>
      <c r="B85" s="28">
        <f>IFERROR(__xludf.DUMMYFUNCTION("""COMPUTED_VALUE"""),3.28000271E8)</f>
        <v/>
      </c>
      <c r="C85" s="28">
        <f>IFERROR(__xludf.DUMMYFUNCTION("""COMPUTED_VALUE"""),"NURYANA")</f>
        <v/>
      </c>
      <c r="D85" s="175">
        <f>IFERROR(__xludf.DUMMYFUNCTION("""COMPUTED_VALUE"""),"OPERATOR FORKLIFT")</f>
        <v/>
      </c>
      <c r="E85" s="28">
        <f>IFERROR(__xludf.DUMMYFUNCTION("""COMPUTED_VALUE"""),"LOGISTIC")</f>
        <v/>
      </c>
    </row>
    <row r="86" ht="15.75" customHeight="1" s="169">
      <c r="A86" s="15">
        <f>IFERROR(__xludf.DUMMYFUNCTION("""COMPUTED_VALUE"""),85.0)</f>
        <v/>
      </c>
      <c r="B86" s="28">
        <f>IFERROR(__xludf.DUMMYFUNCTION("""COMPUTED_VALUE"""),3.28000273E8)</f>
        <v/>
      </c>
      <c r="C86" s="28">
        <f>IFERROR(__xludf.DUMMYFUNCTION("""COMPUTED_VALUE"""),"RAMDANI")</f>
        <v/>
      </c>
      <c r="D86" s="175">
        <f>IFERROR(__xludf.DUMMYFUNCTION("""COMPUTED_VALUE"""),"PACKER")</f>
        <v/>
      </c>
      <c r="E86" s="28">
        <f>IFERROR(__xludf.DUMMYFUNCTION("""COMPUTED_VALUE"""),"PRODUCTION")</f>
        <v/>
      </c>
    </row>
    <row r="87" ht="15.75" customHeight="1" s="169">
      <c r="A87" s="15">
        <f>IFERROR(__xludf.DUMMYFUNCTION("""COMPUTED_VALUE"""),86.0)</f>
        <v/>
      </c>
      <c r="B87" s="28">
        <f>IFERROR(__xludf.DUMMYFUNCTION("""COMPUTED_VALUE"""),3.28000277E8)</f>
        <v/>
      </c>
      <c r="C87" s="28">
        <f>IFERROR(__xludf.DUMMYFUNCTION("""COMPUTED_VALUE"""),"ERNA SUSNENTI")</f>
        <v/>
      </c>
      <c r="D87" s="175">
        <f>IFERROR(__xludf.DUMMYFUNCTION("""COMPUTED_VALUE"""),"ADMIN RF")</f>
        <v/>
      </c>
      <c r="E87" s="28">
        <f>IFERROR(__xludf.DUMMYFUNCTION("""COMPUTED_VALUE"""),"PRODUCTION")</f>
        <v/>
      </c>
    </row>
    <row r="88" ht="15.75" customHeight="1" s="169">
      <c r="A88" s="15">
        <f>IFERROR(__xludf.DUMMYFUNCTION("""COMPUTED_VALUE"""),87.0)</f>
        <v/>
      </c>
      <c r="B88" s="28">
        <f>IFERROR(__xludf.DUMMYFUNCTION("""COMPUTED_VALUE"""),3.28000278E8)</f>
        <v/>
      </c>
      <c r="C88" s="28">
        <f>IFERROR(__xludf.DUMMYFUNCTION("""COMPUTED_VALUE"""),"VERA NATASYA PUTRI")</f>
        <v/>
      </c>
      <c r="D88" s="175">
        <f>IFERROR(__xludf.DUMMYFUNCTION("""COMPUTED_VALUE"""),"PACKER")</f>
        <v/>
      </c>
      <c r="E88" s="28">
        <f>IFERROR(__xludf.DUMMYFUNCTION("""COMPUTED_VALUE"""),"PRODUCTION")</f>
        <v/>
      </c>
    </row>
    <row r="89" ht="15.75" customHeight="1" s="169">
      <c r="A89" s="15">
        <f>IFERROR(__xludf.DUMMYFUNCTION("""COMPUTED_VALUE"""),88.0)</f>
        <v/>
      </c>
      <c r="B89" s="28">
        <f>IFERROR(__xludf.DUMMYFUNCTION("""COMPUTED_VALUE"""),3.28000283E8)</f>
        <v/>
      </c>
      <c r="C89" s="28">
        <f>IFERROR(__xludf.DUMMYFUNCTION("""COMPUTED_VALUE"""),"TAUFIK MUSTOPA")</f>
        <v/>
      </c>
      <c r="D89" s="175">
        <f>IFERROR(__xludf.DUMMYFUNCTION("""COMPUTED_VALUE"""),"EHS SUPPORT")</f>
        <v/>
      </c>
      <c r="E89" s="28">
        <f>IFERROR(__xludf.DUMMYFUNCTION("""COMPUTED_VALUE"""),"ENGINEERING")</f>
        <v/>
      </c>
    </row>
    <row r="90" ht="15.75" customHeight="1" s="169">
      <c r="A90" s="15">
        <f>IFERROR(__xludf.DUMMYFUNCTION("""COMPUTED_VALUE"""),89.0)</f>
        <v/>
      </c>
      <c r="B90" s="28">
        <f>IFERROR(__xludf.DUMMYFUNCTION("""COMPUTED_VALUE"""),3.28000285E8)</f>
        <v/>
      </c>
      <c r="C90" s="28">
        <f>IFERROR(__xludf.DUMMYFUNCTION("""COMPUTED_VALUE"""),"M. YOGA PAMUNGKAS")</f>
        <v/>
      </c>
      <c r="D90" s="175">
        <f>IFERROR(__xludf.DUMMYFUNCTION("""COMPUTED_VALUE"""),"OPERATOR PRODUCTION")</f>
        <v/>
      </c>
      <c r="E90" s="28">
        <f>IFERROR(__xludf.DUMMYFUNCTION("""COMPUTED_VALUE"""),"PRODUCTION")</f>
        <v/>
      </c>
    </row>
    <row r="91" ht="15.75" customHeight="1" s="169">
      <c r="A91" s="15">
        <f>IFERROR(__xludf.DUMMYFUNCTION("""COMPUTED_VALUE"""),90.0)</f>
        <v/>
      </c>
      <c r="B91" s="28">
        <f>IFERROR(__xludf.DUMMYFUNCTION("""COMPUTED_VALUE"""),3.28000287E8)</f>
        <v/>
      </c>
      <c r="C91" s="28">
        <f>IFERROR(__xludf.DUMMYFUNCTION("""COMPUTED_VALUE"""),"FIRDA AINUN RAHMANNISA")</f>
        <v/>
      </c>
      <c r="D91" s="175">
        <f>IFERROR(__xludf.DUMMYFUNCTION("""COMPUTED_VALUE"""),"ENGINEERING ADMIN")</f>
        <v/>
      </c>
      <c r="E91" s="28">
        <f>IFERROR(__xludf.DUMMYFUNCTION("""COMPUTED_VALUE"""),"ENGINEERING")</f>
        <v/>
      </c>
    </row>
    <row r="92" ht="15.75" customHeight="1" s="169">
      <c r="A92" s="15">
        <f>IFERROR(__xludf.DUMMYFUNCTION("""COMPUTED_VALUE"""),91.0)</f>
        <v/>
      </c>
      <c r="B92" s="28">
        <f>IFERROR(__xludf.DUMMYFUNCTION("""COMPUTED_VALUE"""),3.28000288E8)</f>
        <v/>
      </c>
      <c r="C92" s="28">
        <f>IFERROR(__xludf.DUMMYFUNCTION("""COMPUTED_VALUE"""),"ANDIKA AL AQBAR")</f>
        <v/>
      </c>
      <c r="D92" s="175">
        <f>IFERROR(__xludf.DUMMYFUNCTION("""COMPUTED_VALUE"""),"OPERATOR PRODUCTION")</f>
        <v/>
      </c>
      <c r="E92" s="28">
        <f>IFERROR(__xludf.DUMMYFUNCTION("""COMPUTED_VALUE"""),"PRODUCTION")</f>
        <v/>
      </c>
    </row>
    <row r="93" ht="15.75" customHeight="1" s="169">
      <c r="A93" s="15">
        <f>IFERROR(__xludf.DUMMYFUNCTION("""COMPUTED_VALUE"""),92.0)</f>
        <v/>
      </c>
      <c r="B93" s="28">
        <f>IFERROR(__xludf.DUMMYFUNCTION("""COMPUTED_VALUE"""),3.28000291E8)</f>
        <v/>
      </c>
      <c r="C93" s="28">
        <f>IFERROR(__xludf.DUMMYFUNCTION("""COMPUTED_VALUE"""),"R. ANISA DWI FEBRIANA")</f>
        <v/>
      </c>
      <c r="D93" s="175">
        <f>IFERROR(__xludf.DUMMYFUNCTION("""COMPUTED_VALUE"""),"PACKER")</f>
        <v/>
      </c>
      <c r="E93" s="28">
        <f>IFERROR(__xludf.DUMMYFUNCTION("""COMPUTED_VALUE"""),"PRODUCTION")</f>
        <v/>
      </c>
    </row>
    <row r="94" ht="15.75" customHeight="1" s="169">
      <c r="A94" s="15">
        <f>IFERROR(__xludf.DUMMYFUNCTION("""COMPUTED_VALUE"""),93.0)</f>
        <v/>
      </c>
      <c r="B94" s="28">
        <f>IFERROR(__xludf.DUMMYFUNCTION("""COMPUTED_VALUE"""),3.28000294E8)</f>
        <v/>
      </c>
      <c r="C94" s="28">
        <f>IFERROR(__xludf.DUMMYFUNCTION("""COMPUTED_VALUE"""),"BAMBANG IRAWAN")</f>
        <v/>
      </c>
      <c r="D94" s="175">
        <f>IFERROR(__xludf.DUMMYFUNCTION("""COMPUTED_VALUE"""),"OPERATOR PRODUCTION")</f>
        <v/>
      </c>
      <c r="E94" s="28">
        <f>IFERROR(__xludf.DUMMYFUNCTION("""COMPUTED_VALUE"""),"PRODUCTION")</f>
        <v/>
      </c>
    </row>
    <row r="95" ht="15.75" customHeight="1" s="169">
      <c r="A95" s="15">
        <f>IFERROR(__xludf.DUMMYFUNCTION("""COMPUTED_VALUE"""),94.0)</f>
        <v/>
      </c>
      <c r="B95" s="28">
        <f>IFERROR(__xludf.DUMMYFUNCTION("""COMPUTED_VALUE"""),3.28000297E8)</f>
        <v/>
      </c>
      <c r="C95" s="28">
        <f>IFERROR(__xludf.DUMMYFUNCTION("""COMPUTED_VALUE"""),"AMALIATUS SHIDQIA")</f>
        <v/>
      </c>
      <c r="D95" s="175">
        <f>IFERROR(__xludf.DUMMYFUNCTION("""COMPUTED_VALUE"""),"PACKER")</f>
        <v/>
      </c>
      <c r="E95" s="28">
        <f>IFERROR(__xludf.DUMMYFUNCTION("""COMPUTED_VALUE"""),"PRODUCTION")</f>
        <v/>
      </c>
    </row>
    <row r="96" ht="15.75" customHeight="1" s="169">
      <c r="A96" s="15">
        <f>IFERROR(__xludf.DUMMYFUNCTION("""COMPUTED_VALUE"""),95.0)</f>
        <v/>
      </c>
      <c r="B96" s="28">
        <f>IFERROR(__xludf.DUMMYFUNCTION("""COMPUTED_VALUE"""),3.28000298E8)</f>
        <v/>
      </c>
      <c r="C96" s="28">
        <f>IFERROR(__xludf.DUMMYFUNCTION("""COMPUTED_VALUE"""),"SILFANNY OKTAVIA WIGUNA")</f>
        <v/>
      </c>
      <c r="D96" s="175">
        <f>IFERROR(__xludf.DUMMYFUNCTION("""COMPUTED_VALUE"""),"QC PRODUKSI")</f>
        <v/>
      </c>
      <c r="E96" s="28">
        <f>IFERROR(__xludf.DUMMYFUNCTION("""COMPUTED_VALUE"""),"QUALITY AND RESEARCH &amp; DEVELOPMENT")</f>
        <v/>
      </c>
    </row>
    <row r="97" ht="15.75" customHeight="1" s="169">
      <c r="A97" s="15">
        <f>IFERROR(__xludf.DUMMYFUNCTION("""COMPUTED_VALUE"""),96.0)</f>
        <v/>
      </c>
      <c r="B97" s="28">
        <f>IFERROR(__xludf.DUMMYFUNCTION("""COMPUTED_VALUE"""),3.28000299E8)</f>
        <v/>
      </c>
      <c r="C97" s="28">
        <f>IFERROR(__xludf.DUMMYFUNCTION("""COMPUTED_VALUE"""),"RATU THYARA REVA KHARINA")</f>
        <v/>
      </c>
      <c r="D97" s="175">
        <f>IFERROR(__xludf.DUMMYFUNCTION("""COMPUTED_VALUE"""),"PACKER")</f>
        <v/>
      </c>
      <c r="E97" s="28">
        <f>IFERROR(__xludf.DUMMYFUNCTION("""COMPUTED_VALUE"""),"PRODUCTION")</f>
        <v/>
      </c>
    </row>
    <row r="98" ht="15.75" customHeight="1" s="169">
      <c r="A98" s="15">
        <f>IFERROR(__xludf.DUMMYFUNCTION("""COMPUTED_VALUE"""),97.0)</f>
        <v/>
      </c>
      <c r="B98" s="28">
        <f>IFERROR(__xludf.DUMMYFUNCTION("""COMPUTED_VALUE"""),3.280003E8)</f>
        <v/>
      </c>
      <c r="C98" s="28">
        <f>IFERROR(__xludf.DUMMYFUNCTION("""COMPUTED_VALUE"""),"EGA ANGGARA")</f>
        <v/>
      </c>
      <c r="D98" s="175">
        <f>IFERROR(__xludf.DUMMYFUNCTION("""COMPUTED_VALUE"""),"GLUE MACHINE MAINTENANCE")</f>
        <v/>
      </c>
      <c r="E98" s="28">
        <f>IFERROR(__xludf.DUMMYFUNCTION("""COMPUTED_VALUE"""),"ENGINEERING")</f>
        <v/>
      </c>
    </row>
    <row r="99" ht="15.75" customHeight="1" s="169">
      <c r="A99" s="15">
        <f>IFERROR(__xludf.DUMMYFUNCTION("""COMPUTED_VALUE"""),98.0)</f>
        <v/>
      </c>
      <c r="B99" s="28">
        <f>IFERROR(__xludf.DUMMYFUNCTION("""COMPUTED_VALUE"""),3.28000301E8)</f>
        <v/>
      </c>
      <c r="C99" s="28">
        <f>IFERROR(__xludf.DUMMYFUNCTION("""COMPUTED_VALUE"""),"CINDY PERMATASARI")</f>
        <v/>
      </c>
      <c r="D99" s="175">
        <f>IFERROR(__xludf.DUMMYFUNCTION("""COMPUTED_VALUE"""),"ADMIN WRM")</f>
        <v/>
      </c>
      <c r="E99" s="28">
        <f>IFERROR(__xludf.DUMMYFUNCTION("""COMPUTED_VALUE"""),"LOGISTIC")</f>
        <v/>
      </c>
    </row>
    <row r="100" ht="15.75" customHeight="1" s="169">
      <c r="A100" s="15">
        <f>IFERROR(__xludf.DUMMYFUNCTION("""COMPUTED_VALUE"""),99.0)</f>
        <v/>
      </c>
      <c r="B100" s="28">
        <f>IFERROR(__xludf.DUMMYFUNCTION("""COMPUTED_VALUE"""),3.28000302E8)</f>
        <v/>
      </c>
      <c r="C100" s="28">
        <f>IFERROR(__xludf.DUMMYFUNCTION("""COMPUTED_VALUE"""),"ALFIA NURULLITA")</f>
        <v/>
      </c>
      <c r="D100" s="175">
        <f>IFERROR(__xludf.DUMMYFUNCTION("""COMPUTED_VALUE"""),"PACKER")</f>
        <v/>
      </c>
      <c r="E100" s="28">
        <f>IFERROR(__xludf.DUMMYFUNCTION("""COMPUTED_VALUE"""),"PRODUCTION")</f>
        <v/>
      </c>
    </row>
    <row r="101" ht="15.75" customHeight="1" s="169">
      <c r="A101" s="15">
        <f>IFERROR(__xludf.DUMMYFUNCTION("""COMPUTED_VALUE"""),100.0)</f>
        <v/>
      </c>
      <c r="B101" s="28">
        <f>IFERROR(__xludf.DUMMYFUNCTION("""COMPUTED_VALUE"""),3.28000305E8)</f>
        <v/>
      </c>
      <c r="C101" s="28">
        <f>IFERROR(__xludf.DUMMYFUNCTION("""COMPUTED_VALUE"""),"SURYANI SIHITE")</f>
        <v/>
      </c>
      <c r="D101" s="175">
        <f>IFERROR(__xludf.DUMMYFUNCTION("""COMPUTED_VALUE"""),"QC PRODUKSI")</f>
        <v/>
      </c>
      <c r="E101" s="28">
        <f>IFERROR(__xludf.DUMMYFUNCTION("""COMPUTED_VALUE"""),"QUALITY AND RESEARCH &amp; DEVELOPMENT")</f>
        <v/>
      </c>
    </row>
    <row r="102" ht="15.75" customHeight="1" s="169">
      <c r="A102" s="15">
        <f>IFERROR(__xludf.DUMMYFUNCTION("""COMPUTED_VALUE"""),101.0)</f>
        <v/>
      </c>
      <c r="B102" s="28">
        <f>IFERROR(__xludf.DUMMYFUNCTION("""COMPUTED_VALUE"""),3.28000306E8)</f>
        <v/>
      </c>
      <c r="C102" s="28">
        <f>IFERROR(__xludf.DUMMYFUNCTION("""COMPUTED_VALUE"""),"ALDY BINTANG SYAHPUTRA")</f>
        <v/>
      </c>
      <c r="D102" s="175">
        <f>IFERROR(__xludf.DUMMYFUNCTION("""COMPUTED_VALUE"""),"QC INCOMING")</f>
        <v/>
      </c>
      <c r="E102" s="28">
        <f>IFERROR(__xludf.DUMMYFUNCTION("""COMPUTED_VALUE"""),"QUALITY AND RESEARCH &amp; DEVELOPMENT")</f>
        <v/>
      </c>
    </row>
    <row r="103" ht="15.75" customHeight="1" s="169">
      <c r="A103" s="15">
        <f>IFERROR(__xludf.DUMMYFUNCTION("""COMPUTED_VALUE"""),102.0)</f>
        <v/>
      </c>
      <c r="B103" s="28">
        <f>IFERROR(__xludf.DUMMYFUNCTION("""COMPUTED_VALUE"""),3.28000307E8)</f>
        <v/>
      </c>
      <c r="C103" s="28">
        <f>IFERROR(__xludf.DUMMYFUNCTION("""COMPUTED_VALUE"""),"OKTI NUR INDAHSARI")</f>
        <v/>
      </c>
      <c r="D103" s="175">
        <f>IFERROR(__xludf.DUMMYFUNCTION("""COMPUTED_VALUE"""),"QC PRODUKSI")</f>
        <v/>
      </c>
      <c r="E103" s="28">
        <f>IFERROR(__xludf.DUMMYFUNCTION("""COMPUTED_VALUE"""),"QUALITY AND RESEARCH &amp; DEVELOPMENT")</f>
        <v/>
      </c>
    </row>
    <row r="104" ht="15.75" customHeight="1" s="169">
      <c r="A104" s="15">
        <f>IFERROR(__xludf.DUMMYFUNCTION("""COMPUTED_VALUE"""),103.0)</f>
        <v/>
      </c>
      <c r="B104" s="28">
        <f>IFERROR(__xludf.DUMMYFUNCTION("""COMPUTED_VALUE"""),3.28000308E8)</f>
        <v/>
      </c>
      <c r="C104" s="28">
        <f>IFERROR(__xludf.DUMMYFUNCTION("""COMPUTED_VALUE"""),"LIA AULIYA")</f>
        <v/>
      </c>
      <c r="D104" s="175">
        <f>IFERROR(__xludf.DUMMYFUNCTION("""COMPUTED_VALUE"""),"QC LAB")</f>
        <v/>
      </c>
      <c r="E104" s="28">
        <f>IFERROR(__xludf.DUMMYFUNCTION("""COMPUTED_VALUE"""),"QUALITY AND RESEARCH &amp; DEVELOPMENT")</f>
        <v/>
      </c>
    </row>
    <row r="105" ht="15.75" customHeight="1" s="169">
      <c r="A105" s="15">
        <f>IFERROR(__xludf.DUMMYFUNCTION("""COMPUTED_VALUE"""),104.0)</f>
        <v/>
      </c>
      <c r="B105" s="28">
        <f>IFERROR(__xludf.DUMMYFUNCTION("""COMPUTED_VALUE"""),3.28000311E8)</f>
        <v/>
      </c>
      <c r="C105" s="28">
        <f>IFERROR(__xludf.DUMMYFUNCTION("""COMPUTED_VALUE"""),"ARAS ATH THARIQ ")</f>
        <v/>
      </c>
      <c r="D105" s="175">
        <f>IFERROR(__xludf.DUMMYFUNCTION("""COMPUTED_VALUE"""),"PACKER")</f>
        <v/>
      </c>
      <c r="E105" s="28">
        <f>IFERROR(__xludf.DUMMYFUNCTION("""COMPUTED_VALUE"""),"PRODUCTION")</f>
        <v/>
      </c>
    </row>
    <row r="106" ht="15.75" customHeight="1" s="169">
      <c r="A106" s="15">
        <f>IFERROR(__xludf.DUMMYFUNCTION("""COMPUTED_VALUE"""),105.0)</f>
        <v/>
      </c>
      <c r="B106" s="28">
        <f>IFERROR(__xludf.DUMMYFUNCTION("""COMPUTED_VALUE"""),3.28000312E8)</f>
        <v/>
      </c>
      <c r="C106" s="28">
        <f>IFERROR(__xludf.DUMMYFUNCTION("""COMPUTED_VALUE"""),"DHEA SRI NURASIH")</f>
        <v/>
      </c>
      <c r="D106" s="175">
        <f>IFERROR(__xludf.DUMMYFUNCTION("""COMPUTED_VALUE"""),"QC LAB")</f>
        <v/>
      </c>
      <c r="E106" s="28">
        <f>IFERROR(__xludf.DUMMYFUNCTION("""COMPUTED_VALUE"""),"QUALITY AND RESEARCH &amp; DEVELOPMENT")</f>
        <v/>
      </c>
    </row>
    <row r="107" ht="15.75" customHeight="1" s="169">
      <c r="A107" s="15">
        <f>IFERROR(__xludf.DUMMYFUNCTION("""COMPUTED_VALUE"""),106.0)</f>
        <v/>
      </c>
      <c r="B107" s="28">
        <f>IFERROR(__xludf.DUMMYFUNCTION("""COMPUTED_VALUE"""),3.28000313E8)</f>
        <v/>
      </c>
      <c r="C107" s="28">
        <f>IFERROR(__xludf.DUMMYFUNCTION("""COMPUTED_VALUE"""),"SITI NURHASANAH")</f>
        <v/>
      </c>
      <c r="D107" s="175">
        <f>IFERROR(__xludf.DUMMYFUNCTION("""COMPUTED_VALUE"""),"QC LAB")</f>
        <v/>
      </c>
      <c r="E107" s="28">
        <f>IFERROR(__xludf.DUMMYFUNCTION("""COMPUTED_VALUE"""),"QUALITY AND RESEARCH &amp; DEVELOPMENT")</f>
        <v/>
      </c>
    </row>
    <row r="108" ht="15.75" customHeight="1" s="169">
      <c r="A108" s="15">
        <f>IFERROR(__xludf.DUMMYFUNCTION("""COMPUTED_VALUE"""),107.0)</f>
        <v/>
      </c>
      <c r="B108" s="28">
        <f>IFERROR(__xludf.DUMMYFUNCTION("""COMPUTED_VALUE"""),3.28000314E8)</f>
        <v/>
      </c>
      <c r="C108" s="28">
        <f>IFERROR(__xludf.DUMMYFUNCTION("""COMPUTED_VALUE"""),"LULUT SONIA")</f>
        <v/>
      </c>
      <c r="D108" s="175">
        <f>IFERROR(__xludf.DUMMYFUNCTION("""COMPUTED_VALUE"""),"QC PRODUKSI")</f>
        <v/>
      </c>
      <c r="E108" s="28">
        <f>IFERROR(__xludf.DUMMYFUNCTION("""COMPUTED_VALUE"""),"QUALITY AND RESEARCH &amp; DEVELOPMENT")</f>
        <v/>
      </c>
    </row>
    <row r="109" ht="15.75" customHeight="1" s="169">
      <c r="A109" s="15">
        <f>IFERROR(__xludf.DUMMYFUNCTION("""COMPUTED_VALUE"""),108.0)</f>
        <v/>
      </c>
      <c r="B109" s="28">
        <f>IFERROR(__xludf.DUMMYFUNCTION("""COMPUTED_VALUE"""),3.28000317E8)</f>
        <v/>
      </c>
      <c r="C109" s="28">
        <f>IFERROR(__xludf.DUMMYFUNCTION("""COMPUTED_VALUE"""),"HADIYONO")</f>
        <v/>
      </c>
      <c r="D109" s="175">
        <f>IFERROR(__xludf.DUMMYFUNCTION("""COMPUTED_VALUE"""),"TECHNICIAN")</f>
        <v/>
      </c>
      <c r="E109" s="28">
        <f>IFERROR(__xludf.DUMMYFUNCTION("""COMPUTED_VALUE"""),"ENGINEERING")</f>
        <v/>
      </c>
    </row>
    <row r="110" ht="15.75" customHeight="1" s="169">
      <c r="A110" s="15">
        <f>IFERROR(__xludf.DUMMYFUNCTION("""COMPUTED_VALUE"""),109.0)</f>
        <v/>
      </c>
      <c r="B110" s="28">
        <f>IFERROR(__xludf.DUMMYFUNCTION("""COMPUTED_VALUE"""),3.28000318E8)</f>
        <v/>
      </c>
      <c r="C110" s="28">
        <f>IFERROR(__xludf.DUMMYFUNCTION("""COMPUTED_VALUE"""),"MELIA SALSABILA")</f>
        <v/>
      </c>
      <c r="D110" s="175">
        <f>IFERROR(__xludf.DUMMYFUNCTION("""COMPUTED_VALUE"""),"ADMIN HR &amp; GA")</f>
        <v/>
      </c>
      <c r="E110" s="28">
        <f>IFERROR(__xludf.DUMMYFUNCTION("""COMPUTED_VALUE"""),"HR &amp; GA")</f>
        <v/>
      </c>
    </row>
    <row r="111" ht="15.75" customHeight="1" s="169">
      <c r="A111" s="15">
        <f>IFERROR(__xludf.DUMMYFUNCTION("""COMPUTED_VALUE"""),110.0)</f>
        <v/>
      </c>
      <c r="B111" s="28">
        <f>IFERROR(__xludf.DUMMYFUNCTION("""COMPUTED_VALUE"""),3.28000319E8)</f>
        <v/>
      </c>
      <c r="C111" s="28">
        <f>IFERROR(__xludf.DUMMYFUNCTION("""COMPUTED_VALUE"""),"ARI PEBRIANTO")</f>
        <v/>
      </c>
      <c r="D111" s="175">
        <f>IFERROR(__xludf.DUMMYFUNCTION("""COMPUTED_VALUE"""),"OPERATOR PRODUCTION")</f>
        <v/>
      </c>
      <c r="E111" s="28">
        <f>IFERROR(__xludf.DUMMYFUNCTION("""COMPUTED_VALUE"""),"PRODUCTION")</f>
        <v/>
      </c>
    </row>
    <row r="112" ht="15.75" customHeight="1" s="169">
      <c r="A112" s="15">
        <f>IFERROR(__xludf.DUMMYFUNCTION("""COMPUTED_VALUE"""),111.0)</f>
        <v/>
      </c>
      <c r="B112" s="28">
        <f>IFERROR(__xludf.DUMMYFUNCTION("""COMPUTED_VALUE"""),3.2800032E8)</f>
        <v/>
      </c>
      <c r="C112" s="28">
        <f>IFERROR(__xludf.DUMMYFUNCTION("""COMPUTED_VALUE"""),"ALFAZRI SAMSI ARYA GINANDJAR")</f>
        <v/>
      </c>
      <c r="D112" s="175">
        <f>IFERROR(__xludf.DUMMYFUNCTION("""COMPUTED_VALUE"""),"PACKER")</f>
        <v/>
      </c>
      <c r="E112" s="28">
        <f>IFERROR(__xludf.DUMMYFUNCTION("""COMPUTED_VALUE"""),"PRODUCTION")</f>
        <v/>
      </c>
    </row>
    <row r="113" ht="15.75" customHeight="1" s="169">
      <c r="A113" s="15">
        <f>IFERROR(__xludf.DUMMYFUNCTION("""COMPUTED_VALUE"""),112.0)</f>
        <v/>
      </c>
      <c r="B113" s="28">
        <f>IFERROR(__xludf.DUMMYFUNCTION("""COMPUTED_VALUE"""),3.28000323E8)</f>
        <v/>
      </c>
      <c r="C113" s="28">
        <f>IFERROR(__xludf.DUMMYFUNCTION("""COMPUTED_VALUE"""),"MUHAMMAD BAYU TAUFAN")</f>
        <v/>
      </c>
      <c r="D113" s="175">
        <f>IFERROR(__xludf.DUMMYFUNCTION("""COMPUTED_VALUE"""),"OPERATOR PRODUCTION")</f>
        <v/>
      </c>
      <c r="E113" s="28">
        <f>IFERROR(__xludf.DUMMYFUNCTION("""COMPUTED_VALUE"""),"PRODUCTION")</f>
        <v/>
      </c>
    </row>
    <row r="114" ht="15.75" customHeight="1" s="169">
      <c r="A114" s="15">
        <f>IFERROR(__xludf.DUMMYFUNCTION("""COMPUTED_VALUE"""),113.0)</f>
        <v/>
      </c>
      <c r="B114" s="28">
        <f>IFERROR(__xludf.DUMMYFUNCTION("""COMPUTED_VALUE"""),3.28000324E8)</f>
        <v/>
      </c>
      <c r="C114" s="28">
        <f>IFERROR(__xludf.DUMMYFUNCTION("""COMPUTED_VALUE"""),"ADINDA LAULADIA PUTRI")</f>
        <v/>
      </c>
      <c r="D114" s="175">
        <f>IFERROR(__xludf.DUMMYFUNCTION("""COMPUTED_VALUE"""),"QC LAB")</f>
        <v/>
      </c>
      <c r="E114" s="28">
        <f>IFERROR(__xludf.DUMMYFUNCTION("""COMPUTED_VALUE"""),"QUALITY AND RESEARCH &amp; DEVELOPMENT")</f>
        <v/>
      </c>
    </row>
    <row r="115" ht="15.75" customHeight="1" s="169">
      <c r="A115" s="15">
        <f>IFERROR(__xludf.DUMMYFUNCTION("""COMPUTED_VALUE"""),114.0)</f>
        <v/>
      </c>
      <c r="B115" s="28">
        <f>IFERROR(__xludf.DUMMYFUNCTION("""COMPUTED_VALUE"""),3.28000326E8)</f>
        <v/>
      </c>
      <c r="C115" s="28">
        <f>IFERROR(__xludf.DUMMYFUNCTION("""COMPUTED_VALUE"""),"SINTA SELVINA")</f>
        <v/>
      </c>
      <c r="D115" s="175">
        <f>IFERROR(__xludf.DUMMYFUNCTION("""COMPUTED_VALUE"""),"PACKER")</f>
        <v/>
      </c>
      <c r="E115" s="28">
        <f>IFERROR(__xludf.DUMMYFUNCTION("""COMPUTED_VALUE"""),"PRODUCTION")</f>
        <v/>
      </c>
    </row>
    <row r="116" ht="15.75" customHeight="1" s="169">
      <c r="A116" s="15">
        <f>IFERROR(__xludf.DUMMYFUNCTION("""COMPUTED_VALUE"""),115.0)</f>
        <v/>
      </c>
      <c r="B116" s="28">
        <f>IFERROR(__xludf.DUMMYFUNCTION("""COMPUTED_VALUE"""),3.28000327E8)</f>
        <v/>
      </c>
      <c r="C116" s="28">
        <f>IFERROR(__xludf.DUMMYFUNCTION("""COMPUTED_VALUE"""),"SYAILA MEISYALUNA")</f>
        <v/>
      </c>
      <c r="D116" s="175">
        <f>IFERROR(__xludf.DUMMYFUNCTION("""COMPUTED_VALUE"""),"PACKER")</f>
        <v/>
      </c>
      <c r="E116" s="28">
        <f>IFERROR(__xludf.DUMMYFUNCTION("""COMPUTED_VALUE"""),"PRODUCTION")</f>
        <v/>
      </c>
    </row>
    <row r="117" ht="15.75" customHeight="1" s="169">
      <c r="A117" s="15">
        <f>IFERROR(__xludf.DUMMYFUNCTION("""COMPUTED_VALUE"""),116.0)</f>
        <v/>
      </c>
      <c r="B117" s="28">
        <f>IFERROR(__xludf.DUMMYFUNCTION("""COMPUTED_VALUE"""),3.28000328E8)</f>
        <v/>
      </c>
      <c r="C117" s="28">
        <f>IFERROR(__xludf.DUMMYFUNCTION("""COMPUTED_VALUE"""),"OKTAVIA EKA DAMAYANTI")</f>
        <v/>
      </c>
      <c r="D117" s="175">
        <f>IFERROR(__xludf.DUMMYFUNCTION("""COMPUTED_VALUE"""),"PACKER")</f>
        <v/>
      </c>
      <c r="E117" s="28">
        <f>IFERROR(__xludf.DUMMYFUNCTION("""COMPUTED_VALUE"""),"PRODUCTION")</f>
        <v/>
      </c>
    </row>
    <row r="118" ht="15.75" customHeight="1" s="169">
      <c r="A118" s="15">
        <f>IFERROR(__xludf.DUMMYFUNCTION("""COMPUTED_VALUE"""),117.0)</f>
        <v/>
      </c>
      <c r="B118" s="28">
        <f>IFERROR(__xludf.DUMMYFUNCTION("""COMPUTED_VALUE"""),3.2800033E8)</f>
        <v/>
      </c>
      <c r="C118" s="28">
        <f>IFERROR(__xludf.DUMMYFUNCTION("""COMPUTED_VALUE"""),"WENDIKA RIZKI KURNIAWAN")</f>
        <v/>
      </c>
      <c r="D118" s="175">
        <f>IFERROR(__xludf.DUMMYFUNCTION("""COMPUTED_VALUE"""),"SHIFT MAINTENANCE")</f>
        <v/>
      </c>
      <c r="E118" s="28">
        <f>IFERROR(__xludf.DUMMYFUNCTION("""COMPUTED_VALUE"""),"ENGINEERING")</f>
        <v/>
      </c>
    </row>
    <row r="119" ht="15.75" customHeight="1" s="169">
      <c r="A119" s="15">
        <f>IFERROR(__xludf.DUMMYFUNCTION("""COMPUTED_VALUE"""),118.0)</f>
        <v/>
      </c>
      <c r="B119" s="28">
        <f>IFERROR(__xludf.DUMMYFUNCTION("""COMPUTED_VALUE"""),3.28000331E8)</f>
        <v/>
      </c>
      <c r="C119" s="28">
        <f>IFERROR(__xludf.DUMMYFUNCTION("""COMPUTED_VALUE"""),"KAMILA AZZAHRA")</f>
        <v/>
      </c>
      <c r="D119" s="175">
        <f>IFERROR(__xludf.DUMMYFUNCTION("""COMPUTED_VALUE"""),"PACKER")</f>
        <v/>
      </c>
      <c r="E119" s="28">
        <f>IFERROR(__xludf.DUMMYFUNCTION("""COMPUTED_VALUE"""),"PRODUCTION")</f>
        <v/>
      </c>
    </row>
    <row r="120" ht="15.75" customHeight="1" s="169">
      <c r="A120" s="15">
        <f>IFERROR(__xludf.DUMMYFUNCTION("""COMPUTED_VALUE"""),119.0)</f>
        <v/>
      </c>
      <c r="B120" s="28">
        <f>IFERROR(__xludf.DUMMYFUNCTION("""COMPUTED_VALUE"""),3.28000332E8)</f>
        <v/>
      </c>
      <c r="C120" s="28">
        <f>IFERROR(__xludf.DUMMYFUNCTION("""COMPUTED_VALUE"""),"ANIN HERMAWAN")</f>
        <v/>
      </c>
      <c r="D120" s="175">
        <f>IFERROR(__xludf.DUMMYFUNCTION("""COMPUTED_VALUE"""),"PACKER")</f>
        <v/>
      </c>
      <c r="E120" s="28">
        <f>IFERROR(__xludf.DUMMYFUNCTION("""COMPUTED_VALUE"""),"PRODUCTION")</f>
        <v/>
      </c>
    </row>
    <row r="121" ht="15.75" customHeight="1" s="169">
      <c r="A121" s="15">
        <f>IFERROR(__xludf.DUMMYFUNCTION("""COMPUTED_VALUE"""),120.0)</f>
        <v/>
      </c>
      <c r="B121" s="28">
        <f>IFERROR(__xludf.DUMMYFUNCTION("""COMPUTED_VALUE"""),3.28000334E8)</f>
        <v/>
      </c>
      <c r="C121" s="28">
        <f>IFERROR(__xludf.DUMMYFUNCTION("""COMPUTED_VALUE"""),"NANA PURWANTO")</f>
        <v/>
      </c>
      <c r="D121" s="175">
        <f>IFERROR(__xludf.DUMMYFUNCTION("""COMPUTED_VALUE"""),"PACKER")</f>
        <v/>
      </c>
      <c r="E121" s="28">
        <f>IFERROR(__xludf.DUMMYFUNCTION("""COMPUTED_VALUE"""),"PRODUCTION")</f>
        <v/>
      </c>
    </row>
    <row r="122" ht="15.75" customHeight="1" s="169">
      <c r="A122" s="15">
        <f>IFERROR(__xludf.DUMMYFUNCTION("""COMPUTED_VALUE"""),121.0)</f>
        <v/>
      </c>
      <c r="B122" s="28">
        <f>IFERROR(__xludf.DUMMYFUNCTION("""COMPUTED_VALUE"""),3.28000335E8)</f>
        <v/>
      </c>
      <c r="C122" s="28">
        <f>IFERROR(__xludf.DUMMYFUNCTION("""COMPUTED_VALUE"""),"MUHAMAD SANDI")</f>
        <v/>
      </c>
      <c r="D122" s="175">
        <f>IFERROR(__xludf.DUMMYFUNCTION("""COMPUTED_VALUE"""),"OPERATOR PRODUCTION")</f>
        <v/>
      </c>
      <c r="E122" s="28">
        <f>IFERROR(__xludf.DUMMYFUNCTION("""COMPUTED_VALUE"""),"PRODUCTION")</f>
        <v/>
      </c>
    </row>
    <row r="123" ht="15.75" customHeight="1" s="169">
      <c r="A123" s="15">
        <f>IFERROR(__xludf.DUMMYFUNCTION("""COMPUTED_VALUE"""),122.0)</f>
        <v/>
      </c>
      <c r="B123" s="28">
        <f>IFERROR(__xludf.DUMMYFUNCTION("""COMPUTED_VALUE"""),3.28000336E8)</f>
        <v/>
      </c>
      <c r="C123" s="28">
        <f>IFERROR(__xludf.DUMMYFUNCTION("""COMPUTED_VALUE"""),"ANDRI SAPUTRA")</f>
        <v/>
      </c>
      <c r="D123" s="175">
        <f>IFERROR(__xludf.DUMMYFUNCTION("""COMPUTED_VALUE"""),"PACKER")</f>
        <v/>
      </c>
      <c r="E123" s="28">
        <f>IFERROR(__xludf.DUMMYFUNCTION("""COMPUTED_VALUE"""),"PRODUCTION")</f>
        <v/>
      </c>
    </row>
    <row r="124" ht="15.75" customHeight="1" s="169">
      <c r="A124" s="15">
        <f>IFERROR(__xludf.DUMMYFUNCTION("""COMPUTED_VALUE"""),123.0)</f>
        <v/>
      </c>
      <c r="B124" s="28">
        <f>IFERROR(__xludf.DUMMYFUNCTION("""COMPUTED_VALUE"""),3.2800034E8)</f>
        <v/>
      </c>
      <c r="C124" s="28">
        <f>IFERROR(__xludf.DUMMYFUNCTION("""COMPUTED_VALUE"""),"IYAN SUPRIYANTO NUGRAHA")</f>
        <v/>
      </c>
      <c r="D124" s="175">
        <f>IFERROR(__xludf.DUMMYFUNCTION("""COMPUTED_VALUE"""),"SHIFT MAINTENANCE")</f>
        <v/>
      </c>
      <c r="E124" s="28">
        <f>IFERROR(__xludf.DUMMYFUNCTION("""COMPUTED_VALUE"""),"ENGINEERING")</f>
        <v/>
      </c>
    </row>
    <row r="125" ht="15.75" customHeight="1" s="169">
      <c r="A125" s="15">
        <f>IFERROR(__xludf.DUMMYFUNCTION("""COMPUTED_VALUE"""),124.0)</f>
        <v/>
      </c>
      <c r="B125" s="28">
        <f>IFERROR(__xludf.DUMMYFUNCTION("""COMPUTED_VALUE"""),3.28000341E8)</f>
        <v/>
      </c>
      <c r="C125" s="28">
        <f>IFERROR(__xludf.DUMMYFUNCTION("""COMPUTED_VALUE"""),"RIKI SEPTIADI")</f>
        <v/>
      </c>
      <c r="D125" s="175">
        <f>IFERROR(__xludf.DUMMYFUNCTION("""COMPUTED_VALUE"""),"PACKER")</f>
        <v/>
      </c>
      <c r="E125" s="28">
        <f>IFERROR(__xludf.DUMMYFUNCTION("""COMPUTED_VALUE"""),"PRODUCTION")</f>
        <v/>
      </c>
    </row>
    <row r="126" ht="15.75" customHeight="1" s="169">
      <c r="A126" s="15">
        <f>IFERROR(__xludf.DUMMYFUNCTION("""COMPUTED_VALUE"""),125.0)</f>
        <v/>
      </c>
      <c r="B126" s="28">
        <f>IFERROR(__xludf.DUMMYFUNCTION("""COMPUTED_VALUE"""),3.28000342E8)</f>
        <v/>
      </c>
      <c r="C126" s="28">
        <f>IFERROR(__xludf.DUMMYFUNCTION("""COMPUTED_VALUE"""),"FITRI ")</f>
        <v/>
      </c>
      <c r="D126" s="175">
        <f>IFERROR(__xludf.DUMMYFUNCTION("""COMPUTED_VALUE"""),"PACKER")</f>
        <v/>
      </c>
      <c r="E126" s="28">
        <f>IFERROR(__xludf.DUMMYFUNCTION("""COMPUTED_VALUE"""),"PRODUCTION")</f>
        <v/>
      </c>
    </row>
    <row r="127" ht="15.75" customHeight="1" s="169">
      <c r="A127" s="15">
        <f>IFERROR(__xludf.DUMMYFUNCTION("""COMPUTED_VALUE"""),126.0)</f>
        <v/>
      </c>
      <c r="B127" s="28">
        <f>IFERROR(__xludf.DUMMYFUNCTION("""COMPUTED_VALUE"""),3.28000346E8)</f>
        <v/>
      </c>
      <c r="C127" s="28">
        <f>IFERROR(__xludf.DUMMYFUNCTION("""COMPUTED_VALUE"""),"MUHAMAD FADILLAH FAQIH")</f>
        <v/>
      </c>
      <c r="D127" s="175">
        <f>IFERROR(__xludf.DUMMYFUNCTION("""COMPUTED_VALUE"""),"OPERATOR PRODUCTION")</f>
        <v/>
      </c>
      <c r="E127" s="28">
        <f>IFERROR(__xludf.DUMMYFUNCTION("""COMPUTED_VALUE"""),"PRODUCTION")</f>
        <v/>
      </c>
    </row>
    <row r="128" ht="15.75" customHeight="1" s="169">
      <c r="A128" s="15">
        <f>IFERROR(__xludf.DUMMYFUNCTION("""COMPUTED_VALUE"""),127.0)</f>
        <v/>
      </c>
      <c r="B128" s="28">
        <f>IFERROR(__xludf.DUMMYFUNCTION("""COMPUTED_VALUE"""),3.28000348E8)</f>
        <v/>
      </c>
      <c r="C128" s="28">
        <f>IFERROR(__xludf.DUMMYFUNCTION("""COMPUTED_VALUE"""),"DINI ISNARDIANTI")</f>
        <v/>
      </c>
      <c r="D128" s="175">
        <f>IFERROR(__xludf.DUMMYFUNCTION("""COMPUTED_VALUE"""),"QC PRODUKSI")</f>
        <v/>
      </c>
      <c r="E128" s="28">
        <f>IFERROR(__xludf.DUMMYFUNCTION("""COMPUTED_VALUE"""),"QUALITY AND RESEARCH &amp; DEVELOPMENT")</f>
        <v/>
      </c>
    </row>
    <row r="129" ht="15.75" customHeight="1" s="169">
      <c r="A129" s="15">
        <f>IFERROR(__xludf.DUMMYFUNCTION("""COMPUTED_VALUE"""),128.0)</f>
        <v/>
      </c>
      <c r="B129" s="28">
        <f>IFERROR(__xludf.DUMMYFUNCTION("""COMPUTED_VALUE"""),3.2800035E8)</f>
        <v/>
      </c>
      <c r="C129" s="28">
        <f>IFERROR(__xludf.DUMMYFUNCTION("""COMPUTED_VALUE"""),"RINI AFRIDON")</f>
        <v/>
      </c>
      <c r="D129" s="175">
        <f>IFERROR(__xludf.DUMMYFUNCTION("""COMPUTED_VALUE"""),"PACKER")</f>
        <v/>
      </c>
      <c r="E129" s="28">
        <f>IFERROR(__xludf.DUMMYFUNCTION("""COMPUTED_VALUE"""),"PRODUCTION")</f>
        <v/>
      </c>
    </row>
    <row r="130" ht="15.75" customHeight="1" s="169">
      <c r="A130" s="15">
        <f>IFERROR(__xludf.DUMMYFUNCTION("""COMPUTED_VALUE"""),129.0)</f>
        <v/>
      </c>
      <c r="B130" s="28">
        <f>IFERROR(__xludf.DUMMYFUNCTION("""COMPUTED_VALUE"""),3.28000351E8)</f>
        <v/>
      </c>
      <c r="C130" s="28">
        <f>IFERROR(__xludf.DUMMYFUNCTION("""COMPUTED_VALUE"""),"WINDY DESTI NUR ALIFAH")</f>
        <v/>
      </c>
      <c r="D130" s="175">
        <f>IFERROR(__xludf.DUMMYFUNCTION("""COMPUTED_VALUE"""),"PACKER")</f>
        <v/>
      </c>
      <c r="E130" s="28">
        <f>IFERROR(__xludf.DUMMYFUNCTION("""COMPUTED_VALUE"""),"PRODUCTION")</f>
        <v/>
      </c>
    </row>
    <row r="131" ht="15.75" customHeight="1" s="169">
      <c r="A131" s="15">
        <f>IFERROR(__xludf.DUMMYFUNCTION("""COMPUTED_VALUE"""),130.0)</f>
        <v/>
      </c>
      <c r="B131" s="28">
        <f>IFERROR(__xludf.DUMMYFUNCTION("""COMPUTED_VALUE"""),3.28000352E8)</f>
        <v/>
      </c>
      <c r="C131" s="28">
        <f>IFERROR(__xludf.DUMMYFUNCTION("""COMPUTED_VALUE"""),"YASMIN ANNISA ALKHOIRIYAH")</f>
        <v/>
      </c>
      <c r="D131" s="175">
        <f>IFERROR(__xludf.DUMMYFUNCTION("""COMPUTED_VALUE"""),"PACKER")</f>
        <v/>
      </c>
      <c r="E131" s="28">
        <f>IFERROR(__xludf.DUMMYFUNCTION("""COMPUTED_VALUE"""),"PRODUCTION")</f>
        <v/>
      </c>
    </row>
    <row r="132" ht="15.75" customHeight="1" s="169">
      <c r="A132" s="15">
        <f>IFERROR(__xludf.DUMMYFUNCTION("""COMPUTED_VALUE"""),131.0)</f>
        <v/>
      </c>
      <c r="B132" s="28">
        <f>IFERROR(__xludf.DUMMYFUNCTION("""COMPUTED_VALUE"""),3.28000353E8)</f>
        <v/>
      </c>
      <c r="C132" s="28">
        <f>IFERROR(__xludf.DUMMYFUNCTION("""COMPUTED_VALUE"""),"YAYU APRIYANTI")</f>
        <v/>
      </c>
      <c r="D132" s="175">
        <f>IFERROR(__xludf.DUMMYFUNCTION("""COMPUTED_VALUE"""),"PACKER")</f>
        <v/>
      </c>
      <c r="E132" s="28">
        <f>IFERROR(__xludf.DUMMYFUNCTION("""COMPUTED_VALUE"""),"PRODUCTION")</f>
        <v/>
      </c>
    </row>
    <row r="133" ht="15.75" customHeight="1" s="169">
      <c r="A133" s="15">
        <f>IFERROR(__xludf.DUMMYFUNCTION("""COMPUTED_VALUE"""),132.0)</f>
        <v/>
      </c>
      <c r="B133" s="28">
        <f>IFERROR(__xludf.DUMMYFUNCTION("""COMPUTED_VALUE"""),3.28000354E8)</f>
        <v/>
      </c>
      <c r="C133" s="28">
        <f>IFERROR(__xludf.DUMMYFUNCTION("""COMPUTED_VALUE"""),"INTAN LESTARI")</f>
        <v/>
      </c>
      <c r="D133" s="175">
        <f>IFERROR(__xludf.DUMMYFUNCTION("""COMPUTED_VALUE"""),"PACKER")</f>
        <v/>
      </c>
      <c r="E133" s="28">
        <f>IFERROR(__xludf.DUMMYFUNCTION("""COMPUTED_VALUE"""),"PRODUCTION")</f>
        <v/>
      </c>
    </row>
    <row r="134" ht="15.75" customHeight="1" s="169">
      <c r="A134" s="15">
        <f>IFERROR(__xludf.DUMMYFUNCTION("""COMPUTED_VALUE"""),133.0)</f>
        <v/>
      </c>
      <c r="B134" s="28">
        <f>IFERROR(__xludf.DUMMYFUNCTION("""COMPUTED_VALUE"""),3.28000355E8)</f>
        <v/>
      </c>
      <c r="C134" s="28">
        <f>IFERROR(__xludf.DUMMYFUNCTION("""COMPUTED_VALUE"""),"IRVAN ANDRIAN")</f>
        <v/>
      </c>
      <c r="D134" s="175">
        <f>IFERROR(__xludf.DUMMYFUNCTION("""COMPUTED_VALUE"""),"SHIFT MAINTENANCE")</f>
        <v/>
      </c>
      <c r="E134" s="28">
        <f>IFERROR(__xludf.DUMMYFUNCTION("""COMPUTED_VALUE"""),"ENGINEERING")</f>
        <v/>
      </c>
    </row>
    <row r="135" ht="15.75" customHeight="1" s="169">
      <c r="A135" s="15">
        <f>IFERROR(__xludf.DUMMYFUNCTION("""COMPUTED_VALUE"""),134.0)</f>
        <v/>
      </c>
      <c r="B135" s="28">
        <f>IFERROR(__xludf.DUMMYFUNCTION("""COMPUTED_VALUE"""),3.28000357E8)</f>
        <v/>
      </c>
      <c r="C135" s="28">
        <f>IFERROR(__xludf.DUMMYFUNCTION("""COMPUTED_VALUE"""),"DEA ANANDA LESTARI")</f>
        <v/>
      </c>
      <c r="D135" s="175">
        <f>IFERROR(__xludf.DUMMYFUNCTION("""COMPUTED_VALUE"""),"PACKER")</f>
        <v/>
      </c>
      <c r="E135" s="28">
        <f>IFERROR(__xludf.DUMMYFUNCTION("""COMPUTED_VALUE"""),"PRODUCTION")</f>
        <v/>
      </c>
    </row>
    <row r="136" ht="15.75" customHeight="1" s="169">
      <c r="A136" s="15">
        <f>IFERROR(__xludf.DUMMYFUNCTION("""COMPUTED_VALUE"""),135.0)</f>
        <v/>
      </c>
      <c r="B136" s="28">
        <f>IFERROR(__xludf.DUMMYFUNCTION("""COMPUTED_VALUE"""),3.28000358E8)</f>
        <v/>
      </c>
      <c r="C136" s="28">
        <f>IFERROR(__xludf.DUMMYFUNCTION("""COMPUTED_VALUE"""),"KIKI MUZAKI")</f>
        <v/>
      </c>
      <c r="D136" s="175">
        <f>IFERROR(__xludf.DUMMYFUNCTION("""COMPUTED_VALUE"""),"PACKER")</f>
        <v/>
      </c>
      <c r="E136" s="28">
        <f>IFERROR(__xludf.DUMMYFUNCTION("""COMPUTED_VALUE"""),"PRODUCTION")</f>
        <v/>
      </c>
    </row>
    <row r="137" ht="15.75" customHeight="1" s="169">
      <c r="A137" s="15">
        <f>IFERROR(__xludf.DUMMYFUNCTION("""COMPUTED_VALUE"""),136.0)</f>
        <v/>
      </c>
      <c r="B137" s="28">
        <f>IFERROR(__xludf.DUMMYFUNCTION("""COMPUTED_VALUE"""),3.28000361E8)</f>
        <v/>
      </c>
      <c r="C137" s="28">
        <f>IFERROR(__xludf.DUMMYFUNCTION("""COMPUTED_VALUE"""),"NABIL FATHUROHMAN")</f>
        <v/>
      </c>
      <c r="D137" s="175">
        <f>IFERROR(__xludf.DUMMYFUNCTION("""COMPUTED_VALUE"""),"ADMIN TSP")</f>
        <v/>
      </c>
      <c r="E137" s="28">
        <f>IFERROR(__xludf.DUMMYFUNCTION("""COMPUTED_VALUE"""),"PRODUCTION")</f>
        <v/>
      </c>
    </row>
    <row r="138" ht="15.75" customHeight="1" s="169">
      <c r="A138" s="15">
        <f>IFERROR(__xludf.DUMMYFUNCTION("""COMPUTED_VALUE"""),137.0)</f>
        <v/>
      </c>
      <c r="B138" s="28">
        <f>IFERROR(__xludf.DUMMYFUNCTION("""COMPUTED_VALUE"""),3.28000364E8)</f>
        <v/>
      </c>
      <c r="C138" s="28">
        <f>IFERROR(__xludf.DUMMYFUNCTION("""COMPUTED_VALUE"""),"DIANA")</f>
        <v/>
      </c>
      <c r="D138" s="175">
        <f>IFERROR(__xludf.DUMMYFUNCTION("""COMPUTED_VALUE"""),"PACKER")</f>
        <v/>
      </c>
      <c r="E138" s="28">
        <f>IFERROR(__xludf.DUMMYFUNCTION("""COMPUTED_VALUE"""),"PRODUCTION")</f>
        <v/>
      </c>
    </row>
    <row r="139" ht="15.75" customHeight="1" s="169">
      <c r="A139" s="15">
        <f>IFERROR(__xludf.DUMMYFUNCTION("""COMPUTED_VALUE"""),138.0)</f>
        <v/>
      </c>
      <c r="B139" s="28">
        <f>IFERROR(__xludf.DUMMYFUNCTION("""COMPUTED_VALUE"""),3.28000366E8)</f>
        <v/>
      </c>
      <c r="C139" s="28">
        <f>IFERROR(__xludf.DUMMYFUNCTION("""COMPUTED_VALUE"""),"DIVA NADYA")</f>
        <v/>
      </c>
      <c r="D139" s="175">
        <f>IFERROR(__xludf.DUMMYFUNCTION("""COMPUTED_VALUE"""),"PACKER")</f>
        <v/>
      </c>
      <c r="E139" s="28">
        <f>IFERROR(__xludf.DUMMYFUNCTION("""COMPUTED_VALUE"""),"PRODUCTION")</f>
        <v/>
      </c>
    </row>
    <row r="140" ht="15.75" customHeight="1" s="169">
      <c r="A140" s="15">
        <f>IFERROR(__xludf.DUMMYFUNCTION("""COMPUTED_VALUE"""),139.0)</f>
        <v/>
      </c>
      <c r="B140" s="28">
        <f>IFERROR(__xludf.DUMMYFUNCTION("""COMPUTED_VALUE"""),3.28000367E8)</f>
        <v/>
      </c>
      <c r="C140" s="28">
        <f>IFERROR(__xludf.DUMMYFUNCTION("""COMPUTED_VALUE"""),"SIVA NENI NURANISA")</f>
        <v/>
      </c>
      <c r="D140" s="175">
        <f>IFERROR(__xludf.DUMMYFUNCTION("""COMPUTED_VALUE"""),"PACKER")</f>
        <v/>
      </c>
      <c r="E140" s="28">
        <f>IFERROR(__xludf.DUMMYFUNCTION("""COMPUTED_VALUE"""),"PRODUCTION")</f>
        <v/>
      </c>
    </row>
    <row r="141" ht="15.75" customHeight="1" s="169">
      <c r="A141" s="15">
        <f>IFERROR(__xludf.DUMMYFUNCTION("""COMPUTED_VALUE"""),140.0)</f>
        <v/>
      </c>
      <c r="B141" s="28">
        <f>IFERROR(__xludf.DUMMYFUNCTION("""COMPUTED_VALUE"""),3.2800037E8)</f>
        <v/>
      </c>
      <c r="C141" s="28">
        <f>IFERROR(__xludf.DUMMYFUNCTION("""COMPUTED_VALUE"""),"DARA APRIYANTY")</f>
        <v/>
      </c>
      <c r="D141" s="175">
        <f>IFERROR(__xludf.DUMMYFUNCTION("""COMPUTED_VALUE"""),"PACKER")</f>
        <v/>
      </c>
      <c r="E141" s="28">
        <f>IFERROR(__xludf.DUMMYFUNCTION("""COMPUTED_VALUE"""),"PRODUCTION")</f>
        <v/>
      </c>
    </row>
    <row r="142" ht="15.75" customHeight="1" s="169">
      <c r="A142" s="15">
        <f>IFERROR(__xludf.DUMMYFUNCTION("""COMPUTED_VALUE"""),141.0)</f>
        <v/>
      </c>
      <c r="B142" s="28">
        <f>IFERROR(__xludf.DUMMYFUNCTION("""COMPUTED_VALUE"""),3.28000371E8)</f>
        <v/>
      </c>
      <c r="C142" s="28">
        <f>IFERROR(__xludf.DUMMYFUNCTION("""COMPUTED_VALUE"""),"ALYA NOOR KAMILA HARJA ")</f>
        <v/>
      </c>
      <c r="D142" s="175">
        <f>IFERROR(__xludf.DUMMYFUNCTION("""COMPUTED_VALUE"""),"PACKER")</f>
        <v/>
      </c>
      <c r="E142" s="28">
        <f>IFERROR(__xludf.DUMMYFUNCTION("""COMPUTED_VALUE"""),"PRODUCTION")</f>
        <v/>
      </c>
    </row>
    <row r="143" ht="15.75" customHeight="1" s="169">
      <c r="A143" s="15">
        <f>IFERROR(__xludf.DUMMYFUNCTION("""COMPUTED_VALUE"""),142.0)</f>
        <v/>
      </c>
      <c r="B143" s="28">
        <f>IFERROR(__xludf.DUMMYFUNCTION("""COMPUTED_VALUE"""),3.28000372E8)</f>
        <v/>
      </c>
      <c r="C143" s="28">
        <f>IFERROR(__xludf.DUMMYFUNCTION("""COMPUTED_VALUE"""),"DINI FITRIYANI")</f>
        <v/>
      </c>
      <c r="D143" s="175">
        <f>IFERROR(__xludf.DUMMYFUNCTION("""COMPUTED_VALUE"""),"PACKER")</f>
        <v/>
      </c>
      <c r="E143" s="28">
        <f>IFERROR(__xludf.DUMMYFUNCTION("""COMPUTED_VALUE"""),"PRODUCTION")</f>
        <v/>
      </c>
    </row>
    <row r="144" ht="15.75" customHeight="1" s="169">
      <c r="A144" s="15">
        <f>IFERROR(__xludf.DUMMYFUNCTION("""COMPUTED_VALUE"""),143.0)</f>
        <v/>
      </c>
      <c r="B144" s="28">
        <f>IFERROR(__xludf.DUMMYFUNCTION("""COMPUTED_VALUE"""),3.28000373E8)</f>
        <v/>
      </c>
      <c r="C144" s="28">
        <f>IFERROR(__xludf.DUMMYFUNCTION("""COMPUTED_VALUE"""),"YUNI SRI WULAN")</f>
        <v/>
      </c>
      <c r="D144" s="175">
        <f>IFERROR(__xludf.DUMMYFUNCTION("""COMPUTED_VALUE"""),"PACKER")</f>
        <v/>
      </c>
      <c r="E144" s="28">
        <f>IFERROR(__xludf.DUMMYFUNCTION("""COMPUTED_VALUE"""),"PRODUCTION")</f>
        <v/>
      </c>
    </row>
    <row r="145" ht="15.75" customHeight="1" s="169">
      <c r="A145" s="15">
        <f>IFERROR(__xludf.DUMMYFUNCTION("""COMPUTED_VALUE"""),144.0)</f>
        <v/>
      </c>
      <c r="B145" s="28">
        <f>IFERROR(__xludf.DUMMYFUNCTION("""COMPUTED_VALUE"""),3.28000374E8)</f>
        <v/>
      </c>
      <c r="C145" s="28">
        <f>IFERROR(__xludf.DUMMYFUNCTION("""COMPUTED_VALUE"""),"RIA JULIANTI")</f>
        <v/>
      </c>
      <c r="D145" s="175">
        <f>IFERROR(__xludf.DUMMYFUNCTION("""COMPUTED_VALUE"""),"PACKER")</f>
        <v/>
      </c>
      <c r="E145" s="28">
        <f>IFERROR(__xludf.DUMMYFUNCTION("""COMPUTED_VALUE"""),"PRODUCTION")</f>
        <v/>
      </c>
    </row>
    <row r="146" ht="15.75" customHeight="1" s="169">
      <c r="A146" s="15">
        <f>IFERROR(__xludf.DUMMYFUNCTION("""COMPUTED_VALUE"""),145.0)</f>
        <v/>
      </c>
      <c r="B146" s="28">
        <f>IFERROR(__xludf.DUMMYFUNCTION("""COMPUTED_VALUE"""),3.28000375E8)</f>
        <v/>
      </c>
      <c r="C146" s="28">
        <f>IFERROR(__xludf.DUMMYFUNCTION("""COMPUTED_VALUE"""),"ADAM HIDIR MALKAN")</f>
        <v/>
      </c>
      <c r="D146" s="175">
        <f>IFERROR(__xludf.DUMMYFUNCTION("""COMPUTED_VALUE"""),"PACKER")</f>
        <v/>
      </c>
      <c r="E146" s="28">
        <f>IFERROR(__xludf.DUMMYFUNCTION("""COMPUTED_VALUE"""),"PRODUCTION")</f>
        <v/>
      </c>
    </row>
    <row r="147" ht="15.75" customHeight="1" s="169">
      <c r="A147" s="15">
        <f>IFERROR(__xludf.DUMMYFUNCTION("""COMPUTED_VALUE"""),146.0)</f>
        <v/>
      </c>
      <c r="B147" s="28">
        <f>IFERROR(__xludf.DUMMYFUNCTION("""COMPUTED_VALUE"""),3.28000377E8)</f>
        <v/>
      </c>
      <c r="C147" s="28">
        <f>IFERROR(__xludf.DUMMYFUNCTION("""COMPUTED_VALUE"""),"INDRI NURAENI ")</f>
        <v/>
      </c>
      <c r="D147" s="175">
        <f>IFERROR(__xludf.DUMMYFUNCTION("""COMPUTED_VALUE"""),"PACKER")</f>
        <v/>
      </c>
      <c r="E147" s="28">
        <f>IFERROR(__xludf.DUMMYFUNCTION("""COMPUTED_VALUE"""),"PRODUCTION")</f>
        <v/>
      </c>
    </row>
    <row r="148" ht="15.75" customHeight="1" s="169">
      <c r="A148" s="15">
        <f>IFERROR(__xludf.DUMMYFUNCTION("""COMPUTED_VALUE"""),147.0)</f>
        <v/>
      </c>
      <c r="B148" s="28">
        <f>IFERROR(__xludf.DUMMYFUNCTION("""COMPUTED_VALUE"""),3.28000379E8)</f>
        <v/>
      </c>
      <c r="C148" s="28">
        <f>IFERROR(__xludf.DUMMYFUNCTION("""COMPUTED_VALUE"""),"REVALINA SISWANTI")</f>
        <v/>
      </c>
      <c r="D148" s="175">
        <f>IFERROR(__xludf.DUMMYFUNCTION("""COMPUTED_VALUE"""),"PACKER")</f>
        <v/>
      </c>
      <c r="E148" s="28">
        <f>IFERROR(__xludf.DUMMYFUNCTION("""COMPUTED_VALUE"""),"PRODUCTION")</f>
        <v/>
      </c>
    </row>
    <row r="149" ht="15.75" customHeight="1" s="169">
      <c r="A149" s="15">
        <f>IFERROR(__xludf.DUMMYFUNCTION("""COMPUTED_VALUE"""),148.0)</f>
        <v/>
      </c>
      <c r="B149" s="28">
        <f>IFERROR(__xludf.DUMMYFUNCTION("""COMPUTED_VALUE"""),3.28000381E8)</f>
        <v/>
      </c>
      <c r="C149" s="28">
        <f>IFERROR(__xludf.DUMMYFUNCTION("""COMPUTED_VALUE"""),"ELVHIRA SATYA PASHA")</f>
        <v/>
      </c>
      <c r="D149" s="175">
        <f>IFERROR(__xludf.DUMMYFUNCTION("""COMPUTED_VALUE"""),"PACKER")</f>
        <v/>
      </c>
      <c r="E149" s="28">
        <f>IFERROR(__xludf.DUMMYFUNCTION("""COMPUTED_VALUE"""),"PRODUCTION")</f>
        <v/>
      </c>
    </row>
    <row r="150" ht="15.75" customHeight="1" s="169">
      <c r="A150" s="15">
        <f>IFERROR(__xludf.DUMMYFUNCTION("""COMPUTED_VALUE"""),149.0)</f>
        <v/>
      </c>
      <c r="B150" s="28">
        <f>IFERROR(__xludf.DUMMYFUNCTION("""COMPUTED_VALUE"""),3.28000383E8)</f>
        <v/>
      </c>
      <c r="C150" s="28">
        <f>IFERROR(__xludf.DUMMYFUNCTION("""COMPUTED_VALUE"""),"NAYLA DHEA PUTRI")</f>
        <v/>
      </c>
      <c r="D150" s="175">
        <f>IFERROR(__xludf.DUMMYFUNCTION("""COMPUTED_VALUE"""),"PACKER")</f>
        <v/>
      </c>
      <c r="E150" s="28">
        <f>IFERROR(__xludf.DUMMYFUNCTION("""COMPUTED_VALUE"""),"PRODUCTION")</f>
        <v/>
      </c>
    </row>
    <row r="151" ht="15.75" customHeight="1" s="169">
      <c r="A151" s="15">
        <f>IFERROR(__xludf.DUMMYFUNCTION("""COMPUTED_VALUE"""),150.0)</f>
        <v/>
      </c>
      <c r="B151" s="28">
        <f>IFERROR(__xludf.DUMMYFUNCTION("""COMPUTED_VALUE"""),3.28000384E8)</f>
        <v/>
      </c>
      <c r="C151" s="28">
        <f>IFERROR(__xludf.DUMMYFUNCTION("""COMPUTED_VALUE"""),"ANGGI AULIA")</f>
        <v/>
      </c>
      <c r="D151" s="175">
        <f>IFERROR(__xludf.DUMMYFUNCTION("""COMPUTED_VALUE"""),"PACKER")</f>
        <v/>
      </c>
      <c r="E151" s="28">
        <f>IFERROR(__xludf.DUMMYFUNCTION("""COMPUTED_VALUE"""),"PRODUCTION")</f>
        <v/>
      </c>
    </row>
    <row r="152" ht="15.75" customHeight="1" s="169">
      <c r="A152" s="15">
        <f>IFERROR(__xludf.DUMMYFUNCTION("""COMPUTED_VALUE"""),151.0)</f>
        <v/>
      </c>
      <c r="B152" s="28">
        <f>IFERROR(__xludf.DUMMYFUNCTION("""COMPUTED_VALUE"""),3.28000385E8)</f>
        <v/>
      </c>
      <c r="C152" s="28">
        <f>IFERROR(__xludf.DUMMYFUNCTION("""COMPUTED_VALUE"""),"IKE YULIANTI PUTRI")</f>
        <v/>
      </c>
      <c r="D152" s="175">
        <f>IFERROR(__xludf.DUMMYFUNCTION("""COMPUTED_VALUE"""),"PACKER")</f>
        <v/>
      </c>
      <c r="E152" s="28">
        <f>IFERROR(__xludf.DUMMYFUNCTION("""COMPUTED_VALUE"""),"PRODUCTION")</f>
        <v/>
      </c>
    </row>
    <row r="153" ht="15.75" customHeight="1" s="169">
      <c r="A153" s="15">
        <f>IFERROR(__xludf.DUMMYFUNCTION("""COMPUTED_VALUE"""),152.0)</f>
        <v/>
      </c>
      <c r="B153" s="28">
        <f>IFERROR(__xludf.DUMMYFUNCTION("""COMPUTED_VALUE"""),3.28000388E8)</f>
        <v/>
      </c>
      <c r="C153" s="28">
        <f>IFERROR(__xludf.DUMMYFUNCTION("""COMPUTED_VALUE"""),"ENDAH SARI")</f>
        <v/>
      </c>
      <c r="D153" s="175">
        <f>IFERROR(__xludf.DUMMYFUNCTION("""COMPUTED_VALUE"""),"PACKER")</f>
        <v/>
      </c>
      <c r="E153" s="28">
        <f>IFERROR(__xludf.DUMMYFUNCTION("""COMPUTED_VALUE"""),"PRODUCTION")</f>
        <v/>
      </c>
    </row>
    <row r="154" ht="15.75" customHeight="1" s="169">
      <c r="A154" s="15">
        <f>IFERROR(__xludf.DUMMYFUNCTION("""COMPUTED_VALUE"""),153.0)</f>
        <v/>
      </c>
      <c r="B154" s="28">
        <f>IFERROR(__xludf.DUMMYFUNCTION("""COMPUTED_VALUE"""),3.28000391E8)</f>
        <v/>
      </c>
      <c r="C154" s="28">
        <f>IFERROR(__xludf.DUMMYFUNCTION("""COMPUTED_VALUE"""),"RANGGA ADITYA")</f>
        <v/>
      </c>
      <c r="D154" s="175">
        <f>IFERROR(__xludf.DUMMYFUNCTION("""COMPUTED_VALUE"""),"CHECKER")</f>
        <v/>
      </c>
      <c r="E154" s="28">
        <f>IFERROR(__xludf.DUMMYFUNCTION("""COMPUTED_VALUE"""),"LOGISTIC")</f>
        <v/>
      </c>
    </row>
    <row r="155" ht="15.75" customHeight="1" s="169">
      <c r="A155" s="15">
        <f>IFERROR(__xludf.DUMMYFUNCTION("""COMPUTED_VALUE"""),154.0)</f>
        <v/>
      </c>
      <c r="B155" s="28">
        <f>IFERROR(__xludf.DUMMYFUNCTION("""COMPUTED_VALUE"""),3.28000393E8)</f>
        <v/>
      </c>
      <c r="C155" s="28">
        <f>IFERROR(__xludf.DUMMYFUNCTION("""COMPUTED_VALUE"""),"INDRI YANI")</f>
        <v/>
      </c>
      <c r="D155" s="175">
        <f>IFERROR(__xludf.DUMMYFUNCTION("""COMPUTED_VALUE"""),"PACKER")</f>
        <v/>
      </c>
      <c r="E155" s="28">
        <f>IFERROR(__xludf.DUMMYFUNCTION("""COMPUTED_VALUE"""),"PRODUCTION")</f>
        <v/>
      </c>
    </row>
    <row r="156" ht="15.75" customHeight="1" s="169">
      <c r="A156" s="15">
        <f>IFERROR(__xludf.DUMMYFUNCTION("""COMPUTED_VALUE"""),155.0)</f>
        <v/>
      </c>
      <c r="B156" s="28">
        <f>IFERROR(__xludf.DUMMYFUNCTION("""COMPUTED_VALUE"""),3.28000395E8)</f>
        <v/>
      </c>
      <c r="C156" s="28">
        <f>IFERROR(__xludf.DUMMYFUNCTION("""COMPUTED_VALUE"""),"ANISA RAHMA AULIA")</f>
        <v/>
      </c>
      <c r="D156" s="175">
        <f>IFERROR(__xludf.DUMMYFUNCTION("""COMPUTED_VALUE"""),"PACKER")</f>
        <v/>
      </c>
      <c r="E156" s="28">
        <f>IFERROR(__xludf.DUMMYFUNCTION("""COMPUTED_VALUE"""),"PRODUCTION")</f>
        <v/>
      </c>
    </row>
    <row r="157" ht="15.75" customHeight="1" s="169">
      <c r="A157" s="15">
        <f>IFERROR(__xludf.DUMMYFUNCTION("""COMPUTED_VALUE"""),156.0)</f>
        <v/>
      </c>
      <c r="B157" s="28">
        <f>IFERROR(__xludf.DUMMYFUNCTION("""COMPUTED_VALUE"""),3.28000397E8)</f>
        <v/>
      </c>
      <c r="C157" s="28">
        <f>IFERROR(__xludf.DUMMYFUNCTION("""COMPUTED_VALUE"""),"DEA FUSPITA")</f>
        <v/>
      </c>
      <c r="D157" s="175">
        <f>IFERROR(__xludf.DUMMYFUNCTION("""COMPUTED_VALUE"""),"PACKER")</f>
        <v/>
      </c>
      <c r="E157" s="28">
        <f>IFERROR(__xludf.DUMMYFUNCTION("""COMPUTED_VALUE"""),"PRODUCTION")</f>
        <v/>
      </c>
    </row>
    <row r="158" ht="15.75" customHeight="1" s="169">
      <c r="A158" s="15">
        <f>IFERROR(__xludf.DUMMYFUNCTION("""COMPUTED_VALUE"""),157.0)</f>
        <v/>
      </c>
      <c r="B158" s="28">
        <f>IFERROR(__xludf.DUMMYFUNCTION("""COMPUTED_VALUE"""),3.28000399E8)</f>
        <v/>
      </c>
      <c r="C158" s="28">
        <f>IFERROR(__xludf.DUMMYFUNCTION("""COMPUTED_VALUE"""),"FITRI ANDRIANI")</f>
        <v/>
      </c>
      <c r="D158" s="175">
        <f>IFERROR(__xludf.DUMMYFUNCTION("""COMPUTED_VALUE"""),"PACKER")</f>
        <v/>
      </c>
      <c r="E158" s="28">
        <f>IFERROR(__xludf.DUMMYFUNCTION("""COMPUTED_VALUE"""),"PRODUCTION")</f>
        <v/>
      </c>
    </row>
    <row r="159" ht="15.75" customHeight="1" s="169">
      <c r="A159" s="15">
        <f>IFERROR(__xludf.DUMMYFUNCTION("""COMPUTED_VALUE"""),158.0)</f>
        <v/>
      </c>
      <c r="B159" s="28">
        <f>IFERROR(__xludf.DUMMYFUNCTION("""COMPUTED_VALUE"""),3.280004E8)</f>
        <v/>
      </c>
      <c r="C159" s="28">
        <f>IFERROR(__xludf.DUMMYFUNCTION("""COMPUTED_VALUE"""),"M KARSIM SEPTIAN")</f>
        <v/>
      </c>
      <c r="D159" s="175">
        <f>IFERROR(__xludf.DUMMYFUNCTION("""COMPUTED_VALUE"""),"PACKER")</f>
        <v/>
      </c>
      <c r="E159" s="28">
        <f>IFERROR(__xludf.DUMMYFUNCTION("""COMPUTED_VALUE"""),"PRODUCTION")</f>
        <v/>
      </c>
    </row>
    <row r="160" ht="15.75" customHeight="1" s="169">
      <c r="A160" s="15">
        <f>IFERROR(__xludf.DUMMYFUNCTION("""COMPUTED_VALUE"""),159.0)</f>
        <v/>
      </c>
      <c r="B160" s="28">
        <f>IFERROR(__xludf.DUMMYFUNCTION("""COMPUTED_VALUE"""),3.28000402E8)</f>
        <v/>
      </c>
      <c r="C160" s="28">
        <f>IFERROR(__xludf.DUMMYFUNCTION("""COMPUTED_VALUE"""),"HASANAH")</f>
        <v/>
      </c>
      <c r="D160" s="175">
        <f>IFERROR(__xludf.DUMMYFUNCTION("""COMPUTED_VALUE"""),"PACKER")</f>
        <v/>
      </c>
      <c r="E160" s="28">
        <f>IFERROR(__xludf.DUMMYFUNCTION("""COMPUTED_VALUE"""),"PRODUCTION")</f>
        <v/>
      </c>
    </row>
    <row r="161" ht="15.75" customHeight="1" s="169">
      <c r="A161" s="15">
        <f>IFERROR(__xludf.DUMMYFUNCTION("""COMPUTED_VALUE"""),160.0)</f>
        <v/>
      </c>
      <c r="B161" s="28">
        <f>IFERROR(__xludf.DUMMYFUNCTION("""COMPUTED_VALUE"""),3.28000403E8)</f>
        <v/>
      </c>
      <c r="C161" s="28">
        <f>IFERROR(__xludf.DUMMYFUNCTION("""COMPUTED_VALUE"""),"FITRI NURAENI")</f>
        <v/>
      </c>
      <c r="D161" s="175">
        <f>IFERROR(__xludf.DUMMYFUNCTION("""COMPUTED_VALUE"""),"PACKER")</f>
        <v/>
      </c>
      <c r="E161" s="28">
        <f>IFERROR(__xludf.DUMMYFUNCTION("""COMPUTED_VALUE"""),"PRODUCTION")</f>
        <v/>
      </c>
    </row>
    <row r="162" ht="15.75" customHeight="1" s="169">
      <c r="A162" s="15">
        <f>IFERROR(__xludf.DUMMYFUNCTION("""COMPUTED_VALUE"""),161.0)</f>
        <v/>
      </c>
      <c r="B162" s="28">
        <f>IFERROR(__xludf.DUMMYFUNCTION("""COMPUTED_VALUE"""),3.28000404E8)</f>
        <v/>
      </c>
      <c r="C162" s="28">
        <f>IFERROR(__xludf.DUMMYFUNCTION("""COMPUTED_VALUE"""),"NOVI SAFIRA PUTRI")</f>
        <v/>
      </c>
      <c r="D162" s="175">
        <f>IFERROR(__xludf.DUMMYFUNCTION("""COMPUTED_VALUE"""),"PACKER")</f>
        <v/>
      </c>
      <c r="E162" s="28">
        <f>IFERROR(__xludf.DUMMYFUNCTION("""COMPUTED_VALUE"""),"PRODUCTION")</f>
        <v/>
      </c>
    </row>
    <row r="163" ht="15.75" customHeight="1" s="169">
      <c r="A163" s="15">
        <f>IFERROR(__xludf.DUMMYFUNCTION("""COMPUTED_VALUE"""),162.0)</f>
        <v/>
      </c>
      <c r="B163" s="28">
        <f>IFERROR(__xludf.DUMMYFUNCTION("""COMPUTED_VALUE"""),3.28000405E8)</f>
        <v/>
      </c>
      <c r="C163" s="28">
        <f>IFERROR(__xludf.DUMMYFUNCTION("""COMPUTED_VALUE"""),"ANNISA AZI PRASETYANI")</f>
        <v/>
      </c>
      <c r="D163" s="175">
        <f>IFERROR(__xludf.DUMMYFUNCTION("""COMPUTED_VALUE"""),"PACKER")</f>
        <v/>
      </c>
      <c r="E163" s="28">
        <f>IFERROR(__xludf.DUMMYFUNCTION("""COMPUTED_VALUE"""),"PRODUCTION")</f>
        <v/>
      </c>
    </row>
    <row r="164" ht="15.75" customHeight="1" s="169">
      <c r="A164" s="15">
        <f>IFERROR(__xludf.DUMMYFUNCTION("""COMPUTED_VALUE"""),163.0)</f>
        <v/>
      </c>
      <c r="B164" s="28">
        <f>IFERROR(__xludf.DUMMYFUNCTION("""COMPUTED_VALUE"""),3.28000406E8)</f>
        <v/>
      </c>
      <c r="C164" s="28">
        <f>IFERROR(__xludf.DUMMYFUNCTION("""COMPUTED_VALUE"""),"FIRLIE NURFEBRIANY FIRMANSYAH")</f>
        <v/>
      </c>
      <c r="D164" s="175">
        <f>IFERROR(__xludf.DUMMYFUNCTION("""COMPUTED_VALUE"""),"PACKER")</f>
        <v/>
      </c>
      <c r="E164" s="28">
        <f>IFERROR(__xludf.DUMMYFUNCTION("""COMPUTED_VALUE"""),"PRODUCTION")</f>
        <v/>
      </c>
    </row>
    <row r="165" ht="15.75" customHeight="1" s="169">
      <c r="A165" s="15">
        <f>IFERROR(__xludf.DUMMYFUNCTION("""COMPUTED_VALUE"""),164.0)</f>
        <v/>
      </c>
      <c r="B165" s="28">
        <f>IFERROR(__xludf.DUMMYFUNCTION("""COMPUTED_VALUE"""),3.28000407E8)</f>
        <v/>
      </c>
      <c r="C165" s="28">
        <f>IFERROR(__xludf.DUMMYFUNCTION("""COMPUTED_VALUE"""),"HERMALIANTI RAHAYU")</f>
        <v/>
      </c>
      <c r="D165" s="175">
        <f>IFERROR(__xludf.DUMMYFUNCTION("""COMPUTED_VALUE"""),"PACKER")</f>
        <v/>
      </c>
      <c r="E165" s="28">
        <f>IFERROR(__xludf.DUMMYFUNCTION("""COMPUTED_VALUE"""),"PRODUCTION")</f>
        <v/>
      </c>
    </row>
    <row r="166" ht="15.75" customHeight="1" s="169">
      <c r="A166" s="15">
        <f>IFERROR(__xludf.DUMMYFUNCTION("""COMPUTED_VALUE"""),165.0)</f>
        <v/>
      </c>
      <c r="B166" s="28">
        <f>IFERROR(__xludf.DUMMYFUNCTION("""COMPUTED_VALUE"""),3.28000409E8)</f>
        <v/>
      </c>
      <c r="C166" s="28">
        <f>IFERROR(__xludf.DUMMYFUNCTION("""COMPUTED_VALUE"""),"SUHENDI ")</f>
        <v/>
      </c>
      <c r="D166" s="175">
        <f>IFERROR(__xludf.DUMMYFUNCTION("""COMPUTED_VALUE"""),"OPERATOR FORKLIFT")</f>
        <v/>
      </c>
      <c r="E166" s="28">
        <f>IFERROR(__xludf.DUMMYFUNCTION("""COMPUTED_VALUE"""),"LOGISTIC")</f>
        <v/>
      </c>
    </row>
    <row r="167" ht="15.75" customHeight="1" s="169">
      <c r="A167" s="15">
        <f>IFERROR(__xludf.DUMMYFUNCTION("""COMPUTED_VALUE"""),166.0)</f>
        <v/>
      </c>
      <c r="B167" s="28">
        <f>IFERROR(__xludf.DUMMYFUNCTION("""COMPUTED_VALUE"""),3.2800041E8)</f>
        <v/>
      </c>
      <c r="C167" s="28">
        <f>IFERROR(__xludf.DUMMYFUNCTION("""COMPUTED_VALUE"""),"KELVIN FEBRIANSYAH")</f>
        <v/>
      </c>
      <c r="D167" s="175">
        <f>IFERROR(__xludf.DUMMYFUNCTION("""COMPUTED_VALUE"""),"PACKER")</f>
        <v/>
      </c>
      <c r="E167" s="28">
        <f>IFERROR(__xludf.DUMMYFUNCTION("""COMPUTED_VALUE"""),"PRODUCTION")</f>
        <v/>
      </c>
    </row>
    <row r="168" ht="15.75" customHeight="1" s="169">
      <c r="A168" s="15">
        <f>IFERROR(__xludf.DUMMYFUNCTION("""COMPUTED_VALUE"""),167.0)</f>
        <v/>
      </c>
      <c r="B168" s="28">
        <f>IFERROR(__xludf.DUMMYFUNCTION("""COMPUTED_VALUE"""),3.28000412E8)</f>
        <v/>
      </c>
      <c r="C168" s="28">
        <f>IFERROR(__xludf.DUMMYFUNCTION("""COMPUTED_VALUE"""),"SYFA OCTAPIA RAMADANI")</f>
        <v/>
      </c>
      <c r="D168" s="175">
        <f>IFERROR(__xludf.DUMMYFUNCTION("""COMPUTED_VALUE"""),"PACKER")</f>
        <v/>
      </c>
      <c r="E168" s="28">
        <f>IFERROR(__xludf.DUMMYFUNCTION("""COMPUTED_VALUE"""),"PRODUCTION")</f>
        <v/>
      </c>
    </row>
    <row r="169" ht="15.75" customHeight="1" s="169">
      <c r="A169" s="15">
        <f>IFERROR(__xludf.DUMMYFUNCTION("""COMPUTED_VALUE"""),168.0)</f>
        <v/>
      </c>
      <c r="B169" s="28">
        <f>IFERROR(__xludf.DUMMYFUNCTION("""COMPUTED_VALUE"""),3.28000413E8)</f>
        <v/>
      </c>
      <c r="C169" s="28">
        <f>IFERROR(__xludf.DUMMYFUNCTION("""COMPUTED_VALUE"""),"RICKY SEPTIAN NURDIN")</f>
        <v/>
      </c>
      <c r="D169" s="175">
        <f>IFERROR(__xludf.DUMMYFUNCTION("""COMPUTED_VALUE"""),"PACKER")</f>
        <v/>
      </c>
      <c r="E169" s="28">
        <f>IFERROR(__xludf.DUMMYFUNCTION("""COMPUTED_VALUE"""),"PRODUCTION")</f>
        <v/>
      </c>
    </row>
    <row r="170" ht="15.75" customHeight="1" s="169">
      <c r="A170" s="15">
        <f>IFERROR(__xludf.DUMMYFUNCTION("""COMPUTED_VALUE"""),169.0)</f>
        <v/>
      </c>
      <c r="B170" s="28">
        <f>IFERROR(__xludf.DUMMYFUNCTION("""COMPUTED_VALUE"""),3.28000416E8)</f>
        <v/>
      </c>
      <c r="C170" s="28">
        <f>IFERROR(__xludf.DUMMYFUNCTION("""COMPUTED_VALUE"""),"AHMAD RAMDANI")</f>
        <v/>
      </c>
      <c r="D170" s="175">
        <f>IFERROR(__xludf.DUMMYFUNCTION("""COMPUTED_VALUE"""),"PACKER")</f>
        <v/>
      </c>
      <c r="E170" s="28">
        <f>IFERROR(__xludf.DUMMYFUNCTION("""COMPUTED_VALUE"""),"PRODUCTION")</f>
        <v/>
      </c>
    </row>
    <row r="171" ht="15.75" customHeight="1" s="169">
      <c r="A171" s="15">
        <f>IFERROR(__xludf.DUMMYFUNCTION("""COMPUTED_VALUE"""),170.0)</f>
        <v/>
      </c>
      <c r="B171" s="28">
        <f>IFERROR(__xludf.DUMMYFUNCTION("""COMPUTED_VALUE"""),3.28000417E8)</f>
        <v/>
      </c>
      <c r="C171" s="28">
        <f>IFERROR(__xludf.DUMMYFUNCTION("""COMPUTED_VALUE"""),"RAJA ADITIA")</f>
        <v/>
      </c>
      <c r="D171" s="175">
        <f>IFERROR(__xludf.DUMMYFUNCTION("""COMPUTED_VALUE"""),"PACKER")</f>
        <v/>
      </c>
      <c r="E171" s="28">
        <f>IFERROR(__xludf.DUMMYFUNCTION("""COMPUTED_VALUE"""),"PRODUCTION")</f>
        <v/>
      </c>
    </row>
    <row r="172" ht="15.75" customHeight="1" s="169">
      <c r="A172" s="15">
        <f>IFERROR(__xludf.DUMMYFUNCTION("""COMPUTED_VALUE"""),171.0)</f>
        <v/>
      </c>
      <c r="B172" s="28">
        <f>IFERROR(__xludf.DUMMYFUNCTION("""COMPUTED_VALUE"""),3.28000418E8)</f>
        <v/>
      </c>
      <c r="C172" s="28">
        <f>IFERROR(__xludf.DUMMYFUNCTION("""COMPUTED_VALUE"""),"LIA AGUSTIN")</f>
        <v/>
      </c>
      <c r="D172" s="175">
        <f>IFERROR(__xludf.DUMMYFUNCTION("""COMPUTED_VALUE"""),"QC PRODUKSI")</f>
        <v/>
      </c>
      <c r="E172" s="28">
        <f>IFERROR(__xludf.DUMMYFUNCTION("""COMPUTED_VALUE"""),"QUALITY AND RESEARCH &amp; DEVELOPMENT")</f>
        <v/>
      </c>
    </row>
    <row r="173" ht="15.75" customHeight="1" s="169">
      <c r="A173" s="15">
        <f>IFERROR(__xludf.DUMMYFUNCTION("""COMPUTED_VALUE"""),172.0)</f>
        <v/>
      </c>
      <c r="B173" s="28">
        <f>IFERROR(__xludf.DUMMYFUNCTION("""COMPUTED_VALUE"""),3.28000419E8)</f>
        <v/>
      </c>
      <c r="C173" s="28">
        <f>IFERROR(__xludf.DUMMYFUNCTION("""COMPUTED_VALUE"""),"CECEP  SUKMA WIJAYA")</f>
        <v/>
      </c>
      <c r="D173" s="175">
        <f>IFERROR(__xludf.DUMMYFUNCTION("""COMPUTED_VALUE"""),"OPERATOR FORKLIFT")</f>
        <v/>
      </c>
      <c r="E173" s="28">
        <f>IFERROR(__xludf.DUMMYFUNCTION("""COMPUTED_VALUE"""),"LOGISTIC")</f>
        <v/>
      </c>
    </row>
    <row r="174" ht="15.75" customHeight="1" s="169">
      <c r="A174" s="15">
        <f>IFERROR(__xludf.DUMMYFUNCTION("""COMPUTED_VALUE"""),173.0)</f>
        <v/>
      </c>
      <c r="B174" s="28">
        <f>IFERROR(__xludf.DUMMYFUNCTION("""COMPUTED_VALUE"""),3.2800042E8)</f>
        <v/>
      </c>
      <c r="C174" s="28">
        <f>IFERROR(__xludf.DUMMYFUNCTION("""COMPUTED_VALUE"""),"ISNI HANDAYANI")</f>
        <v/>
      </c>
      <c r="D174" s="175">
        <f>IFERROR(__xludf.DUMMYFUNCTION("""COMPUTED_VALUE"""),"PACKER")</f>
        <v/>
      </c>
      <c r="E174" s="28">
        <f>IFERROR(__xludf.DUMMYFUNCTION("""COMPUTED_VALUE"""),"PRODUCTION")</f>
        <v/>
      </c>
    </row>
    <row r="175" ht="15.75" customHeight="1" s="169">
      <c r="A175" s="15">
        <f>IFERROR(__xludf.DUMMYFUNCTION("""COMPUTED_VALUE"""),174.0)</f>
        <v/>
      </c>
      <c r="B175" s="28">
        <f>IFERROR(__xludf.DUMMYFUNCTION("""COMPUTED_VALUE"""),3.28000421E8)</f>
        <v/>
      </c>
      <c r="C175" s="28">
        <f>IFERROR(__xludf.DUMMYFUNCTION("""COMPUTED_VALUE"""),"DEA AMELIA")</f>
        <v/>
      </c>
      <c r="D175" s="175">
        <f>IFERROR(__xludf.DUMMYFUNCTION("""COMPUTED_VALUE"""),"PACKER")</f>
        <v/>
      </c>
      <c r="E175" s="28">
        <f>IFERROR(__xludf.DUMMYFUNCTION("""COMPUTED_VALUE"""),"PRODUCTION")</f>
        <v/>
      </c>
    </row>
    <row r="176" ht="15.75" customHeight="1" s="169">
      <c r="A176" s="15">
        <f>IFERROR(__xludf.DUMMYFUNCTION("""COMPUTED_VALUE"""),175.0)</f>
        <v/>
      </c>
      <c r="B176" s="28">
        <f>IFERROR(__xludf.DUMMYFUNCTION("""COMPUTED_VALUE"""),3.28000422E8)</f>
        <v/>
      </c>
      <c r="C176" s="28">
        <f>IFERROR(__xludf.DUMMYFUNCTION("""COMPUTED_VALUE"""),"KEVIN PRAKOSO")</f>
        <v/>
      </c>
      <c r="D176" s="175">
        <f>IFERROR(__xludf.DUMMYFUNCTION("""COMPUTED_VALUE"""),"PACKER")</f>
        <v/>
      </c>
      <c r="E176" s="28">
        <f>IFERROR(__xludf.DUMMYFUNCTION("""COMPUTED_VALUE"""),"PRODUCTION")</f>
        <v/>
      </c>
    </row>
    <row r="177" ht="15.75" customHeight="1" s="169">
      <c r="A177" s="15">
        <f>IFERROR(__xludf.DUMMYFUNCTION("""COMPUTED_VALUE"""),176.0)</f>
        <v/>
      </c>
      <c r="B177" s="28">
        <f>IFERROR(__xludf.DUMMYFUNCTION("""COMPUTED_VALUE"""),3.28000423E8)</f>
        <v/>
      </c>
      <c r="C177" s="28">
        <f>IFERROR(__xludf.DUMMYFUNCTION("""COMPUTED_VALUE"""),"FACHMI CHOERUL IMAN")</f>
        <v/>
      </c>
      <c r="D177" s="175">
        <f>IFERROR(__xludf.DUMMYFUNCTION("""COMPUTED_VALUE"""),"PACKER")</f>
        <v/>
      </c>
      <c r="E177" s="28">
        <f>IFERROR(__xludf.DUMMYFUNCTION("""COMPUTED_VALUE"""),"PRODUCTION")</f>
        <v/>
      </c>
    </row>
    <row r="178" ht="15.75" customHeight="1" s="169">
      <c r="A178" s="15">
        <f>IFERROR(__xludf.DUMMYFUNCTION("""COMPUTED_VALUE"""),177.0)</f>
        <v/>
      </c>
      <c r="B178" s="28">
        <f>IFERROR(__xludf.DUMMYFUNCTION("""COMPUTED_VALUE"""),3.28000424E8)</f>
        <v/>
      </c>
      <c r="C178" s="28">
        <f>IFERROR(__xludf.DUMMYFUNCTION("""COMPUTED_VALUE"""),"SHALSYA NURUL WAHYUDIN")</f>
        <v/>
      </c>
      <c r="D178" s="175">
        <f>IFERROR(__xludf.DUMMYFUNCTION("""COMPUTED_VALUE"""),"PACKER")</f>
        <v/>
      </c>
      <c r="E178" s="28">
        <f>IFERROR(__xludf.DUMMYFUNCTION("""COMPUTED_VALUE"""),"PRODUCTION")</f>
        <v/>
      </c>
    </row>
    <row r="179" ht="15.75" customHeight="1" s="169">
      <c r="A179" s="15">
        <f>IFERROR(__xludf.DUMMYFUNCTION("""COMPUTED_VALUE"""),178.0)</f>
        <v/>
      </c>
      <c r="B179" s="28">
        <f>IFERROR(__xludf.DUMMYFUNCTION("""COMPUTED_VALUE"""),3.28000425E8)</f>
        <v/>
      </c>
      <c r="C179" s="28">
        <f>IFERROR(__xludf.DUMMYFUNCTION("""COMPUTED_VALUE"""),"PRIYANTO SANDIKA")</f>
        <v/>
      </c>
      <c r="D179" s="175">
        <f>IFERROR(__xludf.DUMMYFUNCTION("""COMPUTED_VALUE"""),"PACKER")</f>
        <v/>
      </c>
      <c r="E179" s="28">
        <f>IFERROR(__xludf.DUMMYFUNCTION("""COMPUTED_VALUE"""),"PRODUCTION")</f>
        <v/>
      </c>
    </row>
    <row r="180" ht="15.75" customHeight="1" s="169">
      <c r="A180" s="15">
        <f>IFERROR(__xludf.DUMMYFUNCTION("""COMPUTED_VALUE"""),179.0)</f>
        <v/>
      </c>
      <c r="B180" s="28">
        <f>IFERROR(__xludf.DUMMYFUNCTION("""COMPUTED_VALUE"""),3.28000426E8)</f>
        <v/>
      </c>
      <c r="C180" s="28">
        <f>IFERROR(__xludf.DUMMYFUNCTION("""COMPUTED_VALUE"""),"NURSARI")</f>
        <v/>
      </c>
      <c r="D180" s="175">
        <f>IFERROR(__xludf.DUMMYFUNCTION("""COMPUTED_VALUE"""),"PACKER")</f>
        <v/>
      </c>
      <c r="E180" s="28">
        <f>IFERROR(__xludf.DUMMYFUNCTION("""COMPUTED_VALUE"""),"PRODUCTION")</f>
        <v/>
      </c>
    </row>
    <row r="181" ht="15.75" customHeight="1" s="169">
      <c r="A181" s="15">
        <f>IFERROR(__xludf.DUMMYFUNCTION("""COMPUTED_VALUE"""),180.0)</f>
        <v/>
      </c>
      <c r="B181" s="28">
        <f>IFERROR(__xludf.DUMMYFUNCTION("""COMPUTED_VALUE"""),3.28000427E8)</f>
        <v/>
      </c>
      <c r="C181" s="28">
        <f>IFERROR(__xludf.DUMMYFUNCTION("""COMPUTED_VALUE"""),"RIZKY MUHAMAD REYHAN")</f>
        <v/>
      </c>
      <c r="D181" s="175">
        <f>IFERROR(__xludf.DUMMYFUNCTION("""COMPUTED_VALUE"""),"PACKER")</f>
        <v/>
      </c>
      <c r="E181" s="28">
        <f>IFERROR(__xludf.DUMMYFUNCTION("""COMPUTED_VALUE"""),"PRODUCTION")</f>
        <v/>
      </c>
    </row>
    <row r="182" ht="15.75" customHeight="1" s="169">
      <c r="A182" s="15">
        <f>IFERROR(__xludf.DUMMYFUNCTION("""COMPUTED_VALUE"""),181.0)</f>
        <v/>
      </c>
      <c r="B182" s="28">
        <f>IFERROR(__xludf.DUMMYFUNCTION("""COMPUTED_VALUE"""),3.28000428E8)</f>
        <v/>
      </c>
      <c r="C182" s="28">
        <f>IFERROR(__xludf.DUMMYFUNCTION("""COMPUTED_VALUE"""),"ILLAH NUR FADILLAH")</f>
        <v/>
      </c>
      <c r="D182" s="175">
        <f>IFERROR(__xludf.DUMMYFUNCTION("""COMPUTED_VALUE"""),"PACKER")</f>
        <v/>
      </c>
      <c r="E182" s="28">
        <f>IFERROR(__xludf.DUMMYFUNCTION("""COMPUTED_VALUE"""),"PRODUCTION")</f>
        <v/>
      </c>
    </row>
    <row r="183" ht="15.75" customHeight="1" s="169">
      <c r="A183" s="15">
        <f>IFERROR(__xludf.DUMMYFUNCTION("""COMPUTED_VALUE"""),182.0)</f>
        <v/>
      </c>
      <c r="B183" s="28">
        <f>IFERROR(__xludf.DUMMYFUNCTION("""COMPUTED_VALUE"""),3.28000429E8)</f>
        <v/>
      </c>
      <c r="C183" s="28">
        <f>IFERROR(__xludf.DUMMYFUNCTION("""COMPUTED_VALUE"""),"FAIDAH ARRASID")</f>
        <v/>
      </c>
      <c r="D183" s="175">
        <f>IFERROR(__xludf.DUMMYFUNCTION("""COMPUTED_VALUE"""),"PACKER")</f>
        <v/>
      </c>
      <c r="E183" s="28">
        <f>IFERROR(__xludf.DUMMYFUNCTION("""COMPUTED_VALUE"""),"PRODUCTION")</f>
        <v/>
      </c>
    </row>
    <row r="184" ht="15.75" customHeight="1" s="169">
      <c r="A184" s="15">
        <f>IFERROR(__xludf.DUMMYFUNCTION("""COMPUTED_VALUE"""),183.0)</f>
        <v/>
      </c>
      <c r="B184" s="28">
        <f>IFERROR(__xludf.DUMMYFUNCTION("""COMPUTED_VALUE"""),3.28000432E8)</f>
        <v/>
      </c>
      <c r="C184" s="28">
        <f>IFERROR(__xludf.DUMMYFUNCTION("""COMPUTED_VALUE"""),"FEBRI AGUSTIN ")</f>
        <v/>
      </c>
      <c r="D184" s="175">
        <f>IFERROR(__xludf.DUMMYFUNCTION("""COMPUTED_VALUE"""),"PACKER")</f>
        <v/>
      </c>
      <c r="E184" s="28">
        <f>IFERROR(__xludf.DUMMYFUNCTION("""COMPUTED_VALUE"""),"PRODUCTION")</f>
        <v/>
      </c>
    </row>
    <row r="185" ht="15.75" customHeight="1" s="169">
      <c r="A185" s="15">
        <f>IFERROR(__xludf.DUMMYFUNCTION("""COMPUTED_VALUE"""),184.0)</f>
        <v/>
      </c>
      <c r="B185" s="28">
        <f>IFERROR(__xludf.DUMMYFUNCTION("""COMPUTED_VALUE"""),3.28000433E8)</f>
        <v/>
      </c>
      <c r="C185" s="28">
        <f>IFERROR(__xludf.DUMMYFUNCTION("""COMPUTED_VALUE"""),"TYSA AYU AMELIA")</f>
        <v/>
      </c>
      <c r="D185" s="175">
        <f>IFERROR(__xludf.DUMMYFUNCTION("""COMPUTED_VALUE"""),"PACKER")</f>
        <v/>
      </c>
      <c r="E185" s="28">
        <f>IFERROR(__xludf.DUMMYFUNCTION("""COMPUTED_VALUE"""),"PRODUCTION")</f>
        <v/>
      </c>
    </row>
    <row r="186" ht="15.75" customHeight="1" s="169">
      <c r="A186" s="15">
        <f>IFERROR(__xludf.DUMMYFUNCTION("""COMPUTED_VALUE"""),185.0)</f>
        <v/>
      </c>
      <c r="B186" s="28">
        <f>IFERROR(__xludf.DUMMYFUNCTION("""COMPUTED_VALUE"""),3.28000435E8)</f>
        <v/>
      </c>
      <c r="C186" s="28">
        <f>IFERROR(__xludf.DUMMYFUNCTION("""COMPUTED_VALUE"""),"M RIZAL RAMDANI")</f>
        <v/>
      </c>
      <c r="D186" s="175">
        <f>IFERROR(__xludf.DUMMYFUNCTION("""COMPUTED_VALUE"""),"MECHANICAL MACHINE MAINTENANCE")</f>
        <v/>
      </c>
      <c r="E186" s="28">
        <f>IFERROR(__xludf.DUMMYFUNCTION("""COMPUTED_VALUE"""),"ENGINEERING")</f>
        <v/>
      </c>
    </row>
    <row r="187" ht="15.75" customHeight="1" s="169">
      <c r="A187" s="15">
        <f>IFERROR(__xludf.DUMMYFUNCTION("""COMPUTED_VALUE"""),186.0)</f>
        <v/>
      </c>
      <c r="B187" s="28">
        <f>IFERROR(__xludf.DUMMYFUNCTION("""COMPUTED_VALUE"""),3.28000438E8)</f>
        <v/>
      </c>
      <c r="C187" s="28">
        <f>IFERROR(__xludf.DUMMYFUNCTION("""COMPUTED_VALUE"""),"WANDI ISMAYADI")</f>
        <v/>
      </c>
      <c r="D187" s="175">
        <f>IFERROR(__xludf.DUMMYFUNCTION("""COMPUTED_VALUE"""),"OPERATOR FORKLIFT")</f>
        <v/>
      </c>
      <c r="E187" s="28">
        <f>IFERROR(__xludf.DUMMYFUNCTION("""COMPUTED_VALUE"""),"LOGISTIC")</f>
        <v/>
      </c>
    </row>
    <row r="188" ht="15.75" customHeight="1" s="169">
      <c r="A188" s="15">
        <f>IFERROR(__xludf.DUMMYFUNCTION("""COMPUTED_VALUE"""),187.0)</f>
        <v/>
      </c>
      <c r="B188" s="28">
        <f>IFERROR(__xludf.DUMMYFUNCTION("""COMPUTED_VALUE"""),3.28000439E8)</f>
        <v/>
      </c>
      <c r="C188" s="28">
        <f>IFERROR(__xludf.DUMMYFUNCTION("""COMPUTED_VALUE"""),"DENI AZI PRASTYO")</f>
        <v/>
      </c>
      <c r="D188" s="175">
        <f>IFERROR(__xludf.DUMMYFUNCTION("""COMPUTED_VALUE"""),"PIC AREA")</f>
        <v/>
      </c>
      <c r="E188" s="28">
        <f>IFERROR(__xludf.DUMMYFUNCTION("""COMPUTED_VALUE"""),"LOGISTIC")</f>
        <v/>
      </c>
    </row>
    <row r="189" ht="15.75" customHeight="1" s="169">
      <c r="A189" s="15">
        <f>IFERROR(__xludf.DUMMYFUNCTION("""COMPUTED_VALUE"""),188.0)</f>
        <v/>
      </c>
      <c r="B189" s="28">
        <f>IFERROR(__xludf.DUMMYFUNCTION("""COMPUTED_VALUE"""),3.28000443E8)</f>
        <v/>
      </c>
      <c r="C189" s="28">
        <f>IFERROR(__xludf.DUMMYFUNCTION("""COMPUTED_VALUE"""),"ADIS SUPRIATNA")</f>
        <v/>
      </c>
      <c r="D189" s="175">
        <f>IFERROR(__xludf.DUMMYFUNCTION("""COMPUTED_VALUE"""),"ADMIN WFG")</f>
        <v/>
      </c>
      <c r="E189" s="28">
        <f>IFERROR(__xludf.DUMMYFUNCTION("""COMPUTED_VALUE"""),"LOGISTIC")</f>
        <v/>
      </c>
    </row>
    <row r="190" ht="15.75" customHeight="1" s="169">
      <c r="A190" s="15">
        <f>IFERROR(__xludf.DUMMYFUNCTION("""COMPUTED_VALUE"""),189.0)</f>
        <v/>
      </c>
      <c r="B190" s="28">
        <f>IFERROR(__xludf.DUMMYFUNCTION("""COMPUTED_VALUE"""),3.28000444E8)</f>
        <v/>
      </c>
      <c r="C190" s="28">
        <f>IFERROR(__xludf.DUMMYFUNCTION("""COMPUTED_VALUE"""),"DESI SILVIANA")</f>
        <v/>
      </c>
      <c r="D190" s="175">
        <f>IFERROR(__xludf.DUMMYFUNCTION("""COMPUTED_VALUE"""),"PACKER")</f>
        <v/>
      </c>
      <c r="E190" s="28">
        <f>IFERROR(__xludf.DUMMYFUNCTION("""COMPUTED_VALUE"""),"PRODUCTION")</f>
        <v/>
      </c>
    </row>
    <row r="191" ht="15.75" customHeight="1" s="169">
      <c r="A191" s="15">
        <f>IFERROR(__xludf.DUMMYFUNCTION("""COMPUTED_VALUE"""),190.0)</f>
        <v/>
      </c>
      <c r="B191" s="28">
        <f>IFERROR(__xludf.DUMMYFUNCTION("""COMPUTED_VALUE"""),3.28000445E8)</f>
        <v/>
      </c>
      <c r="C191" s="28">
        <f>IFERROR(__xludf.DUMMYFUNCTION("""COMPUTED_VALUE"""),"MUHAMAD FAJAR AROBAN")</f>
        <v/>
      </c>
      <c r="D191" s="175">
        <f>IFERROR(__xludf.DUMMYFUNCTION("""COMPUTED_VALUE"""),"PACKER")</f>
        <v/>
      </c>
      <c r="E191" s="28">
        <f>IFERROR(__xludf.DUMMYFUNCTION("""COMPUTED_VALUE"""),"PRODUCTION")</f>
        <v/>
      </c>
    </row>
    <row r="192" ht="15.75" customHeight="1" s="169">
      <c r="A192" s="15">
        <f>IFERROR(__xludf.DUMMYFUNCTION("""COMPUTED_VALUE"""),191.0)</f>
        <v/>
      </c>
      <c r="B192" s="28">
        <f>IFERROR(__xludf.DUMMYFUNCTION("""COMPUTED_VALUE"""),3.28000447E8)</f>
        <v/>
      </c>
      <c r="C192" s="28">
        <f>IFERROR(__xludf.DUMMYFUNCTION("""COMPUTED_VALUE"""),"NENG ROSDIANTI")</f>
        <v/>
      </c>
      <c r="D192" s="175">
        <f>IFERROR(__xludf.DUMMYFUNCTION("""COMPUTED_VALUE"""),"QC PRODUKSI")</f>
        <v/>
      </c>
      <c r="E192" s="28">
        <f>IFERROR(__xludf.DUMMYFUNCTION("""COMPUTED_VALUE"""),"QUALITY AND RESEARCH &amp; DEVELOPMENT")</f>
        <v/>
      </c>
    </row>
    <row r="193" ht="15.75" customHeight="1" s="169">
      <c r="A193" s="15">
        <f>IFERROR(__xludf.DUMMYFUNCTION("""COMPUTED_VALUE"""),192.0)</f>
        <v/>
      </c>
      <c r="B193" s="28">
        <f>IFERROR(__xludf.DUMMYFUNCTION("""COMPUTED_VALUE"""),3.2800045E8)</f>
        <v/>
      </c>
      <c r="C193" s="28">
        <f>IFERROR(__xludf.DUMMYFUNCTION("""COMPUTED_VALUE"""),"DANIEL AFRIJAL S.")</f>
        <v/>
      </c>
      <c r="D193" s="175">
        <f>IFERROR(__xludf.DUMMYFUNCTION("""COMPUTED_VALUE"""),"TECHNICIAN")</f>
        <v/>
      </c>
      <c r="E193" s="28">
        <f>IFERROR(__xludf.DUMMYFUNCTION("""COMPUTED_VALUE"""),"ENGINEERING")</f>
        <v/>
      </c>
    </row>
    <row r="194" ht="15.75" customHeight="1" s="169">
      <c r="A194" s="15">
        <f>IFERROR(__xludf.DUMMYFUNCTION("""COMPUTED_VALUE"""),193.0)</f>
        <v/>
      </c>
      <c r="B194" s="28">
        <f>IFERROR(__xludf.DUMMYFUNCTION("""COMPUTED_VALUE"""),3.28000452E8)</f>
        <v/>
      </c>
      <c r="C194" s="28">
        <f>IFERROR(__xludf.DUMMYFUNCTION("""COMPUTED_VALUE"""),"AYUNDA NOVITA SARI")</f>
        <v/>
      </c>
      <c r="D194" s="175">
        <f>IFERROR(__xludf.DUMMYFUNCTION("""COMPUTED_VALUE"""),"QC PRODUKSI")</f>
        <v/>
      </c>
      <c r="E194" s="28">
        <f>IFERROR(__xludf.DUMMYFUNCTION("""COMPUTED_VALUE"""),"QUALITY AND RESEARCH &amp; DEVELOPMENT")</f>
        <v/>
      </c>
    </row>
    <row r="195" ht="15.75" customHeight="1" s="169">
      <c r="A195" s="15">
        <f>IFERROR(__xludf.DUMMYFUNCTION("""COMPUTED_VALUE"""),194.0)</f>
        <v/>
      </c>
      <c r="B195" s="28">
        <f>IFERROR(__xludf.DUMMYFUNCTION("""COMPUTED_VALUE"""),3.28000453E8)</f>
        <v/>
      </c>
      <c r="C195" s="28">
        <f>IFERROR(__xludf.DUMMYFUNCTION("""COMPUTED_VALUE"""),"ABDUL HUSNI")</f>
        <v/>
      </c>
      <c r="D195" s="175">
        <f>IFERROR(__xludf.DUMMYFUNCTION("""COMPUTED_VALUE"""),"PIC AREA")</f>
        <v/>
      </c>
      <c r="E195" s="28">
        <f>IFERROR(__xludf.DUMMYFUNCTION("""COMPUTED_VALUE"""),"LOGISTIC")</f>
        <v/>
      </c>
    </row>
    <row r="196" ht="15.75" customHeight="1" s="169">
      <c r="A196" s="15">
        <f>IFERROR(__xludf.DUMMYFUNCTION("""COMPUTED_VALUE"""),195.0)</f>
        <v/>
      </c>
      <c r="B196" s="28">
        <f>IFERROR(__xludf.DUMMYFUNCTION("""COMPUTED_VALUE"""),3.28000454E8)</f>
        <v/>
      </c>
      <c r="C196" s="28">
        <f>IFERROR(__xludf.DUMMYFUNCTION("""COMPUTED_VALUE"""),"KURNIAWATI")</f>
        <v/>
      </c>
      <c r="D196" s="175">
        <f>IFERROR(__xludf.DUMMYFUNCTION("""COMPUTED_VALUE"""),"PACKER")</f>
        <v/>
      </c>
      <c r="E196" s="28">
        <f>IFERROR(__xludf.DUMMYFUNCTION("""COMPUTED_VALUE"""),"PRODUCTION")</f>
        <v/>
      </c>
    </row>
    <row r="197" ht="15.75" customHeight="1" s="169">
      <c r="A197" s="15">
        <f>IFERROR(__xludf.DUMMYFUNCTION("""COMPUTED_VALUE"""),196.0)</f>
        <v/>
      </c>
      <c r="B197" s="28">
        <f>IFERROR(__xludf.DUMMYFUNCTION("""COMPUTED_VALUE"""),3.28000455E8)</f>
        <v/>
      </c>
      <c r="C197" s="28">
        <f>IFERROR(__xludf.DUMMYFUNCTION("""COMPUTED_VALUE"""),"KANA")</f>
        <v/>
      </c>
      <c r="D197" s="175">
        <f>IFERROR(__xludf.DUMMYFUNCTION("""COMPUTED_VALUE"""),"TECHNICIAN")</f>
        <v/>
      </c>
      <c r="E197" s="28">
        <f>IFERROR(__xludf.DUMMYFUNCTION("""COMPUTED_VALUE"""),"ENGINEERING")</f>
        <v/>
      </c>
    </row>
    <row r="198" ht="15.75" customHeight="1" s="169">
      <c r="A198" s="15">
        <f>IFERROR(__xludf.DUMMYFUNCTION("""COMPUTED_VALUE"""),197.0)</f>
        <v/>
      </c>
      <c r="B198" s="28">
        <f>IFERROR(__xludf.DUMMYFUNCTION("""COMPUTED_VALUE"""),3.28000458E8)</f>
        <v/>
      </c>
      <c r="C198" s="28">
        <f>IFERROR(__xludf.DUMMYFUNCTION("""COMPUTED_VALUE"""),"HILDA ANGGRAENI")</f>
        <v/>
      </c>
      <c r="D198" s="175">
        <f>IFERROR(__xludf.DUMMYFUNCTION("""COMPUTED_VALUE"""),"PACKER")</f>
        <v/>
      </c>
      <c r="E198" s="28">
        <f>IFERROR(__xludf.DUMMYFUNCTION("""COMPUTED_VALUE"""),"PRODUCTION")</f>
        <v/>
      </c>
    </row>
    <row r="199" ht="15.75" customHeight="1" s="169">
      <c r="A199" s="15">
        <f>IFERROR(__xludf.DUMMYFUNCTION("""COMPUTED_VALUE"""),198.0)</f>
        <v/>
      </c>
      <c r="B199" s="28">
        <f>IFERROR(__xludf.DUMMYFUNCTION("""COMPUTED_VALUE"""),3.2800046E8)</f>
        <v/>
      </c>
      <c r="C199" s="28">
        <f>IFERROR(__xludf.DUMMYFUNCTION("""COMPUTED_VALUE"""),"EFARINA MULYA SETIAWATI")</f>
        <v/>
      </c>
      <c r="D199" s="175">
        <f>IFERROR(__xludf.DUMMYFUNCTION("""COMPUTED_VALUE"""),"PACKER")</f>
        <v/>
      </c>
      <c r="E199" s="28">
        <f>IFERROR(__xludf.DUMMYFUNCTION("""COMPUTED_VALUE"""),"PRODUCTION")</f>
        <v/>
      </c>
    </row>
    <row r="200" ht="15.75" customHeight="1" s="169">
      <c r="A200" s="15">
        <f>IFERROR(__xludf.DUMMYFUNCTION("""COMPUTED_VALUE"""),199.0)</f>
        <v/>
      </c>
      <c r="B200" s="28">
        <f>IFERROR(__xludf.DUMMYFUNCTION("""COMPUTED_VALUE"""),3.28000461E8)</f>
        <v/>
      </c>
      <c r="C200" s="28">
        <f>IFERROR(__xludf.DUMMYFUNCTION("""COMPUTED_VALUE"""),"AMAT BADARUDIN")</f>
        <v/>
      </c>
      <c r="D200" s="175">
        <f>IFERROR(__xludf.DUMMYFUNCTION("""COMPUTED_VALUE"""),"TECHNICIAN")</f>
        <v/>
      </c>
      <c r="E200" s="28">
        <f>IFERROR(__xludf.DUMMYFUNCTION("""COMPUTED_VALUE"""),"ENGINEERING")</f>
        <v/>
      </c>
    </row>
    <row r="201" ht="15.75" customHeight="1" s="169">
      <c r="A201" s="15">
        <f>IFERROR(__xludf.DUMMYFUNCTION("""COMPUTED_VALUE"""),200.0)</f>
        <v/>
      </c>
      <c r="B201" s="28">
        <f>IFERROR(__xludf.DUMMYFUNCTION("""COMPUTED_VALUE"""),3.28000462E8)</f>
        <v/>
      </c>
      <c r="C201" s="28">
        <f>IFERROR(__xludf.DUMMYFUNCTION("""COMPUTED_VALUE"""),"SYIFA AULIA PUTRI")</f>
        <v/>
      </c>
      <c r="D201" s="175">
        <f>IFERROR(__xludf.DUMMYFUNCTION("""COMPUTED_VALUE"""),"PACKER")</f>
        <v/>
      </c>
      <c r="E201" s="28">
        <f>IFERROR(__xludf.DUMMYFUNCTION("""COMPUTED_VALUE"""),"PRODUCTION")</f>
        <v/>
      </c>
    </row>
    <row r="202" ht="15.75" customHeight="1" s="169">
      <c r="A202" s="15">
        <f>IFERROR(__xludf.DUMMYFUNCTION("""COMPUTED_VALUE"""),201.0)</f>
        <v/>
      </c>
      <c r="B202" s="28">
        <f>IFERROR(__xludf.DUMMYFUNCTION("""COMPUTED_VALUE"""),3.28000463E8)</f>
        <v/>
      </c>
      <c r="C202" s="28">
        <f>IFERROR(__xludf.DUMMYFUNCTION("""COMPUTED_VALUE"""),"IRWAN GUSTIAN")</f>
        <v/>
      </c>
      <c r="D202" s="175">
        <f>IFERROR(__xludf.DUMMYFUNCTION("""COMPUTED_VALUE"""),"OPERATOR PRODUCTION")</f>
        <v/>
      </c>
      <c r="E202" s="28">
        <f>IFERROR(__xludf.DUMMYFUNCTION("""COMPUTED_VALUE"""),"PRODUCTION")</f>
        <v/>
      </c>
    </row>
    <row r="203" ht="15.75" customHeight="1" s="169">
      <c r="A203" s="15">
        <f>IFERROR(__xludf.DUMMYFUNCTION("""COMPUTED_VALUE"""),202.0)</f>
        <v/>
      </c>
      <c r="B203" s="28">
        <f>IFERROR(__xludf.DUMMYFUNCTION("""COMPUTED_VALUE"""),3.28000464E8)</f>
        <v/>
      </c>
      <c r="C203" s="28">
        <f>IFERROR(__xludf.DUMMYFUNCTION("""COMPUTED_VALUE"""),"AIDIL AKBAR")</f>
        <v/>
      </c>
      <c r="D203" s="175">
        <f>IFERROR(__xludf.DUMMYFUNCTION("""COMPUTED_VALUE"""),"PACKER")</f>
        <v/>
      </c>
      <c r="E203" s="28">
        <f>IFERROR(__xludf.DUMMYFUNCTION("""COMPUTED_VALUE"""),"PRODUCTION")</f>
        <v/>
      </c>
    </row>
    <row r="204" ht="15.75" customHeight="1" s="169">
      <c r="A204" s="15">
        <f>IFERROR(__xludf.DUMMYFUNCTION("""COMPUTED_VALUE"""),203.0)</f>
        <v/>
      </c>
      <c r="B204" s="28">
        <f>IFERROR(__xludf.DUMMYFUNCTION("""COMPUTED_VALUE"""),3.28000465E8)</f>
        <v/>
      </c>
      <c r="C204" s="28">
        <f>IFERROR(__xludf.DUMMYFUNCTION("""COMPUTED_VALUE"""),"RIZKY MAULADI")</f>
        <v/>
      </c>
      <c r="D204" s="175">
        <f>IFERROR(__xludf.DUMMYFUNCTION("""COMPUTED_VALUE"""),"OPERATOR PRODUCTION")</f>
        <v/>
      </c>
      <c r="E204" s="28">
        <f>IFERROR(__xludf.DUMMYFUNCTION("""COMPUTED_VALUE"""),"PRODUCTION")</f>
        <v/>
      </c>
    </row>
    <row r="205" ht="15.75" customHeight="1" s="169">
      <c r="A205" s="15">
        <f>IFERROR(__xludf.DUMMYFUNCTION("""COMPUTED_VALUE"""),204.0)</f>
        <v/>
      </c>
      <c r="B205" s="28">
        <f>IFERROR(__xludf.DUMMYFUNCTION("""COMPUTED_VALUE"""),3.28000466E8)</f>
        <v/>
      </c>
      <c r="C205" s="28">
        <f>IFERROR(__xludf.DUMMYFUNCTION("""COMPUTED_VALUE"""),"REZA WIJAYA")</f>
        <v/>
      </c>
      <c r="D205" s="175">
        <f>IFERROR(__xludf.DUMMYFUNCTION("""COMPUTED_VALUE"""),"TECHNICIAN")</f>
        <v/>
      </c>
      <c r="E205" s="28">
        <f>IFERROR(__xludf.DUMMYFUNCTION("""COMPUTED_VALUE"""),"ENGINEERING")</f>
        <v/>
      </c>
    </row>
    <row r="206" ht="15.75" customHeight="1" s="169">
      <c r="A206" s="15">
        <f>IFERROR(__xludf.DUMMYFUNCTION("""COMPUTED_VALUE"""),205.0)</f>
        <v/>
      </c>
      <c r="B206" s="28">
        <f>IFERROR(__xludf.DUMMYFUNCTION("""COMPUTED_VALUE"""),3.28000467E8)</f>
        <v/>
      </c>
      <c r="C206" s="28">
        <f>IFERROR(__xludf.DUMMYFUNCTION("""COMPUTED_VALUE"""),"YUSUF ROHMAN HIDAYAH")</f>
        <v/>
      </c>
      <c r="D206" s="175">
        <f>IFERROR(__xludf.DUMMYFUNCTION("""COMPUTED_VALUE"""),"OPERATOR PRODUCTION")</f>
        <v/>
      </c>
      <c r="E206" s="28">
        <f>IFERROR(__xludf.DUMMYFUNCTION("""COMPUTED_VALUE"""),"PRODUCTION")</f>
        <v/>
      </c>
    </row>
    <row r="207" ht="15.75" customHeight="1" s="169">
      <c r="A207" s="15">
        <f>IFERROR(__xludf.DUMMYFUNCTION("""COMPUTED_VALUE"""),206.0)</f>
        <v/>
      </c>
      <c r="B207" s="28">
        <f>IFERROR(__xludf.DUMMYFUNCTION("""COMPUTED_VALUE"""),3.2800047E8)</f>
        <v/>
      </c>
      <c r="C207" s="28">
        <f>IFERROR(__xludf.DUMMYFUNCTION("""COMPUTED_VALUE"""),"NOVA ANGGRAENI ")</f>
        <v/>
      </c>
      <c r="D207" s="175">
        <f>IFERROR(__xludf.DUMMYFUNCTION("""COMPUTED_VALUE"""),"QC PRODUKSI")</f>
        <v/>
      </c>
      <c r="E207" s="28">
        <f>IFERROR(__xludf.DUMMYFUNCTION("""COMPUTED_VALUE"""),"QUALITY AND RESEARCH &amp; DEVELOPMENT")</f>
        <v/>
      </c>
    </row>
    <row r="208" ht="15.75" customHeight="1" s="169">
      <c r="A208" s="15">
        <f>IFERROR(__xludf.DUMMYFUNCTION("""COMPUTED_VALUE"""),207.0)</f>
        <v/>
      </c>
      <c r="B208" s="28">
        <f>IFERROR(__xludf.DUMMYFUNCTION("""COMPUTED_VALUE"""),3.28000471E8)</f>
        <v/>
      </c>
      <c r="C208" s="28">
        <f>IFERROR(__xludf.DUMMYFUNCTION("""COMPUTED_VALUE"""),"SAHRUL ZANURI ")</f>
        <v/>
      </c>
      <c r="D208" s="175">
        <f>IFERROR(__xludf.DUMMYFUNCTION("""COMPUTED_VALUE"""),"CHECKER")</f>
        <v/>
      </c>
      <c r="E208" s="28">
        <f>IFERROR(__xludf.DUMMYFUNCTION("""COMPUTED_VALUE"""),"LOGISTIC")</f>
        <v/>
      </c>
    </row>
    <row r="209" ht="15.75" customHeight="1" s="169">
      <c r="A209" s="15">
        <f>IFERROR(__xludf.DUMMYFUNCTION("""COMPUTED_VALUE"""),208.0)</f>
        <v/>
      </c>
      <c r="B209" s="28">
        <f>IFERROR(__xludf.DUMMYFUNCTION("""COMPUTED_VALUE"""),3.28000472E8)</f>
        <v/>
      </c>
      <c r="C209" s="28">
        <f>IFERROR(__xludf.DUMMYFUNCTION("""COMPUTED_VALUE"""),"MUHAMMAD RAYHAN MUNAWAR")</f>
        <v/>
      </c>
      <c r="D209" s="175">
        <f>IFERROR(__xludf.DUMMYFUNCTION("""COMPUTED_VALUE"""),"OPERATOR PRODUCTION")</f>
        <v/>
      </c>
      <c r="E209" s="28">
        <f>IFERROR(__xludf.DUMMYFUNCTION("""COMPUTED_VALUE"""),"PRODUCTION")</f>
        <v/>
      </c>
    </row>
    <row r="210" ht="15.75" customHeight="1" s="169">
      <c r="A210" s="15">
        <f>IFERROR(__xludf.DUMMYFUNCTION("""COMPUTED_VALUE"""),209.0)</f>
        <v/>
      </c>
      <c r="B210" s="28">
        <f>IFERROR(__xludf.DUMMYFUNCTION("""COMPUTED_VALUE"""),3.28000473E8)</f>
        <v/>
      </c>
      <c r="C210" s="28">
        <f>IFERROR(__xludf.DUMMYFUNCTION("""COMPUTED_VALUE"""),"ONENG KURNIATI")</f>
        <v/>
      </c>
      <c r="D210" s="175">
        <f>IFERROR(__xludf.DUMMYFUNCTION("""COMPUTED_VALUE"""),"QC PRODUKSI")</f>
        <v/>
      </c>
      <c r="E210" s="28">
        <f>IFERROR(__xludf.DUMMYFUNCTION("""COMPUTED_VALUE"""),"QUALITY AND RESEARCH &amp; DEVELOPMENT")</f>
        <v/>
      </c>
    </row>
    <row r="211" ht="15.75" customHeight="1" s="169">
      <c r="A211" s="15">
        <f>IFERROR(__xludf.DUMMYFUNCTION("""COMPUTED_VALUE"""),210.0)</f>
        <v/>
      </c>
      <c r="B211" s="28">
        <f>IFERROR(__xludf.DUMMYFUNCTION("""COMPUTED_VALUE"""),3.28000474E8)</f>
        <v/>
      </c>
      <c r="C211" s="28">
        <f>IFERROR(__xludf.DUMMYFUNCTION("""COMPUTED_VALUE"""),"ALMA APRILLIANI")</f>
        <v/>
      </c>
      <c r="D211" s="175">
        <f>IFERROR(__xludf.DUMMYFUNCTION("""COMPUTED_VALUE"""),"PACKER")</f>
        <v/>
      </c>
      <c r="E211" s="28">
        <f>IFERROR(__xludf.DUMMYFUNCTION("""COMPUTED_VALUE"""),"PRODUCTION")</f>
        <v/>
      </c>
    </row>
    <row r="212" ht="15.75" customHeight="1" s="169">
      <c r="A212" s="15">
        <f>IFERROR(__xludf.DUMMYFUNCTION("""COMPUTED_VALUE"""),211.0)</f>
        <v/>
      </c>
      <c r="B212" s="28">
        <f>IFERROR(__xludf.DUMMYFUNCTION("""COMPUTED_VALUE"""),3.28000475E8)</f>
        <v/>
      </c>
      <c r="C212" s="28">
        <f>IFERROR(__xludf.DUMMYFUNCTION("""COMPUTED_VALUE"""),"EVHA WIDIYANIGSIH")</f>
        <v/>
      </c>
      <c r="D212" s="175">
        <f>IFERROR(__xludf.DUMMYFUNCTION("""COMPUTED_VALUE"""),"PACKER")</f>
        <v/>
      </c>
      <c r="E212" s="28">
        <f>IFERROR(__xludf.DUMMYFUNCTION("""COMPUTED_VALUE"""),"PRODUCTION")</f>
        <v/>
      </c>
    </row>
    <row r="213" ht="15.75" customHeight="1" s="169">
      <c r="A213" s="15">
        <f>IFERROR(__xludf.DUMMYFUNCTION("""COMPUTED_VALUE"""),212.0)</f>
        <v/>
      </c>
      <c r="B213" s="28">
        <f>IFERROR(__xludf.DUMMYFUNCTION("""COMPUTED_VALUE"""),3.28000477E8)</f>
        <v/>
      </c>
      <c r="C213" s="28">
        <f>IFERROR(__xludf.DUMMYFUNCTION("""COMPUTED_VALUE"""),"AYU RAHMADANY")</f>
        <v/>
      </c>
      <c r="D213" s="175">
        <f>IFERROR(__xludf.DUMMYFUNCTION("""COMPUTED_VALUE"""),"PACKER")</f>
        <v/>
      </c>
      <c r="E213" s="28">
        <f>IFERROR(__xludf.DUMMYFUNCTION("""COMPUTED_VALUE"""),"PRODUCTION")</f>
        <v/>
      </c>
    </row>
    <row r="214" ht="15.75" customHeight="1" s="169">
      <c r="A214" s="15">
        <f>IFERROR(__xludf.DUMMYFUNCTION("""COMPUTED_VALUE"""),213.0)</f>
        <v/>
      </c>
      <c r="B214" s="28">
        <f>IFERROR(__xludf.DUMMYFUNCTION("""COMPUTED_VALUE"""),3.28000478E8)</f>
        <v/>
      </c>
      <c r="C214" s="28">
        <f>IFERROR(__xludf.DUMMYFUNCTION("""COMPUTED_VALUE"""),"NIA RAMADANI")</f>
        <v/>
      </c>
      <c r="D214" s="175">
        <f>IFERROR(__xludf.DUMMYFUNCTION("""COMPUTED_VALUE"""),"PACKER")</f>
        <v/>
      </c>
      <c r="E214" s="28">
        <f>IFERROR(__xludf.DUMMYFUNCTION("""COMPUTED_VALUE"""),"PRODUCTION")</f>
        <v/>
      </c>
    </row>
    <row r="215" ht="15.75" customHeight="1" s="169">
      <c r="A215" s="15">
        <f>IFERROR(__xludf.DUMMYFUNCTION("""COMPUTED_VALUE"""),214.0)</f>
        <v/>
      </c>
      <c r="B215" s="28">
        <f>IFERROR(__xludf.DUMMYFUNCTION("""COMPUTED_VALUE"""),3.28000479E8)</f>
        <v/>
      </c>
      <c r="C215" s="28">
        <f>IFERROR(__xludf.DUMMYFUNCTION("""COMPUTED_VALUE"""),"AMBAR AZZAHRA")</f>
        <v/>
      </c>
      <c r="D215" s="175">
        <f>IFERROR(__xludf.DUMMYFUNCTION("""COMPUTED_VALUE"""),"PACKER")</f>
        <v/>
      </c>
      <c r="E215" s="28">
        <f>IFERROR(__xludf.DUMMYFUNCTION("""COMPUTED_VALUE"""),"PRODUCTION")</f>
        <v/>
      </c>
    </row>
    <row r="216" ht="15.75" customHeight="1" s="169">
      <c r="A216" s="15">
        <f>IFERROR(__xludf.DUMMYFUNCTION("""COMPUTED_VALUE"""),215.0)</f>
        <v/>
      </c>
      <c r="B216" s="28">
        <f>IFERROR(__xludf.DUMMYFUNCTION("""COMPUTED_VALUE"""),3.2800048E8)</f>
        <v/>
      </c>
      <c r="C216" s="28">
        <f>IFERROR(__xludf.DUMMYFUNCTION("""COMPUTED_VALUE"""),"RISKA AMELYANI")</f>
        <v/>
      </c>
      <c r="D216" s="175">
        <f>IFERROR(__xludf.DUMMYFUNCTION("""COMPUTED_VALUE"""),"PACKER")</f>
        <v/>
      </c>
      <c r="E216" s="28">
        <f>IFERROR(__xludf.DUMMYFUNCTION("""COMPUTED_VALUE"""),"PRODUCTION")</f>
        <v/>
      </c>
    </row>
    <row r="217" ht="15.75" customHeight="1" s="169">
      <c r="A217" s="15">
        <f>IFERROR(__xludf.DUMMYFUNCTION("""COMPUTED_VALUE"""),216.0)</f>
        <v/>
      </c>
      <c r="B217" s="28">
        <f>IFERROR(__xludf.DUMMYFUNCTION("""COMPUTED_VALUE"""),3.28000481E8)</f>
        <v/>
      </c>
      <c r="C217" s="28">
        <f>IFERROR(__xludf.DUMMYFUNCTION("""COMPUTED_VALUE"""),"SYIFA FADILLAH")</f>
        <v/>
      </c>
      <c r="D217" s="175">
        <f>IFERROR(__xludf.DUMMYFUNCTION("""COMPUTED_VALUE"""),"PACKER")</f>
        <v/>
      </c>
      <c r="E217" s="28">
        <f>IFERROR(__xludf.DUMMYFUNCTION("""COMPUTED_VALUE"""),"PRODUCTION")</f>
        <v/>
      </c>
    </row>
    <row r="218" ht="15.75" customHeight="1" s="169">
      <c r="A218" s="15">
        <f>IFERROR(__xludf.DUMMYFUNCTION("""COMPUTED_VALUE"""),217.0)</f>
        <v/>
      </c>
      <c r="B218" s="28">
        <f>IFERROR(__xludf.DUMMYFUNCTION("""COMPUTED_VALUE"""),3.28000483E8)</f>
        <v/>
      </c>
      <c r="C218" s="28">
        <f>IFERROR(__xludf.DUMMYFUNCTION("""COMPUTED_VALUE"""),"MUHAMAD FEBRI SETIAWAN")</f>
        <v/>
      </c>
      <c r="D218" s="175">
        <f>IFERROR(__xludf.DUMMYFUNCTION("""COMPUTED_VALUE"""),"PACKER")</f>
        <v/>
      </c>
      <c r="E218" s="28">
        <f>IFERROR(__xludf.DUMMYFUNCTION("""COMPUTED_VALUE"""),"PRODUCTION")</f>
        <v/>
      </c>
    </row>
    <row r="219" ht="15.75" customHeight="1" s="169">
      <c r="A219" s="15">
        <f>IFERROR(__xludf.DUMMYFUNCTION("""COMPUTED_VALUE"""),218.0)</f>
        <v/>
      </c>
      <c r="B219" s="28">
        <f>IFERROR(__xludf.DUMMYFUNCTION("""COMPUTED_VALUE"""),3.28000485E8)</f>
        <v/>
      </c>
      <c r="C219" s="28">
        <f>IFERROR(__xludf.DUMMYFUNCTION("""COMPUTED_VALUE"""),"RIO RAMADANI")</f>
        <v/>
      </c>
      <c r="D219" s="175">
        <f>IFERROR(__xludf.DUMMYFUNCTION("""COMPUTED_VALUE"""),"PACKER")</f>
        <v/>
      </c>
      <c r="E219" s="28">
        <f>IFERROR(__xludf.DUMMYFUNCTION("""COMPUTED_VALUE"""),"PRODUCTION")</f>
        <v/>
      </c>
    </row>
    <row r="220" ht="15.75" customHeight="1" s="169">
      <c r="A220" s="15">
        <f>IFERROR(__xludf.DUMMYFUNCTION("""COMPUTED_VALUE"""),219.0)</f>
        <v/>
      </c>
      <c r="B220" s="28">
        <f>IFERROR(__xludf.DUMMYFUNCTION("""COMPUTED_VALUE"""),3.28000486E8)</f>
        <v/>
      </c>
      <c r="C220" s="28">
        <f>IFERROR(__xludf.DUMMYFUNCTION("""COMPUTED_VALUE"""),"YULI CAHYANI")</f>
        <v/>
      </c>
      <c r="D220" s="175">
        <f>IFERROR(__xludf.DUMMYFUNCTION("""COMPUTED_VALUE"""),"PACKER")</f>
        <v/>
      </c>
      <c r="E220" s="28">
        <f>IFERROR(__xludf.DUMMYFUNCTION("""COMPUTED_VALUE"""),"PRODUCTION")</f>
        <v/>
      </c>
    </row>
    <row r="221" ht="15.75" customHeight="1" s="169">
      <c r="A221" s="15">
        <f>IFERROR(__xludf.DUMMYFUNCTION("""COMPUTED_VALUE"""),220.0)</f>
        <v/>
      </c>
      <c r="B221" s="28">
        <f>IFERROR(__xludf.DUMMYFUNCTION("""COMPUTED_VALUE"""),3.28000487E8)</f>
        <v/>
      </c>
      <c r="C221" s="28">
        <f>IFERROR(__xludf.DUMMYFUNCTION("""COMPUTED_VALUE"""),"INDAH SRI RAHAYU")</f>
        <v/>
      </c>
      <c r="D221" s="175">
        <f>IFERROR(__xludf.DUMMYFUNCTION("""COMPUTED_VALUE"""),"PACKER")</f>
        <v/>
      </c>
      <c r="E221" s="28">
        <f>IFERROR(__xludf.DUMMYFUNCTION("""COMPUTED_VALUE"""),"PRODUCTION")</f>
        <v/>
      </c>
    </row>
    <row r="222" ht="15.75" customHeight="1" s="169">
      <c r="A222" s="15">
        <f>IFERROR(__xludf.DUMMYFUNCTION("""COMPUTED_VALUE"""),221.0)</f>
        <v/>
      </c>
      <c r="B222" s="28">
        <f>IFERROR(__xludf.DUMMYFUNCTION("""COMPUTED_VALUE"""),3.28000488E8)</f>
        <v/>
      </c>
      <c r="C222" s="28">
        <f>IFERROR(__xludf.DUMMYFUNCTION("""COMPUTED_VALUE"""),"MUCHAMAD AZIS NURJAMAN")</f>
        <v/>
      </c>
      <c r="D222" s="175">
        <f>IFERROR(__xludf.DUMMYFUNCTION("""COMPUTED_VALUE"""),"OPERATOR REACHTRUCK")</f>
        <v/>
      </c>
      <c r="E222" s="28">
        <f>IFERROR(__xludf.DUMMYFUNCTION("""COMPUTED_VALUE"""),"LOGISTIC")</f>
        <v/>
      </c>
    </row>
    <row r="223" ht="15.75" customHeight="1" s="169">
      <c r="A223" s="15">
        <f>IFERROR(__xludf.DUMMYFUNCTION("""COMPUTED_VALUE"""),222.0)</f>
        <v/>
      </c>
      <c r="B223" s="28">
        <f>IFERROR(__xludf.DUMMYFUNCTION("""COMPUTED_VALUE"""),3.28000489E8)</f>
        <v/>
      </c>
      <c r="C223" s="28">
        <f>IFERROR(__xludf.DUMMYFUNCTION("""COMPUTED_VALUE"""),"SIFA NURAENI")</f>
        <v/>
      </c>
      <c r="D223" s="175">
        <f>IFERROR(__xludf.DUMMYFUNCTION("""COMPUTED_VALUE"""),"PACKER")</f>
        <v/>
      </c>
      <c r="E223" s="28">
        <f>IFERROR(__xludf.DUMMYFUNCTION("""COMPUTED_VALUE"""),"PRODUCTION")</f>
        <v/>
      </c>
    </row>
    <row r="224" ht="15.75" customHeight="1" s="169">
      <c r="A224" s="15">
        <f>IFERROR(__xludf.DUMMYFUNCTION("""COMPUTED_VALUE"""),223.0)</f>
        <v/>
      </c>
      <c r="B224" s="28">
        <f>IFERROR(__xludf.DUMMYFUNCTION("""COMPUTED_VALUE"""),3.2800049E8)</f>
        <v/>
      </c>
      <c r="C224" s="28">
        <f>IFERROR(__xludf.DUMMYFUNCTION("""COMPUTED_VALUE"""),"YASINTA")</f>
        <v/>
      </c>
      <c r="D224" s="175">
        <f>IFERROR(__xludf.DUMMYFUNCTION("""COMPUTED_VALUE"""),"PACKER")</f>
        <v/>
      </c>
      <c r="E224" s="28">
        <f>IFERROR(__xludf.DUMMYFUNCTION("""COMPUTED_VALUE"""),"PRODUCTION")</f>
        <v/>
      </c>
    </row>
    <row r="225" ht="15.75" customHeight="1" s="169">
      <c r="A225" s="15">
        <f>IFERROR(__xludf.DUMMYFUNCTION("""COMPUTED_VALUE"""),224.0)</f>
        <v/>
      </c>
      <c r="B225" s="28">
        <f>IFERROR(__xludf.DUMMYFUNCTION("""COMPUTED_VALUE"""),3.28000491E8)</f>
        <v/>
      </c>
      <c r="C225" s="28">
        <f>IFERROR(__xludf.DUMMYFUNCTION("""COMPUTED_VALUE"""),"NAURAH QURRATU'AIN")</f>
        <v/>
      </c>
      <c r="D225" s="175">
        <f>IFERROR(__xludf.DUMMYFUNCTION("""COMPUTED_VALUE"""),"QC PRODUKSI")</f>
        <v/>
      </c>
      <c r="E225" s="28">
        <f>IFERROR(__xludf.DUMMYFUNCTION("""COMPUTED_VALUE"""),"QUALITY AND RESEARCH &amp; DEVELOPMENT")</f>
        <v/>
      </c>
    </row>
    <row r="226" ht="15.75" customHeight="1" s="169">
      <c r="A226" s="15">
        <f>IFERROR(__xludf.DUMMYFUNCTION("""COMPUTED_VALUE"""),225.0)</f>
        <v/>
      </c>
      <c r="B226" s="28">
        <f>IFERROR(__xludf.DUMMYFUNCTION("""COMPUTED_VALUE"""),3.28000493E8)</f>
        <v/>
      </c>
      <c r="C226" s="28">
        <f>IFERROR(__xludf.DUMMYFUNCTION("""COMPUTED_VALUE"""),"HERU HERDIANSYAH")</f>
        <v/>
      </c>
      <c r="D226" s="175">
        <f>IFERROR(__xludf.DUMMYFUNCTION("""COMPUTED_VALUE"""),"SHIFT MAINTENANCE")</f>
        <v/>
      </c>
      <c r="E226" s="28">
        <f>IFERROR(__xludf.DUMMYFUNCTION("""COMPUTED_VALUE"""),"ENGINEERING")</f>
        <v/>
      </c>
    </row>
    <row r="227" ht="15.75" customHeight="1" s="169">
      <c r="A227" s="15">
        <f>IFERROR(__xludf.DUMMYFUNCTION("""COMPUTED_VALUE"""),226.0)</f>
        <v/>
      </c>
      <c r="B227" s="28">
        <f>IFERROR(__xludf.DUMMYFUNCTION("""COMPUTED_VALUE"""),3.28000494E8)</f>
        <v/>
      </c>
      <c r="C227" s="28">
        <f>IFERROR(__xludf.DUMMYFUNCTION("""COMPUTED_VALUE"""),"AKHMAD YURI MAULANA")</f>
        <v/>
      </c>
      <c r="D227" s="175">
        <f>IFERROR(__xludf.DUMMYFUNCTION("""COMPUTED_VALUE"""),"OPERATOR REACHTRUCK")</f>
        <v/>
      </c>
      <c r="E227" s="28">
        <f>IFERROR(__xludf.DUMMYFUNCTION("""COMPUTED_VALUE"""),"LOGISTIC")</f>
        <v/>
      </c>
    </row>
    <row r="228" ht="15.75" customHeight="1" s="169">
      <c r="A228" s="15">
        <f>IFERROR(__xludf.DUMMYFUNCTION("""COMPUTED_VALUE"""),227.0)</f>
        <v/>
      </c>
      <c r="B228" s="28">
        <f>IFERROR(__xludf.DUMMYFUNCTION("""COMPUTED_VALUE"""),3.28000498E8)</f>
        <v/>
      </c>
      <c r="C228" s="28">
        <f>IFERROR(__xludf.DUMMYFUNCTION("""COMPUTED_VALUE"""),"AMELIA")</f>
        <v/>
      </c>
      <c r="D228" s="175">
        <f>IFERROR(__xludf.DUMMYFUNCTION("""COMPUTED_VALUE"""),"QC PRODUKSI")</f>
        <v/>
      </c>
      <c r="E228" s="28">
        <f>IFERROR(__xludf.DUMMYFUNCTION("""COMPUTED_VALUE"""),"QUALITY AND RESEARCH &amp; DEVELOPMENT")</f>
        <v/>
      </c>
    </row>
    <row r="229" ht="15.75" customHeight="1" s="169">
      <c r="A229" s="15">
        <f>IFERROR(__xludf.DUMMYFUNCTION("""COMPUTED_VALUE"""),228.0)</f>
        <v/>
      </c>
      <c r="B229" s="28">
        <f>IFERROR(__xludf.DUMMYFUNCTION("""COMPUTED_VALUE"""),3.28000499E8)</f>
        <v/>
      </c>
      <c r="C229" s="28">
        <f>IFERROR(__xludf.DUMMYFUNCTION("""COMPUTED_VALUE"""),"KUSNADI")</f>
        <v/>
      </c>
      <c r="D229" s="175">
        <f>IFERROR(__xludf.DUMMYFUNCTION("""COMPUTED_VALUE"""),"TECHNICIAN")</f>
        <v/>
      </c>
      <c r="E229" s="28">
        <f>IFERROR(__xludf.DUMMYFUNCTION("""COMPUTED_VALUE"""),"ENGINEERING")</f>
        <v/>
      </c>
    </row>
    <row r="230" ht="15.75" customHeight="1" s="169">
      <c r="A230" s="15">
        <f>IFERROR(__xludf.DUMMYFUNCTION("""COMPUTED_VALUE"""),229.0)</f>
        <v/>
      </c>
      <c r="B230" s="28">
        <f>IFERROR(__xludf.DUMMYFUNCTION("""COMPUTED_VALUE"""),3.28000501E8)</f>
        <v/>
      </c>
      <c r="C230" s="28">
        <f>IFERROR(__xludf.DUMMYFUNCTION("""COMPUTED_VALUE"""),"AHYAR SUHADA")</f>
        <v/>
      </c>
      <c r="D230" s="175">
        <f>IFERROR(__xludf.DUMMYFUNCTION("""COMPUTED_VALUE"""),"OPERATOR PRODUCTION")</f>
        <v/>
      </c>
      <c r="E230" s="28">
        <f>IFERROR(__xludf.DUMMYFUNCTION("""COMPUTED_VALUE"""),"PRODUCTION")</f>
        <v/>
      </c>
    </row>
    <row r="231" ht="15.75" customHeight="1" s="169">
      <c r="A231" s="15">
        <f>IFERROR(__xludf.DUMMYFUNCTION("""COMPUTED_VALUE"""),230.0)</f>
        <v/>
      </c>
      <c r="B231" s="28">
        <f>IFERROR(__xludf.DUMMYFUNCTION("""COMPUTED_VALUE"""),3.28000503E8)</f>
        <v/>
      </c>
      <c r="C231" s="28">
        <f>IFERROR(__xludf.DUMMYFUNCTION("""COMPUTED_VALUE"""),"IYUS YUSUP")</f>
        <v/>
      </c>
      <c r="D231" s="175">
        <f>IFERROR(__xludf.DUMMYFUNCTION("""COMPUTED_VALUE"""),"OPERATOR PRODUCTION")</f>
        <v/>
      </c>
      <c r="E231" s="28">
        <f>IFERROR(__xludf.DUMMYFUNCTION("""COMPUTED_VALUE"""),"PRODUCTION")</f>
        <v/>
      </c>
    </row>
    <row r="232" ht="15.75" customHeight="1" s="169">
      <c r="A232" s="15">
        <f>IFERROR(__xludf.DUMMYFUNCTION("""COMPUTED_VALUE"""),231.0)</f>
        <v/>
      </c>
      <c r="B232" s="28">
        <f>IFERROR(__xludf.DUMMYFUNCTION("""COMPUTED_VALUE"""),3.28000505E8)</f>
        <v/>
      </c>
      <c r="C232" s="28">
        <f>IFERROR(__xludf.DUMMYFUNCTION("""COMPUTED_VALUE"""),"ILHAM MAHENDRA PUTRA ADI")</f>
        <v/>
      </c>
      <c r="D232" s="175">
        <f>IFERROR(__xludf.DUMMYFUNCTION("""COMPUTED_VALUE"""),"OPERATOR PRODUCTION")</f>
        <v/>
      </c>
      <c r="E232" s="28">
        <f>IFERROR(__xludf.DUMMYFUNCTION("""COMPUTED_VALUE"""),"PRODUCTION")</f>
        <v/>
      </c>
    </row>
    <row r="233" ht="15.75" customHeight="1" s="169">
      <c r="A233" s="15">
        <f>IFERROR(__xludf.DUMMYFUNCTION("""COMPUTED_VALUE"""),232.0)</f>
        <v/>
      </c>
      <c r="B233" s="28">
        <f>IFERROR(__xludf.DUMMYFUNCTION("""COMPUTED_VALUE"""),3.28000506E8)</f>
        <v/>
      </c>
      <c r="C233" s="28">
        <f>IFERROR(__xludf.DUMMYFUNCTION("""COMPUTED_VALUE"""),"RUSDI SALEH")</f>
        <v/>
      </c>
      <c r="D233" s="175">
        <f>IFERROR(__xludf.DUMMYFUNCTION("""COMPUTED_VALUE"""),"OPERATOR PRODUCTION")</f>
        <v/>
      </c>
      <c r="E233" s="28">
        <f>IFERROR(__xludf.DUMMYFUNCTION("""COMPUTED_VALUE"""),"PRODUCTION")</f>
        <v/>
      </c>
    </row>
    <row r="234" ht="15.75" customHeight="1" s="169">
      <c r="A234" s="15">
        <f>IFERROR(__xludf.DUMMYFUNCTION("""COMPUTED_VALUE"""),233.0)</f>
        <v/>
      </c>
      <c r="B234" s="28">
        <f>IFERROR(__xludf.DUMMYFUNCTION("""COMPUTED_VALUE"""),3.28000507E8)</f>
        <v/>
      </c>
      <c r="C234" s="28">
        <f>IFERROR(__xludf.DUMMYFUNCTION("""COMPUTED_VALUE"""),"MAULANA CAHYANA YUSUP")</f>
        <v/>
      </c>
      <c r="D234" s="175">
        <f>IFERROR(__xludf.DUMMYFUNCTION("""COMPUTED_VALUE"""),"OPERATOR PRODUCTION")</f>
        <v/>
      </c>
      <c r="E234" s="28">
        <f>IFERROR(__xludf.DUMMYFUNCTION("""COMPUTED_VALUE"""),"PRODUCTION")</f>
        <v/>
      </c>
    </row>
    <row r="235" ht="15.75" customHeight="1" s="169">
      <c r="A235" s="15">
        <f>IFERROR(__xludf.DUMMYFUNCTION("""COMPUTED_VALUE"""),234.0)</f>
        <v/>
      </c>
      <c r="B235" s="28">
        <f>IFERROR(__xludf.DUMMYFUNCTION("""COMPUTED_VALUE"""),3.28000508E8)</f>
        <v/>
      </c>
      <c r="C235" s="28">
        <f>IFERROR(__xludf.DUMMYFUNCTION("""COMPUTED_VALUE"""),"RANGGA LESMANA")</f>
        <v/>
      </c>
      <c r="D235" s="175">
        <f>IFERROR(__xludf.DUMMYFUNCTION("""COMPUTED_VALUE"""),"OPERATOR PRODUCTION")</f>
        <v/>
      </c>
      <c r="E235" s="28">
        <f>IFERROR(__xludf.DUMMYFUNCTION("""COMPUTED_VALUE"""),"PRODUCTION")</f>
        <v/>
      </c>
    </row>
    <row r="236" ht="15.75" customHeight="1" s="169">
      <c r="A236" s="15">
        <f>IFERROR(__xludf.DUMMYFUNCTION("""COMPUTED_VALUE"""),235.0)</f>
        <v/>
      </c>
      <c r="B236" s="28">
        <f>IFERROR(__xludf.DUMMYFUNCTION("""COMPUTED_VALUE"""),3.28000509E8)</f>
        <v/>
      </c>
      <c r="C236" s="28">
        <f>IFERROR(__xludf.DUMMYFUNCTION("""COMPUTED_VALUE"""),"AGASTYA TRI AJI")</f>
        <v/>
      </c>
      <c r="D236" s="175">
        <f>IFERROR(__xludf.DUMMYFUNCTION("""COMPUTED_VALUE"""),"OPERATOR PRODUCTION")</f>
        <v/>
      </c>
      <c r="E236" s="28">
        <f>IFERROR(__xludf.DUMMYFUNCTION("""COMPUTED_VALUE"""),"PRODUCTION")</f>
        <v/>
      </c>
    </row>
    <row r="237" ht="15.75" customHeight="1" s="169">
      <c r="A237" s="15">
        <f>IFERROR(__xludf.DUMMYFUNCTION("""COMPUTED_VALUE"""),236.0)</f>
        <v/>
      </c>
      <c r="B237" s="28">
        <f>IFERROR(__xludf.DUMMYFUNCTION("""COMPUTED_VALUE"""),3.2800051E8)</f>
        <v/>
      </c>
      <c r="C237" s="28">
        <f>IFERROR(__xludf.DUMMYFUNCTION("""COMPUTED_VALUE"""),"ALFIAN RIZKI")</f>
        <v/>
      </c>
      <c r="D237" s="175">
        <f>IFERROR(__xludf.DUMMYFUNCTION("""COMPUTED_VALUE"""),"OPERATOR PRODUCTION")</f>
        <v/>
      </c>
      <c r="E237" s="28">
        <f>IFERROR(__xludf.DUMMYFUNCTION("""COMPUTED_VALUE"""),"PRODUCTION")</f>
        <v/>
      </c>
    </row>
    <row r="238" ht="15.75" customHeight="1" s="169">
      <c r="A238" s="15">
        <f>IFERROR(__xludf.DUMMYFUNCTION("""COMPUTED_VALUE"""),237.0)</f>
        <v/>
      </c>
      <c r="B238" s="28">
        <f>IFERROR(__xludf.DUMMYFUNCTION("""COMPUTED_VALUE"""),3.28000511E8)</f>
        <v/>
      </c>
      <c r="C238" s="28">
        <f>IFERROR(__xludf.DUMMYFUNCTION("""COMPUTED_VALUE"""),"SRI ANISA")</f>
        <v/>
      </c>
      <c r="D238" s="175">
        <f>IFERROR(__xludf.DUMMYFUNCTION("""COMPUTED_VALUE"""),"PACKER")</f>
        <v/>
      </c>
      <c r="E238" s="28">
        <f>IFERROR(__xludf.DUMMYFUNCTION("""COMPUTED_VALUE"""),"PRODUCTION")</f>
        <v/>
      </c>
    </row>
    <row r="239" ht="15.75" customHeight="1" s="169">
      <c r="A239" s="15">
        <f>IFERROR(__xludf.DUMMYFUNCTION("""COMPUTED_VALUE"""),238.0)</f>
        <v/>
      </c>
      <c r="B239" s="28">
        <f>IFERROR(__xludf.DUMMYFUNCTION("""COMPUTED_VALUE"""),3.28000512E8)</f>
        <v/>
      </c>
      <c r="C239" s="28">
        <f>IFERROR(__xludf.DUMMYFUNCTION("""COMPUTED_VALUE"""),"DENI HERMAWAN")</f>
        <v/>
      </c>
      <c r="D239" s="175">
        <f>IFERROR(__xludf.DUMMYFUNCTION("""COMPUTED_VALUE"""),"PACKER")</f>
        <v/>
      </c>
      <c r="E239" s="28">
        <f>IFERROR(__xludf.DUMMYFUNCTION("""COMPUTED_VALUE"""),"PRODUCTION")</f>
        <v/>
      </c>
    </row>
    <row r="240" ht="15.75" customHeight="1" s="169">
      <c r="A240" s="15">
        <f>IFERROR(__xludf.DUMMYFUNCTION("""COMPUTED_VALUE"""),239.0)</f>
        <v/>
      </c>
      <c r="B240" s="28">
        <f>IFERROR(__xludf.DUMMYFUNCTION("""COMPUTED_VALUE"""),3.28000513E8)</f>
        <v/>
      </c>
      <c r="C240" s="28">
        <f>IFERROR(__xludf.DUMMYFUNCTION("""COMPUTED_VALUE"""),"RAKA PUTRA PRIYATNA")</f>
        <v/>
      </c>
      <c r="D240" s="175">
        <f>IFERROR(__xludf.DUMMYFUNCTION("""COMPUTED_VALUE"""),"OPERATOR REACHTRUCK")</f>
        <v/>
      </c>
      <c r="E240" s="28">
        <f>IFERROR(__xludf.DUMMYFUNCTION("""COMPUTED_VALUE"""),"LOGISTIC")</f>
        <v/>
      </c>
    </row>
    <row r="241" ht="15.75" customHeight="1" s="169">
      <c r="A241" s="15">
        <f>IFERROR(__xludf.DUMMYFUNCTION("""COMPUTED_VALUE"""),240.0)</f>
        <v/>
      </c>
      <c r="B241" s="28">
        <f>IFERROR(__xludf.DUMMYFUNCTION("""COMPUTED_VALUE"""),3.28000514E8)</f>
        <v/>
      </c>
      <c r="C241" s="28">
        <f>IFERROR(__xludf.DUMMYFUNCTION("""COMPUTED_VALUE"""),"DEVINA PURWITA")</f>
        <v/>
      </c>
      <c r="D241" s="175">
        <f>IFERROR(__xludf.DUMMYFUNCTION("""COMPUTED_VALUE"""),"PACKER")</f>
        <v/>
      </c>
      <c r="E241" s="28">
        <f>IFERROR(__xludf.DUMMYFUNCTION("""COMPUTED_VALUE"""),"PRODUCTION")</f>
        <v/>
      </c>
    </row>
    <row r="242" ht="15.75" customHeight="1" s="169">
      <c r="A242" s="15">
        <f>IFERROR(__xludf.DUMMYFUNCTION("""COMPUTED_VALUE"""),241.0)</f>
        <v/>
      </c>
      <c r="B242" s="28">
        <f>IFERROR(__xludf.DUMMYFUNCTION("""COMPUTED_VALUE"""),3.28000515E8)</f>
        <v/>
      </c>
      <c r="C242" s="28">
        <f>IFERROR(__xludf.DUMMYFUNCTION("""COMPUTED_VALUE"""),"MOCH RIZKY FEBRIANA")</f>
        <v/>
      </c>
      <c r="D242" s="175">
        <f>IFERROR(__xludf.DUMMYFUNCTION("""COMPUTED_VALUE"""),"OPERATOR PRODUCTION")</f>
        <v/>
      </c>
      <c r="E242" s="28">
        <f>IFERROR(__xludf.DUMMYFUNCTION("""COMPUTED_VALUE"""),"PRODUCTION")</f>
        <v/>
      </c>
    </row>
    <row r="243" ht="15.75" customHeight="1" s="169">
      <c r="A243" s="15">
        <f>IFERROR(__xludf.DUMMYFUNCTION("""COMPUTED_VALUE"""),242.0)</f>
        <v/>
      </c>
      <c r="B243" s="28">
        <f>IFERROR(__xludf.DUMMYFUNCTION("""COMPUTED_VALUE"""),3.28000516E8)</f>
        <v/>
      </c>
      <c r="C243" s="28">
        <f>IFERROR(__xludf.DUMMYFUNCTION("""COMPUTED_VALUE"""),"ACEP SAEPULLOH")</f>
        <v/>
      </c>
      <c r="D243" s="175">
        <f>IFERROR(__xludf.DUMMYFUNCTION("""COMPUTED_VALUE"""),"OPERATOR REACHTRUCK")</f>
        <v/>
      </c>
      <c r="E243" s="28">
        <f>IFERROR(__xludf.DUMMYFUNCTION("""COMPUTED_VALUE"""),"LOGISTIC")</f>
        <v/>
      </c>
    </row>
    <row r="244" ht="15.75" customHeight="1" s="169">
      <c r="A244" s="15">
        <f>IFERROR(__xludf.DUMMYFUNCTION("""COMPUTED_VALUE"""),243.0)</f>
        <v/>
      </c>
      <c r="B244" s="28">
        <f>IFERROR(__xludf.DUMMYFUNCTION("""COMPUTED_VALUE"""),3.28000517E8)</f>
        <v/>
      </c>
      <c r="C244" s="28">
        <f>IFERROR(__xludf.DUMMYFUNCTION("""COMPUTED_VALUE"""),"AJI NURDANI")</f>
        <v/>
      </c>
      <c r="D244" s="175">
        <f>IFERROR(__xludf.DUMMYFUNCTION("""COMPUTED_VALUE"""),"OPERATOR PRODUCTION")</f>
        <v/>
      </c>
      <c r="E244" s="28">
        <f>IFERROR(__xludf.DUMMYFUNCTION("""COMPUTED_VALUE"""),"PRODUCTION")</f>
        <v/>
      </c>
    </row>
    <row r="245" ht="15.75" customHeight="1" s="169">
      <c r="A245" s="15">
        <f>IFERROR(__xludf.DUMMYFUNCTION("""COMPUTED_VALUE"""),244.0)</f>
        <v/>
      </c>
      <c r="B245" s="28">
        <f>IFERROR(__xludf.DUMMYFUNCTION("""COMPUTED_VALUE"""),3.28000519E8)</f>
        <v/>
      </c>
      <c r="C245" s="28">
        <f>IFERROR(__xludf.DUMMYFUNCTION("""COMPUTED_VALUE"""),"ILWAN")</f>
        <v/>
      </c>
      <c r="D245" s="175">
        <f>IFERROR(__xludf.DUMMYFUNCTION("""COMPUTED_VALUE"""),"OPERATOR PRODUCTION")</f>
        <v/>
      </c>
      <c r="E245" s="28">
        <f>IFERROR(__xludf.DUMMYFUNCTION("""COMPUTED_VALUE"""),"PRODUCTION")</f>
        <v/>
      </c>
    </row>
    <row r="246" ht="15.75" customHeight="1" s="169">
      <c r="A246" s="15">
        <f>IFERROR(__xludf.DUMMYFUNCTION("""COMPUTED_VALUE"""),245.0)</f>
        <v/>
      </c>
      <c r="B246" s="28">
        <f>IFERROR(__xludf.DUMMYFUNCTION("""COMPUTED_VALUE"""),3.2800052E8)</f>
        <v/>
      </c>
      <c r="C246" s="28">
        <f>IFERROR(__xludf.DUMMYFUNCTION("""COMPUTED_VALUE"""),"INDRA NURFAZRI")</f>
        <v/>
      </c>
      <c r="D246" s="175">
        <f>IFERROR(__xludf.DUMMYFUNCTION("""COMPUTED_VALUE"""),"OPERATOR PRODUCTION")</f>
        <v/>
      </c>
      <c r="E246" s="28">
        <f>IFERROR(__xludf.DUMMYFUNCTION("""COMPUTED_VALUE"""),"PRODUCTION")</f>
        <v/>
      </c>
    </row>
    <row r="247" ht="15.75" customHeight="1" s="169">
      <c r="A247" s="15">
        <f>IFERROR(__xludf.DUMMYFUNCTION("""COMPUTED_VALUE"""),246.0)</f>
        <v/>
      </c>
      <c r="B247" s="28">
        <f>IFERROR(__xludf.DUMMYFUNCTION("""COMPUTED_VALUE"""),3.28000521E8)</f>
        <v/>
      </c>
      <c r="C247" s="28">
        <f>IFERROR(__xludf.DUMMYFUNCTION("""COMPUTED_VALUE"""),"IKBAR FADILLAH")</f>
        <v/>
      </c>
      <c r="D247" s="175">
        <f>IFERROR(__xludf.DUMMYFUNCTION("""COMPUTED_VALUE"""),"OPERATOR PRODUCTION")</f>
        <v/>
      </c>
      <c r="E247" s="28">
        <f>IFERROR(__xludf.DUMMYFUNCTION("""COMPUTED_VALUE"""),"PRODUCTION")</f>
        <v/>
      </c>
    </row>
    <row r="248" ht="15.75" customHeight="1" s="169">
      <c r="A248" s="15">
        <f>IFERROR(__xludf.DUMMYFUNCTION("""COMPUTED_VALUE"""),247.0)</f>
        <v/>
      </c>
      <c r="B248" s="28">
        <f>IFERROR(__xludf.DUMMYFUNCTION("""COMPUTED_VALUE"""),3.28000522E8)</f>
        <v/>
      </c>
      <c r="C248" s="28">
        <f>IFERROR(__xludf.DUMMYFUNCTION("""COMPUTED_VALUE"""),"EGA SUPRIATNA")</f>
        <v/>
      </c>
      <c r="D248" s="175">
        <f>IFERROR(__xludf.DUMMYFUNCTION("""COMPUTED_VALUE"""),"OPERATOR PRODUCTION")</f>
        <v/>
      </c>
      <c r="E248" s="28">
        <f>IFERROR(__xludf.DUMMYFUNCTION("""COMPUTED_VALUE"""),"PRODUCTION")</f>
        <v/>
      </c>
    </row>
    <row r="249" ht="15.75" customHeight="1" s="169">
      <c r="A249" s="15">
        <f>IFERROR(__xludf.DUMMYFUNCTION("""COMPUTED_VALUE"""),248.0)</f>
        <v/>
      </c>
      <c r="B249" s="28">
        <f>IFERROR(__xludf.DUMMYFUNCTION("""COMPUTED_VALUE"""),3.28000525E8)</f>
        <v/>
      </c>
      <c r="C249" s="28">
        <f>IFERROR(__xludf.DUMMYFUNCTION("""COMPUTED_VALUE"""),"WAHID NUR ROHMAN")</f>
        <v/>
      </c>
      <c r="D249" s="175">
        <f>IFERROR(__xludf.DUMMYFUNCTION("""COMPUTED_VALUE"""),"ADMIN TIMBANGAN")</f>
        <v/>
      </c>
      <c r="E249" s="28">
        <f>IFERROR(__xludf.DUMMYFUNCTION("""COMPUTED_VALUE"""),"LOGISTIC")</f>
        <v/>
      </c>
    </row>
    <row r="250" ht="15.75" customHeight="1" s="169">
      <c r="A250" s="15">
        <f>IFERROR(__xludf.DUMMYFUNCTION("""COMPUTED_VALUE"""),249.0)</f>
        <v/>
      </c>
      <c r="B250" s="28">
        <f>IFERROR(__xludf.DUMMYFUNCTION("""COMPUTED_VALUE"""),3.28000527E8)</f>
        <v/>
      </c>
      <c r="C250" s="28">
        <f>IFERROR(__xludf.DUMMYFUNCTION("""COMPUTED_VALUE"""),"SOBARIYAD ALL MUSYIRIN")</f>
        <v/>
      </c>
      <c r="D250" s="175">
        <f>IFERROR(__xludf.DUMMYFUNCTION("""COMPUTED_VALUE"""),"OPERATOR PRODUCTION")</f>
        <v/>
      </c>
      <c r="E250" s="28">
        <f>IFERROR(__xludf.DUMMYFUNCTION("""COMPUTED_VALUE"""),"PRODUCTION")</f>
        <v/>
      </c>
    </row>
    <row r="251" ht="15.75" customHeight="1" s="169">
      <c r="A251" s="15">
        <f>IFERROR(__xludf.DUMMYFUNCTION("""COMPUTED_VALUE"""),250.0)</f>
        <v/>
      </c>
      <c r="B251" s="28">
        <f>IFERROR(__xludf.DUMMYFUNCTION("""COMPUTED_VALUE"""),3.2800053E8)</f>
        <v/>
      </c>
      <c r="C251" s="28">
        <f>IFERROR(__xludf.DUMMYFUNCTION("""COMPUTED_VALUE"""),"ADE RANA SUPRIYATNA")</f>
        <v/>
      </c>
      <c r="D251" s="175">
        <f>IFERROR(__xludf.DUMMYFUNCTION("""COMPUTED_VALUE"""),"OPERATOR PRODUCTION")</f>
        <v/>
      </c>
      <c r="E251" s="28">
        <f>IFERROR(__xludf.DUMMYFUNCTION("""COMPUTED_VALUE"""),"PRODUCTION")</f>
        <v/>
      </c>
    </row>
    <row r="252" ht="15.75" customHeight="1" s="169">
      <c r="A252" s="15">
        <f>IFERROR(__xludf.DUMMYFUNCTION("""COMPUTED_VALUE"""),251.0)</f>
        <v/>
      </c>
      <c r="B252" s="28">
        <f>IFERROR(__xludf.DUMMYFUNCTION("""COMPUTED_VALUE"""),3.28000531E8)</f>
        <v/>
      </c>
      <c r="C252" s="28">
        <f>IFERROR(__xludf.DUMMYFUNCTION("""COMPUTED_VALUE"""),"SRI RAHAYU SUHENDRA")</f>
        <v/>
      </c>
      <c r="D252" s="175">
        <f>IFERROR(__xludf.DUMMYFUNCTION("""COMPUTED_VALUE"""),"PACKER")</f>
        <v/>
      </c>
      <c r="E252" s="28">
        <f>IFERROR(__xludf.DUMMYFUNCTION("""COMPUTED_VALUE"""),"PRODUCTION")</f>
        <v/>
      </c>
    </row>
    <row r="253" ht="15.75" customHeight="1" s="169">
      <c r="A253" s="15">
        <f>IFERROR(__xludf.DUMMYFUNCTION("""COMPUTED_VALUE"""),252.0)</f>
        <v/>
      </c>
      <c r="B253" s="28">
        <f>IFERROR(__xludf.DUMMYFUNCTION("""COMPUTED_VALUE"""),3.28000532E8)</f>
        <v/>
      </c>
      <c r="C253" s="28">
        <f>IFERROR(__xludf.DUMMYFUNCTION("""COMPUTED_VALUE"""),"RINDY PUZIAWATI")</f>
        <v/>
      </c>
      <c r="D253" s="175">
        <f>IFERROR(__xludf.DUMMYFUNCTION("""COMPUTED_VALUE"""),"PACKER")</f>
        <v/>
      </c>
      <c r="E253" s="28">
        <f>IFERROR(__xludf.DUMMYFUNCTION("""COMPUTED_VALUE"""),"PRODUCTION")</f>
        <v/>
      </c>
    </row>
    <row r="254" ht="15.75" customHeight="1" s="169">
      <c r="A254" s="15">
        <f>IFERROR(__xludf.DUMMYFUNCTION("""COMPUTED_VALUE"""),253.0)</f>
        <v/>
      </c>
      <c r="B254" s="28">
        <f>IFERROR(__xludf.DUMMYFUNCTION("""COMPUTED_VALUE"""),3.28000533E8)</f>
        <v/>
      </c>
      <c r="C254" s="28">
        <f>IFERROR(__xludf.DUMMYFUNCTION("""COMPUTED_VALUE"""),"MELODYA RIZKY CANTIKA")</f>
        <v/>
      </c>
      <c r="D254" s="175">
        <f>IFERROR(__xludf.DUMMYFUNCTION("""COMPUTED_VALUE"""),"PACKER")</f>
        <v/>
      </c>
      <c r="E254" s="28">
        <f>IFERROR(__xludf.DUMMYFUNCTION("""COMPUTED_VALUE"""),"PRODUCTION")</f>
        <v/>
      </c>
    </row>
    <row r="255" ht="15.75" customHeight="1" s="169">
      <c r="A255" s="15">
        <f>IFERROR(__xludf.DUMMYFUNCTION("""COMPUTED_VALUE"""),254.0)</f>
        <v/>
      </c>
      <c r="B255" s="28">
        <f>IFERROR(__xludf.DUMMYFUNCTION("""COMPUTED_VALUE"""),3.28000534E8)</f>
        <v/>
      </c>
      <c r="C255" s="28">
        <f>IFERROR(__xludf.DUMMYFUNCTION("""COMPUTED_VALUE"""),"RAHMA NOOR ASSYFA")</f>
        <v/>
      </c>
      <c r="D255" s="175">
        <f>IFERROR(__xludf.DUMMYFUNCTION("""COMPUTED_VALUE"""),"PACKER")</f>
        <v/>
      </c>
      <c r="E255" s="28">
        <f>IFERROR(__xludf.DUMMYFUNCTION("""COMPUTED_VALUE"""),"PRODUCTION")</f>
        <v/>
      </c>
    </row>
    <row r="256" ht="15.75" customHeight="1" s="169">
      <c r="A256" s="15">
        <f>IFERROR(__xludf.DUMMYFUNCTION("""COMPUTED_VALUE"""),255.0)</f>
        <v/>
      </c>
      <c r="B256" s="28">
        <f>IFERROR(__xludf.DUMMYFUNCTION("""COMPUTED_VALUE"""),3.28000535E8)</f>
        <v/>
      </c>
      <c r="C256" s="28">
        <f>IFERROR(__xludf.DUMMYFUNCTION("""COMPUTED_VALUE"""),"RISKA RAHMAWATI")</f>
        <v/>
      </c>
      <c r="D256" s="175">
        <f>IFERROR(__xludf.DUMMYFUNCTION("""COMPUTED_VALUE"""),"PACKER")</f>
        <v/>
      </c>
      <c r="E256" s="28">
        <f>IFERROR(__xludf.DUMMYFUNCTION("""COMPUTED_VALUE"""),"PRODUCTION")</f>
        <v/>
      </c>
    </row>
    <row r="257" ht="15.75" customHeight="1" s="169">
      <c r="A257" s="15">
        <f>IFERROR(__xludf.DUMMYFUNCTION("""COMPUTED_VALUE"""),256.0)</f>
        <v/>
      </c>
      <c r="B257" s="28">
        <f>IFERROR(__xludf.DUMMYFUNCTION("""COMPUTED_VALUE"""),3.28000536E8)</f>
        <v/>
      </c>
      <c r="C257" s="28">
        <f>IFERROR(__xludf.DUMMYFUNCTION("""COMPUTED_VALUE"""),"TARINI NOVITASARI")</f>
        <v/>
      </c>
      <c r="D257" s="175">
        <f>IFERROR(__xludf.DUMMYFUNCTION("""COMPUTED_VALUE"""),"PACKER")</f>
        <v/>
      </c>
      <c r="E257" s="28">
        <f>IFERROR(__xludf.DUMMYFUNCTION("""COMPUTED_VALUE"""),"PRODUCTION")</f>
        <v/>
      </c>
    </row>
    <row r="258" ht="15.75" customHeight="1" s="169">
      <c r="A258" s="15">
        <f>IFERROR(__xludf.DUMMYFUNCTION("""COMPUTED_VALUE"""),257.0)</f>
        <v/>
      </c>
      <c r="B258" s="28">
        <f>IFERROR(__xludf.DUMMYFUNCTION("""COMPUTED_VALUE"""),3.28000537E8)</f>
        <v/>
      </c>
      <c r="C258" s="28">
        <f>IFERROR(__xludf.DUMMYFUNCTION("""COMPUTED_VALUE"""),"EPI PUSPITASARI")</f>
        <v/>
      </c>
      <c r="D258" s="175">
        <f>IFERROR(__xludf.DUMMYFUNCTION("""COMPUTED_VALUE"""),"PACKER")</f>
        <v/>
      </c>
      <c r="E258" s="28">
        <f>IFERROR(__xludf.DUMMYFUNCTION("""COMPUTED_VALUE"""),"PRODUCTION")</f>
        <v/>
      </c>
    </row>
    <row r="259" ht="15.75" customHeight="1" s="169">
      <c r="A259" s="15">
        <f>IFERROR(__xludf.DUMMYFUNCTION("""COMPUTED_VALUE"""),258.0)</f>
        <v/>
      </c>
      <c r="B259" s="28">
        <f>IFERROR(__xludf.DUMMYFUNCTION("""COMPUTED_VALUE"""),3.28000538E8)</f>
        <v/>
      </c>
      <c r="C259" s="28">
        <f>IFERROR(__xludf.DUMMYFUNCTION("""COMPUTED_VALUE"""),"PUTRI SALSA JULIYANTI")</f>
        <v/>
      </c>
      <c r="D259" s="175">
        <f>IFERROR(__xludf.DUMMYFUNCTION("""COMPUTED_VALUE"""),"PACKER")</f>
        <v/>
      </c>
      <c r="E259" s="28">
        <f>IFERROR(__xludf.DUMMYFUNCTION("""COMPUTED_VALUE"""),"PRODUCTION")</f>
        <v/>
      </c>
    </row>
    <row r="260" ht="15.75" customHeight="1" s="169">
      <c r="A260" s="15">
        <f>IFERROR(__xludf.DUMMYFUNCTION("""COMPUTED_VALUE"""),259.0)</f>
        <v/>
      </c>
      <c r="B260" s="28">
        <f>IFERROR(__xludf.DUMMYFUNCTION("""COMPUTED_VALUE"""),3.28000539E8)</f>
        <v/>
      </c>
      <c r="C260" s="28">
        <f>IFERROR(__xludf.DUMMYFUNCTION("""COMPUTED_VALUE"""),"PRISKA FITRIYANI")</f>
        <v/>
      </c>
      <c r="D260" s="175">
        <f>IFERROR(__xludf.DUMMYFUNCTION("""COMPUTED_VALUE"""),"PACKER")</f>
        <v/>
      </c>
      <c r="E260" s="28">
        <f>IFERROR(__xludf.DUMMYFUNCTION("""COMPUTED_VALUE"""),"PRODUCTION")</f>
        <v/>
      </c>
    </row>
    <row r="261" ht="15.75" customHeight="1" s="169">
      <c r="A261" s="15">
        <f>IFERROR(__xludf.DUMMYFUNCTION("""COMPUTED_VALUE"""),260.0)</f>
        <v/>
      </c>
      <c r="B261" s="28">
        <f>IFERROR(__xludf.DUMMYFUNCTION("""COMPUTED_VALUE"""),3.2800054E8)</f>
        <v/>
      </c>
      <c r="C261" s="28">
        <f>IFERROR(__xludf.DUMMYFUNCTION("""COMPUTED_VALUE"""),"RAJESTY SUCIPTA MAHESA DWI")</f>
        <v/>
      </c>
      <c r="D261" s="175">
        <f>IFERROR(__xludf.DUMMYFUNCTION("""COMPUTED_VALUE"""),"QC PRODUKSI")</f>
        <v/>
      </c>
      <c r="E261" s="28">
        <f>IFERROR(__xludf.DUMMYFUNCTION("""COMPUTED_VALUE"""),"QUALITY AND RESEARCH &amp; DEVELOPMENT")</f>
        <v/>
      </c>
    </row>
    <row r="262" ht="15.75" customHeight="1" s="169">
      <c r="A262" s="15">
        <f>IFERROR(__xludf.DUMMYFUNCTION("""COMPUTED_VALUE"""),261.0)</f>
        <v/>
      </c>
      <c r="B262" s="28">
        <f>IFERROR(__xludf.DUMMYFUNCTION("""COMPUTED_VALUE"""),3.28000541E8)</f>
        <v/>
      </c>
      <c r="C262" s="28">
        <f>IFERROR(__xludf.DUMMYFUNCTION("""COMPUTED_VALUE"""),"SALMA NAFILAH")</f>
        <v/>
      </c>
      <c r="D262" s="175">
        <f>IFERROR(__xludf.DUMMYFUNCTION("""COMPUTED_VALUE"""),"QC PRODUKSI")</f>
        <v/>
      </c>
      <c r="E262" s="28">
        <f>IFERROR(__xludf.DUMMYFUNCTION("""COMPUTED_VALUE"""),"QUALITY AND RESEARCH &amp; DEVELOPMENT")</f>
        <v/>
      </c>
    </row>
    <row r="263" ht="15.75" customHeight="1" s="169">
      <c r="A263" s="15">
        <f>IFERROR(__xludf.DUMMYFUNCTION("""COMPUTED_VALUE"""),262.0)</f>
        <v/>
      </c>
      <c r="B263" s="28">
        <f>IFERROR(__xludf.DUMMYFUNCTION("""COMPUTED_VALUE"""),3.28000542E8)</f>
        <v/>
      </c>
      <c r="C263" s="28">
        <f>IFERROR(__xludf.DUMMYFUNCTION("""COMPUTED_VALUE"""),"BINTANG DWI MEIFAL")</f>
        <v/>
      </c>
      <c r="D263" s="175">
        <f>IFERROR(__xludf.DUMMYFUNCTION("""COMPUTED_VALUE"""),"ADMIN TIMBANGAN")</f>
        <v/>
      </c>
      <c r="E263" s="28">
        <f>IFERROR(__xludf.DUMMYFUNCTION("""COMPUTED_VALUE"""),"LOGISTIC")</f>
        <v/>
      </c>
    </row>
    <row r="264" ht="15.75" customHeight="1" s="169">
      <c r="A264" s="15">
        <f>IFERROR(__xludf.DUMMYFUNCTION("""COMPUTED_VALUE"""),263.0)</f>
        <v/>
      </c>
      <c r="B264" s="28">
        <f>IFERROR(__xludf.DUMMYFUNCTION("""COMPUTED_VALUE"""),3.28000543E8)</f>
        <v/>
      </c>
      <c r="C264" s="28">
        <f>IFERROR(__xludf.DUMMYFUNCTION("""COMPUTED_VALUE"""),"PUTRI ANDINI WULANDARI ANWAR")</f>
        <v/>
      </c>
      <c r="D264" s="175">
        <f>IFERROR(__xludf.DUMMYFUNCTION("""COMPUTED_VALUE"""),"QC PRODUKSI")</f>
        <v/>
      </c>
      <c r="E264" s="28">
        <f>IFERROR(__xludf.DUMMYFUNCTION("""COMPUTED_VALUE"""),"QUALITY AND RESEARCH &amp; DEVELOPMENT")</f>
        <v/>
      </c>
    </row>
    <row r="265" ht="15.75" customHeight="1" s="169">
      <c r="A265" s="15">
        <f>IFERROR(__xludf.DUMMYFUNCTION("""COMPUTED_VALUE"""),264.0)</f>
        <v/>
      </c>
      <c r="B265" s="28">
        <f>IFERROR(__xludf.DUMMYFUNCTION("""COMPUTED_VALUE"""),3.28000544E8)</f>
        <v/>
      </c>
      <c r="C265" s="28">
        <f>IFERROR(__xludf.DUMMYFUNCTION("""COMPUTED_VALUE"""),"SRI MULYANA")</f>
        <v/>
      </c>
      <c r="D265" s="175">
        <f>IFERROR(__xludf.DUMMYFUNCTION("""COMPUTED_VALUE"""),"PACKER")</f>
        <v/>
      </c>
      <c r="E265" s="28">
        <f>IFERROR(__xludf.DUMMYFUNCTION("""COMPUTED_VALUE"""),"PRODUCTION")</f>
        <v/>
      </c>
    </row>
    <row r="266" ht="15.75" customHeight="1" s="169">
      <c r="A266" s="15">
        <f>IFERROR(__xludf.DUMMYFUNCTION("""COMPUTED_VALUE"""),265.0)</f>
        <v/>
      </c>
      <c r="B266" s="28">
        <f>IFERROR(__xludf.DUMMYFUNCTION("""COMPUTED_VALUE"""),3.28000545E8)</f>
        <v/>
      </c>
      <c r="C266" s="28">
        <f>IFERROR(__xludf.DUMMYFUNCTION("""COMPUTED_VALUE"""),"ALI SARONI")</f>
        <v/>
      </c>
      <c r="D266" s="175">
        <f>IFERROR(__xludf.DUMMYFUNCTION("""COMPUTED_VALUE"""),"PACKER")</f>
        <v/>
      </c>
      <c r="E266" s="28">
        <f>IFERROR(__xludf.DUMMYFUNCTION("""COMPUTED_VALUE"""),"PRODUCTION")</f>
        <v/>
      </c>
    </row>
    <row r="267" ht="15.75" customHeight="1" s="169">
      <c r="A267" s="15">
        <f>IFERROR(__xludf.DUMMYFUNCTION("""COMPUTED_VALUE"""),266.0)</f>
        <v/>
      </c>
      <c r="B267" s="28">
        <f>IFERROR(__xludf.DUMMYFUNCTION("""COMPUTED_VALUE"""),3.28000546E8)</f>
        <v/>
      </c>
      <c r="C267" s="28">
        <f>IFERROR(__xludf.DUMMYFUNCTION("""COMPUTED_VALUE"""),"GILANG RAYANA")</f>
        <v/>
      </c>
      <c r="D267" s="175">
        <f>IFERROR(__xludf.DUMMYFUNCTION("""COMPUTED_VALUE"""),"PACKER")</f>
        <v/>
      </c>
      <c r="E267" s="28">
        <f>IFERROR(__xludf.DUMMYFUNCTION("""COMPUTED_VALUE"""),"PRODUCTION")</f>
        <v/>
      </c>
    </row>
    <row r="268" ht="15.75" customHeight="1" s="169">
      <c r="A268" s="15">
        <f>IFERROR(__xludf.DUMMYFUNCTION("""COMPUTED_VALUE"""),267.0)</f>
        <v/>
      </c>
      <c r="B268" s="28">
        <f>IFERROR(__xludf.DUMMYFUNCTION("""COMPUTED_VALUE"""),3.28000547E8)</f>
        <v/>
      </c>
      <c r="C268" s="28">
        <f>IFERROR(__xludf.DUMMYFUNCTION("""COMPUTED_VALUE"""),"ISNAWATI")</f>
        <v/>
      </c>
      <c r="D268" s="175">
        <f>IFERROR(__xludf.DUMMYFUNCTION("""COMPUTED_VALUE"""),"PACKER")</f>
        <v/>
      </c>
      <c r="E268" s="28">
        <f>IFERROR(__xludf.DUMMYFUNCTION("""COMPUTED_VALUE"""),"PRODUCTION")</f>
        <v/>
      </c>
    </row>
    <row r="269" ht="15.75" customHeight="1" s="169">
      <c r="A269" s="15">
        <f>IFERROR(__xludf.DUMMYFUNCTION("""COMPUTED_VALUE"""),268.0)</f>
        <v/>
      </c>
      <c r="B269" s="28">
        <f>IFERROR(__xludf.DUMMYFUNCTION("""COMPUTED_VALUE"""),3.28000548E8)</f>
        <v/>
      </c>
      <c r="C269" s="28">
        <f>IFERROR(__xludf.DUMMYFUNCTION("""COMPUTED_VALUE"""),"IWAN PERMADI")</f>
        <v/>
      </c>
      <c r="D269" s="175">
        <f>IFERROR(__xludf.DUMMYFUNCTION("""COMPUTED_VALUE"""),"OPERATOR PRODUCTION")</f>
        <v/>
      </c>
      <c r="E269" s="28">
        <f>IFERROR(__xludf.DUMMYFUNCTION("""COMPUTED_VALUE"""),"PRODUCTION")</f>
        <v/>
      </c>
    </row>
    <row r="270" ht="15.75" customHeight="1" s="169">
      <c r="A270" s="15">
        <f>IFERROR(__xludf.DUMMYFUNCTION("""COMPUTED_VALUE"""),269.0)</f>
        <v/>
      </c>
      <c r="B270" s="28">
        <f>IFERROR(__xludf.DUMMYFUNCTION("""COMPUTED_VALUE"""),3.28000549E8)</f>
        <v/>
      </c>
      <c r="C270" s="28">
        <f>IFERROR(__xludf.DUMMYFUNCTION("""COMPUTED_VALUE"""),"TIARA POETRI NABILA")</f>
        <v/>
      </c>
      <c r="D270" s="175">
        <f>IFERROR(__xludf.DUMMYFUNCTION("""COMPUTED_VALUE"""),"QC PRODUKSI")</f>
        <v/>
      </c>
      <c r="E270" s="28">
        <f>IFERROR(__xludf.DUMMYFUNCTION("""COMPUTED_VALUE"""),"QUALITY AND RESEARCH &amp; DEVELOPMENT")</f>
        <v/>
      </c>
    </row>
    <row r="271" ht="15.75" customHeight="1" s="169">
      <c r="A271" s="15">
        <f>IFERROR(__xludf.DUMMYFUNCTION("""COMPUTED_VALUE"""),270.0)</f>
        <v/>
      </c>
      <c r="B271" s="28">
        <f>IFERROR(__xludf.DUMMYFUNCTION("""COMPUTED_VALUE"""),3.2800055E8)</f>
        <v/>
      </c>
      <c r="C271" s="28">
        <f>IFERROR(__xludf.DUMMYFUNCTION("""COMPUTED_VALUE"""),"ANGELICA OKTAVIA PURBA TAMBAK")</f>
        <v/>
      </c>
      <c r="D271" s="175">
        <f>IFERROR(__xludf.DUMMYFUNCTION("""COMPUTED_VALUE"""),"QC PRODUKSI")</f>
        <v/>
      </c>
      <c r="E271" s="28">
        <f>IFERROR(__xludf.DUMMYFUNCTION("""COMPUTED_VALUE"""),"QUALITY AND RESEARCH &amp; DEVELOPMENT")</f>
        <v/>
      </c>
    </row>
    <row r="272" ht="15.75" customHeight="1" s="169">
      <c r="A272" s="15">
        <f>IFERROR(__xludf.DUMMYFUNCTION("""COMPUTED_VALUE"""),271.0)</f>
        <v/>
      </c>
      <c r="B272" s="28">
        <f>IFERROR(__xludf.DUMMYFUNCTION("""COMPUTED_VALUE"""),3.28000551E8)</f>
        <v/>
      </c>
      <c r="C272" s="28">
        <f>IFERROR(__xludf.DUMMYFUNCTION("""COMPUTED_VALUE"""),"WIDI ILAHI CAHYANI")</f>
        <v/>
      </c>
      <c r="D272" s="175">
        <f>IFERROR(__xludf.DUMMYFUNCTION("""COMPUTED_VALUE"""),"QC PRODUKSI")</f>
        <v/>
      </c>
      <c r="E272" s="28">
        <f>IFERROR(__xludf.DUMMYFUNCTION("""COMPUTED_VALUE"""),"QUALITY AND RESEARCH &amp; DEVELOPMENT")</f>
        <v/>
      </c>
    </row>
    <row r="273" ht="15.75" customHeight="1" s="169">
      <c r="A273" s="15">
        <f>IFERROR(__xludf.DUMMYFUNCTION("""COMPUTED_VALUE"""),272.0)</f>
        <v/>
      </c>
      <c r="B273" s="28">
        <f>IFERROR(__xludf.DUMMYFUNCTION("""COMPUTED_VALUE"""),3.28000552E8)</f>
        <v/>
      </c>
      <c r="C273" s="28">
        <f>IFERROR(__xludf.DUMMYFUNCTION("""COMPUTED_VALUE"""),"SUSI RATNASARI")</f>
        <v/>
      </c>
      <c r="D273" s="175">
        <f>IFERROR(__xludf.DUMMYFUNCTION("""COMPUTED_VALUE"""),"PACKER")</f>
        <v/>
      </c>
      <c r="E273" s="28">
        <f>IFERROR(__xludf.DUMMYFUNCTION("""COMPUTED_VALUE"""),"PRODUCTION")</f>
        <v/>
      </c>
    </row>
    <row r="274" ht="15.75" customHeight="1" s="169">
      <c r="A274" s="15">
        <f>IFERROR(__xludf.DUMMYFUNCTION("""COMPUTED_VALUE"""),273.0)</f>
        <v/>
      </c>
      <c r="B274" s="28">
        <f>IFERROR(__xludf.DUMMYFUNCTION("""COMPUTED_VALUE"""),3.28000554E8)</f>
        <v/>
      </c>
      <c r="C274" s="28">
        <f>IFERROR(__xludf.DUMMYFUNCTION("""COMPUTED_VALUE"""),"NURUL ARIPIN")</f>
        <v/>
      </c>
      <c r="D274" s="175">
        <f>IFERROR(__xludf.DUMMYFUNCTION("""COMPUTED_VALUE"""),"PACKER")</f>
        <v/>
      </c>
      <c r="E274" s="28">
        <f>IFERROR(__xludf.DUMMYFUNCTION("""COMPUTED_VALUE"""),"PRODUCTION")</f>
        <v/>
      </c>
    </row>
    <row r="275" ht="15.75" customHeight="1" s="169">
      <c r="A275" s="15">
        <f>IFERROR(__xludf.DUMMYFUNCTION("""COMPUTED_VALUE"""),274.0)</f>
        <v/>
      </c>
      <c r="B275" s="28">
        <f>IFERROR(__xludf.DUMMYFUNCTION("""COMPUTED_VALUE"""),3.28000555E8)</f>
        <v/>
      </c>
      <c r="C275" s="28">
        <f>IFERROR(__xludf.DUMMYFUNCTION("""COMPUTED_VALUE"""),"VIVI WINDAYANI")</f>
        <v/>
      </c>
      <c r="D275" s="175">
        <f>IFERROR(__xludf.DUMMYFUNCTION("""COMPUTED_VALUE"""),"PACKER")</f>
        <v/>
      </c>
      <c r="E275" s="28">
        <f>IFERROR(__xludf.DUMMYFUNCTION("""COMPUTED_VALUE"""),"PRODUCTION")</f>
        <v/>
      </c>
    </row>
    <row r="276" ht="15.75" customHeight="1" s="169">
      <c r="A276" s="15">
        <f>IFERROR(__xludf.DUMMYFUNCTION("""COMPUTED_VALUE"""),275.0)</f>
        <v/>
      </c>
      <c r="B276" s="28">
        <f>IFERROR(__xludf.DUMMYFUNCTION("""COMPUTED_VALUE"""),3.28000556E8)</f>
        <v/>
      </c>
      <c r="C276" s="28">
        <f>IFERROR(__xludf.DUMMYFUNCTION("""COMPUTED_VALUE"""),"DENIA AYULESTARI ")</f>
        <v/>
      </c>
      <c r="D276" s="175">
        <f>IFERROR(__xludf.DUMMYFUNCTION("""COMPUTED_VALUE"""),"PACKER")</f>
        <v/>
      </c>
      <c r="E276" s="28">
        <f>IFERROR(__xludf.DUMMYFUNCTION("""COMPUTED_VALUE"""),"PRODUCTION")</f>
        <v/>
      </c>
    </row>
    <row r="277" ht="15.75" customHeight="1" s="169">
      <c r="A277" s="15">
        <f>IFERROR(__xludf.DUMMYFUNCTION("""COMPUTED_VALUE"""),276.0)</f>
        <v/>
      </c>
      <c r="B277" s="28">
        <f>IFERROR(__xludf.DUMMYFUNCTION("""COMPUTED_VALUE"""),3.28000557E8)</f>
        <v/>
      </c>
      <c r="C277" s="28">
        <f>IFERROR(__xludf.DUMMYFUNCTION("""COMPUTED_VALUE"""),"RAZIEF HARDIAS")</f>
        <v/>
      </c>
      <c r="D277" s="175">
        <f>IFERROR(__xludf.DUMMYFUNCTION("""COMPUTED_VALUE"""),"PACKER")</f>
        <v/>
      </c>
      <c r="E277" s="28">
        <f>IFERROR(__xludf.DUMMYFUNCTION("""COMPUTED_VALUE"""),"PRODUCTION")</f>
        <v/>
      </c>
    </row>
    <row r="278" ht="15.75" customHeight="1" s="169">
      <c r="A278" s="15">
        <f>IFERROR(__xludf.DUMMYFUNCTION("""COMPUTED_VALUE"""),277.0)</f>
        <v/>
      </c>
      <c r="B278" s="28">
        <f>IFERROR(__xludf.DUMMYFUNCTION("""COMPUTED_VALUE"""),3.28000558E8)</f>
        <v/>
      </c>
      <c r="C278" s="28">
        <f>IFERROR(__xludf.DUMMYFUNCTION("""COMPUTED_VALUE"""),"FERNANDA IRMANSYAH")</f>
        <v/>
      </c>
      <c r="D278" s="175">
        <f>IFERROR(__xludf.DUMMYFUNCTION("""COMPUTED_VALUE"""),"PACKER")</f>
        <v/>
      </c>
      <c r="E278" s="28">
        <f>IFERROR(__xludf.DUMMYFUNCTION("""COMPUTED_VALUE"""),"PRODUCTION")</f>
        <v/>
      </c>
    </row>
    <row r="279" ht="15.75" customHeight="1" s="169">
      <c r="A279" s="15">
        <f>IFERROR(__xludf.DUMMYFUNCTION("""COMPUTED_VALUE"""),278.0)</f>
        <v/>
      </c>
      <c r="B279" s="28">
        <f>IFERROR(__xludf.DUMMYFUNCTION("""COMPUTED_VALUE"""),3.28000559E8)</f>
        <v/>
      </c>
      <c r="C279" s="28">
        <f>IFERROR(__xludf.DUMMYFUNCTION("""COMPUTED_VALUE"""),"M. DZIQRY REZQI HARIYANTO")</f>
        <v/>
      </c>
      <c r="D279" s="175">
        <f>IFERROR(__xludf.DUMMYFUNCTION("""COMPUTED_VALUE"""),"PACKER")</f>
        <v/>
      </c>
      <c r="E279" s="28">
        <f>IFERROR(__xludf.DUMMYFUNCTION("""COMPUTED_VALUE"""),"PRODUCTION")</f>
        <v/>
      </c>
    </row>
    <row r="280" ht="15.75" customHeight="1" s="169">
      <c r="A280" s="15">
        <f>IFERROR(__xludf.DUMMYFUNCTION("""COMPUTED_VALUE"""),279.0)</f>
        <v/>
      </c>
      <c r="B280" s="28">
        <f>IFERROR(__xludf.DUMMYFUNCTION("""COMPUTED_VALUE"""),3.2800056E8)</f>
        <v/>
      </c>
      <c r="C280" s="28">
        <f>IFERROR(__xludf.DUMMYFUNCTION("""COMPUTED_VALUE"""),"MARTIN MURALES SITORUS")</f>
        <v/>
      </c>
      <c r="D280" s="175">
        <f>IFERROR(__xludf.DUMMYFUNCTION("""COMPUTED_VALUE"""),"OPERATOR PRODUCTION")</f>
        <v/>
      </c>
      <c r="E280" s="28">
        <f>IFERROR(__xludf.DUMMYFUNCTION("""COMPUTED_VALUE"""),"PRODUCTION")</f>
        <v/>
      </c>
    </row>
    <row r="281" ht="15.75" customHeight="1" s="169">
      <c r="A281" s="15">
        <f>IFERROR(__xludf.DUMMYFUNCTION("""COMPUTED_VALUE"""),280.0)</f>
        <v/>
      </c>
      <c r="B281" s="28">
        <f>IFERROR(__xludf.DUMMYFUNCTION("""COMPUTED_VALUE"""),3.28000561E8)</f>
        <v/>
      </c>
      <c r="C281" s="28">
        <f>IFERROR(__xludf.DUMMYFUNCTION("""COMPUTED_VALUE"""),"DIKI ARIYANTO")</f>
        <v/>
      </c>
      <c r="D281" s="175">
        <f>IFERROR(__xludf.DUMMYFUNCTION("""COMPUTED_VALUE"""),"OPERATOR PRODUCTION")</f>
        <v/>
      </c>
      <c r="E281" s="28">
        <f>IFERROR(__xludf.DUMMYFUNCTION("""COMPUTED_VALUE"""),"PRODUCTION")</f>
        <v/>
      </c>
    </row>
    <row r="282" ht="15.75" customHeight="1" s="169">
      <c r="A282" s="15">
        <f>IFERROR(__xludf.DUMMYFUNCTION("""COMPUTED_VALUE"""),281.0)</f>
        <v/>
      </c>
      <c r="B282" s="28">
        <f>IFERROR(__xludf.DUMMYFUNCTION("""COMPUTED_VALUE"""),3.28000562E8)</f>
        <v/>
      </c>
      <c r="C282" s="28">
        <f>IFERROR(__xludf.DUMMYFUNCTION("""COMPUTED_VALUE"""),"MUHAMAD AMIN MAULANA")</f>
        <v/>
      </c>
      <c r="D282" s="175">
        <f>IFERROR(__xludf.DUMMYFUNCTION("""COMPUTED_VALUE"""),"OPERATOR PRODUCTION")</f>
        <v/>
      </c>
      <c r="E282" s="28">
        <f>IFERROR(__xludf.DUMMYFUNCTION("""COMPUTED_VALUE"""),"PRODUCTION")</f>
        <v/>
      </c>
    </row>
    <row r="283" ht="15.75" customHeight="1" s="169">
      <c r="A283" s="15">
        <f>IFERROR(__xludf.DUMMYFUNCTION("""COMPUTED_VALUE"""),282.0)</f>
        <v/>
      </c>
      <c r="B283" s="28">
        <f>IFERROR(__xludf.DUMMYFUNCTION("""COMPUTED_VALUE"""),3.28000563E8)</f>
        <v/>
      </c>
      <c r="C283" s="28">
        <f>IFERROR(__xludf.DUMMYFUNCTION("""COMPUTED_VALUE"""),"YUNAS")</f>
        <v/>
      </c>
      <c r="D283" s="175">
        <f>IFERROR(__xludf.DUMMYFUNCTION("""COMPUTED_VALUE"""),"TECHNICIAN")</f>
        <v/>
      </c>
      <c r="E283" s="28">
        <f>IFERROR(__xludf.DUMMYFUNCTION("""COMPUTED_VALUE"""),"ENGINEERING")</f>
        <v/>
      </c>
    </row>
    <row r="284" ht="15.75" customHeight="1" s="169">
      <c r="A284" s="15">
        <f>IFERROR(__xludf.DUMMYFUNCTION("""COMPUTED_VALUE"""),283.0)</f>
        <v/>
      </c>
      <c r="B284" s="28">
        <f>IFERROR(__xludf.DUMMYFUNCTION("""COMPUTED_VALUE"""),3.28000564E8)</f>
        <v/>
      </c>
      <c r="C284" s="28">
        <f>IFERROR(__xludf.DUMMYFUNCTION("""COMPUTED_VALUE"""),"FARKHANA SAEDINIYAH")</f>
        <v/>
      </c>
      <c r="D284" s="175">
        <f>IFERROR(__xludf.DUMMYFUNCTION("""COMPUTED_VALUE"""),"PACKER")</f>
        <v/>
      </c>
      <c r="E284" s="28">
        <f>IFERROR(__xludf.DUMMYFUNCTION("""COMPUTED_VALUE"""),"PRODUCTION")</f>
        <v/>
      </c>
    </row>
    <row r="285" ht="15.75" customHeight="1" s="169">
      <c r="A285" s="15">
        <f>IFERROR(__xludf.DUMMYFUNCTION("""COMPUTED_VALUE"""),284.0)</f>
        <v/>
      </c>
      <c r="B285" s="28">
        <f>IFERROR(__xludf.DUMMYFUNCTION("""COMPUTED_VALUE"""),3.28000565E8)</f>
        <v/>
      </c>
      <c r="C285" s="28">
        <f>IFERROR(__xludf.DUMMYFUNCTION("""COMPUTED_VALUE"""),"NIKI LESTARI")</f>
        <v/>
      </c>
      <c r="D285" s="175">
        <f>IFERROR(__xludf.DUMMYFUNCTION("""COMPUTED_VALUE"""),"PACKER")</f>
        <v/>
      </c>
      <c r="E285" s="28">
        <f>IFERROR(__xludf.DUMMYFUNCTION("""COMPUTED_VALUE"""),"PRODUCTION")</f>
        <v/>
      </c>
    </row>
    <row r="286" ht="15.75" customHeight="1" s="169">
      <c r="A286" s="15">
        <f>IFERROR(__xludf.DUMMYFUNCTION("""COMPUTED_VALUE"""),285.0)</f>
        <v/>
      </c>
      <c r="B286" s="28">
        <f>IFERROR(__xludf.DUMMYFUNCTION("""COMPUTED_VALUE"""),3.28000566E8)</f>
        <v/>
      </c>
      <c r="C286" s="28">
        <f>IFERROR(__xludf.DUMMYFUNCTION("""COMPUTED_VALUE"""),"SANTI RIZKIA CANDRA")</f>
        <v/>
      </c>
      <c r="D286" s="175">
        <f>IFERROR(__xludf.DUMMYFUNCTION("""COMPUTED_VALUE"""),"PACKER")</f>
        <v/>
      </c>
      <c r="E286" s="28">
        <f>IFERROR(__xludf.DUMMYFUNCTION("""COMPUTED_VALUE"""),"PRODUCTION")</f>
        <v/>
      </c>
    </row>
    <row r="287" ht="15.75" customHeight="1" s="169">
      <c r="A287" s="15">
        <f>IFERROR(__xludf.DUMMYFUNCTION("""COMPUTED_VALUE"""),286.0)</f>
        <v/>
      </c>
      <c r="B287" s="28">
        <f>IFERROR(__xludf.DUMMYFUNCTION("""COMPUTED_VALUE"""),3.28000567E8)</f>
        <v/>
      </c>
      <c r="C287" s="28">
        <f>IFERROR(__xludf.DUMMYFUNCTION("""COMPUTED_VALUE"""),"TRI MISERI CORDIAS WARUWU")</f>
        <v/>
      </c>
      <c r="D287" s="175">
        <f>IFERROR(__xludf.DUMMYFUNCTION("""COMPUTED_VALUE"""),"OPERATOR PRODUCTION")</f>
        <v/>
      </c>
      <c r="E287" s="28">
        <f>IFERROR(__xludf.DUMMYFUNCTION("""COMPUTED_VALUE"""),"PRODUCTION")</f>
        <v/>
      </c>
    </row>
    <row r="288" ht="15.75" customHeight="1" s="169">
      <c r="A288" s="15">
        <f>IFERROR(__xludf.DUMMYFUNCTION("""COMPUTED_VALUE"""),287.0)</f>
        <v/>
      </c>
      <c r="B288" s="28">
        <f>IFERROR(__xludf.DUMMYFUNCTION("""COMPUTED_VALUE"""),3.28000569E8)</f>
        <v/>
      </c>
      <c r="C288" s="28">
        <f>IFERROR(__xludf.DUMMYFUNCTION("""COMPUTED_VALUE"""),"FARID RAMADHAN NURDIANSYAH")</f>
        <v/>
      </c>
      <c r="D288" s="175">
        <f>IFERROR(__xludf.DUMMYFUNCTION("""COMPUTED_VALUE"""),"OPERATOR PRODUCTION")</f>
        <v/>
      </c>
      <c r="E288" s="28">
        <f>IFERROR(__xludf.DUMMYFUNCTION("""COMPUTED_VALUE"""),"PRODUCTION")</f>
        <v/>
      </c>
    </row>
    <row r="289" ht="15.75" customHeight="1" s="169">
      <c r="A289" s="15">
        <f>IFERROR(__xludf.DUMMYFUNCTION("""COMPUTED_VALUE"""),288.0)</f>
        <v/>
      </c>
      <c r="B289" s="28">
        <f>IFERROR(__xludf.DUMMYFUNCTION("""COMPUTED_VALUE"""),3.2800057E8)</f>
        <v/>
      </c>
      <c r="C289" s="28">
        <f>IFERROR(__xludf.DUMMYFUNCTION("""COMPUTED_VALUE"""),"MUHAMAD HENDRI")</f>
        <v/>
      </c>
      <c r="D289" s="175">
        <f>IFERROR(__xludf.DUMMYFUNCTION("""COMPUTED_VALUE"""),"OPERATOR PRODUCTION")</f>
        <v/>
      </c>
      <c r="E289" s="28">
        <f>IFERROR(__xludf.DUMMYFUNCTION("""COMPUTED_VALUE"""),"PRODUCTION")</f>
        <v/>
      </c>
    </row>
    <row r="290" ht="15.75" customHeight="1" s="169">
      <c r="A290" s="15">
        <f>IFERROR(__xludf.DUMMYFUNCTION("""COMPUTED_VALUE"""),289.0)</f>
        <v/>
      </c>
      <c r="B290" s="28">
        <f>IFERROR(__xludf.DUMMYFUNCTION("""COMPUTED_VALUE"""),3.28000572E8)</f>
        <v/>
      </c>
      <c r="C290" s="28">
        <f>IFERROR(__xludf.DUMMYFUNCTION("""COMPUTED_VALUE"""),"DEA LINA SABIAH")</f>
        <v/>
      </c>
      <c r="D290" s="175">
        <f>IFERROR(__xludf.DUMMYFUNCTION("""COMPUTED_VALUE"""),"QC PRODUKSI")</f>
        <v/>
      </c>
      <c r="E290" s="28">
        <f>IFERROR(__xludf.DUMMYFUNCTION("""COMPUTED_VALUE"""),"QUALITY AND RESEARCH &amp; DEVELOPMENT")</f>
        <v/>
      </c>
    </row>
    <row r="291" ht="15.75" customHeight="1" s="169">
      <c r="A291" s="15">
        <f>IFERROR(__xludf.DUMMYFUNCTION("""COMPUTED_VALUE"""),290.0)</f>
        <v/>
      </c>
      <c r="B291" s="28">
        <f>IFERROR(__xludf.DUMMYFUNCTION("""COMPUTED_VALUE"""),3.28000573E8)</f>
        <v/>
      </c>
      <c r="C291" s="28">
        <f>IFERROR(__xludf.DUMMYFUNCTION("""COMPUTED_VALUE"""),"RISMA RAHMAWATI")</f>
        <v/>
      </c>
      <c r="D291" s="175">
        <f>IFERROR(__xludf.DUMMYFUNCTION("""COMPUTED_VALUE"""),"QC PRODUKSI")</f>
        <v/>
      </c>
      <c r="E291" s="28">
        <f>IFERROR(__xludf.DUMMYFUNCTION("""COMPUTED_VALUE"""),"QUALITY AND RESEARCH &amp; DEVELOPMENT")</f>
        <v/>
      </c>
    </row>
    <row r="292" ht="15.75" customHeight="1" s="169">
      <c r="A292" s="15">
        <f>IFERROR(__xludf.DUMMYFUNCTION("""COMPUTED_VALUE"""),291.0)</f>
        <v/>
      </c>
      <c r="B292" s="28">
        <f>IFERROR(__xludf.DUMMYFUNCTION("""COMPUTED_VALUE"""),3.28000575E8)</f>
        <v/>
      </c>
      <c r="C292" s="28">
        <f>IFERROR(__xludf.DUMMYFUNCTION("""COMPUTED_VALUE"""),"DANDI")</f>
        <v/>
      </c>
      <c r="D292" s="175">
        <f>IFERROR(__xludf.DUMMYFUNCTION("""COMPUTED_VALUE"""),"TECHNICIAN")</f>
        <v/>
      </c>
      <c r="E292" s="28">
        <f>IFERROR(__xludf.DUMMYFUNCTION("""COMPUTED_VALUE"""),"ENGINEERING")</f>
        <v/>
      </c>
    </row>
    <row r="293" ht="15.75" customHeight="1" s="169">
      <c r="A293" s="15">
        <f>IFERROR(__xludf.DUMMYFUNCTION("""COMPUTED_VALUE"""),292.0)</f>
        <v/>
      </c>
      <c r="B293" s="28">
        <f>IFERROR(__xludf.DUMMYFUNCTION("""COMPUTED_VALUE"""),3.28000576E8)</f>
        <v/>
      </c>
      <c r="C293" s="28">
        <f>IFERROR(__xludf.DUMMYFUNCTION("""COMPUTED_VALUE"""),"SOFIYAN FARIYANTO")</f>
        <v/>
      </c>
      <c r="D293" s="175">
        <f>IFERROR(__xludf.DUMMYFUNCTION("""COMPUTED_VALUE"""),"OPERATOR PRODUCTION")</f>
        <v/>
      </c>
      <c r="E293" s="28">
        <f>IFERROR(__xludf.DUMMYFUNCTION("""COMPUTED_VALUE"""),"PRODUCTION")</f>
        <v/>
      </c>
    </row>
    <row r="294" ht="15.75" customHeight="1" s="169">
      <c r="A294" s="15">
        <f>IFERROR(__xludf.DUMMYFUNCTION("""COMPUTED_VALUE"""),293.0)</f>
        <v/>
      </c>
      <c r="B294" s="28">
        <f>IFERROR(__xludf.DUMMYFUNCTION("""COMPUTED_VALUE"""),3.28000577E8)</f>
        <v/>
      </c>
      <c r="C294" s="28">
        <f>IFERROR(__xludf.DUMMYFUNCTION("""COMPUTED_VALUE"""),"SUCI WIDIASTUTI")</f>
        <v/>
      </c>
      <c r="D294" s="175">
        <f>IFERROR(__xludf.DUMMYFUNCTION("""COMPUTED_VALUE"""),"PACKER")</f>
        <v/>
      </c>
      <c r="E294" s="28">
        <f>IFERROR(__xludf.DUMMYFUNCTION("""COMPUTED_VALUE"""),"PRODUCTION")</f>
        <v/>
      </c>
    </row>
    <row r="295" ht="15.75" customHeight="1" s="169">
      <c r="A295" s="15">
        <f>IFERROR(__xludf.DUMMYFUNCTION("""COMPUTED_VALUE"""),294.0)</f>
        <v/>
      </c>
      <c r="B295" s="28">
        <f>IFERROR(__xludf.DUMMYFUNCTION("""COMPUTED_VALUE"""),3.28000578E8)</f>
        <v/>
      </c>
      <c r="C295" s="28">
        <f>IFERROR(__xludf.DUMMYFUNCTION("""COMPUTED_VALUE"""),"RISMA KURNIA")</f>
        <v/>
      </c>
      <c r="D295" s="175">
        <f>IFERROR(__xludf.DUMMYFUNCTION("""COMPUTED_VALUE"""),"PACKER")</f>
        <v/>
      </c>
      <c r="E295" s="28">
        <f>IFERROR(__xludf.DUMMYFUNCTION("""COMPUTED_VALUE"""),"PRODUCTION")</f>
        <v/>
      </c>
    </row>
    <row r="296" ht="15.75" customHeight="1" s="169">
      <c r="A296" s="15">
        <f>IFERROR(__xludf.DUMMYFUNCTION("""COMPUTED_VALUE"""),295.0)</f>
        <v/>
      </c>
      <c r="B296" s="28">
        <f>IFERROR(__xludf.DUMMYFUNCTION("""COMPUTED_VALUE"""),3.28000579E8)</f>
        <v/>
      </c>
      <c r="C296" s="28">
        <f>IFERROR(__xludf.DUMMYFUNCTION("""COMPUTED_VALUE"""),"NOVI YANTI PERTIWI")</f>
        <v/>
      </c>
      <c r="D296" s="175">
        <f>IFERROR(__xludf.DUMMYFUNCTION("""COMPUTED_VALUE"""),"PACKER")</f>
        <v/>
      </c>
      <c r="E296" s="28">
        <f>IFERROR(__xludf.DUMMYFUNCTION("""COMPUTED_VALUE"""),"PRODUCTION")</f>
        <v/>
      </c>
    </row>
    <row r="297" ht="15.75" customHeight="1" s="169">
      <c r="A297" s="15">
        <f>IFERROR(__xludf.DUMMYFUNCTION("""COMPUTED_VALUE"""),296.0)</f>
        <v/>
      </c>
      <c r="B297" s="28">
        <f>IFERROR(__xludf.DUMMYFUNCTION("""COMPUTED_VALUE"""),3.2800058E8)</f>
        <v/>
      </c>
      <c r="C297" s="28">
        <f>IFERROR(__xludf.DUMMYFUNCTION("""COMPUTED_VALUE"""),"RIFAISYAH NISRINA")</f>
        <v/>
      </c>
      <c r="D297" s="175">
        <f>IFERROR(__xludf.DUMMYFUNCTION("""COMPUTED_VALUE"""),"PACKER")</f>
        <v/>
      </c>
      <c r="E297" s="28">
        <f>IFERROR(__xludf.DUMMYFUNCTION("""COMPUTED_VALUE"""),"PRODUCTION")</f>
        <v/>
      </c>
    </row>
    <row r="298" ht="15.75" customHeight="1" s="169">
      <c r="A298" s="15">
        <f>IFERROR(__xludf.DUMMYFUNCTION("""COMPUTED_VALUE"""),297.0)</f>
        <v/>
      </c>
      <c r="B298" s="28">
        <f>IFERROR(__xludf.DUMMYFUNCTION("""COMPUTED_VALUE"""),3.28000581E8)</f>
        <v/>
      </c>
      <c r="C298" s="28">
        <f>IFERROR(__xludf.DUMMYFUNCTION("""COMPUTED_VALUE"""),"NUR AKILAH")</f>
        <v/>
      </c>
      <c r="D298" s="175">
        <f>IFERROR(__xludf.DUMMYFUNCTION("""COMPUTED_VALUE"""),"PACKER")</f>
        <v/>
      </c>
      <c r="E298" s="28">
        <f>IFERROR(__xludf.DUMMYFUNCTION("""COMPUTED_VALUE"""),"PRODUCTION")</f>
        <v/>
      </c>
    </row>
    <row r="299" ht="15.75" customHeight="1" s="169">
      <c r="A299" s="15">
        <f>IFERROR(__xludf.DUMMYFUNCTION("""COMPUTED_VALUE"""),298.0)</f>
        <v/>
      </c>
      <c r="B299" s="28">
        <f>IFERROR(__xludf.DUMMYFUNCTION("""COMPUTED_VALUE"""),3.28000583E8)</f>
        <v/>
      </c>
      <c r="C299" s="28">
        <f>IFERROR(__xludf.DUMMYFUNCTION("""COMPUTED_VALUE"""),"SARAH SURYANING TYAS")</f>
        <v/>
      </c>
      <c r="D299" s="175">
        <f>IFERROR(__xludf.DUMMYFUNCTION("""COMPUTED_VALUE"""),"PACKER")</f>
        <v/>
      </c>
      <c r="E299" s="28">
        <f>IFERROR(__xludf.DUMMYFUNCTION("""COMPUTED_VALUE"""),"PRODUCTION")</f>
        <v/>
      </c>
    </row>
    <row r="300" ht="15.75" customHeight="1" s="169">
      <c r="A300" s="15">
        <f>IFERROR(__xludf.DUMMYFUNCTION("""COMPUTED_VALUE"""),299.0)</f>
        <v/>
      </c>
      <c r="B300" s="28">
        <f>IFERROR(__xludf.DUMMYFUNCTION("""COMPUTED_VALUE"""),3.28000584E8)</f>
        <v/>
      </c>
      <c r="C300" s="28">
        <f>IFERROR(__xludf.DUMMYFUNCTION("""COMPUTED_VALUE"""),"TANIA NATASYA")</f>
        <v/>
      </c>
      <c r="D300" s="175">
        <f>IFERROR(__xludf.DUMMYFUNCTION("""COMPUTED_VALUE"""),"PACKER")</f>
        <v/>
      </c>
      <c r="E300" s="28">
        <f>IFERROR(__xludf.DUMMYFUNCTION("""COMPUTED_VALUE"""),"PRODUCTION")</f>
        <v/>
      </c>
    </row>
    <row r="301" ht="15.75" customHeight="1" s="169">
      <c r="A301" s="15">
        <f>IFERROR(__xludf.DUMMYFUNCTION("""COMPUTED_VALUE"""),300.0)</f>
        <v/>
      </c>
      <c r="B301" s="28">
        <f>IFERROR(__xludf.DUMMYFUNCTION("""COMPUTED_VALUE"""),3.28000585E8)</f>
        <v/>
      </c>
      <c r="C301" s="28">
        <f>IFERROR(__xludf.DUMMYFUNCTION("""COMPUTED_VALUE"""),"SRI AJENG JULIYANTI")</f>
        <v/>
      </c>
      <c r="D301" s="175">
        <f>IFERROR(__xludf.DUMMYFUNCTION("""COMPUTED_VALUE"""),"PACKER")</f>
        <v/>
      </c>
      <c r="E301" s="28">
        <f>IFERROR(__xludf.DUMMYFUNCTION("""COMPUTED_VALUE"""),"PRODUCTION")</f>
        <v/>
      </c>
    </row>
    <row r="302" ht="15.75" customHeight="1" s="169">
      <c r="A302" s="15">
        <f>IFERROR(__xludf.DUMMYFUNCTION("""COMPUTED_VALUE"""),301.0)</f>
        <v/>
      </c>
      <c r="B302" s="28">
        <f>IFERROR(__xludf.DUMMYFUNCTION("""COMPUTED_VALUE"""),3.28000586E8)</f>
        <v/>
      </c>
      <c r="C302" s="28">
        <f>IFERROR(__xludf.DUMMYFUNCTION("""COMPUTED_VALUE"""),"NOVIA RAHMANIA")</f>
        <v/>
      </c>
      <c r="D302" s="175">
        <f>IFERROR(__xludf.DUMMYFUNCTION("""COMPUTED_VALUE"""),"PACKER")</f>
        <v/>
      </c>
      <c r="E302" s="28">
        <f>IFERROR(__xludf.DUMMYFUNCTION("""COMPUTED_VALUE"""),"PRODUCTION")</f>
        <v/>
      </c>
    </row>
    <row r="303" ht="15.75" customHeight="1" s="169">
      <c r="A303" s="15">
        <f>IFERROR(__xludf.DUMMYFUNCTION("""COMPUTED_VALUE"""),302.0)</f>
        <v/>
      </c>
      <c r="B303" s="28">
        <f>IFERROR(__xludf.DUMMYFUNCTION("""COMPUTED_VALUE"""),3.28000587E8)</f>
        <v/>
      </c>
      <c r="C303" s="28">
        <f>IFERROR(__xludf.DUMMYFUNCTION("""COMPUTED_VALUE"""),"MAWAR ENJELITA AGUSTIN")</f>
        <v/>
      </c>
      <c r="D303" s="175">
        <f>IFERROR(__xludf.DUMMYFUNCTION("""COMPUTED_VALUE"""),"PACKER")</f>
        <v/>
      </c>
      <c r="E303" s="28">
        <f>IFERROR(__xludf.DUMMYFUNCTION("""COMPUTED_VALUE"""),"PRODUCTION")</f>
        <v/>
      </c>
    </row>
    <row r="304" ht="15.75" customHeight="1" s="169">
      <c r="A304" s="15">
        <f>IFERROR(__xludf.DUMMYFUNCTION("""COMPUTED_VALUE"""),303.0)</f>
        <v/>
      </c>
      <c r="B304" s="28">
        <f>IFERROR(__xludf.DUMMYFUNCTION("""COMPUTED_VALUE"""),3.28000589E8)</f>
        <v/>
      </c>
      <c r="C304" s="28">
        <f>IFERROR(__xludf.DUMMYFUNCTION("""COMPUTED_VALUE"""),"DEA PERMATASARI")</f>
        <v/>
      </c>
      <c r="D304" s="175">
        <f>IFERROR(__xludf.DUMMYFUNCTION("""COMPUTED_VALUE"""),"PACKER")</f>
        <v/>
      </c>
      <c r="E304" s="28">
        <f>IFERROR(__xludf.DUMMYFUNCTION("""COMPUTED_VALUE"""),"PRODUCTION")</f>
        <v/>
      </c>
    </row>
    <row r="305" ht="15.75" customHeight="1" s="169">
      <c r="A305" s="15">
        <f>IFERROR(__xludf.DUMMYFUNCTION("""COMPUTED_VALUE"""),304.0)</f>
        <v/>
      </c>
      <c r="B305" s="28">
        <f>IFERROR(__xludf.DUMMYFUNCTION("""COMPUTED_VALUE"""),3.2800059E8)</f>
        <v/>
      </c>
      <c r="C305" s="28">
        <f>IFERROR(__xludf.DUMMYFUNCTION("""COMPUTED_VALUE"""),"SANTI RUKMANA")</f>
        <v/>
      </c>
      <c r="D305" s="175">
        <f>IFERROR(__xludf.DUMMYFUNCTION("""COMPUTED_VALUE"""),"PACKER")</f>
        <v/>
      </c>
      <c r="E305" s="28">
        <f>IFERROR(__xludf.DUMMYFUNCTION("""COMPUTED_VALUE"""),"PRODUCTION")</f>
        <v/>
      </c>
    </row>
    <row r="306" ht="15.75" customHeight="1" s="169">
      <c r="A306" s="15">
        <f>IFERROR(__xludf.DUMMYFUNCTION("""COMPUTED_VALUE"""),305.0)</f>
        <v/>
      </c>
      <c r="B306" s="28">
        <f>IFERROR(__xludf.DUMMYFUNCTION("""COMPUTED_VALUE"""),3.28000591E8)</f>
        <v/>
      </c>
      <c r="C306" s="28">
        <f>IFERROR(__xludf.DUMMYFUNCTION("""COMPUTED_VALUE"""),"CHELSEA")</f>
        <v/>
      </c>
      <c r="D306" s="175">
        <f>IFERROR(__xludf.DUMMYFUNCTION("""COMPUTED_VALUE"""),"PACKER")</f>
        <v/>
      </c>
      <c r="E306" s="28">
        <f>IFERROR(__xludf.DUMMYFUNCTION("""COMPUTED_VALUE"""),"PRODUCTION")</f>
        <v/>
      </c>
    </row>
    <row r="307" ht="15.75" customHeight="1" s="169">
      <c r="A307" s="15">
        <f>IFERROR(__xludf.DUMMYFUNCTION("""COMPUTED_VALUE"""),306.0)</f>
        <v/>
      </c>
      <c r="B307" s="28">
        <f>IFERROR(__xludf.DUMMYFUNCTION("""COMPUTED_VALUE"""),3.28000592E8)</f>
        <v/>
      </c>
      <c r="C307" s="28">
        <f>IFERROR(__xludf.DUMMYFUNCTION("""COMPUTED_VALUE"""),"ALVI YULIANTI")</f>
        <v/>
      </c>
      <c r="D307" s="175">
        <f>IFERROR(__xludf.DUMMYFUNCTION("""COMPUTED_VALUE"""),"PACKER")</f>
        <v/>
      </c>
      <c r="E307" s="28">
        <f>IFERROR(__xludf.DUMMYFUNCTION("""COMPUTED_VALUE"""),"PRODUCTION")</f>
        <v/>
      </c>
    </row>
    <row r="308" ht="15.75" customHeight="1" s="169">
      <c r="A308" s="15">
        <f>IFERROR(__xludf.DUMMYFUNCTION("""COMPUTED_VALUE"""),307.0)</f>
        <v/>
      </c>
      <c r="B308" s="28">
        <f>IFERROR(__xludf.DUMMYFUNCTION("""COMPUTED_VALUE"""),3.28000593E8)</f>
        <v/>
      </c>
      <c r="C308" s="28">
        <f>IFERROR(__xludf.DUMMYFUNCTION("""COMPUTED_VALUE"""),"TITA PUSPITA")</f>
        <v/>
      </c>
      <c r="D308" s="175">
        <f>IFERROR(__xludf.DUMMYFUNCTION("""COMPUTED_VALUE"""),"PACKER")</f>
        <v/>
      </c>
      <c r="E308" s="28">
        <f>IFERROR(__xludf.DUMMYFUNCTION("""COMPUTED_VALUE"""),"PRODUCTION")</f>
        <v/>
      </c>
    </row>
    <row r="309" ht="15.75" customHeight="1" s="169">
      <c r="A309" s="15">
        <f>IFERROR(__xludf.DUMMYFUNCTION("""COMPUTED_VALUE"""),308.0)</f>
        <v/>
      </c>
      <c r="B309" s="28">
        <f>IFERROR(__xludf.DUMMYFUNCTION("""COMPUTED_VALUE"""),3.28000594E8)</f>
        <v/>
      </c>
      <c r="C309" s="28">
        <f>IFERROR(__xludf.DUMMYFUNCTION("""COMPUTED_VALUE"""),"SYIFA RAMDANI")</f>
        <v/>
      </c>
      <c r="D309" s="175">
        <f>IFERROR(__xludf.DUMMYFUNCTION("""COMPUTED_VALUE"""),"PACKER")</f>
        <v/>
      </c>
      <c r="E309" s="28">
        <f>IFERROR(__xludf.DUMMYFUNCTION("""COMPUTED_VALUE"""),"PRODUCTION")</f>
        <v/>
      </c>
    </row>
    <row r="310" ht="15.75" customHeight="1" s="169">
      <c r="A310" s="15">
        <f>IFERROR(__xludf.DUMMYFUNCTION("""COMPUTED_VALUE"""),309.0)</f>
        <v/>
      </c>
      <c r="B310" s="28">
        <f>IFERROR(__xludf.DUMMYFUNCTION("""COMPUTED_VALUE"""),3.28000595E8)</f>
        <v/>
      </c>
      <c r="C310" s="28">
        <f>IFERROR(__xludf.DUMMYFUNCTION("""COMPUTED_VALUE"""),"RANI")</f>
        <v/>
      </c>
      <c r="D310" s="175">
        <f>IFERROR(__xludf.DUMMYFUNCTION("""COMPUTED_VALUE"""),"PACKER")</f>
        <v/>
      </c>
      <c r="E310" s="28">
        <f>IFERROR(__xludf.DUMMYFUNCTION("""COMPUTED_VALUE"""),"PRODUCTION")</f>
        <v/>
      </c>
    </row>
    <row r="311" ht="15.75" customHeight="1" s="169">
      <c r="A311" s="15">
        <f>IFERROR(__xludf.DUMMYFUNCTION("""COMPUTED_VALUE"""),310.0)</f>
        <v/>
      </c>
      <c r="B311" s="28">
        <f>IFERROR(__xludf.DUMMYFUNCTION("""COMPUTED_VALUE"""),3.28000596E8)</f>
        <v/>
      </c>
      <c r="C311" s="28">
        <f>IFERROR(__xludf.DUMMYFUNCTION("""COMPUTED_VALUE"""),"MAGDA AULIAWATI")</f>
        <v/>
      </c>
      <c r="D311" s="175">
        <f>IFERROR(__xludf.DUMMYFUNCTION("""COMPUTED_VALUE"""),"PACKER")</f>
        <v/>
      </c>
      <c r="E311" s="28">
        <f>IFERROR(__xludf.DUMMYFUNCTION("""COMPUTED_VALUE"""),"PRODUCTION")</f>
        <v/>
      </c>
    </row>
    <row r="312" ht="15.75" customHeight="1" s="169">
      <c r="A312" s="15">
        <f>IFERROR(__xludf.DUMMYFUNCTION("""COMPUTED_VALUE"""),311.0)</f>
        <v/>
      </c>
      <c r="B312" s="28">
        <f>IFERROR(__xludf.DUMMYFUNCTION("""COMPUTED_VALUE"""),3.28000597E8)</f>
        <v/>
      </c>
      <c r="C312" s="28">
        <f>IFERROR(__xludf.DUMMYFUNCTION("""COMPUTED_VALUE"""),"NASYWA ANINDIYA PUTRI")</f>
        <v/>
      </c>
      <c r="D312" s="175">
        <f>IFERROR(__xludf.DUMMYFUNCTION("""COMPUTED_VALUE"""),"PACKER")</f>
        <v/>
      </c>
      <c r="E312" s="28">
        <f>IFERROR(__xludf.DUMMYFUNCTION("""COMPUTED_VALUE"""),"PRODUCTION")</f>
        <v/>
      </c>
    </row>
    <row r="313" ht="15.75" customHeight="1" s="169">
      <c r="A313" s="15">
        <f>IFERROR(__xludf.DUMMYFUNCTION("""COMPUTED_VALUE"""),312.0)</f>
        <v/>
      </c>
      <c r="B313" s="28">
        <f>IFERROR(__xludf.DUMMYFUNCTION("""COMPUTED_VALUE"""),3.28000598E8)</f>
        <v/>
      </c>
      <c r="C313" s="28">
        <f>IFERROR(__xludf.DUMMYFUNCTION("""COMPUTED_VALUE"""),"NURUL ASRI MAULYDA")</f>
        <v/>
      </c>
      <c r="D313" s="175">
        <f>IFERROR(__xludf.DUMMYFUNCTION("""COMPUTED_VALUE"""),"PACKER")</f>
        <v/>
      </c>
      <c r="E313" s="28">
        <f>IFERROR(__xludf.DUMMYFUNCTION("""COMPUTED_VALUE"""),"PRODUCTION")</f>
        <v/>
      </c>
    </row>
    <row r="314" ht="15.75" customHeight="1" s="169">
      <c r="A314" s="15">
        <f>IFERROR(__xludf.DUMMYFUNCTION("""COMPUTED_VALUE"""),313.0)</f>
        <v/>
      </c>
      <c r="B314" s="28">
        <f>IFERROR(__xludf.DUMMYFUNCTION("""COMPUTED_VALUE"""),3.28000599E8)</f>
        <v/>
      </c>
      <c r="C314" s="28">
        <f>IFERROR(__xludf.DUMMYFUNCTION("""COMPUTED_VALUE"""),"NABILA JULIAWATI")</f>
        <v/>
      </c>
      <c r="D314" s="175">
        <f>IFERROR(__xludf.DUMMYFUNCTION("""COMPUTED_VALUE"""),"PACKER")</f>
        <v/>
      </c>
      <c r="E314" s="28">
        <f>IFERROR(__xludf.DUMMYFUNCTION("""COMPUTED_VALUE"""),"PRODUCTION")</f>
        <v/>
      </c>
    </row>
    <row r="315" ht="15.75" customHeight="1" s="169">
      <c r="A315" s="15">
        <f>IFERROR(__xludf.DUMMYFUNCTION("""COMPUTED_VALUE"""),314.0)</f>
        <v/>
      </c>
      <c r="B315" s="28">
        <f>IFERROR(__xludf.DUMMYFUNCTION("""COMPUTED_VALUE"""),3.280006E8)</f>
        <v/>
      </c>
      <c r="C315" s="28">
        <f>IFERROR(__xludf.DUMMYFUNCTION("""COMPUTED_VALUE"""),"FADHIL MARDIANSYAH")</f>
        <v/>
      </c>
      <c r="D315" s="175">
        <f>IFERROR(__xludf.DUMMYFUNCTION("""COMPUTED_VALUE"""),"PACKER")</f>
        <v/>
      </c>
      <c r="E315" s="28">
        <f>IFERROR(__xludf.DUMMYFUNCTION("""COMPUTED_VALUE"""),"PRODUCTION")</f>
        <v/>
      </c>
    </row>
    <row r="316" ht="15.75" customHeight="1" s="169">
      <c r="A316" s="15">
        <f>IFERROR(__xludf.DUMMYFUNCTION("""COMPUTED_VALUE"""),315.0)</f>
        <v/>
      </c>
      <c r="B316" s="28">
        <f>IFERROR(__xludf.DUMMYFUNCTION("""COMPUTED_VALUE"""),3.28000601E8)</f>
        <v/>
      </c>
      <c r="C316" s="28">
        <f>IFERROR(__xludf.DUMMYFUNCTION("""COMPUTED_VALUE"""),"RATNA HESTIKA DEVI")</f>
        <v/>
      </c>
      <c r="D316" s="175">
        <f>IFERROR(__xludf.DUMMYFUNCTION("""COMPUTED_VALUE"""),"PACKER")</f>
        <v/>
      </c>
      <c r="E316" s="28">
        <f>IFERROR(__xludf.DUMMYFUNCTION("""COMPUTED_VALUE"""),"PRODUCTION")</f>
        <v/>
      </c>
    </row>
    <row r="317" ht="15.75" customHeight="1" s="169">
      <c r="A317" s="15">
        <f>IFERROR(__xludf.DUMMYFUNCTION("""COMPUTED_VALUE"""),316.0)</f>
        <v/>
      </c>
      <c r="B317" s="28">
        <f>IFERROR(__xludf.DUMMYFUNCTION("""COMPUTED_VALUE"""),3.28000602E8)</f>
        <v/>
      </c>
      <c r="C317" s="28">
        <f>IFERROR(__xludf.DUMMYFUNCTION("""COMPUTED_VALUE"""),"RARA AMIYATUN NURSAIDAH")</f>
        <v/>
      </c>
      <c r="D317" s="175">
        <f>IFERROR(__xludf.DUMMYFUNCTION("""COMPUTED_VALUE"""),"QC PRODUKSI")</f>
        <v/>
      </c>
      <c r="E317" s="28">
        <f>IFERROR(__xludf.DUMMYFUNCTION("""COMPUTED_VALUE"""),"QUALITY AND RESEARCH &amp; DEVELOPMENT")</f>
        <v/>
      </c>
    </row>
    <row r="318" ht="15.75" customHeight="1" s="169">
      <c r="A318" s="15">
        <f>IFERROR(__xludf.DUMMYFUNCTION("""COMPUTED_VALUE"""),317.0)</f>
        <v/>
      </c>
      <c r="B318" s="28">
        <f>IFERROR(__xludf.DUMMYFUNCTION("""COMPUTED_VALUE"""),3.28000603E8)</f>
        <v/>
      </c>
      <c r="C318" s="28">
        <f>IFERROR(__xludf.DUMMYFUNCTION("""COMPUTED_VALUE"""),"AHMAD HAFID")</f>
        <v/>
      </c>
      <c r="D318" s="175">
        <f>IFERROR(__xludf.DUMMYFUNCTION("""COMPUTED_VALUE"""),"CHECKER")</f>
        <v/>
      </c>
      <c r="E318" s="28">
        <f>IFERROR(__xludf.DUMMYFUNCTION("""COMPUTED_VALUE"""),"LOGISTIC")</f>
        <v/>
      </c>
    </row>
    <row r="319" ht="15.75" customHeight="1" s="169">
      <c r="A319" s="15">
        <f>IFERROR(__xludf.DUMMYFUNCTION("""COMPUTED_VALUE"""),318.0)</f>
        <v/>
      </c>
      <c r="B319" s="28">
        <f>IFERROR(__xludf.DUMMYFUNCTION("""COMPUTED_VALUE"""),3.28000605E8)</f>
        <v/>
      </c>
      <c r="C319" s="28">
        <f>IFERROR(__xludf.DUMMYFUNCTION("""COMPUTED_VALUE"""),"JULIANA PEBRIANTO ")</f>
        <v/>
      </c>
      <c r="D319" s="175">
        <f>IFERROR(__xludf.DUMMYFUNCTION("""COMPUTED_VALUE"""),"OPERATOR PRODUCTION")</f>
        <v/>
      </c>
      <c r="E319" s="28">
        <f>IFERROR(__xludf.DUMMYFUNCTION("""COMPUTED_VALUE"""),"PRODUCTION")</f>
        <v/>
      </c>
    </row>
    <row r="320" ht="15.75" customHeight="1" s="169">
      <c r="A320" s="15">
        <f>IFERROR(__xludf.DUMMYFUNCTION("""COMPUTED_VALUE"""),319.0)</f>
        <v/>
      </c>
      <c r="B320" s="28">
        <f>IFERROR(__xludf.DUMMYFUNCTION("""COMPUTED_VALUE"""),3.28000606E8)</f>
        <v/>
      </c>
      <c r="C320" s="28">
        <f>IFERROR(__xludf.DUMMYFUNCTION("""COMPUTED_VALUE"""),"HABIBURRAHMAN AYASHI")</f>
        <v/>
      </c>
      <c r="D320" s="175">
        <f>IFERROR(__xludf.DUMMYFUNCTION("""COMPUTED_VALUE"""),"OPERATOR PRODUCTION")</f>
        <v/>
      </c>
      <c r="E320" s="28">
        <f>IFERROR(__xludf.DUMMYFUNCTION("""COMPUTED_VALUE"""),"PRODUCTION")</f>
        <v/>
      </c>
    </row>
    <row r="321" ht="15.75" customHeight="1" s="169">
      <c r="A321" s="15">
        <f>IFERROR(__xludf.DUMMYFUNCTION("""COMPUTED_VALUE"""),320.0)</f>
        <v/>
      </c>
      <c r="B321" s="28">
        <f>IFERROR(__xludf.DUMMYFUNCTION("""COMPUTED_VALUE"""),3.28000607E8)</f>
        <v/>
      </c>
      <c r="C321" s="28">
        <f>IFERROR(__xludf.DUMMYFUNCTION("""COMPUTED_VALUE"""),"GITA SONIA")</f>
        <v/>
      </c>
      <c r="D321" s="175">
        <f>IFERROR(__xludf.DUMMYFUNCTION("""COMPUTED_VALUE"""),"QC LAB")</f>
        <v/>
      </c>
      <c r="E321" s="28">
        <f>IFERROR(__xludf.DUMMYFUNCTION("""COMPUTED_VALUE"""),"QUALITY AND RESEARCH &amp; DEVELOPMENT")</f>
        <v/>
      </c>
    </row>
    <row r="322" ht="15.75" customHeight="1" s="169">
      <c r="A322" s="15">
        <f>IFERROR(__xludf.DUMMYFUNCTION("""COMPUTED_VALUE"""),321.0)</f>
        <v/>
      </c>
      <c r="B322" s="28">
        <f>IFERROR(__xludf.DUMMYFUNCTION("""COMPUTED_VALUE"""),3.28000609E8)</f>
        <v/>
      </c>
      <c r="C322" s="28">
        <f>IFERROR(__xludf.DUMMYFUNCTION("""COMPUTED_VALUE"""),"EKA NUR AISAH")</f>
        <v/>
      </c>
      <c r="D322" s="175">
        <f>IFERROR(__xludf.DUMMYFUNCTION("""COMPUTED_VALUE"""),"QC PRODUKSI")</f>
        <v/>
      </c>
      <c r="E322" s="28">
        <f>IFERROR(__xludf.DUMMYFUNCTION("""COMPUTED_VALUE"""),"QUALITY AND RESEARCH &amp; DEVELOPMENT")</f>
        <v/>
      </c>
    </row>
    <row r="323" ht="15.75" customHeight="1" s="169">
      <c r="A323" s="15">
        <f>IFERROR(__xludf.DUMMYFUNCTION("""COMPUTED_VALUE"""),322.0)</f>
        <v/>
      </c>
      <c r="B323" s="28">
        <f>IFERROR(__xludf.DUMMYFUNCTION("""COMPUTED_VALUE"""),3.28000612E8)</f>
        <v/>
      </c>
      <c r="C323" s="28">
        <f>IFERROR(__xludf.DUMMYFUNCTION("""COMPUTED_VALUE"""),"MALATI SATRIANI ZANAH SYAFAAT")</f>
        <v/>
      </c>
      <c r="D323" s="175">
        <f>IFERROR(__xludf.DUMMYFUNCTION("""COMPUTED_VALUE"""),"QC LAB")</f>
        <v/>
      </c>
      <c r="E323" s="28">
        <f>IFERROR(__xludf.DUMMYFUNCTION("""COMPUTED_VALUE"""),"QUALITY AND RESEARCH &amp; DEVELOPMENT")</f>
        <v/>
      </c>
    </row>
    <row r="324" ht="15.75" customHeight="1" s="169">
      <c r="A324" s="15">
        <f>IFERROR(__xludf.DUMMYFUNCTION("""COMPUTED_VALUE"""),323.0)</f>
        <v/>
      </c>
      <c r="B324" s="28">
        <f>IFERROR(__xludf.DUMMYFUNCTION("""COMPUTED_VALUE"""),3.28000614E8)</f>
        <v/>
      </c>
      <c r="C324" s="28">
        <f>IFERROR(__xludf.DUMMYFUNCTION("""COMPUTED_VALUE"""),"ASHIFA SITI NURHALIZAH")</f>
        <v/>
      </c>
      <c r="D324" s="175">
        <f>IFERROR(__xludf.DUMMYFUNCTION("""COMPUTED_VALUE"""),"QC PRODUKSI")</f>
        <v/>
      </c>
      <c r="E324" s="28">
        <f>IFERROR(__xludf.DUMMYFUNCTION("""COMPUTED_VALUE"""),"QUALITY AND RESEARCH &amp; DEVELOPMENT")</f>
        <v/>
      </c>
    </row>
    <row r="325" ht="15.75" customHeight="1" s="169">
      <c r="A325" s="15">
        <f>IFERROR(__xludf.DUMMYFUNCTION("""COMPUTED_VALUE"""),324.0)</f>
        <v/>
      </c>
      <c r="B325" s="28">
        <f>IFERROR(__xludf.DUMMYFUNCTION("""COMPUTED_VALUE"""),3.28000615E8)</f>
        <v/>
      </c>
      <c r="C325" s="28">
        <f>IFERROR(__xludf.DUMMYFUNCTION("""COMPUTED_VALUE"""),"RINI RINDIANI")</f>
        <v/>
      </c>
      <c r="D325" s="175">
        <f>IFERROR(__xludf.DUMMYFUNCTION("""COMPUTED_VALUE"""),"QC PRODUKSI")</f>
        <v/>
      </c>
      <c r="E325" s="28">
        <f>IFERROR(__xludf.DUMMYFUNCTION("""COMPUTED_VALUE"""),"QUALITY AND RESEARCH &amp; DEVELOPMENT")</f>
        <v/>
      </c>
    </row>
    <row r="326" ht="15.75" customHeight="1" s="169">
      <c r="A326" s="15">
        <f>IFERROR(__xludf.DUMMYFUNCTION("""COMPUTED_VALUE"""),325.0)</f>
        <v/>
      </c>
      <c r="B326" s="28">
        <f>IFERROR(__xludf.DUMMYFUNCTION("""COMPUTED_VALUE"""),3.28000616E8)</f>
        <v/>
      </c>
      <c r="C326" s="28">
        <f>IFERROR(__xludf.DUMMYFUNCTION("""COMPUTED_VALUE"""),"YENI NURHAENI")</f>
        <v/>
      </c>
      <c r="D326" s="175">
        <f>IFERROR(__xludf.DUMMYFUNCTION("""COMPUTED_VALUE"""),"ADMIN WRM")</f>
        <v/>
      </c>
      <c r="E326" s="28">
        <f>IFERROR(__xludf.DUMMYFUNCTION("""COMPUTED_VALUE"""),"LOGISTIC")</f>
        <v/>
      </c>
    </row>
    <row r="327" ht="15.75" customHeight="1" s="169">
      <c r="A327" s="15">
        <f>IFERROR(__xludf.DUMMYFUNCTION("""COMPUTED_VALUE"""),326.0)</f>
        <v/>
      </c>
      <c r="B327" s="28">
        <f>IFERROR(__xludf.DUMMYFUNCTION("""COMPUTED_VALUE"""),3.28000618E8)</f>
        <v/>
      </c>
      <c r="C327" s="28">
        <f>IFERROR(__xludf.DUMMYFUNCTION("""COMPUTED_VALUE"""),"M. NAZRIEL AKBAR")</f>
        <v/>
      </c>
      <c r="D327" s="175">
        <f>IFERROR(__xludf.DUMMYFUNCTION("""COMPUTED_VALUE"""),"TECHNICIAN")</f>
        <v/>
      </c>
      <c r="E327" s="28">
        <f>IFERROR(__xludf.DUMMYFUNCTION("""COMPUTED_VALUE"""),"ENGINEERING")</f>
        <v/>
      </c>
    </row>
    <row r="328" ht="15.75" customHeight="1" s="169">
      <c r="A328" s="15">
        <f>IFERROR(__xludf.DUMMYFUNCTION("""COMPUTED_VALUE"""),327.0)</f>
        <v/>
      </c>
      <c r="B328" s="28">
        <f>IFERROR(__xludf.DUMMYFUNCTION("""COMPUTED_VALUE"""),3.2800062E8)</f>
        <v/>
      </c>
      <c r="C328" s="28">
        <f>IFERROR(__xludf.DUMMYFUNCTION("""COMPUTED_VALUE"""),"LIA MUSTIKA")</f>
        <v/>
      </c>
      <c r="D328" s="175">
        <f>IFERROR(__xludf.DUMMYFUNCTION("""COMPUTED_VALUE"""),"PACKER")</f>
        <v/>
      </c>
      <c r="E328" s="28">
        <f>IFERROR(__xludf.DUMMYFUNCTION("""COMPUTED_VALUE"""),"PRODUCTION")</f>
        <v/>
      </c>
    </row>
    <row r="329" ht="15.75" customHeight="1" s="169">
      <c r="A329" s="15">
        <f>IFERROR(__xludf.DUMMYFUNCTION("""COMPUTED_VALUE"""),328.0)</f>
        <v/>
      </c>
      <c r="B329" s="28">
        <f>IFERROR(__xludf.DUMMYFUNCTION("""COMPUTED_VALUE"""),3.28000621E8)</f>
        <v/>
      </c>
      <c r="C329" s="28">
        <f>IFERROR(__xludf.DUMMYFUNCTION("""COMPUTED_VALUE"""),"CUCUN HARYATI")</f>
        <v/>
      </c>
      <c r="D329" s="175">
        <f>IFERROR(__xludf.DUMMYFUNCTION("""COMPUTED_VALUE"""),"PACKER")</f>
        <v/>
      </c>
      <c r="E329" s="28">
        <f>IFERROR(__xludf.DUMMYFUNCTION("""COMPUTED_VALUE"""),"PRODUCTION")</f>
        <v/>
      </c>
    </row>
    <row r="330" ht="15.75" customHeight="1" s="169">
      <c r="A330" s="15">
        <f>IFERROR(__xludf.DUMMYFUNCTION("""COMPUTED_VALUE"""),329.0)</f>
        <v/>
      </c>
      <c r="B330" s="28">
        <f>IFERROR(__xludf.DUMMYFUNCTION("""COMPUTED_VALUE"""),3.28000622E8)</f>
        <v/>
      </c>
      <c r="C330" s="28">
        <f>IFERROR(__xludf.DUMMYFUNCTION("""COMPUTED_VALUE"""),"ELSANDRA CAHYANA PUTRI")</f>
        <v/>
      </c>
      <c r="D330" s="175">
        <f>IFERROR(__xludf.DUMMYFUNCTION("""COMPUTED_VALUE"""),"PACKER")</f>
        <v/>
      </c>
      <c r="E330" s="28">
        <f>IFERROR(__xludf.DUMMYFUNCTION("""COMPUTED_VALUE"""),"PRODUCTION")</f>
        <v/>
      </c>
    </row>
    <row r="331" ht="15.75" customHeight="1" s="169">
      <c r="A331" s="15">
        <f>IFERROR(__xludf.DUMMYFUNCTION("""COMPUTED_VALUE"""),330.0)</f>
        <v/>
      </c>
      <c r="B331" s="28">
        <f>IFERROR(__xludf.DUMMYFUNCTION("""COMPUTED_VALUE"""),3.28000623E8)</f>
        <v/>
      </c>
      <c r="C331" s="28">
        <f>IFERROR(__xludf.DUMMYFUNCTION("""COMPUTED_VALUE"""),"SUCI RAHAYU")</f>
        <v/>
      </c>
      <c r="D331" s="175">
        <f>IFERROR(__xludf.DUMMYFUNCTION("""COMPUTED_VALUE"""),"PACKER")</f>
        <v/>
      </c>
      <c r="E331" s="28">
        <f>IFERROR(__xludf.DUMMYFUNCTION("""COMPUTED_VALUE"""),"PRODUCTION")</f>
        <v/>
      </c>
    </row>
    <row r="332" ht="15.75" customHeight="1" s="169">
      <c r="A332" s="15">
        <f>IFERROR(__xludf.DUMMYFUNCTION("""COMPUTED_VALUE"""),331.0)</f>
        <v/>
      </c>
      <c r="B332" s="28">
        <f>IFERROR(__xludf.DUMMYFUNCTION("""COMPUTED_VALUE"""),3.28000624E8)</f>
        <v/>
      </c>
      <c r="C332" s="28">
        <f>IFERROR(__xludf.DUMMYFUNCTION("""COMPUTED_VALUE"""),"RITA YUNENGSIH")</f>
        <v/>
      </c>
      <c r="D332" s="175">
        <f>IFERROR(__xludf.DUMMYFUNCTION("""COMPUTED_VALUE"""),"PACKER")</f>
        <v/>
      </c>
      <c r="E332" s="28">
        <f>IFERROR(__xludf.DUMMYFUNCTION("""COMPUTED_VALUE"""),"PRODUCTION")</f>
        <v/>
      </c>
    </row>
    <row r="333" ht="15.75" customHeight="1" s="169">
      <c r="A333" s="15">
        <f>IFERROR(__xludf.DUMMYFUNCTION("""COMPUTED_VALUE"""),332.0)</f>
        <v/>
      </c>
      <c r="B333" s="28">
        <f>IFERROR(__xludf.DUMMYFUNCTION("""COMPUTED_VALUE"""),3.28000625E8)</f>
        <v/>
      </c>
      <c r="C333" s="28">
        <f>IFERROR(__xludf.DUMMYFUNCTION("""COMPUTED_VALUE"""),"CUCUN ULMU KULSUM")</f>
        <v/>
      </c>
      <c r="D333" s="175">
        <f>IFERROR(__xludf.DUMMYFUNCTION("""COMPUTED_VALUE"""),"PACKER")</f>
        <v/>
      </c>
      <c r="E333" s="28">
        <f>IFERROR(__xludf.DUMMYFUNCTION("""COMPUTED_VALUE"""),"PRODUCTION")</f>
        <v/>
      </c>
    </row>
    <row r="334" ht="15.75" customHeight="1" s="169">
      <c r="A334" s="15">
        <f>IFERROR(__xludf.DUMMYFUNCTION("""COMPUTED_VALUE"""),333.0)</f>
        <v/>
      </c>
      <c r="B334" s="28">
        <f>IFERROR(__xludf.DUMMYFUNCTION("""COMPUTED_VALUE"""),3.28000627E8)</f>
        <v/>
      </c>
      <c r="C334" s="28">
        <f>IFERROR(__xludf.DUMMYFUNCTION("""COMPUTED_VALUE"""),"DHENA HAFIDAH")</f>
        <v/>
      </c>
      <c r="D334" s="175">
        <f>IFERROR(__xludf.DUMMYFUNCTION("""COMPUTED_VALUE"""),"PACKER")</f>
        <v/>
      </c>
      <c r="E334" s="28">
        <f>IFERROR(__xludf.DUMMYFUNCTION("""COMPUTED_VALUE"""),"PRODUCTION")</f>
        <v/>
      </c>
    </row>
    <row r="335" ht="15.75" customHeight="1" s="169">
      <c r="A335" s="15">
        <f>IFERROR(__xludf.DUMMYFUNCTION("""COMPUTED_VALUE"""),334.0)</f>
        <v/>
      </c>
      <c r="B335" s="28">
        <f>IFERROR(__xludf.DUMMYFUNCTION("""COMPUTED_VALUE"""),3.28000628E8)</f>
        <v/>
      </c>
      <c r="C335" s="28">
        <f>IFERROR(__xludf.DUMMYFUNCTION("""COMPUTED_VALUE"""),"FEBIYANA MUTIARA AZIZAH")</f>
        <v/>
      </c>
      <c r="D335" s="175">
        <f>IFERROR(__xludf.DUMMYFUNCTION("""COMPUTED_VALUE"""),"PACKER")</f>
        <v/>
      </c>
      <c r="E335" s="28">
        <f>IFERROR(__xludf.DUMMYFUNCTION("""COMPUTED_VALUE"""),"PRODUCTION")</f>
        <v/>
      </c>
    </row>
    <row r="336" ht="15.75" customHeight="1" s="169">
      <c r="A336" s="15">
        <f>IFERROR(__xludf.DUMMYFUNCTION("""COMPUTED_VALUE"""),335.0)</f>
        <v/>
      </c>
      <c r="B336" s="28">
        <f>IFERROR(__xludf.DUMMYFUNCTION("""COMPUTED_VALUE"""),3.28000629E8)</f>
        <v/>
      </c>
      <c r="C336" s="28">
        <f>IFERROR(__xludf.DUMMYFUNCTION("""COMPUTED_VALUE"""),"NASYWA NABILA")</f>
        <v/>
      </c>
      <c r="D336" s="175">
        <f>IFERROR(__xludf.DUMMYFUNCTION("""COMPUTED_VALUE"""),"PACKER")</f>
        <v/>
      </c>
      <c r="E336" s="28">
        <f>IFERROR(__xludf.DUMMYFUNCTION("""COMPUTED_VALUE"""),"PRODUCTION")</f>
        <v/>
      </c>
    </row>
    <row r="337" ht="15.75" customHeight="1" s="169">
      <c r="A337" s="15">
        <f>IFERROR(__xludf.DUMMYFUNCTION("""COMPUTED_VALUE"""),336.0)</f>
        <v/>
      </c>
      <c r="B337" s="28">
        <f>IFERROR(__xludf.DUMMYFUNCTION("""COMPUTED_VALUE"""),3.2800063E8)</f>
        <v/>
      </c>
      <c r="C337" s="28">
        <f>IFERROR(__xludf.DUMMYFUNCTION("""COMPUTED_VALUE"""),"DESWITA KARTIKA")</f>
        <v/>
      </c>
      <c r="D337" s="175">
        <f>IFERROR(__xludf.DUMMYFUNCTION("""COMPUTED_VALUE"""),"PACKER")</f>
        <v/>
      </c>
      <c r="E337" s="28">
        <f>IFERROR(__xludf.DUMMYFUNCTION("""COMPUTED_VALUE"""),"PRODUCTION")</f>
        <v/>
      </c>
    </row>
    <row r="338" ht="15.75" customHeight="1" s="169">
      <c r="A338" s="15">
        <f>IFERROR(__xludf.DUMMYFUNCTION("""COMPUTED_VALUE"""),337.0)</f>
        <v/>
      </c>
      <c r="B338" s="28">
        <f>IFERROR(__xludf.DUMMYFUNCTION("""COMPUTED_VALUE"""),3.28000632E8)</f>
        <v/>
      </c>
      <c r="C338" s="28">
        <f>IFERROR(__xludf.DUMMYFUNCTION("""COMPUTED_VALUE"""),"NABILA DURROTUN NASHIHAH")</f>
        <v/>
      </c>
      <c r="D338" s="175">
        <f>IFERROR(__xludf.DUMMYFUNCTION("""COMPUTED_VALUE"""),"PACKER")</f>
        <v/>
      </c>
      <c r="E338" s="28">
        <f>IFERROR(__xludf.DUMMYFUNCTION("""COMPUTED_VALUE"""),"PRODUCTION")</f>
        <v/>
      </c>
    </row>
    <row r="339" ht="15.75" customHeight="1" s="169">
      <c r="A339" s="15">
        <f>IFERROR(__xludf.DUMMYFUNCTION("""COMPUTED_VALUE"""),338.0)</f>
        <v/>
      </c>
      <c r="B339" s="28">
        <f>IFERROR(__xludf.DUMMYFUNCTION("""COMPUTED_VALUE"""),3.28000633E8)</f>
        <v/>
      </c>
      <c r="C339" s="28">
        <f>IFERROR(__xludf.DUMMYFUNCTION("""COMPUTED_VALUE"""),"SITI NURHAENI")</f>
        <v/>
      </c>
      <c r="D339" s="175">
        <f>IFERROR(__xludf.DUMMYFUNCTION("""COMPUTED_VALUE"""),"PACKER")</f>
        <v/>
      </c>
      <c r="E339" s="28">
        <f>IFERROR(__xludf.DUMMYFUNCTION("""COMPUTED_VALUE"""),"PRODUCTION")</f>
        <v/>
      </c>
    </row>
    <row r="340" ht="15.75" customHeight="1" s="169">
      <c r="A340" s="15">
        <f>IFERROR(__xludf.DUMMYFUNCTION("""COMPUTED_VALUE"""),339.0)</f>
        <v/>
      </c>
      <c r="B340" s="28">
        <f>IFERROR(__xludf.DUMMYFUNCTION("""COMPUTED_VALUE"""),3.28000635E8)</f>
        <v/>
      </c>
      <c r="C340" s="28">
        <f>IFERROR(__xludf.DUMMYFUNCTION("""COMPUTED_VALUE"""),"WHENTI AGUSTININGTYAS")</f>
        <v/>
      </c>
      <c r="D340" s="175">
        <f>IFERROR(__xludf.DUMMYFUNCTION("""COMPUTED_VALUE"""),"QC LAB")</f>
        <v/>
      </c>
      <c r="E340" s="28">
        <f>IFERROR(__xludf.DUMMYFUNCTION("""COMPUTED_VALUE"""),"QUALITY AND RESEARCH &amp; DEVELOPMENT")</f>
        <v/>
      </c>
    </row>
    <row r="341" ht="15.75" customHeight="1" s="169">
      <c r="A341" s="15">
        <f>IFERROR(__xludf.DUMMYFUNCTION("""COMPUTED_VALUE"""),340.0)</f>
        <v/>
      </c>
      <c r="B341" s="28">
        <f>IFERROR(__xludf.DUMMYFUNCTION("""COMPUTED_VALUE"""),3.28000636E8)</f>
        <v/>
      </c>
      <c r="C341" s="28">
        <f>IFERROR(__xludf.DUMMYFUNCTION("""COMPUTED_VALUE"""),"LIA SRI YULIANTI")</f>
        <v/>
      </c>
      <c r="D341" s="175">
        <f>IFERROR(__xludf.DUMMYFUNCTION("""COMPUTED_VALUE"""),"PACKER")</f>
        <v/>
      </c>
      <c r="E341" s="28">
        <f>IFERROR(__xludf.DUMMYFUNCTION("""COMPUTED_VALUE"""),"PRODUCTION")</f>
        <v/>
      </c>
    </row>
    <row r="342" ht="15.75" customHeight="1" s="169">
      <c r="A342" s="15">
        <f>IFERROR(__xludf.DUMMYFUNCTION("""COMPUTED_VALUE"""),341.0)</f>
        <v/>
      </c>
      <c r="B342" s="28">
        <f>IFERROR(__xludf.DUMMYFUNCTION("""COMPUTED_VALUE"""),3.28000637E8)</f>
        <v/>
      </c>
      <c r="C342" s="28">
        <f>IFERROR(__xludf.DUMMYFUNCTION("""COMPUTED_VALUE"""),"MUHAMMAD SILFAN ANGGARA")</f>
        <v/>
      </c>
      <c r="D342" s="175">
        <f>IFERROR(__xludf.DUMMYFUNCTION("""COMPUTED_VALUE"""),"PACKER")</f>
        <v/>
      </c>
      <c r="E342" s="28">
        <f>IFERROR(__xludf.DUMMYFUNCTION("""COMPUTED_VALUE"""),"PRODUCTION")</f>
        <v/>
      </c>
    </row>
    <row r="343" ht="15.75" customHeight="1" s="169">
      <c r="A343" s="15">
        <f>IFERROR(__xludf.DUMMYFUNCTION("""COMPUTED_VALUE"""),342.0)</f>
        <v/>
      </c>
      <c r="B343" s="28">
        <f>IFERROR(__xludf.DUMMYFUNCTION("""COMPUTED_VALUE"""),3.28000638E8)</f>
        <v/>
      </c>
      <c r="C343" s="28">
        <f>IFERROR(__xludf.DUMMYFUNCTION("""COMPUTED_VALUE"""),"MUHAMAD AKBAR MAULADY")</f>
        <v/>
      </c>
      <c r="D343" s="175">
        <f>IFERROR(__xludf.DUMMYFUNCTION("""COMPUTED_VALUE"""),"PACKER")</f>
        <v/>
      </c>
      <c r="E343" s="28">
        <f>IFERROR(__xludf.DUMMYFUNCTION("""COMPUTED_VALUE"""),"PRODUCTION")</f>
        <v/>
      </c>
    </row>
    <row r="344" ht="15.75" customHeight="1" s="169">
      <c r="A344" s="15">
        <f>IFERROR(__xludf.DUMMYFUNCTION("""COMPUTED_VALUE"""),343.0)</f>
        <v/>
      </c>
      <c r="B344" s="28">
        <f>IFERROR(__xludf.DUMMYFUNCTION("""COMPUTED_VALUE"""),3.28000639E8)</f>
        <v/>
      </c>
      <c r="C344" s="28">
        <f>IFERROR(__xludf.DUMMYFUNCTION("""COMPUTED_VALUE"""),"SURYA SUBASTIAN")</f>
        <v/>
      </c>
      <c r="D344" s="175">
        <f>IFERROR(__xludf.DUMMYFUNCTION("""COMPUTED_VALUE"""),"OPERATOR REACHTRUCK")</f>
        <v/>
      </c>
      <c r="E344" s="28">
        <f>IFERROR(__xludf.DUMMYFUNCTION("""COMPUTED_VALUE"""),"LOGISTIC")</f>
        <v/>
      </c>
    </row>
    <row r="345" ht="15.75" customHeight="1" s="169">
      <c r="A345" s="15">
        <f>IFERROR(__xludf.DUMMYFUNCTION("""COMPUTED_VALUE"""),344.0)</f>
        <v/>
      </c>
      <c r="B345" s="28">
        <f>IFERROR(__xludf.DUMMYFUNCTION("""COMPUTED_VALUE"""),3.2800064E8)</f>
        <v/>
      </c>
      <c r="C345" s="28">
        <f>IFERROR(__xludf.DUMMYFUNCTION("""COMPUTED_VALUE"""),"CHINTIA DELVITA")</f>
        <v/>
      </c>
      <c r="D345" s="175">
        <f>IFERROR(__xludf.DUMMYFUNCTION("""COMPUTED_VALUE"""),"ADMIN EKSPEDISI")</f>
        <v/>
      </c>
      <c r="E345" s="28">
        <f>IFERROR(__xludf.DUMMYFUNCTION("""COMPUTED_VALUE"""),"LOGISTIC")</f>
        <v/>
      </c>
    </row>
    <row r="346" ht="15.75" customHeight="1" s="169">
      <c r="A346" s="15">
        <f>IFERROR(__xludf.DUMMYFUNCTION("""COMPUTED_VALUE"""),345.0)</f>
        <v/>
      </c>
      <c r="B346" s="28">
        <f>IFERROR(__xludf.DUMMYFUNCTION("""COMPUTED_VALUE"""),3.28000641E8)</f>
        <v/>
      </c>
      <c r="C346" s="28">
        <f>IFERROR(__xludf.DUMMYFUNCTION("""COMPUTED_VALUE"""),"NURAENI ISKANDAR")</f>
        <v/>
      </c>
      <c r="D346" s="175">
        <f>IFERROR(__xludf.DUMMYFUNCTION("""COMPUTED_VALUE"""),"PACKER")</f>
        <v/>
      </c>
      <c r="E346" s="28">
        <f>IFERROR(__xludf.DUMMYFUNCTION("""COMPUTED_VALUE"""),"PRODUCTION")</f>
        <v/>
      </c>
    </row>
    <row r="347" ht="15.75" customHeight="1" s="169">
      <c r="A347" s="15">
        <f>IFERROR(__xludf.DUMMYFUNCTION("""COMPUTED_VALUE"""),346.0)</f>
        <v/>
      </c>
      <c r="B347" s="28">
        <f>IFERROR(__xludf.DUMMYFUNCTION("""COMPUTED_VALUE"""),3.28000642E8)</f>
        <v/>
      </c>
      <c r="C347" s="28">
        <f>IFERROR(__xludf.DUMMYFUNCTION("""COMPUTED_VALUE"""),"LISDA LUSTIYANI")</f>
        <v/>
      </c>
      <c r="D347" s="175">
        <f>IFERROR(__xludf.DUMMYFUNCTION("""COMPUTED_VALUE"""),"PACKER")</f>
        <v/>
      </c>
      <c r="E347" s="28">
        <f>IFERROR(__xludf.DUMMYFUNCTION("""COMPUTED_VALUE"""),"PRODUCTION")</f>
        <v/>
      </c>
    </row>
    <row r="348" ht="15.75" customHeight="1" s="169">
      <c r="A348" s="15">
        <f>IFERROR(__xludf.DUMMYFUNCTION("""COMPUTED_VALUE"""),347.0)</f>
        <v/>
      </c>
      <c r="B348" s="28">
        <f>IFERROR(__xludf.DUMMYFUNCTION("""COMPUTED_VALUE"""),3.28000643E8)</f>
        <v/>
      </c>
      <c r="C348" s="28">
        <f>IFERROR(__xludf.DUMMYFUNCTION("""COMPUTED_VALUE"""),"FITRI HASANAH")</f>
        <v/>
      </c>
      <c r="D348" s="175">
        <f>IFERROR(__xludf.DUMMYFUNCTION("""COMPUTED_VALUE"""),"PACKER")</f>
        <v/>
      </c>
      <c r="E348" s="28">
        <f>IFERROR(__xludf.DUMMYFUNCTION("""COMPUTED_VALUE"""),"PRODUCTION")</f>
        <v/>
      </c>
    </row>
    <row r="349" ht="15.75" customHeight="1" s="169">
      <c r="A349" s="15">
        <f>IFERROR(__xludf.DUMMYFUNCTION("""COMPUTED_VALUE"""),348.0)</f>
        <v/>
      </c>
      <c r="B349" s="28">
        <f>IFERROR(__xludf.DUMMYFUNCTION("""COMPUTED_VALUE"""),3.28000644E8)</f>
        <v/>
      </c>
      <c r="C349" s="28">
        <f>IFERROR(__xludf.DUMMYFUNCTION("""COMPUTED_VALUE"""),"IKA LATIPAH")</f>
        <v/>
      </c>
      <c r="D349" s="175">
        <f>IFERROR(__xludf.DUMMYFUNCTION("""COMPUTED_VALUE"""),"PACKER")</f>
        <v/>
      </c>
      <c r="E349" s="28">
        <f>IFERROR(__xludf.DUMMYFUNCTION("""COMPUTED_VALUE"""),"PRODUCTION")</f>
        <v/>
      </c>
    </row>
    <row r="350" ht="15.75" customHeight="1" s="169">
      <c r="A350" s="15">
        <f>IFERROR(__xludf.DUMMYFUNCTION("""COMPUTED_VALUE"""),349.0)</f>
        <v/>
      </c>
      <c r="B350" s="28">
        <f>IFERROR(__xludf.DUMMYFUNCTION("""COMPUTED_VALUE"""),3.28000645E8)</f>
        <v/>
      </c>
      <c r="C350" s="28">
        <f>IFERROR(__xludf.DUMMYFUNCTION("""COMPUTED_VALUE"""),"ADELLIA SETIAWATI PUTRI")</f>
        <v/>
      </c>
      <c r="D350" s="175">
        <f>IFERROR(__xludf.DUMMYFUNCTION("""COMPUTED_VALUE"""),"PACKER")</f>
        <v/>
      </c>
      <c r="E350" s="28">
        <f>IFERROR(__xludf.DUMMYFUNCTION("""COMPUTED_VALUE"""),"PRODUCTION")</f>
        <v/>
      </c>
    </row>
    <row r="351" ht="15.75" customHeight="1" s="169">
      <c r="A351" s="15">
        <f>IFERROR(__xludf.DUMMYFUNCTION("""COMPUTED_VALUE"""),350.0)</f>
        <v/>
      </c>
      <c r="B351" s="28">
        <f>IFERROR(__xludf.DUMMYFUNCTION("""COMPUTED_VALUE"""),3.28000646E8)</f>
        <v/>
      </c>
      <c r="C351" s="28">
        <f>IFERROR(__xludf.DUMMYFUNCTION("""COMPUTED_VALUE"""),"LUSIANA RAMADHANI")</f>
        <v/>
      </c>
      <c r="D351" s="175">
        <f>IFERROR(__xludf.DUMMYFUNCTION("""COMPUTED_VALUE"""),"PACKER")</f>
        <v/>
      </c>
      <c r="E351" s="28">
        <f>IFERROR(__xludf.DUMMYFUNCTION("""COMPUTED_VALUE"""),"PRODUCTION")</f>
        <v/>
      </c>
    </row>
    <row r="352" ht="15.75" customHeight="1" s="169">
      <c r="A352" s="15">
        <f>IFERROR(__xludf.DUMMYFUNCTION("""COMPUTED_VALUE"""),351.0)</f>
        <v/>
      </c>
      <c r="B352" s="28">
        <f>IFERROR(__xludf.DUMMYFUNCTION("""COMPUTED_VALUE"""),3.28000647E8)</f>
        <v/>
      </c>
      <c r="C352" s="28">
        <f>IFERROR(__xludf.DUMMYFUNCTION("""COMPUTED_VALUE"""),"ADINDA DWI IKLIMA")</f>
        <v/>
      </c>
      <c r="D352" s="175">
        <f>IFERROR(__xludf.DUMMYFUNCTION("""COMPUTED_VALUE"""),"PACKER")</f>
        <v/>
      </c>
      <c r="E352" s="28">
        <f>IFERROR(__xludf.DUMMYFUNCTION("""COMPUTED_VALUE"""),"PRODUCTION")</f>
        <v/>
      </c>
    </row>
    <row r="353" ht="15.75" customHeight="1" s="169">
      <c r="A353" s="15">
        <f>IFERROR(__xludf.DUMMYFUNCTION("""COMPUTED_VALUE"""),352.0)</f>
        <v/>
      </c>
      <c r="B353" s="28">
        <f>IFERROR(__xludf.DUMMYFUNCTION("""COMPUTED_VALUE"""),3.28000648E8)</f>
        <v/>
      </c>
      <c r="C353" s="28">
        <f>IFERROR(__xludf.DUMMYFUNCTION("""COMPUTED_VALUE"""),"LILIS NURUL WULAN")</f>
        <v/>
      </c>
      <c r="D353" s="175">
        <f>IFERROR(__xludf.DUMMYFUNCTION("""COMPUTED_VALUE"""),"PACKER")</f>
        <v/>
      </c>
      <c r="E353" s="28">
        <f>IFERROR(__xludf.DUMMYFUNCTION("""COMPUTED_VALUE"""),"PRODUCTION")</f>
        <v/>
      </c>
    </row>
    <row r="354" ht="15.75" customHeight="1" s="169">
      <c r="A354" s="15">
        <f>IFERROR(__xludf.DUMMYFUNCTION("""COMPUTED_VALUE"""),353.0)</f>
        <v/>
      </c>
      <c r="B354" s="28">
        <f>IFERROR(__xludf.DUMMYFUNCTION("""COMPUTED_VALUE"""),3.28000649E8)</f>
        <v/>
      </c>
      <c r="C354" s="28">
        <f>IFERROR(__xludf.DUMMYFUNCTION("""COMPUTED_VALUE"""),"ZAHWA GIZELIA RAMADANI")</f>
        <v/>
      </c>
      <c r="D354" s="175">
        <f>IFERROR(__xludf.DUMMYFUNCTION("""COMPUTED_VALUE"""),"PACKER")</f>
        <v/>
      </c>
      <c r="E354" s="28">
        <f>IFERROR(__xludf.DUMMYFUNCTION("""COMPUTED_VALUE"""),"PRODUCTION")</f>
        <v/>
      </c>
    </row>
    <row r="355" ht="15.75" customHeight="1" s="169">
      <c r="A355" s="15">
        <f>IFERROR(__xludf.DUMMYFUNCTION("""COMPUTED_VALUE"""),354.0)</f>
        <v/>
      </c>
      <c r="B355" s="28">
        <f>IFERROR(__xludf.DUMMYFUNCTION("""COMPUTED_VALUE"""),3.2800065E8)</f>
        <v/>
      </c>
      <c r="C355" s="28">
        <f>IFERROR(__xludf.DUMMYFUNCTION("""COMPUTED_VALUE"""),"HANI OCTAVIANI")</f>
        <v/>
      </c>
      <c r="D355" s="175">
        <f>IFERROR(__xludf.DUMMYFUNCTION("""COMPUTED_VALUE"""),"PACKER")</f>
        <v/>
      </c>
      <c r="E355" s="28">
        <f>IFERROR(__xludf.DUMMYFUNCTION("""COMPUTED_VALUE"""),"PRODUCTION")</f>
        <v/>
      </c>
    </row>
    <row r="356" ht="15.75" customHeight="1" s="169">
      <c r="A356" s="15">
        <f>IFERROR(__xludf.DUMMYFUNCTION("""COMPUTED_VALUE"""),355.0)</f>
        <v/>
      </c>
      <c r="B356" s="28">
        <f>IFERROR(__xludf.DUMMYFUNCTION("""COMPUTED_VALUE"""),3.28000651E8)</f>
        <v/>
      </c>
      <c r="C356" s="28">
        <f>IFERROR(__xludf.DUMMYFUNCTION("""COMPUTED_VALUE"""),"CANDRA SIGIT")</f>
        <v/>
      </c>
      <c r="D356" s="175">
        <f>IFERROR(__xludf.DUMMYFUNCTION("""COMPUTED_VALUE"""),"PACKER")</f>
        <v/>
      </c>
      <c r="E356" s="28">
        <f>IFERROR(__xludf.DUMMYFUNCTION("""COMPUTED_VALUE"""),"PRODUCTION")</f>
        <v/>
      </c>
    </row>
    <row r="357" ht="15.75" customHeight="1" s="169">
      <c r="A357" s="15">
        <f>IFERROR(__xludf.DUMMYFUNCTION("""COMPUTED_VALUE"""),356.0)</f>
        <v/>
      </c>
      <c r="B357" s="28">
        <f>IFERROR(__xludf.DUMMYFUNCTION("""COMPUTED_VALUE"""),3.28000652E8)</f>
        <v/>
      </c>
      <c r="C357" s="28">
        <f>IFERROR(__xludf.DUMMYFUNCTION("""COMPUTED_VALUE"""),"ARI SOPIAN")</f>
        <v/>
      </c>
      <c r="D357" s="175">
        <f>IFERROR(__xludf.DUMMYFUNCTION("""COMPUTED_VALUE"""),"PACKER")</f>
        <v/>
      </c>
      <c r="E357" s="28">
        <f>IFERROR(__xludf.DUMMYFUNCTION("""COMPUTED_VALUE"""),"PRODUCTION")</f>
        <v/>
      </c>
    </row>
    <row r="358" ht="15.75" customHeight="1" s="169">
      <c r="A358" s="15">
        <f>IFERROR(__xludf.DUMMYFUNCTION("""COMPUTED_VALUE"""),357.0)</f>
        <v/>
      </c>
      <c r="B358" s="28">
        <f>IFERROR(__xludf.DUMMYFUNCTION("""COMPUTED_VALUE"""),3.28000653E8)</f>
        <v/>
      </c>
      <c r="C358" s="28">
        <f>IFERROR(__xludf.DUMMYFUNCTION("""COMPUTED_VALUE"""),"AMANIA AGUSTIANI")</f>
        <v/>
      </c>
      <c r="D358" s="175">
        <f>IFERROR(__xludf.DUMMYFUNCTION("""COMPUTED_VALUE"""),"PACKER")</f>
        <v/>
      </c>
      <c r="E358" s="28">
        <f>IFERROR(__xludf.DUMMYFUNCTION("""COMPUTED_VALUE"""),"PRODUCTION")</f>
        <v/>
      </c>
    </row>
    <row r="359" ht="15.75" customHeight="1" s="169">
      <c r="A359" s="15">
        <f>IFERROR(__xludf.DUMMYFUNCTION("""COMPUTED_VALUE"""),358.0)</f>
        <v/>
      </c>
      <c r="B359" s="28">
        <f>IFERROR(__xludf.DUMMYFUNCTION("""COMPUTED_VALUE"""),3.28000654E8)</f>
        <v/>
      </c>
      <c r="C359" s="28">
        <f>IFERROR(__xludf.DUMMYFUNCTION("""COMPUTED_VALUE"""),"IRMA HASMARANI")</f>
        <v/>
      </c>
      <c r="D359" s="175">
        <f>IFERROR(__xludf.DUMMYFUNCTION("""COMPUTED_VALUE"""),"PACKER")</f>
        <v/>
      </c>
      <c r="E359" s="28">
        <f>IFERROR(__xludf.DUMMYFUNCTION("""COMPUTED_VALUE"""),"PRODUCTION")</f>
        <v/>
      </c>
    </row>
    <row r="360" ht="15.75" customHeight="1" s="169">
      <c r="A360" s="15">
        <f>IFERROR(__xludf.DUMMYFUNCTION("""COMPUTED_VALUE"""),359.0)</f>
        <v/>
      </c>
      <c r="B360" s="28">
        <f>IFERROR(__xludf.DUMMYFUNCTION("""COMPUTED_VALUE"""),3.28000655E8)</f>
        <v/>
      </c>
      <c r="C360" s="28">
        <f>IFERROR(__xludf.DUMMYFUNCTION("""COMPUTED_VALUE"""),"SHELA RAHMALIA")</f>
        <v/>
      </c>
      <c r="D360" s="175">
        <f>IFERROR(__xludf.DUMMYFUNCTION("""COMPUTED_VALUE"""),"PACKER")</f>
        <v/>
      </c>
      <c r="E360" s="28">
        <f>IFERROR(__xludf.DUMMYFUNCTION("""COMPUTED_VALUE"""),"PRODUCTION")</f>
        <v/>
      </c>
    </row>
    <row r="361" ht="15.75" customHeight="1" s="169">
      <c r="A361" s="15">
        <f>IFERROR(__xludf.DUMMYFUNCTION("""COMPUTED_VALUE"""),360.0)</f>
        <v/>
      </c>
      <c r="B361" s="28">
        <f>IFERROR(__xludf.DUMMYFUNCTION("""COMPUTED_VALUE"""),3.28000657E8)</f>
        <v/>
      </c>
      <c r="C361" s="28">
        <f>IFERROR(__xludf.DUMMYFUNCTION("""COMPUTED_VALUE"""),"PRIDA SRI NUR AFIFAH")</f>
        <v/>
      </c>
      <c r="D361" s="175">
        <f>IFERROR(__xludf.DUMMYFUNCTION("""COMPUTED_VALUE"""),"PACKER")</f>
        <v/>
      </c>
      <c r="E361" s="28">
        <f>IFERROR(__xludf.DUMMYFUNCTION("""COMPUTED_VALUE"""),"PRODUCTION")</f>
        <v/>
      </c>
    </row>
    <row r="362" ht="15.75" customHeight="1" s="169">
      <c r="A362" s="15">
        <f>IFERROR(__xludf.DUMMYFUNCTION("""COMPUTED_VALUE"""),361.0)</f>
        <v/>
      </c>
      <c r="B362" s="28">
        <f>IFERROR(__xludf.DUMMYFUNCTION("""COMPUTED_VALUE"""),3.28000658E8)</f>
        <v/>
      </c>
      <c r="C362" s="28">
        <f>IFERROR(__xludf.DUMMYFUNCTION("""COMPUTED_VALUE"""),"NEZSA MELVINA SUTISNA")</f>
        <v/>
      </c>
      <c r="D362" s="175">
        <f>IFERROR(__xludf.DUMMYFUNCTION("""COMPUTED_VALUE"""),"PACKER")</f>
        <v/>
      </c>
      <c r="E362" s="28">
        <f>IFERROR(__xludf.DUMMYFUNCTION("""COMPUTED_VALUE"""),"PRODUCTION")</f>
        <v/>
      </c>
    </row>
    <row r="363" ht="15.75" customHeight="1" s="169">
      <c r="A363" s="15">
        <f>IFERROR(__xludf.DUMMYFUNCTION("""COMPUTED_VALUE"""),362.0)</f>
        <v/>
      </c>
      <c r="B363" s="28">
        <f>IFERROR(__xludf.DUMMYFUNCTION("""COMPUTED_VALUE"""),3.28000659E8)</f>
        <v/>
      </c>
      <c r="C363" s="28">
        <f>IFERROR(__xludf.DUMMYFUNCTION("""COMPUTED_VALUE"""),"MUHAMAD NUGRAH NOPIASADI")</f>
        <v/>
      </c>
      <c r="D363" s="175">
        <f>IFERROR(__xludf.DUMMYFUNCTION("""COMPUTED_VALUE"""),"PACKER")</f>
        <v/>
      </c>
      <c r="E363" s="28">
        <f>IFERROR(__xludf.DUMMYFUNCTION("""COMPUTED_VALUE"""),"PRODUCTION")</f>
        <v/>
      </c>
    </row>
    <row r="364" ht="15.75" customHeight="1" s="169">
      <c r="A364" s="15">
        <f>IFERROR(__xludf.DUMMYFUNCTION("""COMPUTED_VALUE"""),363.0)</f>
        <v/>
      </c>
      <c r="B364" s="28">
        <f>IFERROR(__xludf.DUMMYFUNCTION("""COMPUTED_VALUE"""),3.2800066E8)</f>
        <v/>
      </c>
      <c r="C364" s="28">
        <f>IFERROR(__xludf.DUMMYFUNCTION("""COMPUTED_VALUE"""),"APAN SOPYAN")</f>
        <v/>
      </c>
      <c r="D364" s="175">
        <f>IFERROR(__xludf.DUMMYFUNCTION("""COMPUTED_VALUE"""),"PACKER")</f>
        <v/>
      </c>
      <c r="E364" s="28">
        <f>IFERROR(__xludf.DUMMYFUNCTION("""COMPUTED_VALUE"""),"PRODUCTION")</f>
        <v/>
      </c>
    </row>
    <row r="365" ht="15.75" customHeight="1" s="169">
      <c r="A365" s="15">
        <f>IFERROR(__xludf.DUMMYFUNCTION("""COMPUTED_VALUE"""),364.0)</f>
        <v/>
      </c>
      <c r="B365" s="28">
        <f>IFERROR(__xludf.DUMMYFUNCTION("""COMPUTED_VALUE"""),3.28000661E8)</f>
        <v/>
      </c>
      <c r="C365" s="28">
        <f>IFERROR(__xludf.DUMMYFUNCTION("""COMPUTED_VALUE"""),"NUR BAETI")</f>
        <v/>
      </c>
      <c r="D365" s="175">
        <f>IFERROR(__xludf.DUMMYFUNCTION("""COMPUTED_VALUE"""),"PACKER")</f>
        <v/>
      </c>
      <c r="E365" s="28">
        <f>IFERROR(__xludf.DUMMYFUNCTION("""COMPUTED_VALUE"""),"PRODUCTION")</f>
        <v/>
      </c>
    </row>
    <row r="366" ht="15.75" customHeight="1" s="169">
      <c r="A366" s="15">
        <f>IFERROR(__xludf.DUMMYFUNCTION("""COMPUTED_VALUE"""),365.0)</f>
        <v/>
      </c>
      <c r="B366" s="28">
        <f>IFERROR(__xludf.DUMMYFUNCTION("""COMPUTED_VALUE"""),3.28000662E8)</f>
        <v/>
      </c>
      <c r="C366" s="28">
        <f>IFERROR(__xludf.DUMMYFUNCTION("""COMPUTED_VALUE"""),"SINTIA AGUSTINA")</f>
        <v/>
      </c>
      <c r="D366" s="175">
        <f>IFERROR(__xludf.DUMMYFUNCTION("""COMPUTED_VALUE"""),"PACKER")</f>
        <v/>
      </c>
      <c r="E366" s="28">
        <f>IFERROR(__xludf.DUMMYFUNCTION("""COMPUTED_VALUE"""),"PRODUCTION")</f>
        <v/>
      </c>
    </row>
    <row r="367" ht="15.75" customHeight="1" s="169">
      <c r="A367" s="15">
        <f>IFERROR(__xludf.DUMMYFUNCTION("""COMPUTED_VALUE"""),366.0)</f>
        <v/>
      </c>
      <c r="B367" s="28">
        <f>IFERROR(__xludf.DUMMYFUNCTION("""COMPUTED_VALUE"""),3.28000663E8)</f>
        <v/>
      </c>
      <c r="C367" s="28">
        <f>IFERROR(__xludf.DUMMYFUNCTION("""COMPUTED_VALUE"""),"RATU TIARA PUTRI")</f>
        <v/>
      </c>
      <c r="D367" s="175">
        <f>IFERROR(__xludf.DUMMYFUNCTION("""COMPUTED_VALUE"""),"PACKER")</f>
        <v/>
      </c>
      <c r="E367" s="28">
        <f>IFERROR(__xludf.DUMMYFUNCTION("""COMPUTED_VALUE"""),"PRODUCTION")</f>
        <v/>
      </c>
    </row>
    <row r="368" ht="15.75" customHeight="1" s="169">
      <c r="A368" s="15">
        <f>IFERROR(__xludf.DUMMYFUNCTION("""COMPUTED_VALUE"""),367.0)</f>
        <v/>
      </c>
      <c r="B368" s="28">
        <f>IFERROR(__xludf.DUMMYFUNCTION("""COMPUTED_VALUE"""),3.28000664E8)</f>
        <v/>
      </c>
      <c r="C368" s="28">
        <f>IFERROR(__xludf.DUMMYFUNCTION("""COMPUTED_VALUE"""),"SITI NURAENI")</f>
        <v/>
      </c>
      <c r="D368" s="175">
        <f>IFERROR(__xludf.DUMMYFUNCTION("""COMPUTED_VALUE"""),"PACKER")</f>
        <v/>
      </c>
      <c r="E368" s="28">
        <f>IFERROR(__xludf.DUMMYFUNCTION("""COMPUTED_VALUE"""),"PRODUCTION")</f>
        <v/>
      </c>
    </row>
    <row r="369" ht="15.75" customHeight="1" s="169">
      <c r="A369" s="15">
        <f>IFERROR(__xludf.DUMMYFUNCTION("""COMPUTED_VALUE"""),368.0)</f>
        <v/>
      </c>
      <c r="B369" s="28">
        <f>IFERROR(__xludf.DUMMYFUNCTION("""COMPUTED_VALUE"""),3.28000665E8)</f>
        <v/>
      </c>
      <c r="C369" s="28">
        <f>IFERROR(__xludf.DUMMYFUNCTION("""COMPUTED_VALUE"""),"DELVYNA FRISCA")</f>
        <v/>
      </c>
      <c r="D369" s="175">
        <f>IFERROR(__xludf.DUMMYFUNCTION("""COMPUTED_VALUE"""),"PACKER")</f>
        <v/>
      </c>
      <c r="E369" s="28">
        <f>IFERROR(__xludf.DUMMYFUNCTION("""COMPUTED_VALUE"""),"PRODUCTION")</f>
        <v/>
      </c>
    </row>
    <row r="370" ht="15.75" customHeight="1" s="169">
      <c r="A370" s="15">
        <f>IFERROR(__xludf.DUMMYFUNCTION("""COMPUTED_VALUE"""),369.0)</f>
        <v/>
      </c>
      <c r="B370" s="28">
        <f>IFERROR(__xludf.DUMMYFUNCTION("""COMPUTED_VALUE"""),3.28000666E8)</f>
        <v/>
      </c>
      <c r="C370" s="28">
        <f>IFERROR(__xludf.DUMMYFUNCTION("""COMPUTED_VALUE"""),"ARMAN FADILAH")</f>
        <v/>
      </c>
      <c r="D370" s="175">
        <f>IFERROR(__xludf.DUMMYFUNCTION("""COMPUTED_VALUE"""),"PACKER")</f>
        <v/>
      </c>
      <c r="E370" s="28">
        <f>IFERROR(__xludf.DUMMYFUNCTION("""COMPUTED_VALUE"""),"PRODUCTION")</f>
        <v/>
      </c>
    </row>
    <row r="371" ht="15.75" customHeight="1" s="169">
      <c r="A371" s="15">
        <f>IFERROR(__xludf.DUMMYFUNCTION("""COMPUTED_VALUE"""),370.0)</f>
        <v/>
      </c>
      <c r="B371" s="28">
        <f>IFERROR(__xludf.DUMMYFUNCTION("""COMPUTED_VALUE"""),3.28000667E8)</f>
        <v/>
      </c>
      <c r="C371" s="28">
        <f>IFERROR(__xludf.DUMMYFUNCTION("""COMPUTED_VALUE"""),"SHAKILA SALSA BILA")</f>
        <v/>
      </c>
      <c r="D371" s="175">
        <f>IFERROR(__xludf.DUMMYFUNCTION("""COMPUTED_VALUE"""),"PACKER")</f>
        <v/>
      </c>
      <c r="E371" s="28">
        <f>IFERROR(__xludf.DUMMYFUNCTION("""COMPUTED_VALUE"""),"PRODUCTION")</f>
        <v/>
      </c>
    </row>
    <row r="372" ht="15.75" customHeight="1" s="169">
      <c r="A372" s="15">
        <f>IFERROR(__xludf.DUMMYFUNCTION("""COMPUTED_VALUE"""),371.0)</f>
        <v/>
      </c>
      <c r="B372" s="28">
        <f>IFERROR(__xludf.DUMMYFUNCTION("""COMPUTED_VALUE"""),3.28000668E8)</f>
        <v/>
      </c>
      <c r="C372" s="28">
        <f>IFERROR(__xludf.DUMMYFUNCTION("""COMPUTED_VALUE"""),"DESI SRI HANDAYANI")</f>
        <v/>
      </c>
      <c r="D372" s="175">
        <f>IFERROR(__xludf.DUMMYFUNCTION("""COMPUTED_VALUE"""),"PACKER")</f>
        <v/>
      </c>
      <c r="E372" s="28">
        <f>IFERROR(__xludf.DUMMYFUNCTION("""COMPUTED_VALUE"""),"PRODUCTION")</f>
        <v/>
      </c>
    </row>
    <row r="373" ht="15.75" customHeight="1" s="169">
      <c r="A373" s="15">
        <f>IFERROR(__xludf.DUMMYFUNCTION("""COMPUTED_VALUE"""),372.0)</f>
        <v/>
      </c>
      <c r="B373" s="28">
        <f>IFERROR(__xludf.DUMMYFUNCTION("""COMPUTED_VALUE"""),3.28000669E8)</f>
        <v/>
      </c>
      <c r="C373" s="28">
        <f>IFERROR(__xludf.DUMMYFUNCTION("""COMPUTED_VALUE"""),"LELA NUR PADILAH")</f>
        <v/>
      </c>
      <c r="D373" s="175">
        <f>IFERROR(__xludf.DUMMYFUNCTION("""COMPUTED_VALUE"""),"PACKER")</f>
        <v/>
      </c>
      <c r="E373" s="28">
        <f>IFERROR(__xludf.DUMMYFUNCTION("""COMPUTED_VALUE"""),"PRODUCTION")</f>
        <v/>
      </c>
    </row>
    <row r="374" ht="15.75" customHeight="1" s="169">
      <c r="A374" s="15">
        <f>IFERROR(__xludf.DUMMYFUNCTION("""COMPUTED_VALUE"""),373.0)</f>
        <v/>
      </c>
      <c r="B374" s="28">
        <f>IFERROR(__xludf.DUMMYFUNCTION("""COMPUTED_VALUE"""),3.2800067E8)</f>
        <v/>
      </c>
      <c r="C374" s="28">
        <f>IFERROR(__xludf.DUMMYFUNCTION("""COMPUTED_VALUE"""),"TASYA SITI NURFAUZI")</f>
        <v/>
      </c>
      <c r="D374" s="175">
        <f>IFERROR(__xludf.DUMMYFUNCTION("""COMPUTED_VALUE"""),"PACKER")</f>
        <v/>
      </c>
      <c r="E374" s="28">
        <f>IFERROR(__xludf.DUMMYFUNCTION("""COMPUTED_VALUE"""),"PRODUCTION")</f>
        <v/>
      </c>
    </row>
    <row r="375" ht="15.75" customHeight="1" s="169">
      <c r="A375" s="15">
        <f>IFERROR(__xludf.DUMMYFUNCTION("""COMPUTED_VALUE"""),374.0)</f>
        <v/>
      </c>
      <c r="B375" s="28">
        <f>IFERROR(__xludf.DUMMYFUNCTION("""COMPUTED_VALUE"""),3.28000671E8)</f>
        <v/>
      </c>
      <c r="C375" s="28">
        <f>IFERROR(__xludf.DUMMYFUNCTION("""COMPUTED_VALUE"""),"KARTIKA RAHMAWATI")</f>
        <v/>
      </c>
      <c r="D375" s="175">
        <f>IFERROR(__xludf.DUMMYFUNCTION("""COMPUTED_VALUE"""),"PACKER")</f>
        <v/>
      </c>
      <c r="E375" s="28">
        <f>IFERROR(__xludf.DUMMYFUNCTION("""COMPUTED_VALUE"""),"PRODUCTION")</f>
        <v/>
      </c>
    </row>
    <row r="376" ht="15.75" customHeight="1" s="169">
      <c r="A376" s="15">
        <f>IFERROR(__xludf.DUMMYFUNCTION("""COMPUTED_VALUE"""),375.0)</f>
        <v/>
      </c>
      <c r="B376" s="28">
        <f>IFERROR(__xludf.DUMMYFUNCTION("""COMPUTED_VALUE"""),3.28000672E8)</f>
        <v/>
      </c>
      <c r="C376" s="28">
        <f>IFERROR(__xludf.DUMMYFUNCTION("""COMPUTED_VALUE"""),"ARUL AL-BUKHORI")</f>
        <v/>
      </c>
      <c r="D376" s="175">
        <f>IFERROR(__xludf.DUMMYFUNCTION("""COMPUTED_VALUE"""),"PACKER")</f>
        <v/>
      </c>
      <c r="E376" s="28">
        <f>IFERROR(__xludf.DUMMYFUNCTION("""COMPUTED_VALUE"""),"PRODUCTION")</f>
        <v/>
      </c>
    </row>
    <row r="377" ht="15.75" customHeight="1" s="169">
      <c r="A377" s="15">
        <f>IFERROR(__xludf.DUMMYFUNCTION("""COMPUTED_VALUE"""),376.0)</f>
        <v/>
      </c>
      <c r="B377" s="28">
        <f>IFERROR(__xludf.DUMMYFUNCTION("""COMPUTED_VALUE"""),3.28000673E8)</f>
        <v/>
      </c>
      <c r="C377" s="28">
        <f>IFERROR(__xludf.DUMMYFUNCTION("""COMPUTED_VALUE"""),"AYU ALIYANTI")</f>
        <v/>
      </c>
      <c r="D377" s="175">
        <f>IFERROR(__xludf.DUMMYFUNCTION("""COMPUTED_VALUE"""),"PACKER")</f>
        <v/>
      </c>
      <c r="E377" s="28">
        <f>IFERROR(__xludf.DUMMYFUNCTION("""COMPUTED_VALUE"""),"PRODUCTION")</f>
        <v/>
      </c>
    </row>
    <row r="378" ht="15.75" customHeight="1" s="169">
      <c r="A378" s="15">
        <f>IFERROR(__xludf.DUMMYFUNCTION("""COMPUTED_VALUE"""),377.0)</f>
        <v/>
      </c>
      <c r="B378" s="28">
        <f>IFERROR(__xludf.DUMMYFUNCTION("""COMPUTED_VALUE"""),3.28000674E8)</f>
        <v/>
      </c>
      <c r="C378" s="28">
        <f>IFERROR(__xludf.DUMMYFUNCTION("""COMPUTED_VALUE"""),"WINDI AYU ROHANIA")</f>
        <v/>
      </c>
      <c r="D378" s="175">
        <f>IFERROR(__xludf.DUMMYFUNCTION("""COMPUTED_VALUE"""),"PACKER")</f>
        <v/>
      </c>
      <c r="E378" s="28">
        <f>IFERROR(__xludf.DUMMYFUNCTION("""COMPUTED_VALUE"""),"PRODUCTION")</f>
        <v/>
      </c>
    </row>
    <row r="379" ht="15.75" customHeight="1" s="169">
      <c r="A379" s="15">
        <f>IFERROR(__xludf.DUMMYFUNCTION("""COMPUTED_VALUE"""),378.0)</f>
        <v/>
      </c>
      <c r="B379" s="28">
        <f>IFERROR(__xludf.DUMMYFUNCTION("""COMPUTED_VALUE"""),3.28000675E8)</f>
        <v/>
      </c>
      <c r="C379" s="28">
        <f>IFERROR(__xludf.DUMMYFUNCTION("""COMPUTED_VALUE"""),"DEWI NOVITA CHANDRA")</f>
        <v/>
      </c>
      <c r="D379" s="175">
        <f>IFERROR(__xludf.DUMMYFUNCTION("""COMPUTED_VALUE"""),"PACKER")</f>
        <v/>
      </c>
      <c r="E379" s="28">
        <f>IFERROR(__xludf.DUMMYFUNCTION("""COMPUTED_VALUE"""),"PRODUCTION")</f>
        <v/>
      </c>
    </row>
    <row r="380" ht="15.75" customHeight="1" s="169">
      <c r="A380" s="15">
        <f>IFERROR(__xludf.DUMMYFUNCTION("""COMPUTED_VALUE"""),379.0)</f>
        <v/>
      </c>
      <c r="B380" s="28">
        <f>IFERROR(__xludf.DUMMYFUNCTION("""COMPUTED_VALUE"""),3.28000676E8)</f>
        <v/>
      </c>
      <c r="C380" s="28">
        <f>IFERROR(__xludf.DUMMYFUNCTION("""COMPUTED_VALUE"""),"ARINI YULIANTI")</f>
        <v/>
      </c>
      <c r="D380" s="175">
        <f>IFERROR(__xludf.DUMMYFUNCTION("""COMPUTED_VALUE"""),"PACKER")</f>
        <v/>
      </c>
      <c r="E380" s="28">
        <f>IFERROR(__xludf.DUMMYFUNCTION("""COMPUTED_VALUE"""),"PRODUCTION")</f>
        <v/>
      </c>
    </row>
    <row r="381" ht="15.75" customHeight="1" s="169">
      <c r="A381" s="15">
        <f>IFERROR(__xludf.DUMMYFUNCTION("""COMPUTED_VALUE"""),380.0)</f>
        <v/>
      </c>
      <c r="B381" s="28">
        <f>IFERROR(__xludf.DUMMYFUNCTION("""COMPUTED_VALUE"""),3.28000677E8)</f>
        <v/>
      </c>
      <c r="C381" s="28">
        <f>IFERROR(__xludf.DUMMYFUNCTION("""COMPUTED_VALUE"""),"REVIANI")</f>
        <v/>
      </c>
      <c r="D381" s="175">
        <f>IFERROR(__xludf.DUMMYFUNCTION("""COMPUTED_VALUE"""),"PACKER")</f>
        <v/>
      </c>
      <c r="E381" s="28">
        <f>IFERROR(__xludf.DUMMYFUNCTION("""COMPUTED_VALUE"""),"PRODUCTION")</f>
        <v/>
      </c>
    </row>
    <row r="382" ht="15.75" customHeight="1" s="169">
      <c r="A382" s="15">
        <f>IFERROR(__xludf.DUMMYFUNCTION("""COMPUTED_VALUE"""),381.0)</f>
        <v/>
      </c>
      <c r="B382" s="28">
        <f>IFERROR(__xludf.DUMMYFUNCTION("""COMPUTED_VALUE"""),3.28000678E8)</f>
        <v/>
      </c>
      <c r="C382" s="28">
        <f>IFERROR(__xludf.DUMMYFUNCTION("""COMPUTED_VALUE"""),"AKMAL KOMALUDIN")</f>
        <v/>
      </c>
      <c r="D382" s="175">
        <f>IFERROR(__xludf.DUMMYFUNCTION("""COMPUTED_VALUE"""),"PACKER")</f>
        <v/>
      </c>
      <c r="E382" s="28">
        <f>IFERROR(__xludf.DUMMYFUNCTION("""COMPUTED_VALUE"""),"PRODUCTION")</f>
        <v/>
      </c>
    </row>
    <row r="383" ht="15.75" customHeight="1" s="169">
      <c r="A383" s="15">
        <f>IFERROR(__xludf.DUMMYFUNCTION("""COMPUTED_VALUE"""),382.0)</f>
        <v/>
      </c>
      <c r="B383" s="28">
        <f>IFERROR(__xludf.DUMMYFUNCTION("""COMPUTED_VALUE"""),3.2800068E8)</f>
        <v/>
      </c>
      <c r="C383" s="28">
        <f>IFERROR(__xludf.DUMMYFUNCTION("""COMPUTED_VALUE"""),"NATASYA SHAFIRA PUTRI RAHMAT")</f>
        <v/>
      </c>
      <c r="D383" s="175">
        <f>IFERROR(__xludf.DUMMYFUNCTION("""COMPUTED_VALUE"""),"ADMIN WRM")</f>
        <v/>
      </c>
      <c r="E383" s="28">
        <f>IFERROR(__xludf.DUMMYFUNCTION("""COMPUTED_VALUE"""),"LOGISTIC")</f>
        <v/>
      </c>
    </row>
    <row r="384" ht="15.75" customHeight="1" s="169">
      <c r="A384" s="15">
        <f>IFERROR(__xludf.DUMMYFUNCTION("""COMPUTED_VALUE"""),383.0)</f>
        <v/>
      </c>
      <c r="B384" s="28">
        <f>IFERROR(__xludf.DUMMYFUNCTION("""COMPUTED_VALUE"""),3.28000682E8)</f>
        <v/>
      </c>
      <c r="C384" s="28">
        <f>IFERROR(__xludf.DUMMYFUNCTION("""COMPUTED_VALUE"""),"MUTIYANA")</f>
        <v/>
      </c>
      <c r="D384" s="175">
        <f>IFERROR(__xludf.DUMMYFUNCTION("""COMPUTED_VALUE"""),"PACKER")</f>
        <v/>
      </c>
      <c r="E384" s="28">
        <f>IFERROR(__xludf.DUMMYFUNCTION("""COMPUTED_VALUE"""),"PRODUCTION")</f>
        <v/>
      </c>
    </row>
    <row r="385" ht="15.75" customHeight="1" s="169">
      <c r="A385" s="15">
        <f>IFERROR(__xludf.DUMMYFUNCTION("""COMPUTED_VALUE"""),384.0)</f>
        <v/>
      </c>
      <c r="B385" s="28">
        <f>IFERROR(__xludf.DUMMYFUNCTION("""COMPUTED_VALUE"""),3.28000683E8)</f>
        <v/>
      </c>
      <c r="C385" s="28">
        <f>IFERROR(__xludf.DUMMYFUNCTION("""COMPUTED_VALUE"""),"ALDI AFDUL ALFIANSYAH")</f>
        <v/>
      </c>
      <c r="D385" s="175">
        <f>IFERROR(__xludf.DUMMYFUNCTION("""COMPUTED_VALUE"""),"OPERATOR PRODUCTION")</f>
        <v/>
      </c>
      <c r="E385" s="28">
        <f>IFERROR(__xludf.DUMMYFUNCTION("""COMPUTED_VALUE"""),"PRODUCTION")</f>
        <v/>
      </c>
    </row>
    <row r="386" ht="15.75" customHeight="1" s="169">
      <c r="A386" s="15">
        <f>IFERROR(__xludf.DUMMYFUNCTION("""COMPUTED_VALUE"""),385.0)</f>
        <v/>
      </c>
      <c r="B386" s="28">
        <f>IFERROR(__xludf.DUMMYFUNCTION("""COMPUTED_VALUE"""),3.28000684E8)</f>
        <v/>
      </c>
      <c r="C386" s="28">
        <f>IFERROR(__xludf.DUMMYFUNCTION("""COMPUTED_VALUE"""),"TATANG SUPRIADI")</f>
        <v/>
      </c>
      <c r="D386" s="175">
        <f>IFERROR(__xludf.DUMMYFUNCTION("""COMPUTED_VALUE"""),"OPERATOR PRODUCTION")</f>
        <v/>
      </c>
      <c r="E386" s="28">
        <f>IFERROR(__xludf.DUMMYFUNCTION("""COMPUTED_VALUE"""),"PRODUCTION")</f>
        <v/>
      </c>
    </row>
    <row r="387" ht="15.75" customHeight="1" s="169">
      <c r="A387" s="15">
        <f>IFERROR(__xludf.DUMMYFUNCTION("""COMPUTED_VALUE"""),386.0)</f>
        <v/>
      </c>
      <c r="B387" s="28">
        <f>IFERROR(__xludf.DUMMYFUNCTION("""COMPUTED_VALUE"""),3.28000685E8)</f>
        <v/>
      </c>
      <c r="C387" s="28">
        <f>IFERROR(__xludf.DUMMYFUNCTION("""COMPUTED_VALUE"""),"SULTAN AZIS")</f>
        <v/>
      </c>
      <c r="D387" s="175">
        <f>IFERROR(__xludf.DUMMYFUNCTION("""COMPUTED_VALUE"""),"OPERATOR PRODUCTION")</f>
        <v/>
      </c>
      <c r="E387" s="28">
        <f>IFERROR(__xludf.DUMMYFUNCTION("""COMPUTED_VALUE"""),"PRODUCTION")</f>
        <v/>
      </c>
    </row>
    <row r="388" ht="15.75" customHeight="1" s="169">
      <c r="A388" s="15">
        <f>IFERROR(__xludf.DUMMYFUNCTION("""COMPUTED_VALUE"""),387.0)</f>
        <v/>
      </c>
      <c r="B388" s="28">
        <f>IFERROR(__xludf.DUMMYFUNCTION("""COMPUTED_VALUE"""),3.28000686E8)</f>
        <v/>
      </c>
      <c r="C388" s="28">
        <f>IFERROR(__xludf.DUMMYFUNCTION("""COMPUTED_VALUE"""),"FIRMANSYAH")</f>
        <v/>
      </c>
      <c r="D388" s="175">
        <f>IFERROR(__xludf.DUMMYFUNCTION("""COMPUTED_VALUE"""),"OPERATOR PRODUCTION")</f>
        <v/>
      </c>
      <c r="E388" s="28">
        <f>IFERROR(__xludf.DUMMYFUNCTION("""COMPUTED_VALUE"""),"PRODUCTION")</f>
        <v/>
      </c>
    </row>
    <row r="389" ht="15.75" customHeight="1" s="169">
      <c r="A389" s="15">
        <f>IFERROR(__xludf.DUMMYFUNCTION("""COMPUTED_VALUE"""),388.0)</f>
        <v/>
      </c>
      <c r="B389" s="28">
        <f>IFERROR(__xludf.DUMMYFUNCTION("""COMPUTED_VALUE"""),3.28000687E8)</f>
        <v/>
      </c>
      <c r="C389" s="28">
        <f>IFERROR(__xludf.DUMMYFUNCTION("""COMPUTED_VALUE"""),"RYAN SEPTIANTO SAPUTRA")</f>
        <v/>
      </c>
      <c r="D389" s="175">
        <f>IFERROR(__xludf.DUMMYFUNCTION("""COMPUTED_VALUE"""),"TECHNICIAN")</f>
        <v/>
      </c>
      <c r="E389" s="28">
        <f>IFERROR(__xludf.DUMMYFUNCTION("""COMPUTED_VALUE"""),"ENGINEERING")</f>
        <v/>
      </c>
    </row>
    <row r="390" ht="15.75" customHeight="1" s="169">
      <c r="A390" s="15">
        <f>IFERROR(__xludf.DUMMYFUNCTION("""COMPUTED_VALUE"""),389.0)</f>
        <v/>
      </c>
      <c r="B390" s="28">
        <f>IFERROR(__xludf.DUMMYFUNCTION("""COMPUTED_VALUE"""),3.2800069E8)</f>
        <v/>
      </c>
      <c r="C390" s="28">
        <f>IFERROR(__xludf.DUMMYFUNCTION("""COMPUTED_VALUE"""),"MUHAMMAD SULTHAN HANIF MUFLIH")</f>
        <v/>
      </c>
      <c r="D390" s="175">
        <f>IFERROR(__xludf.DUMMYFUNCTION("""COMPUTED_VALUE"""),"ADMIN WSP")</f>
        <v/>
      </c>
      <c r="E390" s="28">
        <f>IFERROR(__xludf.DUMMYFUNCTION("""COMPUTED_VALUE"""),"LOGISTIC")</f>
        <v/>
      </c>
    </row>
    <row r="391" ht="15.75" customHeight="1" s="169">
      <c r="A391" s="15">
        <f>IFERROR(__xludf.DUMMYFUNCTION("""COMPUTED_VALUE"""),390.0)</f>
        <v/>
      </c>
      <c r="B391" s="28">
        <f>IFERROR(__xludf.DUMMYFUNCTION("""COMPUTED_VALUE"""),3.28000692E8)</f>
        <v/>
      </c>
      <c r="C391" s="28">
        <f>IFERROR(__xludf.DUMMYFUNCTION("""COMPUTED_VALUE"""),"MUHAMAD NURFAIZHI")</f>
        <v/>
      </c>
      <c r="D391" s="175">
        <f>IFERROR(__xludf.DUMMYFUNCTION("""COMPUTED_VALUE"""),"ADMIN TSP")</f>
        <v/>
      </c>
      <c r="E391" s="28">
        <f>IFERROR(__xludf.DUMMYFUNCTION("""COMPUTED_VALUE"""),"PRODUCTION")</f>
        <v/>
      </c>
    </row>
    <row r="392" ht="15.75" customHeight="1" s="169">
      <c r="A392" s="15">
        <f>IFERROR(__xludf.DUMMYFUNCTION("""COMPUTED_VALUE"""),391.0)</f>
        <v/>
      </c>
      <c r="B392" s="28">
        <f>IFERROR(__xludf.DUMMYFUNCTION("""COMPUTED_VALUE"""),3.28000693E8)</f>
        <v/>
      </c>
      <c r="C392" s="28">
        <f>IFERROR(__xludf.DUMMYFUNCTION("""COMPUTED_VALUE"""),"ANDREAN ANSHAR RAMADHAN")</f>
        <v/>
      </c>
      <c r="D392" s="175">
        <f>IFERROR(__xludf.DUMMYFUNCTION("""COMPUTED_VALUE"""),"PACKER")</f>
        <v/>
      </c>
      <c r="E392" s="28">
        <f>IFERROR(__xludf.DUMMYFUNCTION("""COMPUTED_VALUE"""),"PRODUCTION")</f>
        <v/>
      </c>
    </row>
    <row r="393" ht="15.75" customHeight="1" s="169">
      <c r="A393" s="15">
        <f>IFERROR(__xludf.DUMMYFUNCTION("""COMPUTED_VALUE"""),392.0)</f>
        <v/>
      </c>
      <c r="B393" s="28">
        <f>IFERROR(__xludf.DUMMYFUNCTION("""COMPUTED_VALUE"""),3.28000694E8)</f>
        <v/>
      </c>
      <c r="C393" s="28">
        <f>IFERROR(__xludf.DUMMYFUNCTION("""COMPUTED_VALUE"""),"ILHAM SURYA HANDIKA")</f>
        <v/>
      </c>
      <c r="D393" s="175">
        <f>IFERROR(__xludf.DUMMYFUNCTION("""COMPUTED_VALUE"""),"PACKER")</f>
        <v/>
      </c>
      <c r="E393" s="28">
        <f>IFERROR(__xludf.DUMMYFUNCTION("""COMPUTED_VALUE"""),"PRODUCTION")</f>
        <v/>
      </c>
    </row>
    <row r="394" ht="15.75" customHeight="1" s="169">
      <c r="A394" s="15">
        <f>IFERROR(__xludf.DUMMYFUNCTION("""COMPUTED_VALUE"""),393.0)</f>
        <v/>
      </c>
      <c r="B394" s="28">
        <f>IFERROR(__xludf.DUMMYFUNCTION("""COMPUTED_VALUE"""),3.28000695E8)</f>
        <v/>
      </c>
      <c r="C394" s="28">
        <f>IFERROR(__xludf.DUMMYFUNCTION("""COMPUTED_VALUE"""),"SRI RAHAYU")</f>
        <v/>
      </c>
      <c r="D394" s="175">
        <f>IFERROR(__xludf.DUMMYFUNCTION("""COMPUTED_VALUE"""),"PACKER")</f>
        <v/>
      </c>
      <c r="E394" s="28">
        <f>IFERROR(__xludf.DUMMYFUNCTION("""COMPUTED_VALUE"""),"PRODUCTION")</f>
        <v/>
      </c>
    </row>
    <row r="395" ht="15.75" customHeight="1" s="169">
      <c r="A395" s="15">
        <f>IFERROR(__xludf.DUMMYFUNCTION("""COMPUTED_VALUE"""),394.0)</f>
        <v/>
      </c>
      <c r="B395" s="28">
        <f>IFERROR(__xludf.DUMMYFUNCTION("""COMPUTED_VALUE"""),3.28000696E8)</f>
        <v/>
      </c>
      <c r="C395" s="28">
        <f>IFERROR(__xludf.DUMMYFUNCTION("""COMPUTED_VALUE"""),"DEA LESMANA")</f>
        <v/>
      </c>
      <c r="D395" s="175">
        <f>IFERROR(__xludf.DUMMYFUNCTION("""COMPUTED_VALUE"""),"TECHNICIAN")</f>
        <v/>
      </c>
      <c r="E395" s="28">
        <f>IFERROR(__xludf.DUMMYFUNCTION("""COMPUTED_VALUE"""),"ENGINEERING")</f>
        <v/>
      </c>
    </row>
    <row r="396" ht="15.75" customHeight="1" s="169">
      <c r="A396" s="15">
        <f>IFERROR(__xludf.DUMMYFUNCTION("""COMPUTED_VALUE"""),395.0)</f>
        <v/>
      </c>
      <c r="B396" s="28">
        <f>IFERROR(__xludf.DUMMYFUNCTION("""COMPUTED_VALUE"""),3.28000697E8)</f>
        <v/>
      </c>
      <c r="C396" s="28">
        <f>IFERROR(__xludf.DUMMYFUNCTION("""COMPUTED_VALUE"""),"AZIE RAMADANI")</f>
        <v/>
      </c>
      <c r="D396" s="175">
        <f>IFERROR(__xludf.DUMMYFUNCTION("""COMPUTED_VALUE"""),"OPERATOR REACHTRUCK")</f>
        <v/>
      </c>
      <c r="E396" s="28">
        <f>IFERROR(__xludf.DUMMYFUNCTION("""COMPUTED_VALUE"""),"LOGISTIC")</f>
        <v/>
      </c>
    </row>
    <row r="397" ht="15.75" customHeight="1" s="169">
      <c r="A397" s="15">
        <f>IFERROR(__xludf.DUMMYFUNCTION("""COMPUTED_VALUE"""),396.0)</f>
        <v/>
      </c>
      <c r="B397" s="28">
        <f>IFERROR(__xludf.DUMMYFUNCTION("""COMPUTED_VALUE"""),3.28000698E8)</f>
        <v/>
      </c>
      <c r="C397" s="28">
        <f>IFERROR(__xludf.DUMMYFUNCTION("""COMPUTED_VALUE"""),"R. SYAIDATUZZAIN HAMMERA")</f>
        <v/>
      </c>
      <c r="D397" s="175">
        <f>IFERROR(__xludf.DUMMYFUNCTION("""COMPUTED_VALUE"""),"PACKER")</f>
        <v/>
      </c>
      <c r="E397" s="28">
        <f>IFERROR(__xludf.DUMMYFUNCTION("""COMPUTED_VALUE"""),"PRODUCTION")</f>
        <v/>
      </c>
    </row>
    <row r="398" ht="15.75" customHeight="1" s="169">
      <c r="A398" s="15">
        <f>IFERROR(__xludf.DUMMYFUNCTION("""COMPUTED_VALUE"""),397.0)</f>
        <v/>
      </c>
      <c r="B398" s="28">
        <f>IFERROR(__xludf.DUMMYFUNCTION("""COMPUTED_VALUE"""),3.28000699E8)</f>
        <v/>
      </c>
      <c r="C398" s="28">
        <f>IFERROR(__xludf.DUMMYFUNCTION("""COMPUTED_VALUE"""),"ADINDA FRANSISKA CANDRA")</f>
        <v/>
      </c>
      <c r="D398" s="175">
        <f>IFERROR(__xludf.DUMMYFUNCTION("""COMPUTED_VALUE"""),"PACKER")</f>
        <v/>
      </c>
      <c r="E398" s="28">
        <f>IFERROR(__xludf.DUMMYFUNCTION("""COMPUTED_VALUE"""),"PRODUCTION")</f>
        <v/>
      </c>
    </row>
    <row r="399" ht="15.75" customHeight="1" s="169">
      <c r="A399" s="15">
        <f>IFERROR(__xludf.DUMMYFUNCTION("""COMPUTED_VALUE"""),398.0)</f>
        <v/>
      </c>
      <c r="B399" s="28">
        <f>IFERROR(__xludf.DUMMYFUNCTION("""COMPUTED_VALUE"""),3.280007E8)</f>
        <v/>
      </c>
      <c r="C399" s="28">
        <f>IFERROR(__xludf.DUMMYFUNCTION("""COMPUTED_VALUE"""),"FREEDA KEISHA PUTRI")</f>
        <v/>
      </c>
      <c r="D399" s="175">
        <f>IFERROR(__xludf.DUMMYFUNCTION("""COMPUTED_VALUE"""),"QC PRODUKSI")</f>
        <v/>
      </c>
      <c r="E399" s="28">
        <f>IFERROR(__xludf.DUMMYFUNCTION("""COMPUTED_VALUE"""),"QUALITY AND RESEARCH &amp; DEVELOPMENT")</f>
        <v/>
      </c>
    </row>
    <row r="400" ht="15.75" customHeight="1" s="169">
      <c r="A400" s="15">
        <f>IFERROR(__xludf.DUMMYFUNCTION("""COMPUTED_VALUE"""),399.0)</f>
        <v/>
      </c>
      <c r="B400" s="28">
        <f>IFERROR(__xludf.DUMMYFUNCTION("""COMPUTED_VALUE"""),3.28000701E8)</f>
        <v/>
      </c>
      <c r="C400" s="28">
        <f>IFERROR(__xludf.DUMMYFUNCTION("""COMPUTED_VALUE"""),"FIKA RIYADI SOLIHIN")</f>
        <v/>
      </c>
      <c r="D400" s="175">
        <f>IFERROR(__xludf.DUMMYFUNCTION("""COMPUTED_VALUE"""),"ADMIN TSP")</f>
        <v/>
      </c>
      <c r="E400" s="28">
        <f>IFERROR(__xludf.DUMMYFUNCTION("""COMPUTED_VALUE"""),"PRODUCTION")</f>
        <v/>
      </c>
    </row>
    <row r="401" ht="15.75" customHeight="1" s="169">
      <c r="A401" s="15">
        <f>IFERROR(__xludf.DUMMYFUNCTION("""COMPUTED_VALUE"""),400.0)</f>
        <v/>
      </c>
      <c r="B401" s="28">
        <f>IFERROR(__xludf.DUMMYFUNCTION("""COMPUTED_VALUE"""),3.28000702E8)</f>
        <v/>
      </c>
      <c r="C401" s="28">
        <f>IFERROR(__xludf.DUMMYFUNCTION("""COMPUTED_VALUE"""),"SUCI NUR CAHYUNI")</f>
        <v/>
      </c>
      <c r="D401" s="175">
        <f>IFERROR(__xludf.DUMMYFUNCTION("""COMPUTED_VALUE"""),"PACKER")</f>
        <v/>
      </c>
      <c r="E401" s="28">
        <f>IFERROR(__xludf.DUMMYFUNCTION("""COMPUTED_VALUE"""),"PRODUCTION")</f>
        <v/>
      </c>
    </row>
    <row r="402" ht="15.75" customHeight="1" s="169">
      <c r="A402" s="15">
        <f>IFERROR(__xludf.DUMMYFUNCTION("""COMPUTED_VALUE"""),401.0)</f>
        <v/>
      </c>
      <c r="B402" s="28">
        <f>IFERROR(__xludf.DUMMYFUNCTION("""COMPUTED_VALUE"""),3.28000703E8)</f>
        <v/>
      </c>
      <c r="C402" s="28">
        <f>IFERROR(__xludf.DUMMYFUNCTION("""COMPUTED_VALUE"""),"DIMAS ANANG PRABOWO")</f>
        <v/>
      </c>
      <c r="D402" s="175">
        <f>IFERROR(__xludf.DUMMYFUNCTION("""COMPUTED_VALUE"""),"TECHNICIAN")</f>
        <v/>
      </c>
      <c r="E402" s="28">
        <f>IFERROR(__xludf.DUMMYFUNCTION("""COMPUTED_VALUE"""),"ENGINEERING")</f>
        <v/>
      </c>
    </row>
    <row r="403" ht="15.75" customHeight="1" s="169">
      <c r="A403" s="15">
        <f>IFERROR(__xludf.DUMMYFUNCTION("""COMPUTED_VALUE"""),402.0)</f>
        <v/>
      </c>
      <c r="B403" s="28">
        <f>IFERROR(__xludf.DUMMYFUNCTION("""COMPUTED_VALUE"""),3.28000704E8)</f>
        <v/>
      </c>
      <c r="C403" s="28">
        <f>IFERROR(__xludf.DUMMYFUNCTION("""COMPUTED_VALUE"""),"TAHATA FADHILAH ABI MAULANA")</f>
        <v/>
      </c>
      <c r="D403" s="175">
        <f>IFERROR(__xludf.DUMMYFUNCTION("""COMPUTED_VALUE"""),"TECHNICIAN")</f>
        <v/>
      </c>
      <c r="E403" s="28">
        <f>IFERROR(__xludf.DUMMYFUNCTION("""COMPUTED_VALUE"""),"ENGINEERING")</f>
        <v/>
      </c>
    </row>
    <row r="404" ht="15.75" customHeight="1" s="169">
      <c r="A404" s="15">
        <f>IFERROR(__xludf.DUMMYFUNCTION("""COMPUTED_VALUE"""),403.0)</f>
        <v/>
      </c>
      <c r="B404" s="28">
        <f>IFERROR(__xludf.DUMMYFUNCTION("""COMPUTED_VALUE"""),3.28000705E8)</f>
        <v/>
      </c>
      <c r="C404" s="28">
        <f>IFERROR(__xludf.DUMMYFUNCTION("""COMPUTED_VALUE"""),"HARI JULIANTO")</f>
        <v/>
      </c>
      <c r="D404" s="175">
        <f>IFERROR(__xludf.DUMMYFUNCTION("""COMPUTED_VALUE"""),"PACKER")</f>
        <v/>
      </c>
      <c r="E404" s="28">
        <f>IFERROR(__xludf.DUMMYFUNCTION("""COMPUTED_VALUE"""),"PRODUCTION")</f>
        <v/>
      </c>
    </row>
    <row r="405" ht="15.75" customHeight="1" s="169">
      <c r="A405" s="15">
        <f>IFERROR(__xludf.DUMMYFUNCTION("""COMPUTED_VALUE"""),404.0)</f>
        <v/>
      </c>
      <c r="B405" s="28">
        <f>IFERROR(__xludf.DUMMYFUNCTION("""COMPUTED_VALUE"""),3.28000706E8)</f>
        <v/>
      </c>
      <c r="C405" s="28">
        <f>IFERROR(__xludf.DUMMYFUNCTION("""COMPUTED_VALUE"""),"AHMAD SOLEH")</f>
        <v/>
      </c>
      <c r="D405" s="175">
        <f>IFERROR(__xludf.DUMMYFUNCTION("""COMPUTED_VALUE"""),"ADMIN TSP")</f>
        <v/>
      </c>
      <c r="E405" s="28">
        <f>IFERROR(__xludf.DUMMYFUNCTION("""COMPUTED_VALUE"""),"PRODUCTION")</f>
        <v/>
      </c>
    </row>
    <row r="406" ht="15.75" customHeight="1" s="169">
      <c r="A406" s="15">
        <f>IFERROR(__xludf.DUMMYFUNCTION("""COMPUTED_VALUE"""),405.0)</f>
        <v/>
      </c>
      <c r="B406" s="28">
        <f>IFERROR(__xludf.DUMMYFUNCTION("""COMPUTED_VALUE"""),3.28000707E8)</f>
        <v/>
      </c>
      <c r="C406" s="28">
        <f>IFERROR(__xludf.DUMMYFUNCTION("""COMPUTED_VALUE"""),"AGUNG PURWANTO")</f>
        <v/>
      </c>
      <c r="D406" s="175">
        <f>IFERROR(__xludf.DUMMYFUNCTION("""COMPUTED_VALUE"""),"OPERATOR FORKLIFT")</f>
        <v/>
      </c>
      <c r="E406" s="28">
        <f>IFERROR(__xludf.DUMMYFUNCTION("""COMPUTED_VALUE"""),"LOGISTIC")</f>
        <v/>
      </c>
    </row>
    <row r="407" ht="15.75" customHeight="1" s="169">
      <c r="A407" s="15">
        <f>IFERROR(__xludf.DUMMYFUNCTION("""COMPUTED_VALUE"""),406.0)</f>
        <v/>
      </c>
      <c r="B407" s="28">
        <f>IFERROR(__xludf.DUMMYFUNCTION("""COMPUTED_VALUE"""),3.28000708E8)</f>
        <v/>
      </c>
      <c r="C407" s="28">
        <f>IFERROR(__xludf.DUMMYFUNCTION("""COMPUTED_VALUE"""),"SOFHIE SILVIA PUTRI")</f>
        <v/>
      </c>
      <c r="D407" s="175">
        <f>IFERROR(__xludf.DUMMYFUNCTION("""COMPUTED_VALUE"""),"QC LAB")</f>
        <v/>
      </c>
      <c r="E407" s="28">
        <f>IFERROR(__xludf.DUMMYFUNCTION("""COMPUTED_VALUE"""),"QUALITY AND RESEARCH &amp; DEVELOPMENT")</f>
        <v/>
      </c>
    </row>
    <row r="408" ht="15.75" customHeight="1" s="169">
      <c r="A408" s="15">
        <f>IFERROR(__xludf.DUMMYFUNCTION("""COMPUTED_VALUE"""),407.0)</f>
        <v/>
      </c>
      <c r="B408" s="28">
        <f>IFERROR(__xludf.DUMMYFUNCTION("""COMPUTED_VALUE"""),3.28000709E8)</f>
        <v/>
      </c>
      <c r="C408" s="28">
        <f>IFERROR(__xludf.DUMMYFUNCTION("""COMPUTED_VALUE"""),"FRANSISKUS HANDOKO HUTASOIT")</f>
        <v/>
      </c>
      <c r="D408" s="175">
        <f>IFERROR(__xludf.DUMMYFUNCTION("""COMPUTED_VALUE"""),"TECHNICIAN")</f>
        <v/>
      </c>
      <c r="E408" s="28">
        <f>IFERROR(__xludf.DUMMYFUNCTION("""COMPUTED_VALUE"""),"ENGINEERING")</f>
        <v/>
      </c>
    </row>
    <row r="409" ht="15.75" customHeight="1" s="169">
      <c r="A409" s="15">
        <f>IFERROR(__xludf.DUMMYFUNCTION("""COMPUTED_VALUE"""),408.0)</f>
        <v/>
      </c>
      <c r="B409" s="28">
        <f>IFERROR(__xludf.DUMMYFUNCTION("""COMPUTED_VALUE"""),3.2800071E8)</f>
        <v/>
      </c>
      <c r="C409" s="28">
        <f>IFERROR(__xludf.DUMMYFUNCTION("""COMPUTED_VALUE"""),"EKA PEBRIANI")</f>
        <v/>
      </c>
      <c r="D409" s="175">
        <f>IFERROR(__xludf.DUMMYFUNCTION("""COMPUTED_VALUE"""),"PACKER")</f>
        <v/>
      </c>
      <c r="E409" s="28">
        <f>IFERROR(__xludf.DUMMYFUNCTION("""COMPUTED_VALUE"""),"PRODUCTION")</f>
        <v/>
      </c>
    </row>
    <row r="410" ht="15.75" customHeight="1" s="169">
      <c r="A410" s="15">
        <f>IFERROR(__xludf.DUMMYFUNCTION("""COMPUTED_VALUE"""),409.0)</f>
        <v/>
      </c>
      <c r="B410" s="28">
        <f>IFERROR(__xludf.DUMMYFUNCTION("""COMPUTED_VALUE"""),3.28000711E8)</f>
        <v/>
      </c>
      <c r="C410" s="28">
        <f>IFERROR(__xludf.DUMMYFUNCTION("""COMPUTED_VALUE"""),"RIZKYA RAMADHANI")</f>
        <v/>
      </c>
      <c r="D410" s="175">
        <f>IFERROR(__xludf.DUMMYFUNCTION("""COMPUTED_VALUE"""),"QC PRODUKSI")</f>
        <v/>
      </c>
      <c r="E410" s="28">
        <f>IFERROR(__xludf.DUMMYFUNCTION("""COMPUTED_VALUE"""),"QUALITY AND RESEARCH &amp; DEVELOPMENT")</f>
        <v/>
      </c>
    </row>
    <row r="411" ht="15.75" customHeight="1" s="169">
      <c r="A411" s="15">
        <f>IFERROR(__xludf.DUMMYFUNCTION("""COMPUTED_VALUE"""),410.0)</f>
        <v/>
      </c>
      <c r="B411" s="28">
        <f>IFERROR(__xludf.DUMMYFUNCTION("""COMPUTED_VALUE"""),3.28000712E8)</f>
        <v/>
      </c>
      <c r="C411" s="28">
        <f>IFERROR(__xludf.DUMMYFUNCTION("""COMPUTED_VALUE"""),"ALWIN DWI PANGGA")</f>
        <v/>
      </c>
      <c r="D411" s="175">
        <f>IFERROR(__xludf.DUMMYFUNCTION("""COMPUTED_VALUE"""),"OPERATOR FORKLIFT")</f>
        <v/>
      </c>
      <c r="E411" s="28">
        <f>IFERROR(__xludf.DUMMYFUNCTION("""COMPUTED_VALUE"""),"LOGISTIC")</f>
        <v/>
      </c>
    </row>
    <row r="412" ht="15.75" customHeight="1" s="169">
      <c r="A412" s="15">
        <f>IFERROR(__xludf.DUMMYFUNCTION("""COMPUTED_VALUE"""),411.0)</f>
        <v/>
      </c>
      <c r="B412" s="28">
        <f>IFERROR(__xludf.DUMMYFUNCTION("""COMPUTED_VALUE"""),3.28000713E8)</f>
        <v/>
      </c>
      <c r="C412" s="28">
        <f>IFERROR(__xludf.DUMMYFUNCTION("""COMPUTED_VALUE"""),"IRWAN CHRISTIANTO HUTAGALUNG")</f>
        <v/>
      </c>
      <c r="D412" s="175">
        <f>IFERROR(__xludf.DUMMYFUNCTION("""COMPUTED_VALUE"""),"OPERATOR PRODUCTION")</f>
        <v/>
      </c>
      <c r="E412" s="28">
        <f>IFERROR(__xludf.DUMMYFUNCTION("""COMPUTED_VALUE"""),"PRODUCTION")</f>
        <v/>
      </c>
    </row>
    <row r="413" ht="15.75" customHeight="1" s="169">
      <c r="A413" s="15">
        <f>IFERROR(__xludf.DUMMYFUNCTION("""COMPUTED_VALUE"""),412.0)</f>
        <v/>
      </c>
      <c r="B413" s="28">
        <f>IFERROR(__xludf.DUMMYFUNCTION("""COMPUTED_VALUE"""),3.28000714E8)</f>
        <v/>
      </c>
      <c r="C413" s="28">
        <f>IFERROR(__xludf.DUMMYFUNCTION("""COMPUTED_VALUE"""),"NURASYIAH")</f>
        <v/>
      </c>
      <c r="D413" s="175">
        <f>IFERROR(__xludf.DUMMYFUNCTION("""COMPUTED_VALUE"""),"ADMIN WRM")</f>
        <v/>
      </c>
      <c r="E413" s="28">
        <f>IFERROR(__xludf.DUMMYFUNCTION("""COMPUTED_VALUE"""),"LOGISTIC")</f>
        <v/>
      </c>
    </row>
    <row r="414" ht="15.75" customHeight="1" s="169">
      <c r="A414" s="15">
        <f>IFERROR(__xludf.DUMMYFUNCTION("""COMPUTED_VALUE"""),413.0)</f>
        <v/>
      </c>
      <c r="B414" s="28">
        <f>IFERROR(__xludf.DUMMYFUNCTION("""COMPUTED_VALUE"""),3.28000715E8)</f>
        <v/>
      </c>
      <c r="C414" s="28">
        <f>IFERROR(__xludf.DUMMYFUNCTION("""COMPUTED_VALUE"""),"MUHAMAD ALDI AGUSTIANA")</f>
        <v/>
      </c>
      <c r="D414" s="175">
        <f>IFERROR(__xludf.DUMMYFUNCTION("""COMPUTED_VALUE"""),"PACKER")</f>
        <v/>
      </c>
      <c r="E414" s="28">
        <f>IFERROR(__xludf.DUMMYFUNCTION("""COMPUTED_VALUE"""),"PRODUCTION")</f>
        <v/>
      </c>
    </row>
    <row r="415" ht="15.75" customHeight="1" s="169">
      <c r="A415" s="15">
        <f>IFERROR(__xludf.DUMMYFUNCTION("""COMPUTED_VALUE"""),414.0)</f>
        <v/>
      </c>
      <c r="B415" s="28">
        <f>IFERROR(__xludf.DUMMYFUNCTION("""COMPUTED_VALUE"""),3.28000716E8)</f>
        <v/>
      </c>
      <c r="C415" s="28">
        <f>IFERROR(__xludf.DUMMYFUNCTION("""COMPUTED_VALUE"""),"IKPAN JAJULI")</f>
        <v/>
      </c>
      <c r="D415" s="175">
        <f>IFERROR(__xludf.DUMMYFUNCTION("""COMPUTED_VALUE"""),"PACKER")</f>
        <v/>
      </c>
      <c r="E415" s="28">
        <f>IFERROR(__xludf.DUMMYFUNCTION("""COMPUTED_VALUE"""),"PRODUCTION")</f>
        <v/>
      </c>
    </row>
    <row r="416" ht="15.75" customHeight="1" s="169">
      <c r="A416" s="15">
        <f>IFERROR(__xludf.DUMMYFUNCTION("""COMPUTED_VALUE"""),415.0)</f>
        <v/>
      </c>
      <c r="B416" s="28">
        <f>IFERROR(__xludf.DUMMYFUNCTION("""COMPUTED_VALUE"""),3.28000717E8)</f>
        <v/>
      </c>
      <c r="C416" s="28">
        <f>IFERROR(__xludf.DUMMYFUNCTION("""COMPUTED_VALUE"""),"VIOLINNA OCTAVIA")</f>
        <v/>
      </c>
      <c r="D416" s="175">
        <f>IFERROR(__xludf.DUMMYFUNCTION("""COMPUTED_VALUE"""),"QC LAB")</f>
        <v/>
      </c>
      <c r="E416" s="28">
        <f>IFERROR(__xludf.DUMMYFUNCTION("""COMPUTED_VALUE"""),"QUALITY AND RESEARCH &amp; DEVELOPMENT")</f>
        <v/>
      </c>
    </row>
    <row r="417" ht="15.75" customHeight="1" s="169">
      <c r="A417" s="15">
        <f>IFERROR(__xludf.DUMMYFUNCTION("""COMPUTED_VALUE"""),416.0)</f>
        <v/>
      </c>
      <c r="B417" s="28">
        <f>IFERROR(__xludf.DUMMYFUNCTION("""COMPUTED_VALUE"""),3.28000718E8)</f>
        <v/>
      </c>
      <c r="C417" s="28">
        <f>IFERROR(__xludf.DUMMYFUNCTION("""COMPUTED_VALUE"""),"AGUNG SUPRIYADI")</f>
        <v/>
      </c>
      <c r="D417" s="175">
        <f>IFERROR(__xludf.DUMMYFUNCTION("""COMPUTED_VALUE"""),"ADMIN EKSPEDISI")</f>
        <v/>
      </c>
      <c r="E417" s="28">
        <f>IFERROR(__xludf.DUMMYFUNCTION("""COMPUTED_VALUE"""),"LOGISTIC")</f>
        <v/>
      </c>
    </row>
    <row r="418" ht="15.75" customHeight="1" s="169">
      <c r="A418" s="15">
        <f>IFERROR(__xludf.DUMMYFUNCTION("""COMPUTED_VALUE"""),417.0)</f>
        <v/>
      </c>
      <c r="B418" s="28">
        <f>IFERROR(__xludf.DUMMYFUNCTION("""COMPUTED_VALUE"""),3.28000719E8)</f>
        <v/>
      </c>
      <c r="C418" s="28">
        <f>IFERROR(__xludf.DUMMYFUNCTION("""COMPUTED_VALUE"""),"NOVA HARDIANSYAH")</f>
        <v/>
      </c>
      <c r="D418" s="175">
        <f>IFERROR(__xludf.DUMMYFUNCTION("""COMPUTED_VALUE"""),"OPERATOR REACHTRUCK")</f>
        <v/>
      </c>
      <c r="E418" s="28">
        <f>IFERROR(__xludf.DUMMYFUNCTION("""COMPUTED_VALUE"""),"LOGISTIC")</f>
        <v/>
      </c>
    </row>
    <row r="419" ht="15.75" customHeight="1" s="169">
      <c r="A419" s="15">
        <f>IFERROR(__xludf.DUMMYFUNCTION("""COMPUTED_VALUE"""),418.0)</f>
        <v/>
      </c>
      <c r="B419" s="28">
        <f>IFERROR(__xludf.DUMMYFUNCTION("""COMPUTED_VALUE"""),3.2800072E8)</f>
        <v/>
      </c>
      <c r="C419" s="28">
        <f>IFERROR(__xludf.DUMMYFUNCTION("""COMPUTED_VALUE"""),"BURHAN FAUZI NAWAWI")</f>
        <v/>
      </c>
      <c r="D419" s="175">
        <f>IFERROR(__xludf.DUMMYFUNCTION("""COMPUTED_VALUE"""),"OPERATOR FORKLIFT")</f>
        <v/>
      </c>
      <c r="E419" s="28">
        <f>IFERROR(__xludf.DUMMYFUNCTION("""COMPUTED_VALUE"""),"LOGISTIC")</f>
        <v/>
      </c>
    </row>
    <row r="420" ht="15.75" customHeight="1" s="169">
      <c r="A420" s="15">
        <f>IFERROR(__xludf.DUMMYFUNCTION("""COMPUTED_VALUE"""),419.0)</f>
        <v/>
      </c>
      <c r="B420" s="28">
        <f>IFERROR(__xludf.DUMMYFUNCTION("""COMPUTED_VALUE"""),3.28000721E8)</f>
        <v/>
      </c>
      <c r="C420" s="28">
        <f>IFERROR(__xludf.DUMMYFUNCTION("""COMPUTED_VALUE"""),"BENITO FABIYAN")</f>
        <v/>
      </c>
      <c r="D420" s="175">
        <f>IFERROR(__xludf.DUMMYFUNCTION("""COMPUTED_VALUE"""),"ADMIN WFG")</f>
        <v/>
      </c>
      <c r="E420" s="28">
        <f>IFERROR(__xludf.DUMMYFUNCTION("""COMPUTED_VALUE"""),"LOGISTIC")</f>
        <v/>
      </c>
    </row>
    <row r="421" ht="15.75" customHeight="1" s="169">
      <c r="A421" s="15">
        <f>IFERROR(__xludf.DUMMYFUNCTION("""COMPUTED_VALUE"""),420.0)</f>
        <v/>
      </c>
      <c r="B421" s="28">
        <f>IFERROR(__xludf.DUMMYFUNCTION("""COMPUTED_VALUE"""),3.28000723E8)</f>
        <v/>
      </c>
      <c r="C421" s="28">
        <f>IFERROR(__xludf.DUMMYFUNCTION("""COMPUTED_VALUE"""),"ANDIKA AULYA RAHMAN")</f>
        <v/>
      </c>
      <c r="D421" s="175">
        <f>IFERROR(__xludf.DUMMYFUNCTION("""COMPUTED_VALUE"""),"CHECKER")</f>
        <v/>
      </c>
      <c r="E421" s="28">
        <f>IFERROR(__xludf.DUMMYFUNCTION("""COMPUTED_VALUE"""),"LOGISTIC")</f>
        <v/>
      </c>
    </row>
    <row r="422" ht="15.75" customHeight="1" s="169">
      <c r="A422" s="15">
        <f>IFERROR(__xludf.DUMMYFUNCTION("""COMPUTED_VALUE"""),421.0)</f>
        <v/>
      </c>
      <c r="B422" s="28">
        <f>IFERROR(__xludf.DUMMYFUNCTION("""COMPUTED_VALUE"""),3.28000724E8)</f>
        <v/>
      </c>
      <c r="C422" s="28">
        <f>IFERROR(__xludf.DUMMYFUNCTION("""COMPUTED_VALUE"""),"MUHAMMAD ABDUL AZIZ")</f>
        <v/>
      </c>
      <c r="D422" s="175">
        <f>IFERROR(__xludf.DUMMYFUNCTION("""COMPUTED_VALUE"""),"ADMIN TSP")</f>
        <v/>
      </c>
      <c r="E422" s="28">
        <f>IFERROR(__xludf.DUMMYFUNCTION("""COMPUTED_VALUE"""),"PRODUCTION")</f>
        <v/>
      </c>
    </row>
    <row r="423" ht="15.75" customHeight="1" s="169">
      <c r="A423" s="15">
        <f>IFERROR(__xludf.DUMMYFUNCTION("""COMPUTED_VALUE"""),422.0)</f>
        <v/>
      </c>
      <c r="B423" s="28">
        <f>IFERROR(__xludf.DUMMYFUNCTION("""COMPUTED_VALUE"""),3.28000725E8)</f>
        <v/>
      </c>
      <c r="C423" s="28">
        <f>IFERROR(__xludf.DUMMYFUNCTION("""COMPUTED_VALUE"""),"AKBAR ROBBY MAULANA")</f>
        <v/>
      </c>
      <c r="D423" s="175">
        <f>IFERROR(__xludf.DUMMYFUNCTION("""COMPUTED_VALUE"""),"PACKER")</f>
        <v/>
      </c>
      <c r="E423" s="28">
        <f>IFERROR(__xludf.DUMMYFUNCTION("""COMPUTED_VALUE"""),"PRODUCTION")</f>
        <v/>
      </c>
    </row>
    <row r="424" ht="15.75" customHeight="1" s="169">
      <c r="A424" s="15">
        <f>IFERROR(__xludf.DUMMYFUNCTION("""COMPUTED_VALUE"""),423.0)</f>
        <v/>
      </c>
      <c r="B424" s="28">
        <f>IFERROR(__xludf.DUMMYFUNCTION("""COMPUTED_VALUE"""),3.28000726E8)</f>
        <v/>
      </c>
      <c r="C424" s="28">
        <f>IFERROR(__xludf.DUMMYFUNCTION("""COMPUTED_VALUE"""),"RUSLI SAPEI")</f>
        <v/>
      </c>
      <c r="D424" s="175">
        <f>IFERROR(__xludf.DUMMYFUNCTION("""COMPUTED_VALUE"""),"PACKER")</f>
        <v/>
      </c>
      <c r="E424" s="28">
        <f>IFERROR(__xludf.DUMMYFUNCTION("""COMPUTED_VALUE"""),"PRODUCTION")</f>
        <v/>
      </c>
    </row>
    <row r="425" ht="15.75" customHeight="1" s="169">
      <c r="A425" s="15">
        <f>IFERROR(__xludf.DUMMYFUNCTION("""COMPUTED_VALUE"""),424.0)</f>
        <v/>
      </c>
      <c r="B425" s="28">
        <f>IFERROR(__xludf.DUMMYFUNCTION("""COMPUTED_VALUE"""),3.28000727E8)</f>
        <v/>
      </c>
      <c r="C425" s="28">
        <f>IFERROR(__xludf.DUMMYFUNCTION("""COMPUTED_VALUE"""),"ANJAR RAHARJA")</f>
        <v/>
      </c>
      <c r="D425" s="175">
        <f>IFERROR(__xludf.DUMMYFUNCTION("""COMPUTED_VALUE"""),"OPERATOR PRODUCTION")</f>
        <v/>
      </c>
      <c r="E425" s="28">
        <f>IFERROR(__xludf.DUMMYFUNCTION("""COMPUTED_VALUE"""),"PRODUCTION")</f>
        <v/>
      </c>
    </row>
    <row r="426" ht="15.75" customHeight="1" s="169">
      <c r="A426" s="15">
        <f>IFERROR(__xludf.DUMMYFUNCTION("""COMPUTED_VALUE"""),425.0)</f>
        <v/>
      </c>
      <c r="B426" s="28">
        <f>IFERROR(__xludf.DUMMYFUNCTION("""COMPUTED_VALUE"""),3.28000728E8)</f>
        <v/>
      </c>
      <c r="C426" s="28">
        <f>IFERROR(__xludf.DUMMYFUNCTION("""COMPUTED_VALUE"""),"DINDA NIRMALA")</f>
        <v/>
      </c>
      <c r="D426" s="175">
        <f>IFERROR(__xludf.DUMMYFUNCTION("""COMPUTED_VALUE"""),"QC LINE")</f>
        <v/>
      </c>
      <c r="E426" s="28">
        <f>IFERROR(__xludf.DUMMYFUNCTION("""COMPUTED_VALUE"""),"QUALITY AND RESEARCH &amp; DEVELOPMENT")</f>
        <v/>
      </c>
    </row>
    <row r="427" ht="15.75" customHeight="1" s="169">
      <c r="A427" s="15">
        <f>IFERROR(__xludf.DUMMYFUNCTION("""COMPUTED_VALUE"""),426.0)</f>
        <v/>
      </c>
      <c r="B427" s="28">
        <f>IFERROR(__xludf.DUMMYFUNCTION("""COMPUTED_VALUE"""),3.2800073E8)</f>
        <v/>
      </c>
      <c r="C427" s="28">
        <f>IFERROR(__xludf.DUMMYFUNCTION("""COMPUTED_VALUE"""),"FAJAR SAMPURNA PUTRA")</f>
        <v/>
      </c>
      <c r="D427" s="175">
        <f>IFERROR(__xludf.DUMMYFUNCTION("""COMPUTED_VALUE"""),"OPERATOR FORKLIFT")</f>
        <v/>
      </c>
      <c r="E427" s="28">
        <f>IFERROR(__xludf.DUMMYFUNCTION("""COMPUTED_VALUE"""),"LOGISTIC")</f>
        <v/>
      </c>
    </row>
    <row r="428" ht="15.75" customHeight="1" s="169">
      <c r="A428" s="15">
        <f>IFERROR(__xludf.DUMMYFUNCTION("""COMPUTED_VALUE"""),427.0)</f>
        <v/>
      </c>
      <c r="B428" s="28">
        <f>IFERROR(__xludf.DUMMYFUNCTION("""COMPUTED_VALUE"""),3.28000731E8)</f>
        <v/>
      </c>
      <c r="C428" s="28">
        <f>IFERROR(__xludf.DUMMYFUNCTION("""COMPUTED_VALUE"""),"ABDUL HARISH ANSHORI")</f>
        <v/>
      </c>
      <c r="D428" s="175">
        <f>IFERROR(__xludf.DUMMYFUNCTION("""COMPUTED_VALUE"""),"OPERATOR FORKLIFT")</f>
        <v/>
      </c>
      <c r="E428" s="28">
        <f>IFERROR(__xludf.DUMMYFUNCTION("""COMPUTED_VALUE"""),"LOGISTIC")</f>
        <v/>
      </c>
    </row>
    <row r="429" ht="15.75" customHeight="1" s="169">
      <c r="A429" s="15">
        <f>IFERROR(__xludf.DUMMYFUNCTION("""COMPUTED_VALUE"""),428.0)</f>
        <v/>
      </c>
      <c r="B429" s="28">
        <f>IFERROR(__xludf.DUMMYFUNCTION("""COMPUTED_VALUE"""),3.28000732E8)</f>
        <v/>
      </c>
      <c r="C429" s="28">
        <f>IFERROR(__xludf.DUMMYFUNCTION("""COMPUTED_VALUE"""),"ARBI SYAH PUTRA")</f>
        <v/>
      </c>
      <c r="D429" s="175">
        <f>IFERROR(__xludf.DUMMYFUNCTION("""COMPUTED_VALUE"""),"PACKER")</f>
        <v/>
      </c>
      <c r="E429" s="28">
        <f>IFERROR(__xludf.DUMMYFUNCTION("""COMPUTED_VALUE"""),"PRODUCTION")</f>
        <v/>
      </c>
    </row>
    <row r="430" ht="15.75" customHeight="1" s="169">
      <c r="A430" s="15">
        <f>IFERROR(__xludf.DUMMYFUNCTION("""COMPUTED_VALUE"""),429.0)</f>
        <v/>
      </c>
      <c r="B430" s="28">
        <f>IFERROR(__xludf.DUMMYFUNCTION("""COMPUTED_VALUE"""),3.28000733E8)</f>
        <v/>
      </c>
      <c r="C430" s="28">
        <f>IFERROR(__xludf.DUMMYFUNCTION("""COMPUTED_VALUE"""),"RULI  SETIAWAN")</f>
        <v/>
      </c>
      <c r="D430" s="175">
        <f>IFERROR(__xludf.DUMMYFUNCTION("""COMPUTED_VALUE"""),"PACKER")</f>
        <v/>
      </c>
      <c r="E430" s="28">
        <f>IFERROR(__xludf.DUMMYFUNCTION("""COMPUTED_VALUE"""),"PRODUCTION")</f>
        <v/>
      </c>
    </row>
    <row r="431" ht="15.75" customHeight="1" s="169">
      <c r="A431" s="15">
        <f>IFERROR(__xludf.DUMMYFUNCTION("""COMPUTED_VALUE"""),430.0)</f>
        <v/>
      </c>
      <c r="B431" s="28">
        <f>IFERROR(__xludf.DUMMYFUNCTION("""COMPUTED_VALUE"""),3.28000734E8)</f>
        <v/>
      </c>
      <c r="C431" s="28">
        <f>IFERROR(__xludf.DUMMYFUNCTION("""COMPUTED_VALUE"""),"NUR FATIMAH EKA RAHAYU")</f>
        <v/>
      </c>
      <c r="D431" s="175">
        <f>IFERROR(__xludf.DUMMYFUNCTION("""COMPUTED_VALUE"""),"ADMIN WSP")</f>
        <v/>
      </c>
      <c r="E431" s="28">
        <f>IFERROR(__xludf.DUMMYFUNCTION("""COMPUTED_VALUE"""),"LOGISTIC")</f>
        <v/>
      </c>
    </row>
    <row r="432" ht="15.75" customHeight="1" s="169">
      <c r="A432" s="15">
        <f>IFERROR(__xludf.DUMMYFUNCTION("""COMPUTED_VALUE"""),431.0)</f>
        <v/>
      </c>
      <c r="B432" s="28">
        <f>IFERROR(__xludf.DUMMYFUNCTION("""COMPUTED_VALUE"""),3.28000735E8)</f>
        <v/>
      </c>
      <c r="C432" s="28">
        <f>IFERROR(__xludf.DUMMYFUNCTION("""COMPUTED_VALUE"""),"AHMAD FIKRI MAULANA")</f>
        <v/>
      </c>
      <c r="D432" s="175">
        <f>IFERROR(__xludf.DUMMYFUNCTION("""COMPUTED_VALUE"""),"ADMIN WSP")</f>
        <v/>
      </c>
      <c r="E432" s="28">
        <f>IFERROR(__xludf.DUMMYFUNCTION("""COMPUTED_VALUE"""),"LOGISTIC")</f>
        <v/>
      </c>
    </row>
    <row r="433" ht="15.75" customHeight="1" s="169">
      <c r="A433" s="15">
        <f>IFERROR(__xludf.DUMMYFUNCTION("""COMPUTED_VALUE"""),432.0)</f>
        <v/>
      </c>
      <c r="B433" s="28">
        <f>IFERROR(__xludf.DUMMYFUNCTION("""COMPUTED_VALUE"""),3.28000736E8)</f>
        <v/>
      </c>
      <c r="C433" s="28">
        <f>IFERROR(__xludf.DUMMYFUNCTION("""COMPUTED_VALUE"""),"MUHAMAD ANGGA RAMDANI")</f>
        <v/>
      </c>
      <c r="D433" s="175">
        <f>IFERROR(__xludf.DUMMYFUNCTION("""COMPUTED_VALUE"""),"TEKNISI SIPIL")</f>
        <v/>
      </c>
      <c r="E433" s="28">
        <f>IFERROR(__xludf.DUMMYFUNCTION("""COMPUTED_VALUE"""),"ENGINEERING")</f>
        <v/>
      </c>
    </row>
    <row r="434" ht="15.75" customHeight="1" s="169">
      <c r="A434" s="15">
        <f>IFERROR(__xludf.DUMMYFUNCTION("""COMPUTED_VALUE"""),433.0)</f>
        <v/>
      </c>
      <c r="B434" s="28">
        <f>IFERROR(__xludf.DUMMYFUNCTION("""COMPUTED_VALUE"""),3.28000737E8)</f>
        <v/>
      </c>
      <c r="C434" s="28">
        <f>IFERROR(__xludf.DUMMYFUNCTION("""COMPUTED_VALUE"""),"DIAN PERMANA")</f>
        <v/>
      </c>
      <c r="D434" s="175">
        <f>IFERROR(__xludf.DUMMYFUNCTION("""COMPUTED_VALUE"""),"OPERATOR REACHTRUCK")</f>
        <v/>
      </c>
      <c r="E434" s="28">
        <f>IFERROR(__xludf.DUMMYFUNCTION("""COMPUTED_VALUE"""),"LOGISTIC")</f>
        <v/>
      </c>
    </row>
    <row r="435" ht="15.75" customHeight="1" s="169">
      <c r="A435" s="15">
        <f>IFERROR(__xludf.DUMMYFUNCTION("""COMPUTED_VALUE"""),434.0)</f>
        <v/>
      </c>
      <c r="B435" s="28">
        <f>IFERROR(__xludf.DUMMYFUNCTION("""COMPUTED_VALUE"""),3.28000738E8)</f>
        <v/>
      </c>
      <c r="C435" s="28">
        <f>IFERROR(__xludf.DUMMYFUNCTION("""COMPUTED_VALUE"""),"ILHAM ADITYA RAMADHAN")</f>
        <v/>
      </c>
      <c r="D435" s="175">
        <f>IFERROR(__xludf.DUMMYFUNCTION("""COMPUTED_VALUE"""),"QC INCOMING")</f>
        <v/>
      </c>
      <c r="E435" s="28">
        <f>IFERROR(__xludf.DUMMYFUNCTION("""COMPUTED_VALUE"""),"QUALITY AND RESEARCH &amp; DEVELOPMENT")</f>
        <v/>
      </c>
    </row>
    <row r="436" ht="15.75" customHeight="1" s="169">
      <c r="A436" s="15">
        <f>IFERROR(__xludf.DUMMYFUNCTION("""COMPUTED_VALUE"""),435.0)</f>
        <v/>
      </c>
      <c r="B436" s="28">
        <f>IFERROR(__xludf.DUMMYFUNCTION("""COMPUTED_VALUE"""),3.28000739E8)</f>
        <v/>
      </c>
      <c r="C436" s="28">
        <f>IFERROR(__xludf.DUMMYFUNCTION("""COMPUTED_VALUE"""),"HUSNI AL MUBAROK")</f>
        <v/>
      </c>
      <c r="D436" s="175">
        <f>IFERROR(__xludf.DUMMYFUNCTION("""COMPUTED_VALUE"""),"ADMIN TSP")</f>
        <v/>
      </c>
      <c r="E436" s="28">
        <f>IFERROR(__xludf.DUMMYFUNCTION("""COMPUTED_VALUE"""),"PRODUCTION")</f>
        <v/>
      </c>
    </row>
    <row r="437" ht="15.75" customHeight="1" s="169">
      <c r="A437" s="15">
        <f>IFERROR(__xludf.DUMMYFUNCTION("""COMPUTED_VALUE"""),436.0)</f>
        <v/>
      </c>
      <c r="B437" s="28">
        <f>IFERROR(__xludf.DUMMYFUNCTION("""COMPUTED_VALUE"""),3.2800074E8)</f>
        <v/>
      </c>
      <c r="C437" s="28">
        <f>IFERROR(__xludf.DUMMYFUNCTION("""COMPUTED_VALUE"""),"IRFAN ZAINI")</f>
        <v/>
      </c>
      <c r="D437" s="175">
        <f>IFERROR(__xludf.DUMMYFUNCTION("""COMPUTED_VALUE"""),"CHECKER")</f>
        <v/>
      </c>
      <c r="E437" s="28">
        <f>IFERROR(__xludf.DUMMYFUNCTION("""COMPUTED_VALUE"""),"LOGISTIC")</f>
        <v/>
      </c>
    </row>
    <row r="438" ht="15.75" customHeight="1" s="169">
      <c r="A438" s="15">
        <f>IFERROR(__xludf.DUMMYFUNCTION("""COMPUTED_VALUE"""),437.0)</f>
        <v/>
      </c>
      <c r="B438" s="28">
        <f>IFERROR(__xludf.DUMMYFUNCTION("""COMPUTED_VALUE"""),3.28000741E8)</f>
        <v/>
      </c>
      <c r="C438" s="28">
        <f>IFERROR(__xludf.DUMMYFUNCTION("""COMPUTED_VALUE"""),"NUDZRAN YUSRA")</f>
        <v/>
      </c>
      <c r="D438" s="175">
        <f>IFERROR(__xludf.DUMMYFUNCTION("""COMPUTED_VALUE"""),"OPERATOR PRODUCTION")</f>
        <v/>
      </c>
      <c r="E438" s="28">
        <f>IFERROR(__xludf.DUMMYFUNCTION("""COMPUTED_VALUE"""),"PRODUCTION")</f>
        <v/>
      </c>
    </row>
    <row r="439" ht="15.75" customHeight="1" s="169">
      <c r="A439" s="15">
        <f>IFERROR(__xludf.DUMMYFUNCTION("""COMPUTED_VALUE"""),438.0)</f>
        <v/>
      </c>
      <c r="B439" s="28">
        <f>IFERROR(__xludf.DUMMYFUNCTION("""COMPUTED_VALUE"""),3.28000742E8)</f>
        <v/>
      </c>
      <c r="C439" s="28">
        <f>IFERROR(__xludf.DUMMYFUNCTION("""COMPUTED_VALUE"""),"ALISA")</f>
        <v/>
      </c>
      <c r="D439" s="175">
        <f>IFERROR(__xludf.DUMMYFUNCTION("""COMPUTED_VALUE"""),"ADMIN RF")</f>
        <v/>
      </c>
      <c r="E439" s="28">
        <f>IFERROR(__xludf.DUMMYFUNCTION("""COMPUTED_VALUE"""),"PRODUCTION")</f>
        <v/>
      </c>
    </row>
    <row r="440" ht="15.75" customHeight="1" s="169">
      <c r="A440" s="15">
        <f>IFERROR(__xludf.DUMMYFUNCTION("""COMPUTED_VALUE"""),439.0)</f>
        <v/>
      </c>
      <c r="B440" s="28">
        <f>IFERROR(__xludf.DUMMYFUNCTION("""COMPUTED_VALUE"""),3.28000743E8)</f>
        <v/>
      </c>
      <c r="C440" s="28">
        <f>IFERROR(__xludf.DUMMYFUNCTION("""COMPUTED_VALUE"""),"VIQRI  SAEPUDIN")</f>
        <v/>
      </c>
      <c r="D440" s="175">
        <f>IFERROR(__xludf.DUMMYFUNCTION("""COMPUTED_VALUE"""),"TEKNISI PART ASSEMBLY")</f>
        <v/>
      </c>
      <c r="E440" s="28">
        <f>IFERROR(__xludf.DUMMYFUNCTION("""COMPUTED_VALUE"""),"ENGINEERING")</f>
        <v/>
      </c>
    </row>
    <row r="441" ht="15.75" customHeight="1" s="169">
      <c r="A441" s="15">
        <f>IFERROR(__xludf.DUMMYFUNCTION("""COMPUTED_VALUE"""),440.0)</f>
        <v/>
      </c>
      <c r="B441" s="28">
        <f>IFERROR(__xludf.DUMMYFUNCTION("""COMPUTED_VALUE"""),3.28000744E8)</f>
        <v/>
      </c>
      <c r="C441" s="28">
        <f>IFERROR(__xludf.DUMMYFUNCTION("""COMPUTED_VALUE"""),"RIZKY AULIA RAMADHAN")</f>
        <v/>
      </c>
      <c r="D441" s="175">
        <f>IFERROR(__xludf.DUMMYFUNCTION("""COMPUTED_VALUE"""),"TEKNISI GLUE SYSTEM")</f>
        <v/>
      </c>
      <c r="E441" s="28">
        <f>IFERROR(__xludf.DUMMYFUNCTION("""COMPUTED_VALUE"""),"ENGINEERING")</f>
        <v/>
      </c>
    </row>
    <row r="442" ht="15.75" customHeight="1" s="169">
      <c r="A442" s="15">
        <f>IFERROR(__xludf.DUMMYFUNCTION("""COMPUTED_VALUE"""),441.0)</f>
        <v/>
      </c>
      <c r="B442" s="28">
        <f>IFERROR(__xludf.DUMMYFUNCTION("""COMPUTED_VALUE"""),3.28000745E8)</f>
        <v/>
      </c>
      <c r="C442" s="28">
        <f>IFERROR(__xludf.DUMMYFUNCTION("""COMPUTED_VALUE"""),"NAYLA FADILLAH EXWANTORO")</f>
        <v/>
      </c>
      <c r="D442" s="175">
        <f>IFERROR(__xludf.DUMMYFUNCTION("""COMPUTED_VALUE"""),"PACKER")</f>
        <v/>
      </c>
      <c r="E442" s="28">
        <f>IFERROR(__xludf.DUMMYFUNCTION("""COMPUTED_VALUE"""),"PRODUCTION")</f>
        <v/>
      </c>
    </row>
    <row r="443" ht="15.75" customHeight="1" s="169">
      <c r="A443" s="15">
        <f>IFERROR(__xludf.DUMMYFUNCTION("""COMPUTED_VALUE"""),442.0)</f>
        <v/>
      </c>
      <c r="B443" s="28">
        <f>IFERROR(__xludf.DUMMYFUNCTION("""COMPUTED_VALUE"""),3.28000747E8)</f>
        <v/>
      </c>
      <c r="C443" s="28">
        <f>IFERROR(__xludf.DUMMYFUNCTION("""COMPUTED_VALUE"""),"DODY PRASETYA")</f>
        <v/>
      </c>
      <c r="D443" s="175">
        <f>IFERROR(__xludf.DUMMYFUNCTION("""COMPUTED_VALUE"""),"OPERATOR REACHTRUCK")</f>
        <v/>
      </c>
      <c r="E443" s="28">
        <f>IFERROR(__xludf.DUMMYFUNCTION("""COMPUTED_VALUE"""),"LOGISTIC")</f>
        <v/>
      </c>
    </row>
    <row r="444" ht="15.75" customHeight="1" s="169">
      <c r="A444" s="15">
        <f>IFERROR(__xludf.DUMMYFUNCTION("""COMPUTED_VALUE"""),443.0)</f>
        <v/>
      </c>
      <c r="B444" s="28">
        <f>IFERROR(__xludf.DUMMYFUNCTION("""COMPUTED_VALUE"""),3.28000748E8)</f>
        <v/>
      </c>
      <c r="C444" s="28">
        <f>IFERROR(__xludf.DUMMYFUNCTION("""COMPUTED_VALUE"""),"SEPTIAN NUGRAHA")</f>
        <v/>
      </c>
      <c r="D444" s="175">
        <f>IFERROR(__xludf.DUMMYFUNCTION("""COMPUTED_VALUE"""),"CHECKER")</f>
        <v/>
      </c>
      <c r="E444" s="28">
        <f>IFERROR(__xludf.DUMMYFUNCTION("""COMPUTED_VALUE"""),"LOGISTIC")</f>
        <v/>
      </c>
    </row>
    <row r="445" ht="15.75" customHeight="1" s="169">
      <c r="A445" s="15">
        <f>IFERROR(__xludf.DUMMYFUNCTION("""COMPUTED_VALUE"""),444.0)</f>
        <v/>
      </c>
      <c r="B445" s="28">
        <f>IFERROR(__xludf.DUMMYFUNCTION("""COMPUTED_VALUE"""),3.28000749E8)</f>
        <v/>
      </c>
      <c r="C445" s="28">
        <f>IFERROR(__xludf.DUMMYFUNCTION("""COMPUTED_VALUE"""),"SITI FADILLAH SYAHPUTRI")</f>
        <v/>
      </c>
      <c r="D445" s="175">
        <f>IFERROR(__xludf.DUMMYFUNCTION("""COMPUTED_VALUE"""),"QC LINE")</f>
        <v/>
      </c>
      <c r="E445" s="28">
        <f>IFERROR(__xludf.DUMMYFUNCTION("""COMPUTED_VALUE"""),"QUALITY AND RESEARCH &amp; DEVELOPMENT")</f>
        <v/>
      </c>
    </row>
    <row r="446" ht="15.75" customHeight="1" s="169">
      <c r="A446" s="15">
        <f>IFERROR(__xludf.DUMMYFUNCTION("""COMPUTED_VALUE"""),445.0)</f>
        <v/>
      </c>
      <c r="B446" s="28">
        <f>IFERROR(__xludf.DUMMYFUNCTION("""COMPUTED_VALUE"""),3.2800075E8)</f>
        <v/>
      </c>
      <c r="C446" s="28">
        <f>IFERROR(__xludf.DUMMYFUNCTION("""COMPUTED_VALUE"""),"REKA NURAENI")</f>
        <v/>
      </c>
      <c r="D446" s="175">
        <f>IFERROR(__xludf.DUMMYFUNCTION("""COMPUTED_VALUE"""),"PACKER")</f>
        <v/>
      </c>
      <c r="E446" s="28">
        <f>IFERROR(__xludf.DUMMYFUNCTION("""COMPUTED_VALUE"""),"PRODUCTION")</f>
        <v/>
      </c>
    </row>
    <row r="447" ht="15.75" customHeight="1" s="169">
      <c r="A447" s="15">
        <f>IFERROR(__xludf.DUMMYFUNCTION("""COMPUTED_VALUE"""),446.0)</f>
        <v/>
      </c>
      <c r="B447" s="28">
        <f>IFERROR(__xludf.DUMMYFUNCTION("""COMPUTED_VALUE"""),3.28000751E8)</f>
        <v/>
      </c>
      <c r="C447" s="28">
        <f>IFERROR(__xludf.DUMMYFUNCTION("""COMPUTED_VALUE"""),"ALIF FALIANO")</f>
        <v/>
      </c>
      <c r="D447" s="175">
        <f>IFERROR(__xludf.DUMMYFUNCTION("""COMPUTED_VALUE"""),"PACKER")</f>
        <v/>
      </c>
      <c r="E447" s="28">
        <f>IFERROR(__xludf.DUMMYFUNCTION("""COMPUTED_VALUE"""),"PRODUCTION")</f>
        <v/>
      </c>
    </row>
    <row r="448" ht="15.75" customHeight="1" s="169">
      <c r="A448" s="15">
        <f>IFERROR(__xludf.DUMMYFUNCTION("""COMPUTED_VALUE"""),447.0)</f>
        <v/>
      </c>
      <c r="B448" s="28">
        <f>IFERROR(__xludf.DUMMYFUNCTION("""COMPUTED_VALUE"""),3.28000752E8)</f>
        <v/>
      </c>
      <c r="C448" s="28">
        <f>IFERROR(__xludf.DUMMYFUNCTION("""COMPUTED_VALUE"""),"YADI KUSNAEDI")</f>
        <v/>
      </c>
      <c r="D448" s="175">
        <f>IFERROR(__xludf.DUMMYFUNCTION("""COMPUTED_VALUE"""),"OPERATOR REACHTRUCK")</f>
        <v/>
      </c>
      <c r="E448" s="28">
        <f>IFERROR(__xludf.DUMMYFUNCTION("""COMPUTED_VALUE"""),"LOGISTIC")</f>
        <v/>
      </c>
    </row>
    <row r="449" ht="15.75" customHeight="1" s="169">
      <c r="A449" s="15">
        <f>IFERROR(__xludf.DUMMYFUNCTION("""COMPUTED_VALUE"""),448.0)</f>
        <v/>
      </c>
      <c r="B449" s="28">
        <f>IFERROR(__xludf.DUMMYFUNCTION("""COMPUTED_VALUE"""),3.28000753E8)</f>
        <v/>
      </c>
      <c r="C449" s="28">
        <f>IFERROR(__xludf.DUMMYFUNCTION("""COMPUTED_VALUE"""),"MUCHLIS HUDAYA")</f>
        <v/>
      </c>
      <c r="D449" s="175">
        <f>IFERROR(__xludf.DUMMYFUNCTION("""COMPUTED_VALUE"""),"OPERATOR FORKLIFT")</f>
        <v/>
      </c>
      <c r="E449" s="28">
        <f>IFERROR(__xludf.DUMMYFUNCTION("""COMPUTED_VALUE"""),"LOGISTIC")</f>
        <v/>
      </c>
    </row>
    <row r="450" ht="15.75" customHeight="1" s="169">
      <c r="A450" s="15">
        <f>IFERROR(__xludf.DUMMYFUNCTION("""COMPUTED_VALUE"""),449.0)</f>
        <v/>
      </c>
      <c r="B450" s="28">
        <f>IFERROR(__xludf.DUMMYFUNCTION("""COMPUTED_VALUE"""),3.28000754E8)</f>
        <v/>
      </c>
      <c r="C450" s="28">
        <f>IFERROR(__xludf.DUMMYFUNCTION("""COMPUTED_VALUE"""),"KHAILA ANANDA PUTRI")</f>
        <v/>
      </c>
      <c r="D450" s="175">
        <f>IFERROR(__xludf.DUMMYFUNCTION("""COMPUTED_VALUE"""),"QC LINE")</f>
        <v/>
      </c>
      <c r="E450" s="28">
        <f>IFERROR(__xludf.DUMMYFUNCTION("""COMPUTED_VALUE"""),"QUALITY AND RESEARCH &amp; DEVELOPMENT")</f>
        <v/>
      </c>
    </row>
    <row r="451" ht="15.75" customHeight="1" s="169">
      <c r="A451" s="15">
        <f>IFERROR(__xludf.DUMMYFUNCTION("""COMPUTED_VALUE"""),450.0)</f>
        <v/>
      </c>
      <c r="B451" s="28">
        <f>IFERROR(__xludf.DUMMYFUNCTION("""COMPUTED_VALUE"""),3.28000755E8)</f>
        <v/>
      </c>
      <c r="C451" s="28">
        <f>IFERROR(__xludf.DUMMYFUNCTION("""COMPUTED_VALUE"""),"ADI WARDANA")</f>
        <v/>
      </c>
      <c r="D451" s="175">
        <f>IFERROR(__xludf.DUMMYFUNCTION("""COMPUTED_VALUE"""),"PACKER")</f>
        <v/>
      </c>
      <c r="E451" s="28">
        <f>IFERROR(__xludf.DUMMYFUNCTION("""COMPUTED_VALUE"""),"PRODUCTION")</f>
        <v/>
      </c>
    </row>
    <row r="452" ht="15.75" customHeight="1" s="169">
      <c r="A452" s="15">
        <f>IFERROR(__xludf.DUMMYFUNCTION("""COMPUTED_VALUE"""),451.0)</f>
        <v/>
      </c>
      <c r="B452" s="28">
        <f>IFERROR(__xludf.DUMMYFUNCTION("""COMPUTED_VALUE"""),3.28000756E8)</f>
        <v/>
      </c>
      <c r="C452" s="28">
        <f>IFERROR(__xludf.DUMMYFUNCTION("""COMPUTED_VALUE"""),"AGUS NUR PAJAR")</f>
        <v/>
      </c>
      <c r="D452" s="175">
        <f>IFERROR(__xludf.DUMMYFUNCTION("""COMPUTED_VALUE"""),"OPERATOR FORKLIFT")</f>
        <v/>
      </c>
      <c r="E452" s="28">
        <f>IFERROR(__xludf.DUMMYFUNCTION("""COMPUTED_VALUE"""),"LOGISTIC")</f>
        <v/>
      </c>
    </row>
    <row r="453" ht="15.75" customHeight="1" s="169">
      <c r="A453" s="15">
        <f>IFERROR(__xludf.DUMMYFUNCTION("""COMPUTED_VALUE"""),452.0)</f>
        <v/>
      </c>
      <c r="B453" s="28">
        <f>IFERROR(__xludf.DUMMYFUNCTION("""COMPUTED_VALUE"""),3.28000757E8)</f>
        <v/>
      </c>
      <c r="C453" s="28">
        <f>IFERROR(__xludf.DUMMYFUNCTION("""COMPUTED_VALUE"""),"HILMAN RUHIYAT")</f>
        <v/>
      </c>
      <c r="D453" s="175">
        <f>IFERROR(__xludf.DUMMYFUNCTION("""COMPUTED_VALUE"""),"OPERATOR FORKLIFT")</f>
        <v/>
      </c>
      <c r="E453" s="28">
        <f>IFERROR(__xludf.DUMMYFUNCTION("""COMPUTED_VALUE"""),"LOGISTIC")</f>
        <v/>
      </c>
    </row>
    <row r="454" ht="15.75" customHeight="1" s="169">
      <c r="A454" s="15">
        <f>IFERROR(__xludf.DUMMYFUNCTION("""COMPUTED_VALUE"""),453.0)</f>
        <v/>
      </c>
      <c r="B454" s="28">
        <f>IFERROR(__xludf.DUMMYFUNCTION("""COMPUTED_VALUE"""),3.28000758E8)</f>
        <v/>
      </c>
      <c r="C454" s="28">
        <f>IFERROR(__xludf.DUMMYFUNCTION("""COMPUTED_VALUE"""),"FUTRI RAPA ALISHA")</f>
        <v/>
      </c>
      <c r="D454" s="175">
        <f>IFERROR(__xludf.DUMMYFUNCTION("""COMPUTED_VALUE"""),"ADMIN TIMBANGAN")</f>
        <v/>
      </c>
      <c r="E454" s="28">
        <f>IFERROR(__xludf.DUMMYFUNCTION("""COMPUTED_VALUE"""),"LOGISTIC")</f>
        <v/>
      </c>
    </row>
    <row r="455" ht="15.75" customHeight="1" s="169">
      <c r="A455" s="15">
        <f>IFERROR(__xludf.DUMMYFUNCTION("""COMPUTED_VALUE"""),454.0)</f>
        <v/>
      </c>
      <c r="B455" s="28">
        <f>IFERROR(__xludf.DUMMYFUNCTION("""COMPUTED_VALUE"""),3.28000759E8)</f>
        <v/>
      </c>
      <c r="C455" s="28">
        <f>IFERROR(__xludf.DUMMYFUNCTION("""COMPUTED_VALUE"""),"R.MUHAMAD DAVIN RAMDANI")</f>
        <v/>
      </c>
      <c r="D455" s="175">
        <f>IFERROR(__xludf.DUMMYFUNCTION("""COMPUTED_VALUE"""),"PACKER")</f>
        <v/>
      </c>
      <c r="E455" s="28">
        <f>IFERROR(__xludf.DUMMYFUNCTION("""COMPUTED_VALUE"""),"PRODUCTION")</f>
        <v/>
      </c>
    </row>
    <row r="456" ht="15.75" customHeight="1" s="169">
      <c r="A456" s="22">
        <f>IFERROR(__xludf.DUMMYFUNCTION("""COMPUTED_VALUE"""),455.0)</f>
        <v/>
      </c>
      <c r="B456" s="22">
        <f>IFERROR(__xludf.DUMMYFUNCTION("""COMPUTED_VALUE"""),3.2800076E8)</f>
        <v/>
      </c>
      <c r="C456" s="22">
        <f>IFERROR(__xludf.DUMMYFUNCTION("""COMPUTED_VALUE"""),"WINDI MELANI AFIAT LESTARI")</f>
        <v/>
      </c>
      <c r="D456" s="22">
        <f>IFERROR(__xludf.DUMMYFUNCTION("""COMPUTED_VALUE"""),"PACKER")</f>
        <v/>
      </c>
      <c r="E456" s="22">
        <f>IFERROR(__xludf.DUMMYFUNCTION("""COMPUTED_VALUE"""),"PRODUCTION")</f>
        <v/>
      </c>
    </row>
    <row r="457" ht="15.75" customHeight="1" s="169">
      <c r="A457" s="22">
        <f>IFERROR(__xludf.DUMMYFUNCTION("""COMPUTED_VALUE"""),456.0)</f>
        <v/>
      </c>
      <c r="B457" s="22">
        <f>IFERROR(__xludf.DUMMYFUNCTION("""COMPUTED_VALUE"""),3.28000761E8)</f>
        <v/>
      </c>
      <c r="C457" s="22">
        <f>IFERROR(__xludf.DUMMYFUNCTION("""COMPUTED_VALUE"""),"DENSI BARUNA")</f>
        <v/>
      </c>
      <c r="D457" s="22">
        <f>IFERROR(__xludf.DUMMYFUNCTION("""COMPUTED_VALUE"""),"TEKNISI FABRIKASI")</f>
        <v/>
      </c>
      <c r="E457" s="22">
        <f>IFERROR(__xludf.DUMMYFUNCTION("""COMPUTED_VALUE"""),"ENGINEERING")</f>
        <v/>
      </c>
    </row>
    <row r="458" ht="15.75" customHeight="1" s="169">
      <c r="A458" s="22">
        <f>IFERROR(__xludf.DUMMYFUNCTION("""COMPUTED_VALUE"""),457.0)</f>
        <v/>
      </c>
      <c r="B458" s="22">
        <f>IFERROR(__xludf.DUMMYFUNCTION("""COMPUTED_VALUE"""),3.28000762E8)</f>
        <v/>
      </c>
      <c r="C458" s="22">
        <f>IFERROR(__xludf.DUMMYFUNCTION("""COMPUTED_VALUE"""),"RODIAN RIFAI")</f>
        <v/>
      </c>
      <c r="D458" s="22">
        <f>IFERROR(__xludf.DUMMYFUNCTION("""COMPUTED_VALUE"""),"ADMIN TSP")</f>
        <v/>
      </c>
      <c r="E458" s="22">
        <f>IFERROR(__xludf.DUMMYFUNCTION("""COMPUTED_VALUE"""),"PRODUCTION")</f>
        <v/>
      </c>
    </row>
    <row r="459" ht="15.75" customHeight="1" s="169">
      <c r="A459" s="22">
        <f>IFERROR(__xludf.DUMMYFUNCTION("""COMPUTED_VALUE"""),458.0)</f>
        <v/>
      </c>
      <c r="B459" s="22">
        <f>IFERROR(__xludf.DUMMYFUNCTION("""COMPUTED_VALUE"""),3.28000763E8)</f>
        <v/>
      </c>
      <c r="C459" s="22">
        <f>IFERROR(__xludf.DUMMYFUNCTION("""COMPUTED_VALUE"""),"M. SYIRAJATIEQ")</f>
        <v/>
      </c>
      <c r="D459" s="22">
        <f>IFERROR(__xludf.DUMMYFUNCTION("""COMPUTED_VALUE"""),"ADMIN TSP")</f>
        <v/>
      </c>
      <c r="E459" s="22">
        <f>IFERROR(__xludf.DUMMYFUNCTION("""COMPUTED_VALUE"""),"PRODUCTION")</f>
        <v/>
      </c>
    </row>
    <row r="460" ht="15.75" customHeight="1" s="169">
      <c r="A460" s="22">
        <f>IFERROR(__xludf.DUMMYFUNCTION("""COMPUTED_VALUE"""),459.0)</f>
        <v/>
      </c>
      <c r="B460" s="22">
        <f>IFERROR(__xludf.DUMMYFUNCTION("""COMPUTED_VALUE"""),3.28000764E8)</f>
        <v/>
      </c>
      <c r="C460" s="22">
        <f>IFERROR(__xludf.DUMMYFUNCTION("""COMPUTED_VALUE"""),"FEBRI NAJMUDIN")</f>
        <v/>
      </c>
      <c r="D460" s="22">
        <f>IFERROR(__xludf.DUMMYFUNCTION("""COMPUTED_VALUE"""),"ADMIN TSP")</f>
        <v/>
      </c>
      <c r="E460" s="22">
        <f>IFERROR(__xludf.DUMMYFUNCTION("""COMPUTED_VALUE"""),"PRODUCTION")</f>
        <v/>
      </c>
    </row>
    <row r="461" ht="15.75" customHeight="1" s="169">
      <c r="A461" s="22">
        <f>IFERROR(__xludf.DUMMYFUNCTION("""COMPUTED_VALUE"""),460.0)</f>
        <v/>
      </c>
      <c r="B461" s="22">
        <f>IFERROR(__xludf.DUMMYFUNCTION("""COMPUTED_VALUE"""),3.28000765E8)</f>
        <v/>
      </c>
      <c r="C461" s="22">
        <f>IFERROR(__xludf.DUMMYFUNCTION("""COMPUTED_VALUE"""),"MUHAMAD BUDIANA")</f>
        <v/>
      </c>
      <c r="D461" s="22">
        <f>IFERROR(__xludf.DUMMYFUNCTION("""COMPUTED_VALUE"""),"ADMIN TSP")</f>
        <v/>
      </c>
      <c r="E461" s="22">
        <f>IFERROR(__xludf.DUMMYFUNCTION("""COMPUTED_VALUE"""),"PRODUCTION")</f>
        <v/>
      </c>
    </row>
    <row r="462" ht="15.75" customHeight="1" s="169">
      <c r="A462" s="22">
        <f>IFERROR(__xludf.DUMMYFUNCTION("""COMPUTED_VALUE"""),461.0)</f>
        <v/>
      </c>
      <c r="B462" s="22">
        <f>IFERROR(__xludf.DUMMYFUNCTION("""COMPUTED_VALUE"""),3.28000766E8)</f>
        <v/>
      </c>
      <c r="C462" s="22">
        <f>IFERROR(__xludf.DUMMYFUNCTION("""COMPUTED_VALUE"""),"DESTY ROHIMAH LUGINA")</f>
        <v/>
      </c>
      <c r="D462" s="22">
        <f>IFERROR(__xludf.DUMMYFUNCTION("""COMPUTED_VALUE"""),"QC LINE")</f>
        <v/>
      </c>
      <c r="E462" s="22">
        <f>IFERROR(__xludf.DUMMYFUNCTION("""COMPUTED_VALUE"""),"QUALITY AND RESEARCH &amp; DEVELOPMENT")</f>
        <v/>
      </c>
    </row>
    <row r="463" ht="15.75" customHeight="1" s="169">
      <c r="A463" s="22">
        <f>IFERROR(__xludf.DUMMYFUNCTION("""COMPUTED_VALUE"""),462.0)</f>
        <v/>
      </c>
      <c r="B463" s="22">
        <f>IFERROR(__xludf.DUMMYFUNCTION("""COMPUTED_VALUE"""),3.28000767E8)</f>
        <v/>
      </c>
      <c r="C463" s="22">
        <f>IFERROR(__xludf.DUMMYFUNCTION("""COMPUTED_VALUE"""),"INDRIANI")</f>
        <v/>
      </c>
      <c r="D463" s="22">
        <f>IFERROR(__xludf.DUMMYFUNCTION("""COMPUTED_VALUE"""),"ADMIN WRM")</f>
        <v/>
      </c>
      <c r="E463" s="22">
        <f>IFERROR(__xludf.DUMMYFUNCTION("""COMPUTED_VALUE"""),"LOGISTIC")</f>
        <v/>
      </c>
    </row>
    <row r="464" ht="15.75" customHeight="1" s="169">
      <c r="A464" s="22">
        <f>IFERROR(__xludf.DUMMYFUNCTION("""COMPUTED_VALUE"""),463.0)</f>
        <v/>
      </c>
      <c r="B464" s="22">
        <f>IFERROR(__xludf.DUMMYFUNCTION("""COMPUTED_VALUE"""),3.28000768E8)</f>
        <v/>
      </c>
      <c r="C464" s="22">
        <f>IFERROR(__xludf.DUMMYFUNCTION("""COMPUTED_VALUE"""),"INTANIA")</f>
        <v/>
      </c>
      <c r="D464" s="22">
        <f>IFERROR(__xludf.DUMMYFUNCTION("""COMPUTED_VALUE"""),"PACKER")</f>
        <v/>
      </c>
      <c r="E464" s="22">
        <f>IFERROR(__xludf.DUMMYFUNCTION("""COMPUTED_VALUE"""),"PRODUCTION")</f>
        <v/>
      </c>
    </row>
    <row r="465" ht="15.75" customHeight="1" s="169">
      <c r="A465" s="22">
        <f>IFERROR(__xludf.DUMMYFUNCTION("""COMPUTED_VALUE"""),464.0)</f>
        <v/>
      </c>
      <c r="B465" s="22">
        <f>IFERROR(__xludf.DUMMYFUNCTION("""COMPUTED_VALUE"""),3.28000769E8)</f>
        <v/>
      </c>
      <c r="C465" s="22">
        <f>IFERROR(__xludf.DUMMYFUNCTION("""COMPUTED_VALUE"""),"IFFA")</f>
        <v/>
      </c>
      <c r="D465" s="22">
        <f>IFERROR(__xludf.DUMMYFUNCTION("""COMPUTED_VALUE"""),"PACKER")</f>
        <v/>
      </c>
      <c r="E465" s="22">
        <f>IFERROR(__xludf.DUMMYFUNCTION("""COMPUTED_VALUE"""),"PRODUCTION")</f>
        <v/>
      </c>
    </row>
    <row r="466" ht="15.75" customHeight="1" s="169">
      <c r="A466" s="22">
        <f>IFERROR(__xludf.DUMMYFUNCTION("""COMPUTED_VALUE"""),465.0)</f>
        <v/>
      </c>
      <c r="B466" s="22" t="n"/>
      <c r="C466" s="22" t="n"/>
      <c r="D466" s="22" t="n"/>
      <c r="E466" s="22" t="n"/>
    </row>
    <row r="467" ht="15.75" customHeight="1" s="169">
      <c r="A467" s="22">
        <f>IFERROR(__xludf.DUMMYFUNCTION("""COMPUTED_VALUE"""),466.0)</f>
        <v/>
      </c>
      <c r="B467" s="22" t="n"/>
      <c r="C467" s="22" t="n"/>
      <c r="D467" s="22" t="n"/>
      <c r="E467" s="22" t="n"/>
    </row>
    <row r="468" ht="15.75" customHeight="1" s="169">
      <c r="A468" s="22">
        <f>IFERROR(__xludf.DUMMYFUNCTION("""COMPUTED_VALUE"""),467.0)</f>
        <v/>
      </c>
      <c r="B468" s="22" t="n"/>
      <c r="C468" s="22" t="n"/>
      <c r="D468" s="22" t="n"/>
      <c r="E468" s="22" t="n"/>
    </row>
    <row r="469" ht="15.75" customHeight="1" s="169">
      <c r="A469" s="22">
        <f>IFERROR(__xludf.DUMMYFUNCTION("""COMPUTED_VALUE"""),468.0)</f>
        <v/>
      </c>
      <c r="B469" s="22" t="n"/>
      <c r="C469" s="22" t="n"/>
      <c r="D469" s="22" t="n"/>
      <c r="E469" s="22" t="n"/>
    </row>
    <row r="470" ht="15.75" customHeight="1" s="169">
      <c r="A470" s="22">
        <f>IFERROR(__xludf.DUMMYFUNCTION("""COMPUTED_VALUE"""),469.0)</f>
        <v/>
      </c>
      <c r="B470" s="22" t="n"/>
      <c r="C470" s="22" t="n"/>
      <c r="D470" s="22" t="n"/>
      <c r="E470" s="22" t="n"/>
    </row>
    <row r="471" ht="15.75" customHeight="1" s="169">
      <c r="A471" s="22">
        <f>IFERROR(__xludf.DUMMYFUNCTION("""COMPUTED_VALUE"""),470.0)</f>
        <v/>
      </c>
      <c r="B471" s="22" t="n"/>
      <c r="C471" s="22" t="n"/>
      <c r="D471" s="22" t="n"/>
      <c r="E471" s="22" t="n"/>
    </row>
    <row r="472" ht="15.75" customHeight="1" s="169">
      <c r="A472" s="22">
        <f>IFERROR(__xludf.DUMMYFUNCTION("""COMPUTED_VALUE"""),471.0)</f>
        <v/>
      </c>
      <c r="B472" s="22" t="n"/>
      <c r="C472" s="22" t="n"/>
      <c r="D472" s="22" t="n"/>
      <c r="E472" s="22" t="n"/>
    </row>
    <row r="473" ht="15.75" customHeight="1" s="169">
      <c r="A473" s="22">
        <f>IFERROR(__xludf.DUMMYFUNCTION("""COMPUTED_VALUE"""),472.0)</f>
        <v/>
      </c>
      <c r="B473" s="22" t="n"/>
      <c r="C473" s="22" t="n"/>
      <c r="D473" s="22" t="n"/>
      <c r="E473" s="22" t="n"/>
    </row>
    <row r="474" ht="15.75" customHeight="1" s="169">
      <c r="A474" s="22">
        <f>IFERROR(__xludf.DUMMYFUNCTION("""COMPUTED_VALUE"""),473.0)</f>
        <v/>
      </c>
      <c r="B474" s="22" t="n"/>
      <c r="C474" s="22" t="n"/>
      <c r="D474" s="22" t="n"/>
      <c r="E474" s="22" t="n"/>
    </row>
    <row r="475" ht="15.75" customHeight="1" s="169">
      <c r="A475" s="22">
        <f>IFERROR(__xludf.DUMMYFUNCTION("""COMPUTED_VALUE"""),474.0)</f>
        <v/>
      </c>
      <c r="B475" s="22" t="n"/>
      <c r="C475" s="22" t="n"/>
      <c r="D475" s="22" t="n"/>
      <c r="E475" s="22" t="n"/>
    </row>
    <row r="476" ht="15.75" customHeight="1" s="169">
      <c r="A476" s="22">
        <f>IFERROR(__xludf.DUMMYFUNCTION("""COMPUTED_VALUE"""),475.0)</f>
        <v/>
      </c>
      <c r="B476" s="22" t="n"/>
      <c r="C476" s="22" t="n"/>
      <c r="D476" s="22" t="n"/>
      <c r="E476" s="22" t="n"/>
    </row>
    <row r="477" ht="15.75" customHeight="1" s="169">
      <c r="A477" s="22">
        <f>IFERROR(__xludf.DUMMYFUNCTION("""COMPUTED_VALUE"""),476.0)</f>
        <v/>
      </c>
      <c r="B477" s="22" t="n"/>
      <c r="C477" s="22" t="n"/>
      <c r="D477" s="22" t="n"/>
      <c r="E477" s="22" t="n"/>
    </row>
    <row r="478" ht="15.75" customHeight="1" s="169">
      <c r="A478" s="22">
        <f>IFERROR(__xludf.DUMMYFUNCTION("""COMPUTED_VALUE"""),477.0)</f>
        <v/>
      </c>
      <c r="B478" s="22" t="n"/>
      <c r="C478" s="22" t="n"/>
      <c r="D478" s="22" t="n"/>
      <c r="E478" s="22" t="n"/>
    </row>
    <row r="479" ht="15.75" customHeight="1" s="169">
      <c r="A479" s="22">
        <f>IFERROR(__xludf.DUMMYFUNCTION("""COMPUTED_VALUE"""),478.0)</f>
        <v/>
      </c>
      <c r="B479" s="22" t="n"/>
      <c r="C479" s="22" t="n"/>
      <c r="D479" s="22" t="n"/>
      <c r="E479" s="22" t="n"/>
    </row>
    <row r="480" ht="15.75" customHeight="1" s="169">
      <c r="A480" s="22">
        <f>IFERROR(__xludf.DUMMYFUNCTION("""COMPUTED_VALUE"""),479.0)</f>
        <v/>
      </c>
      <c r="B480" s="22" t="n"/>
      <c r="C480" s="22" t="n"/>
      <c r="D480" s="22" t="n"/>
      <c r="E480" s="22" t="n"/>
    </row>
    <row r="481" ht="15.75" customHeight="1" s="169">
      <c r="A481" s="22">
        <f>IFERROR(__xludf.DUMMYFUNCTION("""COMPUTED_VALUE"""),480.0)</f>
        <v/>
      </c>
      <c r="B481" s="22" t="n"/>
      <c r="C481" s="22" t="n"/>
      <c r="D481" s="22" t="n"/>
      <c r="E481" s="22" t="n"/>
    </row>
    <row r="482" ht="15.75" customHeight="1" s="169">
      <c r="A482" s="22">
        <f>IFERROR(__xludf.DUMMYFUNCTION("""COMPUTED_VALUE"""),481.0)</f>
        <v/>
      </c>
      <c r="B482" s="22" t="n"/>
      <c r="C482" s="22" t="n"/>
      <c r="D482" s="22" t="n"/>
      <c r="E482" s="22" t="n"/>
    </row>
    <row r="483" ht="15.75" customHeight="1" s="169">
      <c r="A483" s="22">
        <f>IFERROR(__xludf.DUMMYFUNCTION("""COMPUTED_VALUE"""),482.0)</f>
        <v/>
      </c>
      <c r="B483" s="22" t="n"/>
      <c r="C483" s="22" t="n"/>
      <c r="D483" s="22" t="n"/>
      <c r="E483" s="22" t="n"/>
    </row>
    <row r="484" ht="15.75" customHeight="1" s="169">
      <c r="A484" s="22">
        <f>IFERROR(__xludf.DUMMYFUNCTION("""COMPUTED_VALUE"""),483.0)</f>
        <v/>
      </c>
      <c r="B484" s="22" t="n"/>
      <c r="C484" s="22" t="n"/>
      <c r="D484" s="22" t="n"/>
      <c r="E484" s="22" t="n"/>
    </row>
    <row r="485" ht="15.75" customHeight="1" s="169">
      <c r="A485" s="22">
        <f>IFERROR(__xludf.DUMMYFUNCTION("""COMPUTED_VALUE"""),484.0)</f>
        <v/>
      </c>
      <c r="B485" s="22" t="n"/>
      <c r="C485" s="22" t="n"/>
      <c r="D485" s="22" t="n"/>
      <c r="E485" s="22" t="n"/>
    </row>
    <row r="486" ht="15.75" customHeight="1" s="169">
      <c r="A486" s="22">
        <f>IFERROR(__xludf.DUMMYFUNCTION("""COMPUTED_VALUE"""),485.0)</f>
        <v/>
      </c>
      <c r="B486" s="22" t="n"/>
      <c r="C486" s="22" t="n"/>
      <c r="D486" s="22" t="n"/>
      <c r="E486" s="22" t="n"/>
    </row>
    <row r="487" ht="15.75" customHeight="1" s="169">
      <c r="A487" s="22">
        <f>IFERROR(__xludf.DUMMYFUNCTION("""COMPUTED_VALUE"""),486.0)</f>
        <v/>
      </c>
      <c r="B487" s="22" t="n"/>
      <c r="C487" s="22" t="n"/>
      <c r="D487" s="22" t="n"/>
      <c r="E487" s="22" t="n"/>
    </row>
    <row r="488" ht="15.75" customHeight="1" s="169">
      <c r="A488" s="22">
        <f>IFERROR(__xludf.DUMMYFUNCTION("""COMPUTED_VALUE"""),487.0)</f>
        <v/>
      </c>
      <c r="B488" s="22" t="n"/>
      <c r="C488" s="22" t="n"/>
      <c r="D488" s="22" t="n"/>
      <c r="E488" s="22" t="n"/>
    </row>
    <row r="489" ht="15.75" customHeight="1" s="169">
      <c r="A489" s="22">
        <f>IFERROR(__xludf.DUMMYFUNCTION("""COMPUTED_VALUE"""),488.0)</f>
        <v/>
      </c>
      <c r="B489" s="22" t="n"/>
      <c r="C489" s="22" t="n"/>
      <c r="D489" s="22" t="n"/>
      <c r="E489" s="22" t="n"/>
    </row>
    <row r="490" ht="15.75" customHeight="1" s="169">
      <c r="A490" s="22">
        <f>IFERROR(__xludf.DUMMYFUNCTION("""COMPUTED_VALUE"""),489.0)</f>
        <v/>
      </c>
      <c r="B490" s="22" t="n"/>
      <c r="C490" s="22" t="n"/>
      <c r="D490" s="22" t="n"/>
      <c r="E490" s="22" t="n"/>
    </row>
    <row r="491" ht="15.75" customHeight="1" s="169">
      <c r="A491" s="22">
        <f>IFERROR(__xludf.DUMMYFUNCTION("""COMPUTED_VALUE"""),490.0)</f>
        <v/>
      </c>
      <c r="B491" s="22" t="n"/>
      <c r="C491" s="22" t="n"/>
      <c r="D491" s="22" t="n"/>
      <c r="E491" s="22" t="n"/>
    </row>
    <row r="492" ht="15.75" customHeight="1" s="169">
      <c r="A492" s="22">
        <f>IFERROR(__xludf.DUMMYFUNCTION("""COMPUTED_VALUE"""),491.0)</f>
        <v/>
      </c>
      <c r="B492" s="22" t="n"/>
      <c r="C492" s="22" t="n"/>
      <c r="D492" s="22" t="n"/>
      <c r="E492" s="22" t="n"/>
    </row>
    <row r="493" ht="15.75" customHeight="1" s="169">
      <c r="A493" s="22">
        <f>IFERROR(__xludf.DUMMYFUNCTION("""COMPUTED_VALUE"""),492.0)</f>
        <v/>
      </c>
      <c r="B493" s="22" t="n"/>
      <c r="C493" s="22" t="n"/>
      <c r="D493" s="22" t="n"/>
      <c r="E493" s="22" t="n"/>
    </row>
    <row r="494" ht="15.75" customHeight="1" s="169">
      <c r="A494" s="22">
        <f>IFERROR(__xludf.DUMMYFUNCTION("""COMPUTED_VALUE"""),493.0)</f>
        <v/>
      </c>
      <c r="B494" s="22" t="n"/>
      <c r="C494" s="22" t="n"/>
      <c r="D494" s="22" t="n"/>
      <c r="E494" s="22" t="n"/>
    </row>
    <row r="495" ht="15.75" customHeight="1" s="169">
      <c r="A495" s="22">
        <f>IFERROR(__xludf.DUMMYFUNCTION("""COMPUTED_VALUE"""),494.0)</f>
        <v/>
      </c>
      <c r="B495" s="22" t="n"/>
      <c r="C495" s="22" t="n"/>
      <c r="D495" s="22" t="n"/>
      <c r="E495" s="22" t="n"/>
    </row>
    <row r="496" ht="15.75" customHeight="1" s="169">
      <c r="A496" s="22">
        <f>IFERROR(__xludf.DUMMYFUNCTION("""COMPUTED_VALUE"""),495.0)</f>
        <v/>
      </c>
      <c r="B496" s="22" t="n"/>
      <c r="C496" s="22" t="n"/>
      <c r="D496" s="22" t="n"/>
      <c r="E496" s="22" t="n"/>
    </row>
    <row r="497" ht="15.75" customHeight="1" s="169">
      <c r="A497" s="22">
        <f>IFERROR(__xludf.DUMMYFUNCTION("""COMPUTED_VALUE"""),496.0)</f>
        <v/>
      </c>
      <c r="B497" s="22" t="n"/>
      <c r="C497" s="22" t="n"/>
      <c r="D497" s="22" t="n"/>
      <c r="E497" s="22" t="n"/>
    </row>
    <row r="498" ht="15.75" customHeight="1" s="169">
      <c r="A498" s="22">
        <f>IFERROR(__xludf.DUMMYFUNCTION("""COMPUTED_VALUE"""),497.0)</f>
        <v/>
      </c>
      <c r="B498" s="22" t="n"/>
      <c r="C498" s="22" t="n"/>
      <c r="D498" s="22" t="n"/>
      <c r="E498" s="22" t="n"/>
    </row>
    <row r="499" ht="15.75" customHeight="1" s="169">
      <c r="A499" s="22">
        <f>IFERROR(__xludf.DUMMYFUNCTION("""COMPUTED_VALUE"""),498.0)</f>
        <v/>
      </c>
      <c r="B499" s="22" t="n"/>
      <c r="C499" s="22" t="n"/>
      <c r="D499" s="22" t="n"/>
      <c r="E499" s="22" t="n"/>
    </row>
    <row r="500" ht="15.75" customHeight="1" s="169">
      <c r="A500" s="22">
        <f>IFERROR(__xludf.DUMMYFUNCTION("""COMPUTED_VALUE"""),499.0)</f>
        <v/>
      </c>
      <c r="B500" s="22" t="n"/>
      <c r="C500" s="22" t="n"/>
      <c r="D500" s="22" t="n"/>
      <c r="E500" s="22" t="n"/>
    </row>
    <row r="501" ht="15.75" customHeight="1" s="169">
      <c r="A501" s="22">
        <f>IFERROR(__xludf.DUMMYFUNCTION("""COMPUTED_VALUE"""),500.0)</f>
        <v/>
      </c>
      <c r="B501" s="22" t="n"/>
      <c r="C501" s="22" t="n"/>
      <c r="D501" s="22" t="n"/>
      <c r="E501" s="22" t="n"/>
    </row>
    <row r="502" ht="15.75" customHeight="1" s="169">
      <c r="A502" s="22">
        <f>IFERROR(__xludf.DUMMYFUNCTION("""COMPUTED_VALUE"""),501.0)</f>
        <v/>
      </c>
      <c r="B502" s="22" t="n"/>
      <c r="C502" s="22" t="n"/>
      <c r="D502" s="22" t="n"/>
      <c r="E502" s="22" t="n"/>
    </row>
    <row r="503" ht="15.75" customHeight="1" s="169">
      <c r="A503" s="22">
        <f>IFERROR(__xludf.DUMMYFUNCTION("""COMPUTED_VALUE"""),502.0)</f>
        <v/>
      </c>
      <c r="B503" s="22" t="n"/>
      <c r="C503" s="22" t="n"/>
      <c r="D503" s="22" t="n"/>
      <c r="E503" s="22" t="n"/>
    </row>
    <row r="504" ht="15.75" customHeight="1" s="169">
      <c r="A504" s="22">
        <f>IFERROR(__xludf.DUMMYFUNCTION("""COMPUTED_VALUE"""),503.0)</f>
        <v/>
      </c>
      <c r="B504" s="22" t="n"/>
      <c r="C504" s="22" t="n"/>
      <c r="D504" s="22" t="n"/>
      <c r="E504" s="22" t="n"/>
    </row>
    <row r="505" ht="15.75" customHeight="1" s="169">
      <c r="A505" s="22">
        <f>IFERROR(__xludf.DUMMYFUNCTION("""COMPUTED_VALUE"""),504.0)</f>
        <v/>
      </c>
      <c r="B505" s="22" t="n"/>
      <c r="C505" s="22" t="n"/>
      <c r="D505" s="22" t="n"/>
      <c r="E505" s="22" t="n"/>
    </row>
    <row r="506" ht="15.75" customHeight="1" s="169">
      <c r="A506" s="22">
        <f>IFERROR(__xludf.DUMMYFUNCTION("""COMPUTED_VALUE"""),505.0)</f>
        <v/>
      </c>
      <c r="B506" s="22" t="n"/>
      <c r="C506" s="22" t="n"/>
      <c r="D506" s="22" t="n"/>
      <c r="E506" s="22" t="n"/>
    </row>
    <row r="507" ht="15.75" customHeight="1" s="169">
      <c r="A507" s="22">
        <f>IFERROR(__xludf.DUMMYFUNCTION("""COMPUTED_VALUE"""),506.0)</f>
        <v/>
      </c>
      <c r="B507" s="22" t="n"/>
      <c r="C507" s="22" t="n"/>
      <c r="D507" s="22" t="n"/>
      <c r="E507" s="22" t="n"/>
    </row>
    <row r="508" ht="15.75" customHeight="1" s="169">
      <c r="A508" s="22">
        <f>IFERROR(__xludf.DUMMYFUNCTION("""COMPUTED_VALUE"""),507.0)</f>
        <v/>
      </c>
      <c r="B508" s="22" t="n"/>
      <c r="C508" s="22" t="n"/>
      <c r="D508" s="22" t="n"/>
      <c r="E508" s="22" t="n"/>
    </row>
    <row r="509" ht="15.75" customHeight="1" s="169">
      <c r="A509" s="22">
        <f>IFERROR(__xludf.DUMMYFUNCTION("""COMPUTED_VALUE"""),508.0)</f>
        <v/>
      </c>
      <c r="B509" s="22" t="n"/>
      <c r="C509" s="22" t="n"/>
      <c r="D509" s="22" t="n"/>
      <c r="E509" s="22" t="n"/>
    </row>
    <row r="510" ht="15.75" customHeight="1" s="169">
      <c r="A510" s="22">
        <f>IFERROR(__xludf.DUMMYFUNCTION("""COMPUTED_VALUE"""),509.0)</f>
        <v/>
      </c>
      <c r="B510" s="22" t="n"/>
      <c r="C510" s="22" t="n"/>
      <c r="D510" s="22" t="n"/>
      <c r="E510" s="22" t="n"/>
    </row>
    <row r="511" ht="15.75" customHeight="1" s="169">
      <c r="A511" s="22">
        <f>IFERROR(__xludf.DUMMYFUNCTION("""COMPUTED_VALUE"""),510.0)</f>
        <v/>
      </c>
      <c r="B511" s="22" t="n"/>
      <c r="C511" s="22" t="n"/>
      <c r="D511" s="22" t="n"/>
      <c r="E511" s="22" t="n"/>
    </row>
    <row r="512" ht="15.75" customHeight="1" s="169">
      <c r="A512" s="22">
        <f>IFERROR(__xludf.DUMMYFUNCTION("""COMPUTED_VALUE"""),511.0)</f>
        <v/>
      </c>
      <c r="B512" s="22" t="n"/>
      <c r="C512" s="22" t="n"/>
      <c r="D512" s="22" t="n"/>
      <c r="E512" s="22" t="n"/>
    </row>
    <row r="513" ht="15.75" customHeight="1" s="169">
      <c r="A513" s="22">
        <f>IFERROR(__xludf.DUMMYFUNCTION("""COMPUTED_VALUE"""),512.0)</f>
        <v/>
      </c>
      <c r="B513" s="22" t="n"/>
      <c r="C513" s="22" t="n"/>
      <c r="D513" s="22" t="n"/>
      <c r="E513" s="22" t="n"/>
    </row>
    <row r="514" ht="15.75" customHeight="1" s="169">
      <c r="A514" s="22">
        <f>IFERROR(__xludf.DUMMYFUNCTION("""COMPUTED_VALUE"""),513.0)</f>
        <v/>
      </c>
      <c r="B514" s="22" t="n"/>
      <c r="C514" s="22" t="n"/>
      <c r="D514" s="22" t="n"/>
      <c r="E514" s="22" t="n"/>
    </row>
    <row r="515" ht="15.75" customHeight="1" s="169">
      <c r="A515" s="22">
        <f>IFERROR(__xludf.DUMMYFUNCTION("""COMPUTED_VALUE"""),514.0)</f>
        <v/>
      </c>
      <c r="B515" s="22" t="n"/>
      <c r="C515" s="22" t="n"/>
      <c r="D515" s="22" t="n"/>
      <c r="E515" s="22" t="n"/>
    </row>
    <row r="516" ht="15.75" customHeight="1" s="169">
      <c r="A516" s="22">
        <f>IFERROR(__xludf.DUMMYFUNCTION("""COMPUTED_VALUE"""),515.0)</f>
        <v/>
      </c>
      <c r="B516" s="22" t="n"/>
      <c r="C516" s="22" t="n"/>
      <c r="D516" s="22" t="n"/>
      <c r="E516" s="22" t="n"/>
    </row>
    <row r="517" ht="15.75" customHeight="1" s="169">
      <c r="A517" s="22">
        <f>IFERROR(__xludf.DUMMYFUNCTION("""COMPUTED_VALUE"""),516.0)</f>
        <v/>
      </c>
      <c r="B517" s="22" t="n"/>
      <c r="C517" s="22" t="n"/>
      <c r="D517" s="22" t="n"/>
      <c r="E517" s="22" t="n"/>
    </row>
    <row r="518" ht="15.75" customHeight="1" s="169">
      <c r="A518" s="22">
        <f>IFERROR(__xludf.DUMMYFUNCTION("""COMPUTED_VALUE"""),517.0)</f>
        <v/>
      </c>
      <c r="B518" s="22" t="n"/>
      <c r="C518" s="22" t="n"/>
      <c r="D518" s="22" t="n"/>
      <c r="E518" s="22" t="n"/>
    </row>
    <row r="519" ht="15.75" customHeight="1" s="169">
      <c r="A519" s="22">
        <f>IFERROR(__xludf.DUMMYFUNCTION("""COMPUTED_VALUE"""),518.0)</f>
        <v/>
      </c>
      <c r="B519" s="22" t="n"/>
      <c r="C519" s="22" t="n"/>
      <c r="D519" s="22" t="n"/>
      <c r="E519" s="22" t="n"/>
    </row>
    <row r="520" ht="15.75" customHeight="1" s="169">
      <c r="A520" s="22">
        <f>IFERROR(__xludf.DUMMYFUNCTION("""COMPUTED_VALUE"""),519.0)</f>
        <v/>
      </c>
      <c r="B520" s="22" t="n"/>
      <c r="C520" s="22" t="n"/>
      <c r="D520" s="22" t="n"/>
      <c r="E520" s="22" t="n"/>
    </row>
    <row r="521" ht="15.75" customHeight="1" s="169">
      <c r="A521" s="22">
        <f>IFERROR(__xludf.DUMMYFUNCTION("""COMPUTED_VALUE"""),520.0)</f>
        <v/>
      </c>
      <c r="B521" s="22" t="n"/>
      <c r="C521" s="22" t="n"/>
      <c r="D521" s="22" t="n"/>
      <c r="E521" s="22" t="n"/>
    </row>
    <row r="522" ht="15.75" customHeight="1" s="169">
      <c r="A522" s="22">
        <f>IFERROR(__xludf.DUMMYFUNCTION("""COMPUTED_VALUE"""),521.0)</f>
        <v/>
      </c>
      <c r="B522" s="22" t="n"/>
      <c r="C522" s="22" t="n"/>
      <c r="D522" s="22" t="n"/>
      <c r="E522" s="22" t="n"/>
    </row>
    <row r="523" ht="15.75" customHeight="1" s="169">
      <c r="A523" s="22">
        <f>IFERROR(__xludf.DUMMYFUNCTION("""COMPUTED_VALUE"""),522.0)</f>
        <v/>
      </c>
      <c r="B523" s="22" t="n"/>
      <c r="C523" s="22" t="n"/>
      <c r="D523" s="22" t="n"/>
      <c r="E523" s="22" t="n"/>
    </row>
    <row r="524" ht="15.75" customHeight="1" s="169">
      <c r="A524" s="22">
        <f>IFERROR(__xludf.DUMMYFUNCTION("""COMPUTED_VALUE"""),523.0)</f>
        <v/>
      </c>
      <c r="B524" s="22" t="n"/>
      <c r="C524" s="22" t="n"/>
      <c r="D524" s="22" t="n"/>
      <c r="E524" s="22" t="n"/>
    </row>
    <row r="525" ht="15.75" customHeight="1" s="169">
      <c r="A525" s="22">
        <f>IFERROR(__xludf.DUMMYFUNCTION("""COMPUTED_VALUE"""),524.0)</f>
        <v/>
      </c>
      <c r="B525" s="22" t="n"/>
      <c r="C525" s="22" t="n"/>
      <c r="D525" s="22" t="n"/>
      <c r="E525" s="22" t="n"/>
    </row>
    <row r="526" ht="15.75" customHeight="1" s="169">
      <c r="A526" s="22">
        <f>IFERROR(__xludf.DUMMYFUNCTION("""COMPUTED_VALUE"""),525.0)</f>
        <v/>
      </c>
      <c r="B526" s="22" t="n"/>
      <c r="C526" s="22" t="n"/>
      <c r="D526" s="22" t="n"/>
      <c r="E526" s="22" t="n"/>
    </row>
    <row r="527" ht="15.75" customHeight="1" s="169">
      <c r="A527" s="22">
        <f>IFERROR(__xludf.DUMMYFUNCTION("""COMPUTED_VALUE"""),526.0)</f>
        <v/>
      </c>
      <c r="B527" s="22" t="n"/>
      <c r="C527" s="22" t="n"/>
      <c r="D527" s="22" t="n"/>
      <c r="E527" s="22" t="n"/>
    </row>
    <row r="528" ht="15.75" customHeight="1" s="169">
      <c r="A528" s="22">
        <f>IFERROR(__xludf.DUMMYFUNCTION("""COMPUTED_VALUE"""),527.0)</f>
        <v/>
      </c>
      <c r="B528" s="22" t="n"/>
      <c r="C528" s="22" t="n"/>
      <c r="D528" s="22" t="n"/>
      <c r="E528" s="22" t="n"/>
    </row>
    <row r="529" ht="15.75" customHeight="1" s="169">
      <c r="A529" s="22">
        <f>IFERROR(__xludf.DUMMYFUNCTION("""COMPUTED_VALUE"""),528.0)</f>
        <v/>
      </c>
      <c r="B529" s="22" t="n"/>
      <c r="C529" s="22" t="n"/>
      <c r="D529" s="22" t="n"/>
      <c r="E529" s="22" t="n"/>
    </row>
    <row r="530" ht="15.75" customHeight="1" s="169">
      <c r="A530" s="22">
        <f>IFERROR(__xludf.DUMMYFUNCTION("""COMPUTED_VALUE"""),529.0)</f>
        <v/>
      </c>
      <c r="B530" s="22" t="n"/>
      <c r="C530" s="22" t="n"/>
      <c r="D530" s="22" t="n"/>
      <c r="E530" s="22" t="n"/>
    </row>
    <row r="531" ht="15.75" customHeight="1" s="169">
      <c r="A531" s="22">
        <f>IFERROR(__xludf.DUMMYFUNCTION("""COMPUTED_VALUE"""),530.0)</f>
        <v/>
      </c>
      <c r="B531" s="22" t="n"/>
      <c r="C531" s="22" t="n"/>
      <c r="D531" s="22" t="n"/>
      <c r="E531" s="22" t="n"/>
    </row>
    <row r="532" ht="15.75" customHeight="1" s="169">
      <c r="A532" s="22">
        <f>IFERROR(__xludf.DUMMYFUNCTION("""COMPUTED_VALUE"""),531.0)</f>
        <v/>
      </c>
      <c r="B532" s="22" t="n"/>
      <c r="C532" s="22" t="n"/>
      <c r="D532" s="22" t="n"/>
      <c r="E532" s="22" t="n"/>
    </row>
    <row r="533" ht="15.75" customHeight="1" s="169">
      <c r="A533" s="22">
        <f>IFERROR(__xludf.DUMMYFUNCTION("""COMPUTED_VALUE"""),532.0)</f>
        <v/>
      </c>
      <c r="B533" s="22" t="n"/>
      <c r="C533" s="22" t="n"/>
      <c r="D533" s="22" t="n"/>
      <c r="E533" s="22" t="n"/>
    </row>
    <row r="534" ht="15.75" customHeight="1" s="169">
      <c r="A534" s="22">
        <f>IFERROR(__xludf.DUMMYFUNCTION("""COMPUTED_VALUE"""),533.0)</f>
        <v/>
      </c>
      <c r="B534" s="22" t="n"/>
      <c r="C534" s="22" t="n"/>
      <c r="D534" s="22" t="n"/>
      <c r="E534" s="22" t="n"/>
    </row>
    <row r="535" ht="15.75" customHeight="1" s="169">
      <c r="A535" s="22">
        <f>IFERROR(__xludf.DUMMYFUNCTION("""COMPUTED_VALUE"""),534.0)</f>
        <v/>
      </c>
      <c r="B535" s="22" t="n"/>
      <c r="C535" s="22" t="n"/>
      <c r="D535" s="22" t="n"/>
      <c r="E535" s="22" t="n"/>
    </row>
    <row r="536" ht="15.75" customHeight="1" s="169">
      <c r="A536" s="22">
        <f>IFERROR(__xludf.DUMMYFUNCTION("""COMPUTED_VALUE"""),535.0)</f>
        <v/>
      </c>
      <c r="B536" s="22" t="n"/>
      <c r="C536" s="22" t="n"/>
      <c r="D536" s="22" t="n"/>
      <c r="E536" s="22" t="n"/>
    </row>
    <row r="537" ht="15.75" customHeight="1" s="169">
      <c r="A537" s="22">
        <f>IFERROR(__xludf.DUMMYFUNCTION("""COMPUTED_VALUE"""),536.0)</f>
        <v/>
      </c>
      <c r="B537" s="22" t="n"/>
      <c r="C537" s="22" t="n"/>
      <c r="D537" s="22" t="n"/>
      <c r="E537" s="22" t="n"/>
    </row>
    <row r="538" ht="15.75" customHeight="1" s="169">
      <c r="A538" s="22">
        <f>IFERROR(__xludf.DUMMYFUNCTION("""COMPUTED_VALUE"""),537.0)</f>
        <v/>
      </c>
      <c r="B538" s="22" t="n"/>
      <c r="C538" s="22" t="n"/>
      <c r="D538" s="22" t="n"/>
      <c r="E538" s="22" t="n"/>
    </row>
    <row r="539" ht="15.75" customHeight="1" s="169">
      <c r="A539" s="22">
        <f>IFERROR(__xludf.DUMMYFUNCTION("""COMPUTED_VALUE"""),538.0)</f>
        <v/>
      </c>
      <c r="B539" s="22" t="n"/>
      <c r="C539" s="22" t="n"/>
      <c r="D539" s="22" t="n"/>
      <c r="E539" s="22" t="n"/>
    </row>
    <row r="540" ht="15.75" customHeight="1" s="169">
      <c r="A540" s="22">
        <f>IFERROR(__xludf.DUMMYFUNCTION("""COMPUTED_VALUE"""),539.0)</f>
        <v/>
      </c>
      <c r="B540" s="22" t="n"/>
      <c r="C540" s="22" t="n"/>
      <c r="D540" s="22" t="n"/>
      <c r="E540" s="22" t="n"/>
    </row>
    <row r="541" ht="15.75" customHeight="1" s="169">
      <c r="A541" s="22">
        <f>IFERROR(__xludf.DUMMYFUNCTION("""COMPUTED_VALUE"""),540.0)</f>
        <v/>
      </c>
      <c r="B541" s="22" t="n"/>
      <c r="C541" s="22" t="n"/>
      <c r="D541" s="22" t="n"/>
      <c r="E541" s="22" t="n"/>
    </row>
    <row r="542" ht="15.75" customHeight="1" s="169">
      <c r="A542" s="22">
        <f>IFERROR(__xludf.DUMMYFUNCTION("""COMPUTED_VALUE"""),541.0)</f>
        <v/>
      </c>
      <c r="B542" s="22" t="n"/>
      <c r="C542" s="22" t="n"/>
      <c r="D542" s="22" t="n"/>
      <c r="E542" s="22" t="n"/>
    </row>
    <row r="543" ht="15.75" customHeight="1" s="169">
      <c r="A543" s="22">
        <f>IFERROR(__xludf.DUMMYFUNCTION("""COMPUTED_VALUE"""),542.0)</f>
        <v/>
      </c>
      <c r="B543" s="22" t="n"/>
      <c r="C543" s="22" t="n"/>
      <c r="D543" s="22" t="n"/>
      <c r="E543" s="22" t="n"/>
    </row>
    <row r="544" ht="15.75" customHeight="1" s="169">
      <c r="A544" s="22">
        <f>IFERROR(__xludf.DUMMYFUNCTION("""COMPUTED_VALUE"""),543.0)</f>
        <v/>
      </c>
      <c r="B544" s="22" t="n"/>
      <c r="C544" s="22" t="n"/>
      <c r="D544" s="22" t="n"/>
      <c r="E544" s="22" t="n"/>
    </row>
    <row r="545" ht="15.75" customHeight="1" s="169">
      <c r="A545" s="22">
        <f>IFERROR(__xludf.DUMMYFUNCTION("""COMPUTED_VALUE"""),544.0)</f>
        <v/>
      </c>
      <c r="B545" s="22" t="n"/>
      <c r="C545" s="22" t="n"/>
      <c r="D545" s="22" t="n"/>
      <c r="E545" s="22" t="n"/>
    </row>
    <row r="546" ht="15.75" customHeight="1" s="169">
      <c r="A546" s="22">
        <f>IFERROR(__xludf.DUMMYFUNCTION("""COMPUTED_VALUE"""),545.0)</f>
        <v/>
      </c>
      <c r="B546" s="22" t="n"/>
      <c r="C546" s="22" t="n"/>
      <c r="D546" s="22" t="n"/>
      <c r="E546" s="22" t="n"/>
    </row>
    <row r="547" ht="15.75" customHeight="1" s="169">
      <c r="A547" s="22">
        <f>IFERROR(__xludf.DUMMYFUNCTION("""COMPUTED_VALUE"""),546.0)</f>
        <v/>
      </c>
      <c r="B547" s="22" t="n"/>
      <c r="C547" s="22" t="n"/>
      <c r="D547" s="22" t="n"/>
      <c r="E547" s="22" t="n"/>
    </row>
    <row r="548" ht="15.75" customHeight="1" s="169">
      <c r="A548" s="22">
        <f>IFERROR(__xludf.DUMMYFUNCTION("""COMPUTED_VALUE"""),547.0)</f>
        <v/>
      </c>
      <c r="B548" s="22" t="n"/>
      <c r="C548" s="22" t="n"/>
      <c r="D548" s="22" t="n"/>
      <c r="E548" s="22" t="n"/>
    </row>
    <row r="549" ht="15.75" customHeight="1" s="169">
      <c r="A549" s="22">
        <f>IFERROR(__xludf.DUMMYFUNCTION("""COMPUTED_VALUE"""),548.0)</f>
        <v/>
      </c>
      <c r="B549" s="22" t="n"/>
      <c r="C549" s="22" t="n"/>
      <c r="D549" s="22" t="n"/>
      <c r="E549" s="22" t="n"/>
    </row>
    <row r="550" ht="15.75" customHeight="1" s="169">
      <c r="A550" s="22">
        <f>IFERROR(__xludf.DUMMYFUNCTION("""COMPUTED_VALUE"""),549.0)</f>
        <v/>
      </c>
      <c r="B550" s="22" t="n"/>
      <c r="C550" s="22" t="n"/>
      <c r="D550" s="22" t="n"/>
      <c r="E550" s="22" t="n"/>
    </row>
    <row r="551" ht="15.75" customHeight="1" s="169">
      <c r="A551" s="22">
        <f>IFERROR(__xludf.DUMMYFUNCTION("""COMPUTED_VALUE"""),550.0)</f>
        <v/>
      </c>
      <c r="B551" s="22" t="n"/>
      <c r="C551" s="22" t="n"/>
      <c r="D551" s="22" t="n"/>
      <c r="E551" s="22" t="n"/>
    </row>
    <row r="552" ht="15.75" customHeight="1" s="169">
      <c r="A552" s="22">
        <f>IFERROR(__xludf.DUMMYFUNCTION("""COMPUTED_VALUE"""),551.0)</f>
        <v/>
      </c>
      <c r="B552" s="22" t="n"/>
      <c r="C552" s="22" t="n"/>
      <c r="D552" s="22" t="n"/>
      <c r="E552" s="22" t="n"/>
    </row>
    <row r="553" ht="15.75" customHeight="1" s="169">
      <c r="A553" s="22">
        <f>IFERROR(__xludf.DUMMYFUNCTION("""COMPUTED_VALUE"""),552.0)</f>
        <v/>
      </c>
      <c r="B553" s="22" t="n"/>
      <c r="C553" s="22" t="n"/>
      <c r="D553" s="22" t="n"/>
      <c r="E553" s="22" t="n"/>
    </row>
    <row r="554" ht="15.75" customHeight="1" s="169">
      <c r="A554" s="22">
        <f>IFERROR(__xludf.DUMMYFUNCTION("""COMPUTED_VALUE"""),553.0)</f>
        <v/>
      </c>
      <c r="B554" s="22" t="n"/>
      <c r="C554" s="22" t="n"/>
      <c r="D554" s="22" t="n"/>
      <c r="E554" s="22" t="n"/>
    </row>
    <row r="555" ht="15.75" customHeight="1" s="169">
      <c r="A555" s="22">
        <f>IFERROR(__xludf.DUMMYFUNCTION("""COMPUTED_VALUE"""),554.0)</f>
        <v/>
      </c>
      <c r="B555" s="22" t="n"/>
      <c r="C555" s="22" t="n"/>
      <c r="D555" s="22" t="n"/>
      <c r="E555" s="22" t="n"/>
    </row>
    <row r="556" ht="15.75" customHeight="1" s="169">
      <c r="A556" s="22">
        <f>IFERROR(__xludf.DUMMYFUNCTION("""COMPUTED_VALUE"""),555.0)</f>
        <v/>
      </c>
      <c r="B556" s="22" t="n"/>
      <c r="C556" s="22" t="n"/>
      <c r="D556" s="22" t="n"/>
      <c r="E556" s="22" t="n"/>
    </row>
    <row r="557" ht="15.75" customHeight="1" s="169">
      <c r="A557" s="22">
        <f>IFERROR(__xludf.DUMMYFUNCTION("""COMPUTED_VALUE"""),556.0)</f>
        <v/>
      </c>
      <c r="B557" s="22" t="n"/>
      <c r="C557" s="22" t="n"/>
      <c r="D557" s="22" t="n"/>
      <c r="E557" s="22" t="n"/>
    </row>
    <row r="558" ht="15.75" customHeight="1" s="169">
      <c r="A558" s="22">
        <f>IFERROR(__xludf.DUMMYFUNCTION("""COMPUTED_VALUE"""),557.0)</f>
        <v/>
      </c>
      <c r="B558" s="22" t="n"/>
      <c r="C558" s="22" t="n"/>
      <c r="D558" s="22" t="n"/>
      <c r="E558" s="22" t="n"/>
    </row>
    <row r="559" ht="15.75" customHeight="1" s="169">
      <c r="A559" s="22">
        <f>IFERROR(__xludf.DUMMYFUNCTION("""COMPUTED_VALUE"""),558.0)</f>
        <v/>
      </c>
      <c r="B559" s="22" t="n"/>
      <c r="C559" s="22" t="n"/>
      <c r="D559" s="22" t="n"/>
      <c r="E559" s="22" t="n"/>
    </row>
    <row r="560" ht="15.75" customHeight="1" s="169">
      <c r="A560" s="22">
        <f>IFERROR(__xludf.DUMMYFUNCTION("""COMPUTED_VALUE"""),559.0)</f>
        <v/>
      </c>
      <c r="B560" s="22" t="n"/>
      <c r="C560" s="22" t="n"/>
      <c r="D560" s="22" t="n"/>
      <c r="E560" s="22" t="n"/>
    </row>
    <row r="561" ht="15.75" customHeight="1" s="169">
      <c r="A561" s="22">
        <f>IFERROR(__xludf.DUMMYFUNCTION("""COMPUTED_VALUE"""),560.0)</f>
        <v/>
      </c>
      <c r="B561" s="22" t="n"/>
      <c r="C561" s="22" t="n"/>
      <c r="D561" s="22" t="n"/>
      <c r="E561" s="22" t="n"/>
    </row>
    <row r="562" ht="15.75" customHeight="1" s="169">
      <c r="A562" s="22">
        <f>IFERROR(__xludf.DUMMYFUNCTION("""COMPUTED_VALUE"""),561.0)</f>
        <v/>
      </c>
      <c r="B562" s="22" t="n"/>
      <c r="C562" s="22" t="n"/>
      <c r="D562" s="22" t="n"/>
      <c r="E562" s="22" t="n"/>
    </row>
    <row r="563" ht="15.75" customHeight="1" s="169">
      <c r="A563" s="22">
        <f>IFERROR(__xludf.DUMMYFUNCTION("""COMPUTED_VALUE"""),562.0)</f>
        <v/>
      </c>
      <c r="B563" s="22" t="n"/>
      <c r="C563" s="22" t="n"/>
      <c r="D563" s="22" t="n"/>
      <c r="E563" s="22" t="n"/>
    </row>
    <row r="564" ht="15.75" customHeight="1" s="169">
      <c r="A564" s="22">
        <f>IFERROR(__xludf.DUMMYFUNCTION("""COMPUTED_VALUE"""),563.0)</f>
        <v/>
      </c>
      <c r="B564" s="22" t="n"/>
      <c r="C564" s="22" t="n"/>
      <c r="D564" s="22" t="n"/>
      <c r="E564" s="22" t="n"/>
    </row>
    <row r="565" ht="15.75" customHeight="1" s="169">
      <c r="A565" s="22">
        <f>IFERROR(__xludf.DUMMYFUNCTION("""COMPUTED_VALUE"""),564.0)</f>
        <v/>
      </c>
      <c r="B565" s="22" t="n"/>
      <c r="C565" s="22" t="n"/>
      <c r="D565" s="22" t="n"/>
      <c r="E565" s="22" t="n"/>
    </row>
    <row r="566" ht="15.75" customHeight="1" s="169">
      <c r="A566" s="22">
        <f>IFERROR(__xludf.DUMMYFUNCTION("""COMPUTED_VALUE"""),565.0)</f>
        <v/>
      </c>
      <c r="B566" s="22" t="n"/>
      <c r="C566" s="22" t="n"/>
      <c r="D566" s="22" t="n"/>
      <c r="E566" s="22" t="n"/>
    </row>
    <row r="567" ht="15.75" customHeight="1" s="169">
      <c r="A567" s="22">
        <f>IFERROR(__xludf.DUMMYFUNCTION("""COMPUTED_VALUE"""),566.0)</f>
        <v/>
      </c>
      <c r="B567" s="22" t="n"/>
      <c r="C567" s="22" t="n"/>
      <c r="D567" s="22" t="n"/>
      <c r="E567" s="22" t="n"/>
    </row>
    <row r="568" ht="15.75" customHeight="1" s="169">
      <c r="A568" s="22">
        <f>IFERROR(__xludf.DUMMYFUNCTION("""COMPUTED_VALUE"""),567.0)</f>
        <v/>
      </c>
      <c r="B568" s="22" t="n"/>
      <c r="C568" s="22" t="n"/>
      <c r="D568" s="22" t="n"/>
      <c r="E568" s="22" t="n"/>
    </row>
    <row r="569" ht="15.75" customHeight="1" s="169">
      <c r="A569" s="22">
        <f>IFERROR(__xludf.DUMMYFUNCTION("""COMPUTED_VALUE"""),568.0)</f>
        <v/>
      </c>
      <c r="B569" s="22" t="n"/>
      <c r="C569" s="22" t="n"/>
      <c r="D569" s="22" t="n"/>
      <c r="E569" s="22" t="n"/>
    </row>
    <row r="570" ht="15.75" customHeight="1" s="169">
      <c r="A570" s="22">
        <f>IFERROR(__xludf.DUMMYFUNCTION("""COMPUTED_VALUE"""),569.0)</f>
        <v/>
      </c>
      <c r="B570" s="22" t="n"/>
      <c r="C570" s="22" t="n"/>
      <c r="D570" s="22" t="n"/>
      <c r="E570" s="22" t="n"/>
    </row>
    <row r="571" ht="15.75" customHeight="1" s="169">
      <c r="A571" s="22">
        <f>IFERROR(__xludf.DUMMYFUNCTION("""COMPUTED_VALUE"""),570.0)</f>
        <v/>
      </c>
      <c r="B571" s="22" t="n"/>
      <c r="C571" s="22" t="n"/>
      <c r="D571" s="22" t="n"/>
      <c r="E571" s="22" t="n"/>
    </row>
    <row r="572" ht="15.75" customHeight="1" s="169">
      <c r="A572" s="22">
        <f>IFERROR(__xludf.DUMMYFUNCTION("""COMPUTED_VALUE"""),571.0)</f>
        <v/>
      </c>
      <c r="B572" s="22" t="n"/>
      <c r="C572" s="22" t="n"/>
      <c r="D572" s="22" t="n"/>
      <c r="E572" s="22" t="n"/>
    </row>
    <row r="573" ht="15.75" customHeight="1" s="169">
      <c r="A573" s="22">
        <f>IFERROR(__xludf.DUMMYFUNCTION("""COMPUTED_VALUE"""),572.0)</f>
        <v/>
      </c>
      <c r="B573" s="22" t="n"/>
      <c r="C573" s="22" t="n"/>
      <c r="D573" s="22" t="n"/>
      <c r="E573" s="22" t="n"/>
    </row>
    <row r="574" ht="15.75" customHeight="1" s="169">
      <c r="A574" s="22">
        <f>IFERROR(__xludf.DUMMYFUNCTION("""COMPUTED_VALUE"""),573.0)</f>
        <v/>
      </c>
      <c r="B574" s="22" t="n"/>
      <c r="C574" s="22" t="n"/>
      <c r="D574" s="22" t="n"/>
      <c r="E574" s="22" t="n"/>
    </row>
    <row r="575" ht="15.75" customHeight="1" s="169">
      <c r="A575" s="22">
        <f>IFERROR(__xludf.DUMMYFUNCTION("""COMPUTED_VALUE"""),574.0)</f>
        <v/>
      </c>
      <c r="B575" s="22" t="n"/>
      <c r="C575" s="22" t="n"/>
      <c r="D575" s="22" t="n"/>
      <c r="E575" s="22" t="n"/>
    </row>
    <row r="576" ht="15.75" customHeight="1" s="169">
      <c r="A576" s="22">
        <f>IFERROR(__xludf.DUMMYFUNCTION("""COMPUTED_VALUE"""),575.0)</f>
        <v/>
      </c>
      <c r="B576" s="22" t="n"/>
      <c r="C576" s="22" t="n"/>
      <c r="D576" s="22" t="n"/>
      <c r="E576" s="22" t="n"/>
    </row>
    <row r="577" ht="15.75" customHeight="1" s="169">
      <c r="A577" s="22">
        <f>IFERROR(__xludf.DUMMYFUNCTION("""COMPUTED_VALUE"""),576.0)</f>
        <v/>
      </c>
      <c r="B577" s="22" t="n"/>
      <c r="C577" s="22" t="n"/>
      <c r="D577" s="22" t="n"/>
      <c r="E577" s="22" t="n"/>
    </row>
    <row r="578" ht="15.75" customHeight="1" s="169">
      <c r="A578" s="22">
        <f>IFERROR(__xludf.DUMMYFUNCTION("""COMPUTED_VALUE"""),577.0)</f>
        <v/>
      </c>
      <c r="B578" s="22" t="n"/>
      <c r="C578" s="22" t="n"/>
      <c r="D578" s="22" t="n"/>
      <c r="E578" s="22" t="n"/>
    </row>
    <row r="579" ht="15.75" customHeight="1" s="169">
      <c r="A579" s="22">
        <f>IFERROR(__xludf.DUMMYFUNCTION("""COMPUTED_VALUE"""),578.0)</f>
        <v/>
      </c>
      <c r="B579" s="22" t="n"/>
      <c r="C579" s="22" t="n"/>
      <c r="D579" s="22" t="n"/>
      <c r="E579" s="22" t="n"/>
    </row>
    <row r="580" ht="15.75" customHeight="1" s="169">
      <c r="A580" s="22">
        <f>IFERROR(__xludf.DUMMYFUNCTION("""COMPUTED_VALUE"""),579.0)</f>
        <v/>
      </c>
      <c r="B580" s="22" t="n"/>
      <c r="C580" s="22" t="n"/>
      <c r="D580" s="22" t="n"/>
      <c r="E580" s="22" t="n"/>
    </row>
    <row r="581" ht="15.75" customHeight="1" s="169">
      <c r="A581" s="22">
        <f>IFERROR(__xludf.DUMMYFUNCTION("""COMPUTED_VALUE"""),580.0)</f>
        <v/>
      </c>
      <c r="B581" s="22" t="n"/>
      <c r="C581" s="22" t="n"/>
      <c r="D581" s="22" t="n"/>
      <c r="E581" s="22" t="n"/>
    </row>
    <row r="582" ht="15.75" customHeight="1" s="169">
      <c r="A582" s="22">
        <f>IFERROR(__xludf.DUMMYFUNCTION("""COMPUTED_VALUE"""),581.0)</f>
        <v/>
      </c>
      <c r="B582" s="22" t="n"/>
      <c r="C582" s="22" t="n"/>
      <c r="D582" s="22" t="n"/>
      <c r="E582" s="22" t="n"/>
    </row>
    <row r="583" ht="15.75" customHeight="1" s="169">
      <c r="A583" s="22">
        <f>IFERROR(__xludf.DUMMYFUNCTION("""COMPUTED_VALUE"""),582.0)</f>
        <v/>
      </c>
      <c r="B583" s="22" t="n"/>
      <c r="C583" s="22" t="n"/>
      <c r="D583" s="22" t="n"/>
      <c r="E583" s="22" t="n"/>
    </row>
    <row r="584" ht="15.75" customHeight="1" s="169">
      <c r="A584" s="22">
        <f>IFERROR(__xludf.DUMMYFUNCTION("""COMPUTED_VALUE"""),583.0)</f>
        <v/>
      </c>
      <c r="B584" s="22" t="n"/>
      <c r="C584" s="22" t="n"/>
      <c r="D584" s="22" t="n"/>
      <c r="E584" s="22" t="n"/>
    </row>
    <row r="585" ht="15.75" customHeight="1" s="169">
      <c r="A585" s="22">
        <f>IFERROR(__xludf.DUMMYFUNCTION("""COMPUTED_VALUE"""),584.0)</f>
        <v/>
      </c>
      <c r="B585" s="22" t="n"/>
      <c r="C585" s="22" t="n"/>
      <c r="D585" s="22" t="n"/>
      <c r="E585" s="22" t="n"/>
    </row>
    <row r="586" ht="15.75" customHeight="1" s="169">
      <c r="A586" s="22">
        <f>IFERROR(__xludf.DUMMYFUNCTION("""COMPUTED_VALUE"""),585.0)</f>
        <v/>
      </c>
      <c r="B586" s="22" t="n"/>
      <c r="C586" s="22" t="n"/>
      <c r="D586" s="22" t="n"/>
      <c r="E586" s="22" t="n"/>
    </row>
    <row r="587" ht="15.75" customHeight="1" s="169">
      <c r="A587" s="22">
        <f>IFERROR(__xludf.DUMMYFUNCTION("""COMPUTED_VALUE"""),586.0)</f>
        <v/>
      </c>
      <c r="B587" s="22" t="n"/>
      <c r="C587" s="22" t="n"/>
      <c r="D587" s="22" t="n"/>
      <c r="E587" s="22" t="n"/>
    </row>
    <row r="588" ht="15.75" customHeight="1" s="169">
      <c r="A588" s="22">
        <f>IFERROR(__xludf.DUMMYFUNCTION("""COMPUTED_VALUE"""),587.0)</f>
        <v/>
      </c>
      <c r="B588" s="22" t="n"/>
      <c r="C588" s="22" t="n"/>
      <c r="D588" s="22" t="n"/>
      <c r="E588" s="22" t="n"/>
    </row>
    <row r="589" ht="15.75" customHeight="1" s="169">
      <c r="A589" s="22">
        <f>IFERROR(__xludf.DUMMYFUNCTION("""COMPUTED_VALUE"""),588.0)</f>
        <v/>
      </c>
      <c r="B589" s="22" t="n"/>
      <c r="C589" s="22" t="n"/>
      <c r="D589" s="22" t="n"/>
      <c r="E589" s="22" t="n"/>
    </row>
    <row r="590" ht="15.75" customHeight="1" s="169">
      <c r="A590" s="22">
        <f>IFERROR(__xludf.DUMMYFUNCTION("""COMPUTED_VALUE"""),589.0)</f>
        <v/>
      </c>
      <c r="B590" s="22" t="n"/>
      <c r="C590" s="22" t="n"/>
      <c r="D590" s="22" t="n"/>
      <c r="E590" s="22" t="n"/>
    </row>
    <row r="591" ht="15.75" customHeight="1" s="169">
      <c r="A591" s="22">
        <f>IFERROR(__xludf.DUMMYFUNCTION("""COMPUTED_VALUE"""),590.0)</f>
        <v/>
      </c>
      <c r="B591" s="22" t="n"/>
      <c r="C591" s="22" t="n"/>
      <c r="D591" s="22" t="n"/>
      <c r="E591" s="22" t="n"/>
    </row>
    <row r="592" ht="15.75" customHeight="1" s="169">
      <c r="A592" s="22">
        <f>IFERROR(__xludf.DUMMYFUNCTION("""COMPUTED_VALUE"""),591.0)</f>
        <v/>
      </c>
      <c r="B592" s="22" t="n"/>
      <c r="C592" s="22" t="n"/>
      <c r="D592" s="22" t="n"/>
      <c r="E592" s="22" t="n"/>
    </row>
    <row r="593" ht="15.75" customHeight="1" s="169">
      <c r="A593" s="22">
        <f>IFERROR(__xludf.DUMMYFUNCTION("""COMPUTED_VALUE"""),592.0)</f>
        <v/>
      </c>
      <c r="B593" s="22" t="n"/>
      <c r="C593" s="22" t="n"/>
      <c r="D593" s="22" t="n"/>
      <c r="E593" s="22" t="n"/>
    </row>
    <row r="594" ht="15.75" customHeight="1" s="169">
      <c r="A594" s="22">
        <f>IFERROR(__xludf.DUMMYFUNCTION("""COMPUTED_VALUE"""),593.0)</f>
        <v/>
      </c>
      <c r="B594" s="22" t="n"/>
      <c r="C594" s="22" t="n"/>
      <c r="D594" s="22" t="n"/>
      <c r="E594" s="22" t="n"/>
    </row>
    <row r="595" ht="15.75" customHeight="1" s="169">
      <c r="A595" s="22">
        <f>IFERROR(__xludf.DUMMYFUNCTION("""COMPUTED_VALUE"""),594.0)</f>
        <v/>
      </c>
      <c r="B595" s="22" t="n"/>
      <c r="C595" s="22" t="n"/>
      <c r="D595" s="22" t="n"/>
      <c r="E595" s="22" t="n"/>
    </row>
    <row r="596" ht="15.75" customHeight="1" s="169">
      <c r="A596" s="22">
        <f>IFERROR(__xludf.DUMMYFUNCTION("""COMPUTED_VALUE"""),595.0)</f>
        <v/>
      </c>
      <c r="B596" s="22" t="n"/>
      <c r="C596" s="22" t="n"/>
      <c r="D596" s="22" t="n"/>
      <c r="E596" s="22" t="n"/>
    </row>
    <row r="597" ht="15.75" customHeight="1" s="169">
      <c r="A597" s="22">
        <f>IFERROR(__xludf.DUMMYFUNCTION("""COMPUTED_VALUE"""),596.0)</f>
        <v/>
      </c>
      <c r="B597" s="22" t="n"/>
      <c r="C597" s="22" t="n"/>
      <c r="D597" s="22" t="n"/>
      <c r="E597" s="22" t="n"/>
    </row>
    <row r="598" ht="15.75" customHeight="1" s="169">
      <c r="A598" s="22" t="n"/>
      <c r="B598" s="22" t="n"/>
      <c r="C598" s="22" t="n"/>
      <c r="D598" s="22" t="n"/>
      <c r="E598" s="22" t="n"/>
    </row>
    <row r="599" ht="15.75" customHeight="1" s="169">
      <c r="A599" s="22" t="n"/>
      <c r="B599" s="22" t="n"/>
      <c r="C599" s="22" t="n"/>
      <c r="D599" s="22" t="n"/>
      <c r="E599" s="22" t="n"/>
    </row>
    <row r="600" ht="15.75" customHeight="1" s="169">
      <c r="A600" s="22" t="n"/>
      <c r="B600" s="22" t="n"/>
      <c r="C600" s="22" t="n"/>
      <c r="D600" s="22" t="n"/>
      <c r="E600" s="22" t="n"/>
    </row>
    <row r="601" ht="15.75" customHeight="1" s="169">
      <c r="A601" s="22" t="n"/>
      <c r="B601" s="22" t="n"/>
      <c r="C601" s="22" t="n"/>
      <c r="D601" s="22" t="n"/>
      <c r="E601" s="22" t="n"/>
    </row>
    <row r="602" ht="15.75" customHeight="1" s="169">
      <c r="A602" s="22" t="n"/>
      <c r="B602" s="22" t="n"/>
      <c r="C602" s="22" t="n"/>
      <c r="D602" s="22" t="n"/>
      <c r="E602" s="22" t="n"/>
    </row>
    <row r="603" ht="15.75" customHeight="1" s="169">
      <c r="A603" s="22" t="n"/>
      <c r="B603" s="22" t="n"/>
      <c r="C603" s="22" t="n"/>
      <c r="D603" s="22" t="n"/>
      <c r="E603" s="22" t="n"/>
    </row>
    <row r="604" ht="15.75" customHeight="1" s="169">
      <c r="A604" s="22" t="n"/>
      <c r="B604" s="22" t="n"/>
      <c r="C604" s="22" t="n"/>
      <c r="D604" s="22" t="n"/>
      <c r="E604" s="22" t="n"/>
    </row>
    <row r="605" ht="15.75" customHeight="1" s="169">
      <c r="A605" s="22" t="n"/>
      <c r="B605" s="22" t="n"/>
      <c r="C605" s="22" t="n"/>
      <c r="D605" s="22" t="n"/>
      <c r="E605" s="22" t="n"/>
    </row>
    <row r="606" ht="15.75" customHeight="1" s="169">
      <c r="A606" s="22" t="n"/>
      <c r="B606" s="22" t="n"/>
      <c r="C606" s="22" t="n"/>
      <c r="D606" s="22" t="n"/>
      <c r="E606" s="22" t="n"/>
    </row>
    <row r="607" ht="15.75" customHeight="1" s="169">
      <c r="A607" s="22" t="n"/>
      <c r="B607" s="22" t="n"/>
      <c r="C607" s="22" t="n"/>
      <c r="D607" s="22" t="n"/>
      <c r="E607" s="22" t="n"/>
    </row>
    <row r="608" ht="15.75" customHeight="1" s="169">
      <c r="A608" s="22" t="n"/>
      <c r="B608" s="22" t="n"/>
      <c r="C608" s="22" t="n"/>
      <c r="D608" s="22" t="n"/>
      <c r="E608" s="22" t="n"/>
    </row>
    <row r="609" ht="15.75" customHeight="1" s="169">
      <c r="A609" s="22" t="n"/>
      <c r="B609" s="22" t="n"/>
      <c r="C609" s="22" t="n"/>
      <c r="D609" s="22" t="n"/>
      <c r="E609" s="22" t="n"/>
    </row>
    <row r="610" ht="15.75" customHeight="1" s="169">
      <c r="A610" s="22" t="n"/>
      <c r="B610" s="22" t="n"/>
      <c r="C610" s="22" t="n"/>
      <c r="D610" s="22" t="n"/>
      <c r="E610" s="22" t="n"/>
    </row>
    <row r="611" ht="15.75" customHeight="1" s="169">
      <c r="A611" s="22" t="n"/>
      <c r="B611" s="22" t="n"/>
      <c r="C611" s="22" t="n"/>
      <c r="D611" s="22" t="n"/>
      <c r="E611" s="22" t="n"/>
    </row>
    <row r="612" ht="15.75" customHeight="1" s="169">
      <c r="A612" s="22" t="n"/>
      <c r="B612" s="22" t="n"/>
      <c r="C612" s="22" t="n"/>
      <c r="D612" s="22" t="n"/>
      <c r="E612" s="22" t="n"/>
    </row>
    <row r="613" ht="15.75" customHeight="1" s="169">
      <c r="A613" s="22" t="n"/>
      <c r="B613" s="22" t="n"/>
      <c r="C613" s="22" t="n"/>
      <c r="D613" s="22" t="n"/>
      <c r="E613" s="22" t="n"/>
    </row>
    <row r="614" ht="15.75" customHeight="1" s="169">
      <c r="A614" s="22" t="n"/>
      <c r="B614" s="22" t="n"/>
      <c r="C614" s="22" t="n"/>
      <c r="D614" s="22" t="n"/>
      <c r="E614" s="22" t="n"/>
    </row>
    <row r="615" ht="15.75" customHeight="1" s="169">
      <c r="A615" s="22" t="n"/>
      <c r="B615" s="22" t="n"/>
      <c r="C615" s="22" t="n"/>
      <c r="D615" s="22" t="n"/>
      <c r="E615" s="22" t="n"/>
    </row>
    <row r="616" ht="15.75" customHeight="1" s="169">
      <c r="A616" s="22" t="n"/>
      <c r="B616" s="22" t="n"/>
      <c r="C616" s="22" t="n"/>
      <c r="D616" s="22" t="n"/>
      <c r="E616" s="22" t="n"/>
    </row>
    <row r="617" ht="15.75" customHeight="1" s="169">
      <c r="A617" s="22" t="n"/>
      <c r="B617" s="22" t="n"/>
      <c r="C617" s="22" t="n"/>
      <c r="D617" s="22" t="n"/>
      <c r="E617" s="22" t="n"/>
    </row>
    <row r="618" ht="15.75" customHeight="1" s="169">
      <c r="A618" s="22" t="n"/>
      <c r="B618" s="22" t="n"/>
      <c r="C618" s="22" t="n"/>
      <c r="D618" s="22" t="n"/>
      <c r="E618" s="22" t="n"/>
    </row>
    <row r="619" ht="15.75" customHeight="1" s="169">
      <c r="A619" s="22" t="n"/>
      <c r="B619" s="22" t="n"/>
      <c r="C619" s="22" t="n"/>
      <c r="D619" s="22" t="n"/>
      <c r="E619" s="22" t="n"/>
    </row>
    <row r="620" ht="15.75" customHeight="1" s="169">
      <c r="A620" s="22" t="n"/>
      <c r="B620" s="22" t="n"/>
      <c r="C620" s="22" t="n"/>
      <c r="D620" s="22" t="n"/>
      <c r="E620" s="22" t="n"/>
    </row>
    <row r="621" ht="15.75" customHeight="1" s="169">
      <c r="A621" s="22" t="n"/>
      <c r="B621" s="22" t="n"/>
      <c r="C621" s="22" t="n"/>
      <c r="D621" s="22" t="n"/>
      <c r="E621" s="22" t="n"/>
    </row>
    <row r="622" ht="15.75" customHeight="1" s="169">
      <c r="A622" s="22" t="n"/>
      <c r="B622" s="22" t="n"/>
      <c r="C622" s="22" t="n"/>
      <c r="D622" s="22" t="n"/>
      <c r="E622" s="22" t="n"/>
    </row>
    <row r="623" ht="15.75" customHeight="1" s="169">
      <c r="A623" s="22" t="n"/>
      <c r="B623" s="22" t="n"/>
      <c r="C623" s="22" t="n"/>
      <c r="D623" s="22" t="n"/>
      <c r="E623" s="22" t="n"/>
    </row>
    <row r="624" ht="15.75" customHeight="1" s="169">
      <c r="A624" s="22" t="n"/>
      <c r="B624" s="22" t="n"/>
      <c r="C624" s="22" t="n"/>
      <c r="D624" s="22" t="n"/>
      <c r="E624" s="22" t="n"/>
    </row>
    <row r="625" ht="15.75" customHeight="1" s="169">
      <c r="A625" s="22" t="n"/>
      <c r="B625" s="22" t="n"/>
      <c r="C625" s="22" t="n"/>
      <c r="D625" s="22" t="n"/>
      <c r="E625" s="22" t="n"/>
    </row>
    <row r="626" ht="15.75" customHeight="1" s="169">
      <c r="A626" s="22" t="n"/>
      <c r="B626" s="22" t="n"/>
      <c r="C626" s="22" t="n"/>
      <c r="D626" s="22" t="n"/>
      <c r="E626" s="22" t="n"/>
    </row>
    <row r="627" ht="15.75" customHeight="1" s="169">
      <c r="A627" s="22" t="n"/>
      <c r="B627" s="22" t="n"/>
      <c r="C627" s="22" t="n"/>
      <c r="D627" s="22" t="n"/>
      <c r="E627" s="22" t="n"/>
    </row>
    <row r="628" ht="15.75" customHeight="1" s="169">
      <c r="A628" s="22" t="n"/>
      <c r="B628" s="22" t="n"/>
      <c r="C628" s="22" t="n"/>
      <c r="D628" s="22" t="n"/>
      <c r="E628" s="22" t="n"/>
    </row>
    <row r="629" ht="15.75" customHeight="1" s="169">
      <c r="A629" s="22" t="n"/>
      <c r="B629" s="22" t="n"/>
      <c r="C629" s="22" t="n"/>
      <c r="D629" s="22" t="n"/>
      <c r="E629" s="22" t="n"/>
    </row>
    <row r="630" ht="15.75" customHeight="1" s="169">
      <c r="A630" s="22" t="n"/>
      <c r="B630" s="22" t="n"/>
      <c r="C630" s="22" t="n"/>
      <c r="D630" s="22" t="n"/>
      <c r="E630" s="22" t="n"/>
    </row>
    <row r="631" ht="15.75" customHeight="1" s="169">
      <c r="A631" s="22" t="n"/>
      <c r="B631" s="22" t="n"/>
      <c r="C631" s="22" t="n"/>
      <c r="D631" s="22" t="n"/>
      <c r="E631" s="22" t="n"/>
    </row>
    <row r="632" ht="15.75" customHeight="1" s="169">
      <c r="A632" s="22" t="n"/>
      <c r="B632" s="22" t="n"/>
      <c r="C632" s="22" t="n"/>
      <c r="D632" s="22" t="n"/>
      <c r="E632" s="22" t="n"/>
    </row>
    <row r="633" ht="15.75" customHeight="1" s="169">
      <c r="A633" s="22" t="n"/>
      <c r="B633" s="22" t="n"/>
      <c r="C633" s="22" t="n"/>
      <c r="D633" s="22" t="n"/>
      <c r="E633" s="22" t="n"/>
    </row>
    <row r="634" ht="15.75" customHeight="1" s="169">
      <c r="A634" s="22" t="n"/>
      <c r="B634" s="22" t="n"/>
      <c r="C634" s="22" t="n"/>
      <c r="D634" s="22" t="n"/>
      <c r="E634" s="22" t="n"/>
    </row>
    <row r="635" ht="15.75" customHeight="1" s="169">
      <c r="A635" s="22" t="n"/>
      <c r="B635" s="22" t="n"/>
      <c r="C635" s="22" t="n"/>
      <c r="D635" s="22" t="n"/>
      <c r="E635" s="22" t="n"/>
    </row>
    <row r="636" ht="15.75" customHeight="1" s="169">
      <c r="A636" s="22" t="n"/>
      <c r="B636" s="22" t="n"/>
      <c r="C636" s="22" t="n"/>
      <c r="D636" s="22" t="n"/>
      <c r="E636" s="22" t="n"/>
    </row>
    <row r="637" ht="15.75" customHeight="1" s="169">
      <c r="A637" s="22" t="n"/>
      <c r="B637" s="22" t="n"/>
      <c r="C637" s="22" t="n"/>
      <c r="D637" s="22" t="n"/>
      <c r="E637" s="22" t="n"/>
    </row>
    <row r="638" ht="15.75" customHeight="1" s="169">
      <c r="A638" s="22" t="n"/>
      <c r="B638" s="22" t="n"/>
      <c r="C638" s="22" t="n"/>
      <c r="D638" s="22" t="n"/>
      <c r="E638" s="22" t="n"/>
    </row>
    <row r="639" ht="15.75" customHeight="1" s="169">
      <c r="A639" s="22" t="n"/>
      <c r="B639" s="22" t="n"/>
      <c r="C639" s="22" t="n"/>
      <c r="D639" s="22" t="n"/>
      <c r="E639" s="22" t="n"/>
    </row>
    <row r="640" ht="15.75" customHeight="1" s="169">
      <c r="A640" s="22" t="n"/>
      <c r="B640" s="22" t="n"/>
      <c r="C640" s="22" t="n"/>
      <c r="D640" s="22" t="n"/>
      <c r="E640" s="22" t="n"/>
    </row>
    <row r="641" ht="15.75" customHeight="1" s="169">
      <c r="A641" s="22" t="n"/>
      <c r="B641" s="22" t="n"/>
      <c r="C641" s="22" t="n"/>
      <c r="D641" s="22" t="n"/>
      <c r="E641" s="22" t="n"/>
    </row>
    <row r="642" ht="15.75" customHeight="1" s="169">
      <c r="A642" s="22" t="n"/>
      <c r="B642" s="22" t="n"/>
      <c r="C642" s="22" t="n"/>
      <c r="D642" s="22" t="n"/>
      <c r="E642" s="22" t="n"/>
    </row>
    <row r="643" ht="15.75" customHeight="1" s="169">
      <c r="A643" s="22" t="n"/>
      <c r="B643" s="22" t="n"/>
      <c r="C643" s="22" t="n"/>
      <c r="D643" s="22" t="n"/>
      <c r="E643" s="22" t="n"/>
    </row>
    <row r="644" ht="15.75" customHeight="1" s="169">
      <c r="A644" s="22" t="n"/>
      <c r="B644" s="22" t="n"/>
      <c r="C644" s="22" t="n"/>
      <c r="D644" s="22" t="n"/>
      <c r="E644" s="22" t="n"/>
    </row>
    <row r="645" ht="15.75" customHeight="1" s="169">
      <c r="A645" s="22" t="n"/>
      <c r="B645" s="22" t="n"/>
      <c r="C645" s="22" t="n"/>
      <c r="D645" s="22" t="n"/>
      <c r="E645" s="22" t="n"/>
    </row>
    <row r="646" ht="15.75" customHeight="1" s="169">
      <c r="A646" s="22" t="n"/>
      <c r="B646" s="22" t="n"/>
      <c r="C646" s="22" t="n"/>
      <c r="D646" s="22" t="n"/>
      <c r="E646" s="22" t="n"/>
    </row>
    <row r="647" ht="15.75" customHeight="1" s="169">
      <c r="A647" s="22" t="n"/>
      <c r="B647" s="22" t="n"/>
      <c r="C647" s="22" t="n"/>
      <c r="D647" s="22" t="n"/>
      <c r="E647" s="22" t="n"/>
    </row>
    <row r="648" ht="15.75" customHeight="1" s="169">
      <c r="A648" s="22" t="n"/>
      <c r="B648" s="22" t="n"/>
      <c r="C648" s="22" t="n"/>
      <c r="D648" s="22" t="n"/>
      <c r="E648" s="22" t="n"/>
    </row>
    <row r="649" ht="15.75" customHeight="1" s="169">
      <c r="A649" s="22" t="n"/>
      <c r="B649" s="22" t="n"/>
      <c r="C649" s="22" t="n"/>
      <c r="D649" s="22" t="n"/>
      <c r="E649" s="22" t="n"/>
    </row>
    <row r="650" ht="15.75" customHeight="1" s="169">
      <c r="A650" s="22" t="n"/>
      <c r="B650" s="22" t="n"/>
      <c r="C650" s="22" t="n"/>
      <c r="D650" s="22" t="n"/>
      <c r="E650" s="22" t="n"/>
    </row>
    <row r="651" ht="15.75" customHeight="1" s="169">
      <c r="A651" s="22" t="n"/>
      <c r="B651" s="22" t="n"/>
      <c r="C651" s="22" t="n"/>
      <c r="D651" s="22" t="n"/>
      <c r="E651" s="22" t="n"/>
    </row>
    <row r="652" ht="15.75" customHeight="1" s="169">
      <c r="A652" s="13" t="n"/>
      <c r="B652" s="13" t="n"/>
      <c r="C652" s="13" t="n"/>
      <c r="D652" s="13" t="n"/>
      <c r="E652" s="13" t="n"/>
    </row>
    <row r="653" ht="15.75" customHeight="1" s="169">
      <c r="A653" s="13" t="n"/>
      <c r="B653" s="13" t="n"/>
      <c r="C653" s="13" t="n"/>
      <c r="D653" s="13" t="n"/>
      <c r="E653" s="13" t="n"/>
    </row>
    <row r="654" ht="15.75" customHeight="1" s="169">
      <c r="A654" s="13" t="n"/>
      <c r="B654" s="13" t="n"/>
      <c r="C654" s="13" t="n"/>
      <c r="D654" s="13" t="n"/>
      <c r="E654" s="13" t="n"/>
    </row>
    <row r="655" ht="15.75" customHeight="1" s="169">
      <c r="A655" s="13" t="n"/>
      <c r="B655" s="13" t="n"/>
      <c r="C655" s="13" t="n"/>
      <c r="D655" s="13" t="n"/>
      <c r="E655" s="13" t="n"/>
    </row>
    <row r="656" ht="15.75" customHeight="1" s="169">
      <c r="A656" s="13" t="n"/>
      <c r="B656" s="13" t="n"/>
      <c r="C656" s="13" t="n"/>
      <c r="D656" s="13" t="n"/>
      <c r="E656" s="13" t="n"/>
    </row>
    <row r="657" ht="15.75" customHeight="1" s="169">
      <c r="A657" s="13" t="n"/>
      <c r="B657" s="13" t="n"/>
      <c r="C657" s="13" t="n"/>
      <c r="D657" s="13" t="n"/>
      <c r="E657" s="13" t="n"/>
    </row>
    <row r="658" ht="15.75" customHeight="1" s="169">
      <c r="A658" s="13" t="n"/>
      <c r="B658" s="13" t="n"/>
      <c r="C658" s="13" t="n"/>
      <c r="D658" s="13" t="n"/>
      <c r="E658" s="13" t="n"/>
    </row>
    <row r="659" ht="15.75" customHeight="1" s="169">
      <c r="A659" s="13" t="n"/>
      <c r="B659" s="13" t="n"/>
      <c r="C659" s="13" t="n"/>
      <c r="D659" s="13" t="n"/>
      <c r="E659" s="13" t="n"/>
    </row>
    <row r="660" ht="15.75" customHeight="1" s="169">
      <c r="A660" s="13" t="n"/>
      <c r="B660" s="13" t="n"/>
      <c r="C660" s="13" t="n"/>
      <c r="D660" s="13" t="n"/>
      <c r="E660" s="13" t="n"/>
    </row>
    <row r="661" ht="15.75" customHeight="1" s="169">
      <c r="A661" s="13" t="n"/>
      <c r="B661" s="13" t="n"/>
      <c r="C661" s="13" t="n"/>
      <c r="D661" s="13" t="n"/>
      <c r="E661" s="13" t="n"/>
    </row>
    <row r="662" ht="15.75" customHeight="1" s="169">
      <c r="A662" s="13" t="n"/>
      <c r="B662" s="13" t="n"/>
      <c r="C662" s="13" t="n"/>
      <c r="D662" s="13" t="n"/>
      <c r="E662" s="13" t="n"/>
    </row>
    <row r="663" ht="15.75" customHeight="1" s="169">
      <c r="A663" s="13" t="n"/>
      <c r="B663" s="13" t="n"/>
      <c r="C663" s="13" t="n"/>
      <c r="D663" s="13" t="n"/>
      <c r="E663" s="13" t="n"/>
    </row>
    <row r="664" ht="15.75" customHeight="1" s="169">
      <c r="A664" s="13" t="n"/>
      <c r="B664" s="13" t="n"/>
      <c r="C664" s="13" t="n"/>
      <c r="D664" s="13" t="n"/>
      <c r="E664" s="13" t="n"/>
    </row>
    <row r="665" ht="15.75" customHeight="1" s="169">
      <c r="A665" s="13" t="n"/>
      <c r="B665" s="13" t="n"/>
      <c r="C665" s="13" t="n"/>
      <c r="D665" s="13" t="n"/>
      <c r="E665" s="13" t="n"/>
    </row>
    <row r="666" ht="15.75" customHeight="1" s="169">
      <c r="A666" s="13" t="n"/>
      <c r="B666" s="13" t="n"/>
      <c r="C666" s="13" t="n"/>
      <c r="D666" s="13" t="n"/>
      <c r="E666" s="13" t="n"/>
    </row>
    <row r="667" ht="15.75" customHeight="1" s="169">
      <c r="A667" s="13" t="n"/>
      <c r="B667" s="13" t="n"/>
      <c r="C667" s="13" t="n"/>
      <c r="D667" s="13" t="n"/>
      <c r="E667" s="13" t="n"/>
    </row>
    <row r="668" ht="15.75" customHeight="1" s="169">
      <c r="A668" s="13" t="n"/>
      <c r="B668" s="13" t="n"/>
      <c r="C668" s="13" t="n"/>
      <c r="D668" s="13" t="n"/>
      <c r="E668" s="13" t="n"/>
    </row>
    <row r="669" ht="15.75" customHeight="1" s="169">
      <c r="A669" s="13" t="n"/>
      <c r="B669" s="13" t="n"/>
      <c r="C669" s="13" t="n"/>
      <c r="D669" s="13" t="n"/>
      <c r="E669" s="13" t="n"/>
    </row>
    <row r="670" ht="15.75" customHeight="1" s="169">
      <c r="A670" s="13" t="n"/>
      <c r="B670" s="13" t="n"/>
      <c r="C670" s="13" t="n"/>
      <c r="D670" s="13" t="n"/>
      <c r="E670" s="13" t="n"/>
    </row>
    <row r="671" ht="15.75" customHeight="1" s="169">
      <c r="A671" s="13" t="n"/>
      <c r="B671" s="13" t="n"/>
      <c r="C671" s="13" t="n"/>
      <c r="D671" s="13" t="n"/>
      <c r="E671" s="13" t="n"/>
    </row>
    <row r="672" ht="15.75" customHeight="1" s="169">
      <c r="A672" s="13" t="n"/>
      <c r="B672" s="13" t="n"/>
      <c r="C672" s="13" t="n"/>
      <c r="D672" s="13" t="n"/>
      <c r="E672" s="13" t="n"/>
    </row>
    <row r="673" ht="15.75" customHeight="1" s="169">
      <c r="A673" s="13" t="n"/>
      <c r="B673" s="13" t="n"/>
      <c r="C673" s="13" t="n"/>
      <c r="D673" s="13" t="n"/>
      <c r="E673" s="13" t="n"/>
    </row>
    <row r="674" ht="15.75" customHeight="1" s="169">
      <c r="A674" s="13" t="n"/>
      <c r="B674" s="13" t="n"/>
      <c r="C674" s="13" t="n"/>
      <c r="D674" s="13" t="n"/>
      <c r="E674" s="13" t="n"/>
    </row>
    <row r="675" ht="15.75" customHeight="1" s="169">
      <c r="A675" s="13" t="n"/>
      <c r="B675" s="13" t="n"/>
      <c r="C675" s="13" t="n"/>
      <c r="D675" s="13" t="n"/>
      <c r="E675" s="13" t="n"/>
    </row>
    <row r="676" ht="15.75" customHeight="1" s="169">
      <c r="A676" s="13" t="n"/>
      <c r="B676" s="13" t="n"/>
      <c r="C676" s="13" t="n"/>
      <c r="D676" s="13" t="n"/>
      <c r="E676" s="13" t="n"/>
    </row>
    <row r="677" ht="15.75" customHeight="1" s="169">
      <c r="A677" s="13" t="n"/>
      <c r="B677" s="13" t="n"/>
      <c r="C677" s="13" t="n"/>
      <c r="D677" s="13" t="n"/>
      <c r="E677" s="13" t="n"/>
    </row>
    <row r="678" ht="15.75" customHeight="1" s="169">
      <c r="A678" s="13" t="n"/>
      <c r="B678" s="13" t="n"/>
      <c r="C678" s="13" t="n"/>
      <c r="D678" s="13" t="n"/>
      <c r="E678" s="13" t="n"/>
    </row>
    <row r="679" ht="15.75" customHeight="1" s="169">
      <c r="A679" s="13" t="n"/>
      <c r="B679" s="13" t="n"/>
      <c r="C679" s="13" t="n"/>
      <c r="D679" s="13" t="n"/>
      <c r="E679" s="13" t="n"/>
    </row>
    <row r="680" ht="15.75" customHeight="1" s="169">
      <c r="A680" s="13" t="n"/>
      <c r="B680" s="13" t="n"/>
      <c r="C680" s="13" t="n"/>
      <c r="D680" s="13" t="n"/>
      <c r="E680" s="13" t="n"/>
    </row>
    <row r="681" ht="15.75" customHeight="1" s="169">
      <c r="A681" s="13" t="n"/>
      <c r="B681" s="13" t="n"/>
      <c r="C681" s="13" t="n"/>
      <c r="D681" s="13" t="n"/>
      <c r="E681" s="13" t="n"/>
    </row>
    <row r="682" ht="15.75" customHeight="1" s="169">
      <c r="A682" s="13" t="n"/>
      <c r="B682" s="13" t="n"/>
      <c r="C682" s="13" t="n"/>
      <c r="D682" s="13" t="n"/>
      <c r="E682" s="13" t="n"/>
    </row>
    <row r="683" ht="15.75" customHeight="1" s="169">
      <c r="A683" s="13" t="n"/>
      <c r="B683" s="13" t="n"/>
      <c r="C683" s="13" t="n"/>
      <c r="D683" s="13" t="n"/>
      <c r="E683" s="13" t="n"/>
    </row>
    <row r="684" ht="15.75" customHeight="1" s="169">
      <c r="A684" s="13" t="n"/>
      <c r="B684" s="13" t="n"/>
      <c r="C684" s="13" t="n"/>
      <c r="D684" s="13" t="n"/>
      <c r="E684" s="13" t="n"/>
    </row>
    <row r="685" ht="15.75" customHeight="1" s="169">
      <c r="A685" s="13" t="n"/>
      <c r="B685" s="13" t="n"/>
      <c r="C685" s="13" t="n"/>
      <c r="D685" s="13" t="n"/>
      <c r="E685" s="13" t="n"/>
    </row>
    <row r="686" ht="15.75" customHeight="1" s="169">
      <c r="A686" s="13" t="n"/>
      <c r="B686" s="13" t="n"/>
      <c r="C686" s="13" t="n"/>
      <c r="D686" s="13" t="n"/>
      <c r="E686" s="13" t="n"/>
    </row>
    <row r="687" ht="15.75" customHeight="1" s="169">
      <c r="A687" s="13" t="n"/>
      <c r="B687" s="13" t="n"/>
      <c r="C687" s="13" t="n"/>
      <c r="D687" s="13" t="n"/>
      <c r="E687" s="13" t="n"/>
    </row>
    <row r="688" ht="15.75" customHeight="1" s="169">
      <c r="A688" s="13" t="n"/>
      <c r="B688" s="13" t="n"/>
      <c r="C688" s="13" t="n"/>
      <c r="D688" s="13" t="n"/>
      <c r="E688" s="13" t="n"/>
    </row>
    <row r="689" ht="15.75" customHeight="1" s="169">
      <c r="A689" s="13" t="n"/>
      <c r="B689" s="13" t="n"/>
      <c r="C689" s="13" t="n"/>
      <c r="D689" s="13" t="n"/>
      <c r="E689" s="13" t="n"/>
    </row>
    <row r="690" ht="15.75" customHeight="1" s="169">
      <c r="A690" s="13" t="n"/>
      <c r="B690" s="13" t="n"/>
      <c r="C690" s="13" t="n"/>
      <c r="D690" s="13" t="n"/>
      <c r="E690" s="13" t="n"/>
    </row>
    <row r="691" ht="15.75" customHeight="1" s="169">
      <c r="A691" s="13" t="n"/>
      <c r="B691" s="13" t="n"/>
      <c r="C691" s="13" t="n"/>
      <c r="D691" s="13" t="n"/>
      <c r="E691" s="13" t="n"/>
    </row>
    <row r="692" ht="15.75" customHeight="1" s="169">
      <c r="A692" s="13" t="n"/>
      <c r="B692" s="13" t="n"/>
      <c r="C692" s="13" t="n"/>
      <c r="D692" s="13" t="n"/>
      <c r="E692" s="13" t="n"/>
    </row>
    <row r="693" ht="15.75" customHeight="1" s="169">
      <c r="A693" s="13" t="n"/>
      <c r="B693" s="13" t="n"/>
      <c r="C693" s="13" t="n"/>
      <c r="D693" s="13" t="n"/>
      <c r="E693" s="13" t="n"/>
    </row>
    <row r="694" ht="15.75" customHeight="1" s="169">
      <c r="A694" s="13" t="n"/>
      <c r="B694" s="13" t="n"/>
      <c r="C694" s="13" t="n"/>
      <c r="D694" s="13" t="n"/>
      <c r="E694" s="13" t="n"/>
    </row>
    <row r="695" ht="15.75" customHeight="1" s="169">
      <c r="A695" s="13" t="n"/>
      <c r="B695" s="13" t="n"/>
      <c r="C695" s="13" t="n"/>
      <c r="D695" s="13" t="n"/>
      <c r="E695" s="13" t="n"/>
    </row>
    <row r="696" ht="15.75" customHeight="1" s="169">
      <c r="A696" s="13" t="n"/>
      <c r="B696" s="13" t="n"/>
      <c r="C696" s="13" t="n"/>
      <c r="D696" s="13" t="n"/>
      <c r="E696" s="13" t="n"/>
    </row>
    <row r="697" ht="15.75" customHeight="1" s="169">
      <c r="A697" s="13" t="n"/>
      <c r="B697" s="13" t="n"/>
      <c r="C697" s="13" t="n"/>
      <c r="D697" s="13" t="n"/>
      <c r="E697" s="13" t="n"/>
    </row>
    <row r="698" ht="15.75" customHeight="1" s="169">
      <c r="A698" s="13" t="n"/>
      <c r="B698" s="13" t="n"/>
      <c r="C698" s="13" t="n"/>
      <c r="D698" s="13" t="n"/>
      <c r="E698" s="13" t="n"/>
    </row>
    <row r="699" ht="15.75" customHeight="1" s="169">
      <c r="A699" s="13" t="n"/>
      <c r="B699" s="13" t="n"/>
      <c r="C699" s="13" t="n"/>
      <c r="D699" s="13" t="n"/>
      <c r="E699" s="13" t="n"/>
    </row>
    <row r="700" ht="15.75" customHeight="1" s="169">
      <c r="A700" s="13" t="n"/>
      <c r="B700" s="13" t="n"/>
      <c r="C700" s="13" t="n"/>
      <c r="D700" s="13" t="n"/>
      <c r="E700" s="13" t="n"/>
    </row>
    <row r="701" ht="15.75" customHeight="1" s="169">
      <c r="A701" s="13" t="n"/>
      <c r="B701" s="13" t="n"/>
      <c r="C701" s="13" t="n"/>
      <c r="D701" s="13" t="n"/>
      <c r="E701" s="13" t="n"/>
    </row>
    <row r="702" ht="15.75" customHeight="1" s="169">
      <c r="A702" s="13" t="n"/>
      <c r="B702" s="13" t="n"/>
      <c r="C702" s="13" t="n"/>
      <c r="D702" s="13" t="n"/>
      <c r="E702" s="13" t="n"/>
    </row>
    <row r="703" ht="15.75" customHeight="1" s="169">
      <c r="A703" s="13" t="n"/>
      <c r="B703" s="13" t="n"/>
      <c r="C703" s="13" t="n"/>
      <c r="D703" s="13" t="n"/>
      <c r="E703" s="13" t="n"/>
    </row>
    <row r="704" ht="15.75" customHeight="1" s="169">
      <c r="A704" s="13" t="n"/>
      <c r="B704" s="13" t="n"/>
      <c r="C704" s="13" t="n"/>
      <c r="D704" s="13" t="n"/>
      <c r="E704" s="13" t="n"/>
    </row>
    <row r="705" ht="15.75" customHeight="1" s="169">
      <c r="A705" s="13" t="n"/>
      <c r="B705" s="13" t="n"/>
      <c r="C705" s="13" t="n"/>
      <c r="D705" s="13" t="n"/>
      <c r="E705" s="13" t="n"/>
    </row>
    <row r="706" ht="15.75" customHeight="1" s="169">
      <c r="A706" s="13" t="n"/>
      <c r="B706" s="13" t="n"/>
      <c r="C706" s="13" t="n"/>
      <c r="D706" s="13" t="n"/>
      <c r="E706" s="13" t="n"/>
    </row>
    <row r="707" ht="15.75" customHeight="1" s="169">
      <c r="A707" s="13" t="n"/>
      <c r="B707" s="13" t="n"/>
      <c r="C707" s="13" t="n"/>
      <c r="D707" s="13" t="n"/>
      <c r="E707" s="13" t="n"/>
    </row>
    <row r="708" ht="15.75" customHeight="1" s="169">
      <c r="A708" s="13" t="n"/>
      <c r="B708" s="13" t="n"/>
      <c r="C708" s="13" t="n"/>
      <c r="D708" s="13" t="n"/>
      <c r="E708" s="13" t="n"/>
    </row>
    <row r="709" ht="15.75" customHeight="1" s="169">
      <c r="A709" s="13" t="n"/>
      <c r="B709" s="13" t="n"/>
      <c r="C709" s="13" t="n"/>
      <c r="D709" s="13" t="n"/>
      <c r="E709" s="13" t="n"/>
    </row>
    <row r="710" ht="15.75" customHeight="1" s="169">
      <c r="A710" s="13" t="n"/>
      <c r="B710" s="13" t="n"/>
      <c r="C710" s="13" t="n"/>
      <c r="D710" s="13" t="n"/>
      <c r="E710" s="13" t="n"/>
    </row>
    <row r="711" ht="15.75" customHeight="1" s="169">
      <c r="A711" s="13" t="n"/>
      <c r="B711" s="13" t="n"/>
      <c r="C711" s="13" t="n"/>
      <c r="D711" s="13" t="n"/>
      <c r="E711" s="13" t="n"/>
    </row>
    <row r="712" ht="15.75" customHeight="1" s="169">
      <c r="A712" s="13" t="n"/>
      <c r="B712" s="13" t="n"/>
      <c r="C712" s="13" t="n"/>
      <c r="D712" s="13" t="n"/>
      <c r="E712" s="13" t="n"/>
    </row>
    <row r="713" ht="15.75" customHeight="1" s="169">
      <c r="A713" s="13" t="n"/>
      <c r="B713" s="13" t="n"/>
      <c r="C713" s="13" t="n"/>
      <c r="D713" s="13" t="n"/>
      <c r="E713" s="13" t="n"/>
    </row>
    <row r="714" ht="15.75" customHeight="1" s="169">
      <c r="A714" s="13" t="n"/>
      <c r="B714" s="13" t="n"/>
      <c r="C714" s="13" t="n"/>
      <c r="D714" s="13" t="n"/>
      <c r="E714" s="13" t="n"/>
    </row>
    <row r="715" ht="15.75" customHeight="1" s="169">
      <c r="A715" s="13" t="n"/>
      <c r="B715" s="13" t="n"/>
      <c r="C715" s="13" t="n"/>
      <c r="D715" s="13" t="n"/>
      <c r="E715" s="13" t="n"/>
    </row>
    <row r="716" ht="15.75" customHeight="1" s="169">
      <c r="A716" s="13" t="n"/>
      <c r="B716" s="13" t="n"/>
      <c r="C716" s="13" t="n"/>
      <c r="D716" s="13" t="n"/>
      <c r="E716" s="13" t="n"/>
    </row>
    <row r="717" ht="15.75" customHeight="1" s="169">
      <c r="A717" s="13" t="n"/>
      <c r="B717" s="13" t="n"/>
      <c r="C717" s="13" t="n"/>
      <c r="D717" s="13" t="n"/>
      <c r="E717" s="13" t="n"/>
    </row>
    <row r="718" ht="15.75" customHeight="1" s="169">
      <c r="A718" s="13" t="n"/>
      <c r="B718" s="13" t="n"/>
      <c r="C718" s="13" t="n"/>
      <c r="D718" s="13" t="n"/>
      <c r="E718" s="13" t="n"/>
    </row>
    <row r="719" ht="15.75" customHeight="1" s="169">
      <c r="A719" s="13" t="n"/>
      <c r="B719" s="13" t="n"/>
      <c r="C719" s="13" t="n"/>
      <c r="D719" s="13" t="n"/>
      <c r="E719" s="13" t="n"/>
    </row>
    <row r="720" ht="15.75" customHeight="1" s="169">
      <c r="A720" s="13" t="n"/>
      <c r="B720" s="13" t="n"/>
      <c r="C720" s="13" t="n"/>
      <c r="D720" s="13" t="n"/>
      <c r="E720" s="13" t="n"/>
    </row>
    <row r="721" ht="15.75" customHeight="1" s="169">
      <c r="A721" s="13" t="n"/>
      <c r="B721" s="13" t="n"/>
      <c r="C721" s="13" t="n"/>
      <c r="D721" s="13" t="n"/>
      <c r="E721" s="13" t="n"/>
    </row>
    <row r="722" ht="15.75" customHeight="1" s="169">
      <c r="A722" s="13" t="n"/>
      <c r="B722" s="13" t="n"/>
      <c r="C722" s="13" t="n"/>
      <c r="D722" s="13" t="n"/>
      <c r="E722" s="13" t="n"/>
    </row>
    <row r="723" ht="15.75" customHeight="1" s="169">
      <c r="A723" s="13" t="n"/>
      <c r="B723" s="13" t="n"/>
      <c r="C723" s="13" t="n"/>
      <c r="D723" s="13" t="n"/>
      <c r="E723" s="13" t="n"/>
    </row>
    <row r="724" ht="15.75" customHeight="1" s="169">
      <c r="A724" s="13" t="n"/>
      <c r="B724" s="13" t="n"/>
      <c r="C724" s="13" t="n"/>
      <c r="D724" s="13" t="n"/>
      <c r="E724" s="13" t="n"/>
    </row>
    <row r="725" ht="15.75" customHeight="1" s="169">
      <c r="A725" s="13" t="n"/>
      <c r="B725" s="13" t="n"/>
      <c r="C725" s="13" t="n"/>
      <c r="D725" s="13" t="n"/>
      <c r="E725" s="13" t="n"/>
    </row>
    <row r="726" ht="15.75" customHeight="1" s="169">
      <c r="A726" s="13" t="n"/>
      <c r="B726" s="13" t="n"/>
      <c r="C726" s="13" t="n"/>
      <c r="D726" s="13" t="n"/>
      <c r="E726" s="13" t="n"/>
    </row>
    <row r="727" ht="15.75" customHeight="1" s="169">
      <c r="A727" s="13" t="n"/>
      <c r="B727" s="13" t="n"/>
      <c r="C727" s="13" t="n"/>
      <c r="D727" s="13" t="n"/>
      <c r="E727" s="13" t="n"/>
    </row>
    <row r="728" ht="15.75" customHeight="1" s="169">
      <c r="A728" s="13" t="n"/>
      <c r="B728" s="13" t="n"/>
      <c r="C728" s="13" t="n"/>
      <c r="D728" s="13" t="n"/>
      <c r="E728" s="13" t="n"/>
    </row>
    <row r="729" ht="15.75" customHeight="1" s="169">
      <c r="A729" s="13" t="n"/>
      <c r="B729" s="13" t="n"/>
      <c r="C729" s="13" t="n"/>
      <c r="D729" s="13" t="n"/>
      <c r="E729" s="13" t="n"/>
    </row>
    <row r="730" ht="15.75" customHeight="1" s="169">
      <c r="A730" s="13" t="n"/>
      <c r="B730" s="13" t="n"/>
      <c r="C730" s="13" t="n"/>
      <c r="D730" s="13" t="n"/>
      <c r="E730" s="13" t="n"/>
    </row>
    <row r="731" ht="15.75" customHeight="1" s="169">
      <c r="A731" s="13" t="n"/>
      <c r="B731" s="13" t="n"/>
      <c r="C731" s="13" t="n"/>
      <c r="D731" s="13" t="n"/>
      <c r="E731" s="13" t="n"/>
    </row>
    <row r="732" ht="15.75" customHeight="1" s="169">
      <c r="A732" s="13" t="n"/>
      <c r="B732" s="13" t="n"/>
      <c r="C732" s="13" t="n"/>
      <c r="D732" s="13" t="n"/>
      <c r="E732" s="13" t="n"/>
    </row>
    <row r="733" ht="15.75" customHeight="1" s="169">
      <c r="A733" s="13" t="n"/>
      <c r="B733" s="13" t="n"/>
      <c r="C733" s="13" t="n"/>
      <c r="D733" s="13" t="n"/>
      <c r="E733" s="13" t="n"/>
    </row>
    <row r="734" ht="15.75" customHeight="1" s="169">
      <c r="A734" s="13" t="n"/>
      <c r="B734" s="13" t="n"/>
      <c r="C734" s="13" t="n"/>
      <c r="D734" s="13" t="n"/>
      <c r="E734" s="13" t="n"/>
    </row>
    <row r="735" ht="15.75" customHeight="1" s="169">
      <c r="A735" s="13" t="n"/>
      <c r="B735" s="13" t="n"/>
      <c r="C735" s="13" t="n"/>
      <c r="D735" s="13" t="n"/>
      <c r="E735" s="13" t="n"/>
    </row>
    <row r="736" ht="15.75" customHeight="1" s="169">
      <c r="A736" s="13" t="n"/>
      <c r="B736" s="13" t="n"/>
      <c r="C736" s="13" t="n"/>
      <c r="D736" s="13" t="n"/>
      <c r="E736" s="13" t="n"/>
    </row>
    <row r="737" ht="15.75" customHeight="1" s="169">
      <c r="A737" s="13" t="n"/>
      <c r="B737" s="13" t="n"/>
      <c r="C737" s="13" t="n"/>
      <c r="D737" s="13" t="n"/>
      <c r="E737" s="13" t="n"/>
    </row>
    <row r="738" ht="15.75" customHeight="1" s="169">
      <c r="A738" s="13" t="n"/>
      <c r="B738" s="13" t="n"/>
      <c r="C738" s="13" t="n"/>
      <c r="D738" s="13" t="n"/>
      <c r="E738" s="13" t="n"/>
    </row>
    <row r="739" ht="15.75" customHeight="1" s="169">
      <c r="A739" s="13" t="n"/>
      <c r="B739" s="13" t="n"/>
      <c r="C739" s="13" t="n"/>
      <c r="D739" s="13" t="n"/>
      <c r="E739" s="13" t="n"/>
    </row>
    <row r="740" ht="15.75" customHeight="1" s="169">
      <c r="A740" s="13" t="n"/>
      <c r="B740" s="13" t="n"/>
      <c r="C740" s="13" t="n"/>
      <c r="D740" s="13" t="n"/>
      <c r="E740" s="13" t="n"/>
    </row>
    <row r="741" ht="15.75" customHeight="1" s="169">
      <c r="A741" s="13" t="n"/>
      <c r="B741" s="13" t="n"/>
      <c r="C741" s="13" t="n"/>
      <c r="D741" s="13" t="n"/>
      <c r="E741" s="13" t="n"/>
    </row>
    <row r="742" ht="15.75" customHeight="1" s="169">
      <c r="A742" s="13" t="n"/>
      <c r="B742" s="13" t="n"/>
      <c r="C742" s="13" t="n"/>
      <c r="D742" s="13" t="n"/>
      <c r="E742" s="13" t="n"/>
    </row>
    <row r="743" ht="15.75" customHeight="1" s="169">
      <c r="A743" s="13" t="n"/>
      <c r="B743" s="13" t="n"/>
      <c r="C743" s="13" t="n"/>
      <c r="D743" s="13" t="n"/>
      <c r="E743" s="13" t="n"/>
    </row>
    <row r="744" ht="15.75" customHeight="1" s="169">
      <c r="A744" s="13" t="n"/>
      <c r="B744" s="13" t="n"/>
      <c r="C744" s="13" t="n"/>
      <c r="D744" s="13" t="n"/>
      <c r="E744" s="13" t="n"/>
    </row>
    <row r="745" ht="15.75" customHeight="1" s="169">
      <c r="A745" s="13" t="n"/>
      <c r="B745" s="13" t="n"/>
      <c r="C745" s="13" t="n"/>
      <c r="D745" s="13" t="n"/>
      <c r="E745" s="13" t="n"/>
    </row>
    <row r="746" ht="15.75" customHeight="1" s="169">
      <c r="A746" s="13" t="n"/>
      <c r="B746" s="13" t="n"/>
      <c r="C746" s="13" t="n"/>
      <c r="D746" s="13" t="n"/>
      <c r="E746" s="13" t="n"/>
    </row>
    <row r="747" ht="15.75" customHeight="1" s="169">
      <c r="A747" s="13" t="n"/>
      <c r="B747" s="13" t="n"/>
      <c r="C747" s="13" t="n"/>
      <c r="D747" s="13" t="n"/>
      <c r="E747" s="13" t="n"/>
    </row>
    <row r="748" ht="15.75" customHeight="1" s="169">
      <c r="A748" s="13" t="n"/>
      <c r="B748" s="13" t="n"/>
      <c r="C748" s="13" t="n"/>
      <c r="D748" s="13" t="n"/>
      <c r="E748" s="13" t="n"/>
    </row>
    <row r="749" ht="15.75" customHeight="1" s="169">
      <c r="A749" s="13" t="n"/>
      <c r="B749" s="13" t="n"/>
      <c r="C749" s="13" t="n"/>
      <c r="D749" s="13" t="n"/>
      <c r="E749" s="13" t="n"/>
    </row>
    <row r="750" ht="15.75" customHeight="1" s="169">
      <c r="A750" s="13" t="n"/>
      <c r="B750" s="13" t="n"/>
      <c r="C750" s="13" t="n"/>
      <c r="D750" s="13" t="n"/>
      <c r="E750" s="13" t="n"/>
    </row>
    <row r="751" ht="15.75" customHeight="1" s="169">
      <c r="A751" s="13" t="n"/>
      <c r="B751" s="13" t="n"/>
      <c r="C751" s="13" t="n"/>
      <c r="D751" s="13" t="n"/>
      <c r="E751" s="13" t="n"/>
    </row>
    <row r="752" ht="15.75" customHeight="1" s="169">
      <c r="A752" s="13" t="n"/>
      <c r="B752" s="13" t="n"/>
      <c r="C752" s="13" t="n"/>
      <c r="D752" s="13" t="n"/>
      <c r="E752" s="13" t="n"/>
    </row>
    <row r="753" ht="15.75" customHeight="1" s="169">
      <c r="A753" s="13" t="n"/>
      <c r="B753" s="13" t="n"/>
      <c r="C753" s="13" t="n"/>
      <c r="D753" s="13" t="n"/>
      <c r="E753" s="13" t="n"/>
    </row>
    <row r="754" ht="15.75" customHeight="1" s="169">
      <c r="A754" s="13" t="n"/>
      <c r="B754" s="13" t="n"/>
      <c r="C754" s="13" t="n"/>
      <c r="D754" s="13" t="n"/>
      <c r="E754" s="13" t="n"/>
    </row>
    <row r="755" ht="15.75" customHeight="1" s="169">
      <c r="A755" s="13" t="n"/>
      <c r="B755" s="13" t="n"/>
      <c r="C755" s="13" t="n"/>
      <c r="D755" s="13" t="n"/>
      <c r="E755" s="13" t="n"/>
    </row>
    <row r="756" ht="15.75" customHeight="1" s="169">
      <c r="A756" s="13" t="n"/>
      <c r="B756" s="13" t="n"/>
      <c r="C756" s="13" t="n"/>
      <c r="D756" s="13" t="n"/>
      <c r="E756" s="13" t="n"/>
    </row>
    <row r="757" ht="15.75" customHeight="1" s="169">
      <c r="A757" s="13" t="n"/>
      <c r="B757" s="13" t="n"/>
      <c r="C757" s="13" t="n"/>
      <c r="D757" s="13" t="n"/>
      <c r="E757" s="13" t="n"/>
    </row>
    <row r="758" ht="15.75" customHeight="1" s="169">
      <c r="A758" s="13" t="n"/>
      <c r="B758" s="13" t="n"/>
      <c r="C758" s="13" t="n"/>
      <c r="D758" s="13" t="n"/>
      <c r="E758" s="13" t="n"/>
    </row>
    <row r="759" ht="15.75" customHeight="1" s="169">
      <c r="A759" s="13" t="n"/>
      <c r="B759" s="13" t="n"/>
      <c r="C759" s="13" t="n"/>
      <c r="D759" s="13" t="n"/>
      <c r="E759" s="13" t="n"/>
    </row>
    <row r="760" ht="15.75" customHeight="1" s="169">
      <c r="A760" s="13" t="n"/>
      <c r="B760" s="13" t="n"/>
      <c r="C760" s="13" t="n"/>
      <c r="D760" s="13" t="n"/>
      <c r="E760" s="13" t="n"/>
    </row>
    <row r="761" ht="15.75" customHeight="1" s="169">
      <c r="A761" s="13" t="n"/>
      <c r="B761" s="13" t="n"/>
      <c r="C761" s="13" t="n"/>
      <c r="D761" s="13" t="n"/>
      <c r="E761" s="13" t="n"/>
    </row>
    <row r="762" ht="15.75" customHeight="1" s="169">
      <c r="A762" s="13" t="n"/>
      <c r="B762" s="13" t="n"/>
      <c r="C762" s="13" t="n"/>
      <c r="D762" s="13" t="n"/>
      <c r="E762" s="13" t="n"/>
    </row>
    <row r="763" ht="15.75" customHeight="1" s="169">
      <c r="A763" s="13" t="n"/>
      <c r="B763" s="13" t="n"/>
      <c r="C763" s="13" t="n"/>
      <c r="D763" s="13" t="n"/>
      <c r="E763" s="13" t="n"/>
    </row>
    <row r="764" ht="15.75" customHeight="1" s="169">
      <c r="A764" s="13" t="n"/>
      <c r="B764" s="13" t="n"/>
      <c r="C764" s="13" t="n"/>
      <c r="D764" s="13" t="n"/>
      <c r="E764" s="13" t="n"/>
    </row>
    <row r="765" ht="15.75" customHeight="1" s="169">
      <c r="A765" s="13" t="n"/>
      <c r="B765" s="13" t="n"/>
      <c r="C765" s="13" t="n"/>
      <c r="D765" s="13" t="n"/>
      <c r="E765" s="13" t="n"/>
    </row>
    <row r="766" ht="15.75" customHeight="1" s="169">
      <c r="A766" s="13" t="n"/>
      <c r="B766" s="13" t="n"/>
      <c r="C766" s="13" t="n"/>
      <c r="D766" s="13" t="n"/>
      <c r="E766" s="13" t="n"/>
    </row>
    <row r="767" ht="15.75" customHeight="1" s="169">
      <c r="A767" s="13" t="n"/>
      <c r="B767" s="13" t="n"/>
      <c r="C767" s="13" t="n"/>
      <c r="D767" s="13" t="n"/>
      <c r="E767" s="13" t="n"/>
    </row>
    <row r="768" ht="15.75" customHeight="1" s="169">
      <c r="A768" s="13" t="n"/>
      <c r="B768" s="13" t="n"/>
      <c r="C768" s="13" t="n"/>
      <c r="D768" s="13" t="n"/>
      <c r="E768" s="13" t="n"/>
    </row>
    <row r="769" ht="15.75" customHeight="1" s="169">
      <c r="A769" s="13" t="n"/>
      <c r="B769" s="13" t="n"/>
      <c r="C769" s="13" t="n"/>
      <c r="D769" s="13" t="n"/>
      <c r="E769" s="13" t="n"/>
    </row>
    <row r="770" ht="15.75" customHeight="1" s="169">
      <c r="A770" s="13" t="n"/>
      <c r="B770" s="13" t="n"/>
      <c r="C770" s="13" t="n"/>
      <c r="D770" s="13" t="n"/>
      <c r="E770" s="13" t="n"/>
    </row>
    <row r="771" ht="15.75" customHeight="1" s="169">
      <c r="A771" s="13" t="n"/>
      <c r="B771" s="13" t="n"/>
      <c r="C771" s="13" t="n"/>
      <c r="D771" s="13" t="n"/>
      <c r="E771" s="13" t="n"/>
    </row>
    <row r="772" ht="15.75" customHeight="1" s="169">
      <c r="A772" s="13" t="n"/>
      <c r="B772" s="13" t="n"/>
      <c r="C772" s="13" t="n"/>
      <c r="D772" s="13" t="n"/>
      <c r="E772" s="13" t="n"/>
    </row>
    <row r="773" ht="15.75" customHeight="1" s="169">
      <c r="A773" s="13" t="n"/>
      <c r="B773" s="13" t="n"/>
      <c r="C773" s="13" t="n"/>
      <c r="D773" s="13" t="n"/>
      <c r="E773" s="13" t="n"/>
    </row>
    <row r="774" ht="15.75" customHeight="1" s="169">
      <c r="A774" s="13" t="n"/>
      <c r="B774" s="13" t="n"/>
      <c r="C774" s="13" t="n"/>
      <c r="D774" s="13" t="n"/>
      <c r="E774" s="13" t="n"/>
    </row>
    <row r="775" ht="15.75" customHeight="1" s="169">
      <c r="A775" s="13" t="n"/>
      <c r="B775" s="13" t="n"/>
      <c r="C775" s="13" t="n"/>
      <c r="D775" s="13" t="n"/>
      <c r="E775" s="13" t="n"/>
    </row>
    <row r="776" ht="15.75" customHeight="1" s="169">
      <c r="A776" s="13" t="n"/>
      <c r="B776" s="13" t="n"/>
      <c r="C776" s="13" t="n"/>
      <c r="D776" s="13" t="n"/>
      <c r="E776" s="13" t="n"/>
    </row>
    <row r="777" ht="15.75" customHeight="1" s="169">
      <c r="A777" s="13" t="n"/>
      <c r="B777" s="13" t="n"/>
      <c r="C777" s="13" t="n"/>
      <c r="D777" s="13" t="n"/>
      <c r="E777" s="13" t="n"/>
    </row>
    <row r="778" ht="15.75" customHeight="1" s="169">
      <c r="A778" s="13" t="n"/>
      <c r="B778" s="13" t="n"/>
      <c r="C778" s="13" t="n"/>
      <c r="D778" s="13" t="n"/>
      <c r="E778" s="13" t="n"/>
    </row>
    <row r="779" ht="15.75" customHeight="1" s="169">
      <c r="A779" s="13" t="n"/>
      <c r="B779" s="13" t="n"/>
      <c r="C779" s="13" t="n"/>
      <c r="D779" s="13" t="n"/>
      <c r="E779" s="13" t="n"/>
    </row>
    <row r="780" ht="15.75" customHeight="1" s="169">
      <c r="A780" s="13" t="n"/>
      <c r="B780" s="13" t="n"/>
      <c r="C780" s="13" t="n"/>
      <c r="D780" s="13" t="n"/>
      <c r="E780" s="13" t="n"/>
    </row>
    <row r="781" ht="15.75" customHeight="1" s="169">
      <c r="A781" s="13" t="n"/>
      <c r="B781" s="13" t="n"/>
      <c r="C781" s="13" t="n"/>
      <c r="D781" s="13" t="n"/>
      <c r="E781" s="13" t="n"/>
    </row>
    <row r="782" ht="15.75" customHeight="1" s="169">
      <c r="A782" s="13" t="n"/>
      <c r="B782" s="13" t="n"/>
      <c r="C782" s="13" t="n"/>
      <c r="D782" s="13" t="n"/>
      <c r="E782" s="13" t="n"/>
    </row>
    <row r="783" ht="15.75" customHeight="1" s="169">
      <c r="A783" s="13" t="n"/>
      <c r="B783" s="13" t="n"/>
      <c r="C783" s="13" t="n"/>
      <c r="D783" s="13" t="n"/>
      <c r="E783" s="13" t="n"/>
    </row>
    <row r="784" ht="15.75" customHeight="1" s="169">
      <c r="A784" s="13" t="n"/>
      <c r="B784" s="13" t="n"/>
      <c r="C784" s="13" t="n"/>
      <c r="D784" s="13" t="n"/>
      <c r="E784" s="13" t="n"/>
    </row>
    <row r="785" ht="15.75" customHeight="1" s="169">
      <c r="A785" s="13" t="n"/>
      <c r="B785" s="13" t="n"/>
      <c r="C785" s="13" t="n"/>
      <c r="D785" s="13" t="n"/>
      <c r="E785" s="13" t="n"/>
    </row>
    <row r="786" ht="15.75" customHeight="1" s="169">
      <c r="A786" s="13" t="n"/>
      <c r="B786" s="13" t="n"/>
      <c r="C786" s="13" t="n"/>
      <c r="D786" s="13" t="n"/>
      <c r="E786" s="13" t="n"/>
    </row>
    <row r="787" ht="15.75" customHeight="1" s="169">
      <c r="A787" s="13" t="n"/>
      <c r="B787" s="13" t="n"/>
      <c r="C787" s="13" t="n"/>
      <c r="D787" s="13" t="n"/>
      <c r="E787" s="13" t="n"/>
    </row>
    <row r="788" ht="15.75" customHeight="1" s="169">
      <c r="A788" s="13" t="n"/>
      <c r="B788" s="13" t="n"/>
      <c r="C788" s="13" t="n"/>
      <c r="D788" s="13" t="n"/>
      <c r="E788" s="13" t="n"/>
    </row>
    <row r="789" ht="15.75" customHeight="1" s="169">
      <c r="A789" s="13" t="n"/>
      <c r="B789" s="13" t="n"/>
      <c r="C789" s="13" t="n"/>
      <c r="D789" s="13" t="n"/>
      <c r="E789" s="13" t="n"/>
    </row>
    <row r="790" ht="15.75" customHeight="1" s="169">
      <c r="A790" s="13" t="n"/>
      <c r="B790" s="13" t="n"/>
      <c r="C790" s="13" t="n"/>
      <c r="D790" s="13" t="n"/>
      <c r="E790" s="13" t="n"/>
    </row>
    <row r="791" ht="15.75" customHeight="1" s="169">
      <c r="A791" s="13" t="n"/>
      <c r="B791" s="13" t="n"/>
      <c r="C791" s="13" t="n"/>
      <c r="D791" s="13" t="n"/>
      <c r="E791" s="13" t="n"/>
    </row>
    <row r="792" ht="15.75" customHeight="1" s="169">
      <c r="A792" s="13" t="n"/>
      <c r="B792" s="13" t="n"/>
      <c r="C792" s="13" t="n"/>
      <c r="D792" s="13" t="n"/>
      <c r="E792" s="13" t="n"/>
    </row>
    <row r="793" ht="15.75" customHeight="1" s="169">
      <c r="A793" s="13" t="n"/>
      <c r="B793" s="13" t="n"/>
      <c r="C793" s="13" t="n"/>
      <c r="D793" s="13" t="n"/>
      <c r="E793" s="13" t="n"/>
    </row>
    <row r="794" ht="15.75" customHeight="1" s="169">
      <c r="A794" s="13" t="n"/>
      <c r="B794" s="13" t="n"/>
      <c r="C794" s="13" t="n"/>
      <c r="D794" s="13" t="n"/>
      <c r="E794" s="13" t="n"/>
    </row>
    <row r="795" ht="15.75" customHeight="1" s="169">
      <c r="A795" s="13" t="n"/>
      <c r="B795" s="13" t="n"/>
      <c r="C795" s="13" t="n"/>
      <c r="D795" s="13" t="n"/>
      <c r="E795" s="13" t="n"/>
    </row>
    <row r="796" ht="15.75" customHeight="1" s="169">
      <c r="A796" s="13" t="n"/>
      <c r="B796" s="13" t="n"/>
      <c r="C796" s="13" t="n"/>
      <c r="D796" s="13" t="n"/>
      <c r="E796" s="13" t="n"/>
    </row>
    <row r="797" ht="15.75" customHeight="1" s="169">
      <c r="A797" s="13" t="n"/>
      <c r="B797" s="13" t="n"/>
      <c r="C797" s="13" t="n"/>
      <c r="D797" s="13" t="n"/>
      <c r="E797" s="13" t="n"/>
    </row>
    <row r="798" ht="15.75" customHeight="1" s="169">
      <c r="A798" s="13" t="n"/>
      <c r="B798" s="13" t="n"/>
      <c r="C798" s="13" t="n"/>
      <c r="D798" s="13" t="n"/>
      <c r="E798" s="13" t="n"/>
    </row>
    <row r="799" ht="15.75" customHeight="1" s="169">
      <c r="A799" s="13" t="n"/>
      <c r="B799" s="13" t="n"/>
      <c r="C799" s="13" t="n"/>
      <c r="D799" s="13" t="n"/>
      <c r="E799" s="13" t="n"/>
    </row>
    <row r="800" ht="15.75" customHeight="1" s="169">
      <c r="A800" s="13" t="n"/>
      <c r="B800" s="13" t="n"/>
      <c r="C800" s="13" t="n"/>
      <c r="D800" s="13" t="n"/>
      <c r="E800" s="13" t="n"/>
    </row>
    <row r="801" ht="15.75" customHeight="1" s="169">
      <c r="A801" s="13" t="n"/>
      <c r="B801" s="13" t="n"/>
      <c r="C801" s="13" t="n"/>
      <c r="D801" s="13" t="n"/>
      <c r="E801" s="13" t="n"/>
    </row>
    <row r="802" ht="15.75" customHeight="1" s="169">
      <c r="A802" s="13" t="n"/>
      <c r="B802" s="13" t="n"/>
      <c r="C802" s="13" t="n"/>
      <c r="D802" s="13" t="n"/>
      <c r="E802" s="13" t="n"/>
    </row>
    <row r="803" ht="15.75" customHeight="1" s="169">
      <c r="A803" s="13" t="n"/>
      <c r="B803" s="13" t="n"/>
      <c r="C803" s="13" t="n"/>
      <c r="D803" s="13" t="n"/>
      <c r="E803" s="13" t="n"/>
    </row>
    <row r="804" ht="15.75" customHeight="1" s="169">
      <c r="A804" s="13" t="n"/>
      <c r="B804" s="13" t="n"/>
      <c r="C804" s="13" t="n"/>
      <c r="D804" s="13" t="n"/>
      <c r="E804" s="13" t="n"/>
    </row>
    <row r="805" ht="15.75" customHeight="1" s="169">
      <c r="A805" s="13" t="n"/>
      <c r="B805" s="13" t="n"/>
      <c r="C805" s="13" t="n"/>
      <c r="D805" s="13" t="n"/>
      <c r="E805" s="13" t="n"/>
    </row>
    <row r="806" ht="15.75" customHeight="1" s="169">
      <c r="A806" s="13" t="n"/>
      <c r="B806" s="13" t="n"/>
      <c r="C806" s="13" t="n"/>
      <c r="D806" s="13" t="n"/>
      <c r="E806" s="13" t="n"/>
    </row>
    <row r="807" ht="15.75" customHeight="1" s="169">
      <c r="A807" s="13" t="n"/>
      <c r="B807" s="13" t="n"/>
      <c r="C807" s="13" t="n"/>
      <c r="D807" s="13" t="n"/>
      <c r="E807" s="13" t="n"/>
    </row>
    <row r="808" ht="15.75" customHeight="1" s="169">
      <c r="A808" s="13" t="n"/>
      <c r="B808" s="13" t="n"/>
      <c r="C808" s="13" t="n"/>
      <c r="D808" s="13" t="n"/>
      <c r="E808" s="13" t="n"/>
    </row>
    <row r="809" ht="15.75" customHeight="1" s="169">
      <c r="A809" s="13" t="n"/>
      <c r="B809" s="13" t="n"/>
      <c r="C809" s="13" t="n"/>
      <c r="D809" s="13" t="n"/>
      <c r="E809" s="13" t="n"/>
    </row>
    <row r="810" ht="15.75" customHeight="1" s="169">
      <c r="A810" s="13" t="n"/>
      <c r="B810" s="13" t="n"/>
      <c r="C810" s="13" t="n"/>
      <c r="D810" s="13" t="n"/>
      <c r="E810" s="13" t="n"/>
    </row>
    <row r="811" ht="15.75" customHeight="1" s="169">
      <c r="A811" s="13" t="n"/>
      <c r="B811" s="13" t="n"/>
      <c r="C811" s="13" t="n"/>
      <c r="D811" s="13" t="n"/>
      <c r="E811" s="13" t="n"/>
    </row>
    <row r="812" ht="15.75" customHeight="1" s="169">
      <c r="A812" s="13" t="n"/>
      <c r="B812" s="13" t="n"/>
      <c r="C812" s="13" t="n"/>
      <c r="D812" s="13" t="n"/>
      <c r="E812" s="13" t="n"/>
    </row>
    <row r="813" ht="15.75" customHeight="1" s="169">
      <c r="A813" s="13" t="n"/>
      <c r="B813" s="13" t="n"/>
      <c r="C813" s="13" t="n"/>
      <c r="D813" s="13" t="n"/>
      <c r="E813" s="13" t="n"/>
    </row>
    <row r="814" ht="15.75" customHeight="1" s="169">
      <c r="A814" s="13" t="n"/>
      <c r="B814" s="13" t="n"/>
      <c r="C814" s="13" t="n"/>
      <c r="D814" s="13" t="n"/>
      <c r="E814" s="13" t="n"/>
    </row>
    <row r="815" ht="15.75" customHeight="1" s="169">
      <c r="A815" s="13" t="n"/>
      <c r="B815" s="13" t="n"/>
      <c r="C815" s="13" t="n"/>
      <c r="D815" s="13" t="n"/>
      <c r="E815" s="13" t="n"/>
    </row>
    <row r="816" ht="15.75" customHeight="1" s="169">
      <c r="A816" s="13" t="n"/>
      <c r="B816" s="13" t="n"/>
      <c r="C816" s="13" t="n"/>
      <c r="D816" s="13" t="n"/>
      <c r="E816" s="13" t="n"/>
    </row>
    <row r="817" ht="15.75" customHeight="1" s="169">
      <c r="A817" s="13" t="n"/>
      <c r="B817" s="13" t="n"/>
      <c r="C817" s="13" t="n"/>
      <c r="D817" s="13" t="n"/>
      <c r="E817" s="13" t="n"/>
    </row>
    <row r="818" ht="15.75" customHeight="1" s="169">
      <c r="A818" s="13" t="n"/>
      <c r="B818" s="13" t="n"/>
      <c r="C818" s="13" t="n"/>
      <c r="D818" s="13" t="n"/>
      <c r="E818" s="13" t="n"/>
    </row>
    <row r="819" ht="15.75" customHeight="1" s="169">
      <c r="A819" s="13" t="n"/>
      <c r="B819" s="13" t="n"/>
      <c r="C819" s="13" t="n"/>
      <c r="D819" s="13" t="n"/>
      <c r="E819" s="13" t="n"/>
    </row>
    <row r="820" ht="15.75" customHeight="1" s="169">
      <c r="A820" s="13" t="n"/>
      <c r="B820" s="13" t="n"/>
      <c r="C820" s="13" t="n"/>
      <c r="D820" s="13" t="n"/>
      <c r="E820" s="13" t="n"/>
    </row>
    <row r="821" ht="15.75" customHeight="1" s="169">
      <c r="A821" s="13" t="n"/>
      <c r="B821" s="13" t="n"/>
      <c r="C821" s="13" t="n"/>
      <c r="D821" s="13" t="n"/>
      <c r="E821" s="13" t="n"/>
    </row>
    <row r="822" ht="15.75" customHeight="1" s="169">
      <c r="A822" s="13" t="n"/>
      <c r="B822" s="13" t="n"/>
      <c r="C822" s="13" t="n"/>
      <c r="D822" s="13" t="n"/>
      <c r="E822" s="13" t="n"/>
    </row>
    <row r="823" ht="15.75" customHeight="1" s="169">
      <c r="A823" s="13" t="n"/>
      <c r="B823" s="13" t="n"/>
      <c r="C823" s="13" t="n"/>
      <c r="D823" s="13" t="n"/>
      <c r="E823" s="13" t="n"/>
    </row>
    <row r="824" ht="15.75" customHeight="1" s="169">
      <c r="A824" s="13" t="n"/>
      <c r="B824" s="13" t="n"/>
      <c r="C824" s="13" t="n"/>
      <c r="D824" s="13" t="n"/>
      <c r="E824" s="13" t="n"/>
    </row>
    <row r="825" ht="15.75" customHeight="1" s="169">
      <c r="A825" s="13" t="n"/>
      <c r="B825" s="13" t="n"/>
      <c r="C825" s="13" t="n"/>
      <c r="D825" s="13" t="n"/>
      <c r="E825" s="13" t="n"/>
    </row>
    <row r="826" ht="15.75" customHeight="1" s="169">
      <c r="A826" s="13" t="n"/>
      <c r="B826" s="13" t="n"/>
      <c r="C826" s="13" t="n"/>
      <c r="D826" s="13" t="n"/>
      <c r="E826" s="13" t="n"/>
    </row>
    <row r="827" ht="15.75" customHeight="1" s="169">
      <c r="A827" s="13" t="n"/>
      <c r="B827" s="13" t="n"/>
      <c r="C827" s="13" t="n"/>
      <c r="D827" s="13" t="n"/>
      <c r="E827" s="13" t="n"/>
    </row>
    <row r="828" ht="15.75" customHeight="1" s="169">
      <c r="A828" s="13" t="n"/>
      <c r="B828" s="13" t="n"/>
      <c r="C828" s="13" t="n"/>
      <c r="D828" s="13" t="n"/>
      <c r="E828" s="13" t="n"/>
    </row>
    <row r="829" ht="15.75" customHeight="1" s="169">
      <c r="A829" s="13" t="n"/>
      <c r="B829" s="13" t="n"/>
      <c r="C829" s="13" t="n"/>
      <c r="D829" s="13" t="n"/>
      <c r="E829" s="13" t="n"/>
    </row>
    <row r="830" ht="15.75" customHeight="1" s="169">
      <c r="A830" s="13" t="n"/>
      <c r="B830" s="13" t="n"/>
      <c r="C830" s="13" t="n"/>
      <c r="D830" s="13" t="n"/>
      <c r="E830" s="13" t="n"/>
    </row>
    <row r="831" ht="15.75" customHeight="1" s="169">
      <c r="A831" s="13" t="n"/>
      <c r="B831" s="13" t="n"/>
      <c r="C831" s="13" t="n"/>
      <c r="D831" s="13" t="n"/>
      <c r="E831" s="13" t="n"/>
    </row>
    <row r="832" ht="15.75" customHeight="1" s="169">
      <c r="A832" s="13" t="n"/>
      <c r="B832" s="13" t="n"/>
      <c r="C832" s="13" t="n"/>
      <c r="D832" s="13" t="n"/>
      <c r="E832" s="13" t="n"/>
    </row>
    <row r="833" ht="15.75" customHeight="1" s="169">
      <c r="A833" s="13" t="n"/>
      <c r="B833" s="13" t="n"/>
      <c r="C833" s="13" t="n"/>
      <c r="D833" s="13" t="n"/>
      <c r="E833" s="13" t="n"/>
    </row>
    <row r="834" ht="15.75" customHeight="1" s="169">
      <c r="A834" s="13" t="n"/>
      <c r="B834" s="13" t="n"/>
      <c r="C834" s="13" t="n"/>
      <c r="D834" s="13" t="n"/>
      <c r="E834" s="13" t="n"/>
    </row>
    <row r="835" ht="15.75" customHeight="1" s="169">
      <c r="A835" s="13" t="n"/>
      <c r="B835" s="13" t="n"/>
      <c r="C835" s="13" t="n"/>
      <c r="D835" s="13" t="n"/>
      <c r="E835" s="13" t="n"/>
    </row>
    <row r="836" ht="15.75" customHeight="1" s="169">
      <c r="A836" s="13" t="n"/>
      <c r="B836" s="13" t="n"/>
      <c r="C836" s="13" t="n"/>
      <c r="D836" s="13" t="n"/>
      <c r="E836" s="13" t="n"/>
    </row>
    <row r="837" ht="15.75" customHeight="1" s="169">
      <c r="A837" s="13" t="n"/>
      <c r="B837" s="13" t="n"/>
      <c r="C837" s="13" t="n"/>
      <c r="D837" s="13" t="n"/>
      <c r="E837" s="13" t="n"/>
    </row>
    <row r="838" ht="15.75" customHeight="1" s="169">
      <c r="A838" s="13" t="n"/>
      <c r="B838" s="13" t="n"/>
      <c r="C838" s="13" t="n"/>
      <c r="D838" s="13" t="n"/>
      <c r="E838" s="13" t="n"/>
    </row>
    <row r="839" ht="15.75" customHeight="1" s="169">
      <c r="A839" s="13" t="n"/>
      <c r="B839" s="13" t="n"/>
      <c r="C839" s="13" t="n"/>
      <c r="D839" s="13" t="n"/>
      <c r="E839" s="13" t="n"/>
    </row>
    <row r="840" ht="15.75" customHeight="1" s="169">
      <c r="A840" s="13" t="n"/>
      <c r="B840" s="13" t="n"/>
      <c r="C840" s="13" t="n"/>
      <c r="D840" s="13" t="n"/>
      <c r="E840" s="13" t="n"/>
    </row>
    <row r="841" ht="15.75" customHeight="1" s="169">
      <c r="A841" s="13" t="n"/>
      <c r="B841" s="13" t="n"/>
      <c r="C841" s="13" t="n"/>
      <c r="D841" s="13" t="n"/>
      <c r="E841" s="13" t="n"/>
    </row>
    <row r="842" ht="15.75" customHeight="1" s="169">
      <c r="A842" s="13" t="n"/>
      <c r="B842" s="13" t="n"/>
      <c r="C842" s="13" t="n"/>
      <c r="D842" s="13" t="n"/>
      <c r="E842" s="13" t="n"/>
    </row>
    <row r="843" ht="15.75" customHeight="1" s="169">
      <c r="A843" s="13" t="n"/>
      <c r="B843" s="13" t="n"/>
      <c r="C843" s="13" t="n"/>
      <c r="D843" s="13" t="n"/>
      <c r="E843" s="13" t="n"/>
    </row>
    <row r="844" ht="15.75" customHeight="1" s="169">
      <c r="A844" s="13" t="n"/>
      <c r="B844" s="13" t="n"/>
      <c r="C844" s="13" t="n"/>
      <c r="D844" s="13" t="n"/>
      <c r="E844" s="13" t="n"/>
    </row>
    <row r="845" ht="15.75" customHeight="1" s="169">
      <c r="A845" s="13" t="n"/>
      <c r="B845" s="13" t="n"/>
      <c r="C845" s="13" t="n"/>
      <c r="D845" s="13" t="n"/>
      <c r="E845" s="13" t="n"/>
    </row>
    <row r="846" ht="15.75" customHeight="1" s="169">
      <c r="A846" s="13" t="n"/>
      <c r="B846" s="13" t="n"/>
      <c r="C846" s="13" t="n"/>
      <c r="D846" s="13" t="n"/>
      <c r="E846" s="13" t="n"/>
    </row>
    <row r="847" ht="15.75" customHeight="1" s="169">
      <c r="A847" s="13" t="n"/>
      <c r="B847" s="13" t="n"/>
      <c r="C847" s="13" t="n"/>
      <c r="D847" s="13" t="n"/>
      <c r="E847" s="13" t="n"/>
    </row>
    <row r="848" ht="15.75" customHeight="1" s="169">
      <c r="A848" s="13" t="n"/>
      <c r="B848" s="13" t="n"/>
      <c r="C848" s="13" t="n"/>
      <c r="D848" s="13" t="n"/>
      <c r="E848" s="13" t="n"/>
    </row>
    <row r="849" ht="15.75" customHeight="1" s="169">
      <c r="A849" s="13" t="n"/>
      <c r="B849" s="13" t="n"/>
      <c r="C849" s="13" t="n"/>
      <c r="D849" s="13" t="n"/>
      <c r="E849" s="13" t="n"/>
    </row>
    <row r="850" ht="15.75" customHeight="1" s="169">
      <c r="A850" s="13" t="n"/>
      <c r="B850" s="13" t="n"/>
      <c r="C850" s="13" t="n"/>
      <c r="D850" s="13" t="n"/>
      <c r="E850" s="13" t="n"/>
    </row>
    <row r="851" ht="15.75" customHeight="1" s="169">
      <c r="A851" s="13" t="n"/>
      <c r="B851" s="13" t="n"/>
      <c r="C851" s="13" t="n"/>
      <c r="D851" s="13" t="n"/>
      <c r="E851" s="13" t="n"/>
    </row>
    <row r="852" ht="15.75" customHeight="1" s="169">
      <c r="A852" s="13" t="n"/>
      <c r="B852" s="13" t="n"/>
      <c r="C852" s="13" t="n"/>
      <c r="D852" s="13" t="n"/>
      <c r="E852" s="13" t="n"/>
    </row>
    <row r="853" ht="15.75" customHeight="1" s="169">
      <c r="A853" s="13" t="n"/>
      <c r="B853" s="13" t="n"/>
      <c r="C853" s="13" t="n"/>
      <c r="D853" s="13" t="n"/>
      <c r="E853" s="13" t="n"/>
    </row>
    <row r="854" ht="15.75" customHeight="1" s="169">
      <c r="A854" s="13" t="n"/>
      <c r="B854" s="13" t="n"/>
      <c r="C854" s="13" t="n"/>
      <c r="D854" s="13" t="n"/>
      <c r="E854" s="13" t="n"/>
    </row>
    <row r="855" ht="15.75" customHeight="1" s="169">
      <c r="A855" s="13" t="n"/>
      <c r="B855" s="13" t="n"/>
      <c r="C855" s="13" t="n"/>
      <c r="D855" s="13" t="n"/>
      <c r="E855" s="13" t="n"/>
    </row>
    <row r="856" ht="15.75" customHeight="1" s="169">
      <c r="A856" s="13" t="n"/>
      <c r="B856" s="13" t="n"/>
      <c r="C856" s="13" t="n"/>
      <c r="D856" s="13" t="n"/>
      <c r="E856" s="13" t="n"/>
    </row>
    <row r="857" ht="15.75" customHeight="1" s="169">
      <c r="A857" s="13" t="n"/>
      <c r="B857" s="13" t="n"/>
      <c r="C857" s="13" t="n"/>
      <c r="D857" s="13" t="n"/>
      <c r="E857" s="13" t="n"/>
    </row>
    <row r="858" ht="15.75" customHeight="1" s="169">
      <c r="A858" s="13" t="n"/>
      <c r="B858" s="13" t="n"/>
      <c r="C858" s="13" t="n"/>
      <c r="D858" s="13" t="n"/>
      <c r="E858" s="13" t="n"/>
    </row>
    <row r="859" ht="15.75" customHeight="1" s="169">
      <c r="A859" s="13" t="n"/>
      <c r="B859" s="13" t="n"/>
      <c r="C859" s="13" t="n"/>
      <c r="D859" s="13" t="n"/>
      <c r="E859" s="13" t="n"/>
    </row>
    <row r="860" ht="15.75" customHeight="1" s="169">
      <c r="A860" s="13" t="n"/>
      <c r="B860" s="13" t="n"/>
      <c r="C860" s="13" t="n"/>
      <c r="D860" s="13" t="n"/>
      <c r="E860" s="13" t="n"/>
    </row>
    <row r="861" ht="15.75" customHeight="1" s="169">
      <c r="A861" s="13" t="n"/>
      <c r="B861" s="13" t="n"/>
      <c r="C861" s="13" t="n"/>
      <c r="D861" s="13" t="n"/>
      <c r="E861" s="13" t="n"/>
    </row>
    <row r="862" ht="15.75" customHeight="1" s="169">
      <c r="A862" s="13" t="n"/>
      <c r="B862" s="13" t="n"/>
      <c r="C862" s="13" t="n"/>
      <c r="D862" s="13" t="n"/>
      <c r="E862" s="13" t="n"/>
    </row>
    <row r="863" ht="15.75" customHeight="1" s="169">
      <c r="A863" s="13" t="n"/>
      <c r="B863" s="13" t="n"/>
      <c r="C863" s="13" t="n"/>
      <c r="D863" s="13" t="n"/>
      <c r="E863" s="13" t="n"/>
    </row>
    <row r="864" ht="15.75" customHeight="1" s="169">
      <c r="A864" s="13" t="n"/>
      <c r="B864" s="13" t="n"/>
      <c r="C864" s="13" t="n"/>
      <c r="D864" s="13" t="n"/>
      <c r="E864" s="13" t="n"/>
    </row>
    <row r="865" ht="15.75" customHeight="1" s="169">
      <c r="A865" s="13" t="n"/>
      <c r="B865" s="13" t="n"/>
      <c r="C865" s="13" t="n"/>
      <c r="D865" s="13" t="n"/>
      <c r="E865" s="13" t="n"/>
    </row>
    <row r="866" ht="15.75" customHeight="1" s="169">
      <c r="A866" s="13" t="n"/>
      <c r="B866" s="13" t="n"/>
      <c r="C866" s="13" t="n"/>
      <c r="D866" s="13" t="n"/>
      <c r="E866" s="13" t="n"/>
    </row>
    <row r="867" ht="15.75" customHeight="1" s="169">
      <c r="A867" s="13" t="n"/>
      <c r="B867" s="13" t="n"/>
      <c r="C867" s="13" t="n"/>
      <c r="D867" s="13" t="n"/>
      <c r="E867" s="13" t="n"/>
    </row>
    <row r="868" ht="15.75" customHeight="1" s="169">
      <c r="A868" s="13" t="n"/>
      <c r="B868" s="13" t="n"/>
      <c r="C868" s="13" t="n"/>
      <c r="D868" s="13" t="n"/>
      <c r="E868" s="13" t="n"/>
    </row>
    <row r="869" ht="15.75" customHeight="1" s="169">
      <c r="A869" s="13" t="n"/>
      <c r="B869" s="13" t="n"/>
      <c r="C869" s="13" t="n"/>
      <c r="D869" s="13" t="n"/>
      <c r="E869" s="13" t="n"/>
    </row>
    <row r="870" ht="15.75" customHeight="1" s="169">
      <c r="A870" s="13" t="n"/>
      <c r="B870" s="13" t="n"/>
      <c r="C870" s="13" t="n"/>
      <c r="D870" s="13" t="n"/>
      <c r="E870" s="13" t="n"/>
    </row>
    <row r="871" ht="15.75" customHeight="1" s="169">
      <c r="A871" s="13" t="n"/>
      <c r="B871" s="13" t="n"/>
      <c r="C871" s="13" t="n"/>
      <c r="D871" s="13" t="n"/>
      <c r="E871" s="13" t="n"/>
    </row>
    <row r="872" ht="15.75" customHeight="1" s="169">
      <c r="A872" s="13" t="n"/>
      <c r="B872" s="13" t="n"/>
      <c r="C872" s="13" t="n"/>
      <c r="D872" s="13" t="n"/>
      <c r="E872" s="13" t="n"/>
    </row>
    <row r="873" ht="15.75" customHeight="1" s="169">
      <c r="A873" s="13" t="n"/>
      <c r="B873" s="13" t="n"/>
      <c r="C873" s="13" t="n"/>
      <c r="D873" s="13" t="n"/>
      <c r="E873" s="13" t="n"/>
    </row>
    <row r="874" ht="15.75" customHeight="1" s="169">
      <c r="A874" s="13" t="n"/>
      <c r="B874" s="13" t="n"/>
      <c r="C874" s="13" t="n"/>
      <c r="D874" s="13" t="n"/>
      <c r="E874" s="13" t="n"/>
    </row>
    <row r="875" ht="15.75" customHeight="1" s="169">
      <c r="A875" s="13" t="n"/>
      <c r="B875" s="13" t="n"/>
      <c r="C875" s="13" t="n"/>
      <c r="D875" s="13" t="n"/>
      <c r="E875" s="13" t="n"/>
    </row>
    <row r="876" ht="15.75" customHeight="1" s="169">
      <c r="A876" s="13" t="n"/>
      <c r="B876" s="13" t="n"/>
      <c r="C876" s="13" t="n"/>
      <c r="D876" s="13" t="n"/>
      <c r="E876" s="13" t="n"/>
    </row>
    <row r="877" ht="15.75" customHeight="1" s="169">
      <c r="A877" s="13" t="n"/>
      <c r="B877" s="13" t="n"/>
      <c r="C877" s="13" t="n"/>
      <c r="D877" s="13" t="n"/>
      <c r="E877" s="13" t="n"/>
    </row>
    <row r="878" ht="15.75" customHeight="1" s="169">
      <c r="A878" s="13" t="n"/>
      <c r="B878" s="13" t="n"/>
      <c r="C878" s="13" t="n"/>
      <c r="D878" s="13" t="n"/>
      <c r="E878" s="13" t="n"/>
    </row>
    <row r="879" ht="15.75" customHeight="1" s="169">
      <c r="A879" s="13" t="n"/>
      <c r="B879" s="13" t="n"/>
      <c r="C879" s="13" t="n"/>
      <c r="D879" s="13" t="n"/>
      <c r="E879" s="13" t="n"/>
    </row>
    <row r="880" ht="15.75" customHeight="1" s="169">
      <c r="A880" s="13" t="n"/>
      <c r="B880" s="13" t="n"/>
      <c r="C880" s="13" t="n"/>
      <c r="D880" s="13" t="n"/>
      <c r="E880" s="13" t="n"/>
    </row>
    <row r="881" ht="15.75" customHeight="1" s="169">
      <c r="A881" s="13" t="n"/>
      <c r="B881" s="13" t="n"/>
      <c r="C881" s="13" t="n"/>
      <c r="D881" s="13" t="n"/>
      <c r="E881" s="13" t="n"/>
    </row>
    <row r="882" ht="15.75" customHeight="1" s="169">
      <c r="A882" s="13" t="n"/>
      <c r="B882" s="13" t="n"/>
      <c r="C882" s="13" t="n"/>
      <c r="D882" s="13" t="n"/>
      <c r="E882" s="13" t="n"/>
    </row>
    <row r="883" ht="15.75" customHeight="1" s="169">
      <c r="A883" s="13" t="n"/>
      <c r="B883" s="13" t="n"/>
      <c r="C883" s="13" t="n"/>
      <c r="D883" s="13" t="n"/>
      <c r="E883" s="13" t="n"/>
    </row>
    <row r="884" ht="15.75" customHeight="1" s="169">
      <c r="A884" s="13" t="n"/>
      <c r="B884" s="13" t="n"/>
      <c r="C884" s="13" t="n"/>
      <c r="D884" s="13" t="n"/>
      <c r="E884" s="13" t="n"/>
    </row>
    <row r="885" ht="15.75" customHeight="1" s="169">
      <c r="A885" s="13" t="n"/>
      <c r="B885" s="13" t="n"/>
      <c r="C885" s="13" t="n"/>
      <c r="D885" s="13" t="n"/>
      <c r="E885" s="13" t="n"/>
    </row>
    <row r="886" ht="15.75" customHeight="1" s="169">
      <c r="A886" s="13" t="n"/>
      <c r="B886" s="13" t="n"/>
      <c r="C886" s="13" t="n"/>
      <c r="D886" s="13" t="n"/>
      <c r="E886" s="13" t="n"/>
    </row>
    <row r="887" ht="15.75" customHeight="1" s="169">
      <c r="A887" s="13" t="n"/>
      <c r="B887" s="13" t="n"/>
      <c r="C887" s="13" t="n"/>
      <c r="D887" s="13" t="n"/>
      <c r="E887" s="13" t="n"/>
    </row>
    <row r="888" ht="15.75" customHeight="1" s="169">
      <c r="A888" s="13" t="n"/>
      <c r="B888" s="13" t="n"/>
      <c r="C888" s="13" t="n"/>
      <c r="D888" s="13" t="n"/>
      <c r="E888" s="13" t="n"/>
    </row>
    <row r="889" ht="15.75" customHeight="1" s="169">
      <c r="A889" s="13" t="n"/>
      <c r="B889" s="13" t="n"/>
      <c r="C889" s="13" t="n"/>
      <c r="D889" s="13" t="n"/>
      <c r="E889" s="13" t="n"/>
    </row>
    <row r="890" ht="15.75" customHeight="1" s="169">
      <c r="A890" s="13" t="n"/>
      <c r="B890" s="13" t="n"/>
      <c r="C890" s="13" t="n"/>
      <c r="D890" s="13" t="n"/>
      <c r="E890" s="13" t="n"/>
    </row>
    <row r="891" ht="15.75" customHeight="1" s="169">
      <c r="A891" s="13" t="n"/>
      <c r="B891" s="13" t="n"/>
      <c r="C891" s="13" t="n"/>
      <c r="D891" s="13" t="n"/>
      <c r="E891" s="13" t="n"/>
    </row>
    <row r="892" ht="15.75" customHeight="1" s="169">
      <c r="A892" s="13" t="n"/>
      <c r="B892" s="13" t="n"/>
      <c r="C892" s="13" t="n"/>
      <c r="D892" s="13" t="n"/>
      <c r="E892" s="13" t="n"/>
    </row>
    <row r="893" ht="15.75" customHeight="1" s="169">
      <c r="A893" s="13" t="n"/>
      <c r="B893" s="13" t="n"/>
      <c r="C893" s="13" t="n"/>
      <c r="D893" s="13" t="n"/>
      <c r="E893" s="13" t="n"/>
    </row>
    <row r="894" ht="15.75" customHeight="1" s="169">
      <c r="A894" s="13" t="n"/>
      <c r="B894" s="13" t="n"/>
      <c r="C894" s="13" t="n"/>
      <c r="D894" s="13" t="n"/>
      <c r="E894" s="13" t="n"/>
    </row>
    <row r="895" ht="15.75" customHeight="1" s="169">
      <c r="A895" s="13" t="n"/>
      <c r="B895" s="13" t="n"/>
      <c r="C895" s="13" t="n"/>
      <c r="D895" s="13" t="n"/>
      <c r="E895" s="13" t="n"/>
    </row>
    <row r="896" ht="15.75" customHeight="1" s="169">
      <c r="A896" s="13" t="n"/>
      <c r="B896" s="13" t="n"/>
      <c r="C896" s="13" t="n"/>
      <c r="D896" s="13" t="n"/>
      <c r="E896" s="13" t="n"/>
    </row>
    <row r="897" ht="15.75" customHeight="1" s="169">
      <c r="A897" s="13" t="n"/>
      <c r="B897" s="13" t="n"/>
      <c r="C897" s="13" t="n"/>
      <c r="D897" s="13" t="n"/>
      <c r="E897" s="13" t="n"/>
    </row>
    <row r="898" ht="15.75" customHeight="1" s="169">
      <c r="A898" s="13" t="n"/>
      <c r="B898" s="13" t="n"/>
      <c r="C898" s="13" t="n"/>
      <c r="D898" s="13" t="n"/>
      <c r="E898" s="13" t="n"/>
    </row>
    <row r="899" ht="15.75" customHeight="1" s="169">
      <c r="A899" s="13" t="n"/>
      <c r="B899" s="13" t="n"/>
      <c r="C899" s="13" t="n"/>
      <c r="D899" s="13" t="n"/>
      <c r="E899" s="13" t="n"/>
    </row>
    <row r="900" ht="15.75" customHeight="1" s="169">
      <c r="A900" s="13" t="n"/>
      <c r="B900" s="13" t="n"/>
      <c r="C900" s="13" t="n"/>
      <c r="D900" s="13" t="n"/>
      <c r="E900" s="13" t="n"/>
    </row>
    <row r="901" ht="15.75" customHeight="1" s="169">
      <c r="A901" s="13" t="n"/>
      <c r="B901" s="13" t="n"/>
      <c r="C901" s="13" t="n"/>
      <c r="D901" s="13" t="n"/>
      <c r="E901" s="13" t="n"/>
    </row>
    <row r="902" ht="15.75" customHeight="1" s="169">
      <c r="A902" s="13" t="n"/>
      <c r="B902" s="13" t="n"/>
      <c r="C902" s="13" t="n"/>
      <c r="D902" s="13" t="n"/>
      <c r="E902" s="13" t="n"/>
    </row>
    <row r="903" ht="15.75" customHeight="1" s="169">
      <c r="A903" s="13" t="n"/>
      <c r="B903" s="13" t="n"/>
      <c r="C903" s="13" t="n"/>
      <c r="D903" s="13" t="n"/>
      <c r="E903" s="13" t="n"/>
    </row>
    <row r="904" ht="15.75" customHeight="1" s="169">
      <c r="A904" s="13" t="n"/>
      <c r="B904" s="13" t="n"/>
      <c r="C904" s="13" t="n"/>
      <c r="D904" s="13" t="n"/>
      <c r="E904" s="13" t="n"/>
    </row>
    <row r="905" ht="15.75" customHeight="1" s="169">
      <c r="A905" s="13" t="n"/>
      <c r="B905" s="13" t="n"/>
      <c r="C905" s="13" t="n"/>
      <c r="D905" s="13" t="n"/>
      <c r="E905" s="13" t="n"/>
    </row>
    <row r="906" ht="15.75" customHeight="1" s="169">
      <c r="A906" s="13" t="n"/>
      <c r="B906" s="13" t="n"/>
      <c r="C906" s="13" t="n"/>
      <c r="D906" s="13" t="n"/>
      <c r="E906" s="13" t="n"/>
    </row>
    <row r="907" ht="15.75" customHeight="1" s="169">
      <c r="A907" s="13" t="n"/>
      <c r="B907" s="13" t="n"/>
      <c r="C907" s="13" t="n"/>
      <c r="D907" s="13" t="n"/>
      <c r="E907" s="13" t="n"/>
    </row>
    <row r="908" ht="15.75" customHeight="1" s="169">
      <c r="A908" s="13" t="n"/>
      <c r="B908" s="13" t="n"/>
      <c r="C908" s="13" t="n"/>
      <c r="D908" s="13" t="n"/>
      <c r="E908" s="13" t="n"/>
    </row>
    <row r="909" ht="15.75" customHeight="1" s="169">
      <c r="A909" s="13" t="n"/>
      <c r="B909" s="13" t="n"/>
      <c r="C909" s="13" t="n"/>
      <c r="D909" s="13" t="n"/>
      <c r="E909" s="13" t="n"/>
    </row>
    <row r="910" ht="15.75" customHeight="1" s="169">
      <c r="A910" s="13" t="n"/>
      <c r="B910" s="13" t="n"/>
      <c r="C910" s="13" t="n"/>
      <c r="D910" s="13" t="n"/>
      <c r="E910" s="13" t="n"/>
    </row>
    <row r="911" ht="15.75" customHeight="1" s="169">
      <c r="A911" s="13" t="n"/>
      <c r="B911" s="13" t="n"/>
      <c r="C911" s="13" t="n"/>
      <c r="D911" s="13" t="n"/>
      <c r="E911" s="13" t="n"/>
    </row>
    <row r="912" ht="15.75" customHeight="1" s="169">
      <c r="A912" s="13" t="n"/>
      <c r="B912" s="13" t="n"/>
      <c r="C912" s="13" t="n"/>
      <c r="D912" s="13" t="n"/>
      <c r="E912" s="13" t="n"/>
    </row>
    <row r="913" ht="15.75" customHeight="1" s="169">
      <c r="A913" s="13" t="n"/>
      <c r="B913" s="13" t="n"/>
      <c r="C913" s="13" t="n"/>
      <c r="D913" s="13" t="n"/>
      <c r="E913" s="13" t="n"/>
    </row>
    <row r="914" ht="15.75" customHeight="1" s="169">
      <c r="A914" s="13" t="n"/>
      <c r="B914" s="13" t="n"/>
      <c r="C914" s="13" t="n"/>
      <c r="D914" s="13" t="n"/>
      <c r="E914" s="13" t="n"/>
    </row>
    <row r="915" ht="15.75" customHeight="1" s="169">
      <c r="A915" s="13" t="n"/>
      <c r="B915" s="13" t="n"/>
      <c r="C915" s="13" t="n"/>
      <c r="D915" s="13" t="n"/>
      <c r="E915" s="13" t="n"/>
    </row>
    <row r="916" ht="15.75" customHeight="1" s="169">
      <c r="A916" s="13" t="n"/>
      <c r="B916" s="13" t="n"/>
      <c r="C916" s="13" t="n"/>
      <c r="D916" s="13" t="n"/>
      <c r="E916" s="13" t="n"/>
    </row>
    <row r="917" ht="15.75" customHeight="1" s="169">
      <c r="A917" s="13" t="n"/>
      <c r="B917" s="13" t="n"/>
      <c r="C917" s="13" t="n"/>
      <c r="D917" s="13" t="n"/>
      <c r="E917" s="13" t="n"/>
    </row>
    <row r="918" ht="15.75" customHeight="1" s="169">
      <c r="A918" s="13" t="n"/>
      <c r="B918" s="13" t="n"/>
      <c r="C918" s="13" t="n"/>
      <c r="D918" s="13" t="n"/>
      <c r="E918" s="13" t="n"/>
    </row>
    <row r="919" ht="15.75" customHeight="1" s="169">
      <c r="A919" s="13" t="n"/>
      <c r="B919" s="13" t="n"/>
      <c r="C919" s="13" t="n"/>
      <c r="D919" s="13" t="n"/>
      <c r="E919" s="13" t="n"/>
    </row>
    <row r="920" ht="15.75" customHeight="1" s="169">
      <c r="A920" s="13" t="n"/>
      <c r="B920" s="13" t="n"/>
      <c r="C920" s="13" t="n"/>
      <c r="D920" s="13" t="n"/>
      <c r="E920" s="13" t="n"/>
    </row>
    <row r="921" ht="15.75" customHeight="1" s="169">
      <c r="A921" s="13" t="n"/>
      <c r="B921" s="13" t="n"/>
      <c r="C921" s="13" t="n"/>
      <c r="D921" s="13" t="n"/>
      <c r="E921" s="13" t="n"/>
    </row>
    <row r="922" ht="15.75" customHeight="1" s="169">
      <c r="A922" s="13" t="n"/>
      <c r="B922" s="13" t="n"/>
      <c r="C922" s="13" t="n"/>
      <c r="D922" s="13" t="n"/>
      <c r="E922" s="13" t="n"/>
    </row>
    <row r="923" ht="15.75" customHeight="1" s="169">
      <c r="A923" s="13" t="n"/>
      <c r="B923" s="13" t="n"/>
      <c r="C923" s="13" t="n"/>
      <c r="D923" s="13" t="n"/>
      <c r="E923" s="13" t="n"/>
    </row>
    <row r="924" ht="15.75" customHeight="1" s="169">
      <c r="A924" s="13" t="n"/>
      <c r="B924" s="13" t="n"/>
      <c r="C924" s="13" t="n"/>
      <c r="D924" s="13" t="n"/>
      <c r="E924" s="13" t="n"/>
    </row>
    <row r="925" ht="15.75" customHeight="1" s="169">
      <c r="A925" s="13" t="n"/>
      <c r="B925" s="13" t="n"/>
      <c r="C925" s="13" t="n"/>
      <c r="D925" s="13" t="n"/>
      <c r="E925" s="13" t="n"/>
    </row>
    <row r="926" ht="15.75" customHeight="1" s="169">
      <c r="A926" s="13" t="n"/>
      <c r="B926" s="13" t="n"/>
      <c r="C926" s="13" t="n"/>
      <c r="D926" s="13" t="n"/>
      <c r="E926" s="13" t="n"/>
    </row>
    <row r="927" ht="15.75" customHeight="1" s="169">
      <c r="A927" s="13" t="n"/>
      <c r="B927" s="13" t="n"/>
      <c r="C927" s="13" t="n"/>
      <c r="D927" s="13" t="n"/>
      <c r="E927" s="13" t="n"/>
    </row>
    <row r="928" ht="15.75" customHeight="1" s="169">
      <c r="A928" s="13" t="n"/>
      <c r="B928" s="13" t="n"/>
      <c r="C928" s="13" t="n"/>
      <c r="D928" s="13" t="n"/>
      <c r="E928" s="13" t="n"/>
    </row>
    <row r="929" ht="15.75" customHeight="1" s="169">
      <c r="A929" s="13" t="n"/>
      <c r="B929" s="13" t="n"/>
      <c r="C929" s="13" t="n"/>
      <c r="D929" s="13" t="n"/>
      <c r="E929" s="13" t="n"/>
    </row>
    <row r="930" ht="15.75" customHeight="1" s="169">
      <c r="A930" s="13" t="n"/>
      <c r="B930" s="13" t="n"/>
      <c r="C930" s="13" t="n"/>
      <c r="D930" s="13" t="n"/>
      <c r="E930" s="13" t="n"/>
    </row>
    <row r="931" ht="15.75" customHeight="1" s="169">
      <c r="A931" s="13" t="n"/>
      <c r="B931" s="13" t="n"/>
      <c r="C931" s="13" t="n"/>
      <c r="D931" s="13" t="n"/>
      <c r="E931" s="13" t="n"/>
    </row>
    <row r="932" ht="15.75" customHeight="1" s="169">
      <c r="A932" s="13" t="n"/>
      <c r="B932" s="13" t="n"/>
      <c r="C932" s="13" t="n"/>
      <c r="D932" s="13" t="n"/>
      <c r="E932" s="13" t="n"/>
    </row>
    <row r="933" ht="15.75" customHeight="1" s="169">
      <c r="A933" s="13" t="n"/>
      <c r="B933" s="13" t="n"/>
      <c r="C933" s="13" t="n"/>
      <c r="D933" s="13" t="n"/>
      <c r="E933" s="13" t="n"/>
    </row>
    <row r="934" ht="15.75" customHeight="1" s="169">
      <c r="A934" s="13" t="n"/>
      <c r="B934" s="13" t="n"/>
      <c r="C934" s="13" t="n"/>
      <c r="D934" s="13" t="n"/>
      <c r="E934" s="13" t="n"/>
    </row>
    <row r="935" ht="15.75" customHeight="1" s="169">
      <c r="A935" s="13" t="n"/>
      <c r="B935" s="13" t="n"/>
      <c r="C935" s="13" t="n"/>
      <c r="D935" s="13" t="n"/>
      <c r="E935" s="13" t="n"/>
    </row>
    <row r="936" ht="15.75" customHeight="1" s="169">
      <c r="A936" s="13" t="n"/>
      <c r="B936" s="13" t="n"/>
      <c r="C936" s="13" t="n"/>
      <c r="D936" s="13" t="n"/>
      <c r="E936" s="13" t="n"/>
    </row>
    <row r="937" ht="15.75" customHeight="1" s="169">
      <c r="A937" s="13" t="n"/>
      <c r="B937" s="13" t="n"/>
      <c r="C937" s="13" t="n"/>
      <c r="D937" s="13" t="n"/>
      <c r="E937" s="13" t="n"/>
    </row>
    <row r="938" ht="15.75" customHeight="1" s="169">
      <c r="A938" s="13" t="n"/>
      <c r="B938" s="13" t="n"/>
      <c r="C938" s="13" t="n"/>
      <c r="D938" s="13" t="n"/>
      <c r="E938" s="13" t="n"/>
    </row>
    <row r="939" ht="15.75" customHeight="1" s="169">
      <c r="A939" s="13" t="n"/>
      <c r="B939" s="13" t="n"/>
      <c r="C939" s="13" t="n"/>
      <c r="D939" s="13" t="n"/>
      <c r="E939" s="13" t="n"/>
    </row>
    <row r="940" ht="15.75" customHeight="1" s="169">
      <c r="A940" s="13" t="n"/>
      <c r="B940" s="13" t="n"/>
      <c r="C940" s="13" t="n"/>
      <c r="D940" s="13" t="n"/>
      <c r="E940" s="13" t="n"/>
    </row>
    <row r="941" ht="15.75" customHeight="1" s="169">
      <c r="A941" s="13" t="n"/>
      <c r="B941" s="13" t="n"/>
      <c r="C941" s="13" t="n"/>
      <c r="D941" s="13" t="n"/>
      <c r="E941" s="13" t="n"/>
    </row>
    <row r="942" ht="15.75" customHeight="1" s="169">
      <c r="A942" s="13" t="n"/>
      <c r="B942" s="13" t="n"/>
      <c r="C942" s="13" t="n"/>
      <c r="D942" s="13" t="n"/>
      <c r="E942" s="13" t="n"/>
    </row>
    <row r="943" ht="15.75" customHeight="1" s="169">
      <c r="A943" s="13" t="n"/>
      <c r="B943" s="13" t="n"/>
      <c r="C943" s="13" t="n"/>
      <c r="D943" s="13" t="n"/>
      <c r="E943" s="13" t="n"/>
    </row>
    <row r="944" ht="15.75" customHeight="1" s="169">
      <c r="A944" s="13" t="n"/>
      <c r="B944" s="13" t="n"/>
      <c r="C944" s="13" t="n"/>
      <c r="D944" s="13" t="n"/>
      <c r="E944" s="13" t="n"/>
    </row>
    <row r="945" ht="15.75" customHeight="1" s="169">
      <c r="A945" s="13" t="n"/>
      <c r="B945" s="13" t="n"/>
      <c r="C945" s="13" t="n"/>
      <c r="D945" s="13" t="n"/>
      <c r="E945" s="13" t="n"/>
    </row>
    <row r="946" ht="15.75" customHeight="1" s="169">
      <c r="A946" s="13" t="n"/>
      <c r="B946" s="13" t="n"/>
      <c r="C946" s="13" t="n"/>
      <c r="D946" s="13" t="n"/>
      <c r="E946" s="13" t="n"/>
    </row>
    <row r="947" ht="15.75" customHeight="1" s="169">
      <c r="A947" s="13" t="n"/>
      <c r="B947" s="13" t="n"/>
      <c r="C947" s="13" t="n"/>
      <c r="D947" s="13" t="n"/>
      <c r="E947" s="13" t="n"/>
    </row>
    <row r="948" ht="15.75" customHeight="1" s="169">
      <c r="A948" s="13" t="n"/>
      <c r="B948" s="13" t="n"/>
      <c r="C948" s="13" t="n"/>
      <c r="D948" s="13" t="n"/>
      <c r="E948" s="13" t="n"/>
    </row>
    <row r="949" ht="15.75" customHeight="1" s="169">
      <c r="A949" s="13" t="n"/>
      <c r="B949" s="13" t="n"/>
      <c r="C949" s="13" t="n"/>
      <c r="D949" s="13" t="n"/>
      <c r="E949" s="13" t="n"/>
    </row>
    <row r="950" ht="15.75" customHeight="1" s="169">
      <c r="A950" s="13" t="n"/>
      <c r="B950" s="13" t="n"/>
      <c r="C950" s="13" t="n"/>
      <c r="D950" s="13" t="n"/>
      <c r="E950" s="13" t="n"/>
    </row>
    <row r="951" ht="15.75" customHeight="1" s="169">
      <c r="A951" s="13" t="n"/>
      <c r="B951" s="13" t="n"/>
      <c r="C951" s="13" t="n"/>
      <c r="D951" s="13" t="n"/>
      <c r="E951" s="13" t="n"/>
    </row>
    <row r="952" ht="15.75" customHeight="1" s="169">
      <c r="A952" s="13" t="n"/>
      <c r="B952" s="13" t="n"/>
      <c r="C952" s="13" t="n"/>
      <c r="D952" s="13" t="n"/>
      <c r="E952" s="13" t="n"/>
    </row>
    <row r="953" ht="15.75" customHeight="1" s="169">
      <c r="A953" s="13" t="n"/>
      <c r="B953" s="13" t="n"/>
      <c r="C953" s="13" t="n"/>
      <c r="D953" s="13" t="n"/>
      <c r="E953" s="13" t="n"/>
    </row>
    <row r="954" ht="15.75" customHeight="1" s="169">
      <c r="A954" s="13" t="n"/>
      <c r="B954" s="13" t="n"/>
      <c r="C954" s="13" t="n"/>
      <c r="D954" s="13" t="n"/>
      <c r="E954" s="13" t="n"/>
    </row>
    <row r="955" ht="15.75" customHeight="1" s="169">
      <c r="A955" s="13" t="n"/>
      <c r="B955" s="13" t="n"/>
      <c r="C955" s="13" t="n"/>
      <c r="D955" s="13" t="n"/>
      <c r="E955" s="13" t="n"/>
    </row>
    <row r="956" ht="15.75" customHeight="1" s="169">
      <c r="A956" s="13" t="n"/>
      <c r="B956" s="13" t="n"/>
      <c r="C956" s="13" t="n"/>
      <c r="D956" s="13" t="n"/>
      <c r="E956" s="13" t="n"/>
    </row>
    <row r="957" ht="15.75" customHeight="1" s="169">
      <c r="A957" s="13" t="n"/>
      <c r="B957" s="13" t="n"/>
      <c r="C957" s="13" t="n"/>
      <c r="D957" s="13" t="n"/>
      <c r="E957" s="13" t="n"/>
    </row>
    <row r="958" ht="15.75" customHeight="1" s="169">
      <c r="A958" s="13" t="n"/>
      <c r="B958" s="13" t="n"/>
      <c r="C958" s="13" t="n"/>
      <c r="D958" s="13" t="n"/>
      <c r="E958" s="13" t="n"/>
    </row>
    <row r="959" ht="15.75" customHeight="1" s="169">
      <c r="A959" s="13" t="n"/>
      <c r="B959" s="13" t="n"/>
      <c r="C959" s="13" t="n"/>
      <c r="D959" s="13" t="n"/>
      <c r="E959" s="13" t="n"/>
    </row>
    <row r="960" ht="15.75" customHeight="1" s="169">
      <c r="A960" s="13" t="n"/>
      <c r="B960" s="13" t="n"/>
      <c r="C960" s="13" t="n"/>
      <c r="D960" s="13" t="n"/>
      <c r="E960" s="13" t="n"/>
    </row>
    <row r="961" ht="15.75" customHeight="1" s="169">
      <c r="A961" s="13" t="n"/>
      <c r="B961" s="13" t="n"/>
      <c r="C961" s="13" t="n"/>
      <c r="D961" s="13" t="n"/>
      <c r="E961" s="13" t="n"/>
    </row>
    <row r="962" ht="15.75" customHeight="1" s="169">
      <c r="A962" s="13" t="n"/>
      <c r="B962" s="13" t="n"/>
      <c r="C962" s="13" t="n"/>
      <c r="D962" s="13" t="n"/>
      <c r="E962" s="13" t="n"/>
    </row>
    <row r="963" ht="15.75" customHeight="1" s="169">
      <c r="A963" s="13" t="n"/>
      <c r="B963" s="13" t="n"/>
      <c r="C963" s="13" t="n"/>
      <c r="D963" s="13" t="n"/>
      <c r="E963" s="13" t="n"/>
    </row>
    <row r="964" ht="15.75" customHeight="1" s="169">
      <c r="A964" s="13" t="n"/>
      <c r="B964" s="13" t="n"/>
      <c r="C964" s="13" t="n"/>
      <c r="D964" s="13" t="n"/>
      <c r="E964" s="13" t="n"/>
    </row>
    <row r="965" ht="15.75" customHeight="1" s="169">
      <c r="A965" s="13" t="n"/>
      <c r="B965" s="13" t="n"/>
      <c r="C965" s="13" t="n"/>
      <c r="D965" s="13" t="n"/>
      <c r="E965" s="13" t="n"/>
    </row>
    <row r="966" ht="15.75" customHeight="1" s="169">
      <c r="A966" s="13" t="n"/>
      <c r="B966" s="13" t="n"/>
      <c r="C966" s="13" t="n"/>
      <c r="D966" s="13" t="n"/>
      <c r="E966" s="13" t="n"/>
    </row>
    <row r="967" ht="15.75" customHeight="1" s="169">
      <c r="A967" s="13" t="n"/>
      <c r="B967" s="13" t="n"/>
      <c r="C967" s="13" t="n"/>
      <c r="D967" s="13" t="n"/>
      <c r="E967" s="13" t="n"/>
    </row>
    <row r="968" ht="15.75" customHeight="1" s="169">
      <c r="A968" s="13" t="n"/>
      <c r="B968" s="13" t="n"/>
      <c r="C968" s="13" t="n"/>
      <c r="D968" s="13" t="n"/>
      <c r="E968" s="13" t="n"/>
    </row>
    <row r="969" ht="15.75" customHeight="1" s="169">
      <c r="A969" s="13" t="n"/>
      <c r="B969" s="13" t="n"/>
      <c r="C969" s="13" t="n"/>
      <c r="D969" s="13" t="n"/>
      <c r="E969" s="13" t="n"/>
    </row>
    <row r="970" ht="15.75" customHeight="1" s="169">
      <c r="A970" s="13" t="n"/>
      <c r="B970" s="13" t="n"/>
      <c r="C970" s="13" t="n"/>
      <c r="D970" s="13" t="n"/>
      <c r="E970" s="13" t="n"/>
    </row>
    <row r="971" ht="15.75" customHeight="1" s="169">
      <c r="A971" s="13" t="n"/>
      <c r="B971" s="13" t="n"/>
      <c r="C971" s="13" t="n"/>
      <c r="D971" s="13" t="n"/>
      <c r="E971" s="13" t="n"/>
    </row>
    <row r="972" ht="15.75" customHeight="1" s="169">
      <c r="A972" s="13" t="n"/>
      <c r="B972" s="13" t="n"/>
      <c r="C972" s="13" t="n"/>
      <c r="D972" s="13" t="n"/>
      <c r="E972" s="13" t="n"/>
    </row>
    <row r="973" ht="15.75" customHeight="1" s="169">
      <c r="A973" s="13" t="n"/>
      <c r="B973" s="13" t="n"/>
      <c r="C973" s="13" t="n"/>
      <c r="D973" s="13" t="n"/>
      <c r="E973" s="13" t="n"/>
    </row>
    <row r="974" ht="15.75" customHeight="1" s="169">
      <c r="A974" s="13" t="n"/>
      <c r="B974" s="13" t="n"/>
      <c r="C974" s="13" t="n"/>
      <c r="D974" s="13" t="n"/>
      <c r="E974" s="13" t="n"/>
    </row>
    <row r="975" ht="15.75" customHeight="1" s="169">
      <c r="A975" s="13" t="n"/>
      <c r="B975" s="13" t="n"/>
      <c r="C975" s="13" t="n"/>
      <c r="D975" s="13" t="n"/>
      <c r="E975" s="13" t="n"/>
    </row>
    <row r="976" ht="15.75" customHeight="1" s="169">
      <c r="A976" s="13" t="n"/>
      <c r="B976" s="13" t="n"/>
      <c r="C976" s="13" t="n"/>
      <c r="D976" s="13" t="n"/>
      <c r="E976" s="13" t="n"/>
    </row>
    <row r="977" ht="15.75" customHeight="1" s="169">
      <c r="A977" s="13" t="n"/>
      <c r="B977" s="13" t="n"/>
      <c r="C977" s="13" t="n"/>
      <c r="D977" s="13" t="n"/>
      <c r="E977" s="13" t="n"/>
    </row>
    <row r="978" ht="15.75" customHeight="1" s="169">
      <c r="A978" s="13" t="n"/>
      <c r="B978" s="13" t="n"/>
      <c r="C978" s="13" t="n"/>
      <c r="D978" s="13" t="n"/>
      <c r="E978" s="13" t="n"/>
    </row>
    <row r="979" ht="15.75" customHeight="1" s="169">
      <c r="A979" s="13" t="n"/>
      <c r="B979" s="13" t="n"/>
      <c r="C979" s="13" t="n"/>
      <c r="D979" s="13" t="n"/>
      <c r="E979" s="13" t="n"/>
    </row>
    <row r="980" ht="15.75" customHeight="1" s="169">
      <c r="A980" s="13" t="n"/>
      <c r="B980" s="13" t="n"/>
      <c r="C980" s="13" t="n"/>
      <c r="D980" s="13" t="n"/>
      <c r="E980" s="13" t="n"/>
    </row>
    <row r="981" ht="15.75" customHeight="1" s="169">
      <c r="A981" s="13" t="n"/>
      <c r="B981" s="13" t="n"/>
      <c r="C981" s="13" t="n"/>
      <c r="D981" s="13" t="n"/>
      <c r="E981" s="13" t="n"/>
    </row>
    <row r="982" ht="15.75" customHeight="1" s="169">
      <c r="A982" s="13" t="n"/>
      <c r="B982" s="13" t="n"/>
      <c r="C982" s="13" t="n"/>
      <c r="D982" s="13" t="n"/>
      <c r="E982" s="13" t="n"/>
    </row>
    <row r="983" ht="15.75" customHeight="1" s="169">
      <c r="A983" s="13" t="n"/>
      <c r="B983" s="13" t="n"/>
      <c r="C983" s="13" t="n"/>
      <c r="D983" s="13" t="n"/>
      <c r="E983" s="13" t="n"/>
    </row>
    <row r="984" ht="15.75" customHeight="1" s="169">
      <c r="A984" s="13" t="n"/>
      <c r="B984" s="13" t="n"/>
      <c r="C984" s="13" t="n"/>
      <c r="D984" s="13" t="n"/>
      <c r="E984" s="13" t="n"/>
    </row>
    <row r="985" ht="15.75" customHeight="1" s="169">
      <c r="A985" s="13" t="n"/>
      <c r="B985" s="13" t="n"/>
      <c r="C985" s="13" t="n"/>
      <c r="D985" s="13" t="n"/>
      <c r="E985" s="13" t="n"/>
    </row>
    <row r="986" ht="15.75" customHeight="1" s="169">
      <c r="A986" s="13" t="n"/>
      <c r="B986" s="13" t="n"/>
      <c r="C986" s="13" t="n"/>
      <c r="D986" s="13" t="n"/>
      <c r="E986" s="13" t="n"/>
    </row>
    <row r="987" ht="15.75" customHeight="1" s="169">
      <c r="A987" s="13" t="n"/>
      <c r="B987" s="13" t="n"/>
      <c r="C987" s="13" t="n"/>
      <c r="D987" s="13" t="n"/>
      <c r="E987" s="13" t="n"/>
    </row>
    <row r="988" ht="15.75" customHeight="1" s="169">
      <c r="A988" s="13" t="n"/>
      <c r="B988" s="13" t="n"/>
      <c r="C988" s="13" t="n"/>
      <c r="D988" s="13" t="n"/>
      <c r="E988" s="13" t="n"/>
    </row>
    <row r="989" ht="15.75" customHeight="1" s="169">
      <c r="A989" s="13" t="n"/>
      <c r="B989" s="13" t="n"/>
      <c r="C989" s="13" t="n"/>
      <c r="D989" s="13" t="n"/>
      <c r="E989" s="13" t="n"/>
    </row>
    <row r="990" ht="15.75" customHeight="1" s="169">
      <c r="A990" s="13" t="n"/>
      <c r="B990" s="13" t="n"/>
      <c r="C990" s="13" t="n"/>
      <c r="D990" s="13" t="n"/>
      <c r="E990" s="13" t="n"/>
    </row>
    <row r="991" ht="15.75" customHeight="1" s="169">
      <c r="A991" s="13" t="n"/>
      <c r="B991" s="13" t="n"/>
      <c r="C991" s="13" t="n"/>
      <c r="D991" s="13" t="n"/>
      <c r="E991" s="13" t="n"/>
    </row>
    <row r="992" ht="15.75" customHeight="1" s="169">
      <c r="A992" s="13" t="n"/>
      <c r="B992" s="13" t="n"/>
      <c r="C992" s="13" t="n"/>
      <c r="D992" s="13" t="n"/>
      <c r="E992" s="13" t="n"/>
    </row>
    <row r="993" ht="15.75" customHeight="1" s="169">
      <c r="A993" s="13" t="n"/>
      <c r="B993" s="13" t="n"/>
      <c r="C993" s="13" t="n"/>
      <c r="D993" s="13" t="n"/>
      <c r="E993" s="13" t="n"/>
    </row>
    <row r="994" ht="15.75" customHeight="1" s="169">
      <c r="A994" s="13" t="n"/>
      <c r="B994" s="13" t="n"/>
      <c r="C994" s="13" t="n"/>
      <c r="D994" s="13" t="n"/>
      <c r="E994" s="13" t="n"/>
    </row>
    <row r="995" ht="15.75" customHeight="1" s="169">
      <c r="A995" s="13" t="n"/>
      <c r="B995" s="13" t="n"/>
      <c r="C995" s="13" t="n"/>
      <c r="D995" s="13" t="n"/>
      <c r="E995" s="13" t="n"/>
    </row>
    <row r="996" ht="15.75" customHeight="1" s="169">
      <c r="A996" s="13" t="n"/>
      <c r="B996" s="13" t="n"/>
      <c r="C996" s="13" t="n"/>
      <c r="D996" s="13" t="n"/>
      <c r="E996" s="13" t="n"/>
    </row>
    <row r="997" ht="15.75" customHeight="1" s="169">
      <c r="A997" s="13" t="n"/>
      <c r="B997" s="13" t="n"/>
      <c r="C997" s="13" t="n"/>
      <c r="D997" s="13" t="n"/>
      <c r="E997" s="13" t="n"/>
    </row>
    <row r="998" ht="15.75" customHeight="1" s="169">
      <c r="A998" s="13" t="n"/>
      <c r="B998" s="13" t="n"/>
      <c r="C998" s="13" t="n"/>
      <c r="D998" s="13" t="n"/>
      <c r="E998" s="13" t="n"/>
    </row>
    <row r="999" ht="15.75" customHeight="1" s="169">
      <c r="A999" s="13" t="n"/>
      <c r="B999" s="13" t="n"/>
      <c r="C999" s="13" t="n"/>
      <c r="D999" s="13" t="n"/>
      <c r="E999" s="13" t="n"/>
    </row>
    <row r="1000" ht="15.75" customHeight="1" s="169">
      <c r="A1000" s="13" t="n"/>
      <c r="B1000" s="13" t="n"/>
      <c r="C1000" s="13" t="n"/>
      <c r="D1000" s="13" t="n"/>
      <c r="E1000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318"/>
  <sheetViews>
    <sheetView workbookViewId="0">
      <selection activeCell="A1" sqref="A1"/>
    </sheetView>
  </sheetViews>
  <sheetFormatPr baseColWidth="8" defaultColWidth="12.63" defaultRowHeight="15" customHeight="1"/>
  <cols>
    <col width="9.380000000000001" customWidth="1" style="169" min="1" max="1"/>
    <col width="30.25" customWidth="1" style="169" min="2" max="2"/>
    <col width="10.25" customWidth="1" style="169" min="3" max="3"/>
    <col width="15.13" customWidth="1" style="169" min="4" max="4"/>
    <col width="12.63" customWidth="1" style="169" min="5" max="6"/>
  </cols>
  <sheetData>
    <row r="1" ht="15.75" customHeight="1" s="169">
      <c r="A1" s="43" t="inlineStr">
        <is>
          <t>NIK</t>
        </is>
      </c>
      <c r="B1" s="43" t="inlineStr">
        <is>
          <t>Nama Karyawan</t>
        </is>
      </c>
      <c r="C1" s="43" t="inlineStr">
        <is>
          <t>Jenis Kekaryawanan</t>
        </is>
      </c>
      <c r="D1" s="43" t="inlineStr">
        <is>
          <t>Department</t>
        </is>
      </c>
      <c r="E1" s="43" t="inlineStr">
        <is>
          <t>Posisi</t>
        </is>
      </c>
      <c r="F1" s="43" t="inlineStr">
        <is>
          <t>Tanggal Scan IRIS</t>
        </is>
      </c>
      <c r="G1" s="43" t="inlineStr">
        <is>
          <t>ID IRIS</t>
        </is>
      </c>
      <c r="H1" s="43" t="inlineStr">
        <is>
          <t>Data Enrollment</t>
        </is>
      </c>
      <c r="I1" s="43" t="inlineStr">
        <is>
          <t>Status Perubahan Perbedaan Data</t>
        </is>
      </c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</row>
    <row r="2" ht="15.75" customHeight="1" s="169">
      <c r="A2" s="45" t="n">
        <v>428000004</v>
      </c>
      <c r="B2" s="44" t="inlineStr">
        <is>
          <t>ADI MUZAKI</t>
        </is>
      </c>
      <c r="C2" s="44" t="inlineStr">
        <is>
          <t>Mitra Kerja</t>
        </is>
      </c>
      <c r="D2" s="44" t="inlineStr">
        <is>
          <t>HRGA</t>
        </is>
      </c>
      <c r="E2" s="44" t="inlineStr">
        <is>
          <t>GA Vendor</t>
        </is>
      </c>
      <c r="F2" s="44" t="inlineStr">
        <is>
          <t>2025-5-13</t>
        </is>
      </c>
      <c r="G2" s="44" t="inlineStr">
        <is>
          <t>0000122823</t>
        </is>
      </c>
      <c r="H2" s="44" t="inlineStr">
        <is>
          <t xml:space="preserve"> </t>
        </is>
      </c>
      <c r="I2" s="44" t="inlineStr">
        <is>
          <t xml:space="preserve"> Completed </t>
        </is>
      </c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</row>
    <row r="3" ht="15.75" customHeight="1" s="169">
      <c r="A3" s="45" t="n">
        <v>428000006</v>
      </c>
      <c r="B3" s="44" t="inlineStr">
        <is>
          <t>BAGAS JUAN PRATAMA</t>
        </is>
      </c>
      <c r="C3" s="44" t="inlineStr">
        <is>
          <t>Mitra Kerja</t>
        </is>
      </c>
      <c r="D3" s="44" t="inlineStr">
        <is>
          <t>HRGA</t>
        </is>
      </c>
      <c r="E3" s="44" t="inlineStr">
        <is>
          <t>GA Vendor</t>
        </is>
      </c>
      <c r="F3" s="44" t="inlineStr">
        <is>
          <t>2025-5-5</t>
        </is>
      </c>
      <c r="G3" s="44" t="inlineStr">
        <is>
          <t>0000122123</t>
        </is>
      </c>
      <c r="H3" s="44" t="inlineStr">
        <is>
          <t xml:space="preserve"> </t>
        </is>
      </c>
      <c r="I3" s="44" t="inlineStr">
        <is>
          <t>-</t>
        </is>
      </c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</row>
    <row r="4" ht="15.75" customHeight="1" s="169">
      <c r="A4" s="45" t="n">
        <v>428000011</v>
      </c>
      <c r="B4" s="44" t="inlineStr">
        <is>
          <t>DINO DRAJAT</t>
        </is>
      </c>
      <c r="C4" s="44" t="inlineStr">
        <is>
          <t>Mitra Kerja</t>
        </is>
      </c>
      <c r="D4" s="44" t="inlineStr">
        <is>
          <t>HRGA</t>
        </is>
      </c>
      <c r="E4" s="44" t="inlineStr">
        <is>
          <t>GA Vendor</t>
        </is>
      </c>
      <c r="F4" s="44" t="inlineStr">
        <is>
          <t>2025-5-9</t>
        </is>
      </c>
      <c r="G4" s="44" t="inlineStr">
        <is>
          <t>0000122639</t>
        </is>
      </c>
      <c r="H4" s="44" t="inlineStr">
        <is>
          <t xml:space="preserve"> </t>
        </is>
      </c>
      <c r="I4" s="44" t="inlineStr">
        <is>
          <t>-</t>
        </is>
      </c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</row>
    <row r="5" ht="15.75" customHeight="1" s="169">
      <c r="A5" s="45" t="n">
        <v>428000012</v>
      </c>
      <c r="B5" s="44" t="inlineStr">
        <is>
          <t>RIDKI MAULANA</t>
        </is>
      </c>
      <c r="C5" s="44" t="inlineStr">
        <is>
          <t>Mitra Kerja</t>
        </is>
      </c>
      <c r="D5" s="44" t="inlineStr">
        <is>
          <t>HRGA</t>
        </is>
      </c>
      <c r="E5" s="44" t="inlineStr">
        <is>
          <t>GA Vendor</t>
        </is>
      </c>
      <c r="F5" s="44" t="inlineStr">
        <is>
          <t>2025-5-10</t>
        </is>
      </c>
      <c r="G5" s="44" t="inlineStr">
        <is>
          <t>0000122722</t>
        </is>
      </c>
      <c r="H5" s="44" t="inlineStr">
        <is>
          <t xml:space="preserve"> </t>
        </is>
      </c>
      <c r="I5" s="44" t="inlineStr">
        <is>
          <t>-</t>
        </is>
      </c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</row>
    <row r="6" ht="15.75" customHeight="1" s="169">
      <c r="A6" s="45" t="n">
        <v>428000014</v>
      </c>
      <c r="B6" s="44" t="inlineStr">
        <is>
          <t>ADITYA SAPUTRA</t>
        </is>
      </c>
      <c r="C6" s="44" t="inlineStr">
        <is>
          <t>Mitra Kerja</t>
        </is>
      </c>
      <c r="D6" s="44" t="inlineStr">
        <is>
          <t>HRGA</t>
        </is>
      </c>
      <c r="E6" s="44" t="inlineStr">
        <is>
          <t>GA Vendor</t>
        </is>
      </c>
      <c r="F6" s="44" t="inlineStr">
        <is>
          <t>2025-5-5</t>
        </is>
      </c>
      <c r="G6" s="44" t="inlineStr">
        <is>
          <t>0000122106</t>
        </is>
      </c>
      <c r="H6" s="44" t="inlineStr">
        <is>
          <t xml:space="preserve"> </t>
        </is>
      </c>
      <c r="I6" s="44" t="inlineStr">
        <is>
          <t>-</t>
        </is>
      </c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</row>
    <row r="7" ht="15.75" customHeight="1" s="169">
      <c r="A7" s="45" t="n">
        <v>428000015</v>
      </c>
      <c r="B7" s="44" t="inlineStr">
        <is>
          <t>MOCHAMMAD AJAR NURJI</t>
        </is>
      </c>
      <c r="C7" s="44" t="inlineStr">
        <is>
          <t>Mitra Kerja</t>
        </is>
      </c>
      <c r="D7" s="44" t="inlineStr">
        <is>
          <t>HRGA</t>
        </is>
      </c>
      <c r="E7" s="44" t="inlineStr">
        <is>
          <t>GA Vendor</t>
        </is>
      </c>
      <c r="F7" s="44" t="inlineStr">
        <is>
          <t>2025-5-5</t>
        </is>
      </c>
      <c r="G7" s="44" t="inlineStr">
        <is>
          <t>0000122108</t>
        </is>
      </c>
      <c r="H7" s="44" t="inlineStr">
        <is>
          <t xml:space="preserve"> </t>
        </is>
      </c>
      <c r="I7" s="44" t="inlineStr">
        <is>
          <t>-</t>
        </is>
      </c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</row>
    <row r="8" ht="15.75" customHeight="1" s="169">
      <c r="A8" s="45" t="n">
        <v>428000020</v>
      </c>
      <c r="B8" s="44" t="inlineStr">
        <is>
          <t>MUSLIM</t>
        </is>
      </c>
      <c r="C8" s="44" t="inlineStr">
        <is>
          <t>Mitra Kerja</t>
        </is>
      </c>
      <c r="D8" s="44" t="inlineStr">
        <is>
          <t>HRGA</t>
        </is>
      </c>
      <c r="E8" s="44" t="inlineStr">
        <is>
          <t>GA Vendor</t>
        </is>
      </c>
      <c r="F8" s="44" t="inlineStr">
        <is>
          <t>2025-5-5</t>
        </is>
      </c>
      <c r="G8" s="44" t="inlineStr">
        <is>
          <t>0000122121</t>
        </is>
      </c>
      <c r="H8" s="44" t="inlineStr">
        <is>
          <t xml:space="preserve"> </t>
        </is>
      </c>
      <c r="I8" s="44" t="inlineStr">
        <is>
          <t>-</t>
        </is>
      </c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</row>
    <row r="9" ht="15.75" customHeight="1" s="169">
      <c r="A9" s="45" t="n">
        <v>428000021</v>
      </c>
      <c r="B9" s="44" t="inlineStr">
        <is>
          <t>CARI IRAWAN</t>
        </is>
      </c>
      <c r="C9" s="44" t="inlineStr">
        <is>
          <t>Mitra Kerja</t>
        </is>
      </c>
      <c r="D9" s="44" t="inlineStr">
        <is>
          <t>HRGA</t>
        </is>
      </c>
      <c r="E9" s="44" t="inlineStr">
        <is>
          <t>GA Vendor</t>
        </is>
      </c>
      <c r="F9" s="44" t="inlineStr">
        <is>
          <t>2022-9-6</t>
        </is>
      </c>
      <c r="G9" s="44" t="inlineStr">
        <is>
          <t>0000055031</t>
        </is>
      </c>
      <c r="H9" s="44" t="inlineStr">
        <is>
          <t xml:space="preserve"> </t>
        </is>
      </c>
      <c r="I9" s="44" t="inlineStr">
        <is>
          <t>-</t>
        </is>
      </c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</row>
    <row r="10" ht="15.75" customHeight="1" s="169">
      <c r="A10" s="45" t="n">
        <v>428000024</v>
      </c>
      <c r="B10" s="44" t="inlineStr">
        <is>
          <t>ADI MAULANA</t>
        </is>
      </c>
      <c r="C10" s="44" t="inlineStr">
        <is>
          <t>Mitra Kerja</t>
        </is>
      </c>
      <c r="D10" s="44" t="inlineStr">
        <is>
          <t>HRGA</t>
        </is>
      </c>
      <c r="E10" s="44" t="inlineStr">
        <is>
          <t>GA Vendor</t>
        </is>
      </c>
      <c r="F10" s="44" t="inlineStr">
        <is>
          <t>2025-5-8</t>
        </is>
      </c>
      <c r="G10" s="44" t="inlineStr">
        <is>
          <t>0000122597</t>
        </is>
      </c>
      <c r="H10" s="44" t="inlineStr">
        <is>
          <t xml:space="preserve"> </t>
        </is>
      </c>
      <c r="I10" s="44" t="inlineStr">
        <is>
          <t>-</t>
        </is>
      </c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</row>
    <row r="11" ht="15.75" customHeight="1" s="169">
      <c r="A11" s="45" t="n">
        <v>428000030</v>
      </c>
      <c r="B11" s="44" t="inlineStr">
        <is>
          <t>ERDI HERDIANSYAH</t>
        </is>
      </c>
      <c r="C11" s="44" t="inlineStr">
        <is>
          <t>Mitra Kerja</t>
        </is>
      </c>
      <c r="D11" s="44" t="inlineStr">
        <is>
          <t>HRGA</t>
        </is>
      </c>
      <c r="E11" s="44" t="inlineStr">
        <is>
          <t>GA Vendor</t>
        </is>
      </c>
      <c r="F11" s="44" t="inlineStr">
        <is>
          <t>2025-5-8</t>
        </is>
      </c>
      <c r="G11" s="44" t="inlineStr">
        <is>
          <t>0000122592</t>
        </is>
      </c>
      <c r="H11" s="44" t="inlineStr">
        <is>
          <t xml:space="preserve"> </t>
        </is>
      </c>
      <c r="I11" s="44" t="inlineStr">
        <is>
          <t>-</t>
        </is>
      </c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</row>
    <row r="12" ht="15.75" customHeight="1" s="169">
      <c r="A12" s="45" t="n">
        <v>428000031</v>
      </c>
      <c r="B12" s="44" t="inlineStr">
        <is>
          <t>SARIP HIDAYAT</t>
        </is>
      </c>
      <c r="C12" s="44" t="inlineStr">
        <is>
          <t>Mitra Kerja</t>
        </is>
      </c>
      <c r="D12" s="44" t="inlineStr">
        <is>
          <t>HRGA</t>
        </is>
      </c>
      <c r="E12" s="44" t="inlineStr">
        <is>
          <t>GA Vendor</t>
        </is>
      </c>
      <c r="F12" s="44" t="inlineStr">
        <is>
          <t>2025-5-6</t>
        </is>
      </c>
      <c r="G12" s="44" t="inlineStr">
        <is>
          <t>0000122300</t>
        </is>
      </c>
      <c r="H12" s="44" t="inlineStr">
        <is>
          <t xml:space="preserve"> </t>
        </is>
      </c>
      <c r="I12" s="44" t="inlineStr">
        <is>
          <t>-</t>
        </is>
      </c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</row>
    <row r="13" ht="15.75" customHeight="1" s="169">
      <c r="A13" s="45" t="n">
        <v>428000032</v>
      </c>
      <c r="B13" s="44" t="inlineStr">
        <is>
          <t>HERI HOERUDIN</t>
        </is>
      </c>
      <c r="C13" s="44" t="inlineStr">
        <is>
          <t>Mitra Kerja</t>
        </is>
      </c>
      <c r="D13" s="44" t="inlineStr">
        <is>
          <t>HRGA</t>
        </is>
      </c>
      <c r="E13" s="44" t="inlineStr">
        <is>
          <t>GA Vendor</t>
        </is>
      </c>
      <c r="F13" s="44" t="inlineStr">
        <is>
          <t>2025-5-13</t>
        </is>
      </c>
      <c r="G13" s="44" t="inlineStr">
        <is>
          <t>0000122814</t>
        </is>
      </c>
      <c r="H13" s="44" t="inlineStr">
        <is>
          <t xml:space="preserve"> </t>
        </is>
      </c>
      <c r="I13" s="44" t="inlineStr">
        <is>
          <t xml:space="preserve"> Completed </t>
        </is>
      </c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</row>
    <row r="14" ht="15.75" customHeight="1" s="169">
      <c r="A14" s="45" t="n">
        <v>428000033</v>
      </c>
      <c r="B14" s="44" t="inlineStr">
        <is>
          <t>YUNUS FIRMANSYAH</t>
        </is>
      </c>
      <c r="C14" s="44" t="inlineStr">
        <is>
          <t>Mitra Kerja</t>
        </is>
      </c>
      <c r="D14" s="44" t="inlineStr">
        <is>
          <t>HRGA</t>
        </is>
      </c>
      <c r="E14" s="44" t="inlineStr">
        <is>
          <t>GA Vendor</t>
        </is>
      </c>
      <c r="F14" s="44" t="inlineStr">
        <is>
          <t>2025-5-5</t>
        </is>
      </c>
      <c r="G14" s="44" t="inlineStr">
        <is>
          <t>0000122115</t>
        </is>
      </c>
      <c r="H14" s="44" t="inlineStr">
        <is>
          <t xml:space="preserve"> </t>
        </is>
      </c>
      <c r="I14" s="44" t="inlineStr">
        <is>
          <t>-</t>
        </is>
      </c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</row>
    <row r="15" ht="15.75" customHeight="1" s="169">
      <c r="A15" s="45" t="n">
        <v>428000034</v>
      </c>
      <c r="B15" s="44" t="inlineStr">
        <is>
          <t>TATANG SUHERMAN</t>
        </is>
      </c>
      <c r="C15" s="44" t="inlineStr">
        <is>
          <t>Mitra Kerja</t>
        </is>
      </c>
      <c r="D15" s="44" t="inlineStr">
        <is>
          <t>HRGA</t>
        </is>
      </c>
      <c r="E15" s="44" t="inlineStr">
        <is>
          <t>GA Vendor</t>
        </is>
      </c>
      <c r="F15" s="44" t="inlineStr">
        <is>
          <t>2025-5-9</t>
        </is>
      </c>
      <c r="G15" s="44" t="inlineStr">
        <is>
          <t>0000122636</t>
        </is>
      </c>
      <c r="H15" s="44" t="inlineStr">
        <is>
          <t xml:space="preserve"> </t>
        </is>
      </c>
      <c r="I15" s="44" t="inlineStr">
        <is>
          <t xml:space="preserve"> Completed </t>
        </is>
      </c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</row>
    <row r="16" ht="15.75" customHeight="1" s="169">
      <c r="A16" s="45" t="n">
        <v>428000035</v>
      </c>
      <c r="B16" s="44" t="inlineStr">
        <is>
          <t>MASKUR</t>
        </is>
      </c>
      <c r="C16" s="44" t="inlineStr">
        <is>
          <t>Mitra Kerja</t>
        </is>
      </c>
      <c r="D16" s="44" t="inlineStr">
        <is>
          <t>HRGA</t>
        </is>
      </c>
      <c r="E16" s="44" t="inlineStr">
        <is>
          <t>GA Vendor</t>
        </is>
      </c>
      <c r="F16" s="44" t="inlineStr">
        <is>
          <t>2025-5-8</t>
        </is>
      </c>
      <c r="G16" s="44" t="inlineStr">
        <is>
          <t>0000122569</t>
        </is>
      </c>
      <c r="H16" s="44" t="inlineStr">
        <is>
          <t xml:space="preserve"> </t>
        </is>
      </c>
      <c r="I16" s="44" t="inlineStr">
        <is>
          <t xml:space="preserve"> Completed </t>
        </is>
      </c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</row>
    <row r="17" ht="15.75" customHeight="1" s="169">
      <c r="A17" s="45" t="n">
        <v>428000037</v>
      </c>
      <c r="B17" s="44" t="inlineStr">
        <is>
          <t>HASAN</t>
        </is>
      </c>
      <c r="C17" s="44" t="inlineStr">
        <is>
          <t>Mitra Kerja</t>
        </is>
      </c>
      <c r="D17" s="44" t="inlineStr">
        <is>
          <t>HRGA</t>
        </is>
      </c>
      <c r="E17" s="44" t="inlineStr">
        <is>
          <t>GA Vendor</t>
        </is>
      </c>
      <c r="F17" s="44" t="inlineStr">
        <is>
          <t>2025-5-5</t>
        </is>
      </c>
      <c r="G17" s="44" t="inlineStr">
        <is>
          <t>0000122112</t>
        </is>
      </c>
      <c r="H17" s="44" t="inlineStr">
        <is>
          <t xml:space="preserve"> </t>
        </is>
      </c>
      <c r="I17" s="44" t="inlineStr">
        <is>
          <t>-</t>
        </is>
      </c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</row>
    <row r="18" ht="15.75" customHeight="1" s="169">
      <c r="A18" s="45" t="n">
        <v>428000038</v>
      </c>
      <c r="B18" s="44" t="inlineStr">
        <is>
          <t>IWAN SETIAWAN</t>
        </is>
      </c>
      <c r="C18" s="44" t="inlineStr">
        <is>
          <t>Mitra Kerja</t>
        </is>
      </c>
      <c r="D18" s="44" t="inlineStr">
        <is>
          <t>HRGA</t>
        </is>
      </c>
      <c r="E18" s="44" t="inlineStr">
        <is>
          <t>GA Vendor</t>
        </is>
      </c>
      <c r="F18" s="44" t="inlineStr">
        <is>
          <t>2025-5-13</t>
        </is>
      </c>
      <c r="G18" s="44" t="inlineStr">
        <is>
          <t>0000122820</t>
        </is>
      </c>
      <c r="H18" s="44" t="inlineStr">
        <is>
          <t xml:space="preserve"> </t>
        </is>
      </c>
      <c r="I18" s="44" t="inlineStr">
        <is>
          <t>-</t>
        </is>
      </c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</row>
    <row r="19" ht="15.75" customHeight="1" s="169">
      <c r="A19" s="45" t="n">
        <v>428000041</v>
      </c>
      <c r="B19" s="44" t="inlineStr">
        <is>
          <t>EKI WAHYUDI</t>
        </is>
      </c>
      <c r="C19" s="44" t="inlineStr">
        <is>
          <t>Mitra Kerja</t>
        </is>
      </c>
      <c r="D19" s="44" t="inlineStr">
        <is>
          <t>HRGA</t>
        </is>
      </c>
      <c r="E19" s="44" t="inlineStr">
        <is>
          <t>GA Vendor</t>
        </is>
      </c>
      <c r="F19" s="44" t="inlineStr">
        <is>
          <t>2025-5-8</t>
        </is>
      </c>
      <c r="G19" s="44" t="inlineStr">
        <is>
          <t>0000122570</t>
        </is>
      </c>
      <c r="H19" s="44" t="inlineStr">
        <is>
          <t xml:space="preserve"> </t>
        </is>
      </c>
      <c r="I19" s="44" t="inlineStr">
        <is>
          <t>-</t>
        </is>
      </c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</row>
    <row r="20" ht="15.75" customHeight="1" s="169">
      <c r="A20" s="45" t="n">
        <v>428000042</v>
      </c>
      <c r="B20" s="44" t="inlineStr">
        <is>
          <t>DANI SUHERMAN</t>
        </is>
      </c>
      <c r="C20" s="44" t="inlineStr">
        <is>
          <t>Mitra Kerja</t>
        </is>
      </c>
      <c r="D20" s="44" t="inlineStr">
        <is>
          <t>HRGA</t>
        </is>
      </c>
      <c r="E20" s="44" t="inlineStr">
        <is>
          <t>GA Vendor</t>
        </is>
      </c>
      <c r="F20" s="44" t="inlineStr">
        <is>
          <t>2025-5-5</t>
        </is>
      </c>
      <c r="G20" s="44" t="inlineStr">
        <is>
          <t>0000122119</t>
        </is>
      </c>
      <c r="H20" s="44" t="inlineStr">
        <is>
          <t xml:space="preserve"> </t>
        </is>
      </c>
      <c r="I20" s="44" t="inlineStr">
        <is>
          <t>-</t>
        </is>
      </c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</row>
    <row r="21" ht="15.75" customHeight="1" s="169">
      <c r="A21" s="45" t="n">
        <v>428000046</v>
      </c>
      <c r="B21" s="44" t="inlineStr">
        <is>
          <t>GALILEO NURHAMZAH FALAH</t>
        </is>
      </c>
      <c r="C21" s="44" t="inlineStr">
        <is>
          <t>Mitra Kerja</t>
        </is>
      </c>
      <c r="D21" s="44" t="inlineStr">
        <is>
          <t>HRGA</t>
        </is>
      </c>
      <c r="E21" s="44" t="inlineStr">
        <is>
          <t>GA Vendor</t>
        </is>
      </c>
      <c r="F21" s="44" t="inlineStr">
        <is>
          <t>2025-5-8</t>
        </is>
      </c>
      <c r="G21" s="44" t="inlineStr">
        <is>
          <t>0000122585</t>
        </is>
      </c>
      <c r="H21" s="44" t="inlineStr">
        <is>
          <t xml:space="preserve"> </t>
        </is>
      </c>
      <c r="I21" s="44" t="inlineStr">
        <is>
          <t>-</t>
        </is>
      </c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</row>
    <row r="22" ht="15.75" customHeight="1" s="169">
      <c r="A22" s="45" t="n">
        <v>428000047</v>
      </c>
      <c r="B22" s="44" t="inlineStr">
        <is>
          <t>ISNA WARDAH NAISYAH</t>
        </is>
      </c>
      <c r="C22" s="44" t="inlineStr">
        <is>
          <t>Mitra Kerja</t>
        </is>
      </c>
      <c r="D22" s="44" t="inlineStr">
        <is>
          <t>HRGA</t>
        </is>
      </c>
      <c r="E22" s="44" t="inlineStr">
        <is>
          <t>GA Vendor</t>
        </is>
      </c>
      <c r="F22" s="44" t="inlineStr">
        <is>
          <t>2025-5-8</t>
        </is>
      </c>
      <c r="G22" s="44" t="inlineStr">
        <is>
          <t>0000122576</t>
        </is>
      </c>
      <c r="H22" s="44" t="inlineStr">
        <is>
          <t xml:space="preserve"> </t>
        </is>
      </c>
      <c r="I22" s="44" t="inlineStr">
        <is>
          <t xml:space="preserve"> Completed </t>
        </is>
      </c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</row>
    <row r="23" ht="15.75" customHeight="1" s="169">
      <c r="A23" s="45" t="n">
        <v>428000049</v>
      </c>
      <c r="B23" s="44" t="inlineStr">
        <is>
          <t>IMRON ABDUL HANAN</t>
        </is>
      </c>
      <c r="C23" s="44" t="inlineStr">
        <is>
          <t>Mitra Kerja</t>
        </is>
      </c>
      <c r="D23" s="44" t="inlineStr">
        <is>
          <t>HRGA</t>
        </is>
      </c>
      <c r="E23" s="44" t="inlineStr">
        <is>
          <t>GA Vendor</t>
        </is>
      </c>
      <c r="F23" s="44" t="inlineStr">
        <is>
          <t>2025-5-9</t>
        </is>
      </c>
      <c r="G23" s="44" t="inlineStr">
        <is>
          <t>0000122638</t>
        </is>
      </c>
      <c r="H23" s="44" t="inlineStr">
        <is>
          <t xml:space="preserve"> </t>
        </is>
      </c>
      <c r="I23" s="44" t="inlineStr">
        <is>
          <t xml:space="preserve"> To Be Corrected </t>
        </is>
      </c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</row>
    <row r="24" ht="15.75" customHeight="1" s="169">
      <c r="A24" s="45" t="n">
        <v>428000054</v>
      </c>
      <c r="B24" s="44" t="inlineStr">
        <is>
          <t>DINI DAMAYANTI</t>
        </is>
      </c>
      <c r="C24" s="44" t="inlineStr">
        <is>
          <t>Mitra Kerja</t>
        </is>
      </c>
      <c r="D24" s="44" t="inlineStr">
        <is>
          <t>HRGA</t>
        </is>
      </c>
      <c r="E24" s="44" t="inlineStr">
        <is>
          <t>GA Vendor</t>
        </is>
      </c>
      <c r="F24" s="44" t="inlineStr">
        <is>
          <t>2025-5-9</t>
        </is>
      </c>
      <c r="G24" s="44" t="inlineStr">
        <is>
          <t>0000122651</t>
        </is>
      </c>
      <c r="H24" s="44" t="inlineStr">
        <is>
          <t xml:space="preserve"> </t>
        </is>
      </c>
      <c r="I24" s="44" t="inlineStr">
        <is>
          <t>-</t>
        </is>
      </c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</row>
    <row r="25" ht="15.75" customHeight="1" s="169">
      <c r="A25" s="45" t="n">
        <v>428000056</v>
      </c>
      <c r="B25" s="44" t="inlineStr">
        <is>
          <t>ARDIFA HANSA LAUDZA</t>
        </is>
      </c>
      <c r="C25" s="44" t="inlineStr">
        <is>
          <t>Mitra Kerja</t>
        </is>
      </c>
      <c r="D25" s="44" t="inlineStr">
        <is>
          <t>HRGA</t>
        </is>
      </c>
      <c r="E25" s="44" t="inlineStr">
        <is>
          <t>GA Vendor</t>
        </is>
      </c>
      <c r="F25" s="44" t="inlineStr">
        <is>
          <t>2025-5-9</t>
        </is>
      </c>
      <c r="G25" s="44" t="inlineStr">
        <is>
          <t>0000122635</t>
        </is>
      </c>
      <c r="H25" s="44" t="inlineStr">
        <is>
          <t xml:space="preserve"> </t>
        </is>
      </c>
      <c r="I25" s="44" t="inlineStr">
        <is>
          <t xml:space="preserve"> To Be Corrected </t>
        </is>
      </c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</row>
    <row r="26" ht="15.75" customHeight="1" s="169">
      <c r="A26" s="45" t="n">
        <v>428000057</v>
      </c>
      <c r="B26" s="44" t="inlineStr">
        <is>
          <t>MEIDA PUTRI</t>
        </is>
      </c>
      <c r="C26" s="44" t="inlineStr">
        <is>
          <t>Mitra Kerja</t>
        </is>
      </c>
      <c r="D26" s="44" t="inlineStr">
        <is>
          <t>HRGA</t>
        </is>
      </c>
      <c r="E26" s="44" t="inlineStr">
        <is>
          <t>GA Vendor</t>
        </is>
      </c>
      <c r="F26" s="44" t="inlineStr">
        <is>
          <t>2025-5-15</t>
        </is>
      </c>
      <c r="G26" s="44" t="inlineStr">
        <is>
          <t>0000122921</t>
        </is>
      </c>
      <c r="H26" s="44" t="inlineStr">
        <is>
          <t xml:space="preserve"> </t>
        </is>
      </c>
      <c r="I26" s="44" t="inlineStr">
        <is>
          <t>-</t>
        </is>
      </c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</row>
    <row r="27" ht="15.75" customHeight="1" s="169">
      <c r="A27" s="45" t="n">
        <v>428000059</v>
      </c>
      <c r="B27" s="44" t="inlineStr">
        <is>
          <t>SYAHRIAL IRAWAN</t>
        </is>
      </c>
      <c r="C27" s="44" t="inlineStr">
        <is>
          <t>Mitra Kerja</t>
        </is>
      </c>
      <c r="D27" s="44" t="inlineStr">
        <is>
          <t>HRGA</t>
        </is>
      </c>
      <c r="E27" s="44" t="inlineStr">
        <is>
          <t>GA Vendor</t>
        </is>
      </c>
      <c r="F27" s="44" t="inlineStr">
        <is>
          <t>2025-5-5</t>
        </is>
      </c>
      <c r="G27" s="44" t="inlineStr">
        <is>
          <t>0000122088</t>
        </is>
      </c>
      <c r="H27" s="44" t="inlineStr">
        <is>
          <t xml:space="preserve"> </t>
        </is>
      </c>
      <c r="I27" s="44" t="inlineStr">
        <is>
          <t xml:space="preserve"> Completed </t>
        </is>
      </c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</row>
    <row r="28" ht="15.75" customHeight="1" s="169">
      <c r="A28" s="45" t="n">
        <v>428000060</v>
      </c>
      <c r="B28" s="44" t="inlineStr">
        <is>
          <t>ANTON MAULANA</t>
        </is>
      </c>
      <c r="C28" s="44" t="inlineStr">
        <is>
          <t>Mitra Kerja</t>
        </is>
      </c>
      <c r="D28" s="44" t="inlineStr">
        <is>
          <t>HRGA</t>
        </is>
      </c>
      <c r="E28" s="44" t="inlineStr">
        <is>
          <t>GA Vendor</t>
        </is>
      </c>
      <c r="F28" s="44" t="inlineStr">
        <is>
          <t>2025-5-6</t>
        </is>
      </c>
      <c r="G28" s="44" t="inlineStr">
        <is>
          <t>0000122302</t>
        </is>
      </c>
      <c r="H28" s="44" t="inlineStr">
        <is>
          <t xml:space="preserve"> </t>
        </is>
      </c>
      <c r="I28" s="44" t="inlineStr">
        <is>
          <t xml:space="preserve"> Completed </t>
        </is>
      </c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</row>
    <row r="29" ht="15.75" customHeight="1" s="169">
      <c r="A29" s="45" t="n">
        <v>428000061</v>
      </c>
      <c r="B29" s="44" t="inlineStr">
        <is>
          <t>NIA AUDINA</t>
        </is>
      </c>
      <c r="C29" s="44" t="inlineStr">
        <is>
          <t>Mitra Kerja</t>
        </is>
      </c>
      <c r="D29" s="44" t="inlineStr">
        <is>
          <t>HRGA</t>
        </is>
      </c>
      <c r="E29" s="44" t="inlineStr">
        <is>
          <t>GA Vendor</t>
        </is>
      </c>
      <c r="F29" s="44" t="inlineStr">
        <is>
          <t>2025-5-8</t>
        </is>
      </c>
      <c r="G29" s="44" t="inlineStr">
        <is>
          <t>0000122568</t>
        </is>
      </c>
      <c r="H29" s="44" t="inlineStr">
        <is>
          <t xml:space="preserve"> </t>
        </is>
      </c>
      <c r="I29" s="44" t="inlineStr">
        <is>
          <t xml:space="preserve"> Completed </t>
        </is>
      </c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</row>
    <row r="30" ht="15.75" customHeight="1" s="169">
      <c r="A30" s="45" t="n">
        <v>428000062</v>
      </c>
      <c r="B30" s="44" t="inlineStr">
        <is>
          <t>FIRA ANISA</t>
        </is>
      </c>
      <c r="C30" s="44" t="inlineStr">
        <is>
          <t>Mitra Kerja</t>
        </is>
      </c>
      <c r="D30" s="44" t="inlineStr">
        <is>
          <t>HRGA</t>
        </is>
      </c>
      <c r="E30" s="44" t="inlineStr">
        <is>
          <t>GA Vendor</t>
        </is>
      </c>
      <c r="F30" s="44" t="inlineStr">
        <is>
          <t>2025-5-13</t>
        </is>
      </c>
      <c r="G30" s="44" t="inlineStr">
        <is>
          <t>0000122813</t>
        </is>
      </c>
      <c r="H30" s="44" t="inlineStr">
        <is>
          <t xml:space="preserve"> </t>
        </is>
      </c>
      <c r="I30" s="44" t="inlineStr">
        <is>
          <t>-</t>
        </is>
      </c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</row>
    <row r="31" ht="15.75" customHeight="1" s="169">
      <c r="A31" s="45" t="n">
        <v>428000063</v>
      </c>
      <c r="B31" s="44" t="inlineStr">
        <is>
          <t>RONALD FIRMANSYAH</t>
        </is>
      </c>
      <c r="C31" s="44" t="inlineStr">
        <is>
          <t>Mitra Kerja</t>
        </is>
      </c>
      <c r="D31" s="44" t="inlineStr">
        <is>
          <t>HRGA</t>
        </is>
      </c>
      <c r="E31" s="44" t="inlineStr">
        <is>
          <t>GA Vendor</t>
        </is>
      </c>
      <c r="F31" s="44" t="inlineStr">
        <is>
          <t>2025-5-14</t>
        </is>
      </c>
      <c r="G31" s="44" t="inlineStr">
        <is>
          <t>0000122883</t>
        </is>
      </c>
      <c r="H31" s="44" t="inlineStr">
        <is>
          <t xml:space="preserve"> </t>
        </is>
      </c>
      <c r="I31" s="44" t="inlineStr">
        <is>
          <t xml:space="preserve"> Completed </t>
        </is>
      </c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</row>
    <row r="32" ht="15.75" customHeight="1" s="169">
      <c r="A32" s="45" t="n">
        <v>428000064</v>
      </c>
      <c r="B32" s="44" t="inlineStr">
        <is>
          <t>ASEP KUSWANDA</t>
        </is>
      </c>
      <c r="C32" s="44" t="inlineStr">
        <is>
          <t>Mitra Kerja</t>
        </is>
      </c>
      <c r="D32" s="44" t="inlineStr">
        <is>
          <t>HRGA</t>
        </is>
      </c>
      <c r="E32" s="44" t="inlineStr">
        <is>
          <t>GA Vendor</t>
        </is>
      </c>
      <c r="F32" s="44" t="inlineStr">
        <is>
          <t>2025-5-5</t>
        </is>
      </c>
      <c r="G32" s="44" t="inlineStr">
        <is>
          <t>0000122111</t>
        </is>
      </c>
      <c r="H32" s="44" t="inlineStr">
        <is>
          <t xml:space="preserve"> </t>
        </is>
      </c>
      <c r="I32" s="44" t="inlineStr">
        <is>
          <t>-</t>
        </is>
      </c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</row>
    <row r="33" ht="15.75" customHeight="1" s="169">
      <c r="A33" s="45" t="n">
        <v>428000065</v>
      </c>
      <c r="B33" s="44" t="inlineStr">
        <is>
          <t>JUNI ANGGARA SAPUTRA</t>
        </is>
      </c>
      <c r="C33" s="44" t="inlineStr">
        <is>
          <t>Mitra Kerja</t>
        </is>
      </c>
      <c r="D33" s="44" t="inlineStr">
        <is>
          <t>HRGA</t>
        </is>
      </c>
      <c r="E33" s="44" t="inlineStr">
        <is>
          <t>GA Vendor</t>
        </is>
      </c>
      <c r="F33" s="44" t="inlineStr">
        <is>
          <t>2025-5-5</t>
        </is>
      </c>
      <c r="G33" s="44" t="inlineStr">
        <is>
          <t>0000122103</t>
        </is>
      </c>
      <c r="H33" s="44" t="inlineStr">
        <is>
          <t xml:space="preserve"> </t>
        </is>
      </c>
      <c r="I33" s="44" t="inlineStr">
        <is>
          <t xml:space="preserve"> Completed </t>
        </is>
      </c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</row>
    <row r="34" ht="15.75" customHeight="1" s="169">
      <c r="A34" s="45" t="n">
        <v>428000067</v>
      </c>
      <c r="B34" s="44" t="inlineStr">
        <is>
          <t>NURHAYATI</t>
        </is>
      </c>
      <c r="C34" s="44" t="inlineStr">
        <is>
          <t>Mitra Kerja</t>
        </is>
      </c>
      <c r="D34" s="44" t="inlineStr">
        <is>
          <t>HRGA</t>
        </is>
      </c>
      <c r="E34" s="44" t="inlineStr">
        <is>
          <t>GA Vendor</t>
        </is>
      </c>
      <c r="F34" s="44" t="inlineStr">
        <is>
          <t>2025-5-6</t>
        </is>
      </c>
      <c r="G34" s="44" t="inlineStr">
        <is>
          <t>0000122285</t>
        </is>
      </c>
      <c r="H34" s="44" t="inlineStr">
        <is>
          <t xml:space="preserve"> </t>
        </is>
      </c>
      <c r="I34" s="44" t="inlineStr">
        <is>
          <t>-</t>
        </is>
      </c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</row>
    <row r="35" ht="15.75" customHeight="1" s="169">
      <c r="A35" s="45" t="n">
        <v>428000069</v>
      </c>
      <c r="B35" s="44" t="inlineStr">
        <is>
          <t>GITHA FAHSYA APRILIYUNIARNI JUANDI</t>
        </is>
      </c>
      <c r="C35" s="44" t="inlineStr">
        <is>
          <t>Mitra Kerja</t>
        </is>
      </c>
      <c r="D35" s="44" t="inlineStr">
        <is>
          <t>HRGA</t>
        </is>
      </c>
      <c r="E35" s="44" t="inlineStr">
        <is>
          <t>GA Vendor</t>
        </is>
      </c>
      <c r="F35" s="44" t="inlineStr">
        <is>
          <t>2025-5-5</t>
        </is>
      </c>
      <c r="G35" s="44" t="inlineStr">
        <is>
          <t>0000122098</t>
        </is>
      </c>
      <c r="H35" s="44" t="inlineStr">
        <is>
          <t xml:space="preserve"> </t>
        </is>
      </c>
      <c r="I35" s="44" t="inlineStr">
        <is>
          <t>-</t>
        </is>
      </c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</row>
    <row r="36" ht="15.75" customHeight="1" s="169">
      <c r="A36" s="45" t="n">
        <v>428000070</v>
      </c>
      <c r="B36" s="44" t="inlineStr">
        <is>
          <t>ATEP HIDAYAT</t>
        </is>
      </c>
      <c r="C36" s="44" t="inlineStr">
        <is>
          <t>Mitra Kerja</t>
        </is>
      </c>
      <c r="D36" s="44" t="inlineStr">
        <is>
          <t>HRGA</t>
        </is>
      </c>
      <c r="E36" s="44" t="inlineStr">
        <is>
          <t>GA Vendor</t>
        </is>
      </c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</row>
    <row r="37" ht="15.75" customHeight="1" s="169">
      <c r="A37" s="45" t="n">
        <v>428000071</v>
      </c>
      <c r="B37" s="44" t="inlineStr">
        <is>
          <t>DADI KURNIADI</t>
        </is>
      </c>
      <c r="C37" s="44" t="inlineStr">
        <is>
          <t>Mitra Kerja</t>
        </is>
      </c>
      <c r="D37" s="44" t="inlineStr">
        <is>
          <t>HRGA</t>
        </is>
      </c>
      <c r="E37" s="44" t="inlineStr">
        <is>
          <t>GA Vendor</t>
        </is>
      </c>
      <c r="F37" s="44" t="inlineStr">
        <is>
          <t>2025-5-6</t>
        </is>
      </c>
      <c r="G37" s="44" t="inlineStr">
        <is>
          <t>0000122287</t>
        </is>
      </c>
      <c r="H37" s="44" t="inlineStr">
        <is>
          <t xml:space="preserve"> </t>
        </is>
      </c>
      <c r="I37" s="44" t="inlineStr">
        <is>
          <t>-</t>
        </is>
      </c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</row>
    <row r="38" ht="15.75" customHeight="1" s="169">
      <c r="A38" s="45" t="n">
        <v>428000073</v>
      </c>
      <c r="B38" s="44" t="inlineStr">
        <is>
          <t>FIKRI YANDIKA RAMADHAN</t>
        </is>
      </c>
      <c r="C38" s="44" t="inlineStr">
        <is>
          <t>Mitra Kerja</t>
        </is>
      </c>
      <c r="D38" s="44" t="inlineStr">
        <is>
          <t>HRGA</t>
        </is>
      </c>
      <c r="E38" s="44" t="inlineStr">
        <is>
          <t>GA Vendor</t>
        </is>
      </c>
      <c r="F38" s="44" t="inlineStr">
        <is>
          <t>2025-5-28</t>
        </is>
      </c>
      <c r="G38" s="44" t="inlineStr">
        <is>
          <t>0000123565</t>
        </is>
      </c>
      <c r="H38" s="44" t="inlineStr">
        <is>
          <t xml:space="preserve"> </t>
        </is>
      </c>
      <c r="I38" s="44" t="inlineStr">
        <is>
          <t>-</t>
        </is>
      </c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</row>
    <row r="39" ht="15.75" customHeight="1" s="169">
      <c r="A39" s="45" t="n">
        <v>428000074</v>
      </c>
      <c r="B39" s="44" t="inlineStr">
        <is>
          <t>SUNARYO</t>
        </is>
      </c>
      <c r="C39" s="44" t="inlineStr">
        <is>
          <t>Mitra Kerja</t>
        </is>
      </c>
      <c r="D39" s="44" t="inlineStr">
        <is>
          <t>HRGA</t>
        </is>
      </c>
      <c r="E39" s="44" t="inlineStr">
        <is>
          <t>GA Vendor</t>
        </is>
      </c>
      <c r="F39" s="44" t="inlineStr">
        <is>
          <t>2025-7-5</t>
        </is>
      </c>
      <c r="G39" s="44" t="inlineStr">
        <is>
          <t>0000125311</t>
        </is>
      </c>
      <c r="H39" s="44" t="inlineStr">
        <is>
          <t xml:space="preserve"> </t>
        </is>
      </c>
      <c r="I39" s="44" t="inlineStr">
        <is>
          <t>-</t>
        </is>
      </c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</row>
    <row r="40" ht="15.75" customHeight="1" s="169">
      <c r="A40" s="45" t="n">
        <v>428000075</v>
      </c>
      <c r="B40" s="44" t="inlineStr">
        <is>
          <t>DINA VEBRIANTI</t>
        </is>
      </c>
      <c r="C40" s="44" t="inlineStr">
        <is>
          <t>Mitra Kerja</t>
        </is>
      </c>
      <c r="D40" s="44" t="inlineStr">
        <is>
          <t>HRGA</t>
        </is>
      </c>
      <c r="E40" s="44" t="inlineStr">
        <is>
          <t>GA Vendor</t>
        </is>
      </c>
      <c r="F40" s="44" t="inlineStr">
        <is>
          <t>2025-7-5</t>
        </is>
      </c>
      <c r="G40" s="44" t="inlineStr">
        <is>
          <t>0000125307</t>
        </is>
      </c>
      <c r="H40" s="44" t="inlineStr">
        <is>
          <t xml:space="preserve"> </t>
        </is>
      </c>
      <c r="I40" s="44" t="inlineStr">
        <is>
          <t>-</t>
        </is>
      </c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</row>
    <row r="41" ht="15.75" customHeight="1" s="169">
      <c r="A41" s="45" t="n">
        <v>428000076</v>
      </c>
      <c r="B41" s="44" t="inlineStr">
        <is>
          <t>ELFAN TAUFIK S</t>
        </is>
      </c>
      <c r="C41" s="44" t="inlineStr">
        <is>
          <t>Mitra Kerja</t>
        </is>
      </c>
      <c r="D41" s="44" t="inlineStr">
        <is>
          <t>HRGA</t>
        </is>
      </c>
      <c r="E41" s="44" t="inlineStr">
        <is>
          <t>GA Vendor</t>
        </is>
      </c>
      <c r="F41" s="44" t="inlineStr">
        <is>
          <t>2025-7-5</t>
        </is>
      </c>
      <c r="G41" s="44" t="inlineStr">
        <is>
          <t>0000125322</t>
        </is>
      </c>
      <c r="H41" s="44" t="inlineStr">
        <is>
          <t xml:space="preserve"> </t>
        </is>
      </c>
      <c r="I41" s="44" t="inlineStr">
        <is>
          <t xml:space="preserve"> To Be Corrected </t>
        </is>
      </c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</row>
    <row r="42" ht="15.75" customHeight="1" s="169">
      <c r="A42" s="45" t="n">
        <v>428000077</v>
      </c>
      <c r="B42" s="44" t="inlineStr">
        <is>
          <t>EKA PRADITA</t>
        </is>
      </c>
      <c r="C42" s="44" t="inlineStr">
        <is>
          <t>Mitra Kerja</t>
        </is>
      </c>
      <c r="D42" s="44" t="inlineStr">
        <is>
          <t>HRGA</t>
        </is>
      </c>
      <c r="E42" s="44" t="inlineStr">
        <is>
          <t>GA Vendor</t>
        </is>
      </c>
      <c r="F42" s="44" t="inlineStr">
        <is>
          <t>2025-7-5</t>
        </is>
      </c>
      <c r="G42" s="44" t="inlineStr">
        <is>
          <t>0000125315</t>
        </is>
      </c>
      <c r="H42" s="44" t="inlineStr">
        <is>
          <t xml:space="preserve"> </t>
        </is>
      </c>
      <c r="I42" s="44" t="inlineStr">
        <is>
          <t>-</t>
        </is>
      </c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</row>
    <row r="43" ht="15.75" customHeight="1" s="169">
      <c r="A43" s="45" t="n">
        <v>428000078</v>
      </c>
      <c r="B43" s="44" t="inlineStr">
        <is>
          <t>ARIF MAULANA Y</t>
        </is>
      </c>
      <c r="C43" s="44" t="inlineStr">
        <is>
          <t>Mitra Kerja</t>
        </is>
      </c>
      <c r="D43" s="44" t="inlineStr">
        <is>
          <t>HRGA</t>
        </is>
      </c>
      <c r="E43" s="44" t="inlineStr">
        <is>
          <t>GA Vendor</t>
        </is>
      </c>
      <c r="F43" s="44" t="inlineStr">
        <is>
          <t>2025-7-5</t>
        </is>
      </c>
      <c r="G43" s="44" t="inlineStr">
        <is>
          <t>0000125314</t>
        </is>
      </c>
      <c r="H43" s="44" t="inlineStr">
        <is>
          <t xml:space="preserve"> </t>
        </is>
      </c>
      <c r="I43" s="44" t="inlineStr">
        <is>
          <t xml:space="preserve"> To Be Corrected </t>
        </is>
      </c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</row>
    <row r="44" ht="15.75" customHeight="1" s="169">
      <c r="A44" s="45" t="n">
        <v>428000079</v>
      </c>
      <c r="B44" s="44" t="inlineStr">
        <is>
          <t>TAOPIK HIDAYAT</t>
        </is>
      </c>
      <c r="C44" s="44" t="inlineStr">
        <is>
          <t>Mitra Kerja</t>
        </is>
      </c>
      <c r="D44" s="44" t="inlineStr">
        <is>
          <t>HRGA</t>
        </is>
      </c>
      <c r="E44" s="44" t="inlineStr">
        <is>
          <t>GA Vendor</t>
        </is>
      </c>
      <c r="F44" s="44" t="inlineStr">
        <is>
          <t>2025-7-5</t>
        </is>
      </c>
      <c r="G44" s="44" t="inlineStr">
        <is>
          <t>0000125318</t>
        </is>
      </c>
      <c r="H44" s="44" t="inlineStr">
        <is>
          <t xml:space="preserve"> </t>
        </is>
      </c>
      <c r="I44" s="44" t="inlineStr">
        <is>
          <t>-</t>
        </is>
      </c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</row>
    <row r="45" ht="15.75" customHeight="1" s="169">
      <c r="A45" s="45" t="n">
        <v>428000080</v>
      </c>
      <c r="B45" s="44" t="inlineStr">
        <is>
          <t>ROHIM</t>
        </is>
      </c>
      <c r="C45" s="44" t="inlineStr">
        <is>
          <t>Mitra Kerja</t>
        </is>
      </c>
      <c r="D45" s="44" t="inlineStr">
        <is>
          <t>HRGA</t>
        </is>
      </c>
      <c r="E45" s="44" t="inlineStr">
        <is>
          <t>GA Vendor</t>
        </is>
      </c>
      <c r="F45" s="44" t="inlineStr">
        <is>
          <t>2025-7-5</t>
        </is>
      </c>
      <c r="G45" s="44" t="inlineStr">
        <is>
          <t>0000125309</t>
        </is>
      </c>
      <c r="H45" s="44" t="inlineStr">
        <is>
          <t xml:space="preserve"> </t>
        </is>
      </c>
      <c r="I45" s="44" t="inlineStr">
        <is>
          <t>-</t>
        </is>
      </c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</row>
    <row r="46" ht="15.75" customHeight="1" s="169">
      <c r="A46" s="45" t="n">
        <v>428000081</v>
      </c>
      <c r="B46" s="44" t="inlineStr">
        <is>
          <t>M TANTAN T</t>
        </is>
      </c>
      <c r="C46" s="44" t="inlineStr">
        <is>
          <t>Mitra Kerja</t>
        </is>
      </c>
      <c r="D46" s="44" t="inlineStr">
        <is>
          <t>HRGA</t>
        </is>
      </c>
      <c r="E46" s="44" t="inlineStr">
        <is>
          <t>GA Vendor</t>
        </is>
      </c>
      <c r="F46" s="44" t="inlineStr">
        <is>
          <t>2025-7-5</t>
        </is>
      </c>
      <c r="G46" s="44" t="inlineStr">
        <is>
          <t>0000125308</t>
        </is>
      </c>
      <c r="H46" s="44" t="inlineStr">
        <is>
          <t xml:space="preserve"> </t>
        </is>
      </c>
      <c r="I46" s="44" t="inlineStr">
        <is>
          <t xml:space="preserve"> To Be Corrected </t>
        </is>
      </c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</row>
    <row r="47" ht="15.75" customHeight="1" s="169">
      <c r="A47" s="45" t="n">
        <v>428000083</v>
      </c>
      <c r="B47" s="44" t="inlineStr">
        <is>
          <t>RIKI SONJAYA</t>
        </is>
      </c>
      <c r="C47" s="44" t="inlineStr">
        <is>
          <t>Mitra Kerja</t>
        </is>
      </c>
      <c r="D47" s="44" t="inlineStr">
        <is>
          <t>HRGA</t>
        </is>
      </c>
      <c r="E47" s="44" t="inlineStr">
        <is>
          <t>GA Vendor</t>
        </is>
      </c>
      <c r="F47" s="44" t="inlineStr">
        <is>
          <t>2025-7-5</t>
        </is>
      </c>
      <c r="G47" s="44" t="inlineStr">
        <is>
          <t>0000125313</t>
        </is>
      </c>
      <c r="H47" s="44" t="inlineStr">
        <is>
          <t xml:space="preserve"> </t>
        </is>
      </c>
      <c r="I47" s="44" t="inlineStr">
        <is>
          <t>-</t>
        </is>
      </c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</row>
    <row r="48" ht="15.75" customHeight="1" s="169">
      <c r="A48" s="45" t="n">
        <v>428000084</v>
      </c>
      <c r="B48" s="44" t="inlineStr">
        <is>
          <t>EKA SETIAWAN</t>
        </is>
      </c>
      <c r="C48" s="44" t="inlineStr">
        <is>
          <t>Mitra Kerja</t>
        </is>
      </c>
      <c r="D48" s="44" t="inlineStr">
        <is>
          <t>HRGA</t>
        </is>
      </c>
      <c r="E48" s="44" t="inlineStr">
        <is>
          <t>GA Vendor</t>
        </is>
      </c>
      <c r="F48" s="44" t="inlineStr">
        <is>
          <t>2025-7-5</t>
        </is>
      </c>
      <c r="G48" s="44" t="inlineStr">
        <is>
          <t>0000125312</t>
        </is>
      </c>
      <c r="H48" s="44" t="inlineStr">
        <is>
          <t xml:space="preserve"> </t>
        </is>
      </c>
      <c r="I48" s="44" t="inlineStr">
        <is>
          <t>-</t>
        </is>
      </c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</row>
    <row r="49" ht="15.75" customHeight="1" s="169">
      <c r="A49" s="45" t="n">
        <v>428000085</v>
      </c>
      <c r="B49" s="44" t="inlineStr">
        <is>
          <t>INDRA</t>
        </is>
      </c>
      <c r="C49" s="44" t="inlineStr">
        <is>
          <t>Mitra Kerja</t>
        </is>
      </c>
      <c r="D49" s="44" t="inlineStr">
        <is>
          <t>HRGA</t>
        </is>
      </c>
      <c r="E49" s="44" t="inlineStr">
        <is>
          <t>GA Vendor</t>
        </is>
      </c>
      <c r="F49" s="44" t="inlineStr">
        <is>
          <t>2025-7-5</t>
        </is>
      </c>
      <c r="G49" s="44" t="inlineStr">
        <is>
          <t>0000125310</t>
        </is>
      </c>
      <c r="H49" s="44" t="inlineStr">
        <is>
          <t xml:space="preserve"> </t>
        </is>
      </c>
      <c r="I49" s="44" t="inlineStr">
        <is>
          <t>-</t>
        </is>
      </c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</row>
    <row r="50" ht="15.75" customHeight="1" s="169">
      <c r="A50" s="45" t="n">
        <v>428000086</v>
      </c>
      <c r="B50" s="44" t="inlineStr">
        <is>
          <t>AGUS SUPRIATNA</t>
        </is>
      </c>
      <c r="C50" s="44" t="inlineStr">
        <is>
          <t>Mitra Kerja</t>
        </is>
      </c>
      <c r="D50" s="44" t="inlineStr">
        <is>
          <t>HRGA</t>
        </is>
      </c>
      <c r="E50" s="44" t="inlineStr">
        <is>
          <t>GA Vendor</t>
        </is>
      </c>
      <c r="F50" s="44" t="inlineStr">
        <is>
          <t>2025-7-21</t>
        </is>
      </c>
      <c r="G50" s="44" t="inlineStr">
        <is>
          <t>0000126122</t>
        </is>
      </c>
      <c r="H50" s="44" t="inlineStr">
        <is>
          <t xml:space="preserve"> </t>
        </is>
      </c>
      <c r="I50" s="44" t="inlineStr">
        <is>
          <t>-</t>
        </is>
      </c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</row>
    <row r="51" ht="15.75" customHeight="1" s="169">
      <c r="A51" s="45" t="n">
        <v>428000087</v>
      </c>
      <c r="B51" s="44" t="inlineStr">
        <is>
          <t>DEBI RAMDHANI</t>
        </is>
      </c>
      <c r="C51" s="44" t="inlineStr">
        <is>
          <t>Mitra Kerja</t>
        </is>
      </c>
      <c r="D51" s="44" t="inlineStr">
        <is>
          <t>HRGA</t>
        </is>
      </c>
      <c r="E51" s="44" t="inlineStr">
        <is>
          <t>GA Vendor</t>
        </is>
      </c>
      <c r="F51" s="44" t="inlineStr">
        <is>
          <t>2025-7-21</t>
        </is>
      </c>
      <c r="G51" s="44" t="inlineStr">
        <is>
          <t>0000126127</t>
        </is>
      </c>
      <c r="H51" s="44" t="inlineStr">
        <is>
          <t xml:space="preserve"> </t>
        </is>
      </c>
      <c r="I51" s="44" t="inlineStr">
        <is>
          <t xml:space="preserve"> To Be Corrected </t>
        </is>
      </c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</row>
    <row r="52" ht="15.75" customHeight="1" s="169">
      <c r="A52" s="45" t="n">
        <v>428000088</v>
      </c>
      <c r="B52" s="44" t="inlineStr">
        <is>
          <t>IRWAN SETIAWAN</t>
        </is>
      </c>
      <c r="C52" s="44" t="inlineStr">
        <is>
          <t>Mitra Kerja</t>
        </is>
      </c>
      <c r="D52" s="44" t="inlineStr">
        <is>
          <t>HRGA</t>
        </is>
      </c>
      <c r="E52" s="44" t="inlineStr">
        <is>
          <t>GA Vendor</t>
        </is>
      </c>
      <c r="F52" s="44" t="inlineStr">
        <is>
          <t>2025-7-21</t>
        </is>
      </c>
      <c r="G52" s="44" t="inlineStr">
        <is>
          <t>0000126123</t>
        </is>
      </c>
      <c r="H52" s="44" t="inlineStr">
        <is>
          <t xml:space="preserve"> </t>
        </is>
      </c>
      <c r="I52" s="44" t="inlineStr">
        <is>
          <t>-</t>
        </is>
      </c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</row>
    <row r="53" ht="15.75" customHeight="1" s="169">
      <c r="A53" s="45" t="n">
        <v>428000089</v>
      </c>
      <c r="B53" s="44" t="inlineStr">
        <is>
          <t>SOPIYAN S</t>
        </is>
      </c>
      <c r="C53" s="44" t="inlineStr">
        <is>
          <t>Mitra Kerja</t>
        </is>
      </c>
      <c r="D53" s="44" t="inlineStr">
        <is>
          <t>HRGA</t>
        </is>
      </c>
      <c r="E53" s="44" t="inlineStr">
        <is>
          <t>GA Vendor</t>
        </is>
      </c>
      <c r="F53" s="44" t="inlineStr">
        <is>
          <t>2025-7-21</t>
        </is>
      </c>
      <c r="G53" s="44" t="inlineStr">
        <is>
          <t>0000126124</t>
        </is>
      </c>
      <c r="H53" s="44" t="inlineStr">
        <is>
          <t xml:space="preserve"> </t>
        </is>
      </c>
      <c r="I53" s="44" t="inlineStr">
        <is>
          <t xml:space="preserve"> To Be Corrected </t>
        </is>
      </c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</row>
    <row r="54" ht="15.75" customHeight="1" s="169">
      <c r="A54" s="45" t="n">
        <v>428000090</v>
      </c>
      <c r="B54" s="44" t="inlineStr">
        <is>
          <t>MAMAD FAJAR HIDAYAT</t>
        </is>
      </c>
      <c r="C54" s="44" t="inlineStr">
        <is>
          <t>Mitra Kerja</t>
        </is>
      </c>
      <c r="D54" s="44" t="inlineStr">
        <is>
          <t>HRGA</t>
        </is>
      </c>
      <c r="E54" s="44" t="inlineStr">
        <is>
          <t>GA Vendor</t>
        </is>
      </c>
      <c r="F54" s="44" t="inlineStr">
        <is>
          <t>2025-9-2</t>
        </is>
      </c>
      <c r="G54" s="44" t="inlineStr">
        <is>
          <t>0000128490</t>
        </is>
      </c>
      <c r="H54" s="44" t="inlineStr">
        <is>
          <t xml:space="preserve"> </t>
        </is>
      </c>
      <c r="I54" s="44" t="inlineStr">
        <is>
          <t>-</t>
        </is>
      </c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</row>
    <row r="55" ht="15.75" customHeight="1" s="169">
      <c r="A55" s="45" t="n">
        <v>428000091</v>
      </c>
      <c r="B55" s="44" t="inlineStr">
        <is>
          <t>SOLEH MAMUN</t>
        </is>
      </c>
      <c r="C55" s="44" t="inlineStr">
        <is>
          <t>Mitra Kerja</t>
        </is>
      </c>
      <c r="D55" s="44" t="inlineStr">
        <is>
          <t>HRGA</t>
        </is>
      </c>
      <c r="E55" s="44" t="inlineStr">
        <is>
          <t>GA Vendor</t>
        </is>
      </c>
      <c r="F55" s="44" t="inlineStr">
        <is>
          <t>2025-9-2</t>
        </is>
      </c>
      <c r="G55" s="44" t="inlineStr">
        <is>
          <t>0000128487</t>
        </is>
      </c>
      <c r="H55" s="44" t="inlineStr">
        <is>
          <t xml:space="preserve"> </t>
        </is>
      </c>
      <c r="I55" s="44" t="inlineStr">
        <is>
          <t>-</t>
        </is>
      </c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</row>
    <row r="56" ht="15.75" customHeight="1" s="169">
      <c r="A56" s="45" t="n">
        <v>428000092</v>
      </c>
      <c r="B56" s="44" t="inlineStr">
        <is>
          <t>ASEP SAEPUDIN</t>
        </is>
      </c>
      <c r="C56" s="44" t="inlineStr">
        <is>
          <t>Mitra Kerja</t>
        </is>
      </c>
      <c r="D56" s="44" t="inlineStr">
        <is>
          <t>HRGA</t>
        </is>
      </c>
      <c r="E56" s="44" t="inlineStr">
        <is>
          <t>GA Vendor</t>
        </is>
      </c>
      <c r="F56" s="44" t="inlineStr">
        <is>
          <t>2025-5-16</t>
        </is>
      </c>
      <c r="G56" s="44" t="inlineStr">
        <is>
          <t>0000123053</t>
        </is>
      </c>
      <c r="H56" s="44" t="inlineStr">
        <is>
          <t xml:space="preserve"> </t>
        </is>
      </c>
      <c r="I56" s="44" t="inlineStr">
        <is>
          <t>-</t>
        </is>
      </c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</row>
    <row r="57" ht="15.75" customHeight="1" s="169">
      <c r="A57" s="45" t="n">
        <v>428000093</v>
      </c>
      <c r="B57" s="44" t="inlineStr">
        <is>
          <t>ABDUL FATAH</t>
        </is>
      </c>
      <c r="C57" s="44" t="inlineStr">
        <is>
          <t>Mitra Kerja</t>
        </is>
      </c>
      <c r="D57" s="44" t="inlineStr">
        <is>
          <t>HRGA</t>
        </is>
      </c>
      <c r="E57" s="44" t="inlineStr">
        <is>
          <t>GA Vendor</t>
        </is>
      </c>
      <c r="F57" s="44" t="inlineStr">
        <is>
          <t>2025-10-14</t>
        </is>
      </c>
      <c r="G57" s="44" t="inlineStr">
        <is>
          <t>0000130609</t>
        </is>
      </c>
      <c r="H57" s="44" t="inlineStr">
        <is>
          <t xml:space="preserve"> </t>
        </is>
      </c>
      <c r="I57" s="44" t="inlineStr">
        <is>
          <t>-</t>
        </is>
      </c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</row>
    <row r="58" ht="15.75" customHeight="1" s="169">
      <c r="A58" s="45" t="n">
        <v>428000094</v>
      </c>
      <c r="B58" s="44" t="inlineStr">
        <is>
          <t>JENI JAELANI</t>
        </is>
      </c>
      <c r="C58" s="44" t="inlineStr">
        <is>
          <t>Mitra Kerja</t>
        </is>
      </c>
      <c r="D58" s="44" t="inlineStr">
        <is>
          <t>HRGA</t>
        </is>
      </c>
      <c r="E58" s="44" t="inlineStr">
        <is>
          <t>GA Vendor</t>
        </is>
      </c>
      <c r="F58" s="44" t="inlineStr">
        <is>
          <t>2025-10-14</t>
        </is>
      </c>
      <c r="G58" s="44" t="inlineStr">
        <is>
          <t>0000130611</t>
        </is>
      </c>
      <c r="H58" s="44" t="inlineStr">
        <is>
          <t xml:space="preserve"> </t>
        </is>
      </c>
      <c r="I58" s="44" t="inlineStr">
        <is>
          <t xml:space="preserve"> To Be Corrected </t>
        </is>
      </c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</row>
    <row r="59" ht="15.75" customHeight="1" s="169">
      <c r="A59" s="45" t="n">
        <v>428000095</v>
      </c>
      <c r="B59" s="44" t="inlineStr">
        <is>
          <t>Muhamad Lutfi Fathir</t>
        </is>
      </c>
      <c r="C59" s="44" t="inlineStr">
        <is>
          <t>Mitra Kerja</t>
        </is>
      </c>
      <c r="D59" s="44" t="inlineStr">
        <is>
          <t>HRGA</t>
        </is>
      </c>
      <c r="E59" s="44" t="inlineStr">
        <is>
          <t>GA Vendor</t>
        </is>
      </c>
      <c r="F59" s="44" t="inlineStr">
        <is>
          <t>2025-11-1</t>
        </is>
      </c>
      <c r="G59" s="44" t="inlineStr">
        <is>
          <t>0000131400</t>
        </is>
      </c>
      <c r="H59" s="44" t="inlineStr">
        <is>
          <t xml:space="preserve"> </t>
        </is>
      </c>
      <c r="I59" s="44" t="inlineStr">
        <is>
          <t>-</t>
        </is>
      </c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</row>
    <row r="60" ht="15.75" customHeight="1" s="169">
      <c r="A60" s="45" t="n">
        <v>428000096</v>
      </c>
      <c r="B60" s="44" t="inlineStr">
        <is>
          <t>Aohui Zhang</t>
        </is>
      </c>
      <c r="C60" s="44" t="inlineStr">
        <is>
          <t>Mitra Kerja</t>
        </is>
      </c>
      <c r="D60" s="44" t="inlineStr">
        <is>
          <t>HRGA</t>
        </is>
      </c>
      <c r="E60" s="44" t="inlineStr">
        <is>
          <t>HRD Vendor</t>
        </is>
      </c>
      <c r="F60" s="44" t="inlineStr">
        <is>
          <t>2026-1-24</t>
        </is>
      </c>
      <c r="G60" s="44" t="inlineStr">
        <is>
          <t>0000135081</t>
        </is>
      </c>
      <c r="H60" s="44" t="inlineStr">
        <is>
          <t xml:space="preserve"> </t>
        </is>
      </c>
      <c r="I60" s="44" t="inlineStr">
        <is>
          <t xml:space="preserve"> To Be Corrected </t>
        </is>
      </c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</row>
    <row r="61" ht="15.75" customHeight="1" s="169">
      <c r="A61" s="45" t="n">
        <v>428000097</v>
      </c>
      <c r="B61" s="44" t="inlineStr">
        <is>
          <t>Changwu Yang</t>
        </is>
      </c>
      <c r="C61" s="44" t="inlineStr">
        <is>
          <t>Mitra Kerja</t>
        </is>
      </c>
      <c r="D61" s="44" t="inlineStr">
        <is>
          <t>HRGA</t>
        </is>
      </c>
      <c r="E61" s="44" t="inlineStr">
        <is>
          <t>HRD Vendor</t>
        </is>
      </c>
      <c r="F61" s="44" t="inlineStr">
        <is>
          <t>2026-1-24</t>
        </is>
      </c>
      <c r="G61" s="44" t="inlineStr">
        <is>
          <t>0000135080</t>
        </is>
      </c>
      <c r="H61" s="44" t="inlineStr">
        <is>
          <t xml:space="preserve"> </t>
        </is>
      </c>
      <c r="I61" s="44" t="inlineStr">
        <is>
          <t xml:space="preserve"> To Be Corrected </t>
        </is>
      </c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</row>
    <row r="62" ht="15.75" customHeight="1" s="169">
      <c r="A62" s="45" t="n">
        <v>428000098</v>
      </c>
      <c r="B62" s="44" t="inlineStr">
        <is>
          <t>Wan Jiang</t>
        </is>
      </c>
      <c r="C62" s="44" t="inlineStr">
        <is>
          <t>Mitra Kerja</t>
        </is>
      </c>
      <c r="D62" s="44" t="inlineStr">
        <is>
          <t>HRGA</t>
        </is>
      </c>
      <c r="E62" s="44" t="inlineStr">
        <is>
          <t>HRD Vendor</t>
        </is>
      </c>
      <c r="F62" s="44" t="inlineStr">
        <is>
          <t>2026-1-26</t>
        </is>
      </c>
      <c r="G62" s="44" t="inlineStr">
        <is>
          <t>0000135126</t>
        </is>
      </c>
      <c r="H62" s="44" t="inlineStr">
        <is>
          <t xml:space="preserve"> </t>
        </is>
      </c>
      <c r="I62" s="44" t="inlineStr">
        <is>
          <t xml:space="preserve"> To Be Corrected </t>
        </is>
      </c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</row>
    <row r="63" ht="15.75" customHeight="1" s="169">
      <c r="A63" s="45" t="n">
        <v>428000099</v>
      </c>
      <c r="B63" s="44" t="inlineStr">
        <is>
          <t>Zichun Wang</t>
        </is>
      </c>
      <c r="C63" s="44" t="inlineStr">
        <is>
          <t>Mitra Kerja</t>
        </is>
      </c>
      <c r="D63" s="44" t="inlineStr">
        <is>
          <t>HRGA</t>
        </is>
      </c>
      <c r="E63" s="44" t="inlineStr">
        <is>
          <t>HRD Vendor</t>
        </is>
      </c>
      <c r="F63" s="44" t="inlineStr">
        <is>
          <t>2026-1-29</t>
        </is>
      </c>
      <c r="G63" s="44" t="inlineStr">
        <is>
          <t>0000135363</t>
        </is>
      </c>
      <c r="H63" s="44" t="inlineStr">
        <is>
          <t xml:space="preserve"> </t>
        </is>
      </c>
      <c r="I63" s="44" t="inlineStr">
        <is>
          <t xml:space="preserve"> To Be Corrected </t>
        </is>
      </c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</row>
    <row r="64" ht="15.75" customHeight="1" s="169">
      <c r="A64" s="45" t="n">
        <v>428000100</v>
      </c>
      <c r="B64" s="44" t="inlineStr">
        <is>
          <t>Jun Xu</t>
        </is>
      </c>
      <c r="C64" s="44" t="inlineStr">
        <is>
          <t>Mitra Kerja</t>
        </is>
      </c>
      <c r="D64" s="44" t="inlineStr">
        <is>
          <t>HRGA</t>
        </is>
      </c>
      <c r="E64" s="44" t="inlineStr">
        <is>
          <t>HRD Harian</t>
        </is>
      </c>
      <c r="F64" s="44" t="inlineStr">
        <is>
          <t>2026-1-29</t>
        </is>
      </c>
      <c r="G64" s="44" t="inlineStr">
        <is>
          <t>0000135364</t>
        </is>
      </c>
      <c r="H64" s="44" t="inlineStr">
        <is>
          <t xml:space="preserve"> </t>
        </is>
      </c>
      <c r="I64" s="44" t="inlineStr">
        <is>
          <t xml:space="preserve"> To Be Corrected </t>
        </is>
      </c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</row>
    <row r="65" ht="15.75" customHeight="1" s="169">
      <c r="A65" s="45" t="n">
        <v>428000101</v>
      </c>
      <c r="B65" s="44" t="inlineStr">
        <is>
          <t>Jiang Mangke</t>
        </is>
      </c>
      <c r="C65" s="44" t="inlineStr">
        <is>
          <t>Mitra Kerja</t>
        </is>
      </c>
      <c r="D65" s="44" t="inlineStr">
        <is>
          <t>HRGA</t>
        </is>
      </c>
      <c r="E65" s="44" t="inlineStr">
        <is>
          <t>HRD Vendor</t>
        </is>
      </c>
      <c r="F65" s="44" t="inlineStr">
        <is>
          <t>2026-3-7</t>
        </is>
      </c>
      <c r="G65" s="44" t="inlineStr">
        <is>
          <t>0000136716</t>
        </is>
      </c>
      <c r="H65" s="44" t="inlineStr">
        <is>
          <t xml:space="preserve"> </t>
        </is>
      </c>
      <c r="I65" s="44" t="inlineStr">
        <is>
          <t xml:space="preserve"> To Be Corrected </t>
        </is>
      </c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</row>
    <row r="66" ht="15.75" customHeight="1" s="169">
      <c r="A66" s="45" t="n">
        <v>428000102</v>
      </c>
      <c r="B66" s="44" t="inlineStr">
        <is>
          <t>Abdul Aziz</t>
        </is>
      </c>
      <c r="C66" s="44" t="inlineStr">
        <is>
          <t>Mitra Kerja</t>
        </is>
      </c>
      <c r="D66" s="44" t="inlineStr">
        <is>
          <t>HRGA</t>
        </is>
      </c>
      <c r="E66" s="44" t="inlineStr">
        <is>
          <t>GA Vendor</t>
        </is>
      </c>
      <c r="F66" s="44" t="inlineStr">
        <is>
          <t>2026-3-12</t>
        </is>
      </c>
      <c r="G66" s="44" t="inlineStr">
        <is>
          <t>0000136758</t>
        </is>
      </c>
      <c r="H66" s="44" t="inlineStr">
        <is>
          <t xml:space="preserve"> </t>
        </is>
      </c>
      <c r="I66" s="44" t="inlineStr">
        <is>
          <t>-</t>
        </is>
      </c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</row>
    <row r="67" ht="15.75" customHeight="1" s="169">
      <c r="A67" s="45" t="n">
        <v>428000103</v>
      </c>
      <c r="B67" s="44" t="inlineStr">
        <is>
          <t>Yuan Kai</t>
        </is>
      </c>
      <c r="C67" s="44" t="inlineStr">
        <is>
          <t>Mitra Kerja</t>
        </is>
      </c>
      <c r="D67" s="44" t="inlineStr">
        <is>
          <t>HRGA</t>
        </is>
      </c>
      <c r="E67" s="44" t="inlineStr">
        <is>
          <t>HRD Vendor</t>
        </is>
      </c>
      <c r="F67" s="44" t="inlineStr">
        <is>
          <t>2026-5-11</t>
        </is>
      </c>
      <c r="G67" s="44" t="inlineStr">
        <is>
          <t>0000138953</t>
        </is>
      </c>
      <c r="H67" s="44" t="inlineStr">
        <is>
          <t xml:space="preserve"> </t>
        </is>
      </c>
      <c r="I67" s="44" t="inlineStr">
        <is>
          <t>-</t>
        </is>
      </c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</row>
    <row r="68" ht="15.75" customHeight="1" s="169">
      <c r="A68" s="45" t="n">
        <v>428000104</v>
      </c>
      <c r="B68" s="44" t="inlineStr">
        <is>
          <t>BELLA NURLAILLA. AP</t>
        </is>
      </c>
      <c r="C68" s="44" t="inlineStr">
        <is>
          <t>Mitra Kerja</t>
        </is>
      </c>
      <c r="D68" s="44" t="inlineStr">
        <is>
          <t>HRGA</t>
        </is>
      </c>
      <c r="E68" s="44" t="inlineStr">
        <is>
          <t>GA Vendor</t>
        </is>
      </c>
      <c r="F68" s="44" t="inlineStr">
        <is>
          <t>2026-5-21</t>
        </is>
      </c>
      <c r="G68" s="44" t="inlineStr">
        <is>
          <t>0000140062</t>
        </is>
      </c>
      <c r="H68" s="44" t="inlineStr">
        <is>
          <t xml:space="preserve"> </t>
        </is>
      </c>
      <c r="I68" s="44" t="inlineStr">
        <is>
          <t>-</t>
        </is>
      </c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</row>
    <row r="69" ht="15.75" customHeight="1" s="169">
      <c r="A69" s="45" t="n">
        <v>528000015</v>
      </c>
      <c r="B69" s="44" t="inlineStr">
        <is>
          <t>Erwin</t>
        </is>
      </c>
      <c r="C69" s="44" t="inlineStr">
        <is>
          <t>Mitra Kerja</t>
        </is>
      </c>
      <c r="D69" s="44" t="inlineStr">
        <is>
          <t>LOG</t>
        </is>
      </c>
      <c r="E69" s="44" t="inlineStr">
        <is>
          <t>WRM Harian</t>
        </is>
      </c>
      <c r="F69" s="44" t="inlineStr">
        <is>
          <t>2025-5-10</t>
        </is>
      </c>
      <c r="G69" s="44" t="inlineStr">
        <is>
          <t>0000122715</t>
        </is>
      </c>
      <c r="H69" s="44" t="inlineStr">
        <is>
          <t xml:space="preserve"> </t>
        </is>
      </c>
      <c r="I69" s="44" t="inlineStr">
        <is>
          <t xml:space="preserve"> Completed </t>
        </is>
      </c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</row>
    <row r="70" ht="15.75" customHeight="1" s="169">
      <c r="A70" s="45" t="n">
        <v>528000016</v>
      </c>
      <c r="B70" s="44" t="inlineStr">
        <is>
          <t>Randi Apriyanto</t>
        </is>
      </c>
      <c r="C70" s="44" t="inlineStr">
        <is>
          <t>Mitra Kerja</t>
        </is>
      </c>
      <c r="D70" s="44" t="inlineStr">
        <is>
          <t>LOG</t>
        </is>
      </c>
      <c r="E70" s="44" t="inlineStr">
        <is>
          <t>WRM Harian</t>
        </is>
      </c>
      <c r="F70" s="44" t="inlineStr">
        <is>
          <t>2025-5-10</t>
        </is>
      </c>
      <c r="G70" s="44" t="inlineStr">
        <is>
          <t>0000122714</t>
        </is>
      </c>
      <c r="H70" s="44" t="inlineStr">
        <is>
          <t xml:space="preserve"> </t>
        </is>
      </c>
      <c r="I70" s="44" t="inlineStr">
        <is>
          <t xml:space="preserve"> Completed </t>
        </is>
      </c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</row>
    <row r="71" ht="15.75" customHeight="1" s="169">
      <c r="A71" s="45" t="n">
        <v>528000040</v>
      </c>
      <c r="B71" s="44" t="inlineStr">
        <is>
          <t>Agus Suryaman</t>
        </is>
      </c>
      <c r="C71" s="44" t="inlineStr">
        <is>
          <t>Mitra Kerja</t>
        </is>
      </c>
      <c r="D71" s="44" t="inlineStr">
        <is>
          <t>PROD</t>
        </is>
      </c>
      <c r="E71" s="44" t="inlineStr">
        <is>
          <t>Produksi Harian</t>
        </is>
      </c>
      <c r="F71" s="44" t="inlineStr">
        <is>
          <t>2025-5-9</t>
        </is>
      </c>
      <c r="G71" s="44" t="inlineStr">
        <is>
          <t>0000122682</t>
        </is>
      </c>
      <c r="H71" s="44" t="inlineStr">
        <is>
          <t xml:space="preserve"> </t>
        </is>
      </c>
      <c r="I71" s="44" t="inlineStr">
        <is>
          <t xml:space="preserve"> To Be Corrected </t>
        </is>
      </c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</row>
    <row r="72" ht="15.75" customHeight="1" s="169">
      <c r="A72" s="45" t="n">
        <v>528000052</v>
      </c>
      <c r="B72" s="44" t="inlineStr">
        <is>
          <t>Mustopa</t>
        </is>
      </c>
      <c r="C72" s="44" t="inlineStr">
        <is>
          <t>Mitra Kerja</t>
        </is>
      </c>
      <c r="D72" s="44" t="inlineStr">
        <is>
          <t>PROD</t>
        </is>
      </c>
      <c r="E72" s="44" t="inlineStr">
        <is>
          <t>Produksi Harian</t>
        </is>
      </c>
      <c r="F72" s="44" t="inlineStr">
        <is>
          <t>2025-3-20</t>
        </is>
      </c>
      <c r="G72" s="44" t="inlineStr">
        <is>
          <t>0000119945</t>
        </is>
      </c>
      <c r="H72" s="44" t="inlineStr">
        <is>
          <t xml:space="preserve"> </t>
        </is>
      </c>
      <c r="I72" s="44" t="inlineStr">
        <is>
          <t xml:space="preserve"> Completed </t>
        </is>
      </c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</row>
    <row r="73" ht="15.75" customHeight="1" s="169">
      <c r="A73" s="45" t="n">
        <v>528000055</v>
      </c>
      <c r="B73" s="44" t="inlineStr">
        <is>
          <t>Dika Prasetya</t>
        </is>
      </c>
      <c r="C73" s="44" t="inlineStr">
        <is>
          <t>Mitra Kerja</t>
        </is>
      </c>
      <c r="D73" s="44" t="inlineStr">
        <is>
          <t>LOG</t>
        </is>
      </c>
      <c r="E73" s="44" t="inlineStr">
        <is>
          <t>WRM Harian</t>
        </is>
      </c>
      <c r="F73" s="44" t="inlineStr">
        <is>
          <t>2025-5-10</t>
        </is>
      </c>
      <c r="G73" s="44" t="inlineStr">
        <is>
          <t>0000122719</t>
        </is>
      </c>
      <c r="H73" s="44" t="inlineStr">
        <is>
          <t xml:space="preserve"> </t>
        </is>
      </c>
      <c r="I73" s="44" t="inlineStr">
        <is>
          <t xml:space="preserve"> Completed </t>
        </is>
      </c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</row>
    <row r="74" ht="15.75" customHeight="1" s="169">
      <c r="A74" s="45" t="n">
        <v>528000059</v>
      </c>
      <c r="B74" s="44" t="inlineStr">
        <is>
          <t>N. Santika Dewi</t>
        </is>
      </c>
      <c r="C74" s="44" t="inlineStr">
        <is>
          <t>Mitra Kerja</t>
        </is>
      </c>
      <c r="D74" s="44" t="inlineStr">
        <is>
          <t>PROD</t>
        </is>
      </c>
      <c r="E74" s="44" t="inlineStr">
        <is>
          <t>Produksi Harian</t>
        </is>
      </c>
      <c r="F74" s="44" t="inlineStr">
        <is>
          <t>2025-5-19</t>
        </is>
      </c>
      <c r="G74" s="44" t="inlineStr">
        <is>
          <t>0000123126</t>
        </is>
      </c>
      <c r="H74" s="44" t="inlineStr">
        <is>
          <t xml:space="preserve"> </t>
        </is>
      </c>
      <c r="I74" s="44" t="inlineStr">
        <is>
          <t xml:space="preserve"> Completed </t>
        </is>
      </c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</row>
    <row r="75" ht="15.75" customHeight="1" s="169">
      <c r="A75" s="45" t="n">
        <v>528000063</v>
      </c>
      <c r="B75" s="44" t="inlineStr">
        <is>
          <t>Muhamad Ripki Pebrian</t>
        </is>
      </c>
      <c r="C75" s="44" t="inlineStr">
        <is>
          <t>Mitra Kerja</t>
        </is>
      </c>
      <c r="D75" s="44" t="inlineStr">
        <is>
          <t>PROD</t>
        </is>
      </c>
      <c r="E75" s="44" t="inlineStr">
        <is>
          <t>Produksi Harian</t>
        </is>
      </c>
      <c r="F75" s="44" t="inlineStr">
        <is>
          <t>2025-3-20</t>
        </is>
      </c>
      <c r="G75" s="44" t="inlineStr">
        <is>
          <t>0000119943</t>
        </is>
      </c>
      <c r="H75" s="44" t="inlineStr">
        <is>
          <t xml:space="preserve"> </t>
        </is>
      </c>
      <c r="I75" s="44" t="inlineStr">
        <is>
          <t xml:space="preserve"> Completed </t>
        </is>
      </c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</row>
    <row r="76" ht="15.75" customHeight="1" s="169">
      <c r="A76" s="45" t="n">
        <v>528000069</v>
      </c>
      <c r="B76" s="44" t="inlineStr">
        <is>
          <t>Jajang Ardiansyah</t>
        </is>
      </c>
      <c r="C76" s="44" t="inlineStr">
        <is>
          <t>Mitra Kerja</t>
        </is>
      </c>
      <c r="D76" s="44" t="inlineStr">
        <is>
          <t>PROD</t>
        </is>
      </c>
      <c r="E76" s="44" t="inlineStr">
        <is>
          <t>Produksi Harian</t>
        </is>
      </c>
      <c r="F76" s="44" t="inlineStr">
        <is>
          <t>2025-5-19</t>
        </is>
      </c>
      <c r="G76" s="44" t="inlineStr">
        <is>
          <t>0000123156</t>
        </is>
      </c>
      <c r="H76" s="44" t="inlineStr">
        <is>
          <t xml:space="preserve"> </t>
        </is>
      </c>
      <c r="I76" s="44" t="inlineStr">
        <is>
          <t xml:space="preserve"> To Be Corrected </t>
        </is>
      </c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</row>
    <row r="77" ht="15.75" customHeight="1" s="169">
      <c r="A77" s="45" t="n">
        <v>528000070</v>
      </c>
      <c r="B77" s="44" t="inlineStr">
        <is>
          <t>Teja Ristina Mukti</t>
        </is>
      </c>
      <c r="C77" s="44" t="inlineStr">
        <is>
          <t>Mitra Kerja</t>
        </is>
      </c>
      <c r="D77" s="44" t="inlineStr">
        <is>
          <t>PROD</t>
        </is>
      </c>
      <c r="E77" s="44" t="inlineStr">
        <is>
          <t>Produksi Harian</t>
        </is>
      </c>
      <c r="F77" s="44" t="inlineStr">
        <is>
          <t>2025-5-21</t>
        </is>
      </c>
      <c r="G77" s="44" t="inlineStr">
        <is>
          <t>0000123286</t>
        </is>
      </c>
      <c r="H77" s="44" t="inlineStr">
        <is>
          <t xml:space="preserve"> </t>
        </is>
      </c>
      <c r="I77" s="44" t="inlineStr">
        <is>
          <t xml:space="preserve"> To Be Corrected </t>
        </is>
      </c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</row>
    <row r="78" ht="15.75" customHeight="1" s="169">
      <c r="A78" s="45" t="n">
        <v>528000071</v>
      </c>
      <c r="B78" s="44" t="inlineStr">
        <is>
          <t>Pingkan Kustria Budi</t>
        </is>
      </c>
      <c r="C78" s="44" t="inlineStr">
        <is>
          <t>Mitra Kerja</t>
        </is>
      </c>
      <c r="D78" s="44" t="inlineStr">
        <is>
          <t>PROD</t>
        </is>
      </c>
      <c r="E78" s="44" t="inlineStr">
        <is>
          <t>Produksi Harian</t>
        </is>
      </c>
      <c r="F78" s="44" t="inlineStr">
        <is>
          <t>2025-11-3</t>
        </is>
      </c>
      <c r="G78" s="44" t="inlineStr">
        <is>
          <t>0000131439</t>
        </is>
      </c>
      <c r="H78" s="44" t="inlineStr">
        <is>
          <t xml:space="preserve"> </t>
        </is>
      </c>
      <c r="I78" s="44" t="inlineStr">
        <is>
          <t>-</t>
        </is>
      </c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</row>
    <row r="79" ht="15.75" customHeight="1" s="169">
      <c r="A79" s="45" t="n">
        <v>528000089</v>
      </c>
      <c r="B79" s="44" t="inlineStr">
        <is>
          <t>Santi Susanti</t>
        </is>
      </c>
      <c r="C79" s="44" t="inlineStr">
        <is>
          <t>Mitra Kerja</t>
        </is>
      </c>
      <c r="D79" s="44" t="inlineStr">
        <is>
          <t>PROD</t>
        </is>
      </c>
      <c r="E79" s="44" t="inlineStr">
        <is>
          <t>Produksi Harian</t>
        </is>
      </c>
      <c r="F79" s="44" t="inlineStr">
        <is>
          <t>2025-5-16</t>
        </is>
      </c>
      <c r="G79" s="44" t="inlineStr">
        <is>
          <t>0000123105</t>
        </is>
      </c>
      <c r="H79" s="44" t="inlineStr">
        <is>
          <t xml:space="preserve"> </t>
        </is>
      </c>
      <c r="I79" s="44" t="inlineStr">
        <is>
          <t xml:space="preserve"> Completed </t>
        </is>
      </c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</row>
    <row r="80" ht="15.75" customHeight="1" s="169">
      <c r="A80" s="45" t="n">
        <v>528000090</v>
      </c>
      <c r="B80" s="44" t="inlineStr">
        <is>
          <t>Suganda</t>
        </is>
      </c>
      <c r="C80" s="44" t="inlineStr">
        <is>
          <t>Mitra Kerja</t>
        </is>
      </c>
      <c r="D80" s="44" t="inlineStr">
        <is>
          <t>PROD</t>
        </is>
      </c>
      <c r="E80" s="44" t="inlineStr">
        <is>
          <t>Produksi Harian</t>
        </is>
      </c>
      <c r="F80" s="44" t="inlineStr">
        <is>
          <t>2025-5-19</t>
        </is>
      </c>
      <c r="G80" s="44" t="inlineStr">
        <is>
          <t>0000123158</t>
        </is>
      </c>
      <c r="H80" s="44" t="inlineStr">
        <is>
          <t xml:space="preserve"> </t>
        </is>
      </c>
      <c r="I80" s="44" t="inlineStr">
        <is>
          <t xml:space="preserve"> Completed </t>
        </is>
      </c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</row>
    <row r="81" ht="15.75" customHeight="1" s="169">
      <c r="A81" s="45" t="n">
        <v>528000098</v>
      </c>
      <c r="B81" s="44" t="inlineStr">
        <is>
          <t>Edi Junaedi</t>
        </is>
      </c>
      <c r="C81" s="44" t="inlineStr">
        <is>
          <t>Mitra Kerja</t>
        </is>
      </c>
      <c r="D81" s="44" t="inlineStr">
        <is>
          <t>PROD</t>
        </is>
      </c>
      <c r="E81" s="44" t="inlineStr">
        <is>
          <t>Produksi Harian</t>
        </is>
      </c>
      <c r="F81" s="44" t="inlineStr">
        <is>
          <t>2025-5-14</t>
        </is>
      </c>
      <c r="G81" s="44" t="inlineStr">
        <is>
          <t>0000122871</t>
        </is>
      </c>
      <c r="H81" s="44" t="inlineStr">
        <is>
          <t xml:space="preserve"> </t>
        </is>
      </c>
      <c r="I81" s="44" t="inlineStr">
        <is>
          <t xml:space="preserve"> Completed </t>
        </is>
      </c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</row>
    <row r="82" ht="15.75" customHeight="1" s="169">
      <c r="A82" s="45" t="n">
        <v>528000099</v>
      </c>
      <c r="B82" s="44" t="inlineStr">
        <is>
          <t>Siti Nurawaliah</t>
        </is>
      </c>
      <c r="C82" s="44" t="inlineStr">
        <is>
          <t>Mitra Kerja</t>
        </is>
      </c>
      <c r="D82" s="44" t="inlineStr">
        <is>
          <t>PROD</t>
        </is>
      </c>
      <c r="E82" s="44" t="inlineStr">
        <is>
          <t>Produksi Harian</t>
        </is>
      </c>
      <c r="F82" s="44" t="inlineStr">
        <is>
          <t>2025-4-16</t>
        </is>
      </c>
      <c r="G82" s="44" t="inlineStr">
        <is>
          <t>0000120769</t>
        </is>
      </c>
      <c r="H82" s="44" t="inlineStr">
        <is>
          <t xml:space="preserve"> </t>
        </is>
      </c>
      <c r="I82" s="44" t="inlineStr">
        <is>
          <t xml:space="preserve"> Completed </t>
        </is>
      </c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</row>
    <row r="83" ht="15.75" customHeight="1" s="169">
      <c r="A83" s="45" t="n">
        <v>528000116</v>
      </c>
      <c r="B83" s="44" t="inlineStr">
        <is>
          <t>Fadhil Mardiansyah</t>
        </is>
      </c>
      <c r="C83" s="44" t="inlineStr">
        <is>
          <t>Mitra Kerja</t>
        </is>
      </c>
      <c r="D83" s="44" t="inlineStr">
        <is>
          <t>PROD</t>
        </is>
      </c>
      <c r="E83" s="44" t="inlineStr">
        <is>
          <t>Produksi Harian</t>
        </is>
      </c>
      <c r="F83" s="44" t="inlineStr">
        <is>
          <t>2025-5-9</t>
        </is>
      </c>
      <c r="G83" s="44" t="inlineStr">
        <is>
          <t>0000122681</t>
        </is>
      </c>
      <c r="H83" s="44" t="inlineStr">
        <is>
          <t xml:space="preserve"> </t>
        </is>
      </c>
      <c r="I83" s="44" t="inlineStr">
        <is>
          <t xml:space="preserve"> Completed </t>
        </is>
      </c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</row>
    <row r="84" ht="15.75" customHeight="1" s="169">
      <c r="A84" s="45" t="n">
        <v>528000132</v>
      </c>
      <c r="B84" s="44" t="inlineStr">
        <is>
          <t>Giopani</t>
        </is>
      </c>
      <c r="C84" s="44" t="inlineStr">
        <is>
          <t>Mitra Kerja</t>
        </is>
      </c>
      <c r="D84" s="44" t="inlineStr">
        <is>
          <t>LOG</t>
        </is>
      </c>
      <c r="E84" s="44" t="inlineStr">
        <is>
          <t>WRM Harian</t>
        </is>
      </c>
      <c r="F84" s="44" t="inlineStr">
        <is>
          <t>2025-5-10</t>
        </is>
      </c>
      <c r="G84" s="44" t="inlineStr">
        <is>
          <t>0000122717</t>
        </is>
      </c>
      <c r="H84" s="44" t="inlineStr">
        <is>
          <t xml:space="preserve"> </t>
        </is>
      </c>
      <c r="I84" s="44" t="inlineStr">
        <is>
          <t xml:space="preserve"> Completed </t>
        </is>
      </c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</row>
    <row r="85" ht="15.75" customHeight="1" s="169">
      <c r="A85" s="45" t="n">
        <v>528000144</v>
      </c>
      <c r="B85" s="44" t="inlineStr">
        <is>
          <t>Jodi Hanafi</t>
        </is>
      </c>
      <c r="C85" s="44" t="inlineStr">
        <is>
          <t>Mitra Kerja</t>
        </is>
      </c>
      <c r="D85" s="44" t="inlineStr">
        <is>
          <t>LOG</t>
        </is>
      </c>
      <c r="E85" s="44" t="inlineStr">
        <is>
          <t>WRM Harian</t>
        </is>
      </c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</row>
    <row r="86" ht="15.75" customHeight="1" s="169">
      <c r="A86" s="45" t="n">
        <v>528000146</v>
      </c>
      <c r="B86" s="44" t="inlineStr">
        <is>
          <t>Deny Afrizal</t>
        </is>
      </c>
      <c r="C86" s="44" t="inlineStr">
        <is>
          <t>Mitra Kerja</t>
        </is>
      </c>
      <c r="D86" s="44" t="inlineStr">
        <is>
          <t>PROD</t>
        </is>
      </c>
      <c r="E86" s="44" t="inlineStr">
        <is>
          <t>Produksi Harian</t>
        </is>
      </c>
      <c r="F86" s="44" t="inlineStr">
        <is>
          <t>2025-5-14</t>
        </is>
      </c>
      <c r="G86" s="44" t="inlineStr">
        <is>
          <t>0000122873</t>
        </is>
      </c>
      <c r="H86" s="44" t="inlineStr">
        <is>
          <t xml:space="preserve"> </t>
        </is>
      </c>
      <c r="I86" s="44" t="inlineStr">
        <is>
          <t xml:space="preserve"> To Be Corrected </t>
        </is>
      </c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</row>
    <row r="87" ht="15.75" customHeight="1" s="169">
      <c r="A87" s="45" t="n">
        <v>528000149</v>
      </c>
      <c r="B87" s="44" t="inlineStr">
        <is>
          <t>Tio Fernanda</t>
        </is>
      </c>
      <c r="C87" s="44" t="inlineStr">
        <is>
          <t>Mitra Kerja</t>
        </is>
      </c>
      <c r="D87" s="44" t="inlineStr">
        <is>
          <t>LOG</t>
        </is>
      </c>
      <c r="E87" s="44" t="inlineStr">
        <is>
          <t>WRM Harian</t>
        </is>
      </c>
      <c r="F87" s="44" t="inlineStr">
        <is>
          <t>2025-5-10</t>
        </is>
      </c>
      <c r="G87" s="44" t="inlineStr">
        <is>
          <t>0000122720</t>
        </is>
      </c>
      <c r="H87" s="44" t="inlineStr">
        <is>
          <t xml:space="preserve"> </t>
        </is>
      </c>
      <c r="I87" s="44" t="inlineStr">
        <is>
          <t xml:space="preserve"> Completed </t>
        </is>
      </c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</row>
    <row r="88" ht="15.75" customHeight="1" s="169">
      <c r="A88" s="45" t="n">
        <v>528000155</v>
      </c>
      <c r="B88" s="44" t="inlineStr">
        <is>
          <t>Dea Amelia</t>
        </is>
      </c>
      <c r="C88" s="44" t="inlineStr">
        <is>
          <t>Mitra Kerja</t>
        </is>
      </c>
      <c r="D88" s="44" t="inlineStr">
        <is>
          <t>PROD</t>
        </is>
      </c>
      <c r="E88" s="44" t="inlineStr">
        <is>
          <t>Produksi Harian</t>
        </is>
      </c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</row>
    <row r="89" ht="15.75" customHeight="1" s="169">
      <c r="A89" s="45" t="n">
        <v>528000158</v>
      </c>
      <c r="B89" s="44" t="inlineStr">
        <is>
          <t>Eva Nurjanah</t>
        </is>
      </c>
      <c r="C89" s="44" t="inlineStr">
        <is>
          <t>Mitra Kerja</t>
        </is>
      </c>
      <c r="D89" s="44" t="inlineStr">
        <is>
          <t>PROD</t>
        </is>
      </c>
      <c r="E89" s="44" t="inlineStr">
        <is>
          <t>Produksi Harian</t>
        </is>
      </c>
      <c r="F89" s="44" t="inlineStr">
        <is>
          <t>2025-5-16</t>
        </is>
      </c>
      <c r="G89" s="44" t="inlineStr">
        <is>
          <t>0000123074</t>
        </is>
      </c>
      <c r="H89" s="44" t="inlineStr">
        <is>
          <t xml:space="preserve"> </t>
        </is>
      </c>
      <c r="I89" s="44" t="inlineStr">
        <is>
          <t xml:space="preserve"> Completed </t>
        </is>
      </c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</row>
    <row r="90" ht="15.75" customHeight="1" s="169">
      <c r="A90" s="45" t="n">
        <v>528000194</v>
      </c>
      <c r="B90" s="44" t="inlineStr">
        <is>
          <t>Tanti Haryanti</t>
        </is>
      </c>
      <c r="C90" s="44" t="inlineStr">
        <is>
          <t>Mitra Kerja</t>
        </is>
      </c>
      <c r="D90" s="44" t="inlineStr">
        <is>
          <t>PROD</t>
        </is>
      </c>
      <c r="E90" s="44" t="inlineStr">
        <is>
          <t>Produksi Borongan</t>
        </is>
      </c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</row>
    <row r="91" ht="15.75" customHeight="1" s="169">
      <c r="A91" s="45" t="n">
        <v>528000195</v>
      </c>
      <c r="B91" s="44" t="inlineStr">
        <is>
          <t>Rahma Sariwati</t>
        </is>
      </c>
      <c r="C91" s="44" t="inlineStr">
        <is>
          <t>Mitra Kerja</t>
        </is>
      </c>
      <c r="D91" s="44" t="inlineStr">
        <is>
          <t>PROD</t>
        </is>
      </c>
      <c r="E91" s="44" t="inlineStr">
        <is>
          <t>Produksi Harian</t>
        </is>
      </c>
      <c r="F91" s="44" t="inlineStr">
        <is>
          <t>2025-5-9</t>
        </is>
      </c>
      <c r="G91" s="44" t="inlineStr">
        <is>
          <t>0000122648</t>
        </is>
      </c>
      <c r="H91" s="44" t="inlineStr">
        <is>
          <t xml:space="preserve"> </t>
        </is>
      </c>
      <c r="I91" s="44" t="inlineStr">
        <is>
          <t>-</t>
        </is>
      </c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</row>
    <row r="92" ht="15.75" customHeight="1" s="169">
      <c r="A92" s="45" t="n">
        <v>528000196</v>
      </c>
      <c r="B92" s="44" t="inlineStr">
        <is>
          <t>Ropika Handayani</t>
        </is>
      </c>
      <c r="C92" s="44" t="inlineStr">
        <is>
          <t>Mitra Kerja</t>
        </is>
      </c>
      <c r="D92" s="44" t="inlineStr">
        <is>
          <t>PROD</t>
        </is>
      </c>
      <c r="E92" s="44" t="inlineStr">
        <is>
          <t>Produksi Harian</t>
        </is>
      </c>
      <c r="F92" s="44" t="inlineStr">
        <is>
          <t>2025-5-9</t>
        </is>
      </c>
      <c r="G92" s="44" t="inlineStr">
        <is>
          <t>0000122672</t>
        </is>
      </c>
      <c r="H92" s="44" t="inlineStr">
        <is>
          <t xml:space="preserve"> </t>
        </is>
      </c>
      <c r="I92" s="44" t="inlineStr">
        <is>
          <t xml:space="preserve"> Completed </t>
        </is>
      </c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</row>
    <row r="93" ht="15.75" customHeight="1" s="169">
      <c r="A93" s="45" t="n">
        <v>528000198</v>
      </c>
      <c r="B93" s="44" t="inlineStr">
        <is>
          <t>Herlan Darus Maulana</t>
        </is>
      </c>
      <c r="C93" s="44" t="inlineStr">
        <is>
          <t>Mitra Kerja</t>
        </is>
      </c>
      <c r="D93" s="44" t="inlineStr">
        <is>
          <t>ENG</t>
        </is>
      </c>
      <c r="E93" s="44" t="inlineStr">
        <is>
          <t>Engineering Harian</t>
        </is>
      </c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</row>
    <row r="94" ht="15.75" customHeight="1" s="169">
      <c r="A94" s="45" t="n">
        <v>528000199</v>
      </c>
      <c r="B94" s="44" t="inlineStr">
        <is>
          <t>Giparel Hamdani</t>
        </is>
      </c>
      <c r="C94" s="44" t="inlineStr">
        <is>
          <t>Mitra Kerja</t>
        </is>
      </c>
      <c r="D94" s="44" t="inlineStr">
        <is>
          <t>LOG</t>
        </is>
      </c>
      <c r="E94" s="44" t="inlineStr">
        <is>
          <t>WRM Harian</t>
        </is>
      </c>
      <c r="F94" s="44" t="inlineStr">
        <is>
          <t>2025-5-9</t>
        </is>
      </c>
      <c r="G94" s="44" t="inlineStr">
        <is>
          <t>0000122692</t>
        </is>
      </c>
      <c r="H94" s="44" t="inlineStr">
        <is>
          <t xml:space="preserve"> </t>
        </is>
      </c>
      <c r="I94" s="44" t="inlineStr">
        <is>
          <t>-</t>
        </is>
      </c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</row>
    <row r="95" ht="15.75" customHeight="1" s="169">
      <c r="A95" s="45" t="n">
        <v>528000201</v>
      </c>
      <c r="B95" s="44" t="inlineStr">
        <is>
          <t>Zahwa Amelia Choerunissa</t>
        </is>
      </c>
      <c r="C95" s="44" t="inlineStr">
        <is>
          <t>Mitra Kerja</t>
        </is>
      </c>
      <c r="D95" s="44" t="inlineStr">
        <is>
          <t>PROD</t>
        </is>
      </c>
      <c r="E95" s="44" t="inlineStr">
        <is>
          <t>Produksi Harian</t>
        </is>
      </c>
      <c r="F95" s="44" t="inlineStr">
        <is>
          <t>2025-5-19</t>
        </is>
      </c>
      <c r="G95" s="44" t="inlineStr">
        <is>
          <t>0000123127</t>
        </is>
      </c>
      <c r="H95" s="44" t="inlineStr">
        <is>
          <t xml:space="preserve"> </t>
        </is>
      </c>
      <c r="I95" s="44" t="inlineStr">
        <is>
          <t>-</t>
        </is>
      </c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</row>
    <row r="96" ht="15.75" customHeight="1" s="169">
      <c r="A96" s="45" t="n">
        <v>528000202</v>
      </c>
      <c r="B96" s="44" t="inlineStr">
        <is>
          <t>Asep Saepudin</t>
        </is>
      </c>
      <c r="C96" s="44" t="inlineStr">
        <is>
          <t>Mitra Kerja</t>
        </is>
      </c>
      <c r="D96" s="44" t="inlineStr">
        <is>
          <t>LOG</t>
        </is>
      </c>
      <c r="E96" s="44" t="inlineStr">
        <is>
          <t>WRM Harian</t>
        </is>
      </c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</row>
    <row r="97" ht="15.75" customHeight="1" s="169">
      <c r="A97" s="45" t="n">
        <v>528000203</v>
      </c>
      <c r="B97" s="44" t="inlineStr">
        <is>
          <t>Yudha Ramdhan Putra</t>
        </is>
      </c>
      <c r="C97" s="44" t="inlineStr">
        <is>
          <t>Mitra Kerja</t>
        </is>
      </c>
      <c r="D97" s="44" t="inlineStr">
        <is>
          <t>ENG</t>
        </is>
      </c>
      <c r="E97" s="44" t="inlineStr">
        <is>
          <t>Engineering Harian</t>
        </is>
      </c>
      <c r="F97" s="44" t="inlineStr">
        <is>
          <t>2025-5-19</t>
        </is>
      </c>
      <c r="G97" s="44" t="inlineStr">
        <is>
          <t>0000123166</t>
        </is>
      </c>
      <c r="H97" s="44" t="inlineStr">
        <is>
          <t xml:space="preserve"> </t>
        </is>
      </c>
      <c r="I97" s="44" t="inlineStr">
        <is>
          <t>-</t>
        </is>
      </c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</row>
    <row r="98" ht="15.75" customHeight="1" s="169">
      <c r="A98" s="45" t="n">
        <v>528000205</v>
      </c>
      <c r="B98" s="44" t="inlineStr">
        <is>
          <t>Alvino Sofyan</t>
        </is>
      </c>
      <c r="C98" s="44" t="inlineStr">
        <is>
          <t>Mitra Kerja</t>
        </is>
      </c>
      <c r="D98" s="44" t="inlineStr">
        <is>
          <t>PROD</t>
        </is>
      </c>
      <c r="E98" s="44" t="inlineStr">
        <is>
          <t>Produksi Harian</t>
        </is>
      </c>
      <c r="F98" s="44" t="inlineStr">
        <is>
          <t>2025-5-20</t>
        </is>
      </c>
      <c r="G98" s="44" t="inlineStr">
        <is>
          <t>0000123261</t>
        </is>
      </c>
      <c r="H98" s="44" t="inlineStr">
        <is>
          <t xml:space="preserve"> </t>
        </is>
      </c>
      <c r="I98" s="44" t="inlineStr">
        <is>
          <t xml:space="preserve"> To Be Corrected </t>
        </is>
      </c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</row>
    <row r="99" ht="15.75" customHeight="1" s="169">
      <c r="A99" s="45" t="n">
        <v>528000206</v>
      </c>
      <c r="B99" s="44" t="inlineStr">
        <is>
          <t>Dika Wardiansyah</t>
        </is>
      </c>
      <c r="C99" s="44" t="inlineStr">
        <is>
          <t>Mitra Kerja</t>
        </is>
      </c>
      <c r="D99" s="44" t="inlineStr">
        <is>
          <t>LOG</t>
        </is>
      </c>
      <c r="E99" s="44" t="inlineStr">
        <is>
          <t>WRM Harian</t>
        </is>
      </c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</row>
    <row r="100" ht="15.75" customHeight="1" s="169">
      <c r="A100" s="45" t="n">
        <v>528000209</v>
      </c>
      <c r="B100" s="44" t="inlineStr">
        <is>
          <t>Rivaldo Permana</t>
        </is>
      </c>
      <c r="C100" s="44" t="inlineStr">
        <is>
          <t>Mitra Kerja</t>
        </is>
      </c>
      <c r="D100" s="44" t="inlineStr">
        <is>
          <t>LOG</t>
        </is>
      </c>
      <c r="E100" s="44" t="inlineStr">
        <is>
          <t>WRM Harian</t>
        </is>
      </c>
      <c r="F100" s="44" t="inlineStr">
        <is>
          <t>2025-6-14</t>
        </is>
      </c>
      <c r="G100" s="44" t="inlineStr">
        <is>
          <t>0000124491</t>
        </is>
      </c>
      <c r="H100" s="44" t="inlineStr">
        <is>
          <t xml:space="preserve"> </t>
        </is>
      </c>
      <c r="I100" s="44" t="inlineStr">
        <is>
          <t>-</t>
        </is>
      </c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</row>
    <row r="101" ht="15.75" customHeight="1" s="169">
      <c r="A101" s="45" t="n">
        <v>528000210</v>
      </c>
      <c r="B101" s="44" t="inlineStr">
        <is>
          <t>Muhamad Aldi Agustiana</t>
        </is>
      </c>
      <c r="C101" s="44" t="inlineStr">
        <is>
          <t>Mitra Kerja</t>
        </is>
      </c>
      <c r="D101" s="44" t="inlineStr">
        <is>
          <t>PROD</t>
        </is>
      </c>
      <c r="E101" s="44" t="inlineStr">
        <is>
          <t>Produksi Harian</t>
        </is>
      </c>
      <c r="F101" s="44" t="inlineStr">
        <is>
          <t>2025-7-12</t>
        </is>
      </c>
      <c r="G101" s="44" t="inlineStr">
        <is>
          <t>0000125766</t>
        </is>
      </c>
      <c r="H101" s="44" t="inlineStr">
        <is>
          <t xml:space="preserve"> </t>
        </is>
      </c>
      <c r="I101" s="44" t="inlineStr">
        <is>
          <t>-</t>
        </is>
      </c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</row>
    <row r="102" ht="15.75" customHeight="1" s="169">
      <c r="A102" s="45" t="n">
        <v>528000211</v>
      </c>
      <c r="B102" s="44" t="inlineStr">
        <is>
          <t>Seftian Effendi</t>
        </is>
      </c>
      <c r="C102" s="44" t="inlineStr">
        <is>
          <t>Mitra Kerja</t>
        </is>
      </c>
      <c r="D102" s="44" t="inlineStr">
        <is>
          <t>HRGA</t>
        </is>
      </c>
      <c r="E102" s="44" t="inlineStr">
        <is>
          <t>GA Harian</t>
        </is>
      </c>
      <c r="F102" s="44" t="inlineStr">
        <is>
          <t>2025-7-14</t>
        </is>
      </c>
      <c r="G102" s="44" t="inlineStr">
        <is>
          <t>0000125839</t>
        </is>
      </c>
      <c r="H102" s="44" t="inlineStr">
        <is>
          <t xml:space="preserve"> </t>
        </is>
      </c>
      <c r="I102" s="44" t="inlineStr">
        <is>
          <t>-</t>
        </is>
      </c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</row>
    <row r="103" ht="15.75" customHeight="1" s="169">
      <c r="A103" s="45" t="n">
        <v>528000212</v>
      </c>
      <c r="B103" s="44" t="inlineStr">
        <is>
          <t>Rizal Fauzi</t>
        </is>
      </c>
      <c r="C103" s="44" t="inlineStr">
        <is>
          <t>Mitra Kerja</t>
        </is>
      </c>
      <c r="D103" s="44" t="inlineStr">
        <is>
          <t>PROD</t>
        </is>
      </c>
      <c r="E103" s="44" t="inlineStr">
        <is>
          <t>Produksi Harian</t>
        </is>
      </c>
      <c r="F103" s="44" t="inlineStr">
        <is>
          <t>2025-7-14</t>
        </is>
      </c>
      <c r="G103" s="44" t="inlineStr">
        <is>
          <t>0000125840</t>
        </is>
      </c>
      <c r="H103" s="44" t="inlineStr">
        <is>
          <t xml:space="preserve"> </t>
        </is>
      </c>
      <c r="I103" s="44" t="inlineStr">
        <is>
          <t>-</t>
        </is>
      </c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</row>
    <row r="104" ht="15.75" customHeight="1" s="169">
      <c r="A104" s="45" t="n">
        <v>528000214</v>
      </c>
      <c r="B104" s="44" t="inlineStr">
        <is>
          <t>Dio Juliana</t>
        </is>
      </c>
      <c r="C104" s="44" t="inlineStr">
        <is>
          <t>Mitra Kerja</t>
        </is>
      </c>
      <c r="D104" s="44" t="inlineStr">
        <is>
          <t>PROD</t>
        </is>
      </c>
      <c r="E104" s="44" t="inlineStr">
        <is>
          <t>Produksi Harian</t>
        </is>
      </c>
      <c r="F104" s="44" t="inlineStr">
        <is>
          <t>2025-7-26</t>
        </is>
      </c>
      <c r="G104" s="44" t="inlineStr">
        <is>
          <t>0000126401</t>
        </is>
      </c>
      <c r="H104" s="44" t="inlineStr">
        <is>
          <t xml:space="preserve"> </t>
        </is>
      </c>
      <c r="I104" s="44" t="inlineStr">
        <is>
          <t>-</t>
        </is>
      </c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</row>
    <row r="105" ht="15.75" customHeight="1" s="169">
      <c r="A105" s="45" t="n">
        <v>528000216</v>
      </c>
      <c r="B105" s="44" t="inlineStr">
        <is>
          <t>Aidil Akbar</t>
        </is>
      </c>
      <c r="C105" s="44" t="inlineStr">
        <is>
          <t>Mitra Kerja</t>
        </is>
      </c>
      <c r="D105" s="44" t="inlineStr">
        <is>
          <t>PROD</t>
        </is>
      </c>
      <c r="E105" s="44" t="inlineStr">
        <is>
          <t>Produksi Harian</t>
        </is>
      </c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</row>
    <row r="106" ht="15.75" customHeight="1" s="169">
      <c r="A106" s="45" t="n">
        <v>528000217</v>
      </c>
      <c r="B106" s="44" t="inlineStr">
        <is>
          <t>Intan Citra Lestari</t>
        </is>
      </c>
      <c r="C106" s="44" t="inlineStr">
        <is>
          <t>Mitra Kerja</t>
        </is>
      </c>
      <c r="D106" s="44" t="inlineStr">
        <is>
          <t>PROD</t>
        </is>
      </c>
      <c r="E106" s="44" t="inlineStr">
        <is>
          <t>Produksi Harian</t>
        </is>
      </c>
      <c r="F106" s="44" t="inlineStr">
        <is>
          <t>2025-7-26</t>
        </is>
      </c>
      <c r="G106" s="44" t="inlineStr">
        <is>
          <t>0000126405</t>
        </is>
      </c>
      <c r="H106" s="44" t="inlineStr">
        <is>
          <t xml:space="preserve"> </t>
        </is>
      </c>
      <c r="I106" s="44" t="inlineStr">
        <is>
          <t>-</t>
        </is>
      </c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</row>
    <row r="107" ht="15.75" customHeight="1" s="169">
      <c r="A107" s="45" t="n">
        <v>528000218</v>
      </c>
      <c r="B107" s="44" t="inlineStr">
        <is>
          <t>Dian Nurfitriyanti</t>
        </is>
      </c>
      <c r="C107" s="44" t="inlineStr">
        <is>
          <t>Mitra Kerja</t>
        </is>
      </c>
      <c r="D107" s="44" t="inlineStr">
        <is>
          <t>PROD</t>
        </is>
      </c>
      <c r="E107" s="44" t="inlineStr">
        <is>
          <t>Produksi Harian</t>
        </is>
      </c>
      <c r="F107" s="44" t="inlineStr">
        <is>
          <t>2025-7-26</t>
        </is>
      </c>
      <c r="G107" s="44" t="inlineStr">
        <is>
          <t>0000126406</t>
        </is>
      </c>
      <c r="H107" s="44" t="inlineStr">
        <is>
          <t xml:space="preserve"> </t>
        </is>
      </c>
      <c r="I107" s="44" t="inlineStr">
        <is>
          <t>-</t>
        </is>
      </c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</row>
    <row r="108" ht="15.75" customHeight="1" s="169">
      <c r="A108" s="45" t="n">
        <v>528000219</v>
      </c>
      <c r="B108" s="44" t="inlineStr">
        <is>
          <t>Hamzah Maulana</t>
        </is>
      </c>
      <c r="C108" s="44" t="inlineStr">
        <is>
          <t>Mitra Kerja</t>
        </is>
      </c>
      <c r="D108" s="44" t="inlineStr">
        <is>
          <t>PROD</t>
        </is>
      </c>
      <c r="E108" s="44" t="inlineStr">
        <is>
          <t>Produksi Harian</t>
        </is>
      </c>
      <c r="F108" s="44" t="inlineStr">
        <is>
          <t>2025-7-26</t>
        </is>
      </c>
      <c r="G108" s="44" t="inlineStr">
        <is>
          <t>0000126407</t>
        </is>
      </c>
      <c r="H108" s="44" t="inlineStr">
        <is>
          <t xml:space="preserve"> </t>
        </is>
      </c>
      <c r="I108" s="44" t="inlineStr">
        <is>
          <t>-</t>
        </is>
      </c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</row>
    <row r="109" ht="15.75" customHeight="1" s="169">
      <c r="A109" s="45" t="n">
        <v>528000220</v>
      </c>
      <c r="B109" s="44" t="inlineStr">
        <is>
          <t>Riki Sugiana</t>
        </is>
      </c>
      <c r="C109" s="44" t="inlineStr">
        <is>
          <t>Mitra Kerja</t>
        </is>
      </c>
      <c r="D109" s="44" t="inlineStr">
        <is>
          <t>PROD</t>
        </is>
      </c>
      <c r="E109" s="44" t="inlineStr">
        <is>
          <t>Produksi Harian</t>
        </is>
      </c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</row>
    <row r="110" ht="15.75" customHeight="1" s="169">
      <c r="A110" s="45" t="n">
        <v>528000221</v>
      </c>
      <c r="B110" s="44" t="inlineStr">
        <is>
          <t>Indra Hadiyana</t>
        </is>
      </c>
      <c r="C110" s="44" t="inlineStr">
        <is>
          <t>Mitra Kerja</t>
        </is>
      </c>
      <c r="D110" s="44" t="inlineStr">
        <is>
          <t>HRGA</t>
        </is>
      </c>
      <c r="E110" s="44" t="inlineStr">
        <is>
          <t>GA Harian</t>
        </is>
      </c>
      <c r="F110" s="44" t="inlineStr">
        <is>
          <t>2025-7-26</t>
        </is>
      </c>
      <c r="G110" s="44" t="inlineStr">
        <is>
          <t>0000126408</t>
        </is>
      </c>
      <c r="H110" s="44" t="inlineStr">
        <is>
          <t xml:space="preserve"> </t>
        </is>
      </c>
      <c r="I110" s="44" t="inlineStr">
        <is>
          <t>-</t>
        </is>
      </c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</row>
    <row r="111" ht="15.75" customHeight="1" s="169">
      <c r="A111" s="45" t="n">
        <v>528000222</v>
      </c>
      <c r="B111" s="44" t="inlineStr">
        <is>
          <t>Fitria Nurainun</t>
        </is>
      </c>
      <c r="C111" s="44" t="inlineStr">
        <is>
          <t>Mitra Kerja</t>
        </is>
      </c>
      <c r="D111" s="44" t="inlineStr">
        <is>
          <t>PROD</t>
        </is>
      </c>
      <c r="E111" s="44" t="inlineStr">
        <is>
          <t>Produksi Harian</t>
        </is>
      </c>
      <c r="F111" s="44" t="inlineStr">
        <is>
          <t>2025-7-26</t>
        </is>
      </c>
      <c r="G111" s="44" t="inlineStr">
        <is>
          <t>0000126412</t>
        </is>
      </c>
      <c r="H111" s="44" t="inlineStr">
        <is>
          <t xml:space="preserve"> </t>
        </is>
      </c>
      <c r="I111" s="44" t="inlineStr">
        <is>
          <t>-</t>
        </is>
      </c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</row>
    <row r="112" ht="15.75" customHeight="1" s="169">
      <c r="A112" s="45" t="n">
        <v>528000223</v>
      </c>
      <c r="B112" s="44" t="inlineStr">
        <is>
          <t>Aris Sugiana</t>
        </is>
      </c>
      <c r="C112" s="44" t="inlineStr">
        <is>
          <t>Mitra Kerja</t>
        </is>
      </c>
      <c r="D112" s="44" t="inlineStr">
        <is>
          <t>PROD</t>
        </is>
      </c>
      <c r="E112" s="44" t="inlineStr">
        <is>
          <t>Produksi Harian</t>
        </is>
      </c>
      <c r="F112" s="44" t="inlineStr">
        <is>
          <t>2025-7-26</t>
        </is>
      </c>
      <c r="G112" s="44" t="inlineStr">
        <is>
          <t>0000126413</t>
        </is>
      </c>
      <c r="H112" s="44" t="inlineStr">
        <is>
          <t xml:space="preserve"> </t>
        </is>
      </c>
      <c r="I112" s="44" t="inlineStr">
        <is>
          <t>-</t>
        </is>
      </c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</row>
    <row r="113" ht="15.75" customHeight="1" s="169">
      <c r="A113" s="45" t="n">
        <v>528000224</v>
      </c>
      <c r="B113" s="44" t="inlineStr">
        <is>
          <t>Thoriq Waraprada Khoiri</t>
        </is>
      </c>
      <c r="C113" s="44" t="inlineStr">
        <is>
          <t>Mitra Kerja</t>
        </is>
      </c>
      <c r="D113" s="44" t="inlineStr">
        <is>
          <t>PROD</t>
        </is>
      </c>
      <c r="E113" s="44" t="inlineStr">
        <is>
          <t>Produksi Harian</t>
        </is>
      </c>
      <c r="F113" s="44" t="inlineStr">
        <is>
          <t>2025-7-26</t>
        </is>
      </c>
      <c r="G113" s="44" t="inlineStr">
        <is>
          <t>0000126415</t>
        </is>
      </c>
      <c r="H113" s="44" t="inlineStr">
        <is>
          <t xml:space="preserve"> </t>
        </is>
      </c>
      <c r="I113" s="44" t="inlineStr">
        <is>
          <t>-</t>
        </is>
      </c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</row>
    <row r="114" ht="15.75" customHeight="1" s="169">
      <c r="A114" s="45" t="n">
        <v>528000225</v>
      </c>
      <c r="B114" s="44" t="inlineStr">
        <is>
          <t>Saepul Rizki</t>
        </is>
      </c>
      <c r="C114" s="44" t="inlineStr">
        <is>
          <t>Mitra Kerja</t>
        </is>
      </c>
      <c r="D114" s="44" t="inlineStr">
        <is>
          <t>PROD</t>
        </is>
      </c>
      <c r="E114" s="44" t="inlineStr">
        <is>
          <t>Produksi Harian</t>
        </is>
      </c>
      <c r="F114" s="44" t="inlineStr">
        <is>
          <t>2025-7-26</t>
        </is>
      </c>
      <c r="G114" s="44" t="inlineStr">
        <is>
          <t>0000126418</t>
        </is>
      </c>
      <c r="H114" s="44" t="inlineStr">
        <is>
          <t xml:space="preserve"> </t>
        </is>
      </c>
      <c r="I114" s="44" t="inlineStr">
        <is>
          <t>-</t>
        </is>
      </c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</row>
    <row r="115" ht="15.75" customHeight="1" s="169">
      <c r="A115" s="45" t="n">
        <v>528000226</v>
      </c>
      <c r="B115" s="44" t="inlineStr">
        <is>
          <t>Hamdad Barizi</t>
        </is>
      </c>
      <c r="C115" s="44" t="inlineStr">
        <is>
          <t>Mitra Kerja</t>
        </is>
      </c>
      <c r="D115" s="44" t="inlineStr">
        <is>
          <t>PROD</t>
        </is>
      </c>
      <c r="E115" s="44" t="inlineStr">
        <is>
          <t>Produksi Harian</t>
        </is>
      </c>
      <c r="F115" s="44" t="inlineStr">
        <is>
          <t>2025-7-26</t>
        </is>
      </c>
      <c r="G115" s="44" t="inlineStr">
        <is>
          <t>0000126420</t>
        </is>
      </c>
      <c r="H115" s="44" t="inlineStr">
        <is>
          <t xml:space="preserve"> </t>
        </is>
      </c>
      <c r="I115" s="44" t="inlineStr">
        <is>
          <t>-</t>
        </is>
      </c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</row>
    <row r="116" ht="15.75" customHeight="1" s="169">
      <c r="A116" s="45" t="n">
        <v>528000227</v>
      </c>
      <c r="B116" s="44" t="inlineStr">
        <is>
          <t>Deri Gunawan</t>
        </is>
      </c>
      <c r="C116" s="44" t="inlineStr">
        <is>
          <t>Mitra Kerja</t>
        </is>
      </c>
      <c r="D116" s="44" t="inlineStr">
        <is>
          <t>PROD</t>
        </is>
      </c>
      <c r="E116" s="44" t="inlineStr">
        <is>
          <t>Produksi Harian</t>
        </is>
      </c>
      <c r="F116" s="44" t="inlineStr">
        <is>
          <t>2025-7-26</t>
        </is>
      </c>
      <c r="G116" s="44" t="inlineStr">
        <is>
          <t>0000126423</t>
        </is>
      </c>
      <c r="H116" s="44" t="inlineStr">
        <is>
          <t xml:space="preserve"> </t>
        </is>
      </c>
      <c r="I116" s="44" t="inlineStr">
        <is>
          <t>-</t>
        </is>
      </c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</row>
    <row r="117" ht="15.75" customHeight="1" s="169">
      <c r="A117" s="45" t="n">
        <v>528000228</v>
      </c>
      <c r="B117" s="44" t="inlineStr">
        <is>
          <t>Banyu Resmi Putri</t>
        </is>
      </c>
      <c r="C117" s="44" t="inlineStr">
        <is>
          <t>Mitra Kerja</t>
        </is>
      </c>
      <c r="D117" s="44" t="inlineStr">
        <is>
          <t>PROD</t>
        </is>
      </c>
      <c r="E117" s="44" t="inlineStr">
        <is>
          <t>Produksi Harian</t>
        </is>
      </c>
      <c r="F117" s="44" t="inlineStr">
        <is>
          <t>2025-7-26</t>
        </is>
      </c>
      <c r="G117" s="44" t="inlineStr">
        <is>
          <t>0000126425</t>
        </is>
      </c>
      <c r="H117" s="44" t="inlineStr">
        <is>
          <t xml:space="preserve"> </t>
        </is>
      </c>
      <c r="I117" s="44" t="inlineStr">
        <is>
          <t>-</t>
        </is>
      </c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</row>
    <row r="118" ht="15.75" customHeight="1" s="169">
      <c r="A118" s="45" t="n">
        <v>528000229</v>
      </c>
      <c r="B118" s="44" t="inlineStr">
        <is>
          <t>Naila Ainun Nisa</t>
        </is>
      </c>
      <c r="C118" s="44" t="inlineStr">
        <is>
          <t>Mitra Kerja</t>
        </is>
      </c>
      <c r="D118" s="44" t="inlineStr">
        <is>
          <t>PROD</t>
        </is>
      </c>
      <c r="E118" s="44" t="inlineStr">
        <is>
          <t>Produksi Harian</t>
        </is>
      </c>
      <c r="F118" s="44" t="inlineStr">
        <is>
          <t>2025-7-26</t>
        </is>
      </c>
      <c r="G118" s="44" t="inlineStr">
        <is>
          <t>0000126427</t>
        </is>
      </c>
      <c r="H118" s="44" t="inlineStr">
        <is>
          <t xml:space="preserve"> </t>
        </is>
      </c>
      <c r="I118" s="44" t="inlineStr">
        <is>
          <t>-</t>
        </is>
      </c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</row>
    <row r="119" ht="15.75" customHeight="1" s="169">
      <c r="A119" s="45" t="n">
        <v>528000230</v>
      </c>
      <c r="B119" s="44" t="inlineStr">
        <is>
          <t>Siti Juwita Apriliyanti</t>
        </is>
      </c>
      <c r="C119" s="44" t="inlineStr">
        <is>
          <t>Mitra Kerja</t>
        </is>
      </c>
      <c r="D119" s="44" t="inlineStr">
        <is>
          <t>PROD</t>
        </is>
      </c>
      <c r="E119" s="44" t="inlineStr">
        <is>
          <t>Produksi Harian</t>
        </is>
      </c>
      <c r="F119" s="44" t="inlineStr">
        <is>
          <t>2025-7-26</t>
        </is>
      </c>
      <c r="G119" s="44" t="inlineStr">
        <is>
          <t>0000126429</t>
        </is>
      </c>
      <c r="H119" s="44" t="inlineStr">
        <is>
          <t xml:space="preserve"> </t>
        </is>
      </c>
      <c r="I119" s="44" t="inlineStr">
        <is>
          <t>-</t>
        </is>
      </c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</row>
    <row r="120" ht="15.75" customHeight="1" s="169">
      <c r="A120" s="45" t="n">
        <v>528000231</v>
      </c>
      <c r="B120" s="44" t="inlineStr">
        <is>
          <t>Hilman Baehaqi</t>
        </is>
      </c>
      <c r="C120" s="44" t="inlineStr">
        <is>
          <t>Mitra Kerja</t>
        </is>
      </c>
      <c r="D120" s="44" t="inlineStr">
        <is>
          <t>PROD</t>
        </is>
      </c>
      <c r="E120" s="44" t="inlineStr">
        <is>
          <t>Produksi Harian</t>
        </is>
      </c>
      <c r="F120" s="44" t="inlineStr">
        <is>
          <t>2025-7-26</t>
        </is>
      </c>
      <c r="G120" s="44" t="inlineStr">
        <is>
          <t>0000126431</t>
        </is>
      </c>
      <c r="H120" s="44" t="inlineStr">
        <is>
          <t xml:space="preserve"> </t>
        </is>
      </c>
      <c r="I120" s="44" t="inlineStr">
        <is>
          <t>-</t>
        </is>
      </c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</row>
    <row r="121" ht="15.75" customHeight="1" s="169">
      <c r="A121" s="45" t="n">
        <v>528000232</v>
      </c>
      <c r="B121" s="44" t="inlineStr">
        <is>
          <t>Agung Aji Suhada</t>
        </is>
      </c>
      <c r="C121" s="44" t="inlineStr">
        <is>
          <t>Mitra Kerja</t>
        </is>
      </c>
      <c r="D121" s="44" t="inlineStr">
        <is>
          <t>LOG</t>
        </is>
      </c>
      <c r="E121" s="44" t="inlineStr">
        <is>
          <t>WRM Harian</t>
        </is>
      </c>
      <c r="F121" s="44" t="inlineStr">
        <is>
          <t>2025-7-26</t>
        </is>
      </c>
      <c r="G121" s="44" t="inlineStr">
        <is>
          <t>0000126432</t>
        </is>
      </c>
      <c r="H121" s="44" t="inlineStr">
        <is>
          <t xml:space="preserve"> </t>
        </is>
      </c>
      <c r="I121" s="44" t="inlineStr">
        <is>
          <t>-</t>
        </is>
      </c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</row>
    <row r="122" ht="15.75" customHeight="1" s="169">
      <c r="A122" s="45" t="n">
        <v>528000233</v>
      </c>
      <c r="B122" s="44" t="inlineStr">
        <is>
          <t>Andriyan Daviansyah</t>
        </is>
      </c>
      <c r="C122" s="44" t="inlineStr">
        <is>
          <t>Mitra Kerja</t>
        </is>
      </c>
      <c r="D122" s="44" t="inlineStr">
        <is>
          <t>PROD</t>
        </is>
      </c>
      <c r="E122" s="44" t="inlineStr">
        <is>
          <t>Produksi Harian</t>
        </is>
      </c>
      <c r="F122" s="44" t="inlineStr">
        <is>
          <t>2025-7-26</t>
        </is>
      </c>
      <c r="G122" s="44" t="inlineStr">
        <is>
          <t>0000126433</t>
        </is>
      </c>
      <c r="H122" s="44" t="inlineStr">
        <is>
          <t xml:space="preserve"> </t>
        </is>
      </c>
      <c r="I122" s="44" t="inlineStr">
        <is>
          <t>-</t>
        </is>
      </c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</row>
    <row r="123" ht="15.75" customHeight="1" s="169">
      <c r="A123" s="45" t="n">
        <v>528000234</v>
      </c>
      <c r="B123" s="44" t="inlineStr">
        <is>
          <t>Putrawan Franza</t>
        </is>
      </c>
      <c r="C123" s="44" t="inlineStr">
        <is>
          <t>Mitra Kerja</t>
        </is>
      </c>
      <c r="D123" s="44" t="inlineStr">
        <is>
          <t>PROD</t>
        </is>
      </c>
      <c r="E123" s="44" t="inlineStr">
        <is>
          <t>Produksi Harian</t>
        </is>
      </c>
      <c r="F123" s="44" t="inlineStr">
        <is>
          <t>2025-7-26</t>
        </is>
      </c>
      <c r="G123" s="44" t="inlineStr">
        <is>
          <t>0000126434</t>
        </is>
      </c>
      <c r="H123" s="44" t="inlineStr">
        <is>
          <t xml:space="preserve"> </t>
        </is>
      </c>
      <c r="I123" s="44" t="inlineStr">
        <is>
          <t>-</t>
        </is>
      </c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</row>
    <row r="124" ht="15.75" customHeight="1" s="169">
      <c r="A124" s="45" t="n">
        <v>528000235</v>
      </c>
      <c r="B124" s="44" t="inlineStr">
        <is>
          <t>Risma Indriyani</t>
        </is>
      </c>
      <c r="C124" s="44" t="inlineStr">
        <is>
          <t>Mitra Kerja</t>
        </is>
      </c>
      <c r="D124" s="44" t="inlineStr">
        <is>
          <t>PROD</t>
        </is>
      </c>
      <c r="E124" s="44" t="inlineStr">
        <is>
          <t>Produksi Harian</t>
        </is>
      </c>
      <c r="F124" s="44" t="inlineStr">
        <is>
          <t>2025-7-26</t>
        </is>
      </c>
      <c r="G124" s="44" t="inlineStr">
        <is>
          <t>0000126435</t>
        </is>
      </c>
      <c r="H124" s="44" t="inlineStr">
        <is>
          <t xml:space="preserve"> </t>
        </is>
      </c>
      <c r="I124" s="44" t="inlineStr">
        <is>
          <t>-</t>
        </is>
      </c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</row>
    <row r="125" ht="15.75" customHeight="1" s="169">
      <c r="A125" s="45" t="n">
        <v>528000236</v>
      </c>
      <c r="B125" s="44" t="inlineStr">
        <is>
          <t>Wilsa Meilani</t>
        </is>
      </c>
      <c r="C125" s="44" t="inlineStr">
        <is>
          <t>Mitra Kerja</t>
        </is>
      </c>
      <c r="D125" s="44" t="inlineStr">
        <is>
          <t>PROD</t>
        </is>
      </c>
      <c r="E125" s="44" t="inlineStr">
        <is>
          <t>Produksi Harian</t>
        </is>
      </c>
      <c r="F125" s="44" t="inlineStr">
        <is>
          <t>2025-7-26</t>
        </is>
      </c>
      <c r="G125" s="44" t="inlineStr">
        <is>
          <t>0000126436</t>
        </is>
      </c>
      <c r="H125" s="44" t="inlineStr">
        <is>
          <t xml:space="preserve"> </t>
        </is>
      </c>
      <c r="I125" s="44" t="inlineStr">
        <is>
          <t>-</t>
        </is>
      </c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</row>
    <row r="126" ht="15.75" customHeight="1" s="169">
      <c r="A126" s="45" t="n">
        <v>528000237</v>
      </c>
      <c r="B126" s="44" t="inlineStr">
        <is>
          <t>Dendra Putrayana</t>
        </is>
      </c>
      <c r="C126" s="44" t="inlineStr">
        <is>
          <t>Mitra Kerja</t>
        </is>
      </c>
      <c r="D126" s="44" t="inlineStr">
        <is>
          <t>PROD</t>
        </is>
      </c>
      <c r="E126" s="44" t="inlineStr">
        <is>
          <t>Produksi Harian</t>
        </is>
      </c>
      <c r="F126" s="44" t="inlineStr">
        <is>
          <t>2025-7-26</t>
        </is>
      </c>
      <c r="G126" s="44" t="inlineStr">
        <is>
          <t>0000126437</t>
        </is>
      </c>
      <c r="H126" s="44" t="inlineStr">
        <is>
          <t xml:space="preserve"> </t>
        </is>
      </c>
      <c r="I126" s="44" t="inlineStr">
        <is>
          <t>-</t>
        </is>
      </c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</row>
    <row r="127" ht="15.75" customHeight="1" s="169">
      <c r="A127" s="45" t="n">
        <v>528000238</v>
      </c>
      <c r="B127" s="44" t="inlineStr">
        <is>
          <t>Indah Lusiana</t>
        </is>
      </c>
      <c r="C127" s="44" t="inlineStr">
        <is>
          <t>Mitra Kerja</t>
        </is>
      </c>
      <c r="D127" s="44" t="inlineStr">
        <is>
          <t>PROD</t>
        </is>
      </c>
      <c r="E127" s="44" t="inlineStr">
        <is>
          <t>Produksi Harian</t>
        </is>
      </c>
      <c r="F127" s="44" t="inlineStr">
        <is>
          <t>2025-7-26</t>
        </is>
      </c>
      <c r="G127" s="44" t="inlineStr">
        <is>
          <t>0000126438</t>
        </is>
      </c>
      <c r="H127" s="44" t="inlineStr">
        <is>
          <t xml:space="preserve"> </t>
        </is>
      </c>
      <c r="I127" s="44" t="inlineStr">
        <is>
          <t>-</t>
        </is>
      </c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</row>
    <row r="128" ht="15.75" customHeight="1" s="169">
      <c r="A128" s="45" t="n">
        <v>528000239</v>
      </c>
      <c r="B128" s="44" t="inlineStr">
        <is>
          <t>Yenni Padilah</t>
        </is>
      </c>
      <c r="C128" s="44" t="inlineStr">
        <is>
          <t>Mitra Kerja</t>
        </is>
      </c>
      <c r="D128" s="44" t="inlineStr">
        <is>
          <t>PROD</t>
        </is>
      </c>
      <c r="E128" s="44" t="inlineStr">
        <is>
          <t>Produksi Harian</t>
        </is>
      </c>
      <c r="F128" s="44" t="inlineStr">
        <is>
          <t>2025-7-26</t>
        </is>
      </c>
      <c r="G128" s="44" t="inlineStr">
        <is>
          <t>0000126439</t>
        </is>
      </c>
      <c r="H128" s="44" t="inlineStr">
        <is>
          <t xml:space="preserve"> </t>
        </is>
      </c>
      <c r="I128" s="44" t="inlineStr">
        <is>
          <t>-</t>
        </is>
      </c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</row>
    <row r="129" ht="15.75" customHeight="1" s="169">
      <c r="A129" s="45" t="n">
        <v>528000240</v>
      </c>
      <c r="B129" s="44" t="inlineStr">
        <is>
          <t>Elsandra Cahyana Putri</t>
        </is>
      </c>
      <c r="C129" s="44" t="inlineStr">
        <is>
          <t>Mitra Kerja</t>
        </is>
      </c>
      <c r="D129" s="44" t="inlineStr">
        <is>
          <t>PROD</t>
        </is>
      </c>
      <c r="E129" s="44" t="inlineStr">
        <is>
          <t>Produksi Harian</t>
        </is>
      </c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</row>
    <row r="130" ht="15.75" customHeight="1" s="169">
      <c r="A130" s="45" t="n">
        <v>528000241</v>
      </c>
      <c r="B130" s="44" t="inlineStr">
        <is>
          <t>Balia Nurafif Bilah</t>
        </is>
      </c>
      <c r="C130" s="44" t="inlineStr">
        <is>
          <t>Mitra Kerja</t>
        </is>
      </c>
      <c r="D130" s="44" t="inlineStr">
        <is>
          <t>PROD</t>
        </is>
      </c>
      <c r="E130" s="44" t="inlineStr">
        <is>
          <t>Produksi Harian</t>
        </is>
      </c>
      <c r="F130" s="44" t="inlineStr">
        <is>
          <t>2025-8-18</t>
        </is>
      </c>
      <c r="G130" s="44" t="inlineStr">
        <is>
          <t>0000127570</t>
        </is>
      </c>
      <c r="H130" s="44" t="inlineStr">
        <is>
          <t xml:space="preserve"> </t>
        </is>
      </c>
      <c r="I130" s="44" t="inlineStr">
        <is>
          <t xml:space="preserve"> To Be Corrected </t>
        </is>
      </c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</row>
    <row r="131" ht="15.75" customHeight="1" s="169">
      <c r="A131" s="45" t="n">
        <v>528000242</v>
      </c>
      <c r="B131" s="44" t="inlineStr">
        <is>
          <t>Erik Sugiana</t>
        </is>
      </c>
      <c r="C131" s="44" t="inlineStr">
        <is>
          <t>Mitra Kerja</t>
        </is>
      </c>
      <c r="D131" s="44" t="inlineStr">
        <is>
          <t>HRGA</t>
        </is>
      </c>
      <c r="E131" s="44" t="inlineStr">
        <is>
          <t>HRD Vendor</t>
        </is>
      </c>
      <c r="F131" s="44" t="inlineStr">
        <is>
          <t>2025-7-26</t>
        </is>
      </c>
      <c r="G131" s="44" t="inlineStr">
        <is>
          <t>0000126454</t>
        </is>
      </c>
      <c r="H131" s="44" t="inlineStr">
        <is>
          <t xml:space="preserve"> </t>
        </is>
      </c>
      <c r="I131" s="44" t="inlineStr">
        <is>
          <t>-</t>
        </is>
      </c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</row>
    <row r="132" ht="15.75" customHeight="1" s="169">
      <c r="A132" s="45" t="n">
        <v>528000243</v>
      </c>
      <c r="B132" s="44" t="inlineStr">
        <is>
          <t>Akmal komaludin</t>
        </is>
      </c>
      <c r="C132" s="44" t="inlineStr">
        <is>
          <t>Mitra Kerja</t>
        </is>
      </c>
      <c r="D132" s="44" t="inlineStr">
        <is>
          <t>PROD</t>
        </is>
      </c>
      <c r="E132" s="44" t="inlineStr">
        <is>
          <t>Produksi Harian</t>
        </is>
      </c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</row>
    <row r="133" ht="15.75" customHeight="1" s="169">
      <c r="A133" s="45" t="n">
        <v>528000244</v>
      </c>
      <c r="B133" s="44" t="inlineStr">
        <is>
          <t>Rodian Rifai</t>
        </is>
      </c>
      <c r="C133" s="44" t="inlineStr">
        <is>
          <t>Mitra Kerja</t>
        </is>
      </c>
      <c r="D133" s="44" t="inlineStr">
        <is>
          <t>PROD</t>
        </is>
      </c>
      <c r="E133" s="44" t="inlineStr">
        <is>
          <t>Produksi Harian</t>
        </is>
      </c>
      <c r="F133" s="44" t="inlineStr">
        <is>
          <t>2025-8-25</t>
        </is>
      </c>
      <c r="G133" s="44" t="inlineStr">
        <is>
          <t>0000127847</t>
        </is>
      </c>
      <c r="H133" s="44" t="inlineStr">
        <is>
          <t xml:space="preserve"> </t>
        </is>
      </c>
      <c r="I133" s="44" t="inlineStr">
        <is>
          <t>-</t>
        </is>
      </c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</row>
    <row r="134" ht="15.75" customHeight="1" s="169">
      <c r="A134" s="45" t="n">
        <v>528000245</v>
      </c>
      <c r="B134" s="44" t="inlineStr">
        <is>
          <t>Mutiyana</t>
        </is>
      </c>
      <c r="C134" s="44" t="inlineStr">
        <is>
          <t>Mitra Kerja</t>
        </is>
      </c>
      <c r="D134" s="44" t="inlineStr">
        <is>
          <t>PROD</t>
        </is>
      </c>
      <c r="E134" s="44" t="inlineStr">
        <is>
          <t>Produksi Harian</t>
        </is>
      </c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</row>
    <row r="135" ht="15.75" customHeight="1" s="169">
      <c r="A135" s="45" t="n">
        <v>528000246</v>
      </c>
      <c r="B135" s="44" t="inlineStr">
        <is>
          <t>Shakila Salsa Bila</t>
        </is>
      </c>
      <c r="C135" s="44" t="inlineStr">
        <is>
          <t>Mitra Kerja</t>
        </is>
      </c>
      <c r="D135" s="44" t="inlineStr">
        <is>
          <t>PROD</t>
        </is>
      </c>
      <c r="E135" s="44" t="inlineStr">
        <is>
          <t>Produksi Harian</t>
        </is>
      </c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</row>
    <row r="136" ht="15.75" customHeight="1" s="169">
      <c r="A136" s="45" t="n">
        <v>528000247</v>
      </c>
      <c r="B136" s="44" t="inlineStr">
        <is>
          <t>Sindy Nopita Sari</t>
        </is>
      </c>
      <c r="C136" s="44" t="inlineStr">
        <is>
          <t>Mitra Kerja</t>
        </is>
      </c>
      <c r="D136" s="44" t="inlineStr">
        <is>
          <t>PROD</t>
        </is>
      </c>
      <c r="E136" s="44" t="inlineStr">
        <is>
          <t>Produksi Harian</t>
        </is>
      </c>
      <c r="F136" s="44" t="inlineStr">
        <is>
          <t>2025-8-25</t>
        </is>
      </c>
      <c r="G136" s="44" t="inlineStr">
        <is>
          <t>0000127842</t>
        </is>
      </c>
      <c r="H136" s="44" t="inlineStr">
        <is>
          <t xml:space="preserve"> </t>
        </is>
      </c>
      <c r="I136" s="44" t="inlineStr">
        <is>
          <t>-</t>
        </is>
      </c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</row>
    <row r="137" ht="15.75" customHeight="1" s="169">
      <c r="A137" s="45" t="n">
        <v>528000248</v>
      </c>
      <c r="B137" s="44" t="inlineStr">
        <is>
          <t>Roka Jaya Salka Mulya</t>
        </is>
      </c>
      <c r="C137" s="44" t="inlineStr">
        <is>
          <t>Mitra Kerja</t>
        </is>
      </c>
      <c r="D137" s="44" t="inlineStr">
        <is>
          <t>PROD</t>
        </is>
      </c>
      <c r="E137" s="44" t="inlineStr">
        <is>
          <t>Produksi Harian</t>
        </is>
      </c>
      <c r="F137" s="44" t="inlineStr">
        <is>
          <t>2025-8-25</t>
        </is>
      </c>
      <c r="G137" s="44" t="inlineStr">
        <is>
          <t>0000127855</t>
        </is>
      </c>
      <c r="H137" s="44" t="inlineStr">
        <is>
          <t xml:space="preserve"> </t>
        </is>
      </c>
      <c r="I137" s="44" t="inlineStr">
        <is>
          <t xml:space="preserve"> To Be Corrected </t>
        </is>
      </c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</row>
    <row r="138" ht="15.75" customHeight="1" s="169">
      <c r="A138" s="45" t="n">
        <v>528000249</v>
      </c>
      <c r="B138" s="44" t="inlineStr">
        <is>
          <t>Fitri Febrian Rasya</t>
        </is>
      </c>
      <c r="C138" s="44" t="inlineStr">
        <is>
          <t>Mitra Kerja</t>
        </is>
      </c>
      <c r="D138" s="44" t="inlineStr">
        <is>
          <t>PROD</t>
        </is>
      </c>
      <c r="E138" s="44" t="inlineStr">
        <is>
          <t>Produksi Harian</t>
        </is>
      </c>
      <c r="F138" s="44" t="inlineStr">
        <is>
          <t>2025-8-25</t>
        </is>
      </c>
      <c r="G138" s="44" t="inlineStr">
        <is>
          <t>0000127852</t>
        </is>
      </c>
      <c r="H138" s="44" t="inlineStr">
        <is>
          <t xml:space="preserve"> </t>
        </is>
      </c>
      <c r="I138" s="44" t="inlineStr">
        <is>
          <t xml:space="preserve"> To Be Corrected </t>
        </is>
      </c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</row>
    <row r="139" ht="15.75" customHeight="1" s="169">
      <c r="A139" s="45" t="n">
        <v>528000250</v>
      </c>
      <c r="B139" s="44" t="inlineStr">
        <is>
          <t>Mokhamad Rifki</t>
        </is>
      </c>
      <c r="C139" s="44" t="inlineStr">
        <is>
          <t>Mitra Kerja</t>
        </is>
      </c>
      <c r="D139" s="44" t="inlineStr">
        <is>
          <t>PROD</t>
        </is>
      </c>
      <c r="E139" s="44" t="inlineStr">
        <is>
          <t>Produksi Harian</t>
        </is>
      </c>
      <c r="F139" s="44" t="inlineStr">
        <is>
          <t>2025-8-25</t>
        </is>
      </c>
      <c r="G139" s="44" t="inlineStr">
        <is>
          <t>0000127857</t>
        </is>
      </c>
      <c r="H139" s="44" t="inlineStr">
        <is>
          <t xml:space="preserve"> </t>
        </is>
      </c>
      <c r="I139" s="44" t="inlineStr">
        <is>
          <t xml:space="preserve"> To Be Corrected </t>
        </is>
      </c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</row>
    <row r="140" ht="15.75" customHeight="1" s="169">
      <c r="A140" s="45" t="n">
        <v>528000251</v>
      </c>
      <c r="B140" s="44" t="inlineStr">
        <is>
          <t>Salya Nugraha</t>
        </is>
      </c>
      <c r="C140" s="44" t="inlineStr">
        <is>
          <t>Mitra Kerja</t>
        </is>
      </c>
      <c r="D140" s="44" t="inlineStr">
        <is>
          <t>PROD</t>
        </is>
      </c>
      <c r="E140" s="44" t="inlineStr">
        <is>
          <t>Produksi Harian</t>
        </is>
      </c>
      <c r="F140" s="44" t="inlineStr">
        <is>
          <t>2025-8-25</t>
        </is>
      </c>
      <c r="G140" s="44" t="inlineStr">
        <is>
          <t>0000127856</t>
        </is>
      </c>
      <c r="H140" s="44" t="inlineStr">
        <is>
          <t xml:space="preserve"> </t>
        </is>
      </c>
      <c r="I140" s="44" t="inlineStr">
        <is>
          <t xml:space="preserve"> To Be Corrected </t>
        </is>
      </c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</row>
    <row r="141" ht="15.75" customHeight="1" s="169">
      <c r="A141" s="45" t="n">
        <v>528000252</v>
      </c>
      <c r="B141" s="44" t="inlineStr">
        <is>
          <t>Adrian Pratama Putra</t>
        </is>
      </c>
      <c r="C141" s="44" t="inlineStr">
        <is>
          <t>Mitra Kerja</t>
        </is>
      </c>
      <c r="D141" s="44" t="inlineStr">
        <is>
          <t>LOG</t>
        </is>
      </c>
      <c r="E141" s="44" t="inlineStr">
        <is>
          <t>WRM Harian</t>
        </is>
      </c>
      <c r="F141" s="44" t="inlineStr">
        <is>
          <t>2025-8-25</t>
        </is>
      </c>
      <c r="G141" s="44" t="inlineStr">
        <is>
          <t>0000127858</t>
        </is>
      </c>
      <c r="H141" s="44" t="inlineStr">
        <is>
          <t xml:space="preserve"> </t>
        </is>
      </c>
      <c r="I141" s="44" t="inlineStr">
        <is>
          <t xml:space="preserve"> To Be Corrected </t>
        </is>
      </c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</row>
    <row r="142" ht="15.75" customHeight="1" s="169">
      <c r="A142" s="45" t="n">
        <v>528000253</v>
      </c>
      <c r="B142" s="44" t="inlineStr">
        <is>
          <t>Pawad Sukurillah</t>
        </is>
      </c>
      <c r="C142" s="44" t="inlineStr">
        <is>
          <t>Mitra Kerja</t>
        </is>
      </c>
      <c r="D142" s="44" t="inlineStr">
        <is>
          <t>PROD</t>
        </is>
      </c>
      <c r="E142" s="44" t="inlineStr">
        <is>
          <t>Produksi Harian</t>
        </is>
      </c>
      <c r="F142" s="44" t="inlineStr">
        <is>
          <t>2025-8-25</t>
        </is>
      </c>
      <c r="G142" s="44" t="inlineStr">
        <is>
          <t>0000127865</t>
        </is>
      </c>
      <c r="H142" s="44" t="inlineStr">
        <is>
          <t xml:space="preserve"> </t>
        </is>
      </c>
      <c r="I142" s="44" t="inlineStr">
        <is>
          <t>-</t>
        </is>
      </c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</row>
    <row r="143" ht="15.75" customHeight="1" s="169">
      <c r="A143" s="45" t="n">
        <v>528000254</v>
      </c>
      <c r="B143" s="44" t="inlineStr">
        <is>
          <t>M. Difa Ramdani</t>
        </is>
      </c>
      <c r="C143" s="44" t="inlineStr">
        <is>
          <t>Mitra Kerja</t>
        </is>
      </c>
      <c r="D143" s="44" t="inlineStr">
        <is>
          <t>PROD</t>
        </is>
      </c>
      <c r="E143" s="44" t="inlineStr">
        <is>
          <t>Produksi Harian</t>
        </is>
      </c>
      <c r="F143" s="44" t="inlineStr">
        <is>
          <t>2025-8-25</t>
        </is>
      </c>
      <c r="G143" s="44" t="inlineStr">
        <is>
          <t>0000127886</t>
        </is>
      </c>
      <c r="H143" s="44" t="inlineStr">
        <is>
          <t xml:space="preserve"> </t>
        </is>
      </c>
      <c r="I143" s="44" t="inlineStr">
        <is>
          <t>-</t>
        </is>
      </c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</row>
    <row r="144" ht="15.75" customHeight="1" s="169">
      <c r="A144" s="45" t="n">
        <v>528000255</v>
      </c>
      <c r="B144" s="44" t="inlineStr">
        <is>
          <t>Muhamad Ezi</t>
        </is>
      </c>
      <c r="C144" s="44" t="inlineStr">
        <is>
          <t>Mitra Kerja</t>
        </is>
      </c>
      <c r="D144" s="44" t="inlineStr">
        <is>
          <t>PROD</t>
        </is>
      </c>
      <c r="E144" s="44" t="inlineStr">
        <is>
          <t>Produksi Harian</t>
        </is>
      </c>
      <c r="F144" s="44" t="inlineStr">
        <is>
          <t>2025-8-25</t>
        </is>
      </c>
      <c r="G144" s="44" t="inlineStr">
        <is>
          <t>0000127882</t>
        </is>
      </c>
      <c r="H144" s="44" t="inlineStr">
        <is>
          <t xml:space="preserve"> </t>
        </is>
      </c>
      <c r="I144" s="44" t="inlineStr">
        <is>
          <t xml:space="preserve"> To Be Corrected </t>
        </is>
      </c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</row>
    <row r="145" ht="15.75" customHeight="1" s="169">
      <c r="A145" s="45" t="n">
        <v>528000256</v>
      </c>
      <c r="B145" s="44" t="inlineStr">
        <is>
          <t>Rasianah</t>
        </is>
      </c>
      <c r="C145" s="44" t="inlineStr">
        <is>
          <t>Mitra Kerja</t>
        </is>
      </c>
      <c r="D145" s="44" t="inlineStr">
        <is>
          <t>PROD</t>
        </is>
      </c>
      <c r="E145" s="44" t="inlineStr">
        <is>
          <t>Produksi Harian</t>
        </is>
      </c>
      <c r="F145" s="44" t="inlineStr">
        <is>
          <t>2025-8-25</t>
        </is>
      </c>
      <c r="G145" s="44" t="inlineStr">
        <is>
          <t>0000127877</t>
        </is>
      </c>
      <c r="H145" s="44" t="inlineStr">
        <is>
          <t xml:space="preserve"> </t>
        </is>
      </c>
      <c r="I145" s="44" t="inlineStr">
        <is>
          <t xml:space="preserve"> To Be Corrected </t>
        </is>
      </c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</row>
    <row r="146" ht="15.75" customHeight="1" s="169">
      <c r="A146" s="45" t="n">
        <v>528000257</v>
      </c>
      <c r="B146" s="44" t="inlineStr">
        <is>
          <t>Neng Purwanti</t>
        </is>
      </c>
      <c r="C146" s="44" t="inlineStr">
        <is>
          <t>Mitra Kerja</t>
        </is>
      </c>
      <c r="D146" s="44" t="inlineStr">
        <is>
          <t>PROD</t>
        </is>
      </c>
      <c r="E146" s="44" t="inlineStr">
        <is>
          <t>Produksi Harian</t>
        </is>
      </c>
      <c r="F146" s="44" t="inlineStr">
        <is>
          <t>2025-8-25</t>
        </is>
      </c>
      <c r="G146" s="44" t="inlineStr">
        <is>
          <t>0000127892</t>
        </is>
      </c>
      <c r="H146" s="44" t="inlineStr">
        <is>
          <t xml:space="preserve"> </t>
        </is>
      </c>
      <c r="I146" s="44" t="inlineStr">
        <is>
          <t>-</t>
        </is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</row>
    <row r="147" ht="15.75" customHeight="1" s="169">
      <c r="A147" s="45" t="n">
        <v>528000258</v>
      </c>
      <c r="B147" s="44" t="inlineStr">
        <is>
          <t>Yoga Permana</t>
        </is>
      </c>
      <c r="C147" s="44" t="inlineStr">
        <is>
          <t>Mitra Kerja</t>
        </is>
      </c>
      <c r="D147" s="44" t="inlineStr">
        <is>
          <t>PROD</t>
        </is>
      </c>
      <c r="E147" s="44" t="inlineStr">
        <is>
          <t>Produksi Harian</t>
        </is>
      </c>
      <c r="F147" s="44" t="inlineStr">
        <is>
          <t>2025-8-25</t>
        </is>
      </c>
      <c r="G147" s="44" t="inlineStr">
        <is>
          <t>0000127896</t>
        </is>
      </c>
      <c r="H147" s="44" t="inlineStr">
        <is>
          <t xml:space="preserve"> </t>
        </is>
      </c>
      <c r="I147" s="44" t="inlineStr">
        <is>
          <t xml:space="preserve"> To Be Corrected </t>
        </is>
      </c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</row>
    <row r="148" ht="15.75" customHeight="1" s="169">
      <c r="A148" s="45" t="n">
        <v>528000259</v>
      </c>
      <c r="B148" s="44" t="inlineStr">
        <is>
          <t>Dwi Putra</t>
        </is>
      </c>
      <c r="C148" s="44" t="inlineStr">
        <is>
          <t>Mitra Kerja</t>
        </is>
      </c>
      <c r="D148" s="44" t="inlineStr">
        <is>
          <t>PROD</t>
        </is>
      </c>
      <c r="E148" s="44" t="inlineStr">
        <is>
          <t>Produksi Harian</t>
        </is>
      </c>
      <c r="F148" s="44" t="inlineStr">
        <is>
          <t>2025-8-25</t>
        </is>
      </c>
      <c r="G148" s="44" t="inlineStr">
        <is>
          <t>0000127888</t>
        </is>
      </c>
      <c r="H148" s="44" t="inlineStr">
        <is>
          <t xml:space="preserve"> </t>
        </is>
      </c>
      <c r="I148" s="44" t="inlineStr">
        <is>
          <t>-</t>
        </is>
      </c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</row>
    <row r="149" ht="15.75" customHeight="1" s="169">
      <c r="A149" s="45" t="n">
        <v>528000261</v>
      </c>
      <c r="B149" s="44" t="inlineStr">
        <is>
          <t>Ergi Ergianto</t>
        </is>
      </c>
      <c r="C149" s="44" t="inlineStr">
        <is>
          <t>Mitra Kerja</t>
        </is>
      </c>
      <c r="D149" s="44" t="inlineStr">
        <is>
          <t>HRGA</t>
        </is>
      </c>
      <c r="E149" s="44" t="inlineStr">
        <is>
          <t>GA Harian</t>
        </is>
      </c>
      <c r="F149" s="44" t="inlineStr">
        <is>
          <t>2025-9-13</t>
        </is>
      </c>
      <c r="G149" s="44" t="inlineStr">
        <is>
          <t>0000129116</t>
        </is>
      </c>
      <c r="H149" s="44" t="inlineStr">
        <is>
          <t xml:space="preserve"> </t>
        </is>
      </c>
      <c r="I149" s="44" t="inlineStr">
        <is>
          <t>-</t>
        </is>
      </c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</row>
    <row r="150" ht="15.75" customHeight="1" s="169">
      <c r="A150" s="45" t="n">
        <v>528000262</v>
      </c>
      <c r="B150" s="44" t="inlineStr">
        <is>
          <t>Ndari Dwiwanti</t>
        </is>
      </c>
      <c r="C150" s="44" t="inlineStr">
        <is>
          <t>Mitra Kerja</t>
        </is>
      </c>
      <c r="D150" s="44" t="inlineStr">
        <is>
          <t>PROD</t>
        </is>
      </c>
      <c r="E150" s="44" t="inlineStr">
        <is>
          <t>Produksi Harian</t>
        </is>
      </c>
      <c r="F150" s="44" t="inlineStr">
        <is>
          <t>2025-9-13</t>
        </is>
      </c>
      <c r="G150" s="44" t="inlineStr">
        <is>
          <t>0000129117</t>
        </is>
      </c>
      <c r="H150" s="44" t="inlineStr">
        <is>
          <t xml:space="preserve"> </t>
        </is>
      </c>
      <c r="I150" s="44" t="inlineStr">
        <is>
          <t>-</t>
        </is>
      </c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</row>
    <row r="151" ht="15.75" customHeight="1" s="169">
      <c r="A151" s="45" t="n">
        <v>528000263</v>
      </c>
      <c r="B151" s="44" t="inlineStr">
        <is>
          <t>Dea Putri Kurnia</t>
        </is>
      </c>
      <c r="C151" s="44" t="inlineStr">
        <is>
          <t>Mitra Kerja</t>
        </is>
      </c>
      <c r="D151" s="44" t="inlineStr">
        <is>
          <t>PROD</t>
        </is>
      </c>
      <c r="E151" s="44" t="inlineStr">
        <is>
          <t>Produksi Harian</t>
        </is>
      </c>
      <c r="F151" s="44" t="inlineStr">
        <is>
          <t>2025-9-13</t>
        </is>
      </c>
      <c r="G151" s="44" t="inlineStr">
        <is>
          <t>0000129121</t>
        </is>
      </c>
      <c r="H151" s="44" t="inlineStr">
        <is>
          <t xml:space="preserve"> </t>
        </is>
      </c>
      <c r="I151" s="44" t="inlineStr">
        <is>
          <t>-</t>
        </is>
      </c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</row>
    <row r="152" ht="15.75" customHeight="1" s="169">
      <c r="A152" s="45" t="n">
        <v>528000264</v>
      </c>
      <c r="B152" s="44" t="inlineStr">
        <is>
          <t>Dani Nurohman</t>
        </is>
      </c>
      <c r="C152" s="44" t="inlineStr">
        <is>
          <t>Mitra Kerja</t>
        </is>
      </c>
      <c r="D152" s="44" t="inlineStr">
        <is>
          <t>LOG</t>
        </is>
      </c>
      <c r="E152" s="44" t="inlineStr">
        <is>
          <t>WRM Harian</t>
        </is>
      </c>
      <c r="F152" s="44" t="inlineStr">
        <is>
          <t>2025-9-13</t>
        </is>
      </c>
      <c r="G152" s="44" t="inlineStr">
        <is>
          <t>0000129122</t>
        </is>
      </c>
      <c r="H152" s="44" t="inlineStr">
        <is>
          <t xml:space="preserve"> </t>
        </is>
      </c>
      <c r="I152" s="44" t="inlineStr">
        <is>
          <t>-</t>
        </is>
      </c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</row>
    <row r="153" ht="15.75" customHeight="1" s="169">
      <c r="A153" s="45" t="n">
        <v>528000265</v>
      </c>
      <c r="B153" s="44" t="inlineStr">
        <is>
          <t>Muhammad Haerul Rozikin</t>
        </is>
      </c>
      <c r="C153" s="44" t="inlineStr">
        <is>
          <t>Mitra Kerja</t>
        </is>
      </c>
      <c r="D153" s="44" t="inlineStr">
        <is>
          <t>LOG</t>
        </is>
      </c>
      <c r="E153" s="44" t="inlineStr">
        <is>
          <t>WRM Harian</t>
        </is>
      </c>
      <c r="F153" s="44" t="inlineStr">
        <is>
          <t>2025-10-4</t>
        </is>
      </c>
      <c r="G153" s="44" t="inlineStr">
        <is>
          <t>0000130059</t>
        </is>
      </c>
      <c r="H153" s="44" t="inlineStr">
        <is>
          <t xml:space="preserve"> </t>
        </is>
      </c>
      <c r="I153" s="44" t="inlineStr">
        <is>
          <t>-</t>
        </is>
      </c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</row>
    <row r="154" ht="15.75" customHeight="1" s="169">
      <c r="A154" s="45" t="n">
        <v>528000266</v>
      </c>
      <c r="B154" s="44" t="inlineStr">
        <is>
          <t>M. Syirajatieq</t>
        </is>
      </c>
      <c r="C154" s="44" t="inlineStr">
        <is>
          <t>Mitra Kerja</t>
        </is>
      </c>
      <c r="D154" s="44" t="inlineStr">
        <is>
          <t>LOG</t>
        </is>
      </c>
      <c r="E154" s="44" t="inlineStr">
        <is>
          <t>WFG Harian</t>
        </is>
      </c>
      <c r="F154" s="44" t="inlineStr">
        <is>
          <t>2025-10-4</t>
        </is>
      </c>
      <c r="G154" s="44" t="inlineStr">
        <is>
          <t>0000130078</t>
        </is>
      </c>
      <c r="H154" s="44" t="inlineStr">
        <is>
          <t xml:space="preserve"> </t>
        </is>
      </c>
      <c r="I154" s="44" t="inlineStr">
        <is>
          <t>-</t>
        </is>
      </c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</row>
    <row r="155" ht="15.75" customHeight="1" s="169">
      <c r="A155" s="45" t="n">
        <v>528000267</v>
      </c>
      <c r="B155" s="44" t="inlineStr">
        <is>
          <t>Bagas Patulloh</t>
        </is>
      </c>
      <c r="C155" s="44" t="inlineStr">
        <is>
          <t>Mitra Kerja</t>
        </is>
      </c>
      <c r="D155" s="44" t="inlineStr">
        <is>
          <t>LOG</t>
        </is>
      </c>
      <c r="E155" s="44" t="inlineStr">
        <is>
          <t>WRM Harian</t>
        </is>
      </c>
      <c r="F155" s="44" t="inlineStr">
        <is>
          <t>2025-10-4</t>
        </is>
      </c>
      <c r="G155" s="44" t="inlineStr">
        <is>
          <t>0000130077</t>
        </is>
      </c>
      <c r="H155" s="44" t="inlineStr">
        <is>
          <t xml:space="preserve"> </t>
        </is>
      </c>
      <c r="I155" s="44" t="inlineStr">
        <is>
          <t>-</t>
        </is>
      </c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</row>
    <row r="156" ht="15.75" customHeight="1" s="169">
      <c r="A156" s="45" t="n">
        <v>528000268</v>
      </c>
      <c r="B156" s="44" t="inlineStr">
        <is>
          <t>Santi Susilawati</t>
        </is>
      </c>
      <c r="C156" s="44" t="inlineStr">
        <is>
          <t>Mitra Kerja</t>
        </is>
      </c>
      <c r="D156" s="44" t="inlineStr">
        <is>
          <t>PROD</t>
        </is>
      </c>
      <c r="E156" s="44" t="inlineStr">
        <is>
          <t>Produksi Harian</t>
        </is>
      </c>
      <c r="F156" s="44" t="inlineStr">
        <is>
          <t>2025-11-3</t>
        </is>
      </c>
      <c r="G156" s="44" t="inlineStr">
        <is>
          <t>0000131435</t>
        </is>
      </c>
      <c r="H156" s="44" t="inlineStr">
        <is>
          <t xml:space="preserve"> </t>
        </is>
      </c>
      <c r="I156" s="44" t="inlineStr">
        <is>
          <t>-</t>
        </is>
      </c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</row>
    <row r="157" ht="15.75" customHeight="1" s="169">
      <c r="A157" s="45" t="n">
        <v>528000269</v>
      </c>
      <c r="B157" s="44" t="inlineStr">
        <is>
          <t>Sri Ajeng Juliyanti</t>
        </is>
      </c>
      <c r="C157" s="44" t="inlineStr">
        <is>
          <t>Mitra Kerja</t>
        </is>
      </c>
      <c r="D157" s="44" t="inlineStr">
        <is>
          <t>PROD</t>
        </is>
      </c>
      <c r="E157" s="44" t="inlineStr">
        <is>
          <t>Produksi Harian</t>
        </is>
      </c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</row>
    <row r="158" ht="15.75" customHeight="1" s="169">
      <c r="A158" s="45" t="n">
        <v>528000270</v>
      </c>
      <c r="B158" s="44" t="inlineStr">
        <is>
          <t>Febri Najmudin</t>
        </is>
      </c>
      <c r="C158" s="44" t="inlineStr">
        <is>
          <t>Mitra Kerja</t>
        </is>
      </c>
      <c r="D158" s="44" t="inlineStr">
        <is>
          <t>LOG</t>
        </is>
      </c>
      <c r="E158" s="44" t="inlineStr">
        <is>
          <t>WRM Harian</t>
        </is>
      </c>
      <c r="F158" s="44" t="inlineStr">
        <is>
          <t>2025-11-3</t>
        </is>
      </c>
      <c r="G158" s="44" t="inlineStr">
        <is>
          <t>0000131437</t>
        </is>
      </c>
      <c r="H158" s="44" t="inlineStr">
        <is>
          <t xml:space="preserve"> </t>
        </is>
      </c>
      <c r="I158" s="44" t="inlineStr">
        <is>
          <t>-</t>
        </is>
      </c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</row>
    <row r="159" ht="15.75" customHeight="1" s="169">
      <c r="A159" s="45" t="n">
        <v>528000271</v>
      </c>
      <c r="B159" s="44" t="inlineStr">
        <is>
          <t>Fardi Luci</t>
        </is>
      </c>
      <c r="C159" s="44" t="inlineStr">
        <is>
          <t>Mitra Kerja</t>
        </is>
      </c>
      <c r="D159" s="44" t="inlineStr">
        <is>
          <t>PROD</t>
        </is>
      </c>
      <c r="E159" s="44" t="inlineStr">
        <is>
          <t>Produksi Harian</t>
        </is>
      </c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</row>
    <row r="160" ht="15.75" customHeight="1" s="169">
      <c r="A160" s="45" t="n">
        <v>528000272</v>
      </c>
      <c r="B160" s="44" t="inlineStr">
        <is>
          <t>Randi Rahman</t>
        </is>
      </c>
      <c r="C160" s="44" t="inlineStr">
        <is>
          <t>Mitra Kerja</t>
        </is>
      </c>
      <c r="D160" s="44" t="inlineStr">
        <is>
          <t>PROD</t>
        </is>
      </c>
      <c r="E160" s="44" t="inlineStr">
        <is>
          <t>Produksi Harian</t>
        </is>
      </c>
      <c r="F160" s="44" t="inlineStr">
        <is>
          <t>2026-3-7</t>
        </is>
      </c>
      <c r="G160" s="44" t="inlineStr">
        <is>
          <t>0000136719</t>
        </is>
      </c>
      <c r="H160" s="44" t="inlineStr">
        <is>
          <t xml:space="preserve"> </t>
        </is>
      </c>
      <c r="I160" s="44" t="inlineStr">
        <is>
          <t>-</t>
        </is>
      </c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</row>
    <row r="161" ht="15.75" customHeight="1" s="169">
      <c r="A161" s="45" t="n">
        <v>528000273</v>
      </c>
      <c r="B161" s="44" t="inlineStr">
        <is>
          <t>Asep Mulyana</t>
        </is>
      </c>
      <c r="C161" s="44" t="inlineStr">
        <is>
          <t>Mitra Kerja</t>
        </is>
      </c>
      <c r="D161" s="44" t="inlineStr">
        <is>
          <t>PROD</t>
        </is>
      </c>
      <c r="E161" s="44" t="inlineStr">
        <is>
          <t>Produksi Harian</t>
        </is>
      </c>
      <c r="F161" s="44" t="inlineStr">
        <is>
          <t>2026-3-7</t>
        </is>
      </c>
      <c r="G161" s="44" t="inlineStr">
        <is>
          <t>0000136715</t>
        </is>
      </c>
      <c r="H161" s="44" t="inlineStr">
        <is>
          <t xml:space="preserve"> </t>
        </is>
      </c>
      <c r="I161" s="44" t="inlineStr">
        <is>
          <t>-</t>
        </is>
      </c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</row>
    <row r="162" ht="15.75" customHeight="1" s="169">
      <c r="A162" s="45" t="n">
        <v>528000274</v>
      </c>
      <c r="B162" s="44" t="inlineStr">
        <is>
          <t>Zepri</t>
        </is>
      </c>
      <c r="C162" s="44" t="inlineStr">
        <is>
          <t>Mitra Kerja</t>
        </is>
      </c>
      <c r="D162" s="44" t="inlineStr">
        <is>
          <t>PROD</t>
        </is>
      </c>
      <c r="E162" s="44" t="inlineStr">
        <is>
          <t>Produksi Harian</t>
        </is>
      </c>
      <c r="F162" s="44" t="inlineStr">
        <is>
          <t>2024-10-8</t>
        </is>
      </c>
      <c r="G162" s="44" t="inlineStr">
        <is>
          <t>0000109078</t>
        </is>
      </c>
      <c r="H162" s="44" t="inlineStr">
        <is>
          <t xml:space="preserve"> </t>
        </is>
      </c>
      <c r="I162" s="44" t="inlineStr">
        <is>
          <t>-</t>
        </is>
      </c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</row>
    <row r="163" ht="15.75" customHeight="1" s="169">
      <c r="A163" s="45" t="n">
        <v>528000275</v>
      </c>
      <c r="B163" s="44" t="inlineStr">
        <is>
          <t>Muhammad Fikri Al-Bukhori</t>
        </is>
      </c>
      <c r="C163" s="44" t="inlineStr">
        <is>
          <t>Mitra Kerja</t>
        </is>
      </c>
      <c r="D163" s="44" t="inlineStr">
        <is>
          <t>PROD</t>
        </is>
      </c>
      <c r="E163" s="44" t="inlineStr">
        <is>
          <t>Produksi Harian</t>
        </is>
      </c>
      <c r="F163" s="44" t="inlineStr">
        <is>
          <t>2026-3-7</t>
        </is>
      </c>
      <c r="G163" s="44" t="inlineStr">
        <is>
          <t>0000136713</t>
        </is>
      </c>
      <c r="H163" s="44" t="inlineStr">
        <is>
          <t xml:space="preserve"> </t>
        </is>
      </c>
      <c r="I163" s="44" t="inlineStr">
        <is>
          <t>-</t>
        </is>
      </c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</row>
    <row r="164" ht="15.75" customHeight="1" s="169">
      <c r="A164" s="45" t="n">
        <v>528000276</v>
      </c>
      <c r="B164" s="44" t="inlineStr">
        <is>
          <t>Fitri Febrian Rasya</t>
        </is>
      </c>
      <c r="C164" s="44" t="inlineStr">
        <is>
          <t>Mitra Kerja</t>
        </is>
      </c>
      <c r="D164" s="44" t="inlineStr">
        <is>
          <t>PROD</t>
        </is>
      </c>
      <c r="E164" s="44" t="inlineStr">
        <is>
          <t>Produksi Harian</t>
        </is>
      </c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</row>
    <row r="165" ht="15.75" customHeight="1" s="169">
      <c r="A165" s="45" t="n">
        <v>528000277</v>
      </c>
      <c r="B165" s="44" t="inlineStr">
        <is>
          <t>Jorgha Febrian Koswata</t>
        </is>
      </c>
      <c r="C165" s="44" t="inlineStr">
        <is>
          <t>Mitra Kerja</t>
        </is>
      </c>
      <c r="D165" s="44" t="inlineStr">
        <is>
          <t>PROD</t>
        </is>
      </c>
      <c r="E165" s="44" t="inlineStr">
        <is>
          <t>Produksi Harian</t>
        </is>
      </c>
      <c r="F165" s="44" t="inlineStr">
        <is>
          <t>2026-3-7</t>
        </is>
      </c>
      <c r="G165" s="44" t="inlineStr">
        <is>
          <t>0000136714</t>
        </is>
      </c>
      <c r="H165" s="44" t="inlineStr">
        <is>
          <t xml:space="preserve"> </t>
        </is>
      </c>
      <c r="I165" s="44" t="inlineStr">
        <is>
          <t>-</t>
        </is>
      </c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</row>
    <row r="166" ht="15.75" customHeight="1" s="169">
      <c r="A166" s="45" t="n">
        <v>528000278</v>
      </c>
      <c r="B166" s="44" t="inlineStr">
        <is>
          <t>Ernita Listiana</t>
        </is>
      </c>
      <c r="C166" s="44" t="inlineStr">
        <is>
          <t>Mitra Kerja</t>
        </is>
      </c>
      <c r="D166" s="44" t="inlineStr">
        <is>
          <t>PROD</t>
        </is>
      </c>
      <c r="E166" s="44" t="inlineStr">
        <is>
          <t>Produksi Harian</t>
        </is>
      </c>
      <c r="F166" s="44" t="inlineStr">
        <is>
          <t>2026-3-7</t>
        </is>
      </c>
      <c r="G166" s="44" t="inlineStr">
        <is>
          <t>0000136718</t>
        </is>
      </c>
      <c r="H166" s="44" t="inlineStr">
        <is>
          <t xml:space="preserve"> </t>
        </is>
      </c>
      <c r="I166" s="44" t="inlineStr">
        <is>
          <t>-</t>
        </is>
      </c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</row>
    <row r="167" ht="15.75" customHeight="1" s="169">
      <c r="A167" s="45" t="n">
        <v>528000279</v>
      </c>
      <c r="B167" s="44" t="inlineStr">
        <is>
          <t>Mahdalena Dalfa Riani</t>
        </is>
      </c>
      <c r="C167" s="44" t="inlineStr">
        <is>
          <t>Mitra Kerja</t>
        </is>
      </c>
      <c r="D167" s="44" t="inlineStr">
        <is>
          <t>PROD</t>
        </is>
      </c>
      <c r="E167" s="44" t="inlineStr">
        <is>
          <t>Produksi Harian</t>
        </is>
      </c>
      <c r="F167" s="44" t="inlineStr">
        <is>
          <t>2026-3-7</t>
        </is>
      </c>
      <c r="G167" s="44" t="inlineStr">
        <is>
          <t>0000136717</t>
        </is>
      </c>
      <c r="H167" s="44" t="inlineStr">
        <is>
          <t xml:space="preserve"> </t>
        </is>
      </c>
      <c r="I167" s="44" t="inlineStr">
        <is>
          <t>-</t>
        </is>
      </c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</row>
    <row r="168" ht="15.75" customHeight="1" s="169">
      <c r="A168" s="45" t="n">
        <v>528000280</v>
      </c>
      <c r="B168" s="44" t="inlineStr">
        <is>
          <t>Dandi Hilman Kelana</t>
        </is>
      </c>
      <c r="C168" s="44" t="inlineStr">
        <is>
          <t>Mitra Kerja</t>
        </is>
      </c>
      <c r="D168" s="44" t="inlineStr">
        <is>
          <t>PROD</t>
        </is>
      </c>
      <c r="E168" s="44" t="inlineStr">
        <is>
          <t>Produksi Harian</t>
        </is>
      </c>
      <c r="F168" s="44" t="inlineStr">
        <is>
          <t>2026-3-7</t>
        </is>
      </c>
      <c r="G168" s="44" t="inlineStr">
        <is>
          <t>0000136720</t>
        </is>
      </c>
      <c r="H168" s="44" t="inlineStr">
        <is>
          <t xml:space="preserve"> </t>
        </is>
      </c>
      <c r="I168" s="44" t="inlineStr">
        <is>
          <t>-</t>
        </is>
      </c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</row>
    <row r="169" ht="15.75" customHeight="1" s="169">
      <c r="A169" s="45" t="n">
        <v>528000281</v>
      </c>
      <c r="B169" s="44" t="inlineStr">
        <is>
          <t>Rendi Ramdani</t>
        </is>
      </c>
      <c r="C169" s="44" t="inlineStr">
        <is>
          <t>Mitra Kerja</t>
        </is>
      </c>
      <c r="D169" s="44" t="inlineStr">
        <is>
          <t>PROD</t>
        </is>
      </c>
      <c r="E169" s="44" t="inlineStr">
        <is>
          <t>Produksi Harian</t>
        </is>
      </c>
      <c r="F169" s="44" t="inlineStr">
        <is>
          <t>2026-5-2</t>
        </is>
      </c>
      <c r="G169" s="44" t="inlineStr">
        <is>
          <t>0000138095</t>
        </is>
      </c>
      <c r="H169" s="44" t="inlineStr">
        <is>
          <t xml:space="preserve"> </t>
        </is>
      </c>
      <c r="I169" s="44" t="inlineStr">
        <is>
          <t>-</t>
        </is>
      </c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</row>
    <row r="170" ht="15.75" customHeight="1" s="169">
      <c r="A170" s="45" t="n">
        <v>528000282</v>
      </c>
      <c r="B170" s="44" t="inlineStr">
        <is>
          <t>Defa Desfiana</t>
        </is>
      </c>
      <c r="C170" s="44" t="inlineStr">
        <is>
          <t>Mitra Kerja</t>
        </is>
      </c>
      <c r="D170" s="44" t="inlineStr">
        <is>
          <t>PROD</t>
        </is>
      </c>
      <c r="E170" s="44" t="inlineStr">
        <is>
          <t>Produksi Harian</t>
        </is>
      </c>
      <c r="F170" s="44" t="inlineStr">
        <is>
          <t>2026-5-2</t>
        </is>
      </c>
      <c r="G170" s="44" t="inlineStr">
        <is>
          <t>0000138096</t>
        </is>
      </c>
      <c r="H170" s="44" t="inlineStr">
        <is>
          <t xml:space="preserve"> </t>
        </is>
      </c>
      <c r="I170" s="44" t="inlineStr">
        <is>
          <t>-</t>
        </is>
      </c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</row>
    <row r="171" ht="15.75" customHeight="1" s="169">
      <c r="A171" s="45" t="n">
        <v>528000283</v>
      </c>
      <c r="B171" s="44" t="inlineStr">
        <is>
          <t>Purwanda Sugiri</t>
        </is>
      </c>
      <c r="C171" s="44" t="inlineStr">
        <is>
          <t>Mitra Kerja</t>
        </is>
      </c>
      <c r="D171" s="44" t="inlineStr">
        <is>
          <t>LOG</t>
        </is>
      </c>
      <c r="E171" s="44" t="inlineStr">
        <is>
          <t>WRM Harian</t>
        </is>
      </c>
      <c r="F171" s="44" t="inlineStr">
        <is>
          <t>2026-5-2</t>
        </is>
      </c>
      <c r="G171" s="44" t="inlineStr">
        <is>
          <t>0000138099</t>
        </is>
      </c>
      <c r="H171" s="44" t="inlineStr">
        <is>
          <t xml:space="preserve"> </t>
        </is>
      </c>
      <c r="I171" s="44" t="inlineStr">
        <is>
          <t>-</t>
        </is>
      </c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</row>
    <row r="172" ht="15.75" customHeight="1" s="169">
      <c r="A172" s="45" t="n">
        <v>528000284</v>
      </c>
      <c r="B172" s="44" t="inlineStr">
        <is>
          <t>Muhammad Gilang Terta Nugraha</t>
        </is>
      </c>
      <c r="C172" s="44" t="inlineStr">
        <is>
          <t>Mitra Kerja</t>
        </is>
      </c>
      <c r="D172" s="44" t="inlineStr">
        <is>
          <t>PROD</t>
        </is>
      </c>
      <c r="E172" s="44" t="inlineStr">
        <is>
          <t>Produksi Harian</t>
        </is>
      </c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</row>
    <row r="173" ht="15.75" customHeight="1" s="169">
      <c r="A173" s="45" t="n">
        <v>528000285</v>
      </c>
      <c r="B173" s="44" t="inlineStr">
        <is>
          <t>Risma Sapitri</t>
        </is>
      </c>
      <c r="C173" s="44" t="inlineStr">
        <is>
          <t>Mitra Kerja</t>
        </is>
      </c>
      <c r="D173" s="44" t="inlineStr">
        <is>
          <t>PROD</t>
        </is>
      </c>
      <c r="E173" s="44" t="inlineStr">
        <is>
          <t>Produksi Harian</t>
        </is>
      </c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</row>
    <row r="174" ht="15.75" customHeight="1" s="169">
      <c r="A174" s="45" t="n">
        <v>528000286</v>
      </c>
      <c r="B174" s="44" t="inlineStr">
        <is>
          <t>Imelda Amelia</t>
        </is>
      </c>
      <c r="C174" s="44" t="inlineStr">
        <is>
          <t>Mitra Kerja</t>
        </is>
      </c>
      <c r="D174" s="44" t="inlineStr">
        <is>
          <t>PROD</t>
        </is>
      </c>
      <c r="E174" s="44" t="inlineStr">
        <is>
          <t>Produksi Harian</t>
        </is>
      </c>
      <c r="F174" s="44" t="inlineStr">
        <is>
          <t>2026-5-2</t>
        </is>
      </c>
      <c r="G174" s="44" t="inlineStr">
        <is>
          <t>0000138111</t>
        </is>
      </c>
      <c r="H174" s="44" t="inlineStr">
        <is>
          <t xml:space="preserve"> </t>
        </is>
      </c>
      <c r="I174" s="44" t="inlineStr">
        <is>
          <t>-</t>
        </is>
      </c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</row>
    <row r="175" ht="15.75" customHeight="1" s="169">
      <c r="A175" s="45" t="n">
        <v>528000287</v>
      </c>
      <c r="B175" s="44" t="inlineStr">
        <is>
          <t>Muhamad Angga Ramdani</t>
        </is>
      </c>
      <c r="C175" s="44" t="inlineStr">
        <is>
          <t>Mitra Kerja</t>
        </is>
      </c>
      <c r="D175" s="44" t="inlineStr">
        <is>
          <t>PROD</t>
        </is>
      </c>
      <c r="E175" s="44" t="inlineStr">
        <is>
          <t>Produksi Harian</t>
        </is>
      </c>
      <c r="F175" s="44" t="inlineStr">
        <is>
          <t>2026-5-2</t>
        </is>
      </c>
      <c r="G175" s="44" t="inlineStr">
        <is>
          <t>0000138094</t>
        </is>
      </c>
      <c r="H175" s="44" t="inlineStr">
        <is>
          <t xml:space="preserve"> </t>
        </is>
      </c>
      <c r="I175" s="44" t="inlineStr">
        <is>
          <t>-</t>
        </is>
      </c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</row>
    <row r="176" ht="15.75" customHeight="1" s="169">
      <c r="A176" s="45" t="n">
        <v>528000288</v>
      </c>
      <c r="B176" s="44" t="inlineStr">
        <is>
          <t>Dede gunawan</t>
        </is>
      </c>
      <c r="C176" s="44" t="inlineStr">
        <is>
          <t>Mitra Kerja</t>
        </is>
      </c>
      <c r="D176" s="44" t="inlineStr">
        <is>
          <t>PROD</t>
        </is>
      </c>
      <c r="E176" s="44" t="inlineStr">
        <is>
          <t>Produksi Harian</t>
        </is>
      </c>
      <c r="F176" s="44" t="inlineStr">
        <is>
          <t>2026-5-5</t>
        </is>
      </c>
      <c r="G176" s="44" t="inlineStr">
        <is>
          <t>0000138224</t>
        </is>
      </c>
      <c r="H176" s="44" t="inlineStr">
        <is>
          <t xml:space="preserve"> </t>
        </is>
      </c>
      <c r="I176" s="44" t="inlineStr">
        <is>
          <t>-</t>
        </is>
      </c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</row>
    <row r="177" ht="15.75" customHeight="1" s="169">
      <c r="A177" s="45" t="n">
        <v>528000289</v>
      </c>
      <c r="B177" s="44" t="inlineStr">
        <is>
          <t>Adit Supriyadi</t>
        </is>
      </c>
      <c r="C177" s="44" t="inlineStr">
        <is>
          <t>Mitra Kerja</t>
        </is>
      </c>
      <c r="D177" s="44" t="inlineStr">
        <is>
          <t>PROD</t>
        </is>
      </c>
      <c r="E177" s="44" t="inlineStr">
        <is>
          <t>Produksi Harian</t>
        </is>
      </c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</row>
    <row r="178" ht="15.75" customHeight="1" s="169">
      <c r="A178" s="45" t="n">
        <v>528000290</v>
      </c>
      <c r="B178" s="44" t="inlineStr">
        <is>
          <t>Eval Pranata</t>
        </is>
      </c>
      <c r="C178" s="44" t="inlineStr">
        <is>
          <t>Mitra Kerja</t>
        </is>
      </c>
      <c r="D178" s="44" t="inlineStr">
        <is>
          <t>PROD</t>
        </is>
      </c>
      <c r="E178" s="44" t="inlineStr">
        <is>
          <t>Produksi Harian</t>
        </is>
      </c>
      <c r="F178" s="44" t="inlineStr">
        <is>
          <t>2026-5-2</t>
        </is>
      </c>
      <c r="G178" s="44" t="inlineStr">
        <is>
          <t>0000138108</t>
        </is>
      </c>
      <c r="H178" s="44" t="inlineStr">
        <is>
          <t xml:space="preserve"> </t>
        </is>
      </c>
      <c r="I178" s="44" t="inlineStr">
        <is>
          <t>-</t>
        </is>
      </c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</row>
    <row r="179" ht="15.75" customHeight="1" s="169">
      <c r="A179" s="45" t="n">
        <v>528000291</v>
      </c>
      <c r="B179" s="44" t="inlineStr">
        <is>
          <t>Andrian</t>
        </is>
      </c>
      <c r="C179" s="44" t="inlineStr">
        <is>
          <t>Mitra Kerja</t>
        </is>
      </c>
      <c r="D179" s="44" t="inlineStr">
        <is>
          <t>PROD</t>
        </is>
      </c>
      <c r="E179" s="44" t="inlineStr">
        <is>
          <t>Produksi Harian</t>
        </is>
      </c>
      <c r="F179" s="44" t="inlineStr">
        <is>
          <t>2026-5-2</t>
        </is>
      </c>
      <c r="G179" s="44" t="inlineStr">
        <is>
          <t>0000138098</t>
        </is>
      </c>
      <c r="H179" s="44" t="inlineStr">
        <is>
          <t xml:space="preserve"> </t>
        </is>
      </c>
      <c r="I179" s="44" t="inlineStr">
        <is>
          <t>-</t>
        </is>
      </c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</row>
    <row r="180" ht="15.75" customHeight="1" s="169">
      <c r="A180" s="45" t="n">
        <v>528000292</v>
      </c>
      <c r="B180" s="44" t="inlineStr">
        <is>
          <t>Aditia Nugraha</t>
        </is>
      </c>
      <c r="C180" s="44" t="inlineStr">
        <is>
          <t>Mitra Kerja</t>
        </is>
      </c>
      <c r="D180" s="44" t="inlineStr">
        <is>
          <t>PROD</t>
        </is>
      </c>
      <c r="E180" s="44" t="inlineStr">
        <is>
          <t>Produksi Harian</t>
        </is>
      </c>
      <c r="F180" s="44" t="inlineStr">
        <is>
          <t>2026-5-2</t>
        </is>
      </c>
      <c r="G180" s="44" t="inlineStr">
        <is>
          <t>0000138106</t>
        </is>
      </c>
      <c r="H180" s="44" t="inlineStr">
        <is>
          <t xml:space="preserve"> </t>
        </is>
      </c>
      <c r="I180" s="44" t="inlineStr">
        <is>
          <t>-</t>
        </is>
      </c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</row>
    <row r="181" ht="15.75" customHeight="1" s="169">
      <c r="A181" s="45" t="n">
        <v>528000293</v>
      </c>
      <c r="B181" s="44" t="inlineStr">
        <is>
          <t>Shafa Wianda Amartha</t>
        </is>
      </c>
      <c r="C181" s="44" t="inlineStr">
        <is>
          <t>Mitra Kerja</t>
        </is>
      </c>
      <c r="D181" s="44" t="inlineStr">
        <is>
          <t>PROD</t>
        </is>
      </c>
      <c r="E181" s="44" t="inlineStr">
        <is>
          <t>Produksi Harian</t>
        </is>
      </c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</row>
    <row r="182" ht="15.75" customHeight="1" s="169">
      <c r="A182" s="45" t="n">
        <v>528000294</v>
      </c>
      <c r="B182" s="44" t="inlineStr">
        <is>
          <t>Dina apriani</t>
        </is>
      </c>
      <c r="C182" s="44" t="inlineStr">
        <is>
          <t>Mitra Kerja</t>
        </is>
      </c>
      <c r="D182" s="44" t="inlineStr">
        <is>
          <t>PROD</t>
        </is>
      </c>
      <c r="E182" s="44" t="inlineStr">
        <is>
          <t>Produksi Harian</t>
        </is>
      </c>
      <c r="F182" s="44" t="inlineStr">
        <is>
          <t>2026-5-2</t>
        </is>
      </c>
      <c r="G182" s="44" t="inlineStr">
        <is>
          <t>0000138109</t>
        </is>
      </c>
      <c r="H182" s="44" t="inlineStr">
        <is>
          <t xml:space="preserve"> </t>
        </is>
      </c>
      <c r="I182" s="44" t="inlineStr">
        <is>
          <t>-</t>
        </is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</row>
    <row r="183" ht="15.75" customHeight="1" s="169">
      <c r="A183" s="45" t="n">
        <v>528000295</v>
      </c>
      <c r="B183" s="44" t="inlineStr">
        <is>
          <t>Lusi amelia</t>
        </is>
      </c>
      <c r="C183" s="44" t="inlineStr">
        <is>
          <t>Mitra Kerja</t>
        </is>
      </c>
      <c r="D183" s="44" t="inlineStr">
        <is>
          <t>PROD</t>
        </is>
      </c>
      <c r="E183" s="44" t="inlineStr">
        <is>
          <t>Produksi Harian</t>
        </is>
      </c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</row>
    <row r="184" ht="15.75" customHeight="1" s="169">
      <c r="A184" s="45" t="n">
        <v>528000296</v>
      </c>
      <c r="B184" s="44" t="inlineStr">
        <is>
          <t>Nurdin</t>
        </is>
      </c>
      <c r="C184" s="44" t="inlineStr">
        <is>
          <t>Mitra Kerja</t>
        </is>
      </c>
      <c r="D184" s="44" t="inlineStr">
        <is>
          <t>PROD</t>
        </is>
      </c>
      <c r="E184" s="44" t="inlineStr">
        <is>
          <t>Produksi Harian</t>
        </is>
      </c>
      <c r="F184" s="44" t="inlineStr">
        <is>
          <t>2026-5-2</t>
        </is>
      </c>
      <c r="G184" s="44" t="inlineStr">
        <is>
          <t>0000138105</t>
        </is>
      </c>
      <c r="H184" s="44" t="inlineStr">
        <is>
          <t xml:space="preserve"> </t>
        </is>
      </c>
      <c r="I184" s="44" t="inlineStr">
        <is>
          <t>-</t>
        </is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</row>
    <row r="185" ht="15.75" customHeight="1" s="169">
      <c r="A185" s="45" t="n">
        <v>528000297</v>
      </c>
      <c r="B185" s="44" t="inlineStr">
        <is>
          <t>Muhamad Budiana</t>
        </is>
      </c>
      <c r="C185" s="44" t="inlineStr">
        <is>
          <t>Mitra Kerja</t>
        </is>
      </c>
      <c r="D185" s="44" t="inlineStr">
        <is>
          <t>PROD</t>
        </is>
      </c>
      <c r="E185" s="44" t="inlineStr">
        <is>
          <t>Produksi Harian</t>
        </is>
      </c>
      <c r="F185" s="44" t="inlineStr">
        <is>
          <t>2026-5-2</t>
        </is>
      </c>
      <c r="G185" s="44" t="inlineStr">
        <is>
          <t>0000138110</t>
        </is>
      </c>
      <c r="H185" s="44" t="inlineStr">
        <is>
          <t xml:space="preserve"> </t>
        </is>
      </c>
      <c r="I185" s="44" t="inlineStr">
        <is>
          <t>-</t>
        </is>
      </c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</row>
    <row r="186" ht="15.75" customHeight="1" s="169">
      <c r="A186" s="45" t="n">
        <v>528000298</v>
      </c>
      <c r="B186" s="44" t="inlineStr">
        <is>
          <t>Desta Cahaya Pratama</t>
        </is>
      </c>
      <c r="C186" s="44" t="inlineStr">
        <is>
          <t>Mitra Kerja</t>
        </is>
      </c>
      <c r="D186" s="44" t="inlineStr">
        <is>
          <t>PROD</t>
        </is>
      </c>
      <c r="E186" s="44" t="inlineStr">
        <is>
          <t>Produksi Harian</t>
        </is>
      </c>
      <c r="F186" s="44" t="inlineStr">
        <is>
          <t>2026-5-2</t>
        </is>
      </c>
      <c r="G186" s="44" t="inlineStr">
        <is>
          <t>0000138097</t>
        </is>
      </c>
      <c r="H186" s="44" t="inlineStr">
        <is>
          <t xml:space="preserve"> </t>
        </is>
      </c>
      <c r="I186" s="44" t="inlineStr">
        <is>
          <t>-</t>
        </is>
      </c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</row>
    <row r="187" ht="15.75" customHeight="1" s="169">
      <c r="A187" s="45" t="n">
        <v>528000299</v>
      </c>
      <c r="B187" s="44" t="inlineStr">
        <is>
          <t>Siti Nurjanah</t>
        </is>
      </c>
      <c r="C187" s="44" t="inlineStr">
        <is>
          <t>Mitra Kerja</t>
        </is>
      </c>
      <c r="D187" s="44" t="inlineStr">
        <is>
          <t>PROD</t>
        </is>
      </c>
      <c r="E187" s="44" t="inlineStr">
        <is>
          <t>Produksi Harian</t>
        </is>
      </c>
      <c r="F187" s="44" t="inlineStr">
        <is>
          <t>2026-5-2</t>
        </is>
      </c>
      <c r="G187" s="44" t="inlineStr">
        <is>
          <t>0000138100</t>
        </is>
      </c>
      <c r="H187" s="44" t="inlineStr">
        <is>
          <t xml:space="preserve"> </t>
        </is>
      </c>
      <c r="I187" s="44" t="inlineStr">
        <is>
          <t>-</t>
        </is>
      </c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</row>
    <row r="188" ht="15.75" customHeight="1" s="169">
      <c r="A188" s="45" t="n">
        <v>528000300</v>
      </c>
      <c r="B188" s="44" t="inlineStr">
        <is>
          <t>Lia pitaloka</t>
        </is>
      </c>
      <c r="C188" s="44" t="inlineStr">
        <is>
          <t>Mitra Kerja</t>
        </is>
      </c>
      <c r="D188" s="44" t="inlineStr">
        <is>
          <t>PROD</t>
        </is>
      </c>
      <c r="E188" s="44" t="inlineStr">
        <is>
          <t>Produksi Harian</t>
        </is>
      </c>
      <c r="F188" s="44" t="inlineStr">
        <is>
          <t>2026-5-2</t>
        </is>
      </c>
      <c r="G188" s="44" t="inlineStr">
        <is>
          <t>0000138102</t>
        </is>
      </c>
      <c r="H188" s="44" t="inlineStr">
        <is>
          <t xml:space="preserve"> </t>
        </is>
      </c>
      <c r="I188" s="44" t="inlineStr">
        <is>
          <t>-</t>
        </is>
      </c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</row>
    <row r="189" ht="15.75" customHeight="1" s="169">
      <c r="A189" s="45" t="n">
        <v>528000301</v>
      </c>
      <c r="B189" s="44" t="inlineStr">
        <is>
          <t>Muhammad Mukti Ridwan</t>
        </is>
      </c>
      <c r="C189" s="44" t="inlineStr">
        <is>
          <t>Mitra Kerja</t>
        </is>
      </c>
      <c r="D189" s="44" t="inlineStr">
        <is>
          <t>PROD</t>
        </is>
      </c>
      <c r="E189" s="44" t="inlineStr">
        <is>
          <t>Produksi Harian</t>
        </is>
      </c>
      <c r="F189" s="44" t="inlineStr">
        <is>
          <t>2026-5-2</t>
        </is>
      </c>
      <c r="G189" s="44" t="inlineStr">
        <is>
          <t>0000138104</t>
        </is>
      </c>
      <c r="H189" s="44" t="inlineStr">
        <is>
          <t xml:space="preserve"> </t>
        </is>
      </c>
      <c r="I189" s="44" t="inlineStr">
        <is>
          <t>-</t>
        </is>
      </c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</row>
    <row r="190" ht="15.75" customHeight="1" s="169">
      <c r="A190" s="45" t="n">
        <v>528000302</v>
      </c>
      <c r="B190" s="44" t="inlineStr">
        <is>
          <t>Henkey gumilar</t>
        </is>
      </c>
      <c r="C190" s="44" t="inlineStr">
        <is>
          <t>Mitra Kerja</t>
        </is>
      </c>
      <c r="D190" s="44" t="inlineStr">
        <is>
          <t>PROD</t>
        </is>
      </c>
      <c r="E190" s="44" t="inlineStr">
        <is>
          <t>Produksi Harian</t>
        </is>
      </c>
      <c r="F190" s="44" t="inlineStr">
        <is>
          <t>2026-5-2</t>
        </is>
      </c>
      <c r="G190" s="44" t="inlineStr">
        <is>
          <t>0000138107</t>
        </is>
      </c>
      <c r="H190" s="44" t="inlineStr">
        <is>
          <t xml:space="preserve"> </t>
        </is>
      </c>
      <c r="I190" s="44" t="inlineStr">
        <is>
          <t>-</t>
        </is>
      </c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</row>
    <row r="191" ht="15.75" customHeight="1" s="169">
      <c r="A191" s="45" t="n">
        <v>528000303</v>
      </c>
      <c r="B191" s="44" t="inlineStr">
        <is>
          <t>Perdi Gunawan</t>
        </is>
      </c>
      <c r="C191" s="44" t="inlineStr">
        <is>
          <t>Mitra Kerja</t>
        </is>
      </c>
      <c r="D191" s="44" t="inlineStr">
        <is>
          <t>ENG</t>
        </is>
      </c>
      <c r="E191" s="44" t="inlineStr">
        <is>
          <t>Engineering Harian</t>
        </is>
      </c>
      <c r="F191" s="44" t="inlineStr">
        <is>
          <t>2026-5-2</t>
        </is>
      </c>
      <c r="G191" s="44" t="inlineStr">
        <is>
          <t>0000138103</t>
        </is>
      </c>
      <c r="H191" s="44" t="inlineStr">
        <is>
          <t xml:space="preserve"> </t>
        </is>
      </c>
      <c r="I191" s="44" t="inlineStr">
        <is>
          <t>-</t>
        </is>
      </c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</row>
    <row r="192" ht="15.75" customHeight="1" s="169">
      <c r="A192" s="45" t="n">
        <v>528000304</v>
      </c>
      <c r="B192" s="44" t="inlineStr">
        <is>
          <t>Dani Aditia</t>
        </is>
      </c>
      <c r="C192" s="44" t="inlineStr">
        <is>
          <t>Mitra Kerja</t>
        </is>
      </c>
      <c r="D192" s="44" t="inlineStr">
        <is>
          <t>PROD</t>
        </is>
      </c>
      <c r="E192" s="44" t="inlineStr">
        <is>
          <t>Produksi Harian</t>
        </is>
      </c>
      <c r="F192" s="44" t="inlineStr">
        <is>
          <t>2026-5-2</t>
        </is>
      </c>
      <c r="G192" s="44" t="inlineStr">
        <is>
          <t>0000138112</t>
        </is>
      </c>
      <c r="H192" s="44" t="inlineStr">
        <is>
          <t xml:space="preserve"> </t>
        </is>
      </c>
      <c r="I192" s="44" t="inlineStr">
        <is>
          <t>-</t>
        </is>
      </c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</row>
    <row r="193" ht="15.75" customHeight="1" s="169">
      <c r="A193" s="45" t="n">
        <v>528000305</v>
      </c>
      <c r="B193" s="44" t="inlineStr">
        <is>
          <t>Puji Puspita</t>
        </is>
      </c>
      <c r="C193" s="44" t="inlineStr">
        <is>
          <t>Mitra Kerja</t>
        </is>
      </c>
      <c r="D193" s="44" t="inlineStr">
        <is>
          <t>PROD</t>
        </is>
      </c>
      <c r="E193" s="44" t="inlineStr">
        <is>
          <t>Produksi Harian</t>
        </is>
      </c>
      <c r="F193" s="44" t="inlineStr">
        <is>
          <t>2026-5-5</t>
        </is>
      </c>
      <c r="G193" s="44" t="inlineStr">
        <is>
          <t>0000138210</t>
        </is>
      </c>
      <c r="H193" s="44" t="inlineStr">
        <is>
          <t xml:space="preserve"> </t>
        </is>
      </c>
      <c r="I193" s="44" t="inlineStr">
        <is>
          <t>-</t>
        </is>
      </c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</row>
    <row r="194" ht="15.75" customHeight="1" s="169">
      <c r="A194" s="45" t="n">
        <v>528000306</v>
      </c>
      <c r="B194" s="44" t="inlineStr">
        <is>
          <t>Windy Olivia</t>
        </is>
      </c>
      <c r="C194" s="44" t="inlineStr">
        <is>
          <t>Mitra Kerja</t>
        </is>
      </c>
      <c r="D194" s="44" t="inlineStr">
        <is>
          <t>PROD</t>
        </is>
      </c>
      <c r="E194" s="44" t="inlineStr">
        <is>
          <t>Produksi Harian</t>
        </is>
      </c>
      <c r="F194" s="44" t="inlineStr">
        <is>
          <t>2026-5-5</t>
        </is>
      </c>
      <c r="G194" s="44" t="inlineStr">
        <is>
          <t>0000138221</t>
        </is>
      </c>
      <c r="H194" s="44" t="inlineStr">
        <is>
          <t xml:space="preserve"> </t>
        </is>
      </c>
      <c r="I194" s="44" t="inlineStr">
        <is>
          <t>-</t>
        </is>
      </c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</row>
    <row r="195" ht="15.75" customHeight="1" s="169">
      <c r="A195" s="45" t="n">
        <v>528000307</v>
      </c>
      <c r="B195" s="44" t="inlineStr">
        <is>
          <t>Heri</t>
        </is>
      </c>
      <c r="C195" s="44" t="inlineStr">
        <is>
          <t>Mitra Kerja</t>
        </is>
      </c>
      <c r="D195" s="44" t="inlineStr">
        <is>
          <t>PROD</t>
        </is>
      </c>
      <c r="E195" s="44" t="inlineStr">
        <is>
          <t>Produksi Harian</t>
        </is>
      </c>
      <c r="F195" s="44" t="inlineStr">
        <is>
          <t>2026-5-5</t>
        </is>
      </c>
      <c r="G195" s="44" t="inlineStr">
        <is>
          <t>0000138227</t>
        </is>
      </c>
      <c r="H195" s="44" t="inlineStr">
        <is>
          <t xml:space="preserve"> </t>
        </is>
      </c>
      <c r="I195" s="44" t="inlineStr">
        <is>
          <t>-</t>
        </is>
      </c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</row>
    <row r="196" ht="15.75" customHeight="1" s="169">
      <c r="A196" s="45" t="n">
        <v>528000342</v>
      </c>
      <c r="B196" s="44" t="inlineStr">
        <is>
          <t>Ano Kusmana</t>
        </is>
      </c>
      <c r="C196" s="44" t="inlineStr">
        <is>
          <t>Mitra Kerja</t>
        </is>
      </c>
      <c r="D196" s="44" t="inlineStr">
        <is>
          <t>HRGA</t>
        </is>
      </c>
      <c r="E196" s="44" t="inlineStr">
        <is>
          <t>HRD Vendor</t>
        </is>
      </c>
      <c r="F196" s="44" t="inlineStr">
        <is>
          <t>2025-8-1</t>
        </is>
      </c>
      <c r="G196" s="44" t="inlineStr">
        <is>
          <t>0000126767</t>
        </is>
      </c>
      <c r="H196" s="44" t="inlineStr">
        <is>
          <t xml:space="preserve"> </t>
        </is>
      </c>
      <c r="I196" s="44" t="inlineStr">
        <is>
          <t>-</t>
        </is>
      </c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</row>
    <row r="197" ht="15.75" customHeight="1" s="169">
      <c r="A197" s="45" t="n">
        <v>528000343</v>
      </c>
      <c r="B197" s="44" t="inlineStr">
        <is>
          <t>Muhamad Ripki Salkawi</t>
        </is>
      </c>
      <c r="C197" s="44" t="inlineStr">
        <is>
          <t>Mitra Kerja</t>
        </is>
      </c>
      <c r="D197" s="44" t="inlineStr">
        <is>
          <t>LOG</t>
        </is>
      </c>
      <c r="E197" s="44" t="inlineStr">
        <is>
          <t>WRM Harian</t>
        </is>
      </c>
      <c r="F197" s="44" t="inlineStr">
        <is>
          <t>2025-8-15</t>
        </is>
      </c>
      <c r="G197" s="44" t="inlineStr">
        <is>
          <t>0000127499</t>
        </is>
      </c>
      <c r="H197" s="44" t="inlineStr">
        <is>
          <t xml:space="preserve"> </t>
        </is>
      </c>
      <c r="I197" s="44" t="inlineStr">
        <is>
          <t>-</t>
        </is>
      </c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</row>
    <row r="198" ht="15.75" customHeight="1" s="169">
      <c r="A198" s="45" t="n">
        <v>528000344</v>
      </c>
      <c r="B198" s="44" t="inlineStr">
        <is>
          <t>Gugum Sugriawan</t>
        </is>
      </c>
      <c r="C198" s="44" t="inlineStr">
        <is>
          <t>Mitra Kerja</t>
        </is>
      </c>
      <c r="D198" s="44" t="inlineStr">
        <is>
          <t>LOG</t>
        </is>
      </c>
      <c r="E198" s="44" t="inlineStr">
        <is>
          <t>WFG Harian</t>
        </is>
      </c>
      <c r="F198" s="44" t="inlineStr">
        <is>
          <t>2025-8-15</t>
        </is>
      </c>
      <c r="G198" s="44" t="inlineStr">
        <is>
          <t>0000127513</t>
        </is>
      </c>
      <c r="H198" s="44" t="inlineStr">
        <is>
          <t xml:space="preserve"> </t>
        </is>
      </c>
      <c r="I198" s="44" t="inlineStr">
        <is>
          <t>-</t>
        </is>
      </c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</row>
    <row r="199" ht="15.75" customHeight="1" s="169">
      <c r="A199" s="45" t="n">
        <v>528000345</v>
      </c>
      <c r="B199" s="44" t="inlineStr">
        <is>
          <t>Dandi</t>
        </is>
      </c>
      <c r="C199" s="44" t="inlineStr">
        <is>
          <t>Mitra Kerja</t>
        </is>
      </c>
      <c r="D199" s="44" t="inlineStr">
        <is>
          <t>LOG</t>
        </is>
      </c>
      <c r="E199" s="44" t="inlineStr">
        <is>
          <t>WRM Harian</t>
        </is>
      </c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</row>
    <row r="200" ht="15.75" customHeight="1" s="169">
      <c r="A200" s="45" t="n">
        <v>528000346</v>
      </c>
      <c r="B200" s="44" t="inlineStr">
        <is>
          <t>Sanudin</t>
        </is>
      </c>
      <c r="C200" s="44" t="inlineStr">
        <is>
          <t>Mitra Kerja</t>
        </is>
      </c>
      <c r="D200" s="44" t="inlineStr">
        <is>
          <t>LOG</t>
        </is>
      </c>
      <c r="E200" s="44" t="inlineStr">
        <is>
          <t>WRM Harian</t>
        </is>
      </c>
      <c r="F200" s="44" t="inlineStr">
        <is>
          <t>2025-11-21</t>
        </is>
      </c>
      <c r="G200" s="44" t="inlineStr">
        <is>
          <t>0000132345</t>
        </is>
      </c>
      <c r="H200" s="44" t="inlineStr">
        <is>
          <t xml:space="preserve"> </t>
        </is>
      </c>
      <c r="I200" s="44" t="inlineStr">
        <is>
          <t>-</t>
        </is>
      </c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</row>
    <row r="201" ht="15.75" customHeight="1" s="169">
      <c r="A201" s="45" t="n">
        <v>528000347</v>
      </c>
      <c r="B201" s="44" t="inlineStr">
        <is>
          <t>Siti Mariam Mupidah</t>
        </is>
      </c>
      <c r="C201" s="44" t="inlineStr">
        <is>
          <t>Mitra Kerja</t>
        </is>
      </c>
      <c r="D201" s="44" t="inlineStr">
        <is>
          <t>PROD</t>
        </is>
      </c>
      <c r="E201" s="44" t="inlineStr">
        <is>
          <t>Produksi Harian</t>
        </is>
      </c>
      <c r="F201" s="44" t="inlineStr">
        <is>
          <t>2025-11-21</t>
        </is>
      </c>
      <c r="G201" s="44" t="inlineStr">
        <is>
          <t>0000132347</t>
        </is>
      </c>
      <c r="H201" s="44" t="inlineStr">
        <is>
          <t xml:space="preserve"> </t>
        </is>
      </c>
      <c r="I201" s="44" t="inlineStr">
        <is>
          <t>-</t>
        </is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</row>
    <row r="202" ht="15.75" customHeight="1" s="169">
      <c r="A202" s="45" t="n">
        <v>528000348</v>
      </c>
      <c r="B202" s="44" t="inlineStr">
        <is>
          <t>Saepuloh Ardiansah</t>
        </is>
      </c>
      <c r="C202" s="44" t="inlineStr">
        <is>
          <t>Mitra Kerja</t>
        </is>
      </c>
      <c r="D202" s="44" t="inlineStr">
        <is>
          <t>LOG</t>
        </is>
      </c>
      <c r="E202" s="44" t="inlineStr">
        <is>
          <t>WRM Harian</t>
        </is>
      </c>
      <c r="F202" s="44" t="inlineStr">
        <is>
          <t>2026-2-12</t>
        </is>
      </c>
      <c r="G202" s="44" t="inlineStr">
        <is>
          <t>0000136109</t>
        </is>
      </c>
      <c r="H202" s="44" t="inlineStr">
        <is>
          <t xml:space="preserve"> </t>
        </is>
      </c>
      <c r="I202" s="44" t="inlineStr">
        <is>
          <t xml:space="preserve"> To Be Corrected </t>
        </is>
      </c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</row>
    <row r="203" ht="15.75" customHeight="1" s="169">
      <c r="A203" s="45" t="n">
        <v>528000349</v>
      </c>
      <c r="B203" s="44" t="inlineStr">
        <is>
          <t>Anas Abdul Fatah</t>
        </is>
      </c>
      <c r="C203" s="44" t="inlineStr">
        <is>
          <t>Mitra Kerja</t>
        </is>
      </c>
      <c r="D203" s="44" t="inlineStr">
        <is>
          <t>LOG</t>
        </is>
      </c>
      <c r="E203" s="44" t="inlineStr">
        <is>
          <t>WFG Harian</t>
        </is>
      </c>
      <c r="F203" s="44" t="inlineStr">
        <is>
          <t>2026-2-12</t>
        </is>
      </c>
      <c r="G203" s="44" t="inlineStr">
        <is>
          <t>0000136110</t>
        </is>
      </c>
      <c r="H203" s="44" t="inlineStr">
        <is>
          <t xml:space="preserve"> </t>
        </is>
      </c>
      <c r="I203" s="44" t="inlineStr">
        <is>
          <t>-</t>
        </is>
      </c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</row>
    <row r="204" ht="15.75" customHeight="1" s="169">
      <c r="A204" s="45" t="n">
        <v>528000350</v>
      </c>
      <c r="B204" s="44" t="inlineStr">
        <is>
          <t>Yuli yanti</t>
        </is>
      </c>
      <c r="C204" s="44" t="inlineStr">
        <is>
          <t>Mitra Kerja</t>
        </is>
      </c>
      <c r="D204" s="44" t="inlineStr">
        <is>
          <t>PROD</t>
        </is>
      </c>
      <c r="E204" s="44" t="inlineStr">
        <is>
          <t>Produksi Harian</t>
        </is>
      </c>
      <c r="F204" s="44" t="inlineStr">
        <is>
          <t>2026-2-16</t>
        </is>
      </c>
      <c r="G204" s="44" t="inlineStr">
        <is>
          <t>0000136210</t>
        </is>
      </c>
      <c r="H204" s="44" t="inlineStr">
        <is>
          <t xml:space="preserve"> </t>
        </is>
      </c>
      <c r="I204" s="44" t="inlineStr">
        <is>
          <t>-</t>
        </is>
      </c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</row>
    <row r="205" ht="15.75" customHeight="1" s="169">
      <c r="A205" s="45" t="n">
        <v>528000351</v>
      </c>
      <c r="B205" s="44" t="inlineStr">
        <is>
          <t>Mulyana</t>
        </is>
      </c>
      <c r="C205" s="44" t="inlineStr">
        <is>
          <t>Mitra Kerja</t>
        </is>
      </c>
      <c r="D205" s="44" t="inlineStr">
        <is>
          <t>PROD</t>
        </is>
      </c>
      <c r="E205" s="44" t="inlineStr">
        <is>
          <t>Produksi Harian</t>
        </is>
      </c>
      <c r="F205" s="44" t="inlineStr">
        <is>
          <t>2026-2-18</t>
        </is>
      </c>
      <c r="G205" s="44" t="inlineStr">
        <is>
          <t>0000136245</t>
        </is>
      </c>
      <c r="H205" s="44" t="inlineStr">
        <is>
          <t xml:space="preserve"> </t>
        </is>
      </c>
      <c r="I205" s="44" t="inlineStr">
        <is>
          <t>-</t>
        </is>
      </c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</row>
    <row r="206" ht="15.75" customHeight="1" s="169">
      <c r="A206" s="45" t="n">
        <v>528000352</v>
      </c>
      <c r="B206" s="44" t="inlineStr">
        <is>
          <t>Deni Setiawan Suginda S.T.A</t>
        </is>
      </c>
      <c r="C206" s="44" t="inlineStr">
        <is>
          <t>Mitra Kerja</t>
        </is>
      </c>
      <c r="D206" s="44" t="inlineStr">
        <is>
          <t>PROD</t>
        </is>
      </c>
      <c r="E206" s="44" t="inlineStr">
        <is>
          <t>Produksi Harian</t>
        </is>
      </c>
      <c r="F206" s="44" t="inlineStr">
        <is>
          <t>2026-2-16</t>
        </is>
      </c>
      <c r="G206" s="44" t="inlineStr">
        <is>
          <t>0000136236</t>
        </is>
      </c>
      <c r="H206" s="44" t="inlineStr">
        <is>
          <t xml:space="preserve"> </t>
        </is>
      </c>
      <c r="I206" s="44" t="inlineStr">
        <is>
          <t>-</t>
        </is>
      </c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</row>
    <row r="207" ht="15.75" customHeight="1" s="169">
      <c r="A207" s="45" t="n">
        <v>528000353</v>
      </c>
      <c r="B207" s="44" t="inlineStr">
        <is>
          <t>Tia Hermawati</t>
        </is>
      </c>
      <c r="C207" s="44" t="inlineStr">
        <is>
          <t>Mitra Kerja</t>
        </is>
      </c>
      <c r="D207" s="44" t="inlineStr">
        <is>
          <t>PROD</t>
        </is>
      </c>
      <c r="E207" s="44" t="inlineStr">
        <is>
          <t>Produksi Harian</t>
        </is>
      </c>
      <c r="F207" s="44" t="inlineStr">
        <is>
          <t>2026-2-16</t>
        </is>
      </c>
      <c r="G207" s="44" t="inlineStr">
        <is>
          <t>0000136209</t>
        </is>
      </c>
      <c r="H207" s="44" t="inlineStr">
        <is>
          <t xml:space="preserve"> </t>
        </is>
      </c>
      <c r="I207" s="44" t="inlineStr">
        <is>
          <t>-</t>
        </is>
      </c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</row>
    <row r="208" ht="15.75" customHeight="1" s="169">
      <c r="A208" s="45" t="n">
        <v>528000354</v>
      </c>
      <c r="B208" s="44" t="inlineStr">
        <is>
          <t>Dian Rosdianti</t>
        </is>
      </c>
      <c r="C208" s="44" t="inlineStr">
        <is>
          <t>Mitra Kerja</t>
        </is>
      </c>
      <c r="D208" s="44" t="inlineStr">
        <is>
          <t>PROD</t>
        </is>
      </c>
      <c r="E208" s="44" t="inlineStr">
        <is>
          <t>Produksi Harian</t>
        </is>
      </c>
      <c r="F208" s="44" t="inlineStr">
        <is>
          <t>2026-2-16</t>
        </is>
      </c>
      <c r="G208" s="44" t="inlineStr">
        <is>
          <t>0000136211</t>
        </is>
      </c>
      <c r="H208" s="44" t="inlineStr">
        <is>
          <t xml:space="preserve"> </t>
        </is>
      </c>
      <c r="I208" s="44" t="inlineStr">
        <is>
          <t>-</t>
        </is>
      </c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</row>
    <row r="209" ht="15.75" customHeight="1" s="169">
      <c r="A209" s="45" t="n">
        <v>528000355</v>
      </c>
      <c r="B209" s="44" t="inlineStr">
        <is>
          <t>Ratna Maya</t>
        </is>
      </c>
      <c r="C209" s="44" t="inlineStr">
        <is>
          <t>Mitra Kerja</t>
        </is>
      </c>
      <c r="D209" s="44" t="inlineStr">
        <is>
          <t>PROD</t>
        </is>
      </c>
      <c r="E209" s="44" t="inlineStr">
        <is>
          <t>Produksi Harian</t>
        </is>
      </c>
      <c r="F209" s="44" t="n"/>
      <c r="G209" s="44" t="n"/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</row>
    <row r="210" ht="15.75" customHeight="1" s="169">
      <c r="A210" s="45" t="n">
        <v>528000356</v>
      </c>
      <c r="B210" s="44" t="inlineStr">
        <is>
          <t>Devi</t>
        </is>
      </c>
      <c r="C210" s="44" t="inlineStr">
        <is>
          <t>Mitra Kerja</t>
        </is>
      </c>
      <c r="D210" s="44" t="inlineStr">
        <is>
          <t>PROD</t>
        </is>
      </c>
      <c r="E210" s="44" t="inlineStr">
        <is>
          <t>Produksi Harian</t>
        </is>
      </c>
      <c r="F210" s="44" t="n"/>
      <c r="G210" s="44" t="n"/>
      <c r="H210" s="44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</row>
    <row r="211" ht="15.75" customHeight="1" s="169">
      <c r="A211" s="45" t="n">
        <v>528000357</v>
      </c>
      <c r="B211" s="44" t="inlineStr">
        <is>
          <t>Isnawati</t>
        </is>
      </c>
      <c r="C211" s="44" t="inlineStr">
        <is>
          <t>Mitra Kerja</t>
        </is>
      </c>
      <c r="D211" s="44" t="inlineStr">
        <is>
          <t>PROD</t>
        </is>
      </c>
      <c r="E211" s="44" t="inlineStr">
        <is>
          <t>Produksi Harian</t>
        </is>
      </c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</row>
    <row r="212" ht="15.75" customHeight="1" s="169">
      <c r="A212" s="45" t="n">
        <v>528000358</v>
      </c>
      <c r="B212" s="44" t="inlineStr">
        <is>
          <t>Lulu Agustin</t>
        </is>
      </c>
      <c r="C212" s="44" t="inlineStr">
        <is>
          <t>Mitra Kerja</t>
        </is>
      </c>
      <c r="D212" s="44" t="inlineStr">
        <is>
          <t>PROD</t>
        </is>
      </c>
      <c r="E212" s="44" t="inlineStr">
        <is>
          <t>Produksi Harian</t>
        </is>
      </c>
      <c r="F212" s="44" t="inlineStr">
        <is>
          <t>2026-2-16</t>
        </is>
      </c>
      <c r="G212" s="44" t="inlineStr">
        <is>
          <t>0000136235</t>
        </is>
      </c>
      <c r="H212" s="44" t="inlineStr">
        <is>
          <t xml:space="preserve"> </t>
        </is>
      </c>
      <c r="I212" s="44" t="inlineStr">
        <is>
          <t>-</t>
        </is>
      </c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</row>
    <row r="213" ht="15.75" customHeight="1" s="169">
      <c r="A213" s="45" t="n">
        <v>628000001</v>
      </c>
      <c r="B213" s="44" t="inlineStr">
        <is>
          <t>Siti Rodiah</t>
        </is>
      </c>
      <c r="C213" s="44" t="inlineStr">
        <is>
          <t>Mitra Kerja</t>
        </is>
      </c>
      <c r="D213" s="44" t="inlineStr">
        <is>
          <t>PROD</t>
        </is>
      </c>
      <c r="E213" s="44" t="inlineStr">
        <is>
          <t>Produksi Borongan</t>
        </is>
      </c>
      <c r="F213" s="44" t="inlineStr">
        <is>
          <t>2025-5-9</t>
        </is>
      </c>
      <c r="G213" s="44" t="inlineStr">
        <is>
          <t>0000122687</t>
        </is>
      </c>
      <c r="H213" s="44" t="inlineStr">
        <is>
          <t xml:space="preserve"> </t>
        </is>
      </c>
      <c r="I213" s="44" t="inlineStr">
        <is>
          <t xml:space="preserve"> Completed </t>
        </is>
      </c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</row>
    <row r="214" ht="15.75" customHeight="1" s="169">
      <c r="A214" s="45" t="n">
        <v>628000002</v>
      </c>
      <c r="B214" s="44" t="inlineStr">
        <is>
          <t>Nurasyiah</t>
        </is>
      </c>
      <c r="C214" s="44" t="inlineStr">
        <is>
          <t>Mitra Kerja</t>
        </is>
      </c>
      <c r="D214" s="44" t="inlineStr">
        <is>
          <t>PROD</t>
        </is>
      </c>
      <c r="E214" s="44" t="inlineStr">
        <is>
          <t>Produksi Borongan</t>
        </is>
      </c>
      <c r="F214" s="44" t="inlineStr">
        <is>
          <t>2025-5-9</t>
        </is>
      </c>
      <c r="G214" s="44" t="inlineStr">
        <is>
          <t>0000122686</t>
        </is>
      </c>
      <c r="H214" s="44" t="inlineStr">
        <is>
          <t xml:space="preserve"> </t>
        </is>
      </c>
      <c r="I214" s="44" t="inlineStr">
        <is>
          <t>-</t>
        </is>
      </c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</row>
    <row r="215" ht="15.75" customHeight="1" s="169">
      <c r="A215" s="45" t="n">
        <v>628000004</v>
      </c>
      <c r="B215" s="44" t="inlineStr">
        <is>
          <t>Sumarmi</t>
        </is>
      </c>
      <c r="C215" s="44" t="inlineStr">
        <is>
          <t>Mitra Kerja</t>
        </is>
      </c>
      <c r="D215" s="44" t="inlineStr">
        <is>
          <t>PROD</t>
        </is>
      </c>
      <c r="E215" s="44" t="inlineStr">
        <is>
          <t>Produksi Borongan</t>
        </is>
      </c>
      <c r="F215" s="44" t="inlineStr">
        <is>
          <t>2025-5-9</t>
        </is>
      </c>
      <c r="G215" s="44" t="inlineStr">
        <is>
          <t>0000122657</t>
        </is>
      </c>
      <c r="H215" s="44" t="inlineStr">
        <is>
          <t xml:space="preserve"> </t>
        </is>
      </c>
      <c r="I215" s="44" t="inlineStr">
        <is>
          <t>-</t>
        </is>
      </c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</row>
    <row r="216" ht="15.75" customHeight="1" s="169">
      <c r="A216" s="45" t="n">
        <v>628000005</v>
      </c>
      <c r="B216" s="44" t="inlineStr">
        <is>
          <t>Ipita Fitriani</t>
        </is>
      </c>
      <c r="C216" s="44" t="inlineStr">
        <is>
          <t>Mitra Kerja</t>
        </is>
      </c>
      <c r="D216" s="44" t="inlineStr">
        <is>
          <t>PROD</t>
        </is>
      </c>
      <c r="E216" s="44" t="inlineStr">
        <is>
          <t>Produksi Borongan</t>
        </is>
      </c>
      <c r="F216" s="44" t="inlineStr">
        <is>
          <t>2025-5-16</t>
        </is>
      </c>
      <c r="G216" s="44" t="inlineStr">
        <is>
          <t>0000123081</t>
        </is>
      </c>
      <c r="H216" s="44" t="inlineStr">
        <is>
          <t xml:space="preserve"> </t>
        </is>
      </c>
      <c r="I216" s="44" t="inlineStr">
        <is>
          <t>-</t>
        </is>
      </c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</row>
    <row r="217" ht="15.75" customHeight="1" s="169">
      <c r="A217" s="45" t="n">
        <v>628000006</v>
      </c>
      <c r="B217" s="44" t="inlineStr">
        <is>
          <t>Nadila Rahayu Aulia</t>
        </is>
      </c>
      <c r="C217" s="44" t="inlineStr">
        <is>
          <t>Mitra Kerja</t>
        </is>
      </c>
      <c r="D217" s="44" t="inlineStr">
        <is>
          <t>PROD</t>
        </is>
      </c>
      <c r="E217" s="44" t="inlineStr">
        <is>
          <t>Produksi Borongan</t>
        </is>
      </c>
      <c r="F217" s="44" t="inlineStr">
        <is>
          <t>2025-5-16</t>
        </is>
      </c>
      <c r="G217" s="44" t="inlineStr">
        <is>
          <t>0000123072</t>
        </is>
      </c>
      <c r="H217" s="44" t="inlineStr">
        <is>
          <t xml:space="preserve"> </t>
        </is>
      </c>
      <c r="I217" s="44" t="inlineStr">
        <is>
          <t>-</t>
        </is>
      </c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</row>
    <row r="218" ht="15.75" customHeight="1" s="169">
      <c r="A218" s="45" t="n">
        <v>628000007</v>
      </c>
      <c r="B218" s="44" t="inlineStr">
        <is>
          <t>Kartika Kemala Dewi</t>
        </is>
      </c>
      <c r="C218" s="44" t="inlineStr">
        <is>
          <t>Mitra Kerja</t>
        </is>
      </c>
      <c r="D218" s="44" t="inlineStr">
        <is>
          <t>PROD</t>
        </is>
      </c>
      <c r="E218" s="44" t="inlineStr">
        <is>
          <t>Produksi Borongan</t>
        </is>
      </c>
      <c r="F218" s="44" t="inlineStr">
        <is>
          <t>2025-5-13</t>
        </is>
      </c>
      <c r="G218" s="44" t="inlineStr">
        <is>
          <t>0000122801</t>
        </is>
      </c>
      <c r="H218" s="44" t="inlineStr">
        <is>
          <t xml:space="preserve"> </t>
        </is>
      </c>
      <c r="I218" s="44" t="inlineStr">
        <is>
          <t>-</t>
        </is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</row>
    <row r="219" ht="15.75" customHeight="1" s="169">
      <c r="A219" s="45" t="n">
        <v>628000009</v>
      </c>
      <c r="B219" s="44" t="inlineStr">
        <is>
          <t>Bunga Adinda</t>
        </is>
      </c>
      <c r="C219" s="44" t="inlineStr">
        <is>
          <t>Mitra Kerja</t>
        </is>
      </c>
      <c r="D219" s="44" t="inlineStr">
        <is>
          <t>PROD</t>
        </is>
      </c>
      <c r="E219" s="44" t="inlineStr">
        <is>
          <t>Produksi Borongan</t>
        </is>
      </c>
      <c r="F219" s="44" t="inlineStr">
        <is>
          <t>2025-5-14</t>
        </is>
      </c>
      <c r="G219" s="44" t="inlineStr">
        <is>
          <t>0000122865</t>
        </is>
      </c>
      <c r="H219" s="44" t="inlineStr">
        <is>
          <t xml:space="preserve"> </t>
        </is>
      </c>
      <c r="I219" s="44" t="inlineStr">
        <is>
          <t>-</t>
        </is>
      </c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</row>
    <row r="220" ht="15.75" customHeight="1" s="169">
      <c r="A220" s="45" t="n">
        <v>628000010</v>
      </c>
      <c r="B220" s="44" t="inlineStr">
        <is>
          <t>Intan Herawati</t>
        </is>
      </c>
      <c r="C220" s="44" t="inlineStr">
        <is>
          <t>Mitra Kerja</t>
        </is>
      </c>
      <c r="D220" s="44" t="inlineStr">
        <is>
          <t>PROD</t>
        </is>
      </c>
      <c r="E220" s="44" t="inlineStr">
        <is>
          <t>Produksi Borongan</t>
        </is>
      </c>
      <c r="F220" s="44" t="inlineStr">
        <is>
          <t>2025-5-16</t>
        </is>
      </c>
      <c r="G220" s="44" t="inlineStr">
        <is>
          <t>0000123107</t>
        </is>
      </c>
      <c r="H220" s="44" t="inlineStr">
        <is>
          <t xml:space="preserve"> </t>
        </is>
      </c>
      <c r="I220" s="44" t="inlineStr">
        <is>
          <t>-</t>
        </is>
      </c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</row>
    <row r="221" ht="15.75" customHeight="1" s="169">
      <c r="A221" s="45" t="n">
        <v>628000011</v>
      </c>
      <c r="B221" s="44" t="inlineStr">
        <is>
          <t>Santi Audina</t>
        </is>
      </c>
      <c r="C221" s="44" t="inlineStr">
        <is>
          <t>Mitra Kerja</t>
        </is>
      </c>
      <c r="D221" s="44" t="inlineStr">
        <is>
          <t>PROD</t>
        </is>
      </c>
      <c r="E221" s="44" t="inlineStr">
        <is>
          <t>Produksi Borongan</t>
        </is>
      </c>
      <c r="F221" s="44" t="inlineStr">
        <is>
          <t>2025-5-16</t>
        </is>
      </c>
      <c r="G221" s="44" t="inlineStr">
        <is>
          <t>0000123108</t>
        </is>
      </c>
      <c r="H221" s="44" t="inlineStr">
        <is>
          <t xml:space="preserve"> </t>
        </is>
      </c>
      <c r="I221" s="44" t="inlineStr">
        <is>
          <t>-</t>
        </is>
      </c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</row>
    <row r="222" ht="15.75" customHeight="1" s="169">
      <c r="A222" s="45" t="n">
        <v>628000012</v>
      </c>
      <c r="B222" s="44" t="inlineStr">
        <is>
          <t>Raya Novita Rain</t>
        </is>
      </c>
      <c r="C222" s="44" t="inlineStr">
        <is>
          <t>Mitra Kerja</t>
        </is>
      </c>
      <c r="D222" s="44" t="inlineStr">
        <is>
          <t>PROD</t>
        </is>
      </c>
      <c r="E222" s="44" t="inlineStr">
        <is>
          <t>Produksi Borongan</t>
        </is>
      </c>
      <c r="F222" s="44" t="inlineStr">
        <is>
          <t>2025-5-16</t>
        </is>
      </c>
      <c r="G222" s="44" t="inlineStr">
        <is>
          <t>0000123092</t>
        </is>
      </c>
      <c r="H222" s="44" t="inlineStr">
        <is>
          <t xml:space="preserve"> </t>
        </is>
      </c>
      <c r="I222" s="44" t="inlineStr">
        <is>
          <t>-</t>
        </is>
      </c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</row>
    <row r="223" ht="15.75" customHeight="1" s="169">
      <c r="A223" s="45" t="n">
        <v>628000013</v>
      </c>
      <c r="B223" s="44" t="inlineStr">
        <is>
          <t>Dian Yulianti</t>
        </is>
      </c>
      <c r="C223" s="44" t="inlineStr">
        <is>
          <t>Mitra Kerja</t>
        </is>
      </c>
      <c r="D223" s="44" t="inlineStr">
        <is>
          <t>PROD</t>
        </is>
      </c>
      <c r="E223" s="44" t="inlineStr">
        <is>
          <t>Produksi Borongan</t>
        </is>
      </c>
      <c r="F223" s="44" t="inlineStr">
        <is>
          <t>2025-5-16</t>
        </is>
      </c>
      <c r="G223" s="44" t="inlineStr">
        <is>
          <t>0000123110</t>
        </is>
      </c>
      <c r="H223" s="44" t="inlineStr">
        <is>
          <t xml:space="preserve"> </t>
        </is>
      </c>
      <c r="I223" s="44" t="inlineStr">
        <is>
          <t>-</t>
        </is>
      </c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</row>
    <row r="224" ht="15.75" customHeight="1" s="169">
      <c r="A224" s="45" t="n">
        <v>628000014</v>
      </c>
      <c r="B224" s="44" t="inlineStr">
        <is>
          <t>Endeh R</t>
        </is>
      </c>
      <c r="C224" s="44" t="inlineStr">
        <is>
          <t>Mitra Kerja</t>
        </is>
      </c>
      <c r="D224" s="44" t="inlineStr">
        <is>
          <t>PROD</t>
        </is>
      </c>
      <c r="E224" s="44" t="inlineStr">
        <is>
          <t>Produksi Borongan</t>
        </is>
      </c>
      <c r="F224" s="44" t="inlineStr">
        <is>
          <t>2025-5-16</t>
        </is>
      </c>
      <c r="G224" s="44" t="inlineStr">
        <is>
          <t>0000123091</t>
        </is>
      </c>
      <c r="H224" s="44" t="inlineStr">
        <is>
          <t xml:space="preserve"> </t>
        </is>
      </c>
      <c r="I224" s="44" t="inlineStr">
        <is>
          <t>-</t>
        </is>
      </c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</row>
    <row r="225" ht="15.75" customHeight="1" s="169">
      <c r="A225" s="45" t="n">
        <v>628000015</v>
      </c>
      <c r="B225" s="44" t="inlineStr">
        <is>
          <t>Jeni Siti Fatimah</t>
        </is>
      </c>
      <c r="C225" s="44" t="inlineStr">
        <is>
          <t>Mitra Kerja</t>
        </is>
      </c>
      <c r="D225" s="44" t="inlineStr">
        <is>
          <t>PROD</t>
        </is>
      </c>
      <c r="E225" s="44" t="inlineStr">
        <is>
          <t>Produksi Borongan</t>
        </is>
      </c>
      <c r="F225" s="44" t="inlineStr">
        <is>
          <t>2025-5-16</t>
        </is>
      </c>
      <c r="G225" s="44" t="inlineStr">
        <is>
          <t>0000123093</t>
        </is>
      </c>
      <c r="H225" s="44" t="inlineStr">
        <is>
          <t xml:space="preserve"> </t>
        </is>
      </c>
      <c r="I225" s="44" t="inlineStr">
        <is>
          <t>-</t>
        </is>
      </c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</row>
    <row r="226" ht="15.75" customHeight="1" s="169">
      <c r="A226" s="45" t="n">
        <v>628000016</v>
      </c>
      <c r="B226" s="44" t="inlineStr">
        <is>
          <t>Mutia Sri Indah Astuti</t>
        </is>
      </c>
      <c r="C226" s="44" t="inlineStr">
        <is>
          <t>Mitra Kerja</t>
        </is>
      </c>
      <c r="D226" s="44" t="inlineStr">
        <is>
          <t>PROD</t>
        </is>
      </c>
      <c r="E226" s="44" t="inlineStr">
        <is>
          <t>Produksi Borongan</t>
        </is>
      </c>
      <c r="F226" s="44" t="inlineStr">
        <is>
          <t>2025-5-16</t>
        </is>
      </c>
      <c r="G226" s="44" t="inlineStr">
        <is>
          <t>0000123106</t>
        </is>
      </c>
      <c r="H226" s="44" t="inlineStr">
        <is>
          <t xml:space="preserve"> </t>
        </is>
      </c>
      <c r="I226" s="44" t="inlineStr">
        <is>
          <t>-</t>
        </is>
      </c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</row>
    <row r="227" ht="15.75" customHeight="1" s="169">
      <c r="A227" s="45" t="n">
        <v>628000017</v>
      </c>
      <c r="B227" s="44" t="inlineStr">
        <is>
          <t>Fitri Andriani</t>
        </is>
      </c>
      <c r="C227" s="44" t="inlineStr">
        <is>
          <t>Mitra Kerja</t>
        </is>
      </c>
      <c r="D227" s="44" t="inlineStr">
        <is>
          <t>PROD</t>
        </is>
      </c>
      <c r="E227" s="44" t="inlineStr">
        <is>
          <t>Produksi Borongan</t>
        </is>
      </c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</row>
    <row r="228" ht="15.75" customHeight="1" s="169">
      <c r="A228" s="45" t="n">
        <v>628000018</v>
      </c>
      <c r="B228" s="44" t="inlineStr">
        <is>
          <t>Annisa Tri Pratiwi</t>
        </is>
      </c>
      <c r="C228" s="44" t="inlineStr">
        <is>
          <t>Mitra Kerja</t>
        </is>
      </c>
      <c r="D228" s="44" t="inlineStr">
        <is>
          <t>PROD</t>
        </is>
      </c>
      <c r="E228" s="44" t="inlineStr">
        <is>
          <t>Produksi Borongan</t>
        </is>
      </c>
      <c r="F228" s="44" t="inlineStr">
        <is>
          <t>2025-5-16</t>
        </is>
      </c>
      <c r="G228" s="44" t="inlineStr">
        <is>
          <t>0000123097</t>
        </is>
      </c>
      <c r="H228" s="44" t="inlineStr">
        <is>
          <t xml:space="preserve"> </t>
        </is>
      </c>
      <c r="I228" s="44" t="inlineStr">
        <is>
          <t>-</t>
        </is>
      </c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</row>
    <row r="229" ht="15.75" customHeight="1" s="169">
      <c r="A229" s="45" t="n">
        <v>628000019</v>
      </c>
      <c r="B229" s="44" t="inlineStr">
        <is>
          <t>Adinda Fransiska Candra</t>
        </is>
      </c>
      <c r="C229" s="44" t="inlineStr">
        <is>
          <t>Mitra Kerja</t>
        </is>
      </c>
      <c r="D229" s="44" t="inlineStr">
        <is>
          <t>PROD</t>
        </is>
      </c>
      <c r="E229" s="44" t="inlineStr">
        <is>
          <t>Produksi Borongan</t>
        </is>
      </c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</row>
    <row r="230" ht="15.75" customHeight="1" s="169">
      <c r="A230" s="45" t="n">
        <v>628000021</v>
      </c>
      <c r="B230" s="44" t="inlineStr">
        <is>
          <t>Nuraeni</t>
        </is>
      </c>
      <c r="C230" s="44" t="inlineStr">
        <is>
          <t>Mitra Kerja</t>
        </is>
      </c>
      <c r="D230" s="44" t="inlineStr">
        <is>
          <t>PROD</t>
        </is>
      </c>
      <c r="E230" s="44" t="inlineStr">
        <is>
          <t>Produksi Borongan</t>
        </is>
      </c>
      <c r="F230" s="44" t="inlineStr">
        <is>
          <t>2025-5-9</t>
        </is>
      </c>
      <c r="G230" s="44" t="inlineStr">
        <is>
          <t>0000122673</t>
        </is>
      </c>
      <c r="H230" s="44" t="inlineStr">
        <is>
          <t xml:space="preserve"> </t>
        </is>
      </c>
      <c r="I230" s="44" t="inlineStr">
        <is>
          <t>-</t>
        </is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</row>
    <row r="231" ht="15.75" customHeight="1" s="169">
      <c r="A231" s="45" t="n">
        <v>628000024</v>
      </c>
      <c r="B231" s="44" t="inlineStr">
        <is>
          <t>Sri Lestari</t>
        </is>
      </c>
      <c r="C231" s="44" t="inlineStr">
        <is>
          <t>Mitra Kerja</t>
        </is>
      </c>
      <c r="D231" s="44" t="inlineStr">
        <is>
          <t>PROD</t>
        </is>
      </c>
      <c r="E231" s="44" t="inlineStr">
        <is>
          <t>Produksi Borongan</t>
        </is>
      </c>
      <c r="F231" s="44" t="inlineStr">
        <is>
          <t>2025-5-16</t>
        </is>
      </c>
      <c r="G231" s="44" t="inlineStr">
        <is>
          <t>0000123085</t>
        </is>
      </c>
      <c r="H231" s="44" t="inlineStr">
        <is>
          <t xml:space="preserve"> </t>
        </is>
      </c>
      <c r="I231" s="44" t="inlineStr">
        <is>
          <t>-</t>
        </is>
      </c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</row>
    <row r="232" ht="15.75" customHeight="1" s="169">
      <c r="A232" s="45" t="n">
        <v>628000025</v>
      </c>
      <c r="B232" s="44" t="inlineStr">
        <is>
          <t>Putri Rizky Ramadhani</t>
        </is>
      </c>
      <c r="C232" s="44" t="inlineStr">
        <is>
          <t>Mitra Kerja</t>
        </is>
      </c>
      <c r="D232" s="44" t="inlineStr">
        <is>
          <t>PROD</t>
        </is>
      </c>
      <c r="E232" s="44" t="inlineStr">
        <is>
          <t>Produksi Borongan</t>
        </is>
      </c>
      <c r="F232" s="44" t="inlineStr">
        <is>
          <t>2025-5-16</t>
        </is>
      </c>
      <c r="G232" s="44" t="inlineStr">
        <is>
          <t>0000123071</t>
        </is>
      </c>
      <c r="H232" s="44" t="inlineStr">
        <is>
          <t xml:space="preserve"> </t>
        </is>
      </c>
      <c r="I232" s="44" t="inlineStr">
        <is>
          <t>-</t>
        </is>
      </c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</row>
    <row r="233" ht="15.75" customHeight="1" s="169">
      <c r="A233" s="45" t="n">
        <v>628000026</v>
      </c>
      <c r="B233" s="44" t="inlineStr">
        <is>
          <t>Risti Fajrin</t>
        </is>
      </c>
      <c r="C233" s="44" t="inlineStr">
        <is>
          <t>Mitra Kerja</t>
        </is>
      </c>
      <c r="D233" s="44" t="inlineStr">
        <is>
          <t>PROD</t>
        </is>
      </c>
      <c r="E233" s="44" t="inlineStr">
        <is>
          <t>Produksi Borongan</t>
        </is>
      </c>
      <c r="F233" s="44" t="inlineStr">
        <is>
          <t>2025-5-16</t>
        </is>
      </c>
      <c r="G233" s="44" t="inlineStr">
        <is>
          <t>0000123083</t>
        </is>
      </c>
      <c r="H233" s="44" t="inlineStr">
        <is>
          <t xml:space="preserve"> </t>
        </is>
      </c>
      <c r="I233" s="44" t="inlineStr">
        <is>
          <t>-</t>
        </is>
      </c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</row>
    <row r="234" ht="15.75" customHeight="1" s="169">
      <c r="A234" s="45" t="n">
        <v>628000027</v>
      </c>
      <c r="B234" s="44" t="inlineStr">
        <is>
          <t>Siti Rokayah</t>
        </is>
      </c>
      <c r="C234" s="44" t="inlineStr">
        <is>
          <t>Mitra Kerja</t>
        </is>
      </c>
      <c r="D234" s="44" t="inlineStr">
        <is>
          <t>PROD</t>
        </is>
      </c>
      <c r="E234" s="44" t="inlineStr">
        <is>
          <t>Produksi Borongan</t>
        </is>
      </c>
      <c r="F234" s="44" t="inlineStr">
        <is>
          <t>2025-5-16</t>
        </is>
      </c>
      <c r="G234" s="44" t="inlineStr">
        <is>
          <t>0000123084</t>
        </is>
      </c>
      <c r="H234" s="44" t="inlineStr">
        <is>
          <t xml:space="preserve"> </t>
        </is>
      </c>
      <c r="I234" s="44" t="inlineStr">
        <is>
          <t>-</t>
        </is>
      </c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</row>
    <row r="235" ht="15.75" customHeight="1" s="169">
      <c r="A235" s="45" t="n">
        <v>628000028</v>
      </c>
      <c r="B235" s="44" t="inlineStr">
        <is>
          <t>Siti khomsah</t>
        </is>
      </c>
      <c r="C235" s="44" t="inlineStr">
        <is>
          <t>Mitra Kerja</t>
        </is>
      </c>
      <c r="D235" s="44" t="inlineStr">
        <is>
          <t>PROD</t>
        </is>
      </c>
      <c r="E235" s="44" t="inlineStr">
        <is>
          <t>Produksi Borongan</t>
        </is>
      </c>
      <c r="F235" s="44" t="inlineStr">
        <is>
          <t>2025-5-16</t>
        </is>
      </c>
      <c r="G235" s="44" t="inlineStr">
        <is>
          <t>0000123082</t>
        </is>
      </c>
      <c r="H235" s="44" t="inlineStr">
        <is>
          <t xml:space="preserve"> </t>
        </is>
      </c>
      <c r="I235" s="44" t="inlineStr">
        <is>
          <t>-</t>
        </is>
      </c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</row>
    <row r="236" ht="15.75" customHeight="1" s="169">
      <c r="A236" s="45" t="n">
        <v>628000029</v>
      </c>
      <c r="B236" s="44" t="inlineStr">
        <is>
          <t>Hanny Nurkholifatunnisa</t>
        </is>
      </c>
      <c r="C236" s="44" t="inlineStr">
        <is>
          <t>Mitra Kerja</t>
        </is>
      </c>
      <c r="D236" s="44" t="inlineStr">
        <is>
          <t>PROD</t>
        </is>
      </c>
      <c r="E236" s="44" t="inlineStr">
        <is>
          <t>Produksi Borongan</t>
        </is>
      </c>
      <c r="F236" s="44" t="inlineStr">
        <is>
          <t>2025-5-16</t>
        </is>
      </c>
      <c r="G236" s="44" t="inlineStr">
        <is>
          <t>0000123073</t>
        </is>
      </c>
      <c r="H236" s="44" t="inlineStr">
        <is>
          <t xml:space="preserve"> </t>
        </is>
      </c>
      <c r="I236" s="44" t="inlineStr">
        <is>
          <t>-</t>
        </is>
      </c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</row>
    <row r="237" ht="15.75" customHeight="1" s="169">
      <c r="A237" s="45" t="n">
        <v>628000030</v>
      </c>
      <c r="B237" s="44" t="inlineStr">
        <is>
          <t>Nurhasanah</t>
        </is>
      </c>
      <c r="C237" s="44" t="inlineStr">
        <is>
          <t>Mitra Kerja</t>
        </is>
      </c>
      <c r="D237" s="44" t="inlineStr">
        <is>
          <t>PROD</t>
        </is>
      </c>
      <c r="E237" s="44" t="inlineStr">
        <is>
          <t>Produksi Borongan</t>
        </is>
      </c>
      <c r="F237" s="44" t="inlineStr">
        <is>
          <t>2025-5-16</t>
        </is>
      </c>
      <c r="G237" s="44" t="inlineStr">
        <is>
          <t>0000123075</t>
        </is>
      </c>
      <c r="H237" s="44" t="inlineStr">
        <is>
          <t xml:space="preserve"> </t>
        </is>
      </c>
      <c r="I237" s="44" t="inlineStr">
        <is>
          <t xml:space="preserve"> To Be Corrected </t>
        </is>
      </c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</row>
    <row r="238" ht="15.75" customHeight="1" s="169">
      <c r="A238" s="45" t="n">
        <v>628000033</v>
      </c>
      <c r="B238" s="44" t="inlineStr">
        <is>
          <t>Iis Isnawati</t>
        </is>
      </c>
      <c r="C238" s="44" t="inlineStr">
        <is>
          <t>Mitra Kerja</t>
        </is>
      </c>
      <c r="D238" s="44" t="inlineStr">
        <is>
          <t>PROD</t>
        </is>
      </c>
      <c r="E238" s="44" t="inlineStr">
        <is>
          <t>Produksi Borongan</t>
        </is>
      </c>
      <c r="F238" s="44" t="inlineStr">
        <is>
          <t>2025-5-16</t>
        </is>
      </c>
      <c r="G238" s="44" t="inlineStr">
        <is>
          <t>0000123076</t>
        </is>
      </c>
      <c r="H238" s="44" t="inlineStr">
        <is>
          <t xml:space="preserve"> </t>
        </is>
      </c>
      <c r="I238" s="44" t="inlineStr">
        <is>
          <t xml:space="preserve"> Completed </t>
        </is>
      </c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</row>
    <row r="239" ht="15.75" customHeight="1" s="169">
      <c r="A239" s="45" t="n">
        <v>628000037</v>
      </c>
      <c r="B239" s="44" t="inlineStr">
        <is>
          <t>Siti Nurfaidah</t>
        </is>
      </c>
      <c r="C239" s="44" t="inlineStr">
        <is>
          <t>Mitra Kerja</t>
        </is>
      </c>
      <c r="D239" s="44" t="inlineStr">
        <is>
          <t>PROD</t>
        </is>
      </c>
      <c r="E239" s="44" t="inlineStr">
        <is>
          <t>Produksi Borongan</t>
        </is>
      </c>
      <c r="F239" s="44" t="inlineStr">
        <is>
          <t>2025-5-16</t>
        </is>
      </c>
      <c r="G239" s="44" t="inlineStr">
        <is>
          <t>0000123100</t>
        </is>
      </c>
      <c r="H239" s="44" t="inlineStr">
        <is>
          <t xml:space="preserve"> </t>
        </is>
      </c>
      <c r="I239" s="44" t="inlineStr">
        <is>
          <t>-</t>
        </is>
      </c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</row>
    <row r="240" ht="15.75" customHeight="1" s="169">
      <c r="A240" s="45" t="n">
        <v>628000038</v>
      </c>
      <c r="B240" s="44" t="inlineStr">
        <is>
          <t>Rohayati</t>
        </is>
      </c>
      <c r="C240" s="44" t="inlineStr">
        <is>
          <t>Mitra Kerja</t>
        </is>
      </c>
      <c r="D240" s="44" t="inlineStr">
        <is>
          <t>PROD</t>
        </is>
      </c>
      <c r="E240" s="44" t="inlineStr">
        <is>
          <t>Produksi Borongan</t>
        </is>
      </c>
      <c r="F240" s="44" t="inlineStr">
        <is>
          <t>2025-5-16</t>
        </is>
      </c>
      <c r="G240" s="44" t="inlineStr">
        <is>
          <t>0000123095</t>
        </is>
      </c>
      <c r="H240" s="44" t="inlineStr">
        <is>
          <t xml:space="preserve"> </t>
        </is>
      </c>
      <c r="I240" s="44" t="inlineStr">
        <is>
          <t>-</t>
        </is>
      </c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</row>
    <row r="241" ht="15.75" customHeight="1" s="169">
      <c r="A241" s="45" t="n">
        <v>628000039</v>
      </c>
      <c r="B241" s="44" t="inlineStr">
        <is>
          <t>Nani Maryani</t>
        </is>
      </c>
      <c r="C241" s="44" t="inlineStr">
        <is>
          <t>Mitra Kerja</t>
        </is>
      </c>
      <c r="D241" s="44" t="inlineStr">
        <is>
          <t>PROD</t>
        </is>
      </c>
      <c r="E241" s="44" t="inlineStr">
        <is>
          <t>Produksi Borongan</t>
        </is>
      </c>
      <c r="F241" s="44" t="inlineStr">
        <is>
          <t>2025-5-16</t>
        </is>
      </c>
      <c r="G241" s="44" t="inlineStr">
        <is>
          <t>0000123094</t>
        </is>
      </c>
      <c r="H241" s="44" t="inlineStr">
        <is>
          <t xml:space="preserve"> </t>
        </is>
      </c>
      <c r="I241" s="44" t="inlineStr">
        <is>
          <t xml:space="preserve"> To Be Corrected </t>
        </is>
      </c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</row>
    <row r="242" ht="15.75" customHeight="1" s="169">
      <c r="A242" s="45" t="n">
        <v>628000040</v>
      </c>
      <c r="B242" s="44" t="inlineStr">
        <is>
          <t>Ai Nurjanah</t>
        </is>
      </c>
      <c r="C242" s="44" t="inlineStr">
        <is>
          <t>Mitra Kerja</t>
        </is>
      </c>
      <c r="D242" s="44" t="inlineStr">
        <is>
          <t>PROD</t>
        </is>
      </c>
      <c r="E242" s="44" t="inlineStr">
        <is>
          <t>Produksi Borongan</t>
        </is>
      </c>
      <c r="F242" s="44" t="inlineStr">
        <is>
          <t>2025-5-16</t>
        </is>
      </c>
      <c r="G242" s="44" t="inlineStr">
        <is>
          <t>0000123099</t>
        </is>
      </c>
      <c r="H242" s="44" t="inlineStr">
        <is>
          <t xml:space="preserve"> </t>
        </is>
      </c>
      <c r="I242" s="44" t="inlineStr">
        <is>
          <t>-</t>
        </is>
      </c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</row>
    <row r="243" ht="15.75" customHeight="1" s="169">
      <c r="A243" s="45" t="n">
        <v>628000042</v>
      </c>
      <c r="B243" s="44" t="inlineStr">
        <is>
          <t>Eri</t>
        </is>
      </c>
      <c r="C243" s="44" t="inlineStr">
        <is>
          <t>Mitra Kerja</t>
        </is>
      </c>
      <c r="D243" s="44" t="inlineStr">
        <is>
          <t>PROD</t>
        </is>
      </c>
      <c r="E243" s="44" t="inlineStr">
        <is>
          <t>Produksi Borongan</t>
        </is>
      </c>
      <c r="F243" s="44" t="inlineStr">
        <is>
          <t>2025-5-16</t>
        </is>
      </c>
      <c r="G243" s="44" t="inlineStr">
        <is>
          <t>0000123102</t>
        </is>
      </c>
      <c r="H243" s="44" t="inlineStr">
        <is>
          <t xml:space="preserve"> </t>
        </is>
      </c>
      <c r="I243" s="44" t="inlineStr">
        <is>
          <t>-</t>
        </is>
      </c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</row>
    <row r="244" ht="15.75" customHeight="1" s="169">
      <c r="A244" s="45" t="n">
        <v>628000043</v>
      </c>
      <c r="B244" s="44" t="inlineStr">
        <is>
          <t>Yuliyanti</t>
        </is>
      </c>
      <c r="C244" s="44" t="inlineStr">
        <is>
          <t>Mitra Kerja</t>
        </is>
      </c>
      <c r="D244" s="44" t="inlineStr">
        <is>
          <t>PROD</t>
        </is>
      </c>
      <c r="E244" s="44" t="inlineStr">
        <is>
          <t>Produksi Borongan</t>
        </is>
      </c>
      <c r="F244" s="44" t="inlineStr">
        <is>
          <t>2025-5-16</t>
        </is>
      </c>
      <c r="G244" s="44" t="inlineStr">
        <is>
          <t>0000123101</t>
        </is>
      </c>
      <c r="H244" s="44" t="inlineStr">
        <is>
          <t xml:space="preserve"> </t>
        </is>
      </c>
      <c r="I244" s="44" t="inlineStr">
        <is>
          <t>-</t>
        </is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</row>
    <row r="245" ht="15.75" customHeight="1" s="169">
      <c r="A245" s="45" t="n">
        <v>628000046</v>
      </c>
      <c r="B245" s="44" t="inlineStr">
        <is>
          <t>Cucun Ulmu Kulsum</t>
        </is>
      </c>
      <c r="C245" s="44" t="inlineStr">
        <is>
          <t>Mitra Kerja</t>
        </is>
      </c>
      <c r="D245" s="44" t="inlineStr">
        <is>
          <t>PROD</t>
        </is>
      </c>
      <c r="E245" s="44" t="inlineStr">
        <is>
          <t>Produksi Borongan</t>
        </is>
      </c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</row>
    <row r="246" ht="15.75" customHeight="1" s="169">
      <c r="A246" s="45" t="n">
        <v>628000047</v>
      </c>
      <c r="B246" s="44" t="inlineStr">
        <is>
          <t>Siti Fauzziah</t>
        </is>
      </c>
      <c r="C246" s="44" t="inlineStr">
        <is>
          <t>Mitra Kerja</t>
        </is>
      </c>
      <c r="D246" s="44" t="inlineStr">
        <is>
          <t>PROD</t>
        </is>
      </c>
      <c r="E246" s="44" t="inlineStr">
        <is>
          <t>Produksi Borongan</t>
        </is>
      </c>
      <c r="F246" s="44" t="inlineStr">
        <is>
          <t>2025-5-16</t>
        </is>
      </c>
      <c r="G246" s="44" t="inlineStr">
        <is>
          <t>0000123088</t>
        </is>
      </c>
      <c r="H246" s="44" t="inlineStr">
        <is>
          <t xml:space="preserve"> </t>
        </is>
      </c>
      <c r="I246" s="44" t="inlineStr">
        <is>
          <t xml:space="preserve"> To Be Corrected </t>
        </is>
      </c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</row>
    <row r="247" ht="15.75" customHeight="1" s="169">
      <c r="A247" s="45" t="n">
        <v>628000048</v>
      </c>
      <c r="B247" s="44" t="inlineStr">
        <is>
          <t>Dian Ramdiyani</t>
        </is>
      </c>
      <c r="C247" s="44" t="inlineStr">
        <is>
          <t>Mitra Kerja</t>
        </is>
      </c>
      <c r="D247" s="44" t="inlineStr">
        <is>
          <t>PROD</t>
        </is>
      </c>
      <c r="E247" s="44" t="inlineStr">
        <is>
          <t>Produksi Borongan</t>
        </is>
      </c>
      <c r="F247" s="44" t="inlineStr">
        <is>
          <t>2025-5-16</t>
        </is>
      </c>
      <c r="G247" s="44" t="inlineStr">
        <is>
          <t>0000123080</t>
        </is>
      </c>
      <c r="H247" s="44" t="inlineStr">
        <is>
          <t xml:space="preserve"> </t>
        </is>
      </c>
      <c r="I247" s="44" t="inlineStr">
        <is>
          <t>-</t>
        </is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</row>
    <row r="248" ht="15.75" customHeight="1" s="169">
      <c r="A248" s="45" t="n">
        <v>628000052</v>
      </c>
      <c r="B248" s="44" t="inlineStr">
        <is>
          <t>Pitri Yanti</t>
        </is>
      </c>
      <c r="C248" s="44" t="inlineStr">
        <is>
          <t>Mitra Kerja</t>
        </is>
      </c>
      <c r="D248" s="44" t="inlineStr">
        <is>
          <t>PROD</t>
        </is>
      </c>
      <c r="E248" s="44" t="inlineStr">
        <is>
          <t>Produksi Borongan</t>
        </is>
      </c>
      <c r="F248" s="44" t="inlineStr">
        <is>
          <t>2025-5-9</t>
        </is>
      </c>
      <c r="G248" s="44" t="inlineStr">
        <is>
          <t>0000122659</t>
        </is>
      </c>
      <c r="H248" s="44" t="inlineStr">
        <is>
          <t xml:space="preserve"> </t>
        </is>
      </c>
      <c r="I248" s="44" t="inlineStr">
        <is>
          <t>-</t>
        </is>
      </c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</row>
    <row r="249" ht="15.75" customHeight="1" s="169">
      <c r="A249" s="45" t="n">
        <v>628000053</v>
      </c>
      <c r="B249" s="44" t="inlineStr">
        <is>
          <t>Teni Susilawati</t>
        </is>
      </c>
      <c r="C249" s="44" t="inlineStr">
        <is>
          <t>Mitra Kerja</t>
        </is>
      </c>
      <c r="D249" s="44" t="inlineStr">
        <is>
          <t>PROD</t>
        </is>
      </c>
      <c r="E249" s="44" t="inlineStr">
        <is>
          <t>Produksi Borongan</t>
        </is>
      </c>
      <c r="F249" s="44" t="inlineStr">
        <is>
          <t>2025-5-13</t>
        </is>
      </c>
      <c r="G249" s="44" t="inlineStr">
        <is>
          <t>0000122789</t>
        </is>
      </c>
      <c r="H249" s="44" t="inlineStr">
        <is>
          <t xml:space="preserve"> </t>
        </is>
      </c>
      <c r="I249" s="44" t="inlineStr">
        <is>
          <t>-</t>
        </is>
      </c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</row>
    <row r="250" ht="15.75" customHeight="1" s="169">
      <c r="A250" s="45" t="n">
        <v>628000056</v>
      </c>
      <c r="B250" s="44" t="inlineStr">
        <is>
          <t>Eka Novita Putri</t>
        </is>
      </c>
      <c r="C250" s="44" t="inlineStr">
        <is>
          <t>Mitra Kerja</t>
        </is>
      </c>
      <c r="D250" s="44" t="inlineStr">
        <is>
          <t>PROD</t>
        </is>
      </c>
      <c r="E250" s="44" t="inlineStr">
        <is>
          <t>Produksi Borongan</t>
        </is>
      </c>
      <c r="F250" s="44" t="inlineStr">
        <is>
          <t>2025-5-9</t>
        </is>
      </c>
      <c r="G250" s="44" t="inlineStr">
        <is>
          <t>0000122662</t>
        </is>
      </c>
      <c r="H250" s="44" t="inlineStr">
        <is>
          <t xml:space="preserve"> </t>
        </is>
      </c>
      <c r="I250" s="44" t="inlineStr">
        <is>
          <t>-</t>
        </is>
      </c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</row>
    <row r="251" ht="15.75" customHeight="1" s="169">
      <c r="A251" s="45" t="n">
        <v>628000057</v>
      </c>
      <c r="B251" s="44" t="inlineStr">
        <is>
          <t>Syani Nur Affia</t>
        </is>
      </c>
      <c r="C251" s="44" t="inlineStr">
        <is>
          <t>Mitra Kerja</t>
        </is>
      </c>
      <c r="D251" s="44" t="inlineStr">
        <is>
          <t>PROD</t>
        </is>
      </c>
      <c r="E251" s="44" t="inlineStr">
        <is>
          <t>Produksi Borongan</t>
        </is>
      </c>
      <c r="F251" s="44" t="inlineStr">
        <is>
          <t>2025-5-9</t>
        </is>
      </c>
      <c r="G251" s="44" t="inlineStr">
        <is>
          <t>0000122665</t>
        </is>
      </c>
      <c r="H251" s="44" t="inlineStr">
        <is>
          <t xml:space="preserve"> </t>
        </is>
      </c>
      <c r="I251" s="44" t="inlineStr">
        <is>
          <t>-</t>
        </is>
      </c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</row>
    <row r="252" ht="15.75" customHeight="1" s="169">
      <c r="A252" s="45" t="n">
        <v>628000058</v>
      </c>
      <c r="B252" s="44" t="inlineStr">
        <is>
          <t>Ika Sartika</t>
        </is>
      </c>
      <c r="C252" s="44" t="inlineStr">
        <is>
          <t>Mitra Kerja</t>
        </is>
      </c>
      <c r="D252" s="44" t="inlineStr">
        <is>
          <t>PROD</t>
        </is>
      </c>
      <c r="E252" s="44" t="inlineStr">
        <is>
          <t>Produksi Borongan</t>
        </is>
      </c>
      <c r="F252" s="44" t="inlineStr">
        <is>
          <t>2025-5-9</t>
        </is>
      </c>
      <c r="G252" s="44" t="inlineStr">
        <is>
          <t>0000122668</t>
        </is>
      </c>
      <c r="H252" s="44" t="inlineStr">
        <is>
          <t xml:space="preserve"> </t>
        </is>
      </c>
      <c r="I252" s="44" t="inlineStr">
        <is>
          <t>-</t>
        </is>
      </c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</row>
    <row r="253" ht="15.75" customHeight="1" s="169">
      <c r="A253" s="45" t="n">
        <v>628000059</v>
      </c>
      <c r="B253" s="44" t="inlineStr">
        <is>
          <t>Astri Ayu Cahyani</t>
        </is>
      </c>
      <c r="C253" s="44" t="inlineStr">
        <is>
          <t>Mitra Kerja</t>
        </is>
      </c>
      <c r="D253" s="44" t="inlineStr">
        <is>
          <t>PROD</t>
        </is>
      </c>
      <c r="E253" s="44" t="inlineStr">
        <is>
          <t>Produksi Borongan</t>
        </is>
      </c>
      <c r="F253" s="44" t="inlineStr">
        <is>
          <t>2025-5-9</t>
        </is>
      </c>
      <c r="G253" s="44" t="inlineStr">
        <is>
          <t>0000122670</t>
        </is>
      </c>
      <c r="H253" s="44" t="inlineStr">
        <is>
          <t xml:space="preserve"> </t>
        </is>
      </c>
      <c r="I253" s="44" t="inlineStr">
        <is>
          <t>-</t>
        </is>
      </c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</row>
    <row r="254" ht="15.75" customHeight="1" s="169">
      <c r="A254" s="45" t="n">
        <v>628000060</v>
      </c>
      <c r="B254" s="44" t="inlineStr">
        <is>
          <t>Lela Nur Padilah</t>
        </is>
      </c>
      <c r="C254" s="44" t="inlineStr">
        <is>
          <t>Mitra Kerja</t>
        </is>
      </c>
      <c r="D254" s="44" t="inlineStr">
        <is>
          <t>PROD</t>
        </is>
      </c>
      <c r="E254" s="44" t="inlineStr">
        <is>
          <t>Produksi Borongan</t>
        </is>
      </c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</row>
    <row r="255" ht="15.75" customHeight="1" s="169">
      <c r="A255" s="45" t="n">
        <v>628000061</v>
      </c>
      <c r="B255" s="44" t="inlineStr">
        <is>
          <t>Nayla Fadillah Exwantoro</t>
        </is>
      </c>
      <c r="C255" s="44" t="inlineStr">
        <is>
          <t>Mitra Kerja</t>
        </is>
      </c>
      <c r="D255" s="44" t="inlineStr">
        <is>
          <t>PROD</t>
        </is>
      </c>
      <c r="E255" s="44" t="inlineStr">
        <is>
          <t>Produksi Borongan</t>
        </is>
      </c>
      <c r="F255" s="44" t="inlineStr">
        <is>
          <t>2025-5-9</t>
        </is>
      </c>
      <c r="G255" s="44" t="inlineStr">
        <is>
          <t>0000122676</t>
        </is>
      </c>
      <c r="H255" s="44" t="inlineStr">
        <is>
          <t xml:space="preserve"> </t>
        </is>
      </c>
      <c r="I255" s="44" t="inlineStr">
        <is>
          <t xml:space="preserve"> To Be Corrected </t>
        </is>
      </c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</row>
    <row r="256" ht="15.75" customHeight="1" s="169">
      <c r="A256" s="45" t="n">
        <v>628000062</v>
      </c>
      <c r="B256" s="44" t="inlineStr">
        <is>
          <t>Arini Yulianti</t>
        </is>
      </c>
      <c r="C256" s="44" t="inlineStr">
        <is>
          <t>Mitra Kerja</t>
        </is>
      </c>
      <c r="D256" s="44" t="inlineStr">
        <is>
          <t>PROD</t>
        </is>
      </c>
      <c r="E256" s="44" t="inlineStr">
        <is>
          <t>Produksi Borongan</t>
        </is>
      </c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</row>
    <row r="257" ht="15.75" customHeight="1" s="169">
      <c r="A257" s="45" t="n">
        <v>628000063</v>
      </c>
      <c r="B257" s="44" t="inlineStr">
        <is>
          <t>Sahwa Tria Amira</t>
        </is>
      </c>
      <c r="C257" s="44" t="inlineStr">
        <is>
          <t>Mitra Kerja</t>
        </is>
      </c>
      <c r="D257" s="44" t="inlineStr">
        <is>
          <t>PROD</t>
        </is>
      </c>
      <c r="E257" s="44" t="inlineStr">
        <is>
          <t>Produksi Borongan</t>
        </is>
      </c>
      <c r="F257" s="44" t="inlineStr">
        <is>
          <t>2025-5-9</t>
        </is>
      </c>
      <c r="G257" s="44" t="inlineStr">
        <is>
          <t>0000122678</t>
        </is>
      </c>
      <c r="H257" s="44" t="inlineStr">
        <is>
          <t xml:space="preserve"> </t>
        </is>
      </c>
      <c r="I257" s="44" t="inlineStr">
        <is>
          <t>-</t>
        </is>
      </c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</row>
    <row r="258" ht="15.75" customHeight="1" s="169">
      <c r="A258" s="45" t="n">
        <v>628000064</v>
      </c>
      <c r="B258" s="44" t="inlineStr">
        <is>
          <t>Silva Alypia</t>
        </is>
      </c>
      <c r="C258" s="44" t="inlineStr">
        <is>
          <t>Mitra Kerja</t>
        </is>
      </c>
      <c r="D258" s="44" t="inlineStr">
        <is>
          <t>PROD</t>
        </is>
      </c>
      <c r="E258" s="44" t="inlineStr">
        <is>
          <t>Produksi Borongan</t>
        </is>
      </c>
      <c r="F258" s="44" t="inlineStr">
        <is>
          <t>2025-5-9</t>
        </is>
      </c>
      <c r="G258" s="44" t="inlineStr">
        <is>
          <t>0000122680</t>
        </is>
      </c>
      <c r="H258" s="44" t="inlineStr">
        <is>
          <t xml:space="preserve"> </t>
        </is>
      </c>
      <c r="I258" s="44" t="inlineStr">
        <is>
          <t>-</t>
        </is>
      </c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</row>
    <row r="259" ht="15.75" customHeight="1" s="169">
      <c r="A259" s="45" t="n">
        <v>628000065</v>
      </c>
      <c r="B259" s="44" t="inlineStr">
        <is>
          <t>Kulsum Sulastri</t>
        </is>
      </c>
      <c r="C259" s="44" t="inlineStr">
        <is>
          <t>Mitra Kerja</t>
        </is>
      </c>
      <c r="D259" s="44" t="inlineStr">
        <is>
          <t>PROD</t>
        </is>
      </c>
      <c r="E259" s="44" t="inlineStr">
        <is>
          <t>Produksi Borongan</t>
        </is>
      </c>
      <c r="F259" s="44" t="inlineStr">
        <is>
          <t>2025-5-9</t>
        </is>
      </c>
      <c r="G259" s="44" t="inlineStr">
        <is>
          <t>0000122683</t>
        </is>
      </c>
      <c r="H259" s="44" t="inlineStr">
        <is>
          <t xml:space="preserve"> </t>
        </is>
      </c>
      <c r="I259" s="44" t="inlineStr">
        <is>
          <t>-</t>
        </is>
      </c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</row>
    <row r="260" ht="15.75" customHeight="1" s="169">
      <c r="A260" s="45" t="n">
        <v>628000068</v>
      </c>
      <c r="B260" s="44" t="inlineStr">
        <is>
          <t>Nanda Amelia Rizki</t>
        </is>
      </c>
      <c r="C260" s="44" t="inlineStr">
        <is>
          <t>Mitra Kerja</t>
        </is>
      </c>
      <c r="D260" s="44" t="inlineStr">
        <is>
          <t>PROD</t>
        </is>
      </c>
      <c r="E260" s="44" t="inlineStr">
        <is>
          <t>Produksi Borongan</t>
        </is>
      </c>
      <c r="F260" s="44" t="inlineStr">
        <is>
          <t>2025-5-9</t>
        </is>
      </c>
      <c r="G260" s="44" t="inlineStr">
        <is>
          <t>0000122690</t>
        </is>
      </c>
      <c r="H260" s="44" t="inlineStr">
        <is>
          <t xml:space="preserve"> </t>
        </is>
      </c>
      <c r="I260" s="44" t="inlineStr">
        <is>
          <t>-</t>
        </is>
      </c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</row>
    <row r="261" ht="15.75" customHeight="1" s="169">
      <c r="A261" s="45" t="n">
        <v>628000069</v>
      </c>
      <c r="B261" s="44" t="inlineStr">
        <is>
          <t>Leony Putri Theresya</t>
        </is>
      </c>
      <c r="C261" s="44" t="inlineStr">
        <is>
          <t>Mitra Kerja</t>
        </is>
      </c>
      <c r="D261" s="44" t="inlineStr">
        <is>
          <t>PROD</t>
        </is>
      </c>
      <c r="E261" s="44" t="inlineStr">
        <is>
          <t>Produksi Borongan</t>
        </is>
      </c>
      <c r="F261" s="44" t="inlineStr">
        <is>
          <t>2025-5-9</t>
        </is>
      </c>
      <c r="G261" s="44" t="inlineStr">
        <is>
          <t>0000122691</t>
        </is>
      </c>
      <c r="H261" s="44" t="inlineStr">
        <is>
          <t xml:space="preserve"> </t>
        </is>
      </c>
      <c r="I261" s="44" t="inlineStr">
        <is>
          <t>-</t>
        </is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</row>
    <row r="262" ht="15.75" customHeight="1" s="169">
      <c r="A262" s="45" t="n">
        <v>628000070</v>
      </c>
      <c r="B262" s="44" t="inlineStr">
        <is>
          <t>Aulia Salsadila</t>
        </is>
      </c>
      <c r="C262" s="44" t="inlineStr">
        <is>
          <t>Mitra Kerja</t>
        </is>
      </c>
      <c r="D262" s="44" t="inlineStr">
        <is>
          <t>PROD</t>
        </is>
      </c>
      <c r="E262" s="44" t="inlineStr">
        <is>
          <t>Produksi Borongan</t>
        </is>
      </c>
      <c r="F262" s="44" t="inlineStr">
        <is>
          <t>2025-5-16</t>
        </is>
      </c>
      <c r="G262" s="44" t="inlineStr">
        <is>
          <t>0000123077</t>
        </is>
      </c>
      <c r="H262" s="44" t="inlineStr">
        <is>
          <t xml:space="preserve"> </t>
        </is>
      </c>
      <c r="I262" s="44" t="inlineStr">
        <is>
          <t>-</t>
        </is>
      </c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</row>
    <row r="263" ht="15.75" customHeight="1" s="169">
      <c r="A263" s="45" t="n">
        <v>628000071</v>
      </c>
      <c r="B263" s="44" t="inlineStr">
        <is>
          <t>Rischa Tri Anjani</t>
        </is>
      </c>
      <c r="C263" s="44" t="inlineStr">
        <is>
          <t>Mitra Kerja</t>
        </is>
      </c>
      <c r="D263" s="44" t="inlineStr">
        <is>
          <t>PROD</t>
        </is>
      </c>
      <c r="E263" s="44" t="inlineStr">
        <is>
          <t>Produksi Borongan</t>
        </is>
      </c>
      <c r="F263" s="44" t="inlineStr">
        <is>
          <t>2025-5-16</t>
        </is>
      </c>
      <c r="G263" s="44" t="inlineStr">
        <is>
          <t>0000123079</t>
        </is>
      </c>
      <c r="H263" s="44" t="inlineStr">
        <is>
          <t xml:space="preserve"> </t>
        </is>
      </c>
      <c r="I263" s="44" t="inlineStr">
        <is>
          <t>-</t>
        </is>
      </c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</row>
    <row r="264" ht="15.75" customHeight="1" s="169">
      <c r="A264" s="45" t="n">
        <v>628000072</v>
      </c>
      <c r="B264" s="44" t="inlineStr">
        <is>
          <t>Amani</t>
        </is>
      </c>
      <c r="C264" s="44" t="inlineStr">
        <is>
          <t>Mitra Kerja</t>
        </is>
      </c>
      <c r="D264" s="44" t="inlineStr">
        <is>
          <t>PROD</t>
        </is>
      </c>
      <c r="E264" s="44" t="inlineStr">
        <is>
          <t>Produksi Borongan</t>
        </is>
      </c>
      <c r="F264" s="44" t="inlineStr">
        <is>
          <t>2025-5-16</t>
        </is>
      </c>
      <c r="G264" s="44" t="inlineStr">
        <is>
          <t>0000123087</t>
        </is>
      </c>
      <c r="H264" s="44" t="inlineStr">
        <is>
          <t xml:space="preserve"> </t>
        </is>
      </c>
      <c r="I264" s="44" t="inlineStr">
        <is>
          <t xml:space="preserve"> Completed </t>
        </is>
      </c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</row>
    <row r="265" ht="15.75" customHeight="1" s="169">
      <c r="A265" s="45" t="n">
        <v>628000073</v>
      </c>
      <c r="B265" s="44" t="inlineStr">
        <is>
          <t>Tanti Haryanti</t>
        </is>
      </c>
      <c r="C265" s="44" t="inlineStr">
        <is>
          <t>Mitra Kerja</t>
        </is>
      </c>
      <c r="D265" s="44" t="inlineStr">
        <is>
          <t>PROD</t>
        </is>
      </c>
      <c r="E265" s="44" t="inlineStr">
        <is>
          <t>Produksi Borongan</t>
        </is>
      </c>
      <c r="F265" s="44" t="inlineStr">
        <is>
          <t>2025-5-16</t>
        </is>
      </c>
      <c r="G265" s="44" t="inlineStr">
        <is>
          <t>0000123098</t>
        </is>
      </c>
      <c r="H265" s="44" t="inlineStr">
        <is>
          <t xml:space="preserve"> </t>
        </is>
      </c>
      <c r="I265" s="44" t="inlineStr">
        <is>
          <t>-</t>
        </is>
      </c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</row>
    <row r="266" ht="15.75" customHeight="1" s="169">
      <c r="A266" s="45" t="n">
        <v>628000074</v>
      </c>
      <c r="B266" s="44" t="inlineStr">
        <is>
          <t>Nurani</t>
        </is>
      </c>
      <c r="C266" s="44" t="inlineStr">
        <is>
          <t>Mitra Kerja</t>
        </is>
      </c>
      <c r="D266" s="44" t="inlineStr">
        <is>
          <t>PROD</t>
        </is>
      </c>
      <c r="E266" s="44" t="inlineStr">
        <is>
          <t>Produksi Borongan</t>
        </is>
      </c>
      <c r="F266" s="44" t="inlineStr">
        <is>
          <t>2025-5-13</t>
        </is>
      </c>
      <c r="G266" s="44" t="inlineStr">
        <is>
          <t>0000122788</t>
        </is>
      </c>
      <c r="H266" s="44" t="inlineStr">
        <is>
          <t xml:space="preserve"> </t>
        </is>
      </c>
      <c r="I266" s="44" t="inlineStr">
        <is>
          <t>-</t>
        </is>
      </c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</row>
    <row r="267" ht="15.75" customHeight="1" s="169">
      <c r="A267" s="45" t="n">
        <v>628000075</v>
      </c>
      <c r="B267" s="44" t="inlineStr">
        <is>
          <t>Shafa Wianda Amartha</t>
        </is>
      </c>
      <c r="C267" s="44" t="inlineStr">
        <is>
          <t>Mitra Kerja</t>
        </is>
      </c>
      <c r="D267" s="44" t="inlineStr">
        <is>
          <t>PROD</t>
        </is>
      </c>
      <c r="E267" s="44" t="inlineStr">
        <is>
          <t>Produksi Borongan</t>
        </is>
      </c>
      <c r="F267" s="44" t="inlineStr">
        <is>
          <t>2025-5-16</t>
        </is>
      </c>
      <c r="G267" s="44" t="inlineStr">
        <is>
          <t>0000123089</t>
        </is>
      </c>
      <c r="H267" s="44" t="inlineStr">
        <is>
          <t xml:space="preserve"> </t>
        </is>
      </c>
      <c r="I267" s="44" t="inlineStr">
        <is>
          <t>-</t>
        </is>
      </c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  <c r="Y267" s="44" t="n"/>
    </row>
    <row r="268" ht="15.75" customHeight="1" s="169">
      <c r="A268" s="45" t="n">
        <v>628000076</v>
      </c>
      <c r="B268" s="44" t="inlineStr">
        <is>
          <t>Sri Rahayu</t>
        </is>
      </c>
      <c r="C268" s="44" t="inlineStr">
        <is>
          <t>Mitra Kerja</t>
        </is>
      </c>
      <c r="D268" s="44" t="inlineStr">
        <is>
          <t>PROD</t>
        </is>
      </c>
      <c r="E268" s="44" t="inlineStr">
        <is>
          <t>Produksi Borongan</t>
        </is>
      </c>
      <c r="F268" s="44" t="inlineStr">
        <is>
          <t>2025-5-13</t>
        </is>
      </c>
      <c r="G268" s="44" t="inlineStr">
        <is>
          <t>0000122815</t>
        </is>
      </c>
      <c r="H268" s="44" t="inlineStr">
        <is>
          <t xml:space="preserve"> </t>
        </is>
      </c>
      <c r="I268" s="44" t="inlineStr">
        <is>
          <t>-</t>
        </is>
      </c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</row>
    <row r="269" ht="15.75" customHeight="1" s="169">
      <c r="A269" s="45" t="n">
        <v>628000077</v>
      </c>
      <c r="B269" s="44" t="inlineStr">
        <is>
          <t>Yudi Gunawan. W</t>
        </is>
      </c>
      <c r="C269" s="44" t="inlineStr">
        <is>
          <t>Mitra Kerja</t>
        </is>
      </c>
      <c r="D269" s="44" t="inlineStr">
        <is>
          <t>LOG</t>
        </is>
      </c>
      <c r="E269" s="44" t="inlineStr">
        <is>
          <t>WFG Borongan</t>
        </is>
      </c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  <c r="Y269" s="44" t="n"/>
    </row>
    <row r="270" ht="15.75" customHeight="1" s="169">
      <c r="A270" s="45" t="n">
        <v>628000078</v>
      </c>
      <c r="B270" s="44" t="inlineStr">
        <is>
          <t>Sudiro</t>
        </is>
      </c>
      <c r="C270" s="44" t="inlineStr">
        <is>
          <t>Mitra Kerja</t>
        </is>
      </c>
      <c r="D270" s="44" t="inlineStr">
        <is>
          <t>LOG</t>
        </is>
      </c>
      <c r="E270" s="44" t="inlineStr">
        <is>
          <t>WFG Borongan</t>
        </is>
      </c>
      <c r="F270" s="44" t="inlineStr">
        <is>
          <t>2025-5-16</t>
        </is>
      </c>
      <c r="G270" s="44" t="inlineStr">
        <is>
          <t>0000123054</t>
        </is>
      </c>
      <c r="H270" s="44" t="inlineStr">
        <is>
          <t xml:space="preserve"> </t>
        </is>
      </c>
      <c r="I270" s="44" t="inlineStr">
        <is>
          <t xml:space="preserve"> To Be Corrected </t>
        </is>
      </c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</row>
    <row r="271" ht="15.75" customHeight="1" s="169">
      <c r="A271" s="45" t="n">
        <v>628000079</v>
      </c>
      <c r="B271" s="44" t="inlineStr">
        <is>
          <t>Maman Suherman</t>
        </is>
      </c>
      <c r="C271" s="44" t="inlineStr">
        <is>
          <t>Mitra Kerja</t>
        </is>
      </c>
      <c r="D271" s="44" t="inlineStr">
        <is>
          <t>LOG</t>
        </is>
      </c>
      <c r="E271" s="44" t="inlineStr">
        <is>
          <t>WFG Borongan</t>
        </is>
      </c>
      <c r="F271" s="44" t="inlineStr">
        <is>
          <t>2025-5-16</t>
        </is>
      </c>
      <c r="G271" s="44" t="inlineStr">
        <is>
          <t>0000123057</t>
        </is>
      </c>
      <c r="H271" s="44" t="inlineStr">
        <is>
          <t xml:space="preserve"> </t>
        </is>
      </c>
      <c r="I271" s="44" t="inlineStr">
        <is>
          <t xml:space="preserve"> To Be Corrected </t>
        </is>
      </c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  <c r="Y271" s="44" t="n"/>
    </row>
    <row r="272" ht="15.75" customHeight="1" s="169">
      <c r="A272" s="45" t="n">
        <v>628000080</v>
      </c>
      <c r="B272" s="44" t="inlineStr">
        <is>
          <t>Agus Muhamad Restu</t>
        </is>
      </c>
      <c r="C272" s="44" t="inlineStr">
        <is>
          <t>Mitra Kerja</t>
        </is>
      </c>
      <c r="D272" s="44" t="inlineStr">
        <is>
          <t>LOG</t>
        </is>
      </c>
      <c r="E272" s="44" t="inlineStr">
        <is>
          <t>WFG Borongan</t>
        </is>
      </c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</row>
    <row r="273" ht="15.75" customHeight="1" s="169">
      <c r="A273" s="45" t="n">
        <v>628000081</v>
      </c>
      <c r="B273" s="44" t="inlineStr">
        <is>
          <t>Anda Suherman</t>
        </is>
      </c>
      <c r="C273" s="44" t="inlineStr">
        <is>
          <t>Mitra Kerja</t>
        </is>
      </c>
      <c r="D273" s="44" t="inlineStr">
        <is>
          <t>LOG</t>
        </is>
      </c>
      <c r="E273" s="44" t="inlineStr">
        <is>
          <t>WFG Borongan</t>
        </is>
      </c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  <c r="Y273" s="44" t="n"/>
    </row>
    <row r="274" ht="15.75" customHeight="1" s="169">
      <c r="A274" s="45" t="n">
        <v>628000082</v>
      </c>
      <c r="B274" s="44" t="inlineStr">
        <is>
          <t>Hafid Sutaji</t>
        </is>
      </c>
      <c r="C274" s="44" t="inlineStr">
        <is>
          <t>Mitra Kerja</t>
        </is>
      </c>
      <c r="D274" s="44" t="inlineStr">
        <is>
          <t>LOG</t>
        </is>
      </c>
      <c r="E274" s="44" t="inlineStr">
        <is>
          <t>WFG Borongan</t>
        </is>
      </c>
      <c r="F274" s="44" t="inlineStr">
        <is>
          <t>2025-5-22</t>
        </is>
      </c>
      <c r="G274" s="44" t="inlineStr">
        <is>
          <t>0000123299</t>
        </is>
      </c>
      <c r="H274" s="44" t="inlineStr">
        <is>
          <t xml:space="preserve"> </t>
        </is>
      </c>
      <c r="I274" s="44" t="inlineStr">
        <is>
          <t xml:space="preserve"> To Be Corrected </t>
        </is>
      </c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</row>
    <row r="275" ht="15.75" customHeight="1" s="169">
      <c r="A275" s="45" t="n">
        <v>628000083</v>
      </c>
      <c r="B275" s="44" t="inlineStr">
        <is>
          <t>Rian Andriansyah</t>
        </is>
      </c>
      <c r="C275" s="44" t="inlineStr">
        <is>
          <t>Mitra Kerja</t>
        </is>
      </c>
      <c r="D275" s="44" t="inlineStr">
        <is>
          <t>LOG</t>
        </is>
      </c>
      <c r="E275" s="44" t="inlineStr">
        <is>
          <t>WFG Borongan</t>
        </is>
      </c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  <c r="Y275" s="44" t="n"/>
    </row>
    <row r="276" ht="15.75" customHeight="1" s="169">
      <c r="A276" s="45" t="n">
        <v>628000084</v>
      </c>
      <c r="B276" s="44" t="inlineStr">
        <is>
          <t>Suherman</t>
        </is>
      </c>
      <c r="C276" s="44" t="inlineStr">
        <is>
          <t>Mitra Kerja</t>
        </is>
      </c>
      <c r="D276" s="44" t="inlineStr">
        <is>
          <t>LOG</t>
        </is>
      </c>
      <c r="E276" s="44" t="inlineStr">
        <is>
          <t>WFG Borongan</t>
        </is>
      </c>
      <c r="F276" s="44" t="inlineStr">
        <is>
          <t>2025-9-13</t>
        </is>
      </c>
      <c r="G276" s="44" t="inlineStr">
        <is>
          <t>0000129101</t>
        </is>
      </c>
      <c r="H276" s="44" t="inlineStr">
        <is>
          <t xml:space="preserve"> </t>
        </is>
      </c>
      <c r="I276" s="44" t="inlineStr">
        <is>
          <t xml:space="preserve"> To Be Corrected </t>
        </is>
      </c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</row>
    <row r="277" ht="15.75" customHeight="1" s="169">
      <c r="A277" s="45" t="n">
        <v>628000085</v>
      </c>
      <c r="B277" s="44" t="inlineStr">
        <is>
          <t>Ahmad Surnadi</t>
        </is>
      </c>
      <c r="C277" s="44" t="inlineStr">
        <is>
          <t>Mitra Kerja</t>
        </is>
      </c>
      <c r="D277" s="44" t="inlineStr">
        <is>
          <t>LOG</t>
        </is>
      </c>
      <c r="E277" s="44" t="inlineStr">
        <is>
          <t>WFG Borongan</t>
        </is>
      </c>
      <c r="F277" s="44" t="inlineStr">
        <is>
          <t>2025-5-21</t>
        </is>
      </c>
      <c r="G277" s="44" t="inlineStr">
        <is>
          <t>0000123282</t>
        </is>
      </c>
      <c r="H277" s="44" t="inlineStr">
        <is>
          <t xml:space="preserve"> </t>
        </is>
      </c>
      <c r="I277" s="44" t="inlineStr">
        <is>
          <t xml:space="preserve"> To Be Corrected </t>
        </is>
      </c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  <c r="Y277" s="44" t="n"/>
    </row>
    <row r="278" ht="15.75" customHeight="1" s="169">
      <c r="A278" s="45" t="n">
        <v>628000086</v>
      </c>
      <c r="B278" s="44" t="inlineStr">
        <is>
          <t>Juhari</t>
        </is>
      </c>
      <c r="C278" s="44" t="inlineStr">
        <is>
          <t>Mitra Kerja</t>
        </is>
      </c>
      <c r="D278" s="44" t="inlineStr">
        <is>
          <t>LOG</t>
        </is>
      </c>
      <c r="E278" s="44" t="inlineStr">
        <is>
          <t>WFG Borongan</t>
        </is>
      </c>
      <c r="F278" s="44" t="inlineStr">
        <is>
          <t>2025-5-16</t>
        </is>
      </c>
      <c r="G278" s="44" t="inlineStr">
        <is>
          <t>0000123058</t>
        </is>
      </c>
      <c r="H278" s="44" t="inlineStr">
        <is>
          <t xml:space="preserve"> </t>
        </is>
      </c>
      <c r="I278" s="44" t="inlineStr">
        <is>
          <t xml:space="preserve"> To Be Corrected </t>
        </is>
      </c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</row>
    <row r="279" ht="15.75" customHeight="1" s="169">
      <c r="A279" s="45" t="n">
        <v>628000087</v>
      </c>
      <c r="B279" s="44" t="inlineStr">
        <is>
          <t>Nabila Al Khalifi</t>
        </is>
      </c>
      <c r="C279" s="44" t="inlineStr">
        <is>
          <t>Mitra Kerja</t>
        </is>
      </c>
      <c r="D279" s="44" t="inlineStr">
        <is>
          <t>PROD</t>
        </is>
      </c>
      <c r="E279" s="44" t="inlineStr">
        <is>
          <t>Produksi Borongan</t>
        </is>
      </c>
      <c r="F279" s="44" t="inlineStr">
        <is>
          <t>2025-5-13</t>
        </is>
      </c>
      <c r="G279" s="44" t="inlineStr">
        <is>
          <t>0000122818</t>
        </is>
      </c>
      <c r="H279" s="44" t="inlineStr">
        <is>
          <t xml:space="preserve"> </t>
        </is>
      </c>
      <c r="I279" s="44" t="inlineStr">
        <is>
          <t xml:space="preserve"> To Be Corrected </t>
        </is>
      </c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  <c r="Y279" s="44" t="n"/>
    </row>
    <row r="280" ht="15.75" customHeight="1" s="169">
      <c r="A280" s="45" t="n">
        <v>628000088</v>
      </c>
      <c r="B280" s="44" t="inlineStr">
        <is>
          <t>Ranti Irawan</t>
        </is>
      </c>
      <c r="C280" s="44" t="inlineStr">
        <is>
          <t>Mitra Kerja</t>
        </is>
      </c>
      <c r="D280" s="44" t="inlineStr">
        <is>
          <t>PROD</t>
        </is>
      </c>
      <c r="E280" s="44" t="inlineStr">
        <is>
          <t>Produksi Borongan</t>
        </is>
      </c>
      <c r="F280" s="44" t="inlineStr">
        <is>
          <t>2025-5-13</t>
        </is>
      </c>
      <c r="G280" s="44" t="inlineStr">
        <is>
          <t>0000122819</t>
        </is>
      </c>
      <c r="H280" s="44" t="inlineStr">
        <is>
          <t xml:space="preserve"> </t>
        </is>
      </c>
      <c r="I280" s="44" t="inlineStr">
        <is>
          <t xml:space="preserve"> To Be Corrected </t>
        </is>
      </c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</row>
    <row r="281" ht="15.75" customHeight="1" s="169">
      <c r="A281" s="45" t="n">
        <v>628000089</v>
      </c>
      <c r="B281" s="44" t="inlineStr">
        <is>
          <t>Indah Agus Riani</t>
        </is>
      </c>
      <c r="C281" s="44" t="inlineStr">
        <is>
          <t>Mitra Kerja</t>
        </is>
      </c>
      <c r="D281" s="44" t="inlineStr">
        <is>
          <t>PROD</t>
        </is>
      </c>
      <c r="E281" s="44" t="inlineStr">
        <is>
          <t>Produksi Borongan</t>
        </is>
      </c>
      <c r="F281" s="44" t="inlineStr">
        <is>
          <t>2025-5-16</t>
        </is>
      </c>
      <c r="G281" s="44" t="inlineStr">
        <is>
          <t>0000123078</t>
        </is>
      </c>
      <c r="H281" s="44" t="inlineStr">
        <is>
          <t xml:space="preserve"> </t>
        </is>
      </c>
      <c r="I281" s="44" t="inlineStr">
        <is>
          <t xml:space="preserve"> To Be Corrected </t>
        </is>
      </c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  <c r="Y281" s="44" t="n"/>
    </row>
    <row r="282" ht="15.75" customHeight="1" s="169">
      <c r="A282" s="45" t="n">
        <v>628000090</v>
      </c>
      <c r="B282" s="44" t="inlineStr">
        <is>
          <t>Nirmala</t>
        </is>
      </c>
      <c r="C282" s="44" t="inlineStr">
        <is>
          <t>Mitra Kerja</t>
        </is>
      </c>
      <c r="D282" s="44" t="inlineStr">
        <is>
          <t>PROD</t>
        </is>
      </c>
      <c r="E282" s="44" t="inlineStr">
        <is>
          <t>Produksi Borongan</t>
        </is>
      </c>
      <c r="F282" s="44" t="inlineStr">
        <is>
          <t>2025-5-13</t>
        </is>
      </c>
      <c r="G282" s="44" t="inlineStr">
        <is>
          <t>0000122816</t>
        </is>
      </c>
      <c r="H282" s="44" t="inlineStr">
        <is>
          <t xml:space="preserve"> </t>
        </is>
      </c>
      <c r="I282" s="44" t="inlineStr">
        <is>
          <t xml:space="preserve"> To Be Corrected </t>
        </is>
      </c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</row>
    <row r="283" ht="15.75" customHeight="1" s="169">
      <c r="A283" s="45" t="n">
        <v>628000091</v>
      </c>
      <c r="B283" s="44" t="inlineStr">
        <is>
          <t>Devita Handayani</t>
        </is>
      </c>
      <c r="C283" s="44" t="inlineStr">
        <is>
          <t>Mitra Kerja</t>
        </is>
      </c>
      <c r="D283" s="44" t="inlineStr">
        <is>
          <t>PROD</t>
        </is>
      </c>
      <c r="E283" s="44" t="inlineStr">
        <is>
          <t>Produksi Borongan</t>
        </is>
      </c>
      <c r="F283" s="44" t="inlineStr">
        <is>
          <t>2025-5-13</t>
        </is>
      </c>
      <c r="G283" s="44" t="inlineStr">
        <is>
          <t>0000122790</t>
        </is>
      </c>
      <c r="H283" s="44" t="inlineStr">
        <is>
          <t xml:space="preserve"> </t>
        </is>
      </c>
      <c r="I283" s="44" t="inlineStr">
        <is>
          <t>-</t>
        </is>
      </c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  <c r="Y283" s="44" t="n"/>
    </row>
    <row r="284" ht="15.75" customHeight="1" s="169">
      <c r="A284" s="45" t="n">
        <v>628000092</v>
      </c>
      <c r="B284" s="44" t="inlineStr">
        <is>
          <t>Indah Sri Rahayu</t>
        </is>
      </c>
      <c r="C284" s="44" t="inlineStr">
        <is>
          <t>Mitra Kerja</t>
        </is>
      </c>
      <c r="D284" s="44" t="inlineStr">
        <is>
          <t>PROD</t>
        </is>
      </c>
      <c r="E284" s="44" t="inlineStr">
        <is>
          <t>Produksi Borongan</t>
        </is>
      </c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</row>
    <row r="285" ht="15.75" customHeight="1" s="169">
      <c r="A285" s="45" t="n">
        <v>628000093</v>
      </c>
      <c r="B285" s="44" t="inlineStr">
        <is>
          <t>Dewi Herawati Purwanti</t>
        </is>
      </c>
      <c r="C285" s="44" t="inlineStr">
        <is>
          <t>Mitra Kerja</t>
        </is>
      </c>
      <c r="D285" s="44" t="inlineStr">
        <is>
          <t>PROD</t>
        </is>
      </c>
      <c r="E285" s="44" t="inlineStr">
        <is>
          <t>Produksi Borongan</t>
        </is>
      </c>
      <c r="F285" s="44" t="inlineStr">
        <is>
          <t>2025-5-13</t>
        </is>
      </c>
      <c r="G285" s="44" t="inlineStr">
        <is>
          <t>0000122796</t>
        </is>
      </c>
      <c r="H285" s="44" t="inlineStr">
        <is>
          <t xml:space="preserve"> </t>
        </is>
      </c>
      <c r="I285" s="44" t="inlineStr">
        <is>
          <t>-</t>
        </is>
      </c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  <c r="Y285" s="44" t="n"/>
    </row>
    <row r="286" ht="15.75" customHeight="1" s="169">
      <c r="A286" s="45" t="n">
        <v>628000095</v>
      </c>
      <c r="B286" s="44" t="inlineStr">
        <is>
          <t>Tri Alita Indah Meita Sari</t>
        </is>
      </c>
      <c r="C286" s="44" t="inlineStr">
        <is>
          <t>Mitra Kerja</t>
        </is>
      </c>
      <c r="D286" s="44" t="inlineStr">
        <is>
          <t>PROD</t>
        </is>
      </c>
      <c r="E286" s="44" t="inlineStr">
        <is>
          <t>Produksi Borongan</t>
        </is>
      </c>
      <c r="F286" s="44" t="inlineStr">
        <is>
          <t>2025-5-13</t>
        </is>
      </c>
      <c r="G286" s="44" t="inlineStr">
        <is>
          <t>0000122808</t>
        </is>
      </c>
      <c r="H286" s="44" t="inlineStr">
        <is>
          <t xml:space="preserve"> </t>
        </is>
      </c>
      <c r="I286" s="44" t="inlineStr">
        <is>
          <t>-</t>
        </is>
      </c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</row>
    <row r="287" ht="15.75" customHeight="1" s="169">
      <c r="A287" s="45" t="n">
        <v>628000096</v>
      </c>
      <c r="B287" s="44" t="inlineStr">
        <is>
          <t>Nuryanti Anggraeni</t>
        </is>
      </c>
      <c r="C287" s="44" t="inlineStr">
        <is>
          <t>Mitra Kerja</t>
        </is>
      </c>
      <c r="D287" s="44" t="inlineStr">
        <is>
          <t>PROD</t>
        </is>
      </c>
      <c r="E287" s="44" t="inlineStr">
        <is>
          <t>Produksi Borongan</t>
        </is>
      </c>
      <c r="F287" s="44" t="inlineStr">
        <is>
          <t>2025-5-13</t>
        </is>
      </c>
      <c r="G287" s="44" t="inlineStr">
        <is>
          <t>0000122810</t>
        </is>
      </c>
      <c r="H287" s="44" t="inlineStr">
        <is>
          <t xml:space="preserve"> </t>
        </is>
      </c>
      <c r="I287" s="44" t="inlineStr">
        <is>
          <t>-</t>
        </is>
      </c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  <c r="Y287" s="44" t="n"/>
    </row>
    <row r="288" ht="15.75" customHeight="1" s="169">
      <c r="A288" s="45" t="n">
        <v>628000097</v>
      </c>
      <c r="B288" s="44" t="inlineStr">
        <is>
          <t>Nabila Durrotun Nashihah</t>
        </is>
      </c>
      <c r="C288" s="44" t="inlineStr">
        <is>
          <t>Mitra Kerja</t>
        </is>
      </c>
      <c r="D288" s="44" t="inlineStr">
        <is>
          <t>PROD</t>
        </is>
      </c>
      <c r="E288" s="44" t="inlineStr">
        <is>
          <t>Produksi Borongan</t>
        </is>
      </c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</row>
    <row r="289" ht="15.75" customHeight="1" s="169">
      <c r="A289" s="45" t="n">
        <v>628000099</v>
      </c>
      <c r="B289" s="44" t="inlineStr">
        <is>
          <t>Suhendar</t>
        </is>
      </c>
      <c r="C289" s="44" t="inlineStr">
        <is>
          <t>Mitra Kerja</t>
        </is>
      </c>
      <c r="D289" s="44" t="inlineStr">
        <is>
          <t>LOG</t>
        </is>
      </c>
      <c r="E289" s="44" t="inlineStr">
        <is>
          <t>WFG Borongan</t>
        </is>
      </c>
      <c r="F289" s="44" t="inlineStr">
        <is>
          <t>2025-5-16</t>
        </is>
      </c>
      <c r="G289" s="44" t="inlineStr">
        <is>
          <t>0000123056</t>
        </is>
      </c>
      <c r="H289" s="44" t="inlineStr">
        <is>
          <t xml:space="preserve"> </t>
        </is>
      </c>
      <c r="I289" s="44" t="inlineStr">
        <is>
          <t>-</t>
        </is>
      </c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  <c r="Y289" s="44" t="n"/>
    </row>
    <row r="290" ht="15.75" customHeight="1" s="169">
      <c r="A290" s="45" t="n">
        <v>628000101</v>
      </c>
      <c r="B290" s="44" t="inlineStr">
        <is>
          <t>Egi Heriyanto</t>
        </is>
      </c>
      <c r="C290" s="44" t="inlineStr">
        <is>
          <t>Mitra Kerja</t>
        </is>
      </c>
      <c r="D290" s="44" t="inlineStr">
        <is>
          <t>LOG</t>
        </is>
      </c>
      <c r="E290" s="44" t="inlineStr">
        <is>
          <t>WFG Borongan</t>
        </is>
      </c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</row>
    <row r="291" ht="15.75" customHeight="1" s="169">
      <c r="A291" s="45" t="n">
        <v>628000102</v>
      </c>
      <c r="B291" s="44" t="inlineStr">
        <is>
          <t>Irpan Munthaha</t>
        </is>
      </c>
      <c r="C291" s="44" t="inlineStr">
        <is>
          <t>Mitra Kerja</t>
        </is>
      </c>
      <c r="D291" s="44" t="inlineStr">
        <is>
          <t>LOG</t>
        </is>
      </c>
      <c r="E291" s="44" t="inlineStr">
        <is>
          <t>WFG Borongan</t>
        </is>
      </c>
      <c r="F291" s="44" t="inlineStr">
        <is>
          <t>2025-5-19</t>
        </is>
      </c>
      <c r="G291" s="44" t="inlineStr">
        <is>
          <t>0000123171</t>
        </is>
      </c>
      <c r="H291" s="44" t="inlineStr">
        <is>
          <t xml:space="preserve"> </t>
        </is>
      </c>
      <c r="I291" s="44" t="inlineStr">
        <is>
          <t xml:space="preserve"> To Be Corrected </t>
        </is>
      </c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  <c r="Y291" s="44" t="n"/>
    </row>
    <row r="292" ht="15.75" customHeight="1" s="169">
      <c r="A292" s="45" t="n">
        <v>628000103</v>
      </c>
      <c r="B292" s="44" t="inlineStr">
        <is>
          <t>Edi Husaeni</t>
        </is>
      </c>
      <c r="C292" s="44" t="inlineStr">
        <is>
          <t>Mitra Kerja</t>
        </is>
      </c>
      <c r="D292" s="44" t="inlineStr">
        <is>
          <t>LOG</t>
        </is>
      </c>
      <c r="E292" s="44" t="inlineStr">
        <is>
          <t>WFG Borongan</t>
        </is>
      </c>
      <c r="F292" s="44" t="inlineStr">
        <is>
          <t>2025-5-19</t>
        </is>
      </c>
      <c r="G292" s="44" t="inlineStr">
        <is>
          <t>0000123168</t>
        </is>
      </c>
      <c r="H292" s="44" t="inlineStr">
        <is>
          <t xml:space="preserve"> </t>
        </is>
      </c>
      <c r="I292" s="44" t="inlineStr">
        <is>
          <t xml:space="preserve"> To Be Corrected </t>
        </is>
      </c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</row>
    <row r="293" ht="15.75" customHeight="1" s="169">
      <c r="A293" s="45" t="n">
        <v>628000104</v>
      </c>
      <c r="B293" s="44" t="inlineStr">
        <is>
          <t>Encir Sugianto</t>
        </is>
      </c>
      <c r="C293" s="44" t="inlineStr">
        <is>
          <t>Mitra Kerja</t>
        </is>
      </c>
      <c r="D293" s="44" t="inlineStr">
        <is>
          <t>LOG</t>
        </is>
      </c>
      <c r="E293" s="44" t="inlineStr">
        <is>
          <t>WFG Borongan</t>
        </is>
      </c>
      <c r="F293" s="44" t="inlineStr">
        <is>
          <t>2025-5-19</t>
        </is>
      </c>
      <c r="G293" s="44" t="inlineStr">
        <is>
          <t>0000123170</t>
        </is>
      </c>
      <c r="H293" s="44" t="inlineStr">
        <is>
          <t xml:space="preserve"> </t>
        </is>
      </c>
      <c r="I293" s="44" t="inlineStr">
        <is>
          <t xml:space="preserve"> To Be Corrected </t>
        </is>
      </c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  <c r="Y293" s="44" t="n"/>
    </row>
    <row r="294" ht="15.75" customHeight="1" s="169">
      <c r="A294" s="45" t="n">
        <v>628000105</v>
      </c>
      <c r="B294" s="44" t="inlineStr">
        <is>
          <t>Selpia Nopiani</t>
        </is>
      </c>
      <c r="C294" s="44" t="inlineStr">
        <is>
          <t>Mitra Kerja</t>
        </is>
      </c>
      <c r="D294" s="44" t="inlineStr">
        <is>
          <t>PROD</t>
        </is>
      </c>
      <c r="E294" s="44" t="inlineStr">
        <is>
          <t>Produksi Borongan</t>
        </is>
      </c>
      <c r="F294" s="44" t="inlineStr">
        <is>
          <t>2025-5-19</t>
        </is>
      </c>
      <c r="G294" s="44" t="inlineStr">
        <is>
          <t>0000123163</t>
        </is>
      </c>
      <c r="H294" s="44" t="inlineStr">
        <is>
          <t xml:space="preserve"> </t>
        </is>
      </c>
      <c r="I294" s="44" t="inlineStr">
        <is>
          <t>-</t>
        </is>
      </c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</row>
    <row r="295" ht="15.75" customHeight="1" s="169">
      <c r="A295" s="45" t="n">
        <v>628000106</v>
      </c>
      <c r="B295" s="44" t="inlineStr">
        <is>
          <t>Irma Nurhasanah</t>
        </is>
      </c>
      <c r="C295" s="44" t="inlineStr">
        <is>
          <t>Mitra Kerja</t>
        </is>
      </c>
      <c r="D295" s="44" t="inlineStr">
        <is>
          <t>PROD</t>
        </is>
      </c>
      <c r="E295" s="44" t="inlineStr">
        <is>
          <t>Produksi Borongan</t>
        </is>
      </c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  <c r="Y295" s="44" t="n"/>
    </row>
    <row r="296" ht="15.75" customHeight="1" s="169">
      <c r="A296" s="45" t="n">
        <v>628000110</v>
      </c>
      <c r="B296" s="44" t="inlineStr">
        <is>
          <t>Tati Rohayati</t>
        </is>
      </c>
      <c r="C296" s="44" t="inlineStr">
        <is>
          <t>Mitra Kerja</t>
        </is>
      </c>
      <c r="D296" s="44" t="inlineStr">
        <is>
          <t>PROD</t>
        </is>
      </c>
      <c r="E296" s="44" t="inlineStr">
        <is>
          <t>Produksi Borongan</t>
        </is>
      </c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</row>
    <row r="297" ht="15.75" customHeight="1" s="169">
      <c r="A297" s="45" t="n">
        <v>628000111</v>
      </c>
      <c r="B297" s="44" t="inlineStr">
        <is>
          <t>Sari Agustina</t>
        </is>
      </c>
      <c r="C297" s="44" t="inlineStr">
        <is>
          <t>Mitra Kerja</t>
        </is>
      </c>
      <c r="D297" s="44" t="inlineStr">
        <is>
          <t>PROD</t>
        </is>
      </c>
      <c r="E297" s="44" t="inlineStr">
        <is>
          <t>Produksi Borongan</t>
        </is>
      </c>
      <c r="F297" s="44" t="inlineStr">
        <is>
          <t>2025-5-21</t>
        </is>
      </c>
      <c r="G297" s="44" t="inlineStr">
        <is>
          <t>0000123274</t>
        </is>
      </c>
      <c r="H297" s="44" t="inlineStr">
        <is>
          <t xml:space="preserve"> </t>
        </is>
      </c>
      <c r="I297" s="44" t="inlineStr">
        <is>
          <t xml:space="preserve"> To Be Corrected </t>
        </is>
      </c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  <c r="Y297" s="44" t="n"/>
    </row>
    <row r="298" ht="15.75" customHeight="1" s="169">
      <c r="A298" s="45" t="n">
        <v>628000118</v>
      </c>
      <c r="B298" s="44" t="inlineStr">
        <is>
          <t>Indah Lestari</t>
        </is>
      </c>
      <c r="C298" s="44" t="inlineStr">
        <is>
          <t>Mitra Kerja</t>
        </is>
      </c>
      <c r="D298" s="44" t="inlineStr">
        <is>
          <t>PROD</t>
        </is>
      </c>
      <c r="E298" s="44" t="inlineStr">
        <is>
          <t>Produksi Borongan</t>
        </is>
      </c>
      <c r="F298" s="44" t="inlineStr">
        <is>
          <t>2025-7-1</t>
        </is>
      </c>
      <c r="G298" s="44" t="inlineStr">
        <is>
          <t>0000124993</t>
        </is>
      </c>
      <c r="H298" s="44" t="inlineStr">
        <is>
          <t xml:space="preserve"> </t>
        </is>
      </c>
      <c r="I298" s="44" t="inlineStr">
        <is>
          <t>-</t>
        </is>
      </c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</row>
    <row r="299" ht="15.75" customHeight="1" s="169">
      <c r="A299" s="45" t="n">
        <v>628000126</v>
      </c>
      <c r="B299" s="44" t="inlineStr">
        <is>
          <t>Siska Nurazizah Sukma Natar</t>
        </is>
      </c>
      <c r="C299" s="44" t="inlineStr">
        <is>
          <t>Mitra Kerja</t>
        </is>
      </c>
      <c r="D299" s="44" t="inlineStr">
        <is>
          <t>PROD</t>
        </is>
      </c>
      <c r="E299" s="44" t="inlineStr">
        <is>
          <t>Produksi Borongan</t>
        </is>
      </c>
      <c r="F299" s="44" t="inlineStr">
        <is>
          <t>2025-6-14</t>
        </is>
      </c>
      <c r="G299" s="44" t="inlineStr">
        <is>
          <t>0000124506</t>
        </is>
      </c>
      <c r="H299" s="44" t="inlineStr">
        <is>
          <t xml:space="preserve"> </t>
        </is>
      </c>
      <c r="I299" s="44" t="inlineStr">
        <is>
          <t>-</t>
        </is>
      </c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</row>
    <row r="300" ht="15.75" customHeight="1" s="169">
      <c r="A300" s="45" t="n">
        <v>628000127</v>
      </c>
      <c r="B300" s="44" t="inlineStr">
        <is>
          <t>Dien Milenia</t>
        </is>
      </c>
      <c r="C300" s="44" t="inlineStr">
        <is>
          <t>Mitra Kerja</t>
        </is>
      </c>
      <c r="D300" s="44" t="inlineStr">
        <is>
          <t>PROD</t>
        </is>
      </c>
      <c r="E300" s="44" t="inlineStr">
        <is>
          <t>Produksi Borongan</t>
        </is>
      </c>
      <c r="F300" s="44" t="inlineStr">
        <is>
          <t>2025-7-1</t>
        </is>
      </c>
      <c r="G300" s="44" t="inlineStr">
        <is>
          <t>0000124991</t>
        </is>
      </c>
      <c r="H300" s="44" t="inlineStr">
        <is>
          <t xml:space="preserve"> </t>
        </is>
      </c>
      <c r="I300" s="44" t="inlineStr">
        <is>
          <t>-</t>
        </is>
      </c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</row>
    <row r="301" ht="15.75" customHeight="1" s="169">
      <c r="A301" s="45" t="n">
        <v>628000128</v>
      </c>
      <c r="B301" s="44" t="inlineStr">
        <is>
          <t>Dadan Hardiana</t>
        </is>
      </c>
      <c r="C301" s="44" t="inlineStr">
        <is>
          <t>Mitra Kerja</t>
        </is>
      </c>
      <c r="D301" s="44" t="inlineStr">
        <is>
          <t>LOG</t>
        </is>
      </c>
      <c r="E301" s="44" t="inlineStr">
        <is>
          <t>WFG Borongan</t>
        </is>
      </c>
      <c r="F301" s="44" t="inlineStr">
        <is>
          <t>2025-9-13</t>
        </is>
      </c>
      <c r="G301" s="44" t="inlineStr">
        <is>
          <t>0000129102</t>
        </is>
      </c>
      <c r="H301" s="44" t="inlineStr">
        <is>
          <t xml:space="preserve"> </t>
        </is>
      </c>
      <c r="I301" s="44" t="inlineStr">
        <is>
          <t>-</t>
        </is>
      </c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  <c r="Y301" s="44" t="n"/>
    </row>
    <row r="302" ht="15.75" customHeight="1" s="169">
      <c r="A302" s="45" t="n">
        <v>628000129</v>
      </c>
      <c r="B302" s="44" t="inlineStr">
        <is>
          <t>Abdul Rohman As Sayuti</t>
        </is>
      </c>
      <c r="C302" s="44" t="inlineStr">
        <is>
          <t>Mitra Kerja</t>
        </is>
      </c>
      <c r="D302" s="44" t="inlineStr">
        <is>
          <t>LOG</t>
        </is>
      </c>
      <c r="E302" s="44" t="inlineStr">
        <is>
          <t>WFG Borongan</t>
        </is>
      </c>
      <c r="F302" s="44" t="inlineStr">
        <is>
          <t>2025-9-13</t>
        </is>
      </c>
      <c r="G302" s="44" t="inlineStr">
        <is>
          <t>0000129106</t>
        </is>
      </c>
      <c r="H302" s="44" t="inlineStr">
        <is>
          <t xml:space="preserve"> </t>
        </is>
      </c>
      <c r="I302" s="44" t="inlineStr">
        <is>
          <t>-</t>
        </is>
      </c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</row>
    <row r="303" ht="15.75" customHeight="1" s="169">
      <c r="A303" s="45" t="n">
        <v>628000130</v>
      </c>
      <c r="B303" s="44" t="inlineStr">
        <is>
          <t>Hasanudin</t>
        </is>
      </c>
      <c r="C303" s="44" t="inlineStr">
        <is>
          <t>Mitra Kerja</t>
        </is>
      </c>
      <c r="D303" s="44" t="inlineStr">
        <is>
          <t>LOG</t>
        </is>
      </c>
      <c r="E303" s="44" t="inlineStr">
        <is>
          <t>WRM Borongan</t>
        </is>
      </c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  <c r="Y303" s="44" t="n"/>
    </row>
    <row r="304" ht="15.75" customHeight="1" s="169">
      <c r="A304" s="45" t="n">
        <v>628000131</v>
      </c>
      <c r="B304" s="44" t="inlineStr">
        <is>
          <t>Aos Iskandar</t>
        </is>
      </c>
      <c r="C304" s="44" t="inlineStr">
        <is>
          <t>Mitra Kerja</t>
        </is>
      </c>
      <c r="D304" s="44" t="inlineStr">
        <is>
          <t>LOG</t>
        </is>
      </c>
      <c r="E304" s="44" t="inlineStr">
        <is>
          <t>WFG Borongan</t>
        </is>
      </c>
      <c r="F304" s="44" t="inlineStr">
        <is>
          <t>2025-9-13</t>
        </is>
      </c>
      <c r="G304" s="44" t="inlineStr">
        <is>
          <t>0000129120</t>
        </is>
      </c>
      <c r="H304" s="44" t="inlineStr">
        <is>
          <t xml:space="preserve"> </t>
        </is>
      </c>
      <c r="I304" s="44" t="inlineStr">
        <is>
          <t>-</t>
        </is>
      </c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</row>
    <row r="305" ht="15.75" customHeight="1" s="169">
      <c r="A305" s="45" t="n">
        <v>628000132</v>
      </c>
      <c r="B305" s="44" t="inlineStr">
        <is>
          <t>Iskandar Dinata</t>
        </is>
      </c>
      <c r="C305" s="44" t="inlineStr">
        <is>
          <t>Mitra Kerja</t>
        </is>
      </c>
      <c r="D305" s="44" t="inlineStr">
        <is>
          <t>LOG</t>
        </is>
      </c>
      <c r="E305" s="44" t="inlineStr">
        <is>
          <t>WFG Borongan</t>
        </is>
      </c>
      <c r="F305" s="44" t="inlineStr">
        <is>
          <t>2025-9-13</t>
        </is>
      </c>
      <c r="G305" s="44" t="inlineStr">
        <is>
          <t>0000129123</t>
        </is>
      </c>
      <c r="H305" s="44" t="inlineStr">
        <is>
          <t xml:space="preserve"> </t>
        </is>
      </c>
      <c r="I305" s="44" t="inlineStr">
        <is>
          <t>-</t>
        </is>
      </c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  <c r="Y305" s="44" t="n"/>
    </row>
    <row r="306" ht="15.75" customHeight="1" s="169">
      <c r="A306" s="45" t="n">
        <v>628000133</v>
      </c>
      <c r="B306" s="44" t="inlineStr">
        <is>
          <t>Vika Damayanti</t>
        </is>
      </c>
      <c r="C306" s="44" t="inlineStr">
        <is>
          <t>Mitra Kerja</t>
        </is>
      </c>
      <c r="D306" s="44" t="inlineStr">
        <is>
          <t>PROD</t>
        </is>
      </c>
      <c r="E306" s="44" t="inlineStr">
        <is>
          <t>Produksi Borongan</t>
        </is>
      </c>
      <c r="F306" s="44" t="inlineStr">
        <is>
          <t>2025-11-12</t>
        </is>
      </c>
      <c r="G306" s="44" t="inlineStr">
        <is>
          <t>0000132041</t>
        </is>
      </c>
      <c r="H306" s="44" t="inlineStr">
        <is>
          <t xml:space="preserve"> </t>
        </is>
      </c>
      <c r="I306" s="44" t="inlineStr">
        <is>
          <t>-</t>
        </is>
      </c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</row>
    <row r="307" ht="15.75" customHeight="1" s="169">
      <c r="A307" s="45" t="n">
        <v>628000134</v>
      </c>
      <c r="B307" s="44" t="inlineStr">
        <is>
          <t>Sumiati</t>
        </is>
      </c>
      <c r="C307" s="44" t="inlineStr">
        <is>
          <t>Mitra Kerja</t>
        </is>
      </c>
      <c r="D307" s="44" t="inlineStr">
        <is>
          <t>PROD</t>
        </is>
      </c>
      <c r="E307" s="44" t="inlineStr">
        <is>
          <t>Produksi Harian</t>
        </is>
      </c>
      <c r="F307" s="44" t="inlineStr">
        <is>
          <t>2025-11-12</t>
        </is>
      </c>
      <c r="G307" s="44" t="inlineStr">
        <is>
          <t>0000132042</t>
        </is>
      </c>
      <c r="H307" s="44" t="inlineStr">
        <is>
          <t xml:space="preserve"> </t>
        </is>
      </c>
      <c r="I307" s="44" t="inlineStr">
        <is>
          <t>-</t>
        </is>
      </c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  <c r="Y307" s="44" t="n"/>
    </row>
    <row r="308" ht="15.75" customHeight="1" s="169">
      <c r="A308" s="45" t="n">
        <v>628000135</v>
      </c>
      <c r="B308" s="44" t="inlineStr">
        <is>
          <t>Annisa Nanda Pratama</t>
        </is>
      </c>
      <c r="C308" s="44" t="inlineStr">
        <is>
          <t>Mitra Kerja</t>
        </is>
      </c>
      <c r="D308" s="44" t="inlineStr">
        <is>
          <t>PROD</t>
        </is>
      </c>
      <c r="E308" s="44" t="inlineStr">
        <is>
          <t>Produksi Harian</t>
        </is>
      </c>
      <c r="F308" s="44" t="inlineStr">
        <is>
          <t>2025-11-12</t>
        </is>
      </c>
      <c r="G308" s="44" t="inlineStr">
        <is>
          <t>0000132043</t>
        </is>
      </c>
      <c r="H308" s="44" t="inlineStr">
        <is>
          <t xml:space="preserve"> </t>
        </is>
      </c>
      <c r="I308" s="44" t="inlineStr">
        <is>
          <t>-</t>
        </is>
      </c>
      <c r="J308" s="44" t="n"/>
      <c r="K308" s="44" t="n"/>
      <c r="L308" s="44" t="n"/>
      <c r="M308" s="44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</row>
    <row r="309" ht="15.75" customHeight="1" s="169">
      <c r="A309" s="45" t="n">
        <v>628000136</v>
      </c>
      <c r="B309" s="44" t="inlineStr">
        <is>
          <t>Dea Namira Pebrianti</t>
        </is>
      </c>
      <c r="C309" s="44" t="inlineStr">
        <is>
          <t>Mitra Kerja</t>
        </is>
      </c>
      <c r="D309" s="44" t="inlineStr">
        <is>
          <t>PROD</t>
        </is>
      </c>
      <c r="E309" s="44" t="inlineStr">
        <is>
          <t>Produksi Borongan</t>
        </is>
      </c>
      <c r="F309" s="44" t="n"/>
      <c r="G309" s="44" t="n"/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  <c r="Y309" s="44" t="n"/>
    </row>
    <row r="310" ht="15.75" customHeight="1" s="169">
      <c r="A310" s="45" t="n">
        <v>628000137</v>
      </c>
      <c r="B310" s="44" t="inlineStr">
        <is>
          <t>Irma Agustiani</t>
        </is>
      </c>
      <c r="C310" s="44" t="inlineStr">
        <is>
          <t>Mitra Kerja</t>
        </is>
      </c>
      <c r="D310" s="44" t="inlineStr">
        <is>
          <t>PROD</t>
        </is>
      </c>
      <c r="E310" s="44" t="inlineStr">
        <is>
          <t>Produksi Borongan</t>
        </is>
      </c>
      <c r="F310" s="44" t="inlineStr">
        <is>
          <t>2025-11-12</t>
        </is>
      </c>
      <c r="G310" s="44" t="inlineStr">
        <is>
          <t>0000132046</t>
        </is>
      </c>
      <c r="H310" s="44" t="inlineStr">
        <is>
          <t xml:space="preserve"> </t>
        </is>
      </c>
      <c r="I310" s="44" t="inlineStr">
        <is>
          <t>-</t>
        </is>
      </c>
      <c r="J310" s="44" t="n"/>
      <c r="K310" s="44" t="n"/>
      <c r="L310" s="44" t="n"/>
      <c r="M310" s="44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</row>
    <row r="311" ht="15.75" customHeight="1" s="169">
      <c r="A311" s="45" t="n">
        <v>628000138</v>
      </c>
      <c r="B311" s="44" t="inlineStr">
        <is>
          <t>Annisa Putri Wahidah</t>
        </is>
      </c>
      <c r="C311" s="44" t="inlineStr">
        <is>
          <t>Mitra Kerja</t>
        </is>
      </c>
      <c r="D311" s="44" t="inlineStr">
        <is>
          <t>PROD</t>
        </is>
      </c>
      <c r="E311" s="44" t="inlineStr">
        <is>
          <t>Produksi Borongan</t>
        </is>
      </c>
      <c r="F311" s="44" t="inlineStr">
        <is>
          <t>2025-11-12</t>
        </is>
      </c>
      <c r="G311" s="44" t="inlineStr">
        <is>
          <t>0000132047</t>
        </is>
      </c>
      <c r="H311" s="44" t="inlineStr">
        <is>
          <t xml:space="preserve"> </t>
        </is>
      </c>
      <c r="I311" s="44" t="inlineStr">
        <is>
          <t>-</t>
        </is>
      </c>
      <c r="J311" s="44" t="n"/>
      <c r="K311" s="44" t="n"/>
      <c r="L311" s="44" t="n"/>
      <c r="M311" s="44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44" t="n"/>
      <c r="X311" s="44" t="n"/>
      <c r="Y311" s="44" t="n"/>
    </row>
    <row r="312" ht="15.75" customHeight="1" s="169">
      <c r="A312" s="45" t="n">
        <v>628000139</v>
      </c>
      <c r="B312" s="44" t="inlineStr">
        <is>
          <t>Evha Widiyaningsih</t>
        </is>
      </c>
      <c r="C312" s="44" t="inlineStr">
        <is>
          <t>Mitra Kerja</t>
        </is>
      </c>
      <c r="D312" s="44" t="inlineStr">
        <is>
          <t>PROD</t>
        </is>
      </c>
      <c r="E312" s="44" t="inlineStr">
        <is>
          <t>Produksi Borongan</t>
        </is>
      </c>
      <c r="F312" s="44" t="n"/>
      <c r="G312" s="44" t="n"/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</row>
    <row r="313" ht="15.75" customHeight="1" s="169">
      <c r="A313" s="45" t="n">
        <v>628000140</v>
      </c>
      <c r="B313" s="44" t="inlineStr">
        <is>
          <t>Pitri Andriyani Rahayu</t>
        </is>
      </c>
      <c r="C313" s="44" t="inlineStr">
        <is>
          <t>Mitra Kerja</t>
        </is>
      </c>
      <c r="D313" s="44" t="inlineStr">
        <is>
          <t>PROD</t>
        </is>
      </c>
      <c r="E313" s="44" t="inlineStr">
        <is>
          <t>Produksi Borongan</t>
        </is>
      </c>
      <c r="F313" s="44" t="inlineStr">
        <is>
          <t>2025-11-12</t>
        </is>
      </c>
      <c r="G313" s="44" t="inlineStr">
        <is>
          <t>0000132050</t>
        </is>
      </c>
      <c r="H313" s="44" t="inlineStr">
        <is>
          <t xml:space="preserve"> </t>
        </is>
      </c>
      <c r="I313" s="44" t="inlineStr">
        <is>
          <t>-</t>
        </is>
      </c>
      <c r="J313" s="44" t="n"/>
      <c r="K313" s="44" t="n"/>
      <c r="L313" s="44" t="n"/>
      <c r="M313" s="44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  <c r="Y313" s="44" t="n"/>
    </row>
    <row r="314" ht="15.75" customHeight="1" s="169">
      <c r="A314" s="45" t="n">
        <v>628000141</v>
      </c>
      <c r="B314" s="44" t="inlineStr">
        <is>
          <t>Paramita Safitri</t>
        </is>
      </c>
      <c r="C314" s="44" t="inlineStr">
        <is>
          <t>Mitra Kerja</t>
        </is>
      </c>
      <c r="D314" s="44" t="inlineStr">
        <is>
          <t>PROD</t>
        </is>
      </c>
      <c r="E314" s="44" t="inlineStr">
        <is>
          <t>Produksi Borongan</t>
        </is>
      </c>
      <c r="F314" s="44" t="inlineStr">
        <is>
          <t>2025-11-12</t>
        </is>
      </c>
      <c r="G314" s="44" t="inlineStr">
        <is>
          <t>0000132049</t>
        </is>
      </c>
      <c r="H314" s="44" t="inlineStr">
        <is>
          <t xml:space="preserve"> </t>
        </is>
      </c>
      <c r="I314" s="44" t="inlineStr">
        <is>
          <t>-</t>
        </is>
      </c>
      <c r="J314" s="44" t="n"/>
      <c r="K314" s="44" t="n"/>
      <c r="L314" s="44" t="n"/>
      <c r="M314" s="44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</row>
    <row r="315" ht="15.75" customHeight="1" s="169">
      <c r="A315" s="45" t="n">
        <v>628000142</v>
      </c>
      <c r="B315" s="44" t="inlineStr">
        <is>
          <t>Silvia Fitri Ramadan</t>
        </is>
      </c>
      <c r="C315" s="44" t="inlineStr">
        <is>
          <t>Mitra Kerja</t>
        </is>
      </c>
      <c r="D315" s="44" t="inlineStr">
        <is>
          <t>PROD</t>
        </is>
      </c>
      <c r="E315" s="44" t="inlineStr">
        <is>
          <t>Produksi Borongan</t>
        </is>
      </c>
      <c r="F315" s="44" t="inlineStr">
        <is>
          <t>2025-11-13</t>
        </is>
      </c>
      <c r="G315" s="44" t="inlineStr">
        <is>
          <t>0000132090</t>
        </is>
      </c>
      <c r="H315" s="44" t="inlineStr">
        <is>
          <t xml:space="preserve"> </t>
        </is>
      </c>
      <c r="I315" s="44" t="inlineStr">
        <is>
          <t xml:space="preserve"> To Be Corrected </t>
        </is>
      </c>
      <c r="J315" s="44" t="n"/>
      <c r="K315" s="44" t="n"/>
      <c r="L315" s="44" t="n"/>
      <c r="M315" s="44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44" t="n"/>
      <c r="X315" s="44" t="n"/>
      <c r="Y315" s="44" t="n"/>
    </row>
    <row r="316" ht="15.75" customHeight="1" s="169">
      <c r="A316" s="45" t="n">
        <v>628000143</v>
      </c>
      <c r="B316" s="44" t="inlineStr">
        <is>
          <t>Layla Kodriyah</t>
        </is>
      </c>
      <c r="C316" s="44" t="inlineStr">
        <is>
          <t>Mitra Kerja</t>
        </is>
      </c>
      <c r="D316" s="44" t="inlineStr">
        <is>
          <t>PROD</t>
        </is>
      </c>
      <c r="E316" s="44" t="inlineStr">
        <is>
          <t>Produksi Borongan</t>
        </is>
      </c>
      <c r="F316" s="44" t="inlineStr">
        <is>
          <t>2025-11-13</t>
        </is>
      </c>
      <c r="G316" s="44" t="inlineStr">
        <is>
          <t>0000132091</t>
        </is>
      </c>
      <c r="H316" s="44" t="inlineStr">
        <is>
          <t xml:space="preserve"> </t>
        </is>
      </c>
      <c r="I316" s="44" t="inlineStr">
        <is>
          <t>-</t>
        </is>
      </c>
      <c r="J316" s="44" t="n"/>
      <c r="K316" s="44" t="n"/>
      <c r="L316" s="44" t="n"/>
      <c r="M316" s="44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</row>
    <row r="317" ht="15.75" customHeight="1" s="169">
      <c r="A317" s="45" t="n">
        <v>628000144</v>
      </c>
      <c r="B317" s="44" t="inlineStr">
        <is>
          <t>Pia Amelia</t>
        </is>
      </c>
      <c r="C317" s="44" t="inlineStr">
        <is>
          <t>Mitra Kerja</t>
        </is>
      </c>
      <c r="D317" s="44" t="inlineStr">
        <is>
          <t>PROD</t>
        </is>
      </c>
      <c r="E317" s="44" t="inlineStr">
        <is>
          <t>Produksi Borongan</t>
        </is>
      </c>
      <c r="F317" s="44" t="inlineStr">
        <is>
          <t>2025-11-13</t>
        </is>
      </c>
      <c r="G317" s="44" t="inlineStr">
        <is>
          <t>0000132092</t>
        </is>
      </c>
      <c r="H317" s="44" t="inlineStr">
        <is>
          <t xml:space="preserve"> </t>
        </is>
      </c>
      <c r="I317" s="44" t="inlineStr">
        <is>
          <t>-</t>
        </is>
      </c>
      <c r="J317" s="44" t="n"/>
      <c r="K317" s="44" t="n"/>
      <c r="L317" s="44" t="n"/>
      <c r="M317" s="44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44" t="n"/>
      <c r="X317" s="44" t="n"/>
      <c r="Y317" s="44" t="n"/>
    </row>
    <row r="318" ht="15.75" customHeight="1" s="169">
      <c r="A318" s="45" t="n">
        <v>628000145</v>
      </c>
      <c r="B318" s="44" t="inlineStr">
        <is>
          <t>Oktaviyanti Ramadhani</t>
        </is>
      </c>
      <c r="C318" s="44" t="inlineStr">
        <is>
          <t>Mitra Kerja</t>
        </is>
      </c>
      <c r="D318" s="44" t="inlineStr">
        <is>
          <t>PROD</t>
        </is>
      </c>
      <c r="E318" s="44" t="inlineStr">
        <is>
          <t>Produksi Borongan</t>
        </is>
      </c>
      <c r="F318" s="44" t="inlineStr">
        <is>
          <t>2025-11-13</t>
        </is>
      </c>
      <c r="G318" s="44" t="inlineStr">
        <is>
          <t>0000132093</t>
        </is>
      </c>
      <c r="H318" s="44" t="inlineStr">
        <is>
          <t xml:space="preserve"> </t>
        </is>
      </c>
      <c r="I318" s="44" t="inlineStr">
        <is>
          <t>-</t>
        </is>
      </c>
      <c r="J318" s="44" t="n"/>
      <c r="K318" s="44" t="n"/>
      <c r="L318" s="44" t="n"/>
      <c r="M318" s="44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</row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0000"/>
    <outlinePr summaryBelow="0" summaryRight="0"/>
    <pageSetUpPr/>
  </sheetPr>
  <dimension ref="A1:E238"/>
  <sheetViews>
    <sheetView workbookViewId="0">
      <selection activeCell="A1" sqref="A1"/>
    </sheetView>
  </sheetViews>
  <sheetFormatPr baseColWidth="8" defaultColWidth="12.63" defaultRowHeight="15" customHeight="1"/>
  <cols>
    <col width="7" customWidth="1" style="169" min="1" max="1"/>
    <col width="12.63" customWidth="1" style="169" min="2" max="2"/>
    <col width="27.63" customWidth="1" style="169" min="3" max="3"/>
    <col width="17.25" customWidth="1" style="169" min="4" max="4"/>
    <col width="12.63" customWidth="1" style="169" min="5" max="6"/>
  </cols>
  <sheetData>
    <row r="1" ht="15.75" customHeight="1" s="169">
      <c r="A1" s="28">
        <f>IFERROR(__xludf.DUMMYFUNCTION("QUERY(IMPORTRANGE(""https://docs.google.com/spreadsheets/d/1FEoklqOOGVEuHVDC9BVeaIu8tA3fqheZAT3eO9syd2Y/edit?gid=380216187#gid=380216187"", ""NON AKTIF!A:AN""), ""SELECT Col1,Col2,Col3,Col23,Col24"")"),"#REF!")</f>
        <v/>
      </c>
      <c r="B1" s="28" t="n"/>
      <c r="C1" s="28" t="n"/>
      <c r="D1" s="28" t="n"/>
      <c r="E1" s="172" t="n"/>
    </row>
    <row r="2" ht="15.75" customHeight="1" s="169">
      <c r="A2" s="28" t="n"/>
      <c r="B2" s="31" t="n"/>
      <c r="C2" s="28" t="n"/>
      <c r="D2" s="28" t="n"/>
      <c r="E2" s="175" t="n"/>
    </row>
    <row r="3" ht="15.75" customHeight="1" s="169">
      <c r="A3" s="28" t="n"/>
      <c r="B3" s="31" t="n"/>
      <c r="C3" s="28" t="n"/>
      <c r="D3" s="28" t="n"/>
      <c r="E3" s="175" t="n"/>
    </row>
    <row r="4" ht="15.75" customHeight="1" s="169">
      <c r="A4" s="28" t="n"/>
      <c r="B4" s="31" t="n"/>
      <c r="C4" s="28" t="n"/>
      <c r="D4" s="28" t="n"/>
      <c r="E4" s="175" t="n"/>
    </row>
    <row r="5" ht="15.75" customHeight="1" s="169">
      <c r="A5" s="28" t="n"/>
      <c r="B5" s="31" t="n"/>
      <c r="C5" s="28" t="n"/>
      <c r="D5" s="28" t="n"/>
      <c r="E5" s="175" t="n"/>
    </row>
    <row r="6" ht="15.75" customHeight="1" s="169">
      <c r="A6" s="28" t="n"/>
      <c r="B6" s="31" t="n"/>
      <c r="C6" s="28" t="n"/>
      <c r="D6" s="28" t="n"/>
      <c r="E6" s="175" t="n"/>
    </row>
    <row r="7" ht="15.75" customHeight="1" s="169">
      <c r="A7" s="28" t="n"/>
      <c r="B7" s="31" t="n"/>
      <c r="C7" s="28" t="n"/>
      <c r="D7" s="28" t="n"/>
      <c r="E7" s="175" t="n"/>
    </row>
    <row r="8" ht="15.75" customHeight="1" s="169">
      <c r="A8" s="28" t="n"/>
      <c r="B8" s="31" t="n"/>
      <c r="C8" s="28" t="n"/>
      <c r="D8" s="28" t="n"/>
      <c r="E8" s="175" t="n"/>
    </row>
    <row r="9" hidden="1" ht="15.75" customHeight="1" s="169">
      <c r="A9" s="28" t="n"/>
      <c r="B9" s="31" t="n"/>
      <c r="C9" s="28" t="n"/>
      <c r="D9" s="28" t="n"/>
      <c r="E9" s="175" t="n"/>
    </row>
    <row r="10" hidden="1" ht="15.75" customHeight="1" s="169">
      <c r="A10" s="28" t="n"/>
      <c r="B10" s="31" t="n"/>
      <c r="C10" s="28" t="n"/>
      <c r="D10" s="28" t="n"/>
      <c r="E10" s="175" t="n"/>
    </row>
    <row r="11" ht="15.75" customHeight="1" s="169">
      <c r="A11" s="28" t="n"/>
      <c r="B11" s="31" t="n"/>
      <c r="C11" s="28" t="n"/>
      <c r="D11" s="28" t="n"/>
      <c r="E11" s="175" t="n"/>
    </row>
    <row r="12" ht="15.75" customHeight="1" s="169">
      <c r="A12" s="28" t="n"/>
      <c r="B12" s="31" t="n"/>
      <c r="C12" s="28" t="n"/>
      <c r="D12" s="28" t="n"/>
      <c r="E12" s="175" t="n"/>
    </row>
    <row r="13" ht="15.75" customHeight="1" s="169">
      <c r="A13" s="28" t="n"/>
      <c r="B13" s="31" t="n"/>
      <c r="C13" s="28" t="n"/>
      <c r="D13" s="28" t="n"/>
      <c r="E13" s="175" t="n"/>
    </row>
    <row r="14" ht="15.75" customHeight="1" s="169">
      <c r="A14" s="28" t="n"/>
      <c r="B14" s="31" t="n"/>
      <c r="C14" s="28" t="n"/>
      <c r="D14" s="28" t="n"/>
      <c r="E14" s="175" t="n"/>
    </row>
    <row r="15" ht="15.75" customHeight="1" s="169">
      <c r="A15" s="28" t="n"/>
      <c r="B15" s="31" t="n"/>
      <c r="C15" s="28" t="n"/>
      <c r="D15" s="28" t="n"/>
      <c r="E15" s="175" t="n"/>
    </row>
    <row r="16" ht="15.75" customHeight="1" s="169">
      <c r="A16" s="28" t="n"/>
      <c r="B16" s="31" t="n"/>
      <c r="C16" s="28" t="n"/>
      <c r="D16" s="28" t="n"/>
      <c r="E16" s="175" t="n"/>
    </row>
    <row r="17" ht="15.75" customHeight="1" s="169">
      <c r="A17" s="28" t="n"/>
      <c r="B17" s="31" t="n"/>
      <c r="C17" s="28" t="n"/>
      <c r="D17" s="28" t="n"/>
      <c r="E17" s="175" t="n"/>
    </row>
    <row r="18" hidden="1" ht="15.75" customHeight="1" s="169">
      <c r="A18" s="28" t="n"/>
      <c r="B18" s="31" t="n"/>
      <c r="C18" s="28" t="n"/>
      <c r="D18" s="28" t="n"/>
      <c r="E18" s="175" t="n"/>
    </row>
    <row r="19" hidden="1" ht="15.75" customHeight="1" s="169">
      <c r="A19" s="28" t="n"/>
      <c r="B19" s="31" t="n"/>
      <c r="C19" s="28" t="n"/>
      <c r="D19" s="28" t="n"/>
      <c r="E19" s="175" t="n"/>
    </row>
    <row r="20" ht="15.75" customHeight="1" s="169">
      <c r="A20" s="28" t="n"/>
      <c r="B20" s="31" t="n"/>
      <c r="C20" s="28" t="n"/>
      <c r="D20" s="28" t="n"/>
      <c r="E20" s="175" t="n"/>
    </row>
    <row r="21" ht="15.75" customHeight="1" s="169">
      <c r="A21" s="28" t="n"/>
      <c r="B21" s="31" t="n"/>
      <c r="C21" s="28" t="n"/>
      <c r="D21" s="28" t="n"/>
      <c r="E21" s="175" t="n"/>
    </row>
    <row r="22" ht="15.75" customHeight="1" s="169">
      <c r="A22" s="28" t="n"/>
      <c r="B22" s="31" t="n"/>
      <c r="C22" s="28" t="n"/>
      <c r="D22" s="28" t="n"/>
      <c r="E22" s="175" t="n"/>
    </row>
    <row r="23" ht="15.75" customHeight="1" s="169">
      <c r="A23" s="28" t="n"/>
      <c r="B23" s="31" t="n"/>
      <c r="C23" s="28" t="n"/>
      <c r="D23" s="28" t="n"/>
      <c r="E23" s="175" t="n"/>
    </row>
    <row r="24" hidden="1" ht="15.75" customHeight="1" s="169">
      <c r="A24" s="28" t="n"/>
      <c r="B24" s="31" t="n"/>
      <c r="C24" s="28" t="n"/>
      <c r="D24" s="28" t="n"/>
      <c r="E24" s="175" t="n"/>
    </row>
    <row r="25" ht="15.75" customHeight="1" s="169">
      <c r="A25" s="28" t="n"/>
      <c r="B25" s="31" t="n"/>
      <c r="C25" s="28" t="n"/>
      <c r="D25" s="28" t="n"/>
      <c r="E25" s="175" t="n"/>
    </row>
    <row r="26" ht="15.75" customHeight="1" s="169">
      <c r="A26" s="28" t="n"/>
      <c r="B26" s="31" t="n"/>
      <c r="C26" s="28" t="n"/>
      <c r="D26" s="28" t="n"/>
      <c r="E26" s="175" t="n"/>
    </row>
    <row r="27" ht="15.75" customHeight="1" s="169">
      <c r="A27" s="28" t="n"/>
      <c r="B27" s="31" t="n"/>
      <c r="C27" s="28" t="n"/>
      <c r="D27" s="28" t="n"/>
      <c r="E27" s="175" t="n"/>
    </row>
    <row r="28" ht="15.75" customHeight="1" s="169">
      <c r="A28" s="28" t="n"/>
      <c r="B28" s="31" t="n"/>
      <c r="C28" s="28" t="n"/>
      <c r="D28" s="28" t="n"/>
      <c r="E28" s="175" t="n"/>
    </row>
    <row r="29" ht="15.75" customHeight="1" s="169">
      <c r="A29" s="28" t="n"/>
      <c r="B29" s="31" t="n"/>
      <c r="C29" s="28" t="n"/>
      <c r="D29" s="28" t="n"/>
      <c r="E29" s="175" t="n"/>
    </row>
    <row r="30" ht="15.75" customHeight="1" s="169">
      <c r="A30" s="28" t="n"/>
      <c r="B30" s="31" t="n"/>
      <c r="C30" s="28" t="n"/>
      <c r="D30" s="28" t="n"/>
      <c r="E30" s="175" t="n"/>
    </row>
    <row r="31" ht="15.75" customHeight="1" s="169">
      <c r="A31" s="28" t="n"/>
      <c r="B31" s="31" t="n"/>
      <c r="C31" s="28" t="n"/>
      <c r="D31" s="28" t="n"/>
      <c r="E31" s="175" t="n"/>
    </row>
    <row r="32" ht="15.75" customHeight="1" s="169">
      <c r="A32" s="28" t="n"/>
      <c r="B32" s="31" t="n"/>
      <c r="C32" s="28" t="n"/>
      <c r="D32" s="28" t="n"/>
      <c r="E32" s="175" t="n"/>
    </row>
    <row r="33" ht="15.75" customHeight="1" s="169">
      <c r="A33" s="28" t="n"/>
      <c r="B33" s="31" t="n"/>
      <c r="C33" s="28" t="n"/>
      <c r="D33" s="28" t="n"/>
      <c r="E33" s="175" t="n"/>
    </row>
    <row r="34" ht="15.75" customHeight="1" s="169">
      <c r="A34" s="22" t="n"/>
      <c r="B34" s="39" t="n"/>
      <c r="C34" s="22" t="n"/>
      <c r="D34" s="22" t="n"/>
      <c r="E34" s="176" t="n"/>
    </row>
    <row r="35" ht="15.75" customHeight="1" s="169">
      <c r="A35" s="22" t="n"/>
      <c r="B35" s="39" t="n"/>
      <c r="C35" s="22" t="n"/>
      <c r="D35" s="22" t="n"/>
      <c r="E35" s="176" t="n"/>
    </row>
    <row r="36" ht="15.75" customHeight="1" s="169">
      <c r="A36" s="22" t="n"/>
      <c r="B36" s="39" t="n"/>
      <c r="C36" s="22" t="n"/>
      <c r="D36" s="22" t="n"/>
      <c r="E36" s="176" t="n"/>
    </row>
    <row r="37" ht="15.75" customHeight="1" s="169">
      <c r="A37" s="22" t="n"/>
      <c r="B37" s="39" t="n"/>
      <c r="C37" s="22" t="n"/>
      <c r="D37" s="22" t="n"/>
      <c r="E37" s="176" t="n"/>
    </row>
    <row r="38" ht="15.75" customHeight="1" s="169">
      <c r="A38" s="22" t="n"/>
      <c r="B38" s="39" t="n"/>
      <c r="C38" s="22" t="n"/>
      <c r="D38" s="22" t="n"/>
      <c r="E38" s="176" t="n"/>
    </row>
    <row r="39" ht="15.75" customHeight="1" s="169">
      <c r="A39" s="22" t="n"/>
      <c r="B39" s="39" t="n"/>
      <c r="C39" s="22" t="n"/>
      <c r="D39" s="22" t="n"/>
      <c r="E39" s="176" t="n"/>
    </row>
    <row r="40" ht="15.75" customHeight="1" s="169">
      <c r="A40" s="22" t="n"/>
      <c r="B40" s="39" t="n"/>
      <c r="C40" s="22" t="n"/>
      <c r="D40" s="22" t="n"/>
      <c r="E40" s="176" t="n"/>
    </row>
    <row r="41" ht="15.75" customHeight="1" s="169">
      <c r="A41" s="22" t="n"/>
      <c r="B41" s="39" t="n"/>
      <c r="C41" s="22" t="n"/>
      <c r="D41" s="22" t="n"/>
      <c r="E41" s="176" t="n"/>
    </row>
    <row r="42" ht="15.75" customHeight="1" s="169">
      <c r="A42" s="22" t="n"/>
      <c r="B42" s="39" t="n"/>
      <c r="C42" s="22" t="n"/>
      <c r="D42" s="22" t="n"/>
      <c r="E42" s="176" t="n"/>
    </row>
    <row r="43" ht="15.75" customHeight="1" s="169">
      <c r="A43" s="22" t="n"/>
      <c r="B43" s="39" t="n"/>
      <c r="C43" s="22" t="n"/>
      <c r="D43" s="22" t="n"/>
      <c r="E43" s="176" t="n"/>
    </row>
    <row r="44" ht="15.75" customHeight="1" s="169">
      <c r="A44" s="22" t="n"/>
      <c r="B44" s="39" t="n"/>
      <c r="C44" s="22" t="n"/>
      <c r="D44" s="22" t="n"/>
      <c r="E44" s="176" t="n"/>
    </row>
    <row r="45" ht="15.75" customHeight="1" s="169">
      <c r="A45" s="22" t="n"/>
      <c r="B45" s="39" t="n"/>
      <c r="C45" s="22" t="n"/>
      <c r="D45" s="22" t="n"/>
      <c r="E45" s="176" t="n"/>
    </row>
    <row r="46" ht="15.75" customHeight="1" s="169">
      <c r="A46" s="22" t="n"/>
      <c r="B46" s="39" t="n"/>
      <c r="C46" s="22" t="n"/>
      <c r="D46" s="22" t="n"/>
      <c r="E46" s="176" t="n"/>
    </row>
    <row r="47" ht="15.75" customHeight="1" s="169">
      <c r="A47" s="22" t="n"/>
      <c r="B47" s="39" t="n"/>
      <c r="C47" s="22" t="n"/>
      <c r="D47" s="22" t="n"/>
      <c r="E47" s="176" t="n"/>
    </row>
    <row r="48" ht="15.75" customHeight="1" s="169">
      <c r="A48" s="22" t="n"/>
      <c r="B48" s="39" t="n"/>
      <c r="C48" s="22" t="n"/>
      <c r="D48" s="22" t="n"/>
      <c r="E48" s="176" t="n"/>
    </row>
    <row r="49" ht="15.75" customHeight="1" s="169">
      <c r="A49" s="22" t="n"/>
      <c r="B49" s="39" t="n"/>
      <c r="C49" s="22" t="n"/>
      <c r="D49" s="22" t="n"/>
      <c r="E49" s="176" t="n"/>
    </row>
    <row r="50" ht="15.75" customHeight="1" s="169">
      <c r="A50" s="22" t="n"/>
      <c r="B50" s="39" t="n"/>
      <c r="C50" s="22" t="n"/>
      <c r="D50" s="22" t="n"/>
      <c r="E50" s="176" t="n"/>
    </row>
    <row r="51" ht="15.75" customHeight="1" s="169">
      <c r="A51" s="22" t="n"/>
      <c r="B51" s="39" t="n"/>
      <c r="C51" s="22" t="n"/>
      <c r="D51" s="22" t="n"/>
      <c r="E51" s="176" t="n"/>
    </row>
    <row r="52" ht="15.75" customHeight="1" s="169">
      <c r="A52" s="22" t="n"/>
      <c r="B52" s="39" t="n"/>
      <c r="C52" s="22" t="n"/>
      <c r="D52" s="22" t="n"/>
      <c r="E52" s="176" t="n"/>
    </row>
    <row r="53" ht="15.75" customHeight="1" s="169">
      <c r="A53" s="22" t="n"/>
      <c r="B53" s="39" t="n"/>
      <c r="C53" s="22" t="n"/>
      <c r="D53" s="22" t="n"/>
      <c r="E53" s="176" t="n"/>
    </row>
    <row r="54" ht="15.75" customHeight="1" s="169">
      <c r="A54" s="22" t="n"/>
      <c r="B54" s="39" t="n"/>
      <c r="C54" s="22" t="n"/>
      <c r="D54" s="22" t="n"/>
      <c r="E54" s="176" t="n"/>
    </row>
    <row r="55" ht="15.75" customHeight="1" s="169">
      <c r="A55" s="22" t="n"/>
      <c r="B55" s="39" t="n"/>
      <c r="C55" s="22" t="n"/>
      <c r="D55" s="22" t="n"/>
      <c r="E55" s="176" t="n"/>
    </row>
    <row r="56" ht="15.75" customHeight="1" s="169">
      <c r="A56" s="22" t="n"/>
      <c r="B56" s="39" t="n"/>
      <c r="C56" s="22" t="n"/>
      <c r="D56" s="22" t="n"/>
      <c r="E56" s="176" t="n"/>
    </row>
    <row r="57" ht="15.75" customHeight="1" s="169">
      <c r="A57" s="22" t="n"/>
      <c r="B57" s="39" t="n"/>
      <c r="C57" s="22" t="n"/>
      <c r="D57" s="22" t="n"/>
      <c r="E57" s="176" t="n"/>
    </row>
    <row r="58" ht="15.75" customHeight="1" s="169">
      <c r="A58" s="22" t="n"/>
      <c r="B58" s="39" t="n"/>
      <c r="C58" s="22" t="n"/>
      <c r="D58" s="22" t="n"/>
      <c r="E58" s="176" t="n"/>
    </row>
    <row r="59" ht="15.75" customHeight="1" s="169">
      <c r="A59" s="22" t="n"/>
      <c r="B59" s="39" t="n"/>
      <c r="C59" s="22" t="n"/>
      <c r="D59" s="22" t="n"/>
      <c r="E59" s="176" t="n"/>
    </row>
    <row r="60" ht="15.75" customHeight="1" s="169">
      <c r="A60" s="22" t="n"/>
      <c r="B60" s="39" t="n"/>
      <c r="C60" s="22" t="n"/>
      <c r="D60" s="22" t="n"/>
      <c r="E60" s="176" t="n"/>
    </row>
    <row r="61" ht="15.75" customHeight="1" s="169">
      <c r="A61" s="22" t="n"/>
      <c r="B61" s="39" t="n"/>
      <c r="C61" s="22" t="n"/>
      <c r="D61" s="22" t="n"/>
      <c r="E61" s="176" t="n"/>
    </row>
    <row r="62" ht="15.75" customHeight="1" s="169">
      <c r="A62" s="22" t="n"/>
      <c r="B62" s="39" t="n"/>
      <c r="C62" s="22" t="n"/>
      <c r="D62" s="22" t="n"/>
      <c r="E62" s="176" t="n"/>
    </row>
    <row r="63" ht="15.75" customHeight="1" s="169">
      <c r="A63" s="22" t="n"/>
      <c r="B63" s="39" t="n"/>
      <c r="C63" s="22" t="n"/>
      <c r="D63" s="22" t="n"/>
      <c r="E63" s="176" t="n"/>
    </row>
    <row r="64" ht="15.75" customHeight="1" s="169">
      <c r="A64" s="22" t="n"/>
      <c r="B64" s="39" t="n"/>
      <c r="C64" s="22" t="n"/>
      <c r="D64" s="22" t="n"/>
      <c r="E64" s="176" t="n"/>
    </row>
    <row r="65" ht="15.75" customHeight="1" s="169">
      <c r="A65" s="22" t="n"/>
      <c r="B65" s="39" t="n"/>
      <c r="C65" s="22" t="n"/>
      <c r="D65" s="22" t="n"/>
      <c r="E65" s="176" t="n"/>
    </row>
    <row r="66" ht="15.75" customHeight="1" s="169">
      <c r="A66" s="22" t="n"/>
      <c r="B66" s="39" t="n"/>
      <c r="C66" s="22" t="n"/>
      <c r="D66" s="22" t="n"/>
      <c r="E66" s="176" t="n"/>
    </row>
    <row r="67" ht="15.75" customHeight="1" s="169">
      <c r="A67" s="22" t="n"/>
      <c r="B67" s="39" t="n"/>
      <c r="C67" s="22" t="n"/>
      <c r="D67" s="22" t="n"/>
      <c r="E67" s="176" t="n"/>
    </row>
    <row r="68" ht="15.75" customHeight="1" s="169">
      <c r="A68" s="22" t="n"/>
      <c r="B68" s="39" t="n"/>
      <c r="C68" s="22" t="n"/>
      <c r="D68" s="22" t="n"/>
      <c r="E68" s="176" t="n"/>
    </row>
    <row r="69" ht="15.75" customHeight="1" s="169">
      <c r="A69" s="22" t="n"/>
      <c r="B69" s="39" t="n"/>
      <c r="C69" s="22" t="n"/>
      <c r="D69" s="22" t="n"/>
      <c r="E69" s="176" t="n"/>
    </row>
    <row r="70" ht="15.75" customHeight="1" s="169">
      <c r="A70" s="22" t="n"/>
      <c r="B70" s="39" t="n"/>
      <c r="C70" s="22" t="n"/>
      <c r="D70" s="22" t="n"/>
      <c r="E70" s="176" t="n"/>
    </row>
    <row r="71" ht="15.75" customHeight="1" s="169">
      <c r="A71" s="22" t="n"/>
      <c r="B71" s="39" t="n"/>
      <c r="C71" s="22" t="n"/>
      <c r="D71" s="22" t="n"/>
      <c r="E71" s="176" t="n"/>
    </row>
    <row r="72" ht="15.75" customHeight="1" s="169">
      <c r="A72" s="22" t="n"/>
      <c r="B72" s="39" t="n"/>
      <c r="C72" s="22" t="n"/>
      <c r="D72" s="22" t="n"/>
      <c r="E72" s="176" t="n"/>
    </row>
    <row r="73" ht="15.75" customHeight="1" s="169">
      <c r="A73" s="22" t="n"/>
      <c r="B73" s="39" t="n"/>
      <c r="C73" s="22" t="n"/>
      <c r="D73" s="22" t="n"/>
      <c r="E73" s="176" t="n"/>
    </row>
    <row r="74" ht="15.75" customHeight="1" s="169">
      <c r="A74" s="22" t="n"/>
      <c r="B74" s="39" t="n"/>
      <c r="C74" s="22" t="n"/>
      <c r="D74" s="22" t="n"/>
      <c r="E74" s="176" t="n"/>
    </row>
    <row r="75" ht="15.75" customHeight="1" s="169">
      <c r="A75" s="22" t="n"/>
      <c r="B75" s="39" t="n"/>
      <c r="C75" s="22" t="n"/>
      <c r="D75" s="22" t="n"/>
      <c r="E75" s="176" t="n"/>
    </row>
    <row r="76" ht="15.75" customHeight="1" s="169">
      <c r="A76" s="22" t="n"/>
      <c r="B76" s="39" t="n"/>
      <c r="C76" s="22" t="n"/>
      <c r="D76" s="22" t="n"/>
      <c r="E76" s="176" t="n"/>
    </row>
    <row r="77" ht="15.75" customHeight="1" s="169">
      <c r="A77" s="22" t="n"/>
      <c r="B77" s="39" t="n"/>
      <c r="C77" s="22" t="n"/>
      <c r="D77" s="22" t="n"/>
      <c r="E77" s="176" t="n"/>
    </row>
    <row r="78" ht="15.75" customHeight="1" s="169">
      <c r="A78" s="22" t="n"/>
      <c r="B78" s="39" t="n"/>
      <c r="C78" s="22" t="n"/>
      <c r="D78" s="22" t="n"/>
      <c r="E78" s="176" t="n"/>
    </row>
    <row r="79" ht="15.75" customHeight="1" s="169">
      <c r="A79" s="22" t="n"/>
      <c r="B79" s="39" t="n"/>
      <c r="C79" s="22" t="n"/>
      <c r="D79" s="22" t="n"/>
      <c r="E79" s="176" t="n"/>
    </row>
    <row r="80" ht="15.75" customHeight="1" s="169">
      <c r="A80" s="22" t="n"/>
      <c r="B80" s="39" t="n"/>
      <c r="C80" s="22" t="n"/>
      <c r="D80" s="22" t="n"/>
      <c r="E80" s="176" t="n"/>
    </row>
    <row r="81" ht="15.75" customHeight="1" s="169">
      <c r="A81" s="22" t="n"/>
      <c r="B81" s="39" t="n"/>
      <c r="C81" s="22" t="n"/>
      <c r="D81" s="22" t="n"/>
      <c r="E81" s="176" t="n"/>
    </row>
    <row r="82" ht="15.75" customHeight="1" s="169">
      <c r="A82" s="22" t="n"/>
      <c r="B82" s="39" t="n"/>
      <c r="C82" s="22" t="n"/>
      <c r="D82" s="22" t="n"/>
      <c r="E82" s="176" t="n"/>
    </row>
    <row r="83" ht="15.75" customHeight="1" s="169">
      <c r="A83" s="22" t="n"/>
      <c r="B83" s="39" t="n"/>
      <c r="C83" s="22" t="n"/>
      <c r="D83" s="22" t="n"/>
      <c r="E83" s="176" t="n"/>
    </row>
    <row r="84" ht="15.75" customHeight="1" s="169">
      <c r="A84" s="22" t="n"/>
      <c r="B84" s="39" t="n"/>
      <c r="C84" s="22" t="n"/>
      <c r="D84" s="22" t="n"/>
      <c r="E84" s="176" t="n"/>
    </row>
    <row r="85" ht="15.75" customHeight="1" s="169">
      <c r="A85" s="22" t="n"/>
      <c r="B85" s="39" t="n"/>
      <c r="C85" s="22" t="n"/>
      <c r="D85" s="22" t="n"/>
      <c r="E85" s="176" t="n"/>
    </row>
    <row r="86" ht="15.75" customHeight="1" s="169">
      <c r="A86" s="22" t="n"/>
      <c r="B86" s="39" t="n"/>
      <c r="C86" s="22" t="n"/>
      <c r="D86" s="22" t="n"/>
      <c r="E86" s="176" t="n"/>
    </row>
    <row r="87" ht="15.75" customHeight="1" s="169">
      <c r="A87" s="22" t="n"/>
      <c r="B87" s="39" t="n"/>
      <c r="C87" s="22" t="n"/>
      <c r="D87" s="22" t="n"/>
      <c r="E87" s="176" t="n"/>
    </row>
    <row r="88" ht="15.75" customHeight="1" s="169">
      <c r="A88" s="22" t="n"/>
      <c r="B88" s="39" t="n"/>
      <c r="C88" s="22" t="n"/>
      <c r="D88" s="22" t="n"/>
      <c r="E88" s="176" t="n"/>
    </row>
    <row r="89" ht="15.75" customHeight="1" s="169">
      <c r="A89" s="22" t="n"/>
      <c r="B89" s="39" t="n"/>
      <c r="C89" s="22" t="n"/>
      <c r="D89" s="22" t="n"/>
      <c r="E89" s="176" t="n"/>
    </row>
    <row r="90" ht="15.75" customHeight="1" s="169">
      <c r="A90" s="22" t="n"/>
      <c r="B90" s="39" t="n"/>
      <c r="C90" s="22" t="n"/>
      <c r="D90" s="22" t="n"/>
      <c r="E90" s="176" t="n"/>
    </row>
    <row r="91" ht="15.75" customHeight="1" s="169">
      <c r="A91" s="22" t="n"/>
      <c r="B91" s="39" t="n"/>
      <c r="C91" s="22" t="n"/>
      <c r="D91" s="22" t="n"/>
      <c r="E91" s="176" t="n"/>
    </row>
    <row r="92" ht="15.75" customHeight="1" s="169">
      <c r="A92" s="22" t="n"/>
      <c r="B92" s="39" t="n"/>
      <c r="C92" s="22" t="n"/>
      <c r="D92" s="22" t="n"/>
      <c r="E92" s="176" t="n"/>
    </row>
    <row r="93" ht="15.75" customHeight="1" s="169">
      <c r="A93" s="22" t="n"/>
      <c r="B93" s="39" t="n"/>
      <c r="C93" s="22" t="n"/>
      <c r="D93" s="22" t="n"/>
      <c r="E93" s="176" t="n"/>
    </row>
    <row r="94" ht="15.75" customHeight="1" s="169">
      <c r="A94" s="22" t="n"/>
      <c r="B94" s="39" t="n"/>
      <c r="C94" s="22" t="n"/>
      <c r="D94" s="22" t="n"/>
      <c r="E94" s="176" t="n"/>
    </row>
    <row r="95" ht="15.75" customHeight="1" s="169">
      <c r="A95" s="22" t="n"/>
      <c r="B95" s="39" t="n"/>
      <c r="C95" s="22" t="n"/>
      <c r="D95" s="22" t="n"/>
      <c r="E95" s="176" t="n"/>
    </row>
    <row r="96" ht="15.75" customHeight="1" s="169">
      <c r="A96" s="22" t="n"/>
      <c r="B96" s="39" t="n"/>
      <c r="C96" s="22" t="n"/>
      <c r="D96" s="22" t="n"/>
      <c r="E96" s="176" t="n"/>
    </row>
    <row r="97" ht="15.75" customHeight="1" s="169">
      <c r="A97" s="22" t="n"/>
      <c r="B97" s="39" t="n"/>
      <c r="C97" s="22" t="n"/>
      <c r="D97" s="22" t="n"/>
      <c r="E97" s="176" t="n"/>
    </row>
    <row r="98" ht="15.75" customHeight="1" s="169">
      <c r="A98" s="22" t="n"/>
      <c r="B98" s="39" t="n"/>
      <c r="C98" s="22" t="n"/>
      <c r="D98" s="22" t="n"/>
      <c r="E98" s="176" t="n"/>
    </row>
    <row r="99" ht="15.75" customHeight="1" s="169">
      <c r="A99" s="22" t="n"/>
      <c r="B99" s="39" t="n"/>
      <c r="C99" s="22" t="n"/>
      <c r="D99" s="22" t="n"/>
      <c r="E99" s="176" t="n"/>
    </row>
    <row r="100" ht="15.75" customHeight="1" s="169">
      <c r="A100" s="22" t="n"/>
      <c r="B100" s="39" t="n"/>
      <c r="C100" s="22" t="n"/>
      <c r="D100" s="22" t="n"/>
      <c r="E100" s="176" t="n"/>
    </row>
    <row r="101" ht="15.75" customHeight="1" s="169">
      <c r="A101" s="22" t="n"/>
      <c r="B101" s="39" t="n"/>
      <c r="C101" s="22" t="n"/>
      <c r="D101" s="22" t="n"/>
      <c r="E101" s="176" t="n"/>
    </row>
    <row r="102" ht="15.75" customHeight="1" s="169">
      <c r="A102" s="22" t="n"/>
      <c r="B102" s="39" t="n"/>
      <c r="C102" s="22" t="n"/>
      <c r="D102" s="22" t="n"/>
      <c r="E102" s="176" t="n"/>
    </row>
    <row r="103" ht="15.75" customHeight="1" s="169">
      <c r="A103" s="22" t="n"/>
      <c r="B103" s="39" t="n"/>
      <c r="C103" s="22" t="n"/>
      <c r="D103" s="22" t="n"/>
      <c r="E103" s="176" t="n"/>
    </row>
    <row r="104" ht="15.75" customHeight="1" s="169">
      <c r="A104" s="22" t="n"/>
      <c r="B104" s="39" t="n"/>
      <c r="C104" s="22" t="n"/>
      <c r="D104" s="22" t="n"/>
      <c r="E104" s="176" t="n"/>
    </row>
    <row r="105" ht="15.75" customHeight="1" s="169">
      <c r="A105" s="22" t="n"/>
      <c r="B105" s="39" t="n"/>
      <c r="C105" s="22" t="n"/>
      <c r="D105" s="22" t="n"/>
      <c r="E105" s="176" t="n"/>
    </row>
    <row r="106" ht="15.75" customHeight="1" s="169">
      <c r="A106" s="22" t="n"/>
      <c r="B106" s="39" t="n"/>
      <c r="C106" s="22" t="n"/>
      <c r="D106" s="22" t="n"/>
      <c r="E106" s="176" t="n"/>
    </row>
    <row r="107" ht="15.75" customHeight="1" s="169">
      <c r="A107" s="22" t="n"/>
      <c r="B107" s="39" t="n"/>
      <c r="C107" s="22" t="n"/>
      <c r="D107" s="22" t="n"/>
      <c r="E107" s="176" t="n"/>
    </row>
    <row r="108" ht="15.75" customHeight="1" s="169">
      <c r="A108" s="22" t="n"/>
      <c r="B108" s="39" t="n"/>
      <c r="C108" s="22" t="n"/>
      <c r="D108" s="22" t="n"/>
      <c r="E108" s="176" t="n"/>
    </row>
    <row r="109" ht="15.75" customHeight="1" s="169">
      <c r="A109" s="22" t="n"/>
      <c r="B109" s="39" t="n"/>
      <c r="C109" s="22" t="n"/>
      <c r="D109" s="22" t="n"/>
      <c r="E109" s="176" t="n"/>
    </row>
    <row r="110" ht="15.75" customHeight="1" s="169">
      <c r="A110" s="22" t="n"/>
      <c r="B110" s="39" t="n"/>
      <c r="C110" s="22" t="n"/>
      <c r="D110" s="22" t="n"/>
      <c r="E110" s="176" t="n"/>
    </row>
    <row r="111" ht="15.75" customHeight="1" s="169">
      <c r="A111" s="22" t="n"/>
      <c r="B111" s="39" t="n"/>
      <c r="C111" s="22" t="n"/>
      <c r="D111" s="22" t="n"/>
      <c r="E111" s="176" t="n"/>
    </row>
    <row r="112" ht="15.75" customHeight="1" s="169">
      <c r="A112" s="22" t="n"/>
      <c r="B112" s="39" t="n"/>
      <c r="C112" s="22" t="n"/>
      <c r="D112" s="22" t="n"/>
      <c r="E112" s="176" t="n"/>
    </row>
    <row r="113" ht="15.75" customHeight="1" s="169">
      <c r="A113" s="22" t="n"/>
      <c r="B113" s="39" t="n"/>
      <c r="C113" s="22" t="n"/>
      <c r="D113" s="22" t="n"/>
      <c r="E113" s="176" t="n"/>
    </row>
    <row r="114" ht="15.75" customHeight="1" s="169">
      <c r="A114" s="22" t="n"/>
      <c r="B114" s="39" t="n"/>
      <c r="C114" s="22" t="n"/>
      <c r="D114" s="22" t="n"/>
      <c r="E114" s="176" t="n"/>
    </row>
    <row r="115" ht="15.75" customHeight="1" s="169">
      <c r="A115" s="22" t="n"/>
      <c r="B115" s="39" t="n"/>
      <c r="C115" s="22" t="n"/>
      <c r="D115" s="22" t="n"/>
      <c r="E115" s="176" t="n"/>
    </row>
    <row r="116" ht="15.75" customHeight="1" s="169">
      <c r="A116" s="22" t="n"/>
      <c r="B116" s="39" t="n"/>
      <c r="C116" s="22" t="n"/>
      <c r="D116" s="22" t="n"/>
      <c r="E116" s="176" t="n"/>
    </row>
    <row r="117" ht="15.75" customHeight="1" s="169">
      <c r="A117" s="22" t="n"/>
      <c r="B117" s="39" t="n"/>
      <c r="C117" s="22" t="n"/>
      <c r="D117" s="22" t="n"/>
      <c r="E117" s="176" t="n"/>
    </row>
    <row r="118" ht="15.75" customHeight="1" s="169">
      <c r="A118" s="22" t="n"/>
      <c r="B118" s="39" t="n"/>
      <c r="C118" s="22" t="n"/>
      <c r="D118" s="22" t="n"/>
      <c r="E118" s="176" t="n"/>
    </row>
    <row r="119" ht="15.75" customHeight="1" s="169">
      <c r="A119" s="22" t="n"/>
      <c r="B119" s="39" t="n"/>
      <c r="C119" s="22" t="n"/>
      <c r="D119" s="22" t="n"/>
      <c r="E119" s="176" t="n"/>
    </row>
    <row r="120" ht="15.75" customHeight="1" s="169">
      <c r="A120" s="22" t="n"/>
      <c r="B120" s="39" t="n"/>
      <c r="C120" s="22" t="n"/>
      <c r="D120" s="22" t="n"/>
      <c r="E120" s="176" t="n"/>
    </row>
    <row r="121" ht="15.75" customHeight="1" s="169">
      <c r="A121" s="22" t="n"/>
      <c r="B121" s="39" t="n"/>
      <c r="C121" s="22" t="n"/>
      <c r="D121" s="22" t="n"/>
      <c r="E121" s="176" t="n"/>
    </row>
    <row r="122" ht="15.75" customHeight="1" s="169">
      <c r="A122" s="22" t="n"/>
      <c r="B122" s="39" t="n"/>
      <c r="C122" s="22" t="n"/>
      <c r="D122" s="22" t="n"/>
      <c r="E122" s="176" t="n"/>
    </row>
    <row r="123" ht="15.75" customHeight="1" s="169">
      <c r="A123" s="22" t="n"/>
      <c r="B123" s="39" t="n"/>
      <c r="C123" s="22" t="n"/>
      <c r="D123" s="22" t="n"/>
      <c r="E123" s="176" t="n"/>
    </row>
    <row r="124" ht="15.75" customHeight="1" s="169">
      <c r="A124" s="22" t="n"/>
      <c r="B124" s="39" t="n"/>
      <c r="C124" s="22" t="n"/>
      <c r="D124" s="22" t="n"/>
      <c r="E124" s="176" t="n"/>
    </row>
    <row r="125" ht="15.75" customHeight="1" s="169">
      <c r="A125" s="22" t="n"/>
      <c r="B125" s="39" t="n"/>
      <c r="C125" s="22" t="n"/>
      <c r="D125" s="22" t="n"/>
      <c r="E125" s="176" t="n"/>
    </row>
    <row r="126" ht="15.75" customHeight="1" s="169">
      <c r="A126" s="22" t="n"/>
      <c r="B126" s="39" t="n"/>
      <c r="C126" s="22" t="n"/>
      <c r="D126" s="22" t="n"/>
      <c r="E126" s="176" t="n"/>
    </row>
    <row r="127" ht="15.75" customHeight="1" s="169">
      <c r="A127" s="22" t="n"/>
      <c r="B127" s="39" t="n"/>
      <c r="C127" s="22" t="n"/>
      <c r="D127" s="22" t="n"/>
      <c r="E127" s="176" t="n"/>
    </row>
    <row r="128" ht="15.75" customHeight="1" s="169">
      <c r="A128" s="22" t="n"/>
      <c r="B128" s="39" t="n"/>
      <c r="C128" s="22" t="n"/>
      <c r="D128" s="22" t="n"/>
      <c r="E128" s="176" t="n"/>
    </row>
    <row r="129" ht="15.75" customHeight="1" s="169">
      <c r="A129" s="22" t="n"/>
      <c r="B129" s="39" t="n"/>
      <c r="C129" s="22" t="n"/>
      <c r="D129" s="22" t="n"/>
      <c r="E129" s="176" t="n"/>
    </row>
    <row r="130" ht="15.75" customHeight="1" s="169">
      <c r="A130" s="22" t="n"/>
      <c r="B130" s="39" t="n"/>
      <c r="C130" s="22" t="n"/>
      <c r="D130" s="22" t="n"/>
      <c r="E130" s="176" t="n"/>
    </row>
    <row r="131" ht="15.75" customHeight="1" s="169">
      <c r="A131" s="22" t="n"/>
      <c r="B131" s="39" t="n"/>
      <c r="C131" s="22" t="n"/>
      <c r="D131" s="22" t="n"/>
      <c r="E131" s="176" t="n"/>
    </row>
    <row r="132" ht="15.75" customHeight="1" s="169">
      <c r="A132" s="22" t="n"/>
      <c r="B132" s="39" t="n"/>
      <c r="C132" s="22" t="n"/>
      <c r="D132" s="22" t="n"/>
      <c r="E132" s="176" t="n"/>
    </row>
    <row r="133" ht="15.75" customHeight="1" s="169">
      <c r="A133" s="22" t="n"/>
      <c r="B133" s="39" t="n"/>
      <c r="C133" s="22" t="n"/>
      <c r="D133" s="22" t="n"/>
      <c r="E133" s="176" t="n"/>
    </row>
    <row r="134" ht="15.75" customHeight="1" s="169">
      <c r="A134" s="22" t="n"/>
      <c r="B134" s="39" t="n"/>
      <c r="C134" s="22" t="n"/>
      <c r="D134" s="22" t="n"/>
      <c r="E134" s="176" t="n"/>
    </row>
    <row r="135" ht="15.75" customHeight="1" s="169">
      <c r="A135" s="22" t="n"/>
      <c r="B135" s="39" t="n"/>
      <c r="C135" s="22" t="n"/>
      <c r="D135" s="22" t="n"/>
      <c r="E135" s="176" t="n"/>
    </row>
    <row r="136" ht="15.75" customHeight="1" s="169">
      <c r="A136" s="22" t="n"/>
      <c r="B136" s="39" t="n"/>
      <c r="C136" s="22" t="n"/>
      <c r="D136" s="22" t="n"/>
      <c r="E136" s="176" t="n"/>
    </row>
    <row r="137" ht="15.75" customHeight="1" s="169">
      <c r="A137" s="22" t="n"/>
      <c r="B137" s="39" t="n"/>
      <c r="C137" s="22" t="n"/>
      <c r="D137" s="22" t="n"/>
      <c r="E137" s="176" t="n"/>
    </row>
    <row r="138" ht="15.75" customHeight="1" s="169">
      <c r="A138" s="22" t="n"/>
      <c r="B138" s="39" t="n"/>
      <c r="C138" s="22" t="n"/>
      <c r="D138" s="22" t="n"/>
      <c r="E138" s="176" t="n"/>
    </row>
    <row r="139" ht="15.75" customHeight="1" s="169">
      <c r="A139" s="22" t="n"/>
      <c r="B139" s="39" t="n"/>
      <c r="C139" s="22" t="n"/>
      <c r="D139" s="22" t="n"/>
      <c r="E139" s="176" t="n"/>
    </row>
    <row r="140" ht="15.75" customHeight="1" s="169">
      <c r="A140" s="22" t="n"/>
      <c r="B140" s="39" t="n"/>
      <c r="C140" s="22" t="n"/>
      <c r="D140" s="22" t="n"/>
      <c r="E140" s="176" t="n"/>
    </row>
    <row r="141" ht="15.75" customHeight="1" s="169">
      <c r="A141" s="22" t="n"/>
      <c r="B141" s="39" t="n"/>
      <c r="C141" s="22" t="n"/>
      <c r="D141" s="22" t="n"/>
      <c r="E141" s="176" t="n"/>
    </row>
    <row r="142" ht="15.75" customHeight="1" s="169">
      <c r="A142" s="22" t="n"/>
      <c r="B142" s="39" t="n"/>
      <c r="C142" s="22" t="n"/>
      <c r="D142" s="22" t="n"/>
      <c r="E142" s="176" t="n"/>
    </row>
    <row r="143" ht="15.75" customHeight="1" s="169">
      <c r="A143" s="22" t="n"/>
      <c r="B143" s="39" t="n"/>
      <c r="C143" s="22" t="n"/>
      <c r="D143" s="22" t="n"/>
      <c r="E143" s="176" t="n"/>
    </row>
    <row r="144" ht="15.75" customHeight="1" s="169">
      <c r="A144" s="22" t="n"/>
      <c r="B144" s="39" t="n"/>
      <c r="C144" s="22" t="n"/>
      <c r="D144" s="22" t="n"/>
      <c r="E144" s="176" t="n"/>
    </row>
    <row r="145" ht="15.75" customHeight="1" s="169">
      <c r="A145" s="22" t="n"/>
      <c r="B145" s="39" t="n"/>
      <c r="C145" s="22" t="n"/>
      <c r="D145" s="22" t="n"/>
      <c r="E145" s="176" t="n"/>
    </row>
    <row r="146" ht="15.75" customHeight="1" s="169">
      <c r="A146" s="22" t="n"/>
      <c r="B146" s="39" t="n"/>
      <c r="C146" s="22" t="n"/>
      <c r="D146" s="22" t="n"/>
      <c r="E146" s="176" t="n"/>
    </row>
    <row r="147" ht="15.75" customHeight="1" s="169">
      <c r="A147" s="22" t="n"/>
      <c r="B147" s="39" t="n"/>
      <c r="C147" s="22" t="n"/>
      <c r="D147" s="22" t="n"/>
      <c r="E147" s="176" t="n"/>
    </row>
    <row r="148" ht="15.75" customHeight="1" s="169">
      <c r="A148" s="22" t="n"/>
      <c r="B148" s="39" t="n"/>
      <c r="C148" s="22" t="n"/>
      <c r="D148" s="22" t="n"/>
      <c r="E148" s="176" t="n"/>
    </row>
    <row r="149" ht="15.75" customHeight="1" s="169">
      <c r="A149" s="22" t="n"/>
      <c r="B149" s="39" t="n"/>
      <c r="C149" s="22" t="n"/>
      <c r="D149" s="22" t="n"/>
      <c r="E149" s="176" t="n"/>
    </row>
    <row r="150" ht="15.75" customHeight="1" s="169">
      <c r="A150" s="22" t="n"/>
      <c r="B150" s="39" t="n"/>
      <c r="C150" s="22" t="n"/>
      <c r="D150" s="22" t="n"/>
      <c r="E150" s="176" t="n"/>
    </row>
    <row r="151" ht="15.75" customHeight="1" s="169">
      <c r="A151" s="22" t="n"/>
      <c r="B151" s="39" t="n"/>
      <c r="C151" s="22" t="n"/>
      <c r="D151" s="22" t="n"/>
      <c r="E151" s="176" t="n"/>
    </row>
    <row r="152" ht="15.75" customHeight="1" s="169">
      <c r="A152" s="22" t="n"/>
      <c r="B152" s="39" t="n"/>
      <c r="C152" s="22" t="n"/>
      <c r="D152" s="22" t="n"/>
      <c r="E152" s="176" t="n"/>
    </row>
    <row r="153" ht="15.75" customHeight="1" s="169">
      <c r="A153" s="22" t="n"/>
      <c r="B153" s="39" t="n"/>
      <c r="C153" s="22" t="n"/>
      <c r="D153" s="22" t="n"/>
      <c r="E153" s="176" t="n"/>
    </row>
    <row r="154" ht="15.75" customHeight="1" s="169">
      <c r="A154" s="22" t="n"/>
      <c r="B154" s="39" t="n"/>
      <c r="C154" s="22" t="n"/>
      <c r="D154" s="22" t="n"/>
      <c r="E154" s="176" t="n"/>
    </row>
    <row r="155" ht="15.75" customHeight="1" s="169">
      <c r="A155" s="22" t="n"/>
      <c r="B155" s="39" t="n"/>
      <c r="C155" s="22" t="n"/>
      <c r="D155" s="22" t="n"/>
      <c r="E155" s="176" t="n"/>
    </row>
    <row r="156" ht="15.75" customHeight="1" s="169">
      <c r="A156" s="22" t="n"/>
      <c r="B156" s="39" t="n"/>
      <c r="C156" s="22" t="n"/>
      <c r="D156" s="22" t="n"/>
      <c r="E156" s="176" t="n"/>
    </row>
    <row r="157" ht="15.75" customHeight="1" s="169">
      <c r="A157" s="22" t="n"/>
      <c r="B157" s="39" t="n"/>
      <c r="C157" s="22" t="n"/>
      <c r="D157" s="22" t="n"/>
      <c r="E157" s="176" t="n"/>
    </row>
    <row r="158" ht="15.75" customHeight="1" s="169">
      <c r="A158" s="22" t="n"/>
      <c r="B158" s="39" t="n"/>
      <c r="C158" s="22" t="n"/>
      <c r="D158" s="22" t="n"/>
      <c r="E158" s="176" t="n"/>
    </row>
    <row r="159" ht="15.75" customHeight="1" s="169">
      <c r="A159" s="22" t="n"/>
      <c r="B159" s="39" t="n"/>
      <c r="C159" s="22" t="n"/>
      <c r="D159" s="22" t="n"/>
      <c r="E159" s="176" t="n"/>
    </row>
    <row r="160" ht="15.75" customHeight="1" s="169">
      <c r="A160" s="22" t="n"/>
      <c r="B160" s="39" t="n"/>
      <c r="C160" s="22" t="n"/>
      <c r="D160" s="22" t="n"/>
      <c r="E160" s="176" t="n"/>
    </row>
    <row r="161" ht="15.75" customHeight="1" s="169">
      <c r="A161" s="22" t="n"/>
      <c r="B161" s="39" t="n"/>
      <c r="C161" s="22" t="n"/>
      <c r="D161" s="22" t="n"/>
      <c r="E161" s="176" t="n"/>
    </row>
    <row r="162" ht="15.75" customHeight="1" s="169">
      <c r="A162" s="22" t="n"/>
      <c r="B162" s="39" t="n"/>
      <c r="C162" s="22" t="n"/>
      <c r="D162" s="22" t="n"/>
      <c r="E162" s="176" t="n"/>
    </row>
    <row r="163" ht="15.75" customHeight="1" s="169">
      <c r="A163" s="22" t="n"/>
      <c r="B163" s="39" t="n"/>
      <c r="C163" s="22" t="n"/>
      <c r="D163" s="22" t="n"/>
      <c r="E163" s="176" t="n"/>
    </row>
    <row r="164" ht="15.75" customHeight="1" s="169">
      <c r="A164" s="22" t="n"/>
      <c r="B164" s="39" t="n"/>
      <c r="C164" s="22" t="n"/>
      <c r="D164" s="22" t="n"/>
      <c r="E164" s="176" t="n"/>
    </row>
    <row r="165" ht="15.75" customHeight="1" s="169">
      <c r="A165" s="22" t="n"/>
      <c r="B165" s="39" t="n"/>
      <c r="C165" s="22" t="n"/>
      <c r="D165" s="22" t="n"/>
      <c r="E165" s="176" t="n"/>
    </row>
    <row r="166" ht="15.75" customHeight="1" s="169">
      <c r="A166" s="22" t="n"/>
      <c r="B166" s="39" t="n"/>
      <c r="C166" s="22" t="n"/>
      <c r="D166" s="22" t="n"/>
      <c r="E166" s="176" t="n"/>
    </row>
    <row r="167" ht="15.75" customHeight="1" s="169">
      <c r="A167" s="22" t="n"/>
      <c r="B167" s="39" t="n"/>
      <c r="C167" s="22" t="n"/>
      <c r="D167" s="22" t="n"/>
      <c r="E167" s="176" t="n"/>
    </row>
    <row r="168" ht="15.75" customHeight="1" s="169">
      <c r="A168" s="22" t="n"/>
      <c r="B168" s="39" t="n"/>
      <c r="C168" s="22" t="n"/>
      <c r="D168" s="22" t="n"/>
      <c r="E168" s="176" t="n"/>
    </row>
    <row r="169" ht="15.75" customHeight="1" s="169">
      <c r="A169" s="22" t="n"/>
      <c r="B169" s="39" t="n"/>
      <c r="C169" s="22" t="n"/>
      <c r="D169" s="22" t="n"/>
      <c r="E169" s="176" t="n"/>
    </row>
    <row r="170" ht="15.75" customHeight="1" s="169">
      <c r="A170" s="22" t="n"/>
      <c r="B170" s="39" t="n"/>
      <c r="C170" s="22" t="n"/>
      <c r="D170" s="22" t="n"/>
      <c r="E170" s="176" t="n"/>
    </row>
    <row r="171" ht="15.75" customHeight="1" s="169">
      <c r="A171" s="22" t="n"/>
      <c r="B171" s="39" t="n"/>
      <c r="C171" s="22" t="n"/>
      <c r="D171" s="22" t="n"/>
      <c r="E171" s="176" t="n"/>
    </row>
    <row r="172" ht="15.75" customHeight="1" s="169">
      <c r="A172" s="22" t="n"/>
      <c r="B172" s="39" t="n"/>
      <c r="C172" s="22" t="n"/>
      <c r="D172" s="22" t="n"/>
      <c r="E172" s="176" t="n"/>
    </row>
    <row r="173" ht="15.75" customHeight="1" s="169">
      <c r="A173" s="22" t="n"/>
      <c r="B173" s="39" t="n"/>
      <c r="C173" s="22" t="n"/>
      <c r="D173" s="22" t="n"/>
      <c r="E173" s="176" t="n"/>
    </row>
    <row r="174" ht="15.75" customHeight="1" s="169">
      <c r="A174" s="22" t="n"/>
      <c r="B174" s="39" t="n"/>
      <c r="C174" s="22" t="n"/>
      <c r="D174" s="22" t="n"/>
      <c r="E174" s="176" t="n"/>
    </row>
    <row r="175" ht="15.75" customHeight="1" s="169">
      <c r="A175" s="22" t="n"/>
      <c r="B175" s="39" t="n"/>
      <c r="C175" s="22" t="n"/>
      <c r="D175" s="22" t="n"/>
      <c r="E175" s="176" t="n"/>
    </row>
    <row r="176" ht="15.75" customHeight="1" s="169">
      <c r="A176" s="22" t="n"/>
      <c r="B176" s="39" t="n"/>
      <c r="C176" s="22" t="n"/>
      <c r="D176" s="22" t="n"/>
      <c r="E176" s="176" t="n"/>
    </row>
    <row r="177" ht="15.75" customHeight="1" s="169">
      <c r="A177" s="22" t="n"/>
      <c r="B177" s="39" t="n"/>
      <c r="C177" s="22" t="n"/>
      <c r="D177" s="22" t="n"/>
      <c r="E177" s="176" t="n"/>
    </row>
    <row r="178" ht="15.75" customHeight="1" s="169">
      <c r="A178" s="22" t="n"/>
      <c r="B178" s="39" t="n"/>
      <c r="C178" s="22" t="n"/>
      <c r="D178" s="22" t="n"/>
      <c r="E178" s="176" t="n"/>
    </row>
    <row r="179" ht="15.75" customHeight="1" s="169">
      <c r="A179" s="22" t="n"/>
      <c r="B179" s="39" t="n"/>
      <c r="C179" s="22" t="n"/>
      <c r="D179" s="22" t="n"/>
      <c r="E179" s="176" t="n"/>
    </row>
    <row r="180" ht="15.75" customHeight="1" s="169">
      <c r="A180" s="22" t="n"/>
      <c r="B180" s="39" t="n"/>
      <c r="C180" s="22" t="n"/>
      <c r="D180" s="22" t="n"/>
      <c r="E180" s="176" t="n"/>
    </row>
    <row r="181" ht="15.75" customHeight="1" s="169">
      <c r="A181" s="22" t="n"/>
      <c r="B181" s="39" t="n"/>
      <c r="C181" s="22" t="n"/>
      <c r="D181" s="22" t="n"/>
      <c r="E181" s="176" t="n"/>
    </row>
    <row r="182" ht="15.75" customHeight="1" s="169">
      <c r="A182" s="22" t="n"/>
      <c r="B182" s="39" t="n"/>
      <c r="C182" s="22" t="n"/>
      <c r="D182" s="22" t="n"/>
      <c r="E182" s="176" t="n"/>
    </row>
    <row r="183" ht="15.75" customHeight="1" s="169">
      <c r="A183" s="22" t="n"/>
      <c r="B183" s="39" t="n"/>
      <c r="C183" s="22" t="n"/>
      <c r="D183" s="22" t="n"/>
      <c r="E183" s="176" t="n"/>
    </row>
    <row r="184" ht="15.75" customHeight="1" s="169">
      <c r="A184" s="22" t="n"/>
      <c r="B184" s="39" t="n"/>
      <c r="C184" s="22" t="n"/>
      <c r="D184" s="22" t="n"/>
      <c r="E184" s="176" t="n"/>
    </row>
    <row r="185" ht="15.75" customHeight="1" s="169">
      <c r="A185" s="22" t="n"/>
      <c r="B185" s="39" t="n"/>
      <c r="C185" s="22" t="n"/>
      <c r="D185" s="22" t="n"/>
      <c r="E185" s="176" t="n"/>
    </row>
    <row r="186" ht="15.75" customHeight="1" s="169">
      <c r="A186" s="22" t="n"/>
      <c r="B186" s="39" t="n"/>
      <c r="C186" s="22" t="n"/>
      <c r="D186" s="22" t="n"/>
      <c r="E186" s="176" t="n"/>
    </row>
    <row r="187" ht="15.75" customHeight="1" s="169">
      <c r="A187" s="22" t="n"/>
      <c r="B187" s="39" t="n"/>
      <c r="C187" s="22" t="n"/>
      <c r="D187" s="22" t="n"/>
      <c r="E187" s="176" t="n"/>
    </row>
    <row r="188" ht="15.75" customHeight="1" s="169">
      <c r="A188" s="22" t="n"/>
      <c r="B188" s="39" t="n"/>
      <c r="C188" s="22" t="n"/>
      <c r="D188" s="22" t="n"/>
      <c r="E188" s="176" t="n"/>
    </row>
    <row r="189" ht="15.75" customHeight="1" s="169">
      <c r="A189" s="22" t="n"/>
      <c r="B189" s="39" t="n"/>
      <c r="C189" s="22" t="n"/>
      <c r="D189" s="22" t="n"/>
      <c r="E189" s="176" t="n"/>
    </row>
    <row r="190" ht="15.75" customHeight="1" s="169">
      <c r="A190" s="22" t="n"/>
      <c r="B190" s="39" t="n"/>
      <c r="C190" s="22" t="n"/>
      <c r="D190" s="22" t="n"/>
      <c r="E190" s="176" t="n"/>
    </row>
    <row r="191" ht="15.75" customHeight="1" s="169">
      <c r="A191" s="22" t="n"/>
      <c r="B191" s="39" t="n"/>
      <c r="C191" s="22" t="n"/>
      <c r="D191" s="22" t="n"/>
      <c r="E191" s="176" t="n"/>
    </row>
    <row r="192" ht="15.75" customHeight="1" s="169">
      <c r="A192" s="22" t="n"/>
      <c r="B192" s="39" t="n"/>
      <c r="C192" s="22" t="n"/>
      <c r="D192" s="22" t="n"/>
      <c r="E192" s="176" t="n"/>
    </row>
    <row r="193" ht="15.75" customHeight="1" s="169">
      <c r="A193" s="22" t="n"/>
      <c r="B193" s="39" t="n"/>
      <c r="C193" s="22" t="n"/>
      <c r="D193" s="22" t="n"/>
      <c r="E193" s="176" t="n"/>
    </row>
    <row r="194" ht="15.75" customHeight="1" s="169">
      <c r="A194" s="22" t="n"/>
      <c r="B194" s="39" t="n"/>
      <c r="C194" s="22" t="n"/>
      <c r="D194" s="22" t="n"/>
      <c r="E194" s="176" t="n"/>
    </row>
    <row r="195" ht="15.75" customHeight="1" s="169">
      <c r="A195" s="22" t="n"/>
      <c r="B195" s="39" t="n"/>
      <c r="C195" s="22" t="n"/>
      <c r="D195" s="22" t="n"/>
      <c r="E195" s="176" t="n"/>
    </row>
    <row r="196" ht="15.75" customHeight="1" s="169">
      <c r="A196" s="22" t="n"/>
      <c r="B196" s="39" t="n"/>
      <c r="C196" s="22" t="n"/>
      <c r="D196" s="22" t="n"/>
      <c r="E196" s="176" t="n"/>
    </row>
    <row r="197" ht="15.75" customHeight="1" s="169">
      <c r="A197" s="22" t="n"/>
      <c r="B197" s="39" t="n"/>
      <c r="C197" s="22" t="n"/>
      <c r="D197" s="22" t="n"/>
      <c r="E197" s="176" t="n"/>
    </row>
    <row r="198" ht="15.75" customHeight="1" s="169">
      <c r="A198" s="22" t="n"/>
      <c r="B198" s="39" t="n"/>
      <c r="C198" s="22" t="n"/>
      <c r="D198" s="22" t="n"/>
      <c r="E198" s="176" t="n"/>
    </row>
    <row r="199" ht="15.75" customHeight="1" s="169">
      <c r="A199" s="22" t="n"/>
      <c r="B199" s="39" t="n"/>
      <c r="C199" s="22" t="n"/>
      <c r="D199" s="22" t="n"/>
      <c r="E199" s="176" t="n"/>
    </row>
    <row r="200" ht="15.75" customHeight="1" s="169">
      <c r="A200" s="22" t="n"/>
      <c r="B200" s="39" t="n"/>
      <c r="C200" s="22" t="n"/>
      <c r="D200" s="22" t="n"/>
      <c r="E200" s="176" t="n"/>
    </row>
    <row r="201" ht="15.75" customHeight="1" s="169">
      <c r="A201" s="22" t="n"/>
      <c r="B201" s="39" t="n"/>
      <c r="C201" s="22" t="n"/>
      <c r="D201" s="22" t="n"/>
      <c r="E201" s="176" t="n"/>
    </row>
    <row r="202" ht="15.75" customHeight="1" s="169">
      <c r="A202" s="22" t="n"/>
      <c r="B202" s="39" t="n"/>
      <c r="C202" s="22" t="n"/>
      <c r="D202" s="22" t="n"/>
      <c r="E202" s="176" t="n"/>
    </row>
    <row r="203" ht="15.75" customHeight="1" s="169">
      <c r="A203" s="22" t="n"/>
      <c r="B203" s="39" t="n"/>
      <c r="C203" s="22" t="n"/>
      <c r="D203" s="22" t="n"/>
      <c r="E203" s="176" t="n"/>
    </row>
    <row r="204" ht="15.75" customHeight="1" s="169">
      <c r="A204" s="22" t="n"/>
      <c r="B204" s="39" t="n"/>
      <c r="C204" s="22" t="n"/>
      <c r="D204" s="22" t="n"/>
      <c r="E204" s="176" t="n"/>
    </row>
    <row r="205" ht="15.75" customHeight="1" s="169">
      <c r="A205" s="22" t="n"/>
      <c r="B205" s="39" t="n"/>
      <c r="C205" s="22" t="n"/>
      <c r="D205" s="22" t="n"/>
      <c r="E205" s="176" t="n"/>
    </row>
    <row r="206" ht="15.75" customHeight="1" s="169">
      <c r="A206" s="22" t="n"/>
      <c r="B206" s="39" t="n"/>
      <c r="C206" s="22" t="n"/>
      <c r="D206" s="22" t="n"/>
      <c r="E206" s="176" t="n"/>
    </row>
    <row r="207" ht="15.75" customHeight="1" s="169">
      <c r="A207" s="22" t="n"/>
      <c r="B207" s="39" t="n"/>
      <c r="C207" s="22" t="n"/>
      <c r="D207" s="22" t="n"/>
      <c r="E207" s="176" t="n"/>
    </row>
    <row r="208" ht="15.75" customHeight="1" s="169">
      <c r="A208" s="22" t="n"/>
      <c r="B208" s="39" t="n"/>
      <c r="C208" s="22" t="n"/>
      <c r="D208" s="22" t="n"/>
      <c r="E208" s="176" t="n"/>
    </row>
    <row r="209" ht="15.75" customHeight="1" s="169">
      <c r="A209" s="22" t="n"/>
      <c r="B209" s="39" t="n"/>
      <c r="C209" s="22" t="n"/>
      <c r="D209" s="22" t="n"/>
      <c r="E209" s="176" t="n"/>
    </row>
    <row r="210" ht="15.75" customHeight="1" s="169">
      <c r="A210" s="22" t="n"/>
      <c r="B210" s="39" t="n"/>
      <c r="C210" s="22" t="n"/>
      <c r="D210" s="22" t="n"/>
      <c r="E210" s="176" t="n"/>
    </row>
    <row r="211" ht="15.75" customHeight="1" s="169">
      <c r="A211" s="22" t="n"/>
      <c r="B211" s="39" t="n"/>
      <c r="C211" s="22" t="n"/>
      <c r="D211" s="22" t="n"/>
      <c r="E211" s="176" t="n"/>
    </row>
    <row r="212" ht="15.75" customHeight="1" s="169">
      <c r="A212" s="22" t="n"/>
      <c r="B212" s="39" t="n"/>
      <c r="C212" s="22" t="n"/>
      <c r="D212" s="22" t="n"/>
      <c r="E212" s="176" t="n"/>
    </row>
    <row r="213" ht="15.75" customHeight="1" s="169">
      <c r="A213" s="22" t="n"/>
      <c r="B213" s="39" t="n"/>
      <c r="C213" s="22" t="n"/>
      <c r="D213" s="22" t="n"/>
      <c r="E213" s="176" t="n"/>
    </row>
    <row r="214" ht="15.75" customHeight="1" s="169">
      <c r="A214" s="22" t="n"/>
      <c r="B214" s="39" t="n"/>
      <c r="C214" s="22" t="n"/>
      <c r="D214" s="22" t="n"/>
      <c r="E214" s="176" t="n"/>
    </row>
    <row r="215" ht="15.75" customHeight="1" s="169">
      <c r="A215" s="22" t="n"/>
      <c r="B215" s="39" t="n"/>
      <c r="C215" s="22" t="n"/>
      <c r="D215" s="22" t="n"/>
      <c r="E215" s="176" t="n"/>
    </row>
    <row r="216" ht="15.75" customHeight="1" s="169">
      <c r="A216" s="22" t="n"/>
      <c r="B216" s="39" t="n"/>
      <c r="C216" s="22" t="n"/>
      <c r="D216" s="22" t="n"/>
      <c r="E216" s="176" t="n"/>
    </row>
    <row r="217" ht="15.75" customHeight="1" s="169">
      <c r="A217" s="22" t="n"/>
      <c r="B217" s="39" t="n"/>
      <c r="C217" s="22" t="n"/>
      <c r="D217" s="22" t="n"/>
      <c r="E217" s="176" t="n"/>
    </row>
    <row r="218" ht="15.75" customHeight="1" s="169">
      <c r="A218" s="22" t="n"/>
      <c r="B218" s="39" t="n"/>
      <c r="C218" s="22" t="n"/>
      <c r="D218" s="22" t="n"/>
      <c r="E218" s="176" t="n"/>
    </row>
    <row r="219" ht="15.75" customHeight="1" s="169">
      <c r="A219" s="22" t="n"/>
      <c r="B219" s="39" t="n"/>
      <c r="C219" s="22" t="n"/>
      <c r="D219" s="22" t="n"/>
      <c r="E219" s="176" t="n"/>
    </row>
    <row r="220" ht="15.75" customHeight="1" s="169">
      <c r="A220" s="22" t="n"/>
      <c r="B220" s="39" t="n"/>
      <c r="C220" s="22" t="n"/>
      <c r="D220" s="22" t="n"/>
      <c r="E220" s="176" t="n"/>
    </row>
    <row r="221" ht="15.75" customHeight="1" s="169">
      <c r="A221" s="22" t="n"/>
      <c r="B221" s="39" t="n"/>
      <c r="C221" s="22" t="n"/>
      <c r="D221" s="22" t="n"/>
      <c r="E221" s="176" t="n"/>
    </row>
    <row r="222" ht="15.75" customHeight="1" s="169">
      <c r="A222" s="22" t="n"/>
      <c r="B222" s="39" t="n"/>
      <c r="C222" s="22" t="n"/>
      <c r="D222" s="22" t="n"/>
      <c r="E222" s="176" t="n"/>
    </row>
    <row r="223" ht="15.75" customHeight="1" s="169">
      <c r="A223" s="22" t="n"/>
      <c r="B223" s="39" t="n"/>
      <c r="C223" s="22" t="n"/>
      <c r="D223" s="22" t="n"/>
      <c r="E223" s="176" t="n"/>
    </row>
    <row r="224" ht="15.75" customHeight="1" s="169">
      <c r="A224" s="22" t="n"/>
      <c r="B224" s="39" t="n"/>
      <c r="C224" s="22" t="n"/>
      <c r="D224" s="22" t="n"/>
      <c r="E224" s="176" t="n"/>
    </row>
    <row r="225" ht="15.75" customHeight="1" s="169">
      <c r="A225" s="22" t="n"/>
      <c r="B225" s="39" t="n"/>
      <c r="C225" s="22" t="n"/>
      <c r="D225" s="22" t="n"/>
      <c r="E225" s="176" t="n"/>
    </row>
    <row r="226" ht="15.75" customHeight="1" s="169">
      <c r="A226" s="22" t="n"/>
      <c r="B226" s="39" t="n"/>
      <c r="C226" s="22" t="n"/>
      <c r="D226" s="22" t="n"/>
      <c r="E226" s="176" t="n"/>
    </row>
    <row r="227" ht="15.75" customHeight="1" s="169">
      <c r="A227" s="22" t="n"/>
      <c r="B227" s="39" t="n"/>
      <c r="C227" s="22" t="n"/>
      <c r="D227" s="22" t="n"/>
      <c r="E227" s="176" t="n"/>
    </row>
    <row r="228" ht="15.75" customHeight="1" s="169">
      <c r="A228" s="22" t="n"/>
      <c r="B228" s="39" t="n"/>
      <c r="C228" s="22" t="n"/>
      <c r="D228" s="22" t="n"/>
      <c r="E228" s="176" t="n"/>
    </row>
    <row r="229" ht="15.75" customHeight="1" s="169">
      <c r="A229" s="22" t="n"/>
      <c r="B229" s="39" t="n"/>
      <c r="C229" s="22" t="n"/>
      <c r="D229" s="22" t="n"/>
      <c r="E229" s="176" t="n"/>
    </row>
    <row r="230" ht="15.75" customHeight="1" s="169">
      <c r="A230" s="22" t="n"/>
      <c r="B230" s="39" t="n"/>
      <c r="C230" s="22" t="n"/>
      <c r="D230" s="22" t="n"/>
      <c r="E230" s="176" t="n"/>
    </row>
    <row r="231" ht="15.75" customHeight="1" s="169">
      <c r="A231" s="22" t="n"/>
      <c r="B231" s="39" t="n"/>
      <c r="C231" s="22" t="n"/>
      <c r="D231" s="22" t="n"/>
      <c r="E231" s="176" t="n"/>
    </row>
    <row r="232" ht="15.75" customHeight="1" s="169">
      <c r="A232" s="22" t="n"/>
      <c r="B232" s="39" t="n"/>
      <c r="C232" s="22" t="n"/>
      <c r="D232" s="22" t="n"/>
      <c r="E232" s="176" t="n"/>
    </row>
    <row r="233" ht="15.75" customHeight="1" s="169">
      <c r="A233" s="22" t="n"/>
      <c r="B233" s="39" t="n"/>
      <c r="C233" s="22" t="n"/>
      <c r="D233" s="22" t="n"/>
      <c r="E233" s="176" t="n"/>
    </row>
    <row r="234" ht="15.75" customHeight="1" s="169">
      <c r="A234" s="22" t="n"/>
      <c r="B234" s="39" t="n"/>
      <c r="C234" s="22" t="n"/>
      <c r="D234" s="22" t="n"/>
      <c r="E234" s="176" t="n"/>
    </row>
    <row r="235" ht="15.75" customHeight="1" s="169">
      <c r="A235" s="22" t="n"/>
      <c r="B235" s="39" t="n"/>
      <c r="C235" s="22" t="n"/>
      <c r="D235" s="22" t="n"/>
      <c r="E235" s="176" t="n"/>
    </row>
    <row r="236" ht="15.75" customHeight="1" s="169">
      <c r="A236" s="22" t="n"/>
      <c r="B236" s="39" t="n"/>
      <c r="C236" s="22" t="n"/>
      <c r="D236" s="22" t="n"/>
      <c r="E236" s="176" t="n"/>
    </row>
    <row r="237" ht="15.75" customHeight="1" s="169">
      <c r="A237" s="22" t="n"/>
      <c r="B237" s="39" t="n"/>
      <c r="C237" s="22" t="n"/>
      <c r="D237" s="22" t="n"/>
      <c r="E237" s="176" t="n"/>
    </row>
    <row r="238" ht="15.75" customHeight="1" s="169">
      <c r="A238" s="22" t="n"/>
      <c r="B238" s="39" t="n"/>
      <c r="C238" s="22" t="n"/>
      <c r="D238" s="22" t="n"/>
      <c r="E238" s="176" t="n"/>
    </row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2364"/>
  <sheetViews>
    <sheetView workbookViewId="0">
      <selection activeCell="A1" sqref="A1"/>
    </sheetView>
  </sheetViews>
  <sheetFormatPr baseColWidth="8" defaultColWidth="12.63" defaultRowHeight="15" customHeight="1"/>
  <cols>
    <col width="15" customWidth="1" style="169" min="1" max="2"/>
    <col width="25.63" customWidth="1" style="169" min="3" max="3"/>
    <col width="15" customWidth="1" style="169" min="4" max="7"/>
  </cols>
  <sheetData>
    <row r="1">
      <c r="A1" s="27" t="inlineStr">
        <is>
          <t>NO KARTU MK</t>
        </is>
      </c>
      <c r="B1" s="27" t="inlineStr">
        <is>
          <t>NIK</t>
        </is>
      </c>
      <c r="C1" s="27" t="inlineStr">
        <is>
          <t>NAMA</t>
        </is>
      </c>
      <c r="D1" s="27" t="inlineStr">
        <is>
          <t>TANGGAL</t>
        </is>
      </c>
      <c r="E1" s="27" t="inlineStr">
        <is>
          <t>JAM KELUAR</t>
        </is>
      </c>
      <c r="F1" s="27" t="inlineStr">
        <is>
          <t>SHIFT</t>
        </is>
      </c>
      <c r="G1" s="27" t="inlineStr">
        <is>
          <t>NO LOKER</t>
        </is>
      </c>
    </row>
    <row r="2">
      <c r="A2" s="27" t="inlineStr">
        <is>
          <t>MK0090</t>
        </is>
      </c>
      <c r="B2" s="27" t="n">
        <v>528000069</v>
      </c>
      <c r="C2" s="27" t="inlineStr">
        <is>
          <t>Jajang Ardiansyah</t>
        </is>
      </c>
      <c r="D2" s="171" t="n">
        <v>46164.41666666666</v>
      </c>
      <c r="E2" s="26" t="n">
        <v>0.43875</v>
      </c>
      <c r="F2" s="27" t="inlineStr">
        <is>
          <t>Shift 1</t>
        </is>
      </c>
      <c r="G2" s="27" t="n"/>
    </row>
    <row r="3">
      <c r="A3" s="27" t="inlineStr">
        <is>
          <t>MK00112</t>
        </is>
      </c>
      <c r="B3" s="27" t="n">
        <v>528000016</v>
      </c>
      <c r="C3" s="27" t="inlineStr">
        <is>
          <t>Randi Apriyanto</t>
        </is>
      </c>
      <c r="D3" s="171" t="n">
        <v>46170.41666666666</v>
      </c>
      <c r="E3" s="26" t="n">
        <v>0.5949421296296297</v>
      </c>
      <c r="F3" s="27" t="inlineStr">
        <is>
          <t>Shift 1</t>
        </is>
      </c>
      <c r="G3" s="27" t="n"/>
    </row>
    <row r="4">
      <c r="A4" s="27" t="inlineStr">
        <is>
          <t>MK00112</t>
        </is>
      </c>
      <c r="B4" s="27" t="n">
        <v>528000059</v>
      </c>
      <c r="C4" s="27" t="inlineStr">
        <is>
          <t>N. Santika Dewi</t>
        </is>
      </c>
      <c r="D4" s="171" t="n">
        <v>46170.41666666666</v>
      </c>
      <c r="E4" s="26" t="n">
        <v>0.6077777777777778</v>
      </c>
      <c r="F4" s="27" t="inlineStr">
        <is>
          <t>Shift 1</t>
        </is>
      </c>
      <c r="G4" s="27" t="n"/>
    </row>
    <row r="5">
      <c r="A5" s="27" t="inlineStr">
        <is>
          <t>MK00126</t>
        </is>
      </c>
      <c r="B5" s="27" t="n">
        <v>528000052</v>
      </c>
      <c r="C5" s="27" t="inlineStr">
        <is>
          <t>Mustopa</t>
        </is>
      </c>
      <c r="D5" s="171" t="n">
        <v>46170.41666666666</v>
      </c>
      <c r="E5" s="26" t="n">
        <v>0.6103587962962963</v>
      </c>
      <c r="F5" s="27" t="inlineStr">
        <is>
          <t>Shift 1</t>
        </is>
      </c>
      <c r="G5" s="27" t="n"/>
    </row>
    <row r="6">
      <c r="A6" s="27" t="inlineStr">
        <is>
          <t>MK00093</t>
        </is>
      </c>
      <c r="B6" s="27" t="n">
        <v>528000090</v>
      </c>
      <c r="C6" s="27" t="inlineStr">
        <is>
          <t>Suganda</t>
        </is>
      </c>
      <c r="D6" s="171" t="n">
        <v>46171.41666666666</v>
      </c>
      <c r="E6" s="26" t="n">
        <v>0.2530092592592593</v>
      </c>
      <c r="F6" s="27" t="inlineStr">
        <is>
          <t>Shift 3</t>
        </is>
      </c>
      <c r="G6" s="27" t="n"/>
    </row>
    <row r="7">
      <c r="A7" s="27" t="inlineStr">
        <is>
          <t>MK00082</t>
        </is>
      </c>
      <c r="B7" s="27" t="n">
        <v>528000241</v>
      </c>
      <c r="C7" s="27" t="inlineStr">
        <is>
          <t>Balia Nurafif Bilah</t>
        </is>
      </c>
      <c r="D7" s="171" t="n">
        <v>46171.41666666666</v>
      </c>
      <c r="E7" s="26" t="n">
        <v>0.2539699074074074</v>
      </c>
      <c r="F7" s="27" t="inlineStr">
        <is>
          <t>Shift 3</t>
        </is>
      </c>
      <c r="G7" s="27" t="n"/>
    </row>
    <row r="8">
      <c r="A8" s="27" t="inlineStr">
        <is>
          <t>MK00136</t>
        </is>
      </c>
      <c r="B8" s="27" t="n">
        <v>528000274</v>
      </c>
      <c r="C8" s="27" t="inlineStr">
        <is>
          <t>Zepri</t>
        </is>
      </c>
      <c r="D8" s="171" t="n">
        <v>46171.41666666666</v>
      </c>
      <c r="E8" s="26" t="n">
        <v>0.2552662037037037</v>
      </c>
      <c r="F8" s="27" t="inlineStr">
        <is>
          <t>Shift 3</t>
        </is>
      </c>
      <c r="G8" s="27" t="n"/>
    </row>
    <row r="9">
      <c r="A9" s="27" t="inlineStr">
        <is>
          <t>MK00085</t>
        </is>
      </c>
      <c r="B9" s="27" t="n">
        <v>528000290</v>
      </c>
      <c r="C9" s="27" t="inlineStr">
        <is>
          <t>Eval Pranata</t>
        </is>
      </c>
      <c r="D9" s="171" t="n">
        <v>46171.41666666666</v>
      </c>
      <c r="E9" s="26" t="n">
        <v>0.2556018518518519</v>
      </c>
      <c r="F9" s="27" t="inlineStr">
        <is>
          <t>Shift 3</t>
        </is>
      </c>
      <c r="G9" s="27" t="n"/>
    </row>
    <row r="10">
      <c r="A10" s="27" t="inlineStr">
        <is>
          <t>MK00116</t>
        </is>
      </c>
      <c r="B10" s="27" t="n">
        <v>528000244</v>
      </c>
      <c r="C10" s="27" t="inlineStr">
        <is>
          <t>Rodian Rifai</t>
        </is>
      </c>
      <c r="D10" s="171" t="n">
        <v>46171.41666666666</v>
      </c>
      <c r="E10" s="26" t="n">
        <v>0.2561689814814815</v>
      </c>
      <c r="F10" s="27" t="inlineStr">
        <is>
          <t>Shift 3</t>
        </is>
      </c>
      <c r="G10" s="27" t="n"/>
    </row>
    <row r="11">
      <c r="A11" s="27" t="inlineStr">
        <is>
          <t>MK00138</t>
        </is>
      </c>
      <c r="B11" s="27" t="n">
        <v>528000273</v>
      </c>
      <c r="C11" s="27" t="inlineStr">
        <is>
          <t>Asep Mulyana</t>
        </is>
      </c>
      <c r="D11" s="171" t="n">
        <v>46171.41666666666</v>
      </c>
      <c r="E11" s="26" t="n">
        <v>0.2566203703703704</v>
      </c>
      <c r="F11" s="27" t="inlineStr">
        <is>
          <t>Shift 3</t>
        </is>
      </c>
      <c r="G11" s="27" t="n"/>
    </row>
    <row r="12">
      <c r="A12" s="27" t="inlineStr">
        <is>
          <t>MK00155</t>
        </is>
      </c>
      <c r="B12" s="27" t="n">
        <v>528000212</v>
      </c>
      <c r="C12" s="27" t="inlineStr">
        <is>
          <t>Rizal Fauzi</t>
        </is>
      </c>
      <c r="D12" s="171" t="n">
        <v>46171.41666666666</v>
      </c>
      <c r="E12" s="26" t="n">
        <v>0.2736226851851852</v>
      </c>
      <c r="F12" s="27" t="inlineStr">
        <is>
          <t>Shift 3</t>
        </is>
      </c>
      <c r="G12" s="27" t="n"/>
    </row>
    <row r="13">
      <c r="A13" s="27" t="inlineStr">
        <is>
          <t>MK00136</t>
        </is>
      </c>
      <c r="B13" s="27" t="n">
        <v>528000351</v>
      </c>
      <c r="C13" s="27" t="inlineStr">
        <is>
          <t>Mulyana</t>
        </is>
      </c>
      <c r="D13" s="171" t="n">
        <v>46171.41666666666</v>
      </c>
      <c r="E13" s="26" t="n">
        <v>0.5458796296296297</v>
      </c>
      <c r="F13" s="27" t="inlineStr">
        <is>
          <t>Shift 1</t>
        </is>
      </c>
      <c r="G13" s="27" t="n"/>
    </row>
    <row r="14">
      <c r="A14" s="27" t="inlineStr">
        <is>
          <t>MK00155</t>
        </is>
      </c>
      <c r="B14" s="27" t="n">
        <v>528000282</v>
      </c>
      <c r="C14" s="27" t="inlineStr">
        <is>
          <t>Defa Desfiana</t>
        </is>
      </c>
      <c r="D14" s="171" t="n">
        <v>46171.41666666666</v>
      </c>
      <c r="E14" s="26" t="n">
        <v>0.5464467592592592</v>
      </c>
      <c r="F14" s="27" t="inlineStr">
        <is>
          <t>Shift 1</t>
        </is>
      </c>
      <c r="G14" s="27" t="n"/>
    </row>
    <row r="15">
      <c r="A15" s="27" t="inlineStr">
        <is>
          <t>MK00085</t>
        </is>
      </c>
      <c r="B15" s="27" t="n">
        <v>528000265</v>
      </c>
      <c r="C15" s="27" t="inlineStr">
        <is>
          <t>Muhammad Haerul Rozikin</t>
        </is>
      </c>
      <c r="D15" s="171" t="n">
        <v>46171.41666666666</v>
      </c>
      <c r="E15" s="26" t="n">
        <v>0.5468287037037037</v>
      </c>
      <c r="F15" s="27" t="inlineStr">
        <is>
          <t>Shift 1</t>
        </is>
      </c>
      <c r="G15" s="27" t="n"/>
    </row>
    <row r="16">
      <c r="A16" s="27" t="inlineStr">
        <is>
          <t>MK00141</t>
        </is>
      </c>
      <c r="B16" s="27" t="n">
        <v>528000098</v>
      </c>
      <c r="C16" s="27" t="inlineStr">
        <is>
          <t>Edi Junaedi</t>
        </is>
      </c>
      <c r="D16" s="171" t="n">
        <v>46171.41666666666</v>
      </c>
      <c r="E16" s="26" t="n">
        <v>0.589224537037037</v>
      </c>
      <c r="F16" s="27" t="inlineStr">
        <is>
          <t>Shift 1</t>
        </is>
      </c>
      <c r="G16" s="27" t="n"/>
    </row>
    <row r="17">
      <c r="A17" s="27" t="inlineStr">
        <is>
          <t>MK00158</t>
        </is>
      </c>
      <c r="B17" s="27" t="n">
        <v>528000299</v>
      </c>
      <c r="C17" s="27" t="inlineStr">
        <is>
          <t>Siti Nurjanah</t>
        </is>
      </c>
      <c r="D17" s="171" t="n">
        <v>46171.41666666666</v>
      </c>
      <c r="E17" s="26" t="n">
        <v>0.5908101851851851</v>
      </c>
      <c r="F17" s="27" t="inlineStr">
        <is>
          <t>Shift 1</t>
        </is>
      </c>
      <c r="G17" s="27" t="n"/>
    </row>
    <row r="18">
      <c r="A18" s="27" t="inlineStr">
        <is>
          <t>MK00145</t>
        </is>
      </c>
      <c r="B18" s="27" t="n">
        <v>528000302</v>
      </c>
      <c r="C18" s="27" t="inlineStr">
        <is>
          <t>Henkey gumilar</t>
        </is>
      </c>
      <c r="D18" s="171" t="n">
        <v>46171.41666666666</v>
      </c>
      <c r="E18" s="26" t="n">
        <v>0.592025462962963</v>
      </c>
      <c r="F18" s="27" t="inlineStr">
        <is>
          <t>Shift 1</t>
        </is>
      </c>
      <c r="G18" s="27" t="n"/>
    </row>
    <row r="19">
      <c r="A19" s="27" t="inlineStr">
        <is>
          <t>MK00150</t>
        </is>
      </c>
      <c r="B19" s="27" t="n">
        <v>628000091</v>
      </c>
      <c r="C19" s="27" t="inlineStr">
        <is>
          <t>Devita Handayani</t>
        </is>
      </c>
      <c r="D19" s="171" t="n">
        <v>46171.41666666666</v>
      </c>
      <c r="E19" s="26" t="n">
        <v>0.5928125</v>
      </c>
      <c r="F19" s="27" t="inlineStr">
        <is>
          <t>Shift 1</t>
        </is>
      </c>
      <c r="G19" s="27" t="n"/>
    </row>
    <row r="20">
      <c r="A20" s="27" t="inlineStr">
        <is>
          <t>MK00151</t>
        </is>
      </c>
      <c r="B20" s="27" t="n">
        <v>628000061</v>
      </c>
      <c r="C20" s="27" t="inlineStr">
        <is>
          <t>Nayla Fadillah Exwantoro</t>
        </is>
      </c>
      <c r="D20" s="171" t="n">
        <v>46171.41666666666</v>
      </c>
      <c r="E20" s="26" t="n">
        <v>0.5939351851851852</v>
      </c>
      <c r="F20" s="27" t="inlineStr">
        <is>
          <t>Shift 1</t>
        </is>
      </c>
      <c r="G20" s="27" t="n"/>
    </row>
    <row r="21">
      <c r="A21" s="27" t="inlineStr">
        <is>
          <t>MK00181</t>
        </is>
      </c>
      <c r="B21" s="27" t="n">
        <v>528000286</v>
      </c>
      <c r="C21" s="27" t="inlineStr">
        <is>
          <t>Imelda Amelia</t>
        </is>
      </c>
      <c r="D21" s="171" t="n">
        <v>46171.41666666666</v>
      </c>
      <c r="E21" s="26" t="n">
        <v>0.5949189814814815</v>
      </c>
      <c r="F21" s="27" t="inlineStr">
        <is>
          <t>Shift 1</t>
        </is>
      </c>
      <c r="G21" s="27" t="n"/>
    </row>
    <row r="22">
      <c r="A22" s="27" t="inlineStr">
        <is>
          <t>MK00145</t>
        </is>
      </c>
      <c r="B22" s="27" t="n">
        <v>528000302</v>
      </c>
      <c r="C22" s="27" t="inlineStr">
        <is>
          <t>Henkey gumilar</t>
        </is>
      </c>
      <c r="D22" s="171" t="n">
        <v>46171.41666666666</v>
      </c>
      <c r="E22" s="26" t="n">
        <v>0.5989351851851852</v>
      </c>
      <c r="F22" s="27" t="inlineStr">
        <is>
          <t>Shift 1</t>
        </is>
      </c>
      <c r="G22" s="27" t="n"/>
    </row>
    <row r="23">
      <c r="A23" s="27" t="inlineStr">
        <is>
          <t>MK00093</t>
        </is>
      </c>
      <c r="B23" s="27" t="n">
        <v>528000273</v>
      </c>
      <c r="C23" s="27" t="inlineStr">
        <is>
          <t>Asep Mulyana</t>
        </is>
      </c>
      <c r="D23" s="171" t="n">
        <v>46171.41666666666</v>
      </c>
      <c r="E23" s="26" t="n">
        <v>0.8778356481481482</v>
      </c>
      <c r="F23" s="27" t="inlineStr">
        <is>
          <t>Shift 2</t>
        </is>
      </c>
      <c r="G23" s="27" t="n"/>
    </row>
    <row r="24">
      <c r="A24" s="27" t="inlineStr">
        <is>
          <t>MK00085</t>
        </is>
      </c>
      <c r="B24" s="27" t="n">
        <v>528000279</v>
      </c>
      <c r="C24" s="27" t="inlineStr">
        <is>
          <t>Mahdalena Dalfa Riani</t>
        </is>
      </c>
      <c r="D24" s="171" t="n">
        <v>46171.41666666666</v>
      </c>
      <c r="E24" s="26" t="n">
        <v>0.9223263888888888</v>
      </c>
      <c r="F24" s="27" t="inlineStr">
        <is>
          <t>Shift 2</t>
        </is>
      </c>
      <c r="G24" s="27" t="n"/>
    </row>
    <row r="25">
      <c r="A25" s="27" t="inlineStr">
        <is>
          <t>MK00155</t>
        </is>
      </c>
      <c r="B25" s="27" t="n">
        <v>628000064</v>
      </c>
      <c r="C25" s="27" t="inlineStr">
        <is>
          <t>Silva Alypia</t>
        </is>
      </c>
      <c r="D25" s="171" t="n">
        <v>46171.41666666666</v>
      </c>
      <c r="E25" s="26" t="n">
        <v>0.9223611111111111</v>
      </c>
      <c r="F25" s="27" t="inlineStr">
        <is>
          <t>Shift 2</t>
        </is>
      </c>
      <c r="G25" s="27" t="n"/>
    </row>
    <row r="26">
      <c r="A26" s="27" t="inlineStr">
        <is>
          <t>MK00116</t>
        </is>
      </c>
      <c r="B26" s="27" t="n">
        <v>528000306</v>
      </c>
      <c r="C26" s="27" t="inlineStr">
        <is>
          <t>Windy Olivia</t>
        </is>
      </c>
      <c r="D26" s="171" t="n">
        <v>46171.41666666666</v>
      </c>
      <c r="E26" s="26" t="n">
        <v>0.9223958333333333</v>
      </c>
      <c r="F26" s="27" t="inlineStr">
        <is>
          <t>Shift 2</t>
        </is>
      </c>
      <c r="G26" s="27" t="n"/>
    </row>
    <row r="27">
      <c r="A27" s="27" t="inlineStr">
        <is>
          <t>MK00082</t>
        </is>
      </c>
      <c r="B27" s="27" t="n">
        <v>528000297</v>
      </c>
      <c r="C27" s="27" t="inlineStr">
        <is>
          <t>Muhamad Budiana</t>
        </is>
      </c>
      <c r="D27" s="171" t="n">
        <v>46171.41666666666</v>
      </c>
      <c r="E27" s="26" t="n">
        <v>0.9227546296296296</v>
      </c>
      <c r="F27" s="27" t="inlineStr">
        <is>
          <t>Shift 2</t>
        </is>
      </c>
      <c r="G27" s="27" t="n"/>
    </row>
    <row r="28">
      <c r="A28" s="27" t="inlineStr">
        <is>
          <t>MK00141</t>
        </is>
      </c>
      <c r="B28" s="27" t="n">
        <v>528000241</v>
      </c>
      <c r="C28" s="27" t="inlineStr">
        <is>
          <t>Balia Nurafif Bilah</t>
        </is>
      </c>
      <c r="D28" s="171" t="n">
        <v>46172.41666666666</v>
      </c>
      <c r="E28" s="26" t="n">
        <v>0.2537731481481482</v>
      </c>
      <c r="F28" s="27" t="inlineStr">
        <is>
          <t>Shift 3</t>
        </is>
      </c>
      <c r="G28" s="27" t="n"/>
    </row>
    <row r="29">
      <c r="A29" s="27" t="inlineStr">
        <is>
          <t>MK00145</t>
        </is>
      </c>
      <c r="B29" s="27" t="n">
        <v>528000274</v>
      </c>
      <c r="C29" s="27" t="inlineStr">
        <is>
          <t>Zepri</t>
        </is>
      </c>
      <c r="D29" s="171" t="n">
        <v>46172.41666666666</v>
      </c>
      <c r="E29" s="26" t="n">
        <v>0.2545601851851852</v>
      </c>
      <c r="F29" s="27" t="inlineStr">
        <is>
          <t>Shift 3</t>
        </is>
      </c>
      <c r="G29" s="27" t="n"/>
    </row>
    <row r="30">
      <c r="A30" s="27" t="inlineStr">
        <is>
          <t>MK00159</t>
        </is>
      </c>
      <c r="B30" s="27" t="n">
        <v>528000290</v>
      </c>
      <c r="C30" s="27" t="inlineStr">
        <is>
          <t>Eval Pranata</t>
        </is>
      </c>
      <c r="D30" s="171" t="n">
        <v>46172.41666666666</v>
      </c>
      <c r="E30" s="26" t="n">
        <v>0.2548611111111111</v>
      </c>
      <c r="F30" s="27" t="inlineStr">
        <is>
          <t>Shift 3</t>
        </is>
      </c>
      <c r="G30" s="27" t="n"/>
    </row>
    <row r="31">
      <c r="A31" s="27" t="inlineStr">
        <is>
          <t>MK00250</t>
        </is>
      </c>
      <c r="B31" s="27" t="n">
        <v>528000090</v>
      </c>
      <c r="C31" s="27" t="inlineStr">
        <is>
          <t>Suganda</t>
        </is>
      </c>
      <c r="D31" s="171" t="n">
        <v>46172.41666666666</v>
      </c>
      <c r="E31" s="26" t="n">
        <v>0.2558680555555555</v>
      </c>
      <c r="F31" s="27" t="inlineStr">
        <is>
          <t>Shift 3</t>
        </is>
      </c>
      <c r="G31" s="27" t="n"/>
    </row>
    <row r="32">
      <c r="A32" s="27" t="inlineStr">
        <is>
          <t>MK00158</t>
        </is>
      </c>
      <c r="B32" s="27" t="n">
        <v>528000244</v>
      </c>
      <c r="C32" s="27" t="inlineStr">
        <is>
          <t>Rodian Rifai</t>
        </is>
      </c>
      <c r="D32" s="171" t="n">
        <v>46172.41666666666</v>
      </c>
      <c r="E32" s="26" t="n">
        <v>0.2572106481481481</v>
      </c>
      <c r="F32" s="27" t="inlineStr">
        <is>
          <t>Shift 3</t>
        </is>
      </c>
      <c r="G32" s="27" t="n"/>
    </row>
    <row r="33">
      <c r="A33" s="27" t="inlineStr">
        <is>
          <t>MK00181</t>
        </is>
      </c>
      <c r="B33" s="27" t="n">
        <v>528000286</v>
      </c>
      <c r="C33" s="27" t="inlineStr">
        <is>
          <t>Imelda Amelia</t>
        </is>
      </c>
      <c r="D33" s="171" t="n">
        <v>46172.41666666666</v>
      </c>
      <c r="E33" s="26" t="n">
        <v>0.2577777777777778</v>
      </c>
      <c r="F33" s="27" t="inlineStr">
        <is>
          <t>Shift 3</t>
        </is>
      </c>
      <c r="G33" s="27" t="n"/>
    </row>
    <row r="34">
      <c r="A34" s="27" t="inlineStr">
        <is>
          <t>MK00150</t>
        </is>
      </c>
      <c r="B34" s="27" t="n">
        <v>528000212</v>
      </c>
      <c r="C34" s="27" t="inlineStr">
        <is>
          <t>Rizal Fauzi</t>
        </is>
      </c>
      <c r="D34" s="171" t="n">
        <v>46172.41666666666</v>
      </c>
      <c r="E34" s="26" t="n">
        <v>0.283900462962963</v>
      </c>
      <c r="F34" s="27" t="inlineStr">
        <is>
          <t>Shift 3</t>
        </is>
      </c>
      <c r="G34" s="27" t="n"/>
    </row>
    <row r="35">
      <c r="A35" s="27" t="inlineStr">
        <is>
          <t>MK00126</t>
        </is>
      </c>
      <c r="B35" s="27" t="n">
        <v>528000251</v>
      </c>
      <c r="C35" s="27" t="inlineStr">
        <is>
          <t>Salya Nugraha</t>
        </is>
      </c>
      <c r="D35" s="171" t="n">
        <v>46172.41666666666</v>
      </c>
      <c r="E35" s="26" t="n">
        <v>0.5856365740740741</v>
      </c>
      <c r="F35" s="27" t="inlineStr">
        <is>
          <t>Shift 1</t>
        </is>
      </c>
      <c r="G35" s="27" t="n"/>
    </row>
    <row r="36">
      <c r="A36" s="27" t="inlineStr">
        <is>
          <t>MK00154</t>
        </is>
      </c>
      <c r="B36" s="27" t="n">
        <v>528000299</v>
      </c>
      <c r="C36" s="27" t="inlineStr">
        <is>
          <t>Siti Nurjanah</t>
        </is>
      </c>
      <c r="D36" s="171" t="n">
        <v>46172.41666666666</v>
      </c>
      <c r="E36" s="26" t="n">
        <v>0.5866782407407407</v>
      </c>
      <c r="F36" s="27" t="inlineStr">
        <is>
          <t>Shift 1</t>
        </is>
      </c>
      <c r="G36" s="27" t="n"/>
    </row>
    <row r="37">
      <c r="A37" s="27" t="inlineStr">
        <is>
          <t>MK00145</t>
        </is>
      </c>
      <c r="B37" s="27" t="n">
        <v>528000354</v>
      </c>
      <c r="C37" s="27" t="inlineStr">
        <is>
          <t>Dian Rosdianti</t>
        </is>
      </c>
      <c r="D37" s="171" t="n">
        <v>46172.41666666666</v>
      </c>
      <c r="E37" s="26" t="n">
        <v>0.5871180555555555</v>
      </c>
      <c r="F37" s="27" t="inlineStr">
        <is>
          <t>Shift 1</t>
        </is>
      </c>
      <c r="G37" s="27" t="n"/>
    </row>
    <row r="38">
      <c r="A38" s="27" t="inlineStr">
        <is>
          <t>MK00151</t>
        </is>
      </c>
      <c r="B38" s="27" t="n">
        <v>528000270</v>
      </c>
      <c r="C38" s="27" t="inlineStr">
        <is>
          <t>Febri Najmudin</t>
        </is>
      </c>
      <c r="D38" s="171" t="n">
        <v>46172.41666666666</v>
      </c>
      <c r="E38" s="26" t="n">
        <v>0.5872453703703704</v>
      </c>
      <c r="F38" s="27" t="inlineStr">
        <is>
          <t>Shift 1</t>
        </is>
      </c>
      <c r="G38" s="27" t="n"/>
    </row>
    <row r="39">
      <c r="A39" s="27" t="inlineStr">
        <is>
          <t>MK00085</t>
        </is>
      </c>
      <c r="B39" s="27" t="n">
        <v>528000098</v>
      </c>
      <c r="C39" s="27" t="inlineStr">
        <is>
          <t>Edi Junaedi</t>
        </is>
      </c>
      <c r="D39" s="171" t="n">
        <v>46172.41666666666</v>
      </c>
      <c r="E39" s="26" t="n">
        <v>0.5882523148148148</v>
      </c>
      <c r="F39" s="27" t="inlineStr">
        <is>
          <t>Shift 1</t>
        </is>
      </c>
      <c r="G39" s="27" t="n"/>
    </row>
    <row r="40">
      <c r="A40" s="27" t="inlineStr">
        <is>
          <t>MK00055</t>
        </is>
      </c>
      <c r="B40" s="27" t="n">
        <v>528000302</v>
      </c>
      <c r="C40" s="27" t="inlineStr">
        <is>
          <t>Henkey gumilar</t>
        </is>
      </c>
      <c r="D40" s="171" t="n">
        <v>46172.41666666666</v>
      </c>
      <c r="E40" s="26" t="n">
        <v>0.5896527777777778</v>
      </c>
      <c r="F40" s="27" t="inlineStr">
        <is>
          <t>Shift 1</t>
        </is>
      </c>
      <c r="G40" s="27" t="n"/>
    </row>
    <row r="41">
      <c r="A41" s="27" t="inlineStr">
        <is>
          <t>MK00150</t>
        </is>
      </c>
      <c r="B41" s="27" t="n">
        <v>528000297</v>
      </c>
      <c r="C41" s="27" t="inlineStr">
        <is>
          <t>Muhamad Budiana</t>
        </is>
      </c>
      <c r="D41" s="171" t="n">
        <v>46172.41666666666</v>
      </c>
      <c r="E41" s="26" t="n">
        <v>0.9212152777777778</v>
      </c>
      <c r="F41" s="27" t="inlineStr">
        <is>
          <t>Shift 2</t>
        </is>
      </c>
      <c r="G41" s="27" t="n"/>
    </row>
    <row r="42">
      <c r="A42" s="27" t="inlineStr">
        <is>
          <t>MK00141</t>
        </is>
      </c>
      <c r="B42" s="27" t="n">
        <v>528000279</v>
      </c>
      <c r="C42" s="27" t="inlineStr">
        <is>
          <t>Mahdalena Dalfa Riani</t>
        </is>
      </c>
      <c r="D42" s="171" t="n">
        <v>46172.41666666666</v>
      </c>
      <c r="E42" s="26" t="n">
        <v>0.9213773148148148</v>
      </c>
      <c r="F42" s="27" t="inlineStr">
        <is>
          <t>Shift 2</t>
        </is>
      </c>
      <c r="G42" s="27" t="n"/>
    </row>
    <row r="43">
      <c r="A43" s="27" t="inlineStr">
        <is>
          <t>MK00082</t>
        </is>
      </c>
      <c r="B43" s="27" t="n">
        <v>628000061</v>
      </c>
      <c r="C43" s="27" t="inlineStr">
        <is>
          <t>Nayla Fadillah Exwantoro</t>
        </is>
      </c>
      <c r="D43" s="171" t="n">
        <v>46142.41666666666</v>
      </c>
      <c r="E43" s="26" t="n">
        <v>0.2328819444444444</v>
      </c>
      <c r="F43" s="27" t="inlineStr">
        <is>
          <t>Shift 3</t>
        </is>
      </c>
      <c r="G43" s="27" t="n"/>
    </row>
    <row r="44">
      <c r="A44" s="27" t="inlineStr">
        <is>
          <t>MK00156</t>
        </is>
      </c>
      <c r="B44" s="27" t="n">
        <v>528000201</v>
      </c>
      <c r="C44" s="27" t="inlineStr">
        <is>
          <t>Zahwa Amelia Choerunissa</t>
        </is>
      </c>
      <c r="D44" s="171" t="n">
        <v>46142.41666666666</v>
      </c>
      <c r="E44" s="26" t="n">
        <v>0.2424884259259259</v>
      </c>
      <c r="F44" s="27" t="inlineStr">
        <is>
          <t>Shift 3</t>
        </is>
      </c>
      <c r="G44" s="27" t="n"/>
    </row>
    <row r="45">
      <c r="A45" s="27" t="inlineStr">
        <is>
          <t>MK00109</t>
        </is>
      </c>
      <c r="B45" s="27" t="n">
        <v>528000298</v>
      </c>
      <c r="C45" s="27" t="inlineStr">
        <is>
          <t>Desta Cahaya Pratama</t>
        </is>
      </c>
      <c r="D45" s="171" t="n">
        <v>46142.41666666666</v>
      </c>
      <c r="E45" s="26" t="n">
        <v>0.2434375</v>
      </c>
      <c r="F45" s="27" t="inlineStr">
        <is>
          <t>Shift 3</t>
        </is>
      </c>
      <c r="G45" s="27" t="n"/>
    </row>
    <row r="46">
      <c r="A46" s="27" t="inlineStr">
        <is>
          <t>MK00055</t>
        </is>
      </c>
      <c r="B46" s="27" t="n">
        <v>528000266</v>
      </c>
      <c r="C46" s="27" t="inlineStr">
        <is>
          <t>M. Syirajatieq</t>
        </is>
      </c>
      <c r="D46" s="171" t="n">
        <v>46142.41666666666</v>
      </c>
      <c r="E46" s="26" t="n">
        <v>0.2516550925925926</v>
      </c>
      <c r="F46" s="27" t="inlineStr">
        <is>
          <t>Shift 3</t>
        </is>
      </c>
      <c r="G46" s="27" t="n"/>
    </row>
    <row r="47">
      <c r="A47" s="27" t="inlineStr">
        <is>
          <t>MK00138</t>
        </is>
      </c>
      <c r="B47" s="27" t="n">
        <v>528000261</v>
      </c>
      <c r="C47" s="27" t="inlineStr">
        <is>
          <t>Ergi Ergianto</t>
        </is>
      </c>
      <c r="D47" s="171" t="n">
        <v>46142.41666666666</v>
      </c>
      <c r="E47" s="26" t="n">
        <v>0.2526967592592593</v>
      </c>
      <c r="F47" s="27" t="inlineStr">
        <is>
          <t>Shift 3</t>
        </is>
      </c>
      <c r="G47" s="27" t="n"/>
    </row>
    <row r="48">
      <c r="A48" s="27" t="inlineStr">
        <is>
          <t>MK00136</t>
        </is>
      </c>
      <c r="B48" s="27" t="n">
        <v>528000052</v>
      </c>
      <c r="C48" s="27" t="inlineStr">
        <is>
          <t>Mustopa</t>
        </is>
      </c>
      <c r="D48" s="171" t="n">
        <v>46142.41666666666</v>
      </c>
      <c r="E48" s="26" t="n">
        <v>0.253113425925926</v>
      </c>
      <c r="F48" s="27" t="inlineStr">
        <is>
          <t>Shift 3</t>
        </is>
      </c>
      <c r="G48" s="27" t="n"/>
    </row>
    <row r="49">
      <c r="A49" s="27" t="inlineStr">
        <is>
          <t>MK00151</t>
        </is>
      </c>
      <c r="B49" s="27" t="n">
        <v>528000283</v>
      </c>
      <c r="C49" s="27" t="inlineStr">
        <is>
          <t>Purwanda Sugiri</t>
        </is>
      </c>
      <c r="D49" s="171" t="n">
        <v>46142.41666666666</v>
      </c>
      <c r="E49" s="26" t="n">
        <v>0.2535763888888889</v>
      </c>
      <c r="F49" s="27" t="inlineStr">
        <is>
          <t>Shift 3</t>
        </is>
      </c>
      <c r="G49" s="27" t="n"/>
    </row>
    <row r="50">
      <c r="A50" s="27" t="inlineStr">
        <is>
          <t>MK00093</t>
        </is>
      </c>
      <c r="B50" s="27" t="n">
        <v>528000291</v>
      </c>
      <c r="C50" s="27" t="inlineStr">
        <is>
          <t>Andrian</t>
        </is>
      </c>
      <c r="D50" s="171" t="n">
        <v>46142.41666666666</v>
      </c>
      <c r="E50" s="26" t="n">
        <v>0.2545717592592592</v>
      </c>
      <c r="F50" s="27" t="inlineStr">
        <is>
          <t>Shift 3</t>
        </is>
      </c>
      <c r="G50" s="27" t="n"/>
    </row>
    <row r="51">
      <c r="A51" s="27" t="inlineStr">
        <is>
          <t>MK00085</t>
        </is>
      </c>
      <c r="B51" s="27" t="n">
        <v>528000306</v>
      </c>
      <c r="C51" s="27" t="inlineStr">
        <is>
          <t>Windy Olivia</t>
        </is>
      </c>
      <c r="D51" s="171" t="n">
        <v>46142.41666666666</v>
      </c>
      <c r="E51" s="26" t="n">
        <v>0.2563657407407408</v>
      </c>
      <c r="F51" s="27" t="inlineStr">
        <is>
          <t>Shift 3</t>
        </is>
      </c>
      <c r="G51" s="27" t="n"/>
    </row>
    <row r="52">
      <c r="A52" s="27" t="inlineStr">
        <is>
          <t>MK00126</t>
        </is>
      </c>
      <c r="B52" s="27" t="n">
        <v>528000262</v>
      </c>
      <c r="C52" s="27" t="inlineStr">
        <is>
          <t>Ndari Dwiwanti</t>
        </is>
      </c>
      <c r="D52" s="171" t="n">
        <v>46142.41666666666</v>
      </c>
      <c r="E52" s="26" t="n">
        <v>0.256412037037037</v>
      </c>
      <c r="F52" s="27" t="inlineStr">
        <is>
          <t>Shift 3</t>
        </is>
      </c>
      <c r="G52" s="27" t="n"/>
    </row>
    <row r="53">
      <c r="A53" s="27" t="inlineStr">
        <is>
          <t>MK00250</t>
        </is>
      </c>
      <c r="B53" s="27" t="n">
        <v>528000098</v>
      </c>
      <c r="C53" s="27" t="inlineStr">
        <is>
          <t>Edi Junaedi</t>
        </is>
      </c>
      <c r="D53" s="171" t="n">
        <v>46142.41666666666</v>
      </c>
      <c r="E53" s="26" t="n">
        <v>0.5873148148148148</v>
      </c>
      <c r="F53" s="27" t="inlineStr">
        <is>
          <t>Shift 1</t>
        </is>
      </c>
      <c r="G53" s="27" t="n"/>
    </row>
    <row r="54">
      <c r="A54" s="27" t="inlineStr">
        <is>
          <t>MK00156</t>
        </is>
      </c>
      <c r="B54" s="27" t="n">
        <v>528000270</v>
      </c>
      <c r="C54" s="27" t="inlineStr">
        <is>
          <t>Febri Najmudin</t>
        </is>
      </c>
      <c r="D54" s="171" t="n">
        <v>46142.41666666666</v>
      </c>
      <c r="E54" s="26" t="n">
        <v>0.5877199074074074</v>
      </c>
      <c r="F54" s="27" t="inlineStr">
        <is>
          <t>Shift 1</t>
        </is>
      </c>
      <c r="G54" s="27" t="n"/>
    </row>
    <row r="55">
      <c r="A55" s="27" t="inlineStr">
        <is>
          <t>MK00109</t>
        </is>
      </c>
      <c r="B55" s="27" t="n">
        <v>528000298</v>
      </c>
      <c r="C55" s="27" t="inlineStr">
        <is>
          <t>Desta Cahaya Pratama</t>
        </is>
      </c>
      <c r="D55" s="171" t="n">
        <v>46142.41666666666</v>
      </c>
      <c r="E55" s="26" t="n">
        <v>0.5877430555555555</v>
      </c>
      <c r="F55" s="27" t="inlineStr">
        <is>
          <t>Shift 1</t>
        </is>
      </c>
      <c r="G55" s="27" t="n"/>
    </row>
    <row r="56">
      <c r="A56" s="27" t="inlineStr">
        <is>
          <t>MK00141</t>
        </is>
      </c>
      <c r="B56" s="27" t="n">
        <v>528000299</v>
      </c>
      <c r="C56" s="27" t="inlineStr">
        <is>
          <t>Siti Nurjanah</t>
        </is>
      </c>
      <c r="D56" s="171" t="n">
        <v>46142.41666666666</v>
      </c>
      <c r="E56" s="26" t="n">
        <v>0.5878587962962963</v>
      </c>
      <c r="F56" s="27" t="inlineStr">
        <is>
          <t>Shift 1</t>
        </is>
      </c>
      <c r="G56" s="27" t="n"/>
    </row>
    <row r="57">
      <c r="A57" s="27" t="inlineStr">
        <is>
          <t>MK00150</t>
        </is>
      </c>
      <c r="B57" s="27" t="n">
        <v>528000305</v>
      </c>
      <c r="C57" s="27" t="inlineStr">
        <is>
          <t>Puji Puspita</t>
        </is>
      </c>
      <c r="D57" s="171" t="n">
        <v>46142.41666666666</v>
      </c>
      <c r="E57" s="26" t="n">
        <v>0.5889467592592592</v>
      </c>
      <c r="F57" s="27" t="inlineStr">
        <is>
          <t>Shift 1</t>
        </is>
      </c>
      <c r="G57" s="27" t="n"/>
    </row>
    <row r="58">
      <c r="A58" s="27" t="inlineStr">
        <is>
          <t>MK00082</t>
        </is>
      </c>
      <c r="B58" s="27" t="n">
        <v>628000061</v>
      </c>
      <c r="C58" s="27" t="inlineStr">
        <is>
          <t>Nayla Fadillah Exwantoro</t>
        </is>
      </c>
      <c r="D58" s="171" t="n">
        <v>46142.41666666666</v>
      </c>
      <c r="E58" s="26" t="n">
        <v>0.5892708333333333</v>
      </c>
      <c r="F58" s="27" t="inlineStr">
        <is>
          <t>Shift 1</t>
        </is>
      </c>
      <c r="G58" s="27" t="n"/>
    </row>
    <row r="59">
      <c r="A59" s="27" t="inlineStr">
        <is>
          <t>MK00145</t>
        </is>
      </c>
      <c r="B59" s="27" t="n">
        <v>528000302</v>
      </c>
      <c r="C59" s="27" t="inlineStr">
        <is>
          <t>Henkey gumilar</t>
        </is>
      </c>
      <c r="D59" s="171" t="n">
        <v>46142.41666666666</v>
      </c>
      <c r="E59" s="26" t="n">
        <v>0.5908564814814815</v>
      </c>
      <c r="F59" s="27" t="inlineStr">
        <is>
          <t>Shift 1</t>
        </is>
      </c>
      <c r="G59" s="27" t="n"/>
    </row>
    <row r="60">
      <c r="A60" s="27" t="inlineStr">
        <is>
          <t>MK00154</t>
        </is>
      </c>
      <c r="B60" s="27" t="n">
        <v>528000265</v>
      </c>
      <c r="C60" s="27" t="inlineStr">
        <is>
          <t>Muhammad Haerul Rozikin</t>
        </is>
      </c>
      <c r="D60" s="171" t="n">
        <v>46142.41666666666</v>
      </c>
      <c r="E60" s="26" t="n">
        <v>0.6703125</v>
      </c>
      <c r="F60" s="27" t="inlineStr">
        <is>
          <t>Shift 2</t>
        </is>
      </c>
      <c r="G60" s="27" t="n"/>
    </row>
    <row r="61">
      <c r="A61" s="27" t="inlineStr">
        <is>
          <t>MK00126</t>
        </is>
      </c>
      <c r="B61" s="27" t="n">
        <v>528000069</v>
      </c>
      <c r="C61" s="27" t="inlineStr">
        <is>
          <t>Jajang Ardiansyah</t>
        </is>
      </c>
      <c r="D61" s="171" t="n">
        <v>46142.41666666666</v>
      </c>
      <c r="E61" s="26" t="n">
        <v>0.8150694444444444</v>
      </c>
      <c r="F61" s="27" t="inlineStr">
        <is>
          <t>Shift 2</t>
        </is>
      </c>
      <c r="G61" s="27" t="n"/>
    </row>
    <row r="62">
      <c r="A62" s="27" t="inlineStr">
        <is>
          <t>MKZ0138</t>
        </is>
      </c>
      <c r="B62" s="27" t="n">
        <v>528000301</v>
      </c>
      <c r="C62" s="27" t="inlineStr">
        <is>
          <t>Muhammad Mukti Ridwan</t>
        </is>
      </c>
      <c r="D62" s="171" t="n">
        <v>46142.41666666666</v>
      </c>
      <c r="E62" s="26" t="n">
        <v>0.9128472222222223</v>
      </c>
      <c r="F62" s="27" t="inlineStr">
        <is>
          <t>Shift 2</t>
        </is>
      </c>
      <c r="G62" s="27" t="n"/>
    </row>
    <row r="63">
      <c r="A63" s="27" t="inlineStr">
        <is>
          <t>MK00082</t>
        </is>
      </c>
      <c r="B63" s="27" t="n">
        <v>528000291</v>
      </c>
      <c r="C63" s="27" t="inlineStr">
        <is>
          <t>Andrian</t>
        </is>
      </c>
      <c r="D63" s="171" t="n">
        <v>46142.41666666666</v>
      </c>
      <c r="E63" s="26" t="n">
        <v>0.9134375</v>
      </c>
      <c r="F63" s="27" t="inlineStr">
        <is>
          <t>Shift 2</t>
        </is>
      </c>
      <c r="G63" s="27" t="n"/>
    </row>
    <row r="64">
      <c r="A64" s="27" t="inlineStr">
        <is>
          <t>MK0046</t>
        </is>
      </c>
      <c r="B64" s="27" t="n">
        <v>628000064</v>
      </c>
      <c r="C64" s="27" t="inlineStr">
        <is>
          <t>Silva Alypia</t>
        </is>
      </c>
      <c r="D64" s="171" t="n">
        <v>46142.41666666666</v>
      </c>
      <c r="E64" s="26" t="n">
        <v>0.9140162037037037</v>
      </c>
      <c r="F64" s="27" t="inlineStr">
        <is>
          <t>Shift 2</t>
        </is>
      </c>
      <c r="G64" s="27" t="n"/>
    </row>
    <row r="65">
      <c r="A65" s="27" t="inlineStr">
        <is>
          <t>MK00046</t>
        </is>
      </c>
      <c r="B65" s="27" t="n">
        <v>528000015</v>
      </c>
      <c r="C65" s="27" t="inlineStr">
        <is>
          <t>Erwin</t>
        </is>
      </c>
      <c r="D65" s="171" t="n">
        <v>46142.41666666666</v>
      </c>
      <c r="E65" s="26" t="n">
        <v>0.914699074074074</v>
      </c>
      <c r="F65" s="27" t="inlineStr">
        <is>
          <t>Shift 2</t>
        </is>
      </c>
      <c r="G65" s="27" t="n"/>
    </row>
    <row r="66">
      <c r="A66" s="27" t="inlineStr">
        <is>
          <t>MK00116</t>
        </is>
      </c>
      <c r="B66" s="27" t="n">
        <v>528000297</v>
      </c>
      <c r="C66" s="27" t="inlineStr">
        <is>
          <t>Muhamad Budiana</t>
        </is>
      </c>
      <c r="D66" s="171" t="n">
        <v>46142.41666666666</v>
      </c>
      <c r="E66" s="26" t="n">
        <v>0.9212615740740741</v>
      </c>
      <c r="F66" s="27" t="inlineStr">
        <is>
          <t>Shift 2</t>
        </is>
      </c>
      <c r="G66" s="27" t="n"/>
    </row>
    <row r="67">
      <c r="A67" s="27" t="inlineStr">
        <is>
          <t>MK00093</t>
        </is>
      </c>
      <c r="B67" s="27" t="n">
        <v>528000292</v>
      </c>
      <c r="C67" s="27" t="inlineStr">
        <is>
          <t>Aditia Nugraha</t>
        </is>
      </c>
      <c r="D67" s="171" t="n">
        <v>46142.41666666666</v>
      </c>
      <c r="E67" s="26" t="n">
        <v>0.9213541666666667</v>
      </c>
      <c r="F67" s="27" t="inlineStr">
        <is>
          <t>Shift 2</t>
        </is>
      </c>
      <c r="G67" s="27" t="n"/>
    </row>
    <row r="68">
      <c r="A68" s="27" t="inlineStr">
        <is>
          <t>MK00113</t>
        </is>
      </c>
      <c r="B68" s="27" t="n">
        <v>528000210</v>
      </c>
      <c r="C68" s="27" t="inlineStr">
        <is>
          <t>Muhamad Aldi Agustiana</t>
        </is>
      </c>
      <c r="D68" s="171" t="n">
        <v>46142.41666666666</v>
      </c>
      <c r="E68" s="26" t="n">
        <v>0.9215740740740741</v>
      </c>
      <c r="F68" s="27" t="inlineStr">
        <is>
          <t>Shift 2</t>
        </is>
      </c>
      <c r="G68" s="27" t="n"/>
    </row>
    <row r="69">
      <c r="A69" s="27" t="inlineStr">
        <is>
          <t>MK00148</t>
        </is>
      </c>
      <c r="B69" s="27" t="n">
        <v>528000300</v>
      </c>
      <c r="C69" s="27" t="inlineStr">
        <is>
          <t>Lia pitaloka</t>
        </is>
      </c>
      <c r="D69" s="171" t="n">
        <v>46142.41666666666</v>
      </c>
      <c r="E69" s="26" t="n">
        <v>0.9223958333333333</v>
      </c>
      <c r="F69" s="27" t="inlineStr">
        <is>
          <t>Shift 2</t>
        </is>
      </c>
      <c r="G69" s="27" t="n"/>
    </row>
    <row r="70">
      <c r="A70" s="27" t="inlineStr">
        <is>
          <t>MK00136</t>
        </is>
      </c>
      <c r="B70" s="27" t="n">
        <v>628000064</v>
      </c>
      <c r="C70" s="27" t="inlineStr">
        <is>
          <t>Silva Alypia</t>
        </is>
      </c>
      <c r="D70" s="171" t="n">
        <v>46142.41666666666</v>
      </c>
      <c r="E70" s="26" t="n">
        <v>0.9239699074074074</v>
      </c>
      <c r="F70" s="27" t="inlineStr">
        <is>
          <t>Shift 2</t>
        </is>
      </c>
      <c r="G70" s="27" t="n"/>
    </row>
    <row r="71">
      <c r="A71" s="27" t="inlineStr">
        <is>
          <t>MK00184</t>
        </is>
      </c>
      <c r="B71" s="27" t="n">
        <v>528000099</v>
      </c>
      <c r="C71" s="27" t="inlineStr">
        <is>
          <t>Siti Nurawaliah</t>
        </is>
      </c>
      <c r="D71" s="171" t="n">
        <v>46143.41666666666</v>
      </c>
      <c r="E71" s="26" t="n">
        <v>0.2354166666666667</v>
      </c>
      <c r="F71" s="27" t="inlineStr">
        <is>
          <t>Shift 3</t>
        </is>
      </c>
      <c r="G71" s="27" t="n"/>
    </row>
    <row r="72">
      <c r="A72" s="27" t="inlineStr">
        <is>
          <t>MK00158</t>
        </is>
      </c>
      <c r="B72" s="27" t="n">
        <v>528000261</v>
      </c>
      <c r="C72" s="27" t="inlineStr">
        <is>
          <t>Ergi Ergianto</t>
        </is>
      </c>
      <c r="D72" s="171" t="n">
        <v>46143.41666666666</v>
      </c>
      <c r="E72" s="26" t="n">
        <v>0.2524537037037037</v>
      </c>
      <c r="F72" s="27" t="inlineStr">
        <is>
          <t>Shift 3</t>
        </is>
      </c>
      <c r="G72" s="27" t="n"/>
    </row>
    <row r="73">
      <c r="A73" s="27" t="inlineStr">
        <is>
          <t>MK00109</t>
        </is>
      </c>
      <c r="B73" s="27" t="n">
        <v>528000262</v>
      </c>
      <c r="C73" s="27" t="inlineStr">
        <is>
          <t>Ndari Dwiwanti</t>
        </is>
      </c>
      <c r="D73" s="171" t="n">
        <v>46143.41666666666</v>
      </c>
      <c r="E73" s="26" t="n">
        <v>0.2528935185185185</v>
      </c>
      <c r="F73" s="27" t="inlineStr">
        <is>
          <t>Shift 3</t>
        </is>
      </c>
      <c r="G73" s="27" t="n"/>
    </row>
    <row r="74">
      <c r="A74" s="27" t="inlineStr">
        <is>
          <t>MK00154</t>
        </is>
      </c>
      <c r="B74" s="27" t="n">
        <v>528000052</v>
      </c>
      <c r="C74" s="27" t="inlineStr">
        <is>
          <t>Mustopa</t>
        </is>
      </c>
      <c r="D74" s="171" t="n">
        <v>46143.41666666666</v>
      </c>
      <c r="E74" s="26" t="n">
        <v>0.2529282407407407</v>
      </c>
      <c r="F74" s="27" t="inlineStr">
        <is>
          <t>Shift 3</t>
        </is>
      </c>
      <c r="G74" s="27" t="inlineStr">
        <is>
          <t>A 10</t>
        </is>
      </c>
    </row>
    <row r="75">
      <c r="A75" s="27" t="inlineStr">
        <is>
          <t>MK00250</t>
        </is>
      </c>
      <c r="B75" s="27" t="n">
        <v>528000306</v>
      </c>
      <c r="C75" s="27" t="inlineStr">
        <is>
          <t>Windy Olivia</t>
        </is>
      </c>
      <c r="D75" s="171" t="n">
        <v>46143.41666666666</v>
      </c>
      <c r="E75" s="26" t="n">
        <v>0.2529976851851852</v>
      </c>
      <c r="F75" s="27" t="inlineStr">
        <is>
          <t>Shift 3</t>
        </is>
      </c>
      <c r="G75" s="27" t="n"/>
    </row>
    <row r="76">
      <c r="A76" s="27" t="inlineStr">
        <is>
          <t>MK00150</t>
        </is>
      </c>
      <c r="B76" s="27" t="n">
        <v>528000283</v>
      </c>
      <c r="C76" s="27" t="inlineStr">
        <is>
          <t>Purwanda Sugiri</t>
        </is>
      </c>
      <c r="D76" s="171" t="n">
        <v>46143.41666666666</v>
      </c>
      <c r="E76" s="26" t="n">
        <v>0.2532060185185185</v>
      </c>
      <c r="F76" s="27" t="inlineStr">
        <is>
          <t>Shift 3</t>
        </is>
      </c>
      <c r="G76" s="27" t="n"/>
    </row>
    <row r="77">
      <c r="A77" s="27" t="inlineStr">
        <is>
          <t>MK00126</t>
        </is>
      </c>
      <c r="B77" s="27" t="n">
        <v>528000266</v>
      </c>
      <c r="C77" s="27" t="inlineStr">
        <is>
          <t>M. Syirajatieq</t>
        </is>
      </c>
      <c r="D77" s="171" t="n">
        <v>46143.41666666666</v>
      </c>
      <c r="E77" s="26" t="n">
        <v>0.2532638888888889</v>
      </c>
      <c r="F77" s="27" t="inlineStr">
        <is>
          <t>Shift 3</t>
        </is>
      </c>
      <c r="G77" s="27" t="n"/>
    </row>
    <row r="78">
      <c r="A78" s="27" t="inlineStr">
        <is>
          <t>MK00082</t>
        </is>
      </c>
      <c r="B78" s="27" t="n">
        <v>528000291</v>
      </c>
      <c r="C78" s="27" t="inlineStr">
        <is>
          <t>Andrian</t>
        </is>
      </c>
      <c r="D78" s="171" t="n">
        <v>46143.41666666666</v>
      </c>
      <c r="E78" s="26" t="n">
        <v>0.2539467592592592</v>
      </c>
      <c r="F78" s="27" t="inlineStr">
        <is>
          <t>Shift 3</t>
        </is>
      </c>
      <c r="G78" s="27" t="n"/>
    </row>
    <row r="79">
      <c r="A79" s="27" t="inlineStr">
        <is>
          <t>MK00156</t>
        </is>
      </c>
      <c r="B79" s="27" t="n">
        <v>528000195</v>
      </c>
      <c r="C79" s="27" t="inlineStr">
        <is>
          <t>Rahma Sariwati</t>
        </is>
      </c>
      <c r="D79" s="171" t="n">
        <v>46143.41666666666</v>
      </c>
      <c r="E79" s="26" t="n">
        <v>0.2541666666666667</v>
      </c>
      <c r="F79" s="27" t="inlineStr">
        <is>
          <t>Shift 3</t>
        </is>
      </c>
      <c r="G79" s="27" t="n"/>
    </row>
    <row r="80">
      <c r="A80" s="27" t="inlineStr">
        <is>
          <t>MK00145</t>
        </is>
      </c>
      <c r="B80" s="27" t="n">
        <v>528000015</v>
      </c>
      <c r="C80" s="27" t="inlineStr">
        <is>
          <t>Erwin</t>
        </is>
      </c>
      <c r="D80" s="171" t="n">
        <v>46143.41666666666</v>
      </c>
      <c r="E80" s="26" t="n">
        <v>0.2543402777777778</v>
      </c>
      <c r="F80" s="27" t="inlineStr">
        <is>
          <t>Shift 3</t>
        </is>
      </c>
      <c r="G80" s="27" t="n"/>
    </row>
    <row r="81">
      <c r="A81" s="27" t="inlineStr">
        <is>
          <t>MK00056</t>
        </is>
      </c>
      <c r="B81" s="27" t="n">
        <v>528000301</v>
      </c>
      <c r="C81" s="27" t="inlineStr">
        <is>
          <t>Muhammad Mukti Ridwan</t>
        </is>
      </c>
      <c r="D81" s="171" t="n">
        <v>46143.41666666666</v>
      </c>
      <c r="E81" s="26" t="n">
        <v>0.2574189814814815</v>
      </c>
      <c r="F81" s="27" t="inlineStr">
        <is>
          <t>Shift 3</t>
        </is>
      </c>
      <c r="G81" s="27" t="n"/>
    </row>
    <row r="82">
      <c r="A82" s="27" t="inlineStr">
        <is>
          <t>MK00118</t>
        </is>
      </c>
      <c r="B82" s="27" t="n">
        <v>528000228</v>
      </c>
      <c r="C82" s="27" t="inlineStr">
        <is>
          <t>Banyu Resmi Putri</t>
        </is>
      </c>
      <c r="D82" s="171" t="n">
        <v>46143.41666666666</v>
      </c>
      <c r="E82" s="26" t="n">
        <v>0.3351273148148148</v>
      </c>
      <c r="F82" s="27" t="inlineStr">
        <is>
          <t>Shift 1</t>
        </is>
      </c>
      <c r="G82" s="27" t="n"/>
    </row>
    <row r="83">
      <c r="A83" s="27" t="inlineStr">
        <is>
          <t>MK00155</t>
        </is>
      </c>
      <c r="B83" s="27" t="n">
        <v>528000298</v>
      </c>
      <c r="C83" s="27" t="inlineStr">
        <is>
          <t>Desta Cahaya Pratama</t>
        </is>
      </c>
      <c r="D83" s="171" t="n">
        <v>46143.41666666666</v>
      </c>
      <c r="E83" s="26" t="n">
        <v>0.5853356481481482</v>
      </c>
      <c r="F83" s="27" t="inlineStr">
        <is>
          <t>Shift 1</t>
        </is>
      </c>
      <c r="G83" s="27" t="n"/>
    </row>
    <row r="84">
      <c r="A84" s="27" t="inlineStr">
        <is>
          <t>MK00181</t>
        </is>
      </c>
      <c r="B84" s="27" t="n">
        <v>528000299</v>
      </c>
      <c r="C84" s="27" t="inlineStr">
        <is>
          <t>Siti Nurjanah</t>
        </is>
      </c>
      <c r="D84" s="171" t="n">
        <v>46143.41666666666</v>
      </c>
      <c r="E84" s="26" t="n">
        <v>0.5864930555555555</v>
      </c>
      <c r="F84" s="27" t="inlineStr">
        <is>
          <t>Shift 1</t>
        </is>
      </c>
      <c r="G84" s="27" t="n"/>
    </row>
    <row r="85">
      <c r="A85" s="27" t="inlineStr">
        <is>
          <t>MK00184</t>
        </is>
      </c>
      <c r="B85" s="27" t="n">
        <v>528000305</v>
      </c>
      <c r="C85" s="27" t="inlineStr">
        <is>
          <t>Puji Puspita</t>
        </is>
      </c>
      <c r="D85" s="171" t="n">
        <v>46143.41666666666</v>
      </c>
      <c r="E85" s="26" t="n">
        <v>0.5866087962962963</v>
      </c>
      <c r="F85" s="27" t="inlineStr">
        <is>
          <t>Shift 1</t>
        </is>
      </c>
      <c r="G85" s="27" t="n"/>
    </row>
    <row r="86">
      <c r="A86" s="27" t="inlineStr">
        <is>
          <t>MK00116</t>
        </is>
      </c>
      <c r="B86" s="27" t="n">
        <v>528000098</v>
      </c>
      <c r="C86" s="27" t="inlineStr">
        <is>
          <t>Edi Junaedi</t>
        </is>
      </c>
      <c r="D86" s="171" t="n">
        <v>46143.41666666666</v>
      </c>
      <c r="E86" s="26" t="n">
        <v>0.5867939814814814</v>
      </c>
      <c r="F86" s="27" t="inlineStr">
        <is>
          <t>Shift 1</t>
        </is>
      </c>
      <c r="G86" s="27" t="n"/>
    </row>
    <row r="87">
      <c r="A87" s="27" t="inlineStr">
        <is>
          <t>MK00046</t>
        </is>
      </c>
      <c r="B87" s="27" t="n">
        <v>528000270</v>
      </c>
      <c r="C87" s="27" t="inlineStr">
        <is>
          <t>Febri Najmudin</t>
        </is>
      </c>
      <c r="D87" s="171" t="n">
        <v>46143.41666666666</v>
      </c>
      <c r="E87" s="26" t="n">
        <v>0.5872916666666667</v>
      </c>
      <c r="F87" s="27" t="inlineStr">
        <is>
          <t>Shift 1</t>
        </is>
      </c>
      <c r="G87" s="27" t="n"/>
    </row>
    <row r="88">
      <c r="A88" s="27" t="inlineStr">
        <is>
          <t>MK00136</t>
        </is>
      </c>
      <c r="B88" s="27" t="n">
        <v>628000061</v>
      </c>
      <c r="C88" s="27" t="inlineStr">
        <is>
          <t>Nayla Fadillah Exwantoro</t>
        </is>
      </c>
      <c r="D88" s="171" t="n">
        <v>46143.41666666666</v>
      </c>
      <c r="E88" s="26" t="n">
        <v>0.588587962962963</v>
      </c>
      <c r="F88" s="27" t="inlineStr">
        <is>
          <t>Shift 1</t>
        </is>
      </c>
      <c r="G88" s="27" t="n"/>
    </row>
    <row r="89">
      <c r="A89" s="27" t="inlineStr">
        <is>
          <t>MK0085</t>
        </is>
      </c>
      <c r="B89" s="27" t="n">
        <v>528000302</v>
      </c>
      <c r="C89" s="27" t="inlineStr">
        <is>
          <t>Henkey gumilar</t>
        </is>
      </c>
      <c r="D89" s="171" t="n">
        <v>46143.41666666666</v>
      </c>
      <c r="E89" s="26" t="n">
        <v>0.5908333333333333</v>
      </c>
      <c r="F89" s="27" t="inlineStr">
        <is>
          <t>Shift 1</t>
        </is>
      </c>
      <c r="G89" s="27" t="n"/>
    </row>
    <row r="90">
      <c r="A90" s="27" t="inlineStr">
        <is>
          <t>MK00145</t>
        </is>
      </c>
      <c r="B90" s="27" t="n">
        <v>528000282</v>
      </c>
      <c r="C90" s="27" t="inlineStr">
        <is>
          <t>Defa Desfiana</t>
        </is>
      </c>
      <c r="D90" s="171" t="n">
        <v>46143.41666666666</v>
      </c>
      <c r="E90" s="26" t="n">
        <v>0.6688425925925926</v>
      </c>
      <c r="F90" s="27" t="inlineStr">
        <is>
          <t>Shift 2</t>
        </is>
      </c>
      <c r="G90" s="27" t="n"/>
    </row>
    <row r="91">
      <c r="A91" s="27" t="inlineStr">
        <is>
          <t>MK00082</t>
        </is>
      </c>
      <c r="B91" s="27" t="n">
        <v>528000265</v>
      </c>
      <c r="C91" s="27" t="inlineStr">
        <is>
          <t>Muhammad Haerul Rozikin</t>
        </is>
      </c>
      <c r="D91" s="171" t="n">
        <v>46143.41666666666</v>
      </c>
      <c r="E91" s="26" t="n">
        <v>0.6698611111111111</v>
      </c>
      <c r="F91" s="27" t="inlineStr">
        <is>
          <t>Shift 2</t>
        </is>
      </c>
      <c r="G91" s="27" t="n"/>
    </row>
    <row r="92">
      <c r="A92" s="27" t="inlineStr">
        <is>
          <t>MK00141</t>
        </is>
      </c>
      <c r="B92" s="27" t="n">
        <v>528000351</v>
      </c>
      <c r="C92" s="27" t="inlineStr">
        <is>
          <t>Mulyana</t>
        </is>
      </c>
      <c r="D92" s="171" t="n">
        <v>46143.41666666666</v>
      </c>
      <c r="E92" s="26" t="n">
        <v>0.6699884259259259</v>
      </c>
      <c r="F92" s="27" t="inlineStr">
        <is>
          <t>Shift 2</t>
        </is>
      </c>
      <c r="G92" s="27" t="n"/>
    </row>
    <row r="93">
      <c r="A93" s="27" t="inlineStr">
        <is>
          <t>MK00088</t>
        </is>
      </c>
      <c r="B93" s="27" t="n">
        <v>528000069</v>
      </c>
      <c r="C93" s="27" t="inlineStr">
        <is>
          <t>Jajang Ardiansyah</t>
        </is>
      </c>
      <c r="D93" s="171" t="n">
        <v>46143.41666666666</v>
      </c>
      <c r="E93" s="26" t="n">
        <v>0.8355208333333334</v>
      </c>
      <c r="F93" s="27" t="inlineStr">
        <is>
          <t>Shift 2</t>
        </is>
      </c>
      <c r="G93" s="27" t="n"/>
    </row>
    <row r="94">
      <c r="A94" s="27" t="inlineStr">
        <is>
          <t>MK00085</t>
        </is>
      </c>
      <c r="B94" s="27" t="n">
        <v>528000052</v>
      </c>
      <c r="C94" s="27" t="inlineStr">
        <is>
          <t>Mustopa</t>
        </is>
      </c>
      <c r="D94" s="171" t="n">
        <v>46143.41666666666</v>
      </c>
      <c r="E94" s="26" t="n">
        <v>0.8739930555555555</v>
      </c>
      <c r="F94" s="27" t="inlineStr">
        <is>
          <t>Shift 2</t>
        </is>
      </c>
      <c r="G94" s="27" t="n"/>
    </row>
    <row r="95">
      <c r="A95" s="27" t="inlineStr">
        <is>
          <t>MK00156</t>
        </is>
      </c>
      <c r="B95" s="27" t="n">
        <v>528000287</v>
      </c>
      <c r="C95" s="27" t="inlineStr">
        <is>
          <t>Muhamad Angga Ramdani</t>
        </is>
      </c>
      <c r="D95" s="171" t="n">
        <v>46143.41666666666</v>
      </c>
      <c r="E95" s="26" t="n">
        <v>0.8987615740740741</v>
      </c>
      <c r="F95" s="27" t="inlineStr">
        <is>
          <t>Shift 2</t>
        </is>
      </c>
      <c r="G95" s="27" t="n"/>
    </row>
    <row r="96">
      <c r="A96" s="27" t="inlineStr">
        <is>
          <t>MK00211</t>
        </is>
      </c>
      <c r="B96" s="27" t="n">
        <v>528000274</v>
      </c>
      <c r="C96" s="27" t="inlineStr">
        <is>
          <t>Zepri</t>
        </is>
      </c>
      <c r="D96" s="171" t="n">
        <v>46143.41666666666</v>
      </c>
      <c r="E96" s="26" t="n">
        <v>0.9202083333333333</v>
      </c>
      <c r="F96" s="27" t="inlineStr">
        <is>
          <t>Shift 2</t>
        </is>
      </c>
      <c r="G96" s="27" t="n"/>
    </row>
    <row r="97">
      <c r="A97" s="27" t="inlineStr">
        <is>
          <t>MK00210</t>
        </is>
      </c>
      <c r="B97" s="27" t="n">
        <v>528000290</v>
      </c>
      <c r="C97" s="27" t="inlineStr">
        <is>
          <t>Eval Pranata</t>
        </is>
      </c>
      <c r="D97" s="171" t="n">
        <v>46143.41666666666</v>
      </c>
      <c r="E97" s="26" t="n">
        <v>0.9202546296296297</v>
      </c>
      <c r="F97" s="27" t="inlineStr">
        <is>
          <t>Shift 2</t>
        </is>
      </c>
      <c r="G97" s="27" t="n"/>
    </row>
    <row r="98">
      <c r="A98" s="27" t="inlineStr">
        <is>
          <t>MK00208</t>
        </is>
      </c>
      <c r="B98" s="27" t="n">
        <v>528000241</v>
      </c>
      <c r="C98" s="27" t="inlineStr">
        <is>
          <t>Balia Nurafif Bilah</t>
        </is>
      </c>
      <c r="D98" s="171" t="n">
        <v>46143.41666666666</v>
      </c>
      <c r="E98" s="26" t="n">
        <v>0.9203703703703704</v>
      </c>
      <c r="F98" s="27" t="inlineStr">
        <is>
          <t>Shift 2</t>
        </is>
      </c>
      <c r="G98" s="27" t="n"/>
    </row>
    <row r="99">
      <c r="A99" s="27" t="inlineStr">
        <is>
          <t>MK00126</t>
        </is>
      </c>
      <c r="B99" s="27" t="n">
        <v>528000244</v>
      </c>
      <c r="C99" s="27" t="inlineStr">
        <is>
          <t>Rodian Rifai</t>
        </is>
      </c>
      <c r="D99" s="171" t="n">
        <v>46143.41666666666</v>
      </c>
      <c r="E99" s="26" t="n">
        <v>0.9215856481481481</v>
      </c>
      <c r="F99" s="27" t="inlineStr">
        <is>
          <t>Shift 2</t>
        </is>
      </c>
      <c r="G99" s="27" t="n"/>
    </row>
    <row r="100">
      <c r="A100" s="27" t="inlineStr">
        <is>
          <t>MK00199</t>
        </is>
      </c>
      <c r="B100" s="27" t="n">
        <v>528000261</v>
      </c>
      <c r="C100" s="27" t="inlineStr">
        <is>
          <t>Ergi Ergianto</t>
        </is>
      </c>
      <c r="D100" s="171" t="n">
        <v>46144.41666666666</v>
      </c>
      <c r="E100" s="26" t="n">
        <v>0.252025462962963</v>
      </c>
      <c r="F100" s="27" t="inlineStr">
        <is>
          <t>Shift 3</t>
        </is>
      </c>
      <c r="G100" s="27" t="n"/>
    </row>
    <row r="101">
      <c r="A101" s="27" t="inlineStr">
        <is>
          <t>MK00085</t>
        </is>
      </c>
      <c r="B101" s="27" t="n">
        <v>528000052</v>
      </c>
      <c r="C101" s="27" t="inlineStr">
        <is>
          <t>Mustopa</t>
        </is>
      </c>
      <c r="D101" s="171" t="n">
        <v>46144.41666666666</v>
      </c>
      <c r="E101" s="26" t="n">
        <v>0.2524421296296296</v>
      </c>
      <c r="F101" s="27" t="inlineStr">
        <is>
          <t>Shift 3</t>
        </is>
      </c>
      <c r="G101" s="27" t="inlineStr">
        <is>
          <t>A 10</t>
        </is>
      </c>
    </row>
    <row r="102">
      <c r="A102" s="27" t="inlineStr">
        <is>
          <t>MK00192</t>
        </is>
      </c>
      <c r="B102" s="27" t="n">
        <v>528000283</v>
      </c>
      <c r="C102" s="27" t="inlineStr">
        <is>
          <t>Purwanda Sugiri</t>
        </is>
      </c>
      <c r="D102" s="171" t="n">
        <v>46144.41666666666</v>
      </c>
      <c r="E102" s="26" t="n">
        <v>0.2526388888888889</v>
      </c>
      <c r="F102" s="27" t="inlineStr">
        <is>
          <t>Shift 3</t>
        </is>
      </c>
      <c r="G102" s="27" t="n"/>
    </row>
    <row r="103">
      <c r="A103" s="27" t="inlineStr">
        <is>
          <t>MK00093</t>
        </is>
      </c>
      <c r="B103" s="27" t="n">
        <v>528000291</v>
      </c>
      <c r="C103" s="27" t="inlineStr">
        <is>
          <t>Andrian</t>
        </is>
      </c>
      <c r="D103" s="171" t="n">
        <v>46144.41666666666</v>
      </c>
      <c r="E103" s="26" t="n">
        <v>0.2529629629629629</v>
      </c>
      <c r="F103" s="27" t="inlineStr">
        <is>
          <t>Shift 3</t>
        </is>
      </c>
      <c r="G103" s="27" t="n"/>
    </row>
    <row r="104">
      <c r="A104" s="27" t="inlineStr">
        <is>
          <t>MK00205</t>
        </is>
      </c>
      <c r="B104" s="27" t="n">
        <v>528000301</v>
      </c>
      <c r="C104" s="27" t="inlineStr">
        <is>
          <t>Muhammad Mukti Ridwan</t>
        </is>
      </c>
      <c r="D104" s="171" t="n">
        <v>46144.41666666666</v>
      </c>
      <c r="E104" s="26" t="n">
        <v>0.2538425925925926</v>
      </c>
      <c r="F104" s="27" t="inlineStr">
        <is>
          <t>Shift 3</t>
        </is>
      </c>
      <c r="G104" s="27" t="n"/>
    </row>
    <row r="105">
      <c r="A105" s="27" t="inlineStr">
        <is>
          <t>MK00154</t>
        </is>
      </c>
      <c r="B105" s="27" t="n">
        <v>528000203</v>
      </c>
      <c r="C105" s="27" t="inlineStr">
        <is>
          <t>Yudha Ramdhan Putra</t>
        </is>
      </c>
      <c r="D105" s="171" t="n">
        <v>46144.41666666666</v>
      </c>
      <c r="E105" s="26" t="n">
        <v>0.3301041666666666</v>
      </c>
      <c r="F105" s="27" t="inlineStr">
        <is>
          <t>Shift 3</t>
        </is>
      </c>
      <c r="G105" s="27" t="n"/>
    </row>
    <row r="106">
      <c r="A106" s="27" t="inlineStr">
        <is>
          <t>MK00118</t>
        </is>
      </c>
      <c r="B106" s="27" t="n">
        <v>528000015</v>
      </c>
      <c r="C106" s="27" t="inlineStr">
        <is>
          <t>Erwin</t>
        </is>
      </c>
      <c r="D106" s="171" t="n">
        <v>46144.41666666666</v>
      </c>
      <c r="E106" s="26" t="n">
        <v>0.3304282407407407</v>
      </c>
      <c r="F106" s="27" t="inlineStr">
        <is>
          <t>Shift 3</t>
        </is>
      </c>
      <c r="G106" s="27" t="n"/>
    </row>
    <row r="107">
      <c r="A107" s="27" t="inlineStr">
        <is>
          <t>MK528000144</t>
        </is>
      </c>
      <c r="B107" s="27" t="n">
        <v>528000144</v>
      </c>
      <c r="C107" s="27" t="inlineStr">
        <is>
          <t>Jodi Hanafi</t>
        </is>
      </c>
      <c r="D107" s="171" t="n">
        <v>46144.41666666666</v>
      </c>
      <c r="E107" s="26" t="n">
        <v>0.3318055555555556</v>
      </c>
      <c r="F107" s="27" t="inlineStr">
        <is>
          <t>Shift 3</t>
        </is>
      </c>
      <c r="G107" s="27" t="n"/>
    </row>
    <row r="108">
      <c r="A108" s="27" t="inlineStr">
        <is>
          <t>MK00150</t>
        </is>
      </c>
      <c r="B108" s="27" t="n">
        <v>528000144</v>
      </c>
      <c r="C108" s="27" t="inlineStr">
        <is>
          <t>Jodi Hanafi</t>
        </is>
      </c>
      <c r="D108" s="171" t="n">
        <v>46144.41666666666</v>
      </c>
      <c r="E108" s="26" t="n">
        <v>0.3341898148148148</v>
      </c>
      <c r="F108" s="27" t="inlineStr">
        <is>
          <t>Shift 1</t>
        </is>
      </c>
      <c r="G108" s="27" t="n"/>
    </row>
    <row r="109">
      <c r="A109" s="27" t="inlineStr">
        <is>
          <t>MK0155</t>
        </is>
      </c>
      <c r="B109" s="27" t="n">
        <v>528000212</v>
      </c>
      <c r="C109" s="27" t="inlineStr">
        <is>
          <t>Rizal Fauzi</t>
        </is>
      </c>
      <c r="D109" s="171" t="n">
        <v>46144.41666666666</v>
      </c>
      <c r="E109" s="26" t="n">
        <v>0.5631134259259259</v>
      </c>
      <c r="F109" s="27" t="inlineStr">
        <is>
          <t>Shift 1</t>
        </is>
      </c>
      <c r="G109" s="27" t="n"/>
    </row>
    <row r="110">
      <c r="A110" s="27" t="inlineStr">
        <is>
          <t>MK00148</t>
        </is>
      </c>
      <c r="B110" s="27" t="n">
        <v>528000201</v>
      </c>
      <c r="C110" s="27" t="inlineStr">
        <is>
          <t>Zahwa Amelia Choerunissa</t>
        </is>
      </c>
      <c r="D110" s="171" t="n">
        <v>46144.41666666666</v>
      </c>
      <c r="E110" s="26" t="n">
        <v>0.5686111111111111</v>
      </c>
      <c r="F110" s="27" t="inlineStr">
        <is>
          <t>Shift 1</t>
        </is>
      </c>
      <c r="G110" s="27" t="n"/>
    </row>
    <row r="111">
      <c r="A111" s="27" t="inlineStr">
        <is>
          <t>MK00113</t>
        </is>
      </c>
      <c r="B111" s="27" t="n">
        <v>528000099</v>
      </c>
      <c r="C111" s="27" t="inlineStr">
        <is>
          <t>Siti Nurawaliah</t>
        </is>
      </c>
      <c r="D111" s="171" t="n">
        <v>46144.41666666666</v>
      </c>
      <c r="E111" s="26" t="n">
        <v>0.570150462962963</v>
      </c>
      <c r="F111" s="27" t="inlineStr">
        <is>
          <t>Shift 1</t>
        </is>
      </c>
      <c r="G111" s="27" t="n"/>
    </row>
    <row r="112">
      <c r="A112" s="27" t="inlineStr">
        <is>
          <t>MK00207</t>
        </is>
      </c>
      <c r="B112" s="27" t="n">
        <v>528000286</v>
      </c>
      <c r="C112" s="27" t="inlineStr">
        <is>
          <t>Imelda Amelia</t>
        </is>
      </c>
      <c r="D112" s="171" t="n">
        <v>46144.41666666666</v>
      </c>
      <c r="E112" s="26" t="n">
        <v>0.5702546296296296</v>
      </c>
      <c r="F112" s="27" t="inlineStr">
        <is>
          <t>Shift 1</t>
        </is>
      </c>
      <c r="G112" s="27" t="n"/>
    </row>
    <row r="113">
      <c r="A113" s="27" t="inlineStr">
        <is>
          <t>MK00138</t>
        </is>
      </c>
      <c r="B113" s="27" t="n">
        <v>528000296</v>
      </c>
      <c r="C113" s="27" t="inlineStr">
        <is>
          <t>Nurdin</t>
        </is>
      </c>
      <c r="D113" s="171" t="n">
        <v>46144.41666666666</v>
      </c>
      <c r="E113" s="26" t="n">
        <v>0.5750578703703704</v>
      </c>
      <c r="F113" s="27" t="inlineStr">
        <is>
          <t>Shift 1</t>
        </is>
      </c>
      <c r="G113" s="27" t="n"/>
    </row>
    <row r="114">
      <c r="A114" s="27" t="inlineStr">
        <is>
          <t>MK00112</t>
        </is>
      </c>
      <c r="B114" s="27" t="n">
        <v>528000059</v>
      </c>
      <c r="C114" s="27" t="inlineStr">
        <is>
          <t>N. Santika Dewi</t>
        </is>
      </c>
      <c r="D114" s="171" t="n">
        <v>46144.41666666666</v>
      </c>
      <c r="E114" s="26" t="n">
        <v>0.5801504629629629</v>
      </c>
      <c r="F114" s="27" t="inlineStr">
        <is>
          <t>Shift 1</t>
        </is>
      </c>
      <c r="G114" s="27" t="n"/>
    </row>
    <row r="115">
      <c r="A115" s="27" t="inlineStr">
        <is>
          <t>CK0093</t>
        </is>
      </c>
      <c r="B115" s="27" t="n">
        <v>528000055</v>
      </c>
      <c r="C115" s="27" t="inlineStr">
        <is>
          <t>Dika Prasetya</t>
        </is>
      </c>
      <c r="D115" s="171" t="n">
        <v>46144.41666666666</v>
      </c>
      <c r="E115" s="26" t="n">
        <v>0.5806597222222222</v>
      </c>
      <c r="F115" s="27" t="inlineStr">
        <is>
          <t>Shift 1</t>
        </is>
      </c>
      <c r="G115" s="27" t="n"/>
    </row>
    <row r="116">
      <c r="A116" s="27" t="inlineStr">
        <is>
          <t>MK00116</t>
        </is>
      </c>
      <c r="B116" s="27" t="n">
        <v>528000297</v>
      </c>
      <c r="C116" s="27" t="inlineStr">
        <is>
          <t>Muhamad Budiana</t>
        </is>
      </c>
      <c r="D116" s="171" t="n">
        <v>46144.41666666666</v>
      </c>
      <c r="E116" s="26" t="n">
        <v>0.5934722222222222</v>
      </c>
      <c r="F116" s="27" t="inlineStr">
        <is>
          <t>Shift 1</t>
        </is>
      </c>
      <c r="G116" s="27" t="n"/>
    </row>
    <row r="117">
      <c r="A117" s="27" t="inlineStr">
        <is>
          <t>MK0082</t>
        </is>
      </c>
      <c r="B117" s="27" t="n">
        <v>528000351</v>
      </c>
      <c r="C117" s="27" t="inlineStr">
        <is>
          <t>Mulyana</t>
        </is>
      </c>
      <c r="D117" s="171" t="n">
        <v>46144.41666666666</v>
      </c>
      <c r="E117" s="26" t="n">
        <v>0.6677777777777778</v>
      </c>
      <c r="F117" s="27" t="inlineStr">
        <is>
          <t>Shift 2</t>
        </is>
      </c>
      <c r="G117" s="27" t="n"/>
    </row>
    <row r="118">
      <c r="A118" s="27" t="inlineStr">
        <is>
          <t>MK00141</t>
        </is>
      </c>
      <c r="B118" s="27" t="n">
        <v>528000282</v>
      </c>
      <c r="C118" s="27" t="inlineStr">
        <is>
          <t>Defa Desfiana</t>
        </is>
      </c>
      <c r="D118" s="171" t="n">
        <v>46144.41666666666</v>
      </c>
      <c r="E118" s="26" t="n">
        <v>0.6707638888888889</v>
      </c>
      <c r="F118" s="27" t="inlineStr">
        <is>
          <t>Shift 2</t>
        </is>
      </c>
      <c r="G118" s="27" t="n"/>
    </row>
    <row r="119">
      <c r="A119" s="27" t="inlineStr">
        <is>
          <t>MK00150</t>
        </is>
      </c>
      <c r="B119" s="27" t="n">
        <v>528000144</v>
      </c>
      <c r="C119" s="27" t="inlineStr">
        <is>
          <t>Jodi Hanafi</t>
        </is>
      </c>
      <c r="D119" s="171" t="n">
        <v>46144.41666666666</v>
      </c>
      <c r="E119" s="26" t="n">
        <v>0.6736342592592592</v>
      </c>
      <c r="F119" s="27" t="inlineStr">
        <is>
          <t>Shift 2</t>
        </is>
      </c>
      <c r="G119" s="27" t="n"/>
    </row>
    <row r="120">
      <c r="A120" s="27" t="inlineStr">
        <is>
          <t>MK00200</t>
        </is>
      </c>
      <c r="B120" s="27" t="n">
        <v>528000287</v>
      </c>
      <c r="C120" s="27" t="inlineStr">
        <is>
          <t>Muhamad Angga Ramdani</t>
        </is>
      </c>
      <c r="D120" s="171" t="n">
        <v>46144.41666666666</v>
      </c>
      <c r="E120" s="26" t="n">
        <v>0.6737037037037037</v>
      </c>
      <c r="F120" s="27" t="inlineStr">
        <is>
          <t>Shift 2</t>
        </is>
      </c>
      <c r="G120" s="27" t="n"/>
    </row>
    <row r="121">
      <c r="A121" s="27" t="inlineStr">
        <is>
          <t>MK00249</t>
        </is>
      </c>
      <c r="B121" s="27" t="n">
        <v>528000265</v>
      </c>
      <c r="C121" s="27" t="inlineStr">
        <is>
          <t>Muhammad Haerul Rozikin</t>
        </is>
      </c>
      <c r="D121" s="171" t="n">
        <v>46144.41666666666</v>
      </c>
      <c r="E121" s="26" t="n">
        <v>0.6813888888888889</v>
      </c>
      <c r="F121" s="27" t="inlineStr">
        <is>
          <t>Shift 2</t>
        </is>
      </c>
      <c r="G121" s="27" t="n"/>
    </row>
    <row r="122">
      <c r="A122" s="27" t="inlineStr">
        <is>
          <t>MK00156</t>
        </is>
      </c>
      <c r="B122" s="27" t="n">
        <v>528000241</v>
      </c>
      <c r="C122" s="27" t="inlineStr">
        <is>
          <t>Balia Nurafif Bilah</t>
        </is>
      </c>
      <c r="D122" s="171" t="n">
        <v>46144.41666666666</v>
      </c>
      <c r="E122" s="26" t="n">
        <v>0.9199652777777778</v>
      </c>
      <c r="F122" s="27" t="inlineStr">
        <is>
          <t>Shift 2</t>
        </is>
      </c>
      <c r="G122" s="27" t="n"/>
    </row>
    <row r="123">
      <c r="A123" s="27" t="inlineStr">
        <is>
          <t>MK00145</t>
        </is>
      </c>
      <c r="B123" s="27" t="n">
        <v>528000290</v>
      </c>
      <c r="C123" s="27" t="inlineStr">
        <is>
          <t>Eval Pranata</t>
        </is>
      </c>
      <c r="D123" s="171" t="n">
        <v>46144.41666666666</v>
      </c>
      <c r="E123" s="26" t="n">
        <v>0.9206712962962963</v>
      </c>
      <c r="F123" s="27" t="inlineStr">
        <is>
          <t>Shift 2</t>
        </is>
      </c>
      <c r="G123" s="27" t="n"/>
    </row>
    <row r="124">
      <c r="A124" s="27" t="inlineStr">
        <is>
          <t>MK00138</t>
        </is>
      </c>
      <c r="B124" s="27" t="n">
        <v>528000090</v>
      </c>
      <c r="C124" s="27" t="inlineStr">
        <is>
          <t>Suganda</t>
        </is>
      </c>
      <c r="D124" s="171" t="n">
        <v>46144.41666666666</v>
      </c>
      <c r="E124" s="26" t="n">
        <v>0.9209953703703704</v>
      </c>
      <c r="F124" s="27" t="inlineStr">
        <is>
          <t>Shift 2</t>
        </is>
      </c>
      <c r="G124" s="27" t="n"/>
    </row>
    <row r="125">
      <c r="A125" s="27" t="inlineStr">
        <is>
          <t>MK00154</t>
        </is>
      </c>
      <c r="B125" s="27" t="n">
        <v>528000244</v>
      </c>
      <c r="C125" s="27" t="inlineStr">
        <is>
          <t>Rodian Rifai</t>
        </is>
      </c>
      <c r="D125" s="171" t="n">
        <v>46144.41666666666</v>
      </c>
      <c r="E125" s="26" t="n">
        <v>0.9213541666666667</v>
      </c>
      <c r="F125" s="27" t="inlineStr">
        <is>
          <t>Shift 2</t>
        </is>
      </c>
      <c r="G125" s="27" t="n"/>
    </row>
    <row r="126">
      <c r="A126" s="27" t="inlineStr">
        <is>
          <t>MK00250</t>
        </is>
      </c>
      <c r="B126" s="27" t="n">
        <v>528000201</v>
      </c>
      <c r="C126" s="27" t="inlineStr">
        <is>
          <t>Zahwa Amelia Choerunissa</t>
        </is>
      </c>
      <c r="D126" s="171" t="n">
        <v>46144.41666666666</v>
      </c>
      <c r="E126" s="26" t="n">
        <v>0.9216898148148148</v>
      </c>
      <c r="F126" s="27" t="inlineStr">
        <is>
          <t>Shift 2</t>
        </is>
      </c>
      <c r="G126" s="27" t="n"/>
    </row>
    <row r="127">
      <c r="A127" s="27" t="inlineStr">
        <is>
          <t>MK00136</t>
        </is>
      </c>
      <c r="B127" s="27" t="n">
        <v>528000099</v>
      </c>
      <c r="C127" s="27" t="inlineStr">
        <is>
          <t>Siti Nurawaliah</t>
        </is>
      </c>
      <c r="D127" s="171" t="n">
        <v>46144.41666666666</v>
      </c>
      <c r="E127" s="26" t="n">
        <v>0.922337962962963</v>
      </c>
      <c r="F127" s="27" t="inlineStr">
        <is>
          <t>Shift 2</t>
        </is>
      </c>
      <c r="G127" s="27" t="n"/>
    </row>
    <row r="128">
      <c r="A128" s="27" t="inlineStr">
        <is>
          <t>MK00112</t>
        </is>
      </c>
      <c r="B128" s="27" t="n">
        <v>528000055</v>
      </c>
      <c r="C128" s="27" t="inlineStr">
        <is>
          <t>Dika Prasetya</t>
        </is>
      </c>
      <c r="D128" s="171" t="n">
        <v>46144.41666666666</v>
      </c>
      <c r="E128" s="26" t="n">
        <v>0.9223842592592593</v>
      </c>
      <c r="F128" s="27" t="inlineStr">
        <is>
          <t>Shift 2</t>
        </is>
      </c>
      <c r="G128" s="27" t="n"/>
    </row>
    <row r="129">
      <c r="A129" s="27" t="inlineStr">
        <is>
          <t>MK00113</t>
        </is>
      </c>
      <c r="B129" s="27" t="n">
        <v>528000228</v>
      </c>
      <c r="C129" s="27" t="inlineStr">
        <is>
          <t>Banyu Resmi Putri</t>
        </is>
      </c>
      <c r="D129" s="171" t="n">
        <v>46144.41666666666</v>
      </c>
      <c r="E129" s="26" t="n">
        <v>0.9226041666666667</v>
      </c>
      <c r="F129" s="27" t="inlineStr">
        <is>
          <t>Shift 2</t>
        </is>
      </c>
      <c r="G129" s="27" t="n"/>
    </row>
    <row r="130">
      <c r="A130" s="27" t="inlineStr">
        <is>
          <t>MK00046</t>
        </is>
      </c>
      <c r="B130" s="27" t="n">
        <v>528000286</v>
      </c>
      <c r="C130" s="27" t="inlineStr">
        <is>
          <t>Imelda Amelia</t>
        </is>
      </c>
      <c r="D130" s="171" t="n">
        <v>46144.41666666666</v>
      </c>
      <c r="E130" s="26" t="n">
        <v>0.9230787037037037</v>
      </c>
      <c r="F130" s="27" t="inlineStr">
        <is>
          <t>Shift 2</t>
        </is>
      </c>
      <c r="G130" s="27" t="n"/>
    </row>
    <row r="131">
      <c r="A131" s="27" t="inlineStr">
        <is>
          <t>MK00126</t>
        </is>
      </c>
      <c r="B131" s="27" t="n">
        <v>528000274</v>
      </c>
      <c r="C131" s="27" t="inlineStr">
        <is>
          <t>Zepri</t>
        </is>
      </c>
      <c r="D131" s="171" t="n">
        <v>46144.41666666666</v>
      </c>
      <c r="E131" s="26" t="n">
        <v>0.9258912037037037</v>
      </c>
      <c r="F131" s="27" t="inlineStr">
        <is>
          <t>Shift 2</t>
        </is>
      </c>
      <c r="G131" s="27" t="n"/>
    </row>
    <row r="132">
      <c r="A132" s="27" t="inlineStr">
        <is>
          <t>MK00249</t>
        </is>
      </c>
      <c r="B132" s="27" t="n">
        <v>528000358</v>
      </c>
      <c r="C132" s="27" t="inlineStr">
        <is>
          <t>Lulu Agustin</t>
        </is>
      </c>
      <c r="D132" s="171" t="n">
        <v>46145.41666666666</v>
      </c>
      <c r="E132" s="26" t="n">
        <v>0.03115740740740741</v>
      </c>
      <c r="F132" s="27" t="inlineStr">
        <is>
          <t>Shift 3</t>
        </is>
      </c>
      <c r="G132" s="27" t="n"/>
    </row>
    <row r="133">
      <c r="A133" s="27" t="inlineStr">
        <is>
          <t>MK00151</t>
        </is>
      </c>
      <c r="B133" s="27" t="n">
        <v>528000279</v>
      </c>
      <c r="C133" s="27" t="inlineStr">
        <is>
          <t>Mahdalena Dalfa Riani</t>
        </is>
      </c>
      <c r="D133" s="171" t="n">
        <v>46145.41666666666</v>
      </c>
      <c r="E133" s="26" t="n">
        <v>0.2487962962962963</v>
      </c>
      <c r="F133" s="27" t="inlineStr">
        <is>
          <t>Shift 3</t>
        </is>
      </c>
      <c r="G133" s="27" t="n"/>
    </row>
    <row r="134">
      <c r="A134" s="27" t="inlineStr">
        <is>
          <t>MK00109</t>
        </is>
      </c>
      <c r="B134" s="27" t="n">
        <v>528000262</v>
      </c>
      <c r="C134" s="27" t="inlineStr">
        <is>
          <t>Ndari Dwiwanti</t>
        </is>
      </c>
      <c r="D134" s="171" t="n">
        <v>46145.41666666666</v>
      </c>
      <c r="E134" s="26" t="n">
        <v>0.2513888888888889</v>
      </c>
      <c r="F134" s="27" t="inlineStr">
        <is>
          <t>Shift 3</t>
        </is>
      </c>
      <c r="G134" s="27" t="n"/>
    </row>
    <row r="135">
      <c r="A135" s="27" t="inlineStr">
        <is>
          <t>MK00213</t>
        </is>
      </c>
      <c r="B135" s="27" t="n">
        <v>528000261</v>
      </c>
      <c r="C135" s="27" t="inlineStr">
        <is>
          <t>Ergi Ergianto</t>
        </is>
      </c>
      <c r="D135" s="171" t="n">
        <v>46145.41666666666</v>
      </c>
      <c r="E135" s="26" t="n">
        <v>0.2519097222222222</v>
      </c>
      <c r="F135" s="27" t="inlineStr">
        <is>
          <t>Shift 3</t>
        </is>
      </c>
      <c r="G135" s="27" t="n"/>
    </row>
    <row r="136">
      <c r="A136" s="27" t="inlineStr">
        <is>
          <t>MK00221</t>
        </is>
      </c>
      <c r="B136" s="27" t="n">
        <v>528000266</v>
      </c>
      <c r="C136" s="27" t="inlineStr">
        <is>
          <t>M. Syirajatieq</t>
        </is>
      </c>
      <c r="D136" s="171" t="n">
        <v>46145.41666666666</v>
      </c>
      <c r="E136" s="26" t="n">
        <v>0.2520949074074074</v>
      </c>
      <c r="F136" s="27" t="inlineStr">
        <is>
          <t>Shift 3</t>
        </is>
      </c>
      <c r="G136" s="27" t="n"/>
    </row>
    <row r="137">
      <c r="A137" s="27" t="inlineStr">
        <is>
          <t>MK00055</t>
        </is>
      </c>
      <c r="B137" s="27" t="n">
        <v>528000015</v>
      </c>
      <c r="C137" s="27" t="inlineStr">
        <is>
          <t>Erwin</t>
        </is>
      </c>
      <c r="D137" s="171" t="n">
        <v>46145.41666666666</v>
      </c>
      <c r="E137" s="26" t="n">
        <v>0.2533680555555556</v>
      </c>
      <c r="F137" s="27" t="inlineStr">
        <is>
          <t>Shift 3</t>
        </is>
      </c>
      <c r="G137" s="27" t="n"/>
    </row>
    <row r="138">
      <c r="A138" s="27" t="inlineStr">
        <is>
          <t>MK00082</t>
        </is>
      </c>
      <c r="B138" s="27" t="n">
        <v>528000291</v>
      </c>
      <c r="C138" s="27" t="inlineStr">
        <is>
          <t>Andrian</t>
        </is>
      </c>
      <c r="D138" s="171" t="n">
        <v>46145.41666666666</v>
      </c>
      <c r="E138" s="26" t="n">
        <v>0.253587962962963</v>
      </c>
      <c r="F138" s="27" t="inlineStr">
        <is>
          <t>Shift 3</t>
        </is>
      </c>
      <c r="G138" s="27" t="n"/>
    </row>
    <row r="139">
      <c r="A139" s="27" t="inlineStr">
        <is>
          <t>MK00150</t>
        </is>
      </c>
      <c r="B139" s="27" t="n">
        <v>528000283</v>
      </c>
      <c r="C139" s="27" t="inlineStr">
        <is>
          <t>Purwanda Sugiri</t>
        </is>
      </c>
      <c r="D139" s="171" t="n">
        <v>46145.41666666666</v>
      </c>
      <c r="E139" s="26" t="n">
        <v>0.2536342592592593</v>
      </c>
      <c r="F139" s="27" t="inlineStr">
        <is>
          <t>Shift 3</t>
        </is>
      </c>
      <c r="G139" s="27" t="n"/>
    </row>
    <row r="140">
      <c r="A140" s="27" t="inlineStr">
        <is>
          <t>MK00155</t>
        </is>
      </c>
      <c r="B140" s="27" t="n">
        <v>528000301</v>
      </c>
      <c r="C140" s="27" t="inlineStr">
        <is>
          <t>Muhammad Mukti Ridwan</t>
        </is>
      </c>
      <c r="D140" s="171" t="n">
        <v>46145.41666666666</v>
      </c>
      <c r="E140" s="26" t="n">
        <v>0.2561111111111111</v>
      </c>
      <c r="F140" s="27" t="inlineStr">
        <is>
          <t>Shift 3</t>
        </is>
      </c>
      <c r="G140" s="27" t="n"/>
    </row>
    <row r="141">
      <c r="A141" s="27" t="inlineStr">
        <is>
          <t>MK00205</t>
        </is>
      </c>
      <c r="B141" s="27" t="n">
        <v>528000349</v>
      </c>
      <c r="C141" s="27" t="inlineStr">
        <is>
          <t>Anas Abdul Fatah</t>
        </is>
      </c>
      <c r="D141" s="171" t="n">
        <v>46145.41666666666</v>
      </c>
      <c r="E141" s="26" t="n">
        <v>0.3270949074074074</v>
      </c>
      <c r="F141" s="27" t="inlineStr">
        <is>
          <t>Shift 3</t>
        </is>
      </c>
      <c r="G141" s="27" t="n"/>
    </row>
    <row r="142">
      <c r="A142" s="27" t="inlineStr">
        <is>
          <t>MK00186</t>
        </is>
      </c>
      <c r="B142" s="27" t="n">
        <v>528000149</v>
      </c>
      <c r="C142" s="27" t="inlineStr">
        <is>
          <t>Tio Fernanda</t>
        </is>
      </c>
      <c r="D142" s="171" t="n">
        <v>46145.41666666666</v>
      </c>
      <c r="E142" s="26" t="n">
        <v>0.3610763888888889</v>
      </c>
      <c r="F142" s="27" t="inlineStr">
        <is>
          <t>Shift 1</t>
        </is>
      </c>
      <c r="G142" s="27" t="n"/>
    </row>
    <row r="143">
      <c r="A143" s="27" t="inlineStr">
        <is>
          <t>MK00158</t>
        </is>
      </c>
      <c r="B143" s="27" t="n">
        <v>528000232</v>
      </c>
      <c r="C143" s="27" t="inlineStr">
        <is>
          <t>Agung Aji Suhada</t>
        </is>
      </c>
      <c r="D143" s="171" t="n">
        <v>46145.41666666666</v>
      </c>
      <c r="E143" s="26" t="n">
        <v>0.3732523148148148</v>
      </c>
      <c r="F143" s="27" t="inlineStr">
        <is>
          <t>Shift 1</t>
        </is>
      </c>
      <c r="G143" s="27" t="n"/>
    </row>
    <row r="144">
      <c r="A144" s="27" t="inlineStr">
        <is>
          <t>MK00212</t>
        </is>
      </c>
      <c r="B144" s="27" t="n">
        <v>528000203</v>
      </c>
      <c r="C144" s="27" t="inlineStr">
        <is>
          <t>Yudha Ramdhan Putra</t>
        </is>
      </c>
      <c r="D144" s="171" t="n">
        <v>46145.41666666666</v>
      </c>
      <c r="E144" s="26" t="n">
        <v>0.3755092592592593</v>
      </c>
      <c r="F144" s="27" t="inlineStr">
        <is>
          <t>Shift 1</t>
        </is>
      </c>
      <c r="G144" s="27" t="n"/>
    </row>
    <row r="145">
      <c r="A145" s="27" t="inlineStr">
        <is>
          <t>MK00199</t>
        </is>
      </c>
      <c r="B145" s="27" t="n">
        <v>528000348</v>
      </c>
      <c r="C145" s="27" t="inlineStr">
        <is>
          <t>Saepuloh Ardiansah</t>
        </is>
      </c>
      <c r="D145" s="171" t="n">
        <v>46145.41666666666</v>
      </c>
      <c r="E145" s="26" t="n">
        <v>0.378900462962963</v>
      </c>
      <c r="F145" s="27" t="inlineStr">
        <is>
          <t>Shift 1</t>
        </is>
      </c>
      <c r="G145" s="27" t="n"/>
    </row>
    <row r="146">
      <c r="A146" s="27" t="inlineStr">
        <is>
          <t>MK00181</t>
        </is>
      </c>
      <c r="B146" s="27" t="n">
        <v>528000286</v>
      </c>
      <c r="C146" s="27" t="inlineStr">
        <is>
          <t>Imelda Amelia</t>
        </is>
      </c>
      <c r="D146" s="171" t="n">
        <v>46145.41666666666</v>
      </c>
      <c r="E146" s="26" t="n">
        <v>0.5786574074074075</v>
      </c>
      <c r="F146" s="27" t="inlineStr">
        <is>
          <t>Shift 1</t>
        </is>
      </c>
      <c r="G146" s="27" t="n"/>
    </row>
    <row r="147">
      <c r="A147" s="27" t="inlineStr">
        <is>
          <t>MK00156</t>
        </is>
      </c>
      <c r="B147" s="27" t="n">
        <v>528000265</v>
      </c>
      <c r="C147" s="27" t="inlineStr">
        <is>
          <t>Muhammad Haerul Rozikin</t>
        </is>
      </c>
      <c r="D147" s="171" t="n">
        <v>46145.41666666666</v>
      </c>
      <c r="E147" s="26" t="n">
        <v>0.5853935185185185</v>
      </c>
      <c r="F147" s="27" t="inlineStr">
        <is>
          <t>Shift 1</t>
        </is>
      </c>
      <c r="G147" s="27" t="n"/>
    </row>
    <row r="148">
      <c r="A148" s="27" t="inlineStr">
        <is>
          <t>MK00249</t>
        </is>
      </c>
      <c r="B148" s="27" t="n">
        <v>528000358</v>
      </c>
      <c r="C148" s="27" t="inlineStr">
        <is>
          <t>Lulu Agustin</t>
        </is>
      </c>
      <c r="D148" s="171" t="n">
        <v>46145.41666666666</v>
      </c>
      <c r="E148" s="26" t="n">
        <v>0.5857986111111111</v>
      </c>
      <c r="F148" s="27" t="inlineStr">
        <is>
          <t>Shift 1</t>
        </is>
      </c>
      <c r="G148" s="27" t="n"/>
    </row>
    <row r="149">
      <c r="A149" s="27" t="inlineStr">
        <is>
          <t>MK00184</t>
        </is>
      </c>
      <c r="B149" s="27" t="n">
        <v>528000282</v>
      </c>
      <c r="C149" s="27" t="inlineStr">
        <is>
          <t>Defa Desfiana</t>
        </is>
      </c>
      <c r="D149" s="171" t="n">
        <v>46145.41666666666</v>
      </c>
      <c r="E149" s="26" t="n">
        <v>0.5863541666666666</v>
      </c>
      <c r="F149" s="27" t="inlineStr">
        <is>
          <t>Shift 1</t>
        </is>
      </c>
      <c r="G149" s="27" t="n"/>
    </row>
    <row r="150">
      <c r="A150" s="27" t="inlineStr">
        <is>
          <t>MK00250</t>
        </is>
      </c>
      <c r="B150" s="27" t="n">
        <v>528000210</v>
      </c>
      <c r="C150" s="27" t="inlineStr">
        <is>
          <t>Muhamad Aldi Agustiana</t>
        </is>
      </c>
      <c r="D150" s="171" t="n">
        <v>46145.41666666666</v>
      </c>
      <c r="E150" s="26" t="n">
        <v>0.5864467592592593</v>
      </c>
      <c r="F150" s="27" t="inlineStr">
        <is>
          <t>Shift 1</t>
        </is>
      </c>
      <c r="G150" s="27" t="n"/>
    </row>
    <row r="151">
      <c r="A151" s="27" t="inlineStr">
        <is>
          <t>MK00145</t>
        </is>
      </c>
      <c r="B151" s="27" t="n">
        <v>528000279</v>
      </c>
      <c r="C151" s="27" t="inlineStr">
        <is>
          <t>Mahdalena Dalfa Riani</t>
        </is>
      </c>
      <c r="D151" s="171" t="n">
        <v>46145.41666666666</v>
      </c>
      <c r="E151" s="26" t="n">
        <v>0.5865509259259259</v>
      </c>
      <c r="F151" s="27" t="inlineStr">
        <is>
          <t>Shift 1</t>
        </is>
      </c>
      <c r="G151" s="27" t="n"/>
    </row>
    <row r="152">
      <c r="A152" s="27" t="inlineStr">
        <is>
          <t>MK00213</t>
        </is>
      </c>
      <c r="B152" s="27" t="n">
        <v>528000297</v>
      </c>
      <c r="C152" s="27" t="inlineStr">
        <is>
          <t>Muhamad Budiana</t>
        </is>
      </c>
      <c r="D152" s="171" t="n">
        <v>46145.41666666666</v>
      </c>
      <c r="E152" s="26" t="n">
        <v>0.5873379629629629</v>
      </c>
      <c r="F152" s="27" t="inlineStr">
        <is>
          <t>Shift 1</t>
        </is>
      </c>
      <c r="G152" s="27" t="n"/>
    </row>
    <row r="153">
      <c r="A153" s="27" t="inlineStr">
        <is>
          <t>MK00136</t>
        </is>
      </c>
      <c r="B153" s="27" t="n">
        <v>528000306</v>
      </c>
      <c r="C153" s="27" t="inlineStr">
        <is>
          <t>Windy Olivia</t>
        </is>
      </c>
      <c r="D153" s="171" t="n">
        <v>46145.41666666666</v>
      </c>
      <c r="E153" s="26" t="n">
        <v>0.5892361111111111</v>
      </c>
      <c r="F153" s="27" t="inlineStr">
        <is>
          <t>Shift 1</t>
        </is>
      </c>
      <c r="G153" s="27" t="n"/>
    </row>
    <row r="154">
      <c r="A154" s="27" t="inlineStr">
        <is>
          <t>MK00141</t>
        </is>
      </c>
      <c r="B154" s="27" t="n">
        <v>628000064</v>
      </c>
      <c r="C154" s="27" t="inlineStr">
        <is>
          <t>Silva Alypia</t>
        </is>
      </c>
      <c r="D154" s="171" t="n">
        <v>46145.41666666666</v>
      </c>
      <c r="E154" s="26" t="n">
        <v>0.5902546296296296</v>
      </c>
      <c r="F154" s="27" t="inlineStr">
        <is>
          <t>Shift 1</t>
        </is>
      </c>
      <c r="G154" s="27" t="n"/>
    </row>
    <row r="155">
      <c r="A155" s="27" t="inlineStr">
        <is>
          <t>MK00141</t>
        </is>
      </c>
      <c r="B155" s="27" t="n">
        <v>528000279</v>
      </c>
      <c r="C155" s="27" t="inlineStr">
        <is>
          <t>Mahdalena Dalfa Riani</t>
        </is>
      </c>
      <c r="D155" s="171" t="n">
        <v>46145.41666666666</v>
      </c>
      <c r="E155" s="26" t="n">
        <v>0.5912384259259259</v>
      </c>
      <c r="F155" s="27" t="inlineStr">
        <is>
          <t>Shift 1</t>
        </is>
      </c>
      <c r="G155" s="27" t="n"/>
    </row>
    <row r="156">
      <c r="A156" s="27" t="inlineStr">
        <is>
          <t>MK00150</t>
        </is>
      </c>
      <c r="B156" s="27" t="n">
        <v>528000144</v>
      </c>
      <c r="C156" s="27" t="inlineStr">
        <is>
          <t>Jodi Hanafi</t>
        </is>
      </c>
      <c r="D156" s="171" t="n">
        <v>46145.41666666666</v>
      </c>
      <c r="E156" s="26" t="n">
        <v>0.6700578703703703</v>
      </c>
      <c r="F156" s="27" t="inlineStr">
        <is>
          <t>Shift 2</t>
        </is>
      </c>
      <c r="G156" s="27" t="n"/>
    </row>
    <row r="157">
      <c r="A157" s="27" t="inlineStr">
        <is>
          <t>MK00155</t>
        </is>
      </c>
      <c r="B157" s="27" t="n">
        <v>528000351</v>
      </c>
      <c r="C157" s="27" t="inlineStr">
        <is>
          <t>Mulyana</t>
        </is>
      </c>
      <c r="D157" s="171" t="n">
        <v>46145.41666666666</v>
      </c>
      <c r="E157" s="26" t="n">
        <v>0.6708101851851852</v>
      </c>
      <c r="F157" s="27" t="inlineStr">
        <is>
          <t>Shift 2</t>
        </is>
      </c>
      <c r="G157" s="27" t="n"/>
    </row>
    <row r="158">
      <c r="A158" s="27" t="inlineStr">
        <is>
          <t>MK00113</t>
        </is>
      </c>
      <c r="B158" s="27" t="n">
        <v>528000287</v>
      </c>
      <c r="C158" s="27" t="inlineStr">
        <is>
          <t>Muhamad Angga Ramdani</t>
        </is>
      </c>
      <c r="D158" s="171" t="n">
        <v>46145.41666666666</v>
      </c>
      <c r="E158" s="26" t="n">
        <v>0.6716435185185186</v>
      </c>
      <c r="F158" s="27" t="inlineStr">
        <is>
          <t>Shift 2</t>
        </is>
      </c>
      <c r="G158" s="27" t="n"/>
    </row>
    <row r="159">
      <c r="A159" s="27" t="inlineStr">
        <is>
          <t>MK00093</t>
        </is>
      </c>
      <c r="B159" s="27" t="n">
        <v>528000349</v>
      </c>
      <c r="C159" s="27" t="inlineStr">
        <is>
          <t>Anas Abdul Fatah</t>
        </is>
      </c>
      <c r="D159" s="171" t="n">
        <v>46145.41666666666</v>
      </c>
      <c r="E159" s="26" t="n">
        <v>0.6722916666666666</v>
      </c>
      <c r="F159" s="27" t="inlineStr">
        <is>
          <t>Shift 2</t>
        </is>
      </c>
      <c r="G159" s="27" t="n"/>
    </row>
    <row r="160">
      <c r="A160" s="27" t="inlineStr">
        <is>
          <t>MK00221</t>
        </is>
      </c>
      <c r="B160" s="27" t="n">
        <v>528000348</v>
      </c>
      <c r="C160" s="27" t="inlineStr">
        <is>
          <t>Saepuloh Ardiansah</t>
        </is>
      </c>
      <c r="D160" s="171" t="n">
        <v>46145.41666666666</v>
      </c>
      <c r="E160" s="26" t="n">
        <v>0.7087731481481482</v>
      </c>
      <c r="F160" s="27" t="inlineStr">
        <is>
          <t>Shift 2</t>
        </is>
      </c>
      <c r="G160" s="27" t="n"/>
    </row>
    <row r="161">
      <c r="A161" s="27" t="inlineStr">
        <is>
          <t>MK00186</t>
        </is>
      </c>
      <c r="B161" s="27" t="n">
        <v>528000149</v>
      </c>
      <c r="C161" s="27" t="inlineStr">
        <is>
          <t>Tio Fernanda</t>
        </is>
      </c>
      <c r="D161" s="171" t="n">
        <v>46145.41666666666</v>
      </c>
      <c r="E161" s="26" t="n">
        <v>0.709837962962963</v>
      </c>
      <c r="F161" s="27" t="inlineStr">
        <is>
          <t>Shift 2</t>
        </is>
      </c>
      <c r="G161" s="27" t="n"/>
    </row>
    <row r="162">
      <c r="A162" s="27" t="inlineStr">
        <is>
          <t>CK00046</t>
        </is>
      </c>
      <c r="B162" s="27" t="n">
        <v>528000232</v>
      </c>
      <c r="C162" s="27" t="inlineStr">
        <is>
          <t>Agung Aji Suhada</t>
        </is>
      </c>
      <c r="D162" s="171" t="n">
        <v>46145.41666666666</v>
      </c>
      <c r="E162" s="26" t="n">
        <v>0.7141203703703703</v>
      </c>
      <c r="F162" s="27" t="inlineStr">
        <is>
          <t>Shift 2</t>
        </is>
      </c>
      <c r="G162" s="27" t="n"/>
    </row>
    <row r="163">
      <c r="A163" s="27" t="inlineStr">
        <is>
          <t>MK00088</t>
        </is>
      </c>
      <c r="B163" s="27" t="n">
        <v>528000069</v>
      </c>
      <c r="C163" s="27" t="inlineStr">
        <is>
          <t>Jajang Ardiansyah</t>
        </is>
      </c>
      <c r="D163" s="171" t="n">
        <v>46145.41666666666</v>
      </c>
      <c r="E163" s="26" t="n">
        <v>0.8323032407407407</v>
      </c>
      <c r="F163" s="27" t="inlineStr">
        <is>
          <t>Shift 2</t>
        </is>
      </c>
      <c r="G163" s="27" t="n"/>
    </row>
    <row r="164">
      <c r="A164" s="27" t="inlineStr">
        <is>
          <t>MK00181</t>
        </is>
      </c>
      <c r="B164" s="27" t="n">
        <v>528000286</v>
      </c>
      <c r="C164" s="27" t="inlineStr">
        <is>
          <t>Imelda Amelia</t>
        </is>
      </c>
      <c r="D164" s="171" t="n">
        <v>46145.41666666666</v>
      </c>
      <c r="E164" s="26" t="n">
        <v>0.9103009259259259</v>
      </c>
      <c r="F164" s="27" t="inlineStr">
        <is>
          <t>Shift 2</t>
        </is>
      </c>
      <c r="G164" s="27" t="n"/>
    </row>
    <row r="165">
      <c r="A165" s="27" t="inlineStr">
        <is>
          <t>MK00126</t>
        </is>
      </c>
      <c r="B165" s="27" t="n">
        <v>528000244</v>
      </c>
      <c r="C165" s="27" t="inlineStr">
        <is>
          <t>Rodian Rifai</t>
        </is>
      </c>
      <c r="D165" s="171" t="n">
        <v>46145.41666666666</v>
      </c>
      <c r="E165" s="26" t="n">
        <v>0.9214236111111112</v>
      </c>
      <c r="F165" s="27" t="inlineStr">
        <is>
          <t>Shift 2</t>
        </is>
      </c>
      <c r="G165" s="27" t="n"/>
    </row>
    <row r="166">
      <c r="A166" s="27" t="inlineStr">
        <is>
          <t>MK00158</t>
        </is>
      </c>
      <c r="B166" s="27" t="n">
        <v>528000201</v>
      </c>
      <c r="C166" s="27" t="inlineStr">
        <is>
          <t>Zahwa Amelia Choerunissa</t>
        </is>
      </c>
      <c r="D166" s="171" t="n">
        <v>46145.41666666666</v>
      </c>
      <c r="E166" s="26" t="n">
        <v>0.9221412037037037</v>
      </c>
      <c r="F166" s="27" t="inlineStr">
        <is>
          <t>Shift 2</t>
        </is>
      </c>
      <c r="G166" s="27" t="n"/>
    </row>
    <row r="167">
      <c r="A167" s="27" t="inlineStr">
        <is>
          <t>MK00199</t>
        </is>
      </c>
      <c r="B167" s="27" t="n">
        <v>528000228</v>
      </c>
      <c r="C167" s="27" t="inlineStr">
        <is>
          <t>Banyu Resmi Putri</t>
        </is>
      </c>
      <c r="D167" s="171" t="n">
        <v>46145.41666666666</v>
      </c>
      <c r="E167" s="26" t="n">
        <v>0.9223263888888888</v>
      </c>
      <c r="F167" s="27" t="inlineStr">
        <is>
          <t>Shift 2</t>
        </is>
      </c>
      <c r="G167" s="27" t="n"/>
    </row>
    <row r="168">
      <c r="A168" s="27" t="inlineStr">
        <is>
          <t>MK00148</t>
        </is>
      </c>
      <c r="B168" s="27" t="n">
        <v>528000099</v>
      </c>
      <c r="C168" s="27" t="inlineStr">
        <is>
          <t>Siti Nurawaliah</t>
        </is>
      </c>
      <c r="D168" s="171" t="n">
        <v>46145.41666666666</v>
      </c>
      <c r="E168" s="26" t="n">
        <v>0.9226041666666667</v>
      </c>
      <c r="F168" s="27" t="inlineStr">
        <is>
          <t>Shift 2</t>
        </is>
      </c>
      <c r="G168" s="27" t="n"/>
    </row>
    <row r="169">
      <c r="A169" s="27" t="inlineStr">
        <is>
          <t>MK00082</t>
        </is>
      </c>
      <c r="B169" s="27" t="n">
        <v>528000015</v>
      </c>
      <c r="C169" s="27" t="inlineStr">
        <is>
          <t>Erwin</t>
        </is>
      </c>
      <c r="D169" s="171" t="n">
        <v>46147.41666666666</v>
      </c>
      <c r="E169" s="26" t="n">
        <v>0.252662037037037</v>
      </c>
      <c r="F169" s="27" t="inlineStr">
        <is>
          <t>Shift 3</t>
        </is>
      </c>
      <c r="G169" s="27" t="n"/>
    </row>
    <row r="170">
      <c r="A170" s="27" t="inlineStr">
        <is>
          <t>MK00085</t>
        </is>
      </c>
      <c r="B170" s="27" t="n">
        <v>528000262</v>
      </c>
      <c r="C170" s="27" t="inlineStr">
        <is>
          <t>Ndari Dwiwanti</t>
        </is>
      </c>
      <c r="D170" s="171" t="n">
        <v>46147.41666666666</v>
      </c>
      <c r="E170" s="26" t="n">
        <v>0.2529282407407407</v>
      </c>
      <c r="F170" s="27" t="inlineStr">
        <is>
          <t>Shift 3</t>
        </is>
      </c>
      <c r="G170" s="27" t="n"/>
    </row>
    <row r="171">
      <c r="A171" s="27" t="inlineStr">
        <is>
          <t>MK00150</t>
        </is>
      </c>
      <c r="B171" s="27" t="n">
        <v>528000266</v>
      </c>
      <c r="C171" s="27" t="inlineStr">
        <is>
          <t>M. Syirajatieq</t>
        </is>
      </c>
      <c r="D171" s="171" t="n">
        <v>46147.41666666666</v>
      </c>
      <c r="E171" s="26" t="n">
        <v>0.2533680555555556</v>
      </c>
      <c r="F171" s="27" t="inlineStr">
        <is>
          <t>Shift 3</t>
        </is>
      </c>
      <c r="G171" s="27" t="n"/>
    </row>
    <row r="172">
      <c r="A172" s="27" t="inlineStr">
        <is>
          <t>MK00221</t>
        </is>
      </c>
      <c r="B172" s="27" t="n">
        <v>528000261</v>
      </c>
      <c r="C172" s="27" t="inlineStr">
        <is>
          <t>Ergi Ergianto</t>
        </is>
      </c>
      <c r="D172" s="171" t="n">
        <v>46147.41666666666</v>
      </c>
      <c r="E172" s="26" t="n">
        <v>0.2536921296296296</v>
      </c>
      <c r="F172" s="27" t="inlineStr">
        <is>
          <t>Shift 3</t>
        </is>
      </c>
      <c r="G172" s="27" t="n"/>
    </row>
    <row r="173">
      <c r="A173" s="27" t="inlineStr">
        <is>
          <t>MK00192</t>
        </is>
      </c>
      <c r="B173" s="27" t="n">
        <v>528000195</v>
      </c>
      <c r="C173" s="27" t="inlineStr">
        <is>
          <t>Rahma Sariwati</t>
        </is>
      </c>
      <c r="D173" s="171" t="n">
        <v>46147.41666666666</v>
      </c>
      <c r="E173" s="26" t="n">
        <v>0.2537384259259259</v>
      </c>
      <c r="F173" s="27" t="inlineStr">
        <is>
          <t>Shift 3</t>
        </is>
      </c>
      <c r="G173" s="27" t="n"/>
    </row>
    <row r="174">
      <c r="A174" s="27" t="inlineStr">
        <is>
          <t>MK00138</t>
        </is>
      </c>
      <c r="B174" s="27" t="n">
        <v>528000283</v>
      </c>
      <c r="C174" s="27" t="inlineStr">
        <is>
          <t>Purwanda Sugiri</t>
        </is>
      </c>
      <c r="D174" s="171" t="n">
        <v>46147.41666666666</v>
      </c>
      <c r="E174" s="26" t="n">
        <v>0.2537847222222222</v>
      </c>
      <c r="F174" s="27" t="inlineStr">
        <is>
          <t>Shift 3</t>
        </is>
      </c>
      <c r="G174" s="27" t="n"/>
    </row>
    <row r="175">
      <c r="A175" s="27" t="inlineStr">
        <is>
          <t>MK00155</t>
        </is>
      </c>
      <c r="B175" s="27" t="n">
        <v>528000301</v>
      </c>
      <c r="C175" s="27" t="inlineStr">
        <is>
          <t>Muhammad Mukti Ridwan</t>
        </is>
      </c>
      <c r="D175" s="171" t="n">
        <v>46147.41666666666</v>
      </c>
      <c r="E175" s="26" t="n">
        <v>0.2562037037037037</v>
      </c>
      <c r="F175" s="27" t="inlineStr">
        <is>
          <t>Shift 3</t>
        </is>
      </c>
      <c r="G175" s="27" t="n"/>
    </row>
    <row r="176">
      <c r="A176" s="27" t="n">
        <v>1000210</v>
      </c>
      <c r="B176" s="27" t="n">
        <v>528000069</v>
      </c>
      <c r="C176" s="27" t="inlineStr">
        <is>
          <t>Jajang Ardiansyah</t>
        </is>
      </c>
      <c r="D176" s="171" t="n">
        <v>46147.41666666666</v>
      </c>
      <c r="E176" s="26" t="n">
        <v>0.2986574074074074</v>
      </c>
      <c r="F176" s="27" t="inlineStr">
        <is>
          <t>Shift 3</t>
        </is>
      </c>
      <c r="G176" s="27" t="inlineStr">
        <is>
          <t>FORCE_RELEASE</t>
        </is>
      </c>
    </row>
    <row r="177">
      <c r="A177" s="27" t="inlineStr">
        <is>
          <t>MK00210</t>
        </is>
      </c>
      <c r="B177" s="27" t="n">
        <v>528000069</v>
      </c>
      <c r="C177" s="27" t="inlineStr">
        <is>
          <t>Jajang Ardiansyah</t>
        </is>
      </c>
      <c r="D177" s="171" t="n">
        <v>46147.41666666666</v>
      </c>
      <c r="E177" s="26" t="n">
        <v>0.3177199074074074</v>
      </c>
      <c r="F177" s="27" t="inlineStr">
        <is>
          <t>Shift 3</t>
        </is>
      </c>
      <c r="G177" s="27" t="n">
        <v>89</v>
      </c>
    </row>
    <row r="178">
      <c r="A178" s="27" t="inlineStr">
        <is>
          <t>MK00151</t>
        </is>
      </c>
      <c r="B178" s="27" t="n">
        <v>528000203</v>
      </c>
      <c r="C178" s="27" t="inlineStr">
        <is>
          <t>Yudha Ramdhan Putra</t>
        </is>
      </c>
      <c r="D178" s="171" t="n">
        <v>46147.41666666666</v>
      </c>
      <c r="E178" s="26" t="n">
        <v>0.3759143518518518</v>
      </c>
      <c r="F178" s="27" t="inlineStr">
        <is>
          <t>Shift 1</t>
        </is>
      </c>
      <c r="G178" s="27" t="n"/>
    </row>
    <row r="179">
      <c r="A179" s="27" t="inlineStr">
        <is>
          <t>MK00181</t>
        </is>
      </c>
      <c r="B179" s="27" t="n">
        <v>528000286</v>
      </c>
      <c r="C179" s="27" t="inlineStr">
        <is>
          <t>Imelda Amelia</t>
        </is>
      </c>
      <c r="D179" s="171" t="n">
        <v>46147.41666666666</v>
      </c>
      <c r="E179" s="26" t="n">
        <v>0.5646296296296296</v>
      </c>
      <c r="F179" s="27" t="inlineStr">
        <is>
          <t>Shift 1</t>
        </is>
      </c>
      <c r="G179" s="27" t="n"/>
    </row>
    <row r="180">
      <c r="A180" s="27" t="inlineStr">
        <is>
          <t>MK00246</t>
        </is>
      </c>
      <c r="B180" s="27" t="n">
        <v>528000212</v>
      </c>
      <c r="C180" s="27" t="inlineStr">
        <is>
          <t>Rizal Fauzi</t>
        </is>
      </c>
      <c r="D180" s="171" t="n">
        <v>46147.41666666666</v>
      </c>
      <c r="E180" s="26" t="n">
        <v>0.5807060185185186</v>
      </c>
      <c r="F180" s="27" t="inlineStr">
        <is>
          <t>Shift 1</t>
        </is>
      </c>
      <c r="G180" s="27" t="n"/>
    </row>
    <row r="181">
      <c r="A181" s="27" t="inlineStr">
        <is>
          <t>MK00154</t>
        </is>
      </c>
      <c r="B181" s="27" t="n">
        <v>528000297</v>
      </c>
      <c r="C181" s="27" t="inlineStr">
        <is>
          <t>Muhamad Budiana</t>
        </is>
      </c>
      <c r="D181" s="171" t="n">
        <v>46147.41666666666</v>
      </c>
      <c r="E181" s="26" t="n">
        <v>0.5866666666666667</v>
      </c>
      <c r="F181" s="27" t="inlineStr">
        <is>
          <t>Shift 1</t>
        </is>
      </c>
      <c r="G181" s="27" t="n"/>
    </row>
    <row r="182">
      <c r="A182" s="27" t="inlineStr">
        <is>
          <t>MK00249</t>
        </is>
      </c>
      <c r="B182" s="27" t="n">
        <v>528000279</v>
      </c>
      <c r="C182" s="27" t="inlineStr">
        <is>
          <t>Mahdalena Dalfa Riani</t>
        </is>
      </c>
      <c r="D182" s="171" t="n">
        <v>46147.41666666666</v>
      </c>
      <c r="E182" s="26" t="n">
        <v>0.587662037037037</v>
      </c>
      <c r="F182" s="27" t="inlineStr">
        <is>
          <t>Shift 1</t>
        </is>
      </c>
      <c r="G182" s="27" t="n"/>
    </row>
    <row r="183">
      <c r="A183" s="27" t="inlineStr">
        <is>
          <t>MK00126</t>
        </is>
      </c>
      <c r="B183" s="27" t="n">
        <v>628000064</v>
      </c>
      <c r="C183" s="27" t="inlineStr">
        <is>
          <t>Silva Alypia</t>
        </is>
      </c>
      <c r="D183" s="171" t="n">
        <v>46147.41666666666</v>
      </c>
      <c r="E183" s="26" t="n">
        <v>0.5904398148148148</v>
      </c>
      <c r="F183" s="27" t="inlineStr">
        <is>
          <t>Shift 1</t>
        </is>
      </c>
      <c r="G183" s="27" t="n"/>
    </row>
    <row r="184">
      <c r="A184" s="27" t="inlineStr">
        <is>
          <t>MK00112</t>
        </is>
      </c>
      <c r="B184" s="27" t="n">
        <v>528000351</v>
      </c>
      <c r="C184" s="27" t="inlineStr">
        <is>
          <t>Mulyana</t>
        </is>
      </c>
      <c r="D184" s="171" t="n">
        <v>46147.41666666666</v>
      </c>
      <c r="E184" s="26" t="n">
        <v>0.6671296296296296</v>
      </c>
      <c r="F184" s="27" t="inlineStr">
        <is>
          <t>Shift 2</t>
        </is>
      </c>
      <c r="G184" s="27" t="n"/>
    </row>
    <row r="185">
      <c r="A185" s="27" t="inlineStr">
        <is>
          <t>MK00209</t>
        </is>
      </c>
      <c r="B185" s="27" t="n">
        <v>528000282</v>
      </c>
      <c r="C185" s="27" t="inlineStr">
        <is>
          <t>Defa Desfiana</t>
        </is>
      </c>
      <c r="D185" s="171" t="n">
        <v>46147.41666666666</v>
      </c>
      <c r="E185" s="26" t="n">
        <v>0.6674421296296297</v>
      </c>
      <c r="F185" s="27" t="inlineStr">
        <is>
          <t>Shift 2</t>
        </is>
      </c>
      <c r="G185" s="27" t="inlineStr">
        <is>
          <t>23c</t>
        </is>
      </c>
    </row>
    <row r="186">
      <c r="A186" s="27" t="inlineStr">
        <is>
          <t>MK00155</t>
        </is>
      </c>
      <c r="B186" s="27" t="n">
        <v>528000265</v>
      </c>
      <c r="C186" s="27" t="inlineStr">
        <is>
          <t>Muhammad Haerul Rozikin</t>
        </is>
      </c>
      <c r="D186" s="171" t="n">
        <v>46147.41666666666</v>
      </c>
      <c r="E186" s="26" t="n">
        <v>0.6691782407407407</v>
      </c>
      <c r="F186" s="27" t="inlineStr">
        <is>
          <t>Shift 2</t>
        </is>
      </c>
      <c r="G186" s="27" t="n"/>
    </row>
    <row r="187">
      <c r="A187" s="27" t="inlineStr">
        <is>
          <t>MK00192</t>
        </is>
      </c>
      <c r="B187" s="27" t="n">
        <v>528000287</v>
      </c>
      <c r="C187" s="27" t="inlineStr">
        <is>
          <t>Muhamad Angga Ramdani</t>
        </is>
      </c>
      <c r="D187" s="171" t="n">
        <v>46147.41666666666</v>
      </c>
      <c r="E187" s="26" t="n">
        <v>0.6697800925925926</v>
      </c>
      <c r="F187" s="27" t="inlineStr">
        <is>
          <t>Shift 2</t>
        </is>
      </c>
      <c r="G187" s="27" t="n"/>
    </row>
    <row r="188">
      <c r="A188" s="27" t="n">
        <v>128000267</v>
      </c>
      <c r="B188" s="27" t="n">
        <v>528000267</v>
      </c>
      <c r="C188" s="27" t="inlineStr">
        <is>
          <t>Bagas Patulloh</t>
        </is>
      </c>
      <c r="D188" s="171" t="n">
        <v>46147.41666666666</v>
      </c>
      <c r="E188" s="26" t="n">
        <v>0.6709143518518519</v>
      </c>
      <c r="F188" s="27" t="inlineStr">
        <is>
          <t>Shift 2</t>
        </is>
      </c>
      <c r="G188" s="27" t="n"/>
    </row>
    <row r="189">
      <c r="A189" s="27" t="inlineStr">
        <is>
          <t>MK00109</t>
        </is>
      </c>
      <c r="B189" s="27" t="n">
        <v>528000349</v>
      </c>
      <c r="C189" s="27" t="inlineStr">
        <is>
          <t>Anas Abdul Fatah</t>
        </is>
      </c>
      <c r="D189" s="171" t="n">
        <v>46147.41666666666</v>
      </c>
      <c r="E189" s="26" t="n">
        <v>0.6747569444444445</v>
      </c>
      <c r="F189" s="27" t="inlineStr">
        <is>
          <t>Shift 2</t>
        </is>
      </c>
      <c r="G189" s="27" t="n"/>
    </row>
    <row r="190">
      <c r="A190" s="27" t="inlineStr">
        <is>
          <t>MK00046</t>
        </is>
      </c>
      <c r="B190" s="27" t="n">
        <v>528000232</v>
      </c>
      <c r="C190" s="27" t="inlineStr">
        <is>
          <t>Agung Aji Suhada</t>
        </is>
      </c>
      <c r="D190" s="171" t="n">
        <v>46147.41666666666</v>
      </c>
      <c r="E190" s="26" t="n">
        <v>0.7102893518518518</v>
      </c>
      <c r="F190" s="27" t="inlineStr">
        <is>
          <t>Shift 2</t>
        </is>
      </c>
      <c r="G190" s="27" t="n"/>
    </row>
    <row r="191">
      <c r="A191" s="27" t="inlineStr">
        <is>
          <t>MA00145</t>
        </is>
      </c>
      <c r="B191" s="27" t="n">
        <v>528000348</v>
      </c>
      <c r="C191" s="27" t="inlineStr">
        <is>
          <t>Saepuloh Ardiansah</t>
        </is>
      </c>
      <c r="D191" s="171" t="n">
        <v>46147.41666666666</v>
      </c>
      <c r="E191" s="26" t="n">
        <v>0.7106134259259259</v>
      </c>
      <c r="F191" s="27" t="inlineStr">
        <is>
          <t>Shift 2</t>
        </is>
      </c>
      <c r="G191" s="27" t="n"/>
    </row>
    <row r="192">
      <c r="A192" s="27" t="inlineStr">
        <is>
          <t>MK00118</t>
        </is>
      </c>
      <c r="B192" s="27" t="n">
        <v>528000274</v>
      </c>
      <c r="C192" s="27" t="inlineStr">
        <is>
          <t>Zepri</t>
        </is>
      </c>
      <c r="D192" s="171" t="n">
        <v>46147.41666666666</v>
      </c>
      <c r="E192" s="26" t="n">
        <v>0.9185416666666667</v>
      </c>
      <c r="F192" s="27" t="inlineStr">
        <is>
          <t>Shift 2</t>
        </is>
      </c>
      <c r="G192" s="27" t="n"/>
    </row>
    <row r="193">
      <c r="A193" s="27" t="inlineStr">
        <is>
          <t>MK00082</t>
        </is>
      </c>
      <c r="B193" s="27" t="n">
        <v>528000241</v>
      </c>
      <c r="C193" s="27" t="inlineStr">
        <is>
          <t>Balia Nurafif Bilah</t>
        </is>
      </c>
      <c r="D193" s="171" t="n">
        <v>46147.41666666666</v>
      </c>
      <c r="E193" s="26" t="n">
        <v>0.9190162037037037</v>
      </c>
      <c r="F193" s="27" t="inlineStr">
        <is>
          <t>Shift 2</t>
        </is>
      </c>
      <c r="G193" s="27" t="n"/>
    </row>
    <row r="194">
      <c r="A194" s="27" t="inlineStr">
        <is>
          <t>MK00116</t>
        </is>
      </c>
      <c r="B194" s="27" t="n">
        <v>528000290</v>
      </c>
      <c r="C194" s="27" t="inlineStr">
        <is>
          <t>Eval Pranata</t>
        </is>
      </c>
      <c r="D194" s="171" t="n">
        <v>46147.41666666666</v>
      </c>
      <c r="E194" s="26" t="n">
        <v>0.9197569444444444</v>
      </c>
      <c r="F194" s="27" t="inlineStr">
        <is>
          <t>Shift 2</t>
        </is>
      </c>
      <c r="G194" s="27" t="n"/>
    </row>
    <row r="195">
      <c r="A195" s="27" t="inlineStr">
        <is>
          <t>MK00156</t>
        </is>
      </c>
      <c r="B195" s="27" t="n">
        <v>528000228</v>
      </c>
      <c r="C195" s="27" t="inlineStr">
        <is>
          <t>Banyu Resmi Putri</t>
        </is>
      </c>
      <c r="D195" s="171" t="n">
        <v>46147.41666666666</v>
      </c>
      <c r="E195" s="26" t="n">
        <v>0.9209722222222222</v>
      </c>
      <c r="F195" s="27" t="inlineStr">
        <is>
          <t>Shift 2</t>
        </is>
      </c>
      <c r="G195" s="27" t="n"/>
    </row>
    <row r="196">
      <c r="A196" s="27" t="inlineStr">
        <is>
          <t>MK00200</t>
        </is>
      </c>
      <c r="B196" s="27" t="n">
        <v>528000201</v>
      </c>
      <c r="C196" s="27" t="inlineStr">
        <is>
          <t>Zahwa Amelia Choerunissa</t>
        </is>
      </c>
      <c r="D196" s="171" t="n">
        <v>46147.41666666666</v>
      </c>
      <c r="E196" s="26" t="n">
        <v>0.9221412037037037</v>
      </c>
      <c r="F196" s="27" t="inlineStr">
        <is>
          <t>Shift 2</t>
        </is>
      </c>
      <c r="G196" s="27" t="n"/>
    </row>
    <row r="197">
      <c r="A197" s="27" t="inlineStr">
        <is>
          <t>MK00181</t>
        </is>
      </c>
      <c r="B197" s="27" t="n">
        <v>528000286</v>
      </c>
      <c r="C197" s="27" t="inlineStr">
        <is>
          <t>Imelda Amelia</t>
        </is>
      </c>
      <c r="D197" s="171" t="n">
        <v>46147.41666666666</v>
      </c>
      <c r="E197" s="26" t="n">
        <v>0.9221875</v>
      </c>
      <c r="F197" s="27" t="inlineStr">
        <is>
          <t>Shift 2</t>
        </is>
      </c>
      <c r="G197" s="27" t="n"/>
    </row>
    <row r="198">
      <c r="A198" s="27" t="inlineStr">
        <is>
          <t>MK00136</t>
        </is>
      </c>
      <c r="B198" s="27" t="n">
        <v>528000099</v>
      </c>
      <c r="C198" s="27" t="inlineStr">
        <is>
          <t>Siti Nurawaliah</t>
        </is>
      </c>
      <c r="D198" s="171" t="n">
        <v>46147.41666666666</v>
      </c>
      <c r="E198" s="26" t="n">
        <v>0.9225462962962963</v>
      </c>
      <c r="F198" s="27" t="inlineStr">
        <is>
          <t>Shift 2</t>
        </is>
      </c>
      <c r="G198" s="27" t="n"/>
    </row>
    <row r="199">
      <c r="A199" s="27" t="inlineStr">
        <is>
          <t>MK00141</t>
        </is>
      </c>
      <c r="B199" s="27" t="n">
        <v>528000244</v>
      </c>
      <c r="C199" s="27" t="inlineStr">
        <is>
          <t>Rodian Rifai</t>
        </is>
      </c>
      <c r="D199" s="171" t="n">
        <v>46147.41666666666</v>
      </c>
      <c r="E199" s="26" t="n">
        <v>0.9299189814814814</v>
      </c>
      <c r="F199" s="27" t="inlineStr">
        <is>
          <t>Shift 2</t>
        </is>
      </c>
      <c r="G199" s="27" t="n"/>
    </row>
    <row r="200">
      <c r="A200" s="27" t="inlineStr">
        <is>
          <t>MK00205</t>
        </is>
      </c>
      <c r="B200" s="27" t="n">
        <v>528000267</v>
      </c>
      <c r="C200" s="27" t="inlineStr">
        <is>
          <t>Bagas Patulloh</t>
        </is>
      </c>
      <c r="D200" s="171" t="n">
        <v>46178.41666666666</v>
      </c>
      <c r="E200" s="26" t="n">
        <v>0.002696759259259259</v>
      </c>
      <c r="F200" s="27" t="inlineStr">
        <is>
          <t>Shift 3</t>
        </is>
      </c>
      <c r="G200" s="27" t="n"/>
    </row>
    <row r="201">
      <c r="A201" s="27" t="inlineStr">
        <is>
          <t>MK00212</t>
        </is>
      </c>
      <c r="B201" s="27" t="n">
        <v>528000144</v>
      </c>
      <c r="C201" s="27" t="inlineStr">
        <is>
          <t>Jodi Hanafi</t>
        </is>
      </c>
      <c r="D201" s="171" t="n">
        <v>46178.41666666666</v>
      </c>
      <c r="E201" s="26" t="n">
        <v>0.01548611111111111</v>
      </c>
      <c r="F201" s="27" t="inlineStr">
        <is>
          <t>Shift 3</t>
        </is>
      </c>
      <c r="G201" s="27" t="n"/>
    </row>
    <row r="202">
      <c r="A202" s="27" t="inlineStr">
        <is>
          <t>MK00215</t>
        </is>
      </c>
      <c r="B202" s="27" t="n">
        <v>528000132</v>
      </c>
      <c r="C202" s="27" t="inlineStr">
        <is>
          <t>Giopani</t>
        </is>
      </c>
      <c r="D202" s="171" t="n">
        <v>46178.41666666666</v>
      </c>
      <c r="E202" s="26" t="n">
        <v>0.02032407407407407</v>
      </c>
      <c r="F202" s="27" t="inlineStr">
        <is>
          <t>Shift 3</t>
        </is>
      </c>
      <c r="G202" s="27" t="n"/>
    </row>
    <row r="203">
      <c r="A203" s="27" t="inlineStr">
        <is>
          <t>MK00055</t>
        </is>
      </c>
      <c r="B203" s="27" t="n">
        <v>528000212</v>
      </c>
      <c r="C203" s="27" t="inlineStr">
        <is>
          <t>Rizal Fauzi</t>
        </is>
      </c>
      <c r="D203" s="171" t="n">
        <v>46178.41666666666</v>
      </c>
      <c r="E203" s="26" t="n">
        <v>0.03172453703703704</v>
      </c>
      <c r="F203" s="27" t="inlineStr">
        <is>
          <t>Shift 3</t>
        </is>
      </c>
      <c r="G203" s="27" t="n"/>
    </row>
    <row r="204">
      <c r="A204" s="27" t="inlineStr">
        <is>
          <t>MK00155</t>
        </is>
      </c>
      <c r="B204" s="27" t="n">
        <v>528000299</v>
      </c>
      <c r="C204" s="27" t="inlineStr">
        <is>
          <t>Siti Nurjanah</t>
        </is>
      </c>
      <c r="D204" s="171" t="n">
        <v>46178.41666666666</v>
      </c>
      <c r="E204" s="26" t="n">
        <v>0.2517476851851852</v>
      </c>
      <c r="F204" s="27" t="inlineStr">
        <is>
          <t>Shift 3</t>
        </is>
      </c>
      <c r="G204" s="27" t="n"/>
    </row>
    <row r="205">
      <c r="A205" s="27" t="inlineStr">
        <is>
          <t>MK00209</t>
        </is>
      </c>
      <c r="B205" s="27" t="n">
        <v>528000298</v>
      </c>
      <c r="C205" s="27" t="inlineStr">
        <is>
          <t>Desta Cahaya Pratama</t>
        </is>
      </c>
      <c r="D205" s="171" t="n">
        <v>46178.41666666666</v>
      </c>
      <c r="E205" s="26" t="n">
        <v>0.2528125</v>
      </c>
      <c r="F205" s="27" t="inlineStr">
        <is>
          <t>Shift 3</t>
        </is>
      </c>
      <c r="G205" s="27" t="n"/>
    </row>
    <row r="206">
      <c r="A206" s="27" t="inlineStr">
        <is>
          <t>MK00221</t>
        </is>
      </c>
      <c r="B206" s="27" t="n">
        <v>628000091</v>
      </c>
      <c r="C206" s="27" t="inlineStr">
        <is>
          <t>Devita Handayani</t>
        </is>
      </c>
      <c r="D206" s="171" t="n">
        <v>46178.41666666666</v>
      </c>
      <c r="E206" s="26" t="n">
        <v>0.2534490740740741</v>
      </c>
      <c r="F206" s="27" t="inlineStr">
        <is>
          <t>Shift 3</t>
        </is>
      </c>
      <c r="G206" s="27" t="n"/>
    </row>
    <row r="207">
      <c r="A207" s="27" t="inlineStr">
        <is>
          <t>MK00150</t>
        </is>
      </c>
      <c r="B207" s="27" t="n">
        <v>628000061</v>
      </c>
      <c r="C207" s="27" t="inlineStr">
        <is>
          <t>Nayla Fadillah Exwantoro</t>
        </is>
      </c>
      <c r="D207" s="171" t="n">
        <v>46178.41666666666</v>
      </c>
      <c r="E207" s="26" t="n">
        <v>0.2538773148148148</v>
      </c>
      <c r="F207" s="27" t="inlineStr">
        <is>
          <t>Shift 3</t>
        </is>
      </c>
      <c r="G207" s="27" t="n"/>
    </row>
    <row r="208">
      <c r="A208" s="27" t="inlineStr">
        <is>
          <t>MK00184</t>
        </is>
      </c>
      <c r="B208" s="27" t="n">
        <v>528000098</v>
      </c>
      <c r="C208" s="27" t="inlineStr">
        <is>
          <t>Edi Junaedi</t>
        </is>
      </c>
      <c r="D208" s="171" t="n">
        <v>46178.41666666666</v>
      </c>
      <c r="E208" s="26" t="n">
        <v>0.2551967592592593</v>
      </c>
      <c r="F208" s="27" t="inlineStr">
        <is>
          <t>Shift 3</t>
        </is>
      </c>
      <c r="G208" s="27" t="n"/>
    </row>
    <row r="209">
      <c r="A209" s="27" t="inlineStr">
        <is>
          <t>MK00192</t>
        </is>
      </c>
      <c r="B209" s="27" t="n">
        <v>528000302</v>
      </c>
      <c r="C209" s="27" t="inlineStr">
        <is>
          <t>Henkey gumilar</t>
        </is>
      </c>
      <c r="D209" s="171" t="n">
        <v>46178.41666666666</v>
      </c>
      <c r="E209" s="26" t="n">
        <v>0.2565277777777778</v>
      </c>
      <c r="F209" s="27" t="inlineStr">
        <is>
          <t>Shift 3</t>
        </is>
      </c>
      <c r="G209" s="27" t="n"/>
    </row>
    <row r="210">
      <c r="A210" s="27" t="inlineStr">
        <is>
          <t>MK00145</t>
        </is>
      </c>
      <c r="B210" s="27" t="n">
        <v>528000015</v>
      </c>
      <c r="C210" s="27" t="inlineStr">
        <is>
          <t>Erwin</t>
        </is>
      </c>
      <c r="D210" s="171" t="n">
        <v>46178.41666666666</v>
      </c>
      <c r="E210" s="26" t="n">
        <v>0.2575347222222222</v>
      </c>
      <c r="F210" s="27" t="inlineStr">
        <is>
          <t>Shift 3</t>
        </is>
      </c>
      <c r="G210" s="27" t="n"/>
    </row>
    <row r="211">
      <c r="A211" s="27" t="inlineStr">
        <is>
          <t>MK00138</t>
        </is>
      </c>
      <c r="B211" s="27" t="n">
        <v>528000203</v>
      </c>
      <c r="C211" s="27" t="inlineStr">
        <is>
          <t>Yudha Ramdhan Putra</t>
        </is>
      </c>
      <c r="D211" s="171" t="n">
        <v>46178.41666666666</v>
      </c>
      <c r="E211" s="26" t="n">
        <v>0.3706481481481482</v>
      </c>
      <c r="F211" s="27" t="inlineStr">
        <is>
          <t>Shift 1</t>
        </is>
      </c>
      <c r="G211" s="27" t="n"/>
    </row>
    <row r="212">
      <c r="A212" s="27" t="inlineStr">
        <is>
          <t>MK00150</t>
        </is>
      </c>
      <c r="B212" s="27" t="n">
        <v>528000265</v>
      </c>
      <c r="C212" s="27" t="inlineStr">
        <is>
          <t>Muhammad Haerul Rozikin</t>
        </is>
      </c>
      <c r="D212" s="171" t="n">
        <v>46178.41666666666</v>
      </c>
      <c r="E212" s="26" t="n">
        <v>0.5435416666666667</v>
      </c>
      <c r="F212" s="27" t="inlineStr">
        <is>
          <t>Shift 1</t>
        </is>
      </c>
      <c r="G212" s="27" t="n"/>
    </row>
    <row r="213">
      <c r="A213" s="27" t="inlineStr">
        <is>
          <t>MK00249</t>
        </is>
      </c>
      <c r="B213" s="27" t="n">
        <v>528000282</v>
      </c>
      <c r="C213" s="27" t="inlineStr">
        <is>
          <t>Defa Desfiana</t>
        </is>
      </c>
      <c r="D213" s="171" t="n">
        <v>46178.41666666666</v>
      </c>
      <c r="E213" s="26" t="n">
        <v>0.5441087962962963</v>
      </c>
      <c r="F213" s="27" t="inlineStr">
        <is>
          <t>Shift 1</t>
        </is>
      </c>
      <c r="G213" s="27" t="n"/>
    </row>
    <row r="214">
      <c r="A214" s="27" t="inlineStr">
        <is>
          <t>MK00151</t>
        </is>
      </c>
      <c r="B214" s="27" t="n">
        <v>528000287</v>
      </c>
      <c r="C214" s="27" t="inlineStr">
        <is>
          <t>Muhamad Angga Ramdani</t>
        </is>
      </c>
      <c r="D214" s="171" t="n">
        <v>46178.41666666666</v>
      </c>
      <c r="E214" s="26" t="n">
        <v>0.5455324074074074</v>
      </c>
      <c r="F214" s="27" t="inlineStr">
        <is>
          <t>Shift 1</t>
        </is>
      </c>
      <c r="G214" s="27" t="n"/>
    </row>
    <row r="215">
      <c r="A215" s="27" t="inlineStr">
        <is>
          <t>MK00155</t>
        </is>
      </c>
      <c r="B215" s="27" t="n">
        <v>528000232</v>
      </c>
      <c r="C215" s="27" t="inlineStr">
        <is>
          <t>Agung Aji Suhada</t>
        </is>
      </c>
      <c r="D215" s="171" t="n">
        <v>46178.41666666666</v>
      </c>
      <c r="E215" s="26" t="n">
        <v>0.5847453703703703</v>
      </c>
      <c r="F215" s="27" t="inlineStr">
        <is>
          <t>Shift 1</t>
        </is>
      </c>
      <c r="G215" s="27" t="n"/>
    </row>
    <row r="216">
      <c r="A216" s="27" t="inlineStr">
        <is>
          <t>MK00192</t>
        </is>
      </c>
      <c r="B216" s="27" t="n">
        <v>528000348</v>
      </c>
      <c r="C216" s="27" t="inlineStr">
        <is>
          <t>Saepuloh Ardiansah</t>
        </is>
      </c>
      <c r="D216" s="171" t="n">
        <v>46178.41666666666</v>
      </c>
      <c r="E216" s="26" t="n">
        <v>0.5850578703703704</v>
      </c>
      <c r="F216" s="27" t="inlineStr">
        <is>
          <t>Shift 1</t>
        </is>
      </c>
      <c r="G216" s="27" t="n"/>
    </row>
    <row r="217">
      <c r="A217" s="27" t="inlineStr">
        <is>
          <t>MK00213</t>
        </is>
      </c>
      <c r="B217" s="27" t="n">
        <v>528000279</v>
      </c>
      <c r="C217" s="27" t="inlineStr">
        <is>
          <t>Mahdalena Dalfa Riani</t>
        </is>
      </c>
      <c r="D217" s="171" t="n">
        <v>46178.41666666666</v>
      </c>
      <c r="E217" s="26" t="n">
        <v>0.5865509259259259</v>
      </c>
      <c r="F217" s="27" t="inlineStr">
        <is>
          <t>Shift 1</t>
        </is>
      </c>
      <c r="G217" s="27" t="n"/>
    </row>
    <row r="218">
      <c r="A218" s="27" t="inlineStr">
        <is>
          <t>MK0082</t>
        </is>
      </c>
      <c r="B218" s="27" t="n">
        <v>528000297</v>
      </c>
      <c r="C218" s="27" t="inlineStr">
        <is>
          <t>Muhamad Budiana</t>
        </is>
      </c>
      <c r="D218" s="171" t="n">
        <v>46178.41666666666</v>
      </c>
      <c r="E218" s="26" t="n">
        <v>0.5872222222222222</v>
      </c>
      <c r="F218" s="27" t="inlineStr">
        <is>
          <t>Shift 1</t>
        </is>
      </c>
      <c r="G218" s="27" t="n"/>
    </row>
    <row r="219">
      <c r="A219" s="27" t="inlineStr">
        <is>
          <t>MK00118</t>
        </is>
      </c>
      <c r="B219" s="27" t="n">
        <v>528000055</v>
      </c>
      <c r="C219" s="27" t="inlineStr">
        <is>
          <t>Dika Prasetya</t>
        </is>
      </c>
      <c r="D219" s="171" t="n">
        <v>46178.41666666666</v>
      </c>
      <c r="E219" s="26" t="n">
        <v>0.6687847222222222</v>
      </c>
      <c r="F219" s="27" t="inlineStr">
        <is>
          <t>Shift 2</t>
        </is>
      </c>
      <c r="G219" s="27" t="n"/>
    </row>
    <row r="220">
      <c r="A220" s="27" t="inlineStr">
        <is>
          <t>MK00109</t>
        </is>
      </c>
      <c r="B220" s="27" t="n">
        <v>528000267</v>
      </c>
      <c r="C220" s="27" t="inlineStr">
        <is>
          <t>Bagas Patulloh</t>
        </is>
      </c>
      <c r="D220" s="171" t="n">
        <v>46178.41666666666</v>
      </c>
      <c r="E220" s="26" t="n">
        <v>0.750474537037037</v>
      </c>
      <c r="F220" s="27" t="inlineStr">
        <is>
          <t>Shift 2</t>
        </is>
      </c>
      <c r="G220" s="27" t="n"/>
    </row>
    <row r="221">
      <c r="A221" s="27" t="inlineStr">
        <is>
          <t>MK00085</t>
        </is>
      </c>
      <c r="B221" s="27" t="n">
        <v>528000132</v>
      </c>
      <c r="C221" s="27" t="inlineStr">
        <is>
          <t>Giopani</t>
        </is>
      </c>
      <c r="D221" s="171" t="n">
        <v>46178.41666666666</v>
      </c>
      <c r="E221" s="26" t="n">
        <v>0.7512615740740741</v>
      </c>
      <c r="F221" s="27" t="inlineStr">
        <is>
          <t>Shift 2</t>
        </is>
      </c>
      <c r="G221" s="27" t="n"/>
    </row>
    <row r="222">
      <c r="A222" s="27" t="inlineStr">
        <is>
          <t>MK00221</t>
        </is>
      </c>
      <c r="B222" s="27" t="n">
        <v>528000015</v>
      </c>
      <c r="C222" s="27" t="inlineStr">
        <is>
          <t>Erwin</t>
        </is>
      </c>
      <c r="D222" s="171" t="n">
        <v>46178.41666666666</v>
      </c>
      <c r="E222" s="26" t="n">
        <v>0.8777430555555555</v>
      </c>
      <c r="F222" s="27" t="inlineStr">
        <is>
          <t>Shift 2</t>
        </is>
      </c>
      <c r="G222" s="27" t="n"/>
    </row>
    <row r="223">
      <c r="A223" s="27" t="inlineStr">
        <is>
          <t>MK00113</t>
        </is>
      </c>
      <c r="B223" s="27" t="n">
        <v>528000274</v>
      </c>
      <c r="C223" s="27" t="inlineStr">
        <is>
          <t>Zepri</t>
        </is>
      </c>
      <c r="D223" s="171" t="n">
        <v>46178.41666666666</v>
      </c>
      <c r="E223" s="26" t="n">
        <v>0.9186458333333334</v>
      </c>
      <c r="F223" s="27" t="inlineStr">
        <is>
          <t>Shift 2</t>
        </is>
      </c>
      <c r="G223" s="27" t="n"/>
    </row>
    <row r="224">
      <c r="A224" s="27" t="inlineStr">
        <is>
          <t>MK00154</t>
        </is>
      </c>
      <c r="B224" s="27" t="n">
        <v>528000241</v>
      </c>
      <c r="C224" s="27" t="inlineStr">
        <is>
          <t>Balia Nurafif Bilah</t>
        </is>
      </c>
      <c r="D224" s="171" t="n">
        <v>46178.41666666666</v>
      </c>
      <c r="E224" s="26" t="n">
        <v>0.9188888888888889</v>
      </c>
      <c r="F224" s="27" t="inlineStr">
        <is>
          <t>Shift 2</t>
        </is>
      </c>
      <c r="G224" s="27" t="n"/>
    </row>
    <row r="225">
      <c r="A225" s="27" t="inlineStr">
        <is>
          <t>MK00126</t>
        </is>
      </c>
      <c r="B225" s="27" t="n">
        <v>528000290</v>
      </c>
      <c r="C225" s="27" t="inlineStr">
        <is>
          <t>Eval Pranata</t>
        </is>
      </c>
      <c r="D225" s="171" t="n">
        <v>46178.41666666666</v>
      </c>
      <c r="E225" s="26" t="n">
        <v>0.919212962962963</v>
      </c>
      <c r="F225" s="27" t="inlineStr">
        <is>
          <t>Shift 2</t>
        </is>
      </c>
      <c r="G225" s="27" t="n"/>
    </row>
    <row r="226">
      <c r="A226" s="27" t="inlineStr">
        <is>
          <t>MK00249</t>
        </is>
      </c>
      <c r="B226" s="27" t="n">
        <v>528000244</v>
      </c>
      <c r="C226" s="27" t="inlineStr">
        <is>
          <t>Rodian Rifai</t>
        </is>
      </c>
      <c r="D226" s="171" t="n">
        <v>46178.41666666666</v>
      </c>
      <c r="E226" s="26" t="n">
        <v>0.9202430555555555</v>
      </c>
      <c r="F226" s="27" t="inlineStr">
        <is>
          <t>Shift 2</t>
        </is>
      </c>
      <c r="G226" s="27" t="n"/>
    </row>
    <row r="227">
      <c r="A227" s="27" t="inlineStr">
        <is>
          <t>MK00200</t>
        </is>
      </c>
      <c r="B227" s="27" t="n">
        <v>528000292</v>
      </c>
      <c r="C227" s="27" t="inlineStr">
        <is>
          <t>Aditia Nugraha</t>
        </is>
      </c>
      <c r="D227" s="171" t="n">
        <v>46178.41666666666</v>
      </c>
      <c r="E227" s="26" t="n">
        <v>0.9205208333333333</v>
      </c>
      <c r="F227" s="27" t="inlineStr">
        <is>
          <t>Shift 2</t>
        </is>
      </c>
      <c r="G227" s="27" t="n"/>
    </row>
    <row r="228">
      <c r="A228" s="27" t="inlineStr">
        <is>
          <t>MK00151</t>
        </is>
      </c>
      <c r="B228" s="27" t="n">
        <v>528000201</v>
      </c>
      <c r="C228" s="27" t="inlineStr">
        <is>
          <t>Zahwa Amelia Choerunissa</t>
        </is>
      </c>
      <c r="D228" s="171" t="n">
        <v>46178.41666666666</v>
      </c>
      <c r="E228" s="26" t="n">
        <v>0.9215046296296296</v>
      </c>
      <c r="F228" s="27" t="inlineStr">
        <is>
          <t>Shift 2</t>
        </is>
      </c>
      <c r="G228" s="27" t="n"/>
    </row>
    <row r="229">
      <c r="A229" s="27" t="inlineStr">
        <is>
          <t>MK00209</t>
        </is>
      </c>
      <c r="B229" s="27" t="n">
        <v>528000099</v>
      </c>
      <c r="C229" s="27" t="inlineStr">
        <is>
          <t>Siti Nurawaliah</t>
        </is>
      </c>
      <c r="D229" s="171" t="n">
        <v>46178.41666666666</v>
      </c>
      <c r="E229" s="26" t="n">
        <v>0.9220138888888889</v>
      </c>
      <c r="F229" s="27" t="inlineStr">
        <is>
          <t>Shift 2</t>
        </is>
      </c>
      <c r="G229" s="27" t="n"/>
    </row>
    <row r="230">
      <c r="A230" s="27" t="inlineStr">
        <is>
          <t>MK00055</t>
        </is>
      </c>
      <c r="B230" s="27" t="n">
        <v>528000212</v>
      </c>
      <c r="C230" s="27" t="inlineStr">
        <is>
          <t>Rizal Fauzi</t>
        </is>
      </c>
      <c r="D230" s="171" t="n">
        <v>46178.41666666666</v>
      </c>
      <c r="E230" s="26" t="n">
        <v>0.9452777777777778</v>
      </c>
      <c r="F230" s="27" t="inlineStr">
        <is>
          <t>Shift 2</t>
        </is>
      </c>
      <c r="G230" s="27" t="n"/>
    </row>
    <row r="231">
      <c r="A231" s="27" t="inlineStr">
        <is>
          <t>MK00046</t>
        </is>
      </c>
      <c r="B231" s="27" t="n">
        <v>528000305</v>
      </c>
      <c r="C231" s="27" t="inlineStr">
        <is>
          <t>Puji Puspita</t>
        </is>
      </c>
      <c r="D231" s="171" t="n">
        <v>46208.41666666666</v>
      </c>
      <c r="E231" s="26" t="n">
        <v>0.01388888888888889</v>
      </c>
      <c r="F231" s="27" t="inlineStr">
        <is>
          <t>Shift 3</t>
        </is>
      </c>
      <c r="G231" s="27" t="n"/>
    </row>
    <row r="232">
      <c r="A232" s="27" t="inlineStr">
        <is>
          <t>MK00109</t>
        </is>
      </c>
      <c r="B232" s="27" t="n">
        <v>528000306</v>
      </c>
      <c r="C232" s="27" t="inlineStr">
        <is>
          <t>Windy Olivia</t>
        </is>
      </c>
      <c r="D232" s="171" t="n">
        <v>46208.41666666666</v>
      </c>
      <c r="E232" s="26" t="n">
        <v>0.2519444444444445</v>
      </c>
      <c r="F232" s="27" t="inlineStr">
        <is>
          <t>Shift 3</t>
        </is>
      </c>
      <c r="G232" s="27" t="n"/>
    </row>
    <row r="233">
      <c r="A233" s="27" t="inlineStr">
        <is>
          <t>MK00085</t>
        </is>
      </c>
      <c r="B233" s="27" t="n">
        <v>528000299</v>
      </c>
      <c r="C233" s="27" t="inlineStr">
        <is>
          <t>Siti Nurjanah</t>
        </is>
      </c>
      <c r="D233" s="171" t="n">
        <v>46208.41666666666</v>
      </c>
      <c r="E233" s="26" t="n">
        <v>0.2525462962962963</v>
      </c>
      <c r="F233" s="27" t="inlineStr">
        <is>
          <t>Shift 3</t>
        </is>
      </c>
      <c r="G233" s="27" t="n"/>
    </row>
    <row r="234">
      <c r="A234" s="27" t="inlineStr">
        <is>
          <t>MK00082</t>
        </is>
      </c>
      <c r="B234" s="27" t="n">
        <v>528000298</v>
      </c>
      <c r="C234" s="27" t="inlineStr">
        <is>
          <t>Desta Cahaya Pratama</t>
        </is>
      </c>
      <c r="D234" s="171" t="n">
        <v>46208.41666666666</v>
      </c>
      <c r="E234" s="26" t="n">
        <v>0.253125</v>
      </c>
      <c r="F234" s="27" t="inlineStr">
        <is>
          <t>Shift 3</t>
        </is>
      </c>
      <c r="G234" s="27" t="n"/>
    </row>
    <row r="235">
      <c r="A235" s="27" t="inlineStr">
        <is>
          <t>MK00213</t>
        </is>
      </c>
      <c r="B235" s="27" t="n">
        <v>628000091</v>
      </c>
      <c r="C235" s="27" t="inlineStr">
        <is>
          <t>Devita Handayani</t>
        </is>
      </c>
      <c r="D235" s="171" t="n">
        <v>46208.41666666666</v>
      </c>
      <c r="E235" s="26" t="n">
        <v>0.2532175925925926</v>
      </c>
      <c r="F235" s="27" t="inlineStr">
        <is>
          <t>Shift 3</t>
        </is>
      </c>
      <c r="G235" s="27" t="n"/>
    </row>
    <row r="236">
      <c r="A236" s="27" t="inlineStr">
        <is>
          <t>MK00145</t>
        </is>
      </c>
      <c r="B236" s="27" t="n">
        <v>528000098</v>
      </c>
      <c r="C236" s="27" t="inlineStr">
        <is>
          <t>Edi Junaedi</t>
        </is>
      </c>
      <c r="D236" s="171" t="n">
        <v>46208.41666666666</v>
      </c>
      <c r="E236" s="26" t="n">
        <v>0.2544675925925926</v>
      </c>
      <c r="F236" s="27" t="inlineStr">
        <is>
          <t>Shift 3</t>
        </is>
      </c>
      <c r="G236" s="27" t="n"/>
    </row>
    <row r="237">
      <c r="A237" s="27" t="inlineStr">
        <is>
          <t>MK00181</t>
        </is>
      </c>
      <c r="B237" s="27" t="n">
        <v>528000302</v>
      </c>
      <c r="C237" s="27" t="inlineStr">
        <is>
          <t>Henkey gumilar</t>
        </is>
      </c>
      <c r="D237" s="171" t="n">
        <v>46208.41666666666</v>
      </c>
      <c r="E237" s="26" t="n">
        <v>0.2567013888888889</v>
      </c>
      <c r="F237" s="27" t="inlineStr">
        <is>
          <t>Shift 3</t>
        </is>
      </c>
      <c r="G237" s="27" t="n"/>
    </row>
    <row r="238">
      <c r="A238" s="27" t="inlineStr">
        <is>
          <t>MK00221</t>
        </is>
      </c>
      <c r="B238" s="27" t="n">
        <v>628000061</v>
      </c>
      <c r="C238" s="27" t="inlineStr">
        <is>
          <t>Nayla Fadillah Exwantoro</t>
        </is>
      </c>
      <c r="D238" s="171" t="n">
        <v>46208.41666666666</v>
      </c>
      <c r="E238" s="26" t="n">
        <v>0.2676388888888889</v>
      </c>
      <c r="F238" s="27" t="inlineStr">
        <is>
          <t>Shift 3</t>
        </is>
      </c>
      <c r="G238" s="27" t="inlineStr">
        <is>
          <t>19E</t>
        </is>
      </c>
    </row>
    <row r="239">
      <c r="A239" s="27" t="inlineStr">
        <is>
          <t>MK00156</t>
        </is>
      </c>
      <c r="B239" s="27" t="n">
        <v>528000238</v>
      </c>
      <c r="C239" s="27" t="inlineStr">
        <is>
          <t>Indah Lusiana</t>
        </is>
      </c>
      <c r="D239" s="171" t="n">
        <v>46208.41666666666</v>
      </c>
      <c r="E239" s="26" t="n">
        <v>0.5781018518518518</v>
      </c>
      <c r="F239" s="27" t="inlineStr">
        <is>
          <t>Shift 1</t>
        </is>
      </c>
      <c r="G239" s="27" t="n"/>
    </row>
    <row r="240">
      <c r="A240" s="27" t="inlineStr">
        <is>
          <t>MK000184</t>
        </is>
      </c>
      <c r="B240" s="27" t="n">
        <v>528000291</v>
      </c>
      <c r="C240" s="27" t="inlineStr">
        <is>
          <t>Andrian</t>
        </is>
      </c>
      <c r="D240" s="171" t="n">
        <v>46208.41666666666</v>
      </c>
      <c r="E240" s="26" t="n">
        <v>0.5792708333333333</v>
      </c>
      <c r="F240" s="27" t="inlineStr">
        <is>
          <t>Shift 1</t>
        </is>
      </c>
      <c r="G240" s="27" t="n"/>
    </row>
    <row r="241">
      <c r="A241" s="27" t="inlineStr">
        <is>
          <t>MK00126</t>
        </is>
      </c>
      <c r="B241" s="27" t="n">
        <v>528000297</v>
      </c>
      <c r="C241" s="27" t="inlineStr">
        <is>
          <t>Muhamad Budiana</t>
        </is>
      </c>
      <c r="D241" s="171" t="n">
        <v>46208.41666666666</v>
      </c>
      <c r="E241" s="26" t="n">
        <v>0.5873495370370371</v>
      </c>
      <c r="F241" s="27" t="inlineStr">
        <is>
          <t>Shift 1</t>
        </is>
      </c>
      <c r="G241" s="27" t="n"/>
    </row>
    <row r="242">
      <c r="A242" s="27" t="inlineStr">
        <is>
          <t>MK00249</t>
        </is>
      </c>
      <c r="B242" s="27" t="n">
        <v>528000279</v>
      </c>
      <c r="C242" s="27" t="inlineStr">
        <is>
          <t>Mahdalena Dalfa Riani</t>
        </is>
      </c>
      <c r="D242" s="171" t="n">
        <v>46208.41666666666</v>
      </c>
      <c r="E242" s="26" t="n">
        <v>0.5899652777777777</v>
      </c>
      <c r="F242" s="27" t="inlineStr">
        <is>
          <t>Shift 1</t>
        </is>
      </c>
      <c r="G242" s="27" t="n"/>
    </row>
    <row r="243">
      <c r="A243" s="27" t="inlineStr">
        <is>
          <t>MK00145</t>
        </is>
      </c>
      <c r="B243" s="27" t="n">
        <v>528000015</v>
      </c>
      <c r="C243" s="27" t="inlineStr">
        <is>
          <t>Erwin</t>
        </is>
      </c>
      <c r="D243" s="171" t="n">
        <v>46208.41666666666</v>
      </c>
      <c r="E243" s="26" t="n">
        <v>0.7067013888888889</v>
      </c>
      <c r="F243" s="27" t="inlineStr">
        <is>
          <t>Shift 2</t>
        </is>
      </c>
      <c r="G243" s="27" t="n"/>
    </row>
    <row r="244">
      <c r="A244" s="27" t="inlineStr">
        <is>
          <t>MK00205</t>
        </is>
      </c>
      <c r="B244" s="27" t="n">
        <v>528000348</v>
      </c>
      <c r="C244" s="27" t="inlineStr">
        <is>
          <t>Saepuloh Ardiansah</t>
        </is>
      </c>
      <c r="D244" s="171" t="n">
        <v>46208.41666666666</v>
      </c>
      <c r="E244" s="26" t="n">
        <v>0.737037037037037</v>
      </c>
      <c r="F244" s="27" t="inlineStr">
        <is>
          <t>Shift 2</t>
        </is>
      </c>
      <c r="G244" s="27" t="n"/>
    </row>
    <row r="245">
      <c r="A245" s="27" t="inlineStr">
        <is>
          <t>MK00112</t>
        </is>
      </c>
      <c r="B245" s="27" t="n">
        <v>528000270</v>
      </c>
      <c r="C245" s="27" t="inlineStr">
        <is>
          <t>Febri Najmudin</t>
        </is>
      </c>
      <c r="D245" s="171" t="n">
        <v>46208.41666666666</v>
      </c>
      <c r="E245" s="26" t="n">
        <v>0.9076273148148148</v>
      </c>
      <c r="F245" s="27" t="inlineStr">
        <is>
          <t>Shift 2</t>
        </is>
      </c>
      <c r="G245" s="27" t="n"/>
    </row>
    <row r="246">
      <c r="A246" s="27" t="inlineStr">
        <is>
          <t>MK00192</t>
        </is>
      </c>
      <c r="B246" s="27" t="n">
        <v>528000261</v>
      </c>
      <c r="C246" s="27" t="inlineStr">
        <is>
          <t>Ergi Ergianto</t>
        </is>
      </c>
      <c r="D246" s="171" t="n">
        <v>46208.41666666666</v>
      </c>
      <c r="E246" s="26" t="n">
        <v>0.9184837962962963</v>
      </c>
      <c r="F246" s="27" t="inlineStr">
        <is>
          <t>Shift 2</t>
        </is>
      </c>
      <c r="G246" s="27" t="n"/>
    </row>
    <row r="247">
      <c r="A247" s="27" t="inlineStr">
        <is>
          <t>MK00155</t>
        </is>
      </c>
      <c r="B247" s="27" t="n">
        <v>528000262</v>
      </c>
      <c r="C247" s="27" t="inlineStr">
        <is>
          <t>Ndari Dwiwanti</t>
        </is>
      </c>
      <c r="D247" s="171" t="n">
        <v>46208.41666666666</v>
      </c>
      <c r="E247" s="26" t="n">
        <v>0.9186458333333334</v>
      </c>
      <c r="F247" s="27" t="inlineStr">
        <is>
          <t>Shift 2</t>
        </is>
      </c>
      <c r="G247" s="27" t="n"/>
    </row>
    <row r="248">
      <c r="A248" s="27" t="inlineStr">
        <is>
          <t>MK00141</t>
        </is>
      </c>
      <c r="B248" s="27" t="n">
        <v>528000195</v>
      </c>
      <c r="C248" s="27" t="inlineStr">
        <is>
          <t>Rahma Sariwati</t>
        </is>
      </c>
      <c r="D248" s="171" t="n">
        <v>46208.41666666666</v>
      </c>
      <c r="E248" s="26" t="n">
        <v>0.9191435185185185</v>
      </c>
      <c r="F248" s="27" t="inlineStr">
        <is>
          <t>Shift 2</t>
        </is>
      </c>
      <c r="G248" s="27" t="n"/>
    </row>
    <row r="249">
      <c r="A249" s="27" t="inlineStr">
        <is>
          <t>MK00150</t>
        </is>
      </c>
      <c r="B249" s="27" t="n">
        <v>528000266</v>
      </c>
      <c r="C249" s="27" t="inlineStr">
        <is>
          <t>M. Syirajatieq</t>
        </is>
      </c>
      <c r="D249" s="171" t="n">
        <v>46208.41666666666</v>
      </c>
      <c r="E249" s="26" t="n">
        <v>0.9193518518518519</v>
      </c>
      <c r="F249" s="27" t="inlineStr">
        <is>
          <t>Shift 2</t>
        </is>
      </c>
      <c r="G249" s="27" t="n"/>
    </row>
    <row r="250">
      <c r="A250" s="27" t="inlineStr">
        <is>
          <t>MK00250</t>
        </is>
      </c>
      <c r="B250" s="27" t="n">
        <v>528000238</v>
      </c>
      <c r="C250" s="27" t="inlineStr">
        <is>
          <t>Indah Lusiana</t>
        </is>
      </c>
      <c r="D250" s="171" t="n">
        <v>46208.41666666666</v>
      </c>
      <c r="E250" s="26" t="n">
        <v>0.9198611111111111</v>
      </c>
      <c r="F250" s="27" t="inlineStr">
        <is>
          <t>Shift 2</t>
        </is>
      </c>
      <c r="G250" s="27" t="n"/>
    </row>
    <row r="251">
      <c r="A251" s="27" t="inlineStr">
        <is>
          <t>MK00046</t>
        </is>
      </c>
      <c r="B251" s="27" t="n">
        <v>528000283</v>
      </c>
      <c r="C251" s="27" t="inlineStr">
        <is>
          <t>Purwanda Sugiri</t>
        </is>
      </c>
      <c r="D251" s="171" t="n">
        <v>46208.41666666666</v>
      </c>
      <c r="E251" s="26" t="n">
        <v>0.9200810185185185</v>
      </c>
      <c r="F251" s="27" t="inlineStr">
        <is>
          <t>Shift 2</t>
        </is>
      </c>
      <c r="G251" s="27" t="n"/>
    </row>
    <row r="252">
      <c r="A252" s="27" t="inlineStr">
        <is>
          <t>MK00088</t>
        </is>
      </c>
      <c r="B252" s="27" t="n">
        <v>528000291</v>
      </c>
      <c r="C252" s="27" t="inlineStr">
        <is>
          <t>Andrian</t>
        </is>
      </c>
      <c r="D252" s="171" t="n">
        <v>46208.41666666666</v>
      </c>
      <c r="E252" s="26" t="n">
        <v>0.9201736111111111</v>
      </c>
      <c r="F252" s="27" t="inlineStr">
        <is>
          <t>Shift 2</t>
        </is>
      </c>
      <c r="G252" s="27" t="n"/>
    </row>
    <row r="253">
      <c r="A253" s="27" t="inlineStr">
        <is>
          <t>MK00082</t>
        </is>
      </c>
      <c r="B253" s="27" t="n">
        <v>528000358</v>
      </c>
      <c r="C253" s="27" t="inlineStr">
        <is>
          <t>Lulu Agustin</t>
        </is>
      </c>
      <c r="D253" s="171" t="n">
        <v>46208.41666666666</v>
      </c>
      <c r="E253" s="26" t="n">
        <v>0.9204398148148148</v>
      </c>
      <c r="F253" s="27" t="inlineStr">
        <is>
          <t>Shift 2</t>
        </is>
      </c>
      <c r="G253" s="27" t="n"/>
    </row>
    <row r="254">
      <c r="A254" s="27" t="inlineStr">
        <is>
          <t>MK00085</t>
        </is>
      </c>
      <c r="B254" s="27" t="n">
        <v>528000301</v>
      </c>
      <c r="C254" s="27" t="inlineStr">
        <is>
          <t>Muhammad Mukti Ridwan</t>
        </is>
      </c>
      <c r="D254" s="171" t="n">
        <v>46208.41666666666</v>
      </c>
      <c r="E254" s="26" t="n">
        <v>0.9205902777777778</v>
      </c>
      <c r="F254" s="27" t="inlineStr">
        <is>
          <t>Shift 2</t>
        </is>
      </c>
      <c r="G254" s="27" t="n"/>
    </row>
    <row r="255">
      <c r="A255" s="27" t="inlineStr">
        <is>
          <t>MK00156</t>
        </is>
      </c>
      <c r="B255" s="27" t="n">
        <v>528000306</v>
      </c>
      <c r="C255" s="27" t="inlineStr">
        <is>
          <t>Windy Olivia</t>
        </is>
      </c>
      <c r="D255" s="171" t="n">
        <v>46149.41666666666</v>
      </c>
      <c r="E255" s="26" t="n">
        <v>0.2531944444444444</v>
      </c>
      <c r="F255" s="27" t="inlineStr">
        <is>
          <t>Shift 3</t>
        </is>
      </c>
      <c r="G255" s="27" t="n"/>
    </row>
    <row r="256">
      <c r="A256" s="27" t="inlineStr">
        <is>
          <t>MK00113</t>
        </is>
      </c>
      <c r="B256" s="27" t="n">
        <v>528000305</v>
      </c>
      <c r="C256" s="27" t="inlineStr">
        <is>
          <t>Puji Puspita</t>
        </is>
      </c>
      <c r="D256" s="171" t="n">
        <v>46149.41666666666</v>
      </c>
      <c r="E256" s="26" t="n">
        <v>0.2535069444444444</v>
      </c>
      <c r="F256" s="27" t="inlineStr">
        <is>
          <t>Shift 3</t>
        </is>
      </c>
      <c r="G256" s="27" t="n"/>
    </row>
    <row r="257">
      <c r="A257" s="27" t="inlineStr">
        <is>
          <t>MK00093</t>
        </is>
      </c>
      <c r="B257" s="27" t="n">
        <v>528000298</v>
      </c>
      <c r="C257" s="27" t="inlineStr">
        <is>
          <t>Desta Cahaya Pratama</t>
        </is>
      </c>
      <c r="D257" s="171" t="n">
        <v>46149.41666666666</v>
      </c>
      <c r="E257" s="26" t="n">
        <v>0.2539467592592592</v>
      </c>
      <c r="F257" s="27" t="inlineStr">
        <is>
          <t>Shift 3</t>
        </is>
      </c>
      <c r="G257" s="27" t="n"/>
    </row>
    <row r="258">
      <c r="A258" s="27" t="inlineStr">
        <is>
          <t>MK00154</t>
        </is>
      </c>
      <c r="B258" s="27" t="n">
        <v>528000302</v>
      </c>
      <c r="C258" s="27" t="inlineStr">
        <is>
          <t>Henkey gumilar</t>
        </is>
      </c>
      <c r="D258" s="171" t="n">
        <v>46149.41666666666</v>
      </c>
      <c r="E258" s="26" t="n">
        <v>0.2558217592592593</v>
      </c>
      <c r="F258" s="27" t="inlineStr">
        <is>
          <t>Shift 3</t>
        </is>
      </c>
      <c r="G258" s="27" t="n"/>
    </row>
    <row r="259">
      <c r="A259" s="27" t="inlineStr">
        <is>
          <t>MK00181</t>
        </is>
      </c>
      <c r="B259" s="27" t="n">
        <v>528000270</v>
      </c>
      <c r="C259" s="27" t="inlineStr">
        <is>
          <t>Febri Najmudin</t>
        </is>
      </c>
      <c r="D259" s="171" t="n">
        <v>46149.41666666666</v>
      </c>
      <c r="E259" s="26" t="n">
        <v>0.2700231481481482</v>
      </c>
      <c r="F259" s="27" t="inlineStr">
        <is>
          <t>Shift 3</t>
        </is>
      </c>
      <c r="G259" s="27" t="n"/>
    </row>
    <row r="260">
      <c r="A260" s="27" t="inlineStr">
        <is>
          <t>MK00151</t>
        </is>
      </c>
      <c r="B260" s="27" t="n">
        <v>528000098</v>
      </c>
      <c r="C260" s="27" t="inlineStr">
        <is>
          <t>Edi Junaedi</t>
        </is>
      </c>
      <c r="D260" s="171" t="n">
        <v>46149.41666666666</v>
      </c>
      <c r="E260" s="26" t="n">
        <v>0.3275115740740741</v>
      </c>
      <c r="F260" s="27" t="inlineStr">
        <is>
          <t>Shift 3</t>
        </is>
      </c>
      <c r="G260" s="27" t="n"/>
    </row>
    <row r="261">
      <c r="A261" s="27" t="inlineStr">
        <is>
          <t>MK00249</t>
        </is>
      </c>
      <c r="B261" s="27" t="n">
        <v>628000091</v>
      </c>
      <c r="C261" s="27" t="inlineStr">
        <is>
          <t>Devita Handayani</t>
        </is>
      </c>
      <c r="D261" s="171" t="n">
        <v>46149.41666666666</v>
      </c>
      <c r="E261" s="26" t="n">
        <v>0.3279861111111111</v>
      </c>
      <c r="F261" s="27" t="inlineStr">
        <is>
          <t>Shift 3</t>
        </is>
      </c>
      <c r="G261" s="27" t="n"/>
    </row>
    <row r="262">
      <c r="A262" s="27" t="inlineStr">
        <is>
          <t>MK00116</t>
        </is>
      </c>
      <c r="B262" s="27" t="n">
        <v>528000273</v>
      </c>
      <c r="C262" s="27" t="inlineStr">
        <is>
          <t>Asep Mulyana</t>
        </is>
      </c>
      <c r="D262" s="171" t="n">
        <v>46149.41666666666</v>
      </c>
      <c r="E262" s="26" t="n">
        <v>0.3314930555555556</v>
      </c>
      <c r="F262" s="27" t="inlineStr">
        <is>
          <t>Shift 3</t>
        </is>
      </c>
      <c r="G262" s="27" t="n"/>
    </row>
    <row r="263">
      <c r="A263" s="27" t="inlineStr">
        <is>
          <t>MK00158</t>
        </is>
      </c>
      <c r="B263" s="27" t="n">
        <v>528000203</v>
      </c>
      <c r="C263" s="27" t="inlineStr">
        <is>
          <t>Yudha Ramdhan Putra</t>
        </is>
      </c>
      <c r="D263" s="171" t="n">
        <v>46149.41666666666</v>
      </c>
      <c r="E263" s="26" t="n">
        <v>0.3333101851851852</v>
      </c>
      <c r="F263" s="27" t="inlineStr">
        <is>
          <t>Shift 3</t>
        </is>
      </c>
      <c r="G263" s="27" t="n"/>
    </row>
    <row r="264">
      <c r="A264" s="27" t="inlineStr">
        <is>
          <t>MK00199</t>
        </is>
      </c>
      <c r="B264" s="27" t="n">
        <v>528000090</v>
      </c>
      <c r="C264" s="27" t="inlineStr">
        <is>
          <t>Suganda</t>
        </is>
      </c>
      <c r="D264" s="171" t="n">
        <v>46149.41666666666</v>
      </c>
      <c r="E264" s="26" t="n">
        <v>0.3336689814814815</v>
      </c>
      <c r="F264" s="27" t="inlineStr">
        <is>
          <t>Shift 1</t>
        </is>
      </c>
      <c r="G264" s="27" t="n"/>
    </row>
    <row r="265">
      <c r="A265" s="27" t="inlineStr">
        <is>
          <t>MK0085</t>
        </is>
      </c>
      <c r="B265" s="27" t="n">
        <v>528000267</v>
      </c>
      <c r="C265" s="27" t="inlineStr">
        <is>
          <t>Bagas Patulloh</t>
        </is>
      </c>
      <c r="D265" s="171" t="n">
        <v>46149.41666666666</v>
      </c>
      <c r="E265" s="26" t="n">
        <v>0.33375</v>
      </c>
      <c r="F265" s="27" t="inlineStr">
        <is>
          <t>Shift 1</t>
        </is>
      </c>
      <c r="G265" s="27" t="n"/>
    </row>
    <row r="266">
      <c r="A266" s="27" t="inlineStr">
        <is>
          <t>MK00212</t>
        </is>
      </c>
      <c r="B266" s="27" t="n">
        <v>528000144</v>
      </c>
      <c r="C266" s="27" t="inlineStr">
        <is>
          <t>Jodi Hanafi</t>
        </is>
      </c>
      <c r="D266" s="171" t="n">
        <v>46149.41666666666</v>
      </c>
      <c r="E266" s="26" t="n">
        <v>0.3341898148148148</v>
      </c>
      <c r="F266" s="27" t="inlineStr">
        <is>
          <t>Shift 1</t>
        </is>
      </c>
      <c r="G266" s="27" t="n"/>
    </row>
    <row r="267">
      <c r="A267" s="27" t="inlineStr">
        <is>
          <t>MK00150</t>
        </is>
      </c>
      <c r="B267" s="27" t="n">
        <v>528000290</v>
      </c>
      <c r="C267" s="27" t="inlineStr">
        <is>
          <t>Eval Pranata</t>
        </is>
      </c>
      <c r="D267" s="171" t="n">
        <v>46149.41666666666</v>
      </c>
      <c r="E267" s="26" t="n">
        <v>0.5867476851851852</v>
      </c>
      <c r="F267" s="27" t="inlineStr">
        <is>
          <t>Shift 1</t>
        </is>
      </c>
      <c r="G267" s="27" t="n"/>
    </row>
    <row r="268">
      <c r="A268" s="27" t="inlineStr">
        <is>
          <t>MK00155</t>
        </is>
      </c>
      <c r="B268" s="27" t="n">
        <v>528000274</v>
      </c>
      <c r="C268" s="27" t="inlineStr">
        <is>
          <t>Zepri</t>
        </is>
      </c>
      <c r="D268" s="171" t="n">
        <v>46149.41666666666</v>
      </c>
      <c r="E268" s="26" t="n">
        <v>0.5869097222222223</v>
      </c>
      <c r="F268" s="27" t="inlineStr">
        <is>
          <t>Shift 1</t>
        </is>
      </c>
      <c r="G268" s="27" t="n"/>
    </row>
    <row r="269">
      <c r="A269" s="27" t="inlineStr">
        <is>
          <t>MK00250</t>
        </is>
      </c>
      <c r="B269" s="27" t="n">
        <v>528000201</v>
      </c>
      <c r="C269" s="27" t="inlineStr">
        <is>
          <t>Zahwa Amelia Choerunissa</t>
        </is>
      </c>
      <c r="D269" s="171" t="n">
        <v>46149.41666666666</v>
      </c>
      <c r="E269" s="26" t="n">
        <v>0.5872569444444444</v>
      </c>
      <c r="F269" s="27" t="inlineStr">
        <is>
          <t>Shift 1</t>
        </is>
      </c>
      <c r="G269" s="27" t="n"/>
    </row>
    <row r="270">
      <c r="A270" s="27" t="inlineStr">
        <is>
          <t>MK0082</t>
        </is>
      </c>
      <c r="B270" s="27" t="n">
        <v>528000241</v>
      </c>
      <c r="C270" s="27" t="inlineStr">
        <is>
          <t>Balia Nurafif Bilah</t>
        </is>
      </c>
      <c r="D270" s="171" t="n">
        <v>46149.41666666666</v>
      </c>
      <c r="E270" s="26" t="n">
        <v>0.5873611111111111</v>
      </c>
      <c r="F270" s="27" t="inlineStr">
        <is>
          <t>Shift 1</t>
        </is>
      </c>
      <c r="G270" s="27" t="n"/>
    </row>
    <row r="271">
      <c r="A271" s="27" t="inlineStr">
        <is>
          <t>MK00184</t>
        </is>
      </c>
      <c r="B271" s="27" t="n">
        <v>528000099</v>
      </c>
      <c r="C271" s="27" t="inlineStr">
        <is>
          <t>Siti Nurawaliah</t>
        </is>
      </c>
      <c r="D271" s="171" t="n">
        <v>46149.41666666666</v>
      </c>
      <c r="E271" s="26" t="n">
        <v>0.5877199074074074</v>
      </c>
      <c r="F271" s="27" t="inlineStr">
        <is>
          <t>Shift 1</t>
        </is>
      </c>
      <c r="G271" s="27" t="n"/>
    </row>
    <row r="272">
      <c r="A272" s="27" t="inlineStr">
        <is>
          <t>MK00141</t>
        </is>
      </c>
      <c r="B272" s="27" t="n">
        <v>528000228</v>
      </c>
      <c r="C272" s="27" t="inlineStr">
        <is>
          <t>Banyu Resmi Putri</t>
        </is>
      </c>
      <c r="D272" s="171" t="n">
        <v>46149.41666666666</v>
      </c>
      <c r="E272" s="26" t="n">
        <v>0.5894444444444444</v>
      </c>
      <c r="F272" s="27" t="inlineStr">
        <is>
          <t>Shift 1</t>
        </is>
      </c>
      <c r="G272" s="27" t="n"/>
    </row>
    <row r="273">
      <c r="A273" s="27" t="inlineStr">
        <is>
          <t>MK0046</t>
        </is>
      </c>
      <c r="B273" s="27" t="n">
        <v>528000286</v>
      </c>
      <c r="C273" s="27" t="inlineStr">
        <is>
          <t>Imelda Amelia</t>
        </is>
      </c>
      <c r="D273" s="171" t="n">
        <v>46149.41666666666</v>
      </c>
      <c r="E273" s="26" t="n">
        <v>0.5900462962962963</v>
      </c>
      <c r="F273" s="27" t="inlineStr">
        <is>
          <t>Shift 1</t>
        </is>
      </c>
      <c r="G273" s="27" t="n"/>
    </row>
    <row r="274">
      <c r="A274" s="27" t="inlineStr">
        <is>
          <t>MK00221</t>
        </is>
      </c>
      <c r="B274" s="27" t="n">
        <v>528000244</v>
      </c>
      <c r="C274" s="27" t="inlineStr">
        <is>
          <t>Rodian Rifai</t>
        </is>
      </c>
      <c r="D274" s="171" t="n">
        <v>46149.41666666666</v>
      </c>
      <c r="E274" s="26" t="n">
        <v>0.6365740740740741</v>
      </c>
      <c r="F274" s="27" t="inlineStr">
        <is>
          <t>Shift 1</t>
        </is>
      </c>
      <c r="G274" s="27" t="n"/>
    </row>
    <row r="275">
      <c r="A275" s="27" t="inlineStr">
        <is>
          <t>MK00186</t>
        </is>
      </c>
      <c r="B275" s="27" t="n">
        <v>528000149</v>
      </c>
      <c r="C275" s="27" t="inlineStr">
        <is>
          <t>Tio Fernanda</t>
        </is>
      </c>
      <c r="D275" s="171" t="n">
        <v>46149.41666666666</v>
      </c>
      <c r="E275" s="26" t="n">
        <v>0.6639930555555555</v>
      </c>
      <c r="F275" s="27" t="inlineStr">
        <is>
          <t>Shift 1</t>
        </is>
      </c>
      <c r="G275" s="27" t="n"/>
    </row>
    <row r="276">
      <c r="A276" s="27" t="inlineStr">
        <is>
          <t>MK00181</t>
        </is>
      </c>
      <c r="B276" s="27" t="n">
        <v>528000282</v>
      </c>
      <c r="C276" s="27" t="inlineStr">
        <is>
          <t>Defa Desfiana</t>
        </is>
      </c>
      <c r="D276" s="171" t="n">
        <v>46149.41666666666</v>
      </c>
      <c r="E276" s="26" t="n">
        <v>0.6688425925925926</v>
      </c>
      <c r="F276" s="27" t="inlineStr">
        <is>
          <t>Shift 2</t>
        </is>
      </c>
      <c r="G276" s="27" t="inlineStr">
        <is>
          <t>23c</t>
        </is>
      </c>
    </row>
    <row r="277">
      <c r="A277" s="27" t="inlineStr">
        <is>
          <t>MK00158</t>
        </is>
      </c>
      <c r="B277" s="27" t="n">
        <v>528000267</v>
      </c>
      <c r="C277" s="27" t="inlineStr">
        <is>
          <t>Bagas Patulloh</t>
        </is>
      </c>
      <c r="D277" s="171" t="n">
        <v>46149.41666666666</v>
      </c>
      <c r="E277" s="26" t="n">
        <v>0.6691435185185185</v>
      </c>
      <c r="F277" s="27" t="inlineStr">
        <is>
          <t>Shift 2</t>
        </is>
      </c>
      <c r="G277" s="27" t="n"/>
    </row>
    <row r="278">
      <c r="A278" s="27" t="inlineStr">
        <is>
          <t>MK00154</t>
        </is>
      </c>
      <c r="B278" s="27" t="n">
        <v>528000351</v>
      </c>
      <c r="C278" s="27" t="inlineStr">
        <is>
          <t>Mulyana</t>
        </is>
      </c>
      <c r="D278" s="171" t="n">
        <v>46149.41666666666</v>
      </c>
      <c r="E278" s="26" t="n">
        <v>0.6696296296296296</v>
      </c>
      <c r="F278" s="27" t="inlineStr">
        <is>
          <t>Shift 2</t>
        </is>
      </c>
      <c r="G278" s="27" t="n"/>
    </row>
    <row r="279">
      <c r="A279" s="27" t="inlineStr">
        <is>
          <t>MK00136</t>
        </is>
      </c>
      <c r="B279" s="27" t="n">
        <v>528000287</v>
      </c>
      <c r="C279" s="27" t="inlineStr">
        <is>
          <t>Muhamad Angga Ramdani</t>
        </is>
      </c>
      <c r="D279" s="171" t="n">
        <v>46149.41666666666</v>
      </c>
      <c r="E279" s="26" t="n">
        <v>0.6709375</v>
      </c>
      <c r="F279" s="27" t="inlineStr">
        <is>
          <t>Shift 2</t>
        </is>
      </c>
      <c r="G279" s="27" t="n"/>
    </row>
    <row r="280">
      <c r="A280" s="27" t="inlineStr">
        <is>
          <t>MK00113</t>
        </is>
      </c>
      <c r="B280" s="27" t="n">
        <v>528000055</v>
      </c>
      <c r="C280" s="27" t="inlineStr">
        <is>
          <t>Dika Prasetya</t>
        </is>
      </c>
      <c r="D280" s="171" t="n">
        <v>46149.41666666666</v>
      </c>
      <c r="E280" s="26" t="n">
        <v>0.6721643518518519</v>
      </c>
      <c r="F280" s="27" t="inlineStr">
        <is>
          <t>Shift 2</t>
        </is>
      </c>
      <c r="G280" s="27" t="n"/>
    </row>
    <row r="281">
      <c r="A281" s="27" t="inlineStr">
        <is>
          <t>MK00209</t>
        </is>
      </c>
      <c r="B281" s="27" t="n">
        <v>528000265</v>
      </c>
      <c r="C281" s="27" t="inlineStr">
        <is>
          <t>Muhammad Haerul Rozikin</t>
        </is>
      </c>
      <c r="D281" s="171" t="n">
        <v>46149.41666666666</v>
      </c>
      <c r="E281" s="26" t="n">
        <v>0.6724421296296297</v>
      </c>
      <c r="F281" s="27" t="inlineStr">
        <is>
          <t>Shift 2</t>
        </is>
      </c>
      <c r="G281" s="27" t="n"/>
    </row>
    <row r="282">
      <c r="A282" s="27" t="inlineStr">
        <is>
          <t>MK00151</t>
        </is>
      </c>
      <c r="B282" s="27" t="n">
        <v>528000273</v>
      </c>
      <c r="C282" s="27" t="inlineStr">
        <is>
          <t>Asep Mulyana</t>
        </is>
      </c>
      <c r="D282" s="171" t="n">
        <v>46149.41666666666</v>
      </c>
      <c r="E282" s="26" t="n">
        <v>0.6732175925925926</v>
      </c>
      <c r="F282" s="27" t="inlineStr">
        <is>
          <t>Shift 2</t>
        </is>
      </c>
      <c r="G282" s="27" t="n"/>
    </row>
    <row r="283">
      <c r="A283" s="27" t="inlineStr">
        <is>
          <t>MK00249</t>
        </is>
      </c>
      <c r="B283" s="27" t="n">
        <v>528000349</v>
      </c>
      <c r="C283" s="27" t="inlineStr">
        <is>
          <t>Anas Abdul Fatah</t>
        </is>
      </c>
      <c r="D283" s="171" t="n">
        <v>46149.41666666666</v>
      </c>
      <c r="E283" s="26" t="n">
        <v>0.675150462962963</v>
      </c>
      <c r="F283" s="27" t="inlineStr">
        <is>
          <t>Shift 2</t>
        </is>
      </c>
      <c r="G283" s="27" t="n"/>
    </row>
    <row r="284">
      <c r="A284" s="27" t="inlineStr">
        <is>
          <t>MK00118</t>
        </is>
      </c>
      <c r="B284" s="27" t="n">
        <v>528000232</v>
      </c>
      <c r="C284" s="27" t="inlineStr">
        <is>
          <t>Agung Aji Suhada</t>
        </is>
      </c>
      <c r="D284" s="171" t="n">
        <v>46149.41666666666</v>
      </c>
      <c r="E284" s="26" t="n">
        <v>0.7112731481481481</v>
      </c>
      <c r="F284" s="27" t="inlineStr">
        <is>
          <t>Shift 2</t>
        </is>
      </c>
      <c r="G284" s="27" t="n"/>
    </row>
    <row r="285">
      <c r="A285" s="27" t="inlineStr">
        <is>
          <t>MK00192</t>
        </is>
      </c>
      <c r="B285" s="27" t="n">
        <v>528000292</v>
      </c>
      <c r="C285" s="27" t="inlineStr">
        <is>
          <t>Aditia Nugraha</t>
        </is>
      </c>
      <c r="D285" s="171" t="n">
        <v>46149.41666666666</v>
      </c>
      <c r="E285" s="26" t="n">
        <v>0.7118518518518518</v>
      </c>
      <c r="F285" s="27" t="inlineStr">
        <is>
          <t>Shift 2</t>
        </is>
      </c>
      <c r="G285" s="27" t="n"/>
    </row>
    <row r="286">
      <c r="A286" s="27" t="inlineStr">
        <is>
          <t>MK00085</t>
        </is>
      </c>
      <c r="B286" s="27" t="n">
        <v>528000203</v>
      </c>
      <c r="C286" s="27" t="inlineStr">
        <is>
          <t>Yudha Ramdhan Putra</t>
        </is>
      </c>
      <c r="D286" s="171" t="n">
        <v>46149.41666666666</v>
      </c>
      <c r="E286" s="26" t="n">
        <v>0.7122916666666667</v>
      </c>
      <c r="F286" s="27" t="inlineStr">
        <is>
          <t>Shift 2</t>
        </is>
      </c>
      <c r="G286" s="27" t="n"/>
    </row>
    <row r="287">
      <c r="A287" s="27" t="inlineStr">
        <is>
          <t>MK00205</t>
        </is>
      </c>
      <c r="B287" s="27" t="n">
        <v>528000348</v>
      </c>
      <c r="C287" s="27" t="inlineStr">
        <is>
          <t>Saepuloh Ardiansah</t>
        </is>
      </c>
      <c r="D287" s="171" t="n">
        <v>46149.41666666666</v>
      </c>
      <c r="E287" s="26" t="n">
        <v>0.8766898148148148</v>
      </c>
      <c r="F287" s="27" t="inlineStr">
        <is>
          <t>Shift 2</t>
        </is>
      </c>
      <c r="G287" s="27" t="n"/>
    </row>
    <row r="288">
      <c r="A288" s="27" t="inlineStr">
        <is>
          <t>MK00212</t>
        </is>
      </c>
      <c r="B288" s="27" t="n">
        <v>528000132</v>
      </c>
      <c r="C288" s="27" t="inlineStr">
        <is>
          <t>Giopani</t>
        </is>
      </c>
      <c r="D288" s="171" t="n">
        <v>46149.41666666666</v>
      </c>
      <c r="E288" s="26" t="n">
        <v>0.8780671296296296</v>
      </c>
      <c r="F288" s="27" t="inlineStr">
        <is>
          <t>Shift 2</t>
        </is>
      </c>
      <c r="G288" s="27" t="n"/>
    </row>
    <row r="289">
      <c r="A289" s="27" t="inlineStr">
        <is>
          <t>MK00145</t>
        </is>
      </c>
      <c r="B289" s="27" t="n">
        <v>628000061</v>
      </c>
      <c r="C289" s="27" t="inlineStr">
        <is>
          <t>Nayla Fadillah Exwantoro</t>
        </is>
      </c>
      <c r="D289" s="171" t="n">
        <v>46149.41666666666</v>
      </c>
      <c r="E289" s="26" t="n">
        <v>0.8790740740740741</v>
      </c>
      <c r="F289" s="27" t="inlineStr">
        <is>
          <t>Shift 2</t>
        </is>
      </c>
      <c r="G289" s="27" t="n"/>
    </row>
    <row r="290">
      <c r="A290" s="27" t="inlineStr">
        <is>
          <t>MK00126</t>
        </is>
      </c>
      <c r="B290" s="27" t="n">
        <v>528000195</v>
      </c>
      <c r="C290" s="27" t="inlineStr">
        <is>
          <t>Rahma Sariwati</t>
        </is>
      </c>
      <c r="D290" s="171" t="n">
        <v>46149.41666666666</v>
      </c>
      <c r="E290" s="26" t="n">
        <v>0.9175231481481482</v>
      </c>
      <c r="F290" s="27" t="inlineStr">
        <is>
          <t>Shift 2</t>
        </is>
      </c>
      <c r="G290" s="27" t="n"/>
    </row>
    <row r="291">
      <c r="A291" s="27" t="inlineStr">
        <is>
          <t>MK00138</t>
        </is>
      </c>
      <c r="B291" s="27" t="n">
        <v>528000262</v>
      </c>
      <c r="C291" s="27" t="inlineStr">
        <is>
          <t>Ndari Dwiwanti</t>
        </is>
      </c>
      <c r="D291" s="171" t="n">
        <v>46149.41666666666</v>
      </c>
      <c r="E291" s="26" t="n">
        <v>0.9182754629629629</v>
      </c>
      <c r="F291" s="27" t="inlineStr">
        <is>
          <t>Shift 2</t>
        </is>
      </c>
      <c r="G291" s="27" t="n"/>
    </row>
    <row r="292">
      <c r="A292" s="27" t="inlineStr">
        <is>
          <t>MK00116</t>
        </is>
      </c>
      <c r="B292" s="27" t="n">
        <v>528000358</v>
      </c>
      <c r="C292" s="27" t="inlineStr">
        <is>
          <t>Lulu Agustin</t>
        </is>
      </c>
      <c r="D292" s="171" t="n">
        <v>46149.41666666666</v>
      </c>
      <c r="E292" s="26" t="n">
        <v>0.9189583333333333</v>
      </c>
      <c r="F292" s="27" t="inlineStr">
        <is>
          <t>Shift 2</t>
        </is>
      </c>
      <c r="G292" s="27" t="n"/>
    </row>
    <row r="293">
      <c r="A293" s="27" t="inlineStr">
        <is>
          <t>MK00082</t>
        </is>
      </c>
      <c r="B293" s="27" t="n">
        <v>528000015</v>
      </c>
      <c r="C293" s="27" t="inlineStr">
        <is>
          <t>Erwin</t>
        </is>
      </c>
      <c r="D293" s="171" t="n">
        <v>46150.41666666666</v>
      </c>
      <c r="E293" s="26" t="n">
        <v>0.001006944444444444</v>
      </c>
      <c r="F293" s="27" t="inlineStr">
        <is>
          <t>Shift 3</t>
        </is>
      </c>
      <c r="G293" s="27" t="n"/>
    </row>
    <row r="294">
      <c r="A294" s="27" t="inlineStr">
        <is>
          <t>MK00186</t>
        </is>
      </c>
      <c r="B294" s="27" t="n">
        <v>528000149</v>
      </c>
      <c r="C294" s="27" t="inlineStr">
        <is>
          <t>Tio Fernanda</t>
        </is>
      </c>
      <c r="D294" s="171" t="n">
        <v>46150.41666666666</v>
      </c>
      <c r="E294" s="26" t="n">
        <v>0.0015625</v>
      </c>
      <c r="F294" s="27" t="inlineStr">
        <is>
          <t>Shift 3</t>
        </is>
      </c>
      <c r="G294" s="27" t="n"/>
    </row>
    <row r="295">
      <c r="A295" s="27" t="inlineStr">
        <is>
          <t>MK00213</t>
        </is>
      </c>
      <c r="B295" s="27" t="n">
        <v>528000144</v>
      </c>
      <c r="C295" s="27" t="inlineStr">
        <is>
          <t>Jodi Hanafi</t>
        </is>
      </c>
      <c r="D295" s="171" t="n">
        <v>46150.41666666666</v>
      </c>
      <c r="E295" s="26" t="n">
        <v>0.00224537037037037</v>
      </c>
      <c r="F295" s="27" t="inlineStr">
        <is>
          <t>Shift 3</t>
        </is>
      </c>
      <c r="G295" s="27" t="n"/>
    </row>
    <row r="296">
      <c r="A296" s="27" t="inlineStr">
        <is>
          <t>MK00151</t>
        </is>
      </c>
      <c r="B296" s="27" t="n">
        <v>528000299</v>
      </c>
      <c r="C296" s="27" t="inlineStr">
        <is>
          <t>Siti Nurjanah</t>
        </is>
      </c>
      <c r="D296" s="171" t="n">
        <v>46150.41666666666</v>
      </c>
      <c r="E296" s="26" t="n">
        <v>0.2544791666666666</v>
      </c>
      <c r="F296" s="27" t="inlineStr">
        <is>
          <t>Shift 3</t>
        </is>
      </c>
      <c r="G296" s="27" t="n"/>
    </row>
    <row r="297">
      <c r="A297" s="27" t="inlineStr">
        <is>
          <t>MK00202</t>
        </is>
      </c>
      <c r="B297" s="27" t="n">
        <v>528000098</v>
      </c>
      <c r="C297" s="27" t="inlineStr">
        <is>
          <t>Edi Junaedi</t>
        </is>
      </c>
      <c r="D297" s="171" t="n">
        <v>46150.41666666666</v>
      </c>
      <c r="E297" s="26" t="n">
        <v>0.2546064814814815</v>
      </c>
      <c r="F297" s="27" t="inlineStr">
        <is>
          <t>Shift 3</t>
        </is>
      </c>
      <c r="G297" s="27" t="n"/>
    </row>
    <row r="298">
      <c r="A298" s="27" t="inlineStr">
        <is>
          <t>MK0093</t>
        </is>
      </c>
      <c r="B298" s="27" t="n">
        <v>528000305</v>
      </c>
      <c r="C298" s="27" t="inlineStr">
        <is>
          <t>Puji Puspita</t>
        </is>
      </c>
      <c r="D298" s="171" t="n">
        <v>46150.41666666666</v>
      </c>
      <c r="E298" s="26" t="n">
        <v>0.2554513888888889</v>
      </c>
      <c r="F298" s="27" t="inlineStr">
        <is>
          <t>Shift 3</t>
        </is>
      </c>
      <c r="G298" s="27" t="n"/>
    </row>
    <row r="299">
      <c r="A299" s="27" t="inlineStr">
        <is>
          <t>MK0085</t>
        </is>
      </c>
      <c r="B299" s="27" t="n">
        <v>528000302</v>
      </c>
      <c r="C299" s="27" t="inlineStr">
        <is>
          <t>Henkey gumilar</t>
        </is>
      </c>
      <c r="D299" s="171" t="n">
        <v>46150.41666666666</v>
      </c>
      <c r="E299" s="26" t="n">
        <v>0.2583564814814815</v>
      </c>
      <c r="F299" s="27" t="inlineStr">
        <is>
          <t>Shift 3</t>
        </is>
      </c>
      <c r="G299" s="27" t="n"/>
    </row>
    <row r="300">
      <c r="A300" s="27" t="inlineStr">
        <is>
          <t>MK00230</t>
        </is>
      </c>
      <c r="B300" s="27" t="n">
        <v>528000270</v>
      </c>
      <c r="C300" s="27" t="inlineStr">
        <is>
          <t>Febri Najmudin</t>
        </is>
      </c>
      <c r="D300" s="171" t="n">
        <v>46150.41666666666</v>
      </c>
      <c r="E300" s="26" t="n">
        <v>0.2721759259259259</v>
      </c>
      <c r="F300" s="27" t="inlineStr">
        <is>
          <t>Shift 3</t>
        </is>
      </c>
      <c r="G300" s="27" t="n"/>
    </row>
    <row r="301">
      <c r="A301" s="27" t="inlineStr">
        <is>
          <t>MK00228</t>
        </is>
      </c>
      <c r="B301" s="27" t="n">
        <v>528000241</v>
      </c>
      <c r="C301" s="27" t="inlineStr">
        <is>
          <t>Balia Nurafif Bilah</t>
        </is>
      </c>
      <c r="D301" s="171" t="n">
        <v>46150.41666666666</v>
      </c>
      <c r="E301" s="26" t="n">
        <v>0.5853125</v>
      </c>
      <c r="F301" s="27" t="inlineStr">
        <is>
          <t>Shift 1</t>
        </is>
      </c>
      <c r="G301" s="27" t="n"/>
    </row>
    <row r="302">
      <c r="A302" s="27" t="inlineStr">
        <is>
          <t>MK00203</t>
        </is>
      </c>
      <c r="B302" s="27" t="n">
        <v>528000274</v>
      </c>
      <c r="C302" s="27" t="inlineStr">
        <is>
          <t>Zepri</t>
        </is>
      </c>
      <c r="D302" s="171" t="n">
        <v>46150.41666666666</v>
      </c>
      <c r="E302" s="26" t="n">
        <v>0.5856365740740741</v>
      </c>
      <c r="F302" s="27" t="inlineStr">
        <is>
          <t>Shift 1</t>
        </is>
      </c>
      <c r="G302" s="27" t="n"/>
    </row>
    <row r="303">
      <c r="A303" s="27" t="inlineStr">
        <is>
          <t>MK00116</t>
        </is>
      </c>
      <c r="B303" s="27" t="n">
        <v>528000290</v>
      </c>
      <c r="C303" s="27" t="inlineStr">
        <is>
          <t>Eval Pranata</t>
        </is>
      </c>
      <c r="D303" s="171" t="n">
        <v>46150.41666666666</v>
      </c>
      <c r="E303" s="26" t="n">
        <v>0.5857523148148148</v>
      </c>
      <c r="F303" s="27" t="inlineStr">
        <is>
          <t>Shift 1</t>
        </is>
      </c>
      <c r="G303" s="27" t="n"/>
    </row>
    <row r="304">
      <c r="A304" s="27" t="inlineStr">
        <is>
          <t>MK00138</t>
        </is>
      </c>
      <c r="B304" s="27" t="n">
        <v>528000201</v>
      </c>
      <c r="C304" s="27" t="inlineStr">
        <is>
          <t>Zahwa Amelia Choerunissa</t>
        </is>
      </c>
      <c r="D304" s="171" t="n">
        <v>46150.41666666666</v>
      </c>
      <c r="E304" s="26" t="n">
        <v>0.5875578703703703</v>
      </c>
      <c r="F304" s="27" t="inlineStr">
        <is>
          <t>Shift 1</t>
        </is>
      </c>
      <c r="G304" s="27" t="n"/>
    </row>
    <row r="305">
      <c r="A305" s="27" t="inlineStr">
        <is>
          <t>MK00082</t>
        </is>
      </c>
      <c r="B305" s="27" t="n">
        <v>528000099</v>
      </c>
      <c r="C305" s="27" t="inlineStr">
        <is>
          <t>Siti Nurawaliah</t>
        </is>
      </c>
      <c r="D305" s="171" t="n">
        <v>46150.41666666666</v>
      </c>
      <c r="E305" s="26" t="n">
        <v>0.588125</v>
      </c>
      <c r="F305" s="27" t="inlineStr">
        <is>
          <t>Shift 1</t>
        </is>
      </c>
      <c r="G305" s="27" t="n"/>
    </row>
    <row r="306">
      <c r="A306" s="27" t="inlineStr">
        <is>
          <t>MK00046</t>
        </is>
      </c>
      <c r="B306" s="27" t="n">
        <v>528000286</v>
      </c>
      <c r="C306" s="27" t="inlineStr">
        <is>
          <t>Imelda Amelia</t>
        </is>
      </c>
      <c r="D306" s="171" t="n">
        <v>46150.41666666666</v>
      </c>
      <c r="E306" s="26" t="n">
        <v>0.5883333333333334</v>
      </c>
      <c r="F306" s="27" t="inlineStr">
        <is>
          <t>Shift 1</t>
        </is>
      </c>
      <c r="G306" s="27" t="n"/>
    </row>
    <row r="307">
      <c r="A307" s="27" t="inlineStr">
        <is>
          <t>MK00221</t>
        </is>
      </c>
      <c r="B307" s="27" t="n">
        <v>528000244</v>
      </c>
      <c r="C307" s="27" t="inlineStr">
        <is>
          <t>Rodian Rifai</t>
        </is>
      </c>
      <c r="D307" s="171" t="n">
        <v>46150.41666666666</v>
      </c>
      <c r="E307" s="26" t="n">
        <v>0.6078125</v>
      </c>
      <c r="F307" s="27" t="inlineStr">
        <is>
          <t>Shift 1</t>
        </is>
      </c>
      <c r="G307" s="27" t="n"/>
    </row>
    <row r="308">
      <c r="A308" s="27" t="inlineStr">
        <is>
          <t>MK00055</t>
        </is>
      </c>
      <c r="B308" s="27" t="n">
        <v>528000212</v>
      </c>
      <c r="C308" s="27" t="inlineStr">
        <is>
          <t>Rizal Fauzi</t>
        </is>
      </c>
      <c r="D308" s="171" t="n">
        <v>46150.41666666666</v>
      </c>
      <c r="E308" s="26" t="n">
        <v>0.6139467592592592</v>
      </c>
      <c r="F308" s="27" t="inlineStr">
        <is>
          <t>Shift 1</t>
        </is>
      </c>
      <c r="G308" s="27" t="n"/>
    </row>
    <row r="309">
      <c r="A309" s="27" t="inlineStr">
        <is>
          <t>MK00151</t>
        </is>
      </c>
      <c r="B309" s="27" t="n">
        <v>528000265</v>
      </c>
      <c r="C309" s="27" t="inlineStr">
        <is>
          <t>Muhammad Haerul Rozikin</t>
        </is>
      </c>
      <c r="D309" s="171" t="n">
        <v>46150.41666666666</v>
      </c>
      <c r="E309" s="26" t="n">
        <v>0.6680208333333333</v>
      </c>
      <c r="F309" s="27" t="inlineStr">
        <is>
          <t>Shift 2</t>
        </is>
      </c>
      <c r="G309" s="27" t="n"/>
    </row>
    <row r="310">
      <c r="A310" s="27" t="inlineStr">
        <is>
          <t>MK00230</t>
        </is>
      </c>
      <c r="B310" s="27" t="n">
        <v>528000282</v>
      </c>
      <c r="C310" s="27" t="inlineStr">
        <is>
          <t>Defa Desfiana</t>
        </is>
      </c>
      <c r="D310" s="171" t="n">
        <v>46150.41666666666</v>
      </c>
      <c r="E310" s="26" t="n">
        <v>0.6682060185185185</v>
      </c>
      <c r="F310" s="27" t="inlineStr">
        <is>
          <t>Shift 2</t>
        </is>
      </c>
      <c r="G310" s="27" t="inlineStr">
        <is>
          <t>23C</t>
        </is>
      </c>
    </row>
    <row r="311">
      <c r="A311" s="27" t="inlineStr">
        <is>
          <t>MK00200</t>
        </is>
      </c>
      <c r="B311" s="27" t="n">
        <v>528000287</v>
      </c>
      <c r="C311" s="27" t="inlineStr">
        <is>
          <t>Muhamad Angga Ramdani</t>
        </is>
      </c>
      <c r="D311" s="171" t="n">
        <v>46150.41666666666</v>
      </c>
      <c r="E311" s="26" t="n">
        <v>0.6691319444444445</v>
      </c>
      <c r="F311" s="27" t="inlineStr">
        <is>
          <t>Shift 2</t>
        </is>
      </c>
      <c r="G311" s="27" t="n"/>
    </row>
    <row r="312">
      <c r="A312" s="27" t="inlineStr">
        <is>
          <t>MK00141</t>
        </is>
      </c>
      <c r="B312" s="27" t="n">
        <v>528000055</v>
      </c>
      <c r="C312" s="27" t="inlineStr">
        <is>
          <t>Dika Prasetya</t>
        </is>
      </c>
      <c r="D312" s="171" t="n">
        <v>46150.41666666666</v>
      </c>
      <c r="E312" s="26" t="n">
        <v>0.6708680555555555</v>
      </c>
      <c r="F312" s="27" t="inlineStr">
        <is>
          <t>Shift 2</t>
        </is>
      </c>
      <c r="G312" s="27" t="n"/>
    </row>
    <row r="313">
      <c r="A313" s="27" t="inlineStr">
        <is>
          <t>MK00112</t>
        </is>
      </c>
      <c r="B313" s="27" t="n">
        <v>528000273</v>
      </c>
      <c r="C313" s="27" t="inlineStr">
        <is>
          <t>Asep Mulyana</t>
        </is>
      </c>
      <c r="D313" s="171" t="n">
        <v>46150.41666666666</v>
      </c>
      <c r="E313" s="26" t="n">
        <v>0.6711342592592593</v>
      </c>
      <c r="F313" s="27" t="inlineStr">
        <is>
          <t>Shift 2</t>
        </is>
      </c>
      <c r="G313" s="27" t="n"/>
    </row>
    <row r="314">
      <c r="A314" s="27" t="inlineStr">
        <is>
          <t>MK00249</t>
        </is>
      </c>
      <c r="B314" s="27" t="n">
        <v>528000349</v>
      </c>
      <c r="C314" s="27" t="inlineStr">
        <is>
          <t>Anas Abdul Fatah</t>
        </is>
      </c>
      <c r="D314" s="171" t="n">
        <v>46150.41666666666</v>
      </c>
      <c r="E314" s="26" t="n">
        <v>0.6756018518518518</v>
      </c>
      <c r="F314" s="27" t="inlineStr">
        <is>
          <t>Shift 2</t>
        </is>
      </c>
      <c r="G314" s="27" t="n"/>
    </row>
    <row r="315">
      <c r="A315" s="27" t="inlineStr">
        <is>
          <t>MK00201</t>
        </is>
      </c>
      <c r="B315" s="27" t="n">
        <v>528000267</v>
      </c>
      <c r="C315" s="27" t="inlineStr">
        <is>
          <t>Bagas Patulloh</t>
        </is>
      </c>
      <c r="D315" s="171" t="n">
        <v>46150.41666666666</v>
      </c>
      <c r="E315" s="26" t="n">
        <v>0.6761458333333333</v>
      </c>
      <c r="F315" s="27" t="inlineStr">
        <is>
          <t>Shift 2</t>
        </is>
      </c>
      <c r="G315" s="27" t="n"/>
    </row>
    <row r="316">
      <c r="A316" s="27" t="inlineStr">
        <is>
          <t>MK00205</t>
        </is>
      </c>
      <c r="B316" s="27" t="n">
        <v>528000348</v>
      </c>
      <c r="C316" s="27" t="inlineStr">
        <is>
          <t>Saepuloh Ardiansah</t>
        </is>
      </c>
      <c r="D316" s="171" t="n">
        <v>46150.41666666666</v>
      </c>
      <c r="E316" s="26" t="n">
        <v>0.7298148148148148</v>
      </c>
      <c r="F316" s="27" t="inlineStr">
        <is>
          <t>Shift 2</t>
        </is>
      </c>
      <c r="G316" s="27" t="n"/>
    </row>
    <row r="317">
      <c r="A317" s="27" t="inlineStr">
        <is>
          <t>MK00145</t>
        </is>
      </c>
      <c r="B317" s="27" t="n">
        <v>628000061</v>
      </c>
      <c r="C317" s="27" t="inlineStr">
        <is>
          <t>Nayla Fadillah Exwantoro</t>
        </is>
      </c>
      <c r="D317" s="171" t="n">
        <v>46150.41666666666</v>
      </c>
      <c r="E317" s="26" t="n">
        <v>0.8760069444444445</v>
      </c>
      <c r="F317" s="27" t="inlineStr">
        <is>
          <t>Shift 2</t>
        </is>
      </c>
      <c r="G317" s="27" t="n"/>
    </row>
    <row r="318">
      <c r="A318" s="27" t="inlineStr">
        <is>
          <t>MK00156</t>
        </is>
      </c>
      <c r="B318" s="27" t="n">
        <v>528000262</v>
      </c>
      <c r="C318" s="27" t="inlineStr">
        <is>
          <t>Ndari Dwiwanti</t>
        </is>
      </c>
      <c r="D318" s="171" t="n">
        <v>46150.41666666666</v>
      </c>
      <c r="E318" s="26" t="n">
        <v>0.9193634259259259</v>
      </c>
      <c r="F318" s="27" t="inlineStr">
        <is>
          <t>Shift 2</t>
        </is>
      </c>
      <c r="G318" s="27" t="n"/>
    </row>
    <row r="319">
      <c r="A319" s="27" t="inlineStr">
        <is>
          <t>MK00113</t>
        </is>
      </c>
      <c r="B319" s="27" t="n">
        <v>528000358</v>
      </c>
      <c r="C319" s="27" t="inlineStr">
        <is>
          <t>Lulu Agustin</t>
        </is>
      </c>
      <c r="D319" s="171" t="n">
        <v>46150.41666666666</v>
      </c>
      <c r="E319" s="26" t="n">
        <v>0.9196180555555555</v>
      </c>
      <c r="F319" s="27" t="inlineStr">
        <is>
          <t>Shift 2</t>
        </is>
      </c>
      <c r="G319" s="27" t="n"/>
    </row>
    <row r="320">
      <c r="A320" s="27" t="inlineStr">
        <is>
          <t>MK00155</t>
        </is>
      </c>
      <c r="B320" s="27" t="n">
        <v>528000195</v>
      </c>
      <c r="C320" s="27" t="inlineStr">
        <is>
          <t>Rahma Sariwati</t>
        </is>
      </c>
      <c r="D320" s="171" t="n">
        <v>46150.41666666666</v>
      </c>
      <c r="E320" s="26" t="n">
        <v>0.9204282407407407</v>
      </c>
      <c r="F320" s="27" t="inlineStr">
        <is>
          <t>Shift 2</t>
        </is>
      </c>
      <c r="G320" s="27" t="n"/>
    </row>
    <row r="321">
      <c r="A321" s="27" t="inlineStr">
        <is>
          <t>MK00192</t>
        </is>
      </c>
      <c r="B321" s="27" t="n">
        <v>528000283</v>
      </c>
      <c r="C321" s="27" t="inlineStr">
        <is>
          <t>Purwanda Sugiri</t>
        </is>
      </c>
      <c r="D321" s="171" t="n">
        <v>46150.41666666666</v>
      </c>
      <c r="E321" s="26" t="n">
        <v>0.9204976851851852</v>
      </c>
      <c r="F321" s="27" t="inlineStr">
        <is>
          <t>Shift 2</t>
        </is>
      </c>
      <c r="G321" s="27" t="n"/>
    </row>
    <row r="322">
      <c r="A322" s="27" t="inlineStr">
        <is>
          <t>MK00136</t>
        </is>
      </c>
      <c r="B322" s="27" t="n">
        <v>528000291</v>
      </c>
      <c r="C322" s="27" t="inlineStr">
        <is>
          <t>Andrian</t>
        </is>
      </c>
      <c r="D322" s="171" t="n">
        <v>46150.41666666666</v>
      </c>
      <c r="E322" s="26" t="n">
        <v>0.9207060185185185</v>
      </c>
      <c r="F322" s="27" t="inlineStr">
        <is>
          <t>Shift 2</t>
        </is>
      </c>
      <c r="G322" s="27" t="n"/>
    </row>
    <row r="323">
      <c r="A323" s="27" t="inlineStr">
        <is>
          <t>MK00150</t>
        </is>
      </c>
      <c r="B323" s="27" t="n">
        <v>528000306</v>
      </c>
      <c r="C323" s="27" t="inlineStr">
        <is>
          <t>Windy Olivia</t>
        </is>
      </c>
      <c r="D323" s="171" t="n">
        <v>46150.41666666666</v>
      </c>
      <c r="E323" s="26" t="n">
        <v>0.9207638888888889</v>
      </c>
      <c r="F323" s="27" t="inlineStr">
        <is>
          <t>Shift 2</t>
        </is>
      </c>
      <c r="G323" s="27" t="n"/>
    </row>
    <row r="324">
      <c r="A324" s="27" t="inlineStr">
        <is>
          <t>MK00158</t>
        </is>
      </c>
      <c r="B324" s="27" t="n">
        <v>528000266</v>
      </c>
      <c r="C324" s="27" t="inlineStr">
        <is>
          <t>M. Syirajatieq</t>
        </is>
      </c>
      <c r="D324" s="171" t="n">
        <v>46150.41666666666</v>
      </c>
      <c r="E324" s="26" t="n">
        <v>0.9335532407407408</v>
      </c>
      <c r="F324" s="27" t="inlineStr">
        <is>
          <t>Shift 2</t>
        </is>
      </c>
      <c r="G324" s="27" t="n"/>
    </row>
    <row r="325">
      <c r="A325" s="27" t="inlineStr">
        <is>
          <t>MK00186</t>
        </is>
      </c>
      <c r="B325" s="27" t="n">
        <v>528000149</v>
      </c>
      <c r="C325" s="27" t="inlineStr">
        <is>
          <t>Tio Fernanda</t>
        </is>
      </c>
      <c r="D325" s="171" t="n">
        <v>46151.41666666666</v>
      </c>
      <c r="E325" s="26" t="n">
        <v>0.002037037037037037</v>
      </c>
      <c r="F325" s="27" t="inlineStr">
        <is>
          <t>Shift 3</t>
        </is>
      </c>
      <c r="G325" s="27" t="n"/>
    </row>
    <row r="326">
      <c r="A326" s="27" t="inlineStr">
        <is>
          <t>MK00221</t>
        </is>
      </c>
      <c r="B326" s="27" t="n">
        <v>528000015</v>
      </c>
      <c r="C326" s="27" t="inlineStr">
        <is>
          <t>Erwin</t>
        </is>
      </c>
      <c r="D326" s="171" t="n">
        <v>46151.41666666666</v>
      </c>
      <c r="E326" s="26" t="n">
        <v>0.002094907407407407</v>
      </c>
      <c r="F326" s="27" t="inlineStr">
        <is>
          <t>Shift 3</t>
        </is>
      </c>
      <c r="G326" s="27" t="n"/>
    </row>
    <row r="327">
      <c r="A327" s="27" t="inlineStr">
        <is>
          <t>MK00213</t>
        </is>
      </c>
      <c r="B327" s="27" t="n">
        <v>528000144</v>
      </c>
      <c r="C327" s="27" t="inlineStr">
        <is>
          <t>Jodi Hanafi</t>
        </is>
      </c>
      <c r="D327" s="171" t="n">
        <v>46151.41666666666</v>
      </c>
      <c r="E327" s="26" t="n">
        <v>0.007106481481481482</v>
      </c>
      <c r="F327" s="27" t="inlineStr">
        <is>
          <t>Shift 3</t>
        </is>
      </c>
      <c r="G327" s="27" t="n"/>
    </row>
    <row r="328">
      <c r="A328" s="27" t="inlineStr">
        <is>
          <t>MK00211</t>
        </is>
      </c>
      <c r="B328" s="27" t="n">
        <v>528000270</v>
      </c>
      <c r="C328" s="27" t="inlineStr">
        <is>
          <t>Febri Najmudin</t>
        </is>
      </c>
      <c r="D328" s="171" t="n">
        <v>46151.41666666666</v>
      </c>
      <c r="E328" s="26" t="n">
        <v>0.2548958333333333</v>
      </c>
      <c r="F328" s="27" t="inlineStr">
        <is>
          <t>Shift 3</t>
        </is>
      </c>
      <c r="G328" s="27" t="n"/>
    </row>
    <row r="329">
      <c r="A329" s="27" t="inlineStr">
        <is>
          <t>MK00230</t>
        </is>
      </c>
      <c r="B329" s="27" t="n">
        <v>528000299</v>
      </c>
      <c r="C329" s="27" t="inlineStr">
        <is>
          <t>Siti Nurjanah</t>
        </is>
      </c>
      <c r="D329" s="171" t="n">
        <v>46151.41666666666</v>
      </c>
      <c r="E329" s="26" t="n">
        <v>0.2558912037037037</v>
      </c>
      <c r="F329" s="27" t="inlineStr">
        <is>
          <t>Shift 3</t>
        </is>
      </c>
      <c r="G329" s="27" t="n"/>
    </row>
    <row r="330">
      <c r="A330" s="27" t="inlineStr">
        <is>
          <t>MK0085</t>
        </is>
      </c>
      <c r="B330" s="27" t="n">
        <v>528000305</v>
      </c>
      <c r="C330" s="27" t="inlineStr">
        <is>
          <t>Puji Puspita</t>
        </is>
      </c>
      <c r="D330" s="171" t="n">
        <v>46151.41666666666</v>
      </c>
      <c r="E330" s="26" t="n">
        <v>0.2559490740740741</v>
      </c>
      <c r="F330" s="27" t="inlineStr">
        <is>
          <t>Shift 3</t>
        </is>
      </c>
      <c r="G330" s="27" t="n"/>
    </row>
    <row r="331">
      <c r="A331" s="27" t="inlineStr">
        <is>
          <t>MK00200</t>
        </is>
      </c>
      <c r="B331" s="27" t="n">
        <v>628000091</v>
      </c>
      <c r="C331" s="27" t="inlineStr">
        <is>
          <t>Devita Handayani</t>
        </is>
      </c>
      <c r="D331" s="171" t="n">
        <v>46151.41666666666</v>
      </c>
      <c r="E331" s="26" t="n">
        <v>0.2565277777777778</v>
      </c>
      <c r="F331" s="27" t="inlineStr">
        <is>
          <t>Shift 3</t>
        </is>
      </c>
      <c r="G331" s="27" t="n"/>
    </row>
    <row r="332">
      <c r="A332" s="27" t="inlineStr">
        <is>
          <t>MK00202</t>
        </is>
      </c>
      <c r="B332" s="27" t="n">
        <v>528000302</v>
      </c>
      <c r="C332" s="27" t="inlineStr">
        <is>
          <t>Henkey gumilar</t>
        </is>
      </c>
      <c r="D332" s="171" t="n">
        <v>46151.41666666666</v>
      </c>
      <c r="E332" s="26" t="n">
        <v>0.2586226851851852</v>
      </c>
      <c r="F332" s="27" t="inlineStr">
        <is>
          <t>Shift 3</t>
        </is>
      </c>
      <c r="G332" s="27" t="n"/>
    </row>
    <row r="333">
      <c r="A333" s="27" t="inlineStr">
        <is>
          <t>MK00088</t>
        </is>
      </c>
      <c r="B333" s="27" t="n">
        <v>628000061</v>
      </c>
      <c r="C333" s="27" t="inlineStr">
        <is>
          <t>Nayla Fadillah Exwantoro</t>
        </is>
      </c>
      <c r="D333" s="171" t="n">
        <v>46151.41666666666</v>
      </c>
      <c r="E333" s="26" t="n">
        <v>0.3381134259259259</v>
      </c>
      <c r="F333" s="27" t="inlineStr">
        <is>
          <t>Shift 1</t>
        </is>
      </c>
      <c r="G333" s="27" t="inlineStr">
        <is>
          <t>A-28</t>
        </is>
      </c>
    </row>
    <row r="334">
      <c r="A334" s="27" t="inlineStr">
        <is>
          <t>MK0082</t>
        </is>
      </c>
      <c r="B334" s="27" t="n">
        <v>528000290</v>
      </c>
      <c r="C334" s="27" t="inlineStr">
        <is>
          <t>Eval Pranata</t>
        </is>
      </c>
      <c r="D334" s="171" t="n">
        <v>46151.41666666666</v>
      </c>
      <c r="E334" s="26" t="n">
        <v>0.5849421296296297</v>
      </c>
      <c r="F334" s="27" t="inlineStr">
        <is>
          <t>Shift 1</t>
        </is>
      </c>
      <c r="G334" s="27" t="n"/>
    </row>
    <row r="335">
      <c r="A335" s="27" t="inlineStr">
        <is>
          <t>MK00210</t>
        </is>
      </c>
      <c r="B335" s="27" t="n">
        <v>528000241</v>
      </c>
      <c r="C335" s="27" t="inlineStr">
        <is>
          <t>Balia Nurafif Bilah</t>
        </is>
      </c>
      <c r="D335" s="171" t="n">
        <v>46151.41666666666</v>
      </c>
      <c r="E335" s="26" t="n">
        <v>0.5855324074074074</v>
      </c>
      <c r="F335" s="27" t="inlineStr">
        <is>
          <t>Shift 1</t>
        </is>
      </c>
      <c r="G335" s="27" t="n"/>
    </row>
    <row r="336">
      <c r="A336" s="27" t="inlineStr">
        <is>
          <t>MK00192</t>
        </is>
      </c>
      <c r="B336" s="27" t="n">
        <v>528000201</v>
      </c>
      <c r="C336" s="27" t="inlineStr">
        <is>
          <t>Zahwa Amelia Choerunissa</t>
        </is>
      </c>
      <c r="D336" s="171" t="n">
        <v>46151.41666666666</v>
      </c>
      <c r="E336" s="26" t="n">
        <v>0.5862615740740741</v>
      </c>
      <c r="F336" s="27" t="inlineStr">
        <is>
          <t>Shift 1</t>
        </is>
      </c>
      <c r="G336" s="27" t="n"/>
    </row>
    <row r="337">
      <c r="A337" s="27" t="inlineStr">
        <is>
          <t>MK00156</t>
        </is>
      </c>
      <c r="B337" s="27" t="n">
        <v>528000286</v>
      </c>
      <c r="C337" s="27" t="inlineStr">
        <is>
          <t>Imelda Amelia</t>
        </is>
      </c>
      <c r="D337" s="171" t="n">
        <v>46151.41666666666</v>
      </c>
      <c r="E337" s="26" t="n">
        <v>0.586574074074074</v>
      </c>
      <c r="F337" s="27" t="inlineStr">
        <is>
          <t>Shift 1</t>
        </is>
      </c>
      <c r="G337" s="27" t="n"/>
    </row>
    <row r="338">
      <c r="A338" s="27" t="inlineStr">
        <is>
          <t>MK00181</t>
        </is>
      </c>
      <c r="B338" s="27" t="n">
        <v>528000099</v>
      </c>
      <c r="C338" s="27" t="inlineStr">
        <is>
          <t>Siti Nurawaliah</t>
        </is>
      </c>
      <c r="D338" s="171" t="n">
        <v>46151.41666666666</v>
      </c>
      <c r="E338" s="26" t="n">
        <v>0.5866435185185185</v>
      </c>
      <c r="F338" s="27" t="inlineStr">
        <is>
          <t>Shift 1</t>
        </is>
      </c>
      <c r="G338" s="27" t="n"/>
    </row>
    <row r="339">
      <c r="A339" s="27" t="inlineStr">
        <is>
          <t>MK00221</t>
        </is>
      </c>
      <c r="B339" s="27" t="n">
        <v>528000282</v>
      </c>
      <c r="C339" s="27" t="inlineStr">
        <is>
          <t>Defa Desfiana</t>
        </is>
      </c>
      <c r="D339" s="171" t="n">
        <v>46151.41666666666</v>
      </c>
      <c r="E339" s="26" t="n">
        <v>0.5950925925925926</v>
      </c>
      <c r="F339" s="27" t="inlineStr">
        <is>
          <t>Shift 1</t>
        </is>
      </c>
      <c r="G339" s="27" t="n"/>
    </row>
    <row r="340">
      <c r="A340" s="27" t="inlineStr">
        <is>
          <t>MK00207</t>
        </is>
      </c>
      <c r="B340" s="27" t="n">
        <v>528000265</v>
      </c>
      <c r="C340" s="27" t="inlineStr">
        <is>
          <t>Muhammad Haerul Rozikin</t>
        </is>
      </c>
      <c r="D340" s="171" t="n">
        <v>46151.41666666666</v>
      </c>
      <c r="E340" s="26" t="n">
        <v>0.5958796296296296</v>
      </c>
      <c r="F340" s="27" t="inlineStr">
        <is>
          <t>Shift 1</t>
        </is>
      </c>
      <c r="G340" s="27" t="n"/>
    </row>
    <row r="341">
      <c r="A341" s="27" t="inlineStr">
        <is>
          <t>MK00150</t>
        </is>
      </c>
      <c r="B341" s="27" t="n">
        <v>528000244</v>
      </c>
      <c r="C341" s="27" t="inlineStr">
        <is>
          <t>Rodian Rifai</t>
        </is>
      </c>
      <c r="D341" s="171" t="n">
        <v>46151.41666666666</v>
      </c>
      <c r="E341" s="26" t="n">
        <v>0.6036111111111111</v>
      </c>
      <c r="F341" s="27" t="inlineStr">
        <is>
          <t>Shift 1</t>
        </is>
      </c>
      <c r="G341" s="27" t="n"/>
    </row>
    <row r="342">
      <c r="A342" s="27" t="inlineStr">
        <is>
          <t>MK00046</t>
        </is>
      </c>
      <c r="B342" s="27" t="n">
        <v>528000351</v>
      </c>
      <c r="C342" s="27" t="inlineStr">
        <is>
          <t>Mulyana</t>
        </is>
      </c>
      <c r="D342" s="171" t="n">
        <v>46151.41666666666</v>
      </c>
      <c r="E342" s="26" t="n">
        <v>0.6673726851851852</v>
      </c>
      <c r="F342" s="27" t="inlineStr">
        <is>
          <t>Shift 2</t>
        </is>
      </c>
      <c r="G342" s="27" t="n"/>
    </row>
    <row r="343">
      <c r="A343" s="27" t="inlineStr">
        <is>
          <t>MK00203</t>
        </is>
      </c>
      <c r="B343" s="27" t="n">
        <v>528000287</v>
      </c>
      <c r="C343" s="27" t="inlineStr">
        <is>
          <t>Muhamad Angga Ramdani</t>
        </is>
      </c>
      <c r="D343" s="171" t="n">
        <v>46151.41666666666</v>
      </c>
      <c r="E343" s="26" t="n">
        <v>0.6698842592592592</v>
      </c>
      <c r="F343" s="27" t="inlineStr">
        <is>
          <t>Shift 2</t>
        </is>
      </c>
      <c r="G343" s="27" t="n"/>
    </row>
    <row r="344">
      <c r="A344" s="27" t="inlineStr">
        <is>
          <t>MK00230</t>
        </is>
      </c>
      <c r="B344" s="27" t="n">
        <v>528000055</v>
      </c>
      <c r="C344" s="27" t="inlineStr">
        <is>
          <t>Dika Prasetya</t>
        </is>
      </c>
      <c r="D344" s="171" t="n">
        <v>46151.41666666666</v>
      </c>
      <c r="E344" s="26" t="n">
        <v>0.6706018518518518</v>
      </c>
      <c r="F344" s="27" t="inlineStr">
        <is>
          <t>Shift 2</t>
        </is>
      </c>
      <c r="G344" s="27" t="n"/>
    </row>
    <row r="345">
      <c r="A345" s="27" t="inlineStr">
        <is>
          <t>MK00199</t>
        </is>
      </c>
      <c r="B345" s="27" t="n">
        <v>528000349</v>
      </c>
      <c r="C345" s="27" t="inlineStr">
        <is>
          <t>Anas Abdul Fatah</t>
        </is>
      </c>
      <c r="D345" s="171" t="n">
        <v>46151.41666666666</v>
      </c>
      <c r="E345" s="26" t="n">
        <v>0.6776041666666667</v>
      </c>
      <c r="F345" s="27" t="inlineStr">
        <is>
          <t>Shift 2</t>
        </is>
      </c>
      <c r="G345" s="27" t="n"/>
    </row>
    <row r="346">
      <c r="A346" s="27" t="inlineStr">
        <is>
          <t>MK00112</t>
        </is>
      </c>
      <c r="B346" s="27" t="n">
        <v>528000292</v>
      </c>
      <c r="C346" s="27" t="inlineStr">
        <is>
          <t>Aditia Nugraha</t>
        </is>
      </c>
      <c r="D346" s="171" t="n">
        <v>46151.41666666666</v>
      </c>
      <c r="E346" s="26" t="n">
        <v>0.708599537037037</v>
      </c>
      <c r="F346" s="27" t="inlineStr">
        <is>
          <t>Shift 2</t>
        </is>
      </c>
      <c r="G346" s="27" t="n"/>
    </row>
    <row r="347">
      <c r="A347" s="27" t="inlineStr">
        <is>
          <t>MK00118</t>
        </is>
      </c>
      <c r="B347" s="27" t="n">
        <v>528000203</v>
      </c>
      <c r="C347" s="27" t="inlineStr">
        <is>
          <t>Yudha Ramdhan Putra</t>
        </is>
      </c>
      <c r="D347" s="171" t="n">
        <v>46151.41666666666</v>
      </c>
      <c r="E347" s="26" t="n">
        <v>0.7086805555555555</v>
      </c>
      <c r="F347" s="27" t="inlineStr">
        <is>
          <t>Shift 2</t>
        </is>
      </c>
      <c r="G347" s="27" t="n"/>
    </row>
    <row r="348">
      <c r="A348" s="27" t="inlineStr">
        <is>
          <t>MK00205</t>
        </is>
      </c>
      <c r="B348" s="27" t="n">
        <v>528000348</v>
      </c>
      <c r="C348" s="27" t="inlineStr">
        <is>
          <t>Saepuloh Ardiansah</t>
        </is>
      </c>
      <c r="D348" s="171" t="n">
        <v>46151.41666666666</v>
      </c>
      <c r="E348" s="26" t="n">
        <v>0.7274305555555556</v>
      </c>
      <c r="F348" s="27" t="inlineStr">
        <is>
          <t>Shift 2</t>
        </is>
      </c>
      <c r="G348" s="27" t="n"/>
    </row>
    <row r="349">
      <c r="A349" s="27" t="inlineStr">
        <is>
          <t>MK00100</t>
        </is>
      </c>
      <c r="B349" s="27" t="n">
        <v>628000064</v>
      </c>
      <c r="C349" s="27" t="inlineStr">
        <is>
          <t>Silva Alypia</t>
        </is>
      </c>
      <c r="D349" s="171" t="n">
        <v>46151.41666666666</v>
      </c>
      <c r="E349" s="26" t="n">
        <v>0.9107291666666667</v>
      </c>
      <c r="F349" s="27" t="inlineStr">
        <is>
          <t>Shift 2</t>
        </is>
      </c>
      <c r="G349" s="27" t="n"/>
    </row>
    <row r="350">
      <c r="A350" s="27" t="inlineStr">
        <is>
          <t>MK00211</t>
        </is>
      </c>
      <c r="B350" s="27" t="n">
        <v>528000195</v>
      </c>
      <c r="C350" s="27" t="inlineStr">
        <is>
          <t>Rahma Sariwati</t>
        </is>
      </c>
      <c r="D350" s="171" t="n">
        <v>46151.41666666666</v>
      </c>
      <c r="E350" s="26" t="n">
        <v>0.9184606481481481</v>
      </c>
      <c r="F350" s="27" t="inlineStr">
        <is>
          <t>Shift 2</t>
        </is>
      </c>
      <c r="G350" s="27" t="n"/>
    </row>
    <row r="351">
      <c r="A351" s="27" t="inlineStr">
        <is>
          <t>MK00088</t>
        </is>
      </c>
      <c r="B351" s="27" t="n">
        <v>528000262</v>
      </c>
      <c r="C351" s="27" t="inlineStr">
        <is>
          <t>Ndari Dwiwanti</t>
        </is>
      </c>
      <c r="D351" s="171" t="n">
        <v>46151.41666666666</v>
      </c>
      <c r="E351" s="26" t="n">
        <v>0.9186921296296297</v>
      </c>
      <c r="F351" s="27" t="inlineStr">
        <is>
          <t>Shift 2</t>
        </is>
      </c>
      <c r="G351" s="27" t="n"/>
    </row>
    <row r="352">
      <c r="A352" s="27" t="inlineStr">
        <is>
          <t>MK00249</t>
        </is>
      </c>
      <c r="B352" s="27" t="n">
        <v>528000358</v>
      </c>
      <c r="C352" s="27" t="inlineStr">
        <is>
          <t>Lulu Agustin</t>
        </is>
      </c>
      <c r="D352" s="171" t="n">
        <v>46151.41666666666</v>
      </c>
      <c r="E352" s="26" t="n">
        <v>0.9188310185185186</v>
      </c>
      <c r="F352" s="27" t="inlineStr">
        <is>
          <t>Shift 2</t>
        </is>
      </c>
      <c r="G352" s="27" t="n"/>
    </row>
    <row r="353">
      <c r="A353" s="27" t="inlineStr">
        <is>
          <t>MK00145</t>
        </is>
      </c>
      <c r="B353" s="27" t="n">
        <v>528000261</v>
      </c>
      <c r="C353" s="27" t="inlineStr">
        <is>
          <t>Ergi Ergianto</t>
        </is>
      </c>
      <c r="D353" s="171" t="n">
        <v>46151.41666666666</v>
      </c>
      <c r="E353" s="26" t="n">
        <v>0.9200115740740741</v>
      </c>
      <c r="F353" s="27" t="inlineStr">
        <is>
          <t>Shift 2</t>
        </is>
      </c>
      <c r="G353" s="27" t="n"/>
    </row>
    <row r="354">
      <c r="A354" s="27" t="inlineStr">
        <is>
          <t>MK00109</t>
        </is>
      </c>
      <c r="B354" s="27" t="n">
        <v>528000283</v>
      </c>
      <c r="C354" s="27" t="inlineStr">
        <is>
          <t>Purwanda Sugiri</t>
        </is>
      </c>
      <c r="D354" s="171" t="n">
        <v>46151.41666666666</v>
      </c>
      <c r="E354" s="26" t="n">
        <v>0.9205092592592593</v>
      </c>
      <c r="F354" s="27" t="inlineStr">
        <is>
          <t>Shift 2</t>
        </is>
      </c>
      <c r="G354" s="27" t="n"/>
    </row>
    <row r="355">
      <c r="A355" s="27" t="inlineStr">
        <is>
          <t>MK00250</t>
        </is>
      </c>
      <c r="B355" s="27" t="n">
        <v>528000291</v>
      </c>
      <c r="C355" s="27" t="inlineStr">
        <is>
          <t>Andrian</t>
        </is>
      </c>
      <c r="D355" s="171" t="n">
        <v>46151.41666666666</v>
      </c>
      <c r="E355" s="26" t="n">
        <v>0.9205555555555556</v>
      </c>
      <c r="F355" s="27" t="inlineStr">
        <is>
          <t>Shift 2</t>
        </is>
      </c>
      <c r="G355" s="27" t="n"/>
    </row>
    <row r="356">
      <c r="A356" s="27" t="inlineStr">
        <is>
          <t>MK00200</t>
        </is>
      </c>
      <c r="B356" s="27" t="n">
        <v>528000266</v>
      </c>
      <c r="C356" s="27" t="inlineStr">
        <is>
          <t>M. Syirajatieq</t>
        </is>
      </c>
      <c r="D356" s="171" t="n">
        <v>46151.41666666666</v>
      </c>
      <c r="E356" s="26" t="n">
        <v>0.9290393518518518</v>
      </c>
      <c r="F356" s="27" t="inlineStr">
        <is>
          <t>Shift 2</t>
        </is>
      </c>
      <c r="G356" s="27" t="n"/>
    </row>
    <row r="357">
      <c r="A357" s="27" t="inlineStr">
        <is>
          <t>MK00212</t>
        </is>
      </c>
      <c r="B357" s="27" t="n">
        <v>528000149</v>
      </c>
      <c r="C357" s="27" t="inlineStr">
        <is>
          <t>Tio Fernanda</t>
        </is>
      </c>
      <c r="D357" s="171" t="n">
        <v>46152.41666666666</v>
      </c>
      <c r="E357" s="26" t="n">
        <v>0.001145833333333333</v>
      </c>
      <c r="F357" s="27" t="inlineStr">
        <is>
          <t>Shift 3</t>
        </is>
      </c>
      <c r="G357" s="27" t="n"/>
    </row>
    <row r="358">
      <c r="A358" s="27" t="inlineStr">
        <is>
          <t>MK00158</t>
        </is>
      </c>
      <c r="B358" s="27" t="n">
        <v>528000015</v>
      </c>
      <c r="C358" s="27" t="inlineStr">
        <is>
          <t>Erwin</t>
        </is>
      </c>
      <c r="D358" s="171" t="n">
        <v>46152.41666666666</v>
      </c>
      <c r="E358" s="26" t="n">
        <v>0.001203703703703704</v>
      </c>
      <c r="F358" s="27" t="inlineStr">
        <is>
          <t>Shift 3</t>
        </is>
      </c>
      <c r="G358" s="27" t="n"/>
    </row>
    <row r="359">
      <c r="A359" s="27" t="inlineStr">
        <is>
          <t>MK00199</t>
        </is>
      </c>
      <c r="B359" s="27" t="n">
        <v>528000279</v>
      </c>
      <c r="C359" s="27" t="inlineStr">
        <is>
          <t>Mahdalena Dalfa Riani</t>
        </is>
      </c>
      <c r="D359" s="171" t="n">
        <v>46152.41666666666</v>
      </c>
      <c r="E359" s="26" t="n">
        <v>0.2535763888888889</v>
      </c>
      <c r="F359" s="27" t="inlineStr">
        <is>
          <t>Shift 3</t>
        </is>
      </c>
      <c r="G359" s="27" t="n"/>
    </row>
    <row r="360">
      <c r="A360" s="27" t="inlineStr">
        <is>
          <t>MK00210</t>
        </is>
      </c>
      <c r="B360" s="27" t="n">
        <v>628000064</v>
      </c>
      <c r="C360" s="27" t="inlineStr">
        <is>
          <t>Silva Alypia</t>
        </is>
      </c>
      <c r="D360" s="171" t="n">
        <v>46152.41666666666</v>
      </c>
      <c r="E360" s="26" t="n">
        <v>0.2547685185185185</v>
      </c>
      <c r="F360" s="27" t="inlineStr">
        <is>
          <t>Shift 3</t>
        </is>
      </c>
      <c r="G360" s="27" t="n"/>
    </row>
    <row r="361">
      <c r="A361" s="27" t="inlineStr">
        <is>
          <t>MK00221</t>
        </is>
      </c>
      <c r="B361" s="27" t="n">
        <v>528000238</v>
      </c>
      <c r="C361" s="27" t="inlineStr">
        <is>
          <t>Indah Lusiana</t>
        </is>
      </c>
      <c r="D361" s="171" t="n">
        <v>46152.41666666666</v>
      </c>
      <c r="E361" s="26" t="n">
        <v>0.2556018518518519</v>
      </c>
      <c r="F361" s="27" t="inlineStr">
        <is>
          <t>Shift 3</t>
        </is>
      </c>
      <c r="G361" s="27" t="n"/>
    </row>
    <row r="362">
      <c r="A362" s="27" t="inlineStr">
        <is>
          <t>MK00204</t>
        </is>
      </c>
      <c r="B362" s="27" t="n">
        <v>528000098</v>
      </c>
      <c r="C362" s="27" t="inlineStr">
        <is>
          <t>Edi Junaedi</t>
        </is>
      </c>
      <c r="D362" s="171" t="n">
        <v>46152.41666666666</v>
      </c>
      <c r="E362" s="26" t="n">
        <v>0.3341550925925926</v>
      </c>
      <c r="F362" s="27" t="inlineStr">
        <is>
          <t>Shift 1</t>
        </is>
      </c>
      <c r="G362" s="27" t="n"/>
    </row>
    <row r="363">
      <c r="A363" s="27" t="inlineStr">
        <is>
          <t>MK00228</t>
        </is>
      </c>
      <c r="B363" s="27" t="n">
        <v>528000201</v>
      </c>
      <c r="C363" s="27" t="inlineStr">
        <is>
          <t>Zahwa Amelia Choerunissa</t>
        </is>
      </c>
      <c r="D363" s="171" t="n">
        <v>46152.41666666666</v>
      </c>
      <c r="E363" s="26" t="n">
        <v>0.5864814814814815</v>
      </c>
      <c r="F363" s="27" t="inlineStr">
        <is>
          <t>Shift 1</t>
        </is>
      </c>
      <c r="G363" s="27" t="n"/>
    </row>
    <row r="364">
      <c r="A364" s="27" t="inlineStr">
        <is>
          <t>MK00249</t>
        </is>
      </c>
      <c r="B364" s="27" t="n">
        <v>528000241</v>
      </c>
      <c r="C364" s="27" t="inlineStr">
        <is>
          <t>Balia Nurafif Bilah</t>
        </is>
      </c>
      <c r="D364" s="171" t="n">
        <v>46152.41666666666</v>
      </c>
      <c r="E364" s="26" t="n">
        <v>0.5866666666666667</v>
      </c>
      <c r="F364" s="27" t="inlineStr">
        <is>
          <t>Shift 1</t>
        </is>
      </c>
      <c r="G364" s="27" t="n"/>
    </row>
    <row r="365">
      <c r="A365" s="27" t="inlineStr">
        <is>
          <t>MK00158</t>
        </is>
      </c>
      <c r="B365" s="27" t="n">
        <v>528000099</v>
      </c>
      <c r="C365" s="27" t="inlineStr">
        <is>
          <t>Siti Nurawaliah</t>
        </is>
      </c>
      <c r="D365" s="171" t="n">
        <v>46152.41666666666</v>
      </c>
      <c r="E365" s="26" t="n">
        <v>0.5872569444444444</v>
      </c>
      <c r="F365" s="27" t="inlineStr">
        <is>
          <t>Shift 1</t>
        </is>
      </c>
      <c r="G365" s="27" t="n"/>
    </row>
    <row r="366">
      <c r="A366" s="27" t="inlineStr">
        <is>
          <t>MK00200</t>
        </is>
      </c>
      <c r="B366" s="27" t="n">
        <v>528000228</v>
      </c>
      <c r="C366" s="27" t="inlineStr">
        <is>
          <t>Banyu Resmi Putri</t>
        </is>
      </c>
      <c r="D366" s="171" t="n">
        <v>46152.41666666666</v>
      </c>
      <c r="E366" s="26" t="n">
        <v>0.5881481481481482</v>
      </c>
      <c r="F366" s="27" t="inlineStr">
        <is>
          <t>Shift 1</t>
        </is>
      </c>
      <c r="G366" s="27" t="n"/>
    </row>
    <row r="367">
      <c r="A367" s="27" t="inlineStr">
        <is>
          <t>MK00202</t>
        </is>
      </c>
      <c r="B367" s="27" t="n">
        <v>528000286</v>
      </c>
      <c r="C367" s="27" t="inlineStr">
        <is>
          <t>Imelda Amelia</t>
        </is>
      </c>
      <c r="D367" s="171" t="n">
        <v>46152.41666666666</v>
      </c>
      <c r="E367" s="26" t="n">
        <v>0.588761574074074</v>
      </c>
      <c r="F367" s="27" t="inlineStr">
        <is>
          <t>Shift 1</t>
        </is>
      </c>
      <c r="G367" s="27" t="n"/>
    </row>
    <row r="368">
      <c r="A368" s="27" t="inlineStr">
        <is>
          <t>MK00192</t>
        </is>
      </c>
      <c r="B368" s="27" t="n">
        <v>528000244</v>
      </c>
      <c r="C368" s="27" t="inlineStr">
        <is>
          <t>Rodian Rifai</t>
        </is>
      </c>
      <c r="D368" s="171" t="n">
        <v>46152.41666666666</v>
      </c>
      <c r="E368" s="26" t="n">
        <v>0.5894675925925926</v>
      </c>
      <c r="F368" s="27" t="inlineStr">
        <is>
          <t>Shift 1</t>
        </is>
      </c>
      <c r="G368" s="27" t="n"/>
    </row>
    <row r="369">
      <c r="A369" s="27" t="inlineStr">
        <is>
          <t>MK00136</t>
        </is>
      </c>
      <c r="B369" s="27" t="n">
        <v>528000290</v>
      </c>
      <c r="C369" s="27" t="inlineStr">
        <is>
          <t>Eval Pranata</t>
        </is>
      </c>
      <c r="D369" s="171" t="n">
        <v>46152.41666666666</v>
      </c>
      <c r="E369" s="26" t="n">
        <v>0.5896180555555556</v>
      </c>
      <c r="F369" s="27" t="inlineStr">
        <is>
          <t>Shift 1</t>
        </is>
      </c>
      <c r="G369" s="27" t="n"/>
    </row>
    <row r="370">
      <c r="A370" s="27" t="inlineStr">
        <is>
          <t>MK00055</t>
        </is>
      </c>
      <c r="B370" s="27" t="n">
        <v>528000212</v>
      </c>
      <c r="C370" s="27" t="inlineStr">
        <is>
          <t>Rizal Fauzi</t>
        </is>
      </c>
      <c r="D370" s="171" t="n">
        <v>46152.41666666666</v>
      </c>
      <c r="E370" s="26" t="n">
        <v>0.615625</v>
      </c>
      <c r="F370" s="27" t="inlineStr">
        <is>
          <t>Shift 1</t>
        </is>
      </c>
      <c r="G370" s="27" t="n"/>
    </row>
    <row r="371">
      <c r="A371" s="27" t="inlineStr">
        <is>
          <t>MK00250</t>
        </is>
      </c>
      <c r="B371" s="27" t="n">
        <v>528000287</v>
      </c>
      <c r="C371" s="27" t="inlineStr">
        <is>
          <t>Muhamad Angga Ramdani</t>
        </is>
      </c>
      <c r="D371" s="171" t="n">
        <v>46152.41666666666</v>
      </c>
      <c r="E371" s="26" t="n">
        <v>0.6688657407407408</v>
      </c>
      <c r="F371" s="27" t="inlineStr">
        <is>
          <t>Shift 2</t>
        </is>
      </c>
      <c r="G371" s="27" t="n"/>
    </row>
    <row r="372">
      <c r="A372" s="27" t="inlineStr">
        <is>
          <t>MK00221</t>
        </is>
      </c>
      <c r="B372" s="27" t="n">
        <v>528000267</v>
      </c>
      <c r="C372" s="27" t="inlineStr">
        <is>
          <t>Bagas Patulloh</t>
        </is>
      </c>
      <c r="D372" s="171" t="n">
        <v>46152.41666666666</v>
      </c>
      <c r="E372" s="26" t="n">
        <v>0.669224537037037</v>
      </c>
      <c r="F372" s="27" t="inlineStr">
        <is>
          <t>Shift 2</t>
        </is>
      </c>
      <c r="G372" s="27" t="n"/>
    </row>
    <row r="373">
      <c r="A373" s="27" t="inlineStr">
        <is>
          <t>MK00093</t>
        </is>
      </c>
      <c r="B373" s="27" t="n">
        <v>528000055</v>
      </c>
      <c r="C373" s="27" t="inlineStr">
        <is>
          <t>Dika Prasetya</t>
        </is>
      </c>
      <c r="D373" s="171" t="n">
        <v>46152.41666666666</v>
      </c>
      <c r="E373" s="26" t="n">
        <v>0.6697916666666667</v>
      </c>
      <c r="F373" s="27" t="inlineStr">
        <is>
          <t>Shift 2</t>
        </is>
      </c>
      <c r="G373" s="27" t="n"/>
    </row>
    <row r="374">
      <c r="A374" s="27" t="inlineStr">
        <is>
          <t>MK00082</t>
        </is>
      </c>
      <c r="B374" s="27" t="n">
        <v>528000351</v>
      </c>
      <c r="C374" s="27" t="inlineStr">
        <is>
          <t>Mulyana</t>
        </is>
      </c>
      <c r="D374" s="171" t="n">
        <v>46152.41666666666</v>
      </c>
      <c r="E374" s="26" t="n">
        <v>0.6707407407407407</v>
      </c>
      <c r="F374" s="27" t="inlineStr">
        <is>
          <t>Shift 2</t>
        </is>
      </c>
      <c r="G374" s="27" t="n"/>
    </row>
    <row r="375">
      <c r="A375" s="27" t="inlineStr">
        <is>
          <t>MK00126</t>
        </is>
      </c>
      <c r="B375" s="27" t="n">
        <v>528000265</v>
      </c>
      <c r="C375" s="27" t="inlineStr">
        <is>
          <t>Muhammad Haerul Rozikin</t>
        </is>
      </c>
      <c r="D375" s="171" t="n">
        <v>46152.41666666666</v>
      </c>
      <c r="E375" s="26" t="n">
        <v>0.6709837962962963</v>
      </c>
      <c r="F375" s="27" t="inlineStr">
        <is>
          <t>Shift 2</t>
        </is>
      </c>
      <c r="G375" s="27" t="n"/>
    </row>
    <row r="376">
      <c r="A376" s="27" t="inlineStr">
        <is>
          <t>MK00204</t>
        </is>
      </c>
      <c r="B376" s="27" t="n">
        <v>528000232</v>
      </c>
      <c r="C376" s="27" t="inlineStr">
        <is>
          <t>Agung Aji Suhada</t>
        </is>
      </c>
      <c r="D376" s="171" t="n">
        <v>46152.41666666666</v>
      </c>
      <c r="E376" s="26" t="n">
        <v>0.7099768518518519</v>
      </c>
      <c r="F376" s="27" t="inlineStr">
        <is>
          <t>Shift 2</t>
        </is>
      </c>
      <c r="G376" s="27" t="n"/>
    </row>
    <row r="377">
      <c r="A377" s="27" t="inlineStr">
        <is>
          <t>MK00151</t>
        </is>
      </c>
      <c r="B377" s="27" t="n">
        <v>528000292</v>
      </c>
      <c r="C377" s="27" t="inlineStr">
        <is>
          <t>Aditia Nugraha</t>
        </is>
      </c>
      <c r="D377" s="171" t="n">
        <v>46152.41666666666</v>
      </c>
      <c r="E377" s="26" t="n">
        <v>0.7111342592592592</v>
      </c>
      <c r="F377" s="27" t="inlineStr">
        <is>
          <t>Shift 2</t>
        </is>
      </c>
      <c r="G377" s="27" t="n"/>
    </row>
    <row r="378">
      <c r="A378" s="27" t="inlineStr">
        <is>
          <t>MK00205</t>
        </is>
      </c>
      <c r="B378" s="27" t="n">
        <v>528000348</v>
      </c>
      <c r="C378" s="27" t="inlineStr">
        <is>
          <t>Saepuloh Ardiansah</t>
        </is>
      </c>
      <c r="D378" s="171" t="n">
        <v>46152.41666666666</v>
      </c>
      <c r="E378" s="26" t="n">
        <v>0.7420023148148148</v>
      </c>
      <c r="F378" s="27" t="inlineStr">
        <is>
          <t>Shift 2</t>
        </is>
      </c>
      <c r="G378" s="27" t="n"/>
    </row>
    <row r="379">
      <c r="A379" s="27" t="inlineStr">
        <is>
          <t>MV-26</t>
        </is>
      </c>
      <c r="B379" s="27" t="n">
        <v>528000297</v>
      </c>
      <c r="C379" s="27" t="inlineStr">
        <is>
          <t>Muhamad Budiana</t>
        </is>
      </c>
      <c r="D379" s="171" t="n">
        <v>46152.41666666666</v>
      </c>
      <c r="E379" s="26" t="n">
        <v>0.9127777777777778</v>
      </c>
      <c r="F379" s="27" t="inlineStr">
        <is>
          <t>Shift 2</t>
        </is>
      </c>
      <c r="G379" s="27" t="n"/>
    </row>
    <row r="380">
      <c r="A380" s="27" t="inlineStr">
        <is>
          <t>MK00199</t>
        </is>
      </c>
      <c r="B380" s="27" t="n">
        <v>528000262</v>
      </c>
      <c r="C380" s="27" t="inlineStr">
        <is>
          <t>Ndari Dwiwanti</t>
        </is>
      </c>
      <c r="D380" s="171" t="n">
        <v>46152.41666666666</v>
      </c>
      <c r="E380" s="26" t="n">
        <v>0.9183796296296296</v>
      </c>
      <c r="F380" s="27" t="inlineStr">
        <is>
          <t>Shift 2</t>
        </is>
      </c>
      <c r="G380" s="27" t="n"/>
    </row>
    <row r="381">
      <c r="A381" s="27" t="inlineStr">
        <is>
          <t>MK00156</t>
        </is>
      </c>
      <c r="B381" s="27" t="n">
        <v>528000306</v>
      </c>
      <c r="C381" s="27" t="inlineStr">
        <is>
          <t>Windy Olivia</t>
        </is>
      </c>
      <c r="D381" s="171" t="n">
        <v>46152.41666666666</v>
      </c>
      <c r="E381" s="26" t="n">
        <v>0.9190625</v>
      </c>
      <c r="F381" s="27" t="inlineStr">
        <is>
          <t>Shift 2</t>
        </is>
      </c>
      <c r="G381" s="27" t="n"/>
    </row>
    <row r="382">
      <c r="A382" s="27" t="inlineStr">
        <is>
          <t>MK00208</t>
        </is>
      </c>
      <c r="B382" s="27" t="n">
        <v>528000195</v>
      </c>
      <c r="C382" s="27" t="inlineStr">
        <is>
          <t>Rahma Sariwati</t>
        </is>
      </c>
      <c r="D382" s="171" t="n">
        <v>46152.41666666666</v>
      </c>
      <c r="E382" s="26" t="n">
        <v>0.9195486111111111</v>
      </c>
      <c r="F382" s="27" t="inlineStr">
        <is>
          <t>Shift 2</t>
        </is>
      </c>
      <c r="G382" s="27" t="n"/>
    </row>
    <row r="383">
      <c r="A383" s="27" t="inlineStr">
        <is>
          <t>MK00155</t>
        </is>
      </c>
      <c r="B383" s="27" t="n">
        <v>528000283</v>
      </c>
      <c r="C383" s="27" t="inlineStr">
        <is>
          <t>Purwanda Sugiri</t>
        </is>
      </c>
      <c r="D383" s="171" t="n">
        <v>46152.41666666666</v>
      </c>
      <c r="E383" s="26" t="n">
        <v>0.9200115740740741</v>
      </c>
      <c r="F383" s="27" t="inlineStr">
        <is>
          <t>Shift 2</t>
        </is>
      </c>
      <c r="G383" s="27" t="n"/>
    </row>
    <row r="384">
      <c r="A384" s="27" t="inlineStr">
        <is>
          <t>MK00211</t>
        </is>
      </c>
      <c r="B384" s="27" t="n">
        <v>528000266</v>
      </c>
      <c r="C384" s="27" t="inlineStr">
        <is>
          <t>M. Syirajatieq</t>
        </is>
      </c>
      <c r="D384" s="171" t="n">
        <v>46152.41666666666</v>
      </c>
      <c r="E384" s="26" t="n">
        <v>0.9273842592592593</v>
      </c>
      <c r="F384" s="27" t="inlineStr">
        <is>
          <t>Shift 2</t>
        </is>
      </c>
      <c r="G384" s="27" t="n"/>
    </row>
    <row r="385">
      <c r="A385" s="27" t="inlineStr">
        <is>
          <t>MK00136</t>
        </is>
      </c>
      <c r="B385" s="27" t="n">
        <v>528000015</v>
      </c>
      <c r="C385" s="27" t="inlineStr">
        <is>
          <t>Erwin</t>
        </is>
      </c>
      <c r="D385" s="171" t="n">
        <v>46153.41666666666</v>
      </c>
      <c r="E385" s="26" t="n">
        <v>0.001018518518518518</v>
      </c>
      <c r="F385" s="27" t="inlineStr">
        <is>
          <t>Shift 3</t>
        </is>
      </c>
      <c r="G385" s="27" t="n"/>
    </row>
    <row r="386">
      <c r="A386" s="27" t="inlineStr">
        <is>
          <t>MK00212</t>
        </is>
      </c>
      <c r="B386" s="27" t="n">
        <v>528000149</v>
      </c>
      <c r="C386" s="27" t="inlineStr">
        <is>
          <t>Tio Fernanda</t>
        </is>
      </c>
      <c r="D386" s="171" t="n">
        <v>46153.41666666666</v>
      </c>
      <c r="E386" s="26" t="n">
        <v>0.00162037037037037</v>
      </c>
      <c r="F386" s="27" t="inlineStr">
        <is>
          <t>Shift 3</t>
        </is>
      </c>
      <c r="G386" s="27" t="n"/>
    </row>
    <row r="387">
      <c r="A387" s="27" t="inlineStr">
        <is>
          <t>MK00249</t>
        </is>
      </c>
      <c r="B387" s="27" t="n">
        <v>628000064</v>
      </c>
      <c r="C387" s="27" t="inlineStr">
        <is>
          <t>Silva Alypia</t>
        </is>
      </c>
      <c r="D387" s="171" t="n">
        <v>46153.41666666666</v>
      </c>
      <c r="E387" s="26" t="n">
        <v>0.2545486111111111</v>
      </c>
      <c r="F387" s="27" t="inlineStr">
        <is>
          <t>Shift 3</t>
        </is>
      </c>
      <c r="G387" s="27" t="n"/>
    </row>
    <row r="388">
      <c r="A388" s="27" t="inlineStr">
        <is>
          <t>MK00203</t>
        </is>
      </c>
      <c r="B388" s="27" t="n">
        <v>528000279</v>
      </c>
      <c r="C388" s="27" t="inlineStr">
        <is>
          <t>Mahdalena Dalfa Riani</t>
        </is>
      </c>
      <c r="D388" s="171" t="n">
        <v>46153.41666666666</v>
      </c>
      <c r="E388" s="26" t="n">
        <v>0.2554398148148148</v>
      </c>
      <c r="F388" s="27" t="inlineStr">
        <is>
          <t>Shift 3</t>
        </is>
      </c>
      <c r="G388" s="27" t="n"/>
    </row>
    <row r="389">
      <c r="A389" s="27" t="inlineStr">
        <is>
          <t>MK00150</t>
        </is>
      </c>
      <c r="B389" s="27" t="n">
        <v>528000297</v>
      </c>
      <c r="C389" s="27" t="inlineStr">
        <is>
          <t>Muhamad Budiana</t>
        </is>
      </c>
      <c r="D389" s="171" t="n">
        <v>46153.41666666666</v>
      </c>
      <c r="E389" s="26" t="n">
        <v>0.3100115740740741</v>
      </c>
      <c r="F389" s="27" t="inlineStr">
        <is>
          <t>Shift 3</t>
        </is>
      </c>
      <c r="G389" s="27" t="n"/>
    </row>
    <row r="390">
      <c r="A390" s="27" t="inlineStr">
        <is>
          <t>MK0085</t>
        </is>
      </c>
      <c r="B390" s="27" t="n">
        <v>528000282</v>
      </c>
      <c r="C390" s="27" t="inlineStr">
        <is>
          <t>Defa Desfiana</t>
        </is>
      </c>
      <c r="D390" s="171" t="n">
        <v>46153.41666666666</v>
      </c>
      <c r="E390" s="26" t="n">
        <v>0.3162037037037037</v>
      </c>
      <c r="F390" s="27" t="inlineStr">
        <is>
          <t>Shift 3</t>
        </is>
      </c>
      <c r="G390" s="27" t="n"/>
    </row>
    <row r="391">
      <c r="A391" s="27" t="inlineStr">
        <is>
          <t>MK00112</t>
        </is>
      </c>
      <c r="B391" s="27" t="n">
        <v>528000290</v>
      </c>
      <c r="C391" s="27" t="inlineStr">
        <is>
          <t>Eval Pranata</t>
        </is>
      </c>
      <c r="D391" s="171" t="n">
        <v>46153.41666666666</v>
      </c>
      <c r="E391" s="26" t="n">
        <v>0.5862152777777778</v>
      </c>
      <c r="F391" s="27" t="inlineStr">
        <is>
          <t>Shift 1</t>
        </is>
      </c>
      <c r="G391" s="27" t="n"/>
    </row>
    <row r="392">
      <c r="A392" s="27" t="inlineStr">
        <is>
          <t>MK00202</t>
        </is>
      </c>
      <c r="B392" s="27" t="n">
        <v>528000241</v>
      </c>
      <c r="C392" s="27" t="inlineStr">
        <is>
          <t>Balia Nurafif Bilah</t>
        </is>
      </c>
      <c r="D392" s="171" t="n">
        <v>46153.41666666666</v>
      </c>
      <c r="E392" s="26" t="n">
        <v>0.5868287037037037</v>
      </c>
      <c r="F392" s="27" t="inlineStr">
        <is>
          <t>Shift 1</t>
        </is>
      </c>
      <c r="G392" s="27" t="n"/>
    </row>
    <row r="393">
      <c r="A393" s="27" t="inlineStr">
        <is>
          <t>MK00118</t>
        </is>
      </c>
      <c r="B393" s="27" t="n">
        <v>528000244</v>
      </c>
      <c r="C393" s="27" t="inlineStr">
        <is>
          <t>Rodian Rifai</t>
        </is>
      </c>
      <c r="D393" s="171" t="n">
        <v>46153.41666666666</v>
      </c>
      <c r="E393" s="26" t="n">
        <v>0.5868981481481481</v>
      </c>
      <c r="F393" s="27" t="inlineStr">
        <is>
          <t>Shift 1</t>
        </is>
      </c>
      <c r="G393" s="27" t="n"/>
    </row>
    <row r="394">
      <c r="A394" s="27" t="inlineStr">
        <is>
          <t>MK00235</t>
        </is>
      </c>
      <c r="B394" s="27" t="n">
        <v>528000201</v>
      </c>
      <c r="C394" s="27" t="inlineStr">
        <is>
          <t>Zahwa Amelia Choerunissa</t>
        </is>
      </c>
      <c r="D394" s="171" t="n">
        <v>46153.41666666666</v>
      </c>
      <c r="E394" s="26" t="n">
        <v>0.5881828703703704</v>
      </c>
      <c r="F394" s="27" t="inlineStr">
        <is>
          <t>Shift 1</t>
        </is>
      </c>
      <c r="G394" s="27" t="n"/>
    </row>
    <row r="395">
      <c r="A395" s="27" t="inlineStr">
        <is>
          <t>MK00088</t>
        </is>
      </c>
      <c r="B395" s="27" t="n">
        <v>528000099</v>
      </c>
      <c r="C395" s="27" t="inlineStr">
        <is>
          <t>Siti Nurawaliah</t>
        </is>
      </c>
      <c r="D395" s="171" t="n">
        <v>46153.41666666666</v>
      </c>
      <c r="E395" s="26" t="n">
        <v>0.5897800925925926</v>
      </c>
      <c r="F395" s="27" t="inlineStr">
        <is>
          <t>Shift 1</t>
        </is>
      </c>
      <c r="G395" s="27" t="n"/>
    </row>
    <row r="396">
      <c r="A396" s="27" t="inlineStr">
        <is>
          <t>MK00155</t>
        </is>
      </c>
      <c r="B396" s="27" t="n">
        <v>528000286</v>
      </c>
      <c r="C396" s="27" t="inlineStr">
        <is>
          <t>Imelda Amelia</t>
        </is>
      </c>
      <c r="D396" s="171" t="n">
        <v>46153.41666666666</v>
      </c>
      <c r="E396" s="26" t="n">
        <v>0.5901736111111111</v>
      </c>
      <c r="F396" s="27" t="inlineStr">
        <is>
          <t>Shift 1</t>
        </is>
      </c>
      <c r="G396" s="27" t="n"/>
    </row>
    <row r="397">
      <c r="A397" s="27" t="inlineStr">
        <is>
          <t>MK00213</t>
        </is>
      </c>
      <c r="B397" s="27" t="n">
        <v>528000144</v>
      </c>
      <c r="C397" s="27" t="inlineStr">
        <is>
          <t>Jodi Hanafi</t>
        </is>
      </c>
      <c r="D397" s="171" t="n">
        <v>46153.41666666666</v>
      </c>
      <c r="E397" s="26" t="n">
        <v>0.6648842592592593</v>
      </c>
      <c r="F397" s="27" t="inlineStr">
        <is>
          <t>Shift 1</t>
        </is>
      </c>
      <c r="G397" s="27" t="n"/>
    </row>
    <row r="398">
      <c r="A398" s="27" t="inlineStr">
        <is>
          <t>MK00230</t>
        </is>
      </c>
      <c r="B398" s="27" t="n">
        <v>528000282</v>
      </c>
      <c r="C398" s="27" t="inlineStr">
        <is>
          <t>Defa Desfiana</t>
        </is>
      </c>
      <c r="D398" s="171" t="n">
        <v>46153.41666666666</v>
      </c>
      <c r="E398" s="26" t="n">
        <v>0.6688773148148148</v>
      </c>
      <c r="F398" s="27" t="inlineStr">
        <is>
          <t>Shift 2</t>
        </is>
      </c>
      <c r="G398" s="27" t="inlineStr">
        <is>
          <t>23c</t>
        </is>
      </c>
    </row>
    <row r="399">
      <c r="A399" s="27" t="inlineStr">
        <is>
          <t>MK00208</t>
        </is>
      </c>
      <c r="B399" s="27" t="n">
        <v>528000265</v>
      </c>
      <c r="C399" s="27" t="inlineStr">
        <is>
          <t>Muhammad Haerul Rozikin</t>
        </is>
      </c>
      <c r="D399" s="171" t="n">
        <v>46153.41666666666</v>
      </c>
      <c r="E399" s="26" t="n">
        <v>0.6689583333333333</v>
      </c>
      <c r="F399" s="27" t="inlineStr">
        <is>
          <t>Shift 2</t>
        </is>
      </c>
      <c r="G399" s="27" t="n"/>
    </row>
    <row r="400">
      <c r="A400" s="27" t="inlineStr">
        <is>
          <t>MK00109</t>
        </is>
      </c>
      <c r="B400" s="27" t="n">
        <v>528000351</v>
      </c>
      <c r="C400" s="27" t="inlineStr">
        <is>
          <t>Mulyana</t>
        </is>
      </c>
      <c r="D400" s="171" t="n">
        <v>46153.41666666666</v>
      </c>
      <c r="E400" s="26" t="n">
        <v>0.6691087962962963</v>
      </c>
      <c r="F400" s="27" t="inlineStr">
        <is>
          <t>Shift 2</t>
        </is>
      </c>
      <c r="G400" s="27" t="n"/>
    </row>
    <row r="401">
      <c r="A401" s="27" t="inlineStr">
        <is>
          <t>MK00204</t>
        </is>
      </c>
      <c r="B401" s="27" t="n">
        <v>528000287</v>
      </c>
      <c r="C401" s="27" t="inlineStr">
        <is>
          <t>Muhamad Angga Ramdani</t>
        </is>
      </c>
      <c r="D401" s="171" t="n">
        <v>46153.41666666666</v>
      </c>
      <c r="E401" s="26" t="n">
        <v>0.6744560185185186</v>
      </c>
      <c r="F401" s="27" t="inlineStr">
        <is>
          <t>Shift 2</t>
        </is>
      </c>
      <c r="G401" s="27" t="n"/>
    </row>
    <row r="402">
      <c r="A402" s="27" t="inlineStr">
        <is>
          <t>MK00192</t>
        </is>
      </c>
      <c r="B402" s="27" t="n">
        <v>528000349</v>
      </c>
      <c r="C402" s="27" t="inlineStr">
        <is>
          <t>Anas Abdul Fatah</t>
        </is>
      </c>
      <c r="D402" s="171" t="n">
        <v>46153.41666666666</v>
      </c>
      <c r="E402" s="26" t="n">
        <v>0.676875</v>
      </c>
      <c r="F402" s="27" t="inlineStr">
        <is>
          <t>Shift 2</t>
        </is>
      </c>
      <c r="G402" s="27" t="n"/>
    </row>
    <row r="403">
      <c r="A403" s="27" t="inlineStr">
        <is>
          <t>MK00205</t>
        </is>
      </c>
      <c r="B403" s="27" t="n">
        <v>528000348</v>
      </c>
      <c r="C403" s="27" t="inlineStr">
        <is>
          <t>Saepuloh Ardiansah</t>
        </is>
      </c>
      <c r="D403" s="171" t="n">
        <v>46153.41666666666</v>
      </c>
      <c r="E403" s="26" t="n">
        <v>0.713113425925926</v>
      </c>
      <c r="F403" s="27" t="inlineStr">
        <is>
          <t>Shift 2</t>
        </is>
      </c>
      <c r="G403" s="27" t="n"/>
    </row>
    <row r="404">
      <c r="A404" s="27" t="inlineStr">
        <is>
          <t>MK00093</t>
        </is>
      </c>
      <c r="B404" s="27" t="n">
        <v>528000238</v>
      </c>
      <c r="C404" s="27" t="inlineStr">
        <is>
          <t>Indah Lusiana</t>
        </is>
      </c>
      <c r="D404" s="171" t="n">
        <v>46153.41666666666</v>
      </c>
      <c r="E404" s="26" t="n">
        <v>0.9187847222222222</v>
      </c>
      <c r="F404" s="27" t="inlineStr">
        <is>
          <t>Shift 2</t>
        </is>
      </c>
      <c r="G404" s="27" t="n"/>
    </row>
    <row r="405">
      <c r="A405" s="27" t="inlineStr">
        <is>
          <t>MK00141</t>
        </is>
      </c>
      <c r="B405" s="27" t="n">
        <v>528000299</v>
      </c>
      <c r="C405" s="27" t="inlineStr">
        <is>
          <t>Siti Nurjanah</t>
        </is>
      </c>
      <c r="D405" s="171" t="n">
        <v>46153.41666666666</v>
      </c>
      <c r="E405" s="26" t="n">
        <v>0.9203240740740741</v>
      </c>
      <c r="F405" s="27" t="inlineStr">
        <is>
          <t>Shift 2</t>
        </is>
      </c>
      <c r="G405" s="27" t="n"/>
    </row>
    <row r="406">
      <c r="A406" s="27" t="inlineStr">
        <is>
          <t>MK00158</t>
        </is>
      </c>
      <c r="B406" s="27" t="n">
        <v>528000302</v>
      </c>
      <c r="C406" s="27" t="inlineStr">
        <is>
          <t>Henkey gumilar</t>
        </is>
      </c>
      <c r="D406" s="171" t="n">
        <v>46153.41666666666</v>
      </c>
      <c r="E406" s="26" t="n">
        <v>0.9248032407407407</v>
      </c>
      <c r="F406" s="27" t="inlineStr">
        <is>
          <t>Shift 2</t>
        </is>
      </c>
      <c r="G406" s="27" t="n"/>
    </row>
    <row r="407">
      <c r="A407" s="27" t="inlineStr">
        <is>
          <t>MK00250</t>
        </is>
      </c>
      <c r="B407" s="27" t="n">
        <v>528000270</v>
      </c>
      <c r="C407" s="27" t="inlineStr">
        <is>
          <t>Febri Najmudin</t>
        </is>
      </c>
      <c r="D407" s="171" t="n">
        <v>46153.41666666666</v>
      </c>
      <c r="E407" s="26" t="n">
        <v>0.931412037037037</v>
      </c>
      <c r="F407" s="27" t="inlineStr">
        <is>
          <t>Shift 2</t>
        </is>
      </c>
      <c r="G407" s="27" t="n"/>
    </row>
    <row r="408">
      <c r="A408" s="27" t="inlineStr">
        <is>
          <t>MK00203</t>
        </is>
      </c>
      <c r="B408" s="27" t="n">
        <v>528000015</v>
      </c>
      <c r="C408" s="27" t="inlineStr">
        <is>
          <t>Erwin</t>
        </is>
      </c>
      <c r="D408" s="171" t="n">
        <v>46185.41666666666</v>
      </c>
      <c r="E408" s="26" t="n">
        <v>0.001747685185185185</v>
      </c>
      <c r="F408" s="27" t="inlineStr">
        <is>
          <t>Shift 3</t>
        </is>
      </c>
      <c r="G408" s="27" t="n"/>
    </row>
    <row r="409">
      <c r="A409" s="27" t="inlineStr">
        <is>
          <t>MK00212</t>
        </is>
      </c>
      <c r="B409" s="27" t="n">
        <v>528000149</v>
      </c>
      <c r="C409" s="27" t="inlineStr">
        <is>
          <t>Tio Fernanda</t>
        </is>
      </c>
      <c r="D409" s="171" t="n">
        <v>46185.41666666666</v>
      </c>
      <c r="E409" s="26" t="n">
        <v>0.006655092592592593</v>
      </c>
      <c r="F409" s="27" t="inlineStr">
        <is>
          <t>Shift 3</t>
        </is>
      </c>
      <c r="G409" s="27" t="n"/>
    </row>
    <row r="410">
      <c r="A410" s="27" t="inlineStr">
        <is>
          <t>MK00213</t>
        </is>
      </c>
      <c r="B410" s="27" t="n">
        <v>528000144</v>
      </c>
      <c r="C410" s="27" t="inlineStr">
        <is>
          <t>Jodi Hanafi</t>
        </is>
      </c>
      <c r="D410" s="171" t="n">
        <v>46185.41666666666</v>
      </c>
      <c r="E410" s="26" t="n">
        <v>0.04278935185185185</v>
      </c>
      <c r="F410" s="27" t="inlineStr">
        <is>
          <t>Shift 3</t>
        </is>
      </c>
      <c r="G410" s="27" t="n"/>
    </row>
    <row r="411">
      <c r="A411" s="27" t="inlineStr">
        <is>
          <t>MK00228</t>
        </is>
      </c>
      <c r="B411" s="27" t="n">
        <v>628000061</v>
      </c>
      <c r="C411" s="27" t="inlineStr">
        <is>
          <t>Nayla Fadillah Exwantoro</t>
        </is>
      </c>
      <c r="D411" s="171" t="n">
        <v>46185.41666666666</v>
      </c>
      <c r="E411" s="26" t="n">
        <v>0.04979166666666666</v>
      </c>
      <c r="F411" s="27" t="inlineStr">
        <is>
          <t>Shift 3</t>
        </is>
      </c>
      <c r="G411" s="27" t="inlineStr">
        <is>
          <t>E-12</t>
        </is>
      </c>
    </row>
    <row r="412">
      <c r="A412" s="27" t="inlineStr">
        <is>
          <t>MK00150</t>
        </is>
      </c>
      <c r="B412" s="27" t="n">
        <v>528000306</v>
      </c>
      <c r="C412" s="27" t="inlineStr">
        <is>
          <t>Windy Olivia</t>
        </is>
      </c>
      <c r="D412" s="171" t="n">
        <v>46185.41666666666</v>
      </c>
      <c r="E412" s="26" t="n">
        <v>0.2521527777777778</v>
      </c>
      <c r="F412" s="27" t="inlineStr">
        <is>
          <t>Shift 3</t>
        </is>
      </c>
      <c r="G412" s="27" t="n"/>
    </row>
    <row r="413">
      <c r="A413" s="27" t="inlineStr">
        <is>
          <t>MK00204</t>
        </is>
      </c>
      <c r="B413" s="27" t="n">
        <v>528000279</v>
      </c>
      <c r="C413" s="27" t="inlineStr">
        <is>
          <t>Mahdalena Dalfa Riani</t>
        </is>
      </c>
      <c r="D413" s="171" t="n">
        <v>46185.41666666666</v>
      </c>
      <c r="E413" s="26" t="n">
        <v>0.2539351851851852</v>
      </c>
      <c r="F413" s="27" t="inlineStr">
        <is>
          <t>Shift 3</t>
        </is>
      </c>
      <c r="G413" s="27" t="n"/>
    </row>
    <row r="414">
      <c r="A414" s="27" t="inlineStr">
        <is>
          <t>MK00192</t>
        </is>
      </c>
      <c r="B414" s="27" t="n">
        <v>628000064</v>
      </c>
      <c r="C414" s="27" t="inlineStr">
        <is>
          <t>Silva Alypia</t>
        </is>
      </c>
      <c r="D414" s="171" t="n">
        <v>46185.41666666666</v>
      </c>
      <c r="E414" s="26" t="n">
        <v>0.2547916666666667</v>
      </c>
      <c r="F414" s="27" t="inlineStr">
        <is>
          <t>Shift 3</t>
        </is>
      </c>
      <c r="G414" s="27" t="n"/>
    </row>
    <row r="415">
      <c r="A415" s="27" t="inlineStr">
        <is>
          <t>MK00109</t>
        </is>
      </c>
      <c r="B415" s="27" t="n">
        <v>528000297</v>
      </c>
      <c r="C415" s="27" t="inlineStr">
        <is>
          <t>Muhamad Budiana</t>
        </is>
      </c>
      <c r="D415" s="171" t="n">
        <v>46185.41666666666</v>
      </c>
      <c r="E415" s="26" t="n">
        <v>0.2959606481481482</v>
      </c>
      <c r="F415" s="27" t="inlineStr">
        <is>
          <t>Shift 3</t>
        </is>
      </c>
      <c r="G415" s="27" t="n"/>
    </row>
    <row r="416">
      <c r="A416" s="27" t="inlineStr">
        <is>
          <t>MK00113</t>
        </is>
      </c>
      <c r="B416" s="27" t="n">
        <v>528000351</v>
      </c>
      <c r="C416" s="27" t="inlineStr">
        <is>
          <t>Mulyana</t>
        </is>
      </c>
      <c r="D416" s="171" t="n">
        <v>46185.41666666666</v>
      </c>
      <c r="E416" s="26" t="n">
        <v>0.54375</v>
      </c>
      <c r="F416" s="27" t="inlineStr">
        <is>
          <t>Shift 1</t>
        </is>
      </c>
      <c r="G416" s="27" t="n"/>
    </row>
    <row r="417">
      <c r="A417" s="27" t="inlineStr">
        <is>
          <t>MK00181</t>
        </is>
      </c>
      <c r="B417" s="27" t="n">
        <v>528000265</v>
      </c>
      <c r="C417" s="27" t="inlineStr">
        <is>
          <t>Muhammad Haerul Rozikin</t>
        </is>
      </c>
      <c r="D417" s="171" t="n">
        <v>46185.41666666666</v>
      </c>
      <c r="E417" s="26" t="n">
        <v>0.5438657407407408</v>
      </c>
      <c r="F417" s="27" t="inlineStr">
        <is>
          <t>Shift 1</t>
        </is>
      </c>
      <c r="G417" s="27" t="n"/>
    </row>
    <row r="418">
      <c r="A418" s="27" t="inlineStr">
        <is>
          <t>MK00230</t>
        </is>
      </c>
      <c r="B418" s="27" t="n">
        <v>528000282</v>
      </c>
      <c r="C418" s="27" t="inlineStr">
        <is>
          <t>Defa Desfiana</t>
        </is>
      </c>
      <c r="D418" s="171" t="n">
        <v>46185.41666666666</v>
      </c>
      <c r="E418" s="26" t="n">
        <v>0.544537037037037</v>
      </c>
      <c r="F418" s="27" t="inlineStr">
        <is>
          <t>Shift 1</t>
        </is>
      </c>
      <c r="G418" s="27" t="inlineStr">
        <is>
          <t>23c</t>
        </is>
      </c>
    </row>
    <row r="419">
      <c r="A419" s="27" t="inlineStr">
        <is>
          <t>MK00204</t>
        </is>
      </c>
      <c r="B419" s="27" t="n">
        <v>528000287</v>
      </c>
      <c r="C419" s="27" t="inlineStr">
        <is>
          <t>Muhamad Angga Ramdani</t>
        </is>
      </c>
      <c r="D419" s="171" t="n">
        <v>46185.41666666666</v>
      </c>
      <c r="E419" s="26" t="n">
        <v>0.5451273148148148</v>
      </c>
      <c r="F419" s="27" t="inlineStr">
        <is>
          <t>Shift 1</t>
        </is>
      </c>
      <c r="G419" s="27" t="n"/>
    </row>
    <row r="420">
      <c r="A420" s="27" t="inlineStr">
        <is>
          <t>MK00228</t>
        </is>
      </c>
      <c r="B420" s="27" t="n">
        <v>528000262</v>
      </c>
      <c r="C420" s="27" t="inlineStr">
        <is>
          <t>Ndari Dwiwanti</t>
        </is>
      </c>
      <c r="D420" s="171" t="n">
        <v>46185.41666666666</v>
      </c>
      <c r="E420" s="26" t="n">
        <v>0.5870833333333333</v>
      </c>
      <c r="F420" s="27" t="inlineStr">
        <is>
          <t>Shift 1</t>
        </is>
      </c>
      <c r="G420" s="27" t="n"/>
    </row>
    <row r="421">
      <c r="A421" s="27" t="inlineStr">
        <is>
          <t>MK00141</t>
        </is>
      </c>
      <c r="B421" s="27" t="n">
        <v>528000358</v>
      </c>
      <c r="C421" s="27" t="inlineStr">
        <is>
          <t>Lulu Agustin</t>
        </is>
      </c>
      <c r="D421" s="171" t="n">
        <v>46185.41666666666</v>
      </c>
      <c r="E421" s="26" t="n">
        <v>0.5874768518518518</v>
      </c>
      <c r="F421" s="27" t="inlineStr">
        <is>
          <t>Shift 1</t>
        </is>
      </c>
      <c r="G421" s="27" t="n"/>
    </row>
    <row r="422">
      <c r="A422" s="27" t="inlineStr">
        <is>
          <t>MK00210</t>
        </is>
      </c>
      <c r="B422" s="27" t="n">
        <v>528000195</v>
      </c>
      <c r="C422" s="27" t="inlineStr">
        <is>
          <t>Rahma Sariwati</t>
        </is>
      </c>
      <c r="D422" s="171" t="n">
        <v>46185.41666666666</v>
      </c>
      <c r="E422" s="26" t="n">
        <v>0.5889467592592592</v>
      </c>
      <c r="F422" s="27" t="inlineStr">
        <is>
          <t>Shift 1</t>
        </is>
      </c>
      <c r="G422" s="27" t="n"/>
    </row>
    <row r="423">
      <c r="A423" s="27" t="inlineStr">
        <is>
          <t>MK00207</t>
        </is>
      </c>
      <c r="B423" s="27" t="n">
        <v>628000091</v>
      </c>
      <c r="C423" s="27" t="inlineStr">
        <is>
          <t>Devita Handayani</t>
        </is>
      </c>
      <c r="D423" s="171" t="n">
        <v>46185.41666666666</v>
      </c>
      <c r="E423" s="26" t="n">
        <v>0.7044560185185185</v>
      </c>
      <c r="F423" s="27" t="inlineStr">
        <is>
          <t>Shift 2</t>
        </is>
      </c>
      <c r="G423" s="27" t="n"/>
    </row>
    <row r="424">
      <c r="A424" s="27" t="inlineStr">
        <is>
          <t>MK00212</t>
        </is>
      </c>
      <c r="B424" s="27" t="n">
        <v>528000149</v>
      </c>
      <c r="C424" s="27" t="inlineStr">
        <is>
          <t>Tio Fernanda</t>
        </is>
      </c>
      <c r="D424" s="171" t="n">
        <v>46185.41666666666</v>
      </c>
      <c r="E424" s="26" t="n">
        <v>0.7502083333333334</v>
      </c>
      <c r="F424" s="27" t="inlineStr">
        <is>
          <t>Shift 2</t>
        </is>
      </c>
      <c r="G424" s="27" t="n"/>
    </row>
    <row r="425">
      <c r="A425" s="27" t="inlineStr">
        <is>
          <t>MK00138</t>
        </is>
      </c>
      <c r="B425" s="27" t="n">
        <v>528000015</v>
      </c>
      <c r="C425" s="27" t="inlineStr">
        <is>
          <t>Erwin</t>
        </is>
      </c>
      <c r="D425" s="171" t="n">
        <v>46185.41666666666</v>
      </c>
      <c r="E425" s="26" t="n">
        <v>0.7509375</v>
      </c>
      <c r="F425" s="27" t="inlineStr">
        <is>
          <t>Shift 2</t>
        </is>
      </c>
      <c r="G425" s="27" t="n"/>
    </row>
    <row r="426">
      <c r="A426" s="27" t="inlineStr">
        <is>
          <t>MK00221</t>
        </is>
      </c>
      <c r="B426" s="27" t="n">
        <v>528000299</v>
      </c>
      <c r="C426" s="27" t="inlineStr">
        <is>
          <t>Siti Nurjanah</t>
        </is>
      </c>
      <c r="D426" s="171" t="n">
        <v>46185.41666666666</v>
      </c>
      <c r="E426" s="26" t="n">
        <v>0.9216666666666666</v>
      </c>
      <c r="F426" s="27" t="inlineStr">
        <is>
          <t>Shift 2</t>
        </is>
      </c>
      <c r="G426" s="27" t="n"/>
    </row>
    <row r="427">
      <c r="A427" s="27" t="inlineStr">
        <is>
          <t>MK00109</t>
        </is>
      </c>
      <c r="B427" s="27" t="n">
        <v>528000302</v>
      </c>
      <c r="C427" s="27" t="inlineStr">
        <is>
          <t>Henkey gumilar</t>
        </is>
      </c>
      <c r="D427" s="171" t="n">
        <v>46185.41666666666</v>
      </c>
      <c r="E427" s="26" t="n">
        <v>0.9249768518518519</v>
      </c>
      <c r="F427" s="27" t="inlineStr">
        <is>
          <t>Shift 2</t>
        </is>
      </c>
      <c r="G427" s="27" t="n"/>
    </row>
    <row r="428">
      <c r="A428" s="27" t="inlineStr">
        <is>
          <t>MK00151</t>
        </is>
      </c>
      <c r="B428" s="27" t="n">
        <v>528000270</v>
      </c>
      <c r="C428" s="27" t="inlineStr">
        <is>
          <t>Febri Najmudin</t>
        </is>
      </c>
      <c r="D428" s="171" t="n">
        <v>46185.41666666666</v>
      </c>
      <c r="E428" s="26" t="n">
        <v>0.9536458333333333</v>
      </c>
      <c r="F428" s="27" t="inlineStr">
        <is>
          <t>Shift 2</t>
        </is>
      </c>
      <c r="G428" s="27" t="n"/>
    </row>
    <row r="429">
      <c r="A429" s="27" t="inlineStr">
        <is>
          <t>MK00207</t>
        </is>
      </c>
      <c r="B429" s="27" t="n">
        <v>528000279</v>
      </c>
      <c r="C429" s="27" t="inlineStr">
        <is>
          <t>Mahdalena Dalfa Riani</t>
        </is>
      </c>
      <c r="D429" s="171" t="n">
        <v>46186.41666666666</v>
      </c>
      <c r="E429" s="26" t="n">
        <v>0.2525231481481481</v>
      </c>
      <c r="F429" s="27" t="inlineStr">
        <is>
          <t>Shift 3</t>
        </is>
      </c>
      <c r="G429" s="27" t="n"/>
    </row>
    <row r="430">
      <c r="A430" s="27" t="inlineStr">
        <is>
          <t>MK00228</t>
        </is>
      </c>
      <c r="B430" s="27" t="n">
        <v>628000064</v>
      </c>
      <c r="C430" s="27" t="inlineStr">
        <is>
          <t>Silva Alypia</t>
        </is>
      </c>
      <c r="D430" s="171" t="n">
        <v>46186.41666666666</v>
      </c>
      <c r="E430" s="26" t="n">
        <v>0.2536805555555556</v>
      </c>
      <c r="F430" s="27" t="inlineStr">
        <is>
          <t>Shift 3</t>
        </is>
      </c>
      <c r="G430" s="27" t="n"/>
    </row>
    <row r="431">
      <c r="A431" s="27" t="inlineStr">
        <is>
          <t>MK00085</t>
        </is>
      </c>
      <c r="B431" s="27" t="n">
        <v>528000238</v>
      </c>
      <c r="C431" s="27" t="inlineStr">
        <is>
          <t>Indah Lusiana</t>
        </is>
      </c>
      <c r="D431" s="171" t="n">
        <v>46186.41666666666</v>
      </c>
      <c r="E431" s="26" t="n">
        <v>0.2547569444444445</v>
      </c>
      <c r="F431" s="27" t="inlineStr">
        <is>
          <t>Shift 3</t>
        </is>
      </c>
      <c r="G431" s="27" t="n"/>
    </row>
    <row r="432">
      <c r="A432" s="27" t="inlineStr">
        <is>
          <t>MK00208</t>
        </is>
      </c>
      <c r="B432" s="27" t="n">
        <v>528000297</v>
      </c>
      <c r="C432" s="27" t="inlineStr">
        <is>
          <t>Muhamad Budiana</t>
        </is>
      </c>
      <c r="D432" s="171" t="n">
        <v>46186.41666666666</v>
      </c>
      <c r="E432" s="26" t="n">
        <v>0.2836805555555555</v>
      </c>
      <c r="F432" s="27" t="inlineStr">
        <is>
          <t>Shift 3</t>
        </is>
      </c>
      <c r="G432" s="27" t="n"/>
    </row>
    <row r="433">
      <c r="A433" s="27" t="inlineStr">
        <is>
          <t>MK00160</t>
        </is>
      </c>
      <c r="B433" s="27" t="n">
        <v>628000039</v>
      </c>
      <c r="C433" s="27" t="inlineStr">
        <is>
          <t>Nani Maryani</t>
        </is>
      </c>
      <c r="D433" s="171" t="n">
        <v>46186.41666666666</v>
      </c>
      <c r="E433" s="26" t="n">
        <v>0.5413773148148148</v>
      </c>
      <c r="F433" s="27" t="inlineStr">
        <is>
          <t>Shift 1</t>
        </is>
      </c>
      <c r="G433" s="27" t="n"/>
    </row>
    <row r="434">
      <c r="A434" s="27" t="inlineStr">
        <is>
          <t>MK00192</t>
        </is>
      </c>
      <c r="B434" s="27" t="n">
        <v>628000061</v>
      </c>
      <c r="C434" s="27" t="inlineStr">
        <is>
          <t>Nayla Fadillah Exwantoro</t>
        </is>
      </c>
      <c r="D434" s="171" t="n">
        <v>46186.41666666666</v>
      </c>
      <c r="E434" s="26" t="n">
        <v>0.542962962962963</v>
      </c>
      <c r="F434" s="27" t="inlineStr">
        <is>
          <t>Shift 1</t>
        </is>
      </c>
      <c r="G434" s="27" t="n"/>
    </row>
    <row r="435">
      <c r="A435" s="27" t="inlineStr">
        <is>
          <t>MK00151</t>
        </is>
      </c>
      <c r="B435" s="27" t="n">
        <v>528000262</v>
      </c>
      <c r="C435" s="27" t="inlineStr">
        <is>
          <t>Ndari Dwiwanti</t>
        </is>
      </c>
      <c r="D435" s="171" t="n">
        <v>46186.41666666666</v>
      </c>
      <c r="E435" s="26" t="n">
        <v>0.5864814814814815</v>
      </c>
      <c r="F435" s="27" t="inlineStr">
        <is>
          <t>Shift 1</t>
        </is>
      </c>
      <c r="G435" s="27" t="n"/>
    </row>
    <row r="436">
      <c r="A436" s="27" t="inlineStr">
        <is>
          <t>MK00088</t>
        </is>
      </c>
      <c r="B436" s="27" t="n">
        <v>528000291</v>
      </c>
      <c r="C436" s="27" t="inlineStr">
        <is>
          <t>Andrian</t>
        </is>
      </c>
      <c r="D436" s="171" t="n">
        <v>46186.41666666666</v>
      </c>
      <c r="E436" s="26" t="n">
        <v>0.5867939814814814</v>
      </c>
      <c r="F436" s="27" t="inlineStr">
        <is>
          <t>Shift 1</t>
        </is>
      </c>
      <c r="G436" s="27" t="n"/>
    </row>
    <row r="437">
      <c r="A437" s="27" t="inlineStr">
        <is>
          <t>MK00141</t>
        </is>
      </c>
      <c r="B437" s="27" t="n">
        <v>528000358</v>
      </c>
      <c r="C437" s="27" t="inlineStr">
        <is>
          <t>Lulu Agustin</t>
        </is>
      </c>
      <c r="D437" s="171" t="n">
        <v>46186.41666666666</v>
      </c>
      <c r="E437" s="26" t="n">
        <v>0.5870138888888888</v>
      </c>
      <c r="F437" s="27" t="inlineStr">
        <is>
          <t>Shift 1</t>
        </is>
      </c>
      <c r="G437" s="27" t="n"/>
    </row>
    <row r="438">
      <c r="A438" s="27" t="inlineStr">
        <is>
          <t>MK00150</t>
        </is>
      </c>
      <c r="B438" s="27" t="n">
        <v>528000283</v>
      </c>
      <c r="C438" s="27" t="inlineStr">
        <is>
          <t>Purwanda Sugiri</t>
        </is>
      </c>
      <c r="D438" s="171" t="n">
        <v>46186.41666666666</v>
      </c>
      <c r="E438" s="26" t="n">
        <v>0.5879050925925926</v>
      </c>
      <c r="F438" s="27" t="inlineStr">
        <is>
          <t>Shift 1</t>
        </is>
      </c>
      <c r="G438" s="27" t="n"/>
    </row>
    <row r="439">
      <c r="A439" s="27" t="inlineStr">
        <is>
          <t>MK00210</t>
        </is>
      </c>
      <c r="B439" s="27" t="n">
        <v>528000266</v>
      </c>
      <c r="C439" s="27" t="inlineStr">
        <is>
          <t>M. Syirajatieq</t>
        </is>
      </c>
      <c r="D439" s="171" t="n">
        <v>46186.41666666666</v>
      </c>
      <c r="E439" s="26" t="n">
        <v>0.597199074074074</v>
      </c>
      <c r="F439" s="27" t="inlineStr">
        <is>
          <t>Shift 1</t>
        </is>
      </c>
      <c r="G439" s="27" t="n"/>
    </row>
    <row r="440">
      <c r="A440" s="27" t="inlineStr">
        <is>
          <t>MK00228</t>
        </is>
      </c>
      <c r="B440" s="27" t="n">
        <v>528000015</v>
      </c>
      <c r="C440" s="27" t="inlineStr">
        <is>
          <t>Erwin</t>
        </is>
      </c>
      <c r="D440" s="171" t="n">
        <v>46186.41666666666</v>
      </c>
      <c r="E440" s="26" t="n">
        <v>0.6683680555555556</v>
      </c>
      <c r="F440" s="27" t="inlineStr">
        <is>
          <t>Shift 2</t>
        </is>
      </c>
      <c r="G440" s="27" t="n"/>
    </row>
    <row r="441">
      <c r="A441" s="27" t="inlineStr">
        <is>
          <t>MK00138</t>
        </is>
      </c>
      <c r="B441" s="27" t="n">
        <v>528000265</v>
      </c>
      <c r="C441" s="27" t="inlineStr">
        <is>
          <t>Muhammad Haerul Rozikin</t>
        </is>
      </c>
      <c r="D441" s="171" t="n">
        <v>46186.41666666666</v>
      </c>
      <c r="E441" s="26" t="n">
        <v>0.672337962962963</v>
      </c>
      <c r="F441" s="27" t="inlineStr">
        <is>
          <t>Shift 2</t>
        </is>
      </c>
      <c r="G441" s="27" t="n"/>
    </row>
    <row r="442">
      <c r="A442" s="27" t="inlineStr">
        <is>
          <t>MK00202</t>
        </is>
      </c>
      <c r="B442" s="27" t="n">
        <v>528000287</v>
      </c>
      <c r="C442" s="27" t="inlineStr">
        <is>
          <t>Muhamad Angga Ramdani</t>
        </is>
      </c>
      <c r="D442" s="171" t="n">
        <v>46186.41666666666</v>
      </c>
      <c r="E442" s="26" t="n">
        <v>0.6756134259259259</v>
      </c>
      <c r="F442" s="27" t="inlineStr">
        <is>
          <t>Shift 2</t>
        </is>
      </c>
      <c r="G442" s="27" t="n"/>
    </row>
    <row r="443">
      <c r="A443" s="27" t="inlineStr">
        <is>
          <t>MK00113</t>
        </is>
      </c>
      <c r="B443" s="27" t="n">
        <v>628000091</v>
      </c>
      <c r="C443" s="27" t="inlineStr">
        <is>
          <t>Devita Handayani</t>
        </is>
      </c>
      <c r="D443" s="171" t="n">
        <v>46186.41666666666</v>
      </c>
      <c r="E443" s="26" t="n">
        <v>0.8049421296296296</v>
      </c>
      <c r="F443" s="27" t="inlineStr">
        <is>
          <t>Shift 2</t>
        </is>
      </c>
      <c r="G443" s="27" t="n"/>
    </row>
    <row r="444">
      <c r="A444" s="27" t="inlineStr">
        <is>
          <t>MK00156</t>
        </is>
      </c>
      <c r="B444" s="27" t="n">
        <v>528000282</v>
      </c>
      <c r="C444" s="27" t="inlineStr">
        <is>
          <t>Defa Desfiana</t>
        </is>
      </c>
      <c r="D444" s="171" t="n">
        <v>46186.41666666666</v>
      </c>
      <c r="E444" s="26" t="n">
        <v>0.9189351851851851</v>
      </c>
      <c r="F444" s="27" t="inlineStr">
        <is>
          <t>Shift 2</t>
        </is>
      </c>
      <c r="G444" s="27" t="n"/>
    </row>
    <row r="445">
      <c r="A445" s="27" t="inlineStr">
        <is>
          <t>MK00158</t>
        </is>
      </c>
      <c r="B445" s="27" t="n">
        <v>528000270</v>
      </c>
      <c r="C445" s="27" t="inlineStr">
        <is>
          <t>Febri Najmudin</t>
        </is>
      </c>
      <c r="D445" s="171" t="n">
        <v>46186.41666666666</v>
      </c>
      <c r="E445" s="26" t="n">
        <v>0.9212615740740741</v>
      </c>
      <c r="F445" s="27" t="inlineStr">
        <is>
          <t>Shift 2</t>
        </is>
      </c>
      <c r="G445" s="27" t="n"/>
    </row>
    <row r="446">
      <c r="A446" s="27" t="inlineStr">
        <is>
          <t>MK00181</t>
        </is>
      </c>
      <c r="B446" s="27" t="n">
        <v>528000302</v>
      </c>
      <c r="C446" s="27" t="inlineStr">
        <is>
          <t>Henkey gumilar</t>
        </is>
      </c>
      <c r="D446" s="171" t="n">
        <v>46186.41666666666</v>
      </c>
      <c r="E446" s="26" t="n">
        <v>0.9236458333333334</v>
      </c>
      <c r="F446" s="27" t="inlineStr">
        <is>
          <t>Shift 2</t>
        </is>
      </c>
      <c r="G446" s="27" t="n"/>
    </row>
    <row r="447">
      <c r="A447" s="27" t="inlineStr">
        <is>
          <t>MK00082</t>
        </is>
      </c>
      <c r="B447" s="27" t="n">
        <v>528000306</v>
      </c>
      <c r="C447" s="27" t="inlineStr">
        <is>
          <t>Windy Olivia</t>
        </is>
      </c>
      <c r="D447" s="171" t="n">
        <v>46187.41666666666</v>
      </c>
      <c r="E447" s="26" t="n">
        <v>0.2427893518518519</v>
      </c>
      <c r="F447" s="27" t="inlineStr">
        <is>
          <t>Shift 3</t>
        </is>
      </c>
      <c r="G447" s="27" t="n"/>
    </row>
    <row r="448">
      <c r="A448" s="27" t="inlineStr">
        <is>
          <t>MK00210</t>
        </is>
      </c>
      <c r="B448" s="27" t="n">
        <v>528000279</v>
      </c>
      <c r="C448" s="27" t="inlineStr">
        <is>
          <t>Mahdalena Dalfa Riani</t>
        </is>
      </c>
      <c r="D448" s="171" t="n">
        <v>46187.41666666666</v>
      </c>
      <c r="E448" s="26" t="n">
        <v>0.2530208333333333</v>
      </c>
      <c r="F448" s="27" t="inlineStr">
        <is>
          <t>Shift 3</t>
        </is>
      </c>
      <c r="G448" s="27" t="n"/>
    </row>
    <row r="449">
      <c r="A449" s="27" t="inlineStr">
        <is>
          <t>MK00150</t>
        </is>
      </c>
      <c r="B449" s="27" t="n">
        <v>628000064</v>
      </c>
      <c r="C449" s="27" t="inlineStr">
        <is>
          <t>Silva Alypia</t>
        </is>
      </c>
      <c r="D449" s="171" t="n">
        <v>46187.41666666666</v>
      </c>
      <c r="E449" s="26" t="n">
        <v>0.2543171296296297</v>
      </c>
      <c r="F449" s="27" t="inlineStr">
        <is>
          <t>Shift 3</t>
        </is>
      </c>
      <c r="G449" s="27" t="n"/>
    </row>
    <row r="450">
      <c r="A450" s="27" t="inlineStr">
        <is>
          <t>MK00138</t>
        </is>
      </c>
      <c r="B450" s="27" t="n">
        <v>528000297</v>
      </c>
      <c r="C450" s="27" t="inlineStr">
        <is>
          <t>Muhamad Budiana</t>
        </is>
      </c>
      <c r="D450" s="171" t="n">
        <v>46187.41666666666</v>
      </c>
      <c r="E450" s="26" t="n">
        <v>0.295474537037037</v>
      </c>
      <c r="F450" s="27" t="inlineStr">
        <is>
          <t>Shift 3</t>
        </is>
      </c>
      <c r="G450" s="27" t="n"/>
    </row>
    <row r="451">
      <c r="A451" s="27" t="inlineStr">
        <is>
          <t>MK00213</t>
        </is>
      </c>
      <c r="B451" s="27" t="n">
        <v>528000144</v>
      </c>
      <c r="C451" s="27" t="inlineStr">
        <is>
          <t>Jodi Hanafi</t>
        </is>
      </c>
      <c r="D451" s="171" t="n">
        <v>46187.41666666666</v>
      </c>
      <c r="E451" s="26" t="n">
        <v>0.3205787037037037</v>
      </c>
      <c r="F451" s="27" t="inlineStr">
        <is>
          <t>Shift 3</t>
        </is>
      </c>
      <c r="G451" s="27" t="n"/>
    </row>
    <row r="452">
      <c r="A452" s="27" t="inlineStr">
        <is>
          <t>MK00230</t>
        </is>
      </c>
      <c r="B452" s="27" t="n">
        <v>528000358</v>
      </c>
      <c r="C452" s="27" t="inlineStr">
        <is>
          <t>Lulu Agustin</t>
        </is>
      </c>
      <c r="D452" s="171" t="n">
        <v>46187.41666666666</v>
      </c>
      <c r="E452" s="26" t="n">
        <v>0.5812384259259259</v>
      </c>
      <c r="F452" s="27" t="inlineStr">
        <is>
          <t>Shift 1</t>
        </is>
      </c>
      <c r="G452" s="27" t="n"/>
    </row>
    <row r="453">
      <c r="A453" s="27" t="inlineStr">
        <is>
          <t>MK00203</t>
        </is>
      </c>
      <c r="B453" s="27" t="n">
        <v>528000195</v>
      </c>
      <c r="C453" s="27" t="inlineStr">
        <is>
          <t>Rahma Sariwati</t>
        </is>
      </c>
      <c r="D453" s="171" t="n">
        <v>46187.41666666666</v>
      </c>
      <c r="E453" s="26" t="n">
        <v>0.5842592592592593</v>
      </c>
      <c r="F453" s="27" t="inlineStr">
        <is>
          <t>Shift 1</t>
        </is>
      </c>
      <c r="G453" s="27" t="n"/>
    </row>
    <row r="454">
      <c r="A454" s="27" t="inlineStr">
        <is>
          <t>MK00208</t>
        </is>
      </c>
      <c r="B454" s="27" t="n">
        <v>528000262</v>
      </c>
      <c r="C454" s="27" t="inlineStr">
        <is>
          <t>Ndari Dwiwanti</t>
        </is>
      </c>
      <c r="D454" s="171" t="n">
        <v>46187.41666666666</v>
      </c>
      <c r="E454" s="26" t="n">
        <v>0.5843055555555555</v>
      </c>
      <c r="F454" s="27" t="inlineStr">
        <is>
          <t>Shift 1</t>
        </is>
      </c>
      <c r="G454" s="27" t="n"/>
    </row>
    <row r="455">
      <c r="A455" s="27" t="inlineStr">
        <is>
          <t>MK00158</t>
        </is>
      </c>
      <c r="B455" s="27" t="n">
        <v>528000306</v>
      </c>
      <c r="C455" s="27" t="inlineStr">
        <is>
          <t>Windy Olivia</t>
        </is>
      </c>
      <c r="D455" s="171" t="n">
        <v>46187.41666666666</v>
      </c>
      <c r="E455" s="26" t="n">
        <v>0.5851157407407407</v>
      </c>
      <c r="F455" s="27" t="inlineStr">
        <is>
          <t>Shift 1</t>
        </is>
      </c>
      <c r="G455" s="27" t="n"/>
    </row>
    <row r="456">
      <c r="A456" s="27" t="inlineStr">
        <is>
          <t>MK00116</t>
        </is>
      </c>
      <c r="B456" s="27" t="n">
        <v>528000283</v>
      </c>
      <c r="C456" s="27" t="inlineStr">
        <is>
          <t>Purwanda Sugiri</t>
        </is>
      </c>
      <c r="D456" s="171" t="n">
        <v>46187.41666666666</v>
      </c>
      <c r="E456" s="26" t="n">
        <v>0.5868171296296296</v>
      </c>
      <c r="F456" s="27" t="inlineStr">
        <is>
          <t>Shift 1</t>
        </is>
      </c>
      <c r="G456" s="27" t="n"/>
    </row>
    <row r="457">
      <c r="A457" s="27" t="inlineStr">
        <is>
          <t>MK00207</t>
        </is>
      </c>
      <c r="B457" s="27" t="n">
        <v>528000266</v>
      </c>
      <c r="C457" s="27" t="inlineStr">
        <is>
          <t>M. Syirajatieq</t>
        </is>
      </c>
      <c r="D457" s="171" t="n">
        <v>46187.41666666666</v>
      </c>
      <c r="E457" s="26" t="n">
        <v>0.6129513888888889</v>
      </c>
      <c r="F457" s="27" t="inlineStr">
        <is>
          <t>Shift 1</t>
        </is>
      </c>
      <c r="G457" s="27" t="n"/>
    </row>
    <row r="458">
      <c r="A458" s="27" t="inlineStr">
        <is>
          <t>MK00205</t>
        </is>
      </c>
      <c r="B458" s="27" t="n">
        <v>528000348</v>
      </c>
      <c r="C458" s="27" t="inlineStr">
        <is>
          <t>Saepuloh Ardiansah</t>
        </is>
      </c>
      <c r="D458" s="171" t="n">
        <v>46187.41666666666</v>
      </c>
      <c r="E458" s="26" t="n">
        <v>0.6620254629629629</v>
      </c>
      <c r="F458" s="27" t="inlineStr">
        <is>
          <t>Shift 1</t>
        </is>
      </c>
      <c r="G458" s="27" t="n"/>
    </row>
    <row r="459">
      <c r="A459" s="27" t="inlineStr">
        <is>
          <t>MK00213</t>
        </is>
      </c>
      <c r="B459" s="27" t="n">
        <v>528000144</v>
      </c>
      <c r="C459" s="27" t="inlineStr">
        <is>
          <t>Jodi Hanafi</t>
        </is>
      </c>
      <c r="D459" s="171" t="n">
        <v>46187.41666666666</v>
      </c>
      <c r="E459" s="26" t="n">
        <v>0.6689351851851851</v>
      </c>
      <c r="F459" s="27" t="inlineStr">
        <is>
          <t>Shift 2</t>
        </is>
      </c>
      <c r="G459" s="27" t="n"/>
    </row>
    <row r="460">
      <c r="A460" s="27" t="inlineStr">
        <is>
          <t>MK00145</t>
        </is>
      </c>
      <c r="B460" s="27" t="n">
        <v>528000265</v>
      </c>
      <c r="C460" s="27" t="inlineStr">
        <is>
          <t>Muhammad Haerul Rozikin</t>
        </is>
      </c>
      <c r="D460" s="171" t="n">
        <v>46187.41666666666</v>
      </c>
      <c r="E460" s="26" t="n">
        <v>0.6694097222222222</v>
      </c>
      <c r="F460" s="27" t="inlineStr">
        <is>
          <t>Shift 2</t>
        </is>
      </c>
      <c r="G460" s="27" t="n"/>
    </row>
    <row r="461">
      <c r="A461" s="27" t="inlineStr">
        <is>
          <t>MK00210</t>
        </is>
      </c>
      <c r="B461" s="27" t="n">
        <v>528000287</v>
      </c>
      <c r="C461" s="27" t="inlineStr">
        <is>
          <t>Muhamad Angga Ramdani</t>
        </is>
      </c>
      <c r="D461" s="171" t="n">
        <v>46187.41666666666</v>
      </c>
      <c r="E461" s="26" t="n">
        <v>0.6706597222222223</v>
      </c>
      <c r="F461" s="27" t="inlineStr">
        <is>
          <t>Shift 2</t>
        </is>
      </c>
      <c r="G461" s="27" t="n"/>
    </row>
    <row r="462">
      <c r="A462" s="27" t="inlineStr">
        <is>
          <t>MK00249</t>
        </is>
      </c>
      <c r="B462" s="27" t="n">
        <v>528000349</v>
      </c>
      <c r="C462" s="27" t="inlineStr">
        <is>
          <t>Anas Abdul Fatah</t>
        </is>
      </c>
      <c r="D462" s="171" t="n">
        <v>46187.41666666666</v>
      </c>
      <c r="E462" s="26" t="n">
        <v>0.6742476851851852</v>
      </c>
      <c r="F462" s="27" t="inlineStr">
        <is>
          <t>Shift 2</t>
        </is>
      </c>
      <c r="G462" s="27" t="n"/>
    </row>
    <row r="463">
      <c r="A463" s="27" t="inlineStr">
        <is>
          <t>MK00150</t>
        </is>
      </c>
      <c r="B463" s="27" t="n">
        <v>528000015</v>
      </c>
      <c r="C463" s="27" t="inlineStr">
        <is>
          <t>Erwin</t>
        </is>
      </c>
      <c r="D463" s="171" t="n">
        <v>46187.41666666666</v>
      </c>
      <c r="E463" s="26" t="n">
        <v>0.6877777777777778</v>
      </c>
      <c r="F463" s="27" t="inlineStr">
        <is>
          <t>Shift 2</t>
        </is>
      </c>
      <c r="G463" s="27" t="n"/>
    </row>
    <row r="464">
      <c r="A464" s="27" t="inlineStr">
        <is>
          <t>MK00109</t>
        </is>
      </c>
      <c r="B464" s="27" t="n">
        <v>528000305</v>
      </c>
      <c r="C464" s="27" t="inlineStr">
        <is>
          <t>Puji Puspita</t>
        </is>
      </c>
      <c r="D464" s="171" t="n">
        <v>46187.41666666666</v>
      </c>
      <c r="E464" s="26" t="n">
        <v>0.9210648148148148</v>
      </c>
      <c r="F464" s="27" t="inlineStr">
        <is>
          <t>Shift 2</t>
        </is>
      </c>
      <c r="G464" s="27" t="n"/>
    </row>
    <row r="465">
      <c r="A465" s="27" t="inlineStr">
        <is>
          <t>MK00151</t>
        </is>
      </c>
      <c r="B465" s="27" t="n">
        <v>528000302</v>
      </c>
      <c r="C465" s="27" t="inlineStr">
        <is>
          <t>Henkey gumilar</t>
        </is>
      </c>
      <c r="D465" s="171" t="n">
        <v>46187.41666666666</v>
      </c>
      <c r="E465" s="26" t="n">
        <v>0.9250462962962963</v>
      </c>
      <c r="F465" s="27" t="inlineStr">
        <is>
          <t>Shift 2</t>
        </is>
      </c>
      <c r="G465" s="27" t="n"/>
    </row>
    <row r="466">
      <c r="A466" s="27" t="inlineStr">
        <is>
          <t>MK00156</t>
        </is>
      </c>
      <c r="B466" s="27" t="n">
        <v>528000270</v>
      </c>
      <c r="C466" s="27" t="inlineStr">
        <is>
          <t>Febri Najmudin</t>
        </is>
      </c>
      <c r="D466" s="171" t="n">
        <v>46187.41666666666</v>
      </c>
      <c r="E466" s="26" t="n">
        <v>0.9351273148148148</v>
      </c>
      <c r="F466" s="27" t="inlineStr">
        <is>
          <t>Shift 2</t>
        </is>
      </c>
      <c r="G466" s="27" t="n"/>
    </row>
    <row r="467">
      <c r="A467" s="27" t="inlineStr">
        <is>
          <t>MK00138</t>
        </is>
      </c>
      <c r="B467" s="27" t="n">
        <v>528000273</v>
      </c>
      <c r="C467" s="27" t="inlineStr">
        <is>
          <t>Asep Mulyana</t>
        </is>
      </c>
      <c r="D467" s="171" t="n">
        <v>46188.41666666666</v>
      </c>
      <c r="E467" s="26" t="n">
        <v>0.0003703703703703704</v>
      </c>
      <c r="F467" s="27" t="inlineStr">
        <is>
          <t>Shift 3</t>
        </is>
      </c>
      <c r="G467" s="27" t="n"/>
    </row>
    <row r="468">
      <c r="A468" s="27" t="inlineStr">
        <is>
          <t>MK00112</t>
        </is>
      </c>
      <c r="B468" s="27" t="n">
        <v>528000201</v>
      </c>
      <c r="C468" s="27" t="inlineStr">
        <is>
          <t>Zahwa Amelia Choerunissa</t>
        </is>
      </c>
      <c r="D468" s="171" t="n">
        <v>46188.41666666666</v>
      </c>
      <c r="E468" s="26" t="n">
        <v>0.2533101851851852</v>
      </c>
      <c r="F468" s="27" t="inlineStr">
        <is>
          <t>Shift 3</t>
        </is>
      </c>
      <c r="G468" s="27" t="n"/>
    </row>
    <row r="469">
      <c r="A469" s="27" t="inlineStr">
        <is>
          <t>MK00116</t>
        </is>
      </c>
      <c r="B469" s="27" t="n">
        <v>528000099</v>
      </c>
      <c r="C469" s="27" t="inlineStr">
        <is>
          <t>Siti Nurawaliah</t>
        </is>
      </c>
      <c r="D469" s="171" t="n">
        <v>46188.41666666666</v>
      </c>
      <c r="E469" s="26" t="n">
        <v>0.2537384259259259</v>
      </c>
      <c r="F469" s="27" t="inlineStr">
        <is>
          <t>Shift 3</t>
        </is>
      </c>
      <c r="G469" s="27" t="n"/>
    </row>
    <row r="470">
      <c r="A470" s="27" t="inlineStr">
        <is>
          <t>MK00230</t>
        </is>
      </c>
      <c r="B470" s="27" t="n">
        <v>528000286</v>
      </c>
      <c r="C470" s="27" t="inlineStr">
        <is>
          <t>Imelda Amelia</t>
        </is>
      </c>
      <c r="D470" s="171" t="n">
        <v>46188.41666666666</v>
      </c>
      <c r="E470" s="26" t="n">
        <v>0.2546412037037037</v>
      </c>
      <c r="F470" s="27" t="inlineStr">
        <is>
          <t>Shift 3</t>
        </is>
      </c>
      <c r="G470" s="27" t="n"/>
    </row>
    <row r="471">
      <c r="A471" s="27" t="inlineStr">
        <is>
          <t>MK00150</t>
        </is>
      </c>
      <c r="B471" s="27" t="n">
        <v>528000290</v>
      </c>
      <c r="C471" s="27" t="inlineStr">
        <is>
          <t>Eval Pranata</t>
        </is>
      </c>
      <c r="D471" s="171" t="n">
        <v>46188.41666666666</v>
      </c>
      <c r="E471" s="26" t="n">
        <v>0.2549305555555555</v>
      </c>
      <c r="F471" s="27" t="inlineStr">
        <is>
          <t>Shift 3</t>
        </is>
      </c>
      <c r="G471" s="27" t="n"/>
    </row>
    <row r="472">
      <c r="A472" s="27" t="inlineStr">
        <is>
          <t>MK00055</t>
        </is>
      </c>
      <c r="B472" s="27" t="n">
        <v>528000212</v>
      </c>
      <c r="C472" s="27" t="inlineStr">
        <is>
          <t>Rizal Fauzi</t>
        </is>
      </c>
      <c r="D472" s="171" t="n">
        <v>46188.41666666666</v>
      </c>
      <c r="E472" s="26" t="n">
        <v>0.2551851851851852</v>
      </c>
      <c r="F472" s="27" t="inlineStr">
        <is>
          <t>Shift 3</t>
        </is>
      </c>
      <c r="G472" s="27" t="n"/>
    </row>
    <row r="473">
      <c r="A473" s="27" t="inlineStr">
        <is>
          <t>MK00207</t>
        </is>
      </c>
      <c r="B473" s="27" t="n">
        <v>528000292</v>
      </c>
      <c r="C473" s="27" t="inlineStr">
        <is>
          <t>Aditia Nugraha</t>
        </is>
      </c>
      <c r="D473" s="171" t="n">
        <v>46188.41666666666</v>
      </c>
      <c r="E473" s="26" t="n">
        <v>0.2948726851851852</v>
      </c>
      <c r="F473" s="27" t="inlineStr">
        <is>
          <t>Shift 3</t>
        </is>
      </c>
      <c r="G473" s="27" t="n"/>
    </row>
    <row r="474">
      <c r="A474" s="27" t="inlineStr">
        <is>
          <t>MK00249</t>
        </is>
      </c>
      <c r="B474" s="27" t="n">
        <v>528000244</v>
      </c>
      <c r="C474" s="27" t="inlineStr">
        <is>
          <t>Rodian Rifai</t>
        </is>
      </c>
      <c r="D474" s="171" t="n">
        <v>46188.41666666666</v>
      </c>
      <c r="E474" s="26" t="n">
        <v>0.3091319444444444</v>
      </c>
      <c r="F474" s="27" t="inlineStr">
        <is>
          <t>Shift 3</t>
        </is>
      </c>
      <c r="G474" s="27" t="n"/>
    </row>
    <row r="475">
      <c r="A475" s="27" t="inlineStr">
        <is>
          <t>MK00205</t>
        </is>
      </c>
      <c r="B475" s="27" t="n">
        <v>528000348</v>
      </c>
      <c r="C475" s="27" t="inlineStr">
        <is>
          <t>Saepuloh Ardiansah</t>
        </is>
      </c>
      <c r="D475" s="171" t="n">
        <v>46188.41666666666</v>
      </c>
      <c r="E475" s="26" t="n">
        <v>0.4756481481481482</v>
      </c>
      <c r="F475" s="27" t="inlineStr">
        <is>
          <t>Shift 1</t>
        </is>
      </c>
      <c r="G475" s="27" t="n"/>
    </row>
    <row r="476">
      <c r="A476" s="27" t="inlineStr">
        <is>
          <t>MK00160</t>
        </is>
      </c>
      <c r="B476" s="27" t="n">
        <v>628000061</v>
      </c>
      <c r="C476" s="27" t="inlineStr">
        <is>
          <t>Nayla Fadillah Exwantoro</t>
        </is>
      </c>
      <c r="D476" s="171" t="n">
        <v>46188.41666666666</v>
      </c>
      <c r="E476" s="26" t="n">
        <v>0.5424537037037037</v>
      </c>
      <c r="F476" s="27" t="inlineStr">
        <is>
          <t>Shift 1</t>
        </is>
      </c>
      <c r="G476" s="27" t="n"/>
    </row>
    <row r="477">
      <c r="A477" s="27" t="inlineStr">
        <is>
          <t>MK00141</t>
        </is>
      </c>
      <c r="B477" s="27" t="n">
        <v>528000262</v>
      </c>
      <c r="C477" s="27" t="inlineStr">
        <is>
          <t>Ndari Dwiwanti</t>
        </is>
      </c>
      <c r="D477" s="171" t="n">
        <v>46188.41666666666</v>
      </c>
      <c r="E477" s="26" t="n">
        <v>0.5846759259259259</v>
      </c>
      <c r="F477" s="27" t="inlineStr">
        <is>
          <t>Shift 1</t>
        </is>
      </c>
      <c r="G477" s="27" t="n"/>
    </row>
    <row r="478">
      <c r="A478" s="27" t="inlineStr">
        <is>
          <t>MK00208</t>
        </is>
      </c>
      <c r="B478" s="27" t="n">
        <v>528000195</v>
      </c>
      <c r="C478" s="27" t="inlineStr">
        <is>
          <t>Rahma Sariwati</t>
        </is>
      </c>
      <c r="D478" s="171" t="n">
        <v>46188.41666666666</v>
      </c>
      <c r="E478" s="26" t="n">
        <v>0.5852777777777778</v>
      </c>
      <c r="F478" s="27" t="inlineStr">
        <is>
          <t>Shift 1</t>
        </is>
      </c>
      <c r="G478" s="27" t="n"/>
    </row>
    <row r="479">
      <c r="A479" s="27" t="inlineStr">
        <is>
          <t>MK00151</t>
        </is>
      </c>
      <c r="B479" s="27" t="n">
        <v>528000358</v>
      </c>
      <c r="C479" s="27" t="inlineStr">
        <is>
          <t>Lulu Agustin</t>
        </is>
      </c>
      <c r="D479" s="171" t="n">
        <v>46188.41666666666</v>
      </c>
      <c r="E479" s="26" t="n">
        <v>0.585625</v>
      </c>
      <c r="F479" s="27" t="inlineStr">
        <is>
          <t>Shift 1</t>
        </is>
      </c>
      <c r="G479" s="27" t="n"/>
    </row>
    <row r="480">
      <c r="A480" s="27" t="inlineStr">
        <is>
          <t>MK00109</t>
        </is>
      </c>
      <c r="B480" s="27" t="n">
        <v>528000283</v>
      </c>
      <c r="C480" s="27" t="inlineStr">
        <is>
          <t>Purwanda Sugiri</t>
        </is>
      </c>
      <c r="D480" s="171" t="n">
        <v>46188.41666666666</v>
      </c>
      <c r="E480" s="26" t="n">
        <v>0.5872106481481482</v>
      </c>
      <c r="F480" s="27" t="inlineStr">
        <is>
          <t>Shift 1</t>
        </is>
      </c>
      <c r="G480" s="27" t="n"/>
    </row>
    <row r="481">
      <c r="A481" s="27" t="inlineStr">
        <is>
          <t>MK00203</t>
        </is>
      </c>
      <c r="B481" s="27" t="n">
        <v>528000266</v>
      </c>
      <c r="C481" s="27" t="inlineStr">
        <is>
          <t>M. Syirajatieq</t>
        </is>
      </c>
      <c r="D481" s="171" t="n">
        <v>46188.41666666666</v>
      </c>
      <c r="E481" s="26" t="n">
        <v>0.6040740740740741</v>
      </c>
      <c r="F481" s="27" t="inlineStr">
        <is>
          <t>Shift 1</t>
        </is>
      </c>
      <c r="G481" s="27" t="n"/>
    </row>
    <row r="482">
      <c r="A482" s="27" t="inlineStr">
        <is>
          <t>MK00249</t>
        </is>
      </c>
      <c r="B482" s="27" t="n">
        <v>528000015</v>
      </c>
      <c r="C482" s="27" t="inlineStr">
        <is>
          <t>Erwin</t>
        </is>
      </c>
      <c r="D482" s="171" t="n">
        <v>46188.41666666666</v>
      </c>
      <c r="E482" s="26" t="n">
        <v>0.6708217592592592</v>
      </c>
      <c r="F482" s="27" t="inlineStr">
        <is>
          <t>Shift 2</t>
        </is>
      </c>
      <c r="G482" s="27" t="n"/>
    </row>
    <row r="483">
      <c r="A483" s="27" t="inlineStr">
        <is>
          <t>MK00192</t>
        </is>
      </c>
      <c r="B483" s="27" t="n">
        <v>528000349</v>
      </c>
      <c r="C483" s="27" t="inlineStr">
        <is>
          <t>Anas Abdul Fatah</t>
        </is>
      </c>
      <c r="D483" s="171" t="n">
        <v>46188.41666666666</v>
      </c>
      <c r="E483" s="26" t="n">
        <v>0.6759027777777777</v>
      </c>
      <c r="F483" s="27" t="inlineStr">
        <is>
          <t>Shift 2</t>
        </is>
      </c>
      <c r="G483" s="27" t="n"/>
    </row>
    <row r="484">
      <c r="A484" s="27" t="inlineStr">
        <is>
          <t>MK00207</t>
        </is>
      </c>
      <c r="B484" s="27" t="n">
        <v>528000292</v>
      </c>
      <c r="C484" s="27" t="inlineStr">
        <is>
          <t>Aditia Nugraha</t>
        </is>
      </c>
      <c r="D484" s="171" t="n">
        <v>46188.41666666666</v>
      </c>
      <c r="E484" s="26" t="n">
        <v>0.7805787037037037</v>
      </c>
      <c r="F484" s="27" t="inlineStr">
        <is>
          <t>Shift 2</t>
        </is>
      </c>
      <c r="G484" s="27" t="n"/>
    </row>
    <row r="485">
      <c r="A485" s="27" t="inlineStr">
        <is>
          <t>MK00160</t>
        </is>
      </c>
      <c r="B485" s="27" t="n">
        <v>528000302</v>
      </c>
      <c r="C485" s="27" t="inlineStr">
        <is>
          <t>Henkey gumilar</t>
        </is>
      </c>
      <c r="D485" s="171" t="n">
        <v>46188.41666666666</v>
      </c>
      <c r="E485" s="26" t="n">
        <v>0.9252777777777778</v>
      </c>
      <c r="F485" s="27" t="inlineStr">
        <is>
          <t>Shift 2</t>
        </is>
      </c>
      <c r="G485" s="27" t="n"/>
    </row>
    <row r="486">
      <c r="A486" s="27" t="inlineStr">
        <is>
          <t>MK00085</t>
        </is>
      </c>
      <c r="B486" s="27" t="n">
        <v>528000270</v>
      </c>
      <c r="C486" s="27" t="inlineStr">
        <is>
          <t>Febri Najmudin</t>
        </is>
      </c>
      <c r="D486" s="171" t="n">
        <v>46188.41666666666</v>
      </c>
      <c r="E486" s="26" t="n">
        <v>0.9393865740740741</v>
      </c>
      <c r="F486" s="27" t="inlineStr">
        <is>
          <t>Shift 2</t>
        </is>
      </c>
      <c r="G486" s="27" t="n"/>
    </row>
    <row r="487">
      <c r="A487" s="27" t="inlineStr">
        <is>
          <t>MK00205</t>
        </is>
      </c>
      <c r="B487" s="27" t="n">
        <v>528000348</v>
      </c>
      <c r="C487" s="27" t="inlineStr">
        <is>
          <t>Saepuloh Ardiansah</t>
        </is>
      </c>
      <c r="D487" s="171" t="n">
        <v>46189.41666666666</v>
      </c>
      <c r="E487" s="26" t="n">
        <v>0.001944444444444444</v>
      </c>
      <c r="F487" s="27" t="inlineStr">
        <is>
          <t>Shift 3</t>
        </is>
      </c>
      <c r="G487" s="27" t="n"/>
    </row>
    <row r="488">
      <c r="A488" s="27" t="inlineStr">
        <is>
          <t>MK00008</t>
        </is>
      </c>
      <c r="B488" s="27" t="n">
        <v>528000265</v>
      </c>
      <c r="C488" s="27" t="inlineStr">
        <is>
          <t>Muhammad Haerul Rozikin</t>
        </is>
      </c>
      <c r="D488" s="171" t="n">
        <v>46189.41666666666</v>
      </c>
      <c r="E488" s="26" t="n">
        <v>0.249224537037037</v>
      </c>
      <c r="F488" s="27" t="inlineStr">
        <is>
          <t>Shift 3</t>
        </is>
      </c>
      <c r="G488" s="27" t="n"/>
    </row>
    <row r="489">
      <c r="A489" s="27" t="inlineStr">
        <is>
          <t>MK00156</t>
        </is>
      </c>
      <c r="B489" s="27" t="n">
        <v>528000201</v>
      </c>
      <c r="C489" s="27" t="inlineStr">
        <is>
          <t>Zahwa Amelia Choerunissa</t>
        </is>
      </c>
      <c r="D489" s="171" t="n">
        <v>46189.41666666666</v>
      </c>
      <c r="E489" s="26" t="n">
        <v>0.2524652777777778</v>
      </c>
      <c r="F489" s="27" t="inlineStr">
        <is>
          <t>Shift 3</t>
        </is>
      </c>
      <c r="G489" s="27" t="n"/>
    </row>
    <row r="490">
      <c r="A490" s="27" t="inlineStr">
        <is>
          <t>MK00046</t>
        </is>
      </c>
      <c r="B490" s="27" t="n">
        <v>528000099</v>
      </c>
      <c r="C490" s="27" t="inlineStr">
        <is>
          <t>Siti Nurawaliah</t>
        </is>
      </c>
      <c r="D490" s="171" t="n">
        <v>46189.41666666666</v>
      </c>
      <c r="E490" s="26" t="n">
        <v>0.2534259259259259</v>
      </c>
      <c r="F490" s="27" t="inlineStr">
        <is>
          <t>Shift 3</t>
        </is>
      </c>
      <c r="G490" s="27" t="n"/>
    </row>
    <row r="491">
      <c r="A491" s="27" t="inlineStr">
        <is>
          <t>MK00150</t>
        </is>
      </c>
      <c r="B491" s="27" t="n">
        <v>528000283</v>
      </c>
      <c r="C491" s="27" t="inlineStr">
        <is>
          <t>Purwanda Sugiri</t>
        </is>
      </c>
      <c r="D491" s="171" t="n">
        <v>46189.41666666666</v>
      </c>
      <c r="E491" s="26" t="n">
        <v>0.2537847222222222</v>
      </c>
      <c r="F491" s="27" t="inlineStr">
        <is>
          <t>Shift 3</t>
        </is>
      </c>
      <c r="G491" s="27" t="n"/>
    </row>
    <row r="492">
      <c r="A492" s="27" t="inlineStr">
        <is>
          <t>MK00208</t>
        </is>
      </c>
      <c r="B492" s="27" t="n">
        <v>528000286</v>
      </c>
      <c r="C492" s="27" t="inlineStr">
        <is>
          <t>Imelda Amelia</t>
        </is>
      </c>
      <c r="D492" s="171" t="n">
        <v>46189.41666666666</v>
      </c>
      <c r="E492" s="26" t="n">
        <v>0.2541666666666667</v>
      </c>
      <c r="F492" s="27" t="inlineStr">
        <is>
          <t>Shift 3</t>
        </is>
      </c>
      <c r="G492" s="27" t="n"/>
    </row>
    <row r="493">
      <c r="A493" s="27" t="inlineStr">
        <is>
          <t>MK00055</t>
        </is>
      </c>
      <c r="B493" s="27" t="n">
        <v>528000212</v>
      </c>
      <c r="C493" s="27" t="inlineStr">
        <is>
          <t>Rizal Fauzi</t>
        </is>
      </c>
      <c r="D493" s="171" t="n">
        <v>46189.41666666666</v>
      </c>
      <c r="E493" s="26" t="n">
        <v>0.2918171296296296</v>
      </c>
      <c r="F493" s="27" t="inlineStr">
        <is>
          <t>Shift 3</t>
        </is>
      </c>
      <c r="G493" s="27" t="n"/>
    </row>
    <row r="494">
      <c r="A494" s="27" t="inlineStr">
        <is>
          <t>MK00228</t>
        </is>
      </c>
      <c r="B494" s="27" t="n">
        <v>528000244</v>
      </c>
      <c r="C494" s="27" t="inlineStr">
        <is>
          <t>Rodian Rifai</t>
        </is>
      </c>
      <c r="D494" s="171" t="n">
        <v>46189.41666666666</v>
      </c>
      <c r="E494" s="26" t="n">
        <v>0.3129166666666667</v>
      </c>
      <c r="F494" s="27" t="inlineStr">
        <is>
          <t>Shift 3</t>
        </is>
      </c>
      <c r="G494" s="27" t="n"/>
    </row>
    <row r="495">
      <c r="A495" s="27" t="inlineStr">
        <is>
          <t>MK00088</t>
        </is>
      </c>
      <c r="B495" s="27" t="n">
        <v>528000262</v>
      </c>
      <c r="C495" s="27" t="inlineStr">
        <is>
          <t>Ndari Dwiwanti</t>
        </is>
      </c>
      <c r="D495" s="171" t="n">
        <v>46189.41666666666</v>
      </c>
      <c r="E495" s="26" t="n">
        <v>0.5843981481481482</v>
      </c>
      <c r="F495" s="27" t="inlineStr">
        <is>
          <t>Shift 1</t>
        </is>
      </c>
      <c r="G495" s="27" t="n"/>
    </row>
    <row r="496">
      <c r="A496" s="27" t="inlineStr">
        <is>
          <t>MK00085</t>
        </is>
      </c>
      <c r="B496" s="27" t="n">
        <v>528000358</v>
      </c>
      <c r="C496" s="27" t="inlineStr">
        <is>
          <t>Lulu Agustin</t>
        </is>
      </c>
      <c r="D496" s="171" t="n">
        <v>46189.41666666666</v>
      </c>
      <c r="E496" s="26" t="n">
        <v>0.5844560185185185</v>
      </c>
      <c r="F496" s="27" t="inlineStr">
        <is>
          <t>Shift 1</t>
        </is>
      </c>
      <c r="G496" s="27" t="n"/>
    </row>
    <row r="497">
      <c r="A497" s="27" t="inlineStr">
        <is>
          <t>MK00249</t>
        </is>
      </c>
      <c r="B497" s="27" t="n">
        <v>528000265</v>
      </c>
      <c r="C497" s="27" t="inlineStr">
        <is>
          <t>Muhammad Haerul Rozikin</t>
        </is>
      </c>
      <c r="D497" s="171" t="n">
        <v>46189.41666666666</v>
      </c>
      <c r="E497" s="26" t="n">
        <v>0.5944444444444444</v>
      </c>
      <c r="F497" s="27" t="inlineStr">
        <is>
          <t>Shift 1</t>
        </is>
      </c>
      <c r="G497" s="27" t="n"/>
    </row>
    <row r="498">
      <c r="A498" s="27" t="inlineStr">
        <is>
          <t>MK00181</t>
        </is>
      </c>
      <c r="B498" s="27" t="n">
        <v>528000266</v>
      </c>
      <c r="C498" s="27" t="inlineStr">
        <is>
          <t>M. Syirajatieq</t>
        </is>
      </c>
      <c r="D498" s="171" t="n">
        <v>46189.41666666666</v>
      </c>
      <c r="E498" s="26" t="n">
        <v>0.6075925925925926</v>
      </c>
      <c r="F498" s="27" t="inlineStr">
        <is>
          <t>Shift 1</t>
        </is>
      </c>
      <c r="G498" s="27" t="n"/>
    </row>
    <row r="499">
      <c r="A499" s="27" t="inlineStr">
        <is>
          <t>MK00230</t>
        </is>
      </c>
      <c r="B499" s="27" t="n">
        <v>528000287</v>
      </c>
      <c r="C499" s="27" t="inlineStr">
        <is>
          <t>Muhamad Angga Ramdani</t>
        </is>
      </c>
      <c r="D499" s="171" t="n">
        <v>46189.41666666666</v>
      </c>
      <c r="E499" s="26" t="n">
        <v>0.6740162037037037</v>
      </c>
      <c r="F499" s="27" t="inlineStr">
        <is>
          <t>Shift 2</t>
        </is>
      </c>
      <c r="G499" s="27" t="n"/>
    </row>
    <row r="500">
      <c r="A500" s="27" t="inlineStr">
        <is>
          <t>MK00210</t>
        </is>
      </c>
      <c r="B500" s="27" t="n">
        <v>528000349</v>
      </c>
      <c r="C500" s="27" t="inlineStr">
        <is>
          <t>Anas Abdul Fatah</t>
        </is>
      </c>
      <c r="D500" s="171" t="n">
        <v>46189.41666666666</v>
      </c>
      <c r="E500" s="26" t="n">
        <v>0.6755092592592593</v>
      </c>
      <c r="F500" s="27" t="inlineStr">
        <is>
          <t>Shift 2</t>
        </is>
      </c>
      <c r="G500" s="27" t="n"/>
    </row>
    <row r="501">
      <c r="A501" s="27" t="inlineStr">
        <is>
          <t>MK00213</t>
        </is>
      </c>
      <c r="B501" s="27" t="n">
        <v>528000144</v>
      </c>
      <c r="C501" s="27" t="inlineStr">
        <is>
          <t>Jodi Hanafi</t>
        </is>
      </c>
      <c r="D501" s="171" t="n">
        <v>46189.41666666666</v>
      </c>
      <c r="E501" s="26" t="n">
        <v>0.6989930555555556</v>
      </c>
      <c r="F501" s="27" t="inlineStr">
        <is>
          <t>Shift 2</t>
        </is>
      </c>
      <c r="G501" s="27" t="n"/>
    </row>
    <row r="502">
      <c r="A502" s="27" t="inlineStr">
        <is>
          <t>MK00208</t>
        </is>
      </c>
      <c r="B502" s="27" t="n">
        <v>528000279</v>
      </c>
      <c r="C502" s="27" t="inlineStr">
        <is>
          <t>Mahdalena Dalfa Riani</t>
        </is>
      </c>
      <c r="D502" s="171" t="n">
        <v>46189.41666666666</v>
      </c>
      <c r="E502" s="26" t="n">
        <v>0.9200347222222223</v>
      </c>
      <c r="F502" s="27" t="inlineStr">
        <is>
          <t>Shift 2</t>
        </is>
      </c>
      <c r="G502" s="27" t="n"/>
    </row>
    <row r="503">
      <c r="A503" s="27" t="inlineStr">
        <is>
          <t>MK00150</t>
        </is>
      </c>
      <c r="B503" s="27" t="n">
        <v>628000064</v>
      </c>
      <c r="C503" s="27" t="inlineStr">
        <is>
          <t>Silva Alypia</t>
        </is>
      </c>
      <c r="D503" s="171" t="n">
        <v>46189.41666666666</v>
      </c>
      <c r="E503" s="26" t="n">
        <v>0.9231134259259259</v>
      </c>
      <c r="F503" s="27" t="inlineStr">
        <is>
          <t>Shift 2</t>
        </is>
      </c>
      <c r="G503" s="27" t="n"/>
    </row>
    <row r="504">
      <c r="A504" s="27" t="inlineStr">
        <is>
          <t>MK00113</t>
        </is>
      </c>
      <c r="B504" s="27" t="n">
        <v>528000297</v>
      </c>
      <c r="C504" s="27" t="inlineStr">
        <is>
          <t>Muhamad Budiana</t>
        </is>
      </c>
      <c r="D504" s="171" t="n">
        <v>46189.41666666666</v>
      </c>
      <c r="E504" s="26" t="n">
        <v>0.9573958333333333</v>
      </c>
      <c r="F504" s="27" t="inlineStr">
        <is>
          <t>Shift 2</t>
        </is>
      </c>
      <c r="G504" s="27" t="n"/>
    </row>
    <row r="505">
      <c r="A505" s="27" t="inlineStr">
        <is>
          <t>MK00228</t>
        </is>
      </c>
      <c r="B505" s="27" t="n">
        <v>528000273</v>
      </c>
      <c r="C505" s="27" t="inlineStr">
        <is>
          <t>Asep Mulyana</t>
        </is>
      </c>
      <c r="D505" s="171" t="n">
        <v>46190.41666666666</v>
      </c>
      <c r="E505" s="26" t="n">
        <v>0.0007175925925925926</v>
      </c>
      <c r="F505" s="27" t="inlineStr">
        <is>
          <t>Shift 3</t>
        </is>
      </c>
      <c r="G505" s="27" t="n"/>
    </row>
    <row r="506">
      <c r="A506" s="27" t="inlineStr">
        <is>
          <t>MK00207</t>
        </is>
      </c>
      <c r="B506" s="27" t="n">
        <v>528000292</v>
      </c>
      <c r="C506" s="27" t="inlineStr">
        <is>
          <t>Aditia Nugraha</t>
        </is>
      </c>
      <c r="D506" s="171" t="n">
        <v>46190.41666666666</v>
      </c>
      <c r="E506" s="26" t="n">
        <v>0.02950231481481481</v>
      </c>
      <c r="F506" s="27" t="inlineStr">
        <is>
          <t>Shift 3</t>
        </is>
      </c>
      <c r="G506" s="27" t="n"/>
    </row>
    <row r="507">
      <c r="A507" s="27" t="inlineStr">
        <is>
          <t>MK00205</t>
        </is>
      </c>
      <c r="B507" s="27" t="n">
        <v>528000348</v>
      </c>
      <c r="C507" s="27" t="inlineStr">
        <is>
          <t>Saepuloh Ardiansah</t>
        </is>
      </c>
      <c r="D507" s="171" t="n">
        <v>46190.41666666666</v>
      </c>
      <c r="E507" s="26" t="n">
        <v>0.06074074074074074</v>
      </c>
      <c r="F507" s="27" t="inlineStr">
        <is>
          <t>Shift 3</t>
        </is>
      </c>
      <c r="G507" s="27" t="n"/>
    </row>
    <row r="508">
      <c r="A508" s="27" t="inlineStr">
        <is>
          <t>MK00158</t>
        </is>
      </c>
      <c r="B508" s="27" t="n">
        <v>628000061</v>
      </c>
      <c r="C508" s="27" t="inlineStr">
        <is>
          <t>Nayla Fadillah Exwantoro</t>
        </is>
      </c>
      <c r="D508" s="171" t="n">
        <v>46190.41666666666</v>
      </c>
      <c r="E508" s="26" t="n">
        <v>0.2437847222222222</v>
      </c>
      <c r="F508" s="27" t="inlineStr">
        <is>
          <t>Shift 3</t>
        </is>
      </c>
      <c r="G508" s="27" t="n"/>
    </row>
    <row r="509">
      <c r="A509" s="27" t="inlineStr">
        <is>
          <t>MK00160</t>
        </is>
      </c>
      <c r="B509" s="27" t="n">
        <v>528000290</v>
      </c>
      <c r="C509" s="27" t="inlineStr">
        <is>
          <t>Eval Pranata</t>
        </is>
      </c>
      <c r="D509" s="171" t="n">
        <v>46190.41666666666</v>
      </c>
      <c r="E509" s="26" t="n">
        <v>0.2522453703703704</v>
      </c>
      <c r="F509" s="27" t="inlineStr">
        <is>
          <t>Shift 3</t>
        </is>
      </c>
      <c r="G509" s="27" t="n"/>
    </row>
    <row r="510">
      <c r="A510" s="27" t="inlineStr">
        <is>
          <t>MK00151</t>
        </is>
      </c>
      <c r="B510" s="27" t="n">
        <v>528000241</v>
      </c>
      <c r="C510" s="27" t="inlineStr">
        <is>
          <t>Balia Nurafif Bilah</t>
        </is>
      </c>
      <c r="D510" s="171" t="n">
        <v>46190.41666666666</v>
      </c>
      <c r="E510" s="26" t="n">
        <v>0.2528009259259259</v>
      </c>
      <c r="F510" s="27" t="inlineStr">
        <is>
          <t>Shift 3</t>
        </is>
      </c>
      <c r="G510" s="27" t="n"/>
    </row>
    <row r="511">
      <c r="A511" s="27" t="inlineStr">
        <is>
          <t>MK00230</t>
        </is>
      </c>
      <c r="B511" s="27" t="n">
        <v>528000201</v>
      </c>
      <c r="C511" s="27" t="inlineStr">
        <is>
          <t>Zahwa Amelia Choerunissa</t>
        </is>
      </c>
      <c r="D511" s="171" t="n">
        <v>46190.41666666666</v>
      </c>
      <c r="E511" s="26" t="n">
        <v>0.253599537037037</v>
      </c>
      <c r="F511" s="27" t="inlineStr">
        <is>
          <t>Shift 3</t>
        </is>
      </c>
      <c r="G511" s="27" t="n"/>
    </row>
    <row r="512">
      <c r="A512" s="27" t="inlineStr">
        <is>
          <t>MK00249</t>
        </is>
      </c>
      <c r="B512" s="27" t="n">
        <v>528000286</v>
      </c>
      <c r="C512" s="27" t="inlineStr">
        <is>
          <t>Imelda Amelia</t>
        </is>
      </c>
      <c r="D512" s="171" t="n">
        <v>46190.41666666666</v>
      </c>
      <c r="E512" s="26" t="n">
        <v>0.2546180555555556</v>
      </c>
      <c r="F512" s="27" t="inlineStr">
        <is>
          <t>Shift 3</t>
        </is>
      </c>
      <c r="G512" s="27" t="n"/>
    </row>
    <row r="513">
      <c r="A513" s="27" t="inlineStr">
        <is>
          <t>MK00181</t>
        </is>
      </c>
      <c r="B513" s="27" t="n">
        <v>528000099</v>
      </c>
      <c r="C513" s="27" t="inlineStr">
        <is>
          <t>Siti Nurawaliah</t>
        </is>
      </c>
      <c r="D513" s="171" t="n">
        <v>46190.41666666666</v>
      </c>
      <c r="E513" s="26" t="n">
        <v>0.2546643518518519</v>
      </c>
      <c r="F513" s="27" t="inlineStr">
        <is>
          <t>Shift 3</t>
        </is>
      </c>
      <c r="G513" s="27" t="n"/>
    </row>
    <row r="514">
      <c r="A514" s="27" t="inlineStr">
        <is>
          <t>MK00210</t>
        </is>
      </c>
      <c r="B514" s="27" t="n">
        <v>528000244</v>
      </c>
      <c r="C514" s="27" t="inlineStr">
        <is>
          <t>Rodian Rifai</t>
        </is>
      </c>
      <c r="D514" s="171" t="n">
        <v>46190.41666666666</v>
      </c>
      <c r="E514" s="26" t="n">
        <v>0.3009375</v>
      </c>
      <c r="F514" s="27" t="inlineStr">
        <is>
          <t>Shift 3</t>
        </is>
      </c>
      <c r="G514" s="27" t="n"/>
    </row>
    <row r="515">
      <c r="A515" s="27" t="inlineStr">
        <is>
          <t>MK00156</t>
        </is>
      </c>
      <c r="B515" s="27" t="n">
        <v>528000015</v>
      </c>
      <c r="C515" s="27" t="inlineStr">
        <is>
          <t>Erwin</t>
        </is>
      </c>
      <c r="D515" s="171" t="n">
        <v>46190.41666666666</v>
      </c>
      <c r="E515" s="26" t="n">
        <v>0.3296180555555556</v>
      </c>
      <c r="F515" s="27" t="inlineStr">
        <is>
          <t>Shift 3</t>
        </is>
      </c>
      <c r="G515" s="27" t="n"/>
    </row>
    <row r="516">
      <c r="A516" s="27" t="inlineStr">
        <is>
          <t>MK00212</t>
        </is>
      </c>
      <c r="B516" s="27" t="n">
        <v>528000149</v>
      </c>
      <c r="C516" s="27" t="inlineStr">
        <is>
          <t>Tio Fernanda</t>
        </is>
      </c>
      <c r="D516" s="171" t="n">
        <v>46190.41666666666</v>
      </c>
      <c r="E516" s="26" t="n">
        <v>0.3708449074074074</v>
      </c>
      <c r="F516" s="27" t="inlineStr">
        <is>
          <t>Shift 1</t>
        </is>
      </c>
      <c r="G516" s="27" t="n"/>
    </row>
    <row r="517">
      <c r="A517" s="27" t="inlineStr">
        <is>
          <t>MK00112</t>
        </is>
      </c>
      <c r="B517" s="27" t="n">
        <v>528000265</v>
      </c>
      <c r="C517" s="27" t="inlineStr">
        <is>
          <t>Muhammad Haerul Rozikin</t>
        </is>
      </c>
      <c r="D517" s="171" t="n">
        <v>46190.41666666666</v>
      </c>
      <c r="E517" s="26" t="n">
        <v>0.5849884259259259</v>
      </c>
      <c r="F517" s="27" t="inlineStr">
        <is>
          <t>Shift 1</t>
        </is>
      </c>
      <c r="G517" s="27" t="n"/>
    </row>
    <row r="518">
      <c r="A518" s="27" t="inlineStr">
        <is>
          <t>MK00145</t>
        </is>
      </c>
      <c r="B518" s="27" t="n">
        <v>528000302</v>
      </c>
      <c r="C518" s="27" t="inlineStr">
        <is>
          <t>Henkey gumilar</t>
        </is>
      </c>
      <c r="D518" s="171" t="n">
        <v>46190.41666666666</v>
      </c>
      <c r="E518" s="26" t="n">
        <v>0.5899884259259259</v>
      </c>
      <c r="F518" s="27" t="inlineStr">
        <is>
          <t>Shift 1</t>
        </is>
      </c>
      <c r="G518" s="27" t="n"/>
    </row>
    <row r="519">
      <c r="A519" s="27" t="inlineStr">
        <is>
          <t>MK00150</t>
        </is>
      </c>
      <c r="B519" s="27" t="n">
        <v>528000270</v>
      </c>
      <c r="C519" s="27" t="inlineStr">
        <is>
          <t>Febri Najmudin</t>
        </is>
      </c>
      <c r="D519" s="171" t="n">
        <v>46190.41666666666</v>
      </c>
      <c r="E519" s="26" t="n">
        <v>0.611087962962963</v>
      </c>
      <c r="F519" s="27" t="inlineStr">
        <is>
          <t>Shift 1</t>
        </is>
      </c>
      <c r="G519" s="27" t="n"/>
    </row>
    <row r="520">
      <c r="A520" s="27" t="inlineStr">
        <is>
          <t>MK00230</t>
        </is>
      </c>
      <c r="B520" s="27" t="n">
        <v>528000282</v>
      </c>
      <c r="C520" s="27" t="inlineStr">
        <is>
          <t>Defa Desfiana</t>
        </is>
      </c>
      <c r="D520" s="171" t="n">
        <v>46190.41666666666</v>
      </c>
      <c r="E520" s="26" t="n">
        <v>0.6688078703703704</v>
      </c>
      <c r="F520" s="27" t="inlineStr">
        <is>
          <t>Shift 2</t>
        </is>
      </c>
      <c r="G520" s="27" t="inlineStr">
        <is>
          <t>32b</t>
        </is>
      </c>
    </row>
    <row r="521">
      <c r="A521" s="27" t="inlineStr">
        <is>
          <t>MK00210</t>
        </is>
      </c>
      <c r="B521" s="27" t="n">
        <v>528000287</v>
      </c>
      <c r="C521" s="27" t="inlineStr">
        <is>
          <t>Muhamad Angga Ramdani</t>
        </is>
      </c>
      <c r="D521" s="171" t="n">
        <v>46190.41666666666</v>
      </c>
      <c r="E521" s="26" t="n">
        <v>0.6700347222222223</v>
      </c>
      <c r="F521" s="27" t="inlineStr">
        <is>
          <t>Shift 2</t>
        </is>
      </c>
      <c r="G521" s="27" t="n"/>
    </row>
    <row r="522">
      <c r="A522" s="27" t="inlineStr">
        <is>
          <t>MK00181</t>
        </is>
      </c>
      <c r="B522" s="27" t="n">
        <v>528000015</v>
      </c>
      <c r="C522" s="27" t="inlineStr">
        <is>
          <t>Erwin</t>
        </is>
      </c>
      <c r="D522" s="171" t="n">
        <v>46190.41666666666</v>
      </c>
      <c r="E522" s="26" t="n">
        <v>0.6751851851851852</v>
      </c>
      <c r="F522" s="27" t="inlineStr">
        <is>
          <t>Shift 2</t>
        </is>
      </c>
      <c r="G522" s="27" t="n"/>
    </row>
    <row r="523">
      <c r="A523" s="27" t="inlineStr">
        <is>
          <t>MK00249</t>
        </is>
      </c>
      <c r="B523" s="27" t="n">
        <v>528000349</v>
      </c>
      <c r="C523" s="27" t="inlineStr">
        <is>
          <t>Anas Abdul Fatah</t>
        </is>
      </c>
      <c r="D523" s="171" t="n">
        <v>46190.41666666666</v>
      </c>
      <c r="E523" s="26" t="n">
        <v>0.677488425925926</v>
      </c>
      <c r="F523" s="27" t="inlineStr">
        <is>
          <t>Shift 2</t>
        </is>
      </c>
      <c r="G523" s="27" t="n"/>
    </row>
    <row r="524">
      <c r="A524" s="27" t="inlineStr">
        <is>
          <t>MK00212</t>
        </is>
      </c>
      <c r="B524" s="27" t="n">
        <v>528000149</v>
      </c>
      <c r="C524" s="27" t="inlineStr">
        <is>
          <t>Tio Fernanda</t>
        </is>
      </c>
      <c r="D524" s="171" t="n">
        <v>46190.41666666666</v>
      </c>
      <c r="E524" s="26" t="n">
        <v>0.7434259259259259</v>
      </c>
      <c r="F524" s="27" t="inlineStr">
        <is>
          <t>Shift 2</t>
        </is>
      </c>
      <c r="G524" s="27" t="n"/>
    </row>
    <row r="525">
      <c r="A525" s="27" t="inlineStr">
        <is>
          <t>MK00055</t>
        </is>
      </c>
      <c r="B525" s="27" t="n">
        <v>528000212</v>
      </c>
      <c r="C525" s="27" t="inlineStr">
        <is>
          <t>Rizal Fauzi</t>
        </is>
      </c>
      <c r="D525" s="171" t="n">
        <v>46190.41666666666</v>
      </c>
      <c r="E525" s="26" t="n">
        <v>0.8986458333333334</v>
      </c>
      <c r="F525" s="27" t="inlineStr">
        <is>
          <t>Shift 2</t>
        </is>
      </c>
      <c r="G525" s="27" t="n"/>
    </row>
    <row r="526">
      <c r="A526" s="27" t="inlineStr">
        <is>
          <t>MK00208</t>
        </is>
      </c>
      <c r="B526" s="27" t="n">
        <v>528000279</v>
      </c>
      <c r="C526" s="27" t="inlineStr">
        <is>
          <t>Mahdalena Dalfa Riani</t>
        </is>
      </c>
      <c r="D526" s="171" t="n">
        <v>46190.41666666666</v>
      </c>
      <c r="E526" s="26" t="n">
        <v>0.9200231481481481</v>
      </c>
      <c r="F526" s="27" t="inlineStr">
        <is>
          <t>Shift 2</t>
        </is>
      </c>
      <c r="G526" s="27" t="n"/>
    </row>
    <row r="527">
      <c r="A527" s="27" t="inlineStr">
        <is>
          <t>MK00126</t>
        </is>
      </c>
      <c r="B527" s="27" t="n">
        <v>628000064</v>
      </c>
      <c r="C527" s="27" t="inlineStr">
        <is>
          <t>Silva Alypia</t>
        </is>
      </c>
      <c r="D527" s="171" t="n">
        <v>46190.41666666666</v>
      </c>
      <c r="E527" s="26" t="n">
        <v>0.9216435185185186</v>
      </c>
      <c r="F527" s="27" t="inlineStr">
        <is>
          <t>Shift 2</t>
        </is>
      </c>
      <c r="G527" s="27" t="n"/>
    </row>
    <row r="528">
      <c r="A528" s="27" t="inlineStr">
        <is>
          <t>MK00116</t>
        </is>
      </c>
      <c r="B528" s="27" t="n">
        <v>528000297</v>
      </c>
      <c r="C528" s="27" t="inlineStr">
        <is>
          <t>Muhamad Budiana</t>
        </is>
      </c>
      <c r="D528" s="171" t="n">
        <v>46190.41666666666</v>
      </c>
      <c r="E528" s="26" t="n">
        <v>0.9612152777777778</v>
      </c>
      <c r="F528" s="27" t="inlineStr">
        <is>
          <t>Shift 2</t>
        </is>
      </c>
      <c r="G528" s="27" t="n"/>
    </row>
    <row r="529">
      <c r="A529" s="27" t="inlineStr">
        <is>
          <t>MK00160</t>
        </is>
      </c>
      <c r="B529" s="27" t="n">
        <v>528000273</v>
      </c>
      <c r="C529" s="27" t="inlineStr">
        <is>
          <t>Asep Mulyana</t>
        </is>
      </c>
      <c r="D529" s="171" t="n">
        <v>46191.41666666666</v>
      </c>
      <c r="E529" s="26" t="n">
        <v>0.0015625</v>
      </c>
      <c r="F529" s="27" t="inlineStr">
        <is>
          <t>Shift 3</t>
        </is>
      </c>
      <c r="G529" s="27" t="n"/>
    </row>
    <row r="530">
      <c r="A530" s="27" t="inlineStr">
        <is>
          <t>MK00205</t>
        </is>
      </c>
      <c r="B530" s="27" t="n">
        <v>528000348</v>
      </c>
      <c r="C530" s="27" t="inlineStr">
        <is>
          <t>Saepuloh Ardiansah</t>
        </is>
      </c>
      <c r="D530" s="171" t="n">
        <v>46191.41666666666</v>
      </c>
      <c r="E530" s="26" t="n">
        <v>0.03784722222222222</v>
      </c>
      <c r="F530" s="27" t="inlineStr">
        <is>
          <t>Shift 3</t>
        </is>
      </c>
      <c r="G530" s="27" t="n"/>
    </row>
    <row r="531">
      <c r="A531" s="27" t="inlineStr">
        <is>
          <t>MK001009</t>
        </is>
      </c>
      <c r="B531" s="27" t="n">
        <v>628000061</v>
      </c>
      <c r="C531" s="27" t="inlineStr">
        <is>
          <t>Nayla Fadillah Exwantoro</t>
        </is>
      </c>
      <c r="D531" s="171" t="n">
        <v>46191.41666666666</v>
      </c>
      <c r="E531" s="26" t="n">
        <v>0.2376851851851852</v>
      </c>
      <c r="F531" s="27" t="inlineStr">
        <is>
          <t>Shift 3</t>
        </is>
      </c>
      <c r="G531" s="27" t="n"/>
    </row>
    <row r="532">
      <c r="A532" s="27" t="inlineStr">
        <is>
          <t>MK00210</t>
        </is>
      </c>
      <c r="B532" s="27" t="n">
        <v>528000306</v>
      </c>
      <c r="C532" s="27" t="inlineStr">
        <is>
          <t>Windy Olivia</t>
        </is>
      </c>
      <c r="D532" s="171" t="n">
        <v>46191.41666666666</v>
      </c>
      <c r="E532" s="26" t="n">
        <v>0.252337962962963</v>
      </c>
      <c r="F532" s="27" t="inlineStr">
        <is>
          <t>Shift 3</t>
        </is>
      </c>
      <c r="G532" s="27" t="n"/>
    </row>
    <row r="533">
      <c r="A533" s="27" t="inlineStr">
        <is>
          <t>MK00228</t>
        </is>
      </c>
      <c r="B533" s="27" t="n">
        <v>528000201</v>
      </c>
      <c r="C533" s="27" t="inlineStr">
        <is>
          <t>Zahwa Amelia Choerunissa</t>
        </is>
      </c>
      <c r="D533" s="171" t="n">
        <v>46191.41666666666</v>
      </c>
      <c r="E533" s="26" t="n">
        <v>0.2524189814814815</v>
      </c>
      <c r="F533" s="27" t="inlineStr">
        <is>
          <t>Shift 3</t>
        </is>
      </c>
      <c r="G533" s="27" t="n"/>
    </row>
    <row r="534">
      <c r="A534" s="27" t="inlineStr">
        <is>
          <t>MK00192</t>
        </is>
      </c>
      <c r="B534" s="27" t="n">
        <v>528000099</v>
      </c>
      <c r="C534" s="27" t="inlineStr">
        <is>
          <t>Siti Nurawaliah</t>
        </is>
      </c>
      <c r="D534" s="171" t="n">
        <v>46191.41666666666</v>
      </c>
      <c r="E534" s="26" t="n">
        <v>0.2528819444444445</v>
      </c>
      <c r="F534" s="27" t="inlineStr">
        <is>
          <t>Shift 3</t>
        </is>
      </c>
      <c r="G534" s="27" t="n"/>
    </row>
    <row r="535">
      <c r="A535" s="27" t="inlineStr">
        <is>
          <t>MK00249</t>
        </is>
      </c>
      <c r="B535" s="27" t="n">
        <v>528000286</v>
      </c>
      <c r="C535" s="27" t="inlineStr">
        <is>
          <t>Imelda Amelia</t>
        </is>
      </c>
      <c r="D535" s="171" t="n">
        <v>46191.41666666666</v>
      </c>
      <c r="E535" s="26" t="n">
        <v>0.2553125</v>
      </c>
      <c r="F535" s="27" t="inlineStr">
        <is>
          <t>Shift 3</t>
        </is>
      </c>
      <c r="G535" s="27" t="n"/>
    </row>
    <row r="536">
      <c r="A536" s="27" t="inlineStr">
        <is>
          <t>MK00213</t>
        </is>
      </c>
      <c r="B536" s="27" t="n">
        <v>528000144</v>
      </c>
      <c r="C536" s="27" t="inlineStr">
        <is>
          <t>Jodi Hanafi</t>
        </is>
      </c>
      <c r="D536" s="171" t="n">
        <v>46191.41666666666</v>
      </c>
      <c r="E536" s="26" t="n">
        <v>0.2784027777777778</v>
      </c>
      <c r="F536" s="27" t="inlineStr">
        <is>
          <t>Shift 3</t>
        </is>
      </c>
      <c r="G536" s="27" t="n"/>
    </row>
    <row r="537">
      <c r="A537" s="27" t="inlineStr">
        <is>
          <t>MK00150</t>
        </is>
      </c>
      <c r="B537" s="27" t="n">
        <v>528000244</v>
      </c>
      <c r="C537" s="27" t="inlineStr">
        <is>
          <t>Rodian Rifai</t>
        </is>
      </c>
      <c r="D537" s="171" t="n">
        <v>46191.41666666666</v>
      </c>
      <c r="E537" s="26" t="n">
        <v>0.2830787037037037</v>
      </c>
      <c r="F537" s="27" t="inlineStr">
        <is>
          <t>Shift 3</t>
        </is>
      </c>
      <c r="G537" s="27" t="n"/>
    </row>
    <row r="538">
      <c r="A538" s="27" t="inlineStr">
        <is>
          <t>MK00230</t>
        </is>
      </c>
      <c r="B538" s="27" t="n">
        <v>528000302</v>
      </c>
      <c r="C538" s="27" t="inlineStr">
        <is>
          <t>Henkey gumilar</t>
        </is>
      </c>
      <c r="D538" s="171" t="n">
        <v>46191.41666666666</v>
      </c>
      <c r="E538" s="26" t="n">
        <v>0.588587962962963</v>
      </c>
      <c r="F538" s="27" t="inlineStr">
        <is>
          <t>Shift 1</t>
        </is>
      </c>
      <c r="G538" s="27" t="n"/>
    </row>
    <row r="539">
      <c r="A539" s="27" t="inlineStr">
        <is>
          <t>MK00138</t>
        </is>
      </c>
      <c r="B539" s="27" t="n">
        <v>528000270</v>
      </c>
      <c r="C539" s="27" t="inlineStr">
        <is>
          <t>Febri Najmudin</t>
        </is>
      </c>
      <c r="D539" s="171" t="n">
        <v>46191.41666666666</v>
      </c>
      <c r="E539" s="26" t="n">
        <v>0.5977777777777777</v>
      </c>
      <c r="F539" s="27" t="inlineStr">
        <is>
          <t>Shift 1</t>
        </is>
      </c>
      <c r="G539" s="27" t="n"/>
    </row>
    <row r="540">
      <c r="A540" s="27" t="inlineStr">
        <is>
          <t>MK00109</t>
        </is>
      </c>
      <c r="B540" s="27" t="n">
        <v>528000144</v>
      </c>
      <c r="C540" s="27" t="inlineStr">
        <is>
          <t>Jodi Hanafi</t>
        </is>
      </c>
      <c r="D540" s="171" t="n">
        <v>46191.41666666666</v>
      </c>
      <c r="E540" s="26" t="n">
        <v>0.6686226851851852</v>
      </c>
      <c r="F540" s="27" t="inlineStr">
        <is>
          <t>Shift 2</t>
        </is>
      </c>
      <c r="G540" s="27" t="n"/>
    </row>
    <row r="541">
      <c r="A541" s="27" t="inlineStr">
        <is>
          <t>MK00210</t>
        </is>
      </c>
      <c r="B541" s="27" t="n">
        <v>528000265</v>
      </c>
      <c r="C541" s="27" t="inlineStr">
        <is>
          <t>Muhammad Haerul Rozikin</t>
        </is>
      </c>
      <c r="D541" s="171" t="n">
        <v>46191.41666666666</v>
      </c>
      <c r="E541" s="26" t="n">
        <v>0.6692476851851852</v>
      </c>
      <c r="F541" s="27" t="inlineStr">
        <is>
          <t>Shift 2</t>
        </is>
      </c>
      <c r="G541" s="27" t="n"/>
    </row>
    <row r="542">
      <c r="A542" s="27" t="inlineStr">
        <is>
          <t>MK00151</t>
        </is>
      </c>
      <c r="B542" s="27" t="n">
        <v>528000282</v>
      </c>
      <c r="C542" s="27" t="inlineStr">
        <is>
          <t>Defa Desfiana</t>
        </is>
      </c>
      <c r="D542" s="171" t="n">
        <v>46191.41666666666</v>
      </c>
      <c r="E542" s="26" t="n">
        <v>0.6693402777777778</v>
      </c>
      <c r="F542" s="27" t="inlineStr">
        <is>
          <t>Shift 2</t>
        </is>
      </c>
      <c r="G542" s="27" t="inlineStr">
        <is>
          <t>22b</t>
        </is>
      </c>
    </row>
    <row r="543">
      <c r="A543" s="27" t="inlineStr">
        <is>
          <t>MK00158</t>
        </is>
      </c>
      <c r="B543" s="27" t="n">
        <v>528000351</v>
      </c>
      <c r="C543" s="27" t="inlineStr">
        <is>
          <t>Mulyana</t>
        </is>
      </c>
      <c r="D543" s="171" t="n">
        <v>46191.41666666666</v>
      </c>
      <c r="E543" s="26" t="n">
        <v>0.6708101851851852</v>
      </c>
      <c r="F543" s="27" t="inlineStr">
        <is>
          <t>Shift 2</t>
        </is>
      </c>
      <c r="G543" s="27" t="n"/>
    </row>
    <row r="544">
      <c r="A544" s="27" t="inlineStr">
        <is>
          <t>MK00235</t>
        </is>
      </c>
      <c r="B544" s="27" t="n">
        <v>528000287</v>
      </c>
      <c r="C544" s="27" t="inlineStr">
        <is>
          <t>Muhamad Angga Ramdani</t>
        </is>
      </c>
      <c r="D544" s="171" t="n">
        <v>46191.41666666666</v>
      </c>
      <c r="E544" s="26" t="n">
        <v>0.6719791666666667</v>
      </c>
      <c r="F544" s="27" t="inlineStr">
        <is>
          <t>Shift 2</t>
        </is>
      </c>
      <c r="G544" s="27" t="n"/>
    </row>
    <row r="545">
      <c r="A545" s="27" t="inlineStr">
        <is>
          <t>MK00228</t>
        </is>
      </c>
      <c r="B545" s="27" t="n">
        <v>528000349</v>
      </c>
      <c r="C545" s="27" t="inlineStr">
        <is>
          <t>Anas Abdul Fatah</t>
        </is>
      </c>
      <c r="D545" s="171" t="n">
        <v>46191.41666666666</v>
      </c>
      <c r="E545" s="26" t="n">
        <v>0.6776851851851852</v>
      </c>
      <c r="F545" s="27" t="inlineStr">
        <is>
          <t>Shift 2</t>
        </is>
      </c>
      <c r="G545" s="27" t="n"/>
    </row>
    <row r="546">
      <c r="A546" s="27" t="inlineStr">
        <is>
          <t>MK00113</t>
        </is>
      </c>
      <c r="B546" s="27" t="n">
        <v>528000015</v>
      </c>
      <c r="C546" s="27" t="inlineStr">
        <is>
          <t>Erwin</t>
        </is>
      </c>
      <c r="D546" s="171" t="n">
        <v>46191.41666666666</v>
      </c>
      <c r="E546" s="26" t="n">
        <v>0.6903587962962963</v>
      </c>
      <c r="F546" s="27" t="inlineStr">
        <is>
          <t>Shift 2</t>
        </is>
      </c>
      <c r="G546" s="27" t="n"/>
    </row>
    <row r="547">
      <c r="A547" s="27" t="inlineStr">
        <is>
          <t>MK00055</t>
        </is>
      </c>
      <c r="B547" s="27" t="n">
        <v>528000212</v>
      </c>
      <c r="C547" s="27" t="inlineStr">
        <is>
          <t>Rizal Fauzi</t>
        </is>
      </c>
      <c r="D547" s="171" t="n">
        <v>46191.41666666666</v>
      </c>
      <c r="E547" s="26" t="n">
        <v>0.8907291666666667</v>
      </c>
      <c r="F547" s="27" t="inlineStr">
        <is>
          <t>Shift 2</t>
        </is>
      </c>
      <c r="G547" s="27" t="n"/>
    </row>
    <row r="548">
      <c r="A548" s="27" t="inlineStr">
        <is>
          <t>MK00208</t>
        </is>
      </c>
      <c r="B548" s="27" t="n">
        <v>528000279</v>
      </c>
      <c r="C548" s="27" t="inlineStr">
        <is>
          <t>Mahdalena Dalfa Riani</t>
        </is>
      </c>
      <c r="D548" s="171" t="n">
        <v>46191.41666666666</v>
      </c>
      <c r="E548" s="26" t="n">
        <v>0.9196064814814815</v>
      </c>
      <c r="F548" s="27" t="inlineStr">
        <is>
          <t>Shift 2</t>
        </is>
      </c>
      <c r="G548" s="27" t="n"/>
    </row>
    <row r="549">
      <c r="A549" s="27" t="inlineStr">
        <is>
          <t>MK00126</t>
        </is>
      </c>
      <c r="B549" s="27" t="n">
        <v>628000064</v>
      </c>
      <c r="C549" s="27" t="inlineStr">
        <is>
          <t>Silva Alypia</t>
        </is>
      </c>
      <c r="D549" s="171" t="n">
        <v>46191.41666666666</v>
      </c>
      <c r="E549" s="26" t="n">
        <v>0.9210069444444444</v>
      </c>
      <c r="F549" s="27" t="inlineStr">
        <is>
          <t>Shift 2</t>
        </is>
      </c>
      <c r="G549" s="27" t="n"/>
    </row>
    <row r="550">
      <c r="A550" s="27" t="inlineStr">
        <is>
          <t>MK00112</t>
        </is>
      </c>
      <c r="B550" s="27" t="n">
        <v>528000297</v>
      </c>
      <c r="C550" s="27" t="inlineStr">
        <is>
          <t>Muhamad Budiana</t>
        </is>
      </c>
      <c r="D550" s="171" t="n">
        <v>46191.41666666666</v>
      </c>
      <c r="E550" s="26" t="n">
        <v>0.9575694444444445</v>
      </c>
      <c r="F550" s="27" t="inlineStr">
        <is>
          <t>Shift 2</t>
        </is>
      </c>
      <c r="G550" s="27" t="n"/>
    </row>
    <row r="551">
      <c r="A551" s="27" t="inlineStr">
        <is>
          <t>MK00230</t>
        </is>
      </c>
      <c r="B551" s="27" t="n">
        <v>528000273</v>
      </c>
      <c r="C551" s="27" t="inlineStr">
        <is>
          <t>Asep Mulyana</t>
        </is>
      </c>
      <c r="D551" s="171" t="n">
        <v>46192.41666666666</v>
      </c>
      <c r="E551" s="26" t="n">
        <v>0.001840277777777778</v>
      </c>
      <c r="F551" s="27" t="inlineStr">
        <is>
          <t>Shift 3</t>
        </is>
      </c>
      <c r="G551" s="27" t="n"/>
    </row>
    <row r="552">
      <c r="A552" s="27" t="inlineStr">
        <is>
          <t>MK00202</t>
        </is>
      </c>
      <c r="B552" s="27" t="n">
        <v>528000305</v>
      </c>
      <c r="C552" s="27" t="inlineStr">
        <is>
          <t>Puji Puspita</t>
        </is>
      </c>
      <c r="D552" s="171" t="n">
        <v>46192.41666666666</v>
      </c>
      <c r="E552" s="26" t="n">
        <v>0.2391203703703704</v>
      </c>
      <c r="F552" s="27" t="inlineStr">
        <is>
          <t>Shift 3</t>
        </is>
      </c>
      <c r="G552" s="27" t="n"/>
    </row>
    <row r="553">
      <c r="A553" s="27" t="inlineStr">
        <is>
          <t>MK00221</t>
        </is>
      </c>
      <c r="B553" s="27" t="n">
        <v>528000299</v>
      </c>
      <c r="C553" s="27" t="inlineStr">
        <is>
          <t>Siti Nurjanah</t>
        </is>
      </c>
      <c r="D553" s="171" t="n">
        <v>46192.41666666666</v>
      </c>
      <c r="E553" s="26" t="n">
        <v>0.2400925925925926</v>
      </c>
      <c r="F553" s="27" t="inlineStr">
        <is>
          <t>Shift 3</t>
        </is>
      </c>
      <c r="G553" s="27" t="n"/>
    </row>
    <row r="554">
      <c r="A554" s="27" t="inlineStr">
        <is>
          <t>MK00203</t>
        </is>
      </c>
      <c r="B554" s="27" t="n">
        <v>528000201</v>
      </c>
      <c r="C554" s="27" t="inlineStr">
        <is>
          <t>Zahwa Amelia Choerunissa</t>
        </is>
      </c>
      <c r="D554" s="171" t="n">
        <v>46192.41666666666</v>
      </c>
      <c r="E554" s="26" t="n">
        <v>0.254212962962963</v>
      </c>
      <c r="F554" s="27" t="inlineStr">
        <is>
          <t>Shift 3</t>
        </is>
      </c>
      <c r="G554" s="27" t="n"/>
    </row>
    <row r="555">
      <c r="A555" s="27" t="inlineStr">
        <is>
          <t>MK00181</t>
        </is>
      </c>
      <c r="B555" s="27" t="n">
        <v>528000099</v>
      </c>
      <c r="C555" s="27" t="inlineStr">
        <is>
          <t>Siti Nurawaliah</t>
        </is>
      </c>
      <c r="D555" s="171" t="n">
        <v>46192.41666666666</v>
      </c>
      <c r="E555" s="26" t="n">
        <v>0.2549768518518519</v>
      </c>
      <c r="F555" s="27" t="inlineStr">
        <is>
          <t>Shift 3</t>
        </is>
      </c>
      <c r="G555" s="27" t="n"/>
    </row>
    <row r="556">
      <c r="A556" s="27" t="inlineStr">
        <is>
          <t>MK00228</t>
        </is>
      </c>
      <c r="B556" s="27" t="n">
        <v>528000286</v>
      </c>
      <c r="C556" s="27" t="inlineStr">
        <is>
          <t>Imelda Amelia</t>
        </is>
      </c>
      <c r="D556" s="171" t="n">
        <v>46192.41666666666</v>
      </c>
      <c r="E556" s="26" t="n">
        <v>0.2561342592592593</v>
      </c>
      <c r="F556" s="27" t="inlineStr">
        <is>
          <t>Shift 3</t>
        </is>
      </c>
      <c r="G556" s="27" t="n"/>
    </row>
    <row r="557">
      <c r="A557" s="27" t="inlineStr">
        <is>
          <t>MK00151</t>
        </is>
      </c>
      <c r="B557" s="27" t="n">
        <v>528000290</v>
      </c>
      <c r="C557" s="27" t="inlineStr">
        <is>
          <t>Eval Pranata</t>
        </is>
      </c>
      <c r="D557" s="171" t="n">
        <v>46192.41666666666</v>
      </c>
      <c r="E557" s="26" t="n">
        <v>0.2641550925925926</v>
      </c>
      <c r="F557" s="27" t="inlineStr">
        <is>
          <t>Shift 3</t>
        </is>
      </c>
      <c r="G557" s="27" t="n"/>
    </row>
    <row r="558">
      <c r="A558" s="27" t="inlineStr">
        <is>
          <t>MK00235</t>
        </is>
      </c>
      <c r="B558" s="27" t="n">
        <v>528000244</v>
      </c>
      <c r="C558" s="27" t="inlineStr">
        <is>
          <t>Rodian Rifai</t>
        </is>
      </c>
      <c r="D558" s="171" t="n">
        <v>46192.41666666666</v>
      </c>
      <c r="E558" s="26" t="n">
        <v>0.3407638888888889</v>
      </c>
      <c r="F558" s="27" t="inlineStr">
        <is>
          <t>Shift 1</t>
        </is>
      </c>
      <c r="G558" s="27" t="n"/>
    </row>
    <row r="559">
      <c r="A559" s="27" t="inlineStr">
        <is>
          <t>MK00211</t>
        </is>
      </c>
      <c r="B559" s="27" t="n">
        <v>528000203</v>
      </c>
      <c r="C559" s="27" t="inlineStr">
        <is>
          <t>Yudha Ramdhan Putra</t>
        </is>
      </c>
      <c r="D559" s="171" t="n">
        <v>46192.41666666666</v>
      </c>
      <c r="E559" s="26" t="n">
        <v>0.3776041666666667</v>
      </c>
      <c r="F559" s="27" t="inlineStr">
        <is>
          <t>Shift 1</t>
        </is>
      </c>
      <c r="G559" s="27" t="n"/>
    </row>
    <row r="560">
      <c r="A560" s="27" t="inlineStr">
        <is>
          <t>MK00205</t>
        </is>
      </c>
      <c r="B560" s="27" t="n">
        <v>528000348</v>
      </c>
      <c r="C560" s="27" t="inlineStr">
        <is>
          <t>Saepuloh Ardiansah</t>
        </is>
      </c>
      <c r="D560" s="171" t="n">
        <v>46192.41666666666</v>
      </c>
      <c r="E560" s="26" t="n">
        <v>0.5342361111111111</v>
      </c>
      <c r="F560" s="27" t="inlineStr">
        <is>
          <t>Shift 1</t>
        </is>
      </c>
      <c r="G560" s="27" t="n"/>
    </row>
    <row r="561">
      <c r="A561" s="27" t="inlineStr">
        <is>
          <t>MK00228</t>
        </is>
      </c>
      <c r="B561" s="27" t="n">
        <v>528000351</v>
      </c>
      <c r="C561" s="27" t="inlineStr">
        <is>
          <t>Mulyana</t>
        </is>
      </c>
      <c r="D561" s="171" t="n">
        <v>46192.41666666666</v>
      </c>
      <c r="E561" s="26" t="n">
        <v>0.5417824074074075</v>
      </c>
      <c r="F561" s="27" t="inlineStr">
        <is>
          <t>Shift 1</t>
        </is>
      </c>
      <c r="G561" s="27" t="n"/>
    </row>
    <row r="562">
      <c r="A562" s="27" t="inlineStr">
        <is>
          <t>MK00145</t>
        </is>
      </c>
      <c r="B562" s="27" t="n">
        <v>528000282</v>
      </c>
      <c r="C562" s="27" t="inlineStr">
        <is>
          <t>Defa Desfiana</t>
        </is>
      </c>
      <c r="D562" s="171" t="n">
        <v>46192.41666666666</v>
      </c>
      <c r="E562" s="26" t="n">
        <v>0.5425</v>
      </c>
      <c r="F562" s="27" t="inlineStr">
        <is>
          <t>Shift 1</t>
        </is>
      </c>
      <c r="G562" s="27" t="inlineStr">
        <is>
          <t>33b</t>
        </is>
      </c>
    </row>
    <row r="563">
      <c r="A563" s="27" t="inlineStr">
        <is>
          <t>MK00126</t>
        </is>
      </c>
      <c r="B563" s="27" t="n">
        <v>528000265</v>
      </c>
      <c r="C563" s="27" t="inlineStr">
        <is>
          <t>Muhammad Haerul Rozikin</t>
        </is>
      </c>
      <c r="D563" s="171" t="n">
        <v>46192.41666666666</v>
      </c>
      <c r="E563" s="26" t="n">
        <v>0.5442592592592592</v>
      </c>
      <c r="F563" s="27" t="inlineStr">
        <is>
          <t>Shift 1</t>
        </is>
      </c>
      <c r="G563" s="27" t="n"/>
    </row>
    <row r="564">
      <c r="A564" s="27" t="inlineStr">
        <is>
          <t>MK00192</t>
        </is>
      </c>
      <c r="B564" s="27" t="n">
        <v>528000144</v>
      </c>
      <c r="C564" s="27" t="inlineStr">
        <is>
          <t>Jodi Hanafi</t>
        </is>
      </c>
      <c r="D564" s="171" t="n">
        <v>46192.41666666666</v>
      </c>
      <c r="E564" s="26" t="n">
        <v>0.5452546296296297</v>
      </c>
      <c r="F564" s="27" t="inlineStr">
        <is>
          <t>Shift 1</t>
        </is>
      </c>
      <c r="G564" s="27" t="n"/>
    </row>
    <row r="565">
      <c r="A565" s="27" t="inlineStr">
        <is>
          <t>MK00213</t>
        </is>
      </c>
      <c r="B565" s="27" t="n">
        <v>528000232</v>
      </c>
      <c r="C565" s="27" t="inlineStr">
        <is>
          <t>Agung Aji Suhada</t>
        </is>
      </c>
      <c r="D565" s="171" t="n">
        <v>46192.41666666666</v>
      </c>
      <c r="E565" s="26" t="n">
        <v>0.5851273148148148</v>
      </c>
      <c r="F565" s="27" t="inlineStr">
        <is>
          <t>Shift 1</t>
        </is>
      </c>
      <c r="G565" s="27" t="n"/>
    </row>
    <row r="566">
      <c r="A566" s="27" t="inlineStr">
        <is>
          <t>MK00230</t>
        </is>
      </c>
      <c r="B566" s="27" t="n">
        <v>528000299</v>
      </c>
      <c r="C566" s="27" t="inlineStr">
        <is>
          <t>Siti Nurjanah</t>
        </is>
      </c>
      <c r="D566" s="171" t="n">
        <v>46192.41666666666</v>
      </c>
      <c r="E566" s="26" t="n">
        <v>0.5881712962962963</v>
      </c>
      <c r="F566" s="27" t="inlineStr">
        <is>
          <t>Shift 1</t>
        </is>
      </c>
      <c r="G566" s="27" t="n"/>
    </row>
    <row r="567">
      <c r="A567" s="27" t="inlineStr">
        <is>
          <t>MK00138</t>
        </is>
      </c>
      <c r="B567" s="27" t="n">
        <v>528000302</v>
      </c>
      <c r="C567" s="27" t="inlineStr">
        <is>
          <t>Henkey gumilar</t>
        </is>
      </c>
      <c r="D567" s="171" t="n">
        <v>46192.41666666666</v>
      </c>
      <c r="E567" s="26" t="n">
        <v>0.5907291666666666</v>
      </c>
      <c r="F567" s="27" t="inlineStr">
        <is>
          <t>Shift 1</t>
        </is>
      </c>
      <c r="G567" s="27" t="n"/>
    </row>
    <row r="568">
      <c r="A568" s="27" t="inlineStr">
        <is>
          <t>MK00212</t>
        </is>
      </c>
      <c r="B568" s="27" t="n">
        <v>528000149</v>
      </c>
      <c r="C568" s="27" t="inlineStr">
        <is>
          <t>Tio Fernanda</t>
        </is>
      </c>
      <c r="D568" s="171" t="n">
        <v>46192.41666666666</v>
      </c>
      <c r="E568" s="26" t="n">
        <v>0.5965393518518518</v>
      </c>
      <c r="F568" s="27" t="inlineStr">
        <is>
          <t>Shift 1</t>
        </is>
      </c>
      <c r="G568" s="27" t="n"/>
    </row>
    <row r="569">
      <c r="A569" s="27" t="inlineStr">
        <is>
          <t>MK00093</t>
        </is>
      </c>
      <c r="B569" s="27" t="n">
        <v>528000270</v>
      </c>
      <c r="C569" s="27" t="inlineStr">
        <is>
          <t>Febri Najmudin</t>
        </is>
      </c>
      <c r="D569" s="171" t="n">
        <v>46192.41666666666</v>
      </c>
      <c r="E569" s="26" t="n">
        <v>0.6088541666666667</v>
      </c>
      <c r="F569" s="27" t="inlineStr">
        <is>
          <t>Shift 1</t>
        </is>
      </c>
      <c r="G569" s="27" t="n"/>
    </row>
    <row r="570">
      <c r="A570" s="27" t="inlineStr">
        <is>
          <t>MK00156</t>
        </is>
      </c>
      <c r="B570" s="27" t="n">
        <v>628000061</v>
      </c>
      <c r="C570" s="27" t="inlineStr">
        <is>
          <t>Nayla Fadillah Exwantoro</t>
        </is>
      </c>
      <c r="D570" s="171" t="n">
        <v>46192.41666666666</v>
      </c>
      <c r="E570" s="26" t="n">
        <v>0.6308333333333334</v>
      </c>
      <c r="F570" s="27" t="inlineStr">
        <is>
          <t>Shift 1</t>
        </is>
      </c>
      <c r="G570" s="27" t="n"/>
    </row>
    <row r="571">
      <c r="A571" s="27" t="inlineStr">
        <is>
          <t>MK00085</t>
        </is>
      </c>
      <c r="B571" s="27" t="n">
        <v>528000273</v>
      </c>
      <c r="C571" s="27" t="inlineStr">
        <is>
          <t>Asep Mulyana</t>
        </is>
      </c>
      <c r="D571" s="171" t="n">
        <v>46192.41666666666</v>
      </c>
      <c r="E571" s="26" t="n">
        <v>0.7502546296296296</v>
      </c>
      <c r="F571" s="27" t="inlineStr">
        <is>
          <t>Shift 2</t>
        </is>
      </c>
      <c r="G571" s="27" t="n"/>
    </row>
    <row r="572">
      <c r="A572" s="27" t="inlineStr">
        <is>
          <t>MK00205</t>
        </is>
      </c>
      <c r="B572" s="27" t="n">
        <v>528000348</v>
      </c>
      <c r="C572" s="27" t="inlineStr">
        <is>
          <t>Saepuloh Ardiansah</t>
        </is>
      </c>
      <c r="D572" s="171" t="n">
        <v>46192.41666666666</v>
      </c>
      <c r="E572" s="26" t="n">
        <v>0.7671643518518518</v>
      </c>
      <c r="F572" s="27" t="inlineStr">
        <is>
          <t>Shift 2</t>
        </is>
      </c>
      <c r="G572" s="27" t="n"/>
    </row>
    <row r="573">
      <c r="A573" s="27" t="inlineStr">
        <is>
          <t>MK00150</t>
        </is>
      </c>
      <c r="B573" s="27" t="n">
        <v>528000015</v>
      </c>
      <c r="C573" s="27" t="inlineStr">
        <is>
          <t>Erwin</t>
        </is>
      </c>
      <c r="D573" s="171" t="n">
        <v>46192.41666666666</v>
      </c>
      <c r="E573" s="26" t="n">
        <v>0.854375</v>
      </c>
      <c r="F573" s="27" t="inlineStr">
        <is>
          <t>Shift 2</t>
        </is>
      </c>
      <c r="G573" s="27" t="n"/>
    </row>
    <row r="574">
      <c r="A574" s="27" t="inlineStr">
        <is>
          <t>MK00228</t>
        </is>
      </c>
      <c r="B574" s="27" t="n">
        <v>528000279</v>
      </c>
      <c r="C574" s="27" t="inlineStr">
        <is>
          <t>Mahdalena Dalfa Riani</t>
        </is>
      </c>
      <c r="D574" s="171" t="n">
        <v>46192.41666666666</v>
      </c>
      <c r="E574" s="26" t="n">
        <v>0.9213194444444445</v>
      </c>
      <c r="F574" s="27" t="inlineStr">
        <is>
          <t>Shift 2</t>
        </is>
      </c>
      <c r="G574" s="27" t="n"/>
    </row>
    <row r="575">
      <c r="A575" s="27" t="inlineStr">
        <is>
          <t>MK00158</t>
        </is>
      </c>
      <c r="B575" s="27" t="n">
        <v>628000064</v>
      </c>
      <c r="C575" s="27" t="inlineStr">
        <is>
          <t>Silva Alypia</t>
        </is>
      </c>
      <c r="D575" s="171" t="n">
        <v>46192.41666666666</v>
      </c>
      <c r="E575" s="26" t="n">
        <v>0.9248263888888889</v>
      </c>
      <c r="F575" s="27" t="inlineStr">
        <is>
          <t>Shift 2</t>
        </is>
      </c>
      <c r="G575" s="27" t="n"/>
    </row>
    <row r="576">
      <c r="A576" s="27" t="inlineStr">
        <is>
          <t>MK00088</t>
        </is>
      </c>
      <c r="B576" s="27" t="n">
        <v>528000297</v>
      </c>
      <c r="C576" s="27" t="inlineStr">
        <is>
          <t>Muhamad Budiana</t>
        </is>
      </c>
      <c r="D576" s="171" t="n">
        <v>46192.41666666666</v>
      </c>
      <c r="E576" s="26" t="n">
        <v>0.9563078703703703</v>
      </c>
      <c r="F576" s="27" t="inlineStr">
        <is>
          <t>Shift 2</t>
        </is>
      </c>
      <c r="G576" s="27" t="n"/>
    </row>
    <row r="577">
      <c r="A577" s="27" t="inlineStr">
        <is>
          <t>MK00151</t>
        </is>
      </c>
      <c r="B577" s="27" t="n">
        <v>528000195</v>
      </c>
      <c r="C577" s="27" t="inlineStr">
        <is>
          <t>Rahma Sariwati</t>
        </is>
      </c>
      <c r="D577" s="171" t="n">
        <v>46193.41666666666</v>
      </c>
      <c r="E577" s="26" t="n">
        <v>0.2523958333333333</v>
      </c>
      <c r="F577" s="27" t="inlineStr">
        <is>
          <t>Shift 3</t>
        </is>
      </c>
      <c r="G577" s="27" t="n"/>
    </row>
    <row r="578">
      <c r="A578" s="27" t="inlineStr">
        <is>
          <t>MK00208</t>
        </is>
      </c>
      <c r="B578" s="27" t="n">
        <v>528000262</v>
      </c>
      <c r="C578" s="27" t="inlineStr">
        <is>
          <t>Ndari Dwiwanti</t>
        </is>
      </c>
      <c r="D578" s="171" t="n">
        <v>46193.41666666666</v>
      </c>
      <c r="E578" s="26" t="n">
        <v>0.2524537037037037</v>
      </c>
      <c r="F578" s="27" t="inlineStr">
        <is>
          <t>Shift 3</t>
        </is>
      </c>
      <c r="G578" s="27" t="n"/>
    </row>
    <row r="579">
      <c r="A579" s="27" t="inlineStr">
        <is>
          <t>MK00145</t>
        </is>
      </c>
      <c r="B579" s="27" t="n">
        <v>528000261</v>
      </c>
      <c r="C579" s="27" t="inlineStr">
        <is>
          <t>Ergi Ergianto</t>
        </is>
      </c>
      <c r="D579" s="171" t="n">
        <v>46193.41666666666</v>
      </c>
      <c r="E579" s="26" t="n">
        <v>0.255162037037037</v>
      </c>
      <c r="F579" s="27" t="inlineStr">
        <is>
          <t>Shift 3</t>
        </is>
      </c>
      <c r="G579" s="27" t="n"/>
    </row>
    <row r="580">
      <c r="A580" s="27" t="inlineStr">
        <is>
          <t>MK00126</t>
        </is>
      </c>
      <c r="B580" s="27" t="n">
        <v>528000283</v>
      </c>
      <c r="C580" s="27" t="inlineStr">
        <is>
          <t>Purwanda Sugiri</t>
        </is>
      </c>
      <c r="D580" s="171" t="n">
        <v>46193.41666666666</v>
      </c>
      <c r="E580" s="26" t="n">
        <v>0.2555439814814815</v>
      </c>
      <c r="F580" s="27" t="inlineStr">
        <is>
          <t>Shift 3</t>
        </is>
      </c>
      <c r="G580" s="27" t="n"/>
    </row>
    <row r="581">
      <c r="A581" s="27" t="inlineStr">
        <is>
          <t>MK00093</t>
        </is>
      </c>
      <c r="B581" s="27" t="n">
        <v>528000291</v>
      </c>
      <c r="C581" s="27" t="inlineStr">
        <is>
          <t>Andrian</t>
        </is>
      </c>
      <c r="D581" s="171" t="n">
        <v>46193.41666666666</v>
      </c>
      <c r="E581" s="26" t="n">
        <v>0.2569907407407407</v>
      </c>
      <c r="F581" s="27" t="inlineStr">
        <is>
          <t>Shift 3</t>
        </is>
      </c>
      <c r="G581" s="27" t="n"/>
    </row>
    <row r="582">
      <c r="A582" s="27" t="inlineStr">
        <is>
          <t>MK00249</t>
        </is>
      </c>
      <c r="B582" s="27" t="n">
        <v>528000266</v>
      </c>
      <c r="C582" s="27" t="inlineStr">
        <is>
          <t>M. Syirajatieq</t>
        </is>
      </c>
      <c r="D582" s="171" t="n">
        <v>46193.41666666666</v>
      </c>
      <c r="E582" s="26" t="n">
        <v>0.2698148148148148</v>
      </c>
      <c r="F582" s="27" t="inlineStr">
        <is>
          <t>Shift 3</t>
        </is>
      </c>
      <c r="G582" s="27" t="n"/>
    </row>
    <row r="583">
      <c r="A583" s="27" t="inlineStr">
        <is>
          <t>MK00158</t>
        </is>
      </c>
      <c r="B583" s="27" t="n">
        <v>528000299</v>
      </c>
      <c r="C583" s="27" t="inlineStr">
        <is>
          <t>Siti Nurjanah</t>
        </is>
      </c>
      <c r="D583" s="171" t="n">
        <v>46193.41666666666</v>
      </c>
      <c r="E583" s="26" t="n">
        <v>0.5864467592592593</v>
      </c>
      <c r="F583" s="27" t="inlineStr">
        <is>
          <t>Shift 1</t>
        </is>
      </c>
      <c r="G583" s="27" t="n"/>
    </row>
    <row r="584">
      <c r="A584" s="27" t="inlineStr">
        <is>
          <t>MK00156</t>
        </is>
      </c>
      <c r="B584" s="27" t="n">
        <v>528000302</v>
      </c>
      <c r="C584" s="27" t="inlineStr">
        <is>
          <t>Henkey gumilar</t>
        </is>
      </c>
      <c r="D584" s="171" t="n">
        <v>46193.41666666666</v>
      </c>
      <c r="E584" s="26" t="n">
        <v>0.5924652777777778</v>
      </c>
      <c r="F584" s="27" t="inlineStr">
        <is>
          <t>Shift 1</t>
        </is>
      </c>
      <c r="G584" s="27" t="n"/>
    </row>
    <row r="585">
      <c r="A585" s="27" t="inlineStr">
        <is>
          <t>MK00192</t>
        </is>
      </c>
      <c r="B585" s="27" t="n">
        <v>528000270</v>
      </c>
      <c r="C585" s="27" t="inlineStr">
        <is>
          <t>Febri Najmudin</t>
        </is>
      </c>
      <c r="D585" s="171" t="n">
        <v>46193.41666666666</v>
      </c>
      <c r="E585" s="26" t="n">
        <v>0.6107291666666667</v>
      </c>
      <c r="F585" s="27" t="inlineStr">
        <is>
          <t>Shift 1</t>
        </is>
      </c>
      <c r="G585" s="27" t="n"/>
    </row>
    <row r="586">
      <c r="A586" s="27" t="inlineStr">
        <is>
          <t>MK00249</t>
        </is>
      </c>
      <c r="B586" s="27" t="n">
        <v>528000279</v>
      </c>
      <c r="C586" s="27" t="inlineStr">
        <is>
          <t>Mahdalena Dalfa Riani</t>
        </is>
      </c>
      <c r="D586" s="171" t="n">
        <v>46193.41666666666</v>
      </c>
      <c r="E586" s="26" t="n">
        <v>0.9203356481481482</v>
      </c>
      <c r="F586" s="27" t="inlineStr">
        <is>
          <t>Shift 2</t>
        </is>
      </c>
      <c r="G586" s="27" t="n"/>
    </row>
    <row r="587">
      <c r="A587" s="27" t="inlineStr">
        <is>
          <t>MK00085</t>
        </is>
      </c>
      <c r="B587" s="27" t="n">
        <v>628000064</v>
      </c>
      <c r="C587" s="27" t="inlineStr">
        <is>
          <t>Silva Alypia</t>
        </is>
      </c>
      <c r="D587" s="171" t="n">
        <v>46193.41666666666</v>
      </c>
      <c r="E587" s="26" t="n">
        <v>0.9209953703703704</v>
      </c>
      <c r="F587" s="27" t="inlineStr">
        <is>
          <t>Shift 2</t>
        </is>
      </c>
      <c r="G587" s="27" t="n"/>
    </row>
    <row r="588">
      <c r="A588" s="27" t="inlineStr">
        <is>
          <t>MK00046</t>
        </is>
      </c>
      <c r="B588" s="27" t="n">
        <v>628000061</v>
      </c>
      <c r="C588" s="27" t="inlineStr">
        <is>
          <t>Nayla Fadillah Exwantoro</t>
        </is>
      </c>
      <c r="D588" s="171" t="n">
        <v>46193.41666666666</v>
      </c>
      <c r="E588" s="26" t="n">
        <v>0.9311689814814815</v>
      </c>
      <c r="F588" s="27" t="inlineStr">
        <is>
          <t>Shift 2</t>
        </is>
      </c>
      <c r="G588" s="27" t="n"/>
    </row>
    <row r="589">
      <c r="A589" s="27" t="inlineStr">
        <is>
          <t>MK00230</t>
        </is>
      </c>
      <c r="B589" s="27" t="n">
        <v>528000297</v>
      </c>
      <c r="C589" s="27" t="inlineStr">
        <is>
          <t>Muhamad Budiana</t>
        </is>
      </c>
      <c r="D589" s="171" t="n">
        <v>46193.41666666666</v>
      </c>
      <c r="E589" s="26" t="n">
        <v>0.9628356481481481</v>
      </c>
      <c r="F589" s="27" t="inlineStr">
        <is>
          <t>Shift 2</t>
        </is>
      </c>
      <c r="G589" s="27" t="n"/>
    </row>
    <row r="590">
      <c r="A590" s="27" t="inlineStr">
        <is>
          <t>MK00113</t>
        </is>
      </c>
      <c r="B590" s="27" t="n">
        <v>528000015</v>
      </c>
      <c r="C590" s="27" t="inlineStr">
        <is>
          <t>Erwin</t>
        </is>
      </c>
      <c r="D590" s="171" t="n">
        <v>46194.41666666666</v>
      </c>
      <c r="E590" s="26" t="n">
        <v>0.01578703703703704</v>
      </c>
      <c r="F590" s="27" t="inlineStr">
        <is>
          <t>Shift 3</t>
        </is>
      </c>
      <c r="G590" s="27" t="n"/>
    </row>
    <row r="591">
      <c r="A591" s="27" t="inlineStr">
        <is>
          <t>MK00150</t>
        </is>
      </c>
      <c r="B591" s="27" t="n">
        <v>528000291</v>
      </c>
      <c r="C591" s="27" t="inlineStr">
        <is>
          <t>Andrian</t>
        </is>
      </c>
      <c r="D591" s="171" t="n">
        <v>46194.41666666666</v>
      </c>
      <c r="E591" s="26" t="n">
        <v>0.2529629629629629</v>
      </c>
      <c r="F591" s="27" t="inlineStr">
        <is>
          <t>Shift 3</t>
        </is>
      </c>
      <c r="G591" s="27" t="n"/>
    </row>
    <row r="592">
      <c r="A592" s="27" t="inlineStr">
        <is>
          <t>MK00138</t>
        </is>
      </c>
      <c r="B592" s="27" t="n">
        <v>528000261</v>
      </c>
      <c r="C592" s="27" t="inlineStr">
        <is>
          <t>Ergi Ergianto</t>
        </is>
      </c>
      <c r="D592" s="171" t="n">
        <v>46194.41666666666</v>
      </c>
      <c r="E592" s="26" t="n">
        <v>0.253599537037037</v>
      </c>
      <c r="F592" s="27" t="inlineStr">
        <is>
          <t>Shift 3</t>
        </is>
      </c>
      <c r="G592" s="27" t="n"/>
    </row>
    <row r="593">
      <c r="A593" s="27" t="inlineStr">
        <is>
          <t>MK00088</t>
        </is>
      </c>
      <c r="B593" s="27" t="n">
        <v>528000262</v>
      </c>
      <c r="C593" s="27" t="inlineStr">
        <is>
          <t>Ndari Dwiwanti</t>
        </is>
      </c>
      <c r="D593" s="171" t="n">
        <v>46194.41666666666</v>
      </c>
      <c r="E593" s="26" t="n">
        <v>0.2538310185185185</v>
      </c>
      <c r="F593" s="27" t="inlineStr">
        <is>
          <t>Shift 3</t>
        </is>
      </c>
      <c r="G593" s="27" t="n"/>
    </row>
    <row r="594">
      <c r="A594" s="27" t="inlineStr">
        <is>
          <t>MK00082</t>
        </is>
      </c>
      <c r="B594" s="27" t="n">
        <v>528000358</v>
      </c>
      <c r="C594" s="27" t="inlineStr">
        <is>
          <t>Lulu Agustin</t>
        </is>
      </c>
      <c r="D594" s="171" t="n">
        <v>46194.41666666666</v>
      </c>
      <c r="E594" s="26" t="n">
        <v>0.2540162037037037</v>
      </c>
      <c r="F594" s="27" t="inlineStr">
        <is>
          <t>Shift 3</t>
        </is>
      </c>
      <c r="G594" s="27" t="n"/>
    </row>
    <row r="595">
      <c r="A595" s="27" t="inlineStr">
        <is>
          <t>MK00156</t>
        </is>
      </c>
      <c r="B595" s="27" t="n">
        <v>528000195</v>
      </c>
      <c r="C595" s="27" t="inlineStr">
        <is>
          <t>Rahma Sariwati</t>
        </is>
      </c>
      <c r="D595" s="171" t="n">
        <v>46194.41666666666</v>
      </c>
      <c r="E595" s="26" t="n">
        <v>0.2631018518518519</v>
      </c>
      <c r="F595" s="27" t="inlineStr">
        <is>
          <t>Shift 3</t>
        </is>
      </c>
      <c r="G595" s="27" t="n"/>
    </row>
    <row r="596">
      <c r="A596" s="27" t="inlineStr">
        <is>
          <t>MK00213</t>
        </is>
      </c>
      <c r="B596" s="27" t="n">
        <v>528000266</v>
      </c>
      <c r="C596" s="27" t="inlineStr">
        <is>
          <t>M. Syirajatieq</t>
        </is>
      </c>
      <c r="D596" s="171" t="n">
        <v>46194.41666666666</v>
      </c>
      <c r="E596" s="26" t="n">
        <v>0.2797685185185185</v>
      </c>
      <c r="F596" s="27" t="inlineStr">
        <is>
          <t>Shift 3</t>
        </is>
      </c>
      <c r="G596" s="27" t="n"/>
    </row>
    <row r="597">
      <c r="A597" s="27" t="inlineStr">
        <is>
          <t>MK00203</t>
        </is>
      </c>
      <c r="B597" s="27" t="n">
        <v>528000203</v>
      </c>
      <c r="C597" s="27" t="inlineStr">
        <is>
          <t>Yudha Ramdhan Putra</t>
        </is>
      </c>
      <c r="D597" s="171" t="n">
        <v>46194.41666666666</v>
      </c>
      <c r="E597" s="26" t="n">
        <v>0.3763541666666667</v>
      </c>
      <c r="F597" s="27" t="inlineStr">
        <is>
          <t>Shift 1</t>
        </is>
      </c>
      <c r="G597" s="27" t="n"/>
    </row>
    <row r="598">
      <c r="A598" s="27" t="inlineStr">
        <is>
          <t>MK00055</t>
        </is>
      </c>
      <c r="B598" s="27" t="n">
        <v>528000212</v>
      </c>
      <c r="C598" s="27" t="inlineStr">
        <is>
          <t>Rizal Fauzi</t>
        </is>
      </c>
      <c r="D598" s="171" t="n">
        <v>46194.41666666666</v>
      </c>
      <c r="E598" s="26" t="n">
        <v>0.5682986111111111</v>
      </c>
      <c r="F598" s="27" t="inlineStr">
        <is>
          <t>Shift 1</t>
        </is>
      </c>
      <c r="G598" s="27" t="n"/>
    </row>
    <row r="599">
      <c r="A599" s="27" t="inlineStr">
        <is>
          <t>MK00192</t>
        </is>
      </c>
      <c r="B599" s="27" t="n">
        <v>528000282</v>
      </c>
      <c r="C599" s="27" t="inlineStr">
        <is>
          <t>Defa Desfiana</t>
        </is>
      </c>
      <c r="D599" s="171" t="n">
        <v>46194.41666666666</v>
      </c>
      <c r="E599" s="26" t="n">
        <v>0.5855787037037037</v>
      </c>
      <c r="F599" s="27" t="inlineStr">
        <is>
          <t>Shift 1</t>
        </is>
      </c>
      <c r="G599" s="27" t="n"/>
    </row>
    <row r="600">
      <c r="A600" s="27" t="inlineStr">
        <is>
          <t>MK00230</t>
        </is>
      </c>
      <c r="B600" s="27" t="n">
        <v>628000061</v>
      </c>
      <c r="C600" s="27" t="inlineStr">
        <is>
          <t>Nayla Fadillah Exwantoro</t>
        </is>
      </c>
      <c r="D600" s="171" t="n">
        <v>46194.41666666666</v>
      </c>
      <c r="E600" s="26" t="n">
        <v>0.6017592592592592</v>
      </c>
      <c r="F600" s="27" t="inlineStr">
        <is>
          <t>Shift 1</t>
        </is>
      </c>
      <c r="G600" s="27" t="n"/>
    </row>
    <row r="601">
      <c r="A601" s="27" t="inlineStr">
        <is>
          <t>MK0008</t>
        </is>
      </c>
      <c r="B601" s="27" t="n">
        <v>528000270</v>
      </c>
      <c r="C601" s="27" t="inlineStr">
        <is>
          <t>Febri Najmudin</t>
        </is>
      </c>
      <c r="D601" s="171" t="n">
        <v>46194.41666666666</v>
      </c>
      <c r="E601" s="26" t="n">
        <v>0.6040162037037037</v>
      </c>
      <c r="F601" s="27" t="inlineStr">
        <is>
          <t>Shift 1</t>
        </is>
      </c>
      <c r="G601" s="27" t="n"/>
    </row>
    <row r="602">
      <c r="A602" s="27" t="inlineStr">
        <is>
          <t>MK00141</t>
        </is>
      </c>
      <c r="B602" s="27" t="n">
        <v>528000273</v>
      </c>
      <c r="C602" s="27" t="inlineStr">
        <is>
          <t>Asep Mulyana</t>
        </is>
      </c>
      <c r="D602" s="171" t="n">
        <v>46194.41666666666</v>
      </c>
      <c r="E602" s="26" t="n">
        <v>0.6672569444444445</v>
      </c>
      <c r="F602" s="27" t="inlineStr">
        <is>
          <t>Shift 2</t>
        </is>
      </c>
      <c r="G602" s="27" t="n"/>
    </row>
    <row r="603">
      <c r="A603" s="27" t="inlineStr">
        <is>
          <t>MK00213</t>
        </is>
      </c>
      <c r="B603" s="27" t="n">
        <v>528000351</v>
      </c>
      <c r="C603" s="27" t="inlineStr">
        <is>
          <t>Mulyana</t>
        </is>
      </c>
      <c r="D603" s="171" t="n">
        <v>46194.41666666666</v>
      </c>
      <c r="E603" s="26" t="n">
        <v>0.6674189814814815</v>
      </c>
      <c r="F603" s="27" t="inlineStr">
        <is>
          <t>Shift 2</t>
        </is>
      </c>
      <c r="G603" s="27" t="n"/>
    </row>
    <row r="604">
      <c r="A604" s="27" t="inlineStr">
        <is>
          <t>MK00156</t>
        </is>
      </c>
      <c r="B604" s="27" t="n">
        <v>528000055</v>
      </c>
      <c r="C604" s="27" t="inlineStr">
        <is>
          <t>Dika Prasetya</t>
        </is>
      </c>
      <c r="D604" s="171" t="n">
        <v>46194.41666666666</v>
      </c>
      <c r="E604" s="26" t="n">
        <v>0.667974537037037</v>
      </c>
      <c r="F604" s="27" t="inlineStr">
        <is>
          <t>Shift 2</t>
        </is>
      </c>
      <c r="G604" s="27" t="n"/>
    </row>
    <row r="605">
      <c r="A605" s="27" t="inlineStr">
        <is>
          <t>MK00249</t>
        </is>
      </c>
      <c r="B605" s="27" t="n">
        <v>528000287</v>
      </c>
      <c r="C605" s="27" t="inlineStr">
        <is>
          <t>Muhamad Angga Ramdani</t>
        </is>
      </c>
      <c r="D605" s="171" t="n">
        <v>46194.41666666666</v>
      </c>
      <c r="E605" s="26" t="n">
        <v>0.669699074074074</v>
      </c>
      <c r="F605" s="27" t="inlineStr">
        <is>
          <t>Shift 2</t>
        </is>
      </c>
      <c r="G605" s="27" t="n"/>
    </row>
    <row r="606">
      <c r="A606" s="27" t="inlineStr">
        <is>
          <t>MK00145</t>
        </is>
      </c>
      <c r="B606" s="27" t="n">
        <v>528000349</v>
      </c>
      <c r="C606" s="27" t="inlineStr">
        <is>
          <t>Anas Abdul Fatah</t>
        </is>
      </c>
      <c r="D606" s="171" t="n">
        <v>46194.41666666666</v>
      </c>
      <c r="E606" s="26" t="n">
        <v>0.6792592592592592</v>
      </c>
      <c r="F606" s="27" t="inlineStr">
        <is>
          <t>Shift 2</t>
        </is>
      </c>
      <c r="G606" s="27" t="n"/>
    </row>
    <row r="607">
      <c r="A607" s="27" t="inlineStr">
        <is>
          <t>MK00095</t>
        </is>
      </c>
      <c r="B607" s="27" t="n">
        <v>528000203</v>
      </c>
      <c r="C607" s="27" t="inlineStr">
        <is>
          <t>Yudha Ramdhan Putra</t>
        </is>
      </c>
      <c r="D607" s="171" t="n">
        <v>46194.41666666666</v>
      </c>
      <c r="E607" s="26" t="n">
        <v>0.7083449074074074</v>
      </c>
      <c r="F607" s="27" t="inlineStr">
        <is>
          <t>Shift 2</t>
        </is>
      </c>
      <c r="G607" s="27" t="n"/>
    </row>
    <row r="608">
      <c r="A608" s="27" t="inlineStr">
        <is>
          <t>MK00212</t>
        </is>
      </c>
      <c r="B608" s="27" t="n">
        <v>528000149</v>
      </c>
      <c r="C608" s="27" t="inlineStr">
        <is>
          <t>Tio Fernanda</t>
        </is>
      </c>
      <c r="D608" s="171" t="n">
        <v>46194.41666666666</v>
      </c>
      <c r="E608" s="26" t="n">
        <v>0.7250115740740741</v>
      </c>
      <c r="F608" s="27" t="inlineStr">
        <is>
          <t>Shift 2</t>
        </is>
      </c>
      <c r="G608" s="27" t="n"/>
    </row>
    <row r="609">
      <c r="A609" s="27" t="inlineStr">
        <is>
          <t>MK00205</t>
        </is>
      </c>
      <c r="B609" s="27" t="n">
        <v>528000348</v>
      </c>
      <c r="C609" s="27" t="inlineStr">
        <is>
          <t>Saepuloh Ardiansah</t>
        </is>
      </c>
      <c r="D609" s="171" t="n">
        <v>46194.41666666666</v>
      </c>
      <c r="E609" s="26" t="n">
        <v>0.7956944444444445</v>
      </c>
      <c r="F609" s="27" t="inlineStr">
        <is>
          <t>Shift 2</t>
        </is>
      </c>
      <c r="G609" s="27" t="n"/>
    </row>
    <row r="610">
      <c r="A610" s="27" t="inlineStr">
        <is>
          <t>AK0046</t>
        </is>
      </c>
      <c r="B610" s="27" t="n">
        <v>528000283</v>
      </c>
      <c r="C610" s="27" t="inlineStr">
        <is>
          <t>Purwanda Sugiri</t>
        </is>
      </c>
      <c r="D610" s="171" t="n">
        <v>46194.41666666666</v>
      </c>
      <c r="E610" s="26" t="n">
        <v>0.9132754629629629</v>
      </c>
      <c r="F610" s="27" t="inlineStr">
        <is>
          <t>Shift 2</t>
        </is>
      </c>
      <c r="G610" s="27" t="n"/>
    </row>
    <row r="611">
      <c r="A611" s="27" t="inlineStr">
        <is>
          <t>MK00138</t>
        </is>
      </c>
      <c r="B611" s="27" t="n">
        <v>528000099</v>
      </c>
      <c r="C611" s="27" t="inlineStr">
        <is>
          <t>Siti Nurawaliah</t>
        </is>
      </c>
      <c r="D611" s="171" t="n">
        <v>46194.41666666666</v>
      </c>
      <c r="E611" s="26" t="n">
        <v>0.9205671296296296</v>
      </c>
      <c r="F611" s="27" t="inlineStr">
        <is>
          <t>Shift 2</t>
        </is>
      </c>
      <c r="G611" s="27" t="n"/>
    </row>
    <row r="612">
      <c r="A612" s="27" t="inlineStr">
        <is>
          <t>MK0082</t>
        </is>
      </c>
      <c r="B612" s="27" t="n">
        <v>528000201</v>
      </c>
      <c r="C612" s="27" t="inlineStr">
        <is>
          <t>Zahwa Amelia Choerunissa</t>
        </is>
      </c>
      <c r="D612" s="171" t="n">
        <v>46194.41666666666</v>
      </c>
      <c r="E612" s="26" t="n">
        <v>0.9210416666666666</v>
      </c>
      <c r="F612" s="27" t="inlineStr">
        <is>
          <t>Shift 2</t>
        </is>
      </c>
      <c r="G612" s="27" t="n"/>
    </row>
    <row r="613">
      <c r="A613" s="27" t="inlineStr">
        <is>
          <t>MK00208</t>
        </is>
      </c>
      <c r="B613" s="27" t="n">
        <v>528000286</v>
      </c>
      <c r="C613" s="27" t="inlineStr">
        <is>
          <t>Imelda Amelia</t>
        </is>
      </c>
      <c r="D613" s="171" t="n">
        <v>46194.41666666666</v>
      </c>
      <c r="E613" s="26" t="n">
        <v>0.9215046296296296</v>
      </c>
      <c r="F613" s="27" t="inlineStr">
        <is>
          <t>Shift 2</t>
        </is>
      </c>
      <c r="G613" s="27" t="n"/>
    </row>
    <row r="614">
      <c r="A614" s="27" t="inlineStr">
        <is>
          <t>MK00126</t>
        </is>
      </c>
      <c r="B614" s="27" t="n">
        <v>528000244</v>
      </c>
      <c r="C614" s="27" t="inlineStr">
        <is>
          <t>Rodian Rifai</t>
        </is>
      </c>
      <c r="D614" s="171" t="n">
        <v>46194.41666666666</v>
      </c>
      <c r="E614" s="26" t="n">
        <v>0.9676736111111112</v>
      </c>
      <c r="F614" s="27" t="inlineStr">
        <is>
          <t>Shift 2</t>
        </is>
      </c>
      <c r="G614" s="27" t="n"/>
    </row>
    <row r="615">
      <c r="A615" s="27" t="inlineStr">
        <is>
          <t>MK00088</t>
        </is>
      </c>
      <c r="B615" s="27" t="n">
        <v>528000132</v>
      </c>
      <c r="C615" s="27" t="inlineStr">
        <is>
          <t>Giopani</t>
        </is>
      </c>
      <c r="D615" s="171" t="n">
        <v>46195.41666666666</v>
      </c>
      <c r="E615" s="26" t="n">
        <v>0.002997685185185185</v>
      </c>
      <c r="F615" s="27" t="inlineStr">
        <is>
          <t>Shift 3</t>
        </is>
      </c>
      <c r="G615" s="27" t="n"/>
    </row>
    <row r="616">
      <c r="A616" s="27" t="inlineStr">
        <is>
          <t>MK00089</t>
        </is>
      </c>
      <c r="B616" s="27" t="n">
        <v>528000144</v>
      </c>
      <c r="C616" s="27" t="inlineStr">
        <is>
          <t>Jodi Hanafi</t>
        </is>
      </c>
      <c r="D616" s="171" t="n">
        <v>46195.41666666666</v>
      </c>
      <c r="E616" s="26" t="n">
        <v>0.08982638888888889</v>
      </c>
      <c r="F616" s="27" t="inlineStr">
        <is>
          <t>Shift 3</t>
        </is>
      </c>
      <c r="G616" s="27" t="n"/>
    </row>
    <row r="617">
      <c r="A617" s="27" t="inlineStr">
        <is>
          <t>MK00155</t>
        </is>
      </c>
      <c r="B617" s="27" t="n">
        <v>528000015</v>
      </c>
      <c r="C617" s="27" t="inlineStr">
        <is>
          <t>Erwin</t>
        </is>
      </c>
      <c r="D617" s="171" t="n">
        <v>46195.41666666666</v>
      </c>
      <c r="E617" s="26" t="n">
        <v>0.2357175925925926</v>
      </c>
      <c r="F617" s="27" t="inlineStr">
        <is>
          <t>Shift 3</t>
        </is>
      </c>
      <c r="G617" s="27" t="n"/>
    </row>
    <row r="618">
      <c r="A618" s="27" t="inlineStr">
        <is>
          <t>MK000209</t>
        </is>
      </c>
      <c r="B618" s="27" t="n">
        <v>528000300</v>
      </c>
      <c r="C618" s="27" t="inlineStr">
        <is>
          <t>Lia pitaloka</t>
        </is>
      </c>
      <c r="D618" s="171" t="n">
        <v>46195.41666666666</v>
      </c>
      <c r="E618" s="26" t="n">
        <v>0.2473032407407408</v>
      </c>
      <c r="F618" s="27" t="inlineStr">
        <is>
          <t>Shift 3</t>
        </is>
      </c>
      <c r="G618" s="27" t="n"/>
    </row>
    <row r="619">
      <c r="A619" s="27" t="inlineStr">
        <is>
          <t>MK00008</t>
        </is>
      </c>
      <c r="B619" s="27" t="n">
        <v>528000291</v>
      </c>
      <c r="C619" s="27" t="inlineStr">
        <is>
          <t>Andrian</t>
        </is>
      </c>
      <c r="D619" s="171" t="n">
        <v>46195.41666666666</v>
      </c>
      <c r="E619" s="26" t="n">
        <v>0.2525115740740741</v>
      </c>
      <c r="F619" s="27" t="inlineStr">
        <is>
          <t>Shift 3</t>
        </is>
      </c>
      <c r="G619" s="27" t="n"/>
    </row>
    <row r="620">
      <c r="A620" s="27" t="inlineStr">
        <is>
          <t>MK00213</t>
        </is>
      </c>
      <c r="B620" s="27" t="n">
        <v>528000262</v>
      </c>
      <c r="C620" s="27" t="inlineStr">
        <is>
          <t>Ndari Dwiwanti</t>
        </is>
      </c>
      <c r="D620" s="171" t="n">
        <v>46195.41666666666</v>
      </c>
      <c r="E620" s="26" t="n">
        <v>0.2527893518518519</v>
      </c>
      <c r="F620" s="27" t="inlineStr">
        <is>
          <t>Shift 3</t>
        </is>
      </c>
      <c r="G620" s="27" t="n"/>
    </row>
    <row r="621">
      <c r="A621" s="27" t="inlineStr">
        <is>
          <t>MK00141</t>
        </is>
      </c>
      <c r="B621" s="27" t="n">
        <v>528000358</v>
      </c>
      <c r="C621" s="27" t="inlineStr">
        <is>
          <t>Lulu Agustin</t>
        </is>
      </c>
      <c r="D621" s="171" t="n">
        <v>46195.41666666666</v>
      </c>
      <c r="E621" s="26" t="n">
        <v>0.2530439814814815</v>
      </c>
      <c r="F621" s="27" t="inlineStr">
        <is>
          <t>Shift 3</t>
        </is>
      </c>
      <c r="G621" s="27" t="n"/>
    </row>
    <row r="622">
      <c r="A622" s="27" t="inlineStr">
        <is>
          <t>MK00203</t>
        </is>
      </c>
      <c r="B622" s="27" t="n">
        <v>528000261</v>
      </c>
      <c r="C622" s="27" t="inlineStr">
        <is>
          <t>Ergi Ergianto</t>
        </is>
      </c>
      <c r="D622" s="171" t="n">
        <v>46195.41666666666</v>
      </c>
      <c r="E622" s="26" t="n">
        <v>0.2531597222222222</v>
      </c>
      <c r="F622" s="27" t="inlineStr">
        <is>
          <t>Shift 3</t>
        </is>
      </c>
      <c r="G622" s="27" t="n"/>
    </row>
    <row r="623">
      <c r="A623" s="27" t="inlineStr">
        <is>
          <t>MK00192</t>
        </is>
      </c>
      <c r="B623" s="27" t="n">
        <v>528000306</v>
      </c>
      <c r="C623" s="27" t="inlineStr">
        <is>
          <t>Windy Olivia</t>
        </is>
      </c>
      <c r="D623" s="171" t="n">
        <v>46195.41666666666</v>
      </c>
      <c r="E623" s="26" t="n">
        <v>0.2532638888888889</v>
      </c>
      <c r="F623" s="27" t="inlineStr">
        <is>
          <t>Shift 3</t>
        </is>
      </c>
      <c r="G623" s="27" t="n"/>
    </row>
    <row r="624">
      <c r="A624" s="27" t="inlineStr">
        <is>
          <t>MK00186</t>
        </is>
      </c>
      <c r="B624" s="27" t="n">
        <v>528000195</v>
      </c>
      <c r="C624" s="27" t="inlineStr">
        <is>
          <t>Rahma Sariwati</t>
        </is>
      </c>
      <c r="D624" s="171" t="n">
        <v>46195.41666666666</v>
      </c>
      <c r="E624" s="26" t="n">
        <v>0.2538657407407408</v>
      </c>
      <c r="F624" s="27" t="inlineStr">
        <is>
          <t>Shift 3</t>
        </is>
      </c>
      <c r="G624" s="27" t="n"/>
    </row>
    <row r="625">
      <c r="A625" s="27" t="inlineStr">
        <is>
          <t>MK00156</t>
        </is>
      </c>
      <c r="B625" s="27" t="n">
        <v>528000266</v>
      </c>
      <c r="C625" s="27" t="inlineStr">
        <is>
          <t>M. Syirajatieq</t>
        </is>
      </c>
      <c r="D625" s="171" t="n">
        <v>46195.41666666666</v>
      </c>
      <c r="E625" s="26" t="n">
        <v>0.2683333333333333</v>
      </c>
      <c r="F625" s="27" t="inlineStr">
        <is>
          <t>Shift 3</t>
        </is>
      </c>
      <c r="G625" s="27" t="n"/>
    </row>
    <row r="626">
      <c r="A626" s="27" t="inlineStr">
        <is>
          <t>MA00109</t>
        </is>
      </c>
      <c r="B626" s="27" t="n">
        <v>528000265</v>
      </c>
      <c r="C626" s="27" t="inlineStr">
        <is>
          <t>Muhammad Haerul Rozikin</t>
        </is>
      </c>
      <c r="D626" s="171" t="n">
        <v>46195.41666666666</v>
      </c>
      <c r="E626" s="26" t="n">
        <v>0.3291087962962963</v>
      </c>
      <c r="F626" s="27" t="inlineStr">
        <is>
          <t>Shift 3</t>
        </is>
      </c>
      <c r="G626" s="27" t="n"/>
    </row>
    <row r="627">
      <c r="A627" s="27" t="inlineStr">
        <is>
          <t>MK00046</t>
        </is>
      </c>
      <c r="B627" s="27" t="n">
        <v>528000232</v>
      </c>
      <c r="C627" s="27" t="inlineStr">
        <is>
          <t>Agung Aji Suhada</t>
        </is>
      </c>
      <c r="D627" s="171" t="n">
        <v>46195.41666666666</v>
      </c>
      <c r="E627" s="26" t="n">
        <v>0.3722916666666667</v>
      </c>
      <c r="F627" s="27" t="inlineStr">
        <is>
          <t>Shift 1</t>
        </is>
      </c>
      <c r="G627" s="27" t="n"/>
    </row>
    <row r="628">
      <c r="A628" s="27" t="inlineStr">
        <is>
          <t>MK00055</t>
        </is>
      </c>
      <c r="B628" s="27" t="n">
        <v>528000212</v>
      </c>
      <c r="C628" s="27" t="inlineStr">
        <is>
          <t>Rizal Fauzi</t>
        </is>
      </c>
      <c r="D628" s="171" t="n">
        <v>46195.41666666666</v>
      </c>
      <c r="E628" s="26" t="n">
        <v>0.5586226851851852</v>
      </c>
      <c r="F628" s="27" t="inlineStr">
        <is>
          <t>Shift 1</t>
        </is>
      </c>
      <c r="G628" s="27" t="n"/>
    </row>
    <row r="629">
      <c r="A629" s="27" t="inlineStr">
        <is>
          <t>MK00250</t>
        </is>
      </c>
      <c r="B629" s="27" t="n">
        <v>628000091</v>
      </c>
      <c r="C629" s="27" t="inlineStr">
        <is>
          <t>Devita Handayani</t>
        </is>
      </c>
      <c r="D629" s="171" t="n">
        <v>46195.41666666666</v>
      </c>
      <c r="E629" s="26" t="n">
        <v>0.5722453703703704</v>
      </c>
      <c r="F629" s="27" t="inlineStr">
        <is>
          <t>Shift 1</t>
        </is>
      </c>
      <c r="G629" s="27" t="n"/>
    </row>
    <row r="630">
      <c r="A630" s="27" t="inlineStr">
        <is>
          <t>MK0025Q</t>
        </is>
      </c>
      <c r="B630" s="27" t="n">
        <v>528000290</v>
      </c>
      <c r="C630" s="27" t="inlineStr">
        <is>
          <t>Eval Pranata</t>
        </is>
      </c>
      <c r="D630" s="171" t="n">
        <v>46195.41666666666</v>
      </c>
      <c r="E630" s="26" t="n">
        <v>0.5791203703703703</v>
      </c>
      <c r="F630" s="27" t="inlineStr">
        <is>
          <t>Shift 1</t>
        </is>
      </c>
      <c r="G630" s="27" t="n"/>
    </row>
    <row r="631">
      <c r="A631" s="27" t="inlineStr">
        <is>
          <t>MK00228</t>
        </is>
      </c>
      <c r="B631" s="27" t="n">
        <v>528000279</v>
      </c>
      <c r="C631" s="27" t="inlineStr">
        <is>
          <t>Mahdalena Dalfa Riani</t>
        </is>
      </c>
      <c r="D631" s="171" t="n">
        <v>46195.41666666666</v>
      </c>
      <c r="E631" s="26" t="n">
        <v>0.5867245370370371</v>
      </c>
      <c r="F631" s="27" t="inlineStr">
        <is>
          <t>Shift 1</t>
        </is>
      </c>
      <c r="G631" s="27" t="n"/>
    </row>
    <row r="632">
      <c r="A632" s="27" t="inlineStr">
        <is>
          <t>MK00126</t>
        </is>
      </c>
      <c r="B632" s="27" t="n">
        <v>628000064</v>
      </c>
      <c r="C632" s="27" t="inlineStr">
        <is>
          <t>Silva Alypia</t>
        </is>
      </c>
      <c r="D632" s="171" t="n">
        <v>46195.41666666666</v>
      </c>
      <c r="E632" s="26" t="n">
        <v>0.5896412037037037</v>
      </c>
      <c r="F632" s="27" t="inlineStr">
        <is>
          <t>Shift 1</t>
        </is>
      </c>
      <c r="G632" s="27" t="n"/>
    </row>
    <row r="633">
      <c r="A633" s="27" t="inlineStr">
        <is>
          <t>MK00085</t>
        </is>
      </c>
      <c r="B633" s="27" t="n">
        <v>528000300</v>
      </c>
      <c r="C633" s="27" t="inlineStr">
        <is>
          <t>Lia pitaloka</t>
        </is>
      </c>
      <c r="D633" s="171" t="n">
        <v>46195.41666666666</v>
      </c>
      <c r="E633" s="26" t="n">
        <v>0.5908333333333333</v>
      </c>
      <c r="F633" s="27" t="inlineStr">
        <is>
          <t>Shift 1</t>
        </is>
      </c>
      <c r="G633" s="27" t="n"/>
    </row>
    <row r="634">
      <c r="A634" s="27" t="inlineStr">
        <is>
          <t>MK00109</t>
        </is>
      </c>
      <c r="B634" s="27" t="n">
        <v>528000297</v>
      </c>
      <c r="C634" s="27" t="inlineStr">
        <is>
          <t>Muhamad Budiana</t>
        </is>
      </c>
      <c r="D634" s="171" t="n">
        <v>46195.41666666666</v>
      </c>
      <c r="E634" s="26" t="n">
        <v>0.6463657407407407</v>
      </c>
      <c r="F634" s="27" t="inlineStr">
        <is>
          <t>Shift 1</t>
        </is>
      </c>
      <c r="G634" s="27" t="n"/>
    </row>
    <row r="635">
      <c r="A635" s="27" t="inlineStr">
        <is>
          <t>MK00046</t>
        </is>
      </c>
      <c r="B635" s="27" t="n">
        <v>528000351</v>
      </c>
      <c r="C635" s="27" t="inlineStr">
        <is>
          <t>Mulyana</t>
        </is>
      </c>
      <c r="D635" s="171" t="n">
        <v>46195.41666666666</v>
      </c>
      <c r="E635" s="26" t="n">
        <v>0.6668518518518518</v>
      </c>
      <c r="F635" s="27" t="inlineStr">
        <is>
          <t>Shift 2</t>
        </is>
      </c>
      <c r="G635" s="27" t="n"/>
    </row>
    <row r="636">
      <c r="A636" s="27" t="inlineStr">
        <is>
          <t>MK0008</t>
        </is>
      </c>
      <c r="B636" s="27" t="n">
        <v>528000055</v>
      </c>
      <c r="C636" s="27" t="inlineStr">
        <is>
          <t>Dika Prasetya</t>
        </is>
      </c>
      <c r="D636" s="171" t="n">
        <v>46195.41666666666</v>
      </c>
      <c r="E636" s="26" t="n">
        <v>0.6671064814814814</v>
      </c>
      <c r="F636" s="27" t="inlineStr">
        <is>
          <t>Shift 2</t>
        </is>
      </c>
      <c r="G636" s="27" t="n"/>
    </row>
    <row r="637">
      <c r="A637" s="27" t="inlineStr">
        <is>
          <t>MK00203</t>
        </is>
      </c>
      <c r="B637" s="27" t="n">
        <v>528000282</v>
      </c>
      <c r="C637" s="27" t="inlineStr">
        <is>
          <t>Defa Desfiana</t>
        </is>
      </c>
      <c r="D637" s="171" t="n">
        <v>46195.41666666666</v>
      </c>
      <c r="E637" s="26" t="n">
        <v>0.6676157407407407</v>
      </c>
      <c r="F637" s="27" t="inlineStr">
        <is>
          <t>Shift 2</t>
        </is>
      </c>
      <c r="G637" s="27" t="inlineStr">
        <is>
          <t>23b</t>
        </is>
      </c>
    </row>
    <row r="638">
      <c r="A638" s="27" t="inlineStr">
        <is>
          <t>MK00145</t>
        </is>
      </c>
      <c r="B638" s="27" t="n">
        <v>528000273</v>
      </c>
      <c r="C638" s="27" t="inlineStr">
        <is>
          <t>Asep Mulyana</t>
        </is>
      </c>
      <c r="D638" s="171" t="n">
        <v>46195.41666666666</v>
      </c>
      <c r="E638" s="26" t="n">
        <v>0.6676736111111111</v>
      </c>
      <c r="F638" s="27" t="inlineStr">
        <is>
          <t>Shift 2</t>
        </is>
      </c>
      <c r="G638" s="27" t="n"/>
    </row>
    <row r="639">
      <c r="A639" s="27" t="inlineStr">
        <is>
          <t>MK00156</t>
        </is>
      </c>
      <c r="B639" s="27" t="n">
        <v>528000265</v>
      </c>
      <c r="C639" s="27" t="inlineStr">
        <is>
          <t>Muhammad Haerul Rozikin</t>
        </is>
      </c>
      <c r="D639" s="171" t="n">
        <v>46195.41666666666</v>
      </c>
      <c r="E639" s="26" t="n">
        <v>0.6698495370370371</v>
      </c>
      <c r="F639" s="27" t="inlineStr">
        <is>
          <t>Shift 2</t>
        </is>
      </c>
      <c r="G639" s="27" t="n"/>
    </row>
    <row r="640">
      <c r="A640" s="27" t="inlineStr">
        <is>
          <t>MK00199</t>
        </is>
      </c>
      <c r="B640" s="27" t="n">
        <v>528000287</v>
      </c>
      <c r="C640" s="27" t="inlineStr">
        <is>
          <t>Muhamad Angga Ramdani</t>
        </is>
      </c>
      <c r="D640" s="171" t="n">
        <v>46195.41666666666</v>
      </c>
      <c r="E640" s="26" t="n">
        <v>0.6714236111111112</v>
      </c>
      <c r="F640" s="27" t="inlineStr">
        <is>
          <t>Shift 2</t>
        </is>
      </c>
      <c r="G640" s="27" t="n"/>
    </row>
    <row r="641">
      <c r="A641" s="27" t="inlineStr">
        <is>
          <t>MK00151</t>
        </is>
      </c>
      <c r="B641" s="27" t="n">
        <v>528000349</v>
      </c>
      <c r="C641" s="27" t="inlineStr">
        <is>
          <t>Anas Abdul Fatah</t>
        </is>
      </c>
      <c r="D641" s="171" t="n">
        <v>46195.41666666666</v>
      </c>
      <c r="E641" s="26" t="n">
        <v>0.6775347222222222</v>
      </c>
      <c r="F641" s="27" t="inlineStr">
        <is>
          <t>Shift 2</t>
        </is>
      </c>
      <c r="G641" s="27" t="n"/>
    </row>
    <row r="642">
      <c r="A642" s="27" t="inlineStr">
        <is>
          <t>MK00046</t>
        </is>
      </c>
      <c r="B642" s="27" t="n">
        <v>528000232</v>
      </c>
      <c r="C642" s="27" t="inlineStr">
        <is>
          <t>Agung Aji Suhada</t>
        </is>
      </c>
      <c r="D642" s="171" t="n">
        <v>46195.41666666666</v>
      </c>
      <c r="E642" s="26" t="n">
        <v>0.7105324074074074</v>
      </c>
      <c r="F642" s="27" t="inlineStr">
        <is>
          <t>Shift 2</t>
        </is>
      </c>
      <c r="G642" s="27" t="n"/>
    </row>
    <row r="643">
      <c r="A643" s="27" t="inlineStr">
        <is>
          <t>MK00185</t>
        </is>
      </c>
      <c r="B643" s="27" t="n">
        <v>528000203</v>
      </c>
      <c r="C643" s="27" t="inlineStr">
        <is>
          <t>Yudha Ramdhan Putra</t>
        </is>
      </c>
      <c r="D643" s="171" t="n">
        <v>46195.41666666666</v>
      </c>
      <c r="E643" s="26" t="n">
        <v>0.7150347222222222</v>
      </c>
      <c r="F643" s="27" t="inlineStr">
        <is>
          <t>Shift 2</t>
        </is>
      </c>
      <c r="G643" s="27" t="n"/>
    </row>
    <row r="644">
      <c r="A644" s="27" t="inlineStr">
        <is>
          <t>MK00212</t>
        </is>
      </c>
      <c r="B644" s="27" t="n">
        <v>528000149</v>
      </c>
      <c r="C644" s="27" t="inlineStr">
        <is>
          <t>Tio Fernanda</t>
        </is>
      </c>
      <c r="D644" s="171" t="n">
        <v>46195.41666666666</v>
      </c>
      <c r="E644" s="26" t="n">
        <v>0.7151967592592593</v>
      </c>
      <c r="F644" s="27" t="inlineStr">
        <is>
          <t>Shift 2</t>
        </is>
      </c>
      <c r="G644" s="27" t="n"/>
    </row>
    <row r="645">
      <c r="A645" s="27" t="inlineStr">
        <is>
          <t>MK00205</t>
        </is>
      </c>
      <c r="B645" s="27" t="n">
        <v>528000348</v>
      </c>
      <c r="C645" s="27" t="inlineStr">
        <is>
          <t>Saepuloh Ardiansah</t>
        </is>
      </c>
      <c r="D645" s="171" t="n">
        <v>46195.41666666666</v>
      </c>
      <c r="E645" s="26" t="n">
        <v>0.7187268518518518</v>
      </c>
      <c r="F645" s="27" t="inlineStr">
        <is>
          <t>Shift 2</t>
        </is>
      </c>
      <c r="G645" s="27" t="n"/>
    </row>
    <row r="646">
      <c r="A646" s="27" t="inlineStr">
        <is>
          <t>MK00138</t>
        </is>
      </c>
      <c r="B646" s="27" t="n">
        <v>528000228</v>
      </c>
      <c r="C646" s="27" t="inlineStr">
        <is>
          <t>Banyu Resmi Putri</t>
        </is>
      </c>
      <c r="D646" s="171" t="n">
        <v>46195.41666666666</v>
      </c>
      <c r="E646" s="26" t="n">
        <v>0.9187847222222222</v>
      </c>
      <c r="F646" s="27" t="inlineStr">
        <is>
          <t>Shift 2</t>
        </is>
      </c>
      <c r="G646" s="27" t="n"/>
    </row>
    <row r="647">
      <c r="A647" s="27" t="inlineStr">
        <is>
          <t>MK00158</t>
        </is>
      </c>
      <c r="B647" s="27" t="n">
        <v>528000099</v>
      </c>
      <c r="C647" s="27" t="inlineStr">
        <is>
          <t>Siti Nurawaliah</t>
        </is>
      </c>
      <c r="D647" s="171" t="n">
        <v>46195.41666666666</v>
      </c>
      <c r="E647" s="26" t="n">
        <v>0.9194097222222222</v>
      </c>
      <c r="F647" s="27" t="inlineStr">
        <is>
          <t>Shift 2</t>
        </is>
      </c>
      <c r="G647" s="27" t="n"/>
    </row>
    <row r="648">
      <c r="A648" s="27" t="inlineStr">
        <is>
          <t>MK00116</t>
        </is>
      </c>
      <c r="B648" s="27" t="n">
        <v>528000201</v>
      </c>
      <c r="C648" s="27" t="inlineStr">
        <is>
          <t>Zahwa Amelia Choerunissa</t>
        </is>
      </c>
      <c r="D648" s="171" t="n">
        <v>46195.41666666666</v>
      </c>
      <c r="E648" s="26" t="n">
        <v>0.9197916666666667</v>
      </c>
      <c r="F648" s="27" t="inlineStr">
        <is>
          <t>Shift 2</t>
        </is>
      </c>
      <c r="G648" s="27" t="n"/>
    </row>
    <row r="649">
      <c r="A649" s="27" t="inlineStr">
        <is>
          <t>MK00250</t>
        </is>
      </c>
      <c r="B649" s="27" t="n">
        <v>528000241</v>
      </c>
      <c r="C649" s="27" t="inlineStr">
        <is>
          <t>Balia Nurafif Bilah</t>
        </is>
      </c>
      <c r="D649" s="171" t="n">
        <v>46195.41666666666</v>
      </c>
      <c r="E649" s="26" t="n">
        <v>0.9198379629629629</v>
      </c>
      <c r="F649" s="27" t="inlineStr">
        <is>
          <t>Shift 2</t>
        </is>
      </c>
      <c r="G649" s="27" t="n"/>
    </row>
    <row r="650">
      <c r="A650" s="27" t="inlineStr">
        <is>
          <t>MK00221</t>
        </is>
      </c>
      <c r="B650" s="27" t="n">
        <v>528000286</v>
      </c>
      <c r="C650" s="27" t="inlineStr">
        <is>
          <t>Imelda Amelia</t>
        </is>
      </c>
      <c r="D650" s="171" t="n">
        <v>46195.41666666666</v>
      </c>
      <c r="E650" s="26" t="n">
        <v>0.9204745370370371</v>
      </c>
      <c r="F650" s="27" t="inlineStr">
        <is>
          <t>Shift 2</t>
        </is>
      </c>
      <c r="G650" s="27" t="n"/>
    </row>
    <row r="651">
      <c r="A651" s="27" t="inlineStr">
        <is>
          <t>MK00235</t>
        </is>
      </c>
      <c r="B651" s="27" t="n">
        <v>528000290</v>
      </c>
      <c r="C651" s="27" t="inlineStr">
        <is>
          <t>Eval Pranata</t>
        </is>
      </c>
      <c r="D651" s="171" t="n">
        <v>46195.41666666666</v>
      </c>
      <c r="E651" s="26" t="n">
        <v>0.9206134259259259</v>
      </c>
      <c r="F651" s="27" t="inlineStr">
        <is>
          <t>Shift 2</t>
        </is>
      </c>
      <c r="G651" s="27" t="n"/>
    </row>
    <row r="652">
      <c r="A652" s="27" t="inlineStr">
        <is>
          <t>MK00136</t>
        </is>
      </c>
      <c r="B652" s="27" t="n">
        <v>528000244</v>
      </c>
      <c r="C652" s="27" t="inlineStr">
        <is>
          <t>Rodian Rifai</t>
        </is>
      </c>
      <c r="D652" s="171" t="n">
        <v>46195.41666666666</v>
      </c>
      <c r="E652" s="26" t="n">
        <v>0.9638194444444445</v>
      </c>
      <c r="F652" s="27" t="inlineStr">
        <is>
          <t>Shift 2</t>
        </is>
      </c>
      <c r="G652" s="27" t="n"/>
    </row>
    <row r="653">
      <c r="A653" s="27" t="inlineStr">
        <is>
          <t>MK00228</t>
        </is>
      </c>
      <c r="B653" s="27" t="n">
        <v>528000132</v>
      </c>
      <c r="C653" s="27" t="inlineStr">
        <is>
          <t>Giopani</t>
        </is>
      </c>
      <c r="D653" s="171" t="n">
        <v>46196.41666666666</v>
      </c>
      <c r="E653" s="26" t="n">
        <v>0.001006944444444444</v>
      </c>
      <c r="F653" s="27" t="inlineStr">
        <is>
          <t>Shift 3</t>
        </is>
      </c>
      <c r="G653" s="27" t="n"/>
    </row>
    <row r="654">
      <c r="A654" s="27" t="inlineStr">
        <is>
          <t>MK00093</t>
        </is>
      </c>
      <c r="B654" s="27" t="n">
        <v>528000144</v>
      </c>
      <c r="C654" s="27" t="inlineStr">
        <is>
          <t>Jodi Hanafi</t>
        </is>
      </c>
      <c r="D654" s="171" t="n">
        <v>46196.41666666666</v>
      </c>
      <c r="E654" s="26" t="n">
        <v>0.002777777777777778</v>
      </c>
      <c r="F654" s="27" t="inlineStr">
        <is>
          <t>Shift 3</t>
        </is>
      </c>
      <c r="G654" s="27" t="n"/>
    </row>
    <row r="655">
      <c r="A655" s="27" t="inlineStr">
        <is>
          <t>MK00055</t>
        </is>
      </c>
      <c r="B655" s="27" t="n">
        <v>528000212</v>
      </c>
      <c r="C655" s="27" t="inlineStr">
        <is>
          <t>Rizal Fauzi</t>
        </is>
      </c>
      <c r="D655" s="171" t="n">
        <v>46196.41666666666</v>
      </c>
      <c r="E655" s="26" t="n">
        <v>0.01643518518518518</v>
      </c>
      <c r="F655" s="27" t="inlineStr">
        <is>
          <t>Shift 3</t>
        </is>
      </c>
      <c r="G655" s="27" t="n"/>
    </row>
    <row r="656">
      <c r="A656" s="27" t="inlineStr">
        <is>
          <t>MK00215</t>
        </is>
      </c>
      <c r="B656" s="27" t="n">
        <v>528000015</v>
      </c>
      <c r="C656" s="27" t="inlineStr">
        <is>
          <t>Erwin</t>
        </is>
      </c>
      <c r="D656" s="171" t="n">
        <v>46196.41666666666</v>
      </c>
      <c r="E656" s="26" t="n">
        <v>0.08446759259259259</v>
      </c>
      <c r="F656" s="27" t="inlineStr">
        <is>
          <t>Shift 3</t>
        </is>
      </c>
      <c r="G656" s="27" t="n"/>
    </row>
    <row r="657">
      <c r="A657" s="27" t="inlineStr">
        <is>
          <t>MK00202</t>
        </is>
      </c>
      <c r="B657" s="27" t="n">
        <v>528000305</v>
      </c>
      <c r="C657" s="27" t="inlineStr">
        <is>
          <t>Puji Puspita</t>
        </is>
      </c>
      <c r="D657" s="171" t="n">
        <v>46196.41666666666</v>
      </c>
      <c r="E657" s="26" t="n">
        <v>0.2465856481481482</v>
      </c>
      <c r="F657" s="27" t="inlineStr">
        <is>
          <t>Shift 3</t>
        </is>
      </c>
      <c r="G657" s="27" t="n"/>
    </row>
    <row r="658">
      <c r="A658" s="27" t="inlineStr">
        <is>
          <t>MK00126</t>
        </is>
      </c>
      <c r="B658" s="27" t="n">
        <v>528000291</v>
      </c>
      <c r="C658" s="27" t="inlineStr">
        <is>
          <t>Andrian</t>
        </is>
      </c>
      <c r="D658" s="171" t="n">
        <v>46196.41666666666</v>
      </c>
      <c r="E658" s="26" t="n">
        <v>0.2534490740740741</v>
      </c>
      <c r="F658" s="27" t="inlineStr">
        <is>
          <t>Shift 3</t>
        </is>
      </c>
      <c r="G658" s="27" t="n"/>
    </row>
    <row r="659">
      <c r="A659" s="27" t="inlineStr">
        <is>
          <t>MK00150</t>
        </is>
      </c>
      <c r="B659" s="27" t="n">
        <v>528000195</v>
      </c>
      <c r="C659" s="27" t="inlineStr">
        <is>
          <t>Rahma Sariwati</t>
        </is>
      </c>
      <c r="D659" s="171" t="n">
        <v>46196.41666666666</v>
      </c>
      <c r="E659" s="26" t="n">
        <v>0.2538425925925926</v>
      </c>
      <c r="F659" s="27" t="inlineStr">
        <is>
          <t>Shift 3</t>
        </is>
      </c>
      <c r="G659" s="27" t="n"/>
    </row>
    <row r="660">
      <c r="A660" s="27" t="inlineStr">
        <is>
          <t>MK00230</t>
        </is>
      </c>
      <c r="B660" s="27" t="n">
        <v>528000262</v>
      </c>
      <c r="C660" s="27" t="inlineStr">
        <is>
          <t>Ndari Dwiwanti</t>
        </is>
      </c>
      <c r="D660" s="171" t="n">
        <v>46196.41666666666</v>
      </c>
      <c r="E660" s="26" t="n">
        <v>0.2539930555555556</v>
      </c>
      <c r="F660" s="27" t="inlineStr">
        <is>
          <t>Shift 3</t>
        </is>
      </c>
      <c r="G660" s="27" t="n"/>
    </row>
    <row r="661">
      <c r="A661" s="27" t="inlineStr">
        <is>
          <t>MK00192</t>
        </is>
      </c>
      <c r="B661" s="27" t="n">
        <v>528000261</v>
      </c>
      <c r="C661" s="27" t="inlineStr">
        <is>
          <t>Ergi Ergianto</t>
        </is>
      </c>
      <c r="D661" s="171" t="n">
        <v>46196.41666666666</v>
      </c>
      <c r="E661" s="26" t="n">
        <v>0.2540972222222222</v>
      </c>
      <c r="F661" s="27" t="inlineStr">
        <is>
          <t>Shift 3</t>
        </is>
      </c>
      <c r="G661" s="27" t="n"/>
    </row>
    <row r="662">
      <c r="A662" s="27" t="inlineStr">
        <is>
          <t>MK00082</t>
        </is>
      </c>
      <c r="B662" s="27" t="n">
        <v>528000358</v>
      </c>
      <c r="C662" s="27" t="inlineStr">
        <is>
          <t>Lulu Agustin</t>
        </is>
      </c>
      <c r="D662" s="171" t="n">
        <v>46196.41666666666</v>
      </c>
      <c r="E662" s="26" t="n">
        <v>0.2541319444444444</v>
      </c>
      <c r="F662" s="27" t="inlineStr">
        <is>
          <t>Shift 3</t>
        </is>
      </c>
      <c r="G662" s="27" t="n"/>
    </row>
    <row r="663">
      <c r="A663" s="27" t="inlineStr">
        <is>
          <t>MK00208</t>
        </is>
      </c>
      <c r="B663" s="27" t="n">
        <v>528000266</v>
      </c>
      <c r="C663" s="27" t="inlineStr">
        <is>
          <t>M. Syirajatieq</t>
        </is>
      </c>
      <c r="D663" s="171" t="n">
        <v>46196.41666666666</v>
      </c>
      <c r="E663" s="26" t="n">
        <v>0.287662037037037</v>
      </c>
      <c r="F663" s="27" t="inlineStr">
        <is>
          <t>Shift 3</t>
        </is>
      </c>
      <c r="G663" s="27" t="n"/>
    </row>
    <row r="664">
      <c r="A664" s="27" t="inlineStr">
        <is>
          <t>MK00091</t>
        </is>
      </c>
      <c r="B664" s="27" t="n">
        <v>528000274</v>
      </c>
      <c r="C664" s="27" t="inlineStr">
        <is>
          <t>Zepri</t>
        </is>
      </c>
      <c r="D664" s="171" t="n">
        <v>46196.41666666666</v>
      </c>
      <c r="E664" s="26" t="n">
        <v>0.5816898148148149</v>
      </c>
      <c r="F664" s="27" t="inlineStr">
        <is>
          <t>Shift 1</t>
        </is>
      </c>
      <c r="G664" s="27" t="n"/>
    </row>
    <row r="665">
      <c r="A665" s="27" t="inlineStr">
        <is>
          <t>MK00202</t>
        </is>
      </c>
      <c r="B665" s="27" t="n">
        <v>528000279</v>
      </c>
      <c r="C665" s="27" t="inlineStr">
        <is>
          <t>Mahdalena Dalfa Riani</t>
        </is>
      </c>
      <c r="D665" s="171" t="n">
        <v>46196.41666666666</v>
      </c>
      <c r="E665" s="26" t="n">
        <v>0.5864930555555555</v>
      </c>
      <c r="F665" s="27" t="inlineStr">
        <is>
          <t>Shift 1</t>
        </is>
      </c>
      <c r="G665" s="27" t="n"/>
    </row>
    <row r="666">
      <c r="A666" s="27" t="inlineStr">
        <is>
          <t>MK00085</t>
        </is>
      </c>
      <c r="B666" s="27" t="n">
        <v>628000064</v>
      </c>
      <c r="C666" s="27" t="inlineStr">
        <is>
          <t>Silva Alypia</t>
        </is>
      </c>
      <c r="D666" s="171" t="n">
        <v>46196.41666666666</v>
      </c>
      <c r="E666" s="26" t="n">
        <v>0.5890162037037037</v>
      </c>
      <c r="F666" s="27" t="inlineStr">
        <is>
          <t>Shift 1</t>
        </is>
      </c>
      <c r="G666" s="27" t="n"/>
    </row>
    <row r="667">
      <c r="A667" s="27" t="inlineStr">
        <is>
          <t>MK00088</t>
        </is>
      </c>
      <c r="B667" s="27" t="n">
        <v>528000297</v>
      </c>
      <c r="C667" s="27" t="inlineStr">
        <is>
          <t>Muhamad Budiana</t>
        </is>
      </c>
      <c r="D667" s="171" t="n">
        <v>46196.41666666666</v>
      </c>
      <c r="E667" s="26" t="n">
        <v>0.6168865740740741</v>
      </c>
      <c r="F667" s="27" t="inlineStr">
        <is>
          <t>Shift 1</t>
        </is>
      </c>
      <c r="G667" s="27" t="n"/>
    </row>
    <row r="668">
      <c r="A668" s="27" t="inlineStr">
        <is>
          <t>MK00207</t>
        </is>
      </c>
      <c r="B668" s="27" t="n">
        <v>528000292</v>
      </c>
      <c r="C668" s="27" t="inlineStr">
        <is>
          <t>Aditia Nugraha</t>
        </is>
      </c>
      <c r="D668" s="171" t="n">
        <v>46196.41666666666</v>
      </c>
      <c r="E668" s="26" t="n">
        <v>0.6350347222222222</v>
      </c>
      <c r="F668" s="27" t="inlineStr">
        <is>
          <t>Shift 1</t>
        </is>
      </c>
      <c r="G668" s="27" t="n"/>
    </row>
    <row r="669">
      <c r="A669" s="27" t="inlineStr">
        <is>
          <t>MK00250</t>
        </is>
      </c>
      <c r="B669" s="27" t="n">
        <v>528000055</v>
      </c>
      <c r="C669" s="27" t="inlineStr">
        <is>
          <t>Dika Prasetya</t>
        </is>
      </c>
      <c r="D669" s="171" t="n">
        <v>46196.41666666666</v>
      </c>
      <c r="E669" s="26" t="n">
        <v>0.6672569444444445</v>
      </c>
      <c r="F669" s="27" t="inlineStr">
        <is>
          <t>Shift 2</t>
        </is>
      </c>
      <c r="G669" s="27" t="n"/>
    </row>
    <row r="670">
      <c r="A670" s="27" t="inlineStr">
        <is>
          <t>MK00208</t>
        </is>
      </c>
      <c r="B670" s="27" t="n">
        <v>528000282</v>
      </c>
      <c r="C670" s="27" t="inlineStr">
        <is>
          <t>Defa Desfiana</t>
        </is>
      </c>
      <c r="D670" s="171" t="n">
        <v>46196.41666666666</v>
      </c>
      <c r="E670" s="26" t="n">
        <v>0.6678009259259259</v>
      </c>
      <c r="F670" s="27" t="inlineStr">
        <is>
          <t>Shift 2</t>
        </is>
      </c>
      <c r="G670" s="27" t="inlineStr">
        <is>
          <t>23b</t>
        </is>
      </c>
    </row>
    <row r="671">
      <c r="A671" s="27" t="inlineStr">
        <is>
          <t>MK00235</t>
        </is>
      </c>
      <c r="B671" s="27" t="n">
        <v>528000273</v>
      </c>
      <c r="C671" s="27" t="inlineStr">
        <is>
          <t>Asep Mulyana</t>
        </is>
      </c>
      <c r="D671" s="171" t="n">
        <v>46196.41666666666</v>
      </c>
      <c r="E671" s="26" t="n">
        <v>0.6678819444444445</v>
      </c>
      <c r="F671" s="27" t="inlineStr">
        <is>
          <t>Shift 2</t>
        </is>
      </c>
      <c r="G671" s="27" t="n"/>
    </row>
    <row r="672">
      <c r="A672" s="27" t="inlineStr">
        <is>
          <t>MK00185</t>
        </is>
      </c>
      <c r="B672" s="27" t="n">
        <v>528000265</v>
      </c>
      <c r="C672" s="27" t="inlineStr">
        <is>
          <t>Muhammad Haerul Rozikin</t>
        </is>
      </c>
      <c r="D672" s="171" t="n">
        <v>46196.41666666666</v>
      </c>
      <c r="E672" s="26" t="n">
        <v>0.6680324074074074</v>
      </c>
      <c r="F672" s="27" t="inlineStr">
        <is>
          <t>Shift 2</t>
        </is>
      </c>
      <c r="G672" s="27" t="n"/>
    </row>
    <row r="673">
      <c r="A673" s="27" t="inlineStr">
        <is>
          <t>MK00221</t>
        </is>
      </c>
      <c r="B673" s="27" t="n">
        <v>528000351</v>
      </c>
      <c r="C673" s="27" t="inlineStr">
        <is>
          <t>Mulyana</t>
        </is>
      </c>
      <c r="D673" s="171" t="n">
        <v>46196.41666666666</v>
      </c>
      <c r="E673" s="26" t="n">
        <v>0.6686921296296297</v>
      </c>
      <c r="F673" s="27" t="inlineStr">
        <is>
          <t>Shift 2</t>
        </is>
      </c>
      <c r="G673" s="27" t="n"/>
    </row>
    <row r="674">
      <c r="A674" s="27" t="inlineStr">
        <is>
          <t>MK00082</t>
        </is>
      </c>
      <c r="B674" s="27" t="n">
        <v>528000287</v>
      </c>
      <c r="C674" s="27" t="inlineStr">
        <is>
          <t>Muhamad Angga Ramdani</t>
        </is>
      </c>
      <c r="D674" s="171" t="n">
        <v>46196.41666666666</v>
      </c>
      <c r="E674" s="26" t="n">
        <v>0.671412037037037</v>
      </c>
      <c r="F674" s="27" t="inlineStr">
        <is>
          <t>Shift 2</t>
        </is>
      </c>
      <c r="G674" s="27" t="n"/>
    </row>
    <row r="675">
      <c r="A675" s="27" t="inlineStr">
        <is>
          <t>MK00230</t>
        </is>
      </c>
      <c r="B675" s="27" t="n">
        <v>528000069</v>
      </c>
      <c r="C675" s="27" t="inlineStr">
        <is>
          <t>Jajang Ardiansyah</t>
        </is>
      </c>
      <c r="D675" s="171" t="n">
        <v>46196.41666666666</v>
      </c>
      <c r="E675" s="26" t="n">
        <v>0.6879166666666666</v>
      </c>
      <c r="F675" s="27" t="inlineStr">
        <is>
          <t>Shift 2</t>
        </is>
      </c>
      <c r="G675" s="27" t="n"/>
    </row>
    <row r="676">
      <c r="A676" s="27" t="inlineStr">
        <is>
          <t>MK00090</t>
        </is>
      </c>
      <c r="B676" s="27" t="n">
        <v>528000203</v>
      </c>
      <c r="C676" s="27" t="inlineStr">
        <is>
          <t>Yudha Ramdhan Putra</t>
        </is>
      </c>
      <c r="D676" s="171" t="n">
        <v>46196.41666666666</v>
      </c>
      <c r="E676" s="26" t="n">
        <v>0.7094675925925926</v>
      </c>
      <c r="F676" s="27" t="inlineStr">
        <is>
          <t>Shift 2</t>
        </is>
      </c>
      <c r="G676" s="27" t="n"/>
    </row>
    <row r="677">
      <c r="A677" s="27" t="inlineStr">
        <is>
          <t>MK00204</t>
        </is>
      </c>
      <c r="B677" s="27" t="n">
        <v>528000298</v>
      </c>
      <c r="C677" s="27" t="inlineStr">
        <is>
          <t>Desta Cahaya Pratama</t>
        </is>
      </c>
      <c r="D677" s="171" t="n">
        <v>46196.41666666666</v>
      </c>
      <c r="E677" s="26" t="n">
        <v>0.7106134259259259</v>
      </c>
      <c r="F677" s="27" t="inlineStr">
        <is>
          <t>Shift 2</t>
        </is>
      </c>
      <c r="G677" s="27" t="n"/>
    </row>
    <row r="678">
      <c r="A678" s="27" t="inlineStr">
        <is>
          <t>MK00046</t>
        </is>
      </c>
      <c r="B678" s="27" t="n">
        <v>528000232</v>
      </c>
      <c r="C678" s="27" t="inlineStr">
        <is>
          <t>Agung Aji Suhada</t>
        </is>
      </c>
      <c r="D678" s="171" t="n">
        <v>46196.41666666666</v>
      </c>
      <c r="E678" s="26" t="n">
        <v>0.7135532407407408</v>
      </c>
      <c r="F678" s="27" t="inlineStr">
        <is>
          <t>Shift 2</t>
        </is>
      </c>
      <c r="G678" s="27" t="n"/>
    </row>
    <row r="679">
      <c r="A679" s="27" t="inlineStr">
        <is>
          <t>MK00212</t>
        </is>
      </c>
      <c r="B679" s="27" t="n">
        <v>528000149</v>
      </c>
      <c r="C679" s="27" t="inlineStr">
        <is>
          <t>Tio Fernanda</t>
        </is>
      </c>
      <c r="D679" s="171" t="n">
        <v>46196.41666666666</v>
      </c>
      <c r="E679" s="26" t="n">
        <v>0.7275115740740741</v>
      </c>
      <c r="F679" s="27" t="inlineStr">
        <is>
          <t>Shift 2</t>
        </is>
      </c>
      <c r="G679" s="27" t="n"/>
    </row>
    <row r="680">
      <c r="A680" s="27" t="inlineStr">
        <is>
          <t>MK00148</t>
        </is>
      </c>
      <c r="B680" s="27" t="n">
        <v>528000040</v>
      </c>
      <c r="C680" s="27" t="inlineStr">
        <is>
          <t>Agus Suryaman</t>
        </is>
      </c>
      <c r="D680" s="171" t="n">
        <v>46196.41666666666</v>
      </c>
      <c r="E680" s="26" t="n">
        <v>0.9042708333333334</v>
      </c>
      <c r="F680" s="27" t="inlineStr">
        <is>
          <t>Shift 2</t>
        </is>
      </c>
      <c r="G680" s="27" t="n"/>
    </row>
    <row r="681">
      <c r="A681" s="27" t="inlineStr">
        <is>
          <t>MK00150</t>
        </is>
      </c>
      <c r="B681" s="27" t="n">
        <v>528000241</v>
      </c>
      <c r="C681" s="27" t="inlineStr">
        <is>
          <t>Balia Nurafif Bilah</t>
        </is>
      </c>
      <c r="D681" s="171" t="n">
        <v>46196.41666666666</v>
      </c>
      <c r="E681" s="26" t="n">
        <v>0.9182175925925926</v>
      </c>
      <c r="F681" s="27" t="inlineStr">
        <is>
          <t>Shift 2</t>
        </is>
      </c>
      <c r="G681" s="27" t="n"/>
    </row>
    <row r="682">
      <c r="A682" s="27" t="inlineStr">
        <is>
          <t>MK00095</t>
        </is>
      </c>
      <c r="B682" s="27" t="n">
        <v>528000228</v>
      </c>
      <c r="C682" s="27" t="inlineStr">
        <is>
          <t>Banyu Resmi Putri</t>
        </is>
      </c>
      <c r="D682" s="171" t="n">
        <v>46196.41666666666</v>
      </c>
      <c r="E682" s="26" t="n">
        <v>0.9191898148148148</v>
      </c>
      <c r="F682" s="27" t="inlineStr">
        <is>
          <t>Shift 2</t>
        </is>
      </c>
      <c r="G682" s="27" t="n"/>
    </row>
    <row r="683">
      <c r="A683" s="27" t="inlineStr">
        <is>
          <t>MK00209</t>
        </is>
      </c>
      <c r="B683" s="27" t="n">
        <v>528000274</v>
      </c>
      <c r="C683" s="27" t="inlineStr">
        <is>
          <t>Zepri</t>
        </is>
      </c>
      <c r="D683" s="171" t="n">
        <v>46196.41666666666</v>
      </c>
      <c r="E683" s="26" t="n">
        <v>0.919537037037037</v>
      </c>
      <c r="F683" s="27" t="inlineStr">
        <is>
          <t>Shift 2</t>
        </is>
      </c>
      <c r="G683" s="27" t="n"/>
    </row>
    <row r="684">
      <c r="A684" s="27" t="inlineStr">
        <is>
          <t>MK00109</t>
        </is>
      </c>
      <c r="B684" s="27" t="n">
        <v>528000201</v>
      </c>
      <c r="C684" s="27" t="inlineStr">
        <is>
          <t>Zahwa Amelia Choerunissa</t>
        </is>
      </c>
      <c r="D684" s="171" t="n">
        <v>46196.41666666666</v>
      </c>
      <c r="E684" s="26" t="n">
        <v>0.9200578703703703</v>
      </c>
      <c r="F684" s="27" t="inlineStr">
        <is>
          <t>Shift 2</t>
        </is>
      </c>
      <c r="G684" s="27" t="n"/>
    </row>
    <row r="685">
      <c r="A685" s="27" t="inlineStr">
        <is>
          <t>MK00203</t>
        </is>
      </c>
      <c r="B685" s="27" t="n">
        <v>528000286</v>
      </c>
      <c r="C685" s="27" t="inlineStr">
        <is>
          <t>Imelda Amelia</t>
        </is>
      </c>
      <c r="D685" s="171" t="n">
        <v>46196.41666666666</v>
      </c>
      <c r="E685" s="26" t="n">
        <v>0.9204166666666667</v>
      </c>
      <c r="F685" s="27" t="inlineStr">
        <is>
          <t>Shift 2</t>
        </is>
      </c>
      <c r="G685" s="27" t="n"/>
    </row>
    <row r="686">
      <c r="A686" s="27" t="inlineStr">
        <is>
          <t>MK00192</t>
        </is>
      </c>
      <c r="B686" s="27" t="n">
        <v>528000099</v>
      </c>
      <c r="C686" s="27" t="inlineStr">
        <is>
          <t>Siti Nurawaliah</t>
        </is>
      </c>
      <c r="D686" s="171" t="n">
        <v>46196.41666666666</v>
      </c>
      <c r="E686" s="26" t="n">
        <v>0.9207407407407407</v>
      </c>
      <c r="F686" s="27" t="inlineStr">
        <is>
          <t>Shift 2</t>
        </is>
      </c>
      <c r="G686" s="27" t="n"/>
    </row>
    <row r="687">
      <c r="A687" s="27" t="inlineStr">
        <is>
          <t>MK00154</t>
        </is>
      </c>
      <c r="B687" s="27" t="n">
        <v>528000290</v>
      </c>
      <c r="C687" s="27" t="inlineStr">
        <is>
          <t>Eval Pranata</t>
        </is>
      </c>
      <c r="D687" s="171" t="n">
        <v>46196.41666666666</v>
      </c>
      <c r="E687" s="26" t="n">
        <v>0.920787037037037</v>
      </c>
      <c r="F687" s="27" t="inlineStr">
        <is>
          <t>Shift 2</t>
        </is>
      </c>
      <c r="G687" s="27" t="n"/>
    </row>
    <row r="688">
      <c r="A688" s="27" t="inlineStr">
        <is>
          <t>MK00145</t>
        </is>
      </c>
      <c r="B688" s="27" t="n">
        <v>528000244</v>
      </c>
      <c r="C688" s="27" t="inlineStr">
        <is>
          <t>Rodian Rifai</t>
        </is>
      </c>
      <c r="D688" s="171" t="n">
        <v>46196.41666666666</v>
      </c>
      <c r="E688" s="26" t="n">
        <v>0.9685648148148148</v>
      </c>
      <c r="F688" s="27" t="inlineStr">
        <is>
          <t>Shift 2</t>
        </is>
      </c>
      <c r="G688" s="27" t="n"/>
    </row>
    <row r="689">
      <c r="A689" s="27" t="inlineStr">
        <is>
          <t>MK00172</t>
        </is>
      </c>
      <c r="B689" s="27" t="n">
        <v>528000015</v>
      </c>
      <c r="C689" s="27" t="inlineStr">
        <is>
          <t>Erwin</t>
        </is>
      </c>
      <c r="D689" s="171" t="n">
        <v>46197.41666666666</v>
      </c>
      <c r="E689" s="26" t="n">
        <v>0.001655092592592593</v>
      </c>
      <c r="F689" s="27" t="inlineStr">
        <is>
          <t>Shift 3</t>
        </is>
      </c>
      <c r="G689" s="27" t="n"/>
    </row>
    <row r="690">
      <c r="A690" s="27" t="inlineStr">
        <is>
          <t>MK00088</t>
        </is>
      </c>
      <c r="B690" s="27" t="n">
        <v>528000144</v>
      </c>
      <c r="C690" s="27" t="inlineStr">
        <is>
          <t>Jodi Hanafi</t>
        </is>
      </c>
      <c r="D690" s="171" t="n">
        <v>46197.41666666666</v>
      </c>
      <c r="E690" s="26" t="n">
        <v>0.007534722222222222</v>
      </c>
      <c r="F690" s="27" t="inlineStr">
        <is>
          <t>Shift 3</t>
        </is>
      </c>
      <c r="G690" s="27" t="n"/>
    </row>
    <row r="691">
      <c r="A691" s="27" t="inlineStr">
        <is>
          <t>MK00199</t>
        </is>
      </c>
      <c r="B691" s="27" t="n">
        <v>528000291</v>
      </c>
      <c r="C691" s="27" t="inlineStr">
        <is>
          <t>Andrian</t>
        </is>
      </c>
      <c r="D691" s="171" t="n">
        <v>46197.41666666666</v>
      </c>
      <c r="E691" s="26" t="n">
        <v>0.251875</v>
      </c>
      <c r="F691" s="27" t="inlineStr">
        <is>
          <t>Shift 3</t>
        </is>
      </c>
      <c r="G691" s="27" t="n"/>
    </row>
    <row r="692">
      <c r="A692" s="27" t="inlineStr">
        <is>
          <t>MK00141</t>
        </is>
      </c>
      <c r="B692" s="27" t="n">
        <v>528000306</v>
      </c>
      <c r="C692" s="27" t="inlineStr">
        <is>
          <t>Windy Olivia</t>
        </is>
      </c>
      <c r="D692" s="171" t="n">
        <v>46197.41666666666</v>
      </c>
      <c r="E692" s="26" t="n">
        <v>0.252337962962963</v>
      </c>
      <c r="F692" s="27" t="inlineStr">
        <is>
          <t>Shift 3</t>
        </is>
      </c>
      <c r="G692" s="27" t="n"/>
    </row>
    <row r="693">
      <c r="A693" s="27" t="inlineStr">
        <is>
          <t>MK00148</t>
        </is>
      </c>
      <c r="B693" s="27" t="n">
        <v>528000195</v>
      </c>
      <c r="C693" s="27" t="inlineStr">
        <is>
          <t>Rahma Sariwati</t>
        </is>
      </c>
      <c r="D693" s="171" t="n">
        <v>46197.41666666666</v>
      </c>
      <c r="E693" s="26" t="n">
        <v>0.2535532407407408</v>
      </c>
      <c r="F693" s="27" t="inlineStr">
        <is>
          <t>Shift 3</t>
        </is>
      </c>
      <c r="G693" s="27" t="n"/>
    </row>
    <row r="694">
      <c r="A694" s="27" t="inlineStr">
        <is>
          <t>MK00208</t>
        </is>
      </c>
      <c r="B694" s="27" t="n">
        <v>528000266</v>
      </c>
      <c r="C694" s="27" t="inlineStr">
        <is>
          <t>M. Syirajatieq</t>
        </is>
      </c>
      <c r="D694" s="171" t="n">
        <v>46197.41666666666</v>
      </c>
      <c r="E694" s="26" t="n">
        <v>0.3005324074074074</v>
      </c>
      <c r="F694" s="27" t="inlineStr">
        <is>
          <t>Shift 3</t>
        </is>
      </c>
      <c r="G694" s="27" t="n"/>
    </row>
    <row r="695">
      <c r="A695" s="27" t="inlineStr">
        <is>
          <t>MK00055</t>
        </is>
      </c>
      <c r="B695" s="27" t="n">
        <v>528000212</v>
      </c>
      <c r="C695" s="27" t="inlineStr">
        <is>
          <t>Rizal Fauzi</t>
        </is>
      </c>
      <c r="D695" s="171" t="n">
        <v>46197.41666666666</v>
      </c>
      <c r="E695" s="26" t="n">
        <v>0.5820833333333333</v>
      </c>
      <c r="F695" s="27" t="inlineStr">
        <is>
          <t>Shift 1</t>
        </is>
      </c>
      <c r="G695" s="27" t="n"/>
    </row>
    <row r="696">
      <c r="A696" s="27" t="inlineStr">
        <is>
          <t>MK00230</t>
        </is>
      </c>
      <c r="B696" s="27" t="n">
        <v>528000279</v>
      </c>
      <c r="C696" s="27" t="inlineStr">
        <is>
          <t>Mahdalena Dalfa Riani</t>
        </is>
      </c>
      <c r="D696" s="171" t="n">
        <v>46197.41666666666</v>
      </c>
      <c r="E696" s="26" t="n">
        <v>0.5862847222222223</v>
      </c>
      <c r="F696" s="27" t="inlineStr">
        <is>
          <t>Shift 1</t>
        </is>
      </c>
      <c r="G696" s="27" t="n"/>
    </row>
    <row r="697">
      <c r="A697" s="27" t="inlineStr">
        <is>
          <t>MK00158</t>
        </is>
      </c>
      <c r="B697" s="27" t="n">
        <v>628000064</v>
      </c>
      <c r="C697" s="27" t="inlineStr">
        <is>
          <t>Silva Alypia</t>
        </is>
      </c>
      <c r="D697" s="171" t="n">
        <v>46197.41666666666</v>
      </c>
      <c r="E697" s="26" t="n">
        <v>0.5868865740740741</v>
      </c>
      <c r="F697" s="27" t="inlineStr">
        <is>
          <t>Shift 1</t>
        </is>
      </c>
      <c r="G697" s="27" t="n"/>
    </row>
    <row r="698">
      <c r="A698" s="27" t="inlineStr">
        <is>
          <t>MK00145</t>
        </is>
      </c>
      <c r="B698" s="27" t="n">
        <v>528000300</v>
      </c>
      <c r="C698" s="27" t="inlineStr">
        <is>
          <t>Lia pitaloka</t>
        </is>
      </c>
      <c r="D698" s="171" t="n">
        <v>46197.41666666666</v>
      </c>
      <c r="E698" s="26" t="n">
        <v>0.5883564814814815</v>
      </c>
      <c r="F698" s="27" t="inlineStr">
        <is>
          <t>Shift 1</t>
        </is>
      </c>
      <c r="G698" s="27" t="n"/>
    </row>
    <row r="699">
      <c r="A699" s="27" t="inlineStr">
        <is>
          <t>MK00126</t>
        </is>
      </c>
      <c r="B699" s="27" t="n">
        <v>528000254</v>
      </c>
      <c r="C699" s="27" t="inlineStr">
        <is>
          <t>M. Difa Ramdani</t>
        </is>
      </c>
      <c r="D699" s="171" t="n">
        <v>46197.41666666666</v>
      </c>
      <c r="E699" s="26" t="n">
        <v>0.588761574074074</v>
      </c>
      <c r="F699" s="27" t="inlineStr">
        <is>
          <t>Shift 1</t>
        </is>
      </c>
      <c r="G699" s="27" t="n"/>
    </row>
    <row r="700">
      <c r="A700" s="27" t="inlineStr">
        <is>
          <t>MK00136</t>
        </is>
      </c>
      <c r="B700" s="27" t="n">
        <v>528000297</v>
      </c>
      <c r="C700" s="27" t="inlineStr">
        <is>
          <t>Muhamad Budiana</t>
        </is>
      </c>
      <c r="D700" s="171" t="n">
        <v>46197.41666666666</v>
      </c>
      <c r="E700" s="26" t="n">
        <v>0.6086574074074074</v>
      </c>
      <c r="F700" s="27" t="inlineStr">
        <is>
          <t>Shift 1</t>
        </is>
      </c>
      <c r="G700" s="27" t="n"/>
    </row>
    <row r="701">
      <c r="A701" s="27" t="inlineStr">
        <is>
          <t>MK00228</t>
        </is>
      </c>
      <c r="B701" s="27" t="n">
        <v>528000132</v>
      </c>
      <c r="C701" s="27" t="inlineStr">
        <is>
          <t>Giopani</t>
        </is>
      </c>
      <c r="D701" s="171" t="n">
        <v>46197.41666666666</v>
      </c>
      <c r="E701" s="26" t="n">
        <v>0.6663310185185185</v>
      </c>
      <c r="F701" s="27" t="inlineStr">
        <is>
          <t>Shift 1</t>
        </is>
      </c>
      <c r="G701" s="27" t="n"/>
    </row>
    <row r="702">
      <c r="A702" s="27" t="inlineStr">
        <is>
          <t>MK00141</t>
        </is>
      </c>
      <c r="B702" s="27" t="n">
        <v>528000265</v>
      </c>
      <c r="C702" s="27" t="inlineStr">
        <is>
          <t>Muhammad Haerul Rozikin</t>
        </is>
      </c>
      <c r="D702" s="171" t="n">
        <v>46197.41666666666</v>
      </c>
      <c r="E702" s="26" t="n">
        <v>0.668125</v>
      </c>
      <c r="F702" s="27" t="inlineStr">
        <is>
          <t>Shift 2</t>
        </is>
      </c>
      <c r="G702" s="27" t="n"/>
    </row>
    <row r="703">
      <c r="A703" s="27" t="inlineStr">
        <is>
          <t>MK00199</t>
        </is>
      </c>
      <c r="B703" s="27" t="n">
        <v>528000055</v>
      </c>
      <c r="C703" s="27" t="inlineStr">
        <is>
          <t>Dika Prasetya</t>
        </is>
      </c>
      <c r="D703" s="171" t="n">
        <v>46197.41666666666</v>
      </c>
      <c r="E703" s="26" t="n">
        <v>0.6683796296296296</v>
      </c>
      <c r="F703" s="27" t="inlineStr">
        <is>
          <t>Shift 2</t>
        </is>
      </c>
      <c r="G703" s="27" t="n"/>
    </row>
    <row r="704">
      <c r="A704" s="27" t="inlineStr">
        <is>
          <t>MK00204</t>
        </is>
      </c>
      <c r="B704" s="27" t="n">
        <v>528000273</v>
      </c>
      <c r="C704" s="27" t="inlineStr">
        <is>
          <t>Asep Mulyana</t>
        </is>
      </c>
      <c r="D704" s="171" t="n">
        <v>46197.41666666666</v>
      </c>
      <c r="E704" s="26" t="n">
        <v>0.6691319444444445</v>
      </c>
      <c r="F704" s="27" t="inlineStr">
        <is>
          <t>Shift 2</t>
        </is>
      </c>
      <c r="G704" s="27" t="n"/>
    </row>
    <row r="705">
      <c r="A705" s="27" t="inlineStr">
        <is>
          <t>MK00208</t>
        </is>
      </c>
      <c r="B705" s="27" t="n">
        <v>528000282</v>
      </c>
      <c r="C705" s="27" t="inlineStr">
        <is>
          <t>Defa Desfiana</t>
        </is>
      </c>
      <c r="D705" s="171" t="n">
        <v>46197.41666666666</v>
      </c>
      <c r="E705" s="26" t="n">
        <v>0.6695717592592593</v>
      </c>
      <c r="F705" s="27" t="inlineStr">
        <is>
          <t>Shift 2</t>
        </is>
      </c>
      <c r="G705" s="27" t="inlineStr">
        <is>
          <t>23b</t>
        </is>
      </c>
    </row>
    <row r="706">
      <c r="A706" s="27" t="inlineStr">
        <is>
          <t>MK00212</t>
        </is>
      </c>
      <c r="B706" s="27" t="n">
        <v>528000149</v>
      </c>
      <c r="C706" s="27" t="inlineStr">
        <is>
          <t>Tio Fernanda</t>
        </is>
      </c>
      <c r="D706" s="171" t="n">
        <v>46197.41666666666</v>
      </c>
      <c r="E706" s="26" t="n">
        <v>0.7095949074074074</v>
      </c>
      <c r="F706" s="27" t="inlineStr">
        <is>
          <t>Shift 2</t>
        </is>
      </c>
      <c r="G706" s="27" t="n"/>
    </row>
    <row r="707">
      <c r="A707" s="27" t="inlineStr">
        <is>
          <t>MK00046</t>
        </is>
      </c>
      <c r="B707" s="27" t="n">
        <v>528000232</v>
      </c>
      <c r="C707" s="27" t="inlineStr">
        <is>
          <t>Agung Aji Suhada</t>
        </is>
      </c>
      <c r="D707" s="171" t="n">
        <v>46197.41666666666</v>
      </c>
      <c r="E707" s="26" t="n">
        <v>0.7098263888888889</v>
      </c>
      <c r="F707" s="27" t="inlineStr">
        <is>
          <t>Shift 2</t>
        </is>
      </c>
      <c r="G707" s="27" t="n"/>
    </row>
    <row r="708">
      <c r="A708" s="27" t="inlineStr">
        <is>
          <t>MK00181</t>
        </is>
      </c>
      <c r="B708" s="27" t="n">
        <v>528000299</v>
      </c>
      <c r="C708" s="27" t="inlineStr">
        <is>
          <t>Siti Nurjanah</t>
        </is>
      </c>
      <c r="D708" s="171" t="n">
        <v>46197.41666666666</v>
      </c>
      <c r="E708" s="26" t="n">
        <v>0.9055208333333333</v>
      </c>
      <c r="F708" s="27" t="inlineStr">
        <is>
          <t>Shift 2</t>
        </is>
      </c>
      <c r="G708" s="27" t="n"/>
    </row>
    <row r="709">
      <c r="A709" s="27" t="inlineStr">
        <is>
          <t>MK00202</t>
        </is>
      </c>
      <c r="B709" s="27" t="n">
        <v>528000241</v>
      </c>
      <c r="C709" s="27" t="inlineStr">
        <is>
          <t>Balia Nurafif Bilah</t>
        </is>
      </c>
      <c r="D709" s="171" t="n">
        <v>46197.41666666666</v>
      </c>
      <c r="E709" s="26" t="n">
        <v>0.9187615740740741</v>
      </c>
      <c r="F709" s="27" t="inlineStr">
        <is>
          <t>Shift 2</t>
        </is>
      </c>
      <c r="G709" s="27" t="n"/>
    </row>
    <row r="710">
      <c r="A710" s="27" t="inlineStr">
        <is>
          <t>MK00250</t>
        </is>
      </c>
      <c r="B710" s="27" t="n">
        <v>528000274</v>
      </c>
      <c r="C710" s="27" t="inlineStr">
        <is>
          <t>Zepri</t>
        </is>
      </c>
      <c r="D710" s="171" t="n">
        <v>46197.41666666666</v>
      </c>
      <c r="E710" s="26" t="n">
        <v>0.9189351851851851</v>
      </c>
      <c r="F710" s="27" t="inlineStr">
        <is>
          <t>Shift 2</t>
        </is>
      </c>
      <c r="G710" s="27" t="n"/>
    </row>
    <row r="711">
      <c r="A711" s="27" t="inlineStr">
        <is>
          <t>MK00213</t>
        </is>
      </c>
      <c r="B711" s="27" t="n">
        <v>528000290</v>
      </c>
      <c r="C711" s="27" t="inlineStr">
        <is>
          <t>Eval Pranata</t>
        </is>
      </c>
      <c r="D711" s="171" t="n">
        <v>46197.41666666666</v>
      </c>
      <c r="E711" s="26" t="n">
        <v>0.9192013888888889</v>
      </c>
      <c r="F711" s="27" t="inlineStr">
        <is>
          <t>Shift 2</t>
        </is>
      </c>
      <c r="G711" s="27" t="n"/>
    </row>
    <row r="712">
      <c r="A712" s="27" t="inlineStr">
        <is>
          <t>MK00093</t>
        </is>
      </c>
      <c r="B712" s="27" t="n">
        <v>528000090</v>
      </c>
      <c r="C712" s="27" t="inlineStr">
        <is>
          <t>Suganda</t>
        </is>
      </c>
      <c r="D712" s="171" t="n">
        <v>46197.41666666666</v>
      </c>
      <c r="E712" s="26" t="n">
        <v>0.9194097222222222</v>
      </c>
      <c r="F712" s="27" t="inlineStr">
        <is>
          <t>Shift 2</t>
        </is>
      </c>
      <c r="G712" s="27" t="n"/>
    </row>
    <row r="713">
      <c r="A713" s="27" t="inlineStr">
        <is>
          <t>MK00154</t>
        </is>
      </c>
      <c r="B713" s="27" t="n">
        <v>528000201</v>
      </c>
      <c r="C713" s="27" t="inlineStr">
        <is>
          <t>Zahwa Amelia Choerunissa</t>
        </is>
      </c>
      <c r="D713" s="171" t="n">
        <v>46197.41666666666</v>
      </c>
      <c r="E713" s="26" t="n">
        <v>0.9205092592592593</v>
      </c>
      <c r="F713" s="27" t="inlineStr">
        <is>
          <t>Shift 2</t>
        </is>
      </c>
      <c r="G713" s="27" t="n"/>
    </row>
    <row r="714">
      <c r="A714" s="27" t="inlineStr">
        <is>
          <t>MK00090</t>
        </is>
      </c>
      <c r="B714" s="27" t="n">
        <v>528000099</v>
      </c>
      <c r="C714" s="27" t="inlineStr">
        <is>
          <t>Siti Nurawaliah</t>
        </is>
      </c>
      <c r="D714" s="171" t="n">
        <v>46197.41666666666</v>
      </c>
      <c r="E714" s="26" t="n">
        <v>0.9214236111111112</v>
      </c>
      <c r="F714" s="27" t="inlineStr">
        <is>
          <t>Shift 2</t>
        </is>
      </c>
      <c r="G714" s="27" t="n"/>
    </row>
    <row r="715">
      <c r="A715" s="27" t="inlineStr">
        <is>
          <t>MK00235</t>
        </is>
      </c>
      <c r="B715" s="27" t="n">
        <v>528000286</v>
      </c>
      <c r="C715" s="27" t="inlineStr">
        <is>
          <t>Imelda Amelia</t>
        </is>
      </c>
      <c r="D715" s="171" t="n">
        <v>46197.41666666666</v>
      </c>
      <c r="E715" s="26" t="n">
        <v>0.9220601851851852</v>
      </c>
      <c r="F715" s="27" t="inlineStr">
        <is>
          <t>Shift 2</t>
        </is>
      </c>
      <c r="G715" s="27" t="n"/>
    </row>
    <row r="716">
      <c r="A716" s="27" t="inlineStr">
        <is>
          <t>MK00085</t>
        </is>
      </c>
      <c r="B716" s="27" t="n">
        <v>528000244</v>
      </c>
      <c r="C716" s="27" t="inlineStr">
        <is>
          <t>Rodian Rifai</t>
        </is>
      </c>
      <c r="D716" s="171" t="n">
        <v>46197.41666666666</v>
      </c>
      <c r="E716" s="26" t="n">
        <v>0.9570138888888889</v>
      </c>
      <c r="F716" s="27" t="inlineStr">
        <is>
          <t>Shift 2</t>
        </is>
      </c>
      <c r="G716" s="27" t="n"/>
    </row>
    <row r="717">
      <c r="A717" s="27" t="inlineStr">
        <is>
          <t>MK00109</t>
        </is>
      </c>
      <c r="B717" s="27" t="n">
        <v>528000015</v>
      </c>
      <c r="C717" s="27" t="inlineStr">
        <is>
          <t>Erwin</t>
        </is>
      </c>
      <c r="D717" s="171" t="n">
        <v>46198.41666666666</v>
      </c>
      <c r="E717" s="26" t="n">
        <v>0.001701388888888889</v>
      </c>
      <c r="F717" s="27" t="inlineStr">
        <is>
          <t>Shift 3</t>
        </is>
      </c>
      <c r="G717" s="27" t="n"/>
    </row>
    <row r="718">
      <c r="A718" s="27" t="inlineStr">
        <is>
          <t>MK00134</t>
        </is>
      </c>
      <c r="B718" s="27" t="n">
        <v>528000203</v>
      </c>
      <c r="C718" s="27" t="inlineStr">
        <is>
          <t>Yudha Ramdhan Putra</t>
        </is>
      </c>
      <c r="D718" s="171" t="n">
        <v>46198.41666666666</v>
      </c>
      <c r="E718" s="26" t="n">
        <v>0.0116087962962963</v>
      </c>
      <c r="F718" s="27" t="inlineStr">
        <is>
          <t>Shift 3</t>
        </is>
      </c>
      <c r="G718" s="27" t="n"/>
    </row>
    <row r="719">
      <c r="A719" s="27" t="inlineStr">
        <is>
          <t>MK00088</t>
        </is>
      </c>
      <c r="B719" s="27" t="n">
        <v>528000144</v>
      </c>
      <c r="C719" s="27" t="inlineStr">
        <is>
          <t>Jodi Hanafi</t>
        </is>
      </c>
      <c r="D719" s="171" t="n">
        <v>46198.41666666666</v>
      </c>
      <c r="E719" s="26" t="n">
        <v>0.02410879629629629</v>
      </c>
      <c r="F719" s="27" t="inlineStr">
        <is>
          <t>Shift 3</t>
        </is>
      </c>
      <c r="G719" s="27" t="n"/>
    </row>
    <row r="720">
      <c r="A720" s="27" t="inlineStr">
        <is>
          <t>MK00228</t>
        </is>
      </c>
      <c r="B720" s="27" t="n">
        <v>528000132</v>
      </c>
      <c r="C720" s="27" t="inlineStr">
        <is>
          <t>Giopani</t>
        </is>
      </c>
      <c r="D720" s="171" t="n">
        <v>46198.41666666666</v>
      </c>
      <c r="E720" s="26" t="n">
        <v>0.05337962962962963</v>
      </c>
      <c r="F720" s="27" t="inlineStr">
        <is>
          <t>Shift 3</t>
        </is>
      </c>
      <c r="G720" s="27" t="n"/>
    </row>
    <row r="721">
      <c r="A721" s="27" t="inlineStr">
        <is>
          <t>MK00126</t>
        </is>
      </c>
      <c r="B721" s="27" t="n">
        <v>528000305</v>
      </c>
      <c r="C721" s="27" t="inlineStr">
        <is>
          <t>Puji Puspita</t>
        </is>
      </c>
      <c r="D721" s="171" t="n">
        <v>46198.41666666666</v>
      </c>
      <c r="E721" s="26" t="n">
        <v>0.2522685185185185</v>
      </c>
      <c r="F721" s="27" t="inlineStr">
        <is>
          <t>Shift 3</t>
        </is>
      </c>
      <c r="G721" s="27" t="n"/>
    </row>
    <row r="722">
      <c r="A722" s="27" t="inlineStr">
        <is>
          <t>MK00230</t>
        </is>
      </c>
      <c r="B722" s="27" t="n">
        <v>528000299</v>
      </c>
      <c r="C722" s="27" t="inlineStr">
        <is>
          <t>Siti Nurjanah</t>
        </is>
      </c>
      <c r="D722" s="171" t="n">
        <v>46198.41666666666</v>
      </c>
      <c r="E722" s="26" t="n">
        <v>0.2526157407407407</v>
      </c>
      <c r="F722" s="27" t="inlineStr">
        <is>
          <t>Shift 3</t>
        </is>
      </c>
      <c r="G722" s="27" t="n"/>
    </row>
    <row r="723">
      <c r="A723" s="27" t="inlineStr">
        <is>
          <t>MK00203</t>
        </is>
      </c>
      <c r="B723" s="27" t="n">
        <v>528000302</v>
      </c>
      <c r="C723" s="27" t="inlineStr">
        <is>
          <t>Henkey gumilar</t>
        </is>
      </c>
      <c r="D723" s="171" t="n">
        <v>46198.41666666666</v>
      </c>
      <c r="E723" s="26" t="n">
        <v>0.258912037037037</v>
      </c>
      <c r="F723" s="27" t="inlineStr">
        <is>
          <t>Shift 3</t>
        </is>
      </c>
      <c r="G723" s="27" t="n"/>
    </row>
    <row r="724">
      <c r="A724" s="27" t="inlineStr">
        <is>
          <t>MK00151</t>
        </is>
      </c>
      <c r="B724" s="27" t="n">
        <v>528000270</v>
      </c>
      <c r="C724" s="27" t="inlineStr">
        <is>
          <t>Febri Najmudin</t>
        </is>
      </c>
      <c r="D724" s="171" t="n">
        <v>46198.41666666666</v>
      </c>
      <c r="E724" s="26" t="n">
        <v>0.2686921296296296</v>
      </c>
      <c r="F724" s="27" t="inlineStr">
        <is>
          <t>Shift 3</t>
        </is>
      </c>
      <c r="G724" s="27" t="n"/>
    </row>
    <row r="725">
      <c r="A725" s="27" t="inlineStr">
        <is>
          <t>MK0082</t>
        </is>
      </c>
      <c r="B725" s="27" t="n">
        <v>528000349</v>
      </c>
      <c r="C725" s="27" t="inlineStr">
        <is>
          <t>Anas Abdul Fatah</t>
        </is>
      </c>
      <c r="D725" s="171" t="n">
        <v>46198.41666666666</v>
      </c>
      <c r="E725" s="26" t="n">
        <v>0.3345601851851852</v>
      </c>
      <c r="F725" s="27" t="inlineStr">
        <is>
          <t>Shift 1</t>
        </is>
      </c>
      <c r="G725" s="27" t="n"/>
    </row>
    <row r="726">
      <c r="A726" s="27" t="inlineStr">
        <is>
          <t>MK0020</t>
        </is>
      </c>
      <c r="B726" s="27" t="n">
        <v>528000348</v>
      </c>
      <c r="C726" s="27" t="inlineStr">
        <is>
          <t>Saepuloh Ardiansah</t>
        </is>
      </c>
      <c r="D726" s="171" t="n">
        <v>46198.41666666666</v>
      </c>
      <c r="E726" s="26" t="n">
        <v>0.3781018518518519</v>
      </c>
      <c r="F726" s="27" t="inlineStr">
        <is>
          <t>Shift 1</t>
        </is>
      </c>
      <c r="G726" s="27" t="n"/>
    </row>
    <row r="727">
      <c r="A727" s="27" t="inlineStr">
        <is>
          <t>MK00221</t>
        </is>
      </c>
      <c r="B727" s="27" t="n">
        <v>628000061</v>
      </c>
      <c r="C727" s="27" t="inlineStr">
        <is>
          <t>Nayla Fadillah Exwantoro</t>
        </is>
      </c>
      <c r="D727" s="171" t="n">
        <v>46198.41666666666</v>
      </c>
      <c r="E727" s="26" t="n">
        <v>0.3864467592592593</v>
      </c>
      <c r="F727" s="27" t="inlineStr">
        <is>
          <t>Shift 1</t>
        </is>
      </c>
      <c r="G727" s="27" t="n"/>
    </row>
    <row r="728">
      <c r="A728" s="27" t="inlineStr">
        <is>
          <t>MK00221</t>
        </is>
      </c>
      <c r="B728" s="27" t="n">
        <v>528000090</v>
      </c>
      <c r="C728" s="27" t="inlineStr">
        <is>
          <t>Suganda</t>
        </is>
      </c>
      <c r="D728" s="171" t="n">
        <v>46198.41666666666</v>
      </c>
      <c r="E728" s="26" t="n">
        <v>0.4074305555555556</v>
      </c>
      <c r="F728" s="27" t="inlineStr">
        <is>
          <t>Shift 1</t>
        </is>
      </c>
      <c r="G728" s="27" t="inlineStr">
        <is>
          <t>21-A</t>
        </is>
      </c>
    </row>
    <row r="729">
      <c r="A729" s="27" t="inlineStr">
        <is>
          <t>MK00150</t>
        </is>
      </c>
      <c r="B729" s="27" t="n">
        <v>528000212</v>
      </c>
      <c r="C729" s="27" t="inlineStr">
        <is>
          <t>Rizal Fauzi</t>
        </is>
      </c>
      <c r="D729" s="171" t="n">
        <v>46198.41666666666</v>
      </c>
      <c r="E729" s="26" t="n">
        <v>0.4124074074074074</v>
      </c>
      <c r="F729" s="27" t="inlineStr">
        <is>
          <t>Shift 1</t>
        </is>
      </c>
      <c r="G729" s="27" t="inlineStr">
        <is>
          <t>25-b</t>
        </is>
      </c>
    </row>
    <row r="730">
      <c r="A730" s="27" t="inlineStr">
        <is>
          <t>MK008I</t>
        </is>
      </c>
      <c r="B730" s="27" t="n">
        <v>528000288</v>
      </c>
      <c r="C730" s="27" t="inlineStr">
        <is>
          <t>Dede gunawan</t>
        </is>
      </c>
      <c r="D730" s="171" t="n">
        <v>46198.41666666666</v>
      </c>
      <c r="E730" s="26" t="n">
        <v>0.4132870370370371</v>
      </c>
      <c r="F730" s="27" t="inlineStr">
        <is>
          <t>Shift 1</t>
        </is>
      </c>
      <c r="G730" s="27" t="n"/>
    </row>
    <row r="731">
      <c r="A731" s="27" t="n">
        <v>7200181</v>
      </c>
      <c r="B731" s="27" t="n">
        <v>528000251</v>
      </c>
      <c r="C731" s="27" t="inlineStr">
        <is>
          <t>Salya Nugraha</t>
        </is>
      </c>
      <c r="D731" s="171" t="n">
        <v>46198.41666666666</v>
      </c>
      <c r="E731" s="26" t="n">
        <v>0.4140509259259259</v>
      </c>
      <c r="F731" s="27" t="inlineStr">
        <is>
          <t>Shift 1</t>
        </is>
      </c>
      <c r="G731" s="27" t="n"/>
    </row>
    <row r="732">
      <c r="A732" s="27" t="inlineStr">
        <is>
          <t>MKOO58</t>
        </is>
      </c>
      <c r="B732" s="27" t="n">
        <v>528000052</v>
      </c>
      <c r="C732" s="27" t="inlineStr">
        <is>
          <t>Mustopa</t>
        </is>
      </c>
      <c r="D732" s="171" t="n">
        <v>46198.41666666666</v>
      </c>
      <c r="E732" s="26" t="n">
        <v>0.4143981481481481</v>
      </c>
      <c r="F732" s="27" t="inlineStr">
        <is>
          <t>Shift 1</t>
        </is>
      </c>
      <c r="G732" s="27" t="n"/>
    </row>
    <row r="733">
      <c r="A733" s="27" t="inlineStr">
        <is>
          <t>MK00200</t>
        </is>
      </c>
      <c r="B733" s="27" t="n">
        <v>528000098</v>
      </c>
      <c r="C733" s="27" t="inlineStr">
        <is>
          <t>Edi Junaedi</t>
        </is>
      </c>
      <c r="D733" s="171" t="n">
        <v>46198.41666666666</v>
      </c>
      <c r="E733" s="26" t="n">
        <v>0.4148148148148148</v>
      </c>
      <c r="F733" s="27" t="inlineStr">
        <is>
          <t>Shift 1</t>
        </is>
      </c>
      <c r="G733" s="27" t="n"/>
    </row>
    <row r="734">
      <c r="A734" s="27" t="inlineStr">
        <is>
          <t>MK0093</t>
        </is>
      </c>
      <c r="B734" s="27" t="n">
        <v>528000283</v>
      </c>
      <c r="C734" s="27" t="inlineStr">
        <is>
          <t>Purwanda Sugiri</t>
        </is>
      </c>
      <c r="D734" s="171" t="n">
        <v>46198.41666666666</v>
      </c>
      <c r="E734" s="26" t="n">
        <v>0.4153935185185185</v>
      </c>
      <c r="F734" s="27" t="inlineStr">
        <is>
          <t>Shift 1</t>
        </is>
      </c>
      <c r="G734" s="27" t="n"/>
    </row>
    <row r="735">
      <c r="A735" s="27" t="inlineStr">
        <is>
          <t>MA00185</t>
        </is>
      </c>
      <c r="B735" s="27" t="n">
        <v>528000351</v>
      </c>
      <c r="C735" s="27" t="inlineStr">
        <is>
          <t>Mulyana</t>
        </is>
      </c>
      <c r="D735" s="171" t="n">
        <v>46198.41666666666</v>
      </c>
      <c r="E735" s="26" t="n">
        <v>0.4159837962962963</v>
      </c>
      <c r="F735" s="27" t="inlineStr">
        <is>
          <t>Shift 1</t>
        </is>
      </c>
      <c r="G735" s="27" t="n"/>
    </row>
    <row r="736">
      <c r="A736" s="27" t="inlineStr">
        <is>
          <t>MKOO134</t>
        </is>
      </c>
      <c r="B736" s="27" t="n">
        <v>528000298</v>
      </c>
      <c r="C736" s="27" t="inlineStr">
        <is>
          <t>Desta Cahaya Pratama</t>
        </is>
      </c>
      <c r="D736" s="171" t="n">
        <v>46198.41666666666</v>
      </c>
      <c r="E736" s="26" t="n">
        <v>0.4167939814814815</v>
      </c>
      <c r="F736" s="27" t="inlineStr">
        <is>
          <t>Shift 1</t>
        </is>
      </c>
      <c r="G736" s="27" t="n"/>
    </row>
    <row r="737">
      <c r="A737" s="27" t="inlineStr">
        <is>
          <t>MK00250</t>
        </is>
      </c>
      <c r="B737" s="27" t="n">
        <v>528000254</v>
      </c>
      <c r="C737" s="27" t="inlineStr">
        <is>
          <t>M. Difa Ramdani</t>
        </is>
      </c>
      <c r="D737" s="171" t="n">
        <v>46198.41666666666</v>
      </c>
      <c r="E737" s="26" t="n">
        <v>0.5860648148148148</v>
      </c>
      <c r="F737" s="27" t="inlineStr">
        <is>
          <t>Shift 1</t>
        </is>
      </c>
      <c r="G737" s="27" t="n"/>
    </row>
    <row r="738">
      <c r="A738" s="27" t="inlineStr">
        <is>
          <t>MK00235</t>
        </is>
      </c>
      <c r="B738" s="27" t="n">
        <v>528000063</v>
      </c>
      <c r="C738" s="27" t="inlineStr">
        <is>
          <t>Muhamad Ripki Pebrian</t>
        </is>
      </c>
      <c r="D738" s="171" t="n">
        <v>46198.41666666666</v>
      </c>
      <c r="E738" s="26" t="n">
        <v>0.5861458333333334</v>
      </c>
      <c r="F738" s="27" t="inlineStr">
        <is>
          <t>Shift 1</t>
        </is>
      </c>
      <c r="G738" s="27" t="n"/>
    </row>
    <row r="739">
      <c r="A739" s="27" t="inlineStr">
        <is>
          <t>MK00208</t>
        </is>
      </c>
      <c r="B739" s="27" t="n">
        <v>528000256</v>
      </c>
      <c r="C739" s="27" t="inlineStr">
        <is>
          <t>Rasianah</t>
        </is>
      </c>
      <c r="D739" s="171" t="n">
        <v>46198.41666666666</v>
      </c>
      <c r="E739" s="26" t="n">
        <v>0.5871643518518519</v>
      </c>
      <c r="F739" s="27" t="inlineStr">
        <is>
          <t>Shift 1</t>
        </is>
      </c>
      <c r="G739" s="27" t="n"/>
    </row>
    <row r="740">
      <c r="A740" s="27" t="inlineStr">
        <is>
          <t>MK00085</t>
        </is>
      </c>
      <c r="B740" s="27" t="n">
        <v>528000279</v>
      </c>
      <c r="C740" s="27" t="inlineStr">
        <is>
          <t>Mahdalena Dalfa Riani</t>
        </is>
      </c>
      <c r="D740" s="171" t="n">
        <v>46198.41666666666</v>
      </c>
      <c r="E740" s="26" t="n">
        <v>0.5879166666666666</v>
      </c>
      <c r="F740" s="27" t="inlineStr">
        <is>
          <t>Shift 1</t>
        </is>
      </c>
      <c r="G740" s="27" t="n"/>
    </row>
    <row r="741">
      <c r="A741" s="27" t="inlineStr">
        <is>
          <t>MK00154</t>
        </is>
      </c>
      <c r="B741" s="27" t="n">
        <v>628000064</v>
      </c>
      <c r="C741" s="27" t="inlineStr">
        <is>
          <t>Silva Alypia</t>
        </is>
      </c>
      <c r="D741" s="171" t="n">
        <v>46198.41666666666</v>
      </c>
      <c r="E741" s="26" t="n">
        <v>0.5879513888888889</v>
      </c>
      <c r="F741" s="27" t="inlineStr">
        <is>
          <t>Shift 1</t>
        </is>
      </c>
      <c r="G741" s="27" t="n"/>
    </row>
    <row r="742">
      <c r="A742" s="27" t="inlineStr">
        <is>
          <t>MK00090</t>
        </is>
      </c>
      <c r="B742" s="27" t="n">
        <v>528000300</v>
      </c>
      <c r="C742" s="27" t="inlineStr">
        <is>
          <t>Lia pitaloka</t>
        </is>
      </c>
      <c r="D742" s="171" t="n">
        <v>46198.41666666666</v>
      </c>
      <c r="E742" s="26" t="n">
        <v>0.5883217592592592</v>
      </c>
      <c r="F742" s="27" t="inlineStr">
        <is>
          <t>Shift 1</t>
        </is>
      </c>
      <c r="G742" s="27" t="n"/>
    </row>
    <row r="743">
      <c r="A743" s="27" t="inlineStr">
        <is>
          <t>MK00136</t>
        </is>
      </c>
      <c r="B743" s="27" t="n">
        <v>528000297</v>
      </c>
      <c r="C743" s="27" t="inlineStr">
        <is>
          <t>Muhamad Budiana</t>
        </is>
      </c>
      <c r="D743" s="171" t="n">
        <v>46198.41666666666</v>
      </c>
      <c r="E743" s="26" t="n">
        <v>0.5976041666666667</v>
      </c>
      <c r="F743" s="27" t="inlineStr">
        <is>
          <t>Shift 1</t>
        </is>
      </c>
      <c r="G743" s="27" t="n"/>
    </row>
    <row r="744">
      <c r="A744" s="27" t="inlineStr">
        <is>
          <t>MK00116</t>
        </is>
      </c>
      <c r="B744" s="27" t="n">
        <v>528000282</v>
      </c>
      <c r="C744" s="27" t="inlineStr">
        <is>
          <t>Defa Desfiana</t>
        </is>
      </c>
      <c r="D744" s="171" t="n">
        <v>46198.41666666666</v>
      </c>
      <c r="E744" s="26" t="n">
        <v>0.667511574074074</v>
      </c>
      <c r="F744" s="27" t="inlineStr">
        <is>
          <t>Shift 2</t>
        </is>
      </c>
      <c r="G744" s="27" t="inlineStr">
        <is>
          <t>23c</t>
        </is>
      </c>
    </row>
    <row r="745">
      <c r="A745" s="27" t="inlineStr">
        <is>
          <t>MK00199</t>
        </is>
      </c>
      <c r="B745" s="27" t="n">
        <v>528000273</v>
      </c>
      <c r="C745" s="27" t="inlineStr">
        <is>
          <t>Asep Mulyana</t>
        </is>
      </c>
      <c r="D745" s="171" t="n">
        <v>46198.41666666666</v>
      </c>
      <c r="E745" s="26" t="n">
        <v>0.6679282407407408</v>
      </c>
      <c r="F745" s="27" t="inlineStr">
        <is>
          <t>Shift 2</t>
        </is>
      </c>
      <c r="G745" s="27" t="n"/>
    </row>
    <row r="746">
      <c r="A746" s="27" t="inlineStr">
        <is>
          <t>MK00203</t>
        </is>
      </c>
      <c r="B746" s="27" t="n">
        <v>528000069</v>
      </c>
      <c r="C746" s="27" t="inlineStr">
        <is>
          <t>Jajang Ardiansyah</t>
        </is>
      </c>
      <c r="D746" s="171" t="n">
        <v>46198.41666666666</v>
      </c>
      <c r="E746" s="26" t="n">
        <v>0.6688541666666666</v>
      </c>
      <c r="F746" s="27" t="inlineStr">
        <is>
          <t>Shift 2</t>
        </is>
      </c>
      <c r="G746" s="27" t="n"/>
    </row>
    <row r="747">
      <c r="A747" s="27" t="inlineStr">
        <is>
          <t>MK00082</t>
        </is>
      </c>
      <c r="B747" s="27" t="n">
        <v>528000055</v>
      </c>
      <c r="C747" s="27" t="inlineStr">
        <is>
          <t>Dika Prasetya</t>
        </is>
      </c>
      <c r="D747" s="171" t="n">
        <v>46198.41666666666</v>
      </c>
      <c r="E747" s="26" t="n">
        <v>0.6690046296296296</v>
      </c>
      <c r="F747" s="27" t="inlineStr">
        <is>
          <t>Shift 2</t>
        </is>
      </c>
      <c r="G747" s="27" t="n"/>
    </row>
    <row r="748">
      <c r="A748" s="27" t="inlineStr">
        <is>
          <t>MK00213</t>
        </is>
      </c>
      <c r="B748" s="27" t="n">
        <v>528000265</v>
      </c>
      <c r="C748" s="27" t="inlineStr">
        <is>
          <t>Muhammad Haerul Rozikin</t>
        </is>
      </c>
      <c r="D748" s="171" t="n">
        <v>46198.41666666666</v>
      </c>
      <c r="E748" s="26" t="n">
        <v>0.6698726851851852</v>
      </c>
      <c r="F748" s="27" t="inlineStr">
        <is>
          <t>Shift 2</t>
        </is>
      </c>
      <c r="G748" s="27" t="n"/>
    </row>
    <row r="749">
      <c r="A749" s="27" t="inlineStr">
        <is>
          <t>MK00124</t>
        </is>
      </c>
      <c r="B749" s="27" t="n">
        <v>628000061</v>
      </c>
      <c r="C749" s="27" t="inlineStr">
        <is>
          <t>Nayla Fadillah Exwantoro</t>
        </is>
      </c>
      <c r="D749" s="171" t="n">
        <v>46198.41666666666</v>
      </c>
      <c r="E749" s="26" t="n">
        <v>0.7045023148148148</v>
      </c>
      <c r="F749" s="27" t="inlineStr">
        <is>
          <t>Shift 2</t>
        </is>
      </c>
      <c r="G749" s="27" t="n"/>
    </row>
    <row r="750">
      <c r="A750" s="27" t="inlineStr">
        <is>
          <t>MK00046</t>
        </is>
      </c>
      <c r="B750" s="27" t="n">
        <v>528000232</v>
      </c>
      <c r="C750" s="27" t="inlineStr">
        <is>
          <t>Agung Aji Suhada</t>
        </is>
      </c>
      <c r="D750" s="171" t="n">
        <v>46198.41666666666</v>
      </c>
      <c r="E750" s="26" t="n">
        <v>0.7101620370370371</v>
      </c>
      <c r="F750" s="27" t="inlineStr">
        <is>
          <t>Shift 2</t>
        </is>
      </c>
      <c r="G750" s="27" t="n"/>
    </row>
    <row r="751">
      <c r="A751" s="27" t="inlineStr">
        <is>
          <t>MK00212</t>
        </is>
      </c>
      <c r="B751" s="27" t="n">
        <v>528000149</v>
      </c>
      <c r="C751" s="27" t="inlineStr">
        <is>
          <t>Tio Fernanda</t>
        </is>
      </c>
      <c r="D751" s="171" t="n">
        <v>46198.41666666666</v>
      </c>
      <c r="E751" s="26" t="n">
        <v>0.7111226851851852</v>
      </c>
      <c r="F751" s="27" t="inlineStr">
        <is>
          <t>Shift 2</t>
        </is>
      </c>
      <c r="G751" s="27" t="n"/>
    </row>
    <row r="752">
      <c r="A752" s="27" t="inlineStr">
        <is>
          <t>MK00205</t>
        </is>
      </c>
      <c r="B752" s="27" t="n">
        <v>528000348</v>
      </c>
      <c r="C752" s="27" t="inlineStr">
        <is>
          <t>Saepuloh Ardiansah</t>
        </is>
      </c>
      <c r="D752" s="171" t="n">
        <v>46198.41666666666</v>
      </c>
      <c r="E752" s="26" t="n">
        <v>0.7441898148148148</v>
      </c>
      <c r="F752" s="27" t="inlineStr">
        <is>
          <t>Shift 2</t>
        </is>
      </c>
      <c r="G752" s="27" t="n"/>
    </row>
    <row r="753">
      <c r="A753" s="27" t="inlineStr">
        <is>
          <t>MK00156</t>
        </is>
      </c>
      <c r="B753" s="27" t="n">
        <v>528000274</v>
      </c>
      <c r="C753" s="27" t="inlineStr">
        <is>
          <t>Zepri</t>
        </is>
      </c>
      <c r="D753" s="171" t="n">
        <v>46198.41666666666</v>
      </c>
      <c r="E753" s="26" t="n">
        <v>0.9180555555555555</v>
      </c>
      <c r="F753" s="27" t="inlineStr">
        <is>
          <t>Shift 2</t>
        </is>
      </c>
      <c r="G753" s="27" t="n"/>
    </row>
    <row r="754">
      <c r="A754" s="27" t="inlineStr">
        <is>
          <t>MK00145</t>
        </is>
      </c>
      <c r="B754" s="27" t="n">
        <v>528000241</v>
      </c>
      <c r="C754" s="27" t="inlineStr">
        <is>
          <t>Balia Nurafif Bilah</t>
        </is>
      </c>
      <c r="D754" s="171" t="n">
        <v>46198.41666666666</v>
      </c>
      <c r="E754" s="26" t="n">
        <v>0.9185416666666667</v>
      </c>
      <c r="F754" s="27" t="inlineStr">
        <is>
          <t>Shift 2</t>
        </is>
      </c>
      <c r="G754" s="27" t="n"/>
    </row>
    <row r="755">
      <c r="A755" s="27" t="inlineStr">
        <is>
          <t>MK00095</t>
        </is>
      </c>
      <c r="B755" s="27" t="n">
        <v>528000090</v>
      </c>
      <c r="C755" s="27" t="inlineStr">
        <is>
          <t>Suganda</t>
        </is>
      </c>
      <c r="D755" s="171" t="n">
        <v>46198.41666666666</v>
      </c>
      <c r="E755" s="26" t="n">
        <v>0.9188888888888889</v>
      </c>
      <c r="F755" s="27" t="inlineStr">
        <is>
          <t>Shift 2</t>
        </is>
      </c>
      <c r="G755" s="27" t="n"/>
    </row>
    <row r="756">
      <c r="A756" s="27" t="inlineStr">
        <is>
          <t>MK00141</t>
        </is>
      </c>
      <c r="B756" s="27" t="n">
        <v>528000290</v>
      </c>
      <c r="C756" s="27" t="inlineStr">
        <is>
          <t>Eval Pranata</t>
        </is>
      </c>
      <c r="D756" s="171" t="n">
        <v>46198.41666666666</v>
      </c>
      <c r="E756" s="26" t="n">
        <v>0.919074074074074</v>
      </c>
      <c r="F756" s="27" t="inlineStr">
        <is>
          <t>Shift 2</t>
        </is>
      </c>
      <c r="G756" s="27" t="n"/>
    </row>
    <row r="757">
      <c r="A757" s="27" t="inlineStr">
        <is>
          <t>MK00230</t>
        </is>
      </c>
      <c r="B757" s="27" t="n">
        <v>528000201</v>
      </c>
      <c r="C757" s="27" t="inlineStr">
        <is>
          <t>Zahwa Amelia Choerunissa</t>
        </is>
      </c>
      <c r="D757" s="171" t="n">
        <v>46198.41666666666</v>
      </c>
      <c r="E757" s="26" t="n">
        <v>0.9209027777777777</v>
      </c>
      <c r="F757" s="27" t="inlineStr">
        <is>
          <t>Shift 2</t>
        </is>
      </c>
      <c r="G757" s="27" t="n"/>
    </row>
    <row r="758">
      <c r="A758" s="27" t="inlineStr">
        <is>
          <t>MK00204</t>
        </is>
      </c>
      <c r="B758" s="27" t="n">
        <v>528000099</v>
      </c>
      <c r="C758" s="27" t="inlineStr">
        <is>
          <t>Siti Nurawaliah</t>
        </is>
      </c>
      <c r="D758" s="171" t="n">
        <v>46198.41666666666</v>
      </c>
      <c r="E758" s="26" t="n">
        <v>0.9212847222222222</v>
      </c>
      <c r="F758" s="27" t="inlineStr">
        <is>
          <t>Shift 2</t>
        </is>
      </c>
      <c r="G758" s="27" t="n"/>
    </row>
    <row r="759">
      <c r="A759" s="27" t="inlineStr">
        <is>
          <t>MK00185</t>
        </is>
      </c>
      <c r="B759" s="27" t="n">
        <v>528000286</v>
      </c>
      <c r="C759" s="27" t="inlineStr">
        <is>
          <t>Imelda Amelia</t>
        </is>
      </c>
      <c r="D759" s="171" t="n">
        <v>46198.41666666666</v>
      </c>
      <c r="E759" s="26" t="n">
        <v>0.9215277777777777</v>
      </c>
      <c r="F759" s="27" t="inlineStr">
        <is>
          <t>Shift 2</t>
        </is>
      </c>
      <c r="G759" s="27" t="n"/>
    </row>
    <row r="760">
      <c r="A760" s="27" t="inlineStr">
        <is>
          <t>MK00148</t>
        </is>
      </c>
      <c r="B760" s="27" t="n">
        <v>528000244</v>
      </c>
      <c r="C760" s="27" t="inlineStr">
        <is>
          <t>Rodian Rifai</t>
        </is>
      </c>
      <c r="D760" s="171" t="n">
        <v>46198.41666666666</v>
      </c>
      <c r="E760" s="26" t="n">
        <v>0.9236689814814815</v>
      </c>
      <c r="F760" s="27" t="inlineStr">
        <is>
          <t>Shift 2</t>
        </is>
      </c>
      <c r="G760" s="27" t="n"/>
    </row>
    <row r="761">
      <c r="A761" s="27" t="inlineStr">
        <is>
          <t>MK00138</t>
        </is>
      </c>
      <c r="B761" s="27" t="n">
        <v>528000015</v>
      </c>
      <c r="C761" s="27" t="inlineStr">
        <is>
          <t>Erwin</t>
        </is>
      </c>
      <c r="D761" s="171" t="n">
        <v>46199.41666666666</v>
      </c>
      <c r="E761" s="26" t="n">
        <v>0.002881944444444444</v>
      </c>
      <c r="F761" s="27" t="inlineStr">
        <is>
          <t>Shift 3</t>
        </is>
      </c>
      <c r="G761" s="27" t="n"/>
    </row>
    <row r="762">
      <c r="A762" s="27" t="inlineStr">
        <is>
          <t>MK00088</t>
        </is>
      </c>
      <c r="B762" s="27" t="n">
        <v>528000132</v>
      </c>
      <c r="C762" s="27" t="inlineStr">
        <is>
          <t>Giopani</t>
        </is>
      </c>
      <c r="D762" s="171" t="n">
        <v>46199.41666666666</v>
      </c>
      <c r="E762" s="26" t="n">
        <v>0.0334837962962963</v>
      </c>
      <c r="F762" s="27" t="inlineStr">
        <is>
          <t>Shift 3</t>
        </is>
      </c>
      <c r="G762" s="27" t="n"/>
    </row>
    <row r="763">
      <c r="A763" s="27" t="inlineStr">
        <is>
          <t>MK00228</t>
        </is>
      </c>
      <c r="B763" s="27" t="n">
        <v>528000144</v>
      </c>
      <c r="C763" s="27" t="inlineStr">
        <is>
          <t>Jodi Hanafi</t>
        </is>
      </c>
      <c r="D763" s="171" t="n">
        <v>46199.41666666666</v>
      </c>
      <c r="E763" s="26" t="n">
        <v>0.03479166666666667</v>
      </c>
      <c r="F763" s="27" t="inlineStr">
        <is>
          <t>Shift 3</t>
        </is>
      </c>
      <c r="G763" s="27" t="n"/>
    </row>
    <row r="764">
      <c r="A764" s="27" t="inlineStr">
        <is>
          <t>MK00181</t>
        </is>
      </c>
      <c r="B764" s="27" t="n">
        <v>528000305</v>
      </c>
      <c r="C764" s="27" t="inlineStr">
        <is>
          <t>Puji Puspita</t>
        </is>
      </c>
      <c r="D764" s="171" t="n">
        <v>46199.41666666666</v>
      </c>
      <c r="E764" s="26" t="n">
        <v>0.2518865740740741</v>
      </c>
      <c r="F764" s="27" t="inlineStr">
        <is>
          <t>Shift 3</t>
        </is>
      </c>
      <c r="G764" s="27" t="n"/>
    </row>
    <row r="765">
      <c r="A765" s="27" t="inlineStr">
        <is>
          <t>MK00221</t>
        </is>
      </c>
      <c r="B765" s="27" t="n">
        <v>528000299</v>
      </c>
      <c r="C765" s="27" t="inlineStr">
        <is>
          <t>Siti Nurjanah</t>
        </is>
      </c>
      <c r="D765" s="171" t="n">
        <v>46199.41666666666</v>
      </c>
      <c r="E765" s="26" t="n">
        <v>0.2527546296296296</v>
      </c>
      <c r="F765" s="27" t="inlineStr">
        <is>
          <t>Shift 3</t>
        </is>
      </c>
      <c r="G765" s="27" t="n"/>
    </row>
    <row r="766">
      <c r="A766" s="27" t="inlineStr">
        <is>
          <t>MK00213</t>
        </is>
      </c>
      <c r="B766" s="27" t="n">
        <v>528000298</v>
      </c>
      <c r="C766" s="27" t="inlineStr">
        <is>
          <t>Desta Cahaya Pratama</t>
        </is>
      </c>
      <c r="D766" s="171" t="n">
        <v>46199.41666666666</v>
      </c>
      <c r="E766" s="26" t="n">
        <v>0.2541203703703704</v>
      </c>
      <c r="F766" s="27" t="inlineStr">
        <is>
          <t>Shift 3</t>
        </is>
      </c>
      <c r="G766" s="27" t="n"/>
    </row>
    <row r="767">
      <c r="A767" s="27" t="inlineStr">
        <is>
          <t>MK00143</t>
        </is>
      </c>
      <c r="B767" s="27" t="n">
        <v>528000302</v>
      </c>
      <c r="C767" s="27" t="inlineStr">
        <is>
          <t>Henkey gumilar</t>
        </is>
      </c>
      <c r="D767" s="171" t="n">
        <v>46199.41666666666</v>
      </c>
      <c r="E767" s="26" t="n">
        <v>0.2586689814814815</v>
      </c>
      <c r="F767" s="27" t="inlineStr">
        <is>
          <t>Shift 3</t>
        </is>
      </c>
      <c r="G767" s="27" t="n"/>
    </row>
    <row r="768">
      <c r="A768" s="27" t="inlineStr">
        <is>
          <t>MK00082</t>
        </is>
      </c>
      <c r="B768" s="27" t="n">
        <v>528000270</v>
      </c>
      <c r="C768" s="27" t="inlineStr">
        <is>
          <t>Febri Najmudin</t>
        </is>
      </c>
      <c r="D768" s="171" t="n">
        <v>46199.41666666666</v>
      </c>
      <c r="E768" s="26" t="n">
        <v>0.2771990740740741</v>
      </c>
      <c r="F768" s="27" t="inlineStr">
        <is>
          <t>Shift 3</t>
        </is>
      </c>
      <c r="G768" s="27" t="n"/>
    </row>
    <row r="769">
      <c r="A769" s="27" t="inlineStr">
        <is>
          <t>MK00158</t>
        </is>
      </c>
      <c r="B769" s="27" t="n">
        <v>528000349</v>
      </c>
      <c r="C769" s="27" t="inlineStr">
        <is>
          <t>Anas Abdul Fatah</t>
        </is>
      </c>
      <c r="D769" s="171" t="n">
        <v>46199.41666666666</v>
      </c>
      <c r="E769" s="26" t="n">
        <v>0.4126388888888889</v>
      </c>
      <c r="F769" s="27" t="inlineStr">
        <is>
          <t>Shift 1</t>
        </is>
      </c>
      <c r="G769" s="27" t="n"/>
    </row>
    <row r="770">
      <c r="A770" s="27" t="inlineStr">
        <is>
          <t>MK00154</t>
        </is>
      </c>
      <c r="B770" s="27" t="n">
        <v>528000351</v>
      </c>
      <c r="C770" s="27" t="inlineStr">
        <is>
          <t>Mulyana</t>
        </is>
      </c>
      <c r="D770" s="171" t="n">
        <v>46199.41666666666</v>
      </c>
      <c r="E770" s="26" t="n">
        <v>0.5421527777777778</v>
      </c>
      <c r="F770" s="27" t="inlineStr">
        <is>
          <t>Shift 1</t>
        </is>
      </c>
      <c r="G770" s="27" t="n"/>
    </row>
    <row r="771">
      <c r="A771" s="27" t="inlineStr">
        <is>
          <t>MK00082</t>
        </is>
      </c>
      <c r="B771" s="27" t="n">
        <v>528000282</v>
      </c>
      <c r="C771" s="27" t="inlineStr">
        <is>
          <t>Defa Desfiana</t>
        </is>
      </c>
      <c r="D771" s="171" t="n">
        <v>46199.41666666666</v>
      </c>
      <c r="E771" s="26" t="n">
        <v>0.5437384259259259</v>
      </c>
      <c r="F771" s="27" t="inlineStr">
        <is>
          <t>Shift 1</t>
        </is>
      </c>
      <c r="G771" s="27" t="inlineStr">
        <is>
          <t>23c</t>
        </is>
      </c>
    </row>
    <row r="772">
      <c r="A772" s="27" t="inlineStr">
        <is>
          <t>MK00221</t>
        </is>
      </c>
      <c r="B772" s="27" t="n">
        <v>528000265</v>
      </c>
      <c r="C772" s="27" t="inlineStr">
        <is>
          <t>Muhammad Haerul Rozikin</t>
        </is>
      </c>
      <c r="D772" s="171" t="n">
        <v>46199.41666666666</v>
      </c>
      <c r="E772" s="26" t="n">
        <v>0.5446296296296296</v>
      </c>
      <c r="F772" s="27" t="inlineStr">
        <is>
          <t>Shift 1</t>
        </is>
      </c>
      <c r="G772" s="27" t="n"/>
    </row>
    <row r="773">
      <c r="A773" s="27" t="inlineStr">
        <is>
          <t>MK00202</t>
        </is>
      </c>
      <c r="B773" s="27" t="n">
        <v>528000055</v>
      </c>
      <c r="C773" s="27" t="inlineStr">
        <is>
          <t>Dika Prasetya</t>
        </is>
      </c>
      <c r="D773" s="171" t="n">
        <v>46199.41666666666</v>
      </c>
      <c r="E773" s="26" t="n">
        <v>0.553587962962963</v>
      </c>
      <c r="F773" s="27" t="inlineStr">
        <is>
          <t>Shift 1</t>
        </is>
      </c>
      <c r="G773" s="27" t="n"/>
    </row>
    <row r="774">
      <c r="A774" s="27" t="inlineStr">
        <is>
          <t>MK00181</t>
        </is>
      </c>
      <c r="B774" s="27" t="n">
        <v>528000273</v>
      </c>
      <c r="C774" s="27" t="inlineStr">
        <is>
          <t>Asep Mulyana</t>
        </is>
      </c>
      <c r="D774" s="171" t="n">
        <v>46199.41666666666</v>
      </c>
      <c r="E774" s="26" t="n">
        <v>0.5541782407407407</v>
      </c>
      <c r="F774" s="27" t="inlineStr">
        <is>
          <t>Shift 1</t>
        </is>
      </c>
      <c r="G774" s="27" t="n"/>
    </row>
    <row r="775">
      <c r="A775" s="27" t="inlineStr">
        <is>
          <t>MK00138</t>
        </is>
      </c>
      <c r="B775" s="27" t="n">
        <v>528000063</v>
      </c>
      <c r="C775" s="27" t="inlineStr">
        <is>
          <t>Muhamad Ripki Pebrian</t>
        </is>
      </c>
      <c r="D775" s="171" t="n">
        <v>46199.41666666666</v>
      </c>
      <c r="E775" s="26" t="n">
        <v>0.5847916666666667</v>
      </c>
      <c r="F775" s="27" t="inlineStr">
        <is>
          <t>Shift 1</t>
        </is>
      </c>
      <c r="G775" s="27" t="n"/>
    </row>
    <row r="776">
      <c r="A776" s="27" t="inlineStr">
        <is>
          <t>MK00134</t>
        </is>
      </c>
      <c r="B776" s="27" t="n">
        <v>528000254</v>
      </c>
      <c r="C776" s="27" t="inlineStr">
        <is>
          <t>M. Difa Ramdani</t>
        </is>
      </c>
      <c r="D776" s="171" t="n">
        <v>46199.41666666666</v>
      </c>
      <c r="E776" s="26" t="n">
        <v>0.5847916666666667</v>
      </c>
      <c r="F776" s="27" t="inlineStr">
        <is>
          <t>Shift 1</t>
        </is>
      </c>
      <c r="G776" s="27" t="n"/>
    </row>
    <row r="777">
      <c r="A777" s="27" t="inlineStr">
        <is>
          <t>MK00148</t>
        </is>
      </c>
      <c r="B777" s="27" t="n">
        <v>528000248</v>
      </c>
      <c r="C777" s="27" t="inlineStr">
        <is>
          <t>Roka Jaya Salka Mulya</t>
        </is>
      </c>
      <c r="D777" s="171" t="n">
        <v>46199.41666666666</v>
      </c>
      <c r="E777" s="26" t="n">
        <v>0.5851620370370371</v>
      </c>
      <c r="F777" s="27" t="inlineStr">
        <is>
          <t>Shift 1</t>
        </is>
      </c>
      <c r="G777" s="27" t="n"/>
    </row>
    <row r="778">
      <c r="A778" s="27" t="inlineStr">
        <is>
          <t>MK00046</t>
        </is>
      </c>
      <c r="B778" s="27" t="n">
        <v>528000232</v>
      </c>
      <c r="C778" s="27" t="inlineStr">
        <is>
          <t>Agung Aji Suhada</t>
        </is>
      </c>
      <c r="D778" s="171" t="n">
        <v>46199.41666666666</v>
      </c>
      <c r="E778" s="26" t="n">
        <v>0.5852893518518518</v>
      </c>
      <c r="F778" s="27" t="inlineStr">
        <is>
          <t>Shift 1</t>
        </is>
      </c>
      <c r="G778" s="27" t="n"/>
    </row>
    <row r="779">
      <c r="A779" s="27" t="inlineStr">
        <is>
          <t>MK00230</t>
        </is>
      </c>
      <c r="B779" s="27" t="n">
        <v>628000064</v>
      </c>
      <c r="C779" s="27" t="inlineStr">
        <is>
          <t>Silva Alypia</t>
        </is>
      </c>
      <c r="D779" s="171" t="n">
        <v>46199.41666666666</v>
      </c>
      <c r="E779" s="26" t="n">
        <v>0.5864351851851852</v>
      </c>
      <c r="F779" s="27" t="inlineStr">
        <is>
          <t>Shift 1</t>
        </is>
      </c>
      <c r="G779" s="27" t="n"/>
    </row>
    <row r="780">
      <c r="A780" s="27" t="inlineStr">
        <is>
          <t>MK00185</t>
        </is>
      </c>
      <c r="B780" s="27" t="n">
        <v>528000279</v>
      </c>
      <c r="C780" s="27" t="inlineStr">
        <is>
          <t>Mahdalena Dalfa Riani</t>
        </is>
      </c>
      <c r="D780" s="171" t="n">
        <v>46199.41666666666</v>
      </c>
      <c r="E780" s="26" t="n">
        <v>0.5881597222222222</v>
      </c>
      <c r="F780" s="27" t="inlineStr">
        <is>
          <t>Shift 1</t>
        </is>
      </c>
      <c r="G780" s="27" t="n"/>
    </row>
    <row r="781">
      <c r="A781" s="27" t="inlineStr">
        <is>
          <t>MK00090</t>
        </is>
      </c>
      <c r="B781" s="27" t="n">
        <v>528000288</v>
      </c>
      <c r="C781" s="27" t="inlineStr">
        <is>
          <t>Dede gunawan</t>
        </is>
      </c>
      <c r="D781" s="171" t="n">
        <v>46199.41666666666</v>
      </c>
      <c r="E781" s="26" t="n">
        <v>0.588275462962963</v>
      </c>
      <c r="F781" s="27" t="inlineStr">
        <is>
          <t>Shift 1</t>
        </is>
      </c>
      <c r="G781" s="27" t="n"/>
    </row>
    <row r="782">
      <c r="A782" s="27" t="inlineStr">
        <is>
          <t>MK00136</t>
        </is>
      </c>
      <c r="B782" s="27" t="n">
        <v>528000300</v>
      </c>
      <c r="C782" s="27" t="inlineStr">
        <is>
          <t>Lia pitaloka</t>
        </is>
      </c>
      <c r="D782" s="171" t="n">
        <v>46199.41666666666</v>
      </c>
      <c r="E782" s="26" t="n">
        <v>0.5891666666666666</v>
      </c>
      <c r="F782" s="27" t="inlineStr">
        <is>
          <t>Shift 1</t>
        </is>
      </c>
      <c r="G782" s="27" t="n"/>
    </row>
    <row r="783">
      <c r="A783" s="27" t="inlineStr">
        <is>
          <t>MK00151</t>
        </is>
      </c>
      <c r="B783" s="27" t="n">
        <v>528000297</v>
      </c>
      <c r="C783" s="27" t="inlineStr">
        <is>
          <t>Muhamad Budiana</t>
        </is>
      </c>
      <c r="D783" s="171" t="n">
        <v>46199.41666666666</v>
      </c>
      <c r="E783" s="26" t="n">
        <v>0.6167708333333334</v>
      </c>
      <c r="F783" s="27" t="inlineStr">
        <is>
          <t>Shift 1</t>
        </is>
      </c>
      <c r="G783" s="27" t="n"/>
    </row>
    <row r="784">
      <c r="A784" s="27" t="inlineStr">
        <is>
          <t>MK00156</t>
        </is>
      </c>
      <c r="B784" s="27" t="n">
        <v>528000015</v>
      </c>
      <c r="C784" s="27" t="inlineStr">
        <is>
          <t>Erwin</t>
        </is>
      </c>
      <c r="D784" s="171" t="n">
        <v>46199.41666666666</v>
      </c>
      <c r="E784" s="26" t="n">
        <v>0.7530555555555556</v>
      </c>
      <c r="F784" s="27" t="inlineStr">
        <is>
          <t>Shift 2</t>
        </is>
      </c>
      <c r="G784" s="27" t="n"/>
    </row>
    <row r="785">
      <c r="A785" s="27" t="inlineStr">
        <is>
          <t>MK00228</t>
        </is>
      </c>
      <c r="B785" s="27" t="n">
        <v>528000132</v>
      </c>
      <c r="C785" s="27" t="inlineStr">
        <is>
          <t>Giopani</t>
        </is>
      </c>
      <c r="D785" s="171" t="n">
        <v>46199.41666666666</v>
      </c>
      <c r="E785" s="26" t="n">
        <v>0.7590625</v>
      </c>
      <c r="F785" s="27" t="inlineStr">
        <is>
          <t>Shift 2</t>
        </is>
      </c>
      <c r="G785" s="27" t="n"/>
    </row>
    <row r="786">
      <c r="A786" s="27" t="inlineStr">
        <is>
          <t>MK00088</t>
        </is>
      </c>
      <c r="B786" s="27" t="n">
        <v>528000144</v>
      </c>
      <c r="C786" s="27" t="inlineStr">
        <is>
          <t>Jodi Hanafi</t>
        </is>
      </c>
      <c r="D786" s="171" t="n">
        <v>46199.41666666666</v>
      </c>
      <c r="E786" s="26" t="n">
        <v>0.7594328703703703</v>
      </c>
      <c r="F786" s="27" t="inlineStr">
        <is>
          <t>Shift 2</t>
        </is>
      </c>
      <c r="G786" s="27" t="n"/>
    </row>
    <row r="787">
      <c r="A787" s="27" t="inlineStr">
        <is>
          <t>MK00205</t>
        </is>
      </c>
      <c r="B787" s="27" t="n">
        <v>528000348</v>
      </c>
      <c r="C787" s="27" t="inlineStr">
        <is>
          <t>Saepuloh Ardiansah</t>
        </is>
      </c>
      <c r="D787" s="171" t="n">
        <v>46199.41666666666</v>
      </c>
      <c r="E787" s="26" t="n">
        <v>0.8227314814814815</v>
      </c>
      <c r="F787" s="27" t="inlineStr">
        <is>
          <t>Shift 2</t>
        </is>
      </c>
      <c r="G787" s="27" t="n"/>
    </row>
    <row r="788">
      <c r="A788" s="27" t="inlineStr">
        <is>
          <t>MK00145</t>
        </is>
      </c>
      <c r="B788" s="27" t="n">
        <v>528000283</v>
      </c>
      <c r="C788" s="27" t="inlineStr">
        <is>
          <t>Purwanda Sugiri</t>
        </is>
      </c>
      <c r="D788" s="171" t="n">
        <v>46199.41666666666</v>
      </c>
      <c r="E788" s="26" t="n">
        <v>0.9189351851851851</v>
      </c>
      <c r="F788" s="27" t="inlineStr">
        <is>
          <t>Shift 2</t>
        </is>
      </c>
      <c r="G788" s="27" t="n"/>
    </row>
    <row r="789">
      <c r="A789" s="27" t="inlineStr">
        <is>
          <t>MK00126</t>
        </is>
      </c>
      <c r="B789" s="27" t="n">
        <v>528000291</v>
      </c>
      <c r="C789" s="27" t="inlineStr">
        <is>
          <t>Andrian</t>
        </is>
      </c>
      <c r="D789" s="171" t="n">
        <v>46199.41666666666</v>
      </c>
      <c r="E789" s="26" t="n">
        <v>0.9191319444444445</v>
      </c>
      <c r="F789" s="27" t="inlineStr">
        <is>
          <t>Shift 2</t>
        </is>
      </c>
      <c r="G789" s="27" t="n"/>
    </row>
    <row r="790">
      <c r="A790" s="27" t="inlineStr">
        <is>
          <t>MK00202</t>
        </is>
      </c>
      <c r="B790" s="27" t="n">
        <v>528000358</v>
      </c>
      <c r="C790" s="27" t="inlineStr">
        <is>
          <t>Lulu Agustin</t>
        </is>
      </c>
      <c r="D790" s="171" t="n">
        <v>46199.41666666666</v>
      </c>
      <c r="E790" s="26" t="n">
        <v>0.9194444444444444</v>
      </c>
      <c r="F790" s="27" t="inlineStr">
        <is>
          <t>Shift 2</t>
        </is>
      </c>
      <c r="G790" s="27" t="n"/>
    </row>
    <row r="791">
      <c r="A791" s="27" t="inlineStr">
        <is>
          <t>MK00213</t>
        </is>
      </c>
      <c r="B791" s="27" t="n">
        <v>528000261</v>
      </c>
      <c r="C791" s="27" t="inlineStr">
        <is>
          <t>Ergi Ergianto</t>
        </is>
      </c>
      <c r="D791" s="171" t="n">
        <v>46199.41666666666</v>
      </c>
      <c r="E791" s="26" t="n">
        <v>0.9197685185185185</v>
      </c>
      <c r="F791" s="27" t="inlineStr">
        <is>
          <t>Shift 2</t>
        </is>
      </c>
      <c r="G791" s="27" t="n"/>
    </row>
    <row r="792">
      <c r="A792" s="27" t="inlineStr">
        <is>
          <t>MK00141</t>
        </is>
      </c>
      <c r="B792" s="27" t="n">
        <v>528000306</v>
      </c>
      <c r="C792" s="27" t="inlineStr">
        <is>
          <t>Windy Olivia</t>
        </is>
      </c>
      <c r="D792" s="171" t="n">
        <v>46199.41666666666</v>
      </c>
      <c r="E792" s="26" t="n">
        <v>0.9204513888888889</v>
      </c>
      <c r="F792" s="27" t="inlineStr">
        <is>
          <t>Shift 2</t>
        </is>
      </c>
      <c r="G792" s="27" t="n"/>
    </row>
    <row r="793">
      <c r="A793" s="27" t="inlineStr">
        <is>
          <t>MK00221</t>
        </is>
      </c>
      <c r="B793" s="27" t="n">
        <v>528000195</v>
      </c>
      <c r="C793" s="27" t="inlineStr">
        <is>
          <t>Rahma Sariwati</t>
        </is>
      </c>
      <c r="D793" s="171" t="n">
        <v>46199.41666666666</v>
      </c>
      <c r="E793" s="26" t="n">
        <v>0.9225925925925926</v>
      </c>
      <c r="F793" s="27" t="inlineStr">
        <is>
          <t>Shift 2</t>
        </is>
      </c>
      <c r="G793" s="27" t="n"/>
    </row>
    <row r="794">
      <c r="A794" s="27" t="inlineStr">
        <is>
          <t>MK00209</t>
        </is>
      </c>
      <c r="B794" s="27" t="n">
        <v>528000298</v>
      </c>
      <c r="C794" s="27" t="inlineStr">
        <is>
          <t>Desta Cahaya Pratama</t>
        </is>
      </c>
      <c r="D794" s="171" t="n">
        <v>46200.41666666666</v>
      </c>
      <c r="E794" s="26" t="n">
        <v>0.2542824074074074</v>
      </c>
      <c r="F794" s="27" t="inlineStr">
        <is>
          <t>Shift 3</t>
        </is>
      </c>
      <c r="G794" s="27" t="n"/>
    </row>
    <row r="795">
      <c r="A795" s="27" t="inlineStr">
        <is>
          <t>MK00158</t>
        </is>
      </c>
      <c r="B795" s="27" t="n">
        <v>528000299</v>
      </c>
      <c r="C795" s="27" t="inlineStr">
        <is>
          <t>Siti Nurjanah</t>
        </is>
      </c>
      <c r="D795" s="171" t="n">
        <v>46200.41666666666</v>
      </c>
      <c r="E795" s="26" t="n">
        <v>0.2543518518518518</v>
      </c>
      <c r="F795" s="27" t="inlineStr">
        <is>
          <t>Shift 3</t>
        </is>
      </c>
      <c r="G795" s="27" t="n"/>
    </row>
    <row r="796">
      <c r="A796" s="27" t="inlineStr">
        <is>
          <t>MK00204</t>
        </is>
      </c>
      <c r="B796" s="27" t="n">
        <v>528000302</v>
      </c>
      <c r="C796" s="27" t="inlineStr">
        <is>
          <t>Henkey gumilar</t>
        </is>
      </c>
      <c r="D796" s="171" t="n">
        <v>46200.41666666666</v>
      </c>
      <c r="E796" s="26" t="n">
        <v>0.2561458333333334</v>
      </c>
      <c r="F796" s="27" t="inlineStr">
        <is>
          <t>Shift 3</t>
        </is>
      </c>
      <c r="G796" s="27" t="n"/>
    </row>
    <row r="797">
      <c r="A797" s="27" t="inlineStr">
        <is>
          <t>MK00116</t>
        </is>
      </c>
      <c r="B797" s="27" t="n">
        <v>628000061</v>
      </c>
      <c r="C797" s="27" t="inlineStr">
        <is>
          <t>Nayla Fadillah Exwantoro</t>
        </is>
      </c>
      <c r="D797" s="171" t="n">
        <v>46200.41666666666</v>
      </c>
      <c r="E797" s="26" t="n">
        <v>0.2568055555555556</v>
      </c>
      <c r="F797" s="27" t="inlineStr">
        <is>
          <t>Shift 3</t>
        </is>
      </c>
      <c r="G797" s="27" t="n"/>
    </row>
    <row r="798">
      <c r="A798" s="27" t="inlineStr">
        <is>
          <t>MK00138</t>
        </is>
      </c>
      <c r="B798" s="27" t="n">
        <v>528000270</v>
      </c>
      <c r="C798" s="27" t="inlineStr">
        <is>
          <t>Febri Najmudin</t>
        </is>
      </c>
      <c r="D798" s="171" t="n">
        <v>46200.41666666666</v>
      </c>
      <c r="E798" s="26" t="n">
        <v>0.2772453703703704</v>
      </c>
      <c r="F798" s="27" t="inlineStr">
        <is>
          <t>Shift 3</t>
        </is>
      </c>
      <c r="G798" s="27" t="n"/>
    </row>
    <row r="799">
      <c r="A799" s="27" t="inlineStr">
        <is>
          <t>MK00213</t>
        </is>
      </c>
      <c r="B799" s="27" t="n">
        <v>528000241</v>
      </c>
      <c r="C799" s="27" t="inlineStr">
        <is>
          <t>Balia Nurafif Bilah</t>
        </is>
      </c>
      <c r="D799" s="171" t="n">
        <v>46200.41666666666</v>
      </c>
      <c r="E799" s="26" t="n">
        <v>0.5850810185185186</v>
      </c>
      <c r="F799" s="27" t="inlineStr">
        <is>
          <t>Shift 1</t>
        </is>
      </c>
      <c r="G799" s="27" t="n"/>
    </row>
    <row r="800">
      <c r="A800" s="27" t="inlineStr">
        <is>
          <t>MK00145</t>
        </is>
      </c>
      <c r="B800" s="27" t="n">
        <v>528000290</v>
      </c>
      <c r="C800" s="27" t="inlineStr">
        <is>
          <t>Eval Pranata</t>
        </is>
      </c>
      <c r="D800" s="171" t="n">
        <v>46200.41666666666</v>
      </c>
      <c r="E800" s="26" t="n">
        <v>0.5852199074074074</v>
      </c>
      <c r="F800" s="27" t="inlineStr">
        <is>
          <t>Shift 1</t>
        </is>
      </c>
      <c r="G800" s="27" t="n"/>
    </row>
    <row r="801">
      <c r="A801" s="27" t="inlineStr">
        <is>
          <t>MK00126</t>
        </is>
      </c>
      <c r="B801" s="27" t="n">
        <v>528000090</v>
      </c>
      <c r="C801" s="27" t="inlineStr">
        <is>
          <t>Suganda</t>
        </is>
      </c>
      <c r="D801" s="171" t="n">
        <v>46200.41666666666</v>
      </c>
      <c r="E801" s="26" t="n">
        <v>0.5856828703703704</v>
      </c>
      <c r="F801" s="27" t="inlineStr">
        <is>
          <t>Shift 1</t>
        </is>
      </c>
      <c r="G801" s="27" t="n"/>
    </row>
    <row r="802">
      <c r="A802" s="27" t="inlineStr">
        <is>
          <t>MK00141</t>
        </is>
      </c>
      <c r="B802" s="27" t="n">
        <v>528000274</v>
      </c>
      <c r="C802" s="27" t="inlineStr">
        <is>
          <t>Zepri</t>
        </is>
      </c>
      <c r="D802" s="171" t="n">
        <v>46200.41666666666</v>
      </c>
      <c r="E802" s="26" t="n">
        <v>0.5857291666666666</v>
      </c>
      <c r="F802" s="27" t="inlineStr">
        <is>
          <t>Shift 1</t>
        </is>
      </c>
      <c r="G802" s="27" t="n"/>
    </row>
    <row r="803">
      <c r="A803" s="27" t="inlineStr">
        <is>
          <t>MK00150</t>
        </is>
      </c>
      <c r="B803" s="27" t="n">
        <v>528000212</v>
      </c>
      <c r="C803" s="27" t="inlineStr">
        <is>
          <t>Rizal Fauzi</t>
        </is>
      </c>
      <c r="D803" s="171" t="n">
        <v>46200.41666666666</v>
      </c>
      <c r="E803" s="26" t="n">
        <v>0.5857986111111111</v>
      </c>
      <c r="F803" s="27" t="inlineStr">
        <is>
          <t>Shift 1</t>
        </is>
      </c>
      <c r="G803" s="27" t="n"/>
    </row>
    <row r="804">
      <c r="A804" s="27" t="inlineStr">
        <is>
          <t>MK00221</t>
        </is>
      </c>
      <c r="B804" s="27" t="n">
        <v>528000201</v>
      </c>
      <c r="C804" s="27" t="inlineStr">
        <is>
          <t>Zahwa Amelia Choerunissa</t>
        </is>
      </c>
      <c r="D804" s="171" t="n">
        <v>46200.41666666666</v>
      </c>
      <c r="E804" s="26" t="n">
        <v>0.5865972222222222</v>
      </c>
      <c r="F804" s="27" t="inlineStr">
        <is>
          <t>Shift 1</t>
        </is>
      </c>
      <c r="G804" s="27" t="n"/>
    </row>
    <row r="805">
      <c r="A805" s="27" t="inlineStr">
        <is>
          <t>MK00203</t>
        </is>
      </c>
      <c r="B805" s="27" t="n">
        <v>528000099</v>
      </c>
      <c r="C805" s="27" t="inlineStr">
        <is>
          <t>Siti Nurawaliah</t>
        </is>
      </c>
      <c r="D805" s="171" t="n">
        <v>46200.41666666666</v>
      </c>
      <c r="E805" s="26" t="n">
        <v>0.5873495370370371</v>
      </c>
      <c r="F805" s="27" t="inlineStr">
        <is>
          <t>Shift 1</t>
        </is>
      </c>
      <c r="G805" s="27" t="n"/>
    </row>
    <row r="806">
      <c r="A806" s="27" t="inlineStr">
        <is>
          <t>MK00202</t>
        </is>
      </c>
      <c r="B806" s="27" t="n">
        <v>528000286</v>
      </c>
      <c r="C806" s="27" t="inlineStr">
        <is>
          <t>Imelda Amelia</t>
        </is>
      </c>
      <c r="D806" s="171" t="n">
        <v>46200.41666666666</v>
      </c>
      <c r="E806" s="26" t="n">
        <v>0.5876041666666667</v>
      </c>
      <c r="F806" s="27" t="inlineStr">
        <is>
          <t>Shift 1</t>
        </is>
      </c>
      <c r="G806" s="27" t="n"/>
    </row>
    <row r="807">
      <c r="A807" s="27" t="inlineStr">
        <is>
          <t>MK00185</t>
        </is>
      </c>
      <c r="B807" s="27" t="n">
        <v>528000244</v>
      </c>
      <c r="C807" s="27" t="inlineStr">
        <is>
          <t>Rodian Rifai</t>
        </is>
      </c>
      <c r="D807" s="171" t="n">
        <v>46200.41666666666</v>
      </c>
      <c r="E807" s="26" t="n">
        <v>0.657337962962963</v>
      </c>
      <c r="F807" s="27" t="inlineStr">
        <is>
          <t>Shift 1</t>
        </is>
      </c>
      <c r="G807" s="27" t="n"/>
    </row>
    <row r="808">
      <c r="A808" s="27" t="inlineStr">
        <is>
          <t>MK00154</t>
        </is>
      </c>
      <c r="B808" s="27" t="n">
        <v>528000262</v>
      </c>
      <c r="C808" s="27" t="inlineStr">
        <is>
          <t>Ndari Dwiwanti</t>
        </is>
      </c>
      <c r="D808" s="171" t="n">
        <v>46200.41666666666</v>
      </c>
      <c r="E808" s="26" t="n">
        <v>0.9191435185185185</v>
      </c>
      <c r="F808" s="27" t="inlineStr">
        <is>
          <t>Shift 2</t>
        </is>
      </c>
      <c r="G808" s="27" t="n"/>
    </row>
    <row r="809">
      <c r="A809" s="27" t="inlineStr">
        <is>
          <t>MK00130</t>
        </is>
      </c>
      <c r="B809" s="27" t="n">
        <v>528000291</v>
      </c>
      <c r="C809" s="27" t="inlineStr">
        <is>
          <t>Andrian</t>
        </is>
      </c>
      <c r="D809" s="171" t="n">
        <v>46200.41666666666</v>
      </c>
      <c r="E809" s="26" t="n">
        <v>0.9193055555555556</v>
      </c>
      <c r="F809" s="27" t="inlineStr">
        <is>
          <t>Shift 2</t>
        </is>
      </c>
      <c r="G809" s="27" t="n"/>
    </row>
    <row r="810">
      <c r="A810" s="27" t="inlineStr">
        <is>
          <t>MK00109</t>
        </is>
      </c>
      <c r="B810" s="27" t="n">
        <v>528000358</v>
      </c>
      <c r="C810" s="27" t="inlineStr">
        <is>
          <t>Lulu Agustin</t>
        </is>
      </c>
      <c r="D810" s="171" t="n">
        <v>46200.41666666666</v>
      </c>
      <c r="E810" s="26" t="n">
        <v>0.919537037037037</v>
      </c>
      <c r="F810" s="27" t="inlineStr">
        <is>
          <t>Shift 2</t>
        </is>
      </c>
      <c r="G810" s="27" t="n"/>
    </row>
    <row r="811">
      <c r="A811" s="27" t="inlineStr">
        <is>
          <t>MK00209</t>
        </is>
      </c>
      <c r="B811" s="27" t="n">
        <v>528000261</v>
      </c>
      <c r="C811" s="27" t="inlineStr">
        <is>
          <t>Ergi Ergianto</t>
        </is>
      </c>
      <c r="D811" s="171" t="n">
        <v>46200.41666666666</v>
      </c>
      <c r="E811" s="26" t="n">
        <v>0.9195949074074075</v>
      </c>
      <c r="F811" s="27" t="inlineStr">
        <is>
          <t>Shift 2</t>
        </is>
      </c>
      <c r="G811" s="27" t="n"/>
    </row>
    <row r="812">
      <c r="A812" s="27" t="inlineStr">
        <is>
          <t>MK00095</t>
        </is>
      </c>
      <c r="B812" s="27" t="n">
        <v>528000283</v>
      </c>
      <c r="C812" s="27" t="inlineStr">
        <is>
          <t>Purwanda Sugiri</t>
        </is>
      </c>
      <c r="D812" s="171" t="n">
        <v>46200.41666666666</v>
      </c>
      <c r="E812" s="26" t="n">
        <v>0.9203009259259259</v>
      </c>
      <c r="F812" s="27" t="inlineStr">
        <is>
          <t>Shift 2</t>
        </is>
      </c>
      <c r="G812" s="27" t="n"/>
    </row>
    <row r="813">
      <c r="A813" s="27" t="inlineStr">
        <is>
          <t>MK00141</t>
        </is>
      </c>
      <c r="B813" s="27" t="n">
        <v>528000298</v>
      </c>
      <c r="C813" s="27" t="inlineStr">
        <is>
          <t>Desta Cahaya Pratama</t>
        </is>
      </c>
      <c r="D813" s="171" t="n">
        <v>46201.41666666666</v>
      </c>
      <c r="E813" s="26" t="n">
        <v>0.2556481481481481</v>
      </c>
      <c r="F813" s="27" t="inlineStr">
        <is>
          <t>Shift 3</t>
        </is>
      </c>
      <c r="G813" s="27" t="n"/>
    </row>
    <row r="814">
      <c r="A814" s="27" t="inlineStr">
        <is>
          <t>MK00202</t>
        </is>
      </c>
      <c r="B814" s="27" t="n">
        <v>528000302</v>
      </c>
      <c r="C814" s="27" t="inlineStr">
        <is>
          <t>Henkey gumilar</t>
        </is>
      </c>
      <c r="D814" s="171" t="n">
        <v>46201.41666666666</v>
      </c>
      <c r="E814" s="26" t="n">
        <v>0.2566319444444444</v>
      </c>
      <c r="F814" s="27" t="inlineStr">
        <is>
          <t>Shift 3</t>
        </is>
      </c>
      <c r="G814" s="27" t="n"/>
    </row>
    <row r="815">
      <c r="A815" s="27" t="inlineStr">
        <is>
          <t>MK00185</t>
        </is>
      </c>
      <c r="B815" s="27" t="n">
        <v>528000270</v>
      </c>
      <c r="C815" s="27" t="inlineStr">
        <is>
          <t>Febri Najmudin</t>
        </is>
      </c>
      <c r="D815" s="171" t="n">
        <v>46201.41666666666</v>
      </c>
      <c r="E815" s="26" t="n">
        <v>0.2620486111111111</v>
      </c>
      <c r="F815" s="27" t="inlineStr">
        <is>
          <t>Shift 3</t>
        </is>
      </c>
      <c r="G815" s="27" t="n"/>
    </row>
    <row r="816">
      <c r="A816" s="27" t="inlineStr">
        <is>
          <t>MK00212</t>
        </is>
      </c>
      <c r="B816" s="27" t="n">
        <v>528000149</v>
      </c>
      <c r="C816" s="27" t="inlineStr">
        <is>
          <t>Tio Fernanda</t>
        </is>
      </c>
      <c r="D816" s="171" t="n">
        <v>46201.41666666666</v>
      </c>
      <c r="E816" s="26" t="n">
        <v>0.3677199074074074</v>
      </c>
      <c r="F816" s="27" t="inlineStr">
        <is>
          <t>Shift 1</t>
        </is>
      </c>
      <c r="G816" s="27" t="n"/>
    </row>
    <row r="817">
      <c r="A817" s="27" t="inlineStr">
        <is>
          <t>MK00199</t>
        </is>
      </c>
      <c r="B817" s="27" t="n">
        <v>528000098</v>
      </c>
      <c r="C817" s="27" t="inlineStr">
        <is>
          <t>Edi Junaedi</t>
        </is>
      </c>
      <c r="D817" s="171" t="n">
        <v>46201.41666666666</v>
      </c>
      <c r="E817" s="26" t="n">
        <v>0.5676851851851852</v>
      </c>
      <c r="F817" s="27" t="inlineStr">
        <is>
          <t>Shift 1</t>
        </is>
      </c>
      <c r="G817" s="27" t="n"/>
    </row>
    <row r="818">
      <c r="A818" s="27" t="inlineStr">
        <is>
          <t>MK0082</t>
        </is>
      </c>
      <c r="B818" s="27" t="n">
        <v>528000266</v>
      </c>
      <c r="C818" s="27" t="inlineStr">
        <is>
          <t>M. Syirajatieq</t>
        </is>
      </c>
      <c r="D818" s="171" t="n">
        <v>46201.41666666666</v>
      </c>
      <c r="E818" s="26" t="n">
        <v>0.573113425925926</v>
      </c>
      <c r="F818" s="27" t="inlineStr">
        <is>
          <t>Shift 1</t>
        </is>
      </c>
      <c r="G818" s="27" t="n"/>
    </row>
    <row r="819">
      <c r="A819" s="27" t="inlineStr">
        <is>
          <t>MK00213</t>
        </is>
      </c>
      <c r="B819" s="27" t="n">
        <v>628000061</v>
      </c>
      <c r="C819" s="27" t="inlineStr">
        <is>
          <t>Nayla Fadillah Exwantoro</t>
        </is>
      </c>
      <c r="D819" s="171" t="n">
        <v>46201.41666666666</v>
      </c>
      <c r="E819" s="26" t="n">
        <v>0.5740740740740741</v>
      </c>
      <c r="F819" s="27" t="inlineStr">
        <is>
          <t>Shift 1</t>
        </is>
      </c>
      <c r="G819" s="27" t="n"/>
    </row>
    <row r="820">
      <c r="A820" s="27" t="inlineStr">
        <is>
          <t>MK00158</t>
        </is>
      </c>
      <c r="B820" s="27" t="n">
        <v>528000241</v>
      </c>
      <c r="C820" s="27" t="inlineStr">
        <is>
          <t>Balia Nurafif Bilah</t>
        </is>
      </c>
      <c r="D820" s="171" t="n">
        <v>46201.41666666666</v>
      </c>
      <c r="E820" s="26" t="n">
        <v>0.5863888888888888</v>
      </c>
      <c r="F820" s="27" t="inlineStr">
        <is>
          <t>Shift 1</t>
        </is>
      </c>
      <c r="G820" s="27" t="n"/>
    </row>
    <row r="821">
      <c r="A821" s="27" t="inlineStr">
        <is>
          <t>MK00249</t>
        </is>
      </c>
      <c r="B821" s="27" t="n">
        <v>528000290</v>
      </c>
      <c r="C821" s="27" t="inlineStr">
        <is>
          <t>Eval Pranata</t>
        </is>
      </c>
      <c r="D821" s="171" t="n">
        <v>46201.41666666666</v>
      </c>
      <c r="E821" s="26" t="n">
        <v>0.5866898148148149</v>
      </c>
      <c r="F821" s="27" t="inlineStr">
        <is>
          <t>Shift 1</t>
        </is>
      </c>
      <c r="G821" s="27" t="n"/>
    </row>
    <row r="822">
      <c r="A822" s="27" t="inlineStr">
        <is>
          <t>MK00151</t>
        </is>
      </c>
      <c r="B822" s="27" t="n">
        <v>528000090</v>
      </c>
      <c r="C822" s="27" t="inlineStr">
        <is>
          <t>Suganda</t>
        </is>
      </c>
      <c r="D822" s="171" t="n">
        <v>46201.41666666666</v>
      </c>
      <c r="E822" s="26" t="n">
        <v>0.5868634259259259</v>
      </c>
      <c r="F822" s="27" t="inlineStr">
        <is>
          <t>Shift 1</t>
        </is>
      </c>
      <c r="G822" s="27" t="n"/>
    </row>
    <row r="823">
      <c r="A823" s="27" t="inlineStr">
        <is>
          <t>MK00136</t>
        </is>
      </c>
      <c r="B823" s="27" t="n">
        <v>528000274</v>
      </c>
      <c r="C823" s="27" t="inlineStr">
        <is>
          <t>Zepri</t>
        </is>
      </c>
      <c r="D823" s="171" t="n">
        <v>46201.41666666666</v>
      </c>
      <c r="E823" s="26" t="n">
        <v>0.5870833333333333</v>
      </c>
      <c r="F823" s="27" t="inlineStr">
        <is>
          <t>Shift 1</t>
        </is>
      </c>
      <c r="G823" s="27" t="n"/>
    </row>
    <row r="824">
      <c r="A824" s="27" t="inlineStr">
        <is>
          <t>MK00181</t>
        </is>
      </c>
      <c r="B824" s="27" t="n">
        <v>528000201</v>
      </c>
      <c r="C824" s="27" t="inlineStr">
        <is>
          <t>Zahwa Amelia Choerunissa</t>
        </is>
      </c>
      <c r="D824" s="171" t="n">
        <v>46201.41666666666</v>
      </c>
      <c r="E824" s="26" t="n">
        <v>0.5883680555555556</v>
      </c>
      <c r="F824" s="27" t="inlineStr">
        <is>
          <t>Shift 1</t>
        </is>
      </c>
      <c r="G824" s="27" t="n"/>
    </row>
    <row r="825">
      <c r="A825" s="27" t="inlineStr">
        <is>
          <t>MK0046</t>
        </is>
      </c>
      <c r="B825" s="27" t="n">
        <v>528000099</v>
      </c>
      <c r="C825" s="27" t="inlineStr">
        <is>
          <t>Siti Nurawaliah</t>
        </is>
      </c>
      <c r="D825" s="171" t="n">
        <v>46201.41666666666</v>
      </c>
      <c r="E825" s="26" t="n">
        <v>0.5889004629629629</v>
      </c>
      <c r="F825" s="27" t="inlineStr">
        <is>
          <t>Shift 1</t>
        </is>
      </c>
      <c r="G825" s="27" t="n"/>
    </row>
    <row r="826">
      <c r="A826" s="27" t="inlineStr">
        <is>
          <t>MK00208</t>
        </is>
      </c>
      <c r="B826" s="27" t="n">
        <v>528000286</v>
      </c>
      <c r="C826" s="27" t="inlineStr">
        <is>
          <t>Imelda Amelia</t>
        </is>
      </c>
      <c r="D826" s="171" t="n">
        <v>46201.41666666666</v>
      </c>
      <c r="E826" s="26" t="n">
        <v>0.588912037037037</v>
      </c>
      <c r="F826" s="27" t="inlineStr">
        <is>
          <t>Shift 1</t>
        </is>
      </c>
      <c r="G826" s="27" t="n"/>
    </row>
    <row r="827">
      <c r="A827" s="27" t="inlineStr">
        <is>
          <t>MK00230</t>
        </is>
      </c>
      <c r="B827" s="27" t="n">
        <v>528000265</v>
      </c>
      <c r="C827" s="27" t="inlineStr">
        <is>
          <t>Muhammad Haerul Rozikin</t>
        </is>
      </c>
      <c r="D827" s="171" t="n">
        <v>46201.41666666666</v>
      </c>
      <c r="E827" s="26" t="n">
        <v>0.5894097222222222</v>
      </c>
      <c r="F827" s="27" t="inlineStr">
        <is>
          <t>Shift 1</t>
        </is>
      </c>
      <c r="G827" s="27" t="n"/>
    </row>
    <row r="828">
      <c r="A828" s="27" t="inlineStr">
        <is>
          <t>MK00204</t>
        </is>
      </c>
      <c r="B828" s="27" t="n">
        <v>528000282</v>
      </c>
      <c r="C828" s="27" t="inlineStr">
        <is>
          <t>Defa Desfiana</t>
        </is>
      </c>
      <c r="D828" s="171" t="n">
        <v>46201.41666666666</v>
      </c>
      <c r="E828" s="26" t="n">
        <v>0.592025462962963</v>
      </c>
      <c r="F828" s="27" t="inlineStr">
        <is>
          <t>Shift 1</t>
        </is>
      </c>
      <c r="G828" s="27" t="inlineStr">
        <is>
          <t>32b</t>
        </is>
      </c>
    </row>
    <row r="829">
      <c r="A829" s="27" t="inlineStr">
        <is>
          <t>MK00109</t>
        </is>
      </c>
      <c r="B829" s="27" t="n">
        <v>528000244</v>
      </c>
      <c r="C829" s="27" t="inlineStr">
        <is>
          <t>Rodian Rifai</t>
        </is>
      </c>
      <c r="D829" s="171" t="n">
        <v>46201.41666666666</v>
      </c>
      <c r="E829" s="26" t="n">
        <v>0.6214351851851851</v>
      </c>
      <c r="F829" s="27" t="inlineStr">
        <is>
          <t>Shift 1</t>
        </is>
      </c>
      <c r="G829" s="27" t="n"/>
    </row>
    <row r="830">
      <c r="A830" s="27" t="inlineStr">
        <is>
          <t>MK00134</t>
        </is>
      </c>
      <c r="B830" s="27" t="n">
        <v>528000351</v>
      </c>
      <c r="C830" s="27" t="inlineStr">
        <is>
          <t>Mulyana</t>
        </is>
      </c>
      <c r="D830" s="171" t="n">
        <v>46201.41666666666</v>
      </c>
      <c r="E830" s="26" t="n">
        <v>0.6676041666666667</v>
      </c>
      <c r="F830" s="27" t="inlineStr">
        <is>
          <t>Shift 2</t>
        </is>
      </c>
      <c r="G830" s="27" t="n"/>
    </row>
    <row r="831">
      <c r="A831" s="27" t="inlineStr">
        <is>
          <t>MK00088</t>
        </is>
      </c>
      <c r="B831" s="27" t="n">
        <v>528000144</v>
      </c>
      <c r="C831" s="27" t="inlineStr">
        <is>
          <t>Jodi Hanafi</t>
        </is>
      </c>
      <c r="D831" s="171" t="n">
        <v>46201.41666666666</v>
      </c>
      <c r="E831" s="26" t="n">
        <v>0.6701273148148148</v>
      </c>
      <c r="F831" s="27" t="inlineStr">
        <is>
          <t>Shift 2</t>
        </is>
      </c>
      <c r="G831" s="27" t="n"/>
    </row>
    <row r="832">
      <c r="A832" s="27" t="inlineStr">
        <is>
          <t>MK00116</t>
        </is>
      </c>
      <c r="B832" s="27" t="n">
        <v>528000015</v>
      </c>
      <c r="C832" s="27" t="inlineStr">
        <is>
          <t>Erwin</t>
        </is>
      </c>
      <c r="D832" s="171" t="n">
        <v>46201.41666666666</v>
      </c>
      <c r="E832" s="26" t="n">
        <v>0.6770138888888889</v>
      </c>
      <c r="F832" s="27" t="inlineStr">
        <is>
          <t>Shift 2</t>
        </is>
      </c>
      <c r="G832" s="27" t="n"/>
    </row>
    <row r="833">
      <c r="A833" s="27" t="inlineStr">
        <is>
          <t>AK00203</t>
        </is>
      </c>
      <c r="B833" s="27" t="n">
        <v>528000299</v>
      </c>
      <c r="C833" s="27" t="inlineStr">
        <is>
          <t>Siti Nurjanah</t>
        </is>
      </c>
      <c r="D833" s="171" t="n">
        <v>46201.41666666666</v>
      </c>
      <c r="E833" s="26" t="n">
        <v>0.8442592592592593</v>
      </c>
      <c r="F833" s="27" t="inlineStr">
        <is>
          <t>Shift 2</t>
        </is>
      </c>
      <c r="G833" s="27" t="n"/>
    </row>
    <row r="834">
      <c r="A834" s="27" t="inlineStr">
        <is>
          <t>MK00212</t>
        </is>
      </c>
      <c r="B834" s="27" t="n">
        <v>528000149</v>
      </c>
      <c r="C834" s="27" t="inlineStr">
        <is>
          <t>Tio Fernanda</t>
        </is>
      </c>
      <c r="D834" s="171" t="n">
        <v>46201.41666666666</v>
      </c>
      <c r="E834" s="26" t="n">
        <v>0.8816550925925926</v>
      </c>
      <c r="F834" s="27" t="inlineStr">
        <is>
          <t>Shift 2</t>
        </is>
      </c>
      <c r="G834" s="27" t="n"/>
    </row>
    <row r="835">
      <c r="A835" s="27" t="inlineStr">
        <is>
          <t>PE8532</t>
        </is>
      </c>
      <c r="B835" s="27" t="n">
        <v>528000305</v>
      </c>
      <c r="C835" s="27" t="inlineStr">
        <is>
          <t>Puji Puspita</t>
        </is>
      </c>
      <c r="D835" s="171" t="n">
        <v>46201.41666666666</v>
      </c>
      <c r="E835" s="26" t="n">
        <v>0.9017361111111111</v>
      </c>
      <c r="F835" s="27" t="inlineStr">
        <is>
          <t>Shift 2</t>
        </is>
      </c>
      <c r="G835" s="27" t="n"/>
    </row>
    <row r="836">
      <c r="A836" s="27" t="inlineStr">
        <is>
          <t>MK00154</t>
        </is>
      </c>
      <c r="B836" s="27" t="n">
        <v>528000262</v>
      </c>
      <c r="C836" s="27" t="inlineStr">
        <is>
          <t>Ndari Dwiwanti</t>
        </is>
      </c>
      <c r="D836" s="171" t="n">
        <v>46201.41666666666</v>
      </c>
      <c r="E836" s="26" t="n">
        <v>0.9174305555555555</v>
      </c>
      <c r="F836" s="27" t="inlineStr">
        <is>
          <t>Shift 2</t>
        </is>
      </c>
      <c r="G836" s="27" t="n"/>
    </row>
    <row r="837">
      <c r="A837" s="27" t="inlineStr">
        <is>
          <t>MK00199</t>
        </is>
      </c>
      <c r="B837" s="27" t="n">
        <v>528000306</v>
      </c>
      <c r="C837" s="27" t="inlineStr">
        <is>
          <t>Windy Olivia</t>
        </is>
      </c>
      <c r="D837" s="171" t="n">
        <v>46201.41666666666</v>
      </c>
      <c r="E837" s="26" t="n">
        <v>0.9176851851851852</v>
      </c>
      <c r="F837" s="27" t="inlineStr">
        <is>
          <t>Shift 2</t>
        </is>
      </c>
      <c r="G837" s="27" t="n"/>
    </row>
    <row r="838">
      <c r="A838" s="27" t="inlineStr">
        <is>
          <t>MK00082</t>
        </is>
      </c>
      <c r="B838" s="27" t="n">
        <v>528000358</v>
      </c>
      <c r="C838" s="27" t="inlineStr">
        <is>
          <t>Lulu Agustin</t>
        </is>
      </c>
      <c r="D838" s="171" t="n">
        <v>46201.41666666666</v>
      </c>
      <c r="E838" s="26" t="n">
        <v>0.9178356481481481</v>
      </c>
      <c r="F838" s="27" t="inlineStr">
        <is>
          <t>Shift 2</t>
        </is>
      </c>
      <c r="G838" s="27" t="n"/>
    </row>
    <row r="839">
      <c r="A839" s="27" t="inlineStr">
        <is>
          <t>MK00138</t>
        </is>
      </c>
      <c r="B839" s="27" t="n">
        <v>528000291</v>
      </c>
      <c r="C839" s="27" t="inlineStr">
        <is>
          <t>Andrian</t>
        </is>
      </c>
      <c r="D839" s="171" t="n">
        <v>46201.41666666666</v>
      </c>
      <c r="E839" s="26" t="n">
        <v>0.9180787037037037</v>
      </c>
      <c r="F839" s="27" t="inlineStr">
        <is>
          <t>Shift 2</t>
        </is>
      </c>
      <c r="G839" s="27" t="n"/>
    </row>
    <row r="840">
      <c r="A840" s="27" t="inlineStr">
        <is>
          <t>MK00202</t>
        </is>
      </c>
      <c r="B840" s="27" t="n">
        <v>528000283</v>
      </c>
      <c r="C840" s="27" t="inlineStr">
        <is>
          <t>Purwanda Sugiri</t>
        </is>
      </c>
      <c r="D840" s="171" t="n">
        <v>46201.41666666666</v>
      </c>
      <c r="E840" s="26" t="n">
        <v>0.9183333333333333</v>
      </c>
      <c r="F840" s="27" t="inlineStr">
        <is>
          <t>Shift 2</t>
        </is>
      </c>
      <c r="G840" s="27" t="n"/>
    </row>
    <row r="841">
      <c r="A841" s="27" t="inlineStr">
        <is>
          <t>MK00213</t>
        </is>
      </c>
      <c r="B841" s="27" t="n">
        <v>528000261</v>
      </c>
      <c r="C841" s="27" t="inlineStr">
        <is>
          <t>Ergi Ergianto</t>
        </is>
      </c>
      <c r="D841" s="171" t="n">
        <v>46201.41666666666</v>
      </c>
      <c r="E841" s="26" t="n">
        <v>0.9184490740740741</v>
      </c>
      <c r="F841" s="27" t="inlineStr">
        <is>
          <t>Shift 2</t>
        </is>
      </c>
      <c r="G841" s="27" t="n"/>
    </row>
    <row r="842">
      <c r="A842" s="27" t="inlineStr">
        <is>
          <t>MK00235</t>
        </is>
      </c>
      <c r="B842" s="27" t="n">
        <v>528000266</v>
      </c>
      <c r="C842" s="27" t="inlineStr">
        <is>
          <t>M. Syirajatieq</t>
        </is>
      </c>
      <c r="D842" s="171" t="n">
        <v>46201.41666666666</v>
      </c>
      <c r="E842" s="26" t="n">
        <v>0.9279166666666666</v>
      </c>
      <c r="F842" s="27" t="inlineStr">
        <is>
          <t>Shift 2</t>
        </is>
      </c>
      <c r="G842" s="27" t="n"/>
    </row>
    <row r="843">
      <c r="A843" s="27" t="inlineStr">
        <is>
          <t>MK00109</t>
        </is>
      </c>
      <c r="B843" s="27" t="n">
        <v>528000232</v>
      </c>
      <c r="C843" s="27" t="inlineStr">
        <is>
          <t>Agung Aji Suhada</t>
        </is>
      </c>
      <c r="D843" s="171" t="n">
        <v>46202.41666666666</v>
      </c>
      <c r="E843" s="26" t="n">
        <v>0.0007638888888888889</v>
      </c>
      <c r="F843" s="27" t="inlineStr">
        <is>
          <t>Shift 3</t>
        </is>
      </c>
      <c r="G843" s="27" t="n"/>
    </row>
    <row r="844">
      <c r="A844" s="27" t="inlineStr">
        <is>
          <t>MK00230</t>
        </is>
      </c>
      <c r="B844" s="27" t="n">
        <v>528000267</v>
      </c>
      <c r="C844" s="27" t="inlineStr">
        <is>
          <t>Bagas Patulloh</t>
        </is>
      </c>
      <c r="D844" s="171" t="n">
        <v>46202.41666666666</v>
      </c>
      <c r="E844" s="26" t="n">
        <v>0.002349537037037037</v>
      </c>
      <c r="F844" s="27" t="inlineStr">
        <is>
          <t>Shift 3</t>
        </is>
      </c>
      <c r="G844" s="27" t="n"/>
    </row>
    <row r="845">
      <c r="A845" s="27" t="inlineStr">
        <is>
          <t>MK00092</t>
        </is>
      </c>
      <c r="B845" s="27" t="n">
        <v>528000055</v>
      </c>
      <c r="C845" s="27" t="inlineStr">
        <is>
          <t>Dika Prasetya</t>
        </is>
      </c>
      <c r="D845" s="171" t="n">
        <v>46202.41666666666</v>
      </c>
      <c r="E845" s="26" t="n">
        <v>0.009016203703703703</v>
      </c>
      <c r="F845" s="27" t="inlineStr">
        <is>
          <t>Shift 3</t>
        </is>
      </c>
      <c r="G845" s="27" t="n"/>
    </row>
    <row r="846">
      <c r="A846" s="27" t="inlineStr">
        <is>
          <t>MK00156</t>
        </is>
      </c>
      <c r="B846" s="27" t="n">
        <v>528000273</v>
      </c>
      <c r="C846" s="27" t="inlineStr">
        <is>
          <t>Asep Mulyana</t>
        </is>
      </c>
      <c r="D846" s="171" t="n">
        <v>46202.41666666666</v>
      </c>
      <c r="E846" s="26" t="n">
        <v>0.009618055555555555</v>
      </c>
      <c r="F846" s="27" t="inlineStr">
        <is>
          <t>Shift 3</t>
        </is>
      </c>
      <c r="G846" s="27" t="n"/>
    </row>
    <row r="847">
      <c r="A847" s="27" t="inlineStr">
        <is>
          <t>MK00209</t>
        </is>
      </c>
      <c r="B847" s="27" t="n">
        <v>528000298</v>
      </c>
      <c r="C847" s="27" t="inlineStr">
        <is>
          <t>Desta Cahaya Pratama</t>
        </is>
      </c>
      <c r="D847" s="171" t="n">
        <v>46202.41666666666</v>
      </c>
      <c r="E847" s="26" t="n">
        <v>0.2524421296296296</v>
      </c>
      <c r="F847" s="27" t="inlineStr">
        <is>
          <t>Shift 3</t>
        </is>
      </c>
      <c r="G847" s="27" t="n"/>
    </row>
    <row r="848">
      <c r="A848" s="27" t="inlineStr">
        <is>
          <t>MK00158</t>
        </is>
      </c>
      <c r="B848" s="27" t="n">
        <v>528000299</v>
      </c>
      <c r="C848" s="27" t="inlineStr">
        <is>
          <t>Siti Nurjanah</t>
        </is>
      </c>
      <c r="D848" s="171" t="n">
        <v>46202.41666666666</v>
      </c>
      <c r="E848" s="26" t="n">
        <v>0.2533912037037037</v>
      </c>
      <c r="F848" s="27" t="inlineStr">
        <is>
          <t>Shift 3</t>
        </is>
      </c>
      <c r="G848" s="27" t="n"/>
    </row>
    <row r="849">
      <c r="A849" s="27" t="inlineStr">
        <is>
          <t>MK00148</t>
        </is>
      </c>
      <c r="B849" s="27" t="n">
        <v>528000305</v>
      </c>
      <c r="C849" s="27" t="inlineStr">
        <is>
          <t>Puji Puspita</t>
        </is>
      </c>
      <c r="D849" s="171" t="n">
        <v>46202.41666666666</v>
      </c>
      <c r="E849" s="26" t="n">
        <v>0.2540856481481482</v>
      </c>
      <c r="F849" s="27" t="inlineStr">
        <is>
          <t>Shift 3</t>
        </is>
      </c>
      <c r="G849" s="27" t="n"/>
    </row>
    <row r="850">
      <c r="A850" s="27" t="inlineStr">
        <is>
          <t>MK00208</t>
        </is>
      </c>
      <c r="B850" s="27" t="n">
        <v>528000302</v>
      </c>
      <c r="C850" s="27" t="inlineStr">
        <is>
          <t>Henkey gumilar</t>
        </is>
      </c>
      <c r="D850" s="171" t="n">
        <v>46202.41666666666</v>
      </c>
      <c r="E850" s="26" t="n">
        <v>0.2585879629629629</v>
      </c>
      <c r="F850" s="27" t="inlineStr">
        <is>
          <t>Shift 3</t>
        </is>
      </c>
      <c r="G850" s="27" t="n"/>
    </row>
    <row r="851">
      <c r="A851" s="27" t="inlineStr">
        <is>
          <t>MK00249</t>
        </is>
      </c>
      <c r="B851" s="27" t="n">
        <v>528000270</v>
      </c>
      <c r="C851" s="27" t="inlineStr">
        <is>
          <t>Febri Najmudin</t>
        </is>
      </c>
      <c r="D851" s="171" t="n">
        <v>46202.41666666666</v>
      </c>
      <c r="E851" s="26" t="n">
        <v>0.2625925925925926</v>
      </c>
      <c r="F851" s="27" t="inlineStr">
        <is>
          <t>Shift 3</t>
        </is>
      </c>
      <c r="G851" s="27" t="n"/>
    </row>
    <row r="852">
      <c r="A852" s="27" t="inlineStr">
        <is>
          <t>MK00085</t>
        </is>
      </c>
      <c r="B852" s="27" t="n">
        <v>628000061</v>
      </c>
      <c r="C852" s="27" t="inlineStr">
        <is>
          <t>Nayla Fadillah Exwantoro</t>
        </is>
      </c>
      <c r="D852" s="171" t="n">
        <v>46202.41666666666</v>
      </c>
      <c r="E852" s="26" t="n">
        <v>0.2697916666666667</v>
      </c>
      <c r="F852" s="27" t="inlineStr">
        <is>
          <t>Shift 3</t>
        </is>
      </c>
      <c r="G852" s="27" t="n"/>
    </row>
    <row r="853">
      <c r="A853" s="27" t="inlineStr">
        <is>
          <t>MK00025</t>
        </is>
      </c>
      <c r="B853" s="27" t="n">
        <v>528000348</v>
      </c>
      <c r="C853" s="27" t="inlineStr">
        <is>
          <t>Saepuloh Ardiansah</t>
        </is>
      </c>
      <c r="D853" s="171" t="n">
        <v>46202.41666666666</v>
      </c>
      <c r="E853" s="26" t="n">
        <v>0.375474537037037</v>
      </c>
      <c r="F853" s="27" t="inlineStr">
        <is>
          <t>Shift 1</t>
        </is>
      </c>
      <c r="G853" s="27" t="n"/>
    </row>
    <row r="854">
      <c r="A854" s="27" t="inlineStr">
        <is>
          <t>MK0085</t>
        </is>
      </c>
      <c r="B854" s="27" t="n">
        <v>528000052</v>
      </c>
      <c r="C854" s="27" t="inlineStr">
        <is>
          <t>Mustopa</t>
        </is>
      </c>
      <c r="D854" s="171" t="n">
        <v>46202.41666666666</v>
      </c>
      <c r="E854" s="26" t="n">
        <v>0.5444791666666666</v>
      </c>
      <c r="F854" s="27" t="inlineStr">
        <is>
          <t>Shift 1</t>
        </is>
      </c>
      <c r="G854" s="27" t="n"/>
    </row>
    <row r="855">
      <c r="A855" s="27" t="inlineStr">
        <is>
          <t>MK00134</t>
        </is>
      </c>
      <c r="B855" s="27" t="n">
        <v>528000098</v>
      </c>
      <c r="C855" s="27" t="inlineStr">
        <is>
          <t>Edi Junaedi</t>
        </is>
      </c>
      <c r="D855" s="171" t="n">
        <v>46202.41666666666</v>
      </c>
      <c r="E855" s="26" t="n">
        <v>0.5699074074074074</v>
      </c>
      <c r="F855" s="27" t="inlineStr">
        <is>
          <t>Shift 1</t>
        </is>
      </c>
      <c r="G855" s="27" t="n"/>
    </row>
    <row r="856">
      <c r="A856" s="27" t="inlineStr">
        <is>
          <t>MK00212</t>
        </is>
      </c>
      <c r="B856" s="27" t="n">
        <v>528000149</v>
      </c>
      <c r="C856" s="27" t="inlineStr">
        <is>
          <t>Tio Fernanda</t>
        </is>
      </c>
      <c r="D856" s="171" t="n">
        <v>46202.41666666666</v>
      </c>
      <c r="E856" s="26" t="n">
        <v>0.5701736111111111</v>
      </c>
      <c r="F856" s="27" t="inlineStr">
        <is>
          <t>Shift 1</t>
        </is>
      </c>
      <c r="G856" s="27" t="n"/>
    </row>
    <row r="857">
      <c r="A857" s="27" t="inlineStr">
        <is>
          <t>MK00212</t>
        </is>
      </c>
      <c r="B857" s="27" t="n">
        <v>528000288</v>
      </c>
      <c r="C857" s="27" t="inlineStr">
        <is>
          <t>Dede gunawan</t>
        </is>
      </c>
      <c r="D857" s="171" t="n">
        <v>46202.41666666666</v>
      </c>
      <c r="E857" s="26" t="n">
        <v>0.5724537037037037</v>
      </c>
      <c r="F857" s="27" t="inlineStr">
        <is>
          <t>Shift 1</t>
        </is>
      </c>
      <c r="G857" s="27" t="n"/>
    </row>
    <row r="858">
      <c r="A858" s="27" t="inlineStr">
        <is>
          <t>MK00138</t>
        </is>
      </c>
      <c r="B858" s="27" t="n">
        <v>528000241</v>
      </c>
      <c r="C858" s="27" t="inlineStr">
        <is>
          <t>Balia Nurafif Bilah</t>
        </is>
      </c>
      <c r="D858" s="171" t="n">
        <v>46202.41666666666</v>
      </c>
      <c r="E858" s="26" t="n">
        <v>0.5858333333333333</v>
      </c>
      <c r="F858" s="27" t="inlineStr">
        <is>
          <t>Shift 1</t>
        </is>
      </c>
      <c r="G858" s="27" t="n"/>
    </row>
    <row r="859">
      <c r="A859" s="27" t="inlineStr">
        <is>
          <t>MK00213</t>
        </is>
      </c>
      <c r="B859" s="27" t="n">
        <v>528000290</v>
      </c>
      <c r="C859" s="27" t="inlineStr">
        <is>
          <t>Eval Pranata</t>
        </is>
      </c>
      <c r="D859" s="171" t="n">
        <v>46202.41666666666</v>
      </c>
      <c r="E859" s="26" t="n">
        <v>0.5861111111111111</v>
      </c>
      <c r="F859" s="27" t="inlineStr">
        <is>
          <t>Shift 1</t>
        </is>
      </c>
      <c r="G859" s="27" t="n"/>
    </row>
    <row r="860">
      <c r="A860" s="27" t="inlineStr">
        <is>
          <t>MK00185</t>
        </is>
      </c>
      <c r="B860" s="27" t="n">
        <v>528000090</v>
      </c>
      <c r="C860" s="27" t="inlineStr">
        <is>
          <t>Suganda</t>
        </is>
      </c>
      <c r="D860" s="171" t="n">
        <v>46202.41666666666</v>
      </c>
      <c r="E860" s="26" t="n">
        <v>0.5866087962962963</v>
      </c>
      <c r="F860" s="27" t="inlineStr">
        <is>
          <t>Shift 1</t>
        </is>
      </c>
      <c r="G860" s="27" t="n"/>
    </row>
    <row r="861">
      <c r="A861" s="27" t="inlineStr">
        <is>
          <t>MK00154</t>
        </is>
      </c>
      <c r="B861" s="27" t="n">
        <v>528000201</v>
      </c>
      <c r="C861" s="27" t="inlineStr">
        <is>
          <t>Zahwa Amelia Choerunissa</t>
        </is>
      </c>
      <c r="D861" s="171" t="n">
        <v>46202.41666666666</v>
      </c>
      <c r="E861" s="26" t="n">
        <v>0.5866550925925926</v>
      </c>
      <c r="F861" s="27" t="inlineStr">
        <is>
          <t>Shift 1</t>
        </is>
      </c>
      <c r="G861" s="27" t="n"/>
    </row>
    <row r="862">
      <c r="A862" s="27" t="inlineStr">
        <is>
          <t>MK00088</t>
        </is>
      </c>
      <c r="B862" s="27" t="n">
        <v>528000274</v>
      </c>
      <c r="C862" s="27" t="inlineStr">
        <is>
          <t>Zepri</t>
        </is>
      </c>
      <c r="D862" s="171" t="n">
        <v>46202.41666666666</v>
      </c>
      <c r="E862" s="26" t="n">
        <v>0.5867592592592593</v>
      </c>
      <c r="F862" s="27" t="inlineStr">
        <is>
          <t>Shift 1</t>
        </is>
      </c>
      <c r="G862" s="27" t="n"/>
    </row>
    <row r="863">
      <c r="A863" s="27" t="inlineStr">
        <is>
          <t>MK00130</t>
        </is>
      </c>
      <c r="B863" s="27" t="n">
        <v>528000228</v>
      </c>
      <c r="C863" s="27" t="inlineStr">
        <is>
          <t>Banyu Resmi Putri</t>
        </is>
      </c>
      <c r="D863" s="171" t="n">
        <v>46202.41666666666</v>
      </c>
      <c r="E863" s="26" t="n">
        <v>0.5879513888888889</v>
      </c>
      <c r="F863" s="27" t="inlineStr">
        <is>
          <t>Shift 1</t>
        </is>
      </c>
      <c r="G863" s="27" t="n"/>
    </row>
    <row r="864">
      <c r="A864" s="27" t="inlineStr">
        <is>
          <t>MK00230</t>
        </is>
      </c>
      <c r="B864" s="27" t="n">
        <v>528000286</v>
      </c>
      <c r="C864" s="27" t="inlineStr">
        <is>
          <t>Imelda Amelia</t>
        </is>
      </c>
      <c r="D864" s="171" t="n">
        <v>46202.41666666666</v>
      </c>
      <c r="E864" s="26" t="n">
        <v>0.5884027777777778</v>
      </c>
      <c r="F864" s="27" t="inlineStr">
        <is>
          <t>Shift 1</t>
        </is>
      </c>
      <c r="G864" s="27" t="n"/>
    </row>
    <row r="865">
      <c r="A865" s="27" t="inlineStr">
        <is>
          <t>MK0093</t>
        </is>
      </c>
      <c r="B865" s="27" t="n">
        <v>528000099</v>
      </c>
      <c r="C865" s="27" t="inlineStr">
        <is>
          <t>Siti Nurawaliah</t>
        </is>
      </c>
      <c r="D865" s="171" t="n">
        <v>46202.41666666666</v>
      </c>
      <c r="E865" s="26" t="n">
        <v>0.5889930555555556</v>
      </c>
      <c r="F865" s="27" t="inlineStr">
        <is>
          <t>Shift 1</t>
        </is>
      </c>
      <c r="G865" s="27" t="n"/>
    </row>
    <row r="866">
      <c r="A866" s="27" t="inlineStr">
        <is>
          <t>MK00136</t>
        </is>
      </c>
      <c r="B866" s="27" t="n">
        <v>528000244</v>
      </c>
      <c r="C866" s="27" t="inlineStr">
        <is>
          <t>Rodian Rifai</t>
        </is>
      </c>
      <c r="D866" s="171" t="n">
        <v>46202.41666666666</v>
      </c>
      <c r="E866" s="26" t="n">
        <v>0.6499652777777778</v>
      </c>
      <c r="F866" s="27" t="inlineStr">
        <is>
          <t>Shift 1</t>
        </is>
      </c>
      <c r="G866" s="27" t="n"/>
    </row>
    <row r="867">
      <c r="A867" s="27" t="inlineStr">
        <is>
          <t>MK00209</t>
        </is>
      </c>
      <c r="B867" s="27" t="n">
        <v>528000282</v>
      </c>
      <c r="C867" s="27" t="inlineStr">
        <is>
          <t>Defa Desfiana</t>
        </is>
      </c>
      <c r="D867" s="171" t="n">
        <v>46202.41666666666</v>
      </c>
      <c r="E867" s="26" t="n">
        <v>0.667511574074074</v>
      </c>
      <c r="F867" s="27" t="inlineStr">
        <is>
          <t>Shift 2</t>
        </is>
      </c>
      <c r="G867" s="27" t="inlineStr">
        <is>
          <t>10c</t>
        </is>
      </c>
    </row>
    <row r="868">
      <c r="A868" s="27" t="inlineStr">
        <is>
          <t>MK00208</t>
        </is>
      </c>
      <c r="B868" s="27" t="n">
        <v>528000265</v>
      </c>
      <c r="C868" s="27" t="inlineStr">
        <is>
          <t>Muhammad Haerul Rozikin</t>
        </is>
      </c>
      <c r="D868" s="171" t="n">
        <v>46202.41666666666</v>
      </c>
      <c r="E868" s="26" t="n">
        <v>0.6702199074074074</v>
      </c>
      <c r="F868" s="27" t="inlineStr">
        <is>
          <t>Shift 2</t>
        </is>
      </c>
      <c r="G868" s="27" t="n"/>
    </row>
    <row r="869">
      <c r="A869" s="27" t="inlineStr">
        <is>
          <t>MK00181</t>
        </is>
      </c>
      <c r="B869" s="27" t="n">
        <v>528000144</v>
      </c>
      <c r="C869" s="27" t="inlineStr">
        <is>
          <t>Jodi Hanafi</t>
        </is>
      </c>
      <c r="D869" s="171" t="n">
        <v>46202.41666666666</v>
      </c>
      <c r="E869" s="26" t="n">
        <v>0.671400462962963</v>
      </c>
      <c r="F869" s="27" t="inlineStr">
        <is>
          <t>Shift 2</t>
        </is>
      </c>
      <c r="G869" s="27" t="n"/>
    </row>
    <row r="870">
      <c r="A870" s="27" t="inlineStr">
        <is>
          <t>MK00118</t>
        </is>
      </c>
      <c r="B870" s="27" t="n">
        <v>528000015</v>
      </c>
      <c r="C870" s="27" t="inlineStr">
        <is>
          <t>Erwin</t>
        </is>
      </c>
      <c r="D870" s="171" t="n">
        <v>46202.41666666666</v>
      </c>
      <c r="E870" s="26" t="n">
        <v>0.6718055555555555</v>
      </c>
      <c r="F870" s="27" t="inlineStr">
        <is>
          <t>Shift 2</t>
        </is>
      </c>
      <c r="G870" s="27" t="n"/>
    </row>
    <row r="871">
      <c r="A871" s="27" t="inlineStr">
        <is>
          <t>MK0003</t>
        </is>
      </c>
      <c r="B871" s="27" t="n">
        <v>528000349</v>
      </c>
      <c r="C871" s="27" t="inlineStr">
        <is>
          <t>Anas Abdul Fatah</t>
        </is>
      </c>
      <c r="D871" s="171" t="n">
        <v>46202.41666666666</v>
      </c>
      <c r="E871" s="26" t="n">
        <v>0.6815509259259259</v>
      </c>
      <c r="F871" s="27" t="inlineStr">
        <is>
          <t>Shift 2</t>
        </is>
      </c>
      <c r="G871" s="27" t="n"/>
    </row>
    <row r="872">
      <c r="A872" s="27" t="inlineStr">
        <is>
          <t>MK00204</t>
        </is>
      </c>
      <c r="B872" s="27" t="n">
        <v>528000069</v>
      </c>
      <c r="C872" s="27" t="inlineStr">
        <is>
          <t>Jajang Ardiansyah</t>
        </is>
      </c>
      <c r="D872" s="171" t="n">
        <v>46202.41666666666</v>
      </c>
      <c r="E872" s="26" t="n">
        <v>0.7034722222222223</v>
      </c>
      <c r="F872" s="27" t="inlineStr">
        <is>
          <t>Shift 2</t>
        </is>
      </c>
      <c r="G872" s="27" t="n"/>
    </row>
    <row r="873">
      <c r="A873" s="27" t="inlineStr">
        <is>
          <t>MK00212</t>
        </is>
      </c>
      <c r="B873" s="27" t="n">
        <v>528000291</v>
      </c>
      <c r="C873" s="27" t="inlineStr">
        <is>
          <t>Andrian</t>
        </is>
      </c>
      <c r="D873" s="171" t="n">
        <v>46202.41666666666</v>
      </c>
      <c r="E873" s="26" t="n">
        <v>0.717025462962963</v>
      </c>
      <c r="F873" s="27" t="inlineStr">
        <is>
          <t>Shift 2</t>
        </is>
      </c>
      <c r="G873" s="27" t="n"/>
    </row>
    <row r="874">
      <c r="A874" s="27" t="inlineStr">
        <is>
          <t>MK00205</t>
        </is>
      </c>
      <c r="B874" s="27" t="n">
        <v>528000348</v>
      </c>
      <c r="C874" s="27" t="inlineStr">
        <is>
          <t>Saepuloh Ardiansah</t>
        </is>
      </c>
      <c r="D874" s="171" t="n">
        <v>46202.41666666666</v>
      </c>
      <c r="E874" s="26" t="n">
        <v>0.7303472222222223</v>
      </c>
      <c r="F874" s="27" t="inlineStr">
        <is>
          <t>Shift 2</t>
        </is>
      </c>
      <c r="G874" s="27" t="n"/>
    </row>
    <row r="875">
      <c r="A875" s="27" t="inlineStr">
        <is>
          <t>MK00134</t>
        </is>
      </c>
      <c r="B875" s="27" t="n">
        <v>528000262</v>
      </c>
      <c r="C875" s="27" t="inlineStr">
        <is>
          <t>Ndari Dwiwanti</t>
        </is>
      </c>
      <c r="D875" s="171" t="n">
        <v>46202.41666666666</v>
      </c>
      <c r="E875" s="26" t="n">
        <v>0.9172916666666666</v>
      </c>
      <c r="F875" s="27" t="inlineStr">
        <is>
          <t>Shift 2</t>
        </is>
      </c>
      <c r="G875" s="27" t="n"/>
    </row>
    <row r="876">
      <c r="A876" s="27" t="inlineStr">
        <is>
          <t>MK00095</t>
        </is>
      </c>
      <c r="B876" s="27" t="n">
        <v>528000358</v>
      </c>
      <c r="C876" s="27" t="inlineStr">
        <is>
          <t>Lulu Agustin</t>
        </is>
      </c>
      <c r="D876" s="171" t="n">
        <v>46202.41666666666</v>
      </c>
      <c r="E876" s="26" t="n">
        <v>0.9174074074074074</v>
      </c>
      <c r="F876" s="27" t="inlineStr">
        <is>
          <t>Shift 2</t>
        </is>
      </c>
      <c r="G876" s="27" t="n"/>
    </row>
    <row r="877">
      <c r="A877" s="27" t="inlineStr">
        <is>
          <t>MK00249</t>
        </is>
      </c>
      <c r="B877" s="27" t="n">
        <v>528000052</v>
      </c>
      <c r="C877" s="27" t="inlineStr">
        <is>
          <t>Mustopa</t>
        </is>
      </c>
      <c r="D877" s="171" t="n">
        <v>46202.41666666666</v>
      </c>
      <c r="E877" s="26" t="n">
        <v>0.918125</v>
      </c>
      <c r="F877" s="27" t="inlineStr">
        <is>
          <t>Shift 2</t>
        </is>
      </c>
      <c r="G877" s="27" t="n"/>
    </row>
    <row r="878">
      <c r="A878" s="27" t="inlineStr">
        <is>
          <t>MK00145</t>
        </is>
      </c>
      <c r="B878" s="27" t="n">
        <v>528000283</v>
      </c>
      <c r="C878" s="27" t="inlineStr">
        <is>
          <t>Purwanda Sugiri</t>
        </is>
      </c>
      <c r="D878" s="171" t="n">
        <v>46202.41666666666</v>
      </c>
      <c r="E878" s="26" t="n">
        <v>0.9186574074074074</v>
      </c>
      <c r="F878" s="27" t="inlineStr">
        <is>
          <t>Shift 2</t>
        </is>
      </c>
      <c r="G878" s="27" t="n"/>
    </row>
    <row r="879">
      <c r="A879" s="27" t="inlineStr">
        <is>
          <t>MK00151</t>
        </is>
      </c>
      <c r="B879" s="27" t="n">
        <v>528000195</v>
      </c>
      <c r="C879" s="27" t="inlineStr">
        <is>
          <t>Rahma Sariwati</t>
        </is>
      </c>
      <c r="D879" s="171" t="n">
        <v>46202.41666666666</v>
      </c>
      <c r="E879" s="26" t="n">
        <v>0.9189814814814815</v>
      </c>
      <c r="F879" s="27" t="inlineStr">
        <is>
          <t>Shift 2</t>
        </is>
      </c>
      <c r="G879" s="27" t="n"/>
    </row>
    <row r="880">
      <c r="A880" s="27" t="inlineStr">
        <is>
          <t>MK00250</t>
        </is>
      </c>
      <c r="B880" s="27" t="n">
        <v>528000261</v>
      </c>
      <c r="C880" s="27" t="inlineStr">
        <is>
          <t>Ergi Ergianto</t>
        </is>
      </c>
      <c r="D880" s="171" t="n">
        <v>46202.41666666666</v>
      </c>
      <c r="E880" s="26" t="n">
        <v>0.9191550925925925</v>
      </c>
      <c r="F880" s="27" t="inlineStr">
        <is>
          <t>Shift 2</t>
        </is>
      </c>
      <c r="G880" s="27" t="n"/>
    </row>
    <row r="881">
      <c r="A881" s="27" t="inlineStr">
        <is>
          <t>MK00212</t>
        </is>
      </c>
      <c r="B881" s="27" t="n">
        <v>528000291</v>
      </c>
      <c r="C881" s="27" t="inlineStr">
        <is>
          <t>Andrian</t>
        </is>
      </c>
      <c r="D881" s="171" t="n">
        <v>46202.41666666666</v>
      </c>
      <c r="E881" s="26" t="n">
        <v>0.9206134259259259</v>
      </c>
      <c r="F881" s="27" t="inlineStr">
        <is>
          <t>Shift 2</t>
        </is>
      </c>
      <c r="G881" s="27" t="n"/>
    </row>
    <row r="882">
      <c r="A882" s="27" t="inlineStr">
        <is>
          <t>MK00109</t>
        </is>
      </c>
      <c r="B882" s="27" t="n">
        <v>528000232</v>
      </c>
      <c r="C882" s="27" t="inlineStr">
        <is>
          <t>Agung Aji Suhada</t>
        </is>
      </c>
      <c r="D882" s="171" t="n">
        <v>46173.41666666666</v>
      </c>
      <c r="E882" s="26" t="n">
        <v>0.0008912037037037037</v>
      </c>
      <c r="F882" s="27" t="inlineStr">
        <is>
          <t>Shift 3</t>
        </is>
      </c>
      <c r="G882" s="27" t="n"/>
    </row>
    <row r="883">
      <c r="A883" s="27" t="inlineStr">
        <is>
          <t>MK00136</t>
        </is>
      </c>
      <c r="B883" s="27" t="n">
        <v>528000267</v>
      </c>
      <c r="C883" s="27" t="inlineStr">
        <is>
          <t>Bagas Patulloh</t>
        </is>
      </c>
      <c r="D883" s="171" t="n">
        <v>46173.41666666666</v>
      </c>
      <c r="E883" s="26" t="n">
        <v>0.001018518518518518</v>
      </c>
      <c r="F883" s="27" t="inlineStr">
        <is>
          <t>Shift 3</t>
        </is>
      </c>
      <c r="G883" s="27" t="n"/>
    </row>
    <row r="884">
      <c r="A884" s="27" t="inlineStr">
        <is>
          <t>MK00092</t>
        </is>
      </c>
      <c r="B884" s="27" t="n">
        <v>528000055</v>
      </c>
      <c r="C884" s="27" t="inlineStr">
        <is>
          <t>Dika Prasetya</t>
        </is>
      </c>
      <c r="D884" s="171" t="n">
        <v>46173.41666666666</v>
      </c>
      <c r="E884" s="26" t="n">
        <v>0.02928240740740741</v>
      </c>
      <c r="F884" s="27" t="inlineStr">
        <is>
          <t>Shift 3</t>
        </is>
      </c>
      <c r="G884" s="27" t="n"/>
    </row>
    <row r="885">
      <c r="A885" s="27" t="inlineStr">
        <is>
          <t>MK00156</t>
        </is>
      </c>
      <c r="B885" s="27" t="n">
        <v>528000273</v>
      </c>
      <c r="C885" s="27" t="inlineStr">
        <is>
          <t>Asep Mulyana</t>
        </is>
      </c>
      <c r="D885" s="171" t="n">
        <v>46173.41666666666</v>
      </c>
      <c r="E885" s="26" t="n">
        <v>0.02979166666666667</v>
      </c>
      <c r="F885" s="27" t="inlineStr">
        <is>
          <t>Shift 3</t>
        </is>
      </c>
      <c r="G885" s="27" t="n"/>
    </row>
    <row r="886">
      <c r="A886" s="27" t="inlineStr">
        <is>
          <t>MK00116</t>
        </is>
      </c>
      <c r="B886" s="27" t="n">
        <v>528000248</v>
      </c>
      <c r="C886" s="27" t="inlineStr">
        <is>
          <t>Roka Jaya Salka Mulya</t>
        </is>
      </c>
      <c r="D886" s="171" t="n">
        <v>46173.41666666666</v>
      </c>
      <c r="E886" s="26" t="n">
        <v>0.2501736111111111</v>
      </c>
      <c r="F886" s="27" t="inlineStr">
        <is>
          <t>Shift 3</t>
        </is>
      </c>
      <c r="G886" s="27" t="n"/>
    </row>
    <row r="887">
      <c r="A887" s="27" t="inlineStr">
        <is>
          <t>MK00221</t>
        </is>
      </c>
      <c r="B887" s="27" t="n">
        <v>528000279</v>
      </c>
      <c r="C887" s="27" t="inlineStr">
        <is>
          <t>Mahdalena Dalfa Riani</t>
        </is>
      </c>
      <c r="D887" s="171" t="n">
        <v>46173.41666666666</v>
      </c>
      <c r="E887" s="26" t="n">
        <v>0.2508217592592593</v>
      </c>
      <c r="F887" s="27" t="inlineStr">
        <is>
          <t>Shift 3</t>
        </is>
      </c>
      <c r="G887" s="27" t="n"/>
    </row>
    <row r="888">
      <c r="A888" s="27" t="inlineStr">
        <is>
          <t>MK00199</t>
        </is>
      </c>
      <c r="B888" s="27" t="n">
        <v>528000063</v>
      </c>
      <c r="C888" s="27" t="inlineStr">
        <is>
          <t>Muhamad Ripki Pebrian</t>
        </is>
      </c>
      <c r="D888" s="171" t="n">
        <v>46173.41666666666</v>
      </c>
      <c r="E888" s="26" t="n">
        <v>0.251712962962963</v>
      </c>
      <c r="F888" s="27" t="inlineStr">
        <is>
          <t>Shift 3</t>
        </is>
      </c>
      <c r="G888" s="27" t="n"/>
    </row>
    <row r="889">
      <c r="A889" s="27" t="inlineStr">
        <is>
          <t>MK00210</t>
        </is>
      </c>
      <c r="B889" s="27" t="n">
        <v>528000300</v>
      </c>
      <c r="C889" s="27" t="inlineStr">
        <is>
          <t>Lia pitaloka</t>
        </is>
      </c>
      <c r="D889" s="171" t="n">
        <v>46173.41666666666</v>
      </c>
      <c r="E889" s="26" t="n">
        <v>0.2520023148148148</v>
      </c>
      <c r="F889" s="27" t="inlineStr">
        <is>
          <t>Shift 3</t>
        </is>
      </c>
      <c r="G889" s="27" t="n"/>
    </row>
    <row r="890">
      <c r="A890" s="27" t="inlineStr">
        <is>
          <t>MK00113</t>
        </is>
      </c>
      <c r="B890" s="27" t="n">
        <v>628000064</v>
      </c>
      <c r="C890" s="27" t="inlineStr">
        <is>
          <t>Silva Alypia</t>
        </is>
      </c>
      <c r="D890" s="171" t="n">
        <v>46173.41666666666</v>
      </c>
      <c r="E890" s="26" t="n">
        <v>0.2520370370370371</v>
      </c>
      <c r="F890" s="27" t="inlineStr">
        <is>
          <t>Shift 3</t>
        </is>
      </c>
      <c r="G890" s="27" t="n"/>
    </row>
    <row r="891">
      <c r="A891" s="27" t="inlineStr">
        <is>
          <t>MK00209</t>
        </is>
      </c>
      <c r="B891" s="27" t="n">
        <v>528000297</v>
      </c>
      <c r="C891" s="27" t="inlineStr">
        <is>
          <t>Muhamad Budiana</t>
        </is>
      </c>
      <c r="D891" s="171" t="n">
        <v>46173.41666666666</v>
      </c>
      <c r="E891" s="26" t="n">
        <v>0.2895023148148148</v>
      </c>
      <c r="F891" s="27" t="inlineStr">
        <is>
          <t>Shift 3</t>
        </is>
      </c>
      <c r="G891" s="27" t="n"/>
    </row>
    <row r="892">
      <c r="A892" s="27" t="inlineStr">
        <is>
          <t>MK00228</t>
        </is>
      </c>
      <c r="B892" s="27" t="n">
        <v>528000132</v>
      </c>
      <c r="C892" s="27" t="inlineStr">
        <is>
          <t>Giopani</t>
        </is>
      </c>
      <c r="D892" s="171" t="n">
        <v>46173.41666666666</v>
      </c>
      <c r="E892" s="26" t="n">
        <v>0.3662615740740741</v>
      </c>
      <c r="F892" s="27" t="inlineStr">
        <is>
          <t>Shift 1</t>
        </is>
      </c>
      <c r="G892" s="27" t="n"/>
    </row>
    <row r="893">
      <c r="A893" s="27" t="inlineStr">
        <is>
          <t>MK0008</t>
        </is>
      </c>
      <c r="B893" s="27" t="n">
        <v>528000266</v>
      </c>
      <c r="C893" s="27" t="inlineStr">
        <is>
          <t>M. Syirajatieq</t>
        </is>
      </c>
      <c r="D893" s="171" t="n">
        <v>46173.41666666666</v>
      </c>
      <c r="E893" s="26" t="n">
        <v>0.5711921296296296</v>
      </c>
      <c r="F893" s="27" t="inlineStr">
        <is>
          <t>Shift 1</t>
        </is>
      </c>
      <c r="G893" s="27" t="n"/>
    </row>
    <row r="894">
      <c r="A894" s="27" t="inlineStr">
        <is>
          <t>MK00250</t>
        </is>
      </c>
      <c r="B894" s="27" t="n">
        <v>528000290</v>
      </c>
      <c r="C894" s="27" t="inlineStr">
        <is>
          <t>Eval Pranata</t>
        </is>
      </c>
      <c r="D894" s="171" t="n">
        <v>46173.41666666666</v>
      </c>
      <c r="E894" s="26" t="n">
        <v>0.5863425925925926</v>
      </c>
      <c r="F894" s="27" t="inlineStr">
        <is>
          <t>Shift 1</t>
        </is>
      </c>
      <c r="G894" s="27" t="n"/>
    </row>
    <row r="895">
      <c r="A895" s="27" t="inlineStr">
        <is>
          <t>MK00154</t>
        </is>
      </c>
      <c r="B895" s="27" t="n">
        <v>528000244</v>
      </c>
      <c r="C895" s="27" t="inlineStr">
        <is>
          <t>Rodian Rifai</t>
        </is>
      </c>
      <c r="D895" s="171" t="n">
        <v>46173.41666666666</v>
      </c>
      <c r="E895" s="26" t="n">
        <v>0.5866435185185185</v>
      </c>
      <c r="F895" s="27" t="inlineStr">
        <is>
          <t>Shift 1</t>
        </is>
      </c>
      <c r="G895" s="27" t="n"/>
    </row>
    <row r="896">
      <c r="A896" s="27" t="inlineStr">
        <is>
          <t>MK00095</t>
        </is>
      </c>
      <c r="B896" s="27" t="n">
        <v>528000274</v>
      </c>
      <c r="C896" s="27" t="inlineStr">
        <is>
          <t>Zepri</t>
        </is>
      </c>
      <c r="D896" s="171" t="n">
        <v>46173.41666666666</v>
      </c>
      <c r="E896" s="26" t="n">
        <v>0.5866898148148149</v>
      </c>
      <c r="F896" s="27" t="inlineStr">
        <is>
          <t>Shift 1</t>
        </is>
      </c>
      <c r="G896" s="27" t="n"/>
    </row>
    <row r="897">
      <c r="A897" s="27" t="inlineStr">
        <is>
          <t>MK00212</t>
        </is>
      </c>
      <c r="B897" s="27" t="n">
        <v>528000090</v>
      </c>
      <c r="C897" s="27" t="inlineStr">
        <is>
          <t>Suganda</t>
        </is>
      </c>
      <c r="D897" s="171" t="n">
        <v>46173.41666666666</v>
      </c>
      <c r="E897" s="26" t="n">
        <v>0.5867245370370371</v>
      </c>
      <c r="F897" s="27" t="inlineStr">
        <is>
          <t>Shift 1</t>
        </is>
      </c>
      <c r="G897" s="27" t="n"/>
    </row>
    <row r="898">
      <c r="A898" s="27" t="inlineStr">
        <is>
          <t>MK00109</t>
        </is>
      </c>
      <c r="B898" s="27" t="n">
        <v>528000201</v>
      </c>
      <c r="C898" s="27" t="inlineStr">
        <is>
          <t>Zahwa Amelia Choerunissa</t>
        </is>
      </c>
      <c r="D898" s="171" t="n">
        <v>46173.41666666666</v>
      </c>
      <c r="E898" s="26" t="n">
        <v>0.5869675925925926</v>
      </c>
      <c r="F898" s="27" t="inlineStr">
        <is>
          <t>Shift 1</t>
        </is>
      </c>
      <c r="G898" s="27" t="n"/>
    </row>
    <row r="899">
      <c r="A899" s="27" t="inlineStr">
        <is>
          <t>MK00136</t>
        </is>
      </c>
      <c r="B899" s="27" t="n">
        <v>528000099</v>
      </c>
      <c r="C899" s="27" t="inlineStr">
        <is>
          <t>Siti Nurawaliah</t>
        </is>
      </c>
      <c r="D899" s="171" t="n">
        <v>46173.41666666666</v>
      </c>
      <c r="E899" s="26" t="n">
        <v>0.5873032407407407</v>
      </c>
      <c r="F899" s="27" t="inlineStr">
        <is>
          <t>Shift 1</t>
        </is>
      </c>
      <c r="G899" s="27" t="n"/>
    </row>
    <row r="900">
      <c r="A900" s="27" t="inlineStr">
        <is>
          <t>MK0134</t>
        </is>
      </c>
      <c r="B900" s="27" t="n">
        <v>528000212</v>
      </c>
      <c r="C900" s="27" t="inlineStr">
        <is>
          <t>Rizal Fauzi</t>
        </is>
      </c>
      <c r="D900" s="171" t="n">
        <v>46173.41666666666</v>
      </c>
      <c r="E900" s="26" t="n">
        <v>0.5876273148148148</v>
      </c>
      <c r="F900" s="27" t="inlineStr">
        <is>
          <t>Shift 1</t>
        </is>
      </c>
      <c r="G900" s="27" t="n"/>
    </row>
    <row r="901">
      <c r="A901" s="27" t="inlineStr">
        <is>
          <t>MK00158</t>
        </is>
      </c>
      <c r="B901" s="27" t="n">
        <v>528000228</v>
      </c>
      <c r="C901" s="27" t="inlineStr">
        <is>
          <t>Banyu Resmi Putri</t>
        </is>
      </c>
      <c r="D901" s="171" t="n">
        <v>46173.41666666666</v>
      </c>
      <c r="E901" s="26" t="n">
        <v>0.5877083333333334</v>
      </c>
      <c r="F901" s="27" t="inlineStr">
        <is>
          <t>Shift 1</t>
        </is>
      </c>
      <c r="G901" s="27" t="n"/>
    </row>
    <row r="902">
      <c r="A902" s="27" t="inlineStr">
        <is>
          <t>MK00151</t>
        </is>
      </c>
      <c r="B902" s="27" t="n">
        <v>528000286</v>
      </c>
      <c r="C902" s="27" t="inlineStr">
        <is>
          <t>Imelda Amelia</t>
        </is>
      </c>
      <c r="D902" s="171" t="n">
        <v>46173.41666666666</v>
      </c>
      <c r="E902" s="26" t="n">
        <v>0.5878819444444444</v>
      </c>
      <c r="F902" s="27" t="inlineStr">
        <is>
          <t>Shift 1</t>
        </is>
      </c>
      <c r="G902" s="27" t="n"/>
    </row>
    <row r="903">
      <c r="A903" s="27" t="inlineStr">
        <is>
          <t>MHZZ145</t>
        </is>
      </c>
      <c r="B903" s="27" t="n">
        <v>528000241</v>
      </c>
      <c r="C903" s="27" t="inlineStr">
        <is>
          <t>Balia Nurafif Bilah</t>
        </is>
      </c>
      <c r="D903" s="171" t="n">
        <v>46173.41666666666</v>
      </c>
      <c r="E903" s="26" t="n">
        <v>0.5882291666666667</v>
      </c>
      <c r="F903" s="27" t="inlineStr">
        <is>
          <t>Shift 1</t>
        </is>
      </c>
      <c r="G903" s="27" t="n"/>
    </row>
    <row r="904">
      <c r="A904" s="27" t="inlineStr">
        <is>
          <t>MK00148</t>
        </is>
      </c>
      <c r="B904" s="27" t="n">
        <v>528000351</v>
      </c>
      <c r="C904" s="27" t="inlineStr">
        <is>
          <t>Mulyana</t>
        </is>
      </c>
      <c r="D904" s="171" t="n">
        <v>46173.41666666666</v>
      </c>
      <c r="E904" s="26" t="n">
        <v>0.6671643518518519</v>
      </c>
      <c r="F904" s="27" t="inlineStr">
        <is>
          <t>Shift 2</t>
        </is>
      </c>
      <c r="G904" s="27" t="n"/>
    </row>
    <row r="905">
      <c r="A905" s="27" t="inlineStr">
        <is>
          <t>MK00235</t>
        </is>
      </c>
      <c r="B905" s="27" t="n">
        <v>528000265</v>
      </c>
      <c r="C905" s="27" t="inlineStr">
        <is>
          <t>Muhammad Haerul Rozikin</t>
        </is>
      </c>
      <c r="D905" s="171" t="n">
        <v>46173.41666666666</v>
      </c>
      <c r="E905" s="26" t="n">
        <v>0.6692361111111111</v>
      </c>
      <c r="F905" s="27" t="inlineStr">
        <is>
          <t>Shift 2</t>
        </is>
      </c>
      <c r="G905" s="27" t="n"/>
    </row>
    <row r="906">
      <c r="A906" s="27" t="inlineStr">
        <is>
          <t>MK00008</t>
        </is>
      </c>
      <c r="B906" s="27" t="n">
        <v>528000282</v>
      </c>
      <c r="C906" s="27" t="inlineStr">
        <is>
          <t>Defa Desfiana</t>
        </is>
      </c>
      <c r="D906" s="171" t="n">
        <v>46173.41666666666</v>
      </c>
      <c r="E906" s="26" t="n">
        <v>0.6699074074074074</v>
      </c>
      <c r="F906" s="27" t="inlineStr">
        <is>
          <t>Shift 2</t>
        </is>
      </c>
      <c r="G906" s="27" t="inlineStr">
        <is>
          <t>10a</t>
        </is>
      </c>
    </row>
    <row r="907">
      <c r="A907" s="27" t="inlineStr">
        <is>
          <t>MK00249</t>
        </is>
      </c>
      <c r="B907" s="27" t="n">
        <v>528000349</v>
      </c>
      <c r="C907" s="27" t="inlineStr">
        <is>
          <t>Anas Abdul Fatah</t>
        </is>
      </c>
      <c r="D907" s="171" t="n">
        <v>46173.41666666666</v>
      </c>
      <c r="E907" s="26" t="n">
        <v>0.6777430555555556</v>
      </c>
      <c r="F907" s="27" t="inlineStr">
        <is>
          <t>Shift 2</t>
        </is>
      </c>
      <c r="G907" s="27" t="n"/>
    </row>
    <row r="908">
      <c r="A908" s="27" t="inlineStr">
        <is>
          <t>MK00082</t>
        </is>
      </c>
      <c r="B908" s="27" t="n">
        <v>528000144</v>
      </c>
      <c r="C908" s="27" t="inlineStr">
        <is>
          <t>Jodi Hanafi</t>
        </is>
      </c>
      <c r="D908" s="171" t="n">
        <v>46173.41666666666</v>
      </c>
      <c r="E908" s="26" t="n">
        <v>0.6778935185185185</v>
      </c>
      <c r="F908" s="27" t="inlineStr">
        <is>
          <t>Shift 2</t>
        </is>
      </c>
      <c r="G908" s="27" t="n"/>
    </row>
    <row r="909">
      <c r="A909" s="27" t="inlineStr">
        <is>
          <t>MK00205</t>
        </is>
      </c>
      <c r="B909" s="27" t="n">
        <v>528000348</v>
      </c>
      <c r="C909" s="27" t="inlineStr">
        <is>
          <t>Saepuloh Ardiansah</t>
        </is>
      </c>
      <c r="D909" s="171" t="n">
        <v>46173.41666666666</v>
      </c>
      <c r="E909" s="26" t="n">
        <v>0.715775462962963</v>
      </c>
      <c r="F909" s="27" t="inlineStr">
        <is>
          <t>Shift 2</t>
        </is>
      </c>
      <c r="G909" s="27" t="n"/>
    </row>
    <row r="910">
      <c r="A910" s="27" t="inlineStr">
        <is>
          <t>MK00113</t>
        </is>
      </c>
      <c r="B910" s="27" t="n">
        <v>528000262</v>
      </c>
      <c r="C910" s="27" t="inlineStr">
        <is>
          <t>Ndari Dwiwanti</t>
        </is>
      </c>
      <c r="D910" s="171" t="n">
        <v>46173.41666666666</v>
      </c>
      <c r="E910" s="26" t="n">
        <v>0.9184375</v>
      </c>
      <c r="F910" s="27" t="inlineStr">
        <is>
          <t>Shift 2</t>
        </is>
      </c>
      <c r="G910" s="27" t="n"/>
    </row>
    <row r="911">
      <c r="A911" s="27" t="inlineStr">
        <is>
          <t>MK00185</t>
        </is>
      </c>
      <c r="B911" s="27" t="n">
        <v>528000291</v>
      </c>
      <c r="C911" s="27" t="inlineStr">
        <is>
          <t>Andrian</t>
        </is>
      </c>
      <c r="D911" s="171" t="n">
        <v>46173.41666666666</v>
      </c>
      <c r="E911" s="26" t="n">
        <v>0.9186458333333334</v>
      </c>
      <c r="F911" s="27" t="inlineStr">
        <is>
          <t>Shift 2</t>
        </is>
      </c>
      <c r="G911" s="27" t="n"/>
    </row>
    <row r="912">
      <c r="A912" s="27" t="inlineStr">
        <is>
          <t>MK00181</t>
        </is>
      </c>
      <c r="B912" s="27" t="n">
        <v>528000261</v>
      </c>
      <c r="C912" s="27" t="inlineStr">
        <is>
          <t>Ergi Ergianto</t>
        </is>
      </c>
      <c r="D912" s="171" t="n">
        <v>46173.41666666666</v>
      </c>
      <c r="E912" s="26" t="n">
        <v>0.9186458333333334</v>
      </c>
      <c r="F912" s="27" t="inlineStr">
        <is>
          <t>Shift 2</t>
        </is>
      </c>
      <c r="G912" s="27" t="n"/>
    </row>
    <row r="913">
      <c r="A913" s="27" t="inlineStr">
        <is>
          <t>MK00199</t>
        </is>
      </c>
      <c r="B913" s="27" t="n">
        <v>528000358</v>
      </c>
      <c r="C913" s="27" t="inlineStr">
        <is>
          <t>Lulu Agustin</t>
        </is>
      </c>
      <c r="D913" s="171" t="n">
        <v>46173.41666666666</v>
      </c>
      <c r="E913" s="26" t="n">
        <v>0.9187037037037037</v>
      </c>
      <c r="F913" s="27" t="inlineStr">
        <is>
          <t>Shift 2</t>
        </is>
      </c>
      <c r="G913" s="27" t="n"/>
    </row>
    <row r="914">
      <c r="A914" s="27" t="inlineStr">
        <is>
          <t>MK00204</t>
        </is>
      </c>
      <c r="B914" s="27" t="n">
        <v>528000052</v>
      </c>
      <c r="C914" s="27" t="inlineStr">
        <is>
          <t>Mustopa</t>
        </is>
      </c>
      <c r="D914" s="171" t="n">
        <v>46173.41666666666</v>
      </c>
      <c r="E914" s="26" t="n">
        <v>0.9196180555555555</v>
      </c>
      <c r="F914" s="27" t="inlineStr">
        <is>
          <t>Shift 2</t>
        </is>
      </c>
      <c r="G914" s="27" t="n"/>
    </row>
    <row r="915">
      <c r="A915" s="27" t="inlineStr">
        <is>
          <t>MK00221</t>
        </is>
      </c>
      <c r="B915" s="27" t="n">
        <v>528000195</v>
      </c>
      <c r="C915" s="27" t="inlineStr">
        <is>
          <t>Rahma Sariwati</t>
        </is>
      </c>
      <c r="D915" s="171" t="n">
        <v>46173.41666666666</v>
      </c>
      <c r="E915" s="26" t="n">
        <v>0.9200694444444445</v>
      </c>
      <c r="F915" s="27" t="inlineStr">
        <is>
          <t>Shift 2</t>
        </is>
      </c>
      <c r="G915" s="27" t="n"/>
    </row>
    <row r="916">
      <c r="A916" s="27" t="inlineStr">
        <is>
          <t>MK00116</t>
        </is>
      </c>
      <c r="B916" s="27" t="n">
        <v>528000266</v>
      </c>
      <c r="C916" s="27" t="inlineStr">
        <is>
          <t>M. Syirajatieq</t>
        </is>
      </c>
      <c r="D916" s="171" t="n">
        <v>46173.41666666666</v>
      </c>
      <c r="E916" s="26" t="n">
        <v>0.9252314814814815</v>
      </c>
      <c r="F916" s="27" t="inlineStr">
        <is>
          <t>Shift 2</t>
        </is>
      </c>
      <c r="G916" s="27" t="n"/>
    </row>
    <row r="917">
      <c r="A917" s="27" t="inlineStr">
        <is>
          <t>MK00230</t>
        </is>
      </c>
      <c r="B917" s="27" t="n">
        <v>528000267</v>
      </c>
      <c r="C917" s="27" t="inlineStr">
        <is>
          <t>Bagas Patulloh</t>
        </is>
      </c>
      <c r="D917" s="171" t="n">
        <v>46174.41666666666</v>
      </c>
      <c r="E917" s="26" t="n">
        <v>0.0002662037037037037</v>
      </c>
      <c r="F917" s="27" t="inlineStr">
        <is>
          <t>Shift 3</t>
        </is>
      </c>
      <c r="G917" s="27" t="n"/>
    </row>
    <row r="918">
      <c r="A918" s="27" t="inlineStr">
        <is>
          <t>MK00250</t>
        </is>
      </c>
      <c r="B918" s="27" t="n">
        <v>528000232</v>
      </c>
      <c r="C918" s="27" t="inlineStr">
        <is>
          <t>Agung Aji Suhada</t>
        </is>
      </c>
      <c r="D918" s="171" t="n">
        <v>46174.41666666666</v>
      </c>
      <c r="E918" s="26" t="n">
        <v>0.0008101851851851852</v>
      </c>
      <c r="F918" s="27" t="inlineStr">
        <is>
          <t>Shift 3</t>
        </is>
      </c>
      <c r="G918" s="27" t="n"/>
    </row>
    <row r="919">
      <c r="A919" s="27" t="inlineStr">
        <is>
          <t>MK00112</t>
        </is>
      </c>
      <c r="B919" s="27" t="n">
        <v>528000248</v>
      </c>
      <c r="C919" s="27" t="inlineStr">
        <is>
          <t>Roka Jaya Salka Mulya</t>
        </is>
      </c>
      <c r="D919" s="171" t="n">
        <v>46174.41666666666</v>
      </c>
      <c r="E919" s="26" t="n">
        <v>0.2509259259259259</v>
      </c>
      <c r="F919" s="27" t="inlineStr">
        <is>
          <t>Shift 3</t>
        </is>
      </c>
      <c r="G919" s="27" t="n"/>
    </row>
    <row r="920">
      <c r="A920" s="27" t="inlineStr">
        <is>
          <t>MK00148</t>
        </is>
      </c>
      <c r="B920" s="27" t="n">
        <v>528000063</v>
      </c>
      <c r="C920" s="27" t="inlineStr">
        <is>
          <t>Muhamad Ripki Pebrian</t>
        </is>
      </c>
      <c r="D920" s="171" t="n">
        <v>46174.41666666666</v>
      </c>
      <c r="E920" s="26" t="n">
        <v>0.2515046296296296</v>
      </c>
      <c r="F920" s="27" t="inlineStr">
        <is>
          <t>Shift 3</t>
        </is>
      </c>
      <c r="G920" s="27" t="n"/>
    </row>
    <row r="921">
      <c r="A921" s="27" t="inlineStr">
        <is>
          <t>MK00082</t>
        </is>
      </c>
      <c r="B921" s="27" t="n">
        <v>528000306</v>
      </c>
      <c r="C921" s="27" t="inlineStr">
        <is>
          <t>Windy Olivia</t>
        </is>
      </c>
      <c r="D921" s="171" t="n">
        <v>46174.41666666666</v>
      </c>
      <c r="E921" s="26" t="n">
        <v>0.2524074074074074</v>
      </c>
      <c r="F921" s="27" t="inlineStr">
        <is>
          <t>Shift 3</t>
        </is>
      </c>
      <c r="G921" s="27" t="n"/>
    </row>
    <row r="922">
      <c r="A922" s="27" t="inlineStr">
        <is>
          <t>MK00213</t>
        </is>
      </c>
      <c r="B922" s="27" t="n">
        <v>528000279</v>
      </c>
      <c r="C922" s="27" t="inlineStr">
        <is>
          <t>Mahdalena Dalfa Riani</t>
        </is>
      </c>
      <c r="D922" s="171" t="n">
        <v>46174.41666666666</v>
      </c>
      <c r="E922" s="26" t="n">
        <v>0.2526388888888889</v>
      </c>
      <c r="F922" s="27" t="inlineStr">
        <is>
          <t>Shift 3</t>
        </is>
      </c>
      <c r="G922" s="27" t="n"/>
    </row>
    <row r="923">
      <c r="A923" s="27" t="inlineStr">
        <is>
          <t>MK0088</t>
        </is>
      </c>
      <c r="B923" s="27" t="n">
        <v>528000015</v>
      </c>
      <c r="C923" s="27" t="inlineStr">
        <is>
          <t>Erwin</t>
        </is>
      </c>
      <c r="D923" s="171" t="n">
        <v>46174.41666666666</v>
      </c>
      <c r="E923" s="26" t="n">
        <v>0.2527893518518519</v>
      </c>
      <c r="F923" s="27" t="inlineStr">
        <is>
          <t>Shift 3</t>
        </is>
      </c>
      <c r="G923" s="27" t="n"/>
    </row>
    <row r="924">
      <c r="A924" s="27" t="inlineStr">
        <is>
          <t>MK00154</t>
        </is>
      </c>
      <c r="B924" s="27" t="n">
        <v>528000300</v>
      </c>
      <c r="C924" s="27" t="inlineStr">
        <is>
          <t>Lia pitaloka</t>
        </is>
      </c>
      <c r="D924" s="171" t="n">
        <v>46174.41666666666</v>
      </c>
      <c r="E924" s="26" t="n">
        <v>0.2528935185185185</v>
      </c>
      <c r="F924" s="27" t="inlineStr">
        <is>
          <t>Shift 3</t>
        </is>
      </c>
      <c r="G924" s="27" t="n"/>
    </row>
    <row r="925">
      <c r="A925" s="27" t="inlineStr">
        <is>
          <t>MK00088</t>
        </is>
      </c>
      <c r="B925" s="27" t="n">
        <v>628000064</v>
      </c>
      <c r="C925" s="27" t="inlineStr">
        <is>
          <t>Silva Alypia</t>
        </is>
      </c>
      <c r="D925" s="171" t="n">
        <v>46174.41666666666</v>
      </c>
      <c r="E925" s="26" t="n">
        <v>0.2534606481481482</v>
      </c>
      <c r="F925" s="27" t="inlineStr">
        <is>
          <t>Shift 3</t>
        </is>
      </c>
      <c r="G925" s="27" t="n"/>
    </row>
    <row r="926">
      <c r="A926" s="27" t="inlineStr">
        <is>
          <t>MK00249</t>
        </is>
      </c>
      <c r="B926" s="27" t="n">
        <v>528000288</v>
      </c>
      <c r="C926" s="27" t="inlineStr">
        <is>
          <t>Dede gunawan</t>
        </is>
      </c>
      <c r="D926" s="171" t="n">
        <v>46174.41666666666</v>
      </c>
      <c r="E926" s="26" t="n">
        <v>0.2545138888888889</v>
      </c>
      <c r="F926" s="27" t="inlineStr">
        <is>
          <t>Shift 3</t>
        </is>
      </c>
      <c r="G926" s="27" t="n"/>
    </row>
    <row r="927">
      <c r="A927" s="27" t="inlineStr">
        <is>
          <t>MK00158</t>
        </is>
      </c>
      <c r="B927" s="27" t="n">
        <v>528000297</v>
      </c>
      <c r="C927" s="27" t="inlineStr">
        <is>
          <t>Muhamad Budiana</t>
        </is>
      </c>
      <c r="D927" s="171" t="n">
        <v>46174.41666666666</v>
      </c>
      <c r="E927" s="26" t="n">
        <v>0.294537037037037</v>
      </c>
      <c r="F927" s="27" t="inlineStr">
        <is>
          <t>Shift 3</t>
        </is>
      </c>
      <c r="G927" s="27" t="n"/>
    </row>
    <row r="928">
      <c r="A928" s="27" t="inlineStr">
        <is>
          <t>MK00228</t>
        </is>
      </c>
      <c r="B928" s="27" t="n">
        <v>528000132</v>
      </c>
      <c r="C928" s="27" t="inlineStr">
        <is>
          <t>Giopani</t>
        </is>
      </c>
      <c r="D928" s="171" t="n">
        <v>46174.41666666666</v>
      </c>
      <c r="E928" s="26" t="n">
        <v>0.369525462962963</v>
      </c>
      <c r="F928" s="27" t="inlineStr">
        <is>
          <t>Shift 1</t>
        </is>
      </c>
      <c r="G928" s="27" t="n"/>
    </row>
    <row r="929">
      <c r="A929" s="27" t="inlineStr">
        <is>
          <t>MK00210</t>
        </is>
      </c>
      <c r="B929" s="27" t="n">
        <v>528000241</v>
      </c>
      <c r="C929" s="27" t="inlineStr">
        <is>
          <t>Balia Nurafif Bilah</t>
        </is>
      </c>
      <c r="D929" s="171" t="n">
        <v>46174.41666666666</v>
      </c>
      <c r="E929" s="26" t="n">
        <v>0.5860069444444445</v>
      </c>
      <c r="F929" s="27" t="inlineStr">
        <is>
          <t>Shift 1</t>
        </is>
      </c>
      <c r="G929" s="27" t="n"/>
    </row>
    <row r="930">
      <c r="A930" s="27" t="inlineStr">
        <is>
          <t>MK00181</t>
        </is>
      </c>
      <c r="B930" s="27" t="n">
        <v>528000290</v>
      </c>
      <c r="C930" s="27" t="inlineStr">
        <is>
          <t>Eval Pranata</t>
        </is>
      </c>
      <c r="D930" s="171" t="n">
        <v>46174.41666666666</v>
      </c>
      <c r="E930" s="26" t="n">
        <v>0.5869212962962963</v>
      </c>
      <c r="F930" s="27" t="inlineStr">
        <is>
          <t>Shift 1</t>
        </is>
      </c>
      <c r="G930" s="27" t="n"/>
    </row>
    <row r="931">
      <c r="A931" s="27" t="inlineStr">
        <is>
          <t>MK00134</t>
        </is>
      </c>
      <c r="B931" s="27" t="n">
        <v>528000090</v>
      </c>
      <c r="C931" s="27" t="inlineStr">
        <is>
          <t>Suganda</t>
        </is>
      </c>
      <c r="D931" s="171" t="n">
        <v>46174.41666666666</v>
      </c>
      <c r="E931" s="26" t="n">
        <v>0.5872453703703704</v>
      </c>
      <c r="F931" s="27" t="inlineStr">
        <is>
          <t>Shift 1</t>
        </is>
      </c>
      <c r="G931" s="27" t="n"/>
    </row>
    <row r="932">
      <c r="A932" s="27" t="inlineStr">
        <is>
          <t>MK00130</t>
        </is>
      </c>
      <c r="B932" s="27" t="n">
        <v>528000212</v>
      </c>
      <c r="C932" s="27" t="inlineStr">
        <is>
          <t>Rizal Fauzi</t>
        </is>
      </c>
      <c r="D932" s="171" t="n">
        <v>46174.41666666666</v>
      </c>
      <c r="E932" s="26" t="n">
        <v>0.5877083333333334</v>
      </c>
      <c r="F932" s="27" t="inlineStr">
        <is>
          <t>Shift 1</t>
        </is>
      </c>
      <c r="G932" s="27" t="n"/>
    </row>
    <row r="933">
      <c r="A933" s="27" t="inlineStr">
        <is>
          <t>MK00230</t>
        </is>
      </c>
      <c r="B933" s="27" t="n">
        <v>528000201</v>
      </c>
      <c r="C933" s="27" t="inlineStr">
        <is>
          <t>Zahwa Amelia Choerunissa</t>
        </is>
      </c>
      <c r="D933" s="171" t="n">
        <v>46174.41666666666</v>
      </c>
      <c r="E933" s="26" t="n">
        <v>0.5888888888888889</v>
      </c>
      <c r="F933" s="27" t="inlineStr">
        <is>
          <t>Shift 1</t>
        </is>
      </c>
      <c r="G933" s="27" t="n"/>
    </row>
    <row r="934">
      <c r="A934" s="27" t="inlineStr">
        <is>
          <t>MK00192</t>
        </is>
      </c>
      <c r="B934" s="27" t="n">
        <v>528000099</v>
      </c>
      <c r="C934" s="27" t="inlineStr">
        <is>
          <t>Siti Nurawaliah</t>
        </is>
      </c>
      <c r="D934" s="171" t="n">
        <v>46174.41666666666</v>
      </c>
      <c r="E934" s="26" t="n">
        <v>0.5891898148148148</v>
      </c>
      <c r="F934" s="27" t="inlineStr">
        <is>
          <t>Shift 1</t>
        </is>
      </c>
      <c r="G934" s="27" t="n"/>
    </row>
    <row r="935">
      <c r="A935" s="27" t="inlineStr">
        <is>
          <t>MK00185</t>
        </is>
      </c>
      <c r="B935" s="27" t="n">
        <v>528000286</v>
      </c>
      <c r="C935" s="27" t="inlineStr">
        <is>
          <t>Imelda Amelia</t>
        </is>
      </c>
      <c r="D935" s="171" t="n">
        <v>46174.41666666666</v>
      </c>
      <c r="E935" s="26" t="n">
        <v>0.5935416666666666</v>
      </c>
      <c r="F935" s="27" t="inlineStr">
        <is>
          <t>Shift 1</t>
        </is>
      </c>
      <c r="G935" s="27" t="n"/>
    </row>
    <row r="936">
      <c r="A936" s="27" t="inlineStr">
        <is>
          <t>MK00185</t>
        </is>
      </c>
      <c r="B936" s="27" t="n">
        <v>528000286</v>
      </c>
      <c r="C936" s="27" t="inlineStr">
        <is>
          <t>Imelda Amelia</t>
        </is>
      </c>
      <c r="D936" s="171" t="n">
        <v>46174.41666666666</v>
      </c>
      <c r="E936" s="26" t="n">
        <v>0.5970949074074074</v>
      </c>
      <c r="F936" s="27" t="inlineStr">
        <is>
          <t>Shift 1</t>
        </is>
      </c>
      <c r="G936" s="27" t="n"/>
    </row>
    <row r="937">
      <c r="A937" s="27" t="inlineStr">
        <is>
          <t>MK00126</t>
        </is>
      </c>
      <c r="B937" s="27" t="n">
        <v>528000274</v>
      </c>
      <c r="C937" s="27" t="inlineStr">
        <is>
          <t>Zepri</t>
        </is>
      </c>
      <c r="D937" s="171" t="n">
        <v>46174.41666666666</v>
      </c>
      <c r="E937" s="26" t="n">
        <v>0.6098726851851852</v>
      </c>
      <c r="F937" s="27" t="inlineStr">
        <is>
          <t>Shift 1</t>
        </is>
      </c>
      <c r="G937" s="27" t="n"/>
    </row>
    <row r="938">
      <c r="A938" s="27" t="inlineStr">
        <is>
          <t>MK00204</t>
        </is>
      </c>
      <c r="B938" s="27" t="n">
        <v>528000244</v>
      </c>
      <c r="C938" s="27" t="inlineStr">
        <is>
          <t>Rodian Rifai</t>
        </is>
      </c>
      <c r="D938" s="171" t="n">
        <v>46174.41666666666</v>
      </c>
      <c r="E938" s="26" t="n">
        <v>0.6413773148148149</v>
      </c>
      <c r="F938" s="27" t="inlineStr">
        <is>
          <t>Shift 1</t>
        </is>
      </c>
      <c r="G938" s="27" t="n"/>
    </row>
    <row r="939">
      <c r="A939" s="27" t="inlineStr">
        <is>
          <t>MK00276</t>
        </is>
      </c>
      <c r="B939" s="27" t="n">
        <v>528000273</v>
      </c>
      <c r="C939" s="27" t="inlineStr">
        <is>
          <t>Asep Mulyana</t>
        </is>
      </c>
      <c r="D939" s="171" t="n">
        <v>46174.41666666666</v>
      </c>
      <c r="E939" s="26" t="n">
        <v>0.6421412037037038</v>
      </c>
      <c r="F939" s="27" t="inlineStr">
        <is>
          <t>Shift 1</t>
        </is>
      </c>
      <c r="G939" s="27" t="n"/>
    </row>
    <row r="940">
      <c r="A940" s="27" t="inlineStr">
        <is>
          <t>MK00158</t>
        </is>
      </c>
      <c r="B940" s="27" t="n">
        <v>528000282</v>
      </c>
      <c r="C940" s="27" t="inlineStr">
        <is>
          <t>Defa Desfiana</t>
        </is>
      </c>
      <c r="D940" s="171" t="n">
        <v>46174.41666666666</v>
      </c>
      <c r="E940" s="26" t="n">
        <v>0.6677083333333333</v>
      </c>
      <c r="F940" s="27" t="inlineStr">
        <is>
          <t>Shift 2</t>
        </is>
      </c>
      <c r="G940" s="27" t="inlineStr">
        <is>
          <t>23c</t>
        </is>
      </c>
    </row>
    <row r="941">
      <c r="A941" s="27" t="inlineStr">
        <is>
          <t>MK00108</t>
        </is>
      </c>
      <c r="B941" s="27" t="n">
        <v>528000351</v>
      </c>
      <c r="C941" s="27" t="inlineStr">
        <is>
          <t>Mulyana</t>
        </is>
      </c>
      <c r="D941" s="171" t="n">
        <v>46174.41666666666</v>
      </c>
      <c r="E941" s="26" t="n">
        <v>0.6681597222222222</v>
      </c>
      <c r="F941" s="27" t="inlineStr">
        <is>
          <t>Shift 2</t>
        </is>
      </c>
      <c r="G941" s="27" t="n"/>
    </row>
    <row r="942">
      <c r="A942" s="27" t="inlineStr">
        <is>
          <t>MK0008</t>
        </is>
      </c>
      <c r="B942" s="27" t="n">
        <v>528000310</v>
      </c>
      <c r="C942" s="27" t="inlineStr">
        <is>
          <t>Fachrul Rozzi Suryana</t>
        </is>
      </c>
      <c r="D942" s="171" t="n">
        <v>46174.41666666666</v>
      </c>
      <c r="E942" s="26" t="n">
        <v>0.6686689814814815</v>
      </c>
      <c r="F942" s="27" t="inlineStr">
        <is>
          <t>Shift 2</t>
        </is>
      </c>
      <c r="G942" s="27" t="n"/>
    </row>
    <row r="943">
      <c r="A943" s="27" t="inlineStr">
        <is>
          <t>MK00213</t>
        </is>
      </c>
      <c r="B943" s="27" t="n">
        <v>528000265</v>
      </c>
      <c r="C943" s="27" t="inlineStr">
        <is>
          <t>Muhammad Haerul Rozikin</t>
        </is>
      </c>
      <c r="D943" s="171" t="n">
        <v>46174.41666666666</v>
      </c>
      <c r="E943" s="26" t="n">
        <v>0.6718402777777778</v>
      </c>
      <c r="F943" s="27" t="inlineStr">
        <is>
          <t>Shift 2</t>
        </is>
      </c>
      <c r="G943" s="27" t="n"/>
    </row>
    <row r="944">
      <c r="A944" s="27" t="inlineStr">
        <is>
          <t>MK00112</t>
        </is>
      </c>
      <c r="B944" s="27" t="n">
        <v>528000349</v>
      </c>
      <c r="C944" s="27" t="inlineStr">
        <is>
          <t>Anas Abdul Fatah</t>
        </is>
      </c>
      <c r="D944" s="171" t="n">
        <v>46174.41666666666</v>
      </c>
      <c r="E944" s="26" t="n">
        <v>0.6789351851851851</v>
      </c>
      <c r="F944" s="27" t="inlineStr">
        <is>
          <t>Shift 2</t>
        </is>
      </c>
      <c r="G944" s="27" t="n"/>
    </row>
    <row r="945">
      <c r="A945" s="27" t="inlineStr">
        <is>
          <t>MK00082</t>
        </is>
      </c>
      <c r="B945" s="27" t="n">
        <v>528000144</v>
      </c>
      <c r="C945" s="27" t="inlineStr">
        <is>
          <t>Jodi Hanafi</t>
        </is>
      </c>
      <c r="D945" s="171" t="n">
        <v>46174.41666666666</v>
      </c>
      <c r="E945" s="26" t="n">
        <v>0.6806944444444445</v>
      </c>
      <c r="F945" s="27" t="inlineStr">
        <is>
          <t>Shift 2</t>
        </is>
      </c>
      <c r="G945" s="27" t="n"/>
    </row>
    <row r="946">
      <c r="A946" s="27" t="inlineStr">
        <is>
          <t>MK00205</t>
        </is>
      </c>
      <c r="B946" s="27" t="n">
        <v>528000348</v>
      </c>
      <c r="C946" s="27" t="inlineStr">
        <is>
          <t>Saepuloh Ardiansah</t>
        </is>
      </c>
      <c r="D946" s="171" t="n">
        <v>46174.41666666666</v>
      </c>
      <c r="E946" s="26" t="n">
        <v>0.730474537037037</v>
      </c>
      <c r="F946" s="27" t="inlineStr">
        <is>
          <t>Shift 2</t>
        </is>
      </c>
      <c r="G946" s="27" t="n"/>
    </row>
    <row r="947">
      <c r="A947" s="27" t="inlineStr">
        <is>
          <t>MK00145</t>
        </is>
      </c>
      <c r="B947" s="27" t="n">
        <v>528000298</v>
      </c>
      <c r="C947" s="27" t="inlineStr">
        <is>
          <t>Desta Cahaya Pratama</t>
        </is>
      </c>
      <c r="D947" s="171" t="n">
        <v>46174.41666666666</v>
      </c>
      <c r="E947" s="26" t="n">
        <v>0.9221527777777778</v>
      </c>
      <c r="F947" s="27" t="inlineStr">
        <is>
          <t>Shift 2</t>
        </is>
      </c>
      <c r="G947" s="27" t="n"/>
    </row>
    <row r="948">
      <c r="A948" s="27" t="inlineStr">
        <is>
          <t>MK00151</t>
        </is>
      </c>
      <c r="B948" s="27" t="n">
        <v>528000309</v>
      </c>
      <c r="C948" s="27" t="inlineStr">
        <is>
          <t>Ilham Ramadhan</t>
        </is>
      </c>
      <c r="D948" s="171" t="n">
        <v>46174.41666666666</v>
      </c>
      <c r="E948" s="26" t="n">
        <v>0.9228240740740741</v>
      </c>
      <c r="F948" s="27" t="inlineStr">
        <is>
          <t>Shift 2</t>
        </is>
      </c>
      <c r="G948" s="27" t="n"/>
    </row>
    <row r="949">
      <c r="A949" s="27" t="inlineStr">
        <is>
          <t>MK00093</t>
        </is>
      </c>
      <c r="B949" s="27" t="n">
        <v>528000302</v>
      </c>
      <c r="C949" s="27" t="inlineStr">
        <is>
          <t>Henkey gumilar</t>
        </is>
      </c>
      <c r="D949" s="171" t="n">
        <v>46174.41666666666</v>
      </c>
      <c r="E949" s="26" t="n">
        <v>0.9245023148148148</v>
      </c>
      <c r="F949" s="27" t="inlineStr">
        <is>
          <t>Shift 2</t>
        </is>
      </c>
      <c r="G949" s="27" t="n"/>
    </row>
    <row r="950">
      <c r="A950" s="27" t="inlineStr">
        <is>
          <t>MK00138</t>
        </is>
      </c>
      <c r="B950" s="27" t="n">
        <v>528000270</v>
      </c>
      <c r="C950" s="27" t="inlineStr">
        <is>
          <t>Febri Najmudin</t>
        </is>
      </c>
      <c r="D950" s="171" t="n">
        <v>46174.41666666666</v>
      </c>
      <c r="E950" s="26" t="n">
        <v>0.9349652777777778</v>
      </c>
      <c r="F950" s="27" t="inlineStr">
        <is>
          <t>Shift 2</t>
        </is>
      </c>
      <c r="G950" s="27" t="n"/>
    </row>
    <row r="951">
      <c r="A951" s="27" t="inlineStr">
        <is>
          <t>MK00199</t>
        </is>
      </c>
      <c r="B951" s="27" t="n">
        <v>628000091</v>
      </c>
      <c r="C951" s="27" t="inlineStr">
        <is>
          <t>Devita Handayani</t>
        </is>
      </c>
      <c r="D951" s="171" t="n">
        <v>46174.41666666666</v>
      </c>
      <c r="E951" s="26" t="n">
        <v>0.9840509259259259</v>
      </c>
      <c r="F951" s="27" t="inlineStr">
        <is>
          <t>Shift 2</t>
        </is>
      </c>
      <c r="G951" s="27" t="n"/>
    </row>
    <row r="952">
      <c r="A952" s="27" t="inlineStr">
        <is>
          <t>MK00155</t>
        </is>
      </c>
      <c r="B952" s="27" t="n">
        <v>628000061</v>
      </c>
      <c r="C952" s="27" t="inlineStr">
        <is>
          <t>Nayla Fadillah Exwantoro</t>
        </is>
      </c>
      <c r="D952" s="171" t="n">
        <v>46174.41666666666</v>
      </c>
      <c r="E952" s="26" t="n">
        <v>0.9991898148148148</v>
      </c>
      <c r="F952" s="27" t="inlineStr">
        <is>
          <t>Shift 2</t>
        </is>
      </c>
      <c r="G952" s="27" t="n"/>
    </row>
    <row r="953">
      <c r="A953" s="27" t="inlineStr">
        <is>
          <t>MK00250</t>
        </is>
      </c>
      <c r="B953" s="27" t="n">
        <v>528000232</v>
      </c>
      <c r="C953" s="27" t="inlineStr">
        <is>
          <t>Agung Aji Suhada</t>
        </is>
      </c>
      <c r="D953" s="171" t="n">
        <v>46174.41666666666</v>
      </c>
      <c r="E953" s="26" t="n">
        <v>0.9998495370370371</v>
      </c>
      <c r="F953" s="27" t="inlineStr">
        <is>
          <t>Shift 2</t>
        </is>
      </c>
      <c r="G953" s="27" t="n"/>
    </row>
    <row r="954">
      <c r="A954" s="27" t="inlineStr">
        <is>
          <t>MK00201</t>
        </is>
      </c>
      <c r="B954" s="27" t="n">
        <v>528000267</v>
      </c>
      <c r="C954" s="27" t="inlineStr">
        <is>
          <t>Bagas Patulloh</t>
        </is>
      </c>
      <c r="D954" s="171" t="n">
        <v>46175.41666666666</v>
      </c>
      <c r="E954" s="26" t="n">
        <v>4.629629629629629e-05</v>
      </c>
      <c r="F954" s="27" t="inlineStr">
        <is>
          <t>Shift 3</t>
        </is>
      </c>
      <c r="G954" s="27" t="n"/>
    </row>
    <row r="955">
      <c r="A955" s="27" t="inlineStr">
        <is>
          <t>MK00276</t>
        </is>
      </c>
      <c r="B955" s="27" t="n">
        <v>528000273</v>
      </c>
      <c r="C955" s="27" t="inlineStr">
        <is>
          <t>Asep Mulyana</t>
        </is>
      </c>
      <c r="D955" s="171" t="n">
        <v>46175.41666666666</v>
      </c>
      <c r="E955" s="26" t="n">
        <v>0.01802083333333333</v>
      </c>
      <c r="F955" s="27" t="inlineStr">
        <is>
          <t>Shift 3</t>
        </is>
      </c>
      <c r="G955" s="27" t="n"/>
    </row>
    <row r="956">
      <c r="A956" s="27" t="inlineStr">
        <is>
          <t>MK00190</t>
        </is>
      </c>
      <c r="B956" s="27" t="n">
        <v>528000055</v>
      </c>
      <c r="C956" s="27" t="inlineStr">
        <is>
          <t>Dika Prasetya</t>
        </is>
      </c>
      <c r="D956" s="171" t="n">
        <v>46175.41666666666</v>
      </c>
      <c r="E956" s="26" t="n">
        <v>0.01899305555555555</v>
      </c>
      <c r="F956" s="27" t="inlineStr">
        <is>
          <t>Shift 3</t>
        </is>
      </c>
      <c r="G956" s="27" t="n"/>
    </row>
    <row r="957">
      <c r="A957" s="27" t="inlineStr">
        <is>
          <t>MK00093</t>
        </is>
      </c>
      <c r="B957" s="27" t="n">
        <v>528000266</v>
      </c>
      <c r="C957" s="27" t="inlineStr">
        <is>
          <t>M. Syirajatieq</t>
        </is>
      </c>
      <c r="D957" s="171" t="n">
        <v>46175.41666666666</v>
      </c>
      <c r="E957" s="26" t="n">
        <v>0.2443055555555556</v>
      </c>
      <c r="F957" s="27" t="inlineStr">
        <is>
          <t>Shift 3</t>
        </is>
      </c>
      <c r="G957" s="27" t="n"/>
    </row>
    <row r="958">
      <c r="A958" s="27" t="inlineStr">
        <is>
          <t>MK00136</t>
        </is>
      </c>
      <c r="B958" s="27" t="n">
        <v>528000063</v>
      </c>
      <c r="C958" s="27" t="inlineStr">
        <is>
          <t>Muhamad Ripki Pebrian</t>
        </is>
      </c>
      <c r="D958" s="171" t="n">
        <v>46175.41666666666</v>
      </c>
      <c r="E958" s="26" t="n">
        <v>0.2522685185185185</v>
      </c>
      <c r="F958" s="27" t="inlineStr">
        <is>
          <t>Shift 3</t>
        </is>
      </c>
      <c r="G958" s="27" t="n"/>
    </row>
    <row r="959">
      <c r="A959" s="27" t="inlineStr">
        <is>
          <t>MK00249</t>
        </is>
      </c>
      <c r="B959" s="27" t="n">
        <v>528000306</v>
      </c>
      <c r="C959" s="27" t="inlineStr">
        <is>
          <t>Windy Olivia</t>
        </is>
      </c>
      <c r="D959" s="171" t="n">
        <v>46175.41666666666</v>
      </c>
      <c r="E959" s="26" t="n">
        <v>0.2528472222222222</v>
      </c>
      <c r="F959" s="27" t="inlineStr">
        <is>
          <t>Shift 3</t>
        </is>
      </c>
      <c r="G959" s="27" t="n"/>
    </row>
    <row r="960">
      <c r="A960" s="27" t="inlineStr">
        <is>
          <t>MK00204</t>
        </is>
      </c>
      <c r="B960" s="27" t="n">
        <v>528000279</v>
      </c>
      <c r="C960" s="27" t="inlineStr">
        <is>
          <t>Mahdalena Dalfa Riani</t>
        </is>
      </c>
      <c r="D960" s="171" t="n">
        <v>46175.41666666666</v>
      </c>
      <c r="E960" s="26" t="n">
        <v>0.2534953703703703</v>
      </c>
      <c r="F960" s="27" t="inlineStr">
        <is>
          <t>Shift 3</t>
        </is>
      </c>
      <c r="G960" s="27" t="n"/>
    </row>
    <row r="961">
      <c r="A961" s="27" t="inlineStr">
        <is>
          <t>MK00158</t>
        </is>
      </c>
      <c r="B961" s="27" t="n">
        <v>528000300</v>
      </c>
      <c r="C961" s="27" t="inlineStr">
        <is>
          <t>Lia pitaloka</t>
        </is>
      </c>
      <c r="D961" s="171" t="n">
        <v>46175.41666666666</v>
      </c>
      <c r="E961" s="26" t="n">
        <v>0.2535416666666667</v>
      </c>
      <c r="F961" s="27" t="inlineStr">
        <is>
          <t>Shift 3</t>
        </is>
      </c>
      <c r="G961" s="27" t="n"/>
    </row>
    <row r="962">
      <c r="A962" s="27" t="inlineStr">
        <is>
          <t>MK00108</t>
        </is>
      </c>
      <c r="B962" s="27" t="n">
        <v>628000064</v>
      </c>
      <c r="C962" s="27" t="inlineStr">
        <is>
          <t>Silva Alypia</t>
        </is>
      </c>
      <c r="D962" s="171" t="n">
        <v>46175.41666666666</v>
      </c>
      <c r="E962" s="26" t="n">
        <v>0.2539236111111111</v>
      </c>
      <c r="F962" s="27" t="inlineStr">
        <is>
          <t>Shift 3</t>
        </is>
      </c>
      <c r="G962" s="27" t="n"/>
    </row>
    <row r="963">
      <c r="A963" s="27" t="inlineStr">
        <is>
          <t>MK00126</t>
        </is>
      </c>
      <c r="B963" s="27" t="n">
        <v>528000323</v>
      </c>
      <c r="C963" s="27" t="inlineStr">
        <is>
          <t>Dian Hamidah</t>
        </is>
      </c>
      <c r="D963" s="171" t="n">
        <v>46175.41666666666</v>
      </c>
      <c r="E963" s="26" t="n">
        <v>0.2543402777777778</v>
      </c>
      <c r="F963" s="27" t="inlineStr">
        <is>
          <t>Shift 3</t>
        </is>
      </c>
      <c r="G963" s="27" t="n"/>
    </row>
    <row r="964">
      <c r="A964" s="27" t="inlineStr">
        <is>
          <t>MK0090</t>
        </is>
      </c>
      <c r="B964" s="27" t="n">
        <v>528000015</v>
      </c>
      <c r="C964" s="27" t="inlineStr">
        <is>
          <t>Erwin</t>
        </is>
      </c>
      <c r="D964" s="171" t="n">
        <v>46175.41666666666</v>
      </c>
      <c r="E964" s="26" t="n">
        <v>0.3277083333333333</v>
      </c>
      <c r="F964" s="27" t="inlineStr">
        <is>
          <t>Shift 3</t>
        </is>
      </c>
      <c r="G964" s="27" t="n"/>
    </row>
    <row r="965">
      <c r="A965" s="27" t="inlineStr">
        <is>
          <t>MK00008</t>
        </is>
      </c>
      <c r="B965" s="27" t="n">
        <v>528000288</v>
      </c>
      <c r="C965" s="27" t="inlineStr">
        <is>
          <t>Dede gunawan</t>
        </is>
      </c>
      <c r="D965" s="171" t="n">
        <v>46175.41666666666</v>
      </c>
      <c r="E965" s="26" t="n">
        <v>0.3338194444444444</v>
      </c>
      <c r="F965" s="27" t="inlineStr">
        <is>
          <t>Shift 1</t>
        </is>
      </c>
      <c r="G965" s="27" t="n"/>
    </row>
    <row r="966">
      <c r="A966" s="27" t="inlineStr">
        <is>
          <t>MK00235</t>
        </is>
      </c>
      <c r="B966" s="27" t="n">
        <v>528000297</v>
      </c>
      <c r="C966" s="27" t="inlineStr">
        <is>
          <t>Muhamad Budiana</t>
        </is>
      </c>
      <c r="D966" s="171" t="n">
        <v>46175.41666666666</v>
      </c>
      <c r="E966" s="26" t="n">
        <v>0.3342592592592593</v>
      </c>
      <c r="F966" s="27" t="inlineStr">
        <is>
          <t>Shift 1</t>
        </is>
      </c>
      <c r="G966" s="27" t="n"/>
    </row>
    <row r="967">
      <c r="A967" s="27" t="inlineStr">
        <is>
          <t>MK00228</t>
        </is>
      </c>
      <c r="B967" s="27" t="n">
        <v>528000132</v>
      </c>
      <c r="C967" s="27" t="inlineStr">
        <is>
          <t>Giopani</t>
        </is>
      </c>
      <c r="D967" s="171" t="n">
        <v>46175.41666666666</v>
      </c>
      <c r="E967" s="26" t="n">
        <v>0.3641898148148148</v>
      </c>
      <c r="F967" s="27" t="inlineStr">
        <is>
          <t>Shift 1</t>
        </is>
      </c>
      <c r="G967" s="27" t="n"/>
    </row>
    <row r="968">
      <c r="A968" s="27" t="inlineStr">
        <is>
          <t>MK00U30</t>
        </is>
      </c>
      <c r="B968" s="27" t="n">
        <v>628000091</v>
      </c>
      <c r="C968" s="27" t="inlineStr">
        <is>
          <t>Devita Handayani</t>
        </is>
      </c>
      <c r="D968" s="171" t="n">
        <v>46175.41666666666</v>
      </c>
      <c r="E968" s="26" t="n">
        <v>0.5655208333333334</v>
      </c>
      <c r="F968" s="27" t="inlineStr">
        <is>
          <t>Shift 1</t>
        </is>
      </c>
      <c r="G968" s="27" t="n"/>
    </row>
    <row r="969">
      <c r="A969" s="27" t="inlineStr">
        <is>
          <t>MK00221</t>
        </is>
      </c>
      <c r="B969" s="27" t="n">
        <v>528000299</v>
      </c>
      <c r="C969" s="27" t="inlineStr">
        <is>
          <t>Siti Nurjanah</t>
        </is>
      </c>
      <c r="D969" s="171" t="n">
        <v>46175.41666666666</v>
      </c>
      <c r="E969" s="26" t="n">
        <v>0.5678935185185185</v>
      </c>
      <c r="F969" s="27" t="inlineStr">
        <is>
          <t>Shift 1</t>
        </is>
      </c>
      <c r="G969" s="27" t="n"/>
    </row>
    <row r="970">
      <c r="A970" s="27" t="inlineStr">
        <is>
          <t>MK00209</t>
        </is>
      </c>
      <c r="B970" s="27" t="n">
        <v>528000262</v>
      </c>
      <c r="C970" s="27" t="inlineStr">
        <is>
          <t>Ndari Dwiwanti</t>
        </is>
      </c>
      <c r="D970" s="171" t="n">
        <v>46175.41666666666</v>
      </c>
      <c r="E970" s="26" t="n">
        <v>0.5837268518518518</v>
      </c>
      <c r="F970" s="27" t="inlineStr">
        <is>
          <t>Shift 1</t>
        </is>
      </c>
      <c r="G970" s="27" t="n"/>
    </row>
    <row r="971">
      <c r="A971" s="27" t="inlineStr">
        <is>
          <t>MK00151</t>
        </is>
      </c>
      <c r="B971" s="27" t="n">
        <v>528000358</v>
      </c>
      <c r="C971" s="27" t="inlineStr">
        <is>
          <t>Lulu Agustin</t>
        </is>
      </c>
      <c r="D971" s="171" t="n">
        <v>46175.41666666666</v>
      </c>
      <c r="E971" s="26" t="n">
        <v>0.583761574074074</v>
      </c>
      <c r="F971" s="27" t="inlineStr">
        <is>
          <t>Shift 1</t>
        </is>
      </c>
      <c r="G971" s="27" t="n"/>
    </row>
    <row r="972">
      <c r="A972" s="27" t="inlineStr">
        <is>
          <t>MK00138</t>
        </is>
      </c>
      <c r="B972" s="27" t="n">
        <v>528000195</v>
      </c>
      <c r="C972" s="27" t="inlineStr">
        <is>
          <t>Rahma Sariwati</t>
        </is>
      </c>
      <c r="D972" s="171" t="n">
        <v>46175.41666666666</v>
      </c>
      <c r="E972" s="26" t="n">
        <v>0.5842592592592593</v>
      </c>
      <c r="F972" s="27" t="inlineStr">
        <is>
          <t>Shift 1</t>
        </is>
      </c>
      <c r="G972" s="27" t="n"/>
    </row>
    <row r="973">
      <c r="A973" s="27" t="inlineStr">
        <is>
          <t>MK00250</t>
        </is>
      </c>
      <c r="B973" s="27" t="n">
        <v>528000052</v>
      </c>
      <c r="C973" s="27" t="inlineStr">
        <is>
          <t>Mustopa</t>
        </is>
      </c>
      <c r="D973" s="171" t="n">
        <v>46175.41666666666</v>
      </c>
      <c r="E973" s="26" t="n">
        <v>0.5854513888888889</v>
      </c>
      <c r="F973" s="27" t="inlineStr">
        <is>
          <t>Shift 1</t>
        </is>
      </c>
      <c r="G973" s="27" t="n"/>
    </row>
    <row r="974">
      <c r="A974" s="27" t="inlineStr">
        <is>
          <t>MK00199</t>
        </is>
      </c>
      <c r="B974" s="27" t="n">
        <v>528000261</v>
      </c>
      <c r="C974" s="27" t="inlineStr">
        <is>
          <t>Ergi Ergianto</t>
        </is>
      </c>
      <c r="D974" s="171" t="n">
        <v>46175.41666666666</v>
      </c>
      <c r="E974" s="26" t="n">
        <v>0.5860648148148148</v>
      </c>
      <c r="F974" s="27" t="inlineStr">
        <is>
          <t>Shift 1</t>
        </is>
      </c>
      <c r="G974" s="27" t="n"/>
    </row>
    <row r="975">
      <c r="A975" s="27" t="inlineStr">
        <is>
          <t>MK00154</t>
        </is>
      </c>
      <c r="B975" s="27" t="n">
        <v>528000291</v>
      </c>
      <c r="C975" s="27" t="inlineStr">
        <is>
          <t>Andrian</t>
        </is>
      </c>
      <c r="D975" s="171" t="n">
        <v>46175.41666666666</v>
      </c>
      <c r="E975" s="26" t="n">
        <v>0.5866319444444444</v>
      </c>
      <c r="F975" s="27" t="inlineStr">
        <is>
          <t>Shift 1</t>
        </is>
      </c>
      <c r="G975" s="27" t="n"/>
    </row>
    <row r="976">
      <c r="A976" s="27" t="inlineStr">
        <is>
          <t>MK00210</t>
        </is>
      </c>
      <c r="B976" s="27" t="n">
        <v>528000282</v>
      </c>
      <c r="C976" s="27" t="inlineStr">
        <is>
          <t>Defa Desfiana</t>
        </is>
      </c>
      <c r="D976" s="171" t="n">
        <v>46175.41666666666</v>
      </c>
      <c r="E976" s="26" t="n">
        <v>0.6676620370370371</v>
      </c>
      <c r="F976" s="27" t="inlineStr">
        <is>
          <t>Shift 2</t>
        </is>
      </c>
      <c r="G976" s="27" t="inlineStr">
        <is>
          <t>31b</t>
        </is>
      </c>
    </row>
    <row r="977">
      <c r="A977" s="27" t="inlineStr">
        <is>
          <t>MK00008</t>
        </is>
      </c>
      <c r="B977" s="27" t="n">
        <v>528000310</v>
      </c>
      <c r="C977" s="27" t="inlineStr">
        <is>
          <t>Fachrul Rozzi Suryana</t>
        </is>
      </c>
      <c r="D977" s="171" t="n">
        <v>46175.41666666666</v>
      </c>
      <c r="E977" s="26" t="n">
        <v>0.6680208333333333</v>
      </c>
      <c r="F977" s="27" t="inlineStr">
        <is>
          <t>Shift 2</t>
        </is>
      </c>
      <c r="G977" s="27" t="inlineStr">
        <is>
          <t>10A</t>
        </is>
      </c>
    </row>
    <row r="978">
      <c r="A978" s="27" t="inlineStr">
        <is>
          <t>MK00249</t>
        </is>
      </c>
      <c r="B978" s="27" t="n">
        <v>528000265</v>
      </c>
      <c r="C978" s="27" t="inlineStr">
        <is>
          <t>Muhammad Haerul Rozikin</t>
        </is>
      </c>
      <c r="D978" s="171" t="n">
        <v>46175.41666666666</v>
      </c>
      <c r="E978" s="26" t="n">
        <v>0.6687268518518519</v>
      </c>
      <c r="F978" s="27" t="inlineStr">
        <is>
          <t>Shift 2</t>
        </is>
      </c>
      <c r="G978" s="27" t="n"/>
    </row>
    <row r="979">
      <c r="A979" s="27" t="inlineStr">
        <is>
          <t>MK00082</t>
        </is>
      </c>
      <c r="B979" s="27" t="n">
        <v>528000144</v>
      </c>
      <c r="C979" s="27" t="inlineStr">
        <is>
          <t>Jodi Hanafi</t>
        </is>
      </c>
      <c r="D979" s="171" t="n">
        <v>46175.41666666666</v>
      </c>
      <c r="E979" s="26" t="n">
        <v>0.6744097222222222</v>
      </c>
      <c r="F979" s="27" t="inlineStr">
        <is>
          <t>Shift 2</t>
        </is>
      </c>
      <c r="G979" s="27" t="n"/>
    </row>
    <row r="980">
      <c r="A980" s="27" t="inlineStr">
        <is>
          <t>MK00158</t>
        </is>
      </c>
      <c r="B980" s="27" t="n">
        <v>528000349</v>
      </c>
      <c r="C980" s="27" t="inlineStr">
        <is>
          <t>Anas Abdul Fatah</t>
        </is>
      </c>
      <c r="D980" s="171" t="n">
        <v>46175.41666666666</v>
      </c>
      <c r="E980" s="26" t="n">
        <v>0.6763425925925926</v>
      </c>
      <c r="F980" s="27" t="inlineStr">
        <is>
          <t>Shift 2</t>
        </is>
      </c>
      <c r="G980" s="27" t="n"/>
    </row>
    <row r="981">
      <c r="A981" s="27" t="inlineStr">
        <is>
          <t>MK00228</t>
        </is>
      </c>
      <c r="B981" s="27" t="n">
        <v>528000132</v>
      </c>
      <c r="C981" s="27" t="inlineStr">
        <is>
          <t>Giopani</t>
        </is>
      </c>
      <c r="D981" s="171" t="n">
        <v>46175.41666666666</v>
      </c>
      <c r="E981" s="26" t="n">
        <v>0.73125</v>
      </c>
      <c r="F981" s="27" t="inlineStr">
        <is>
          <t>Shift 2</t>
        </is>
      </c>
      <c r="G981" s="27" t="n"/>
    </row>
    <row r="982">
      <c r="A982" s="27" t="inlineStr">
        <is>
          <t>MK00205</t>
        </is>
      </c>
      <c r="B982" s="27" t="n">
        <v>528000348</v>
      </c>
      <c r="C982" s="27" t="inlineStr">
        <is>
          <t>Saepuloh Ardiansah</t>
        </is>
      </c>
      <c r="D982" s="171" t="n">
        <v>46175.41666666666</v>
      </c>
      <c r="E982" s="26" t="n">
        <v>0.8256597222222222</v>
      </c>
      <c r="F982" s="27" t="inlineStr">
        <is>
          <t>Shift 2</t>
        </is>
      </c>
      <c r="G982" s="27" t="n"/>
    </row>
    <row r="983">
      <c r="A983" s="27" t="inlineStr">
        <is>
          <t>MK00213</t>
        </is>
      </c>
      <c r="B983" s="27" t="n">
        <v>528000015</v>
      </c>
      <c r="C983" s="27" t="inlineStr">
        <is>
          <t>Erwin</t>
        </is>
      </c>
      <c r="D983" s="171" t="n">
        <v>46175.41666666666</v>
      </c>
      <c r="E983" s="26" t="n">
        <v>0.873125</v>
      </c>
      <c r="F983" s="27" t="inlineStr">
        <is>
          <t>Shift 2</t>
        </is>
      </c>
      <c r="G983" s="27" t="n"/>
    </row>
    <row r="984">
      <c r="A984" s="27" t="inlineStr">
        <is>
          <t>MK00145</t>
        </is>
      </c>
      <c r="B984" s="27" t="n">
        <v>528000279</v>
      </c>
      <c r="C984" s="27" t="inlineStr">
        <is>
          <t>Mahdalena Dalfa Riani</t>
        </is>
      </c>
      <c r="D984" s="171" t="n">
        <v>46175.41666666666</v>
      </c>
      <c r="E984" s="26" t="n">
        <v>0.9138078703703704</v>
      </c>
      <c r="F984" s="27" t="inlineStr">
        <is>
          <t>Shift 2</t>
        </is>
      </c>
      <c r="G984" s="27" t="n"/>
    </row>
    <row r="985">
      <c r="A985" s="27" t="inlineStr">
        <is>
          <t>MK00208</t>
        </is>
      </c>
      <c r="B985" s="27" t="n">
        <v>528000098</v>
      </c>
      <c r="C985" s="27" t="inlineStr">
        <is>
          <t>Edi Junaedi</t>
        </is>
      </c>
      <c r="D985" s="171" t="n">
        <v>46175.41666666666</v>
      </c>
      <c r="E985" s="26" t="n">
        <v>0.9149768518518518</v>
      </c>
      <c r="F985" s="27" t="inlineStr">
        <is>
          <t>Shift 2</t>
        </is>
      </c>
      <c r="G985" s="27" t="n"/>
    </row>
    <row r="986">
      <c r="A986" s="27" t="inlineStr">
        <is>
          <t>MK00181</t>
        </is>
      </c>
      <c r="B986" s="27" t="n">
        <v>528000298</v>
      </c>
      <c r="C986" s="27" t="inlineStr">
        <is>
          <t>Desta Cahaya Pratama</t>
        </is>
      </c>
      <c r="D986" s="171" t="n">
        <v>46175.41666666666</v>
      </c>
      <c r="E986" s="26" t="n">
        <v>0.919537037037037</v>
      </c>
      <c r="F986" s="27" t="inlineStr">
        <is>
          <t>Shift 2</t>
        </is>
      </c>
      <c r="G986" s="27" t="n"/>
    </row>
    <row r="987">
      <c r="A987" s="27" t="inlineStr">
        <is>
          <t>MK00113</t>
        </is>
      </c>
      <c r="B987" s="27" t="n">
        <v>528000299</v>
      </c>
      <c r="C987" s="27" t="inlineStr">
        <is>
          <t>Siti Nurjanah</t>
        </is>
      </c>
      <c r="D987" s="171" t="n">
        <v>46175.41666666666</v>
      </c>
      <c r="E987" s="26" t="n">
        <v>0.9209027777777777</v>
      </c>
      <c r="F987" s="27" t="inlineStr">
        <is>
          <t>Shift 2</t>
        </is>
      </c>
      <c r="G987" s="27" t="n"/>
    </row>
    <row r="988">
      <c r="A988" s="27" t="inlineStr">
        <is>
          <t>MK00136</t>
        </is>
      </c>
      <c r="B988" s="27" t="n">
        <v>528000305</v>
      </c>
      <c r="C988" s="27" t="inlineStr">
        <is>
          <t>Puji Puspita</t>
        </is>
      </c>
      <c r="D988" s="171" t="n">
        <v>46175.41666666666</v>
      </c>
      <c r="E988" s="26" t="n">
        <v>0.9213773148148148</v>
      </c>
      <c r="F988" s="27" t="inlineStr">
        <is>
          <t>Shift 2</t>
        </is>
      </c>
      <c r="G988" s="27" t="n"/>
    </row>
    <row r="989">
      <c r="A989" s="27" t="inlineStr">
        <is>
          <t>MK00230</t>
        </is>
      </c>
      <c r="B989" s="27" t="n">
        <v>628000091</v>
      </c>
      <c r="C989" s="27" t="inlineStr">
        <is>
          <t>Devita Handayani</t>
        </is>
      </c>
      <c r="D989" s="171" t="n">
        <v>46175.41666666666</v>
      </c>
      <c r="E989" s="26" t="n">
        <v>0.9217361111111111</v>
      </c>
      <c r="F989" s="27" t="inlineStr">
        <is>
          <t>Shift 2</t>
        </is>
      </c>
      <c r="G989" s="27" t="n"/>
    </row>
    <row r="990">
      <c r="A990" s="27" t="inlineStr">
        <is>
          <t>MK00116</t>
        </is>
      </c>
      <c r="B990" s="27" t="n">
        <v>528000309</v>
      </c>
      <c r="C990" s="27" t="inlineStr">
        <is>
          <t>Ilham Ramadhan</t>
        </is>
      </c>
      <c r="D990" s="171" t="n">
        <v>46175.41666666666</v>
      </c>
      <c r="E990" s="26" t="n">
        <v>0.9222569444444444</v>
      </c>
      <c r="F990" s="27" t="inlineStr">
        <is>
          <t>Shift 2</t>
        </is>
      </c>
      <c r="G990" s="27" t="n"/>
    </row>
    <row r="991">
      <c r="A991" s="27" t="inlineStr">
        <is>
          <t>MK00235</t>
        </is>
      </c>
      <c r="B991" s="27" t="n">
        <v>528000302</v>
      </c>
      <c r="C991" s="27" t="inlineStr">
        <is>
          <t>Henkey gumilar</t>
        </is>
      </c>
      <c r="D991" s="171" t="n">
        <v>46175.41666666666</v>
      </c>
      <c r="E991" s="26" t="n">
        <v>0.9226041666666667</v>
      </c>
      <c r="F991" s="27" t="inlineStr">
        <is>
          <t>Shift 2</t>
        </is>
      </c>
      <c r="G991" s="27" t="n"/>
    </row>
    <row r="992">
      <c r="A992" s="27" t="inlineStr">
        <is>
          <t>MK00134</t>
        </is>
      </c>
      <c r="B992" s="27" t="n">
        <v>528000270</v>
      </c>
      <c r="C992" s="27" t="inlineStr">
        <is>
          <t>Febri Najmudin</t>
        </is>
      </c>
      <c r="D992" s="171" t="n">
        <v>46175.41666666666</v>
      </c>
      <c r="E992" s="26" t="n">
        <v>0.9333101851851852</v>
      </c>
      <c r="F992" s="27" t="inlineStr">
        <is>
          <t>Shift 2</t>
        </is>
      </c>
      <c r="G992" s="27" t="n"/>
    </row>
    <row r="993">
      <c r="A993" s="27" t="inlineStr">
        <is>
          <t>MK00112</t>
        </is>
      </c>
      <c r="B993" s="27" t="n">
        <v>628000061</v>
      </c>
      <c r="C993" s="27" t="inlineStr">
        <is>
          <t>Nayla Fadillah Exwantoro</t>
        </is>
      </c>
      <c r="D993" s="171" t="n">
        <v>46175.41666666666</v>
      </c>
      <c r="E993" s="26" t="n">
        <v>0.9995601851851852</v>
      </c>
      <c r="F993" s="27" t="inlineStr">
        <is>
          <t>Shift 2</t>
        </is>
      </c>
      <c r="G993" s="27" t="n"/>
    </row>
    <row r="994">
      <c r="A994" s="27" t="inlineStr">
        <is>
          <t>MK00180</t>
        </is>
      </c>
      <c r="B994" s="27" t="n">
        <v>528000055</v>
      </c>
      <c r="C994" s="27" t="inlineStr">
        <is>
          <t>Dika Prasetya</t>
        </is>
      </c>
      <c r="D994" s="171" t="n">
        <v>46176.41666666666</v>
      </c>
      <c r="E994" s="26" t="n">
        <v>0.01310185185185185</v>
      </c>
      <c r="F994" s="27" t="inlineStr">
        <is>
          <t>Shift 3</t>
        </is>
      </c>
      <c r="G994" s="27" t="n"/>
    </row>
    <row r="995">
      <c r="A995" s="27" t="inlineStr">
        <is>
          <t>MHZZZY3</t>
        </is>
      </c>
      <c r="B995" s="27" t="n">
        <v>528000266</v>
      </c>
      <c r="C995" s="27" t="inlineStr">
        <is>
          <t>M. Syirajatieq</t>
        </is>
      </c>
      <c r="D995" s="171" t="n">
        <v>46176.41666666666</v>
      </c>
      <c r="E995" s="26" t="n">
        <v>0.2380555555555555</v>
      </c>
      <c r="F995" s="27" t="inlineStr">
        <is>
          <t>Shift 3</t>
        </is>
      </c>
      <c r="G995" s="27" t="n"/>
    </row>
    <row r="996">
      <c r="A996" s="27" t="inlineStr">
        <is>
          <t>MK00093</t>
        </is>
      </c>
      <c r="B996" s="27" t="n">
        <v>528000232</v>
      </c>
      <c r="C996" s="27" t="inlineStr">
        <is>
          <t>Agung Aji Suhada</t>
        </is>
      </c>
      <c r="D996" s="171" t="n">
        <v>46176.41666666666</v>
      </c>
      <c r="E996" s="26" t="n">
        <v>0.2469444444444444</v>
      </c>
      <c r="F996" s="27" t="inlineStr">
        <is>
          <t>Shift 3</t>
        </is>
      </c>
      <c r="G996" s="27" t="n"/>
    </row>
    <row r="997">
      <c r="A997" s="27" t="inlineStr">
        <is>
          <t>MK00249</t>
        </is>
      </c>
      <c r="B997" s="27" t="n">
        <v>528000063</v>
      </c>
      <c r="C997" s="27" t="inlineStr">
        <is>
          <t>Muhamad Ripki Pebrian</t>
        </is>
      </c>
      <c r="D997" s="171" t="n">
        <v>46176.41666666666</v>
      </c>
      <c r="E997" s="26" t="n">
        <v>0.2518402777777778</v>
      </c>
      <c r="F997" s="27" t="inlineStr">
        <is>
          <t>Shift 3</t>
        </is>
      </c>
      <c r="G997" s="27" t="n"/>
    </row>
    <row r="998">
      <c r="A998" s="27" t="inlineStr">
        <is>
          <t>MK00148</t>
        </is>
      </c>
      <c r="B998" s="27" t="n">
        <v>628000064</v>
      </c>
      <c r="C998" s="27" t="inlineStr">
        <is>
          <t>Silva Alypia</t>
        </is>
      </c>
      <c r="D998" s="171" t="n">
        <v>46176.41666666666</v>
      </c>
      <c r="E998" s="26" t="n">
        <v>0.2525694444444445</v>
      </c>
      <c r="F998" s="27" t="inlineStr">
        <is>
          <t>Shift 3</t>
        </is>
      </c>
      <c r="G998" s="27" t="n"/>
    </row>
    <row r="999">
      <c r="A999" s="27" t="inlineStr">
        <is>
          <t>MK00210</t>
        </is>
      </c>
      <c r="B999" s="27" t="n">
        <v>528000300</v>
      </c>
      <c r="C999" s="27" t="inlineStr">
        <is>
          <t>Lia pitaloka</t>
        </is>
      </c>
      <c r="D999" s="171" t="n">
        <v>46176.41666666666</v>
      </c>
      <c r="E999" s="26" t="n">
        <v>0.2528009259259259</v>
      </c>
      <c r="F999" s="27" t="inlineStr">
        <is>
          <t>Shift 3</t>
        </is>
      </c>
      <c r="G999" s="27" t="n"/>
    </row>
    <row r="1000">
      <c r="A1000" s="27" t="inlineStr">
        <is>
          <t>MK00208</t>
        </is>
      </c>
      <c r="B1000" s="27" t="n">
        <v>528000279</v>
      </c>
      <c r="C1000" s="27" t="inlineStr">
        <is>
          <t>Mahdalena Dalfa Riani</t>
        </is>
      </c>
      <c r="D1000" s="171" t="n">
        <v>46176.41666666666</v>
      </c>
      <c r="E1000" s="26" t="n">
        <v>0.2528587962962963</v>
      </c>
      <c r="F1000" s="27" t="inlineStr">
        <is>
          <t>Shift 3</t>
        </is>
      </c>
      <c r="G1000" s="27" t="n"/>
    </row>
    <row r="1001">
      <c r="A1001" s="27" t="inlineStr">
        <is>
          <t>MK00202</t>
        </is>
      </c>
      <c r="B1001" s="27" t="n">
        <v>528000288</v>
      </c>
      <c r="C1001" s="27" t="inlineStr">
        <is>
          <t>Dede gunawan</t>
        </is>
      </c>
      <c r="D1001" s="171" t="n">
        <v>46176.41666666666</v>
      </c>
      <c r="E1001" s="26" t="n">
        <v>0.2536111111111111</v>
      </c>
      <c r="F1001" s="27" t="inlineStr">
        <is>
          <t>Shift 3</t>
        </is>
      </c>
      <c r="G1001" s="27" t="n"/>
    </row>
    <row r="1002">
      <c r="A1002" s="27" t="inlineStr">
        <is>
          <t>MK00213</t>
        </is>
      </c>
      <c r="B1002" s="27" t="n">
        <v>528000297</v>
      </c>
      <c r="C1002" s="27" t="inlineStr">
        <is>
          <t>Muhamad Budiana</t>
        </is>
      </c>
      <c r="D1002" s="171" t="n">
        <v>46176.41666666666</v>
      </c>
      <c r="E1002" s="26" t="n">
        <v>0.298275462962963</v>
      </c>
      <c r="F1002" s="27" t="inlineStr">
        <is>
          <t>Shift 3</t>
        </is>
      </c>
      <c r="G1002" s="27" t="n"/>
    </row>
    <row r="1003">
      <c r="A1003" s="27" t="inlineStr">
        <is>
          <t>MK00209</t>
        </is>
      </c>
      <c r="B1003" s="27" t="n">
        <v>528000282</v>
      </c>
      <c r="C1003" s="27" t="inlineStr">
        <is>
          <t>Defa Desfiana</t>
        </is>
      </c>
      <c r="D1003" s="171" t="n">
        <v>46176.41666666666</v>
      </c>
      <c r="E1003" s="26" t="n">
        <v>0.5426620370370371</v>
      </c>
      <c r="F1003" s="27" t="inlineStr">
        <is>
          <t>Shift 1</t>
        </is>
      </c>
      <c r="G1003" s="27" t="inlineStr">
        <is>
          <t>2a</t>
        </is>
      </c>
    </row>
    <row r="1004">
      <c r="A1004" s="27" t="inlineStr">
        <is>
          <t>MK00145</t>
        </is>
      </c>
      <c r="B1004" s="27" t="n">
        <v>528000310</v>
      </c>
      <c r="C1004" s="27" t="inlineStr">
        <is>
          <t>Fachrul Rozzi Suryana</t>
        </is>
      </c>
      <c r="D1004" s="171" t="n">
        <v>46176.41666666666</v>
      </c>
      <c r="E1004" s="26" t="n">
        <v>0.5435069444444445</v>
      </c>
      <c r="F1004" s="27" t="inlineStr">
        <is>
          <t>Shift 1</t>
        </is>
      </c>
      <c r="G1004" s="27" t="inlineStr">
        <is>
          <t>22F</t>
        </is>
      </c>
    </row>
    <row r="1005">
      <c r="A1005" s="27" t="inlineStr">
        <is>
          <t>MK00151</t>
        </is>
      </c>
      <c r="B1005" s="27" t="n">
        <v>528000265</v>
      </c>
      <c r="C1005" s="27" t="inlineStr">
        <is>
          <t>Muhammad Haerul Rozikin</t>
        </is>
      </c>
      <c r="D1005" s="171" t="n">
        <v>46176.41666666666</v>
      </c>
      <c r="E1005" s="26" t="n">
        <v>0.543587962962963</v>
      </c>
      <c r="F1005" s="27" t="inlineStr">
        <is>
          <t>Shift 1</t>
        </is>
      </c>
      <c r="G1005" s="27" t="n"/>
    </row>
    <row r="1006">
      <c r="A1006" s="27" t="inlineStr">
        <is>
          <t>MK00181</t>
        </is>
      </c>
      <c r="B1006" s="27" t="n">
        <v>528000144</v>
      </c>
      <c r="C1006" s="27" t="inlineStr">
        <is>
          <t>Jodi Hanafi</t>
        </is>
      </c>
      <c r="D1006" s="171" t="n">
        <v>46176.41666666666</v>
      </c>
      <c r="E1006" s="26" t="n">
        <v>0.5478587962962963</v>
      </c>
      <c r="F1006" s="27" t="inlineStr">
        <is>
          <t>Shift 1</t>
        </is>
      </c>
      <c r="G1006" s="27" t="n"/>
    </row>
    <row r="1007">
      <c r="A1007" s="27" t="inlineStr">
        <is>
          <t>MK00136</t>
        </is>
      </c>
      <c r="B1007" s="27" t="n">
        <v>528000195</v>
      </c>
      <c r="C1007" s="27" t="inlineStr">
        <is>
          <t>Rahma Sariwati</t>
        </is>
      </c>
      <c r="D1007" s="171" t="n">
        <v>46176.41666666666</v>
      </c>
      <c r="E1007" s="26" t="n">
        <v>0.5832523148148148</v>
      </c>
      <c r="F1007" s="27" t="inlineStr">
        <is>
          <t>Shift 1</t>
        </is>
      </c>
      <c r="G1007" s="27" t="n"/>
    </row>
    <row r="1008">
      <c r="A1008" s="27" t="inlineStr">
        <is>
          <t>MK00090</t>
        </is>
      </c>
      <c r="B1008" s="27" t="n">
        <v>528000262</v>
      </c>
      <c r="C1008" s="27" t="inlineStr">
        <is>
          <t>Ndari Dwiwanti</t>
        </is>
      </c>
      <c r="D1008" s="171" t="n">
        <v>46176.41666666666</v>
      </c>
      <c r="E1008" s="26" t="n">
        <v>0.5834722222222222</v>
      </c>
      <c r="F1008" s="27" t="inlineStr">
        <is>
          <t>Shift 1</t>
        </is>
      </c>
      <c r="G1008" s="27" t="n"/>
    </row>
    <row r="1009">
      <c r="A1009" s="27" t="inlineStr">
        <is>
          <t>MK00108</t>
        </is>
      </c>
      <c r="B1009" s="27" t="n">
        <v>528000052</v>
      </c>
      <c r="C1009" s="27" t="inlineStr">
        <is>
          <t>Mustopa</t>
        </is>
      </c>
      <c r="D1009" s="171" t="n">
        <v>46176.41666666666</v>
      </c>
      <c r="E1009" s="26" t="n">
        <v>0.5847106481481481</v>
      </c>
      <c r="F1009" s="27" t="inlineStr">
        <is>
          <t>Shift 1</t>
        </is>
      </c>
      <c r="G1009" s="27" t="n"/>
    </row>
    <row r="1010">
      <c r="A1010" s="27" t="inlineStr">
        <is>
          <t>MK00192</t>
        </is>
      </c>
      <c r="B1010" s="27" t="n">
        <v>528000291</v>
      </c>
      <c r="C1010" s="27" t="inlineStr">
        <is>
          <t>Andrian</t>
        </is>
      </c>
      <c r="D1010" s="171" t="n">
        <v>46176.41666666666</v>
      </c>
      <c r="E1010" s="26" t="n">
        <v>0.5853935185185185</v>
      </c>
      <c r="F1010" s="27" t="inlineStr">
        <is>
          <t>Shift 1</t>
        </is>
      </c>
      <c r="G1010" s="27" t="n"/>
    </row>
    <row r="1011">
      <c r="A1011" s="27" t="inlineStr">
        <is>
          <t>MK00235</t>
        </is>
      </c>
      <c r="B1011" s="27" t="n">
        <v>528000261</v>
      </c>
      <c r="C1011" s="27" t="inlineStr">
        <is>
          <t>Ergi Ergianto</t>
        </is>
      </c>
      <c r="D1011" s="171" t="n">
        <v>46176.41666666666</v>
      </c>
      <c r="E1011" s="26" t="n">
        <v>0.5855208333333334</v>
      </c>
      <c r="F1011" s="27" t="inlineStr">
        <is>
          <t>Shift 1</t>
        </is>
      </c>
      <c r="G1011" s="27" t="n"/>
    </row>
    <row r="1012">
      <c r="A1012" s="27" t="inlineStr">
        <is>
          <t>MK00205</t>
        </is>
      </c>
      <c r="B1012" s="27" t="n">
        <v>528000348</v>
      </c>
      <c r="C1012" s="27" t="inlineStr">
        <is>
          <t>Saepuloh Ardiansah</t>
        </is>
      </c>
      <c r="D1012" s="171" t="n">
        <v>46176.41666666666</v>
      </c>
      <c r="E1012" s="26" t="n">
        <v>0.589375</v>
      </c>
      <c r="F1012" s="27" t="inlineStr">
        <is>
          <t>Shift 1</t>
        </is>
      </c>
      <c r="G1012" s="27" t="n"/>
    </row>
    <row r="1013">
      <c r="A1013" s="27" t="inlineStr">
        <is>
          <t>MK00230</t>
        </is>
      </c>
      <c r="B1013" s="27" t="n">
        <v>528000266</v>
      </c>
      <c r="C1013" s="27" t="inlineStr">
        <is>
          <t>M. Syirajatieq</t>
        </is>
      </c>
      <c r="D1013" s="171" t="n">
        <v>46176.41666666666</v>
      </c>
      <c r="E1013" s="26" t="n">
        <v>0.6009722222222222</v>
      </c>
      <c r="F1013" s="27" t="inlineStr">
        <is>
          <t>Shift 1</t>
        </is>
      </c>
      <c r="G1013" s="27" t="n"/>
    </row>
    <row r="1014">
      <c r="A1014" s="27" t="inlineStr">
        <is>
          <t>MK00154</t>
        </is>
      </c>
      <c r="B1014" s="27" t="n">
        <v>528000298</v>
      </c>
      <c r="C1014" s="27" t="inlineStr">
        <is>
          <t>Desta Cahaya Pratama</t>
        </is>
      </c>
      <c r="D1014" s="171" t="n">
        <v>46176.41666666666</v>
      </c>
      <c r="E1014" s="26" t="n">
        <v>0.9215046296296296</v>
      </c>
      <c r="F1014" s="27" t="inlineStr">
        <is>
          <t>Shift 2</t>
        </is>
      </c>
      <c r="G1014" s="27" t="n"/>
    </row>
    <row r="1015">
      <c r="A1015" s="27" t="inlineStr">
        <is>
          <t>MK00199</t>
        </is>
      </c>
      <c r="B1015" s="27" t="n">
        <v>528000309</v>
      </c>
      <c r="C1015" s="27" t="inlineStr">
        <is>
          <t>Ilham Ramadhan</t>
        </is>
      </c>
      <c r="D1015" s="171" t="n">
        <v>46176.41666666666</v>
      </c>
      <c r="E1015" s="26" t="n">
        <v>0.9215393518518519</v>
      </c>
      <c r="F1015" s="27" t="inlineStr">
        <is>
          <t>Shift 2</t>
        </is>
      </c>
      <c r="G1015" s="27" t="n"/>
    </row>
    <row r="1016">
      <c r="A1016" s="27" t="inlineStr">
        <is>
          <t>MK00148</t>
        </is>
      </c>
      <c r="B1016" s="27" t="n">
        <v>528000305</v>
      </c>
      <c r="C1016" s="27" t="inlineStr">
        <is>
          <t>Puji Puspita</t>
        </is>
      </c>
      <c r="D1016" s="171" t="n">
        <v>46176.41666666666</v>
      </c>
      <c r="E1016" s="26" t="n">
        <v>0.9216319444444444</v>
      </c>
      <c r="F1016" s="27" t="inlineStr">
        <is>
          <t>Shift 2</t>
        </is>
      </c>
      <c r="G1016" s="27" t="n"/>
    </row>
    <row r="1017">
      <c r="A1017" s="27" t="inlineStr">
        <is>
          <t>MK00209</t>
        </is>
      </c>
      <c r="B1017" s="27" t="n">
        <v>528000270</v>
      </c>
      <c r="C1017" s="27" t="inlineStr">
        <is>
          <t>Febri Najmudin</t>
        </is>
      </c>
      <c r="D1017" s="171" t="n">
        <v>46176.41666666666</v>
      </c>
      <c r="E1017" s="26" t="n">
        <v>0.9339004629629629</v>
      </c>
      <c r="F1017" s="27" t="inlineStr">
        <is>
          <t>Shift 2</t>
        </is>
      </c>
      <c r="G1017" s="27" t="n"/>
    </row>
    <row r="1018">
      <c r="A1018" s="27" t="inlineStr">
        <is>
          <t>MK00116</t>
        </is>
      </c>
      <c r="B1018" s="27" t="n">
        <v>628000061</v>
      </c>
      <c r="C1018" s="27" t="inlineStr">
        <is>
          <t>Nayla Fadillah Exwantoro</t>
        </is>
      </c>
      <c r="D1018" s="171" t="n">
        <v>46176.41666666666</v>
      </c>
      <c r="E1018" s="26" t="n">
        <v>0.9739351851851852</v>
      </c>
      <c r="F1018" s="27" t="inlineStr">
        <is>
          <t>Shift 2</t>
        </is>
      </c>
      <c r="G1018" s="27" t="n"/>
    </row>
    <row r="1019">
      <c r="A1019" s="27" t="inlineStr">
        <is>
          <t>MK00093</t>
        </is>
      </c>
      <c r="B1019" s="27" t="n">
        <v>528000288</v>
      </c>
      <c r="C1019" s="27" t="inlineStr">
        <is>
          <t>Dede gunawan</t>
        </is>
      </c>
      <c r="D1019" s="171" t="n">
        <v>46148.41666666666</v>
      </c>
      <c r="E1019" s="26" t="n">
        <v>0.2474189814814815</v>
      </c>
      <c r="F1019" s="27" t="inlineStr">
        <is>
          <t>Shift 3</t>
        </is>
      </c>
      <c r="G1019" s="27" t="n"/>
    </row>
    <row r="1020">
      <c r="A1020" s="27" t="inlineStr">
        <is>
          <t>MK00208</t>
        </is>
      </c>
      <c r="B1020" s="27" t="n">
        <v>528000063</v>
      </c>
      <c r="C1020" s="27" t="inlineStr">
        <is>
          <t>Muhamad Ripki Pebrian</t>
        </is>
      </c>
      <c r="D1020" s="171" t="n">
        <v>46148.41666666666</v>
      </c>
      <c r="E1020" s="26" t="n">
        <v>0.2516435185185185</v>
      </c>
      <c r="F1020" s="27" t="inlineStr">
        <is>
          <t>Shift 3</t>
        </is>
      </c>
      <c r="G1020" s="27" t="n"/>
    </row>
    <row r="1021">
      <c r="A1021" s="27" t="inlineStr">
        <is>
          <t>MK00202</t>
        </is>
      </c>
      <c r="B1021" s="27" t="n">
        <v>528000279</v>
      </c>
      <c r="C1021" s="27" t="inlineStr">
        <is>
          <t>Mahdalena Dalfa Riani</t>
        </is>
      </c>
      <c r="D1021" s="171" t="n">
        <v>46148.41666666666</v>
      </c>
      <c r="E1021" s="26" t="n">
        <v>0.2523263888888889</v>
      </c>
      <c r="F1021" s="27" t="inlineStr">
        <is>
          <t>Shift 3</t>
        </is>
      </c>
      <c r="G1021" s="27" t="n"/>
    </row>
    <row r="1022">
      <c r="A1022" s="27" t="inlineStr">
        <is>
          <t>MK00108</t>
        </is>
      </c>
      <c r="B1022" s="27" t="n">
        <v>628000064</v>
      </c>
      <c r="C1022" s="27" t="inlineStr">
        <is>
          <t>Silva Alypia</t>
        </is>
      </c>
      <c r="D1022" s="171" t="n">
        <v>46148.41666666666</v>
      </c>
      <c r="E1022" s="26" t="n">
        <v>0.2532060185185185</v>
      </c>
      <c r="F1022" s="27" t="inlineStr">
        <is>
          <t>Shift 3</t>
        </is>
      </c>
      <c r="G1022" s="27" t="n"/>
    </row>
    <row r="1023">
      <c r="A1023" s="27" t="inlineStr">
        <is>
          <t>MK00221</t>
        </is>
      </c>
      <c r="B1023" s="27" t="n">
        <v>528000323</v>
      </c>
      <c r="C1023" s="27" t="inlineStr">
        <is>
          <t>Dian Hamidah</t>
        </is>
      </c>
      <c r="D1023" s="171" t="n">
        <v>46148.41666666666</v>
      </c>
      <c r="E1023" s="26" t="n">
        <v>0.2552777777777778</v>
      </c>
      <c r="F1023" s="27" t="inlineStr">
        <is>
          <t>Shift 3</t>
        </is>
      </c>
      <c r="G1023" s="27" t="n"/>
    </row>
    <row r="1024">
      <c r="A1024" s="27" t="inlineStr">
        <is>
          <t>MK00090</t>
        </is>
      </c>
      <c r="B1024" s="27" t="n">
        <v>528000306</v>
      </c>
      <c r="C1024" s="27" t="inlineStr">
        <is>
          <t>Windy Olivia</t>
        </is>
      </c>
      <c r="D1024" s="171" t="n">
        <v>46148.41666666666</v>
      </c>
      <c r="E1024" s="26" t="n">
        <v>0.2557291666666667</v>
      </c>
      <c r="F1024" s="27" t="inlineStr">
        <is>
          <t>Shift 3</t>
        </is>
      </c>
      <c r="G1024" s="27" t="n"/>
    </row>
    <row r="1025">
      <c r="A1025" s="27" t="inlineStr">
        <is>
          <t>MK00138</t>
        </is>
      </c>
      <c r="B1025" s="27" t="n">
        <v>528000297</v>
      </c>
      <c r="C1025" s="27" t="inlineStr">
        <is>
          <t>Muhamad Budiana</t>
        </is>
      </c>
      <c r="D1025" s="171" t="n">
        <v>46148.41666666666</v>
      </c>
      <c r="E1025" s="26" t="n">
        <v>0.2928472222222222</v>
      </c>
      <c r="F1025" s="27" t="inlineStr">
        <is>
          <t>Shift 3</t>
        </is>
      </c>
      <c r="G1025" s="27" t="n"/>
    </row>
    <row r="1026">
      <c r="A1026" s="27" t="inlineStr">
        <is>
          <t>MK0109</t>
        </is>
      </c>
      <c r="B1026" s="27" t="n">
        <v>528000052</v>
      </c>
      <c r="C1026" s="27" t="inlineStr">
        <is>
          <t>Mustopa</t>
        </is>
      </c>
      <c r="D1026" s="171" t="n">
        <v>46148.41666666666</v>
      </c>
      <c r="E1026" s="26" t="n">
        <v>0.5858680555555555</v>
      </c>
      <c r="F1026" s="27" t="inlineStr">
        <is>
          <t>Shift 1</t>
        </is>
      </c>
      <c r="G1026" s="27" t="n"/>
    </row>
    <row r="1027">
      <c r="A1027" s="27" t="inlineStr">
        <is>
          <t>MK00113</t>
        </is>
      </c>
      <c r="B1027" s="27" t="n">
        <v>528000291</v>
      </c>
      <c r="C1027" s="27" t="inlineStr">
        <is>
          <t>Andrian</t>
        </is>
      </c>
      <c r="D1027" s="171" t="n">
        <v>46148.41666666666</v>
      </c>
      <c r="E1027" s="26" t="n">
        <v>0.5867245370370371</v>
      </c>
      <c r="F1027" s="27" t="inlineStr">
        <is>
          <t>Shift 1</t>
        </is>
      </c>
      <c r="G1027" s="27" t="n"/>
    </row>
    <row r="1028">
      <c r="A1028" s="27" t="inlineStr">
        <is>
          <t>MK00154</t>
        </is>
      </c>
      <c r="B1028" s="27" t="n">
        <v>528000262</v>
      </c>
      <c r="C1028" s="27" t="inlineStr">
        <is>
          <t>Ndari Dwiwanti</t>
        </is>
      </c>
      <c r="D1028" s="171" t="n">
        <v>46148.41666666666</v>
      </c>
      <c r="E1028" s="26" t="n">
        <v>0.5872106481481482</v>
      </c>
      <c r="F1028" s="27" t="inlineStr">
        <is>
          <t>Shift 1</t>
        </is>
      </c>
      <c r="G1028" s="27" t="n"/>
    </row>
    <row r="1029">
      <c r="A1029" s="27" t="inlineStr">
        <is>
          <t>MK00199</t>
        </is>
      </c>
      <c r="B1029" s="27" t="n">
        <v>528000358</v>
      </c>
      <c r="C1029" s="27" t="inlineStr">
        <is>
          <t>Lulu Agustin</t>
        </is>
      </c>
      <c r="D1029" s="171" t="n">
        <v>46148.41666666666</v>
      </c>
      <c r="E1029" s="26" t="n">
        <v>0.5873263888888889</v>
      </c>
      <c r="F1029" s="27" t="inlineStr">
        <is>
          <t>Shift 1</t>
        </is>
      </c>
      <c r="G1029" s="27" t="n"/>
    </row>
    <row r="1030">
      <c r="A1030" s="27" t="inlineStr">
        <is>
          <t>MK00151</t>
        </is>
      </c>
      <c r="B1030" s="27" t="n">
        <v>528000261</v>
      </c>
      <c r="C1030" s="27" t="inlineStr">
        <is>
          <t>Ergi Ergianto</t>
        </is>
      </c>
      <c r="D1030" s="171" t="n">
        <v>46148.41666666666</v>
      </c>
      <c r="E1030" s="26" t="n">
        <v>0.5873379629629629</v>
      </c>
      <c r="F1030" s="27" t="inlineStr">
        <is>
          <t>Shift 1</t>
        </is>
      </c>
      <c r="G1030" s="27" t="n"/>
    </row>
    <row r="1031">
      <c r="A1031" s="27" t="inlineStr">
        <is>
          <t>MK00138</t>
        </is>
      </c>
      <c r="B1031" s="27" t="n">
        <v>528000265</v>
      </c>
      <c r="C1031" s="27" t="inlineStr">
        <is>
          <t>Muhammad Haerul Rozikin</t>
        </is>
      </c>
      <c r="D1031" s="171" t="n">
        <v>46148.41666666666</v>
      </c>
      <c r="E1031" s="26" t="n">
        <v>0.6709259259259259</v>
      </c>
      <c r="F1031" s="27" t="inlineStr">
        <is>
          <t>Shift 2</t>
        </is>
      </c>
      <c r="G1031" s="27" t="n"/>
    </row>
    <row r="1032">
      <c r="A1032" s="27" t="inlineStr">
        <is>
          <t>MK00145</t>
        </is>
      </c>
      <c r="B1032" s="27" t="n">
        <v>528000098</v>
      </c>
      <c r="C1032" s="27" t="inlineStr">
        <is>
          <t>Edi Junaedi</t>
        </is>
      </c>
      <c r="D1032" s="171" t="n">
        <v>46148.41666666666</v>
      </c>
      <c r="E1032" s="26" t="n">
        <v>0.9051273148148148</v>
      </c>
      <c r="F1032" s="27" t="inlineStr">
        <is>
          <t>Shift 2</t>
        </is>
      </c>
      <c r="G1032" s="27" t="n"/>
    </row>
    <row r="1033">
      <c r="A1033" s="27" t="inlineStr">
        <is>
          <t>MK00126</t>
        </is>
      </c>
      <c r="B1033" s="27" t="n">
        <v>528000298</v>
      </c>
      <c r="C1033" s="27" t="inlineStr">
        <is>
          <t>Desta Cahaya Pratama</t>
        </is>
      </c>
      <c r="D1033" s="171" t="n">
        <v>46148.41666666666</v>
      </c>
      <c r="E1033" s="26" t="n">
        <v>0.9185416666666667</v>
      </c>
      <c r="F1033" s="27" t="inlineStr">
        <is>
          <t>Shift 2</t>
        </is>
      </c>
      <c r="G1033" s="27" t="n"/>
    </row>
    <row r="1034">
      <c r="A1034" s="27" t="inlineStr">
        <is>
          <t>MK00221</t>
        </is>
      </c>
      <c r="B1034" s="27" t="n">
        <v>528000305</v>
      </c>
      <c r="C1034" s="27" t="inlineStr">
        <is>
          <t>Puji Puspita</t>
        </is>
      </c>
      <c r="D1034" s="171" t="n">
        <v>46148.41666666666</v>
      </c>
      <c r="E1034" s="26" t="n">
        <v>0.9190162037037037</v>
      </c>
      <c r="F1034" s="27" t="inlineStr">
        <is>
          <t>Shift 2</t>
        </is>
      </c>
      <c r="G1034" s="27" t="n"/>
    </row>
    <row r="1035">
      <c r="A1035" s="27" t="inlineStr">
        <is>
          <t>MK00108</t>
        </is>
      </c>
      <c r="B1035" s="27" t="n">
        <v>528000299</v>
      </c>
      <c r="C1035" s="27" t="inlineStr">
        <is>
          <t>Siti Nurjanah</t>
        </is>
      </c>
      <c r="D1035" s="171" t="n">
        <v>46148.41666666666</v>
      </c>
      <c r="E1035" s="26" t="n">
        <v>0.9193055555555556</v>
      </c>
      <c r="F1035" s="27" t="inlineStr">
        <is>
          <t>Shift 2</t>
        </is>
      </c>
      <c r="G1035" s="27" t="n"/>
    </row>
    <row r="1036">
      <c r="A1036" s="27" t="inlineStr">
        <is>
          <t>MK00249</t>
        </is>
      </c>
      <c r="B1036" s="27" t="n">
        <v>528000309</v>
      </c>
      <c r="C1036" s="27" t="inlineStr">
        <is>
          <t>Ilham Ramadhan</t>
        </is>
      </c>
      <c r="D1036" s="171" t="n">
        <v>46148.41666666666</v>
      </c>
      <c r="E1036" s="26" t="n">
        <v>0.9196064814814815</v>
      </c>
      <c r="F1036" s="27" t="inlineStr">
        <is>
          <t>Shift 2</t>
        </is>
      </c>
      <c r="G1036" s="27" t="n"/>
    </row>
    <row r="1037">
      <c r="A1037" s="27" t="inlineStr">
        <is>
          <t>MK00209</t>
        </is>
      </c>
      <c r="B1037" s="27" t="n">
        <v>528000302</v>
      </c>
      <c r="C1037" s="27" t="inlineStr">
        <is>
          <t>Henkey gumilar</t>
        </is>
      </c>
      <c r="D1037" s="171" t="n">
        <v>46148.41666666666</v>
      </c>
      <c r="E1037" s="26" t="n">
        <v>0.9218055555555555</v>
      </c>
      <c r="F1037" s="27" t="inlineStr">
        <is>
          <t>Shift 2</t>
        </is>
      </c>
      <c r="G1037" s="27" t="n"/>
    </row>
    <row r="1038">
      <c r="A1038" s="27" t="inlineStr">
        <is>
          <t>MK00192</t>
        </is>
      </c>
      <c r="B1038" s="27" t="n">
        <v>528000270</v>
      </c>
      <c r="C1038" s="27" t="inlineStr">
        <is>
          <t>Febri Najmudin</t>
        </is>
      </c>
      <c r="D1038" s="171" t="n">
        <v>46148.41666666666</v>
      </c>
      <c r="E1038" s="26" t="n">
        <v>0.9296527777777778</v>
      </c>
      <c r="F1038" s="27" t="inlineStr">
        <is>
          <t>Shift 2</t>
        </is>
      </c>
      <c r="G1038" s="27" t="n"/>
    </row>
    <row r="1039">
      <c r="A1039" s="27" t="inlineStr">
        <is>
          <t>MK00116</t>
        </is>
      </c>
      <c r="B1039" s="27" t="n">
        <v>628000061</v>
      </c>
      <c r="C1039" s="27" t="inlineStr">
        <is>
          <t>Nayla Fadillah Exwantoro</t>
        </is>
      </c>
      <c r="D1039" s="171" t="n">
        <v>46148.41666666666</v>
      </c>
      <c r="E1039" s="26" t="n">
        <v>0.9421759259259259</v>
      </c>
      <c r="F1039" s="27" t="inlineStr">
        <is>
          <t>Shift 2</t>
        </is>
      </c>
      <c r="G1039" s="27" t="n"/>
    </row>
    <row r="1040">
      <c r="A1040" s="27" t="inlineStr">
        <is>
          <t>MK00204</t>
        </is>
      </c>
      <c r="B1040" s="27" t="n">
        <v>528000201</v>
      </c>
      <c r="C1040" s="27" t="inlineStr">
        <is>
          <t>Zahwa Amelia Choerunissa</t>
        </is>
      </c>
      <c r="D1040" s="171" t="n">
        <v>46179.41666666666</v>
      </c>
      <c r="E1040" s="26" t="n">
        <v>0.2528587962962963</v>
      </c>
      <c r="F1040" s="27" t="inlineStr">
        <is>
          <t>Shift 3</t>
        </is>
      </c>
      <c r="G1040" s="27" t="n"/>
    </row>
    <row r="1041">
      <c r="A1041" s="27" t="inlineStr">
        <is>
          <t>MK00109</t>
        </is>
      </c>
      <c r="B1041" s="27" t="n">
        <v>528000318</v>
      </c>
      <c r="C1041" s="27" t="inlineStr">
        <is>
          <t>Bayu Padli Sepriyana</t>
        </is>
      </c>
      <c r="D1041" s="171" t="n">
        <v>46179.41666666666</v>
      </c>
      <c r="E1041" s="26" t="n">
        <v>0.2529861111111111</v>
      </c>
      <c r="F1041" s="27" t="inlineStr">
        <is>
          <t>Shift 3</t>
        </is>
      </c>
      <c r="G1041" s="27" t="n"/>
    </row>
    <row r="1042">
      <c r="A1042" s="27" t="inlineStr">
        <is>
          <t>MK00136</t>
        </is>
      </c>
      <c r="B1042" s="27" t="n">
        <v>528000090</v>
      </c>
      <c r="C1042" s="27" t="inlineStr">
        <is>
          <t>Suganda</t>
        </is>
      </c>
      <c r="D1042" s="171" t="n">
        <v>46179.41666666666</v>
      </c>
      <c r="E1042" s="26" t="n">
        <v>0.253113425925926</v>
      </c>
      <c r="F1042" s="27" t="inlineStr">
        <is>
          <t>Shift 3</t>
        </is>
      </c>
      <c r="G1042" s="27" t="n"/>
    </row>
    <row r="1043">
      <c r="A1043" s="27" t="inlineStr">
        <is>
          <t>MK00148</t>
        </is>
      </c>
      <c r="B1043" s="27" t="n">
        <v>528000241</v>
      </c>
      <c r="C1043" s="27" t="inlineStr">
        <is>
          <t>Balia Nurafif Bilah</t>
        </is>
      </c>
      <c r="D1043" s="171" t="n">
        <v>46179.41666666666</v>
      </c>
      <c r="E1043" s="26" t="n">
        <v>0.2531481481481481</v>
      </c>
      <c r="F1043" s="27" t="inlineStr">
        <is>
          <t>Shift 3</t>
        </is>
      </c>
      <c r="G1043" s="27" t="n"/>
    </row>
    <row r="1044">
      <c r="A1044" s="27" t="inlineStr">
        <is>
          <t>MK00112</t>
        </is>
      </c>
      <c r="B1044" s="27" t="n">
        <v>528000290</v>
      </c>
      <c r="C1044" s="27" t="inlineStr">
        <is>
          <t>Eval Pranata</t>
        </is>
      </c>
      <c r="D1044" s="171" t="n">
        <v>46179.41666666666</v>
      </c>
      <c r="E1044" s="26" t="n">
        <v>0.2532060185185185</v>
      </c>
      <c r="F1044" s="27" t="inlineStr">
        <is>
          <t>Shift 3</t>
        </is>
      </c>
      <c r="G1044" s="27" t="n"/>
    </row>
    <row r="1045">
      <c r="A1045" s="27" t="inlineStr">
        <is>
          <t>MK00158</t>
        </is>
      </c>
      <c r="B1045" s="27" t="n">
        <v>528000099</v>
      </c>
      <c r="C1045" s="27" t="inlineStr">
        <is>
          <t>Siti Nurawaliah</t>
        </is>
      </c>
      <c r="D1045" s="171" t="n">
        <v>46179.41666666666</v>
      </c>
      <c r="E1045" s="26" t="n">
        <v>0.2532523148148148</v>
      </c>
      <c r="F1045" s="27" t="inlineStr">
        <is>
          <t>Shift 3</t>
        </is>
      </c>
      <c r="G1045" s="27" t="n"/>
    </row>
    <row r="1046">
      <c r="A1046" s="27" t="inlineStr">
        <is>
          <t>MK00199</t>
        </is>
      </c>
      <c r="B1046" s="27" t="n">
        <v>528000286</v>
      </c>
      <c r="C1046" s="27" t="inlineStr">
        <is>
          <t>Imelda Amelia</t>
        </is>
      </c>
      <c r="D1046" s="171" t="n">
        <v>46179.41666666666</v>
      </c>
      <c r="E1046" s="26" t="n">
        <v>0.2534953703703703</v>
      </c>
      <c r="F1046" s="27" t="inlineStr">
        <is>
          <t>Shift 3</t>
        </is>
      </c>
      <c r="G1046" s="27" t="n"/>
    </row>
    <row r="1047">
      <c r="A1047" s="27" t="inlineStr">
        <is>
          <t>MK00138</t>
        </is>
      </c>
      <c r="B1047" s="27" t="n">
        <v>528000244</v>
      </c>
      <c r="C1047" s="27" t="inlineStr">
        <is>
          <t>Rodian Rifai</t>
        </is>
      </c>
      <c r="D1047" s="171" t="n">
        <v>46179.41666666666</v>
      </c>
      <c r="E1047" s="26" t="n">
        <v>0.2866550925925926</v>
      </c>
      <c r="F1047" s="27" t="inlineStr">
        <is>
          <t>Shift 3</t>
        </is>
      </c>
      <c r="G1047" s="27" t="inlineStr">
        <is>
          <t>23C</t>
        </is>
      </c>
    </row>
    <row r="1048">
      <c r="A1048" s="27" t="inlineStr">
        <is>
          <t>MK00228</t>
        </is>
      </c>
      <c r="B1048" s="27" t="n">
        <v>528000132</v>
      </c>
      <c r="C1048" s="27" t="inlineStr">
        <is>
          <t>Giopani</t>
        </is>
      </c>
      <c r="D1048" s="171" t="n">
        <v>46179.41666666666</v>
      </c>
      <c r="E1048" s="26" t="n">
        <v>0.3686226851851852</v>
      </c>
      <c r="F1048" s="27" t="inlineStr">
        <is>
          <t>Shift 1</t>
        </is>
      </c>
      <c r="G1048" s="27" t="n"/>
    </row>
    <row r="1049">
      <c r="A1049" s="27" t="inlineStr">
        <is>
          <t>MK00181</t>
        </is>
      </c>
      <c r="B1049" s="27" t="n">
        <v>528000300</v>
      </c>
      <c r="C1049" s="27" t="inlineStr">
        <is>
          <t>Lia pitaloka</t>
        </is>
      </c>
      <c r="D1049" s="171" t="n">
        <v>46179.41666666666</v>
      </c>
      <c r="E1049" s="26" t="n">
        <v>0.5304050925925926</v>
      </c>
      <c r="F1049" s="27" t="inlineStr">
        <is>
          <t>Shift 1</t>
        </is>
      </c>
      <c r="G1049" s="27" t="n"/>
    </row>
    <row r="1050">
      <c r="A1050" s="27" t="inlineStr">
        <is>
          <t>MK00008</t>
        </is>
      </c>
      <c r="B1050" s="27" t="n">
        <v>528000329</v>
      </c>
      <c r="C1050" s="27" t="inlineStr">
        <is>
          <t>Havid Ilham Firdaus</t>
        </is>
      </c>
      <c r="D1050" s="171" t="n">
        <v>46179.41666666666</v>
      </c>
      <c r="E1050" s="26" t="n">
        <v>0.572662037037037</v>
      </c>
      <c r="F1050" s="27" t="inlineStr">
        <is>
          <t>Shift 1</t>
        </is>
      </c>
      <c r="G1050" s="27" t="n"/>
    </row>
    <row r="1051">
      <c r="A1051" s="27" t="inlineStr">
        <is>
          <t>MK00134</t>
        </is>
      </c>
      <c r="B1051" s="27" t="n">
        <v>528000310</v>
      </c>
      <c r="C1051" s="27" t="inlineStr">
        <is>
          <t>Fachrul Rozzi Suryana</t>
        </is>
      </c>
      <c r="D1051" s="171" t="n">
        <v>46179.41666666666</v>
      </c>
      <c r="E1051" s="26" t="n">
        <v>0.5840393518518519</v>
      </c>
      <c r="F1051" s="27" t="inlineStr">
        <is>
          <t>Shift 1</t>
        </is>
      </c>
      <c r="G1051" s="27" t="inlineStr">
        <is>
          <t>7B</t>
        </is>
      </c>
    </row>
    <row r="1052">
      <c r="A1052" s="27" t="inlineStr">
        <is>
          <t>MK00209</t>
        </is>
      </c>
      <c r="B1052" s="27" t="n">
        <v>528000291</v>
      </c>
      <c r="C1052" s="27" t="inlineStr">
        <is>
          <t>Andrian</t>
        </is>
      </c>
      <c r="D1052" s="171" t="n">
        <v>46179.41666666666</v>
      </c>
      <c r="E1052" s="26" t="n">
        <v>0.584224537037037</v>
      </c>
      <c r="F1052" s="27" t="inlineStr">
        <is>
          <t>Shift 1</t>
        </is>
      </c>
      <c r="G1052" s="27" t="n"/>
    </row>
    <row r="1053">
      <c r="A1053" s="27" t="inlineStr">
        <is>
          <t>MK00221</t>
        </is>
      </c>
      <c r="B1053" s="27" t="n">
        <v>528000262</v>
      </c>
      <c r="C1053" s="27" t="inlineStr">
        <is>
          <t>Ndari Dwiwanti</t>
        </is>
      </c>
      <c r="D1053" s="171" t="n">
        <v>46179.41666666666</v>
      </c>
      <c r="E1053" s="26" t="n">
        <v>0.5845023148148148</v>
      </c>
      <c r="F1053" s="27" t="inlineStr">
        <is>
          <t>Shift 1</t>
        </is>
      </c>
      <c r="G1053" s="27" t="n"/>
    </row>
    <row r="1054">
      <c r="A1054" s="27" t="inlineStr">
        <is>
          <t>MK0192</t>
        </is>
      </c>
      <c r="B1054" s="27" t="n">
        <v>528000052</v>
      </c>
      <c r="C1054" s="27" t="inlineStr">
        <is>
          <t>Mustopa</t>
        </is>
      </c>
      <c r="D1054" s="171" t="n">
        <v>46179.41666666666</v>
      </c>
      <c r="E1054" s="26" t="n">
        <v>0.5850115740740741</v>
      </c>
      <c r="F1054" s="27" t="inlineStr">
        <is>
          <t>Shift 1</t>
        </is>
      </c>
      <c r="G1054" s="27" t="n"/>
    </row>
    <row r="1055">
      <c r="A1055" s="27" t="inlineStr">
        <is>
          <t>MK00126</t>
        </is>
      </c>
      <c r="B1055" s="27" t="n">
        <v>528000265</v>
      </c>
      <c r="C1055" s="27" t="inlineStr">
        <is>
          <t>Muhammad Haerul Rozikin</t>
        </is>
      </c>
      <c r="D1055" s="171" t="n">
        <v>46179.41666666666</v>
      </c>
      <c r="E1055" s="26" t="n">
        <v>0.5858333333333333</v>
      </c>
      <c r="F1055" s="27" t="inlineStr">
        <is>
          <t>Shift 1</t>
        </is>
      </c>
      <c r="G1055" s="27" t="n"/>
    </row>
    <row r="1056">
      <c r="A1056" s="27" t="inlineStr">
        <is>
          <t>MK00250</t>
        </is>
      </c>
      <c r="B1056" s="27" t="n">
        <v>528000195</v>
      </c>
      <c r="C1056" s="27" t="inlineStr">
        <is>
          <t>Rahma Sariwati</t>
        </is>
      </c>
      <c r="D1056" s="171" t="n">
        <v>46179.41666666666</v>
      </c>
      <c r="E1056" s="26" t="n">
        <v>0.5860763888888889</v>
      </c>
      <c r="F1056" s="27" t="inlineStr">
        <is>
          <t>Shift 1</t>
        </is>
      </c>
      <c r="G1056" s="27" t="n"/>
    </row>
    <row r="1057">
      <c r="A1057" s="27" t="inlineStr">
        <is>
          <t>MK00215</t>
        </is>
      </c>
      <c r="B1057" s="27" t="n">
        <v>528000015</v>
      </c>
      <c r="C1057" s="27" t="inlineStr">
        <is>
          <t>Erwin</t>
        </is>
      </c>
      <c r="D1057" s="171" t="n">
        <v>46179.41666666666</v>
      </c>
      <c r="E1057" s="26" t="n">
        <v>0.6517592592592593</v>
      </c>
      <c r="F1057" s="27" t="inlineStr">
        <is>
          <t>Shift 1</t>
        </is>
      </c>
      <c r="G1057" s="27" t="n"/>
    </row>
    <row r="1058">
      <c r="A1058" s="27" t="inlineStr">
        <is>
          <t>MK00204</t>
        </is>
      </c>
      <c r="B1058" s="27" t="n">
        <v>528000203</v>
      </c>
      <c r="C1058" s="27" t="inlineStr">
        <is>
          <t>Yudha Ramdhan Putra</t>
        </is>
      </c>
      <c r="D1058" s="171" t="n">
        <v>46179.41666666666</v>
      </c>
      <c r="E1058" s="26" t="n">
        <v>0.6687962962962963</v>
      </c>
      <c r="F1058" s="27" t="inlineStr">
        <is>
          <t>Shift 2</t>
        </is>
      </c>
      <c r="G1058" s="27" t="n"/>
    </row>
    <row r="1059">
      <c r="A1059" s="27" t="inlineStr">
        <is>
          <t>MK00138</t>
        </is>
      </c>
      <c r="B1059" s="27" t="n">
        <v>528000351</v>
      </c>
      <c r="C1059" s="27" t="inlineStr">
        <is>
          <t>Mulyana</t>
        </is>
      </c>
      <c r="D1059" s="171" t="n">
        <v>46179.41666666666</v>
      </c>
      <c r="E1059" s="26" t="n">
        <v>0.6720949074074074</v>
      </c>
      <c r="F1059" s="27" t="inlineStr">
        <is>
          <t>Shift 2</t>
        </is>
      </c>
      <c r="G1059" s="27" t="n"/>
    </row>
    <row r="1060">
      <c r="A1060" s="27" t="inlineStr">
        <is>
          <t>MK00095</t>
        </is>
      </c>
      <c r="B1060" s="27" t="n">
        <v>528000232</v>
      </c>
      <c r="C1060" s="27" t="inlineStr">
        <is>
          <t>Agung Aji Suhada</t>
        </is>
      </c>
      <c r="D1060" s="171" t="n">
        <v>46179.41666666666</v>
      </c>
      <c r="E1060" s="26" t="n">
        <v>0.715925925925926</v>
      </c>
      <c r="F1060" s="27" t="inlineStr">
        <is>
          <t>Shift 2</t>
        </is>
      </c>
      <c r="G1060" s="27" t="n"/>
    </row>
    <row r="1061">
      <c r="A1061" s="27" t="inlineStr">
        <is>
          <t>MK00199</t>
        </is>
      </c>
      <c r="B1061" s="27" t="n">
        <v>528000267</v>
      </c>
      <c r="C1061" s="27" t="inlineStr">
        <is>
          <t>Bagas Patulloh</t>
        </is>
      </c>
      <c r="D1061" s="171" t="n">
        <v>46179.41666666666</v>
      </c>
      <c r="E1061" s="26" t="n">
        <v>0.7322916666666667</v>
      </c>
      <c r="F1061" s="27" t="inlineStr">
        <is>
          <t>Shift 2</t>
        </is>
      </c>
      <c r="G1061" s="27" t="n"/>
    </row>
    <row r="1062">
      <c r="A1062" s="27" t="inlineStr">
        <is>
          <t>MK00109</t>
        </is>
      </c>
      <c r="B1062" s="27" t="n">
        <v>528000349</v>
      </c>
      <c r="C1062" s="27" t="inlineStr">
        <is>
          <t>Anas Abdul Fatah</t>
        </is>
      </c>
      <c r="D1062" s="171" t="n">
        <v>46179.41666666666</v>
      </c>
      <c r="E1062" s="26" t="n">
        <v>0.7586921296296296</v>
      </c>
      <c r="F1062" s="27" t="inlineStr">
        <is>
          <t>Shift 2</t>
        </is>
      </c>
      <c r="G1062" s="27" t="n"/>
    </row>
    <row r="1063">
      <c r="A1063" s="27" t="inlineStr">
        <is>
          <t>MK00230</t>
        </is>
      </c>
      <c r="B1063" s="27" t="n">
        <v>528000282</v>
      </c>
      <c r="C1063" s="27" t="inlineStr">
        <is>
          <t>Defa Desfiana</t>
        </is>
      </c>
      <c r="D1063" s="171" t="n">
        <v>46179.41666666666</v>
      </c>
      <c r="E1063" s="26" t="n">
        <v>0.7679166666666667</v>
      </c>
      <c r="F1063" s="27" t="inlineStr">
        <is>
          <t>Shift 2</t>
        </is>
      </c>
      <c r="G1063" s="27" t="n"/>
    </row>
    <row r="1064">
      <c r="A1064" s="27" t="inlineStr">
        <is>
          <t>MK00145</t>
        </is>
      </c>
      <c r="B1064" s="27" t="n">
        <v>528000289</v>
      </c>
      <c r="C1064" s="27" t="inlineStr">
        <is>
          <t>Adit Supriyadi</t>
        </is>
      </c>
      <c r="D1064" s="171" t="n">
        <v>46179.41666666666</v>
      </c>
      <c r="E1064" s="26" t="n">
        <v>0.9003935185185186</v>
      </c>
      <c r="F1064" s="27" t="inlineStr">
        <is>
          <t>Shift 2</t>
        </is>
      </c>
      <c r="G1064" s="27" t="n"/>
    </row>
    <row r="1065">
      <c r="A1065" s="27" t="inlineStr">
        <is>
          <t>MK0015</t>
        </is>
      </c>
      <c r="B1065" s="27" t="n">
        <v>528000241</v>
      </c>
      <c r="C1065" s="27" t="inlineStr">
        <is>
          <t>Balia Nurafif Bilah</t>
        </is>
      </c>
      <c r="D1065" s="171" t="n">
        <v>46179.41666666666</v>
      </c>
      <c r="E1065" s="26" t="n">
        <v>0.9156944444444445</v>
      </c>
      <c r="F1065" s="27" t="inlineStr">
        <is>
          <t>Shift 2</t>
        </is>
      </c>
      <c r="G1065" s="27" t="n"/>
    </row>
    <row r="1066">
      <c r="A1066" s="27" t="inlineStr">
        <is>
          <t>MK00093</t>
        </is>
      </c>
      <c r="B1066" s="27" t="n">
        <v>528000305</v>
      </c>
      <c r="C1066" s="27" t="inlineStr">
        <is>
          <t>Puji Puspita</t>
        </is>
      </c>
      <c r="D1066" s="171" t="n">
        <v>46179.41666666666</v>
      </c>
      <c r="E1066" s="26" t="n">
        <v>0.9191435185185185</v>
      </c>
      <c r="F1066" s="27" t="inlineStr">
        <is>
          <t>Shift 2</t>
        </is>
      </c>
      <c r="G1066" s="27" t="n"/>
    </row>
    <row r="1067">
      <c r="A1067" s="27" t="inlineStr">
        <is>
          <t>MK00113</t>
        </is>
      </c>
      <c r="B1067" s="27" t="n">
        <v>528000299</v>
      </c>
      <c r="C1067" s="27" t="inlineStr">
        <is>
          <t>Siti Nurjanah</t>
        </is>
      </c>
      <c r="D1067" s="171" t="n">
        <v>46179.41666666666</v>
      </c>
      <c r="E1067" s="26" t="n">
        <v>0.920150462962963</v>
      </c>
      <c r="F1067" s="27" t="inlineStr">
        <is>
          <t>Shift 2</t>
        </is>
      </c>
      <c r="G1067" s="27" t="n"/>
    </row>
    <row r="1068">
      <c r="A1068" s="27" t="inlineStr">
        <is>
          <t>MK00185</t>
        </is>
      </c>
      <c r="B1068" s="27" t="n">
        <v>528000313</v>
      </c>
      <c r="C1068" s="27" t="inlineStr">
        <is>
          <t>Muhamad Rifki</t>
        </is>
      </c>
      <c r="D1068" s="171" t="n">
        <v>46179.41666666666</v>
      </c>
      <c r="E1068" s="26" t="n">
        <v>0.9216898148148148</v>
      </c>
      <c r="F1068" s="27" t="inlineStr">
        <is>
          <t>Shift 2</t>
        </is>
      </c>
      <c r="G1068" s="27" t="n"/>
    </row>
    <row r="1069">
      <c r="A1069" s="27" t="inlineStr">
        <is>
          <t>MK00208</t>
        </is>
      </c>
      <c r="B1069" s="27" t="n">
        <v>528000302</v>
      </c>
      <c r="C1069" s="27" t="inlineStr">
        <is>
          <t>Henkey gumilar</t>
        </is>
      </c>
      <c r="D1069" s="171" t="n">
        <v>46179.41666666666</v>
      </c>
      <c r="E1069" s="26" t="n">
        <v>0.9220138888888889</v>
      </c>
      <c r="F1069" s="27" t="inlineStr">
        <is>
          <t>Shift 2</t>
        </is>
      </c>
      <c r="G1069" s="27" t="n"/>
    </row>
    <row r="1070">
      <c r="A1070" s="27" t="inlineStr">
        <is>
          <t>MK00151</t>
        </is>
      </c>
      <c r="B1070" s="27" t="n">
        <v>528000270</v>
      </c>
      <c r="C1070" s="27" t="inlineStr">
        <is>
          <t>Febri Najmudin</t>
        </is>
      </c>
      <c r="D1070" s="171" t="n">
        <v>46179.41666666666</v>
      </c>
      <c r="E1070" s="26" t="n">
        <v>0.9361574074074074</v>
      </c>
      <c r="F1070" s="27" t="inlineStr">
        <is>
          <t>Shift 2</t>
        </is>
      </c>
      <c r="G1070" s="27" t="n"/>
    </row>
    <row r="1071">
      <c r="A1071" s="27" t="inlineStr">
        <is>
          <t>MK00085</t>
        </is>
      </c>
      <c r="B1071" s="27" t="n">
        <v>628000061</v>
      </c>
      <c r="C1071" s="27" t="inlineStr">
        <is>
          <t>Nayla Fadillah Exwantoro</t>
        </is>
      </c>
      <c r="D1071" s="171" t="n">
        <v>46179.41666666666</v>
      </c>
      <c r="E1071" s="26" t="n">
        <v>0.9389583333333333</v>
      </c>
      <c r="F1071" s="27" t="inlineStr">
        <is>
          <t>Shift 2</t>
        </is>
      </c>
      <c r="G1071" s="27" t="n"/>
    </row>
    <row r="1072">
      <c r="A1072" s="27" t="inlineStr">
        <is>
          <t>MK00090</t>
        </is>
      </c>
      <c r="B1072" s="27" t="n">
        <v>628000091</v>
      </c>
      <c r="C1072" s="27" t="inlineStr">
        <is>
          <t>Devita Handayani</t>
        </is>
      </c>
      <c r="D1072" s="171" t="n">
        <v>46179.41666666666</v>
      </c>
      <c r="E1072" s="26" t="n">
        <v>0.949224537037037</v>
      </c>
      <c r="F1072" s="27" t="inlineStr">
        <is>
          <t>Shift 2</t>
        </is>
      </c>
      <c r="G1072" s="27" t="n"/>
    </row>
    <row r="1073">
      <c r="A1073" s="27" t="inlineStr">
        <is>
          <t>MK00181</t>
        </is>
      </c>
      <c r="B1073" s="27" t="n">
        <v>528000015</v>
      </c>
      <c r="C1073" s="27" t="inlineStr">
        <is>
          <t>Erwin</t>
        </is>
      </c>
      <c r="D1073" s="171" t="n">
        <v>46209.41666666666</v>
      </c>
      <c r="E1073" s="26" t="n">
        <v>0.001412037037037037</v>
      </c>
      <c r="F1073" s="27" t="inlineStr">
        <is>
          <t>Shift 3</t>
        </is>
      </c>
      <c r="G1073" s="27" t="n"/>
    </row>
    <row r="1074">
      <c r="A1074" s="27" t="inlineStr">
        <is>
          <t>MK00221</t>
        </is>
      </c>
      <c r="B1074" s="27" t="n">
        <v>528000144</v>
      </c>
      <c r="C1074" s="27" t="inlineStr">
        <is>
          <t>Jodi Hanafi</t>
        </is>
      </c>
      <c r="D1074" s="171" t="n">
        <v>46209.41666666666</v>
      </c>
      <c r="E1074" s="26" t="n">
        <v>0.02105324074074074</v>
      </c>
      <c r="F1074" s="27" t="inlineStr">
        <is>
          <t>Shift 3</t>
        </is>
      </c>
      <c r="G1074" s="27" t="n"/>
    </row>
    <row r="1075">
      <c r="A1075" s="27" t="inlineStr">
        <is>
          <t>MK00213</t>
        </is>
      </c>
      <c r="B1075" s="27" t="n">
        <v>528000266</v>
      </c>
      <c r="C1075" s="27" t="inlineStr">
        <is>
          <t>M. Syirajatieq</t>
        </is>
      </c>
      <c r="D1075" s="171" t="n">
        <v>46209.41666666666</v>
      </c>
      <c r="E1075" s="26" t="n">
        <v>0.2428587962962963</v>
      </c>
      <c r="F1075" s="27" t="inlineStr">
        <is>
          <t>Shift 3</t>
        </is>
      </c>
      <c r="G1075" s="27" t="n"/>
    </row>
    <row r="1076">
      <c r="A1076" s="27" t="inlineStr">
        <is>
          <t>MK00134</t>
        </is>
      </c>
      <c r="B1076" s="27" t="n">
        <v>528000274</v>
      </c>
      <c r="C1076" s="27" t="inlineStr">
        <is>
          <t>Zepri</t>
        </is>
      </c>
      <c r="D1076" s="171" t="n">
        <v>46209.41666666666</v>
      </c>
      <c r="E1076" s="26" t="n">
        <v>0.2514814814814815</v>
      </c>
      <c r="F1076" s="27" t="inlineStr">
        <is>
          <t>Shift 3</t>
        </is>
      </c>
      <c r="G1076" s="27" t="n"/>
    </row>
    <row r="1077">
      <c r="A1077" s="27" t="inlineStr">
        <is>
          <t>MK00112</t>
        </is>
      </c>
      <c r="B1077" s="27" t="n">
        <v>528000090</v>
      </c>
      <c r="C1077" s="27" t="inlineStr">
        <is>
          <t>Suganda</t>
        </is>
      </c>
      <c r="D1077" s="171" t="n">
        <v>46209.41666666666</v>
      </c>
      <c r="E1077" s="26" t="n">
        <v>0.2515740740740741</v>
      </c>
      <c r="F1077" s="27" t="inlineStr">
        <is>
          <t>Shift 3</t>
        </is>
      </c>
      <c r="G1077" s="27" t="n"/>
    </row>
    <row r="1078">
      <c r="A1078" s="27" t="inlineStr">
        <is>
          <t>MK00136</t>
        </is>
      </c>
      <c r="B1078" s="27" t="n">
        <v>528000290</v>
      </c>
      <c r="C1078" s="27" t="inlineStr">
        <is>
          <t>Eval Pranata</t>
        </is>
      </c>
      <c r="D1078" s="171" t="n">
        <v>46209.41666666666</v>
      </c>
      <c r="E1078" s="26" t="n">
        <v>0.251712962962963</v>
      </c>
      <c r="F1078" s="27" t="inlineStr">
        <is>
          <t>Shift 3</t>
        </is>
      </c>
      <c r="G1078" s="27" t="n"/>
    </row>
    <row r="1079">
      <c r="A1079" s="27" t="inlineStr">
        <is>
          <t>MK0082</t>
        </is>
      </c>
      <c r="B1079" s="27" t="n">
        <v>528000212</v>
      </c>
      <c r="C1079" s="27" t="inlineStr">
        <is>
          <t>Rizal Fauzi</t>
        </is>
      </c>
      <c r="D1079" s="171" t="n">
        <v>46209.41666666666</v>
      </c>
      <c r="E1079" s="26" t="n">
        <v>0.251712962962963</v>
      </c>
      <c r="F1079" s="27" t="inlineStr">
        <is>
          <t>Shift 3</t>
        </is>
      </c>
      <c r="G1079" s="27" t="n"/>
    </row>
    <row r="1080">
      <c r="A1080" s="27" t="inlineStr">
        <is>
          <t>MK00158</t>
        </is>
      </c>
      <c r="B1080" s="27" t="n">
        <v>528000241</v>
      </c>
      <c r="C1080" s="27" t="inlineStr">
        <is>
          <t>Balia Nurafif Bilah</t>
        </is>
      </c>
      <c r="D1080" s="171" t="n">
        <v>46209.41666666666</v>
      </c>
      <c r="E1080" s="26" t="n">
        <v>0.2518518518518518</v>
      </c>
      <c r="F1080" s="27" t="inlineStr">
        <is>
          <t>Shift 3</t>
        </is>
      </c>
      <c r="G1080" s="27" t="n"/>
    </row>
    <row r="1081">
      <c r="A1081" s="27" t="inlineStr">
        <is>
          <t>MK00250</t>
        </is>
      </c>
      <c r="B1081" s="27" t="n">
        <v>528000306</v>
      </c>
      <c r="C1081" s="27" t="inlineStr">
        <is>
          <t>Windy Olivia</t>
        </is>
      </c>
      <c r="D1081" s="171" t="n">
        <v>46209.41666666666</v>
      </c>
      <c r="E1081" s="26" t="n">
        <v>0.2518865740740741</v>
      </c>
      <c r="F1081" s="27" t="inlineStr">
        <is>
          <t>Shift 3</t>
        </is>
      </c>
      <c r="G1081" s="27" t="n"/>
    </row>
    <row r="1082">
      <c r="A1082" s="27" t="inlineStr">
        <is>
          <t>MK00116</t>
        </is>
      </c>
      <c r="B1082" s="27" t="n">
        <v>528000201</v>
      </c>
      <c r="C1082" s="27" t="inlineStr">
        <is>
          <t>Zahwa Amelia Choerunissa</t>
        </is>
      </c>
      <c r="D1082" s="171" t="n">
        <v>46209.41666666666</v>
      </c>
      <c r="E1082" s="26" t="n">
        <v>0.2531481481481481</v>
      </c>
      <c r="F1082" s="27" t="inlineStr">
        <is>
          <t>Shift 3</t>
        </is>
      </c>
      <c r="G1082" s="27" t="n"/>
    </row>
    <row r="1083">
      <c r="A1083" s="27" t="inlineStr">
        <is>
          <t>MK00095</t>
        </is>
      </c>
      <c r="B1083" s="27" t="n">
        <v>528000286</v>
      </c>
      <c r="C1083" s="27" t="inlineStr">
        <is>
          <t>Imelda Amelia</t>
        </is>
      </c>
      <c r="D1083" s="171" t="n">
        <v>46209.41666666666</v>
      </c>
      <c r="E1083" s="26" t="n">
        <v>0.2537152777777778</v>
      </c>
      <c r="F1083" s="27" t="inlineStr">
        <is>
          <t>Shift 3</t>
        </is>
      </c>
      <c r="G1083" s="27" t="n"/>
    </row>
    <row r="1084">
      <c r="A1084" s="27" t="inlineStr">
        <is>
          <t>MK00249</t>
        </is>
      </c>
      <c r="B1084" s="27" t="n">
        <v>528000099</v>
      </c>
      <c r="C1084" s="27" t="inlineStr">
        <is>
          <t>Siti Nurawaliah</t>
        </is>
      </c>
      <c r="D1084" s="171" t="n">
        <v>46209.41666666666</v>
      </c>
      <c r="E1084" s="26" t="n">
        <v>0.2543287037037037</v>
      </c>
      <c r="F1084" s="27" t="inlineStr">
        <is>
          <t>Shift 3</t>
        </is>
      </c>
      <c r="G1084" s="27" t="n"/>
    </row>
    <row r="1085">
      <c r="A1085" s="27" t="inlineStr">
        <is>
          <t>MK00109</t>
        </is>
      </c>
      <c r="B1085" s="27" t="n">
        <v>528000244</v>
      </c>
      <c r="C1085" s="27" t="inlineStr">
        <is>
          <t>Rodian Rifai</t>
        </is>
      </c>
      <c r="D1085" s="171" t="n">
        <v>46209.41666666666</v>
      </c>
      <c r="E1085" s="26" t="n">
        <v>0.2780092592592592</v>
      </c>
      <c r="F1085" s="27" t="inlineStr">
        <is>
          <t>Shift 3</t>
        </is>
      </c>
      <c r="G1085" s="27" t="n"/>
    </row>
    <row r="1086">
      <c r="A1086" s="27" t="inlineStr">
        <is>
          <t>MK00204</t>
        </is>
      </c>
      <c r="B1086" s="27" t="n">
        <v>528000289</v>
      </c>
      <c r="C1086" s="27" t="inlineStr">
        <is>
          <t>Adit Supriyadi</t>
        </is>
      </c>
      <c r="D1086" s="171" t="n">
        <v>46209.41666666666</v>
      </c>
      <c r="E1086" s="26" t="n">
        <v>0.3079398148148148</v>
      </c>
      <c r="F1086" s="27" t="inlineStr">
        <is>
          <t>Shift 3</t>
        </is>
      </c>
      <c r="G1086" s="27" t="n"/>
    </row>
    <row r="1087">
      <c r="A1087" s="27" t="inlineStr">
        <is>
          <t>MK00228</t>
        </is>
      </c>
      <c r="B1087" s="27" t="n">
        <v>528000132</v>
      </c>
      <c r="C1087" s="27" t="inlineStr">
        <is>
          <t>Giopani</t>
        </is>
      </c>
      <c r="D1087" s="171" t="n">
        <v>46209.41666666666</v>
      </c>
      <c r="E1087" s="26" t="n">
        <v>0.373287037037037</v>
      </c>
      <c r="F1087" s="27" t="inlineStr">
        <is>
          <t>Shift 1</t>
        </is>
      </c>
      <c r="G1087" s="27" t="n"/>
    </row>
    <row r="1088">
      <c r="A1088" s="27" t="inlineStr">
        <is>
          <t>MK00205</t>
        </is>
      </c>
      <c r="B1088" s="27" t="n">
        <v>528000348</v>
      </c>
      <c r="C1088" s="27" t="inlineStr">
        <is>
          <t>Saepuloh Ardiansah</t>
        </is>
      </c>
      <c r="D1088" s="171" t="n">
        <v>46209.41666666666</v>
      </c>
      <c r="E1088" s="26" t="n">
        <v>0.4161689814814815</v>
      </c>
      <c r="F1088" s="27" t="inlineStr">
        <is>
          <t>Shift 1</t>
        </is>
      </c>
      <c r="G1088" s="27" t="n"/>
    </row>
    <row r="1089">
      <c r="A1089" s="27" t="inlineStr">
        <is>
          <t>MK00101</t>
        </is>
      </c>
      <c r="B1089" s="27" t="n">
        <v>528000256</v>
      </c>
      <c r="C1089" s="27" t="inlineStr">
        <is>
          <t>Rasianah</t>
        </is>
      </c>
      <c r="D1089" s="171" t="n">
        <v>46209.41666666666</v>
      </c>
      <c r="E1089" s="26" t="n">
        <v>0.5744097222222222</v>
      </c>
      <c r="F1089" s="27" t="inlineStr">
        <is>
          <t>Shift 1</t>
        </is>
      </c>
      <c r="G1089" s="27" t="n"/>
    </row>
    <row r="1090">
      <c r="A1090" s="27" t="inlineStr">
        <is>
          <t>MK0093</t>
        </is>
      </c>
      <c r="B1090" s="27" t="n">
        <v>528000283</v>
      </c>
      <c r="C1090" s="27" t="inlineStr">
        <is>
          <t>Purwanda Sugiri</t>
        </is>
      </c>
      <c r="D1090" s="171" t="n">
        <v>46209.41666666666</v>
      </c>
      <c r="E1090" s="26" t="n">
        <v>0.574675925925926</v>
      </c>
      <c r="F1090" s="27" t="inlineStr">
        <is>
          <t>Shift 1</t>
        </is>
      </c>
      <c r="G1090" s="27" t="n"/>
    </row>
    <row r="1091">
      <c r="A1091" s="27" t="inlineStr">
        <is>
          <t>MK0085</t>
        </is>
      </c>
      <c r="B1091" s="27" t="n">
        <v>528000228</v>
      </c>
      <c r="C1091" s="27" t="inlineStr">
        <is>
          <t>Banyu Resmi Putri</t>
        </is>
      </c>
      <c r="D1091" s="171" t="n">
        <v>46209.41666666666</v>
      </c>
      <c r="E1091" s="26" t="n">
        <v>0.5755208333333334</v>
      </c>
      <c r="F1091" s="27" t="inlineStr">
        <is>
          <t>Shift 1</t>
        </is>
      </c>
      <c r="G1091" s="27" t="n"/>
    </row>
    <row r="1092">
      <c r="A1092" s="27" t="inlineStr">
        <is>
          <t>MK0249</t>
        </is>
      </c>
      <c r="B1092" s="27" t="n">
        <v>528000358</v>
      </c>
      <c r="C1092" s="27" t="inlineStr">
        <is>
          <t>Lulu Agustin</t>
        </is>
      </c>
      <c r="D1092" s="171" t="n">
        <v>46209.41666666666</v>
      </c>
      <c r="E1092" s="26" t="n">
        <v>0.5760995370370371</v>
      </c>
      <c r="F1092" s="27" t="inlineStr">
        <is>
          <t>Shift 1</t>
        </is>
      </c>
      <c r="G1092" s="27" t="n"/>
    </row>
    <row r="1093">
      <c r="A1093" s="27" t="inlineStr">
        <is>
          <t>MK00154</t>
        </is>
      </c>
      <c r="B1093" s="27" t="n">
        <v>528000098</v>
      </c>
      <c r="C1093" s="27" t="inlineStr">
        <is>
          <t>Edi Junaedi</t>
        </is>
      </c>
      <c r="D1093" s="171" t="n">
        <v>46209.41666666666</v>
      </c>
      <c r="E1093" s="26" t="n">
        <v>0.5772800925925926</v>
      </c>
      <c r="F1093" s="27" t="inlineStr">
        <is>
          <t>Shift 1</t>
        </is>
      </c>
      <c r="G1093" s="27" t="n"/>
    </row>
    <row r="1094">
      <c r="A1094" s="27" t="inlineStr">
        <is>
          <t>MK00235</t>
        </is>
      </c>
      <c r="B1094" s="27" t="n">
        <v>528000298</v>
      </c>
      <c r="C1094" s="27" t="inlineStr">
        <is>
          <t>Desta Cahaya Pratama</t>
        </is>
      </c>
      <c r="D1094" s="171" t="n">
        <v>46209.41666666666</v>
      </c>
      <c r="E1094" s="26" t="n">
        <v>0.5777893518518519</v>
      </c>
      <c r="F1094" s="27" t="inlineStr">
        <is>
          <t>Shift 1</t>
        </is>
      </c>
      <c r="G1094" s="27" t="n"/>
    </row>
    <row r="1095">
      <c r="A1095" s="27" t="inlineStr">
        <is>
          <t>MK00130</t>
        </is>
      </c>
      <c r="B1095" s="27" t="n">
        <v>528000309</v>
      </c>
      <c r="C1095" s="27" t="inlineStr">
        <is>
          <t>Ilham Ramadhan</t>
        </is>
      </c>
      <c r="D1095" s="171" t="n">
        <v>46209.41666666666</v>
      </c>
      <c r="E1095" s="26" t="n">
        <v>0.5783449074074074</v>
      </c>
      <c r="F1095" s="27" t="inlineStr">
        <is>
          <t>Shift 1</t>
        </is>
      </c>
      <c r="G1095" s="27" t="n"/>
    </row>
    <row r="1096">
      <c r="A1096" s="27" t="inlineStr">
        <is>
          <t>MK0192</t>
        </is>
      </c>
      <c r="B1096" s="27" t="n">
        <v>528000052</v>
      </c>
      <c r="C1096" s="27" t="inlineStr">
        <is>
          <t>Mustopa</t>
        </is>
      </c>
      <c r="D1096" s="171" t="n">
        <v>46209.41666666666</v>
      </c>
      <c r="E1096" s="26" t="n">
        <v>0.5848611111111112</v>
      </c>
      <c r="F1096" s="27" t="inlineStr">
        <is>
          <t>Shift 1</t>
        </is>
      </c>
      <c r="G1096" s="27" t="n"/>
    </row>
    <row r="1097">
      <c r="A1097" s="27" t="inlineStr">
        <is>
          <t>MK00230</t>
        </is>
      </c>
      <c r="B1097" s="27" t="n">
        <v>528000261</v>
      </c>
      <c r="C1097" s="27" t="inlineStr">
        <is>
          <t>Ergi Ergianto</t>
        </is>
      </c>
      <c r="D1097" s="171" t="n">
        <v>46209.41666666666</v>
      </c>
      <c r="E1097" s="26" t="n">
        <v>0.5863078703703704</v>
      </c>
      <c r="F1097" s="27" t="inlineStr">
        <is>
          <t>Shift 1</t>
        </is>
      </c>
      <c r="G1097" s="27" t="n"/>
    </row>
    <row r="1098">
      <c r="A1098" s="27" t="inlineStr">
        <is>
          <t>MK00151</t>
        </is>
      </c>
      <c r="B1098" s="27" t="n">
        <v>528000195</v>
      </c>
      <c r="C1098" s="27" t="inlineStr">
        <is>
          <t>Rahma Sariwati</t>
        </is>
      </c>
      <c r="D1098" s="171" t="n">
        <v>46209.41666666666</v>
      </c>
      <c r="E1098" s="26" t="n">
        <v>0.5887268518518518</v>
      </c>
      <c r="F1098" s="27" t="inlineStr">
        <is>
          <t>Shift 1</t>
        </is>
      </c>
      <c r="G1098" s="27" t="n"/>
    </row>
    <row r="1099">
      <c r="A1099" s="27" t="inlineStr">
        <is>
          <t>MK00208</t>
        </is>
      </c>
      <c r="B1099" s="27" t="n">
        <v>528000262</v>
      </c>
      <c r="C1099" s="27" t="inlineStr">
        <is>
          <t>Ndari Dwiwanti</t>
        </is>
      </c>
      <c r="D1099" s="171" t="n">
        <v>46209.41666666666</v>
      </c>
      <c r="E1099" s="26" t="n">
        <v>0.5898726851851852</v>
      </c>
      <c r="F1099" s="27" t="inlineStr">
        <is>
          <t>Shift 1</t>
        </is>
      </c>
      <c r="G1099" s="27" t="n"/>
    </row>
    <row r="1100">
      <c r="A1100" s="27" t="inlineStr">
        <is>
          <t>MK00008</t>
        </is>
      </c>
      <c r="B1100" s="27" t="n">
        <v>528000266</v>
      </c>
      <c r="C1100" s="27" t="inlineStr">
        <is>
          <t>M. Syirajatieq</t>
        </is>
      </c>
      <c r="D1100" s="171" t="n">
        <v>46209.41666666666</v>
      </c>
      <c r="E1100" s="26" t="n">
        <v>0.596724537037037</v>
      </c>
      <c r="F1100" s="27" t="inlineStr">
        <is>
          <t>Shift 1</t>
        </is>
      </c>
      <c r="G1100" s="27" t="n"/>
    </row>
    <row r="1101">
      <c r="A1101" s="27" t="inlineStr">
        <is>
          <t>MK00249</t>
        </is>
      </c>
      <c r="B1101" s="27" t="n">
        <v>528000310</v>
      </c>
      <c r="C1101" s="27" t="inlineStr">
        <is>
          <t>Fachrul Rozzi Suryana</t>
        </is>
      </c>
      <c r="D1101" s="171" t="n">
        <v>46209.41666666666</v>
      </c>
      <c r="E1101" s="26" t="n">
        <v>0.6677893518518518</v>
      </c>
      <c r="F1101" s="27" t="inlineStr">
        <is>
          <t>Shift 2</t>
        </is>
      </c>
      <c r="G1101" s="27" t="inlineStr">
        <is>
          <t>7B</t>
        </is>
      </c>
    </row>
    <row r="1102">
      <c r="A1102" s="27" t="inlineStr">
        <is>
          <t>MK00145</t>
        </is>
      </c>
      <c r="B1102" s="27" t="n">
        <v>528000282</v>
      </c>
      <c r="C1102" s="27" t="inlineStr">
        <is>
          <t>Defa Desfiana</t>
        </is>
      </c>
      <c r="D1102" s="171" t="n">
        <v>46209.41666666666</v>
      </c>
      <c r="E1102" s="26" t="n">
        <v>0.6678356481481481</v>
      </c>
      <c r="F1102" s="27" t="inlineStr">
        <is>
          <t>Shift 2</t>
        </is>
      </c>
      <c r="G1102" s="27" t="inlineStr">
        <is>
          <t>22b</t>
        </is>
      </c>
    </row>
    <row r="1103">
      <c r="A1103" s="27" t="inlineStr">
        <is>
          <t>MK00112</t>
        </is>
      </c>
      <c r="B1103" s="27" t="n">
        <v>528000203</v>
      </c>
      <c r="C1103" s="27" t="inlineStr">
        <is>
          <t>Yudha Ramdhan Putra</t>
        </is>
      </c>
      <c r="D1103" s="171" t="n">
        <v>46209.41666666666</v>
      </c>
      <c r="E1103" s="26" t="n">
        <v>0.6679282407407408</v>
      </c>
      <c r="F1103" s="27" t="inlineStr">
        <is>
          <t>Shift 2</t>
        </is>
      </c>
      <c r="G1103" s="27" t="n"/>
    </row>
    <row r="1104">
      <c r="A1104" s="27" t="inlineStr">
        <is>
          <t>MKZ0116</t>
        </is>
      </c>
      <c r="B1104" s="27" t="n">
        <v>528000265</v>
      </c>
      <c r="C1104" s="27" t="inlineStr">
        <is>
          <t>Muhammad Haerul Rozikin</t>
        </is>
      </c>
      <c r="D1104" s="171" t="n">
        <v>46209.41666666666</v>
      </c>
      <c r="E1104" s="26" t="n">
        <v>0.6688773148148148</v>
      </c>
      <c r="F1104" s="27" t="inlineStr">
        <is>
          <t>Shift 2</t>
        </is>
      </c>
      <c r="G1104" s="27" t="n"/>
    </row>
    <row r="1105">
      <c r="A1105" s="27" t="inlineStr">
        <is>
          <t>MK00138</t>
        </is>
      </c>
      <c r="B1105" s="27" t="n">
        <v>528000351</v>
      </c>
      <c r="C1105" s="27" t="inlineStr">
        <is>
          <t>Mulyana</t>
        </is>
      </c>
      <c r="D1105" s="171" t="n">
        <v>46209.41666666666</v>
      </c>
      <c r="E1105" s="26" t="n">
        <v>0.6695717592592593</v>
      </c>
      <c r="F1105" s="27" t="inlineStr">
        <is>
          <t>Shift 2</t>
        </is>
      </c>
      <c r="G1105" s="27" t="n"/>
    </row>
    <row r="1106">
      <c r="A1106" s="27" t="inlineStr">
        <is>
          <t>MK00204</t>
        </is>
      </c>
      <c r="B1106" s="27" t="n">
        <v>528000232</v>
      </c>
      <c r="C1106" s="27" t="inlineStr">
        <is>
          <t>Agung Aji Suhada</t>
        </is>
      </c>
      <c r="D1106" s="171" t="n">
        <v>46209.41666666666</v>
      </c>
      <c r="E1106" s="26" t="n">
        <v>0.7100347222222222</v>
      </c>
      <c r="F1106" s="27" t="inlineStr">
        <is>
          <t>Shift 2</t>
        </is>
      </c>
      <c r="G1106" s="27" t="n"/>
    </row>
    <row r="1107">
      <c r="A1107" s="27" t="inlineStr">
        <is>
          <t>MK0082</t>
        </is>
      </c>
      <c r="B1107" s="27" t="n">
        <v>528000349</v>
      </c>
      <c r="C1107" s="27" t="inlineStr">
        <is>
          <t>Anas Abdul Fatah</t>
        </is>
      </c>
      <c r="D1107" s="171" t="n">
        <v>46209.41666666666</v>
      </c>
      <c r="E1107" s="26" t="n">
        <v>0.7610069444444445</v>
      </c>
      <c r="F1107" s="27" t="inlineStr">
        <is>
          <t>Shift 2</t>
        </is>
      </c>
      <c r="G1107" s="27" t="n"/>
    </row>
    <row r="1108">
      <c r="A1108" s="27" t="inlineStr">
        <is>
          <t>MK0082</t>
        </is>
      </c>
      <c r="B1108" s="27" t="n">
        <v>528000349</v>
      </c>
      <c r="C1108" s="27" t="inlineStr">
        <is>
          <t>Anas Abdul Fatah</t>
        </is>
      </c>
      <c r="D1108" s="171" t="n">
        <v>46209.41666666666</v>
      </c>
      <c r="E1108" s="26" t="n">
        <v>0.7620486111111111</v>
      </c>
      <c r="F1108" s="27" t="inlineStr">
        <is>
          <t>Shift 2</t>
        </is>
      </c>
      <c r="G1108" s="27" t="n"/>
    </row>
    <row r="1109">
      <c r="A1109" s="27" t="inlineStr">
        <is>
          <t>MK00136</t>
        </is>
      </c>
      <c r="B1109" s="27" t="n">
        <v>528000318</v>
      </c>
      <c r="C1109" s="27" t="inlineStr">
        <is>
          <t>Bayu Padli Sepriyana</t>
        </is>
      </c>
      <c r="D1109" s="171" t="n">
        <v>46209.41666666666</v>
      </c>
      <c r="E1109" s="26" t="n">
        <v>0.9190277777777778</v>
      </c>
      <c r="F1109" s="27" t="inlineStr">
        <is>
          <t>Shift 2</t>
        </is>
      </c>
      <c r="G1109" s="27" t="n"/>
    </row>
    <row r="1110">
      <c r="A1110" s="27" t="inlineStr">
        <is>
          <t>MK00046</t>
        </is>
      </c>
      <c r="B1110" s="27" t="n">
        <v>528000279</v>
      </c>
      <c r="C1110" s="27" t="inlineStr">
        <is>
          <t>Mahdalena Dalfa Riani</t>
        </is>
      </c>
      <c r="D1110" s="171" t="n">
        <v>46209.41666666666</v>
      </c>
      <c r="E1110" s="26" t="n">
        <v>0.9191782407407407</v>
      </c>
      <c r="F1110" s="27" t="inlineStr">
        <is>
          <t>Shift 2</t>
        </is>
      </c>
      <c r="G1110" s="27" t="n"/>
    </row>
    <row r="1111">
      <c r="A1111" s="27" t="inlineStr">
        <is>
          <t>MK00209</t>
        </is>
      </c>
      <c r="B1111" s="27" t="n">
        <v>528000300</v>
      </c>
      <c r="C1111" s="27" t="inlineStr">
        <is>
          <t>Lia pitaloka</t>
        </is>
      </c>
      <c r="D1111" s="171" t="n">
        <v>46209.41666666666</v>
      </c>
      <c r="E1111" s="26" t="n">
        <v>0.9196412037037037</v>
      </c>
      <c r="F1111" s="27" t="inlineStr">
        <is>
          <t>Shift 2</t>
        </is>
      </c>
      <c r="G1111" s="27" t="n"/>
    </row>
    <row r="1112">
      <c r="A1112" s="27" t="inlineStr">
        <is>
          <t>MK00148</t>
        </is>
      </c>
      <c r="B1112" s="27" t="n">
        <v>628000064</v>
      </c>
      <c r="C1112" s="27" t="inlineStr">
        <is>
          <t>Silva Alypia</t>
        </is>
      </c>
      <c r="D1112" s="171" t="n">
        <v>46209.41666666666</v>
      </c>
      <c r="E1112" s="26" t="n">
        <v>0.9197685185185185</v>
      </c>
      <c r="F1112" s="27" t="inlineStr">
        <is>
          <t>Shift 2</t>
        </is>
      </c>
      <c r="G1112" s="27" t="n"/>
    </row>
    <row r="1113">
      <c r="A1113" s="27" t="inlineStr">
        <is>
          <t>MK00202</t>
        </is>
      </c>
      <c r="B1113" s="27" t="n">
        <v>528000069</v>
      </c>
      <c r="C1113" s="27" t="inlineStr">
        <is>
          <t>Jajang Ardiansyah</t>
        </is>
      </c>
      <c r="D1113" s="171" t="n">
        <v>46209.41666666666</v>
      </c>
      <c r="E1113" s="26" t="n">
        <v>0.9232175925925926</v>
      </c>
      <c r="F1113" s="27" t="inlineStr">
        <is>
          <t>Shift 2</t>
        </is>
      </c>
      <c r="G1113" s="27" t="n"/>
    </row>
    <row r="1114">
      <c r="A1114" s="27" t="inlineStr">
        <is>
          <t>MK00093</t>
        </is>
      </c>
      <c r="B1114" s="27" t="n">
        <v>528000297</v>
      </c>
      <c r="C1114" s="27" t="inlineStr">
        <is>
          <t>Muhamad Budiana</t>
        </is>
      </c>
      <c r="D1114" s="171" t="n">
        <v>46209.41666666666</v>
      </c>
      <c r="E1114" s="26" t="n">
        <v>0.9741319444444444</v>
      </c>
      <c r="F1114" s="27" t="inlineStr">
        <is>
          <t>Shift 2</t>
        </is>
      </c>
      <c r="G1114" s="27" t="n"/>
    </row>
    <row r="1115">
      <c r="A1115" s="27" t="inlineStr">
        <is>
          <t>MK00213</t>
        </is>
      </c>
      <c r="B1115" s="27" t="n">
        <v>528000015</v>
      </c>
      <c r="C1115" s="27" t="inlineStr">
        <is>
          <t>Erwin</t>
        </is>
      </c>
      <c r="D1115" s="171" t="n">
        <v>46180.41666666666</v>
      </c>
      <c r="E1115" s="26" t="n">
        <v>0.002777777777777778</v>
      </c>
      <c r="F1115" s="27" t="inlineStr">
        <is>
          <t>Shift 3</t>
        </is>
      </c>
      <c r="G1115" s="27" t="n"/>
    </row>
    <row r="1116">
      <c r="A1116" s="27" t="inlineStr">
        <is>
          <t>MK00181</t>
        </is>
      </c>
      <c r="B1116" s="27" t="n">
        <v>528000299</v>
      </c>
      <c r="C1116" s="27" t="inlineStr">
        <is>
          <t>Siti Nurjanah</t>
        </is>
      </c>
      <c r="D1116" s="171" t="n">
        <v>46180.41666666666</v>
      </c>
      <c r="E1116" s="26" t="n">
        <v>0.2339583333333333</v>
      </c>
      <c r="F1116" s="27" t="inlineStr">
        <is>
          <t>Shift 3</t>
        </is>
      </c>
      <c r="G1116" s="27" t="n"/>
    </row>
    <row r="1117">
      <c r="A1117" s="27" t="inlineStr">
        <is>
          <t>MK00116</t>
        </is>
      </c>
      <c r="B1117" s="27" t="n">
        <v>528000241</v>
      </c>
      <c r="C1117" s="27" t="inlineStr">
        <is>
          <t>Balia Nurafif Bilah</t>
        </is>
      </c>
      <c r="D1117" s="171" t="n">
        <v>46180.41666666666</v>
      </c>
      <c r="E1117" s="26" t="n">
        <v>0.2531365740740741</v>
      </c>
      <c r="F1117" s="27" t="inlineStr">
        <is>
          <t>Shift 3</t>
        </is>
      </c>
      <c r="G1117" s="27" t="n"/>
    </row>
    <row r="1118">
      <c r="A1118" s="27" t="inlineStr">
        <is>
          <t>MK00108</t>
        </is>
      </c>
      <c r="B1118" s="27" t="n">
        <v>528000274</v>
      </c>
      <c r="C1118" s="27" t="inlineStr">
        <is>
          <t>Zepri</t>
        </is>
      </c>
      <c r="D1118" s="171" t="n">
        <v>46180.41666666666</v>
      </c>
      <c r="E1118" s="26" t="n">
        <v>0.2532407407407408</v>
      </c>
      <c r="F1118" s="27" t="inlineStr">
        <is>
          <t>Shift 3</t>
        </is>
      </c>
      <c r="G1118" s="27" t="n"/>
    </row>
    <row r="1119">
      <c r="A1119" s="27" t="inlineStr">
        <is>
          <t>MK00112</t>
        </is>
      </c>
      <c r="B1119" s="27" t="n">
        <v>528000289</v>
      </c>
      <c r="C1119" s="27" t="inlineStr">
        <is>
          <t>Adit Supriyadi</t>
        </is>
      </c>
      <c r="D1119" s="171" t="n">
        <v>46180.41666666666</v>
      </c>
      <c r="E1119" s="26" t="n">
        <v>0.2535763888888889</v>
      </c>
      <c r="F1119" s="27" t="inlineStr">
        <is>
          <t>Shift 3</t>
        </is>
      </c>
      <c r="G1119" s="27" t="n"/>
    </row>
    <row r="1120">
      <c r="A1120" s="27" t="inlineStr">
        <is>
          <t>MK00095</t>
        </is>
      </c>
      <c r="B1120" s="27" t="n">
        <v>528000201</v>
      </c>
      <c r="C1120" s="27" t="inlineStr">
        <is>
          <t>Zahwa Amelia Choerunissa</t>
        </is>
      </c>
      <c r="D1120" s="171" t="n">
        <v>46180.41666666666</v>
      </c>
      <c r="E1120" s="26" t="n">
        <v>0.2536805555555556</v>
      </c>
      <c r="F1120" s="27" t="inlineStr">
        <is>
          <t>Shift 3</t>
        </is>
      </c>
      <c r="G1120" s="27" t="n"/>
    </row>
    <row r="1121">
      <c r="A1121" s="27" t="inlineStr">
        <is>
          <t>MK00158</t>
        </is>
      </c>
      <c r="B1121" s="27" t="n">
        <v>528000090</v>
      </c>
      <c r="C1121" s="27" t="inlineStr">
        <is>
          <t>Suganda</t>
        </is>
      </c>
      <c r="D1121" s="171" t="n">
        <v>46180.41666666666</v>
      </c>
      <c r="E1121" s="26" t="n">
        <v>0.2539814814814815</v>
      </c>
      <c r="F1121" s="27" t="inlineStr">
        <is>
          <t>Shift 3</t>
        </is>
      </c>
      <c r="G1121" s="27" t="n"/>
    </row>
    <row r="1122">
      <c r="A1122" s="27" t="inlineStr">
        <is>
          <t>MK00154</t>
        </is>
      </c>
      <c r="B1122" s="27" t="n">
        <v>528000212</v>
      </c>
      <c r="C1122" s="27" t="inlineStr">
        <is>
          <t>Rizal Fauzi</t>
        </is>
      </c>
      <c r="D1122" s="171" t="n">
        <v>46180.41666666666</v>
      </c>
      <c r="E1122" s="26" t="n">
        <v>0.2541203703703704</v>
      </c>
      <c r="F1122" s="27" t="inlineStr">
        <is>
          <t>Shift 3</t>
        </is>
      </c>
      <c r="G1122" s="27" t="n"/>
    </row>
    <row r="1123">
      <c r="A1123" s="27" t="inlineStr">
        <is>
          <t>MK0090</t>
        </is>
      </c>
      <c r="B1123" s="27" t="n">
        <v>528000099</v>
      </c>
      <c r="C1123" s="27" t="inlineStr">
        <is>
          <t>Siti Nurawaliah</t>
        </is>
      </c>
      <c r="D1123" s="171" t="n">
        <v>46180.41666666666</v>
      </c>
      <c r="E1123" s="26" t="n">
        <v>0.2543518518518518</v>
      </c>
      <c r="F1123" s="27" t="inlineStr">
        <is>
          <t>Shift 3</t>
        </is>
      </c>
      <c r="G1123" s="27" t="n"/>
    </row>
    <row r="1124">
      <c r="A1124" s="27" t="inlineStr">
        <is>
          <t>MK00250</t>
        </is>
      </c>
      <c r="B1124" s="27" t="n">
        <v>528000286</v>
      </c>
      <c r="C1124" s="27" t="inlineStr">
        <is>
          <t>Imelda Amelia</t>
        </is>
      </c>
      <c r="D1124" s="171" t="n">
        <v>46180.41666666666</v>
      </c>
      <c r="E1124" s="26" t="n">
        <v>0.2545486111111111</v>
      </c>
      <c r="F1124" s="27" t="inlineStr">
        <is>
          <t>Shift 3</t>
        </is>
      </c>
      <c r="G1124" s="27" t="n"/>
    </row>
    <row r="1125">
      <c r="A1125" s="27" t="inlineStr">
        <is>
          <t>MK00113</t>
        </is>
      </c>
      <c r="B1125" s="27" t="n">
        <v>528000244</v>
      </c>
      <c r="C1125" s="27" t="inlineStr">
        <is>
          <t>Rodian Rifai</t>
        </is>
      </c>
      <c r="D1125" s="171" t="n">
        <v>46180.41666666666</v>
      </c>
      <c r="E1125" s="26" t="n">
        <v>0.2624074074074074</v>
      </c>
      <c r="F1125" s="27" t="inlineStr">
        <is>
          <t>Shift 3</t>
        </is>
      </c>
      <c r="G1125" s="27" t="n"/>
    </row>
    <row r="1126">
      <c r="A1126" s="27" t="inlineStr">
        <is>
          <t>MK00228</t>
        </is>
      </c>
      <c r="B1126" s="27" t="n">
        <v>528000132</v>
      </c>
      <c r="C1126" s="27" t="inlineStr">
        <is>
          <t>Giopani</t>
        </is>
      </c>
      <c r="D1126" s="171" t="n">
        <v>46180.41666666666</v>
      </c>
      <c r="E1126" s="26" t="n">
        <v>0.3737731481481482</v>
      </c>
      <c r="F1126" s="27" t="inlineStr">
        <is>
          <t>Shift 1</t>
        </is>
      </c>
      <c r="G1126" s="27" t="n"/>
    </row>
    <row r="1127">
      <c r="A1127" s="27" t="inlineStr">
        <is>
          <t>MK00205</t>
        </is>
      </c>
      <c r="B1127" s="27" t="n">
        <v>528000348</v>
      </c>
      <c r="C1127" s="27" t="inlineStr">
        <is>
          <t>Saepuloh Ardiansah</t>
        </is>
      </c>
      <c r="D1127" s="171" t="n">
        <v>46180.41666666666</v>
      </c>
      <c r="E1127" s="26" t="n">
        <v>0.5570717592592592</v>
      </c>
      <c r="F1127" s="27" t="inlineStr">
        <is>
          <t>Shift 1</t>
        </is>
      </c>
      <c r="G1127" s="27" t="n"/>
    </row>
    <row r="1128">
      <c r="A1128" s="27" t="inlineStr">
        <is>
          <t>MK00208</t>
        </is>
      </c>
      <c r="B1128" s="27" t="n">
        <v>528000248</v>
      </c>
      <c r="C1128" s="27" t="inlineStr">
        <is>
          <t>Roka Jaya Salka Mulya</t>
        </is>
      </c>
      <c r="D1128" s="171" t="n">
        <v>46180.41666666666</v>
      </c>
      <c r="E1128" s="26" t="n">
        <v>0.5656018518518519</v>
      </c>
      <c r="F1128" s="27" t="inlineStr">
        <is>
          <t>Shift 1</t>
        </is>
      </c>
      <c r="G1128" s="27" t="n"/>
    </row>
    <row r="1129">
      <c r="A1129" s="27" t="inlineStr">
        <is>
          <t>MK00235</t>
        </is>
      </c>
      <c r="B1129" s="27" t="n">
        <v>528000288</v>
      </c>
      <c r="C1129" s="27" t="inlineStr">
        <is>
          <t>Dede gunawan</t>
        </is>
      </c>
      <c r="D1129" s="171" t="n">
        <v>46180.41666666666</v>
      </c>
      <c r="E1129" s="26" t="n">
        <v>0.5698958333333334</v>
      </c>
      <c r="F1129" s="27" t="inlineStr">
        <is>
          <t>Shift 1</t>
        </is>
      </c>
      <c r="G1129" s="27" t="n"/>
    </row>
    <row r="1130">
      <c r="A1130" s="27" t="inlineStr">
        <is>
          <t>MK00085</t>
        </is>
      </c>
      <c r="B1130" s="27" t="n">
        <v>528000298</v>
      </c>
      <c r="C1130" s="27" t="inlineStr">
        <is>
          <t>Desta Cahaya Pratama</t>
        </is>
      </c>
      <c r="D1130" s="171" t="n">
        <v>46180.41666666666</v>
      </c>
      <c r="E1130" s="26" t="n">
        <v>0.5848726851851852</v>
      </c>
      <c r="F1130" s="27" t="inlineStr">
        <is>
          <t>Shift 1</t>
        </is>
      </c>
      <c r="G1130" s="27" t="n"/>
    </row>
    <row r="1131">
      <c r="A1131" s="27" t="inlineStr">
        <is>
          <t>MK00109</t>
        </is>
      </c>
      <c r="B1131" s="27" t="n">
        <v>628000091</v>
      </c>
      <c r="C1131" s="27" t="inlineStr">
        <is>
          <t>Devita Handayani</t>
        </is>
      </c>
      <c r="D1131" s="171" t="n">
        <v>46180.41666666666</v>
      </c>
      <c r="E1131" s="26" t="n">
        <v>0.5854166666666667</v>
      </c>
      <c r="F1131" s="27" t="inlineStr">
        <is>
          <t>Shift 1</t>
        </is>
      </c>
      <c r="G1131" s="27" t="n"/>
    </row>
    <row r="1132">
      <c r="A1132" s="27" t="inlineStr">
        <is>
          <t>MK00181</t>
        </is>
      </c>
      <c r="B1132" s="27" t="n">
        <v>528000299</v>
      </c>
      <c r="C1132" s="27" t="inlineStr">
        <is>
          <t>Siti Nurjanah</t>
        </is>
      </c>
      <c r="D1132" s="171" t="n">
        <v>46180.41666666666</v>
      </c>
      <c r="E1132" s="26" t="n">
        <v>0.5864699074074075</v>
      </c>
      <c r="F1132" s="27" t="inlineStr">
        <is>
          <t>Shift 1</t>
        </is>
      </c>
      <c r="G1132" s="27" t="n"/>
    </row>
    <row r="1133">
      <c r="A1133" s="27" t="inlineStr">
        <is>
          <t>MK00148</t>
        </is>
      </c>
      <c r="B1133" s="27" t="n">
        <v>528000305</v>
      </c>
      <c r="C1133" s="27" t="inlineStr">
        <is>
          <t>Puji Puspita</t>
        </is>
      </c>
      <c r="D1133" s="171" t="n">
        <v>46180.41666666666</v>
      </c>
      <c r="E1133" s="26" t="n">
        <v>0.5867824074074074</v>
      </c>
      <c r="F1133" s="27" t="inlineStr">
        <is>
          <t>Shift 1</t>
        </is>
      </c>
      <c r="G1133" s="27" t="n"/>
    </row>
    <row r="1134">
      <c r="A1134" s="27" t="inlineStr">
        <is>
          <t>MK00046</t>
        </is>
      </c>
      <c r="B1134" s="27" t="n">
        <v>528000309</v>
      </c>
      <c r="C1134" s="27" t="inlineStr">
        <is>
          <t>Ilham Ramadhan</t>
        </is>
      </c>
      <c r="D1134" s="171" t="n">
        <v>46180.41666666666</v>
      </c>
      <c r="E1134" s="26" t="n">
        <v>0.5882986111111111</v>
      </c>
      <c r="F1134" s="27" t="inlineStr">
        <is>
          <t>Shift 1</t>
        </is>
      </c>
      <c r="G1134" s="27" t="n"/>
    </row>
    <row r="1135">
      <c r="A1135" s="27" t="inlineStr">
        <is>
          <t>MK00126</t>
        </is>
      </c>
      <c r="B1135" s="27" t="n">
        <v>528000313</v>
      </c>
      <c r="C1135" s="27" t="inlineStr">
        <is>
          <t>Muhamad Rifki</t>
        </is>
      </c>
      <c r="D1135" s="171" t="n">
        <v>46180.41666666666</v>
      </c>
      <c r="E1135" s="26" t="n">
        <v>0.5891203703703703</v>
      </c>
      <c r="F1135" s="27" t="inlineStr">
        <is>
          <t>Shift 1</t>
        </is>
      </c>
      <c r="G1135" s="27" t="n"/>
    </row>
    <row r="1136">
      <c r="A1136" s="27" t="inlineStr">
        <is>
          <t>MK00136</t>
        </is>
      </c>
      <c r="B1136" s="27" t="n">
        <v>528000302</v>
      </c>
      <c r="C1136" s="27" t="inlineStr">
        <is>
          <t>Henkey gumilar</t>
        </is>
      </c>
      <c r="D1136" s="171" t="n">
        <v>46180.41666666666</v>
      </c>
      <c r="E1136" s="26" t="n">
        <v>0.5896412037037037</v>
      </c>
      <c r="F1136" s="27" t="inlineStr">
        <is>
          <t>Shift 1</t>
        </is>
      </c>
      <c r="G1136" s="27" t="n"/>
    </row>
    <row r="1137">
      <c r="A1137" s="27" t="inlineStr">
        <is>
          <t>MK00134</t>
        </is>
      </c>
      <c r="B1137" s="27" t="n">
        <v>528000270</v>
      </c>
      <c r="C1137" s="27" t="inlineStr">
        <is>
          <t>Febri Najmudin</t>
        </is>
      </c>
      <c r="D1137" s="171" t="n">
        <v>46180.41666666666</v>
      </c>
      <c r="E1137" s="26" t="n">
        <v>0.6310185185185185</v>
      </c>
      <c r="F1137" s="27" t="inlineStr">
        <is>
          <t>Shift 1</t>
        </is>
      </c>
      <c r="G1137" s="27" t="n"/>
    </row>
    <row r="1138">
      <c r="A1138" s="27" t="inlineStr">
        <is>
          <t>MK00108</t>
        </is>
      </c>
      <c r="B1138" s="27" t="n">
        <v>528000265</v>
      </c>
      <c r="C1138" s="27" t="inlineStr">
        <is>
          <t>Muhammad Haerul Rozikin</t>
        </is>
      </c>
      <c r="D1138" s="171" t="n">
        <v>46180.41666666666</v>
      </c>
      <c r="E1138" s="26" t="n">
        <v>0.6688657407407408</v>
      </c>
      <c r="F1138" s="27" t="inlineStr">
        <is>
          <t>Shift 2</t>
        </is>
      </c>
      <c r="G1138" s="27" t="n"/>
    </row>
    <row r="1139">
      <c r="A1139" s="27" t="inlineStr">
        <is>
          <t>MK00250</t>
        </is>
      </c>
      <c r="B1139" s="27" t="n">
        <v>528000310</v>
      </c>
      <c r="C1139" s="27" t="inlineStr">
        <is>
          <t>Fachrul Rozzi Suryana</t>
        </is>
      </c>
      <c r="D1139" s="171" t="n">
        <v>46180.41666666666</v>
      </c>
      <c r="E1139" s="26" t="n">
        <v>0.6698842592592592</v>
      </c>
      <c r="F1139" s="27" t="inlineStr">
        <is>
          <t>Shift 2</t>
        </is>
      </c>
      <c r="G1139" s="27" t="inlineStr">
        <is>
          <t>7B</t>
        </is>
      </c>
    </row>
    <row r="1140">
      <c r="A1140" s="27" t="inlineStr">
        <is>
          <t>MK00138</t>
        </is>
      </c>
      <c r="B1140" s="27" t="n">
        <v>528000351</v>
      </c>
      <c r="C1140" s="27" t="inlineStr">
        <is>
          <t>Mulyana</t>
        </is>
      </c>
      <c r="D1140" s="171" t="n">
        <v>46180.41666666666</v>
      </c>
      <c r="E1140" s="26" t="n">
        <v>0.6702893518518519</v>
      </c>
      <c r="F1140" s="27" t="inlineStr">
        <is>
          <t>Shift 2</t>
        </is>
      </c>
      <c r="G1140" s="27" t="n"/>
    </row>
    <row r="1141">
      <c r="A1141" s="27" t="inlineStr">
        <is>
          <t>MK00158</t>
        </is>
      </c>
      <c r="B1141" s="27" t="n">
        <v>528000282</v>
      </c>
      <c r="C1141" s="27" t="inlineStr">
        <is>
          <t>Defa Desfiana</t>
        </is>
      </c>
      <c r="D1141" s="171" t="n">
        <v>46180.41666666666</v>
      </c>
      <c r="E1141" s="26" t="n">
        <v>0.6748148148148149</v>
      </c>
      <c r="F1141" s="27" t="inlineStr">
        <is>
          <t>Shift 2</t>
        </is>
      </c>
      <c r="G1141" s="27" t="inlineStr">
        <is>
          <t>23c</t>
        </is>
      </c>
    </row>
    <row r="1142">
      <c r="A1142" s="27" t="inlineStr">
        <is>
          <t>MK0130</t>
        </is>
      </c>
      <c r="B1142" s="27" t="n">
        <v>528000149</v>
      </c>
      <c r="C1142" s="27" t="inlineStr">
        <is>
          <t>Tio Fernanda</t>
        </is>
      </c>
      <c r="D1142" s="171" t="n">
        <v>46180.41666666666</v>
      </c>
      <c r="E1142" s="26" t="n">
        <v>0.7092939814814815</v>
      </c>
      <c r="F1142" s="27" t="inlineStr">
        <is>
          <t>Shift 2</t>
        </is>
      </c>
      <c r="G1142" s="27" t="n"/>
    </row>
    <row r="1143">
      <c r="A1143" s="27" t="inlineStr">
        <is>
          <t>MK00228</t>
        </is>
      </c>
      <c r="B1143" s="27" t="n">
        <v>528000132</v>
      </c>
      <c r="C1143" s="27" t="inlineStr">
        <is>
          <t>Giopani</t>
        </is>
      </c>
      <c r="D1143" s="171" t="n">
        <v>46180.41666666666</v>
      </c>
      <c r="E1143" s="26" t="n">
        <v>0.7098611111111112</v>
      </c>
      <c r="F1143" s="27" t="inlineStr">
        <is>
          <t>Shift 2</t>
        </is>
      </c>
      <c r="G1143" s="27" t="n"/>
    </row>
    <row r="1144">
      <c r="A1144" s="27" t="inlineStr">
        <is>
          <t>MK00204</t>
        </is>
      </c>
      <c r="B1144" s="27" t="n">
        <v>528000232</v>
      </c>
      <c r="C1144" s="27" t="inlineStr">
        <is>
          <t>Agung Aji Suhada</t>
        </is>
      </c>
      <c r="D1144" s="171" t="n">
        <v>46180.41666666666</v>
      </c>
      <c r="E1144" s="26" t="n">
        <v>0.7104398148148148</v>
      </c>
      <c r="F1144" s="27" t="inlineStr">
        <is>
          <t>Shift 2</t>
        </is>
      </c>
      <c r="G1144" s="27" t="n"/>
    </row>
    <row r="1145">
      <c r="A1145" s="27" t="inlineStr">
        <is>
          <t>MK00209</t>
        </is>
      </c>
      <c r="B1145" s="27" t="n">
        <v>528000349</v>
      </c>
      <c r="C1145" s="27" t="inlineStr">
        <is>
          <t>Anas Abdul Fatah</t>
        </is>
      </c>
      <c r="D1145" s="171" t="n">
        <v>46180.41666666666</v>
      </c>
      <c r="E1145" s="26" t="n">
        <v>0.7581597222222223</v>
      </c>
      <c r="F1145" s="27" t="inlineStr">
        <is>
          <t>Shift 2</t>
        </is>
      </c>
      <c r="G1145" s="27" t="n"/>
    </row>
    <row r="1146">
      <c r="A1146" s="27" t="inlineStr">
        <is>
          <t>MK00093</t>
        </is>
      </c>
      <c r="B1146" s="27" t="n">
        <v>528000248</v>
      </c>
      <c r="C1146" s="27" t="inlineStr">
        <is>
          <t>Roka Jaya Salka Mulya</t>
        </is>
      </c>
      <c r="D1146" s="171" t="n">
        <v>46180.41666666666</v>
      </c>
      <c r="E1146" s="26" t="n">
        <v>0.9180092592592592</v>
      </c>
      <c r="F1146" s="27" t="inlineStr">
        <is>
          <t>Shift 2</t>
        </is>
      </c>
      <c r="G1146" s="27" t="n"/>
    </row>
    <row r="1147">
      <c r="A1147" s="27" t="inlineStr">
        <is>
          <t>MK00136</t>
        </is>
      </c>
      <c r="B1147" s="27" t="n">
        <v>528000052</v>
      </c>
      <c r="C1147" s="27" t="inlineStr">
        <is>
          <t>Mustopa</t>
        </is>
      </c>
      <c r="D1147" s="171" t="n">
        <v>46180.41666666666</v>
      </c>
      <c r="E1147" s="26" t="n">
        <v>0.9187731481481481</v>
      </c>
      <c r="F1147" s="27" t="inlineStr">
        <is>
          <t>Shift 2</t>
        </is>
      </c>
      <c r="G1147" s="27" t="n"/>
    </row>
    <row r="1148">
      <c r="A1148" s="27" t="inlineStr">
        <is>
          <t>MK00213</t>
        </is>
      </c>
      <c r="B1148" s="27" t="n">
        <v>528000288</v>
      </c>
      <c r="C1148" s="27" t="inlineStr">
        <is>
          <t>Dede gunawan</t>
        </is>
      </c>
      <c r="D1148" s="171" t="n">
        <v>46180.41666666666</v>
      </c>
      <c r="E1148" s="26" t="n">
        <v>0.9212268518518518</v>
      </c>
      <c r="F1148" s="27" t="inlineStr">
        <is>
          <t>Shift 2</t>
        </is>
      </c>
      <c r="G1148" s="27" t="n"/>
    </row>
    <row r="1149">
      <c r="A1149" s="27" t="inlineStr">
        <is>
          <t>MK00109</t>
        </is>
      </c>
      <c r="B1149" s="27" t="n">
        <v>528000279</v>
      </c>
      <c r="C1149" s="27" t="inlineStr">
        <is>
          <t>Mahdalena Dalfa Riani</t>
        </is>
      </c>
      <c r="D1149" s="171" t="n">
        <v>46180.41666666666</v>
      </c>
      <c r="E1149" s="26" t="n">
        <v>0.9216087962962963</v>
      </c>
      <c r="F1149" s="27" t="inlineStr">
        <is>
          <t>Shift 2</t>
        </is>
      </c>
      <c r="G1149" s="27" t="n"/>
    </row>
    <row r="1150">
      <c r="A1150" s="27" t="inlineStr">
        <is>
          <t>MK00145</t>
        </is>
      </c>
      <c r="B1150" s="27" t="n">
        <v>628000064</v>
      </c>
      <c r="C1150" s="27" t="inlineStr">
        <is>
          <t>Silva Alypia</t>
        </is>
      </c>
      <c r="D1150" s="171" t="n">
        <v>46180.41666666666</v>
      </c>
      <c r="E1150" s="26" t="n">
        <v>0.9226157407407407</v>
      </c>
      <c r="F1150" s="27" t="inlineStr">
        <is>
          <t>Shift 2</t>
        </is>
      </c>
      <c r="G1150" s="27" t="n"/>
    </row>
    <row r="1151">
      <c r="A1151" s="27" t="inlineStr">
        <is>
          <t>MK00088</t>
        </is>
      </c>
      <c r="B1151" s="27" t="n">
        <v>528000069</v>
      </c>
      <c r="C1151" s="27" t="inlineStr">
        <is>
          <t>Jajang Ardiansyah</t>
        </is>
      </c>
      <c r="D1151" s="171" t="n">
        <v>46180.41666666666</v>
      </c>
      <c r="E1151" s="26" t="n">
        <v>0.9228125</v>
      </c>
      <c r="F1151" s="27" t="inlineStr">
        <is>
          <t>Shift 2</t>
        </is>
      </c>
      <c r="G1151" s="27" t="n"/>
    </row>
    <row r="1152">
      <c r="A1152" s="27" t="inlineStr">
        <is>
          <t>MK00208</t>
        </is>
      </c>
      <c r="B1152" s="27" t="n">
        <v>528000300</v>
      </c>
      <c r="C1152" s="27" t="inlineStr">
        <is>
          <t>Lia pitaloka</t>
        </is>
      </c>
      <c r="D1152" s="171" t="n">
        <v>46180.41666666666</v>
      </c>
      <c r="E1152" s="26" t="n">
        <v>0.9234953703703703</v>
      </c>
      <c r="F1152" s="27" t="inlineStr">
        <is>
          <t>Shift 2</t>
        </is>
      </c>
      <c r="G1152" s="27" t="n"/>
    </row>
    <row r="1153">
      <c r="A1153" s="27" t="inlineStr">
        <is>
          <t>MK00249</t>
        </is>
      </c>
      <c r="B1153" s="27" t="n">
        <v>528000297</v>
      </c>
      <c r="C1153" s="27" t="inlineStr">
        <is>
          <t>Muhamad Budiana</t>
        </is>
      </c>
      <c r="D1153" s="171" t="n">
        <v>46180.41666666666</v>
      </c>
      <c r="E1153" s="26" t="n">
        <v>0.9498032407407407</v>
      </c>
      <c r="F1153" s="27" t="inlineStr">
        <is>
          <t>Shift 2</t>
        </is>
      </c>
      <c r="G1153" s="27" t="n"/>
    </row>
    <row r="1154">
      <c r="A1154" s="27" t="inlineStr">
        <is>
          <t>MK00126</t>
        </is>
      </c>
      <c r="B1154" s="27" t="n">
        <v>528000314</v>
      </c>
      <c r="C1154" s="27" t="inlineStr">
        <is>
          <t>Rusmana</t>
        </is>
      </c>
      <c r="D1154" s="171" t="n">
        <v>46181.41666666666</v>
      </c>
      <c r="E1154" s="26" t="n">
        <v>0.002025462962962963</v>
      </c>
      <c r="F1154" s="27" t="inlineStr">
        <is>
          <t>Shift 3</t>
        </is>
      </c>
      <c r="G1154" s="27" t="n"/>
    </row>
    <row r="1155">
      <c r="A1155" s="27" t="inlineStr">
        <is>
          <t>MK00156</t>
        </is>
      </c>
      <c r="B1155" s="27" t="n">
        <v>528000015</v>
      </c>
      <c r="C1155" s="27" t="inlineStr">
        <is>
          <t>Erwin</t>
        </is>
      </c>
      <c r="D1155" s="171" t="n">
        <v>46181.41666666666</v>
      </c>
      <c r="E1155" s="26" t="n">
        <v>0.003587962962962963</v>
      </c>
      <c r="F1155" s="27" t="inlineStr">
        <is>
          <t>Shift 3</t>
        </is>
      </c>
      <c r="G1155" s="27" t="n"/>
    </row>
    <row r="1156">
      <c r="A1156" s="27" t="inlineStr">
        <is>
          <t>MK00202</t>
        </is>
      </c>
      <c r="B1156" s="27" t="n">
        <v>528000241</v>
      </c>
      <c r="C1156" s="27" t="inlineStr">
        <is>
          <t>Balia Nurafif Bilah</t>
        </is>
      </c>
      <c r="D1156" s="171" t="n">
        <v>46181.41666666666</v>
      </c>
      <c r="E1156" s="26" t="n">
        <v>0.2525578703703704</v>
      </c>
      <c r="F1156" s="27" t="inlineStr">
        <is>
          <t>Shift 3</t>
        </is>
      </c>
      <c r="G1156" s="27" t="n"/>
    </row>
    <row r="1157">
      <c r="A1157" s="27" t="inlineStr">
        <is>
          <t>MK00250</t>
        </is>
      </c>
      <c r="B1157" s="27" t="n">
        <v>528000090</v>
      </c>
      <c r="C1157" s="27" t="inlineStr">
        <is>
          <t>Suganda</t>
        </is>
      </c>
      <c r="D1157" s="171" t="n">
        <v>46181.41666666666</v>
      </c>
      <c r="E1157" s="26" t="n">
        <v>0.2528587962962963</v>
      </c>
      <c r="F1157" s="27" t="inlineStr">
        <is>
          <t>Shift 3</t>
        </is>
      </c>
      <c r="G1157" s="27" t="n"/>
    </row>
    <row r="1158">
      <c r="A1158" s="27" t="inlineStr">
        <is>
          <t>MK00158</t>
        </is>
      </c>
      <c r="B1158" s="27" t="n">
        <v>528000274</v>
      </c>
      <c r="C1158" s="27" t="inlineStr">
        <is>
          <t>Zepri</t>
        </is>
      </c>
      <c r="D1158" s="171" t="n">
        <v>46181.41666666666</v>
      </c>
      <c r="E1158" s="26" t="n">
        <v>0.2529166666666667</v>
      </c>
      <c r="F1158" s="27" t="inlineStr">
        <is>
          <t>Shift 3</t>
        </is>
      </c>
      <c r="G1158" s="27" t="n"/>
    </row>
    <row r="1159">
      <c r="A1159" s="27" t="inlineStr">
        <is>
          <t>MK0095</t>
        </is>
      </c>
      <c r="B1159" s="27" t="n">
        <v>528000201</v>
      </c>
      <c r="C1159" s="27" t="inlineStr">
        <is>
          <t>Zahwa Amelia Choerunissa</t>
        </is>
      </c>
      <c r="D1159" s="171" t="n">
        <v>46181.41666666666</v>
      </c>
      <c r="E1159" s="26" t="n">
        <v>0.2532986111111111</v>
      </c>
      <c r="F1159" s="27" t="inlineStr">
        <is>
          <t>Shift 3</t>
        </is>
      </c>
      <c r="G1159" s="27" t="n"/>
    </row>
    <row r="1160">
      <c r="A1160" s="27" t="inlineStr">
        <is>
          <t>MK0090</t>
        </is>
      </c>
      <c r="B1160" s="27" t="n">
        <v>528000099</v>
      </c>
      <c r="C1160" s="27" t="inlineStr">
        <is>
          <t>Siti Nurawaliah</t>
        </is>
      </c>
      <c r="D1160" s="171" t="n">
        <v>46181.41666666666</v>
      </c>
      <c r="E1160" s="26" t="n">
        <v>0.2538194444444444</v>
      </c>
      <c r="F1160" s="27" t="inlineStr">
        <is>
          <t>Shift 3</t>
        </is>
      </c>
      <c r="G1160" s="27" t="n"/>
    </row>
    <row r="1161">
      <c r="A1161" s="27" t="inlineStr">
        <is>
          <t>MK00209</t>
        </is>
      </c>
      <c r="B1161" s="27" t="n">
        <v>528000289</v>
      </c>
      <c r="C1161" s="27" t="inlineStr">
        <is>
          <t>Adit Supriyadi</t>
        </is>
      </c>
      <c r="D1161" s="171" t="n">
        <v>46181.41666666666</v>
      </c>
      <c r="E1161" s="26" t="n">
        <v>0.2538657407407408</v>
      </c>
      <c r="F1161" s="27" t="inlineStr">
        <is>
          <t>Shift 3</t>
        </is>
      </c>
      <c r="G1161" s="27" t="inlineStr">
        <is>
          <t>C-10</t>
        </is>
      </c>
    </row>
    <row r="1162">
      <c r="A1162" s="27" t="inlineStr">
        <is>
          <t>MK00210</t>
        </is>
      </c>
      <c r="B1162" s="27" t="n">
        <v>528000323</v>
      </c>
      <c r="C1162" s="27" t="inlineStr">
        <is>
          <t>Dian Hamidah</t>
        </is>
      </c>
      <c r="D1162" s="171" t="n">
        <v>46181.41666666666</v>
      </c>
      <c r="E1162" s="26" t="n">
        <v>0.2540393518518518</v>
      </c>
      <c r="F1162" s="27" t="inlineStr">
        <is>
          <t>Shift 3</t>
        </is>
      </c>
      <c r="G1162" s="27" t="n"/>
    </row>
    <row r="1163">
      <c r="A1163" s="27" t="inlineStr">
        <is>
          <t>MK00116</t>
        </is>
      </c>
      <c r="B1163" s="27" t="n">
        <v>528000286</v>
      </c>
      <c r="C1163" s="27" t="inlineStr">
        <is>
          <t>Imelda Amelia</t>
        </is>
      </c>
      <c r="D1163" s="171" t="n">
        <v>46181.41666666666</v>
      </c>
      <c r="E1163" s="26" t="n">
        <v>0.2543402777777778</v>
      </c>
      <c r="F1163" s="27" t="inlineStr">
        <is>
          <t>Shift 3</t>
        </is>
      </c>
      <c r="G1163" s="27" t="n"/>
    </row>
    <row r="1164">
      <c r="A1164" s="27" t="inlineStr">
        <is>
          <t>MK00154</t>
        </is>
      </c>
      <c r="B1164" s="27" t="n">
        <v>528000244</v>
      </c>
      <c r="C1164" s="27" t="inlineStr">
        <is>
          <t>Rodian Rifai</t>
        </is>
      </c>
      <c r="D1164" s="171" t="n">
        <v>46181.41666666666</v>
      </c>
      <c r="E1164" s="26" t="n">
        <v>0.268125</v>
      </c>
      <c r="F1164" s="27" t="inlineStr">
        <is>
          <t>Shift 3</t>
        </is>
      </c>
      <c r="G1164" s="27" t="inlineStr">
        <is>
          <t>10F</t>
        </is>
      </c>
    </row>
    <row r="1165">
      <c r="A1165" s="27" t="inlineStr">
        <is>
          <t>MK00108</t>
        </is>
      </c>
      <c r="B1165" s="27" t="n">
        <v>528000212</v>
      </c>
      <c r="C1165" s="27" t="inlineStr">
        <is>
          <t>Rizal Fauzi</t>
        </is>
      </c>
      <c r="D1165" s="171" t="n">
        <v>46181.41666666666</v>
      </c>
      <c r="E1165" s="26" t="n">
        <v>0.2841319444444445</v>
      </c>
      <c r="F1165" s="27" t="inlineStr">
        <is>
          <t>Shift 3</t>
        </is>
      </c>
      <c r="G1165" s="27" t="n"/>
    </row>
    <row r="1166">
      <c r="A1166" s="27" t="inlineStr">
        <is>
          <t>MK00134</t>
        </is>
      </c>
      <c r="B1166" s="27" t="n">
        <v>528000298</v>
      </c>
      <c r="C1166" s="27" t="inlineStr">
        <is>
          <t>Desta Cahaya Pratama</t>
        </is>
      </c>
      <c r="D1166" s="171" t="n">
        <v>46181.41666666666</v>
      </c>
      <c r="E1166" s="26" t="n">
        <v>0.5845370370370371</v>
      </c>
      <c r="F1166" s="27" t="inlineStr">
        <is>
          <t>Shift 1</t>
        </is>
      </c>
      <c r="G1166" s="27" t="n"/>
    </row>
    <row r="1167">
      <c r="A1167" s="27" t="inlineStr">
        <is>
          <t>MK00208</t>
        </is>
      </c>
      <c r="B1167" s="27" t="n">
        <v>528000318</v>
      </c>
      <c r="C1167" s="27" t="inlineStr">
        <is>
          <t>Bayu Padli Sepriyana</t>
        </is>
      </c>
      <c r="D1167" s="171" t="n">
        <v>46181.41666666666</v>
      </c>
      <c r="E1167" s="26" t="n">
        <v>0.5847453703703703</v>
      </c>
      <c r="F1167" s="27" t="inlineStr">
        <is>
          <t>Shift 1</t>
        </is>
      </c>
      <c r="G1167" s="27" t="n"/>
    </row>
    <row r="1168">
      <c r="A1168" s="27" t="inlineStr">
        <is>
          <t>MK00145</t>
        </is>
      </c>
      <c r="B1168" s="27" t="n">
        <v>528000305</v>
      </c>
      <c r="C1168" s="27" t="inlineStr">
        <is>
          <t>Puji Puspita</t>
        </is>
      </c>
      <c r="D1168" s="171" t="n">
        <v>46181.41666666666</v>
      </c>
      <c r="E1168" s="26" t="n">
        <v>0.5855324074074074</v>
      </c>
      <c r="F1168" s="27" t="inlineStr">
        <is>
          <t>Shift 1</t>
        </is>
      </c>
      <c r="G1168" s="27" t="n"/>
    </row>
    <row r="1169">
      <c r="A1169" s="27" t="inlineStr">
        <is>
          <t>MK00249</t>
        </is>
      </c>
      <c r="B1169" s="27" t="n">
        <v>628000091</v>
      </c>
      <c r="C1169" s="27" t="inlineStr">
        <is>
          <t>Devita Handayani</t>
        </is>
      </c>
      <c r="D1169" s="171" t="n">
        <v>46181.41666666666</v>
      </c>
      <c r="E1169" s="26" t="n">
        <v>0.5870486111111111</v>
      </c>
      <c r="F1169" s="27" t="inlineStr">
        <is>
          <t>Shift 1</t>
        </is>
      </c>
      <c r="G1169" s="27" t="n"/>
    </row>
    <row r="1170">
      <c r="A1170" s="27" t="inlineStr">
        <is>
          <t>MK00213</t>
        </is>
      </c>
      <c r="B1170" s="27" t="n">
        <v>528000313</v>
      </c>
      <c r="C1170" s="27" t="inlineStr">
        <is>
          <t>Muhamad Rifki</t>
        </is>
      </c>
      <c r="D1170" s="171" t="n">
        <v>46181.41666666666</v>
      </c>
      <c r="E1170" s="26" t="n">
        <v>0.5871643518518519</v>
      </c>
      <c r="F1170" s="27" t="inlineStr">
        <is>
          <t>Shift 1</t>
        </is>
      </c>
      <c r="G1170" s="27" t="n"/>
    </row>
    <row r="1171">
      <c r="A1171" s="27" t="inlineStr">
        <is>
          <t>MK00185</t>
        </is>
      </c>
      <c r="B1171" s="27" t="n">
        <v>528000309</v>
      </c>
      <c r="C1171" s="27" t="inlineStr">
        <is>
          <t>Ilham Ramadhan</t>
        </is>
      </c>
      <c r="D1171" s="171" t="n">
        <v>46181.41666666666</v>
      </c>
      <c r="E1171" s="26" t="n">
        <v>0.5885763888888889</v>
      </c>
      <c r="F1171" s="27" t="inlineStr">
        <is>
          <t>Shift 1</t>
        </is>
      </c>
      <c r="G1171" s="27" t="n"/>
    </row>
    <row r="1172">
      <c r="A1172" s="27" t="inlineStr">
        <is>
          <t>MK00093</t>
        </is>
      </c>
      <c r="B1172" s="27" t="n">
        <v>528000361</v>
      </c>
      <c r="C1172" s="27" t="inlineStr">
        <is>
          <t>Denada Munggarani</t>
        </is>
      </c>
      <c r="D1172" s="171" t="n">
        <v>46181.41666666666</v>
      </c>
      <c r="E1172" s="26" t="n">
        <v>0.5900694444444444</v>
      </c>
      <c r="F1172" s="27" t="inlineStr">
        <is>
          <t>Shift 1</t>
        </is>
      </c>
      <c r="G1172" s="27" t="n"/>
    </row>
    <row r="1173">
      <c r="A1173" s="27" t="inlineStr">
        <is>
          <t>MK00138</t>
        </is>
      </c>
      <c r="B1173" s="27" t="n">
        <v>528000302</v>
      </c>
      <c r="C1173" s="27" t="inlineStr">
        <is>
          <t>Henkey gumilar</t>
        </is>
      </c>
      <c r="D1173" s="171" t="n">
        <v>46181.41666666666</v>
      </c>
      <c r="E1173" s="26" t="n">
        <v>0.5904050925925926</v>
      </c>
      <c r="F1173" s="27" t="inlineStr">
        <is>
          <t>Shift 1</t>
        </is>
      </c>
      <c r="G1173" s="27" t="n"/>
    </row>
    <row r="1174">
      <c r="A1174" s="27" t="inlineStr">
        <is>
          <t>MK00113</t>
        </is>
      </c>
      <c r="B1174" s="27" t="n">
        <v>528000270</v>
      </c>
      <c r="C1174" s="27" t="inlineStr">
        <is>
          <t>Febri Najmudin</t>
        </is>
      </c>
      <c r="D1174" s="171" t="n">
        <v>46181.41666666666</v>
      </c>
      <c r="E1174" s="26" t="n">
        <v>0.6092824074074074</v>
      </c>
      <c r="F1174" s="27" t="inlineStr">
        <is>
          <t>Shift 1</t>
        </is>
      </c>
      <c r="G1174" s="27" t="n"/>
    </row>
    <row r="1175">
      <c r="A1175" s="27" t="inlineStr">
        <is>
          <t>MK00221</t>
        </is>
      </c>
      <c r="B1175" s="27" t="n">
        <v>528000144</v>
      </c>
      <c r="C1175" s="27" t="inlineStr">
        <is>
          <t>Jodi Hanafi</t>
        </is>
      </c>
      <c r="D1175" s="171" t="n">
        <v>46181.41666666666</v>
      </c>
      <c r="E1175" s="26" t="n">
        <v>0.6658449074074074</v>
      </c>
      <c r="F1175" s="27" t="inlineStr">
        <is>
          <t>Shift 1</t>
        </is>
      </c>
      <c r="G1175" s="27" t="n"/>
    </row>
    <row r="1176">
      <c r="A1176" s="27" t="inlineStr">
        <is>
          <t>MK00250</t>
        </is>
      </c>
      <c r="B1176" s="27" t="n">
        <v>528000282</v>
      </c>
      <c r="C1176" s="27" t="inlineStr">
        <is>
          <t>Defa Desfiana</t>
        </is>
      </c>
      <c r="D1176" s="171" t="n">
        <v>46181.41666666666</v>
      </c>
      <c r="E1176" s="26" t="n">
        <v>0.6678587962962963</v>
      </c>
      <c r="F1176" s="27" t="inlineStr">
        <is>
          <t>Shift 2</t>
        </is>
      </c>
      <c r="G1176" s="27" t="inlineStr">
        <is>
          <t>23c</t>
        </is>
      </c>
    </row>
    <row r="1177">
      <c r="A1177" s="27" t="inlineStr">
        <is>
          <t>MK00116</t>
        </is>
      </c>
      <c r="B1177" s="27" t="n">
        <v>528000310</v>
      </c>
      <c r="C1177" s="27" t="inlineStr">
        <is>
          <t>Fachrul Rozzi Suryana</t>
        </is>
      </c>
      <c r="D1177" s="171" t="n">
        <v>46181.41666666666</v>
      </c>
      <c r="E1177" s="26" t="n">
        <v>0.6689583333333333</v>
      </c>
      <c r="F1177" s="27" t="inlineStr">
        <is>
          <t>Shift 2</t>
        </is>
      </c>
      <c r="G1177" s="27" t="inlineStr">
        <is>
          <t>7B</t>
        </is>
      </c>
    </row>
    <row r="1178">
      <c r="A1178" s="27" t="inlineStr">
        <is>
          <t>MK00209</t>
        </is>
      </c>
      <c r="B1178" s="27" t="n">
        <v>528000359</v>
      </c>
      <c r="C1178" s="27" t="inlineStr">
        <is>
          <t>M. Iqbal Maulana. S</t>
        </is>
      </c>
      <c r="D1178" s="171" t="n">
        <v>46181.41666666666</v>
      </c>
      <c r="E1178" s="26" t="n">
        <v>0.6701967592592593</v>
      </c>
      <c r="F1178" s="27" t="inlineStr">
        <is>
          <t>Shift 2</t>
        </is>
      </c>
      <c r="G1178" s="27" t="n"/>
    </row>
    <row r="1179">
      <c r="A1179" s="27" t="inlineStr">
        <is>
          <t>MK00202</t>
        </is>
      </c>
      <c r="B1179" s="27" t="n">
        <v>528000265</v>
      </c>
      <c r="C1179" s="27" t="inlineStr">
        <is>
          <t>Muhammad Haerul Rozikin</t>
        </is>
      </c>
      <c r="D1179" s="171" t="n">
        <v>46181.41666666666</v>
      </c>
      <c r="E1179" s="26" t="n">
        <v>0.6707638888888889</v>
      </c>
      <c r="F1179" s="27" t="inlineStr">
        <is>
          <t>Shift 2</t>
        </is>
      </c>
      <c r="G1179" s="27" t="n"/>
    </row>
    <row r="1180">
      <c r="A1180" s="27" t="inlineStr">
        <is>
          <t>MK00204</t>
        </is>
      </c>
      <c r="B1180" s="27" t="n">
        <v>528000232</v>
      </c>
      <c r="C1180" s="27" t="inlineStr">
        <is>
          <t>Agung Aji Suhada</t>
        </is>
      </c>
      <c r="D1180" s="171" t="n">
        <v>46181.41666666666</v>
      </c>
      <c r="E1180" s="26" t="n">
        <v>0.7101504629629629</v>
      </c>
      <c r="F1180" s="27" t="inlineStr">
        <is>
          <t>Shift 2</t>
        </is>
      </c>
      <c r="G1180" s="27" t="n"/>
    </row>
    <row r="1181">
      <c r="A1181" s="27" t="inlineStr">
        <is>
          <t>MK00228</t>
        </is>
      </c>
      <c r="B1181" s="27" t="n">
        <v>528000132</v>
      </c>
      <c r="C1181" s="27" t="inlineStr">
        <is>
          <t>Giopani</t>
        </is>
      </c>
      <c r="D1181" s="171" t="n">
        <v>46181.41666666666</v>
      </c>
      <c r="E1181" s="26" t="n">
        <v>0.7108564814814815</v>
      </c>
      <c r="F1181" s="27" t="inlineStr">
        <is>
          <t>Shift 2</t>
        </is>
      </c>
      <c r="G1181" s="27" t="n"/>
    </row>
    <row r="1182">
      <c r="A1182" s="27" t="inlineStr">
        <is>
          <t>MK00108</t>
        </is>
      </c>
      <c r="B1182" s="27" t="n">
        <v>528000349</v>
      </c>
      <c r="C1182" s="27" t="inlineStr">
        <is>
          <t>Anas Abdul Fatah</t>
        </is>
      </c>
      <c r="D1182" s="171" t="n">
        <v>46181.41666666666</v>
      </c>
      <c r="E1182" s="26" t="n">
        <v>0.7583449074074075</v>
      </c>
      <c r="F1182" s="27" t="inlineStr">
        <is>
          <t>Shift 2</t>
        </is>
      </c>
      <c r="G1182" s="27" t="n"/>
    </row>
    <row r="1183">
      <c r="A1183" s="27" t="inlineStr">
        <is>
          <t>MK00160</t>
        </is>
      </c>
      <c r="B1183" s="27" t="n">
        <v>528000248</v>
      </c>
      <c r="C1183" s="27" t="inlineStr">
        <is>
          <t>Roka Jaya Salka Mulya</t>
        </is>
      </c>
      <c r="D1183" s="171" t="n">
        <v>46181.41666666666</v>
      </c>
      <c r="E1183" s="26" t="n">
        <v>0.9197569444444444</v>
      </c>
      <c r="F1183" s="27" t="inlineStr">
        <is>
          <t>Shift 2</t>
        </is>
      </c>
      <c r="G1183" s="27" t="n"/>
    </row>
    <row r="1184">
      <c r="A1184" s="27" t="inlineStr">
        <is>
          <t>MK00148</t>
        </is>
      </c>
      <c r="B1184" s="27" t="n">
        <v>628000064</v>
      </c>
      <c r="C1184" s="27" t="inlineStr">
        <is>
          <t>Silva Alypia</t>
        </is>
      </c>
      <c r="D1184" s="171" t="n">
        <v>46181.41666666666</v>
      </c>
      <c r="E1184" s="26" t="n">
        <v>0.920787037037037</v>
      </c>
      <c r="F1184" s="27" t="inlineStr">
        <is>
          <t>Shift 2</t>
        </is>
      </c>
      <c r="G1184" s="27" t="n"/>
    </row>
    <row r="1185">
      <c r="A1185" s="27" t="inlineStr">
        <is>
          <t>MK00121</t>
        </is>
      </c>
      <c r="B1185" s="27" t="n">
        <v>528000279</v>
      </c>
      <c r="C1185" s="27" t="inlineStr">
        <is>
          <t>Mahdalena Dalfa Riani</t>
        </is>
      </c>
      <c r="D1185" s="171" t="n">
        <v>46181.41666666666</v>
      </c>
      <c r="E1185" s="26" t="n">
        <v>0.9208912037037037</v>
      </c>
      <c r="F1185" s="27" t="inlineStr">
        <is>
          <t>Shift 2</t>
        </is>
      </c>
      <c r="G1185" s="27" t="n"/>
    </row>
    <row r="1186">
      <c r="A1186" s="27" t="inlineStr">
        <is>
          <t>MK00181</t>
        </is>
      </c>
      <c r="B1186" s="27" t="n">
        <v>528000300</v>
      </c>
      <c r="C1186" s="27" t="inlineStr">
        <is>
          <t>Lia pitaloka</t>
        </is>
      </c>
      <c r="D1186" s="171" t="n">
        <v>46181.41666666666</v>
      </c>
      <c r="E1186" s="26" t="n">
        <v>0.921412037037037</v>
      </c>
      <c r="F1186" s="27" t="inlineStr">
        <is>
          <t>Shift 2</t>
        </is>
      </c>
      <c r="G1186" s="27" t="n"/>
    </row>
    <row r="1187">
      <c r="A1187" s="27" t="inlineStr">
        <is>
          <t>MK00235</t>
        </is>
      </c>
      <c r="B1187" s="27" t="n">
        <v>528000306</v>
      </c>
      <c r="C1187" s="27" t="inlineStr">
        <is>
          <t>Windy Olivia</t>
        </is>
      </c>
      <c r="D1187" s="171" t="n">
        <v>46181.41666666666</v>
      </c>
      <c r="E1187" s="26" t="n">
        <v>0.9214814814814815</v>
      </c>
      <c r="F1187" s="27" t="inlineStr">
        <is>
          <t>Shift 2</t>
        </is>
      </c>
      <c r="G1187" s="27" t="n"/>
    </row>
    <row r="1188">
      <c r="A1188" s="27" t="inlineStr">
        <is>
          <t>MK00141</t>
        </is>
      </c>
      <c r="B1188" s="27" t="n">
        <v>528000324</v>
      </c>
      <c r="C1188" s="27" t="inlineStr">
        <is>
          <t>Sri Yanti</t>
        </is>
      </c>
      <c r="D1188" s="171" t="n">
        <v>46181.41666666666</v>
      </c>
      <c r="E1188" s="26" t="n">
        <v>0.9319907407407407</v>
      </c>
      <c r="F1188" s="27" t="inlineStr">
        <is>
          <t>Shift 2</t>
        </is>
      </c>
      <c r="G1188" s="27" t="n"/>
    </row>
    <row r="1189">
      <c r="A1189" s="27" t="inlineStr">
        <is>
          <t>MK00150</t>
        </is>
      </c>
      <c r="B1189" s="27" t="n">
        <v>528000297</v>
      </c>
      <c r="C1189" s="27" t="inlineStr">
        <is>
          <t>Muhamad Budiana</t>
        </is>
      </c>
      <c r="D1189" s="171" t="n">
        <v>46181.41666666666</v>
      </c>
      <c r="E1189" s="26" t="n">
        <v>0.9682986111111112</v>
      </c>
      <c r="F1189" s="27" t="inlineStr">
        <is>
          <t>Shift 2</t>
        </is>
      </c>
      <c r="G1189" s="27" t="n"/>
    </row>
    <row r="1190">
      <c r="A1190" s="27" t="inlineStr">
        <is>
          <t>MK00213</t>
        </is>
      </c>
      <c r="B1190" s="27" t="n">
        <v>528000015</v>
      </c>
      <c r="C1190" s="27" t="inlineStr">
        <is>
          <t>Erwin</t>
        </is>
      </c>
      <c r="D1190" s="171" t="n">
        <v>46182.41666666666</v>
      </c>
      <c r="E1190" s="26" t="n">
        <v>0.001979166666666667</v>
      </c>
      <c r="F1190" s="27" t="inlineStr">
        <is>
          <t>Shift 3</t>
        </is>
      </c>
      <c r="G1190" s="27" t="n"/>
    </row>
    <row r="1191">
      <c r="A1191" s="27" t="inlineStr">
        <is>
          <t>MK00205</t>
        </is>
      </c>
      <c r="B1191" s="27" t="n">
        <v>528000348</v>
      </c>
      <c r="C1191" s="27" t="inlineStr">
        <is>
          <t>Saepuloh Ardiansah</t>
        </is>
      </c>
      <c r="D1191" s="171" t="n">
        <v>46182.41666666666</v>
      </c>
      <c r="E1191" s="26" t="n">
        <v>0.002175925925925926</v>
      </c>
      <c r="F1191" s="27" t="inlineStr">
        <is>
          <t>Shift 3</t>
        </is>
      </c>
      <c r="G1191" s="27" t="n"/>
    </row>
    <row r="1192">
      <c r="A1192" s="27" t="inlineStr">
        <is>
          <t>MK00125</t>
        </is>
      </c>
      <c r="B1192" s="27" t="n">
        <v>528000314</v>
      </c>
      <c r="C1192" s="27" t="inlineStr">
        <is>
          <t>Rusmana</t>
        </is>
      </c>
      <c r="D1192" s="171" t="n">
        <v>46182.41666666666</v>
      </c>
      <c r="E1192" s="26" t="n">
        <v>0.002349537037037037</v>
      </c>
      <c r="F1192" s="27" t="inlineStr">
        <is>
          <t>Shift 3</t>
        </is>
      </c>
      <c r="G1192" s="27" t="n"/>
    </row>
    <row r="1193">
      <c r="A1193" s="27" t="inlineStr">
        <is>
          <t>MK00221</t>
        </is>
      </c>
      <c r="B1193" s="27" t="n">
        <v>528000144</v>
      </c>
      <c r="C1193" s="27" t="inlineStr">
        <is>
          <t>Jodi Hanafi</t>
        </is>
      </c>
      <c r="D1193" s="171" t="n">
        <v>46182.41666666666</v>
      </c>
      <c r="E1193" s="26" t="n">
        <v>0.008159722222222223</v>
      </c>
      <c r="F1193" s="27" t="inlineStr">
        <is>
          <t>Shift 3</t>
        </is>
      </c>
      <c r="G1193" s="27" t="n"/>
    </row>
    <row r="1194">
      <c r="A1194" s="27" t="inlineStr">
        <is>
          <t>CK00126</t>
        </is>
      </c>
      <c r="B1194" s="27" t="n">
        <v>528000299</v>
      </c>
      <c r="C1194" s="27" t="inlineStr">
        <is>
          <t>Siti Nurjanah</t>
        </is>
      </c>
      <c r="D1194" s="171" t="n">
        <v>46182.41666666666</v>
      </c>
      <c r="E1194" s="26" t="n">
        <v>0.2384143518518519</v>
      </c>
      <c r="F1194" s="27" t="inlineStr">
        <is>
          <t>Shift 3</t>
        </is>
      </c>
      <c r="G1194" s="27" t="n"/>
    </row>
    <row r="1195">
      <c r="A1195" s="27" t="inlineStr">
        <is>
          <t>MK00082</t>
        </is>
      </c>
      <c r="B1195" s="27" t="n">
        <v>528000340</v>
      </c>
      <c r="C1195" s="27" t="inlineStr">
        <is>
          <t>Muhammad Wildan Adithya</t>
        </is>
      </c>
      <c r="D1195" s="171" t="n">
        <v>46182.41666666666</v>
      </c>
      <c r="E1195" s="26" t="n">
        <v>0.2526157407407407</v>
      </c>
      <c r="F1195" s="27" t="inlineStr">
        <is>
          <t>Shift 3</t>
        </is>
      </c>
      <c r="G1195" s="27" t="n"/>
    </row>
    <row r="1196">
      <c r="A1196" s="27" t="inlineStr">
        <is>
          <t>MK00116</t>
        </is>
      </c>
      <c r="B1196" s="27" t="n">
        <v>528000274</v>
      </c>
      <c r="C1196" s="27" t="inlineStr">
        <is>
          <t>Zepri</t>
        </is>
      </c>
      <c r="D1196" s="171" t="n">
        <v>46182.41666666666</v>
      </c>
      <c r="E1196" s="26" t="n">
        <v>0.2534259259259259</v>
      </c>
      <c r="F1196" s="27" t="inlineStr">
        <is>
          <t>Shift 3</t>
        </is>
      </c>
      <c r="G1196" s="27" t="n"/>
    </row>
    <row r="1197">
      <c r="A1197" s="27" t="inlineStr">
        <is>
          <t>MK00185</t>
        </is>
      </c>
      <c r="B1197" s="27" t="n">
        <v>528000289</v>
      </c>
      <c r="C1197" s="27" t="inlineStr">
        <is>
          <t>Adit Supriyadi</t>
        </is>
      </c>
      <c r="D1197" s="171" t="n">
        <v>46182.41666666666</v>
      </c>
      <c r="E1197" s="26" t="n">
        <v>0.2535416666666667</v>
      </c>
      <c r="F1197" s="27" t="inlineStr">
        <is>
          <t>Shift 3</t>
        </is>
      </c>
      <c r="G1197" s="27" t="inlineStr">
        <is>
          <t>7-E</t>
        </is>
      </c>
    </row>
    <row r="1198">
      <c r="A1198" s="27" t="inlineStr">
        <is>
          <t>MK00138</t>
        </is>
      </c>
      <c r="B1198" s="27" t="n">
        <v>528000241</v>
      </c>
      <c r="C1198" s="27" t="inlineStr">
        <is>
          <t>Balia Nurafif Bilah</t>
        </is>
      </c>
      <c r="D1198" s="171" t="n">
        <v>46182.41666666666</v>
      </c>
      <c r="E1198" s="26" t="n">
        <v>0.253587962962963</v>
      </c>
      <c r="F1198" s="27" t="inlineStr">
        <is>
          <t>Shift 3</t>
        </is>
      </c>
      <c r="G1198" s="27" t="n"/>
    </row>
    <row r="1199">
      <c r="A1199" s="27" t="inlineStr">
        <is>
          <t>MK00112</t>
        </is>
      </c>
      <c r="B1199" s="27" t="n">
        <v>528000090</v>
      </c>
      <c r="C1199" s="27" t="inlineStr">
        <is>
          <t>Suganda</t>
        </is>
      </c>
      <c r="D1199" s="171" t="n">
        <v>46182.41666666666</v>
      </c>
      <c r="E1199" s="26" t="n">
        <v>0.2536574074074074</v>
      </c>
      <c r="F1199" s="27" t="inlineStr">
        <is>
          <t>Shift 3</t>
        </is>
      </c>
      <c r="G1199" s="27" t="n"/>
    </row>
    <row r="1200">
      <c r="A1200" s="27" t="inlineStr">
        <is>
          <t>MK00154</t>
        </is>
      </c>
      <c r="B1200" s="27" t="n">
        <v>528000201</v>
      </c>
      <c r="C1200" s="27" t="inlineStr">
        <is>
          <t>Zahwa Amelia Choerunissa</t>
        </is>
      </c>
      <c r="D1200" s="171" t="n">
        <v>46182.41666666666</v>
      </c>
      <c r="E1200" s="26" t="n">
        <v>0.2541203703703704</v>
      </c>
      <c r="F1200" s="27" t="inlineStr">
        <is>
          <t>Shift 3</t>
        </is>
      </c>
      <c r="G1200" s="27" t="n"/>
    </row>
    <row r="1201">
      <c r="A1201" s="27" t="inlineStr">
        <is>
          <t>MK0090</t>
        </is>
      </c>
      <c r="B1201" s="27" t="n">
        <v>528000099</v>
      </c>
      <c r="C1201" s="27" t="inlineStr">
        <is>
          <t>Siti Nurawaliah</t>
        </is>
      </c>
      <c r="D1201" s="171" t="n">
        <v>46182.41666666666</v>
      </c>
      <c r="E1201" s="26" t="n">
        <v>0.2544444444444444</v>
      </c>
      <c r="F1201" s="27" t="inlineStr">
        <is>
          <t>Shift 3</t>
        </is>
      </c>
      <c r="G1201" s="27" t="n"/>
    </row>
    <row r="1202">
      <c r="A1202" s="27" t="inlineStr">
        <is>
          <t>MK00249</t>
        </is>
      </c>
      <c r="B1202" s="27" t="n">
        <v>528000290</v>
      </c>
      <c r="C1202" s="27" t="inlineStr">
        <is>
          <t>Eval Pranata</t>
        </is>
      </c>
      <c r="D1202" s="171" t="n">
        <v>46182.41666666666</v>
      </c>
      <c r="E1202" s="26" t="n">
        <v>0.254699074074074</v>
      </c>
      <c r="F1202" s="27" t="inlineStr">
        <is>
          <t>Shift 3</t>
        </is>
      </c>
      <c r="G1202" s="27" t="n"/>
    </row>
    <row r="1203">
      <c r="A1203" s="27" t="inlineStr">
        <is>
          <t>MK00145</t>
        </is>
      </c>
      <c r="B1203" s="27" t="n">
        <v>528000286</v>
      </c>
      <c r="C1203" s="27" t="inlineStr">
        <is>
          <t>Imelda Amelia</t>
        </is>
      </c>
      <c r="D1203" s="171" t="n">
        <v>46182.41666666666</v>
      </c>
      <c r="E1203" s="26" t="n">
        <v>0.2549074074074074</v>
      </c>
      <c r="F1203" s="27" t="inlineStr">
        <is>
          <t>Shift 3</t>
        </is>
      </c>
      <c r="G1203" s="27" t="n"/>
    </row>
    <row r="1204">
      <c r="A1204" s="27" t="inlineStr">
        <is>
          <t>MK00210</t>
        </is>
      </c>
      <c r="B1204" s="27" t="n">
        <v>528000323</v>
      </c>
      <c r="C1204" s="27" t="inlineStr">
        <is>
          <t>Dian Hamidah</t>
        </is>
      </c>
      <c r="D1204" s="171" t="n">
        <v>46182.41666666666</v>
      </c>
      <c r="E1204" s="26" t="n">
        <v>0.2560416666666667</v>
      </c>
      <c r="F1204" s="27" t="inlineStr">
        <is>
          <t>Shift 3</t>
        </is>
      </c>
      <c r="G1204" s="27" t="n"/>
    </row>
    <row r="1205">
      <c r="A1205" s="27" t="inlineStr">
        <is>
          <t>MK00250</t>
        </is>
      </c>
      <c r="B1205" s="27" t="n">
        <v>528000244</v>
      </c>
      <c r="C1205" s="27" t="inlineStr">
        <is>
          <t>Rodian Rifai</t>
        </is>
      </c>
      <c r="D1205" s="171" t="n">
        <v>46182.41666666666</v>
      </c>
      <c r="E1205" s="26" t="n">
        <v>0.2751736111111111</v>
      </c>
      <c r="F1205" s="27" t="inlineStr">
        <is>
          <t>Shift 3</t>
        </is>
      </c>
      <c r="G1205" s="27" t="n"/>
    </row>
    <row r="1206">
      <c r="A1206" s="27" t="inlineStr">
        <is>
          <t>MM00204</t>
        </is>
      </c>
      <c r="B1206" s="27" t="n">
        <v>528000132</v>
      </c>
      <c r="C1206" s="27" t="inlineStr">
        <is>
          <t>Giopani</t>
        </is>
      </c>
      <c r="D1206" s="171" t="n">
        <v>46182.41666666666</v>
      </c>
      <c r="E1206" s="26" t="n">
        <v>0.3761805555555556</v>
      </c>
      <c r="F1206" s="27" t="inlineStr">
        <is>
          <t>Shift 1</t>
        </is>
      </c>
      <c r="G1206" s="27" t="n"/>
    </row>
    <row r="1207">
      <c r="A1207" s="27" t="inlineStr">
        <is>
          <t>MK00192</t>
        </is>
      </c>
      <c r="B1207" s="27" t="n">
        <v>528000288</v>
      </c>
      <c r="C1207" s="27" t="inlineStr">
        <is>
          <t>Dede gunawan</t>
        </is>
      </c>
      <c r="D1207" s="171" t="n">
        <v>46182.41666666666</v>
      </c>
      <c r="E1207" s="26" t="n">
        <v>0.5794212962962964</v>
      </c>
      <c r="F1207" s="27" t="inlineStr">
        <is>
          <t>Shift 1</t>
        </is>
      </c>
      <c r="G1207" s="27" t="n"/>
    </row>
    <row r="1208">
      <c r="A1208" s="27" t="inlineStr">
        <is>
          <t>MK00212</t>
        </is>
      </c>
      <c r="B1208" s="27" t="n">
        <v>528000325</v>
      </c>
      <c r="C1208" s="27" t="inlineStr">
        <is>
          <t>Rani Septia Ramadani</t>
        </is>
      </c>
      <c r="D1208" s="171" t="n">
        <v>46182.41666666666</v>
      </c>
      <c r="E1208" s="26" t="n">
        <v>0.5806597222222222</v>
      </c>
      <c r="F1208" s="27" t="inlineStr">
        <is>
          <t>Shift 1</t>
        </is>
      </c>
      <c r="G1208" s="27" t="n"/>
    </row>
    <row r="1209">
      <c r="A1209" s="27" t="inlineStr">
        <is>
          <t>MK00121</t>
        </is>
      </c>
      <c r="B1209" s="27" t="n">
        <v>628000091</v>
      </c>
      <c r="C1209" s="27" t="inlineStr">
        <is>
          <t>Devita Handayani</t>
        </is>
      </c>
      <c r="D1209" s="171" t="n">
        <v>46182.41666666666</v>
      </c>
      <c r="E1209" s="26" t="n">
        <v>0.5832638888888889</v>
      </c>
      <c r="F1209" s="27" t="inlineStr">
        <is>
          <t>Shift 1</t>
        </is>
      </c>
      <c r="G1209" s="27" t="n"/>
    </row>
    <row r="1210">
      <c r="A1210" s="27" t="inlineStr">
        <is>
          <t>MK00181</t>
        </is>
      </c>
      <c r="B1210" s="27" t="n">
        <v>528000299</v>
      </c>
      <c r="C1210" s="27" t="inlineStr">
        <is>
          <t>Siti Nurjanah</t>
        </is>
      </c>
      <c r="D1210" s="171" t="n">
        <v>46182.41666666666</v>
      </c>
      <c r="E1210" s="26" t="n">
        <v>0.5839004629629629</v>
      </c>
      <c r="F1210" s="27" t="inlineStr">
        <is>
          <t>Shift 1</t>
        </is>
      </c>
      <c r="G1210" s="27" t="n"/>
    </row>
    <row r="1211">
      <c r="A1211" s="27" t="inlineStr">
        <is>
          <t>MK00150</t>
        </is>
      </c>
      <c r="B1211" s="27" t="n">
        <v>528000305</v>
      </c>
      <c r="C1211" s="27" t="inlineStr">
        <is>
          <t>Puji Puspita</t>
        </is>
      </c>
      <c r="D1211" s="171" t="n">
        <v>46182.41666666666</v>
      </c>
      <c r="E1211" s="26" t="n">
        <v>0.5840046296296296</v>
      </c>
      <c r="F1211" s="27" t="inlineStr">
        <is>
          <t>Shift 1</t>
        </is>
      </c>
      <c r="G1211" s="27" t="n"/>
    </row>
    <row r="1212">
      <c r="A1212" s="27" t="inlineStr">
        <is>
          <t>MK00136</t>
        </is>
      </c>
      <c r="B1212" s="27" t="n">
        <v>528000279</v>
      </c>
      <c r="C1212" s="27" t="inlineStr">
        <is>
          <t>Mahdalena Dalfa Riani</t>
        </is>
      </c>
      <c r="D1212" s="171" t="n">
        <v>46182.41666666666</v>
      </c>
      <c r="E1212" s="26" t="n">
        <v>0.5844675925925926</v>
      </c>
      <c r="F1212" s="27" t="inlineStr">
        <is>
          <t>Shift 1</t>
        </is>
      </c>
      <c r="G1212" s="27" t="n"/>
    </row>
    <row r="1213">
      <c r="A1213" s="27" t="inlineStr">
        <is>
          <t>MK00235</t>
        </is>
      </c>
      <c r="B1213" s="27" t="n">
        <v>528000318</v>
      </c>
      <c r="C1213" s="27" t="inlineStr">
        <is>
          <t>Bayu Padli Sepriyana</t>
        </is>
      </c>
      <c r="D1213" s="171" t="n">
        <v>46182.41666666666</v>
      </c>
      <c r="E1213" s="26" t="n">
        <v>0.5850694444444444</v>
      </c>
      <c r="F1213" s="27" t="inlineStr">
        <is>
          <t>Shift 1</t>
        </is>
      </c>
      <c r="G1213" s="27" t="n"/>
    </row>
    <row r="1214">
      <c r="A1214" s="27" t="inlineStr">
        <is>
          <t>MK00160</t>
        </is>
      </c>
      <c r="B1214" s="27" t="n">
        <v>528000309</v>
      </c>
      <c r="C1214" s="27" t="inlineStr">
        <is>
          <t>Ilham Ramadhan</t>
        </is>
      </c>
      <c r="D1214" s="171" t="n">
        <v>46182.41666666666</v>
      </c>
      <c r="E1214" s="26" t="n">
        <v>0.5876736111111112</v>
      </c>
      <c r="F1214" s="27" t="inlineStr">
        <is>
          <t>Shift 1</t>
        </is>
      </c>
      <c r="G1214" s="27" t="n"/>
    </row>
    <row r="1215">
      <c r="A1215" s="27" t="inlineStr">
        <is>
          <t>MK00158</t>
        </is>
      </c>
      <c r="B1215" s="27" t="n">
        <v>528000340</v>
      </c>
      <c r="C1215" s="27" t="inlineStr">
        <is>
          <t>Muhammad Wildan Adithya</t>
        </is>
      </c>
      <c r="D1215" s="171" t="n">
        <v>46182.41666666666</v>
      </c>
      <c r="E1215" s="26" t="n">
        <v>0.588587962962963</v>
      </c>
      <c r="F1215" s="27" t="inlineStr">
        <is>
          <t>Shift 1</t>
        </is>
      </c>
      <c r="G1215" s="27" t="n"/>
    </row>
    <row r="1216">
      <c r="A1216" s="27" t="inlineStr">
        <is>
          <t>MK00134</t>
        </is>
      </c>
      <c r="B1216" s="27" t="n">
        <v>528000313</v>
      </c>
      <c r="C1216" s="27" t="inlineStr">
        <is>
          <t>Muhamad Rifki</t>
        </is>
      </c>
      <c r="D1216" s="171" t="n">
        <v>46182.41666666666</v>
      </c>
      <c r="E1216" s="26" t="n">
        <v>0.5888310185185185</v>
      </c>
      <c r="F1216" s="27" t="inlineStr">
        <is>
          <t>Shift 1</t>
        </is>
      </c>
      <c r="G1216" s="27" t="n"/>
    </row>
    <row r="1217">
      <c r="A1217" s="27" t="inlineStr">
        <is>
          <t>MK00203</t>
        </is>
      </c>
      <c r="B1217" s="27" t="n">
        <v>528000361</v>
      </c>
      <c r="C1217" s="27" t="inlineStr">
        <is>
          <t>Denada Munggarani</t>
        </is>
      </c>
      <c r="D1217" s="171" t="n">
        <v>46182.41666666666</v>
      </c>
      <c r="E1217" s="26" t="n">
        <v>0.594837962962963</v>
      </c>
      <c r="F1217" s="27" t="inlineStr">
        <is>
          <t>Shift 1</t>
        </is>
      </c>
      <c r="G1217" s="27" t="n"/>
    </row>
    <row r="1218">
      <c r="A1218" s="27" t="inlineStr">
        <is>
          <t>MK00148</t>
        </is>
      </c>
      <c r="B1218" s="27" t="n">
        <v>528000270</v>
      </c>
      <c r="C1218" s="27" t="inlineStr">
        <is>
          <t>Febri Najmudin</t>
        </is>
      </c>
      <c r="D1218" s="171" t="n">
        <v>46182.41666666666</v>
      </c>
      <c r="E1218" s="26" t="n">
        <v>0.6005902777777777</v>
      </c>
      <c r="F1218" s="27" t="inlineStr">
        <is>
          <t>Shift 1</t>
        </is>
      </c>
      <c r="G1218" s="27" t="n"/>
    </row>
    <row r="1219">
      <c r="A1219" s="27" t="inlineStr">
        <is>
          <t>MK00202</t>
        </is>
      </c>
      <c r="B1219" s="27" t="n">
        <v>528000212</v>
      </c>
      <c r="C1219" s="27" t="inlineStr">
        <is>
          <t>Rizal Fauzi</t>
        </is>
      </c>
      <c r="D1219" s="171" t="n">
        <v>46182.41666666666</v>
      </c>
      <c r="E1219" s="26" t="n">
        <v>0.6012152777777777</v>
      </c>
      <c r="F1219" s="27" t="inlineStr">
        <is>
          <t>Shift 1</t>
        </is>
      </c>
      <c r="G1219" s="27" t="n"/>
    </row>
    <row r="1220">
      <c r="A1220" s="27" t="inlineStr">
        <is>
          <t>MK00249</t>
        </is>
      </c>
      <c r="B1220" s="27" t="n">
        <v>528000265</v>
      </c>
      <c r="C1220" s="27" t="inlineStr">
        <is>
          <t>Muhammad Haerul Rozikin</t>
        </is>
      </c>
      <c r="D1220" s="171" t="n">
        <v>46182.41666666666</v>
      </c>
      <c r="E1220" s="26" t="n">
        <v>0.6683680555555556</v>
      </c>
      <c r="F1220" s="27" t="inlineStr">
        <is>
          <t>Shift 2</t>
        </is>
      </c>
      <c r="G1220" s="27" t="n"/>
    </row>
    <row r="1221">
      <c r="A1221" s="27" t="inlineStr">
        <is>
          <t>MK00250</t>
        </is>
      </c>
      <c r="B1221" s="27" t="n">
        <v>528000310</v>
      </c>
      <c r="C1221" s="27" t="inlineStr">
        <is>
          <t>Fachrul Rozzi Suryana</t>
        </is>
      </c>
      <c r="D1221" s="171" t="n">
        <v>46182.41666666666</v>
      </c>
      <c r="E1221" s="26" t="n">
        <v>0.6686342592592592</v>
      </c>
      <c r="F1221" s="27" t="inlineStr">
        <is>
          <t>Shift 2</t>
        </is>
      </c>
      <c r="G1221" s="27" t="n"/>
    </row>
    <row r="1222">
      <c r="A1222" s="27" t="inlineStr">
        <is>
          <t>MK00213</t>
        </is>
      </c>
      <c r="B1222" s="27" t="n">
        <v>528000282</v>
      </c>
      <c r="C1222" s="27" t="inlineStr">
        <is>
          <t>Defa Desfiana</t>
        </is>
      </c>
      <c r="D1222" s="171" t="n">
        <v>46182.41666666666</v>
      </c>
      <c r="E1222" s="26" t="n">
        <v>0.6686921296296297</v>
      </c>
      <c r="F1222" s="27" t="inlineStr">
        <is>
          <t>Shift 2</t>
        </is>
      </c>
      <c r="G1222" s="27" t="inlineStr">
        <is>
          <t>23c</t>
        </is>
      </c>
    </row>
    <row r="1223">
      <c r="A1223" s="27" t="inlineStr">
        <is>
          <t>MK0130</t>
        </is>
      </c>
      <c r="B1223" s="27" t="n">
        <v>528000149</v>
      </c>
      <c r="C1223" s="27" t="inlineStr">
        <is>
          <t>Tio Fernanda</t>
        </is>
      </c>
      <c r="D1223" s="171" t="n">
        <v>46182.41666666666</v>
      </c>
      <c r="E1223" s="26" t="n">
        <v>0.7102893518518518</v>
      </c>
      <c r="F1223" s="27" t="inlineStr">
        <is>
          <t>Shift 2</t>
        </is>
      </c>
      <c r="G1223" s="27" t="n"/>
    </row>
    <row r="1224">
      <c r="A1224" s="27" t="inlineStr">
        <is>
          <t>MK00204</t>
        </is>
      </c>
      <c r="B1224" s="27" t="n">
        <v>528000232</v>
      </c>
      <c r="C1224" s="27" t="inlineStr">
        <is>
          <t>Agung Aji Suhada</t>
        </is>
      </c>
      <c r="D1224" s="171" t="n">
        <v>46182.41666666666</v>
      </c>
      <c r="E1224" s="26" t="n">
        <v>0.7104398148148148</v>
      </c>
      <c r="F1224" s="27" t="inlineStr">
        <is>
          <t>Shift 2</t>
        </is>
      </c>
      <c r="G1224" s="27" t="n"/>
    </row>
    <row r="1225">
      <c r="A1225" s="27" t="inlineStr">
        <is>
          <t>MK00228</t>
        </is>
      </c>
      <c r="B1225" s="27" t="n">
        <v>528000132</v>
      </c>
      <c r="C1225" s="27" t="inlineStr">
        <is>
          <t>Giopani</t>
        </is>
      </c>
      <c r="D1225" s="171" t="n">
        <v>46182.41666666666</v>
      </c>
      <c r="E1225" s="26" t="n">
        <v>0.7108449074074074</v>
      </c>
      <c r="F1225" s="27" t="inlineStr">
        <is>
          <t>Shift 2</t>
        </is>
      </c>
      <c r="G1225" s="27" t="n"/>
    </row>
    <row r="1226">
      <c r="A1226" s="27" t="inlineStr">
        <is>
          <t>MK00145</t>
        </is>
      </c>
      <c r="B1226" s="27" t="n">
        <v>528000349</v>
      </c>
      <c r="C1226" s="27" t="inlineStr">
        <is>
          <t>Anas Abdul Fatah</t>
        </is>
      </c>
      <c r="D1226" s="171" t="n">
        <v>46182.41666666666</v>
      </c>
      <c r="E1226" s="26" t="n">
        <v>0.7578819444444445</v>
      </c>
      <c r="F1226" s="27" t="inlineStr">
        <is>
          <t>Shift 2</t>
        </is>
      </c>
      <c r="G1226" s="27" t="n"/>
    </row>
    <row r="1227">
      <c r="A1227" s="27" t="inlineStr">
        <is>
          <t>MK00055</t>
        </is>
      </c>
      <c r="B1227" s="27" t="n">
        <v>528000248</v>
      </c>
      <c r="C1227" s="27" t="inlineStr">
        <is>
          <t>Roka Jaya Salka Mulya</t>
        </is>
      </c>
      <c r="D1227" s="171" t="n">
        <v>46182.41666666666</v>
      </c>
      <c r="E1227" s="26" t="n">
        <v>0.9189699074074074</v>
      </c>
      <c r="F1227" s="27" t="inlineStr">
        <is>
          <t>Shift 2</t>
        </is>
      </c>
      <c r="G1227" s="27" t="n"/>
    </row>
    <row r="1228">
      <c r="A1228" s="27" t="inlineStr">
        <is>
          <t>MK00136</t>
        </is>
      </c>
      <c r="B1228" s="27" t="n">
        <v>528000279</v>
      </c>
      <c r="C1228" s="27" t="inlineStr">
        <is>
          <t>Mahdalena Dalfa Riani</t>
        </is>
      </c>
      <c r="D1228" s="171" t="n">
        <v>46182.41666666666</v>
      </c>
      <c r="E1228" s="26" t="n">
        <v>0.9205324074074074</v>
      </c>
      <c r="F1228" s="27" t="inlineStr">
        <is>
          <t>Shift 2</t>
        </is>
      </c>
      <c r="G1228" s="27" t="n"/>
    </row>
    <row r="1229">
      <c r="A1229" s="27" t="inlineStr">
        <is>
          <t>MK00085</t>
        </is>
      </c>
      <c r="B1229" s="27" t="n">
        <v>528000324</v>
      </c>
      <c r="C1229" s="27" t="inlineStr">
        <is>
          <t>Sri Yanti</t>
        </is>
      </c>
      <c r="D1229" s="171" t="n">
        <v>46182.41666666666</v>
      </c>
      <c r="E1229" s="26" t="n">
        <v>0.9206481481481481</v>
      </c>
      <c r="F1229" s="27" t="inlineStr">
        <is>
          <t>Shift 2</t>
        </is>
      </c>
      <c r="G1229" s="27" t="n"/>
    </row>
    <row r="1230">
      <c r="A1230" s="27" t="inlineStr">
        <is>
          <t>MK00160</t>
        </is>
      </c>
      <c r="B1230" s="27" t="n">
        <v>528000063</v>
      </c>
      <c r="C1230" s="27" t="inlineStr">
        <is>
          <t>Muhamad Ripki Pebrian</t>
        </is>
      </c>
      <c r="D1230" s="171" t="n">
        <v>46182.41666666666</v>
      </c>
      <c r="E1230" s="26" t="n">
        <v>0.9209953703703704</v>
      </c>
      <c r="F1230" s="27" t="inlineStr">
        <is>
          <t>Shift 2</t>
        </is>
      </c>
      <c r="G1230" s="27" t="n"/>
    </row>
    <row r="1231">
      <c r="A1231" s="27" t="inlineStr">
        <is>
          <t>MK00212</t>
        </is>
      </c>
      <c r="B1231" s="27" t="n">
        <v>628000064</v>
      </c>
      <c r="C1231" s="27" t="inlineStr">
        <is>
          <t>Silva Alypia</t>
        </is>
      </c>
      <c r="D1231" s="171" t="n">
        <v>46182.41666666666</v>
      </c>
      <c r="E1231" s="26" t="n">
        <v>0.9210648148148148</v>
      </c>
      <c r="F1231" s="27" t="inlineStr">
        <is>
          <t>Shift 2</t>
        </is>
      </c>
      <c r="G1231" s="27" t="n"/>
    </row>
    <row r="1232">
      <c r="A1232" s="27" t="inlineStr">
        <is>
          <t>MK00109</t>
        </is>
      </c>
      <c r="B1232" s="27" t="n">
        <v>528000300</v>
      </c>
      <c r="C1232" s="27" t="inlineStr">
        <is>
          <t>Lia pitaloka</t>
        </is>
      </c>
      <c r="D1232" s="171" t="n">
        <v>46182.41666666666</v>
      </c>
      <c r="E1232" s="26" t="n">
        <v>0.9212962962962963</v>
      </c>
      <c r="F1232" s="27" t="inlineStr">
        <is>
          <t>Shift 2</t>
        </is>
      </c>
      <c r="G1232" s="27" t="n"/>
    </row>
    <row r="1233">
      <c r="A1233" s="27" t="inlineStr">
        <is>
          <t>ML00148</t>
        </is>
      </c>
      <c r="B1233" s="27" t="n">
        <v>528000297</v>
      </c>
      <c r="C1233" s="27" t="inlineStr">
        <is>
          <t>Muhamad Budiana</t>
        </is>
      </c>
      <c r="D1233" s="171" t="n">
        <v>46182.41666666666</v>
      </c>
      <c r="E1233" s="26" t="n">
        <v>0.9546759259259259</v>
      </c>
      <c r="F1233" s="27" t="inlineStr">
        <is>
          <t>Shift 2</t>
        </is>
      </c>
      <c r="G1233" s="27" t="n"/>
    </row>
    <row r="1234">
      <c r="A1234" s="27" t="inlineStr">
        <is>
          <t>MK00216</t>
        </is>
      </c>
      <c r="B1234" s="27" t="n">
        <v>528000015</v>
      </c>
      <c r="C1234" s="27" t="inlineStr">
        <is>
          <t>Erwin</t>
        </is>
      </c>
      <c r="D1234" s="171" t="n">
        <v>46183.41666666666</v>
      </c>
      <c r="E1234" s="26" t="n">
        <v>0.00181712962962963</v>
      </c>
      <c r="F1234" s="27" t="inlineStr">
        <is>
          <t>Shift 3</t>
        </is>
      </c>
      <c r="G1234" s="27" t="n"/>
    </row>
    <row r="1235">
      <c r="A1235" s="27" t="inlineStr">
        <is>
          <t>MK00125</t>
        </is>
      </c>
      <c r="B1235" s="27" t="n">
        <v>528000314</v>
      </c>
      <c r="C1235" s="27" t="inlineStr">
        <is>
          <t>Rusmana</t>
        </is>
      </c>
      <c r="D1235" s="171" t="n">
        <v>46183.41666666666</v>
      </c>
      <c r="E1235" s="26" t="n">
        <v>0.003275462962962963</v>
      </c>
      <c r="F1235" s="27" t="inlineStr">
        <is>
          <t>Shift 3</t>
        </is>
      </c>
      <c r="G1235" s="27" t="n"/>
    </row>
    <row r="1236">
      <c r="A1236" s="27" t="inlineStr">
        <is>
          <t>MK00205</t>
        </is>
      </c>
      <c r="B1236" s="27" t="n">
        <v>528000348</v>
      </c>
      <c r="C1236" s="27" t="inlineStr">
        <is>
          <t>Saepuloh Ardiansah</t>
        </is>
      </c>
      <c r="D1236" s="171" t="n">
        <v>46183.41666666666</v>
      </c>
      <c r="E1236" s="26" t="n">
        <v>0.02015046296296296</v>
      </c>
      <c r="F1236" s="27" t="inlineStr">
        <is>
          <t>Shift 3</t>
        </is>
      </c>
      <c r="G1236" s="27" t="n"/>
    </row>
    <row r="1237">
      <c r="A1237" s="27" t="inlineStr">
        <is>
          <t>MK00141</t>
        </is>
      </c>
      <c r="B1237" s="27" t="n">
        <v>528000261</v>
      </c>
      <c r="C1237" s="27" t="inlineStr">
        <is>
          <t>Ergi Ergianto</t>
        </is>
      </c>
      <c r="D1237" s="171" t="n">
        <v>46183.41666666666</v>
      </c>
      <c r="E1237" s="26" t="n">
        <v>0.2525578703703704</v>
      </c>
      <c r="F1237" s="27" t="inlineStr">
        <is>
          <t>Shift 3</t>
        </is>
      </c>
      <c r="G1237" s="27" t="n"/>
    </row>
    <row r="1238">
      <c r="A1238" s="27" t="inlineStr">
        <is>
          <t>MK00235</t>
        </is>
      </c>
      <c r="B1238" s="27" t="n">
        <v>528000052</v>
      </c>
      <c r="C1238" s="27" t="inlineStr">
        <is>
          <t>Mustopa</t>
        </is>
      </c>
      <c r="D1238" s="171" t="n">
        <v>46183.41666666666</v>
      </c>
      <c r="E1238" s="26" t="n">
        <v>0.2525925925925926</v>
      </c>
      <c r="F1238" s="27" t="inlineStr">
        <is>
          <t>Shift 3</t>
        </is>
      </c>
      <c r="G1238" s="27" t="n"/>
    </row>
    <row r="1239">
      <c r="A1239" s="27" t="inlineStr">
        <is>
          <t>MK00113</t>
        </is>
      </c>
      <c r="B1239" s="27" t="n">
        <v>528000291</v>
      </c>
      <c r="C1239" s="27" t="inlineStr">
        <is>
          <t>Andrian</t>
        </is>
      </c>
      <c r="D1239" s="171" t="n">
        <v>46183.41666666666</v>
      </c>
      <c r="E1239" s="26" t="n">
        <v>0.2526736111111111</v>
      </c>
      <c r="F1239" s="27" t="inlineStr">
        <is>
          <t>Shift 3</t>
        </is>
      </c>
      <c r="G1239" s="27" t="n"/>
    </row>
    <row r="1240">
      <c r="A1240" s="27" t="inlineStr">
        <is>
          <t>MK00209</t>
        </is>
      </c>
      <c r="B1240" s="27" t="n">
        <v>528000306</v>
      </c>
      <c r="C1240" s="27" t="inlineStr">
        <is>
          <t>Windy Olivia</t>
        </is>
      </c>
      <c r="D1240" s="171" t="n">
        <v>46183.41666666666</v>
      </c>
      <c r="E1240" s="26" t="n">
        <v>0.2529861111111111</v>
      </c>
      <c r="F1240" s="27" t="inlineStr">
        <is>
          <t>Shift 3</t>
        </is>
      </c>
      <c r="G1240" s="27" t="n"/>
    </row>
    <row r="1241">
      <c r="A1241" s="27" t="inlineStr">
        <is>
          <t>MK00210</t>
        </is>
      </c>
      <c r="B1241" s="27" t="n">
        <v>528000262</v>
      </c>
      <c r="C1241" s="27" t="inlineStr">
        <is>
          <t>Ndari Dwiwanti</t>
        </is>
      </c>
      <c r="D1241" s="171" t="n">
        <v>46183.41666666666</v>
      </c>
      <c r="E1241" s="26" t="n">
        <v>0.2533449074074074</v>
      </c>
      <c r="F1241" s="27" t="inlineStr">
        <is>
          <t>Shift 3</t>
        </is>
      </c>
      <c r="G1241" s="27" t="n"/>
    </row>
    <row r="1242">
      <c r="A1242" s="27" t="inlineStr">
        <is>
          <t>MK00116</t>
        </is>
      </c>
      <c r="B1242" s="27" t="n">
        <v>528000283</v>
      </c>
      <c r="C1242" s="27" t="inlineStr">
        <is>
          <t>Purwanda Sugiri</t>
        </is>
      </c>
      <c r="D1242" s="171" t="n">
        <v>46183.41666666666</v>
      </c>
      <c r="E1242" s="26" t="n">
        <v>0.253587962962963</v>
      </c>
      <c r="F1242" s="27" t="inlineStr">
        <is>
          <t>Shift 3</t>
        </is>
      </c>
      <c r="G1242" s="27" t="n"/>
    </row>
    <row r="1243">
      <c r="A1243" s="27" t="inlineStr">
        <is>
          <t>MK00250</t>
        </is>
      </c>
      <c r="B1243" s="27" t="n">
        <v>528000358</v>
      </c>
      <c r="C1243" s="27" t="inlineStr">
        <is>
          <t>Lulu Agustin</t>
        </is>
      </c>
      <c r="D1243" s="171" t="n">
        <v>46183.41666666666</v>
      </c>
      <c r="E1243" s="26" t="n">
        <v>0.2537037037037037</v>
      </c>
      <c r="F1243" s="27" t="inlineStr">
        <is>
          <t>Shift 3</t>
        </is>
      </c>
      <c r="G1243" s="27" t="n"/>
    </row>
    <row r="1244">
      <c r="A1244" s="27" t="inlineStr">
        <is>
          <t>MK00108</t>
        </is>
      </c>
      <c r="B1244" s="27" t="n">
        <v>528000195</v>
      </c>
      <c r="C1244" s="27" t="inlineStr">
        <is>
          <t>Rahma Sariwati</t>
        </is>
      </c>
      <c r="D1244" s="171" t="n">
        <v>46183.41666666666</v>
      </c>
      <c r="E1244" s="26" t="n">
        <v>0.2548032407407407</v>
      </c>
      <c r="F1244" s="27" t="inlineStr">
        <is>
          <t>Shift 3</t>
        </is>
      </c>
      <c r="G1244" s="27" t="n"/>
    </row>
    <row r="1245">
      <c r="A1245" s="27" t="inlineStr">
        <is>
          <t>MK00202</t>
        </is>
      </c>
      <c r="B1245" s="27" t="n">
        <v>528000337</v>
      </c>
      <c r="C1245" s="27" t="inlineStr">
        <is>
          <t>Ahmad Zaldi Firdaus</t>
        </is>
      </c>
      <c r="D1245" s="171" t="n">
        <v>46183.41666666666</v>
      </c>
      <c r="E1245" s="26" t="n">
        <v>0.2564236111111111</v>
      </c>
      <c r="F1245" s="27" t="inlineStr">
        <is>
          <t>Shift 3</t>
        </is>
      </c>
      <c r="G1245" s="27" t="n"/>
    </row>
    <row r="1246">
      <c r="A1246" s="27" t="inlineStr">
        <is>
          <t>MK00150</t>
        </is>
      </c>
      <c r="B1246" s="27" t="n">
        <v>528000266</v>
      </c>
      <c r="C1246" s="27" t="inlineStr">
        <is>
          <t>M. Syirajatieq</t>
        </is>
      </c>
      <c r="D1246" s="171" t="n">
        <v>46183.41666666666</v>
      </c>
      <c r="E1246" s="26" t="n">
        <v>0.2873611111111111</v>
      </c>
      <c r="F1246" s="27" t="inlineStr">
        <is>
          <t>Shift 3</t>
        </is>
      </c>
      <c r="G1246" s="27" t="n"/>
    </row>
    <row r="1247">
      <c r="A1247" s="27" t="inlineStr">
        <is>
          <t>MK00221</t>
        </is>
      </c>
      <c r="B1247" s="27" t="n">
        <v>528000144</v>
      </c>
      <c r="C1247" s="27" t="inlineStr">
        <is>
          <t>Jodi Hanafi</t>
        </is>
      </c>
      <c r="D1247" s="171" t="n">
        <v>46183.41666666666</v>
      </c>
      <c r="E1247" s="26" t="n">
        <v>0.5347685185185185</v>
      </c>
      <c r="F1247" s="27" t="inlineStr">
        <is>
          <t>Shift 1</t>
        </is>
      </c>
      <c r="G1247" s="27" t="n"/>
    </row>
    <row r="1248">
      <c r="A1248" s="27" t="inlineStr">
        <is>
          <t>MK00210</t>
        </is>
      </c>
      <c r="B1248" s="27" t="n">
        <v>528000282</v>
      </c>
      <c r="C1248" s="27" t="inlineStr">
        <is>
          <t>Defa Desfiana</t>
        </is>
      </c>
      <c r="D1248" s="171" t="n">
        <v>46183.41666666666</v>
      </c>
      <c r="E1248" s="26" t="n">
        <v>0.5424189814814815</v>
      </c>
      <c r="F1248" s="27" t="inlineStr">
        <is>
          <t>Shift 1</t>
        </is>
      </c>
      <c r="G1248" s="27" t="inlineStr">
        <is>
          <t>7b</t>
        </is>
      </c>
    </row>
    <row r="1249">
      <c r="A1249" s="27" t="inlineStr">
        <is>
          <t>MK00250</t>
        </is>
      </c>
      <c r="B1249" s="27" t="n">
        <v>528000310</v>
      </c>
      <c r="C1249" s="27" t="inlineStr">
        <is>
          <t>Fachrul Rozzi Suryana</t>
        </is>
      </c>
      <c r="D1249" s="171" t="n">
        <v>46183.41666666666</v>
      </c>
      <c r="E1249" s="26" t="n">
        <v>0.5434953703703703</v>
      </c>
      <c r="F1249" s="27" t="inlineStr">
        <is>
          <t>Shift 1</t>
        </is>
      </c>
      <c r="G1249" s="27" t="inlineStr">
        <is>
          <t>5B</t>
        </is>
      </c>
    </row>
    <row r="1250">
      <c r="A1250" s="27" t="inlineStr">
        <is>
          <t>MK00113</t>
        </is>
      </c>
      <c r="B1250" s="27" t="n">
        <v>528000265</v>
      </c>
      <c r="C1250" s="27" t="inlineStr">
        <is>
          <t>Muhammad Haerul Rozikin</t>
        </is>
      </c>
      <c r="D1250" s="171" t="n">
        <v>46183.41666666666</v>
      </c>
      <c r="E1250" s="26" t="n">
        <v>0.5466782407407408</v>
      </c>
      <c r="F1250" s="27" t="inlineStr">
        <is>
          <t>Shift 1</t>
        </is>
      </c>
      <c r="G1250" s="27" t="n"/>
    </row>
    <row r="1251">
      <c r="A1251" s="27" t="inlineStr">
        <is>
          <t>MK00093</t>
        </is>
      </c>
      <c r="B1251" s="27" t="n">
        <v>528000298</v>
      </c>
      <c r="C1251" s="27" t="inlineStr">
        <is>
          <t>Desta Cahaya Pratama</t>
        </is>
      </c>
      <c r="D1251" s="171" t="n">
        <v>46183.41666666666</v>
      </c>
      <c r="E1251" s="26" t="n">
        <v>0.5857060185185186</v>
      </c>
      <c r="F1251" s="27" t="inlineStr">
        <is>
          <t>Shift 1</t>
        </is>
      </c>
      <c r="G1251" s="27" t="n"/>
    </row>
    <row r="1252">
      <c r="A1252" s="27" t="inlineStr">
        <is>
          <t>MK00228</t>
        </is>
      </c>
      <c r="B1252" s="27" t="n">
        <v>528000132</v>
      </c>
      <c r="C1252" s="27" t="inlineStr">
        <is>
          <t>Giopani</t>
        </is>
      </c>
      <c r="D1252" s="171" t="n">
        <v>46183.41666666666</v>
      </c>
      <c r="E1252" s="26" t="n">
        <v>0.585949074074074</v>
      </c>
      <c r="F1252" s="27" t="inlineStr">
        <is>
          <t>Shift 1</t>
        </is>
      </c>
      <c r="G1252" s="27" t="n"/>
    </row>
    <row r="1253">
      <c r="A1253" s="27" t="inlineStr">
        <is>
          <t>MK00148</t>
        </is>
      </c>
      <c r="B1253" s="27" t="n">
        <v>528000318</v>
      </c>
      <c r="C1253" s="27" t="inlineStr">
        <is>
          <t>Bayu Padli Sepriyana</t>
        </is>
      </c>
      <c r="D1253" s="171" t="n">
        <v>46183.41666666666</v>
      </c>
      <c r="E1253" s="26" t="n">
        <v>0.5860185185185185</v>
      </c>
      <c r="F1253" s="27" t="inlineStr">
        <is>
          <t>Shift 1</t>
        </is>
      </c>
      <c r="G1253" s="27" t="n"/>
    </row>
    <row r="1254">
      <c r="A1254" s="27" t="inlineStr">
        <is>
          <t>MK00008</t>
        </is>
      </c>
      <c r="B1254" s="27" t="n">
        <v>528000305</v>
      </c>
      <c r="C1254" s="27" t="inlineStr">
        <is>
          <t>Puji Puspita</t>
        </is>
      </c>
      <c r="D1254" s="171" t="n">
        <v>46183.41666666666</v>
      </c>
      <c r="E1254" s="26" t="n">
        <v>0.5862731481481481</v>
      </c>
      <c r="F1254" s="27" t="inlineStr">
        <is>
          <t>Shift 1</t>
        </is>
      </c>
      <c r="G1254" s="27" t="n"/>
    </row>
    <row r="1255">
      <c r="A1255" s="27" t="inlineStr">
        <is>
          <t>MK00204</t>
        </is>
      </c>
      <c r="B1255" s="27" t="n">
        <v>528000232</v>
      </c>
      <c r="C1255" s="27" t="inlineStr">
        <is>
          <t>Agung Aji Suhada</t>
        </is>
      </c>
      <c r="D1255" s="171" t="n">
        <v>46183.41666666666</v>
      </c>
      <c r="E1255" s="26" t="n">
        <v>0.5865046296296297</v>
      </c>
      <c r="F1255" s="27" t="inlineStr">
        <is>
          <t>Shift 1</t>
        </is>
      </c>
      <c r="G1255" s="27" t="n"/>
    </row>
    <row r="1256">
      <c r="A1256" s="27" t="inlineStr">
        <is>
          <t>MK00230</t>
        </is>
      </c>
      <c r="B1256" s="27" t="n">
        <v>528000313</v>
      </c>
      <c r="C1256" s="27" t="inlineStr">
        <is>
          <t>Muhamad Rifki</t>
        </is>
      </c>
      <c r="D1256" s="171" t="n">
        <v>46183.41666666666</v>
      </c>
      <c r="E1256" s="26" t="n">
        <v>0.5869907407407408</v>
      </c>
      <c r="F1256" s="27" t="inlineStr">
        <is>
          <t>Shift 1</t>
        </is>
      </c>
      <c r="G1256" s="27" t="n"/>
    </row>
    <row r="1257">
      <c r="A1257" s="27" t="inlineStr">
        <is>
          <t>MK00212</t>
        </is>
      </c>
      <c r="B1257" s="27" t="n">
        <v>528000309</v>
      </c>
      <c r="C1257" s="27" t="inlineStr">
        <is>
          <t>Ilham Ramadhan</t>
        </is>
      </c>
      <c r="D1257" s="171" t="n">
        <v>46183.41666666666</v>
      </c>
      <c r="E1257" s="26" t="n">
        <v>0.5872916666666667</v>
      </c>
      <c r="F1257" s="27" t="inlineStr">
        <is>
          <t>Shift 1</t>
        </is>
      </c>
      <c r="G1257" s="27" t="n"/>
    </row>
    <row r="1258">
      <c r="A1258" s="27" t="inlineStr">
        <is>
          <t>MK00160</t>
        </is>
      </c>
      <c r="B1258" s="27" t="n">
        <v>528000299</v>
      </c>
      <c r="C1258" s="27" t="inlineStr">
        <is>
          <t>Siti Nurjanah</t>
        </is>
      </c>
      <c r="D1258" s="171" t="n">
        <v>46183.41666666666</v>
      </c>
      <c r="E1258" s="26" t="n">
        <v>0.5874421296296296</v>
      </c>
      <c r="F1258" s="27" t="inlineStr">
        <is>
          <t>Shift 1</t>
        </is>
      </c>
      <c r="G1258" s="27" t="n"/>
    </row>
    <row r="1259">
      <c r="A1259" s="27" t="inlineStr">
        <is>
          <t>MK00181</t>
        </is>
      </c>
      <c r="B1259" s="27" t="n">
        <v>528000340</v>
      </c>
      <c r="C1259" s="27" t="inlineStr">
        <is>
          <t>Muhammad Wildan Adithya</t>
        </is>
      </c>
      <c r="D1259" s="171" t="n">
        <v>46183.41666666666</v>
      </c>
      <c r="E1259" s="26" t="n">
        <v>0.5888194444444445</v>
      </c>
      <c r="F1259" s="27" t="inlineStr">
        <is>
          <t>Shift 1</t>
        </is>
      </c>
      <c r="G1259" s="27" t="n"/>
    </row>
    <row r="1260">
      <c r="A1260" s="27" t="inlineStr">
        <is>
          <t>MK00203</t>
        </is>
      </c>
      <c r="B1260" s="27" t="n">
        <v>528000361</v>
      </c>
      <c r="C1260" s="27" t="inlineStr">
        <is>
          <t>Denada Munggarani</t>
        </is>
      </c>
      <c r="D1260" s="171" t="n">
        <v>46183.41666666666</v>
      </c>
      <c r="E1260" s="26" t="n">
        <v>0.5902430555555556</v>
      </c>
      <c r="F1260" s="27" t="inlineStr">
        <is>
          <t>Shift 1</t>
        </is>
      </c>
      <c r="G1260" s="27" t="n"/>
    </row>
    <row r="1261">
      <c r="A1261" s="27" t="inlineStr">
        <is>
          <t>MK00208</t>
        </is>
      </c>
      <c r="B1261" s="27" t="n">
        <v>528000302</v>
      </c>
      <c r="C1261" s="27" t="inlineStr">
        <is>
          <t>Henkey gumilar</t>
        </is>
      </c>
      <c r="D1261" s="171" t="n">
        <v>46183.41666666666</v>
      </c>
      <c r="E1261" s="26" t="n">
        <v>0.5956944444444444</v>
      </c>
      <c r="F1261" s="27" t="inlineStr">
        <is>
          <t>Shift 1</t>
        </is>
      </c>
      <c r="G1261" s="27" t="n"/>
    </row>
    <row r="1262">
      <c r="A1262" s="27" t="inlineStr">
        <is>
          <t>MK00213</t>
        </is>
      </c>
      <c r="B1262" s="27" t="n">
        <v>528000270</v>
      </c>
      <c r="C1262" s="27" t="inlineStr">
        <is>
          <t>Febri Najmudin</t>
        </is>
      </c>
      <c r="D1262" s="171" t="n">
        <v>46183.41666666666</v>
      </c>
      <c r="E1262" s="26" t="n">
        <v>0.6007986111111111</v>
      </c>
      <c r="F1262" s="27" t="inlineStr">
        <is>
          <t>Shift 1</t>
        </is>
      </c>
      <c r="G1262" s="27" t="n"/>
    </row>
    <row r="1263">
      <c r="A1263" s="27" t="inlineStr">
        <is>
          <t>MK00205</t>
        </is>
      </c>
      <c r="B1263" s="27" t="n">
        <v>528000348</v>
      </c>
      <c r="C1263" s="27" t="inlineStr">
        <is>
          <t>Saepuloh Ardiansah</t>
        </is>
      </c>
      <c r="D1263" s="171" t="n">
        <v>46183.41666666666</v>
      </c>
      <c r="E1263" s="26" t="n">
        <v>0.7515740740740741</v>
      </c>
      <c r="F1263" s="27" t="inlineStr">
        <is>
          <t>Shift 2</t>
        </is>
      </c>
      <c r="G1263" s="27" t="n"/>
    </row>
    <row r="1264">
      <c r="A1264" s="27" t="inlineStr">
        <is>
          <t>MK00125</t>
        </is>
      </c>
      <c r="B1264" s="27" t="n">
        <v>528000314</v>
      </c>
      <c r="C1264" s="27" t="inlineStr">
        <is>
          <t>Rusmana</t>
        </is>
      </c>
      <c r="D1264" s="171" t="n">
        <v>46183.41666666666</v>
      </c>
      <c r="E1264" s="26" t="n">
        <v>0.7520486111111111</v>
      </c>
      <c r="F1264" s="27" t="inlineStr">
        <is>
          <t>Shift 2</t>
        </is>
      </c>
      <c r="G1264" s="27" t="n"/>
    </row>
    <row r="1265">
      <c r="A1265" s="27" t="inlineStr">
        <is>
          <t>MK00154</t>
        </is>
      </c>
      <c r="B1265" s="27" t="n">
        <v>528000248</v>
      </c>
      <c r="C1265" s="27" t="inlineStr">
        <is>
          <t>Roka Jaya Salka Mulya</t>
        </is>
      </c>
      <c r="D1265" s="171" t="n">
        <v>46183.41666666666</v>
      </c>
      <c r="E1265" s="26" t="n">
        <v>0.9174652777777778</v>
      </c>
      <c r="F1265" s="27" t="inlineStr">
        <is>
          <t>Shift 2</t>
        </is>
      </c>
      <c r="G1265" s="27" t="n"/>
    </row>
    <row r="1266">
      <c r="A1266" s="27" t="inlineStr">
        <is>
          <t>MK00109</t>
        </is>
      </c>
      <c r="B1266" s="27" t="n">
        <v>528000300</v>
      </c>
      <c r="C1266" s="27" t="inlineStr">
        <is>
          <t>Lia pitaloka</t>
        </is>
      </c>
      <c r="D1266" s="171" t="n">
        <v>46183.41666666666</v>
      </c>
      <c r="E1266" s="26" t="n">
        <v>0.9190277777777778</v>
      </c>
      <c r="F1266" s="27" t="inlineStr">
        <is>
          <t>Shift 2</t>
        </is>
      </c>
      <c r="G1266" s="27" t="n"/>
    </row>
    <row r="1267">
      <c r="A1267" s="27" t="inlineStr">
        <is>
          <t>MK00136</t>
        </is>
      </c>
      <c r="B1267" s="27" t="n">
        <v>628000064</v>
      </c>
      <c r="C1267" s="27" t="inlineStr">
        <is>
          <t>Silva Alypia</t>
        </is>
      </c>
      <c r="D1267" s="171" t="n">
        <v>46183.41666666666</v>
      </c>
      <c r="E1267" s="26" t="n">
        <v>0.9193402777777778</v>
      </c>
      <c r="F1267" s="27" t="inlineStr">
        <is>
          <t>Shift 2</t>
        </is>
      </c>
      <c r="G1267" s="27" t="n"/>
    </row>
    <row r="1268">
      <c r="A1268" s="27" t="inlineStr">
        <is>
          <t>MK00082</t>
        </is>
      </c>
      <c r="B1268" s="27" t="n">
        <v>528000279</v>
      </c>
      <c r="C1268" s="27" t="inlineStr">
        <is>
          <t>Mahdalena Dalfa Riani</t>
        </is>
      </c>
      <c r="D1268" s="171" t="n">
        <v>46183.41666666666</v>
      </c>
      <c r="E1268" s="26" t="n">
        <v>0.9196412037037037</v>
      </c>
      <c r="F1268" s="27" t="inlineStr">
        <is>
          <t>Shift 2</t>
        </is>
      </c>
      <c r="G1268" s="27" t="n"/>
    </row>
    <row r="1269">
      <c r="A1269" s="27" t="inlineStr">
        <is>
          <t>MK00210</t>
        </is>
      </c>
      <c r="B1269" s="27" t="n">
        <v>528000323</v>
      </c>
      <c r="C1269" s="27" t="inlineStr">
        <is>
          <t>Dian Hamidah</t>
        </is>
      </c>
      <c r="D1269" s="171" t="n">
        <v>46183.41666666666</v>
      </c>
      <c r="E1269" s="26" t="n">
        <v>0.9251967592592593</v>
      </c>
      <c r="F1269" s="27" t="inlineStr">
        <is>
          <t>Shift 2</t>
        </is>
      </c>
      <c r="G1269" s="27" t="n"/>
    </row>
    <row r="1270">
      <c r="A1270" s="27" t="inlineStr">
        <is>
          <t>MK00249</t>
        </is>
      </c>
      <c r="B1270" s="27" t="n">
        <v>528000297</v>
      </c>
      <c r="C1270" s="27" t="inlineStr">
        <is>
          <t>Muhamad Budiana</t>
        </is>
      </c>
      <c r="D1270" s="171" t="n">
        <v>46183.41666666666</v>
      </c>
      <c r="E1270" s="26" t="n">
        <v>0.9528240740740741</v>
      </c>
      <c r="F1270" s="27" t="inlineStr">
        <is>
          <t>Shift 2</t>
        </is>
      </c>
      <c r="G1270" s="27" t="n"/>
    </row>
    <row r="1271">
      <c r="A1271" s="27" t="inlineStr">
        <is>
          <t>MK00008</t>
        </is>
      </c>
      <c r="B1271" s="27" t="n">
        <v>528000262</v>
      </c>
      <c r="C1271" s="27" t="inlineStr">
        <is>
          <t>Ndari Dwiwanti</t>
        </is>
      </c>
      <c r="D1271" s="171" t="n">
        <v>46184.41666666666</v>
      </c>
      <c r="E1271" s="26" t="n">
        <v>0.2505787037037037</v>
      </c>
      <c r="F1271" s="27" t="inlineStr">
        <is>
          <t>Shift 3</t>
        </is>
      </c>
      <c r="G1271" s="27" t="n"/>
    </row>
    <row r="1272">
      <c r="A1272" s="27" t="inlineStr">
        <is>
          <t>MK00230</t>
        </is>
      </c>
      <c r="B1272" s="27" t="n">
        <v>528000358</v>
      </c>
      <c r="C1272" s="27" t="inlineStr">
        <is>
          <t>Lulu Agustin</t>
        </is>
      </c>
      <c r="D1272" s="171" t="n">
        <v>46184.41666666666</v>
      </c>
      <c r="E1272" s="26" t="n">
        <v>0.2509027777777778</v>
      </c>
      <c r="F1272" s="27" t="inlineStr">
        <is>
          <t>Shift 3</t>
        </is>
      </c>
      <c r="G1272" s="27" t="n"/>
    </row>
    <row r="1273">
      <c r="A1273" s="27" t="inlineStr">
        <is>
          <t>MK00148</t>
        </is>
      </c>
      <c r="B1273" s="27" t="n">
        <v>528000195</v>
      </c>
      <c r="C1273" s="27" t="inlineStr">
        <is>
          <t>Rahma Sariwati</t>
        </is>
      </c>
      <c r="D1273" s="171" t="n">
        <v>46184.41666666666</v>
      </c>
      <c r="E1273" s="26" t="n">
        <v>0.2518518518518518</v>
      </c>
      <c r="F1273" s="27" t="inlineStr">
        <is>
          <t>Shift 3</t>
        </is>
      </c>
      <c r="G1273" s="27" t="n"/>
    </row>
    <row r="1274">
      <c r="A1274" s="27" t="inlineStr">
        <is>
          <t>MK00145</t>
        </is>
      </c>
      <c r="B1274" s="27" t="n">
        <v>528000283</v>
      </c>
      <c r="C1274" s="27" t="inlineStr">
        <is>
          <t>Purwanda Sugiri</t>
        </is>
      </c>
      <c r="D1274" s="171" t="n">
        <v>46184.41666666666</v>
      </c>
      <c r="E1274" s="26" t="n">
        <v>0.2519097222222222</v>
      </c>
      <c r="F1274" s="27" t="inlineStr">
        <is>
          <t>Shift 3</t>
        </is>
      </c>
      <c r="G1274" s="27" t="n"/>
    </row>
    <row r="1275">
      <c r="A1275" s="27" t="inlineStr">
        <is>
          <t>MK00203</t>
        </is>
      </c>
      <c r="B1275" s="27" t="n">
        <v>528000306</v>
      </c>
      <c r="C1275" s="27" t="inlineStr">
        <is>
          <t>Windy Olivia</t>
        </is>
      </c>
      <c r="D1275" s="171" t="n">
        <v>46184.41666666666</v>
      </c>
      <c r="E1275" s="26" t="n">
        <v>0.2522916666666667</v>
      </c>
      <c r="F1275" s="27" t="inlineStr">
        <is>
          <t>Shift 3</t>
        </is>
      </c>
      <c r="G1275" s="27" t="n"/>
    </row>
    <row r="1276">
      <c r="A1276" s="27" t="inlineStr">
        <is>
          <t>MK00134</t>
        </is>
      </c>
      <c r="B1276" s="27" t="n">
        <v>528000291</v>
      </c>
      <c r="C1276" s="27" t="inlineStr">
        <is>
          <t>Andrian</t>
        </is>
      </c>
      <c r="D1276" s="171" t="n">
        <v>46184.41666666666</v>
      </c>
      <c r="E1276" s="26" t="n">
        <v>0.2523495370370371</v>
      </c>
      <c r="F1276" s="27" t="inlineStr">
        <is>
          <t>Shift 3</t>
        </is>
      </c>
      <c r="G1276" s="27" t="n"/>
    </row>
    <row r="1277">
      <c r="A1277" s="27" t="inlineStr">
        <is>
          <t>MK00126</t>
        </is>
      </c>
      <c r="B1277" s="27" t="n">
        <v>528000052</v>
      </c>
      <c r="C1277" s="27" t="inlineStr">
        <is>
          <t>Mustopa</t>
        </is>
      </c>
      <c r="D1277" s="171" t="n">
        <v>46184.41666666666</v>
      </c>
      <c r="E1277" s="26" t="n">
        <v>0.2524884259259259</v>
      </c>
      <c r="F1277" s="27" t="inlineStr">
        <is>
          <t>Shift 3</t>
        </is>
      </c>
      <c r="G1277" s="27" t="n"/>
    </row>
    <row r="1278">
      <c r="A1278" s="27" t="inlineStr">
        <is>
          <t>MK00202</t>
        </is>
      </c>
      <c r="B1278" s="27" t="n">
        <v>528000261</v>
      </c>
      <c r="C1278" s="27" t="inlineStr">
        <is>
          <t>Ergi Ergianto</t>
        </is>
      </c>
      <c r="D1278" s="171" t="n">
        <v>46184.41666666666</v>
      </c>
      <c r="E1278" s="26" t="n">
        <v>0.2524884259259259</v>
      </c>
      <c r="F1278" s="27" t="inlineStr">
        <is>
          <t>Shift 3</t>
        </is>
      </c>
      <c r="G1278" s="27" t="n"/>
    </row>
    <row r="1279">
      <c r="A1279" s="27" t="inlineStr">
        <is>
          <t>MK00108</t>
        </is>
      </c>
      <c r="B1279" s="27" t="n">
        <v>528000337</v>
      </c>
      <c r="C1279" s="27" t="inlineStr">
        <is>
          <t>Ahmad Zaldi Firdaus</t>
        </is>
      </c>
      <c r="D1279" s="171" t="n">
        <v>46184.41666666666</v>
      </c>
      <c r="E1279" s="26" t="n">
        <v>0.2569328703703704</v>
      </c>
      <c r="F1279" s="27" t="inlineStr">
        <is>
          <t>Shift 3</t>
        </is>
      </c>
      <c r="G1279" s="27" t="n"/>
    </row>
    <row r="1280">
      <c r="A1280" s="27" t="inlineStr">
        <is>
          <t>MK00204</t>
        </is>
      </c>
      <c r="B1280" s="27" t="n">
        <v>528000266</v>
      </c>
      <c r="C1280" s="27" t="inlineStr">
        <is>
          <t>M. Syirajatieq</t>
        </is>
      </c>
      <c r="D1280" s="171" t="n">
        <v>46184.41666666666</v>
      </c>
      <c r="E1280" s="26" t="n">
        <v>0.2737152777777778</v>
      </c>
      <c r="F1280" s="27" t="inlineStr">
        <is>
          <t>Shift 3</t>
        </is>
      </c>
      <c r="G1280" s="27" t="n"/>
    </row>
    <row r="1281">
      <c r="A1281" s="27" t="inlineStr">
        <is>
          <t>MK00192</t>
        </is>
      </c>
      <c r="B1281" s="27" t="n">
        <v>528000332</v>
      </c>
      <c r="C1281" s="27" t="inlineStr">
        <is>
          <t>Ena Indriani</t>
        </is>
      </c>
      <c r="D1281" s="171" t="n">
        <v>46184.41666666666</v>
      </c>
      <c r="E1281" s="26" t="n">
        <v>0.5713888888888888</v>
      </c>
      <c r="F1281" s="27" t="inlineStr">
        <is>
          <t>Shift 1</t>
        </is>
      </c>
      <c r="G1281" s="27" t="n"/>
    </row>
    <row r="1282">
      <c r="A1282" s="27" t="inlineStr">
        <is>
          <t>MK00121</t>
        </is>
      </c>
      <c r="B1282" s="27" t="n">
        <v>528000305</v>
      </c>
      <c r="C1282" s="27" t="inlineStr">
        <is>
          <t>Puji Puspita</t>
        </is>
      </c>
      <c r="D1282" s="171" t="n">
        <v>46184.41666666666</v>
      </c>
      <c r="E1282" s="26" t="n">
        <v>0.5845486111111111</v>
      </c>
      <c r="F1282" s="27" t="inlineStr">
        <is>
          <t>Shift 1</t>
        </is>
      </c>
      <c r="G1282" s="27" t="n"/>
    </row>
    <row r="1283">
      <c r="A1283" s="27" t="inlineStr">
        <is>
          <t>MK00138</t>
        </is>
      </c>
      <c r="B1283" s="27" t="n">
        <v>528000313</v>
      </c>
      <c r="C1283" s="27" t="inlineStr">
        <is>
          <t>Muhamad Rifki</t>
        </is>
      </c>
      <c r="D1283" s="171" t="n">
        <v>46184.41666666666</v>
      </c>
      <c r="E1283" s="26" t="n">
        <v>0.5856828703703704</v>
      </c>
      <c r="F1283" s="27" t="inlineStr">
        <is>
          <t>Shift 1</t>
        </is>
      </c>
      <c r="G1283" s="27" t="n"/>
    </row>
    <row r="1284">
      <c r="A1284" s="27" t="inlineStr">
        <is>
          <t>MK00212</t>
        </is>
      </c>
      <c r="B1284" s="27" t="n">
        <v>528000298</v>
      </c>
      <c r="C1284" s="27" t="inlineStr">
        <is>
          <t>Desta Cahaya Pratama</t>
        </is>
      </c>
      <c r="D1284" s="171" t="n">
        <v>46184.41666666666</v>
      </c>
      <c r="E1284" s="26" t="n">
        <v>0.5859143518518518</v>
      </c>
      <c r="F1284" s="27" t="inlineStr">
        <is>
          <t>Shift 1</t>
        </is>
      </c>
      <c r="G1284" s="27" t="n"/>
    </row>
    <row r="1285">
      <c r="A1285" s="27" t="inlineStr">
        <is>
          <t>MK00158</t>
        </is>
      </c>
      <c r="B1285" s="27" t="n">
        <v>528000302</v>
      </c>
      <c r="C1285" s="27" t="inlineStr">
        <is>
          <t>Henkey gumilar</t>
        </is>
      </c>
      <c r="D1285" s="171" t="n">
        <v>46184.41666666666</v>
      </c>
      <c r="E1285" s="26" t="n">
        <v>0.5876967592592592</v>
      </c>
      <c r="F1285" s="27" t="inlineStr">
        <is>
          <t>Shift 1</t>
        </is>
      </c>
      <c r="G1285" s="27" t="n"/>
    </row>
    <row r="1286">
      <c r="A1286" s="27" t="inlineStr">
        <is>
          <t>MK00154</t>
        </is>
      </c>
      <c r="B1286" s="27" t="n">
        <v>528000299</v>
      </c>
      <c r="C1286" s="27" t="inlineStr">
        <is>
          <t>Siti Nurjanah</t>
        </is>
      </c>
      <c r="D1286" s="171" t="n">
        <v>46184.41666666666</v>
      </c>
      <c r="E1286" s="26" t="n">
        <v>0.5877314814814815</v>
      </c>
      <c r="F1286" s="27" t="inlineStr">
        <is>
          <t>Shift 1</t>
        </is>
      </c>
      <c r="G1286" s="27" t="n"/>
    </row>
    <row r="1287">
      <c r="A1287" s="27" t="inlineStr">
        <is>
          <t>MK00208</t>
        </is>
      </c>
      <c r="B1287" s="27" t="n">
        <v>528000309</v>
      </c>
      <c r="C1287" s="27" t="inlineStr">
        <is>
          <t>Ilham Ramadhan</t>
        </is>
      </c>
      <c r="D1287" s="171" t="n">
        <v>46184.41666666666</v>
      </c>
      <c r="E1287" s="26" t="n">
        <v>0.5881712962962963</v>
      </c>
      <c r="F1287" s="27" t="inlineStr">
        <is>
          <t>Shift 1</t>
        </is>
      </c>
      <c r="G1287" s="27" t="n"/>
    </row>
    <row r="1288">
      <c r="A1288" s="27" t="inlineStr">
        <is>
          <t>MK00141</t>
        </is>
      </c>
      <c r="B1288" s="27" t="n">
        <v>528000361</v>
      </c>
      <c r="C1288" s="27" t="inlineStr">
        <is>
          <t>Denada Munggarani</t>
        </is>
      </c>
      <c r="D1288" s="171" t="n">
        <v>46184.41666666666</v>
      </c>
      <c r="E1288" s="26" t="n">
        <v>0.5883101851851852</v>
      </c>
      <c r="F1288" s="27" t="inlineStr">
        <is>
          <t>Shift 1</t>
        </is>
      </c>
      <c r="G1288" s="27" t="n"/>
    </row>
    <row r="1289">
      <c r="A1289" s="27" t="inlineStr">
        <is>
          <t>MK00249</t>
        </is>
      </c>
      <c r="B1289" s="27" t="n">
        <v>528000340</v>
      </c>
      <c r="C1289" s="27" t="inlineStr">
        <is>
          <t>Muhammad Wildan Adithya</t>
        </is>
      </c>
      <c r="D1289" s="171" t="n">
        <v>46184.41666666666</v>
      </c>
      <c r="E1289" s="26" t="n">
        <v>0.5906597222222222</v>
      </c>
      <c r="F1289" s="27" t="inlineStr">
        <is>
          <t>Shift 1</t>
        </is>
      </c>
      <c r="G1289" s="27" t="n"/>
    </row>
    <row r="1290">
      <c r="A1290" s="27" t="inlineStr">
        <is>
          <t>MK00203</t>
        </is>
      </c>
      <c r="B1290" s="27" t="n">
        <v>528000274</v>
      </c>
      <c r="C1290" s="27" t="inlineStr">
        <is>
          <t>Zepri</t>
        </is>
      </c>
      <c r="D1290" s="171" t="n">
        <v>46184.41666666666</v>
      </c>
      <c r="E1290" s="26" t="n">
        <v>0.9171875</v>
      </c>
      <c r="F1290" s="27" t="inlineStr">
        <is>
          <t>Shift 2</t>
        </is>
      </c>
      <c r="G1290" s="27" t="n"/>
    </row>
    <row r="1291">
      <c r="A1291" s="27" t="inlineStr">
        <is>
          <t>MK00109</t>
        </is>
      </c>
      <c r="B1291" s="27" t="n">
        <v>528000290</v>
      </c>
      <c r="C1291" s="27" t="inlineStr">
        <is>
          <t>Eval Pranata</t>
        </is>
      </c>
      <c r="D1291" s="171" t="n">
        <v>46184.41666666666</v>
      </c>
      <c r="E1291" s="26" t="n">
        <v>0.9176273148148149</v>
      </c>
      <c r="F1291" s="27" t="inlineStr">
        <is>
          <t>Shift 2</t>
        </is>
      </c>
      <c r="G1291" s="27" t="n"/>
    </row>
    <row r="1292">
      <c r="A1292" s="27" t="inlineStr">
        <is>
          <t>MK00108</t>
        </is>
      </c>
      <c r="B1292" s="27" t="n">
        <v>528000289</v>
      </c>
      <c r="C1292" s="27" t="inlineStr">
        <is>
          <t>Adit Supriyadi</t>
        </is>
      </c>
      <c r="D1292" s="171" t="n">
        <v>46184.41666666666</v>
      </c>
      <c r="E1292" s="26" t="n">
        <v>0.9177662037037037</v>
      </c>
      <c r="F1292" s="27" t="inlineStr">
        <is>
          <t>Shift 2</t>
        </is>
      </c>
      <c r="G1292" s="27" t="n"/>
    </row>
    <row r="1293">
      <c r="A1293" s="27" t="inlineStr">
        <is>
          <t>MK00202</t>
        </is>
      </c>
      <c r="B1293" s="27" t="n">
        <v>528000241</v>
      </c>
      <c r="C1293" s="27" t="inlineStr">
        <is>
          <t>Balia Nurafif Bilah</t>
        </is>
      </c>
      <c r="D1293" s="171" t="n">
        <v>46184.41666666666</v>
      </c>
      <c r="E1293" s="26" t="n">
        <v>0.9178472222222223</v>
      </c>
      <c r="F1293" s="27" t="inlineStr">
        <is>
          <t>Shift 2</t>
        </is>
      </c>
      <c r="G1293" s="27" t="n"/>
    </row>
    <row r="1294">
      <c r="A1294" s="27" t="inlineStr">
        <is>
          <t>MK00192</t>
        </is>
      </c>
      <c r="B1294" s="27" t="n">
        <v>528000359</v>
      </c>
      <c r="C1294" s="27" t="inlineStr">
        <is>
          <t>M. Iqbal Maulana. S</t>
        </is>
      </c>
      <c r="D1294" s="171" t="n">
        <v>46184.41666666666</v>
      </c>
      <c r="E1294" s="26" t="n">
        <v>0.918125</v>
      </c>
      <c r="F1294" s="27" t="inlineStr">
        <is>
          <t>Shift 2</t>
        </is>
      </c>
      <c r="G1294" s="27" t="inlineStr">
        <is>
          <t>3D</t>
        </is>
      </c>
    </row>
    <row r="1295">
      <c r="A1295" s="27" t="inlineStr">
        <is>
          <t>MK00160</t>
        </is>
      </c>
      <c r="B1295" s="27" t="n">
        <v>528000201</v>
      </c>
      <c r="C1295" s="27" t="inlineStr">
        <is>
          <t>Zahwa Amelia Choerunissa</t>
        </is>
      </c>
      <c r="D1295" s="171" t="n">
        <v>46184.41666666666</v>
      </c>
      <c r="E1295" s="26" t="n">
        <v>0.9191203703703704</v>
      </c>
      <c r="F1295" s="27" t="inlineStr">
        <is>
          <t>Shift 2</t>
        </is>
      </c>
      <c r="G1295" s="27" t="n"/>
    </row>
    <row r="1296">
      <c r="A1296" s="27" t="inlineStr">
        <is>
          <t>MK00090</t>
        </is>
      </c>
      <c r="B1296" s="27" t="n">
        <v>528000099</v>
      </c>
      <c r="C1296" s="27" t="inlineStr">
        <is>
          <t>Siti Nurawaliah</t>
        </is>
      </c>
      <c r="D1296" s="171" t="n">
        <v>46184.41666666666</v>
      </c>
      <c r="E1296" s="26" t="n">
        <v>0.9197453703703704</v>
      </c>
      <c r="F1296" s="27" t="inlineStr">
        <is>
          <t>Shift 2</t>
        </is>
      </c>
      <c r="G1296" s="27" t="n"/>
    </row>
    <row r="1297">
      <c r="A1297" s="27" t="inlineStr">
        <is>
          <t>MK00008</t>
        </is>
      </c>
      <c r="B1297" s="27" t="n">
        <v>528000286</v>
      </c>
      <c r="C1297" s="27" t="inlineStr">
        <is>
          <t>Imelda Amelia</t>
        </is>
      </c>
      <c r="D1297" s="171" t="n">
        <v>46184.41666666666</v>
      </c>
      <c r="E1297" s="26" t="n">
        <v>0.9215046296296296</v>
      </c>
      <c r="F1297" s="27" t="inlineStr">
        <is>
          <t>Shift 2</t>
        </is>
      </c>
      <c r="G1297" s="27" t="n"/>
    </row>
    <row r="1298">
      <c r="A1298" s="27" t="inlineStr">
        <is>
          <t>MK00145</t>
        </is>
      </c>
      <c r="B1298" s="27" t="n">
        <v>528000332</v>
      </c>
      <c r="C1298" s="27" t="inlineStr">
        <is>
          <t>Ena Indriani</t>
        </is>
      </c>
      <c r="D1298" s="171" t="n">
        <v>46184.41666666666</v>
      </c>
      <c r="E1298" s="26" t="n">
        <v>0.9225462962962963</v>
      </c>
      <c r="F1298" s="27" t="inlineStr">
        <is>
          <t>Shift 2</t>
        </is>
      </c>
      <c r="G1298" s="27" t="n"/>
    </row>
    <row r="1299">
      <c r="A1299" s="27" t="inlineStr">
        <is>
          <t>MK00136</t>
        </is>
      </c>
      <c r="B1299" s="27" t="n">
        <v>528000244</v>
      </c>
      <c r="C1299" s="27" t="inlineStr">
        <is>
          <t>Rodian Rifai</t>
        </is>
      </c>
      <c r="D1299" s="171" t="n">
        <v>46184.41666666666</v>
      </c>
      <c r="E1299" s="26" t="n">
        <v>0.9292824074074074</v>
      </c>
      <c r="F1299" s="27" t="inlineStr">
        <is>
          <t>Shift 2</t>
        </is>
      </c>
      <c r="G1299" s="27" t="n"/>
    </row>
    <row r="1300">
      <c r="A1300" s="27" t="inlineStr">
        <is>
          <t>MK00116</t>
        </is>
      </c>
      <c r="B1300" s="27" t="n">
        <v>528000212</v>
      </c>
      <c r="C1300" s="27" t="inlineStr">
        <is>
          <t>Rizal Fauzi</t>
        </is>
      </c>
      <c r="D1300" s="171" t="n">
        <v>46184.41666666666</v>
      </c>
      <c r="E1300" s="26" t="n">
        <v>0.9440277777777778</v>
      </c>
      <c r="F1300" s="27" t="inlineStr">
        <is>
          <t>Shift 2</t>
        </is>
      </c>
      <c r="G1300" s="27" t="n"/>
    </row>
    <row r="1301">
      <c r="A1301" s="27" t="inlineStr">
        <is>
          <t>MK00095</t>
        </is>
      </c>
      <c r="B1301" s="27" t="n">
        <v>528000288</v>
      </c>
      <c r="C1301" s="27" t="inlineStr">
        <is>
          <t>Dede gunawan</t>
        </is>
      </c>
      <c r="D1301" s="171" t="n">
        <v>46215.41666666666</v>
      </c>
      <c r="E1301" s="26" t="n">
        <v>0.2438657407407407</v>
      </c>
      <c r="F1301" s="27" t="inlineStr">
        <is>
          <t>Shift 3</t>
        </is>
      </c>
      <c r="G1301" s="27" t="n"/>
    </row>
    <row r="1302">
      <c r="A1302" s="27" t="inlineStr">
        <is>
          <t>MK00160</t>
        </is>
      </c>
      <c r="B1302" s="27" t="n">
        <v>528000361</v>
      </c>
      <c r="C1302" s="27" t="inlineStr">
        <is>
          <t>Denada Munggarani</t>
        </is>
      </c>
      <c r="D1302" s="171" t="n">
        <v>46215.41666666666</v>
      </c>
      <c r="E1302" s="26" t="n">
        <v>0.2488888888888889</v>
      </c>
      <c r="F1302" s="27" t="inlineStr">
        <is>
          <t>Shift 3</t>
        </is>
      </c>
      <c r="G1302" s="27" t="n"/>
    </row>
    <row r="1303">
      <c r="A1303" s="27" t="inlineStr">
        <is>
          <t>MK00138</t>
        </is>
      </c>
      <c r="B1303" s="27" t="n">
        <v>528000306</v>
      </c>
      <c r="C1303" s="27" t="inlineStr">
        <is>
          <t>Windy Olivia</t>
        </is>
      </c>
      <c r="D1303" s="171" t="n">
        <v>46215.41666666666</v>
      </c>
      <c r="E1303" s="26" t="n">
        <v>0.2510185185185185</v>
      </c>
      <c r="F1303" s="27" t="inlineStr">
        <is>
          <t>Shift 3</t>
        </is>
      </c>
      <c r="G1303" s="27" t="n"/>
    </row>
    <row r="1304">
      <c r="A1304" s="27" t="inlineStr">
        <is>
          <t>MK00154</t>
        </is>
      </c>
      <c r="B1304" s="27" t="n">
        <v>528000283</v>
      </c>
      <c r="C1304" s="27" t="inlineStr">
        <is>
          <t>Purwanda Sugiri</t>
        </is>
      </c>
      <c r="D1304" s="171" t="n">
        <v>46215.41666666666</v>
      </c>
      <c r="E1304" s="26" t="n">
        <v>0.2516203703703704</v>
      </c>
      <c r="F1304" s="27" t="inlineStr">
        <is>
          <t>Shift 3</t>
        </is>
      </c>
      <c r="G1304" s="27" t="n"/>
    </row>
    <row r="1305">
      <c r="A1305" s="27" t="inlineStr">
        <is>
          <t>MK00112</t>
        </is>
      </c>
      <c r="B1305" s="27" t="n">
        <v>528000261</v>
      </c>
      <c r="C1305" s="27" t="inlineStr">
        <is>
          <t>Ergi Ergianto</t>
        </is>
      </c>
      <c r="D1305" s="171" t="n">
        <v>46215.41666666666</v>
      </c>
      <c r="E1305" s="26" t="n">
        <v>0.2520023148148148</v>
      </c>
      <c r="F1305" s="27" t="inlineStr">
        <is>
          <t>Shift 3</t>
        </is>
      </c>
      <c r="G1305" s="27" t="n"/>
    </row>
    <row r="1306">
      <c r="A1306" s="27" t="inlineStr">
        <is>
          <t>MK00212</t>
        </is>
      </c>
      <c r="B1306" s="27" t="n">
        <v>528000291</v>
      </c>
      <c r="C1306" s="27" t="inlineStr">
        <is>
          <t>Andrian</t>
        </is>
      </c>
      <c r="D1306" s="171" t="n">
        <v>46215.41666666666</v>
      </c>
      <c r="E1306" s="26" t="n">
        <v>0.2520486111111111</v>
      </c>
      <c r="F1306" s="27" t="inlineStr">
        <is>
          <t>Shift 3</t>
        </is>
      </c>
      <c r="G1306" s="27" t="n"/>
    </row>
    <row r="1307">
      <c r="A1307" s="27" t="inlineStr">
        <is>
          <t>MK00148</t>
        </is>
      </c>
      <c r="B1307" s="27" t="n">
        <v>528000052</v>
      </c>
      <c r="C1307" s="27" t="inlineStr">
        <is>
          <t>Mustopa</t>
        </is>
      </c>
      <c r="D1307" s="171" t="n">
        <v>46215.41666666666</v>
      </c>
      <c r="E1307" s="26" t="n">
        <v>0.2521875</v>
      </c>
      <c r="F1307" s="27" t="inlineStr">
        <is>
          <t>Shift 3</t>
        </is>
      </c>
      <c r="G1307" s="27" t="n"/>
    </row>
    <row r="1308">
      <c r="A1308" s="27" t="inlineStr">
        <is>
          <t>MK00141</t>
        </is>
      </c>
      <c r="B1308" s="27" t="n">
        <v>528000323</v>
      </c>
      <c r="C1308" s="27" t="inlineStr">
        <is>
          <t>Dian Hamidah</t>
        </is>
      </c>
      <c r="D1308" s="171" t="n">
        <v>46215.41666666666</v>
      </c>
      <c r="E1308" s="26" t="n">
        <v>0.2540393518518518</v>
      </c>
      <c r="F1308" s="27" t="inlineStr">
        <is>
          <t>Shift 3</t>
        </is>
      </c>
      <c r="G1308" s="27" t="n"/>
    </row>
    <row r="1309">
      <c r="A1309" s="27" t="inlineStr">
        <is>
          <t>MK00213</t>
        </is>
      </c>
      <c r="B1309" s="27" t="n">
        <v>528000337</v>
      </c>
      <c r="C1309" s="27" t="inlineStr">
        <is>
          <t>Ahmad Zaldi Firdaus</t>
        </is>
      </c>
      <c r="D1309" s="171" t="n">
        <v>46215.41666666666</v>
      </c>
      <c r="E1309" s="26" t="n">
        <v>0.2561921296296296</v>
      </c>
      <c r="F1309" s="27" t="inlineStr">
        <is>
          <t>Shift 3</t>
        </is>
      </c>
      <c r="G1309" s="27" t="n"/>
    </row>
    <row r="1310">
      <c r="A1310" s="27" t="inlineStr">
        <is>
          <t>MK00134</t>
        </is>
      </c>
      <c r="B1310" s="27" t="n">
        <v>528000266</v>
      </c>
      <c r="C1310" s="27" t="inlineStr">
        <is>
          <t>M. Syirajatieq</t>
        </is>
      </c>
      <c r="D1310" s="171" t="n">
        <v>46215.41666666666</v>
      </c>
      <c r="E1310" s="26" t="n">
        <v>0.2625578703703704</v>
      </c>
      <c r="F1310" s="27" t="inlineStr">
        <is>
          <t>Shift 3</t>
        </is>
      </c>
      <c r="G1310" s="27" t="n"/>
    </row>
    <row r="1311">
      <c r="A1311" s="27" t="inlineStr">
        <is>
          <t>MK0050</t>
        </is>
      </c>
      <c r="B1311" s="27" t="n">
        <v>528000351</v>
      </c>
      <c r="C1311" s="27" t="inlineStr">
        <is>
          <t>Mulyana</t>
        </is>
      </c>
      <c r="D1311" s="171" t="n">
        <v>46215.41666666666</v>
      </c>
      <c r="E1311" s="26" t="n">
        <v>0.3288425925925926</v>
      </c>
      <c r="F1311" s="27" t="inlineStr">
        <is>
          <t>Shift 3</t>
        </is>
      </c>
      <c r="G1311" s="27" t="n"/>
    </row>
    <row r="1312">
      <c r="A1312" s="27" t="inlineStr">
        <is>
          <t>MK00046</t>
        </is>
      </c>
      <c r="B1312" s="27" t="n">
        <v>528000335</v>
      </c>
      <c r="C1312" s="27" t="inlineStr">
        <is>
          <t>Rizal Saepuloh</t>
        </is>
      </c>
      <c r="D1312" s="171" t="n">
        <v>46215.41666666666</v>
      </c>
      <c r="E1312" s="26" t="n">
        <v>0.3291087962962963</v>
      </c>
      <c r="F1312" s="27" t="inlineStr">
        <is>
          <t>Shift 3</t>
        </is>
      </c>
      <c r="G1312" s="27" t="n"/>
    </row>
    <row r="1313">
      <c r="A1313" s="27" t="inlineStr">
        <is>
          <t>MK00214</t>
        </is>
      </c>
      <c r="B1313" s="27" t="n">
        <v>528000015</v>
      </c>
      <c r="C1313" s="27" t="inlineStr">
        <is>
          <t>Erwin</t>
        </is>
      </c>
      <c r="D1313" s="171" t="n">
        <v>46215.41666666666</v>
      </c>
      <c r="E1313" s="26" t="n">
        <v>0.3291898148148148</v>
      </c>
      <c r="F1313" s="27" t="inlineStr">
        <is>
          <t>Shift 3</t>
        </is>
      </c>
      <c r="G1313" s="27" t="n"/>
    </row>
    <row r="1314">
      <c r="A1314" s="27" t="inlineStr">
        <is>
          <t>MK00221</t>
        </is>
      </c>
      <c r="B1314" s="27" t="n">
        <v>528000144</v>
      </c>
      <c r="C1314" s="27" t="inlineStr">
        <is>
          <t>Jodi Hanafi</t>
        </is>
      </c>
      <c r="D1314" s="171" t="n">
        <v>46215.41666666666</v>
      </c>
      <c r="E1314" s="26" t="n">
        <v>0.3318865740740741</v>
      </c>
      <c r="F1314" s="27" t="inlineStr">
        <is>
          <t>Shift 3</t>
        </is>
      </c>
      <c r="G1314" s="27" t="n"/>
    </row>
    <row r="1315">
      <c r="A1315" s="27" t="inlineStr">
        <is>
          <t>MK00210</t>
        </is>
      </c>
      <c r="B1315" s="27" t="n">
        <v>528000318</v>
      </c>
      <c r="C1315" s="27" t="inlineStr">
        <is>
          <t>Bayu Padli Sepriyana</t>
        </is>
      </c>
      <c r="D1315" s="171" t="n">
        <v>46215.41666666666</v>
      </c>
      <c r="E1315" s="26" t="n">
        <v>0.3702083333333333</v>
      </c>
      <c r="F1315" s="27" t="inlineStr">
        <is>
          <t>Shift 1</t>
        </is>
      </c>
      <c r="G1315" s="27" t="n"/>
    </row>
    <row r="1316">
      <c r="A1316" s="27" t="inlineStr">
        <is>
          <t>MK00230</t>
        </is>
      </c>
      <c r="B1316" s="27" t="n">
        <v>528000090</v>
      </c>
      <c r="C1316" s="27" t="inlineStr">
        <is>
          <t>Suganda</t>
        </is>
      </c>
      <c r="D1316" s="171" t="n">
        <v>46215.41666666666</v>
      </c>
      <c r="E1316" s="26" t="n">
        <v>0.5837847222222222</v>
      </c>
      <c r="F1316" s="27" t="inlineStr">
        <is>
          <t>Shift 1</t>
        </is>
      </c>
      <c r="G1316" s="27" t="n"/>
    </row>
    <row r="1317">
      <c r="A1317" s="27" t="inlineStr">
        <is>
          <t>MK00192</t>
        </is>
      </c>
      <c r="B1317" s="27" t="n">
        <v>528000063</v>
      </c>
      <c r="C1317" s="27" t="inlineStr">
        <is>
          <t>Muhamad Ripki Pebrian</t>
        </is>
      </c>
      <c r="D1317" s="171" t="n">
        <v>46215.41666666666</v>
      </c>
      <c r="E1317" s="26" t="n">
        <v>0.5858449074074074</v>
      </c>
      <c r="F1317" s="27" t="inlineStr">
        <is>
          <t>Shift 1</t>
        </is>
      </c>
      <c r="G1317" s="27" t="n"/>
    </row>
    <row r="1318">
      <c r="A1318" s="27" t="inlineStr">
        <is>
          <t>MK00008</t>
        </is>
      </c>
      <c r="B1318" s="27" t="n">
        <v>528000248</v>
      </c>
      <c r="C1318" s="27" t="inlineStr">
        <is>
          <t>Roka Jaya Salka Mulya</t>
        </is>
      </c>
      <c r="D1318" s="171" t="n">
        <v>46215.41666666666</v>
      </c>
      <c r="E1318" s="26" t="n">
        <v>0.5861921296296296</v>
      </c>
      <c r="F1318" s="27" t="inlineStr">
        <is>
          <t>Shift 1</t>
        </is>
      </c>
      <c r="G1318" s="27" t="n"/>
    </row>
    <row r="1319">
      <c r="A1319" s="27" t="inlineStr">
        <is>
          <t>MK00108</t>
        </is>
      </c>
      <c r="B1319" s="27" t="n">
        <v>628000064</v>
      </c>
      <c r="C1319" s="27" t="inlineStr">
        <is>
          <t>Silva Alypia</t>
        </is>
      </c>
      <c r="D1319" s="171" t="n">
        <v>46215.41666666666</v>
      </c>
      <c r="E1319" s="26" t="n">
        <v>0.5870717592592593</v>
      </c>
      <c r="F1319" s="27" t="inlineStr">
        <is>
          <t>Shift 1</t>
        </is>
      </c>
      <c r="G1319" s="27" t="n"/>
    </row>
    <row r="1320">
      <c r="A1320" s="27" t="inlineStr">
        <is>
          <t>MK00090</t>
        </is>
      </c>
      <c r="B1320" s="27" t="n">
        <v>528000359</v>
      </c>
      <c r="C1320" s="27" t="inlineStr">
        <is>
          <t>M. Iqbal Maulana. S</t>
        </is>
      </c>
      <c r="D1320" s="171" t="n">
        <v>46215.41666666666</v>
      </c>
      <c r="E1320" s="26" t="n">
        <v>0.5871527777777777</v>
      </c>
      <c r="F1320" s="27" t="inlineStr">
        <is>
          <t>Shift 1</t>
        </is>
      </c>
      <c r="G1320" s="27" t="n"/>
    </row>
    <row r="1321">
      <c r="A1321" s="27" t="inlineStr">
        <is>
          <t>MK00202</t>
        </is>
      </c>
      <c r="B1321" s="27" t="n">
        <v>528000279</v>
      </c>
      <c r="C1321" s="27" t="inlineStr">
        <is>
          <t>Mahdalena Dalfa Riani</t>
        </is>
      </c>
      <c r="D1321" s="171" t="n">
        <v>46215.41666666666</v>
      </c>
      <c r="E1321" s="26" t="n">
        <v>0.5877314814814815</v>
      </c>
      <c r="F1321" s="27" t="inlineStr">
        <is>
          <t>Shift 1</t>
        </is>
      </c>
      <c r="G1321" s="27" t="n"/>
    </row>
    <row r="1322">
      <c r="A1322" s="27" t="inlineStr">
        <is>
          <t>MK00150</t>
        </is>
      </c>
      <c r="B1322" s="27" t="n">
        <v>528000300</v>
      </c>
      <c r="C1322" s="27" t="inlineStr">
        <is>
          <t>Lia pitaloka</t>
        </is>
      </c>
      <c r="D1322" s="171" t="n">
        <v>46215.41666666666</v>
      </c>
      <c r="E1322" s="26" t="n">
        <v>0.5995717592592592</v>
      </c>
      <c r="F1322" s="27" t="inlineStr">
        <is>
          <t>Shift 1</t>
        </is>
      </c>
      <c r="G1322" s="27" t="n"/>
    </row>
    <row r="1323">
      <c r="A1323" s="27" t="inlineStr">
        <is>
          <t>MK0130</t>
        </is>
      </c>
      <c r="B1323" s="27" t="n">
        <v>528000149</v>
      </c>
      <c r="C1323" s="27" t="inlineStr">
        <is>
          <t>Tio Fernanda</t>
        </is>
      </c>
      <c r="D1323" s="171" t="n">
        <v>46215.41666666666</v>
      </c>
      <c r="E1323" s="26" t="n">
        <v>0.654537037037037</v>
      </c>
      <c r="F1323" s="27" t="inlineStr">
        <is>
          <t>Shift 1</t>
        </is>
      </c>
      <c r="G1323" s="27" t="n"/>
    </row>
    <row r="1324">
      <c r="A1324" s="27" t="inlineStr">
        <is>
          <t>MK00181</t>
        </is>
      </c>
      <c r="B1324" s="27" t="n">
        <v>528000351</v>
      </c>
      <c r="C1324" s="27" t="inlineStr">
        <is>
          <t>Mulyana</t>
        </is>
      </c>
      <c r="D1324" s="171" t="n">
        <v>46215.41666666666</v>
      </c>
      <c r="E1324" s="26" t="n">
        <v>0.6669328703703704</v>
      </c>
      <c r="F1324" s="27" t="inlineStr">
        <is>
          <t>Shift 2</t>
        </is>
      </c>
      <c r="G1324" s="27" t="n"/>
    </row>
    <row r="1325">
      <c r="A1325" s="27" t="inlineStr">
        <is>
          <t>MK00093</t>
        </is>
      </c>
      <c r="B1325" s="27" t="n">
        <v>528000265</v>
      </c>
      <c r="C1325" s="27" t="inlineStr">
        <is>
          <t>Muhammad Haerul Rozikin</t>
        </is>
      </c>
      <c r="D1325" s="171" t="n">
        <v>46215.41666666666</v>
      </c>
      <c r="E1325" s="26" t="n">
        <v>0.6693865740740741</v>
      </c>
      <c r="F1325" s="27" t="inlineStr">
        <is>
          <t>Shift 2</t>
        </is>
      </c>
      <c r="G1325" s="27" t="n"/>
    </row>
    <row r="1326">
      <c r="A1326" s="27" t="inlineStr">
        <is>
          <t>MK00085</t>
        </is>
      </c>
      <c r="B1326" s="27" t="n">
        <v>528000310</v>
      </c>
      <c r="C1326" s="27" t="inlineStr">
        <is>
          <t>Fachrul Rozzi Suryana</t>
        </is>
      </c>
      <c r="D1326" s="171" t="n">
        <v>46215.41666666666</v>
      </c>
      <c r="E1326" s="26" t="n">
        <v>0.6694675925925926</v>
      </c>
      <c r="F1326" s="27" t="inlineStr">
        <is>
          <t>Shift 2</t>
        </is>
      </c>
      <c r="G1326" s="27" t="inlineStr">
        <is>
          <t>32B</t>
        </is>
      </c>
    </row>
    <row r="1327">
      <c r="A1327" s="27" t="inlineStr">
        <is>
          <t>MK00125</t>
        </is>
      </c>
      <c r="B1327" s="27" t="n">
        <v>528000314</v>
      </c>
      <c r="C1327" s="27" t="inlineStr">
        <is>
          <t>Rusmana</t>
        </is>
      </c>
      <c r="D1327" s="171" t="n">
        <v>46215.41666666666</v>
      </c>
      <c r="E1327" s="26" t="n">
        <v>0.6710532407407407</v>
      </c>
      <c r="F1327" s="27" t="inlineStr">
        <is>
          <t>Shift 2</t>
        </is>
      </c>
      <c r="G1327" s="27" t="n"/>
    </row>
    <row r="1328">
      <c r="A1328" s="27" t="inlineStr">
        <is>
          <t>MK00145</t>
        </is>
      </c>
      <c r="B1328" s="27" t="n">
        <v>528000297</v>
      </c>
      <c r="C1328" s="27" t="inlineStr">
        <is>
          <t>Muhamad Budiana</t>
        </is>
      </c>
      <c r="D1328" s="171" t="n">
        <v>46215.41666666666</v>
      </c>
      <c r="E1328" s="26" t="n">
        <v>0.6711226851851851</v>
      </c>
      <c r="F1328" s="27" t="inlineStr">
        <is>
          <t>Shift 2</t>
        </is>
      </c>
      <c r="G1328" s="27" t="n"/>
    </row>
    <row r="1329">
      <c r="A1329" s="27" t="inlineStr">
        <is>
          <t>MK00088</t>
        </is>
      </c>
      <c r="B1329" s="27" t="n">
        <v>528000015</v>
      </c>
      <c r="C1329" s="27" t="inlineStr">
        <is>
          <t>Erwin</t>
        </is>
      </c>
      <c r="D1329" s="171" t="n">
        <v>46215.41666666666</v>
      </c>
      <c r="E1329" s="26" t="n">
        <v>0.6788310185185186</v>
      </c>
      <c r="F1329" s="27" t="inlineStr">
        <is>
          <t>Shift 2</t>
        </is>
      </c>
      <c r="G1329" s="27" t="n"/>
    </row>
    <row r="1330">
      <c r="A1330" s="27" t="inlineStr">
        <is>
          <t>MK00208</t>
        </is>
      </c>
      <c r="B1330" s="27" t="n">
        <v>528000282</v>
      </c>
      <c r="C1330" s="27" t="inlineStr">
        <is>
          <t>Defa Desfiana</t>
        </is>
      </c>
      <c r="D1330" s="171" t="n">
        <v>46215.41666666666</v>
      </c>
      <c r="E1330" s="26" t="n">
        <v>0.6801736111111111</v>
      </c>
      <c r="F1330" s="27" t="inlineStr">
        <is>
          <t>Shift 2</t>
        </is>
      </c>
      <c r="G1330" s="27" t="inlineStr">
        <is>
          <t>7b</t>
        </is>
      </c>
    </row>
    <row r="1331">
      <c r="A1331" s="27" t="inlineStr">
        <is>
          <t>MK00221</t>
        </is>
      </c>
      <c r="B1331" s="27" t="n">
        <v>528000144</v>
      </c>
      <c r="C1331" s="27" t="inlineStr">
        <is>
          <t>Jodi Hanafi</t>
        </is>
      </c>
      <c r="D1331" s="171" t="n">
        <v>46215.41666666666</v>
      </c>
      <c r="E1331" s="26" t="n">
        <v>0.6888888888888889</v>
      </c>
      <c r="F1331" s="27" t="inlineStr">
        <is>
          <t>Shift 2</t>
        </is>
      </c>
      <c r="G1331" s="27" t="n"/>
    </row>
    <row r="1332">
      <c r="A1332" s="27" t="inlineStr">
        <is>
          <t>MK00228</t>
        </is>
      </c>
      <c r="B1332" s="27" t="n">
        <v>528000132</v>
      </c>
      <c r="C1332" s="27" t="inlineStr">
        <is>
          <t>Giopani</t>
        </is>
      </c>
      <c r="D1332" s="171" t="n">
        <v>46215.41666666666</v>
      </c>
      <c r="E1332" s="26" t="n">
        <v>0.7085648148148148</v>
      </c>
      <c r="F1332" s="27" t="inlineStr">
        <is>
          <t>Shift 2</t>
        </is>
      </c>
      <c r="G1332" s="27" t="n"/>
    </row>
    <row r="1333">
      <c r="A1333" s="27" t="inlineStr">
        <is>
          <t>MK00210</t>
        </is>
      </c>
      <c r="B1333" s="27" t="n">
        <v>528000232</v>
      </c>
      <c r="C1333" s="27" t="inlineStr">
        <is>
          <t>Agung Aji Suhada</t>
        </is>
      </c>
      <c r="D1333" s="171" t="n">
        <v>46215.41666666666</v>
      </c>
      <c r="E1333" s="26" t="n">
        <v>0.7090625</v>
      </c>
      <c r="F1333" s="27" t="inlineStr">
        <is>
          <t>Shift 2</t>
        </is>
      </c>
      <c r="G1333" s="27" t="n"/>
    </row>
    <row r="1334">
      <c r="A1334" s="27" t="inlineStr">
        <is>
          <t>MK00212</t>
        </is>
      </c>
      <c r="B1334" s="27" t="n">
        <v>528000349</v>
      </c>
      <c r="C1334" s="27" t="inlineStr">
        <is>
          <t>Anas Abdul Fatah</t>
        </is>
      </c>
      <c r="D1334" s="171" t="n">
        <v>46215.41666666666</v>
      </c>
      <c r="E1334" s="26" t="n">
        <v>0.7583101851851852</v>
      </c>
      <c r="F1334" s="27" t="inlineStr">
        <is>
          <t>Shift 2</t>
        </is>
      </c>
      <c r="G1334" s="27" t="n"/>
    </row>
    <row r="1335">
      <c r="A1335" s="27" t="inlineStr">
        <is>
          <t>MK00205</t>
        </is>
      </c>
      <c r="B1335" s="27" t="n">
        <v>528000348</v>
      </c>
      <c r="C1335" s="27" t="inlineStr">
        <is>
          <t>Saepuloh Ardiansah</t>
        </is>
      </c>
      <c r="D1335" s="171" t="n">
        <v>46215.41666666666</v>
      </c>
      <c r="E1335" s="26" t="n">
        <v>0.7623958333333334</v>
      </c>
      <c r="F1335" s="27" t="inlineStr">
        <is>
          <t>Shift 2</t>
        </is>
      </c>
      <c r="G1335" s="27" t="n"/>
    </row>
    <row r="1336">
      <c r="A1336" s="27" t="inlineStr">
        <is>
          <t>MK00109</t>
        </is>
      </c>
      <c r="B1336" s="27" t="n">
        <v>528000324</v>
      </c>
      <c r="C1336" s="27" t="inlineStr">
        <is>
          <t>Sri Yanti</t>
        </is>
      </c>
      <c r="D1336" s="171" t="n">
        <v>46215.41666666666</v>
      </c>
      <c r="E1336" s="26" t="n">
        <v>0.918125</v>
      </c>
      <c r="F1336" s="27" t="inlineStr">
        <is>
          <t>Shift 2</t>
        </is>
      </c>
      <c r="G1336" s="27" t="n"/>
    </row>
    <row r="1337">
      <c r="A1337" s="27" t="inlineStr">
        <is>
          <t>MK00250</t>
        </is>
      </c>
      <c r="B1337" s="27" t="n">
        <v>528000290</v>
      </c>
      <c r="C1337" s="27" t="inlineStr">
        <is>
          <t>Eval Pranata</t>
        </is>
      </c>
      <c r="D1337" s="171" t="n">
        <v>46215.41666666666</v>
      </c>
      <c r="E1337" s="26" t="n">
        <v>0.9188310185185186</v>
      </c>
      <c r="F1337" s="27" t="inlineStr">
        <is>
          <t>Shift 2</t>
        </is>
      </c>
      <c r="G1337" s="27" t="n"/>
    </row>
    <row r="1338">
      <c r="A1338" s="27" t="inlineStr">
        <is>
          <t>MK00095</t>
        </is>
      </c>
      <c r="B1338" s="27" t="n">
        <v>528000274</v>
      </c>
      <c r="C1338" s="27" t="inlineStr">
        <is>
          <t>Zepri</t>
        </is>
      </c>
      <c r="D1338" s="171" t="n">
        <v>46215.41666666666</v>
      </c>
      <c r="E1338" s="26" t="n">
        <v>0.9190972222222222</v>
      </c>
      <c r="F1338" s="27" t="inlineStr">
        <is>
          <t>Shift 2</t>
        </is>
      </c>
      <c r="G1338" s="27" t="n"/>
    </row>
    <row r="1339">
      <c r="A1339" s="27" t="inlineStr">
        <is>
          <t>MK0082</t>
        </is>
      </c>
      <c r="B1339" s="27" t="n">
        <v>528000241</v>
      </c>
      <c r="C1339" s="27" t="inlineStr">
        <is>
          <t>Balia Nurafif Bilah</t>
        </is>
      </c>
      <c r="D1339" s="171" t="n">
        <v>46215.41666666666</v>
      </c>
      <c r="E1339" s="26" t="n">
        <v>0.9193981481481481</v>
      </c>
      <c r="F1339" s="27" t="inlineStr">
        <is>
          <t>Shift 2</t>
        </is>
      </c>
      <c r="G1339" s="27" t="n"/>
    </row>
    <row r="1340">
      <c r="A1340" s="27" t="inlineStr">
        <is>
          <t>MK00141</t>
        </is>
      </c>
      <c r="B1340" s="27" t="n">
        <v>528000286</v>
      </c>
      <c r="C1340" s="27" t="inlineStr">
        <is>
          <t>Imelda Amelia</t>
        </is>
      </c>
      <c r="D1340" s="171" t="n">
        <v>46215.41666666666</v>
      </c>
      <c r="E1340" s="26" t="n">
        <v>0.9202662037037037</v>
      </c>
      <c r="F1340" s="27" t="inlineStr">
        <is>
          <t>Shift 2</t>
        </is>
      </c>
      <c r="G1340" s="27" t="n"/>
    </row>
    <row r="1341">
      <c r="A1341" s="27" t="inlineStr">
        <is>
          <t>MK00113</t>
        </is>
      </c>
      <c r="B1341" s="27" t="n">
        <v>528000201</v>
      </c>
      <c r="C1341" s="27" t="inlineStr">
        <is>
          <t>Zahwa Amelia Choerunissa</t>
        </is>
      </c>
      <c r="D1341" s="171" t="n">
        <v>46215.41666666666</v>
      </c>
      <c r="E1341" s="26" t="n">
        <v>0.9204050925925926</v>
      </c>
      <c r="F1341" s="27" t="inlineStr">
        <is>
          <t>Shift 2</t>
        </is>
      </c>
      <c r="G1341" s="27" t="n"/>
    </row>
    <row r="1342">
      <c r="A1342" s="27" t="inlineStr">
        <is>
          <t>MK00138</t>
        </is>
      </c>
      <c r="B1342" s="27" t="n">
        <v>528000099</v>
      </c>
      <c r="C1342" s="27" t="inlineStr">
        <is>
          <t>Siti Nurawaliah</t>
        </is>
      </c>
      <c r="D1342" s="171" t="n">
        <v>46215.41666666666</v>
      </c>
      <c r="E1342" s="26" t="n">
        <v>0.9208101851851852</v>
      </c>
      <c r="F1342" s="27" t="inlineStr">
        <is>
          <t>Shift 2</t>
        </is>
      </c>
      <c r="G1342" s="27" t="n"/>
    </row>
    <row r="1343">
      <c r="A1343" s="27" t="inlineStr">
        <is>
          <t>MK00160</t>
        </is>
      </c>
      <c r="B1343" s="27" t="n">
        <v>528000069</v>
      </c>
      <c r="C1343" s="27" t="inlineStr">
        <is>
          <t>Jajang Ardiansyah</t>
        </is>
      </c>
      <c r="D1343" s="171" t="n">
        <v>46215.41666666666</v>
      </c>
      <c r="E1343" s="26" t="n">
        <v>0.9469907407407407</v>
      </c>
      <c r="F1343" s="27" t="inlineStr">
        <is>
          <t>Shift 2</t>
        </is>
      </c>
      <c r="G1343" s="27" t="n"/>
    </row>
    <row r="1344">
      <c r="A1344" s="27" t="inlineStr">
        <is>
          <t>MK00154</t>
        </is>
      </c>
      <c r="B1344" s="27" t="n">
        <v>528000244</v>
      </c>
      <c r="C1344" s="27" t="inlineStr">
        <is>
          <t>Rodian Rifai</t>
        </is>
      </c>
      <c r="D1344" s="171" t="n">
        <v>46215.41666666666</v>
      </c>
      <c r="E1344" s="26" t="n">
        <v>0.9540162037037037</v>
      </c>
      <c r="F1344" s="27" t="inlineStr">
        <is>
          <t>Shift 2</t>
        </is>
      </c>
      <c r="G1344" s="27" t="n"/>
    </row>
    <row r="1345">
      <c r="A1345" s="27" t="inlineStr">
        <is>
          <t>MK00212</t>
        </is>
      </c>
      <c r="B1345" s="27" t="n">
        <v>528000052</v>
      </c>
      <c r="C1345" s="27" t="inlineStr">
        <is>
          <t>Mustopa</t>
        </is>
      </c>
      <c r="D1345" s="171" t="n">
        <v>46216.41666666666</v>
      </c>
      <c r="E1345" s="26" t="n">
        <v>0.2515856481481482</v>
      </c>
      <c r="F1345" s="27" t="inlineStr">
        <is>
          <t>Shift 3</t>
        </is>
      </c>
      <c r="G1345" s="27" t="n"/>
    </row>
    <row r="1346">
      <c r="A1346" s="27" t="inlineStr">
        <is>
          <t>MK00150</t>
        </is>
      </c>
      <c r="B1346" s="27" t="n">
        <v>528000358</v>
      </c>
      <c r="C1346" s="27" t="inlineStr">
        <is>
          <t>Lulu Agustin</t>
        </is>
      </c>
      <c r="D1346" s="171" t="n">
        <v>46216.41666666666</v>
      </c>
      <c r="E1346" s="26" t="n">
        <v>0.2517708333333333</v>
      </c>
      <c r="F1346" s="27" t="inlineStr">
        <is>
          <t>Shift 3</t>
        </is>
      </c>
      <c r="G1346" s="27" t="n"/>
    </row>
    <row r="1347">
      <c r="A1347" s="27" t="inlineStr">
        <is>
          <t>MK00093</t>
        </is>
      </c>
      <c r="B1347" s="27" t="n">
        <v>528000291</v>
      </c>
      <c r="C1347" s="27" t="inlineStr">
        <is>
          <t>Andrian</t>
        </is>
      </c>
      <c r="D1347" s="171" t="n">
        <v>46216.41666666666</v>
      </c>
      <c r="E1347" s="26" t="n">
        <v>0.2518287037037037</v>
      </c>
      <c r="F1347" s="27" t="inlineStr">
        <is>
          <t>Shift 3</t>
        </is>
      </c>
      <c r="G1347" s="27" t="n"/>
    </row>
    <row r="1348">
      <c r="A1348" s="27" t="inlineStr">
        <is>
          <t>MK00145</t>
        </is>
      </c>
      <c r="B1348" s="27" t="n">
        <v>528000261</v>
      </c>
      <c r="C1348" s="27" t="inlineStr">
        <is>
          <t>Ergi Ergianto</t>
        </is>
      </c>
      <c r="D1348" s="171" t="n">
        <v>46216.41666666666</v>
      </c>
      <c r="E1348" s="26" t="n">
        <v>0.2518287037037037</v>
      </c>
      <c r="F1348" s="27" t="inlineStr">
        <is>
          <t>Shift 3</t>
        </is>
      </c>
      <c r="G1348" s="27" t="n"/>
    </row>
    <row r="1349">
      <c r="A1349" s="27" t="inlineStr">
        <is>
          <t>MK00156</t>
        </is>
      </c>
      <c r="B1349" s="27" t="n">
        <v>528000262</v>
      </c>
      <c r="C1349" s="27" t="inlineStr">
        <is>
          <t>Ndari Dwiwanti</t>
        </is>
      </c>
      <c r="D1349" s="171" t="n">
        <v>46216.41666666666</v>
      </c>
      <c r="E1349" s="26" t="n">
        <v>0.251875</v>
      </c>
      <c r="F1349" s="27" t="inlineStr">
        <is>
          <t>Shift 3</t>
        </is>
      </c>
      <c r="G1349" s="27" t="n"/>
    </row>
    <row r="1350">
      <c r="A1350" s="27" t="inlineStr">
        <is>
          <t>MK00085</t>
        </is>
      </c>
      <c r="B1350" s="27" t="n">
        <v>528000283</v>
      </c>
      <c r="C1350" s="27" t="inlineStr">
        <is>
          <t>Purwanda Sugiri</t>
        </is>
      </c>
      <c r="D1350" s="171" t="n">
        <v>46216.41666666666</v>
      </c>
      <c r="E1350" s="26" t="n">
        <v>0.252337962962963</v>
      </c>
      <c r="F1350" s="27" t="inlineStr">
        <is>
          <t>Shift 3</t>
        </is>
      </c>
      <c r="G1350" s="27" t="n"/>
    </row>
    <row r="1351">
      <c r="A1351" s="27" t="inlineStr">
        <is>
          <t>MK00202</t>
        </is>
      </c>
      <c r="B1351" s="27" t="n">
        <v>528000337</v>
      </c>
      <c r="C1351" s="27" t="inlineStr">
        <is>
          <t>Ahmad Zaldi Firdaus</t>
        </is>
      </c>
      <c r="D1351" s="171" t="n">
        <v>46216.41666666666</v>
      </c>
      <c r="E1351" s="26" t="n">
        <v>0.2559259259259259</v>
      </c>
      <c r="F1351" s="27" t="inlineStr">
        <is>
          <t>Shift 3</t>
        </is>
      </c>
      <c r="G1351" s="27" t="n"/>
    </row>
    <row r="1352">
      <c r="A1352" s="27" t="inlineStr">
        <is>
          <t>MK00088</t>
        </is>
      </c>
      <c r="B1352" s="27" t="n">
        <v>528000195</v>
      </c>
      <c r="C1352" s="27" t="inlineStr">
        <is>
          <t>Rahma Sariwati</t>
        </is>
      </c>
      <c r="D1352" s="171" t="n">
        <v>46216.41666666666</v>
      </c>
      <c r="E1352" s="26" t="n">
        <v>0.2572569444444445</v>
      </c>
      <c r="F1352" s="27" t="inlineStr">
        <is>
          <t>Shift 3</t>
        </is>
      </c>
      <c r="G1352" s="27" t="n"/>
    </row>
    <row r="1353">
      <c r="A1353" s="27" t="inlineStr">
        <is>
          <t>MK00108</t>
        </is>
      </c>
      <c r="B1353" s="27" t="n">
        <v>528000266</v>
      </c>
      <c r="C1353" s="27" t="inlineStr">
        <is>
          <t>M. Syirajatieq</t>
        </is>
      </c>
      <c r="D1353" s="171" t="n">
        <v>46216.41666666666</v>
      </c>
      <c r="E1353" s="26" t="n">
        <v>0.2643981481481482</v>
      </c>
      <c r="F1353" s="27" t="inlineStr">
        <is>
          <t>Shift 3</t>
        </is>
      </c>
      <c r="G1353" s="27" t="n"/>
    </row>
    <row r="1354">
      <c r="A1354" s="27" t="inlineStr">
        <is>
          <t>MK00239</t>
        </is>
      </c>
      <c r="B1354" s="27" t="n">
        <v>528000289</v>
      </c>
      <c r="C1354" s="27" t="inlineStr">
        <is>
          <t>Adit Supriyadi</t>
        </is>
      </c>
      <c r="D1354" s="171" t="n">
        <v>46216.41666666666</v>
      </c>
      <c r="E1354" s="26" t="n">
        <v>0.5754513888888889</v>
      </c>
      <c r="F1354" s="27" t="inlineStr">
        <is>
          <t>Shift 1</t>
        </is>
      </c>
      <c r="G1354" s="27" t="n"/>
    </row>
    <row r="1355">
      <c r="A1355" s="27" t="inlineStr">
        <is>
          <t>MK00154</t>
        </is>
      </c>
      <c r="B1355" s="27" t="n">
        <v>528000063</v>
      </c>
      <c r="C1355" s="27" t="inlineStr">
        <is>
          <t>Muhamad Ripki Pebrian</t>
        </is>
      </c>
      <c r="D1355" s="171" t="n">
        <v>46216.41666666666</v>
      </c>
      <c r="E1355" s="26" t="n">
        <v>0.5863425925925926</v>
      </c>
      <c r="F1355" s="27" t="inlineStr">
        <is>
          <t>Shift 1</t>
        </is>
      </c>
      <c r="G1355" s="27" t="n"/>
    </row>
    <row r="1356">
      <c r="A1356" s="27" t="inlineStr">
        <is>
          <t>MK00138</t>
        </is>
      </c>
      <c r="B1356" s="27" t="n">
        <v>528000359</v>
      </c>
      <c r="C1356" s="27" t="inlineStr">
        <is>
          <t>M. Iqbal Maulana. S</t>
        </is>
      </c>
      <c r="D1356" s="171" t="n">
        <v>46216.41666666666</v>
      </c>
      <c r="E1356" s="26" t="n">
        <v>0.5868865740740741</v>
      </c>
      <c r="F1356" s="27" t="inlineStr">
        <is>
          <t>Shift 1</t>
        </is>
      </c>
      <c r="G1356" s="27" t="n"/>
    </row>
    <row r="1357">
      <c r="A1357" s="27" t="inlineStr">
        <is>
          <t>MK00082</t>
        </is>
      </c>
      <c r="B1357" s="27" t="n">
        <v>528000300</v>
      </c>
      <c r="C1357" s="27" t="inlineStr">
        <is>
          <t>Lia pitaloka</t>
        </is>
      </c>
      <c r="D1357" s="171" t="n">
        <v>46216.41666666666</v>
      </c>
      <c r="E1357" s="26" t="n">
        <v>0.5899652777777777</v>
      </c>
      <c r="F1357" s="27" t="inlineStr">
        <is>
          <t>Shift 1</t>
        </is>
      </c>
      <c r="G1357" s="27" t="n"/>
    </row>
    <row r="1358">
      <c r="A1358" s="27" t="inlineStr">
        <is>
          <t>MK00121</t>
        </is>
      </c>
      <c r="B1358" s="27" t="n">
        <v>628000064</v>
      </c>
      <c r="C1358" s="27" t="inlineStr">
        <is>
          <t>Silva Alypia</t>
        </is>
      </c>
      <c r="D1358" s="171" t="n">
        <v>46216.41666666666</v>
      </c>
      <c r="E1358" s="26" t="n">
        <v>0.5905787037037037</v>
      </c>
      <c r="F1358" s="27" t="inlineStr">
        <is>
          <t>Shift 1</t>
        </is>
      </c>
      <c r="G1358" s="27" t="n"/>
    </row>
    <row r="1359">
      <c r="A1359" s="27" t="inlineStr">
        <is>
          <t>MK00235</t>
        </is>
      </c>
      <c r="B1359" s="27" t="n">
        <v>528000279</v>
      </c>
      <c r="C1359" s="27" t="inlineStr">
        <is>
          <t>Mahdalena Dalfa Riani</t>
        </is>
      </c>
      <c r="D1359" s="171" t="n">
        <v>46216.41666666666</v>
      </c>
      <c r="E1359" s="26" t="n">
        <v>0.5914351851851852</v>
      </c>
      <c r="F1359" s="27" t="inlineStr">
        <is>
          <t>Shift 1</t>
        </is>
      </c>
      <c r="G1359" s="27" t="n"/>
    </row>
    <row r="1360">
      <c r="A1360" s="27" t="inlineStr">
        <is>
          <t>MK00134</t>
        </is>
      </c>
      <c r="B1360" s="27" t="n">
        <v>528000297</v>
      </c>
      <c r="C1360" s="27" t="inlineStr">
        <is>
          <t>Muhamad Budiana</t>
        </is>
      </c>
      <c r="D1360" s="171" t="n">
        <v>46216.41666666666</v>
      </c>
      <c r="E1360" s="26" t="n">
        <v>0.6238657407407407</v>
      </c>
      <c r="F1360" s="27" t="inlineStr">
        <is>
          <t>Shift 1</t>
        </is>
      </c>
      <c r="G1360" s="27" t="n"/>
    </row>
    <row r="1361">
      <c r="A1361" s="27" t="inlineStr">
        <is>
          <t>MK00181</t>
        </is>
      </c>
      <c r="B1361" s="27" t="n">
        <v>528000265</v>
      </c>
      <c r="C1361" s="27" t="inlineStr">
        <is>
          <t>Muhammad Haerul Rozikin</t>
        </is>
      </c>
      <c r="D1361" s="171" t="n">
        <v>46216.41666666666</v>
      </c>
      <c r="E1361" s="26" t="n">
        <v>0.6681134259259259</v>
      </c>
      <c r="F1361" s="27" t="inlineStr">
        <is>
          <t>Shift 2</t>
        </is>
      </c>
      <c r="G1361" s="27" t="n"/>
    </row>
    <row r="1362">
      <c r="A1362" s="27" t="inlineStr">
        <is>
          <t>MK00212</t>
        </is>
      </c>
      <c r="B1362" s="27" t="n">
        <v>528000282</v>
      </c>
      <c r="C1362" s="27" t="inlineStr">
        <is>
          <t>Defa Desfiana</t>
        </is>
      </c>
      <c r="D1362" s="171" t="n">
        <v>46216.41666666666</v>
      </c>
      <c r="E1362" s="26" t="n">
        <v>0.6683101851851851</v>
      </c>
      <c r="F1362" s="27" t="inlineStr">
        <is>
          <t>Shift 2</t>
        </is>
      </c>
      <c r="G1362" s="27" t="inlineStr">
        <is>
          <t>22b</t>
        </is>
      </c>
    </row>
    <row r="1363">
      <c r="A1363" s="27" t="inlineStr">
        <is>
          <t>MK00221</t>
        </is>
      </c>
      <c r="B1363" s="27" t="n">
        <v>528000144</v>
      </c>
      <c r="C1363" s="27" t="inlineStr">
        <is>
          <t>Jodi Hanafi</t>
        </is>
      </c>
      <c r="D1363" s="171" t="n">
        <v>46216.41666666666</v>
      </c>
      <c r="E1363" s="26" t="n">
        <v>0.6693750000000001</v>
      </c>
      <c r="F1363" s="27" t="inlineStr">
        <is>
          <t>Shift 2</t>
        </is>
      </c>
      <c r="G1363" s="27" t="n"/>
    </row>
    <row r="1364">
      <c r="A1364" s="27" t="inlineStr">
        <is>
          <t>MK00093</t>
        </is>
      </c>
      <c r="B1364" s="27" t="n">
        <v>528000310</v>
      </c>
      <c r="C1364" s="27" t="inlineStr">
        <is>
          <t>Fachrul Rozzi Suryana</t>
        </is>
      </c>
      <c r="D1364" s="171" t="n">
        <v>46216.41666666666</v>
      </c>
      <c r="E1364" s="26" t="n">
        <v>0.669675925925926</v>
      </c>
      <c r="F1364" s="27" t="inlineStr">
        <is>
          <t>Shift 2</t>
        </is>
      </c>
      <c r="G1364" s="27" t="inlineStr">
        <is>
          <t>32B</t>
        </is>
      </c>
    </row>
    <row r="1365">
      <c r="A1365" s="27" t="inlineStr">
        <is>
          <t>MK00046</t>
        </is>
      </c>
      <c r="B1365" s="27" t="n">
        <v>528000335</v>
      </c>
      <c r="C1365" s="27" t="inlineStr">
        <is>
          <t>Rizal Saepuloh</t>
        </is>
      </c>
      <c r="D1365" s="171" t="n">
        <v>46216.41666666666</v>
      </c>
      <c r="E1365" s="26" t="n">
        <v>0.6702314814814815</v>
      </c>
      <c r="F1365" s="27" t="inlineStr">
        <is>
          <t>Shift 2</t>
        </is>
      </c>
      <c r="G1365" s="27" t="n"/>
    </row>
    <row r="1366">
      <c r="A1366" s="27" t="inlineStr">
        <is>
          <t>MK00204</t>
        </is>
      </c>
      <c r="B1366" s="27" t="n">
        <v>528000314</v>
      </c>
      <c r="C1366" s="27" t="inlineStr">
        <is>
          <t>Rusmana</t>
        </is>
      </c>
      <c r="D1366" s="171" t="n">
        <v>46216.41666666666</v>
      </c>
      <c r="E1366" s="26" t="n">
        <v>0.6707986111111112</v>
      </c>
      <c r="F1366" s="27" t="inlineStr">
        <is>
          <t>Shift 2</t>
        </is>
      </c>
      <c r="G1366" s="27" t="n"/>
    </row>
    <row r="1367">
      <c r="A1367" s="27" t="inlineStr">
        <is>
          <t>MK00213</t>
        </is>
      </c>
      <c r="B1367" s="27" t="n">
        <v>528000015</v>
      </c>
      <c r="C1367" s="27" t="inlineStr">
        <is>
          <t>Erwin</t>
        </is>
      </c>
      <c r="D1367" s="171" t="n">
        <v>46216.41666666666</v>
      </c>
      <c r="E1367" s="26" t="n">
        <v>0.6710300925925926</v>
      </c>
      <c r="F1367" s="27" t="inlineStr">
        <is>
          <t>Shift 2</t>
        </is>
      </c>
      <c r="G1367" s="27" t="n"/>
    </row>
    <row r="1368">
      <c r="A1368" s="27" t="inlineStr">
        <is>
          <t>MK00228</t>
        </is>
      </c>
      <c r="B1368" s="27" t="n">
        <v>528000132</v>
      </c>
      <c r="C1368" s="27" t="inlineStr">
        <is>
          <t>Giopani</t>
        </is>
      </c>
      <c r="D1368" s="171" t="n">
        <v>46216.41666666666</v>
      </c>
      <c r="E1368" s="26" t="n">
        <v>0.7111689814814814</v>
      </c>
      <c r="F1368" s="27" t="inlineStr">
        <is>
          <t>Shift 2</t>
        </is>
      </c>
      <c r="G1368" s="27" t="n"/>
    </row>
    <row r="1369">
      <c r="A1369" s="27" t="inlineStr">
        <is>
          <t>MK00210</t>
        </is>
      </c>
      <c r="B1369" s="27" t="n">
        <v>528000232</v>
      </c>
      <c r="C1369" s="27" t="inlineStr">
        <is>
          <t>Agung Aji Suhada</t>
        </is>
      </c>
      <c r="D1369" s="171" t="n">
        <v>46216.41666666666</v>
      </c>
      <c r="E1369" s="26" t="n">
        <v>0.7117129629629629</v>
      </c>
      <c r="F1369" s="27" t="inlineStr">
        <is>
          <t>Shift 2</t>
        </is>
      </c>
      <c r="G1369" s="27" t="n"/>
    </row>
    <row r="1370">
      <c r="A1370" s="27" t="inlineStr">
        <is>
          <t>MK00205</t>
        </is>
      </c>
      <c r="B1370" s="27" t="n">
        <v>528000348</v>
      </c>
      <c r="C1370" s="27" t="inlineStr">
        <is>
          <t>Saepuloh Ardiansah</t>
        </is>
      </c>
      <c r="D1370" s="171" t="n">
        <v>46216.41666666666</v>
      </c>
      <c r="E1370" s="26" t="n">
        <v>0.7228472222222222</v>
      </c>
      <c r="F1370" s="27" t="inlineStr">
        <is>
          <t>Shift 2</t>
        </is>
      </c>
      <c r="G1370" s="27" t="n"/>
    </row>
    <row r="1371">
      <c r="A1371" s="27" t="inlineStr">
        <is>
          <t>MK00249</t>
        </is>
      </c>
      <c r="B1371" s="27" t="n">
        <v>528000349</v>
      </c>
      <c r="C1371" s="27" t="inlineStr">
        <is>
          <t>Anas Abdul Fatah</t>
        </is>
      </c>
      <c r="D1371" s="171" t="n">
        <v>46216.41666666666</v>
      </c>
      <c r="E1371" s="26" t="n">
        <v>0.7592245370370371</v>
      </c>
      <c r="F1371" s="27" t="inlineStr">
        <is>
          <t>Shift 2</t>
        </is>
      </c>
      <c r="G1371" s="27" t="n"/>
    </row>
    <row r="1372">
      <c r="A1372" s="27" t="inlineStr">
        <is>
          <t>MK00208</t>
        </is>
      </c>
      <c r="B1372" s="27" t="n">
        <v>528000360</v>
      </c>
      <c r="C1372" s="27" t="inlineStr">
        <is>
          <t>Hendra Permana</t>
        </is>
      </c>
      <c r="D1372" s="171" t="n">
        <v>46216.41666666666</v>
      </c>
      <c r="E1372" s="26" t="n">
        <v>0.8914236111111111</v>
      </c>
      <c r="F1372" s="27" t="inlineStr">
        <is>
          <t>Shift 2</t>
        </is>
      </c>
      <c r="G1372" s="27" t="n"/>
    </row>
    <row r="1373">
      <c r="A1373" s="27" t="inlineStr">
        <is>
          <t>MK00160</t>
        </is>
      </c>
      <c r="B1373" s="27" t="n">
        <v>528000069</v>
      </c>
      <c r="C1373" s="27" t="inlineStr">
        <is>
          <t>Jajang Ardiansyah</t>
        </is>
      </c>
      <c r="D1373" s="171" t="n">
        <v>46216.41666666666</v>
      </c>
      <c r="E1373" s="26" t="n">
        <v>0.8939814814814815</v>
      </c>
      <c r="F1373" s="27" t="inlineStr">
        <is>
          <t>Shift 2</t>
        </is>
      </c>
      <c r="G1373" s="27" t="n"/>
    </row>
    <row r="1374">
      <c r="A1374" s="27" t="inlineStr">
        <is>
          <t>MK00126</t>
        </is>
      </c>
      <c r="B1374" s="27" t="n">
        <v>528000288</v>
      </c>
      <c r="C1374" s="27" t="inlineStr">
        <is>
          <t>Dede gunawan</t>
        </is>
      </c>
      <c r="D1374" s="171" t="n">
        <v>46216.41666666666</v>
      </c>
      <c r="E1374" s="26" t="n">
        <v>0.8995023148148148</v>
      </c>
      <c r="F1374" s="27" t="inlineStr">
        <is>
          <t>Shift 2</t>
        </is>
      </c>
      <c r="G1374" s="27" t="n"/>
    </row>
    <row r="1375">
      <c r="A1375" s="27" t="inlineStr">
        <is>
          <t>MK00185</t>
        </is>
      </c>
      <c r="B1375" s="27" t="n">
        <v>528000336</v>
      </c>
      <c r="C1375" s="27" t="inlineStr">
        <is>
          <t>Ali Nurhanafi</t>
        </is>
      </c>
      <c r="D1375" s="171" t="n">
        <v>46216.41666666666</v>
      </c>
      <c r="E1375" s="26" t="n">
        <v>0.9147453703703704</v>
      </c>
      <c r="F1375" s="27" t="inlineStr">
        <is>
          <t>Shift 2</t>
        </is>
      </c>
      <c r="G1375" s="27" t="n"/>
    </row>
    <row r="1376">
      <c r="A1376" s="27" t="inlineStr">
        <is>
          <t>MK00136</t>
        </is>
      </c>
      <c r="B1376" s="27" t="n">
        <v>528000274</v>
      </c>
      <c r="C1376" s="27" t="inlineStr">
        <is>
          <t>Zepri</t>
        </is>
      </c>
      <c r="D1376" s="171" t="n">
        <v>46216.41666666666</v>
      </c>
      <c r="E1376" s="26" t="n">
        <v>0.9208101851851852</v>
      </c>
      <c r="F1376" s="27" t="inlineStr">
        <is>
          <t>Shift 2</t>
        </is>
      </c>
      <c r="G1376" s="27" t="n"/>
    </row>
    <row r="1377">
      <c r="A1377" s="27" t="inlineStr">
        <is>
          <t>MK0008</t>
        </is>
      </c>
      <c r="B1377" s="27" t="n">
        <v>528000290</v>
      </c>
      <c r="C1377" s="27" t="inlineStr">
        <is>
          <t>Eval Pranata</t>
        </is>
      </c>
      <c r="D1377" s="171" t="n">
        <v>46216.41666666666</v>
      </c>
      <c r="E1377" s="26" t="n">
        <v>0.9214930555555556</v>
      </c>
      <c r="F1377" s="27" t="inlineStr">
        <is>
          <t>Shift 2</t>
        </is>
      </c>
      <c r="G1377" s="27" t="n"/>
    </row>
    <row r="1378">
      <c r="A1378" s="27" t="inlineStr">
        <is>
          <t>MK00112</t>
        </is>
      </c>
      <c r="B1378" s="27" t="n">
        <v>528000318</v>
      </c>
      <c r="C1378" s="27" t="inlineStr">
        <is>
          <t>Bayu Padli Sepriyana</t>
        </is>
      </c>
      <c r="D1378" s="171" t="n">
        <v>46216.41666666666</v>
      </c>
      <c r="E1378" s="26" t="n">
        <v>0.9216319444444444</v>
      </c>
      <c r="F1378" s="27" t="inlineStr">
        <is>
          <t>Shift 2</t>
        </is>
      </c>
      <c r="G1378" s="27" t="n"/>
    </row>
    <row r="1379">
      <c r="A1379" s="27" t="inlineStr">
        <is>
          <t>MK00203</t>
        </is>
      </c>
      <c r="B1379" s="27" t="n">
        <v>528000201</v>
      </c>
      <c r="C1379" s="27" t="inlineStr">
        <is>
          <t>Zahwa Amelia Choerunissa</t>
        </is>
      </c>
      <c r="D1379" s="171" t="n">
        <v>46216.41666666666</v>
      </c>
      <c r="E1379" s="26" t="n">
        <v>0.9216898148148148</v>
      </c>
      <c r="F1379" s="27" t="inlineStr">
        <is>
          <t>Shift 2</t>
        </is>
      </c>
      <c r="G1379" s="27" t="n"/>
    </row>
    <row r="1380">
      <c r="A1380" s="27" t="inlineStr">
        <is>
          <t>MK00055</t>
        </is>
      </c>
      <c r="B1380" s="27" t="n">
        <v>528000090</v>
      </c>
      <c r="C1380" s="27" t="inlineStr">
        <is>
          <t>Suganda</t>
        </is>
      </c>
      <c r="D1380" s="171" t="n">
        <v>46216.41666666666</v>
      </c>
      <c r="E1380" s="26" t="n">
        <v>0.9220717592592592</v>
      </c>
      <c r="F1380" s="27" t="inlineStr">
        <is>
          <t>Shift 2</t>
        </is>
      </c>
      <c r="G1380" s="27" t="n"/>
    </row>
    <row r="1381">
      <c r="A1381" s="27" t="inlineStr">
        <is>
          <t>MK00148</t>
        </is>
      </c>
      <c r="B1381" s="27" t="n">
        <v>528000286</v>
      </c>
      <c r="C1381" s="27" t="inlineStr">
        <is>
          <t>Imelda Amelia</t>
        </is>
      </c>
      <c r="D1381" s="171" t="n">
        <v>46216.41666666666</v>
      </c>
      <c r="E1381" s="26" t="n">
        <v>0.9220254629629629</v>
      </c>
      <c r="F1381" s="27" t="inlineStr">
        <is>
          <t>Shift 2</t>
        </is>
      </c>
      <c r="G1381" s="27" t="n"/>
    </row>
    <row r="1382">
      <c r="A1382" s="27" t="inlineStr">
        <is>
          <t>MK00116</t>
        </is>
      </c>
      <c r="B1382" s="27" t="n">
        <v>528000099</v>
      </c>
      <c r="C1382" s="27" t="inlineStr">
        <is>
          <t>Siti Nurawaliah</t>
        </is>
      </c>
      <c r="D1382" s="171" t="n">
        <v>46216.41666666666</v>
      </c>
      <c r="E1382" s="26" t="n">
        <v>0.9221990740740741</v>
      </c>
      <c r="F1382" s="27" t="inlineStr">
        <is>
          <t>Shift 2</t>
        </is>
      </c>
      <c r="G1382" s="27" t="n"/>
    </row>
    <row r="1383">
      <c r="A1383" s="27" t="inlineStr">
        <is>
          <t>MK00141</t>
        </is>
      </c>
      <c r="B1383" s="27" t="n">
        <v>528000340</v>
      </c>
      <c r="C1383" s="27" t="inlineStr">
        <is>
          <t>Muhammad Wildan Adithya</t>
        </is>
      </c>
      <c r="D1383" s="171" t="n">
        <v>46216.41666666666</v>
      </c>
      <c r="E1383" s="26" t="n">
        <v>0.9223263888888888</v>
      </c>
      <c r="F1383" s="27" t="inlineStr">
        <is>
          <t>Shift 2</t>
        </is>
      </c>
      <c r="G1383" s="27" t="n"/>
    </row>
    <row r="1384">
      <c r="A1384" s="27" t="inlineStr">
        <is>
          <t>MK00158</t>
        </is>
      </c>
      <c r="B1384" s="27" t="n">
        <v>528000244</v>
      </c>
      <c r="C1384" s="27" t="inlineStr">
        <is>
          <t>Rodian Rifai</t>
        </is>
      </c>
      <c r="D1384" s="171" t="n">
        <v>46216.41666666666</v>
      </c>
      <c r="E1384" s="26" t="n">
        <v>0.954375</v>
      </c>
      <c r="F1384" s="27" t="inlineStr">
        <is>
          <t>Shift 2</t>
        </is>
      </c>
      <c r="G1384" s="27" t="n"/>
    </row>
    <row r="1385">
      <c r="A1385" s="27" t="inlineStr">
        <is>
          <t>MK00113</t>
        </is>
      </c>
      <c r="B1385" s="27" t="n">
        <v>528000283</v>
      </c>
      <c r="C1385" s="27" t="inlineStr">
        <is>
          <t>Purwanda Sugiri</t>
        </is>
      </c>
      <c r="D1385" s="171" t="n">
        <v>46217.41666666666</v>
      </c>
      <c r="E1385" s="26" t="n">
        <v>0.2517592592592592</v>
      </c>
      <c r="F1385" s="27" t="inlineStr">
        <is>
          <t>Shift 3</t>
        </is>
      </c>
      <c r="G1385" s="27" t="n"/>
    </row>
    <row r="1386">
      <c r="A1386" s="27" t="inlineStr">
        <is>
          <t>MK00121</t>
        </is>
      </c>
      <c r="B1386" s="27" t="n">
        <v>528000052</v>
      </c>
      <c r="C1386" s="27" t="inlineStr">
        <is>
          <t>Mustopa</t>
        </is>
      </c>
      <c r="D1386" s="171" t="n">
        <v>46217.41666666666</v>
      </c>
      <c r="E1386" s="26" t="n">
        <v>0.2518287037037037</v>
      </c>
      <c r="F1386" s="27" t="inlineStr">
        <is>
          <t>Shift 3</t>
        </is>
      </c>
      <c r="G1386" s="27" t="n"/>
    </row>
    <row r="1387">
      <c r="A1387" s="27" t="inlineStr">
        <is>
          <t>MK00208</t>
        </is>
      </c>
      <c r="B1387" s="27" t="n">
        <v>528000261</v>
      </c>
      <c r="C1387" s="27" t="inlineStr">
        <is>
          <t>Ergi Ergianto</t>
        </is>
      </c>
      <c r="D1387" s="171" t="n">
        <v>46217.41666666666</v>
      </c>
      <c r="E1387" s="26" t="n">
        <v>0.2524074074074074</v>
      </c>
      <c r="F1387" s="27" t="inlineStr">
        <is>
          <t>Shift 3</t>
        </is>
      </c>
      <c r="G1387" s="27" t="n"/>
    </row>
    <row r="1388">
      <c r="A1388" s="27" t="inlineStr">
        <is>
          <t>MK00154</t>
        </is>
      </c>
      <c r="B1388" s="27" t="n">
        <v>528000358</v>
      </c>
      <c r="C1388" s="27" t="inlineStr">
        <is>
          <t>Lulu Agustin</t>
        </is>
      </c>
      <c r="D1388" s="171" t="n">
        <v>46217.41666666666</v>
      </c>
      <c r="E1388" s="26" t="n">
        <v>0.2525347222222222</v>
      </c>
      <c r="F1388" s="27" t="inlineStr">
        <is>
          <t>Shift 3</t>
        </is>
      </c>
      <c r="G1388" s="27" t="n"/>
    </row>
    <row r="1389">
      <c r="A1389" s="27" t="inlineStr">
        <is>
          <t>MK00160</t>
        </is>
      </c>
      <c r="B1389" s="27" t="n">
        <v>528000262</v>
      </c>
      <c r="C1389" s="27" t="inlineStr">
        <is>
          <t>Ndari Dwiwanti</t>
        </is>
      </c>
      <c r="D1389" s="171" t="n">
        <v>46217.41666666666</v>
      </c>
      <c r="E1389" s="26" t="n">
        <v>0.2527777777777778</v>
      </c>
      <c r="F1389" s="27" t="inlineStr">
        <is>
          <t>Shift 3</t>
        </is>
      </c>
      <c r="G1389" s="27" t="n"/>
    </row>
    <row r="1390">
      <c r="A1390" s="27" t="inlineStr">
        <is>
          <t>MK00082</t>
        </is>
      </c>
      <c r="B1390" s="27" t="n">
        <v>528000360</v>
      </c>
      <c r="C1390" s="27" t="inlineStr">
        <is>
          <t>Hendra Permana</t>
        </is>
      </c>
      <c r="D1390" s="171" t="n">
        <v>46217.41666666666</v>
      </c>
      <c r="E1390" s="26" t="n">
        <v>0.2529513888888889</v>
      </c>
      <c r="F1390" s="27" t="inlineStr">
        <is>
          <t>Shift 3</t>
        </is>
      </c>
      <c r="G1390" s="27" t="n"/>
    </row>
    <row r="1391">
      <c r="A1391" s="27" t="inlineStr">
        <is>
          <t>MK00126</t>
        </is>
      </c>
      <c r="B1391" s="27" t="n">
        <v>528000195</v>
      </c>
      <c r="C1391" s="27" t="inlineStr">
        <is>
          <t>Rahma Sariwati</t>
        </is>
      </c>
      <c r="D1391" s="171" t="n">
        <v>46217.41666666666</v>
      </c>
      <c r="E1391" s="26" t="n">
        <v>0.2545023148148148</v>
      </c>
      <c r="F1391" s="27" t="inlineStr">
        <is>
          <t>Shift 3</t>
        </is>
      </c>
      <c r="G1391" s="27" t="n"/>
    </row>
    <row r="1392">
      <c r="A1392" s="27" t="inlineStr">
        <is>
          <t>MK00202</t>
        </is>
      </c>
      <c r="B1392" s="27" t="n">
        <v>528000337</v>
      </c>
      <c r="C1392" s="27" t="inlineStr">
        <is>
          <t>Ahmad Zaldi Firdaus</t>
        </is>
      </c>
      <c r="D1392" s="171" t="n">
        <v>46217.41666666666</v>
      </c>
      <c r="E1392" s="26" t="n">
        <v>0.2545833333333333</v>
      </c>
      <c r="F1392" s="27" t="inlineStr">
        <is>
          <t>Shift 3</t>
        </is>
      </c>
      <c r="G1392" s="27" t="n"/>
    </row>
    <row r="1393">
      <c r="A1393" s="27" t="inlineStr">
        <is>
          <t>MK00213</t>
        </is>
      </c>
      <c r="B1393" s="27" t="n">
        <v>528000238</v>
      </c>
      <c r="C1393" s="27" t="inlineStr">
        <is>
          <t>Indah Lusiana</t>
        </is>
      </c>
      <c r="D1393" s="171" t="n">
        <v>46217.41666666666</v>
      </c>
      <c r="E1393" s="26" t="n">
        <v>0.2573495370370371</v>
      </c>
      <c r="F1393" s="27" t="inlineStr">
        <is>
          <t>Shift 3</t>
        </is>
      </c>
      <c r="G1393" s="27" t="n"/>
    </row>
    <row r="1394">
      <c r="A1394" s="27" t="inlineStr">
        <is>
          <t>MK00109</t>
        </is>
      </c>
      <c r="B1394" s="27" t="n">
        <v>528000266</v>
      </c>
      <c r="C1394" s="27" t="inlineStr">
        <is>
          <t>M. Syirajatieq</t>
        </is>
      </c>
      <c r="D1394" s="171" t="n">
        <v>46217.41666666666</v>
      </c>
      <c r="E1394" s="26" t="n">
        <v>0.2648495370370371</v>
      </c>
      <c r="F1394" s="27" t="inlineStr">
        <is>
          <t>Shift 3</t>
        </is>
      </c>
      <c r="G1394" s="27" t="n"/>
    </row>
    <row r="1395">
      <c r="A1395" s="27" t="inlineStr">
        <is>
          <t>MK00250</t>
        </is>
      </c>
      <c r="B1395" s="27" t="n">
        <v>528000212</v>
      </c>
      <c r="C1395" s="27" t="inlineStr">
        <is>
          <t>Rizal Fauzi</t>
        </is>
      </c>
      <c r="D1395" s="171" t="n">
        <v>46217.41666666666</v>
      </c>
      <c r="E1395" s="26" t="n">
        <v>0.4593518518518518</v>
      </c>
      <c r="F1395" s="27" t="inlineStr">
        <is>
          <t>Shift 1</t>
        </is>
      </c>
      <c r="G1395" s="27" t="n"/>
    </row>
    <row r="1396">
      <c r="A1396" s="27" t="inlineStr">
        <is>
          <t>MK00192</t>
        </is>
      </c>
      <c r="B1396" s="27" t="n">
        <v>528000289</v>
      </c>
      <c r="C1396" s="27" t="inlineStr">
        <is>
          <t>Adit Supriyadi</t>
        </is>
      </c>
      <c r="D1396" s="171" t="n">
        <v>46217.41666666666</v>
      </c>
      <c r="E1396" s="26" t="n">
        <v>0.4666782407407408</v>
      </c>
      <c r="F1396" s="27" t="inlineStr">
        <is>
          <t>Shift 1</t>
        </is>
      </c>
      <c r="G1396" s="27" t="n"/>
    </row>
    <row r="1397">
      <c r="A1397" s="27" t="inlineStr">
        <is>
          <t>MK00141</t>
        </is>
      </c>
      <c r="B1397" s="27" t="n">
        <v>528000063</v>
      </c>
      <c r="C1397" s="27" t="inlineStr">
        <is>
          <t>Muhamad Ripki Pebrian</t>
        </is>
      </c>
      <c r="D1397" s="171" t="n">
        <v>46217.41666666666</v>
      </c>
      <c r="E1397" s="26" t="n">
        <v>0.5840509259259259</v>
      </c>
      <c r="F1397" s="27" t="inlineStr">
        <is>
          <t>Shift 1</t>
        </is>
      </c>
      <c r="G1397" s="27" t="n"/>
    </row>
    <row r="1398">
      <c r="A1398" s="27" t="inlineStr">
        <is>
          <t>MK00136</t>
        </is>
      </c>
      <c r="B1398" s="27" t="n">
        <v>528000300</v>
      </c>
      <c r="C1398" s="27" t="inlineStr">
        <is>
          <t>Lia pitaloka</t>
        </is>
      </c>
      <c r="D1398" s="171" t="n">
        <v>46217.41666666666</v>
      </c>
      <c r="E1398" s="26" t="n">
        <v>0.585625</v>
      </c>
      <c r="F1398" s="27" t="inlineStr">
        <is>
          <t>Shift 1</t>
        </is>
      </c>
      <c r="G1398" s="27" t="n"/>
    </row>
    <row r="1399">
      <c r="A1399" s="27" t="inlineStr">
        <is>
          <t>MK00H57</t>
        </is>
      </c>
      <c r="B1399" s="27" t="n">
        <v>528000265</v>
      </c>
      <c r="C1399" s="27" t="inlineStr">
        <is>
          <t>Muhammad Haerul Rozikin</t>
        </is>
      </c>
      <c r="D1399" s="171" t="n">
        <v>46217.41666666666</v>
      </c>
      <c r="E1399" s="26" t="n">
        <v>0.5857291666666666</v>
      </c>
      <c r="F1399" s="27" t="inlineStr">
        <is>
          <t>Shift 1</t>
        </is>
      </c>
      <c r="G1399" s="27" t="n"/>
    </row>
    <row r="1400">
      <c r="A1400" s="27" t="inlineStr">
        <is>
          <t>MK0008</t>
        </is>
      </c>
      <c r="B1400" s="27" t="n">
        <v>628000064</v>
      </c>
      <c r="C1400" s="27" t="inlineStr">
        <is>
          <t>Silva Alypia</t>
        </is>
      </c>
      <c r="D1400" s="171" t="n">
        <v>46217.41666666666</v>
      </c>
      <c r="E1400" s="26" t="n">
        <v>0.5857870370370371</v>
      </c>
      <c r="F1400" s="27" t="inlineStr">
        <is>
          <t>Shift 1</t>
        </is>
      </c>
      <c r="G1400" s="27" t="n"/>
    </row>
    <row r="1401">
      <c r="A1401" s="27" t="inlineStr">
        <is>
          <t>MK00203</t>
        </is>
      </c>
      <c r="B1401" s="27" t="n">
        <v>528000279</v>
      </c>
      <c r="C1401" s="27" t="inlineStr">
        <is>
          <t>Mahdalena Dalfa Riani</t>
        </is>
      </c>
      <c r="D1401" s="171" t="n">
        <v>46217.41666666666</v>
      </c>
      <c r="E1401" s="26" t="n">
        <v>0.5865972222222222</v>
      </c>
      <c r="F1401" s="27" t="inlineStr">
        <is>
          <t>Shift 1</t>
        </is>
      </c>
      <c r="G1401" s="27" t="n"/>
    </row>
    <row r="1402">
      <c r="A1402" s="27" t="inlineStr">
        <is>
          <t>MK00230</t>
        </is>
      </c>
      <c r="B1402" s="27" t="n">
        <v>528000282</v>
      </c>
      <c r="C1402" s="27" t="inlineStr">
        <is>
          <t>Defa Desfiana</t>
        </is>
      </c>
      <c r="D1402" s="171" t="n">
        <v>46217.41666666666</v>
      </c>
      <c r="E1402" s="26" t="n">
        <v>0.5986805555555555</v>
      </c>
      <c r="F1402" s="27" t="inlineStr">
        <is>
          <t>Shift 1</t>
        </is>
      </c>
      <c r="G1402" s="27" t="inlineStr">
        <is>
          <t>3d</t>
        </is>
      </c>
    </row>
    <row r="1403">
      <c r="A1403" s="27" t="inlineStr">
        <is>
          <t>MK00228</t>
        </is>
      </c>
      <c r="B1403" s="27" t="n">
        <v>528000132</v>
      </c>
      <c r="C1403" s="27" t="inlineStr">
        <is>
          <t>Giopani</t>
        </is>
      </c>
      <c r="D1403" s="171" t="n">
        <v>46217.41666666666</v>
      </c>
      <c r="E1403" s="26" t="n">
        <v>0.7086921296296296</v>
      </c>
      <c r="F1403" s="27" t="inlineStr">
        <is>
          <t>Shift 2</t>
        </is>
      </c>
      <c r="G1403" s="27" t="n"/>
    </row>
    <row r="1404">
      <c r="A1404" s="27" t="inlineStr">
        <is>
          <t>MK00210</t>
        </is>
      </c>
      <c r="B1404" s="27" t="n">
        <v>528000232</v>
      </c>
      <c r="C1404" s="27" t="inlineStr">
        <is>
          <t>Agung Aji Suhada</t>
        </is>
      </c>
      <c r="D1404" s="171" t="n">
        <v>46217.41666666666</v>
      </c>
      <c r="E1404" s="26" t="n">
        <v>0.709212962962963</v>
      </c>
      <c r="F1404" s="27" t="inlineStr">
        <is>
          <t>Shift 2</t>
        </is>
      </c>
      <c r="G1404" s="27" t="n"/>
    </row>
    <row r="1405">
      <c r="A1405" s="27" t="inlineStr">
        <is>
          <t>MK00221</t>
        </is>
      </c>
      <c r="B1405" s="27" t="n">
        <v>528000144</v>
      </c>
      <c r="C1405" s="27" t="inlineStr">
        <is>
          <t>Jodi Hanafi</t>
        </is>
      </c>
      <c r="D1405" s="171" t="n">
        <v>46217.41666666666</v>
      </c>
      <c r="E1405" s="26" t="n">
        <v>0.7310300925925926</v>
      </c>
      <c r="F1405" s="27" t="inlineStr">
        <is>
          <t>Shift 2</t>
        </is>
      </c>
      <c r="G1405" s="27" t="n"/>
    </row>
    <row r="1406">
      <c r="A1406" s="27" t="inlineStr">
        <is>
          <t>MK00134</t>
        </is>
      </c>
      <c r="B1406" s="27" t="n">
        <v>528000349</v>
      </c>
      <c r="C1406" s="27" t="inlineStr">
        <is>
          <t>Anas Abdul Fatah</t>
        </is>
      </c>
      <c r="D1406" s="171" t="n">
        <v>46217.41666666666</v>
      </c>
      <c r="E1406" s="26" t="n">
        <v>0.7639814814814815</v>
      </c>
      <c r="F1406" s="27" t="inlineStr">
        <is>
          <t>Shift 2</t>
        </is>
      </c>
      <c r="G1406" s="27" t="n"/>
    </row>
    <row r="1407">
      <c r="A1407" s="27" t="inlineStr">
        <is>
          <t>MK00205</t>
        </is>
      </c>
      <c r="B1407" s="27" t="n">
        <v>528000348</v>
      </c>
      <c r="C1407" s="27" t="inlineStr">
        <is>
          <t>Saepuloh Ardiansah</t>
        </is>
      </c>
      <c r="D1407" s="171" t="n">
        <v>46217.41666666666</v>
      </c>
      <c r="E1407" s="26" t="n">
        <v>0.7987037037037037</v>
      </c>
      <c r="F1407" s="27" t="inlineStr">
        <is>
          <t>Shift 2</t>
        </is>
      </c>
      <c r="G1407" s="27" t="n"/>
    </row>
    <row r="1408">
      <c r="A1408" s="27" t="inlineStr">
        <is>
          <t>MK0053</t>
        </is>
      </c>
      <c r="B1408" s="27" t="n">
        <v>528000310</v>
      </c>
      <c r="C1408" s="27" t="inlineStr">
        <is>
          <t>Fachrul Rozzi Suryana</t>
        </is>
      </c>
      <c r="D1408" s="171" t="n">
        <v>46217.41666666666</v>
      </c>
      <c r="E1408" s="26" t="n">
        <v>0.8093055555555555</v>
      </c>
      <c r="F1408" s="27" t="inlineStr">
        <is>
          <t>Shift 2</t>
        </is>
      </c>
      <c r="G1408" s="27" t="inlineStr">
        <is>
          <t>2A</t>
        </is>
      </c>
    </row>
    <row r="1409">
      <c r="A1409" s="27" t="inlineStr">
        <is>
          <t>MK00112</t>
        </is>
      </c>
      <c r="B1409" s="27" t="n">
        <v>528000274</v>
      </c>
      <c r="C1409" s="27" t="inlineStr">
        <is>
          <t>Zepri</t>
        </is>
      </c>
      <c r="D1409" s="171" t="n">
        <v>46217.41666666666</v>
      </c>
      <c r="E1409" s="26" t="n">
        <v>0.9188078703703704</v>
      </c>
      <c r="F1409" s="27" t="inlineStr">
        <is>
          <t>Shift 2</t>
        </is>
      </c>
      <c r="G1409" s="27" t="n"/>
    </row>
    <row r="1410">
      <c r="A1410" s="27" t="inlineStr">
        <is>
          <t>MK00212</t>
        </is>
      </c>
      <c r="B1410" s="27" t="n">
        <v>528000290</v>
      </c>
      <c r="C1410" s="27" t="inlineStr">
        <is>
          <t>Eval Pranata</t>
        </is>
      </c>
      <c r="D1410" s="171" t="n">
        <v>46217.41666666666</v>
      </c>
      <c r="E1410" s="26" t="n">
        <v>0.9188888888888889</v>
      </c>
      <c r="F1410" s="27" t="inlineStr">
        <is>
          <t>Shift 2</t>
        </is>
      </c>
      <c r="G1410" s="27" t="n"/>
    </row>
    <row r="1411">
      <c r="A1411" s="27" t="inlineStr">
        <is>
          <t>MK00145</t>
        </is>
      </c>
      <c r="B1411" s="27" t="n">
        <v>528000090</v>
      </c>
      <c r="C1411" s="27" t="inlineStr">
        <is>
          <t>Suganda</t>
        </is>
      </c>
      <c r="D1411" s="171" t="n">
        <v>46217.41666666666</v>
      </c>
      <c r="E1411" s="26" t="n">
        <v>0.919050925925926</v>
      </c>
      <c r="F1411" s="27" t="inlineStr">
        <is>
          <t>Shift 2</t>
        </is>
      </c>
      <c r="G1411" s="27" t="n"/>
    </row>
    <row r="1412">
      <c r="A1412" s="27" t="inlineStr">
        <is>
          <t>MK00138</t>
        </is>
      </c>
      <c r="B1412" s="27" t="n">
        <v>528000359</v>
      </c>
      <c r="C1412" s="27" t="inlineStr">
        <is>
          <t>M. Iqbal Maulana. S</t>
        </is>
      </c>
      <c r="D1412" s="171" t="n">
        <v>46217.41666666666</v>
      </c>
      <c r="E1412" s="26" t="n">
        <v>0.9193865740740741</v>
      </c>
      <c r="F1412" s="27" t="inlineStr">
        <is>
          <t>Shift 2</t>
        </is>
      </c>
      <c r="G1412" s="27" t="inlineStr">
        <is>
          <t>7B</t>
        </is>
      </c>
    </row>
    <row r="1413">
      <c r="A1413" s="27" t="inlineStr">
        <is>
          <t>MK00204</t>
        </is>
      </c>
      <c r="B1413" s="27" t="n">
        <v>528000241</v>
      </c>
      <c r="C1413" s="27" t="inlineStr">
        <is>
          <t>Balia Nurafif Bilah</t>
        </is>
      </c>
      <c r="D1413" s="171" t="n">
        <v>46217.41666666666</v>
      </c>
      <c r="E1413" s="26" t="n">
        <v>0.9194791666666666</v>
      </c>
      <c r="F1413" s="27" t="inlineStr">
        <is>
          <t>Shift 2</t>
        </is>
      </c>
      <c r="G1413" s="27" t="n"/>
    </row>
    <row r="1414">
      <c r="A1414" s="27" t="inlineStr">
        <is>
          <t>MK00156</t>
        </is>
      </c>
      <c r="B1414" s="27" t="n">
        <v>528000286</v>
      </c>
      <c r="C1414" s="27" t="inlineStr">
        <is>
          <t>Imelda Amelia</t>
        </is>
      </c>
      <c r="D1414" s="171" t="n">
        <v>46217.41666666666</v>
      </c>
      <c r="E1414" s="26" t="n">
        <v>0.9230324074074074</v>
      </c>
      <c r="F1414" s="27" t="inlineStr">
        <is>
          <t>Shift 2</t>
        </is>
      </c>
      <c r="G1414" s="27" t="n"/>
    </row>
    <row r="1415">
      <c r="A1415" s="27" t="inlineStr">
        <is>
          <t>MK00090</t>
        </is>
      </c>
      <c r="B1415" s="27" t="n">
        <v>528000201</v>
      </c>
      <c r="C1415" s="27" t="inlineStr">
        <is>
          <t>Zahwa Amelia Choerunissa</t>
        </is>
      </c>
      <c r="D1415" s="171" t="n">
        <v>46217.41666666666</v>
      </c>
      <c r="E1415" s="26" t="n">
        <v>0.9243749999999999</v>
      </c>
      <c r="F1415" s="27" t="inlineStr">
        <is>
          <t>Shift 2</t>
        </is>
      </c>
      <c r="G1415" s="27" t="n"/>
    </row>
    <row r="1416">
      <c r="A1416" s="27" t="inlineStr">
        <is>
          <t>MK00181</t>
        </is>
      </c>
      <c r="B1416" s="27" t="n">
        <v>528000099</v>
      </c>
      <c r="C1416" s="27" t="inlineStr">
        <is>
          <t>Siti Nurawaliah</t>
        </is>
      </c>
      <c r="D1416" s="171" t="n">
        <v>46217.41666666666</v>
      </c>
      <c r="E1416" s="26" t="n">
        <v>0.9249189814814814</v>
      </c>
      <c r="F1416" s="27" t="inlineStr">
        <is>
          <t>Shift 2</t>
        </is>
      </c>
      <c r="G1416" s="27" t="n"/>
    </row>
    <row r="1417">
      <c r="A1417" s="27" t="inlineStr">
        <is>
          <t>MK00160</t>
        </is>
      </c>
      <c r="B1417" s="27" t="n">
        <v>528000069</v>
      </c>
      <c r="C1417" s="27" t="inlineStr">
        <is>
          <t>Jajang Ardiansyah</t>
        </is>
      </c>
      <c r="D1417" s="171" t="n">
        <v>46217.41666666666</v>
      </c>
      <c r="E1417" s="26" t="n">
        <v>0.9351041666666666</v>
      </c>
      <c r="F1417" s="27" t="inlineStr">
        <is>
          <t>Shift 2</t>
        </is>
      </c>
      <c r="G1417" s="27" t="n"/>
    </row>
    <row r="1418">
      <c r="A1418" s="27" t="inlineStr">
        <is>
          <t>MK00185</t>
        </is>
      </c>
      <c r="B1418" s="27" t="n">
        <v>528000318</v>
      </c>
      <c r="C1418" s="27" t="inlineStr">
        <is>
          <t>Bayu Padli Sepriyana</t>
        </is>
      </c>
      <c r="D1418" s="171" t="n">
        <v>46218.41666666666</v>
      </c>
      <c r="E1418" s="26" t="n">
        <v>0.251712962962963</v>
      </c>
      <c r="F1418" s="27" t="inlineStr">
        <is>
          <t>Shift 3</t>
        </is>
      </c>
      <c r="G1418" s="27" t="n"/>
    </row>
    <row r="1419">
      <c r="A1419" s="27" t="inlineStr">
        <is>
          <t>MK00230</t>
        </is>
      </c>
      <c r="B1419" s="27" t="n">
        <v>528000305</v>
      </c>
      <c r="C1419" s="27" t="inlineStr">
        <is>
          <t>Puji Puspita</t>
        </is>
      </c>
      <c r="D1419" s="171" t="n">
        <v>46218.41666666666</v>
      </c>
      <c r="E1419" s="26" t="n">
        <v>0.2522106481481481</v>
      </c>
      <c r="F1419" s="27" t="inlineStr">
        <is>
          <t>Shift 3</t>
        </is>
      </c>
      <c r="G1419" s="27" t="n"/>
    </row>
    <row r="1420">
      <c r="A1420" s="27" t="inlineStr">
        <is>
          <t>MK00250</t>
        </is>
      </c>
      <c r="B1420" s="27" t="n">
        <v>528000309</v>
      </c>
      <c r="C1420" s="27" t="inlineStr">
        <is>
          <t>Ilham Ramadhan</t>
        </is>
      </c>
      <c r="D1420" s="171" t="n">
        <v>46218.41666666666</v>
      </c>
      <c r="E1420" s="26" t="n">
        <v>0.2531944444444444</v>
      </c>
      <c r="F1420" s="27" t="inlineStr">
        <is>
          <t>Shift 3</t>
        </is>
      </c>
      <c r="G1420" s="27" t="n"/>
    </row>
    <row r="1421">
      <c r="A1421" s="27" t="inlineStr">
        <is>
          <t>MK00208</t>
        </is>
      </c>
      <c r="B1421" s="27" t="n">
        <v>528000313</v>
      </c>
      <c r="C1421" s="27" t="inlineStr">
        <is>
          <t>Muhamad Rifki</t>
        </is>
      </c>
      <c r="D1421" s="171" t="n">
        <v>46218.41666666666</v>
      </c>
      <c r="E1421" s="26" t="n">
        <v>0.2533912037037037</v>
      </c>
      <c r="F1421" s="27" t="inlineStr">
        <is>
          <t>Shift 3</t>
        </is>
      </c>
      <c r="G1421" s="27" t="n"/>
    </row>
    <row r="1422">
      <c r="A1422" s="27" t="inlineStr">
        <is>
          <t>MK00134</t>
        </is>
      </c>
      <c r="B1422" s="27" t="n">
        <v>528000298</v>
      </c>
      <c r="C1422" s="27" t="inlineStr">
        <is>
          <t>Desta Cahaya Pratama</t>
        </is>
      </c>
      <c r="D1422" s="171" t="n">
        <v>46218.41666666666</v>
      </c>
      <c r="E1422" s="26" t="n">
        <v>0.2546527777777778</v>
      </c>
      <c r="F1422" s="27" t="inlineStr">
        <is>
          <t>Shift 3</t>
        </is>
      </c>
      <c r="G1422" s="27" t="n"/>
    </row>
    <row r="1423">
      <c r="A1423" s="27" t="inlineStr">
        <is>
          <t>MK00202</t>
        </is>
      </c>
      <c r="B1423" s="27" t="n">
        <v>528000340</v>
      </c>
      <c r="C1423" s="27" t="inlineStr">
        <is>
          <t>Muhammad Wildan Adithya</t>
        </is>
      </c>
      <c r="D1423" s="171" t="n">
        <v>46218.41666666666</v>
      </c>
      <c r="E1423" s="26" t="n">
        <v>0.2549884259259259</v>
      </c>
      <c r="F1423" s="27" t="inlineStr">
        <is>
          <t>Shift 3</t>
        </is>
      </c>
      <c r="G1423" s="27" t="n"/>
    </row>
    <row r="1424">
      <c r="A1424" s="27" t="inlineStr">
        <is>
          <t>MK00082</t>
        </is>
      </c>
      <c r="B1424" s="27" t="n">
        <v>528000302</v>
      </c>
      <c r="C1424" s="27" t="inlineStr">
        <is>
          <t>Henkey gumilar</t>
        </is>
      </c>
      <c r="D1424" s="171" t="n">
        <v>46218.41666666666</v>
      </c>
      <c r="E1424" s="26" t="n">
        <v>0.255162037037037</v>
      </c>
      <c r="F1424" s="27" t="inlineStr">
        <is>
          <t>Shift 3</t>
        </is>
      </c>
      <c r="G1424" s="27" t="n"/>
    </row>
    <row r="1425">
      <c r="A1425" s="27" t="inlineStr">
        <is>
          <t>MK00126</t>
        </is>
      </c>
      <c r="B1425" s="27" t="n">
        <v>528000299</v>
      </c>
      <c r="C1425" s="27" t="inlineStr">
        <is>
          <t>Siti Nurjanah</t>
        </is>
      </c>
      <c r="D1425" s="171" t="n">
        <v>46218.41666666666</v>
      </c>
      <c r="E1425" s="26" t="n">
        <v>0.2556828703703704</v>
      </c>
      <c r="F1425" s="27" t="inlineStr">
        <is>
          <t>Shift 3</t>
        </is>
      </c>
      <c r="G1425" s="27" t="n"/>
    </row>
    <row r="1426">
      <c r="A1426" s="27" t="inlineStr">
        <is>
          <t>MK00154</t>
        </is>
      </c>
      <c r="B1426" s="27" t="n">
        <v>628000091</v>
      </c>
      <c r="C1426" s="27" t="inlineStr">
        <is>
          <t>Devita Handayani</t>
        </is>
      </c>
      <c r="D1426" s="171" t="n">
        <v>46218.41666666666</v>
      </c>
      <c r="E1426" s="26" t="n">
        <v>0.2578472222222222</v>
      </c>
      <c r="F1426" s="27" t="inlineStr">
        <is>
          <t>Shift 3</t>
        </is>
      </c>
      <c r="G1426" s="27" t="n"/>
    </row>
    <row r="1427">
      <c r="A1427" s="27" t="inlineStr">
        <is>
          <t>MK00213</t>
        </is>
      </c>
      <c r="B1427" s="27" t="n">
        <v>528000270</v>
      </c>
      <c r="C1427" s="27" t="inlineStr">
        <is>
          <t>Febri Najmudin</t>
        </is>
      </c>
      <c r="D1427" s="171" t="n">
        <v>46218.41666666666</v>
      </c>
      <c r="E1427" s="26" t="n">
        <v>0.2731018518518519</v>
      </c>
      <c r="F1427" s="27" t="inlineStr">
        <is>
          <t>Shift 3</t>
        </is>
      </c>
      <c r="G1427" s="27" t="n"/>
    </row>
    <row r="1428">
      <c r="A1428" s="27" t="inlineStr">
        <is>
          <t>MK00088</t>
        </is>
      </c>
      <c r="B1428" s="27" t="n">
        <v>528000015</v>
      </c>
      <c r="C1428" s="27" t="inlineStr">
        <is>
          <t>Erwin</t>
        </is>
      </c>
      <c r="D1428" s="171" t="n">
        <v>46218.41666666666</v>
      </c>
      <c r="E1428" s="26" t="n">
        <v>0.3198263888888889</v>
      </c>
      <c r="F1428" s="27" t="inlineStr">
        <is>
          <t>Shift 3</t>
        </is>
      </c>
      <c r="G1428" s="27" t="n"/>
    </row>
    <row r="1429">
      <c r="A1429" s="27" t="inlineStr">
        <is>
          <t>MK00125</t>
        </is>
      </c>
      <c r="B1429" s="27" t="n">
        <v>528000314</v>
      </c>
      <c r="C1429" s="27" t="inlineStr">
        <is>
          <t>Rusmana</t>
        </is>
      </c>
      <c r="D1429" s="171" t="n">
        <v>46218.41666666666</v>
      </c>
      <c r="E1429" s="26" t="n">
        <v>0.3292361111111111</v>
      </c>
      <c r="F1429" s="27" t="inlineStr">
        <is>
          <t>Shift 3</t>
        </is>
      </c>
      <c r="G1429" s="27" t="n"/>
    </row>
    <row r="1430">
      <c r="A1430" s="27" t="inlineStr">
        <is>
          <t>MK00085</t>
        </is>
      </c>
      <c r="B1430" s="27" t="n">
        <v>528000289</v>
      </c>
      <c r="C1430" s="27" t="inlineStr">
        <is>
          <t>Adit Supriyadi</t>
        </is>
      </c>
      <c r="D1430" s="171" t="n">
        <v>46218.41666666666</v>
      </c>
      <c r="E1430" s="26" t="n">
        <v>0.5763773148148148</v>
      </c>
      <c r="F1430" s="27" t="inlineStr">
        <is>
          <t>Shift 1</t>
        </is>
      </c>
      <c r="G1430" s="27" t="n"/>
    </row>
    <row r="1431">
      <c r="A1431" s="27" t="inlineStr">
        <is>
          <t>MK00150</t>
        </is>
      </c>
      <c r="B1431" s="27" t="n">
        <v>528000212</v>
      </c>
      <c r="C1431" s="27" t="inlineStr">
        <is>
          <t>Rizal Fauzi</t>
        </is>
      </c>
      <c r="D1431" s="171" t="n">
        <v>46218.41666666666</v>
      </c>
      <c r="E1431" s="26" t="n">
        <v>0.5835763888888889</v>
      </c>
      <c r="F1431" s="27" t="inlineStr">
        <is>
          <t>Shift 1</t>
        </is>
      </c>
      <c r="G1431" s="27" t="n"/>
    </row>
    <row r="1432">
      <c r="A1432" s="27" t="inlineStr">
        <is>
          <t>MK00158</t>
        </is>
      </c>
      <c r="B1432" s="27" t="n">
        <v>528000063</v>
      </c>
      <c r="C1432" s="27" t="inlineStr">
        <is>
          <t>Muhamad Ripki Pebrian</t>
        </is>
      </c>
      <c r="D1432" s="171" t="n">
        <v>46218.41666666666</v>
      </c>
      <c r="E1432" s="26" t="n">
        <v>0.5845601851851852</v>
      </c>
      <c r="F1432" s="27" t="inlineStr">
        <is>
          <t>Shift 1</t>
        </is>
      </c>
      <c r="G1432" s="27" t="n"/>
    </row>
    <row r="1433">
      <c r="A1433" s="27" t="inlineStr">
        <is>
          <t>MK00148</t>
        </is>
      </c>
      <c r="B1433" s="27" t="n">
        <v>528000248</v>
      </c>
      <c r="C1433" s="27" t="inlineStr">
        <is>
          <t>Roka Jaya Salka Mulya</t>
        </is>
      </c>
      <c r="D1433" s="171" t="n">
        <v>46218.41666666666</v>
      </c>
      <c r="E1433" s="26" t="n">
        <v>0.5846875</v>
      </c>
      <c r="F1433" s="27" t="inlineStr">
        <is>
          <t>Shift 1</t>
        </is>
      </c>
      <c r="G1433" s="27" t="n"/>
    </row>
    <row r="1434">
      <c r="A1434" s="27" t="inlineStr">
        <is>
          <t>MK00235</t>
        </is>
      </c>
      <c r="B1434" s="27" t="n">
        <v>528000359</v>
      </c>
      <c r="C1434" s="27" t="inlineStr">
        <is>
          <t>M. Iqbal Maulana. S</t>
        </is>
      </c>
      <c r="D1434" s="171" t="n">
        <v>46218.41666666666</v>
      </c>
      <c r="E1434" s="26" t="n">
        <v>0.584849537037037</v>
      </c>
      <c r="F1434" s="27" t="inlineStr">
        <is>
          <t>Shift 1</t>
        </is>
      </c>
      <c r="G1434" s="27" t="n"/>
    </row>
    <row r="1435">
      <c r="A1435" s="27" t="inlineStr">
        <is>
          <t>MK00212</t>
        </is>
      </c>
      <c r="B1435" s="27" t="n">
        <v>528000279</v>
      </c>
      <c r="C1435" s="27" t="inlineStr">
        <is>
          <t>Mahdalena Dalfa Riani</t>
        </is>
      </c>
      <c r="D1435" s="171" t="n">
        <v>46218.41666666666</v>
      </c>
      <c r="E1435" s="26" t="n">
        <v>0.5848842592592592</v>
      </c>
      <c r="F1435" s="27" t="inlineStr">
        <is>
          <t>Shift 1</t>
        </is>
      </c>
      <c r="G1435" s="27" t="n"/>
    </row>
    <row r="1436">
      <c r="A1436" s="27" t="inlineStr">
        <is>
          <t>MK00121</t>
        </is>
      </c>
      <c r="B1436" s="27" t="n">
        <v>528000306</v>
      </c>
      <c r="C1436" s="27" t="inlineStr">
        <is>
          <t>Windy Olivia</t>
        </is>
      </c>
      <c r="D1436" s="171" t="n">
        <v>46218.41666666666</v>
      </c>
      <c r="E1436" s="26" t="n">
        <v>0.5850231481481482</v>
      </c>
      <c r="F1436" s="27" t="inlineStr">
        <is>
          <t>Shift 1</t>
        </is>
      </c>
      <c r="G1436" s="27" t="n"/>
    </row>
    <row r="1437">
      <c r="A1437" s="27" t="inlineStr">
        <is>
          <t>MK00145</t>
        </is>
      </c>
      <c r="B1437" s="27" t="n">
        <v>528000300</v>
      </c>
      <c r="C1437" s="27" t="inlineStr">
        <is>
          <t>Lia pitaloka</t>
        </is>
      </c>
      <c r="D1437" s="171" t="n">
        <v>46218.41666666666</v>
      </c>
      <c r="E1437" s="26" t="n">
        <v>0.5857870370370371</v>
      </c>
      <c r="F1437" s="27" t="inlineStr">
        <is>
          <t>Shift 1</t>
        </is>
      </c>
      <c r="G1437" s="27" t="n"/>
    </row>
    <row r="1438">
      <c r="A1438" s="27" t="inlineStr">
        <is>
          <t>MK00109</t>
        </is>
      </c>
      <c r="B1438" s="27" t="n">
        <v>628000064</v>
      </c>
      <c r="C1438" s="27" t="inlineStr">
        <is>
          <t>Silva Alypia</t>
        </is>
      </c>
      <c r="D1438" s="171" t="n">
        <v>46218.41666666666</v>
      </c>
      <c r="E1438" s="26" t="n">
        <v>0.5859143518518518</v>
      </c>
      <c r="F1438" s="27" t="inlineStr">
        <is>
          <t>Shift 1</t>
        </is>
      </c>
      <c r="G1438" s="27" t="n"/>
    </row>
    <row r="1439">
      <c r="A1439" s="27" t="inlineStr">
        <is>
          <t>MK00116</t>
        </is>
      </c>
      <c r="B1439" s="27" t="n">
        <v>528000297</v>
      </c>
      <c r="C1439" s="27" t="inlineStr">
        <is>
          <t>Muhamad Budiana</t>
        </is>
      </c>
      <c r="D1439" s="171" t="n">
        <v>46218.41666666666</v>
      </c>
      <c r="E1439" s="26" t="n">
        <v>0.6226157407407408</v>
      </c>
      <c r="F1439" s="27" t="inlineStr">
        <is>
          <t>Shift 1</t>
        </is>
      </c>
      <c r="G1439" s="27" t="n"/>
    </row>
    <row r="1440">
      <c r="A1440" s="27" t="inlineStr">
        <is>
          <t>MK00192</t>
        </is>
      </c>
      <c r="B1440" s="27" t="n">
        <v>528000310</v>
      </c>
      <c r="C1440" s="27" t="inlineStr">
        <is>
          <t>Fachrul Rozzi Suryana</t>
        </is>
      </c>
      <c r="D1440" s="171" t="n">
        <v>46218.41666666666</v>
      </c>
      <c r="E1440" s="26" t="n">
        <v>0.6672800925925926</v>
      </c>
      <c r="F1440" s="27" t="inlineStr">
        <is>
          <t>Shift 2</t>
        </is>
      </c>
      <c r="G1440" s="27" t="inlineStr">
        <is>
          <t>32B</t>
        </is>
      </c>
    </row>
    <row r="1441">
      <c r="A1441" s="27" t="inlineStr">
        <is>
          <t>MK00203</t>
        </is>
      </c>
      <c r="B1441" s="27" t="n">
        <v>528000265</v>
      </c>
      <c r="C1441" s="27" t="inlineStr">
        <is>
          <t>Muhammad Haerul Rozikin</t>
        </is>
      </c>
      <c r="D1441" s="171" t="n">
        <v>46218.41666666666</v>
      </c>
      <c r="E1441" s="26" t="n">
        <v>0.6675347222222222</v>
      </c>
      <c r="F1441" s="27" t="inlineStr">
        <is>
          <t>Shift 2</t>
        </is>
      </c>
      <c r="G1441" s="27" t="n"/>
    </row>
    <row r="1442">
      <c r="A1442" s="27" t="inlineStr">
        <is>
          <t>MK00208</t>
        </is>
      </c>
      <c r="B1442" s="27" t="n">
        <v>528000351</v>
      </c>
      <c r="C1442" s="27" t="inlineStr">
        <is>
          <t>Mulyana</t>
        </is>
      </c>
      <c r="D1442" s="171" t="n">
        <v>46218.41666666666</v>
      </c>
      <c r="E1442" s="26" t="n">
        <v>0.6686921296296297</v>
      </c>
      <c r="F1442" s="27" t="inlineStr">
        <is>
          <t>Shift 2</t>
        </is>
      </c>
      <c r="G1442" s="27" t="n"/>
    </row>
    <row r="1443">
      <c r="A1443" s="27" t="inlineStr">
        <is>
          <t>MK00213</t>
        </is>
      </c>
      <c r="B1443" s="27" t="n">
        <v>528000282</v>
      </c>
      <c r="C1443" s="27" t="inlineStr">
        <is>
          <t>Defa Desfiana</t>
        </is>
      </c>
      <c r="D1443" s="171" t="n">
        <v>46218.41666666666</v>
      </c>
      <c r="E1443" s="26" t="n">
        <v>0.6769097222222222</v>
      </c>
      <c r="F1443" s="27" t="inlineStr">
        <is>
          <t>Shift 2</t>
        </is>
      </c>
      <c r="G1443" s="27" t="inlineStr">
        <is>
          <t>30e</t>
        </is>
      </c>
    </row>
    <row r="1444">
      <c r="A1444" s="27" t="inlineStr">
        <is>
          <t>MK00221</t>
        </is>
      </c>
      <c r="B1444" s="27" t="n">
        <v>528000144</v>
      </c>
      <c r="C1444" s="27" t="inlineStr">
        <is>
          <t>Jodi Hanafi</t>
        </is>
      </c>
      <c r="D1444" s="171" t="n">
        <v>46218.41666666666</v>
      </c>
      <c r="E1444" s="26" t="n">
        <v>0.677511574074074</v>
      </c>
      <c r="F1444" s="27" t="inlineStr">
        <is>
          <t>Shift 2</t>
        </is>
      </c>
      <c r="G1444" s="27" t="n"/>
    </row>
    <row r="1445">
      <c r="A1445" s="27" t="inlineStr">
        <is>
          <t>MK00160</t>
        </is>
      </c>
      <c r="B1445" s="27" t="n">
        <v>528000069</v>
      </c>
      <c r="C1445" s="27" t="inlineStr">
        <is>
          <t>Jajang Ardiansyah</t>
        </is>
      </c>
      <c r="D1445" s="171" t="n">
        <v>46218.41666666666</v>
      </c>
      <c r="E1445" s="26" t="n">
        <v>0.6784375</v>
      </c>
      <c r="F1445" s="27" t="inlineStr">
        <is>
          <t>Shift 2</t>
        </is>
      </c>
      <c r="G1445" s="27" t="n"/>
    </row>
    <row r="1446">
      <c r="A1446" s="27" t="inlineStr">
        <is>
          <t>MK00205</t>
        </is>
      </c>
      <c r="B1446" s="27" t="n">
        <v>528000348</v>
      </c>
      <c r="C1446" s="27" t="inlineStr">
        <is>
          <t>Saepuloh Ardiansah</t>
        </is>
      </c>
      <c r="D1446" s="171" t="n">
        <v>46218.41666666666</v>
      </c>
      <c r="E1446" s="26" t="n">
        <v>0.7276388888888888</v>
      </c>
      <c r="F1446" s="27" t="inlineStr">
        <is>
          <t>Shift 2</t>
        </is>
      </c>
      <c r="G1446" s="27" t="n"/>
    </row>
    <row r="1447">
      <c r="A1447" s="27" t="inlineStr">
        <is>
          <t>MK00202</t>
        </is>
      </c>
      <c r="B1447" s="27" t="n">
        <v>528000349</v>
      </c>
      <c r="C1447" s="27" t="inlineStr">
        <is>
          <t>Anas Abdul Fatah</t>
        </is>
      </c>
      <c r="D1447" s="171" t="n">
        <v>46218.41666666666</v>
      </c>
      <c r="E1447" s="26" t="n">
        <v>0.7588541666666667</v>
      </c>
      <c r="F1447" s="27" t="inlineStr">
        <is>
          <t>Shift 2</t>
        </is>
      </c>
      <c r="G1447" s="27" t="n"/>
    </row>
    <row r="1448">
      <c r="A1448" s="27" t="inlineStr">
        <is>
          <t>MK00181</t>
        </is>
      </c>
      <c r="B1448" s="27" t="n">
        <v>528000015</v>
      </c>
      <c r="C1448" s="27" t="inlineStr">
        <is>
          <t>Erwin</t>
        </is>
      </c>
      <c r="D1448" s="171" t="n">
        <v>46218.41666666666</v>
      </c>
      <c r="E1448" s="26" t="n">
        <v>0.8178125000000001</v>
      </c>
      <c r="F1448" s="27" t="inlineStr">
        <is>
          <t>Shift 2</t>
        </is>
      </c>
      <c r="G1448" s="27" t="n"/>
    </row>
    <row r="1449">
      <c r="A1449" s="27" t="inlineStr">
        <is>
          <t>MK00218</t>
        </is>
      </c>
      <c r="B1449" s="27" t="n">
        <v>528000241</v>
      </c>
      <c r="C1449" s="27" t="inlineStr">
        <is>
          <t>Balia Nurafif Bilah</t>
        </is>
      </c>
      <c r="D1449" s="171" t="n">
        <v>46218.41666666666</v>
      </c>
      <c r="E1449" s="26" t="n">
        <v>0.9187152777777777</v>
      </c>
      <c r="F1449" s="27" t="inlineStr">
        <is>
          <t>Shift 2</t>
        </is>
      </c>
      <c r="G1449" s="27" t="n"/>
    </row>
    <row r="1450">
      <c r="A1450" s="27" t="inlineStr">
        <is>
          <t>MK00090</t>
        </is>
      </c>
      <c r="B1450" s="27" t="n">
        <v>528000090</v>
      </c>
      <c r="C1450" s="27" t="inlineStr">
        <is>
          <t>Suganda</t>
        </is>
      </c>
      <c r="D1450" s="171" t="n">
        <v>46218.41666666666</v>
      </c>
      <c r="E1450" s="26" t="n">
        <v>0.918900462962963</v>
      </c>
      <c r="F1450" s="27" t="inlineStr">
        <is>
          <t>Shift 2</t>
        </is>
      </c>
      <c r="G1450" s="27" t="n"/>
    </row>
    <row r="1451">
      <c r="A1451" s="27" t="inlineStr">
        <is>
          <t>MK00154</t>
        </is>
      </c>
      <c r="B1451" s="27" t="n">
        <v>528000290</v>
      </c>
      <c r="C1451" s="27" t="inlineStr">
        <is>
          <t>Eval Pranata</t>
        </is>
      </c>
      <c r="D1451" s="171" t="n">
        <v>46218.41666666666</v>
      </c>
      <c r="E1451" s="26" t="n">
        <v>0.9193981481481481</v>
      </c>
      <c r="F1451" s="27" t="inlineStr">
        <is>
          <t>Shift 2</t>
        </is>
      </c>
      <c r="G1451" s="27" t="n"/>
    </row>
    <row r="1452">
      <c r="A1452" s="27" t="inlineStr">
        <is>
          <t>MK00156</t>
        </is>
      </c>
      <c r="B1452" s="27" t="n">
        <v>528000274</v>
      </c>
      <c r="C1452" s="27" t="inlineStr">
        <is>
          <t>Zepri</t>
        </is>
      </c>
      <c r="D1452" s="171" t="n">
        <v>46218.41666666666</v>
      </c>
      <c r="E1452" s="26" t="n">
        <v>0.9196180555555555</v>
      </c>
      <c r="F1452" s="27" t="inlineStr">
        <is>
          <t>Shift 2</t>
        </is>
      </c>
      <c r="G1452" s="27" t="n"/>
    </row>
    <row r="1453">
      <c r="A1453" s="27" t="inlineStr">
        <is>
          <t>MK00184</t>
        </is>
      </c>
      <c r="B1453" s="27" t="n">
        <v>528000201</v>
      </c>
      <c r="C1453" s="27" t="inlineStr">
        <is>
          <t>Zahwa Amelia Choerunissa</t>
        </is>
      </c>
      <c r="D1453" s="171" t="n">
        <v>46218.41666666666</v>
      </c>
      <c r="E1453" s="26" t="n">
        <v>0.9212037037037037</v>
      </c>
      <c r="F1453" s="27" t="inlineStr">
        <is>
          <t>Shift 2</t>
        </is>
      </c>
      <c r="G1453" s="27" t="n"/>
    </row>
    <row r="1454">
      <c r="A1454" s="27" t="inlineStr">
        <is>
          <t>MK00217</t>
        </is>
      </c>
      <c r="B1454" s="27" t="n">
        <v>528000099</v>
      </c>
      <c r="C1454" s="27" t="inlineStr">
        <is>
          <t>Siti Nurawaliah</t>
        </is>
      </c>
      <c r="D1454" s="171" t="n">
        <v>46218.41666666666</v>
      </c>
      <c r="E1454" s="26" t="n">
        <v>0.9215856481481481</v>
      </c>
      <c r="F1454" s="27" t="inlineStr">
        <is>
          <t>Shift 2</t>
        </is>
      </c>
      <c r="G1454" s="27" t="n"/>
    </row>
    <row r="1455">
      <c r="A1455" s="27" t="inlineStr">
        <is>
          <t>MK00220</t>
        </is>
      </c>
      <c r="B1455" s="27" t="n">
        <v>528000286</v>
      </c>
      <c r="C1455" s="27" t="inlineStr">
        <is>
          <t>Imelda Amelia</t>
        </is>
      </c>
      <c r="D1455" s="171" t="n">
        <v>46218.41666666666</v>
      </c>
      <c r="E1455" s="26" t="n">
        <v>0.9225</v>
      </c>
      <c r="F1455" s="27" t="inlineStr">
        <is>
          <t>Shift 2</t>
        </is>
      </c>
      <c r="G1455" s="27" t="n"/>
    </row>
    <row r="1456">
      <c r="A1456" s="27" t="inlineStr">
        <is>
          <t>MK00050</t>
        </is>
      </c>
      <c r="B1456" s="27" t="n">
        <v>528000244</v>
      </c>
      <c r="C1456" s="27" t="inlineStr">
        <is>
          <t>Rodian Rifai</t>
        </is>
      </c>
      <c r="D1456" s="171" t="n">
        <v>46218.41666666666</v>
      </c>
      <c r="E1456" s="26" t="n">
        <v>0.9357523148148148</v>
      </c>
      <c r="F1456" s="27" t="inlineStr">
        <is>
          <t>Shift 2</t>
        </is>
      </c>
      <c r="G1456" s="27" t="n"/>
    </row>
    <row r="1457">
      <c r="A1457" s="27" t="inlineStr">
        <is>
          <t>MK00108</t>
        </is>
      </c>
      <c r="B1457" s="27" t="n">
        <v>528000288</v>
      </c>
      <c r="C1457" s="27" t="inlineStr">
        <is>
          <t>Dede gunawan</t>
        </is>
      </c>
      <c r="D1457" s="171" t="n">
        <v>46219.41666666666</v>
      </c>
      <c r="E1457" s="26" t="n">
        <v>0.2484027777777778</v>
      </c>
      <c r="F1457" s="27" t="inlineStr">
        <is>
          <t>Shift 3</t>
        </is>
      </c>
      <c r="G1457" s="27" t="n"/>
    </row>
    <row r="1458">
      <c r="A1458" s="27" t="inlineStr">
        <is>
          <t>MK00219</t>
        </is>
      </c>
      <c r="B1458" s="27" t="n">
        <v>528000289</v>
      </c>
      <c r="C1458" s="27" t="inlineStr">
        <is>
          <t>Adit Supriyadi</t>
        </is>
      </c>
      <c r="D1458" s="171" t="n">
        <v>46219.41666666666</v>
      </c>
      <c r="E1458" s="26" t="n">
        <v>0.2495023148148148</v>
      </c>
      <c r="F1458" s="27" t="inlineStr">
        <is>
          <t>Shift 3</t>
        </is>
      </c>
      <c r="G1458" s="27" t="n"/>
    </row>
    <row r="1459">
      <c r="A1459" s="27" t="inlineStr">
        <is>
          <t>MK00213</t>
        </is>
      </c>
      <c r="B1459" s="27" t="n">
        <v>528000318</v>
      </c>
      <c r="C1459" s="27" t="inlineStr">
        <is>
          <t>Bayu Padli Sepriyana</t>
        </is>
      </c>
      <c r="D1459" s="171" t="n">
        <v>46219.41666666666</v>
      </c>
      <c r="E1459" s="26" t="n">
        <v>0.2511458333333333</v>
      </c>
      <c r="F1459" s="27" t="inlineStr">
        <is>
          <t>Shift 3</t>
        </is>
      </c>
      <c r="G1459" s="27" t="n"/>
    </row>
    <row r="1460">
      <c r="A1460" s="27" t="inlineStr">
        <is>
          <t>MK00145</t>
        </is>
      </c>
      <c r="B1460" s="27" t="n">
        <v>528000305</v>
      </c>
      <c r="C1460" s="27" t="inlineStr">
        <is>
          <t>Puji Puspita</t>
        </is>
      </c>
      <c r="D1460" s="171" t="n">
        <v>46219.41666666666</v>
      </c>
      <c r="E1460" s="26" t="n">
        <v>0.2515509259259259</v>
      </c>
      <c r="F1460" s="27" t="inlineStr">
        <is>
          <t>Shift 3</t>
        </is>
      </c>
      <c r="G1460" s="27" t="n"/>
    </row>
    <row r="1461">
      <c r="A1461" s="27" t="inlineStr">
        <is>
          <t>MK00109</t>
        </is>
      </c>
      <c r="B1461" s="27" t="n">
        <v>528000299</v>
      </c>
      <c r="C1461" s="27" t="inlineStr">
        <is>
          <t>Siti Nurjanah</t>
        </is>
      </c>
      <c r="D1461" s="171" t="n">
        <v>46219.41666666666</v>
      </c>
      <c r="E1461" s="26" t="n">
        <v>0.253113425925926</v>
      </c>
      <c r="F1461" s="27" t="inlineStr">
        <is>
          <t>Shift 3</t>
        </is>
      </c>
      <c r="G1461" s="27" t="n"/>
    </row>
    <row r="1462">
      <c r="A1462" s="27" t="inlineStr">
        <is>
          <t>MK00250</t>
        </is>
      </c>
      <c r="B1462" s="27" t="n">
        <v>528000298</v>
      </c>
      <c r="C1462" s="27" t="inlineStr">
        <is>
          <t>Desta Cahaya Pratama</t>
        </is>
      </c>
      <c r="D1462" s="171" t="n">
        <v>46219.41666666666</v>
      </c>
      <c r="E1462" s="26" t="n">
        <v>0.2531828703703703</v>
      </c>
      <c r="F1462" s="27" t="inlineStr">
        <is>
          <t>Shift 3</t>
        </is>
      </c>
      <c r="G1462" s="27" t="n"/>
    </row>
    <row r="1463">
      <c r="A1463" s="27" t="inlineStr">
        <is>
          <t>MK00085</t>
        </is>
      </c>
      <c r="B1463" s="27" t="n">
        <v>528000313</v>
      </c>
      <c r="C1463" s="27" t="inlineStr">
        <is>
          <t>Muhamad Rifki</t>
        </is>
      </c>
      <c r="D1463" s="171" t="n">
        <v>46219.41666666666</v>
      </c>
      <c r="E1463" s="26" t="n">
        <v>0.2532638888888889</v>
      </c>
      <c r="F1463" s="27" t="inlineStr">
        <is>
          <t>Shift 3</t>
        </is>
      </c>
      <c r="G1463" s="27" t="n"/>
    </row>
    <row r="1464">
      <c r="A1464" s="27" t="inlineStr">
        <is>
          <t>MK00204</t>
        </is>
      </c>
      <c r="B1464" s="27" t="n">
        <v>528000340</v>
      </c>
      <c r="C1464" s="27" t="inlineStr">
        <is>
          <t>Muhammad Wildan Adithya</t>
        </is>
      </c>
      <c r="D1464" s="171" t="n">
        <v>46219.41666666666</v>
      </c>
      <c r="E1464" s="26" t="n">
        <v>0.2539583333333333</v>
      </c>
      <c r="F1464" s="27" t="inlineStr">
        <is>
          <t>Shift 3</t>
        </is>
      </c>
      <c r="G1464" s="27" t="n"/>
    </row>
    <row r="1465">
      <c r="A1465" s="27" t="inlineStr">
        <is>
          <t>MK00235</t>
        </is>
      </c>
      <c r="B1465" s="27" t="n">
        <v>528000309</v>
      </c>
      <c r="C1465" s="27" t="inlineStr">
        <is>
          <t>Ilham Ramadhan</t>
        </is>
      </c>
      <c r="D1465" s="171" t="n">
        <v>46219.41666666666</v>
      </c>
      <c r="E1465" s="26" t="n">
        <v>0.2541550925925926</v>
      </c>
      <c r="F1465" s="27" t="inlineStr">
        <is>
          <t>Shift 3</t>
        </is>
      </c>
      <c r="G1465" s="27" t="n"/>
    </row>
    <row r="1466">
      <c r="A1466" s="27" t="inlineStr">
        <is>
          <t>MK00082</t>
        </is>
      </c>
      <c r="B1466" s="27" t="n">
        <v>528000302</v>
      </c>
      <c r="C1466" s="27" t="inlineStr">
        <is>
          <t>Henkey gumilar</t>
        </is>
      </c>
      <c r="D1466" s="171" t="n">
        <v>46219.41666666666</v>
      </c>
      <c r="E1466" s="26" t="n">
        <v>0.2570023148148148</v>
      </c>
      <c r="F1466" s="27" t="inlineStr">
        <is>
          <t>Shift 3</t>
        </is>
      </c>
      <c r="G1466" s="27" t="n"/>
    </row>
    <row r="1467">
      <c r="A1467" s="27" t="inlineStr">
        <is>
          <t>MK00203</t>
        </is>
      </c>
      <c r="B1467" s="27" t="n">
        <v>628000091</v>
      </c>
      <c r="C1467" s="27" t="inlineStr">
        <is>
          <t>Devita Handayani</t>
        </is>
      </c>
      <c r="D1467" s="171" t="n">
        <v>46219.41666666666</v>
      </c>
      <c r="E1467" s="26" t="n">
        <v>0.2580439814814815</v>
      </c>
      <c r="F1467" s="27" t="inlineStr">
        <is>
          <t>Shift 3</t>
        </is>
      </c>
      <c r="G1467" s="27" t="n"/>
    </row>
    <row r="1468">
      <c r="A1468" s="27" t="inlineStr">
        <is>
          <t>MK00228</t>
        </is>
      </c>
      <c r="B1468" s="27" t="n">
        <v>528000132</v>
      </c>
      <c r="C1468" s="27" t="inlineStr">
        <is>
          <t>Giopani</t>
        </is>
      </c>
      <c r="D1468" s="171" t="n">
        <v>46219.41666666666</v>
      </c>
      <c r="E1468" s="26" t="n">
        <v>0.3626504629629629</v>
      </c>
      <c r="F1468" s="27" t="inlineStr">
        <is>
          <t>Shift 1</t>
        </is>
      </c>
      <c r="G1468" s="27" t="n"/>
    </row>
    <row r="1469">
      <c r="A1469" s="27" t="inlineStr">
        <is>
          <t>MK00210</t>
        </is>
      </c>
      <c r="B1469" s="27" t="n">
        <v>528000232</v>
      </c>
      <c r="C1469" s="27" t="inlineStr">
        <is>
          <t>Agung Aji Suhada</t>
        </is>
      </c>
      <c r="D1469" s="171" t="n">
        <v>46219.41666666666</v>
      </c>
      <c r="E1469" s="26" t="n">
        <v>0.3632291666666667</v>
      </c>
      <c r="F1469" s="27" t="inlineStr">
        <is>
          <t>Shift 1</t>
        </is>
      </c>
      <c r="G1469" s="27" t="n"/>
    </row>
    <row r="1470">
      <c r="A1470" s="27" t="inlineStr">
        <is>
          <t>MK00143</t>
        </is>
      </c>
      <c r="B1470" s="27" t="n">
        <v>528000329</v>
      </c>
      <c r="C1470" s="27" t="inlineStr">
        <is>
          <t>Havid Ilham Firdaus</t>
        </is>
      </c>
      <c r="D1470" s="171" t="n">
        <v>46219.41666666666</v>
      </c>
      <c r="E1470" s="26" t="n">
        <v>0.3791666666666667</v>
      </c>
      <c r="F1470" s="27" t="inlineStr">
        <is>
          <t>Shift 1</t>
        </is>
      </c>
      <c r="G1470" s="27" t="n"/>
    </row>
    <row r="1471">
      <c r="A1471" s="27" t="inlineStr">
        <is>
          <t>MK000209</t>
        </is>
      </c>
      <c r="B1471" s="27" t="n">
        <v>528000328</v>
      </c>
      <c r="C1471" s="27" t="inlineStr">
        <is>
          <t>Nur Anjani</t>
        </is>
      </c>
      <c r="D1471" s="171" t="n">
        <v>46219.41666666666</v>
      </c>
      <c r="E1471" s="26" t="n">
        <v>0.5665393518518519</v>
      </c>
      <c r="F1471" s="27" t="inlineStr">
        <is>
          <t>Shift 1</t>
        </is>
      </c>
      <c r="G1471" s="27" t="n"/>
    </row>
    <row r="1472">
      <c r="A1472" s="27" t="inlineStr">
        <is>
          <t>MK00125</t>
        </is>
      </c>
      <c r="B1472" s="27" t="n">
        <v>528000314</v>
      </c>
      <c r="C1472" s="27" t="inlineStr">
        <is>
          <t>Rusmana</t>
        </is>
      </c>
      <c r="D1472" s="171" t="n">
        <v>46219.41666666666</v>
      </c>
      <c r="E1472" s="26" t="n">
        <v>0.5691087962962963</v>
      </c>
      <c r="F1472" s="27" t="inlineStr">
        <is>
          <t>Shift 1</t>
        </is>
      </c>
      <c r="G1472" s="27" t="n"/>
    </row>
    <row r="1473">
      <c r="A1473" s="27" t="inlineStr">
        <is>
          <t>MK00186</t>
        </is>
      </c>
      <c r="B1473" s="27" t="n">
        <v>528000291</v>
      </c>
      <c r="C1473" s="27" t="inlineStr">
        <is>
          <t>Andrian</t>
        </is>
      </c>
      <c r="D1473" s="171" t="n">
        <v>46219.41666666666</v>
      </c>
      <c r="E1473" s="26" t="n">
        <v>0.5744212962962963</v>
      </c>
      <c r="F1473" s="27" t="inlineStr">
        <is>
          <t>Shift 1</t>
        </is>
      </c>
      <c r="G1473" s="27" t="n"/>
    </row>
    <row r="1474">
      <c r="A1474" s="27" t="inlineStr">
        <is>
          <t>MK00158</t>
        </is>
      </c>
      <c r="B1474" s="27" t="n">
        <v>528000052</v>
      </c>
      <c r="C1474" s="27" t="inlineStr">
        <is>
          <t>Mustopa</t>
        </is>
      </c>
      <c r="D1474" s="171" t="n">
        <v>46219.41666666666</v>
      </c>
      <c r="E1474" s="26" t="n">
        <v>0.5834953703703704</v>
      </c>
      <c r="F1474" s="27" t="inlineStr">
        <is>
          <t>Shift 1</t>
        </is>
      </c>
      <c r="G1474" s="27" t="n"/>
    </row>
    <row r="1475">
      <c r="A1475" s="27" t="inlineStr">
        <is>
          <t>MK00185</t>
        </is>
      </c>
      <c r="B1475" s="27" t="n">
        <v>528000248</v>
      </c>
      <c r="C1475" s="27" t="inlineStr">
        <is>
          <t>Roka Jaya Salka Mulya</t>
        </is>
      </c>
      <c r="D1475" s="171" t="n">
        <v>46219.41666666666</v>
      </c>
      <c r="E1475" s="26" t="n">
        <v>0.5837847222222222</v>
      </c>
      <c r="F1475" s="27" t="inlineStr">
        <is>
          <t>Shift 1</t>
        </is>
      </c>
      <c r="G1475" s="27" t="n"/>
    </row>
    <row r="1476">
      <c r="A1476" s="27" t="inlineStr">
        <is>
          <t>MK00220</t>
        </is>
      </c>
      <c r="B1476" s="27" t="n">
        <v>528000324</v>
      </c>
      <c r="C1476" s="27" t="inlineStr">
        <is>
          <t>Sri Yanti</t>
        </is>
      </c>
      <c r="D1476" s="171" t="n">
        <v>46219.41666666666</v>
      </c>
      <c r="E1476" s="26" t="n">
        <v>0.5838310185185185</v>
      </c>
      <c r="F1476" s="27" t="inlineStr">
        <is>
          <t>Shift 1</t>
        </is>
      </c>
      <c r="G1476" s="27" t="n"/>
    </row>
    <row r="1477">
      <c r="A1477" s="27" t="inlineStr">
        <is>
          <t>MK00088</t>
        </is>
      </c>
      <c r="B1477" s="27" t="n">
        <v>528000015</v>
      </c>
      <c r="C1477" s="27" t="inlineStr">
        <is>
          <t>Erwin</t>
        </is>
      </c>
      <c r="D1477" s="171" t="n">
        <v>46219.41666666666</v>
      </c>
      <c r="E1477" s="26" t="n">
        <v>0.5849884259259259</v>
      </c>
      <c r="F1477" s="27" t="inlineStr">
        <is>
          <t>Shift 1</t>
        </is>
      </c>
      <c r="G1477" s="27" t="n"/>
    </row>
    <row r="1478">
      <c r="A1478" s="27" t="inlineStr">
        <is>
          <t>MK00218</t>
        </is>
      </c>
      <c r="B1478" s="27" t="n">
        <v>628000064</v>
      </c>
      <c r="C1478" s="27" t="inlineStr">
        <is>
          <t>Silva Alypia</t>
        </is>
      </c>
      <c r="D1478" s="171" t="n">
        <v>46219.41666666666</v>
      </c>
      <c r="E1478" s="26" t="n">
        <v>0.5850347222222222</v>
      </c>
      <c r="F1478" s="27" t="inlineStr">
        <is>
          <t>Shift 1</t>
        </is>
      </c>
      <c r="G1478" s="27" t="n"/>
    </row>
    <row r="1479">
      <c r="A1479" s="27" t="inlineStr">
        <is>
          <t>MK00090</t>
        </is>
      </c>
      <c r="B1479" s="27" t="n">
        <v>528000279</v>
      </c>
      <c r="C1479" s="27" t="inlineStr">
        <is>
          <t>Mahdalena Dalfa Riani</t>
        </is>
      </c>
      <c r="D1479" s="171" t="n">
        <v>46219.41666666666</v>
      </c>
      <c r="E1479" s="26" t="n">
        <v>0.5851041666666666</v>
      </c>
      <c r="F1479" s="27" t="inlineStr">
        <is>
          <t>Shift 1</t>
        </is>
      </c>
      <c r="G1479" s="27" t="n"/>
    </row>
    <row r="1480">
      <c r="A1480" s="27" t="inlineStr">
        <is>
          <t>MK00156</t>
        </is>
      </c>
      <c r="B1480" s="27" t="n">
        <v>528000300</v>
      </c>
      <c r="C1480" s="27" t="inlineStr">
        <is>
          <t>Lia pitaloka</t>
        </is>
      </c>
      <c r="D1480" s="171" t="n">
        <v>46219.41666666666</v>
      </c>
      <c r="E1480" s="26" t="n">
        <v>0.5857986111111111</v>
      </c>
      <c r="F1480" s="27" t="inlineStr">
        <is>
          <t>Shift 1</t>
        </is>
      </c>
      <c r="G1480" s="27" t="n"/>
    </row>
    <row r="1481">
      <c r="A1481" s="27" t="inlineStr">
        <is>
          <t>MK00212</t>
        </is>
      </c>
      <c r="B1481" s="27" t="n">
        <v>528000297</v>
      </c>
      <c r="C1481" s="27" t="inlineStr">
        <is>
          <t>Muhamad Budiana</t>
        </is>
      </c>
      <c r="D1481" s="171" t="n">
        <v>46219.41666666666</v>
      </c>
      <c r="E1481" s="26" t="n">
        <v>0.5987847222222222</v>
      </c>
      <c r="F1481" s="27" t="inlineStr">
        <is>
          <t>Shift 1</t>
        </is>
      </c>
      <c r="G1481" s="27" t="n"/>
    </row>
    <row r="1482">
      <c r="A1482" s="27" t="inlineStr">
        <is>
          <t>MK0082</t>
        </is>
      </c>
      <c r="B1482" s="27" t="n">
        <v>528000351</v>
      </c>
      <c r="C1482" s="27" t="inlineStr">
        <is>
          <t>Mulyana</t>
        </is>
      </c>
      <c r="D1482" s="171" t="n">
        <v>46219.41666666666</v>
      </c>
      <c r="E1482" s="26" t="n">
        <v>0.6687731481481481</v>
      </c>
      <c r="F1482" s="27" t="inlineStr">
        <is>
          <t>Shift 2</t>
        </is>
      </c>
      <c r="G1482" s="27" t="n"/>
    </row>
    <row r="1483">
      <c r="A1483" s="27" t="inlineStr">
        <is>
          <t>MK00046</t>
        </is>
      </c>
      <c r="B1483" s="27" t="n">
        <v>528000335</v>
      </c>
      <c r="C1483" s="27" t="inlineStr">
        <is>
          <t>Rizal Saepuloh</t>
        </is>
      </c>
      <c r="D1483" s="171" t="n">
        <v>46219.41666666666</v>
      </c>
      <c r="E1483" s="26" t="n">
        <v>0.6698379629629629</v>
      </c>
      <c r="F1483" s="27" t="inlineStr">
        <is>
          <t>Shift 2</t>
        </is>
      </c>
      <c r="G1483" s="27" t="n"/>
    </row>
    <row r="1484">
      <c r="A1484" s="27" t="inlineStr">
        <is>
          <t>MK0130</t>
        </is>
      </c>
      <c r="B1484" s="27" t="n">
        <v>528000149</v>
      </c>
      <c r="C1484" s="27" t="inlineStr">
        <is>
          <t>Tio Fernanda</t>
        </is>
      </c>
      <c r="D1484" s="171" t="n">
        <v>46219.41666666666</v>
      </c>
      <c r="E1484" s="26" t="n">
        <v>0.6714351851851852</v>
      </c>
      <c r="F1484" s="27" t="inlineStr">
        <is>
          <t>Shift 2</t>
        </is>
      </c>
      <c r="G1484" s="27" t="n"/>
    </row>
    <row r="1485">
      <c r="A1485" s="27" t="inlineStr">
        <is>
          <t>MK00199</t>
        </is>
      </c>
      <c r="B1485" s="27" t="n">
        <v>528000267</v>
      </c>
      <c r="C1485" s="27" t="inlineStr">
        <is>
          <t>Bagas Patulloh</t>
        </is>
      </c>
      <c r="D1485" s="171" t="n">
        <v>46219.41666666666</v>
      </c>
      <c r="E1485" s="26" t="n">
        <v>0.6731944444444444</v>
      </c>
      <c r="F1485" s="27" t="inlineStr">
        <is>
          <t>Shift 2</t>
        </is>
      </c>
      <c r="G1485" s="27" t="n"/>
    </row>
    <row r="1486">
      <c r="A1486" s="27" t="inlineStr">
        <is>
          <t>MK00145</t>
        </is>
      </c>
      <c r="B1486" s="27" t="n">
        <v>528000310</v>
      </c>
      <c r="C1486" s="27" t="inlineStr">
        <is>
          <t>Fachrul Rozzi Suryana</t>
        </is>
      </c>
      <c r="D1486" s="171" t="n">
        <v>46219.41666666666</v>
      </c>
      <c r="E1486" s="26" t="n">
        <v>0.673587962962963</v>
      </c>
      <c r="F1486" s="27" t="inlineStr">
        <is>
          <t>Shift 2</t>
        </is>
      </c>
      <c r="G1486" s="27" t="inlineStr">
        <is>
          <t>7B</t>
        </is>
      </c>
    </row>
    <row r="1487">
      <c r="A1487" s="27" t="inlineStr">
        <is>
          <t>MK00213</t>
        </is>
      </c>
      <c r="B1487" s="27" t="n">
        <v>528000282</v>
      </c>
      <c r="C1487" s="27" t="inlineStr">
        <is>
          <t>Defa Desfiana</t>
        </is>
      </c>
      <c r="D1487" s="171" t="n">
        <v>46219.41666666666</v>
      </c>
      <c r="E1487" s="26" t="n">
        <v>0.6736226851851852</v>
      </c>
      <c r="F1487" s="27" t="inlineStr">
        <is>
          <t>Shift 2</t>
        </is>
      </c>
      <c r="G1487" s="27" t="inlineStr">
        <is>
          <t>23c</t>
        </is>
      </c>
    </row>
    <row r="1488">
      <c r="A1488" s="27" t="inlineStr">
        <is>
          <t>MK00203</t>
        </is>
      </c>
      <c r="B1488" s="27" t="n">
        <v>528000265</v>
      </c>
      <c r="C1488" s="27" t="inlineStr">
        <is>
          <t>Muhammad Haerul Rozikin</t>
        </is>
      </c>
      <c r="D1488" s="171" t="n">
        <v>46219.41666666666</v>
      </c>
      <c r="E1488" s="26" t="n">
        <v>0.6739467592592593</v>
      </c>
      <c r="F1488" s="27" t="inlineStr">
        <is>
          <t>Shift 2</t>
        </is>
      </c>
      <c r="G1488" s="27" t="n"/>
    </row>
    <row r="1489">
      <c r="A1489" s="27" t="inlineStr">
        <is>
          <t>MK00221</t>
        </is>
      </c>
      <c r="B1489" s="27" t="n">
        <v>528000144</v>
      </c>
      <c r="C1489" s="27" t="inlineStr">
        <is>
          <t>Jodi Hanafi</t>
        </is>
      </c>
      <c r="D1489" s="171" t="n">
        <v>46219.41666666666</v>
      </c>
      <c r="E1489" s="26" t="n">
        <v>0.6857638888888888</v>
      </c>
      <c r="F1489" s="27" t="inlineStr">
        <is>
          <t>Shift 2</t>
        </is>
      </c>
      <c r="G1489" s="27" t="n"/>
    </row>
    <row r="1490">
      <c r="A1490" s="27" t="inlineStr">
        <is>
          <t>MK00138</t>
        </is>
      </c>
      <c r="B1490" s="27" t="n">
        <v>528000040</v>
      </c>
      <c r="C1490" s="27" t="inlineStr">
        <is>
          <t>Agus Suryaman</t>
        </is>
      </c>
      <c r="D1490" s="171" t="n">
        <v>46219.41666666666</v>
      </c>
      <c r="E1490" s="26" t="n">
        <v>0.7066666666666667</v>
      </c>
      <c r="F1490" s="27" t="inlineStr">
        <is>
          <t>Shift 2</t>
        </is>
      </c>
      <c r="G1490" s="27" t="n"/>
    </row>
    <row r="1491">
      <c r="A1491" s="27" t="inlineStr">
        <is>
          <t>MK00210</t>
        </is>
      </c>
      <c r="B1491" s="27" t="n">
        <v>528000232</v>
      </c>
      <c r="C1491" s="27" t="inlineStr">
        <is>
          <t>Agung Aji Suhada</t>
        </is>
      </c>
      <c r="D1491" s="171" t="n">
        <v>46219.41666666666</v>
      </c>
      <c r="E1491" s="26" t="n">
        <v>0.7098148148148148</v>
      </c>
      <c r="F1491" s="27" t="inlineStr">
        <is>
          <t>Shift 2</t>
        </is>
      </c>
      <c r="G1491" s="27" t="n"/>
    </row>
    <row r="1492">
      <c r="A1492" s="27" t="inlineStr">
        <is>
          <t>MK00134</t>
        </is>
      </c>
      <c r="B1492" s="27" t="n">
        <v>528000212</v>
      </c>
      <c r="C1492" s="27" t="inlineStr">
        <is>
          <t>Rizal Fauzi</t>
        </is>
      </c>
      <c r="D1492" s="171" t="n">
        <v>46219.41666666666</v>
      </c>
      <c r="E1492" s="26" t="n">
        <v>0.7209375</v>
      </c>
      <c r="F1492" s="27" t="inlineStr">
        <is>
          <t>Shift 2</t>
        </is>
      </c>
      <c r="G1492" s="27" t="n"/>
    </row>
    <row r="1493">
      <c r="A1493" s="27" t="inlineStr">
        <is>
          <t>MK00113</t>
        </is>
      </c>
      <c r="B1493" s="27" t="n">
        <v>528000349</v>
      </c>
      <c r="C1493" s="27" t="inlineStr">
        <is>
          <t>Anas Abdul Fatah</t>
        </is>
      </c>
      <c r="D1493" s="171" t="n">
        <v>46219.41666666666</v>
      </c>
      <c r="E1493" s="26" t="n">
        <v>0.7594097222222222</v>
      </c>
      <c r="F1493" s="27" t="inlineStr">
        <is>
          <t>Shift 2</t>
        </is>
      </c>
      <c r="G1493" s="27" t="n"/>
    </row>
    <row r="1494">
      <c r="A1494" s="27" t="inlineStr">
        <is>
          <t>MK00205</t>
        </is>
      </c>
      <c r="B1494" s="27" t="n">
        <v>528000348</v>
      </c>
      <c r="C1494" s="27" t="inlineStr">
        <is>
          <t>Saepuloh Ardiansah</t>
        </is>
      </c>
      <c r="D1494" s="171" t="n">
        <v>46219.41666666666</v>
      </c>
      <c r="E1494" s="26" t="n">
        <v>0.8925115740740741</v>
      </c>
      <c r="F1494" s="27" t="inlineStr">
        <is>
          <t>Shift 2</t>
        </is>
      </c>
      <c r="G1494" s="27" t="n"/>
    </row>
    <row r="1495">
      <c r="A1495" s="27" t="inlineStr">
        <is>
          <t>MK00228</t>
        </is>
      </c>
      <c r="B1495" s="27" t="n">
        <v>528000132</v>
      </c>
      <c r="C1495" s="27" t="inlineStr">
        <is>
          <t>Giopani</t>
        </is>
      </c>
      <c r="D1495" s="171" t="n">
        <v>46219.41666666666</v>
      </c>
      <c r="E1495" s="26" t="n">
        <v>0.8946990740740741</v>
      </c>
      <c r="F1495" s="27" t="inlineStr">
        <is>
          <t>Shift 2</t>
        </is>
      </c>
      <c r="G1495" s="27" t="n"/>
    </row>
    <row r="1496">
      <c r="A1496" s="27" t="inlineStr">
        <is>
          <t>MK00208</t>
        </is>
      </c>
      <c r="B1496" s="27" t="n">
        <v>528000069</v>
      </c>
      <c r="C1496" s="27" t="inlineStr">
        <is>
          <t>Jajang Ardiansyah</t>
        </is>
      </c>
      <c r="D1496" s="171" t="n">
        <v>46219.41666666666</v>
      </c>
      <c r="E1496" s="26" t="n">
        <v>0.903275462962963</v>
      </c>
      <c r="F1496" s="27" t="inlineStr">
        <is>
          <t>Shift 2</t>
        </is>
      </c>
      <c r="G1496" s="27" t="n"/>
    </row>
    <row r="1497">
      <c r="A1497" s="27" t="inlineStr">
        <is>
          <t>MH0208</t>
        </is>
      </c>
      <c r="B1497" s="27" t="n">
        <v>528000270</v>
      </c>
      <c r="C1497" s="27" t="inlineStr">
        <is>
          <t>Febri Najmudin</t>
        </is>
      </c>
      <c r="D1497" s="171" t="n">
        <v>46219.41666666666</v>
      </c>
      <c r="E1497" s="26" t="n">
        <v>0.9058101851851852</v>
      </c>
      <c r="F1497" s="27" t="inlineStr">
        <is>
          <t>Shift 2</t>
        </is>
      </c>
      <c r="G1497" s="27" t="n"/>
    </row>
    <row r="1498">
      <c r="A1498" s="27" t="inlineStr">
        <is>
          <t>MK00143</t>
        </is>
      </c>
      <c r="B1498" s="27" t="n">
        <v>528000262</v>
      </c>
      <c r="C1498" s="27" t="inlineStr">
        <is>
          <t>Ndari Dwiwanti</t>
        </is>
      </c>
      <c r="D1498" s="171" t="n">
        <v>46219.41666666666</v>
      </c>
      <c r="E1498" s="26" t="n">
        <v>0.9174537037037037</v>
      </c>
      <c r="F1498" s="27" t="inlineStr">
        <is>
          <t>Shift 2</t>
        </is>
      </c>
      <c r="G1498" s="27" t="n"/>
    </row>
    <row r="1499">
      <c r="A1499" s="27" t="inlineStr">
        <is>
          <t>MK00116</t>
        </is>
      </c>
      <c r="B1499" s="27" t="n">
        <v>528000358</v>
      </c>
      <c r="C1499" s="27" t="inlineStr">
        <is>
          <t>Lulu Agustin</t>
        </is>
      </c>
      <c r="D1499" s="171" t="n">
        <v>46219.41666666666</v>
      </c>
      <c r="E1499" s="26" t="n">
        <v>0.9176273148148149</v>
      </c>
      <c r="F1499" s="27" t="inlineStr">
        <is>
          <t>Shift 2</t>
        </is>
      </c>
      <c r="G1499" s="27" t="n"/>
    </row>
    <row r="1500">
      <c r="A1500" s="27" t="inlineStr">
        <is>
          <t>MK00121</t>
        </is>
      </c>
      <c r="B1500" s="27" t="n">
        <v>528000360</v>
      </c>
      <c r="C1500" s="27" t="inlineStr">
        <is>
          <t>Hendra Permana</t>
        </is>
      </c>
      <c r="D1500" s="171" t="n">
        <v>46219.41666666666</v>
      </c>
      <c r="E1500" s="26" t="n">
        <v>0.9180671296296297</v>
      </c>
      <c r="F1500" s="27" t="inlineStr">
        <is>
          <t>Shift 2</t>
        </is>
      </c>
      <c r="G1500" s="27" t="n"/>
    </row>
    <row r="1501">
      <c r="A1501" s="27" t="inlineStr">
        <is>
          <t>MK00192</t>
        </is>
      </c>
      <c r="B1501" s="27" t="n">
        <v>528000283</v>
      </c>
      <c r="C1501" s="27" t="inlineStr">
        <is>
          <t>Purwanda Sugiri</t>
        </is>
      </c>
      <c r="D1501" s="171" t="n">
        <v>46219.41666666666</v>
      </c>
      <c r="E1501" s="26" t="n">
        <v>0.9185069444444445</v>
      </c>
      <c r="F1501" s="27" t="inlineStr">
        <is>
          <t>Shift 2</t>
        </is>
      </c>
      <c r="G1501" s="27" t="n"/>
    </row>
    <row r="1502">
      <c r="A1502" s="27" t="inlineStr">
        <is>
          <t>MK00112</t>
        </is>
      </c>
      <c r="B1502" s="27" t="n">
        <v>528000291</v>
      </c>
      <c r="C1502" s="27" t="inlineStr">
        <is>
          <t>Andrian</t>
        </is>
      </c>
      <c r="D1502" s="171" t="n">
        <v>46219.41666666666</v>
      </c>
      <c r="E1502" s="26" t="n">
        <v>0.9186805555555555</v>
      </c>
      <c r="F1502" s="27" t="inlineStr">
        <is>
          <t>Shift 2</t>
        </is>
      </c>
      <c r="G1502" s="27" t="n"/>
    </row>
    <row r="1503">
      <c r="A1503" s="27" t="inlineStr">
        <is>
          <t>MK00136</t>
        </is>
      </c>
      <c r="B1503" s="27" t="n">
        <v>528000328</v>
      </c>
      <c r="C1503" s="27" t="inlineStr">
        <is>
          <t>Nur Anjani</t>
        </is>
      </c>
      <c r="D1503" s="171" t="n">
        <v>46219.41666666666</v>
      </c>
      <c r="E1503" s="26" t="n">
        <v>0.9187615740740741</v>
      </c>
      <c r="F1503" s="27" t="inlineStr">
        <is>
          <t>Shift 2</t>
        </is>
      </c>
      <c r="G1503" s="27" t="n"/>
    </row>
    <row r="1504">
      <c r="A1504" s="27" t="inlineStr">
        <is>
          <t>MK00148</t>
        </is>
      </c>
      <c r="B1504" s="27" t="n">
        <v>528000195</v>
      </c>
      <c r="C1504" s="27" t="inlineStr">
        <is>
          <t>Rahma Sariwati</t>
        </is>
      </c>
      <c r="D1504" s="171" t="n">
        <v>46219.41666666666</v>
      </c>
      <c r="E1504" s="26" t="n">
        <v>0.9194097222222222</v>
      </c>
      <c r="F1504" s="27" t="inlineStr">
        <is>
          <t>Shift 2</t>
        </is>
      </c>
      <c r="G1504" s="27" t="n"/>
    </row>
    <row r="1505">
      <c r="A1505" s="27" t="inlineStr">
        <is>
          <t>MK00141</t>
        </is>
      </c>
      <c r="B1505" s="27" t="n">
        <v>528000337</v>
      </c>
      <c r="C1505" s="27" t="inlineStr">
        <is>
          <t>Ahmad Zaldi Firdaus</t>
        </is>
      </c>
      <c r="D1505" s="171" t="n">
        <v>46219.41666666666</v>
      </c>
      <c r="E1505" s="26" t="n">
        <v>0.9206828703703703</v>
      </c>
      <c r="F1505" s="27" t="inlineStr">
        <is>
          <t>Shift 2</t>
        </is>
      </c>
      <c r="G1505" s="27" t="n"/>
    </row>
    <row r="1506">
      <c r="A1506" s="27" t="inlineStr">
        <is>
          <t>MK00082</t>
        </is>
      </c>
      <c r="B1506" s="27" t="n">
        <v>528000267</v>
      </c>
      <c r="C1506" s="27" t="inlineStr">
        <is>
          <t>Bagas Patulloh</t>
        </is>
      </c>
      <c r="D1506" s="171" t="n">
        <v>46220.41666666666</v>
      </c>
      <c r="E1506" s="26" t="n">
        <v>0.001145833333333333</v>
      </c>
      <c r="F1506" s="27" t="inlineStr">
        <is>
          <t>Shift 3</t>
        </is>
      </c>
      <c r="G1506" s="27" t="n"/>
    </row>
    <row r="1507">
      <c r="A1507" s="27" t="inlineStr">
        <is>
          <t>MK00202</t>
        </is>
      </c>
      <c r="B1507" s="27" t="n">
        <v>528000266</v>
      </c>
      <c r="C1507" s="27" t="inlineStr">
        <is>
          <t>M. Syirajatieq</t>
        </is>
      </c>
      <c r="D1507" s="171" t="n">
        <v>46220.41666666666</v>
      </c>
      <c r="E1507" s="26" t="n">
        <v>0.008472222222222223</v>
      </c>
      <c r="F1507" s="27" t="inlineStr">
        <is>
          <t>Shift 3</t>
        </is>
      </c>
      <c r="G1507" s="27" t="n"/>
    </row>
    <row r="1508">
      <c r="A1508" s="27" t="inlineStr">
        <is>
          <t>MK00181</t>
        </is>
      </c>
      <c r="B1508" s="27" t="n">
        <v>528000318</v>
      </c>
      <c r="C1508" s="27" t="inlineStr">
        <is>
          <t>Bayu Padli Sepriyana</t>
        </is>
      </c>
      <c r="D1508" s="171" t="n">
        <v>46220.41666666666</v>
      </c>
      <c r="E1508" s="26" t="n">
        <v>0.2513541666666667</v>
      </c>
      <c r="F1508" s="27" t="inlineStr">
        <is>
          <t>Shift 3</t>
        </is>
      </c>
      <c r="G1508" s="27" t="n"/>
    </row>
    <row r="1509">
      <c r="A1509" s="27" t="inlineStr">
        <is>
          <t>MK00184</t>
        </is>
      </c>
      <c r="B1509" s="27" t="n">
        <v>528000305</v>
      </c>
      <c r="C1509" s="27" t="inlineStr">
        <is>
          <t>Puji Puspita</t>
        </is>
      </c>
      <c r="D1509" s="171" t="n">
        <v>46220.41666666666</v>
      </c>
      <c r="E1509" s="26" t="n">
        <v>0.2517361111111111</v>
      </c>
      <c r="F1509" s="27" t="inlineStr">
        <is>
          <t>Shift 3</t>
        </is>
      </c>
      <c r="G1509" s="27" t="n"/>
    </row>
    <row r="1510">
      <c r="A1510" s="27" t="inlineStr">
        <is>
          <t>MK00113</t>
        </is>
      </c>
      <c r="B1510" s="27" t="n">
        <v>528000313</v>
      </c>
      <c r="C1510" s="27" t="inlineStr">
        <is>
          <t>Muhamad Rifki</t>
        </is>
      </c>
      <c r="D1510" s="171" t="n">
        <v>46220.41666666666</v>
      </c>
      <c r="E1510" s="26" t="n">
        <v>0.2527314814814815</v>
      </c>
      <c r="F1510" s="27" t="inlineStr">
        <is>
          <t>Shift 3</t>
        </is>
      </c>
      <c r="G1510" s="27" t="n"/>
    </row>
    <row r="1511">
      <c r="A1511" s="27" t="inlineStr">
        <is>
          <t>MK00213</t>
        </is>
      </c>
      <c r="B1511" s="27" t="n">
        <v>528000015</v>
      </c>
      <c r="C1511" s="27" t="inlineStr">
        <is>
          <t>Erwin</t>
        </is>
      </c>
      <c r="D1511" s="171" t="n">
        <v>46220.41666666666</v>
      </c>
      <c r="E1511" s="26" t="n">
        <v>0.2529166666666667</v>
      </c>
      <c r="F1511" s="27" t="inlineStr">
        <is>
          <t>Shift 3</t>
        </is>
      </c>
      <c r="G1511" s="27" t="n"/>
    </row>
    <row r="1512">
      <c r="A1512" s="27" t="inlineStr">
        <is>
          <t>MK00109</t>
        </is>
      </c>
      <c r="B1512" s="27" t="n">
        <v>528000299</v>
      </c>
      <c r="C1512" s="27" t="inlineStr">
        <is>
          <t>Siti Nurjanah</t>
        </is>
      </c>
      <c r="D1512" s="171" t="n">
        <v>46220.41666666666</v>
      </c>
      <c r="E1512" s="26" t="n">
        <v>0.2531365740740741</v>
      </c>
      <c r="F1512" s="27" t="inlineStr">
        <is>
          <t>Shift 3</t>
        </is>
      </c>
      <c r="G1512" s="27" t="n"/>
    </row>
    <row r="1513">
      <c r="A1513" s="27" t="inlineStr">
        <is>
          <t>MK00138</t>
        </is>
      </c>
      <c r="B1513" s="27" t="n">
        <v>528000298</v>
      </c>
      <c r="C1513" s="27" t="inlineStr">
        <is>
          <t>Desta Cahaya Pratama</t>
        </is>
      </c>
      <c r="D1513" s="171" t="n">
        <v>46220.41666666666</v>
      </c>
      <c r="E1513" s="26" t="n">
        <v>0.2531597222222222</v>
      </c>
      <c r="F1513" s="27" t="inlineStr">
        <is>
          <t>Shift 3</t>
        </is>
      </c>
      <c r="G1513" s="27" t="n"/>
    </row>
    <row r="1514">
      <c r="A1514" s="27" t="inlineStr">
        <is>
          <t>MK00208</t>
        </is>
      </c>
      <c r="B1514" s="27" t="n">
        <v>528000302</v>
      </c>
      <c r="C1514" s="27" t="inlineStr">
        <is>
          <t>Henkey gumilar</t>
        </is>
      </c>
      <c r="D1514" s="171" t="n">
        <v>46220.41666666666</v>
      </c>
      <c r="E1514" s="26" t="n">
        <v>0.2535185185185185</v>
      </c>
      <c r="F1514" s="27" t="inlineStr">
        <is>
          <t>Shift 3</t>
        </is>
      </c>
      <c r="G1514" s="27" t="n"/>
    </row>
    <row r="1515">
      <c r="A1515" s="27" t="inlineStr">
        <is>
          <t>MK00219</t>
        </is>
      </c>
      <c r="B1515" s="27" t="n">
        <v>528000309</v>
      </c>
      <c r="C1515" s="27" t="inlineStr">
        <is>
          <t>Ilham Ramadhan</t>
        </is>
      </c>
      <c r="D1515" s="171" t="n">
        <v>46220.41666666666</v>
      </c>
      <c r="E1515" s="26" t="n">
        <v>0.2539351851851852</v>
      </c>
      <c r="F1515" s="27" t="inlineStr">
        <is>
          <t>Shift 3</t>
        </is>
      </c>
      <c r="G1515" s="27" t="n"/>
    </row>
    <row r="1516">
      <c r="A1516" s="27" t="inlineStr">
        <is>
          <t>MK00217</t>
        </is>
      </c>
      <c r="B1516" s="27" t="n">
        <v>528000340</v>
      </c>
      <c r="C1516" s="27" t="inlineStr">
        <is>
          <t>Muhammad Wildan Adithya</t>
        </is>
      </c>
      <c r="D1516" s="171" t="n">
        <v>46220.41666666666</v>
      </c>
      <c r="E1516" s="26" t="n">
        <v>0.2555092592592593</v>
      </c>
      <c r="F1516" s="27" t="inlineStr">
        <is>
          <t>Shift 3</t>
        </is>
      </c>
      <c r="G1516" s="27" t="n"/>
    </row>
    <row r="1517">
      <c r="A1517" s="27" t="inlineStr">
        <is>
          <t>MK00134</t>
        </is>
      </c>
      <c r="B1517" s="27" t="n">
        <v>528000270</v>
      </c>
      <c r="C1517" s="27" t="inlineStr">
        <is>
          <t>Febri Najmudin</t>
        </is>
      </c>
      <c r="D1517" s="171" t="n">
        <v>46220.41666666666</v>
      </c>
      <c r="E1517" s="26" t="n">
        <v>0.2663078703703703</v>
      </c>
      <c r="F1517" s="27" t="inlineStr">
        <is>
          <t>Shift 3</t>
        </is>
      </c>
      <c r="G1517" s="27" t="n"/>
    </row>
    <row r="1518">
      <c r="A1518" s="27" t="inlineStr">
        <is>
          <t>MK000221</t>
        </is>
      </c>
      <c r="B1518" s="27" t="n">
        <v>528000144</v>
      </c>
      <c r="C1518" s="27" t="inlineStr">
        <is>
          <t>Jodi Hanafi</t>
        </is>
      </c>
      <c r="D1518" s="171" t="n">
        <v>46220.41666666666</v>
      </c>
      <c r="E1518" s="26" t="n">
        <v>0.3370138888888889</v>
      </c>
      <c r="F1518" s="27" t="inlineStr">
        <is>
          <t>Shift 1</t>
        </is>
      </c>
      <c r="G1518" s="27" t="n"/>
    </row>
    <row r="1519">
      <c r="A1519" s="27" t="inlineStr">
        <is>
          <t>MK00160</t>
        </is>
      </c>
      <c r="B1519" s="27" t="n">
        <v>528000361</v>
      </c>
      <c r="C1519" s="27" t="inlineStr">
        <is>
          <t>Denada Munggarani</t>
        </is>
      </c>
      <c r="D1519" s="171" t="n">
        <v>46220.41666666666</v>
      </c>
      <c r="E1519" s="26" t="n">
        <v>0.4769097222222222</v>
      </c>
      <c r="F1519" s="27" t="inlineStr">
        <is>
          <t>Shift 1</t>
        </is>
      </c>
      <c r="G1519" s="27" t="n"/>
    </row>
    <row r="1520">
      <c r="A1520" s="27" t="inlineStr">
        <is>
          <t>MK00217</t>
        </is>
      </c>
      <c r="B1520" s="27" t="n">
        <v>528000282</v>
      </c>
      <c r="C1520" s="27" t="inlineStr">
        <is>
          <t>Defa Desfiana</t>
        </is>
      </c>
      <c r="D1520" s="171" t="n">
        <v>46220.41666666666</v>
      </c>
      <c r="E1520" s="26" t="n">
        <v>0.5425810185185185</v>
      </c>
      <c r="F1520" s="27" t="inlineStr">
        <is>
          <t>Shift 1</t>
        </is>
      </c>
      <c r="G1520" s="27" t="inlineStr">
        <is>
          <t>22b</t>
        </is>
      </c>
    </row>
    <row r="1521">
      <c r="A1521" s="27" t="inlineStr">
        <is>
          <t>MK00138</t>
        </is>
      </c>
      <c r="B1521" s="27" t="n">
        <v>528000310</v>
      </c>
      <c r="C1521" s="27" t="inlineStr">
        <is>
          <t>Fachrul Rozzi Suryana</t>
        </is>
      </c>
      <c r="D1521" s="171" t="n">
        <v>46220.41666666666</v>
      </c>
      <c r="E1521" s="26" t="n">
        <v>0.5434606481481481</v>
      </c>
      <c r="F1521" s="27" t="inlineStr">
        <is>
          <t>Shift 1</t>
        </is>
      </c>
      <c r="G1521" s="27" t="inlineStr">
        <is>
          <t>31B</t>
        </is>
      </c>
    </row>
    <row r="1522">
      <c r="A1522" s="27" t="inlineStr">
        <is>
          <t>MK00230</t>
        </is>
      </c>
      <c r="B1522" s="27" t="n">
        <v>528000322</v>
      </c>
      <c r="C1522" s="27" t="inlineStr">
        <is>
          <t>Muhamad Aliludin</t>
        </is>
      </c>
      <c r="D1522" s="171" t="n">
        <v>46220.41666666666</v>
      </c>
      <c r="E1522" s="26" t="n">
        <v>0.5456018518518518</v>
      </c>
      <c r="F1522" s="27" t="inlineStr">
        <is>
          <t>Shift 1</t>
        </is>
      </c>
      <c r="G1522" s="27" t="n"/>
    </row>
    <row r="1523">
      <c r="A1523" s="27" t="inlineStr">
        <is>
          <t>MK00181</t>
        </is>
      </c>
      <c r="B1523" s="27" t="n">
        <v>528000265</v>
      </c>
      <c r="C1523" s="27" t="inlineStr">
        <is>
          <t>Muhammad Haerul Rozikin</t>
        </is>
      </c>
      <c r="D1523" s="171" t="n">
        <v>46220.41666666666</v>
      </c>
      <c r="E1523" s="26" t="n">
        <v>0.5463657407407407</v>
      </c>
      <c r="F1523" s="27" t="inlineStr">
        <is>
          <t>Shift 1</t>
        </is>
      </c>
      <c r="G1523" s="27" t="n"/>
    </row>
    <row r="1524">
      <c r="A1524" s="27" t="inlineStr">
        <is>
          <t>MK0088</t>
        </is>
      </c>
      <c r="B1524" s="27" t="n">
        <v>528000063</v>
      </c>
      <c r="C1524" s="27" t="inlineStr">
        <is>
          <t>Muhamad Ripki Pebrian</t>
        </is>
      </c>
      <c r="D1524" s="171" t="n">
        <v>46220.41666666666</v>
      </c>
      <c r="E1524" s="26" t="n">
        <v>0.5466203703703704</v>
      </c>
      <c r="F1524" s="27" t="inlineStr">
        <is>
          <t>Shift 1</t>
        </is>
      </c>
      <c r="G1524" s="27" t="n"/>
    </row>
    <row r="1525">
      <c r="A1525" s="27" t="inlineStr">
        <is>
          <t>MK00125</t>
        </is>
      </c>
      <c r="B1525" s="27" t="n">
        <v>528000314</v>
      </c>
      <c r="C1525" s="27" t="inlineStr">
        <is>
          <t>Rusmana</t>
        </is>
      </c>
      <c r="D1525" s="171" t="n">
        <v>46220.41666666666</v>
      </c>
      <c r="E1525" s="26" t="n">
        <v>0.5538657407407407</v>
      </c>
      <c r="F1525" s="27" t="inlineStr">
        <is>
          <t>Shift 1</t>
        </is>
      </c>
      <c r="G1525" s="27" t="n"/>
    </row>
    <row r="1526">
      <c r="A1526" s="27" t="inlineStr">
        <is>
          <t>MK00184</t>
        </is>
      </c>
      <c r="B1526" s="27" t="n">
        <v>528000351</v>
      </c>
      <c r="C1526" s="27" t="inlineStr">
        <is>
          <t>Mulyana</t>
        </is>
      </c>
      <c r="D1526" s="171" t="n">
        <v>46220.41666666666</v>
      </c>
      <c r="E1526" s="26" t="n">
        <v>0.5557060185185185</v>
      </c>
      <c r="F1526" s="27" t="inlineStr">
        <is>
          <t>Shift 1</t>
        </is>
      </c>
      <c r="G1526" s="27" t="n"/>
    </row>
    <row r="1527">
      <c r="A1527" s="27" t="inlineStr">
        <is>
          <t>MK00210</t>
        </is>
      </c>
      <c r="B1527" s="27" t="n">
        <v>528000232</v>
      </c>
      <c r="C1527" s="27" t="inlineStr">
        <is>
          <t>Agung Aji Suhada</t>
        </is>
      </c>
      <c r="D1527" s="171" t="n">
        <v>46220.41666666666</v>
      </c>
      <c r="E1527" s="26" t="n">
        <v>0.5841087962962963</v>
      </c>
      <c r="F1527" s="27" t="inlineStr">
        <is>
          <t>Shift 1</t>
        </is>
      </c>
      <c r="G1527" s="27" t="n"/>
    </row>
    <row r="1528">
      <c r="A1528" s="27" t="inlineStr">
        <is>
          <t>MK00228</t>
        </is>
      </c>
      <c r="B1528" s="27" t="n">
        <v>528000132</v>
      </c>
      <c r="C1528" s="27" t="inlineStr">
        <is>
          <t>Giopani</t>
        </is>
      </c>
      <c r="D1528" s="171" t="n">
        <v>46220.41666666666</v>
      </c>
      <c r="E1528" s="26" t="n">
        <v>0.5844675925925926</v>
      </c>
      <c r="F1528" s="27" t="inlineStr">
        <is>
          <t>Shift 1</t>
        </is>
      </c>
      <c r="G1528" s="27" t="n"/>
    </row>
    <row r="1529">
      <c r="A1529" s="27" t="inlineStr">
        <is>
          <t>MK00148</t>
        </is>
      </c>
      <c r="B1529" s="27" t="n">
        <v>528000040</v>
      </c>
      <c r="C1529" s="27" t="inlineStr">
        <is>
          <t>Agus Suryaman</t>
        </is>
      </c>
      <c r="D1529" s="171" t="n">
        <v>46220.41666666666</v>
      </c>
      <c r="E1529" s="26" t="n">
        <v>0.5845717592592593</v>
      </c>
      <c r="F1529" s="27" t="inlineStr">
        <is>
          <t>Shift 1</t>
        </is>
      </c>
      <c r="G1529" s="27" t="n"/>
    </row>
    <row r="1530">
      <c r="A1530" s="27" t="inlineStr">
        <is>
          <t>MK00192</t>
        </is>
      </c>
      <c r="B1530" s="27" t="n">
        <v>528000241</v>
      </c>
      <c r="C1530" s="27" t="inlineStr">
        <is>
          <t>Balia Nurafif Bilah</t>
        </is>
      </c>
      <c r="D1530" s="171" t="n">
        <v>46220.41666666666</v>
      </c>
      <c r="E1530" s="26" t="n">
        <v>0.5869907407407408</v>
      </c>
      <c r="F1530" s="27" t="inlineStr">
        <is>
          <t>Shift 1</t>
        </is>
      </c>
      <c r="G1530" s="27" t="n"/>
    </row>
    <row r="1531">
      <c r="A1531" s="27" t="inlineStr">
        <is>
          <t>MK00202</t>
        </is>
      </c>
      <c r="B1531" s="27" t="n">
        <v>528000289</v>
      </c>
      <c r="C1531" s="27" t="inlineStr">
        <is>
          <t>Adit Supriyadi</t>
        </is>
      </c>
      <c r="D1531" s="171" t="n">
        <v>46220.41666666666</v>
      </c>
      <c r="E1531" s="26" t="n">
        <v>0.5875462962962963</v>
      </c>
      <c r="F1531" s="27" t="inlineStr">
        <is>
          <t>Shift 1</t>
        </is>
      </c>
      <c r="G1531" s="27" t="n"/>
    </row>
    <row r="1532">
      <c r="A1532" s="27" t="inlineStr">
        <is>
          <t>MK00116</t>
        </is>
      </c>
      <c r="B1532" s="27" t="n">
        <v>528000090</v>
      </c>
      <c r="C1532" s="27" t="inlineStr">
        <is>
          <t>Suganda</t>
        </is>
      </c>
      <c r="D1532" s="171" t="n">
        <v>46220.41666666666</v>
      </c>
      <c r="E1532" s="26" t="n">
        <v>0.5878935185185186</v>
      </c>
      <c r="F1532" s="27" t="inlineStr">
        <is>
          <t>Shift 1</t>
        </is>
      </c>
      <c r="G1532" s="27" t="n"/>
    </row>
    <row r="1533">
      <c r="A1533" s="27" t="inlineStr">
        <is>
          <t>MK00141</t>
        </is>
      </c>
      <c r="B1533" s="27" t="n">
        <v>528000274</v>
      </c>
      <c r="C1533" s="27" t="inlineStr">
        <is>
          <t>Zepri</t>
        </is>
      </c>
      <c r="D1533" s="171" t="n">
        <v>46220.41666666666</v>
      </c>
      <c r="E1533" s="26" t="n">
        <v>0.5883680555555556</v>
      </c>
      <c r="F1533" s="27" t="inlineStr">
        <is>
          <t>Shift 1</t>
        </is>
      </c>
      <c r="G1533" s="27" t="n"/>
    </row>
    <row r="1534">
      <c r="A1534" s="27" t="inlineStr">
        <is>
          <t>MK00158</t>
        </is>
      </c>
      <c r="B1534" s="27" t="n">
        <v>528000339</v>
      </c>
      <c r="C1534" s="27" t="inlineStr">
        <is>
          <t>Muhamad Ripai'i</t>
        </is>
      </c>
      <c r="D1534" s="171" t="n">
        <v>46220.41666666666</v>
      </c>
      <c r="E1534" s="26" t="n">
        <v>0.5884027777777778</v>
      </c>
      <c r="F1534" s="27" t="inlineStr">
        <is>
          <t>Shift 1</t>
        </is>
      </c>
      <c r="G1534" s="27" t="n"/>
    </row>
    <row r="1535">
      <c r="A1535" s="27" t="inlineStr">
        <is>
          <t>MK0082</t>
        </is>
      </c>
      <c r="B1535" s="27" t="n">
        <v>528000201</v>
      </c>
      <c r="C1535" s="27" t="inlineStr">
        <is>
          <t>Zahwa Amelia Choerunissa</t>
        </is>
      </c>
      <c r="D1535" s="171" t="n">
        <v>46220.41666666666</v>
      </c>
      <c r="E1535" s="26" t="n">
        <v>0.5890046296296296</v>
      </c>
      <c r="F1535" s="27" t="inlineStr">
        <is>
          <t>Shift 1</t>
        </is>
      </c>
      <c r="G1535" s="27" t="n"/>
    </row>
    <row r="1536">
      <c r="A1536" s="27" t="inlineStr">
        <is>
          <t>MK0779</t>
        </is>
      </c>
      <c r="B1536" s="27" t="n">
        <v>528000099</v>
      </c>
      <c r="C1536" s="27" t="inlineStr">
        <is>
          <t>Siti Nurawaliah</t>
        </is>
      </c>
      <c r="D1536" s="171" t="n">
        <v>46220.41666666666</v>
      </c>
      <c r="E1536" s="26" t="n">
        <v>0.5898611111111111</v>
      </c>
      <c r="F1536" s="27" t="inlineStr">
        <is>
          <t>Shift 1</t>
        </is>
      </c>
      <c r="G1536" s="27" t="n"/>
    </row>
    <row r="1537">
      <c r="A1537" s="27" t="inlineStr">
        <is>
          <t>MK00143</t>
        </is>
      </c>
      <c r="B1537" s="27" t="n">
        <v>528000286</v>
      </c>
      <c r="C1537" s="27" t="inlineStr">
        <is>
          <t>Imelda Amelia</t>
        </is>
      </c>
      <c r="D1537" s="171" t="n">
        <v>46220.41666666666</v>
      </c>
      <c r="E1537" s="26" t="n">
        <v>0.590300925925926</v>
      </c>
      <c r="F1537" s="27" t="inlineStr">
        <is>
          <t>Shift 1</t>
        </is>
      </c>
      <c r="G1537" s="27" t="n"/>
    </row>
    <row r="1538">
      <c r="A1538" s="27" t="inlineStr">
        <is>
          <t>MK00205</t>
        </is>
      </c>
      <c r="B1538" s="27" t="n">
        <v>528000348</v>
      </c>
      <c r="C1538" s="27" t="inlineStr">
        <is>
          <t>Saepuloh Ardiansah</t>
        </is>
      </c>
      <c r="D1538" s="171" t="n">
        <v>46220.41666666666</v>
      </c>
      <c r="E1538" s="26" t="n">
        <v>0.5907986111111111</v>
      </c>
      <c r="F1538" s="27" t="inlineStr">
        <is>
          <t>Shift 1</t>
        </is>
      </c>
      <c r="G1538" s="27" t="n"/>
    </row>
    <row r="1539">
      <c r="A1539" s="27" t="inlineStr">
        <is>
          <t>MK00121</t>
        </is>
      </c>
      <c r="B1539" s="27" t="n">
        <v>528000244</v>
      </c>
      <c r="C1539" s="27" t="inlineStr">
        <is>
          <t>Rodian Rifai</t>
        </is>
      </c>
      <c r="D1539" s="171" t="n">
        <v>46220.41666666666</v>
      </c>
      <c r="E1539" s="26" t="n">
        <v>0.5986689814814815</v>
      </c>
      <c r="F1539" s="27" t="inlineStr">
        <is>
          <t>Shift 1</t>
        </is>
      </c>
      <c r="G1539" s="27" t="n"/>
    </row>
    <row r="1540">
      <c r="A1540" s="27" t="inlineStr">
        <is>
          <t>MK00124</t>
        </is>
      </c>
      <c r="B1540" s="27" t="n">
        <v>528000212</v>
      </c>
      <c r="C1540" s="27" t="inlineStr">
        <is>
          <t>Rizal Fauzi</t>
        </is>
      </c>
      <c r="D1540" s="171" t="n">
        <v>46220.41666666666</v>
      </c>
      <c r="E1540" s="26" t="n">
        <v>0.5995833333333334</v>
      </c>
      <c r="F1540" s="27" t="inlineStr">
        <is>
          <t>Shift 1</t>
        </is>
      </c>
      <c r="G1540" s="27" t="n"/>
    </row>
    <row r="1541">
      <c r="A1541" s="27" t="inlineStr">
        <is>
          <t>MK00221</t>
        </is>
      </c>
      <c r="B1541" s="27" t="n">
        <v>528000144</v>
      </c>
      <c r="C1541" s="27" t="inlineStr">
        <is>
          <t>Jodi Hanafi</t>
        </is>
      </c>
      <c r="D1541" s="171" t="n">
        <v>46220.41666666666</v>
      </c>
      <c r="E1541" s="26" t="n">
        <v>0.6202430555555556</v>
      </c>
      <c r="F1541" s="27" t="inlineStr">
        <is>
          <t>Shift 1</t>
        </is>
      </c>
      <c r="G1541" s="27" t="n"/>
    </row>
    <row r="1542">
      <c r="A1542" s="27" t="inlineStr">
        <is>
          <t>MK00230</t>
        </is>
      </c>
      <c r="B1542" s="27" t="n">
        <v>528000267</v>
      </c>
      <c r="C1542" s="27" t="inlineStr">
        <is>
          <t>Bagas Patulloh</t>
        </is>
      </c>
      <c r="D1542" s="171" t="n">
        <v>46220.41666666666</v>
      </c>
      <c r="E1542" s="26" t="n">
        <v>0.7503819444444444</v>
      </c>
      <c r="F1542" s="27" t="inlineStr">
        <is>
          <t>Shift 2</t>
        </is>
      </c>
      <c r="G1542" s="27" t="n"/>
    </row>
    <row r="1543">
      <c r="A1543" s="27" t="inlineStr">
        <is>
          <t>MK00154</t>
        </is>
      </c>
      <c r="B1543" s="27" t="n">
        <v>528000069</v>
      </c>
      <c r="C1543" s="27" t="inlineStr">
        <is>
          <t>Jajang Ardiansyah</t>
        </is>
      </c>
      <c r="D1543" s="171" t="n">
        <v>46220.41666666666</v>
      </c>
      <c r="E1543" s="26" t="n">
        <v>0.8401851851851851</v>
      </c>
      <c r="F1543" s="27" t="inlineStr">
        <is>
          <t>Shift 2</t>
        </is>
      </c>
      <c r="G1543" s="27" t="n"/>
    </row>
    <row r="1544">
      <c r="A1544" s="27" t="inlineStr">
        <is>
          <t>MK00113</t>
        </is>
      </c>
      <c r="B1544" s="27" t="n">
        <v>528000262</v>
      </c>
      <c r="C1544" s="27" t="inlineStr">
        <is>
          <t>Ndari Dwiwanti</t>
        </is>
      </c>
      <c r="D1544" s="171" t="n">
        <v>46220.41666666666</v>
      </c>
      <c r="E1544" s="26" t="n">
        <v>0.917511574074074</v>
      </c>
      <c r="F1544" s="27" t="inlineStr">
        <is>
          <t>Shift 2</t>
        </is>
      </c>
      <c r="G1544" s="27" t="n"/>
    </row>
    <row r="1545">
      <c r="A1545" s="27" t="inlineStr">
        <is>
          <t>MK00217</t>
        </is>
      </c>
      <c r="B1545" s="27" t="n">
        <v>528000325</v>
      </c>
      <c r="C1545" s="27" t="inlineStr">
        <is>
          <t>Rani Septia Ramadani</t>
        </is>
      </c>
      <c r="D1545" s="171" t="n">
        <v>46220.41666666666</v>
      </c>
      <c r="E1545" s="26" t="n">
        <v>0.9175578703703704</v>
      </c>
      <c r="F1545" s="27" t="inlineStr">
        <is>
          <t>Shift 2</t>
        </is>
      </c>
      <c r="G1545" s="27" t="n"/>
    </row>
    <row r="1546">
      <c r="A1546" s="27" t="inlineStr">
        <is>
          <t>MK00184</t>
        </is>
      </c>
      <c r="B1546" s="27" t="n">
        <v>528000358</v>
      </c>
      <c r="C1546" s="27" t="inlineStr">
        <is>
          <t>Lulu Agustin</t>
        </is>
      </c>
      <c r="D1546" s="171" t="n">
        <v>46220.41666666666</v>
      </c>
      <c r="E1546" s="26" t="n">
        <v>0.9175925925925926</v>
      </c>
      <c r="F1546" s="27" t="inlineStr">
        <is>
          <t>Shift 2</t>
        </is>
      </c>
      <c r="G1546" s="27" t="n"/>
    </row>
    <row r="1547">
      <c r="A1547" s="27" t="inlineStr">
        <is>
          <t>MK00145</t>
        </is>
      </c>
      <c r="B1547" s="27" t="n">
        <v>528000195</v>
      </c>
      <c r="C1547" s="27" t="inlineStr">
        <is>
          <t>Rahma Sariwati</t>
        </is>
      </c>
      <c r="D1547" s="171" t="n">
        <v>46220.41666666666</v>
      </c>
      <c r="E1547" s="26" t="n">
        <v>0.9183680555555556</v>
      </c>
      <c r="F1547" s="27" t="inlineStr">
        <is>
          <t>Shift 2</t>
        </is>
      </c>
      <c r="G1547" s="27" t="n"/>
    </row>
    <row r="1548">
      <c r="A1548" s="27" t="inlineStr">
        <is>
          <t>MK00212</t>
        </is>
      </c>
      <c r="B1548" s="27" t="n">
        <v>528000360</v>
      </c>
      <c r="C1548" s="27" t="inlineStr">
        <is>
          <t>Hendra Permana</t>
        </is>
      </c>
      <c r="D1548" s="171" t="n">
        <v>46220.41666666666</v>
      </c>
      <c r="E1548" s="26" t="n">
        <v>0.9186805555555555</v>
      </c>
      <c r="F1548" s="27" t="inlineStr">
        <is>
          <t>Shift 2</t>
        </is>
      </c>
      <c r="G1548" s="27" t="n"/>
    </row>
    <row r="1549">
      <c r="A1549" s="27" t="inlineStr">
        <is>
          <t>MK0088</t>
        </is>
      </c>
      <c r="B1549" s="27" t="n">
        <v>528000052</v>
      </c>
      <c r="C1549" s="27" t="inlineStr">
        <is>
          <t>Mustopa</t>
        </is>
      </c>
      <c r="D1549" s="171" t="n">
        <v>46220.41666666666</v>
      </c>
      <c r="E1549" s="26" t="n">
        <v>0.9190625</v>
      </c>
      <c r="F1549" s="27" t="inlineStr">
        <is>
          <t>Shift 2</t>
        </is>
      </c>
      <c r="G1549" s="27" t="n"/>
    </row>
    <row r="1550">
      <c r="A1550" s="27" t="inlineStr">
        <is>
          <t>MK00249</t>
        </is>
      </c>
      <c r="B1550" s="27" t="n">
        <v>528000228</v>
      </c>
      <c r="C1550" s="27" t="inlineStr">
        <is>
          <t>Banyu Resmi Putri</t>
        </is>
      </c>
      <c r="D1550" s="171" t="n">
        <v>46220.41666666666</v>
      </c>
      <c r="E1550" s="26" t="n">
        <v>0.9191319444444445</v>
      </c>
      <c r="F1550" s="27" t="inlineStr">
        <is>
          <t>Shift 2</t>
        </is>
      </c>
      <c r="G1550" s="27" t="n"/>
    </row>
    <row r="1551">
      <c r="A1551" s="27" t="inlineStr">
        <is>
          <t>MK00235</t>
        </is>
      </c>
      <c r="B1551" s="27" t="n">
        <v>528000291</v>
      </c>
      <c r="C1551" s="27" t="inlineStr">
        <is>
          <t>Andrian</t>
        </is>
      </c>
      <c r="D1551" s="171" t="n">
        <v>46220.41666666666</v>
      </c>
      <c r="E1551" s="26" t="n">
        <v>0.919537037037037</v>
      </c>
      <c r="F1551" s="27" t="inlineStr">
        <is>
          <t>Shift 2</t>
        </is>
      </c>
      <c r="G1551" s="27" t="n"/>
    </row>
    <row r="1552">
      <c r="A1552" s="27" t="inlineStr">
        <is>
          <t>MK00218</t>
        </is>
      </c>
      <c r="B1552" s="27" t="n">
        <v>528000337</v>
      </c>
      <c r="C1552" s="27" t="inlineStr">
        <is>
          <t>Ahmad Zaldi Firdaus</t>
        </is>
      </c>
      <c r="D1552" s="171" t="n">
        <v>46220.41666666666</v>
      </c>
      <c r="E1552" s="26" t="n">
        <v>0.924212962962963</v>
      </c>
      <c r="F1552" s="27" t="inlineStr">
        <is>
          <t>Shift 2</t>
        </is>
      </c>
      <c r="G1552" s="27" t="n"/>
    </row>
    <row r="1553">
      <c r="A1553" s="27" t="inlineStr">
        <is>
          <t>MK00181</t>
        </is>
      </c>
      <c r="B1553" s="27" t="n">
        <v>528000266</v>
      </c>
      <c r="C1553" s="27" t="inlineStr">
        <is>
          <t>M. Syirajatieq</t>
        </is>
      </c>
      <c r="D1553" s="171" t="n">
        <v>46220.41666666666</v>
      </c>
      <c r="E1553" s="26" t="n">
        <v>0.9389814814814815</v>
      </c>
      <c r="F1553" s="27" t="inlineStr">
        <is>
          <t>Shift 2</t>
        </is>
      </c>
      <c r="G1553" s="27" t="n"/>
    </row>
    <row r="1554">
      <c r="A1554" s="27" t="inlineStr">
        <is>
          <t>MK00088</t>
        </is>
      </c>
      <c r="B1554" s="27" t="n">
        <v>528000015</v>
      </c>
      <c r="C1554" s="27" t="inlineStr">
        <is>
          <t>Erwin</t>
        </is>
      </c>
      <c r="D1554" s="171" t="n">
        <v>46221.41666666666</v>
      </c>
      <c r="E1554" s="26" t="n">
        <v>0.2471412037037037</v>
      </c>
      <c r="F1554" s="27" t="inlineStr">
        <is>
          <t>Shift 3</t>
        </is>
      </c>
      <c r="G1554" s="27" t="n"/>
    </row>
    <row r="1555">
      <c r="A1555" s="27" t="inlineStr">
        <is>
          <t>MK0093</t>
        </is>
      </c>
      <c r="B1555" s="27" t="n">
        <v>528000290</v>
      </c>
      <c r="C1555" s="27" t="inlineStr">
        <is>
          <t>Eval Pranata</t>
        </is>
      </c>
      <c r="D1555" s="171" t="n">
        <v>46221.41666666666</v>
      </c>
      <c r="E1555" s="26" t="n">
        <v>0.2495486111111111</v>
      </c>
      <c r="F1555" s="27" t="inlineStr">
        <is>
          <t>Shift 3</t>
        </is>
      </c>
      <c r="G1555" s="27" t="n"/>
    </row>
    <row r="1556">
      <c r="A1556" s="27" t="inlineStr">
        <is>
          <t>MK00208</t>
        </is>
      </c>
      <c r="B1556" s="27" t="n">
        <v>528000318</v>
      </c>
      <c r="C1556" s="27" t="inlineStr">
        <is>
          <t>Bayu Padli Sepriyana</t>
        </is>
      </c>
      <c r="D1556" s="171" t="n">
        <v>46221.41666666666</v>
      </c>
      <c r="E1556" s="26" t="n">
        <v>0.2514351851851852</v>
      </c>
      <c r="F1556" s="27" t="inlineStr">
        <is>
          <t>Shift 3</t>
        </is>
      </c>
      <c r="G1556" s="27" t="n"/>
    </row>
    <row r="1557">
      <c r="A1557" s="27" t="inlineStr">
        <is>
          <t>MK00109</t>
        </is>
      </c>
      <c r="B1557" s="27" t="n">
        <v>528000305</v>
      </c>
      <c r="C1557" s="27" t="inlineStr">
        <is>
          <t>Puji Puspita</t>
        </is>
      </c>
      <c r="D1557" s="171" t="n">
        <v>46221.41666666666</v>
      </c>
      <c r="E1557" s="26" t="n">
        <v>0.251712962962963</v>
      </c>
      <c r="F1557" s="27" t="inlineStr">
        <is>
          <t>Shift 3</t>
        </is>
      </c>
      <c r="G1557" s="27" t="n"/>
    </row>
    <row r="1558">
      <c r="A1558" s="27" t="inlineStr">
        <is>
          <t>MK00148</t>
        </is>
      </c>
      <c r="B1558" s="27" t="n">
        <v>528000322</v>
      </c>
      <c r="C1558" s="27" t="inlineStr">
        <is>
          <t>Muhamad Aliludin</t>
        </is>
      </c>
      <c r="D1558" s="171" t="n">
        <v>46221.41666666666</v>
      </c>
      <c r="E1558" s="26" t="n">
        <v>0.2521180555555556</v>
      </c>
      <c r="F1558" s="27" t="inlineStr">
        <is>
          <t>Shift 3</t>
        </is>
      </c>
      <c r="G1558" s="27" t="n"/>
    </row>
    <row r="1559">
      <c r="A1559" s="27" t="inlineStr">
        <is>
          <t>MK00116</t>
        </is>
      </c>
      <c r="B1559" s="27" t="n">
        <v>528000298</v>
      </c>
      <c r="C1559" s="27" t="inlineStr">
        <is>
          <t>Desta Cahaya Pratama</t>
        </is>
      </c>
      <c r="D1559" s="171" t="n">
        <v>46221.41666666666</v>
      </c>
      <c r="E1559" s="26" t="n">
        <v>0.2527083333333333</v>
      </c>
      <c r="F1559" s="27" t="inlineStr">
        <is>
          <t>Shift 3</t>
        </is>
      </c>
      <c r="G1559" s="27" t="n"/>
    </row>
    <row r="1560">
      <c r="A1560" s="27" t="inlineStr">
        <is>
          <t>MK00141</t>
        </is>
      </c>
      <c r="B1560" s="27" t="n">
        <v>528000302</v>
      </c>
      <c r="C1560" s="27" t="inlineStr">
        <is>
          <t>Henkey gumilar</t>
        </is>
      </c>
      <c r="D1560" s="171" t="n">
        <v>46221.41666666666</v>
      </c>
      <c r="E1560" s="26" t="n">
        <v>0.2532754629629629</v>
      </c>
      <c r="F1560" s="27" t="inlineStr">
        <is>
          <t>Shift 3</t>
        </is>
      </c>
      <c r="G1560" s="27" t="n"/>
    </row>
    <row r="1561">
      <c r="A1561" s="27" t="inlineStr">
        <is>
          <t>MK00230</t>
        </is>
      </c>
      <c r="B1561" s="27" t="n">
        <v>528000313</v>
      </c>
      <c r="C1561" s="27" t="inlineStr">
        <is>
          <t>Muhamad Rifki</t>
        </is>
      </c>
      <c r="D1561" s="171" t="n">
        <v>46221.41666666666</v>
      </c>
      <c r="E1561" s="26" t="n">
        <v>0.2547222222222222</v>
      </c>
      <c r="F1561" s="27" t="inlineStr">
        <is>
          <t>Shift 3</t>
        </is>
      </c>
      <c r="G1561" s="27" t="n"/>
    </row>
    <row r="1562">
      <c r="A1562" s="27" t="inlineStr">
        <is>
          <t>MK00088</t>
        </is>
      </c>
      <c r="B1562" s="27" t="n">
        <v>528000015</v>
      </c>
      <c r="C1562" s="27" t="inlineStr">
        <is>
          <t>Erwin</t>
        </is>
      </c>
      <c r="D1562" s="171" t="n">
        <v>46221.41666666666</v>
      </c>
      <c r="E1562" s="26" t="n">
        <v>0.2549074074074074</v>
      </c>
      <c r="F1562" s="27" t="inlineStr">
        <is>
          <t>Shift 3</t>
        </is>
      </c>
      <c r="G1562" s="27" t="n"/>
    </row>
    <row r="1563">
      <c r="A1563" s="27" t="inlineStr">
        <is>
          <t>MK00143</t>
        </is>
      </c>
      <c r="B1563" s="27" t="n">
        <v>528000309</v>
      </c>
      <c r="C1563" s="27" t="inlineStr">
        <is>
          <t>Ilham Ramadhan</t>
        </is>
      </c>
      <c r="D1563" s="171" t="n">
        <v>46221.41666666666</v>
      </c>
      <c r="E1563" s="26" t="n">
        <v>0.2549189814814815</v>
      </c>
      <c r="F1563" s="27" t="inlineStr">
        <is>
          <t>Shift 3</t>
        </is>
      </c>
      <c r="G1563" s="27" t="n"/>
    </row>
    <row r="1564">
      <c r="A1564" s="27" t="inlineStr">
        <is>
          <t>MK00219</t>
        </is>
      </c>
      <c r="B1564" s="27" t="n">
        <v>528000340</v>
      </c>
      <c r="C1564" s="27" t="inlineStr">
        <is>
          <t>Muhammad Wildan Adithya</t>
        </is>
      </c>
      <c r="D1564" s="171" t="n">
        <v>46221.41666666666</v>
      </c>
      <c r="E1564" s="26" t="n">
        <v>0.2582754629629629</v>
      </c>
      <c r="F1564" s="27" t="inlineStr">
        <is>
          <t>Shift 3</t>
        </is>
      </c>
      <c r="G1564" s="27" t="n"/>
    </row>
    <row r="1565">
      <c r="A1565" s="27" t="inlineStr">
        <is>
          <t>MK00192</t>
        </is>
      </c>
      <c r="B1565" s="27" t="n">
        <v>528000361</v>
      </c>
      <c r="C1565" s="27" t="inlineStr">
        <is>
          <t>Denada Munggarani</t>
        </is>
      </c>
      <c r="D1565" s="171" t="n">
        <v>46221.41666666666</v>
      </c>
      <c r="E1565" s="26" t="n">
        <v>0.2585879629629629</v>
      </c>
      <c r="F1565" s="27" t="inlineStr">
        <is>
          <t>Shift 3</t>
        </is>
      </c>
      <c r="G1565" s="27" t="n"/>
    </row>
    <row r="1566">
      <c r="A1566" s="27" t="inlineStr">
        <is>
          <t>MK00160</t>
        </is>
      </c>
      <c r="B1566" s="27" t="n">
        <v>528000299</v>
      </c>
      <c r="C1566" s="27" t="inlineStr">
        <is>
          <t>Siti Nurjanah</t>
        </is>
      </c>
      <c r="D1566" s="171" t="n">
        <v>46221.41666666666</v>
      </c>
      <c r="E1566" s="26" t="n">
        <v>0.2586689814814815</v>
      </c>
      <c r="F1566" s="27" t="inlineStr">
        <is>
          <t>Shift 3</t>
        </is>
      </c>
      <c r="G1566" s="27" t="n"/>
    </row>
    <row r="1567">
      <c r="A1567" s="27" t="inlineStr">
        <is>
          <t>MK00085</t>
        </is>
      </c>
      <c r="B1567" s="27" t="n">
        <v>528000270</v>
      </c>
      <c r="C1567" s="27" t="inlineStr">
        <is>
          <t>Febri Najmudin</t>
        </is>
      </c>
      <c r="D1567" s="171" t="n">
        <v>46221.41666666666</v>
      </c>
      <c r="E1567" s="26" t="n">
        <v>0.2662384259259259</v>
      </c>
      <c r="F1567" s="27" t="inlineStr">
        <is>
          <t>Shift 3</t>
        </is>
      </c>
      <c r="G1567" s="27" t="n"/>
    </row>
    <row r="1568">
      <c r="A1568" s="27" t="inlineStr">
        <is>
          <t>MK00248</t>
        </is>
      </c>
      <c r="B1568" s="27" t="n">
        <v>528000283</v>
      </c>
      <c r="C1568" s="27" t="inlineStr">
        <is>
          <t>Purwanda Sugiri</t>
        </is>
      </c>
      <c r="D1568" s="171" t="n">
        <v>46221.41666666666</v>
      </c>
      <c r="E1568" s="26" t="n">
        <v>0.5758564814814815</v>
      </c>
      <c r="F1568" s="27" t="inlineStr">
        <is>
          <t>Shift 1</t>
        </is>
      </c>
      <c r="G1568" s="27" t="n"/>
    </row>
    <row r="1569">
      <c r="A1569" s="27" t="inlineStr">
        <is>
          <t>MK00125</t>
        </is>
      </c>
      <c r="B1569" s="27" t="n">
        <v>528000314</v>
      </c>
      <c r="C1569" s="27" t="inlineStr">
        <is>
          <t>Rusmana</t>
        </is>
      </c>
      <c r="D1569" s="171" t="n">
        <v>46221.41666666666</v>
      </c>
      <c r="E1569" s="26" t="n">
        <v>0.5798263888888889</v>
      </c>
      <c r="F1569" s="27" t="inlineStr">
        <is>
          <t>Shift 1</t>
        </is>
      </c>
      <c r="G1569" s="27" t="n"/>
    </row>
    <row r="1570">
      <c r="A1570" s="27" t="inlineStr">
        <is>
          <t>MK00212</t>
        </is>
      </c>
      <c r="B1570" s="27" t="n">
        <v>528000289</v>
      </c>
      <c r="C1570" s="27" t="inlineStr">
        <is>
          <t>Adit Supriyadi</t>
        </is>
      </c>
      <c r="D1570" s="171" t="n">
        <v>46221.41666666666</v>
      </c>
      <c r="E1570" s="26" t="n">
        <v>0.5851736111111111</v>
      </c>
      <c r="F1570" s="27" t="inlineStr">
        <is>
          <t>Shift 1</t>
        </is>
      </c>
      <c r="G1570" s="27" t="n"/>
    </row>
    <row r="1571">
      <c r="A1571" s="27" t="inlineStr">
        <is>
          <t>MK00218</t>
        </is>
      </c>
      <c r="B1571" s="27" t="n">
        <v>528000241</v>
      </c>
      <c r="C1571" s="27" t="inlineStr">
        <is>
          <t>Balia Nurafif Bilah</t>
        </is>
      </c>
      <c r="D1571" s="171" t="n">
        <v>46221.41666666666</v>
      </c>
      <c r="E1571" s="26" t="n">
        <v>0.5863773148148148</v>
      </c>
      <c r="F1571" s="27" t="inlineStr">
        <is>
          <t>Shift 1</t>
        </is>
      </c>
      <c r="G1571" s="27" t="n"/>
    </row>
    <row r="1572">
      <c r="A1572" s="27" t="inlineStr">
        <is>
          <t>MK00213</t>
        </is>
      </c>
      <c r="B1572" s="27" t="n">
        <v>528000201</v>
      </c>
      <c r="C1572" s="27" t="inlineStr">
        <is>
          <t>Zahwa Amelia Choerunissa</t>
        </is>
      </c>
      <c r="D1572" s="171" t="n">
        <v>46221.41666666666</v>
      </c>
      <c r="E1572" s="26" t="n">
        <v>0.5866087962962963</v>
      </c>
      <c r="F1572" s="27" t="inlineStr">
        <is>
          <t>Shift 1</t>
        </is>
      </c>
      <c r="G1572" s="27" t="n"/>
    </row>
    <row r="1573">
      <c r="A1573" s="27" t="inlineStr">
        <is>
          <t>MK00113</t>
        </is>
      </c>
      <c r="B1573" s="27" t="n">
        <v>528000274</v>
      </c>
      <c r="C1573" s="27" t="inlineStr">
        <is>
          <t>Zepri</t>
        </is>
      </c>
      <c r="D1573" s="171" t="n">
        <v>46221.41666666666</v>
      </c>
      <c r="E1573" s="26" t="n">
        <v>0.5866435185185185</v>
      </c>
      <c r="F1573" s="27" t="inlineStr">
        <is>
          <t>Shift 1</t>
        </is>
      </c>
      <c r="G1573" s="27" t="n"/>
    </row>
    <row r="1574">
      <c r="A1574" s="27" t="inlineStr">
        <is>
          <t>MK00220</t>
        </is>
      </c>
      <c r="B1574" s="27" t="n">
        <v>528000290</v>
      </c>
      <c r="C1574" s="27" t="inlineStr">
        <is>
          <t>Eval Pranata</t>
        </is>
      </c>
      <c r="D1574" s="171" t="n">
        <v>46221.41666666666</v>
      </c>
      <c r="E1574" s="26" t="n">
        <v>0.5867708333333334</v>
      </c>
      <c r="F1574" s="27" t="inlineStr">
        <is>
          <t>Shift 1</t>
        </is>
      </c>
      <c r="G1574" s="27" t="n"/>
    </row>
    <row r="1575">
      <c r="A1575" s="27" t="inlineStr">
        <is>
          <t>MK00235</t>
        </is>
      </c>
      <c r="B1575" s="27" t="n">
        <v>528000099</v>
      </c>
      <c r="C1575" s="27" t="inlineStr">
        <is>
          <t>Siti Nurawaliah</t>
        </is>
      </c>
      <c r="D1575" s="171" t="n">
        <v>46221.41666666666</v>
      </c>
      <c r="E1575" s="26" t="n">
        <v>0.5869328703703703</v>
      </c>
      <c r="F1575" s="27" t="inlineStr">
        <is>
          <t>Shift 1</t>
        </is>
      </c>
      <c r="G1575" s="27" t="n"/>
    </row>
    <row r="1576">
      <c r="A1576" s="27" t="inlineStr">
        <is>
          <t>MK00145</t>
        </is>
      </c>
      <c r="B1576" s="27" t="n">
        <v>528000286</v>
      </c>
      <c r="C1576" s="27" t="inlineStr">
        <is>
          <t>Imelda Amelia</t>
        </is>
      </c>
      <c r="D1576" s="171" t="n">
        <v>46221.41666666666</v>
      </c>
      <c r="E1576" s="26" t="n">
        <v>0.5873495370370371</v>
      </c>
      <c r="F1576" s="27" t="inlineStr">
        <is>
          <t>Shift 1</t>
        </is>
      </c>
      <c r="G1576" s="27" t="n"/>
    </row>
    <row r="1577">
      <c r="A1577" s="27" t="inlineStr">
        <is>
          <t>MK00095</t>
        </is>
      </c>
      <c r="B1577" s="27" t="n">
        <v>528000273</v>
      </c>
      <c r="C1577" s="27" t="inlineStr">
        <is>
          <t>Asep Mulyana</t>
        </is>
      </c>
      <c r="D1577" s="171" t="n">
        <v>46221.41666666666</v>
      </c>
      <c r="E1577" s="26" t="n">
        <v>0.5877199074074074</v>
      </c>
      <c r="F1577" s="27" t="inlineStr">
        <is>
          <t>Shift 1</t>
        </is>
      </c>
      <c r="G1577" s="27" t="n"/>
    </row>
    <row r="1578">
      <c r="A1578" s="27" t="inlineStr">
        <is>
          <t>MK00217</t>
        </is>
      </c>
      <c r="B1578" s="27" t="n">
        <v>528000339</v>
      </c>
      <c r="C1578" s="27" t="inlineStr">
        <is>
          <t>Muhamad Ripai'i</t>
        </is>
      </c>
      <c r="D1578" s="171" t="n">
        <v>46221.41666666666</v>
      </c>
      <c r="E1578" s="26" t="n">
        <v>0.5888425925925926</v>
      </c>
      <c r="F1578" s="27" t="inlineStr">
        <is>
          <t>Shift 1</t>
        </is>
      </c>
      <c r="G1578" s="27" t="n"/>
    </row>
    <row r="1579">
      <c r="A1579" s="27" t="inlineStr">
        <is>
          <t>MK00184</t>
        </is>
      </c>
      <c r="B1579" s="27" t="n">
        <v>528000296</v>
      </c>
      <c r="C1579" s="27" t="inlineStr">
        <is>
          <t>Nurdin</t>
        </is>
      </c>
      <c r="D1579" s="171" t="n">
        <v>46221.41666666666</v>
      </c>
      <c r="E1579" s="26" t="n">
        <v>0.5897916666666667</v>
      </c>
      <c r="F1579" s="27" t="inlineStr">
        <is>
          <t>Shift 1</t>
        </is>
      </c>
      <c r="G1579" s="27" t="n"/>
    </row>
    <row r="1580">
      <c r="A1580" s="27" t="inlineStr">
        <is>
          <t>MK0055</t>
        </is>
      </c>
      <c r="B1580" s="27" t="n">
        <v>528000052</v>
      </c>
      <c r="C1580" s="27" t="inlineStr">
        <is>
          <t>Mustopa</t>
        </is>
      </c>
      <c r="D1580" s="171" t="n">
        <v>46221.41666666666</v>
      </c>
      <c r="E1580" s="26" t="n">
        <v>0.9182638888888889</v>
      </c>
      <c r="F1580" s="27" t="inlineStr">
        <is>
          <t>Shift 2</t>
        </is>
      </c>
      <c r="G1580" s="27" t="n"/>
    </row>
    <row r="1581">
      <c r="A1581" s="27" t="inlineStr">
        <is>
          <t>MK00213</t>
        </is>
      </c>
      <c r="B1581" s="27" t="n">
        <v>528000360</v>
      </c>
      <c r="C1581" s="27" t="inlineStr">
        <is>
          <t>Hendra Permana</t>
        </is>
      </c>
      <c r="D1581" s="171" t="n">
        <v>46221.41666666666</v>
      </c>
      <c r="E1581" s="26" t="n">
        <v>0.9184375</v>
      </c>
      <c r="F1581" s="27" t="inlineStr">
        <is>
          <t>Shift 2</t>
        </is>
      </c>
      <c r="G1581" s="27" t="n"/>
    </row>
    <row r="1582">
      <c r="A1582" s="27" t="inlineStr">
        <is>
          <t>MK00204</t>
        </is>
      </c>
      <c r="B1582" s="27" t="n">
        <v>528000358</v>
      </c>
      <c r="C1582" s="27" t="inlineStr">
        <is>
          <t>Lulu Agustin</t>
        </is>
      </c>
      <c r="D1582" s="171" t="n">
        <v>46221.41666666666</v>
      </c>
      <c r="E1582" s="26" t="n">
        <v>0.9186574074074074</v>
      </c>
      <c r="F1582" s="27" t="inlineStr">
        <is>
          <t>Shift 2</t>
        </is>
      </c>
      <c r="G1582" s="27" t="n"/>
    </row>
    <row r="1583">
      <c r="A1583" s="27" t="inlineStr">
        <is>
          <t>MK00185</t>
        </is>
      </c>
      <c r="B1583" s="27" t="n">
        <v>528000291</v>
      </c>
      <c r="C1583" s="27" t="inlineStr">
        <is>
          <t>Andrian</t>
        </is>
      </c>
      <c r="D1583" s="171" t="n">
        <v>46221.41666666666</v>
      </c>
      <c r="E1583" s="26" t="n">
        <v>0.9191666666666667</v>
      </c>
      <c r="F1583" s="27" t="inlineStr">
        <is>
          <t>Shift 2</t>
        </is>
      </c>
      <c r="G1583" s="27" t="n"/>
    </row>
    <row r="1584">
      <c r="A1584" s="27" t="inlineStr">
        <is>
          <t>MK00112</t>
        </is>
      </c>
      <c r="B1584" s="27" t="n">
        <v>528000262</v>
      </c>
      <c r="C1584" s="27" t="inlineStr">
        <is>
          <t>Ndari Dwiwanti</t>
        </is>
      </c>
      <c r="D1584" s="171" t="n">
        <v>46221.41666666666</v>
      </c>
      <c r="E1584" s="26" t="n">
        <v>0.9193055555555556</v>
      </c>
      <c r="F1584" s="27" t="inlineStr">
        <is>
          <t>Shift 2</t>
        </is>
      </c>
      <c r="G1584" s="27" t="n"/>
    </row>
    <row r="1585">
      <c r="A1585" s="27" t="inlineStr">
        <is>
          <t>MK00134</t>
        </is>
      </c>
      <c r="B1585" s="27" t="n">
        <v>528000195</v>
      </c>
      <c r="C1585" s="27" t="inlineStr">
        <is>
          <t>Rahma Sariwati</t>
        </is>
      </c>
      <c r="D1585" s="171" t="n">
        <v>46221.41666666666</v>
      </c>
      <c r="E1585" s="26" t="n">
        <v>0.9203472222222222</v>
      </c>
      <c r="F1585" s="27" t="inlineStr">
        <is>
          <t>Shift 2</t>
        </is>
      </c>
      <c r="G1585" s="27" t="n"/>
    </row>
    <row r="1586">
      <c r="A1586" s="27" t="inlineStr">
        <is>
          <t>MK00208</t>
        </is>
      </c>
      <c r="B1586" s="27" t="n">
        <v>528000336</v>
      </c>
      <c r="C1586" s="27" t="inlineStr">
        <is>
          <t>Ali Nurhanafi</t>
        </is>
      </c>
      <c r="D1586" s="171" t="n">
        <v>46221.41666666666</v>
      </c>
      <c r="E1586" s="26" t="n">
        <v>0.9216435185185186</v>
      </c>
      <c r="F1586" s="27" t="inlineStr">
        <is>
          <t>Shift 2</t>
        </is>
      </c>
      <c r="G1586" s="27" t="n"/>
    </row>
    <row r="1587">
      <c r="A1587" s="27" t="inlineStr">
        <is>
          <t>MK00202</t>
        </is>
      </c>
      <c r="B1587" s="27" t="n">
        <v>528000337</v>
      </c>
      <c r="C1587" s="27" t="inlineStr">
        <is>
          <t>Ahmad Zaldi Firdaus</t>
        </is>
      </c>
      <c r="D1587" s="171" t="n">
        <v>46221.41666666666</v>
      </c>
      <c r="E1587" s="26" t="n">
        <v>0.9221990740740741</v>
      </c>
      <c r="F1587" s="27" t="inlineStr">
        <is>
          <t>Shift 2</t>
        </is>
      </c>
      <c r="G1587" s="27" t="n"/>
    </row>
    <row r="1588">
      <c r="A1588" s="27" t="inlineStr">
        <is>
          <t>MK00138</t>
        </is>
      </c>
      <c r="B1588" s="27" t="n">
        <v>528000266</v>
      </c>
      <c r="C1588" s="27" t="inlineStr">
        <is>
          <t>M. Syirajatieq</t>
        </is>
      </c>
      <c r="D1588" s="171" t="n">
        <v>46221.41666666666</v>
      </c>
      <c r="E1588" s="26" t="n">
        <v>0.9373611111111111</v>
      </c>
      <c r="F1588" s="27" t="inlineStr">
        <is>
          <t>Shift 2</t>
        </is>
      </c>
      <c r="G1588" s="27" t="n"/>
    </row>
    <row r="1589">
      <c r="A1589" s="27" t="inlineStr">
        <is>
          <t>MK00143</t>
        </is>
      </c>
      <c r="B1589" s="27" t="n">
        <v>528000318</v>
      </c>
      <c r="C1589" s="27" t="inlineStr">
        <is>
          <t>Bayu Padli Sepriyana</t>
        </is>
      </c>
      <c r="D1589" s="171" t="n">
        <v>46222.41666666666</v>
      </c>
      <c r="E1589" s="26" t="n">
        <v>0.2519675925925926</v>
      </c>
      <c r="F1589" s="27" t="inlineStr">
        <is>
          <t>Shift 3</t>
        </is>
      </c>
      <c r="G1589" s="27" t="n"/>
    </row>
    <row r="1590">
      <c r="A1590" s="27" t="inlineStr">
        <is>
          <t>MK00109</t>
        </is>
      </c>
      <c r="B1590" s="27" t="n">
        <v>528000305</v>
      </c>
      <c r="C1590" s="27" t="inlineStr">
        <is>
          <t>Puji Puspita</t>
        </is>
      </c>
      <c r="D1590" s="171" t="n">
        <v>46222.41666666666</v>
      </c>
      <c r="E1590" s="26" t="n">
        <v>0.2522916666666667</v>
      </c>
      <c r="F1590" s="27" t="inlineStr">
        <is>
          <t>Shift 3</t>
        </is>
      </c>
      <c r="G1590" s="27" t="n"/>
    </row>
    <row r="1591">
      <c r="A1591" s="27" t="inlineStr">
        <is>
          <t>MK00219</t>
        </is>
      </c>
      <c r="B1591" s="27" t="n">
        <v>528000299</v>
      </c>
      <c r="C1591" s="27" t="inlineStr">
        <is>
          <t>Siti Nurjanah</t>
        </is>
      </c>
      <c r="D1591" s="171" t="n">
        <v>46222.41666666666</v>
      </c>
      <c r="E1591" s="26" t="n">
        <v>0.2525578703703704</v>
      </c>
      <c r="F1591" s="27" t="inlineStr">
        <is>
          <t>Shift 3</t>
        </is>
      </c>
      <c r="G1591" s="27" t="n"/>
    </row>
    <row r="1592">
      <c r="A1592" s="27" t="inlineStr">
        <is>
          <t>MK00116</t>
        </is>
      </c>
      <c r="B1592" s="27" t="n">
        <v>528000322</v>
      </c>
      <c r="C1592" s="27" t="inlineStr">
        <is>
          <t>Muhamad Aliludin</t>
        </is>
      </c>
      <c r="D1592" s="171" t="n">
        <v>46222.41666666666</v>
      </c>
      <c r="E1592" s="26" t="n">
        <v>0.2530208333333333</v>
      </c>
      <c r="F1592" s="27" t="inlineStr">
        <is>
          <t>Shift 3</t>
        </is>
      </c>
      <c r="G1592" s="27" t="n"/>
    </row>
    <row r="1593">
      <c r="A1593" s="27" t="inlineStr">
        <is>
          <t>MK00192</t>
        </is>
      </c>
      <c r="B1593" s="27" t="n">
        <v>528000298</v>
      </c>
      <c r="C1593" s="27" t="inlineStr">
        <is>
          <t>Desta Cahaya Pratama</t>
        </is>
      </c>
      <c r="D1593" s="171" t="n">
        <v>46222.41666666666</v>
      </c>
      <c r="E1593" s="26" t="n">
        <v>0.2538194444444444</v>
      </c>
      <c r="F1593" s="27" t="inlineStr">
        <is>
          <t>Shift 3</t>
        </is>
      </c>
      <c r="G1593" s="27" t="n"/>
    </row>
    <row r="1594">
      <c r="A1594" s="27" t="inlineStr">
        <is>
          <t>MK00218</t>
        </is>
      </c>
      <c r="B1594" s="27" t="n">
        <v>528000309</v>
      </c>
      <c r="C1594" s="27" t="inlineStr">
        <is>
          <t>Ilham Ramadhan</t>
        </is>
      </c>
      <c r="D1594" s="171" t="n">
        <v>46222.41666666666</v>
      </c>
      <c r="E1594" s="26" t="n">
        <v>0.254212962962963</v>
      </c>
      <c r="F1594" s="27" t="inlineStr">
        <is>
          <t>Shift 3</t>
        </is>
      </c>
      <c r="G1594" s="27" t="n"/>
    </row>
    <row r="1595">
      <c r="A1595" s="27" t="inlineStr">
        <is>
          <t>MK00160</t>
        </is>
      </c>
      <c r="B1595" s="27" t="n">
        <v>528000313</v>
      </c>
      <c r="C1595" s="27" t="inlineStr">
        <is>
          <t>Muhamad Rifki</t>
        </is>
      </c>
      <c r="D1595" s="171" t="n">
        <v>46222.41666666666</v>
      </c>
      <c r="E1595" s="26" t="n">
        <v>0.2547685185185185</v>
      </c>
      <c r="F1595" s="27" t="inlineStr">
        <is>
          <t>Shift 3</t>
        </is>
      </c>
      <c r="G1595" s="27" t="n"/>
    </row>
    <row r="1596">
      <c r="A1596" s="27" t="inlineStr">
        <is>
          <t>MK00181</t>
        </is>
      </c>
      <c r="B1596" s="27" t="n">
        <v>528000302</v>
      </c>
      <c r="C1596" s="27" t="inlineStr">
        <is>
          <t>Henkey gumilar</t>
        </is>
      </c>
      <c r="D1596" s="171" t="n">
        <v>46222.41666666666</v>
      </c>
      <c r="E1596" s="26" t="n">
        <v>0.2550925925925926</v>
      </c>
      <c r="F1596" s="27" t="inlineStr">
        <is>
          <t>Shift 3</t>
        </is>
      </c>
      <c r="G1596" s="27" t="n"/>
    </row>
    <row r="1597">
      <c r="A1597" s="27" t="inlineStr">
        <is>
          <t>MK00113</t>
        </is>
      </c>
      <c r="B1597" s="27" t="n">
        <v>528000270</v>
      </c>
      <c r="C1597" s="27" t="inlineStr">
        <is>
          <t>Febri Najmudin</t>
        </is>
      </c>
      <c r="D1597" s="171" t="n">
        <v>46222.41666666666</v>
      </c>
      <c r="E1597" s="26" t="n">
        <v>0.2619444444444444</v>
      </c>
      <c r="F1597" s="27" t="inlineStr">
        <is>
          <t>Shift 3</t>
        </is>
      </c>
      <c r="G1597" s="27" t="n"/>
    </row>
    <row r="1598">
      <c r="A1598" s="27" t="inlineStr">
        <is>
          <t>MK00121</t>
        </is>
      </c>
      <c r="B1598" s="27" t="n">
        <v>528000361</v>
      </c>
      <c r="C1598" s="27" t="inlineStr">
        <is>
          <t>Denada Munggarani</t>
        </is>
      </c>
      <c r="D1598" s="171" t="n">
        <v>46222.41666666666</v>
      </c>
      <c r="E1598" s="26" t="n">
        <v>0.2774884259259259</v>
      </c>
      <c r="F1598" s="27" t="inlineStr">
        <is>
          <t>Shift 3</t>
        </is>
      </c>
      <c r="G1598" s="27" t="n"/>
    </row>
    <row r="1599">
      <c r="A1599" s="27" t="inlineStr">
        <is>
          <t>MK00184</t>
        </is>
      </c>
      <c r="B1599" s="27" t="n">
        <v>528000015</v>
      </c>
      <c r="C1599" s="27" t="inlineStr">
        <is>
          <t>Erwin</t>
        </is>
      </c>
      <c r="D1599" s="171" t="n">
        <v>46222.41666666666</v>
      </c>
      <c r="E1599" s="26" t="n">
        <v>0.2860648148148148</v>
      </c>
      <c r="F1599" s="27" t="inlineStr">
        <is>
          <t>Shift 3</t>
        </is>
      </c>
      <c r="G1599" s="27" t="n"/>
    </row>
    <row r="1600">
      <c r="A1600" s="27" t="inlineStr">
        <is>
          <t>MK0130</t>
        </is>
      </c>
      <c r="B1600" s="27" t="n">
        <v>528000149</v>
      </c>
      <c r="C1600" s="27" t="inlineStr">
        <is>
          <t>Tio Fernanda</t>
        </is>
      </c>
      <c r="D1600" s="171" t="n">
        <v>46222.41666666666</v>
      </c>
      <c r="E1600" s="26" t="n">
        <v>0.3805671296296296</v>
      </c>
      <c r="F1600" s="27" t="inlineStr">
        <is>
          <t>Shift 1</t>
        </is>
      </c>
      <c r="G1600" s="27" t="n"/>
    </row>
    <row r="1601">
      <c r="A1601" s="27" t="inlineStr">
        <is>
          <t>MK00090</t>
        </is>
      </c>
      <c r="B1601" s="27" t="n">
        <v>528000283</v>
      </c>
      <c r="C1601" s="27" t="inlineStr">
        <is>
          <t>Purwanda Sugiri</t>
        </is>
      </c>
      <c r="D1601" s="171" t="n">
        <v>46222.41666666666</v>
      </c>
      <c r="E1601" s="26" t="n">
        <v>0.5729050925925926</v>
      </c>
      <c r="F1601" s="27" t="inlineStr">
        <is>
          <t>Shift 1</t>
        </is>
      </c>
      <c r="G1601" s="27" t="n"/>
    </row>
    <row r="1602">
      <c r="A1602" s="27" t="inlineStr">
        <is>
          <t>MK00230</t>
        </is>
      </c>
      <c r="B1602" s="27" t="n">
        <v>528000340</v>
      </c>
      <c r="C1602" s="27" t="inlineStr">
        <is>
          <t>Muhammad Wildan Adithya</t>
        </is>
      </c>
      <c r="D1602" s="171" t="n">
        <v>46222.41666666666</v>
      </c>
      <c r="E1602" s="26" t="n">
        <v>0.5787731481481482</v>
      </c>
      <c r="F1602" s="27" t="inlineStr">
        <is>
          <t>Shift 1</t>
        </is>
      </c>
      <c r="G1602" s="27" t="n"/>
    </row>
    <row r="1603">
      <c r="A1603" s="27" t="inlineStr">
        <is>
          <t>MK00125</t>
        </is>
      </c>
      <c r="B1603" s="27" t="n">
        <v>528000314</v>
      </c>
      <c r="C1603" s="27" t="inlineStr">
        <is>
          <t>Rusmana</t>
        </is>
      </c>
      <c r="D1603" s="171" t="n">
        <v>46222.41666666666</v>
      </c>
      <c r="E1603" s="26" t="n">
        <v>0.5794907407407407</v>
      </c>
      <c r="F1603" s="27" t="inlineStr">
        <is>
          <t>Shift 1</t>
        </is>
      </c>
      <c r="G1603" s="27" t="n"/>
    </row>
    <row r="1604">
      <c r="A1604" s="27" t="inlineStr">
        <is>
          <t>MK00141</t>
        </is>
      </c>
      <c r="B1604" s="27" t="n">
        <v>528000310</v>
      </c>
      <c r="C1604" s="27" t="inlineStr">
        <is>
          <t>Fachrul Rozzi Suryana</t>
        </is>
      </c>
      <c r="D1604" s="171" t="n">
        <v>46222.41666666666</v>
      </c>
      <c r="E1604" s="26" t="n">
        <v>0.5845254629629629</v>
      </c>
      <c r="F1604" s="27" t="inlineStr">
        <is>
          <t>Shift 1</t>
        </is>
      </c>
      <c r="G1604" s="27" t="inlineStr">
        <is>
          <t>33B</t>
        </is>
      </c>
    </row>
    <row r="1605">
      <c r="A1605" s="27" t="n">
        <v>338</v>
      </c>
      <c r="B1605" s="27" t="n">
        <v>528000273</v>
      </c>
      <c r="C1605" s="27" t="inlineStr">
        <is>
          <t>Asep Mulyana</t>
        </is>
      </c>
      <c r="D1605" s="171" t="n">
        <v>46222.41666666666</v>
      </c>
      <c r="E1605" s="26" t="n">
        <v>0.5850231481481482</v>
      </c>
      <c r="F1605" s="27" t="inlineStr">
        <is>
          <t>Shift 1</t>
        </is>
      </c>
      <c r="G1605" s="27" t="n"/>
    </row>
    <row r="1606">
      <c r="A1606" s="27" t="inlineStr">
        <is>
          <t>MK00138</t>
        </is>
      </c>
      <c r="B1606" s="27" t="n">
        <v>528000289</v>
      </c>
      <c r="C1606" s="27" t="inlineStr">
        <is>
          <t>Adit Supriyadi</t>
        </is>
      </c>
      <c r="D1606" s="171" t="n">
        <v>46222.41666666666</v>
      </c>
      <c r="E1606" s="26" t="n">
        <v>0.5856365740740741</v>
      </c>
      <c r="F1606" s="27" t="inlineStr">
        <is>
          <t>Shift 1</t>
        </is>
      </c>
      <c r="G1606" s="27" t="n"/>
    </row>
    <row r="1607">
      <c r="A1607" s="27" t="inlineStr">
        <is>
          <t>MK00203</t>
        </is>
      </c>
      <c r="B1607" s="27" t="n">
        <v>528000201</v>
      </c>
      <c r="C1607" s="27" t="inlineStr">
        <is>
          <t>Zahwa Amelia Choerunissa</t>
        </is>
      </c>
      <c r="D1607" s="171" t="n">
        <v>46222.41666666666</v>
      </c>
      <c r="E1607" s="26" t="n">
        <v>0.5867939814814814</v>
      </c>
      <c r="F1607" s="27" t="inlineStr">
        <is>
          <t>Shift 1</t>
        </is>
      </c>
      <c r="G1607" s="27" t="n"/>
    </row>
    <row r="1608">
      <c r="A1608" s="27" t="inlineStr">
        <is>
          <t>MK00212</t>
        </is>
      </c>
      <c r="B1608" s="27" t="n">
        <v>528000359</v>
      </c>
      <c r="C1608" s="27" t="inlineStr">
        <is>
          <t>M. Iqbal Maulana. S</t>
        </is>
      </c>
      <c r="D1608" s="171" t="n">
        <v>46222.41666666666</v>
      </c>
      <c r="E1608" s="26" t="n">
        <v>0.586875</v>
      </c>
      <c r="F1608" s="27" t="inlineStr">
        <is>
          <t>Shift 1</t>
        </is>
      </c>
      <c r="G1608" s="27" t="inlineStr">
        <is>
          <t>26E</t>
        </is>
      </c>
    </row>
    <row r="1609">
      <c r="A1609" s="27" t="inlineStr">
        <is>
          <t>MK00093</t>
        </is>
      </c>
      <c r="B1609" s="27" t="n">
        <v>528000274</v>
      </c>
      <c r="C1609" s="27" t="inlineStr">
        <is>
          <t>Zepri</t>
        </is>
      </c>
      <c r="D1609" s="171" t="n">
        <v>46222.41666666666</v>
      </c>
      <c r="E1609" s="26" t="n">
        <v>0.5869212962962963</v>
      </c>
      <c r="F1609" s="27" t="inlineStr">
        <is>
          <t>Shift 1</t>
        </is>
      </c>
      <c r="G1609" s="27" t="n"/>
    </row>
    <row r="1610">
      <c r="A1610" s="27" t="inlineStr">
        <is>
          <t>MK00204</t>
        </is>
      </c>
      <c r="B1610" s="27" t="n">
        <v>528000241</v>
      </c>
      <c r="C1610" s="27" t="inlineStr">
        <is>
          <t>Balia Nurafif Bilah</t>
        </is>
      </c>
      <c r="D1610" s="171" t="n">
        <v>46222.41666666666</v>
      </c>
      <c r="E1610" s="26" t="n">
        <v>0.5869791666666667</v>
      </c>
      <c r="F1610" s="27" t="inlineStr">
        <is>
          <t>Shift 1</t>
        </is>
      </c>
      <c r="G1610" s="27" t="n"/>
    </row>
    <row r="1611">
      <c r="A1611" s="27" t="inlineStr">
        <is>
          <t>MK00202</t>
        </is>
      </c>
      <c r="B1611" s="27" t="n">
        <v>528000099</v>
      </c>
      <c r="C1611" s="27" t="inlineStr">
        <is>
          <t>Siti Nurawaliah</t>
        </is>
      </c>
      <c r="D1611" s="171" t="n">
        <v>46222.41666666666</v>
      </c>
      <c r="E1611" s="26" t="n">
        <v>0.5872106481481482</v>
      </c>
      <c r="F1611" s="27" t="inlineStr">
        <is>
          <t>Shift 1</t>
        </is>
      </c>
      <c r="G1611" s="27" t="n"/>
    </row>
    <row r="1612">
      <c r="A1612" s="27" t="inlineStr">
        <is>
          <t>MK00213</t>
        </is>
      </c>
      <c r="B1612" s="27" t="n">
        <v>528000265</v>
      </c>
      <c r="C1612" s="27" t="inlineStr">
        <is>
          <t>Muhammad Haerul Rozikin</t>
        </is>
      </c>
      <c r="D1612" s="171" t="n">
        <v>46222.41666666666</v>
      </c>
      <c r="E1612" s="26" t="n">
        <v>0.5872569444444444</v>
      </c>
      <c r="F1612" s="27" t="inlineStr">
        <is>
          <t>Shift 1</t>
        </is>
      </c>
      <c r="G1612" s="27" t="n"/>
    </row>
    <row r="1613">
      <c r="A1613" s="27" t="inlineStr">
        <is>
          <t>MK00134</t>
        </is>
      </c>
      <c r="B1613" s="27" t="n">
        <v>528000290</v>
      </c>
      <c r="C1613" s="27" t="inlineStr">
        <is>
          <t>Eval Pranata</t>
        </is>
      </c>
      <c r="D1613" s="171" t="n">
        <v>46222.41666666666</v>
      </c>
      <c r="E1613" s="26" t="n">
        <v>0.5878356481481481</v>
      </c>
      <c r="F1613" s="27" t="inlineStr">
        <is>
          <t>Shift 1</t>
        </is>
      </c>
      <c r="G1613" s="27" t="n"/>
    </row>
    <row r="1614">
      <c r="A1614" s="27" t="inlineStr">
        <is>
          <t>MK00208</t>
        </is>
      </c>
      <c r="B1614" s="27" t="n">
        <v>528000286</v>
      </c>
      <c r="C1614" s="27" t="inlineStr">
        <is>
          <t>Imelda Amelia</t>
        </is>
      </c>
      <c r="D1614" s="171" t="n">
        <v>46222.41666666666</v>
      </c>
      <c r="E1614" s="26" t="n">
        <v>0.5892476851851852</v>
      </c>
      <c r="F1614" s="27" t="inlineStr">
        <is>
          <t>Shift 1</t>
        </is>
      </c>
      <c r="G1614" s="27" t="n"/>
    </row>
    <row r="1615">
      <c r="A1615" s="27" t="inlineStr">
        <is>
          <t>MK00082</t>
        </is>
      </c>
      <c r="B1615" s="27" t="n">
        <v>528000351</v>
      </c>
      <c r="C1615" s="27" t="inlineStr">
        <is>
          <t>Mulyana</t>
        </is>
      </c>
      <c r="D1615" s="171" t="n">
        <v>46222.41666666666</v>
      </c>
      <c r="E1615" s="26" t="n">
        <v>0.6708101851851852</v>
      </c>
      <c r="F1615" s="27" t="inlineStr">
        <is>
          <t>Shift 2</t>
        </is>
      </c>
      <c r="G1615" s="27" t="n"/>
    </row>
    <row r="1616">
      <c r="A1616" s="27" t="inlineStr">
        <is>
          <t>MK00055</t>
        </is>
      </c>
      <c r="B1616" s="27" t="n">
        <v>528000349</v>
      </c>
      <c r="C1616" s="27" t="inlineStr">
        <is>
          <t>Anas Abdul Fatah</t>
        </is>
      </c>
      <c r="D1616" s="171" t="n">
        <v>46222.41666666666</v>
      </c>
      <c r="E1616" s="26" t="n">
        <v>0.7579629629629629</v>
      </c>
      <c r="F1616" s="27" t="inlineStr">
        <is>
          <t>Shift 2</t>
        </is>
      </c>
      <c r="G1616" s="27" t="n"/>
    </row>
    <row r="1617">
      <c r="A1617" s="27" t="inlineStr">
        <is>
          <t>MK00108</t>
        </is>
      </c>
      <c r="B1617" s="27" t="n">
        <v>528000288</v>
      </c>
      <c r="C1617" s="27" t="inlineStr">
        <is>
          <t>Dede gunawan</t>
        </is>
      </c>
      <c r="D1617" s="171" t="n">
        <v>46222.41666666666</v>
      </c>
      <c r="E1617" s="26" t="n">
        <v>0.9038194444444444</v>
      </c>
      <c r="F1617" s="27" t="inlineStr">
        <is>
          <t>Shift 2</t>
        </is>
      </c>
      <c r="G1617" s="27" t="n"/>
    </row>
    <row r="1618">
      <c r="A1618" s="27" t="inlineStr">
        <is>
          <t>MK000219</t>
        </is>
      </c>
      <c r="B1618" s="27" t="n">
        <v>528000334</v>
      </c>
      <c r="C1618" s="27" t="inlineStr">
        <is>
          <t>Naufal Yudhistira</t>
        </is>
      </c>
      <c r="D1618" s="171" t="n">
        <v>46222.41666666666</v>
      </c>
      <c r="E1618" s="26" t="n">
        <v>0.9098032407407407</v>
      </c>
      <c r="F1618" s="27" t="inlineStr">
        <is>
          <t>Shift 2</t>
        </is>
      </c>
      <c r="G1618" s="27" t="n"/>
    </row>
    <row r="1619">
      <c r="A1619" s="27" t="inlineStr">
        <is>
          <t>MK00192</t>
        </is>
      </c>
      <c r="B1619" s="27" t="n">
        <v>528000306</v>
      </c>
      <c r="C1619" s="27" t="inlineStr">
        <is>
          <t>Windy Olivia</t>
        </is>
      </c>
      <c r="D1619" s="171" t="n">
        <v>46222.41666666666</v>
      </c>
      <c r="E1619" s="26" t="n">
        <v>0.9192361111111111</v>
      </c>
      <c r="F1619" s="27" t="inlineStr">
        <is>
          <t>Shift 2</t>
        </is>
      </c>
      <c r="G1619" s="27" t="n"/>
    </row>
    <row r="1620">
      <c r="A1620" s="27" t="inlineStr">
        <is>
          <t>MK00220</t>
        </is>
      </c>
      <c r="B1620" s="27" t="n">
        <v>528000262</v>
      </c>
      <c r="C1620" s="27" t="inlineStr">
        <is>
          <t>Ndari Dwiwanti</t>
        </is>
      </c>
      <c r="D1620" s="171" t="n">
        <v>46222.41666666666</v>
      </c>
      <c r="E1620" s="26" t="n">
        <v>0.9195023148148148</v>
      </c>
      <c r="F1620" s="27" t="inlineStr">
        <is>
          <t>Shift 2</t>
        </is>
      </c>
      <c r="G1620" s="27" t="n"/>
    </row>
    <row r="1621">
      <c r="A1621" s="27" t="inlineStr">
        <is>
          <t>MK00184</t>
        </is>
      </c>
      <c r="B1621" s="27" t="n">
        <v>528000360</v>
      </c>
      <c r="C1621" s="27" t="inlineStr">
        <is>
          <t>Hendra Permana</t>
        </is>
      </c>
      <c r="D1621" s="171" t="n">
        <v>46222.41666666666</v>
      </c>
      <c r="E1621" s="26" t="n">
        <v>0.9198495370370371</v>
      </c>
      <c r="F1621" s="27" t="inlineStr">
        <is>
          <t>Shift 2</t>
        </is>
      </c>
      <c r="G1621" s="27" t="n"/>
    </row>
    <row r="1622">
      <c r="A1622" s="27" t="inlineStr">
        <is>
          <t>MK00095</t>
        </is>
      </c>
      <c r="B1622" s="27" t="n">
        <v>528000291</v>
      </c>
      <c r="C1622" s="27" t="inlineStr">
        <is>
          <t>Andrian</t>
        </is>
      </c>
      <c r="D1622" s="171" t="n">
        <v>46222.41666666666</v>
      </c>
      <c r="E1622" s="26" t="n">
        <v>0.9204861111111111</v>
      </c>
      <c r="F1622" s="27" t="inlineStr">
        <is>
          <t>Shift 2</t>
        </is>
      </c>
      <c r="G1622" s="27" t="n"/>
    </row>
    <row r="1623">
      <c r="A1623" s="27" t="inlineStr">
        <is>
          <t>MK00218</t>
        </is>
      </c>
      <c r="B1623" s="27" t="n">
        <v>528000052</v>
      </c>
      <c r="C1623" s="27" t="inlineStr">
        <is>
          <t>Mustopa</t>
        </is>
      </c>
      <c r="D1623" s="171" t="n">
        <v>46222.41666666666</v>
      </c>
      <c r="E1623" s="26" t="n">
        <v>0.9205324074074074</v>
      </c>
      <c r="F1623" s="27" t="inlineStr">
        <is>
          <t>Shift 2</t>
        </is>
      </c>
      <c r="G1623" s="27" t="n"/>
    </row>
    <row r="1624">
      <c r="A1624" s="27" t="inlineStr">
        <is>
          <t>MK00116</t>
        </is>
      </c>
      <c r="B1624" s="27" t="n">
        <v>528000195</v>
      </c>
      <c r="C1624" s="27" t="inlineStr">
        <is>
          <t>Rahma Sariwati</t>
        </is>
      </c>
      <c r="D1624" s="171" t="n">
        <v>46222.41666666666</v>
      </c>
      <c r="E1624" s="26" t="n">
        <v>0.9208796296296297</v>
      </c>
      <c r="F1624" s="27" t="inlineStr">
        <is>
          <t>Shift 2</t>
        </is>
      </c>
      <c r="G1624" s="27" t="n"/>
    </row>
    <row r="1625">
      <c r="A1625" s="27" t="inlineStr">
        <is>
          <t>MK00217</t>
        </is>
      </c>
      <c r="B1625" s="27" t="n">
        <v>528000337</v>
      </c>
      <c r="C1625" s="27" t="inlineStr">
        <is>
          <t>Ahmad Zaldi Firdaus</t>
        </is>
      </c>
      <c r="D1625" s="171" t="n">
        <v>46222.41666666666</v>
      </c>
      <c r="E1625" s="26" t="n">
        <v>0.9226388888888889</v>
      </c>
      <c r="F1625" s="27" t="inlineStr">
        <is>
          <t>Shift 2</t>
        </is>
      </c>
      <c r="G1625" s="27" t="n"/>
    </row>
    <row r="1626">
      <c r="A1626" s="27" t="inlineStr">
        <is>
          <t>MK00085</t>
        </is>
      </c>
      <c r="B1626" s="27" t="n">
        <v>528000336</v>
      </c>
      <c r="C1626" s="27" t="inlineStr">
        <is>
          <t>Ali Nurhanafi</t>
        </is>
      </c>
      <c r="D1626" s="171" t="n">
        <v>46222.41666666666</v>
      </c>
      <c r="E1626" s="26" t="n">
        <v>0.9228472222222223</v>
      </c>
      <c r="F1626" s="27" t="inlineStr">
        <is>
          <t>Shift 2</t>
        </is>
      </c>
      <c r="G1626" s="27" t="n"/>
    </row>
    <row r="1627">
      <c r="A1627" s="27" t="inlineStr">
        <is>
          <t>MK00150</t>
        </is>
      </c>
      <c r="B1627" s="27" t="n">
        <v>528000266</v>
      </c>
      <c r="C1627" s="27" t="inlineStr">
        <is>
          <t>M. Syirajatieq</t>
        </is>
      </c>
      <c r="D1627" s="171" t="n">
        <v>46222.41666666666</v>
      </c>
      <c r="E1627" s="26" t="n">
        <v>0.9470486111111112</v>
      </c>
      <c r="F1627" s="27" t="inlineStr">
        <is>
          <t>Shift 2</t>
        </is>
      </c>
      <c r="G1627" s="27" t="n"/>
    </row>
    <row r="1628">
      <c r="A1628" s="27" t="inlineStr">
        <is>
          <t>MK00204</t>
        </is>
      </c>
      <c r="B1628" s="27" t="n">
        <v>528000335</v>
      </c>
      <c r="C1628" s="27" t="inlineStr">
        <is>
          <t>Rizal Saepuloh</t>
        </is>
      </c>
      <c r="D1628" s="171" t="n">
        <v>46223.41666666666</v>
      </c>
      <c r="E1628" s="26" t="n">
        <v>0.0005092592592592592</v>
      </c>
      <c r="F1628" s="27" t="inlineStr">
        <is>
          <t>Shift 3</t>
        </is>
      </c>
      <c r="G1628" s="27" t="n"/>
    </row>
    <row r="1629">
      <c r="A1629" s="27" t="inlineStr">
        <is>
          <t>MK00235</t>
        </is>
      </c>
      <c r="B1629" s="27" t="n">
        <v>528000040</v>
      </c>
      <c r="C1629" s="27" t="inlineStr">
        <is>
          <t>Agus Suryaman</t>
        </is>
      </c>
      <c r="D1629" s="171" t="n">
        <v>46223.41666666666</v>
      </c>
      <c r="E1629" s="26" t="n">
        <v>0.002395833333333333</v>
      </c>
      <c r="F1629" s="27" t="inlineStr">
        <is>
          <t>Shift 3</t>
        </is>
      </c>
      <c r="G1629" s="27" t="n"/>
    </row>
    <row r="1630">
      <c r="A1630" s="27" t="inlineStr">
        <is>
          <t>MK00210</t>
        </is>
      </c>
      <c r="B1630" s="27" t="n">
        <v>528000232</v>
      </c>
      <c r="C1630" s="27" t="inlineStr">
        <is>
          <t>Agung Aji Suhada</t>
        </is>
      </c>
      <c r="D1630" s="171" t="n">
        <v>46223.41666666666</v>
      </c>
      <c r="E1630" s="26" t="n">
        <v>0.002754629629629629</v>
      </c>
      <c r="F1630" s="27" t="inlineStr">
        <is>
          <t>Shift 3</t>
        </is>
      </c>
      <c r="G1630" s="27" t="n"/>
    </row>
    <row r="1631">
      <c r="A1631" s="27" t="inlineStr">
        <is>
          <t>MK00221</t>
        </is>
      </c>
      <c r="B1631" s="27" t="n">
        <v>528000144</v>
      </c>
      <c r="C1631" s="27" t="inlineStr">
        <is>
          <t>Jodi Hanafi</t>
        </is>
      </c>
      <c r="D1631" s="171" t="n">
        <v>46223.41666666666</v>
      </c>
      <c r="E1631" s="26" t="n">
        <v>0.01056712962962963</v>
      </c>
      <c r="F1631" s="27" t="inlineStr">
        <is>
          <t>Shift 3</t>
        </is>
      </c>
      <c r="G1631" s="27" t="n"/>
    </row>
    <row r="1632">
      <c r="A1632" s="27" t="n">
        <v>52800088</v>
      </c>
      <c r="B1632" s="27" t="n">
        <v>528000244</v>
      </c>
      <c r="C1632" s="27" t="inlineStr">
        <is>
          <t>Rodian Rifai</t>
        </is>
      </c>
      <c r="D1632" s="171" t="n">
        <v>46223.41666666666</v>
      </c>
      <c r="E1632" s="26" t="n">
        <v>0.2445833333333333</v>
      </c>
      <c r="F1632" s="27" t="inlineStr">
        <is>
          <t>Shift 3</t>
        </is>
      </c>
      <c r="G1632" s="27" t="n"/>
    </row>
    <row r="1633">
      <c r="A1633" s="27" t="inlineStr">
        <is>
          <t>MK00249</t>
        </is>
      </c>
      <c r="B1633" s="27" t="n">
        <v>528000090</v>
      </c>
      <c r="C1633" s="27" t="inlineStr">
        <is>
          <t>Suganda</t>
        </is>
      </c>
      <c r="D1633" s="171" t="n">
        <v>46223.41666666666</v>
      </c>
      <c r="E1633" s="26" t="n">
        <v>0.2502430555555555</v>
      </c>
      <c r="F1633" s="27" t="inlineStr">
        <is>
          <t>Shift 3</t>
        </is>
      </c>
      <c r="G1633" s="27" t="n"/>
    </row>
    <row r="1634">
      <c r="A1634" s="27" t="inlineStr">
        <is>
          <t>MK00156</t>
        </is>
      </c>
      <c r="B1634" s="27" t="n">
        <v>528000248</v>
      </c>
      <c r="C1634" s="27" t="inlineStr">
        <is>
          <t>Roka Jaya Salka Mulya</t>
        </is>
      </c>
      <c r="D1634" s="171" t="n">
        <v>46223.41666666666</v>
      </c>
      <c r="E1634" s="26" t="n">
        <v>0.2512615740740741</v>
      </c>
      <c r="F1634" s="27" t="inlineStr">
        <is>
          <t>Shift 3</t>
        </is>
      </c>
      <c r="G1634" s="27" t="n"/>
    </row>
    <row r="1635">
      <c r="A1635" s="27" t="inlineStr">
        <is>
          <t>MK00185</t>
        </is>
      </c>
      <c r="B1635" s="27" t="n">
        <v>528000300</v>
      </c>
      <c r="C1635" s="27" t="inlineStr">
        <is>
          <t>Lia pitaloka</t>
        </is>
      </c>
      <c r="D1635" s="171" t="n">
        <v>46223.41666666666</v>
      </c>
      <c r="E1635" s="26" t="n">
        <v>0.2526273148148148</v>
      </c>
      <c r="F1635" s="27" t="inlineStr">
        <is>
          <t>Shift 3</t>
        </is>
      </c>
      <c r="G1635" s="27" t="n"/>
    </row>
    <row r="1636">
      <c r="A1636" s="27" t="inlineStr">
        <is>
          <t>MK00212</t>
        </is>
      </c>
      <c r="B1636" s="27" t="n">
        <v>528000334</v>
      </c>
      <c r="C1636" s="27" t="inlineStr">
        <is>
          <t>Naufal Yudhistira</t>
        </is>
      </c>
      <c r="D1636" s="171" t="n">
        <v>46223.41666666666</v>
      </c>
      <c r="E1636" s="26" t="n">
        <v>0.252662037037037</v>
      </c>
      <c r="F1636" s="27" t="inlineStr">
        <is>
          <t>Shift 3</t>
        </is>
      </c>
      <c r="G1636" s="27" t="n"/>
    </row>
    <row r="1637">
      <c r="A1637" s="27" t="inlineStr">
        <is>
          <t>MK00082</t>
        </is>
      </c>
      <c r="B1637" s="27" t="n">
        <v>528000279</v>
      </c>
      <c r="C1637" s="27" t="inlineStr">
        <is>
          <t>Mahdalena Dalfa Riani</t>
        </is>
      </c>
      <c r="D1637" s="171" t="n">
        <v>46223.41666666666</v>
      </c>
      <c r="E1637" s="26" t="n">
        <v>0.253113425925926</v>
      </c>
      <c r="F1637" s="27" t="inlineStr">
        <is>
          <t>Shift 3</t>
        </is>
      </c>
      <c r="G1637" s="27" t="n"/>
    </row>
    <row r="1638">
      <c r="A1638" s="27" t="inlineStr">
        <is>
          <t>MK00113</t>
        </is>
      </c>
      <c r="B1638" s="27" t="n">
        <v>628000064</v>
      </c>
      <c r="C1638" s="27" t="inlineStr">
        <is>
          <t>Silva Alypia</t>
        </is>
      </c>
      <c r="D1638" s="171" t="n">
        <v>46223.41666666666</v>
      </c>
      <c r="E1638" s="26" t="n">
        <v>0.2531712962962963</v>
      </c>
      <c r="F1638" s="27" t="inlineStr">
        <is>
          <t>Shift 3</t>
        </is>
      </c>
      <c r="G1638" s="27" t="n"/>
    </row>
    <row r="1639">
      <c r="A1639" s="27" t="inlineStr">
        <is>
          <t>MK00108</t>
        </is>
      </c>
      <c r="B1639" s="27" t="n">
        <v>528000323</v>
      </c>
      <c r="C1639" s="27" t="inlineStr">
        <is>
          <t>Dian Hamidah</t>
        </is>
      </c>
      <c r="D1639" s="171" t="n">
        <v>46223.41666666666</v>
      </c>
      <c r="E1639" s="26" t="n">
        <v>0.2558796296296296</v>
      </c>
      <c r="F1639" s="27" t="inlineStr">
        <is>
          <t>Shift 3</t>
        </is>
      </c>
      <c r="G1639" s="27" t="n"/>
    </row>
    <row r="1640">
      <c r="A1640" s="27" t="inlineStr">
        <is>
          <t>MK00208</t>
        </is>
      </c>
      <c r="B1640" s="27" t="n">
        <v>528000297</v>
      </c>
      <c r="C1640" s="27" t="inlineStr">
        <is>
          <t>Muhamad Budiana</t>
        </is>
      </c>
      <c r="D1640" s="171" t="n">
        <v>46223.41666666666</v>
      </c>
      <c r="E1640" s="26" t="n">
        <v>0.2737615740740741</v>
      </c>
      <c r="F1640" s="27" t="inlineStr">
        <is>
          <t>Shift 3</t>
        </is>
      </c>
      <c r="G1640" s="27" t="n"/>
    </row>
    <row r="1641">
      <c r="A1641" s="27" t="inlineStr">
        <is>
          <t>MK00125</t>
        </is>
      </c>
      <c r="B1641" s="27" t="n">
        <v>528000314</v>
      </c>
      <c r="C1641" s="27" t="inlineStr">
        <is>
          <t>Rusmana</t>
        </is>
      </c>
      <c r="D1641" s="171" t="n">
        <v>46223.41666666666</v>
      </c>
      <c r="E1641" s="26" t="n">
        <v>0.3226967592592593</v>
      </c>
      <c r="F1641" s="27" t="inlineStr">
        <is>
          <t>Shift 3</t>
        </is>
      </c>
      <c r="G1641" s="27" t="n"/>
    </row>
    <row r="1642">
      <c r="A1642" s="27" t="inlineStr">
        <is>
          <t>MK00230</t>
        </is>
      </c>
      <c r="B1642" s="27" t="n">
        <v>528000340</v>
      </c>
      <c r="C1642" s="27" t="inlineStr">
        <is>
          <t>Muhammad Wildan Adithya</t>
        </is>
      </c>
      <c r="D1642" s="171" t="n">
        <v>46223.41666666666</v>
      </c>
      <c r="E1642" s="26" t="n">
        <v>0.5711689814814814</v>
      </c>
      <c r="F1642" s="27" t="inlineStr">
        <is>
          <t>Shift 1</t>
        </is>
      </c>
      <c r="G1642" s="27" t="n"/>
    </row>
    <row r="1643">
      <c r="A1643" s="27" t="inlineStr">
        <is>
          <t>MK00143</t>
        </is>
      </c>
      <c r="B1643" s="27" t="n">
        <v>528000283</v>
      </c>
      <c r="C1643" s="27" t="inlineStr">
        <is>
          <t>Purwanda Sugiri</t>
        </is>
      </c>
      <c r="D1643" s="171" t="n">
        <v>46223.41666666666</v>
      </c>
      <c r="E1643" s="26" t="n">
        <v>0.5719328703703703</v>
      </c>
      <c r="F1643" s="27" t="inlineStr">
        <is>
          <t>Shift 1</t>
        </is>
      </c>
      <c r="G1643" s="27" t="n"/>
    </row>
    <row r="1644">
      <c r="A1644" s="27" t="inlineStr">
        <is>
          <t>MK00218</t>
        </is>
      </c>
      <c r="B1644" s="27" t="n">
        <v>528000241</v>
      </c>
      <c r="C1644" s="27" t="inlineStr">
        <is>
          <t>Balia Nurafif Bilah</t>
        </is>
      </c>
      <c r="D1644" s="171" t="n">
        <v>46223.41666666666</v>
      </c>
      <c r="E1644" s="26" t="n">
        <v>0.5849884259259259</v>
      </c>
      <c r="F1644" s="27" t="inlineStr">
        <is>
          <t>Shift 1</t>
        </is>
      </c>
      <c r="G1644" s="27" t="n"/>
    </row>
    <row r="1645">
      <c r="A1645" s="27" t="inlineStr">
        <is>
          <t>MK00121</t>
        </is>
      </c>
      <c r="B1645" s="27" t="n">
        <v>528000228</v>
      </c>
      <c r="C1645" s="27" t="inlineStr">
        <is>
          <t>Banyu Resmi Putri</t>
        </is>
      </c>
      <c r="D1645" s="171" t="n">
        <v>46223.41666666666</v>
      </c>
      <c r="E1645" s="26" t="n">
        <v>0.5852777777777778</v>
      </c>
      <c r="F1645" s="27" t="inlineStr">
        <is>
          <t>Shift 1</t>
        </is>
      </c>
      <c r="G1645" s="27" t="n"/>
    </row>
    <row r="1646">
      <c r="A1646" s="27" t="inlineStr">
        <is>
          <t>MK00141</t>
        </is>
      </c>
      <c r="B1646" s="27" t="n">
        <v>528000290</v>
      </c>
      <c r="C1646" s="27" t="inlineStr">
        <is>
          <t>Eval Pranata</t>
        </is>
      </c>
      <c r="D1646" s="171" t="n">
        <v>46223.41666666666</v>
      </c>
      <c r="E1646" s="26" t="n">
        <v>0.585625</v>
      </c>
      <c r="F1646" s="27" t="inlineStr">
        <is>
          <t>Shift 1</t>
        </is>
      </c>
      <c r="G1646" s="27" t="n"/>
    </row>
    <row r="1647">
      <c r="A1647" s="27" t="inlineStr">
        <is>
          <t>MK00180</t>
        </is>
      </c>
      <c r="B1647" s="27" t="n">
        <v>528000273</v>
      </c>
      <c r="C1647" s="27" t="inlineStr">
        <is>
          <t>Asep Mulyana</t>
        </is>
      </c>
      <c r="D1647" s="171" t="n">
        <v>46223.41666666666</v>
      </c>
      <c r="E1647" s="26" t="n">
        <v>0.5858912037037037</v>
      </c>
      <c r="F1647" s="27" t="inlineStr">
        <is>
          <t>Shift 1</t>
        </is>
      </c>
      <c r="G1647" s="27" t="n"/>
    </row>
    <row r="1648">
      <c r="A1648" s="27" t="inlineStr">
        <is>
          <t>MK00116</t>
        </is>
      </c>
      <c r="B1648" s="27" t="n">
        <v>528000212</v>
      </c>
      <c r="C1648" s="27" t="inlineStr">
        <is>
          <t>Rizal Fauzi</t>
        </is>
      </c>
      <c r="D1648" s="171" t="n">
        <v>46223.41666666666</v>
      </c>
      <c r="E1648" s="26" t="n">
        <v>0.5860300925925926</v>
      </c>
      <c r="F1648" s="27" t="inlineStr">
        <is>
          <t>Shift 1</t>
        </is>
      </c>
      <c r="G1648" s="27" t="n"/>
    </row>
    <row r="1649">
      <c r="A1649" s="27" t="inlineStr">
        <is>
          <t>MK00150</t>
        </is>
      </c>
      <c r="B1649" s="27" t="n">
        <v>528000289</v>
      </c>
      <c r="C1649" s="27" t="inlineStr">
        <is>
          <t>Adit Supriyadi</t>
        </is>
      </c>
      <c r="D1649" s="171" t="n">
        <v>46223.41666666666</v>
      </c>
      <c r="E1649" s="26" t="n">
        <v>0.5861226851851852</v>
      </c>
      <c r="F1649" s="27" t="inlineStr">
        <is>
          <t>Shift 1</t>
        </is>
      </c>
      <c r="G1649" s="27" t="n"/>
    </row>
    <row r="1650">
      <c r="A1650" s="27" t="inlineStr">
        <is>
          <t>MK00217</t>
        </is>
      </c>
      <c r="B1650" s="27" t="n">
        <v>528000201</v>
      </c>
      <c r="C1650" s="27" t="inlineStr">
        <is>
          <t>Zahwa Amelia Choerunissa</t>
        </is>
      </c>
      <c r="D1650" s="171" t="n">
        <v>46223.41666666666</v>
      </c>
      <c r="E1650" s="26" t="n">
        <v>0.5863773148148148</v>
      </c>
      <c r="F1650" s="27" t="inlineStr">
        <is>
          <t>Shift 1</t>
        </is>
      </c>
      <c r="G1650" s="27" t="n"/>
    </row>
    <row r="1651">
      <c r="A1651" s="27" t="inlineStr">
        <is>
          <t>MK00145</t>
        </is>
      </c>
      <c r="B1651" s="27" t="n">
        <v>528000099</v>
      </c>
      <c r="C1651" s="27" t="inlineStr">
        <is>
          <t>Siti Nurawaliah</t>
        </is>
      </c>
      <c r="D1651" s="171" t="n">
        <v>46223.41666666666</v>
      </c>
      <c r="E1651" s="26" t="n">
        <v>0.5867129629629629</v>
      </c>
      <c r="F1651" s="27" t="inlineStr">
        <is>
          <t>Shift 1</t>
        </is>
      </c>
      <c r="G1651" s="27" t="n"/>
    </row>
    <row r="1652">
      <c r="A1652" s="27" t="inlineStr">
        <is>
          <t>MK00184</t>
        </is>
      </c>
      <c r="B1652" s="27" t="n">
        <v>528000286</v>
      </c>
      <c r="C1652" s="27" t="inlineStr">
        <is>
          <t>Imelda Amelia</t>
        </is>
      </c>
      <c r="D1652" s="171" t="n">
        <v>46223.41666666666</v>
      </c>
      <c r="E1652" s="26" t="n">
        <v>0.587650462962963</v>
      </c>
      <c r="F1652" s="27" t="inlineStr">
        <is>
          <t>Shift 1</t>
        </is>
      </c>
      <c r="G1652" s="27" t="n"/>
    </row>
    <row r="1653">
      <c r="A1653" s="27" t="inlineStr">
        <is>
          <t>MK000136</t>
        </is>
      </c>
      <c r="B1653" s="27" t="n">
        <v>528000274</v>
      </c>
      <c r="C1653" s="27" t="inlineStr">
        <is>
          <t>Zepri</t>
        </is>
      </c>
      <c r="D1653" s="171" t="n">
        <v>46223.41666666666</v>
      </c>
      <c r="E1653" s="26" t="n">
        <v>0.588136574074074</v>
      </c>
      <c r="F1653" s="27" t="inlineStr">
        <is>
          <t>Shift 1</t>
        </is>
      </c>
      <c r="G1653" s="27" t="n"/>
    </row>
    <row r="1654">
      <c r="A1654" s="27" t="inlineStr">
        <is>
          <t>MK00235</t>
        </is>
      </c>
      <c r="B1654" s="27" t="n">
        <v>528000339</v>
      </c>
      <c r="C1654" s="27" t="inlineStr">
        <is>
          <t>Muhamad Ripai'i</t>
        </is>
      </c>
      <c r="D1654" s="171" t="n">
        <v>46223.41666666666</v>
      </c>
      <c r="E1654" s="26" t="n">
        <v>0.5890509259259259</v>
      </c>
      <c r="F1654" s="27" t="inlineStr">
        <is>
          <t>Shift 1</t>
        </is>
      </c>
      <c r="G1654" s="27" t="n"/>
    </row>
    <row r="1655">
      <c r="A1655" s="27" t="inlineStr">
        <is>
          <t>MK00185</t>
        </is>
      </c>
      <c r="B1655" s="27" t="n">
        <v>528000351</v>
      </c>
      <c r="C1655" s="27" t="inlineStr">
        <is>
          <t>Mulyana</t>
        </is>
      </c>
      <c r="D1655" s="171" t="n">
        <v>46223.41666666666</v>
      </c>
      <c r="E1655" s="26" t="n">
        <v>0.6667592592592593</v>
      </c>
      <c r="F1655" s="27" t="inlineStr">
        <is>
          <t>Shift 2</t>
        </is>
      </c>
      <c r="G1655" s="27" t="n"/>
    </row>
    <row r="1656">
      <c r="A1656" s="27" t="inlineStr">
        <is>
          <t>MK00055</t>
        </is>
      </c>
      <c r="B1656" s="27" t="n">
        <v>528000310</v>
      </c>
      <c r="C1656" s="27" t="inlineStr">
        <is>
          <t>Fachrul Rozzi Suryana</t>
        </is>
      </c>
      <c r="D1656" s="171" t="n">
        <v>46223.41666666666</v>
      </c>
      <c r="E1656" s="26" t="n">
        <v>0.6676504629629629</v>
      </c>
      <c r="F1656" s="27" t="inlineStr">
        <is>
          <t>Shift 2</t>
        </is>
      </c>
      <c r="G1656" s="27" t="inlineStr">
        <is>
          <t>10D</t>
        </is>
      </c>
    </row>
    <row r="1657">
      <c r="A1657" s="27" t="inlineStr">
        <is>
          <t>MK00090</t>
        </is>
      </c>
      <c r="B1657" s="27" t="n">
        <v>528000265</v>
      </c>
      <c r="C1657" s="27" t="inlineStr">
        <is>
          <t>Muhammad Haerul Rozikin</t>
        </is>
      </c>
      <c r="D1657" s="171" t="n">
        <v>46223.41666666666</v>
      </c>
      <c r="E1657" s="26" t="n">
        <v>0.6682407407407407</v>
      </c>
      <c r="F1657" s="27" t="inlineStr">
        <is>
          <t>Shift 2</t>
        </is>
      </c>
      <c r="G1657" s="27" t="n"/>
    </row>
    <row r="1658">
      <c r="A1658" s="27" t="inlineStr">
        <is>
          <t>MK00108</t>
        </is>
      </c>
      <c r="B1658" s="27" t="n">
        <v>528000282</v>
      </c>
      <c r="C1658" s="27" t="inlineStr">
        <is>
          <t>Defa Desfiana</t>
        </is>
      </c>
      <c r="D1658" s="171" t="n">
        <v>46223.41666666666</v>
      </c>
      <c r="E1658" s="26" t="n">
        <v>0.6710763888888889</v>
      </c>
      <c r="F1658" s="27" t="inlineStr">
        <is>
          <t>Shift 2</t>
        </is>
      </c>
      <c r="G1658" s="27" t="inlineStr">
        <is>
          <t>32c</t>
        </is>
      </c>
    </row>
    <row r="1659">
      <c r="A1659" s="27" t="inlineStr">
        <is>
          <t>MK00156</t>
        </is>
      </c>
      <c r="B1659" s="27" t="n">
        <v>528000040</v>
      </c>
      <c r="C1659" s="27" t="inlineStr">
        <is>
          <t>Agus Suryaman</t>
        </is>
      </c>
      <c r="D1659" s="171" t="n">
        <v>46223.41666666666</v>
      </c>
      <c r="E1659" s="26" t="n">
        <v>0.7101157407407407</v>
      </c>
      <c r="F1659" s="27" t="inlineStr">
        <is>
          <t>Shift 2</t>
        </is>
      </c>
      <c r="G1659" s="27" t="n"/>
    </row>
    <row r="1660">
      <c r="A1660" s="27" t="inlineStr">
        <is>
          <t>MK00205</t>
        </is>
      </c>
      <c r="B1660" s="27" t="n">
        <v>528000348</v>
      </c>
      <c r="C1660" s="27" t="inlineStr">
        <is>
          <t>Saepuloh Ardiansah</t>
        </is>
      </c>
      <c r="D1660" s="171" t="n">
        <v>46223.41666666666</v>
      </c>
      <c r="E1660" s="26" t="n">
        <v>0.7105787037037037</v>
      </c>
      <c r="F1660" s="27" t="inlineStr">
        <is>
          <t>Shift 2</t>
        </is>
      </c>
      <c r="G1660" s="27" t="n"/>
    </row>
    <row r="1661">
      <c r="A1661" s="27" t="inlineStr">
        <is>
          <t>MK00160</t>
        </is>
      </c>
      <c r="B1661" s="27" t="n">
        <v>528000349</v>
      </c>
      <c r="C1661" s="27" t="inlineStr">
        <is>
          <t>Anas Abdul Fatah</t>
        </is>
      </c>
      <c r="D1661" s="171" t="n">
        <v>46223.41666666666</v>
      </c>
      <c r="E1661" s="26" t="n">
        <v>0.7601388888888889</v>
      </c>
      <c r="F1661" s="27" t="inlineStr">
        <is>
          <t>Shift 2</t>
        </is>
      </c>
      <c r="G1661" s="27" t="n"/>
    </row>
    <row r="1662">
      <c r="A1662" s="27" t="inlineStr">
        <is>
          <t>MK00154</t>
        </is>
      </c>
      <c r="B1662" s="27" t="n">
        <v>528000069</v>
      </c>
      <c r="C1662" s="27" t="inlineStr">
        <is>
          <t>Jajang Ardiansyah</t>
        </is>
      </c>
      <c r="D1662" s="171" t="n">
        <v>46223.41666666666</v>
      </c>
      <c r="E1662" s="26" t="n">
        <v>0.9022800925925926</v>
      </c>
      <c r="F1662" s="27" t="inlineStr">
        <is>
          <t>Shift 2</t>
        </is>
      </c>
      <c r="G1662" s="27" t="n"/>
    </row>
    <row r="1663">
      <c r="A1663" s="27" t="inlineStr">
        <is>
          <t>MK00181</t>
        </is>
      </c>
      <c r="B1663" s="27" t="n">
        <v>528000090</v>
      </c>
      <c r="C1663" s="27" t="inlineStr">
        <is>
          <t>Suganda</t>
        </is>
      </c>
      <c r="D1663" s="171" t="n">
        <v>46223.41666666666</v>
      </c>
      <c r="E1663" s="26" t="n">
        <v>0.9073611111111111</v>
      </c>
      <c r="F1663" s="27" t="inlineStr">
        <is>
          <t>Shift 2</t>
        </is>
      </c>
      <c r="G1663" s="27" t="n"/>
    </row>
    <row r="1664">
      <c r="A1664" s="27" t="inlineStr">
        <is>
          <t>MK00008</t>
        </is>
      </c>
      <c r="B1664" s="27" t="n">
        <v>528000052</v>
      </c>
      <c r="C1664" s="27" t="inlineStr">
        <is>
          <t>Mustopa</t>
        </is>
      </c>
      <c r="D1664" s="171" t="n">
        <v>46223.41666666666</v>
      </c>
      <c r="E1664" s="26" t="n">
        <v>0.9181134259259259</v>
      </c>
      <c r="F1664" s="27" t="inlineStr">
        <is>
          <t>Shift 2</t>
        </is>
      </c>
      <c r="G1664" s="27" t="n"/>
    </row>
    <row r="1665">
      <c r="A1665" s="27" t="inlineStr">
        <is>
          <t>MK00230</t>
        </is>
      </c>
      <c r="B1665" s="27" t="n">
        <v>528000306</v>
      </c>
      <c r="C1665" s="27" t="inlineStr">
        <is>
          <t>Windy Olivia</t>
        </is>
      </c>
      <c r="D1665" s="171" t="n">
        <v>46223.41666666666</v>
      </c>
      <c r="E1665" s="26" t="n">
        <v>0.9184722222222222</v>
      </c>
      <c r="F1665" s="27" t="inlineStr">
        <is>
          <t>Shift 2</t>
        </is>
      </c>
      <c r="G1665" s="27" t="n"/>
    </row>
    <row r="1666">
      <c r="A1666" s="27" t="inlineStr">
        <is>
          <t>MK00250</t>
        </is>
      </c>
      <c r="B1666" s="27" t="n">
        <v>528000291</v>
      </c>
      <c r="C1666" s="27" t="inlineStr">
        <is>
          <t>Andrian</t>
        </is>
      </c>
      <c r="D1666" s="171" t="n">
        <v>46223.41666666666</v>
      </c>
      <c r="E1666" s="26" t="n">
        <v>0.9185069444444445</v>
      </c>
      <c r="F1666" s="27" t="inlineStr">
        <is>
          <t>Shift 2</t>
        </is>
      </c>
      <c r="G1666" s="27" t="n"/>
    </row>
    <row r="1667">
      <c r="A1667" s="27" t="inlineStr">
        <is>
          <t>MK00220</t>
        </is>
      </c>
      <c r="B1667" s="27" t="n">
        <v>528000262</v>
      </c>
      <c r="C1667" s="27" t="inlineStr">
        <is>
          <t>Ndari Dwiwanti</t>
        </is>
      </c>
      <c r="D1667" s="171" t="n">
        <v>46223.41666666666</v>
      </c>
      <c r="E1667" s="26" t="n">
        <v>0.9189930555555555</v>
      </c>
      <c r="F1667" s="27" t="inlineStr">
        <is>
          <t>Shift 2</t>
        </is>
      </c>
      <c r="G1667" s="27" t="n"/>
    </row>
    <row r="1668">
      <c r="A1668" s="27" t="inlineStr">
        <is>
          <t>MK00112</t>
        </is>
      </c>
      <c r="B1668" s="27" t="n">
        <v>528000261</v>
      </c>
      <c r="C1668" s="27" t="inlineStr">
        <is>
          <t>Ergi Ergianto</t>
        </is>
      </c>
      <c r="D1668" s="171" t="n">
        <v>46223.41666666666</v>
      </c>
      <c r="E1668" s="26" t="n">
        <v>0.9190625</v>
      </c>
      <c r="F1668" s="27" t="inlineStr">
        <is>
          <t>Shift 2</t>
        </is>
      </c>
      <c r="G1668" s="27" t="n"/>
    </row>
    <row r="1669">
      <c r="A1669" s="27" t="inlineStr">
        <is>
          <t>MK00143</t>
        </is>
      </c>
      <c r="B1669" s="27" t="n">
        <v>528000358</v>
      </c>
      <c r="C1669" s="27" t="inlineStr">
        <is>
          <t>Lulu Agustin</t>
        </is>
      </c>
      <c r="D1669" s="171" t="n">
        <v>46223.41666666666</v>
      </c>
      <c r="E1669" s="26" t="n">
        <v>0.9192013888888889</v>
      </c>
      <c r="F1669" s="27" t="inlineStr">
        <is>
          <t>Shift 2</t>
        </is>
      </c>
      <c r="G1669" s="27" t="n"/>
    </row>
    <row r="1670">
      <c r="A1670" s="27" t="inlineStr">
        <is>
          <t>MK00213</t>
        </is>
      </c>
      <c r="B1670" s="27" t="n">
        <v>528000328</v>
      </c>
      <c r="C1670" s="27" t="inlineStr">
        <is>
          <t>Nur Anjani</t>
        </is>
      </c>
      <c r="D1670" s="171" t="n">
        <v>46223.41666666666</v>
      </c>
      <c r="E1670" s="26" t="n">
        <v>0.9198263888888889</v>
      </c>
      <c r="F1670" s="27" t="inlineStr">
        <is>
          <t>Shift 2</t>
        </is>
      </c>
      <c r="G1670" s="27" t="n"/>
    </row>
    <row r="1671">
      <c r="A1671" s="27" t="inlineStr">
        <is>
          <t>MK00085</t>
        </is>
      </c>
      <c r="B1671" s="27" t="n">
        <v>528000336</v>
      </c>
      <c r="C1671" s="27" t="inlineStr">
        <is>
          <t>Ali Nurhanafi</t>
        </is>
      </c>
      <c r="D1671" s="171" t="n">
        <v>46223.41666666666</v>
      </c>
      <c r="E1671" s="26" t="n">
        <v>0.9201273148148148</v>
      </c>
      <c r="F1671" s="27" t="inlineStr">
        <is>
          <t>Shift 2</t>
        </is>
      </c>
      <c r="G1671" s="27" t="n"/>
    </row>
    <row r="1672">
      <c r="A1672" s="27" t="inlineStr">
        <is>
          <t>MK00202</t>
        </is>
      </c>
      <c r="B1672" s="27" t="n">
        <v>528000337</v>
      </c>
      <c r="C1672" s="27" t="inlineStr">
        <is>
          <t>Ahmad Zaldi Firdaus</t>
        </is>
      </c>
      <c r="D1672" s="171" t="n">
        <v>46223.41666666666</v>
      </c>
      <c r="E1672" s="26" t="n">
        <v>0.9205439814814815</v>
      </c>
      <c r="F1672" s="27" t="inlineStr">
        <is>
          <t>Shift 2</t>
        </is>
      </c>
      <c r="G1672" s="27" t="n"/>
    </row>
    <row r="1673">
      <c r="A1673" s="27" t="inlineStr">
        <is>
          <t>MK00212</t>
        </is>
      </c>
      <c r="B1673" s="27" t="n">
        <v>528000266</v>
      </c>
      <c r="C1673" s="27" t="inlineStr">
        <is>
          <t>M. Syirajatieq</t>
        </is>
      </c>
      <c r="D1673" s="171" t="n">
        <v>46223.41666666666</v>
      </c>
      <c r="E1673" s="26" t="n">
        <v>0.9474421296296296</v>
      </c>
      <c r="F1673" s="27" t="inlineStr">
        <is>
          <t>Shift 2</t>
        </is>
      </c>
      <c r="G1673" s="27" t="n"/>
    </row>
    <row r="1674">
      <c r="A1674" s="27" t="inlineStr">
        <is>
          <t>MK00204</t>
        </is>
      </c>
      <c r="B1674" s="27" t="n">
        <v>528000335</v>
      </c>
      <c r="C1674" s="27" t="inlineStr">
        <is>
          <t>Rizal Saepuloh</t>
        </is>
      </c>
      <c r="D1674" s="171" t="n">
        <v>46224.41666666666</v>
      </c>
      <c r="E1674" s="26" t="n">
        <v>0.0004513888888888889</v>
      </c>
      <c r="F1674" s="27" t="inlineStr">
        <is>
          <t>Shift 3</t>
        </is>
      </c>
      <c r="G1674" s="27" t="n"/>
    </row>
    <row r="1675">
      <c r="A1675" s="27" t="inlineStr">
        <is>
          <t>MK00122</t>
        </is>
      </c>
      <c r="B1675" s="27" t="n">
        <v>528000144</v>
      </c>
      <c r="C1675" s="27" t="inlineStr">
        <is>
          <t>Jodi Hanafi</t>
        </is>
      </c>
      <c r="D1675" s="171" t="n">
        <v>46224.41666666666</v>
      </c>
      <c r="E1675" s="26" t="n">
        <v>0.01111111111111111</v>
      </c>
      <c r="F1675" s="27" t="inlineStr">
        <is>
          <t>Shift 3</t>
        </is>
      </c>
      <c r="G1675" s="27" t="n"/>
    </row>
    <row r="1676">
      <c r="A1676" s="27" t="inlineStr">
        <is>
          <t>MK00095</t>
        </is>
      </c>
      <c r="B1676" s="27" t="n">
        <v>528000244</v>
      </c>
      <c r="C1676" s="27" t="inlineStr">
        <is>
          <t>Rodian Rifai</t>
        </is>
      </c>
      <c r="D1676" s="171" t="n">
        <v>46224.41666666666</v>
      </c>
      <c r="E1676" s="26" t="n">
        <v>0.2378240740740741</v>
      </c>
      <c r="F1676" s="27" t="inlineStr">
        <is>
          <t>Shift 3</t>
        </is>
      </c>
      <c r="G1676" s="27" t="n"/>
    </row>
    <row r="1677">
      <c r="A1677" s="27" t="inlineStr">
        <is>
          <t>MK00235</t>
        </is>
      </c>
      <c r="B1677" s="27" t="n">
        <v>528000324</v>
      </c>
      <c r="C1677" s="27" t="inlineStr">
        <is>
          <t>Sri Yanti</t>
        </is>
      </c>
      <c r="D1677" s="171" t="n">
        <v>46224.41666666666</v>
      </c>
      <c r="E1677" s="26" t="n">
        <v>0.2520833333333333</v>
      </c>
      <c r="F1677" s="27" t="inlineStr">
        <is>
          <t>Shift 3</t>
        </is>
      </c>
      <c r="G1677" s="27" t="n"/>
    </row>
    <row r="1678">
      <c r="A1678" s="27" t="inlineStr">
        <is>
          <t>MK00121</t>
        </is>
      </c>
      <c r="B1678" s="27" t="n">
        <v>528000248</v>
      </c>
      <c r="C1678" s="27" t="inlineStr">
        <is>
          <t>Roka Jaya Salka Mulya</t>
        </is>
      </c>
      <c r="D1678" s="171" t="n">
        <v>46224.41666666666</v>
      </c>
      <c r="E1678" s="26" t="n">
        <v>0.2526041666666667</v>
      </c>
      <c r="F1678" s="27" t="inlineStr">
        <is>
          <t>Shift 3</t>
        </is>
      </c>
      <c r="G1678" s="27" t="n"/>
    </row>
    <row r="1679">
      <c r="A1679" s="27" t="inlineStr">
        <is>
          <t>MK00181</t>
        </is>
      </c>
      <c r="B1679" s="27" t="n">
        <v>628000064</v>
      </c>
      <c r="C1679" s="27" t="inlineStr">
        <is>
          <t>Silva Alypia</t>
        </is>
      </c>
      <c r="D1679" s="171" t="n">
        <v>46224.41666666666</v>
      </c>
      <c r="E1679" s="26" t="n">
        <v>0.2540856481481482</v>
      </c>
      <c r="F1679" s="27" t="inlineStr">
        <is>
          <t>Shift 3</t>
        </is>
      </c>
      <c r="G1679" s="27" t="n"/>
    </row>
    <row r="1680">
      <c r="A1680" s="27" t="inlineStr">
        <is>
          <t>MK00154</t>
        </is>
      </c>
      <c r="B1680" s="27" t="n">
        <v>528000300</v>
      </c>
      <c r="C1680" s="27" t="inlineStr">
        <is>
          <t>Lia pitaloka</t>
        </is>
      </c>
      <c r="D1680" s="171" t="n">
        <v>46224.41666666666</v>
      </c>
      <c r="E1680" s="26" t="n">
        <v>0.2541782407407407</v>
      </c>
      <c r="F1680" s="27" t="inlineStr">
        <is>
          <t>Shift 3</t>
        </is>
      </c>
      <c r="G1680" s="27" t="n"/>
    </row>
    <row r="1681">
      <c r="A1681" s="27" t="inlineStr">
        <is>
          <t>MK00141</t>
        </is>
      </c>
      <c r="B1681" s="27" t="n">
        <v>528000279</v>
      </c>
      <c r="C1681" s="27" t="inlineStr">
        <is>
          <t>Mahdalena Dalfa Riani</t>
        </is>
      </c>
      <c r="D1681" s="171" t="n">
        <v>46224.41666666666</v>
      </c>
      <c r="E1681" s="26" t="n">
        <v>0.2552199074074074</v>
      </c>
      <c r="F1681" s="27" t="inlineStr">
        <is>
          <t>Shift 3</t>
        </is>
      </c>
      <c r="G1681" s="27" t="n"/>
    </row>
    <row r="1682">
      <c r="A1682" s="27" t="inlineStr">
        <is>
          <t>MK00082</t>
        </is>
      </c>
      <c r="B1682" s="27" t="n">
        <v>528000297</v>
      </c>
      <c r="C1682" s="27" t="inlineStr">
        <is>
          <t>Muhamad Budiana</t>
        </is>
      </c>
      <c r="D1682" s="171" t="n">
        <v>46224.41666666666</v>
      </c>
      <c r="E1682" s="26" t="n">
        <v>0.2795138888888889</v>
      </c>
      <c r="F1682" s="27" t="inlineStr">
        <is>
          <t>Shift 3</t>
        </is>
      </c>
      <c r="G1682" s="27" t="n"/>
    </row>
    <row r="1683">
      <c r="A1683" s="27" t="inlineStr">
        <is>
          <t>MK00218</t>
        </is>
      </c>
      <c r="B1683" s="27" t="n">
        <v>528000340</v>
      </c>
      <c r="C1683" s="27" t="inlineStr">
        <is>
          <t>Muhammad Wildan Adithya</t>
        </is>
      </c>
      <c r="D1683" s="171" t="n">
        <v>46224.41666666666</v>
      </c>
      <c r="E1683" s="26" t="n">
        <v>0.31625</v>
      </c>
      <c r="F1683" s="27" t="inlineStr">
        <is>
          <t>Shift 3</t>
        </is>
      </c>
      <c r="G1683" s="27" t="n"/>
    </row>
    <row r="1684">
      <c r="A1684" s="27" t="inlineStr">
        <is>
          <t>MK00093</t>
        </is>
      </c>
      <c r="B1684" s="27" t="n">
        <v>528000283</v>
      </c>
      <c r="C1684" s="27" t="inlineStr">
        <is>
          <t>Purwanda Sugiri</t>
        </is>
      </c>
      <c r="D1684" s="171" t="n">
        <v>46224.41666666666</v>
      </c>
      <c r="E1684" s="26" t="n">
        <v>0.3349884259259259</v>
      </c>
      <c r="F1684" s="27" t="inlineStr">
        <is>
          <t>Shift 1</t>
        </is>
      </c>
      <c r="G1684" s="27" t="n"/>
    </row>
    <row r="1685">
      <c r="A1685" s="27" t="inlineStr">
        <is>
          <t>MK000235</t>
        </is>
      </c>
      <c r="B1685" s="27" t="n">
        <v>628000061</v>
      </c>
      <c r="C1685" s="27" t="inlineStr">
        <is>
          <t>Nayla Fadillah Exwantoro</t>
        </is>
      </c>
      <c r="D1685" s="171" t="n">
        <v>46224.41666666666</v>
      </c>
      <c r="E1685" s="26" t="n">
        <v>0.5599074074074074</v>
      </c>
      <c r="F1685" s="27" t="inlineStr">
        <is>
          <t>Shift 1</t>
        </is>
      </c>
      <c r="G1685" s="27" t="n"/>
    </row>
    <row r="1686">
      <c r="A1686" s="27" t="n">
        <v>207</v>
      </c>
      <c r="B1686" s="27" t="n">
        <v>528000292</v>
      </c>
      <c r="C1686" s="27" t="inlineStr">
        <is>
          <t>Aditia Nugraha</t>
        </is>
      </c>
      <c r="D1686" s="171" t="n">
        <v>46224.41666666666</v>
      </c>
      <c r="E1686" s="26" t="n">
        <v>0.5606944444444445</v>
      </c>
      <c r="F1686" s="27" t="inlineStr">
        <is>
          <t>Shift 1</t>
        </is>
      </c>
      <c r="G1686" s="27" t="n"/>
    </row>
    <row r="1687">
      <c r="A1687" s="27" t="inlineStr">
        <is>
          <t>MK00230</t>
        </is>
      </c>
      <c r="B1687" s="27" t="n">
        <v>528000090</v>
      </c>
      <c r="C1687" s="27" t="inlineStr">
        <is>
          <t>Suganda</t>
        </is>
      </c>
      <c r="D1687" s="171" t="n">
        <v>46224.41666666666</v>
      </c>
      <c r="E1687" s="26" t="n">
        <v>0.5835185185185185</v>
      </c>
      <c r="F1687" s="27" t="inlineStr">
        <is>
          <t>Shift 1</t>
        </is>
      </c>
      <c r="G1687" s="27" t="n"/>
    </row>
    <row r="1688">
      <c r="A1688" s="27" t="inlineStr">
        <is>
          <t>MK00108</t>
        </is>
      </c>
      <c r="B1688" s="27" t="n">
        <v>528000274</v>
      </c>
      <c r="C1688" s="27" t="inlineStr">
        <is>
          <t>Zepri</t>
        </is>
      </c>
      <c r="D1688" s="171" t="n">
        <v>46224.41666666666</v>
      </c>
      <c r="E1688" s="26" t="n">
        <v>0.5835532407407408</v>
      </c>
      <c r="F1688" s="27" t="inlineStr">
        <is>
          <t>Shift 1</t>
        </is>
      </c>
      <c r="G1688" s="27" t="n"/>
    </row>
    <row r="1689">
      <c r="A1689" s="27" t="inlineStr">
        <is>
          <t>MK00109</t>
        </is>
      </c>
      <c r="B1689" s="27" t="n">
        <v>528000241</v>
      </c>
      <c r="C1689" s="27" t="inlineStr">
        <is>
          <t>Balia Nurafif Bilah</t>
        </is>
      </c>
      <c r="D1689" s="171" t="n">
        <v>46224.41666666666</v>
      </c>
      <c r="E1689" s="26" t="n">
        <v>0.5841203703703703</v>
      </c>
      <c r="F1689" s="27" t="inlineStr">
        <is>
          <t>Shift 1</t>
        </is>
      </c>
      <c r="G1689" s="27" t="n"/>
    </row>
    <row r="1690">
      <c r="A1690" s="27" t="inlineStr">
        <is>
          <t>MK00212</t>
        </is>
      </c>
      <c r="B1690" s="27" t="n">
        <v>528000290</v>
      </c>
      <c r="C1690" s="27" t="inlineStr">
        <is>
          <t>Eval Pranata</t>
        </is>
      </c>
      <c r="D1690" s="171" t="n">
        <v>46224.41666666666</v>
      </c>
      <c r="E1690" s="26" t="n">
        <v>0.5848842592592592</v>
      </c>
      <c r="F1690" s="27" t="inlineStr">
        <is>
          <t>Shift 1</t>
        </is>
      </c>
      <c r="G1690" s="27" t="n"/>
    </row>
    <row r="1691">
      <c r="A1691" s="27" t="inlineStr">
        <is>
          <t>MK00055</t>
        </is>
      </c>
      <c r="B1691" s="27" t="n">
        <v>528000228</v>
      </c>
      <c r="C1691" s="27" t="inlineStr">
        <is>
          <t>Banyu Resmi Putri</t>
        </is>
      </c>
      <c r="D1691" s="171" t="n">
        <v>46224.41666666666</v>
      </c>
      <c r="E1691" s="26" t="n">
        <v>0.5852777777777778</v>
      </c>
      <c r="F1691" s="27" t="inlineStr">
        <is>
          <t>Shift 1</t>
        </is>
      </c>
      <c r="G1691" s="27" t="n"/>
    </row>
    <row r="1692">
      <c r="A1692" s="27" t="inlineStr">
        <is>
          <t>MK00085</t>
        </is>
      </c>
      <c r="B1692" s="27" t="n">
        <v>528000201</v>
      </c>
      <c r="C1692" s="27" t="inlineStr">
        <is>
          <t>Zahwa Amelia Choerunissa</t>
        </is>
      </c>
      <c r="D1692" s="171" t="n">
        <v>46224.41666666666</v>
      </c>
      <c r="E1692" s="26" t="n">
        <v>0.5854282407407407</v>
      </c>
      <c r="F1692" s="27" t="inlineStr">
        <is>
          <t>Shift 1</t>
        </is>
      </c>
      <c r="G1692" s="27" t="n"/>
    </row>
    <row r="1693">
      <c r="A1693" s="27" t="inlineStr">
        <is>
          <t>MK00184</t>
        </is>
      </c>
      <c r="B1693" s="27" t="n">
        <v>528000099</v>
      </c>
      <c r="C1693" s="27" t="inlineStr">
        <is>
          <t>Siti Nurawaliah</t>
        </is>
      </c>
      <c r="D1693" s="171" t="n">
        <v>46224.41666666666</v>
      </c>
      <c r="E1693" s="26" t="n">
        <v>0.5857407407407408</v>
      </c>
      <c r="F1693" s="27" t="inlineStr">
        <is>
          <t>Shift 1</t>
        </is>
      </c>
      <c r="G1693" s="27" t="n"/>
    </row>
    <row r="1694">
      <c r="A1694" s="27" t="inlineStr">
        <is>
          <t>MK00112</t>
        </is>
      </c>
      <c r="B1694" s="27" t="n">
        <v>528000339</v>
      </c>
      <c r="C1694" s="27" t="inlineStr">
        <is>
          <t>Muhamad Ripai'i</t>
        </is>
      </c>
      <c r="D1694" s="171" t="n">
        <v>46224.41666666666</v>
      </c>
      <c r="E1694" s="26" t="n">
        <v>0.5876041666666667</v>
      </c>
      <c r="F1694" s="27" t="inlineStr">
        <is>
          <t>Shift 1</t>
        </is>
      </c>
      <c r="G1694" s="27" t="n"/>
    </row>
    <row r="1695">
      <c r="A1695" s="27" t="inlineStr">
        <is>
          <t>MK00213</t>
        </is>
      </c>
      <c r="B1695" s="27" t="n">
        <v>528000286</v>
      </c>
      <c r="C1695" s="27" t="inlineStr">
        <is>
          <t>Imelda Amelia</t>
        </is>
      </c>
      <c r="D1695" s="171" t="n">
        <v>46224.41666666666</v>
      </c>
      <c r="E1695" s="26" t="n">
        <v>0.5887731481481482</v>
      </c>
      <c r="F1695" s="27" t="inlineStr">
        <is>
          <t>Shift 1</t>
        </is>
      </c>
      <c r="G1695" s="27" t="n"/>
    </row>
    <row r="1696">
      <c r="A1696" s="27" t="inlineStr">
        <is>
          <t>MK00092</t>
        </is>
      </c>
      <c r="B1696" s="27" t="n">
        <v>528000273</v>
      </c>
      <c r="C1696" s="27" t="inlineStr">
        <is>
          <t>Asep Mulyana</t>
        </is>
      </c>
      <c r="D1696" s="171" t="n">
        <v>46224.41666666666</v>
      </c>
      <c r="E1696" s="26" t="n">
        <v>0.595462962962963</v>
      </c>
      <c r="F1696" s="27" t="inlineStr">
        <is>
          <t>Shift 1</t>
        </is>
      </c>
      <c r="G1696" s="27" t="n"/>
    </row>
    <row r="1697">
      <c r="A1697" s="27" t="inlineStr">
        <is>
          <t>MK00143</t>
        </is>
      </c>
      <c r="B1697" s="27" t="n">
        <v>528000212</v>
      </c>
      <c r="C1697" s="27" t="inlineStr">
        <is>
          <t>Rizal Fauzi</t>
        </is>
      </c>
      <c r="D1697" s="171" t="n">
        <v>46224.41666666666</v>
      </c>
      <c r="E1697" s="26" t="n">
        <v>0.6139814814814815</v>
      </c>
      <c r="F1697" s="27" t="inlineStr">
        <is>
          <t>Shift 1</t>
        </is>
      </c>
      <c r="G1697" s="27" t="n"/>
    </row>
    <row r="1698">
      <c r="A1698" s="27" t="inlineStr">
        <is>
          <t>MK00116</t>
        </is>
      </c>
      <c r="B1698" s="27" t="n">
        <v>528000351</v>
      </c>
      <c r="C1698" s="27" t="inlineStr">
        <is>
          <t>Mulyana</t>
        </is>
      </c>
      <c r="D1698" s="171" t="n">
        <v>46224.41666666666</v>
      </c>
      <c r="E1698" s="26" t="n">
        <v>0.6668055555555555</v>
      </c>
      <c r="F1698" s="27" t="inlineStr">
        <is>
          <t>Shift 2</t>
        </is>
      </c>
      <c r="G1698" s="27" t="n"/>
    </row>
    <row r="1699">
      <c r="A1699" s="27" t="inlineStr">
        <is>
          <t>MK00154</t>
        </is>
      </c>
      <c r="B1699" s="27" t="n">
        <v>528000310</v>
      </c>
      <c r="C1699" s="27" t="inlineStr">
        <is>
          <t>Fachrul Rozzi Suryana</t>
        </is>
      </c>
      <c r="D1699" s="171" t="n">
        <v>46224.41666666666</v>
      </c>
      <c r="E1699" s="26" t="n">
        <v>0.6671296296296296</v>
      </c>
      <c r="F1699" s="27" t="inlineStr">
        <is>
          <t>Shift 2</t>
        </is>
      </c>
      <c r="G1699" s="27" t="inlineStr">
        <is>
          <t>10D</t>
        </is>
      </c>
    </row>
    <row r="1700">
      <c r="A1700" s="27" t="inlineStr">
        <is>
          <t>MK00218</t>
        </is>
      </c>
      <c r="B1700" s="27" t="n">
        <v>528000282</v>
      </c>
      <c r="C1700" s="27" t="inlineStr">
        <is>
          <t>Defa Desfiana</t>
        </is>
      </c>
      <c r="D1700" s="171" t="n">
        <v>46224.41666666666</v>
      </c>
      <c r="E1700" s="26" t="n">
        <v>0.6672916666666666</v>
      </c>
      <c r="F1700" s="27" t="inlineStr">
        <is>
          <t>Shift 2</t>
        </is>
      </c>
      <c r="G1700" s="27" t="inlineStr">
        <is>
          <t>32c</t>
        </is>
      </c>
    </row>
    <row r="1701">
      <c r="A1701" s="27" t="inlineStr">
        <is>
          <t>MK00235</t>
        </is>
      </c>
      <c r="B1701" s="27" t="n">
        <v>528000265</v>
      </c>
      <c r="C1701" s="27" t="inlineStr">
        <is>
          <t>Muhammad Haerul Rozikin</t>
        </is>
      </c>
      <c r="D1701" s="171" t="n">
        <v>46224.41666666666</v>
      </c>
      <c r="E1701" s="26" t="n">
        <v>0.6692476851851852</v>
      </c>
      <c r="F1701" s="27" t="inlineStr">
        <is>
          <t>Shift 2</t>
        </is>
      </c>
      <c r="G1701" s="27" t="n"/>
    </row>
    <row r="1702">
      <c r="A1702" s="27" t="inlineStr">
        <is>
          <t>MK00217</t>
        </is>
      </c>
      <c r="B1702" s="27" t="n">
        <v>528000069</v>
      </c>
      <c r="C1702" s="27" t="inlineStr">
        <is>
          <t>Jajang Ardiansyah</t>
        </is>
      </c>
      <c r="D1702" s="171" t="n">
        <v>46224.41666666666</v>
      </c>
      <c r="E1702" s="26" t="n">
        <v>0.6870601851851852</v>
      </c>
      <c r="F1702" s="27" t="inlineStr">
        <is>
          <t>Shift 2</t>
        </is>
      </c>
      <c r="G1702" s="27" t="n"/>
    </row>
    <row r="1703">
      <c r="A1703" s="27" t="inlineStr">
        <is>
          <t>MK00203</t>
        </is>
      </c>
      <c r="B1703" s="27" t="n">
        <v>528000359</v>
      </c>
      <c r="C1703" s="27" t="inlineStr">
        <is>
          <t>M. Iqbal Maulana. S</t>
        </is>
      </c>
      <c r="D1703" s="171" t="n">
        <v>46224.41666666666</v>
      </c>
      <c r="E1703" s="26" t="n">
        <v>0.7106481481481481</v>
      </c>
      <c r="F1703" s="27" t="inlineStr">
        <is>
          <t>Shift 2</t>
        </is>
      </c>
      <c r="G1703" s="27" t="n"/>
    </row>
    <row r="1704">
      <c r="A1704" s="27" t="inlineStr">
        <is>
          <t>MK00141</t>
        </is>
      </c>
      <c r="B1704" s="27" t="n">
        <v>528000040</v>
      </c>
      <c r="C1704" s="27" t="inlineStr">
        <is>
          <t>Agus Suryaman</t>
        </is>
      </c>
      <c r="D1704" s="171" t="n">
        <v>46224.41666666666</v>
      </c>
      <c r="E1704" s="26" t="n">
        <v>0.7133217592592592</v>
      </c>
      <c r="F1704" s="27" t="inlineStr">
        <is>
          <t>Shift 2</t>
        </is>
      </c>
      <c r="G1704" s="27" t="n"/>
    </row>
    <row r="1705">
      <c r="A1705" s="27" t="inlineStr">
        <is>
          <t>MK00205</t>
        </is>
      </c>
      <c r="B1705" s="27" t="n">
        <v>528000348</v>
      </c>
      <c r="C1705" s="27" t="inlineStr">
        <is>
          <t>Saepuloh Ardiansah</t>
        </is>
      </c>
      <c r="D1705" s="171" t="n">
        <v>46224.41666666666</v>
      </c>
      <c r="E1705" s="26" t="n">
        <v>0.7218055555555556</v>
      </c>
      <c r="F1705" s="27" t="inlineStr">
        <is>
          <t>Shift 2</t>
        </is>
      </c>
      <c r="G1705" s="27" t="n"/>
    </row>
    <row r="1706">
      <c r="A1706" s="27" t="inlineStr">
        <is>
          <t>MK00160</t>
        </is>
      </c>
      <c r="B1706" s="27" t="n">
        <v>528000349</v>
      </c>
      <c r="C1706" s="27" t="inlineStr">
        <is>
          <t>Anas Abdul Fatah</t>
        </is>
      </c>
      <c r="D1706" s="171" t="n">
        <v>46224.41666666666</v>
      </c>
      <c r="E1706" s="26" t="n">
        <v>0.7577546296296296</v>
      </c>
      <c r="F1706" s="27" t="inlineStr">
        <is>
          <t>Shift 2</t>
        </is>
      </c>
      <c r="G1706" s="27" t="n"/>
    </row>
    <row r="1707">
      <c r="A1707" s="27" t="inlineStr">
        <is>
          <t>MK00113</t>
        </is>
      </c>
      <c r="B1707" s="27" t="n">
        <v>528000298</v>
      </c>
      <c r="C1707" s="27" t="inlineStr">
        <is>
          <t>Desta Cahaya Pratama</t>
        </is>
      </c>
      <c r="D1707" s="171" t="n">
        <v>46224.41666666666</v>
      </c>
      <c r="E1707" s="26" t="n">
        <v>0.9187962962962963</v>
      </c>
      <c r="F1707" s="27" t="inlineStr">
        <is>
          <t>Shift 2</t>
        </is>
      </c>
      <c r="G1707" s="27" t="n"/>
    </row>
    <row r="1708">
      <c r="A1708" s="27" t="inlineStr">
        <is>
          <t>MK00158</t>
        </is>
      </c>
      <c r="B1708" s="27" t="n">
        <v>528000322</v>
      </c>
      <c r="C1708" s="27" t="inlineStr">
        <is>
          <t>Muhamad Aliludin</t>
        </is>
      </c>
      <c r="D1708" s="171" t="n">
        <v>46224.41666666666</v>
      </c>
      <c r="E1708" s="26" t="n">
        <v>0.9188888888888889</v>
      </c>
      <c r="F1708" s="27" t="inlineStr">
        <is>
          <t>Shift 2</t>
        </is>
      </c>
      <c r="G1708" s="27" t="n"/>
    </row>
    <row r="1709">
      <c r="A1709" s="27" t="inlineStr">
        <is>
          <t>MK00088</t>
        </is>
      </c>
      <c r="B1709" s="27" t="n">
        <v>528000318</v>
      </c>
      <c r="C1709" s="27" t="inlineStr">
        <is>
          <t>Bayu Padli Sepriyana</t>
        </is>
      </c>
      <c r="D1709" s="171" t="n">
        <v>46224.41666666666</v>
      </c>
      <c r="E1709" s="26" t="n">
        <v>0.9189699074074074</v>
      </c>
      <c r="F1709" s="27" t="inlineStr">
        <is>
          <t>Shift 2</t>
        </is>
      </c>
      <c r="G1709" s="27" t="n"/>
    </row>
    <row r="1710">
      <c r="A1710" s="27" t="inlineStr">
        <is>
          <t>MK00181</t>
        </is>
      </c>
      <c r="B1710" s="27" t="n">
        <v>528000299</v>
      </c>
      <c r="C1710" s="27" t="inlineStr">
        <is>
          <t>Siti Nurjanah</t>
        </is>
      </c>
      <c r="D1710" s="171" t="n">
        <v>46224.41666666666</v>
      </c>
      <c r="E1710" s="26" t="n">
        <v>0.919050925925926</v>
      </c>
      <c r="F1710" s="27" t="inlineStr">
        <is>
          <t>Shift 2</t>
        </is>
      </c>
      <c r="G1710" s="27" t="n"/>
    </row>
    <row r="1711">
      <c r="A1711" s="27" t="inlineStr">
        <is>
          <t>MK00121</t>
        </is>
      </c>
      <c r="B1711" s="27" t="n">
        <v>528000309</v>
      </c>
      <c r="C1711" s="27" t="inlineStr">
        <is>
          <t>Ilham Ramadhan</t>
        </is>
      </c>
      <c r="D1711" s="171" t="n">
        <v>46224.41666666666</v>
      </c>
      <c r="E1711" s="26" t="n">
        <v>0.9195023148148148</v>
      </c>
      <c r="F1711" s="27" t="inlineStr">
        <is>
          <t>Shift 2</t>
        </is>
      </c>
      <c r="G1711" s="27" t="n"/>
    </row>
    <row r="1712">
      <c r="A1712" s="27" t="inlineStr">
        <is>
          <t>MK00250</t>
        </is>
      </c>
      <c r="B1712" s="27" t="n">
        <v>528000313</v>
      </c>
      <c r="C1712" s="27" t="inlineStr">
        <is>
          <t>Muhamad Rifki</t>
        </is>
      </c>
      <c r="D1712" s="171" t="n">
        <v>46224.41666666666</v>
      </c>
      <c r="E1712" s="26" t="n">
        <v>0.9200462962962963</v>
      </c>
      <c r="F1712" s="27" t="inlineStr">
        <is>
          <t>Shift 2</t>
        </is>
      </c>
      <c r="G1712" s="27" t="n"/>
    </row>
    <row r="1713">
      <c r="A1713" s="27" t="inlineStr">
        <is>
          <t>MK00185</t>
        </is>
      </c>
      <c r="B1713" s="27" t="n">
        <v>528000361</v>
      </c>
      <c r="C1713" s="27" t="inlineStr">
        <is>
          <t>Denada Munggarani</t>
        </is>
      </c>
      <c r="D1713" s="171" t="n">
        <v>46224.41666666666</v>
      </c>
      <c r="E1713" s="26" t="n">
        <v>0.9205439814814815</v>
      </c>
      <c r="F1713" s="27" t="inlineStr">
        <is>
          <t>Shift 2</t>
        </is>
      </c>
      <c r="G1713" s="27" t="n"/>
    </row>
    <row r="1714">
      <c r="A1714" s="27" t="inlineStr">
        <is>
          <t>MK00082</t>
        </is>
      </c>
      <c r="B1714" s="27" t="n">
        <v>528000302</v>
      </c>
      <c r="C1714" s="27" t="inlineStr">
        <is>
          <t>Henkey gumilar</t>
        </is>
      </c>
      <c r="D1714" s="171" t="n">
        <v>46224.41666666666</v>
      </c>
      <c r="E1714" s="26" t="n">
        <v>0.9220833333333334</v>
      </c>
      <c r="F1714" s="27" t="inlineStr">
        <is>
          <t>Shift 2</t>
        </is>
      </c>
      <c r="G1714" s="27" t="n"/>
    </row>
    <row r="1715">
      <c r="A1715" s="27" t="inlineStr">
        <is>
          <t>MK00008</t>
        </is>
      </c>
      <c r="B1715" s="27" t="n">
        <v>528000305</v>
      </c>
      <c r="C1715" s="27" t="inlineStr">
        <is>
          <t>Puji Puspita</t>
        </is>
      </c>
      <c r="D1715" s="171" t="n">
        <v>46224.41666666666</v>
      </c>
      <c r="E1715" s="26" t="n">
        <v>0.9231481481481482</v>
      </c>
      <c r="F1715" s="27" t="inlineStr">
        <is>
          <t>Shift 2</t>
        </is>
      </c>
      <c r="G1715" s="27" t="n"/>
    </row>
    <row r="1716">
      <c r="A1716" s="27" t="inlineStr">
        <is>
          <t>MK00208</t>
        </is>
      </c>
      <c r="B1716" s="27" t="n">
        <v>528000015</v>
      </c>
      <c r="C1716" s="27" t="inlineStr">
        <is>
          <t>Erwin</t>
        </is>
      </c>
      <c r="D1716" s="171" t="n">
        <v>46224.41666666666</v>
      </c>
      <c r="E1716" s="26" t="n">
        <v>0.9302083333333333</v>
      </c>
      <c r="F1716" s="27" t="inlineStr">
        <is>
          <t>Shift 2</t>
        </is>
      </c>
      <c r="G1716" s="27" t="n"/>
    </row>
    <row r="1717">
      <c r="A1717" s="27" t="inlineStr">
        <is>
          <t>MK00090</t>
        </is>
      </c>
      <c r="B1717" s="27" t="n">
        <v>628000091</v>
      </c>
      <c r="C1717" s="27" t="inlineStr">
        <is>
          <t>Devita Handayani</t>
        </is>
      </c>
      <c r="D1717" s="171" t="n">
        <v>46224.41666666666</v>
      </c>
      <c r="E1717" s="26" t="n">
        <v>0.9428009259259259</v>
      </c>
      <c r="F1717" s="27" t="inlineStr">
        <is>
          <t>Shift 2</t>
        </is>
      </c>
      <c r="G1717" s="27" t="n"/>
    </row>
    <row r="1718">
      <c r="A1718" s="27" t="inlineStr">
        <is>
          <t>MK00204</t>
        </is>
      </c>
      <c r="B1718" s="27" t="n">
        <v>528000335</v>
      </c>
      <c r="C1718" s="27" t="inlineStr">
        <is>
          <t>Rizal Saepuloh</t>
        </is>
      </c>
      <c r="D1718" s="171" t="n">
        <v>46225.41666666666</v>
      </c>
      <c r="E1718" s="26" t="n">
        <v>0.0004282407407407408</v>
      </c>
      <c r="F1718" s="27" t="inlineStr">
        <is>
          <t>Shift 3</t>
        </is>
      </c>
      <c r="G1718" s="27" t="n"/>
    </row>
    <row r="1719">
      <c r="A1719" s="27" t="inlineStr">
        <is>
          <t>MK00210</t>
        </is>
      </c>
      <c r="B1719" s="27" t="n">
        <v>528000232</v>
      </c>
      <c r="C1719" s="27" t="inlineStr">
        <is>
          <t>Agung Aji Suhada</t>
        </is>
      </c>
      <c r="D1719" s="171" t="n">
        <v>46225.41666666666</v>
      </c>
      <c r="E1719" s="26" t="n">
        <v>0.002060185185185185</v>
      </c>
      <c r="F1719" s="27" t="inlineStr">
        <is>
          <t>Shift 3</t>
        </is>
      </c>
      <c r="G1719" s="27" t="n"/>
    </row>
    <row r="1720">
      <c r="A1720" s="27" t="inlineStr">
        <is>
          <t>MK00221</t>
        </is>
      </c>
      <c r="B1720" s="27" t="n">
        <v>528000144</v>
      </c>
      <c r="C1720" s="27" t="inlineStr">
        <is>
          <t>Jodi Hanafi</t>
        </is>
      </c>
      <c r="D1720" s="171" t="n">
        <v>46225.41666666666</v>
      </c>
      <c r="E1720" s="26" t="n">
        <v>0.04962962962962963</v>
      </c>
      <c r="F1720" s="27" t="inlineStr">
        <is>
          <t>Shift 3</t>
        </is>
      </c>
      <c r="G1720" s="27" t="n"/>
    </row>
    <row r="1721">
      <c r="A1721" s="27" t="inlineStr">
        <is>
          <t>MK00145</t>
        </is>
      </c>
      <c r="B1721" s="27" t="n">
        <v>528000248</v>
      </c>
      <c r="C1721" s="27" t="inlineStr">
        <is>
          <t>Roka Jaya Salka Mulya</t>
        </is>
      </c>
      <c r="D1721" s="171" t="n">
        <v>46225.41666666666</v>
      </c>
      <c r="E1721" s="26" t="n">
        <v>0.2516435185185185</v>
      </c>
      <c r="F1721" s="27" t="inlineStr">
        <is>
          <t>Shift 3</t>
        </is>
      </c>
      <c r="G1721" s="27" t="n"/>
    </row>
    <row r="1722">
      <c r="A1722" s="27" t="inlineStr">
        <is>
          <t>MK00136</t>
        </is>
      </c>
      <c r="B1722" s="27" t="n">
        <v>528000300</v>
      </c>
      <c r="C1722" s="27" t="inlineStr">
        <is>
          <t>Lia pitaloka</t>
        </is>
      </c>
      <c r="D1722" s="171" t="n">
        <v>46225.41666666666</v>
      </c>
      <c r="E1722" s="26" t="n">
        <v>0.2529282407407407</v>
      </c>
      <c r="F1722" s="27" t="inlineStr">
        <is>
          <t>Shift 3</t>
        </is>
      </c>
      <c r="G1722" s="27" t="n"/>
    </row>
    <row r="1723">
      <c r="A1723" s="27" t="inlineStr">
        <is>
          <t>MK00150</t>
        </is>
      </c>
      <c r="B1723" s="27" t="n">
        <v>628000064</v>
      </c>
      <c r="C1723" s="27" t="inlineStr">
        <is>
          <t>Silva Alypia</t>
        </is>
      </c>
      <c r="D1723" s="171" t="n">
        <v>46225.41666666666</v>
      </c>
      <c r="E1723" s="26" t="n">
        <v>0.2538541666666667</v>
      </c>
      <c r="F1723" s="27" t="inlineStr">
        <is>
          <t>Shift 3</t>
        </is>
      </c>
      <c r="G1723" s="27" t="n"/>
    </row>
    <row r="1724">
      <c r="A1724" s="27" t="inlineStr">
        <is>
          <t>MK00143</t>
        </is>
      </c>
      <c r="B1724" s="27" t="n">
        <v>528000279</v>
      </c>
      <c r="C1724" s="27" t="inlineStr">
        <is>
          <t>Mahdalena Dalfa Riani</t>
        </is>
      </c>
      <c r="D1724" s="171" t="n">
        <v>46225.41666666666</v>
      </c>
      <c r="E1724" s="26" t="n">
        <v>0.2561805555555556</v>
      </c>
      <c r="F1724" s="27" t="inlineStr">
        <is>
          <t>Shift 3</t>
        </is>
      </c>
      <c r="G1724" s="27" t="n"/>
    </row>
    <row r="1725">
      <c r="A1725" s="27" t="inlineStr">
        <is>
          <t>MK00160</t>
        </is>
      </c>
      <c r="B1725" s="27" t="n">
        <v>528000323</v>
      </c>
      <c r="C1725" s="27" t="inlineStr">
        <is>
          <t>Dian Hamidah</t>
        </is>
      </c>
      <c r="D1725" s="171" t="n">
        <v>46225.41666666666</v>
      </c>
      <c r="E1725" s="26" t="n">
        <v>0.2570717592592592</v>
      </c>
      <c r="F1725" s="27" t="inlineStr">
        <is>
          <t>Shift 3</t>
        </is>
      </c>
      <c r="G1725" s="27" t="n"/>
    </row>
    <row r="1726">
      <c r="A1726" s="27" t="inlineStr">
        <is>
          <t>MK00095</t>
        </is>
      </c>
      <c r="B1726" s="27" t="n">
        <v>528000297</v>
      </c>
      <c r="C1726" s="27" t="inlineStr">
        <is>
          <t>Muhamad Budiana</t>
        </is>
      </c>
      <c r="D1726" s="171" t="n">
        <v>46225.41666666666</v>
      </c>
      <c r="E1726" s="26" t="n">
        <v>0.2776967592592592</v>
      </c>
      <c r="F1726" s="27" t="inlineStr">
        <is>
          <t>Shift 3</t>
        </is>
      </c>
      <c r="G1726" s="27" t="n"/>
    </row>
    <row r="1727">
      <c r="A1727" s="27" t="inlineStr">
        <is>
          <t>MK00134</t>
        </is>
      </c>
      <c r="B1727" s="27" t="n">
        <v>528000289</v>
      </c>
      <c r="C1727" s="27" t="inlineStr">
        <is>
          <t>Adit Supriyadi</t>
        </is>
      </c>
      <c r="D1727" s="171" t="n">
        <v>46225.41666666666</v>
      </c>
      <c r="E1727" s="26" t="n">
        <v>0.4070833333333334</v>
      </c>
      <c r="F1727" s="27" t="inlineStr">
        <is>
          <t>Shift 1</t>
        </is>
      </c>
      <c r="G1727" s="27" t="n"/>
    </row>
    <row r="1728">
      <c r="A1728" s="27" t="inlineStr">
        <is>
          <t>MK00093</t>
        </is>
      </c>
      <c r="B1728" s="27" t="n">
        <v>528000267</v>
      </c>
      <c r="C1728" s="27" t="inlineStr">
        <is>
          <t>Bagas Patulloh</t>
        </is>
      </c>
      <c r="D1728" s="171" t="n">
        <v>46225.41666666666</v>
      </c>
      <c r="E1728" s="26" t="n">
        <v>0.4842245370370371</v>
      </c>
      <c r="F1728" s="27" t="inlineStr">
        <is>
          <t>Shift 1</t>
        </is>
      </c>
      <c r="G1728" s="27" t="n"/>
    </row>
    <row r="1729">
      <c r="A1729" s="27" t="inlineStr">
        <is>
          <t>MK00209</t>
        </is>
      </c>
      <c r="B1729" s="27" t="n">
        <v>528000340</v>
      </c>
      <c r="C1729" s="27" t="inlineStr">
        <is>
          <t>Muhammad Wildan Adithya</t>
        </is>
      </c>
      <c r="D1729" s="171" t="n">
        <v>46225.41666666666</v>
      </c>
      <c r="E1729" s="26" t="n">
        <v>0.564849537037037</v>
      </c>
      <c r="F1729" s="27" t="inlineStr">
        <is>
          <t>Shift 1</t>
        </is>
      </c>
      <c r="G1729" s="27" t="n"/>
    </row>
    <row r="1730">
      <c r="A1730" s="27" t="inlineStr">
        <is>
          <t>MK00121</t>
        </is>
      </c>
      <c r="B1730" s="27" t="n">
        <v>528000283</v>
      </c>
      <c r="C1730" s="27" t="inlineStr">
        <is>
          <t>Purwanda Sugiri</t>
        </is>
      </c>
      <c r="D1730" s="171" t="n">
        <v>46225.41666666666</v>
      </c>
      <c r="E1730" s="26" t="n">
        <v>0.5846180555555556</v>
      </c>
      <c r="F1730" s="27" t="inlineStr">
        <is>
          <t>Shift 1</t>
        </is>
      </c>
      <c r="G1730" s="27" t="n"/>
    </row>
    <row r="1731">
      <c r="A1731" s="27" t="inlineStr">
        <is>
          <t>MK00008</t>
        </is>
      </c>
      <c r="B1731" s="27" t="n">
        <v>528000291</v>
      </c>
      <c r="C1731" s="27" t="inlineStr">
        <is>
          <t>Andrian</t>
        </is>
      </c>
      <c r="D1731" s="171" t="n">
        <v>46225.41666666666</v>
      </c>
      <c r="E1731" s="26" t="n">
        <v>0.5846527777777778</v>
      </c>
      <c r="F1731" s="27" t="inlineStr">
        <is>
          <t>Shift 1</t>
        </is>
      </c>
      <c r="G1731" s="27" t="n"/>
    </row>
    <row r="1732">
      <c r="A1732" s="27" t="inlineStr">
        <is>
          <t>MK00250</t>
        </is>
      </c>
      <c r="B1732" s="27" t="n">
        <v>528000261</v>
      </c>
      <c r="C1732" s="27" t="inlineStr">
        <is>
          <t>Ergi Ergianto</t>
        </is>
      </c>
      <c r="D1732" s="171" t="n">
        <v>46225.41666666666</v>
      </c>
      <c r="E1732" s="26" t="n">
        <v>0.5847685185185185</v>
      </c>
      <c r="F1732" s="27" t="inlineStr">
        <is>
          <t>Shift 1</t>
        </is>
      </c>
      <c r="G1732" s="27" t="n"/>
    </row>
    <row r="1733">
      <c r="A1733" s="27" t="inlineStr">
        <is>
          <t>MK00249</t>
        </is>
      </c>
      <c r="B1733" s="27" t="n">
        <v>528000358</v>
      </c>
      <c r="C1733" s="27" t="inlineStr">
        <is>
          <t>Lulu Agustin</t>
        </is>
      </c>
      <c r="D1733" s="171" t="n">
        <v>46225.41666666666</v>
      </c>
      <c r="E1733" s="26" t="n">
        <v>0.5856828703703704</v>
      </c>
      <c r="F1733" s="27" t="inlineStr">
        <is>
          <t>Shift 1</t>
        </is>
      </c>
      <c r="G1733" s="27" t="n"/>
    </row>
    <row r="1734">
      <c r="A1734" s="27" t="inlineStr">
        <is>
          <t>MK00203</t>
        </is>
      </c>
      <c r="B1734" s="27" t="n">
        <v>528000052</v>
      </c>
      <c r="C1734" s="27" t="inlineStr">
        <is>
          <t>Mustopa</t>
        </is>
      </c>
      <c r="D1734" s="171" t="n">
        <v>46225.41666666666</v>
      </c>
      <c r="E1734" s="26" t="n">
        <v>0.5859143518518518</v>
      </c>
      <c r="F1734" s="27" t="inlineStr">
        <is>
          <t>Shift 1</t>
        </is>
      </c>
      <c r="G1734" s="27" t="n"/>
    </row>
    <row r="1735">
      <c r="A1735" s="27" t="inlineStr">
        <is>
          <t>MK00154</t>
        </is>
      </c>
      <c r="B1735" s="27" t="n">
        <v>528000262</v>
      </c>
      <c r="C1735" s="27" t="inlineStr">
        <is>
          <t>Ndari Dwiwanti</t>
        </is>
      </c>
      <c r="D1735" s="171" t="n">
        <v>46225.41666666666</v>
      </c>
      <c r="E1735" s="26" t="n">
        <v>0.5861111111111111</v>
      </c>
      <c r="F1735" s="27" t="inlineStr">
        <is>
          <t>Shift 1</t>
        </is>
      </c>
      <c r="G1735" s="27" t="n"/>
    </row>
    <row r="1736">
      <c r="A1736" s="27" t="inlineStr">
        <is>
          <t>MK00181</t>
        </is>
      </c>
      <c r="B1736" s="27" t="n">
        <v>528000195</v>
      </c>
      <c r="C1736" s="27" t="inlineStr">
        <is>
          <t>Rahma Sariwati</t>
        </is>
      </c>
      <c r="D1736" s="171" t="n">
        <v>46225.41666666666</v>
      </c>
      <c r="E1736" s="26" t="n">
        <v>0.5861689814814814</v>
      </c>
      <c r="F1736" s="27" t="inlineStr">
        <is>
          <t>Shift 1</t>
        </is>
      </c>
      <c r="G1736" s="27" t="n"/>
    </row>
    <row r="1737">
      <c r="A1737" s="27" t="inlineStr">
        <is>
          <t>MK00235</t>
        </is>
      </c>
      <c r="B1737" s="27" t="n">
        <v>528000306</v>
      </c>
      <c r="C1737" s="27" t="inlineStr">
        <is>
          <t>Windy Olivia</t>
        </is>
      </c>
      <c r="D1737" s="171" t="n">
        <v>46225.41666666666</v>
      </c>
      <c r="E1737" s="26" t="n">
        <v>0.5863078703703704</v>
      </c>
      <c r="F1737" s="27" t="inlineStr">
        <is>
          <t>Shift 1</t>
        </is>
      </c>
      <c r="G1737" s="27" t="n"/>
    </row>
    <row r="1738">
      <c r="A1738" s="27" t="inlineStr">
        <is>
          <t>MK00113</t>
        </is>
      </c>
      <c r="B1738" s="27" t="n">
        <v>528000328</v>
      </c>
      <c r="C1738" s="27" t="inlineStr">
        <is>
          <t>Nur Anjani</t>
        </is>
      </c>
      <c r="D1738" s="171" t="n">
        <v>46225.41666666666</v>
      </c>
      <c r="E1738" s="26" t="n">
        <v>0.5869444444444445</v>
      </c>
      <c r="F1738" s="27" t="inlineStr">
        <is>
          <t>Shift 1</t>
        </is>
      </c>
      <c r="G1738" s="27" t="n"/>
    </row>
    <row r="1739">
      <c r="A1739" s="27" t="inlineStr">
        <is>
          <t>MK00185</t>
        </is>
      </c>
      <c r="B1739" s="27" t="n">
        <v>528000336</v>
      </c>
      <c r="C1739" s="27" t="inlineStr">
        <is>
          <t>Ali Nurhanafi</t>
        </is>
      </c>
      <c r="D1739" s="171" t="n">
        <v>46225.41666666666</v>
      </c>
      <c r="E1739" s="26" t="n">
        <v>0.5883796296296296</v>
      </c>
      <c r="F1739" s="27" t="inlineStr">
        <is>
          <t>Shift 1</t>
        </is>
      </c>
      <c r="G1739" s="27" t="n"/>
    </row>
    <row r="1740">
      <c r="A1740" s="27" t="inlineStr">
        <is>
          <t>MK00220</t>
        </is>
      </c>
      <c r="B1740" s="27" t="n">
        <v>528000337</v>
      </c>
      <c r="C1740" s="27" t="inlineStr">
        <is>
          <t>Ahmad Zaldi Firdaus</t>
        </is>
      </c>
      <c r="D1740" s="171" t="n">
        <v>46225.41666666666</v>
      </c>
      <c r="E1740" s="26" t="n">
        <v>0.5892013888888888</v>
      </c>
      <c r="F1740" s="27" t="inlineStr">
        <is>
          <t>Shift 1</t>
        </is>
      </c>
      <c r="G1740" s="27" t="n"/>
    </row>
    <row r="1741">
      <c r="A1741" s="27" t="inlineStr">
        <is>
          <t>MK0088</t>
        </is>
      </c>
      <c r="B1741" s="27" t="n">
        <v>528000266</v>
      </c>
      <c r="C1741" s="27" t="inlineStr">
        <is>
          <t>M. Syirajatieq</t>
        </is>
      </c>
      <c r="D1741" s="171" t="n">
        <v>46225.41666666666</v>
      </c>
      <c r="E1741" s="26" t="n">
        <v>0.6481018518518519</v>
      </c>
      <c r="F1741" s="27" t="inlineStr">
        <is>
          <t>Shift 1</t>
        </is>
      </c>
      <c r="G1741" s="27" t="n"/>
    </row>
    <row r="1742">
      <c r="A1742" s="27" t="inlineStr">
        <is>
          <t>MK00156</t>
        </is>
      </c>
      <c r="B1742" s="27" t="n">
        <v>528000351</v>
      </c>
      <c r="C1742" s="27" t="inlineStr">
        <is>
          <t>Mulyana</t>
        </is>
      </c>
      <c r="D1742" s="171" t="n">
        <v>46225.41666666666</v>
      </c>
      <c r="E1742" s="26" t="n">
        <v>0.6668055555555555</v>
      </c>
      <c r="F1742" s="27" t="inlineStr">
        <is>
          <t>Shift 2</t>
        </is>
      </c>
      <c r="G1742" s="27" t="n"/>
    </row>
    <row r="1743">
      <c r="A1743" s="27" t="inlineStr">
        <is>
          <t>MK00090</t>
        </is>
      </c>
      <c r="B1743" s="27" t="n">
        <v>528000310</v>
      </c>
      <c r="C1743" s="27" t="inlineStr">
        <is>
          <t>Fachrul Rozzi Suryana</t>
        </is>
      </c>
      <c r="D1743" s="171" t="n">
        <v>46225.41666666666</v>
      </c>
      <c r="E1743" s="26" t="n">
        <v>0.6671527777777778</v>
      </c>
      <c r="F1743" s="27" t="inlineStr">
        <is>
          <t>Shift 2</t>
        </is>
      </c>
      <c r="G1743" s="27" t="inlineStr">
        <is>
          <t>23F</t>
        </is>
      </c>
    </row>
    <row r="1744">
      <c r="A1744" s="27" t="inlineStr">
        <is>
          <t>MK00218</t>
        </is>
      </c>
      <c r="B1744" s="27" t="n">
        <v>528000282</v>
      </c>
      <c r="C1744" s="27" t="inlineStr">
        <is>
          <t>Defa Desfiana</t>
        </is>
      </c>
      <c r="D1744" s="171" t="n">
        <v>46225.41666666666</v>
      </c>
      <c r="E1744" s="26" t="n">
        <v>0.6674652777777778</v>
      </c>
      <c r="F1744" s="27" t="inlineStr">
        <is>
          <t>Shift 2</t>
        </is>
      </c>
      <c r="G1744" s="27" t="inlineStr">
        <is>
          <t>32c</t>
        </is>
      </c>
    </row>
    <row r="1745">
      <c r="A1745" s="27" t="inlineStr">
        <is>
          <t>MK00184</t>
        </is>
      </c>
      <c r="B1745" s="27" t="n">
        <v>528000265</v>
      </c>
      <c r="C1745" s="27" t="inlineStr">
        <is>
          <t>Muhammad Haerul Rozikin</t>
        </is>
      </c>
      <c r="D1745" s="171" t="n">
        <v>46225.41666666666</v>
      </c>
      <c r="E1745" s="26" t="n">
        <v>0.6693750000000001</v>
      </c>
      <c r="F1745" s="27" t="inlineStr">
        <is>
          <t>Shift 2</t>
        </is>
      </c>
      <c r="G1745" s="27" t="n"/>
    </row>
    <row r="1746">
      <c r="A1746" s="27" t="inlineStr">
        <is>
          <t>MK00141</t>
        </is>
      </c>
      <c r="B1746" s="27" t="n">
        <v>528000040</v>
      </c>
      <c r="C1746" s="27" t="inlineStr">
        <is>
          <t>Agus Suryaman</t>
        </is>
      </c>
      <c r="D1746" s="171" t="n">
        <v>46225.41666666666</v>
      </c>
      <c r="E1746" s="26" t="n">
        <v>0.7092592592592593</v>
      </c>
      <c r="F1746" s="27" t="inlineStr">
        <is>
          <t>Shift 2</t>
        </is>
      </c>
      <c r="G1746" s="27" t="n"/>
    </row>
    <row r="1747">
      <c r="A1747" s="27" t="inlineStr">
        <is>
          <t>MK00205</t>
        </is>
      </c>
      <c r="B1747" s="27" t="n">
        <v>528000348</v>
      </c>
      <c r="C1747" s="27" t="inlineStr">
        <is>
          <t>Saepuloh Ardiansah</t>
        </is>
      </c>
      <c r="D1747" s="171" t="n">
        <v>46225.41666666666</v>
      </c>
      <c r="E1747" s="26" t="n">
        <v>0.7239930555555556</v>
      </c>
      <c r="F1747" s="27" t="inlineStr">
        <is>
          <t>Shift 2</t>
        </is>
      </c>
      <c r="G1747" s="27" t="n"/>
    </row>
    <row r="1748">
      <c r="A1748" s="27" t="inlineStr">
        <is>
          <t>MK0130</t>
        </is>
      </c>
      <c r="B1748" s="27" t="n">
        <v>528000149</v>
      </c>
      <c r="C1748" s="27" t="inlineStr">
        <is>
          <t>Tio Fernanda</t>
        </is>
      </c>
      <c r="D1748" s="171" t="n">
        <v>46225.41666666666</v>
      </c>
      <c r="E1748" s="26" t="n">
        <v>0.7240509259259259</v>
      </c>
      <c r="F1748" s="27" t="inlineStr">
        <is>
          <t>Shift 2</t>
        </is>
      </c>
      <c r="G1748" s="27" t="n"/>
    </row>
    <row r="1749">
      <c r="A1749" s="27" t="inlineStr">
        <is>
          <t>MK00093</t>
        </is>
      </c>
      <c r="B1749" s="27" t="n">
        <v>528000267</v>
      </c>
      <c r="C1749" s="27" t="inlineStr">
        <is>
          <t>Bagas Patulloh</t>
        </is>
      </c>
      <c r="D1749" s="171" t="n">
        <v>46225.41666666666</v>
      </c>
      <c r="E1749" s="26" t="n">
        <v>0.7258796296296296</v>
      </c>
      <c r="F1749" s="27" t="inlineStr">
        <is>
          <t>Shift 2</t>
        </is>
      </c>
      <c r="G1749" s="27" t="n"/>
    </row>
    <row r="1750">
      <c r="A1750" s="27" t="inlineStr">
        <is>
          <t>MK00160</t>
        </is>
      </c>
      <c r="B1750" s="27" t="n">
        <v>528000349</v>
      </c>
      <c r="C1750" s="27" t="inlineStr">
        <is>
          <t>Anas Abdul Fatah</t>
        </is>
      </c>
      <c r="D1750" s="171" t="n">
        <v>46225.41666666666</v>
      </c>
      <c r="E1750" s="26" t="n">
        <v>0.7578472222222222</v>
      </c>
      <c r="F1750" s="27" t="inlineStr">
        <is>
          <t>Shift 2</t>
        </is>
      </c>
      <c r="G1750" s="27" t="n"/>
    </row>
    <row r="1751">
      <c r="A1751" s="27" t="inlineStr">
        <is>
          <t>MK00220</t>
        </is>
      </c>
      <c r="B1751" s="27" t="n">
        <v>528000322</v>
      </c>
      <c r="C1751" s="27" t="inlineStr">
        <is>
          <t>Muhamad Aliludin</t>
        </is>
      </c>
      <c r="D1751" s="171" t="n">
        <v>46225.41666666666</v>
      </c>
      <c r="E1751" s="26" t="n">
        <v>0.9101736111111111</v>
      </c>
      <c r="F1751" s="27" t="inlineStr">
        <is>
          <t>Shift 2</t>
        </is>
      </c>
      <c r="G1751" s="27" t="n"/>
    </row>
    <row r="1752">
      <c r="A1752" s="27" t="inlineStr">
        <is>
          <t>MK00212</t>
        </is>
      </c>
      <c r="B1752" s="27" t="n">
        <v>528000361</v>
      </c>
      <c r="C1752" s="27" t="inlineStr">
        <is>
          <t>Denada Munggarani</t>
        </is>
      </c>
      <c r="D1752" s="171" t="n">
        <v>46225.41666666666</v>
      </c>
      <c r="E1752" s="26" t="n">
        <v>0.9180092592592592</v>
      </c>
      <c r="F1752" s="27" t="inlineStr">
        <is>
          <t>Shift 2</t>
        </is>
      </c>
      <c r="G1752" s="27" t="n"/>
    </row>
    <row r="1753">
      <c r="A1753" s="27" t="inlineStr">
        <is>
          <t>MK00082</t>
        </is>
      </c>
      <c r="B1753" s="27" t="n">
        <v>528000305</v>
      </c>
      <c r="C1753" s="27" t="inlineStr">
        <is>
          <t>Puji Puspita</t>
        </is>
      </c>
      <c r="D1753" s="171" t="n">
        <v>46225.41666666666</v>
      </c>
      <c r="E1753" s="26" t="n">
        <v>0.9182407407407407</v>
      </c>
      <c r="F1753" s="27" t="inlineStr">
        <is>
          <t>Shift 2</t>
        </is>
      </c>
      <c r="G1753" s="27" t="n"/>
    </row>
    <row r="1754">
      <c r="A1754" s="27" t="inlineStr">
        <is>
          <t>MK00136</t>
        </is>
      </c>
      <c r="B1754" s="27" t="n">
        <v>528000318</v>
      </c>
      <c r="C1754" s="27" t="inlineStr">
        <is>
          <t>Bayu Padli Sepriyana</t>
        </is>
      </c>
      <c r="D1754" s="171" t="n">
        <v>46225.41666666666</v>
      </c>
      <c r="E1754" s="26" t="n">
        <v>0.9190972222222222</v>
      </c>
      <c r="F1754" s="27" t="inlineStr">
        <is>
          <t>Shift 2</t>
        </is>
      </c>
      <c r="G1754" s="27" t="n"/>
    </row>
    <row r="1755">
      <c r="A1755" s="27" t="inlineStr">
        <is>
          <t>MK00085</t>
        </is>
      </c>
      <c r="B1755" s="27" t="n">
        <v>528000313</v>
      </c>
      <c r="C1755" s="27" t="inlineStr">
        <is>
          <t>Muhamad Rifki</t>
        </is>
      </c>
      <c r="D1755" s="171" t="n">
        <v>46225.41666666666</v>
      </c>
      <c r="E1755" s="26" t="n">
        <v>0.9192013888888889</v>
      </c>
      <c r="F1755" s="27" t="inlineStr">
        <is>
          <t>Shift 2</t>
        </is>
      </c>
      <c r="G1755" s="27" t="n"/>
    </row>
    <row r="1756">
      <c r="A1756" s="27" t="inlineStr">
        <is>
          <t>MK00134</t>
        </is>
      </c>
      <c r="B1756" s="27" t="n">
        <v>528000309</v>
      </c>
      <c r="C1756" s="27" t="inlineStr">
        <is>
          <t>Ilham Ramadhan</t>
        </is>
      </c>
      <c r="D1756" s="171" t="n">
        <v>46225.41666666666</v>
      </c>
      <c r="E1756" s="26" t="n">
        <v>0.9192013888888889</v>
      </c>
      <c r="F1756" s="27" t="inlineStr">
        <is>
          <t>Shift 2</t>
        </is>
      </c>
      <c r="G1756" s="27" t="n"/>
    </row>
    <row r="1757">
      <c r="A1757" s="27" t="inlineStr">
        <is>
          <t>MK00208</t>
        </is>
      </c>
      <c r="B1757" s="27" t="n">
        <v>528000299</v>
      </c>
      <c r="C1757" s="27" t="inlineStr">
        <is>
          <t>Siti Nurjanah</t>
        </is>
      </c>
      <c r="D1757" s="171" t="n">
        <v>46225.41666666666</v>
      </c>
      <c r="E1757" s="26" t="n">
        <v>0.9196064814814815</v>
      </c>
      <c r="F1757" s="27" t="inlineStr">
        <is>
          <t>Shift 2</t>
        </is>
      </c>
      <c r="G1757" s="27" t="n"/>
    </row>
    <row r="1758">
      <c r="A1758" s="27" t="inlineStr">
        <is>
          <t>MK00085</t>
        </is>
      </c>
      <c r="B1758" s="27" t="n">
        <v>528000313</v>
      </c>
      <c r="C1758" s="27" t="inlineStr">
        <is>
          <t>Muhamad Rifki</t>
        </is>
      </c>
      <c r="D1758" s="171" t="n">
        <v>46225.41666666666</v>
      </c>
      <c r="E1758" s="26" t="n">
        <v>0.9225231481481482</v>
      </c>
      <c r="F1758" s="27" t="inlineStr">
        <is>
          <t>Shift 2</t>
        </is>
      </c>
      <c r="G1758" s="27" t="n"/>
    </row>
    <row r="1759">
      <c r="A1759" s="27" t="inlineStr">
        <is>
          <t>MK00145</t>
        </is>
      </c>
      <c r="B1759" s="27" t="n">
        <v>528000298</v>
      </c>
      <c r="C1759" s="27" t="inlineStr">
        <is>
          <t>Desta Cahaya Pratama</t>
        </is>
      </c>
      <c r="D1759" s="171" t="n">
        <v>46225.41666666666</v>
      </c>
      <c r="E1759" s="26" t="n">
        <v>0.9226157407407407</v>
      </c>
      <c r="F1759" s="27" t="inlineStr">
        <is>
          <t>Shift 2</t>
        </is>
      </c>
      <c r="G1759" s="27" t="n"/>
    </row>
    <row r="1760">
      <c r="A1760" s="27" t="inlineStr">
        <is>
          <t>MK00230</t>
        </is>
      </c>
      <c r="B1760" s="27" t="n">
        <v>528000270</v>
      </c>
      <c r="C1760" s="27" t="inlineStr">
        <is>
          <t>Febri Najmudin</t>
        </is>
      </c>
      <c r="D1760" s="171" t="n">
        <v>46225.41666666666</v>
      </c>
      <c r="E1760" s="26" t="n">
        <v>0.9293518518518519</v>
      </c>
      <c r="F1760" s="27" t="inlineStr">
        <is>
          <t>Shift 2</t>
        </is>
      </c>
      <c r="G1760" s="27" t="n"/>
    </row>
    <row r="1761">
      <c r="A1761" s="27" t="inlineStr">
        <is>
          <t>MK00213</t>
        </is>
      </c>
      <c r="B1761" s="27" t="n">
        <v>528000015</v>
      </c>
      <c r="C1761" s="27" t="inlineStr">
        <is>
          <t>Erwin</t>
        </is>
      </c>
      <c r="D1761" s="171" t="n">
        <v>46225.41666666666</v>
      </c>
      <c r="E1761" s="26" t="n">
        <v>0.9366782407407407</v>
      </c>
      <c r="F1761" s="27" t="inlineStr">
        <is>
          <t>Shift 2</t>
        </is>
      </c>
      <c r="G1761" s="27" t="n"/>
    </row>
    <row r="1762">
      <c r="A1762" s="27" t="inlineStr">
        <is>
          <t>MK00217</t>
        </is>
      </c>
      <c r="B1762" s="27" t="n">
        <v>528000340</v>
      </c>
      <c r="C1762" s="27" t="inlineStr">
        <is>
          <t>Muhammad Wildan Adithya</t>
        </is>
      </c>
      <c r="D1762" s="171" t="n">
        <v>46225.41666666666</v>
      </c>
      <c r="E1762" s="26" t="n">
        <v>0.9443287037037037</v>
      </c>
      <c r="F1762" s="27" t="inlineStr">
        <is>
          <t>Shift 2</t>
        </is>
      </c>
      <c r="G1762" s="27" t="n"/>
    </row>
    <row r="1763">
      <c r="A1763" s="27" t="inlineStr">
        <is>
          <t>MK00204</t>
        </is>
      </c>
      <c r="B1763" s="27" t="n">
        <v>528000335</v>
      </c>
      <c r="C1763" s="27" t="inlineStr">
        <is>
          <t>Rizal Saepuloh</t>
        </is>
      </c>
      <c r="D1763" s="171" t="n">
        <v>46226.41666666666</v>
      </c>
      <c r="E1763" s="26" t="n">
        <v>0.0002199074074074074</v>
      </c>
      <c r="F1763" s="27" t="inlineStr">
        <is>
          <t>Shift 3</t>
        </is>
      </c>
      <c r="G1763" s="27" t="n"/>
    </row>
    <row r="1764">
      <c r="A1764" s="27" t="inlineStr">
        <is>
          <t>MK00221</t>
        </is>
      </c>
      <c r="B1764" s="27" t="n">
        <v>528000144</v>
      </c>
      <c r="C1764" s="27" t="inlineStr">
        <is>
          <t>Jodi Hanafi</t>
        </is>
      </c>
      <c r="D1764" s="171" t="n">
        <v>46226.41666666666</v>
      </c>
      <c r="E1764" s="26" t="n">
        <v>0.01784722222222222</v>
      </c>
      <c r="F1764" s="27" t="inlineStr">
        <is>
          <t>Shift 3</t>
        </is>
      </c>
      <c r="G1764" s="27" t="n"/>
    </row>
    <row r="1765">
      <c r="A1765" s="27" t="inlineStr">
        <is>
          <t>MK00125</t>
        </is>
      </c>
      <c r="B1765" s="27" t="n">
        <v>528000314</v>
      </c>
      <c r="C1765" s="27" t="inlineStr">
        <is>
          <t>Rusmana</t>
        </is>
      </c>
      <c r="D1765" s="171" t="n">
        <v>46226.41666666666</v>
      </c>
      <c r="E1765" s="26" t="n">
        <v>0.2456712962962963</v>
      </c>
      <c r="F1765" s="27" t="inlineStr">
        <is>
          <t>Shift 3</t>
        </is>
      </c>
      <c r="G1765" s="27" t="n"/>
    </row>
    <row r="1766">
      <c r="A1766" s="27" t="inlineStr">
        <is>
          <t>MK00088</t>
        </is>
      </c>
      <c r="B1766" s="27" t="n">
        <v>528000248</v>
      </c>
      <c r="C1766" s="27" t="inlineStr">
        <is>
          <t>Roka Jaya Salka Mulya</t>
        </is>
      </c>
      <c r="D1766" s="171" t="n">
        <v>46226.41666666666</v>
      </c>
      <c r="E1766" s="26" t="n">
        <v>0.2511111111111111</v>
      </c>
      <c r="F1766" s="27" t="inlineStr">
        <is>
          <t>Shift 3</t>
        </is>
      </c>
      <c r="G1766" s="27" t="n"/>
    </row>
    <row r="1767">
      <c r="A1767" s="27" t="inlineStr">
        <is>
          <t>MK00095</t>
        </is>
      </c>
      <c r="B1767" s="27" t="n">
        <v>528000300</v>
      </c>
      <c r="C1767" s="27" t="inlineStr">
        <is>
          <t>Lia pitaloka</t>
        </is>
      </c>
      <c r="D1767" s="171" t="n">
        <v>46226.41666666666</v>
      </c>
      <c r="E1767" s="26" t="n">
        <v>0.2521643518518519</v>
      </c>
      <c r="F1767" s="27" t="inlineStr">
        <is>
          <t>Shift 3</t>
        </is>
      </c>
      <c r="G1767" s="27" t="n"/>
    </row>
    <row r="1768">
      <c r="A1768" s="27" t="inlineStr">
        <is>
          <t>MK00220</t>
        </is>
      </c>
      <c r="B1768" s="27" t="n">
        <v>628000064</v>
      </c>
      <c r="C1768" s="27" t="inlineStr">
        <is>
          <t>Silva Alypia</t>
        </is>
      </c>
      <c r="D1768" s="171" t="n">
        <v>46226.41666666666</v>
      </c>
      <c r="E1768" s="26" t="n">
        <v>0.2524652777777778</v>
      </c>
      <c r="F1768" s="27" t="inlineStr">
        <is>
          <t>Shift 3</t>
        </is>
      </c>
      <c r="G1768" s="27" t="n"/>
    </row>
    <row r="1769">
      <c r="A1769" s="27" t="inlineStr">
        <is>
          <t>MK00192</t>
        </is>
      </c>
      <c r="B1769" s="27" t="n">
        <v>528000279</v>
      </c>
      <c r="C1769" s="27" t="inlineStr">
        <is>
          <t>Mahdalena Dalfa Riani</t>
        </is>
      </c>
      <c r="D1769" s="171" t="n">
        <v>46226.41666666666</v>
      </c>
      <c r="E1769" s="26" t="n">
        <v>0.2544675925925926</v>
      </c>
      <c r="F1769" s="27" t="inlineStr">
        <is>
          <t>Shift 3</t>
        </is>
      </c>
      <c r="G1769" s="27" t="n"/>
    </row>
    <row r="1770">
      <c r="A1770" s="27" t="inlineStr">
        <is>
          <t>MK00143</t>
        </is>
      </c>
      <c r="B1770" s="27" t="n">
        <v>528000288</v>
      </c>
      <c r="C1770" s="27" t="inlineStr">
        <is>
          <t>Dede gunawan</t>
        </is>
      </c>
      <c r="D1770" s="171" t="n">
        <v>46226.41666666666</v>
      </c>
      <c r="E1770" s="26" t="n">
        <v>0.2545138888888889</v>
      </c>
      <c r="F1770" s="27" t="inlineStr">
        <is>
          <t>Shift 3</t>
        </is>
      </c>
      <c r="G1770" s="27" t="n"/>
    </row>
    <row r="1771">
      <c r="A1771" s="27" t="inlineStr">
        <is>
          <t>MK00154</t>
        </is>
      </c>
      <c r="B1771" s="27" t="n">
        <v>528000324</v>
      </c>
      <c r="C1771" s="27" t="inlineStr">
        <is>
          <t>Sri Yanti</t>
        </is>
      </c>
      <c r="D1771" s="171" t="n">
        <v>46226.41666666666</v>
      </c>
      <c r="E1771" s="26" t="n">
        <v>0.2557407407407408</v>
      </c>
      <c r="F1771" s="27" t="inlineStr">
        <is>
          <t>Shift 3</t>
        </is>
      </c>
      <c r="G1771" s="27" t="n"/>
    </row>
    <row r="1772">
      <c r="A1772" s="27" t="inlineStr">
        <is>
          <t>MK00185</t>
        </is>
      </c>
      <c r="B1772" s="27" t="n">
        <v>528000297</v>
      </c>
      <c r="C1772" s="27" t="inlineStr">
        <is>
          <t>Muhamad Budiana</t>
        </is>
      </c>
      <c r="D1772" s="171" t="n">
        <v>46226.41666666666</v>
      </c>
      <c r="E1772" s="26" t="n">
        <v>0.2886574074074074</v>
      </c>
      <c r="F1772" s="27" t="inlineStr">
        <is>
          <t>Shift 3</t>
        </is>
      </c>
      <c r="G1772" s="27" t="n"/>
    </row>
    <row r="1773">
      <c r="A1773" s="27" t="inlineStr">
        <is>
          <t>MK00202</t>
        </is>
      </c>
      <c r="B1773" s="27" t="n">
        <v>528000244</v>
      </c>
      <c r="C1773" s="27" t="inlineStr">
        <is>
          <t>Rodian Rifai</t>
        </is>
      </c>
      <c r="D1773" s="171" t="n">
        <v>46226.41666666666</v>
      </c>
      <c r="E1773" s="26" t="n">
        <v>0.5690393518518518</v>
      </c>
      <c r="F1773" s="27" t="inlineStr">
        <is>
          <t>Shift 1</t>
        </is>
      </c>
      <c r="G1773" s="27" t="n"/>
    </row>
    <row r="1774">
      <c r="A1774" s="27" t="inlineStr">
        <is>
          <t>MH00108</t>
        </is>
      </c>
      <c r="B1774" s="27" t="n">
        <v>528000302</v>
      </c>
      <c r="C1774" s="27" t="inlineStr">
        <is>
          <t>Henkey gumilar</t>
        </is>
      </c>
      <c r="D1774" s="171" t="n">
        <v>46226.41666666666</v>
      </c>
      <c r="E1774" s="26" t="n">
        <v>0.5697916666666667</v>
      </c>
      <c r="F1774" s="27" t="inlineStr">
        <is>
          <t>Shift 1</t>
        </is>
      </c>
      <c r="G1774" s="27" t="n"/>
    </row>
    <row r="1775">
      <c r="A1775" s="27" t="inlineStr">
        <is>
          <t>MK00085</t>
        </is>
      </c>
      <c r="B1775" s="27" t="n">
        <v>528000306</v>
      </c>
      <c r="C1775" s="27" t="inlineStr">
        <is>
          <t>Windy Olivia</t>
        </is>
      </c>
      <c r="D1775" s="171" t="n">
        <v>46226.41666666666</v>
      </c>
      <c r="E1775" s="26" t="n">
        <v>0.5858796296296296</v>
      </c>
      <c r="F1775" s="27" t="inlineStr">
        <is>
          <t>Shift 1</t>
        </is>
      </c>
      <c r="G1775" s="27" t="n"/>
    </row>
    <row r="1776">
      <c r="A1776" s="27" t="inlineStr">
        <is>
          <t>MK00156</t>
        </is>
      </c>
      <c r="B1776" s="27" t="n">
        <v>528000052</v>
      </c>
      <c r="C1776" s="27" t="inlineStr">
        <is>
          <t>Mustopa</t>
        </is>
      </c>
      <c r="D1776" s="171" t="n">
        <v>46226.41666666666</v>
      </c>
      <c r="E1776" s="26" t="n">
        <v>0.585949074074074</v>
      </c>
      <c r="F1776" s="27" t="inlineStr">
        <is>
          <t>Shift 1</t>
        </is>
      </c>
      <c r="G1776" s="27" t="n"/>
    </row>
    <row r="1777">
      <c r="A1777" s="27" t="inlineStr">
        <is>
          <t>MK00136</t>
        </is>
      </c>
      <c r="B1777" s="27" t="n">
        <v>528000262</v>
      </c>
      <c r="C1777" s="27" t="inlineStr">
        <is>
          <t>Ndari Dwiwanti</t>
        </is>
      </c>
      <c r="D1777" s="171" t="n">
        <v>46226.41666666666</v>
      </c>
      <c r="E1777" s="26" t="n">
        <v>0.5860763888888889</v>
      </c>
      <c r="F1777" s="27" t="inlineStr">
        <is>
          <t>Shift 1</t>
        </is>
      </c>
      <c r="G1777" s="27" t="n"/>
    </row>
    <row r="1778">
      <c r="A1778" s="27" t="inlineStr">
        <is>
          <t>MK00250</t>
        </is>
      </c>
      <c r="B1778" s="27" t="n">
        <v>528000291</v>
      </c>
      <c r="C1778" s="27" t="inlineStr">
        <is>
          <t>Andrian</t>
        </is>
      </c>
      <c r="D1778" s="171" t="n">
        <v>46226.41666666666</v>
      </c>
      <c r="E1778" s="26" t="n">
        <v>0.5864236111111111</v>
      </c>
      <c r="F1778" s="27" t="inlineStr">
        <is>
          <t>Shift 1</t>
        </is>
      </c>
      <c r="G1778" s="27" t="n"/>
    </row>
    <row r="1779">
      <c r="A1779" s="27" t="inlineStr">
        <is>
          <t>MK00108</t>
        </is>
      </c>
      <c r="B1779" s="27" t="n">
        <v>528000261</v>
      </c>
      <c r="C1779" s="27" t="inlineStr">
        <is>
          <t>Ergi Ergianto</t>
        </is>
      </c>
      <c r="D1779" s="171" t="n">
        <v>46226.41666666666</v>
      </c>
      <c r="E1779" s="26" t="n">
        <v>0.5866319444444444</v>
      </c>
      <c r="F1779" s="27" t="inlineStr">
        <is>
          <t>Shift 1</t>
        </is>
      </c>
      <c r="G1779" s="27" t="n"/>
    </row>
    <row r="1780">
      <c r="A1780" s="27" t="inlineStr">
        <is>
          <t>MK00082</t>
        </is>
      </c>
      <c r="B1780" s="27" t="n">
        <v>528000358</v>
      </c>
      <c r="C1780" s="27" t="inlineStr">
        <is>
          <t>Lulu Agustin</t>
        </is>
      </c>
      <c r="D1780" s="171" t="n">
        <v>46226.41666666666</v>
      </c>
      <c r="E1780" s="26" t="n">
        <v>0.5867013888888889</v>
      </c>
      <c r="F1780" s="27" t="inlineStr">
        <is>
          <t>Shift 1</t>
        </is>
      </c>
      <c r="G1780" s="27" t="n"/>
    </row>
    <row r="1781">
      <c r="A1781" s="27" t="inlineStr">
        <is>
          <t>MK00208</t>
        </is>
      </c>
      <c r="B1781" s="27" t="n">
        <v>528000328</v>
      </c>
      <c r="C1781" s="27" t="inlineStr">
        <is>
          <t>Nur Anjani</t>
        </is>
      </c>
      <c r="D1781" s="171" t="n">
        <v>46226.41666666666</v>
      </c>
      <c r="E1781" s="26" t="n">
        <v>0.5875462962962963</v>
      </c>
      <c r="F1781" s="27" t="inlineStr">
        <is>
          <t>Shift 1</t>
        </is>
      </c>
      <c r="G1781" s="27" t="n"/>
    </row>
    <row r="1782">
      <c r="A1782" s="27" t="inlineStr">
        <is>
          <t>MK00230</t>
        </is>
      </c>
      <c r="B1782" s="27" t="n">
        <v>528000337</v>
      </c>
      <c r="C1782" s="27" t="inlineStr">
        <is>
          <t>Ahmad Zaldi Firdaus</t>
        </is>
      </c>
      <c r="D1782" s="171" t="n">
        <v>46226.41666666666</v>
      </c>
      <c r="E1782" s="26" t="n">
        <v>0.5877893518518519</v>
      </c>
      <c r="F1782" s="27" t="inlineStr">
        <is>
          <t>Shift 1</t>
        </is>
      </c>
      <c r="G1782" s="27" t="n"/>
    </row>
    <row r="1783">
      <c r="A1783" s="27" t="inlineStr">
        <is>
          <t>MK0217</t>
        </is>
      </c>
      <c r="B1783" s="27" t="n">
        <v>528000195</v>
      </c>
      <c r="C1783" s="27" t="inlineStr">
        <is>
          <t>Rahma Sariwati</t>
        </is>
      </c>
      <c r="D1783" s="171" t="n">
        <v>46226.41666666666</v>
      </c>
      <c r="E1783" s="26" t="n">
        <v>0.5924768518518518</v>
      </c>
      <c r="F1783" s="27" t="inlineStr">
        <is>
          <t>Shift 1</t>
        </is>
      </c>
      <c r="G1783" s="27" t="n"/>
    </row>
    <row r="1784">
      <c r="A1784" s="27" t="inlineStr">
        <is>
          <t>MK00112</t>
        </is>
      </c>
      <c r="B1784" s="27" t="n">
        <v>528000266</v>
      </c>
      <c r="C1784" s="27" t="inlineStr">
        <is>
          <t>M. Syirajatieq</t>
        </is>
      </c>
      <c r="D1784" s="171" t="n">
        <v>46226.41666666666</v>
      </c>
      <c r="E1784" s="26" t="n">
        <v>0.6030439814814815</v>
      </c>
      <c r="F1784" s="27" t="inlineStr">
        <is>
          <t>Shift 1</t>
        </is>
      </c>
      <c r="G1784" s="27" t="n"/>
    </row>
    <row r="1785">
      <c r="A1785" s="27" t="inlineStr">
        <is>
          <t>MK00210</t>
        </is>
      </c>
      <c r="B1785" s="27" t="n">
        <v>528000232</v>
      </c>
      <c r="C1785" s="27" t="inlineStr">
        <is>
          <t>Agung Aji Suhada</t>
        </is>
      </c>
      <c r="D1785" s="171" t="n">
        <v>46226.41666666666</v>
      </c>
      <c r="E1785" s="26" t="n">
        <v>0.6607291666666667</v>
      </c>
      <c r="F1785" s="27" t="inlineStr">
        <is>
          <t>Shift 1</t>
        </is>
      </c>
      <c r="G1785" s="27" t="n"/>
    </row>
    <row r="1786">
      <c r="A1786" s="27" t="inlineStr">
        <is>
          <t>MK00192</t>
        </is>
      </c>
      <c r="B1786" s="27" t="n">
        <v>528000351</v>
      </c>
      <c r="C1786" s="27" t="inlineStr">
        <is>
          <t>Mulyana</t>
        </is>
      </c>
      <c r="D1786" s="171" t="n">
        <v>46226.41666666666</v>
      </c>
      <c r="E1786" s="26" t="n">
        <v>0.6676273148148149</v>
      </c>
      <c r="F1786" s="27" t="inlineStr">
        <is>
          <t>Shift 2</t>
        </is>
      </c>
      <c r="G1786" s="27" t="n"/>
    </row>
    <row r="1787">
      <c r="A1787" s="27" t="inlineStr">
        <is>
          <t>MK00121</t>
        </is>
      </c>
      <c r="B1787" s="27" t="n">
        <v>528000310</v>
      </c>
      <c r="C1787" s="27" t="inlineStr">
        <is>
          <t>Fachrul Rozzi Suryana</t>
        </is>
      </c>
      <c r="D1787" s="171" t="n">
        <v>46226.41666666666</v>
      </c>
      <c r="E1787" s="26" t="n">
        <v>0.6680324074074074</v>
      </c>
      <c r="F1787" s="27" t="inlineStr">
        <is>
          <t>Shift 2</t>
        </is>
      </c>
      <c r="G1787" s="27" t="inlineStr">
        <is>
          <t>33F</t>
        </is>
      </c>
    </row>
    <row r="1788">
      <c r="A1788" s="27" t="inlineStr">
        <is>
          <t>MK00160</t>
        </is>
      </c>
      <c r="B1788" s="27" t="n">
        <v>528000265</v>
      </c>
      <c r="C1788" s="27" t="inlineStr">
        <is>
          <t>Muhammad Haerul Rozikin</t>
        </is>
      </c>
      <c r="D1788" s="171" t="n">
        <v>46226.41666666666</v>
      </c>
      <c r="E1788" s="26" t="n">
        <v>0.6717708333333333</v>
      </c>
      <c r="F1788" s="27" t="inlineStr">
        <is>
          <t>Shift 2</t>
        </is>
      </c>
      <c r="G1788" s="27" t="n"/>
    </row>
    <row r="1789">
      <c r="A1789" s="27" t="inlineStr">
        <is>
          <t>MK00185</t>
        </is>
      </c>
      <c r="B1789" s="27" t="n">
        <v>528000282</v>
      </c>
      <c r="C1789" s="27" t="inlineStr">
        <is>
          <t>Defa Desfiana</t>
        </is>
      </c>
      <c r="D1789" s="171" t="n">
        <v>46226.41666666666</v>
      </c>
      <c r="E1789" s="26" t="n">
        <v>0.6770949074074074</v>
      </c>
      <c r="F1789" s="27" t="inlineStr">
        <is>
          <t>Shift 2</t>
        </is>
      </c>
      <c r="G1789" s="27" t="inlineStr">
        <is>
          <t>32c</t>
        </is>
      </c>
    </row>
    <row r="1790">
      <c r="A1790" s="27" t="inlineStr">
        <is>
          <t>MK00141</t>
        </is>
      </c>
      <c r="B1790" s="27" t="n">
        <v>528000040</v>
      </c>
      <c r="C1790" s="27" t="inlineStr">
        <is>
          <t>Agus Suryaman</t>
        </is>
      </c>
      <c r="D1790" s="171" t="n">
        <v>46226.41666666666</v>
      </c>
      <c r="E1790" s="26" t="n">
        <v>0.7130787037037037</v>
      </c>
      <c r="F1790" s="27" t="inlineStr">
        <is>
          <t>Shift 2</t>
        </is>
      </c>
      <c r="G1790" s="27" t="n"/>
    </row>
    <row r="1791">
      <c r="A1791" s="27" t="inlineStr">
        <is>
          <t>MK0130</t>
        </is>
      </c>
      <c r="B1791" s="27" t="n">
        <v>528000149</v>
      </c>
      <c r="C1791" s="27" t="inlineStr">
        <is>
          <t>Tio Fernanda</t>
        </is>
      </c>
      <c r="D1791" s="171" t="n">
        <v>46226.41666666666</v>
      </c>
      <c r="E1791" s="26" t="n">
        <v>0.7187037037037037</v>
      </c>
      <c r="F1791" s="27" t="inlineStr">
        <is>
          <t>Shift 2</t>
        </is>
      </c>
      <c r="G1791" s="27" t="n"/>
    </row>
    <row r="1792">
      <c r="A1792" s="27" t="inlineStr">
        <is>
          <t>MK00205</t>
        </is>
      </c>
      <c r="B1792" s="27" t="n">
        <v>528000348</v>
      </c>
      <c r="C1792" s="27" t="inlineStr">
        <is>
          <t>Saepuloh Ardiansah</t>
        </is>
      </c>
      <c r="D1792" s="171" t="n">
        <v>46226.41666666666</v>
      </c>
      <c r="E1792" s="26" t="n">
        <v>0.7194675925925926</v>
      </c>
      <c r="F1792" s="27" t="inlineStr">
        <is>
          <t>Shift 2</t>
        </is>
      </c>
      <c r="G1792" s="27" t="n"/>
    </row>
    <row r="1793">
      <c r="A1793" s="27" t="inlineStr">
        <is>
          <t>MK00209</t>
        </is>
      </c>
      <c r="B1793" s="27" t="n">
        <v>528000349</v>
      </c>
      <c r="C1793" s="27" t="inlineStr">
        <is>
          <t>Anas Abdul Fatah</t>
        </is>
      </c>
      <c r="D1793" s="171" t="n">
        <v>46226.41666666666</v>
      </c>
      <c r="E1793" s="26" t="n">
        <v>0.7582986111111111</v>
      </c>
      <c r="F1793" s="27" t="inlineStr">
        <is>
          <t>Shift 2</t>
        </is>
      </c>
      <c r="G1793" s="27" t="n"/>
    </row>
    <row r="1794">
      <c r="A1794" s="27" t="inlineStr">
        <is>
          <t>MK00095</t>
        </is>
      </c>
      <c r="B1794" s="27" t="n">
        <v>528000361</v>
      </c>
      <c r="C1794" s="27" t="inlineStr">
        <is>
          <t>Denada Munggarani</t>
        </is>
      </c>
      <c r="D1794" s="171" t="n">
        <v>46226.41666666666</v>
      </c>
      <c r="E1794" s="26" t="n">
        <v>0.9170833333333334</v>
      </c>
      <c r="F1794" s="27" t="inlineStr">
        <is>
          <t>Shift 2</t>
        </is>
      </c>
      <c r="G1794" s="27" t="n"/>
    </row>
    <row r="1795">
      <c r="A1795" s="27" t="inlineStr">
        <is>
          <t>MK00055</t>
        </is>
      </c>
      <c r="B1795" s="27" t="n">
        <v>528000299</v>
      </c>
      <c r="C1795" s="27" t="inlineStr">
        <is>
          <t>Siti Nurjanah</t>
        </is>
      </c>
      <c r="D1795" s="171" t="n">
        <v>46226.41666666666</v>
      </c>
      <c r="E1795" s="26" t="n">
        <v>0.9181828703703704</v>
      </c>
      <c r="F1795" s="27" t="inlineStr">
        <is>
          <t>Shift 2</t>
        </is>
      </c>
      <c r="G1795" s="27" t="n"/>
    </row>
    <row r="1796">
      <c r="A1796" s="27" t="inlineStr">
        <is>
          <t>MK00184</t>
        </is>
      </c>
      <c r="B1796" s="27" t="n">
        <v>528000298</v>
      </c>
      <c r="C1796" s="27" t="inlineStr">
        <is>
          <t>Desta Cahaya Pratama</t>
        </is>
      </c>
      <c r="D1796" s="171" t="n">
        <v>46226.41666666666</v>
      </c>
      <c r="E1796" s="26" t="n">
        <v>0.9194560185185185</v>
      </c>
      <c r="F1796" s="27" t="inlineStr">
        <is>
          <t>Shift 2</t>
        </is>
      </c>
      <c r="G1796" s="27" t="n"/>
    </row>
    <row r="1797">
      <c r="A1797" s="27" t="inlineStr">
        <is>
          <t>MK00090</t>
        </is>
      </c>
      <c r="B1797" s="27" t="n">
        <v>528000340</v>
      </c>
      <c r="C1797" s="27" t="inlineStr">
        <is>
          <t>Muhammad Wildan Adithya</t>
        </is>
      </c>
      <c r="D1797" s="171" t="n">
        <v>46226.41666666666</v>
      </c>
      <c r="E1797" s="26" t="n">
        <v>0.9196296296296296</v>
      </c>
      <c r="F1797" s="27" t="inlineStr">
        <is>
          <t>Shift 2</t>
        </is>
      </c>
      <c r="G1797" s="27" t="n"/>
    </row>
    <row r="1798">
      <c r="A1798" s="27" t="inlineStr">
        <is>
          <t>MK00235</t>
        </is>
      </c>
      <c r="B1798" s="27" t="n">
        <v>528000318</v>
      </c>
      <c r="C1798" s="27" t="inlineStr">
        <is>
          <t>Bayu Padli Sepriyana</t>
        </is>
      </c>
      <c r="D1798" s="171" t="n">
        <v>46226.41666666666</v>
      </c>
      <c r="E1798" s="26" t="n">
        <v>0.919699074074074</v>
      </c>
      <c r="F1798" s="27" t="inlineStr">
        <is>
          <t>Shift 2</t>
        </is>
      </c>
      <c r="G1798" s="27" t="n"/>
    </row>
    <row r="1799">
      <c r="A1799" s="27" t="inlineStr">
        <is>
          <t>MK00145</t>
        </is>
      </c>
      <c r="B1799" s="27" t="n">
        <v>528000309</v>
      </c>
      <c r="C1799" s="27" t="inlineStr">
        <is>
          <t>Ilham Ramadhan</t>
        </is>
      </c>
      <c r="D1799" s="171" t="n">
        <v>46226.41666666666</v>
      </c>
      <c r="E1799" s="26" t="n">
        <v>0.9197916666666667</v>
      </c>
      <c r="F1799" s="27" t="inlineStr">
        <is>
          <t>Shift 2</t>
        </is>
      </c>
      <c r="G1799" s="27" t="n"/>
    </row>
    <row r="1800">
      <c r="A1800" s="27" t="inlineStr">
        <is>
          <t>MK00249</t>
        </is>
      </c>
      <c r="B1800" s="27" t="n">
        <v>528000322</v>
      </c>
      <c r="C1800" s="27" t="inlineStr">
        <is>
          <t>Muhamad Aliludin</t>
        </is>
      </c>
      <c r="D1800" s="171" t="n">
        <v>46226.41666666666</v>
      </c>
      <c r="E1800" s="26" t="n">
        <v>0.9209837962962963</v>
      </c>
      <c r="F1800" s="27" t="inlineStr">
        <is>
          <t>Shift 2</t>
        </is>
      </c>
      <c r="G1800" s="27" t="n"/>
    </row>
    <row r="1801">
      <c r="A1801" s="27" t="inlineStr">
        <is>
          <t>MK00181</t>
        </is>
      </c>
      <c r="B1801" s="27" t="n">
        <v>528000313</v>
      </c>
      <c r="C1801" s="27" t="inlineStr">
        <is>
          <t>Muhamad Rifki</t>
        </is>
      </c>
      <c r="D1801" s="171" t="n">
        <v>46226.41666666666</v>
      </c>
      <c r="E1801" s="26" t="n">
        <v>0.9210879629629629</v>
      </c>
      <c r="F1801" s="27" t="inlineStr">
        <is>
          <t>Shift 2</t>
        </is>
      </c>
      <c r="G1801" s="27" t="n"/>
    </row>
    <row r="1802">
      <c r="A1802" s="27" t="inlineStr">
        <is>
          <t>MK00116</t>
        </is>
      </c>
      <c r="B1802" s="27" t="n">
        <v>528000270</v>
      </c>
      <c r="C1802" s="27" t="inlineStr">
        <is>
          <t>Febri Najmudin</t>
        </is>
      </c>
      <c r="D1802" s="171" t="n">
        <v>46226.41666666666</v>
      </c>
      <c r="E1802" s="26" t="n">
        <v>0.9325</v>
      </c>
      <c r="F1802" s="27" t="inlineStr">
        <is>
          <t>Shift 2</t>
        </is>
      </c>
      <c r="G1802" s="27" t="n"/>
    </row>
    <row r="1803">
      <c r="A1803" s="27" t="inlineStr">
        <is>
          <t>MK00204</t>
        </is>
      </c>
      <c r="B1803" s="27" t="n">
        <v>528000335</v>
      </c>
      <c r="C1803" s="27" t="inlineStr">
        <is>
          <t>Rizal Saepuloh</t>
        </is>
      </c>
      <c r="D1803" s="171" t="n">
        <v>46227.41666666666</v>
      </c>
      <c r="E1803" s="26" t="n">
        <v>0.0008333333333333334</v>
      </c>
      <c r="F1803" s="27" t="inlineStr">
        <is>
          <t>Shift 3</t>
        </is>
      </c>
      <c r="G1803" s="27" t="n"/>
    </row>
    <row r="1804">
      <c r="A1804" s="27" t="inlineStr">
        <is>
          <t>MK00210</t>
        </is>
      </c>
      <c r="B1804" s="27" t="n">
        <v>528000232</v>
      </c>
      <c r="C1804" s="27" t="inlineStr">
        <is>
          <t>Agung Aji Suhada</t>
        </is>
      </c>
      <c r="D1804" s="171" t="n">
        <v>46227.41666666666</v>
      </c>
      <c r="E1804" s="26" t="n">
        <v>0.01074074074074074</v>
      </c>
      <c r="F1804" s="27" t="inlineStr">
        <is>
          <t>Shift 3</t>
        </is>
      </c>
      <c r="G1804" s="27" t="n"/>
    </row>
    <row r="1805">
      <c r="A1805" s="27" t="inlineStr">
        <is>
          <t>MK00221</t>
        </is>
      </c>
      <c r="B1805" s="27" t="n">
        <v>528000144</v>
      </c>
      <c r="C1805" s="27" t="inlineStr">
        <is>
          <t>Jodi Hanafi</t>
        </is>
      </c>
      <c r="D1805" s="171" t="n">
        <v>46227.41666666666</v>
      </c>
      <c r="E1805" s="26" t="n">
        <v>0.02274305555555555</v>
      </c>
      <c r="F1805" s="27" t="inlineStr">
        <is>
          <t>Shift 3</t>
        </is>
      </c>
      <c r="G1805" s="27" t="n"/>
    </row>
    <row r="1806">
      <c r="A1806" s="27" t="inlineStr">
        <is>
          <t>MK00125</t>
        </is>
      </c>
      <c r="B1806" s="27" t="n">
        <v>528000314</v>
      </c>
      <c r="C1806" s="27" t="inlineStr">
        <is>
          <t>Rusmana</t>
        </is>
      </c>
      <c r="D1806" s="171" t="n">
        <v>46227.41666666666</v>
      </c>
      <c r="E1806" s="26" t="n">
        <v>0.2448842592592592</v>
      </c>
      <c r="F1806" s="27" t="inlineStr">
        <is>
          <t>Shift 3</t>
        </is>
      </c>
      <c r="G1806" s="27" t="n"/>
    </row>
    <row r="1807">
      <c r="A1807" s="27" t="inlineStr">
        <is>
          <t>MK00218</t>
        </is>
      </c>
      <c r="B1807" s="27" t="n">
        <v>528000283</v>
      </c>
      <c r="C1807" s="27" t="inlineStr">
        <is>
          <t>Purwanda Sugiri</t>
        </is>
      </c>
      <c r="D1807" s="171" t="n">
        <v>46227.41666666666</v>
      </c>
      <c r="E1807" s="26" t="n">
        <v>0.2468287037037037</v>
      </c>
      <c r="F1807" s="27" t="inlineStr">
        <is>
          <t>Shift 3</t>
        </is>
      </c>
      <c r="G1807" s="27" t="n"/>
    </row>
    <row r="1808">
      <c r="A1808" s="27" t="inlineStr">
        <is>
          <t>MK00185</t>
        </is>
      </c>
      <c r="B1808" s="27" t="n">
        <v>528000248</v>
      </c>
      <c r="C1808" s="27" t="inlineStr">
        <is>
          <t>Roka Jaya Salka Mulya</t>
        </is>
      </c>
      <c r="D1808" s="171" t="n">
        <v>46227.41666666666</v>
      </c>
      <c r="E1808" s="26" t="n">
        <v>0.2506944444444444</v>
      </c>
      <c r="F1808" s="27" t="inlineStr">
        <is>
          <t>Shift 3</t>
        </is>
      </c>
      <c r="G1808" s="27" t="n"/>
    </row>
    <row r="1809">
      <c r="A1809" s="27" t="inlineStr">
        <is>
          <t>MK00220</t>
        </is>
      </c>
      <c r="B1809" s="27" t="n">
        <v>528000279</v>
      </c>
      <c r="C1809" s="27" t="inlineStr">
        <is>
          <t>Mahdalena Dalfa Riani</t>
        </is>
      </c>
      <c r="D1809" s="171" t="n">
        <v>46227.41666666666</v>
      </c>
      <c r="E1809" s="26" t="n">
        <v>0.2527777777777778</v>
      </c>
      <c r="F1809" s="27" t="inlineStr">
        <is>
          <t>Shift 3</t>
        </is>
      </c>
      <c r="G1809" s="27" t="n"/>
    </row>
    <row r="1810">
      <c r="A1810" s="27" t="inlineStr">
        <is>
          <t>MK00160</t>
        </is>
      </c>
      <c r="B1810" s="27" t="n">
        <v>528000323</v>
      </c>
      <c r="C1810" s="27" t="inlineStr">
        <is>
          <t>Dian Hamidah</t>
        </is>
      </c>
      <c r="D1810" s="171" t="n">
        <v>46227.41666666666</v>
      </c>
      <c r="E1810" s="26" t="n">
        <v>0.2595601851851852</v>
      </c>
      <c r="F1810" s="27" t="inlineStr">
        <is>
          <t>Shift 3</t>
        </is>
      </c>
      <c r="G1810" s="27" t="n"/>
    </row>
    <row r="1811">
      <c r="A1811" s="27" t="inlineStr">
        <is>
          <t>MK00121</t>
        </is>
      </c>
      <c r="B1811" s="27" t="n">
        <v>528000297</v>
      </c>
      <c r="C1811" s="27" t="inlineStr">
        <is>
          <t>Muhamad Budiana</t>
        </is>
      </c>
      <c r="D1811" s="171" t="n">
        <v>46227.41666666666</v>
      </c>
      <c r="E1811" s="26" t="n">
        <v>0.2816782407407407</v>
      </c>
      <c r="F1811" s="27" t="inlineStr">
        <is>
          <t>Shift 3</t>
        </is>
      </c>
      <c r="G1811" s="27" t="n"/>
    </row>
    <row r="1812">
      <c r="A1812" s="27" t="inlineStr">
        <is>
          <t>MK00118</t>
        </is>
      </c>
      <c r="B1812" s="27" t="n">
        <v>528000015</v>
      </c>
      <c r="C1812" s="27" t="inlineStr">
        <is>
          <t>Erwin</t>
        </is>
      </c>
      <c r="D1812" s="171" t="n">
        <v>46227.41666666666</v>
      </c>
      <c r="E1812" s="26" t="n">
        <v>0.4600231481481482</v>
      </c>
      <c r="F1812" s="27" t="inlineStr">
        <is>
          <t>Shift 1</t>
        </is>
      </c>
      <c r="G1812" s="27" t="n"/>
    </row>
    <row r="1813">
      <c r="A1813" s="27" t="inlineStr">
        <is>
          <t>MK00220</t>
        </is>
      </c>
      <c r="B1813" s="27" t="n">
        <v>528000310</v>
      </c>
      <c r="C1813" s="27" t="inlineStr">
        <is>
          <t>Fachrul Rozzi Suryana</t>
        </is>
      </c>
      <c r="D1813" s="171" t="n">
        <v>46227.41666666666</v>
      </c>
      <c r="E1813" s="26" t="n">
        <v>0.5418981481481482</v>
      </c>
      <c r="F1813" s="27" t="inlineStr">
        <is>
          <t>Shift 1</t>
        </is>
      </c>
      <c r="G1813" s="27" t="inlineStr">
        <is>
          <t>33F</t>
        </is>
      </c>
    </row>
    <row r="1814">
      <c r="A1814" s="27" t="inlineStr">
        <is>
          <t>MK00160</t>
        </is>
      </c>
      <c r="B1814" s="27" t="n">
        <v>528000282</v>
      </c>
      <c r="C1814" s="27" t="inlineStr">
        <is>
          <t>Defa Desfiana</t>
        </is>
      </c>
      <c r="D1814" s="171" t="n">
        <v>46227.41666666666</v>
      </c>
      <c r="E1814" s="26" t="n">
        <v>0.5423263888888888</v>
      </c>
      <c r="F1814" s="27" t="inlineStr">
        <is>
          <t>Shift 1</t>
        </is>
      </c>
      <c r="G1814" s="27" t="inlineStr">
        <is>
          <t>32c</t>
        </is>
      </c>
    </row>
    <row r="1815">
      <c r="A1815" s="27" t="inlineStr">
        <is>
          <t>MK00143</t>
        </is>
      </c>
      <c r="B1815" s="27" t="n">
        <v>528000265</v>
      </c>
      <c r="C1815" s="27" t="inlineStr">
        <is>
          <t>Muhammad Haerul Rozikin</t>
        </is>
      </c>
      <c r="D1815" s="171" t="n">
        <v>46227.41666666666</v>
      </c>
      <c r="E1815" s="26" t="n">
        <v>0.5446180555555555</v>
      </c>
      <c r="F1815" s="27" t="inlineStr">
        <is>
          <t>Shift 1</t>
        </is>
      </c>
      <c r="G1815" s="27" t="n"/>
    </row>
    <row r="1816">
      <c r="A1816" s="27" t="inlineStr">
        <is>
          <t>MK00192</t>
        </is>
      </c>
      <c r="B1816" s="27" t="n">
        <v>528000351</v>
      </c>
      <c r="C1816" s="27" t="inlineStr">
        <is>
          <t>Mulyana</t>
        </is>
      </c>
      <c r="D1816" s="171" t="n">
        <v>46227.41666666666</v>
      </c>
      <c r="E1816" s="26" t="n">
        <v>0.5446875</v>
      </c>
      <c r="F1816" s="27" t="inlineStr">
        <is>
          <t>Shift 1</t>
        </is>
      </c>
      <c r="G1816" s="27" t="n"/>
    </row>
    <row r="1817">
      <c r="A1817" s="27" t="inlineStr">
        <is>
          <t>MK00109</t>
        </is>
      </c>
      <c r="B1817" s="27" t="n">
        <v>528000305</v>
      </c>
      <c r="C1817" s="27" t="inlineStr">
        <is>
          <t>Puji Puspita</t>
        </is>
      </c>
      <c r="D1817" s="171" t="n">
        <v>46227.41666666666</v>
      </c>
      <c r="E1817" s="26" t="n">
        <v>0.5682986111111111</v>
      </c>
      <c r="F1817" s="27" t="inlineStr">
        <is>
          <t>Shift 1</t>
        </is>
      </c>
      <c r="G1817" s="27" t="n"/>
    </row>
    <row r="1818">
      <c r="A1818" s="27" t="inlineStr">
        <is>
          <t>MK00156</t>
        </is>
      </c>
      <c r="B1818" s="27" t="n">
        <v>528000306</v>
      </c>
      <c r="C1818" s="27" t="inlineStr">
        <is>
          <t>Windy Olivia</t>
        </is>
      </c>
      <c r="D1818" s="171" t="n">
        <v>46227.41666666666</v>
      </c>
      <c r="E1818" s="26" t="n">
        <v>0.5857175925925926</v>
      </c>
      <c r="F1818" s="27" t="inlineStr">
        <is>
          <t>Shift 1</t>
        </is>
      </c>
      <c r="G1818" s="27" t="n"/>
    </row>
    <row r="1819">
      <c r="A1819" s="27" t="inlineStr">
        <is>
          <t>MK00090</t>
        </is>
      </c>
      <c r="B1819" s="27" t="n">
        <v>528000052</v>
      </c>
      <c r="C1819" s="27" t="inlineStr">
        <is>
          <t>Mustopa</t>
        </is>
      </c>
      <c r="D1819" s="171" t="n">
        <v>46227.41666666666</v>
      </c>
      <c r="E1819" s="26" t="n">
        <v>0.5862152777777778</v>
      </c>
      <c r="F1819" s="27" t="inlineStr">
        <is>
          <t>Shift 1</t>
        </is>
      </c>
      <c r="G1819" s="27" t="n"/>
    </row>
    <row r="1820">
      <c r="A1820" s="27" t="inlineStr">
        <is>
          <t>MK00136</t>
        </is>
      </c>
      <c r="B1820" s="27" t="n">
        <v>528000261</v>
      </c>
      <c r="C1820" s="27" t="inlineStr">
        <is>
          <t>Ergi Ergianto</t>
        </is>
      </c>
      <c r="D1820" s="171" t="n">
        <v>46227.41666666666</v>
      </c>
      <c r="E1820" s="26" t="n">
        <v>0.5865046296296297</v>
      </c>
      <c r="F1820" s="27" t="inlineStr">
        <is>
          <t>Shift 1</t>
        </is>
      </c>
      <c r="G1820" s="27" t="n"/>
    </row>
    <row r="1821">
      <c r="A1821" s="27" t="inlineStr">
        <is>
          <t>MK00181</t>
        </is>
      </c>
      <c r="B1821" s="27" t="n">
        <v>528000328</v>
      </c>
      <c r="C1821" s="27" t="inlineStr">
        <is>
          <t>Nur Anjani</t>
        </is>
      </c>
      <c r="D1821" s="171" t="n">
        <v>46227.41666666666</v>
      </c>
      <c r="E1821" s="26" t="n">
        <v>0.586875</v>
      </c>
      <c r="F1821" s="27" t="inlineStr">
        <is>
          <t>Shift 1</t>
        </is>
      </c>
      <c r="G1821" s="27" t="n"/>
    </row>
    <row r="1822">
      <c r="A1822" s="27" t="inlineStr">
        <is>
          <t>MK00095</t>
        </is>
      </c>
      <c r="B1822" s="27" t="n">
        <v>528000358</v>
      </c>
      <c r="C1822" s="27" t="inlineStr">
        <is>
          <t>Lulu Agustin</t>
        </is>
      </c>
      <c r="D1822" s="171" t="n">
        <v>46227.41666666666</v>
      </c>
      <c r="E1822" s="26" t="n">
        <v>0.5871527777777777</v>
      </c>
      <c r="F1822" s="27" t="inlineStr">
        <is>
          <t>Shift 1</t>
        </is>
      </c>
      <c r="G1822" s="27" t="n"/>
    </row>
    <row r="1823">
      <c r="A1823" s="27" t="inlineStr">
        <is>
          <t>MK00184</t>
        </is>
      </c>
      <c r="B1823" s="27" t="n">
        <v>528000195</v>
      </c>
      <c r="C1823" s="27" t="inlineStr">
        <is>
          <t>Rahma Sariwati</t>
        </is>
      </c>
      <c r="D1823" s="171" t="n">
        <v>46227.41666666666</v>
      </c>
      <c r="E1823" s="26" t="n">
        <v>0.5874884259259259</v>
      </c>
      <c r="F1823" s="27" t="inlineStr">
        <is>
          <t>Shift 1</t>
        </is>
      </c>
      <c r="G1823" s="27" t="n"/>
    </row>
    <row r="1824">
      <c r="A1824" s="27" t="inlineStr">
        <is>
          <t>MK00141</t>
        </is>
      </c>
      <c r="B1824" s="27" t="n">
        <v>528000040</v>
      </c>
      <c r="C1824" s="27" t="inlineStr">
        <is>
          <t>Agus Suryaman</t>
        </is>
      </c>
      <c r="D1824" s="171" t="n">
        <v>46227.41666666666</v>
      </c>
      <c r="E1824" s="26" t="n">
        <v>0.5876041666666667</v>
      </c>
      <c r="F1824" s="27" t="inlineStr">
        <is>
          <t>Shift 1</t>
        </is>
      </c>
      <c r="G1824" s="27" t="n"/>
    </row>
    <row r="1825">
      <c r="A1825" s="27" t="inlineStr">
        <is>
          <t>MK00249</t>
        </is>
      </c>
      <c r="B1825" s="27" t="n">
        <v>528000337</v>
      </c>
      <c r="C1825" s="27" t="inlineStr">
        <is>
          <t>Ahmad Zaldi Firdaus</t>
        </is>
      </c>
      <c r="D1825" s="171" t="n">
        <v>46227.41666666666</v>
      </c>
      <c r="E1825" s="26" t="n">
        <v>0.5887037037037037</v>
      </c>
      <c r="F1825" s="27" t="inlineStr">
        <is>
          <t>Shift 1</t>
        </is>
      </c>
      <c r="G1825" s="27" t="n"/>
    </row>
    <row r="1826">
      <c r="A1826" s="27" t="inlineStr">
        <is>
          <t>MK00145</t>
        </is>
      </c>
      <c r="B1826" s="27" t="n">
        <v>528000336</v>
      </c>
      <c r="C1826" s="27" t="inlineStr">
        <is>
          <t>Ali Nurhanafi</t>
        </is>
      </c>
      <c r="D1826" s="171" t="n">
        <v>46227.41666666666</v>
      </c>
      <c r="E1826" s="26" t="n">
        <v>0.5888194444444445</v>
      </c>
      <c r="F1826" s="27" t="inlineStr">
        <is>
          <t>Shift 1</t>
        </is>
      </c>
      <c r="G1826" s="27" t="n"/>
    </row>
    <row r="1827">
      <c r="A1827" s="27" t="inlineStr">
        <is>
          <t>MK00055</t>
        </is>
      </c>
      <c r="B1827" s="27" t="n">
        <v>528000266</v>
      </c>
      <c r="C1827" s="27" t="inlineStr">
        <is>
          <t>M. Syirajatieq</t>
        </is>
      </c>
      <c r="D1827" s="171" t="n">
        <v>46227.41666666666</v>
      </c>
      <c r="E1827" s="26" t="n">
        <v>0.6027199074074074</v>
      </c>
      <c r="F1827" s="27" t="inlineStr">
        <is>
          <t>Shift 1</t>
        </is>
      </c>
      <c r="G1827" s="27" t="n"/>
    </row>
    <row r="1828">
      <c r="A1828" s="27" t="inlineStr">
        <is>
          <t>MK00205</t>
        </is>
      </c>
      <c r="B1828" s="27" t="n">
        <v>528000348</v>
      </c>
      <c r="C1828" s="27" t="inlineStr">
        <is>
          <t>Saepuloh Ardiansah</t>
        </is>
      </c>
      <c r="D1828" s="171" t="n">
        <v>46227.41666666666</v>
      </c>
      <c r="E1828" s="26" t="n">
        <v>0.6191435185185186</v>
      </c>
      <c r="F1828" s="27" t="inlineStr">
        <is>
          <t>Shift 1</t>
        </is>
      </c>
      <c r="G1828" s="27" t="n"/>
    </row>
    <row r="1829">
      <c r="A1829" s="27" t="inlineStr">
        <is>
          <t>MK00204</t>
        </is>
      </c>
      <c r="B1829" s="27" t="n">
        <v>528000335</v>
      </c>
      <c r="C1829" s="27" t="inlineStr">
        <is>
          <t>Rizal Saepuloh</t>
        </is>
      </c>
      <c r="D1829" s="171" t="n">
        <v>46227.41666666666</v>
      </c>
      <c r="E1829" s="26" t="n">
        <v>0.7498611111111111</v>
      </c>
      <c r="F1829" s="27" t="inlineStr">
        <is>
          <t>Shift 2</t>
        </is>
      </c>
      <c r="G1829" s="27" t="n"/>
    </row>
    <row r="1830">
      <c r="A1830" s="27" t="inlineStr">
        <is>
          <t>MK00210</t>
        </is>
      </c>
      <c r="B1830" s="27" t="n">
        <v>528000232</v>
      </c>
      <c r="C1830" s="27" t="inlineStr">
        <is>
          <t>Agung Aji Suhada</t>
        </is>
      </c>
      <c r="D1830" s="171" t="n">
        <v>46227.41666666666</v>
      </c>
      <c r="E1830" s="26" t="n">
        <v>0.7525462962962963</v>
      </c>
      <c r="F1830" s="27" t="inlineStr">
        <is>
          <t>Shift 2</t>
        </is>
      </c>
      <c r="G1830" s="27" t="n"/>
    </row>
    <row r="1831">
      <c r="A1831" s="27" t="inlineStr">
        <is>
          <t>MK00221</t>
        </is>
      </c>
      <c r="B1831" s="27" t="n">
        <v>528000144</v>
      </c>
      <c r="C1831" s="27" t="inlineStr">
        <is>
          <t>Jodi Hanafi</t>
        </is>
      </c>
      <c r="D1831" s="171" t="n">
        <v>46227.41666666666</v>
      </c>
      <c r="E1831" s="26" t="n">
        <v>0.7670370370370371</v>
      </c>
      <c r="F1831" s="27" t="inlineStr">
        <is>
          <t>Shift 2</t>
        </is>
      </c>
      <c r="G1831" s="27" t="n"/>
    </row>
    <row r="1832">
      <c r="A1832" s="27" t="inlineStr">
        <is>
          <t>MK00212</t>
        </is>
      </c>
      <c r="B1832" s="27" t="n">
        <v>528000244</v>
      </c>
      <c r="C1832" s="27" t="inlineStr">
        <is>
          <t>Rodian Rifai</t>
        </is>
      </c>
      <c r="D1832" s="171" t="n">
        <v>46227.41666666666</v>
      </c>
      <c r="E1832" s="26" t="n">
        <v>0.8879398148148148</v>
      </c>
      <c r="F1832" s="27" t="inlineStr">
        <is>
          <t>Shift 2</t>
        </is>
      </c>
      <c r="G1832" s="27" t="n"/>
    </row>
    <row r="1833">
      <c r="A1833" s="27" t="inlineStr">
        <is>
          <t>MK00108</t>
        </is>
      </c>
      <c r="B1833" s="27" t="n">
        <v>528000299</v>
      </c>
      <c r="C1833" s="27" t="inlineStr">
        <is>
          <t>Siti Nurjanah</t>
        </is>
      </c>
      <c r="D1833" s="171" t="n">
        <v>46227.41666666666</v>
      </c>
      <c r="E1833" s="26" t="n">
        <v>0.9196875</v>
      </c>
      <c r="F1833" s="27" t="inlineStr">
        <is>
          <t>Shift 2</t>
        </is>
      </c>
      <c r="G1833" s="27" t="n"/>
    </row>
    <row r="1834">
      <c r="A1834" s="27" t="inlineStr">
        <is>
          <t>MK00218</t>
        </is>
      </c>
      <c r="B1834" s="27" t="n">
        <v>528000309</v>
      </c>
      <c r="C1834" s="27" t="inlineStr">
        <is>
          <t>Ilham Ramadhan</t>
        </is>
      </c>
      <c r="D1834" s="171" t="n">
        <v>46227.41666666666</v>
      </c>
      <c r="E1834" s="26" t="n">
        <v>0.9205439814814815</v>
      </c>
      <c r="F1834" s="27" t="inlineStr">
        <is>
          <t>Shift 2</t>
        </is>
      </c>
      <c r="G1834" s="27" t="n"/>
    </row>
    <row r="1835">
      <c r="A1835" s="27" t="inlineStr">
        <is>
          <t>MK00213</t>
        </is>
      </c>
      <c r="B1835" s="27" t="n">
        <v>528000318</v>
      </c>
      <c r="C1835" s="27" t="inlineStr">
        <is>
          <t>Bayu Padli Sepriyana</t>
        </is>
      </c>
      <c r="D1835" s="171" t="n">
        <v>46227.41666666666</v>
      </c>
      <c r="E1835" s="26" t="n">
        <v>0.9206712962962963</v>
      </c>
      <c r="F1835" s="27" t="inlineStr">
        <is>
          <t>Shift 2</t>
        </is>
      </c>
      <c r="G1835" s="27" t="n"/>
    </row>
    <row r="1836">
      <c r="A1836" s="27" t="inlineStr">
        <is>
          <t>MK00082</t>
        </is>
      </c>
      <c r="B1836" s="27" t="n">
        <v>528000313</v>
      </c>
      <c r="C1836" s="27" t="inlineStr">
        <is>
          <t>Muhamad Rifki</t>
        </is>
      </c>
      <c r="D1836" s="171" t="n">
        <v>46227.41666666666</v>
      </c>
      <c r="E1836" s="26" t="n">
        <v>0.9210300925925926</v>
      </c>
      <c r="F1836" s="27" t="inlineStr">
        <is>
          <t>Shift 2</t>
        </is>
      </c>
      <c r="G1836" s="27" t="n"/>
    </row>
    <row r="1837">
      <c r="A1837" s="27" t="inlineStr">
        <is>
          <t>MK00217</t>
        </is>
      </c>
      <c r="B1837" s="27" t="n">
        <v>528000340</v>
      </c>
      <c r="C1837" s="27" t="inlineStr">
        <is>
          <t>Muhammad Wildan Adithya</t>
        </is>
      </c>
      <c r="D1837" s="171" t="n">
        <v>46227.41666666666</v>
      </c>
      <c r="E1837" s="26" t="n">
        <v>0.9229282407407408</v>
      </c>
      <c r="F1837" s="27" t="inlineStr">
        <is>
          <t>Shift 2</t>
        </is>
      </c>
      <c r="G1837" s="27" t="n"/>
    </row>
    <row r="1838">
      <c r="A1838" s="27" t="inlineStr">
        <is>
          <t>MK00183</t>
        </is>
      </c>
      <c r="B1838" s="27" t="n">
        <v>528000015</v>
      </c>
      <c r="C1838" s="27" t="inlineStr">
        <is>
          <t>Erwin</t>
        </is>
      </c>
      <c r="D1838" s="171" t="n">
        <v>46227.41666666666</v>
      </c>
      <c r="E1838" s="26" t="n">
        <v>0.9254513888888889</v>
      </c>
      <c r="F1838" s="27" t="inlineStr">
        <is>
          <t>Shift 2</t>
        </is>
      </c>
      <c r="G1838" s="27" t="n"/>
    </row>
    <row r="1839">
      <c r="A1839" s="27" t="inlineStr">
        <is>
          <t>MK00138</t>
        </is>
      </c>
      <c r="B1839" s="27" t="n">
        <v>528000270</v>
      </c>
      <c r="C1839" s="27" t="inlineStr">
        <is>
          <t>Febri Najmudin</t>
        </is>
      </c>
      <c r="D1839" s="171" t="n">
        <v>46227.41666666666</v>
      </c>
      <c r="E1839" s="26" t="n">
        <v>0.929375</v>
      </c>
      <c r="F1839" s="27" t="inlineStr">
        <is>
          <t>Shift 2</t>
        </is>
      </c>
      <c r="G1839" s="27" t="n"/>
    </row>
    <row r="1840">
      <c r="A1840" s="27" t="inlineStr">
        <is>
          <t>MK00154</t>
        </is>
      </c>
      <c r="B1840" s="27" t="n">
        <v>528000305</v>
      </c>
      <c r="C1840" s="27" t="inlineStr">
        <is>
          <t>Puji Puspita</t>
        </is>
      </c>
      <c r="D1840" s="171" t="n">
        <v>46227.41666666666</v>
      </c>
      <c r="E1840" s="26" t="n">
        <v>0.9370023148148148</v>
      </c>
      <c r="F1840" s="27" t="inlineStr">
        <is>
          <t>Shift 2</t>
        </is>
      </c>
      <c r="G1840" s="27" t="n"/>
    </row>
    <row r="1841">
      <c r="A1841" s="27" t="inlineStr">
        <is>
          <t>MK00088</t>
        </is>
      </c>
      <c r="B1841" s="27" t="n">
        <v>528000361</v>
      </c>
      <c r="C1841" s="27" t="inlineStr">
        <is>
          <t>Denada Munggarani</t>
        </is>
      </c>
      <c r="D1841" s="171" t="n">
        <v>46227.41666666666</v>
      </c>
      <c r="E1841" s="26" t="n">
        <v>0.9416898148148148</v>
      </c>
      <c r="F1841" s="27" t="inlineStr">
        <is>
          <t>Shift 2</t>
        </is>
      </c>
      <c r="G1841" s="27" t="n"/>
    </row>
    <row r="1842">
      <c r="A1842" s="27" t="inlineStr">
        <is>
          <t>MK00055</t>
        </is>
      </c>
      <c r="B1842" s="27" t="n">
        <v>528000296</v>
      </c>
      <c r="C1842" s="27" t="inlineStr">
        <is>
          <t>Nurdin</t>
        </is>
      </c>
      <c r="D1842" s="171" t="n">
        <v>46227.41666666666</v>
      </c>
      <c r="E1842" s="26" t="n">
        <v>0.9609027777777778</v>
      </c>
      <c r="F1842" s="27" t="inlineStr">
        <is>
          <t>Shift 2</t>
        </is>
      </c>
      <c r="G1842" s="27" t="n"/>
    </row>
    <row r="1843">
      <c r="A1843" s="27" t="inlineStr">
        <is>
          <t>MK00125</t>
        </is>
      </c>
      <c r="B1843" s="27" t="n">
        <v>528000314</v>
      </c>
      <c r="C1843" s="27" t="inlineStr">
        <is>
          <t>Rusmana</t>
        </is>
      </c>
      <c r="D1843" s="171" t="n">
        <v>46228.41666666666</v>
      </c>
      <c r="E1843" s="26" t="n">
        <v>0.2437615740740741</v>
      </c>
      <c r="F1843" s="27" t="inlineStr">
        <is>
          <t>Shift 3</t>
        </is>
      </c>
      <c r="G1843" s="27" t="n"/>
    </row>
    <row r="1844">
      <c r="A1844" s="27" t="inlineStr">
        <is>
          <t>MK00085</t>
        </is>
      </c>
      <c r="B1844" s="27" t="n">
        <v>528000283</v>
      </c>
      <c r="C1844" s="27" t="inlineStr">
        <is>
          <t>Purwanda Sugiri</t>
        </is>
      </c>
      <c r="D1844" s="171" t="n">
        <v>46228.41666666666</v>
      </c>
      <c r="E1844" s="26" t="n">
        <v>0.2445717592592593</v>
      </c>
      <c r="F1844" s="27" t="inlineStr">
        <is>
          <t>Shift 3</t>
        </is>
      </c>
      <c r="G1844" s="27" t="n"/>
    </row>
    <row r="1845">
      <c r="A1845" s="27" t="inlineStr">
        <is>
          <t>MK00185</t>
        </is>
      </c>
      <c r="B1845" s="27" t="n">
        <v>528000273</v>
      </c>
      <c r="C1845" s="27" t="inlineStr">
        <is>
          <t>Asep Mulyana</t>
        </is>
      </c>
      <c r="D1845" s="171" t="n">
        <v>46228.41666666666</v>
      </c>
      <c r="E1845" s="26" t="n">
        <v>0.2509722222222222</v>
      </c>
      <c r="F1845" s="27" t="inlineStr">
        <is>
          <t>Shift 3</t>
        </is>
      </c>
      <c r="G1845" s="27" t="n"/>
    </row>
    <row r="1846">
      <c r="A1846" s="27" t="inlineStr">
        <is>
          <t>MK00249</t>
        </is>
      </c>
      <c r="B1846" s="27" t="n">
        <v>528000289</v>
      </c>
      <c r="C1846" s="27" t="inlineStr">
        <is>
          <t>Adit Supriyadi</t>
        </is>
      </c>
      <c r="D1846" s="171" t="n">
        <v>46228.41666666666</v>
      </c>
      <c r="E1846" s="26" t="n">
        <v>0.2515162037037037</v>
      </c>
      <c r="F1846" s="27" t="inlineStr">
        <is>
          <t>Shift 3</t>
        </is>
      </c>
      <c r="G1846" s="27" t="n"/>
    </row>
    <row r="1847">
      <c r="A1847" s="27" t="inlineStr">
        <is>
          <t>MK00136</t>
        </is>
      </c>
      <c r="B1847" s="27" t="n">
        <v>528000274</v>
      </c>
      <c r="C1847" s="27" t="inlineStr">
        <is>
          <t>Zepri</t>
        </is>
      </c>
      <c r="D1847" s="171" t="n">
        <v>46228.41666666666</v>
      </c>
      <c r="E1847" s="26" t="n">
        <v>0.2532060185185185</v>
      </c>
      <c r="F1847" s="27" t="inlineStr">
        <is>
          <t>Shift 3</t>
        </is>
      </c>
      <c r="G1847" s="27" t="n"/>
    </row>
    <row r="1848">
      <c r="A1848" s="27" t="inlineStr">
        <is>
          <t>MK0095</t>
        </is>
      </c>
      <c r="B1848" s="27" t="n">
        <v>528000201</v>
      </c>
      <c r="C1848" s="27" t="inlineStr">
        <is>
          <t>Zahwa Amelia Choerunissa</t>
        </is>
      </c>
      <c r="D1848" s="171" t="n">
        <v>46228.41666666666</v>
      </c>
      <c r="E1848" s="26" t="n">
        <v>0.2532754629629629</v>
      </c>
      <c r="F1848" s="27" t="inlineStr">
        <is>
          <t>Shift 3</t>
        </is>
      </c>
      <c r="G1848" s="27" t="n"/>
    </row>
    <row r="1849">
      <c r="A1849" s="27" t="inlineStr">
        <is>
          <t>MK00210</t>
        </is>
      </c>
      <c r="B1849" s="27" t="n">
        <v>528000339</v>
      </c>
      <c r="C1849" s="27" t="inlineStr">
        <is>
          <t>Muhamad Ripai'i</t>
        </is>
      </c>
      <c r="D1849" s="171" t="n">
        <v>46228.41666666666</v>
      </c>
      <c r="E1849" s="26" t="n">
        <v>0.2541898148148148</v>
      </c>
      <c r="F1849" s="27" t="inlineStr">
        <is>
          <t>Shift 3</t>
        </is>
      </c>
      <c r="G1849" s="27" t="n"/>
    </row>
    <row r="1850">
      <c r="A1850" s="27" t="inlineStr">
        <is>
          <t>MK00235</t>
        </is>
      </c>
      <c r="B1850" s="27" t="n">
        <v>528000286</v>
      </c>
      <c r="C1850" s="27" t="inlineStr">
        <is>
          <t>Imelda Amelia</t>
        </is>
      </c>
      <c r="D1850" s="171" t="n">
        <v>46228.41666666666</v>
      </c>
      <c r="E1850" s="26" t="n">
        <v>0.2542708333333333</v>
      </c>
      <c r="F1850" s="27" t="inlineStr">
        <is>
          <t>Shift 3</t>
        </is>
      </c>
      <c r="G1850" s="27" t="n"/>
    </row>
    <row r="1851">
      <c r="A1851" s="27" t="inlineStr">
        <is>
          <t>MK00156</t>
        </is>
      </c>
      <c r="B1851" s="27" t="n">
        <v>528000241</v>
      </c>
      <c r="C1851" s="27" t="inlineStr">
        <is>
          <t>Balia Nurafif Bilah</t>
        </is>
      </c>
      <c r="D1851" s="171" t="n">
        <v>46228.41666666666</v>
      </c>
      <c r="E1851" s="26" t="n">
        <v>0.2544791666666666</v>
      </c>
      <c r="F1851" s="27" t="inlineStr">
        <is>
          <t>Shift 3</t>
        </is>
      </c>
      <c r="G1851" s="27" t="n"/>
    </row>
    <row r="1852">
      <c r="A1852" s="27" t="inlineStr">
        <is>
          <t>MK0085</t>
        </is>
      </c>
      <c r="B1852" s="27" t="n">
        <v>528000290</v>
      </c>
      <c r="C1852" s="27" t="inlineStr">
        <is>
          <t>Eval Pranata</t>
        </is>
      </c>
      <c r="D1852" s="171" t="n">
        <v>46228.41666666666</v>
      </c>
      <c r="E1852" s="26" t="n">
        <v>0.2550578703703704</v>
      </c>
      <c r="F1852" s="27" t="inlineStr">
        <is>
          <t>Shift 3</t>
        </is>
      </c>
      <c r="G1852" s="27" t="n"/>
    </row>
    <row r="1853">
      <c r="A1853" s="27" t="inlineStr">
        <is>
          <t>MK00143</t>
        </is>
      </c>
      <c r="B1853" s="27" t="n">
        <v>528000090</v>
      </c>
      <c r="C1853" s="27" t="inlineStr">
        <is>
          <t>Suganda</t>
        </is>
      </c>
      <c r="D1853" s="171" t="n">
        <v>46228.41666666666</v>
      </c>
      <c r="E1853" s="26" t="n">
        <v>0.2554398148148148</v>
      </c>
      <c r="F1853" s="27" t="inlineStr">
        <is>
          <t>Shift 3</t>
        </is>
      </c>
      <c r="G1853" s="27" t="n"/>
    </row>
    <row r="1854">
      <c r="A1854" s="27" t="inlineStr">
        <is>
          <t>MK00150</t>
        </is>
      </c>
      <c r="B1854" s="27" t="n">
        <v>528000244</v>
      </c>
      <c r="C1854" s="27" t="inlineStr">
        <is>
          <t>Rodian Rifai</t>
        </is>
      </c>
      <c r="D1854" s="171" t="n">
        <v>46228.41666666666</v>
      </c>
      <c r="E1854" s="26" t="n">
        <v>0.3034143518518518</v>
      </c>
      <c r="F1854" s="27" t="inlineStr">
        <is>
          <t>Shift 3</t>
        </is>
      </c>
      <c r="G1854" s="27" t="n"/>
    </row>
    <row r="1855">
      <c r="A1855" s="27" t="inlineStr">
        <is>
          <t>MK000230</t>
        </is>
      </c>
      <c r="B1855" s="27" t="n">
        <v>528000298</v>
      </c>
      <c r="C1855" s="27" t="inlineStr">
        <is>
          <t>Desta Cahaya Pratama</t>
        </is>
      </c>
      <c r="D1855" s="171" t="n">
        <v>46228.41666666666</v>
      </c>
      <c r="E1855" s="26" t="n">
        <v>0.5753935185185185</v>
      </c>
      <c r="F1855" s="27" t="inlineStr">
        <is>
          <t>Shift 1</t>
        </is>
      </c>
      <c r="G1855" s="27" t="n"/>
    </row>
    <row r="1856">
      <c r="A1856" s="27" t="inlineStr">
        <is>
          <t>MK00186</t>
        </is>
      </c>
      <c r="B1856" s="27" t="n">
        <v>528000360</v>
      </c>
      <c r="C1856" s="27" t="inlineStr">
        <is>
          <t>Hendra Permana</t>
        </is>
      </c>
      <c r="D1856" s="171" t="n">
        <v>46228.41666666666</v>
      </c>
      <c r="E1856" s="26" t="n">
        <v>0.5851041666666666</v>
      </c>
      <c r="F1856" s="27" t="inlineStr">
        <is>
          <t>Shift 1</t>
        </is>
      </c>
      <c r="G1856" s="27" t="n"/>
    </row>
    <row r="1857">
      <c r="A1857" s="27" t="inlineStr">
        <is>
          <t>MK00154</t>
        </is>
      </c>
      <c r="B1857" s="27" t="n">
        <v>528000261</v>
      </c>
      <c r="C1857" s="27" t="inlineStr">
        <is>
          <t>Ergi Ergianto</t>
        </is>
      </c>
      <c r="D1857" s="171" t="n">
        <v>46228.41666666666</v>
      </c>
      <c r="E1857" s="26" t="n">
        <v>0.5853240740740741</v>
      </c>
      <c r="F1857" s="27" t="inlineStr">
        <is>
          <t>Shift 1</t>
        </is>
      </c>
      <c r="G1857" s="27" t="n"/>
    </row>
    <row r="1858">
      <c r="A1858" s="27" t="inlineStr">
        <is>
          <t>MK00108</t>
        </is>
      </c>
      <c r="B1858" s="27" t="n">
        <v>528000291</v>
      </c>
      <c r="C1858" s="27" t="inlineStr">
        <is>
          <t>Andrian</t>
        </is>
      </c>
      <c r="D1858" s="171" t="n">
        <v>46228.41666666666</v>
      </c>
      <c r="E1858" s="26" t="n">
        <v>0.5853587962962963</v>
      </c>
      <c r="F1858" s="27" t="inlineStr">
        <is>
          <t>Shift 1</t>
        </is>
      </c>
      <c r="G1858" s="27" t="n"/>
    </row>
    <row r="1859">
      <c r="A1859" s="27" t="inlineStr">
        <is>
          <t>MK00055</t>
        </is>
      </c>
      <c r="B1859" s="27" t="n">
        <v>528000052</v>
      </c>
      <c r="C1859" s="27" t="inlineStr">
        <is>
          <t>Mustopa</t>
        </is>
      </c>
      <c r="D1859" s="171" t="n">
        <v>46228.41666666666</v>
      </c>
      <c r="E1859" s="26" t="n">
        <v>0.5855555555555556</v>
      </c>
      <c r="F1859" s="27" t="inlineStr">
        <is>
          <t>Shift 1</t>
        </is>
      </c>
      <c r="G1859" s="27" t="n"/>
    </row>
    <row r="1860">
      <c r="A1860" s="27" t="inlineStr">
        <is>
          <t>MK00138</t>
        </is>
      </c>
      <c r="B1860" s="27" t="n">
        <v>528000262</v>
      </c>
      <c r="C1860" s="27" t="inlineStr">
        <is>
          <t>Ndari Dwiwanti</t>
        </is>
      </c>
      <c r="D1860" s="171" t="n">
        <v>46228.41666666666</v>
      </c>
      <c r="E1860" s="26" t="n">
        <v>0.5861689814814814</v>
      </c>
      <c r="F1860" s="27" t="inlineStr">
        <is>
          <t>Shift 1</t>
        </is>
      </c>
      <c r="G1860" s="27" t="n"/>
    </row>
    <row r="1861">
      <c r="A1861" s="27" t="inlineStr">
        <is>
          <t>MK00218</t>
        </is>
      </c>
      <c r="B1861" s="27" t="n">
        <v>528000324</v>
      </c>
      <c r="C1861" s="27" t="inlineStr">
        <is>
          <t>Sri Yanti</t>
        </is>
      </c>
      <c r="D1861" s="171" t="n">
        <v>46228.41666666666</v>
      </c>
      <c r="E1861" s="26" t="n">
        <v>0.5867245370370371</v>
      </c>
      <c r="F1861" s="27" t="inlineStr">
        <is>
          <t>Shift 1</t>
        </is>
      </c>
      <c r="G1861" s="27" t="n"/>
    </row>
    <row r="1862">
      <c r="A1862" s="27" t="inlineStr">
        <is>
          <t>MK00208</t>
        </is>
      </c>
      <c r="B1862" s="27" t="n">
        <v>528000358</v>
      </c>
      <c r="C1862" s="27" t="inlineStr">
        <is>
          <t>Lulu Agustin</t>
        </is>
      </c>
      <c r="D1862" s="171" t="n">
        <v>46228.41666666666</v>
      </c>
      <c r="E1862" s="26" t="n">
        <v>0.5868402777777778</v>
      </c>
      <c r="F1862" s="27" t="inlineStr">
        <is>
          <t>Shift 1</t>
        </is>
      </c>
      <c r="G1862" s="27" t="n"/>
    </row>
    <row r="1863">
      <c r="A1863" s="27" t="inlineStr">
        <is>
          <t>MK00181</t>
        </is>
      </c>
      <c r="B1863" s="27" t="n">
        <v>528000323</v>
      </c>
      <c r="C1863" s="27" t="inlineStr">
        <is>
          <t>Dian Hamidah</t>
        </is>
      </c>
      <c r="D1863" s="171" t="n">
        <v>46228.41666666666</v>
      </c>
      <c r="E1863" s="26" t="n">
        <v>0.586875</v>
      </c>
      <c r="F1863" s="27" t="inlineStr">
        <is>
          <t>Shift 1</t>
        </is>
      </c>
      <c r="G1863" s="27" t="n"/>
    </row>
    <row r="1864">
      <c r="A1864" s="27" t="inlineStr">
        <is>
          <t>MK00088</t>
        </is>
      </c>
      <c r="B1864" s="27" t="n">
        <v>528000336</v>
      </c>
      <c r="C1864" s="27" t="inlineStr">
        <is>
          <t>Ali Nurhanafi</t>
        </is>
      </c>
      <c r="D1864" s="171" t="n">
        <v>46228.41666666666</v>
      </c>
      <c r="E1864" s="26" t="n">
        <v>0.5874189814814815</v>
      </c>
      <c r="F1864" s="27" t="inlineStr">
        <is>
          <t>Shift 1</t>
        </is>
      </c>
      <c r="G1864" s="27" t="n"/>
    </row>
    <row r="1865">
      <c r="A1865" s="27" t="inlineStr">
        <is>
          <t>MK00217</t>
        </is>
      </c>
      <c r="B1865" s="27" t="n">
        <v>528000337</v>
      </c>
      <c r="C1865" s="27" t="inlineStr">
        <is>
          <t>Ahmad Zaldi Firdaus</t>
        </is>
      </c>
      <c r="D1865" s="171" t="n">
        <v>46228.41666666666</v>
      </c>
      <c r="E1865" s="26" t="n">
        <v>0.5907291666666666</v>
      </c>
      <c r="F1865" s="27" t="inlineStr">
        <is>
          <t>Shift 1</t>
        </is>
      </c>
      <c r="G1865" s="27" t="n"/>
    </row>
    <row r="1866">
      <c r="A1866" s="27" t="inlineStr">
        <is>
          <t>MK00230</t>
        </is>
      </c>
      <c r="B1866" s="27" t="n">
        <v>528000266</v>
      </c>
      <c r="C1866" s="27" t="inlineStr">
        <is>
          <t>M. Syirajatieq</t>
        </is>
      </c>
      <c r="D1866" s="171" t="n">
        <v>46228.41666666666</v>
      </c>
      <c r="E1866" s="26" t="n">
        <v>0.5954861111111112</v>
      </c>
      <c r="F1866" s="27" t="inlineStr">
        <is>
          <t>Shift 1</t>
        </is>
      </c>
      <c r="G1866" s="27" t="n"/>
    </row>
    <row r="1867">
      <c r="A1867" s="27" t="inlineStr">
        <is>
          <t>MK00116</t>
        </is>
      </c>
      <c r="B1867" s="27" t="n">
        <v>528000212</v>
      </c>
      <c r="C1867" s="27" t="inlineStr">
        <is>
          <t>Rizal Fauzi</t>
        </is>
      </c>
      <c r="D1867" s="171" t="n">
        <v>46228.41666666666</v>
      </c>
      <c r="E1867" s="26" t="n">
        <v>0.8610532407407407</v>
      </c>
      <c r="F1867" s="27" t="inlineStr">
        <is>
          <t>Shift 2</t>
        </is>
      </c>
      <c r="G1867" s="27" t="n"/>
    </row>
    <row r="1868">
      <c r="A1868" s="27" t="inlineStr">
        <is>
          <t>MK00112</t>
        </is>
      </c>
      <c r="B1868" s="27" t="n">
        <v>528000322</v>
      </c>
      <c r="C1868" s="27" t="inlineStr">
        <is>
          <t>Muhamad Aliludin</t>
        </is>
      </c>
      <c r="D1868" s="171" t="n">
        <v>46228.41666666666</v>
      </c>
      <c r="E1868" s="26" t="n">
        <v>0.8978356481481482</v>
      </c>
      <c r="F1868" s="27" t="inlineStr">
        <is>
          <t>Shift 2</t>
        </is>
      </c>
      <c r="G1868" s="27" t="n"/>
    </row>
    <row r="1869">
      <c r="A1869" s="27" t="inlineStr">
        <is>
          <t>MK00202</t>
        </is>
      </c>
      <c r="B1869" s="27" t="n">
        <v>528000302</v>
      </c>
      <c r="C1869" s="27" t="inlineStr">
        <is>
          <t>Henkey gumilar</t>
        </is>
      </c>
      <c r="D1869" s="171" t="n">
        <v>46228.41666666666</v>
      </c>
      <c r="E1869" s="26" t="n">
        <v>0.9152083333333333</v>
      </c>
      <c r="F1869" s="27" t="inlineStr">
        <is>
          <t>Shift 2</t>
        </is>
      </c>
      <c r="G1869" s="27" t="n"/>
    </row>
    <row r="1870">
      <c r="A1870" s="27" t="inlineStr">
        <is>
          <t>MK00095</t>
        </is>
      </c>
      <c r="B1870" s="27" t="n">
        <v>528000328</v>
      </c>
      <c r="C1870" s="27" t="inlineStr">
        <is>
          <t>Nur Anjani</t>
        </is>
      </c>
      <c r="D1870" s="171" t="n">
        <v>46228.41666666666</v>
      </c>
      <c r="E1870" s="26" t="n">
        <v>0.9194907407407408</v>
      </c>
      <c r="F1870" s="27" t="inlineStr">
        <is>
          <t>Shift 2</t>
        </is>
      </c>
      <c r="G1870" s="27" t="n"/>
    </row>
    <row r="1871">
      <c r="A1871" s="27" t="inlineStr">
        <is>
          <t>MK00235</t>
        </is>
      </c>
      <c r="B1871" s="27" t="n">
        <v>528000318</v>
      </c>
      <c r="C1871" s="27" t="inlineStr">
        <is>
          <t>Bayu Padli Sepriyana</t>
        </is>
      </c>
      <c r="D1871" s="171" t="n">
        <v>46228.41666666666</v>
      </c>
      <c r="E1871" s="26" t="n">
        <v>0.9197222222222222</v>
      </c>
      <c r="F1871" s="27" t="inlineStr">
        <is>
          <t>Shift 2</t>
        </is>
      </c>
      <c r="G1871" s="27" t="n"/>
    </row>
    <row r="1872">
      <c r="A1872" s="27" t="inlineStr">
        <is>
          <t>MK00220</t>
        </is>
      </c>
      <c r="B1872" s="27" t="n">
        <v>528000313</v>
      </c>
      <c r="C1872" s="27" t="inlineStr">
        <is>
          <t>Muhamad Rifki</t>
        </is>
      </c>
      <c r="D1872" s="171" t="n">
        <v>46228.41666666666</v>
      </c>
      <c r="E1872" s="26" t="n">
        <v>0.9197800925925926</v>
      </c>
      <c r="F1872" s="27" t="inlineStr">
        <is>
          <t>Shift 2</t>
        </is>
      </c>
      <c r="G1872" s="27" t="n"/>
    </row>
    <row r="1873">
      <c r="A1873" s="27" t="inlineStr">
        <is>
          <t>MK00210</t>
        </is>
      </c>
      <c r="B1873" s="27" t="n">
        <v>528000309</v>
      </c>
      <c r="C1873" s="27" t="inlineStr">
        <is>
          <t>Ilham Ramadhan</t>
        </is>
      </c>
      <c r="D1873" s="171" t="n">
        <v>46228.41666666666</v>
      </c>
      <c r="E1873" s="26" t="n">
        <v>0.9198032407407407</v>
      </c>
      <c r="F1873" s="27" t="inlineStr">
        <is>
          <t>Shift 2</t>
        </is>
      </c>
      <c r="G1873" s="27" t="n"/>
    </row>
    <row r="1874">
      <c r="A1874" s="27" t="inlineStr">
        <is>
          <t>MK00185</t>
        </is>
      </c>
      <c r="B1874" s="27" t="n">
        <v>528000296</v>
      </c>
      <c r="C1874" s="27" t="inlineStr">
        <is>
          <t>Nurdin</t>
        </is>
      </c>
      <c r="D1874" s="171" t="n">
        <v>46228.41666666666</v>
      </c>
      <c r="E1874" s="26" t="n">
        <v>0.9199189814814814</v>
      </c>
      <c r="F1874" s="27" t="inlineStr">
        <is>
          <t>Shift 2</t>
        </is>
      </c>
      <c r="G1874" s="27" t="n"/>
    </row>
    <row r="1875">
      <c r="A1875" s="27" t="inlineStr">
        <is>
          <t>MK00143</t>
        </is>
      </c>
      <c r="B1875" s="27" t="n">
        <v>528000340</v>
      </c>
      <c r="C1875" s="27" t="inlineStr">
        <is>
          <t>Muhammad Wildan Adithya</t>
        </is>
      </c>
      <c r="D1875" s="171" t="n">
        <v>46228.41666666666</v>
      </c>
      <c r="E1875" s="26" t="n">
        <v>0.9203703703703704</v>
      </c>
      <c r="F1875" s="27" t="inlineStr">
        <is>
          <t>Shift 2</t>
        </is>
      </c>
      <c r="G1875" s="27" t="n"/>
    </row>
    <row r="1876">
      <c r="A1876" s="27" t="inlineStr">
        <is>
          <t>MK00250</t>
        </is>
      </c>
      <c r="B1876" s="27" t="n">
        <v>628000018</v>
      </c>
      <c r="C1876" s="27" t="inlineStr">
        <is>
          <t>Annisa Tri Pratiwi</t>
        </is>
      </c>
      <c r="D1876" s="171" t="n">
        <v>46228.41666666666</v>
      </c>
      <c r="E1876" s="26" t="n">
        <v>0.9215972222222222</v>
      </c>
      <c r="F1876" s="27" t="inlineStr">
        <is>
          <t>Shift 2</t>
        </is>
      </c>
      <c r="G1876" s="27" t="n"/>
    </row>
    <row r="1877">
      <c r="A1877" s="27" t="inlineStr">
        <is>
          <t>MK00121</t>
        </is>
      </c>
      <c r="B1877" s="27" t="n">
        <v>528000361</v>
      </c>
      <c r="C1877" s="27" t="inlineStr">
        <is>
          <t>Denada Munggarani</t>
        </is>
      </c>
      <c r="D1877" s="171" t="n">
        <v>46228.41666666666</v>
      </c>
      <c r="E1877" s="26" t="n">
        <v>0.9237731481481481</v>
      </c>
      <c r="F1877" s="27" t="inlineStr">
        <is>
          <t>Shift 2</t>
        </is>
      </c>
      <c r="G1877" s="27" t="n"/>
    </row>
    <row r="1878">
      <c r="A1878" s="27" t="inlineStr">
        <is>
          <t>MK00184</t>
        </is>
      </c>
      <c r="B1878" s="27" t="n">
        <v>528000270</v>
      </c>
      <c r="C1878" s="27" t="inlineStr">
        <is>
          <t>Febri Najmudin</t>
        </is>
      </c>
      <c r="D1878" s="171" t="n">
        <v>46228.41666666666</v>
      </c>
      <c r="E1878" s="26" t="n">
        <v>0.9321874999999999</v>
      </c>
      <c r="F1878" s="27" t="inlineStr">
        <is>
          <t>Shift 2</t>
        </is>
      </c>
      <c r="G1878" s="27" t="n"/>
    </row>
    <row r="1879">
      <c r="A1879" s="27" t="inlineStr">
        <is>
          <t>MK00123</t>
        </is>
      </c>
      <c r="B1879" s="27" t="n">
        <v>528000015</v>
      </c>
      <c r="C1879" s="27" t="inlineStr">
        <is>
          <t>Erwin</t>
        </is>
      </c>
      <c r="D1879" s="171" t="n">
        <v>46228.41666666666</v>
      </c>
      <c r="E1879" s="26" t="n">
        <v>0.9891666666666666</v>
      </c>
      <c r="F1879" s="27" t="inlineStr">
        <is>
          <t>Shift 2</t>
        </is>
      </c>
      <c r="G1879" s="27" t="n"/>
    </row>
    <row r="1880">
      <c r="A1880" s="27" t="inlineStr">
        <is>
          <t>MK00213</t>
        </is>
      </c>
      <c r="B1880" s="27" t="n">
        <v>528000283</v>
      </c>
      <c r="C1880" s="27" t="inlineStr">
        <is>
          <t>Purwanda Sugiri</t>
        </is>
      </c>
      <c r="D1880" s="171" t="n">
        <v>46229.41666666666</v>
      </c>
      <c r="E1880" s="26" t="n">
        <v>0.2427546296296296</v>
      </c>
      <c r="F1880" s="27" t="inlineStr">
        <is>
          <t>Shift 3</t>
        </is>
      </c>
      <c r="G1880" s="27" t="n"/>
    </row>
    <row r="1881">
      <c r="A1881" s="27" t="inlineStr">
        <is>
          <t>MK00150</t>
        </is>
      </c>
      <c r="B1881" s="27" t="n">
        <v>528000273</v>
      </c>
      <c r="C1881" s="27" t="inlineStr">
        <is>
          <t>Asep Mulyana</t>
        </is>
      </c>
      <c r="D1881" s="171" t="n">
        <v>46229.41666666666</v>
      </c>
      <c r="E1881" s="26" t="n">
        <v>0.2508217592592593</v>
      </c>
      <c r="F1881" s="27" t="inlineStr">
        <is>
          <t>Shift 3</t>
        </is>
      </c>
      <c r="G1881" s="27" t="n"/>
    </row>
    <row r="1882">
      <c r="A1882" s="27" t="inlineStr">
        <is>
          <t>MK00249</t>
        </is>
      </c>
      <c r="B1882" s="27" t="n">
        <v>528000201</v>
      </c>
      <c r="C1882" s="27" t="inlineStr">
        <is>
          <t>Zahwa Amelia Choerunissa</t>
        </is>
      </c>
      <c r="D1882" s="171" t="n">
        <v>46229.41666666666</v>
      </c>
      <c r="E1882" s="26" t="n">
        <v>0.2527430555555555</v>
      </c>
      <c r="F1882" s="27" t="inlineStr">
        <is>
          <t>Shift 3</t>
        </is>
      </c>
      <c r="G1882" s="27" t="n"/>
    </row>
    <row r="1883">
      <c r="A1883" s="27" t="inlineStr">
        <is>
          <t>MK00156</t>
        </is>
      </c>
      <c r="B1883" s="27" t="n">
        <v>528000274</v>
      </c>
      <c r="C1883" s="27" t="inlineStr">
        <is>
          <t>Zepri</t>
        </is>
      </c>
      <c r="D1883" s="171" t="n">
        <v>46229.41666666666</v>
      </c>
      <c r="E1883" s="26" t="n">
        <v>0.2528240740740741</v>
      </c>
      <c r="F1883" s="27" t="inlineStr">
        <is>
          <t>Shift 3</t>
        </is>
      </c>
      <c r="G1883" s="27" t="n"/>
    </row>
    <row r="1884">
      <c r="A1884" s="27" t="inlineStr">
        <is>
          <t>MK00138</t>
        </is>
      </c>
      <c r="B1884" s="27" t="n">
        <v>528000241</v>
      </c>
      <c r="C1884" s="27" t="inlineStr">
        <is>
          <t>Balia Nurafif Bilah</t>
        </is>
      </c>
      <c r="D1884" s="171" t="n">
        <v>46229.41666666666</v>
      </c>
      <c r="E1884" s="26" t="n">
        <v>0.2528819444444445</v>
      </c>
      <c r="F1884" s="27" t="inlineStr">
        <is>
          <t>Shift 3</t>
        </is>
      </c>
      <c r="G1884" s="27" t="n"/>
    </row>
    <row r="1885">
      <c r="A1885" s="27" t="inlineStr">
        <is>
          <t>MK00008</t>
        </is>
      </c>
      <c r="B1885" s="27" t="n">
        <v>528000339</v>
      </c>
      <c r="C1885" s="27" t="inlineStr">
        <is>
          <t>Muhamad Ripai'i</t>
        </is>
      </c>
      <c r="D1885" s="171" t="n">
        <v>46229.41666666666</v>
      </c>
      <c r="E1885" s="26" t="n">
        <v>0.2538310185185185</v>
      </c>
      <c r="F1885" s="27" t="inlineStr">
        <is>
          <t>Shift 3</t>
        </is>
      </c>
      <c r="G1885" s="27" t="n"/>
    </row>
    <row r="1886">
      <c r="A1886" s="27" t="inlineStr">
        <is>
          <t>MK00181</t>
        </is>
      </c>
      <c r="B1886" s="27" t="n">
        <v>528000090</v>
      </c>
      <c r="C1886" s="27" t="inlineStr">
        <is>
          <t>Suganda</t>
        </is>
      </c>
      <c r="D1886" s="171" t="n">
        <v>46229.41666666666</v>
      </c>
      <c r="E1886" s="26" t="n">
        <v>0.2539236111111111</v>
      </c>
      <c r="F1886" s="27" t="inlineStr">
        <is>
          <t>Shift 3</t>
        </is>
      </c>
      <c r="G1886" s="27" t="n"/>
    </row>
    <row r="1887">
      <c r="A1887" s="27" t="inlineStr">
        <is>
          <t>MK00208</t>
        </is>
      </c>
      <c r="B1887" s="27" t="n">
        <v>528000290</v>
      </c>
      <c r="C1887" s="27" t="inlineStr">
        <is>
          <t>Eval Pranata</t>
        </is>
      </c>
      <c r="D1887" s="171" t="n">
        <v>46229.41666666666</v>
      </c>
      <c r="E1887" s="26" t="n">
        <v>0.254224537037037</v>
      </c>
      <c r="F1887" s="27" t="inlineStr">
        <is>
          <t>Shift 3</t>
        </is>
      </c>
      <c r="G1887" s="27" t="n"/>
    </row>
    <row r="1888">
      <c r="A1888" s="27" t="inlineStr">
        <is>
          <t>MK00112</t>
        </is>
      </c>
      <c r="B1888" s="27" t="n">
        <v>528000289</v>
      </c>
      <c r="C1888" s="27" t="inlineStr">
        <is>
          <t>Adit Supriyadi</t>
        </is>
      </c>
      <c r="D1888" s="171" t="n">
        <v>46229.41666666666</v>
      </c>
      <c r="E1888" s="26" t="n">
        <v>0.2552083333333333</v>
      </c>
      <c r="F1888" s="27" t="inlineStr">
        <is>
          <t>Shift 3</t>
        </is>
      </c>
      <c r="G1888" s="27" t="n"/>
    </row>
    <row r="1889">
      <c r="A1889" s="27" t="inlineStr">
        <is>
          <t>MK00109</t>
        </is>
      </c>
      <c r="B1889" s="27" t="n">
        <v>528000244</v>
      </c>
      <c r="C1889" s="27" t="inlineStr">
        <is>
          <t>Rodian Rifai</t>
        </is>
      </c>
      <c r="D1889" s="171" t="n">
        <v>46229.41666666666</v>
      </c>
      <c r="E1889" s="26" t="n">
        <v>0.285625</v>
      </c>
      <c r="F1889" s="27" t="inlineStr">
        <is>
          <t>Shift 3</t>
        </is>
      </c>
      <c r="G1889" s="27" t="n"/>
    </row>
    <row r="1890">
      <c r="A1890" s="27" t="inlineStr">
        <is>
          <t>MK00212</t>
        </is>
      </c>
      <c r="B1890" s="27" t="n">
        <v>528000286</v>
      </c>
      <c r="C1890" s="27" t="inlineStr">
        <is>
          <t>Imelda Amelia</t>
        </is>
      </c>
      <c r="D1890" s="171" t="n">
        <v>46229.41666666666</v>
      </c>
      <c r="E1890" s="26" t="n">
        <v>0.3327083333333333</v>
      </c>
      <c r="F1890" s="27" t="inlineStr">
        <is>
          <t>Shift 3</t>
        </is>
      </c>
      <c r="G1890" s="27" t="n"/>
    </row>
    <row r="1891">
      <c r="A1891" s="27" t="inlineStr">
        <is>
          <t>MK00209</t>
        </is>
      </c>
      <c r="B1891" s="27" t="n">
        <v>528000325</v>
      </c>
      <c r="C1891" s="27" t="inlineStr">
        <is>
          <t>Rani Septia Ramadani</t>
        </is>
      </c>
      <c r="D1891" s="171" t="n">
        <v>46229.41666666666</v>
      </c>
      <c r="E1891" s="26" t="n">
        <v>0.3335879629629629</v>
      </c>
      <c r="F1891" s="27" t="inlineStr">
        <is>
          <t>Shift 1</t>
        </is>
      </c>
      <c r="G1891" s="27" t="n"/>
    </row>
    <row r="1892">
      <c r="A1892" s="27" t="inlineStr">
        <is>
          <t>MK0130</t>
        </is>
      </c>
      <c r="B1892" s="27" t="n">
        <v>528000149</v>
      </c>
      <c r="C1892" s="27" t="inlineStr">
        <is>
          <t>Tio Fernanda</t>
        </is>
      </c>
      <c r="D1892" s="171" t="n">
        <v>46229.41666666666</v>
      </c>
      <c r="E1892" s="26" t="n">
        <v>0.3695949074074074</v>
      </c>
      <c r="F1892" s="27" t="inlineStr">
        <is>
          <t>Shift 1</t>
        </is>
      </c>
      <c r="G1892" s="27" t="n"/>
    </row>
    <row r="1893">
      <c r="A1893" s="27" t="inlineStr">
        <is>
          <t>MK00085</t>
        </is>
      </c>
      <c r="B1893" s="27" t="n">
        <v>528000298</v>
      </c>
      <c r="C1893" s="27" t="inlineStr">
        <is>
          <t>Desta Cahaya Pratama</t>
        </is>
      </c>
      <c r="D1893" s="171" t="n">
        <v>46229.41666666666</v>
      </c>
      <c r="E1893" s="26" t="n">
        <v>0.4229282407407408</v>
      </c>
      <c r="F1893" s="27" t="inlineStr">
        <is>
          <t>Shift 1</t>
        </is>
      </c>
      <c r="G1893" s="27" t="n"/>
    </row>
    <row r="1894">
      <c r="A1894" s="27" t="inlineStr">
        <is>
          <t>MK00220</t>
        </is>
      </c>
      <c r="B1894" s="27" t="n">
        <v>528000360</v>
      </c>
      <c r="C1894" s="27" t="inlineStr">
        <is>
          <t>Hendra Permana</t>
        </is>
      </c>
      <c r="D1894" s="171" t="n">
        <v>46229.41666666666</v>
      </c>
      <c r="E1894" s="26" t="n">
        <v>0.5834722222222222</v>
      </c>
      <c r="F1894" s="27" t="inlineStr">
        <is>
          <t>Shift 1</t>
        </is>
      </c>
      <c r="G1894" s="27" t="inlineStr">
        <is>
          <t>10D</t>
        </is>
      </c>
    </row>
    <row r="1895">
      <c r="A1895" s="27" t="inlineStr">
        <is>
          <t>MK00230</t>
        </is>
      </c>
      <c r="B1895" s="27" t="n">
        <v>528000291</v>
      </c>
      <c r="C1895" s="27" t="inlineStr">
        <is>
          <t>Andrian</t>
        </is>
      </c>
      <c r="D1895" s="171" t="n">
        <v>46229.41666666666</v>
      </c>
      <c r="E1895" s="26" t="n">
        <v>0.583587962962963</v>
      </c>
      <c r="F1895" s="27" t="inlineStr">
        <is>
          <t>Shift 1</t>
        </is>
      </c>
      <c r="G1895" s="27" t="n"/>
    </row>
    <row r="1896">
      <c r="A1896" s="27" t="inlineStr">
        <is>
          <t>MK00143</t>
        </is>
      </c>
      <c r="B1896" s="27" t="n">
        <v>528000261</v>
      </c>
      <c r="C1896" s="27" t="inlineStr">
        <is>
          <t>Ergi Ergianto</t>
        </is>
      </c>
      <c r="D1896" s="171" t="n">
        <v>46229.41666666666</v>
      </c>
      <c r="E1896" s="26" t="n">
        <v>0.5836574074074075</v>
      </c>
      <c r="F1896" s="27" t="inlineStr">
        <is>
          <t>Shift 1</t>
        </is>
      </c>
      <c r="G1896" s="27" t="n"/>
    </row>
    <row r="1897">
      <c r="A1897" s="27" t="inlineStr">
        <is>
          <t>MK00136</t>
        </is>
      </c>
      <c r="B1897" s="27" t="n">
        <v>528000262</v>
      </c>
      <c r="C1897" s="27" t="inlineStr">
        <is>
          <t>Ndari Dwiwanti</t>
        </is>
      </c>
      <c r="D1897" s="171" t="n">
        <v>46229.41666666666</v>
      </c>
      <c r="E1897" s="26" t="n">
        <v>0.5838541666666667</v>
      </c>
      <c r="F1897" s="27" t="inlineStr">
        <is>
          <t>Shift 1</t>
        </is>
      </c>
      <c r="G1897" s="27" t="n"/>
    </row>
    <row r="1898">
      <c r="A1898" s="27" t="inlineStr">
        <is>
          <t>MK00192</t>
        </is>
      </c>
      <c r="B1898" s="27" t="n">
        <v>528000358</v>
      </c>
      <c r="C1898" s="27" t="inlineStr">
        <is>
          <t>Lulu Agustin</t>
        </is>
      </c>
      <c r="D1898" s="171" t="n">
        <v>46229.41666666666</v>
      </c>
      <c r="E1898" s="26" t="n">
        <v>0.5839004629629629</v>
      </c>
      <c r="F1898" s="27" t="inlineStr">
        <is>
          <t>Shift 1</t>
        </is>
      </c>
      <c r="G1898" s="27" t="n"/>
    </row>
    <row r="1899">
      <c r="A1899" s="27" t="inlineStr">
        <is>
          <t>MK00090</t>
        </is>
      </c>
      <c r="B1899" s="27" t="n">
        <v>528000306</v>
      </c>
      <c r="C1899" s="27" t="inlineStr">
        <is>
          <t>Windy Olivia</t>
        </is>
      </c>
      <c r="D1899" s="171" t="n">
        <v>46229.41666666666</v>
      </c>
      <c r="E1899" s="26" t="n">
        <v>0.5844791666666667</v>
      </c>
      <c r="F1899" s="27" t="inlineStr">
        <is>
          <t>Shift 1</t>
        </is>
      </c>
      <c r="G1899" s="27" t="n"/>
    </row>
    <row r="1900">
      <c r="A1900" s="27" t="inlineStr">
        <is>
          <t>MK00249</t>
        </is>
      </c>
      <c r="B1900" s="27" t="n">
        <v>528000340</v>
      </c>
      <c r="C1900" s="27" t="inlineStr">
        <is>
          <t>Muhammad Wildan Adithya</t>
        </is>
      </c>
      <c r="D1900" s="171" t="n">
        <v>46229.41666666666</v>
      </c>
      <c r="E1900" s="26" t="n">
        <v>0.5859722222222222</v>
      </c>
      <c r="F1900" s="27" t="inlineStr">
        <is>
          <t>Shift 1</t>
        </is>
      </c>
      <c r="G1900" s="27" t="n"/>
    </row>
    <row r="1901">
      <c r="A1901" s="27" t="inlineStr">
        <is>
          <t>MK00185</t>
        </is>
      </c>
      <c r="B1901" s="27" t="n">
        <v>528000195</v>
      </c>
      <c r="C1901" s="27" t="inlineStr">
        <is>
          <t>Rahma Sariwati</t>
        </is>
      </c>
      <c r="D1901" s="171" t="n">
        <v>46229.41666666666</v>
      </c>
      <c r="E1901" s="26" t="n">
        <v>0.5864930555555555</v>
      </c>
      <c r="F1901" s="27" t="inlineStr">
        <is>
          <t>Shift 1</t>
        </is>
      </c>
      <c r="G1901" s="27" t="n"/>
    </row>
    <row r="1902">
      <c r="A1902" s="27" t="inlineStr">
        <is>
          <t>MK00210</t>
        </is>
      </c>
      <c r="B1902" s="27" t="n">
        <v>528000337</v>
      </c>
      <c r="C1902" s="27" t="inlineStr">
        <is>
          <t>Ahmad Zaldi Firdaus</t>
        </is>
      </c>
      <c r="D1902" s="171" t="n">
        <v>46229.41666666666</v>
      </c>
      <c r="E1902" s="26" t="n">
        <v>0.586574074074074</v>
      </c>
      <c r="F1902" s="27" t="inlineStr">
        <is>
          <t>Shift 1</t>
        </is>
      </c>
      <c r="G1902" s="27" t="n"/>
    </row>
    <row r="1903">
      <c r="A1903" s="27" t="inlineStr">
        <is>
          <t>MK00184</t>
        </is>
      </c>
      <c r="B1903" s="27" t="n">
        <v>528000266</v>
      </c>
      <c r="C1903" s="27" t="inlineStr">
        <is>
          <t>M. Syirajatieq</t>
        </is>
      </c>
      <c r="D1903" s="171" t="n">
        <v>46229.41666666666</v>
      </c>
      <c r="E1903" s="26" t="n">
        <v>0.6034722222222222</v>
      </c>
      <c r="F1903" s="27" t="inlineStr">
        <is>
          <t>Shift 1</t>
        </is>
      </c>
      <c r="G1903" s="27" t="n"/>
    </row>
    <row r="1904">
      <c r="A1904" s="27" t="inlineStr">
        <is>
          <t>MK00204</t>
        </is>
      </c>
      <c r="B1904" s="27" t="n">
        <v>528000335</v>
      </c>
      <c r="C1904" s="27" t="inlineStr">
        <is>
          <t>Rizal Saepuloh</t>
        </is>
      </c>
      <c r="D1904" s="171" t="n">
        <v>46229.41666666666</v>
      </c>
      <c r="E1904" s="26" t="n">
        <v>0.6668287037037037</v>
      </c>
      <c r="F1904" s="27" t="inlineStr">
        <is>
          <t>Shift 2</t>
        </is>
      </c>
      <c r="G1904" s="27" t="n"/>
    </row>
    <row r="1905">
      <c r="A1905" s="27" t="inlineStr">
        <is>
          <t>MK00208</t>
        </is>
      </c>
      <c r="B1905" s="27" t="n">
        <v>528000310</v>
      </c>
      <c r="C1905" s="27" t="inlineStr">
        <is>
          <t>Fachrul Rozzi Suryana</t>
        </is>
      </c>
      <c r="D1905" s="171" t="n">
        <v>46229.41666666666</v>
      </c>
      <c r="E1905" s="26" t="n">
        <v>0.6672106481481481</v>
      </c>
      <c r="F1905" s="27" t="inlineStr">
        <is>
          <t>Shift 2</t>
        </is>
      </c>
      <c r="G1905" s="27" t="inlineStr">
        <is>
          <t>33E</t>
        </is>
      </c>
    </row>
    <row r="1906">
      <c r="A1906" s="27" t="inlineStr">
        <is>
          <t>MK00112</t>
        </is>
      </c>
      <c r="B1906" s="27" t="n">
        <v>528000351</v>
      </c>
      <c r="C1906" s="27" t="inlineStr">
        <is>
          <t>Mulyana</t>
        </is>
      </c>
      <c r="D1906" s="171" t="n">
        <v>46229.41666666666</v>
      </c>
      <c r="E1906" s="26" t="n">
        <v>0.6672685185185185</v>
      </c>
      <c r="F1906" s="27" t="inlineStr">
        <is>
          <t>Shift 2</t>
        </is>
      </c>
      <c r="G1906" s="27" t="n"/>
    </row>
    <row r="1907">
      <c r="A1907" s="27" t="inlineStr">
        <is>
          <t>MK00145</t>
        </is>
      </c>
      <c r="B1907" s="27" t="n">
        <v>528000265</v>
      </c>
      <c r="C1907" s="27" t="inlineStr">
        <is>
          <t>Muhammad Haerul Rozikin</t>
        </is>
      </c>
      <c r="D1907" s="171" t="n">
        <v>46229.41666666666</v>
      </c>
      <c r="E1907" s="26" t="n">
        <v>0.669074074074074</v>
      </c>
      <c r="F1907" s="27" t="inlineStr">
        <is>
          <t>Shift 2</t>
        </is>
      </c>
      <c r="G1907" s="27" t="n"/>
    </row>
    <row r="1908">
      <c r="A1908" s="27" t="inlineStr">
        <is>
          <t>MK00221</t>
        </is>
      </c>
      <c r="B1908" s="27" t="n">
        <v>528000144</v>
      </c>
      <c r="C1908" s="27" t="inlineStr">
        <is>
          <t>Jodi Hanafi</t>
        </is>
      </c>
      <c r="D1908" s="171" t="n">
        <v>46229.41666666666</v>
      </c>
      <c r="E1908" s="26" t="n">
        <v>0.6720023148148148</v>
      </c>
      <c r="F1908" s="27" t="inlineStr">
        <is>
          <t>Shift 2</t>
        </is>
      </c>
      <c r="G1908" s="27" t="n"/>
    </row>
    <row r="1909">
      <c r="A1909" s="27" t="inlineStr">
        <is>
          <t>MK00181</t>
        </is>
      </c>
      <c r="B1909" s="27" t="n">
        <v>528000282</v>
      </c>
      <c r="C1909" s="27" t="inlineStr">
        <is>
          <t>Defa Desfiana</t>
        </is>
      </c>
      <c r="D1909" s="171" t="n">
        <v>46229.41666666666</v>
      </c>
      <c r="E1909" s="26" t="n">
        <v>0.6759143518518519</v>
      </c>
      <c r="F1909" s="27" t="inlineStr">
        <is>
          <t>Shift 2</t>
        </is>
      </c>
      <c r="G1909" s="27" t="inlineStr">
        <is>
          <t>32c</t>
        </is>
      </c>
    </row>
    <row r="1910">
      <c r="A1910" s="27" t="inlineStr">
        <is>
          <t>MK00082</t>
        </is>
      </c>
      <c r="B1910" s="27" t="n">
        <v>528000296</v>
      </c>
      <c r="C1910" s="27" t="inlineStr">
        <is>
          <t>Nurdin</t>
        </is>
      </c>
      <c r="D1910" s="171" t="n">
        <v>46229.41666666666</v>
      </c>
      <c r="E1910" s="26" t="n">
        <v>0.7106018518518519</v>
      </c>
      <c r="F1910" s="27" t="inlineStr">
        <is>
          <t>Shift 2</t>
        </is>
      </c>
      <c r="G1910" s="27" t="n"/>
    </row>
    <row r="1911">
      <c r="A1911" s="27" t="inlineStr">
        <is>
          <t>MK00141</t>
        </is>
      </c>
      <c r="B1911" s="27" t="n">
        <v>528000040</v>
      </c>
      <c r="C1911" s="27" t="inlineStr">
        <is>
          <t>Agus Suryaman</t>
        </is>
      </c>
      <c r="D1911" s="171" t="n">
        <v>46229.41666666666</v>
      </c>
      <c r="E1911" s="26" t="n">
        <v>0.7145254629629629</v>
      </c>
      <c r="F1911" s="27" t="inlineStr">
        <is>
          <t>Shift 2</t>
        </is>
      </c>
      <c r="G1911" s="27" t="n"/>
    </row>
    <row r="1912">
      <c r="A1912" s="27" t="inlineStr">
        <is>
          <t>MK00205</t>
        </is>
      </c>
      <c r="B1912" s="27" t="n">
        <v>528000348</v>
      </c>
      <c r="C1912" s="27" t="inlineStr">
        <is>
          <t>Saepuloh Ardiansah</t>
        </is>
      </c>
      <c r="D1912" s="171" t="n">
        <v>46229.41666666666</v>
      </c>
      <c r="E1912" s="26" t="n">
        <v>0.7189583333333334</v>
      </c>
      <c r="F1912" s="27" t="inlineStr">
        <is>
          <t>Shift 2</t>
        </is>
      </c>
      <c r="G1912" s="27" t="n"/>
    </row>
    <row r="1913">
      <c r="A1913" s="27" t="inlineStr">
        <is>
          <t>MK00202</t>
        </is>
      </c>
      <c r="B1913" s="27" t="n">
        <v>528000212</v>
      </c>
      <c r="C1913" s="27" t="inlineStr">
        <is>
          <t>Rizal Fauzi</t>
        </is>
      </c>
      <c r="D1913" s="171" t="n">
        <v>46229.41666666666</v>
      </c>
      <c r="E1913" s="26" t="n">
        <v>0.8153935185185185</v>
      </c>
      <c r="F1913" s="27" t="inlineStr">
        <is>
          <t>Shift 2</t>
        </is>
      </c>
      <c r="G1913" s="27" t="n"/>
    </row>
    <row r="1914">
      <c r="A1914" s="27" t="inlineStr">
        <is>
          <t>MK00138</t>
        </is>
      </c>
      <c r="B1914" s="27" t="n">
        <v>528000069</v>
      </c>
      <c r="C1914" s="27" t="inlineStr">
        <is>
          <t>Jajang Ardiansyah</t>
        </is>
      </c>
      <c r="D1914" s="171" t="n">
        <v>46229.41666666666</v>
      </c>
      <c r="E1914" s="26" t="n">
        <v>0.8508680555555556</v>
      </c>
      <c r="F1914" s="27" t="inlineStr">
        <is>
          <t>Shift 2</t>
        </is>
      </c>
      <c r="G1914" s="27" t="n"/>
    </row>
    <row r="1915">
      <c r="A1915" s="27" t="inlineStr">
        <is>
          <t>MK00150</t>
        </is>
      </c>
      <c r="B1915" s="27" t="n">
        <v>528000232</v>
      </c>
      <c r="C1915" s="27" t="inlineStr">
        <is>
          <t>Agung Aji Suhada</t>
        </is>
      </c>
      <c r="D1915" s="171" t="n">
        <v>46229.41666666666</v>
      </c>
      <c r="E1915" s="26" t="n">
        <v>0.917962962962963</v>
      </c>
      <c r="F1915" s="27" t="inlineStr">
        <is>
          <t>Shift 2</t>
        </is>
      </c>
      <c r="G1915" s="27" t="n"/>
    </row>
    <row r="1916">
      <c r="A1916" s="27" t="inlineStr">
        <is>
          <t>MK00235</t>
        </is>
      </c>
      <c r="B1916" s="27" t="n">
        <v>528000248</v>
      </c>
      <c r="C1916" s="27" t="inlineStr">
        <is>
          <t>Roka Jaya Salka Mulya</t>
        </is>
      </c>
      <c r="D1916" s="171" t="n">
        <v>46229.41666666666</v>
      </c>
      <c r="E1916" s="26" t="n">
        <v>0.919525462962963</v>
      </c>
      <c r="F1916" s="27" t="inlineStr">
        <is>
          <t>Shift 2</t>
        </is>
      </c>
      <c r="G1916" s="27" t="n"/>
    </row>
    <row r="1917">
      <c r="A1917" s="27" t="inlineStr">
        <is>
          <t>MK00160</t>
        </is>
      </c>
      <c r="B1917" s="27" t="n">
        <v>528000324</v>
      </c>
      <c r="C1917" s="27" t="inlineStr">
        <is>
          <t>Sri Yanti</t>
        </is>
      </c>
      <c r="D1917" s="171" t="n">
        <v>46229.41666666666</v>
      </c>
      <c r="E1917" s="26" t="n">
        <v>0.9200925925925926</v>
      </c>
      <c r="F1917" s="27" t="inlineStr">
        <is>
          <t>Shift 2</t>
        </is>
      </c>
      <c r="G1917" s="27" t="n"/>
    </row>
    <row r="1918">
      <c r="A1918" s="27" t="inlineStr">
        <is>
          <t>MK00154</t>
        </is>
      </c>
      <c r="B1918" s="27" t="n">
        <v>528000300</v>
      </c>
      <c r="C1918" s="27" t="inlineStr">
        <is>
          <t>Lia pitaloka</t>
        </is>
      </c>
      <c r="D1918" s="171" t="n">
        <v>46229.41666666666</v>
      </c>
      <c r="E1918" s="26" t="n">
        <v>0.9208912037037037</v>
      </c>
      <c r="F1918" s="27" t="inlineStr">
        <is>
          <t>Shift 2</t>
        </is>
      </c>
      <c r="G1918" s="27" t="n"/>
    </row>
    <row r="1919">
      <c r="A1919" s="27" t="inlineStr">
        <is>
          <t>MK00121</t>
        </is>
      </c>
      <c r="B1919" s="27" t="n">
        <v>628000064</v>
      </c>
      <c r="C1919" s="27" t="inlineStr">
        <is>
          <t>Silva Alypia</t>
        </is>
      </c>
      <c r="D1919" s="171" t="n">
        <v>46229.41666666666</v>
      </c>
      <c r="E1919" s="26" t="n">
        <v>0.9209606481481482</v>
      </c>
      <c r="F1919" s="27" t="inlineStr">
        <is>
          <t>Shift 2</t>
        </is>
      </c>
      <c r="G1919" s="27" t="n"/>
    </row>
    <row r="1920">
      <c r="A1920" s="27" t="inlineStr">
        <is>
          <t>MK00213</t>
        </is>
      </c>
      <c r="B1920" s="27" t="n">
        <v>528000279</v>
      </c>
      <c r="C1920" s="27" t="inlineStr">
        <is>
          <t>Mahdalena Dalfa Riani</t>
        </is>
      </c>
      <c r="D1920" s="171" t="n">
        <v>46229.41666666666</v>
      </c>
      <c r="E1920" s="26" t="n">
        <v>0.9214583333333334</v>
      </c>
      <c r="F1920" s="27" t="inlineStr">
        <is>
          <t>Shift 2</t>
        </is>
      </c>
      <c r="G1920" s="27" t="n"/>
    </row>
    <row r="1921">
      <c r="A1921" s="27" t="inlineStr">
        <is>
          <t>MK00218</t>
        </is>
      </c>
      <c r="B1921" s="27" t="n">
        <v>528000323</v>
      </c>
      <c r="C1921" s="27" t="inlineStr">
        <is>
          <t>Dian Hamidah</t>
        </is>
      </c>
      <c r="D1921" s="171" t="n">
        <v>46229.41666666666</v>
      </c>
      <c r="E1921" s="26" t="n">
        <v>0.9227546296296296</v>
      </c>
      <c r="F1921" s="27" t="inlineStr">
        <is>
          <t>Shift 2</t>
        </is>
      </c>
      <c r="G1921" s="27" t="n"/>
    </row>
    <row r="1922">
      <c r="A1922" s="27" t="inlineStr">
        <is>
          <t>MK00217</t>
        </is>
      </c>
      <c r="B1922" s="27" t="n">
        <v>528000297</v>
      </c>
      <c r="C1922" s="27" t="inlineStr">
        <is>
          <t>Muhamad Budiana</t>
        </is>
      </c>
      <c r="D1922" s="171" t="n">
        <v>46229.41666666666</v>
      </c>
      <c r="E1922" s="26" t="n">
        <v>0.9780555555555556</v>
      </c>
      <c r="F1922" s="27" t="inlineStr">
        <is>
          <t>Shift 2</t>
        </is>
      </c>
      <c r="G1922" s="27" t="n"/>
    </row>
    <row r="1923">
      <c r="A1923" s="27" t="inlineStr">
        <is>
          <t>MK00093</t>
        </is>
      </c>
      <c r="B1923" s="27" t="n">
        <v>528000267</v>
      </c>
      <c r="C1923" s="27" t="inlineStr">
        <is>
          <t>Bagas Patulloh</t>
        </is>
      </c>
      <c r="D1923" s="171" t="n">
        <v>46230.41666666666</v>
      </c>
      <c r="E1923" s="26" t="n">
        <v>0.001863425925925926</v>
      </c>
      <c r="F1923" s="27" t="inlineStr">
        <is>
          <t>Shift 3</t>
        </is>
      </c>
      <c r="G1923" s="27" t="n"/>
    </row>
    <row r="1924">
      <c r="A1924" s="27" t="inlineStr">
        <is>
          <t>MK00208</t>
        </is>
      </c>
      <c r="B1924" s="27" t="n">
        <v>528000241</v>
      </c>
      <c r="C1924" s="27" t="inlineStr">
        <is>
          <t>Balia Nurafif Bilah</t>
        </is>
      </c>
      <c r="D1924" s="171" t="n">
        <v>46230.41666666666</v>
      </c>
      <c r="E1924" s="26" t="n">
        <v>0.2524768518518519</v>
      </c>
      <c r="F1924" s="27" t="inlineStr">
        <is>
          <t>Shift 3</t>
        </is>
      </c>
      <c r="G1924" s="27" t="n"/>
    </row>
    <row r="1925">
      <c r="A1925" s="27" t="inlineStr">
        <is>
          <t>MK00181</t>
        </is>
      </c>
      <c r="B1925" s="27" t="n">
        <v>528000274</v>
      </c>
      <c r="C1925" s="27" t="inlineStr">
        <is>
          <t>Zepri</t>
        </is>
      </c>
      <c r="D1925" s="171" t="n">
        <v>46230.41666666666</v>
      </c>
      <c r="E1925" s="26" t="n">
        <v>0.2527083333333333</v>
      </c>
      <c r="F1925" s="27" t="inlineStr">
        <is>
          <t>Shift 3</t>
        </is>
      </c>
      <c r="G1925" s="27" t="n"/>
    </row>
    <row r="1926">
      <c r="A1926" s="27" t="inlineStr">
        <is>
          <t>MK00249</t>
        </is>
      </c>
      <c r="B1926" s="27" t="n">
        <v>528000290</v>
      </c>
      <c r="C1926" s="27" t="inlineStr">
        <is>
          <t>Eval Pranata</t>
        </is>
      </c>
      <c r="D1926" s="171" t="n">
        <v>46230.41666666666</v>
      </c>
      <c r="E1926" s="26" t="n">
        <v>0.252974537037037</v>
      </c>
      <c r="F1926" s="27" t="inlineStr">
        <is>
          <t>Shift 3</t>
        </is>
      </c>
      <c r="G1926" s="27" t="n"/>
    </row>
    <row r="1927">
      <c r="A1927" s="27" t="inlineStr">
        <is>
          <t>MK00202</t>
        </is>
      </c>
      <c r="B1927" s="27" t="n">
        <v>528000201</v>
      </c>
      <c r="C1927" s="27" t="inlineStr">
        <is>
          <t>Zahwa Amelia Choerunissa</t>
        </is>
      </c>
      <c r="D1927" s="171" t="n">
        <v>46230.41666666666</v>
      </c>
      <c r="E1927" s="26" t="n">
        <v>0.2532291666666667</v>
      </c>
      <c r="F1927" s="27" t="inlineStr">
        <is>
          <t>Shift 3</t>
        </is>
      </c>
      <c r="G1927" s="27" t="n"/>
    </row>
    <row r="1928">
      <c r="A1928" s="27" t="inlineStr">
        <is>
          <t>MK00209</t>
        </is>
      </c>
      <c r="B1928" s="27" t="n">
        <v>528000273</v>
      </c>
      <c r="C1928" s="27" t="inlineStr">
        <is>
          <t>Asep Mulyana</t>
        </is>
      </c>
      <c r="D1928" s="171" t="n">
        <v>46230.41666666666</v>
      </c>
      <c r="E1928" s="26" t="n">
        <v>0.2539236111111111</v>
      </c>
      <c r="F1928" s="27" t="inlineStr">
        <is>
          <t>Shift 3</t>
        </is>
      </c>
      <c r="G1928" s="27" t="n"/>
    </row>
    <row r="1929">
      <c r="A1929" s="27" t="inlineStr">
        <is>
          <t>MK00212</t>
        </is>
      </c>
      <c r="B1929" s="27" t="n">
        <v>528000228</v>
      </c>
      <c r="C1929" s="27" t="inlineStr">
        <is>
          <t>Banyu Resmi Putri</t>
        </is>
      </c>
      <c r="D1929" s="171" t="n">
        <v>46230.41666666666</v>
      </c>
      <c r="E1929" s="26" t="n">
        <v>0.2543402777777778</v>
      </c>
      <c r="F1929" s="27" t="inlineStr">
        <is>
          <t>Shift 3</t>
        </is>
      </c>
      <c r="G1929" s="27" t="n"/>
    </row>
    <row r="1930">
      <c r="A1930" s="27" t="inlineStr">
        <is>
          <t>MK00185</t>
        </is>
      </c>
      <c r="B1930" s="27" t="n">
        <v>528000286</v>
      </c>
      <c r="C1930" s="27" t="inlineStr">
        <is>
          <t>Imelda Amelia</t>
        </is>
      </c>
      <c r="D1930" s="171" t="n">
        <v>46230.41666666666</v>
      </c>
      <c r="E1930" s="26" t="n">
        <v>0.2556481481481481</v>
      </c>
      <c r="F1930" s="27" t="inlineStr">
        <is>
          <t>Shift 3</t>
        </is>
      </c>
      <c r="G1930" s="27" t="n"/>
    </row>
    <row r="1931">
      <c r="A1931" s="27" t="inlineStr">
        <is>
          <t>MK00138</t>
        </is>
      </c>
      <c r="B1931" s="27" t="n">
        <v>528000339</v>
      </c>
      <c r="C1931" s="27" t="inlineStr">
        <is>
          <t>Muhamad Ripai'i</t>
        </is>
      </c>
      <c r="D1931" s="171" t="n">
        <v>46230.41666666666</v>
      </c>
      <c r="E1931" s="26" t="n">
        <v>0.2559490740740741</v>
      </c>
      <c r="F1931" s="27" t="inlineStr">
        <is>
          <t>Shift 3</t>
        </is>
      </c>
      <c r="G1931" s="27" t="n"/>
    </row>
    <row r="1932">
      <c r="A1932" s="27" t="inlineStr">
        <is>
          <t>MK00112</t>
        </is>
      </c>
      <c r="B1932" s="27" t="n">
        <v>528000090</v>
      </c>
      <c r="C1932" s="27" t="inlineStr">
        <is>
          <t>Suganda</t>
        </is>
      </c>
      <c r="D1932" s="171" t="n">
        <v>46230.41666666666</v>
      </c>
      <c r="E1932" s="26" t="n">
        <v>0.2689699074074074</v>
      </c>
      <c r="F1932" s="27" t="inlineStr">
        <is>
          <t>Shift 3</t>
        </is>
      </c>
      <c r="G1932" s="27" t="n"/>
    </row>
    <row r="1933">
      <c r="A1933" s="27" t="inlineStr">
        <is>
          <t>MK00008</t>
        </is>
      </c>
      <c r="B1933" s="27" t="n">
        <v>528000244</v>
      </c>
      <c r="C1933" s="27" t="inlineStr">
        <is>
          <t>Rodian Rifai</t>
        </is>
      </c>
      <c r="D1933" s="171" t="n">
        <v>46230.41666666666</v>
      </c>
      <c r="E1933" s="26" t="n">
        <v>0.2891550925925926</v>
      </c>
      <c r="F1933" s="27" t="inlineStr">
        <is>
          <t>Shift 3</t>
        </is>
      </c>
      <c r="G1933" s="27" t="n"/>
    </row>
    <row r="1934">
      <c r="A1934" s="27" t="inlineStr">
        <is>
          <t>MK00145</t>
        </is>
      </c>
      <c r="B1934" s="27" t="n">
        <v>528000289</v>
      </c>
      <c r="C1934" s="27" t="inlineStr">
        <is>
          <t>Adit Supriyadi</t>
        </is>
      </c>
      <c r="D1934" s="171" t="n">
        <v>46230.41666666666</v>
      </c>
      <c r="E1934" s="26" t="n">
        <v>0.3169328703703704</v>
      </c>
      <c r="F1934" s="27" t="inlineStr">
        <is>
          <t>Shift 3</t>
        </is>
      </c>
      <c r="G1934" s="27" t="n"/>
    </row>
    <row r="1935">
      <c r="A1935" s="27" t="inlineStr">
        <is>
          <t>MK0130</t>
        </is>
      </c>
      <c r="B1935" s="27" t="n">
        <v>528000149</v>
      </c>
      <c r="C1935" s="27" t="inlineStr">
        <is>
          <t>Tio Fernanda</t>
        </is>
      </c>
      <c r="D1935" s="171" t="n">
        <v>46230.41666666666</v>
      </c>
      <c r="E1935" s="26" t="n">
        <v>0.3679050925925926</v>
      </c>
      <c r="F1935" s="27" t="inlineStr">
        <is>
          <t>Shift 1</t>
        </is>
      </c>
      <c r="G1935" s="27" t="n"/>
    </row>
    <row r="1936">
      <c r="A1936" s="27" t="inlineStr">
        <is>
          <t>MK00088</t>
        </is>
      </c>
      <c r="B1936" s="27" t="n">
        <v>528000015</v>
      </c>
      <c r="C1936" s="27" t="inlineStr">
        <is>
          <t>Erwin</t>
        </is>
      </c>
      <c r="D1936" s="171" t="n">
        <v>46230.41666666666</v>
      </c>
      <c r="E1936" s="26" t="n">
        <v>0.5782291666666667</v>
      </c>
      <c r="F1936" s="27" t="inlineStr">
        <is>
          <t>Shift 1</t>
        </is>
      </c>
      <c r="G1936" s="27" t="n"/>
    </row>
    <row r="1937">
      <c r="A1937" s="27" t="inlineStr">
        <is>
          <t>MK00121</t>
        </is>
      </c>
      <c r="B1937" s="27" t="n">
        <v>528000310</v>
      </c>
      <c r="C1937" s="27" t="inlineStr">
        <is>
          <t>Fachrul Rozzi Suryana</t>
        </is>
      </c>
      <c r="D1937" s="171" t="n">
        <v>46230.41666666666</v>
      </c>
      <c r="E1937" s="26" t="n">
        <v>0.5837268518518518</v>
      </c>
      <c r="F1937" s="27" t="inlineStr">
        <is>
          <t>Shift 1</t>
        </is>
      </c>
      <c r="G1937" s="27" t="inlineStr">
        <is>
          <t>10D</t>
        </is>
      </c>
    </row>
    <row r="1938">
      <c r="A1938" s="27" t="inlineStr">
        <is>
          <t>MK00192</t>
        </is>
      </c>
      <c r="B1938" s="27" t="n">
        <v>528000282</v>
      </c>
      <c r="C1938" s="27" t="inlineStr">
        <is>
          <t>Defa Desfiana</t>
        </is>
      </c>
      <c r="D1938" s="171" t="n">
        <v>46230.41666666666</v>
      </c>
      <c r="E1938" s="26" t="n">
        <v>0.5840162037037037</v>
      </c>
      <c r="F1938" s="27" t="inlineStr">
        <is>
          <t>Shift 1</t>
        </is>
      </c>
      <c r="G1938" s="27" t="inlineStr">
        <is>
          <t>3a</t>
        </is>
      </c>
    </row>
    <row r="1939">
      <c r="A1939" s="27" t="inlineStr">
        <is>
          <t>MK00210</t>
        </is>
      </c>
      <c r="B1939" s="27" t="n">
        <v>528000305</v>
      </c>
      <c r="C1939" s="27" t="inlineStr">
        <is>
          <t>Puji Puspita</t>
        </is>
      </c>
      <c r="D1939" s="171" t="n">
        <v>46230.41666666666</v>
      </c>
      <c r="E1939" s="26" t="n">
        <v>0.5852199074074074</v>
      </c>
      <c r="F1939" s="27" t="inlineStr">
        <is>
          <t>Shift 1</t>
        </is>
      </c>
      <c r="G1939" s="27" t="n"/>
    </row>
    <row r="1940">
      <c r="A1940" s="27" t="inlineStr">
        <is>
          <t>MK00217</t>
        </is>
      </c>
      <c r="B1940" s="27" t="n">
        <v>528000318</v>
      </c>
      <c r="C1940" s="27" t="inlineStr">
        <is>
          <t>Bayu Padli Sepriyana</t>
        </is>
      </c>
      <c r="D1940" s="171" t="n">
        <v>46230.41666666666</v>
      </c>
      <c r="E1940" s="26" t="n">
        <v>0.5857638888888889</v>
      </c>
      <c r="F1940" s="27" t="inlineStr">
        <is>
          <t>Shift 1</t>
        </is>
      </c>
      <c r="G1940" s="27" t="n"/>
    </row>
    <row r="1941">
      <c r="A1941" s="27" t="inlineStr">
        <is>
          <t>MK00154</t>
        </is>
      </c>
      <c r="B1941" s="27" t="n">
        <v>528000309</v>
      </c>
      <c r="C1941" s="27" t="inlineStr">
        <is>
          <t>Ilham Ramadhan</t>
        </is>
      </c>
      <c r="D1941" s="171" t="n">
        <v>46230.41666666666</v>
      </c>
      <c r="E1941" s="26" t="n">
        <v>0.5858333333333333</v>
      </c>
      <c r="F1941" s="27" t="inlineStr">
        <is>
          <t>Shift 1</t>
        </is>
      </c>
      <c r="G1941" s="27" t="n"/>
    </row>
    <row r="1942">
      <c r="A1942" s="27" t="inlineStr">
        <is>
          <t>MK00203</t>
        </is>
      </c>
      <c r="B1942" s="27" t="n">
        <v>528000265</v>
      </c>
      <c r="C1942" s="27" t="inlineStr">
        <is>
          <t>Muhammad Haerul Rozikin</t>
        </is>
      </c>
      <c r="D1942" s="171" t="n">
        <v>46230.41666666666</v>
      </c>
      <c r="E1942" s="26" t="n">
        <v>0.5861342592592592</v>
      </c>
      <c r="F1942" s="27" t="inlineStr">
        <is>
          <t>Shift 1</t>
        </is>
      </c>
      <c r="G1942" s="27" t="n"/>
    </row>
    <row r="1943">
      <c r="A1943" s="27" t="inlineStr">
        <is>
          <t>MK00108</t>
        </is>
      </c>
      <c r="B1943" s="27" t="n">
        <v>528000298</v>
      </c>
      <c r="C1943" s="27" t="inlineStr">
        <is>
          <t>Desta Cahaya Pratama</t>
        </is>
      </c>
      <c r="D1943" s="171" t="n">
        <v>46230.41666666666</v>
      </c>
      <c r="E1943" s="26" t="n">
        <v>0.58625</v>
      </c>
      <c r="F1943" s="27" t="inlineStr">
        <is>
          <t>Shift 1</t>
        </is>
      </c>
      <c r="G1943" s="27" t="n"/>
    </row>
    <row r="1944">
      <c r="A1944" s="27" t="inlineStr">
        <is>
          <t>MK00208</t>
        </is>
      </c>
      <c r="B1944" s="27" t="n">
        <v>528000340</v>
      </c>
      <c r="C1944" s="27" t="inlineStr">
        <is>
          <t>Muhammad Wildan Adithya</t>
        </is>
      </c>
      <c r="D1944" s="171" t="n">
        <v>46230.41666666666</v>
      </c>
      <c r="E1944" s="26" t="n">
        <v>0.5867708333333334</v>
      </c>
      <c r="F1944" s="27" t="inlineStr">
        <is>
          <t>Shift 1</t>
        </is>
      </c>
      <c r="G1944" s="27" t="n"/>
    </row>
    <row r="1945">
      <c r="A1945" s="27" t="inlineStr">
        <is>
          <t>MK00109</t>
        </is>
      </c>
      <c r="B1945" s="27" t="n">
        <v>528000322</v>
      </c>
      <c r="C1945" s="27" t="inlineStr">
        <is>
          <t>Muhamad Aliludin</t>
        </is>
      </c>
      <c r="D1945" s="171" t="n">
        <v>46230.41666666666</v>
      </c>
      <c r="E1945" s="26" t="n">
        <v>0.5872222222222222</v>
      </c>
      <c r="F1945" s="27" t="inlineStr">
        <is>
          <t>Shift 1</t>
        </is>
      </c>
      <c r="G1945" s="27" t="n"/>
    </row>
    <row r="1946">
      <c r="A1946" s="27" t="inlineStr">
        <is>
          <t>MK00184</t>
        </is>
      </c>
      <c r="B1946" s="27" t="n">
        <v>528000299</v>
      </c>
      <c r="C1946" s="27" t="inlineStr">
        <is>
          <t>Siti Nurjanah</t>
        </is>
      </c>
      <c r="D1946" s="171" t="n">
        <v>46230.41666666666</v>
      </c>
      <c r="E1946" s="26" t="n">
        <v>0.5878935185185186</v>
      </c>
      <c r="F1946" s="27" t="inlineStr">
        <is>
          <t>Shift 1</t>
        </is>
      </c>
      <c r="G1946" s="27" t="n"/>
    </row>
    <row r="1947">
      <c r="A1947" s="27" t="inlineStr">
        <is>
          <t>MK00090</t>
        </is>
      </c>
      <c r="B1947" s="27" t="n">
        <v>528000270</v>
      </c>
      <c r="C1947" s="27" t="inlineStr">
        <is>
          <t>Febri Najmudin</t>
        </is>
      </c>
      <c r="D1947" s="171" t="n">
        <v>46230.41666666666</v>
      </c>
      <c r="E1947" s="26" t="n">
        <v>0.6025231481481481</v>
      </c>
      <c r="F1947" s="27" t="inlineStr">
        <is>
          <t>Shift 1</t>
        </is>
      </c>
      <c r="G1947" s="27" t="n"/>
    </row>
    <row r="1948">
      <c r="A1948" s="27" t="inlineStr">
        <is>
          <t>MK00218</t>
        </is>
      </c>
      <c r="B1948" s="27" t="n">
        <v>528000361</v>
      </c>
      <c r="C1948" s="27" t="inlineStr">
        <is>
          <t>Denada Munggarani</t>
        </is>
      </c>
      <c r="D1948" s="171" t="n">
        <v>46230.41666666666</v>
      </c>
      <c r="E1948" s="26" t="n">
        <v>0.6066550925925925</v>
      </c>
      <c r="F1948" s="27" t="inlineStr">
        <is>
          <t>Shift 1</t>
        </is>
      </c>
      <c r="G1948" s="27" t="n"/>
    </row>
    <row r="1949">
      <c r="A1949" s="27" t="inlineStr">
        <is>
          <t>MK00145</t>
        </is>
      </c>
      <c r="B1949" s="27" t="n">
        <v>528000351</v>
      </c>
      <c r="C1949" s="27" t="inlineStr">
        <is>
          <t>Mulyana</t>
        </is>
      </c>
      <c r="D1949" s="171" t="n">
        <v>46230.41666666666</v>
      </c>
      <c r="E1949" s="26" t="n">
        <v>0.667349537037037</v>
      </c>
      <c r="F1949" s="27" t="inlineStr">
        <is>
          <t>Shift 2</t>
        </is>
      </c>
      <c r="G1949" s="27" t="n"/>
    </row>
    <row r="1950">
      <c r="A1950" s="27" t="inlineStr">
        <is>
          <t>MK00204</t>
        </is>
      </c>
      <c r="B1950" s="27" t="n">
        <v>528000335</v>
      </c>
      <c r="C1950" s="27" t="inlineStr">
        <is>
          <t>Rizal Saepuloh</t>
        </is>
      </c>
      <c r="D1950" s="171" t="n">
        <v>46230.41666666666</v>
      </c>
      <c r="E1950" s="26" t="n">
        <v>0.6676620370370371</v>
      </c>
      <c r="F1950" s="27" t="inlineStr">
        <is>
          <t>Shift 2</t>
        </is>
      </c>
      <c r="G1950" s="27" t="n"/>
    </row>
    <row r="1951">
      <c r="A1951" s="27" t="inlineStr">
        <is>
          <t>MK00205</t>
        </is>
      </c>
      <c r="B1951" s="27" t="n">
        <v>528000348</v>
      </c>
      <c r="C1951" s="27" t="inlineStr">
        <is>
          <t>Saepuloh Ardiansah</t>
        </is>
      </c>
      <c r="D1951" s="171" t="n">
        <v>46230.41666666666</v>
      </c>
      <c r="E1951" s="26" t="n">
        <v>0.7225925925925926</v>
      </c>
      <c r="F1951" s="27" t="inlineStr">
        <is>
          <t>Shift 2</t>
        </is>
      </c>
      <c r="G1951" s="27" t="n"/>
    </row>
    <row r="1952">
      <c r="A1952" s="27" t="inlineStr">
        <is>
          <t>MK00221</t>
        </is>
      </c>
      <c r="B1952" s="27" t="n">
        <v>528000144</v>
      </c>
      <c r="C1952" s="27" t="inlineStr">
        <is>
          <t>Jodi Hanafi</t>
        </is>
      </c>
      <c r="D1952" s="171" t="n">
        <v>46230.41666666666</v>
      </c>
      <c r="E1952" s="26" t="n">
        <v>0.7509606481481481</v>
      </c>
      <c r="F1952" s="27" t="inlineStr">
        <is>
          <t>Shift 2</t>
        </is>
      </c>
      <c r="G1952" s="27" t="n"/>
    </row>
    <row r="1953">
      <c r="A1953" s="27" t="inlineStr">
        <is>
          <t>MK00202</t>
        </is>
      </c>
      <c r="B1953" s="27" t="n">
        <v>528000349</v>
      </c>
      <c r="C1953" s="27" t="inlineStr">
        <is>
          <t>Anas Abdul Fatah</t>
        </is>
      </c>
      <c r="D1953" s="171" t="n">
        <v>46230.41666666666</v>
      </c>
      <c r="E1953" s="26" t="n">
        <v>0.7575694444444444</v>
      </c>
      <c r="F1953" s="27" t="inlineStr">
        <is>
          <t>Shift 2</t>
        </is>
      </c>
      <c r="G1953" s="27" t="n"/>
    </row>
    <row r="1954">
      <c r="A1954" s="27" t="inlineStr">
        <is>
          <t>MK00136</t>
        </is>
      </c>
      <c r="B1954" s="27" t="n">
        <v>528000248</v>
      </c>
      <c r="C1954" s="27" t="inlineStr">
        <is>
          <t>Roka Jaya Salka Mulya</t>
        </is>
      </c>
      <c r="D1954" s="171" t="n">
        <v>46230.41666666666</v>
      </c>
      <c r="E1954" s="26" t="n">
        <v>0.9183449074074074</v>
      </c>
      <c r="F1954" s="27" t="inlineStr">
        <is>
          <t>Shift 2</t>
        </is>
      </c>
      <c r="G1954" s="27" t="n"/>
    </row>
    <row r="1955">
      <c r="A1955" s="27" t="inlineStr">
        <is>
          <t>MK00213</t>
        </is>
      </c>
      <c r="B1955" s="27" t="n">
        <v>528000306</v>
      </c>
      <c r="C1955" s="27" t="inlineStr">
        <is>
          <t>Windy Olivia</t>
        </is>
      </c>
      <c r="D1955" s="171" t="n">
        <v>46230.41666666666</v>
      </c>
      <c r="E1955" s="26" t="n">
        <v>0.9194560185185185</v>
      </c>
      <c r="F1955" s="27" t="inlineStr">
        <is>
          <t>Shift 2</t>
        </is>
      </c>
      <c r="G1955" s="27" t="n"/>
    </row>
    <row r="1956">
      <c r="A1956" s="27" t="inlineStr">
        <is>
          <t>MK00186</t>
        </is>
      </c>
      <c r="B1956" s="27" t="n">
        <v>628000064</v>
      </c>
      <c r="C1956" s="27" t="inlineStr">
        <is>
          <t>Silva Alypia</t>
        </is>
      </c>
      <c r="D1956" s="171" t="n">
        <v>46230.41666666666</v>
      </c>
      <c r="E1956" s="26" t="n">
        <v>0.919525462962963</v>
      </c>
      <c r="F1956" s="27" t="inlineStr">
        <is>
          <t>Shift 2</t>
        </is>
      </c>
      <c r="G1956" s="27" t="n"/>
    </row>
    <row r="1957">
      <c r="A1957" s="27" t="inlineStr">
        <is>
          <t>MK00230</t>
        </is>
      </c>
      <c r="B1957" s="27" t="n">
        <v>528000279</v>
      </c>
      <c r="C1957" s="27" t="inlineStr">
        <is>
          <t>Mahdalena Dalfa Riani</t>
        </is>
      </c>
      <c r="D1957" s="171" t="n">
        <v>46230.41666666666</v>
      </c>
      <c r="E1957" s="26" t="n">
        <v>0.9213194444444445</v>
      </c>
      <c r="F1957" s="27" t="inlineStr">
        <is>
          <t>Shift 2</t>
        </is>
      </c>
      <c r="G1957" s="27" t="n"/>
    </row>
    <row r="1958">
      <c r="A1958" s="27" t="inlineStr">
        <is>
          <t>MK00143</t>
        </is>
      </c>
      <c r="B1958" s="27" t="n">
        <v>528000300</v>
      </c>
      <c r="C1958" s="27" t="inlineStr">
        <is>
          <t>Lia pitaloka</t>
        </is>
      </c>
      <c r="D1958" s="171" t="n">
        <v>46230.41666666666</v>
      </c>
      <c r="E1958" s="26" t="n">
        <v>0.9219328703703704</v>
      </c>
      <c r="F1958" s="27" t="inlineStr">
        <is>
          <t>Shift 2</t>
        </is>
      </c>
      <c r="G1958" s="27" t="n"/>
    </row>
    <row r="1959">
      <c r="A1959" s="27" t="inlineStr">
        <is>
          <t>MK00160</t>
        </is>
      </c>
      <c r="B1959" s="27" t="n">
        <v>528000323</v>
      </c>
      <c r="C1959" s="27" t="inlineStr">
        <is>
          <t>Dian Hamidah</t>
        </is>
      </c>
      <c r="D1959" s="171" t="n">
        <v>46230.41666666666</v>
      </c>
      <c r="E1959" s="26" t="n">
        <v>0.922962962962963</v>
      </c>
      <c r="F1959" s="27" t="inlineStr">
        <is>
          <t>Shift 2</t>
        </is>
      </c>
      <c r="G1959" s="27" t="n"/>
    </row>
    <row r="1960">
      <c r="A1960" s="27" t="inlineStr">
        <is>
          <t>MK00235</t>
        </is>
      </c>
      <c r="B1960" s="27" t="n">
        <v>528000297</v>
      </c>
      <c r="C1960" s="27" t="inlineStr">
        <is>
          <t>Muhamad Budiana</t>
        </is>
      </c>
      <c r="D1960" s="171" t="n">
        <v>46230.41666666666</v>
      </c>
      <c r="E1960" s="26" t="n">
        <v>0.9521412037037037</v>
      </c>
      <c r="F1960" s="27" t="inlineStr">
        <is>
          <t>Shift 2</t>
        </is>
      </c>
      <c r="G1960" s="27" t="n"/>
    </row>
    <row r="1961">
      <c r="A1961" s="27" t="inlineStr">
        <is>
          <t>MK00228</t>
        </is>
      </c>
      <c r="B1961" s="27" t="n">
        <v>528000132</v>
      </c>
      <c r="C1961" s="27" t="inlineStr">
        <is>
          <t>Giopani</t>
        </is>
      </c>
      <c r="D1961" s="171" t="n">
        <v>46231.41666666666</v>
      </c>
      <c r="E1961" s="26" t="n">
        <v>0.001678240740740741</v>
      </c>
      <c r="F1961" s="27" t="inlineStr">
        <is>
          <t>Shift 3</t>
        </is>
      </c>
      <c r="G1961" s="27" t="n"/>
    </row>
    <row r="1962">
      <c r="A1962" s="27" t="inlineStr">
        <is>
          <t>MK00093</t>
        </is>
      </c>
      <c r="B1962" s="27" t="n">
        <v>528000267</v>
      </c>
      <c r="C1962" s="27" t="inlineStr">
        <is>
          <t>Bagas Patulloh</t>
        </is>
      </c>
      <c r="D1962" s="171" t="n">
        <v>46231.41666666666</v>
      </c>
      <c r="E1962" s="26" t="n">
        <v>0.002349537037037037</v>
      </c>
      <c r="F1962" s="27" t="inlineStr">
        <is>
          <t>Shift 3</t>
        </is>
      </c>
      <c r="G1962" s="27" t="n"/>
    </row>
    <row r="1963">
      <c r="A1963" s="27" t="inlineStr">
        <is>
          <t>MK00218</t>
        </is>
      </c>
      <c r="B1963" s="27" t="n">
        <v>528000201</v>
      </c>
      <c r="C1963" s="27" t="inlineStr">
        <is>
          <t>Zahwa Amelia Choerunissa</t>
        </is>
      </c>
      <c r="D1963" s="171" t="n">
        <v>46231.41666666666</v>
      </c>
      <c r="E1963" s="26" t="n">
        <v>0.2533333333333334</v>
      </c>
      <c r="F1963" s="27" t="inlineStr">
        <is>
          <t>Shift 3</t>
        </is>
      </c>
      <c r="G1963" s="27" t="n"/>
    </row>
    <row r="1964">
      <c r="A1964" s="27" t="inlineStr">
        <is>
          <t>MK00184</t>
        </is>
      </c>
      <c r="B1964" s="27" t="n">
        <v>528000241</v>
      </c>
      <c r="C1964" s="27" t="inlineStr">
        <is>
          <t>Balia Nurafif Bilah</t>
        </is>
      </c>
      <c r="D1964" s="171" t="n">
        <v>46231.41666666666</v>
      </c>
      <c r="E1964" s="26" t="n">
        <v>0.2534375</v>
      </c>
      <c r="F1964" s="27" t="inlineStr">
        <is>
          <t>Shift 3</t>
        </is>
      </c>
      <c r="G1964" s="27" t="n"/>
    </row>
    <row r="1965">
      <c r="A1965" s="27" t="inlineStr">
        <is>
          <t>MK00208</t>
        </is>
      </c>
      <c r="B1965" s="27" t="n">
        <v>528000286</v>
      </c>
      <c r="C1965" s="27" t="inlineStr">
        <is>
          <t>Imelda Amelia</t>
        </is>
      </c>
      <c r="D1965" s="171" t="n">
        <v>46231.41666666666</v>
      </c>
      <c r="E1965" s="26" t="n">
        <v>0.2541087962962963</v>
      </c>
      <c r="F1965" s="27" t="inlineStr">
        <is>
          <t>Shift 3</t>
        </is>
      </c>
      <c r="G1965" s="27" t="n"/>
    </row>
    <row r="1966">
      <c r="A1966" s="27" t="inlineStr">
        <is>
          <t>MK00108</t>
        </is>
      </c>
      <c r="B1966" s="27" t="n">
        <v>528000052</v>
      </c>
      <c r="C1966" s="27" t="inlineStr">
        <is>
          <t>Mustopa</t>
        </is>
      </c>
      <c r="D1966" s="171" t="n">
        <v>46231.41666666666</v>
      </c>
      <c r="E1966" s="26" t="n">
        <v>0.2552777777777778</v>
      </c>
      <c r="F1966" s="27" t="inlineStr">
        <is>
          <t>Shift 3</t>
        </is>
      </c>
      <c r="G1966" s="27" t="inlineStr">
        <is>
          <t>B 32</t>
        </is>
      </c>
    </row>
    <row r="1967">
      <c r="A1967" s="27" t="inlineStr">
        <is>
          <t>MK00154</t>
        </is>
      </c>
      <c r="B1967" s="27" t="n">
        <v>528000289</v>
      </c>
      <c r="C1967" s="27" t="inlineStr">
        <is>
          <t>Adit Supriyadi</t>
        </is>
      </c>
      <c r="D1967" s="171" t="n">
        <v>46231.41666666666</v>
      </c>
      <c r="E1967" s="26" t="n">
        <v>0.2571180555555556</v>
      </c>
      <c r="F1967" s="27" t="inlineStr">
        <is>
          <t>Shift 3</t>
        </is>
      </c>
      <c r="G1967" s="27" t="n"/>
    </row>
    <row r="1968">
      <c r="A1968" s="27" t="inlineStr">
        <is>
          <t>MK00249</t>
        </is>
      </c>
      <c r="B1968" s="27" t="n">
        <v>528000290</v>
      </c>
      <c r="C1968" s="27" t="inlineStr">
        <is>
          <t>Eval Pranata</t>
        </is>
      </c>
      <c r="D1968" s="171" t="n">
        <v>46231.41666666666</v>
      </c>
      <c r="E1968" s="26" t="n">
        <v>0.2701041666666666</v>
      </c>
      <c r="F1968" s="27" t="inlineStr">
        <is>
          <t>Shift 3</t>
        </is>
      </c>
      <c r="G1968" s="27" t="n"/>
    </row>
    <row r="1969">
      <c r="A1969" s="27" t="inlineStr">
        <is>
          <t>MK00116</t>
        </is>
      </c>
      <c r="B1969" s="27" t="n">
        <v>528000244</v>
      </c>
      <c r="C1969" s="27" t="inlineStr">
        <is>
          <t>Rodian Rifai</t>
        </is>
      </c>
      <c r="D1969" s="171" t="n">
        <v>46231.41666666666</v>
      </c>
      <c r="E1969" s="26" t="n">
        <v>0.2999074074074074</v>
      </c>
      <c r="F1969" s="27" t="inlineStr">
        <is>
          <t>Shift 3</t>
        </is>
      </c>
      <c r="G1969" s="27" t="n"/>
    </row>
    <row r="1970">
      <c r="A1970" s="27" t="inlineStr">
        <is>
          <t>MK00202</t>
        </is>
      </c>
      <c r="B1970" s="27" t="n">
        <v>528000339</v>
      </c>
      <c r="C1970" s="27" t="inlineStr">
        <is>
          <t>Muhamad Ripai'i</t>
        </is>
      </c>
      <c r="D1970" s="171" t="n">
        <v>46231.41666666666</v>
      </c>
      <c r="E1970" s="26" t="n">
        <v>0.3101273148148148</v>
      </c>
      <c r="F1970" s="27" t="inlineStr">
        <is>
          <t>Shift 3</t>
        </is>
      </c>
      <c r="G1970" s="27" t="n"/>
    </row>
    <row r="1971">
      <c r="A1971" s="27" t="inlineStr">
        <is>
          <t>MK00109</t>
        </is>
      </c>
      <c r="B1971" s="27" t="n">
        <v>528000273</v>
      </c>
      <c r="C1971" s="27" t="inlineStr">
        <is>
          <t>Asep Mulyana</t>
        </is>
      </c>
      <c r="D1971" s="171" t="n">
        <v>46231.41666666666</v>
      </c>
      <c r="E1971" s="26" t="n">
        <v>0.3228587962962963</v>
      </c>
      <c r="F1971" s="27" t="inlineStr">
        <is>
          <t>Shift 3</t>
        </is>
      </c>
      <c r="G1971" s="27" t="n"/>
    </row>
    <row r="1972">
      <c r="A1972" s="27" t="inlineStr">
        <is>
          <t>MK0130</t>
        </is>
      </c>
      <c r="B1972" s="27" t="n">
        <v>528000149</v>
      </c>
      <c r="C1972" s="27" t="inlineStr">
        <is>
          <t>Tio Fernanda</t>
        </is>
      </c>
      <c r="D1972" s="171" t="n">
        <v>46231.41666666666</v>
      </c>
      <c r="E1972" s="26" t="n">
        <v>0.3563078703703704</v>
      </c>
      <c r="F1972" s="27" t="inlineStr">
        <is>
          <t>Shift 1</t>
        </is>
      </c>
      <c r="G1972" s="27" t="n"/>
    </row>
    <row r="1973">
      <c r="A1973" s="27" t="inlineStr">
        <is>
          <t>MK00141</t>
        </is>
      </c>
      <c r="B1973" s="27" t="n">
        <v>528000040</v>
      </c>
      <c r="C1973" s="27" t="inlineStr">
        <is>
          <t>Agus Suryaman</t>
        </is>
      </c>
      <c r="D1973" s="171" t="n">
        <v>46231.41666666666</v>
      </c>
      <c r="E1973" s="26" t="n">
        <v>0.3586458333333333</v>
      </c>
      <c r="F1973" s="27" t="inlineStr">
        <is>
          <t>Shift 1</t>
        </is>
      </c>
      <c r="G1973" s="27" t="n"/>
    </row>
    <row r="1974">
      <c r="A1974" s="27" t="inlineStr">
        <is>
          <t>MK00150</t>
        </is>
      </c>
      <c r="B1974" s="27" t="n">
        <v>528000232</v>
      </c>
      <c r="C1974" s="27" t="inlineStr">
        <is>
          <t>Agung Aji Suhada</t>
        </is>
      </c>
      <c r="D1974" s="171" t="n">
        <v>46231.41666666666</v>
      </c>
      <c r="E1974" s="26" t="n">
        <v>0.3723148148148148</v>
      </c>
      <c r="F1974" s="27" t="inlineStr">
        <is>
          <t>Shift 1</t>
        </is>
      </c>
      <c r="G1974" s="27" t="n"/>
    </row>
    <row r="1975">
      <c r="A1975" s="27" t="inlineStr">
        <is>
          <t>MK00113</t>
        </is>
      </c>
      <c r="B1975" s="27" t="n">
        <v>628000091</v>
      </c>
      <c r="C1975" s="27" t="inlineStr">
        <is>
          <t>Devita Handayani</t>
        </is>
      </c>
      <c r="D1975" s="171" t="n">
        <v>46231.41666666666</v>
      </c>
      <c r="E1975" s="26" t="n">
        <v>0.4126388888888889</v>
      </c>
      <c r="F1975" s="27" t="inlineStr">
        <is>
          <t>Shift 1</t>
        </is>
      </c>
      <c r="G1975" s="27" t="n"/>
    </row>
    <row r="1976">
      <c r="A1976" s="27" t="n">
        <v>116</v>
      </c>
      <c r="B1976" s="27" t="n">
        <v>528000313</v>
      </c>
      <c r="C1976" s="27" t="inlineStr">
        <is>
          <t>Muhamad Rifki</t>
        </is>
      </c>
      <c r="D1976" s="171" t="n">
        <v>46231.41666666666</v>
      </c>
      <c r="E1976" s="26" t="n">
        <v>0.4149074074074074</v>
      </c>
      <c r="F1976" s="27" t="inlineStr">
        <is>
          <t>Shift 1</t>
        </is>
      </c>
      <c r="G1976" s="27" t="n"/>
    </row>
    <row r="1977">
      <c r="A1977" s="27" t="inlineStr">
        <is>
          <t>MK00212</t>
        </is>
      </c>
      <c r="B1977" s="27" t="n">
        <v>528000212</v>
      </c>
      <c r="C1977" s="27" t="inlineStr">
        <is>
          <t>Rizal Fauzi</t>
        </is>
      </c>
      <c r="D1977" s="171" t="n">
        <v>46231.41666666666</v>
      </c>
      <c r="E1977" s="26" t="n">
        <v>0.5768865740740741</v>
      </c>
      <c r="F1977" s="27" t="inlineStr">
        <is>
          <t>Shift 1</t>
        </is>
      </c>
      <c r="G1977" s="27" t="n"/>
    </row>
    <row r="1978">
      <c r="A1978" s="27" t="inlineStr">
        <is>
          <t>MK00136</t>
        </is>
      </c>
      <c r="B1978" s="27" t="n">
        <v>528000305</v>
      </c>
      <c r="C1978" s="27" t="inlineStr">
        <is>
          <t>Puji Puspita</t>
        </is>
      </c>
      <c r="D1978" s="171" t="n">
        <v>46231.41666666666</v>
      </c>
      <c r="E1978" s="26" t="n">
        <v>0.5846643518518518</v>
      </c>
      <c r="F1978" s="27" t="inlineStr">
        <is>
          <t>Shift 1</t>
        </is>
      </c>
      <c r="G1978" s="27" t="n"/>
    </row>
    <row r="1979">
      <c r="A1979" s="27" t="inlineStr">
        <is>
          <t>MK00085</t>
        </is>
      </c>
      <c r="B1979" s="27" t="n">
        <v>528000318</v>
      </c>
      <c r="C1979" s="27" t="inlineStr">
        <is>
          <t>Bayu Padli Sepriyana</t>
        </is>
      </c>
      <c r="D1979" s="171" t="n">
        <v>46231.41666666666</v>
      </c>
      <c r="E1979" s="26" t="n">
        <v>0.5851388888888889</v>
      </c>
      <c r="F1979" s="27" t="inlineStr">
        <is>
          <t>Shift 1</t>
        </is>
      </c>
      <c r="G1979" s="27" t="n"/>
    </row>
    <row r="1980">
      <c r="A1980" s="27" t="inlineStr">
        <is>
          <t>MK00138</t>
        </is>
      </c>
      <c r="B1980" s="27" t="n">
        <v>528000325</v>
      </c>
      <c r="C1980" s="27" t="inlineStr">
        <is>
          <t>Rani Septia Ramadani</t>
        </is>
      </c>
      <c r="D1980" s="171" t="n">
        <v>46231.41666666666</v>
      </c>
      <c r="E1980" s="26" t="n">
        <v>0.5854398148148148</v>
      </c>
      <c r="F1980" s="27" t="inlineStr">
        <is>
          <t>Shift 1</t>
        </is>
      </c>
      <c r="G1980" s="27" t="n"/>
    </row>
    <row r="1981">
      <c r="A1981" s="27" t="inlineStr">
        <is>
          <t>MK00113</t>
        </is>
      </c>
      <c r="B1981" s="27" t="n">
        <v>528000322</v>
      </c>
      <c r="C1981" s="27" t="inlineStr">
        <is>
          <t>Muhamad Aliludin</t>
        </is>
      </c>
      <c r="D1981" s="171" t="n">
        <v>46231.41666666666</v>
      </c>
      <c r="E1981" s="26" t="n">
        <v>0.5859837962962963</v>
      </c>
      <c r="F1981" s="27" t="inlineStr">
        <is>
          <t>Shift 1</t>
        </is>
      </c>
      <c r="G1981" s="27" t="n"/>
    </row>
    <row r="1982">
      <c r="A1982" s="27" t="inlineStr">
        <is>
          <t>MK00230</t>
        </is>
      </c>
      <c r="B1982" s="27" t="n">
        <v>528000298</v>
      </c>
      <c r="C1982" s="27" t="inlineStr">
        <is>
          <t>Desta Cahaya Pratama</t>
        </is>
      </c>
      <c r="D1982" s="171" t="n">
        <v>46231.41666666666</v>
      </c>
      <c r="E1982" s="26" t="n">
        <v>0.5862847222222223</v>
      </c>
      <c r="F1982" s="27" t="inlineStr">
        <is>
          <t>Shift 1</t>
        </is>
      </c>
      <c r="G1982" s="27" t="n"/>
    </row>
    <row r="1983">
      <c r="A1983" s="27" t="inlineStr">
        <is>
          <t>MK00235</t>
        </is>
      </c>
      <c r="B1983" s="27" t="n">
        <v>528000309</v>
      </c>
      <c r="C1983" s="27" t="inlineStr">
        <is>
          <t>Ilham Ramadhan</t>
        </is>
      </c>
      <c r="D1983" s="171" t="n">
        <v>46231.41666666666</v>
      </c>
      <c r="E1983" s="26" t="n">
        <v>0.5866087962962963</v>
      </c>
      <c r="F1983" s="27" t="inlineStr">
        <is>
          <t>Shift 1</t>
        </is>
      </c>
      <c r="G1983" s="27" t="n"/>
    </row>
    <row r="1984">
      <c r="A1984" s="27" t="inlineStr">
        <is>
          <t>MK00213</t>
        </is>
      </c>
      <c r="B1984" s="27" t="n">
        <v>528000313</v>
      </c>
      <c r="C1984" s="27" t="inlineStr">
        <is>
          <t>Muhamad Rifki</t>
        </is>
      </c>
      <c r="D1984" s="171" t="n">
        <v>46231.41666666666</v>
      </c>
      <c r="E1984" s="26" t="n">
        <v>0.5868865740740741</v>
      </c>
      <c r="F1984" s="27" t="inlineStr">
        <is>
          <t>Shift 1</t>
        </is>
      </c>
      <c r="G1984" s="27" t="n"/>
    </row>
    <row r="1985">
      <c r="A1985" s="27" t="inlineStr">
        <is>
          <t>MK00160</t>
        </is>
      </c>
      <c r="B1985" s="27" t="n">
        <v>528000340</v>
      </c>
      <c r="C1985" s="27" t="inlineStr">
        <is>
          <t>Muhammad Wildan Adithya</t>
        </is>
      </c>
      <c r="D1985" s="171" t="n">
        <v>46231.41666666666</v>
      </c>
      <c r="E1985" s="26" t="n">
        <v>0.5871643518518519</v>
      </c>
      <c r="F1985" s="27" t="inlineStr">
        <is>
          <t>Shift 1</t>
        </is>
      </c>
      <c r="G1985" s="27" t="n"/>
    </row>
    <row r="1986">
      <c r="A1986" s="27" t="inlineStr">
        <is>
          <t>MK00250</t>
        </is>
      </c>
      <c r="B1986" s="27" t="n">
        <v>528000299</v>
      </c>
      <c r="C1986" s="27" t="inlineStr">
        <is>
          <t>Siti Nurjanah</t>
        </is>
      </c>
      <c r="D1986" s="171" t="n">
        <v>46231.41666666666</v>
      </c>
      <c r="E1986" s="26" t="n">
        <v>0.5879166666666666</v>
      </c>
      <c r="F1986" s="27" t="inlineStr">
        <is>
          <t>Shift 1</t>
        </is>
      </c>
      <c r="G1986" s="27" t="n"/>
    </row>
    <row r="1987">
      <c r="A1987" s="27" t="inlineStr">
        <is>
          <t>MK00143</t>
        </is>
      </c>
      <c r="B1987" s="27" t="n">
        <v>528000270</v>
      </c>
      <c r="C1987" s="27" t="inlineStr">
        <is>
          <t>Febri Najmudin</t>
        </is>
      </c>
      <c r="D1987" s="171" t="n">
        <v>46231.41666666666</v>
      </c>
      <c r="E1987" s="26" t="n">
        <v>0.6065856481481482</v>
      </c>
      <c r="F1987" s="27" t="inlineStr">
        <is>
          <t>Shift 1</t>
        </is>
      </c>
      <c r="G1987" s="27" t="n"/>
    </row>
    <row r="1988">
      <c r="A1988" s="27" t="inlineStr">
        <is>
          <t>MK00186</t>
        </is>
      </c>
      <c r="B1988" s="27" t="n">
        <v>528000361</v>
      </c>
      <c r="C1988" s="27" t="inlineStr">
        <is>
          <t>Denada Munggarani</t>
        </is>
      </c>
      <c r="D1988" s="171" t="n">
        <v>46231.41666666666</v>
      </c>
      <c r="E1988" s="26" t="n">
        <v>0.6169097222222222</v>
      </c>
      <c r="F1988" s="27" t="inlineStr">
        <is>
          <t>Shift 1</t>
        </is>
      </c>
      <c r="G1988" s="27" t="n"/>
    </row>
    <row r="1989">
      <c r="A1989" s="27" t="inlineStr">
        <is>
          <t>MK00055</t>
        </is>
      </c>
      <c r="B1989" s="27" t="n">
        <v>528000351</v>
      </c>
      <c r="C1989" s="27" t="inlineStr">
        <is>
          <t>Mulyana</t>
        </is>
      </c>
      <c r="D1989" s="171" t="n">
        <v>46231.41666666666</v>
      </c>
      <c r="E1989" s="26" t="n">
        <v>0.6674421296296297</v>
      </c>
      <c r="F1989" s="27" t="inlineStr">
        <is>
          <t>Shift 2</t>
        </is>
      </c>
      <c r="G1989" s="27" t="n"/>
    </row>
    <row r="1990">
      <c r="A1990" s="27" t="inlineStr">
        <is>
          <t>MK00109</t>
        </is>
      </c>
      <c r="B1990" s="27" t="n">
        <v>528000282</v>
      </c>
      <c r="C1990" s="27" t="inlineStr">
        <is>
          <t>Defa Desfiana</t>
        </is>
      </c>
      <c r="D1990" s="171" t="n">
        <v>46231.41666666666</v>
      </c>
      <c r="E1990" s="26" t="n">
        <v>0.6675231481481482</v>
      </c>
      <c r="F1990" s="27" t="inlineStr">
        <is>
          <t>Shift 2</t>
        </is>
      </c>
      <c r="G1990" s="27" t="inlineStr">
        <is>
          <t>32b</t>
        </is>
      </c>
    </row>
    <row r="1991">
      <c r="A1991" s="27" t="inlineStr">
        <is>
          <t>MK00217</t>
        </is>
      </c>
      <c r="B1991" s="27" t="n">
        <v>528000265</v>
      </c>
      <c r="C1991" s="27" t="inlineStr">
        <is>
          <t>Muhammad Haerul Rozikin</t>
        </is>
      </c>
      <c r="D1991" s="171" t="n">
        <v>46231.41666666666</v>
      </c>
      <c r="E1991" s="26" t="n">
        <v>0.6686458333333334</v>
      </c>
      <c r="F1991" s="27" t="inlineStr">
        <is>
          <t>Shift 2</t>
        </is>
      </c>
      <c r="G1991" s="27" t="n"/>
    </row>
    <row r="1992">
      <c r="A1992" s="27" t="inlineStr">
        <is>
          <t>MK00204</t>
        </is>
      </c>
      <c r="B1992" s="27" t="n">
        <v>528000335</v>
      </c>
      <c r="C1992" s="27" t="inlineStr">
        <is>
          <t>Rizal Saepuloh</t>
        </is>
      </c>
      <c r="D1992" s="171" t="n">
        <v>46231.41666666666</v>
      </c>
      <c r="E1992" s="26" t="n">
        <v>0.6707175925925926</v>
      </c>
      <c r="F1992" s="27" t="inlineStr">
        <is>
          <t>Shift 2</t>
        </is>
      </c>
      <c r="G1992" s="27" t="n"/>
    </row>
    <row r="1993">
      <c r="A1993" s="27" t="inlineStr">
        <is>
          <t>MK00088</t>
        </is>
      </c>
      <c r="B1993" s="27" t="n">
        <v>528000090</v>
      </c>
      <c r="C1993" s="27" t="inlineStr">
        <is>
          <t>Suganda</t>
        </is>
      </c>
      <c r="D1993" s="171" t="n">
        <v>46231.41666666666</v>
      </c>
      <c r="E1993" s="26" t="n">
        <v>0.6764236111111112</v>
      </c>
      <c r="F1993" s="27" t="inlineStr">
        <is>
          <t>Shift 2</t>
        </is>
      </c>
      <c r="G1993" s="27" t="n"/>
    </row>
    <row r="1994">
      <c r="A1994" s="27" t="inlineStr">
        <is>
          <t>MK00221</t>
        </is>
      </c>
      <c r="B1994" s="27" t="n">
        <v>528000144</v>
      </c>
      <c r="C1994" s="27" t="inlineStr">
        <is>
          <t>Jodi Hanafi</t>
        </is>
      </c>
      <c r="D1994" s="171" t="n">
        <v>46231.41666666666</v>
      </c>
      <c r="E1994" s="26" t="n">
        <v>0.6959953703703704</v>
      </c>
      <c r="F1994" s="27" t="inlineStr">
        <is>
          <t>Shift 2</t>
        </is>
      </c>
      <c r="G1994" s="27" t="n"/>
    </row>
    <row r="1995">
      <c r="A1995" s="27" t="inlineStr">
        <is>
          <t>MK00150</t>
        </is>
      </c>
      <c r="B1995" s="27" t="n">
        <v>528000232</v>
      </c>
      <c r="C1995" s="27" t="inlineStr">
        <is>
          <t>Agung Aji Suhada</t>
        </is>
      </c>
      <c r="D1995" s="171" t="n">
        <v>46231.41666666666</v>
      </c>
      <c r="E1995" s="26" t="n">
        <v>0.7095486111111111</v>
      </c>
      <c r="F1995" s="27" t="inlineStr">
        <is>
          <t>Shift 2</t>
        </is>
      </c>
      <c r="G1995" s="27" t="n"/>
    </row>
    <row r="1996">
      <c r="A1996" s="27" t="inlineStr">
        <is>
          <t>MK00141</t>
        </is>
      </c>
      <c r="B1996" s="27" t="n">
        <v>528000040</v>
      </c>
      <c r="C1996" s="27" t="inlineStr">
        <is>
          <t>Agus Suryaman</t>
        </is>
      </c>
      <c r="D1996" s="171" t="n">
        <v>46231.41666666666</v>
      </c>
      <c r="E1996" s="26" t="n">
        <v>0.7122569444444444</v>
      </c>
      <c r="F1996" s="27" t="inlineStr">
        <is>
          <t>Shift 2</t>
        </is>
      </c>
      <c r="G1996" s="27" t="n"/>
    </row>
    <row r="1997">
      <c r="A1997" s="27" t="inlineStr">
        <is>
          <t>MK00160</t>
        </is>
      </c>
      <c r="B1997" s="27" t="n">
        <v>128000054</v>
      </c>
      <c r="C1997" s="27" t="inlineStr">
        <is>
          <t>Nurhaslinda Lubis</t>
        </is>
      </c>
      <c r="D1997" s="171" t="n">
        <v>46231.41666666666</v>
      </c>
      <c r="E1997" s="26" t="n">
        <v>0.7188541666666667</v>
      </c>
      <c r="F1997" s="27" t="inlineStr">
        <is>
          <t>Shift 2</t>
        </is>
      </c>
      <c r="G1997" s="27" t="n"/>
    </row>
    <row r="1998">
      <c r="A1998" s="27" t="inlineStr">
        <is>
          <t>MK00210</t>
        </is>
      </c>
      <c r="B1998" s="27" t="n">
        <v>528000274</v>
      </c>
      <c r="C1998" s="27" t="inlineStr">
        <is>
          <t>Zepri</t>
        </is>
      </c>
      <c r="D1998" s="171" t="n">
        <v>46231.41666666666</v>
      </c>
      <c r="E1998" s="26" t="n">
        <v>0.7397685185185185</v>
      </c>
      <c r="F1998" s="27" t="inlineStr">
        <is>
          <t>Shift 2</t>
        </is>
      </c>
      <c r="G1998" s="27" t="n"/>
    </row>
    <row r="1999">
      <c r="A1999" s="27" t="inlineStr">
        <is>
          <t>MK00184</t>
        </is>
      </c>
      <c r="B1999" s="27" t="n">
        <v>528000349</v>
      </c>
      <c r="C1999" s="27" t="inlineStr">
        <is>
          <t>Anas Abdul Fatah</t>
        </is>
      </c>
      <c r="D1999" s="171" t="n">
        <v>46231.41666666666</v>
      </c>
      <c r="E1999" s="26" t="n">
        <v>0.7601388888888889</v>
      </c>
      <c r="F1999" s="27" t="inlineStr">
        <is>
          <t>Shift 2</t>
        </is>
      </c>
      <c r="G1999" s="27" t="n"/>
    </row>
    <row r="2000">
      <c r="A2000" s="27" t="inlineStr">
        <is>
          <t>MK00112</t>
        </is>
      </c>
      <c r="B2000" s="27" t="n">
        <v>528000248</v>
      </c>
      <c r="C2000" s="27" t="inlineStr">
        <is>
          <t>Roka Jaya Salka Mulya</t>
        </is>
      </c>
      <c r="D2000" s="171" t="n">
        <v>46231.41666666666</v>
      </c>
      <c r="E2000" s="26" t="n">
        <v>0.9169907407407407</v>
      </c>
      <c r="F2000" s="27" t="inlineStr">
        <is>
          <t>Shift 2</t>
        </is>
      </c>
      <c r="G2000" s="27" t="n"/>
    </row>
    <row r="2001">
      <c r="A2001" s="27" t="inlineStr">
        <is>
          <t>MK00181</t>
        </is>
      </c>
      <c r="B2001" s="27" t="n">
        <v>528000324</v>
      </c>
      <c r="C2001" s="27" t="inlineStr">
        <is>
          <t>Sri Yanti</t>
        </is>
      </c>
      <c r="D2001" s="171" t="n">
        <v>46231.41666666666</v>
      </c>
      <c r="E2001" s="26" t="n">
        <v>0.9175578703703704</v>
      </c>
      <c r="F2001" s="27" t="inlineStr">
        <is>
          <t>Shift 2</t>
        </is>
      </c>
      <c r="G2001" s="27" t="n"/>
    </row>
    <row r="2002">
      <c r="A2002" s="27" t="inlineStr">
        <is>
          <t>MK00203</t>
        </is>
      </c>
      <c r="B2002" s="27" t="n">
        <v>528000279</v>
      </c>
      <c r="C2002" s="27" t="inlineStr">
        <is>
          <t>Mahdalena Dalfa Riani</t>
        </is>
      </c>
      <c r="D2002" s="171" t="n">
        <v>46231.41666666666</v>
      </c>
      <c r="E2002" s="26" t="n">
        <v>0.9185185185185185</v>
      </c>
      <c r="F2002" s="27" t="inlineStr">
        <is>
          <t>Shift 2</t>
        </is>
      </c>
      <c r="G2002" s="27" t="n"/>
    </row>
    <row r="2003">
      <c r="A2003" s="27" t="inlineStr">
        <is>
          <t>MK00121</t>
        </is>
      </c>
      <c r="B2003" s="27" t="n">
        <v>628000018</v>
      </c>
      <c r="C2003" s="27" t="inlineStr">
        <is>
          <t>Annisa Tri Pratiwi</t>
        </is>
      </c>
      <c r="D2003" s="171" t="n">
        <v>46231.41666666666</v>
      </c>
      <c r="E2003" s="26" t="n">
        <v>0.9188425925925926</v>
      </c>
      <c r="F2003" s="27" t="inlineStr">
        <is>
          <t>Shift 2</t>
        </is>
      </c>
      <c r="G2003" s="27" t="n"/>
    </row>
    <row r="2004">
      <c r="A2004" s="27" t="inlineStr">
        <is>
          <t>MK00212</t>
        </is>
      </c>
      <c r="B2004" s="27" t="n">
        <v>528000300</v>
      </c>
      <c r="C2004" s="27" t="inlineStr">
        <is>
          <t>Lia pitaloka</t>
        </is>
      </c>
      <c r="D2004" s="171" t="n">
        <v>46231.41666666666</v>
      </c>
      <c r="E2004" s="26" t="n">
        <v>0.9192592592592592</v>
      </c>
      <c r="F2004" s="27" t="inlineStr">
        <is>
          <t>Shift 2</t>
        </is>
      </c>
      <c r="G2004" s="27" t="n"/>
    </row>
    <row r="2005">
      <c r="A2005" s="27" t="inlineStr">
        <is>
          <t>MK00218</t>
        </is>
      </c>
      <c r="B2005" s="27" t="n">
        <v>628000064</v>
      </c>
      <c r="C2005" s="27" t="inlineStr">
        <is>
          <t>Silva Alypia</t>
        </is>
      </c>
      <c r="D2005" s="171" t="n">
        <v>46231.41666666666</v>
      </c>
      <c r="E2005" s="26" t="n">
        <v>0.9195601851851852</v>
      </c>
      <c r="F2005" s="27" t="inlineStr">
        <is>
          <t>Shift 2</t>
        </is>
      </c>
      <c r="G2005" s="27" t="n"/>
    </row>
    <row r="2006">
      <c r="A2006" s="27" t="inlineStr">
        <is>
          <t>MK00185</t>
        </is>
      </c>
      <c r="B2006" s="27" t="n">
        <v>528000297</v>
      </c>
      <c r="C2006" s="27" t="inlineStr">
        <is>
          <t>Muhamad Budiana</t>
        </is>
      </c>
      <c r="D2006" s="171" t="n">
        <v>46231.41666666666</v>
      </c>
      <c r="E2006" s="26" t="n">
        <v>0.9433333333333334</v>
      </c>
      <c r="F2006" s="27" t="inlineStr">
        <is>
          <t>Shift 2</t>
        </is>
      </c>
      <c r="G2006" s="27" t="n"/>
    </row>
    <row r="2007">
      <c r="A2007" s="27" t="inlineStr">
        <is>
          <t>MK00168</t>
        </is>
      </c>
      <c r="B2007" s="27" t="n">
        <v>528000015</v>
      </c>
      <c r="C2007" s="27" t="inlineStr">
        <is>
          <t>Erwin</t>
        </is>
      </c>
      <c r="D2007" s="171" t="n">
        <v>46232.41666666666</v>
      </c>
      <c r="E2007" s="26" t="n">
        <v>0.2434490740740741</v>
      </c>
      <c r="F2007" s="27" t="inlineStr">
        <is>
          <t>Shift 3</t>
        </is>
      </c>
      <c r="G2007" s="27" t="n"/>
    </row>
    <row r="2008">
      <c r="A2008" s="27" t="inlineStr">
        <is>
          <t>MK00208</t>
        </is>
      </c>
      <c r="B2008" s="27" t="n">
        <v>528000309</v>
      </c>
      <c r="C2008" s="27" t="inlineStr">
        <is>
          <t>Ilham Ramadhan</t>
        </is>
      </c>
      <c r="D2008" s="171" t="n">
        <v>46232.41666666666</v>
      </c>
      <c r="E2008" s="26" t="n">
        <v>0.2482986111111111</v>
      </c>
      <c r="F2008" s="27" t="inlineStr">
        <is>
          <t>Shift 3</t>
        </is>
      </c>
      <c r="G2008" s="27" t="n"/>
    </row>
    <row r="2009">
      <c r="A2009" s="27" t="inlineStr">
        <is>
          <t>MK00145</t>
        </is>
      </c>
      <c r="B2009" s="27" t="n">
        <v>528000306</v>
      </c>
      <c r="C2009" s="27" t="inlineStr">
        <is>
          <t>Windy Olivia</t>
        </is>
      </c>
      <c r="D2009" s="171" t="n">
        <v>46232.41666666666</v>
      </c>
      <c r="E2009" s="26" t="n">
        <v>0.2505324074074074</v>
      </c>
      <c r="F2009" s="27" t="inlineStr">
        <is>
          <t>Shift 3</t>
        </is>
      </c>
      <c r="G2009" s="27" t="n"/>
    </row>
    <row r="2010">
      <c r="A2010" s="27" t="inlineStr">
        <is>
          <t>MK00210</t>
        </is>
      </c>
      <c r="B2010" s="27" t="n">
        <v>528000241</v>
      </c>
      <c r="C2010" s="27" t="inlineStr">
        <is>
          <t>Balia Nurafif Bilah</t>
        </is>
      </c>
      <c r="D2010" s="171" t="n">
        <v>46232.41666666666</v>
      </c>
      <c r="E2010" s="26" t="n">
        <v>0.2516666666666666</v>
      </c>
      <c r="F2010" s="27" t="inlineStr">
        <is>
          <t>Shift 3</t>
        </is>
      </c>
      <c r="G2010" s="27" t="n"/>
    </row>
    <row r="2011">
      <c r="A2011" s="27" t="inlineStr">
        <is>
          <t>MK00085</t>
        </is>
      </c>
      <c r="B2011" s="27" t="n">
        <v>528000201</v>
      </c>
      <c r="C2011" s="27" t="inlineStr">
        <is>
          <t>Zahwa Amelia Choerunissa</t>
        </is>
      </c>
      <c r="D2011" s="171" t="n">
        <v>46232.41666666666</v>
      </c>
      <c r="E2011" s="26" t="n">
        <v>0.2522685185185185</v>
      </c>
      <c r="F2011" s="27" t="inlineStr">
        <is>
          <t>Shift 3</t>
        </is>
      </c>
      <c r="G2011" s="27" t="n"/>
    </row>
    <row r="2012">
      <c r="A2012" s="27" t="inlineStr">
        <is>
          <t>MK00230</t>
        </is>
      </c>
      <c r="B2012" s="27" t="n">
        <v>528000286</v>
      </c>
      <c r="C2012" s="27" t="inlineStr">
        <is>
          <t>Imelda Amelia</t>
        </is>
      </c>
      <c r="D2012" s="171" t="n">
        <v>46232.41666666666</v>
      </c>
      <c r="E2012" s="26" t="n">
        <v>0.2527893518518519</v>
      </c>
      <c r="F2012" s="27" t="inlineStr">
        <is>
          <t>Shift 3</t>
        </is>
      </c>
      <c r="G2012" s="27" t="n"/>
    </row>
    <row r="2013">
      <c r="A2013" s="27" t="inlineStr">
        <is>
          <t>MK00213</t>
        </is>
      </c>
      <c r="B2013" s="27" t="n">
        <v>528000339</v>
      </c>
      <c r="C2013" s="27" t="inlineStr">
        <is>
          <t>Muhamad Ripai'i</t>
        </is>
      </c>
      <c r="D2013" s="171" t="n">
        <v>46232.41666666666</v>
      </c>
      <c r="E2013" s="26" t="n">
        <v>0.254525462962963</v>
      </c>
      <c r="F2013" s="27" t="inlineStr">
        <is>
          <t>Shift 3</t>
        </is>
      </c>
      <c r="G2013" s="27" t="n"/>
    </row>
    <row r="2014">
      <c r="A2014" s="27" t="inlineStr">
        <is>
          <t>MK00008</t>
        </is>
      </c>
      <c r="B2014" s="27" t="n">
        <v>528000244</v>
      </c>
      <c r="C2014" s="27" t="inlineStr">
        <is>
          <t>Rodian Rifai</t>
        </is>
      </c>
      <c r="D2014" s="171" t="n">
        <v>46232.41666666666</v>
      </c>
      <c r="E2014" s="26" t="n">
        <v>0.2613078703703703</v>
      </c>
      <c r="F2014" s="27" t="inlineStr">
        <is>
          <t>Shift 3</t>
        </is>
      </c>
      <c r="G2014" s="27" t="n"/>
    </row>
    <row r="2015">
      <c r="A2015" s="27" t="inlineStr">
        <is>
          <t>MK00217</t>
        </is>
      </c>
      <c r="B2015" s="27" t="n">
        <v>528000290</v>
      </c>
      <c r="C2015" s="27" t="inlineStr">
        <is>
          <t>Eval Pranata</t>
        </is>
      </c>
      <c r="D2015" s="171" t="n">
        <v>46232.41666666666</v>
      </c>
      <c r="E2015" s="26" t="n">
        <v>0.2640740740740741</v>
      </c>
      <c r="F2015" s="27" t="inlineStr">
        <is>
          <t>Shift 3</t>
        </is>
      </c>
      <c r="G2015" s="27" t="n"/>
    </row>
    <row r="2016">
      <c r="A2016" s="27" t="inlineStr">
        <is>
          <t>MK00116</t>
        </is>
      </c>
      <c r="B2016" s="27" t="n">
        <v>528000274</v>
      </c>
      <c r="C2016" s="27" t="inlineStr">
        <is>
          <t>Zepri</t>
        </is>
      </c>
      <c r="D2016" s="171" t="n">
        <v>46232.41666666666</v>
      </c>
      <c r="E2016" s="26" t="n">
        <v>0.2654745370370371</v>
      </c>
      <c r="F2016" s="27" t="inlineStr">
        <is>
          <t>Shift 3</t>
        </is>
      </c>
      <c r="G2016" s="27" t="n"/>
    </row>
    <row r="2017">
      <c r="A2017" s="27" t="inlineStr">
        <is>
          <t>MK00158</t>
        </is>
      </c>
      <c r="B2017" s="27" t="n">
        <v>528000273</v>
      </c>
      <c r="C2017" s="27" t="inlineStr">
        <is>
          <t>Asep Mulyana</t>
        </is>
      </c>
      <c r="D2017" s="171" t="n">
        <v>46232.41666666666</v>
      </c>
      <c r="E2017" s="26" t="n">
        <v>0.2987731481481481</v>
      </c>
      <c r="F2017" s="27" t="inlineStr">
        <is>
          <t>Shift 3</t>
        </is>
      </c>
      <c r="G2017" s="27" t="n"/>
    </row>
    <row r="2018">
      <c r="A2018" s="27" t="inlineStr">
        <is>
          <t>MK00113</t>
        </is>
      </c>
      <c r="B2018" s="27" t="n">
        <v>528000090</v>
      </c>
      <c r="C2018" s="27" t="inlineStr">
        <is>
          <t>Suganda</t>
        </is>
      </c>
      <c r="D2018" s="171" t="n">
        <v>46232.41666666666</v>
      </c>
      <c r="E2018" s="26" t="n">
        <v>0.3292824074074074</v>
      </c>
      <c r="F2018" s="27" t="inlineStr">
        <is>
          <t>Shift 3</t>
        </is>
      </c>
      <c r="G2018" s="27" t="n"/>
    </row>
    <row r="2019">
      <c r="A2019" s="27" t="inlineStr">
        <is>
          <t>MK0130</t>
        </is>
      </c>
      <c r="B2019" s="27" t="n">
        <v>528000149</v>
      </c>
      <c r="C2019" s="27" t="inlineStr">
        <is>
          <t>Tio Fernanda</t>
        </is>
      </c>
      <c r="D2019" s="171" t="n">
        <v>46232.41666666666</v>
      </c>
      <c r="E2019" s="26" t="n">
        <v>0.3737268518518518</v>
      </c>
      <c r="F2019" s="27" t="inlineStr">
        <is>
          <t>Shift 1</t>
        </is>
      </c>
      <c r="G2019" s="27" t="n"/>
    </row>
    <row r="2020">
      <c r="A2020" s="27" t="inlineStr">
        <is>
          <t>MK00205</t>
        </is>
      </c>
      <c r="B2020" s="27" t="n">
        <v>528000348</v>
      </c>
      <c r="C2020" s="27" t="inlineStr">
        <is>
          <t>Saepuloh Ardiansah</t>
        </is>
      </c>
      <c r="D2020" s="171" t="n">
        <v>46232.41666666666</v>
      </c>
      <c r="E2020" s="26" t="n">
        <v>0.3743287037037037</v>
      </c>
      <c r="F2020" s="27" t="inlineStr">
        <is>
          <t>Shift 1</t>
        </is>
      </c>
      <c r="G2020" s="27" t="n"/>
    </row>
    <row r="2021">
      <c r="A2021" s="27" t="inlineStr">
        <is>
          <t>MK00181</t>
        </is>
      </c>
      <c r="B2021" s="27" t="n">
        <v>528000305</v>
      </c>
      <c r="C2021" s="27" t="inlineStr">
        <is>
          <t>Puji Puspita</t>
        </is>
      </c>
      <c r="D2021" s="171" t="n">
        <v>46232.41666666666</v>
      </c>
      <c r="E2021" s="26" t="n">
        <v>0.5864583333333333</v>
      </c>
      <c r="F2021" s="27" t="inlineStr">
        <is>
          <t>Shift 1</t>
        </is>
      </c>
      <c r="G2021" s="27" t="n"/>
    </row>
    <row r="2022">
      <c r="A2022" s="27" t="inlineStr">
        <is>
          <t>MK00108</t>
        </is>
      </c>
      <c r="B2022" s="27" t="n">
        <v>528000318</v>
      </c>
      <c r="C2022" s="27" t="inlineStr">
        <is>
          <t>Bayu Padli Sepriyana</t>
        </is>
      </c>
      <c r="D2022" s="171" t="n">
        <v>46232.41666666666</v>
      </c>
      <c r="E2022" s="26" t="n">
        <v>0.5872916666666667</v>
      </c>
      <c r="F2022" s="27" t="inlineStr">
        <is>
          <t>Shift 1</t>
        </is>
      </c>
      <c r="G2022" s="27" t="n"/>
    </row>
    <row r="2023">
      <c r="A2023" s="27" t="inlineStr">
        <is>
          <t>MK00185</t>
        </is>
      </c>
      <c r="B2023" s="27" t="n">
        <v>528000322</v>
      </c>
      <c r="C2023" s="27" t="inlineStr">
        <is>
          <t>Muhamad Aliludin</t>
        </is>
      </c>
      <c r="D2023" s="171" t="n">
        <v>46232.41666666666</v>
      </c>
      <c r="E2023" s="26" t="n">
        <v>0.5883217592592592</v>
      </c>
      <c r="F2023" s="27" t="inlineStr">
        <is>
          <t>Shift 1</t>
        </is>
      </c>
      <c r="G2023" s="27" t="n"/>
    </row>
    <row r="2024">
      <c r="A2024" s="27" t="inlineStr">
        <is>
          <t>MK00220</t>
        </is>
      </c>
      <c r="B2024" s="27" t="n">
        <v>528000299</v>
      </c>
      <c r="C2024" s="27" t="inlineStr">
        <is>
          <t>Siti Nurjanah</t>
        </is>
      </c>
      <c r="D2024" s="171" t="n">
        <v>46232.41666666666</v>
      </c>
      <c r="E2024" s="26" t="n">
        <v>0.5884606481481481</v>
      </c>
      <c r="F2024" s="27" t="inlineStr">
        <is>
          <t>Shift 1</t>
        </is>
      </c>
      <c r="G2024" s="27" t="n"/>
    </row>
    <row r="2025">
      <c r="A2025" s="27" t="inlineStr">
        <is>
          <t>MK00209</t>
        </is>
      </c>
      <c r="B2025" s="27" t="n">
        <v>528000313</v>
      </c>
      <c r="C2025" s="27" t="inlineStr">
        <is>
          <t>Muhamad Rifki</t>
        </is>
      </c>
      <c r="D2025" s="171" t="n">
        <v>46232.41666666666</v>
      </c>
      <c r="E2025" s="26" t="n">
        <v>0.5885648148148148</v>
      </c>
      <c r="F2025" s="27" t="inlineStr">
        <is>
          <t>Shift 1</t>
        </is>
      </c>
      <c r="G2025" s="27" t="n"/>
    </row>
    <row r="2026">
      <c r="A2026" s="27" t="inlineStr">
        <is>
          <t>MK00202</t>
        </is>
      </c>
      <c r="B2026" s="27" t="n">
        <v>528000340</v>
      </c>
      <c r="C2026" s="27" t="inlineStr">
        <is>
          <t>Muhammad Wildan Adithya</t>
        </is>
      </c>
      <c r="D2026" s="171" t="n">
        <v>46232.41666666666</v>
      </c>
      <c r="E2026" s="26" t="n">
        <v>0.5885300925925926</v>
      </c>
      <c r="F2026" s="27" t="inlineStr">
        <is>
          <t>Shift 1</t>
        </is>
      </c>
      <c r="G2026" s="27" t="n"/>
    </row>
    <row r="2027">
      <c r="A2027" s="27" t="inlineStr">
        <is>
          <t>MK00192</t>
        </is>
      </c>
      <c r="B2027" s="27" t="n">
        <v>528000298</v>
      </c>
      <c r="C2027" s="27" t="inlineStr">
        <is>
          <t>Desta Cahaya Pratama</t>
        </is>
      </c>
      <c r="D2027" s="171" t="n">
        <v>46232.41666666666</v>
      </c>
      <c r="E2027" s="26" t="n">
        <v>0.5898611111111111</v>
      </c>
      <c r="F2027" s="27" t="inlineStr">
        <is>
          <t>Shift 1</t>
        </is>
      </c>
      <c r="G2027" s="27" t="n"/>
    </row>
    <row r="2028">
      <c r="A2028" s="27" t="inlineStr">
        <is>
          <t>MK00218</t>
        </is>
      </c>
      <c r="B2028" s="27" t="n">
        <v>528000323</v>
      </c>
      <c r="C2028" s="27" t="inlineStr">
        <is>
          <t>Dian Hamidah</t>
        </is>
      </c>
      <c r="D2028" s="171" t="n">
        <v>46232.41666666666</v>
      </c>
      <c r="E2028" s="26" t="n">
        <v>0.5908680555555555</v>
      </c>
      <c r="F2028" s="27" t="inlineStr">
        <is>
          <t>Shift 1</t>
        </is>
      </c>
      <c r="G2028" s="27" t="n"/>
    </row>
    <row r="2029">
      <c r="A2029" s="27" t="inlineStr">
        <is>
          <t>MK00156</t>
        </is>
      </c>
      <c r="B2029" s="27" t="n">
        <v>528000361</v>
      </c>
      <c r="C2029" s="27" t="inlineStr">
        <is>
          <t>Denada Munggarani</t>
        </is>
      </c>
      <c r="D2029" s="171" t="n">
        <v>46232.41666666666</v>
      </c>
      <c r="E2029" s="26" t="n">
        <v>0.6067013888888889</v>
      </c>
      <c r="F2029" s="27" t="inlineStr">
        <is>
          <t>Shift 1</t>
        </is>
      </c>
      <c r="G2029" s="27" t="n"/>
    </row>
    <row r="2030">
      <c r="A2030" s="27" t="inlineStr">
        <is>
          <t>MK00145</t>
        </is>
      </c>
      <c r="B2030" s="27" t="n">
        <v>528000351</v>
      </c>
      <c r="C2030" s="27" t="inlineStr">
        <is>
          <t>Mulyana</t>
        </is>
      </c>
      <c r="D2030" s="171" t="n">
        <v>46232.41666666666</v>
      </c>
      <c r="E2030" s="26" t="n">
        <v>0.6671759259259259</v>
      </c>
      <c r="F2030" s="27" t="inlineStr">
        <is>
          <t>Shift 2</t>
        </is>
      </c>
      <c r="G2030" s="27" t="n"/>
    </row>
    <row r="2031">
      <c r="A2031" s="27" t="inlineStr">
        <is>
          <t>MK00210</t>
        </is>
      </c>
      <c r="B2031" s="27" t="n">
        <v>528000310</v>
      </c>
      <c r="C2031" s="27" t="inlineStr">
        <is>
          <t>Fachrul Rozzi Suryana</t>
        </is>
      </c>
      <c r="D2031" s="171" t="n">
        <v>46232.41666666666</v>
      </c>
      <c r="E2031" s="26" t="n">
        <v>0.6676041666666667</v>
      </c>
      <c r="F2031" s="27" t="inlineStr">
        <is>
          <t>Shift 2</t>
        </is>
      </c>
      <c r="G2031" s="27" t="inlineStr">
        <is>
          <t>9E</t>
        </is>
      </c>
    </row>
    <row r="2032">
      <c r="A2032" s="27" t="inlineStr">
        <is>
          <t>MK00204</t>
        </is>
      </c>
      <c r="B2032" s="27" t="n">
        <v>528000335</v>
      </c>
      <c r="C2032" s="27" t="inlineStr">
        <is>
          <t>Rizal Saepuloh</t>
        </is>
      </c>
      <c r="D2032" s="171" t="n">
        <v>46232.41666666666</v>
      </c>
      <c r="E2032" s="26" t="n">
        <v>0.6676736111111111</v>
      </c>
      <c r="F2032" s="27" t="inlineStr">
        <is>
          <t>Shift 2</t>
        </is>
      </c>
      <c r="G2032" s="27" t="n"/>
    </row>
    <row r="2033">
      <c r="A2033" s="27" t="inlineStr">
        <is>
          <t>MK00008</t>
        </is>
      </c>
      <c r="B2033" s="27" t="n">
        <v>528000265</v>
      </c>
      <c r="C2033" s="27" t="inlineStr">
        <is>
          <t>Muhammad Haerul Rozikin</t>
        </is>
      </c>
      <c r="D2033" s="171" t="n">
        <v>46232.41666666666</v>
      </c>
      <c r="E2033" s="26" t="n">
        <v>0.6696064814814815</v>
      </c>
      <c r="F2033" s="27" t="inlineStr">
        <is>
          <t>Shift 2</t>
        </is>
      </c>
      <c r="G2033" s="27" t="n"/>
    </row>
    <row r="2034">
      <c r="A2034" s="27" t="inlineStr">
        <is>
          <t>MK00115</t>
        </is>
      </c>
      <c r="B2034" s="27" t="n">
        <v>528000015</v>
      </c>
      <c r="C2034" s="27" t="inlineStr">
        <is>
          <t>Erwin</t>
        </is>
      </c>
      <c r="D2034" s="171" t="n">
        <v>46232.41666666666</v>
      </c>
      <c r="E2034" s="26" t="n">
        <v>0.6705439814814815</v>
      </c>
      <c r="F2034" s="27" t="inlineStr">
        <is>
          <t>Shift 2</t>
        </is>
      </c>
      <c r="G2034" s="27" t="n"/>
    </row>
    <row r="2035">
      <c r="A2035" s="27" t="inlineStr">
        <is>
          <t>MK00230</t>
        </is>
      </c>
      <c r="B2035" s="27" t="n">
        <v>528000282</v>
      </c>
      <c r="C2035" s="27" t="inlineStr">
        <is>
          <t>Defa Desfiana</t>
        </is>
      </c>
      <c r="D2035" s="171" t="n">
        <v>46232.41666666666</v>
      </c>
      <c r="E2035" s="26" t="n">
        <v>0.6708449074074074</v>
      </c>
      <c r="F2035" s="27" t="inlineStr">
        <is>
          <t>Shift 2</t>
        </is>
      </c>
      <c r="G2035" s="27" t="inlineStr">
        <is>
          <t>32c</t>
        </is>
      </c>
    </row>
    <row r="2036">
      <c r="A2036" s="27" t="inlineStr">
        <is>
          <t>MK00150</t>
        </is>
      </c>
      <c r="B2036" s="27" t="n">
        <v>528000232</v>
      </c>
      <c r="C2036" s="27" t="inlineStr">
        <is>
          <t>Agung Aji Suhada</t>
        </is>
      </c>
      <c r="D2036" s="171" t="n">
        <v>46232.41666666666</v>
      </c>
      <c r="E2036" s="26" t="n">
        <v>0.7105324074074074</v>
      </c>
      <c r="F2036" s="27" t="inlineStr">
        <is>
          <t>Shift 2</t>
        </is>
      </c>
      <c r="G2036" s="27" t="n"/>
    </row>
    <row r="2037">
      <c r="A2037" s="27" t="inlineStr">
        <is>
          <t>MK00141</t>
        </is>
      </c>
      <c r="B2037" s="27" t="n">
        <v>528000040</v>
      </c>
      <c r="C2037" s="27" t="inlineStr">
        <is>
          <t>Agus Suryaman</t>
        </is>
      </c>
      <c r="D2037" s="171" t="n">
        <v>46232.41666666666</v>
      </c>
      <c r="E2037" s="26" t="n">
        <v>0.7251851851851852</v>
      </c>
      <c r="F2037" s="27" t="inlineStr">
        <is>
          <t>Shift 2</t>
        </is>
      </c>
      <c r="G2037" s="27" t="n"/>
    </row>
    <row r="2038">
      <c r="A2038" s="27" t="inlineStr">
        <is>
          <t>MK00116</t>
        </is>
      </c>
      <c r="B2038" s="27" t="n">
        <v>528000349</v>
      </c>
      <c r="C2038" s="27" t="inlineStr">
        <is>
          <t>Anas Abdul Fatah</t>
        </is>
      </c>
      <c r="D2038" s="171" t="n">
        <v>46232.41666666666</v>
      </c>
      <c r="E2038" s="26" t="n">
        <v>0.760625</v>
      </c>
      <c r="F2038" s="27" t="inlineStr">
        <is>
          <t>Shift 2</t>
        </is>
      </c>
      <c r="G2038" s="27" t="n"/>
    </row>
    <row r="2039">
      <c r="A2039" s="27" t="inlineStr">
        <is>
          <t>MK00205</t>
        </is>
      </c>
      <c r="B2039" s="27" t="n">
        <v>528000348</v>
      </c>
      <c r="C2039" s="27" t="inlineStr">
        <is>
          <t>Saepuloh Ardiansah</t>
        </is>
      </c>
      <c r="D2039" s="171" t="n">
        <v>46232.41666666666</v>
      </c>
      <c r="E2039" s="26" t="n">
        <v>0.8070138888888889</v>
      </c>
      <c r="F2039" s="27" t="inlineStr">
        <is>
          <t>Shift 2</t>
        </is>
      </c>
      <c r="G2039" s="27" t="n"/>
    </row>
    <row r="2040">
      <c r="A2040" s="27" t="inlineStr">
        <is>
          <t>MK00221</t>
        </is>
      </c>
      <c r="B2040" s="27" t="n">
        <v>528000144</v>
      </c>
      <c r="C2040" s="27" t="inlineStr">
        <is>
          <t>Jodi Hanafi</t>
        </is>
      </c>
      <c r="D2040" s="171" t="n">
        <v>46232.41666666666</v>
      </c>
      <c r="E2040" s="26" t="n">
        <v>0.8220486111111112</v>
      </c>
      <c r="F2040" s="27" t="inlineStr">
        <is>
          <t>Shift 2</t>
        </is>
      </c>
      <c r="G2040" s="27" t="n"/>
    </row>
    <row r="2041">
      <c r="A2041" s="27" t="inlineStr">
        <is>
          <t>MK00095</t>
        </is>
      </c>
      <c r="B2041" s="27" t="n">
        <v>528000283</v>
      </c>
      <c r="C2041" s="27" t="inlineStr">
        <is>
          <t>Purwanda Sugiri</t>
        </is>
      </c>
      <c r="D2041" s="171" t="n">
        <v>46232.41666666666</v>
      </c>
      <c r="E2041" s="26" t="n">
        <v>0.909699074074074</v>
      </c>
      <c r="F2041" s="27" t="inlineStr">
        <is>
          <t>Shift 2</t>
        </is>
      </c>
      <c r="G2041" s="27" t="n"/>
    </row>
    <row r="2042">
      <c r="A2042" s="27" t="inlineStr">
        <is>
          <t>MK00125</t>
        </is>
      </c>
      <c r="B2042" s="27" t="n">
        <v>528000314</v>
      </c>
      <c r="C2042" s="27" t="inlineStr">
        <is>
          <t>Rusmana</t>
        </is>
      </c>
      <c r="D2042" s="171" t="n">
        <v>46232.41666666666</v>
      </c>
      <c r="E2042" s="26" t="n">
        <v>0.9117592592592593</v>
      </c>
      <c r="F2042" s="27" t="inlineStr">
        <is>
          <t>Shift 2</t>
        </is>
      </c>
      <c r="G2042" s="27" t="n"/>
    </row>
    <row r="2043">
      <c r="A2043" s="27" t="inlineStr">
        <is>
          <t>MK00138</t>
        </is>
      </c>
      <c r="B2043" s="27" t="n">
        <v>528000248</v>
      </c>
      <c r="C2043" s="27" t="inlineStr">
        <is>
          <t>Roka Jaya Salka Mulya</t>
        </is>
      </c>
      <c r="D2043" s="171" t="n">
        <v>46232.41666666666</v>
      </c>
      <c r="E2043" s="26" t="n">
        <v>0.9191435185185185</v>
      </c>
      <c r="F2043" s="27" t="inlineStr">
        <is>
          <t>Shift 2</t>
        </is>
      </c>
      <c r="G2043" s="27" t="n"/>
    </row>
    <row r="2044">
      <c r="A2044" s="27" t="inlineStr">
        <is>
          <t>MK00160</t>
        </is>
      </c>
      <c r="B2044" s="27" t="n">
        <v>528000324</v>
      </c>
      <c r="C2044" s="27" t="inlineStr">
        <is>
          <t>Sri Yanti</t>
        </is>
      </c>
      <c r="D2044" s="171" t="n">
        <v>46232.41666666666</v>
      </c>
      <c r="E2044" s="26" t="n">
        <v>0.9197337962962963</v>
      </c>
      <c r="F2044" s="27" t="inlineStr">
        <is>
          <t>Shift 2</t>
        </is>
      </c>
      <c r="G2044" s="27" t="n"/>
    </row>
    <row r="2045">
      <c r="A2045" s="27" t="inlineStr">
        <is>
          <t>MK00154</t>
        </is>
      </c>
      <c r="B2045" s="27" t="n">
        <v>628000064</v>
      </c>
      <c r="C2045" s="27" t="inlineStr">
        <is>
          <t>Silva Alypia</t>
        </is>
      </c>
      <c r="D2045" s="171" t="n">
        <v>46232.41666666666</v>
      </c>
      <c r="E2045" s="26" t="n">
        <v>0.9199074074074074</v>
      </c>
      <c r="F2045" s="27" t="inlineStr">
        <is>
          <t>Shift 2</t>
        </is>
      </c>
      <c r="G2045" s="27" t="n"/>
    </row>
    <row r="2046">
      <c r="A2046" s="27" t="inlineStr">
        <is>
          <t>MK00090</t>
        </is>
      </c>
      <c r="B2046" s="27" t="n">
        <v>528000279</v>
      </c>
      <c r="C2046" s="27" t="inlineStr">
        <is>
          <t>Mahdalena Dalfa Riani</t>
        </is>
      </c>
      <c r="D2046" s="171" t="n">
        <v>46232.41666666666</v>
      </c>
      <c r="E2046" s="26" t="n">
        <v>0.9200231481481481</v>
      </c>
      <c r="F2046" s="27" t="inlineStr">
        <is>
          <t>Shift 2</t>
        </is>
      </c>
      <c r="G2046" s="27" t="n"/>
    </row>
    <row r="2047">
      <c r="A2047" s="27" t="inlineStr">
        <is>
          <t>MK00143</t>
        </is>
      </c>
      <c r="B2047" s="27" t="n">
        <v>628000018</v>
      </c>
      <c r="C2047" s="27" t="inlineStr">
        <is>
          <t>Annisa Tri Pratiwi</t>
        </is>
      </c>
      <c r="D2047" s="171" t="n">
        <v>46232.41666666666</v>
      </c>
      <c r="E2047" s="26" t="n">
        <v>0.9204629629629629</v>
      </c>
      <c r="F2047" s="27" t="inlineStr">
        <is>
          <t>Shift 2</t>
        </is>
      </c>
      <c r="G2047" s="27" t="n"/>
    </row>
    <row r="2048">
      <c r="A2048" s="27" t="inlineStr">
        <is>
          <t>MK00209</t>
        </is>
      </c>
      <c r="B2048" s="27" t="n">
        <v>528000266</v>
      </c>
      <c r="C2048" s="27" t="inlineStr">
        <is>
          <t>M. Syirajatieq</t>
        </is>
      </c>
      <c r="D2048" s="171" t="n">
        <v>46232.41666666666</v>
      </c>
      <c r="E2048" s="26" t="n">
        <v>0.9268287037037037</v>
      </c>
      <c r="F2048" s="27" t="inlineStr">
        <is>
          <t>Shift 2</t>
        </is>
      </c>
      <c r="G2048" s="27" t="n"/>
    </row>
    <row r="2049">
      <c r="A2049" s="27" t="inlineStr">
        <is>
          <t>MK00093</t>
        </is>
      </c>
      <c r="B2049" s="27" t="n">
        <v>528000267</v>
      </c>
      <c r="C2049" s="27" t="inlineStr">
        <is>
          <t>Bagas Patulloh</t>
        </is>
      </c>
      <c r="D2049" s="171" t="n">
        <v>46233.41666666666</v>
      </c>
      <c r="E2049" s="26" t="n">
        <v>0.0005787037037037037</v>
      </c>
      <c r="F2049" s="27" t="inlineStr">
        <is>
          <t>Shift 3</t>
        </is>
      </c>
      <c r="G2049" s="27" t="n"/>
    </row>
    <row r="2050">
      <c r="A2050" s="27" t="inlineStr">
        <is>
          <t>MK0095</t>
        </is>
      </c>
      <c r="B2050" s="27" t="n">
        <v>528000302</v>
      </c>
      <c r="C2050" s="27" t="inlineStr">
        <is>
          <t>Henkey gumilar</t>
        </is>
      </c>
      <c r="D2050" s="171" t="n">
        <v>46233.41666666666</v>
      </c>
      <c r="E2050" s="26" t="n">
        <v>0.2447337962962963</v>
      </c>
      <c r="F2050" s="27" t="inlineStr">
        <is>
          <t>Shift 3</t>
        </is>
      </c>
      <c r="G2050" s="27" t="n"/>
    </row>
    <row r="2051">
      <c r="A2051" s="27" t="inlineStr">
        <is>
          <t>MK00145</t>
        </is>
      </c>
      <c r="B2051" s="27" t="n">
        <v>528000052</v>
      </c>
      <c r="C2051" s="27" t="inlineStr">
        <is>
          <t>Mustopa</t>
        </is>
      </c>
      <c r="D2051" s="171" t="n">
        <v>46233.41666666666</v>
      </c>
      <c r="E2051" s="26" t="n">
        <v>0.2525810185185185</v>
      </c>
      <c r="F2051" s="27" t="inlineStr">
        <is>
          <t>Shift 3</t>
        </is>
      </c>
      <c r="G2051" s="27" t="n"/>
    </row>
    <row r="2052">
      <c r="A2052" s="27" t="inlineStr">
        <is>
          <t>MK00186</t>
        </is>
      </c>
      <c r="B2052" s="27" t="n">
        <v>528000360</v>
      </c>
      <c r="C2052" s="27" t="inlineStr">
        <is>
          <t>Hendra Permana</t>
        </is>
      </c>
      <c r="D2052" s="171" t="n">
        <v>46233.41666666666</v>
      </c>
      <c r="E2052" s="26" t="n">
        <v>0.2528472222222222</v>
      </c>
      <c r="F2052" s="27" t="inlineStr">
        <is>
          <t>Shift 3</t>
        </is>
      </c>
      <c r="G2052" s="27" t="inlineStr">
        <is>
          <t>2E</t>
        </is>
      </c>
    </row>
    <row r="2053">
      <c r="A2053" s="27" t="inlineStr">
        <is>
          <t>MK00218</t>
        </is>
      </c>
      <c r="B2053" s="27" t="n">
        <v>528000261</v>
      </c>
      <c r="C2053" s="27" t="inlineStr">
        <is>
          <t>Ergi Ergianto</t>
        </is>
      </c>
      <c r="D2053" s="171" t="n">
        <v>46233.41666666666</v>
      </c>
      <c r="E2053" s="26" t="n">
        <v>0.2530439814814815</v>
      </c>
      <c r="F2053" s="27" t="inlineStr">
        <is>
          <t>Shift 3</t>
        </is>
      </c>
      <c r="G2053" s="27" t="n"/>
    </row>
    <row r="2054">
      <c r="A2054" s="27" t="inlineStr">
        <is>
          <t>MK00210</t>
        </is>
      </c>
      <c r="B2054" s="27" t="n">
        <v>528000325</v>
      </c>
      <c r="C2054" s="27" t="inlineStr">
        <is>
          <t>Rani Septia Ramadani</t>
        </is>
      </c>
      <c r="D2054" s="171" t="n">
        <v>46233.41666666666</v>
      </c>
      <c r="E2054" s="26" t="n">
        <v>0.2534143518518518</v>
      </c>
      <c r="F2054" s="27" t="inlineStr">
        <is>
          <t>Shift 3</t>
        </is>
      </c>
      <c r="G2054" s="27" t="n"/>
    </row>
    <row r="2055">
      <c r="A2055" s="27" t="inlineStr">
        <is>
          <t>MK00109</t>
        </is>
      </c>
      <c r="B2055" s="27" t="n">
        <v>528000283</v>
      </c>
      <c r="C2055" s="27" t="inlineStr">
        <is>
          <t>Purwanda Sugiri</t>
        </is>
      </c>
      <c r="D2055" s="171" t="n">
        <v>46233.41666666666</v>
      </c>
      <c r="E2055" s="26" t="n">
        <v>0.2535069444444444</v>
      </c>
      <c r="F2055" s="27" t="inlineStr">
        <is>
          <t>Shift 3</t>
        </is>
      </c>
      <c r="G2055" s="27" t="n"/>
    </row>
    <row r="2056">
      <c r="A2056" s="27" t="inlineStr">
        <is>
          <t>MK00136</t>
        </is>
      </c>
      <c r="B2056" s="27" t="n">
        <v>528000328</v>
      </c>
      <c r="C2056" s="27" t="inlineStr">
        <is>
          <t>Nur Anjani</t>
        </is>
      </c>
      <c r="D2056" s="171" t="n">
        <v>46233.41666666666</v>
      </c>
      <c r="E2056" s="26" t="n">
        <v>0.2535300925925926</v>
      </c>
      <c r="F2056" s="27" t="inlineStr">
        <is>
          <t>Shift 3</t>
        </is>
      </c>
      <c r="G2056" s="27" t="n"/>
    </row>
    <row r="2057">
      <c r="A2057" s="27" t="inlineStr">
        <is>
          <t>MK00108</t>
        </is>
      </c>
      <c r="B2057" s="27" t="n">
        <v>528000262</v>
      </c>
      <c r="C2057" s="27" t="inlineStr">
        <is>
          <t>Ndari Dwiwanti</t>
        </is>
      </c>
      <c r="D2057" s="171" t="n">
        <v>46233.41666666666</v>
      </c>
      <c r="E2057" s="26" t="n">
        <v>0.2536342592592593</v>
      </c>
      <c r="F2057" s="27" t="inlineStr">
        <is>
          <t>Shift 3</t>
        </is>
      </c>
      <c r="G2057" s="27" t="n"/>
    </row>
    <row r="2058">
      <c r="A2058" s="27" t="inlineStr">
        <is>
          <t>MK00181</t>
        </is>
      </c>
      <c r="B2058" s="27" t="n">
        <v>528000291</v>
      </c>
      <c r="C2058" s="27" t="inlineStr">
        <is>
          <t>Andrian</t>
        </is>
      </c>
      <c r="D2058" s="171" t="n">
        <v>46233.41666666666</v>
      </c>
      <c r="E2058" s="26" t="n">
        <v>0.2536921296296296</v>
      </c>
      <c r="F2058" s="27" t="inlineStr">
        <is>
          <t>Shift 3</t>
        </is>
      </c>
      <c r="G2058" s="27" t="n"/>
    </row>
    <row r="2059">
      <c r="A2059" s="27" t="inlineStr">
        <is>
          <t>MK00220</t>
        </is>
      </c>
      <c r="B2059" s="27" t="n">
        <v>528000358</v>
      </c>
      <c r="C2059" s="27" t="inlineStr">
        <is>
          <t>Lulu Agustin</t>
        </is>
      </c>
      <c r="D2059" s="171" t="n">
        <v>46233.41666666666</v>
      </c>
      <c r="E2059" s="26" t="n">
        <v>0.2537384259259259</v>
      </c>
      <c r="F2059" s="27" t="inlineStr">
        <is>
          <t>Shift 3</t>
        </is>
      </c>
      <c r="G2059" s="27" t="n"/>
    </row>
    <row r="2060">
      <c r="A2060" s="27" t="inlineStr">
        <is>
          <t>MK00230</t>
        </is>
      </c>
      <c r="B2060" s="27" t="n">
        <v>528000306</v>
      </c>
      <c r="C2060" s="27" t="inlineStr">
        <is>
          <t>Windy Olivia</t>
        </is>
      </c>
      <c r="D2060" s="171" t="n">
        <v>46233.41666666666</v>
      </c>
      <c r="E2060" s="26" t="n">
        <v>0.2540856481481482</v>
      </c>
      <c r="F2060" s="27" t="inlineStr">
        <is>
          <t>Shift 3</t>
        </is>
      </c>
      <c r="G2060" s="27" t="n"/>
    </row>
    <row r="2061">
      <c r="A2061" s="27" t="inlineStr">
        <is>
          <t>MK00088</t>
        </is>
      </c>
      <c r="B2061" s="27" t="n">
        <v>528000336</v>
      </c>
      <c r="C2061" s="27" t="inlineStr">
        <is>
          <t>Ali Nurhanafi</t>
        </is>
      </c>
      <c r="D2061" s="171" t="n">
        <v>46233.41666666666</v>
      </c>
      <c r="E2061" s="26" t="n">
        <v>0.2577662037037037</v>
      </c>
      <c r="F2061" s="27" t="inlineStr">
        <is>
          <t>Shift 3</t>
        </is>
      </c>
      <c r="G2061" s="27" t="n"/>
    </row>
    <row r="2062">
      <c r="A2062" s="27" t="inlineStr">
        <is>
          <t>MK00202</t>
        </is>
      </c>
      <c r="B2062" s="27" t="n">
        <v>528000337</v>
      </c>
      <c r="C2062" s="27" t="inlineStr">
        <is>
          <t>Ahmad Zaldi Firdaus</t>
        </is>
      </c>
      <c r="D2062" s="171" t="n">
        <v>46233.41666666666</v>
      </c>
      <c r="E2062" s="26" t="n">
        <v>0.2583217592592593</v>
      </c>
      <c r="F2062" s="27" t="inlineStr">
        <is>
          <t>Shift 3</t>
        </is>
      </c>
      <c r="G2062" s="27" t="n"/>
    </row>
    <row r="2063">
      <c r="A2063" s="27" t="inlineStr">
        <is>
          <t>MK0130</t>
        </is>
      </c>
      <c r="B2063" s="27" t="n">
        <v>528000149</v>
      </c>
      <c r="C2063" s="27" t="inlineStr">
        <is>
          <t>Tio Fernanda</t>
        </is>
      </c>
      <c r="D2063" s="171" t="n">
        <v>46233.41666666666</v>
      </c>
      <c r="E2063" s="26" t="n">
        <v>0.3557291666666667</v>
      </c>
      <c r="F2063" s="27" t="inlineStr">
        <is>
          <t>Shift 1</t>
        </is>
      </c>
      <c r="G2063" s="27" t="n"/>
    </row>
    <row r="2064">
      <c r="A2064" s="27" t="inlineStr">
        <is>
          <t>MK00141</t>
        </is>
      </c>
      <c r="B2064" s="27" t="n">
        <v>528000040</v>
      </c>
      <c r="C2064" s="27" t="inlineStr">
        <is>
          <t>Agus Suryaman</t>
        </is>
      </c>
      <c r="D2064" s="171" t="n">
        <v>46233.41666666666</v>
      </c>
      <c r="E2064" s="26" t="n">
        <v>0.3654050925925926</v>
      </c>
      <c r="F2064" s="27" t="inlineStr">
        <is>
          <t>Shift 1</t>
        </is>
      </c>
      <c r="G2064" s="27" t="n"/>
    </row>
    <row r="2065">
      <c r="A2065" s="27" t="inlineStr">
        <is>
          <t>MK00250</t>
        </is>
      </c>
      <c r="B2065" s="27" t="n">
        <v>528000305</v>
      </c>
      <c r="C2065" s="27" t="inlineStr">
        <is>
          <t>Puji Puspita</t>
        </is>
      </c>
      <c r="D2065" s="171" t="n">
        <v>46233.41666666666</v>
      </c>
      <c r="E2065" s="26" t="n">
        <v>0.5859722222222222</v>
      </c>
      <c r="F2065" s="27" t="inlineStr">
        <is>
          <t>Shift 1</t>
        </is>
      </c>
      <c r="G2065" s="27" t="n"/>
    </row>
    <row r="2066">
      <c r="A2066" s="27" t="inlineStr">
        <is>
          <t>MK00138</t>
        </is>
      </c>
      <c r="B2066" s="27" t="n">
        <v>528000318</v>
      </c>
      <c r="C2066" s="27" t="inlineStr">
        <is>
          <t>Bayu Padli Sepriyana</t>
        </is>
      </c>
      <c r="D2066" s="171" t="n">
        <v>46233.41666666666</v>
      </c>
      <c r="E2066" s="26" t="n">
        <v>0.5863773148148148</v>
      </c>
      <c r="F2066" s="27" t="inlineStr">
        <is>
          <t>Shift 1</t>
        </is>
      </c>
      <c r="G2066" s="27" t="n"/>
    </row>
    <row r="2067">
      <c r="A2067" s="27" t="inlineStr">
        <is>
          <t>MK00154</t>
        </is>
      </c>
      <c r="B2067" s="27" t="n">
        <v>528000309</v>
      </c>
      <c r="C2067" s="27" t="inlineStr">
        <is>
          <t>Ilham Ramadhan</t>
        </is>
      </c>
      <c r="D2067" s="171" t="n">
        <v>46233.41666666666</v>
      </c>
      <c r="E2067" s="26" t="n">
        <v>0.5870833333333333</v>
      </c>
      <c r="F2067" s="27" t="inlineStr">
        <is>
          <t>Shift 1</t>
        </is>
      </c>
      <c r="G2067" s="27" t="n"/>
    </row>
    <row r="2068">
      <c r="A2068" s="27" t="inlineStr">
        <is>
          <t>MK00008</t>
        </is>
      </c>
      <c r="B2068" s="27" t="n">
        <v>528000313</v>
      </c>
      <c r="C2068" s="27" t="inlineStr">
        <is>
          <t>Muhamad Rifki</t>
        </is>
      </c>
      <c r="D2068" s="171" t="n">
        <v>46233.41666666666</v>
      </c>
      <c r="E2068" s="26" t="n">
        <v>0.5872685185185185</v>
      </c>
      <c r="F2068" s="27" t="inlineStr">
        <is>
          <t>Shift 1</t>
        </is>
      </c>
      <c r="G2068" s="27" t="n"/>
    </row>
    <row r="2069">
      <c r="A2069" s="27" t="inlineStr">
        <is>
          <t>MK00212</t>
        </is>
      </c>
      <c r="B2069" s="27" t="n">
        <v>528000298</v>
      </c>
      <c r="C2069" s="27" t="inlineStr">
        <is>
          <t>Desta Cahaya Pratama</t>
        </is>
      </c>
      <c r="D2069" s="171" t="n">
        <v>46233.41666666666</v>
      </c>
      <c r="E2069" s="26" t="n">
        <v>0.5873958333333333</v>
      </c>
      <c r="F2069" s="27" t="inlineStr">
        <is>
          <t>Shift 1</t>
        </is>
      </c>
      <c r="G2069" s="27" t="n"/>
    </row>
    <row r="2070">
      <c r="A2070" s="27" t="inlineStr">
        <is>
          <t>MK00213</t>
        </is>
      </c>
      <c r="B2070" s="27" t="n">
        <v>528000299</v>
      </c>
      <c r="C2070" s="27" t="inlineStr">
        <is>
          <t>Siti Nurjanah</t>
        </is>
      </c>
      <c r="D2070" s="171" t="n">
        <v>46233.41666666666</v>
      </c>
      <c r="E2070" s="26" t="n">
        <v>0.5876157407407407</v>
      </c>
      <c r="F2070" s="27" t="inlineStr">
        <is>
          <t>Shift 1</t>
        </is>
      </c>
      <c r="G2070" s="27" t="n"/>
    </row>
    <row r="2071">
      <c r="A2071" s="27" t="inlineStr">
        <is>
          <t>MK00160</t>
        </is>
      </c>
      <c r="B2071" s="27" t="n">
        <v>528000340</v>
      </c>
      <c r="C2071" s="27" t="inlineStr">
        <is>
          <t>Muhammad Wildan Adithya</t>
        </is>
      </c>
      <c r="D2071" s="171" t="n">
        <v>46233.41666666666</v>
      </c>
      <c r="E2071" s="26" t="n">
        <v>0.587650462962963</v>
      </c>
      <c r="F2071" s="27" t="inlineStr">
        <is>
          <t>Shift 1</t>
        </is>
      </c>
      <c r="G2071" s="27" t="n"/>
    </row>
    <row r="2072">
      <c r="A2072" s="27" t="inlineStr">
        <is>
          <t>MK00121</t>
        </is>
      </c>
      <c r="B2072" s="27" t="n">
        <v>528000322</v>
      </c>
      <c r="C2072" s="27" t="inlineStr">
        <is>
          <t>Muhamad Aliludin</t>
        </is>
      </c>
      <c r="D2072" s="171" t="n">
        <v>46233.41666666666</v>
      </c>
      <c r="E2072" s="26" t="n">
        <v>0.5886226851851852</v>
      </c>
      <c r="F2072" s="27" t="inlineStr">
        <is>
          <t>Shift 1</t>
        </is>
      </c>
      <c r="G2072" s="27" t="n"/>
    </row>
    <row r="2073">
      <c r="A2073" s="27" t="inlineStr">
        <is>
          <t>MK00143</t>
        </is>
      </c>
      <c r="B2073" s="27" t="n">
        <v>628000091</v>
      </c>
      <c r="C2073" s="27" t="inlineStr">
        <is>
          <t>Devita Handayani</t>
        </is>
      </c>
      <c r="D2073" s="171" t="n">
        <v>46233.41666666666</v>
      </c>
      <c r="E2073" s="26" t="n">
        <v>0.5886921296296296</v>
      </c>
      <c r="F2073" s="27" t="inlineStr">
        <is>
          <t>Shift 1</t>
        </is>
      </c>
      <c r="G2073" s="27" t="n"/>
    </row>
    <row r="2074">
      <c r="A2074" s="27" t="inlineStr">
        <is>
          <t>MK00123</t>
        </is>
      </c>
      <c r="B2074" s="27" t="n">
        <v>528000015</v>
      </c>
      <c r="C2074" s="27" t="inlineStr">
        <is>
          <t>Erwin</t>
        </is>
      </c>
      <c r="D2074" s="171" t="n">
        <v>46233.41666666666</v>
      </c>
      <c r="E2074" s="26" t="n">
        <v>0.5996875</v>
      </c>
      <c r="F2074" s="27" t="inlineStr">
        <is>
          <t>Shift 1</t>
        </is>
      </c>
      <c r="G2074" s="27" t="n"/>
    </row>
    <row r="2075">
      <c r="A2075" s="27" t="inlineStr">
        <is>
          <t>MK00136</t>
        </is>
      </c>
      <c r="B2075" s="27" t="n">
        <v>528000310</v>
      </c>
      <c r="C2075" s="27" t="inlineStr">
        <is>
          <t>Fachrul Rozzi Suryana</t>
        </is>
      </c>
      <c r="D2075" s="171" t="n">
        <v>46233.41666666666</v>
      </c>
      <c r="E2075" s="26" t="n">
        <v>0.6667824074074075</v>
      </c>
      <c r="F2075" s="27" t="inlineStr">
        <is>
          <t>Shift 2</t>
        </is>
      </c>
      <c r="G2075" s="27" t="inlineStr">
        <is>
          <t>9E</t>
        </is>
      </c>
    </row>
    <row r="2076">
      <c r="A2076" s="27" t="inlineStr">
        <is>
          <t>MK00209</t>
        </is>
      </c>
      <c r="B2076" s="27" t="n">
        <v>528000282</v>
      </c>
      <c r="C2076" s="27" t="inlineStr">
        <is>
          <t>Defa Desfiana</t>
        </is>
      </c>
      <c r="D2076" s="171" t="n">
        <v>46233.41666666666</v>
      </c>
      <c r="E2076" s="26" t="n">
        <v>0.6675231481481482</v>
      </c>
      <c r="F2076" s="27" t="inlineStr">
        <is>
          <t>Shift 2</t>
        </is>
      </c>
      <c r="G2076" s="27" t="inlineStr">
        <is>
          <t>32c</t>
        </is>
      </c>
    </row>
    <row r="2077">
      <c r="A2077" s="27" t="inlineStr">
        <is>
          <t>MK00204</t>
        </is>
      </c>
      <c r="B2077" s="27" t="n">
        <v>528000335</v>
      </c>
      <c r="C2077" s="27" t="inlineStr">
        <is>
          <t>Rizal Saepuloh</t>
        </is>
      </c>
      <c r="D2077" s="171" t="n">
        <v>46233.41666666666</v>
      </c>
      <c r="E2077" s="26" t="n">
        <v>0.6686805555555555</v>
      </c>
      <c r="F2077" s="27" t="inlineStr">
        <is>
          <t>Shift 2</t>
        </is>
      </c>
      <c r="G2077" s="27" t="n"/>
    </row>
    <row r="2078">
      <c r="A2078" s="27" t="inlineStr">
        <is>
          <t>MK00208</t>
        </is>
      </c>
      <c r="B2078" s="27" t="n">
        <v>528000351</v>
      </c>
      <c r="C2078" s="27" t="inlineStr">
        <is>
          <t>Mulyana</t>
        </is>
      </c>
      <c r="D2078" s="171" t="n">
        <v>46233.41666666666</v>
      </c>
      <c r="E2078" s="26" t="n">
        <v>0.668900462962963</v>
      </c>
      <c r="F2078" s="27" t="inlineStr">
        <is>
          <t>Shift 2</t>
        </is>
      </c>
      <c r="G2078" s="27" t="n"/>
    </row>
    <row r="2079">
      <c r="A2079" s="27" t="inlineStr">
        <is>
          <t>MK00186</t>
        </is>
      </c>
      <c r="B2079" s="27" t="n">
        <v>528000265</v>
      </c>
      <c r="C2079" s="27" t="inlineStr">
        <is>
          <t>Muhammad Haerul Rozikin</t>
        </is>
      </c>
      <c r="D2079" s="171" t="n">
        <v>46233.41666666666</v>
      </c>
      <c r="E2079" s="26" t="n">
        <v>0.6690972222222222</v>
      </c>
      <c r="F2079" s="27" t="inlineStr">
        <is>
          <t>Shift 2</t>
        </is>
      </c>
      <c r="G2079" s="27" t="n"/>
    </row>
    <row r="2080">
      <c r="A2080" s="27" t="inlineStr">
        <is>
          <t>MK00221</t>
        </is>
      </c>
      <c r="B2080" s="27" t="n">
        <v>528000144</v>
      </c>
      <c r="C2080" s="27" t="inlineStr">
        <is>
          <t>Jodi Hanafi</t>
        </is>
      </c>
      <c r="D2080" s="171" t="n">
        <v>46233.41666666666</v>
      </c>
      <c r="E2080" s="26" t="n">
        <v>0.6715393518518519</v>
      </c>
      <c r="F2080" s="27" t="inlineStr">
        <is>
          <t>Shift 2</t>
        </is>
      </c>
      <c r="G2080" s="27" t="n"/>
    </row>
    <row r="2081">
      <c r="A2081" s="27" t="inlineStr">
        <is>
          <t>MK00203</t>
        </is>
      </c>
      <c r="B2081" s="27" t="n">
        <v>528000361</v>
      </c>
      <c r="C2081" s="27" t="inlineStr">
        <is>
          <t>Denada Munggarani</t>
        </is>
      </c>
      <c r="D2081" s="171" t="n">
        <v>46233.41666666666</v>
      </c>
      <c r="E2081" s="26" t="n">
        <v>0.7092013888888888</v>
      </c>
      <c r="F2081" s="27" t="inlineStr">
        <is>
          <t>Shift 2</t>
        </is>
      </c>
      <c r="G2081" s="27" t="n"/>
    </row>
    <row r="2082">
      <c r="A2082" s="27" t="inlineStr">
        <is>
          <t>MK00150</t>
        </is>
      </c>
      <c r="B2082" s="27" t="n">
        <v>528000232</v>
      </c>
      <c r="C2082" s="27" t="inlineStr">
        <is>
          <t>Agung Aji Suhada</t>
        </is>
      </c>
      <c r="D2082" s="171" t="n">
        <v>46233.41666666666</v>
      </c>
      <c r="E2082" s="26" t="n">
        <v>0.7092708333333333</v>
      </c>
      <c r="F2082" s="27" t="inlineStr">
        <is>
          <t>Shift 2</t>
        </is>
      </c>
      <c r="G2082" s="27" t="n"/>
    </row>
    <row r="2083">
      <c r="A2083" s="27" t="inlineStr">
        <is>
          <t>MK00125</t>
        </is>
      </c>
      <c r="B2083" s="27" t="n">
        <v>528000314</v>
      </c>
      <c r="C2083" s="27" t="inlineStr">
        <is>
          <t>Rusmana</t>
        </is>
      </c>
      <c r="D2083" s="171" t="n">
        <v>46233.41666666666</v>
      </c>
      <c r="E2083" s="26" t="n">
        <v>0.9081712962962963</v>
      </c>
      <c r="F2083" s="27" t="inlineStr">
        <is>
          <t>Shift 2</t>
        </is>
      </c>
      <c r="G2083" s="27" t="n"/>
    </row>
    <row r="2084">
      <c r="A2084" s="27" t="inlineStr">
        <is>
          <t>MK00249</t>
        </is>
      </c>
      <c r="B2084" s="27" t="n">
        <v>528000289</v>
      </c>
      <c r="C2084" s="27" t="inlineStr">
        <is>
          <t>Adit Supriyadi</t>
        </is>
      </c>
      <c r="D2084" s="171" t="n">
        <v>46233.41666666666</v>
      </c>
      <c r="E2084" s="26" t="n">
        <v>0.9202546296296297</v>
      </c>
      <c r="F2084" s="27" t="inlineStr">
        <is>
          <t>Shift 2</t>
        </is>
      </c>
      <c r="G2084" s="27" t="n"/>
    </row>
    <row r="2085">
      <c r="A2085" s="27" t="inlineStr">
        <is>
          <t>MK00181</t>
        </is>
      </c>
      <c r="B2085" s="27" t="n">
        <v>628000064</v>
      </c>
      <c r="C2085" s="27" t="inlineStr">
        <is>
          <t>Silva Alypia</t>
        </is>
      </c>
      <c r="D2085" s="171" t="n">
        <v>46233.41666666666</v>
      </c>
      <c r="E2085" s="26" t="n">
        <v>0.9208449074074074</v>
      </c>
      <c r="F2085" s="27" t="inlineStr">
        <is>
          <t>Shift 2</t>
        </is>
      </c>
      <c r="G2085" s="27" t="n"/>
    </row>
    <row r="2086">
      <c r="A2086" s="27" t="inlineStr">
        <is>
          <t>MK00230</t>
        </is>
      </c>
      <c r="B2086" s="27" t="n">
        <v>528000300</v>
      </c>
      <c r="C2086" s="27" t="inlineStr">
        <is>
          <t>Lia pitaloka</t>
        </is>
      </c>
      <c r="D2086" s="171" t="n">
        <v>46233.41666666666</v>
      </c>
      <c r="E2086" s="26" t="n">
        <v>0.9229976851851852</v>
      </c>
      <c r="F2086" s="27" t="inlineStr">
        <is>
          <t>Shift 2</t>
        </is>
      </c>
      <c r="G2086" s="27" t="n"/>
    </row>
    <row r="2087">
      <c r="A2087" s="27" t="inlineStr">
        <is>
          <t>MK00217</t>
        </is>
      </c>
      <c r="B2087" s="27" t="n">
        <v>528000279</v>
      </c>
      <c r="C2087" s="27" t="inlineStr">
        <is>
          <t>Mahdalena Dalfa Riani</t>
        </is>
      </c>
      <c r="D2087" s="171" t="n">
        <v>46233.41666666666</v>
      </c>
      <c r="E2087" s="26" t="n">
        <v>0.9236689814814815</v>
      </c>
      <c r="F2087" s="27" t="inlineStr">
        <is>
          <t>Shift 2</t>
        </is>
      </c>
      <c r="G2087" s="27" t="n"/>
    </row>
    <row r="2088">
      <c r="A2088" s="27" t="inlineStr">
        <is>
          <t>MK00210</t>
        </is>
      </c>
      <c r="B2088" s="27" t="n">
        <v>528000305</v>
      </c>
      <c r="C2088" s="27" t="inlineStr">
        <is>
          <t>Puji Puspita</t>
        </is>
      </c>
      <c r="D2088" s="171" t="n">
        <v>46203.41666666666</v>
      </c>
      <c r="E2088" s="26" t="n">
        <v>0.2399537037037037</v>
      </c>
      <c r="F2088" s="27" t="inlineStr">
        <is>
          <t>Shift 3</t>
        </is>
      </c>
      <c r="G2088" s="27" t="n"/>
    </row>
    <row r="2089">
      <c r="A2089" s="27" t="inlineStr">
        <is>
          <t>MK00090</t>
        </is>
      </c>
      <c r="B2089" s="27" t="n">
        <v>528000302</v>
      </c>
      <c r="C2089" s="27" t="inlineStr">
        <is>
          <t>Henkey gumilar</t>
        </is>
      </c>
      <c r="D2089" s="171" t="n">
        <v>46203.41666666666</v>
      </c>
      <c r="E2089" s="26" t="n">
        <v>0.2427662037037037</v>
      </c>
      <c r="F2089" s="27" t="inlineStr">
        <is>
          <t>Shift 3</t>
        </is>
      </c>
      <c r="G2089" s="27" t="n"/>
    </row>
    <row r="2090">
      <c r="A2090" s="27" t="inlineStr">
        <is>
          <t>MK00210</t>
        </is>
      </c>
      <c r="B2090" s="27" t="n">
        <v>528000305</v>
      </c>
      <c r="C2090" s="27" t="inlineStr">
        <is>
          <t>Puji Puspita</t>
        </is>
      </c>
      <c r="D2090" s="171" t="n">
        <v>46203.41666666666</v>
      </c>
      <c r="E2090" s="26" t="n">
        <v>0.2445601851851852</v>
      </c>
      <c r="F2090" s="27" t="inlineStr">
        <is>
          <t>Shift 3</t>
        </is>
      </c>
      <c r="G2090" s="27" t="n"/>
    </row>
    <row r="2091">
      <c r="A2091" s="27" t="inlineStr">
        <is>
          <t>MK00008</t>
        </is>
      </c>
      <c r="B2091" s="27" t="n">
        <v>528000360</v>
      </c>
      <c r="C2091" s="27" t="inlineStr">
        <is>
          <t>Hendra Permana</t>
        </is>
      </c>
      <c r="D2091" s="171" t="n">
        <v>46203.41666666666</v>
      </c>
      <c r="E2091" s="26" t="n">
        <v>0.2520833333333333</v>
      </c>
      <c r="F2091" s="27" t="inlineStr">
        <is>
          <t>Shift 3</t>
        </is>
      </c>
      <c r="G2091" s="27" t="inlineStr">
        <is>
          <t>4E</t>
        </is>
      </c>
    </row>
    <row r="2092">
      <c r="A2092" s="27" t="inlineStr">
        <is>
          <t>MK00250</t>
        </is>
      </c>
      <c r="B2092" s="27" t="n">
        <v>528000283</v>
      </c>
      <c r="C2092" s="27" t="inlineStr">
        <is>
          <t>Purwanda Sugiri</t>
        </is>
      </c>
      <c r="D2092" s="171" t="n">
        <v>46203.41666666666</v>
      </c>
      <c r="E2092" s="26" t="n">
        <v>0.2523611111111111</v>
      </c>
      <c r="F2092" s="27" t="inlineStr">
        <is>
          <t>Shift 3</t>
        </is>
      </c>
      <c r="G2092" s="27" t="n"/>
    </row>
    <row r="2093">
      <c r="A2093" s="27" t="inlineStr">
        <is>
          <t>MK00138</t>
        </is>
      </c>
      <c r="B2093" s="27" t="n">
        <v>528000291</v>
      </c>
      <c r="C2093" s="27" t="inlineStr">
        <is>
          <t>Andrian</t>
        </is>
      </c>
      <c r="D2093" s="171" t="n">
        <v>46203.41666666666</v>
      </c>
      <c r="E2093" s="26" t="n">
        <v>0.2525347222222222</v>
      </c>
      <c r="F2093" s="27" t="inlineStr">
        <is>
          <t>Shift 3</t>
        </is>
      </c>
      <c r="G2093" s="27" t="n"/>
    </row>
    <row r="2094">
      <c r="A2094" s="27" t="inlineStr">
        <is>
          <t>MK00203</t>
        </is>
      </c>
      <c r="B2094" s="27" t="n">
        <v>528000261</v>
      </c>
      <c r="C2094" s="27" t="inlineStr">
        <is>
          <t>Ergi Ergianto</t>
        </is>
      </c>
      <c r="D2094" s="171" t="n">
        <v>46203.41666666666</v>
      </c>
      <c r="E2094" s="26" t="n">
        <v>0.2526157407407407</v>
      </c>
      <c r="F2094" s="27" t="inlineStr">
        <is>
          <t>Shift 3</t>
        </is>
      </c>
      <c r="G2094" s="27" t="n"/>
    </row>
    <row r="2095">
      <c r="A2095" s="27" t="inlineStr">
        <is>
          <t>MK00143</t>
        </is>
      </c>
      <c r="B2095" s="27" t="n">
        <v>528000052</v>
      </c>
      <c r="C2095" s="27" t="inlineStr">
        <is>
          <t>Mustopa</t>
        </is>
      </c>
      <c r="D2095" s="171" t="n">
        <v>46203.41666666666</v>
      </c>
      <c r="E2095" s="26" t="n">
        <v>0.2529050925925926</v>
      </c>
      <c r="F2095" s="27" t="inlineStr">
        <is>
          <t>Shift 3</t>
        </is>
      </c>
      <c r="G2095" s="27" t="n"/>
    </row>
    <row r="2096">
      <c r="A2096" s="27" t="inlineStr">
        <is>
          <t>MK00192</t>
        </is>
      </c>
      <c r="B2096" s="27" t="n">
        <v>528000358</v>
      </c>
      <c r="C2096" s="27" t="inlineStr">
        <is>
          <t>Lulu Agustin</t>
        </is>
      </c>
      <c r="D2096" s="171" t="n">
        <v>46203.41666666666</v>
      </c>
      <c r="E2096" s="26" t="n">
        <v>0.2530092592592593</v>
      </c>
      <c r="F2096" s="27" t="inlineStr">
        <is>
          <t>Shift 3</t>
        </is>
      </c>
      <c r="G2096" s="27" t="n"/>
    </row>
    <row r="2097">
      <c r="A2097" s="27" t="inlineStr">
        <is>
          <t>MK00186</t>
        </is>
      </c>
      <c r="B2097" s="27" t="n">
        <v>528000262</v>
      </c>
      <c r="C2097" s="27" t="inlineStr">
        <is>
          <t>Ndari Dwiwanti</t>
        </is>
      </c>
      <c r="D2097" s="171" t="n">
        <v>46203.41666666666</v>
      </c>
      <c r="E2097" s="26" t="n">
        <v>0.2530439814814815</v>
      </c>
      <c r="F2097" s="27" t="inlineStr">
        <is>
          <t>Shift 3</t>
        </is>
      </c>
      <c r="G2097" s="27" t="n"/>
    </row>
    <row r="2098">
      <c r="A2098" s="27" t="inlineStr">
        <is>
          <t>MK00136</t>
        </is>
      </c>
      <c r="B2098" s="27" t="n">
        <v>528000195</v>
      </c>
      <c r="C2098" s="27" t="inlineStr">
        <is>
          <t>Rahma Sariwati</t>
        </is>
      </c>
      <c r="D2098" s="171" t="n">
        <v>46203.41666666666</v>
      </c>
      <c r="E2098" s="26" t="n">
        <v>0.2530902777777778</v>
      </c>
      <c r="F2098" s="27" t="inlineStr">
        <is>
          <t>Shift 3</t>
        </is>
      </c>
      <c r="G2098" s="27" t="n"/>
    </row>
    <row r="2099">
      <c r="A2099" s="27" t="inlineStr">
        <is>
          <t>MK00121</t>
        </is>
      </c>
      <c r="B2099" s="27" t="n">
        <v>528000323</v>
      </c>
      <c r="C2099" s="27" t="inlineStr">
        <is>
          <t>Dian Hamidah</t>
        </is>
      </c>
      <c r="D2099" s="171" t="n">
        <v>46203.41666666666</v>
      </c>
      <c r="E2099" s="26" t="n">
        <v>0.2533564814814815</v>
      </c>
      <c r="F2099" s="27" t="inlineStr">
        <is>
          <t>Shift 3</t>
        </is>
      </c>
      <c r="G2099" s="27" t="n"/>
    </row>
    <row r="2100">
      <c r="A2100" s="27" t="inlineStr">
        <is>
          <t>MK00185</t>
        </is>
      </c>
      <c r="B2100" s="27" t="n">
        <v>528000336</v>
      </c>
      <c r="C2100" s="27" t="inlineStr">
        <is>
          <t>Ali Nurhanafi</t>
        </is>
      </c>
      <c r="D2100" s="171" t="n">
        <v>46203.41666666666</v>
      </c>
      <c r="E2100" s="26" t="n">
        <v>0.2539814814814815</v>
      </c>
      <c r="F2100" s="27" t="inlineStr">
        <is>
          <t>Shift 3</t>
        </is>
      </c>
      <c r="G2100" s="27" t="n"/>
    </row>
    <row r="2101">
      <c r="A2101" s="27" t="inlineStr">
        <is>
          <t>MK00202</t>
        </is>
      </c>
      <c r="B2101" s="27" t="n">
        <v>528000337</v>
      </c>
      <c r="C2101" s="27" t="inlineStr">
        <is>
          <t>Ahmad Zaldi Firdaus</t>
        </is>
      </c>
      <c r="D2101" s="171" t="n">
        <v>46203.41666666666</v>
      </c>
      <c r="E2101" s="26" t="n">
        <v>0.2563425925925926</v>
      </c>
      <c r="F2101" s="27" t="inlineStr">
        <is>
          <t>Shift 3</t>
        </is>
      </c>
      <c r="G2101" s="27" t="n"/>
    </row>
    <row r="2102">
      <c r="A2102" s="27" t="inlineStr">
        <is>
          <t>MK00230</t>
        </is>
      </c>
      <c r="B2102" s="27" t="n">
        <v>528000361</v>
      </c>
      <c r="C2102" s="27" t="inlineStr">
        <is>
          <t>Denada Munggarani</t>
        </is>
      </c>
      <c r="D2102" s="171" t="n">
        <v>46203.41666666666</v>
      </c>
      <c r="E2102" s="26" t="n">
        <v>0.3235648148148148</v>
      </c>
      <c r="F2102" s="27" t="inlineStr">
        <is>
          <t>Shift 3</t>
        </is>
      </c>
      <c r="G2102" s="27" t="n"/>
    </row>
    <row r="2103">
      <c r="A2103" s="27" t="inlineStr">
        <is>
          <t>MK00205</t>
        </is>
      </c>
      <c r="B2103" s="27" t="n">
        <v>528000348</v>
      </c>
      <c r="C2103" s="27" t="inlineStr">
        <is>
          <t>Saepuloh Ardiansah</t>
        </is>
      </c>
      <c r="D2103" s="171" t="n">
        <v>46203.41666666666</v>
      </c>
      <c r="E2103" s="26" t="n">
        <v>0.3254282407407407</v>
      </c>
      <c r="F2103" s="27" t="inlineStr">
        <is>
          <t>Shift 3</t>
        </is>
      </c>
      <c r="G2103" s="27" t="n"/>
    </row>
    <row r="2104">
      <c r="A2104" s="27" t="inlineStr">
        <is>
          <t>MK00141</t>
        </is>
      </c>
      <c r="B2104" s="27" t="n">
        <v>528000040</v>
      </c>
      <c r="C2104" s="27" t="inlineStr">
        <is>
          <t>Agus Suryaman</t>
        </is>
      </c>
      <c r="D2104" s="171" t="n">
        <v>46203.41666666666</v>
      </c>
      <c r="E2104" s="26" t="n">
        <v>0.3730092592592593</v>
      </c>
      <c r="F2104" s="27" t="inlineStr">
        <is>
          <t>Shift 1</t>
        </is>
      </c>
      <c r="G2104" s="27" t="n"/>
    </row>
    <row r="2105">
      <c r="A2105" s="27" t="inlineStr">
        <is>
          <t>MK0130</t>
        </is>
      </c>
      <c r="B2105" s="27" t="n">
        <v>528000149</v>
      </c>
      <c r="C2105" s="27" t="inlineStr">
        <is>
          <t>Tio Fernanda</t>
        </is>
      </c>
      <c r="D2105" s="171" t="n">
        <v>46203.41666666666</v>
      </c>
      <c r="E2105" s="26" t="n">
        <v>0.3775925925925926</v>
      </c>
      <c r="F2105" s="27" t="inlineStr">
        <is>
          <t>Shift 1</t>
        </is>
      </c>
      <c r="G2105" s="27" t="n"/>
    </row>
    <row r="2106">
      <c r="A2106" s="27" t="inlineStr">
        <is>
          <t>MK00204</t>
        </is>
      </c>
      <c r="B2106" s="27" t="n">
        <v>528000335</v>
      </c>
      <c r="C2106" s="27" t="inlineStr">
        <is>
          <t>Rizal Saepuloh</t>
        </is>
      </c>
      <c r="D2106" s="171" t="n">
        <v>46203.41666666666</v>
      </c>
      <c r="E2106" s="26" t="n">
        <v>0.5423726851851852</v>
      </c>
      <c r="F2106" s="27" t="inlineStr">
        <is>
          <t>Shift 1</t>
        </is>
      </c>
      <c r="G2106" s="27" t="n"/>
    </row>
    <row r="2107">
      <c r="A2107" s="27" t="inlineStr">
        <is>
          <t>MK00230</t>
        </is>
      </c>
      <c r="B2107" s="27" t="n">
        <v>528000282</v>
      </c>
      <c r="C2107" s="27" t="inlineStr">
        <is>
          <t>Defa Desfiana</t>
        </is>
      </c>
      <c r="D2107" s="171" t="n">
        <v>46203.41666666666</v>
      </c>
      <c r="E2107" s="26" t="n">
        <v>0.5432060185185185</v>
      </c>
      <c r="F2107" s="27" t="inlineStr">
        <is>
          <t>Shift 1</t>
        </is>
      </c>
      <c r="G2107" s="27" t="inlineStr">
        <is>
          <t>4a</t>
        </is>
      </c>
    </row>
    <row r="2108">
      <c r="A2108" s="27" t="inlineStr">
        <is>
          <t>MK00250</t>
        </is>
      </c>
      <c r="B2108" s="27" t="n">
        <v>528000265</v>
      </c>
      <c r="C2108" s="27" t="inlineStr">
        <is>
          <t>Muhammad Haerul Rozikin</t>
        </is>
      </c>
      <c r="D2108" s="171" t="n">
        <v>46203.41666666666</v>
      </c>
      <c r="E2108" s="26" t="n">
        <v>0.5450462962962963</v>
      </c>
      <c r="F2108" s="27" t="inlineStr">
        <is>
          <t>Shift 1</t>
        </is>
      </c>
      <c r="G2108" s="27" t="n"/>
    </row>
    <row r="2109">
      <c r="A2109" s="27" t="inlineStr">
        <is>
          <t>MK00160</t>
        </is>
      </c>
      <c r="B2109" s="27" t="n">
        <v>528000310</v>
      </c>
      <c r="C2109" s="27" t="inlineStr">
        <is>
          <t>Fachrul Rozzi Suryana</t>
        </is>
      </c>
      <c r="D2109" s="171" t="n">
        <v>46203.41666666666</v>
      </c>
      <c r="E2109" s="26" t="n">
        <v>0.5453356481481482</v>
      </c>
      <c r="F2109" s="27" t="inlineStr">
        <is>
          <t>Shift 1</t>
        </is>
      </c>
      <c r="G2109" s="27" t="inlineStr">
        <is>
          <t>27F</t>
        </is>
      </c>
    </row>
    <row r="2110">
      <c r="A2110" s="27" t="inlineStr">
        <is>
          <t>MK00185</t>
        </is>
      </c>
      <c r="B2110" s="27" t="n">
        <v>528000351</v>
      </c>
      <c r="C2110" s="27" t="inlineStr">
        <is>
          <t>Mulyana</t>
        </is>
      </c>
      <c r="D2110" s="171" t="n">
        <v>46203.41666666666</v>
      </c>
      <c r="E2110" s="26" t="n">
        <v>0.5490393518518518</v>
      </c>
      <c r="F2110" s="27" t="inlineStr">
        <is>
          <t>Shift 1</t>
        </is>
      </c>
      <c r="G2110" s="27" t="n"/>
    </row>
    <row r="2111">
      <c r="A2111" s="27" t="inlineStr">
        <is>
          <t>MK00082</t>
        </is>
      </c>
      <c r="B2111" s="27" t="n">
        <v>528000329</v>
      </c>
      <c r="C2111" s="27" t="inlineStr">
        <is>
          <t>Havid Ilham Firdaus</t>
        </is>
      </c>
      <c r="D2111" s="171" t="n">
        <v>46203.41666666666</v>
      </c>
      <c r="E2111" s="26" t="n">
        <v>0.5835300925925926</v>
      </c>
      <c r="F2111" s="27" t="inlineStr">
        <is>
          <t>Shift 1</t>
        </is>
      </c>
      <c r="G2111" s="27" t="n"/>
    </row>
    <row r="2112">
      <c r="A2112" s="27" t="inlineStr">
        <is>
          <t>MK0090</t>
        </is>
      </c>
      <c r="B2112" s="27" t="n">
        <v>528000212</v>
      </c>
      <c r="C2112" s="27" t="inlineStr">
        <is>
          <t>Rizal Fauzi</t>
        </is>
      </c>
      <c r="D2112" s="171" t="n">
        <v>46203.41666666666</v>
      </c>
      <c r="E2112" s="26" t="n">
        <v>0.5849537037037037</v>
      </c>
      <c r="F2112" s="27" t="inlineStr">
        <is>
          <t>Shift 1</t>
        </is>
      </c>
      <c r="G2112" s="27" t="n"/>
    </row>
    <row r="2113">
      <c r="A2113" s="27" t="inlineStr">
        <is>
          <t>MK150</t>
        </is>
      </c>
      <c r="B2113" s="27" t="n">
        <v>528000232</v>
      </c>
      <c r="C2113" s="27" t="inlineStr">
        <is>
          <t>Agung Aji Suhada</t>
        </is>
      </c>
      <c r="D2113" s="171" t="n">
        <v>46203.41666666666</v>
      </c>
      <c r="E2113" s="26" t="n">
        <v>0.585</v>
      </c>
      <c r="F2113" s="27" t="inlineStr">
        <is>
          <t>Shift 1</t>
        </is>
      </c>
      <c r="G2113" s="27" t="n"/>
    </row>
    <row r="2114">
      <c r="A2114" s="27" t="inlineStr">
        <is>
          <t>MK0130</t>
        </is>
      </c>
      <c r="B2114" s="27" t="n">
        <v>528000149</v>
      </c>
      <c r="C2114" s="27" t="inlineStr">
        <is>
          <t>Tio Fernanda</t>
        </is>
      </c>
      <c r="D2114" s="171" t="n">
        <v>46203.41666666666</v>
      </c>
      <c r="E2114" s="26" t="n">
        <v>0.585300925925926</v>
      </c>
      <c r="F2114" s="27" t="inlineStr">
        <is>
          <t>Shift 1</t>
        </is>
      </c>
      <c r="G2114" s="27" t="n"/>
    </row>
    <row r="2115">
      <c r="A2115" s="27" t="inlineStr">
        <is>
          <t>MK00181</t>
        </is>
      </c>
      <c r="B2115" s="27" t="n">
        <v>528000299</v>
      </c>
      <c r="C2115" s="27" t="inlineStr">
        <is>
          <t>Siti Nurjanah</t>
        </is>
      </c>
      <c r="D2115" s="171" t="n">
        <v>46203.41666666666</v>
      </c>
      <c r="E2115" s="26" t="n">
        <v>0.5857175925925926</v>
      </c>
      <c r="F2115" s="27" t="inlineStr">
        <is>
          <t>Shift 1</t>
        </is>
      </c>
      <c r="G2115" s="27" t="n"/>
    </row>
    <row r="2116">
      <c r="A2116" s="27" t="inlineStr">
        <is>
          <t>MK00217</t>
        </is>
      </c>
      <c r="B2116" s="27" t="n">
        <v>528000322</v>
      </c>
      <c r="C2116" s="27" t="inlineStr">
        <is>
          <t>Muhamad Aliludin</t>
        </is>
      </c>
      <c r="D2116" s="171" t="n">
        <v>46203.41666666666</v>
      </c>
      <c r="E2116" s="26" t="n">
        <v>0.5861342592592592</v>
      </c>
      <c r="F2116" s="27" t="inlineStr">
        <is>
          <t>Shift 1</t>
        </is>
      </c>
      <c r="G2116" s="27" t="n"/>
    </row>
    <row r="2117">
      <c r="A2117" s="27" t="inlineStr">
        <is>
          <t>MK00141</t>
        </is>
      </c>
      <c r="B2117" s="27" t="n">
        <v>528000040</v>
      </c>
      <c r="C2117" s="27" t="inlineStr">
        <is>
          <t>Agus Suryaman</t>
        </is>
      </c>
      <c r="D2117" s="171" t="n">
        <v>46203.41666666666</v>
      </c>
      <c r="E2117" s="26" t="n">
        <v>0.5863541666666666</v>
      </c>
      <c r="F2117" s="27" t="inlineStr">
        <is>
          <t>Shift 1</t>
        </is>
      </c>
      <c r="G2117" s="27" t="n"/>
    </row>
    <row r="2118">
      <c r="A2118" s="27" t="inlineStr">
        <is>
          <t>MK00235</t>
        </is>
      </c>
      <c r="B2118" s="27" t="n">
        <v>528000318</v>
      </c>
      <c r="C2118" s="27" t="inlineStr">
        <is>
          <t>Bayu Padli Sepriyana</t>
        </is>
      </c>
      <c r="D2118" s="171" t="n">
        <v>46203.41666666666</v>
      </c>
      <c r="E2118" s="26" t="n">
        <v>0.5865625</v>
      </c>
      <c r="F2118" s="27" t="inlineStr">
        <is>
          <t>Shift 1</t>
        </is>
      </c>
      <c r="G2118" s="27" t="n"/>
    </row>
    <row r="2119">
      <c r="A2119" s="27" t="inlineStr">
        <is>
          <t>MK00156</t>
        </is>
      </c>
      <c r="B2119" s="27" t="n">
        <v>528000298</v>
      </c>
      <c r="C2119" s="27" t="inlineStr">
        <is>
          <t>Desta Cahaya Pratama</t>
        </is>
      </c>
      <c r="D2119" s="171" t="n">
        <v>46203.41666666666</v>
      </c>
      <c r="E2119" s="26" t="n">
        <v>0.5868171296296296</v>
      </c>
      <c r="F2119" s="27" t="inlineStr">
        <is>
          <t>Shift 1</t>
        </is>
      </c>
      <c r="G2119" s="27" t="n"/>
    </row>
    <row r="2120">
      <c r="A2120" s="27" t="inlineStr">
        <is>
          <t>MK00113</t>
        </is>
      </c>
      <c r="B2120" s="27" t="n">
        <v>528000313</v>
      </c>
      <c r="C2120" s="27" t="inlineStr">
        <is>
          <t>Muhamad Rifki</t>
        </is>
      </c>
      <c r="D2120" s="171" t="n">
        <v>46203.41666666666</v>
      </c>
      <c r="E2120" s="26" t="n">
        <v>0.586875</v>
      </c>
      <c r="F2120" s="27" t="inlineStr">
        <is>
          <t>Shift 1</t>
        </is>
      </c>
      <c r="G2120" s="27" t="n"/>
    </row>
    <row r="2121">
      <c r="A2121" s="27" t="inlineStr">
        <is>
          <t>MK00109</t>
        </is>
      </c>
      <c r="B2121" s="27" t="n">
        <v>528000309</v>
      </c>
      <c r="C2121" s="27" t="inlineStr">
        <is>
          <t>Ilham Ramadhan</t>
        </is>
      </c>
      <c r="D2121" s="171" t="n">
        <v>46203.41666666666</v>
      </c>
      <c r="E2121" s="26" t="n">
        <v>0.5871990740740741</v>
      </c>
      <c r="F2121" s="27" t="inlineStr">
        <is>
          <t>Shift 1</t>
        </is>
      </c>
      <c r="G2121" s="27" t="n"/>
    </row>
    <row r="2122">
      <c r="A2122" s="27" t="inlineStr">
        <is>
          <t>MK00088</t>
        </is>
      </c>
      <c r="B2122" s="27" t="n">
        <v>528000302</v>
      </c>
      <c r="C2122" s="27" t="inlineStr">
        <is>
          <t>Henkey gumilar</t>
        </is>
      </c>
      <c r="D2122" s="171" t="n">
        <v>46203.41666666666</v>
      </c>
      <c r="E2122" s="26" t="n">
        <v>0.5878472222222222</v>
      </c>
      <c r="F2122" s="27" t="inlineStr">
        <is>
          <t>Shift 1</t>
        </is>
      </c>
      <c r="G2122" s="27" t="n"/>
    </row>
    <row r="2123">
      <c r="A2123" s="27" t="inlineStr">
        <is>
          <t>MK00108</t>
        </is>
      </c>
      <c r="B2123" s="27" t="n">
        <v>528000340</v>
      </c>
      <c r="C2123" s="27" t="inlineStr">
        <is>
          <t>Muhammad Wildan Adithya</t>
        </is>
      </c>
      <c r="D2123" s="171" t="n">
        <v>46203.41666666666</v>
      </c>
      <c r="E2123" s="26" t="n">
        <v>0.5995254629629629</v>
      </c>
      <c r="F2123" s="27" t="inlineStr">
        <is>
          <t>Shift 1</t>
        </is>
      </c>
      <c r="G2123" s="27" t="n"/>
    </row>
    <row r="2124">
      <c r="A2124" s="27" t="inlineStr">
        <is>
          <t>MK00205</t>
        </is>
      </c>
      <c r="B2124" s="27" t="n">
        <v>528000348</v>
      </c>
      <c r="C2124" s="27" t="inlineStr">
        <is>
          <t>Saepuloh Ardiansah</t>
        </is>
      </c>
      <c r="D2124" s="171" t="n">
        <v>46203.41666666666</v>
      </c>
      <c r="E2124" s="26" t="n">
        <v>0.6092476851851852</v>
      </c>
      <c r="F2124" s="27" t="inlineStr">
        <is>
          <t>Shift 1</t>
        </is>
      </c>
      <c r="G2124" s="27" t="n"/>
    </row>
    <row r="2125">
      <c r="A2125" s="27" t="inlineStr">
        <is>
          <t>MK00125</t>
        </is>
      </c>
      <c r="B2125" s="27" t="n">
        <v>528000314</v>
      </c>
      <c r="C2125" s="27" t="inlineStr">
        <is>
          <t>Rusmana</t>
        </is>
      </c>
      <c r="D2125" s="171" t="n">
        <v>46203.41666666666</v>
      </c>
      <c r="E2125" s="26" t="n">
        <v>0.9140393518518518</v>
      </c>
      <c r="F2125" s="27" t="inlineStr">
        <is>
          <t>Shift 2</t>
        </is>
      </c>
      <c r="G2125" s="27" t="n"/>
    </row>
    <row r="2126">
      <c r="A2126" s="27" t="inlineStr">
        <is>
          <t>MK00249</t>
        </is>
      </c>
      <c r="B2126" s="27" t="n">
        <v>528000273</v>
      </c>
      <c r="C2126" s="27" t="inlineStr">
        <is>
          <t>Asep Mulyana</t>
        </is>
      </c>
      <c r="D2126" s="171" t="n">
        <v>46203.41666666666</v>
      </c>
      <c r="E2126" s="26" t="n">
        <v>0.9175462962962962</v>
      </c>
      <c r="F2126" s="27" t="inlineStr">
        <is>
          <t>Shift 2</t>
        </is>
      </c>
      <c r="G2126" s="27" t="n"/>
    </row>
    <row r="2127">
      <c r="A2127" s="27" t="inlineStr">
        <is>
          <t>MK00145</t>
        </is>
      </c>
      <c r="B2127" s="27" t="n">
        <v>528000241</v>
      </c>
      <c r="C2127" s="27" t="inlineStr">
        <is>
          <t>Balia Nurafif Bilah</t>
        </is>
      </c>
      <c r="D2127" s="171" t="n">
        <v>46203.41666666666</v>
      </c>
      <c r="E2127" s="26" t="n">
        <v>0.919537037037037</v>
      </c>
      <c r="F2127" s="27" t="inlineStr">
        <is>
          <t>Shift 2</t>
        </is>
      </c>
      <c r="G2127" s="27" t="n"/>
    </row>
    <row r="2128">
      <c r="A2128" s="27" t="inlineStr">
        <is>
          <t>MK00154</t>
        </is>
      </c>
      <c r="B2128" s="27" t="n">
        <v>528000274</v>
      </c>
      <c r="C2128" s="27" t="inlineStr">
        <is>
          <t>Zepri</t>
        </is>
      </c>
      <c r="D2128" s="171" t="n">
        <v>46203.41666666666</v>
      </c>
      <c r="E2128" s="26" t="n">
        <v>0.9195949074074075</v>
      </c>
      <c r="F2128" s="27" t="inlineStr">
        <is>
          <t>Shift 2</t>
        </is>
      </c>
      <c r="G2128" s="27" t="n"/>
    </row>
    <row r="2129">
      <c r="A2129" s="27" t="inlineStr">
        <is>
          <t>MK00209</t>
        </is>
      </c>
      <c r="B2129" s="27" t="n">
        <v>528000290</v>
      </c>
      <c r="C2129" s="27" t="inlineStr">
        <is>
          <t>Eval Pranata</t>
        </is>
      </c>
      <c r="D2129" s="171" t="n">
        <v>46203.41666666666</v>
      </c>
      <c r="E2129" s="26" t="n">
        <v>0.9201157407407408</v>
      </c>
      <c r="F2129" s="27" t="inlineStr">
        <is>
          <t>Shift 2</t>
        </is>
      </c>
      <c r="G2129" s="27" t="n"/>
    </row>
    <row r="2130">
      <c r="A2130" s="27" t="inlineStr">
        <is>
          <t>MK00184</t>
        </is>
      </c>
      <c r="B2130" s="27" t="n">
        <v>528000201</v>
      </c>
      <c r="C2130" s="27" t="inlineStr">
        <is>
          <t>Zahwa Amelia Choerunissa</t>
        </is>
      </c>
      <c r="D2130" s="171" t="n">
        <v>46203.41666666666</v>
      </c>
      <c r="E2130" s="26" t="n">
        <v>0.9203819444444444</v>
      </c>
      <c r="F2130" s="27" t="inlineStr">
        <is>
          <t>Shift 2</t>
        </is>
      </c>
      <c r="G2130" s="27" t="n"/>
    </row>
    <row r="2131">
      <c r="A2131" s="27" t="inlineStr">
        <is>
          <t>MK00090</t>
        </is>
      </c>
      <c r="B2131" s="27" t="n">
        <v>528000289</v>
      </c>
      <c r="C2131" s="27" t="inlineStr">
        <is>
          <t>Adit Supriyadi</t>
        </is>
      </c>
      <c r="D2131" s="171" t="n">
        <v>46203.41666666666</v>
      </c>
      <c r="E2131" s="26" t="n">
        <v>0.9206481481481481</v>
      </c>
      <c r="F2131" s="27" t="inlineStr">
        <is>
          <t>Shift 2</t>
        </is>
      </c>
      <c r="G2131" s="27" t="n"/>
    </row>
    <row r="2132">
      <c r="A2132" s="27" t="inlineStr">
        <is>
          <t>MK00213</t>
        </is>
      </c>
      <c r="B2132" s="27" t="n">
        <v>528000286</v>
      </c>
      <c r="C2132" s="27" t="inlineStr">
        <is>
          <t>Imelda Amelia</t>
        </is>
      </c>
      <c r="D2132" s="171" t="n">
        <v>46203.41666666666</v>
      </c>
      <c r="E2132" s="26" t="n">
        <v>0.9209606481481482</v>
      </c>
      <c r="F2132" s="27" t="inlineStr">
        <is>
          <t>Shift 2</t>
        </is>
      </c>
      <c r="G2132" s="27" t="n"/>
    </row>
    <row r="2133">
      <c r="A2133" s="27" t="inlineStr">
        <is>
          <t>MK00136</t>
        </is>
      </c>
      <c r="B2133" s="27" t="n">
        <v>528000339</v>
      </c>
      <c r="C2133" s="27" t="inlineStr">
        <is>
          <t>Muhamad Ripai'i</t>
        </is>
      </c>
      <c r="D2133" s="171" t="n">
        <v>46203.41666666666</v>
      </c>
      <c r="E2133" s="26" t="n">
        <v>0.921875</v>
      </c>
      <c r="F2133" s="27" t="inlineStr">
        <is>
          <t>Shift 2</t>
        </is>
      </c>
      <c r="G2133" s="27" t="n"/>
    </row>
    <row r="2134">
      <c r="A2134" s="27" t="inlineStr">
        <is>
          <t>MK00085</t>
        </is>
      </c>
      <c r="B2134" s="27" t="n">
        <v>528000090</v>
      </c>
      <c r="C2134" s="27" t="inlineStr">
        <is>
          <t>Suganda</t>
        </is>
      </c>
      <c r="D2134" s="171" t="n">
        <v>46203.41666666666</v>
      </c>
      <c r="E2134" s="26" t="n">
        <v>0.9262847222222222</v>
      </c>
      <c r="F2134" s="27" t="inlineStr">
        <is>
          <t>Shift 2</t>
        </is>
      </c>
      <c r="G2134" s="27" t="n"/>
    </row>
    <row r="2135">
      <c r="A2135" s="27" t="inlineStr">
        <is>
          <t>MK00109</t>
        </is>
      </c>
      <c r="B2135" s="27" t="n">
        <v>528000360</v>
      </c>
      <c r="C2135" s="27" t="inlineStr">
        <is>
          <t>Hendra Permana</t>
        </is>
      </c>
      <c r="D2135" s="171" t="n">
        <v>46204.41666666666</v>
      </c>
      <c r="E2135" s="26" t="n">
        <v>0.2523032407407407</v>
      </c>
      <c r="F2135" s="27" t="inlineStr">
        <is>
          <t>Shift 3</t>
        </is>
      </c>
      <c r="G2135" s="27" t="inlineStr">
        <is>
          <t>1E</t>
        </is>
      </c>
    </row>
    <row r="2136">
      <c r="A2136" s="27" t="inlineStr">
        <is>
          <t>MK00095</t>
        </is>
      </c>
      <c r="B2136" s="27" t="n">
        <v>528000283</v>
      </c>
      <c r="C2136" s="27" t="inlineStr">
        <is>
          <t>Purwanda Sugiri</t>
        </is>
      </c>
      <c r="D2136" s="171" t="n">
        <v>46204.41666666666</v>
      </c>
      <c r="E2136" s="26" t="n">
        <v>0.2525347222222222</v>
      </c>
      <c r="F2136" s="27" t="inlineStr">
        <is>
          <t>Shift 3</t>
        </is>
      </c>
      <c r="G2136" s="27" t="n"/>
    </row>
    <row r="2137">
      <c r="A2137" s="27" t="inlineStr">
        <is>
          <t>MK00112</t>
        </is>
      </c>
      <c r="B2137" s="27" t="n">
        <v>528000291</v>
      </c>
      <c r="C2137" s="27" t="inlineStr">
        <is>
          <t>Andrian</t>
        </is>
      </c>
      <c r="D2137" s="171" t="n">
        <v>46204.41666666666</v>
      </c>
      <c r="E2137" s="26" t="n">
        <v>0.2525810185185185</v>
      </c>
      <c r="F2137" s="27" t="inlineStr">
        <is>
          <t>Shift 3</t>
        </is>
      </c>
      <c r="G2137" s="27" t="n"/>
    </row>
    <row r="2138">
      <c r="A2138" s="27" t="inlineStr">
        <is>
          <t>MK00235</t>
        </is>
      </c>
      <c r="B2138" s="27" t="n">
        <v>528000261</v>
      </c>
      <c r="C2138" s="27" t="inlineStr">
        <is>
          <t>Ergi Ergianto</t>
        </is>
      </c>
      <c r="D2138" s="171" t="n">
        <v>46204.41666666666</v>
      </c>
      <c r="E2138" s="26" t="n">
        <v>0.2527546296296296</v>
      </c>
      <c r="F2138" s="27" t="inlineStr">
        <is>
          <t>Shift 3</t>
        </is>
      </c>
      <c r="G2138" s="27" t="n"/>
    </row>
    <row r="2139">
      <c r="A2139" s="27" t="inlineStr">
        <is>
          <t>MK00143</t>
        </is>
      </c>
      <c r="B2139" s="27" t="n">
        <v>528000052</v>
      </c>
      <c r="C2139" s="27" t="inlineStr">
        <is>
          <t>Mustopa</t>
        </is>
      </c>
      <c r="D2139" s="171" t="n">
        <v>46204.41666666666</v>
      </c>
      <c r="E2139" s="26" t="n">
        <v>0.2527893518518519</v>
      </c>
      <c r="F2139" s="27" t="inlineStr">
        <is>
          <t>Shift 3</t>
        </is>
      </c>
      <c r="G2139" s="27" t="n"/>
    </row>
    <row r="2140">
      <c r="A2140" s="27" t="inlineStr">
        <is>
          <t>MK00208</t>
        </is>
      </c>
      <c r="B2140" s="27" t="n">
        <v>528000358</v>
      </c>
      <c r="C2140" s="27" t="inlineStr">
        <is>
          <t>Lulu Agustin</t>
        </is>
      </c>
      <c r="D2140" s="171" t="n">
        <v>46204.41666666666</v>
      </c>
      <c r="E2140" s="26" t="n">
        <v>0.2531828703703703</v>
      </c>
      <c r="F2140" s="27" t="inlineStr">
        <is>
          <t>Shift 3</t>
        </is>
      </c>
      <c r="G2140" s="27" t="n"/>
    </row>
    <row r="2141">
      <c r="A2141" s="27" t="inlineStr">
        <is>
          <t>MK00138</t>
        </is>
      </c>
      <c r="B2141" s="27" t="n">
        <v>528000336</v>
      </c>
      <c r="C2141" s="27" t="inlineStr">
        <is>
          <t>Ali Nurhanafi</t>
        </is>
      </c>
      <c r="D2141" s="171" t="n">
        <v>46204.41666666666</v>
      </c>
      <c r="E2141" s="26" t="n">
        <v>0.2540625</v>
      </c>
      <c r="F2141" s="27" t="inlineStr">
        <is>
          <t>Shift 3</t>
        </is>
      </c>
      <c r="G2141" s="27" t="n"/>
    </row>
    <row r="2142">
      <c r="A2142" s="27" t="inlineStr">
        <is>
          <t>MK00230</t>
        </is>
      </c>
      <c r="B2142" s="27" t="n">
        <v>528000328</v>
      </c>
      <c r="C2142" s="27" t="inlineStr">
        <is>
          <t>Nur Anjani</t>
        </is>
      </c>
      <c r="D2142" s="171" t="n">
        <v>46204.41666666666</v>
      </c>
      <c r="E2142" s="26" t="n">
        <v>0.2541203703703704</v>
      </c>
      <c r="F2142" s="27" t="inlineStr">
        <is>
          <t>Shift 3</t>
        </is>
      </c>
      <c r="G2142" s="27" t="n"/>
    </row>
    <row r="2143">
      <c r="A2143" s="27" t="inlineStr">
        <is>
          <t>MK00217</t>
        </is>
      </c>
      <c r="B2143" s="27" t="n">
        <v>528000337</v>
      </c>
      <c r="C2143" s="27" t="inlineStr">
        <is>
          <t>Ahmad Zaldi Firdaus</t>
        </is>
      </c>
      <c r="D2143" s="171" t="n">
        <v>46204.41666666666</v>
      </c>
      <c r="E2143" s="26" t="n">
        <v>0.2546527777777778</v>
      </c>
      <c r="F2143" s="27" t="inlineStr">
        <is>
          <t>Shift 3</t>
        </is>
      </c>
      <c r="G2143" s="27" t="n"/>
    </row>
    <row r="2144">
      <c r="A2144" s="27" t="inlineStr">
        <is>
          <t>MK00212</t>
        </is>
      </c>
      <c r="B2144" s="27" t="n">
        <v>528000195</v>
      </c>
      <c r="C2144" s="27" t="inlineStr">
        <is>
          <t>Rahma Sariwati</t>
        </is>
      </c>
      <c r="D2144" s="171" t="n">
        <v>46204.41666666666</v>
      </c>
      <c r="E2144" s="26" t="n">
        <v>0.2618055555555556</v>
      </c>
      <c r="F2144" s="27" t="inlineStr">
        <is>
          <t>Shift 3</t>
        </is>
      </c>
      <c r="G2144" s="27" t="n"/>
    </row>
    <row r="2145">
      <c r="A2145" s="27" t="inlineStr">
        <is>
          <t>MK00235</t>
        </is>
      </c>
      <c r="B2145" s="27" t="n">
        <v>528000273</v>
      </c>
      <c r="C2145" s="27" t="inlineStr">
        <is>
          <t>Asep Mulyana</t>
        </is>
      </c>
      <c r="D2145" s="171" t="n">
        <v>46235.41666666666</v>
      </c>
      <c r="E2145" s="26" t="n">
        <v>0.5790625</v>
      </c>
      <c r="F2145" s="27" t="inlineStr">
        <is>
          <t>Shift 1</t>
        </is>
      </c>
      <c r="G2145" s="27" t="n"/>
    </row>
    <row r="2146">
      <c r="A2146" s="27" t="inlineStr">
        <is>
          <t>MK00082</t>
        </is>
      </c>
      <c r="B2146" s="27" t="n">
        <v>528000212</v>
      </c>
      <c r="C2146" s="27" t="inlineStr">
        <is>
          <t>Rizal Fauzi</t>
        </is>
      </c>
      <c r="D2146" s="171" t="n">
        <v>46235.41666666666</v>
      </c>
      <c r="E2146" s="26" t="n">
        <v>0.5838194444444444</v>
      </c>
      <c r="F2146" s="27" t="inlineStr">
        <is>
          <t>Shift 1</t>
        </is>
      </c>
      <c r="G2146" s="27" t="n"/>
    </row>
    <row r="2147">
      <c r="A2147" s="27" t="inlineStr">
        <is>
          <t>MK00202</t>
        </is>
      </c>
      <c r="B2147" s="27" t="n">
        <v>528000248</v>
      </c>
      <c r="C2147" s="27" t="inlineStr">
        <is>
          <t>Roka Jaya Salka Mulya</t>
        </is>
      </c>
      <c r="D2147" s="171" t="n">
        <v>46235.41666666666</v>
      </c>
      <c r="E2147" s="26" t="n">
        <v>0.584212962962963</v>
      </c>
      <c r="F2147" s="27" t="inlineStr">
        <is>
          <t>Shift 1</t>
        </is>
      </c>
      <c r="G2147" s="27" t="n"/>
    </row>
    <row r="2148">
      <c r="A2148" s="27" t="inlineStr">
        <is>
          <t>MK00212</t>
        </is>
      </c>
      <c r="B2148" s="27" t="n">
        <v>528000359</v>
      </c>
      <c r="C2148" s="27" t="inlineStr">
        <is>
          <t>M. Iqbal Maulana. S</t>
        </is>
      </c>
      <c r="D2148" s="171" t="n">
        <v>46235.41666666666</v>
      </c>
      <c r="E2148" s="26" t="n">
        <v>0.584837962962963</v>
      </c>
      <c r="F2148" s="27" t="inlineStr">
        <is>
          <t>Shift 1</t>
        </is>
      </c>
      <c r="G2148" s="27" t="n"/>
    </row>
    <row r="2149">
      <c r="A2149" s="27" t="inlineStr">
        <is>
          <t>MK00136</t>
        </is>
      </c>
      <c r="B2149" s="27" t="n">
        <v>528000334</v>
      </c>
      <c r="C2149" s="27" t="inlineStr">
        <is>
          <t>Naufal Yudhistira</t>
        </is>
      </c>
      <c r="D2149" s="171" t="n">
        <v>46235.41666666666</v>
      </c>
      <c r="E2149" s="26" t="n">
        <v>0.5857407407407408</v>
      </c>
      <c r="F2149" s="27" t="inlineStr">
        <is>
          <t>Shift 1</t>
        </is>
      </c>
      <c r="G2149" s="27" t="n"/>
    </row>
    <row r="2150">
      <c r="A2150" s="27" t="inlineStr">
        <is>
          <t>MK00145</t>
        </is>
      </c>
      <c r="B2150" s="27" t="n">
        <v>628000064</v>
      </c>
      <c r="C2150" s="27" t="inlineStr">
        <is>
          <t>Silva Alypia</t>
        </is>
      </c>
      <c r="D2150" s="171" t="n">
        <v>46235.41666666666</v>
      </c>
      <c r="E2150" s="26" t="n">
        <v>0.5862268518518519</v>
      </c>
      <c r="F2150" s="27" t="inlineStr">
        <is>
          <t>Shift 1</t>
        </is>
      </c>
      <c r="G2150" s="27" t="n"/>
    </row>
    <row r="2151">
      <c r="A2151" s="27" t="inlineStr">
        <is>
          <t>MK00213</t>
        </is>
      </c>
      <c r="B2151" s="27" t="n">
        <v>528000279</v>
      </c>
      <c r="C2151" s="27" t="inlineStr">
        <is>
          <t>Mahdalena Dalfa Riani</t>
        </is>
      </c>
      <c r="D2151" s="171" t="n">
        <v>46235.41666666666</v>
      </c>
      <c r="E2151" s="26" t="n">
        <v>0.589386574074074</v>
      </c>
      <c r="F2151" s="27" t="inlineStr">
        <is>
          <t>Shift 1</t>
        </is>
      </c>
      <c r="G2151" s="27" t="n"/>
    </row>
    <row r="2152">
      <c r="A2152" s="27" t="inlineStr">
        <is>
          <t>MK00209</t>
        </is>
      </c>
      <c r="B2152" s="27" t="n">
        <v>528000300</v>
      </c>
      <c r="C2152" s="27" t="inlineStr">
        <is>
          <t>Lia pitaloka</t>
        </is>
      </c>
      <c r="D2152" s="171" t="n">
        <v>46235.41666666666</v>
      </c>
      <c r="E2152" s="26" t="n">
        <v>0.5905439814814815</v>
      </c>
      <c r="F2152" s="27" t="inlineStr">
        <is>
          <t>Shift 1</t>
        </is>
      </c>
      <c r="G2152" s="27" t="n"/>
    </row>
    <row r="2153">
      <c r="A2153" s="27" t="inlineStr">
        <is>
          <t>MK00235</t>
        </is>
      </c>
      <c r="B2153" s="27" t="n">
        <v>528000273</v>
      </c>
      <c r="C2153" s="27" t="inlineStr">
        <is>
          <t>Asep Mulyana</t>
        </is>
      </c>
      <c r="D2153" s="171" t="n">
        <v>46235.41666666666</v>
      </c>
      <c r="E2153" s="26" t="n">
        <v>0.9179976851851852</v>
      </c>
      <c r="F2153" s="27" t="inlineStr">
        <is>
          <t>Shift 2</t>
        </is>
      </c>
      <c r="G2153" s="27" t="n"/>
    </row>
    <row r="2154">
      <c r="A2154" s="27" t="inlineStr">
        <is>
          <t>MK00217</t>
        </is>
      </c>
      <c r="B2154" s="27" t="n">
        <v>528000274</v>
      </c>
      <c r="C2154" s="27" t="inlineStr">
        <is>
          <t>Zepri</t>
        </is>
      </c>
      <c r="D2154" s="171" t="n">
        <v>46235.41666666666</v>
      </c>
      <c r="E2154" s="26" t="n">
        <v>0.918599537037037</v>
      </c>
      <c r="F2154" s="27" t="inlineStr">
        <is>
          <t>Shift 2</t>
        </is>
      </c>
      <c r="G2154" s="27" t="n"/>
    </row>
    <row r="2155">
      <c r="A2155" s="27" t="inlineStr">
        <is>
          <t>MK00143</t>
        </is>
      </c>
      <c r="B2155" s="27" t="n">
        <v>528000241</v>
      </c>
      <c r="C2155" s="27" t="inlineStr">
        <is>
          <t>Balia Nurafif Bilah</t>
        </is>
      </c>
      <c r="D2155" s="171" t="n">
        <v>46235.41666666666</v>
      </c>
      <c r="E2155" s="26" t="n">
        <v>0.919212962962963</v>
      </c>
      <c r="F2155" s="27" t="inlineStr">
        <is>
          <t>Shift 2</t>
        </is>
      </c>
      <c r="G2155" s="27" t="n"/>
    </row>
    <row r="2156">
      <c r="A2156" s="27" t="inlineStr">
        <is>
          <t>MK00208</t>
        </is>
      </c>
      <c r="B2156" s="27" t="n">
        <v>528000290</v>
      </c>
      <c r="C2156" s="27" t="inlineStr">
        <is>
          <t>Eval Pranata</t>
        </is>
      </c>
      <c r="D2156" s="171" t="n">
        <v>46235.41666666666</v>
      </c>
      <c r="E2156" s="26" t="n">
        <v>0.9192592592592592</v>
      </c>
      <c r="F2156" s="27" t="inlineStr">
        <is>
          <t>Shift 2</t>
        </is>
      </c>
      <c r="G2156" s="27" t="n"/>
    </row>
    <row r="2157">
      <c r="A2157" s="27" t="inlineStr">
        <is>
          <t>MK00112</t>
        </is>
      </c>
      <c r="B2157" s="27" t="n">
        <v>528000212</v>
      </c>
      <c r="C2157" s="27" t="inlineStr">
        <is>
          <t>Rizal Fauzi</t>
        </is>
      </c>
      <c r="D2157" s="171" t="n">
        <v>46235.41666666666</v>
      </c>
      <c r="E2157" s="26" t="n">
        <v>0.9194791666666666</v>
      </c>
      <c r="F2157" s="27" t="inlineStr">
        <is>
          <t>Shift 2</t>
        </is>
      </c>
      <c r="G2157" s="27" t="n"/>
    </row>
    <row r="2158">
      <c r="A2158" s="27" t="inlineStr">
        <is>
          <t>MK00108</t>
        </is>
      </c>
      <c r="B2158" s="27" t="n">
        <v>528000339</v>
      </c>
      <c r="C2158" s="27" t="inlineStr">
        <is>
          <t>Muhamad Ripai'i</t>
        </is>
      </c>
      <c r="D2158" s="171" t="n">
        <v>46235.41666666666</v>
      </c>
      <c r="E2158" s="26" t="n">
        <v>0.9201967592592593</v>
      </c>
      <c r="F2158" s="27" t="inlineStr">
        <is>
          <t>Shift 2</t>
        </is>
      </c>
      <c r="G2158" s="27" t="n"/>
    </row>
    <row r="2159">
      <c r="A2159" s="27" t="inlineStr">
        <is>
          <t>MK00095</t>
        </is>
      </c>
      <c r="B2159" s="27" t="n">
        <v>528000201</v>
      </c>
      <c r="C2159" s="27" t="inlineStr">
        <is>
          <t>Zahwa Amelia Choerunissa</t>
        </is>
      </c>
      <c r="D2159" s="171" t="n">
        <v>46235.41666666666</v>
      </c>
      <c r="E2159" s="26" t="n">
        <v>0.9205439814814815</v>
      </c>
      <c r="F2159" s="27" t="inlineStr">
        <is>
          <t>Shift 2</t>
        </is>
      </c>
      <c r="G2159" s="27" t="n"/>
    </row>
    <row r="2160">
      <c r="A2160" s="27" t="inlineStr">
        <is>
          <t>MK00109</t>
        </is>
      </c>
      <c r="B2160" s="27" t="n">
        <v>528000090</v>
      </c>
      <c r="C2160" s="27" t="inlineStr">
        <is>
          <t>Suganda</t>
        </is>
      </c>
      <c r="D2160" s="171" t="n">
        <v>46235.41666666666</v>
      </c>
      <c r="E2160" s="26" t="n">
        <v>0.9206828703703703</v>
      </c>
      <c r="F2160" s="27" t="inlineStr">
        <is>
          <t>Shift 2</t>
        </is>
      </c>
      <c r="G2160" s="27" t="n"/>
    </row>
    <row r="2161">
      <c r="A2161" s="27" t="inlineStr">
        <is>
          <t>MK00181</t>
        </is>
      </c>
      <c r="B2161" s="27" t="n">
        <v>528000286</v>
      </c>
      <c r="C2161" s="27" t="inlineStr">
        <is>
          <t>Imelda Amelia</t>
        </is>
      </c>
      <c r="D2161" s="171" t="n">
        <v>46235.41666666666</v>
      </c>
      <c r="E2161" s="26" t="n">
        <v>0.9220254629629629</v>
      </c>
      <c r="F2161" s="27" t="inlineStr">
        <is>
          <t>Shift 2</t>
        </is>
      </c>
      <c r="G2161" s="27" t="n"/>
    </row>
    <row r="2162">
      <c r="A2162" s="27" t="inlineStr">
        <is>
          <t>MK00138</t>
        </is>
      </c>
      <c r="B2162" s="27" t="n">
        <v>528000289</v>
      </c>
      <c r="C2162" s="27" t="inlineStr">
        <is>
          <t>Adit Supriyadi</t>
        </is>
      </c>
      <c r="D2162" s="171" t="n">
        <v>46235.41666666666</v>
      </c>
      <c r="E2162" s="26" t="n">
        <v>0.940150462962963</v>
      </c>
      <c r="F2162" s="27" t="inlineStr">
        <is>
          <t>Shift 2</t>
        </is>
      </c>
      <c r="G2162" s="27" t="n"/>
    </row>
    <row r="2163">
      <c r="A2163" s="27" t="inlineStr">
        <is>
          <t>MK00154</t>
        </is>
      </c>
      <c r="B2163" s="27" t="n">
        <v>528000283</v>
      </c>
      <c r="C2163" s="27" t="inlineStr">
        <is>
          <t>Purwanda Sugiri</t>
        </is>
      </c>
      <c r="D2163" s="171" t="n">
        <v>46236.41666666666</v>
      </c>
      <c r="E2163" s="26" t="n">
        <v>0.2528935185185185</v>
      </c>
      <c r="F2163" s="27" t="inlineStr">
        <is>
          <t>Shift 3</t>
        </is>
      </c>
      <c r="G2163" s="27" t="n"/>
    </row>
    <row r="2164">
      <c r="A2164" s="27" t="inlineStr">
        <is>
          <t>MK00090</t>
        </is>
      </c>
      <c r="B2164" s="27" t="n">
        <v>528000318</v>
      </c>
      <c r="C2164" s="27" t="inlineStr">
        <is>
          <t>Bayu Padli Sepriyana</t>
        </is>
      </c>
      <c r="D2164" s="171" t="n">
        <v>46236.41666666666</v>
      </c>
      <c r="E2164" s="26" t="n">
        <v>0.2534953703703703</v>
      </c>
      <c r="F2164" s="27" t="inlineStr">
        <is>
          <t>Shift 3</t>
        </is>
      </c>
      <c r="G2164" s="27" t="n"/>
    </row>
    <row r="2165">
      <c r="A2165" s="27" t="inlineStr">
        <is>
          <t>MK00085</t>
        </is>
      </c>
      <c r="B2165" s="27" t="n">
        <v>528000360</v>
      </c>
      <c r="C2165" s="27" t="inlineStr">
        <is>
          <t>Hendra Permana</t>
        </is>
      </c>
      <c r="D2165" s="171" t="n">
        <v>46236.41666666666</v>
      </c>
      <c r="E2165" s="26" t="n">
        <v>0.2539236111111111</v>
      </c>
      <c r="F2165" s="27" t="inlineStr">
        <is>
          <t>Shift 3</t>
        </is>
      </c>
      <c r="G2165" s="27" t="inlineStr">
        <is>
          <t>5C</t>
        </is>
      </c>
    </row>
    <row r="2166">
      <c r="A2166" s="27" t="inlineStr">
        <is>
          <t>MK00212</t>
        </is>
      </c>
      <c r="B2166" s="27" t="n">
        <v>528000337</v>
      </c>
      <c r="C2166" s="27" t="inlineStr">
        <is>
          <t>Ahmad Zaldi Firdaus</t>
        </is>
      </c>
      <c r="D2166" s="171" t="n">
        <v>46236.41666666666</v>
      </c>
      <c r="E2166" s="26" t="n">
        <v>0.2560185185185185</v>
      </c>
      <c r="F2166" s="27" t="inlineStr">
        <is>
          <t>Shift 3</t>
        </is>
      </c>
      <c r="G2166" s="27" t="n"/>
    </row>
    <row r="2167">
      <c r="A2167" s="27" t="inlineStr">
        <is>
          <t>MK00093</t>
        </is>
      </c>
      <c r="B2167" s="27" t="n">
        <v>528000267</v>
      </c>
      <c r="C2167" s="27" t="inlineStr">
        <is>
          <t>Bagas Patulloh</t>
        </is>
      </c>
      <c r="D2167" s="47" t="n">
        <v>46089</v>
      </c>
      <c r="E2167" s="26" t="n">
        <v>0.3356828703703704</v>
      </c>
      <c r="F2167" s="27" t="inlineStr">
        <is>
          <t>Shift 1</t>
        </is>
      </c>
      <c r="G2167" s="27" t="n"/>
    </row>
    <row r="2168">
      <c r="A2168" s="27" t="inlineStr">
        <is>
          <t>MK00202</t>
        </is>
      </c>
      <c r="B2168" s="27" t="n">
        <v>528000261</v>
      </c>
      <c r="C2168" s="27" t="inlineStr">
        <is>
          <t>Ergi Ergianto</t>
        </is>
      </c>
      <c r="D2168" s="47" t="n">
        <v>46089</v>
      </c>
      <c r="E2168" s="26" t="n">
        <v>0.3361458333333333</v>
      </c>
      <c r="F2168" s="27" t="inlineStr">
        <is>
          <t>Shift 1</t>
        </is>
      </c>
      <c r="G2168" s="27" t="n"/>
    </row>
    <row r="2169">
      <c r="A2169" s="27" t="inlineStr">
        <is>
          <t>MK00213</t>
        </is>
      </c>
      <c r="B2169" s="27" t="n">
        <v>528000358</v>
      </c>
      <c r="C2169" s="27" t="inlineStr">
        <is>
          <t>Lulu Agustin</t>
        </is>
      </c>
      <c r="D2169" s="47" t="n">
        <v>46089</v>
      </c>
      <c r="E2169" s="26" t="n">
        <v>0.3369560185185185</v>
      </c>
      <c r="F2169" s="27" t="inlineStr">
        <is>
          <t>Shift 1</t>
        </is>
      </c>
      <c r="G2169" s="27" t="n"/>
    </row>
    <row r="2170">
      <c r="A2170" s="27" t="inlineStr">
        <is>
          <t>MK00218</t>
        </is>
      </c>
      <c r="B2170" s="27" t="n">
        <v>528000349</v>
      </c>
      <c r="C2170" s="27" t="inlineStr">
        <is>
          <t>Anas Abdul Fatah</t>
        </is>
      </c>
      <c r="D2170" s="47" t="n">
        <v>46089</v>
      </c>
      <c r="E2170" s="26" t="n">
        <v>0.4067361111111111</v>
      </c>
      <c r="F2170" s="27" t="inlineStr">
        <is>
          <t>Shift 1</t>
        </is>
      </c>
      <c r="G2170" s="27" t="n"/>
    </row>
    <row r="2171">
      <c r="A2171" s="27" t="inlineStr">
        <is>
          <t>MK00108</t>
        </is>
      </c>
      <c r="B2171" s="27" t="n">
        <v>628000064</v>
      </c>
      <c r="C2171" s="27" t="inlineStr">
        <is>
          <t>Silva Alypia</t>
        </is>
      </c>
      <c r="D2171" s="47" t="n">
        <v>46089</v>
      </c>
      <c r="E2171" s="26" t="n">
        <v>0.5869791666666667</v>
      </c>
      <c r="F2171" s="27" t="inlineStr">
        <is>
          <t>Shift 1</t>
        </is>
      </c>
      <c r="G2171" s="27" t="n"/>
    </row>
    <row r="2172">
      <c r="A2172" s="27" t="inlineStr">
        <is>
          <t>MK00138</t>
        </is>
      </c>
      <c r="B2172" s="27" t="n">
        <v>528000300</v>
      </c>
      <c r="C2172" s="27" t="inlineStr">
        <is>
          <t>Lia pitaloka</t>
        </is>
      </c>
      <c r="D2172" s="47" t="n">
        <v>46089</v>
      </c>
      <c r="E2172" s="26" t="n">
        <v>0.588113425925926</v>
      </c>
      <c r="F2172" s="27" t="inlineStr">
        <is>
          <t>Shift 1</t>
        </is>
      </c>
      <c r="G2172" s="27" t="n"/>
    </row>
    <row r="2173">
      <c r="A2173" s="27" t="inlineStr">
        <is>
          <t>MK00208</t>
        </is>
      </c>
      <c r="B2173" s="27" t="n">
        <v>528000279</v>
      </c>
      <c r="C2173" s="27" t="inlineStr">
        <is>
          <t>Mahdalena Dalfa Riani</t>
        </is>
      </c>
      <c r="D2173" s="47" t="n">
        <v>46089</v>
      </c>
      <c r="E2173" s="26" t="n">
        <v>0.5885648148148148</v>
      </c>
      <c r="F2173" s="27" t="inlineStr">
        <is>
          <t>Shift 1</t>
        </is>
      </c>
      <c r="G2173" s="27" t="n"/>
    </row>
    <row r="2174">
      <c r="A2174" s="27" t="inlineStr">
        <is>
          <t>MK00221</t>
        </is>
      </c>
      <c r="B2174" s="27" t="n">
        <v>528000144</v>
      </c>
      <c r="C2174" s="27" t="inlineStr">
        <is>
          <t>Jodi Hanafi</t>
        </is>
      </c>
      <c r="D2174" s="47" t="n">
        <v>46089</v>
      </c>
      <c r="E2174" s="26" t="n">
        <v>0.6596875</v>
      </c>
      <c r="F2174" s="27" t="inlineStr">
        <is>
          <t>Shift 1</t>
        </is>
      </c>
      <c r="G2174" s="27" t="n"/>
    </row>
    <row r="2175">
      <c r="A2175" s="27" t="inlineStr">
        <is>
          <t>MK00210</t>
        </is>
      </c>
      <c r="B2175" s="27" t="n">
        <v>528000282</v>
      </c>
      <c r="C2175" s="27" t="inlineStr">
        <is>
          <t>Defa Desfiana</t>
        </is>
      </c>
      <c r="D2175" s="47" t="n">
        <v>46089</v>
      </c>
      <c r="E2175" s="26" t="n">
        <v>0.6679398148148148</v>
      </c>
      <c r="F2175" s="27" t="inlineStr">
        <is>
          <t>Shift 2</t>
        </is>
      </c>
      <c r="G2175" s="27" t="inlineStr">
        <is>
          <t>32c</t>
        </is>
      </c>
    </row>
    <row r="2176">
      <c r="A2176" s="27" t="inlineStr">
        <is>
          <t>MK00209</t>
        </is>
      </c>
      <c r="B2176" s="27" t="n">
        <v>528000351</v>
      </c>
      <c r="C2176" s="27" t="inlineStr">
        <is>
          <t>Mulyana</t>
        </is>
      </c>
      <c r="D2176" s="47" t="n">
        <v>46089</v>
      </c>
      <c r="E2176" s="26" t="n">
        <v>0.6688194444444444</v>
      </c>
      <c r="F2176" s="27" t="inlineStr">
        <is>
          <t>Shift 2</t>
        </is>
      </c>
      <c r="G2176" s="27" t="n"/>
    </row>
    <row r="2177">
      <c r="A2177" s="27" t="inlineStr">
        <is>
          <t>MK00181</t>
        </is>
      </c>
      <c r="B2177" s="27" t="n">
        <v>528000310</v>
      </c>
      <c r="C2177" s="27" t="inlineStr">
        <is>
          <t>Fachrul Rozzi Suryana</t>
        </is>
      </c>
      <c r="D2177" s="47" t="n">
        <v>46089</v>
      </c>
      <c r="E2177" s="26" t="n">
        <v>0.6694444444444444</v>
      </c>
      <c r="F2177" s="27" t="inlineStr">
        <is>
          <t>Shift 2</t>
        </is>
      </c>
      <c r="G2177" s="27" t="inlineStr">
        <is>
          <t>33E</t>
        </is>
      </c>
    </row>
    <row r="2178">
      <c r="A2178" s="27" t="inlineStr">
        <is>
          <t>MK00154</t>
        </is>
      </c>
      <c r="B2178" s="27" t="n">
        <v>528000265</v>
      </c>
      <c r="C2178" s="27" t="inlineStr">
        <is>
          <t>Muhammad Haerul Rozikin</t>
        </is>
      </c>
      <c r="D2178" s="47" t="n">
        <v>46089</v>
      </c>
      <c r="E2178" s="26" t="n">
        <v>0.6702083333333333</v>
      </c>
      <c r="F2178" s="27" t="inlineStr">
        <is>
          <t>Shift 2</t>
        </is>
      </c>
      <c r="G2178" s="27" t="n"/>
    </row>
    <row r="2179">
      <c r="A2179" s="27" t="inlineStr">
        <is>
          <t>MK00150</t>
        </is>
      </c>
      <c r="B2179" s="27" t="n">
        <v>528000232</v>
      </c>
      <c r="C2179" s="27" t="inlineStr">
        <is>
          <t>Agung Aji Suhada</t>
        </is>
      </c>
      <c r="D2179" s="47" t="n">
        <v>46089</v>
      </c>
      <c r="E2179" s="26" t="n">
        <v>0.7178587962962963</v>
      </c>
      <c r="F2179" s="27" t="inlineStr">
        <is>
          <t>Shift 2</t>
        </is>
      </c>
      <c r="G2179" s="27" t="n"/>
    </row>
    <row r="2180">
      <c r="A2180" s="27" t="inlineStr">
        <is>
          <t>MK00093</t>
        </is>
      </c>
      <c r="B2180" s="27" t="n">
        <v>528000267</v>
      </c>
      <c r="C2180" s="27" t="inlineStr">
        <is>
          <t>Bagas Patulloh</t>
        </is>
      </c>
      <c r="D2180" s="47" t="n">
        <v>46089</v>
      </c>
      <c r="E2180" s="26" t="n">
        <v>0.7406944444444444</v>
      </c>
      <c r="F2180" s="27" t="inlineStr">
        <is>
          <t>Shift 2</t>
        </is>
      </c>
      <c r="G2180" s="27" t="n"/>
    </row>
    <row r="2181">
      <c r="A2181" s="27" t="inlineStr">
        <is>
          <t>MK00185</t>
        </is>
      </c>
      <c r="B2181" s="27" t="n">
        <v>528000349</v>
      </c>
      <c r="C2181" s="27" t="inlineStr">
        <is>
          <t>Anas Abdul Fatah</t>
        </is>
      </c>
      <c r="D2181" s="47" t="n">
        <v>46089</v>
      </c>
      <c r="E2181" s="26" t="n">
        <v>0.7615740740740741</v>
      </c>
      <c r="F2181" s="27" t="inlineStr">
        <is>
          <t>Shift 2</t>
        </is>
      </c>
      <c r="G2181" s="27" t="n"/>
    </row>
    <row r="2182">
      <c r="A2182" s="27" t="inlineStr">
        <is>
          <t>MK00160</t>
        </is>
      </c>
      <c r="B2182" s="27" t="n">
        <v>528000052</v>
      </c>
      <c r="C2182" s="27" t="inlineStr">
        <is>
          <t>Mustopa</t>
        </is>
      </c>
      <c r="D2182" s="47" t="n">
        <v>46089</v>
      </c>
      <c r="E2182" s="26" t="n">
        <v>0.8784259259259259</v>
      </c>
      <c r="F2182" s="27" t="inlineStr">
        <is>
          <t>Shift 2</t>
        </is>
      </c>
      <c r="G2182" s="27" t="n"/>
    </row>
    <row r="2183">
      <c r="A2183" s="27" t="inlineStr">
        <is>
          <t>MK00082</t>
        </is>
      </c>
      <c r="B2183" s="27" t="n">
        <v>528000291</v>
      </c>
      <c r="C2183" s="27" t="inlineStr">
        <is>
          <t>Andrian</t>
        </is>
      </c>
      <c r="D2183" s="47" t="n">
        <v>46089</v>
      </c>
      <c r="E2183" s="26" t="n">
        <v>0.9068287037037037</v>
      </c>
      <c r="F2183" s="27" t="inlineStr">
        <is>
          <t>Shift 2</t>
        </is>
      </c>
      <c r="G2183" s="27" t="n"/>
    </row>
    <row r="2184">
      <c r="A2184" s="27" t="inlineStr">
        <is>
          <t>MK00113</t>
        </is>
      </c>
      <c r="B2184" s="27" t="n">
        <v>528000262</v>
      </c>
      <c r="C2184" s="27" t="inlineStr">
        <is>
          <t>Ndari Dwiwanti</t>
        </is>
      </c>
      <c r="D2184" s="47" t="n">
        <v>46089</v>
      </c>
      <c r="E2184" s="26" t="n">
        <v>0.9076273148148148</v>
      </c>
      <c r="F2184" s="27" t="inlineStr">
        <is>
          <t>Shift 2</t>
        </is>
      </c>
      <c r="G2184" s="27" t="n"/>
    </row>
    <row r="2185">
      <c r="A2185" s="27" t="inlineStr">
        <is>
          <t>MK00116</t>
        </is>
      </c>
      <c r="B2185" s="27" t="n">
        <v>528000273</v>
      </c>
      <c r="C2185" s="27" t="inlineStr">
        <is>
          <t>Asep Mulyana</t>
        </is>
      </c>
      <c r="D2185" s="47" t="n">
        <v>46089</v>
      </c>
      <c r="E2185" s="26" t="n">
        <v>0.9178587962962963</v>
      </c>
      <c r="F2185" s="27" t="inlineStr">
        <is>
          <t>Shift 2</t>
        </is>
      </c>
      <c r="G2185" s="27" t="n"/>
    </row>
    <row r="2186">
      <c r="A2186" s="27" t="inlineStr">
        <is>
          <t>MK00008</t>
        </is>
      </c>
      <c r="B2186" s="27" t="n">
        <v>528000274</v>
      </c>
      <c r="C2186" s="27" t="inlineStr">
        <is>
          <t>Zepri</t>
        </is>
      </c>
      <c r="D2186" s="47" t="n">
        <v>46089</v>
      </c>
      <c r="E2186" s="26" t="n">
        <v>0.9190046296296296</v>
      </c>
      <c r="F2186" s="27" t="inlineStr">
        <is>
          <t>Shift 2</t>
        </is>
      </c>
      <c r="G2186" s="27" t="n"/>
    </row>
    <row r="2187">
      <c r="A2187" s="27" t="inlineStr">
        <is>
          <t>MK00217</t>
        </is>
      </c>
      <c r="B2187" s="27" t="n">
        <v>528000241</v>
      </c>
      <c r="C2187" s="27" t="inlineStr">
        <is>
          <t>Balia Nurafif Bilah</t>
        </is>
      </c>
      <c r="D2187" s="47" t="n">
        <v>46089</v>
      </c>
      <c r="E2187" s="26" t="n">
        <v>0.9194791666666666</v>
      </c>
      <c r="F2187" s="27" t="inlineStr">
        <is>
          <t>Shift 2</t>
        </is>
      </c>
      <c r="G2187" s="27" t="n"/>
    </row>
    <row r="2188">
      <c r="A2188" s="27" t="inlineStr">
        <is>
          <t>MK00192</t>
        </is>
      </c>
      <c r="B2188" s="27" t="n">
        <v>528000201</v>
      </c>
      <c r="C2188" s="27" t="inlineStr">
        <is>
          <t>Zahwa Amelia Choerunissa</t>
        </is>
      </c>
      <c r="D2188" s="47" t="n">
        <v>46089</v>
      </c>
      <c r="E2188" s="26" t="n">
        <v>0.919537037037037</v>
      </c>
      <c r="F2188" s="27" t="inlineStr">
        <is>
          <t>Shift 2</t>
        </is>
      </c>
      <c r="G2188" s="27" t="n"/>
    </row>
    <row r="2189">
      <c r="A2189" s="27" t="inlineStr">
        <is>
          <t>MK00250</t>
        </is>
      </c>
      <c r="B2189" s="27" t="n">
        <v>528000090</v>
      </c>
      <c r="C2189" s="27" t="inlineStr">
        <is>
          <t>Suganda</t>
        </is>
      </c>
      <c r="D2189" s="47" t="n">
        <v>46089</v>
      </c>
      <c r="E2189" s="26" t="n">
        <v>0.9199305555555556</v>
      </c>
      <c r="F2189" s="27" t="inlineStr">
        <is>
          <t>Shift 2</t>
        </is>
      </c>
      <c r="G2189" s="27" t="n"/>
    </row>
    <row r="2190">
      <c r="A2190" s="27" t="inlineStr">
        <is>
          <t>MK00109</t>
        </is>
      </c>
      <c r="B2190" s="27" t="n">
        <v>528000290</v>
      </c>
      <c r="C2190" s="27" t="inlineStr">
        <is>
          <t>Eval Pranata</t>
        </is>
      </c>
      <c r="D2190" s="47" t="n">
        <v>46089</v>
      </c>
      <c r="E2190" s="26" t="n">
        <v>0.9200115740740741</v>
      </c>
      <c r="F2190" s="27" t="inlineStr">
        <is>
          <t>Shift 2</t>
        </is>
      </c>
      <c r="G2190" s="27" t="n"/>
    </row>
    <row r="2191">
      <c r="A2191" s="27" t="inlineStr">
        <is>
          <t>MK00230</t>
        </is>
      </c>
      <c r="B2191" s="27" t="n">
        <v>528000286</v>
      </c>
      <c r="C2191" s="27" t="inlineStr">
        <is>
          <t>Imelda Amelia</t>
        </is>
      </c>
      <c r="D2191" s="47" t="n">
        <v>46089</v>
      </c>
      <c r="E2191" s="26" t="n">
        <v>0.9225231481481482</v>
      </c>
      <c r="F2191" s="27" t="inlineStr">
        <is>
          <t>Shift 2</t>
        </is>
      </c>
      <c r="G2191" s="27" t="n"/>
    </row>
    <row r="2192">
      <c r="A2192" s="27" t="inlineStr">
        <is>
          <t>MK00205</t>
        </is>
      </c>
      <c r="B2192" s="27" t="n">
        <v>528000348</v>
      </c>
      <c r="C2192" s="27" t="inlineStr">
        <is>
          <t>Saepuloh Ardiansah</t>
        </is>
      </c>
      <c r="D2192" s="47" t="n">
        <v>46089</v>
      </c>
      <c r="E2192" s="26" t="n">
        <v>0.924525462962963</v>
      </c>
      <c r="F2192" s="27" t="inlineStr">
        <is>
          <t>Shift 2</t>
        </is>
      </c>
      <c r="G2192" s="27" t="n"/>
    </row>
    <row r="2193">
      <c r="A2193" s="27" t="inlineStr">
        <is>
          <t>MK00141</t>
        </is>
      </c>
      <c r="B2193" s="27" t="n">
        <v>528000040</v>
      </c>
      <c r="C2193" s="27" t="inlineStr">
        <is>
          <t>Agus Suryaman</t>
        </is>
      </c>
      <c r="D2193" s="47" t="n">
        <v>46089</v>
      </c>
      <c r="E2193" s="26" t="n">
        <v>0.9253935185185185</v>
      </c>
      <c r="F2193" s="27" t="inlineStr">
        <is>
          <t>Shift 2</t>
        </is>
      </c>
      <c r="G2193" s="27" t="n"/>
    </row>
    <row r="2194">
      <c r="A2194" s="27" t="inlineStr">
        <is>
          <t>MK00136</t>
        </is>
      </c>
      <c r="B2194" s="27" t="n">
        <v>528000339</v>
      </c>
      <c r="C2194" s="27" t="inlineStr">
        <is>
          <t>Muhamad Ripai'i</t>
        </is>
      </c>
      <c r="D2194" s="47" t="n">
        <v>46089</v>
      </c>
      <c r="E2194" s="26" t="n">
        <v>0.944675925925926</v>
      </c>
      <c r="F2194" s="27" t="inlineStr">
        <is>
          <t>Shift 2</t>
        </is>
      </c>
      <c r="G2194" s="27" t="n"/>
    </row>
    <row r="2195">
      <c r="A2195" s="27" t="inlineStr">
        <is>
          <t>MK00204</t>
        </is>
      </c>
      <c r="B2195" s="27" t="n">
        <v>528000335</v>
      </c>
      <c r="C2195" s="27" t="inlineStr">
        <is>
          <t>Rizal Saepuloh</t>
        </is>
      </c>
      <c r="D2195" s="47" t="n">
        <v>46120</v>
      </c>
      <c r="E2195" s="26" t="n">
        <v>0.0001736111111111111</v>
      </c>
      <c r="F2195" s="27" t="inlineStr">
        <is>
          <t>Shift 3</t>
        </is>
      </c>
      <c r="G2195" s="27" t="n"/>
    </row>
    <row r="2196">
      <c r="A2196" s="27" t="inlineStr">
        <is>
          <t>MK0130</t>
        </is>
      </c>
      <c r="B2196" s="27" t="n">
        <v>528000149</v>
      </c>
      <c r="C2196" s="27" t="inlineStr">
        <is>
          <t>Tio Fernanda</t>
        </is>
      </c>
      <c r="D2196" s="47" t="n">
        <v>46120</v>
      </c>
      <c r="E2196" s="26" t="n">
        <v>0.002557870370370371</v>
      </c>
      <c r="F2196" s="27" t="inlineStr">
        <is>
          <t>Shift 3</t>
        </is>
      </c>
      <c r="G2196" s="27" t="n"/>
    </row>
    <row r="2197">
      <c r="A2197" s="27" t="inlineStr">
        <is>
          <t>MK00221</t>
        </is>
      </c>
      <c r="B2197" s="27" t="n">
        <v>528000144</v>
      </c>
      <c r="C2197" s="27" t="inlineStr">
        <is>
          <t>Jodi Hanafi</t>
        </is>
      </c>
      <c r="D2197" s="47" t="n">
        <v>46120</v>
      </c>
      <c r="E2197" s="26" t="n">
        <v>0.002789351851851852</v>
      </c>
      <c r="F2197" s="27" t="inlineStr">
        <is>
          <t>Shift 3</t>
        </is>
      </c>
      <c r="G2197" s="27" t="n"/>
    </row>
    <row r="2198">
      <c r="A2198" s="27" t="inlineStr">
        <is>
          <t>MK00156</t>
        </is>
      </c>
      <c r="B2198" s="27" t="n">
        <v>528000212</v>
      </c>
      <c r="C2198" s="27" t="inlineStr">
        <is>
          <t>Rizal Fauzi</t>
        </is>
      </c>
      <c r="D2198" s="47" t="n">
        <v>46120</v>
      </c>
      <c r="E2198" s="26" t="n">
        <v>0.08962962962962963</v>
      </c>
      <c r="F2198" s="27" t="inlineStr">
        <is>
          <t>Shift 3</t>
        </is>
      </c>
      <c r="G2198" s="27" t="n"/>
    </row>
    <row r="2199">
      <c r="A2199" s="27" t="inlineStr">
        <is>
          <t>MK00145</t>
        </is>
      </c>
      <c r="B2199" s="27" t="n">
        <v>528000289</v>
      </c>
      <c r="C2199" s="27" t="inlineStr">
        <is>
          <t>Adit Supriyadi</t>
        </is>
      </c>
      <c r="D2199" s="47" t="n">
        <v>46120</v>
      </c>
      <c r="E2199" s="26" t="n">
        <v>0.2493055555555556</v>
      </c>
      <c r="F2199" s="27" t="inlineStr">
        <is>
          <t>Shift 3</t>
        </is>
      </c>
      <c r="G2199" s="27" t="n"/>
    </row>
    <row r="2200">
      <c r="A2200" s="27" t="inlineStr">
        <is>
          <t>MK00208</t>
        </is>
      </c>
      <c r="B2200" s="27" t="n">
        <v>528000360</v>
      </c>
      <c r="C2200" s="27" t="inlineStr">
        <is>
          <t>Hendra Permana</t>
        </is>
      </c>
      <c r="D2200" s="47" t="n">
        <v>46120</v>
      </c>
      <c r="E2200" s="26" t="n">
        <v>0.2532175925925926</v>
      </c>
      <c r="F2200" s="27" t="inlineStr">
        <is>
          <t>Shift 3</t>
        </is>
      </c>
      <c r="G2200" s="27" t="inlineStr">
        <is>
          <t>8E</t>
        </is>
      </c>
    </row>
    <row r="2201">
      <c r="A2201" s="27" t="inlineStr">
        <is>
          <t>MK00249</t>
        </is>
      </c>
      <c r="B2201" s="27" t="n">
        <v>528000291</v>
      </c>
      <c r="C2201" s="27" t="inlineStr">
        <is>
          <t>Andrian</t>
        </is>
      </c>
      <c r="D2201" s="47" t="n">
        <v>46120</v>
      </c>
      <c r="E2201" s="26" t="n">
        <v>0.2532638888888889</v>
      </c>
      <c r="F2201" s="27" t="inlineStr">
        <is>
          <t>Shift 3</t>
        </is>
      </c>
      <c r="G2201" s="27" t="n"/>
    </row>
    <row r="2202">
      <c r="A2202" s="27" t="inlineStr">
        <is>
          <t>MK00218</t>
        </is>
      </c>
      <c r="B2202" s="27" t="n">
        <v>528000283</v>
      </c>
      <c r="C2202" s="27" t="inlineStr">
        <is>
          <t>Purwanda Sugiri</t>
        </is>
      </c>
      <c r="D2202" s="47" t="n">
        <v>46120</v>
      </c>
      <c r="E2202" s="26" t="n">
        <v>0.2535763888888889</v>
      </c>
      <c r="F2202" s="27" t="inlineStr">
        <is>
          <t>Shift 3</t>
        </is>
      </c>
      <c r="G2202" s="27" t="n"/>
    </row>
    <row r="2203">
      <c r="A2203" s="27" t="inlineStr">
        <is>
          <t>MK00088</t>
        </is>
      </c>
      <c r="B2203" s="27" t="n">
        <v>528000262</v>
      </c>
      <c r="C2203" s="27" t="inlineStr">
        <is>
          <t>Ndari Dwiwanti</t>
        </is>
      </c>
      <c r="D2203" s="47" t="n">
        <v>46120</v>
      </c>
      <c r="E2203" s="26" t="n">
        <v>0.2536458333333333</v>
      </c>
      <c r="F2203" s="27" t="inlineStr">
        <is>
          <t>Shift 3</t>
        </is>
      </c>
      <c r="G2203" s="27" t="n"/>
    </row>
    <row r="2204">
      <c r="A2204" s="27" t="inlineStr">
        <is>
          <t>MK00235</t>
        </is>
      </c>
      <c r="B2204" s="27" t="n">
        <v>528000358</v>
      </c>
      <c r="C2204" s="27" t="inlineStr">
        <is>
          <t>Lulu Agustin</t>
        </is>
      </c>
      <c r="D2204" s="47" t="n">
        <v>46120</v>
      </c>
      <c r="E2204" s="26" t="n">
        <v>0.2539814814814815</v>
      </c>
      <c r="F2204" s="27" t="inlineStr">
        <is>
          <t>Shift 3</t>
        </is>
      </c>
      <c r="G2204" s="27" t="n"/>
    </row>
    <row r="2205">
      <c r="A2205" s="27" t="inlineStr">
        <is>
          <t>MK00154</t>
        </is>
      </c>
      <c r="B2205" s="27" t="n">
        <v>528000052</v>
      </c>
      <c r="C2205" s="27" t="inlineStr">
        <is>
          <t>Mustopa</t>
        </is>
      </c>
      <c r="D2205" s="47" t="n">
        <v>46120</v>
      </c>
      <c r="E2205" s="26" t="n">
        <v>0.2542013888888889</v>
      </c>
      <c r="F2205" s="27" t="inlineStr">
        <is>
          <t>Shift 3</t>
        </is>
      </c>
      <c r="G2205" s="27" t="n"/>
    </row>
    <row r="2206">
      <c r="A2206" s="27" t="inlineStr">
        <is>
          <t>MK00181</t>
        </is>
      </c>
      <c r="B2206" s="27" t="n">
        <v>528000323</v>
      </c>
      <c r="C2206" s="27" t="inlineStr">
        <is>
          <t>Dian Hamidah</t>
        </is>
      </c>
      <c r="D2206" s="47" t="n">
        <v>46120</v>
      </c>
      <c r="E2206" s="26" t="n">
        <v>0.2549305555555555</v>
      </c>
      <c r="F2206" s="27" t="inlineStr">
        <is>
          <t>Shift 3</t>
        </is>
      </c>
      <c r="G2206" s="27" t="n"/>
    </row>
    <row r="2207">
      <c r="A2207" s="27" t="inlineStr">
        <is>
          <t>MK00185</t>
        </is>
      </c>
      <c r="B2207" s="27" t="n">
        <v>528000336</v>
      </c>
      <c r="C2207" s="27" t="inlineStr">
        <is>
          <t>Ali Nurhanafi</t>
        </is>
      </c>
      <c r="D2207" s="47" t="n">
        <v>46120</v>
      </c>
      <c r="E2207" s="26" t="n">
        <v>0.2553703703703704</v>
      </c>
      <c r="F2207" s="27" t="inlineStr">
        <is>
          <t>Shift 3</t>
        </is>
      </c>
      <c r="G2207" s="27" t="n"/>
    </row>
    <row r="2208">
      <c r="A2208" s="27" t="inlineStr">
        <is>
          <t>MK00209</t>
        </is>
      </c>
      <c r="B2208" s="27" t="n">
        <v>528000337</v>
      </c>
      <c r="C2208" s="27" t="inlineStr">
        <is>
          <t>Ahmad Zaldi Firdaus</t>
        </is>
      </c>
      <c r="D2208" s="47" t="n">
        <v>46120</v>
      </c>
      <c r="E2208" s="26" t="n">
        <v>0.2558101851851852</v>
      </c>
      <c r="F2208" s="27" t="inlineStr">
        <is>
          <t>Shift 3</t>
        </is>
      </c>
      <c r="G2208" s="27" t="n"/>
    </row>
    <row r="2209">
      <c r="A2209" s="27" t="inlineStr">
        <is>
          <t>MK00205</t>
        </is>
      </c>
      <c r="B2209" s="27" t="n">
        <v>528000348</v>
      </c>
      <c r="C2209" s="27" t="inlineStr">
        <is>
          <t>Saepuloh Ardiansah</t>
        </is>
      </c>
      <c r="D2209" s="47" t="n">
        <v>46120</v>
      </c>
      <c r="E2209" s="26" t="n">
        <v>0.3536342592592592</v>
      </c>
      <c r="F2209" s="27" t="inlineStr">
        <is>
          <t>Shift 1</t>
        </is>
      </c>
      <c r="G2209" s="27" t="n"/>
    </row>
    <row r="2210">
      <c r="A2210" s="27" t="inlineStr">
        <is>
          <t>MK00250</t>
        </is>
      </c>
      <c r="B2210" s="27" t="n">
        <v>528000300</v>
      </c>
      <c r="C2210" s="27" t="inlineStr">
        <is>
          <t>Lia pitaloka</t>
        </is>
      </c>
      <c r="D2210" s="47" t="n">
        <v>46120</v>
      </c>
      <c r="E2210" s="26" t="n">
        <v>0.3865277777777778</v>
      </c>
      <c r="F2210" s="27" t="inlineStr">
        <is>
          <t>Shift 1</t>
        </is>
      </c>
      <c r="G2210" s="27" t="n"/>
    </row>
    <row r="2211">
      <c r="A2211" s="27" t="inlineStr">
        <is>
          <t>MK00134</t>
        </is>
      </c>
      <c r="B2211" s="27" t="n">
        <v>528000288</v>
      </c>
      <c r="C2211" s="27" t="inlineStr">
        <is>
          <t>Dede gunawan</t>
        </is>
      </c>
      <c r="D2211" s="47" t="n">
        <v>46120</v>
      </c>
      <c r="E2211" s="26" t="n">
        <v>0.4075694444444444</v>
      </c>
      <c r="F2211" s="27" t="inlineStr">
        <is>
          <t>Shift 1</t>
        </is>
      </c>
      <c r="G2211" s="27" t="n"/>
    </row>
    <row r="2212">
      <c r="A2212" s="27" t="inlineStr">
        <is>
          <t>MK00095</t>
        </is>
      </c>
      <c r="B2212" s="27" t="n">
        <v>528000310</v>
      </c>
      <c r="C2212" s="27" t="inlineStr">
        <is>
          <t>Fachrul Rozzi Suryana</t>
        </is>
      </c>
      <c r="D2212" s="47" t="n">
        <v>46120</v>
      </c>
      <c r="E2212" s="26" t="n">
        <v>0.5861458333333334</v>
      </c>
      <c r="F2212" s="27" t="inlineStr">
        <is>
          <t>Shift 1</t>
        </is>
      </c>
      <c r="G2212" s="27" t="inlineStr">
        <is>
          <t>23F</t>
        </is>
      </c>
    </row>
    <row r="2213">
      <c r="A2213" s="27" t="inlineStr">
        <is>
          <t>MK00192</t>
        </is>
      </c>
      <c r="B2213" s="27" t="n">
        <v>528000265</v>
      </c>
      <c r="C2213" s="27" t="inlineStr">
        <is>
          <t>Muhammad Haerul Rozikin</t>
        </is>
      </c>
      <c r="D2213" s="47" t="n">
        <v>46120</v>
      </c>
      <c r="E2213" s="26" t="n">
        <v>0.5862615740740741</v>
      </c>
      <c r="F2213" s="27" t="inlineStr">
        <is>
          <t>Shift 1</t>
        </is>
      </c>
      <c r="G2213" s="27" t="n"/>
    </row>
    <row r="2214">
      <c r="A2214" s="27" t="inlineStr">
        <is>
          <t>MK00109</t>
        </is>
      </c>
      <c r="B2214" s="27" t="n">
        <v>628000064</v>
      </c>
      <c r="C2214" s="27" t="inlineStr">
        <is>
          <t>Silva Alypia</t>
        </is>
      </c>
      <c r="D2214" s="47" t="n">
        <v>46120</v>
      </c>
      <c r="E2214" s="26" t="n">
        <v>0.5872916666666667</v>
      </c>
      <c r="F2214" s="27" t="inlineStr">
        <is>
          <t>Shift 1</t>
        </is>
      </c>
      <c r="G2214" s="27" t="n"/>
    </row>
    <row r="2215">
      <c r="A2215" s="27" t="inlineStr">
        <is>
          <t>MK00145</t>
        </is>
      </c>
      <c r="B2215" s="27" t="n">
        <v>528000279</v>
      </c>
      <c r="C2215" s="27" t="inlineStr">
        <is>
          <t>Mahdalena Dalfa Riani</t>
        </is>
      </c>
      <c r="D2215" s="47" t="n">
        <v>46120</v>
      </c>
      <c r="E2215" s="26" t="n">
        <v>0.5879050925925926</v>
      </c>
      <c r="F2215" s="27" t="inlineStr">
        <is>
          <t>Shift 1</t>
        </is>
      </c>
      <c r="G2215" s="27" t="n"/>
    </row>
    <row r="2216">
      <c r="A2216" s="27" t="inlineStr">
        <is>
          <t>MK00108</t>
        </is>
      </c>
      <c r="B2216" s="27" t="n">
        <v>528000282</v>
      </c>
      <c r="C2216" s="27" t="inlineStr">
        <is>
          <t>Defa Desfiana</t>
        </is>
      </c>
      <c r="D2216" s="47" t="n">
        <v>46120</v>
      </c>
      <c r="E2216" s="26" t="n">
        <v>0.5904513888888889</v>
      </c>
      <c r="F2216" s="27" t="inlineStr">
        <is>
          <t>Shift 1</t>
        </is>
      </c>
      <c r="G2216" s="27" t="inlineStr">
        <is>
          <t>3b</t>
        </is>
      </c>
    </row>
    <row r="2217">
      <c r="A2217" s="27" t="inlineStr">
        <is>
          <t>MK00218</t>
        </is>
      </c>
      <c r="B2217" s="27" t="n">
        <v>528000351</v>
      </c>
      <c r="C2217" s="27" t="inlineStr">
        <is>
          <t>Mulyana</t>
        </is>
      </c>
      <c r="D2217" s="47" t="n">
        <v>46120</v>
      </c>
      <c r="E2217" s="26" t="n">
        <v>0.6671990740740741</v>
      </c>
      <c r="F2217" s="27" t="inlineStr">
        <is>
          <t>Shift 2</t>
        </is>
      </c>
      <c r="G2217" s="27" t="n"/>
    </row>
    <row r="2218">
      <c r="A2218" s="27" t="inlineStr">
        <is>
          <t>MK00141</t>
        </is>
      </c>
      <c r="B2218" s="27" t="n">
        <v>528000040</v>
      </c>
      <c r="C2218" s="27" t="inlineStr">
        <is>
          <t>Agus Suryaman</t>
        </is>
      </c>
      <c r="D2218" s="47" t="n">
        <v>46120</v>
      </c>
      <c r="E2218" s="26" t="n">
        <v>0.7117824074074074</v>
      </c>
      <c r="F2218" s="27" t="inlineStr">
        <is>
          <t>Shift 2</t>
        </is>
      </c>
      <c r="G2218" s="27" t="n"/>
    </row>
    <row r="2219">
      <c r="A2219" s="27" t="inlineStr">
        <is>
          <t>MK00093</t>
        </is>
      </c>
      <c r="B2219" s="27" t="n">
        <v>528000267</v>
      </c>
      <c r="C2219" s="27" t="inlineStr">
        <is>
          <t>Bagas Patulloh</t>
        </is>
      </c>
      <c r="D2219" s="47" t="n">
        <v>46120</v>
      </c>
      <c r="E2219" s="26" t="n">
        <v>0.7177777777777777</v>
      </c>
      <c r="F2219" s="27" t="inlineStr">
        <is>
          <t>Shift 2</t>
        </is>
      </c>
      <c r="G2219" s="27" t="n"/>
    </row>
    <row r="2220">
      <c r="A2220" s="27" t="inlineStr">
        <is>
          <t>MK00213</t>
        </is>
      </c>
      <c r="B2220" s="27" t="n">
        <v>528000349</v>
      </c>
      <c r="C2220" s="27" t="inlineStr">
        <is>
          <t>Anas Abdul Fatah</t>
        </is>
      </c>
      <c r="D2220" s="47" t="n">
        <v>46120</v>
      </c>
      <c r="E2220" s="26" t="n">
        <v>0.7582060185185185</v>
      </c>
      <c r="F2220" s="27" t="inlineStr">
        <is>
          <t>Shift 2</t>
        </is>
      </c>
      <c r="G2220" s="27" t="n"/>
    </row>
    <row r="2221">
      <c r="A2221" s="27" t="inlineStr">
        <is>
          <t>MK00205</t>
        </is>
      </c>
      <c r="B2221" s="27" t="n">
        <v>528000348</v>
      </c>
      <c r="C2221" s="27" t="inlineStr">
        <is>
          <t>Saepuloh Ardiansah</t>
        </is>
      </c>
      <c r="D2221" s="47" t="n">
        <v>46120</v>
      </c>
      <c r="E2221" s="26" t="n">
        <v>0.8177083333333334</v>
      </c>
      <c r="F2221" s="27" t="inlineStr">
        <is>
          <t>Shift 2</t>
        </is>
      </c>
      <c r="G2221" s="27" t="n"/>
    </row>
    <row r="2222">
      <c r="A2222" s="27" t="inlineStr">
        <is>
          <t>MK00145</t>
        </is>
      </c>
      <c r="B2222" s="27" t="n">
        <v>528000309</v>
      </c>
      <c r="C2222" s="27" t="inlineStr">
        <is>
          <t>Ilham Ramadhan</t>
        </is>
      </c>
      <c r="D2222" s="47" t="n">
        <v>46120</v>
      </c>
      <c r="E2222" s="26" t="n">
        <v>0.902962962962963</v>
      </c>
      <c r="F2222" s="27" t="inlineStr">
        <is>
          <t>Shift 2</t>
        </is>
      </c>
      <c r="G2222" s="27" t="n"/>
    </row>
    <row r="2223">
      <c r="A2223" s="27" t="inlineStr">
        <is>
          <t>MK00123</t>
        </is>
      </c>
      <c r="B2223" s="27" t="n">
        <v>528000015</v>
      </c>
      <c r="C2223" s="27" t="inlineStr">
        <is>
          <t>Erwin</t>
        </is>
      </c>
      <c r="D2223" s="47" t="n">
        <v>46120</v>
      </c>
      <c r="E2223" s="26" t="n">
        <v>0.9035300925925925</v>
      </c>
      <c r="F2223" s="27" t="inlineStr">
        <is>
          <t>Shift 2</t>
        </is>
      </c>
      <c r="G2223" s="27" t="n"/>
    </row>
    <row r="2224">
      <c r="A2224" s="27" t="inlineStr">
        <is>
          <t>MK00085</t>
        </is>
      </c>
      <c r="B2224" s="27" t="n">
        <v>528000273</v>
      </c>
      <c r="C2224" s="27" t="inlineStr">
        <is>
          <t>Asep Mulyana</t>
        </is>
      </c>
      <c r="D2224" s="47" t="n">
        <v>46120</v>
      </c>
      <c r="E2224" s="26" t="n">
        <v>0.9170949074074074</v>
      </c>
      <c r="F2224" s="27" t="inlineStr">
        <is>
          <t>Shift 2</t>
        </is>
      </c>
      <c r="G2224" s="27" t="n"/>
    </row>
    <row r="2225">
      <c r="A2225" s="27" t="inlineStr">
        <is>
          <t>MK00136</t>
        </is>
      </c>
      <c r="B2225" s="27" t="n">
        <v>528000201</v>
      </c>
      <c r="C2225" s="27" t="inlineStr">
        <is>
          <t>Zahwa Amelia Choerunissa</t>
        </is>
      </c>
      <c r="D2225" s="47" t="n">
        <v>46120</v>
      </c>
      <c r="E2225" s="26" t="n">
        <v>0.9183796296296296</v>
      </c>
      <c r="F2225" s="27" t="inlineStr">
        <is>
          <t>Shift 2</t>
        </is>
      </c>
      <c r="G2225" s="27" t="n"/>
    </row>
    <row r="2226">
      <c r="A2226" s="27" t="inlineStr">
        <is>
          <t>MK00186</t>
        </is>
      </c>
      <c r="B2226" s="27" t="n">
        <v>528000289</v>
      </c>
      <c r="C2226" s="27" t="inlineStr">
        <is>
          <t>Adit Supriyadi</t>
        </is>
      </c>
      <c r="D2226" s="47" t="n">
        <v>46120</v>
      </c>
      <c r="E2226" s="26" t="n">
        <v>0.9189120370370371</v>
      </c>
      <c r="F2226" s="27" t="inlineStr">
        <is>
          <t>Shift 2</t>
        </is>
      </c>
      <c r="G2226" s="27" t="n"/>
    </row>
    <row r="2227">
      <c r="A2227" s="27" t="inlineStr">
        <is>
          <t>MK00212</t>
        </is>
      </c>
      <c r="B2227" s="27" t="n">
        <v>528000228</v>
      </c>
      <c r="C2227" s="27" t="inlineStr">
        <is>
          <t>Banyu Resmi Putri</t>
        </is>
      </c>
      <c r="D2227" s="47" t="n">
        <v>46120</v>
      </c>
      <c r="E2227" s="26" t="n">
        <v>0.9192824074074074</v>
      </c>
      <c r="F2227" s="27" t="inlineStr">
        <is>
          <t>Shift 2</t>
        </is>
      </c>
      <c r="G2227" s="27" t="n"/>
    </row>
    <row r="2228">
      <c r="A2228" s="27" t="inlineStr">
        <is>
          <t>MK00008</t>
        </is>
      </c>
      <c r="B2228" s="27" t="n">
        <v>528000359</v>
      </c>
      <c r="C2228" s="27" t="inlineStr">
        <is>
          <t>M. Iqbal Maulana. S</t>
        </is>
      </c>
      <c r="D2228" s="47" t="n">
        <v>46120</v>
      </c>
      <c r="E2228" s="26" t="n">
        <v>0.9201041666666666</v>
      </c>
      <c r="F2228" s="27" t="inlineStr">
        <is>
          <t>Shift 2</t>
        </is>
      </c>
      <c r="G2228" s="27" t="n"/>
    </row>
    <row r="2229">
      <c r="A2229" s="27" t="inlineStr">
        <is>
          <t>MK00181</t>
        </is>
      </c>
      <c r="B2229" s="27" t="n">
        <v>528000290</v>
      </c>
      <c r="C2229" s="27" t="inlineStr">
        <is>
          <t>Eval Pranata</t>
        </is>
      </c>
      <c r="D2229" s="47" t="n">
        <v>46120</v>
      </c>
      <c r="E2229" s="26" t="n">
        <v>0.920775462962963</v>
      </c>
      <c r="F2229" s="27" t="inlineStr">
        <is>
          <t>Shift 2</t>
        </is>
      </c>
      <c r="G2229" s="27" t="n"/>
    </row>
    <row r="2230">
      <c r="A2230" s="27" t="inlineStr">
        <is>
          <t>MK00143</t>
        </is>
      </c>
      <c r="B2230" s="27" t="n">
        <v>528000286</v>
      </c>
      <c r="C2230" s="27" t="inlineStr">
        <is>
          <t>Imelda Amelia</t>
        </is>
      </c>
      <c r="D2230" s="47" t="n">
        <v>46120</v>
      </c>
      <c r="E2230" s="26" t="n">
        <v>0.9208217592592592</v>
      </c>
      <c r="F2230" s="27" t="inlineStr">
        <is>
          <t>Shift 2</t>
        </is>
      </c>
      <c r="G2230" s="27" t="n"/>
    </row>
    <row r="2231">
      <c r="A2231" s="27" t="inlineStr">
        <is>
          <t>MK00184</t>
        </is>
      </c>
      <c r="B2231" s="27" t="n">
        <v>528000090</v>
      </c>
      <c r="C2231" s="27" t="inlineStr">
        <is>
          <t>Suganda</t>
        </is>
      </c>
      <c r="D2231" s="47" t="n">
        <v>46120</v>
      </c>
      <c r="E2231" s="26" t="n">
        <v>0.9209259259259259</v>
      </c>
      <c r="F2231" s="27" t="inlineStr">
        <is>
          <t>Shift 2</t>
        </is>
      </c>
      <c r="G2231" s="27" t="n"/>
    </row>
    <row r="2232">
      <c r="A2232" s="27" t="inlineStr">
        <is>
          <t>MK00208</t>
        </is>
      </c>
      <c r="B2232" s="27" t="n">
        <v>528000339</v>
      </c>
      <c r="C2232" s="27" t="inlineStr">
        <is>
          <t>Muhamad Ripai'i</t>
        </is>
      </c>
      <c r="D2232" s="47" t="n">
        <v>46120</v>
      </c>
      <c r="E2232" s="26" t="n">
        <v>0.9468055555555556</v>
      </c>
      <c r="F2232" s="27" t="inlineStr">
        <is>
          <t>Shift 2</t>
        </is>
      </c>
      <c r="G2232" s="27" t="n"/>
    </row>
    <row r="2233">
      <c r="A2233" s="27" t="inlineStr">
        <is>
          <t>MK00204</t>
        </is>
      </c>
      <c r="B2233" s="27" t="n">
        <v>528000335</v>
      </c>
      <c r="C2233" s="27" t="inlineStr">
        <is>
          <t>Rizal Saepuloh</t>
        </is>
      </c>
      <c r="D2233" s="47" t="n">
        <v>46150</v>
      </c>
      <c r="E2233" s="26" t="n">
        <v>0.0006018518518518519</v>
      </c>
      <c r="F2233" s="27" t="inlineStr">
        <is>
          <t>Shift 3</t>
        </is>
      </c>
      <c r="G2233" s="27" t="n"/>
    </row>
    <row r="2234">
      <c r="A2234" s="27" t="inlineStr">
        <is>
          <t>MK00221</t>
        </is>
      </c>
      <c r="B2234" s="27" t="n">
        <v>528000144</v>
      </c>
      <c r="C2234" s="27" t="inlineStr">
        <is>
          <t>Jodi Hanafi</t>
        </is>
      </c>
      <c r="D2234" s="47" t="n">
        <v>46150</v>
      </c>
      <c r="E2234" s="26" t="n">
        <v>0.0109837962962963</v>
      </c>
      <c r="F2234" s="27" t="inlineStr">
        <is>
          <t>Shift 3</t>
        </is>
      </c>
      <c r="G2234" s="27" t="n"/>
    </row>
    <row r="2235">
      <c r="A2235" s="27" t="inlineStr">
        <is>
          <t>MK00095</t>
        </is>
      </c>
      <c r="B2235" s="27" t="n">
        <v>528000302</v>
      </c>
      <c r="C2235" s="27" t="inlineStr">
        <is>
          <t>Henkey gumilar</t>
        </is>
      </c>
      <c r="D2235" s="47" t="n">
        <v>46150</v>
      </c>
      <c r="E2235" s="26" t="n">
        <v>0.1259375</v>
      </c>
      <c r="F2235" s="27" t="inlineStr">
        <is>
          <t>Shift 3</t>
        </is>
      </c>
      <c r="G2235" s="27" t="n"/>
    </row>
    <row r="2236">
      <c r="A2236" s="27" t="inlineStr">
        <is>
          <t>MK00109</t>
        </is>
      </c>
      <c r="B2236" s="27" t="n">
        <v>528000361</v>
      </c>
      <c r="C2236" s="27" t="inlineStr">
        <is>
          <t>Denada Munggarani</t>
        </is>
      </c>
      <c r="D2236" s="47" t="n">
        <v>46150</v>
      </c>
      <c r="E2236" s="26" t="n">
        <v>0.2538657407407408</v>
      </c>
      <c r="F2236" s="27" t="inlineStr">
        <is>
          <t>Shift 3</t>
        </is>
      </c>
      <c r="G2236" s="27" t="n"/>
    </row>
    <row r="2237">
      <c r="A2237" s="27" t="inlineStr">
        <is>
          <t>MK00108</t>
        </is>
      </c>
      <c r="B2237" s="27" t="n">
        <v>528000305</v>
      </c>
      <c r="C2237" s="27" t="inlineStr">
        <is>
          <t>Puji Puspita</t>
        </is>
      </c>
      <c r="D2237" s="47" t="n">
        <v>46150</v>
      </c>
      <c r="E2237" s="26" t="n">
        <v>0.2539236111111111</v>
      </c>
      <c r="F2237" s="27" t="inlineStr">
        <is>
          <t>Shift 3</t>
        </is>
      </c>
      <c r="G2237" s="27" t="n"/>
    </row>
    <row r="2238">
      <c r="A2238" s="27" t="inlineStr">
        <is>
          <t>MK00185</t>
        </is>
      </c>
      <c r="B2238" s="27" t="n">
        <v>528000313</v>
      </c>
      <c r="C2238" s="27" t="inlineStr">
        <is>
          <t>Muhamad Rifki</t>
        </is>
      </c>
      <c r="D2238" s="47" t="n">
        <v>46150</v>
      </c>
      <c r="E2238" s="26" t="n">
        <v>0.2543402777777778</v>
      </c>
      <c r="F2238" s="27" t="inlineStr">
        <is>
          <t>Shift 3</t>
        </is>
      </c>
      <c r="G2238" s="27" t="n"/>
    </row>
    <row r="2239">
      <c r="A2239" s="27" t="inlineStr">
        <is>
          <t>MK00156</t>
        </is>
      </c>
      <c r="B2239" s="27" t="n">
        <v>528000309</v>
      </c>
      <c r="C2239" s="27" t="inlineStr">
        <is>
          <t>Ilham Ramadhan</t>
        </is>
      </c>
      <c r="D2239" s="47" t="n">
        <v>46150</v>
      </c>
      <c r="E2239" s="26" t="n">
        <v>0.2543518518518518</v>
      </c>
      <c r="F2239" s="27" t="inlineStr">
        <is>
          <t>Shift 3</t>
        </is>
      </c>
      <c r="G2239" s="27" t="n"/>
    </row>
    <row r="2240">
      <c r="A2240" s="27" t="inlineStr">
        <is>
          <t>MK00230</t>
        </is>
      </c>
      <c r="B2240" s="27" t="n">
        <v>528000318</v>
      </c>
      <c r="C2240" s="27" t="inlineStr">
        <is>
          <t>Bayu Padli Sepriyana</t>
        </is>
      </c>
      <c r="D2240" s="47" t="n">
        <v>46150</v>
      </c>
      <c r="E2240" s="26" t="n">
        <v>0.2547222222222222</v>
      </c>
      <c r="F2240" s="27" t="inlineStr">
        <is>
          <t>Shift 3</t>
        </is>
      </c>
      <c r="G2240" s="27" t="n"/>
    </row>
    <row r="2241">
      <c r="A2241" s="27" t="inlineStr">
        <is>
          <t>MK00095</t>
        </is>
      </c>
      <c r="B2241" s="27" t="n">
        <v>528000302</v>
      </c>
      <c r="C2241" s="27" t="inlineStr">
        <is>
          <t>Henkey gumilar</t>
        </is>
      </c>
      <c r="D2241" s="47" t="n">
        <v>46150</v>
      </c>
      <c r="E2241" s="26" t="n">
        <v>0.2552893518518519</v>
      </c>
      <c r="F2241" s="27" t="inlineStr">
        <is>
          <t>Shift 3</t>
        </is>
      </c>
      <c r="G2241" s="27" t="n"/>
    </row>
    <row r="2242">
      <c r="A2242" s="27" t="inlineStr">
        <is>
          <t>MK00235</t>
        </is>
      </c>
      <c r="B2242" s="27" t="n">
        <v>528000298</v>
      </c>
      <c r="C2242" s="27" t="inlineStr">
        <is>
          <t>Desta Cahaya Pratama</t>
        </is>
      </c>
      <c r="D2242" s="47" t="n">
        <v>46150</v>
      </c>
      <c r="E2242" s="26" t="n">
        <v>0.2559259259259259</v>
      </c>
      <c r="F2242" s="27" t="inlineStr">
        <is>
          <t>Shift 3</t>
        </is>
      </c>
      <c r="G2242" s="27" t="n"/>
    </row>
    <row r="2243">
      <c r="A2243" s="27" t="inlineStr">
        <is>
          <t>MK00220</t>
        </is>
      </c>
      <c r="B2243" s="27" t="n">
        <v>528000340</v>
      </c>
      <c r="C2243" s="27" t="inlineStr">
        <is>
          <t>Muhammad Wildan Adithya</t>
        </is>
      </c>
      <c r="D2243" s="47" t="n">
        <v>46150</v>
      </c>
      <c r="E2243" s="26" t="n">
        <v>0.2564930555555556</v>
      </c>
      <c r="F2243" s="27" t="inlineStr">
        <is>
          <t>Shift 3</t>
        </is>
      </c>
      <c r="G2243" s="27" t="n"/>
    </row>
    <row r="2244">
      <c r="A2244" s="27" t="inlineStr">
        <is>
          <t>MK00138</t>
        </is>
      </c>
      <c r="B2244" s="27" t="n">
        <v>628000091</v>
      </c>
      <c r="C2244" s="27" t="inlineStr">
        <is>
          <t>Devita Handayani</t>
        </is>
      </c>
      <c r="D2244" s="47" t="n">
        <v>46150</v>
      </c>
      <c r="E2244" s="26" t="n">
        <v>0.257337962962963</v>
      </c>
      <c r="F2244" s="27" t="inlineStr">
        <is>
          <t>Shift 3</t>
        </is>
      </c>
      <c r="G2244" s="27" t="n"/>
    </row>
    <row r="2245">
      <c r="A2245" s="27" t="inlineStr">
        <is>
          <t>MK00209</t>
        </is>
      </c>
      <c r="B2245" s="27" t="n">
        <v>528000299</v>
      </c>
      <c r="C2245" s="27" t="inlineStr">
        <is>
          <t>Siti Nurjanah</t>
        </is>
      </c>
      <c r="D2245" s="47" t="n">
        <v>46150</v>
      </c>
      <c r="E2245" s="26" t="n">
        <v>0.2582291666666667</v>
      </c>
      <c r="F2245" s="27" t="inlineStr">
        <is>
          <t>Shift 3</t>
        </is>
      </c>
      <c r="G2245" s="27" t="n"/>
    </row>
    <row r="2246">
      <c r="A2246" s="27" t="inlineStr">
        <is>
          <t>MK00220</t>
        </is>
      </c>
      <c r="B2246" s="27" t="n">
        <v>528000340</v>
      </c>
      <c r="C2246" s="27" t="inlineStr">
        <is>
          <t>Muhammad Wildan Adithya</t>
        </is>
      </c>
      <c r="D2246" s="47" t="n">
        <v>46150</v>
      </c>
      <c r="E2246" s="26" t="n">
        <v>0.2586921296296296</v>
      </c>
      <c r="F2246" s="27" t="inlineStr">
        <is>
          <t>Shift 3</t>
        </is>
      </c>
      <c r="G2246" s="27" t="n"/>
    </row>
    <row r="2247">
      <c r="A2247" s="27" t="inlineStr">
        <is>
          <t>MK00213</t>
        </is>
      </c>
      <c r="B2247" s="27" t="n">
        <v>528000015</v>
      </c>
      <c r="C2247" s="27" t="inlineStr">
        <is>
          <t>Erwin</t>
        </is>
      </c>
      <c r="D2247" s="47" t="n">
        <v>46150</v>
      </c>
      <c r="E2247" s="26" t="n">
        <v>0.327962962962963</v>
      </c>
      <c r="F2247" s="27" t="inlineStr">
        <is>
          <t>Shift 3</t>
        </is>
      </c>
      <c r="G2247" s="27" t="n"/>
    </row>
    <row r="2248">
      <c r="A2248" s="27" t="inlineStr">
        <is>
          <t>MK00150</t>
        </is>
      </c>
      <c r="B2248" s="27" t="n">
        <v>528000232</v>
      </c>
      <c r="C2248" s="27" t="inlineStr">
        <is>
          <t>Agung Aji Suhada</t>
        </is>
      </c>
      <c r="D2248" s="47" t="n">
        <v>46150</v>
      </c>
      <c r="E2248" s="26" t="n">
        <v>0.3677199074074074</v>
      </c>
      <c r="F2248" s="27" t="inlineStr">
        <is>
          <t>Shift 1</t>
        </is>
      </c>
      <c r="G2248" s="27" t="n"/>
    </row>
    <row r="2249">
      <c r="A2249" s="27" t="inlineStr">
        <is>
          <t>MK00250</t>
        </is>
      </c>
      <c r="B2249" s="27" t="n">
        <v>528000288</v>
      </c>
      <c r="C2249" s="27" t="inlineStr">
        <is>
          <t>Dede gunawan</t>
        </is>
      </c>
      <c r="D2249" s="47" t="n">
        <v>46150</v>
      </c>
      <c r="E2249" s="26" t="n">
        <v>0.5790277777777778</v>
      </c>
      <c r="F2249" s="27" t="inlineStr">
        <is>
          <t>Shift 1</t>
        </is>
      </c>
      <c r="G2249" s="27" t="n"/>
    </row>
    <row r="2250">
      <c r="A2250" s="27" t="inlineStr">
        <is>
          <t>MK00154</t>
        </is>
      </c>
      <c r="B2250" s="27" t="n">
        <v>528000212</v>
      </c>
      <c r="C2250" s="27" t="inlineStr">
        <is>
          <t>Rizal Fauzi</t>
        </is>
      </c>
      <c r="D2250" s="47" t="n">
        <v>46150</v>
      </c>
      <c r="E2250" s="26" t="n">
        <v>0.5825462962962963</v>
      </c>
      <c r="F2250" s="27" t="inlineStr">
        <is>
          <t>Shift 1</t>
        </is>
      </c>
      <c r="G2250" s="27" t="n"/>
    </row>
    <row r="2251">
      <c r="A2251" s="27" t="inlineStr">
        <is>
          <t>MK00181</t>
        </is>
      </c>
      <c r="B2251" s="27" t="n">
        <v>528000279</v>
      </c>
      <c r="C2251" s="27" t="inlineStr">
        <is>
          <t>Mahdalena Dalfa Riani</t>
        </is>
      </c>
      <c r="D2251" s="47" t="n">
        <v>46150</v>
      </c>
      <c r="E2251" s="26" t="n">
        <v>0.5865509259259259</v>
      </c>
      <c r="F2251" s="27" t="inlineStr">
        <is>
          <t>Shift 1</t>
        </is>
      </c>
      <c r="G2251" s="27" t="n"/>
    </row>
    <row r="2252">
      <c r="A2252" s="27" t="inlineStr">
        <is>
          <t>MK000145</t>
        </is>
      </c>
      <c r="B2252" s="27" t="n">
        <v>528000306</v>
      </c>
      <c r="C2252" s="27" t="inlineStr">
        <is>
          <t>Windy Olivia</t>
        </is>
      </c>
      <c r="D2252" s="47" t="n">
        <v>46150</v>
      </c>
      <c r="E2252" s="26" t="n">
        <v>0.5874537037037038</v>
      </c>
      <c r="F2252" s="27" t="inlineStr">
        <is>
          <t>Shift 1</t>
        </is>
      </c>
      <c r="G2252" s="27" t="n"/>
    </row>
    <row r="2253">
      <c r="A2253" s="27" t="inlineStr">
        <is>
          <t>MK00184</t>
        </is>
      </c>
      <c r="B2253" s="27" t="n">
        <v>628000064</v>
      </c>
      <c r="C2253" s="27" t="inlineStr">
        <is>
          <t>Silva Alypia</t>
        </is>
      </c>
      <c r="D2253" s="47" t="n">
        <v>46150</v>
      </c>
      <c r="E2253" s="26" t="n">
        <v>0.5886805555555555</v>
      </c>
      <c r="F2253" s="27" t="inlineStr">
        <is>
          <t>Shift 1</t>
        </is>
      </c>
      <c r="G2253" s="27" t="n"/>
    </row>
    <row r="2254">
      <c r="A2254" s="27" t="inlineStr">
        <is>
          <t>MK00143</t>
        </is>
      </c>
      <c r="B2254" s="27" t="n">
        <v>528000300</v>
      </c>
      <c r="C2254" s="27" t="inlineStr">
        <is>
          <t>Lia pitaloka</t>
        </is>
      </c>
      <c r="D2254" s="47" t="n">
        <v>46150</v>
      </c>
      <c r="E2254" s="26" t="n">
        <v>0.5894212962962962</v>
      </c>
      <c r="F2254" s="27" t="inlineStr">
        <is>
          <t>Shift 1</t>
        </is>
      </c>
      <c r="G2254" s="27" t="n"/>
    </row>
    <row r="2255">
      <c r="A2255" s="27" t="inlineStr">
        <is>
          <t>MK00235</t>
        </is>
      </c>
      <c r="B2255" s="27" t="n">
        <v>528000310</v>
      </c>
      <c r="C2255" s="27" t="inlineStr">
        <is>
          <t>Fachrul Rozzi Suryana</t>
        </is>
      </c>
      <c r="D2255" s="47" t="n">
        <v>46150</v>
      </c>
      <c r="E2255" s="26" t="n">
        <v>0.666875</v>
      </c>
      <c r="F2255" s="27" t="inlineStr">
        <is>
          <t>Shift 2</t>
        </is>
      </c>
      <c r="G2255" s="27" t="inlineStr">
        <is>
          <t>23F</t>
        </is>
      </c>
    </row>
    <row r="2256">
      <c r="A2256" s="27" t="inlineStr">
        <is>
          <t>MK00138</t>
        </is>
      </c>
      <c r="B2256" s="27" t="n">
        <v>528000351</v>
      </c>
      <c r="C2256" s="27" t="inlineStr">
        <is>
          <t>Mulyana</t>
        </is>
      </c>
      <c r="D2256" s="47" t="n">
        <v>46150</v>
      </c>
      <c r="E2256" s="26" t="n">
        <v>0.6670486111111111</v>
      </c>
      <c r="F2256" s="27" t="inlineStr">
        <is>
          <t>Shift 2</t>
        </is>
      </c>
      <c r="G2256" s="27" t="n"/>
    </row>
    <row r="2257">
      <c r="A2257" s="27" t="inlineStr">
        <is>
          <t>MK00108</t>
        </is>
      </c>
      <c r="B2257" s="27" t="n">
        <v>528000265</v>
      </c>
      <c r="C2257" s="27" t="inlineStr">
        <is>
          <t>Muhammad Haerul Rozikin</t>
        </is>
      </c>
      <c r="D2257" s="47" t="n">
        <v>46150</v>
      </c>
      <c r="E2257" s="26" t="n">
        <v>0.6701851851851852</v>
      </c>
      <c r="F2257" s="27" t="inlineStr">
        <is>
          <t>Shift 2</t>
        </is>
      </c>
      <c r="G2257" s="27" t="n"/>
    </row>
    <row r="2258">
      <c r="A2258" s="27" t="inlineStr">
        <is>
          <t>MK00220</t>
        </is>
      </c>
      <c r="B2258" s="27" t="n">
        <v>528000282</v>
      </c>
      <c r="C2258" s="27" t="inlineStr">
        <is>
          <t>Defa Desfiana</t>
        </is>
      </c>
      <c r="D2258" s="47" t="n">
        <v>46150</v>
      </c>
      <c r="E2258" s="26" t="n">
        <v>0.6789351851851851</v>
      </c>
      <c r="F2258" s="27" t="inlineStr">
        <is>
          <t>Shift 2</t>
        </is>
      </c>
      <c r="G2258" s="27" t="inlineStr">
        <is>
          <t>32b</t>
        </is>
      </c>
    </row>
    <row r="2259">
      <c r="A2259" s="27" t="inlineStr">
        <is>
          <t>MK00141</t>
        </is>
      </c>
      <c r="B2259" s="27" t="n">
        <v>528000040</v>
      </c>
      <c r="C2259" s="27" t="inlineStr">
        <is>
          <t>Agus Suryaman</t>
        </is>
      </c>
      <c r="D2259" s="47" t="n">
        <v>46150</v>
      </c>
      <c r="E2259" s="26" t="n">
        <v>0.7119097222222223</v>
      </c>
      <c r="F2259" s="27" t="inlineStr">
        <is>
          <t>Shift 2</t>
        </is>
      </c>
      <c r="G2259" s="27" t="n"/>
    </row>
    <row r="2260">
      <c r="A2260" s="27" t="inlineStr">
        <is>
          <t>MK00205</t>
        </is>
      </c>
      <c r="B2260" s="27" t="n">
        <v>528000348</v>
      </c>
      <c r="C2260" s="27" t="inlineStr">
        <is>
          <t>Saepuloh Ardiansah</t>
        </is>
      </c>
      <c r="D2260" s="47" t="n">
        <v>46150</v>
      </c>
      <c r="E2260" s="26" t="n">
        <v>0.7233796296296297</v>
      </c>
      <c r="F2260" s="27" t="inlineStr">
        <is>
          <t>Shift 2</t>
        </is>
      </c>
      <c r="G2260" s="27" t="n"/>
    </row>
    <row r="2261">
      <c r="A2261" s="27" t="inlineStr">
        <is>
          <t>MK00123</t>
        </is>
      </c>
      <c r="B2261" s="27" t="n">
        <v>528000015</v>
      </c>
      <c r="C2261" s="27" t="inlineStr">
        <is>
          <t>Erwin</t>
        </is>
      </c>
      <c r="D2261" s="47" t="n">
        <v>46150</v>
      </c>
      <c r="E2261" s="26" t="n">
        <v>0.9038425925925926</v>
      </c>
      <c r="F2261" s="27" t="inlineStr">
        <is>
          <t>Shift 2</t>
        </is>
      </c>
      <c r="G2261" s="27" t="n"/>
    </row>
    <row r="2262">
      <c r="A2262" s="27" t="inlineStr">
        <is>
          <t>MK00168</t>
        </is>
      </c>
      <c r="B2262" s="27" t="n">
        <v>528000015</v>
      </c>
      <c r="C2262" s="27" t="inlineStr">
        <is>
          <t>Erwin</t>
        </is>
      </c>
      <c r="D2262" s="47" t="n">
        <v>46150</v>
      </c>
      <c r="E2262" s="26" t="n">
        <v>0.9074537037037037</v>
      </c>
      <c r="F2262" s="27" t="inlineStr">
        <is>
          <t>Shift 2</t>
        </is>
      </c>
      <c r="G2262" s="27" t="n"/>
    </row>
    <row r="2263">
      <c r="A2263" s="27" t="inlineStr">
        <is>
          <t>MK00134</t>
        </is>
      </c>
      <c r="B2263" s="27" t="n">
        <v>528000289</v>
      </c>
      <c r="C2263" s="27" t="inlineStr">
        <is>
          <t>Adit Supriyadi</t>
        </is>
      </c>
      <c r="D2263" s="47" t="n">
        <v>46150</v>
      </c>
      <c r="E2263" s="26" t="n">
        <v>0.9166550925925926</v>
      </c>
      <c r="F2263" s="27" t="inlineStr">
        <is>
          <t>Shift 2</t>
        </is>
      </c>
      <c r="G2263" s="27" t="n"/>
    </row>
    <row r="2264">
      <c r="A2264" s="27" t="inlineStr">
        <is>
          <t>MK00203</t>
        </is>
      </c>
      <c r="B2264" s="27" t="n">
        <v>528000273</v>
      </c>
      <c r="C2264" s="27" t="inlineStr">
        <is>
          <t>Asep Mulyana</t>
        </is>
      </c>
      <c r="D2264" s="47" t="n">
        <v>46150</v>
      </c>
      <c r="E2264" s="26" t="n">
        <v>0.9169212962962963</v>
      </c>
      <c r="F2264" s="27" t="inlineStr">
        <is>
          <t>Shift 2</t>
        </is>
      </c>
      <c r="G2264" s="27" t="n"/>
    </row>
    <row r="2265">
      <c r="A2265" s="27" t="inlineStr">
        <is>
          <t>MK00112</t>
        </is>
      </c>
      <c r="B2265" s="27" t="n">
        <v>528000274</v>
      </c>
      <c r="C2265" s="27" t="inlineStr">
        <is>
          <t>Zepri</t>
        </is>
      </c>
      <c r="D2265" s="47" t="n">
        <v>46150</v>
      </c>
      <c r="E2265" s="26" t="n">
        <v>0.9169675925925926</v>
      </c>
      <c r="F2265" s="27" t="inlineStr">
        <is>
          <t>Shift 2</t>
        </is>
      </c>
      <c r="G2265" s="27" t="n"/>
    </row>
    <row r="2266">
      <c r="A2266" s="27" t="inlineStr">
        <is>
          <t>MK00088</t>
        </is>
      </c>
      <c r="B2266" s="27" t="n">
        <v>528000201</v>
      </c>
      <c r="C2266" s="27" t="inlineStr">
        <is>
          <t>Zahwa Amelia Choerunissa</t>
        </is>
      </c>
      <c r="D2266" s="47" t="n">
        <v>46150</v>
      </c>
      <c r="E2266" s="26" t="n">
        <v>0.9181365740740741</v>
      </c>
      <c r="F2266" s="27" t="inlineStr">
        <is>
          <t>Shift 2</t>
        </is>
      </c>
      <c r="G2266" s="27" t="n"/>
    </row>
    <row r="2267">
      <c r="A2267" s="27" t="inlineStr">
        <is>
          <t>MK00090</t>
        </is>
      </c>
      <c r="B2267" s="27" t="n">
        <v>528000359</v>
      </c>
      <c r="C2267" s="27" t="inlineStr">
        <is>
          <t>M. Iqbal Maulana. S</t>
        </is>
      </c>
      <c r="D2267" s="47" t="n">
        <v>46150</v>
      </c>
      <c r="E2267" s="26" t="n">
        <v>0.9184375</v>
      </c>
      <c r="F2267" s="27" t="inlineStr">
        <is>
          <t>Shift 2</t>
        </is>
      </c>
      <c r="G2267" s="27" t="n"/>
    </row>
    <row r="2268">
      <c r="A2268" s="27" t="inlineStr">
        <is>
          <t>MK00082</t>
        </is>
      </c>
      <c r="B2268" s="27" t="n">
        <v>528000290</v>
      </c>
      <c r="C2268" s="27" t="inlineStr">
        <is>
          <t>Eval Pranata</t>
        </is>
      </c>
      <c r="D2268" s="47" t="n">
        <v>46150</v>
      </c>
      <c r="E2268" s="26" t="n">
        <v>0.9184722222222222</v>
      </c>
      <c r="F2268" s="27" t="inlineStr">
        <is>
          <t>Shift 2</t>
        </is>
      </c>
      <c r="G2268" s="27" t="n"/>
    </row>
    <row r="2269">
      <c r="A2269" s="27" t="inlineStr">
        <is>
          <t>MK00218</t>
        </is>
      </c>
      <c r="B2269" s="27" t="n">
        <v>528000228</v>
      </c>
      <c r="C2269" s="27" t="inlineStr">
        <is>
          <t>Banyu Resmi Putri</t>
        </is>
      </c>
      <c r="D2269" s="47" t="n">
        <v>46150</v>
      </c>
      <c r="E2269" s="26" t="n">
        <v>0.9195717592592593</v>
      </c>
      <c r="F2269" s="27" t="inlineStr">
        <is>
          <t>Shift 2</t>
        </is>
      </c>
      <c r="G2269" s="27" t="n"/>
    </row>
    <row r="2270">
      <c r="A2270" s="27" t="inlineStr">
        <is>
          <t>MK00160</t>
        </is>
      </c>
      <c r="B2270" s="27" t="n">
        <v>528000286</v>
      </c>
      <c r="C2270" s="27" t="inlineStr">
        <is>
          <t>Imelda Amelia</t>
        </is>
      </c>
      <c r="D2270" s="47" t="n">
        <v>46150</v>
      </c>
      <c r="E2270" s="26" t="n">
        <v>0.9205787037037036</v>
      </c>
      <c r="F2270" s="27" t="inlineStr">
        <is>
          <t>Shift 2</t>
        </is>
      </c>
      <c r="G2270" s="27" t="n"/>
    </row>
    <row r="2271">
      <c r="A2271" s="27" t="inlineStr">
        <is>
          <t>MK00217</t>
        </is>
      </c>
      <c r="B2271" s="27" t="n">
        <v>528000339</v>
      </c>
      <c r="C2271" s="27" t="inlineStr">
        <is>
          <t>Muhamad Ripai'i</t>
        </is>
      </c>
      <c r="D2271" s="47" t="n">
        <v>46150</v>
      </c>
      <c r="E2271" s="26" t="n">
        <v>0.9221296296296296</v>
      </c>
      <c r="F2271" s="27" t="inlineStr">
        <is>
          <t>Shift 2</t>
        </is>
      </c>
      <c r="G2271" s="27" t="n"/>
    </row>
    <row r="2272">
      <c r="A2272" s="27" t="inlineStr">
        <is>
          <t>MK00210</t>
        </is>
      </c>
      <c r="B2272" s="27" t="n">
        <v>528000090</v>
      </c>
      <c r="C2272" s="27" t="inlineStr">
        <is>
          <t>Suganda</t>
        </is>
      </c>
      <c r="D2272" s="47" t="n">
        <v>46150</v>
      </c>
      <c r="E2272" s="26" t="n">
        <v>0.9265972222222222</v>
      </c>
      <c r="F2272" s="27" t="inlineStr">
        <is>
          <t>Shift 2</t>
        </is>
      </c>
      <c r="G2272" s="27" t="n"/>
    </row>
    <row r="2273">
      <c r="A2273" s="27" t="inlineStr">
        <is>
          <t>MK00250</t>
        </is>
      </c>
      <c r="B2273" s="27" t="n">
        <v>528000212</v>
      </c>
      <c r="C2273" s="27" t="inlineStr">
        <is>
          <t>Rizal Fauzi</t>
        </is>
      </c>
      <c r="D2273" s="47" t="n">
        <v>46150</v>
      </c>
      <c r="E2273" s="26" t="n">
        <v>0.9275578703703704</v>
      </c>
      <c r="F2273" s="27" t="inlineStr">
        <is>
          <t>Shift 2</t>
        </is>
      </c>
      <c r="G2273" s="27" t="n"/>
    </row>
    <row r="2274">
      <c r="A2274" s="27" t="inlineStr">
        <is>
          <t>MK00150</t>
        </is>
      </c>
      <c r="B2274" s="27" t="n">
        <v>528000232</v>
      </c>
      <c r="C2274" s="27" t="inlineStr">
        <is>
          <t>Agung Aji Suhada</t>
        </is>
      </c>
      <c r="D2274" s="47" t="n">
        <v>46150</v>
      </c>
      <c r="E2274" s="26" t="n">
        <v>0.9982523148148148</v>
      </c>
      <c r="F2274" s="27" t="inlineStr">
        <is>
          <t>Shift 2</t>
        </is>
      </c>
      <c r="G2274" s="27" t="n"/>
    </row>
    <row r="2275">
      <c r="A2275" s="27" t="inlineStr">
        <is>
          <t>MK00204</t>
        </is>
      </c>
      <c r="B2275" s="27" t="n">
        <v>528000335</v>
      </c>
      <c r="C2275" s="27" t="inlineStr">
        <is>
          <t>Rizal Saepuloh</t>
        </is>
      </c>
      <c r="D2275" s="47" t="n">
        <v>46181</v>
      </c>
      <c r="E2275" s="26" t="n">
        <v>0.000162037037037037</v>
      </c>
      <c r="F2275" s="27" t="inlineStr">
        <is>
          <t>Shift 3</t>
        </is>
      </c>
      <c r="G2275" s="27" t="n"/>
    </row>
    <row r="2276">
      <c r="A2276" s="27" t="inlineStr">
        <is>
          <t>MK0130</t>
        </is>
      </c>
      <c r="B2276" s="27" t="n">
        <v>528000149</v>
      </c>
      <c r="C2276" s="27" t="inlineStr">
        <is>
          <t>Tio Fernanda</t>
        </is>
      </c>
      <c r="D2276" s="47" t="n">
        <v>46181</v>
      </c>
      <c r="E2276" s="26" t="n">
        <v>0.001770833333333333</v>
      </c>
      <c r="F2276" s="27" t="inlineStr">
        <is>
          <t>Shift 3</t>
        </is>
      </c>
      <c r="G2276" s="27" t="n"/>
    </row>
    <row r="2277">
      <c r="A2277" s="27" t="inlineStr">
        <is>
          <t>MK00221</t>
        </is>
      </c>
      <c r="B2277" s="27" t="n">
        <v>528000144</v>
      </c>
      <c r="C2277" s="27" t="inlineStr">
        <is>
          <t>Jodi Hanafi</t>
        </is>
      </c>
      <c r="D2277" s="47" t="n">
        <v>46181</v>
      </c>
      <c r="E2277" s="26" t="n">
        <v>0.002233796296296296</v>
      </c>
      <c r="F2277" s="27" t="inlineStr">
        <is>
          <t>Shift 3</t>
        </is>
      </c>
      <c r="G2277" s="27" t="n"/>
    </row>
    <row r="2278">
      <c r="A2278" s="27" t="inlineStr">
        <is>
          <t>MK00220</t>
        </is>
      </c>
      <c r="B2278" s="27" t="n">
        <v>528000318</v>
      </c>
      <c r="C2278" s="27" t="inlineStr">
        <is>
          <t>Bayu Padli Sepriyana</t>
        </is>
      </c>
      <c r="D2278" s="47" t="n">
        <v>46181</v>
      </c>
      <c r="E2278" s="26" t="n">
        <v>0.2516203703703704</v>
      </c>
      <c r="F2278" s="27" t="inlineStr">
        <is>
          <t>Shift 3</t>
        </is>
      </c>
      <c r="G2278" s="27" t="n"/>
    </row>
    <row r="2279">
      <c r="A2279" s="27" t="inlineStr">
        <is>
          <t>MK00154</t>
        </is>
      </c>
      <c r="B2279" s="27" t="n">
        <v>628000091</v>
      </c>
      <c r="C2279" s="27" t="inlineStr">
        <is>
          <t>Devita Handayani</t>
        </is>
      </c>
      <c r="D2279" s="47" t="n">
        <v>46181</v>
      </c>
      <c r="E2279" s="26" t="n">
        <v>0.2520486111111111</v>
      </c>
      <c r="F2279" s="27" t="inlineStr">
        <is>
          <t>Shift 3</t>
        </is>
      </c>
      <c r="G2279" s="27" t="n"/>
    </row>
    <row r="2280">
      <c r="A2280" s="27" t="inlineStr">
        <is>
          <t>MK00108</t>
        </is>
      </c>
      <c r="B2280" s="27" t="n">
        <v>528000313</v>
      </c>
      <c r="C2280" s="27" t="inlineStr">
        <is>
          <t>Muhamad Rifki</t>
        </is>
      </c>
      <c r="D2280" s="47" t="n">
        <v>46181</v>
      </c>
      <c r="E2280" s="26" t="n">
        <v>0.2523611111111111</v>
      </c>
      <c r="F2280" s="27" t="inlineStr">
        <is>
          <t>Shift 3</t>
        </is>
      </c>
      <c r="G2280" s="27" t="n"/>
    </row>
    <row r="2281">
      <c r="A2281" s="27" t="inlineStr">
        <is>
          <t>MK00208</t>
        </is>
      </c>
      <c r="B2281" s="27" t="n">
        <v>528000309</v>
      </c>
      <c r="C2281" s="27" t="inlineStr">
        <is>
          <t>Ilham Ramadhan</t>
        </is>
      </c>
      <c r="D2281" s="47" t="n">
        <v>46181</v>
      </c>
      <c r="E2281" s="26" t="n">
        <v>0.2527777777777778</v>
      </c>
      <c r="F2281" s="27" t="inlineStr">
        <is>
          <t>Shift 3</t>
        </is>
      </c>
      <c r="G2281" s="27" t="n"/>
    </row>
    <row r="2282">
      <c r="A2282" s="27" t="inlineStr">
        <is>
          <t>MK00095</t>
        </is>
      </c>
      <c r="B2282" s="27" t="n">
        <v>528000302</v>
      </c>
      <c r="C2282" s="27" t="inlineStr">
        <is>
          <t>Henkey gumilar</t>
        </is>
      </c>
      <c r="D2282" s="47" t="n">
        <v>46181</v>
      </c>
      <c r="E2282" s="26" t="n">
        <v>0.2537962962962963</v>
      </c>
      <c r="F2282" s="27" t="inlineStr">
        <is>
          <t>Shift 3</t>
        </is>
      </c>
      <c r="G2282" s="27" t="n"/>
    </row>
    <row r="2283">
      <c r="A2283" s="27" t="inlineStr">
        <is>
          <t>MK00230</t>
        </is>
      </c>
      <c r="B2283" s="27" t="n">
        <v>528000340</v>
      </c>
      <c r="C2283" s="27" t="inlineStr">
        <is>
          <t>Muhammad Wildan Adithya</t>
        </is>
      </c>
      <c r="D2283" s="47" t="n">
        <v>46181</v>
      </c>
      <c r="E2283" s="26" t="n">
        <v>0.254699074074074</v>
      </c>
      <c r="F2283" s="27" t="inlineStr">
        <is>
          <t>Shift 3</t>
        </is>
      </c>
      <c r="G2283" s="27" t="n"/>
    </row>
    <row r="2284">
      <c r="A2284" s="27" t="inlineStr">
        <is>
          <t>MK00156</t>
        </is>
      </c>
      <c r="B2284" s="27" t="n">
        <v>528000361</v>
      </c>
      <c r="C2284" s="27" t="inlineStr">
        <is>
          <t>Denada Munggarani</t>
        </is>
      </c>
      <c r="D2284" s="47" t="n">
        <v>46181</v>
      </c>
      <c r="E2284" s="26" t="n">
        <v>0.2561226851851852</v>
      </c>
      <c r="F2284" s="27" t="inlineStr">
        <is>
          <t>Shift 3</t>
        </is>
      </c>
      <c r="G2284" s="27" t="n"/>
    </row>
    <row r="2285">
      <c r="A2285" s="27" t="inlineStr">
        <is>
          <t>MK00138</t>
        </is>
      </c>
      <c r="B2285" s="27" t="n">
        <v>528000238</v>
      </c>
      <c r="C2285" s="27" t="inlineStr">
        <is>
          <t>Indah Lusiana</t>
        </is>
      </c>
      <c r="D2285" s="47" t="n">
        <v>46181</v>
      </c>
      <c r="E2285" s="26" t="n">
        <v>0.4074768518518518</v>
      </c>
      <c r="F2285" s="27" t="inlineStr">
        <is>
          <t>Shift 1</t>
        </is>
      </c>
      <c r="G2285" s="27" t="n"/>
    </row>
    <row r="2286">
      <c r="A2286" s="27" t="inlineStr">
        <is>
          <t>MK00213</t>
        </is>
      </c>
      <c r="B2286" s="27" t="n">
        <v>528000349</v>
      </c>
      <c r="C2286" s="27" t="inlineStr">
        <is>
          <t>Anas Abdul Fatah</t>
        </is>
      </c>
      <c r="D2286" s="47" t="n">
        <v>46181</v>
      </c>
      <c r="E2286" s="26" t="n">
        <v>0.4090740740740741</v>
      </c>
      <c r="F2286" s="27" t="inlineStr">
        <is>
          <t>Shift 1</t>
        </is>
      </c>
      <c r="G2286" s="27" t="n"/>
    </row>
    <row r="2287">
      <c r="A2287" s="27" t="inlineStr">
        <is>
          <t>MK00209</t>
        </is>
      </c>
      <c r="B2287" s="27" t="n">
        <v>528000305</v>
      </c>
      <c r="C2287" s="27" t="inlineStr">
        <is>
          <t>Puji Puspita</t>
        </is>
      </c>
      <c r="D2287" s="47" t="n">
        <v>46181</v>
      </c>
      <c r="E2287" s="26" t="n">
        <v>0.5449884259259259</v>
      </c>
      <c r="F2287" s="27" t="inlineStr">
        <is>
          <t>Shift 1</t>
        </is>
      </c>
      <c r="G2287" s="27" t="n"/>
    </row>
    <row r="2288">
      <c r="A2288" s="27" t="inlineStr">
        <is>
          <t>MK00192</t>
        </is>
      </c>
      <c r="B2288" s="27" t="n">
        <v>528000298</v>
      </c>
      <c r="C2288" s="27" t="inlineStr">
        <is>
          <t>Desta Cahaya Pratama</t>
        </is>
      </c>
      <c r="D2288" s="47" t="n">
        <v>46181</v>
      </c>
      <c r="E2288" s="26" t="n">
        <v>0.5571527777777778</v>
      </c>
      <c r="F2288" s="27" t="inlineStr">
        <is>
          <t>Shift 1</t>
        </is>
      </c>
      <c r="G2288" s="27" t="n"/>
    </row>
    <row r="2289">
      <c r="A2289" s="27" t="inlineStr">
        <is>
          <t>MK00134</t>
        </is>
      </c>
      <c r="B2289" s="27" t="n">
        <v>528000300</v>
      </c>
      <c r="C2289" s="27" t="inlineStr">
        <is>
          <t>Lia pitaloka</t>
        </is>
      </c>
      <c r="D2289" s="47" t="n">
        <v>46181</v>
      </c>
      <c r="E2289" s="26" t="n">
        <v>0.5861805555555556</v>
      </c>
      <c r="F2289" s="27" t="inlineStr">
        <is>
          <t>Shift 1</t>
        </is>
      </c>
      <c r="G2289" s="27" t="n"/>
    </row>
    <row r="2290">
      <c r="A2290" s="27" t="inlineStr">
        <is>
          <t>MK00112</t>
        </is>
      </c>
      <c r="B2290" s="27" t="n">
        <v>528000279</v>
      </c>
      <c r="C2290" s="27" t="inlineStr">
        <is>
          <t>Mahdalena Dalfa Riani</t>
        </is>
      </c>
      <c r="D2290" s="47" t="n">
        <v>46181</v>
      </c>
      <c r="E2290" s="26" t="n">
        <v>0.5865856481481482</v>
      </c>
      <c r="F2290" s="27" t="inlineStr">
        <is>
          <t>Shift 1</t>
        </is>
      </c>
      <c r="G2290" s="27" t="n"/>
    </row>
    <row r="2291">
      <c r="A2291" s="27" t="inlineStr">
        <is>
          <t>MK00218</t>
        </is>
      </c>
      <c r="B2291" s="27" t="n">
        <v>528000325</v>
      </c>
      <c r="C2291" s="27" t="inlineStr">
        <is>
          <t>Rani Septia Ramadani</t>
        </is>
      </c>
      <c r="D2291" s="47" t="n">
        <v>46181</v>
      </c>
      <c r="E2291" s="26" t="n">
        <v>0.5884490740740741</v>
      </c>
      <c r="F2291" s="27" t="inlineStr">
        <is>
          <t>Shift 1</t>
        </is>
      </c>
      <c r="G2291" s="27" t="n"/>
    </row>
    <row r="2292">
      <c r="A2292" s="27" t="inlineStr">
        <is>
          <t>MK00113</t>
        </is>
      </c>
      <c r="B2292" s="27" t="n">
        <v>628000064</v>
      </c>
      <c r="C2292" s="27" t="inlineStr">
        <is>
          <t>Silva Alypia</t>
        </is>
      </c>
      <c r="D2292" s="47" t="n">
        <v>46181</v>
      </c>
      <c r="E2292" s="26" t="n">
        <v>0.5894560185185185</v>
      </c>
      <c r="F2292" s="27" t="inlineStr">
        <is>
          <t>Shift 1</t>
        </is>
      </c>
      <c r="G2292" s="27" t="n"/>
    </row>
    <row r="2293">
      <c r="A2293" s="27" t="inlineStr">
        <is>
          <t>MK00208</t>
        </is>
      </c>
      <c r="B2293" s="27" t="n">
        <v>528000282</v>
      </c>
      <c r="C2293" s="27" t="inlineStr">
        <is>
          <t>Defa Desfiana</t>
        </is>
      </c>
      <c r="D2293" s="47" t="n">
        <v>46181</v>
      </c>
      <c r="E2293" s="26" t="n">
        <v>0.6692013888888889</v>
      </c>
      <c r="F2293" s="27" t="inlineStr">
        <is>
          <t>Shift 2</t>
        </is>
      </c>
      <c r="G2293" s="27" t="inlineStr">
        <is>
          <t>23c</t>
        </is>
      </c>
    </row>
    <row r="2294">
      <c r="A2294" s="27" t="inlineStr">
        <is>
          <t>MK00210</t>
        </is>
      </c>
      <c r="B2294" s="27" t="n">
        <v>528000310</v>
      </c>
      <c r="C2294" s="27" t="inlineStr">
        <is>
          <t>Fachrul Rozzi Suryana</t>
        </is>
      </c>
      <c r="D2294" s="47" t="n">
        <v>46181</v>
      </c>
      <c r="E2294" s="26" t="n">
        <v>0.6704629629629629</v>
      </c>
      <c r="F2294" s="27" t="inlineStr">
        <is>
          <t>Shift 2</t>
        </is>
      </c>
      <c r="G2294" s="27" t="inlineStr">
        <is>
          <t>23F</t>
        </is>
      </c>
    </row>
    <row r="2295">
      <c r="A2295" s="27" t="inlineStr">
        <is>
          <t>MK00108</t>
        </is>
      </c>
      <c r="B2295" s="27" t="n">
        <v>528000359</v>
      </c>
      <c r="C2295" s="27" t="inlineStr">
        <is>
          <t>M. Iqbal Maulana. S</t>
        </is>
      </c>
      <c r="D2295" s="47" t="n">
        <v>46181</v>
      </c>
      <c r="E2295" s="26" t="n">
        <v>0.6912847222222223</v>
      </c>
      <c r="F2295" s="27" t="inlineStr">
        <is>
          <t>Shift 2</t>
        </is>
      </c>
      <c r="G2295" s="27" t="n"/>
    </row>
    <row r="2296">
      <c r="A2296" s="27" t="inlineStr">
        <is>
          <t>MK00095</t>
        </is>
      </c>
      <c r="B2296" s="27" t="n">
        <v>528000265</v>
      </c>
      <c r="C2296" s="27" t="inlineStr">
        <is>
          <t>Muhammad Haerul Rozikin</t>
        </is>
      </c>
      <c r="D2296" s="47" t="n">
        <v>46181</v>
      </c>
      <c r="E2296" s="26" t="n">
        <v>0.6913541666666667</v>
      </c>
      <c r="F2296" s="27" t="inlineStr">
        <is>
          <t>Shift 2</t>
        </is>
      </c>
      <c r="G2296" s="27" t="n"/>
    </row>
    <row r="2297">
      <c r="A2297" s="27" t="inlineStr">
        <is>
          <t>MK00141</t>
        </is>
      </c>
      <c r="B2297" s="27" t="n">
        <v>528000040</v>
      </c>
      <c r="C2297" s="27" t="inlineStr">
        <is>
          <t>Agus Suryaman</t>
        </is>
      </c>
      <c r="D2297" s="47" t="n">
        <v>46181</v>
      </c>
      <c r="E2297" s="26" t="n">
        <v>0.7260069444444445</v>
      </c>
      <c r="F2297" s="27" t="inlineStr">
        <is>
          <t>Shift 2</t>
        </is>
      </c>
      <c r="G2297" s="27" t="n"/>
    </row>
    <row r="2298">
      <c r="A2298" s="27" t="inlineStr">
        <is>
          <t>MK00138</t>
        </is>
      </c>
      <c r="B2298" s="27" t="n">
        <v>528000349</v>
      </c>
      <c r="C2298" s="27" t="inlineStr">
        <is>
          <t>Anas Abdul Fatah</t>
        </is>
      </c>
      <c r="D2298" s="47" t="n">
        <v>46181</v>
      </c>
      <c r="E2298" s="26" t="n">
        <v>0.7595601851851852</v>
      </c>
      <c r="F2298" s="27" t="inlineStr">
        <is>
          <t>Shift 2</t>
        </is>
      </c>
      <c r="G2298" s="27" t="n"/>
    </row>
    <row r="2299">
      <c r="A2299" s="27" t="inlineStr">
        <is>
          <t>MK00168</t>
        </is>
      </c>
      <c r="B2299" s="27" t="n">
        <v>528000015</v>
      </c>
      <c r="C2299" s="27" t="inlineStr">
        <is>
          <t>Erwin</t>
        </is>
      </c>
      <c r="D2299" s="47" t="n">
        <v>46181</v>
      </c>
      <c r="E2299" s="26" t="n">
        <v>0.9059027777777777</v>
      </c>
      <c r="F2299" s="27" t="inlineStr">
        <is>
          <t>Shift 2</t>
        </is>
      </c>
      <c r="G2299" s="27" t="n"/>
    </row>
    <row r="2300">
      <c r="A2300" s="27" t="inlineStr">
        <is>
          <t>MK00008</t>
        </is>
      </c>
      <c r="B2300" s="27" t="n">
        <v>528000360</v>
      </c>
      <c r="C2300" s="27" t="inlineStr">
        <is>
          <t>Hendra Permana</t>
        </is>
      </c>
      <c r="D2300" s="47" t="n">
        <v>46181</v>
      </c>
      <c r="E2300" s="26" t="n">
        <v>0.9185532407407407</v>
      </c>
      <c r="F2300" s="27" t="inlineStr">
        <is>
          <t>Shift 2</t>
        </is>
      </c>
      <c r="G2300" s="27" t="n"/>
    </row>
    <row r="2301">
      <c r="A2301" s="27" t="inlineStr">
        <is>
          <t>MK00249</t>
        </is>
      </c>
      <c r="B2301" s="27" t="n">
        <v>528000283</v>
      </c>
      <c r="C2301" s="27" t="inlineStr">
        <is>
          <t>Purwanda Sugiri</t>
        </is>
      </c>
      <c r="D2301" s="47" t="n">
        <v>46181</v>
      </c>
      <c r="E2301" s="26" t="n">
        <v>0.918900462962963</v>
      </c>
      <c r="F2301" s="27" t="inlineStr">
        <is>
          <t>Shift 2</t>
        </is>
      </c>
      <c r="G2301" s="27" t="n"/>
    </row>
    <row r="2302">
      <c r="A2302" s="27" t="inlineStr">
        <is>
          <t>MK00156</t>
        </is>
      </c>
      <c r="B2302" s="27" t="n">
        <v>528000291</v>
      </c>
      <c r="C2302" s="27" t="inlineStr">
        <is>
          <t>Andrian</t>
        </is>
      </c>
      <c r="D2302" s="47" t="n">
        <v>46181</v>
      </c>
      <c r="E2302" s="26" t="n">
        <v>0.9194444444444444</v>
      </c>
      <c r="F2302" s="27" t="inlineStr">
        <is>
          <t>Shift 2</t>
        </is>
      </c>
      <c r="G2302" s="27" t="n"/>
    </row>
    <row r="2303">
      <c r="A2303" s="27" t="inlineStr">
        <is>
          <t>MK00186</t>
        </is>
      </c>
      <c r="B2303" s="27" t="n">
        <v>528000261</v>
      </c>
      <c r="C2303" s="27" t="inlineStr">
        <is>
          <t>Ergi Ergianto</t>
        </is>
      </c>
      <c r="D2303" s="47" t="n">
        <v>46181</v>
      </c>
      <c r="E2303" s="26" t="n">
        <v>0.9195486111111111</v>
      </c>
      <c r="F2303" s="27" t="inlineStr">
        <is>
          <t>Shift 2</t>
        </is>
      </c>
      <c r="G2303" s="27" t="n"/>
    </row>
    <row r="2304">
      <c r="A2304" s="27" t="inlineStr">
        <is>
          <t>MK00143</t>
        </is>
      </c>
      <c r="B2304" s="27" t="n">
        <v>528000262</v>
      </c>
      <c r="C2304" s="27" t="inlineStr">
        <is>
          <t>Ndari Dwiwanti</t>
        </is>
      </c>
      <c r="D2304" s="47" t="n">
        <v>46181</v>
      </c>
      <c r="E2304" s="26" t="n">
        <v>0.9197337962962963</v>
      </c>
      <c r="F2304" s="27" t="inlineStr">
        <is>
          <t>Shift 2</t>
        </is>
      </c>
      <c r="G2304" s="27" t="n"/>
    </row>
    <row r="2305">
      <c r="A2305" s="27" t="inlineStr">
        <is>
          <t>MK00209</t>
        </is>
      </c>
      <c r="B2305" s="27" t="n">
        <v>528000052</v>
      </c>
      <c r="C2305" s="27" t="inlineStr">
        <is>
          <t>Mustopa</t>
        </is>
      </c>
      <c r="D2305" s="47" t="n">
        <v>46181</v>
      </c>
      <c r="E2305" s="26" t="n">
        <v>0.9198148148148149</v>
      </c>
      <c r="F2305" s="27" t="inlineStr">
        <is>
          <t>Shift 2</t>
        </is>
      </c>
      <c r="G2305" s="27" t="n"/>
    </row>
    <row r="2306">
      <c r="A2306" s="27" t="inlineStr">
        <is>
          <t>MK00145</t>
        </is>
      </c>
      <c r="B2306" s="27" t="n">
        <v>528000324</v>
      </c>
      <c r="C2306" s="27" t="inlineStr">
        <is>
          <t>Sri Yanti</t>
        </is>
      </c>
      <c r="D2306" s="47" t="n">
        <v>46181</v>
      </c>
      <c r="E2306" s="26" t="n">
        <v>0.9200694444444445</v>
      </c>
      <c r="F2306" s="27" t="inlineStr">
        <is>
          <t>Shift 2</t>
        </is>
      </c>
      <c r="G2306" s="27" t="n"/>
    </row>
    <row r="2307">
      <c r="A2307" s="27" t="inlineStr">
        <is>
          <t>MK00184</t>
        </is>
      </c>
      <c r="B2307" s="27" t="n">
        <v>528000336</v>
      </c>
      <c r="C2307" s="27" t="inlineStr">
        <is>
          <t>Ali Nurhanafi</t>
        </is>
      </c>
      <c r="D2307" s="47" t="n">
        <v>46181</v>
      </c>
      <c r="E2307" s="26" t="n">
        <v>0.9203935185185185</v>
      </c>
      <c r="F2307" s="27" t="inlineStr">
        <is>
          <t>Shift 2</t>
        </is>
      </c>
      <c r="G2307" s="27" t="n"/>
    </row>
    <row r="2308">
      <c r="A2308" s="27" t="inlineStr">
        <is>
          <t>MK00136</t>
        </is>
      </c>
      <c r="B2308" s="27" t="n">
        <v>528000358</v>
      </c>
      <c r="C2308" s="27" t="inlineStr">
        <is>
          <t>Lulu Agustin</t>
        </is>
      </c>
      <c r="D2308" s="47" t="n">
        <v>46181</v>
      </c>
      <c r="E2308" s="26" t="n">
        <v>0.9217013888888889</v>
      </c>
      <c r="F2308" s="27" t="inlineStr">
        <is>
          <t>Shift 2</t>
        </is>
      </c>
      <c r="G2308" s="27" t="n"/>
    </row>
    <row r="2309">
      <c r="A2309" s="27" t="inlineStr">
        <is>
          <t>MK00212</t>
        </is>
      </c>
      <c r="B2309" s="27" t="n">
        <v>528000337</v>
      </c>
      <c r="C2309" s="27" t="inlineStr">
        <is>
          <t>Ahmad Zaldi Firdaus</t>
        </is>
      </c>
      <c r="D2309" s="47" t="n">
        <v>46181</v>
      </c>
      <c r="E2309" s="26" t="n">
        <v>0.9218981481481482</v>
      </c>
      <c r="F2309" s="27" t="inlineStr">
        <is>
          <t>Shift 2</t>
        </is>
      </c>
      <c r="G2309" s="27" t="n"/>
    </row>
    <row r="2310">
      <c r="A2310" s="27" t="inlineStr">
        <is>
          <t>MK00181</t>
        </is>
      </c>
      <c r="B2310" s="27" t="n">
        <v>528000195</v>
      </c>
      <c r="C2310" s="27" t="inlineStr">
        <is>
          <t>Rahma Sariwati</t>
        </is>
      </c>
      <c r="D2310" s="47" t="n">
        <v>46181</v>
      </c>
      <c r="E2310" s="26" t="n">
        <v>0.9232523148148148</v>
      </c>
      <c r="F2310" s="27" t="inlineStr">
        <is>
          <t>Shift 2</t>
        </is>
      </c>
      <c r="G2310" s="27" t="n"/>
    </row>
    <row r="2311">
      <c r="A2311" s="27" t="inlineStr">
        <is>
          <t>MK00150</t>
        </is>
      </c>
      <c r="B2311" s="27" t="n">
        <v>528000232</v>
      </c>
      <c r="C2311" s="27" t="inlineStr">
        <is>
          <t>Agung Aji Suhada</t>
        </is>
      </c>
      <c r="D2311" s="47" t="n">
        <v>46181</v>
      </c>
      <c r="E2311" s="26" t="n">
        <v>0.9667592592592592</v>
      </c>
      <c r="F2311" s="27" t="inlineStr">
        <is>
          <t>Shift 2</t>
        </is>
      </c>
      <c r="G2311" s="27" t="n"/>
    </row>
    <row r="2312">
      <c r="A2312" s="27" t="inlineStr">
        <is>
          <t>MK0130</t>
        </is>
      </c>
      <c r="B2312" s="27" t="n">
        <v>528000149</v>
      </c>
      <c r="C2312" s="27" t="inlineStr">
        <is>
          <t>Tio Fernanda</t>
        </is>
      </c>
      <c r="D2312" s="47" t="n">
        <v>46211</v>
      </c>
      <c r="E2312" s="26" t="n">
        <v>0.0001041666666666667</v>
      </c>
      <c r="F2312" s="27" t="inlineStr">
        <is>
          <t>Shift 3</t>
        </is>
      </c>
      <c r="G2312" s="27" t="n"/>
    </row>
    <row r="2313">
      <c r="A2313" s="27" t="inlineStr">
        <is>
          <t>MK00204</t>
        </is>
      </c>
      <c r="B2313" s="27" t="n">
        <v>528000335</v>
      </c>
      <c r="C2313" s="27" t="inlineStr">
        <is>
          <t>Rizal Saepuloh</t>
        </is>
      </c>
      <c r="D2313" s="47" t="n">
        <v>46211</v>
      </c>
      <c r="E2313" s="26" t="n">
        <v>0.0006018518518518519</v>
      </c>
      <c r="F2313" s="27" t="inlineStr">
        <is>
          <t>Shift 3</t>
        </is>
      </c>
      <c r="G2313" s="27" t="n"/>
    </row>
    <row r="2314">
      <c r="A2314" s="27" t="inlineStr">
        <is>
          <t>MK00121</t>
        </is>
      </c>
      <c r="B2314" s="27" t="n">
        <v>528000296</v>
      </c>
      <c r="C2314" s="27" t="inlineStr">
        <is>
          <t>Nurdin</t>
        </is>
      </c>
      <c r="D2314" s="47" t="n">
        <v>46211</v>
      </c>
      <c r="E2314" s="26" t="n">
        <v>0.2321180555555556</v>
      </c>
      <c r="F2314" s="27" t="inlineStr">
        <is>
          <t>Shift 3</t>
        </is>
      </c>
      <c r="G2314" s="27" t="n"/>
    </row>
    <row r="2315">
      <c r="A2315" s="27" t="inlineStr">
        <is>
          <t>MK00217</t>
        </is>
      </c>
      <c r="B2315" s="27" t="n">
        <v>528000339</v>
      </c>
      <c r="C2315" s="27" t="inlineStr">
        <is>
          <t>Muhamad Ripai'i</t>
        </is>
      </c>
      <c r="D2315" s="47" t="n">
        <v>46211</v>
      </c>
      <c r="E2315" s="26" t="n">
        <v>0.2492708333333333</v>
      </c>
      <c r="F2315" s="27" t="inlineStr">
        <is>
          <t>Shift 3</t>
        </is>
      </c>
      <c r="G2315" s="27" t="n"/>
    </row>
    <row r="2316">
      <c r="A2316" s="27" t="inlineStr">
        <is>
          <t>MK00208</t>
        </is>
      </c>
      <c r="B2316" s="27" t="n">
        <v>528000305</v>
      </c>
      <c r="C2316" s="27" t="inlineStr">
        <is>
          <t>Puji Puspita</t>
        </is>
      </c>
      <c r="D2316" s="47" t="n">
        <v>46211</v>
      </c>
      <c r="E2316" s="26" t="n">
        <v>0.2517824074074074</v>
      </c>
      <c r="F2316" s="27" t="inlineStr">
        <is>
          <t>Shift 3</t>
        </is>
      </c>
      <c r="G2316" s="27" t="n"/>
    </row>
    <row r="2317">
      <c r="A2317" s="27" t="inlineStr">
        <is>
          <t>MK00108</t>
        </is>
      </c>
      <c r="B2317" s="27" t="n">
        <v>528000313</v>
      </c>
      <c r="C2317" s="27" t="inlineStr">
        <is>
          <t>Muhamad Rifki</t>
        </is>
      </c>
      <c r="D2317" s="47" t="n">
        <v>46211</v>
      </c>
      <c r="E2317" s="26" t="n">
        <v>0.2535300925925926</v>
      </c>
      <c r="F2317" s="27" t="inlineStr">
        <is>
          <t>Shift 3</t>
        </is>
      </c>
      <c r="G2317" s="27" t="n"/>
    </row>
    <row r="2318">
      <c r="A2318" s="27" t="inlineStr">
        <is>
          <t>MK00213</t>
        </is>
      </c>
      <c r="B2318" s="27" t="n">
        <v>528000238</v>
      </c>
      <c r="C2318" s="27" t="inlineStr">
        <is>
          <t>Indah Lusiana</t>
        </is>
      </c>
      <c r="D2318" s="47" t="n">
        <v>46211</v>
      </c>
      <c r="E2318" s="26" t="n">
        <v>0.2537731481481482</v>
      </c>
      <c r="F2318" s="27" t="inlineStr">
        <is>
          <t>Shift 3</t>
        </is>
      </c>
      <c r="G2318" s="27" t="n"/>
    </row>
    <row r="2319">
      <c r="A2319" s="27" t="inlineStr">
        <is>
          <t>MK00220</t>
        </is>
      </c>
      <c r="B2319" s="27" t="n">
        <v>528000340</v>
      </c>
      <c r="C2319" s="27" t="inlineStr">
        <is>
          <t>Muhammad Wildan Adithya</t>
        </is>
      </c>
      <c r="D2319" s="47" t="n">
        <v>46211</v>
      </c>
      <c r="E2319" s="26" t="n">
        <v>0.2541087962962963</v>
      </c>
      <c r="F2319" s="27" t="inlineStr">
        <is>
          <t>Shift 3</t>
        </is>
      </c>
      <c r="G2319" s="27" t="n"/>
    </row>
    <row r="2320">
      <c r="A2320" s="27" t="inlineStr">
        <is>
          <t>MK00230</t>
        </is>
      </c>
      <c r="B2320" s="27" t="n">
        <v>528000309</v>
      </c>
      <c r="C2320" s="27" t="inlineStr">
        <is>
          <t>Ilham Ramadhan</t>
        </is>
      </c>
      <c r="D2320" s="47" t="n">
        <v>46211</v>
      </c>
      <c r="E2320" s="26" t="n">
        <v>0.2547685185185185</v>
      </c>
      <c r="F2320" s="27" t="inlineStr">
        <is>
          <t>Shift 3</t>
        </is>
      </c>
      <c r="G2320" s="27" t="n"/>
    </row>
    <row r="2321">
      <c r="A2321" s="27" t="inlineStr">
        <is>
          <t>MK00095</t>
        </is>
      </c>
      <c r="B2321" s="27" t="n">
        <v>528000302</v>
      </c>
      <c r="C2321" s="27" t="inlineStr">
        <is>
          <t>Henkey gumilar</t>
        </is>
      </c>
      <c r="D2321" s="47" t="n">
        <v>46211</v>
      </c>
      <c r="E2321" s="26" t="n">
        <v>0.2556944444444444</v>
      </c>
      <c r="F2321" s="27" t="inlineStr">
        <is>
          <t>Shift 3</t>
        </is>
      </c>
      <c r="G2321" s="27" t="n"/>
    </row>
    <row r="2322">
      <c r="A2322" s="27" t="inlineStr">
        <is>
          <t>MK00138</t>
        </is>
      </c>
      <c r="B2322" s="27" t="n">
        <v>528000361</v>
      </c>
      <c r="C2322" s="27" t="inlineStr">
        <is>
          <t>Denada Munggarani</t>
        </is>
      </c>
      <c r="D2322" s="47" t="n">
        <v>46211</v>
      </c>
      <c r="E2322" s="26" t="n">
        <v>0.2764930555555555</v>
      </c>
      <c r="F2322" s="27" t="inlineStr">
        <is>
          <t>Shift 3</t>
        </is>
      </c>
      <c r="G2322" s="27" t="n"/>
    </row>
    <row r="2323">
      <c r="A2323" s="27" t="inlineStr">
        <is>
          <t>MK00160</t>
        </is>
      </c>
      <c r="B2323" s="27" t="n">
        <v>628000091</v>
      </c>
      <c r="C2323" s="27" t="inlineStr">
        <is>
          <t>Devita Handayani</t>
        </is>
      </c>
      <c r="D2323" s="47" t="n">
        <v>46211</v>
      </c>
      <c r="E2323" s="26" t="n">
        <v>0.2833564814814815</v>
      </c>
      <c r="F2323" s="27" t="inlineStr">
        <is>
          <t>Shift 3</t>
        </is>
      </c>
      <c r="G2323" s="27" t="n"/>
    </row>
    <row r="2324">
      <c r="A2324" s="27" t="inlineStr">
        <is>
          <t>MK00192</t>
        </is>
      </c>
      <c r="B2324" s="27" t="n">
        <v>528000322</v>
      </c>
      <c r="C2324" s="27" t="inlineStr">
        <is>
          <t>Muhamad Aliludin</t>
        </is>
      </c>
      <c r="D2324" s="47" t="n">
        <v>46211</v>
      </c>
      <c r="E2324" s="26" t="n">
        <v>0.3012731481481482</v>
      </c>
      <c r="F2324" s="27" t="inlineStr">
        <is>
          <t>Shift 3</t>
        </is>
      </c>
      <c r="G2324" s="27" t="n"/>
    </row>
    <row r="2325">
      <c r="A2325" s="27" t="inlineStr">
        <is>
          <t>MK00205</t>
        </is>
      </c>
      <c r="B2325" s="27" t="n">
        <v>528000348</v>
      </c>
      <c r="C2325" s="27" t="inlineStr">
        <is>
          <t>Saepuloh Ardiansah</t>
        </is>
      </c>
      <c r="D2325" s="47" t="n">
        <v>46211</v>
      </c>
      <c r="E2325" s="26" t="n">
        <v>0.3709606481481482</v>
      </c>
      <c r="F2325" s="27" t="inlineStr">
        <is>
          <t>Shift 1</t>
        </is>
      </c>
      <c r="G2325" s="27" t="n"/>
    </row>
    <row r="2326">
      <c r="A2326" s="27" t="inlineStr">
        <is>
          <t>MK00210</t>
        </is>
      </c>
      <c r="B2326" s="27" t="n">
        <v>528000261</v>
      </c>
      <c r="C2326" s="27" t="inlineStr">
        <is>
          <t>Ergi Ergianto</t>
        </is>
      </c>
      <c r="D2326" s="47" t="n">
        <v>46211</v>
      </c>
      <c r="E2326" s="26" t="n">
        <v>0.5773958333333333</v>
      </c>
      <c r="F2326" s="27" t="inlineStr">
        <is>
          <t>Shift 1</t>
        </is>
      </c>
      <c r="G2326" s="27" t="n"/>
    </row>
    <row r="2327">
      <c r="A2327" s="27" t="inlineStr">
        <is>
          <t>MK00082</t>
        </is>
      </c>
      <c r="B2327" s="27" t="n">
        <v>528000273</v>
      </c>
      <c r="C2327" s="27" t="inlineStr">
        <is>
          <t>Asep Mulyana</t>
        </is>
      </c>
      <c r="D2327" s="47" t="n">
        <v>46211</v>
      </c>
      <c r="E2327" s="26" t="n">
        <v>0.5839583333333334</v>
      </c>
      <c r="F2327" s="27" t="inlineStr">
        <is>
          <t>Shift 1</t>
        </is>
      </c>
      <c r="G2327" s="27" t="n"/>
    </row>
    <row r="2328">
      <c r="A2328" s="27" t="inlineStr">
        <is>
          <t>MK00109</t>
        </is>
      </c>
      <c r="B2328" s="27" t="n">
        <v>528000290</v>
      </c>
      <c r="C2328" s="27" t="inlineStr">
        <is>
          <t>Eval Pranata</t>
        </is>
      </c>
      <c r="D2328" s="47" t="n">
        <v>46211</v>
      </c>
      <c r="E2328" s="26" t="n">
        <v>0.5855671296296296</v>
      </c>
      <c r="F2328" s="27" t="inlineStr">
        <is>
          <t>Shift 1</t>
        </is>
      </c>
      <c r="G2328" s="27" t="n"/>
    </row>
    <row r="2329">
      <c r="A2329" s="27" t="inlineStr">
        <is>
          <t>MK00250</t>
        </is>
      </c>
      <c r="B2329" s="27" t="n">
        <v>528000241</v>
      </c>
      <c r="C2329" s="27" t="inlineStr">
        <is>
          <t>Balia Nurafif Bilah</t>
        </is>
      </c>
      <c r="D2329" s="47" t="n">
        <v>46211</v>
      </c>
      <c r="E2329" s="26" t="n">
        <v>0.5856365740740741</v>
      </c>
      <c r="F2329" s="27" t="inlineStr">
        <is>
          <t>Shift 1</t>
        </is>
      </c>
      <c r="G2329" s="27" t="n"/>
    </row>
    <row r="2330">
      <c r="A2330" s="27" t="inlineStr">
        <is>
          <t>MK00184</t>
        </is>
      </c>
      <c r="B2330" s="27" t="n">
        <v>528000359</v>
      </c>
      <c r="C2330" s="27" t="inlineStr">
        <is>
          <t>M. Iqbal Maulana. S</t>
        </is>
      </c>
      <c r="D2330" s="47" t="n">
        <v>46211</v>
      </c>
      <c r="E2330" s="26" t="n">
        <v>0.5858101851851852</v>
      </c>
      <c r="F2330" s="27" t="inlineStr">
        <is>
          <t>Shift 1</t>
        </is>
      </c>
      <c r="G2330" s="27" t="n"/>
    </row>
    <row r="2331">
      <c r="A2331" s="27" t="inlineStr">
        <is>
          <t>MK00112</t>
        </is>
      </c>
      <c r="B2331" s="27" t="n">
        <v>528000201</v>
      </c>
      <c r="C2331" s="27" t="inlineStr">
        <is>
          <t>Zahwa Amelia Choerunissa</t>
        </is>
      </c>
      <c r="D2331" s="47" t="n">
        <v>46211</v>
      </c>
      <c r="E2331" s="26" t="n">
        <v>0.5877314814814815</v>
      </c>
      <c r="F2331" s="27" t="inlineStr">
        <is>
          <t>Shift 1</t>
        </is>
      </c>
      <c r="G2331" s="27" t="n"/>
    </row>
    <row r="2332">
      <c r="A2332" s="27" t="inlineStr">
        <is>
          <t>MK00249</t>
        </is>
      </c>
      <c r="B2332" s="27" t="n">
        <v>528000228</v>
      </c>
      <c r="C2332" s="27" t="inlineStr">
        <is>
          <t>Banyu Resmi Putri</t>
        </is>
      </c>
      <c r="D2332" s="47" t="n">
        <v>46211</v>
      </c>
      <c r="E2332" s="26" t="n">
        <v>0.5885416666666666</v>
      </c>
      <c r="F2332" s="27" t="inlineStr">
        <is>
          <t>Shift 1</t>
        </is>
      </c>
      <c r="G2332" s="27" t="n"/>
    </row>
    <row r="2333">
      <c r="A2333" s="27" t="inlineStr">
        <is>
          <t>MK00203</t>
        </is>
      </c>
      <c r="B2333" s="27" t="n">
        <v>528000286</v>
      </c>
      <c r="C2333" s="27" t="inlineStr">
        <is>
          <t>Imelda Amelia</t>
        </is>
      </c>
      <c r="D2333" s="47" t="n">
        <v>46211</v>
      </c>
      <c r="E2333" s="26" t="n">
        <v>0.5890046296296296</v>
      </c>
      <c r="F2333" s="27" t="inlineStr">
        <is>
          <t>Shift 1</t>
        </is>
      </c>
      <c r="G2333" s="27" t="n"/>
    </row>
    <row r="2334">
      <c r="A2334" s="27" t="inlineStr">
        <is>
          <t>MK00217</t>
        </is>
      </c>
      <c r="B2334" s="27" t="n">
        <v>528000274</v>
      </c>
      <c r="C2334" s="27" t="inlineStr">
        <is>
          <t>Zepri</t>
        </is>
      </c>
      <c r="D2334" s="47" t="n">
        <v>46211</v>
      </c>
      <c r="E2334" s="26" t="n">
        <v>0.5975347222222223</v>
      </c>
      <c r="F2334" s="27" t="inlineStr">
        <is>
          <t>Shift 1</t>
        </is>
      </c>
      <c r="G2334" s="27" t="n"/>
    </row>
    <row r="2335">
      <c r="A2335" s="27" t="inlineStr">
        <is>
          <t>MK00112</t>
        </is>
      </c>
      <c r="B2335" s="27" t="n">
        <v>528000098</v>
      </c>
      <c r="C2335" s="27" t="inlineStr">
        <is>
          <t>Edi Junaedi</t>
        </is>
      </c>
      <c r="D2335" s="171" t="n">
        <v>46240.41666666666</v>
      </c>
      <c r="E2335" s="26" t="n">
        <v>0.6140625</v>
      </c>
      <c r="F2335" s="27" t="inlineStr">
        <is>
          <t>Shift 1</t>
        </is>
      </c>
      <c r="G2335" s="27" t="inlineStr">
        <is>
          <t>12A</t>
        </is>
      </c>
    </row>
    <row r="2336">
      <c r="A2336" s="27" t="inlineStr">
        <is>
          <t>MK00208</t>
        </is>
      </c>
      <c r="B2336" s="27" t="n">
        <v>528000310</v>
      </c>
      <c r="C2336" s="27" t="inlineStr">
        <is>
          <t>Fachrul Rozzi Suryana</t>
        </is>
      </c>
      <c r="D2336" s="47" t="n">
        <v>46211</v>
      </c>
      <c r="E2336" s="26" t="n">
        <v>0.6675578703703704</v>
      </c>
      <c r="F2336" s="27" t="inlineStr">
        <is>
          <t>Shift 2</t>
        </is>
      </c>
      <c r="G2336" s="27" t="inlineStr">
        <is>
          <t>23F</t>
        </is>
      </c>
    </row>
    <row r="2337">
      <c r="A2337" s="27" t="inlineStr">
        <is>
          <t>MK00138</t>
        </is>
      </c>
      <c r="B2337" s="27" t="n">
        <v>528000265</v>
      </c>
      <c r="C2337" s="27" t="inlineStr">
        <is>
          <t>Muhammad Haerul Rozikin</t>
        </is>
      </c>
      <c r="D2337" s="47" t="n">
        <v>46211</v>
      </c>
      <c r="E2337" s="26" t="n">
        <v>0.6682407407407407</v>
      </c>
      <c r="F2337" s="27" t="inlineStr">
        <is>
          <t>Shift 2</t>
        </is>
      </c>
      <c r="G2337" s="27" t="n"/>
    </row>
    <row r="2338">
      <c r="A2338" s="27" t="inlineStr">
        <is>
          <t>MK00160</t>
        </is>
      </c>
      <c r="B2338" s="27" t="n">
        <v>528000282</v>
      </c>
      <c r="C2338" s="27" t="inlineStr">
        <is>
          <t>Defa Desfiana</t>
        </is>
      </c>
      <c r="D2338" s="47" t="n">
        <v>46211</v>
      </c>
      <c r="E2338" s="26" t="n">
        <v>0.6713310185185185</v>
      </c>
      <c r="F2338" s="27" t="inlineStr">
        <is>
          <t>Shift 2</t>
        </is>
      </c>
      <c r="G2338" s="27" t="inlineStr">
        <is>
          <t>5a</t>
        </is>
      </c>
    </row>
    <row r="2339">
      <c r="A2339" s="27" t="inlineStr">
        <is>
          <t>MK00121</t>
        </is>
      </c>
      <c r="B2339" s="27" t="n">
        <v>528000289</v>
      </c>
      <c r="C2339" s="27" t="inlineStr">
        <is>
          <t>Adit Supriyadi</t>
        </is>
      </c>
      <c r="D2339" s="47" t="n">
        <v>46211</v>
      </c>
      <c r="E2339" s="26" t="n">
        <v>0.6741435185185185</v>
      </c>
      <c r="F2339" s="27" t="inlineStr">
        <is>
          <t>Shift 2</t>
        </is>
      </c>
      <c r="G2339" s="27" t="n"/>
    </row>
    <row r="2340">
      <c r="A2340" s="27" t="inlineStr">
        <is>
          <t>MK00134</t>
        </is>
      </c>
      <c r="B2340" s="27" t="n">
        <v>528000090</v>
      </c>
      <c r="C2340" s="27" t="inlineStr">
        <is>
          <t>Suganda</t>
        </is>
      </c>
      <c r="D2340" s="47" t="n">
        <v>46211</v>
      </c>
      <c r="E2340" s="26" t="n">
        <v>0.6746527777777778</v>
      </c>
      <c r="F2340" s="27" t="inlineStr">
        <is>
          <t>Shift 2</t>
        </is>
      </c>
      <c r="G2340" s="27" t="n"/>
    </row>
    <row r="2341">
      <c r="A2341" s="27" t="inlineStr">
        <is>
          <t>MK00150</t>
        </is>
      </c>
      <c r="B2341" s="27" t="n">
        <v>528000232</v>
      </c>
      <c r="C2341" s="27" t="inlineStr">
        <is>
          <t>Agung Aji Suhada</t>
        </is>
      </c>
      <c r="D2341" s="47" t="n">
        <v>46211</v>
      </c>
      <c r="E2341" s="26" t="n">
        <v>0.7112731481481481</v>
      </c>
      <c r="F2341" s="27" t="inlineStr">
        <is>
          <t>Shift 2</t>
        </is>
      </c>
      <c r="G2341" s="27" t="n"/>
    </row>
    <row r="2342">
      <c r="A2342" s="27" t="inlineStr">
        <is>
          <t>MK00205</t>
        </is>
      </c>
      <c r="B2342" s="27" t="n">
        <v>528000348</v>
      </c>
      <c r="C2342" s="27" t="inlineStr">
        <is>
          <t>Saepuloh Ardiansah</t>
        </is>
      </c>
      <c r="D2342" s="47" t="n">
        <v>46211</v>
      </c>
      <c r="E2342" s="26" t="n">
        <v>0.7117476851851852</v>
      </c>
      <c r="F2342" s="27" t="inlineStr">
        <is>
          <t>Shift 2</t>
        </is>
      </c>
      <c r="G2342" s="27" t="n"/>
    </row>
    <row r="2343">
      <c r="A2343" s="27" t="inlineStr">
        <is>
          <t>MK00141</t>
        </is>
      </c>
      <c r="B2343" s="27" t="n">
        <v>528000040</v>
      </c>
      <c r="C2343" s="27" t="inlineStr">
        <is>
          <t>Agus Suryaman</t>
        </is>
      </c>
      <c r="D2343" s="47" t="n">
        <v>46211</v>
      </c>
      <c r="E2343" s="26" t="n">
        <v>0.7134143518518519</v>
      </c>
      <c r="F2343" s="27" t="inlineStr">
        <is>
          <t>Shift 2</t>
        </is>
      </c>
      <c r="G2343" s="27" t="n"/>
    </row>
    <row r="2344">
      <c r="A2344" s="27" t="inlineStr">
        <is>
          <t>MK00141</t>
        </is>
      </c>
      <c r="B2344" s="27" t="n">
        <v>528000040</v>
      </c>
      <c r="C2344" s="27" t="inlineStr">
        <is>
          <t>Agus Suryaman</t>
        </is>
      </c>
      <c r="D2344" s="47" t="n">
        <v>46211</v>
      </c>
      <c r="E2344" s="26" t="n">
        <v>0.7184722222222222</v>
      </c>
      <c r="F2344" s="27" t="inlineStr">
        <is>
          <t>Shift 2</t>
        </is>
      </c>
      <c r="G2344" s="27" t="n"/>
    </row>
    <row r="2345">
      <c r="A2345" s="27" t="inlineStr">
        <is>
          <t>MK00220</t>
        </is>
      </c>
      <c r="B2345" s="27" t="n">
        <v>528000349</v>
      </c>
      <c r="C2345" s="27" t="inlineStr">
        <is>
          <t>Anas Abdul Fatah</t>
        </is>
      </c>
      <c r="D2345" s="47" t="n">
        <v>46211</v>
      </c>
      <c r="E2345" s="26" t="n">
        <v>0.7586458333333334</v>
      </c>
      <c r="F2345" s="27" t="inlineStr">
        <is>
          <t>Shift 2</t>
        </is>
      </c>
      <c r="G2345" s="27" t="n"/>
    </row>
    <row r="2346">
      <c r="A2346" s="27" t="inlineStr">
        <is>
          <t>MK00230</t>
        </is>
      </c>
      <c r="B2346" s="27" t="n">
        <v>528000283</v>
      </c>
      <c r="C2346" s="27" t="inlineStr">
        <is>
          <t>Purwanda Sugiri</t>
        </is>
      </c>
      <c r="D2346" s="47" t="n">
        <v>46211</v>
      </c>
      <c r="E2346" s="26" t="n">
        <v>0.9184953703703703</v>
      </c>
      <c r="F2346" s="27" t="inlineStr">
        <is>
          <t>Shift 2</t>
        </is>
      </c>
      <c r="G2346" s="27" t="n"/>
    </row>
    <row r="2347">
      <c r="A2347" s="27" t="inlineStr">
        <is>
          <t>MK00235</t>
        </is>
      </c>
      <c r="B2347" s="27" t="n">
        <v>528000360</v>
      </c>
      <c r="C2347" s="27" t="inlineStr">
        <is>
          <t>Hendra Permana</t>
        </is>
      </c>
      <c r="D2347" s="47" t="n">
        <v>46211</v>
      </c>
      <c r="E2347" s="26" t="n">
        <v>0.9192708333333334</v>
      </c>
      <c r="F2347" s="27" t="inlineStr">
        <is>
          <t>Shift 2</t>
        </is>
      </c>
      <c r="G2347" s="27" t="n"/>
    </row>
    <row r="2348">
      <c r="A2348" s="27" t="inlineStr">
        <is>
          <t>MK00192</t>
        </is>
      </c>
      <c r="B2348" s="27" t="n">
        <v>528000291</v>
      </c>
      <c r="C2348" s="27" t="inlineStr">
        <is>
          <t>Andrian</t>
        </is>
      </c>
      <c r="D2348" s="47" t="n">
        <v>46211</v>
      </c>
      <c r="E2348" s="26" t="n">
        <v>0.9196180555555555</v>
      </c>
      <c r="F2348" s="27" t="inlineStr">
        <is>
          <t>Shift 2</t>
        </is>
      </c>
      <c r="G2348" s="27" t="n"/>
    </row>
    <row r="2349">
      <c r="A2349" s="27" t="inlineStr">
        <is>
          <t>MK00108</t>
        </is>
      </c>
      <c r="B2349" s="27" t="n">
        <v>528000052</v>
      </c>
      <c r="C2349" s="27" t="inlineStr">
        <is>
          <t>Mustopa</t>
        </is>
      </c>
      <c r="D2349" s="47" t="n">
        <v>46211</v>
      </c>
      <c r="E2349" s="26" t="n">
        <v>0.9202662037037037</v>
      </c>
      <c r="F2349" s="27" t="inlineStr">
        <is>
          <t>Shift 2</t>
        </is>
      </c>
      <c r="G2349" s="27" t="n"/>
    </row>
    <row r="2350">
      <c r="A2350" s="27" t="inlineStr">
        <is>
          <t>MK00212</t>
        </is>
      </c>
      <c r="B2350" s="27" t="n">
        <v>528000261</v>
      </c>
      <c r="C2350" s="27" t="inlineStr">
        <is>
          <t>Ergi Ergianto</t>
        </is>
      </c>
      <c r="D2350" s="47" t="n">
        <v>46211</v>
      </c>
      <c r="E2350" s="26" t="n">
        <v>0.9208912037037037</v>
      </c>
      <c r="F2350" s="27" t="inlineStr">
        <is>
          <t>Shift 2</t>
        </is>
      </c>
      <c r="G2350" s="27" t="n"/>
    </row>
    <row r="2351">
      <c r="A2351" s="27" t="inlineStr">
        <is>
          <t>MK00145</t>
        </is>
      </c>
      <c r="B2351" s="27" t="n">
        <v>528000345</v>
      </c>
      <c r="C2351" s="27" t="inlineStr">
        <is>
          <t>Dandi</t>
        </is>
      </c>
      <c r="D2351" s="171" t="n">
        <v>46240.41666666666</v>
      </c>
      <c r="E2351" s="26" t="n">
        <v>0.9275</v>
      </c>
      <c r="F2351" s="27" t="inlineStr">
        <is>
          <t>Shift 2</t>
        </is>
      </c>
      <c r="G2351" s="27" t="n"/>
    </row>
    <row r="2352">
      <c r="A2352" s="27" t="inlineStr">
        <is>
          <t>MK00125</t>
        </is>
      </c>
      <c r="B2352" s="27" t="n">
        <v>528000314</v>
      </c>
      <c r="C2352" s="27" t="inlineStr">
        <is>
          <t>Rusmana</t>
        </is>
      </c>
      <c r="D2352" s="47" t="n">
        <v>46211</v>
      </c>
      <c r="E2352" s="26" t="n">
        <v>0.9377546296296296</v>
      </c>
      <c r="F2352" s="27" t="inlineStr">
        <is>
          <t>Shift 2</t>
        </is>
      </c>
      <c r="G2352" s="27" t="n"/>
    </row>
    <row r="2353">
      <c r="A2353" s="27" t="inlineStr">
        <is>
          <t>MK00204</t>
        </is>
      </c>
      <c r="B2353" s="27" t="n">
        <v>528000335</v>
      </c>
      <c r="C2353" s="27" t="inlineStr">
        <is>
          <t>Rizal Saepuloh</t>
        </is>
      </c>
      <c r="D2353" s="47" t="n">
        <v>46242</v>
      </c>
      <c r="E2353" s="26" t="n">
        <v>0.001064814814814815</v>
      </c>
      <c r="F2353" s="27" t="inlineStr">
        <is>
          <t>Shift 3</t>
        </is>
      </c>
      <c r="G2353" s="27" t="n"/>
    </row>
    <row r="2354">
      <c r="A2354" s="27" t="inlineStr">
        <is>
          <t>MK00143</t>
        </is>
      </c>
      <c r="B2354" s="27" t="n">
        <v>528000358</v>
      </c>
      <c r="C2354" s="27" t="inlineStr">
        <is>
          <t>Lulu Agustin</t>
        </is>
      </c>
      <c r="D2354" s="47" t="n">
        <v>46242</v>
      </c>
      <c r="E2354" s="26" t="n">
        <v>0.2344675925925926</v>
      </c>
      <c r="F2354" s="27" t="inlineStr">
        <is>
          <t>Shift 3</t>
        </is>
      </c>
      <c r="G2354" s="27" t="n"/>
    </row>
    <row r="2355">
      <c r="A2355" s="27" t="inlineStr">
        <is>
          <t>MK00185</t>
        </is>
      </c>
      <c r="B2355" s="27" t="n">
        <v>528000305</v>
      </c>
      <c r="C2355" s="27" t="inlineStr">
        <is>
          <t>Puji Puspita</t>
        </is>
      </c>
      <c r="D2355" s="171" t="n">
        <v>46241.41666666666</v>
      </c>
      <c r="E2355" s="26" t="n">
        <v>0.2512615740740741</v>
      </c>
      <c r="F2355" s="27" t="inlineStr">
        <is>
          <t>Shift 3</t>
        </is>
      </c>
      <c r="G2355" s="27" t="n"/>
    </row>
    <row r="2356">
      <c r="A2356" s="27" t="inlineStr">
        <is>
          <t>MK00134</t>
        </is>
      </c>
      <c r="B2356" s="27" t="n">
        <v>528000361</v>
      </c>
      <c r="C2356" s="27" t="inlineStr">
        <is>
          <t>Denada Munggarani</t>
        </is>
      </c>
      <c r="D2356" s="171" t="n">
        <v>46241.41666666666</v>
      </c>
      <c r="E2356" s="26" t="n">
        <v>0.2527662037037037</v>
      </c>
      <c r="F2356" s="27" t="inlineStr">
        <is>
          <t>Shift 3</t>
        </is>
      </c>
      <c r="G2356" s="27" t="n"/>
    </row>
    <row r="2357">
      <c r="A2357" s="27" t="inlineStr">
        <is>
          <t>MK00082</t>
        </is>
      </c>
      <c r="B2357" s="27" t="n">
        <v>528000313</v>
      </c>
      <c r="C2357" s="27" t="inlineStr">
        <is>
          <t>Muhamad Rifki</t>
        </is>
      </c>
      <c r="D2357" s="171" t="n">
        <v>46241.41666666666</v>
      </c>
      <c r="E2357" s="26" t="n">
        <v>0.2538888888888889</v>
      </c>
      <c r="F2357" s="27" t="inlineStr">
        <is>
          <t>Shift 3</t>
        </is>
      </c>
      <c r="G2357" s="27" t="n"/>
    </row>
    <row r="2358">
      <c r="A2358" s="27" t="inlineStr">
        <is>
          <t>MK00217</t>
        </is>
      </c>
      <c r="B2358" s="27" t="n">
        <v>528000309</v>
      </c>
      <c r="C2358" s="27" t="inlineStr">
        <is>
          <t>Ilham Ramadhan</t>
        </is>
      </c>
      <c r="D2358" s="171" t="n">
        <v>46241.41666666666</v>
      </c>
      <c r="E2358" s="26" t="n">
        <v>0.2539583333333333</v>
      </c>
      <c r="F2358" s="27" t="inlineStr">
        <is>
          <t>Shift 3</t>
        </is>
      </c>
      <c r="G2358" s="27" t="n"/>
    </row>
    <row r="2359">
      <c r="A2359" s="27" t="inlineStr">
        <is>
          <t>MK00138</t>
        </is>
      </c>
      <c r="B2359" s="27" t="n">
        <v>528000298</v>
      </c>
      <c r="C2359" s="27" t="inlineStr">
        <is>
          <t>Desta Cahaya Pratama</t>
        </is>
      </c>
      <c r="D2359" s="171" t="n">
        <v>46241.41666666666</v>
      </c>
      <c r="E2359" s="26" t="n">
        <v>0.2543055555555556</v>
      </c>
      <c r="F2359" s="27" t="inlineStr">
        <is>
          <t>Shift 3</t>
        </is>
      </c>
      <c r="G2359" s="27" t="n"/>
    </row>
    <row r="2360">
      <c r="A2360" s="27" t="inlineStr">
        <is>
          <t>MK00112</t>
        </is>
      </c>
      <c r="B2360" s="27" t="n">
        <v>528000322</v>
      </c>
      <c r="C2360" s="27" t="inlineStr">
        <is>
          <t>Muhamad Aliludin</t>
        </is>
      </c>
      <c r="D2360" s="47" t="n">
        <v>46242</v>
      </c>
      <c r="E2360" s="26" t="n">
        <v>0.2549652777777778</v>
      </c>
      <c r="F2360" s="27" t="inlineStr">
        <is>
          <t>Shift 3</t>
        </is>
      </c>
      <c r="G2360" s="27" t="n"/>
    </row>
    <row r="2361">
      <c r="A2361" s="27" t="inlineStr">
        <is>
          <t>MK00184</t>
        </is>
      </c>
      <c r="B2361" s="27" t="n">
        <v>528000318</v>
      </c>
      <c r="C2361" s="27" t="inlineStr">
        <is>
          <t>Bayu Padli Sepriyana</t>
        </is>
      </c>
      <c r="D2361" s="171" t="n">
        <v>46241.41666666666</v>
      </c>
      <c r="E2361" s="26" t="n">
        <v>0.254699074074074</v>
      </c>
      <c r="F2361" s="27" t="inlineStr">
        <is>
          <t>Shift 3</t>
        </is>
      </c>
      <c r="G2361" s="27" t="n"/>
    </row>
    <row r="2362">
      <c r="A2362" s="27" t="inlineStr">
        <is>
          <t>MK00218</t>
        </is>
      </c>
      <c r="B2362" s="27" t="n">
        <v>528000340</v>
      </c>
      <c r="C2362" s="27" t="inlineStr">
        <is>
          <t>Muhammad Wildan Adithya</t>
        </is>
      </c>
      <c r="D2362" s="47" t="n">
        <v>46242</v>
      </c>
      <c r="E2362" s="26" t="n">
        <v>0.2554629629629629</v>
      </c>
      <c r="F2362" s="27" t="inlineStr">
        <is>
          <t>Shift 3</t>
        </is>
      </c>
      <c r="G2362" s="27" t="n"/>
    </row>
    <row r="2363">
      <c r="A2363" s="27" t="inlineStr">
        <is>
          <t>MK00181</t>
        </is>
      </c>
      <c r="B2363" s="27" t="n">
        <v>528000015</v>
      </c>
      <c r="C2363" s="27" t="inlineStr">
        <is>
          <t>Erwin</t>
        </is>
      </c>
      <c r="D2363" s="171" t="n">
        <v>46241.41666666666</v>
      </c>
      <c r="E2363" s="26" t="n">
        <v>0.254224537037037</v>
      </c>
      <c r="F2363" s="27" t="inlineStr">
        <is>
          <t>Shift 3</t>
        </is>
      </c>
      <c r="G2363" s="27" t="n"/>
    </row>
    <row r="2364">
      <c r="A2364" s="27" t="inlineStr">
        <is>
          <t>MK00185</t>
        </is>
      </c>
      <c r="B2364" s="27" t="n">
        <v>528000351</v>
      </c>
      <c r="C2364" s="27" t="inlineStr">
        <is>
          <t>Mulyana</t>
        </is>
      </c>
      <c r="D2364" s="171" t="n">
        <v>46241.41666666666</v>
      </c>
      <c r="E2364" s="26" t="n">
        <v>0.3261226851851852</v>
      </c>
      <c r="F2364" s="27" t="inlineStr">
        <is>
          <t>Shift 3</t>
        </is>
      </c>
      <c r="G2364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J2589"/>
  <sheetViews>
    <sheetView workbookViewId="0">
      <selection activeCell="A1" sqref="A1"/>
    </sheetView>
  </sheetViews>
  <sheetFormatPr baseColWidth="8" defaultColWidth="12.63" defaultRowHeight="15" customHeight="1"/>
  <cols>
    <col width="17.25" customWidth="1" style="169" min="1" max="10"/>
  </cols>
  <sheetData>
    <row r="1">
      <c r="A1" s="27" t="inlineStr">
        <is>
          <t xml:space="preserve">TANGGAL </t>
        </is>
      </c>
      <c r="B1" s="27" t="inlineStr">
        <is>
          <t>NIK</t>
        </is>
      </c>
      <c r="C1" s="27" t="inlineStr">
        <is>
          <t>NAMA</t>
        </is>
      </c>
      <c r="D1" s="27" t="inlineStr">
        <is>
          <t>DEPARTEMEN</t>
        </is>
      </c>
      <c r="E1" s="27" t="inlineStr">
        <is>
          <t>JABATAN</t>
        </is>
      </c>
      <c r="F1" s="27" t="inlineStr">
        <is>
          <t>JAM MASUK</t>
        </is>
      </c>
      <c r="G1" s="27" t="inlineStr">
        <is>
          <t>JAM KELUAR</t>
        </is>
      </c>
      <c r="H1" s="27" t="inlineStr">
        <is>
          <t>STATUS</t>
        </is>
      </c>
      <c r="I1" s="27" t="inlineStr">
        <is>
          <t>NO KARTU MK</t>
        </is>
      </c>
      <c r="J1" s="27" t="inlineStr">
        <is>
          <t>NO LOKER</t>
        </is>
      </c>
    </row>
    <row r="2">
      <c r="A2" t="inlineStr">
        <is>
          <t>07/03/2026</t>
        </is>
      </c>
      <c r="B2" t="inlineStr">
        <is>
          <t>528000052</t>
        </is>
      </c>
      <c r="C2" t="inlineStr">
        <is>
          <t>Mustopa</t>
        </is>
      </c>
      <c r="D2" t="inlineStr">
        <is>
          <t>PROD</t>
        </is>
      </c>
      <c r="E2" t="inlineStr">
        <is>
          <t>Produksi Harian</t>
        </is>
      </c>
      <c r="F2" t="inlineStr">
        <is>
          <t>21:05:27</t>
        </is>
      </c>
      <c r="G2" t="inlineStr"/>
      <c r="H2" t="inlineStr">
        <is>
          <t>DI DALAM</t>
        </is>
      </c>
      <c r="I2" t="inlineStr">
        <is>
          <t>MK00154</t>
        </is>
      </c>
      <c r="J2" t="inlineStr"/>
    </row>
    <row r="3">
      <c r="A3" t="inlineStr">
        <is>
          <t>07/03/2026</t>
        </is>
      </c>
      <c r="B3" t="inlineStr">
        <is>
          <t>528000262</t>
        </is>
      </c>
      <c r="C3" t="inlineStr">
        <is>
          <t>Ndari Dwiwanti</t>
        </is>
      </c>
      <c r="D3" t="inlineStr">
        <is>
          <t>PROD</t>
        </is>
      </c>
      <c r="E3" t="inlineStr">
        <is>
          <t>Produksi Harian</t>
        </is>
      </c>
      <c r="F3" t="inlineStr">
        <is>
          <t>21:47:19</t>
        </is>
      </c>
      <c r="G3" t="inlineStr"/>
      <c r="H3" t="inlineStr">
        <is>
          <t>DI DALAM</t>
        </is>
      </c>
      <c r="I3" t="inlineStr">
        <is>
          <t>MK00088</t>
        </is>
      </c>
      <c r="J3" t="inlineStr"/>
    </row>
    <row r="4">
      <c r="A4" t="inlineStr">
        <is>
          <t>07/03/2026</t>
        </is>
      </c>
      <c r="B4" t="inlineStr">
        <is>
          <t>528000283</t>
        </is>
      </c>
      <c r="C4" t="inlineStr">
        <is>
          <t>Purwanda Sugiri</t>
        </is>
      </c>
      <c r="D4" t="inlineStr">
        <is>
          <t>LOG</t>
        </is>
      </c>
      <c r="E4" t="inlineStr">
        <is>
          <t>WRM Harian</t>
        </is>
      </c>
      <c r="F4" t="inlineStr">
        <is>
          <t>21:53:45</t>
        </is>
      </c>
      <c r="G4" t="inlineStr"/>
      <c r="H4" t="inlineStr">
        <is>
          <t>DI DALAM</t>
        </is>
      </c>
      <c r="I4" t="inlineStr">
        <is>
          <t>MK00218</t>
        </is>
      </c>
      <c r="J4" t="inlineStr"/>
    </row>
    <row r="5">
      <c r="A5" t="inlineStr">
        <is>
          <t>07/03/2026</t>
        </is>
      </c>
      <c r="B5" t="inlineStr">
        <is>
          <t>528000291</t>
        </is>
      </c>
      <c r="C5" t="inlineStr">
        <is>
          <t>Andrian</t>
        </is>
      </c>
      <c r="D5" t="inlineStr">
        <is>
          <t>PROD</t>
        </is>
      </c>
      <c r="E5" t="inlineStr">
        <is>
          <t>Produksi Harian</t>
        </is>
      </c>
      <c r="F5" t="inlineStr">
        <is>
          <t>21:53:13</t>
        </is>
      </c>
      <c r="G5" t="inlineStr"/>
      <c r="H5" t="inlineStr">
        <is>
          <t>DI DALAM</t>
        </is>
      </c>
      <c r="I5" t="inlineStr">
        <is>
          <t>MK00249</t>
        </is>
      </c>
      <c r="J5" t="inlineStr"/>
    </row>
    <row r="6">
      <c r="A6" t="inlineStr">
        <is>
          <t>07/03/2026</t>
        </is>
      </c>
      <c r="B6" t="inlineStr">
        <is>
          <t>528000323</t>
        </is>
      </c>
      <c r="C6" t="inlineStr">
        <is>
          <t>Dian Hamidah</t>
        </is>
      </c>
      <c r="D6" t="inlineStr">
        <is>
          <t>PROD</t>
        </is>
      </c>
      <c r="E6" t="inlineStr">
        <is>
          <t>Produksi Harian</t>
        </is>
      </c>
      <c r="F6" t="inlineStr">
        <is>
          <t>21:42:05</t>
        </is>
      </c>
      <c r="G6" t="inlineStr"/>
      <c r="H6" t="inlineStr">
        <is>
          <t>DI DALAM</t>
        </is>
      </c>
      <c r="I6" t="inlineStr">
        <is>
          <t>MK00181</t>
        </is>
      </c>
      <c r="J6" t="inlineStr"/>
    </row>
    <row r="7">
      <c r="A7" t="inlineStr">
        <is>
          <t>07/03/2026</t>
        </is>
      </c>
      <c r="B7" t="inlineStr">
        <is>
          <t>528000336</t>
        </is>
      </c>
      <c r="C7" t="inlineStr">
        <is>
          <t>Ali Nurhanafi</t>
        </is>
      </c>
      <c r="D7" t="inlineStr">
        <is>
          <t>PROD</t>
        </is>
      </c>
      <c r="E7" t="inlineStr">
        <is>
          <t>Produksi Harian</t>
        </is>
      </c>
      <c r="F7" t="inlineStr">
        <is>
          <t>21:03:29</t>
        </is>
      </c>
      <c r="G7" t="inlineStr"/>
      <c r="H7" t="inlineStr">
        <is>
          <t>DI DALAM</t>
        </is>
      </c>
      <c r="I7" t="inlineStr">
        <is>
          <t>MK00185</t>
        </is>
      </c>
      <c r="J7" t="inlineStr"/>
    </row>
    <row r="8">
      <c r="A8" t="inlineStr">
        <is>
          <t>07/03/2026</t>
        </is>
      </c>
      <c r="B8" t="inlineStr">
        <is>
          <t>528000358</t>
        </is>
      </c>
      <c r="C8" t="inlineStr">
        <is>
          <t>Lulu Agustin</t>
        </is>
      </c>
      <c r="D8" t="inlineStr">
        <is>
          <t>PROD</t>
        </is>
      </c>
      <c r="E8" t="inlineStr">
        <is>
          <t>Produksi Harian</t>
        </is>
      </c>
      <c r="F8" t="inlineStr">
        <is>
          <t>21:46:43</t>
        </is>
      </c>
      <c r="G8" t="inlineStr"/>
      <c r="H8" t="inlineStr">
        <is>
          <t>DI DALAM</t>
        </is>
      </c>
      <c r="I8" t="inlineStr">
        <is>
          <t>MK00235</t>
        </is>
      </c>
      <c r="J8" t="inlineStr"/>
    </row>
    <row r="9">
      <c r="A9" t="inlineStr">
        <is>
          <t>07/03/2026</t>
        </is>
      </c>
      <c r="B9" t="inlineStr">
        <is>
          <t>528000360</t>
        </is>
      </c>
      <c r="C9" t="inlineStr">
        <is>
          <t>Hendra Permana</t>
        </is>
      </c>
      <c r="D9" t="inlineStr">
        <is>
          <t>ENG</t>
        </is>
      </c>
      <c r="E9" t="inlineStr">
        <is>
          <t>Engineering Harian</t>
        </is>
      </c>
      <c r="F9" t="inlineStr">
        <is>
          <t>21:54:40</t>
        </is>
      </c>
      <c r="G9" t="inlineStr"/>
      <c r="H9" t="inlineStr">
        <is>
          <t>DI DALAM</t>
        </is>
      </c>
      <c r="I9" t="inlineStr">
        <is>
          <t>MK00208</t>
        </is>
      </c>
      <c r="J9" t="inlineStr">
        <is>
          <t>8E</t>
        </is>
      </c>
    </row>
    <row r="10">
      <c r="A10" t="inlineStr">
        <is>
          <t>08/03/2026</t>
        </is>
      </c>
      <c r="B10" t="inlineStr">
        <is>
          <t>528000040</t>
        </is>
      </c>
      <c r="C10" t="inlineStr">
        <is>
          <t>Agus Suryaman</t>
        </is>
      </c>
      <c r="D10" t="inlineStr">
        <is>
          <t>PROD</t>
        </is>
      </c>
      <c r="E10" t="inlineStr">
        <is>
          <t>Produksi Harian</t>
        </is>
      </c>
      <c r="F10" t="inlineStr">
        <is>
          <t>08:51:01</t>
        </is>
      </c>
      <c r="G10" t="inlineStr">
        <is>
          <t>22:12:34</t>
        </is>
      </c>
      <c r="H10" t="inlineStr">
        <is>
          <t>SELESAI</t>
        </is>
      </c>
      <c r="I10" t="inlineStr">
        <is>
          <t>MK00141</t>
        </is>
      </c>
      <c r="J10" t="inlineStr"/>
    </row>
    <row r="11">
      <c r="A11" t="inlineStr">
        <is>
          <t>08/03/2026</t>
        </is>
      </c>
      <c r="B11" t="inlineStr">
        <is>
          <t>528000052</t>
        </is>
      </c>
      <c r="C11" t="inlineStr">
        <is>
          <t>Mustopa</t>
        </is>
      </c>
      <c r="D11" t="inlineStr">
        <is>
          <t>PROD</t>
        </is>
      </c>
      <c r="E11" t="inlineStr">
        <is>
          <t>Produksi Harian</t>
        </is>
      </c>
      <c r="F11" t="inlineStr"/>
      <c r="G11" t="inlineStr">
        <is>
          <t>21:04:56</t>
        </is>
      </c>
      <c r="H11" t="inlineStr">
        <is>
          <t>KELUAR TANPA MASUK</t>
        </is>
      </c>
      <c r="I11" t="inlineStr">
        <is>
          <t>MK00160</t>
        </is>
      </c>
      <c r="J11" t="inlineStr"/>
    </row>
    <row r="12">
      <c r="A12" t="inlineStr">
        <is>
          <t>08/03/2026</t>
        </is>
      </c>
      <c r="B12" t="inlineStr">
        <is>
          <t>528000090</t>
        </is>
      </c>
      <c r="C12" t="inlineStr">
        <is>
          <t>Suganda</t>
        </is>
      </c>
      <c r="D12" t="inlineStr">
        <is>
          <t>PROD</t>
        </is>
      </c>
      <c r="E12" t="inlineStr">
        <is>
          <t>Produksi Harian</t>
        </is>
      </c>
      <c r="F12" t="inlineStr">
        <is>
          <t>13:53:31</t>
        </is>
      </c>
      <c r="G12" t="inlineStr">
        <is>
          <t>22:04:42</t>
        </is>
      </c>
      <c r="H12" t="inlineStr">
        <is>
          <t>SELESAI</t>
        </is>
      </c>
      <c r="I12" t="inlineStr">
        <is>
          <t>MK00250</t>
        </is>
      </c>
      <c r="J12" t="inlineStr"/>
    </row>
    <row r="13">
      <c r="A13" t="inlineStr">
        <is>
          <t>08/03/2026</t>
        </is>
      </c>
      <c r="B13" t="inlineStr">
        <is>
          <t>528000144</t>
        </is>
      </c>
      <c r="C13" t="inlineStr">
        <is>
          <t>Jodi Hanafi</t>
        </is>
      </c>
      <c r="D13" t="inlineStr">
        <is>
          <t>LOG</t>
        </is>
      </c>
      <c r="E13" t="inlineStr">
        <is>
          <t>WRM Harian</t>
        </is>
      </c>
      <c r="F13" t="inlineStr">
        <is>
          <t>15:50:17</t>
        </is>
      </c>
      <c r="G13" t="inlineStr">
        <is>
          <t>15:49:57</t>
        </is>
      </c>
      <c r="H13" t="inlineStr">
        <is>
          <t>SELESAI</t>
        </is>
      </c>
      <c r="I13" t="inlineStr">
        <is>
          <t>MK00221</t>
        </is>
      </c>
      <c r="J13" t="inlineStr"/>
    </row>
    <row r="14">
      <c r="A14" t="inlineStr">
        <is>
          <t>08/03/2026</t>
        </is>
      </c>
      <c r="B14" t="inlineStr">
        <is>
          <t>528000149</t>
        </is>
      </c>
      <c r="C14" t="inlineStr">
        <is>
          <t>Tio Fernanda</t>
        </is>
      </c>
      <c r="D14" t="inlineStr">
        <is>
          <t>LOG</t>
        </is>
      </c>
      <c r="E14" t="inlineStr">
        <is>
          <t>WRM Harian</t>
        </is>
      </c>
      <c r="F14" t="inlineStr">
        <is>
          <t>15:50:30</t>
        </is>
      </c>
      <c r="G14" t="inlineStr"/>
      <c r="H14" t="inlineStr">
        <is>
          <t>DI DALAM</t>
        </is>
      </c>
      <c r="I14" t="inlineStr">
        <is>
          <t>MK0130</t>
        </is>
      </c>
      <c r="J14" t="inlineStr"/>
    </row>
    <row r="15">
      <c r="A15" t="inlineStr">
        <is>
          <t>08/03/2026</t>
        </is>
      </c>
      <c r="B15" t="inlineStr">
        <is>
          <t>528000201</t>
        </is>
      </c>
      <c r="C15" t="inlineStr">
        <is>
          <t>Zahwa Amelia Choerunissa</t>
        </is>
      </c>
      <c r="D15" t="inlineStr">
        <is>
          <t>PROD</t>
        </is>
      </c>
      <c r="E15" t="inlineStr">
        <is>
          <t>Produksi Harian</t>
        </is>
      </c>
      <c r="F15" t="inlineStr">
        <is>
          <t>13:42:00</t>
        </is>
      </c>
      <c r="G15" t="inlineStr">
        <is>
          <t>22:04:08</t>
        </is>
      </c>
      <c r="H15" t="inlineStr">
        <is>
          <t>SELESAI</t>
        </is>
      </c>
      <c r="I15" t="inlineStr">
        <is>
          <t>MK00192</t>
        </is>
      </c>
      <c r="J15" t="inlineStr"/>
    </row>
    <row r="16">
      <c r="A16" t="inlineStr">
        <is>
          <t>08/03/2026</t>
        </is>
      </c>
      <c r="B16" t="inlineStr">
        <is>
          <t>528000212</t>
        </is>
      </c>
      <c r="C16" t="inlineStr">
        <is>
          <t>Rizal Fauzi</t>
        </is>
      </c>
      <c r="D16" t="inlineStr">
        <is>
          <t>PROD</t>
        </is>
      </c>
      <c r="E16" t="inlineStr">
        <is>
          <t>Produksi Harian</t>
        </is>
      </c>
      <c r="F16" t="inlineStr">
        <is>
          <t>14:00:49</t>
        </is>
      </c>
      <c r="G16" t="inlineStr"/>
      <c r="H16" t="inlineStr">
        <is>
          <t>DI DALAM</t>
        </is>
      </c>
      <c r="I16" t="inlineStr">
        <is>
          <t>MK00156</t>
        </is>
      </c>
      <c r="J16" t="inlineStr"/>
    </row>
    <row r="17">
      <c r="A17" t="inlineStr">
        <is>
          <t>08/03/2026</t>
        </is>
      </c>
      <c r="B17" t="inlineStr">
        <is>
          <t>528000232</t>
        </is>
      </c>
      <c r="C17" t="inlineStr">
        <is>
          <t>Agung Aji Suhada</t>
        </is>
      </c>
      <c r="D17" t="inlineStr">
        <is>
          <t>LOG</t>
        </is>
      </c>
      <c r="E17" t="inlineStr">
        <is>
          <t>WRM Harian</t>
        </is>
      </c>
      <c r="F17" t="inlineStr">
        <is>
          <t>08:40:25</t>
        </is>
      </c>
      <c r="G17" t="inlineStr">
        <is>
          <t>17:13:43</t>
        </is>
      </c>
      <c r="H17" t="inlineStr">
        <is>
          <t>SELESAI</t>
        </is>
      </c>
      <c r="I17" t="inlineStr">
        <is>
          <t>MK00150</t>
        </is>
      </c>
      <c r="J17" t="inlineStr"/>
    </row>
    <row r="18">
      <c r="A18" t="inlineStr">
        <is>
          <t>08/03/2026</t>
        </is>
      </c>
      <c r="B18" t="inlineStr">
        <is>
          <t>528000241</t>
        </is>
      </c>
      <c r="C18" t="inlineStr">
        <is>
          <t>Balia Nurafif Bilah</t>
        </is>
      </c>
      <c r="D18" t="inlineStr">
        <is>
          <t>PROD</t>
        </is>
      </c>
      <c r="E18" t="inlineStr">
        <is>
          <t>Produksi Harian</t>
        </is>
      </c>
      <c r="F18" t="inlineStr">
        <is>
          <t>13:54:59</t>
        </is>
      </c>
      <c r="G18" t="inlineStr">
        <is>
          <t>22:04:03</t>
        </is>
      </c>
      <c r="H18" t="inlineStr">
        <is>
          <t>SELESAI</t>
        </is>
      </c>
      <c r="I18" t="inlineStr">
        <is>
          <t>MK00217</t>
        </is>
      </c>
      <c r="J18" t="inlineStr"/>
    </row>
    <row r="19">
      <c r="A19" t="inlineStr">
        <is>
          <t>08/03/2026</t>
        </is>
      </c>
      <c r="B19" t="inlineStr">
        <is>
          <t>528000261</t>
        </is>
      </c>
      <c r="C19" t="inlineStr">
        <is>
          <t>Ergi Ergianto</t>
        </is>
      </c>
      <c r="D19" t="inlineStr">
        <is>
          <t>HRGA</t>
        </is>
      </c>
      <c r="E19" t="inlineStr">
        <is>
          <t>GA Harian</t>
        </is>
      </c>
      <c r="F19" t="inlineStr"/>
      <c r="G19" t="inlineStr">
        <is>
          <t>08:04:03</t>
        </is>
      </c>
      <c r="H19" t="inlineStr">
        <is>
          <t>KELUAR TANPA MASUK</t>
        </is>
      </c>
      <c r="I19" t="inlineStr">
        <is>
          <t>MK00202</t>
        </is>
      </c>
      <c r="J19" t="inlineStr"/>
    </row>
    <row r="20">
      <c r="A20" t="inlineStr">
        <is>
          <t>08/03/2026</t>
        </is>
      </c>
      <c r="B20" t="inlineStr">
        <is>
          <t>528000262</t>
        </is>
      </c>
      <c r="C20" t="inlineStr">
        <is>
          <t>Ndari Dwiwanti</t>
        </is>
      </c>
      <c r="D20" t="inlineStr">
        <is>
          <t>PROD</t>
        </is>
      </c>
      <c r="E20" t="inlineStr">
        <is>
          <t>Produksi Harian</t>
        </is>
      </c>
      <c r="F20" t="inlineStr"/>
      <c r="G20" t="inlineStr">
        <is>
          <t>21:46:59</t>
        </is>
      </c>
      <c r="H20" t="inlineStr">
        <is>
          <t>KELUAR TANPA MASUK</t>
        </is>
      </c>
      <c r="I20" t="inlineStr">
        <is>
          <t>MK00113</t>
        </is>
      </c>
      <c r="J20" t="inlineStr"/>
    </row>
    <row r="21">
      <c r="A21" t="inlineStr">
        <is>
          <t>08/03/2026</t>
        </is>
      </c>
      <c r="B21" t="inlineStr">
        <is>
          <t>528000265</t>
        </is>
      </c>
      <c r="C21" t="inlineStr">
        <is>
          <t>Muhammad Haerul Rozikin</t>
        </is>
      </c>
      <c r="D21" t="inlineStr">
        <is>
          <t>LOG</t>
        </is>
      </c>
      <c r="E21" t="inlineStr">
        <is>
          <t>WRM Harian</t>
        </is>
      </c>
      <c r="F21" t="inlineStr"/>
      <c r="G21" t="inlineStr">
        <is>
          <t>16:05:06</t>
        </is>
      </c>
      <c r="H21" t="inlineStr">
        <is>
          <t>KELUAR TANPA MASUK</t>
        </is>
      </c>
      <c r="I21" t="inlineStr">
        <is>
          <t>MK00154</t>
        </is>
      </c>
      <c r="J21" t="inlineStr"/>
    </row>
    <row r="22">
      <c r="A22" t="inlineStr">
        <is>
          <t>08/03/2026</t>
        </is>
      </c>
      <c r="B22" t="inlineStr">
        <is>
          <t>528000267</t>
        </is>
      </c>
      <c r="C22" t="inlineStr">
        <is>
          <t>Bagas Patulloh</t>
        </is>
      </c>
      <c r="D22" t="inlineStr">
        <is>
          <t>LOG</t>
        </is>
      </c>
      <c r="E22" t="inlineStr">
        <is>
          <t>WRM Harian</t>
        </is>
      </c>
      <c r="F22" t="inlineStr">
        <is>
          <t>08:03:42</t>
        </is>
      </c>
      <c r="G22" t="inlineStr">
        <is>
          <t>17:46:36</t>
        </is>
      </c>
      <c r="H22" t="inlineStr">
        <is>
          <t>SELESAI</t>
        </is>
      </c>
      <c r="I22" t="inlineStr">
        <is>
          <t>MK00093</t>
        </is>
      </c>
      <c r="J22" t="inlineStr"/>
    </row>
    <row r="23">
      <c r="A23" t="inlineStr">
        <is>
          <t>08/03/2026</t>
        </is>
      </c>
      <c r="B23" t="inlineStr">
        <is>
          <t>528000273</t>
        </is>
      </c>
      <c r="C23" t="inlineStr">
        <is>
          <t>Asep Mulyana</t>
        </is>
      </c>
      <c r="D23" t="inlineStr">
        <is>
          <t>PROD</t>
        </is>
      </c>
      <c r="E23" t="inlineStr">
        <is>
          <t>Produksi Harian</t>
        </is>
      </c>
      <c r="F23" t="inlineStr">
        <is>
          <t>13:50:06</t>
        </is>
      </c>
      <c r="G23" t="inlineStr">
        <is>
          <t>22:01:43</t>
        </is>
      </c>
      <c r="H23" t="inlineStr">
        <is>
          <t>SELESAI</t>
        </is>
      </c>
      <c r="I23" t="inlineStr">
        <is>
          <t>MK00116</t>
        </is>
      </c>
      <c r="J23" t="inlineStr"/>
    </row>
    <row r="24">
      <c r="A24" t="inlineStr">
        <is>
          <t>08/03/2026</t>
        </is>
      </c>
      <c r="B24" t="inlineStr">
        <is>
          <t>528000274</t>
        </is>
      </c>
      <c r="C24" t="inlineStr">
        <is>
          <t>Zepri</t>
        </is>
      </c>
      <c r="D24" t="inlineStr">
        <is>
          <t>PROD</t>
        </is>
      </c>
      <c r="E24" t="inlineStr">
        <is>
          <t>Produksi Harian</t>
        </is>
      </c>
      <c r="F24" t="inlineStr">
        <is>
          <t>13:55:07</t>
        </is>
      </c>
      <c r="G24" t="inlineStr">
        <is>
          <t>22:03:22</t>
        </is>
      </c>
      <c r="H24" t="inlineStr">
        <is>
          <t>SELESAI</t>
        </is>
      </c>
      <c r="I24" t="inlineStr">
        <is>
          <t>MK00008</t>
        </is>
      </c>
      <c r="J24" t="inlineStr"/>
    </row>
    <row r="25">
      <c r="A25" t="inlineStr">
        <is>
          <t>08/03/2026</t>
        </is>
      </c>
      <c r="B25" t="inlineStr">
        <is>
          <t>528000279</t>
        </is>
      </c>
      <c r="C25" t="inlineStr">
        <is>
          <t>Mahdalena Dalfa Riani</t>
        </is>
      </c>
      <c r="D25" t="inlineStr">
        <is>
          <t>PROD</t>
        </is>
      </c>
      <c r="E25" t="inlineStr">
        <is>
          <t>Produksi Harian</t>
        </is>
      </c>
      <c r="F25" t="inlineStr"/>
      <c r="G25" t="inlineStr">
        <is>
          <t>14:07:32</t>
        </is>
      </c>
      <c r="H25" t="inlineStr">
        <is>
          <t>KELUAR TANPA MASUK</t>
        </is>
      </c>
      <c r="I25" t="inlineStr">
        <is>
          <t>MK00208</t>
        </is>
      </c>
      <c r="J25" t="inlineStr"/>
    </row>
    <row r="26">
      <c r="A26" t="inlineStr">
        <is>
          <t>08/03/2026</t>
        </is>
      </c>
      <c r="B26" t="inlineStr">
        <is>
          <t>528000282</t>
        </is>
      </c>
      <c r="C26" t="inlineStr">
        <is>
          <t>Defa Desfiana</t>
        </is>
      </c>
      <c r="D26" t="inlineStr">
        <is>
          <t>PROD</t>
        </is>
      </c>
      <c r="E26" t="inlineStr">
        <is>
          <t>Produksi Harian</t>
        </is>
      </c>
      <c r="F26" t="inlineStr"/>
      <c r="G26" t="inlineStr">
        <is>
          <t>16:01:50</t>
        </is>
      </c>
      <c r="H26" t="inlineStr">
        <is>
          <t>KELUAR TANPA MASUK</t>
        </is>
      </c>
      <c r="I26" t="inlineStr">
        <is>
          <t>MK00210</t>
        </is>
      </c>
      <c r="J26" t="inlineStr">
        <is>
          <t>32c</t>
        </is>
      </c>
    </row>
    <row r="27">
      <c r="A27" t="inlineStr">
        <is>
          <t>08/03/2026</t>
        </is>
      </c>
      <c r="B27" t="inlineStr">
        <is>
          <t>528000286</t>
        </is>
      </c>
      <c r="C27" t="inlineStr">
        <is>
          <t>Imelda Amelia</t>
        </is>
      </c>
      <c r="D27" t="inlineStr">
        <is>
          <t>PROD</t>
        </is>
      </c>
      <c r="E27" t="inlineStr">
        <is>
          <t>Produksi Harian</t>
        </is>
      </c>
      <c r="F27" t="inlineStr">
        <is>
          <t>13:43:02</t>
        </is>
      </c>
      <c r="G27" t="inlineStr">
        <is>
          <t>22:08:26</t>
        </is>
      </c>
      <c r="H27" t="inlineStr">
        <is>
          <t>SELESAI</t>
        </is>
      </c>
      <c r="I27" t="inlineStr">
        <is>
          <t>MK00230</t>
        </is>
      </c>
      <c r="J27" t="inlineStr"/>
    </row>
    <row r="28">
      <c r="A28" t="inlineStr">
        <is>
          <t>08/03/2026</t>
        </is>
      </c>
      <c r="B28" t="inlineStr">
        <is>
          <t>528000289</t>
        </is>
      </c>
      <c r="C28" t="inlineStr">
        <is>
          <t>Adit Supriyadi</t>
        </is>
      </c>
      <c r="D28" t="inlineStr">
        <is>
          <t>PROD</t>
        </is>
      </c>
      <c r="E28" t="inlineStr">
        <is>
          <t>Produksi Harian</t>
        </is>
      </c>
      <c r="F28" t="inlineStr">
        <is>
          <t>13:45:13</t>
        </is>
      </c>
      <c r="G28" t="inlineStr"/>
      <c r="H28" t="inlineStr">
        <is>
          <t>DI DALAM</t>
        </is>
      </c>
      <c r="I28" t="inlineStr">
        <is>
          <t>MK00145</t>
        </is>
      </c>
      <c r="J28" t="inlineStr"/>
    </row>
    <row r="29">
      <c r="A29" t="inlineStr">
        <is>
          <t>08/03/2026</t>
        </is>
      </c>
      <c r="B29" t="inlineStr">
        <is>
          <t>528000290</t>
        </is>
      </c>
      <c r="C29" t="inlineStr">
        <is>
          <t>Eval Pranata</t>
        </is>
      </c>
      <c r="D29" t="inlineStr">
        <is>
          <t>PROD</t>
        </is>
      </c>
      <c r="E29" t="inlineStr">
        <is>
          <t>Produksi Harian</t>
        </is>
      </c>
      <c r="F29" t="inlineStr">
        <is>
          <t>13:59:53</t>
        </is>
      </c>
      <c r="G29" t="inlineStr">
        <is>
          <t>22:04:49</t>
        </is>
      </c>
      <c r="H29" t="inlineStr">
        <is>
          <t>SELESAI</t>
        </is>
      </c>
      <c r="I29" t="inlineStr">
        <is>
          <t>MK00109</t>
        </is>
      </c>
      <c r="J29" t="inlineStr"/>
    </row>
    <row r="30">
      <c r="A30" t="inlineStr">
        <is>
          <t>08/03/2026</t>
        </is>
      </c>
      <c r="B30" t="inlineStr">
        <is>
          <t>528000291</t>
        </is>
      </c>
      <c r="C30" t="inlineStr">
        <is>
          <t>Andrian</t>
        </is>
      </c>
      <c r="D30" t="inlineStr">
        <is>
          <t>PROD</t>
        </is>
      </c>
      <c r="E30" t="inlineStr">
        <is>
          <t>Produksi Harian</t>
        </is>
      </c>
      <c r="F30" t="inlineStr"/>
      <c r="G30" t="inlineStr">
        <is>
          <t>21:45:50</t>
        </is>
      </c>
      <c r="H30" t="inlineStr">
        <is>
          <t>KELUAR TANPA MASUK</t>
        </is>
      </c>
      <c r="I30" t="inlineStr">
        <is>
          <t>MK00082</t>
        </is>
      </c>
      <c r="J30" t="inlineStr"/>
    </row>
    <row r="31">
      <c r="A31" t="inlineStr">
        <is>
          <t>08/03/2026</t>
        </is>
      </c>
      <c r="B31" t="inlineStr">
        <is>
          <t>528000300</t>
        </is>
      </c>
      <c r="C31" t="inlineStr">
        <is>
          <t>Lia pitaloka</t>
        </is>
      </c>
      <c r="D31" t="inlineStr">
        <is>
          <t>PROD</t>
        </is>
      </c>
      <c r="E31" t="inlineStr">
        <is>
          <t>Produksi Harian</t>
        </is>
      </c>
      <c r="F31" t="inlineStr"/>
      <c r="G31" t="inlineStr">
        <is>
          <t>14:06:53</t>
        </is>
      </c>
      <c r="H31" t="inlineStr">
        <is>
          <t>KELUAR TANPA MASUK</t>
        </is>
      </c>
      <c r="I31" t="inlineStr">
        <is>
          <t>MK00138</t>
        </is>
      </c>
      <c r="J31" t="inlineStr"/>
    </row>
    <row r="32">
      <c r="A32" t="inlineStr">
        <is>
          <t>08/03/2026</t>
        </is>
      </c>
      <c r="B32" t="inlineStr">
        <is>
          <t>528000310</t>
        </is>
      </c>
      <c r="C32" t="inlineStr">
        <is>
          <t>Fachrul Rozzi Suryana</t>
        </is>
      </c>
      <c r="D32" t="inlineStr">
        <is>
          <t>LOG</t>
        </is>
      </c>
      <c r="E32" t="inlineStr">
        <is>
          <t>WRM Harian</t>
        </is>
      </c>
      <c r="F32" t="inlineStr">
        <is>
          <t>07:54:31</t>
        </is>
      </c>
      <c r="G32" t="inlineStr">
        <is>
          <t>16:04:00</t>
        </is>
      </c>
      <c r="H32" t="inlineStr">
        <is>
          <t>SELESAI</t>
        </is>
      </c>
      <c r="I32" t="inlineStr">
        <is>
          <t>MK00181</t>
        </is>
      </c>
      <c r="J32" t="inlineStr">
        <is>
          <t>33E</t>
        </is>
      </c>
    </row>
    <row r="33">
      <c r="A33" t="inlineStr">
        <is>
          <t>08/03/2026</t>
        </is>
      </c>
      <c r="B33" t="inlineStr">
        <is>
          <t>528000335</t>
        </is>
      </c>
      <c r="C33" t="inlineStr">
        <is>
          <t>Rizal Saepuloh</t>
        </is>
      </c>
      <c r="D33" t="inlineStr">
        <is>
          <t>LOG</t>
        </is>
      </c>
      <c r="E33" t="inlineStr">
        <is>
          <t>WRM Harian</t>
        </is>
      </c>
      <c r="F33" t="inlineStr">
        <is>
          <t>16:03:11</t>
        </is>
      </c>
      <c r="G33" t="inlineStr"/>
      <c r="H33" t="inlineStr">
        <is>
          <t>DI DALAM</t>
        </is>
      </c>
      <c r="I33" t="inlineStr">
        <is>
          <t>MK00204</t>
        </is>
      </c>
      <c r="J33" t="inlineStr"/>
    </row>
    <row r="34">
      <c r="A34" t="inlineStr">
        <is>
          <t>08/03/2026</t>
        </is>
      </c>
      <c r="B34" t="inlineStr">
        <is>
          <t>528000337</t>
        </is>
      </c>
      <c r="C34" t="inlineStr">
        <is>
          <t>Ahmad Zaldi Firdaus</t>
        </is>
      </c>
      <c r="D34" t="inlineStr">
        <is>
          <t>PROD</t>
        </is>
      </c>
      <c r="E34" t="inlineStr">
        <is>
          <t>Produksi Harian</t>
        </is>
      </c>
      <c r="F34" t="inlineStr">
        <is>
          <t>20:49:51</t>
        </is>
      </c>
      <c r="G34" t="inlineStr"/>
      <c r="H34" t="inlineStr">
        <is>
          <t>DI DALAM</t>
        </is>
      </c>
      <c r="I34" t="inlineStr">
        <is>
          <t>MK00209</t>
        </is>
      </c>
      <c r="J34" t="inlineStr"/>
    </row>
    <row r="35">
      <c r="A35" t="inlineStr">
        <is>
          <t>08/03/2026</t>
        </is>
      </c>
      <c r="B35" t="inlineStr">
        <is>
          <t>528000339</t>
        </is>
      </c>
      <c r="C35" t="inlineStr">
        <is>
          <t>Muhamad Ripai'i</t>
        </is>
      </c>
      <c r="D35" t="inlineStr">
        <is>
          <t>HRGA</t>
        </is>
      </c>
      <c r="E35" t="inlineStr">
        <is>
          <t>GA Harian</t>
        </is>
      </c>
      <c r="F35" t="inlineStr">
        <is>
          <t>13:42:41</t>
        </is>
      </c>
      <c r="G35" t="inlineStr">
        <is>
          <t>22:40:20</t>
        </is>
      </c>
      <c r="H35" t="inlineStr">
        <is>
          <t>SELESAI</t>
        </is>
      </c>
      <c r="I35" t="inlineStr">
        <is>
          <t>MK00136</t>
        </is>
      </c>
      <c r="J35" t="inlineStr"/>
    </row>
    <row r="36">
      <c r="A36" t="inlineStr">
        <is>
          <t>08/03/2026</t>
        </is>
      </c>
      <c r="B36" t="inlineStr">
        <is>
          <t>528000348</t>
        </is>
      </c>
      <c r="C36" t="inlineStr">
        <is>
          <t>Saepuloh Ardiansah</t>
        </is>
      </c>
      <c r="D36" t="inlineStr">
        <is>
          <t>LOG</t>
        </is>
      </c>
      <c r="E36" t="inlineStr">
        <is>
          <t>WRM Harian</t>
        </is>
      </c>
      <c r="F36" t="inlineStr">
        <is>
          <t>08:55:10</t>
        </is>
      </c>
      <c r="G36" t="inlineStr">
        <is>
          <t>22:11:19</t>
        </is>
      </c>
      <c r="H36" t="inlineStr">
        <is>
          <t>SELESAI</t>
        </is>
      </c>
      <c r="I36" t="inlineStr">
        <is>
          <t>MK00205</t>
        </is>
      </c>
      <c r="J36" t="inlineStr"/>
    </row>
    <row r="37">
      <c r="A37" t="inlineStr">
        <is>
          <t>08/03/2026</t>
        </is>
      </c>
      <c r="B37" t="inlineStr">
        <is>
          <t>528000349</t>
        </is>
      </c>
      <c r="C37" t="inlineStr">
        <is>
          <t>Anas Abdul Fatah</t>
        </is>
      </c>
      <c r="D37" t="inlineStr">
        <is>
          <t>LOG</t>
        </is>
      </c>
      <c r="E37" t="inlineStr">
        <is>
          <t>WFG Harian</t>
        </is>
      </c>
      <c r="F37" t="inlineStr">
        <is>
          <t>09:47:06</t>
        </is>
      </c>
      <c r="G37" t="inlineStr">
        <is>
          <t>18:16:40</t>
        </is>
      </c>
      <c r="H37" t="inlineStr">
        <is>
          <t>SELESAI</t>
        </is>
      </c>
      <c r="I37" t="inlineStr">
        <is>
          <t>MK00185</t>
        </is>
      </c>
      <c r="J37" t="inlineStr"/>
    </row>
    <row r="38">
      <c r="A38" t="inlineStr">
        <is>
          <t>08/03/2026</t>
        </is>
      </c>
      <c r="B38" t="inlineStr">
        <is>
          <t>528000351</t>
        </is>
      </c>
      <c r="C38" t="inlineStr">
        <is>
          <t>Mulyana</t>
        </is>
      </c>
      <c r="D38" t="inlineStr">
        <is>
          <t>PROD</t>
        </is>
      </c>
      <c r="E38" t="inlineStr">
        <is>
          <t>Produksi Harian</t>
        </is>
      </c>
      <c r="F38" t="inlineStr">
        <is>
          <t>07:51:45</t>
        </is>
      </c>
      <c r="G38" t="inlineStr">
        <is>
          <t>16:03:06</t>
        </is>
      </c>
      <c r="H38" t="inlineStr">
        <is>
          <t>SELESAI</t>
        </is>
      </c>
      <c r="I38" t="inlineStr">
        <is>
          <t>MK00209</t>
        </is>
      </c>
      <c r="J38" t="inlineStr"/>
    </row>
    <row r="39">
      <c r="A39" t="inlineStr">
        <is>
          <t>08/03/2026</t>
        </is>
      </c>
      <c r="B39" t="inlineStr">
        <is>
          <t>528000358</t>
        </is>
      </c>
      <c r="C39" t="inlineStr">
        <is>
          <t>Lulu Agustin</t>
        </is>
      </c>
      <c r="D39" t="inlineStr">
        <is>
          <t>PROD</t>
        </is>
      </c>
      <c r="E39" t="inlineStr">
        <is>
          <t>Produksi Harian</t>
        </is>
      </c>
      <c r="F39" t="inlineStr"/>
      <c r="G39" t="inlineStr">
        <is>
          <t>08:05:13</t>
        </is>
      </c>
      <c r="H39" t="inlineStr">
        <is>
          <t>KELUAR TANPA MASUK</t>
        </is>
      </c>
      <c r="I39" t="inlineStr">
        <is>
          <t>MK00213</t>
        </is>
      </c>
      <c r="J39" t="inlineStr"/>
    </row>
    <row r="40">
      <c r="A40" t="inlineStr">
        <is>
          <t>08/03/2026</t>
        </is>
      </c>
      <c r="B40" t="inlineStr">
        <is>
          <t>628000064</t>
        </is>
      </c>
      <c r="C40" t="inlineStr">
        <is>
          <t>Silva Alypia</t>
        </is>
      </c>
      <c r="D40" t="inlineStr">
        <is>
          <t>PROD</t>
        </is>
      </c>
      <c r="E40" t="inlineStr">
        <is>
          <t>Produksi Borongan</t>
        </is>
      </c>
      <c r="F40" t="inlineStr"/>
      <c r="G40" t="inlineStr">
        <is>
          <t>14:05:15</t>
        </is>
      </c>
      <c r="H40" t="inlineStr">
        <is>
          <t>KELUAR TANPA MASUK</t>
        </is>
      </c>
      <c r="I40" t="inlineStr">
        <is>
          <t>MK00108</t>
        </is>
      </c>
      <c r="J40" t="inlineStr"/>
    </row>
    <row r="41">
      <c r="A41" t="inlineStr">
        <is>
          <t>07/04/2026</t>
        </is>
      </c>
      <c r="B41" t="inlineStr">
        <is>
          <t>528000015</t>
        </is>
      </c>
      <c r="C41" t="inlineStr">
        <is>
          <t>Erwin</t>
        </is>
      </c>
      <c r="D41" t="inlineStr">
        <is>
          <t>LOG</t>
        </is>
      </c>
      <c r="E41" t="inlineStr">
        <is>
          <t>WRM Harian</t>
        </is>
      </c>
      <c r="F41" t="inlineStr">
        <is>
          <t>21:41:35</t>
        </is>
      </c>
      <c r="G41" t="inlineStr"/>
      <c r="H41" t="inlineStr">
        <is>
          <t>DI DALAM</t>
        </is>
      </c>
      <c r="I41" t="inlineStr">
        <is>
          <t>MK00213</t>
        </is>
      </c>
      <c r="J41" t="inlineStr"/>
    </row>
    <row r="42">
      <c r="A42" t="inlineStr">
        <is>
          <t>07/04/2026</t>
        </is>
      </c>
      <c r="B42" t="inlineStr">
        <is>
          <t>528000052</t>
        </is>
      </c>
      <c r="C42" t="inlineStr">
        <is>
          <t>Mustopa</t>
        </is>
      </c>
      <c r="D42" t="inlineStr">
        <is>
          <t>PROD</t>
        </is>
      </c>
      <c r="E42" t="inlineStr">
        <is>
          <t>Produksi Harian</t>
        </is>
      </c>
      <c r="F42" t="inlineStr"/>
      <c r="G42" t="inlineStr">
        <is>
          <t>06:06:03</t>
        </is>
      </c>
      <c r="H42" t="inlineStr">
        <is>
          <t>KELUAR TANPA MASUK</t>
        </is>
      </c>
      <c r="I42" t="inlineStr">
        <is>
          <t>MK00154</t>
        </is>
      </c>
      <c r="J42" t="inlineStr"/>
    </row>
    <row r="43">
      <c r="A43" t="inlineStr">
        <is>
          <t>07/04/2026</t>
        </is>
      </c>
      <c r="B43" t="inlineStr">
        <is>
          <t>528000144</t>
        </is>
      </c>
      <c r="C43" t="inlineStr">
        <is>
          <t>Jodi Hanafi</t>
        </is>
      </c>
      <c r="D43" t="inlineStr">
        <is>
          <t>LOG</t>
        </is>
      </c>
      <c r="E43" t="inlineStr">
        <is>
          <t>WRM Harian</t>
        </is>
      </c>
      <c r="F43" t="inlineStr"/>
      <c r="G43" t="inlineStr">
        <is>
          <t>00:04:01</t>
        </is>
      </c>
      <c r="H43" t="inlineStr">
        <is>
          <t>KELUAR TANPA MASUK</t>
        </is>
      </c>
      <c r="I43" t="inlineStr">
        <is>
          <t>MK00221</t>
        </is>
      </c>
      <c r="J43" t="inlineStr"/>
    </row>
    <row r="44">
      <c r="A44" t="inlineStr">
        <is>
          <t>07/04/2026</t>
        </is>
      </c>
      <c r="B44" t="inlineStr">
        <is>
          <t>528000149</t>
        </is>
      </c>
      <c r="C44" t="inlineStr">
        <is>
          <t>Tio Fernanda</t>
        </is>
      </c>
      <c r="D44" t="inlineStr">
        <is>
          <t>LOG</t>
        </is>
      </c>
      <c r="E44" t="inlineStr">
        <is>
          <t>WRM Harian</t>
        </is>
      </c>
      <c r="F44" t="inlineStr"/>
      <c r="G44" t="inlineStr">
        <is>
          <t>00:03:41</t>
        </is>
      </c>
      <c r="H44" t="inlineStr">
        <is>
          <t>KELUAR TANPA MASUK</t>
        </is>
      </c>
      <c r="I44" t="inlineStr">
        <is>
          <t>MK0130</t>
        </is>
      </c>
      <c r="J44" t="inlineStr"/>
    </row>
    <row r="45">
      <c r="A45" t="inlineStr">
        <is>
          <t>07/04/2026</t>
        </is>
      </c>
      <c r="B45" t="inlineStr">
        <is>
          <t>528000212</t>
        </is>
      </c>
      <c r="C45" t="inlineStr">
        <is>
          <t>Rizal Fauzi</t>
        </is>
      </c>
      <c r="D45" t="inlineStr">
        <is>
          <t>PROD</t>
        </is>
      </c>
      <c r="E45" t="inlineStr">
        <is>
          <t>Produksi Harian</t>
        </is>
      </c>
      <c r="F45" t="inlineStr"/>
      <c r="G45" t="inlineStr">
        <is>
          <t>02:09:04</t>
        </is>
      </c>
      <c r="H45" t="inlineStr">
        <is>
          <t>KELUAR TANPA MASUK</t>
        </is>
      </c>
      <c r="I45" t="inlineStr">
        <is>
          <t>MK00156</t>
        </is>
      </c>
      <c r="J45" t="inlineStr"/>
    </row>
    <row r="46">
      <c r="A46" t="inlineStr">
        <is>
          <t>07/04/2026</t>
        </is>
      </c>
      <c r="B46" t="inlineStr">
        <is>
          <t>528000262</t>
        </is>
      </c>
      <c r="C46" t="inlineStr">
        <is>
          <t>Ndari Dwiwanti</t>
        </is>
      </c>
      <c r="D46" t="inlineStr">
        <is>
          <t>PROD</t>
        </is>
      </c>
      <c r="E46" t="inlineStr">
        <is>
          <t>Produksi Harian</t>
        </is>
      </c>
      <c r="F46" t="inlineStr"/>
      <c r="G46" t="inlineStr">
        <is>
          <t>06:05:15</t>
        </is>
      </c>
      <c r="H46" t="inlineStr">
        <is>
          <t>KELUAR TANPA MASUK</t>
        </is>
      </c>
      <c r="I46" t="inlineStr">
        <is>
          <t>MK00088</t>
        </is>
      </c>
      <c r="J46" t="inlineStr"/>
    </row>
    <row r="47">
      <c r="A47" t="inlineStr">
        <is>
          <t>07/04/2026</t>
        </is>
      </c>
      <c r="B47" t="inlineStr">
        <is>
          <t>528000283</t>
        </is>
      </c>
      <c r="C47" t="inlineStr">
        <is>
          <t>Purwanda Sugiri</t>
        </is>
      </c>
      <c r="D47" t="inlineStr">
        <is>
          <t>LOG</t>
        </is>
      </c>
      <c r="E47" t="inlineStr">
        <is>
          <t>WRM Harian</t>
        </is>
      </c>
      <c r="F47" t="inlineStr"/>
      <c r="G47" t="inlineStr">
        <is>
          <t>06:05:09</t>
        </is>
      </c>
      <c r="H47" t="inlineStr">
        <is>
          <t>KELUAR TANPA MASUK</t>
        </is>
      </c>
      <c r="I47" t="inlineStr">
        <is>
          <t>MK00218</t>
        </is>
      </c>
      <c r="J47" t="inlineStr"/>
    </row>
    <row r="48">
      <c r="A48" t="inlineStr">
        <is>
          <t>07/04/2026</t>
        </is>
      </c>
      <c r="B48" t="inlineStr">
        <is>
          <t>528000289</t>
        </is>
      </c>
      <c r="C48" t="inlineStr">
        <is>
          <t>Adit Supriyadi</t>
        </is>
      </c>
      <c r="D48" t="inlineStr">
        <is>
          <t>PROD</t>
        </is>
      </c>
      <c r="E48" t="inlineStr">
        <is>
          <t>Produksi Harian</t>
        </is>
      </c>
      <c r="F48" t="inlineStr"/>
      <c r="G48" t="inlineStr">
        <is>
          <t>05:59:00</t>
        </is>
      </c>
      <c r="H48" t="inlineStr">
        <is>
          <t>KELUAR TANPA MASUK</t>
        </is>
      </c>
      <c r="I48" t="inlineStr">
        <is>
          <t>MK00145</t>
        </is>
      </c>
      <c r="J48" t="inlineStr"/>
    </row>
    <row r="49">
      <c r="A49" t="inlineStr">
        <is>
          <t>07/04/2026</t>
        </is>
      </c>
      <c r="B49" t="inlineStr">
        <is>
          <t>528000291</t>
        </is>
      </c>
      <c r="C49" t="inlineStr">
        <is>
          <t>Andrian</t>
        </is>
      </c>
      <c r="D49" t="inlineStr">
        <is>
          <t>PROD</t>
        </is>
      </c>
      <c r="E49" t="inlineStr">
        <is>
          <t>Produksi Harian</t>
        </is>
      </c>
      <c r="F49" t="inlineStr"/>
      <c r="G49" t="inlineStr">
        <is>
          <t>06:04:42</t>
        </is>
      </c>
      <c r="H49" t="inlineStr">
        <is>
          <t>KELUAR TANPA MASUK</t>
        </is>
      </c>
      <c r="I49" t="inlineStr">
        <is>
          <t>MK00249</t>
        </is>
      </c>
      <c r="J49" t="inlineStr"/>
    </row>
    <row r="50">
      <c r="A50" t="inlineStr">
        <is>
          <t>07/04/2026</t>
        </is>
      </c>
      <c r="B50" t="inlineStr">
        <is>
          <t>528000298</t>
        </is>
      </c>
      <c r="C50" t="inlineStr">
        <is>
          <t>Desta Cahaya Pratama</t>
        </is>
      </c>
      <c r="D50" t="inlineStr">
        <is>
          <t>PROD</t>
        </is>
      </c>
      <c r="E50" t="inlineStr">
        <is>
          <t>Produksi Harian</t>
        </is>
      </c>
      <c r="F50" t="inlineStr">
        <is>
          <t>21:43:14</t>
        </is>
      </c>
      <c r="G50" t="inlineStr"/>
      <c r="H50" t="inlineStr">
        <is>
          <t>DI DALAM</t>
        </is>
      </c>
      <c r="I50" t="inlineStr">
        <is>
          <t>MK00235</t>
        </is>
      </c>
      <c r="J50" t="inlineStr"/>
    </row>
    <row r="51">
      <c r="A51" t="inlineStr">
        <is>
          <t>07/04/2026</t>
        </is>
      </c>
      <c r="B51" t="inlineStr">
        <is>
          <t>528000299</t>
        </is>
      </c>
      <c r="C51" t="inlineStr">
        <is>
          <t>Siti Nurjanah</t>
        </is>
      </c>
      <c r="D51" t="inlineStr">
        <is>
          <t>PROD</t>
        </is>
      </c>
      <c r="E51" t="inlineStr">
        <is>
          <t>Produksi Harian</t>
        </is>
      </c>
      <c r="F51" t="inlineStr">
        <is>
          <t>21:42:35</t>
        </is>
      </c>
      <c r="G51" t="inlineStr"/>
      <c r="H51" t="inlineStr">
        <is>
          <t>DI DALAM</t>
        </is>
      </c>
      <c r="I51" t="inlineStr">
        <is>
          <t>MK00209</t>
        </is>
      </c>
      <c r="J51" t="inlineStr"/>
    </row>
    <row r="52">
      <c r="A52" t="inlineStr">
        <is>
          <t>07/04/2026</t>
        </is>
      </c>
      <c r="B52" t="inlineStr">
        <is>
          <t>528000302</t>
        </is>
      </c>
      <c r="C52" t="inlineStr">
        <is>
          <t>Henkey gumilar</t>
        </is>
      </c>
      <c r="D52" t="inlineStr">
        <is>
          <t>PROD</t>
        </is>
      </c>
      <c r="E52" t="inlineStr">
        <is>
          <t>Produksi Harian</t>
        </is>
      </c>
      <c r="F52" t="inlineStr">
        <is>
          <t>21:57:23</t>
        </is>
      </c>
      <c r="G52" t="inlineStr"/>
      <c r="H52" t="inlineStr">
        <is>
          <t>DI DALAM</t>
        </is>
      </c>
      <c r="I52" t="inlineStr">
        <is>
          <t>MK00095</t>
        </is>
      </c>
      <c r="J52" t="inlineStr"/>
    </row>
    <row r="53">
      <c r="A53" t="inlineStr">
        <is>
          <t>07/04/2026</t>
        </is>
      </c>
      <c r="B53" t="inlineStr">
        <is>
          <t>528000305</t>
        </is>
      </c>
      <c r="C53" t="inlineStr">
        <is>
          <t>Puji Puspita</t>
        </is>
      </c>
      <c r="D53" t="inlineStr">
        <is>
          <t>PROD</t>
        </is>
      </c>
      <c r="E53" t="inlineStr">
        <is>
          <t>Produksi Harian</t>
        </is>
      </c>
      <c r="F53" t="inlineStr">
        <is>
          <t>21:34:25</t>
        </is>
      </c>
      <c r="G53" t="inlineStr"/>
      <c r="H53" t="inlineStr">
        <is>
          <t>DI DALAM</t>
        </is>
      </c>
      <c r="I53" t="inlineStr">
        <is>
          <t>MK00108</t>
        </is>
      </c>
      <c r="J53" t="inlineStr"/>
    </row>
    <row r="54">
      <c r="A54" t="inlineStr">
        <is>
          <t>07/04/2026</t>
        </is>
      </c>
      <c r="B54" t="inlineStr">
        <is>
          <t>528000309</t>
        </is>
      </c>
      <c r="C54" t="inlineStr">
        <is>
          <t>Ilham Ramadhan</t>
        </is>
      </c>
      <c r="D54" t="inlineStr">
        <is>
          <t>LOG</t>
        </is>
      </c>
      <c r="E54" t="inlineStr">
        <is>
          <t>WRM Harian</t>
        </is>
      </c>
      <c r="F54" t="inlineStr">
        <is>
          <t>21:32:55</t>
        </is>
      </c>
      <c r="G54" t="inlineStr"/>
      <c r="H54" t="inlineStr">
        <is>
          <t>DI DALAM</t>
        </is>
      </c>
      <c r="I54" t="inlineStr">
        <is>
          <t>MK00145</t>
        </is>
      </c>
      <c r="J54" t="inlineStr"/>
    </row>
    <row r="55">
      <c r="A55" t="inlineStr">
        <is>
          <t>07/04/2026</t>
        </is>
      </c>
      <c r="B55" t="inlineStr">
        <is>
          <t>528000313</t>
        </is>
      </c>
      <c r="C55" t="inlineStr">
        <is>
          <t>Muhamad Rifki</t>
        </is>
      </c>
      <c r="D55" t="inlineStr">
        <is>
          <t>PROD</t>
        </is>
      </c>
      <c r="E55" t="inlineStr">
        <is>
          <t>Produksi Harian</t>
        </is>
      </c>
      <c r="F55" t="inlineStr">
        <is>
          <t>21:45:18</t>
        </is>
      </c>
      <c r="G55" t="inlineStr"/>
      <c r="H55" t="inlineStr">
        <is>
          <t>DI DALAM</t>
        </is>
      </c>
      <c r="I55" t="inlineStr">
        <is>
          <t>MK00185</t>
        </is>
      </c>
      <c r="J55" t="inlineStr"/>
    </row>
    <row r="56">
      <c r="A56" t="inlineStr">
        <is>
          <t>07/04/2026</t>
        </is>
      </c>
      <c r="B56" t="inlineStr">
        <is>
          <t>528000318</t>
        </is>
      </c>
      <c r="C56" t="inlineStr">
        <is>
          <t>Bayu Padli Sepriyana</t>
        </is>
      </c>
      <c r="D56" t="inlineStr">
        <is>
          <t>LOG</t>
        </is>
      </c>
      <c r="E56" t="inlineStr">
        <is>
          <t>WRM Harian</t>
        </is>
      </c>
      <c r="F56" t="inlineStr">
        <is>
          <t>21:38:49</t>
        </is>
      </c>
      <c r="G56" t="inlineStr"/>
      <c r="H56" t="inlineStr">
        <is>
          <t>DI DALAM</t>
        </is>
      </c>
      <c r="I56" t="inlineStr">
        <is>
          <t>MK00230</t>
        </is>
      </c>
      <c r="J56" t="inlineStr"/>
    </row>
    <row r="57">
      <c r="A57" t="inlineStr">
        <is>
          <t>07/04/2026</t>
        </is>
      </c>
      <c r="B57" t="inlineStr">
        <is>
          <t>528000323</t>
        </is>
      </c>
      <c r="C57" t="inlineStr">
        <is>
          <t>Dian Hamidah</t>
        </is>
      </c>
      <c r="D57" t="inlineStr">
        <is>
          <t>PROD</t>
        </is>
      </c>
      <c r="E57" t="inlineStr">
        <is>
          <t>Produksi Harian</t>
        </is>
      </c>
      <c r="F57" t="inlineStr"/>
      <c r="G57" t="inlineStr">
        <is>
          <t>06:07:06</t>
        </is>
      </c>
      <c r="H57" t="inlineStr">
        <is>
          <t>KELUAR TANPA MASUK</t>
        </is>
      </c>
      <c r="I57" t="inlineStr">
        <is>
          <t>MK00181</t>
        </is>
      </c>
      <c r="J57" t="inlineStr"/>
    </row>
    <row r="58">
      <c r="A58" t="inlineStr">
        <is>
          <t>07/04/2026</t>
        </is>
      </c>
      <c r="B58" t="inlineStr">
        <is>
          <t>528000335</t>
        </is>
      </c>
      <c r="C58" t="inlineStr">
        <is>
          <t>Rizal Saepuloh</t>
        </is>
      </c>
      <c r="D58" t="inlineStr">
        <is>
          <t>LOG</t>
        </is>
      </c>
      <c r="E58" t="inlineStr">
        <is>
          <t>WRM Harian</t>
        </is>
      </c>
      <c r="F58" t="inlineStr"/>
      <c r="G58" t="inlineStr">
        <is>
          <t>00:00:15</t>
        </is>
      </c>
      <c r="H58" t="inlineStr">
        <is>
          <t>KELUAR TANPA MASUK</t>
        </is>
      </c>
      <c r="I58" t="inlineStr">
        <is>
          <t>MK00204</t>
        </is>
      </c>
      <c r="J58" t="inlineStr"/>
    </row>
    <row r="59">
      <c r="A59" t="inlineStr">
        <is>
          <t>07/04/2026</t>
        </is>
      </c>
      <c r="B59" t="inlineStr">
        <is>
          <t>528000336</t>
        </is>
      </c>
      <c r="C59" t="inlineStr">
        <is>
          <t>Ali Nurhanafi</t>
        </is>
      </c>
      <c r="D59" t="inlineStr">
        <is>
          <t>PROD</t>
        </is>
      </c>
      <c r="E59" t="inlineStr">
        <is>
          <t>Produksi Harian</t>
        </is>
      </c>
      <c r="F59" t="inlineStr"/>
      <c r="G59" t="inlineStr">
        <is>
          <t>06:07:44</t>
        </is>
      </c>
      <c r="H59" t="inlineStr">
        <is>
          <t>KELUAR TANPA MASUK</t>
        </is>
      </c>
      <c r="I59" t="inlineStr">
        <is>
          <t>MK00185</t>
        </is>
      </c>
      <c r="J59" t="inlineStr"/>
    </row>
    <row r="60">
      <c r="A60" t="inlineStr">
        <is>
          <t>07/04/2026</t>
        </is>
      </c>
      <c r="B60" t="inlineStr">
        <is>
          <t>528000337</t>
        </is>
      </c>
      <c r="C60" t="inlineStr">
        <is>
          <t>Ahmad Zaldi Firdaus</t>
        </is>
      </c>
      <c r="D60" t="inlineStr">
        <is>
          <t>PROD</t>
        </is>
      </c>
      <c r="E60" t="inlineStr">
        <is>
          <t>Produksi Harian</t>
        </is>
      </c>
      <c r="F60" t="inlineStr"/>
      <c r="G60" t="inlineStr">
        <is>
          <t>06:08:22</t>
        </is>
      </c>
      <c r="H60" t="inlineStr">
        <is>
          <t>KELUAR TANPA MASUK</t>
        </is>
      </c>
      <c r="I60" t="inlineStr">
        <is>
          <t>MK00209</t>
        </is>
      </c>
      <c r="J60" t="inlineStr"/>
    </row>
    <row r="61">
      <c r="A61" t="inlineStr">
        <is>
          <t>07/04/2026</t>
        </is>
      </c>
      <c r="B61" t="inlineStr">
        <is>
          <t>528000340</t>
        </is>
      </c>
      <c r="C61" t="inlineStr">
        <is>
          <t>Muhammad Wildan Adithya</t>
        </is>
      </c>
      <c r="D61" t="inlineStr">
        <is>
          <t>PROD</t>
        </is>
      </c>
      <c r="E61" t="inlineStr">
        <is>
          <t>Produksi Harian</t>
        </is>
      </c>
      <c r="F61" t="inlineStr">
        <is>
          <t>21:03:01</t>
        </is>
      </c>
      <c r="G61" t="inlineStr"/>
      <c r="H61" t="inlineStr">
        <is>
          <t>DI DALAM</t>
        </is>
      </c>
      <c r="I61" t="inlineStr">
        <is>
          <t>MK00220</t>
        </is>
      </c>
      <c r="J61" t="inlineStr"/>
    </row>
    <row r="62">
      <c r="A62" t="inlineStr">
        <is>
          <t>07/04/2026</t>
        </is>
      </c>
      <c r="B62" t="inlineStr">
        <is>
          <t>528000358</t>
        </is>
      </c>
      <c r="C62" t="inlineStr">
        <is>
          <t>Lulu Agustin</t>
        </is>
      </c>
      <c r="D62" t="inlineStr">
        <is>
          <t>PROD</t>
        </is>
      </c>
      <c r="E62" t="inlineStr">
        <is>
          <t>Produksi Harian</t>
        </is>
      </c>
      <c r="F62" t="inlineStr"/>
      <c r="G62" t="inlineStr">
        <is>
          <t>06:05:44</t>
        </is>
      </c>
      <c r="H62" t="inlineStr">
        <is>
          <t>KELUAR TANPA MASUK</t>
        </is>
      </c>
      <c r="I62" t="inlineStr">
        <is>
          <t>MK00235</t>
        </is>
      </c>
      <c r="J62" t="inlineStr"/>
    </row>
    <row r="63">
      <c r="A63" t="inlineStr">
        <is>
          <t>07/04/2026</t>
        </is>
      </c>
      <c r="B63" t="inlineStr">
        <is>
          <t>528000360</t>
        </is>
      </c>
      <c r="C63" t="inlineStr">
        <is>
          <t>Hendra Permana</t>
        </is>
      </c>
      <c r="D63" t="inlineStr">
        <is>
          <t>ENG</t>
        </is>
      </c>
      <c r="E63" t="inlineStr">
        <is>
          <t>Engineering Harian</t>
        </is>
      </c>
      <c r="F63" t="inlineStr"/>
      <c r="G63" t="inlineStr">
        <is>
          <t>06:04:38</t>
        </is>
      </c>
      <c r="H63" t="inlineStr">
        <is>
          <t>KELUAR TANPA MASUK</t>
        </is>
      </c>
      <c r="I63" t="inlineStr">
        <is>
          <t>MK00208</t>
        </is>
      </c>
      <c r="J63" t="inlineStr">
        <is>
          <t>8E</t>
        </is>
      </c>
    </row>
    <row r="64">
      <c r="A64" t="inlineStr">
        <is>
          <t>07/04/2026</t>
        </is>
      </c>
      <c r="B64" t="inlineStr">
        <is>
          <t>528000361</t>
        </is>
      </c>
      <c r="C64" t="inlineStr">
        <is>
          <t>Denada Munggarani</t>
        </is>
      </c>
      <c r="D64" t="inlineStr">
        <is>
          <t>PROD</t>
        </is>
      </c>
      <c r="E64" t="inlineStr">
        <is>
          <t>Produksi Harian</t>
        </is>
      </c>
      <c r="F64" t="inlineStr">
        <is>
          <t>21:30:07</t>
        </is>
      </c>
      <c r="G64" t="inlineStr"/>
      <c r="H64" t="inlineStr">
        <is>
          <t>DI DALAM</t>
        </is>
      </c>
      <c r="I64" t="inlineStr">
        <is>
          <t>MK00109</t>
        </is>
      </c>
      <c r="J64" t="inlineStr"/>
    </row>
    <row r="65">
      <c r="A65" t="inlineStr">
        <is>
          <t>07/04/2026</t>
        </is>
      </c>
      <c r="B65" t="inlineStr">
        <is>
          <t>628000091</t>
        </is>
      </c>
      <c r="C65" t="inlineStr">
        <is>
          <t>Devita Handayani</t>
        </is>
      </c>
      <c r="D65" t="inlineStr">
        <is>
          <t>PROD</t>
        </is>
      </c>
      <c r="E65" t="inlineStr">
        <is>
          <t>Produksi Borongan</t>
        </is>
      </c>
      <c r="F65" t="inlineStr">
        <is>
          <t>21:33:44</t>
        </is>
      </c>
      <c r="G65" t="inlineStr"/>
      <c r="H65" t="inlineStr">
        <is>
          <t>DI DALAM</t>
        </is>
      </c>
      <c r="I65" t="inlineStr">
        <is>
          <t>MK00138</t>
        </is>
      </c>
      <c r="J65" t="inlineStr"/>
    </row>
    <row r="66">
      <c r="A66" t="inlineStr">
        <is>
          <t>08/04/2026</t>
        </is>
      </c>
      <c r="B66" t="inlineStr">
        <is>
          <t>528000015</t>
        </is>
      </c>
      <c r="C66" t="inlineStr">
        <is>
          <t>Erwin</t>
        </is>
      </c>
      <c r="D66" t="inlineStr">
        <is>
          <t>LOG</t>
        </is>
      </c>
      <c r="E66" t="inlineStr">
        <is>
          <t>WRM Harian</t>
        </is>
      </c>
      <c r="F66" t="inlineStr"/>
      <c r="G66" t="inlineStr">
        <is>
          <t>21:41:05</t>
        </is>
      </c>
      <c r="H66" t="inlineStr">
        <is>
          <t>KELUAR TANPA MASUK</t>
        </is>
      </c>
      <c r="I66" t="inlineStr">
        <is>
          <t>MK00123</t>
        </is>
      </c>
      <c r="J66" t="inlineStr"/>
    </row>
    <row r="67">
      <c r="A67" t="inlineStr">
        <is>
          <t>08/04/2026</t>
        </is>
      </c>
      <c r="B67" t="inlineStr">
        <is>
          <t>528000040</t>
        </is>
      </c>
      <c r="C67" t="inlineStr">
        <is>
          <t>Agus Suryaman</t>
        </is>
      </c>
      <c r="D67" t="inlineStr">
        <is>
          <t>PROD</t>
        </is>
      </c>
      <c r="E67" t="inlineStr">
        <is>
          <t>Produksi Harian</t>
        </is>
      </c>
      <c r="F67" t="inlineStr">
        <is>
          <t>08:21:06</t>
        </is>
      </c>
      <c r="G67" t="inlineStr">
        <is>
          <t>17:04:58</t>
        </is>
      </c>
      <c r="H67" t="inlineStr">
        <is>
          <t>SELESAI</t>
        </is>
      </c>
      <c r="I67" t="inlineStr">
        <is>
          <t>MK00141</t>
        </is>
      </c>
      <c r="J67" t="inlineStr"/>
    </row>
    <row r="68">
      <c r="A68" t="inlineStr">
        <is>
          <t>08/04/2026</t>
        </is>
      </c>
      <c r="B68" t="inlineStr">
        <is>
          <t>528000090</t>
        </is>
      </c>
      <c r="C68" t="inlineStr">
        <is>
          <t>Suganda</t>
        </is>
      </c>
      <c r="D68" t="inlineStr">
        <is>
          <t>PROD</t>
        </is>
      </c>
      <c r="E68" t="inlineStr">
        <is>
          <t>Produksi Harian</t>
        </is>
      </c>
      <c r="F68" t="inlineStr">
        <is>
          <t>13:54:55</t>
        </is>
      </c>
      <c r="G68" t="inlineStr">
        <is>
          <t>22:06:08</t>
        </is>
      </c>
      <c r="H68" t="inlineStr">
        <is>
          <t>SELESAI</t>
        </is>
      </c>
      <c r="I68" t="inlineStr">
        <is>
          <t>MK00184</t>
        </is>
      </c>
      <c r="J68" t="inlineStr"/>
    </row>
    <row r="69">
      <c r="A69" t="inlineStr">
        <is>
          <t>08/04/2026</t>
        </is>
      </c>
      <c r="B69" t="inlineStr">
        <is>
          <t>528000144</t>
        </is>
      </c>
      <c r="C69" t="inlineStr">
        <is>
          <t>Jodi Hanafi</t>
        </is>
      </c>
      <c r="D69" t="inlineStr">
        <is>
          <t>LOG</t>
        </is>
      </c>
      <c r="E69" t="inlineStr">
        <is>
          <t>WRM Harian</t>
        </is>
      </c>
      <c r="F69" t="inlineStr">
        <is>
          <t>15:41:22</t>
        </is>
      </c>
      <c r="G69" t="inlineStr"/>
      <c r="H69" t="inlineStr">
        <is>
          <t>DI DALAM</t>
        </is>
      </c>
      <c r="I69" t="inlineStr">
        <is>
          <t>MK00221</t>
        </is>
      </c>
      <c r="J69" t="inlineStr"/>
    </row>
    <row r="70">
      <c r="A70" t="inlineStr">
        <is>
          <t>08/04/2026</t>
        </is>
      </c>
      <c r="B70" t="inlineStr">
        <is>
          <t>528000201</t>
        </is>
      </c>
      <c r="C70" t="inlineStr">
        <is>
          <t>Zahwa Amelia Choerunissa</t>
        </is>
      </c>
      <c r="D70" t="inlineStr">
        <is>
          <t>PROD</t>
        </is>
      </c>
      <c r="E70" t="inlineStr">
        <is>
          <t>Produksi Harian</t>
        </is>
      </c>
      <c r="F70" t="inlineStr">
        <is>
          <t>13:39:36</t>
        </is>
      </c>
      <c r="G70" t="inlineStr">
        <is>
          <t>22:02:28</t>
        </is>
      </c>
      <c r="H70" t="inlineStr">
        <is>
          <t>SELESAI</t>
        </is>
      </c>
      <c r="I70" t="inlineStr">
        <is>
          <t>MK00136</t>
        </is>
      </c>
      <c r="J70" t="inlineStr"/>
    </row>
    <row r="71">
      <c r="A71" t="inlineStr">
        <is>
          <t>08/04/2026</t>
        </is>
      </c>
      <c r="B71" t="inlineStr">
        <is>
          <t>528000212</t>
        </is>
      </c>
      <c r="C71" t="inlineStr">
        <is>
          <t>Rizal Fauzi</t>
        </is>
      </c>
      <c r="D71" t="inlineStr">
        <is>
          <t>PROD</t>
        </is>
      </c>
      <c r="E71" t="inlineStr">
        <is>
          <t>Produksi Harian</t>
        </is>
      </c>
      <c r="F71" t="inlineStr">
        <is>
          <t>14:00:06</t>
        </is>
      </c>
      <c r="G71" t="inlineStr"/>
      <c r="H71" t="inlineStr">
        <is>
          <t>DI DALAM</t>
        </is>
      </c>
      <c r="I71" t="inlineStr">
        <is>
          <t>MK00154</t>
        </is>
      </c>
      <c r="J71" t="inlineStr"/>
    </row>
    <row r="72">
      <c r="A72" t="inlineStr">
        <is>
          <t>08/04/2026</t>
        </is>
      </c>
      <c r="B72" t="inlineStr">
        <is>
          <t>528000228</t>
        </is>
      </c>
      <c r="C72" t="inlineStr">
        <is>
          <t>Banyu Resmi Putri</t>
        </is>
      </c>
      <c r="D72" t="inlineStr">
        <is>
          <t>PROD</t>
        </is>
      </c>
      <c r="E72" t="inlineStr">
        <is>
          <t>Produksi Harian</t>
        </is>
      </c>
      <c r="F72" t="inlineStr">
        <is>
          <t>13:41:27</t>
        </is>
      </c>
      <c r="G72" t="inlineStr">
        <is>
          <t>22:03:46</t>
        </is>
      </c>
      <c r="H72" t="inlineStr">
        <is>
          <t>SELESAI</t>
        </is>
      </c>
      <c r="I72" t="inlineStr">
        <is>
          <t>MK00212</t>
        </is>
      </c>
      <c r="J72" t="inlineStr"/>
    </row>
    <row r="73">
      <c r="A73" t="inlineStr">
        <is>
          <t>08/04/2026</t>
        </is>
      </c>
      <c r="B73" t="inlineStr">
        <is>
          <t>528000232</t>
        </is>
      </c>
      <c r="C73" t="inlineStr">
        <is>
          <t>Agung Aji Suhada</t>
        </is>
      </c>
      <c r="D73" t="inlineStr">
        <is>
          <t>LOG</t>
        </is>
      </c>
      <c r="E73" t="inlineStr">
        <is>
          <t>WRM Harian</t>
        </is>
      </c>
      <c r="F73" t="inlineStr">
        <is>
          <t>08:38:47</t>
        </is>
      </c>
      <c r="G73" t="inlineStr"/>
      <c r="H73" t="inlineStr">
        <is>
          <t>DI DALAM</t>
        </is>
      </c>
      <c r="I73" t="inlineStr">
        <is>
          <t>MK00150</t>
        </is>
      </c>
      <c r="J73" t="inlineStr"/>
    </row>
    <row r="74">
      <c r="A74" t="inlineStr">
        <is>
          <t>08/04/2026</t>
        </is>
      </c>
      <c r="B74" t="inlineStr">
        <is>
          <t>528000265</t>
        </is>
      </c>
      <c r="C74" t="inlineStr">
        <is>
          <t>Muhammad Haerul Rozikin</t>
        </is>
      </c>
      <c r="D74" t="inlineStr">
        <is>
          <t>LOG</t>
        </is>
      </c>
      <c r="E74" t="inlineStr">
        <is>
          <t>WRM Harian</t>
        </is>
      </c>
      <c r="F74" t="inlineStr">
        <is>
          <t>05:56:50</t>
        </is>
      </c>
      <c r="G74" t="inlineStr">
        <is>
          <t>14:04:13</t>
        </is>
      </c>
      <c r="H74" t="inlineStr">
        <is>
          <t>SELESAI</t>
        </is>
      </c>
      <c r="I74" t="inlineStr">
        <is>
          <t>MK00192</t>
        </is>
      </c>
      <c r="J74" t="inlineStr"/>
    </row>
    <row r="75">
      <c r="A75" t="inlineStr">
        <is>
          <t>08/04/2026</t>
        </is>
      </c>
      <c r="B75" t="inlineStr">
        <is>
          <t>528000267</t>
        </is>
      </c>
      <c r="C75" t="inlineStr">
        <is>
          <t>Bagas Patulloh</t>
        </is>
      </c>
      <c r="D75" t="inlineStr">
        <is>
          <t>LOG</t>
        </is>
      </c>
      <c r="E75" t="inlineStr">
        <is>
          <t>WRM Harian</t>
        </is>
      </c>
      <c r="F75" t="inlineStr">
        <is>
          <t>08:00:34</t>
        </is>
      </c>
      <c r="G75" t="inlineStr">
        <is>
          <t>17:13:36</t>
        </is>
      </c>
      <c r="H75" t="inlineStr">
        <is>
          <t>SELESAI</t>
        </is>
      </c>
      <c r="I75" t="inlineStr">
        <is>
          <t>MK00093</t>
        </is>
      </c>
      <c r="J75" t="inlineStr"/>
    </row>
    <row r="76">
      <c r="A76" t="inlineStr">
        <is>
          <t>08/04/2026</t>
        </is>
      </c>
      <c r="B76" t="inlineStr">
        <is>
          <t>528000273</t>
        </is>
      </c>
      <c r="C76" t="inlineStr">
        <is>
          <t>Asep Mulyana</t>
        </is>
      </c>
      <c r="D76" t="inlineStr">
        <is>
          <t>PROD</t>
        </is>
      </c>
      <c r="E76" t="inlineStr">
        <is>
          <t>Produksi Harian</t>
        </is>
      </c>
      <c r="F76" t="inlineStr">
        <is>
          <t>13:52:24</t>
        </is>
      </c>
      <c r="G76" t="inlineStr">
        <is>
          <t>22:00:37</t>
        </is>
      </c>
      <c r="H76" t="inlineStr">
        <is>
          <t>SELESAI</t>
        </is>
      </c>
      <c r="I76" t="inlineStr">
        <is>
          <t>MK00085</t>
        </is>
      </c>
      <c r="J76" t="inlineStr"/>
    </row>
    <row r="77">
      <c r="A77" t="inlineStr">
        <is>
          <t>08/04/2026</t>
        </is>
      </c>
      <c r="B77" t="inlineStr">
        <is>
          <t>528000279</t>
        </is>
      </c>
      <c r="C77" t="inlineStr">
        <is>
          <t>Mahdalena Dalfa Riani</t>
        </is>
      </c>
      <c r="D77" t="inlineStr">
        <is>
          <t>PROD</t>
        </is>
      </c>
      <c r="E77" t="inlineStr">
        <is>
          <t>Produksi Harian</t>
        </is>
      </c>
      <c r="F77" t="inlineStr">
        <is>
          <t>06:00:12</t>
        </is>
      </c>
      <c r="G77" t="inlineStr">
        <is>
          <t>14:06:35</t>
        </is>
      </c>
      <c r="H77" t="inlineStr">
        <is>
          <t>SELESAI</t>
        </is>
      </c>
      <c r="I77" t="inlineStr">
        <is>
          <t>MK00145</t>
        </is>
      </c>
      <c r="J77" t="inlineStr"/>
    </row>
    <row r="78">
      <c r="A78" t="inlineStr">
        <is>
          <t>08/04/2026</t>
        </is>
      </c>
      <c r="B78" t="inlineStr">
        <is>
          <t>528000282</t>
        </is>
      </c>
      <c r="C78" t="inlineStr">
        <is>
          <t>Defa Desfiana</t>
        </is>
      </c>
      <c r="D78" t="inlineStr">
        <is>
          <t>PROD</t>
        </is>
      </c>
      <c r="E78" t="inlineStr">
        <is>
          <t>Produksi Harian</t>
        </is>
      </c>
      <c r="F78" t="inlineStr">
        <is>
          <t>05:44:52</t>
        </is>
      </c>
      <c r="G78" t="inlineStr">
        <is>
          <t>14:10:15</t>
        </is>
      </c>
      <c r="H78" t="inlineStr">
        <is>
          <t>SELESAI</t>
        </is>
      </c>
      <c r="I78" t="inlineStr">
        <is>
          <t>MK00108</t>
        </is>
      </c>
      <c r="J78" t="inlineStr">
        <is>
          <t>4b</t>
        </is>
      </c>
    </row>
    <row r="79">
      <c r="A79" t="inlineStr">
        <is>
          <t>08/04/2026</t>
        </is>
      </c>
      <c r="B79" t="inlineStr">
        <is>
          <t>528000286</t>
        </is>
      </c>
      <c r="C79" t="inlineStr">
        <is>
          <t>Imelda Amelia</t>
        </is>
      </c>
      <c r="D79" t="inlineStr">
        <is>
          <t>PROD</t>
        </is>
      </c>
      <c r="E79" t="inlineStr">
        <is>
          <t>Produksi Harian</t>
        </is>
      </c>
      <c r="F79" t="inlineStr">
        <is>
          <t>13:40:29</t>
        </is>
      </c>
      <c r="G79" t="inlineStr">
        <is>
          <t>22:05:59</t>
        </is>
      </c>
      <c r="H79" t="inlineStr">
        <is>
          <t>SELESAI</t>
        </is>
      </c>
      <c r="I79" t="inlineStr">
        <is>
          <t>MK00143</t>
        </is>
      </c>
      <c r="J79" t="inlineStr"/>
    </row>
    <row r="80">
      <c r="A80" t="inlineStr">
        <is>
          <t>08/04/2026</t>
        </is>
      </c>
      <c r="B80" t="inlineStr">
        <is>
          <t>528000288</t>
        </is>
      </c>
      <c r="C80" t="inlineStr">
        <is>
          <t>Dede gunawan</t>
        </is>
      </c>
      <c r="D80" t="inlineStr">
        <is>
          <t>PROD</t>
        </is>
      </c>
      <c r="E80" t="inlineStr">
        <is>
          <t>Produksi Harian</t>
        </is>
      </c>
      <c r="F80" t="inlineStr">
        <is>
          <t>09:47:48</t>
        </is>
      </c>
      <c r="G80" t="inlineStr">
        <is>
          <t>09:46:54</t>
        </is>
      </c>
      <c r="H80" t="inlineStr">
        <is>
          <t>SELESAI</t>
        </is>
      </c>
      <c r="I80" t="inlineStr">
        <is>
          <t>MK00250</t>
        </is>
      </c>
      <c r="J80" t="inlineStr"/>
    </row>
    <row r="81">
      <c r="A81" t="inlineStr">
        <is>
          <t>08/04/2026</t>
        </is>
      </c>
      <c r="B81" t="inlineStr">
        <is>
          <t>528000289</t>
        </is>
      </c>
      <c r="C81" t="inlineStr">
        <is>
          <t>Adit Supriyadi</t>
        </is>
      </c>
      <c r="D81" t="inlineStr">
        <is>
          <t>PROD</t>
        </is>
      </c>
      <c r="E81" t="inlineStr">
        <is>
          <t>Produksi Harian</t>
        </is>
      </c>
      <c r="F81" t="inlineStr">
        <is>
          <t>13:50:32</t>
        </is>
      </c>
      <c r="G81" t="inlineStr">
        <is>
          <t>22:03:14</t>
        </is>
      </c>
      <c r="H81" t="inlineStr">
        <is>
          <t>SELESAI</t>
        </is>
      </c>
      <c r="I81" t="inlineStr">
        <is>
          <t>MK00186</t>
        </is>
      </c>
      <c r="J81" t="inlineStr"/>
    </row>
    <row r="82">
      <c r="A82" t="inlineStr">
        <is>
          <t>08/04/2026</t>
        </is>
      </c>
      <c r="B82" t="inlineStr">
        <is>
          <t>528000290</t>
        </is>
      </c>
      <c r="C82" t="inlineStr">
        <is>
          <t>Eval Pranata</t>
        </is>
      </c>
      <c r="D82" t="inlineStr">
        <is>
          <t>PROD</t>
        </is>
      </c>
      <c r="E82" t="inlineStr">
        <is>
          <t>Produksi Harian</t>
        </is>
      </c>
      <c r="F82" t="inlineStr">
        <is>
          <t>13:59:17</t>
        </is>
      </c>
      <c r="G82" t="inlineStr">
        <is>
          <t>22:05:55</t>
        </is>
      </c>
      <c r="H82" t="inlineStr">
        <is>
          <t>SELESAI</t>
        </is>
      </c>
      <c r="I82" t="inlineStr">
        <is>
          <t>MK00181</t>
        </is>
      </c>
      <c r="J82" t="inlineStr"/>
    </row>
    <row r="83">
      <c r="A83" t="inlineStr">
        <is>
          <t>08/04/2026</t>
        </is>
      </c>
      <c r="B83" t="inlineStr">
        <is>
          <t>528000300</t>
        </is>
      </c>
      <c r="C83" t="inlineStr">
        <is>
          <t>Lia pitaloka</t>
        </is>
      </c>
      <c r="D83" t="inlineStr">
        <is>
          <t>PROD</t>
        </is>
      </c>
      <c r="E83" t="inlineStr">
        <is>
          <t>Produksi Harian</t>
        </is>
      </c>
      <c r="F83" t="inlineStr">
        <is>
          <t>05:57:54</t>
        </is>
      </c>
      <c r="G83" t="inlineStr">
        <is>
          <t>09:16:36</t>
        </is>
      </c>
      <c r="H83" t="inlineStr">
        <is>
          <t>SELESAI</t>
        </is>
      </c>
      <c r="I83" t="inlineStr">
        <is>
          <t>MK00250</t>
        </is>
      </c>
      <c r="J83" t="inlineStr"/>
    </row>
    <row r="84">
      <c r="A84" t="inlineStr">
        <is>
          <t>08/04/2026</t>
        </is>
      </c>
      <c r="B84" t="inlineStr">
        <is>
          <t>528000309</t>
        </is>
      </c>
      <c r="C84" t="inlineStr">
        <is>
          <t>Ilham Ramadhan</t>
        </is>
      </c>
      <c r="D84" t="inlineStr">
        <is>
          <t>LOG</t>
        </is>
      </c>
      <c r="E84" t="inlineStr">
        <is>
          <t>WRM Harian</t>
        </is>
      </c>
      <c r="F84" t="inlineStr"/>
      <c r="G84" t="inlineStr">
        <is>
          <t>21:40:16</t>
        </is>
      </c>
      <c r="H84" t="inlineStr">
        <is>
          <t>KELUAR TANPA MASUK</t>
        </is>
      </c>
      <c r="I84" t="inlineStr">
        <is>
          <t>MK00145</t>
        </is>
      </c>
      <c r="J84" t="inlineStr"/>
    </row>
    <row r="85">
      <c r="A85" t="inlineStr">
        <is>
          <t>08/04/2026</t>
        </is>
      </c>
      <c r="B85" t="inlineStr">
        <is>
          <t>528000310</t>
        </is>
      </c>
      <c r="C85" t="inlineStr">
        <is>
          <t>Fachrul Rozzi Suryana</t>
        </is>
      </c>
      <c r="D85" t="inlineStr">
        <is>
          <t>LOG</t>
        </is>
      </c>
      <c r="E85" t="inlineStr">
        <is>
          <t>WRM Harian</t>
        </is>
      </c>
      <c r="F85" t="inlineStr">
        <is>
          <t>06:02:34</t>
        </is>
      </c>
      <c r="G85" t="inlineStr">
        <is>
          <t>14:04:03</t>
        </is>
      </c>
      <c r="H85" t="inlineStr">
        <is>
          <t>SELESAI</t>
        </is>
      </c>
      <c r="I85" t="inlineStr">
        <is>
          <t>MK00095</t>
        </is>
      </c>
      <c r="J85" t="inlineStr"/>
    </row>
    <row r="86">
      <c r="A86" t="inlineStr">
        <is>
          <t>08/04/2026</t>
        </is>
      </c>
      <c r="B86" t="inlineStr">
        <is>
          <t>528000335</t>
        </is>
      </c>
      <c r="C86" t="inlineStr">
        <is>
          <t>Rizal Saepuloh</t>
        </is>
      </c>
      <c r="D86" t="inlineStr">
        <is>
          <t>LOG</t>
        </is>
      </c>
      <c r="E86" t="inlineStr">
        <is>
          <t>WRM Harian</t>
        </is>
      </c>
      <c r="F86" t="inlineStr">
        <is>
          <t>16:04:01</t>
        </is>
      </c>
      <c r="G86" t="inlineStr"/>
      <c r="H86" t="inlineStr">
        <is>
          <t>DI DALAM</t>
        </is>
      </c>
      <c r="I86" t="inlineStr">
        <is>
          <t>MK00204</t>
        </is>
      </c>
      <c r="J86" t="inlineStr"/>
    </row>
    <row r="87">
      <c r="A87" t="inlineStr">
        <is>
          <t>08/04/2026</t>
        </is>
      </c>
      <c r="B87" t="inlineStr">
        <is>
          <t>528000339</t>
        </is>
      </c>
      <c r="C87" t="inlineStr">
        <is>
          <t>Muhamad Ripai'i</t>
        </is>
      </c>
      <c r="D87" t="inlineStr">
        <is>
          <t>HRGA</t>
        </is>
      </c>
      <c r="E87" t="inlineStr">
        <is>
          <t>GA Harian</t>
        </is>
      </c>
      <c r="F87" t="inlineStr">
        <is>
          <t>13:12:54</t>
        </is>
      </c>
      <c r="G87" t="inlineStr">
        <is>
          <t>22:43:24</t>
        </is>
      </c>
      <c r="H87" t="inlineStr">
        <is>
          <t>SELESAI</t>
        </is>
      </c>
      <c r="I87" t="inlineStr">
        <is>
          <t>MK00208</t>
        </is>
      </c>
      <c r="J87" t="inlineStr"/>
    </row>
    <row r="88">
      <c r="A88" t="inlineStr">
        <is>
          <t>08/04/2026</t>
        </is>
      </c>
      <c r="B88" t="inlineStr">
        <is>
          <t>528000348</t>
        </is>
      </c>
      <c r="C88" t="inlineStr">
        <is>
          <t>Saepuloh Ardiansah</t>
        </is>
      </c>
      <c r="D88" t="inlineStr">
        <is>
          <t>LOG</t>
        </is>
      </c>
      <c r="E88" t="inlineStr">
        <is>
          <t>WRM Harian</t>
        </is>
      </c>
      <c r="F88" t="inlineStr">
        <is>
          <t>08:28:29</t>
        </is>
      </c>
      <c r="G88" t="inlineStr">
        <is>
          <t>19:37:30</t>
        </is>
      </c>
      <c r="H88" t="inlineStr">
        <is>
          <t>SELESAI</t>
        </is>
      </c>
      <c r="I88" t="inlineStr">
        <is>
          <t>MK00205</t>
        </is>
      </c>
      <c r="J88" t="inlineStr"/>
    </row>
    <row r="89">
      <c r="A89" t="inlineStr">
        <is>
          <t>08/04/2026</t>
        </is>
      </c>
      <c r="B89" t="inlineStr">
        <is>
          <t>528000349</t>
        </is>
      </c>
      <c r="C89" t="inlineStr">
        <is>
          <t>Anas Abdul Fatah</t>
        </is>
      </c>
      <c r="D89" t="inlineStr">
        <is>
          <t>LOG</t>
        </is>
      </c>
      <c r="E89" t="inlineStr">
        <is>
          <t>WFG Harian</t>
        </is>
      </c>
      <c r="F89" t="inlineStr">
        <is>
          <t>09:43:07</t>
        </is>
      </c>
      <c r="G89" t="inlineStr">
        <is>
          <t>18:11:49</t>
        </is>
      </c>
      <c r="H89" t="inlineStr">
        <is>
          <t>SELESAI</t>
        </is>
      </c>
      <c r="I89" t="inlineStr">
        <is>
          <t>MK00213</t>
        </is>
      </c>
      <c r="J89" t="inlineStr"/>
    </row>
    <row r="90">
      <c r="A90" t="inlineStr">
        <is>
          <t>08/04/2026</t>
        </is>
      </c>
      <c r="B90" t="inlineStr">
        <is>
          <t>528000351</t>
        </is>
      </c>
      <c r="C90" t="inlineStr">
        <is>
          <t>Mulyana</t>
        </is>
      </c>
      <c r="D90" t="inlineStr">
        <is>
          <t>PROD</t>
        </is>
      </c>
      <c r="E90" t="inlineStr">
        <is>
          <t>Produksi Harian</t>
        </is>
      </c>
      <c r="F90" t="inlineStr">
        <is>
          <t>07:54:53</t>
        </is>
      </c>
      <c r="G90" t="inlineStr">
        <is>
          <t>16:00:46</t>
        </is>
      </c>
      <c r="H90" t="inlineStr">
        <is>
          <t>SELESAI</t>
        </is>
      </c>
      <c r="I90" t="inlineStr">
        <is>
          <t>MK00218</t>
        </is>
      </c>
      <c r="J90" t="inlineStr"/>
    </row>
    <row r="91">
      <c r="A91" t="inlineStr">
        <is>
          <t>08/04/2026</t>
        </is>
      </c>
      <c r="B91" t="inlineStr">
        <is>
          <t>528000359</t>
        </is>
      </c>
      <c r="C91" t="inlineStr">
        <is>
          <t>M. Iqbal Maulana. S</t>
        </is>
      </c>
      <c r="D91" t="inlineStr">
        <is>
          <t>LOG</t>
        </is>
      </c>
      <c r="E91" t="inlineStr">
        <is>
          <t>WRM Harian</t>
        </is>
      </c>
      <c r="F91" t="inlineStr">
        <is>
          <t>13:55:23</t>
        </is>
      </c>
      <c r="G91" t="inlineStr">
        <is>
          <t>22:04:57</t>
        </is>
      </c>
      <c r="H91" t="inlineStr">
        <is>
          <t>SELESAI</t>
        </is>
      </c>
      <c r="I91" t="inlineStr">
        <is>
          <t>MK00008</t>
        </is>
      </c>
      <c r="J91" t="inlineStr"/>
    </row>
    <row r="92">
      <c r="A92" t="inlineStr">
        <is>
          <t>08/04/2026</t>
        </is>
      </c>
      <c r="B92" t="inlineStr">
        <is>
          <t>628000064</t>
        </is>
      </c>
      <c r="C92" t="inlineStr">
        <is>
          <t>Silva Alypia</t>
        </is>
      </c>
      <c r="D92" t="inlineStr">
        <is>
          <t>PROD</t>
        </is>
      </c>
      <c r="E92" t="inlineStr">
        <is>
          <t>Produksi Borongan</t>
        </is>
      </c>
      <c r="F92" t="inlineStr">
        <is>
          <t>05:49:42</t>
        </is>
      </c>
      <c r="G92" t="inlineStr">
        <is>
          <t>14:05:42</t>
        </is>
      </c>
      <c r="H92" t="inlineStr">
        <is>
          <t>SELESAI</t>
        </is>
      </c>
      <c r="I92" t="inlineStr">
        <is>
          <t>MK00109</t>
        </is>
      </c>
      <c r="J92" t="inlineStr"/>
    </row>
    <row r="93">
      <c r="A93" t="inlineStr">
        <is>
          <t>29/04/2026</t>
        </is>
      </c>
      <c r="B93" t="inlineStr">
        <is>
          <t>528000015</t>
        </is>
      </c>
      <c r="C93" t="inlineStr">
        <is>
          <t>Erwin</t>
        </is>
      </c>
      <c r="D93" t="inlineStr">
        <is>
          <t>LOG</t>
        </is>
      </c>
      <c r="E93" t="inlineStr">
        <is>
          <t>WRM Harian</t>
        </is>
      </c>
      <c r="F93" t="inlineStr">
        <is>
          <t>21:57:36</t>
        </is>
      </c>
      <c r="G93" t="inlineStr"/>
      <c r="H93" t="inlineStr">
        <is>
          <t>DI DALAM</t>
        </is>
      </c>
      <c r="I93" t="inlineStr">
        <is>
          <t>MK00145</t>
        </is>
      </c>
      <c r="J93" t="inlineStr"/>
    </row>
    <row r="94">
      <c r="A94" t="inlineStr">
        <is>
          <t>29/04/2026</t>
        </is>
      </c>
      <c r="B94" t="inlineStr">
        <is>
          <t>528000052</t>
        </is>
      </c>
      <c r="C94" t="inlineStr">
        <is>
          <t>Mustopa</t>
        </is>
      </c>
      <c r="D94" t="inlineStr">
        <is>
          <t>PROD</t>
        </is>
      </c>
      <c r="E94" t="inlineStr">
        <is>
          <t>Produksi Harian</t>
        </is>
      </c>
      <c r="F94" t="inlineStr">
        <is>
          <t>21:12:14</t>
        </is>
      </c>
      <c r="G94" t="inlineStr">
        <is>
          <t>06:04:29</t>
        </is>
      </c>
      <c r="H94" t="inlineStr">
        <is>
          <t>SELESAI</t>
        </is>
      </c>
      <c r="I94" t="inlineStr">
        <is>
          <t>MK00154</t>
        </is>
      </c>
      <c r="J94" t="inlineStr"/>
    </row>
    <row r="95">
      <c r="A95" t="inlineStr">
        <is>
          <t>29/04/2026</t>
        </is>
      </c>
      <c r="B95" t="inlineStr">
        <is>
          <t>528000195</t>
        </is>
      </c>
      <c r="C95" t="inlineStr">
        <is>
          <t>Rahma Sariwati</t>
        </is>
      </c>
      <c r="D95" t="inlineStr">
        <is>
          <t>PROD</t>
        </is>
      </c>
      <c r="E95" t="inlineStr">
        <is>
          <t>Produksi Harian</t>
        </is>
      </c>
      <c r="F95" t="inlineStr">
        <is>
          <t>21:43:39</t>
        </is>
      </c>
      <c r="G95" t="inlineStr"/>
      <c r="H95" t="inlineStr">
        <is>
          <t>DI DALAM</t>
        </is>
      </c>
      <c r="I95" t="inlineStr">
        <is>
          <t>MK00156</t>
        </is>
      </c>
      <c r="J95" t="inlineStr"/>
    </row>
    <row r="96">
      <c r="A96" t="inlineStr">
        <is>
          <t>29/04/2026</t>
        </is>
      </c>
      <c r="B96" t="inlineStr">
        <is>
          <t>528000201</t>
        </is>
      </c>
      <c r="C96" t="inlineStr">
        <is>
          <t>Zahwa Amelia Choerunissa</t>
        </is>
      </c>
      <c r="D96" t="inlineStr">
        <is>
          <t>PROD</t>
        </is>
      </c>
      <c r="E96" t="inlineStr">
        <is>
          <t>Produksi Harian</t>
        </is>
      </c>
      <c r="F96" t="inlineStr"/>
      <c r="G96" t="inlineStr">
        <is>
          <t>05:49:11</t>
        </is>
      </c>
      <c r="H96" t="inlineStr">
        <is>
          <t>KELUAR TANPA MASUK</t>
        </is>
      </c>
      <c r="I96" t="inlineStr">
        <is>
          <t>MK00156</t>
        </is>
      </c>
      <c r="J96" t="inlineStr"/>
    </row>
    <row r="97">
      <c r="A97" t="inlineStr">
        <is>
          <t>29/04/2026</t>
        </is>
      </c>
      <c r="B97" t="inlineStr">
        <is>
          <t>528000261</t>
        </is>
      </c>
      <c r="C97" t="inlineStr">
        <is>
          <t>Ergi Ergianto</t>
        </is>
      </c>
      <c r="D97" t="inlineStr">
        <is>
          <t>HRGA</t>
        </is>
      </c>
      <c r="E97" t="inlineStr">
        <is>
          <t>GA Harian</t>
        </is>
      </c>
      <c r="F97" t="inlineStr">
        <is>
          <t>21:52:43</t>
        </is>
      </c>
      <c r="G97" t="inlineStr">
        <is>
          <t>06:03:53</t>
        </is>
      </c>
      <c r="H97" t="inlineStr">
        <is>
          <t>SELESAI</t>
        </is>
      </c>
      <c r="I97" t="inlineStr">
        <is>
          <t>MK00158</t>
        </is>
      </c>
      <c r="J97" t="inlineStr"/>
    </row>
    <row r="98">
      <c r="A98" t="inlineStr">
        <is>
          <t>29/04/2026</t>
        </is>
      </c>
      <c r="B98" t="inlineStr">
        <is>
          <t>528000262</t>
        </is>
      </c>
      <c r="C98" t="inlineStr">
        <is>
          <t>Ndari Dwiwanti</t>
        </is>
      </c>
      <c r="D98" t="inlineStr">
        <is>
          <t>PROD</t>
        </is>
      </c>
      <c r="E98" t="inlineStr">
        <is>
          <t>Produksi Harian</t>
        </is>
      </c>
      <c r="F98" t="inlineStr">
        <is>
          <t>21:36:09</t>
        </is>
      </c>
      <c r="G98" t="inlineStr">
        <is>
          <t>06:09:14</t>
        </is>
      </c>
      <c r="H98" t="inlineStr">
        <is>
          <t>SELESAI</t>
        </is>
      </c>
      <c r="I98" t="inlineStr">
        <is>
          <t>MK00109</t>
        </is>
      </c>
      <c r="J98" t="inlineStr"/>
    </row>
    <row r="99">
      <c r="A99" t="inlineStr">
        <is>
          <t>29/04/2026</t>
        </is>
      </c>
      <c r="B99" t="inlineStr">
        <is>
          <t>528000266</t>
        </is>
      </c>
      <c r="C99" t="inlineStr">
        <is>
          <t>M. Syirajatieq</t>
        </is>
      </c>
      <c r="D99" t="inlineStr">
        <is>
          <t>LOG</t>
        </is>
      </c>
      <c r="E99" t="inlineStr">
        <is>
          <t>WFG Harian</t>
        </is>
      </c>
      <c r="F99" t="inlineStr">
        <is>
          <t>21:36:47</t>
        </is>
      </c>
      <c r="G99" t="inlineStr">
        <is>
          <t>06:02:23</t>
        </is>
      </c>
      <c r="H99" t="inlineStr">
        <is>
          <t>SELESAI</t>
        </is>
      </c>
      <c r="I99" t="inlineStr">
        <is>
          <t>MK00126</t>
        </is>
      </c>
      <c r="J99" t="inlineStr"/>
    </row>
    <row r="100">
      <c r="A100" t="inlineStr">
        <is>
          <t>29/04/2026</t>
        </is>
      </c>
      <c r="B100" t="inlineStr">
        <is>
          <t>528000283</t>
        </is>
      </c>
      <c r="C100" t="inlineStr">
        <is>
          <t>Purwanda Sugiri</t>
        </is>
      </c>
      <c r="D100" t="inlineStr">
        <is>
          <t>LOG</t>
        </is>
      </c>
      <c r="E100" t="inlineStr">
        <is>
          <t>WRM Harian</t>
        </is>
      </c>
      <c r="F100" t="inlineStr">
        <is>
          <t>21:54:42</t>
        </is>
      </c>
      <c r="G100" t="inlineStr">
        <is>
          <t>06:05:09</t>
        </is>
      </c>
      <c r="H100" t="inlineStr">
        <is>
          <t>SELESAI</t>
        </is>
      </c>
      <c r="I100" t="inlineStr">
        <is>
          <t>MK00150</t>
        </is>
      </c>
      <c r="J100" t="inlineStr"/>
    </row>
    <row r="101">
      <c r="A101" t="inlineStr">
        <is>
          <t>29/04/2026</t>
        </is>
      </c>
      <c r="B101" t="inlineStr">
        <is>
          <t>528000291</t>
        </is>
      </c>
      <c r="C101" t="inlineStr">
        <is>
          <t>Andrian</t>
        </is>
      </c>
      <c r="D101" t="inlineStr">
        <is>
          <t>PROD</t>
        </is>
      </c>
      <c r="E101" t="inlineStr">
        <is>
          <t>Produksi Harian</t>
        </is>
      </c>
      <c r="F101" t="inlineStr">
        <is>
          <t>21:51:02</t>
        </is>
      </c>
      <c r="G101" t="inlineStr">
        <is>
          <t>06:06:35</t>
        </is>
      </c>
      <c r="H101" t="inlineStr">
        <is>
          <t>SELESAI</t>
        </is>
      </c>
      <c r="I101" t="inlineStr">
        <is>
          <t>MK00082</t>
        </is>
      </c>
      <c r="J101" t="inlineStr"/>
    </row>
    <row r="102">
      <c r="A102" t="inlineStr">
        <is>
          <t>29/04/2026</t>
        </is>
      </c>
      <c r="B102" t="inlineStr">
        <is>
          <t>528000298</t>
        </is>
      </c>
      <c r="C102" t="inlineStr">
        <is>
          <t>Desta Cahaya Pratama</t>
        </is>
      </c>
      <c r="D102" t="inlineStr">
        <is>
          <t>PROD</t>
        </is>
      </c>
      <c r="E102" t="inlineStr">
        <is>
          <t>Produksi Harian</t>
        </is>
      </c>
      <c r="F102" t="inlineStr">
        <is>
          <t>04:38:47</t>
        </is>
      </c>
      <c r="G102" t="inlineStr">
        <is>
          <t>05:50:33</t>
        </is>
      </c>
      <c r="H102" t="inlineStr">
        <is>
          <t>SELESAI</t>
        </is>
      </c>
      <c r="I102" t="inlineStr">
        <is>
          <t>MK00109</t>
        </is>
      </c>
      <c r="J102" t="inlineStr">
        <is>
          <t>9-B</t>
        </is>
      </c>
    </row>
    <row r="103">
      <c r="A103" t="inlineStr">
        <is>
          <t>29/04/2026</t>
        </is>
      </c>
      <c r="B103" t="inlineStr">
        <is>
          <t>528000301</t>
        </is>
      </c>
      <c r="C103" t="inlineStr">
        <is>
          <t>Muhammad Mukti Ridwan</t>
        </is>
      </c>
      <c r="D103" t="inlineStr">
        <is>
          <t>PROD</t>
        </is>
      </c>
      <c r="E103" t="inlineStr">
        <is>
          <t>Produksi Harian</t>
        </is>
      </c>
      <c r="F103" t="inlineStr">
        <is>
          <t>21:55:08</t>
        </is>
      </c>
      <c r="G103" t="inlineStr"/>
      <c r="H103" t="inlineStr">
        <is>
          <t>DI DALAM</t>
        </is>
      </c>
      <c r="I103" t="inlineStr">
        <is>
          <t>MK00056</t>
        </is>
      </c>
      <c r="J103" t="inlineStr"/>
    </row>
    <row r="104">
      <c r="A104" t="inlineStr">
        <is>
          <t>29/04/2026</t>
        </is>
      </c>
      <c r="B104" t="inlineStr">
        <is>
          <t>528000306</t>
        </is>
      </c>
      <c r="C104" t="inlineStr">
        <is>
          <t>Windy Olivia</t>
        </is>
      </c>
      <c r="D104" t="inlineStr">
        <is>
          <t>PROD</t>
        </is>
      </c>
      <c r="E104" t="inlineStr">
        <is>
          <t>Produksi Harian</t>
        </is>
      </c>
      <c r="F104" t="inlineStr">
        <is>
          <t>21:36:14</t>
        </is>
      </c>
      <c r="G104" t="inlineStr">
        <is>
          <t>06:09:10</t>
        </is>
      </c>
      <c r="H104" t="inlineStr">
        <is>
          <t>SELESAI</t>
        </is>
      </c>
      <c r="I104" t="inlineStr">
        <is>
          <t>MK00250</t>
        </is>
      </c>
      <c r="J104" t="inlineStr"/>
    </row>
    <row r="105">
      <c r="A105" t="inlineStr">
        <is>
          <t>29/04/2026</t>
        </is>
      </c>
      <c r="B105" t="inlineStr">
        <is>
          <t>628000061</t>
        </is>
      </c>
      <c r="C105" t="inlineStr">
        <is>
          <t>Nayla Fadillah Exwantoro</t>
        </is>
      </c>
      <c r="D105" t="inlineStr">
        <is>
          <t>PROD</t>
        </is>
      </c>
      <c r="E105" t="inlineStr">
        <is>
          <t>Produksi Borongan</t>
        </is>
      </c>
      <c r="F105" t="inlineStr"/>
      <c r="G105" t="inlineStr">
        <is>
          <t>05:35:21</t>
        </is>
      </c>
      <c r="H105" t="inlineStr">
        <is>
          <t>KELUAR TANPA MASUK</t>
        </is>
      </c>
      <c r="I105" t="inlineStr">
        <is>
          <t>MK00082</t>
        </is>
      </c>
      <c r="J105" t="inlineStr"/>
    </row>
    <row r="106">
      <c r="A106" t="inlineStr">
        <is>
          <t>30/04/2026</t>
        </is>
      </c>
      <c r="B106" t="inlineStr">
        <is>
          <t>528000015</t>
        </is>
      </c>
      <c r="C106" t="inlineStr">
        <is>
          <t>Erwin</t>
        </is>
      </c>
      <c r="D106" t="inlineStr">
        <is>
          <t>LOG</t>
        </is>
      </c>
      <c r="E106" t="inlineStr">
        <is>
          <t>WRM Harian</t>
        </is>
      </c>
      <c r="F106" t="inlineStr">
        <is>
          <t>21:56:03</t>
        </is>
      </c>
      <c r="G106" t="inlineStr">
        <is>
          <t>06:06:15</t>
        </is>
      </c>
      <c r="H106" t="inlineStr">
        <is>
          <t>SELESAI</t>
        </is>
      </c>
      <c r="I106" t="inlineStr">
        <is>
          <t>MK00118</t>
        </is>
      </c>
      <c r="J106" t="inlineStr"/>
    </row>
    <row r="107">
      <c r="A107" t="inlineStr">
        <is>
          <t>30/04/2026</t>
        </is>
      </c>
      <c r="B107" t="inlineStr">
        <is>
          <t>528000052</t>
        </is>
      </c>
      <c r="C107" t="inlineStr">
        <is>
          <t>Mustopa</t>
        </is>
      </c>
      <c r="D107" t="inlineStr">
        <is>
          <t>PROD</t>
        </is>
      </c>
      <c r="E107" t="inlineStr">
        <is>
          <t>Produksi Harian</t>
        </is>
      </c>
      <c r="F107" t="inlineStr"/>
      <c r="G107" t="inlineStr">
        <is>
          <t>06:04:13</t>
        </is>
      </c>
      <c r="H107" t="inlineStr">
        <is>
          <t>KELUAR TANPA MASUK</t>
        </is>
      </c>
      <c r="I107" t="inlineStr">
        <is>
          <t>MK00154</t>
        </is>
      </c>
      <c r="J107" t="inlineStr">
        <is>
          <t>A 10</t>
        </is>
      </c>
    </row>
    <row r="108">
      <c r="A108" t="inlineStr">
        <is>
          <t>30/04/2026</t>
        </is>
      </c>
      <c r="B108" t="inlineStr">
        <is>
          <t>528000069</t>
        </is>
      </c>
      <c r="C108" t="inlineStr">
        <is>
          <t>Jajang Ardiansyah</t>
        </is>
      </c>
      <c r="D108" t="inlineStr">
        <is>
          <t>PROD</t>
        </is>
      </c>
      <c r="E108" t="inlineStr">
        <is>
          <t>Produksi Harian</t>
        </is>
      </c>
      <c r="F108" t="inlineStr">
        <is>
          <t>08:03:07</t>
        </is>
      </c>
      <c r="G108" t="inlineStr">
        <is>
          <t>19:33:42</t>
        </is>
      </c>
      <c r="H108" t="inlineStr">
        <is>
          <t>SELESAI</t>
        </is>
      </c>
      <c r="I108" t="inlineStr">
        <is>
          <t>MK00126</t>
        </is>
      </c>
      <c r="J108" t="inlineStr"/>
    </row>
    <row r="109">
      <c r="A109" t="inlineStr">
        <is>
          <t>30/04/2026</t>
        </is>
      </c>
      <c r="B109" t="inlineStr">
        <is>
          <t>528000098</t>
        </is>
      </c>
      <c r="C109" t="inlineStr">
        <is>
          <t>Edi Junaedi</t>
        </is>
      </c>
      <c r="D109" t="inlineStr">
        <is>
          <t>PROD</t>
        </is>
      </c>
      <c r="E109" t="inlineStr">
        <is>
          <t>Produksi Harian</t>
        </is>
      </c>
      <c r="F109" t="inlineStr">
        <is>
          <t>05:33:54</t>
        </is>
      </c>
      <c r="G109" t="inlineStr">
        <is>
          <t>14:05:44</t>
        </is>
      </c>
      <c r="H109" t="inlineStr">
        <is>
          <t>SELESAI</t>
        </is>
      </c>
      <c r="I109" t="inlineStr">
        <is>
          <t>MK00250</t>
        </is>
      </c>
      <c r="J109" t="inlineStr"/>
    </row>
    <row r="110">
      <c r="A110" t="inlineStr">
        <is>
          <t>30/04/2026</t>
        </is>
      </c>
      <c r="B110" t="inlineStr">
        <is>
          <t>528000099</t>
        </is>
      </c>
      <c r="C110" t="inlineStr">
        <is>
          <t>Siti Nurawaliah</t>
        </is>
      </c>
      <c r="D110" t="inlineStr">
        <is>
          <t>PROD</t>
        </is>
      </c>
      <c r="E110" t="inlineStr">
        <is>
          <t>Produksi Harian</t>
        </is>
      </c>
      <c r="F110" t="inlineStr"/>
      <c r="G110" t="inlineStr">
        <is>
          <t>05:39:00</t>
        </is>
      </c>
      <c r="H110" t="inlineStr">
        <is>
          <t>KELUAR TANPA MASUK</t>
        </is>
      </c>
      <c r="I110" t="inlineStr">
        <is>
          <t>MK00184</t>
        </is>
      </c>
      <c r="J110" t="inlineStr"/>
    </row>
    <row r="111">
      <c r="A111" t="inlineStr">
        <is>
          <t>30/04/2026</t>
        </is>
      </c>
      <c r="B111" t="inlineStr">
        <is>
          <t>528000195</t>
        </is>
      </c>
      <c r="C111" t="inlineStr">
        <is>
          <t>Rahma Sariwati</t>
        </is>
      </c>
      <c r="D111" t="inlineStr">
        <is>
          <t>PROD</t>
        </is>
      </c>
      <c r="E111" t="inlineStr">
        <is>
          <t>Produksi Harian</t>
        </is>
      </c>
      <c r="F111" t="inlineStr"/>
      <c r="G111" t="inlineStr">
        <is>
          <t>06:06:00</t>
        </is>
      </c>
      <c r="H111" t="inlineStr">
        <is>
          <t>KELUAR TANPA MASUK</t>
        </is>
      </c>
      <c r="I111" t="inlineStr">
        <is>
          <t>MK00156</t>
        </is>
      </c>
      <c r="J111" t="inlineStr"/>
    </row>
    <row r="112">
      <c r="A112" t="inlineStr">
        <is>
          <t>30/04/2026</t>
        </is>
      </c>
      <c r="B112" t="inlineStr">
        <is>
          <t>528000210</t>
        </is>
      </c>
      <c r="C112" t="inlineStr">
        <is>
          <t>Muhamad Aldi Agustiana</t>
        </is>
      </c>
      <c r="D112" t="inlineStr">
        <is>
          <t>PROD</t>
        </is>
      </c>
      <c r="E112" t="inlineStr">
        <is>
          <t>Produksi Harian</t>
        </is>
      </c>
      <c r="F112" t="inlineStr">
        <is>
          <t>13:52:06</t>
        </is>
      </c>
      <c r="G112" t="inlineStr">
        <is>
          <t>22:07:04</t>
        </is>
      </c>
      <c r="H112" t="inlineStr">
        <is>
          <t>SELESAI</t>
        </is>
      </c>
      <c r="I112" t="inlineStr">
        <is>
          <t>MK00113</t>
        </is>
      </c>
      <c r="J112" t="inlineStr"/>
    </row>
    <row r="113">
      <c r="A113" t="inlineStr">
        <is>
          <t>30/04/2026</t>
        </is>
      </c>
      <c r="B113" t="inlineStr">
        <is>
          <t>528000251</t>
        </is>
      </c>
      <c r="C113" t="inlineStr">
        <is>
          <t>Salya Nugraha</t>
        </is>
      </c>
      <c r="D113" t="inlineStr">
        <is>
          <t>PROD</t>
        </is>
      </c>
      <c r="E113" t="inlineStr">
        <is>
          <t>Produksi Harian</t>
        </is>
      </c>
      <c r="F113" t="inlineStr">
        <is>
          <t>05:45:39</t>
        </is>
      </c>
      <c r="G113" t="inlineStr"/>
      <c r="H113" t="inlineStr">
        <is>
          <t>DI DALAM</t>
        </is>
      </c>
      <c r="I113" t="inlineStr">
        <is>
          <t>7200181</t>
        </is>
      </c>
      <c r="J113" t="inlineStr"/>
    </row>
    <row r="114">
      <c r="A114" t="inlineStr">
        <is>
          <t>30/04/2026</t>
        </is>
      </c>
      <c r="B114" t="inlineStr">
        <is>
          <t>528000261</t>
        </is>
      </c>
      <c r="C114" t="inlineStr">
        <is>
          <t>Ergi Ergianto</t>
        </is>
      </c>
      <c r="D114" t="inlineStr">
        <is>
          <t>HRGA</t>
        </is>
      </c>
      <c r="E114" t="inlineStr">
        <is>
          <t>GA Harian</t>
        </is>
      </c>
      <c r="F114" t="inlineStr">
        <is>
          <t>21:47:55</t>
        </is>
      </c>
      <c r="G114" t="inlineStr">
        <is>
          <t>06:03:32</t>
        </is>
      </c>
      <c r="H114" t="inlineStr">
        <is>
          <t>SELESAI</t>
        </is>
      </c>
      <c r="I114" t="inlineStr">
        <is>
          <t>MK00199</t>
        </is>
      </c>
      <c r="J114" t="inlineStr"/>
    </row>
    <row r="115">
      <c r="A115" t="inlineStr">
        <is>
          <t>30/04/2026</t>
        </is>
      </c>
      <c r="B115" t="inlineStr">
        <is>
          <t>528000262</t>
        </is>
      </c>
      <c r="C115" t="inlineStr">
        <is>
          <t>Ndari Dwiwanti</t>
        </is>
      </c>
      <c r="D115" t="inlineStr">
        <is>
          <t>PROD</t>
        </is>
      </c>
      <c r="E115" t="inlineStr">
        <is>
          <t>Produksi Harian</t>
        </is>
      </c>
      <c r="F115" t="inlineStr"/>
      <c r="G115" t="inlineStr">
        <is>
          <t>06:04:10</t>
        </is>
      </c>
      <c r="H115" t="inlineStr">
        <is>
          <t>KELUAR TANPA MASUK</t>
        </is>
      </c>
      <c r="I115" t="inlineStr">
        <is>
          <t>MK00109</t>
        </is>
      </c>
      <c r="J115" t="inlineStr"/>
    </row>
    <row r="116">
      <c r="A116" t="inlineStr">
        <is>
          <t>30/04/2026</t>
        </is>
      </c>
      <c r="B116" t="inlineStr">
        <is>
          <t>528000265</t>
        </is>
      </c>
      <c r="C116" t="inlineStr">
        <is>
          <t>Muhammad Haerul Rozikin</t>
        </is>
      </c>
      <c r="D116" t="inlineStr">
        <is>
          <t>LOG</t>
        </is>
      </c>
      <c r="E116" t="inlineStr">
        <is>
          <t>WRM Harian</t>
        </is>
      </c>
      <c r="F116" t="inlineStr">
        <is>
          <t>07:41:40</t>
        </is>
      </c>
      <c r="G116" t="inlineStr">
        <is>
          <t>16:05:15</t>
        </is>
      </c>
      <c r="H116" t="inlineStr">
        <is>
          <t>SELESAI</t>
        </is>
      </c>
      <c r="I116" t="inlineStr">
        <is>
          <t>MK00154</t>
        </is>
      </c>
      <c r="J116" t="inlineStr"/>
    </row>
    <row r="117">
      <c r="A117" t="inlineStr">
        <is>
          <t>30/04/2026</t>
        </is>
      </c>
      <c r="B117" t="inlineStr">
        <is>
          <t>528000266</t>
        </is>
      </c>
      <c r="C117" t="inlineStr">
        <is>
          <t>M. Syirajatieq</t>
        </is>
      </c>
      <c r="D117" t="inlineStr">
        <is>
          <t>LOG</t>
        </is>
      </c>
      <c r="E117" t="inlineStr">
        <is>
          <t>WFG Harian</t>
        </is>
      </c>
      <c r="F117" t="inlineStr"/>
      <c r="G117" t="inlineStr">
        <is>
          <t>06:04:42</t>
        </is>
      </c>
      <c r="H117" t="inlineStr">
        <is>
          <t>KELUAR TANPA MASUK</t>
        </is>
      </c>
      <c r="I117" t="inlineStr">
        <is>
          <t>MK00126</t>
        </is>
      </c>
      <c r="J117" t="inlineStr"/>
    </row>
    <row r="118">
      <c r="A118" t="inlineStr">
        <is>
          <t>30/04/2026</t>
        </is>
      </c>
      <c r="B118" t="inlineStr">
        <is>
          <t>528000270</t>
        </is>
      </c>
      <c r="C118" t="inlineStr">
        <is>
          <t>Febri Najmudin</t>
        </is>
      </c>
      <c r="D118" t="inlineStr">
        <is>
          <t>LOG</t>
        </is>
      </c>
      <c r="E118" t="inlineStr">
        <is>
          <t>WRM Harian</t>
        </is>
      </c>
      <c r="F118" t="inlineStr">
        <is>
          <t>05:50:13</t>
        </is>
      </c>
      <c r="G118" t="inlineStr">
        <is>
          <t>14:06:19</t>
        </is>
      </c>
      <c r="H118" t="inlineStr">
        <is>
          <t>SELESAI</t>
        </is>
      </c>
      <c r="I118" t="inlineStr">
        <is>
          <t>MK00156</t>
        </is>
      </c>
      <c r="J118" t="inlineStr"/>
    </row>
    <row r="119">
      <c r="A119" t="inlineStr">
        <is>
          <t>30/04/2026</t>
        </is>
      </c>
      <c r="B119" t="inlineStr">
        <is>
          <t>528000279</t>
        </is>
      </c>
      <c r="C119" t="inlineStr">
        <is>
          <t>Mahdalena Dalfa Riani</t>
        </is>
      </c>
      <c r="D119" t="inlineStr">
        <is>
          <t>PROD</t>
        </is>
      </c>
      <c r="E119" t="inlineStr">
        <is>
          <t>Produksi Harian</t>
        </is>
      </c>
      <c r="F119" t="inlineStr">
        <is>
          <t>13:45:59</t>
        </is>
      </c>
      <c r="G119" t="inlineStr"/>
      <c r="H119" t="inlineStr">
        <is>
          <t>DI DALAM</t>
        </is>
      </c>
      <c r="I119" t="inlineStr">
        <is>
          <t>MK00151</t>
        </is>
      </c>
      <c r="J119" t="inlineStr"/>
    </row>
    <row r="120">
      <c r="A120" t="inlineStr">
        <is>
          <t>30/04/2026</t>
        </is>
      </c>
      <c r="B120" t="inlineStr">
        <is>
          <t>528000283</t>
        </is>
      </c>
      <c r="C120" t="inlineStr">
        <is>
          <t>Purwanda Sugiri</t>
        </is>
      </c>
      <c r="D120" t="inlineStr">
        <is>
          <t>LOG</t>
        </is>
      </c>
      <c r="E120" t="inlineStr">
        <is>
          <t>WRM Harian</t>
        </is>
      </c>
      <c r="F120" t="inlineStr">
        <is>
          <t>21:50:55</t>
        </is>
      </c>
      <c r="G120" t="inlineStr">
        <is>
          <t>06:04:37</t>
        </is>
      </c>
      <c r="H120" t="inlineStr">
        <is>
          <t>SELESAI</t>
        </is>
      </c>
      <c r="I120" t="inlineStr">
        <is>
          <t>MK00192</t>
        </is>
      </c>
      <c r="J120" t="inlineStr"/>
    </row>
    <row r="121">
      <c r="A121" t="inlineStr">
        <is>
          <t>30/04/2026</t>
        </is>
      </c>
      <c r="B121" t="inlineStr">
        <is>
          <t>528000291</t>
        </is>
      </c>
      <c r="C121" t="inlineStr">
        <is>
          <t>Andrian</t>
        </is>
      </c>
      <c r="D121" t="inlineStr">
        <is>
          <t>PROD</t>
        </is>
      </c>
      <c r="E121" t="inlineStr">
        <is>
          <t>Produksi Harian</t>
        </is>
      </c>
      <c r="F121" t="inlineStr">
        <is>
          <t>21:52:07</t>
        </is>
      </c>
      <c r="G121" t="inlineStr">
        <is>
          <t>06:05:41</t>
        </is>
      </c>
      <c r="H121" t="inlineStr">
        <is>
          <t>SELESAI</t>
        </is>
      </c>
      <c r="I121" t="inlineStr">
        <is>
          <t>MK00093</t>
        </is>
      </c>
      <c r="J121" t="inlineStr"/>
    </row>
    <row r="122">
      <c r="A122" t="inlineStr">
        <is>
          <t>30/04/2026</t>
        </is>
      </c>
      <c r="B122" t="inlineStr">
        <is>
          <t>528000292</t>
        </is>
      </c>
      <c r="C122" t="inlineStr">
        <is>
          <t>Aditia Nugraha</t>
        </is>
      </c>
      <c r="D122" t="inlineStr">
        <is>
          <t>PROD</t>
        </is>
      </c>
      <c r="E122" t="inlineStr">
        <is>
          <t>Produksi Harian</t>
        </is>
      </c>
      <c r="F122" t="inlineStr">
        <is>
          <t>13:53:52</t>
        </is>
      </c>
      <c r="G122" t="inlineStr">
        <is>
          <t>22:06:45</t>
        </is>
      </c>
      <c r="H122" t="inlineStr">
        <is>
          <t>SELESAI</t>
        </is>
      </c>
      <c r="I122" t="inlineStr">
        <is>
          <t>MK00093</t>
        </is>
      </c>
      <c r="J122" t="inlineStr"/>
    </row>
    <row r="123">
      <c r="A123" t="inlineStr">
        <is>
          <t>30/04/2026</t>
        </is>
      </c>
      <c r="B123" t="inlineStr">
        <is>
          <t>528000296</t>
        </is>
      </c>
      <c r="C123" t="inlineStr">
        <is>
          <t>Nurdin</t>
        </is>
      </c>
      <c r="D123" t="inlineStr">
        <is>
          <t>PROD</t>
        </is>
      </c>
      <c r="E123" t="inlineStr">
        <is>
          <t>Produksi Harian</t>
        </is>
      </c>
      <c r="F123" t="inlineStr">
        <is>
          <t>08:03:00</t>
        </is>
      </c>
      <c r="G123" t="inlineStr"/>
      <c r="H123" t="inlineStr">
        <is>
          <t>DI DALAM</t>
        </is>
      </c>
      <c r="I123" t="inlineStr">
        <is>
          <t>MK00138</t>
        </is>
      </c>
      <c r="J123" t="inlineStr"/>
    </row>
    <row r="124">
      <c r="A124" t="inlineStr">
        <is>
          <t>30/04/2026</t>
        </is>
      </c>
      <c r="B124" t="inlineStr">
        <is>
          <t>528000297</t>
        </is>
      </c>
      <c r="C124" t="inlineStr">
        <is>
          <t>Muhamad Budiana</t>
        </is>
      </c>
      <c r="D124" t="inlineStr">
        <is>
          <t>PROD</t>
        </is>
      </c>
      <c r="E124" t="inlineStr">
        <is>
          <t>Produksi Harian</t>
        </is>
      </c>
      <c r="F124" t="inlineStr">
        <is>
          <t>13:49:25</t>
        </is>
      </c>
      <c r="G124" t="inlineStr">
        <is>
          <t>22:06:37</t>
        </is>
      </c>
      <c r="H124" t="inlineStr">
        <is>
          <t>SELESAI</t>
        </is>
      </c>
      <c r="I124" t="inlineStr">
        <is>
          <t>MK00116</t>
        </is>
      </c>
      <c r="J124" t="inlineStr"/>
    </row>
    <row r="125">
      <c r="A125" t="inlineStr">
        <is>
          <t>30/04/2026</t>
        </is>
      </c>
      <c r="B125" t="inlineStr">
        <is>
          <t>528000298</t>
        </is>
      </c>
      <c r="C125" t="inlineStr">
        <is>
          <t>Desta Cahaya Pratama</t>
        </is>
      </c>
      <c r="D125" t="inlineStr">
        <is>
          <t>PROD</t>
        </is>
      </c>
      <c r="E125" t="inlineStr">
        <is>
          <t>Produksi Harian</t>
        </is>
      </c>
      <c r="F125" t="inlineStr">
        <is>
          <t>05:50:50</t>
        </is>
      </c>
      <c r="G125" t="inlineStr">
        <is>
          <t>14:06:21</t>
        </is>
      </c>
      <c r="H125" t="inlineStr">
        <is>
          <t>SELESAI</t>
        </is>
      </c>
      <c r="I125" t="inlineStr">
        <is>
          <t>MK00109</t>
        </is>
      </c>
      <c r="J125" t="inlineStr"/>
    </row>
    <row r="126">
      <c r="A126" t="inlineStr">
        <is>
          <t>30/04/2026</t>
        </is>
      </c>
      <c r="B126" t="inlineStr">
        <is>
          <t>528000299</t>
        </is>
      </c>
      <c r="C126" t="inlineStr">
        <is>
          <t>Siti Nurjanah</t>
        </is>
      </c>
      <c r="D126" t="inlineStr">
        <is>
          <t>PROD</t>
        </is>
      </c>
      <c r="E126" t="inlineStr">
        <is>
          <t>Produksi Harian</t>
        </is>
      </c>
      <c r="F126" t="inlineStr">
        <is>
          <t>05:40:51</t>
        </is>
      </c>
      <c r="G126" t="inlineStr">
        <is>
          <t>14:06:31</t>
        </is>
      </c>
      <c r="H126" t="inlineStr">
        <is>
          <t>SELESAI</t>
        </is>
      </c>
      <c r="I126" t="inlineStr">
        <is>
          <t>MK00141</t>
        </is>
      </c>
      <c r="J126" t="inlineStr"/>
    </row>
    <row r="127">
      <c r="A127" t="inlineStr">
        <is>
          <t>30/04/2026</t>
        </is>
      </c>
      <c r="B127" t="inlineStr">
        <is>
          <t>528000300</t>
        </is>
      </c>
      <c r="C127" t="inlineStr">
        <is>
          <t>Lia pitaloka</t>
        </is>
      </c>
      <c r="D127" t="inlineStr">
        <is>
          <t>PROD</t>
        </is>
      </c>
      <c r="E127" t="inlineStr">
        <is>
          <t>Produksi Harian</t>
        </is>
      </c>
      <c r="F127" t="inlineStr">
        <is>
          <t>13:51:30</t>
        </is>
      </c>
      <c r="G127" t="inlineStr">
        <is>
          <t>22:08:15</t>
        </is>
      </c>
      <c r="H127" t="inlineStr">
        <is>
          <t>SELESAI</t>
        </is>
      </c>
      <c r="I127" t="inlineStr">
        <is>
          <t>MK00148</t>
        </is>
      </c>
      <c r="J127" t="inlineStr"/>
    </row>
    <row r="128">
      <c r="A128" t="inlineStr">
        <is>
          <t>30/04/2026</t>
        </is>
      </c>
      <c r="B128" t="inlineStr">
        <is>
          <t>528000301</t>
        </is>
      </c>
      <c r="C128" t="inlineStr">
        <is>
          <t>Muhammad Mukti Ridwan</t>
        </is>
      </c>
      <c r="D128" t="inlineStr">
        <is>
          <t>PROD</t>
        </is>
      </c>
      <c r="E128" t="inlineStr">
        <is>
          <t>Produksi Harian</t>
        </is>
      </c>
      <c r="F128" t="inlineStr">
        <is>
          <t>21:49:55</t>
        </is>
      </c>
      <c r="G128" t="inlineStr">
        <is>
          <t>06:10:41</t>
        </is>
      </c>
      <c r="H128" t="inlineStr">
        <is>
          <t>SELESAI</t>
        </is>
      </c>
      <c r="I128" t="inlineStr">
        <is>
          <t>MK00205</t>
        </is>
      </c>
      <c r="J128" t="inlineStr"/>
    </row>
    <row r="129">
      <c r="A129" t="inlineStr">
        <is>
          <t>30/04/2026</t>
        </is>
      </c>
      <c r="B129" t="inlineStr">
        <is>
          <t>528000302</t>
        </is>
      </c>
      <c r="C129" t="inlineStr">
        <is>
          <t>Henkey gumilar</t>
        </is>
      </c>
      <c r="D129" t="inlineStr">
        <is>
          <t>PROD</t>
        </is>
      </c>
      <c r="E129" t="inlineStr">
        <is>
          <t>Produksi Harian</t>
        </is>
      </c>
      <c r="F129" t="inlineStr">
        <is>
          <t>05:49:40</t>
        </is>
      </c>
      <c r="G129" t="inlineStr">
        <is>
          <t>14:10:50</t>
        </is>
      </c>
      <c r="H129" t="inlineStr">
        <is>
          <t>SELESAI</t>
        </is>
      </c>
      <c r="I129" t="inlineStr">
        <is>
          <t>MK00145</t>
        </is>
      </c>
      <c r="J129" t="inlineStr"/>
    </row>
    <row r="130">
      <c r="A130" t="inlineStr">
        <is>
          <t>30/04/2026</t>
        </is>
      </c>
      <c r="B130" t="inlineStr">
        <is>
          <t>528000305</t>
        </is>
      </c>
      <c r="C130" t="inlineStr">
        <is>
          <t>Puji Puspita</t>
        </is>
      </c>
      <c r="D130" t="inlineStr">
        <is>
          <t>PROD</t>
        </is>
      </c>
      <c r="E130" t="inlineStr">
        <is>
          <t>Produksi Harian</t>
        </is>
      </c>
      <c r="F130" t="inlineStr">
        <is>
          <t>05:43:36</t>
        </is>
      </c>
      <c r="G130" t="inlineStr">
        <is>
          <t>14:08:05</t>
        </is>
      </c>
      <c r="H130" t="inlineStr">
        <is>
          <t>SELESAI</t>
        </is>
      </c>
      <c r="I130" t="inlineStr">
        <is>
          <t>MK00150</t>
        </is>
      </c>
      <c r="J130" t="inlineStr"/>
    </row>
    <row r="131">
      <c r="A131" t="inlineStr">
        <is>
          <t>30/04/2026</t>
        </is>
      </c>
      <c r="B131" t="inlineStr">
        <is>
          <t>528000306</t>
        </is>
      </c>
      <c r="C131" t="inlineStr">
        <is>
          <t>Windy Olivia</t>
        </is>
      </c>
      <c r="D131" t="inlineStr">
        <is>
          <t>PROD</t>
        </is>
      </c>
      <c r="E131" t="inlineStr">
        <is>
          <t>Produksi Harian</t>
        </is>
      </c>
      <c r="F131" t="inlineStr"/>
      <c r="G131" t="inlineStr">
        <is>
          <t>06:04:19</t>
        </is>
      </c>
      <c r="H131" t="inlineStr">
        <is>
          <t>KELUAR TANPA MASUK</t>
        </is>
      </c>
      <c r="I131" t="inlineStr">
        <is>
          <t>MK00250</t>
        </is>
      </c>
      <c r="J131" t="inlineStr"/>
    </row>
    <row r="132">
      <c r="A132" t="inlineStr">
        <is>
          <t>30/04/2026</t>
        </is>
      </c>
      <c r="B132" t="inlineStr">
        <is>
          <t>628000061</t>
        </is>
      </c>
      <c r="C132" t="inlineStr">
        <is>
          <t>Nayla Fadillah Exwantoro</t>
        </is>
      </c>
      <c r="D132" t="inlineStr">
        <is>
          <t>PROD</t>
        </is>
      </c>
      <c r="E132" t="inlineStr">
        <is>
          <t>Produksi Borongan</t>
        </is>
      </c>
      <c r="F132" t="inlineStr">
        <is>
          <t>05:35:42</t>
        </is>
      </c>
      <c r="G132" t="inlineStr">
        <is>
          <t>14:08:33</t>
        </is>
      </c>
      <c r="H132" t="inlineStr">
        <is>
          <t>SELESAI</t>
        </is>
      </c>
      <c r="I132" t="inlineStr">
        <is>
          <t>MK00082</t>
        </is>
      </c>
      <c r="J132" t="inlineStr"/>
    </row>
    <row r="133">
      <c r="A133" t="inlineStr">
        <is>
          <t>30/04/2026</t>
        </is>
      </c>
      <c r="B133" t="inlineStr">
        <is>
          <t>628000064</t>
        </is>
      </c>
      <c r="C133" t="inlineStr">
        <is>
          <t>Silva Alypia</t>
        </is>
      </c>
      <c r="D133" t="inlineStr">
        <is>
          <t>PROD</t>
        </is>
      </c>
      <c r="E133" t="inlineStr">
        <is>
          <t>Produksi Borongan</t>
        </is>
      </c>
      <c r="F133" t="inlineStr">
        <is>
          <t>22:09:02</t>
        </is>
      </c>
      <c r="G133" t="inlineStr">
        <is>
          <t>22:10:31</t>
        </is>
      </c>
      <c r="H133" t="inlineStr">
        <is>
          <t>SELESAI</t>
        </is>
      </c>
      <c r="I133" t="inlineStr">
        <is>
          <t>MK00136</t>
        </is>
      </c>
      <c r="J133" t="inlineStr"/>
    </row>
    <row r="134">
      <c r="A134" t="inlineStr">
        <is>
          <t>01/05/2026</t>
        </is>
      </c>
      <c r="B134" t="inlineStr">
        <is>
          <t>528000015</t>
        </is>
      </c>
      <c r="C134" t="inlineStr">
        <is>
          <t>Erwin</t>
        </is>
      </c>
      <c r="D134" t="inlineStr">
        <is>
          <t>LOG</t>
        </is>
      </c>
      <c r="E134" t="inlineStr">
        <is>
          <t>WRM Harian</t>
        </is>
      </c>
      <c r="F134" t="inlineStr"/>
      <c r="G134" t="inlineStr">
        <is>
          <t>07:55:49</t>
        </is>
      </c>
      <c r="H134" t="inlineStr">
        <is>
          <t>KELUAR TANPA MASUK</t>
        </is>
      </c>
      <c r="I134" t="inlineStr">
        <is>
          <t>MK00118</t>
        </is>
      </c>
      <c r="J134" t="inlineStr"/>
    </row>
    <row r="135">
      <c r="A135" t="inlineStr">
        <is>
          <t>01/05/2026</t>
        </is>
      </c>
      <c r="B135" t="inlineStr">
        <is>
          <t>528000052</t>
        </is>
      </c>
      <c r="C135" t="inlineStr">
        <is>
          <t>Mustopa</t>
        </is>
      </c>
      <c r="D135" t="inlineStr">
        <is>
          <t>PROD</t>
        </is>
      </c>
      <c r="E135" t="inlineStr">
        <is>
          <t>Produksi Harian</t>
        </is>
      </c>
      <c r="F135" t="inlineStr">
        <is>
          <t>20:55:35</t>
        </is>
      </c>
      <c r="G135" t="inlineStr">
        <is>
          <t>06:03:31</t>
        </is>
      </c>
      <c r="H135" t="inlineStr">
        <is>
          <t>SELESAI</t>
        </is>
      </c>
      <c r="I135" t="inlineStr">
        <is>
          <t>MK00085</t>
        </is>
      </c>
      <c r="J135" t="inlineStr"/>
    </row>
    <row r="136">
      <c r="A136" t="inlineStr">
        <is>
          <t>01/05/2026</t>
        </is>
      </c>
      <c r="B136" t="inlineStr">
        <is>
          <t>528000069</t>
        </is>
      </c>
      <c r="C136" t="inlineStr">
        <is>
          <t>Jajang Ardiansyah</t>
        </is>
      </c>
      <c r="D136" t="inlineStr">
        <is>
          <t>PROD</t>
        </is>
      </c>
      <c r="E136" t="inlineStr">
        <is>
          <t>Produksi Harian</t>
        </is>
      </c>
      <c r="F136" t="inlineStr">
        <is>
          <t>06:58:25</t>
        </is>
      </c>
      <c r="G136" t="inlineStr">
        <is>
          <t>20:03:09</t>
        </is>
      </c>
      <c r="H136" t="inlineStr">
        <is>
          <t>SELESAI</t>
        </is>
      </c>
      <c r="I136" t="inlineStr">
        <is>
          <t>MK00088</t>
        </is>
      </c>
      <c r="J136" t="inlineStr"/>
    </row>
    <row r="137">
      <c r="A137" t="inlineStr">
        <is>
          <t>01/05/2026</t>
        </is>
      </c>
      <c r="B137" t="inlineStr">
        <is>
          <t>528000098</t>
        </is>
      </c>
      <c r="C137" t="inlineStr">
        <is>
          <t>Edi Junaedi</t>
        </is>
      </c>
      <c r="D137" t="inlineStr">
        <is>
          <t>PROD</t>
        </is>
      </c>
      <c r="E137" t="inlineStr">
        <is>
          <t>Produksi Harian</t>
        </is>
      </c>
      <c r="F137" t="inlineStr">
        <is>
          <t>05:19:35</t>
        </is>
      </c>
      <c r="G137" t="inlineStr">
        <is>
          <t>14:04:59</t>
        </is>
      </c>
      <c r="H137" t="inlineStr">
        <is>
          <t>SELESAI</t>
        </is>
      </c>
      <c r="I137" t="inlineStr">
        <is>
          <t>MK00116</t>
        </is>
      </c>
      <c r="J137" t="inlineStr"/>
    </row>
    <row r="138">
      <c r="A138" t="inlineStr">
        <is>
          <t>01/05/2026</t>
        </is>
      </c>
      <c r="B138" t="inlineStr">
        <is>
          <t>528000099</t>
        </is>
      </c>
      <c r="C138" t="inlineStr">
        <is>
          <t>Siti Nurawaliah</t>
        </is>
      </c>
      <c r="D138" t="inlineStr">
        <is>
          <t>PROD</t>
        </is>
      </c>
      <c r="E138" t="inlineStr">
        <is>
          <t>Produksi Harian</t>
        </is>
      </c>
      <c r="F138" t="inlineStr">
        <is>
          <t>13:33:54</t>
        </is>
      </c>
      <c r="G138" t="inlineStr"/>
      <c r="H138" t="inlineStr">
        <is>
          <t>DI DALAM</t>
        </is>
      </c>
      <c r="I138" t="inlineStr">
        <is>
          <t>MK00113</t>
        </is>
      </c>
      <c r="J138" t="inlineStr"/>
    </row>
    <row r="139">
      <c r="A139" t="inlineStr">
        <is>
          <t>01/05/2026</t>
        </is>
      </c>
      <c r="B139" t="inlineStr">
        <is>
          <t>528000144</t>
        </is>
      </c>
      <c r="C139" t="inlineStr">
        <is>
          <t>Jodi Hanafi</t>
        </is>
      </c>
      <c r="D139" t="inlineStr">
        <is>
          <t>LOG</t>
        </is>
      </c>
      <c r="E139" t="inlineStr">
        <is>
          <t>WRM Harian</t>
        </is>
      </c>
      <c r="F139" t="inlineStr"/>
      <c r="G139" t="inlineStr">
        <is>
          <t>07:57:48</t>
        </is>
      </c>
      <c r="H139" t="inlineStr">
        <is>
          <t>KELUAR TANPA MASUK</t>
        </is>
      </c>
      <c r="I139" t="inlineStr">
        <is>
          <t>MK528000144</t>
        </is>
      </c>
      <c r="J139" t="inlineStr"/>
    </row>
    <row r="140">
      <c r="A140" t="inlineStr">
        <is>
          <t>01/05/2026</t>
        </is>
      </c>
      <c r="B140" t="inlineStr">
        <is>
          <t>528000195</t>
        </is>
      </c>
      <c r="C140" t="inlineStr">
        <is>
          <t>Rahma Sariwati</t>
        </is>
      </c>
      <c r="D140" t="inlineStr">
        <is>
          <t>PROD</t>
        </is>
      </c>
      <c r="E140" t="inlineStr">
        <is>
          <t>Produksi Harian</t>
        </is>
      </c>
      <c r="F140" t="inlineStr">
        <is>
          <t>21:29:26</t>
        </is>
      </c>
      <c r="G140" t="inlineStr"/>
      <c r="H140" t="inlineStr">
        <is>
          <t>DI DALAM</t>
        </is>
      </c>
      <c r="I140" t="inlineStr">
        <is>
          <t>MK00192</t>
        </is>
      </c>
      <c r="J140" t="inlineStr"/>
    </row>
    <row r="141">
      <c r="A141" t="inlineStr">
        <is>
          <t>01/05/2026</t>
        </is>
      </c>
      <c r="B141" t="inlineStr">
        <is>
          <t>528000201</t>
        </is>
      </c>
      <c r="C141" t="inlineStr">
        <is>
          <t>Zahwa Amelia Choerunissa</t>
        </is>
      </c>
      <c r="D141" t="inlineStr">
        <is>
          <t>PROD</t>
        </is>
      </c>
      <c r="E141" t="inlineStr">
        <is>
          <t>Produksi Harian</t>
        </is>
      </c>
      <c r="F141" t="inlineStr">
        <is>
          <t>13:31:10</t>
        </is>
      </c>
      <c r="G141" t="inlineStr"/>
      <c r="H141" t="inlineStr">
        <is>
          <t>DI DALAM</t>
        </is>
      </c>
      <c r="I141" t="inlineStr">
        <is>
          <t>MK00148</t>
        </is>
      </c>
      <c r="J141" t="inlineStr"/>
    </row>
    <row r="142">
      <c r="A142" t="inlineStr">
        <is>
          <t>01/05/2026</t>
        </is>
      </c>
      <c r="B142" t="inlineStr">
        <is>
          <t>528000203</t>
        </is>
      </c>
      <c r="C142" t="inlineStr">
        <is>
          <t>Yudha Ramdhan Putra</t>
        </is>
      </c>
      <c r="D142" t="inlineStr">
        <is>
          <t>ENG</t>
        </is>
      </c>
      <c r="E142" t="inlineStr">
        <is>
          <t>Engineering Harian</t>
        </is>
      </c>
      <c r="F142" t="inlineStr">
        <is>
          <t>08:59:21</t>
        </is>
      </c>
      <c r="G142" t="inlineStr">
        <is>
          <t>07:55:21</t>
        </is>
      </c>
      <c r="H142" t="inlineStr">
        <is>
          <t>SELESAI</t>
        </is>
      </c>
      <c r="I142" t="inlineStr">
        <is>
          <t>MK00154</t>
        </is>
      </c>
      <c r="J142" t="inlineStr"/>
    </row>
    <row r="143">
      <c r="A143" t="inlineStr">
        <is>
          <t>01/05/2026</t>
        </is>
      </c>
      <c r="B143" t="inlineStr">
        <is>
          <t>528000212</t>
        </is>
      </c>
      <c r="C143" t="inlineStr">
        <is>
          <t>Rizal Fauzi</t>
        </is>
      </c>
      <c r="D143" t="inlineStr">
        <is>
          <t>PROD</t>
        </is>
      </c>
      <c r="E143" t="inlineStr">
        <is>
          <t>Produksi Harian</t>
        </is>
      </c>
      <c r="F143" t="inlineStr">
        <is>
          <t>13:31:29</t>
        </is>
      </c>
      <c r="G143" t="inlineStr"/>
      <c r="H143" t="inlineStr">
        <is>
          <t>DI DALAM</t>
        </is>
      </c>
      <c r="I143" t="inlineStr">
        <is>
          <t>MK0155</t>
        </is>
      </c>
      <c r="J143" t="inlineStr"/>
    </row>
    <row r="144">
      <c r="A144" t="inlineStr">
        <is>
          <t>01/05/2026</t>
        </is>
      </c>
      <c r="B144" t="inlineStr">
        <is>
          <t>528000228</t>
        </is>
      </c>
      <c r="C144" t="inlineStr">
        <is>
          <t>Banyu Resmi Putri</t>
        </is>
      </c>
      <c r="D144" t="inlineStr">
        <is>
          <t>PROD</t>
        </is>
      </c>
      <c r="E144" t="inlineStr">
        <is>
          <t>Produksi Harian</t>
        </is>
      </c>
      <c r="F144" t="inlineStr"/>
      <c r="G144" t="inlineStr">
        <is>
          <t>08:02:35</t>
        </is>
      </c>
      <c r="H144" t="inlineStr">
        <is>
          <t>KELUAR TANPA MASUK</t>
        </is>
      </c>
      <c r="I144" t="inlineStr">
        <is>
          <t>MK00118</t>
        </is>
      </c>
      <c r="J144" t="inlineStr"/>
    </row>
    <row r="145">
      <c r="A145" t="inlineStr">
        <is>
          <t>01/05/2026</t>
        </is>
      </c>
      <c r="B145" t="inlineStr">
        <is>
          <t>528000232</t>
        </is>
      </c>
      <c r="C145" t="inlineStr">
        <is>
          <t>Agung Aji Suhada</t>
        </is>
      </c>
      <c r="D145" t="inlineStr">
        <is>
          <t>LOG</t>
        </is>
      </c>
      <c r="E145" t="inlineStr">
        <is>
          <t>WRM Harian</t>
        </is>
      </c>
      <c r="F145" t="inlineStr">
        <is>
          <t>08:57:41</t>
        </is>
      </c>
      <c r="G145" t="inlineStr"/>
      <c r="H145" t="inlineStr">
        <is>
          <t>DI DALAM</t>
        </is>
      </c>
      <c r="I145" t="inlineStr">
        <is>
          <t>MK00158</t>
        </is>
      </c>
      <c r="J145" t="inlineStr"/>
    </row>
    <row r="146">
      <c r="A146" t="inlineStr">
        <is>
          <t>01/05/2026</t>
        </is>
      </c>
      <c r="B146" t="inlineStr">
        <is>
          <t>528000241</t>
        </is>
      </c>
      <c r="C146" t="inlineStr">
        <is>
          <t>Balia Nurafif Bilah</t>
        </is>
      </c>
      <c r="D146" t="inlineStr">
        <is>
          <t>PROD</t>
        </is>
      </c>
      <c r="E146" t="inlineStr">
        <is>
          <t>Produksi Harian</t>
        </is>
      </c>
      <c r="F146" t="inlineStr">
        <is>
          <t>13:50:30</t>
        </is>
      </c>
      <c r="G146" t="inlineStr">
        <is>
          <t>22:05:20</t>
        </is>
      </c>
      <c r="H146" t="inlineStr">
        <is>
          <t>SELESAI</t>
        </is>
      </c>
      <c r="I146" t="inlineStr">
        <is>
          <t>MK00208</t>
        </is>
      </c>
      <c r="J146" t="inlineStr"/>
    </row>
    <row r="147">
      <c r="A147" t="inlineStr">
        <is>
          <t>01/05/2026</t>
        </is>
      </c>
      <c r="B147" t="inlineStr">
        <is>
          <t>528000244</t>
        </is>
      </c>
      <c r="C147" t="inlineStr">
        <is>
          <t>Rodian Rifai</t>
        </is>
      </c>
      <c r="D147" t="inlineStr">
        <is>
          <t>PROD</t>
        </is>
      </c>
      <c r="E147" t="inlineStr">
        <is>
          <t>Produksi Harian</t>
        </is>
      </c>
      <c r="F147" t="inlineStr">
        <is>
          <t>13:21:01</t>
        </is>
      </c>
      <c r="G147" t="inlineStr">
        <is>
          <t>22:07:05</t>
        </is>
      </c>
      <c r="H147" t="inlineStr">
        <is>
          <t>SELESAI</t>
        </is>
      </c>
      <c r="I147" t="inlineStr">
        <is>
          <t>MK00126</t>
        </is>
      </c>
      <c r="J147" t="inlineStr"/>
    </row>
    <row r="148">
      <c r="A148" t="inlineStr">
        <is>
          <t>01/05/2026</t>
        </is>
      </c>
      <c r="B148" t="inlineStr">
        <is>
          <t>528000261</t>
        </is>
      </c>
      <c r="C148" t="inlineStr">
        <is>
          <t>Ergi Ergianto</t>
        </is>
      </c>
      <c r="D148" t="inlineStr">
        <is>
          <t>HRGA</t>
        </is>
      </c>
      <c r="E148" t="inlineStr">
        <is>
          <t>GA Harian</t>
        </is>
      </c>
      <c r="F148" t="inlineStr">
        <is>
          <t>21:46:11</t>
        </is>
      </c>
      <c r="G148" t="inlineStr">
        <is>
          <t>06:02:55</t>
        </is>
      </c>
      <c r="H148" t="inlineStr">
        <is>
          <t>SELESAI</t>
        </is>
      </c>
      <c r="I148" t="inlineStr">
        <is>
          <t>MK00213</t>
        </is>
      </c>
      <c r="J148" t="inlineStr"/>
    </row>
    <row r="149">
      <c r="A149" t="inlineStr">
        <is>
          <t>01/05/2026</t>
        </is>
      </c>
      <c r="B149" t="inlineStr">
        <is>
          <t>528000262</t>
        </is>
      </c>
      <c r="C149" t="inlineStr">
        <is>
          <t>Ndari Dwiwanti</t>
        </is>
      </c>
      <c r="D149" t="inlineStr">
        <is>
          <t>PROD</t>
        </is>
      </c>
      <c r="E149" t="inlineStr">
        <is>
          <t>Produksi Harian</t>
        </is>
      </c>
      <c r="F149" t="inlineStr">
        <is>
          <t>21:37:42</t>
        </is>
      </c>
      <c r="G149" t="inlineStr"/>
      <c r="H149" t="inlineStr">
        <is>
          <t>DI DALAM</t>
        </is>
      </c>
      <c r="I149" t="inlineStr">
        <is>
          <t>MK00109</t>
        </is>
      </c>
      <c r="J149" t="inlineStr"/>
    </row>
    <row r="150">
      <c r="A150" t="inlineStr">
        <is>
          <t>01/05/2026</t>
        </is>
      </c>
      <c r="B150" t="inlineStr">
        <is>
          <t>528000265</t>
        </is>
      </c>
      <c r="C150" t="inlineStr">
        <is>
          <t>Muhammad Haerul Rozikin</t>
        </is>
      </c>
      <c r="D150" t="inlineStr">
        <is>
          <t>LOG</t>
        </is>
      </c>
      <c r="E150" t="inlineStr">
        <is>
          <t>WRM Harian</t>
        </is>
      </c>
      <c r="F150" t="inlineStr">
        <is>
          <t>07:43:02</t>
        </is>
      </c>
      <c r="G150" t="inlineStr">
        <is>
          <t>16:04:36</t>
        </is>
      </c>
      <c r="H150" t="inlineStr">
        <is>
          <t>SELESAI</t>
        </is>
      </c>
      <c r="I150" t="inlineStr">
        <is>
          <t>MK00082</t>
        </is>
      </c>
      <c r="J150" t="inlineStr"/>
    </row>
    <row r="151">
      <c r="A151" t="inlineStr">
        <is>
          <t>01/05/2026</t>
        </is>
      </c>
      <c r="B151" t="inlineStr">
        <is>
          <t>528000266</t>
        </is>
      </c>
      <c r="C151" t="inlineStr">
        <is>
          <t>M. Syirajatieq</t>
        </is>
      </c>
      <c r="D151" t="inlineStr">
        <is>
          <t>LOG</t>
        </is>
      </c>
      <c r="E151" t="inlineStr">
        <is>
          <t>WFG Harian</t>
        </is>
      </c>
      <c r="F151" t="inlineStr">
        <is>
          <t>21:35:08</t>
        </is>
      </c>
      <c r="G151" t="inlineStr"/>
      <c r="H151" t="inlineStr">
        <is>
          <t>DI DALAM</t>
        </is>
      </c>
      <c r="I151" t="inlineStr">
        <is>
          <t>MK00221</t>
        </is>
      </c>
      <c r="J151" t="inlineStr"/>
    </row>
    <row r="152">
      <c r="A152" t="inlineStr">
        <is>
          <t>01/05/2026</t>
        </is>
      </c>
      <c r="B152" t="inlineStr">
        <is>
          <t>528000270</t>
        </is>
      </c>
      <c r="C152" t="inlineStr">
        <is>
          <t>Febri Najmudin</t>
        </is>
      </c>
      <c r="D152" t="inlineStr">
        <is>
          <t>LOG</t>
        </is>
      </c>
      <c r="E152" t="inlineStr">
        <is>
          <t>WRM Harian</t>
        </is>
      </c>
      <c r="F152" t="inlineStr">
        <is>
          <t>05:53:48</t>
        </is>
      </c>
      <c r="G152" t="inlineStr">
        <is>
          <t>14:05:42</t>
        </is>
      </c>
      <c r="H152" t="inlineStr">
        <is>
          <t>SELESAI</t>
        </is>
      </c>
      <c r="I152" t="inlineStr">
        <is>
          <t>MK00046</t>
        </is>
      </c>
      <c r="J152" t="inlineStr"/>
    </row>
    <row r="153">
      <c r="A153" t="inlineStr">
        <is>
          <t>01/05/2026</t>
        </is>
      </c>
      <c r="B153" t="inlineStr">
        <is>
          <t>528000274</t>
        </is>
      </c>
      <c r="C153" t="inlineStr">
        <is>
          <t>Zepri</t>
        </is>
      </c>
      <c r="D153" t="inlineStr">
        <is>
          <t>PROD</t>
        </is>
      </c>
      <c r="E153" t="inlineStr">
        <is>
          <t>Produksi Harian</t>
        </is>
      </c>
      <c r="F153" t="inlineStr">
        <is>
          <t>13:53:46</t>
        </is>
      </c>
      <c r="G153" t="inlineStr">
        <is>
          <t>22:05:06</t>
        </is>
      </c>
      <c r="H153" t="inlineStr">
        <is>
          <t>SELESAI</t>
        </is>
      </c>
      <c r="I153" t="inlineStr">
        <is>
          <t>MK00211</t>
        </is>
      </c>
      <c r="J153" t="inlineStr"/>
    </row>
    <row r="154">
      <c r="A154" t="inlineStr">
        <is>
          <t>01/05/2026</t>
        </is>
      </c>
      <c r="B154" t="inlineStr">
        <is>
          <t>528000282</t>
        </is>
      </c>
      <c r="C154" t="inlineStr">
        <is>
          <t>Defa Desfiana</t>
        </is>
      </c>
      <c r="D154" t="inlineStr">
        <is>
          <t>PROD</t>
        </is>
      </c>
      <c r="E154" t="inlineStr">
        <is>
          <t>Produksi Harian</t>
        </is>
      </c>
      <c r="F154" t="inlineStr">
        <is>
          <t>07:29:18</t>
        </is>
      </c>
      <c r="G154" t="inlineStr">
        <is>
          <t>16:03:08</t>
        </is>
      </c>
      <c r="H154" t="inlineStr">
        <is>
          <t>SELESAI</t>
        </is>
      </c>
      <c r="I154" t="inlineStr">
        <is>
          <t>MK00145</t>
        </is>
      </c>
      <c r="J154" t="inlineStr">
        <is>
          <t>23C</t>
        </is>
      </c>
    </row>
    <row r="155">
      <c r="A155" t="inlineStr">
        <is>
          <t>01/05/2026</t>
        </is>
      </c>
      <c r="B155" t="inlineStr">
        <is>
          <t>528000283</t>
        </is>
      </c>
      <c r="C155" t="inlineStr">
        <is>
          <t>Purwanda Sugiri</t>
        </is>
      </c>
      <c r="D155" t="inlineStr">
        <is>
          <t>LOG</t>
        </is>
      </c>
      <c r="E155" t="inlineStr">
        <is>
          <t>WRM Harian</t>
        </is>
      </c>
      <c r="F155" t="inlineStr">
        <is>
          <t>21:54:14</t>
        </is>
      </c>
      <c r="G155" t="inlineStr">
        <is>
          <t>06:03:48</t>
        </is>
      </c>
      <c r="H155" t="inlineStr">
        <is>
          <t>SELESAI</t>
        </is>
      </c>
      <c r="I155" t="inlineStr">
        <is>
          <t>MK00150</t>
        </is>
      </c>
      <c r="J155" t="inlineStr"/>
    </row>
    <row r="156">
      <c r="A156" t="inlineStr">
        <is>
          <t>01/05/2026</t>
        </is>
      </c>
      <c r="B156" t="inlineStr">
        <is>
          <t>528000286</t>
        </is>
      </c>
      <c r="C156" t="inlineStr">
        <is>
          <t>Imelda Amelia</t>
        </is>
      </c>
      <c r="D156" t="inlineStr">
        <is>
          <t>PROD</t>
        </is>
      </c>
      <c r="E156" t="inlineStr">
        <is>
          <t>Produksi Harian</t>
        </is>
      </c>
      <c r="F156" t="inlineStr">
        <is>
          <t>13:39:39</t>
        </is>
      </c>
      <c r="G156" t="inlineStr"/>
      <c r="H156" t="inlineStr">
        <is>
          <t>DI DALAM</t>
        </is>
      </c>
      <c r="I156" t="inlineStr">
        <is>
          <t>MK00207</t>
        </is>
      </c>
      <c r="J156" t="inlineStr"/>
    </row>
    <row r="157">
      <c r="A157" t="inlineStr">
        <is>
          <t>01/05/2026</t>
        </is>
      </c>
      <c r="B157" t="inlineStr">
        <is>
          <t>528000287</t>
        </is>
      </c>
      <c r="C157" t="inlineStr">
        <is>
          <t>Muhamad Angga Ramdani</t>
        </is>
      </c>
      <c r="D157" t="inlineStr">
        <is>
          <t>PROD</t>
        </is>
      </c>
      <c r="E157" t="inlineStr">
        <is>
          <t>Produksi Harian</t>
        </is>
      </c>
      <c r="F157" t="inlineStr">
        <is>
          <t>07:53:55</t>
        </is>
      </c>
      <c r="G157" t="inlineStr">
        <is>
          <t>21:34:13</t>
        </is>
      </c>
      <c r="H157" t="inlineStr">
        <is>
          <t>SELESAI</t>
        </is>
      </c>
      <c r="I157" t="inlineStr">
        <is>
          <t>MK00156</t>
        </is>
      </c>
      <c r="J157" t="inlineStr"/>
    </row>
    <row r="158">
      <c r="A158" t="inlineStr">
        <is>
          <t>01/05/2026</t>
        </is>
      </c>
      <c r="B158" t="inlineStr">
        <is>
          <t>528000290</t>
        </is>
      </c>
      <c r="C158" t="inlineStr">
        <is>
          <t>Eval Pranata</t>
        </is>
      </c>
      <c r="D158" t="inlineStr">
        <is>
          <t>PROD</t>
        </is>
      </c>
      <c r="E158" t="inlineStr">
        <is>
          <t>Produksi Harian</t>
        </is>
      </c>
      <c r="F158" t="inlineStr">
        <is>
          <t>13:54:43</t>
        </is>
      </c>
      <c r="G158" t="inlineStr">
        <is>
          <t>22:05:10</t>
        </is>
      </c>
      <c r="H158" t="inlineStr">
        <is>
          <t>SELESAI</t>
        </is>
      </c>
      <c r="I158" t="inlineStr">
        <is>
          <t>MK00210</t>
        </is>
      </c>
      <c r="J158" t="inlineStr"/>
    </row>
    <row r="159">
      <c r="A159" t="inlineStr">
        <is>
          <t>01/05/2026</t>
        </is>
      </c>
      <c r="B159" t="inlineStr">
        <is>
          <t>528000291</t>
        </is>
      </c>
      <c r="C159" t="inlineStr">
        <is>
          <t>Andrian</t>
        </is>
      </c>
      <c r="D159" t="inlineStr">
        <is>
          <t>PROD</t>
        </is>
      </c>
      <c r="E159" t="inlineStr">
        <is>
          <t>Produksi Harian</t>
        </is>
      </c>
      <c r="F159" t="inlineStr">
        <is>
          <t>21:54:37</t>
        </is>
      </c>
      <c r="G159" t="inlineStr">
        <is>
          <t>06:04:16</t>
        </is>
      </c>
      <c r="H159" t="inlineStr">
        <is>
          <t>SELESAI</t>
        </is>
      </c>
      <c r="I159" t="inlineStr">
        <is>
          <t>MK00082</t>
        </is>
      </c>
      <c r="J159" t="inlineStr"/>
    </row>
    <row r="160">
      <c r="A160" t="inlineStr">
        <is>
          <t>01/05/2026</t>
        </is>
      </c>
      <c r="B160" t="inlineStr">
        <is>
          <t>528000298</t>
        </is>
      </c>
      <c r="C160" t="inlineStr">
        <is>
          <t>Desta Cahaya Pratama</t>
        </is>
      </c>
      <c r="D160" t="inlineStr">
        <is>
          <t>PROD</t>
        </is>
      </c>
      <c r="E160" t="inlineStr">
        <is>
          <t>Produksi Harian</t>
        </is>
      </c>
      <c r="F160" t="inlineStr">
        <is>
          <t>06:00:44</t>
        </is>
      </c>
      <c r="G160" t="inlineStr">
        <is>
          <t>14:02:53</t>
        </is>
      </c>
      <c r="H160" t="inlineStr">
        <is>
          <t>SELESAI</t>
        </is>
      </c>
      <c r="I160" t="inlineStr">
        <is>
          <t>MK00155</t>
        </is>
      </c>
      <c r="J160" t="inlineStr"/>
    </row>
    <row r="161">
      <c r="A161" t="inlineStr">
        <is>
          <t>01/05/2026</t>
        </is>
      </c>
      <c r="B161" t="inlineStr">
        <is>
          <t>528000299</t>
        </is>
      </c>
      <c r="C161" t="inlineStr">
        <is>
          <t>Siti Nurjanah</t>
        </is>
      </c>
      <c r="D161" t="inlineStr">
        <is>
          <t>PROD</t>
        </is>
      </c>
      <c r="E161" t="inlineStr">
        <is>
          <t>Produksi Harian</t>
        </is>
      </c>
      <c r="F161" t="inlineStr">
        <is>
          <t>05:40:16</t>
        </is>
      </c>
      <c r="G161" t="inlineStr">
        <is>
          <t>14:04:33</t>
        </is>
      </c>
      <c r="H161" t="inlineStr">
        <is>
          <t>SELESAI</t>
        </is>
      </c>
      <c r="I161" t="inlineStr">
        <is>
          <t>MK00181</t>
        </is>
      </c>
      <c r="J161" t="inlineStr"/>
    </row>
    <row r="162">
      <c r="A162" t="inlineStr">
        <is>
          <t>01/05/2026</t>
        </is>
      </c>
      <c r="B162" t="inlineStr">
        <is>
          <t>528000301</t>
        </is>
      </c>
      <c r="C162" t="inlineStr">
        <is>
          <t>Muhammad Mukti Ridwan</t>
        </is>
      </c>
      <c r="D162" t="inlineStr">
        <is>
          <t>PROD</t>
        </is>
      </c>
      <c r="E162" t="inlineStr">
        <is>
          <t>Produksi Harian</t>
        </is>
      </c>
      <c r="F162" t="inlineStr">
        <is>
          <t>21:55:41</t>
        </is>
      </c>
      <c r="G162" t="inlineStr">
        <is>
          <t>06:05:32</t>
        </is>
      </c>
      <c r="H162" t="inlineStr">
        <is>
          <t>SELESAI</t>
        </is>
      </c>
      <c r="I162" t="inlineStr">
        <is>
          <t>MK00155</t>
        </is>
      </c>
      <c r="J162" t="inlineStr"/>
    </row>
    <row r="163">
      <c r="A163" t="inlineStr">
        <is>
          <t>01/05/2026</t>
        </is>
      </c>
      <c r="B163" t="inlineStr">
        <is>
          <t>528000302</t>
        </is>
      </c>
      <c r="C163" t="inlineStr">
        <is>
          <t>Henkey gumilar</t>
        </is>
      </c>
      <c r="D163" t="inlineStr">
        <is>
          <t>PROD</t>
        </is>
      </c>
      <c r="E163" t="inlineStr">
        <is>
          <t>Produksi Harian</t>
        </is>
      </c>
      <c r="F163" t="inlineStr">
        <is>
          <t>05:50:05</t>
        </is>
      </c>
      <c r="G163" t="inlineStr">
        <is>
          <t>14:10:48</t>
        </is>
      </c>
      <c r="H163" t="inlineStr">
        <is>
          <t>SELESAI</t>
        </is>
      </c>
      <c r="I163" t="inlineStr">
        <is>
          <t>MK0085</t>
        </is>
      </c>
      <c r="J163" t="inlineStr"/>
    </row>
    <row r="164">
      <c r="A164" t="inlineStr">
        <is>
          <t>01/05/2026</t>
        </is>
      </c>
      <c r="B164" t="inlineStr">
        <is>
          <t>528000305</t>
        </is>
      </c>
      <c r="C164" t="inlineStr">
        <is>
          <t>Puji Puspita</t>
        </is>
      </c>
      <c r="D164" t="inlineStr">
        <is>
          <t>PROD</t>
        </is>
      </c>
      <c r="E164" t="inlineStr">
        <is>
          <t>Produksi Harian</t>
        </is>
      </c>
      <c r="F164" t="inlineStr">
        <is>
          <t>05:39:24</t>
        </is>
      </c>
      <c r="G164" t="inlineStr">
        <is>
          <t>14:04:43</t>
        </is>
      </c>
      <c r="H164" t="inlineStr">
        <is>
          <t>SELESAI</t>
        </is>
      </c>
      <c r="I164" t="inlineStr">
        <is>
          <t>MK00184</t>
        </is>
      </c>
      <c r="J164" t="inlineStr"/>
    </row>
    <row r="165">
      <c r="A165" t="inlineStr">
        <is>
          <t>01/05/2026</t>
        </is>
      </c>
      <c r="B165" t="inlineStr">
        <is>
          <t>528000351</t>
        </is>
      </c>
      <c r="C165" t="inlineStr">
        <is>
          <t>Mulyana</t>
        </is>
      </c>
      <c r="D165" t="inlineStr">
        <is>
          <t>PROD</t>
        </is>
      </c>
      <c r="E165" t="inlineStr">
        <is>
          <t>Produksi Harian</t>
        </is>
      </c>
      <c r="F165" t="inlineStr">
        <is>
          <t>07:48:39</t>
        </is>
      </c>
      <c r="G165" t="inlineStr">
        <is>
          <t>16:04:47</t>
        </is>
      </c>
      <c r="H165" t="inlineStr">
        <is>
          <t>SELESAI</t>
        </is>
      </c>
      <c r="I165" t="inlineStr">
        <is>
          <t>MK00141</t>
        </is>
      </c>
      <c r="J165" t="inlineStr"/>
    </row>
    <row r="166">
      <c r="A166" t="inlineStr">
        <is>
          <t>01/05/2026</t>
        </is>
      </c>
      <c r="B166" t="inlineStr">
        <is>
          <t>528000358</t>
        </is>
      </c>
      <c r="C166" t="inlineStr">
        <is>
          <t>Lulu Agustin</t>
        </is>
      </c>
      <c r="D166" t="inlineStr">
        <is>
          <t>PROD</t>
        </is>
      </c>
      <c r="E166" t="inlineStr">
        <is>
          <t>Produksi Harian</t>
        </is>
      </c>
      <c r="F166" t="inlineStr">
        <is>
          <t>21:39:57</t>
        </is>
      </c>
      <c r="G166" t="inlineStr"/>
      <c r="H166" t="inlineStr">
        <is>
          <t>DI DALAM</t>
        </is>
      </c>
      <c r="I166" t="inlineStr">
        <is>
          <t>MK00249</t>
        </is>
      </c>
      <c r="J166" t="inlineStr"/>
    </row>
    <row r="167">
      <c r="A167" t="inlineStr">
        <is>
          <t>01/05/2026</t>
        </is>
      </c>
      <c r="B167" t="inlineStr">
        <is>
          <t>628000061</t>
        </is>
      </c>
      <c r="C167" t="inlineStr">
        <is>
          <t>Nayla Fadillah Exwantoro</t>
        </is>
      </c>
      <c r="D167" t="inlineStr">
        <is>
          <t>PROD</t>
        </is>
      </c>
      <c r="E167" t="inlineStr">
        <is>
          <t>Produksi Borongan</t>
        </is>
      </c>
      <c r="F167" t="inlineStr">
        <is>
          <t>05:39:57</t>
        </is>
      </c>
      <c r="G167" t="inlineStr">
        <is>
          <t>14:07:34</t>
        </is>
      </c>
      <c r="H167" t="inlineStr">
        <is>
          <t>SELESAI</t>
        </is>
      </c>
      <c r="I167" t="inlineStr">
        <is>
          <t>MK00136</t>
        </is>
      </c>
      <c r="J167" t="inlineStr"/>
    </row>
    <row r="168">
      <c r="A168" t="inlineStr">
        <is>
          <t>02/05/2026</t>
        </is>
      </c>
      <c r="B168" t="inlineStr">
        <is>
          <t>528000015</t>
        </is>
      </c>
      <c r="C168" t="inlineStr">
        <is>
          <t>Erwin</t>
        </is>
      </c>
      <c r="D168" t="inlineStr">
        <is>
          <t>LOG</t>
        </is>
      </c>
      <c r="E168" t="inlineStr">
        <is>
          <t>WRM Harian</t>
        </is>
      </c>
      <c r="F168" t="inlineStr">
        <is>
          <t>13:55:04</t>
        </is>
      </c>
      <c r="G168" t="inlineStr">
        <is>
          <t>06:04:51</t>
        </is>
      </c>
      <c r="H168" t="inlineStr">
        <is>
          <t>SELESAI</t>
        </is>
      </c>
      <c r="I168" t="inlineStr">
        <is>
          <t>MK00055</t>
        </is>
      </c>
      <c r="J168" t="inlineStr"/>
    </row>
    <row r="169">
      <c r="A169" t="inlineStr">
        <is>
          <t>02/05/2026</t>
        </is>
      </c>
      <c r="B169" t="inlineStr">
        <is>
          <t>528000052</t>
        </is>
      </c>
      <c r="C169" t="inlineStr">
        <is>
          <t>Mustopa</t>
        </is>
      </c>
      <c r="D169" t="inlineStr">
        <is>
          <t>PROD</t>
        </is>
      </c>
      <c r="E169" t="inlineStr">
        <is>
          <t>Produksi Harian</t>
        </is>
      </c>
      <c r="F169" t="inlineStr">
        <is>
          <t>19:44:55</t>
        </is>
      </c>
      <c r="G169" t="inlineStr"/>
      <c r="H169" t="inlineStr">
        <is>
          <t>DI DALAM</t>
        </is>
      </c>
      <c r="I169" t="inlineStr">
        <is>
          <t>MKOO58</t>
        </is>
      </c>
      <c r="J169" t="inlineStr"/>
    </row>
    <row r="170">
      <c r="A170" t="inlineStr">
        <is>
          <t>02/05/2026</t>
        </is>
      </c>
      <c r="B170" t="inlineStr">
        <is>
          <t>528000055</t>
        </is>
      </c>
      <c r="C170" t="inlineStr">
        <is>
          <t>Dika Prasetya</t>
        </is>
      </c>
      <c r="D170" t="inlineStr">
        <is>
          <t>LOG</t>
        </is>
      </c>
      <c r="E170" t="inlineStr">
        <is>
          <t>WRM Harian</t>
        </is>
      </c>
      <c r="F170" t="inlineStr">
        <is>
          <t>13:56:23</t>
        </is>
      </c>
      <c r="G170" t="inlineStr">
        <is>
          <t>22:08:14</t>
        </is>
      </c>
      <c r="H170" t="inlineStr">
        <is>
          <t>SELESAI</t>
        </is>
      </c>
      <c r="I170" t="inlineStr">
        <is>
          <t>MK00112</t>
        </is>
      </c>
      <c r="J170" t="inlineStr"/>
    </row>
    <row r="171">
      <c r="A171" t="inlineStr">
        <is>
          <t>02/05/2026</t>
        </is>
      </c>
      <c r="B171" t="inlineStr">
        <is>
          <t>528000059</t>
        </is>
      </c>
      <c r="C171" t="inlineStr">
        <is>
          <t>N. Santika Dewi</t>
        </is>
      </c>
      <c r="D171" t="inlineStr">
        <is>
          <t>PROD</t>
        </is>
      </c>
      <c r="E171" t="inlineStr">
        <is>
          <t>Produksi Harian</t>
        </is>
      </c>
      <c r="F171" t="inlineStr"/>
      <c r="G171" t="inlineStr">
        <is>
          <t>13:55:25</t>
        </is>
      </c>
      <c r="H171" t="inlineStr">
        <is>
          <t>KELUAR TANPA MASUK</t>
        </is>
      </c>
      <c r="I171" t="inlineStr">
        <is>
          <t>MK00112</t>
        </is>
      </c>
      <c r="J171" t="inlineStr"/>
    </row>
    <row r="172">
      <c r="A172" t="inlineStr">
        <is>
          <t>02/05/2026</t>
        </is>
      </c>
      <c r="B172" t="inlineStr">
        <is>
          <t>528000069</t>
        </is>
      </c>
      <c r="C172" t="inlineStr">
        <is>
          <t>Jajang Ardiansyah</t>
        </is>
      </c>
      <c r="D172" t="inlineStr">
        <is>
          <t>PROD</t>
        </is>
      </c>
      <c r="E172" t="inlineStr">
        <is>
          <t>Produksi Harian</t>
        </is>
      </c>
      <c r="F172" t="inlineStr">
        <is>
          <t>07:19:54</t>
        </is>
      </c>
      <c r="G172" t="inlineStr"/>
      <c r="H172" t="inlineStr">
        <is>
          <t>DI DALAM</t>
        </is>
      </c>
      <c r="I172" t="inlineStr">
        <is>
          <t>MK00088</t>
        </is>
      </c>
      <c r="J172" t="inlineStr"/>
    </row>
    <row r="173">
      <c r="A173" t="inlineStr">
        <is>
          <t>02/05/2026</t>
        </is>
      </c>
      <c r="B173" t="inlineStr">
        <is>
          <t>528000090</t>
        </is>
      </c>
      <c r="C173" t="inlineStr">
        <is>
          <t>Suganda</t>
        </is>
      </c>
      <c r="D173" t="inlineStr">
        <is>
          <t>PROD</t>
        </is>
      </c>
      <c r="E173" t="inlineStr">
        <is>
          <t>Produksi Harian</t>
        </is>
      </c>
      <c r="F173" t="inlineStr">
        <is>
          <t>13:56:28</t>
        </is>
      </c>
      <c r="G173" t="inlineStr">
        <is>
          <t>22:06:14</t>
        </is>
      </c>
      <c r="H173" t="inlineStr">
        <is>
          <t>SELESAI</t>
        </is>
      </c>
      <c r="I173" t="inlineStr">
        <is>
          <t>MK00138</t>
        </is>
      </c>
      <c r="J173" t="inlineStr"/>
    </row>
    <row r="174">
      <c r="A174" t="inlineStr">
        <is>
          <t>02/05/2026</t>
        </is>
      </c>
      <c r="B174" t="inlineStr">
        <is>
          <t>528000099</t>
        </is>
      </c>
      <c r="C174" t="inlineStr">
        <is>
          <t>Siti Nurawaliah</t>
        </is>
      </c>
      <c r="D174" t="inlineStr">
        <is>
          <t>PROD</t>
        </is>
      </c>
      <c r="E174" t="inlineStr">
        <is>
          <t>Produksi Harian</t>
        </is>
      </c>
      <c r="F174" t="inlineStr">
        <is>
          <t>13:41:16</t>
        </is>
      </c>
      <c r="G174" t="inlineStr">
        <is>
          <t>22:08:10</t>
        </is>
      </c>
      <c r="H174" t="inlineStr">
        <is>
          <t>SELESAI</t>
        </is>
      </c>
      <c r="I174" t="inlineStr">
        <is>
          <t>MK00136</t>
        </is>
      </c>
      <c r="J174" t="inlineStr"/>
    </row>
    <row r="175">
      <c r="A175" t="inlineStr">
        <is>
          <t>02/05/2026</t>
        </is>
      </c>
      <c r="B175" t="inlineStr">
        <is>
          <t>528000144</t>
        </is>
      </c>
      <c r="C175" t="inlineStr">
        <is>
          <t>Jodi Hanafi</t>
        </is>
      </c>
      <c r="D175" t="inlineStr">
        <is>
          <t>LOG</t>
        </is>
      </c>
      <c r="E175" t="inlineStr">
        <is>
          <t>WRM Harian</t>
        </is>
      </c>
      <c r="F175" t="inlineStr">
        <is>
          <t>07:58:32</t>
        </is>
      </c>
      <c r="G175" t="inlineStr">
        <is>
          <t>16:10:02</t>
        </is>
      </c>
      <c r="H175" t="inlineStr">
        <is>
          <t>SELESAI</t>
        </is>
      </c>
      <c r="I175" t="inlineStr">
        <is>
          <t>MK00150</t>
        </is>
      </c>
      <c r="J175" t="inlineStr"/>
    </row>
    <row r="176">
      <c r="A176" t="inlineStr">
        <is>
          <t>02/05/2026</t>
        </is>
      </c>
      <c r="B176" t="inlineStr">
        <is>
          <t>528000149</t>
        </is>
      </c>
      <c r="C176" t="inlineStr">
        <is>
          <t>Tio Fernanda</t>
        </is>
      </c>
      <c r="D176" t="inlineStr">
        <is>
          <t>LOG</t>
        </is>
      </c>
      <c r="E176" t="inlineStr">
        <is>
          <t>WRM Harian</t>
        </is>
      </c>
      <c r="F176" t="inlineStr">
        <is>
          <t>08:48:21</t>
        </is>
      </c>
      <c r="G176" t="inlineStr"/>
      <c r="H176" t="inlineStr">
        <is>
          <t>DI DALAM</t>
        </is>
      </c>
      <c r="I176" t="inlineStr">
        <is>
          <t>MK00186</t>
        </is>
      </c>
      <c r="J176" t="inlineStr"/>
    </row>
    <row r="177">
      <c r="A177" t="inlineStr">
        <is>
          <t>02/05/2026</t>
        </is>
      </c>
      <c r="B177" t="inlineStr">
        <is>
          <t>528000201</t>
        </is>
      </c>
      <c r="C177" t="inlineStr">
        <is>
          <t>Zahwa Amelia Choerunissa</t>
        </is>
      </c>
      <c r="D177" t="inlineStr">
        <is>
          <t>PROD</t>
        </is>
      </c>
      <c r="E177" t="inlineStr">
        <is>
          <t>Produksi Harian</t>
        </is>
      </c>
      <c r="F177" t="inlineStr">
        <is>
          <t>13:39:06</t>
        </is>
      </c>
      <c r="G177" t="inlineStr">
        <is>
          <t>22:07:14</t>
        </is>
      </c>
      <c r="H177" t="inlineStr">
        <is>
          <t>SELESAI</t>
        </is>
      </c>
      <c r="I177" t="inlineStr">
        <is>
          <t>MK00250</t>
        </is>
      </c>
      <c r="J177" t="inlineStr"/>
    </row>
    <row r="178">
      <c r="A178" t="inlineStr">
        <is>
          <t>02/05/2026</t>
        </is>
      </c>
      <c r="B178" t="inlineStr">
        <is>
          <t>528000203</t>
        </is>
      </c>
      <c r="C178" t="inlineStr">
        <is>
          <t>Yudha Ramdhan Putra</t>
        </is>
      </c>
      <c r="D178" t="inlineStr">
        <is>
          <t>ENG</t>
        </is>
      </c>
      <c r="E178" t="inlineStr">
        <is>
          <t>Engineering Harian</t>
        </is>
      </c>
      <c r="F178" t="inlineStr">
        <is>
          <t>08:54:27</t>
        </is>
      </c>
      <c r="G178" t="inlineStr"/>
      <c r="H178" t="inlineStr">
        <is>
          <t>DI DALAM</t>
        </is>
      </c>
      <c r="I178" t="inlineStr">
        <is>
          <t>MK00212</t>
        </is>
      </c>
      <c r="J178" t="inlineStr"/>
    </row>
    <row r="179">
      <c r="A179" t="inlineStr">
        <is>
          <t>02/05/2026</t>
        </is>
      </c>
      <c r="B179" t="inlineStr">
        <is>
          <t>528000212</t>
        </is>
      </c>
      <c r="C179" t="inlineStr">
        <is>
          <t>Rizal Fauzi</t>
        </is>
      </c>
      <c r="D179" t="inlineStr">
        <is>
          <t>PROD</t>
        </is>
      </c>
      <c r="E179" t="inlineStr">
        <is>
          <t>Produksi Harian</t>
        </is>
      </c>
      <c r="F179" t="inlineStr">
        <is>
          <t>13:32:18</t>
        </is>
      </c>
      <c r="G179" t="inlineStr">
        <is>
          <t>13:30:53</t>
        </is>
      </c>
      <c r="H179" t="inlineStr">
        <is>
          <t>SELESAI</t>
        </is>
      </c>
      <c r="I179" t="inlineStr">
        <is>
          <t>MK00246</t>
        </is>
      </c>
      <c r="J179" t="inlineStr"/>
    </row>
    <row r="180">
      <c r="A180" t="inlineStr">
        <is>
          <t>02/05/2026</t>
        </is>
      </c>
      <c r="B180" t="inlineStr">
        <is>
          <t>528000228</t>
        </is>
      </c>
      <c r="C180" t="inlineStr">
        <is>
          <t>Banyu Resmi Putri</t>
        </is>
      </c>
      <c r="D180" t="inlineStr">
        <is>
          <t>PROD</t>
        </is>
      </c>
      <c r="E180" t="inlineStr">
        <is>
          <t>Produksi Harian</t>
        </is>
      </c>
      <c r="F180" t="inlineStr">
        <is>
          <t>13:47:03</t>
        </is>
      </c>
      <c r="G180" t="inlineStr">
        <is>
          <t>22:08:33</t>
        </is>
      </c>
      <c r="H180" t="inlineStr">
        <is>
          <t>SELESAI</t>
        </is>
      </c>
      <c r="I180" t="inlineStr">
        <is>
          <t>MK00113</t>
        </is>
      </c>
      <c r="J180" t="inlineStr"/>
    </row>
    <row r="181">
      <c r="A181" t="inlineStr">
        <is>
          <t>02/05/2026</t>
        </is>
      </c>
      <c r="B181" t="inlineStr">
        <is>
          <t>528000241</t>
        </is>
      </c>
      <c r="C181" t="inlineStr">
        <is>
          <t>Balia Nurafif Bilah</t>
        </is>
      </c>
      <c r="D181" t="inlineStr">
        <is>
          <t>PROD</t>
        </is>
      </c>
      <c r="E181" t="inlineStr">
        <is>
          <t>Produksi Harian</t>
        </is>
      </c>
      <c r="F181" t="inlineStr">
        <is>
          <t>13:51:14</t>
        </is>
      </c>
      <c r="G181" t="inlineStr">
        <is>
          <t>22:04:45</t>
        </is>
      </c>
      <c r="H181" t="inlineStr">
        <is>
          <t>SELESAI</t>
        </is>
      </c>
      <c r="I181" t="inlineStr">
        <is>
          <t>MK00156</t>
        </is>
      </c>
      <c r="J181" t="inlineStr"/>
    </row>
    <row r="182">
      <c r="A182" t="inlineStr">
        <is>
          <t>02/05/2026</t>
        </is>
      </c>
      <c r="B182" t="inlineStr">
        <is>
          <t>528000244</t>
        </is>
      </c>
      <c r="C182" t="inlineStr">
        <is>
          <t>Rodian Rifai</t>
        </is>
      </c>
      <c r="D182" t="inlineStr">
        <is>
          <t>PROD</t>
        </is>
      </c>
      <c r="E182" t="inlineStr">
        <is>
          <t>Produksi Harian</t>
        </is>
      </c>
      <c r="F182" t="inlineStr">
        <is>
          <t>13:48:10</t>
        </is>
      </c>
      <c r="G182" t="inlineStr">
        <is>
          <t>22:06:45</t>
        </is>
      </c>
      <c r="H182" t="inlineStr">
        <is>
          <t>SELESAI</t>
        </is>
      </c>
      <c r="I182" t="inlineStr">
        <is>
          <t>MK00154</t>
        </is>
      </c>
      <c r="J182" t="inlineStr">
        <is>
          <t>22F</t>
        </is>
      </c>
    </row>
    <row r="183">
      <c r="A183" t="inlineStr">
        <is>
          <t>02/05/2026</t>
        </is>
      </c>
      <c r="B183" t="inlineStr">
        <is>
          <t>528000261</t>
        </is>
      </c>
      <c r="C183" t="inlineStr">
        <is>
          <t>Ergi Ergianto</t>
        </is>
      </c>
      <c r="D183" t="inlineStr">
        <is>
          <t>HRGA</t>
        </is>
      </c>
      <c r="E183" t="inlineStr">
        <is>
          <t>GA Harian</t>
        </is>
      </c>
      <c r="F183" t="inlineStr">
        <is>
          <t>21:51:09</t>
        </is>
      </c>
      <c r="G183" t="inlineStr">
        <is>
          <t>06:02:45</t>
        </is>
      </c>
      <c r="H183" t="inlineStr">
        <is>
          <t>SELESAI</t>
        </is>
      </c>
      <c r="I183" t="inlineStr">
        <is>
          <t>MK00221</t>
        </is>
      </c>
      <c r="J183" t="inlineStr"/>
    </row>
    <row r="184">
      <c r="A184" t="inlineStr">
        <is>
          <t>02/05/2026</t>
        </is>
      </c>
      <c r="B184" t="inlineStr">
        <is>
          <t>528000262</t>
        </is>
      </c>
      <c r="C184" t="inlineStr">
        <is>
          <t>Ndari Dwiwanti</t>
        </is>
      </c>
      <c r="D184" t="inlineStr">
        <is>
          <t>PROD</t>
        </is>
      </c>
      <c r="E184" t="inlineStr">
        <is>
          <t>Produksi Harian</t>
        </is>
      </c>
      <c r="F184" t="inlineStr">
        <is>
          <t>21:30:50</t>
        </is>
      </c>
      <c r="G184" t="inlineStr">
        <is>
          <t>06:02:00</t>
        </is>
      </c>
      <c r="H184" t="inlineStr">
        <is>
          <t>SELESAI</t>
        </is>
      </c>
      <c r="I184" t="inlineStr">
        <is>
          <t>MK00085</t>
        </is>
      </c>
      <c r="J184" t="inlineStr"/>
    </row>
    <row r="185">
      <c r="A185" t="inlineStr">
        <is>
          <t>02/05/2026</t>
        </is>
      </c>
      <c r="B185" t="inlineStr">
        <is>
          <t>528000265</t>
        </is>
      </c>
      <c r="C185" t="inlineStr">
        <is>
          <t>Muhammad Haerul Rozikin</t>
        </is>
      </c>
      <c r="D185" t="inlineStr">
        <is>
          <t>LOG</t>
        </is>
      </c>
      <c r="E185" t="inlineStr">
        <is>
          <t>WRM Harian</t>
        </is>
      </c>
      <c r="F185" t="inlineStr">
        <is>
          <t>07:50:17</t>
        </is>
      </c>
      <c r="G185" t="inlineStr">
        <is>
          <t>16:21:12</t>
        </is>
      </c>
      <c r="H185" t="inlineStr">
        <is>
          <t>SELESAI</t>
        </is>
      </c>
      <c r="I185" t="inlineStr">
        <is>
          <t>MK00249</t>
        </is>
      </c>
      <c r="J185" t="inlineStr"/>
    </row>
    <row r="186">
      <c r="A186" t="inlineStr">
        <is>
          <t>02/05/2026</t>
        </is>
      </c>
      <c r="B186" t="inlineStr">
        <is>
          <t>528000266</t>
        </is>
      </c>
      <c r="C186" t="inlineStr">
        <is>
          <t>M. Syirajatieq</t>
        </is>
      </c>
      <c r="D186" t="inlineStr">
        <is>
          <t>LOG</t>
        </is>
      </c>
      <c r="E186" t="inlineStr">
        <is>
          <t>WFG Harian</t>
        </is>
      </c>
      <c r="F186" t="inlineStr">
        <is>
          <t>21:52:15</t>
        </is>
      </c>
      <c r="G186" t="inlineStr">
        <is>
          <t>06:03:01</t>
        </is>
      </c>
      <c r="H186" t="inlineStr">
        <is>
          <t>SELESAI</t>
        </is>
      </c>
      <c r="I186" t="inlineStr">
        <is>
          <t>MK00150</t>
        </is>
      </c>
      <c r="J186" t="inlineStr"/>
    </row>
    <row r="187">
      <c r="A187" t="inlineStr">
        <is>
          <t>02/05/2026</t>
        </is>
      </c>
      <c r="B187" t="inlineStr">
        <is>
          <t>528000267</t>
        </is>
      </c>
      <c r="C187" t="inlineStr">
        <is>
          <t>Bagas Patulloh</t>
        </is>
      </c>
      <c r="D187" t="inlineStr">
        <is>
          <t>LOG</t>
        </is>
      </c>
      <c r="E187" t="inlineStr">
        <is>
          <t>WRM Harian</t>
        </is>
      </c>
      <c r="F187" t="inlineStr">
        <is>
          <t>15:40:23</t>
        </is>
      </c>
      <c r="G187" t="inlineStr"/>
      <c r="H187" t="inlineStr">
        <is>
          <t>DI DALAM</t>
        </is>
      </c>
      <c r="I187" t="inlineStr">
        <is>
          <t>128000267</t>
        </is>
      </c>
      <c r="J187" t="inlineStr"/>
    </row>
    <row r="188">
      <c r="A188" t="inlineStr">
        <is>
          <t>02/05/2026</t>
        </is>
      </c>
      <c r="B188" t="inlineStr">
        <is>
          <t>528000274</t>
        </is>
      </c>
      <c r="C188" t="inlineStr">
        <is>
          <t>Zepri</t>
        </is>
      </c>
      <c r="D188" t="inlineStr">
        <is>
          <t>PROD</t>
        </is>
      </c>
      <c r="E188" t="inlineStr">
        <is>
          <t>Produksi Harian</t>
        </is>
      </c>
      <c r="F188" t="inlineStr">
        <is>
          <t>13:51:58</t>
        </is>
      </c>
      <c r="G188" t="inlineStr">
        <is>
          <t>22:13:17</t>
        </is>
      </c>
      <c r="H188" t="inlineStr">
        <is>
          <t>SELESAI</t>
        </is>
      </c>
      <c r="I188" t="inlineStr">
        <is>
          <t>MK00126</t>
        </is>
      </c>
      <c r="J188" t="inlineStr"/>
    </row>
    <row r="189">
      <c r="A189" t="inlineStr">
        <is>
          <t>02/05/2026</t>
        </is>
      </c>
      <c r="B189" t="inlineStr">
        <is>
          <t>528000279</t>
        </is>
      </c>
      <c r="C189" t="inlineStr">
        <is>
          <t>Mahdalena Dalfa Riani</t>
        </is>
      </c>
      <c r="D189" t="inlineStr">
        <is>
          <t>PROD</t>
        </is>
      </c>
      <c r="E189" t="inlineStr">
        <is>
          <t>Produksi Harian</t>
        </is>
      </c>
      <c r="F189" t="inlineStr"/>
      <c r="G189" t="inlineStr">
        <is>
          <t>05:58:16</t>
        </is>
      </c>
      <c r="H189" t="inlineStr">
        <is>
          <t>KELUAR TANPA MASUK</t>
        </is>
      </c>
      <c r="I189" t="inlineStr">
        <is>
          <t>MK00151</t>
        </is>
      </c>
      <c r="J189" t="inlineStr"/>
    </row>
    <row r="190">
      <c r="A190" t="inlineStr">
        <is>
          <t>02/05/2026</t>
        </is>
      </c>
      <c r="B190" t="inlineStr">
        <is>
          <t>528000282</t>
        </is>
      </c>
      <c r="C190" t="inlineStr">
        <is>
          <t>Defa Desfiana</t>
        </is>
      </c>
      <c r="D190" t="inlineStr">
        <is>
          <t>PROD</t>
        </is>
      </c>
      <c r="E190" t="inlineStr">
        <is>
          <t>Produksi Harian</t>
        </is>
      </c>
      <c r="F190" t="inlineStr">
        <is>
          <t>07:27:21</t>
        </is>
      </c>
      <c r="G190" t="inlineStr">
        <is>
          <t>16:05:54</t>
        </is>
      </c>
      <c r="H190" t="inlineStr">
        <is>
          <t>SELESAI</t>
        </is>
      </c>
      <c r="I190" t="inlineStr">
        <is>
          <t>MK00141</t>
        </is>
      </c>
      <c r="J190" t="inlineStr">
        <is>
          <t>23c</t>
        </is>
      </c>
    </row>
    <row r="191">
      <c r="A191" t="inlineStr">
        <is>
          <t>02/05/2026</t>
        </is>
      </c>
      <c r="B191" t="inlineStr">
        <is>
          <t>528000283</t>
        </is>
      </c>
      <c r="C191" t="inlineStr">
        <is>
          <t>Purwanda Sugiri</t>
        </is>
      </c>
      <c r="D191" t="inlineStr">
        <is>
          <t>LOG</t>
        </is>
      </c>
      <c r="E191" t="inlineStr">
        <is>
          <t>WRM Harian</t>
        </is>
      </c>
      <c r="F191" t="inlineStr">
        <is>
          <t>21:53:18</t>
        </is>
      </c>
      <c r="G191" t="inlineStr">
        <is>
          <t>06:05:14</t>
        </is>
      </c>
      <c r="H191" t="inlineStr">
        <is>
          <t>SELESAI</t>
        </is>
      </c>
      <c r="I191" t="inlineStr">
        <is>
          <t>MK00138</t>
        </is>
      </c>
      <c r="J191" t="inlineStr"/>
    </row>
    <row r="192">
      <c r="A192" t="inlineStr">
        <is>
          <t>02/05/2026</t>
        </is>
      </c>
      <c r="B192" t="inlineStr">
        <is>
          <t>528000286</t>
        </is>
      </c>
      <c r="C192" t="inlineStr">
        <is>
          <t>Imelda Amelia</t>
        </is>
      </c>
      <c r="D192" t="inlineStr">
        <is>
          <t>PROD</t>
        </is>
      </c>
      <c r="E192" t="inlineStr">
        <is>
          <t>Produksi Harian</t>
        </is>
      </c>
      <c r="F192" t="inlineStr">
        <is>
          <t>13:41:28</t>
        </is>
      </c>
      <c r="G192" t="inlineStr">
        <is>
          <t>22:09:14</t>
        </is>
      </c>
      <c r="H192" t="inlineStr">
        <is>
          <t>SELESAI</t>
        </is>
      </c>
      <c r="I192" t="inlineStr">
        <is>
          <t>MK00046</t>
        </is>
      </c>
      <c r="J192" t="inlineStr"/>
    </row>
    <row r="193">
      <c r="A193" t="inlineStr">
        <is>
          <t>02/05/2026</t>
        </is>
      </c>
      <c r="B193" t="inlineStr">
        <is>
          <t>528000287</t>
        </is>
      </c>
      <c r="C193" t="inlineStr">
        <is>
          <t>Muhamad Angga Ramdani</t>
        </is>
      </c>
      <c r="D193" t="inlineStr">
        <is>
          <t>PROD</t>
        </is>
      </c>
      <c r="E193" t="inlineStr">
        <is>
          <t>Produksi Harian</t>
        </is>
      </c>
      <c r="F193" t="inlineStr">
        <is>
          <t>07:49:53</t>
        </is>
      </c>
      <c r="G193" t="inlineStr">
        <is>
          <t>16:10:08</t>
        </is>
      </c>
      <c r="H193" t="inlineStr">
        <is>
          <t>SELESAI</t>
        </is>
      </c>
      <c r="I193" t="inlineStr">
        <is>
          <t>MK00200</t>
        </is>
      </c>
      <c r="J193" t="inlineStr"/>
    </row>
    <row r="194">
      <c r="A194" t="inlineStr">
        <is>
          <t>02/05/2026</t>
        </is>
      </c>
      <c r="B194" t="inlineStr">
        <is>
          <t>528000290</t>
        </is>
      </c>
      <c r="C194" t="inlineStr">
        <is>
          <t>Eval Pranata</t>
        </is>
      </c>
      <c r="D194" t="inlineStr">
        <is>
          <t>PROD</t>
        </is>
      </c>
      <c r="E194" t="inlineStr">
        <is>
          <t>Produksi Harian</t>
        </is>
      </c>
      <c r="F194" t="inlineStr">
        <is>
          <t>13:52:09</t>
        </is>
      </c>
      <c r="G194" t="inlineStr">
        <is>
          <t>22:05:46</t>
        </is>
      </c>
      <c r="H194" t="inlineStr">
        <is>
          <t>SELESAI</t>
        </is>
      </c>
      <c r="I194" t="inlineStr">
        <is>
          <t>MK00145</t>
        </is>
      </c>
      <c r="J194" t="inlineStr"/>
    </row>
    <row r="195">
      <c r="A195" t="inlineStr">
        <is>
          <t>02/05/2026</t>
        </is>
      </c>
      <c r="B195" t="inlineStr">
        <is>
          <t>528000291</t>
        </is>
      </c>
      <c r="C195" t="inlineStr">
        <is>
          <t>Andrian</t>
        </is>
      </c>
      <c r="D195" t="inlineStr">
        <is>
          <t>PROD</t>
        </is>
      </c>
      <c r="E195" t="inlineStr">
        <is>
          <t>Produksi Harian</t>
        </is>
      </c>
      <c r="F195" t="inlineStr">
        <is>
          <t>21:52:54</t>
        </is>
      </c>
      <c r="G195" t="inlineStr">
        <is>
          <t>06:05:10</t>
        </is>
      </c>
      <c r="H195" t="inlineStr">
        <is>
          <t>SELESAI</t>
        </is>
      </c>
      <c r="I195" t="inlineStr">
        <is>
          <t>MK000184</t>
        </is>
      </c>
      <c r="J195" t="inlineStr"/>
    </row>
    <row r="196">
      <c r="A196" t="inlineStr">
        <is>
          <t>02/05/2026</t>
        </is>
      </c>
      <c r="B196" t="inlineStr">
        <is>
          <t>528000296</t>
        </is>
      </c>
      <c r="C196" t="inlineStr">
        <is>
          <t>Nurdin</t>
        </is>
      </c>
      <c r="D196" t="inlineStr">
        <is>
          <t>PROD</t>
        </is>
      </c>
      <c r="E196" t="inlineStr">
        <is>
          <t>Produksi Harian</t>
        </is>
      </c>
      <c r="F196" t="inlineStr"/>
      <c r="G196" t="inlineStr">
        <is>
          <t>13:48:05</t>
        </is>
      </c>
      <c r="H196" t="inlineStr">
        <is>
          <t>KELUAR TANPA MASUK</t>
        </is>
      </c>
      <c r="I196" t="inlineStr">
        <is>
          <t>MK00138</t>
        </is>
      </c>
      <c r="J196" t="inlineStr"/>
    </row>
    <row r="197">
      <c r="A197" t="inlineStr">
        <is>
          <t>02/05/2026</t>
        </is>
      </c>
      <c r="B197" t="inlineStr">
        <is>
          <t>528000297</t>
        </is>
      </c>
      <c r="C197" t="inlineStr">
        <is>
          <t>Muhamad Budiana</t>
        </is>
      </c>
      <c r="D197" t="inlineStr">
        <is>
          <t>PROD</t>
        </is>
      </c>
      <c r="E197" t="inlineStr">
        <is>
          <t>Produksi Harian</t>
        </is>
      </c>
      <c r="F197" t="inlineStr">
        <is>
          <t>05:54:29</t>
        </is>
      </c>
      <c r="G197" t="inlineStr">
        <is>
          <t>14:14:36</t>
        </is>
      </c>
      <c r="H197" t="inlineStr">
        <is>
          <t>SELESAI</t>
        </is>
      </c>
      <c r="I197" t="inlineStr">
        <is>
          <t>MK00116</t>
        </is>
      </c>
      <c r="J197" t="inlineStr"/>
    </row>
    <row r="198">
      <c r="A198" t="inlineStr">
        <is>
          <t>02/05/2026</t>
        </is>
      </c>
      <c r="B198" t="inlineStr">
        <is>
          <t>528000300</t>
        </is>
      </c>
      <c r="C198" t="inlineStr">
        <is>
          <t>Lia pitaloka</t>
        </is>
      </c>
      <c r="D198" t="inlineStr">
        <is>
          <t>PROD</t>
        </is>
      </c>
      <c r="E198" t="inlineStr">
        <is>
          <t>Produksi Harian</t>
        </is>
      </c>
      <c r="F198" t="inlineStr">
        <is>
          <t>05:44:31</t>
        </is>
      </c>
      <c r="G198" t="inlineStr"/>
      <c r="H198" t="inlineStr">
        <is>
          <t>DI DALAM</t>
        </is>
      </c>
      <c r="I198" t="inlineStr">
        <is>
          <t>MK000209</t>
        </is>
      </c>
      <c r="J198" t="inlineStr"/>
    </row>
    <row r="199">
      <c r="A199" t="inlineStr">
        <is>
          <t>02/05/2026</t>
        </is>
      </c>
      <c r="B199" t="inlineStr">
        <is>
          <t>528000301</t>
        </is>
      </c>
      <c r="C199" t="inlineStr">
        <is>
          <t>Muhammad Mukti Ridwan</t>
        </is>
      </c>
      <c r="D199" t="inlineStr">
        <is>
          <t>PROD</t>
        </is>
      </c>
      <c r="E199" t="inlineStr">
        <is>
          <t>Produksi Harian</t>
        </is>
      </c>
      <c r="F199" t="inlineStr">
        <is>
          <t>21:52:47</t>
        </is>
      </c>
      <c r="G199" t="inlineStr">
        <is>
          <t>06:08:48</t>
        </is>
      </c>
      <c r="H199" t="inlineStr">
        <is>
          <t>SELESAI</t>
        </is>
      </c>
      <c r="I199" t="inlineStr">
        <is>
          <t>MK00155</t>
        </is>
      </c>
      <c r="J199" t="inlineStr"/>
    </row>
    <row r="200">
      <c r="A200" t="inlineStr">
        <is>
          <t>02/05/2026</t>
        </is>
      </c>
      <c r="B200" t="inlineStr">
        <is>
          <t>528000348</t>
        </is>
      </c>
      <c r="C200" t="inlineStr">
        <is>
          <t>Saepuloh Ardiansah</t>
        </is>
      </c>
      <c r="D200" t="inlineStr">
        <is>
          <t>LOG</t>
        </is>
      </c>
      <c r="E200" t="inlineStr">
        <is>
          <t>WRM Harian</t>
        </is>
      </c>
      <c r="F200" t="inlineStr">
        <is>
          <t>08:53:58</t>
        </is>
      </c>
      <c r="G200" t="inlineStr"/>
      <c r="H200" t="inlineStr">
        <is>
          <t>DI DALAM</t>
        </is>
      </c>
      <c r="I200" t="inlineStr">
        <is>
          <t>MK00199</t>
        </is>
      </c>
      <c r="J200" t="inlineStr"/>
    </row>
    <row r="201">
      <c r="A201" t="inlineStr">
        <is>
          <t>02/05/2026</t>
        </is>
      </c>
      <c r="B201" t="inlineStr">
        <is>
          <t>528000349</t>
        </is>
      </c>
      <c r="C201" t="inlineStr">
        <is>
          <t>Anas Abdul Fatah</t>
        </is>
      </c>
      <c r="D201" t="inlineStr">
        <is>
          <t>LOG</t>
        </is>
      </c>
      <c r="E201" t="inlineStr">
        <is>
          <t>WFG Harian</t>
        </is>
      </c>
      <c r="F201" t="inlineStr">
        <is>
          <t>07:51:27</t>
        </is>
      </c>
      <c r="G201" t="inlineStr">
        <is>
          <t>07:51:01</t>
        </is>
      </c>
      <c r="H201" t="inlineStr">
        <is>
          <t>SELESAI</t>
        </is>
      </c>
      <c r="I201" t="inlineStr">
        <is>
          <t>MK00205</t>
        </is>
      </c>
      <c r="J201" t="inlineStr"/>
    </row>
    <row r="202">
      <c r="A202" t="inlineStr">
        <is>
          <t>02/05/2026</t>
        </is>
      </c>
      <c r="B202" t="inlineStr">
        <is>
          <t>528000351</t>
        </is>
      </c>
      <c r="C202" t="inlineStr">
        <is>
          <t>Mulyana</t>
        </is>
      </c>
      <c r="D202" t="inlineStr">
        <is>
          <t>PROD</t>
        </is>
      </c>
      <c r="E202" t="inlineStr">
        <is>
          <t>Produksi Harian</t>
        </is>
      </c>
      <c r="F202" t="inlineStr">
        <is>
          <t>07:44:12</t>
        </is>
      </c>
      <c r="G202" t="inlineStr">
        <is>
          <t>16:01:36</t>
        </is>
      </c>
      <c r="H202" t="inlineStr">
        <is>
          <t>SELESAI</t>
        </is>
      </c>
      <c r="I202" t="inlineStr">
        <is>
          <t>MK0082</t>
        </is>
      </c>
      <c r="J202" t="inlineStr"/>
    </row>
    <row r="203">
      <c r="A203" t="inlineStr">
        <is>
          <t>02/05/2026</t>
        </is>
      </c>
      <c r="B203" t="inlineStr">
        <is>
          <t>528000358</t>
        </is>
      </c>
      <c r="C203" t="inlineStr">
        <is>
          <t>Lulu Agustin</t>
        </is>
      </c>
      <c r="D203" t="inlineStr">
        <is>
          <t>PROD</t>
        </is>
      </c>
      <c r="E203" t="inlineStr">
        <is>
          <t>Produksi Harian</t>
        </is>
      </c>
      <c r="F203" t="inlineStr">
        <is>
          <t>00:44:59</t>
        </is>
      </c>
      <c r="G203" t="inlineStr">
        <is>
          <t>00:44:52</t>
        </is>
      </c>
      <c r="H203" t="inlineStr">
        <is>
          <t>SELESAI</t>
        </is>
      </c>
      <c r="I203" t="inlineStr">
        <is>
          <t>MK00249</t>
        </is>
      </c>
      <c r="J203" t="inlineStr"/>
    </row>
    <row r="204">
      <c r="A204" t="inlineStr">
        <is>
          <t>03/05/2026</t>
        </is>
      </c>
      <c r="B204" t="inlineStr">
        <is>
          <t>528000069</t>
        </is>
      </c>
      <c r="C204" t="inlineStr">
        <is>
          <t>Jajang Ardiansyah</t>
        </is>
      </c>
      <c r="D204" t="inlineStr">
        <is>
          <t>PROD</t>
        </is>
      </c>
      <c r="E204" t="inlineStr">
        <is>
          <t>Produksi Harian</t>
        </is>
      </c>
      <c r="F204" t="inlineStr"/>
      <c r="G204" t="inlineStr">
        <is>
          <t>19:58:31</t>
        </is>
      </c>
      <c r="H204" t="inlineStr">
        <is>
          <t>KELUAR TANPA MASUK</t>
        </is>
      </c>
      <c r="I204" t="inlineStr">
        <is>
          <t>MK00088</t>
        </is>
      </c>
      <c r="J204" t="inlineStr"/>
    </row>
    <row r="205">
      <c r="A205" t="inlineStr">
        <is>
          <t>03/05/2026</t>
        </is>
      </c>
      <c r="B205" t="inlineStr">
        <is>
          <t>528000099</t>
        </is>
      </c>
      <c r="C205" t="inlineStr">
        <is>
          <t>Siti Nurawaliah</t>
        </is>
      </c>
      <c r="D205" t="inlineStr">
        <is>
          <t>PROD</t>
        </is>
      </c>
      <c r="E205" t="inlineStr">
        <is>
          <t>Produksi Harian</t>
        </is>
      </c>
      <c r="F205" t="inlineStr">
        <is>
          <t>13:31:21</t>
        </is>
      </c>
      <c r="G205" t="inlineStr">
        <is>
          <t>22:08:33</t>
        </is>
      </c>
      <c r="H205" t="inlineStr">
        <is>
          <t>SELESAI</t>
        </is>
      </c>
      <c r="I205" t="inlineStr">
        <is>
          <t>MK00148</t>
        </is>
      </c>
      <c r="J205" t="inlineStr"/>
    </row>
    <row r="206">
      <c r="A206" t="inlineStr">
        <is>
          <t>03/05/2026</t>
        </is>
      </c>
      <c r="B206" t="inlineStr">
        <is>
          <t>528000144</t>
        </is>
      </c>
      <c r="C206" t="inlineStr">
        <is>
          <t>Jodi Hanafi</t>
        </is>
      </c>
      <c r="D206" t="inlineStr">
        <is>
          <t>LOG</t>
        </is>
      </c>
      <c r="E206" t="inlineStr">
        <is>
          <t>WRM Harian</t>
        </is>
      </c>
      <c r="F206" t="inlineStr">
        <is>
          <t>08:42:21</t>
        </is>
      </c>
      <c r="G206" t="inlineStr">
        <is>
          <t>16:04:53</t>
        </is>
      </c>
      <c r="H206" t="inlineStr">
        <is>
          <t>SELESAI</t>
        </is>
      </c>
      <c r="I206" t="inlineStr">
        <is>
          <t>MK00150</t>
        </is>
      </c>
      <c r="J206" t="inlineStr"/>
    </row>
    <row r="207">
      <c r="A207" t="inlineStr">
        <is>
          <t>03/05/2026</t>
        </is>
      </c>
      <c r="B207" t="inlineStr">
        <is>
          <t>528000149</t>
        </is>
      </c>
      <c r="C207" t="inlineStr">
        <is>
          <t>Tio Fernanda</t>
        </is>
      </c>
      <c r="D207" t="inlineStr">
        <is>
          <t>LOG</t>
        </is>
      </c>
      <c r="E207" t="inlineStr">
        <is>
          <t>WRM Harian</t>
        </is>
      </c>
      <c r="F207" t="inlineStr">
        <is>
          <t>08:40:25</t>
        </is>
      </c>
      <c r="G207" t="inlineStr">
        <is>
          <t>17:02:10</t>
        </is>
      </c>
      <c r="H207" t="inlineStr">
        <is>
          <t>SELESAI</t>
        </is>
      </c>
      <c r="I207" t="inlineStr">
        <is>
          <t>MK00186</t>
        </is>
      </c>
      <c r="J207" t="inlineStr"/>
    </row>
    <row r="208">
      <c r="A208" t="inlineStr">
        <is>
          <t>03/05/2026</t>
        </is>
      </c>
      <c r="B208" t="inlineStr">
        <is>
          <t>528000201</t>
        </is>
      </c>
      <c r="C208" t="inlineStr">
        <is>
          <t>Zahwa Amelia Choerunissa</t>
        </is>
      </c>
      <c r="D208" t="inlineStr">
        <is>
          <t>PROD</t>
        </is>
      </c>
      <c r="E208" t="inlineStr">
        <is>
          <t>Produksi Harian</t>
        </is>
      </c>
      <c r="F208" t="inlineStr">
        <is>
          <t>13:30:13</t>
        </is>
      </c>
      <c r="G208" t="inlineStr">
        <is>
          <t>22:07:53</t>
        </is>
      </c>
      <c r="H208" t="inlineStr">
        <is>
          <t>SELESAI</t>
        </is>
      </c>
      <c r="I208" t="inlineStr">
        <is>
          <t>MK00158</t>
        </is>
      </c>
      <c r="J208" t="inlineStr"/>
    </row>
    <row r="209">
      <c r="A209" t="inlineStr">
        <is>
          <t>03/05/2026</t>
        </is>
      </c>
      <c r="B209" t="inlineStr">
        <is>
          <t>528000203</t>
        </is>
      </c>
      <c r="C209" t="inlineStr">
        <is>
          <t>Yudha Ramdhan Putra</t>
        </is>
      </c>
      <c r="D209" t="inlineStr">
        <is>
          <t>ENG</t>
        </is>
      </c>
      <c r="E209" t="inlineStr">
        <is>
          <t>Engineering Harian</t>
        </is>
      </c>
      <c r="F209" t="inlineStr">
        <is>
          <t>09:04:20</t>
        </is>
      </c>
      <c r="G209" t="inlineStr">
        <is>
          <t>09:00:44</t>
        </is>
      </c>
      <c r="H209" t="inlineStr">
        <is>
          <t>SELESAI</t>
        </is>
      </c>
      <c r="I209" t="inlineStr">
        <is>
          <t>MK00151</t>
        </is>
      </c>
      <c r="J209" t="inlineStr"/>
    </row>
    <row r="210">
      <c r="A210" t="inlineStr">
        <is>
          <t>03/05/2026</t>
        </is>
      </c>
      <c r="B210" t="inlineStr">
        <is>
          <t>528000210</t>
        </is>
      </c>
      <c r="C210" t="inlineStr">
        <is>
          <t>Muhamad Aldi Agustiana</t>
        </is>
      </c>
      <c r="D210" t="inlineStr">
        <is>
          <t>PROD</t>
        </is>
      </c>
      <c r="E210" t="inlineStr">
        <is>
          <t>Produksi Harian</t>
        </is>
      </c>
      <c r="F210" t="inlineStr">
        <is>
          <t>05:56:13</t>
        </is>
      </c>
      <c r="G210" t="inlineStr">
        <is>
          <t>14:04:29</t>
        </is>
      </c>
      <c r="H210" t="inlineStr">
        <is>
          <t>SELESAI</t>
        </is>
      </c>
      <c r="I210" t="inlineStr">
        <is>
          <t>MK00250</t>
        </is>
      </c>
      <c r="J210" t="inlineStr"/>
    </row>
    <row r="211">
      <c r="A211" t="inlineStr">
        <is>
          <t>03/05/2026</t>
        </is>
      </c>
      <c r="B211" t="inlineStr">
        <is>
          <t>528000228</t>
        </is>
      </c>
      <c r="C211" t="inlineStr">
        <is>
          <t>Banyu Resmi Putri</t>
        </is>
      </c>
      <c r="D211" t="inlineStr">
        <is>
          <t>PROD</t>
        </is>
      </c>
      <c r="E211" t="inlineStr">
        <is>
          <t>Produksi Harian</t>
        </is>
      </c>
      <c r="F211" t="inlineStr">
        <is>
          <t>13:50:38</t>
        </is>
      </c>
      <c r="G211" t="inlineStr">
        <is>
          <t>22:08:09</t>
        </is>
      </c>
      <c r="H211" t="inlineStr">
        <is>
          <t>SELESAI</t>
        </is>
      </c>
      <c r="I211" t="inlineStr">
        <is>
          <t>MK00199</t>
        </is>
      </c>
      <c r="J211" t="inlineStr"/>
    </row>
    <row r="212">
      <c r="A212" t="inlineStr">
        <is>
          <t>03/05/2026</t>
        </is>
      </c>
      <c r="B212" t="inlineStr">
        <is>
          <t>528000232</t>
        </is>
      </c>
      <c r="C212" t="inlineStr">
        <is>
          <t>Agung Aji Suhada</t>
        </is>
      </c>
      <c r="D212" t="inlineStr">
        <is>
          <t>LOG</t>
        </is>
      </c>
      <c r="E212" t="inlineStr">
        <is>
          <t>WRM Harian</t>
        </is>
      </c>
      <c r="F212" t="inlineStr">
        <is>
          <t>08:57:49</t>
        </is>
      </c>
      <c r="G212" t="inlineStr">
        <is>
          <t>17:08:20</t>
        </is>
      </c>
      <c r="H212" t="inlineStr">
        <is>
          <t>SELESAI</t>
        </is>
      </c>
      <c r="I212" t="inlineStr">
        <is>
          <t>CK00046</t>
        </is>
      </c>
      <c r="J212" t="inlineStr"/>
    </row>
    <row r="213">
      <c r="A213" t="inlineStr">
        <is>
          <t>03/05/2026</t>
        </is>
      </c>
      <c r="B213" t="inlineStr">
        <is>
          <t>528000244</t>
        </is>
      </c>
      <c r="C213" t="inlineStr">
        <is>
          <t>Rodian Rifai</t>
        </is>
      </c>
      <c r="D213" t="inlineStr">
        <is>
          <t>PROD</t>
        </is>
      </c>
      <c r="E213" t="inlineStr">
        <is>
          <t>Produksi Harian</t>
        </is>
      </c>
      <c r="F213" t="inlineStr">
        <is>
          <t>13:42:29</t>
        </is>
      </c>
      <c r="G213" t="inlineStr">
        <is>
          <t>22:06:51</t>
        </is>
      </c>
      <c r="H213" t="inlineStr">
        <is>
          <t>SELESAI</t>
        </is>
      </c>
      <c r="I213" t="inlineStr">
        <is>
          <t>MK00126</t>
        </is>
      </c>
      <c r="J213" t="inlineStr">
        <is>
          <t>4E</t>
        </is>
      </c>
    </row>
    <row r="214">
      <c r="A214" t="inlineStr">
        <is>
          <t>03/05/2026</t>
        </is>
      </c>
      <c r="B214" t="inlineStr">
        <is>
          <t>528000265</t>
        </is>
      </c>
      <c r="C214" t="inlineStr">
        <is>
          <t>Muhammad Haerul Rozikin</t>
        </is>
      </c>
      <c r="D214" t="inlineStr">
        <is>
          <t>LOG</t>
        </is>
      </c>
      <c r="E214" t="inlineStr">
        <is>
          <t>WRM Harian</t>
        </is>
      </c>
      <c r="F214" t="inlineStr">
        <is>
          <t>05:57:14</t>
        </is>
      </c>
      <c r="G214" t="inlineStr">
        <is>
          <t>14:02:58</t>
        </is>
      </c>
      <c r="H214" t="inlineStr">
        <is>
          <t>SELESAI</t>
        </is>
      </c>
      <c r="I214" t="inlineStr">
        <is>
          <t>MK00156</t>
        </is>
      </c>
      <c r="J214" t="inlineStr"/>
    </row>
    <row r="215">
      <c r="A215" t="inlineStr">
        <is>
          <t>03/05/2026</t>
        </is>
      </c>
      <c r="B215" t="inlineStr">
        <is>
          <t>528000279</t>
        </is>
      </c>
      <c r="C215" t="inlineStr">
        <is>
          <t>Mahdalena Dalfa Riani</t>
        </is>
      </c>
      <c r="D215" t="inlineStr">
        <is>
          <t>PROD</t>
        </is>
      </c>
      <c r="E215" t="inlineStr">
        <is>
          <t>Produksi Harian</t>
        </is>
      </c>
      <c r="F215" t="inlineStr">
        <is>
          <t>05:58:34</t>
        </is>
      </c>
      <c r="G215" t="inlineStr">
        <is>
          <t>14:11:23</t>
        </is>
      </c>
      <c r="H215" t="inlineStr">
        <is>
          <t>SELESAI</t>
        </is>
      </c>
      <c r="I215" t="inlineStr">
        <is>
          <t>MK00145</t>
        </is>
      </c>
      <c r="J215" t="inlineStr"/>
    </row>
    <row r="216">
      <c r="A216" t="inlineStr">
        <is>
          <t>03/05/2026</t>
        </is>
      </c>
      <c r="B216" t="inlineStr">
        <is>
          <t>528000282</t>
        </is>
      </c>
      <c r="C216" t="inlineStr">
        <is>
          <t>Defa Desfiana</t>
        </is>
      </c>
      <c r="D216" t="inlineStr">
        <is>
          <t>PROD</t>
        </is>
      </c>
      <c r="E216" t="inlineStr">
        <is>
          <t>Produksi Harian</t>
        </is>
      </c>
      <c r="F216" t="inlineStr">
        <is>
          <t>05:45:50</t>
        </is>
      </c>
      <c r="G216" t="inlineStr">
        <is>
          <t>14:04:21</t>
        </is>
      </c>
      <c r="H216" t="inlineStr">
        <is>
          <t>SELESAI</t>
        </is>
      </c>
      <c r="I216" t="inlineStr">
        <is>
          <t>MK00184</t>
        </is>
      </c>
      <c r="J216" t="inlineStr"/>
    </row>
    <row r="217">
      <c r="A217" t="inlineStr">
        <is>
          <t>03/05/2026</t>
        </is>
      </c>
      <c r="B217" t="inlineStr">
        <is>
          <t>528000286</t>
        </is>
      </c>
      <c r="C217" t="inlineStr">
        <is>
          <t>Imelda Amelia</t>
        </is>
      </c>
      <c r="D217" t="inlineStr">
        <is>
          <t>PROD</t>
        </is>
      </c>
      <c r="E217" t="inlineStr">
        <is>
          <t>Produksi Harian</t>
        </is>
      </c>
      <c r="F217" t="inlineStr">
        <is>
          <t>13:38:04</t>
        </is>
      </c>
      <c r="G217" t="inlineStr">
        <is>
          <t>21:50:50</t>
        </is>
      </c>
      <c r="H217" t="inlineStr">
        <is>
          <t>SELESAI</t>
        </is>
      </c>
      <c r="I217" t="inlineStr">
        <is>
          <t>MK00181</t>
        </is>
      </c>
      <c r="J217" t="inlineStr"/>
    </row>
    <row r="218">
      <c r="A218" t="inlineStr">
        <is>
          <t>03/05/2026</t>
        </is>
      </c>
      <c r="B218" t="inlineStr">
        <is>
          <t>528000287</t>
        </is>
      </c>
      <c r="C218" t="inlineStr">
        <is>
          <t>Muhamad Angga Ramdani</t>
        </is>
      </c>
      <c r="D218" t="inlineStr">
        <is>
          <t>PROD</t>
        </is>
      </c>
      <c r="E218" t="inlineStr">
        <is>
          <t>Produksi Harian</t>
        </is>
      </c>
      <c r="F218" t="inlineStr">
        <is>
          <t>07:48:52</t>
        </is>
      </c>
      <c r="G218" t="inlineStr">
        <is>
          <t>16:07:10</t>
        </is>
      </c>
      <c r="H218" t="inlineStr">
        <is>
          <t>SELESAI</t>
        </is>
      </c>
      <c r="I218" t="inlineStr">
        <is>
          <t>MK00113</t>
        </is>
      </c>
      <c r="J218" t="inlineStr"/>
    </row>
    <row r="219">
      <c r="A219" t="inlineStr">
        <is>
          <t>03/05/2026</t>
        </is>
      </c>
      <c r="B219" t="inlineStr">
        <is>
          <t>528000297</t>
        </is>
      </c>
      <c r="C219" t="inlineStr">
        <is>
          <t>Muhamad Budiana</t>
        </is>
      </c>
      <c r="D219" t="inlineStr">
        <is>
          <t>PROD</t>
        </is>
      </c>
      <c r="E219" t="inlineStr">
        <is>
          <t>Produksi Harian</t>
        </is>
      </c>
      <c r="F219" t="inlineStr">
        <is>
          <t>06:02:54</t>
        </is>
      </c>
      <c r="G219" t="inlineStr">
        <is>
          <t>14:05:46</t>
        </is>
      </c>
      <c r="H219" t="inlineStr">
        <is>
          <t>SELESAI</t>
        </is>
      </c>
      <c r="I219" t="inlineStr">
        <is>
          <t>MK00213</t>
        </is>
      </c>
      <c r="J219" t="inlineStr"/>
    </row>
    <row r="220">
      <c r="A220" t="inlineStr">
        <is>
          <t>03/05/2026</t>
        </is>
      </c>
      <c r="B220" t="inlineStr">
        <is>
          <t>528000306</t>
        </is>
      </c>
      <c r="C220" t="inlineStr">
        <is>
          <t>Windy Olivia</t>
        </is>
      </c>
      <c r="D220" t="inlineStr">
        <is>
          <t>PROD</t>
        </is>
      </c>
      <c r="E220" t="inlineStr">
        <is>
          <t>Produksi Harian</t>
        </is>
      </c>
      <c r="F220" t="inlineStr">
        <is>
          <t>05:43:14</t>
        </is>
      </c>
      <c r="G220" t="inlineStr">
        <is>
          <t>14:08:30</t>
        </is>
      </c>
      <c r="H220" t="inlineStr">
        <is>
          <t>SELESAI</t>
        </is>
      </c>
      <c r="I220" t="inlineStr">
        <is>
          <t>MK00136</t>
        </is>
      </c>
      <c r="J220" t="inlineStr"/>
    </row>
    <row r="221">
      <c r="A221" t="inlineStr">
        <is>
          <t>03/05/2026</t>
        </is>
      </c>
      <c r="B221" t="inlineStr">
        <is>
          <t>528000348</t>
        </is>
      </c>
      <c r="C221" t="inlineStr">
        <is>
          <t>Saepuloh Ardiansah</t>
        </is>
      </c>
      <c r="D221" t="inlineStr">
        <is>
          <t>LOG</t>
        </is>
      </c>
      <c r="E221" t="inlineStr">
        <is>
          <t>WRM Harian</t>
        </is>
      </c>
      <c r="F221" t="inlineStr">
        <is>
          <t>09:05:55</t>
        </is>
      </c>
      <c r="G221" t="inlineStr">
        <is>
          <t>17:00:38</t>
        </is>
      </c>
      <c r="H221" t="inlineStr">
        <is>
          <t>SELESAI</t>
        </is>
      </c>
      <c r="I221" t="inlineStr">
        <is>
          <t>MK00221</t>
        </is>
      </c>
      <c r="J221" t="inlineStr"/>
    </row>
    <row r="222">
      <c r="A222" t="inlineStr">
        <is>
          <t>03/05/2026</t>
        </is>
      </c>
      <c r="B222" t="inlineStr">
        <is>
          <t>528000349</t>
        </is>
      </c>
      <c r="C222" t="inlineStr">
        <is>
          <t>Anas Abdul Fatah</t>
        </is>
      </c>
      <c r="D222" t="inlineStr">
        <is>
          <t>LOG</t>
        </is>
      </c>
      <c r="E222" t="inlineStr">
        <is>
          <t>WFG Harian</t>
        </is>
      </c>
      <c r="F222" t="inlineStr">
        <is>
          <t>07:51:38</t>
        </is>
      </c>
      <c r="G222" t="inlineStr">
        <is>
          <t>16:08:06</t>
        </is>
      </c>
      <c r="H222" t="inlineStr">
        <is>
          <t>SELESAI</t>
        </is>
      </c>
      <c r="I222" t="inlineStr">
        <is>
          <t>MK00093</t>
        </is>
      </c>
      <c r="J222" t="inlineStr"/>
    </row>
    <row r="223">
      <c r="A223" t="inlineStr">
        <is>
          <t>03/05/2026</t>
        </is>
      </c>
      <c r="B223" t="inlineStr">
        <is>
          <t>528000351</t>
        </is>
      </c>
      <c r="C223" t="inlineStr">
        <is>
          <t>Mulyana</t>
        </is>
      </c>
      <c r="D223" t="inlineStr">
        <is>
          <t>PROD</t>
        </is>
      </c>
      <c r="E223" t="inlineStr">
        <is>
          <t>Produksi Harian</t>
        </is>
      </c>
      <c r="F223" t="inlineStr">
        <is>
          <t>07:48:31</t>
        </is>
      </c>
      <c r="G223" t="inlineStr">
        <is>
          <t>16:05:58</t>
        </is>
      </c>
      <c r="H223" t="inlineStr">
        <is>
          <t>SELESAI</t>
        </is>
      </c>
      <c r="I223" t="inlineStr">
        <is>
          <t>MK00155</t>
        </is>
      </c>
      <c r="J223" t="inlineStr"/>
    </row>
    <row r="224">
      <c r="A224" t="inlineStr">
        <is>
          <t>03/05/2026</t>
        </is>
      </c>
      <c r="B224" t="inlineStr">
        <is>
          <t>528000358</t>
        </is>
      </c>
      <c r="C224" t="inlineStr">
        <is>
          <t>Lulu Agustin</t>
        </is>
      </c>
      <c r="D224" t="inlineStr">
        <is>
          <t>PROD</t>
        </is>
      </c>
      <c r="E224" t="inlineStr">
        <is>
          <t>Produksi Harian</t>
        </is>
      </c>
      <c r="F224" t="inlineStr"/>
      <c r="G224" t="inlineStr">
        <is>
          <t>14:03:33</t>
        </is>
      </c>
      <c r="H224" t="inlineStr">
        <is>
          <t>KELUAR TANPA MASUK</t>
        </is>
      </c>
      <c r="I224" t="inlineStr">
        <is>
          <t>MK00249</t>
        </is>
      </c>
      <c r="J224" t="inlineStr"/>
    </row>
    <row r="225">
      <c r="A225" t="inlineStr">
        <is>
          <t>03/05/2026</t>
        </is>
      </c>
      <c r="B225" t="inlineStr">
        <is>
          <t>628000064</t>
        </is>
      </c>
      <c r="C225" t="inlineStr">
        <is>
          <t>Silva Alypia</t>
        </is>
      </c>
      <c r="D225" t="inlineStr">
        <is>
          <t>PROD</t>
        </is>
      </c>
      <c r="E225" t="inlineStr">
        <is>
          <t>Produksi Borongan</t>
        </is>
      </c>
      <c r="F225" t="inlineStr">
        <is>
          <t>05:48:54</t>
        </is>
      </c>
      <c r="G225" t="inlineStr">
        <is>
          <t>14:09:58</t>
        </is>
      </c>
      <c r="H225" t="inlineStr">
        <is>
          <t>SELESAI</t>
        </is>
      </c>
      <c r="I225" t="inlineStr">
        <is>
          <t>MK00141</t>
        </is>
      </c>
      <c r="J225" t="inlineStr"/>
    </row>
    <row r="226">
      <c r="A226" t="inlineStr">
        <is>
          <t>04/05/2026</t>
        </is>
      </c>
      <c r="B226" t="inlineStr">
        <is>
          <t>528000015</t>
        </is>
      </c>
      <c r="C226" t="inlineStr">
        <is>
          <t>Erwin</t>
        </is>
      </c>
      <c r="D226" t="inlineStr">
        <is>
          <t>LOG</t>
        </is>
      </c>
      <c r="E226" t="inlineStr">
        <is>
          <t>WRM Harian</t>
        </is>
      </c>
      <c r="F226" t="inlineStr">
        <is>
          <t>21:40:41</t>
        </is>
      </c>
      <c r="G226" t="inlineStr">
        <is>
          <t>06:03:50</t>
        </is>
      </c>
      <c r="H226" t="inlineStr">
        <is>
          <t>SELESAI</t>
        </is>
      </c>
      <c r="I226" t="inlineStr">
        <is>
          <t>MK00145</t>
        </is>
      </c>
      <c r="J226" t="inlineStr"/>
    </row>
    <row r="227">
      <c r="A227" t="inlineStr">
        <is>
          <t>04/05/2026</t>
        </is>
      </c>
      <c r="B227" t="inlineStr">
        <is>
          <t>528000069</t>
        </is>
      </c>
      <c r="C227" t="inlineStr">
        <is>
          <t>Jajang Ardiansyah</t>
        </is>
      </c>
      <c r="D227" t="inlineStr">
        <is>
          <t>PROD</t>
        </is>
      </c>
      <c r="E227" t="inlineStr">
        <is>
          <t>Produksi Harian</t>
        </is>
      </c>
      <c r="F227" t="inlineStr"/>
      <c r="G227" t="inlineStr">
        <is>
          <t>07:37:31</t>
        </is>
      </c>
      <c r="H227" t="inlineStr">
        <is>
          <t>KELUAR TANPA MASUK</t>
        </is>
      </c>
      <c r="I227" t="inlineStr">
        <is>
          <t>MK00210</t>
        </is>
      </c>
      <c r="J227" t="inlineStr">
        <is>
          <t>89</t>
        </is>
      </c>
    </row>
    <row r="228">
      <c r="A228" t="inlineStr">
        <is>
          <t>04/05/2026</t>
        </is>
      </c>
      <c r="B228" t="inlineStr">
        <is>
          <t>528000098</t>
        </is>
      </c>
      <c r="C228" t="inlineStr">
        <is>
          <t>Edi Junaedi</t>
        </is>
      </c>
      <c r="D228" t="inlineStr">
        <is>
          <t>PROD</t>
        </is>
      </c>
      <c r="E228" t="inlineStr">
        <is>
          <t>Produksi Harian</t>
        </is>
      </c>
      <c r="F228" t="inlineStr">
        <is>
          <t>21:25:48</t>
        </is>
      </c>
      <c r="G228" t="inlineStr"/>
      <c r="H228" t="inlineStr">
        <is>
          <t>DI DALAM</t>
        </is>
      </c>
      <c r="I228" t="inlineStr">
        <is>
          <t>MK00184</t>
        </is>
      </c>
      <c r="J228" t="inlineStr"/>
    </row>
    <row r="229">
      <c r="A229" t="inlineStr">
        <is>
          <t>04/05/2026</t>
        </is>
      </c>
      <c r="B229" t="inlineStr">
        <is>
          <t>528000195</t>
        </is>
      </c>
      <c r="C229" t="inlineStr">
        <is>
          <t>Rahma Sariwati</t>
        </is>
      </c>
      <c r="D229" t="inlineStr">
        <is>
          <t>PROD</t>
        </is>
      </c>
      <c r="E229" t="inlineStr">
        <is>
          <t>Produksi Harian</t>
        </is>
      </c>
      <c r="F229" t="inlineStr"/>
      <c r="G229" t="inlineStr">
        <is>
          <t>06:05:23</t>
        </is>
      </c>
      <c r="H229" t="inlineStr">
        <is>
          <t>KELUAR TANPA MASUK</t>
        </is>
      </c>
      <c r="I229" t="inlineStr">
        <is>
          <t>MK00192</t>
        </is>
      </c>
      <c r="J229" t="inlineStr"/>
    </row>
    <row r="230">
      <c r="A230" t="inlineStr">
        <is>
          <t>04/05/2026</t>
        </is>
      </c>
      <c r="B230" t="inlineStr">
        <is>
          <t>528000261</t>
        </is>
      </c>
      <c r="C230" t="inlineStr">
        <is>
          <t>Ergi Ergianto</t>
        </is>
      </c>
      <c r="D230" t="inlineStr">
        <is>
          <t>HRGA</t>
        </is>
      </c>
      <c r="E230" t="inlineStr">
        <is>
          <t>GA Harian</t>
        </is>
      </c>
      <c r="F230" t="inlineStr"/>
      <c r="G230" t="inlineStr">
        <is>
          <t>06:05:19</t>
        </is>
      </c>
      <c r="H230" t="inlineStr">
        <is>
          <t>KELUAR TANPA MASUK</t>
        </is>
      </c>
      <c r="I230" t="inlineStr">
        <is>
          <t>MK00221</t>
        </is>
      </c>
      <c r="J230" t="inlineStr"/>
    </row>
    <row r="231">
      <c r="A231" t="inlineStr">
        <is>
          <t>04/05/2026</t>
        </is>
      </c>
      <c r="B231" t="inlineStr">
        <is>
          <t>528000262</t>
        </is>
      </c>
      <c r="C231" t="inlineStr">
        <is>
          <t>Ndari Dwiwanti</t>
        </is>
      </c>
      <c r="D231" t="inlineStr">
        <is>
          <t>PROD</t>
        </is>
      </c>
      <c r="E231" t="inlineStr">
        <is>
          <t>Produksi Harian</t>
        </is>
      </c>
      <c r="F231" t="inlineStr"/>
      <c r="G231" t="inlineStr">
        <is>
          <t>06:04:13</t>
        </is>
      </c>
      <c r="H231" t="inlineStr">
        <is>
          <t>KELUAR TANPA MASUK</t>
        </is>
      </c>
      <c r="I231" t="inlineStr">
        <is>
          <t>MK00085</t>
        </is>
      </c>
      <c r="J231" t="inlineStr"/>
    </row>
    <row r="232">
      <c r="A232" t="inlineStr">
        <is>
          <t>04/05/2026</t>
        </is>
      </c>
      <c r="B232" t="inlineStr">
        <is>
          <t>528000266</t>
        </is>
      </c>
      <c r="C232" t="inlineStr">
        <is>
          <t>M. Syirajatieq</t>
        </is>
      </c>
      <c r="D232" t="inlineStr">
        <is>
          <t>LOG</t>
        </is>
      </c>
      <c r="E232" t="inlineStr">
        <is>
          <t>WFG Harian</t>
        </is>
      </c>
      <c r="F232" t="inlineStr"/>
      <c r="G232" t="inlineStr">
        <is>
          <t>06:04:51</t>
        </is>
      </c>
      <c r="H232" t="inlineStr">
        <is>
          <t>KELUAR TANPA MASUK</t>
        </is>
      </c>
      <c r="I232" t="inlineStr">
        <is>
          <t>MK00150</t>
        </is>
      </c>
      <c r="J232" t="inlineStr"/>
    </row>
    <row r="233">
      <c r="A233" t="inlineStr">
        <is>
          <t>04/05/2026</t>
        </is>
      </c>
      <c r="B233" t="inlineStr">
        <is>
          <t>528000270</t>
        </is>
      </c>
      <c r="C233" t="inlineStr">
        <is>
          <t>Febri Najmudin</t>
        </is>
      </c>
      <c r="D233" t="inlineStr">
        <is>
          <t>LOG</t>
        </is>
      </c>
      <c r="E233" t="inlineStr">
        <is>
          <t>WRM Harian</t>
        </is>
      </c>
      <c r="F233" t="inlineStr">
        <is>
          <t>21:49:20</t>
        </is>
      </c>
      <c r="G233" t="inlineStr"/>
      <c r="H233" t="inlineStr">
        <is>
          <t>DI DALAM</t>
        </is>
      </c>
      <c r="I233" t="inlineStr">
        <is>
          <t>MK00112</t>
        </is>
      </c>
      <c r="J233" t="inlineStr"/>
    </row>
    <row r="234">
      <c r="A234" t="inlineStr">
        <is>
          <t>04/05/2026</t>
        </is>
      </c>
      <c r="B234" t="inlineStr">
        <is>
          <t>528000283</t>
        </is>
      </c>
      <c r="C234" t="inlineStr">
        <is>
          <t>Purwanda Sugiri</t>
        </is>
      </c>
      <c r="D234" t="inlineStr">
        <is>
          <t>LOG</t>
        </is>
      </c>
      <c r="E234" t="inlineStr">
        <is>
          <t>WRM Harian</t>
        </is>
      </c>
      <c r="F234" t="inlineStr"/>
      <c r="G234" t="inlineStr">
        <is>
          <t>06:05:27</t>
        </is>
      </c>
      <c r="H234" t="inlineStr">
        <is>
          <t>KELUAR TANPA MASUK</t>
        </is>
      </c>
      <c r="I234" t="inlineStr">
        <is>
          <t>MK00138</t>
        </is>
      </c>
      <c r="J234" t="inlineStr"/>
    </row>
    <row r="235">
      <c r="A235" t="inlineStr">
        <is>
          <t>04/05/2026</t>
        </is>
      </c>
      <c r="B235" t="inlineStr">
        <is>
          <t>528000298</t>
        </is>
      </c>
      <c r="C235" t="inlineStr">
        <is>
          <t>Desta Cahaya Pratama</t>
        </is>
      </c>
      <c r="D235" t="inlineStr">
        <is>
          <t>PROD</t>
        </is>
      </c>
      <c r="E235" t="inlineStr">
        <is>
          <t>Produksi Harian</t>
        </is>
      </c>
      <c r="F235" t="inlineStr">
        <is>
          <t>21:39:57</t>
        </is>
      </c>
      <c r="G235" t="inlineStr"/>
      <c r="H235" t="inlineStr">
        <is>
          <t>DI DALAM</t>
        </is>
      </c>
      <c r="I235" t="inlineStr">
        <is>
          <t>MK00209</t>
        </is>
      </c>
      <c r="J235" t="inlineStr"/>
    </row>
    <row r="236">
      <c r="A236" t="inlineStr">
        <is>
          <t>04/05/2026</t>
        </is>
      </c>
      <c r="B236" t="inlineStr">
        <is>
          <t>528000299</t>
        </is>
      </c>
      <c r="C236" t="inlineStr">
        <is>
          <t>Siti Nurjanah</t>
        </is>
      </c>
      <c r="D236" t="inlineStr">
        <is>
          <t>PROD</t>
        </is>
      </c>
      <c r="E236" t="inlineStr">
        <is>
          <t>Produksi Harian</t>
        </is>
      </c>
      <c r="F236" t="inlineStr">
        <is>
          <t>21:45:07</t>
        </is>
      </c>
      <c r="G236" t="inlineStr"/>
      <c r="H236" t="inlineStr">
        <is>
          <t>DI DALAM</t>
        </is>
      </c>
      <c r="I236" t="inlineStr">
        <is>
          <t>MK00155</t>
        </is>
      </c>
      <c r="J236" t="inlineStr"/>
    </row>
    <row r="237">
      <c r="A237" t="inlineStr">
        <is>
          <t>04/05/2026</t>
        </is>
      </c>
      <c r="B237" t="inlineStr">
        <is>
          <t>528000301</t>
        </is>
      </c>
      <c r="C237" t="inlineStr">
        <is>
          <t>Muhammad Mukti Ridwan</t>
        </is>
      </c>
      <c r="D237" t="inlineStr">
        <is>
          <t>PROD</t>
        </is>
      </c>
      <c r="E237" t="inlineStr">
        <is>
          <t>Produksi Harian</t>
        </is>
      </c>
      <c r="F237" t="inlineStr"/>
      <c r="G237" t="inlineStr">
        <is>
          <t>06:08:56</t>
        </is>
      </c>
      <c r="H237" t="inlineStr">
        <is>
          <t>KELUAR TANPA MASUK</t>
        </is>
      </c>
      <c r="I237" t="inlineStr">
        <is>
          <t>MK00155</t>
        </is>
      </c>
      <c r="J237" t="inlineStr"/>
    </row>
    <row r="238">
      <c r="A238" t="inlineStr">
        <is>
          <t>04/05/2026</t>
        </is>
      </c>
      <c r="B238" t="inlineStr">
        <is>
          <t>528000302</t>
        </is>
      </c>
      <c r="C238" t="inlineStr">
        <is>
          <t>Henkey gumilar</t>
        </is>
      </c>
      <c r="D238" t="inlineStr">
        <is>
          <t>PROD</t>
        </is>
      </c>
      <c r="E238" t="inlineStr">
        <is>
          <t>Produksi Harian</t>
        </is>
      </c>
      <c r="F238" t="inlineStr">
        <is>
          <t>21:44:47</t>
        </is>
      </c>
      <c r="G238" t="inlineStr"/>
      <c r="H238" t="inlineStr">
        <is>
          <t>DI DALAM</t>
        </is>
      </c>
      <c r="I238" t="inlineStr">
        <is>
          <t>MK00192</t>
        </is>
      </c>
      <c r="J238" t="inlineStr"/>
    </row>
    <row r="239">
      <c r="A239" t="inlineStr">
        <is>
          <t>04/05/2026</t>
        </is>
      </c>
      <c r="B239" t="inlineStr">
        <is>
          <t>528000305</t>
        </is>
      </c>
      <c r="C239" t="inlineStr">
        <is>
          <t>Puji Puspita</t>
        </is>
      </c>
      <c r="D239" t="inlineStr">
        <is>
          <t>PROD</t>
        </is>
      </c>
      <c r="E239" t="inlineStr">
        <is>
          <t>Produksi Harian</t>
        </is>
      </c>
      <c r="F239" t="inlineStr">
        <is>
          <t>21:44:19</t>
        </is>
      </c>
      <c r="G239" t="inlineStr"/>
      <c r="H239" t="inlineStr">
        <is>
          <t>DI DALAM</t>
        </is>
      </c>
      <c r="I239" t="inlineStr">
        <is>
          <t>MK00046</t>
        </is>
      </c>
      <c r="J239" t="inlineStr"/>
    </row>
    <row r="240">
      <c r="A240" t="inlineStr">
        <is>
          <t>04/05/2026</t>
        </is>
      </c>
      <c r="B240" t="inlineStr">
        <is>
          <t>628000061</t>
        </is>
      </c>
      <c r="C240" t="inlineStr">
        <is>
          <t>Nayla Fadillah Exwantoro</t>
        </is>
      </c>
      <c r="D240" t="inlineStr">
        <is>
          <t>PROD</t>
        </is>
      </c>
      <c r="E240" t="inlineStr">
        <is>
          <t>Produksi Borongan</t>
        </is>
      </c>
      <c r="F240" t="inlineStr">
        <is>
          <t>21:19:53</t>
        </is>
      </c>
      <c r="G240" t="inlineStr"/>
      <c r="H240" t="inlineStr">
        <is>
          <t>DI DALAM</t>
        </is>
      </c>
      <c r="I240" t="inlineStr">
        <is>
          <t>MK00150</t>
        </is>
      </c>
      <c r="J240" t="inlineStr"/>
    </row>
    <row r="241">
      <c r="A241" t="inlineStr">
        <is>
          <t>04/05/2026</t>
        </is>
      </c>
      <c r="B241" t="inlineStr">
        <is>
          <t>628000091</t>
        </is>
      </c>
      <c r="C241" t="inlineStr">
        <is>
          <t>Devita Handayani</t>
        </is>
      </c>
      <c r="D241" t="inlineStr">
        <is>
          <t>PROD</t>
        </is>
      </c>
      <c r="E241" t="inlineStr">
        <is>
          <t>Produksi Borongan</t>
        </is>
      </c>
      <c r="F241" t="inlineStr">
        <is>
          <t>21:16:02</t>
        </is>
      </c>
      <c r="G241" t="inlineStr"/>
      <c r="H241" t="inlineStr">
        <is>
          <t>DI DALAM</t>
        </is>
      </c>
      <c r="I241" t="inlineStr">
        <is>
          <t>MK00221</t>
        </is>
      </c>
      <c r="J241" t="inlineStr"/>
    </row>
    <row r="242">
      <c r="A242" t="inlineStr">
        <is>
          <t>05/05/2026</t>
        </is>
      </c>
      <c r="B242" t="inlineStr">
        <is>
          <t>528000063</t>
        </is>
      </c>
      <c r="C242" t="inlineStr">
        <is>
          <t>Muhamad Ripki Pebrian</t>
        </is>
      </c>
      <c r="D242" t="inlineStr">
        <is>
          <t>PROD</t>
        </is>
      </c>
      <c r="E242" t="inlineStr">
        <is>
          <t>Produksi Harian</t>
        </is>
      </c>
      <c r="F242" t="inlineStr"/>
      <c r="G242" t="inlineStr">
        <is>
          <t>06:02:22</t>
        </is>
      </c>
      <c r="H242" t="inlineStr">
        <is>
          <t>KELUAR TANPA MASUK</t>
        </is>
      </c>
      <c r="I242" t="inlineStr">
        <is>
          <t>MK00208</t>
        </is>
      </c>
      <c r="J242" t="inlineStr"/>
    </row>
    <row r="243">
      <c r="A243" t="inlineStr">
        <is>
          <t>05/05/2026</t>
        </is>
      </c>
      <c r="B243" t="inlineStr">
        <is>
          <t>528000069</t>
        </is>
      </c>
      <c r="C243" t="inlineStr">
        <is>
          <t>Jajang Ardiansyah</t>
        </is>
      </c>
      <c r="D243" t="inlineStr">
        <is>
          <t>PROD</t>
        </is>
      </c>
      <c r="E243" t="inlineStr">
        <is>
          <t>Produksi Harian</t>
        </is>
      </c>
      <c r="F243" t="inlineStr">
        <is>
          <t>06:16:17</t>
        </is>
      </c>
      <c r="G243" t="inlineStr"/>
      <c r="H243" t="inlineStr">
        <is>
          <t>DI DALAM</t>
        </is>
      </c>
      <c r="I243" t="inlineStr">
        <is>
          <t>1000210</t>
        </is>
      </c>
      <c r="J243" t="inlineStr"/>
    </row>
    <row r="244">
      <c r="A244" t="inlineStr">
        <is>
          <t>05/05/2026</t>
        </is>
      </c>
      <c r="B244" t="inlineStr">
        <is>
          <t>528000090</t>
        </is>
      </c>
      <c r="C244" t="inlineStr">
        <is>
          <t>Suganda</t>
        </is>
      </c>
      <c r="D244" t="inlineStr">
        <is>
          <t>PROD</t>
        </is>
      </c>
      <c r="E244" t="inlineStr">
        <is>
          <t>Produksi Harian</t>
        </is>
      </c>
      <c r="F244" t="inlineStr">
        <is>
          <t>13:53:41</t>
        </is>
      </c>
      <c r="G244" t="inlineStr"/>
      <c r="H244" t="inlineStr">
        <is>
          <t>DI DALAM</t>
        </is>
      </c>
      <c r="I244" t="inlineStr">
        <is>
          <t>MK00199</t>
        </is>
      </c>
      <c r="J244" t="inlineStr"/>
    </row>
    <row r="245">
      <c r="A245" t="inlineStr">
        <is>
          <t>05/05/2026</t>
        </is>
      </c>
      <c r="B245" t="inlineStr">
        <is>
          <t>528000099</t>
        </is>
      </c>
      <c r="C245" t="inlineStr">
        <is>
          <t>Siti Nurawaliah</t>
        </is>
      </c>
      <c r="D245" t="inlineStr">
        <is>
          <t>PROD</t>
        </is>
      </c>
      <c r="E245" t="inlineStr">
        <is>
          <t>Produksi Harian</t>
        </is>
      </c>
      <c r="F245" t="inlineStr">
        <is>
          <t>13:35:20</t>
        </is>
      </c>
      <c r="G245" t="inlineStr">
        <is>
          <t>22:08:28</t>
        </is>
      </c>
      <c r="H245" t="inlineStr">
        <is>
          <t>SELESAI</t>
        </is>
      </c>
      <c r="I245" t="inlineStr">
        <is>
          <t>MK00136</t>
        </is>
      </c>
      <c r="J245" t="inlineStr"/>
    </row>
    <row r="246">
      <c r="A246" t="inlineStr">
        <is>
          <t>05/05/2026</t>
        </is>
      </c>
      <c r="B246" t="inlineStr">
        <is>
          <t>528000132</t>
        </is>
      </c>
      <c r="C246" t="inlineStr">
        <is>
          <t>Giopani</t>
        </is>
      </c>
      <c r="D246" t="inlineStr">
        <is>
          <t>LOG</t>
        </is>
      </c>
      <c r="E246" t="inlineStr">
        <is>
          <t>WRM Harian</t>
        </is>
      </c>
      <c r="F246" t="inlineStr">
        <is>
          <t>16:16:51</t>
        </is>
      </c>
      <c r="G246" t="inlineStr"/>
      <c r="H246" t="inlineStr">
        <is>
          <t>DI DALAM</t>
        </is>
      </c>
      <c r="I246" t="inlineStr">
        <is>
          <t>MK00215</t>
        </is>
      </c>
      <c r="J246" t="inlineStr"/>
    </row>
    <row r="247">
      <c r="A247" t="inlineStr">
        <is>
          <t>05/05/2026</t>
        </is>
      </c>
      <c r="B247" t="inlineStr">
        <is>
          <t>528000144</t>
        </is>
      </c>
      <c r="C247" t="inlineStr">
        <is>
          <t>Jodi Hanafi</t>
        </is>
      </c>
      <c r="D247" t="inlineStr">
        <is>
          <t>LOG</t>
        </is>
      </c>
      <c r="E247" t="inlineStr">
        <is>
          <t>WRM Harian</t>
        </is>
      </c>
      <c r="F247" t="inlineStr">
        <is>
          <t>07:33:12</t>
        </is>
      </c>
      <c r="G247" t="inlineStr"/>
      <c r="H247" t="inlineStr">
        <is>
          <t>DI DALAM</t>
        </is>
      </c>
      <c r="I247" t="inlineStr">
        <is>
          <t>MK00212</t>
        </is>
      </c>
      <c r="J247" t="inlineStr"/>
    </row>
    <row r="248">
      <c r="A248" t="inlineStr">
        <is>
          <t>05/05/2026</t>
        </is>
      </c>
      <c r="B248" t="inlineStr">
        <is>
          <t>528000201</t>
        </is>
      </c>
      <c r="C248" t="inlineStr">
        <is>
          <t>Zahwa Amelia Choerunissa</t>
        </is>
      </c>
      <c r="D248" t="inlineStr">
        <is>
          <t>PROD</t>
        </is>
      </c>
      <c r="E248" t="inlineStr">
        <is>
          <t>Produksi Harian</t>
        </is>
      </c>
      <c r="F248" t="inlineStr">
        <is>
          <t>13:34:30</t>
        </is>
      </c>
      <c r="G248" t="inlineStr">
        <is>
          <t>22:07:53</t>
        </is>
      </c>
      <c r="H248" t="inlineStr">
        <is>
          <t>SELESAI</t>
        </is>
      </c>
      <c r="I248" t="inlineStr">
        <is>
          <t>MK00200</t>
        </is>
      </c>
      <c r="J248" t="inlineStr"/>
    </row>
    <row r="249">
      <c r="A249" t="inlineStr">
        <is>
          <t>05/05/2026</t>
        </is>
      </c>
      <c r="B249" t="inlineStr">
        <is>
          <t>528000203</t>
        </is>
      </c>
      <c r="C249" t="inlineStr">
        <is>
          <t>Yudha Ramdhan Putra</t>
        </is>
      </c>
      <c r="D249" t="inlineStr">
        <is>
          <t>ENG</t>
        </is>
      </c>
      <c r="E249" t="inlineStr">
        <is>
          <t>Engineering Harian</t>
        </is>
      </c>
      <c r="F249" t="inlineStr">
        <is>
          <t>09:01:53</t>
        </is>
      </c>
      <c r="G249" t="inlineStr">
        <is>
          <t>09:01:19</t>
        </is>
      </c>
      <c r="H249" t="inlineStr">
        <is>
          <t>SELESAI</t>
        </is>
      </c>
      <c r="I249" t="inlineStr">
        <is>
          <t>MK00138</t>
        </is>
      </c>
      <c r="J249" t="inlineStr"/>
    </row>
    <row r="250">
      <c r="A250" t="inlineStr">
        <is>
          <t>05/05/2026</t>
        </is>
      </c>
      <c r="B250" t="inlineStr">
        <is>
          <t>528000212</t>
        </is>
      </c>
      <c r="C250" t="inlineStr">
        <is>
          <t>Rizal Fauzi</t>
        </is>
      </c>
      <c r="D250" t="inlineStr">
        <is>
          <t>PROD</t>
        </is>
      </c>
      <c r="E250" t="inlineStr">
        <is>
          <t>Produksi Harian</t>
        </is>
      </c>
      <c r="F250" t="inlineStr">
        <is>
          <t>13:56:49</t>
        </is>
      </c>
      <c r="G250" t="inlineStr">
        <is>
          <t>13:56:13</t>
        </is>
      </c>
      <c r="H250" t="inlineStr">
        <is>
          <t>SELESAI</t>
        </is>
      </c>
      <c r="I250" t="inlineStr">
        <is>
          <t>MK00055</t>
        </is>
      </c>
      <c r="J250" t="inlineStr"/>
    </row>
    <row r="251">
      <c r="A251" t="inlineStr">
        <is>
          <t>05/05/2026</t>
        </is>
      </c>
      <c r="B251" t="inlineStr">
        <is>
          <t>528000228</t>
        </is>
      </c>
      <c r="C251" t="inlineStr">
        <is>
          <t>Banyu Resmi Putri</t>
        </is>
      </c>
      <c r="D251" t="inlineStr">
        <is>
          <t>PROD</t>
        </is>
      </c>
      <c r="E251" t="inlineStr">
        <is>
          <t>Produksi Harian</t>
        </is>
      </c>
      <c r="F251" t="inlineStr">
        <is>
          <t>13:47:47</t>
        </is>
      </c>
      <c r="G251" t="inlineStr">
        <is>
          <t>22:06:12</t>
        </is>
      </c>
      <c r="H251" t="inlineStr">
        <is>
          <t>SELESAI</t>
        </is>
      </c>
      <c r="I251" t="inlineStr">
        <is>
          <t>MK00156</t>
        </is>
      </c>
      <c r="J251" t="inlineStr"/>
    </row>
    <row r="252">
      <c r="A252" t="inlineStr">
        <is>
          <t>05/05/2026</t>
        </is>
      </c>
      <c r="B252" t="inlineStr">
        <is>
          <t>528000232</t>
        </is>
      </c>
      <c r="C252" t="inlineStr">
        <is>
          <t>Agung Aji Suhada</t>
        </is>
      </c>
      <c r="D252" t="inlineStr">
        <is>
          <t>LOG</t>
        </is>
      </c>
      <c r="E252" t="inlineStr">
        <is>
          <t>WRM Harian</t>
        </is>
      </c>
      <c r="F252" t="inlineStr">
        <is>
          <t>08:52:14</t>
        </is>
      </c>
      <c r="G252" t="inlineStr">
        <is>
          <t>17:02:49</t>
        </is>
      </c>
      <c r="H252" t="inlineStr">
        <is>
          <t>SELESAI</t>
        </is>
      </c>
      <c r="I252" t="inlineStr">
        <is>
          <t>MK00046</t>
        </is>
      </c>
      <c r="J252" t="inlineStr"/>
    </row>
    <row r="253">
      <c r="A253" t="inlineStr">
        <is>
          <t>05/05/2026</t>
        </is>
      </c>
      <c r="B253" t="inlineStr">
        <is>
          <t>528000241</t>
        </is>
      </c>
      <c r="C253" t="inlineStr">
        <is>
          <t>Balia Nurafif Bilah</t>
        </is>
      </c>
      <c r="D253" t="inlineStr">
        <is>
          <t>PROD</t>
        </is>
      </c>
      <c r="E253" t="inlineStr">
        <is>
          <t>Produksi Harian</t>
        </is>
      </c>
      <c r="F253" t="inlineStr">
        <is>
          <t>13:52:55</t>
        </is>
      </c>
      <c r="G253" t="inlineStr">
        <is>
          <t>22:03:23</t>
        </is>
      </c>
      <c r="H253" t="inlineStr">
        <is>
          <t>SELESAI</t>
        </is>
      </c>
      <c r="I253" t="inlineStr">
        <is>
          <t>MK00082</t>
        </is>
      </c>
      <c r="J253" t="inlineStr"/>
    </row>
    <row r="254">
      <c r="A254" t="inlineStr">
        <is>
          <t>05/05/2026</t>
        </is>
      </c>
      <c r="B254" t="inlineStr">
        <is>
          <t>528000244</t>
        </is>
      </c>
      <c r="C254" t="inlineStr">
        <is>
          <t>Rodian Rifai</t>
        </is>
      </c>
      <c r="D254" t="inlineStr">
        <is>
          <t>PROD</t>
        </is>
      </c>
      <c r="E254" t="inlineStr">
        <is>
          <t>Produksi Harian</t>
        </is>
      </c>
      <c r="F254" t="inlineStr">
        <is>
          <t>13:30:22</t>
        </is>
      </c>
      <c r="G254" t="inlineStr">
        <is>
          <t>22:19:05</t>
        </is>
      </c>
      <c r="H254" t="inlineStr">
        <is>
          <t>SELESAI</t>
        </is>
      </c>
      <c r="I254" t="inlineStr">
        <is>
          <t>MK00141</t>
        </is>
      </c>
      <c r="J254" t="inlineStr">
        <is>
          <t>23F</t>
        </is>
      </c>
    </row>
    <row r="255">
      <c r="A255" t="inlineStr">
        <is>
          <t>05/05/2026</t>
        </is>
      </c>
      <c r="B255" t="inlineStr">
        <is>
          <t>528000265</t>
        </is>
      </c>
      <c r="C255" t="inlineStr">
        <is>
          <t>Muhammad Haerul Rozikin</t>
        </is>
      </c>
      <c r="D255" t="inlineStr">
        <is>
          <t>LOG</t>
        </is>
      </c>
      <c r="E255" t="inlineStr">
        <is>
          <t>WRM Harian</t>
        </is>
      </c>
      <c r="F255" t="inlineStr">
        <is>
          <t>07:44:44</t>
        </is>
      </c>
      <c r="G255" t="inlineStr">
        <is>
          <t>16:03:37</t>
        </is>
      </c>
      <c r="H255" t="inlineStr">
        <is>
          <t>SELESAI</t>
        </is>
      </c>
      <c r="I255" t="inlineStr">
        <is>
          <t>MK00155</t>
        </is>
      </c>
      <c r="J255" t="inlineStr"/>
    </row>
    <row r="256">
      <c r="A256" t="inlineStr">
        <is>
          <t>05/05/2026</t>
        </is>
      </c>
      <c r="B256" t="inlineStr">
        <is>
          <t>528000267</t>
        </is>
      </c>
      <c r="C256" t="inlineStr">
        <is>
          <t>Bagas Patulloh</t>
        </is>
      </c>
      <c r="D256" t="inlineStr">
        <is>
          <t>LOG</t>
        </is>
      </c>
      <c r="E256" t="inlineStr">
        <is>
          <t>WRM Harian</t>
        </is>
      </c>
      <c r="F256" t="inlineStr">
        <is>
          <t>16:06:24</t>
        </is>
      </c>
      <c r="G256" t="inlineStr">
        <is>
          <t>16:06:07</t>
        </is>
      </c>
      <c r="H256" t="inlineStr">
        <is>
          <t>SELESAI</t>
        </is>
      </c>
      <c r="I256" t="inlineStr">
        <is>
          <t>MK00205</t>
        </is>
      </c>
      <c r="J256" t="inlineStr"/>
    </row>
    <row r="257">
      <c r="A257" t="inlineStr">
        <is>
          <t>05/05/2026</t>
        </is>
      </c>
      <c r="B257" t="inlineStr">
        <is>
          <t>528000274</t>
        </is>
      </c>
      <c r="C257" t="inlineStr">
        <is>
          <t>Zepri</t>
        </is>
      </c>
      <c r="D257" t="inlineStr">
        <is>
          <t>PROD</t>
        </is>
      </c>
      <c r="E257" t="inlineStr">
        <is>
          <t>Produksi Harian</t>
        </is>
      </c>
      <c r="F257" t="inlineStr">
        <is>
          <t>13:53:00</t>
        </is>
      </c>
      <c r="G257" t="inlineStr">
        <is>
          <t>22:02:42</t>
        </is>
      </c>
      <c r="H257" t="inlineStr">
        <is>
          <t>SELESAI</t>
        </is>
      </c>
      <c r="I257" t="inlineStr">
        <is>
          <t>MK00118</t>
        </is>
      </c>
      <c r="J257" t="inlineStr"/>
    </row>
    <row r="258">
      <c r="A258" t="inlineStr">
        <is>
          <t>05/05/2026</t>
        </is>
      </c>
      <c r="B258" t="inlineStr">
        <is>
          <t>528000279</t>
        </is>
      </c>
      <c r="C258" t="inlineStr">
        <is>
          <t>Mahdalena Dalfa Riani</t>
        </is>
      </c>
      <c r="D258" t="inlineStr">
        <is>
          <t>PROD</t>
        </is>
      </c>
      <c r="E258" t="inlineStr">
        <is>
          <t>Produksi Harian</t>
        </is>
      </c>
      <c r="F258" t="inlineStr">
        <is>
          <t>05:55:48</t>
        </is>
      </c>
      <c r="G258" t="inlineStr">
        <is>
          <t>06:03:21</t>
        </is>
      </c>
      <c r="H258" t="inlineStr">
        <is>
          <t>SELESAI</t>
        </is>
      </c>
      <c r="I258" t="inlineStr">
        <is>
          <t>MK00249</t>
        </is>
      </c>
      <c r="J258" t="inlineStr"/>
    </row>
    <row r="259">
      <c r="A259" t="inlineStr">
        <is>
          <t>05/05/2026</t>
        </is>
      </c>
      <c r="B259" t="inlineStr">
        <is>
          <t>528000282</t>
        </is>
      </c>
      <c r="C259" t="inlineStr">
        <is>
          <t>Defa Desfiana</t>
        </is>
      </c>
      <c r="D259" t="inlineStr">
        <is>
          <t>PROD</t>
        </is>
      </c>
      <c r="E259" t="inlineStr">
        <is>
          <t>Produksi Harian</t>
        </is>
      </c>
      <c r="F259" t="inlineStr">
        <is>
          <t>07:31:41</t>
        </is>
      </c>
      <c r="G259" t="inlineStr">
        <is>
          <t>16:01:07</t>
        </is>
      </c>
      <c r="H259" t="inlineStr">
        <is>
          <t>SELESAI</t>
        </is>
      </c>
      <c r="I259" t="inlineStr">
        <is>
          <t>MK00209</t>
        </is>
      </c>
      <c r="J259" t="inlineStr">
        <is>
          <t>23c</t>
        </is>
      </c>
    </row>
    <row r="260">
      <c r="A260" t="inlineStr">
        <is>
          <t>05/05/2026</t>
        </is>
      </c>
      <c r="B260" t="inlineStr">
        <is>
          <t>528000286</t>
        </is>
      </c>
      <c r="C260" t="inlineStr">
        <is>
          <t>Imelda Amelia</t>
        </is>
      </c>
      <c r="D260" t="inlineStr">
        <is>
          <t>PROD</t>
        </is>
      </c>
      <c r="E260" t="inlineStr">
        <is>
          <t>Produksi Harian</t>
        </is>
      </c>
      <c r="F260" t="inlineStr">
        <is>
          <t>13:33:31</t>
        </is>
      </c>
      <c r="G260" t="inlineStr">
        <is>
          <t>22:07:57</t>
        </is>
      </c>
      <c r="H260" t="inlineStr">
        <is>
          <t>SELESAI</t>
        </is>
      </c>
      <c r="I260" t="inlineStr">
        <is>
          <t>MK00181</t>
        </is>
      </c>
      <c r="J260" t="inlineStr"/>
    </row>
    <row r="261">
      <c r="A261" t="inlineStr">
        <is>
          <t>05/05/2026</t>
        </is>
      </c>
      <c r="B261" t="inlineStr">
        <is>
          <t>528000287</t>
        </is>
      </c>
      <c r="C261" t="inlineStr">
        <is>
          <t>Muhamad Angga Ramdani</t>
        </is>
      </c>
      <c r="D261" t="inlineStr">
        <is>
          <t>PROD</t>
        </is>
      </c>
      <c r="E261" t="inlineStr">
        <is>
          <t>Produksi Harian</t>
        </is>
      </c>
      <c r="F261" t="inlineStr">
        <is>
          <t>07:44:32</t>
        </is>
      </c>
      <c r="G261" t="inlineStr">
        <is>
          <t>16:04:29</t>
        </is>
      </c>
      <c r="H261" t="inlineStr">
        <is>
          <t>SELESAI</t>
        </is>
      </c>
      <c r="I261" t="inlineStr">
        <is>
          <t>MK00192</t>
        </is>
      </c>
      <c r="J261" t="inlineStr"/>
    </row>
    <row r="262">
      <c r="A262" t="inlineStr">
        <is>
          <t>05/05/2026</t>
        </is>
      </c>
      <c r="B262" t="inlineStr">
        <is>
          <t>528000288</t>
        </is>
      </c>
      <c r="C262" t="inlineStr">
        <is>
          <t>Dede gunawan</t>
        </is>
      </c>
      <c r="D262" t="inlineStr">
        <is>
          <t>PROD</t>
        </is>
      </c>
      <c r="E262" t="inlineStr">
        <is>
          <t>Produksi Harian</t>
        </is>
      </c>
      <c r="F262" t="inlineStr"/>
      <c r="G262" t="inlineStr">
        <is>
          <t>05:56:17</t>
        </is>
      </c>
      <c r="H262" t="inlineStr">
        <is>
          <t>KELUAR TANPA MASUK</t>
        </is>
      </c>
      <c r="I262" t="inlineStr">
        <is>
          <t>MK00093</t>
        </is>
      </c>
      <c r="J262" t="inlineStr"/>
    </row>
    <row r="263">
      <c r="A263" t="inlineStr">
        <is>
          <t>05/05/2026</t>
        </is>
      </c>
      <c r="B263" t="inlineStr">
        <is>
          <t>528000289</t>
        </is>
      </c>
      <c r="C263" t="inlineStr">
        <is>
          <t>Adit Supriyadi</t>
        </is>
      </c>
      <c r="D263" t="inlineStr">
        <is>
          <t>PROD</t>
        </is>
      </c>
      <c r="E263" t="inlineStr">
        <is>
          <t>Produksi Harian</t>
        </is>
      </c>
      <c r="F263" t="inlineStr">
        <is>
          <t>21:44:26</t>
        </is>
      </c>
      <c r="G263" t="inlineStr"/>
      <c r="H263" t="inlineStr">
        <is>
          <t>DI DALAM</t>
        </is>
      </c>
      <c r="I263" t="inlineStr">
        <is>
          <t>MK00145</t>
        </is>
      </c>
      <c r="J263" t="inlineStr"/>
    </row>
    <row r="264">
      <c r="A264" t="inlineStr">
        <is>
          <t>05/05/2026</t>
        </is>
      </c>
      <c r="B264" t="inlineStr">
        <is>
          <t>528000290</t>
        </is>
      </c>
      <c r="C264" t="inlineStr">
        <is>
          <t>Eval Pranata</t>
        </is>
      </c>
      <c r="D264" t="inlineStr">
        <is>
          <t>PROD</t>
        </is>
      </c>
      <c r="E264" t="inlineStr">
        <is>
          <t>Produksi Harian</t>
        </is>
      </c>
      <c r="F264" t="inlineStr">
        <is>
          <t>13:53:52</t>
        </is>
      </c>
      <c r="G264" t="inlineStr">
        <is>
          <t>22:04:27</t>
        </is>
      </c>
      <c r="H264" t="inlineStr">
        <is>
          <t>SELESAI</t>
        </is>
      </c>
      <c r="I264" t="inlineStr">
        <is>
          <t>MK00116</t>
        </is>
      </c>
      <c r="J264" t="inlineStr"/>
    </row>
    <row r="265">
      <c r="A265" t="inlineStr">
        <is>
          <t>05/05/2026</t>
        </is>
      </c>
      <c r="B265" t="inlineStr">
        <is>
          <t>528000297</t>
        </is>
      </c>
      <c r="C265" t="inlineStr">
        <is>
          <t>Muhamad Budiana</t>
        </is>
      </c>
      <c r="D265" t="inlineStr">
        <is>
          <t>PROD</t>
        </is>
      </c>
      <c r="E265" t="inlineStr">
        <is>
          <t>Produksi Harian</t>
        </is>
      </c>
      <c r="F265" t="inlineStr">
        <is>
          <t>05:48:16</t>
        </is>
      </c>
      <c r="G265" t="inlineStr">
        <is>
          <t>07:01:42</t>
        </is>
      </c>
      <c r="H265" t="inlineStr">
        <is>
          <t>SELESAI</t>
        </is>
      </c>
      <c r="I265" t="inlineStr">
        <is>
          <t>MK00154</t>
        </is>
      </c>
      <c r="J265" t="inlineStr"/>
    </row>
    <row r="266">
      <c r="A266" t="inlineStr">
        <is>
          <t>05/05/2026</t>
        </is>
      </c>
      <c r="B266" t="inlineStr">
        <is>
          <t>528000306</t>
        </is>
      </c>
      <c r="C266" t="inlineStr">
        <is>
          <t>Windy Olivia</t>
        </is>
      </c>
      <c r="D266" t="inlineStr">
        <is>
          <t>PROD</t>
        </is>
      </c>
      <c r="E266" t="inlineStr">
        <is>
          <t>Produksi Harian</t>
        </is>
      </c>
      <c r="F266" t="inlineStr"/>
      <c r="G266" t="inlineStr">
        <is>
          <t>06:08:15</t>
        </is>
      </c>
      <c r="H266" t="inlineStr">
        <is>
          <t>KELUAR TANPA MASUK</t>
        </is>
      </c>
      <c r="I266" t="inlineStr">
        <is>
          <t>MK00090</t>
        </is>
      </c>
      <c r="J266" t="inlineStr"/>
    </row>
    <row r="267">
      <c r="A267" t="inlineStr">
        <is>
          <t>05/05/2026</t>
        </is>
      </c>
      <c r="B267" t="inlineStr">
        <is>
          <t>528000318</t>
        </is>
      </c>
      <c r="C267" t="inlineStr">
        <is>
          <t>Bayu Padli Sepriyana</t>
        </is>
      </c>
      <c r="D267" t="inlineStr">
        <is>
          <t>LOG</t>
        </is>
      </c>
      <c r="E267" t="inlineStr">
        <is>
          <t>WRM Harian</t>
        </is>
      </c>
      <c r="F267" t="inlineStr">
        <is>
          <t>21:55:48</t>
        </is>
      </c>
      <c r="G267" t="inlineStr"/>
      <c r="H267" t="inlineStr">
        <is>
          <t>DI DALAM</t>
        </is>
      </c>
      <c r="I267" t="inlineStr">
        <is>
          <t>MK00109</t>
        </is>
      </c>
      <c r="J267" t="inlineStr"/>
    </row>
    <row r="268">
      <c r="A268" t="inlineStr">
        <is>
          <t>05/05/2026</t>
        </is>
      </c>
      <c r="B268" t="inlineStr">
        <is>
          <t>528000323</t>
        </is>
      </c>
      <c r="C268" t="inlineStr">
        <is>
          <t>Dian Hamidah</t>
        </is>
      </c>
      <c r="D268" t="inlineStr">
        <is>
          <t>PROD</t>
        </is>
      </c>
      <c r="E268" t="inlineStr">
        <is>
          <t>Produksi Harian</t>
        </is>
      </c>
      <c r="F268" t="inlineStr"/>
      <c r="G268" t="inlineStr">
        <is>
          <t>06:07:36</t>
        </is>
      </c>
      <c r="H268" t="inlineStr">
        <is>
          <t>KELUAR TANPA MASUK</t>
        </is>
      </c>
      <c r="I268" t="inlineStr">
        <is>
          <t>MK00221</t>
        </is>
      </c>
      <c r="J268" t="inlineStr"/>
    </row>
    <row r="269">
      <c r="A269" t="inlineStr">
        <is>
          <t>05/05/2026</t>
        </is>
      </c>
      <c r="B269" t="inlineStr">
        <is>
          <t>528000348</t>
        </is>
      </c>
      <c r="C269" t="inlineStr">
        <is>
          <t>Saepuloh Ardiansah</t>
        </is>
      </c>
      <c r="D269" t="inlineStr">
        <is>
          <t>LOG</t>
        </is>
      </c>
      <c r="E269" t="inlineStr">
        <is>
          <t>WRM Harian</t>
        </is>
      </c>
      <c r="F269" t="inlineStr">
        <is>
          <t>08:52:18</t>
        </is>
      </c>
      <c r="G269" t="inlineStr">
        <is>
          <t>17:03:17</t>
        </is>
      </c>
      <c r="H269" t="inlineStr">
        <is>
          <t>SELESAI</t>
        </is>
      </c>
      <c r="I269" t="inlineStr">
        <is>
          <t>MA00145</t>
        </is>
      </c>
      <c r="J269" t="inlineStr"/>
    </row>
    <row r="270">
      <c r="A270" t="inlineStr">
        <is>
          <t>05/05/2026</t>
        </is>
      </c>
      <c r="B270" t="inlineStr">
        <is>
          <t>528000349</t>
        </is>
      </c>
      <c r="C270" t="inlineStr">
        <is>
          <t>Anas Abdul Fatah</t>
        </is>
      </c>
      <c r="D270" t="inlineStr">
        <is>
          <t>LOG</t>
        </is>
      </c>
      <c r="E270" t="inlineStr">
        <is>
          <t>WFG Harian</t>
        </is>
      </c>
      <c r="F270" t="inlineStr">
        <is>
          <t>07:49:41</t>
        </is>
      </c>
      <c r="G270" t="inlineStr">
        <is>
          <t>16:11:39</t>
        </is>
      </c>
      <c r="H270" t="inlineStr">
        <is>
          <t>SELESAI</t>
        </is>
      </c>
      <c r="I270" t="inlineStr">
        <is>
          <t>MK00109</t>
        </is>
      </c>
      <c r="J270" t="inlineStr"/>
    </row>
    <row r="271">
      <c r="A271" t="inlineStr">
        <is>
          <t>05/05/2026</t>
        </is>
      </c>
      <c r="B271" t="inlineStr">
        <is>
          <t>528000351</t>
        </is>
      </c>
      <c r="C271" t="inlineStr">
        <is>
          <t>Mulyana</t>
        </is>
      </c>
      <c r="D271" t="inlineStr">
        <is>
          <t>PROD</t>
        </is>
      </c>
      <c r="E271" t="inlineStr">
        <is>
          <t>Produksi Harian</t>
        </is>
      </c>
      <c r="F271" t="inlineStr">
        <is>
          <t>08:09:33</t>
        </is>
      </c>
      <c r="G271" t="inlineStr">
        <is>
          <t>16:00:40</t>
        </is>
      </c>
      <c r="H271" t="inlineStr">
        <is>
          <t>SELESAI</t>
        </is>
      </c>
      <c r="I271" t="inlineStr">
        <is>
          <t>MK00112</t>
        </is>
      </c>
      <c r="J271" t="inlineStr"/>
    </row>
    <row r="272">
      <c r="A272" t="inlineStr">
        <is>
          <t>05/05/2026</t>
        </is>
      </c>
      <c r="B272" t="inlineStr">
        <is>
          <t>628000064</t>
        </is>
      </c>
      <c r="C272" t="inlineStr">
        <is>
          <t>Silva Alypia</t>
        </is>
      </c>
      <c r="D272" t="inlineStr">
        <is>
          <t>PROD</t>
        </is>
      </c>
      <c r="E272" t="inlineStr">
        <is>
          <t>Produksi Borongan</t>
        </is>
      </c>
      <c r="F272" t="inlineStr">
        <is>
          <t>05:52:34</t>
        </is>
      </c>
      <c r="G272" t="inlineStr">
        <is>
          <t>06:04:37</t>
        </is>
      </c>
      <c r="H272" t="inlineStr">
        <is>
          <t>SELESAI</t>
        </is>
      </c>
      <c r="I272" t="inlineStr">
        <is>
          <t>MK00126</t>
        </is>
      </c>
      <c r="J272" t="inlineStr"/>
    </row>
    <row r="273">
      <c r="A273" t="inlineStr">
        <is>
          <t>06/05/2026</t>
        </is>
      </c>
      <c r="B273" t="inlineStr">
        <is>
          <t>528000052</t>
        </is>
      </c>
      <c r="C273" t="inlineStr">
        <is>
          <t>Mustopa</t>
        </is>
      </c>
      <c r="D273" t="inlineStr">
        <is>
          <t>PROD</t>
        </is>
      </c>
      <c r="E273" t="inlineStr">
        <is>
          <t>Produksi Harian</t>
        </is>
      </c>
      <c r="F273" t="inlineStr">
        <is>
          <t>05:31:49</t>
        </is>
      </c>
      <c r="G273" t="inlineStr">
        <is>
          <t>14:03:39</t>
        </is>
      </c>
      <c r="H273" t="inlineStr">
        <is>
          <t>SELESAI</t>
        </is>
      </c>
      <c r="I273" t="inlineStr">
        <is>
          <t>MK0109</t>
        </is>
      </c>
      <c r="J273" t="inlineStr"/>
    </row>
    <row r="274">
      <c r="A274" t="inlineStr">
        <is>
          <t>06/05/2026</t>
        </is>
      </c>
      <c r="B274" t="inlineStr">
        <is>
          <t>528000098</t>
        </is>
      </c>
      <c r="C274" t="inlineStr">
        <is>
          <t>Edi Junaedi</t>
        </is>
      </c>
      <c r="D274" t="inlineStr">
        <is>
          <t>PROD</t>
        </is>
      </c>
      <c r="E274" t="inlineStr">
        <is>
          <t>Produksi Harian</t>
        </is>
      </c>
      <c r="F274" t="inlineStr">
        <is>
          <t>21:26:21</t>
        </is>
      </c>
      <c r="G274" t="inlineStr">
        <is>
          <t>07:51:37</t>
        </is>
      </c>
      <c r="H274" t="inlineStr">
        <is>
          <t>SELESAI</t>
        </is>
      </c>
      <c r="I274" t="inlineStr">
        <is>
          <t>MK00202</t>
        </is>
      </c>
      <c r="J274" t="inlineStr"/>
    </row>
    <row r="275">
      <c r="A275" t="inlineStr">
        <is>
          <t>06/05/2026</t>
        </is>
      </c>
      <c r="B275" t="inlineStr">
        <is>
          <t>528000203</t>
        </is>
      </c>
      <c r="C275" t="inlineStr">
        <is>
          <t>Yudha Ramdhan Putra</t>
        </is>
      </c>
      <c r="D275" t="inlineStr">
        <is>
          <t>ENG</t>
        </is>
      </c>
      <c r="E275" t="inlineStr">
        <is>
          <t>Engineering Harian</t>
        </is>
      </c>
      <c r="F275" t="inlineStr"/>
      <c r="G275" t="inlineStr">
        <is>
          <t>07:59:58</t>
        </is>
      </c>
      <c r="H275" t="inlineStr">
        <is>
          <t>KELUAR TANPA MASUK</t>
        </is>
      </c>
      <c r="I275" t="inlineStr">
        <is>
          <t>MK00158</t>
        </is>
      </c>
      <c r="J275" t="inlineStr"/>
    </row>
    <row r="276">
      <c r="A276" t="inlineStr">
        <is>
          <t>06/05/2026</t>
        </is>
      </c>
      <c r="B276" t="inlineStr">
        <is>
          <t>528000261</t>
        </is>
      </c>
      <c r="C276" t="inlineStr">
        <is>
          <t>Ergi Ergianto</t>
        </is>
      </c>
      <c r="D276" t="inlineStr">
        <is>
          <t>HRGA</t>
        </is>
      </c>
      <c r="E276" t="inlineStr">
        <is>
          <t>GA Harian</t>
        </is>
      </c>
      <c r="F276" t="inlineStr">
        <is>
          <t>05:49:01</t>
        </is>
      </c>
      <c r="G276" t="inlineStr">
        <is>
          <t>14:05:46</t>
        </is>
      </c>
      <c r="H276" t="inlineStr">
        <is>
          <t>SELESAI</t>
        </is>
      </c>
      <c r="I276" t="inlineStr">
        <is>
          <t>MK00151</t>
        </is>
      </c>
      <c r="J276" t="inlineStr"/>
    </row>
    <row r="277">
      <c r="A277" t="inlineStr">
        <is>
          <t>06/05/2026</t>
        </is>
      </c>
      <c r="B277" t="inlineStr">
        <is>
          <t>528000262</t>
        </is>
      </c>
      <c r="C277" t="inlineStr">
        <is>
          <t>Ndari Dwiwanti</t>
        </is>
      </c>
      <c r="D277" t="inlineStr">
        <is>
          <t>PROD</t>
        </is>
      </c>
      <c r="E277" t="inlineStr">
        <is>
          <t>Produksi Harian</t>
        </is>
      </c>
      <c r="F277" t="inlineStr">
        <is>
          <t>05:41:06</t>
        </is>
      </c>
      <c r="G277" t="inlineStr">
        <is>
          <t>14:05:35</t>
        </is>
      </c>
      <c r="H277" t="inlineStr">
        <is>
          <t>SELESAI</t>
        </is>
      </c>
      <c r="I277" t="inlineStr">
        <is>
          <t>MK00154</t>
        </is>
      </c>
      <c r="J277" t="inlineStr"/>
    </row>
    <row r="278">
      <c r="A278" t="inlineStr">
        <is>
          <t>06/05/2026</t>
        </is>
      </c>
      <c r="B278" t="inlineStr">
        <is>
          <t>528000265</t>
        </is>
      </c>
      <c r="C278" t="inlineStr">
        <is>
          <t>Muhammad Haerul Rozikin</t>
        </is>
      </c>
      <c r="D278" t="inlineStr">
        <is>
          <t>LOG</t>
        </is>
      </c>
      <c r="E278" t="inlineStr">
        <is>
          <t>WRM Harian</t>
        </is>
      </c>
      <c r="F278" t="inlineStr">
        <is>
          <t>07:43:28</t>
        </is>
      </c>
      <c r="G278" t="inlineStr">
        <is>
          <t>16:06:08</t>
        </is>
      </c>
      <c r="H278" t="inlineStr">
        <is>
          <t>SELESAI</t>
        </is>
      </c>
      <c r="I278" t="inlineStr">
        <is>
          <t>MK00138</t>
        </is>
      </c>
      <c r="J278" t="inlineStr"/>
    </row>
    <row r="279">
      <c r="A279" t="inlineStr">
        <is>
          <t>06/05/2026</t>
        </is>
      </c>
      <c r="B279" t="inlineStr">
        <is>
          <t>528000266</t>
        </is>
      </c>
      <c r="C279" t="inlineStr">
        <is>
          <t>M. Syirajatieq</t>
        </is>
      </c>
      <c r="D279" t="inlineStr">
        <is>
          <t>LOG</t>
        </is>
      </c>
      <c r="E279" t="inlineStr">
        <is>
          <t>WFG Harian</t>
        </is>
      </c>
      <c r="F279" t="inlineStr">
        <is>
          <t>05:45:23</t>
        </is>
      </c>
      <c r="G279" t="inlineStr"/>
      <c r="H279" t="inlineStr">
        <is>
          <t>DI DALAM</t>
        </is>
      </c>
      <c r="I279" t="inlineStr">
        <is>
          <t>MK00213</t>
        </is>
      </c>
      <c r="J279" t="inlineStr"/>
    </row>
    <row r="280">
      <c r="A280" t="inlineStr">
        <is>
          <t>06/05/2026</t>
        </is>
      </c>
      <c r="B280" t="inlineStr">
        <is>
          <t>528000270</t>
        </is>
      </c>
      <c r="C280" t="inlineStr">
        <is>
          <t>Febri Najmudin</t>
        </is>
      </c>
      <c r="D280" t="inlineStr">
        <is>
          <t>LOG</t>
        </is>
      </c>
      <c r="E280" t="inlineStr">
        <is>
          <t>WRM Harian</t>
        </is>
      </c>
      <c r="F280" t="inlineStr">
        <is>
          <t>13:48:13</t>
        </is>
      </c>
      <c r="G280" t="inlineStr">
        <is>
          <t>06:28:50</t>
        </is>
      </c>
      <c r="H280" t="inlineStr">
        <is>
          <t>SELESAI</t>
        </is>
      </c>
      <c r="I280" t="inlineStr">
        <is>
          <t>MK00192</t>
        </is>
      </c>
      <c r="J280" t="inlineStr"/>
    </row>
    <row r="281">
      <c r="A281" t="inlineStr">
        <is>
          <t>06/05/2026</t>
        </is>
      </c>
      <c r="B281" t="inlineStr">
        <is>
          <t>528000273</t>
        </is>
      </c>
      <c r="C281" t="inlineStr">
        <is>
          <t>Asep Mulyana</t>
        </is>
      </c>
      <c r="D281" t="inlineStr">
        <is>
          <t>PROD</t>
        </is>
      </c>
      <c r="E281" t="inlineStr">
        <is>
          <t>Produksi Harian</t>
        </is>
      </c>
      <c r="F281" t="inlineStr"/>
      <c r="G281" t="inlineStr">
        <is>
          <t>07:57:21</t>
        </is>
      </c>
      <c r="H281" t="inlineStr">
        <is>
          <t>KELUAR TANPA MASUK</t>
        </is>
      </c>
      <c r="I281" t="inlineStr">
        <is>
          <t>MK00116</t>
        </is>
      </c>
      <c r="J281" t="inlineStr"/>
    </row>
    <row r="282">
      <c r="A282" t="inlineStr">
        <is>
          <t>06/05/2026</t>
        </is>
      </c>
      <c r="B282" t="inlineStr">
        <is>
          <t>528000291</t>
        </is>
      </c>
      <c r="C282" t="inlineStr">
        <is>
          <t>Andrian</t>
        </is>
      </c>
      <c r="D282" t="inlineStr">
        <is>
          <t>PROD</t>
        </is>
      </c>
      <c r="E282" t="inlineStr">
        <is>
          <t>Produksi Harian</t>
        </is>
      </c>
      <c r="F282" t="inlineStr">
        <is>
          <t>05:55:52</t>
        </is>
      </c>
      <c r="G282" t="inlineStr">
        <is>
          <t>14:04:53</t>
        </is>
      </c>
      <c r="H282" t="inlineStr">
        <is>
          <t>SELESAI</t>
        </is>
      </c>
      <c r="I282" t="inlineStr">
        <is>
          <t>MK00113</t>
        </is>
      </c>
      <c r="J282" t="inlineStr"/>
    </row>
    <row r="283">
      <c r="A283" t="inlineStr">
        <is>
          <t>06/05/2026</t>
        </is>
      </c>
      <c r="B283" t="inlineStr">
        <is>
          <t>528000298</t>
        </is>
      </c>
      <c r="C283" t="inlineStr">
        <is>
          <t>Desta Cahaya Pratama</t>
        </is>
      </c>
      <c r="D283" t="inlineStr">
        <is>
          <t>PROD</t>
        </is>
      </c>
      <c r="E283" t="inlineStr">
        <is>
          <t>Produksi Harian</t>
        </is>
      </c>
      <c r="F283" t="inlineStr">
        <is>
          <t>13:48:11</t>
        </is>
      </c>
      <c r="G283" t="inlineStr">
        <is>
          <t>06:05:41</t>
        </is>
      </c>
      <c r="H283" t="inlineStr">
        <is>
          <t>SELESAI</t>
        </is>
      </c>
      <c r="I283" t="inlineStr">
        <is>
          <t>MK00126</t>
        </is>
      </c>
      <c r="J283" t="inlineStr"/>
    </row>
    <row r="284">
      <c r="A284" t="inlineStr">
        <is>
          <t>06/05/2026</t>
        </is>
      </c>
      <c r="B284" t="inlineStr">
        <is>
          <t>528000299</t>
        </is>
      </c>
      <c r="C284" t="inlineStr">
        <is>
          <t>Siti Nurjanah</t>
        </is>
      </c>
      <c r="D284" t="inlineStr">
        <is>
          <t>PROD</t>
        </is>
      </c>
      <c r="E284" t="inlineStr">
        <is>
          <t>Produksi Harian</t>
        </is>
      </c>
      <c r="F284" t="inlineStr">
        <is>
          <t>13:20:27</t>
        </is>
      </c>
      <c r="G284" t="inlineStr">
        <is>
          <t>22:03:48</t>
        </is>
      </c>
      <c r="H284" t="inlineStr">
        <is>
          <t>SELESAI</t>
        </is>
      </c>
      <c r="I284" t="inlineStr">
        <is>
          <t>MK00108</t>
        </is>
      </c>
      <c r="J284" t="inlineStr"/>
    </row>
    <row r="285">
      <c r="A285" t="inlineStr">
        <is>
          <t>06/05/2026</t>
        </is>
      </c>
      <c r="B285" t="inlineStr">
        <is>
          <t>528000302</t>
        </is>
      </c>
      <c r="C285" t="inlineStr">
        <is>
          <t>Henkey gumilar</t>
        </is>
      </c>
      <c r="D285" t="inlineStr">
        <is>
          <t>PROD</t>
        </is>
      </c>
      <c r="E285" t="inlineStr">
        <is>
          <t>Produksi Harian</t>
        </is>
      </c>
      <c r="F285" t="inlineStr">
        <is>
          <t>13:41:29</t>
        </is>
      </c>
      <c r="G285" t="inlineStr">
        <is>
          <t>06:08:23</t>
        </is>
      </c>
      <c r="H285" t="inlineStr">
        <is>
          <t>SELESAI</t>
        </is>
      </c>
      <c r="I285" t="inlineStr">
        <is>
          <t>MK00209</t>
        </is>
      </c>
      <c r="J285" t="inlineStr"/>
    </row>
    <row r="286">
      <c r="A286" t="inlineStr">
        <is>
          <t>06/05/2026</t>
        </is>
      </c>
      <c r="B286" t="inlineStr">
        <is>
          <t>528000305</t>
        </is>
      </c>
      <c r="C286" t="inlineStr">
        <is>
          <t>Puji Puspita</t>
        </is>
      </c>
      <c r="D286" t="inlineStr">
        <is>
          <t>PROD</t>
        </is>
      </c>
      <c r="E286" t="inlineStr">
        <is>
          <t>Produksi Harian</t>
        </is>
      </c>
      <c r="F286" t="inlineStr">
        <is>
          <t>13:33:47</t>
        </is>
      </c>
      <c r="G286" t="inlineStr">
        <is>
          <t>06:05:03</t>
        </is>
      </c>
      <c r="H286" t="inlineStr">
        <is>
          <t>SELESAI</t>
        </is>
      </c>
      <c r="I286" t="inlineStr">
        <is>
          <t>MK00221</t>
        </is>
      </c>
      <c r="J286" t="inlineStr"/>
    </row>
    <row r="287">
      <c r="A287" t="inlineStr">
        <is>
          <t>06/05/2026</t>
        </is>
      </c>
      <c r="B287" t="inlineStr">
        <is>
          <t>528000306</t>
        </is>
      </c>
      <c r="C287" t="inlineStr">
        <is>
          <t>Windy Olivia</t>
        </is>
      </c>
      <c r="D287" t="inlineStr">
        <is>
          <t>PROD</t>
        </is>
      </c>
      <c r="E287" t="inlineStr">
        <is>
          <t>Produksi Harian</t>
        </is>
      </c>
      <c r="F287" t="inlineStr"/>
      <c r="G287" t="inlineStr">
        <is>
          <t>06:04:36</t>
        </is>
      </c>
      <c r="H287" t="inlineStr">
        <is>
          <t>KELUAR TANPA MASUK</t>
        </is>
      </c>
      <c r="I287" t="inlineStr">
        <is>
          <t>MK00156</t>
        </is>
      </c>
      <c r="J287" t="inlineStr"/>
    </row>
    <row r="288">
      <c r="A288" t="inlineStr">
        <is>
          <t>06/05/2026</t>
        </is>
      </c>
      <c r="B288" t="inlineStr">
        <is>
          <t>528000309</t>
        </is>
      </c>
      <c r="C288" t="inlineStr">
        <is>
          <t>Ilham Ramadhan</t>
        </is>
      </c>
      <c r="D288" t="inlineStr">
        <is>
          <t>LOG</t>
        </is>
      </c>
      <c r="E288" t="inlineStr">
        <is>
          <t>WRM Harian</t>
        </is>
      </c>
      <c r="F288" t="inlineStr">
        <is>
          <t>13:48:45</t>
        </is>
      </c>
      <c r="G288" t="inlineStr">
        <is>
          <t>22:04:14</t>
        </is>
      </c>
      <c r="H288" t="inlineStr">
        <is>
          <t>SELESAI</t>
        </is>
      </c>
      <c r="I288" t="inlineStr">
        <is>
          <t>MK00249</t>
        </is>
      </c>
      <c r="J288" t="inlineStr"/>
    </row>
    <row r="289">
      <c r="A289" t="inlineStr">
        <is>
          <t>06/05/2026</t>
        </is>
      </c>
      <c r="B289" t="inlineStr">
        <is>
          <t>528000358</t>
        </is>
      </c>
      <c r="C289" t="inlineStr">
        <is>
          <t>Lulu Agustin</t>
        </is>
      </c>
      <c r="D289" t="inlineStr">
        <is>
          <t>PROD</t>
        </is>
      </c>
      <c r="E289" t="inlineStr">
        <is>
          <t>Produksi Harian</t>
        </is>
      </c>
      <c r="F289" t="inlineStr">
        <is>
          <t>05:38:42</t>
        </is>
      </c>
      <c r="G289" t="inlineStr">
        <is>
          <t>14:05:45</t>
        </is>
      </c>
      <c r="H289" t="inlineStr">
        <is>
          <t>SELESAI</t>
        </is>
      </c>
      <c r="I289" t="inlineStr">
        <is>
          <t>MK00199</t>
        </is>
      </c>
      <c r="J289" t="inlineStr"/>
    </row>
    <row r="290">
      <c r="A290" t="inlineStr">
        <is>
          <t>06/05/2026</t>
        </is>
      </c>
      <c r="B290" t="inlineStr">
        <is>
          <t>628000061</t>
        </is>
      </c>
      <c r="C290" t="inlineStr">
        <is>
          <t>Nayla Fadillah Exwantoro</t>
        </is>
      </c>
      <c r="D290" t="inlineStr">
        <is>
          <t>PROD</t>
        </is>
      </c>
      <c r="E290" t="inlineStr">
        <is>
          <t>Produksi Borongan</t>
        </is>
      </c>
      <c r="F290" t="inlineStr">
        <is>
          <t>12:59:36</t>
        </is>
      </c>
      <c r="G290" t="inlineStr">
        <is>
          <t>22:36:44</t>
        </is>
      </c>
      <c r="H290" t="inlineStr">
        <is>
          <t>SELESAI</t>
        </is>
      </c>
      <c r="I290" t="inlineStr">
        <is>
          <t>MK00116</t>
        </is>
      </c>
      <c r="J290" t="inlineStr">
        <is>
          <t>B-13</t>
        </is>
      </c>
    </row>
    <row r="291">
      <c r="A291" t="inlineStr">
        <is>
          <t>06/05/2026</t>
        </is>
      </c>
      <c r="B291" t="inlineStr">
        <is>
          <t>628000091</t>
        </is>
      </c>
      <c r="C291" t="inlineStr">
        <is>
          <t>Devita Handayani</t>
        </is>
      </c>
      <c r="D291" t="inlineStr">
        <is>
          <t>PROD</t>
        </is>
      </c>
      <c r="E291" t="inlineStr">
        <is>
          <t>Produksi Borongan</t>
        </is>
      </c>
      <c r="F291" t="inlineStr"/>
      <c r="G291" t="inlineStr">
        <is>
          <t>07:52:18</t>
        </is>
      </c>
      <c r="H291" t="inlineStr">
        <is>
          <t>KELUAR TANPA MASUK</t>
        </is>
      </c>
      <c r="I291" t="inlineStr">
        <is>
          <t>MK00249</t>
        </is>
      </c>
      <c r="J291" t="inlineStr"/>
    </row>
    <row r="292">
      <c r="A292" t="inlineStr">
        <is>
          <t>07/05/2026</t>
        </is>
      </c>
      <c r="B292" t="inlineStr">
        <is>
          <t>528000015</t>
        </is>
      </c>
      <c r="C292" t="inlineStr">
        <is>
          <t>Erwin</t>
        </is>
      </c>
      <c r="D292" t="inlineStr">
        <is>
          <t>LOG</t>
        </is>
      </c>
      <c r="E292" t="inlineStr">
        <is>
          <t>WRM Harian</t>
        </is>
      </c>
      <c r="F292" t="inlineStr">
        <is>
          <t>15:47:37</t>
        </is>
      </c>
      <c r="G292" t="inlineStr">
        <is>
          <t>07:52:16</t>
        </is>
      </c>
      <c r="H292" t="inlineStr">
        <is>
          <t>SELESAI</t>
        </is>
      </c>
      <c r="I292" t="inlineStr">
        <is>
          <t>MK00082</t>
        </is>
      </c>
      <c r="J292" t="inlineStr"/>
    </row>
    <row r="293">
      <c r="A293" t="inlineStr">
        <is>
          <t>07/05/2026</t>
        </is>
      </c>
      <c r="B293" t="inlineStr">
        <is>
          <t>528000055</t>
        </is>
      </c>
      <c r="C293" t="inlineStr">
        <is>
          <t>Dika Prasetya</t>
        </is>
      </c>
      <c r="D293" t="inlineStr">
        <is>
          <t>LOG</t>
        </is>
      </c>
      <c r="E293" t="inlineStr">
        <is>
          <t>WRM Harian</t>
        </is>
      </c>
      <c r="F293" t="inlineStr">
        <is>
          <t>07:51:10</t>
        </is>
      </c>
      <c r="G293" t="inlineStr">
        <is>
          <t>16:07:55</t>
        </is>
      </c>
      <c r="H293" t="inlineStr">
        <is>
          <t>SELESAI</t>
        </is>
      </c>
      <c r="I293" t="inlineStr">
        <is>
          <t>MK00113</t>
        </is>
      </c>
      <c r="J293" t="inlineStr"/>
    </row>
    <row r="294">
      <c r="A294" t="inlineStr">
        <is>
          <t>07/05/2026</t>
        </is>
      </c>
      <c r="B294" t="inlineStr">
        <is>
          <t>528000090</t>
        </is>
      </c>
      <c r="C294" t="inlineStr">
        <is>
          <t>Suganda</t>
        </is>
      </c>
      <c r="D294" t="inlineStr">
        <is>
          <t>PROD</t>
        </is>
      </c>
      <c r="E294" t="inlineStr">
        <is>
          <t>Produksi Harian</t>
        </is>
      </c>
      <c r="F294" t="inlineStr"/>
      <c r="G294" t="inlineStr">
        <is>
          <t>08:00:29</t>
        </is>
      </c>
      <c r="H294" t="inlineStr">
        <is>
          <t>KELUAR TANPA MASUK</t>
        </is>
      </c>
      <c r="I294" t="inlineStr">
        <is>
          <t>MK00199</t>
        </is>
      </c>
      <c r="J294" t="inlineStr"/>
    </row>
    <row r="295">
      <c r="A295" t="inlineStr">
        <is>
          <t>07/05/2026</t>
        </is>
      </c>
      <c r="B295" t="inlineStr">
        <is>
          <t>528000098</t>
        </is>
      </c>
      <c r="C295" t="inlineStr">
        <is>
          <t>Edi Junaedi</t>
        </is>
      </c>
      <c r="D295" t="inlineStr">
        <is>
          <t>PROD</t>
        </is>
      </c>
      <c r="E295" t="inlineStr">
        <is>
          <t>Produksi Harian</t>
        </is>
      </c>
      <c r="F295" t="inlineStr">
        <is>
          <t>21:22:03</t>
        </is>
      </c>
      <c r="G295" t="inlineStr">
        <is>
          <t>06:06:38</t>
        </is>
      </c>
      <c r="H295" t="inlineStr">
        <is>
          <t>SELESAI</t>
        </is>
      </c>
      <c r="I295" t="inlineStr">
        <is>
          <t>MK00204</t>
        </is>
      </c>
      <c r="J295" t="inlineStr"/>
    </row>
    <row r="296">
      <c r="A296" t="inlineStr">
        <is>
          <t>07/05/2026</t>
        </is>
      </c>
      <c r="B296" t="inlineStr">
        <is>
          <t>528000099</t>
        </is>
      </c>
      <c r="C296" t="inlineStr">
        <is>
          <t>Siti Nurawaliah</t>
        </is>
      </c>
      <c r="D296" t="inlineStr">
        <is>
          <t>PROD</t>
        </is>
      </c>
      <c r="E296" t="inlineStr">
        <is>
          <t>Produksi Harian</t>
        </is>
      </c>
      <c r="F296" t="inlineStr">
        <is>
          <t>05:34:46</t>
        </is>
      </c>
      <c r="G296" t="inlineStr">
        <is>
          <t>14:06:19</t>
        </is>
      </c>
      <c r="H296" t="inlineStr">
        <is>
          <t>SELESAI</t>
        </is>
      </c>
      <c r="I296" t="inlineStr">
        <is>
          <t>MK00184</t>
        </is>
      </c>
      <c r="J296" t="inlineStr"/>
    </row>
    <row r="297">
      <c r="A297" t="inlineStr">
        <is>
          <t>07/05/2026</t>
        </is>
      </c>
      <c r="B297" t="inlineStr">
        <is>
          <t>528000132</t>
        </is>
      </c>
      <c r="C297" t="inlineStr">
        <is>
          <t>Giopani</t>
        </is>
      </c>
      <c r="D297" t="inlineStr">
        <is>
          <t>LOG</t>
        </is>
      </c>
      <c r="E297" t="inlineStr">
        <is>
          <t>WRM Harian</t>
        </is>
      </c>
      <c r="F297" t="inlineStr">
        <is>
          <t>08:52:36</t>
        </is>
      </c>
      <c r="G297" t="inlineStr">
        <is>
          <t>21:04:25</t>
        </is>
      </c>
      <c r="H297" t="inlineStr">
        <is>
          <t>SELESAI</t>
        </is>
      </c>
      <c r="I297" t="inlineStr">
        <is>
          <t>MK00212</t>
        </is>
      </c>
      <c r="J297" t="inlineStr"/>
    </row>
    <row r="298">
      <c r="A298" t="inlineStr">
        <is>
          <t>07/05/2026</t>
        </is>
      </c>
      <c r="B298" t="inlineStr">
        <is>
          <t>528000144</t>
        </is>
      </c>
      <c r="C298" t="inlineStr">
        <is>
          <t>Jodi Hanafi</t>
        </is>
      </c>
      <c r="D298" t="inlineStr">
        <is>
          <t>LOG</t>
        </is>
      </c>
      <c r="E298" t="inlineStr">
        <is>
          <t>WRM Harian</t>
        </is>
      </c>
      <c r="F298" t="inlineStr">
        <is>
          <t>15:55:34</t>
        </is>
      </c>
      <c r="G298" t="inlineStr">
        <is>
          <t>00:15:49</t>
        </is>
      </c>
      <c r="H298" t="inlineStr">
        <is>
          <t>SELESAI</t>
        </is>
      </c>
      <c r="I298" t="inlineStr">
        <is>
          <t>MK00213</t>
        </is>
      </c>
      <c r="J298" t="inlineStr"/>
    </row>
    <row r="299">
      <c r="A299" t="inlineStr">
        <is>
          <t>07/05/2026</t>
        </is>
      </c>
      <c r="B299" t="inlineStr">
        <is>
          <t>528000149</t>
        </is>
      </c>
      <c r="C299" t="inlineStr">
        <is>
          <t>Tio Fernanda</t>
        </is>
      </c>
      <c r="D299" t="inlineStr">
        <is>
          <t>LOG</t>
        </is>
      </c>
      <c r="E299" t="inlineStr">
        <is>
          <t>WRM Harian</t>
        </is>
      </c>
      <c r="F299" t="inlineStr">
        <is>
          <t>15:56:24</t>
        </is>
      </c>
      <c r="G299" t="inlineStr">
        <is>
          <t>00:02:15</t>
        </is>
      </c>
      <c r="H299" t="inlineStr">
        <is>
          <t>SELESAI</t>
        </is>
      </c>
      <c r="I299" t="inlineStr">
        <is>
          <t>MK00186</t>
        </is>
      </c>
      <c r="J299" t="inlineStr"/>
    </row>
    <row r="300">
      <c r="A300" t="inlineStr">
        <is>
          <t>07/05/2026</t>
        </is>
      </c>
      <c r="B300" t="inlineStr">
        <is>
          <t>528000195</t>
        </is>
      </c>
      <c r="C300" t="inlineStr">
        <is>
          <t>Rahma Sariwati</t>
        </is>
      </c>
      <c r="D300" t="inlineStr">
        <is>
          <t>PROD</t>
        </is>
      </c>
      <c r="E300" t="inlineStr">
        <is>
          <t>Produksi Harian</t>
        </is>
      </c>
      <c r="F300" t="inlineStr">
        <is>
          <t>13:31:59</t>
        </is>
      </c>
      <c r="G300" t="inlineStr">
        <is>
          <t>22:01:14</t>
        </is>
      </c>
      <c r="H300" t="inlineStr">
        <is>
          <t>SELESAI</t>
        </is>
      </c>
      <c r="I300" t="inlineStr">
        <is>
          <t>MK00126</t>
        </is>
      </c>
      <c r="J300" t="inlineStr"/>
    </row>
    <row r="301">
      <c r="A301" t="inlineStr">
        <is>
          <t>07/05/2026</t>
        </is>
      </c>
      <c r="B301" t="inlineStr">
        <is>
          <t>528000201</t>
        </is>
      </c>
      <c r="C301" t="inlineStr">
        <is>
          <t>Zahwa Amelia Choerunissa</t>
        </is>
      </c>
      <c r="D301" t="inlineStr">
        <is>
          <t>PROD</t>
        </is>
      </c>
      <c r="E301" t="inlineStr">
        <is>
          <t>Produksi Harian</t>
        </is>
      </c>
      <c r="F301" t="inlineStr">
        <is>
          <t>05:34:16</t>
        </is>
      </c>
      <c r="G301" t="inlineStr">
        <is>
          <t>14:05:39</t>
        </is>
      </c>
      <c r="H301" t="inlineStr">
        <is>
          <t>SELESAI</t>
        </is>
      </c>
      <c r="I301" t="inlineStr">
        <is>
          <t>MK00250</t>
        </is>
      </c>
      <c r="J301" t="inlineStr"/>
    </row>
    <row r="302">
      <c r="A302" t="inlineStr">
        <is>
          <t>07/05/2026</t>
        </is>
      </c>
      <c r="B302" t="inlineStr">
        <is>
          <t>528000203</t>
        </is>
      </c>
      <c r="C302" t="inlineStr">
        <is>
          <t>Yudha Ramdhan Putra</t>
        </is>
      </c>
      <c r="D302" t="inlineStr">
        <is>
          <t>ENG</t>
        </is>
      </c>
      <c r="E302" t="inlineStr">
        <is>
          <t>Engineering Harian</t>
        </is>
      </c>
      <c r="F302" t="inlineStr">
        <is>
          <t>08:56:54</t>
        </is>
      </c>
      <c r="G302" t="inlineStr">
        <is>
          <t>17:05:42</t>
        </is>
      </c>
      <c r="H302" t="inlineStr">
        <is>
          <t>SELESAI</t>
        </is>
      </c>
      <c r="I302" t="inlineStr">
        <is>
          <t>MK00085</t>
        </is>
      </c>
      <c r="J302" t="inlineStr"/>
    </row>
    <row r="303">
      <c r="A303" t="inlineStr">
        <is>
          <t>07/05/2026</t>
        </is>
      </c>
      <c r="B303" t="inlineStr">
        <is>
          <t>528000228</t>
        </is>
      </c>
      <c r="C303" t="inlineStr">
        <is>
          <t>Banyu Resmi Putri</t>
        </is>
      </c>
      <c r="D303" t="inlineStr">
        <is>
          <t>PROD</t>
        </is>
      </c>
      <c r="E303" t="inlineStr">
        <is>
          <t>Produksi Harian</t>
        </is>
      </c>
      <c r="F303" t="inlineStr">
        <is>
          <t>05:55:02</t>
        </is>
      </c>
      <c r="G303" t="inlineStr">
        <is>
          <t>14:08:48</t>
        </is>
      </c>
      <c r="H303" t="inlineStr">
        <is>
          <t>SELESAI</t>
        </is>
      </c>
      <c r="I303" t="inlineStr">
        <is>
          <t>MK00141</t>
        </is>
      </c>
      <c r="J303" t="inlineStr"/>
    </row>
    <row r="304">
      <c r="A304" t="inlineStr">
        <is>
          <t>07/05/2026</t>
        </is>
      </c>
      <c r="B304" t="inlineStr">
        <is>
          <t>528000232</t>
        </is>
      </c>
      <c r="C304" t="inlineStr">
        <is>
          <t>Agung Aji Suhada</t>
        </is>
      </c>
      <c r="D304" t="inlineStr">
        <is>
          <t>LOG</t>
        </is>
      </c>
      <c r="E304" t="inlineStr">
        <is>
          <t>WRM Harian</t>
        </is>
      </c>
      <c r="F304" t="inlineStr">
        <is>
          <t>08:58:47</t>
        </is>
      </c>
      <c r="G304" t="inlineStr">
        <is>
          <t>17:04:14</t>
        </is>
      </c>
      <c r="H304" t="inlineStr">
        <is>
          <t>SELESAI</t>
        </is>
      </c>
      <c r="I304" t="inlineStr">
        <is>
          <t>MK00118</t>
        </is>
      </c>
      <c r="J304" t="inlineStr"/>
    </row>
    <row r="305">
      <c r="A305" t="inlineStr">
        <is>
          <t>07/05/2026</t>
        </is>
      </c>
      <c r="B305" t="inlineStr">
        <is>
          <t>528000238</t>
        </is>
      </c>
      <c r="C305" t="inlineStr">
        <is>
          <t>Indah Lusiana</t>
        </is>
      </c>
      <c r="D305" t="inlineStr">
        <is>
          <t>PROD</t>
        </is>
      </c>
      <c r="E305" t="inlineStr">
        <is>
          <t>Produksi Harian</t>
        </is>
      </c>
      <c r="F305" t="inlineStr">
        <is>
          <t>21:36:24</t>
        </is>
      </c>
      <c r="G305" t="inlineStr"/>
      <c r="H305" t="inlineStr">
        <is>
          <t>DI DALAM</t>
        </is>
      </c>
      <c r="I305" t="inlineStr">
        <is>
          <t>MK00138</t>
        </is>
      </c>
      <c r="J305" t="inlineStr"/>
    </row>
    <row r="306">
      <c r="A306" t="inlineStr">
        <is>
          <t>07/05/2026</t>
        </is>
      </c>
      <c r="B306" t="inlineStr">
        <is>
          <t>528000241</t>
        </is>
      </c>
      <c r="C306" t="inlineStr">
        <is>
          <t>Balia Nurafif Bilah</t>
        </is>
      </c>
      <c r="D306" t="inlineStr">
        <is>
          <t>PROD</t>
        </is>
      </c>
      <c r="E306" t="inlineStr">
        <is>
          <t>Produksi Harian</t>
        </is>
      </c>
      <c r="F306" t="inlineStr">
        <is>
          <t>05:53:59</t>
        </is>
      </c>
      <c r="G306" t="inlineStr">
        <is>
          <t>14:05:48</t>
        </is>
      </c>
      <c r="H306" t="inlineStr">
        <is>
          <t>SELESAI</t>
        </is>
      </c>
      <c r="I306" t="inlineStr">
        <is>
          <t>MK0082</t>
        </is>
      </c>
      <c r="J306" t="inlineStr"/>
    </row>
    <row r="307">
      <c r="A307" t="inlineStr">
        <is>
          <t>07/05/2026</t>
        </is>
      </c>
      <c r="B307" t="inlineStr">
        <is>
          <t>528000244</t>
        </is>
      </c>
      <c r="C307" t="inlineStr">
        <is>
          <t>Rodian Rifai</t>
        </is>
      </c>
      <c r="D307" t="inlineStr">
        <is>
          <t>PROD</t>
        </is>
      </c>
      <c r="E307" t="inlineStr">
        <is>
          <t>Produksi Harian</t>
        </is>
      </c>
      <c r="F307" t="inlineStr">
        <is>
          <t>05:53:42</t>
        </is>
      </c>
      <c r="G307" t="inlineStr">
        <is>
          <t>15:16:40</t>
        </is>
      </c>
      <c r="H307" t="inlineStr">
        <is>
          <t>SELESAI</t>
        </is>
      </c>
      <c r="I307" t="inlineStr">
        <is>
          <t>MK00221</t>
        </is>
      </c>
      <c r="J307" t="inlineStr"/>
    </row>
    <row r="308">
      <c r="A308" t="inlineStr">
        <is>
          <t>07/05/2026</t>
        </is>
      </c>
      <c r="B308" t="inlineStr">
        <is>
          <t>528000262</t>
        </is>
      </c>
      <c r="C308" t="inlineStr">
        <is>
          <t>Ndari Dwiwanti</t>
        </is>
      </c>
      <c r="D308" t="inlineStr">
        <is>
          <t>PROD</t>
        </is>
      </c>
      <c r="E308" t="inlineStr">
        <is>
          <t>Produksi Harian</t>
        </is>
      </c>
      <c r="F308" t="inlineStr">
        <is>
          <t>13:33:28</t>
        </is>
      </c>
      <c r="G308" t="inlineStr">
        <is>
          <t>22:02:19</t>
        </is>
      </c>
      <c r="H308" t="inlineStr">
        <is>
          <t>SELESAI</t>
        </is>
      </c>
      <c r="I308" t="inlineStr">
        <is>
          <t>MK00138</t>
        </is>
      </c>
      <c r="J308" t="inlineStr"/>
    </row>
    <row r="309">
      <c r="A309" t="inlineStr">
        <is>
          <t>07/05/2026</t>
        </is>
      </c>
      <c r="B309" t="inlineStr">
        <is>
          <t>528000265</t>
        </is>
      </c>
      <c r="C309" t="inlineStr">
        <is>
          <t>Muhammad Haerul Rozikin</t>
        </is>
      </c>
      <c r="D309" t="inlineStr">
        <is>
          <t>LOG</t>
        </is>
      </c>
      <c r="E309" t="inlineStr">
        <is>
          <t>WRM Harian</t>
        </is>
      </c>
      <c r="F309" t="inlineStr">
        <is>
          <t>07:40:48</t>
        </is>
      </c>
      <c r="G309" t="inlineStr">
        <is>
          <t>16:08:19</t>
        </is>
      </c>
      <c r="H309" t="inlineStr">
        <is>
          <t>SELESAI</t>
        </is>
      </c>
      <c r="I309" t="inlineStr">
        <is>
          <t>MK00209</t>
        </is>
      </c>
      <c r="J309" t="inlineStr"/>
    </row>
    <row r="310">
      <c r="A310" t="inlineStr">
        <is>
          <t>07/05/2026</t>
        </is>
      </c>
      <c r="B310" t="inlineStr">
        <is>
          <t>528000267</t>
        </is>
      </c>
      <c r="C310" t="inlineStr">
        <is>
          <t>Bagas Patulloh</t>
        </is>
      </c>
      <c r="D310" t="inlineStr">
        <is>
          <t>LOG</t>
        </is>
      </c>
      <c r="E310" t="inlineStr">
        <is>
          <t>WRM Harian</t>
        </is>
      </c>
      <c r="F310" t="inlineStr">
        <is>
          <t>07:57:09</t>
        </is>
      </c>
      <c r="G310" t="inlineStr">
        <is>
          <t>16:03:34</t>
        </is>
      </c>
      <c r="H310" t="inlineStr">
        <is>
          <t>SELESAI</t>
        </is>
      </c>
      <c r="I310" t="inlineStr">
        <is>
          <t>MK0085</t>
        </is>
      </c>
      <c r="J310" t="inlineStr"/>
    </row>
    <row r="311">
      <c r="A311" t="inlineStr">
        <is>
          <t>07/05/2026</t>
        </is>
      </c>
      <c r="B311" t="inlineStr">
        <is>
          <t>528000270</t>
        </is>
      </c>
      <c r="C311" t="inlineStr">
        <is>
          <t>Febri Najmudin</t>
        </is>
      </c>
      <c r="D311" t="inlineStr">
        <is>
          <t>LOG</t>
        </is>
      </c>
      <c r="E311" t="inlineStr">
        <is>
          <t>WRM Harian</t>
        </is>
      </c>
      <c r="F311" t="inlineStr">
        <is>
          <t>21:49:51</t>
        </is>
      </c>
      <c r="G311" t="inlineStr">
        <is>
          <t>06:31:56</t>
        </is>
      </c>
      <c r="H311" t="inlineStr">
        <is>
          <t>SELESAI</t>
        </is>
      </c>
      <c r="I311" t="inlineStr">
        <is>
          <t>MK00211</t>
        </is>
      </c>
      <c r="J311" t="inlineStr"/>
    </row>
    <row r="312">
      <c r="A312" t="inlineStr">
        <is>
          <t>07/05/2026</t>
        </is>
      </c>
      <c r="B312" t="inlineStr">
        <is>
          <t>528000273</t>
        </is>
      </c>
      <c r="C312" t="inlineStr">
        <is>
          <t>Asep Mulyana</t>
        </is>
      </c>
      <c r="D312" t="inlineStr">
        <is>
          <t>PROD</t>
        </is>
      </c>
      <c r="E312" t="inlineStr">
        <is>
          <t>Produksi Harian</t>
        </is>
      </c>
      <c r="F312" t="inlineStr">
        <is>
          <t>07:57:40</t>
        </is>
      </c>
      <c r="G312" t="inlineStr">
        <is>
          <t>16:09:26</t>
        </is>
      </c>
      <c r="H312" t="inlineStr">
        <is>
          <t>SELESAI</t>
        </is>
      </c>
      <c r="I312" t="inlineStr">
        <is>
          <t>MK00151</t>
        </is>
      </c>
      <c r="J312" t="inlineStr"/>
    </row>
    <row r="313">
      <c r="A313" t="inlineStr">
        <is>
          <t>07/05/2026</t>
        </is>
      </c>
      <c r="B313" t="inlineStr">
        <is>
          <t>528000274</t>
        </is>
      </c>
      <c r="C313" t="inlineStr">
        <is>
          <t>Zepri</t>
        </is>
      </c>
      <c r="D313" t="inlineStr">
        <is>
          <t>PROD</t>
        </is>
      </c>
      <c r="E313" t="inlineStr">
        <is>
          <t>Produksi Harian</t>
        </is>
      </c>
      <c r="F313" t="inlineStr">
        <is>
          <t>05:54:23</t>
        </is>
      </c>
      <c r="G313" t="inlineStr">
        <is>
          <t>14:05:09</t>
        </is>
      </c>
      <c r="H313" t="inlineStr">
        <is>
          <t>SELESAI</t>
        </is>
      </c>
      <c r="I313" t="inlineStr">
        <is>
          <t>MK00155</t>
        </is>
      </c>
      <c r="J313" t="inlineStr"/>
    </row>
    <row r="314">
      <c r="A314" t="inlineStr">
        <is>
          <t>07/05/2026</t>
        </is>
      </c>
      <c r="B314" t="inlineStr">
        <is>
          <t>528000282</t>
        </is>
      </c>
      <c r="C314" t="inlineStr">
        <is>
          <t>Defa Desfiana</t>
        </is>
      </c>
      <c r="D314" t="inlineStr">
        <is>
          <t>PROD</t>
        </is>
      </c>
      <c r="E314" t="inlineStr">
        <is>
          <t>Produksi Harian</t>
        </is>
      </c>
      <c r="F314" t="inlineStr">
        <is>
          <t>07:34:00</t>
        </is>
      </c>
      <c r="G314" t="inlineStr">
        <is>
          <t>16:03:08</t>
        </is>
      </c>
      <c r="H314" t="inlineStr">
        <is>
          <t>SELESAI</t>
        </is>
      </c>
      <c r="I314" t="inlineStr">
        <is>
          <t>MK00181</t>
        </is>
      </c>
      <c r="J314" t="inlineStr">
        <is>
          <t>23c</t>
        </is>
      </c>
    </row>
    <row r="315">
      <c r="A315" t="inlineStr">
        <is>
          <t>07/05/2026</t>
        </is>
      </c>
      <c r="B315" t="inlineStr">
        <is>
          <t>528000286</t>
        </is>
      </c>
      <c r="C315" t="inlineStr">
        <is>
          <t>Imelda Amelia</t>
        </is>
      </c>
      <c r="D315" t="inlineStr">
        <is>
          <t>PROD</t>
        </is>
      </c>
      <c r="E315" t="inlineStr">
        <is>
          <t>Produksi Harian</t>
        </is>
      </c>
      <c r="F315" t="inlineStr"/>
      <c r="G315" t="inlineStr">
        <is>
          <t>14:09:40</t>
        </is>
      </c>
      <c r="H315" t="inlineStr">
        <is>
          <t>KELUAR TANPA MASUK</t>
        </is>
      </c>
      <c r="I315" t="inlineStr">
        <is>
          <t>MK0046</t>
        </is>
      </c>
      <c r="J315" t="inlineStr"/>
    </row>
    <row r="316">
      <c r="A316" t="inlineStr">
        <is>
          <t>07/05/2026</t>
        </is>
      </c>
      <c r="B316" t="inlineStr">
        <is>
          <t>528000287</t>
        </is>
      </c>
      <c r="C316" t="inlineStr">
        <is>
          <t>Muhamad Angga Ramdani</t>
        </is>
      </c>
      <c r="D316" t="inlineStr">
        <is>
          <t>PROD</t>
        </is>
      </c>
      <c r="E316" t="inlineStr">
        <is>
          <t>Produksi Harian</t>
        </is>
      </c>
      <c r="F316" t="inlineStr">
        <is>
          <t>07:52:27</t>
        </is>
      </c>
      <c r="G316" t="inlineStr">
        <is>
          <t>16:06:09</t>
        </is>
      </c>
      <c r="H316" t="inlineStr">
        <is>
          <t>SELESAI</t>
        </is>
      </c>
      <c r="I316" t="inlineStr">
        <is>
          <t>MK00136</t>
        </is>
      </c>
      <c r="J316" t="inlineStr"/>
    </row>
    <row r="317">
      <c r="A317" t="inlineStr">
        <is>
          <t>07/05/2026</t>
        </is>
      </c>
      <c r="B317" t="inlineStr">
        <is>
          <t>528000290</t>
        </is>
      </c>
      <c r="C317" t="inlineStr">
        <is>
          <t>Eval Pranata</t>
        </is>
      </c>
      <c r="D317" t="inlineStr">
        <is>
          <t>PROD</t>
        </is>
      </c>
      <c r="E317" t="inlineStr">
        <is>
          <t>Produksi Harian</t>
        </is>
      </c>
      <c r="F317" t="inlineStr">
        <is>
          <t>06:01:33</t>
        </is>
      </c>
      <c r="G317" t="inlineStr">
        <is>
          <t>14:04:55</t>
        </is>
      </c>
      <c r="H317" t="inlineStr">
        <is>
          <t>SELESAI</t>
        </is>
      </c>
      <c r="I317" t="inlineStr">
        <is>
          <t>MK00150</t>
        </is>
      </c>
      <c r="J317" t="inlineStr"/>
    </row>
    <row r="318">
      <c r="A318" t="inlineStr">
        <is>
          <t>07/05/2026</t>
        </is>
      </c>
      <c r="B318" t="inlineStr">
        <is>
          <t>528000292</t>
        </is>
      </c>
      <c r="C318" t="inlineStr">
        <is>
          <t>Aditia Nugraha</t>
        </is>
      </c>
      <c r="D318" t="inlineStr">
        <is>
          <t>PROD</t>
        </is>
      </c>
      <c r="E318" t="inlineStr">
        <is>
          <t>Produksi Harian</t>
        </is>
      </c>
      <c r="F318" t="inlineStr">
        <is>
          <t>08:35:56</t>
        </is>
      </c>
      <c r="G318" t="inlineStr">
        <is>
          <t>17:05:04</t>
        </is>
      </c>
      <c r="H318" t="inlineStr">
        <is>
          <t>SELESAI</t>
        </is>
      </c>
      <c r="I318" t="inlineStr">
        <is>
          <t>MK00192</t>
        </is>
      </c>
      <c r="J318" t="inlineStr"/>
    </row>
    <row r="319">
      <c r="A319" t="inlineStr">
        <is>
          <t>07/05/2026</t>
        </is>
      </c>
      <c r="B319" t="inlineStr">
        <is>
          <t>528000298</t>
        </is>
      </c>
      <c r="C319" t="inlineStr">
        <is>
          <t>Desta Cahaya Pratama</t>
        </is>
      </c>
      <c r="D319" t="inlineStr">
        <is>
          <t>PROD</t>
        </is>
      </c>
      <c r="E319" t="inlineStr">
        <is>
          <t>Produksi Harian</t>
        </is>
      </c>
      <c r="F319" t="inlineStr">
        <is>
          <t>21:36:18</t>
        </is>
      </c>
      <c r="G319" t="inlineStr">
        <is>
          <t>06:08:32</t>
        </is>
      </c>
      <c r="H319" t="inlineStr">
        <is>
          <t>SELESAI</t>
        </is>
      </c>
      <c r="I319" t="inlineStr">
        <is>
          <t>MK00192</t>
        </is>
      </c>
      <c r="J319" t="inlineStr"/>
    </row>
    <row r="320">
      <c r="A320" t="inlineStr">
        <is>
          <t>07/05/2026</t>
        </is>
      </c>
      <c r="B320" t="inlineStr">
        <is>
          <t>528000299</t>
        </is>
      </c>
      <c r="C320" t="inlineStr">
        <is>
          <t>Siti Nurjanah</t>
        </is>
      </c>
      <c r="D320" t="inlineStr">
        <is>
          <t>PROD</t>
        </is>
      </c>
      <c r="E320" t="inlineStr">
        <is>
          <t>Produksi Harian</t>
        </is>
      </c>
      <c r="F320" t="inlineStr">
        <is>
          <t>21:42:59</t>
        </is>
      </c>
      <c r="G320" t="inlineStr">
        <is>
          <t>06:11:51</t>
        </is>
      </c>
      <c r="H320" t="inlineStr">
        <is>
          <t>SELESAI</t>
        </is>
      </c>
      <c r="I320" t="inlineStr">
        <is>
          <t>MK00230</t>
        </is>
      </c>
      <c r="J320" t="inlineStr"/>
    </row>
    <row r="321">
      <c r="A321" t="inlineStr">
        <is>
          <t>07/05/2026</t>
        </is>
      </c>
      <c r="B321" t="inlineStr">
        <is>
          <t>528000302</t>
        </is>
      </c>
      <c r="C321" t="inlineStr">
        <is>
          <t>Henkey gumilar</t>
        </is>
      </c>
      <c r="D321" t="inlineStr">
        <is>
          <t>PROD</t>
        </is>
      </c>
      <c r="E321" t="inlineStr">
        <is>
          <t>Produksi Harian</t>
        </is>
      </c>
      <c r="F321" t="inlineStr">
        <is>
          <t>03:03:30</t>
        </is>
      </c>
      <c r="G321" t="inlineStr">
        <is>
          <t>06:12:02</t>
        </is>
      </c>
      <c r="H321" t="inlineStr">
        <is>
          <t>SELESAI</t>
        </is>
      </c>
      <c r="I321" t="inlineStr">
        <is>
          <t>MK00095</t>
        </is>
      </c>
      <c r="J321" t="inlineStr"/>
    </row>
    <row r="322">
      <c r="A322" t="inlineStr">
        <is>
          <t>07/05/2026</t>
        </is>
      </c>
      <c r="B322" t="inlineStr">
        <is>
          <t>528000305</t>
        </is>
      </c>
      <c r="C322" t="inlineStr">
        <is>
          <t>Puji Puspita</t>
        </is>
      </c>
      <c r="D322" t="inlineStr">
        <is>
          <t>PROD</t>
        </is>
      </c>
      <c r="E322" t="inlineStr">
        <is>
          <t>Produksi Harian</t>
        </is>
      </c>
      <c r="F322" t="inlineStr">
        <is>
          <t>21:38:54</t>
        </is>
      </c>
      <c r="G322" t="inlineStr">
        <is>
          <t>06:07:51</t>
        </is>
      </c>
      <c r="H322" t="inlineStr">
        <is>
          <t>SELESAI</t>
        </is>
      </c>
      <c r="I322" t="inlineStr">
        <is>
          <t>MK00209</t>
        </is>
      </c>
      <c r="J322" t="inlineStr"/>
    </row>
    <row r="323">
      <c r="A323" t="inlineStr">
        <is>
          <t>07/05/2026</t>
        </is>
      </c>
      <c r="B323" t="inlineStr">
        <is>
          <t>528000309</t>
        </is>
      </c>
      <c r="C323" t="inlineStr">
        <is>
          <t>Ilham Ramadhan</t>
        </is>
      </c>
      <c r="D323" t="inlineStr">
        <is>
          <t>LOG</t>
        </is>
      </c>
      <c r="E323" t="inlineStr">
        <is>
          <t>WRM Harian</t>
        </is>
      </c>
      <c r="F323" t="inlineStr">
        <is>
          <t>21:40:02</t>
        </is>
      </c>
      <c r="G323" t="inlineStr">
        <is>
          <t>06:06:16</t>
        </is>
      </c>
      <c r="H323" t="inlineStr">
        <is>
          <t>SELESAI</t>
        </is>
      </c>
      <c r="I323" t="inlineStr">
        <is>
          <t>MK00208</t>
        </is>
      </c>
      <c r="J323" t="inlineStr"/>
    </row>
    <row r="324">
      <c r="A324" t="inlineStr">
        <is>
          <t>07/05/2026</t>
        </is>
      </c>
      <c r="B324" t="inlineStr">
        <is>
          <t>528000313</t>
        </is>
      </c>
      <c r="C324" t="inlineStr">
        <is>
          <t>Muhamad Rifki</t>
        </is>
      </c>
      <c r="D324" t="inlineStr">
        <is>
          <t>PROD</t>
        </is>
      </c>
      <c r="E324" t="inlineStr">
        <is>
          <t>Produksi Harian</t>
        </is>
      </c>
      <c r="F324" t="inlineStr">
        <is>
          <t>21:38:20</t>
        </is>
      </c>
      <c r="G324" t="inlineStr">
        <is>
          <t>06:06:15</t>
        </is>
      </c>
      <c r="H324" t="inlineStr">
        <is>
          <t>SELESAI</t>
        </is>
      </c>
      <c r="I324" t="inlineStr">
        <is>
          <t>MK00108</t>
        </is>
      </c>
      <c r="J324" t="inlineStr"/>
    </row>
    <row r="325">
      <c r="A325" t="inlineStr">
        <is>
          <t>07/05/2026</t>
        </is>
      </c>
      <c r="B325" t="inlineStr">
        <is>
          <t>528000318</t>
        </is>
      </c>
      <c r="C325" t="inlineStr">
        <is>
          <t>Bayu Padli Sepriyana</t>
        </is>
      </c>
      <c r="D325" t="inlineStr">
        <is>
          <t>LOG</t>
        </is>
      </c>
      <c r="E325" t="inlineStr">
        <is>
          <t>WRM Harian</t>
        </is>
      </c>
      <c r="F325" t="inlineStr">
        <is>
          <t>21:38:15</t>
        </is>
      </c>
      <c r="G325" t="inlineStr">
        <is>
          <t>06:06:48</t>
        </is>
      </c>
      <c r="H325" t="inlineStr">
        <is>
          <t>SELESAI</t>
        </is>
      </c>
      <c r="I325" t="inlineStr">
        <is>
          <t>MK00220</t>
        </is>
      </c>
      <c r="J325" t="inlineStr"/>
    </row>
    <row r="326">
      <c r="A326" t="inlineStr">
        <is>
          <t>07/05/2026</t>
        </is>
      </c>
      <c r="B326" t="inlineStr">
        <is>
          <t>528000335</t>
        </is>
      </c>
      <c r="C326" t="inlineStr">
        <is>
          <t>Rizal Saepuloh</t>
        </is>
      </c>
      <c r="D326" t="inlineStr">
        <is>
          <t>LOG</t>
        </is>
      </c>
      <c r="E326" t="inlineStr">
        <is>
          <t>WRM Harian</t>
        </is>
      </c>
      <c r="F326" t="inlineStr"/>
      <c r="G326" t="inlineStr">
        <is>
          <t>00:00:52</t>
        </is>
      </c>
      <c r="H326" t="inlineStr">
        <is>
          <t>KELUAR TANPA MASUK</t>
        </is>
      </c>
      <c r="I326" t="inlineStr">
        <is>
          <t>MK00204</t>
        </is>
      </c>
      <c r="J326" t="inlineStr"/>
    </row>
    <row r="327">
      <c r="A327" t="inlineStr">
        <is>
          <t>07/05/2026</t>
        </is>
      </c>
      <c r="B327" t="inlineStr">
        <is>
          <t>528000340</t>
        </is>
      </c>
      <c r="C327" t="inlineStr">
        <is>
          <t>Muhammad Wildan Adithya</t>
        </is>
      </c>
      <c r="D327" t="inlineStr">
        <is>
          <t>PROD</t>
        </is>
      </c>
      <c r="E327" t="inlineStr">
        <is>
          <t>Produksi Harian</t>
        </is>
      </c>
      <c r="F327" t="inlineStr">
        <is>
          <t>21:23:05</t>
        </is>
      </c>
      <c r="G327" t="inlineStr">
        <is>
          <t>06:12:31</t>
        </is>
      </c>
      <c r="H327" t="inlineStr">
        <is>
          <t>SELESAI</t>
        </is>
      </c>
      <c r="I327" t="inlineStr">
        <is>
          <t>MK00230</t>
        </is>
      </c>
      <c r="J327" t="inlineStr"/>
    </row>
    <row r="328">
      <c r="A328" t="inlineStr">
        <is>
          <t>07/05/2026</t>
        </is>
      </c>
      <c r="B328" t="inlineStr">
        <is>
          <t>528000348</t>
        </is>
      </c>
      <c r="C328" t="inlineStr">
        <is>
          <t>Saepuloh Ardiansah</t>
        </is>
      </c>
      <c r="D328" t="inlineStr">
        <is>
          <t>LOG</t>
        </is>
      </c>
      <c r="E328" t="inlineStr">
        <is>
          <t>WRM Harian</t>
        </is>
      </c>
      <c r="F328" t="inlineStr">
        <is>
          <t>09:03:26</t>
        </is>
      </c>
      <c r="G328" t="inlineStr">
        <is>
          <t>21:02:26</t>
        </is>
      </c>
      <c r="H328" t="inlineStr">
        <is>
          <t>SELESAI</t>
        </is>
      </c>
      <c r="I328" t="inlineStr">
        <is>
          <t>MK00205</t>
        </is>
      </c>
      <c r="J328" t="inlineStr"/>
    </row>
    <row r="329">
      <c r="A329" t="inlineStr">
        <is>
          <t>07/05/2026</t>
        </is>
      </c>
      <c r="B329" t="inlineStr">
        <is>
          <t>528000349</t>
        </is>
      </c>
      <c r="C329" t="inlineStr">
        <is>
          <t>Anas Abdul Fatah</t>
        </is>
      </c>
      <c r="D329" t="inlineStr">
        <is>
          <t>LOG</t>
        </is>
      </c>
      <c r="E329" t="inlineStr">
        <is>
          <t>WFG Harian</t>
        </is>
      </c>
      <c r="F329" t="inlineStr">
        <is>
          <t>07:53:28</t>
        </is>
      </c>
      <c r="G329" t="inlineStr">
        <is>
          <t>16:12:13</t>
        </is>
      </c>
      <c r="H329" t="inlineStr">
        <is>
          <t>SELESAI</t>
        </is>
      </c>
      <c r="I329" t="inlineStr">
        <is>
          <t>MK00249</t>
        </is>
      </c>
      <c r="J329" t="inlineStr"/>
    </row>
    <row r="330">
      <c r="A330" t="inlineStr">
        <is>
          <t>07/05/2026</t>
        </is>
      </c>
      <c r="B330" t="inlineStr">
        <is>
          <t>528000351</t>
        </is>
      </c>
      <c r="C330" t="inlineStr">
        <is>
          <t>Mulyana</t>
        </is>
      </c>
      <c r="D330" t="inlineStr">
        <is>
          <t>PROD</t>
        </is>
      </c>
      <c r="E330" t="inlineStr">
        <is>
          <t>Produksi Harian</t>
        </is>
      </c>
      <c r="F330" t="inlineStr">
        <is>
          <t>07:45:09</t>
        </is>
      </c>
      <c r="G330" t="inlineStr">
        <is>
          <t>16:04:16</t>
        </is>
      </c>
      <c r="H330" t="inlineStr">
        <is>
          <t>SELESAI</t>
        </is>
      </c>
      <c r="I330" t="inlineStr">
        <is>
          <t>MK00154</t>
        </is>
      </c>
      <c r="J330" t="inlineStr"/>
    </row>
    <row r="331">
      <c r="A331" t="inlineStr">
        <is>
          <t>07/05/2026</t>
        </is>
      </c>
      <c r="B331" t="inlineStr">
        <is>
          <t>528000358</t>
        </is>
      </c>
      <c r="C331" t="inlineStr">
        <is>
          <t>Lulu Agustin</t>
        </is>
      </c>
      <c r="D331" t="inlineStr">
        <is>
          <t>PROD</t>
        </is>
      </c>
      <c r="E331" t="inlineStr">
        <is>
          <t>Produksi Harian</t>
        </is>
      </c>
      <c r="F331" t="inlineStr">
        <is>
          <t>13:30:39</t>
        </is>
      </c>
      <c r="G331" t="inlineStr">
        <is>
          <t>22:03:18</t>
        </is>
      </c>
      <c r="H331" t="inlineStr">
        <is>
          <t>SELESAI</t>
        </is>
      </c>
      <c r="I331" t="inlineStr">
        <is>
          <t>MK00116</t>
        </is>
      </c>
      <c r="J331" t="inlineStr"/>
    </row>
    <row r="332">
      <c r="A332" t="inlineStr">
        <is>
          <t>07/05/2026</t>
        </is>
      </c>
      <c r="B332" t="inlineStr">
        <is>
          <t>528000361</t>
        </is>
      </c>
      <c r="C332" t="inlineStr">
        <is>
          <t>Denada Munggarani</t>
        </is>
      </c>
      <c r="D332" t="inlineStr">
        <is>
          <t>PROD</t>
        </is>
      </c>
      <c r="E332" t="inlineStr">
        <is>
          <t>Produksi Harian</t>
        </is>
      </c>
      <c r="F332" t="inlineStr">
        <is>
          <t>21:35:30</t>
        </is>
      </c>
      <c r="G332" t="inlineStr">
        <is>
          <t>06:05:34</t>
        </is>
      </c>
      <c r="H332" t="inlineStr">
        <is>
          <t>SELESAI</t>
        </is>
      </c>
      <c r="I332" t="inlineStr">
        <is>
          <t>MK00156</t>
        </is>
      </c>
      <c r="J332" t="inlineStr"/>
    </row>
    <row r="333">
      <c r="A333" t="inlineStr">
        <is>
          <t>07/05/2026</t>
        </is>
      </c>
      <c r="B333" t="inlineStr">
        <is>
          <t>628000061</t>
        </is>
      </c>
      <c r="C333" t="inlineStr">
        <is>
          <t>Nayla Fadillah Exwantoro</t>
        </is>
      </c>
      <c r="D333" t="inlineStr">
        <is>
          <t>PROD</t>
        </is>
      </c>
      <c r="E333" t="inlineStr">
        <is>
          <t>Produksi Borongan</t>
        </is>
      </c>
      <c r="F333" t="inlineStr">
        <is>
          <t>21:01:44</t>
        </is>
      </c>
      <c r="G333" t="inlineStr">
        <is>
          <t>21:05:52</t>
        </is>
      </c>
      <c r="H333" t="inlineStr">
        <is>
          <t>SELESAI</t>
        </is>
      </c>
      <c r="I333" t="inlineStr">
        <is>
          <t>MK00088</t>
        </is>
      </c>
      <c r="J333" t="inlineStr">
        <is>
          <t>B-28</t>
        </is>
      </c>
    </row>
    <row r="334">
      <c r="A334" t="inlineStr">
        <is>
          <t>07/05/2026</t>
        </is>
      </c>
      <c r="B334" t="inlineStr">
        <is>
          <t>628000091</t>
        </is>
      </c>
      <c r="C334" t="inlineStr">
        <is>
          <t>Devita Handayani</t>
        </is>
      </c>
      <c r="D334" t="inlineStr">
        <is>
          <t>PROD</t>
        </is>
      </c>
      <c r="E334" t="inlineStr">
        <is>
          <t>Produksi Borongan</t>
        </is>
      </c>
      <c r="F334" t="inlineStr">
        <is>
          <t>21:26:50</t>
        </is>
      </c>
      <c r="G334" t="inlineStr">
        <is>
          <t>06:10:34</t>
        </is>
      </c>
      <c r="H334" t="inlineStr">
        <is>
          <t>SELESAI</t>
        </is>
      </c>
      <c r="I334" t="inlineStr">
        <is>
          <t>MK00200</t>
        </is>
      </c>
      <c r="J334" t="inlineStr"/>
    </row>
    <row r="335">
      <c r="A335" t="inlineStr">
        <is>
          <t>08/05/2026</t>
        </is>
      </c>
      <c r="B335" t="inlineStr">
        <is>
          <t>528000015</t>
        </is>
      </c>
      <c r="C335" t="inlineStr">
        <is>
          <t>Erwin</t>
        </is>
      </c>
      <c r="D335" t="inlineStr">
        <is>
          <t>LOG</t>
        </is>
      </c>
      <c r="E335" t="inlineStr">
        <is>
          <t>WRM Harian</t>
        </is>
      </c>
      <c r="F335" t="inlineStr">
        <is>
          <t>15:38:45</t>
        </is>
      </c>
      <c r="G335" t="inlineStr">
        <is>
          <t>00:03:01</t>
        </is>
      </c>
      <c r="H335" t="inlineStr">
        <is>
          <t>SELESAI</t>
        </is>
      </c>
      <c r="I335" t="inlineStr">
        <is>
          <t>MK00221</t>
        </is>
      </c>
      <c r="J335" t="inlineStr"/>
    </row>
    <row r="336">
      <c r="A336" t="inlineStr">
        <is>
          <t>08/05/2026</t>
        </is>
      </c>
      <c r="B336" t="inlineStr">
        <is>
          <t>528000040</t>
        </is>
      </c>
      <c r="C336" t="inlineStr">
        <is>
          <t>Agus Suryaman</t>
        </is>
      </c>
      <c r="D336" t="inlineStr">
        <is>
          <t>PROD</t>
        </is>
      </c>
      <c r="E336" t="inlineStr">
        <is>
          <t>Produksi Harian</t>
        </is>
      </c>
      <c r="F336" t="inlineStr">
        <is>
          <t>08:43:23</t>
        </is>
      </c>
      <c r="G336" t="inlineStr">
        <is>
          <t>17:05:09</t>
        </is>
      </c>
      <c r="H336" t="inlineStr">
        <is>
          <t>SELESAI</t>
        </is>
      </c>
      <c r="I336" t="inlineStr">
        <is>
          <t>MK00141</t>
        </is>
      </c>
      <c r="J336" t="inlineStr"/>
    </row>
    <row r="337">
      <c r="A337" t="inlineStr">
        <is>
          <t>08/05/2026</t>
        </is>
      </c>
      <c r="B337" t="inlineStr">
        <is>
          <t>528000055</t>
        </is>
      </c>
      <c r="C337" t="inlineStr">
        <is>
          <t>Dika Prasetya</t>
        </is>
      </c>
      <c r="D337" t="inlineStr">
        <is>
          <t>LOG</t>
        </is>
      </c>
      <c r="E337" t="inlineStr">
        <is>
          <t>WRM Harian</t>
        </is>
      </c>
      <c r="F337" t="inlineStr">
        <is>
          <t>07:51:30</t>
        </is>
      </c>
      <c r="G337" t="inlineStr">
        <is>
          <t>16:06:03</t>
        </is>
      </c>
      <c r="H337" t="inlineStr">
        <is>
          <t>SELESAI</t>
        </is>
      </c>
      <c r="I337" t="inlineStr">
        <is>
          <t>MK00141</t>
        </is>
      </c>
      <c r="J337" t="inlineStr"/>
    </row>
    <row r="338">
      <c r="A338" t="inlineStr">
        <is>
          <t>08/05/2026</t>
        </is>
      </c>
      <c r="B338" t="inlineStr">
        <is>
          <t>528000090</t>
        </is>
      </c>
      <c r="C338" t="inlineStr">
        <is>
          <t>Suganda</t>
        </is>
      </c>
      <c r="D338" t="inlineStr">
        <is>
          <t>PROD</t>
        </is>
      </c>
      <c r="E338" t="inlineStr">
        <is>
          <t>Produksi Harian</t>
        </is>
      </c>
      <c r="F338" t="inlineStr">
        <is>
          <t>13:55:09</t>
        </is>
      </c>
      <c r="G338" t="inlineStr">
        <is>
          <t>22:14:18</t>
        </is>
      </c>
      <c r="H338" t="inlineStr">
        <is>
          <t>SELESAI</t>
        </is>
      </c>
      <c r="I338" t="inlineStr">
        <is>
          <t>MK00210</t>
        </is>
      </c>
      <c r="J338" t="inlineStr"/>
    </row>
    <row r="339">
      <c r="A339" t="inlineStr">
        <is>
          <t>08/05/2026</t>
        </is>
      </c>
      <c r="B339" t="inlineStr">
        <is>
          <t>528000099</t>
        </is>
      </c>
      <c r="C339" t="inlineStr">
        <is>
          <t>Siti Nurawaliah</t>
        </is>
      </c>
      <c r="D339" t="inlineStr">
        <is>
          <t>PROD</t>
        </is>
      </c>
      <c r="E339" t="inlineStr">
        <is>
          <t>Produksi Harian</t>
        </is>
      </c>
      <c r="F339" t="inlineStr">
        <is>
          <t>05:33:45</t>
        </is>
      </c>
      <c r="G339" t="inlineStr">
        <is>
          <t>14:06:54</t>
        </is>
      </c>
      <c r="H339" t="inlineStr">
        <is>
          <t>SELESAI</t>
        </is>
      </c>
      <c r="I339" t="inlineStr">
        <is>
          <t>MK00082</t>
        </is>
      </c>
      <c r="J339" t="inlineStr"/>
    </row>
    <row r="340">
      <c r="A340" t="inlineStr">
        <is>
          <t>08/05/2026</t>
        </is>
      </c>
      <c r="B340" t="inlineStr">
        <is>
          <t>528000144</t>
        </is>
      </c>
      <c r="C340" t="inlineStr">
        <is>
          <t>Jodi Hanafi</t>
        </is>
      </c>
      <c r="D340" t="inlineStr">
        <is>
          <t>LOG</t>
        </is>
      </c>
      <c r="E340" t="inlineStr">
        <is>
          <t>WRM Harian</t>
        </is>
      </c>
      <c r="F340" t="inlineStr">
        <is>
          <t>15:41:19</t>
        </is>
      </c>
      <c r="G340" t="inlineStr">
        <is>
          <t>00:10:14</t>
        </is>
      </c>
      <c r="H340" t="inlineStr">
        <is>
          <t>SELESAI</t>
        </is>
      </c>
      <c r="I340" t="inlineStr">
        <is>
          <t>MK00213</t>
        </is>
      </c>
      <c r="J340" t="inlineStr"/>
    </row>
    <row r="341">
      <c r="A341" t="inlineStr">
        <is>
          <t>08/05/2026</t>
        </is>
      </c>
      <c r="B341" t="inlineStr">
        <is>
          <t>528000149</t>
        </is>
      </c>
      <c r="C341" t="inlineStr">
        <is>
          <t>Tio Fernanda</t>
        </is>
      </c>
      <c r="D341" t="inlineStr">
        <is>
          <t>LOG</t>
        </is>
      </c>
      <c r="E341" t="inlineStr">
        <is>
          <t>WRM Harian</t>
        </is>
      </c>
      <c r="F341" t="inlineStr">
        <is>
          <t>15:54:16</t>
        </is>
      </c>
      <c r="G341" t="inlineStr">
        <is>
          <t>00:02:56</t>
        </is>
      </c>
      <c r="H341" t="inlineStr">
        <is>
          <t>SELESAI</t>
        </is>
      </c>
      <c r="I341" t="inlineStr">
        <is>
          <t>MK00186</t>
        </is>
      </c>
      <c r="J341" t="inlineStr"/>
    </row>
    <row r="342">
      <c r="A342" t="inlineStr">
        <is>
          <t>08/05/2026</t>
        </is>
      </c>
      <c r="B342" t="inlineStr">
        <is>
          <t>528000195</t>
        </is>
      </c>
      <c r="C342" t="inlineStr">
        <is>
          <t>Rahma Sariwati</t>
        </is>
      </c>
      <c r="D342" t="inlineStr">
        <is>
          <t>PROD</t>
        </is>
      </c>
      <c r="E342" t="inlineStr">
        <is>
          <t>Produksi Harian</t>
        </is>
      </c>
      <c r="F342" t="inlineStr">
        <is>
          <t>13:35:47</t>
        </is>
      </c>
      <c r="G342" t="inlineStr">
        <is>
          <t>22:05:25</t>
        </is>
      </c>
      <c r="H342" t="inlineStr">
        <is>
          <t>SELESAI</t>
        </is>
      </c>
      <c r="I342" t="inlineStr">
        <is>
          <t>MK00155</t>
        </is>
      </c>
      <c r="J342" t="inlineStr"/>
    </row>
    <row r="343">
      <c r="A343" t="inlineStr">
        <is>
          <t>08/05/2026</t>
        </is>
      </c>
      <c r="B343" t="inlineStr">
        <is>
          <t>528000201</t>
        </is>
      </c>
      <c r="C343" t="inlineStr">
        <is>
          <t>Zahwa Amelia Choerunissa</t>
        </is>
      </c>
      <c r="D343" t="inlineStr">
        <is>
          <t>PROD</t>
        </is>
      </c>
      <c r="E343" t="inlineStr">
        <is>
          <t>Produksi Harian</t>
        </is>
      </c>
      <c r="F343" t="inlineStr">
        <is>
          <t>05:33:11</t>
        </is>
      </c>
      <c r="G343" t="inlineStr">
        <is>
          <t>22:02:07</t>
        </is>
      </c>
      <c r="H343" t="inlineStr">
        <is>
          <t>SELESAI</t>
        </is>
      </c>
      <c r="I343" t="inlineStr">
        <is>
          <t>MK00138</t>
        </is>
      </c>
      <c r="J343" t="inlineStr"/>
    </row>
    <row r="344">
      <c r="A344" t="inlineStr">
        <is>
          <t>08/05/2026</t>
        </is>
      </c>
      <c r="B344" t="inlineStr">
        <is>
          <t>528000212</t>
        </is>
      </c>
      <c r="C344" t="inlineStr">
        <is>
          <t>Rizal Fauzi</t>
        </is>
      </c>
      <c r="D344" t="inlineStr">
        <is>
          <t>PROD</t>
        </is>
      </c>
      <c r="E344" t="inlineStr">
        <is>
          <t>Produksi Harian</t>
        </is>
      </c>
      <c r="F344" t="inlineStr">
        <is>
          <t>05:33:19</t>
        </is>
      </c>
      <c r="G344" t="inlineStr">
        <is>
          <t>22:15:41</t>
        </is>
      </c>
      <c r="H344" t="inlineStr">
        <is>
          <t>SELESAI</t>
        </is>
      </c>
      <c r="I344" t="inlineStr">
        <is>
          <t>MK00055</t>
        </is>
      </c>
      <c r="J344" t="inlineStr"/>
    </row>
    <row r="345">
      <c r="A345" t="inlineStr">
        <is>
          <t>08/05/2026</t>
        </is>
      </c>
      <c r="B345" t="inlineStr">
        <is>
          <t>528000228</t>
        </is>
      </c>
      <c r="C345" t="inlineStr">
        <is>
          <t>Banyu Resmi Putri</t>
        </is>
      </c>
      <c r="D345" t="inlineStr">
        <is>
          <t>PROD</t>
        </is>
      </c>
      <c r="E345" t="inlineStr">
        <is>
          <t>Produksi Harian</t>
        </is>
      </c>
      <c r="F345" t="inlineStr">
        <is>
          <t>13:53:17</t>
        </is>
      </c>
      <c r="G345" t="inlineStr">
        <is>
          <t>22:04:11</t>
        </is>
      </c>
      <c r="H345" t="inlineStr">
        <is>
          <t>SELESAI</t>
        </is>
      </c>
      <c r="I345" t="inlineStr">
        <is>
          <t>MK00218</t>
        </is>
      </c>
      <c r="J345" t="inlineStr"/>
    </row>
    <row r="346">
      <c r="A346" t="inlineStr">
        <is>
          <t>08/05/2026</t>
        </is>
      </c>
      <c r="B346" t="inlineStr">
        <is>
          <t>528000232</t>
        </is>
      </c>
      <c r="C346" t="inlineStr">
        <is>
          <t>Agung Aji Suhada</t>
        </is>
      </c>
      <c r="D346" t="inlineStr">
        <is>
          <t>LOG</t>
        </is>
      </c>
      <c r="E346" t="inlineStr">
        <is>
          <t>WRM Harian</t>
        </is>
      </c>
      <c r="F346" t="inlineStr">
        <is>
          <t>08:49:49</t>
        </is>
      </c>
      <c r="G346" t="inlineStr">
        <is>
          <t>23:57:29</t>
        </is>
      </c>
      <c r="H346" t="inlineStr">
        <is>
          <t>SELESAI</t>
        </is>
      </c>
      <c r="I346" t="inlineStr">
        <is>
          <t>MK00150</t>
        </is>
      </c>
      <c r="J346" t="inlineStr"/>
    </row>
    <row r="347">
      <c r="A347" t="inlineStr">
        <is>
          <t>08/05/2026</t>
        </is>
      </c>
      <c r="B347" t="inlineStr">
        <is>
          <t>528000238</t>
        </is>
      </c>
      <c r="C347" t="inlineStr">
        <is>
          <t>Indah Lusiana</t>
        </is>
      </c>
      <c r="D347" t="inlineStr">
        <is>
          <t>PROD</t>
        </is>
      </c>
      <c r="E347" t="inlineStr">
        <is>
          <t>Produksi Harian</t>
        </is>
      </c>
      <c r="F347" t="inlineStr">
        <is>
          <t>21:36:51</t>
        </is>
      </c>
      <c r="G347" t="inlineStr"/>
      <c r="H347" t="inlineStr">
        <is>
          <t>DI DALAM</t>
        </is>
      </c>
      <c r="I347" t="inlineStr">
        <is>
          <t>MK00221</t>
        </is>
      </c>
      <c r="J347" t="inlineStr"/>
    </row>
    <row r="348">
      <c r="A348" t="inlineStr">
        <is>
          <t>08/05/2026</t>
        </is>
      </c>
      <c r="B348" t="inlineStr">
        <is>
          <t>528000241</t>
        </is>
      </c>
      <c r="C348" t="inlineStr">
        <is>
          <t>Balia Nurafif Bilah</t>
        </is>
      </c>
      <c r="D348" t="inlineStr">
        <is>
          <t>PROD</t>
        </is>
      </c>
      <c r="E348" t="inlineStr">
        <is>
          <t>Produksi Harian</t>
        </is>
      </c>
      <c r="F348" t="inlineStr">
        <is>
          <t>05:52:09</t>
        </is>
      </c>
      <c r="G348" t="inlineStr">
        <is>
          <t>14:02:51</t>
        </is>
      </c>
      <c r="H348" t="inlineStr">
        <is>
          <t>SELESAI</t>
        </is>
      </c>
      <c r="I348" t="inlineStr">
        <is>
          <t>MK00228</t>
        </is>
      </c>
      <c r="J348" t="inlineStr"/>
    </row>
    <row r="349">
      <c r="A349" t="inlineStr">
        <is>
          <t>08/05/2026</t>
        </is>
      </c>
      <c r="B349" t="inlineStr">
        <is>
          <t>528000244</t>
        </is>
      </c>
      <c r="C349" t="inlineStr">
        <is>
          <t>Rodian Rifai</t>
        </is>
      </c>
      <c r="D349" t="inlineStr">
        <is>
          <t>PROD</t>
        </is>
      </c>
      <c r="E349" t="inlineStr">
        <is>
          <t>Produksi Harian</t>
        </is>
      </c>
      <c r="F349" t="inlineStr">
        <is>
          <t>05:52:50</t>
        </is>
      </c>
      <c r="G349" t="inlineStr">
        <is>
          <t>14:35:15</t>
        </is>
      </c>
      <c r="H349" t="inlineStr">
        <is>
          <t>SELESAI</t>
        </is>
      </c>
      <c r="I349" t="inlineStr">
        <is>
          <t>MK00221</t>
        </is>
      </c>
      <c r="J349" t="inlineStr"/>
    </row>
    <row r="350">
      <c r="A350" t="inlineStr">
        <is>
          <t>08/05/2026</t>
        </is>
      </c>
      <c r="B350" t="inlineStr">
        <is>
          <t>528000262</t>
        </is>
      </c>
      <c r="C350" t="inlineStr">
        <is>
          <t>Ndari Dwiwanti</t>
        </is>
      </c>
      <c r="D350" t="inlineStr">
        <is>
          <t>PROD</t>
        </is>
      </c>
      <c r="E350" t="inlineStr">
        <is>
          <t>Produksi Harian</t>
        </is>
      </c>
      <c r="F350" t="inlineStr">
        <is>
          <t>13:36:02</t>
        </is>
      </c>
      <c r="G350" t="inlineStr">
        <is>
          <t>22:03:53</t>
        </is>
      </c>
      <c r="H350" t="inlineStr">
        <is>
          <t>SELESAI</t>
        </is>
      </c>
      <c r="I350" t="inlineStr">
        <is>
          <t>MK00156</t>
        </is>
      </c>
      <c r="J350" t="inlineStr"/>
    </row>
    <row r="351">
      <c r="A351" t="inlineStr">
        <is>
          <t>08/05/2026</t>
        </is>
      </c>
      <c r="B351" t="inlineStr">
        <is>
          <t>528000265</t>
        </is>
      </c>
      <c r="C351" t="inlineStr">
        <is>
          <t>Muhammad Haerul Rozikin</t>
        </is>
      </c>
      <c r="D351" t="inlineStr">
        <is>
          <t>LOG</t>
        </is>
      </c>
      <c r="E351" t="inlineStr">
        <is>
          <t>WRM Harian</t>
        </is>
      </c>
      <c r="F351" t="inlineStr">
        <is>
          <t>07:45:57</t>
        </is>
      </c>
      <c r="G351" t="inlineStr">
        <is>
          <t>16:05:04</t>
        </is>
      </c>
      <c r="H351" t="inlineStr">
        <is>
          <t>SELESAI</t>
        </is>
      </c>
      <c r="I351" t="inlineStr">
        <is>
          <t>MK00108</t>
        </is>
      </c>
      <c r="J351" t="inlineStr"/>
    </row>
    <row r="352">
      <c r="A352" t="inlineStr">
        <is>
          <t>08/05/2026</t>
        </is>
      </c>
      <c r="B352" t="inlineStr">
        <is>
          <t>528000266</t>
        </is>
      </c>
      <c r="C352" t="inlineStr">
        <is>
          <t>M. Syirajatieq</t>
        </is>
      </c>
      <c r="D352" t="inlineStr">
        <is>
          <t>LOG</t>
        </is>
      </c>
      <c r="E352" t="inlineStr">
        <is>
          <t>WFG Harian</t>
        </is>
      </c>
      <c r="F352" t="inlineStr">
        <is>
          <t>13:28:40</t>
        </is>
      </c>
      <c r="G352" t="inlineStr">
        <is>
          <t>22:24:19</t>
        </is>
      </c>
      <c r="H352" t="inlineStr">
        <is>
          <t>SELESAI</t>
        </is>
      </c>
      <c r="I352" t="inlineStr">
        <is>
          <t>MK00158</t>
        </is>
      </c>
      <c r="J352" t="inlineStr"/>
    </row>
    <row r="353">
      <c r="A353" t="inlineStr">
        <is>
          <t>08/05/2026</t>
        </is>
      </c>
      <c r="B353" t="inlineStr">
        <is>
          <t>528000267</t>
        </is>
      </c>
      <c r="C353" t="inlineStr">
        <is>
          <t>Bagas Patulloh</t>
        </is>
      </c>
      <c r="D353" t="inlineStr">
        <is>
          <t>LOG</t>
        </is>
      </c>
      <c r="E353" t="inlineStr">
        <is>
          <t>WRM Harian</t>
        </is>
      </c>
      <c r="F353" t="inlineStr">
        <is>
          <t>07:59:07</t>
        </is>
      </c>
      <c r="G353" t="inlineStr">
        <is>
          <t>16:13:39</t>
        </is>
      </c>
      <c r="H353" t="inlineStr">
        <is>
          <t>SELESAI</t>
        </is>
      </c>
      <c r="I353" t="inlineStr">
        <is>
          <t>MK00201</t>
        </is>
      </c>
      <c r="J353" t="inlineStr"/>
    </row>
    <row r="354">
      <c r="A354" t="inlineStr">
        <is>
          <t>08/05/2026</t>
        </is>
      </c>
      <c r="B354" t="inlineStr">
        <is>
          <t>528000270</t>
        </is>
      </c>
      <c r="C354" t="inlineStr">
        <is>
          <t>Febri Najmudin</t>
        </is>
      </c>
      <c r="D354" t="inlineStr">
        <is>
          <t>LOG</t>
        </is>
      </c>
      <c r="E354" t="inlineStr">
        <is>
          <t>WRM Harian</t>
        </is>
      </c>
      <c r="F354" t="inlineStr"/>
      <c r="G354" t="inlineStr">
        <is>
          <t>06:07:03</t>
        </is>
      </c>
      <c r="H354" t="inlineStr">
        <is>
          <t>KELUAR TANPA MASUK</t>
        </is>
      </c>
      <c r="I354" t="inlineStr">
        <is>
          <t>MK00211</t>
        </is>
      </c>
      <c r="J354" t="inlineStr"/>
    </row>
    <row r="355">
      <c r="A355" t="inlineStr">
        <is>
          <t>08/05/2026</t>
        </is>
      </c>
      <c r="B355" t="inlineStr">
        <is>
          <t>528000273</t>
        </is>
      </c>
      <c r="C355" t="inlineStr">
        <is>
          <t>Asep Mulyana</t>
        </is>
      </c>
      <c r="D355" t="inlineStr">
        <is>
          <t>PROD</t>
        </is>
      </c>
      <c r="E355" t="inlineStr">
        <is>
          <t>Produksi Harian</t>
        </is>
      </c>
      <c r="F355" t="inlineStr">
        <is>
          <t>07:54:08</t>
        </is>
      </c>
      <c r="G355" t="inlineStr">
        <is>
          <t>22:00:22</t>
        </is>
      </c>
      <c r="H355" t="inlineStr">
        <is>
          <t>SELESAI</t>
        </is>
      </c>
      <c r="I355" t="inlineStr">
        <is>
          <t>MK00112</t>
        </is>
      </c>
      <c r="J355" t="inlineStr"/>
    </row>
    <row r="356">
      <c r="A356" t="inlineStr">
        <is>
          <t>08/05/2026</t>
        </is>
      </c>
      <c r="B356" t="inlineStr">
        <is>
          <t>528000274</t>
        </is>
      </c>
      <c r="C356" t="inlineStr">
        <is>
          <t>Zepri</t>
        </is>
      </c>
      <c r="D356" t="inlineStr">
        <is>
          <t>PROD</t>
        </is>
      </c>
      <c r="E356" t="inlineStr">
        <is>
          <t>Produksi Harian</t>
        </is>
      </c>
      <c r="F356" t="inlineStr">
        <is>
          <t>05:52:32</t>
        </is>
      </c>
      <c r="G356" t="inlineStr">
        <is>
          <t>22:00:26</t>
        </is>
      </c>
      <c r="H356" t="inlineStr">
        <is>
          <t>SELESAI</t>
        </is>
      </c>
      <c r="I356" t="inlineStr">
        <is>
          <t>MK00203</t>
        </is>
      </c>
      <c r="J356" t="inlineStr"/>
    </row>
    <row r="357">
      <c r="A357" t="inlineStr">
        <is>
          <t>08/05/2026</t>
        </is>
      </c>
      <c r="B357" t="inlineStr">
        <is>
          <t>528000279</t>
        </is>
      </c>
      <c r="C357" t="inlineStr">
        <is>
          <t>Mahdalena Dalfa Riani</t>
        </is>
      </c>
      <c r="D357" t="inlineStr">
        <is>
          <t>PROD</t>
        </is>
      </c>
      <c r="E357" t="inlineStr">
        <is>
          <t>Produksi Harian</t>
        </is>
      </c>
      <c r="F357" t="inlineStr">
        <is>
          <t>05:56:00</t>
        </is>
      </c>
      <c r="G357" t="inlineStr">
        <is>
          <t>14:04:38</t>
        </is>
      </c>
      <c r="H357" t="inlineStr">
        <is>
          <t>SELESAI</t>
        </is>
      </c>
      <c r="I357" t="inlineStr">
        <is>
          <t>MK00181</t>
        </is>
      </c>
      <c r="J357" t="inlineStr"/>
    </row>
    <row r="358">
      <c r="A358" t="inlineStr">
        <is>
          <t>08/05/2026</t>
        </is>
      </c>
      <c r="B358" t="inlineStr">
        <is>
          <t>528000282</t>
        </is>
      </c>
      <c r="C358" t="inlineStr">
        <is>
          <t>Defa Desfiana</t>
        </is>
      </c>
      <c r="D358" t="inlineStr">
        <is>
          <t>PROD</t>
        </is>
      </c>
      <c r="E358" t="inlineStr">
        <is>
          <t>Produksi Harian</t>
        </is>
      </c>
      <c r="F358" t="inlineStr">
        <is>
          <t>07:34:45</t>
        </is>
      </c>
      <c r="G358" t="inlineStr">
        <is>
          <t>16:17:40</t>
        </is>
      </c>
      <c r="H358" t="inlineStr">
        <is>
          <t>SELESAI</t>
        </is>
      </c>
      <c r="I358" t="inlineStr">
        <is>
          <t>MK00230</t>
        </is>
      </c>
      <c r="J358" t="inlineStr">
        <is>
          <t>23c</t>
        </is>
      </c>
    </row>
    <row r="359">
      <c r="A359" t="inlineStr">
        <is>
          <t>08/05/2026</t>
        </is>
      </c>
      <c r="B359" t="inlineStr">
        <is>
          <t>528000283</t>
        </is>
      </c>
      <c r="C359" t="inlineStr">
        <is>
          <t>Purwanda Sugiri</t>
        </is>
      </c>
      <c r="D359" t="inlineStr">
        <is>
          <t>LOG</t>
        </is>
      </c>
      <c r="E359" t="inlineStr">
        <is>
          <t>WRM Harian</t>
        </is>
      </c>
      <c r="F359" t="inlineStr">
        <is>
          <t>13:45:42</t>
        </is>
      </c>
      <c r="G359" t="inlineStr">
        <is>
          <t>22:05:31</t>
        </is>
      </c>
      <c r="H359" t="inlineStr">
        <is>
          <t>SELESAI</t>
        </is>
      </c>
      <c r="I359" t="inlineStr">
        <is>
          <t>MK00192</t>
        </is>
      </c>
      <c r="J359" t="inlineStr"/>
    </row>
    <row r="360">
      <c r="A360" t="inlineStr">
        <is>
          <t>08/05/2026</t>
        </is>
      </c>
      <c r="B360" t="inlineStr">
        <is>
          <t>528000286</t>
        </is>
      </c>
      <c r="C360" t="inlineStr">
        <is>
          <t>Imelda Amelia</t>
        </is>
      </c>
      <c r="D360" t="inlineStr">
        <is>
          <t>PROD</t>
        </is>
      </c>
      <c r="E360" t="inlineStr">
        <is>
          <t>Produksi Harian</t>
        </is>
      </c>
      <c r="F360" t="inlineStr">
        <is>
          <t>05:42:59</t>
        </is>
      </c>
      <c r="G360" t="inlineStr">
        <is>
          <t>22:05:38</t>
        </is>
      </c>
      <c r="H360" t="inlineStr">
        <is>
          <t>SELESAI</t>
        </is>
      </c>
      <c r="I360" t="inlineStr">
        <is>
          <t>MK00046</t>
        </is>
      </c>
      <c r="J360" t="inlineStr"/>
    </row>
    <row r="361">
      <c r="A361" t="inlineStr">
        <is>
          <t>08/05/2026</t>
        </is>
      </c>
      <c r="B361" t="inlineStr">
        <is>
          <t>528000287</t>
        </is>
      </c>
      <c r="C361" t="inlineStr">
        <is>
          <t>Muhamad Angga Ramdani</t>
        </is>
      </c>
      <c r="D361" t="inlineStr">
        <is>
          <t>PROD</t>
        </is>
      </c>
      <c r="E361" t="inlineStr">
        <is>
          <t>Produksi Harian</t>
        </is>
      </c>
      <c r="F361" t="inlineStr">
        <is>
          <t>07:53:13</t>
        </is>
      </c>
      <c r="G361" t="inlineStr">
        <is>
          <t>16:03:33</t>
        </is>
      </c>
      <c r="H361" t="inlineStr">
        <is>
          <t>SELESAI</t>
        </is>
      </c>
      <c r="I361" t="inlineStr">
        <is>
          <t>MK00200</t>
        </is>
      </c>
      <c r="J361" t="inlineStr"/>
    </row>
    <row r="362">
      <c r="A362" t="inlineStr">
        <is>
          <t>08/05/2026</t>
        </is>
      </c>
      <c r="B362" t="inlineStr">
        <is>
          <t>528000288</t>
        </is>
      </c>
      <c r="C362" t="inlineStr">
        <is>
          <t>Dede gunawan</t>
        </is>
      </c>
      <c r="D362" t="inlineStr">
        <is>
          <t>PROD</t>
        </is>
      </c>
      <c r="E362" t="inlineStr">
        <is>
          <t>Produksi Harian</t>
        </is>
      </c>
      <c r="F362" t="inlineStr"/>
      <c r="G362" t="inlineStr">
        <is>
          <t>13:53:48</t>
        </is>
      </c>
      <c r="H362" t="inlineStr">
        <is>
          <t>KELUAR TANPA MASUK</t>
        </is>
      </c>
      <c r="I362" t="inlineStr">
        <is>
          <t>MK00250</t>
        </is>
      </c>
      <c r="J362" t="inlineStr"/>
    </row>
    <row r="363">
      <c r="A363" t="inlineStr">
        <is>
          <t>08/05/2026</t>
        </is>
      </c>
      <c r="B363" t="inlineStr">
        <is>
          <t>528000289</t>
        </is>
      </c>
      <c r="C363" t="inlineStr">
        <is>
          <t>Adit Supriyadi</t>
        </is>
      </c>
      <c r="D363" t="inlineStr">
        <is>
          <t>PROD</t>
        </is>
      </c>
      <c r="E363" t="inlineStr">
        <is>
          <t>Produksi Harian</t>
        </is>
      </c>
      <c r="F363" t="inlineStr">
        <is>
          <t>13:48:57</t>
        </is>
      </c>
      <c r="G363" t="inlineStr">
        <is>
          <t>21:59:59</t>
        </is>
      </c>
      <c r="H363" t="inlineStr">
        <is>
          <t>SELESAI</t>
        </is>
      </c>
      <c r="I363" t="inlineStr">
        <is>
          <t>MK00134</t>
        </is>
      </c>
      <c r="J363" t="inlineStr"/>
    </row>
    <row r="364">
      <c r="A364" t="inlineStr">
        <is>
          <t>08/05/2026</t>
        </is>
      </c>
      <c r="B364" t="inlineStr">
        <is>
          <t>528000290</t>
        </is>
      </c>
      <c r="C364" t="inlineStr">
        <is>
          <t>Eval Pranata</t>
        </is>
      </c>
      <c r="D364" t="inlineStr">
        <is>
          <t>PROD</t>
        </is>
      </c>
      <c r="E364" t="inlineStr">
        <is>
          <t>Produksi Harian</t>
        </is>
      </c>
      <c r="F364" t="inlineStr">
        <is>
          <t>05:53:55</t>
        </is>
      </c>
      <c r="G364" t="inlineStr">
        <is>
          <t>22:02:36</t>
        </is>
      </c>
      <c r="H364" t="inlineStr">
        <is>
          <t>SELESAI</t>
        </is>
      </c>
      <c r="I364" t="inlineStr">
        <is>
          <t>MK00116</t>
        </is>
      </c>
      <c r="J364" t="inlineStr"/>
    </row>
    <row r="365">
      <c r="A365" t="inlineStr">
        <is>
          <t>08/05/2026</t>
        </is>
      </c>
      <c r="B365" t="inlineStr">
        <is>
          <t>528000291</t>
        </is>
      </c>
      <c r="C365" t="inlineStr">
        <is>
          <t>Andrian</t>
        </is>
      </c>
      <c r="D365" t="inlineStr">
        <is>
          <t>PROD</t>
        </is>
      </c>
      <c r="E365" t="inlineStr">
        <is>
          <t>Produksi Harian</t>
        </is>
      </c>
      <c r="F365" t="inlineStr">
        <is>
          <t>13:48:33</t>
        </is>
      </c>
      <c r="G365" t="inlineStr">
        <is>
          <t>22:05:49</t>
        </is>
      </c>
      <c r="H365" t="inlineStr">
        <is>
          <t>SELESAI</t>
        </is>
      </c>
      <c r="I365" t="inlineStr">
        <is>
          <t>MK00136</t>
        </is>
      </c>
      <c r="J365" t="inlineStr"/>
    </row>
    <row r="366">
      <c r="A366" t="inlineStr">
        <is>
          <t>08/05/2026</t>
        </is>
      </c>
      <c r="B366" t="inlineStr">
        <is>
          <t>528000297</t>
        </is>
      </c>
      <c r="C366" t="inlineStr">
        <is>
          <t>Muhamad Budiana</t>
        </is>
      </c>
      <c r="D366" t="inlineStr">
        <is>
          <t>PROD</t>
        </is>
      </c>
      <c r="E366" t="inlineStr">
        <is>
          <t>Produksi Harian</t>
        </is>
      </c>
      <c r="F366" t="inlineStr">
        <is>
          <t>21:55:58</t>
        </is>
      </c>
      <c r="G366" t="inlineStr"/>
      <c r="H366" t="inlineStr">
        <is>
          <t>DI DALAM</t>
        </is>
      </c>
      <c r="I366" t="inlineStr">
        <is>
          <t>MV-26</t>
        </is>
      </c>
      <c r="J366" t="inlineStr"/>
    </row>
    <row r="367">
      <c r="A367" t="inlineStr">
        <is>
          <t>08/05/2026</t>
        </is>
      </c>
      <c r="B367" t="inlineStr">
        <is>
          <t>528000299</t>
        </is>
      </c>
      <c r="C367" t="inlineStr">
        <is>
          <t>Siti Nurjanah</t>
        </is>
      </c>
      <c r="D367" t="inlineStr">
        <is>
          <t>PROD</t>
        </is>
      </c>
      <c r="E367" t="inlineStr">
        <is>
          <t>Produksi Harian</t>
        </is>
      </c>
      <c r="F367" t="inlineStr"/>
      <c r="G367" t="inlineStr">
        <is>
          <t>06:08:29</t>
        </is>
      </c>
      <c r="H367" t="inlineStr">
        <is>
          <t>KELUAR TANPA MASUK</t>
        </is>
      </c>
      <c r="I367" t="inlineStr">
        <is>
          <t>MK00230</t>
        </is>
      </c>
      <c r="J367" t="inlineStr"/>
    </row>
    <row r="368">
      <c r="A368" t="inlineStr">
        <is>
          <t>08/05/2026</t>
        </is>
      </c>
      <c r="B368" t="inlineStr">
        <is>
          <t>528000300</t>
        </is>
      </c>
      <c r="C368" t="inlineStr">
        <is>
          <t>Lia pitaloka</t>
        </is>
      </c>
      <c r="D368" t="inlineStr">
        <is>
          <t>PROD</t>
        </is>
      </c>
      <c r="E368" t="inlineStr">
        <is>
          <t>Produksi Harian</t>
        </is>
      </c>
      <c r="F368" t="inlineStr">
        <is>
          <t>05:50:53</t>
        </is>
      </c>
      <c r="G368" t="inlineStr">
        <is>
          <t>14:08:46</t>
        </is>
      </c>
      <c r="H368" t="inlineStr">
        <is>
          <t>SELESAI</t>
        </is>
      </c>
      <c r="I368" t="inlineStr">
        <is>
          <t>MK00143</t>
        </is>
      </c>
      <c r="J368" t="inlineStr"/>
    </row>
    <row r="369">
      <c r="A369" t="inlineStr">
        <is>
          <t>08/05/2026</t>
        </is>
      </c>
      <c r="B369" t="inlineStr">
        <is>
          <t>528000302</t>
        </is>
      </c>
      <c r="C369" t="inlineStr">
        <is>
          <t>Henkey gumilar</t>
        </is>
      </c>
      <c r="D369" t="inlineStr">
        <is>
          <t>PROD</t>
        </is>
      </c>
      <c r="E369" t="inlineStr">
        <is>
          <t>Produksi Harian</t>
        </is>
      </c>
      <c r="F369" t="inlineStr"/>
      <c r="G369" t="inlineStr">
        <is>
          <t>06:12:25</t>
        </is>
      </c>
      <c r="H369" t="inlineStr">
        <is>
          <t>KELUAR TANPA MASUK</t>
        </is>
      </c>
      <c r="I369" t="inlineStr">
        <is>
          <t>MK00202</t>
        </is>
      </c>
      <c r="J369" t="inlineStr"/>
    </row>
    <row r="370">
      <c r="A370" t="inlineStr">
        <is>
          <t>08/05/2026</t>
        </is>
      </c>
      <c r="B370" t="inlineStr">
        <is>
          <t>528000305</t>
        </is>
      </c>
      <c r="C370" t="inlineStr">
        <is>
          <t>Puji Puspita</t>
        </is>
      </c>
      <c r="D370" t="inlineStr">
        <is>
          <t>PROD</t>
        </is>
      </c>
      <c r="E370" t="inlineStr">
        <is>
          <t>Produksi Harian</t>
        </is>
      </c>
      <c r="F370" t="inlineStr"/>
      <c r="G370" t="inlineStr">
        <is>
          <t>06:08:34</t>
        </is>
      </c>
      <c r="H370" t="inlineStr">
        <is>
          <t>KELUAR TANPA MASUK</t>
        </is>
      </c>
      <c r="I370" t="inlineStr">
        <is>
          <t>MK0085</t>
        </is>
      </c>
      <c r="J370" t="inlineStr"/>
    </row>
    <row r="371">
      <c r="A371" t="inlineStr">
        <is>
          <t>08/05/2026</t>
        </is>
      </c>
      <c r="B371" t="inlineStr">
        <is>
          <t>528000306</t>
        </is>
      </c>
      <c r="C371" t="inlineStr">
        <is>
          <t>Windy Olivia</t>
        </is>
      </c>
      <c r="D371" t="inlineStr">
        <is>
          <t>PROD</t>
        </is>
      </c>
      <c r="E371" t="inlineStr">
        <is>
          <t>Produksi Harian</t>
        </is>
      </c>
      <c r="F371" t="inlineStr">
        <is>
          <t>05:43:15</t>
        </is>
      </c>
      <c r="G371" t="inlineStr">
        <is>
          <t>22:05:54</t>
        </is>
      </c>
      <c r="H371" t="inlineStr">
        <is>
          <t>SELESAI</t>
        </is>
      </c>
      <c r="I371" t="inlineStr">
        <is>
          <t>MK000145</t>
        </is>
      </c>
      <c r="J371" t="inlineStr"/>
    </row>
    <row r="372">
      <c r="A372" t="inlineStr">
        <is>
          <t>08/05/2026</t>
        </is>
      </c>
      <c r="B372" t="inlineStr">
        <is>
          <t>528000310</t>
        </is>
      </c>
      <c r="C372" t="inlineStr">
        <is>
          <t>Fachrul Rozzi Suryana</t>
        </is>
      </c>
      <c r="D372" t="inlineStr">
        <is>
          <t>LOG</t>
        </is>
      </c>
      <c r="E372" t="inlineStr">
        <is>
          <t>WRM Harian</t>
        </is>
      </c>
      <c r="F372" t="inlineStr">
        <is>
          <t>07:59:21</t>
        </is>
      </c>
      <c r="G372" t="inlineStr">
        <is>
          <t>16:00:18</t>
        </is>
      </c>
      <c r="H372" t="inlineStr">
        <is>
          <t>SELESAI</t>
        </is>
      </c>
      <c r="I372" t="inlineStr">
        <is>
          <t>MK00235</t>
        </is>
      </c>
      <c r="J372" t="inlineStr">
        <is>
          <t>23F</t>
        </is>
      </c>
    </row>
    <row r="373">
      <c r="A373" t="inlineStr">
        <is>
          <t>08/05/2026</t>
        </is>
      </c>
      <c r="B373" t="inlineStr">
        <is>
          <t>528000335</t>
        </is>
      </c>
      <c r="C373" t="inlineStr">
        <is>
          <t>Rizal Saepuloh</t>
        </is>
      </c>
      <c r="D373" t="inlineStr">
        <is>
          <t>LOG</t>
        </is>
      </c>
      <c r="E373" t="inlineStr">
        <is>
          <t>WRM Harian</t>
        </is>
      </c>
      <c r="F373" t="inlineStr">
        <is>
          <t>17:50:28</t>
        </is>
      </c>
      <c r="G373" t="inlineStr"/>
      <c r="H373" t="inlineStr">
        <is>
          <t>DI DALAM</t>
        </is>
      </c>
      <c r="I373" t="inlineStr">
        <is>
          <t>MK00204</t>
        </is>
      </c>
      <c r="J373" t="inlineStr"/>
    </row>
    <row r="374">
      <c r="A374" t="inlineStr">
        <is>
          <t>08/05/2026</t>
        </is>
      </c>
      <c r="B374" t="inlineStr">
        <is>
          <t>528000339</t>
        </is>
      </c>
      <c r="C374" t="inlineStr">
        <is>
          <t>Muhamad Ripai'i</t>
        </is>
      </c>
      <c r="D374" t="inlineStr">
        <is>
          <t>HRGA</t>
        </is>
      </c>
      <c r="E374" t="inlineStr">
        <is>
          <t>GA Harian</t>
        </is>
      </c>
      <c r="F374" t="inlineStr">
        <is>
          <t>13:25:15</t>
        </is>
      </c>
      <c r="G374" t="inlineStr">
        <is>
          <t>22:07:52</t>
        </is>
      </c>
      <c r="H374" t="inlineStr">
        <is>
          <t>SELESAI</t>
        </is>
      </c>
      <c r="I374" t="inlineStr">
        <is>
          <t>MK00217</t>
        </is>
      </c>
      <c r="J374" t="inlineStr"/>
    </row>
    <row r="375">
      <c r="A375" t="inlineStr">
        <is>
          <t>08/05/2026</t>
        </is>
      </c>
      <c r="B375" t="inlineStr">
        <is>
          <t>528000340</t>
        </is>
      </c>
      <c r="C375" t="inlineStr">
        <is>
          <t>Muhammad Wildan Adithya</t>
        </is>
      </c>
      <c r="D375" t="inlineStr">
        <is>
          <t>PROD</t>
        </is>
      </c>
      <c r="E375" t="inlineStr">
        <is>
          <t>Produksi Harian</t>
        </is>
      </c>
      <c r="F375" t="inlineStr">
        <is>
          <t>06:11:42</t>
        </is>
      </c>
      <c r="G375" t="inlineStr"/>
      <c r="H375" t="inlineStr">
        <is>
          <t>DI DALAM</t>
        </is>
      </c>
      <c r="I375" t="inlineStr">
        <is>
          <t>MK00220</t>
        </is>
      </c>
      <c r="J375" t="inlineStr"/>
    </row>
    <row r="376">
      <c r="A376" t="inlineStr">
        <is>
          <t>08/05/2026</t>
        </is>
      </c>
      <c r="B376" t="inlineStr">
        <is>
          <t>528000348</t>
        </is>
      </c>
      <c r="C376" t="inlineStr">
        <is>
          <t>Saepuloh Ardiansah</t>
        </is>
      </c>
      <c r="D376" t="inlineStr">
        <is>
          <t>LOG</t>
        </is>
      </c>
      <c r="E376" t="inlineStr">
        <is>
          <t>WRM Harian</t>
        </is>
      </c>
      <c r="F376" t="inlineStr">
        <is>
          <t>08:54:42</t>
        </is>
      </c>
      <c r="G376" t="inlineStr">
        <is>
          <t>17:30:56</t>
        </is>
      </c>
      <c r="H376" t="inlineStr">
        <is>
          <t>SELESAI</t>
        </is>
      </c>
      <c r="I376" t="inlineStr">
        <is>
          <t>MK00205</t>
        </is>
      </c>
      <c r="J376" t="inlineStr"/>
    </row>
    <row r="377">
      <c r="A377" t="inlineStr">
        <is>
          <t>08/05/2026</t>
        </is>
      </c>
      <c r="B377" t="inlineStr">
        <is>
          <t>528000349</t>
        </is>
      </c>
      <c r="C377" t="inlineStr">
        <is>
          <t>Anas Abdul Fatah</t>
        </is>
      </c>
      <c r="D377" t="inlineStr">
        <is>
          <t>LOG</t>
        </is>
      </c>
      <c r="E377" t="inlineStr">
        <is>
          <t>WFG Harian</t>
        </is>
      </c>
      <c r="F377" t="inlineStr">
        <is>
          <t>07:50:16</t>
        </is>
      </c>
      <c r="G377" t="inlineStr">
        <is>
          <t>16:12:52</t>
        </is>
      </c>
      <c r="H377" t="inlineStr">
        <is>
          <t>SELESAI</t>
        </is>
      </c>
      <c r="I377" t="inlineStr">
        <is>
          <t>MK00249</t>
        </is>
      </c>
      <c r="J377" t="inlineStr"/>
    </row>
    <row r="378">
      <c r="A378" t="inlineStr">
        <is>
          <t>08/05/2026</t>
        </is>
      </c>
      <c r="B378" t="inlineStr">
        <is>
          <t>528000351</t>
        </is>
      </c>
      <c r="C378" t="inlineStr">
        <is>
          <t>Mulyana</t>
        </is>
      </c>
      <c r="D378" t="inlineStr">
        <is>
          <t>PROD</t>
        </is>
      </c>
      <c r="E378" t="inlineStr">
        <is>
          <t>Produksi Harian</t>
        </is>
      </c>
      <c r="F378" t="inlineStr">
        <is>
          <t>07:57:46</t>
        </is>
      </c>
      <c r="G378" t="inlineStr">
        <is>
          <t>16:00:33</t>
        </is>
      </c>
      <c r="H378" t="inlineStr">
        <is>
          <t>SELESAI</t>
        </is>
      </c>
      <c r="I378" t="inlineStr">
        <is>
          <t>MK00138</t>
        </is>
      </c>
      <c r="J378" t="inlineStr"/>
    </row>
    <row r="379">
      <c r="A379" t="inlineStr">
        <is>
          <t>08/05/2026</t>
        </is>
      </c>
      <c r="B379" t="inlineStr">
        <is>
          <t>528000358</t>
        </is>
      </c>
      <c r="C379" t="inlineStr">
        <is>
          <t>Lulu Agustin</t>
        </is>
      </c>
      <c r="D379" t="inlineStr">
        <is>
          <t>PROD</t>
        </is>
      </c>
      <c r="E379" t="inlineStr">
        <is>
          <t>Produksi Harian</t>
        </is>
      </c>
      <c r="F379" t="inlineStr">
        <is>
          <t>13:27:49</t>
        </is>
      </c>
      <c r="G379" t="inlineStr">
        <is>
          <t>22:04:15</t>
        </is>
      </c>
      <c r="H379" t="inlineStr">
        <is>
          <t>SELESAI</t>
        </is>
      </c>
      <c r="I379" t="inlineStr">
        <is>
          <t>MK00113</t>
        </is>
      </c>
      <c r="J379" t="inlineStr"/>
    </row>
    <row r="380">
      <c r="A380" t="inlineStr">
        <is>
          <t>08/05/2026</t>
        </is>
      </c>
      <c r="B380" t="inlineStr">
        <is>
          <t>528000359</t>
        </is>
      </c>
      <c r="C380" t="inlineStr">
        <is>
          <t>M. Iqbal Maulana. S</t>
        </is>
      </c>
      <c r="D380" t="inlineStr">
        <is>
          <t>LOG</t>
        </is>
      </c>
      <c r="E380" t="inlineStr">
        <is>
          <t>WRM Harian</t>
        </is>
      </c>
      <c r="F380" t="inlineStr">
        <is>
          <t>13:53:20</t>
        </is>
      </c>
      <c r="G380" t="inlineStr">
        <is>
          <t>22:02:33</t>
        </is>
      </c>
      <c r="H380" t="inlineStr">
        <is>
          <t>SELESAI</t>
        </is>
      </c>
      <c r="I380" t="inlineStr">
        <is>
          <t>MK00090</t>
        </is>
      </c>
      <c r="J380" t="inlineStr"/>
    </row>
    <row r="381">
      <c r="A381" t="inlineStr">
        <is>
          <t>08/05/2026</t>
        </is>
      </c>
      <c r="B381" t="inlineStr">
        <is>
          <t>628000061</t>
        </is>
      </c>
      <c r="C381" t="inlineStr">
        <is>
          <t>Nayla Fadillah Exwantoro</t>
        </is>
      </c>
      <c r="D381" t="inlineStr">
        <is>
          <t>PROD</t>
        </is>
      </c>
      <c r="E381" t="inlineStr">
        <is>
          <t>Produksi Borongan</t>
        </is>
      </c>
      <c r="F381" t="inlineStr"/>
      <c r="G381" t="inlineStr">
        <is>
          <t>21:01:27</t>
        </is>
      </c>
      <c r="H381" t="inlineStr">
        <is>
          <t>KELUAR TANPA MASUK</t>
        </is>
      </c>
      <c r="I381" t="inlineStr">
        <is>
          <t>MK00145</t>
        </is>
      </c>
      <c r="J381" t="inlineStr"/>
    </row>
    <row r="382">
      <c r="A382" t="inlineStr">
        <is>
          <t>08/05/2026</t>
        </is>
      </c>
      <c r="B382" t="inlineStr">
        <is>
          <t>628000064</t>
        </is>
      </c>
      <c r="C382" t="inlineStr">
        <is>
          <t>Silva Alypia</t>
        </is>
      </c>
      <c r="D382" t="inlineStr">
        <is>
          <t>PROD</t>
        </is>
      </c>
      <c r="E382" t="inlineStr">
        <is>
          <t>Produksi Borongan</t>
        </is>
      </c>
      <c r="F382" t="inlineStr">
        <is>
          <t>05:50:59</t>
        </is>
      </c>
      <c r="G382" t="inlineStr">
        <is>
          <t>14:07:42</t>
        </is>
      </c>
      <c r="H382" t="inlineStr">
        <is>
          <t>SELESAI</t>
        </is>
      </c>
      <c r="I382" t="inlineStr">
        <is>
          <t>MK00184</t>
        </is>
      </c>
      <c r="J382" t="inlineStr"/>
    </row>
    <row r="383">
      <c r="A383" t="inlineStr">
        <is>
          <t>08/05/2026</t>
        </is>
      </c>
      <c r="B383" t="inlineStr">
        <is>
          <t>628000091</t>
        </is>
      </c>
      <c r="C383" t="inlineStr">
        <is>
          <t>Devita Handayani</t>
        </is>
      </c>
      <c r="D383" t="inlineStr">
        <is>
          <t>PROD</t>
        </is>
      </c>
      <c r="E383" t="inlineStr">
        <is>
          <t>Produksi Borongan</t>
        </is>
      </c>
      <c r="F383" t="inlineStr"/>
      <c r="G383" t="inlineStr">
        <is>
          <t>06:09:24</t>
        </is>
      </c>
      <c r="H383" t="inlineStr">
        <is>
          <t>KELUAR TANPA MASUK</t>
        </is>
      </c>
      <c r="I383" t="inlineStr">
        <is>
          <t>MK00200</t>
        </is>
      </c>
      <c r="J383" t="inlineStr"/>
    </row>
    <row r="384">
      <c r="A384" t="inlineStr">
        <is>
          <t>09/05/2026</t>
        </is>
      </c>
      <c r="B384" t="inlineStr">
        <is>
          <t>528000015</t>
        </is>
      </c>
      <c r="C384" t="inlineStr">
        <is>
          <t>Erwin</t>
        </is>
      </c>
      <c r="D384" t="inlineStr">
        <is>
          <t>LOG</t>
        </is>
      </c>
      <c r="E384" t="inlineStr">
        <is>
          <t>WRM Harian</t>
        </is>
      </c>
      <c r="F384" t="inlineStr">
        <is>
          <t>08:05:37</t>
        </is>
      </c>
      <c r="G384" t="inlineStr">
        <is>
          <t>00:01:44</t>
        </is>
      </c>
      <c r="H384" t="inlineStr">
        <is>
          <t>SELESAI</t>
        </is>
      </c>
      <c r="I384" t="inlineStr">
        <is>
          <t>MK00158</t>
        </is>
      </c>
      <c r="J384" t="inlineStr"/>
    </row>
    <row r="385">
      <c r="A385" t="inlineStr">
        <is>
          <t>09/05/2026</t>
        </is>
      </c>
      <c r="B385" t="inlineStr">
        <is>
          <t>528000055</t>
        </is>
      </c>
      <c r="C385" t="inlineStr">
        <is>
          <t>Dika Prasetya</t>
        </is>
      </c>
      <c r="D385" t="inlineStr">
        <is>
          <t>LOG</t>
        </is>
      </c>
      <c r="E385" t="inlineStr">
        <is>
          <t>WRM Harian</t>
        </is>
      </c>
      <c r="F385" t="inlineStr">
        <is>
          <t>07:55:24</t>
        </is>
      </c>
      <c r="G385" t="inlineStr">
        <is>
          <t>16:05:40</t>
        </is>
      </c>
      <c r="H385" t="inlineStr">
        <is>
          <t>SELESAI</t>
        </is>
      </c>
      <c r="I385" t="inlineStr">
        <is>
          <t>MK00230</t>
        </is>
      </c>
      <c r="J385" t="inlineStr"/>
    </row>
    <row r="386">
      <c r="A386" t="inlineStr">
        <is>
          <t>09/05/2026</t>
        </is>
      </c>
      <c r="B386" t="inlineStr">
        <is>
          <t>528000099</t>
        </is>
      </c>
      <c r="C386" t="inlineStr">
        <is>
          <t>Siti Nurawaliah</t>
        </is>
      </c>
      <c r="D386" t="inlineStr">
        <is>
          <t>PROD</t>
        </is>
      </c>
      <c r="E386" t="inlineStr">
        <is>
          <t>Produksi Harian</t>
        </is>
      </c>
      <c r="F386" t="inlineStr">
        <is>
          <t>05:37:13</t>
        </is>
      </c>
      <c r="G386" t="inlineStr">
        <is>
          <t>14:04:46</t>
        </is>
      </c>
      <c r="H386" t="inlineStr">
        <is>
          <t>SELESAI</t>
        </is>
      </c>
      <c r="I386" t="inlineStr">
        <is>
          <t>MK00181</t>
        </is>
      </c>
      <c r="J386" t="inlineStr"/>
    </row>
    <row r="387">
      <c r="A387" t="inlineStr">
        <is>
          <t>09/05/2026</t>
        </is>
      </c>
      <c r="B387" t="inlineStr">
        <is>
          <t>528000149</t>
        </is>
      </c>
      <c r="C387" t="inlineStr">
        <is>
          <t>Tio Fernanda</t>
        </is>
      </c>
      <c r="D387" t="inlineStr">
        <is>
          <t>LOG</t>
        </is>
      </c>
      <c r="E387" t="inlineStr">
        <is>
          <t>WRM Harian</t>
        </is>
      </c>
      <c r="F387" t="inlineStr">
        <is>
          <t>15:53:08</t>
        </is>
      </c>
      <c r="G387" t="inlineStr">
        <is>
          <t>00:01:39</t>
        </is>
      </c>
      <c r="H387" t="inlineStr">
        <is>
          <t>SELESAI</t>
        </is>
      </c>
      <c r="I387" t="inlineStr">
        <is>
          <t>MK00212</t>
        </is>
      </c>
      <c r="J387" t="inlineStr"/>
    </row>
    <row r="388">
      <c r="A388" t="inlineStr">
        <is>
          <t>09/05/2026</t>
        </is>
      </c>
      <c r="B388" t="inlineStr">
        <is>
          <t>528000195</t>
        </is>
      </c>
      <c r="C388" t="inlineStr">
        <is>
          <t>Rahma Sariwati</t>
        </is>
      </c>
      <c r="D388" t="inlineStr">
        <is>
          <t>PROD</t>
        </is>
      </c>
      <c r="E388" t="inlineStr">
        <is>
          <t>Produksi Harian</t>
        </is>
      </c>
      <c r="F388" t="inlineStr">
        <is>
          <t>13:20:51</t>
        </is>
      </c>
      <c r="G388" t="inlineStr">
        <is>
          <t>22:02:35</t>
        </is>
      </c>
      <c r="H388" t="inlineStr">
        <is>
          <t>SELESAI</t>
        </is>
      </c>
      <c r="I388" t="inlineStr">
        <is>
          <t>MK00211</t>
        </is>
      </c>
      <c r="J388" t="inlineStr"/>
    </row>
    <row r="389">
      <c r="A389" t="inlineStr">
        <is>
          <t>09/05/2026</t>
        </is>
      </c>
      <c r="B389" t="inlineStr">
        <is>
          <t>528000201</t>
        </is>
      </c>
      <c r="C389" t="inlineStr">
        <is>
          <t>Zahwa Amelia Choerunissa</t>
        </is>
      </c>
      <c r="D389" t="inlineStr">
        <is>
          <t>PROD</t>
        </is>
      </c>
      <c r="E389" t="inlineStr">
        <is>
          <t>Produksi Harian</t>
        </is>
      </c>
      <c r="F389" t="inlineStr">
        <is>
          <t>05:36:48</t>
        </is>
      </c>
      <c r="G389" t="inlineStr">
        <is>
          <t>14:04:13</t>
        </is>
      </c>
      <c r="H389" t="inlineStr">
        <is>
          <t>SELESAI</t>
        </is>
      </c>
      <c r="I389" t="inlineStr">
        <is>
          <t>MK00192</t>
        </is>
      </c>
      <c r="J389" t="inlineStr"/>
    </row>
    <row r="390">
      <c r="A390" t="inlineStr">
        <is>
          <t>09/05/2026</t>
        </is>
      </c>
      <c r="B390" t="inlineStr">
        <is>
          <t>528000203</t>
        </is>
      </c>
      <c r="C390" t="inlineStr">
        <is>
          <t>Yudha Ramdhan Putra</t>
        </is>
      </c>
      <c r="D390" t="inlineStr">
        <is>
          <t>ENG</t>
        </is>
      </c>
      <c r="E390" t="inlineStr">
        <is>
          <t>Engineering Harian</t>
        </is>
      </c>
      <c r="F390" t="inlineStr">
        <is>
          <t>09:09:35</t>
        </is>
      </c>
      <c r="G390" t="inlineStr">
        <is>
          <t>17:00:30</t>
        </is>
      </c>
      <c r="H390" t="inlineStr">
        <is>
          <t>SELESAI</t>
        </is>
      </c>
      <c r="I390" t="inlineStr">
        <is>
          <t>MK00118</t>
        </is>
      </c>
      <c r="J390" t="inlineStr"/>
    </row>
    <row r="391">
      <c r="A391" t="inlineStr">
        <is>
          <t>09/05/2026</t>
        </is>
      </c>
      <c r="B391" t="inlineStr">
        <is>
          <t>528000238</t>
        </is>
      </c>
      <c r="C391" t="inlineStr">
        <is>
          <t>Indah Lusiana</t>
        </is>
      </c>
      <c r="D391" t="inlineStr">
        <is>
          <t>PROD</t>
        </is>
      </c>
      <c r="E391" t="inlineStr">
        <is>
          <t>Produksi Harian</t>
        </is>
      </c>
      <c r="F391" t="inlineStr"/>
      <c r="G391" t="inlineStr">
        <is>
          <t>06:08:04</t>
        </is>
      </c>
      <c r="H391" t="inlineStr">
        <is>
          <t>KELUAR TANPA MASUK</t>
        </is>
      </c>
      <c r="I391" t="inlineStr">
        <is>
          <t>MK00221</t>
        </is>
      </c>
      <c r="J391" t="inlineStr"/>
    </row>
    <row r="392">
      <c r="A392" t="inlineStr">
        <is>
          <t>09/05/2026</t>
        </is>
      </c>
      <c r="B392" t="inlineStr">
        <is>
          <t>528000241</t>
        </is>
      </c>
      <c r="C392" t="inlineStr">
        <is>
          <t>Balia Nurafif Bilah</t>
        </is>
      </c>
      <c r="D392" t="inlineStr">
        <is>
          <t>PROD</t>
        </is>
      </c>
      <c r="E392" t="inlineStr">
        <is>
          <t>Produksi Harian</t>
        </is>
      </c>
      <c r="F392" t="inlineStr">
        <is>
          <t>05:54:06</t>
        </is>
      </c>
      <c r="G392" t="inlineStr">
        <is>
          <t>14:03:10</t>
        </is>
      </c>
      <c r="H392" t="inlineStr">
        <is>
          <t>SELESAI</t>
        </is>
      </c>
      <c r="I392" t="inlineStr">
        <is>
          <t>MK00210</t>
        </is>
      </c>
      <c r="J392" t="inlineStr"/>
    </row>
    <row r="393">
      <c r="A393" t="inlineStr">
        <is>
          <t>09/05/2026</t>
        </is>
      </c>
      <c r="B393" t="inlineStr">
        <is>
          <t>528000244</t>
        </is>
      </c>
      <c r="C393" t="inlineStr">
        <is>
          <t>Rodian Rifai</t>
        </is>
      </c>
      <c r="D393" t="inlineStr">
        <is>
          <t>PROD</t>
        </is>
      </c>
      <c r="E393" t="inlineStr">
        <is>
          <t>Produksi Harian</t>
        </is>
      </c>
      <c r="F393" t="inlineStr">
        <is>
          <t>05:23:23</t>
        </is>
      </c>
      <c r="G393" t="inlineStr">
        <is>
          <t>14:29:12</t>
        </is>
      </c>
      <c r="H393" t="inlineStr">
        <is>
          <t>SELESAI</t>
        </is>
      </c>
      <c r="I393" t="inlineStr">
        <is>
          <t>MK00150</t>
        </is>
      </c>
      <c r="J393" t="inlineStr">
        <is>
          <t>23E</t>
        </is>
      </c>
    </row>
    <row r="394">
      <c r="A394" t="inlineStr">
        <is>
          <t>09/05/2026</t>
        </is>
      </c>
      <c r="B394" t="inlineStr">
        <is>
          <t>528000261</t>
        </is>
      </c>
      <c r="C394" t="inlineStr">
        <is>
          <t>Ergi Ergianto</t>
        </is>
      </c>
      <c r="D394" t="inlineStr">
        <is>
          <t>HRGA</t>
        </is>
      </c>
      <c r="E394" t="inlineStr">
        <is>
          <t>GA Harian</t>
        </is>
      </c>
      <c r="F394" t="inlineStr">
        <is>
          <t>13:49:29</t>
        </is>
      </c>
      <c r="G394" t="inlineStr">
        <is>
          <t>22:04:49</t>
        </is>
      </c>
      <c r="H394" t="inlineStr">
        <is>
          <t>SELESAI</t>
        </is>
      </c>
      <c r="I394" t="inlineStr">
        <is>
          <t>MK00145</t>
        </is>
      </c>
      <c r="J394" t="inlineStr"/>
    </row>
    <row r="395">
      <c r="A395" t="inlineStr">
        <is>
          <t>09/05/2026</t>
        </is>
      </c>
      <c r="B395" t="inlineStr">
        <is>
          <t>528000262</t>
        </is>
      </c>
      <c r="C395" t="inlineStr">
        <is>
          <t>Ndari Dwiwanti</t>
        </is>
      </c>
      <c r="D395" t="inlineStr">
        <is>
          <t>PROD</t>
        </is>
      </c>
      <c r="E395" t="inlineStr">
        <is>
          <t>Produksi Harian</t>
        </is>
      </c>
      <c r="F395" t="inlineStr">
        <is>
          <t>13:34:57</t>
        </is>
      </c>
      <c r="G395" t="inlineStr">
        <is>
          <t>22:02:55</t>
        </is>
      </c>
      <c r="H395" t="inlineStr">
        <is>
          <t>SELESAI</t>
        </is>
      </c>
      <c r="I395" t="inlineStr">
        <is>
          <t>MK00088</t>
        </is>
      </c>
      <c r="J395" t="inlineStr"/>
    </row>
    <row r="396">
      <c r="A396" t="inlineStr">
        <is>
          <t>09/05/2026</t>
        </is>
      </c>
      <c r="B396" t="inlineStr">
        <is>
          <t>528000265</t>
        </is>
      </c>
      <c r="C396" t="inlineStr">
        <is>
          <t>Muhammad Haerul Rozikin</t>
        </is>
      </c>
      <c r="D396" t="inlineStr">
        <is>
          <t>LOG</t>
        </is>
      </c>
      <c r="E396" t="inlineStr">
        <is>
          <t>WRM Harian</t>
        </is>
      </c>
      <c r="F396" t="inlineStr">
        <is>
          <t>05:47:28</t>
        </is>
      </c>
      <c r="G396" t="inlineStr">
        <is>
          <t>14:18:04</t>
        </is>
      </c>
      <c r="H396" t="inlineStr">
        <is>
          <t>SELESAI</t>
        </is>
      </c>
      <c r="I396" t="inlineStr">
        <is>
          <t>MK00207</t>
        </is>
      </c>
      <c r="J396" t="inlineStr"/>
    </row>
    <row r="397">
      <c r="A397" t="inlineStr">
        <is>
          <t>09/05/2026</t>
        </is>
      </c>
      <c r="B397" t="inlineStr">
        <is>
          <t>528000266</t>
        </is>
      </c>
      <c r="C397" t="inlineStr">
        <is>
          <t>M. Syirajatieq</t>
        </is>
      </c>
      <c r="D397" t="inlineStr">
        <is>
          <t>LOG</t>
        </is>
      </c>
      <c r="E397" t="inlineStr">
        <is>
          <t>WFG Harian</t>
        </is>
      </c>
      <c r="F397" t="inlineStr">
        <is>
          <t>13:30:20</t>
        </is>
      </c>
      <c r="G397" t="inlineStr">
        <is>
          <t>22:17:49</t>
        </is>
      </c>
      <c r="H397" t="inlineStr">
        <is>
          <t>SELESAI</t>
        </is>
      </c>
      <c r="I397" t="inlineStr">
        <is>
          <t>MK00200</t>
        </is>
      </c>
      <c r="J397" t="inlineStr"/>
    </row>
    <row r="398">
      <c r="A398" t="inlineStr">
        <is>
          <t>09/05/2026</t>
        </is>
      </c>
      <c r="B398" t="inlineStr">
        <is>
          <t>528000274</t>
        </is>
      </c>
      <c r="C398" t="inlineStr">
        <is>
          <t>Zepri</t>
        </is>
      </c>
      <c r="D398" t="inlineStr">
        <is>
          <t>PROD</t>
        </is>
      </c>
      <c r="E398" t="inlineStr">
        <is>
          <t>Produksi Harian</t>
        </is>
      </c>
      <c r="F398" t="inlineStr">
        <is>
          <t>05:41:28</t>
        </is>
      </c>
      <c r="G398" t="inlineStr"/>
      <c r="H398" t="inlineStr">
        <is>
          <t>DI DALAM</t>
        </is>
      </c>
      <c r="I398" t="inlineStr">
        <is>
          <t>MK00091</t>
        </is>
      </c>
      <c r="J398" t="inlineStr"/>
    </row>
    <row r="399">
      <c r="A399" t="inlineStr">
        <is>
          <t>09/05/2026</t>
        </is>
      </c>
      <c r="B399" t="inlineStr">
        <is>
          <t>528000279</t>
        </is>
      </c>
      <c r="C399" t="inlineStr">
        <is>
          <t>Mahdalena Dalfa Riani</t>
        </is>
      </c>
      <c r="D399" t="inlineStr">
        <is>
          <t>PROD</t>
        </is>
      </c>
      <c r="E399" t="inlineStr">
        <is>
          <t>Produksi Harian</t>
        </is>
      </c>
      <c r="F399" t="inlineStr">
        <is>
          <t>21:47:35</t>
        </is>
      </c>
      <c r="G399" t="inlineStr">
        <is>
          <t>06:05:09</t>
        </is>
      </c>
      <c r="H399" t="inlineStr">
        <is>
          <t>SELESAI</t>
        </is>
      </c>
      <c r="I399" t="inlineStr">
        <is>
          <t>MK00203</t>
        </is>
      </c>
      <c r="J399" t="inlineStr"/>
    </row>
    <row r="400">
      <c r="A400" t="inlineStr">
        <is>
          <t>09/05/2026</t>
        </is>
      </c>
      <c r="B400" t="inlineStr">
        <is>
          <t>528000282</t>
        </is>
      </c>
      <c r="C400" t="inlineStr">
        <is>
          <t>Defa Desfiana</t>
        </is>
      </c>
      <c r="D400" t="inlineStr">
        <is>
          <t>PROD</t>
        </is>
      </c>
      <c r="E400" t="inlineStr">
        <is>
          <t>Produksi Harian</t>
        </is>
      </c>
      <c r="F400" t="inlineStr">
        <is>
          <t>05:46:47</t>
        </is>
      </c>
      <c r="G400" t="inlineStr">
        <is>
          <t>14:16:56</t>
        </is>
      </c>
      <c r="H400" t="inlineStr">
        <is>
          <t>SELESAI</t>
        </is>
      </c>
      <c r="I400" t="inlineStr">
        <is>
          <t>MK00221</t>
        </is>
      </c>
      <c r="J400" t="inlineStr"/>
    </row>
    <row r="401">
      <c r="A401" t="inlineStr">
        <is>
          <t>09/05/2026</t>
        </is>
      </c>
      <c r="B401" t="inlineStr">
        <is>
          <t>528000283</t>
        </is>
      </c>
      <c r="C401" t="inlineStr">
        <is>
          <t>Purwanda Sugiri</t>
        </is>
      </c>
      <c r="D401" t="inlineStr">
        <is>
          <t>LOG</t>
        </is>
      </c>
      <c r="E401" t="inlineStr">
        <is>
          <t>WRM Harian</t>
        </is>
      </c>
      <c r="F401" t="inlineStr">
        <is>
          <t>13:48:09</t>
        </is>
      </c>
      <c r="G401" t="inlineStr">
        <is>
          <t>22:05:32</t>
        </is>
      </c>
      <c r="H401" t="inlineStr">
        <is>
          <t>SELESAI</t>
        </is>
      </c>
      <c r="I401" t="inlineStr">
        <is>
          <t>MK00109</t>
        </is>
      </c>
      <c r="J401" t="inlineStr"/>
    </row>
    <row r="402">
      <c r="A402" t="inlineStr">
        <is>
          <t>09/05/2026</t>
        </is>
      </c>
      <c r="B402" t="inlineStr">
        <is>
          <t>528000286</t>
        </is>
      </c>
      <c r="C402" t="inlineStr">
        <is>
          <t>Imelda Amelia</t>
        </is>
      </c>
      <c r="D402" t="inlineStr">
        <is>
          <t>PROD</t>
        </is>
      </c>
      <c r="E402" t="inlineStr">
        <is>
          <t>Produksi Harian</t>
        </is>
      </c>
      <c r="F402" t="inlineStr">
        <is>
          <t>05:44:13</t>
        </is>
      </c>
      <c r="G402" t="inlineStr">
        <is>
          <t>14:04:40</t>
        </is>
      </c>
      <c r="H402" t="inlineStr">
        <is>
          <t>SELESAI</t>
        </is>
      </c>
      <c r="I402" t="inlineStr">
        <is>
          <t>MK00156</t>
        </is>
      </c>
      <c r="J402" t="inlineStr"/>
    </row>
    <row r="403">
      <c r="A403" t="inlineStr">
        <is>
          <t>09/05/2026</t>
        </is>
      </c>
      <c r="B403" t="inlineStr">
        <is>
          <t>528000287</t>
        </is>
      </c>
      <c r="C403" t="inlineStr">
        <is>
          <t>Muhamad Angga Ramdani</t>
        </is>
      </c>
      <c r="D403" t="inlineStr">
        <is>
          <t>PROD</t>
        </is>
      </c>
      <c r="E403" t="inlineStr">
        <is>
          <t>Produksi Harian</t>
        </is>
      </c>
      <c r="F403" t="inlineStr">
        <is>
          <t>07:52:55</t>
        </is>
      </c>
      <c r="G403" t="inlineStr">
        <is>
          <t>16:04:38</t>
        </is>
      </c>
      <c r="H403" t="inlineStr">
        <is>
          <t>SELESAI</t>
        </is>
      </c>
      <c r="I403" t="inlineStr">
        <is>
          <t>MK00203</t>
        </is>
      </c>
      <c r="J403" t="inlineStr"/>
    </row>
    <row r="404">
      <c r="A404" t="inlineStr">
        <is>
          <t>09/05/2026</t>
        </is>
      </c>
      <c r="B404" t="inlineStr">
        <is>
          <t>528000290</t>
        </is>
      </c>
      <c r="C404" t="inlineStr">
        <is>
          <t>Eval Pranata</t>
        </is>
      </c>
      <c r="D404" t="inlineStr">
        <is>
          <t>PROD</t>
        </is>
      </c>
      <c r="E404" t="inlineStr">
        <is>
          <t>Produksi Harian</t>
        </is>
      </c>
      <c r="F404" t="inlineStr">
        <is>
          <t>05:59:44</t>
        </is>
      </c>
      <c r="G404" t="inlineStr">
        <is>
          <t>14:02:19</t>
        </is>
      </c>
      <c r="H404" t="inlineStr">
        <is>
          <t>SELESAI</t>
        </is>
      </c>
      <c r="I404" t="inlineStr">
        <is>
          <t>MK0082</t>
        </is>
      </c>
      <c r="J404" t="inlineStr"/>
    </row>
    <row r="405">
      <c r="A405" t="inlineStr">
        <is>
          <t>09/05/2026</t>
        </is>
      </c>
      <c r="B405" t="inlineStr">
        <is>
          <t>528000291</t>
        </is>
      </c>
      <c r="C405" t="inlineStr">
        <is>
          <t>Andrian</t>
        </is>
      </c>
      <c r="D405" t="inlineStr">
        <is>
          <t>PROD</t>
        </is>
      </c>
      <c r="E405" t="inlineStr">
        <is>
          <t>Produksi Harian</t>
        </is>
      </c>
      <c r="F405" t="inlineStr">
        <is>
          <t>13:50:42</t>
        </is>
      </c>
      <c r="G405" t="inlineStr">
        <is>
          <t>22:05:36</t>
        </is>
      </c>
      <c r="H405" t="inlineStr">
        <is>
          <t>SELESAI</t>
        </is>
      </c>
      <c r="I405" t="inlineStr">
        <is>
          <t>MK00250</t>
        </is>
      </c>
      <c r="J405" t="inlineStr"/>
    </row>
    <row r="406">
      <c r="A406" t="inlineStr">
        <is>
          <t>09/05/2026</t>
        </is>
      </c>
      <c r="B406" t="inlineStr">
        <is>
          <t>528000292</t>
        </is>
      </c>
      <c r="C406" t="inlineStr">
        <is>
          <t>Aditia Nugraha</t>
        </is>
      </c>
      <c r="D406" t="inlineStr">
        <is>
          <t>PROD</t>
        </is>
      </c>
      <c r="E406" t="inlineStr">
        <is>
          <t>Produksi Harian</t>
        </is>
      </c>
      <c r="F406" t="inlineStr">
        <is>
          <t>09:11:03</t>
        </is>
      </c>
      <c r="G406" t="inlineStr">
        <is>
          <t>17:00:23</t>
        </is>
      </c>
      <c r="H406" t="inlineStr">
        <is>
          <t>SELESAI</t>
        </is>
      </c>
      <c r="I406" t="inlineStr">
        <is>
          <t>MK00112</t>
        </is>
      </c>
      <c r="J406" t="inlineStr"/>
    </row>
    <row r="407">
      <c r="A407" t="inlineStr">
        <is>
          <t>09/05/2026</t>
        </is>
      </c>
      <c r="B407" t="inlineStr">
        <is>
          <t>528000297</t>
        </is>
      </c>
      <c r="C407" t="inlineStr">
        <is>
          <t>Muhamad Budiana</t>
        </is>
      </c>
      <c r="D407" t="inlineStr">
        <is>
          <t>PROD</t>
        </is>
      </c>
      <c r="E407" t="inlineStr">
        <is>
          <t>Produksi Harian</t>
        </is>
      </c>
      <c r="F407" t="inlineStr">
        <is>
          <t>21:54:46</t>
        </is>
      </c>
      <c r="G407" t="inlineStr"/>
      <c r="H407" t="inlineStr">
        <is>
          <t>DI DALAM</t>
        </is>
      </c>
      <c r="I407" t="inlineStr">
        <is>
          <t>MK00150</t>
        </is>
      </c>
      <c r="J407" t="inlineStr"/>
    </row>
    <row r="408">
      <c r="A408" t="inlineStr">
        <is>
          <t>09/05/2026</t>
        </is>
      </c>
      <c r="B408" t="inlineStr">
        <is>
          <t>528000348</t>
        </is>
      </c>
      <c r="C408" t="inlineStr">
        <is>
          <t>Saepuloh Ardiansah</t>
        </is>
      </c>
      <c r="D408" t="inlineStr">
        <is>
          <t>LOG</t>
        </is>
      </c>
      <c r="E408" t="inlineStr">
        <is>
          <t>WRM Harian</t>
        </is>
      </c>
      <c r="F408" t="inlineStr">
        <is>
          <t>08:57:28</t>
        </is>
      </c>
      <c r="G408" t="inlineStr">
        <is>
          <t>17:27:30</t>
        </is>
      </c>
      <c r="H408" t="inlineStr">
        <is>
          <t>SELESAI</t>
        </is>
      </c>
      <c r="I408" t="inlineStr">
        <is>
          <t>MK00205</t>
        </is>
      </c>
      <c r="J408" t="inlineStr"/>
    </row>
    <row r="409">
      <c r="A409" t="inlineStr">
        <is>
          <t>09/05/2026</t>
        </is>
      </c>
      <c r="B409" t="inlineStr">
        <is>
          <t>528000349</t>
        </is>
      </c>
      <c r="C409" t="inlineStr">
        <is>
          <t>Anas Abdul Fatah</t>
        </is>
      </c>
      <c r="D409" t="inlineStr">
        <is>
          <t>LOG</t>
        </is>
      </c>
      <c r="E409" t="inlineStr">
        <is>
          <t>WFG Harian</t>
        </is>
      </c>
      <c r="F409" t="inlineStr">
        <is>
          <t>07:52:26</t>
        </is>
      </c>
      <c r="G409" t="inlineStr">
        <is>
          <t>16:15:45</t>
        </is>
      </c>
      <c r="H409" t="inlineStr">
        <is>
          <t>SELESAI</t>
        </is>
      </c>
      <c r="I409" t="inlineStr">
        <is>
          <t>MK00199</t>
        </is>
      </c>
      <c r="J409" t="inlineStr"/>
    </row>
    <row r="410">
      <c r="A410" t="inlineStr">
        <is>
          <t>09/05/2026</t>
        </is>
      </c>
      <c r="B410" t="inlineStr">
        <is>
          <t>528000351</t>
        </is>
      </c>
      <c r="C410" t="inlineStr">
        <is>
          <t>Mulyana</t>
        </is>
      </c>
      <c r="D410" t="inlineStr">
        <is>
          <t>PROD</t>
        </is>
      </c>
      <c r="E410" t="inlineStr">
        <is>
          <t>Produksi Harian</t>
        </is>
      </c>
      <c r="F410" t="inlineStr">
        <is>
          <t>07:54:31</t>
        </is>
      </c>
      <c r="G410" t="inlineStr">
        <is>
          <t>16:01:01</t>
        </is>
      </c>
      <c r="H410" t="inlineStr">
        <is>
          <t>SELESAI</t>
        </is>
      </c>
      <c r="I410" t="inlineStr">
        <is>
          <t>MK00046</t>
        </is>
      </c>
      <c r="J410" t="inlineStr"/>
    </row>
    <row r="411">
      <c r="A411" t="inlineStr">
        <is>
          <t>09/05/2026</t>
        </is>
      </c>
      <c r="B411" t="inlineStr">
        <is>
          <t>528000358</t>
        </is>
      </c>
      <c r="C411" t="inlineStr">
        <is>
          <t>Lulu Agustin</t>
        </is>
      </c>
      <c r="D411" t="inlineStr">
        <is>
          <t>PROD</t>
        </is>
      </c>
      <c r="E411" t="inlineStr">
        <is>
          <t>Produksi Harian</t>
        </is>
      </c>
      <c r="F411" t="inlineStr">
        <is>
          <t>13:33:09</t>
        </is>
      </c>
      <c r="G411" t="inlineStr">
        <is>
          <t>22:03:07</t>
        </is>
      </c>
      <c r="H411" t="inlineStr">
        <is>
          <t>SELESAI</t>
        </is>
      </c>
      <c r="I411" t="inlineStr">
        <is>
          <t>MK00249</t>
        </is>
      </c>
      <c r="J411" t="inlineStr"/>
    </row>
    <row r="412">
      <c r="A412" t="inlineStr">
        <is>
          <t>09/05/2026</t>
        </is>
      </c>
      <c r="B412" t="inlineStr">
        <is>
          <t>628000061</t>
        </is>
      </c>
      <c r="C412" t="inlineStr">
        <is>
          <t>Nayla Fadillah Exwantoro</t>
        </is>
      </c>
      <c r="D412" t="inlineStr">
        <is>
          <t>PROD</t>
        </is>
      </c>
      <c r="E412" t="inlineStr">
        <is>
          <t>Produksi Borongan</t>
        </is>
      </c>
      <c r="F412" t="inlineStr"/>
      <c r="G412" t="inlineStr">
        <is>
          <t>08:06:53</t>
        </is>
      </c>
      <c r="H412" t="inlineStr">
        <is>
          <t>KELUAR TANPA MASUK</t>
        </is>
      </c>
      <c r="I412" t="inlineStr">
        <is>
          <t>MK00088</t>
        </is>
      </c>
      <c r="J412" t="inlineStr">
        <is>
          <t>A-28</t>
        </is>
      </c>
    </row>
    <row r="413">
      <c r="A413" t="inlineStr">
        <is>
          <t>09/05/2026</t>
        </is>
      </c>
      <c r="B413" t="inlineStr">
        <is>
          <t>628000064</t>
        </is>
      </c>
      <c r="C413" t="inlineStr">
        <is>
          <t>Silva Alypia</t>
        </is>
      </c>
      <c r="D413" t="inlineStr">
        <is>
          <t>PROD</t>
        </is>
      </c>
      <c r="E413" t="inlineStr">
        <is>
          <t>Produksi Borongan</t>
        </is>
      </c>
      <c r="F413" t="inlineStr">
        <is>
          <t>21:46:32</t>
        </is>
      </c>
      <c r="G413" t="inlineStr">
        <is>
          <t>06:06:52</t>
        </is>
      </c>
      <c r="H413" t="inlineStr">
        <is>
          <t>SELESAI</t>
        </is>
      </c>
      <c r="I413" t="inlineStr">
        <is>
          <t>MK00249</t>
        </is>
      </c>
      <c r="J413" t="inlineStr"/>
    </row>
    <row r="414">
      <c r="A414" t="inlineStr">
        <is>
          <t>10/05/2026</t>
        </is>
      </c>
      <c r="B414" t="inlineStr">
        <is>
          <t>528000015</t>
        </is>
      </c>
      <c r="C414" t="inlineStr">
        <is>
          <t>Erwin</t>
        </is>
      </c>
      <c r="D414" t="inlineStr">
        <is>
          <t>LOG</t>
        </is>
      </c>
      <c r="E414" t="inlineStr">
        <is>
          <t>WRM Harian</t>
        </is>
      </c>
      <c r="F414" t="inlineStr">
        <is>
          <t>15:49:36</t>
        </is>
      </c>
      <c r="G414" t="inlineStr">
        <is>
          <t>00:01:28</t>
        </is>
      </c>
      <c r="H414" t="inlineStr">
        <is>
          <t>SELESAI</t>
        </is>
      </c>
      <c r="I414" t="inlineStr">
        <is>
          <t>MK00136</t>
        </is>
      </c>
      <c r="J414" t="inlineStr"/>
    </row>
    <row r="415">
      <c r="A415" t="inlineStr">
        <is>
          <t>10/05/2026</t>
        </is>
      </c>
      <c r="B415" t="inlineStr">
        <is>
          <t>528000055</t>
        </is>
      </c>
      <c r="C415" t="inlineStr">
        <is>
          <t>Dika Prasetya</t>
        </is>
      </c>
      <c r="D415" t="inlineStr">
        <is>
          <t>LOG</t>
        </is>
      </c>
      <c r="E415" t="inlineStr">
        <is>
          <t>WRM Harian</t>
        </is>
      </c>
      <c r="F415" t="inlineStr">
        <is>
          <t>07:59:25</t>
        </is>
      </c>
      <c r="G415" t="inlineStr">
        <is>
          <t>16:04:30</t>
        </is>
      </c>
      <c r="H415" t="inlineStr">
        <is>
          <t>SELESAI</t>
        </is>
      </c>
      <c r="I415" t="inlineStr">
        <is>
          <t>MK00093</t>
        </is>
      </c>
      <c r="J415" t="inlineStr"/>
    </row>
    <row r="416">
      <c r="A416" t="inlineStr">
        <is>
          <t>10/05/2026</t>
        </is>
      </c>
      <c r="B416" t="inlineStr">
        <is>
          <t>528000098</t>
        </is>
      </c>
      <c r="C416" t="inlineStr">
        <is>
          <t>Edi Junaedi</t>
        </is>
      </c>
      <c r="D416" t="inlineStr">
        <is>
          <t>PROD</t>
        </is>
      </c>
      <c r="E416" t="inlineStr">
        <is>
          <t>Produksi Harian</t>
        </is>
      </c>
      <c r="F416" t="inlineStr"/>
      <c r="G416" t="inlineStr">
        <is>
          <t>08:01:11</t>
        </is>
      </c>
      <c r="H416" t="inlineStr">
        <is>
          <t>KELUAR TANPA MASUK</t>
        </is>
      </c>
      <c r="I416" t="inlineStr">
        <is>
          <t>MK00204</t>
        </is>
      </c>
      <c r="J416" t="inlineStr"/>
    </row>
    <row r="417">
      <c r="A417" t="inlineStr">
        <is>
          <t>10/05/2026</t>
        </is>
      </c>
      <c r="B417" t="inlineStr">
        <is>
          <t>528000099</t>
        </is>
      </c>
      <c r="C417" t="inlineStr">
        <is>
          <t>Siti Nurawaliah</t>
        </is>
      </c>
      <c r="D417" t="inlineStr">
        <is>
          <t>PROD</t>
        </is>
      </c>
      <c r="E417" t="inlineStr">
        <is>
          <t>Produksi Harian</t>
        </is>
      </c>
      <c r="F417" t="inlineStr">
        <is>
          <t>05:36:36</t>
        </is>
      </c>
      <c r="G417" t="inlineStr">
        <is>
          <t>14:05:39</t>
        </is>
      </c>
      <c r="H417" t="inlineStr">
        <is>
          <t>SELESAI</t>
        </is>
      </c>
      <c r="I417" t="inlineStr">
        <is>
          <t>MK00158</t>
        </is>
      </c>
      <c r="J417" t="inlineStr"/>
    </row>
    <row r="418">
      <c r="A418" t="inlineStr">
        <is>
          <t>10/05/2026</t>
        </is>
      </c>
      <c r="B418" t="inlineStr">
        <is>
          <t>528000144</t>
        </is>
      </c>
      <c r="C418" t="inlineStr">
        <is>
          <t>Jodi Hanafi</t>
        </is>
      </c>
      <c r="D418" t="inlineStr">
        <is>
          <t>LOG</t>
        </is>
      </c>
      <c r="E418" t="inlineStr">
        <is>
          <t>WRM Harian</t>
        </is>
      </c>
      <c r="F418" t="inlineStr">
        <is>
          <t>15:58:21</t>
        </is>
      </c>
      <c r="G418" t="inlineStr"/>
      <c r="H418" t="inlineStr">
        <is>
          <t>DI DALAM</t>
        </is>
      </c>
      <c r="I418" t="inlineStr">
        <is>
          <t>MK00213</t>
        </is>
      </c>
      <c r="J418" t="inlineStr"/>
    </row>
    <row r="419">
      <c r="A419" t="inlineStr">
        <is>
          <t>10/05/2026</t>
        </is>
      </c>
      <c r="B419" t="inlineStr">
        <is>
          <t>528000149</t>
        </is>
      </c>
      <c r="C419" t="inlineStr">
        <is>
          <t>Tio Fernanda</t>
        </is>
      </c>
      <c r="D419" t="inlineStr">
        <is>
          <t>LOG</t>
        </is>
      </c>
      <c r="E419" t="inlineStr">
        <is>
          <t>WRM Harian</t>
        </is>
      </c>
      <c r="F419" t="inlineStr">
        <is>
          <t>16:07:33</t>
        </is>
      </c>
      <c r="G419" t="inlineStr">
        <is>
          <t>00:02:20</t>
        </is>
      </c>
      <c r="H419" t="inlineStr">
        <is>
          <t>SELESAI</t>
        </is>
      </c>
      <c r="I419" t="inlineStr">
        <is>
          <t>MK00212</t>
        </is>
      </c>
      <c r="J419" t="inlineStr"/>
    </row>
    <row r="420">
      <c r="A420" t="inlineStr">
        <is>
          <t>10/05/2026</t>
        </is>
      </c>
      <c r="B420" t="inlineStr">
        <is>
          <t>528000195</t>
        </is>
      </c>
      <c r="C420" t="inlineStr">
        <is>
          <t>Rahma Sariwati</t>
        </is>
      </c>
      <c r="D420" t="inlineStr">
        <is>
          <t>PROD</t>
        </is>
      </c>
      <c r="E420" t="inlineStr">
        <is>
          <t>Produksi Harian</t>
        </is>
      </c>
      <c r="F420" t="inlineStr">
        <is>
          <t>13:30:10</t>
        </is>
      </c>
      <c r="G420" t="inlineStr">
        <is>
          <t>22:04:09</t>
        </is>
      </c>
      <c r="H420" t="inlineStr">
        <is>
          <t>SELESAI</t>
        </is>
      </c>
      <c r="I420" t="inlineStr">
        <is>
          <t>MK00208</t>
        </is>
      </c>
      <c r="J420" t="inlineStr"/>
    </row>
    <row r="421">
      <c r="A421" t="inlineStr">
        <is>
          <t>10/05/2026</t>
        </is>
      </c>
      <c r="B421" t="inlineStr">
        <is>
          <t>528000201</t>
        </is>
      </c>
      <c r="C421" t="inlineStr">
        <is>
          <t>Zahwa Amelia Choerunissa</t>
        </is>
      </c>
      <c r="D421" t="inlineStr">
        <is>
          <t>PROD</t>
        </is>
      </c>
      <c r="E421" t="inlineStr">
        <is>
          <t>Produksi Harian</t>
        </is>
      </c>
      <c r="F421" t="inlineStr">
        <is>
          <t>05:36:09</t>
        </is>
      </c>
      <c r="G421" t="inlineStr">
        <is>
          <t>14:04:32</t>
        </is>
      </c>
      <c r="H421" t="inlineStr">
        <is>
          <t>SELESAI</t>
        </is>
      </c>
      <c r="I421" t="inlineStr">
        <is>
          <t>MK00228</t>
        </is>
      </c>
      <c r="J421" t="inlineStr"/>
    </row>
    <row r="422">
      <c r="A422" t="inlineStr">
        <is>
          <t>10/05/2026</t>
        </is>
      </c>
      <c r="B422" t="inlineStr">
        <is>
          <t>528000212</t>
        </is>
      </c>
      <c r="C422" t="inlineStr">
        <is>
          <t>Rizal Fauzi</t>
        </is>
      </c>
      <c r="D422" t="inlineStr">
        <is>
          <t>PROD</t>
        </is>
      </c>
      <c r="E422" t="inlineStr">
        <is>
          <t>Produksi Harian</t>
        </is>
      </c>
      <c r="F422" t="inlineStr">
        <is>
          <t>05:36:24</t>
        </is>
      </c>
      <c r="G422" t="inlineStr">
        <is>
          <t>14:46:30</t>
        </is>
      </c>
      <c r="H422" t="inlineStr">
        <is>
          <t>SELESAI</t>
        </is>
      </c>
      <c r="I422" t="inlineStr">
        <is>
          <t>MK00055</t>
        </is>
      </c>
      <c r="J422" t="inlineStr"/>
    </row>
    <row r="423">
      <c r="A423" t="inlineStr">
        <is>
          <t>10/05/2026</t>
        </is>
      </c>
      <c r="B423" t="inlineStr">
        <is>
          <t>528000228</t>
        </is>
      </c>
      <c r="C423" t="inlineStr">
        <is>
          <t>Banyu Resmi Putri</t>
        </is>
      </c>
      <c r="D423" t="inlineStr">
        <is>
          <t>PROD</t>
        </is>
      </c>
      <c r="E423" t="inlineStr">
        <is>
          <t>Produksi Harian</t>
        </is>
      </c>
      <c r="F423" t="inlineStr">
        <is>
          <t>05:57:08</t>
        </is>
      </c>
      <c r="G423" t="inlineStr">
        <is>
          <t>14:06:56</t>
        </is>
      </c>
      <c r="H423" t="inlineStr">
        <is>
          <t>SELESAI</t>
        </is>
      </c>
      <c r="I423" t="inlineStr">
        <is>
          <t>MK00200</t>
        </is>
      </c>
      <c r="J423" t="inlineStr"/>
    </row>
    <row r="424">
      <c r="A424" t="inlineStr">
        <is>
          <t>10/05/2026</t>
        </is>
      </c>
      <c r="B424" t="inlineStr">
        <is>
          <t>528000232</t>
        </is>
      </c>
      <c r="C424" t="inlineStr">
        <is>
          <t>Agung Aji Suhada</t>
        </is>
      </c>
      <c r="D424" t="inlineStr">
        <is>
          <t>LOG</t>
        </is>
      </c>
      <c r="E424" t="inlineStr">
        <is>
          <t>WRM Harian</t>
        </is>
      </c>
      <c r="F424" t="inlineStr">
        <is>
          <t>09:01:57</t>
        </is>
      </c>
      <c r="G424" t="inlineStr">
        <is>
          <t>17:02:22</t>
        </is>
      </c>
      <c r="H424" t="inlineStr">
        <is>
          <t>SELESAI</t>
        </is>
      </c>
      <c r="I424" t="inlineStr">
        <is>
          <t>MK00204</t>
        </is>
      </c>
      <c r="J424" t="inlineStr"/>
    </row>
    <row r="425">
      <c r="A425" t="inlineStr">
        <is>
          <t>10/05/2026</t>
        </is>
      </c>
      <c r="B425" t="inlineStr">
        <is>
          <t>528000241</t>
        </is>
      </c>
      <c r="C425" t="inlineStr">
        <is>
          <t>Balia Nurafif Bilah</t>
        </is>
      </c>
      <c r="D425" t="inlineStr">
        <is>
          <t>PROD</t>
        </is>
      </c>
      <c r="E425" t="inlineStr">
        <is>
          <t>Produksi Harian</t>
        </is>
      </c>
      <c r="F425" t="inlineStr">
        <is>
          <t>05:54:28</t>
        </is>
      </c>
      <c r="G425" t="inlineStr">
        <is>
          <t>14:04:48</t>
        </is>
      </c>
      <c r="H425" t="inlineStr">
        <is>
          <t>SELESAI</t>
        </is>
      </c>
      <c r="I425" t="inlineStr">
        <is>
          <t>MK00249</t>
        </is>
      </c>
      <c r="J425" t="inlineStr"/>
    </row>
    <row r="426">
      <c r="A426" t="inlineStr">
        <is>
          <t>10/05/2026</t>
        </is>
      </c>
      <c r="B426" t="inlineStr">
        <is>
          <t>528000244</t>
        </is>
      </c>
      <c r="C426" t="inlineStr">
        <is>
          <t>Rodian Rifai</t>
        </is>
      </c>
      <c r="D426" t="inlineStr">
        <is>
          <t>PROD</t>
        </is>
      </c>
      <c r="E426" t="inlineStr">
        <is>
          <t>Produksi Harian</t>
        </is>
      </c>
      <c r="F426" t="inlineStr">
        <is>
          <t>05:39:22</t>
        </is>
      </c>
      <c r="G426" t="inlineStr">
        <is>
          <t>14:08:50</t>
        </is>
      </c>
      <c r="H426" t="inlineStr">
        <is>
          <t>SELESAI</t>
        </is>
      </c>
      <c r="I426" t="inlineStr">
        <is>
          <t>MK00192</t>
        </is>
      </c>
      <c r="J426" t="inlineStr">
        <is>
          <t>5B</t>
        </is>
      </c>
    </row>
    <row r="427">
      <c r="A427" t="inlineStr">
        <is>
          <t>10/05/2026</t>
        </is>
      </c>
      <c r="B427" t="inlineStr">
        <is>
          <t>528000262</t>
        </is>
      </c>
      <c r="C427" t="inlineStr">
        <is>
          <t>Ndari Dwiwanti</t>
        </is>
      </c>
      <c r="D427" t="inlineStr">
        <is>
          <t>PROD</t>
        </is>
      </c>
      <c r="E427" t="inlineStr">
        <is>
          <t>Produksi Harian</t>
        </is>
      </c>
      <c r="F427" t="inlineStr">
        <is>
          <t>13:38:05</t>
        </is>
      </c>
      <c r="G427" t="inlineStr">
        <is>
          <t>22:02:28</t>
        </is>
      </c>
      <c r="H427" t="inlineStr">
        <is>
          <t>SELESAI</t>
        </is>
      </c>
      <c r="I427" t="inlineStr">
        <is>
          <t>MK00199</t>
        </is>
      </c>
      <c r="J427" t="inlineStr"/>
    </row>
    <row r="428">
      <c r="A428" t="inlineStr">
        <is>
          <t>10/05/2026</t>
        </is>
      </c>
      <c r="B428" t="inlineStr">
        <is>
          <t>528000265</t>
        </is>
      </c>
      <c r="C428" t="inlineStr">
        <is>
          <t>Muhammad Haerul Rozikin</t>
        </is>
      </c>
      <c r="D428" t="inlineStr">
        <is>
          <t>LOG</t>
        </is>
      </c>
      <c r="E428" t="inlineStr">
        <is>
          <t>WRM Harian</t>
        </is>
      </c>
      <c r="F428" t="inlineStr">
        <is>
          <t>07:47:01</t>
        </is>
      </c>
      <c r="G428" t="inlineStr">
        <is>
          <t>16:06:13</t>
        </is>
      </c>
      <c r="H428" t="inlineStr">
        <is>
          <t>SELESAI</t>
        </is>
      </c>
      <c r="I428" t="inlineStr">
        <is>
          <t>MK00126</t>
        </is>
      </c>
      <c r="J428" t="inlineStr"/>
    </row>
    <row r="429">
      <c r="A429" t="inlineStr">
        <is>
          <t>10/05/2026</t>
        </is>
      </c>
      <c r="B429" t="inlineStr">
        <is>
          <t>528000266</t>
        </is>
      </c>
      <c r="C429" t="inlineStr">
        <is>
          <t>M. Syirajatieq</t>
        </is>
      </c>
      <c r="D429" t="inlineStr">
        <is>
          <t>LOG</t>
        </is>
      </c>
      <c r="E429" t="inlineStr">
        <is>
          <t>WFG Harian</t>
        </is>
      </c>
      <c r="F429" t="inlineStr">
        <is>
          <t>13:27:04</t>
        </is>
      </c>
      <c r="G429" t="inlineStr">
        <is>
          <t>22:15:26</t>
        </is>
      </c>
      <c r="H429" t="inlineStr">
        <is>
          <t>SELESAI</t>
        </is>
      </c>
      <c r="I429" t="inlineStr">
        <is>
          <t>MK00211</t>
        </is>
      </c>
      <c r="J429" t="inlineStr"/>
    </row>
    <row r="430">
      <c r="A430" t="inlineStr">
        <is>
          <t>10/05/2026</t>
        </is>
      </c>
      <c r="B430" t="inlineStr">
        <is>
          <t>528000267</t>
        </is>
      </c>
      <c r="C430" t="inlineStr">
        <is>
          <t>Bagas Patulloh</t>
        </is>
      </c>
      <c r="D430" t="inlineStr">
        <is>
          <t>LOG</t>
        </is>
      </c>
      <c r="E430" t="inlineStr">
        <is>
          <t>WRM Harian</t>
        </is>
      </c>
      <c r="F430" t="inlineStr">
        <is>
          <t>08:00:40</t>
        </is>
      </c>
      <c r="G430" t="inlineStr">
        <is>
          <t>16:03:41</t>
        </is>
      </c>
      <c r="H430" t="inlineStr">
        <is>
          <t>SELESAI</t>
        </is>
      </c>
      <c r="I430" t="inlineStr">
        <is>
          <t>MK00221</t>
        </is>
      </c>
      <c r="J430" t="inlineStr"/>
    </row>
    <row r="431">
      <c r="A431" t="inlineStr">
        <is>
          <t>10/05/2026</t>
        </is>
      </c>
      <c r="B431" t="inlineStr">
        <is>
          <t>528000279</t>
        </is>
      </c>
      <c r="C431" t="inlineStr">
        <is>
          <t>Mahdalena Dalfa Riani</t>
        </is>
      </c>
      <c r="D431" t="inlineStr">
        <is>
          <t>PROD</t>
        </is>
      </c>
      <c r="E431" t="inlineStr">
        <is>
          <t>Produksi Harian</t>
        </is>
      </c>
      <c r="F431" t="inlineStr">
        <is>
          <t>21:44:22</t>
        </is>
      </c>
      <c r="G431" t="inlineStr">
        <is>
          <t>06:07:50</t>
        </is>
      </c>
      <c r="H431" t="inlineStr">
        <is>
          <t>SELESAI</t>
        </is>
      </c>
      <c r="I431" t="inlineStr">
        <is>
          <t>MK00204</t>
        </is>
      </c>
      <c r="J431" t="inlineStr"/>
    </row>
    <row r="432">
      <c r="A432" t="inlineStr">
        <is>
          <t>10/05/2026</t>
        </is>
      </c>
      <c r="B432" t="inlineStr">
        <is>
          <t>528000282</t>
        </is>
      </c>
      <c r="C432" t="inlineStr">
        <is>
          <t>Defa Desfiana</t>
        </is>
      </c>
      <c r="D432" t="inlineStr">
        <is>
          <t>PROD</t>
        </is>
      </c>
      <c r="E432" t="inlineStr">
        <is>
          <t>Produksi Harian</t>
        </is>
      </c>
      <c r="F432" t="inlineStr">
        <is>
          <t>07:31:08</t>
        </is>
      </c>
      <c r="G432" t="inlineStr">
        <is>
          <t>07:35:20</t>
        </is>
      </c>
      <c r="H432" t="inlineStr">
        <is>
          <t>SELESAI</t>
        </is>
      </c>
      <c r="I432" t="inlineStr">
        <is>
          <t>MK0085</t>
        </is>
      </c>
      <c r="J432" t="inlineStr">
        <is>
          <t>33b</t>
        </is>
      </c>
    </row>
    <row r="433">
      <c r="A433" t="inlineStr">
        <is>
          <t>10/05/2026</t>
        </is>
      </c>
      <c r="B433" t="inlineStr">
        <is>
          <t>528000283</t>
        </is>
      </c>
      <c r="C433" t="inlineStr">
        <is>
          <t>Purwanda Sugiri</t>
        </is>
      </c>
      <c r="D433" t="inlineStr">
        <is>
          <t>LOG</t>
        </is>
      </c>
      <c r="E433" t="inlineStr">
        <is>
          <t>WRM Harian</t>
        </is>
      </c>
      <c r="F433" t="inlineStr">
        <is>
          <t>13:49:59</t>
        </is>
      </c>
      <c r="G433" t="inlineStr">
        <is>
          <t>22:04:49</t>
        </is>
      </c>
      <c r="H433" t="inlineStr">
        <is>
          <t>SELESAI</t>
        </is>
      </c>
      <c r="I433" t="inlineStr">
        <is>
          <t>MK00155</t>
        </is>
      </c>
      <c r="J433" t="inlineStr"/>
    </row>
    <row r="434">
      <c r="A434" t="inlineStr">
        <is>
          <t>10/05/2026</t>
        </is>
      </c>
      <c r="B434" t="inlineStr">
        <is>
          <t>528000286</t>
        </is>
      </c>
      <c r="C434" t="inlineStr">
        <is>
          <t>Imelda Amelia</t>
        </is>
      </c>
      <c r="D434" t="inlineStr">
        <is>
          <t>PROD</t>
        </is>
      </c>
      <c r="E434" t="inlineStr">
        <is>
          <t>Produksi Harian</t>
        </is>
      </c>
      <c r="F434" t="inlineStr">
        <is>
          <t>05:47:15</t>
        </is>
      </c>
      <c r="G434" t="inlineStr">
        <is>
          <t>14:07:49</t>
        </is>
      </c>
      <c r="H434" t="inlineStr">
        <is>
          <t>SELESAI</t>
        </is>
      </c>
      <c r="I434" t="inlineStr">
        <is>
          <t>MK00202</t>
        </is>
      </c>
      <c r="J434" t="inlineStr"/>
    </row>
    <row r="435">
      <c r="A435" t="inlineStr">
        <is>
          <t>10/05/2026</t>
        </is>
      </c>
      <c r="B435" t="inlineStr">
        <is>
          <t>528000287</t>
        </is>
      </c>
      <c r="C435" t="inlineStr">
        <is>
          <t>Muhamad Angga Ramdani</t>
        </is>
      </c>
      <c r="D435" t="inlineStr">
        <is>
          <t>PROD</t>
        </is>
      </c>
      <c r="E435" t="inlineStr">
        <is>
          <t>Produksi Harian</t>
        </is>
      </c>
      <c r="F435" t="inlineStr">
        <is>
          <t>08:09:01</t>
        </is>
      </c>
      <c r="G435" t="inlineStr">
        <is>
          <t>16:03:10</t>
        </is>
      </c>
      <c r="H435" t="inlineStr">
        <is>
          <t>SELESAI</t>
        </is>
      </c>
      <c r="I435" t="inlineStr">
        <is>
          <t>MK00250</t>
        </is>
      </c>
      <c r="J435" t="inlineStr"/>
    </row>
    <row r="436">
      <c r="A436" t="inlineStr">
        <is>
          <t>10/05/2026</t>
        </is>
      </c>
      <c r="B436" t="inlineStr">
        <is>
          <t>528000290</t>
        </is>
      </c>
      <c r="C436" t="inlineStr">
        <is>
          <t>Eval Pranata</t>
        </is>
      </c>
      <c r="D436" t="inlineStr">
        <is>
          <t>PROD</t>
        </is>
      </c>
      <c r="E436" t="inlineStr">
        <is>
          <t>Produksi Harian</t>
        </is>
      </c>
      <c r="F436" t="inlineStr">
        <is>
          <t>05:57:39</t>
        </is>
      </c>
      <c r="G436" t="inlineStr">
        <is>
          <t>14:09:03</t>
        </is>
      </c>
      <c r="H436" t="inlineStr">
        <is>
          <t>SELESAI</t>
        </is>
      </c>
      <c r="I436" t="inlineStr">
        <is>
          <t>MK00136</t>
        </is>
      </c>
      <c r="J436" t="inlineStr"/>
    </row>
    <row r="437">
      <c r="A437" t="inlineStr">
        <is>
          <t>10/05/2026</t>
        </is>
      </c>
      <c r="B437" t="inlineStr">
        <is>
          <t>528000292</t>
        </is>
      </c>
      <c r="C437" t="inlineStr">
        <is>
          <t>Aditia Nugraha</t>
        </is>
      </c>
      <c r="D437" t="inlineStr">
        <is>
          <t>PROD</t>
        </is>
      </c>
      <c r="E437" t="inlineStr">
        <is>
          <t>Produksi Harian</t>
        </is>
      </c>
      <c r="F437" t="inlineStr">
        <is>
          <t>08:48:52</t>
        </is>
      </c>
      <c r="G437" t="inlineStr">
        <is>
          <t>17:04:02</t>
        </is>
      </c>
      <c r="H437" t="inlineStr">
        <is>
          <t>SELESAI</t>
        </is>
      </c>
      <c r="I437" t="inlineStr">
        <is>
          <t>MK00151</t>
        </is>
      </c>
      <c r="J437" t="inlineStr"/>
    </row>
    <row r="438">
      <c r="A438" t="inlineStr">
        <is>
          <t>10/05/2026</t>
        </is>
      </c>
      <c r="B438" t="inlineStr">
        <is>
          <t>528000297</t>
        </is>
      </c>
      <c r="C438" t="inlineStr">
        <is>
          <t>Muhamad Budiana</t>
        </is>
      </c>
      <c r="D438" t="inlineStr">
        <is>
          <t>PROD</t>
        </is>
      </c>
      <c r="E438" t="inlineStr">
        <is>
          <t>Produksi Harian</t>
        </is>
      </c>
      <c r="F438" t="inlineStr">
        <is>
          <t>21:55:12</t>
        </is>
      </c>
      <c r="G438" t="inlineStr">
        <is>
          <t>07:26:25</t>
        </is>
      </c>
      <c r="H438" t="inlineStr">
        <is>
          <t>SELESAI</t>
        </is>
      </c>
      <c r="I438" t="inlineStr">
        <is>
          <t>MK00109</t>
        </is>
      </c>
      <c r="J438" t="inlineStr"/>
    </row>
    <row r="439">
      <c r="A439" t="inlineStr">
        <is>
          <t>10/05/2026</t>
        </is>
      </c>
      <c r="B439" t="inlineStr">
        <is>
          <t>528000306</t>
        </is>
      </c>
      <c r="C439" t="inlineStr">
        <is>
          <t>Windy Olivia</t>
        </is>
      </c>
      <c r="D439" t="inlineStr">
        <is>
          <t>PROD</t>
        </is>
      </c>
      <c r="E439" t="inlineStr">
        <is>
          <t>Produksi Harian</t>
        </is>
      </c>
      <c r="F439" t="inlineStr">
        <is>
          <t>13:41:15</t>
        </is>
      </c>
      <c r="G439" t="inlineStr">
        <is>
          <t>22:03:27</t>
        </is>
      </c>
      <c r="H439" t="inlineStr">
        <is>
          <t>SELESAI</t>
        </is>
      </c>
      <c r="I439" t="inlineStr">
        <is>
          <t>MK00156</t>
        </is>
      </c>
      <c r="J439" t="inlineStr"/>
    </row>
    <row r="440">
      <c r="A440" t="inlineStr">
        <is>
          <t>10/05/2026</t>
        </is>
      </c>
      <c r="B440" t="inlineStr">
        <is>
          <t>528000348</t>
        </is>
      </c>
      <c r="C440" t="inlineStr">
        <is>
          <t>Saepuloh Ardiansah</t>
        </is>
      </c>
      <c r="D440" t="inlineStr">
        <is>
          <t>LOG</t>
        </is>
      </c>
      <c r="E440" t="inlineStr">
        <is>
          <t>WRM Harian</t>
        </is>
      </c>
      <c r="F440" t="inlineStr">
        <is>
          <t>08:55:19</t>
        </is>
      </c>
      <c r="G440" t="inlineStr">
        <is>
          <t>17:48:29</t>
        </is>
      </c>
      <c r="H440" t="inlineStr">
        <is>
          <t>SELESAI</t>
        </is>
      </c>
      <c r="I440" t="inlineStr">
        <is>
          <t>MK00205</t>
        </is>
      </c>
      <c r="J440" t="inlineStr"/>
    </row>
    <row r="441">
      <c r="A441" t="inlineStr">
        <is>
          <t>10/05/2026</t>
        </is>
      </c>
      <c r="B441" t="inlineStr">
        <is>
          <t>528000351</t>
        </is>
      </c>
      <c r="C441" t="inlineStr">
        <is>
          <t>Mulyana</t>
        </is>
      </c>
      <c r="D441" t="inlineStr">
        <is>
          <t>PROD</t>
        </is>
      </c>
      <c r="E441" t="inlineStr">
        <is>
          <t>Produksi Harian</t>
        </is>
      </c>
      <c r="F441" t="inlineStr">
        <is>
          <t>08:12:14</t>
        </is>
      </c>
      <c r="G441" t="inlineStr">
        <is>
          <t>16:05:52</t>
        </is>
      </c>
      <c r="H441" t="inlineStr">
        <is>
          <t>SELESAI</t>
        </is>
      </c>
      <c r="I441" t="inlineStr">
        <is>
          <t>MK00082</t>
        </is>
      </c>
      <c r="J441" t="inlineStr"/>
    </row>
    <row r="442">
      <c r="A442" t="inlineStr">
        <is>
          <t>10/05/2026</t>
        </is>
      </c>
      <c r="B442" t="inlineStr">
        <is>
          <t>628000064</t>
        </is>
      </c>
      <c r="C442" t="inlineStr">
        <is>
          <t>Silva Alypia</t>
        </is>
      </c>
      <c r="D442" t="inlineStr">
        <is>
          <t>PROD</t>
        </is>
      </c>
      <c r="E442" t="inlineStr">
        <is>
          <t>Produksi Borongan</t>
        </is>
      </c>
      <c r="F442" t="inlineStr">
        <is>
          <t>21:48:34</t>
        </is>
      </c>
      <c r="G442" t="inlineStr">
        <is>
          <t>06:06:33</t>
        </is>
      </c>
      <c r="H442" t="inlineStr">
        <is>
          <t>SELESAI</t>
        </is>
      </c>
      <c r="I442" t="inlineStr">
        <is>
          <t>MK00192</t>
        </is>
      </c>
      <c r="J442" t="inlineStr"/>
    </row>
    <row r="443">
      <c r="A443" t="inlineStr">
        <is>
          <t>11/05/2026</t>
        </is>
      </c>
      <c r="B443" t="inlineStr">
        <is>
          <t>528000015</t>
        </is>
      </c>
      <c r="C443" t="inlineStr">
        <is>
          <t>Erwin</t>
        </is>
      </c>
      <c r="D443" t="inlineStr">
        <is>
          <t>LOG</t>
        </is>
      </c>
      <c r="E443" t="inlineStr">
        <is>
          <t>WRM Harian</t>
        </is>
      </c>
      <c r="F443" t="inlineStr">
        <is>
          <t>15:51:47</t>
        </is>
      </c>
      <c r="G443" t="inlineStr"/>
      <c r="H443" t="inlineStr">
        <is>
          <t>DI DALAM</t>
        </is>
      </c>
      <c r="I443" t="inlineStr">
        <is>
          <t>MK00203</t>
        </is>
      </c>
      <c r="J443" t="inlineStr"/>
    </row>
    <row r="444">
      <c r="A444" t="inlineStr">
        <is>
          <t>11/05/2026</t>
        </is>
      </c>
      <c r="B444" t="inlineStr">
        <is>
          <t>528000098</t>
        </is>
      </c>
      <c r="C444" t="inlineStr">
        <is>
          <t>Edi Junaedi</t>
        </is>
      </c>
      <c r="D444" t="inlineStr">
        <is>
          <t>PROD</t>
        </is>
      </c>
      <c r="E444" t="inlineStr">
        <is>
          <t>Produksi Harian</t>
        </is>
      </c>
      <c r="F444" t="inlineStr">
        <is>
          <t>13:24:32</t>
        </is>
      </c>
      <c r="G444" t="inlineStr"/>
      <c r="H444" t="inlineStr">
        <is>
          <t>DI DALAM</t>
        </is>
      </c>
      <c r="I444" t="inlineStr">
        <is>
          <t>MK00200</t>
        </is>
      </c>
      <c r="J444" t="inlineStr"/>
    </row>
    <row r="445">
      <c r="A445" t="inlineStr">
        <is>
          <t>11/05/2026</t>
        </is>
      </c>
      <c r="B445" t="inlineStr">
        <is>
          <t>528000099</t>
        </is>
      </c>
      <c r="C445" t="inlineStr">
        <is>
          <t>Siti Nurawaliah</t>
        </is>
      </c>
      <c r="D445" t="inlineStr">
        <is>
          <t>PROD</t>
        </is>
      </c>
      <c r="E445" t="inlineStr">
        <is>
          <t>Produksi Harian</t>
        </is>
      </c>
      <c r="F445" t="inlineStr">
        <is>
          <t>05:34:42</t>
        </is>
      </c>
      <c r="G445" t="inlineStr">
        <is>
          <t>14:09:17</t>
        </is>
      </c>
      <c r="H445" t="inlineStr">
        <is>
          <t>SELESAI</t>
        </is>
      </c>
      <c r="I445" t="inlineStr">
        <is>
          <t>MK00088</t>
        </is>
      </c>
      <c r="J445" t="inlineStr"/>
    </row>
    <row r="446">
      <c r="A446" t="inlineStr">
        <is>
          <t>11/05/2026</t>
        </is>
      </c>
      <c r="B446" t="inlineStr">
        <is>
          <t>528000144</t>
        </is>
      </c>
      <c r="C446" t="inlineStr">
        <is>
          <t>Jodi Hanafi</t>
        </is>
      </c>
      <c r="D446" t="inlineStr">
        <is>
          <t>LOG</t>
        </is>
      </c>
      <c r="E446" t="inlineStr">
        <is>
          <t>WRM Harian</t>
        </is>
      </c>
      <c r="F446" t="inlineStr">
        <is>
          <t>15:58:17</t>
        </is>
      </c>
      <c r="G446" t="inlineStr">
        <is>
          <t>15:57:26</t>
        </is>
      </c>
      <c r="H446" t="inlineStr">
        <is>
          <t>SELESAI</t>
        </is>
      </c>
      <c r="I446" t="inlineStr">
        <is>
          <t>MK00213</t>
        </is>
      </c>
      <c r="J446" t="inlineStr"/>
    </row>
    <row r="447">
      <c r="A447" t="inlineStr">
        <is>
          <t>11/05/2026</t>
        </is>
      </c>
      <c r="B447" t="inlineStr">
        <is>
          <t>528000149</t>
        </is>
      </c>
      <c r="C447" t="inlineStr">
        <is>
          <t>Tio Fernanda</t>
        </is>
      </c>
      <c r="D447" t="inlineStr">
        <is>
          <t>LOG</t>
        </is>
      </c>
      <c r="E447" t="inlineStr">
        <is>
          <t>WRM Harian</t>
        </is>
      </c>
      <c r="F447" t="inlineStr">
        <is>
          <t>15:51:13</t>
        </is>
      </c>
      <c r="G447" t="inlineStr"/>
      <c r="H447" t="inlineStr">
        <is>
          <t>DI DALAM</t>
        </is>
      </c>
      <c r="I447" t="inlineStr">
        <is>
          <t>MK00212</t>
        </is>
      </c>
      <c r="J447" t="inlineStr"/>
    </row>
    <row r="448">
      <c r="A448" t="inlineStr">
        <is>
          <t>11/05/2026</t>
        </is>
      </c>
      <c r="B448" t="inlineStr">
        <is>
          <t>528000201</t>
        </is>
      </c>
      <c r="C448" t="inlineStr">
        <is>
          <t>Zahwa Amelia Choerunissa</t>
        </is>
      </c>
      <c r="D448" t="inlineStr">
        <is>
          <t>PROD</t>
        </is>
      </c>
      <c r="E448" t="inlineStr">
        <is>
          <t>Produksi Harian</t>
        </is>
      </c>
      <c r="F448" t="inlineStr">
        <is>
          <t>05:33:48</t>
        </is>
      </c>
      <c r="G448" t="inlineStr">
        <is>
          <t>14:06:59</t>
        </is>
      </c>
      <c r="H448" t="inlineStr">
        <is>
          <t>SELESAI</t>
        </is>
      </c>
      <c r="I448" t="inlineStr">
        <is>
          <t>MK00235</t>
        </is>
      </c>
      <c r="J448" t="inlineStr"/>
    </row>
    <row r="449">
      <c r="A449" t="inlineStr">
        <is>
          <t>11/05/2026</t>
        </is>
      </c>
      <c r="B449" t="inlineStr">
        <is>
          <t>528000203</t>
        </is>
      </c>
      <c r="C449" t="inlineStr">
        <is>
          <t>Yudha Ramdhan Putra</t>
        </is>
      </c>
      <c r="D449" t="inlineStr">
        <is>
          <t>ENG</t>
        </is>
      </c>
      <c r="E449" t="inlineStr">
        <is>
          <t>Engineering Harian</t>
        </is>
      </c>
      <c r="F449" t="inlineStr">
        <is>
          <t>08:58:47</t>
        </is>
      </c>
      <c r="G449" t="inlineStr"/>
      <c r="H449" t="inlineStr">
        <is>
          <t>DI DALAM</t>
        </is>
      </c>
      <c r="I449" t="inlineStr">
        <is>
          <t>MK00211</t>
        </is>
      </c>
      <c r="J449" t="inlineStr"/>
    </row>
    <row r="450">
      <c r="A450" t="inlineStr">
        <is>
          <t>11/05/2026</t>
        </is>
      </c>
      <c r="B450" t="inlineStr">
        <is>
          <t>528000238</t>
        </is>
      </c>
      <c r="C450" t="inlineStr">
        <is>
          <t>Indah Lusiana</t>
        </is>
      </c>
      <c r="D450" t="inlineStr">
        <is>
          <t>PROD</t>
        </is>
      </c>
      <c r="E450" t="inlineStr">
        <is>
          <t>Produksi Harian</t>
        </is>
      </c>
      <c r="F450" t="inlineStr">
        <is>
          <t>13:32:26</t>
        </is>
      </c>
      <c r="G450" t="inlineStr">
        <is>
          <t>22:03:03</t>
        </is>
      </c>
      <c r="H450" t="inlineStr">
        <is>
          <t>SELESAI</t>
        </is>
      </c>
      <c r="I450" t="inlineStr">
        <is>
          <t>MK00093</t>
        </is>
      </c>
      <c r="J450" t="inlineStr"/>
    </row>
    <row r="451">
      <c r="A451" t="inlineStr">
        <is>
          <t>11/05/2026</t>
        </is>
      </c>
      <c r="B451" t="inlineStr">
        <is>
          <t>528000241</t>
        </is>
      </c>
      <c r="C451" t="inlineStr">
        <is>
          <t>Balia Nurafif Bilah</t>
        </is>
      </c>
      <c r="D451" t="inlineStr">
        <is>
          <t>PROD</t>
        </is>
      </c>
      <c r="E451" t="inlineStr">
        <is>
          <t>Produksi Harian</t>
        </is>
      </c>
      <c r="F451" t="inlineStr">
        <is>
          <t>05:55:02</t>
        </is>
      </c>
      <c r="G451" t="inlineStr">
        <is>
          <t>14:05:02</t>
        </is>
      </c>
      <c r="H451" t="inlineStr">
        <is>
          <t>SELESAI</t>
        </is>
      </c>
      <c r="I451" t="inlineStr">
        <is>
          <t>MK00202</t>
        </is>
      </c>
      <c r="J451" t="inlineStr"/>
    </row>
    <row r="452">
      <c r="A452" t="inlineStr">
        <is>
          <t>11/05/2026</t>
        </is>
      </c>
      <c r="B452" t="inlineStr">
        <is>
          <t>528000244</t>
        </is>
      </c>
      <c r="C452" t="inlineStr">
        <is>
          <t>Rodian Rifai</t>
        </is>
      </c>
      <c r="D452" t="inlineStr">
        <is>
          <t>PROD</t>
        </is>
      </c>
      <c r="E452" t="inlineStr">
        <is>
          <t>Produksi Harian</t>
        </is>
      </c>
      <c r="F452" t="inlineStr">
        <is>
          <t>05:54:03</t>
        </is>
      </c>
      <c r="G452" t="inlineStr">
        <is>
          <t>14:05:08</t>
        </is>
      </c>
      <c r="H452" t="inlineStr">
        <is>
          <t>SELESAI</t>
        </is>
      </c>
      <c r="I452" t="inlineStr">
        <is>
          <t>MK00118</t>
        </is>
      </c>
      <c r="J452" t="inlineStr">
        <is>
          <t>2D</t>
        </is>
      </c>
    </row>
    <row r="453">
      <c r="A453" t="inlineStr">
        <is>
          <t>11/05/2026</t>
        </is>
      </c>
      <c r="B453" t="inlineStr">
        <is>
          <t>528000265</t>
        </is>
      </c>
      <c r="C453" t="inlineStr">
        <is>
          <t>Muhammad Haerul Rozikin</t>
        </is>
      </c>
      <c r="D453" t="inlineStr">
        <is>
          <t>LOG</t>
        </is>
      </c>
      <c r="E453" t="inlineStr">
        <is>
          <t>WRM Harian</t>
        </is>
      </c>
      <c r="F453" t="inlineStr">
        <is>
          <t>07:56:05</t>
        </is>
      </c>
      <c r="G453" t="inlineStr">
        <is>
          <t>16:03:18</t>
        </is>
      </c>
      <c r="H453" t="inlineStr">
        <is>
          <t>SELESAI</t>
        </is>
      </c>
      <c r="I453" t="inlineStr">
        <is>
          <t>MK00208</t>
        </is>
      </c>
      <c r="J453" t="inlineStr"/>
    </row>
    <row r="454">
      <c r="A454" t="inlineStr">
        <is>
          <t>11/05/2026</t>
        </is>
      </c>
      <c r="B454" t="inlineStr">
        <is>
          <t>528000270</t>
        </is>
      </c>
      <c r="C454" t="inlineStr">
        <is>
          <t>Febri Najmudin</t>
        </is>
      </c>
      <c r="D454" t="inlineStr">
        <is>
          <t>LOG</t>
        </is>
      </c>
      <c r="E454" t="inlineStr">
        <is>
          <t>WRM Harian</t>
        </is>
      </c>
      <c r="F454" t="inlineStr">
        <is>
          <t>13:48:53</t>
        </is>
      </c>
      <c r="G454" t="inlineStr">
        <is>
          <t>22:21:14</t>
        </is>
      </c>
      <c r="H454" t="inlineStr">
        <is>
          <t>SELESAI</t>
        </is>
      </c>
      <c r="I454" t="inlineStr">
        <is>
          <t>MK00250</t>
        </is>
      </c>
      <c r="J454" t="inlineStr"/>
    </row>
    <row r="455">
      <c r="A455" t="inlineStr">
        <is>
          <t>11/05/2026</t>
        </is>
      </c>
      <c r="B455" t="inlineStr">
        <is>
          <t>528000282</t>
        </is>
      </c>
      <c r="C455" t="inlineStr">
        <is>
          <t>Defa Desfiana</t>
        </is>
      </c>
      <c r="D455" t="inlineStr">
        <is>
          <t>PROD</t>
        </is>
      </c>
      <c r="E455" t="inlineStr">
        <is>
          <t>Produksi Harian</t>
        </is>
      </c>
      <c r="F455" t="inlineStr">
        <is>
          <t>07:35:36</t>
        </is>
      </c>
      <c r="G455" t="inlineStr">
        <is>
          <t>16:03:11</t>
        </is>
      </c>
      <c r="H455" t="inlineStr">
        <is>
          <t>SELESAI</t>
        </is>
      </c>
      <c r="I455" t="inlineStr">
        <is>
          <t>MK00230</t>
        </is>
      </c>
      <c r="J455" t="inlineStr">
        <is>
          <t>23c</t>
        </is>
      </c>
    </row>
    <row r="456">
      <c r="A456" t="inlineStr">
        <is>
          <t>11/05/2026</t>
        </is>
      </c>
      <c r="B456" t="inlineStr">
        <is>
          <t>528000286</t>
        </is>
      </c>
      <c r="C456" t="inlineStr">
        <is>
          <t>Imelda Amelia</t>
        </is>
      </c>
      <c r="D456" t="inlineStr">
        <is>
          <t>PROD</t>
        </is>
      </c>
      <c r="E456" t="inlineStr">
        <is>
          <t>Produksi Harian</t>
        </is>
      </c>
      <c r="F456" t="inlineStr">
        <is>
          <t>05:41:23</t>
        </is>
      </c>
      <c r="G456" t="inlineStr">
        <is>
          <t>14:09:51</t>
        </is>
      </c>
      <c r="H456" t="inlineStr">
        <is>
          <t>SELESAI</t>
        </is>
      </c>
      <c r="I456" t="inlineStr">
        <is>
          <t>MK00155</t>
        </is>
      </c>
      <c r="J456" t="inlineStr"/>
    </row>
    <row r="457">
      <c r="A457" t="inlineStr">
        <is>
          <t>11/05/2026</t>
        </is>
      </c>
      <c r="B457" t="inlineStr">
        <is>
          <t>528000287</t>
        </is>
      </c>
      <c r="C457" t="inlineStr">
        <is>
          <t>Muhamad Angga Ramdani</t>
        </is>
      </c>
      <c r="D457" t="inlineStr">
        <is>
          <t>PROD</t>
        </is>
      </c>
      <c r="E457" t="inlineStr">
        <is>
          <t>Produksi Harian</t>
        </is>
      </c>
      <c r="F457" t="inlineStr">
        <is>
          <t>07:55:57</t>
        </is>
      </c>
      <c r="G457" t="inlineStr">
        <is>
          <t>16:11:13</t>
        </is>
      </c>
      <c r="H457" t="inlineStr">
        <is>
          <t>SELESAI</t>
        </is>
      </c>
      <c r="I457" t="inlineStr">
        <is>
          <t>MK00204</t>
        </is>
      </c>
      <c r="J457" t="inlineStr"/>
    </row>
    <row r="458">
      <c r="A458" t="inlineStr">
        <is>
          <t>11/05/2026</t>
        </is>
      </c>
      <c r="B458" t="inlineStr">
        <is>
          <t>528000290</t>
        </is>
      </c>
      <c r="C458" t="inlineStr">
        <is>
          <t>Eval Pranata</t>
        </is>
      </c>
      <c r="D458" t="inlineStr">
        <is>
          <t>PROD</t>
        </is>
      </c>
      <c r="E458" t="inlineStr">
        <is>
          <t>Produksi Harian</t>
        </is>
      </c>
      <c r="F458" t="inlineStr">
        <is>
          <t>06:00:46</t>
        </is>
      </c>
      <c r="G458" t="inlineStr">
        <is>
          <t>14:04:09</t>
        </is>
      </c>
      <c r="H458" t="inlineStr">
        <is>
          <t>SELESAI</t>
        </is>
      </c>
      <c r="I458" t="inlineStr">
        <is>
          <t>MK00112</t>
        </is>
      </c>
      <c r="J458" t="inlineStr"/>
    </row>
    <row r="459">
      <c r="A459" t="inlineStr">
        <is>
          <t>11/05/2026</t>
        </is>
      </c>
      <c r="B459" t="inlineStr">
        <is>
          <t>528000299</t>
        </is>
      </c>
      <c r="C459" t="inlineStr">
        <is>
          <t>Siti Nurjanah</t>
        </is>
      </c>
      <c r="D459" t="inlineStr">
        <is>
          <t>PROD</t>
        </is>
      </c>
      <c r="E459" t="inlineStr">
        <is>
          <t>Produksi Harian</t>
        </is>
      </c>
      <c r="F459" t="inlineStr">
        <is>
          <t>13:38:42</t>
        </is>
      </c>
      <c r="G459" t="inlineStr">
        <is>
          <t>22:05:16</t>
        </is>
      </c>
      <c r="H459" t="inlineStr">
        <is>
          <t>SELESAI</t>
        </is>
      </c>
      <c r="I459" t="inlineStr">
        <is>
          <t>MK00141</t>
        </is>
      </c>
      <c r="J459" t="inlineStr"/>
    </row>
    <row r="460">
      <c r="A460" t="inlineStr">
        <is>
          <t>11/05/2026</t>
        </is>
      </c>
      <c r="B460" t="inlineStr">
        <is>
          <t>528000302</t>
        </is>
      </c>
      <c r="C460" t="inlineStr">
        <is>
          <t>Henkey gumilar</t>
        </is>
      </c>
      <c r="D460" t="inlineStr">
        <is>
          <t>PROD</t>
        </is>
      </c>
      <c r="E460" t="inlineStr">
        <is>
          <t>Produksi Harian</t>
        </is>
      </c>
      <c r="F460" t="inlineStr">
        <is>
          <t>13:34:52</t>
        </is>
      </c>
      <c r="G460" t="inlineStr">
        <is>
          <t>22:11:43</t>
        </is>
      </c>
      <c r="H460" t="inlineStr">
        <is>
          <t>SELESAI</t>
        </is>
      </c>
      <c r="I460" t="inlineStr">
        <is>
          <t>MK00158</t>
        </is>
      </c>
      <c r="J460" t="inlineStr"/>
    </row>
    <row r="461">
      <c r="A461" t="inlineStr">
        <is>
          <t>11/05/2026</t>
        </is>
      </c>
      <c r="B461" t="inlineStr">
        <is>
          <t>528000348</t>
        </is>
      </c>
      <c r="C461" t="inlineStr">
        <is>
          <t>Saepuloh Ardiansah</t>
        </is>
      </c>
      <c r="D461" t="inlineStr">
        <is>
          <t>LOG</t>
        </is>
      </c>
      <c r="E461" t="inlineStr">
        <is>
          <t>WRM Harian</t>
        </is>
      </c>
      <c r="F461" t="inlineStr">
        <is>
          <t>08:56:33</t>
        </is>
      </c>
      <c r="G461" t="inlineStr">
        <is>
          <t>17:06:53</t>
        </is>
      </c>
      <c r="H461" t="inlineStr">
        <is>
          <t>SELESAI</t>
        </is>
      </c>
      <c r="I461" t="inlineStr">
        <is>
          <t>MK00205</t>
        </is>
      </c>
      <c r="J461" t="inlineStr"/>
    </row>
    <row r="462">
      <c r="A462" t="inlineStr">
        <is>
          <t>11/05/2026</t>
        </is>
      </c>
      <c r="B462" t="inlineStr">
        <is>
          <t>528000349</t>
        </is>
      </c>
      <c r="C462" t="inlineStr">
        <is>
          <t>Anas Abdul Fatah</t>
        </is>
      </c>
      <c r="D462" t="inlineStr">
        <is>
          <t>LOG</t>
        </is>
      </c>
      <c r="E462" t="inlineStr">
        <is>
          <t>WFG Harian</t>
        </is>
      </c>
      <c r="F462" t="inlineStr">
        <is>
          <t>07:42:43</t>
        </is>
      </c>
      <c r="G462" t="inlineStr">
        <is>
          <t>16:14:42</t>
        </is>
      </c>
      <c r="H462" t="inlineStr">
        <is>
          <t>SELESAI</t>
        </is>
      </c>
      <c r="I462" t="inlineStr">
        <is>
          <t>MK00192</t>
        </is>
      </c>
      <c r="J462" t="inlineStr"/>
    </row>
    <row r="463">
      <c r="A463" t="inlineStr">
        <is>
          <t>11/05/2026</t>
        </is>
      </c>
      <c r="B463" t="inlineStr">
        <is>
          <t>528000351</t>
        </is>
      </c>
      <c r="C463" t="inlineStr">
        <is>
          <t>Mulyana</t>
        </is>
      </c>
      <c r="D463" t="inlineStr">
        <is>
          <t>PROD</t>
        </is>
      </c>
      <c r="E463" t="inlineStr">
        <is>
          <t>Produksi Harian</t>
        </is>
      </c>
      <c r="F463" t="inlineStr">
        <is>
          <t>08:08:31</t>
        </is>
      </c>
      <c r="G463" t="inlineStr">
        <is>
          <t>16:03:31</t>
        </is>
      </c>
      <c r="H463" t="inlineStr">
        <is>
          <t>SELESAI</t>
        </is>
      </c>
      <c r="I463" t="inlineStr">
        <is>
          <t>MK00109</t>
        </is>
      </c>
      <c r="J463" t="inlineStr"/>
    </row>
    <row r="464">
      <c r="A464" t="inlineStr">
        <is>
          <t>11/05/2026</t>
        </is>
      </c>
      <c r="B464" t="inlineStr">
        <is>
          <t>628000061</t>
        </is>
      </c>
      <c r="C464" t="inlineStr">
        <is>
          <t>Nayla Fadillah Exwantoro</t>
        </is>
      </c>
      <c r="D464" t="inlineStr">
        <is>
          <t>PROD</t>
        </is>
      </c>
      <c r="E464" t="inlineStr">
        <is>
          <t>Produksi Borongan</t>
        </is>
      </c>
      <c r="F464" t="inlineStr">
        <is>
          <t>13:04:23</t>
        </is>
      </c>
      <c r="G464" t="inlineStr"/>
      <c r="H464" t="inlineStr">
        <is>
          <t>DI DALAM</t>
        </is>
      </c>
      <c r="I464" t="inlineStr">
        <is>
          <t>MK00228</t>
        </is>
      </c>
      <c r="J464" t="inlineStr"/>
    </row>
    <row r="465">
      <c r="A465" t="inlineStr">
        <is>
          <t>11/05/2026</t>
        </is>
      </c>
      <c r="B465" t="inlineStr">
        <is>
          <t>628000091</t>
        </is>
      </c>
      <c r="C465" t="inlineStr">
        <is>
          <t>Devita Handayani</t>
        </is>
      </c>
      <c r="D465" t="inlineStr">
        <is>
          <t>PROD</t>
        </is>
      </c>
      <c r="E465" t="inlineStr">
        <is>
          <t>Produksi Borongan</t>
        </is>
      </c>
      <c r="F465" t="inlineStr">
        <is>
          <t>14:08:09</t>
        </is>
      </c>
      <c r="G465" t="inlineStr"/>
      <c r="H465" t="inlineStr">
        <is>
          <t>DI DALAM</t>
        </is>
      </c>
      <c r="I465" t="inlineStr">
        <is>
          <t>MK00207</t>
        </is>
      </c>
      <c r="J465" t="inlineStr"/>
    </row>
    <row r="466">
      <c r="A466" t="inlineStr">
        <is>
          <t>22/05/2026</t>
        </is>
      </c>
      <c r="B466" t="inlineStr">
        <is>
          <t>528000069</t>
        </is>
      </c>
      <c r="C466" t="inlineStr">
        <is>
          <t>Jajang Ardiansyah</t>
        </is>
      </c>
      <c r="D466" t="inlineStr">
        <is>
          <t>PROD</t>
        </is>
      </c>
      <c r="E466" t="inlineStr">
        <is>
          <t>Produksi Harian</t>
        </is>
      </c>
      <c r="F466" t="inlineStr">
        <is>
          <t>10:28:15</t>
        </is>
      </c>
      <c r="G466" t="inlineStr">
        <is>
          <t>10:31:48</t>
        </is>
      </c>
      <c r="H466" t="inlineStr">
        <is>
          <t>SELESAI</t>
        </is>
      </c>
      <c r="I466" t="inlineStr">
        <is>
          <t>MK0090</t>
        </is>
      </c>
      <c r="J466" t="inlineStr"/>
    </row>
    <row r="467">
      <c r="A467" t="inlineStr">
        <is>
          <t>24/05/2026</t>
        </is>
      </c>
      <c r="B467" t="inlineStr">
        <is>
          <t>628000039</t>
        </is>
      </c>
      <c r="C467" t="inlineStr">
        <is>
          <t>Nani Maryani</t>
        </is>
      </c>
      <c r="D467" t="inlineStr">
        <is>
          <t>PROD</t>
        </is>
      </c>
      <c r="E467" t="inlineStr">
        <is>
          <t>Produksi Borongan</t>
        </is>
      </c>
      <c r="F467" t="inlineStr">
        <is>
          <t>13:45:48</t>
        </is>
      </c>
      <c r="G467" t="inlineStr"/>
      <c r="H467" t="inlineStr">
        <is>
          <t>DI DALAM</t>
        </is>
      </c>
      <c r="I467" t="inlineStr">
        <is>
          <t>MK00160</t>
        </is>
      </c>
      <c r="J467" t="inlineStr"/>
    </row>
    <row r="468">
      <c r="A468" t="inlineStr">
        <is>
          <t>27/05/2026</t>
        </is>
      </c>
      <c r="B468" t="inlineStr">
        <is>
          <t>528000099</t>
        </is>
      </c>
      <c r="C468" t="inlineStr">
        <is>
          <t>Siti Nurawaliah</t>
        </is>
      </c>
      <c r="D468" t="inlineStr">
        <is>
          <t>PROD</t>
        </is>
      </c>
      <c r="E468" t="inlineStr">
        <is>
          <t>Produksi Harian</t>
        </is>
      </c>
      <c r="F468" t="inlineStr">
        <is>
          <t>21:36:21</t>
        </is>
      </c>
      <c r="G468" t="inlineStr"/>
      <c r="H468" t="inlineStr">
        <is>
          <t>DI DALAM</t>
        </is>
      </c>
      <c r="I468" t="inlineStr">
        <is>
          <t>MK00184</t>
        </is>
      </c>
      <c r="J468" t="inlineStr"/>
    </row>
    <row r="469">
      <c r="A469" t="inlineStr">
        <is>
          <t>27/05/2026</t>
        </is>
      </c>
      <c r="B469" t="inlineStr">
        <is>
          <t>528000201</t>
        </is>
      </c>
      <c r="C469" t="inlineStr">
        <is>
          <t>Zahwa Amelia Choerunissa</t>
        </is>
      </c>
      <c r="D469" t="inlineStr">
        <is>
          <t>PROD</t>
        </is>
      </c>
      <c r="E469" t="inlineStr">
        <is>
          <t>Produksi Harian</t>
        </is>
      </c>
      <c r="F469" t="inlineStr">
        <is>
          <t>21:33:47</t>
        </is>
      </c>
      <c r="G469" t="inlineStr"/>
      <c r="H469" t="inlineStr">
        <is>
          <t>DI DALAM</t>
        </is>
      </c>
      <c r="I469" t="inlineStr">
        <is>
          <t>MK00156</t>
        </is>
      </c>
      <c r="J469" t="inlineStr"/>
    </row>
    <row r="470">
      <c r="A470" t="inlineStr">
        <is>
          <t>27/05/2026</t>
        </is>
      </c>
      <c r="B470" t="inlineStr">
        <is>
          <t>528000228</t>
        </is>
      </c>
      <c r="C470" t="inlineStr">
        <is>
          <t>Banyu Resmi Putri</t>
        </is>
      </c>
      <c r="D470" t="inlineStr">
        <is>
          <t>PROD</t>
        </is>
      </c>
      <c r="E470" t="inlineStr">
        <is>
          <t>Produksi Harian</t>
        </is>
      </c>
      <c r="F470" t="inlineStr">
        <is>
          <t>21:53:26</t>
        </is>
      </c>
      <c r="G470" t="inlineStr"/>
      <c r="H470" t="inlineStr">
        <is>
          <t>DI DALAM</t>
        </is>
      </c>
      <c r="I470" t="inlineStr">
        <is>
          <t>MK00118</t>
        </is>
      </c>
      <c r="J470" t="inlineStr"/>
    </row>
    <row r="471">
      <c r="A471" t="inlineStr">
        <is>
          <t>27/05/2026</t>
        </is>
      </c>
      <c r="B471" t="inlineStr">
        <is>
          <t>528000241</t>
        </is>
      </c>
      <c r="C471" t="inlineStr">
        <is>
          <t>Balia Nurafif Bilah</t>
        </is>
      </c>
      <c r="D471" t="inlineStr">
        <is>
          <t>PROD</t>
        </is>
      </c>
      <c r="E471" t="inlineStr">
        <is>
          <t>Produksi Harian</t>
        </is>
      </c>
      <c r="F471" t="inlineStr">
        <is>
          <t>21:57:52</t>
        </is>
      </c>
      <c r="G471" t="inlineStr"/>
      <c r="H471" t="inlineStr">
        <is>
          <t>DI DALAM</t>
        </is>
      </c>
      <c r="I471" t="inlineStr">
        <is>
          <t>MK00082</t>
        </is>
      </c>
      <c r="J471" t="inlineStr"/>
    </row>
    <row r="472">
      <c r="A472" t="inlineStr">
        <is>
          <t>27/05/2026</t>
        </is>
      </c>
      <c r="B472" t="inlineStr">
        <is>
          <t>528000244</t>
        </is>
      </c>
      <c r="C472" t="inlineStr">
        <is>
          <t>Rodian Rifai</t>
        </is>
      </c>
      <c r="D472" t="inlineStr">
        <is>
          <t>PROD</t>
        </is>
      </c>
      <c r="E472" t="inlineStr">
        <is>
          <t>Produksi Harian</t>
        </is>
      </c>
      <c r="F472" t="inlineStr">
        <is>
          <t>21:40:49</t>
        </is>
      </c>
      <c r="G472" t="inlineStr"/>
      <c r="H472" t="inlineStr">
        <is>
          <t>DI DALAM</t>
        </is>
      </c>
      <c r="I472" t="inlineStr">
        <is>
          <t>MK00116</t>
        </is>
      </c>
      <c r="J472" t="inlineStr">
        <is>
          <t>D-26</t>
        </is>
      </c>
    </row>
    <row r="473">
      <c r="A473" t="inlineStr">
        <is>
          <t>27/05/2026</t>
        </is>
      </c>
      <c r="B473" t="inlineStr">
        <is>
          <t>528000286</t>
        </is>
      </c>
      <c r="C473" t="inlineStr">
        <is>
          <t>Imelda Amelia</t>
        </is>
      </c>
      <c r="D473" t="inlineStr">
        <is>
          <t>PROD</t>
        </is>
      </c>
      <c r="E473" t="inlineStr">
        <is>
          <t>Produksi Harian</t>
        </is>
      </c>
      <c r="F473" t="inlineStr">
        <is>
          <t>21:48:02</t>
        </is>
      </c>
      <c r="G473" t="inlineStr"/>
      <c r="H473" t="inlineStr">
        <is>
          <t>DI DALAM</t>
        </is>
      </c>
      <c r="I473" t="inlineStr">
        <is>
          <t>MK00181</t>
        </is>
      </c>
      <c r="J473" t="inlineStr"/>
    </row>
    <row r="474">
      <c r="A474" t="inlineStr">
        <is>
          <t>28/05/2026</t>
        </is>
      </c>
      <c r="B474" t="inlineStr">
        <is>
          <t>528000016</t>
        </is>
      </c>
      <c r="C474" t="inlineStr">
        <is>
          <t>Randi Apriyanto</t>
        </is>
      </c>
      <c r="D474" t="inlineStr">
        <is>
          <t>LOG</t>
        </is>
      </c>
      <c r="E474" t="inlineStr">
        <is>
          <t>WRM Harian</t>
        </is>
      </c>
      <c r="F474" t="inlineStr">
        <is>
          <t>14:12:48</t>
        </is>
      </c>
      <c r="G474" t="inlineStr">
        <is>
          <t>14:16:43</t>
        </is>
      </c>
      <c r="H474" t="inlineStr">
        <is>
          <t>SELESAI</t>
        </is>
      </c>
      <c r="I474" t="inlineStr">
        <is>
          <t>MK00112</t>
        </is>
      </c>
      <c r="J474" t="inlineStr"/>
    </row>
    <row r="475">
      <c r="A475" t="inlineStr">
        <is>
          <t>28/05/2026</t>
        </is>
      </c>
      <c r="B475" t="inlineStr">
        <is>
          <t>528000052</t>
        </is>
      </c>
      <c r="C475" t="inlineStr">
        <is>
          <t>Mustopa</t>
        </is>
      </c>
      <c r="D475" t="inlineStr">
        <is>
          <t>PROD</t>
        </is>
      </c>
      <c r="E475" t="inlineStr">
        <is>
          <t>Produksi Harian</t>
        </is>
      </c>
      <c r="F475" t="inlineStr">
        <is>
          <t>14:38:08</t>
        </is>
      </c>
      <c r="G475" t="inlineStr">
        <is>
          <t>14:38:55</t>
        </is>
      </c>
      <c r="H475" t="inlineStr">
        <is>
          <t>SELESAI</t>
        </is>
      </c>
      <c r="I475" t="inlineStr">
        <is>
          <t>MK00126</t>
        </is>
      </c>
      <c r="J475" t="inlineStr"/>
    </row>
    <row r="476">
      <c r="A476" t="inlineStr">
        <is>
          <t>28/05/2026</t>
        </is>
      </c>
      <c r="B476" t="inlineStr">
        <is>
          <t>528000055</t>
        </is>
      </c>
      <c r="C476" t="inlineStr">
        <is>
          <t>Dika Prasetya</t>
        </is>
      </c>
      <c r="D476" t="inlineStr">
        <is>
          <t>LOG</t>
        </is>
      </c>
      <c r="E476" t="inlineStr">
        <is>
          <t>WRM Harian</t>
        </is>
      </c>
      <c r="F476" t="inlineStr">
        <is>
          <t>20:00:19</t>
        </is>
      </c>
      <c r="G476" t="inlineStr"/>
      <c r="H476" t="inlineStr">
        <is>
          <t>DI DALAM</t>
        </is>
      </c>
      <c r="I476" t="inlineStr">
        <is>
          <t>CK0093</t>
        </is>
      </c>
      <c r="J476" t="inlineStr"/>
    </row>
    <row r="477">
      <c r="A477" t="inlineStr">
        <is>
          <t>28/05/2026</t>
        </is>
      </c>
      <c r="B477" t="inlineStr">
        <is>
          <t>528000059</t>
        </is>
      </c>
      <c r="C477" t="inlineStr">
        <is>
          <t>N. Santika Dewi</t>
        </is>
      </c>
      <c r="D477" t="inlineStr">
        <is>
          <t>PROD</t>
        </is>
      </c>
      <c r="E477" t="inlineStr">
        <is>
          <t>Produksi Harian</t>
        </is>
      </c>
      <c r="F477" t="inlineStr">
        <is>
          <t>14:33:04</t>
        </is>
      </c>
      <c r="G477" t="inlineStr">
        <is>
          <t>14:35:12</t>
        </is>
      </c>
      <c r="H477" t="inlineStr">
        <is>
          <t>SELESAI</t>
        </is>
      </c>
      <c r="I477" t="inlineStr">
        <is>
          <t>MK00112</t>
        </is>
      </c>
      <c r="J477" t="inlineStr"/>
    </row>
    <row r="478">
      <c r="A478" t="inlineStr">
        <is>
          <t>28/05/2026</t>
        </is>
      </c>
      <c r="B478" t="inlineStr">
        <is>
          <t>528000090</t>
        </is>
      </c>
      <c r="C478" t="inlineStr">
        <is>
          <t>Suganda</t>
        </is>
      </c>
      <c r="D478" t="inlineStr">
        <is>
          <t>PROD</t>
        </is>
      </c>
      <c r="E478" t="inlineStr">
        <is>
          <t>Produksi Harian</t>
        </is>
      </c>
      <c r="F478" t="inlineStr">
        <is>
          <t>22:02:46</t>
        </is>
      </c>
      <c r="G478" t="inlineStr">
        <is>
          <t>06:04:20</t>
        </is>
      </c>
      <c r="H478" t="inlineStr">
        <is>
          <t>SELESAI</t>
        </is>
      </c>
      <c r="I478" t="inlineStr">
        <is>
          <t>MK00093</t>
        </is>
      </c>
      <c r="J478" t="inlineStr"/>
    </row>
    <row r="479">
      <c r="A479" t="inlineStr">
        <is>
          <t>28/05/2026</t>
        </is>
      </c>
      <c r="B479" t="inlineStr">
        <is>
          <t>528000212</t>
        </is>
      </c>
      <c r="C479" t="inlineStr">
        <is>
          <t>Rizal Fauzi</t>
        </is>
      </c>
      <c r="D479" t="inlineStr">
        <is>
          <t>PROD</t>
        </is>
      </c>
      <c r="E479" t="inlineStr">
        <is>
          <t>Produksi Harian</t>
        </is>
      </c>
      <c r="F479" t="inlineStr">
        <is>
          <t>22:00:04</t>
        </is>
      </c>
      <c r="G479" t="inlineStr">
        <is>
          <t>06:34:01</t>
        </is>
      </c>
      <c r="H479" t="inlineStr">
        <is>
          <t>SELESAI</t>
        </is>
      </c>
      <c r="I479" t="inlineStr">
        <is>
          <t>MK00155</t>
        </is>
      </c>
      <c r="J479" t="inlineStr"/>
    </row>
    <row r="480">
      <c r="A480" t="inlineStr">
        <is>
          <t>28/05/2026</t>
        </is>
      </c>
      <c r="B480" t="inlineStr">
        <is>
          <t>528000241</t>
        </is>
      </c>
      <c r="C480" t="inlineStr">
        <is>
          <t>Balia Nurafif Bilah</t>
        </is>
      </c>
      <c r="D480" t="inlineStr">
        <is>
          <t>PROD</t>
        </is>
      </c>
      <c r="E480" t="inlineStr">
        <is>
          <t>Produksi Harian</t>
        </is>
      </c>
      <c r="F480" t="inlineStr">
        <is>
          <t>21:48:48</t>
        </is>
      </c>
      <c r="G480" t="inlineStr">
        <is>
          <t>06:05:43</t>
        </is>
      </c>
      <c r="H480" t="inlineStr">
        <is>
          <t>SELESAI</t>
        </is>
      </c>
      <c r="I480" t="inlineStr">
        <is>
          <t>MK00141</t>
        </is>
      </c>
      <c r="J480" t="inlineStr"/>
    </row>
    <row r="481">
      <c r="A481" t="inlineStr">
        <is>
          <t>28/05/2026</t>
        </is>
      </c>
      <c r="B481" t="inlineStr">
        <is>
          <t>528000244</t>
        </is>
      </c>
      <c r="C481" t="inlineStr">
        <is>
          <t>Rodian Rifai</t>
        </is>
      </c>
      <c r="D481" t="inlineStr">
        <is>
          <t>PROD</t>
        </is>
      </c>
      <c r="E481" t="inlineStr">
        <is>
          <t>Produksi Harian</t>
        </is>
      </c>
      <c r="F481" t="inlineStr">
        <is>
          <t>21:31:03</t>
        </is>
      </c>
      <c r="G481" t="inlineStr">
        <is>
          <t>06:08:53</t>
        </is>
      </c>
      <c r="H481" t="inlineStr">
        <is>
          <t>SELESAI</t>
        </is>
      </c>
      <c r="I481" t="inlineStr">
        <is>
          <t>MK00158</t>
        </is>
      </c>
      <c r="J481" t="inlineStr"/>
    </row>
    <row r="482">
      <c r="A482" t="inlineStr">
        <is>
          <t>28/05/2026</t>
        </is>
      </c>
      <c r="B482" t="inlineStr">
        <is>
          <t>528000273</t>
        </is>
      </c>
      <c r="C482" t="inlineStr">
        <is>
          <t>Asep Mulyana</t>
        </is>
      </c>
      <c r="D482" t="inlineStr">
        <is>
          <t>PROD</t>
        </is>
      </c>
      <c r="E482" t="inlineStr">
        <is>
          <t>Produksi Harian</t>
        </is>
      </c>
      <c r="F482" t="inlineStr">
        <is>
          <t>22:06:52</t>
        </is>
      </c>
      <c r="G482" t="inlineStr">
        <is>
          <t>06:09:32</t>
        </is>
      </c>
      <c r="H482" t="inlineStr">
        <is>
          <t>SELESAI</t>
        </is>
      </c>
      <c r="I482" t="inlineStr">
        <is>
          <t>MK00138</t>
        </is>
      </c>
      <c r="J482" t="inlineStr"/>
    </row>
    <row r="483">
      <c r="A483" t="inlineStr">
        <is>
          <t>28/05/2026</t>
        </is>
      </c>
      <c r="B483" t="inlineStr">
        <is>
          <t>528000274</t>
        </is>
      </c>
      <c r="C483" t="inlineStr">
        <is>
          <t>Zepri</t>
        </is>
      </c>
      <c r="D483" t="inlineStr">
        <is>
          <t>PROD</t>
        </is>
      </c>
      <c r="E483" t="inlineStr">
        <is>
          <t>Produksi Harian</t>
        </is>
      </c>
      <c r="F483" t="inlineStr">
        <is>
          <t>22:02:23</t>
        </is>
      </c>
      <c r="G483" t="inlineStr">
        <is>
          <t>06:07:35</t>
        </is>
      </c>
      <c r="H483" t="inlineStr">
        <is>
          <t>SELESAI</t>
        </is>
      </c>
      <c r="I483" t="inlineStr">
        <is>
          <t>MK00136</t>
        </is>
      </c>
      <c r="J483" t="inlineStr"/>
    </row>
    <row r="484">
      <c r="A484" t="inlineStr">
        <is>
          <t>28/05/2026</t>
        </is>
      </c>
      <c r="B484" t="inlineStr">
        <is>
          <t>528000286</t>
        </is>
      </c>
      <c r="C484" t="inlineStr">
        <is>
          <t>Imelda Amelia</t>
        </is>
      </c>
      <c r="D484" t="inlineStr">
        <is>
          <t>PROD</t>
        </is>
      </c>
      <c r="E484" t="inlineStr">
        <is>
          <t>Produksi Harian</t>
        </is>
      </c>
      <c r="F484" t="inlineStr">
        <is>
          <t>21:39:37</t>
        </is>
      </c>
      <c r="G484" t="inlineStr"/>
      <c r="H484" t="inlineStr">
        <is>
          <t>DI DALAM</t>
        </is>
      </c>
      <c r="I484" t="inlineStr">
        <is>
          <t>MK00181</t>
        </is>
      </c>
      <c r="J484" t="inlineStr"/>
    </row>
    <row r="485">
      <c r="A485" t="inlineStr">
        <is>
          <t>28/05/2026</t>
        </is>
      </c>
      <c r="B485" t="inlineStr">
        <is>
          <t>528000290</t>
        </is>
      </c>
      <c r="C485" t="inlineStr">
        <is>
          <t>Eval Pranata</t>
        </is>
      </c>
      <c r="D485" t="inlineStr">
        <is>
          <t>PROD</t>
        </is>
      </c>
      <c r="E485" t="inlineStr">
        <is>
          <t>Produksi Harian</t>
        </is>
      </c>
      <c r="F485" t="inlineStr">
        <is>
          <t>22:00:34</t>
        </is>
      </c>
      <c r="G485" t="inlineStr">
        <is>
          <t>06:08:04</t>
        </is>
      </c>
      <c r="H485" t="inlineStr">
        <is>
          <t>SELESAI</t>
        </is>
      </c>
      <c r="I485" t="inlineStr">
        <is>
          <t>MK00085</t>
        </is>
      </c>
      <c r="J485" t="inlineStr"/>
    </row>
    <row r="486">
      <c r="A486" t="inlineStr">
        <is>
          <t>28/05/2026</t>
        </is>
      </c>
      <c r="B486" t="inlineStr">
        <is>
          <t>528000301</t>
        </is>
      </c>
      <c r="C486" t="inlineStr">
        <is>
          <t>Muhammad Mukti Ridwan</t>
        </is>
      </c>
      <c r="D486" t="inlineStr">
        <is>
          <t>PROD</t>
        </is>
      </c>
      <c r="E486" t="inlineStr">
        <is>
          <t>Produksi Harian</t>
        </is>
      </c>
      <c r="F486" t="inlineStr">
        <is>
          <t>21:31:38</t>
        </is>
      </c>
      <c r="G486" t="inlineStr"/>
      <c r="H486" t="inlineStr">
        <is>
          <t>DI DALAM</t>
        </is>
      </c>
      <c r="I486" t="inlineStr">
        <is>
          <t>MKZ0138</t>
        </is>
      </c>
      <c r="J486" t="inlineStr"/>
    </row>
    <row r="487">
      <c r="A487" t="inlineStr">
        <is>
          <t>29/05/2026</t>
        </is>
      </c>
      <c r="B487" t="inlineStr">
        <is>
          <t>528000015</t>
        </is>
      </c>
      <c r="C487" t="inlineStr">
        <is>
          <t>Erwin</t>
        </is>
      </c>
      <c r="D487" t="inlineStr">
        <is>
          <t>LOG</t>
        </is>
      </c>
      <c r="E487" t="inlineStr">
        <is>
          <t>WRM Harian</t>
        </is>
      </c>
      <c r="F487" t="inlineStr">
        <is>
          <t>06:04:26</t>
        </is>
      </c>
      <c r="G487" t="inlineStr"/>
      <c r="H487" t="inlineStr">
        <is>
          <t>DI DALAM</t>
        </is>
      </c>
      <c r="I487" t="inlineStr">
        <is>
          <t>MK00046</t>
        </is>
      </c>
      <c r="J487" t="inlineStr"/>
    </row>
    <row r="488">
      <c r="A488" t="inlineStr">
        <is>
          <t>29/05/2026</t>
        </is>
      </c>
      <c r="B488" t="inlineStr">
        <is>
          <t>528000052</t>
        </is>
      </c>
      <c r="C488" t="inlineStr">
        <is>
          <t>Mustopa</t>
        </is>
      </c>
      <c r="D488" t="inlineStr">
        <is>
          <t>PROD</t>
        </is>
      </c>
      <c r="E488" t="inlineStr">
        <is>
          <t>Produksi Harian</t>
        </is>
      </c>
      <c r="F488" t="inlineStr">
        <is>
          <t>22:14:28</t>
        </is>
      </c>
      <c r="G488" t="inlineStr"/>
      <c r="H488" t="inlineStr">
        <is>
          <t>DI DALAM</t>
        </is>
      </c>
      <c r="I488" t="inlineStr">
        <is>
          <t>MK00136</t>
        </is>
      </c>
      <c r="J488" t="inlineStr"/>
    </row>
    <row r="489">
      <c r="A489" t="inlineStr">
        <is>
          <t>29/05/2026</t>
        </is>
      </c>
      <c r="B489" t="inlineStr">
        <is>
          <t>528000089</t>
        </is>
      </c>
      <c r="C489" t="inlineStr">
        <is>
          <t>Santi Susanti</t>
        </is>
      </c>
      <c r="D489" t="inlineStr">
        <is>
          <t>PROD</t>
        </is>
      </c>
      <c r="E489" t="inlineStr">
        <is>
          <t>Produksi Harian</t>
        </is>
      </c>
      <c r="F489" t="inlineStr">
        <is>
          <t>14:12:12</t>
        </is>
      </c>
      <c r="G489" t="inlineStr"/>
      <c r="H489" t="inlineStr">
        <is>
          <t>DI DALAM</t>
        </is>
      </c>
      <c r="I489" t="inlineStr">
        <is>
          <t>628000061</t>
        </is>
      </c>
      <c r="J489" t="inlineStr"/>
    </row>
    <row r="490">
      <c r="A490" t="inlineStr">
        <is>
          <t>29/05/2026</t>
        </is>
      </c>
      <c r="B490" t="inlineStr">
        <is>
          <t>528000090</t>
        </is>
      </c>
      <c r="C490" t="inlineStr">
        <is>
          <t>Suganda</t>
        </is>
      </c>
      <c r="D490" t="inlineStr">
        <is>
          <t>PROD</t>
        </is>
      </c>
      <c r="E490" t="inlineStr">
        <is>
          <t>Produksi Harian</t>
        </is>
      </c>
      <c r="F490" t="inlineStr"/>
      <c r="G490" t="inlineStr">
        <is>
          <t>06:08:27</t>
        </is>
      </c>
      <c r="H490" t="inlineStr">
        <is>
          <t>KELUAR TANPA MASUK</t>
        </is>
      </c>
      <c r="I490" t="inlineStr">
        <is>
          <t>MK00250</t>
        </is>
      </c>
      <c r="J490" t="inlineStr"/>
    </row>
    <row r="491">
      <c r="A491" t="inlineStr">
        <is>
          <t>29/05/2026</t>
        </is>
      </c>
      <c r="B491" t="inlineStr">
        <is>
          <t>528000098</t>
        </is>
      </c>
      <c r="C491" t="inlineStr">
        <is>
          <t>Edi Junaedi</t>
        </is>
      </c>
      <c r="D491" t="inlineStr">
        <is>
          <t>PROD</t>
        </is>
      </c>
      <c r="E491" t="inlineStr">
        <is>
          <t>Produksi Harian</t>
        </is>
      </c>
      <c r="F491" t="inlineStr">
        <is>
          <t>05:25:38</t>
        </is>
      </c>
      <c r="G491" t="inlineStr">
        <is>
          <t>14:08:29</t>
        </is>
      </c>
      <c r="H491" t="inlineStr">
        <is>
          <t>SELESAI</t>
        </is>
      </c>
      <c r="I491" t="inlineStr">
        <is>
          <t>MK00141</t>
        </is>
      </c>
      <c r="J491" t="inlineStr">
        <is>
          <t>2F</t>
        </is>
      </c>
    </row>
    <row r="492">
      <c r="A492" t="inlineStr">
        <is>
          <t>29/05/2026</t>
        </is>
      </c>
      <c r="B492" t="inlineStr">
        <is>
          <t>528000144</t>
        </is>
      </c>
      <c r="C492" t="inlineStr">
        <is>
          <t>Jodi Hanafi</t>
        </is>
      </c>
      <c r="D492" t="inlineStr">
        <is>
          <t>LOG</t>
        </is>
      </c>
      <c r="E492" t="inlineStr">
        <is>
          <t>WRM Harian</t>
        </is>
      </c>
      <c r="F492" t="inlineStr">
        <is>
          <t>14:27:26</t>
        </is>
      </c>
      <c r="G492" t="inlineStr"/>
      <c r="H492" t="inlineStr">
        <is>
          <t>DI DALAM</t>
        </is>
      </c>
      <c r="I492" t="inlineStr">
        <is>
          <t>MK528000144</t>
        </is>
      </c>
      <c r="J492" t="inlineStr"/>
    </row>
    <row r="493">
      <c r="A493" t="inlineStr">
        <is>
          <t>29/05/2026</t>
        </is>
      </c>
      <c r="B493" t="inlineStr">
        <is>
          <t>528000212</t>
        </is>
      </c>
      <c r="C493" t="inlineStr">
        <is>
          <t>Rizal Fauzi</t>
        </is>
      </c>
      <c r="D493" t="inlineStr">
        <is>
          <t>PROD</t>
        </is>
      </c>
      <c r="E493" t="inlineStr">
        <is>
          <t>Produksi Harian</t>
        </is>
      </c>
      <c r="F493" t="inlineStr"/>
      <c r="G493" t="inlineStr">
        <is>
          <t>06:48:49</t>
        </is>
      </c>
      <c r="H493" t="inlineStr">
        <is>
          <t>KELUAR TANPA MASUK</t>
        </is>
      </c>
      <c r="I493" t="inlineStr">
        <is>
          <t>MK00150</t>
        </is>
      </c>
      <c r="J493" t="inlineStr"/>
    </row>
    <row r="494">
      <c r="A494" t="inlineStr">
        <is>
          <t>29/05/2026</t>
        </is>
      </c>
      <c r="B494" t="inlineStr">
        <is>
          <t>528000232</t>
        </is>
      </c>
      <c r="C494" t="inlineStr">
        <is>
          <t>Agung Aji Suhada</t>
        </is>
      </c>
      <c r="D494" t="inlineStr">
        <is>
          <t>LOG</t>
        </is>
      </c>
      <c r="E494" t="inlineStr">
        <is>
          <t>WRM Harian</t>
        </is>
      </c>
      <c r="F494" t="inlineStr">
        <is>
          <t>14:26:21</t>
        </is>
      </c>
      <c r="G494" t="inlineStr"/>
      <c r="H494" t="inlineStr">
        <is>
          <t>DI DALAM</t>
        </is>
      </c>
      <c r="I494" t="inlineStr">
        <is>
          <t>528000232</t>
        </is>
      </c>
      <c r="J494" t="inlineStr"/>
    </row>
    <row r="495">
      <c r="A495" t="inlineStr">
        <is>
          <t>29/05/2026</t>
        </is>
      </c>
      <c r="B495" t="inlineStr">
        <is>
          <t>528000241</t>
        </is>
      </c>
      <c r="C495" t="inlineStr">
        <is>
          <t>Balia Nurafif Bilah</t>
        </is>
      </c>
      <c r="D495" t="inlineStr">
        <is>
          <t>PROD</t>
        </is>
      </c>
      <c r="E495" t="inlineStr">
        <is>
          <t>Produksi Harian</t>
        </is>
      </c>
      <c r="F495" t="inlineStr"/>
      <c r="G495" t="inlineStr">
        <is>
          <t>06:05:26</t>
        </is>
      </c>
      <c r="H495" t="inlineStr">
        <is>
          <t>KELUAR TANPA MASUK</t>
        </is>
      </c>
      <c r="I495" t="inlineStr">
        <is>
          <t>MK00141</t>
        </is>
      </c>
      <c r="J495" t="inlineStr"/>
    </row>
    <row r="496">
      <c r="A496" t="inlineStr">
        <is>
          <t>29/05/2026</t>
        </is>
      </c>
      <c r="B496" t="inlineStr">
        <is>
          <t>528000244</t>
        </is>
      </c>
      <c r="C496" t="inlineStr">
        <is>
          <t>Rodian Rifai</t>
        </is>
      </c>
      <c r="D496" t="inlineStr">
        <is>
          <t>PROD</t>
        </is>
      </c>
      <c r="E496" t="inlineStr">
        <is>
          <t>Produksi Harian</t>
        </is>
      </c>
      <c r="F496" t="inlineStr"/>
      <c r="G496" t="inlineStr">
        <is>
          <t>06:10:23</t>
        </is>
      </c>
      <c r="H496" t="inlineStr">
        <is>
          <t>KELUAR TANPA MASUK</t>
        </is>
      </c>
      <c r="I496" t="inlineStr">
        <is>
          <t>MK00158</t>
        </is>
      </c>
      <c r="J496" t="inlineStr"/>
    </row>
    <row r="497">
      <c r="A497" t="inlineStr">
        <is>
          <t>29/05/2026</t>
        </is>
      </c>
      <c r="B497" t="inlineStr">
        <is>
          <t>528000261</t>
        </is>
      </c>
      <c r="C497" t="inlineStr">
        <is>
          <t>Ergi Ergianto</t>
        </is>
      </c>
      <c r="D497" t="inlineStr">
        <is>
          <t>HRGA</t>
        </is>
      </c>
      <c r="E497" t="inlineStr">
        <is>
          <t>GA Harian</t>
        </is>
      </c>
      <c r="F497" t="inlineStr">
        <is>
          <t>21:56:55</t>
        </is>
      </c>
      <c r="G497" t="inlineStr"/>
      <c r="H497" t="inlineStr">
        <is>
          <t>DI DALAM</t>
        </is>
      </c>
      <c r="I497" t="inlineStr">
        <is>
          <t>MK00138</t>
        </is>
      </c>
      <c r="J497" t="inlineStr"/>
    </row>
    <row r="498">
      <c r="A498" t="inlineStr">
        <is>
          <t>29/05/2026</t>
        </is>
      </c>
      <c r="B498" t="inlineStr">
        <is>
          <t>528000262</t>
        </is>
      </c>
      <c r="C498" t="inlineStr">
        <is>
          <t>Ndari Dwiwanti</t>
        </is>
      </c>
      <c r="D498" t="inlineStr">
        <is>
          <t>PROD</t>
        </is>
      </c>
      <c r="E498" t="inlineStr">
        <is>
          <t>Produksi Harian</t>
        </is>
      </c>
      <c r="F498" t="inlineStr">
        <is>
          <t>21:37:11</t>
        </is>
      </c>
      <c r="G498" t="inlineStr"/>
      <c r="H498" t="inlineStr">
        <is>
          <t>DI DALAM</t>
        </is>
      </c>
      <c r="I498" t="inlineStr">
        <is>
          <t>MK00126</t>
        </is>
      </c>
      <c r="J498" t="inlineStr"/>
    </row>
    <row r="499">
      <c r="A499" t="inlineStr">
        <is>
          <t>29/05/2026</t>
        </is>
      </c>
      <c r="B499" t="inlineStr">
        <is>
          <t>528000265</t>
        </is>
      </c>
      <c r="C499" t="inlineStr">
        <is>
          <t>Muhammad Haerul Rozikin</t>
        </is>
      </c>
      <c r="D499" t="inlineStr">
        <is>
          <t>LOG</t>
        </is>
      </c>
      <c r="E499" t="inlineStr">
        <is>
          <t>WRM Harian</t>
        </is>
      </c>
      <c r="F499" t="inlineStr">
        <is>
          <t>07:42:39</t>
        </is>
      </c>
      <c r="G499" t="inlineStr">
        <is>
          <t>13:07:26</t>
        </is>
      </c>
      <c r="H499" t="inlineStr">
        <is>
          <t>SELESAI</t>
        </is>
      </c>
      <c r="I499" t="inlineStr">
        <is>
          <t>MK00085</t>
        </is>
      </c>
      <c r="J499" t="inlineStr"/>
    </row>
    <row r="500">
      <c r="A500" t="inlineStr">
        <is>
          <t>29/05/2026</t>
        </is>
      </c>
      <c r="B500" t="inlineStr">
        <is>
          <t>528000266</t>
        </is>
      </c>
      <c r="C500" t="inlineStr">
        <is>
          <t>M. Syirajatieq</t>
        </is>
      </c>
      <c r="D500" t="inlineStr">
        <is>
          <t>LOG</t>
        </is>
      </c>
      <c r="E500" t="inlineStr">
        <is>
          <t>WFG Harian</t>
        </is>
      </c>
      <c r="F500" t="inlineStr">
        <is>
          <t>21:49:57</t>
        </is>
      </c>
      <c r="G500" t="inlineStr"/>
      <c r="H500" t="inlineStr">
        <is>
          <t>DI DALAM</t>
        </is>
      </c>
      <c r="I500" t="inlineStr">
        <is>
          <t>MK00055</t>
        </is>
      </c>
      <c r="J500" t="inlineStr"/>
    </row>
    <row r="501">
      <c r="A501" t="inlineStr">
        <is>
          <t>29/05/2026</t>
        </is>
      </c>
      <c r="B501" t="inlineStr">
        <is>
          <t>528000273</t>
        </is>
      </c>
      <c r="C501" t="inlineStr">
        <is>
          <t>Asep Mulyana</t>
        </is>
      </c>
      <c r="D501" t="inlineStr">
        <is>
          <t>PROD</t>
        </is>
      </c>
      <c r="E501" t="inlineStr">
        <is>
          <t>Produksi Harian</t>
        </is>
      </c>
      <c r="F501" t="inlineStr">
        <is>
          <t>15:55:07</t>
        </is>
      </c>
      <c r="G501" t="inlineStr">
        <is>
          <t>21:04:05</t>
        </is>
      </c>
      <c r="H501" t="inlineStr">
        <is>
          <t>SELESAI</t>
        </is>
      </c>
      <c r="I501" t="inlineStr">
        <is>
          <t>MK00093</t>
        </is>
      </c>
      <c r="J501" t="inlineStr"/>
    </row>
    <row r="502">
      <c r="A502" t="inlineStr">
        <is>
          <t>29/05/2026</t>
        </is>
      </c>
      <c r="B502" t="inlineStr">
        <is>
          <t>528000274</t>
        </is>
      </c>
      <c r="C502" t="inlineStr">
        <is>
          <t>Zepri</t>
        </is>
      </c>
      <c r="D502" t="inlineStr">
        <is>
          <t>PROD</t>
        </is>
      </c>
      <c r="E502" t="inlineStr">
        <is>
          <t>Produksi Harian</t>
        </is>
      </c>
      <c r="F502" t="inlineStr"/>
      <c r="G502" t="inlineStr">
        <is>
          <t>06:06:34</t>
        </is>
      </c>
      <c r="H502" t="inlineStr">
        <is>
          <t>KELUAR TANPA MASUK</t>
        </is>
      </c>
      <c r="I502" t="inlineStr">
        <is>
          <t>MK00145</t>
        </is>
      </c>
      <c r="J502" t="inlineStr"/>
    </row>
    <row r="503">
      <c r="A503" t="inlineStr">
        <is>
          <t>29/05/2026</t>
        </is>
      </c>
      <c r="B503" t="inlineStr">
        <is>
          <t>528000279</t>
        </is>
      </c>
      <c r="C503" t="inlineStr">
        <is>
          <t>Mahdalena Dalfa Riani</t>
        </is>
      </c>
      <c r="D503" t="inlineStr">
        <is>
          <t>PROD</t>
        </is>
      </c>
      <c r="E503" t="inlineStr">
        <is>
          <t>Produksi Harian</t>
        </is>
      </c>
      <c r="F503" t="inlineStr">
        <is>
          <t>13:59:07</t>
        </is>
      </c>
      <c r="G503" t="inlineStr">
        <is>
          <t>22:08:09</t>
        </is>
      </c>
      <c r="H503" t="inlineStr">
        <is>
          <t>SELESAI</t>
        </is>
      </c>
      <c r="I503" t="inlineStr">
        <is>
          <t>MK00085</t>
        </is>
      </c>
      <c r="J503" t="inlineStr"/>
    </row>
    <row r="504">
      <c r="A504" t="inlineStr">
        <is>
          <t>29/05/2026</t>
        </is>
      </c>
      <c r="B504" t="inlineStr">
        <is>
          <t>528000282</t>
        </is>
      </c>
      <c r="C504" t="inlineStr">
        <is>
          <t>Defa Desfiana</t>
        </is>
      </c>
      <c r="D504" t="inlineStr">
        <is>
          <t>PROD</t>
        </is>
      </c>
      <c r="E504" t="inlineStr">
        <is>
          <t>Produksi Harian</t>
        </is>
      </c>
      <c r="F504" t="inlineStr">
        <is>
          <t>07:39:10</t>
        </is>
      </c>
      <c r="G504" t="inlineStr">
        <is>
          <t>13:06:53</t>
        </is>
      </c>
      <c r="H504" t="inlineStr">
        <is>
          <t>SELESAI</t>
        </is>
      </c>
      <c r="I504" t="inlineStr">
        <is>
          <t>MK00155</t>
        </is>
      </c>
      <c r="J504" t="inlineStr">
        <is>
          <t>23C</t>
        </is>
      </c>
    </row>
    <row r="505">
      <c r="A505" t="inlineStr">
        <is>
          <t>29/05/2026</t>
        </is>
      </c>
      <c r="B505" t="inlineStr">
        <is>
          <t>528000283</t>
        </is>
      </c>
      <c r="C505" t="inlineStr">
        <is>
          <t>Purwanda Sugiri</t>
        </is>
      </c>
      <c r="D505" t="inlineStr">
        <is>
          <t>LOG</t>
        </is>
      </c>
      <c r="E505" t="inlineStr">
        <is>
          <t>WRM Harian</t>
        </is>
      </c>
      <c r="F505" t="inlineStr">
        <is>
          <t>21:36:01</t>
        </is>
      </c>
      <c r="G505" t="inlineStr"/>
      <c r="H505" t="inlineStr">
        <is>
          <t>DI DALAM</t>
        </is>
      </c>
      <c r="I505" t="inlineStr">
        <is>
          <t>528000283</t>
        </is>
      </c>
      <c r="J505" t="inlineStr">
        <is>
          <t>E-12</t>
        </is>
      </c>
    </row>
    <row r="506">
      <c r="A506" t="inlineStr">
        <is>
          <t>29/05/2026</t>
        </is>
      </c>
      <c r="B506" t="inlineStr">
        <is>
          <t>528000286</t>
        </is>
      </c>
      <c r="C506" t="inlineStr">
        <is>
          <t>Imelda Amelia</t>
        </is>
      </c>
      <c r="D506" t="inlineStr">
        <is>
          <t>PROD</t>
        </is>
      </c>
      <c r="E506" t="inlineStr">
        <is>
          <t>Produksi Harian</t>
        </is>
      </c>
      <c r="F506" t="inlineStr"/>
      <c r="G506" t="inlineStr">
        <is>
          <t>06:11:12</t>
        </is>
      </c>
      <c r="H506" t="inlineStr">
        <is>
          <t>KELUAR TANPA MASUK</t>
        </is>
      </c>
      <c r="I506" t="inlineStr">
        <is>
          <t>MK00181</t>
        </is>
      </c>
      <c r="J506" t="inlineStr"/>
    </row>
    <row r="507">
      <c r="A507" t="inlineStr">
        <is>
          <t>29/05/2026</t>
        </is>
      </c>
      <c r="B507" t="inlineStr">
        <is>
          <t>528000288</t>
        </is>
      </c>
      <c r="C507" t="inlineStr">
        <is>
          <t>Dede gunawan</t>
        </is>
      </c>
      <c r="D507" t="inlineStr">
        <is>
          <t>PROD</t>
        </is>
      </c>
      <c r="E507" t="inlineStr">
        <is>
          <t>Produksi Harian</t>
        </is>
      </c>
      <c r="F507" t="inlineStr">
        <is>
          <t>13:12:25</t>
        </is>
      </c>
      <c r="G507" t="inlineStr"/>
      <c r="H507" t="inlineStr">
        <is>
          <t>DI DALAM</t>
        </is>
      </c>
      <c r="I507" t="inlineStr">
        <is>
          <t>MK008I</t>
        </is>
      </c>
      <c r="J507" t="inlineStr"/>
    </row>
    <row r="508">
      <c r="A508" t="inlineStr">
        <is>
          <t>29/05/2026</t>
        </is>
      </c>
      <c r="B508" t="inlineStr">
        <is>
          <t>528000290</t>
        </is>
      </c>
      <c r="C508" t="inlineStr">
        <is>
          <t>Eval Pranata</t>
        </is>
      </c>
      <c r="D508" t="inlineStr">
        <is>
          <t>PROD</t>
        </is>
      </c>
      <c r="E508" t="inlineStr">
        <is>
          <t>Produksi Harian</t>
        </is>
      </c>
      <c r="F508" t="inlineStr">
        <is>
          <t>22:00:18</t>
        </is>
      </c>
      <c r="G508" t="inlineStr">
        <is>
          <t>06:07:00</t>
        </is>
      </c>
      <c r="H508" t="inlineStr">
        <is>
          <t>SELESAI</t>
        </is>
      </c>
      <c r="I508" t="inlineStr">
        <is>
          <t>MK00159</t>
        </is>
      </c>
      <c r="J508" t="inlineStr"/>
    </row>
    <row r="509">
      <c r="A509" t="inlineStr">
        <is>
          <t>29/05/2026</t>
        </is>
      </c>
      <c r="B509" t="inlineStr">
        <is>
          <t>528000291</t>
        </is>
      </c>
      <c r="C509" t="inlineStr">
        <is>
          <t>Andrian</t>
        </is>
      </c>
      <c r="D509" t="inlineStr">
        <is>
          <t>PROD</t>
        </is>
      </c>
      <c r="E509" t="inlineStr">
        <is>
          <t>Produksi Harian</t>
        </is>
      </c>
      <c r="F509" t="inlineStr">
        <is>
          <t>21:43:55</t>
        </is>
      </c>
      <c r="G509" t="inlineStr"/>
      <c r="H509" t="inlineStr">
        <is>
          <t>DI DALAM</t>
        </is>
      </c>
      <c r="I509" t="inlineStr">
        <is>
          <t>528000291</t>
        </is>
      </c>
      <c r="J509" t="inlineStr">
        <is>
          <t>E-14</t>
        </is>
      </c>
    </row>
    <row r="510">
      <c r="A510" t="inlineStr">
        <is>
          <t>29/05/2026</t>
        </is>
      </c>
      <c r="B510" t="inlineStr">
        <is>
          <t>528000296</t>
        </is>
      </c>
      <c r="C510" t="inlineStr">
        <is>
          <t>Nurdin</t>
        </is>
      </c>
      <c r="D510" t="inlineStr">
        <is>
          <t>PROD</t>
        </is>
      </c>
      <c r="E510" t="inlineStr">
        <is>
          <t>Produksi Harian</t>
        </is>
      </c>
      <c r="F510" t="inlineStr">
        <is>
          <t>22:28:55</t>
        </is>
      </c>
      <c r="G510" t="inlineStr"/>
      <c r="H510" t="inlineStr">
        <is>
          <t>DI DALAM</t>
        </is>
      </c>
      <c r="I510" t="inlineStr">
        <is>
          <t>528000296</t>
        </is>
      </c>
      <c r="J510" t="inlineStr">
        <is>
          <t>116</t>
        </is>
      </c>
    </row>
    <row r="511">
      <c r="A511" t="inlineStr">
        <is>
          <t>29/05/2026</t>
        </is>
      </c>
      <c r="B511" t="inlineStr">
        <is>
          <t>528000297</t>
        </is>
      </c>
      <c r="C511" t="inlineStr">
        <is>
          <t>Muhamad Budiana</t>
        </is>
      </c>
      <c r="D511" t="inlineStr">
        <is>
          <t>PROD</t>
        </is>
      </c>
      <c r="E511" t="inlineStr">
        <is>
          <t>Produksi Harian</t>
        </is>
      </c>
      <c r="F511" t="inlineStr">
        <is>
          <t>13:59:22</t>
        </is>
      </c>
      <c r="G511" t="inlineStr">
        <is>
          <t>22:08:46</t>
        </is>
      </c>
      <c r="H511" t="inlineStr">
        <is>
          <t>SELESAI</t>
        </is>
      </c>
      <c r="I511" t="inlineStr">
        <is>
          <t>MK00082</t>
        </is>
      </c>
      <c r="J511" t="inlineStr"/>
    </row>
    <row r="512">
      <c r="A512" t="inlineStr">
        <is>
          <t>29/05/2026</t>
        </is>
      </c>
      <c r="B512" t="inlineStr">
        <is>
          <t>528000299</t>
        </is>
      </c>
      <c r="C512" t="inlineStr">
        <is>
          <t>Siti Nurjanah</t>
        </is>
      </c>
      <c r="D512" t="inlineStr">
        <is>
          <t>PROD</t>
        </is>
      </c>
      <c r="E512" t="inlineStr">
        <is>
          <t>Produksi Harian</t>
        </is>
      </c>
      <c r="F512" t="inlineStr">
        <is>
          <t>05:46:56</t>
        </is>
      </c>
      <c r="G512" t="inlineStr">
        <is>
          <t>14:10:46</t>
        </is>
      </c>
      <c r="H512" t="inlineStr">
        <is>
          <t>SELESAI</t>
        </is>
      </c>
      <c r="I512" t="inlineStr">
        <is>
          <t>MK00158</t>
        </is>
      </c>
      <c r="J512" t="inlineStr"/>
    </row>
    <row r="513">
      <c r="A513" t="inlineStr">
        <is>
          <t>29/05/2026</t>
        </is>
      </c>
      <c r="B513" t="inlineStr">
        <is>
          <t>528000302</t>
        </is>
      </c>
      <c r="C513" t="inlineStr">
        <is>
          <t>Henkey gumilar</t>
        </is>
      </c>
      <c r="D513" t="inlineStr">
        <is>
          <t>PROD</t>
        </is>
      </c>
      <c r="E513" t="inlineStr">
        <is>
          <t>Produksi Harian</t>
        </is>
      </c>
      <c r="F513" t="inlineStr">
        <is>
          <t>05:57:54</t>
        </is>
      </c>
      <c r="G513" t="inlineStr">
        <is>
          <t>14:22:28</t>
        </is>
      </c>
      <c r="H513" t="inlineStr">
        <is>
          <t>SELESAI</t>
        </is>
      </c>
      <c r="I513" t="inlineStr">
        <is>
          <t>MK00145</t>
        </is>
      </c>
      <c r="J513" t="inlineStr"/>
    </row>
    <row r="514">
      <c r="A514" t="inlineStr">
        <is>
          <t>29/05/2026</t>
        </is>
      </c>
      <c r="B514" t="inlineStr">
        <is>
          <t>528000306</t>
        </is>
      </c>
      <c r="C514" t="inlineStr">
        <is>
          <t>Windy Olivia</t>
        </is>
      </c>
      <c r="D514" t="inlineStr">
        <is>
          <t>PROD</t>
        </is>
      </c>
      <c r="E514" t="inlineStr">
        <is>
          <t>Produksi Harian</t>
        </is>
      </c>
      <c r="F514" t="inlineStr">
        <is>
          <t>13:44:08</t>
        </is>
      </c>
      <c r="G514" t="inlineStr">
        <is>
          <t>22:08:15</t>
        </is>
      </c>
      <c r="H514" t="inlineStr">
        <is>
          <t>SELESAI</t>
        </is>
      </c>
      <c r="I514" t="inlineStr">
        <is>
          <t>MK00116</t>
        </is>
      </c>
      <c r="J514" t="inlineStr"/>
    </row>
    <row r="515">
      <c r="A515" t="inlineStr">
        <is>
          <t>29/05/2026</t>
        </is>
      </c>
      <c r="B515" t="inlineStr">
        <is>
          <t>528000351</t>
        </is>
      </c>
      <c r="C515" t="inlineStr">
        <is>
          <t>Mulyana</t>
        </is>
      </c>
      <c r="D515" t="inlineStr">
        <is>
          <t>PROD</t>
        </is>
      </c>
      <c r="E515" t="inlineStr">
        <is>
          <t>Produksi Harian</t>
        </is>
      </c>
      <c r="F515" t="inlineStr">
        <is>
          <t>08:05:26</t>
        </is>
      </c>
      <c r="G515" t="inlineStr">
        <is>
          <t>13:06:04</t>
        </is>
      </c>
      <c r="H515" t="inlineStr">
        <is>
          <t>SELESAI</t>
        </is>
      </c>
      <c r="I515" t="inlineStr">
        <is>
          <t>MK00136</t>
        </is>
      </c>
      <c r="J515" t="inlineStr"/>
    </row>
    <row r="516">
      <c r="A516" t="inlineStr">
        <is>
          <t>29/05/2026</t>
        </is>
      </c>
      <c r="B516" t="inlineStr">
        <is>
          <t>628000061</t>
        </is>
      </c>
      <c r="C516" t="inlineStr">
        <is>
          <t>Nayla Fadillah Exwantoro</t>
        </is>
      </c>
      <c r="D516" t="inlineStr">
        <is>
          <t>PROD</t>
        </is>
      </c>
      <c r="E516" t="inlineStr">
        <is>
          <t>Produksi Borongan</t>
        </is>
      </c>
      <c r="F516" t="inlineStr">
        <is>
          <t>05:33:38</t>
        </is>
      </c>
      <c r="G516" t="inlineStr">
        <is>
          <t>14:15:16</t>
        </is>
      </c>
      <c r="H516" t="inlineStr">
        <is>
          <t>SELESAI</t>
        </is>
      </c>
      <c r="I516" t="inlineStr">
        <is>
          <t>MK00151</t>
        </is>
      </c>
      <c r="J516" t="inlineStr"/>
    </row>
    <row r="517">
      <c r="A517" t="inlineStr">
        <is>
          <t>29/05/2026</t>
        </is>
      </c>
      <c r="B517" t="inlineStr">
        <is>
          <t>628000064</t>
        </is>
      </c>
      <c r="C517" t="inlineStr">
        <is>
          <t>Silva Alypia</t>
        </is>
      </c>
      <c r="D517" t="inlineStr">
        <is>
          <t>PROD</t>
        </is>
      </c>
      <c r="E517" t="inlineStr">
        <is>
          <t>Produksi Borongan</t>
        </is>
      </c>
      <c r="F517" t="inlineStr">
        <is>
          <t>13:54:30</t>
        </is>
      </c>
      <c r="G517" t="inlineStr">
        <is>
          <t>22:08:12</t>
        </is>
      </c>
      <c r="H517" t="inlineStr">
        <is>
          <t>SELESAI</t>
        </is>
      </c>
      <c r="I517" t="inlineStr">
        <is>
          <t>MK00155</t>
        </is>
      </c>
      <c r="J517" t="inlineStr"/>
    </row>
    <row r="518">
      <c r="A518" t="inlineStr">
        <is>
          <t>29/05/2026</t>
        </is>
      </c>
      <c r="B518" t="inlineStr">
        <is>
          <t>628000091</t>
        </is>
      </c>
      <c r="C518" t="inlineStr">
        <is>
          <t>Devita Handayani</t>
        </is>
      </c>
      <c r="D518" t="inlineStr">
        <is>
          <t>PROD</t>
        </is>
      </c>
      <c r="E518" t="inlineStr">
        <is>
          <t>Produksi Borongan</t>
        </is>
      </c>
      <c r="F518" t="inlineStr">
        <is>
          <t>05:59:51</t>
        </is>
      </c>
      <c r="G518" t="inlineStr">
        <is>
          <t>14:13:39</t>
        </is>
      </c>
      <c r="H518" t="inlineStr">
        <is>
          <t>SELESAI</t>
        </is>
      </c>
      <c r="I518" t="inlineStr">
        <is>
          <t>MK00150</t>
        </is>
      </c>
      <c r="J518" t="inlineStr"/>
    </row>
    <row r="519">
      <c r="A519" t="inlineStr">
        <is>
          <t>30/05/2026</t>
        </is>
      </c>
      <c r="B519" t="inlineStr">
        <is>
          <t>528000055</t>
        </is>
      </c>
      <c r="C519" t="inlineStr">
        <is>
          <t>Dika Prasetya</t>
        </is>
      </c>
      <c r="D519" t="inlineStr">
        <is>
          <t>LOG</t>
        </is>
      </c>
      <c r="E519" t="inlineStr">
        <is>
          <t>WRM Harian</t>
        </is>
      </c>
      <c r="F519" t="inlineStr"/>
      <c r="G519" t="inlineStr">
        <is>
          <t>00:42:10</t>
        </is>
      </c>
      <c r="H519" t="inlineStr">
        <is>
          <t>KELUAR TANPA MASUK</t>
        </is>
      </c>
      <c r="I519" t="inlineStr">
        <is>
          <t>MK00092</t>
        </is>
      </c>
      <c r="J519" t="inlineStr"/>
    </row>
    <row r="520">
      <c r="A520" t="inlineStr">
        <is>
          <t>30/05/2026</t>
        </is>
      </c>
      <c r="B520" t="inlineStr">
        <is>
          <t>528000063</t>
        </is>
      </c>
      <c r="C520" t="inlineStr">
        <is>
          <t>Muhamad Ripki Pebrian</t>
        </is>
      </c>
      <c r="D520" t="inlineStr">
        <is>
          <t>PROD</t>
        </is>
      </c>
      <c r="E520" t="inlineStr">
        <is>
          <t>Produksi Harian</t>
        </is>
      </c>
      <c r="F520" t="inlineStr">
        <is>
          <t>21:39:05</t>
        </is>
      </c>
      <c r="G520" t="inlineStr">
        <is>
          <t>06:02:28</t>
        </is>
      </c>
      <c r="H520" t="inlineStr">
        <is>
          <t>SELESAI</t>
        </is>
      </c>
      <c r="I520" t="inlineStr">
        <is>
          <t>MK00148</t>
        </is>
      </c>
      <c r="J520" t="inlineStr"/>
    </row>
    <row r="521">
      <c r="A521" t="inlineStr">
        <is>
          <t>30/05/2026</t>
        </is>
      </c>
      <c r="B521" t="inlineStr">
        <is>
          <t>528000098</t>
        </is>
      </c>
      <c r="C521" t="inlineStr">
        <is>
          <t>Edi Junaedi</t>
        </is>
      </c>
      <c r="D521" t="inlineStr">
        <is>
          <t>PROD</t>
        </is>
      </c>
      <c r="E521" t="inlineStr">
        <is>
          <t>Produksi Harian</t>
        </is>
      </c>
      <c r="F521" t="inlineStr">
        <is>
          <t>05:24:02</t>
        </is>
      </c>
      <c r="G521" t="inlineStr">
        <is>
          <t>14:07:05</t>
        </is>
      </c>
      <c r="H521" t="inlineStr">
        <is>
          <t>SELESAI</t>
        </is>
      </c>
      <c r="I521" t="inlineStr">
        <is>
          <t>MK00085</t>
        </is>
      </c>
      <c r="J521" t="inlineStr"/>
    </row>
    <row r="522">
      <c r="A522" t="inlineStr">
        <is>
          <t>30/05/2026</t>
        </is>
      </c>
      <c r="B522" t="inlineStr">
        <is>
          <t>528000232</t>
        </is>
      </c>
      <c r="C522" t="inlineStr">
        <is>
          <t>Agung Aji Suhada</t>
        </is>
      </c>
      <c r="D522" t="inlineStr">
        <is>
          <t>LOG</t>
        </is>
      </c>
      <c r="E522" t="inlineStr">
        <is>
          <t>WRM Harian</t>
        </is>
      </c>
      <c r="F522" t="inlineStr"/>
      <c r="G522" t="inlineStr">
        <is>
          <t>00:01:17</t>
        </is>
      </c>
      <c r="H522" t="inlineStr">
        <is>
          <t>KELUAR TANPA MASUK</t>
        </is>
      </c>
      <c r="I522" t="inlineStr">
        <is>
          <t>MK00109</t>
        </is>
      </c>
      <c r="J522" t="inlineStr"/>
    </row>
    <row r="523">
      <c r="A523" t="inlineStr">
        <is>
          <t>30/05/2026</t>
        </is>
      </c>
      <c r="B523" t="inlineStr">
        <is>
          <t>528000248</t>
        </is>
      </c>
      <c r="C523" t="inlineStr">
        <is>
          <t>Roka Jaya Salka Mulya</t>
        </is>
      </c>
      <c r="D523" t="inlineStr">
        <is>
          <t>PROD</t>
        </is>
      </c>
      <c r="E523" t="inlineStr">
        <is>
          <t>Produksi Harian</t>
        </is>
      </c>
      <c r="F523" t="inlineStr">
        <is>
          <t>21:49:35</t>
        </is>
      </c>
      <c r="G523" t="inlineStr">
        <is>
          <t>06:00:15</t>
        </is>
      </c>
      <c r="H523" t="inlineStr">
        <is>
          <t>SELESAI</t>
        </is>
      </c>
      <c r="I523" t="inlineStr">
        <is>
          <t>MK00112</t>
        </is>
      </c>
      <c r="J523" t="inlineStr"/>
    </row>
    <row r="524">
      <c r="A524" t="inlineStr">
        <is>
          <t>30/05/2026</t>
        </is>
      </c>
      <c r="B524" t="inlineStr">
        <is>
          <t>528000251</t>
        </is>
      </c>
      <c r="C524" t="inlineStr">
        <is>
          <t>Salya Nugraha</t>
        </is>
      </c>
      <c r="D524" t="inlineStr">
        <is>
          <t>PROD</t>
        </is>
      </c>
      <c r="E524" t="inlineStr">
        <is>
          <t>Produksi Harian</t>
        </is>
      </c>
      <c r="F524" t="inlineStr">
        <is>
          <t>05:48:14</t>
        </is>
      </c>
      <c r="G524" t="inlineStr">
        <is>
          <t>14:03:19</t>
        </is>
      </c>
      <c r="H524" t="inlineStr">
        <is>
          <t>SELESAI</t>
        </is>
      </c>
      <c r="I524" t="inlineStr">
        <is>
          <t>MK00126</t>
        </is>
      </c>
      <c r="J524" t="inlineStr"/>
    </row>
    <row r="525">
      <c r="A525" t="inlineStr">
        <is>
          <t>30/05/2026</t>
        </is>
      </c>
      <c r="B525" t="inlineStr">
        <is>
          <t>528000267</t>
        </is>
      </c>
      <c r="C525" t="inlineStr">
        <is>
          <t>Bagas Patulloh</t>
        </is>
      </c>
      <c r="D525" t="inlineStr">
        <is>
          <t>LOG</t>
        </is>
      </c>
      <c r="E525" t="inlineStr">
        <is>
          <t>WRM Harian</t>
        </is>
      </c>
      <c r="F525" t="inlineStr"/>
      <c r="G525" t="inlineStr">
        <is>
          <t>00:01:28</t>
        </is>
      </c>
      <c r="H525" t="inlineStr">
        <is>
          <t>KELUAR TANPA MASUK</t>
        </is>
      </c>
      <c r="I525" t="inlineStr">
        <is>
          <t>MK00136</t>
        </is>
      </c>
      <c r="J525" t="inlineStr"/>
    </row>
    <row r="526">
      <c r="A526" t="inlineStr">
        <is>
          <t>30/05/2026</t>
        </is>
      </c>
      <c r="B526" t="inlineStr">
        <is>
          <t>528000270</t>
        </is>
      </c>
      <c r="C526" t="inlineStr">
        <is>
          <t>Febri Najmudin</t>
        </is>
      </c>
      <c r="D526" t="inlineStr">
        <is>
          <t>LOG</t>
        </is>
      </c>
      <c r="E526" t="inlineStr">
        <is>
          <t>WRM Harian</t>
        </is>
      </c>
      <c r="F526" t="inlineStr">
        <is>
          <t>05:50:22</t>
        </is>
      </c>
      <c r="G526" t="inlineStr">
        <is>
          <t>14:05:38</t>
        </is>
      </c>
      <c r="H526" t="inlineStr">
        <is>
          <t>SELESAI</t>
        </is>
      </c>
      <c r="I526" t="inlineStr">
        <is>
          <t>MK00151</t>
        </is>
      </c>
      <c r="J526" t="inlineStr"/>
    </row>
    <row r="527">
      <c r="A527" t="inlineStr">
        <is>
          <t>30/05/2026</t>
        </is>
      </c>
      <c r="B527" t="inlineStr">
        <is>
          <t>528000273</t>
        </is>
      </c>
      <c r="C527" t="inlineStr">
        <is>
          <t>Asep Mulyana</t>
        </is>
      </c>
      <c r="D527" t="inlineStr">
        <is>
          <t>PROD</t>
        </is>
      </c>
      <c r="E527" t="inlineStr">
        <is>
          <t>Produksi Harian</t>
        </is>
      </c>
      <c r="F527" t="inlineStr"/>
      <c r="G527" t="inlineStr">
        <is>
          <t>00:42:54</t>
        </is>
      </c>
      <c r="H527" t="inlineStr">
        <is>
          <t>KELUAR TANPA MASUK</t>
        </is>
      </c>
      <c r="I527" t="inlineStr">
        <is>
          <t>MK00156</t>
        </is>
      </c>
      <c r="J527" t="inlineStr"/>
    </row>
    <row r="528">
      <c r="A528" t="inlineStr">
        <is>
          <t>30/05/2026</t>
        </is>
      </c>
      <c r="B528" t="inlineStr">
        <is>
          <t>528000279</t>
        </is>
      </c>
      <c r="C528" t="inlineStr">
        <is>
          <t>Mahdalena Dalfa Riani</t>
        </is>
      </c>
      <c r="D528" t="inlineStr">
        <is>
          <t>PROD</t>
        </is>
      </c>
      <c r="E528" t="inlineStr">
        <is>
          <t>Produksi Harian</t>
        </is>
      </c>
      <c r="F528" t="inlineStr">
        <is>
          <t>13:49:55</t>
        </is>
      </c>
      <c r="G528" t="inlineStr">
        <is>
          <t>06:01:11</t>
        </is>
      </c>
      <c r="H528" t="inlineStr">
        <is>
          <t>SELESAI</t>
        </is>
      </c>
      <c r="I528" t="inlineStr">
        <is>
          <t>MK00141</t>
        </is>
      </c>
      <c r="J528" t="inlineStr"/>
    </row>
    <row r="529">
      <c r="A529" t="inlineStr">
        <is>
          <t>30/05/2026</t>
        </is>
      </c>
      <c r="B529" t="inlineStr">
        <is>
          <t>528000288</t>
        </is>
      </c>
      <c r="C529" t="inlineStr">
        <is>
          <t>Dede gunawan</t>
        </is>
      </c>
      <c r="D529" t="inlineStr">
        <is>
          <t>PROD</t>
        </is>
      </c>
      <c r="E529" t="inlineStr">
        <is>
          <t>Produksi Harian</t>
        </is>
      </c>
      <c r="F529" t="inlineStr">
        <is>
          <t>21:46:30</t>
        </is>
      </c>
      <c r="G529" t="inlineStr"/>
      <c r="H529" t="inlineStr">
        <is>
          <t>DI DALAM</t>
        </is>
      </c>
      <c r="I529" t="inlineStr">
        <is>
          <t>MK00249</t>
        </is>
      </c>
      <c r="J529" t="inlineStr"/>
    </row>
    <row r="530">
      <c r="A530" t="inlineStr">
        <is>
          <t>30/05/2026</t>
        </is>
      </c>
      <c r="B530" t="inlineStr">
        <is>
          <t>528000297</t>
        </is>
      </c>
      <c r="C530" t="inlineStr">
        <is>
          <t>Muhamad Budiana</t>
        </is>
      </c>
      <c r="D530" t="inlineStr">
        <is>
          <t>PROD</t>
        </is>
      </c>
      <c r="E530" t="inlineStr">
        <is>
          <t>Produksi Harian</t>
        </is>
      </c>
      <c r="F530" t="inlineStr">
        <is>
          <t>13:46:05</t>
        </is>
      </c>
      <c r="G530" t="inlineStr">
        <is>
          <t>06:56:53</t>
        </is>
      </c>
      <c r="H530" t="inlineStr">
        <is>
          <t>SELESAI</t>
        </is>
      </c>
      <c r="I530" t="inlineStr">
        <is>
          <t>MK00150</t>
        </is>
      </c>
      <c r="J530" t="inlineStr"/>
    </row>
    <row r="531">
      <c r="A531" t="inlineStr">
        <is>
          <t>30/05/2026</t>
        </is>
      </c>
      <c r="B531" t="inlineStr">
        <is>
          <t>528000299</t>
        </is>
      </c>
      <c r="C531" t="inlineStr">
        <is>
          <t>Siti Nurjanah</t>
        </is>
      </c>
      <c r="D531" t="inlineStr">
        <is>
          <t>PROD</t>
        </is>
      </c>
      <c r="E531" t="inlineStr">
        <is>
          <t>Produksi Harian</t>
        </is>
      </c>
      <c r="F531" t="inlineStr">
        <is>
          <t>05:40:55</t>
        </is>
      </c>
      <c r="G531" t="inlineStr">
        <is>
          <t>14:04:49</t>
        </is>
      </c>
      <c r="H531" t="inlineStr">
        <is>
          <t>SELESAI</t>
        </is>
      </c>
      <c r="I531" t="inlineStr">
        <is>
          <t>MK00154</t>
        </is>
      </c>
      <c r="J531" t="inlineStr"/>
    </row>
    <row r="532">
      <c r="A532" t="inlineStr">
        <is>
          <t>30/05/2026</t>
        </is>
      </c>
      <c r="B532" t="inlineStr">
        <is>
          <t>528000300</t>
        </is>
      </c>
      <c r="C532" t="inlineStr">
        <is>
          <t>Lia pitaloka</t>
        </is>
      </c>
      <c r="D532" t="inlineStr">
        <is>
          <t>PROD</t>
        </is>
      </c>
      <c r="E532" t="inlineStr">
        <is>
          <t>Produksi Harian</t>
        </is>
      </c>
      <c r="F532" t="inlineStr">
        <is>
          <t>21:50:22</t>
        </is>
      </c>
      <c r="G532" t="inlineStr">
        <is>
          <t>06:02:53</t>
        </is>
      </c>
      <c r="H532" t="inlineStr">
        <is>
          <t>SELESAI</t>
        </is>
      </c>
      <c r="I532" t="inlineStr">
        <is>
          <t>MK00154</t>
        </is>
      </c>
      <c r="J532" t="inlineStr"/>
    </row>
    <row r="533">
      <c r="A533" t="inlineStr">
        <is>
          <t>30/05/2026</t>
        </is>
      </c>
      <c r="B533" t="inlineStr">
        <is>
          <t>528000302</t>
        </is>
      </c>
      <c r="C533" t="inlineStr">
        <is>
          <t>Henkey gumilar</t>
        </is>
      </c>
      <c r="D533" t="inlineStr">
        <is>
          <t>PROD</t>
        </is>
      </c>
      <c r="E533" t="inlineStr">
        <is>
          <t>Produksi Harian</t>
        </is>
      </c>
      <c r="F533" t="inlineStr">
        <is>
          <t>05:45:26</t>
        </is>
      </c>
      <c r="G533" t="inlineStr">
        <is>
          <t>14:09:06</t>
        </is>
      </c>
      <c r="H533" t="inlineStr">
        <is>
          <t>SELESAI</t>
        </is>
      </c>
      <c r="I533" t="inlineStr">
        <is>
          <t>MK00055</t>
        </is>
      </c>
      <c r="J533" t="inlineStr"/>
    </row>
    <row r="534">
      <c r="A534" t="inlineStr">
        <is>
          <t>30/05/2026</t>
        </is>
      </c>
      <c r="B534" t="inlineStr">
        <is>
          <t>528000306</t>
        </is>
      </c>
      <c r="C534" t="inlineStr">
        <is>
          <t>Windy Olivia</t>
        </is>
      </c>
      <c r="D534" t="inlineStr">
        <is>
          <t>PROD</t>
        </is>
      </c>
      <c r="E534" t="inlineStr">
        <is>
          <t>Produksi Harian</t>
        </is>
      </c>
      <c r="F534" t="inlineStr">
        <is>
          <t>21:38:15</t>
        </is>
      </c>
      <c r="G534" t="inlineStr"/>
      <c r="H534" t="inlineStr">
        <is>
          <t>DI DALAM</t>
        </is>
      </c>
      <c r="I534" t="inlineStr">
        <is>
          <t>MK00082</t>
        </is>
      </c>
      <c r="J534" t="inlineStr"/>
    </row>
    <row r="535">
      <c r="A535" t="inlineStr">
        <is>
          <t>30/05/2026</t>
        </is>
      </c>
      <c r="B535" t="inlineStr">
        <is>
          <t>528000354</t>
        </is>
      </c>
      <c r="C535" t="inlineStr">
        <is>
          <t>Dian Rosdianti</t>
        </is>
      </c>
      <c r="D535" t="inlineStr">
        <is>
          <t>PROD</t>
        </is>
      </c>
      <c r="E535" t="inlineStr">
        <is>
          <t>Produksi Harian</t>
        </is>
      </c>
      <c r="F535" t="inlineStr">
        <is>
          <t>06:32:46</t>
        </is>
      </c>
      <c r="G535" t="inlineStr">
        <is>
          <t>14:05:27</t>
        </is>
      </c>
      <c r="H535" t="inlineStr">
        <is>
          <t>SELESAI</t>
        </is>
      </c>
      <c r="I535" t="inlineStr">
        <is>
          <t>MK00145</t>
        </is>
      </c>
      <c r="J535" t="inlineStr"/>
    </row>
    <row r="536">
      <c r="A536" t="inlineStr">
        <is>
          <t>30/05/2026</t>
        </is>
      </c>
      <c r="B536" t="inlineStr">
        <is>
          <t>628000061</t>
        </is>
      </c>
      <c r="C536" t="inlineStr">
        <is>
          <t>Nayla Fadillah Exwantoro</t>
        </is>
      </c>
      <c r="D536" t="inlineStr">
        <is>
          <t>PROD</t>
        </is>
      </c>
      <c r="E536" t="inlineStr">
        <is>
          <t>Produksi Borongan</t>
        </is>
      </c>
      <c r="F536" t="inlineStr">
        <is>
          <t>05:31:25</t>
        </is>
      </c>
      <c r="G536" t="inlineStr"/>
      <c r="H536" t="inlineStr">
        <is>
          <t>DI DALAM</t>
        </is>
      </c>
      <c r="I536" t="inlineStr">
        <is>
          <t>MK00082</t>
        </is>
      </c>
      <c r="J536" t="inlineStr"/>
    </row>
    <row r="537">
      <c r="A537" t="inlineStr">
        <is>
          <t>30/05/2026</t>
        </is>
      </c>
      <c r="B537" t="inlineStr">
        <is>
          <t>628000064</t>
        </is>
      </c>
      <c r="C537" t="inlineStr">
        <is>
          <t>Silva Alypia</t>
        </is>
      </c>
      <c r="D537" t="inlineStr">
        <is>
          <t>PROD</t>
        </is>
      </c>
      <c r="E537" t="inlineStr">
        <is>
          <t>Produksi Borongan</t>
        </is>
      </c>
      <c r="F537" t="inlineStr">
        <is>
          <t>13:52:09</t>
        </is>
      </c>
      <c r="G537" t="inlineStr">
        <is>
          <t>06:02:56</t>
        </is>
      </c>
      <c r="H537" t="inlineStr">
        <is>
          <t>SELESAI</t>
        </is>
      </c>
      <c r="I537" t="inlineStr">
        <is>
          <t>MK0046</t>
        </is>
      </c>
      <c r="J537" t="inlineStr"/>
    </row>
    <row r="538">
      <c r="A538" t="inlineStr">
        <is>
          <t>31/05/2026</t>
        </is>
      </c>
      <c r="B538" t="inlineStr">
        <is>
          <t>528000015</t>
        </is>
      </c>
      <c r="C538" t="inlineStr">
        <is>
          <t>Erwin</t>
        </is>
      </c>
      <c r="D538" t="inlineStr">
        <is>
          <t>LOG</t>
        </is>
      </c>
      <c r="E538" t="inlineStr">
        <is>
          <t>WRM Harian</t>
        </is>
      </c>
      <c r="F538" t="inlineStr">
        <is>
          <t>07:52:06</t>
        </is>
      </c>
      <c r="G538" t="inlineStr">
        <is>
          <t>06:04:01</t>
        </is>
      </c>
      <c r="H538" t="inlineStr">
        <is>
          <t>SELESAI</t>
        </is>
      </c>
      <c r="I538" t="inlineStr">
        <is>
          <t>MK0088</t>
        </is>
      </c>
      <c r="J538" t="inlineStr"/>
    </row>
    <row r="539">
      <c r="A539" t="inlineStr">
        <is>
          <t>31/05/2026</t>
        </is>
      </c>
      <c r="B539" t="inlineStr">
        <is>
          <t>528000052</t>
        </is>
      </c>
      <c r="C539" t="inlineStr">
        <is>
          <t>Mustopa</t>
        </is>
      </c>
      <c r="D539" t="inlineStr">
        <is>
          <t>PROD</t>
        </is>
      </c>
      <c r="E539" t="inlineStr">
        <is>
          <t>Produksi Harian</t>
        </is>
      </c>
      <c r="F539" t="inlineStr">
        <is>
          <t>12:56:43</t>
        </is>
      </c>
      <c r="G539" t="inlineStr">
        <is>
          <t>22:04:15</t>
        </is>
      </c>
      <c r="H539" t="inlineStr">
        <is>
          <t>SELESAI</t>
        </is>
      </c>
      <c r="I539" t="inlineStr">
        <is>
          <t>MK00204</t>
        </is>
      </c>
      <c r="J539" t="inlineStr"/>
    </row>
    <row r="540">
      <c r="A540" t="inlineStr">
        <is>
          <t>31/05/2026</t>
        </is>
      </c>
      <c r="B540" t="inlineStr">
        <is>
          <t>528000063</t>
        </is>
      </c>
      <c r="C540" t="inlineStr">
        <is>
          <t>Muhamad Ripki Pebrian</t>
        </is>
      </c>
      <c r="D540" t="inlineStr">
        <is>
          <t>PROD</t>
        </is>
      </c>
      <c r="E540" t="inlineStr">
        <is>
          <t>Produksi Harian</t>
        </is>
      </c>
      <c r="F540" t="inlineStr">
        <is>
          <t>21:57:40</t>
        </is>
      </c>
      <c r="G540" t="inlineStr">
        <is>
          <t>06:02:10</t>
        </is>
      </c>
      <c r="H540" t="inlineStr">
        <is>
          <t>SELESAI</t>
        </is>
      </c>
      <c r="I540" t="inlineStr">
        <is>
          <t>MK00136</t>
        </is>
      </c>
      <c r="J540" t="inlineStr"/>
    </row>
    <row r="541">
      <c r="A541" t="inlineStr">
        <is>
          <t>31/05/2026</t>
        </is>
      </c>
      <c r="B541" t="inlineStr">
        <is>
          <t>528000090</t>
        </is>
      </c>
      <c r="C541" t="inlineStr">
        <is>
          <t>Suganda</t>
        </is>
      </c>
      <c r="D541" t="inlineStr">
        <is>
          <t>PROD</t>
        </is>
      </c>
      <c r="E541" t="inlineStr">
        <is>
          <t>Produksi Harian</t>
        </is>
      </c>
      <c r="F541" t="inlineStr">
        <is>
          <t>06:00:33</t>
        </is>
      </c>
      <c r="G541" t="inlineStr">
        <is>
          <t>14:04:53</t>
        </is>
      </c>
      <c r="H541" t="inlineStr">
        <is>
          <t>SELESAI</t>
        </is>
      </c>
      <c r="I541" t="inlineStr">
        <is>
          <t>MK00212</t>
        </is>
      </c>
      <c r="J541" t="inlineStr"/>
    </row>
    <row r="542">
      <c r="A542" t="inlineStr">
        <is>
          <t>31/05/2026</t>
        </is>
      </c>
      <c r="B542" t="inlineStr">
        <is>
          <t>528000099</t>
        </is>
      </c>
      <c r="C542" t="inlineStr">
        <is>
          <t>Siti Nurawaliah</t>
        </is>
      </c>
      <c r="D542" t="inlineStr">
        <is>
          <t>PROD</t>
        </is>
      </c>
      <c r="E542" t="inlineStr">
        <is>
          <t>Produksi Harian</t>
        </is>
      </c>
      <c r="F542" t="inlineStr">
        <is>
          <t>05:48:42</t>
        </is>
      </c>
      <c r="G542" t="inlineStr">
        <is>
          <t>14:05:43</t>
        </is>
      </c>
      <c r="H542" t="inlineStr">
        <is>
          <t>SELESAI</t>
        </is>
      </c>
      <c r="I542" t="inlineStr">
        <is>
          <t>MK00136</t>
        </is>
      </c>
      <c r="J542" t="inlineStr"/>
    </row>
    <row r="543">
      <c r="A543" t="inlineStr">
        <is>
          <t>31/05/2026</t>
        </is>
      </c>
      <c r="B543" t="inlineStr">
        <is>
          <t>528000132</t>
        </is>
      </c>
      <c r="C543" t="inlineStr">
        <is>
          <t>Giopani</t>
        </is>
      </c>
      <c r="D543" t="inlineStr">
        <is>
          <t>LOG</t>
        </is>
      </c>
      <c r="E543" t="inlineStr">
        <is>
          <t>WRM Harian</t>
        </is>
      </c>
      <c r="F543" t="inlineStr">
        <is>
          <t>08:47:47</t>
        </is>
      </c>
      <c r="G543" t="inlineStr">
        <is>
          <t>08:47:25</t>
        </is>
      </c>
      <c r="H543" t="inlineStr">
        <is>
          <t>SELESAI</t>
        </is>
      </c>
      <c r="I543" t="inlineStr">
        <is>
          <t>MK00228</t>
        </is>
      </c>
      <c r="J543" t="inlineStr"/>
    </row>
    <row r="544">
      <c r="A544" t="inlineStr">
        <is>
          <t>31/05/2026</t>
        </is>
      </c>
      <c r="B544" t="inlineStr">
        <is>
          <t>528000144</t>
        </is>
      </c>
      <c r="C544" t="inlineStr">
        <is>
          <t>Jodi Hanafi</t>
        </is>
      </c>
      <c r="D544" t="inlineStr">
        <is>
          <t>LOG</t>
        </is>
      </c>
      <c r="E544" t="inlineStr">
        <is>
          <t>WRM Harian</t>
        </is>
      </c>
      <c r="F544" t="inlineStr">
        <is>
          <t>07:59:12</t>
        </is>
      </c>
      <c r="G544" t="inlineStr">
        <is>
          <t>16:16:10</t>
        </is>
      </c>
      <c r="H544" t="inlineStr">
        <is>
          <t>SELESAI</t>
        </is>
      </c>
      <c r="I544" t="inlineStr">
        <is>
          <t>MK00082</t>
        </is>
      </c>
      <c r="J544" t="inlineStr"/>
    </row>
    <row r="545">
      <c r="A545" t="inlineStr">
        <is>
          <t>31/05/2026</t>
        </is>
      </c>
      <c r="B545" t="inlineStr">
        <is>
          <t>528000195</t>
        </is>
      </c>
      <c r="C545" t="inlineStr">
        <is>
          <t>Rahma Sariwati</t>
        </is>
      </c>
      <c r="D545" t="inlineStr">
        <is>
          <t>PROD</t>
        </is>
      </c>
      <c r="E545" t="inlineStr">
        <is>
          <t>Produksi Harian</t>
        </is>
      </c>
      <c r="F545" t="inlineStr">
        <is>
          <t>13:40:06</t>
        </is>
      </c>
      <c r="G545" t="inlineStr">
        <is>
          <t>22:04:54</t>
        </is>
      </c>
      <c r="H545" t="inlineStr">
        <is>
          <t>SELESAI</t>
        </is>
      </c>
      <c r="I545" t="inlineStr">
        <is>
          <t>MK00221</t>
        </is>
      </c>
      <c r="J545" t="inlineStr"/>
    </row>
    <row r="546">
      <c r="A546" t="inlineStr">
        <is>
          <t>31/05/2026</t>
        </is>
      </c>
      <c r="B546" t="inlineStr">
        <is>
          <t>528000201</t>
        </is>
      </c>
      <c r="C546" t="inlineStr">
        <is>
          <t>Zahwa Amelia Choerunissa</t>
        </is>
      </c>
      <c r="D546" t="inlineStr">
        <is>
          <t>PROD</t>
        </is>
      </c>
      <c r="E546" t="inlineStr">
        <is>
          <t>Produksi Harian</t>
        </is>
      </c>
      <c r="F546" t="inlineStr">
        <is>
          <t>05:48:14</t>
        </is>
      </c>
      <c r="G546" t="inlineStr">
        <is>
          <t>14:05:14</t>
        </is>
      </c>
      <c r="H546" t="inlineStr">
        <is>
          <t>SELESAI</t>
        </is>
      </c>
      <c r="I546" t="inlineStr">
        <is>
          <t>MK00109</t>
        </is>
      </c>
      <c r="J546" t="inlineStr"/>
    </row>
    <row r="547">
      <c r="A547" t="inlineStr">
        <is>
          <t>31/05/2026</t>
        </is>
      </c>
      <c r="B547" t="inlineStr">
        <is>
          <t>528000212</t>
        </is>
      </c>
      <c r="C547" t="inlineStr">
        <is>
          <t>Rizal Fauzi</t>
        </is>
      </c>
      <c r="D547" t="inlineStr">
        <is>
          <t>PROD</t>
        </is>
      </c>
      <c r="E547" t="inlineStr">
        <is>
          <t>Produksi Harian</t>
        </is>
      </c>
      <c r="F547" t="inlineStr">
        <is>
          <t>06:01:20</t>
        </is>
      </c>
      <c r="G547" t="inlineStr">
        <is>
          <t>14:06:11</t>
        </is>
      </c>
      <c r="H547" t="inlineStr">
        <is>
          <t>SELESAI</t>
        </is>
      </c>
      <c r="I547" t="inlineStr">
        <is>
          <t>MK0134</t>
        </is>
      </c>
      <c r="J547" t="inlineStr"/>
    </row>
    <row r="548">
      <c r="A548" t="inlineStr">
        <is>
          <t>31/05/2026</t>
        </is>
      </c>
      <c r="B548" t="inlineStr">
        <is>
          <t>528000228</t>
        </is>
      </c>
      <c r="C548" t="inlineStr">
        <is>
          <t>Banyu Resmi Putri</t>
        </is>
      </c>
      <c r="D548" t="inlineStr">
        <is>
          <t>PROD</t>
        </is>
      </c>
      <c r="E548" t="inlineStr">
        <is>
          <t>Produksi Harian</t>
        </is>
      </c>
      <c r="F548" t="inlineStr">
        <is>
          <t>05:54:26</t>
        </is>
      </c>
      <c r="G548" t="inlineStr">
        <is>
          <t>14:06:18</t>
        </is>
      </c>
      <c r="H548" t="inlineStr">
        <is>
          <t>SELESAI</t>
        </is>
      </c>
      <c r="I548" t="inlineStr">
        <is>
          <t>MK00158</t>
        </is>
      </c>
      <c r="J548" t="inlineStr"/>
    </row>
    <row r="549">
      <c r="A549" t="inlineStr">
        <is>
          <t>31/05/2026</t>
        </is>
      </c>
      <c r="B549" t="inlineStr">
        <is>
          <t>528000232</t>
        </is>
      </c>
      <c r="C549" t="inlineStr">
        <is>
          <t>Agung Aji Suhada</t>
        </is>
      </c>
      <c r="D549" t="inlineStr">
        <is>
          <t>LOG</t>
        </is>
      </c>
      <c r="E549" t="inlineStr">
        <is>
          <t>WRM Harian</t>
        </is>
      </c>
      <c r="F549" t="inlineStr">
        <is>
          <t>15:57:06</t>
        </is>
      </c>
      <c r="G549" t="inlineStr">
        <is>
          <t>00:01:10</t>
        </is>
      </c>
      <c r="H549" t="inlineStr">
        <is>
          <t>SELESAI</t>
        </is>
      </c>
      <c r="I549" t="inlineStr">
        <is>
          <t>MK00250</t>
        </is>
      </c>
      <c r="J549" t="inlineStr"/>
    </row>
    <row r="550">
      <c r="A550" t="inlineStr">
        <is>
          <t>31/05/2026</t>
        </is>
      </c>
      <c r="B550" t="inlineStr">
        <is>
          <t>528000241</t>
        </is>
      </c>
      <c r="C550" t="inlineStr">
        <is>
          <t>Balia Nurafif Bilah</t>
        </is>
      </c>
      <c r="D550" t="inlineStr">
        <is>
          <t>PROD</t>
        </is>
      </c>
      <c r="E550" t="inlineStr">
        <is>
          <t>Produksi Harian</t>
        </is>
      </c>
      <c r="F550" t="inlineStr">
        <is>
          <t>05:54:20</t>
        </is>
      </c>
      <c r="G550" t="inlineStr">
        <is>
          <t>14:07:03</t>
        </is>
      </c>
      <c r="H550" t="inlineStr">
        <is>
          <t>SELESAI</t>
        </is>
      </c>
      <c r="I550" t="inlineStr">
        <is>
          <t>MHZZ145</t>
        </is>
      </c>
      <c r="J550" t="inlineStr"/>
    </row>
    <row r="551">
      <c r="A551" t="inlineStr">
        <is>
          <t>31/05/2026</t>
        </is>
      </c>
      <c r="B551" t="inlineStr">
        <is>
          <t>528000244</t>
        </is>
      </c>
      <c r="C551" t="inlineStr">
        <is>
          <t>Rodian Rifai</t>
        </is>
      </c>
      <c r="D551" t="inlineStr">
        <is>
          <t>PROD</t>
        </is>
      </c>
      <c r="E551" t="inlineStr">
        <is>
          <t>Produksi Harian</t>
        </is>
      </c>
      <c r="F551" t="inlineStr">
        <is>
          <t>05:49:23</t>
        </is>
      </c>
      <c r="G551" t="inlineStr">
        <is>
          <t>14:04:46</t>
        </is>
      </c>
      <c r="H551" t="inlineStr">
        <is>
          <t>SELESAI</t>
        </is>
      </c>
      <c r="I551" t="inlineStr">
        <is>
          <t>MK00154</t>
        </is>
      </c>
      <c r="J551" t="inlineStr"/>
    </row>
    <row r="552">
      <c r="A552" t="inlineStr">
        <is>
          <t>31/05/2026</t>
        </is>
      </c>
      <c r="B552" t="inlineStr">
        <is>
          <t>528000248</t>
        </is>
      </c>
      <c r="C552" t="inlineStr">
        <is>
          <t>Roka Jaya Salka Mulya</t>
        </is>
      </c>
      <c r="D552" t="inlineStr">
        <is>
          <t>PROD</t>
        </is>
      </c>
      <c r="E552" t="inlineStr">
        <is>
          <t>Produksi Harian</t>
        </is>
      </c>
      <c r="F552" t="inlineStr">
        <is>
          <t>21:49:02</t>
        </is>
      </c>
      <c r="G552" t="inlineStr">
        <is>
          <t>06:01:20</t>
        </is>
      </c>
      <c r="H552" t="inlineStr">
        <is>
          <t>SELESAI</t>
        </is>
      </c>
      <c r="I552" t="inlineStr">
        <is>
          <t>90</t>
        </is>
      </c>
      <c r="J552" t="inlineStr"/>
    </row>
    <row r="553">
      <c r="A553" t="inlineStr">
        <is>
          <t>31/05/2026</t>
        </is>
      </c>
      <c r="B553" t="inlineStr">
        <is>
          <t>528000261</t>
        </is>
      </c>
      <c r="C553" t="inlineStr">
        <is>
          <t>Ergi Ergianto</t>
        </is>
      </c>
      <c r="D553" t="inlineStr">
        <is>
          <t>HRGA</t>
        </is>
      </c>
      <c r="E553" t="inlineStr">
        <is>
          <t>GA Harian</t>
        </is>
      </c>
      <c r="F553" t="inlineStr">
        <is>
          <t>13:45:33</t>
        </is>
      </c>
      <c r="G553" t="inlineStr">
        <is>
          <t>22:02:51</t>
        </is>
      </c>
      <c r="H553" t="inlineStr">
        <is>
          <t>SELESAI</t>
        </is>
      </c>
      <c r="I553" t="inlineStr">
        <is>
          <t>MK00181</t>
        </is>
      </c>
      <c r="J553" t="inlineStr"/>
    </row>
    <row r="554">
      <c r="A554" t="inlineStr">
        <is>
          <t>31/05/2026</t>
        </is>
      </c>
      <c r="B554" t="inlineStr">
        <is>
          <t>528000262</t>
        </is>
      </c>
      <c r="C554" t="inlineStr">
        <is>
          <t>Ndari Dwiwanti</t>
        </is>
      </c>
      <c r="D554" t="inlineStr">
        <is>
          <t>PROD</t>
        </is>
      </c>
      <c r="E554" t="inlineStr">
        <is>
          <t>Produksi Harian</t>
        </is>
      </c>
      <c r="F554" t="inlineStr">
        <is>
          <t>13:33:16</t>
        </is>
      </c>
      <c r="G554" t="inlineStr">
        <is>
          <t>22:02:33</t>
        </is>
      </c>
      <c r="H554" t="inlineStr">
        <is>
          <t>SELESAI</t>
        </is>
      </c>
      <c r="I554" t="inlineStr">
        <is>
          <t>MK00113</t>
        </is>
      </c>
      <c r="J554" t="inlineStr"/>
    </row>
    <row r="555">
      <c r="A555" t="inlineStr">
        <is>
          <t>31/05/2026</t>
        </is>
      </c>
      <c r="B555" t="inlineStr">
        <is>
          <t>528000265</t>
        </is>
      </c>
      <c r="C555" t="inlineStr">
        <is>
          <t>Muhammad Haerul Rozikin</t>
        </is>
      </c>
      <c r="D555" t="inlineStr">
        <is>
          <t>LOG</t>
        </is>
      </c>
      <c r="E555" t="inlineStr">
        <is>
          <t>WRM Harian</t>
        </is>
      </c>
      <c r="F555" t="inlineStr">
        <is>
          <t>07:46:38</t>
        </is>
      </c>
      <c r="G555" t="inlineStr">
        <is>
          <t>16:03:42</t>
        </is>
      </c>
      <c r="H555" t="inlineStr">
        <is>
          <t>SELESAI</t>
        </is>
      </c>
      <c r="I555" t="inlineStr">
        <is>
          <t>MK00235</t>
        </is>
      </c>
      <c r="J555" t="inlineStr"/>
    </row>
    <row r="556">
      <c r="A556" t="inlineStr">
        <is>
          <t>31/05/2026</t>
        </is>
      </c>
      <c r="B556" t="inlineStr">
        <is>
          <t>528000266</t>
        </is>
      </c>
      <c r="C556" t="inlineStr">
        <is>
          <t>M. Syirajatieq</t>
        </is>
      </c>
      <c r="D556" t="inlineStr">
        <is>
          <t>LOG</t>
        </is>
      </c>
      <c r="E556" t="inlineStr">
        <is>
          <t>WFG Harian</t>
        </is>
      </c>
      <c r="F556" t="inlineStr">
        <is>
          <t>13:42:47</t>
        </is>
      </c>
      <c r="G556" t="inlineStr">
        <is>
          <t>22:12:20</t>
        </is>
      </c>
      <c r="H556" t="inlineStr">
        <is>
          <t>SELESAI</t>
        </is>
      </c>
      <c r="I556" t="inlineStr">
        <is>
          <t>MK00116</t>
        </is>
      </c>
      <c r="J556" t="inlineStr"/>
    </row>
    <row r="557">
      <c r="A557" t="inlineStr">
        <is>
          <t>31/05/2026</t>
        </is>
      </c>
      <c r="B557" t="inlineStr">
        <is>
          <t>528000267</t>
        </is>
      </c>
      <c r="C557" t="inlineStr">
        <is>
          <t>Bagas Patulloh</t>
        </is>
      </c>
      <c r="D557" t="inlineStr">
        <is>
          <t>LOG</t>
        </is>
      </c>
      <c r="E557" t="inlineStr">
        <is>
          <t>WRM Harian</t>
        </is>
      </c>
      <c r="F557" t="inlineStr">
        <is>
          <t>16:09:21</t>
        </is>
      </c>
      <c r="G557" t="inlineStr">
        <is>
          <t>00:00:23</t>
        </is>
      </c>
      <c r="H557" t="inlineStr">
        <is>
          <t>SELESAI</t>
        </is>
      </c>
      <c r="I557" t="inlineStr">
        <is>
          <t>MK00230</t>
        </is>
      </c>
      <c r="J557" t="inlineStr"/>
    </row>
    <row r="558">
      <c r="A558" t="inlineStr">
        <is>
          <t>31/05/2026</t>
        </is>
      </c>
      <c r="B558" t="inlineStr">
        <is>
          <t>528000273</t>
        </is>
      </c>
      <c r="C558" t="inlineStr">
        <is>
          <t>Asep Mulyana</t>
        </is>
      </c>
      <c r="D558" t="inlineStr">
        <is>
          <t>PROD</t>
        </is>
      </c>
      <c r="E558" t="inlineStr">
        <is>
          <t>Produksi Harian</t>
        </is>
      </c>
      <c r="F558" t="inlineStr">
        <is>
          <t>15:36:37</t>
        </is>
      </c>
      <c r="G558" t="inlineStr"/>
      <c r="H558" t="inlineStr">
        <is>
          <t>DI DALAM</t>
        </is>
      </c>
      <c r="I558" t="inlineStr">
        <is>
          <t>MK00276</t>
        </is>
      </c>
      <c r="J558" t="inlineStr"/>
    </row>
    <row r="559">
      <c r="A559" t="inlineStr">
        <is>
          <t>31/05/2026</t>
        </is>
      </c>
      <c r="B559" t="inlineStr">
        <is>
          <t>528000274</t>
        </is>
      </c>
      <c r="C559" t="inlineStr">
        <is>
          <t>Zepri</t>
        </is>
      </c>
      <c r="D559" t="inlineStr">
        <is>
          <t>PROD</t>
        </is>
      </c>
      <c r="E559" t="inlineStr">
        <is>
          <t>Produksi Harian</t>
        </is>
      </c>
      <c r="F559" t="inlineStr">
        <is>
          <t>05:55:14</t>
        </is>
      </c>
      <c r="G559" t="inlineStr">
        <is>
          <t>14:04:50</t>
        </is>
      </c>
      <c r="H559" t="inlineStr">
        <is>
          <t>SELESAI</t>
        </is>
      </c>
      <c r="I559" t="inlineStr">
        <is>
          <t>MK00095</t>
        </is>
      </c>
      <c r="J559" t="inlineStr"/>
    </row>
    <row r="560">
      <c r="A560" t="inlineStr">
        <is>
          <t>31/05/2026</t>
        </is>
      </c>
      <c r="B560" t="inlineStr">
        <is>
          <t>528000279</t>
        </is>
      </c>
      <c r="C560" t="inlineStr">
        <is>
          <t>Mahdalena Dalfa Riani</t>
        </is>
      </c>
      <c r="D560" t="inlineStr">
        <is>
          <t>PROD</t>
        </is>
      </c>
      <c r="E560" t="inlineStr">
        <is>
          <t>Produksi Harian</t>
        </is>
      </c>
      <c r="F560" t="inlineStr">
        <is>
          <t>21:47:39</t>
        </is>
      </c>
      <c r="G560" t="inlineStr">
        <is>
          <t>06:03:48</t>
        </is>
      </c>
      <c r="H560" t="inlineStr">
        <is>
          <t>SELESAI</t>
        </is>
      </c>
      <c r="I560" t="inlineStr">
        <is>
          <t>MK00204</t>
        </is>
      </c>
      <c r="J560" t="inlineStr"/>
    </row>
    <row r="561">
      <c r="A561" t="inlineStr">
        <is>
          <t>31/05/2026</t>
        </is>
      </c>
      <c r="B561" t="inlineStr">
        <is>
          <t>528000282</t>
        </is>
      </c>
      <c r="C561" t="inlineStr">
        <is>
          <t>Defa Desfiana</t>
        </is>
      </c>
      <c r="D561" t="inlineStr">
        <is>
          <t>PROD</t>
        </is>
      </c>
      <c r="E561" t="inlineStr">
        <is>
          <t>Produksi Harian</t>
        </is>
      </c>
      <c r="F561" t="inlineStr">
        <is>
          <t>07:44:21</t>
        </is>
      </c>
      <c r="G561" t="inlineStr">
        <is>
          <t>16:04:40</t>
        </is>
      </c>
      <c r="H561" t="inlineStr">
        <is>
          <t>SELESAI</t>
        </is>
      </c>
      <c r="I561" t="inlineStr">
        <is>
          <t>MK00008</t>
        </is>
      </c>
      <c r="J561" t="inlineStr">
        <is>
          <t>10a</t>
        </is>
      </c>
    </row>
    <row r="562">
      <c r="A562" t="inlineStr">
        <is>
          <t>31/05/2026</t>
        </is>
      </c>
      <c r="B562" t="inlineStr">
        <is>
          <t>528000283</t>
        </is>
      </c>
      <c r="C562" t="inlineStr">
        <is>
          <t>Purwanda Sugiri</t>
        </is>
      </c>
      <c r="D562" t="inlineStr">
        <is>
          <t>LOG</t>
        </is>
      </c>
      <c r="E562" t="inlineStr">
        <is>
          <t>WRM Harian</t>
        </is>
      </c>
      <c r="F562" t="inlineStr">
        <is>
          <t>13:47:15</t>
        </is>
      </c>
      <c r="G562" t="inlineStr"/>
      <c r="H562" t="inlineStr">
        <is>
          <t>DI DALAM</t>
        </is>
      </c>
      <c r="I562" t="inlineStr">
        <is>
          <t>MK0093</t>
        </is>
      </c>
      <c r="J562" t="inlineStr"/>
    </row>
    <row r="563">
      <c r="A563" t="inlineStr">
        <is>
          <t>31/05/2026</t>
        </is>
      </c>
      <c r="B563" t="inlineStr">
        <is>
          <t>528000286</t>
        </is>
      </c>
      <c r="C563" t="inlineStr">
        <is>
          <t>Imelda Amelia</t>
        </is>
      </c>
      <c r="D563" t="inlineStr">
        <is>
          <t>PROD</t>
        </is>
      </c>
      <c r="E563" t="inlineStr">
        <is>
          <t>Produksi Harian</t>
        </is>
      </c>
      <c r="F563" t="inlineStr">
        <is>
          <t>05:48:43</t>
        </is>
      </c>
      <c r="G563" t="inlineStr">
        <is>
          <t>14:06:33</t>
        </is>
      </c>
      <c r="H563" t="inlineStr">
        <is>
          <t>SELESAI</t>
        </is>
      </c>
      <c r="I563" t="inlineStr">
        <is>
          <t>MK00151</t>
        </is>
      </c>
      <c r="J563" t="inlineStr"/>
    </row>
    <row r="564">
      <c r="A564" t="inlineStr">
        <is>
          <t>31/05/2026</t>
        </is>
      </c>
      <c r="B564" t="inlineStr">
        <is>
          <t>528000288</t>
        </is>
      </c>
      <c r="C564" t="inlineStr">
        <is>
          <t>Dede gunawan</t>
        </is>
      </c>
      <c r="D564" t="inlineStr">
        <is>
          <t>PROD</t>
        </is>
      </c>
      <c r="E564" t="inlineStr">
        <is>
          <t>Produksi Harian</t>
        </is>
      </c>
      <c r="F564" t="inlineStr">
        <is>
          <t>21:49:57</t>
        </is>
      </c>
      <c r="G564" t="inlineStr">
        <is>
          <t>06:06:30</t>
        </is>
      </c>
      <c r="H564" t="inlineStr">
        <is>
          <t>SELESAI</t>
        </is>
      </c>
      <c r="I564" t="inlineStr">
        <is>
          <t>MK00008</t>
        </is>
      </c>
      <c r="J564" t="inlineStr"/>
    </row>
    <row r="565">
      <c r="A565" t="inlineStr">
        <is>
          <t>31/05/2026</t>
        </is>
      </c>
      <c r="B565" t="inlineStr">
        <is>
          <t>528000290</t>
        </is>
      </c>
      <c r="C565" t="inlineStr">
        <is>
          <t>Eval Pranata</t>
        </is>
      </c>
      <c r="D565" t="inlineStr">
        <is>
          <t>PROD</t>
        </is>
      </c>
      <c r="E565" t="inlineStr">
        <is>
          <t>Produksi Harian</t>
        </is>
      </c>
      <c r="F565" t="inlineStr">
        <is>
          <t>05:57:12</t>
        </is>
      </c>
      <c r="G565" t="inlineStr">
        <is>
          <t>14:04:20</t>
        </is>
      </c>
      <c r="H565" t="inlineStr">
        <is>
          <t>SELESAI</t>
        </is>
      </c>
      <c r="I565" t="inlineStr">
        <is>
          <t>MK00250</t>
        </is>
      </c>
      <c r="J565" t="inlineStr"/>
    </row>
    <row r="566">
      <c r="A566" t="inlineStr">
        <is>
          <t>31/05/2026</t>
        </is>
      </c>
      <c r="B566" t="inlineStr">
        <is>
          <t>528000291</t>
        </is>
      </c>
      <c r="C566" t="inlineStr">
        <is>
          <t>Andrian</t>
        </is>
      </c>
      <c r="D566" t="inlineStr">
        <is>
          <t>PROD</t>
        </is>
      </c>
      <c r="E566" t="inlineStr">
        <is>
          <t>Produksi Harian</t>
        </is>
      </c>
      <c r="F566" t="inlineStr">
        <is>
          <t>13:48:32</t>
        </is>
      </c>
      <c r="G566" t="inlineStr">
        <is>
          <t>22:02:51</t>
        </is>
      </c>
      <c r="H566" t="inlineStr">
        <is>
          <t>SELESAI</t>
        </is>
      </c>
      <c r="I566" t="inlineStr">
        <is>
          <t>MK00185</t>
        </is>
      </c>
      <c r="J566" t="inlineStr"/>
    </row>
    <row r="567">
      <c r="A567" t="inlineStr">
        <is>
          <t>31/05/2026</t>
        </is>
      </c>
      <c r="B567" t="inlineStr">
        <is>
          <t>528000297</t>
        </is>
      </c>
      <c r="C567" t="inlineStr">
        <is>
          <t>Muhamad Budiana</t>
        </is>
      </c>
      <c r="D567" t="inlineStr">
        <is>
          <t>PROD</t>
        </is>
      </c>
      <c r="E567" t="inlineStr">
        <is>
          <t>Produksi Harian</t>
        </is>
      </c>
      <c r="F567" t="inlineStr">
        <is>
          <t>21:44:39</t>
        </is>
      </c>
      <c r="G567" t="inlineStr">
        <is>
          <t>07:04:08</t>
        </is>
      </c>
      <c r="H567" t="inlineStr">
        <is>
          <t>SELESAI</t>
        </is>
      </c>
      <c r="I567" t="inlineStr">
        <is>
          <t>MK00235</t>
        </is>
      </c>
      <c r="J567" t="inlineStr"/>
    </row>
    <row r="568">
      <c r="A568" t="inlineStr">
        <is>
          <t>31/05/2026</t>
        </is>
      </c>
      <c r="B568" t="inlineStr">
        <is>
          <t>528000300</t>
        </is>
      </c>
      <c r="C568" t="inlineStr">
        <is>
          <t>Lia pitaloka</t>
        </is>
      </c>
      <c r="D568" t="inlineStr">
        <is>
          <t>PROD</t>
        </is>
      </c>
      <c r="E568" t="inlineStr">
        <is>
          <t>Produksi Harian</t>
        </is>
      </c>
      <c r="F568" t="inlineStr">
        <is>
          <t>21:49:22</t>
        </is>
      </c>
      <c r="G568" t="inlineStr">
        <is>
          <t>06:04:10</t>
        </is>
      </c>
      <c r="H568" t="inlineStr">
        <is>
          <t>SELESAI</t>
        </is>
      </c>
      <c r="I568" t="inlineStr">
        <is>
          <t>MK00158</t>
        </is>
      </c>
      <c r="J568" t="inlineStr"/>
    </row>
    <row r="569">
      <c r="A569" t="inlineStr">
        <is>
          <t>31/05/2026</t>
        </is>
      </c>
      <c r="B569" t="inlineStr">
        <is>
          <t>528000306</t>
        </is>
      </c>
      <c r="C569" t="inlineStr">
        <is>
          <t>Windy Olivia</t>
        </is>
      </c>
      <c r="D569" t="inlineStr">
        <is>
          <t>PROD</t>
        </is>
      </c>
      <c r="E569" t="inlineStr">
        <is>
          <t>Produksi Harian</t>
        </is>
      </c>
      <c r="F569" t="inlineStr">
        <is>
          <t>21:35:27</t>
        </is>
      </c>
      <c r="G569" t="inlineStr">
        <is>
          <t>06:03:28</t>
        </is>
      </c>
      <c r="H569" t="inlineStr">
        <is>
          <t>SELESAI</t>
        </is>
      </c>
      <c r="I569" t="inlineStr">
        <is>
          <t>MK00249</t>
        </is>
      </c>
      <c r="J569" t="inlineStr"/>
    </row>
    <row r="570">
      <c r="A570" t="inlineStr">
        <is>
          <t>31/05/2026</t>
        </is>
      </c>
      <c r="B570" t="inlineStr">
        <is>
          <t>528000323</t>
        </is>
      </c>
      <c r="C570" t="inlineStr">
        <is>
          <t>Dian Hamidah</t>
        </is>
      </c>
      <c r="D570" t="inlineStr">
        <is>
          <t>PROD</t>
        </is>
      </c>
      <c r="E570" t="inlineStr">
        <is>
          <t>Produksi Harian</t>
        </is>
      </c>
      <c r="F570" t="inlineStr">
        <is>
          <t>21:44:04</t>
        </is>
      </c>
      <c r="G570" t="inlineStr"/>
      <c r="H570" t="inlineStr">
        <is>
          <t>DI DALAM</t>
        </is>
      </c>
      <c r="I570" t="inlineStr">
        <is>
          <t>MK00126</t>
        </is>
      </c>
      <c r="J570" t="inlineStr"/>
    </row>
    <row r="571">
      <c r="A571" t="inlineStr">
        <is>
          <t>31/05/2026</t>
        </is>
      </c>
      <c r="B571" t="inlineStr">
        <is>
          <t>528000348</t>
        </is>
      </c>
      <c r="C571" t="inlineStr">
        <is>
          <t>Saepuloh Ardiansah</t>
        </is>
      </c>
      <c r="D571" t="inlineStr">
        <is>
          <t>LOG</t>
        </is>
      </c>
      <c r="E571" t="inlineStr">
        <is>
          <t>WRM Harian</t>
        </is>
      </c>
      <c r="F571" t="inlineStr">
        <is>
          <t>08:57:43</t>
        </is>
      </c>
      <c r="G571" t="inlineStr">
        <is>
          <t>17:10:43</t>
        </is>
      </c>
      <c r="H571" t="inlineStr">
        <is>
          <t>SELESAI</t>
        </is>
      </c>
      <c r="I571" t="inlineStr">
        <is>
          <t>MK00205</t>
        </is>
      </c>
      <c r="J571" t="inlineStr"/>
    </row>
    <row r="572">
      <c r="A572" t="inlineStr">
        <is>
          <t>31/05/2026</t>
        </is>
      </c>
      <c r="B572" t="inlineStr">
        <is>
          <t>528000349</t>
        </is>
      </c>
      <c r="C572" t="inlineStr">
        <is>
          <t>Anas Abdul Fatah</t>
        </is>
      </c>
      <c r="D572" t="inlineStr">
        <is>
          <t>LOG</t>
        </is>
      </c>
      <c r="E572" t="inlineStr">
        <is>
          <t>WFG Harian</t>
        </is>
      </c>
      <c r="F572" t="inlineStr">
        <is>
          <t>07:54:55</t>
        </is>
      </c>
      <c r="G572" t="inlineStr">
        <is>
          <t>16:15:57</t>
        </is>
      </c>
      <c r="H572" t="inlineStr">
        <is>
          <t>SELESAI</t>
        </is>
      </c>
      <c r="I572" t="inlineStr">
        <is>
          <t>MK00249</t>
        </is>
      </c>
      <c r="J572" t="inlineStr"/>
    </row>
    <row r="573">
      <c r="A573" t="inlineStr">
        <is>
          <t>31/05/2026</t>
        </is>
      </c>
      <c r="B573" t="inlineStr">
        <is>
          <t>528000351</t>
        </is>
      </c>
      <c r="C573" t="inlineStr">
        <is>
          <t>Mulyana</t>
        </is>
      </c>
      <c r="D573" t="inlineStr">
        <is>
          <t>PROD</t>
        </is>
      </c>
      <c r="E573" t="inlineStr">
        <is>
          <t>Produksi Harian</t>
        </is>
      </c>
      <c r="F573" t="inlineStr">
        <is>
          <t>07:55:02</t>
        </is>
      </c>
      <c r="G573" t="inlineStr">
        <is>
          <t>16:00:43</t>
        </is>
      </c>
      <c r="H573" t="inlineStr">
        <is>
          <t>SELESAI</t>
        </is>
      </c>
      <c r="I573" t="inlineStr">
        <is>
          <t>MK00148</t>
        </is>
      </c>
      <c r="J573" t="inlineStr"/>
    </row>
    <row r="574">
      <c r="A574" t="inlineStr">
        <is>
          <t>31/05/2026</t>
        </is>
      </c>
      <c r="B574" t="inlineStr">
        <is>
          <t>528000358</t>
        </is>
      </c>
      <c r="C574" t="inlineStr">
        <is>
          <t>Lulu Agustin</t>
        </is>
      </c>
      <c r="D574" t="inlineStr">
        <is>
          <t>PROD</t>
        </is>
      </c>
      <c r="E574" t="inlineStr">
        <is>
          <t>Produksi Harian</t>
        </is>
      </c>
      <c r="F574" t="inlineStr">
        <is>
          <t>13:31:09</t>
        </is>
      </c>
      <c r="G574" t="inlineStr">
        <is>
          <t>22:02:56</t>
        </is>
      </c>
      <c r="H574" t="inlineStr">
        <is>
          <t>SELESAI</t>
        </is>
      </c>
      <c r="I574" t="inlineStr">
        <is>
          <t>MK00199</t>
        </is>
      </c>
      <c r="J574" t="inlineStr"/>
    </row>
    <row r="575">
      <c r="A575" t="inlineStr">
        <is>
          <t>31/05/2026</t>
        </is>
      </c>
      <c r="B575" t="inlineStr">
        <is>
          <t>628000064</t>
        </is>
      </c>
      <c r="C575" t="inlineStr">
        <is>
          <t>Silva Alypia</t>
        </is>
      </c>
      <c r="D575" t="inlineStr">
        <is>
          <t>PROD</t>
        </is>
      </c>
      <c r="E575" t="inlineStr">
        <is>
          <t>Produksi Borongan</t>
        </is>
      </c>
      <c r="F575" t="inlineStr">
        <is>
          <t>21:49:15</t>
        </is>
      </c>
      <c r="G575" t="inlineStr">
        <is>
          <t>06:04:59</t>
        </is>
      </c>
      <c r="H575" t="inlineStr">
        <is>
          <t>SELESAI</t>
        </is>
      </c>
      <c r="I575" t="inlineStr">
        <is>
          <t>MK00108</t>
        </is>
      </c>
      <c r="J575" t="inlineStr"/>
    </row>
    <row r="576">
      <c r="A576" t="inlineStr">
        <is>
          <t>01/06/2026</t>
        </is>
      </c>
      <c r="B576" t="inlineStr">
        <is>
          <t>528000015</t>
        </is>
      </c>
      <c r="C576" t="inlineStr">
        <is>
          <t>Erwin</t>
        </is>
      </c>
      <c r="D576" t="inlineStr">
        <is>
          <t>LOG</t>
        </is>
      </c>
      <c r="E576" t="inlineStr">
        <is>
          <t>WRM Harian</t>
        </is>
      </c>
      <c r="F576" t="inlineStr">
        <is>
          <t>07:54:21</t>
        </is>
      </c>
      <c r="G576" t="inlineStr">
        <is>
          <t>07:51:54</t>
        </is>
      </c>
      <c r="H576" t="inlineStr">
        <is>
          <t>SELESAI</t>
        </is>
      </c>
      <c r="I576" t="inlineStr">
        <is>
          <t>MK0090</t>
        </is>
      </c>
      <c r="J576" t="inlineStr"/>
    </row>
    <row r="577">
      <c r="A577" t="inlineStr">
        <is>
          <t>01/06/2026</t>
        </is>
      </c>
      <c r="B577" t="inlineStr">
        <is>
          <t>528000055</t>
        </is>
      </c>
      <c r="C577" t="inlineStr">
        <is>
          <t>Dika Prasetya</t>
        </is>
      </c>
      <c r="D577" t="inlineStr">
        <is>
          <t>LOG</t>
        </is>
      </c>
      <c r="E577" t="inlineStr">
        <is>
          <t>WRM Harian</t>
        </is>
      </c>
      <c r="F577" t="inlineStr">
        <is>
          <t>15:30:08</t>
        </is>
      </c>
      <c r="G577" t="inlineStr">
        <is>
          <t>00:27:21</t>
        </is>
      </c>
      <c r="H577" t="inlineStr">
        <is>
          <t>SELESAI</t>
        </is>
      </c>
      <c r="I577" t="inlineStr">
        <is>
          <t>MK00190</t>
        </is>
      </c>
      <c r="J577" t="inlineStr"/>
    </row>
    <row r="578">
      <c r="A578" t="inlineStr">
        <is>
          <t>01/06/2026</t>
        </is>
      </c>
      <c r="B578" t="inlineStr">
        <is>
          <t>528000063</t>
        </is>
      </c>
      <c r="C578" t="inlineStr">
        <is>
          <t>Muhamad Ripki Pebrian</t>
        </is>
      </c>
      <c r="D578" t="inlineStr">
        <is>
          <t>PROD</t>
        </is>
      </c>
      <c r="E578" t="inlineStr">
        <is>
          <t>Produksi Harian</t>
        </is>
      </c>
      <c r="F578" t="inlineStr">
        <is>
          <t>21:56:20</t>
        </is>
      </c>
      <c r="G578" t="inlineStr">
        <is>
          <t>06:03:16</t>
        </is>
      </c>
      <c r="H578" t="inlineStr">
        <is>
          <t>SELESAI</t>
        </is>
      </c>
      <c r="I578" t="inlineStr">
        <is>
          <t>MK00249</t>
        </is>
      </c>
      <c r="J578" t="inlineStr"/>
    </row>
    <row r="579">
      <c r="A579" t="inlineStr">
        <is>
          <t>01/06/2026</t>
        </is>
      </c>
      <c r="B579" t="inlineStr">
        <is>
          <t>528000090</t>
        </is>
      </c>
      <c r="C579" t="inlineStr">
        <is>
          <t>Suganda</t>
        </is>
      </c>
      <c r="D579" t="inlineStr">
        <is>
          <t>PROD</t>
        </is>
      </c>
      <c r="E579" t="inlineStr">
        <is>
          <t>Produksi Harian</t>
        </is>
      </c>
      <c r="F579" t="inlineStr">
        <is>
          <t>06:01:38</t>
        </is>
      </c>
      <c r="G579" t="inlineStr">
        <is>
          <t>14:05:38</t>
        </is>
      </c>
      <c r="H579" t="inlineStr">
        <is>
          <t>SELESAI</t>
        </is>
      </c>
      <c r="I579" t="inlineStr">
        <is>
          <t>MK00134</t>
        </is>
      </c>
      <c r="J579" t="inlineStr"/>
    </row>
    <row r="580">
      <c r="A580" t="inlineStr">
        <is>
          <t>01/06/2026</t>
        </is>
      </c>
      <c r="B580" t="inlineStr">
        <is>
          <t>528000098</t>
        </is>
      </c>
      <c r="C580" t="inlineStr">
        <is>
          <t>Edi Junaedi</t>
        </is>
      </c>
      <c r="D580" t="inlineStr">
        <is>
          <t>PROD</t>
        </is>
      </c>
      <c r="E580" t="inlineStr">
        <is>
          <t>Produksi Harian</t>
        </is>
      </c>
      <c r="F580" t="inlineStr">
        <is>
          <t>13:20:59</t>
        </is>
      </c>
      <c r="G580" t="inlineStr"/>
      <c r="H580" t="inlineStr">
        <is>
          <t>DI DALAM</t>
        </is>
      </c>
      <c r="I580" t="inlineStr">
        <is>
          <t>MK00208</t>
        </is>
      </c>
      <c r="J580" t="inlineStr"/>
    </row>
    <row r="581">
      <c r="A581" t="inlineStr">
        <is>
          <t>01/06/2026</t>
        </is>
      </c>
      <c r="B581" t="inlineStr">
        <is>
          <t>528000099</t>
        </is>
      </c>
      <c r="C581" t="inlineStr">
        <is>
          <t>Siti Nurawaliah</t>
        </is>
      </c>
      <c r="D581" t="inlineStr">
        <is>
          <t>PROD</t>
        </is>
      </c>
      <c r="E581" t="inlineStr">
        <is>
          <t>Produksi Harian</t>
        </is>
      </c>
      <c r="F581" t="inlineStr">
        <is>
          <t>05:30:15</t>
        </is>
      </c>
      <c r="G581" t="inlineStr">
        <is>
          <t>14:08:26</t>
        </is>
      </c>
      <c r="H581" t="inlineStr">
        <is>
          <t>SELESAI</t>
        </is>
      </c>
      <c r="I581" t="inlineStr">
        <is>
          <t>MK00192</t>
        </is>
      </c>
      <c r="J581" t="inlineStr"/>
    </row>
    <row r="582">
      <c r="A582" t="inlineStr">
        <is>
          <t>01/06/2026</t>
        </is>
      </c>
      <c r="B582" t="inlineStr">
        <is>
          <t>528000132</t>
        </is>
      </c>
      <c r="C582" t="inlineStr">
        <is>
          <t>Giopani</t>
        </is>
      </c>
      <c r="D582" t="inlineStr">
        <is>
          <t>LOG</t>
        </is>
      </c>
      <c r="E582" t="inlineStr">
        <is>
          <t>WRM Harian</t>
        </is>
      </c>
      <c r="F582" t="inlineStr">
        <is>
          <t>08:52:25</t>
        </is>
      </c>
      <c r="G582" t="inlineStr">
        <is>
          <t>08:52:07</t>
        </is>
      </c>
      <c r="H582" t="inlineStr">
        <is>
          <t>SELESAI</t>
        </is>
      </c>
      <c r="I582" t="inlineStr">
        <is>
          <t>MK00228</t>
        </is>
      </c>
      <c r="J582" t="inlineStr"/>
    </row>
    <row r="583">
      <c r="A583" t="inlineStr">
        <is>
          <t>01/06/2026</t>
        </is>
      </c>
      <c r="B583" t="inlineStr">
        <is>
          <t>528000144</t>
        </is>
      </c>
      <c r="C583" t="inlineStr">
        <is>
          <t>Jodi Hanafi</t>
        </is>
      </c>
      <c r="D583" t="inlineStr">
        <is>
          <t>LOG</t>
        </is>
      </c>
      <c r="E583" t="inlineStr">
        <is>
          <t>WRM Harian</t>
        </is>
      </c>
      <c r="F583" t="inlineStr">
        <is>
          <t>07:55:48</t>
        </is>
      </c>
      <c r="G583" t="inlineStr">
        <is>
          <t>16:20:12</t>
        </is>
      </c>
      <c r="H583" t="inlineStr">
        <is>
          <t>SELESAI</t>
        </is>
      </c>
      <c r="I583" t="inlineStr">
        <is>
          <t>MK00082</t>
        </is>
      </c>
      <c r="J583" t="inlineStr"/>
    </row>
    <row r="584">
      <c r="A584" t="inlineStr">
        <is>
          <t>01/06/2026</t>
        </is>
      </c>
      <c r="B584" t="inlineStr">
        <is>
          <t>528000201</t>
        </is>
      </c>
      <c r="C584" t="inlineStr">
        <is>
          <t>Zahwa Amelia Choerunissa</t>
        </is>
      </c>
      <c r="D584" t="inlineStr">
        <is>
          <t>PROD</t>
        </is>
      </c>
      <c r="E584" t="inlineStr">
        <is>
          <t>Produksi Harian</t>
        </is>
      </c>
      <c r="F584" t="inlineStr">
        <is>
          <t>05:29:19</t>
        </is>
      </c>
      <c r="G584" t="inlineStr">
        <is>
          <t>14:08:00</t>
        </is>
      </c>
      <c r="H584" t="inlineStr">
        <is>
          <t>SELESAI</t>
        </is>
      </c>
      <c r="I584" t="inlineStr">
        <is>
          <t>MK00230</t>
        </is>
      </c>
      <c r="J584" t="inlineStr"/>
    </row>
    <row r="585">
      <c r="A585" t="inlineStr">
        <is>
          <t>01/06/2026</t>
        </is>
      </c>
      <c r="B585" t="inlineStr">
        <is>
          <t>528000212</t>
        </is>
      </c>
      <c r="C585" t="inlineStr">
        <is>
          <t>Rizal Fauzi</t>
        </is>
      </c>
      <c r="D585" t="inlineStr">
        <is>
          <t>PROD</t>
        </is>
      </c>
      <c r="E585" t="inlineStr">
        <is>
          <t>Produksi Harian</t>
        </is>
      </c>
      <c r="F585" t="inlineStr">
        <is>
          <t>06:01:48</t>
        </is>
      </c>
      <c r="G585" t="inlineStr">
        <is>
          <t>14:06:18</t>
        </is>
      </c>
      <c r="H585" t="inlineStr">
        <is>
          <t>SELESAI</t>
        </is>
      </c>
      <c r="I585" t="inlineStr">
        <is>
          <t>MK00130</t>
        </is>
      </c>
      <c r="J585" t="inlineStr"/>
    </row>
    <row r="586">
      <c r="A586" t="inlineStr">
        <is>
          <t>01/06/2026</t>
        </is>
      </c>
      <c r="B586" t="inlineStr">
        <is>
          <t>528000228</t>
        </is>
      </c>
      <c r="C586" t="inlineStr">
        <is>
          <t>Banyu Resmi Putri</t>
        </is>
      </c>
      <c r="D586" t="inlineStr">
        <is>
          <t>PROD</t>
        </is>
      </c>
      <c r="E586" t="inlineStr">
        <is>
          <t>Produksi Harian</t>
        </is>
      </c>
      <c r="F586" t="inlineStr">
        <is>
          <t>05:59:02</t>
        </is>
      </c>
      <c r="G586" t="inlineStr"/>
      <c r="H586" t="inlineStr">
        <is>
          <t>DI DALAM</t>
        </is>
      </c>
      <c r="I586" t="inlineStr">
        <is>
          <t>MK0085</t>
        </is>
      </c>
      <c r="J586" t="inlineStr"/>
    </row>
    <row r="587">
      <c r="A587" t="inlineStr">
        <is>
          <t>01/06/2026</t>
        </is>
      </c>
      <c r="B587" t="inlineStr">
        <is>
          <t>528000232</t>
        </is>
      </c>
      <c r="C587" t="inlineStr">
        <is>
          <t>Agung Aji Suhada</t>
        </is>
      </c>
      <c r="D587" t="inlineStr">
        <is>
          <t>LOG</t>
        </is>
      </c>
      <c r="E587" t="inlineStr">
        <is>
          <t>WRM Harian</t>
        </is>
      </c>
      <c r="F587" t="inlineStr">
        <is>
          <t>15:58:00</t>
        </is>
      </c>
      <c r="G587" t="inlineStr">
        <is>
          <t>23:59:47</t>
        </is>
      </c>
      <c r="H587" t="inlineStr">
        <is>
          <t>SELESAI</t>
        </is>
      </c>
      <c r="I587" t="inlineStr">
        <is>
          <t>MK00250</t>
        </is>
      </c>
      <c r="J587" t="inlineStr"/>
    </row>
    <row r="588">
      <c r="A588" t="inlineStr">
        <is>
          <t>01/06/2026</t>
        </is>
      </c>
      <c r="B588" t="inlineStr">
        <is>
          <t>528000241</t>
        </is>
      </c>
      <c r="C588" t="inlineStr">
        <is>
          <t>Balia Nurafif Bilah</t>
        </is>
      </c>
      <c r="D588" t="inlineStr">
        <is>
          <t>PROD</t>
        </is>
      </c>
      <c r="E588" t="inlineStr">
        <is>
          <t>Produksi Harian</t>
        </is>
      </c>
      <c r="F588" t="inlineStr">
        <is>
          <t>05:55:35</t>
        </is>
      </c>
      <c r="G588" t="inlineStr">
        <is>
          <t>14:03:51</t>
        </is>
      </c>
      <c r="H588" t="inlineStr">
        <is>
          <t>SELESAI</t>
        </is>
      </c>
      <c r="I588" t="inlineStr">
        <is>
          <t>MK00210</t>
        </is>
      </c>
      <c r="J588" t="inlineStr"/>
    </row>
    <row r="589">
      <c r="A589" t="inlineStr">
        <is>
          <t>01/06/2026</t>
        </is>
      </c>
      <c r="B589" t="inlineStr">
        <is>
          <t>528000244</t>
        </is>
      </c>
      <c r="C589" t="inlineStr">
        <is>
          <t>Rodian Rifai</t>
        </is>
      </c>
      <c r="D589" t="inlineStr">
        <is>
          <t>PROD</t>
        </is>
      </c>
      <c r="E589" t="inlineStr">
        <is>
          <t>Produksi Harian</t>
        </is>
      </c>
      <c r="F589" t="inlineStr">
        <is>
          <t>05:43:47</t>
        </is>
      </c>
      <c r="G589" t="inlineStr">
        <is>
          <t>15:23:35</t>
        </is>
      </c>
      <c r="H589" t="inlineStr">
        <is>
          <t>SELESAI</t>
        </is>
      </c>
      <c r="I589" t="inlineStr">
        <is>
          <t>MK00204</t>
        </is>
      </c>
      <c r="J589" t="inlineStr"/>
    </row>
    <row r="590">
      <c r="A590" t="inlineStr">
        <is>
          <t>01/06/2026</t>
        </is>
      </c>
      <c r="B590" t="inlineStr">
        <is>
          <t>528000265</t>
        </is>
      </c>
      <c r="C590" t="inlineStr">
        <is>
          <t>Muhammad Haerul Rozikin</t>
        </is>
      </c>
      <c r="D590" t="inlineStr">
        <is>
          <t>LOG</t>
        </is>
      </c>
      <c r="E590" t="inlineStr">
        <is>
          <t>WRM Harian</t>
        </is>
      </c>
      <c r="F590" t="inlineStr">
        <is>
          <t>07:48:44</t>
        </is>
      </c>
      <c r="G590" t="inlineStr">
        <is>
          <t>16:07:27</t>
        </is>
      </c>
      <c r="H590" t="inlineStr">
        <is>
          <t>SELESAI</t>
        </is>
      </c>
      <c r="I590" t="inlineStr">
        <is>
          <t>MK00213</t>
        </is>
      </c>
      <c r="J590" t="inlineStr"/>
    </row>
    <row r="591">
      <c r="A591" t="inlineStr">
        <is>
          <t>01/06/2026</t>
        </is>
      </c>
      <c r="B591" t="inlineStr">
        <is>
          <t>528000266</t>
        </is>
      </c>
      <c r="C591" t="inlineStr">
        <is>
          <t>M. Syirajatieq</t>
        </is>
      </c>
      <c r="D591" t="inlineStr">
        <is>
          <t>LOG</t>
        </is>
      </c>
      <c r="E591" t="inlineStr">
        <is>
          <t>WFG Harian</t>
        </is>
      </c>
      <c r="F591" t="inlineStr"/>
      <c r="G591" t="inlineStr">
        <is>
          <t>05:51:48</t>
        </is>
      </c>
      <c r="H591" t="inlineStr">
        <is>
          <t>KELUAR TANPA MASUK</t>
        </is>
      </c>
      <c r="I591" t="inlineStr">
        <is>
          <t>MK00093</t>
        </is>
      </c>
      <c r="J591" t="inlineStr"/>
    </row>
    <row r="592">
      <c r="A592" t="inlineStr">
        <is>
          <t>01/06/2026</t>
        </is>
      </c>
      <c r="B592" t="inlineStr">
        <is>
          <t>528000267</t>
        </is>
      </c>
      <c r="C592" t="inlineStr">
        <is>
          <t>Bagas Patulloh</t>
        </is>
      </c>
      <c r="D592" t="inlineStr">
        <is>
          <t>LOG</t>
        </is>
      </c>
      <c r="E592" t="inlineStr">
        <is>
          <t>WRM Harian</t>
        </is>
      </c>
      <c r="F592" t="inlineStr">
        <is>
          <t>16:02:36</t>
        </is>
      </c>
      <c r="G592" t="inlineStr">
        <is>
          <t>00:00:04</t>
        </is>
      </c>
      <c r="H592" t="inlineStr">
        <is>
          <t>SELESAI</t>
        </is>
      </c>
      <c r="I592" t="inlineStr">
        <is>
          <t>MK00201</t>
        </is>
      </c>
      <c r="J592" t="inlineStr"/>
    </row>
    <row r="593">
      <c r="A593" t="inlineStr">
        <is>
          <t>01/06/2026</t>
        </is>
      </c>
      <c r="B593" t="inlineStr">
        <is>
          <t>528000270</t>
        </is>
      </c>
      <c r="C593" t="inlineStr">
        <is>
          <t>Febri Najmudin</t>
        </is>
      </c>
      <c r="D593" t="inlineStr">
        <is>
          <t>LOG</t>
        </is>
      </c>
      <c r="E593" t="inlineStr">
        <is>
          <t>WRM Harian</t>
        </is>
      </c>
      <c r="F593" t="inlineStr">
        <is>
          <t>13:45:42</t>
        </is>
      </c>
      <c r="G593" t="inlineStr">
        <is>
          <t>22:26:21</t>
        </is>
      </c>
      <c r="H593" t="inlineStr">
        <is>
          <t>SELESAI</t>
        </is>
      </c>
      <c r="I593" t="inlineStr">
        <is>
          <t>MK00138</t>
        </is>
      </c>
      <c r="J593" t="inlineStr"/>
    </row>
    <row r="594">
      <c r="A594" t="inlineStr">
        <is>
          <t>01/06/2026</t>
        </is>
      </c>
      <c r="B594" t="inlineStr">
        <is>
          <t>528000273</t>
        </is>
      </c>
      <c r="C594" t="inlineStr">
        <is>
          <t>Asep Mulyana</t>
        </is>
      </c>
      <c r="D594" t="inlineStr">
        <is>
          <t>PROD</t>
        </is>
      </c>
      <c r="E594" t="inlineStr">
        <is>
          <t>Produksi Harian</t>
        </is>
      </c>
      <c r="F594" t="inlineStr">
        <is>
          <t>15:26:06</t>
        </is>
      </c>
      <c r="G594" t="inlineStr">
        <is>
          <t>00:25:57</t>
        </is>
      </c>
      <c r="H594" t="inlineStr">
        <is>
          <t>SELESAI</t>
        </is>
      </c>
      <c r="I594" t="inlineStr">
        <is>
          <t>MK00276</t>
        </is>
      </c>
      <c r="J594" t="inlineStr"/>
    </row>
    <row r="595">
      <c r="A595" t="inlineStr">
        <is>
          <t>01/06/2026</t>
        </is>
      </c>
      <c r="B595" t="inlineStr">
        <is>
          <t>528000274</t>
        </is>
      </c>
      <c r="C595" t="inlineStr">
        <is>
          <t>Zepri</t>
        </is>
      </c>
      <c r="D595" t="inlineStr">
        <is>
          <t>PROD</t>
        </is>
      </c>
      <c r="E595" t="inlineStr">
        <is>
          <t>Produksi Harian</t>
        </is>
      </c>
      <c r="F595" t="inlineStr">
        <is>
          <t>05:57:24</t>
        </is>
      </c>
      <c r="G595" t="inlineStr">
        <is>
          <t>14:38:13</t>
        </is>
      </c>
      <c r="H595" t="inlineStr">
        <is>
          <t>SELESAI</t>
        </is>
      </c>
      <c r="I595" t="inlineStr">
        <is>
          <t>MK00126</t>
        </is>
      </c>
      <c r="J595" t="inlineStr"/>
    </row>
    <row r="596">
      <c r="A596" t="inlineStr">
        <is>
          <t>01/06/2026</t>
        </is>
      </c>
      <c r="B596" t="inlineStr">
        <is>
          <t>528000279</t>
        </is>
      </c>
      <c r="C596" t="inlineStr">
        <is>
          <t>Mahdalena Dalfa Riani</t>
        </is>
      </c>
      <c r="D596" t="inlineStr">
        <is>
          <t>PROD</t>
        </is>
      </c>
      <c r="E596" t="inlineStr">
        <is>
          <t>Produksi Harian</t>
        </is>
      </c>
      <c r="F596" t="inlineStr">
        <is>
          <t>21:53:23</t>
        </is>
      </c>
      <c r="G596" t="inlineStr">
        <is>
          <t>06:05:02</t>
        </is>
      </c>
      <c r="H596" t="inlineStr">
        <is>
          <t>SELESAI</t>
        </is>
      </c>
      <c r="I596" t="inlineStr">
        <is>
          <t>MK00145</t>
        </is>
      </c>
      <c r="J596" t="inlineStr"/>
    </row>
    <row r="597">
      <c r="A597" t="inlineStr">
        <is>
          <t>01/06/2026</t>
        </is>
      </c>
      <c r="B597" t="inlineStr">
        <is>
          <t>528000282</t>
        </is>
      </c>
      <c r="C597" t="inlineStr">
        <is>
          <t>Defa Desfiana</t>
        </is>
      </c>
      <c r="D597" t="inlineStr">
        <is>
          <t>PROD</t>
        </is>
      </c>
      <c r="E597" t="inlineStr">
        <is>
          <t>Produksi Harian</t>
        </is>
      </c>
      <c r="F597" t="inlineStr">
        <is>
          <t>07:40:11</t>
        </is>
      </c>
      <c r="G597" t="inlineStr">
        <is>
          <t>16:01:30</t>
        </is>
      </c>
      <c r="H597" t="inlineStr">
        <is>
          <t>SELESAI</t>
        </is>
      </c>
      <c r="I597" t="inlineStr">
        <is>
          <t>MK00158</t>
        </is>
      </c>
      <c r="J597" t="inlineStr">
        <is>
          <t>23c</t>
        </is>
      </c>
    </row>
    <row r="598">
      <c r="A598" t="inlineStr">
        <is>
          <t>01/06/2026</t>
        </is>
      </c>
      <c r="B598" t="inlineStr">
        <is>
          <t>528000286</t>
        </is>
      </c>
      <c r="C598" t="inlineStr">
        <is>
          <t>Imelda Amelia</t>
        </is>
      </c>
      <c r="D598" t="inlineStr">
        <is>
          <t>PROD</t>
        </is>
      </c>
      <c r="E598" t="inlineStr">
        <is>
          <t>Produksi Harian</t>
        </is>
      </c>
      <c r="F598" t="inlineStr">
        <is>
          <t>05:43:56</t>
        </is>
      </c>
      <c r="G598" t="inlineStr">
        <is>
          <t>14:19:49</t>
        </is>
      </c>
      <c r="H598" t="inlineStr">
        <is>
          <t>SELESAI</t>
        </is>
      </c>
      <c r="I598" t="inlineStr">
        <is>
          <t>MK00185</t>
        </is>
      </c>
      <c r="J598" t="inlineStr"/>
    </row>
    <row r="599">
      <c r="A599" t="inlineStr">
        <is>
          <t>01/06/2026</t>
        </is>
      </c>
      <c r="B599" t="inlineStr">
        <is>
          <t>528000288</t>
        </is>
      </c>
      <c r="C599" t="inlineStr">
        <is>
          <t>Dede gunawan</t>
        </is>
      </c>
      <c r="D599" t="inlineStr">
        <is>
          <t>PROD</t>
        </is>
      </c>
      <c r="E599" t="inlineStr">
        <is>
          <t>Produksi Harian</t>
        </is>
      </c>
      <c r="F599" t="inlineStr">
        <is>
          <t>21:50:29</t>
        </is>
      </c>
      <c r="G599" t="inlineStr"/>
      <c r="H599" t="inlineStr">
        <is>
          <t>DI DALAM</t>
        </is>
      </c>
      <c r="I599" t="inlineStr">
        <is>
          <t>MK00202</t>
        </is>
      </c>
      <c r="J599" t="inlineStr"/>
    </row>
    <row r="600">
      <c r="A600" t="inlineStr">
        <is>
          <t>01/06/2026</t>
        </is>
      </c>
      <c r="B600" t="inlineStr">
        <is>
          <t>528000290</t>
        </is>
      </c>
      <c r="C600" t="inlineStr">
        <is>
          <t>Eval Pranata</t>
        </is>
      </c>
      <c r="D600" t="inlineStr">
        <is>
          <t>PROD</t>
        </is>
      </c>
      <c r="E600" t="inlineStr">
        <is>
          <t>Produksi Harian</t>
        </is>
      </c>
      <c r="F600" t="inlineStr">
        <is>
          <t>05:57:15</t>
        </is>
      </c>
      <c r="G600" t="inlineStr">
        <is>
          <t>14:05:10</t>
        </is>
      </c>
      <c r="H600" t="inlineStr">
        <is>
          <t>SELESAI</t>
        </is>
      </c>
      <c r="I600" t="inlineStr">
        <is>
          <t>MK00181</t>
        </is>
      </c>
      <c r="J600" t="inlineStr"/>
    </row>
    <row r="601">
      <c r="A601" t="inlineStr">
        <is>
          <t>01/06/2026</t>
        </is>
      </c>
      <c r="B601" t="inlineStr">
        <is>
          <t>528000297</t>
        </is>
      </c>
      <c r="C601" t="inlineStr">
        <is>
          <t>Muhamad Budiana</t>
        </is>
      </c>
      <c r="D601" t="inlineStr">
        <is>
          <t>PROD</t>
        </is>
      </c>
      <c r="E601" t="inlineStr">
        <is>
          <t>Produksi Harian</t>
        </is>
      </c>
      <c r="F601" t="inlineStr">
        <is>
          <t>21:47:57</t>
        </is>
      </c>
      <c r="G601" t="inlineStr"/>
      <c r="H601" t="inlineStr">
        <is>
          <t>DI DALAM</t>
        </is>
      </c>
      <c r="I601" t="inlineStr">
        <is>
          <t>MK00213</t>
        </is>
      </c>
      <c r="J601" t="inlineStr"/>
    </row>
    <row r="602">
      <c r="A602" t="inlineStr">
        <is>
          <t>01/06/2026</t>
        </is>
      </c>
      <c r="B602" t="inlineStr">
        <is>
          <t>528000298</t>
        </is>
      </c>
      <c r="C602" t="inlineStr">
        <is>
          <t>Desta Cahaya Pratama</t>
        </is>
      </c>
      <c r="D602" t="inlineStr">
        <is>
          <t>PROD</t>
        </is>
      </c>
      <c r="E602" t="inlineStr">
        <is>
          <t>Produksi Harian</t>
        </is>
      </c>
      <c r="F602" t="inlineStr">
        <is>
          <t>13:40:41</t>
        </is>
      </c>
      <c r="G602" t="inlineStr">
        <is>
          <t>22:07:54</t>
        </is>
      </c>
      <c r="H602" t="inlineStr">
        <is>
          <t>SELESAI</t>
        </is>
      </c>
      <c r="I602" t="inlineStr">
        <is>
          <t>MK00145</t>
        </is>
      </c>
      <c r="J602" t="inlineStr"/>
    </row>
    <row r="603">
      <c r="A603" t="inlineStr">
        <is>
          <t>01/06/2026</t>
        </is>
      </c>
      <c r="B603" t="inlineStr">
        <is>
          <t>528000299</t>
        </is>
      </c>
      <c r="C603" t="inlineStr">
        <is>
          <t>Siti Nurjanah</t>
        </is>
      </c>
      <c r="D603" t="inlineStr">
        <is>
          <t>PROD</t>
        </is>
      </c>
      <c r="E603" t="inlineStr">
        <is>
          <t>Produksi Harian</t>
        </is>
      </c>
      <c r="F603" t="inlineStr">
        <is>
          <t>13:31:45</t>
        </is>
      </c>
      <c r="G603" t="inlineStr"/>
      <c r="H603" t="inlineStr">
        <is>
          <t>DI DALAM</t>
        </is>
      </c>
      <c r="I603" t="inlineStr">
        <is>
          <t>MK00221</t>
        </is>
      </c>
      <c r="J603" t="inlineStr"/>
    </row>
    <row r="604">
      <c r="A604" t="inlineStr">
        <is>
          <t>01/06/2026</t>
        </is>
      </c>
      <c r="B604" t="inlineStr">
        <is>
          <t>528000300</t>
        </is>
      </c>
      <c r="C604" t="inlineStr">
        <is>
          <t>Lia pitaloka</t>
        </is>
      </c>
      <c r="D604" t="inlineStr">
        <is>
          <t>PROD</t>
        </is>
      </c>
      <c r="E604" t="inlineStr">
        <is>
          <t>Produksi Harian</t>
        </is>
      </c>
      <c r="F604" t="inlineStr">
        <is>
          <t>21:52:41</t>
        </is>
      </c>
      <c r="G604" t="inlineStr">
        <is>
          <t>06:05:06</t>
        </is>
      </c>
      <c r="H604" t="inlineStr">
        <is>
          <t>SELESAI</t>
        </is>
      </c>
      <c r="I604" t="inlineStr">
        <is>
          <t>MK00210</t>
        </is>
      </c>
      <c r="J604" t="inlineStr"/>
    </row>
    <row r="605">
      <c r="A605" t="inlineStr">
        <is>
          <t>01/06/2026</t>
        </is>
      </c>
      <c r="B605" t="inlineStr">
        <is>
          <t>528000302</t>
        </is>
      </c>
      <c r="C605" t="inlineStr">
        <is>
          <t>Henkey gumilar</t>
        </is>
      </c>
      <c r="D605" t="inlineStr">
        <is>
          <t>PROD</t>
        </is>
      </c>
      <c r="E605" t="inlineStr">
        <is>
          <t>Produksi Harian</t>
        </is>
      </c>
      <c r="F605" t="inlineStr">
        <is>
          <t>13:52:05</t>
        </is>
      </c>
      <c r="G605" t="inlineStr">
        <is>
          <t>22:11:17</t>
        </is>
      </c>
      <c r="H605" t="inlineStr">
        <is>
          <t>SELESAI</t>
        </is>
      </c>
      <c r="I605" t="inlineStr">
        <is>
          <t>MK00093</t>
        </is>
      </c>
      <c r="J605" t="inlineStr"/>
    </row>
    <row r="606">
      <c r="A606" t="inlineStr">
        <is>
          <t>01/06/2026</t>
        </is>
      </c>
      <c r="B606" t="inlineStr">
        <is>
          <t>528000306</t>
        </is>
      </c>
      <c r="C606" t="inlineStr">
        <is>
          <t>Windy Olivia</t>
        </is>
      </c>
      <c r="D606" t="inlineStr">
        <is>
          <t>PROD</t>
        </is>
      </c>
      <c r="E606" t="inlineStr">
        <is>
          <t>Produksi Harian</t>
        </is>
      </c>
      <c r="F606" t="inlineStr"/>
      <c r="G606" t="inlineStr">
        <is>
          <t>06:04:06</t>
        </is>
      </c>
      <c r="H606" t="inlineStr">
        <is>
          <t>KELUAR TANPA MASUK</t>
        </is>
      </c>
      <c r="I606" t="inlineStr">
        <is>
          <t>MK00249</t>
        </is>
      </c>
      <c r="J606" t="inlineStr"/>
    </row>
    <row r="607">
      <c r="A607" t="inlineStr">
        <is>
          <t>01/06/2026</t>
        </is>
      </c>
      <c r="B607" t="inlineStr">
        <is>
          <t>528000309</t>
        </is>
      </c>
      <c r="C607" t="inlineStr">
        <is>
          <t>Ilham Ramadhan</t>
        </is>
      </c>
      <c r="D607" t="inlineStr">
        <is>
          <t>LOG</t>
        </is>
      </c>
      <c r="E607" t="inlineStr">
        <is>
          <t>WRM Harian</t>
        </is>
      </c>
      <c r="F607" t="inlineStr">
        <is>
          <t>13:51:40</t>
        </is>
      </c>
      <c r="G607" t="inlineStr">
        <is>
          <t>22:08:52</t>
        </is>
      </c>
      <c r="H607" t="inlineStr">
        <is>
          <t>SELESAI</t>
        </is>
      </c>
      <c r="I607" t="inlineStr">
        <is>
          <t>MK00151</t>
        </is>
      </c>
      <c r="J607" t="inlineStr"/>
    </row>
    <row r="608">
      <c r="A608" t="inlineStr">
        <is>
          <t>01/06/2026</t>
        </is>
      </c>
      <c r="B608" t="inlineStr">
        <is>
          <t>528000310</t>
        </is>
      </c>
      <c r="C608" t="inlineStr">
        <is>
          <t>Fachrul Rozzi Suryana</t>
        </is>
      </c>
      <c r="D608" t="inlineStr">
        <is>
          <t>LOG</t>
        </is>
      </c>
      <c r="E608" t="inlineStr">
        <is>
          <t>WRM Harian</t>
        </is>
      </c>
      <c r="F608" t="inlineStr">
        <is>
          <t>08:00:10</t>
        </is>
      </c>
      <c r="G608" t="inlineStr">
        <is>
          <t>16:02:53</t>
        </is>
      </c>
      <c r="H608" t="inlineStr">
        <is>
          <t>SELESAI</t>
        </is>
      </c>
      <c r="I608" t="inlineStr">
        <is>
          <t>MK0008</t>
        </is>
      </c>
      <c r="J608" t="inlineStr"/>
    </row>
    <row r="609">
      <c r="A609" t="inlineStr">
        <is>
          <t>01/06/2026</t>
        </is>
      </c>
      <c r="B609" t="inlineStr">
        <is>
          <t>528000323</t>
        </is>
      </c>
      <c r="C609" t="inlineStr">
        <is>
          <t>Dian Hamidah</t>
        </is>
      </c>
      <c r="D609" t="inlineStr">
        <is>
          <t>PROD</t>
        </is>
      </c>
      <c r="E609" t="inlineStr">
        <is>
          <t>Produksi Harian</t>
        </is>
      </c>
      <c r="F609" t="inlineStr"/>
      <c r="G609" t="inlineStr">
        <is>
          <t>06:06:15</t>
        </is>
      </c>
      <c r="H609" t="inlineStr">
        <is>
          <t>KELUAR TANPA MASUK</t>
        </is>
      </c>
      <c r="I609" t="inlineStr">
        <is>
          <t>MK00126</t>
        </is>
      </c>
      <c r="J609" t="inlineStr"/>
    </row>
    <row r="610">
      <c r="A610" t="inlineStr">
        <is>
          <t>01/06/2026</t>
        </is>
      </c>
      <c r="B610" t="inlineStr">
        <is>
          <t>528000348</t>
        </is>
      </c>
      <c r="C610" t="inlineStr">
        <is>
          <t>Saepuloh Ardiansah</t>
        </is>
      </c>
      <c r="D610" t="inlineStr">
        <is>
          <t>LOG</t>
        </is>
      </c>
      <c r="E610" t="inlineStr">
        <is>
          <t>WRM Harian</t>
        </is>
      </c>
      <c r="F610" t="inlineStr">
        <is>
          <t>08:53:28</t>
        </is>
      </c>
      <c r="G610" t="inlineStr">
        <is>
          <t>17:31:53</t>
        </is>
      </c>
      <c r="H610" t="inlineStr">
        <is>
          <t>SELESAI</t>
        </is>
      </c>
      <c r="I610" t="inlineStr">
        <is>
          <t>MK00205</t>
        </is>
      </c>
      <c r="J610" t="inlineStr"/>
    </row>
    <row r="611">
      <c r="A611" t="inlineStr">
        <is>
          <t>01/06/2026</t>
        </is>
      </c>
      <c r="B611" t="inlineStr">
        <is>
          <t>528000349</t>
        </is>
      </c>
      <c r="C611" t="inlineStr">
        <is>
          <t>Anas Abdul Fatah</t>
        </is>
      </c>
      <c r="D611" t="inlineStr">
        <is>
          <t>LOG</t>
        </is>
      </c>
      <c r="E611" t="inlineStr">
        <is>
          <t>WFG Harian</t>
        </is>
      </c>
      <c r="F611" t="inlineStr">
        <is>
          <t>07:51:19</t>
        </is>
      </c>
      <c r="G611" t="inlineStr">
        <is>
          <t>16:17:40</t>
        </is>
      </c>
      <c r="H611" t="inlineStr">
        <is>
          <t>SELESAI</t>
        </is>
      </c>
      <c r="I611" t="inlineStr">
        <is>
          <t>MK00112</t>
        </is>
      </c>
      <c r="J611" t="inlineStr"/>
    </row>
    <row r="612">
      <c r="A612" t="inlineStr">
        <is>
          <t>01/06/2026</t>
        </is>
      </c>
      <c r="B612" t="inlineStr">
        <is>
          <t>528000351</t>
        </is>
      </c>
      <c r="C612" t="inlineStr">
        <is>
          <t>Mulyana</t>
        </is>
      </c>
      <c r="D612" t="inlineStr">
        <is>
          <t>PROD</t>
        </is>
      </c>
      <c r="E612" t="inlineStr">
        <is>
          <t>Produksi Harian</t>
        </is>
      </c>
      <c r="F612" t="inlineStr">
        <is>
          <t>07:48:38</t>
        </is>
      </c>
      <c r="G612" t="inlineStr">
        <is>
          <t>16:02:09</t>
        </is>
      </c>
      <c r="H612" t="inlineStr">
        <is>
          <t>SELESAI</t>
        </is>
      </c>
      <c r="I612" t="inlineStr">
        <is>
          <t>MK00108</t>
        </is>
      </c>
      <c r="J612" t="inlineStr"/>
    </row>
    <row r="613">
      <c r="A613" t="inlineStr">
        <is>
          <t>01/06/2026</t>
        </is>
      </c>
      <c r="B613" t="inlineStr">
        <is>
          <t>628000061</t>
        </is>
      </c>
      <c r="C613" t="inlineStr">
        <is>
          <t>Nayla Fadillah Exwantoro</t>
        </is>
      </c>
      <c r="D613" t="inlineStr">
        <is>
          <t>PROD</t>
        </is>
      </c>
      <c r="E613" t="inlineStr">
        <is>
          <t>Produksi Borongan</t>
        </is>
      </c>
      <c r="F613" t="inlineStr">
        <is>
          <t>12:56:38</t>
        </is>
      </c>
      <c r="G613" t="inlineStr">
        <is>
          <t>23:58:50</t>
        </is>
      </c>
      <c r="H613" t="inlineStr">
        <is>
          <t>SELESAI</t>
        </is>
      </c>
      <c r="I613" t="inlineStr">
        <is>
          <t>MK00155</t>
        </is>
      </c>
      <c r="J613" t="inlineStr"/>
    </row>
    <row r="614">
      <c r="A614" t="inlineStr">
        <is>
          <t>01/06/2026</t>
        </is>
      </c>
      <c r="B614" t="inlineStr">
        <is>
          <t>628000064</t>
        </is>
      </c>
      <c r="C614" t="inlineStr">
        <is>
          <t>Silva Alypia</t>
        </is>
      </c>
      <c r="D614" t="inlineStr">
        <is>
          <t>PROD</t>
        </is>
      </c>
      <c r="E614" t="inlineStr">
        <is>
          <t>Produksi Borongan</t>
        </is>
      </c>
      <c r="F614" t="inlineStr">
        <is>
          <t>21:51:31</t>
        </is>
      </c>
      <c r="G614" t="inlineStr">
        <is>
          <t>06:05:39</t>
        </is>
      </c>
      <c r="H614" t="inlineStr">
        <is>
          <t>SELESAI</t>
        </is>
      </c>
      <c r="I614" t="inlineStr">
        <is>
          <t>MK00148</t>
        </is>
      </c>
      <c r="J614" t="inlineStr"/>
    </row>
    <row r="615">
      <c r="A615" t="inlineStr">
        <is>
          <t>01/06/2026</t>
        </is>
      </c>
      <c r="B615" t="inlineStr">
        <is>
          <t>628000091</t>
        </is>
      </c>
      <c r="C615" t="inlineStr">
        <is>
          <t>Devita Handayani</t>
        </is>
      </c>
      <c r="D615" t="inlineStr">
        <is>
          <t>PROD</t>
        </is>
      </c>
      <c r="E615" t="inlineStr">
        <is>
          <t>Produksi Borongan</t>
        </is>
      </c>
      <c r="F615" t="inlineStr">
        <is>
          <t>13:29:06</t>
        </is>
      </c>
      <c r="G615" t="inlineStr">
        <is>
          <t>23:37:02</t>
        </is>
      </c>
      <c r="H615" t="inlineStr">
        <is>
          <t>SELESAI</t>
        </is>
      </c>
      <c r="I615" t="inlineStr">
        <is>
          <t>MK00199</t>
        </is>
      </c>
      <c r="J615" t="inlineStr"/>
    </row>
    <row r="616">
      <c r="A616" t="inlineStr">
        <is>
          <t>02/06/2026</t>
        </is>
      </c>
      <c r="B616" t="inlineStr">
        <is>
          <t>528000015</t>
        </is>
      </c>
      <c r="C616" t="inlineStr">
        <is>
          <t>Erwin</t>
        </is>
      </c>
      <c r="D616" t="inlineStr">
        <is>
          <t>LOG</t>
        </is>
      </c>
      <c r="E616" t="inlineStr">
        <is>
          <t>WRM Harian</t>
        </is>
      </c>
      <c r="F616" t="inlineStr">
        <is>
          <t>07:52:23</t>
        </is>
      </c>
      <c r="G616" t="inlineStr">
        <is>
          <t>20:57:18</t>
        </is>
      </c>
      <c r="H616" t="inlineStr">
        <is>
          <t>SELESAI</t>
        </is>
      </c>
      <c r="I616" t="inlineStr">
        <is>
          <t>MK00213</t>
        </is>
      </c>
      <c r="J616" t="inlineStr"/>
    </row>
    <row r="617">
      <c r="A617" t="inlineStr">
        <is>
          <t>02/06/2026</t>
        </is>
      </c>
      <c r="B617" t="inlineStr">
        <is>
          <t>528000052</t>
        </is>
      </c>
      <c r="C617" t="inlineStr">
        <is>
          <t>Mustopa</t>
        </is>
      </c>
      <c r="D617" t="inlineStr">
        <is>
          <t>PROD</t>
        </is>
      </c>
      <c r="E617" t="inlineStr">
        <is>
          <t>Produksi Harian</t>
        </is>
      </c>
      <c r="F617" t="inlineStr">
        <is>
          <t>05:28:56</t>
        </is>
      </c>
      <c r="G617" t="inlineStr">
        <is>
          <t>14:03:03</t>
        </is>
      </c>
      <c r="H617" t="inlineStr">
        <is>
          <t>SELESAI</t>
        </is>
      </c>
      <c r="I617" t="inlineStr">
        <is>
          <t>MK00250</t>
        </is>
      </c>
      <c r="J617" t="inlineStr"/>
    </row>
    <row r="618">
      <c r="A618" t="inlineStr">
        <is>
          <t>02/06/2026</t>
        </is>
      </c>
      <c r="B618" t="inlineStr">
        <is>
          <t>528000055</t>
        </is>
      </c>
      <c r="C618" t="inlineStr">
        <is>
          <t>Dika Prasetya</t>
        </is>
      </c>
      <c r="D618" t="inlineStr">
        <is>
          <t>LOG</t>
        </is>
      </c>
      <c r="E618" t="inlineStr">
        <is>
          <t>WRM Harian</t>
        </is>
      </c>
      <c r="F618" t="inlineStr">
        <is>
          <t>15:20:00</t>
        </is>
      </c>
      <c r="G618" t="inlineStr">
        <is>
          <t>00:18:52</t>
        </is>
      </c>
      <c r="H618" t="inlineStr">
        <is>
          <t>SELESAI</t>
        </is>
      </c>
      <c r="I618" t="inlineStr">
        <is>
          <t>MK00180</t>
        </is>
      </c>
      <c r="J618" t="inlineStr"/>
    </row>
    <row r="619">
      <c r="A619" t="inlineStr">
        <is>
          <t>02/06/2026</t>
        </is>
      </c>
      <c r="B619" t="inlineStr">
        <is>
          <t>528000063</t>
        </is>
      </c>
      <c r="C619" t="inlineStr">
        <is>
          <t>Muhamad Ripki Pebrian</t>
        </is>
      </c>
      <c r="D619" t="inlineStr">
        <is>
          <t>PROD</t>
        </is>
      </c>
      <c r="E619" t="inlineStr">
        <is>
          <t>Produksi Harian</t>
        </is>
      </c>
      <c r="F619" t="inlineStr">
        <is>
          <t>21:36:46</t>
        </is>
      </c>
      <c r="G619" t="inlineStr">
        <is>
          <t>06:02:39</t>
        </is>
      </c>
      <c r="H619" t="inlineStr">
        <is>
          <t>SELESAI</t>
        </is>
      </c>
      <c r="I619" t="inlineStr">
        <is>
          <t>MK00208</t>
        </is>
      </c>
      <c r="J619" t="inlineStr"/>
    </row>
    <row r="620">
      <c r="A620" t="inlineStr">
        <is>
          <t>02/06/2026</t>
        </is>
      </c>
      <c r="B620" t="inlineStr">
        <is>
          <t>528000098</t>
        </is>
      </c>
      <c r="C620" t="inlineStr">
        <is>
          <t>Edi Junaedi</t>
        </is>
      </c>
      <c r="D620" t="inlineStr">
        <is>
          <t>PROD</t>
        </is>
      </c>
      <c r="E620" t="inlineStr">
        <is>
          <t>Produksi Harian</t>
        </is>
      </c>
      <c r="F620" t="inlineStr"/>
      <c r="G620" t="inlineStr">
        <is>
          <t>21:57:34</t>
        </is>
      </c>
      <c r="H620" t="inlineStr">
        <is>
          <t>KELUAR TANPA MASUK</t>
        </is>
      </c>
      <c r="I620" t="inlineStr">
        <is>
          <t>MK00208</t>
        </is>
      </c>
      <c r="J620" t="inlineStr"/>
    </row>
    <row r="621">
      <c r="A621" t="inlineStr">
        <is>
          <t>02/06/2026</t>
        </is>
      </c>
      <c r="B621" t="inlineStr">
        <is>
          <t>528000132</t>
        </is>
      </c>
      <c r="C621" t="inlineStr">
        <is>
          <t>Giopani</t>
        </is>
      </c>
      <c r="D621" t="inlineStr">
        <is>
          <t>LOG</t>
        </is>
      </c>
      <c r="E621" t="inlineStr">
        <is>
          <t>WRM Harian</t>
        </is>
      </c>
      <c r="F621" t="inlineStr">
        <is>
          <t>08:44:42</t>
        </is>
      </c>
      <c r="G621" t="inlineStr">
        <is>
          <t>17:33:00</t>
        </is>
      </c>
      <c r="H621" t="inlineStr">
        <is>
          <t>SELESAI</t>
        </is>
      </c>
      <c r="I621" t="inlineStr">
        <is>
          <t>MK00228</t>
        </is>
      </c>
      <c r="J621" t="inlineStr"/>
    </row>
    <row r="622">
      <c r="A622" t="inlineStr">
        <is>
          <t>02/06/2026</t>
        </is>
      </c>
      <c r="B622" t="inlineStr">
        <is>
          <t>528000144</t>
        </is>
      </c>
      <c r="C622" t="inlineStr">
        <is>
          <t>Jodi Hanafi</t>
        </is>
      </c>
      <c r="D622" t="inlineStr">
        <is>
          <t>LOG</t>
        </is>
      </c>
      <c r="E622" t="inlineStr">
        <is>
          <t>WRM Harian</t>
        </is>
      </c>
      <c r="F622" t="inlineStr">
        <is>
          <t>07:59:22</t>
        </is>
      </c>
      <c r="G622" t="inlineStr">
        <is>
          <t>16:11:09</t>
        </is>
      </c>
      <c r="H622" t="inlineStr">
        <is>
          <t>SELESAI</t>
        </is>
      </c>
      <c r="I622" t="inlineStr">
        <is>
          <t>MK00082</t>
        </is>
      </c>
      <c r="J622" t="inlineStr"/>
    </row>
    <row r="623">
      <c r="A623" t="inlineStr">
        <is>
          <t>02/06/2026</t>
        </is>
      </c>
      <c r="B623" t="inlineStr">
        <is>
          <t>528000195</t>
        </is>
      </c>
      <c r="C623" t="inlineStr">
        <is>
          <t>Rahma Sariwati</t>
        </is>
      </c>
      <c r="D623" t="inlineStr">
        <is>
          <t>PROD</t>
        </is>
      </c>
      <c r="E623" t="inlineStr">
        <is>
          <t>Produksi Harian</t>
        </is>
      </c>
      <c r="F623" t="inlineStr">
        <is>
          <t>05:48:42</t>
        </is>
      </c>
      <c r="G623" t="inlineStr">
        <is>
          <t>14:01:20</t>
        </is>
      </c>
      <c r="H623" t="inlineStr">
        <is>
          <t>SELESAI</t>
        </is>
      </c>
      <c r="I623" t="inlineStr">
        <is>
          <t>MK00138</t>
        </is>
      </c>
      <c r="J623" t="inlineStr"/>
    </row>
    <row r="624">
      <c r="A624" t="inlineStr">
        <is>
          <t>02/06/2026</t>
        </is>
      </c>
      <c r="B624" t="inlineStr">
        <is>
          <t>528000232</t>
        </is>
      </c>
      <c r="C624" t="inlineStr">
        <is>
          <t>Agung Aji Suhada</t>
        </is>
      </c>
      <c r="D624" t="inlineStr">
        <is>
          <t>LOG</t>
        </is>
      </c>
      <c r="E624" t="inlineStr">
        <is>
          <t>WRM Harian</t>
        </is>
      </c>
      <c r="F624" t="inlineStr">
        <is>
          <t>15:52:42</t>
        </is>
      </c>
      <c r="G624" t="inlineStr">
        <is>
          <t>05:55:36</t>
        </is>
      </c>
      <c r="H624" t="inlineStr">
        <is>
          <t>SELESAI</t>
        </is>
      </c>
      <c r="I624" t="inlineStr">
        <is>
          <t>MK00093</t>
        </is>
      </c>
      <c r="J624" t="inlineStr"/>
    </row>
    <row r="625">
      <c r="A625" t="inlineStr">
        <is>
          <t>02/06/2026</t>
        </is>
      </c>
      <c r="B625" t="inlineStr">
        <is>
          <t>528000261</t>
        </is>
      </c>
      <c r="C625" t="inlineStr">
        <is>
          <t>Ergi Ergianto</t>
        </is>
      </c>
      <c r="D625" t="inlineStr">
        <is>
          <t>HRGA</t>
        </is>
      </c>
      <c r="E625" t="inlineStr">
        <is>
          <t>GA Harian</t>
        </is>
      </c>
      <c r="F625" t="inlineStr">
        <is>
          <t>05:47:48</t>
        </is>
      </c>
      <c r="G625" t="inlineStr">
        <is>
          <t>14:03:56</t>
        </is>
      </c>
      <c r="H625" t="inlineStr">
        <is>
          <t>SELESAI</t>
        </is>
      </c>
      <c r="I625" t="inlineStr">
        <is>
          <t>MK00199</t>
        </is>
      </c>
      <c r="J625" t="inlineStr"/>
    </row>
    <row r="626">
      <c r="A626" t="inlineStr">
        <is>
          <t>02/06/2026</t>
        </is>
      </c>
      <c r="B626" t="inlineStr">
        <is>
          <t>528000262</t>
        </is>
      </c>
      <c r="C626" t="inlineStr">
        <is>
          <t>Ndari Dwiwanti</t>
        </is>
      </c>
      <c r="D626" t="inlineStr">
        <is>
          <t>PROD</t>
        </is>
      </c>
      <c r="E626" t="inlineStr">
        <is>
          <t>Produksi Harian</t>
        </is>
      </c>
      <c r="F626" t="inlineStr">
        <is>
          <t>05:47:20</t>
        </is>
      </c>
      <c r="G626" t="inlineStr">
        <is>
          <t>14:00:34</t>
        </is>
      </c>
      <c r="H626" t="inlineStr">
        <is>
          <t>SELESAI</t>
        </is>
      </c>
      <c r="I626" t="inlineStr">
        <is>
          <t>MK00209</t>
        </is>
      </c>
      <c r="J626" t="inlineStr"/>
    </row>
    <row r="627">
      <c r="A627" t="inlineStr">
        <is>
          <t>02/06/2026</t>
        </is>
      </c>
      <c r="B627" t="inlineStr">
        <is>
          <t>528000265</t>
        </is>
      </c>
      <c r="C627" t="inlineStr">
        <is>
          <t>Muhammad Haerul Rozikin</t>
        </is>
      </c>
      <c r="D627" t="inlineStr">
        <is>
          <t>LOG</t>
        </is>
      </c>
      <c r="E627" t="inlineStr">
        <is>
          <t>WRM Harian</t>
        </is>
      </c>
      <c r="F627" t="inlineStr">
        <is>
          <t>07:43:01</t>
        </is>
      </c>
      <c r="G627" t="inlineStr">
        <is>
          <t>16:02:58</t>
        </is>
      </c>
      <c r="H627" t="inlineStr">
        <is>
          <t>SELESAI</t>
        </is>
      </c>
      <c r="I627" t="inlineStr">
        <is>
          <t>MK00249</t>
        </is>
      </c>
      <c r="J627" t="inlineStr"/>
    </row>
    <row r="628">
      <c r="A628" t="inlineStr">
        <is>
          <t>02/06/2026</t>
        </is>
      </c>
      <c r="B628" t="inlineStr">
        <is>
          <t>528000266</t>
        </is>
      </c>
      <c r="C628" t="inlineStr">
        <is>
          <t>M. Syirajatieq</t>
        </is>
      </c>
      <c r="D628" t="inlineStr">
        <is>
          <t>LOG</t>
        </is>
      </c>
      <c r="E628" t="inlineStr">
        <is>
          <t>WFG Harian</t>
        </is>
      </c>
      <c r="F628" t="inlineStr">
        <is>
          <t>05:43:10</t>
        </is>
      </c>
      <c r="G628" t="inlineStr">
        <is>
          <t>05:42:48</t>
        </is>
      </c>
      <c r="H628" t="inlineStr">
        <is>
          <t>SELESAI</t>
        </is>
      </c>
      <c r="I628" t="inlineStr">
        <is>
          <t>MK00093</t>
        </is>
      </c>
      <c r="J628" t="inlineStr"/>
    </row>
    <row r="629">
      <c r="A629" t="inlineStr">
        <is>
          <t>02/06/2026</t>
        </is>
      </c>
      <c r="B629" t="inlineStr">
        <is>
          <t>528000270</t>
        </is>
      </c>
      <c r="C629" t="inlineStr">
        <is>
          <t>Febri Najmudin</t>
        </is>
      </c>
      <c r="D629" t="inlineStr">
        <is>
          <t>LOG</t>
        </is>
      </c>
      <c r="E629" t="inlineStr">
        <is>
          <t>WRM Harian</t>
        </is>
      </c>
      <c r="F629" t="inlineStr">
        <is>
          <t>13:45:07</t>
        </is>
      </c>
      <c r="G629" t="inlineStr">
        <is>
          <t>22:23:58</t>
        </is>
      </c>
      <c r="H629" t="inlineStr">
        <is>
          <t>SELESAI</t>
        </is>
      </c>
      <c r="I629" t="inlineStr">
        <is>
          <t>MK00134</t>
        </is>
      </c>
      <c r="J629" t="inlineStr"/>
    </row>
    <row r="630">
      <c r="A630" t="inlineStr">
        <is>
          <t>02/06/2026</t>
        </is>
      </c>
      <c r="B630" t="inlineStr">
        <is>
          <t>528000273</t>
        </is>
      </c>
      <c r="C630" t="inlineStr">
        <is>
          <t>Asep Mulyana</t>
        </is>
      </c>
      <c r="D630" t="inlineStr">
        <is>
          <t>PROD</t>
        </is>
      </c>
      <c r="E630" t="inlineStr">
        <is>
          <t>Produksi Harian</t>
        </is>
      </c>
      <c r="F630" t="inlineStr">
        <is>
          <t>15:21:28</t>
        </is>
      </c>
      <c r="G630" t="inlineStr"/>
      <c r="H630" t="inlineStr">
        <is>
          <t>DI DALAM</t>
        </is>
      </c>
      <c r="I630" t="inlineStr">
        <is>
          <t>181</t>
        </is>
      </c>
      <c r="J630" t="inlineStr"/>
    </row>
    <row r="631">
      <c r="A631" t="inlineStr">
        <is>
          <t>02/06/2026</t>
        </is>
      </c>
      <c r="B631" t="inlineStr">
        <is>
          <t>528000279</t>
        </is>
      </c>
      <c r="C631" t="inlineStr">
        <is>
          <t>Mahdalena Dalfa Riani</t>
        </is>
      </c>
      <c r="D631" t="inlineStr">
        <is>
          <t>PROD</t>
        </is>
      </c>
      <c r="E631" t="inlineStr">
        <is>
          <t>Produksi Harian</t>
        </is>
      </c>
      <c r="F631" t="inlineStr">
        <is>
          <t>21:51:38</t>
        </is>
      </c>
      <c r="G631" t="inlineStr">
        <is>
          <t>06:04:07</t>
        </is>
      </c>
      <c r="H631" t="inlineStr">
        <is>
          <t>SELESAI</t>
        </is>
      </c>
      <c r="I631" t="inlineStr">
        <is>
          <t>MK00202</t>
        </is>
      </c>
      <c r="J631" t="inlineStr"/>
    </row>
    <row r="632">
      <c r="A632" t="inlineStr">
        <is>
          <t>02/06/2026</t>
        </is>
      </c>
      <c r="B632" t="inlineStr">
        <is>
          <t>528000282</t>
        </is>
      </c>
      <c r="C632" t="inlineStr">
        <is>
          <t>Defa Desfiana</t>
        </is>
      </c>
      <c r="D632" t="inlineStr">
        <is>
          <t>PROD</t>
        </is>
      </c>
      <c r="E632" t="inlineStr">
        <is>
          <t>Produksi Harian</t>
        </is>
      </c>
      <c r="F632" t="inlineStr">
        <is>
          <t>07:36:28</t>
        </is>
      </c>
      <c r="G632" t="inlineStr">
        <is>
          <t>16:01:26</t>
        </is>
      </c>
      <c r="H632" t="inlineStr">
        <is>
          <t>SELESAI</t>
        </is>
      </c>
      <c r="I632" t="inlineStr">
        <is>
          <t>MK00210</t>
        </is>
      </c>
      <c r="J632" t="inlineStr">
        <is>
          <t>31b</t>
        </is>
      </c>
    </row>
    <row r="633">
      <c r="A633" t="inlineStr">
        <is>
          <t>02/06/2026</t>
        </is>
      </c>
      <c r="B633" t="inlineStr">
        <is>
          <t>528000288</t>
        </is>
      </c>
      <c r="C633" t="inlineStr">
        <is>
          <t>Dede gunawan</t>
        </is>
      </c>
      <c r="D633" t="inlineStr">
        <is>
          <t>PROD</t>
        </is>
      </c>
      <c r="E633" t="inlineStr">
        <is>
          <t>Produksi Harian</t>
        </is>
      </c>
      <c r="F633" t="inlineStr">
        <is>
          <t>21:25:34</t>
        </is>
      </c>
      <c r="G633" t="inlineStr">
        <is>
          <t>06:05:12</t>
        </is>
      </c>
      <c r="H633" t="inlineStr">
        <is>
          <t>SELESAI</t>
        </is>
      </c>
      <c r="I633" t="inlineStr">
        <is>
          <t>MK00093</t>
        </is>
      </c>
      <c r="J633" t="inlineStr"/>
    </row>
    <row r="634">
      <c r="A634" t="inlineStr">
        <is>
          <t>02/06/2026</t>
        </is>
      </c>
      <c r="B634" t="inlineStr">
        <is>
          <t>528000291</t>
        </is>
      </c>
      <c r="C634" t="inlineStr">
        <is>
          <t>Andrian</t>
        </is>
      </c>
      <c r="D634" t="inlineStr">
        <is>
          <t>PROD</t>
        </is>
      </c>
      <c r="E634" t="inlineStr">
        <is>
          <t>Produksi Harian</t>
        </is>
      </c>
      <c r="F634" t="inlineStr">
        <is>
          <t>05:52:15</t>
        </is>
      </c>
      <c r="G634" t="inlineStr">
        <is>
          <t>14:04:45</t>
        </is>
      </c>
      <c r="H634" t="inlineStr">
        <is>
          <t>SELESAI</t>
        </is>
      </c>
      <c r="I634" t="inlineStr">
        <is>
          <t>MK00154</t>
        </is>
      </c>
      <c r="J634" t="inlineStr"/>
    </row>
    <row r="635">
      <c r="A635" t="inlineStr">
        <is>
          <t>02/06/2026</t>
        </is>
      </c>
      <c r="B635" t="inlineStr">
        <is>
          <t>528000297</t>
        </is>
      </c>
      <c r="C635" t="inlineStr">
        <is>
          <t>Muhamad Budiana</t>
        </is>
      </c>
      <c r="D635" t="inlineStr">
        <is>
          <t>PROD</t>
        </is>
      </c>
      <c r="E635" t="inlineStr">
        <is>
          <t>Produksi Harian</t>
        </is>
      </c>
      <c r="F635" t="inlineStr">
        <is>
          <t>21:41:25</t>
        </is>
      </c>
      <c r="G635" t="inlineStr">
        <is>
          <t>07:09:31</t>
        </is>
      </c>
      <c r="H635" t="inlineStr">
        <is>
          <t>SELESAI</t>
        </is>
      </c>
      <c r="I635" t="inlineStr">
        <is>
          <t>MK00138</t>
        </is>
      </c>
      <c r="J635" t="inlineStr"/>
    </row>
    <row r="636">
      <c r="A636" t="inlineStr">
        <is>
          <t>02/06/2026</t>
        </is>
      </c>
      <c r="B636" t="inlineStr">
        <is>
          <t>528000298</t>
        </is>
      </c>
      <c r="C636" t="inlineStr">
        <is>
          <t>Desta Cahaya Pratama</t>
        </is>
      </c>
      <c r="D636" t="inlineStr">
        <is>
          <t>PROD</t>
        </is>
      </c>
      <c r="E636" t="inlineStr">
        <is>
          <t>Produksi Harian</t>
        </is>
      </c>
      <c r="F636" t="inlineStr">
        <is>
          <t>13:40:46</t>
        </is>
      </c>
      <c r="G636" t="inlineStr">
        <is>
          <t>22:04:08</t>
        </is>
      </c>
      <c r="H636" t="inlineStr">
        <is>
          <t>SELESAI</t>
        </is>
      </c>
      <c r="I636" t="inlineStr">
        <is>
          <t>MK00181</t>
        </is>
      </c>
      <c r="J636" t="inlineStr"/>
    </row>
    <row r="637">
      <c r="A637" t="inlineStr">
        <is>
          <t>02/06/2026</t>
        </is>
      </c>
      <c r="B637" t="inlineStr">
        <is>
          <t>528000299</t>
        </is>
      </c>
      <c r="C637" t="inlineStr">
        <is>
          <t>Siti Nurjanah</t>
        </is>
      </c>
      <c r="D637" t="inlineStr">
        <is>
          <t>PROD</t>
        </is>
      </c>
      <c r="E637" t="inlineStr">
        <is>
          <t>Produksi Harian</t>
        </is>
      </c>
      <c r="F637" t="inlineStr">
        <is>
          <t>13:38:08</t>
        </is>
      </c>
      <c r="G637" t="inlineStr">
        <is>
          <t>22:06:06</t>
        </is>
      </c>
      <c r="H637" t="inlineStr">
        <is>
          <t>SELESAI</t>
        </is>
      </c>
      <c r="I637" t="inlineStr">
        <is>
          <t>MK00113</t>
        </is>
      </c>
      <c r="J637" t="inlineStr"/>
    </row>
    <row r="638">
      <c r="A638" t="inlineStr">
        <is>
          <t>02/06/2026</t>
        </is>
      </c>
      <c r="B638" t="inlineStr">
        <is>
          <t>528000300</t>
        </is>
      </c>
      <c r="C638" t="inlineStr">
        <is>
          <t>Lia pitaloka</t>
        </is>
      </c>
      <c r="D638" t="inlineStr">
        <is>
          <t>PROD</t>
        </is>
      </c>
      <c r="E638" t="inlineStr">
        <is>
          <t>Produksi Harian</t>
        </is>
      </c>
      <c r="F638" t="inlineStr">
        <is>
          <t>21:51:50</t>
        </is>
      </c>
      <c r="G638" t="inlineStr">
        <is>
          <t>06:04:02</t>
        </is>
      </c>
      <c r="H638" t="inlineStr">
        <is>
          <t>SELESAI</t>
        </is>
      </c>
      <c r="I638" t="inlineStr">
        <is>
          <t>MK00181</t>
        </is>
      </c>
      <c r="J638" t="inlineStr"/>
    </row>
    <row r="639">
      <c r="A639" t="inlineStr">
        <is>
          <t>02/06/2026</t>
        </is>
      </c>
      <c r="B639" t="inlineStr">
        <is>
          <t>528000302</t>
        </is>
      </c>
      <c r="C639" t="inlineStr">
        <is>
          <t>Henkey gumilar</t>
        </is>
      </c>
      <c r="D639" t="inlineStr">
        <is>
          <t>PROD</t>
        </is>
      </c>
      <c r="E639" t="inlineStr">
        <is>
          <t>Produksi Harian</t>
        </is>
      </c>
      <c r="F639" t="inlineStr">
        <is>
          <t>13:39:22</t>
        </is>
      </c>
      <c r="G639" t="inlineStr">
        <is>
          <t>22:08:33</t>
        </is>
      </c>
      <c r="H639" t="inlineStr">
        <is>
          <t>SELESAI</t>
        </is>
      </c>
      <c r="I639" t="inlineStr">
        <is>
          <t>MK00235</t>
        </is>
      </c>
      <c r="J639" t="inlineStr"/>
    </row>
    <row r="640">
      <c r="A640" t="inlineStr">
        <is>
          <t>02/06/2026</t>
        </is>
      </c>
      <c r="B640" t="inlineStr">
        <is>
          <t>528000305</t>
        </is>
      </c>
      <c r="C640" t="inlineStr">
        <is>
          <t>Puji Puspita</t>
        </is>
      </c>
      <c r="D640" t="inlineStr">
        <is>
          <t>PROD</t>
        </is>
      </c>
      <c r="E640" t="inlineStr">
        <is>
          <t>Produksi Harian</t>
        </is>
      </c>
      <c r="F640" t="inlineStr">
        <is>
          <t>13:37:18</t>
        </is>
      </c>
      <c r="G640" t="inlineStr">
        <is>
          <t>22:06:47</t>
        </is>
      </c>
      <c r="H640" t="inlineStr">
        <is>
          <t>SELESAI</t>
        </is>
      </c>
      <c r="I640" t="inlineStr">
        <is>
          <t>MK00136</t>
        </is>
      </c>
      <c r="J640" t="inlineStr"/>
    </row>
    <row r="641">
      <c r="A641" t="inlineStr">
        <is>
          <t>02/06/2026</t>
        </is>
      </c>
      <c r="B641" t="inlineStr">
        <is>
          <t>528000306</t>
        </is>
      </c>
      <c r="C641" t="inlineStr">
        <is>
          <t>Windy Olivia</t>
        </is>
      </c>
      <c r="D641" t="inlineStr">
        <is>
          <t>PROD</t>
        </is>
      </c>
      <c r="E641" t="inlineStr">
        <is>
          <t>Produksi Harian</t>
        </is>
      </c>
      <c r="F641" t="inlineStr">
        <is>
          <t>21:41:30</t>
        </is>
      </c>
      <c r="G641" t="inlineStr"/>
      <c r="H641" t="inlineStr">
        <is>
          <t>DI DALAM</t>
        </is>
      </c>
      <c r="I641" t="inlineStr">
        <is>
          <t>MK00090</t>
        </is>
      </c>
      <c r="J641" t="inlineStr"/>
    </row>
    <row r="642">
      <c r="A642" t="inlineStr">
        <is>
          <t>02/06/2026</t>
        </is>
      </c>
      <c r="B642" t="inlineStr">
        <is>
          <t>528000309</t>
        </is>
      </c>
      <c r="C642" t="inlineStr">
        <is>
          <t>Ilham Ramadhan</t>
        </is>
      </c>
      <c r="D642" t="inlineStr">
        <is>
          <t>LOG</t>
        </is>
      </c>
      <c r="E642" t="inlineStr">
        <is>
          <t>WRM Harian</t>
        </is>
      </c>
      <c r="F642" t="inlineStr">
        <is>
          <t>13:51:03</t>
        </is>
      </c>
      <c r="G642" t="inlineStr">
        <is>
          <t>22:08:03</t>
        </is>
      </c>
      <c r="H642" t="inlineStr">
        <is>
          <t>SELESAI</t>
        </is>
      </c>
      <c r="I642" t="inlineStr">
        <is>
          <t>MK00116</t>
        </is>
      </c>
      <c r="J642" t="inlineStr"/>
    </row>
    <row r="643">
      <c r="A643" t="inlineStr">
        <is>
          <t>02/06/2026</t>
        </is>
      </c>
      <c r="B643" t="inlineStr">
        <is>
          <t>528000310</t>
        </is>
      </c>
      <c r="C643" t="inlineStr">
        <is>
          <t>Fachrul Rozzi Suryana</t>
        </is>
      </c>
      <c r="D643" t="inlineStr">
        <is>
          <t>LOG</t>
        </is>
      </c>
      <c r="E643" t="inlineStr">
        <is>
          <t>WRM Harian</t>
        </is>
      </c>
      <c r="F643" t="inlineStr">
        <is>
          <t>08:02:11</t>
        </is>
      </c>
      <c r="G643" t="inlineStr">
        <is>
          <t>16:01:57</t>
        </is>
      </c>
      <c r="H643" t="inlineStr">
        <is>
          <t>SELESAI</t>
        </is>
      </c>
      <c r="I643" t="inlineStr">
        <is>
          <t>MK00008</t>
        </is>
      </c>
      <c r="J643" t="inlineStr">
        <is>
          <t>10 A</t>
        </is>
      </c>
    </row>
    <row r="644">
      <c r="A644" t="inlineStr">
        <is>
          <t>02/06/2026</t>
        </is>
      </c>
      <c r="B644" t="inlineStr">
        <is>
          <t>528000323</t>
        </is>
      </c>
      <c r="C644" t="inlineStr">
        <is>
          <t>Dian Hamidah</t>
        </is>
      </c>
      <c r="D644" t="inlineStr">
        <is>
          <t>PROD</t>
        </is>
      </c>
      <c r="E644" t="inlineStr">
        <is>
          <t>Produksi Harian</t>
        </is>
      </c>
      <c r="F644" t="inlineStr">
        <is>
          <t>21:39:10</t>
        </is>
      </c>
      <c r="G644" t="inlineStr"/>
      <c r="H644" t="inlineStr">
        <is>
          <t>DI DALAM</t>
        </is>
      </c>
      <c r="I644" t="inlineStr">
        <is>
          <t>MK00221</t>
        </is>
      </c>
      <c r="J644" t="inlineStr"/>
    </row>
    <row r="645">
      <c r="A645" t="inlineStr">
        <is>
          <t>02/06/2026</t>
        </is>
      </c>
      <c r="B645" t="inlineStr">
        <is>
          <t>528000329</t>
        </is>
      </c>
      <c r="C645" t="inlineStr">
        <is>
          <t>Havid Ilham Firdaus</t>
        </is>
      </c>
      <c r="D645" t="inlineStr">
        <is>
          <t>PROD</t>
        </is>
      </c>
      <c r="E645" t="inlineStr">
        <is>
          <t>Produksi Harian</t>
        </is>
      </c>
      <c r="F645" t="inlineStr">
        <is>
          <t>21:49:48</t>
        </is>
      </c>
      <c r="G645" t="inlineStr"/>
      <c r="H645" t="inlineStr">
        <is>
          <t>DI DALAM</t>
        </is>
      </c>
      <c r="I645" t="inlineStr">
        <is>
          <t>MK00008</t>
        </is>
      </c>
      <c r="J645" t="inlineStr"/>
    </row>
    <row r="646">
      <c r="A646" t="inlineStr">
        <is>
          <t>02/06/2026</t>
        </is>
      </c>
      <c r="B646" t="inlineStr">
        <is>
          <t>528000348</t>
        </is>
      </c>
      <c r="C646" t="inlineStr">
        <is>
          <t>Saepuloh Ardiansah</t>
        </is>
      </c>
      <c r="D646" t="inlineStr">
        <is>
          <t>LOG</t>
        </is>
      </c>
      <c r="E646" t="inlineStr">
        <is>
          <t>WRM Harian</t>
        </is>
      </c>
      <c r="F646" t="inlineStr">
        <is>
          <t>08:54:44</t>
        </is>
      </c>
      <c r="G646" t="inlineStr">
        <is>
          <t>19:48:57</t>
        </is>
      </c>
      <c r="H646" t="inlineStr">
        <is>
          <t>SELESAI</t>
        </is>
      </c>
      <c r="I646" t="inlineStr">
        <is>
          <t>MK00205</t>
        </is>
      </c>
      <c r="J646" t="inlineStr"/>
    </row>
    <row r="647">
      <c r="A647" t="inlineStr">
        <is>
          <t>02/06/2026</t>
        </is>
      </c>
      <c r="B647" t="inlineStr">
        <is>
          <t>528000349</t>
        </is>
      </c>
      <c r="C647" t="inlineStr">
        <is>
          <t>Anas Abdul Fatah</t>
        </is>
      </c>
      <c r="D647" t="inlineStr">
        <is>
          <t>LOG</t>
        </is>
      </c>
      <c r="E647" t="inlineStr">
        <is>
          <t>WFG Harian</t>
        </is>
      </c>
      <c r="F647" t="inlineStr">
        <is>
          <t>07:54:34</t>
        </is>
      </c>
      <c r="G647" t="inlineStr">
        <is>
          <t>16:13:56</t>
        </is>
      </c>
      <c r="H647" t="inlineStr">
        <is>
          <t>SELESAI</t>
        </is>
      </c>
      <c r="I647" t="inlineStr">
        <is>
          <t>MK00158</t>
        </is>
      </c>
      <c r="J647" t="inlineStr"/>
    </row>
    <row r="648">
      <c r="A648" t="inlineStr">
        <is>
          <t>02/06/2026</t>
        </is>
      </c>
      <c r="B648" t="inlineStr">
        <is>
          <t>528000358</t>
        </is>
      </c>
      <c r="C648" t="inlineStr">
        <is>
          <t>Lulu Agustin</t>
        </is>
      </c>
      <c r="D648" t="inlineStr">
        <is>
          <t>PROD</t>
        </is>
      </c>
      <c r="E648" t="inlineStr">
        <is>
          <t>Produksi Harian</t>
        </is>
      </c>
      <c r="F648" t="inlineStr">
        <is>
          <t>05:44:54</t>
        </is>
      </c>
      <c r="G648" t="inlineStr">
        <is>
          <t>14:00:37</t>
        </is>
      </c>
      <c r="H648" t="inlineStr">
        <is>
          <t>SELESAI</t>
        </is>
      </c>
      <c r="I648" t="inlineStr">
        <is>
          <t>MK00151</t>
        </is>
      </c>
      <c r="J648" t="inlineStr"/>
    </row>
    <row r="649">
      <c r="A649" t="inlineStr">
        <is>
          <t>02/06/2026</t>
        </is>
      </c>
      <c r="B649" t="inlineStr">
        <is>
          <t>628000061</t>
        </is>
      </c>
      <c r="C649" t="inlineStr">
        <is>
          <t>Nayla Fadillah Exwantoro</t>
        </is>
      </c>
      <c r="D649" t="inlineStr">
        <is>
          <t>PROD</t>
        </is>
      </c>
      <c r="E649" t="inlineStr">
        <is>
          <t>Produksi Borongan</t>
        </is>
      </c>
      <c r="F649" t="inlineStr">
        <is>
          <t>12:56:06</t>
        </is>
      </c>
      <c r="G649" t="inlineStr">
        <is>
          <t>23:59:22</t>
        </is>
      </c>
      <c r="H649" t="inlineStr">
        <is>
          <t>SELESAI</t>
        </is>
      </c>
      <c r="I649" t="inlineStr">
        <is>
          <t>MK00112</t>
        </is>
      </c>
      <c r="J649" t="inlineStr"/>
    </row>
    <row r="650">
      <c r="A650" t="inlineStr">
        <is>
          <t>02/06/2026</t>
        </is>
      </c>
      <c r="B650" t="inlineStr">
        <is>
          <t>628000064</t>
        </is>
      </c>
      <c r="C650" t="inlineStr">
        <is>
          <t>Silva Alypia</t>
        </is>
      </c>
      <c r="D650" t="inlineStr">
        <is>
          <t>PROD</t>
        </is>
      </c>
      <c r="E650" t="inlineStr">
        <is>
          <t>Produksi Borongan</t>
        </is>
      </c>
      <c r="F650" t="inlineStr">
        <is>
          <t>21:46:27</t>
        </is>
      </c>
      <c r="G650" t="inlineStr">
        <is>
          <t>06:03:42</t>
        </is>
      </c>
      <c r="H650" t="inlineStr">
        <is>
          <t>SELESAI</t>
        </is>
      </c>
      <c r="I650" t="inlineStr">
        <is>
          <t>MK00108</t>
        </is>
      </c>
      <c r="J650" t="inlineStr"/>
    </row>
    <row r="651">
      <c r="A651" t="inlineStr">
        <is>
          <t>02/06/2026</t>
        </is>
      </c>
      <c r="B651" t="inlineStr">
        <is>
          <t>628000091</t>
        </is>
      </c>
      <c r="C651" t="inlineStr">
        <is>
          <t>Devita Handayani</t>
        </is>
      </c>
      <c r="D651" t="inlineStr">
        <is>
          <t>PROD</t>
        </is>
      </c>
      <c r="E651" t="inlineStr">
        <is>
          <t>Produksi Borongan</t>
        </is>
      </c>
      <c r="F651" t="inlineStr">
        <is>
          <t>13:29:32</t>
        </is>
      </c>
      <c r="G651" t="inlineStr">
        <is>
          <t>22:07:18</t>
        </is>
      </c>
      <c r="H651" t="inlineStr">
        <is>
          <t>SELESAI</t>
        </is>
      </c>
      <c r="I651" t="inlineStr">
        <is>
          <t>MK00U30</t>
        </is>
      </c>
      <c r="J651" t="inlineStr"/>
    </row>
    <row r="652">
      <c r="A652" t="inlineStr">
        <is>
          <t>03/06/2026</t>
        </is>
      </c>
      <c r="B652" t="inlineStr">
        <is>
          <t>528000015</t>
        </is>
      </c>
      <c r="C652" t="inlineStr">
        <is>
          <t>Erwin</t>
        </is>
      </c>
      <c r="D652" t="inlineStr">
        <is>
          <t>LOG</t>
        </is>
      </c>
      <c r="E652" t="inlineStr">
        <is>
          <t>WRM Harian</t>
        </is>
      </c>
      <c r="F652" t="inlineStr">
        <is>
          <t>07:21:25</t>
        </is>
      </c>
      <c r="G652" t="inlineStr"/>
      <c r="H652" t="inlineStr">
        <is>
          <t>DI DALAM</t>
        </is>
      </c>
      <c r="I652" t="inlineStr">
        <is>
          <t>MK00215</t>
        </is>
      </c>
      <c r="J652" t="inlineStr"/>
    </row>
    <row r="653">
      <c r="A653" t="inlineStr">
        <is>
          <t>03/06/2026</t>
        </is>
      </c>
      <c r="B653" t="inlineStr">
        <is>
          <t>528000052</t>
        </is>
      </c>
      <c r="C653" t="inlineStr">
        <is>
          <t>Mustopa</t>
        </is>
      </c>
      <c r="D653" t="inlineStr">
        <is>
          <t>PROD</t>
        </is>
      </c>
      <c r="E653" t="inlineStr">
        <is>
          <t>Produksi Harian</t>
        </is>
      </c>
      <c r="F653" t="inlineStr">
        <is>
          <t>05:15:41</t>
        </is>
      </c>
      <c r="G653" t="inlineStr">
        <is>
          <t>14:01:59</t>
        </is>
      </c>
      <c r="H653" t="inlineStr">
        <is>
          <t>SELESAI</t>
        </is>
      </c>
      <c r="I653" t="inlineStr">
        <is>
          <t>MK00108</t>
        </is>
      </c>
      <c r="J653" t="inlineStr"/>
    </row>
    <row r="654">
      <c r="A654" t="inlineStr">
        <is>
          <t>03/06/2026</t>
        </is>
      </c>
      <c r="B654" t="inlineStr">
        <is>
          <t>528000098</t>
        </is>
      </c>
      <c r="C654" t="inlineStr">
        <is>
          <t>Edi Junaedi</t>
        </is>
      </c>
      <c r="D654" t="inlineStr">
        <is>
          <t>PROD</t>
        </is>
      </c>
      <c r="E654" t="inlineStr">
        <is>
          <t>Produksi Harian</t>
        </is>
      </c>
      <c r="F654" t="inlineStr">
        <is>
          <t>13:19:19</t>
        </is>
      </c>
      <c r="G654" t="inlineStr"/>
      <c r="H654" t="inlineStr">
        <is>
          <t>DI DALAM</t>
        </is>
      </c>
      <c r="I654" t="inlineStr">
        <is>
          <t>MK00145</t>
        </is>
      </c>
      <c r="J654" t="inlineStr"/>
    </row>
    <row r="655">
      <c r="A655" t="inlineStr">
        <is>
          <t>03/06/2026</t>
        </is>
      </c>
      <c r="B655" t="inlineStr">
        <is>
          <t>528000132</t>
        </is>
      </c>
      <c r="C655" t="inlineStr">
        <is>
          <t>Giopani</t>
        </is>
      </c>
      <c r="D655" t="inlineStr">
        <is>
          <t>LOG</t>
        </is>
      </c>
      <c r="E655" t="inlineStr">
        <is>
          <t>WRM Harian</t>
        </is>
      </c>
      <c r="F655" t="inlineStr">
        <is>
          <t>08:47:01</t>
        </is>
      </c>
      <c r="G655" t="inlineStr"/>
      <c r="H655" t="inlineStr">
        <is>
          <t>DI DALAM</t>
        </is>
      </c>
      <c r="I655" t="inlineStr">
        <is>
          <t>MK00228</t>
        </is>
      </c>
      <c r="J655" t="inlineStr"/>
    </row>
    <row r="656">
      <c r="A656" t="inlineStr">
        <is>
          <t>03/06/2026</t>
        </is>
      </c>
      <c r="B656" t="inlineStr">
        <is>
          <t>528000144</t>
        </is>
      </c>
      <c r="C656" t="inlineStr">
        <is>
          <t>Jodi Hanafi</t>
        </is>
      </c>
      <c r="D656" t="inlineStr">
        <is>
          <t>LOG</t>
        </is>
      </c>
      <c r="E656" t="inlineStr">
        <is>
          <t>WRM Harian</t>
        </is>
      </c>
      <c r="F656" t="inlineStr">
        <is>
          <t>07:41:27</t>
        </is>
      </c>
      <c r="G656" t="inlineStr">
        <is>
          <t>13:08:55</t>
        </is>
      </c>
      <c r="H656" t="inlineStr">
        <is>
          <t>SELESAI</t>
        </is>
      </c>
      <c r="I656" t="inlineStr">
        <is>
          <t>MK00181</t>
        </is>
      </c>
      <c r="J656" t="inlineStr"/>
    </row>
    <row r="657">
      <c r="A657" t="inlineStr">
        <is>
          <t>03/06/2026</t>
        </is>
      </c>
      <c r="B657" t="inlineStr">
        <is>
          <t>528000195</t>
        </is>
      </c>
      <c r="C657" t="inlineStr">
        <is>
          <t>Rahma Sariwati</t>
        </is>
      </c>
      <c r="D657" t="inlineStr">
        <is>
          <t>PROD</t>
        </is>
      </c>
      <c r="E657" t="inlineStr">
        <is>
          <t>Produksi Harian</t>
        </is>
      </c>
      <c r="F657" t="inlineStr">
        <is>
          <t>05:48:03</t>
        </is>
      </c>
      <c r="G657" t="inlineStr">
        <is>
          <t>13:59:53</t>
        </is>
      </c>
      <c r="H657" t="inlineStr">
        <is>
          <t>SELESAI</t>
        </is>
      </c>
      <c r="I657" t="inlineStr">
        <is>
          <t>MK00136</t>
        </is>
      </c>
      <c r="J657" t="inlineStr"/>
    </row>
    <row r="658">
      <c r="A658" t="inlineStr">
        <is>
          <t>03/06/2026</t>
        </is>
      </c>
      <c r="B658" t="inlineStr">
        <is>
          <t>528000261</t>
        </is>
      </c>
      <c r="C658" t="inlineStr">
        <is>
          <t>Ergi Ergianto</t>
        </is>
      </c>
      <c r="D658" t="inlineStr">
        <is>
          <t>HRGA</t>
        </is>
      </c>
      <c r="E658" t="inlineStr">
        <is>
          <t>GA Harian</t>
        </is>
      </c>
      <c r="F658" t="inlineStr">
        <is>
          <t>05:50:09</t>
        </is>
      </c>
      <c r="G658" t="inlineStr">
        <is>
          <t>14:03:09</t>
        </is>
      </c>
      <c r="H658" t="inlineStr">
        <is>
          <t>SELESAI</t>
        </is>
      </c>
      <c r="I658" t="inlineStr">
        <is>
          <t>MK00235</t>
        </is>
      </c>
      <c r="J658" t="inlineStr"/>
    </row>
    <row r="659">
      <c r="A659" t="inlineStr">
        <is>
          <t>03/06/2026</t>
        </is>
      </c>
      <c r="B659" t="inlineStr">
        <is>
          <t>528000262</t>
        </is>
      </c>
      <c r="C659" t="inlineStr">
        <is>
          <t>Ndari Dwiwanti</t>
        </is>
      </c>
      <c r="D659" t="inlineStr">
        <is>
          <t>PROD</t>
        </is>
      </c>
      <c r="E659" t="inlineStr">
        <is>
          <t>Produksi Harian</t>
        </is>
      </c>
      <c r="F659" t="inlineStr">
        <is>
          <t>05:37:32</t>
        </is>
      </c>
      <c r="G659" t="inlineStr">
        <is>
          <t>14:00:12</t>
        </is>
      </c>
      <c r="H659" t="inlineStr">
        <is>
          <t>SELESAI</t>
        </is>
      </c>
      <c r="I659" t="inlineStr">
        <is>
          <t>MK00090</t>
        </is>
      </c>
      <c r="J659" t="inlineStr"/>
    </row>
    <row r="660">
      <c r="A660" t="inlineStr">
        <is>
          <t>03/06/2026</t>
        </is>
      </c>
      <c r="B660" t="inlineStr">
        <is>
          <t>528000265</t>
        </is>
      </c>
      <c r="C660" t="inlineStr">
        <is>
          <t>Muhammad Haerul Rozikin</t>
        </is>
      </c>
      <c r="D660" t="inlineStr">
        <is>
          <t>LOG</t>
        </is>
      </c>
      <c r="E660" t="inlineStr">
        <is>
          <t>WRM Harian</t>
        </is>
      </c>
      <c r="F660" t="inlineStr">
        <is>
          <t>07:47:56</t>
        </is>
      </c>
      <c r="G660" t="inlineStr">
        <is>
          <t>13:02:46</t>
        </is>
      </c>
      <c r="H660" t="inlineStr">
        <is>
          <t>SELESAI</t>
        </is>
      </c>
      <c r="I660" t="inlineStr">
        <is>
          <t>MK00151</t>
        </is>
      </c>
      <c r="J660" t="inlineStr"/>
    </row>
    <row r="661">
      <c r="A661" t="inlineStr">
        <is>
          <t>03/06/2026</t>
        </is>
      </c>
      <c r="B661" t="inlineStr">
        <is>
          <t>528000266</t>
        </is>
      </c>
      <c r="C661" t="inlineStr">
        <is>
          <t>M. Syirajatieq</t>
        </is>
      </c>
      <c r="D661" t="inlineStr">
        <is>
          <t>LOG</t>
        </is>
      </c>
      <c r="E661" t="inlineStr">
        <is>
          <t>WFG Harian</t>
        </is>
      </c>
      <c r="F661" t="inlineStr">
        <is>
          <t>05:43:07</t>
        </is>
      </c>
      <c r="G661" t="inlineStr">
        <is>
          <t>14:25:24</t>
        </is>
      </c>
      <c r="H661" t="inlineStr">
        <is>
          <t>SELESAI</t>
        </is>
      </c>
      <c r="I661" t="inlineStr">
        <is>
          <t>MK00230</t>
        </is>
      </c>
      <c r="J661" t="inlineStr"/>
    </row>
    <row r="662">
      <c r="A662" t="inlineStr">
        <is>
          <t>03/06/2026</t>
        </is>
      </c>
      <c r="B662" t="inlineStr">
        <is>
          <t>528000270</t>
        </is>
      </c>
      <c r="C662" t="inlineStr">
        <is>
          <t>Febri Najmudin</t>
        </is>
      </c>
      <c r="D662" t="inlineStr">
        <is>
          <t>LOG</t>
        </is>
      </c>
      <c r="E662" t="inlineStr">
        <is>
          <t>WRM Harian</t>
        </is>
      </c>
      <c r="F662" t="inlineStr">
        <is>
          <t>13:45:42</t>
        </is>
      </c>
      <c r="G662" t="inlineStr">
        <is>
          <t>22:24:49</t>
        </is>
      </c>
      <c r="H662" t="inlineStr">
        <is>
          <t>SELESAI</t>
        </is>
      </c>
      <c r="I662" t="inlineStr">
        <is>
          <t>MK00209</t>
        </is>
      </c>
      <c r="J662" t="inlineStr"/>
    </row>
    <row r="663">
      <c r="A663" t="inlineStr">
        <is>
          <t>03/06/2026</t>
        </is>
      </c>
      <c r="B663" t="inlineStr">
        <is>
          <t>528000282</t>
        </is>
      </c>
      <c r="C663" t="inlineStr">
        <is>
          <t>Defa Desfiana</t>
        </is>
      </c>
      <c r="D663" t="inlineStr">
        <is>
          <t>PROD</t>
        </is>
      </c>
      <c r="E663" t="inlineStr">
        <is>
          <t>Produksi Harian</t>
        </is>
      </c>
      <c r="F663" t="inlineStr">
        <is>
          <t>07:49:10</t>
        </is>
      </c>
      <c r="G663" t="inlineStr">
        <is>
          <t>13:01:26</t>
        </is>
      </c>
      <c r="H663" t="inlineStr">
        <is>
          <t>SELESAI</t>
        </is>
      </c>
      <c r="I663" t="inlineStr">
        <is>
          <t>MK00209</t>
        </is>
      </c>
      <c r="J663" t="inlineStr">
        <is>
          <t>2a</t>
        </is>
      </c>
    </row>
    <row r="664">
      <c r="A664" t="inlineStr">
        <is>
          <t>03/06/2026</t>
        </is>
      </c>
      <c r="B664" t="inlineStr">
        <is>
          <t>528000291</t>
        </is>
      </c>
      <c r="C664" t="inlineStr">
        <is>
          <t>Andrian</t>
        </is>
      </c>
      <c r="D664" t="inlineStr">
        <is>
          <t>PROD</t>
        </is>
      </c>
      <c r="E664" t="inlineStr">
        <is>
          <t>Produksi Harian</t>
        </is>
      </c>
      <c r="F664" t="inlineStr">
        <is>
          <t>05:54:38</t>
        </is>
      </c>
      <c r="G664" t="inlineStr">
        <is>
          <t>14:02:58</t>
        </is>
      </c>
      <c r="H664" t="inlineStr">
        <is>
          <t>SELESAI</t>
        </is>
      </c>
      <c r="I664" t="inlineStr">
        <is>
          <t>MK00192</t>
        </is>
      </c>
      <c r="J664" t="inlineStr"/>
    </row>
    <row r="665">
      <c r="A665" t="inlineStr">
        <is>
          <t>03/06/2026</t>
        </is>
      </c>
      <c r="B665" t="inlineStr">
        <is>
          <t>528000298</t>
        </is>
      </c>
      <c r="C665" t="inlineStr">
        <is>
          <t>Desta Cahaya Pratama</t>
        </is>
      </c>
      <c r="D665" t="inlineStr">
        <is>
          <t>PROD</t>
        </is>
      </c>
      <c r="E665" t="inlineStr">
        <is>
          <t>Produksi Harian</t>
        </is>
      </c>
      <c r="F665" t="inlineStr">
        <is>
          <t>13:50:30</t>
        </is>
      </c>
      <c r="G665" t="inlineStr">
        <is>
          <t>22:06:58</t>
        </is>
      </c>
      <c r="H665" t="inlineStr">
        <is>
          <t>SELESAI</t>
        </is>
      </c>
      <c r="I665" t="inlineStr">
        <is>
          <t>MK00154</t>
        </is>
      </c>
      <c r="J665" t="inlineStr"/>
    </row>
    <row r="666">
      <c r="A666" t="inlineStr">
        <is>
          <t>03/06/2026</t>
        </is>
      </c>
      <c r="B666" t="inlineStr">
        <is>
          <t>528000305</t>
        </is>
      </c>
      <c r="C666" t="inlineStr">
        <is>
          <t>Puji Puspita</t>
        </is>
      </c>
      <c r="D666" t="inlineStr">
        <is>
          <t>PROD</t>
        </is>
      </c>
      <c r="E666" t="inlineStr">
        <is>
          <t>Produksi Harian</t>
        </is>
      </c>
      <c r="F666" t="inlineStr">
        <is>
          <t>13:44:35</t>
        </is>
      </c>
      <c r="G666" t="inlineStr">
        <is>
          <t>22:07:09</t>
        </is>
      </c>
      <c r="H666" t="inlineStr">
        <is>
          <t>SELESAI</t>
        </is>
      </c>
      <c r="I666" t="inlineStr">
        <is>
          <t>MK00148</t>
        </is>
      </c>
      <c r="J666" t="inlineStr"/>
    </row>
    <row r="667">
      <c r="A667" t="inlineStr">
        <is>
          <t>03/06/2026</t>
        </is>
      </c>
      <c r="B667" t="inlineStr">
        <is>
          <t>528000309</t>
        </is>
      </c>
      <c r="C667" t="inlineStr">
        <is>
          <t>Ilham Ramadhan</t>
        </is>
      </c>
      <c r="D667" t="inlineStr">
        <is>
          <t>LOG</t>
        </is>
      </c>
      <c r="E667" t="inlineStr">
        <is>
          <t>WRM Harian</t>
        </is>
      </c>
      <c r="F667" t="inlineStr">
        <is>
          <t>13:52:56</t>
        </is>
      </c>
      <c r="G667" t="inlineStr">
        <is>
          <t>22:07:01</t>
        </is>
      </c>
      <c r="H667" t="inlineStr">
        <is>
          <t>SELESAI</t>
        </is>
      </c>
      <c r="I667" t="inlineStr">
        <is>
          <t>MK00199</t>
        </is>
      </c>
      <c r="J667" t="inlineStr"/>
    </row>
    <row r="668">
      <c r="A668" t="inlineStr">
        <is>
          <t>03/06/2026</t>
        </is>
      </c>
      <c r="B668" t="inlineStr">
        <is>
          <t>528000310</t>
        </is>
      </c>
      <c r="C668" t="inlineStr">
        <is>
          <t>Fachrul Rozzi Suryana</t>
        </is>
      </c>
      <c r="D668" t="inlineStr">
        <is>
          <t>LOG</t>
        </is>
      </c>
      <c r="E668" t="inlineStr">
        <is>
          <t>WRM Harian</t>
        </is>
      </c>
      <c r="F668" t="inlineStr">
        <is>
          <t>07:56:47</t>
        </is>
      </c>
      <c r="G668" t="inlineStr">
        <is>
          <t>13:02:39</t>
        </is>
      </c>
      <c r="H668" t="inlineStr">
        <is>
          <t>SELESAI</t>
        </is>
      </c>
      <c r="I668" t="inlineStr">
        <is>
          <t>MK00145</t>
        </is>
      </c>
      <c r="J668" t="inlineStr">
        <is>
          <t>22F</t>
        </is>
      </c>
    </row>
    <row r="669">
      <c r="A669" t="inlineStr">
        <is>
          <t>03/06/2026</t>
        </is>
      </c>
      <c r="B669" t="inlineStr">
        <is>
          <t>528000348</t>
        </is>
      </c>
      <c r="C669" t="inlineStr">
        <is>
          <t>Saepuloh Ardiansah</t>
        </is>
      </c>
      <c r="D669" t="inlineStr">
        <is>
          <t>LOG</t>
        </is>
      </c>
      <c r="E669" t="inlineStr">
        <is>
          <t>WRM Harian</t>
        </is>
      </c>
      <c r="F669" t="inlineStr">
        <is>
          <t>09:22:34</t>
        </is>
      </c>
      <c r="G669" t="inlineStr">
        <is>
          <t>14:08:42</t>
        </is>
      </c>
      <c r="H669" t="inlineStr">
        <is>
          <t>SELESAI</t>
        </is>
      </c>
      <c r="I669" t="inlineStr">
        <is>
          <t>MK00205</t>
        </is>
      </c>
      <c r="J669" t="inlineStr"/>
    </row>
    <row r="670">
      <c r="A670" t="inlineStr">
        <is>
          <t>03/06/2026</t>
        </is>
      </c>
      <c r="B670" t="inlineStr">
        <is>
          <t>628000061</t>
        </is>
      </c>
      <c r="C670" t="inlineStr">
        <is>
          <t>Nayla Fadillah Exwantoro</t>
        </is>
      </c>
      <c r="D670" t="inlineStr">
        <is>
          <t>PROD</t>
        </is>
      </c>
      <c r="E670" t="inlineStr">
        <is>
          <t>Produksi Borongan</t>
        </is>
      </c>
      <c r="F670" t="inlineStr">
        <is>
          <t>12:50:28</t>
        </is>
      </c>
      <c r="G670" t="inlineStr">
        <is>
          <t>23:22:28</t>
        </is>
      </c>
      <c r="H670" t="inlineStr">
        <is>
          <t>SELESAI</t>
        </is>
      </c>
      <c r="I670" t="inlineStr">
        <is>
          <t>MK00116</t>
        </is>
      </c>
      <c r="J670" t="inlineStr"/>
    </row>
    <row r="671">
      <c r="A671" t="inlineStr">
        <is>
          <t>04/06/2026</t>
        </is>
      </c>
      <c r="B671" t="inlineStr">
        <is>
          <t>528000015</t>
        </is>
      </c>
      <c r="C671" t="inlineStr">
        <is>
          <t>Erwin</t>
        </is>
      </c>
      <c r="D671" t="inlineStr">
        <is>
          <t>LOG</t>
        </is>
      </c>
      <c r="E671" t="inlineStr">
        <is>
          <t>WRM Harian</t>
        </is>
      </c>
      <c r="F671" t="inlineStr"/>
      <c r="G671" t="inlineStr">
        <is>
          <t>06:10:51</t>
        </is>
      </c>
      <c r="H671" t="inlineStr">
        <is>
          <t>KELUAR TANPA MASUK</t>
        </is>
      </c>
      <c r="I671" t="inlineStr">
        <is>
          <t>MK00145</t>
        </is>
      </c>
      <c r="J671" t="inlineStr"/>
    </row>
    <row r="672">
      <c r="A672" t="inlineStr">
        <is>
          <t>04/06/2026</t>
        </is>
      </c>
      <c r="B672" t="inlineStr">
        <is>
          <t>528000098</t>
        </is>
      </c>
      <c r="C672" t="inlineStr">
        <is>
          <t>Edi Junaedi</t>
        </is>
      </c>
      <c r="D672" t="inlineStr">
        <is>
          <t>PROD</t>
        </is>
      </c>
      <c r="E672" t="inlineStr">
        <is>
          <t>Produksi Harian</t>
        </is>
      </c>
      <c r="F672" t="inlineStr">
        <is>
          <t>21:26:13</t>
        </is>
      </c>
      <c r="G672" t="inlineStr">
        <is>
          <t>06:07:29</t>
        </is>
      </c>
      <c r="H672" t="inlineStr">
        <is>
          <t>SELESAI</t>
        </is>
      </c>
      <c r="I672" t="inlineStr">
        <is>
          <t>MK00145</t>
        </is>
      </c>
      <c r="J672" t="inlineStr"/>
    </row>
    <row r="673">
      <c r="A673" t="inlineStr">
        <is>
          <t>04/06/2026</t>
        </is>
      </c>
      <c r="B673" t="inlineStr">
        <is>
          <t>528000132</t>
        </is>
      </c>
      <c r="C673" t="inlineStr">
        <is>
          <t>Giopani</t>
        </is>
      </c>
      <c r="D673" t="inlineStr">
        <is>
          <t>LOG</t>
        </is>
      </c>
      <c r="E673" t="inlineStr">
        <is>
          <t>WRM Harian</t>
        </is>
      </c>
      <c r="F673" t="inlineStr"/>
      <c r="G673" t="inlineStr">
        <is>
          <t>00:29:16</t>
        </is>
      </c>
      <c r="H673" t="inlineStr">
        <is>
          <t>KELUAR TANPA MASUK</t>
        </is>
      </c>
      <c r="I673" t="inlineStr">
        <is>
          <t>MK00215</t>
        </is>
      </c>
      <c r="J673" t="inlineStr"/>
    </row>
    <row r="674">
      <c r="A674" t="inlineStr">
        <is>
          <t>04/06/2026</t>
        </is>
      </c>
      <c r="B674" t="inlineStr">
        <is>
          <t>528000144</t>
        </is>
      </c>
      <c r="C674" t="inlineStr">
        <is>
          <t>Jodi Hanafi</t>
        </is>
      </c>
      <c r="D674" t="inlineStr">
        <is>
          <t>LOG</t>
        </is>
      </c>
      <c r="E674" t="inlineStr">
        <is>
          <t>WRM Harian</t>
        </is>
      </c>
      <c r="F674" t="inlineStr"/>
      <c r="G674" t="inlineStr">
        <is>
          <t>00:22:18</t>
        </is>
      </c>
      <c r="H674" t="inlineStr">
        <is>
          <t>KELUAR TANPA MASUK</t>
        </is>
      </c>
      <c r="I674" t="inlineStr">
        <is>
          <t>MK00212</t>
        </is>
      </c>
      <c r="J674" t="inlineStr"/>
    </row>
    <row r="675">
      <c r="A675" t="inlineStr">
        <is>
          <t>04/06/2026</t>
        </is>
      </c>
      <c r="B675" t="inlineStr">
        <is>
          <t>528000212</t>
        </is>
      </c>
      <c r="C675" t="inlineStr">
        <is>
          <t>Rizal Fauzi</t>
        </is>
      </c>
      <c r="D675" t="inlineStr">
        <is>
          <t>PROD</t>
        </is>
      </c>
      <c r="E675" t="inlineStr">
        <is>
          <t>Produksi Harian</t>
        </is>
      </c>
      <c r="F675" t="inlineStr"/>
      <c r="G675" t="inlineStr">
        <is>
          <t>00:45:41</t>
        </is>
      </c>
      <c r="H675" t="inlineStr">
        <is>
          <t>KELUAR TANPA MASUK</t>
        </is>
      </c>
      <c r="I675" t="inlineStr">
        <is>
          <t>MK00055</t>
        </is>
      </c>
      <c r="J675" t="inlineStr"/>
    </row>
    <row r="676">
      <c r="A676" t="inlineStr">
        <is>
          <t>04/06/2026</t>
        </is>
      </c>
      <c r="B676" t="inlineStr">
        <is>
          <t>528000267</t>
        </is>
      </c>
      <c r="C676" t="inlineStr">
        <is>
          <t>Bagas Patulloh</t>
        </is>
      </c>
      <c r="D676" t="inlineStr">
        <is>
          <t>LOG</t>
        </is>
      </c>
      <c r="E676" t="inlineStr">
        <is>
          <t>WRM Harian</t>
        </is>
      </c>
      <c r="F676" t="inlineStr"/>
      <c r="G676" t="inlineStr">
        <is>
          <t>00:03:53</t>
        </is>
      </c>
      <c r="H676" t="inlineStr">
        <is>
          <t>KELUAR TANPA MASUK</t>
        </is>
      </c>
      <c r="I676" t="inlineStr">
        <is>
          <t>MK00205</t>
        </is>
      </c>
      <c r="J676" t="inlineStr"/>
    </row>
    <row r="677">
      <c r="A677" t="inlineStr">
        <is>
          <t>04/06/2026</t>
        </is>
      </c>
      <c r="B677" t="inlineStr">
        <is>
          <t>528000298</t>
        </is>
      </c>
      <c r="C677" t="inlineStr">
        <is>
          <t>Desta Cahaya Pratama</t>
        </is>
      </c>
      <c r="D677" t="inlineStr">
        <is>
          <t>PROD</t>
        </is>
      </c>
      <c r="E677" t="inlineStr">
        <is>
          <t>Produksi Harian</t>
        </is>
      </c>
      <c r="F677" t="inlineStr">
        <is>
          <t>21:36:20</t>
        </is>
      </c>
      <c r="G677" t="inlineStr">
        <is>
          <t>06:04:03</t>
        </is>
      </c>
      <c r="H677" t="inlineStr">
        <is>
          <t>SELESAI</t>
        </is>
      </c>
      <c r="I677" t="inlineStr">
        <is>
          <t>MK00082</t>
        </is>
      </c>
      <c r="J677" t="inlineStr"/>
    </row>
    <row r="678">
      <c r="A678" t="inlineStr">
        <is>
          <t>04/06/2026</t>
        </is>
      </c>
      <c r="B678" t="inlineStr">
        <is>
          <t>528000299</t>
        </is>
      </c>
      <c r="C678" t="inlineStr">
        <is>
          <t>Siti Nurjanah</t>
        </is>
      </c>
      <c r="D678" t="inlineStr">
        <is>
          <t>PROD</t>
        </is>
      </c>
      <c r="E678" t="inlineStr">
        <is>
          <t>Produksi Harian</t>
        </is>
      </c>
      <c r="F678" t="inlineStr">
        <is>
          <t>21:41:20</t>
        </is>
      </c>
      <c r="G678" t="inlineStr">
        <is>
          <t>06:02:31</t>
        </is>
      </c>
      <c r="H678" t="inlineStr">
        <is>
          <t>SELESAI</t>
        </is>
      </c>
      <c r="I678" t="inlineStr">
        <is>
          <t>MK00085</t>
        </is>
      </c>
      <c r="J678" t="inlineStr"/>
    </row>
    <row r="679">
      <c r="A679" t="inlineStr">
        <is>
          <t>04/06/2026</t>
        </is>
      </c>
      <c r="B679" t="inlineStr">
        <is>
          <t>528000302</t>
        </is>
      </c>
      <c r="C679" t="inlineStr">
        <is>
          <t>Henkey gumilar</t>
        </is>
      </c>
      <c r="D679" t="inlineStr">
        <is>
          <t>PROD</t>
        </is>
      </c>
      <c r="E679" t="inlineStr">
        <is>
          <t>Produksi Harian</t>
        </is>
      </c>
      <c r="F679" t="inlineStr">
        <is>
          <t>21:31:57</t>
        </is>
      </c>
      <c r="G679" t="inlineStr">
        <is>
          <t>06:09:24</t>
        </is>
      </c>
      <c r="H679" t="inlineStr">
        <is>
          <t>SELESAI</t>
        </is>
      </c>
      <c r="I679" t="inlineStr">
        <is>
          <t>MK00181</t>
        </is>
      </c>
      <c r="J679" t="inlineStr"/>
    </row>
    <row r="680">
      <c r="A680" t="inlineStr">
        <is>
          <t>04/06/2026</t>
        </is>
      </c>
      <c r="B680" t="inlineStr">
        <is>
          <t>528000306</t>
        </is>
      </c>
      <c r="C680" t="inlineStr">
        <is>
          <t>Windy Olivia</t>
        </is>
      </c>
      <c r="D680" t="inlineStr">
        <is>
          <t>PROD</t>
        </is>
      </c>
      <c r="E680" t="inlineStr">
        <is>
          <t>Produksi Harian</t>
        </is>
      </c>
      <c r="F680" t="inlineStr">
        <is>
          <t>21:37:38</t>
        </is>
      </c>
      <c r="G680" t="inlineStr"/>
      <c r="H680" t="inlineStr">
        <is>
          <t>DI DALAM</t>
        </is>
      </c>
      <c r="I680" t="inlineStr">
        <is>
          <t>MK00109</t>
        </is>
      </c>
      <c r="J680" t="inlineStr"/>
    </row>
    <row r="681">
      <c r="A681" t="inlineStr">
        <is>
          <t>04/06/2026</t>
        </is>
      </c>
      <c r="B681" t="inlineStr">
        <is>
          <t>628000061</t>
        </is>
      </c>
      <c r="C681" t="inlineStr">
        <is>
          <t>Nayla Fadillah Exwantoro</t>
        </is>
      </c>
      <c r="D681" t="inlineStr">
        <is>
          <t>PROD</t>
        </is>
      </c>
      <c r="E681" t="inlineStr">
        <is>
          <t>Produksi Borongan</t>
        </is>
      </c>
      <c r="F681" t="inlineStr">
        <is>
          <t>21:09:36</t>
        </is>
      </c>
      <c r="G681" t="inlineStr">
        <is>
          <t>06:05:35</t>
        </is>
      </c>
      <c r="H681" t="inlineStr">
        <is>
          <t>SELESAI</t>
        </is>
      </c>
      <c r="I681" t="inlineStr">
        <is>
          <t>MK00221</t>
        </is>
      </c>
      <c r="J681" t="inlineStr">
        <is>
          <t>19E</t>
        </is>
      </c>
    </row>
    <row r="682">
      <c r="A682" t="inlineStr">
        <is>
          <t>04/06/2026</t>
        </is>
      </c>
      <c r="B682" t="inlineStr">
        <is>
          <t>628000091</t>
        </is>
      </c>
      <c r="C682" t="inlineStr">
        <is>
          <t>Devita Handayani</t>
        </is>
      </c>
      <c r="D682" t="inlineStr">
        <is>
          <t>PROD</t>
        </is>
      </c>
      <c r="E682" t="inlineStr">
        <is>
          <t>Produksi Borongan</t>
        </is>
      </c>
      <c r="F682" t="inlineStr">
        <is>
          <t>21:05:20</t>
        </is>
      </c>
      <c r="G682" t="inlineStr">
        <is>
          <t>06:04:58</t>
        </is>
      </c>
      <c r="H682" t="inlineStr">
        <is>
          <t>SELESAI</t>
        </is>
      </c>
      <c r="I682" t="inlineStr">
        <is>
          <t>MK00213</t>
        </is>
      </c>
      <c r="J682" t="inlineStr"/>
    </row>
    <row r="683">
      <c r="A683" t="inlineStr">
        <is>
          <t>05/06/2026</t>
        </is>
      </c>
      <c r="B683" t="inlineStr">
        <is>
          <t>528000015</t>
        </is>
      </c>
      <c r="C683" t="inlineStr">
        <is>
          <t>Erwin</t>
        </is>
      </c>
      <c r="D683" t="inlineStr">
        <is>
          <t>LOG</t>
        </is>
      </c>
      <c r="E683" t="inlineStr">
        <is>
          <t>WRM Harian</t>
        </is>
      </c>
      <c r="F683" t="inlineStr">
        <is>
          <t>15:50:40</t>
        </is>
      </c>
      <c r="G683" t="inlineStr">
        <is>
          <t>21:03:57</t>
        </is>
      </c>
      <c r="H683" t="inlineStr">
        <is>
          <t>SELESAI</t>
        </is>
      </c>
      <c r="I683" t="inlineStr">
        <is>
          <t>MK00221</t>
        </is>
      </c>
      <c r="J683" t="inlineStr"/>
    </row>
    <row r="684">
      <c r="A684" t="inlineStr">
        <is>
          <t>05/06/2026</t>
        </is>
      </c>
      <c r="B684" t="inlineStr">
        <is>
          <t>528000040</t>
        </is>
      </c>
      <c r="C684" t="inlineStr">
        <is>
          <t>Agus Suryaman</t>
        </is>
      </c>
      <c r="D684" t="inlineStr">
        <is>
          <t>PROD</t>
        </is>
      </c>
      <c r="E684" t="inlineStr">
        <is>
          <t>Produksi Harian</t>
        </is>
      </c>
      <c r="F684" t="inlineStr">
        <is>
          <t>08:56:09</t>
        </is>
      </c>
      <c r="G684" t="inlineStr"/>
      <c r="H684" t="inlineStr">
        <is>
          <t>DI DALAM</t>
        </is>
      </c>
      <c r="I684" t="inlineStr">
        <is>
          <t>MK00148</t>
        </is>
      </c>
      <c r="J684" t="inlineStr"/>
    </row>
    <row r="685">
      <c r="A685" t="inlineStr">
        <is>
          <t>05/06/2026</t>
        </is>
      </c>
      <c r="B685" t="inlineStr">
        <is>
          <t>528000055</t>
        </is>
      </c>
      <c r="C685" t="inlineStr">
        <is>
          <t>Dika Prasetya</t>
        </is>
      </c>
      <c r="D685" t="inlineStr">
        <is>
          <t>LOG</t>
        </is>
      </c>
      <c r="E685" t="inlineStr">
        <is>
          <t>WRM Harian</t>
        </is>
      </c>
      <c r="F685" t="inlineStr">
        <is>
          <t>10:59:07</t>
        </is>
      </c>
      <c r="G685" t="inlineStr">
        <is>
          <t>16:03:03</t>
        </is>
      </c>
      <c r="H685" t="inlineStr">
        <is>
          <t>SELESAI</t>
        </is>
      </c>
      <c r="I685" t="inlineStr">
        <is>
          <t>MK00118</t>
        </is>
      </c>
      <c r="J685" t="inlineStr"/>
    </row>
    <row r="686">
      <c r="A686" t="inlineStr">
        <is>
          <t>05/06/2026</t>
        </is>
      </c>
      <c r="B686" t="inlineStr">
        <is>
          <t>528000090</t>
        </is>
      </c>
      <c r="C686" t="inlineStr">
        <is>
          <t>Suganda</t>
        </is>
      </c>
      <c r="D686" t="inlineStr">
        <is>
          <t>PROD</t>
        </is>
      </c>
      <c r="E686" t="inlineStr">
        <is>
          <t>Produksi Harian</t>
        </is>
      </c>
      <c r="F686" t="inlineStr">
        <is>
          <t>21:58:00</t>
        </is>
      </c>
      <c r="G686" t="inlineStr">
        <is>
          <t>06:04:29</t>
        </is>
      </c>
      <c r="H686" t="inlineStr">
        <is>
          <t>SELESAI</t>
        </is>
      </c>
      <c r="I686" t="inlineStr">
        <is>
          <t>MK00112</t>
        </is>
      </c>
      <c r="J686" t="inlineStr"/>
    </row>
    <row r="687">
      <c r="A687" t="inlineStr">
        <is>
          <t>05/06/2026</t>
        </is>
      </c>
      <c r="B687" t="inlineStr">
        <is>
          <t>528000099</t>
        </is>
      </c>
      <c r="C687" t="inlineStr">
        <is>
          <t>Siti Nurawaliah</t>
        </is>
      </c>
      <c r="D687" t="inlineStr">
        <is>
          <t>PROD</t>
        </is>
      </c>
      <c r="E687" t="inlineStr">
        <is>
          <t>Produksi Harian</t>
        </is>
      </c>
      <c r="F687" t="inlineStr">
        <is>
          <t>13:34:25</t>
        </is>
      </c>
      <c r="G687" t="inlineStr">
        <is>
          <t>06:04:41</t>
        </is>
      </c>
      <c r="H687" t="inlineStr">
        <is>
          <t>SELESAI</t>
        </is>
      </c>
      <c r="I687" t="inlineStr">
        <is>
          <t>MK00209</t>
        </is>
      </c>
      <c r="J687" t="inlineStr"/>
    </row>
    <row r="688">
      <c r="A688" t="inlineStr">
        <is>
          <t>05/06/2026</t>
        </is>
      </c>
      <c r="B688" t="inlineStr">
        <is>
          <t>528000132</t>
        </is>
      </c>
      <c r="C688" t="inlineStr">
        <is>
          <t>Giopani</t>
        </is>
      </c>
      <c r="D688" t="inlineStr">
        <is>
          <t>LOG</t>
        </is>
      </c>
      <c r="E688" t="inlineStr">
        <is>
          <t>WRM Harian</t>
        </is>
      </c>
      <c r="F688" t="inlineStr">
        <is>
          <t>12:58:01</t>
        </is>
      </c>
      <c r="G688" t="inlineStr">
        <is>
          <t>18:01:49</t>
        </is>
      </c>
      <c r="H688" t="inlineStr">
        <is>
          <t>SELESAI</t>
        </is>
      </c>
      <c r="I688" t="inlineStr">
        <is>
          <t>MK00085</t>
        </is>
      </c>
      <c r="J688" t="inlineStr"/>
    </row>
    <row r="689">
      <c r="A689" t="inlineStr">
        <is>
          <t>05/06/2026</t>
        </is>
      </c>
      <c r="B689" t="inlineStr">
        <is>
          <t>528000144</t>
        </is>
      </c>
      <c r="C689" t="inlineStr">
        <is>
          <t>Jodi Hanafi</t>
        </is>
      </c>
      <c r="D689" t="inlineStr">
        <is>
          <t>LOG</t>
        </is>
      </c>
      <c r="E689" t="inlineStr">
        <is>
          <t>WRM Harian</t>
        </is>
      </c>
      <c r="F689" t="inlineStr">
        <is>
          <t>07:57:56</t>
        </is>
      </c>
      <c r="G689" t="inlineStr"/>
      <c r="H689" t="inlineStr">
        <is>
          <t>DI DALAM</t>
        </is>
      </c>
      <c r="I689" t="inlineStr">
        <is>
          <t>MK00212</t>
        </is>
      </c>
      <c r="J689" t="inlineStr"/>
    </row>
    <row r="690">
      <c r="A690" t="inlineStr">
        <is>
          <t>05/06/2026</t>
        </is>
      </c>
      <c r="B690" t="inlineStr">
        <is>
          <t>528000149</t>
        </is>
      </c>
      <c r="C690" t="inlineStr">
        <is>
          <t>Tio Fernanda</t>
        </is>
      </c>
      <c r="D690" t="inlineStr">
        <is>
          <t>LOG</t>
        </is>
      </c>
      <c r="E690" t="inlineStr">
        <is>
          <t>WRM Harian</t>
        </is>
      </c>
      <c r="F690" t="inlineStr">
        <is>
          <t>08:57:59</t>
        </is>
      </c>
      <c r="G690" t="inlineStr"/>
      <c r="H690" t="inlineStr">
        <is>
          <t>DI DALAM</t>
        </is>
      </c>
      <c r="I690" t="inlineStr">
        <is>
          <t>MK00186</t>
        </is>
      </c>
      <c r="J690" t="inlineStr"/>
    </row>
    <row r="691">
      <c r="A691" t="inlineStr">
        <is>
          <t>05/06/2026</t>
        </is>
      </c>
      <c r="B691" t="inlineStr">
        <is>
          <t>528000201</t>
        </is>
      </c>
      <c r="C691" t="inlineStr">
        <is>
          <t>Zahwa Amelia Choerunissa</t>
        </is>
      </c>
      <c r="D691" t="inlineStr">
        <is>
          <t>PROD</t>
        </is>
      </c>
      <c r="E691" t="inlineStr">
        <is>
          <t>Produksi Harian</t>
        </is>
      </c>
      <c r="F691" t="inlineStr">
        <is>
          <t>13:33:40</t>
        </is>
      </c>
      <c r="G691" t="inlineStr">
        <is>
          <t>06:04:07</t>
        </is>
      </c>
      <c r="H691" t="inlineStr">
        <is>
          <t>SELESAI</t>
        </is>
      </c>
      <c r="I691" t="inlineStr">
        <is>
          <t>MK00151</t>
        </is>
      </c>
      <c r="J691" t="inlineStr"/>
    </row>
    <row r="692">
      <c r="A692" t="inlineStr">
        <is>
          <t>05/06/2026</t>
        </is>
      </c>
      <c r="B692" t="inlineStr">
        <is>
          <t>528000203</t>
        </is>
      </c>
      <c r="C692" t="inlineStr">
        <is>
          <t>Yudha Ramdhan Putra</t>
        </is>
      </c>
      <c r="D692" t="inlineStr">
        <is>
          <t>ENG</t>
        </is>
      </c>
      <c r="E692" t="inlineStr">
        <is>
          <t>Engineering Harian</t>
        </is>
      </c>
      <c r="F692" t="inlineStr">
        <is>
          <t>08:54:33</t>
        </is>
      </c>
      <c r="G692" t="inlineStr">
        <is>
          <t>08:53:44</t>
        </is>
      </c>
      <c r="H692" t="inlineStr">
        <is>
          <t>SELESAI</t>
        </is>
      </c>
      <c r="I692" t="inlineStr">
        <is>
          <t>MK00158</t>
        </is>
      </c>
      <c r="J692" t="inlineStr"/>
    </row>
    <row r="693">
      <c r="A693" t="inlineStr">
        <is>
          <t>05/06/2026</t>
        </is>
      </c>
      <c r="B693" t="inlineStr">
        <is>
          <t>528000212</t>
        </is>
      </c>
      <c r="C693" t="inlineStr">
        <is>
          <t>Rizal Fauzi</t>
        </is>
      </c>
      <c r="D693" t="inlineStr">
        <is>
          <t>PROD</t>
        </is>
      </c>
      <c r="E693" t="inlineStr">
        <is>
          <t>Produksi Harian</t>
        </is>
      </c>
      <c r="F693" t="inlineStr">
        <is>
          <t>13:32:18</t>
        </is>
      </c>
      <c r="G693" t="inlineStr">
        <is>
          <t>22:41:12</t>
        </is>
      </c>
      <c r="H693" t="inlineStr">
        <is>
          <t>SELESAI</t>
        </is>
      </c>
      <c r="I693" t="inlineStr">
        <is>
          <t>MK00055</t>
        </is>
      </c>
      <c r="J693" t="inlineStr"/>
    </row>
    <row r="694">
      <c r="A694" t="inlineStr">
        <is>
          <t>05/06/2026</t>
        </is>
      </c>
      <c r="B694" t="inlineStr">
        <is>
          <t>528000232</t>
        </is>
      </c>
      <c r="C694" t="inlineStr">
        <is>
          <t>Agung Aji Suhada</t>
        </is>
      </c>
      <c r="D694" t="inlineStr">
        <is>
          <t>LOG</t>
        </is>
      </c>
      <c r="E694" t="inlineStr">
        <is>
          <t>WRM Harian</t>
        </is>
      </c>
      <c r="F694" t="inlineStr">
        <is>
          <t>08:53:56</t>
        </is>
      </c>
      <c r="G694" t="inlineStr">
        <is>
          <t>14:02:02</t>
        </is>
      </c>
      <c r="H694" t="inlineStr">
        <is>
          <t>SELESAI</t>
        </is>
      </c>
      <c r="I694" t="inlineStr">
        <is>
          <t>MK00155</t>
        </is>
      </c>
      <c r="J694" t="inlineStr"/>
    </row>
    <row r="695">
      <c r="A695" t="inlineStr">
        <is>
          <t>05/06/2026</t>
        </is>
      </c>
      <c r="B695" t="inlineStr">
        <is>
          <t>528000238</t>
        </is>
      </c>
      <c r="C695" t="inlineStr">
        <is>
          <t>Indah Lusiana</t>
        </is>
      </c>
      <c r="D695" t="inlineStr">
        <is>
          <t>PROD</t>
        </is>
      </c>
      <c r="E695" t="inlineStr">
        <is>
          <t>Produksi Harian</t>
        </is>
      </c>
      <c r="F695" t="inlineStr">
        <is>
          <t>05:38:55</t>
        </is>
      </c>
      <c r="G695" t="inlineStr"/>
      <c r="H695" t="inlineStr">
        <is>
          <t>DI DALAM</t>
        </is>
      </c>
      <c r="I695" t="inlineStr">
        <is>
          <t>MK00156</t>
        </is>
      </c>
      <c r="J695" t="inlineStr"/>
    </row>
    <row r="696">
      <c r="A696" t="inlineStr">
        <is>
          <t>05/06/2026</t>
        </is>
      </c>
      <c r="B696" t="inlineStr">
        <is>
          <t>528000241</t>
        </is>
      </c>
      <c r="C696" t="inlineStr">
        <is>
          <t>Balia Nurafif Bilah</t>
        </is>
      </c>
      <c r="D696" t="inlineStr">
        <is>
          <t>PROD</t>
        </is>
      </c>
      <c r="E696" t="inlineStr">
        <is>
          <t>Produksi Harian</t>
        </is>
      </c>
      <c r="F696" t="inlineStr">
        <is>
          <t>13:49:58</t>
        </is>
      </c>
      <c r="G696" t="inlineStr">
        <is>
          <t>06:04:32</t>
        </is>
      </c>
      <c r="H696" t="inlineStr">
        <is>
          <t>SELESAI</t>
        </is>
      </c>
      <c r="I696" t="inlineStr">
        <is>
          <t>MK00154</t>
        </is>
      </c>
      <c r="J696" t="inlineStr"/>
    </row>
    <row r="697">
      <c r="A697" t="inlineStr">
        <is>
          <t>05/06/2026</t>
        </is>
      </c>
      <c r="B697" t="inlineStr">
        <is>
          <t>528000244</t>
        </is>
      </c>
      <c r="C697" t="inlineStr">
        <is>
          <t>Rodian Rifai</t>
        </is>
      </c>
      <c r="D697" t="inlineStr">
        <is>
          <t>PROD</t>
        </is>
      </c>
      <c r="E697" t="inlineStr">
        <is>
          <t>Produksi Harian</t>
        </is>
      </c>
      <c r="F697" t="inlineStr">
        <is>
          <t>13:31:26</t>
        </is>
      </c>
      <c r="G697" t="inlineStr">
        <is>
          <t>06:52:47</t>
        </is>
      </c>
      <c r="H697" t="inlineStr">
        <is>
          <t>SELESAI</t>
        </is>
      </c>
      <c r="I697" t="inlineStr">
        <is>
          <t>MK00249</t>
        </is>
      </c>
      <c r="J697" t="inlineStr"/>
    </row>
    <row r="698">
      <c r="A698" t="inlineStr">
        <is>
          <t>05/06/2026</t>
        </is>
      </c>
      <c r="B698" t="inlineStr">
        <is>
          <t>528000265</t>
        </is>
      </c>
      <c r="C698" t="inlineStr">
        <is>
          <t>Muhammad Haerul Rozikin</t>
        </is>
      </c>
      <c r="D698" t="inlineStr">
        <is>
          <t>LOG</t>
        </is>
      </c>
      <c r="E698" t="inlineStr">
        <is>
          <t>WRM Harian</t>
        </is>
      </c>
      <c r="F698" t="inlineStr">
        <is>
          <t>07:47:40</t>
        </is>
      </c>
      <c r="G698" t="inlineStr">
        <is>
          <t>13:02:42</t>
        </is>
      </c>
      <c r="H698" t="inlineStr">
        <is>
          <t>SELESAI</t>
        </is>
      </c>
      <c r="I698" t="inlineStr">
        <is>
          <t>MK00150</t>
        </is>
      </c>
      <c r="J698" t="inlineStr"/>
    </row>
    <row r="699">
      <c r="A699" t="inlineStr">
        <is>
          <t>05/06/2026</t>
        </is>
      </c>
      <c r="B699" t="inlineStr">
        <is>
          <t>528000267</t>
        </is>
      </c>
      <c r="C699" t="inlineStr">
        <is>
          <t>Bagas Patulloh</t>
        </is>
      </c>
      <c r="D699" t="inlineStr">
        <is>
          <t>LOG</t>
        </is>
      </c>
      <c r="E699" t="inlineStr">
        <is>
          <t>WRM Harian</t>
        </is>
      </c>
      <c r="F699" t="inlineStr">
        <is>
          <t>12:56:42</t>
        </is>
      </c>
      <c r="G699" t="inlineStr">
        <is>
          <t>18:00:41</t>
        </is>
      </c>
      <c r="H699" t="inlineStr">
        <is>
          <t>SELESAI</t>
        </is>
      </c>
      <c r="I699" t="inlineStr">
        <is>
          <t>MK00109</t>
        </is>
      </c>
      <c r="J699" t="inlineStr"/>
    </row>
    <row r="700">
      <c r="A700" t="inlineStr">
        <is>
          <t>05/06/2026</t>
        </is>
      </c>
      <c r="B700" t="inlineStr">
        <is>
          <t>528000273</t>
        </is>
      </c>
      <c r="C700" t="inlineStr">
        <is>
          <t>Asep Mulyana</t>
        </is>
      </c>
      <c r="D700" t="inlineStr">
        <is>
          <t>PROD</t>
        </is>
      </c>
      <c r="E700" t="inlineStr">
        <is>
          <t>Produksi Harian</t>
        </is>
      </c>
      <c r="F700" t="inlineStr">
        <is>
          <t>11:01:15</t>
        </is>
      </c>
      <c r="G700" t="inlineStr"/>
      <c r="H700" t="inlineStr">
        <is>
          <t>DI DALAM</t>
        </is>
      </c>
      <c r="I700" t="inlineStr">
        <is>
          <t>MK00116</t>
        </is>
      </c>
      <c r="J700" t="inlineStr"/>
    </row>
    <row r="701">
      <c r="A701" t="inlineStr">
        <is>
          <t>05/06/2026</t>
        </is>
      </c>
      <c r="B701" t="inlineStr">
        <is>
          <t>528000274</t>
        </is>
      </c>
      <c r="C701" t="inlineStr">
        <is>
          <t>Zepri</t>
        </is>
      </c>
      <c r="D701" t="inlineStr">
        <is>
          <t>PROD</t>
        </is>
      </c>
      <c r="E701" t="inlineStr">
        <is>
          <t>Produksi Harian</t>
        </is>
      </c>
      <c r="F701" t="inlineStr">
        <is>
          <t>13:53:55</t>
        </is>
      </c>
      <c r="G701" t="inlineStr">
        <is>
          <t>22:02:51</t>
        </is>
      </c>
      <c r="H701" t="inlineStr">
        <is>
          <t>SELESAI</t>
        </is>
      </c>
      <c r="I701" t="inlineStr">
        <is>
          <t>MK00113</t>
        </is>
      </c>
      <c r="J701" t="inlineStr"/>
    </row>
    <row r="702">
      <c r="A702" t="inlineStr">
        <is>
          <t>05/06/2026</t>
        </is>
      </c>
      <c r="B702" t="inlineStr">
        <is>
          <t>528000279</t>
        </is>
      </c>
      <c r="C702" t="inlineStr">
        <is>
          <t>Mahdalena Dalfa Riani</t>
        </is>
      </c>
      <c r="D702" t="inlineStr">
        <is>
          <t>PROD</t>
        </is>
      </c>
      <c r="E702" t="inlineStr">
        <is>
          <t>Produksi Harian</t>
        </is>
      </c>
      <c r="F702" t="inlineStr">
        <is>
          <t>05:55:36</t>
        </is>
      </c>
      <c r="G702" t="inlineStr">
        <is>
          <t>14:04:38</t>
        </is>
      </c>
      <c r="H702" t="inlineStr">
        <is>
          <t>SELESAI</t>
        </is>
      </c>
      <c r="I702" t="inlineStr">
        <is>
          <t>MK00213</t>
        </is>
      </c>
      <c r="J702" t="inlineStr"/>
    </row>
    <row r="703">
      <c r="A703" t="inlineStr">
        <is>
          <t>05/06/2026</t>
        </is>
      </c>
      <c r="B703" t="inlineStr">
        <is>
          <t>528000282</t>
        </is>
      </c>
      <c r="C703" t="inlineStr">
        <is>
          <t>Defa Desfiana</t>
        </is>
      </c>
      <c r="D703" t="inlineStr">
        <is>
          <t>PROD</t>
        </is>
      </c>
      <c r="E703" t="inlineStr">
        <is>
          <t>Produksi Harian</t>
        </is>
      </c>
      <c r="F703" t="inlineStr">
        <is>
          <t>07:41:43</t>
        </is>
      </c>
      <c r="G703" t="inlineStr">
        <is>
          <t>13:03:31</t>
        </is>
      </c>
      <c r="H703" t="inlineStr">
        <is>
          <t>SELESAI</t>
        </is>
      </c>
      <c r="I703" t="inlineStr">
        <is>
          <t>MK00249</t>
        </is>
      </c>
      <c r="J703" t="inlineStr">
        <is>
          <t>23c</t>
        </is>
      </c>
    </row>
    <row r="704">
      <c r="A704" t="inlineStr">
        <is>
          <t>05/06/2026</t>
        </is>
      </c>
      <c r="B704" t="inlineStr">
        <is>
          <t>528000286</t>
        </is>
      </c>
      <c r="C704" t="inlineStr">
        <is>
          <t>Imelda Amelia</t>
        </is>
      </c>
      <c r="D704" t="inlineStr">
        <is>
          <t>PROD</t>
        </is>
      </c>
      <c r="E704" t="inlineStr">
        <is>
          <t>Produksi Harian</t>
        </is>
      </c>
      <c r="F704" t="inlineStr">
        <is>
          <t>13:41:12</t>
        </is>
      </c>
      <c r="G704" t="inlineStr">
        <is>
          <t>06:05:02</t>
        </is>
      </c>
      <c r="H704" t="inlineStr">
        <is>
          <t>SELESAI</t>
        </is>
      </c>
      <c r="I704" t="inlineStr">
        <is>
          <t>MK0046</t>
        </is>
      </c>
      <c r="J704" t="inlineStr"/>
    </row>
    <row r="705">
      <c r="A705" t="inlineStr">
        <is>
          <t>05/06/2026</t>
        </is>
      </c>
      <c r="B705" t="inlineStr">
        <is>
          <t>528000287</t>
        </is>
      </c>
      <c r="C705" t="inlineStr">
        <is>
          <t>Muhamad Angga Ramdani</t>
        </is>
      </c>
      <c r="D705" t="inlineStr">
        <is>
          <t>PROD</t>
        </is>
      </c>
      <c r="E705" t="inlineStr">
        <is>
          <t>Produksi Harian</t>
        </is>
      </c>
      <c r="F705" t="inlineStr">
        <is>
          <t>07:45:31</t>
        </is>
      </c>
      <c r="G705" t="inlineStr">
        <is>
          <t>13:05:34</t>
        </is>
      </c>
      <c r="H705" t="inlineStr">
        <is>
          <t>SELESAI</t>
        </is>
      </c>
      <c r="I705" t="inlineStr">
        <is>
          <t>MK00151</t>
        </is>
      </c>
      <c r="J705" t="inlineStr"/>
    </row>
    <row r="706">
      <c r="A706" t="inlineStr">
        <is>
          <t>05/06/2026</t>
        </is>
      </c>
      <c r="B706" t="inlineStr">
        <is>
          <t>528000289</t>
        </is>
      </c>
      <c r="C706" t="inlineStr">
        <is>
          <t>Adit Supriyadi</t>
        </is>
      </c>
      <c r="D706" t="inlineStr">
        <is>
          <t>PROD</t>
        </is>
      </c>
      <c r="E706" t="inlineStr">
        <is>
          <t>Produksi Harian</t>
        </is>
      </c>
      <c r="F706" t="inlineStr">
        <is>
          <t>21:36:58</t>
        </is>
      </c>
      <c r="G706" t="inlineStr"/>
      <c r="H706" t="inlineStr">
        <is>
          <t>DI DALAM</t>
        </is>
      </c>
      <c r="I706" t="inlineStr">
        <is>
          <t>MK00204</t>
        </is>
      </c>
      <c r="J706" t="inlineStr"/>
    </row>
    <row r="707">
      <c r="A707" t="inlineStr">
        <is>
          <t>05/06/2026</t>
        </is>
      </c>
      <c r="B707" t="inlineStr">
        <is>
          <t>528000290</t>
        </is>
      </c>
      <c r="C707" t="inlineStr">
        <is>
          <t>Eval Pranata</t>
        </is>
      </c>
      <c r="D707" t="inlineStr">
        <is>
          <t>PROD</t>
        </is>
      </c>
      <c r="E707" t="inlineStr">
        <is>
          <t>Produksi Harian</t>
        </is>
      </c>
      <c r="F707" t="inlineStr">
        <is>
          <t>13:54:12</t>
        </is>
      </c>
      <c r="G707" t="inlineStr">
        <is>
          <t>06:04:37</t>
        </is>
      </c>
      <c r="H707" t="inlineStr">
        <is>
          <t>SELESAI</t>
        </is>
      </c>
      <c r="I707" t="inlineStr">
        <is>
          <t>MK00126</t>
        </is>
      </c>
      <c r="J707" t="inlineStr"/>
    </row>
    <row r="708">
      <c r="A708" t="inlineStr">
        <is>
          <t>05/06/2026</t>
        </is>
      </c>
      <c r="B708" t="inlineStr">
        <is>
          <t>528000292</t>
        </is>
      </c>
      <c r="C708" t="inlineStr">
        <is>
          <t>Aditia Nugraha</t>
        </is>
      </c>
      <c r="D708" t="inlineStr">
        <is>
          <t>PROD</t>
        </is>
      </c>
      <c r="E708" t="inlineStr">
        <is>
          <t>Produksi Harian</t>
        </is>
      </c>
      <c r="F708" t="inlineStr">
        <is>
          <t>14:07:07</t>
        </is>
      </c>
      <c r="G708" t="inlineStr">
        <is>
          <t>22:05:33</t>
        </is>
      </c>
      <c r="H708" t="inlineStr">
        <is>
          <t>SELESAI</t>
        </is>
      </c>
      <c r="I708" t="inlineStr">
        <is>
          <t>MK00200</t>
        </is>
      </c>
      <c r="J708" t="inlineStr"/>
    </row>
    <row r="709">
      <c r="A709" t="inlineStr">
        <is>
          <t>05/06/2026</t>
        </is>
      </c>
      <c r="B709" t="inlineStr">
        <is>
          <t>528000297</t>
        </is>
      </c>
      <c r="C709" t="inlineStr">
        <is>
          <t>Muhamad Budiana</t>
        </is>
      </c>
      <c r="D709" t="inlineStr">
        <is>
          <t>PROD</t>
        </is>
      </c>
      <c r="E709" t="inlineStr">
        <is>
          <t>Produksi Harian</t>
        </is>
      </c>
      <c r="F709" t="inlineStr">
        <is>
          <t>05:53:37</t>
        </is>
      </c>
      <c r="G709" t="inlineStr">
        <is>
          <t>14:05:36</t>
        </is>
      </c>
      <c r="H709" t="inlineStr">
        <is>
          <t>SELESAI</t>
        </is>
      </c>
      <c r="I709" t="inlineStr">
        <is>
          <t>MK0082</t>
        </is>
      </c>
      <c r="J709" t="inlineStr"/>
    </row>
    <row r="710">
      <c r="A710" t="inlineStr">
        <is>
          <t>05/06/2026</t>
        </is>
      </c>
      <c r="B710" t="inlineStr">
        <is>
          <t>528000306</t>
        </is>
      </c>
      <c r="C710" t="inlineStr">
        <is>
          <t>Windy Olivia</t>
        </is>
      </c>
      <c r="D710" t="inlineStr">
        <is>
          <t>PROD</t>
        </is>
      </c>
      <c r="E710" t="inlineStr">
        <is>
          <t>Produksi Harian</t>
        </is>
      </c>
      <c r="F710" t="inlineStr">
        <is>
          <t>21:37:52</t>
        </is>
      </c>
      <c r="G710" t="inlineStr"/>
      <c r="H710" t="inlineStr">
        <is>
          <t>DI DALAM</t>
        </is>
      </c>
      <c r="I710" t="inlineStr">
        <is>
          <t>MK00250</t>
        </is>
      </c>
      <c r="J710" t="inlineStr"/>
    </row>
    <row r="711">
      <c r="A711" t="inlineStr">
        <is>
          <t>05/06/2026</t>
        </is>
      </c>
      <c r="B711" t="inlineStr">
        <is>
          <t>528000318</t>
        </is>
      </c>
      <c r="C711" t="inlineStr">
        <is>
          <t>Bayu Padli Sepriyana</t>
        </is>
      </c>
      <c r="D711" t="inlineStr">
        <is>
          <t>LOG</t>
        </is>
      </c>
      <c r="E711" t="inlineStr">
        <is>
          <t>WRM Harian</t>
        </is>
      </c>
      <c r="F711" t="inlineStr"/>
      <c r="G711" t="inlineStr">
        <is>
          <t>06:04:18</t>
        </is>
      </c>
      <c r="H711" t="inlineStr">
        <is>
          <t>KELUAR TANPA MASUK</t>
        </is>
      </c>
      <c r="I711" t="inlineStr">
        <is>
          <t>MK00109</t>
        </is>
      </c>
      <c r="J711" t="inlineStr"/>
    </row>
    <row r="712">
      <c r="A712" t="inlineStr">
        <is>
          <t>05/06/2026</t>
        </is>
      </c>
      <c r="B712" t="inlineStr">
        <is>
          <t>528000348</t>
        </is>
      </c>
      <c r="C712" t="inlineStr">
        <is>
          <t>Saepuloh Ardiansah</t>
        </is>
      </c>
      <c r="D712" t="inlineStr">
        <is>
          <t>LOG</t>
        </is>
      </c>
      <c r="E712" t="inlineStr">
        <is>
          <t>WRM Harian</t>
        </is>
      </c>
      <c r="F712" t="inlineStr">
        <is>
          <t>08:46:38</t>
        </is>
      </c>
      <c r="G712" t="inlineStr">
        <is>
          <t>14:02:29</t>
        </is>
      </c>
      <c r="H712" t="inlineStr">
        <is>
          <t>SELESAI</t>
        </is>
      </c>
      <c r="I712" t="inlineStr">
        <is>
          <t>MK00192</t>
        </is>
      </c>
      <c r="J712" t="inlineStr"/>
    </row>
    <row r="713">
      <c r="A713" t="inlineStr">
        <is>
          <t>06/06/2026</t>
        </is>
      </c>
      <c r="B713" t="inlineStr">
        <is>
          <t>528000015</t>
        </is>
      </c>
      <c r="C713" t="inlineStr">
        <is>
          <t>Erwin</t>
        </is>
      </c>
      <c r="D713" t="inlineStr">
        <is>
          <t>LOG</t>
        </is>
      </c>
      <c r="E713" t="inlineStr">
        <is>
          <t>WRM Harian</t>
        </is>
      </c>
      <c r="F713" t="inlineStr">
        <is>
          <t>15:39:03</t>
        </is>
      </c>
      <c r="G713" t="inlineStr">
        <is>
          <t>00:04:00</t>
        </is>
      </c>
      <c r="H713" t="inlineStr">
        <is>
          <t>SELESAI</t>
        </is>
      </c>
      <c r="I713" t="inlineStr">
        <is>
          <t>MK00181</t>
        </is>
      </c>
      <c r="J713" t="inlineStr"/>
    </row>
    <row r="714">
      <c r="A714" t="inlineStr">
        <is>
          <t>06/06/2026</t>
        </is>
      </c>
      <c r="B714" t="inlineStr">
        <is>
          <t>528000052</t>
        </is>
      </c>
      <c r="C714" t="inlineStr">
        <is>
          <t>Mustopa</t>
        </is>
      </c>
      <c r="D714" t="inlineStr">
        <is>
          <t>PROD</t>
        </is>
      </c>
      <c r="E714" t="inlineStr">
        <is>
          <t>Produksi Harian</t>
        </is>
      </c>
      <c r="F714" t="inlineStr">
        <is>
          <t>05:22:25</t>
        </is>
      </c>
      <c r="G714" t="inlineStr">
        <is>
          <t>14:02:25</t>
        </is>
      </c>
      <c r="H714" t="inlineStr">
        <is>
          <t>SELESAI</t>
        </is>
      </c>
      <c r="I714" t="inlineStr">
        <is>
          <t>MK0192</t>
        </is>
      </c>
      <c r="J714" t="inlineStr"/>
    </row>
    <row r="715">
      <c r="A715" t="inlineStr">
        <is>
          <t>06/06/2026</t>
        </is>
      </c>
      <c r="B715" t="inlineStr">
        <is>
          <t>528000090</t>
        </is>
      </c>
      <c r="C715" t="inlineStr">
        <is>
          <t>Suganda</t>
        </is>
      </c>
      <c r="D715" t="inlineStr">
        <is>
          <t>PROD</t>
        </is>
      </c>
      <c r="E715" t="inlineStr">
        <is>
          <t>Produksi Harian</t>
        </is>
      </c>
      <c r="F715" t="inlineStr">
        <is>
          <t>21:59:30</t>
        </is>
      </c>
      <c r="G715" t="inlineStr">
        <is>
          <t>06:05:44</t>
        </is>
      </c>
      <c r="H715" t="inlineStr">
        <is>
          <t>SELESAI</t>
        </is>
      </c>
      <c r="I715" t="inlineStr">
        <is>
          <t>MK00250</t>
        </is>
      </c>
      <c r="J715" t="inlineStr"/>
    </row>
    <row r="716">
      <c r="A716" t="inlineStr">
        <is>
          <t>06/06/2026</t>
        </is>
      </c>
      <c r="B716" t="inlineStr">
        <is>
          <t>528000098</t>
        </is>
      </c>
      <c r="C716" t="inlineStr">
        <is>
          <t>Edi Junaedi</t>
        </is>
      </c>
      <c r="D716" t="inlineStr">
        <is>
          <t>PROD</t>
        </is>
      </c>
      <c r="E716" t="inlineStr">
        <is>
          <t>Produksi Harian</t>
        </is>
      </c>
      <c r="F716" t="inlineStr">
        <is>
          <t>13:15:12</t>
        </is>
      </c>
      <c r="G716" t="inlineStr"/>
      <c r="H716" t="inlineStr">
        <is>
          <t>DI DALAM</t>
        </is>
      </c>
      <c r="I716" t="inlineStr">
        <is>
          <t>MK00154</t>
        </is>
      </c>
      <c r="J716" t="inlineStr"/>
    </row>
    <row r="717">
      <c r="A717" t="inlineStr">
        <is>
          <t>06/06/2026</t>
        </is>
      </c>
      <c r="B717" t="inlineStr">
        <is>
          <t>528000099</t>
        </is>
      </c>
      <c r="C717" t="inlineStr">
        <is>
          <t>Siti Nurawaliah</t>
        </is>
      </c>
      <c r="D717" t="inlineStr">
        <is>
          <t>PROD</t>
        </is>
      </c>
      <c r="E717" t="inlineStr">
        <is>
          <t>Produksi Harian</t>
        </is>
      </c>
      <c r="F717" t="inlineStr">
        <is>
          <t>21:46:22</t>
        </is>
      </c>
      <c r="G717" t="inlineStr">
        <is>
          <t>06:06:16</t>
        </is>
      </c>
      <c r="H717" t="inlineStr">
        <is>
          <t>SELESAI</t>
        </is>
      </c>
      <c r="I717" t="inlineStr">
        <is>
          <t>MK0090</t>
        </is>
      </c>
      <c r="J717" t="inlineStr"/>
    </row>
    <row r="718">
      <c r="A718" t="inlineStr">
        <is>
          <t>06/06/2026</t>
        </is>
      </c>
      <c r="B718" t="inlineStr">
        <is>
          <t>528000132</t>
        </is>
      </c>
      <c r="C718" t="inlineStr">
        <is>
          <t>Giopani</t>
        </is>
      </c>
      <c r="D718" t="inlineStr">
        <is>
          <t>LOG</t>
        </is>
      </c>
      <c r="E718" t="inlineStr">
        <is>
          <t>WRM Harian</t>
        </is>
      </c>
      <c r="F718" t="inlineStr">
        <is>
          <t>08:51:07</t>
        </is>
      </c>
      <c r="G718" t="inlineStr">
        <is>
          <t>08:50:49</t>
        </is>
      </c>
      <c r="H718" t="inlineStr">
        <is>
          <t>SELESAI</t>
        </is>
      </c>
      <c r="I718" t="inlineStr">
        <is>
          <t>MK00228</t>
        </is>
      </c>
      <c r="J718" t="inlineStr"/>
    </row>
    <row r="719">
      <c r="A719" t="inlineStr">
        <is>
          <t>06/06/2026</t>
        </is>
      </c>
      <c r="B719" t="inlineStr">
        <is>
          <t>528000144</t>
        </is>
      </c>
      <c r="C719" t="inlineStr">
        <is>
          <t>Jodi Hanafi</t>
        </is>
      </c>
      <c r="D719" t="inlineStr">
        <is>
          <t>LOG</t>
        </is>
      </c>
      <c r="E719" t="inlineStr">
        <is>
          <t>WRM Harian</t>
        </is>
      </c>
      <c r="F719" t="inlineStr">
        <is>
          <t>15:52:53</t>
        </is>
      </c>
      <c r="G719" t="inlineStr"/>
      <c r="H719" t="inlineStr">
        <is>
          <t>DI DALAM</t>
        </is>
      </c>
      <c r="I719" t="inlineStr">
        <is>
          <t>MK00221</t>
        </is>
      </c>
      <c r="J719" t="inlineStr"/>
    </row>
    <row r="720">
      <c r="A720" t="inlineStr">
        <is>
          <t>06/06/2026</t>
        </is>
      </c>
      <c r="B720" t="inlineStr">
        <is>
          <t>528000195</t>
        </is>
      </c>
      <c r="C720" t="inlineStr">
        <is>
          <t>Rahma Sariwati</t>
        </is>
      </c>
      <c r="D720" t="inlineStr">
        <is>
          <t>PROD</t>
        </is>
      </c>
      <c r="E720" t="inlineStr">
        <is>
          <t>Produksi Harian</t>
        </is>
      </c>
      <c r="F720" t="inlineStr">
        <is>
          <t>05:41:43</t>
        </is>
      </c>
      <c r="G720" t="inlineStr">
        <is>
          <t>14:03:57</t>
        </is>
      </c>
      <c r="H720" t="inlineStr">
        <is>
          <t>SELESAI</t>
        </is>
      </c>
      <c r="I720" t="inlineStr">
        <is>
          <t>MK00250</t>
        </is>
      </c>
      <c r="J720" t="inlineStr"/>
    </row>
    <row r="721">
      <c r="A721" t="inlineStr">
        <is>
          <t>06/06/2026</t>
        </is>
      </c>
      <c r="B721" t="inlineStr">
        <is>
          <t>528000201</t>
        </is>
      </c>
      <c r="C721" t="inlineStr">
        <is>
          <t>Zahwa Amelia Choerunissa</t>
        </is>
      </c>
      <c r="D721" t="inlineStr">
        <is>
          <t>PROD</t>
        </is>
      </c>
      <c r="E721" t="inlineStr">
        <is>
          <t>Produksi Harian</t>
        </is>
      </c>
      <c r="F721" t="inlineStr">
        <is>
          <t>21:45:55</t>
        </is>
      </c>
      <c r="G721" t="inlineStr">
        <is>
          <t>06:05:18</t>
        </is>
      </c>
      <c r="H721" t="inlineStr">
        <is>
          <t>SELESAI</t>
        </is>
      </c>
      <c r="I721" t="inlineStr">
        <is>
          <t>MK0095</t>
        </is>
      </c>
      <c r="J721" t="inlineStr"/>
    </row>
    <row r="722">
      <c r="A722" t="inlineStr">
        <is>
          <t>06/06/2026</t>
        </is>
      </c>
      <c r="B722" t="inlineStr">
        <is>
          <t>528000203</t>
        </is>
      </c>
      <c r="C722" t="inlineStr">
        <is>
          <t>Yudha Ramdhan Putra</t>
        </is>
      </c>
      <c r="D722" t="inlineStr">
        <is>
          <t>ENG</t>
        </is>
      </c>
      <c r="E722" t="inlineStr">
        <is>
          <t>Engineering Harian</t>
        </is>
      </c>
      <c r="F722" t="inlineStr">
        <is>
          <t>07:57:30</t>
        </is>
      </c>
      <c r="G722" t="inlineStr">
        <is>
          <t>16:03:04</t>
        </is>
      </c>
      <c r="H722" t="inlineStr">
        <is>
          <t>SELESAI</t>
        </is>
      </c>
      <c r="I722" t="inlineStr">
        <is>
          <t>MK00204</t>
        </is>
      </c>
      <c r="J722" t="inlineStr"/>
    </row>
    <row r="723">
      <c r="A723" t="inlineStr">
        <is>
          <t>06/06/2026</t>
        </is>
      </c>
      <c r="B723" t="inlineStr">
        <is>
          <t>528000212</t>
        </is>
      </c>
      <c r="C723" t="inlineStr">
        <is>
          <t>Rizal Fauzi</t>
        </is>
      </c>
      <c r="D723" t="inlineStr">
        <is>
          <t>PROD</t>
        </is>
      </c>
      <c r="E723" t="inlineStr">
        <is>
          <t>Produksi Harian</t>
        </is>
      </c>
      <c r="F723" t="inlineStr"/>
      <c r="G723" t="inlineStr">
        <is>
          <t>06:05:56</t>
        </is>
      </c>
      <c r="H723" t="inlineStr">
        <is>
          <t>KELUAR TANPA MASUK</t>
        </is>
      </c>
      <c r="I723" t="inlineStr">
        <is>
          <t>MK00154</t>
        </is>
      </c>
      <c r="J723" t="inlineStr"/>
    </row>
    <row r="724">
      <c r="A724" t="inlineStr">
        <is>
          <t>06/06/2026</t>
        </is>
      </c>
      <c r="B724" t="inlineStr">
        <is>
          <t>528000232</t>
        </is>
      </c>
      <c r="C724" t="inlineStr">
        <is>
          <t>Agung Aji Suhada</t>
        </is>
      </c>
      <c r="D724" t="inlineStr">
        <is>
          <t>LOG</t>
        </is>
      </c>
      <c r="E724" t="inlineStr">
        <is>
          <t>WRM Harian</t>
        </is>
      </c>
      <c r="F724" t="inlineStr">
        <is>
          <t>08:57:44</t>
        </is>
      </c>
      <c r="G724" t="inlineStr">
        <is>
          <t>17:10:56</t>
        </is>
      </c>
      <c r="H724" t="inlineStr">
        <is>
          <t>SELESAI</t>
        </is>
      </c>
      <c r="I724" t="inlineStr">
        <is>
          <t>MK00095</t>
        </is>
      </c>
      <c r="J724" t="inlineStr"/>
    </row>
    <row r="725">
      <c r="A725" t="inlineStr">
        <is>
          <t>06/06/2026</t>
        </is>
      </c>
      <c r="B725" t="inlineStr">
        <is>
          <t>528000241</t>
        </is>
      </c>
      <c r="C725" t="inlineStr">
        <is>
          <t>Balia Nurafif Bilah</t>
        </is>
      </c>
      <c r="D725" t="inlineStr">
        <is>
          <t>PROD</t>
        </is>
      </c>
      <c r="E725" t="inlineStr">
        <is>
          <t>Produksi Harian</t>
        </is>
      </c>
      <c r="F725" t="inlineStr">
        <is>
          <t>21:52:33</t>
        </is>
      </c>
      <c r="G725" t="inlineStr">
        <is>
          <t>06:04:31</t>
        </is>
      </c>
      <c r="H725" t="inlineStr">
        <is>
          <t>SELESAI</t>
        </is>
      </c>
      <c r="I725" t="inlineStr">
        <is>
          <t>MK00202</t>
        </is>
      </c>
      <c r="J725" t="inlineStr"/>
    </row>
    <row r="726">
      <c r="A726" t="inlineStr">
        <is>
          <t>06/06/2026</t>
        </is>
      </c>
      <c r="B726" t="inlineStr">
        <is>
          <t>528000244</t>
        </is>
      </c>
      <c r="C726" t="inlineStr">
        <is>
          <t>Rodian Rifai</t>
        </is>
      </c>
      <c r="D726" t="inlineStr">
        <is>
          <t>PROD</t>
        </is>
      </c>
      <c r="E726" t="inlineStr">
        <is>
          <t>Produksi Harian</t>
        </is>
      </c>
      <c r="F726" t="inlineStr">
        <is>
          <t>21:22:11</t>
        </is>
      </c>
      <c r="G726" t="inlineStr">
        <is>
          <t>06:17:52</t>
        </is>
      </c>
      <c r="H726" t="inlineStr">
        <is>
          <t>SELESAI</t>
        </is>
      </c>
      <c r="I726" t="inlineStr">
        <is>
          <t>MK00154</t>
        </is>
      </c>
      <c r="J726" t="inlineStr">
        <is>
          <t>10F</t>
        </is>
      </c>
    </row>
    <row r="727">
      <c r="A727" t="inlineStr">
        <is>
          <t>06/06/2026</t>
        </is>
      </c>
      <c r="B727" t="inlineStr">
        <is>
          <t>528000262</t>
        </is>
      </c>
      <c r="C727" t="inlineStr">
        <is>
          <t>Ndari Dwiwanti</t>
        </is>
      </c>
      <c r="D727" t="inlineStr">
        <is>
          <t>PROD</t>
        </is>
      </c>
      <c r="E727" t="inlineStr">
        <is>
          <t>Produksi Harian</t>
        </is>
      </c>
      <c r="F727" t="inlineStr">
        <is>
          <t>05:32:36</t>
        </is>
      </c>
      <c r="G727" t="inlineStr">
        <is>
          <t>14:01:41</t>
        </is>
      </c>
      <c r="H727" t="inlineStr">
        <is>
          <t>SELESAI</t>
        </is>
      </c>
      <c r="I727" t="inlineStr">
        <is>
          <t>MK00221</t>
        </is>
      </c>
      <c r="J727" t="inlineStr"/>
    </row>
    <row r="728">
      <c r="A728" t="inlineStr">
        <is>
          <t>06/06/2026</t>
        </is>
      </c>
      <c r="B728" t="inlineStr">
        <is>
          <t>528000265</t>
        </is>
      </c>
      <c r="C728" t="inlineStr">
        <is>
          <t>Muhammad Haerul Rozikin</t>
        </is>
      </c>
      <c r="D728" t="inlineStr">
        <is>
          <t>LOG</t>
        </is>
      </c>
      <c r="E728" t="inlineStr">
        <is>
          <t>WRM Harian</t>
        </is>
      </c>
      <c r="F728" t="inlineStr">
        <is>
          <t>05:52:47</t>
        </is>
      </c>
      <c r="G728" t="inlineStr">
        <is>
          <t>14:03:36</t>
        </is>
      </c>
      <c r="H728" t="inlineStr">
        <is>
          <t>SELESAI</t>
        </is>
      </c>
      <c r="I728" t="inlineStr">
        <is>
          <t>MK00126</t>
        </is>
      </c>
      <c r="J728" t="inlineStr"/>
    </row>
    <row r="729">
      <c r="A729" t="inlineStr">
        <is>
          <t>06/06/2026</t>
        </is>
      </c>
      <c r="B729" t="inlineStr">
        <is>
          <t>528000267</t>
        </is>
      </c>
      <c r="C729" t="inlineStr">
        <is>
          <t>Bagas Patulloh</t>
        </is>
      </c>
      <c r="D729" t="inlineStr">
        <is>
          <t>LOG</t>
        </is>
      </c>
      <c r="E729" t="inlineStr">
        <is>
          <t>WRM Harian</t>
        </is>
      </c>
      <c r="F729" t="inlineStr">
        <is>
          <t>07:58:13</t>
        </is>
      </c>
      <c r="G729" t="inlineStr">
        <is>
          <t>17:34:30</t>
        </is>
      </c>
      <c r="H729" t="inlineStr">
        <is>
          <t>SELESAI</t>
        </is>
      </c>
      <c r="I729" t="inlineStr">
        <is>
          <t>MK00199</t>
        </is>
      </c>
      <c r="J729" t="inlineStr"/>
    </row>
    <row r="730">
      <c r="A730" t="inlineStr">
        <is>
          <t>06/06/2026</t>
        </is>
      </c>
      <c r="B730" t="inlineStr">
        <is>
          <t>528000270</t>
        </is>
      </c>
      <c r="C730" t="inlineStr">
        <is>
          <t>Febri Najmudin</t>
        </is>
      </c>
      <c r="D730" t="inlineStr">
        <is>
          <t>LOG</t>
        </is>
      </c>
      <c r="E730" t="inlineStr">
        <is>
          <t>WRM Harian</t>
        </is>
      </c>
      <c r="F730" t="inlineStr">
        <is>
          <t>13:48:05</t>
        </is>
      </c>
      <c r="G730" t="inlineStr">
        <is>
          <t>22:28:04</t>
        </is>
      </c>
      <c r="H730" t="inlineStr">
        <is>
          <t>SELESAI</t>
        </is>
      </c>
      <c r="I730" t="inlineStr">
        <is>
          <t>MK00151</t>
        </is>
      </c>
      <c r="J730" t="inlineStr"/>
    </row>
    <row r="731">
      <c r="A731" t="inlineStr">
        <is>
          <t>06/06/2026</t>
        </is>
      </c>
      <c r="B731" t="inlineStr">
        <is>
          <t>528000274</t>
        </is>
      </c>
      <c r="C731" t="inlineStr">
        <is>
          <t>Zepri</t>
        </is>
      </c>
      <c r="D731" t="inlineStr">
        <is>
          <t>PROD</t>
        </is>
      </c>
      <c r="E731" t="inlineStr">
        <is>
          <t>Produksi Harian</t>
        </is>
      </c>
      <c r="F731" t="inlineStr">
        <is>
          <t>21:54:34</t>
        </is>
      </c>
      <c r="G731" t="inlineStr">
        <is>
          <t>06:04:40</t>
        </is>
      </c>
      <c r="H731" t="inlineStr">
        <is>
          <t>SELESAI</t>
        </is>
      </c>
      <c r="I731" t="inlineStr">
        <is>
          <t>MK00158</t>
        </is>
      </c>
      <c r="J731" t="inlineStr"/>
    </row>
    <row r="732">
      <c r="A732" t="inlineStr">
        <is>
          <t>06/06/2026</t>
        </is>
      </c>
      <c r="B732" t="inlineStr">
        <is>
          <t>528000282</t>
        </is>
      </c>
      <c r="C732" t="inlineStr">
        <is>
          <t>Defa Desfiana</t>
        </is>
      </c>
      <c r="D732" t="inlineStr">
        <is>
          <t>PROD</t>
        </is>
      </c>
      <c r="E732" t="inlineStr">
        <is>
          <t>Produksi Harian</t>
        </is>
      </c>
      <c r="F732" t="inlineStr">
        <is>
          <t>05:52:04</t>
        </is>
      </c>
      <c r="G732" t="inlineStr">
        <is>
          <t>18:25:48</t>
        </is>
      </c>
      <c r="H732" t="inlineStr">
        <is>
          <t>SELESAI</t>
        </is>
      </c>
      <c r="I732" t="inlineStr">
        <is>
          <t>MK00230</t>
        </is>
      </c>
      <c r="J732" t="inlineStr"/>
    </row>
    <row r="733">
      <c r="A733" t="inlineStr">
        <is>
          <t>06/06/2026</t>
        </is>
      </c>
      <c r="B733" t="inlineStr">
        <is>
          <t>528000286</t>
        </is>
      </c>
      <c r="C733" t="inlineStr">
        <is>
          <t>Imelda Amelia</t>
        </is>
      </c>
      <c r="D733" t="inlineStr">
        <is>
          <t>PROD</t>
        </is>
      </c>
      <c r="E733" t="inlineStr">
        <is>
          <t>Produksi Harian</t>
        </is>
      </c>
      <c r="F733" t="inlineStr">
        <is>
          <t>21:44:45</t>
        </is>
      </c>
      <c r="G733" t="inlineStr">
        <is>
          <t>06:06:33</t>
        </is>
      </c>
      <c r="H733" t="inlineStr">
        <is>
          <t>SELESAI</t>
        </is>
      </c>
      <c r="I733" t="inlineStr">
        <is>
          <t>MK00116</t>
        </is>
      </c>
      <c r="J733" t="inlineStr"/>
    </row>
    <row r="734">
      <c r="A734" t="inlineStr">
        <is>
          <t>06/06/2026</t>
        </is>
      </c>
      <c r="B734" t="inlineStr">
        <is>
          <t>528000289</t>
        </is>
      </c>
      <c r="C734" t="inlineStr">
        <is>
          <t>Adit Supriyadi</t>
        </is>
      </c>
      <c r="D734" t="inlineStr">
        <is>
          <t>PROD</t>
        </is>
      </c>
      <c r="E734" t="inlineStr">
        <is>
          <t>Produksi Harian</t>
        </is>
      </c>
      <c r="F734" t="inlineStr">
        <is>
          <t>21:28:04</t>
        </is>
      </c>
      <c r="G734" t="inlineStr">
        <is>
          <t>06:05:09</t>
        </is>
      </c>
      <c r="H734" t="inlineStr">
        <is>
          <t>SELESAI</t>
        </is>
      </c>
      <c r="I734" t="inlineStr">
        <is>
          <t>MK00209</t>
        </is>
      </c>
      <c r="J734" t="inlineStr">
        <is>
          <t>C-10</t>
        </is>
      </c>
    </row>
    <row r="735">
      <c r="A735" t="inlineStr">
        <is>
          <t>06/06/2026</t>
        </is>
      </c>
      <c r="B735" t="inlineStr">
        <is>
          <t>528000291</t>
        </is>
      </c>
      <c r="C735" t="inlineStr">
        <is>
          <t>Andrian</t>
        </is>
      </c>
      <c r="D735" t="inlineStr">
        <is>
          <t>PROD</t>
        </is>
      </c>
      <c r="E735" t="inlineStr">
        <is>
          <t>Produksi Harian</t>
        </is>
      </c>
      <c r="F735" t="inlineStr">
        <is>
          <t>05:43:30</t>
        </is>
      </c>
      <c r="G735" t="inlineStr">
        <is>
          <t>14:01:17</t>
        </is>
      </c>
      <c r="H735" t="inlineStr">
        <is>
          <t>SELESAI</t>
        </is>
      </c>
      <c r="I735" t="inlineStr">
        <is>
          <t>MK00209</t>
        </is>
      </c>
      <c r="J735" t="inlineStr"/>
    </row>
    <row r="736">
      <c r="A736" t="inlineStr">
        <is>
          <t>06/06/2026</t>
        </is>
      </c>
      <c r="B736" t="inlineStr">
        <is>
          <t>528000298</t>
        </is>
      </c>
      <c r="C736" t="inlineStr">
        <is>
          <t>Desta Cahaya Pratama</t>
        </is>
      </c>
      <c r="D736" t="inlineStr">
        <is>
          <t>PROD</t>
        </is>
      </c>
      <c r="E736" t="inlineStr">
        <is>
          <t>Produksi Harian</t>
        </is>
      </c>
      <c r="F736" t="inlineStr">
        <is>
          <t>13:49:53</t>
        </is>
      </c>
      <c r="G736" t="inlineStr"/>
      <c r="H736" t="inlineStr">
        <is>
          <t>DI DALAM</t>
        </is>
      </c>
      <c r="I736" t="inlineStr">
        <is>
          <t>MK00235</t>
        </is>
      </c>
      <c r="J736" t="inlineStr"/>
    </row>
    <row r="737">
      <c r="A737" t="inlineStr">
        <is>
          <t>06/06/2026</t>
        </is>
      </c>
      <c r="B737" t="inlineStr">
        <is>
          <t>528000299</t>
        </is>
      </c>
      <c r="C737" t="inlineStr">
        <is>
          <t>Siti Nurjanah</t>
        </is>
      </c>
      <c r="D737" t="inlineStr">
        <is>
          <t>PROD</t>
        </is>
      </c>
      <c r="E737" t="inlineStr">
        <is>
          <t>Produksi Harian</t>
        </is>
      </c>
      <c r="F737" t="inlineStr">
        <is>
          <t>13:43:45</t>
        </is>
      </c>
      <c r="G737" t="inlineStr">
        <is>
          <t>05:36:54</t>
        </is>
      </c>
      <c r="H737" t="inlineStr">
        <is>
          <t>SELESAI</t>
        </is>
      </c>
      <c r="I737" t="inlineStr">
        <is>
          <t>MK00113</t>
        </is>
      </c>
      <c r="J737" t="inlineStr"/>
    </row>
    <row r="738">
      <c r="A738" t="inlineStr">
        <is>
          <t>06/06/2026</t>
        </is>
      </c>
      <c r="B738" t="inlineStr">
        <is>
          <t>528000300</t>
        </is>
      </c>
      <c r="C738" t="inlineStr">
        <is>
          <t>Lia pitaloka</t>
        </is>
      </c>
      <c r="D738" t="inlineStr">
        <is>
          <t>PROD</t>
        </is>
      </c>
      <c r="E738" t="inlineStr">
        <is>
          <t>Produksi Harian</t>
        </is>
      </c>
      <c r="F738" t="inlineStr"/>
      <c r="G738" t="inlineStr">
        <is>
          <t>12:43:47</t>
        </is>
      </c>
      <c r="H738" t="inlineStr">
        <is>
          <t>KELUAR TANPA MASUK</t>
        </is>
      </c>
      <c r="I738" t="inlineStr">
        <is>
          <t>MK00181</t>
        </is>
      </c>
      <c r="J738" t="inlineStr"/>
    </row>
    <row r="739">
      <c r="A739" t="inlineStr">
        <is>
          <t>06/06/2026</t>
        </is>
      </c>
      <c r="B739" t="inlineStr">
        <is>
          <t>528000302</t>
        </is>
      </c>
      <c r="C739" t="inlineStr">
        <is>
          <t>Henkey gumilar</t>
        </is>
      </c>
      <c r="D739" t="inlineStr">
        <is>
          <t>PROD</t>
        </is>
      </c>
      <c r="E739" t="inlineStr">
        <is>
          <t>Produksi Harian</t>
        </is>
      </c>
      <c r="F739" t="inlineStr">
        <is>
          <t>13:55:26</t>
        </is>
      </c>
      <c r="G739" t="inlineStr">
        <is>
          <t>22:07:42</t>
        </is>
      </c>
      <c r="H739" t="inlineStr">
        <is>
          <t>SELESAI</t>
        </is>
      </c>
      <c r="I739" t="inlineStr">
        <is>
          <t>MK00208</t>
        </is>
      </c>
      <c r="J739" t="inlineStr"/>
    </row>
    <row r="740">
      <c r="A740" t="inlineStr">
        <is>
          <t>06/06/2026</t>
        </is>
      </c>
      <c r="B740" t="inlineStr">
        <is>
          <t>528000305</t>
        </is>
      </c>
      <c r="C740" t="inlineStr">
        <is>
          <t>Puji Puspita</t>
        </is>
      </c>
      <c r="D740" t="inlineStr">
        <is>
          <t>PROD</t>
        </is>
      </c>
      <c r="E740" t="inlineStr">
        <is>
          <t>Produksi Harian</t>
        </is>
      </c>
      <c r="F740" t="inlineStr">
        <is>
          <t>13:43:53</t>
        </is>
      </c>
      <c r="G740" t="inlineStr">
        <is>
          <t>22:03:34</t>
        </is>
      </c>
      <c r="H740" t="inlineStr">
        <is>
          <t>SELESAI</t>
        </is>
      </c>
      <c r="I740" t="inlineStr">
        <is>
          <t>MK00093</t>
        </is>
      </c>
      <c r="J740" t="inlineStr"/>
    </row>
    <row r="741">
      <c r="A741" t="inlineStr">
        <is>
          <t>06/06/2026</t>
        </is>
      </c>
      <c r="B741" t="inlineStr">
        <is>
          <t>528000309</t>
        </is>
      </c>
      <c r="C741" t="inlineStr">
        <is>
          <t>Ilham Ramadhan</t>
        </is>
      </c>
      <c r="D741" t="inlineStr">
        <is>
          <t>LOG</t>
        </is>
      </c>
      <c r="E741" t="inlineStr">
        <is>
          <t>WRM Harian</t>
        </is>
      </c>
      <c r="F741" t="inlineStr">
        <is>
          <t>18:41:19</t>
        </is>
      </c>
      <c r="G741" t="inlineStr"/>
      <c r="H741" t="inlineStr">
        <is>
          <t>DI DALAM</t>
        </is>
      </c>
      <c r="I741" t="inlineStr">
        <is>
          <t>MK00130</t>
        </is>
      </c>
      <c r="J741" t="inlineStr"/>
    </row>
    <row r="742">
      <c r="A742" t="inlineStr">
        <is>
          <t>06/06/2026</t>
        </is>
      </c>
      <c r="B742" t="inlineStr">
        <is>
          <t>528000310</t>
        </is>
      </c>
      <c r="C742" t="inlineStr">
        <is>
          <t>Fachrul Rozzi Suryana</t>
        </is>
      </c>
      <c r="D742" t="inlineStr">
        <is>
          <t>LOG</t>
        </is>
      </c>
      <c r="E742" t="inlineStr">
        <is>
          <t>WRM Harian</t>
        </is>
      </c>
      <c r="F742" t="inlineStr">
        <is>
          <t>05:58:47</t>
        </is>
      </c>
      <c r="G742" t="inlineStr">
        <is>
          <t>14:01:01</t>
        </is>
      </c>
      <c r="H742" t="inlineStr">
        <is>
          <t>SELESAI</t>
        </is>
      </c>
      <c r="I742" t="inlineStr">
        <is>
          <t>MK00134</t>
        </is>
      </c>
      <c r="J742" t="inlineStr"/>
    </row>
    <row r="743">
      <c r="A743" t="inlineStr">
        <is>
          <t>06/06/2026</t>
        </is>
      </c>
      <c r="B743" t="inlineStr">
        <is>
          <t>528000313</t>
        </is>
      </c>
      <c r="C743" t="inlineStr">
        <is>
          <t>Muhamad Rifki</t>
        </is>
      </c>
      <c r="D743" t="inlineStr">
        <is>
          <t>PROD</t>
        </is>
      </c>
      <c r="E743" t="inlineStr">
        <is>
          <t>Produksi Harian</t>
        </is>
      </c>
      <c r="F743" t="inlineStr">
        <is>
          <t>13:41:03</t>
        </is>
      </c>
      <c r="G743" t="inlineStr">
        <is>
          <t>22:07:14</t>
        </is>
      </c>
      <c r="H743" t="inlineStr">
        <is>
          <t>SELESAI</t>
        </is>
      </c>
      <c r="I743" t="inlineStr">
        <is>
          <t>MK00185</t>
        </is>
      </c>
      <c r="J743" t="inlineStr"/>
    </row>
    <row r="744">
      <c r="A744" t="inlineStr">
        <is>
          <t>06/06/2026</t>
        </is>
      </c>
      <c r="B744" t="inlineStr">
        <is>
          <t>528000323</t>
        </is>
      </c>
      <c r="C744" t="inlineStr">
        <is>
          <t>Dian Hamidah</t>
        </is>
      </c>
      <c r="D744" t="inlineStr">
        <is>
          <t>PROD</t>
        </is>
      </c>
      <c r="E744" t="inlineStr">
        <is>
          <t>Produksi Harian</t>
        </is>
      </c>
      <c r="F744" t="inlineStr">
        <is>
          <t>21:37:25</t>
        </is>
      </c>
      <c r="G744" t="inlineStr"/>
      <c r="H744" t="inlineStr">
        <is>
          <t>DI DALAM</t>
        </is>
      </c>
      <c r="I744" t="inlineStr">
        <is>
          <t>MK00210</t>
        </is>
      </c>
      <c r="J744" t="inlineStr"/>
    </row>
    <row r="745">
      <c r="A745" t="inlineStr">
        <is>
          <t>06/06/2026</t>
        </is>
      </c>
      <c r="B745" t="inlineStr">
        <is>
          <t>528000329</t>
        </is>
      </c>
      <c r="C745" t="inlineStr">
        <is>
          <t>Havid Ilham Firdaus</t>
        </is>
      </c>
      <c r="D745" t="inlineStr">
        <is>
          <t>PROD</t>
        </is>
      </c>
      <c r="E745" t="inlineStr">
        <is>
          <t>Produksi Harian</t>
        </is>
      </c>
      <c r="F745" t="inlineStr"/>
      <c r="G745" t="inlineStr">
        <is>
          <t>13:44:38</t>
        </is>
      </c>
      <c r="H745" t="inlineStr">
        <is>
          <t>KELUAR TANPA MASUK</t>
        </is>
      </c>
      <c r="I745" t="inlineStr">
        <is>
          <t>MK00008</t>
        </is>
      </c>
      <c r="J745" t="inlineStr"/>
    </row>
    <row r="746">
      <c r="A746" t="inlineStr">
        <is>
          <t>06/06/2026</t>
        </is>
      </c>
      <c r="B746" t="inlineStr">
        <is>
          <t>528000348</t>
        </is>
      </c>
      <c r="C746" t="inlineStr">
        <is>
          <t>Saepuloh Ardiansah</t>
        </is>
      </c>
      <c r="D746" t="inlineStr">
        <is>
          <t>LOG</t>
        </is>
      </c>
      <c r="E746" t="inlineStr">
        <is>
          <t>WRM Harian</t>
        </is>
      </c>
      <c r="F746" t="inlineStr">
        <is>
          <t>16:00:39</t>
        </is>
      </c>
      <c r="G746" t="inlineStr"/>
      <c r="H746" t="inlineStr">
        <is>
          <t>DI DALAM</t>
        </is>
      </c>
      <c r="I746" t="inlineStr">
        <is>
          <t>MK00205</t>
        </is>
      </c>
      <c r="J746" t="inlineStr"/>
    </row>
    <row r="747">
      <c r="A747" t="inlineStr">
        <is>
          <t>06/06/2026</t>
        </is>
      </c>
      <c r="B747" t="inlineStr">
        <is>
          <t>528000349</t>
        </is>
      </c>
      <c r="C747" t="inlineStr">
        <is>
          <t>Anas Abdul Fatah</t>
        </is>
      </c>
      <c r="D747" t="inlineStr">
        <is>
          <t>LOG</t>
        </is>
      </c>
      <c r="E747" t="inlineStr">
        <is>
          <t>WFG Harian</t>
        </is>
      </c>
      <c r="F747" t="inlineStr">
        <is>
          <t>09:43:46</t>
        </is>
      </c>
      <c r="G747" t="inlineStr">
        <is>
          <t>18:12:31</t>
        </is>
      </c>
      <c r="H747" t="inlineStr">
        <is>
          <t>SELESAI</t>
        </is>
      </c>
      <c r="I747" t="inlineStr">
        <is>
          <t>MK00109</t>
        </is>
      </c>
      <c r="J747" t="inlineStr"/>
    </row>
    <row r="748">
      <c r="A748" t="inlineStr">
        <is>
          <t>06/06/2026</t>
        </is>
      </c>
      <c r="B748" t="inlineStr">
        <is>
          <t>528000351</t>
        </is>
      </c>
      <c r="C748" t="inlineStr">
        <is>
          <t>Mulyana</t>
        </is>
      </c>
      <c r="D748" t="inlineStr">
        <is>
          <t>PROD</t>
        </is>
      </c>
      <c r="E748" t="inlineStr">
        <is>
          <t>Produksi Harian</t>
        </is>
      </c>
      <c r="F748" t="inlineStr">
        <is>
          <t>08:12:31</t>
        </is>
      </c>
      <c r="G748" t="inlineStr">
        <is>
          <t>16:07:49</t>
        </is>
      </c>
      <c r="H748" t="inlineStr">
        <is>
          <t>SELESAI</t>
        </is>
      </c>
      <c r="I748" t="inlineStr">
        <is>
          <t>MK00138</t>
        </is>
      </c>
      <c r="J748" t="inlineStr"/>
    </row>
    <row r="749">
      <c r="A749" t="inlineStr">
        <is>
          <t>06/06/2026</t>
        </is>
      </c>
      <c r="B749" t="inlineStr">
        <is>
          <t>528000358</t>
        </is>
      </c>
      <c r="C749" t="inlineStr">
        <is>
          <t>Lulu Agustin</t>
        </is>
      </c>
      <c r="D749" t="inlineStr">
        <is>
          <t>PROD</t>
        </is>
      </c>
      <c r="E749" t="inlineStr">
        <is>
          <t>Produksi Harian</t>
        </is>
      </c>
      <c r="F749" t="inlineStr">
        <is>
          <t>05:46:01</t>
        </is>
      </c>
      <c r="G749" t="inlineStr"/>
      <c r="H749" t="inlineStr">
        <is>
          <t>DI DALAM</t>
        </is>
      </c>
      <c r="I749" t="inlineStr">
        <is>
          <t>MK0249</t>
        </is>
      </c>
      <c r="J749" t="inlineStr"/>
    </row>
    <row r="750">
      <c r="A750" t="inlineStr">
        <is>
          <t>06/06/2026</t>
        </is>
      </c>
      <c r="B750" t="inlineStr">
        <is>
          <t>628000061</t>
        </is>
      </c>
      <c r="C750" t="inlineStr">
        <is>
          <t>Nayla Fadillah Exwantoro</t>
        </is>
      </c>
      <c r="D750" t="inlineStr">
        <is>
          <t>PROD</t>
        </is>
      </c>
      <c r="E750" t="inlineStr">
        <is>
          <t>Produksi Borongan</t>
        </is>
      </c>
      <c r="F750" t="inlineStr">
        <is>
          <t>12:47:38</t>
        </is>
      </c>
      <c r="G750" t="inlineStr">
        <is>
          <t>22:32:06</t>
        </is>
      </c>
      <c r="H750" t="inlineStr">
        <is>
          <t>SELESAI</t>
        </is>
      </c>
      <c r="I750" t="inlineStr">
        <is>
          <t>MK00085</t>
        </is>
      </c>
      <c r="J750" t="inlineStr"/>
    </row>
    <row r="751">
      <c r="A751" t="inlineStr">
        <is>
          <t>06/06/2026</t>
        </is>
      </c>
      <c r="B751" t="inlineStr">
        <is>
          <t>628000091</t>
        </is>
      </c>
      <c r="C751" t="inlineStr">
        <is>
          <t>Devita Handayani</t>
        </is>
      </c>
      <c r="D751" t="inlineStr">
        <is>
          <t>PROD</t>
        </is>
      </c>
      <c r="E751" t="inlineStr">
        <is>
          <t>Produksi Borongan</t>
        </is>
      </c>
      <c r="F751" t="inlineStr">
        <is>
          <t>13:41:40</t>
        </is>
      </c>
      <c r="G751" t="inlineStr">
        <is>
          <t>22:46:53</t>
        </is>
      </c>
      <c r="H751" t="inlineStr">
        <is>
          <t>SELESAI</t>
        </is>
      </c>
      <c r="I751" t="inlineStr">
        <is>
          <t>MK00090</t>
        </is>
      </c>
      <c r="J751" t="inlineStr"/>
    </row>
    <row r="752">
      <c r="A752" t="inlineStr">
        <is>
          <t>07/06/2026</t>
        </is>
      </c>
      <c r="B752" t="inlineStr">
        <is>
          <t>528000015</t>
        </is>
      </c>
      <c r="C752" t="inlineStr">
        <is>
          <t>Erwin</t>
        </is>
      </c>
      <c r="D752" t="inlineStr">
        <is>
          <t>LOG</t>
        </is>
      </c>
      <c r="E752" t="inlineStr">
        <is>
          <t>WRM Harian</t>
        </is>
      </c>
      <c r="F752" t="inlineStr">
        <is>
          <t>15:41:13</t>
        </is>
      </c>
      <c r="G752" t="inlineStr">
        <is>
          <t>00:05:10</t>
        </is>
      </c>
      <c r="H752" t="inlineStr">
        <is>
          <t>SELESAI</t>
        </is>
      </c>
      <c r="I752" t="inlineStr">
        <is>
          <t>MK00156</t>
        </is>
      </c>
      <c r="J752" t="inlineStr"/>
    </row>
    <row r="753">
      <c r="A753" t="inlineStr">
        <is>
          <t>07/06/2026</t>
        </is>
      </c>
      <c r="B753" t="inlineStr">
        <is>
          <t>528000052</t>
        </is>
      </c>
      <c r="C753" t="inlineStr">
        <is>
          <t>Mustopa</t>
        </is>
      </c>
      <c r="D753" t="inlineStr">
        <is>
          <t>PROD</t>
        </is>
      </c>
      <c r="E753" t="inlineStr">
        <is>
          <t>Produksi Harian</t>
        </is>
      </c>
      <c r="F753" t="inlineStr">
        <is>
          <t>14:59:31</t>
        </is>
      </c>
      <c r="G753" t="inlineStr">
        <is>
          <t>22:03:02</t>
        </is>
      </c>
      <c r="H753" t="inlineStr">
        <is>
          <t>SELESAI</t>
        </is>
      </c>
      <c r="I753" t="inlineStr">
        <is>
          <t>MK00136</t>
        </is>
      </c>
      <c r="J753" t="inlineStr"/>
    </row>
    <row r="754">
      <c r="A754" t="inlineStr">
        <is>
          <t>07/06/2026</t>
        </is>
      </c>
      <c r="B754" t="inlineStr">
        <is>
          <t>528000069</t>
        </is>
      </c>
      <c r="C754" t="inlineStr">
        <is>
          <t>Jajang Ardiansyah</t>
        </is>
      </c>
      <c r="D754" t="inlineStr">
        <is>
          <t>PROD</t>
        </is>
      </c>
      <c r="E754" t="inlineStr">
        <is>
          <t>Produksi Harian</t>
        </is>
      </c>
      <c r="F754" t="inlineStr">
        <is>
          <t>13:58:07</t>
        </is>
      </c>
      <c r="G754" t="inlineStr">
        <is>
          <t>22:08:51</t>
        </is>
      </c>
      <c r="H754" t="inlineStr">
        <is>
          <t>SELESAI</t>
        </is>
      </c>
      <c r="I754" t="inlineStr">
        <is>
          <t>MK00088</t>
        </is>
      </c>
      <c r="J754" t="inlineStr"/>
    </row>
    <row r="755">
      <c r="A755" t="inlineStr">
        <is>
          <t>07/06/2026</t>
        </is>
      </c>
      <c r="B755" t="inlineStr">
        <is>
          <t>528000090</t>
        </is>
      </c>
      <c r="C755" t="inlineStr">
        <is>
          <t>Suganda</t>
        </is>
      </c>
      <c r="D755" t="inlineStr">
        <is>
          <t>PROD</t>
        </is>
      </c>
      <c r="E755" t="inlineStr">
        <is>
          <t>Produksi Harian</t>
        </is>
      </c>
      <c r="F755" t="inlineStr">
        <is>
          <t>21:57:58</t>
        </is>
      </c>
      <c r="G755" t="inlineStr">
        <is>
          <t>06:04:07</t>
        </is>
      </c>
      <c r="H755" t="inlineStr">
        <is>
          <t>SELESAI</t>
        </is>
      </c>
      <c r="I755" t="inlineStr">
        <is>
          <t>MK00112</t>
        </is>
      </c>
      <c r="J755" t="inlineStr"/>
    </row>
    <row r="756">
      <c r="A756" t="inlineStr">
        <is>
          <t>07/06/2026</t>
        </is>
      </c>
      <c r="B756" t="inlineStr">
        <is>
          <t>528000099</t>
        </is>
      </c>
      <c r="C756" t="inlineStr">
        <is>
          <t>Siti Nurawaliah</t>
        </is>
      </c>
      <c r="D756" t="inlineStr">
        <is>
          <t>PROD</t>
        </is>
      </c>
      <c r="E756" t="inlineStr">
        <is>
          <t>Produksi Harian</t>
        </is>
      </c>
      <c r="F756" t="inlineStr">
        <is>
          <t>21:43:55</t>
        </is>
      </c>
      <c r="G756" t="inlineStr">
        <is>
          <t>06:05:30</t>
        </is>
      </c>
      <c r="H756" t="inlineStr">
        <is>
          <t>SELESAI</t>
        </is>
      </c>
      <c r="I756" t="inlineStr">
        <is>
          <t>MK0090</t>
        </is>
      </c>
      <c r="J756" t="inlineStr"/>
    </row>
    <row r="757">
      <c r="A757" t="inlineStr">
        <is>
          <t>07/06/2026</t>
        </is>
      </c>
      <c r="B757" t="inlineStr">
        <is>
          <t>528000132</t>
        </is>
      </c>
      <c r="C757" t="inlineStr">
        <is>
          <t>Giopani</t>
        </is>
      </c>
      <c r="D757" t="inlineStr">
        <is>
          <t>LOG</t>
        </is>
      </c>
      <c r="E757" t="inlineStr">
        <is>
          <t>WRM Harian</t>
        </is>
      </c>
      <c r="F757" t="inlineStr">
        <is>
          <t>08:58:33</t>
        </is>
      </c>
      <c r="G757" t="inlineStr">
        <is>
          <t>17:02:12</t>
        </is>
      </c>
      <c r="H757" t="inlineStr">
        <is>
          <t>SELESAI</t>
        </is>
      </c>
      <c r="I757" t="inlineStr">
        <is>
          <t>MK00228</t>
        </is>
      </c>
      <c r="J757" t="inlineStr"/>
    </row>
    <row r="758">
      <c r="A758" t="inlineStr">
        <is>
          <t>07/06/2026</t>
        </is>
      </c>
      <c r="B758" t="inlineStr">
        <is>
          <t>528000144</t>
        </is>
      </c>
      <c r="C758" t="inlineStr">
        <is>
          <t>Jodi Hanafi</t>
        </is>
      </c>
      <c r="D758" t="inlineStr">
        <is>
          <t>LOG</t>
        </is>
      </c>
      <c r="E758" t="inlineStr">
        <is>
          <t>WRM Harian</t>
        </is>
      </c>
      <c r="F758" t="inlineStr"/>
      <c r="G758" t="inlineStr">
        <is>
          <t>00:03:13</t>
        </is>
      </c>
      <c r="H758" t="inlineStr">
        <is>
          <t>KELUAR TANPA MASUK</t>
        </is>
      </c>
      <c r="I758" t="inlineStr">
        <is>
          <t>MK00221</t>
        </is>
      </c>
      <c r="J758" t="inlineStr"/>
    </row>
    <row r="759">
      <c r="A759" t="inlineStr">
        <is>
          <t>07/06/2026</t>
        </is>
      </c>
      <c r="B759" t="inlineStr">
        <is>
          <t>528000149</t>
        </is>
      </c>
      <c r="C759" t="inlineStr">
        <is>
          <t>Tio Fernanda</t>
        </is>
      </c>
      <c r="D759" t="inlineStr">
        <is>
          <t>LOG</t>
        </is>
      </c>
      <c r="E759" t="inlineStr">
        <is>
          <t>WRM Harian</t>
        </is>
      </c>
      <c r="F759" t="inlineStr">
        <is>
          <t>08:59:00</t>
        </is>
      </c>
      <c r="G759" t="inlineStr">
        <is>
          <t>00:02:33</t>
        </is>
      </c>
      <c r="H759" t="inlineStr">
        <is>
          <t>SELESAI</t>
        </is>
      </c>
      <c r="I759" t="inlineStr">
        <is>
          <t>MK0130</t>
        </is>
      </c>
      <c r="J759" t="inlineStr"/>
    </row>
    <row r="760">
      <c r="A760" t="inlineStr">
        <is>
          <t>07/06/2026</t>
        </is>
      </c>
      <c r="B760" t="inlineStr">
        <is>
          <t>528000201</t>
        </is>
      </c>
      <c r="C760" t="inlineStr">
        <is>
          <t>Zahwa Amelia Choerunissa</t>
        </is>
      </c>
      <c r="D760" t="inlineStr">
        <is>
          <t>PROD</t>
        </is>
      </c>
      <c r="E760" t="inlineStr">
        <is>
          <t>Produksi Harian</t>
        </is>
      </c>
      <c r="F760" t="inlineStr">
        <is>
          <t>21:42:51</t>
        </is>
      </c>
      <c r="G760" t="inlineStr">
        <is>
          <t>06:04:45</t>
        </is>
      </c>
      <c r="H760" t="inlineStr">
        <is>
          <t>SELESAI</t>
        </is>
      </c>
      <c r="I760" t="inlineStr">
        <is>
          <t>MK00154</t>
        </is>
      </c>
      <c r="J760" t="inlineStr"/>
    </row>
    <row r="761">
      <c r="A761" t="inlineStr">
        <is>
          <t>07/06/2026</t>
        </is>
      </c>
      <c r="B761" t="inlineStr">
        <is>
          <t>528000212</t>
        </is>
      </c>
      <c r="C761" t="inlineStr">
        <is>
          <t>Rizal Fauzi</t>
        </is>
      </c>
      <c r="D761" t="inlineStr">
        <is>
          <t>PROD</t>
        </is>
      </c>
      <c r="E761" t="inlineStr">
        <is>
          <t>Produksi Harian</t>
        </is>
      </c>
      <c r="F761" t="inlineStr">
        <is>
          <t>22:01:15</t>
        </is>
      </c>
      <c r="G761" t="inlineStr">
        <is>
          <t>06:49:09</t>
        </is>
      </c>
      <c r="H761" t="inlineStr">
        <is>
          <t>SELESAI</t>
        </is>
      </c>
      <c r="I761" t="inlineStr">
        <is>
          <t>MK00108</t>
        </is>
      </c>
      <c r="J761" t="inlineStr"/>
    </row>
    <row r="762">
      <c r="A762" t="inlineStr">
        <is>
          <t>07/06/2026</t>
        </is>
      </c>
      <c r="B762" t="inlineStr">
        <is>
          <t>528000232</t>
        </is>
      </c>
      <c r="C762" t="inlineStr">
        <is>
          <t>Agung Aji Suhada</t>
        </is>
      </c>
      <c r="D762" t="inlineStr">
        <is>
          <t>LOG</t>
        </is>
      </c>
      <c r="E762" t="inlineStr">
        <is>
          <t>WRM Harian</t>
        </is>
      </c>
      <c r="F762" t="inlineStr">
        <is>
          <t>08:57:00</t>
        </is>
      </c>
      <c r="G762" t="inlineStr">
        <is>
          <t>17:03:02</t>
        </is>
      </c>
      <c r="H762" t="inlineStr">
        <is>
          <t>SELESAI</t>
        </is>
      </c>
      <c r="I762" t="inlineStr">
        <is>
          <t>MK00204</t>
        </is>
      </c>
      <c r="J762" t="inlineStr"/>
    </row>
    <row r="763">
      <c r="A763" t="inlineStr">
        <is>
          <t>07/06/2026</t>
        </is>
      </c>
      <c r="B763" t="inlineStr">
        <is>
          <t>528000238</t>
        </is>
      </c>
      <c r="C763" t="inlineStr">
        <is>
          <t>Indah Lusiana</t>
        </is>
      </c>
      <c r="D763" t="inlineStr">
        <is>
          <t>PROD</t>
        </is>
      </c>
      <c r="E763" t="inlineStr">
        <is>
          <t>Produksi Harian</t>
        </is>
      </c>
      <c r="F763" t="inlineStr">
        <is>
          <t>21:31:45</t>
        </is>
      </c>
      <c r="G763" t="inlineStr"/>
      <c r="H763" t="inlineStr">
        <is>
          <t>DI DALAM</t>
        </is>
      </c>
      <c r="I763" t="inlineStr">
        <is>
          <t>MK00213</t>
        </is>
      </c>
      <c r="J763" t="inlineStr"/>
    </row>
    <row r="764">
      <c r="A764" t="inlineStr">
        <is>
          <t>07/06/2026</t>
        </is>
      </c>
      <c r="B764" t="inlineStr">
        <is>
          <t>528000241</t>
        </is>
      </c>
      <c r="C764" t="inlineStr">
        <is>
          <t>Balia Nurafif Bilah</t>
        </is>
      </c>
      <c r="D764" t="inlineStr">
        <is>
          <t>PROD</t>
        </is>
      </c>
      <c r="E764" t="inlineStr">
        <is>
          <t>Produksi Harian</t>
        </is>
      </c>
      <c r="F764" t="inlineStr">
        <is>
          <t>21:51:05</t>
        </is>
      </c>
      <c r="G764" t="inlineStr">
        <is>
          <t>06:03:41</t>
        </is>
      </c>
      <c r="H764" t="inlineStr">
        <is>
          <t>SELESAI</t>
        </is>
      </c>
      <c r="I764" t="inlineStr">
        <is>
          <t>MK00138</t>
        </is>
      </c>
      <c r="J764" t="inlineStr"/>
    </row>
    <row r="765">
      <c r="A765" t="inlineStr">
        <is>
          <t>07/06/2026</t>
        </is>
      </c>
      <c r="B765" t="inlineStr">
        <is>
          <t>528000244</t>
        </is>
      </c>
      <c r="C765" t="inlineStr">
        <is>
          <t>Rodian Rifai</t>
        </is>
      </c>
      <c r="D765" t="inlineStr">
        <is>
          <t>PROD</t>
        </is>
      </c>
      <c r="E765" t="inlineStr">
        <is>
          <t>Produksi Harian</t>
        </is>
      </c>
      <c r="F765" t="inlineStr">
        <is>
          <t>21:51:28</t>
        </is>
      </c>
      <c r="G765" t="inlineStr">
        <is>
          <t>06:26:06</t>
        </is>
      </c>
      <c r="H765" t="inlineStr">
        <is>
          <t>SELESAI</t>
        </is>
      </c>
      <c r="I765" t="inlineStr">
        <is>
          <t>MK00250</t>
        </is>
      </c>
      <c r="J765" t="inlineStr"/>
    </row>
    <row r="766">
      <c r="A766" t="inlineStr">
        <is>
          <t>07/06/2026</t>
        </is>
      </c>
      <c r="B766" t="inlineStr">
        <is>
          <t>528000248</t>
        </is>
      </c>
      <c r="C766" t="inlineStr">
        <is>
          <t>Roka Jaya Salka Mulya</t>
        </is>
      </c>
      <c r="D766" t="inlineStr">
        <is>
          <t>PROD</t>
        </is>
      </c>
      <c r="E766" t="inlineStr">
        <is>
          <t>Produksi Harian</t>
        </is>
      </c>
      <c r="F766" t="inlineStr">
        <is>
          <t>13:47:06</t>
        </is>
      </c>
      <c r="G766" t="inlineStr">
        <is>
          <t>22:01:56</t>
        </is>
      </c>
      <c r="H766" t="inlineStr">
        <is>
          <t>SELESAI</t>
        </is>
      </c>
      <c r="I766" t="inlineStr">
        <is>
          <t>MK00093</t>
        </is>
      </c>
      <c r="J766" t="inlineStr"/>
    </row>
    <row r="767">
      <c r="A767" t="inlineStr">
        <is>
          <t>07/06/2026</t>
        </is>
      </c>
      <c r="B767" t="inlineStr">
        <is>
          <t>528000265</t>
        </is>
      </c>
      <c r="C767" t="inlineStr">
        <is>
          <t>Muhammad Haerul Rozikin</t>
        </is>
      </c>
      <c r="D767" t="inlineStr">
        <is>
          <t>LOG</t>
        </is>
      </c>
      <c r="E767" t="inlineStr">
        <is>
          <t>WRM Harian</t>
        </is>
      </c>
      <c r="F767" t="inlineStr">
        <is>
          <t>07:51:29</t>
        </is>
      </c>
      <c r="G767" t="inlineStr">
        <is>
          <t>16:03:10</t>
        </is>
      </c>
      <c r="H767" t="inlineStr">
        <is>
          <t>SELESAI</t>
        </is>
      </c>
      <c r="I767" t="inlineStr">
        <is>
          <t>MK00108</t>
        </is>
      </c>
      <c r="J767" t="inlineStr"/>
    </row>
    <row r="768">
      <c r="A768" t="inlineStr">
        <is>
          <t>07/06/2026</t>
        </is>
      </c>
      <c r="B768" t="inlineStr">
        <is>
          <t>528000267</t>
        </is>
      </c>
      <c r="C768" t="inlineStr">
        <is>
          <t>Bagas Patulloh</t>
        </is>
      </c>
      <c r="D768" t="inlineStr">
        <is>
          <t>LOG</t>
        </is>
      </c>
      <c r="E768" t="inlineStr">
        <is>
          <t>WRM Harian</t>
        </is>
      </c>
      <c r="F768" t="inlineStr">
        <is>
          <t>07:55:59</t>
        </is>
      </c>
      <c r="G768" t="inlineStr"/>
      <c r="H768" t="inlineStr">
        <is>
          <t>DI DALAM</t>
        </is>
      </c>
      <c r="I768" t="inlineStr">
        <is>
          <t>MK00199</t>
        </is>
      </c>
      <c r="J768" t="inlineStr"/>
    </row>
    <row r="769">
      <c r="A769" t="inlineStr">
        <is>
          <t>07/06/2026</t>
        </is>
      </c>
      <c r="B769" t="inlineStr">
        <is>
          <t>528000270</t>
        </is>
      </c>
      <c r="C769" t="inlineStr">
        <is>
          <t>Febri Najmudin</t>
        </is>
      </c>
      <c r="D769" t="inlineStr">
        <is>
          <t>LOG</t>
        </is>
      </c>
      <c r="E769" t="inlineStr">
        <is>
          <t>WRM Harian</t>
        </is>
      </c>
      <c r="F769" t="inlineStr">
        <is>
          <t>05:49:27</t>
        </is>
      </c>
      <c r="G769" t="inlineStr">
        <is>
          <t>15:08:40</t>
        </is>
      </c>
      <c r="H769" t="inlineStr">
        <is>
          <t>SELESAI</t>
        </is>
      </c>
      <c r="I769" t="inlineStr">
        <is>
          <t>MK00134</t>
        </is>
      </c>
      <c r="J769" t="inlineStr"/>
    </row>
    <row r="770">
      <c r="A770" t="inlineStr">
        <is>
          <t>07/06/2026</t>
        </is>
      </c>
      <c r="B770" t="inlineStr">
        <is>
          <t>528000274</t>
        </is>
      </c>
      <c r="C770" t="inlineStr">
        <is>
          <t>Zepri</t>
        </is>
      </c>
      <c r="D770" t="inlineStr">
        <is>
          <t>PROD</t>
        </is>
      </c>
      <c r="E770" t="inlineStr">
        <is>
          <t>Produksi Harian</t>
        </is>
      </c>
      <c r="F770" t="inlineStr">
        <is>
          <t>21:55:48</t>
        </is>
      </c>
      <c r="G770" t="inlineStr">
        <is>
          <t>06:04:12</t>
        </is>
      </c>
      <c r="H770" t="inlineStr">
        <is>
          <t>SELESAI</t>
        </is>
      </c>
      <c r="I770" t="inlineStr">
        <is>
          <t>MK00116</t>
        </is>
      </c>
      <c r="J770" t="inlineStr"/>
    </row>
    <row r="771">
      <c r="A771" t="inlineStr">
        <is>
          <t>07/06/2026</t>
        </is>
      </c>
      <c r="B771" t="inlineStr">
        <is>
          <t>528000279</t>
        </is>
      </c>
      <c r="C771" t="inlineStr">
        <is>
          <t>Mahdalena Dalfa Riani</t>
        </is>
      </c>
      <c r="D771" t="inlineStr">
        <is>
          <t>PROD</t>
        </is>
      </c>
      <c r="E771" t="inlineStr">
        <is>
          <t>Produksi Harian</t>
        </is>
      </c>
      <c r="F771" t="inlineStr">
        <is>
          <t>14:03:33</t>
        </is>
      </c>
      <c r="G771" t="inlineStr">
        <is>
          <t>22:07:07</t>
        </is>
      </c>
      <c r="H771" t="inlineStr">
        <is>
          <t>SELESAI</t>
        </is>
      </c>
      <c r="I771" t="inlineStr">
        <is>
          <t>MK00109</t>
        </is>
      </c>
      <c r="J771" t="inlineStr"/>
    </row>
    <row r="772">
      <c r="A772" t="inlineStr">
        <is>
          <t>07/06/2026</t>
        </is>
      </c>
      <c r="B772" t="inlineStr">
        <is>
          <t>528000282</t>
        </is>
      </c>
      <c r="C772" t="inlineStr">
        <is>
          <t>Defa Desfiana</t>
        </is>
      </c>
      <c r="D772" t="inlineStr">
        <is>
          <t>PROD</t>
        </is>
      </c>
      <c r="E772" t="inlineStr">
        <is>
          <t>Produksi Harian</t>
        </is>
      </c>
      <c r="F772" t="inlineStr">
        <is>
          <t>07:35:14</t>
        </is>
      </c>
      <c r="G772" t="inlineStr">
        <is>
          <t>16:11:44</t>
        </is>
      </c>
      <c r="H772" t="inlineStr">
        <is>
          <t>SELESAI</t>
        </is>
      </c>
      <c r="I772" t="inlineStr">
        <is>
          <t>MK00158</t>
        </is>
      </c>
      <c r="J772" t="inlineStr">
        <is>
          <t>23c</t>
        </is>
      </c>
    </row>
    <row r="773">
      <c r="A773" t="inlineStr">
        <is>
          <t>07/06/2026</t>
        </is>
      </c>
      <c r="B773" t="inlineStr">
        <is>
          <t>528000286</t>
        </is>
      </c>
      <c r="C773" t="inlineStr">
        <is>
          <t>Imelda Amelia</t>
        </is>
      </c>
      <c r="D773" t="inlineStr">
        <is>
          <t>PROD</t>
        </is>
      </c>
      <c r="E773" t="inlineStr">
        <is>
          <t>Produksi Harian</t>
        </is>
      </c>
      <c r="F773" t="inlineStr">
        <is>
          <t>21:39:56</t>
        </is>
      </c>
      <c r="G773" t="inlineStr">
        <is>
          <t>06:06:15</t>
        </is>
      </c>
      <c r="H773" t="inlineStr">
        <is>
          <t>SELESAI</t>
        </is>
      </c>
      <c r="I773" t="inlineStr">
        <is>
          <t>MK00145</t>
        </is>
      </c>
      <c r="J773" t="inlineStr"/>
    </row>
    <row r="774">
      <c r="A774" t="inlineStr">
        <is>
          <t>07/06/2026</t>
        </is>
      </c>
      <c r="B774" t="inlineStr">
        <is>
          <t>528000288</t>
        </is>
      </c>
      <c r="C774" t="inlineStr">
        <is>
          <t>Dede gunawan</t>
        </is>
      </c>
      <c r="D774" t="inlineStr">
        <is>
          <t>PROD</t>
        </is>
      </c>
      <c r="E774" t="inlineStr">
        <is>
          <t>Produksi Harian</t>
        </is>
      </c>
      <c r="F774" t="inlineStr">
        <is>
          <t>13:41:14</t>
        </is>
      </c>
      <c r="G774" t="inlineStr">
        <is>
          <t>22:06:34</t>
        </is>
      </c>
      <c r="H774" t="inlineStr">
        <is>
          <t>SELESAI</t>
        </is>
      </c>
      <c r="I774" t="inlineStr">
        <is>
          <t>MK00213</t>
        </is>
      </c>
      <c r="J774" t="inlineStr"/>
    </row>
    <row r="775">
      <c r="A775" t="inlineStr">
        <is>
          <t>07/06/2026</t>
        </is>
      </c>
      <c r="B775" t="inlineStr">
        <is>
          <t>528000289</t>
        </is>
      </c>
      <c r="C775" t="inlineStr">
        <is>
          <t>Adit Supriyadi</t>
        </is>
      </c>
      <c r="D775" t="inlineStr">
        <is>
          <t>PROD</t>
        </is>
      </c>
      <c r="E775" t="inlineStr">
        <is>
          <t>Produksi Harian</t>
        </is>
      </c>
      <c r="F775" t="inlineStr">
        <is>
          <t>21:56:44</t>
        </is>
      </c>
      <c r="G775" t="inlineStr">
        <is>
          <t>06:05:34</t>
        </is>
      </c>
      <c r="H775" t="inlineStr">
        <is>
          <t>SELESAI</t>
        </is>
      </c>
      <c r="I775" t="inlineStr">
        <is>
          <t>MK00185</t>
        </is>
      </c>
      <c r="J775" t="inlineStr">
        <is>
          <t>E-7</t>
        </is>
      </c>
    </row>
    <row r="776">
      <c r="A776" t="inlineStr">
        <is>
          <t>07/06/2026</t>
        </is>
      </c>
      <c r="B776" t="inlineStr">
        <is>
          <t>528000297</t>
        </is>
      </c>
      <c r="C776" t="inlineStr">
        <is>
          <t>Muhamad Budiana</t>
        </is>
      </c>
      <c r="D776" t="inlineStr">
        <is>
          <t>PROD</t>
        </is>
      </c>
      <c r="E776" t="inlineStr">
        <is>
          <t>Produksi Harian</t>
        </is>
      </c>
      <c r="F776" t="inlineStr">
        <is>
          <t>13:34:17</t>
        </is>
      </c>
      <c r="G776" t="inlineStr">
        <is>
          <t>22:47:43</t>
        </is>
      </c>
      <c r="H776" t="inlineStr">
        <is>
          <t>SELESAI</t>
        </is>
      </c>
      <c r="I776" t="inlineStr">
        <is>
          <t>MK00249</t>
        </is>
      </c>
      <c r="J776" t="inlineStr"/>
    </row>
    <row r="777">
      <c r="A777" t="inlineStr">
        <is>
          <t>07/06/2026</t>
        </is>
      </c>
      <c r="B777" t="inlineStr">
        <is>
          <t>528000298</t>
        </is>
      </c>
      <c r="C777" t="inlineStr">
        <is>
          <t>Desta Cahaya Pratama</t>
        </is>
      </c>
      <c r="D777" t="inlineStr">
        <is>
          <t>PROD</t>
        </is>
      </c>
      <c r="E777" t="inlineStr">
        <is>
          <t>Produksi Harian</t>
        </is>
      </c>
      <c r="F777" t="inlineStr">
        <is>
          <t>05:42:10</t>
        </is>
      </c>
      <c r="G777" t="inlineStr">
        <is>
          <t>14:02:13</t>
        </is>
      </c>
      <c r="H777" t="inlineStr">
        <is>
          <t>SELESAI</t>
        </is>
      </c>
      <c r="I777" t="inlineStr">
        <is>
          <t>MK00085</t>
        </is>
      </c>
      <c r="J777" t="inlineStr"/>
    </row>
    <row r="778">
      <c r="A778" t="inlineStr">
        <is>
          <t>07/06/2026</t>
        </is>
      </c>
      <c r="B778" t="inlineStr">
        <is>
          <t>528000299</t>
        </is>
      </c>
      <c r="C778" t="inlineStr">
        <is>
          <t>Siti Nurjanah</t>
        </is>
      </c>
      <c r="D778" t="inlineStr">
        <is>
          <t>PROD</t>
        </is>
      </c>
      <c r="E778" t="inlineStr">
        <is>
          <t>Produksi Harian</t>
        </is>
      </c>
      <c r="F778" t="inlineStr">
        <is>
          <t>05:36:08</t>
        </is>
      </c>
      <c r="G778" t="inlineStr">
        <is>
          <t>14:04:31</t>
        </is>
      </c>
      <c r="H778" t="inlineStr">
        <is>
          <t>SELESAI</t>
        </is>
      </c>
      <c r="I778" t="inlineStr">
        <is>
          <t>MK00181</t>
        </is>
      </c>
      <c r="J778" t="inlineStr"/>
    </row>
    <row r="779">
      <c r="A779" t="inlineStr">
        <is>
          <t>07/06/2026</t>
        </is>
      </c>
      <c r="B779" t="inlineStr">
        <is>
          <t>528000300</t>
        </is>
      </c>
      <c r="C779" t="inlineStr">
        <is>
          <t>Lia pitaloka</t>
        </is>
      </c>
      <c r="D779" t="inlineStr">
        <is>
          <t>PROD</t>
        </is>
      </c>
      <c r="E779" t="inlineStr">
        <is>
          <t>Produksi Harian</t>
        </is>
      </c>
      <c r="F779" t="inlineStr">
        <is>
          <t>13:46:49</t>
        </is>
      </c>
      <c r="G779" t="inlineStr">
        <is>
          <t>22:09:50</t>
        </is>
      </c>
      <c r="H779" t="inlineStr">
        <is>
          <t>SELESAI</t>
        </is>
      </c>
      <c r="I779" t="inlineStr">
        <is>
          <t>MK00208</t>
        </is>
      </c>
      <c r="J779" t="inlineStr"/>
    </row>
    <row r="780">
      <c r="A780" t="inlineStr">
        <is>
          <t>07/06/2026</t>
        </is>
      </c>
      <c r="B780" t="inlineStr">
        <is>
          <t>528000302</t>
        </is>
      </c>
      <c r="C780" t="inlineStr">
        <is>
          <t>Henkey gumilar</t>
        </is>
      </c>
      <c r="D780" t="inlineStr">
        <is>
          <t>PROD</t>
        </is>
      </c>
      <c r="E780" t="inlineStr">
        <is>
          <t>Produksi Harian</t>
        </is>
      </c>
      <c r="F780" t="inlineStr">
        <is>
          <t>05:48:33</t>
        </is>
      </c>
      <c r="G780" t="inlineStr">
        <is>
          <t>06:05:28</t>
        </is>
      </c>
      <c r="H780" t="inlineStr">
        <is>
          <t>SELESAI</t>
        </is>
      </c>
      <c r="I780" t="inlineStr">
        <is>
          <t>MK00136</t>
        </is>
      </c>
      <c r="J780" t="inlineStr"/>
    </row>
    <row r="781">
      <c r="A781" t="inlineStr">
        <is>
          <t>07/06/2026</t>
        </is>
      </c>
      <c r="B781" t="inlineStr">
        <is>
          <t>528000305</t>
        </is>
      </c>
      <c r="C781" t="inlineStr">
        <is>
          <t>Puji Puspita</t>
        </is>
      </c>
      <c r="D781" t="inlineStr">
        <is>
          <t>PROD</t>
        </is>
      </c>
      <c r="E781" t="inlineStr">
        <is>
          <t>Produksi Harian</t>
        </is>
      </c>
      <c r="F781" t="inlineStr">
        <is>
          <t>05:33:06</t>
        </is>
      </c>
      <c r="G781" t="inlineStr">
        <is>
          <t>14:04:58</t>
        </is>
      </c>
      <c r="H781" t="inlineStr">
        <is>
          <t>SELESAI</t>
        </is>
      </c>
      <c r="I781" t="inlineStr">
        <is>
          <t>MK00148</t>
        </is>
      </c>
      <c r="J781" t="inlineStr"/>
    </row>
    <row r="782">
      <c r="A782" t="inlineStr">
        <is>
          <t>07/06/2026</t>
        </is>
      </c>
      <c r="B782" t="inlineStr">
        <is>
          <t>528000309</t>
        </is>
      </c>
      <c r="C782" t="inlineStr">
        <is>
          <t>Ilham Ramadhan</t>
        </is>
      </c>
      <c r="D782" t="inlineStr">
        <is>
          <t>LOG</t>
        </is>
      </c>
      <c r="E782" t="inlineStr">
        <is>
          <t>WRM Harian</t>
        </is>
      </c>
      <c r="F782" t="inlineStr">
        <is>
          <t>05:55:19</t>
        </is>
      </c>
      <c r="G782" t="inlineStr">
        <is>
          <t>06:04:00</t>
        </is>
      </c>
      <c r="H782" t="inlineStr">
        <is>
          <t>SELESAI</t>
        </is>
      </c>
      <c r="I782" t="inlineStr">
        <is>
          <t>MK00046</t>
        </is>
      </c>
      <c r="J782" t="inlineStr"/>
    </row>
    <row r="783">
      <c r="A783" t="inlineStr">
        <is>
          <t>07/06/2026</t>
        </is>
      </c>
      <c r="B783" t="inlineStr">
        <is>
          <t>528000310</t>
        </is>
      </c>
      <c r="C783" t="inlineStr">
        <is>
          <t>Fachrul Rozzi Suryana</t>
        </is>
      </c>
      <c r="D783" t="inlineStr">
        <is>
          <t>LOG</t>
        </is>
      </c>
      <c r="E783" t="inlineStr">
        <is>
          <t>WRM Harian</t>
        </is>
      </c>
      <c r="F783" t="inlineStr">
        <is>
          <t>07:57:37</t>
        </is>
      </c>
      <c r="G783" t="inlineStr">
        <is>
          <t>16:04:38</t>
        </is>
      </c>
      <c r="H783" t="inlineStr">
        <is>
          <t>SELESAI</t>
        </is>
      </c>
      <c r="I783" t="inlineStr">
        <is>
          <t>MK00250</t>
        </is>
      </c>
      <c r="J783" t="inlineStr">
        <is>
          <t>7B</t>
        </is>
      </c>
    </row>
    <row r="784">
      <c r="A784" t="inlineStr">
        <is>
          <t>07/06/2026</t>
        </is>
      </c>
      <c r="B784" t="inlineStr">
        <is>
          <t>528000313</t>
        </is>
      </c>
      <c r="C784" t="inlineStr">
        <is>
          <t>Muhamad Rifki</t>
        </is>
      </c>
      <c r="D784" t="inlineStr">
        <is>
          <t>PROD</t>
        </is>
      </c>
      <c r="E784" t="inlineStr">
        <is>
          <t>Produksi Harian</t>
        </is>
      </c>
      <c r="F784" t="inlineStr">
        <is>
          <t>05:38:38</t>
        </is>
      </c>
      <c r="G784" t="inlineStr">
        <is>
          <t>06:03:24</t>
        </is>
      </c>
      <c r="H784" t="inlineStr">
        <is>
          <t>SELESAI</t>
        </is>
      </c>
      <c r="I784" t="inlineStr">
        <is>
          <t>MK00126</t>
        </is>
      </c>
      <c r="J784" t="inlineStr"/>
    </row>
    <row r="785">
      <c r="A785" t="inlineStr">
        <is>
          <t>07/06/2026</t>
        </is>
      </c>
      <c r="B785" t="inlineStr">
        <is>
          <t>528000314</t>
        </is>
      </c>
      <c r="C785" t="inlineStr">
        <is>
          <t>Rusmana</t>
        </is>
      </c>
      <c r="D785" t="inlineStr">
        <is>
          <t>PROD</t>
        </is>
      </c>
      <c r="E785" t="inlineStr">
        <is>
          <t>Produksi Harian</t>
        </is>
      </c>
      <c r="F785" t="inlineStr">
        <is>
          <t>15:53:00</t>
        </is>
      </c>
      <c r="G785" t="inlineStr">
        <is>
          <t>00:02:55</t>
        </is>
      </c>
      <c r="H785" t="inlineStr">
        <is>
          <t>SELESAI</t>
        </is>
      </c>
      <c r="I785" t="inlineStr">
        <is>
          <t>MK00126</t>
        </is>
      </c>
      <c r="J785" t="inlineStr"/>
    </row>
    <row r="786">
      <c r="A786" t="inlineStr">
        <is>
          <t>07/06/2026</t>
        </is>
      </c>
      <c r="B786" t="inlineStr">
        <is>
          <t>528000318</t>
        </is>
      </c>
      <c r="C786" t="inlineStr">
        <is>
          <t>Bayu Padli Sepriyana</t>
        </is>
      </c>
      <c r="D786" t="inlineStr">
        <is>
          <t>LOG</t>
        </is>
      </c>
      <c r="E786" t="inlineStr">
        <is>
          <t>WRM Harian</t>
        </is>
      </c>
      <c r="F786" t="inlineStr"/>
      <c r="G786" t="inlineStr">
        <is>
          <t>06:02:20</t>
        </is>
      </c>
      <c r="H786" t="inlineStr">
        <is>
          <t>KELUAR TANPA MASUK</t>
        </is>
      </c>
      <c r="I786" t="inlineStr">
        <is>
          <t>MK00220</t>
        </is>
      </c>
      <c r="J786" t="inlineStr"/>
    </row>
    <row r="787">
      <c r="A787" t="inlineStr">
        <is>
          <t>07/06/2026</t>
        </is>
      </c>
      <c r="B787" t="inlineStr">
        <is>
          <t>528000322</t>
        </is>
      </c>
      <c r="C787" t="inlineStr">
        <is>
          <t>Muhamad Aliludin</t>
        </is>
      </c>
      <c r="D787" t="inlineStr">
        <is>
          <t>PROD</t>
        </is>
      </c>
      <c r="E787" t="inlineStr">
        <is>
          <t>Produksi Harian</t>
        </is>
      </c>
      <c r="F787" t="inlineStr">
        <is>
          <t>21:38:01</t>
        </is>
      </c>
      <c r="G787" t="inlineStr"/>
      <c r="H787" t="inlineStr">
        <is>
          <t>DI DALAM</t>
        </is>
      </c>
      <c r="I787" t="inlineStr">
        <is>
          <t>MK00192</t>
        </is>
      </c>
      <c r="J787" t="inlineStr"/>
    </row>
    <row r="788">
      <c r="A788" t="inlineStr">
        <is>
          <t>07/06/2026</t>
        </is>
      </c>
      <c r="B788" t="inlineStr">
        <is>
          <t>528000323</t>
        </is>
      </c>
      <c r="C788" t="inlineStr">
        <is>
          <t>Dian Hamidah</t>
        </is>
      </c>
      <c r="D788" t="inlineStr">
        <is>
          <t>PROD</t>
        </is>
      </c>
      <c r="E788" t="inlineStr">
        <is>
          <t>Produksi Harian</t>
        </is>
      </c>
      <c r="F788" t="inlineStr">
        <is>
          <t>21:37:09</t>
        </is>
      </c>
      <c r="G788" t="inlineStr">
        <is>
          <t>06:05:49</t>
        </is>
      </c>
      <c r="H788" t="inlineStr">
        <is>
          <t>SELESAI</t>
        </is>
      </c>
      <c r="I788" t="inlineStr">
        <is>
          <t>MK00210</t>
        </is>
      </c>
      <c r="J788" t="inlineStr"/>
    </row>
    <row r="789">
      <c r="A789" t="inlineStr">
        <is>
          <t>07/06/2026</t>
        </is>
      </c>
      <c r="B789" t="inlineStr">
        <is>
          <t>528000325</t>
        </is>
      </c>
      <c r="C789" t="inlineStr">
        <is>
          <t>Rani Septia Ramadani</t>
        </is>
      </c>
      <c r="D789" t="inlineStr">
        <is>
          <t>PROD</t>
        </is>
      </c>
      <c r="E789" t="inlineStr">
        <is>
          <t>Produksi Harian</t>
        </is>
      </c>
      <c r="F789" t="inlineStr">
        <is>
          <t>13:27:45</t>
        </is>
      </c>
      <c r="G789" t="inlineStr"/>
      <c r="H789" t="inlineStr">
        <is>
          <t>DI DALAM</t>
        </is>
      </c>
      <c r="I789" t="inlineStr">
        <is>
          <t>MK00212</t>
        </is>
      </c>
      <c r="J789" t="inlineStr"/>
    </row>
    <row r="790">
      <c r="A790" t="inlineStr">
        <is>
          <t>07/06/2026</t>
        </is>
      </c>
      <c r="B790" t="inlineStr">
        <is>
          <t>528000335</t>
        </is>
      </c>
      <c r="C790" t="inlineStr">
        <is>
          <t>Rizal Saepuloh</t>
        </is>
      </c>
      <c r="D790" t="inlineStr">
        <is>
          <t>LOG</t>
        </is>
      </c>
      <c r="E790" t="inlineStr">
        <is>
          <t>WRM Harian</t>
        </is>
      </c>
      <c r="F790" t="inlineStr">
        <is>
          <t>15:51:25</t>
        </is>
      </c>
      <c r="G790" t="inlineStr">
        <is>
          <t>00:00:14</t>
        </is>
      </c>
      <c r="H790" t="inlineStr">
        <is>
          <t>SELESAI</t>
        </is>
      </c>
      <c r="I790" t="inlineStr">
        <is>
          <t>MK00046</t>
        </is>
      </c>
      <c r="J790" t="inlineStr"/>
    </row>
    <row r="791">
      <c r="A791" t="inlineStr">
        <is>
          <t>07/06/2026</t>
        </is>
      </c>
      <c r="B791" t="inlineStr">
        <is>
          <t>528000340</t>
        </is>
      </c>
      <c r="C791" t="inlineStr">
        <is>
          <t>Muhammad Wildan Adithya</t>
        </is>
      </c>
      <c r="D791" t="inlineStr">
        <is>
          <t>PROD</t>
        </is>
      </c>
      <c r="E791" t="inlineStr">
        <is>
          <t>Produksi Harian</t>
        </is>
      </c>
      <c r="F791" t="inlineStr">
        <is>
          <t>21:40:33</t>
        </is>
      </c>
      <c r="G791" t="inlineStr">
        <is>
          <t>06:06:46</t>
        </is>
      </c>
      <c r="H791" t="inlineStr">
        <is>
          <t>SELESAI</t>
        </is>
      </c>
      <c r="I791" t="inlineStr">
        <is>
          <t>MK00220</t>
        </is>
      </c>
      <c r="J791" t="inlineStr"/>
    </row>
    <row r="792">
      <c r="A792" t="inlineStr">
        <is>
          <t>07/06/2026</t>
        </is>
      </c>
      <c r="B792" t="inlineStr">
        <is>
          <t>528000348</t>
        </is>
      </c>
      <c r="C792" t="inlineStr">
        <is>
          <t>Saepuloh Ardiansah</t>
        </is>
      </c>
      <c r="D792" t="inlineStr">
        <is>
          <t>LOG</t>
        </is>
      </c>
      <c r="E792" t="inlineStr">
        <is>
          <t>WRM Harian</t>
        </is>
      </c>
      <c r="F792" t="inlineStr">
        <is>
          <t>15:51:10</t>
        </is>
      </c>
      <c r="G792" t="inlineStr">
        <is>
          <t>13:22:11</t>
        </is>
      </c>
      <c r="H792" t="inlineStr">
        <is>
          <t>SELESAI</t>
        </is>
      </c>
      <c r="I792" t="inlineStr">
        <is>
          <t>MK00205</t>
        </is>
      </c>
      <c r="J792" t="inlineStr"/>
    </row>
    <row r="793">
      <c r="A793" t="inlineStr">
        <is>
          <t>07/06/2026</t>
        </is>
      </c>
      <c r="B793" t="inlineStr">
        <is>
          <t>528000349</t>
        </is>
      </c>
      <c r="C793" t="inlineStr">
        <is>
          <t>Anas Abdul Fatah</t>
        </is>
      </c>
      <c r="D793" t="inlineStr">
        <is>
          <t>LOG</t>
        </is>
      </c>
      <c r="E793" t="inlineStr">
        <is>
          <t>WFG Harian</t>
        </is>
      </c>
      <c r="F793" t="inlineStr">
        <is>
          <t>09:43:18</t>
        </is>
      </c>
      <c r="G793" t="inlineStr">
        <is>
          <t>18:11:45</t>
        </is>
      </c>
      <c r="H793" t="inlineStr">
        <is>
          <t>SELESAI</t>
        </is>
      </c>
      <c r="I793" t="inlineStr">
        <is>
          <t>MK00209</t>
        </is>
      </c>
      <c r="J793" t="inlineStr"/>
    </row>
    <row r="794">
      <c r="A794" t="inlineStr">
        <is>
          <t>07/06/2026</t>
        </is>
      </c>
      <c r="B794" t="inlineStr">
        <is>
          <t>528000351</t>
        </is>
      </c>
      <c r="C794" t="inlineStr">
        <is>
          <t>Mulyana</t>
        </is>
      </c>
      <c r="D794" t="inlineStr">
        <is>
          <t>PROD</t>
        </is>
      </c>
      <c r="E794" t="inlineStr">
        <is>
          <t>Produksi Harian</t>
        </is>
      </c>
      <c r="F794" t="inlineStr">
        <is>
          <t>07:44:47</t>
        </is>
      </c>
      <c r="G794" t="inlineStr">
        <is>
          <t>16:05:13</t>
        </is>
      </c>
      <c r="H794" t="inlineStr">
        <is>
          <t>SELESAI</t>
        </is>
      </c>
      <c r="I794" t="inlineStr">
        <is>
          <t>MK00138</t>
        </is>
      </c>
      <c r="J794" t="inlineStr"/>
    </row>
    <row r="795">
      <c r="A795" t="inlineStr">
        <is>
          <t>07/06/2026</t>
        </is>
      </c>
      <c r="B795" t="inlineStr">
        <is>
          <t>528000361</t>
        </is>
      </c>
      <c r="C795" t="inlineStr">
        <is>
          <t>Denada Munggarani</t>
        </is>
      </c>
      <c r="D795" t="inlineStr">
        <is>
          <t>PROD</t>
        </is>
      </c>
      <c r="E795" t="inlineStr">
        <is>
          <t>Produksi Harian</t>
        </is>
      </c>
      <c r="F795" t="inlineStr">
        <is>
          <t>21:23:00</t>
        </is>
      </c>
      <c r="G795" t="inlineStr">
        <is>
          <t>06:08:49</t>
        </is>
      </c>
      <c r="H795" t="inlineStr">
        <is>
          <t>SELESAI</t>
        </is>
      </c>
      <c r="I795" t="inlineStr">
        <is>
          <t>MK00138</t>
        </is>
      </c>
      <c r="J795" t="inlineStr"/>
    </row>
    <row r="796">
      <c r="A796" t="inlineStr">
        <is>
          <t>07/06/2026</t>
        </is>
      </c>
      <c r="B796" t="inlineStr">
        <is>
          <t>628000061</t>
        </is>
      </c>
      <c r="C796" t="inlineStr">
        <is>
          <t>Nayla Fadillah Exwantoro</t>
        </is>
      </c>
      <c r="D796" t="inlineStr">
        <is>
          <t>PROD</t>
        </is>
      </c>
      <c r="E796" t="inlineStr">
        <is>
          <t>Produksi Borongan</t>
        </is>
      </c>
      <c r="F796" t="inlineStr">
        <is>
          <t>05:38:12</t>
        </is>
      </c>
      <c r="G796" t="inlineStr"/>
      <c r="H796" t="inlineStr">
        <is>
          <t>DI DALAM</t>
        </is>
      </c>
      <c r="I796" t="inlineStr">
        <is>
          <t>MK000235</t>
        </is>
      </c>
      <c r="J796" t="inlineStr"/>
    </row>
    <row r="797">
      <c r="A797" t="inlineStr">
        <is>
          <t>07/06/2026</t>
        </is>
      </c>
      <c r="B797" t="inlineStr">
        <is>
          <t>628000064</t>
        </is>
      </c>
      <c r="C797" t="inlineStr">
        <is>
          <t>Silva Alypia</t>
        </is>
      </c>
      <c r="D797" t="inlineStr">
        <is>
          <t>PROD</t>
        </is>
      </c>
      <c r="E797" t="inlineStr">
        <is>
          <t>Produksi Borongan</t>
        </is>
      </c>
      <c r="F797" t="inlineStr">
        <is>
          <t>13:46:17</t>
        </is>
      </c>
      <c r="G797" t="inlineStr">
        <is>
          <t>22:08:34</t>
        </is>
      </c>
      <c r="H797" t="inlineStr">
        <is>
          <t>SELESAI</t>
        </is>
      </c>
      <c r="I797" t="inlineStr">
        <is>
          <t>MK00145</t>
        </is>
      </c>
      <c r="J797" t="inlineStr"/>
    </row>
    <row r="798">
      <c r="A798" t="inlineStr">
        <is>
          <t>07/06/2026</t>
        </is>
      </c>
      <c r="B798" t="inlineStr">
        <is>
          <t>628000091</t>
        </is>
      </c>
      <c r="C798" t="inlineStr">
        <is>
          <t>Devita Handayani</t>
        </is>
      </c>
      <c r="D798" t="inlineStr">
        <is>
          <t>PROD</t>
        </is>
      </c>
      <c r="E798" t="inlineStr">
        <is>
          <t>Produksi Borongan</t>
        </is>
      </c>
      <c r="F798" t="inlineStr">
        <is>
          <t>05:42:24</t>
        </is>
      </c>
      <c r="G798" t="inlineStr">
        <is>
          <t>06:02:57</t>
        </is>
      </c>
      <c r="H798" t="inlineStr">
        <is>
          <t>SELESAI</t>
        </is>
      </c>
      <c r="I798" t="inlineStr">
        <is>
          <t>MK00109</t>
        </is>
      </c>
      <c r="J798" t="inlineStr"/>
    </row>
    <row r="799">
      <c r="A799" t="inlineStr">
        <is>
          <t>08/06/2026</t>
        </is>
      </c>
      <c r="B799" t="inlineStr">
        <is>
          <t>528000015</t>
        </is>
      </c>
      <c r="C799" t="inlineStr">
        <is>
          <t>Erwin</t>
        </is>
      </c>
      <c r="D799" t="inlineStr">
        <is>
          <t>LOG</t>
        </is>
      </c>
      <c r="E799" t="inlineStr">
        <is>
          <t>WRM Harian</t>
        </is>
      </c>
      <c r="F799" t="inlineStr">
        <is>
          <t>15:36:58</t>
        </is>
      </c>
      <c r="G799" t="inlineStr">
        <is>
          <t>00:02:51</t>
        </is>
      </c>
      <c r="H799" t="inlineStr">
        <is>
          <t>SELESAI</t>
        </is>
      </c>
      <c r="I799" t="inlineStr">
        <is>
          <t>MK00213</t>
        </is>
      </c>
      <c r="J799" t="inlineStr"/>
    </row>
    <row r="800">
      <c r="A800" t="inlineStr">
        <is>
          <t>08/06/2026</t>
        </is>
      </c>
      <c r="B800" t="inlineStr">
        <is>
          <t>528000040</t>
        </is>
      </c>
      <c r="C800" t="inlineStr">
        <is>
          <t>Agus Suryaman</t>
        </is>
      </c>
      <c r="D800" t="inlineStr">
        <is>
          <t>PROD</t>
        </is>
      </c>
      <c r="E800" t="inlineStr">
        <is>
          <t>Produksi Harian</t>
        </is>
      </c>
      <c r="F800" t="inlineStr">
        <is>
          <t>08:45:18</t>
        </is>
      </c>
      <c r="G800" t="inlineStr">
        <is>
          <t>17:25:27</t>
        </is>
      </c>
      <c r="H800" t="inlineStr">
        <is>
          <t>SELESAI</t>
        </is>
      </c>
      <c r="I800" t="inlineStr">
        <is>
          <t>MK00141</t>
        </is>
      </c>
      <c r="J800" t="inlineStr"/>
    </row>
    <row r="801">
      <c r="A801" t="inlineStr">
        <is>
          <t>08/06/2026</t>
        </is>
      </c>
      <c r="B801" t="inlineStr">
        <is>
          <t>528000052</t>
        </is>
      </c>
      <c r="C801" t="inlineStr">
        <is>
          <t>Mustopa</t>
        </is>
      </c>
      <c r="D801" t="inlineStr">
        <is>
          <t>PROD</t>
        </is>
      </c>
      <c r="E801" t="inlineStr">
        <is>
          <t>Produksi Harian</t>
        </is>
      </c>
      <c r="F801" t="inlineStr">
        <is>
          <t>13:05:06</t>
        </is>
      </c>
      <c r="G801" t="inlineStr">
        <is>
          <t>22:04:32</t>
        </is>
      </c>
      <c r="H801" t="inlineStr">
        <is>
          <t>SELESAI</t>
        </is>
      </c>
      <c r="I801" t="inlineStr">
        <is>
          <t>MK00209</t>
        </is>
      </c>
      <c r="J801" t="inlineStr"/>
    </row>
    <row r="802">
      <c r="A802" t="inlineStr">
        <is>
          <t>08/06/2026</t>
        </is>
      </c>
      <c r="B802" t="inlineStr">
        <is>
          <t>528000090</t>
        </is>
      </c>
      <c r="C802" t="inlineStr">
        <is>
          <t>Suganda</t>
        </is>
      </c>
      <c r="D802" t="inlineStr">
        <is>
          <t>PROD</t>
        </is>
      </c>
      <c r="E802" t="inlineStr">
        <is>
          <t>Produksi Harian</t>
        </is>
      </c>
      <c r="F802" t="inlineStr"/>
      <c r="G802" t="inlineStr">
        <is>
          <t>06:05:16</t>
        </is>
      </c>
      <c r="H802" t="inlineStr">
        <is>
          <t>KELUAR TANPA MASUK</t>
        </is>
      </c>
      <c r="I802" t="inlineStr">
        <is>
          <t>MK00112</t>
        </is>
      </c>
      <c r="J802" t="inlineStr"/>
    </row>
    <row r="803">
      <c r="A803" t="inlineStr">
        <is>
          <t>08/06/2026</t>
        </is>
      </c>
      <c r="B803" t="inlineStr">
        <is>
          <t>528000099</t>
        </is>
      </c>
      <c r="C803" t="inlineStr">
        <is>
          <t>Siti Nurawaliah</t>
        </is>
      </c>
      <c r="D803" t="inlineStr">
        <is>
          <t>PROD</t>
        </is>
      </c>
      <c r="E803" t="inlineStr">
        <is>
          <t>Produksi Harian</t>
        </is>
      </c>
      <c r="F803" t="inlineStr"/>
      <c r="G803" t="inlineStr">
        <is>
          <t>06:06:24</t>
        </is>
      </c>
      <c r="H803" t="inlineStr">
        <is>
          <t>KELUAR TANPA MASUK</t>
        </is>
      </c>
      <c r="I803" t="inlineStr">
        <is>
          <t>MK0090</t>
        </is>
      </c>
      <c r="J803" t="inlineStr"/>
    </row>
    <row r="804">
      <c r="A804" t="inlineStr">
        <is>
          <t>08/06/2026</t>
        </is>
      </c>
      <c r="B804" t="inlineStr">
        <is>
          <t>528000132</t>
        </is>
      </c>
      <c r="C804" t="inlineStr">
        <is>
          <t>Giopani</t>
        </is>
      </c>
      <c r="D804" t="inlineStr">
        <is>
          <t>LOG</t>
        </is>
      </c>
      <c r="E804" t="inlineStr">
        <is>
          <t>WRM Harian</t>
        </is>
      </c>
      <c r="F804" t="inlineStr">
        <is>
          <t>08:58:38</t>
        </is>
      </c>
      <c r="G804" t="inlineStr">
        <is>
          <t>17:03:38</t>
        </is>
      </c>
      <c r="H804" t="inlineStr">
        <is>
          <t>SELESAI</t>
        </is>
      </c>
      <c r="I804" t="inlineStr">
        <is>
          <t>MK00228</t>
        </is>
      </c>
      <c r="J804" t="inlineStr"/>
    </row>
    <row r="805">
      <c r="A805" t="inlineStr">
        <is>
          <t>08/06/2026</t>
        </is>
      </c>
      <c r="B805" t="inlineStr">
        <is>
          <t>528000144</t>
        </is>
      </c>
      <c r="C805" t="inlineStr">
        <is>
          <t>Jodi Hanafi</t>
        </is>
      </c>
      <c r="D805" t="inlineStr">
        <is>
          <t>LOG</t>
        </is>
      </c>
      <c r="E805" t="inlineStr">
        <is>
          <t>WRM Harian</t>
        </is>
      </c>
      <c r="F805" t="inlineStr">
        <is>
          <t>15:48:28</t>
        </is>
      </c>
      <c r="G805" t="inlineStr">
        <is>
          <t>00:11:45</t>
        </is>
      </c>
      <c r="H805" t="inlineStr">
        <is>
          <t>SELESAI</t>
        </is>
      </c>
      <c r="I805" t="inlineStr">
        <is>
          <t>MK00221</t>
        </is>
      </c>
      <c r="J805" t="inlineStr"/>
    </row>
    <row r="806">
      <c r="A806" t="inlineStr">
        <is>
          <t>08/06/2026</t>
        </is>
      </c>
      <c r="B806" t="inlineStr">
        <is>
          <t>528000149</t>
        </is>
      </c>
      <c r="C806" t="inlineStr">
        <is>
          <t>Tio Fernanda</t>
        </is>
      </c>
      <c r="D806" t="inlineStr">
        <is>
          <t>LOG</t>
        </is>
      </c>
      <c r="E806" t="inlineStr">
        <is>
          <t>WRM Harian</t>
        </is>
      </c>
      <c r="F806" t="inlineStr">
        <is>
          <t>15:36:44</t>
        </is>
      </c>
      <c r="G806" t="inlineStr"/>
      <c r="H806" t="inlineStr">
        <is>
          <t>DI DALAM</t>
        </is>
      </c>
      <c r="I806" t="inlineStr">
        <is>
          <t>MK0130</t>
        </is>
      </c>
      <c r="J806" t="inlineStr"/>
    </row>
    <row r="807">
      <c r="A807" t="inlineStr">
        <is>
          <t>08/06/2026</t>
        </is>
      </c>
      <c r="B807" t="inlineStr">
        <is>
          <t>528000195</t>
        </is>
      </c>
      <c r="C807" t="inlineStr">
        <is>
          <t>Rahma Sariwati</t>
        </is>
      </c>
      <c r="D807" t="inlineStr">
        <is>
          <t>PROD</t>
        </is>
      </c>
      <c r="E807" t="inlineStr">
        <is>
          <t>Produksi Harian</t>
        </is>
      </c>
      <c r="F807" t="inlineStr">
        <is>
          <t>13:39:49</t>
        </is>
      </c>
      <c r="G807" t="inlineStr">
        <is>
          <t>22:09:29</t>
        </is>
      </c>
      <c r="H807" t="inlineStr">
        <is>
          <t>SELESAI</t>
        </is>
      </c>
      <c r="I807" t="inlineStr">
        <is>
          <t>MK00181</t>
        </is>
      </c>
      <c r="J807" t="inlineStr"/>
    </row>
    <row r="808">
      <c r="A808" t="inlineStr">
        <is>
          <t>08/06/2026</t>
        </is>
      </c>
      <c r="B808" t="inlineStr">
        <is>
          <t>528000201</t>
        </is>
      </c>
      <c r="C808" t="inlineStr">
        <is>
          <t>Zahwa Amelia Choerunissa</t>
        </is>
      </c>
      <c r="D808" t="inlineStr">
        <is>
          <t>PROD</t>
        </is>
      </c>
      <c r="E808" t="inlineStr">
        <is>
          <t>Produksi Harian</t>
        </is>
      </c>
      <c r="F808" t="inlineStr"/>
      <c r="G808" t="inlineStr">
        <is>
          <t>06:05:56</t>
        </is>
      </c>
      <c r="H808" t="inlineStr">
        <is>
          <t>KELUAR TANPA MASUK</t>
        </is>
      </c>
      <c r="I808" t="inlineStr">
        <is>
          <t>MK00154</t>
        </is>
      </c>
      <c r="J808" t="inlineStr"/>
    </row>
    <row r="809">
      <c r="A809" t="inlineStr">
        <is>
          <t>08/06/2026</t>
        </is>
      </c>
      <c r="B809" t="inlineStr">
        <is>
          <t>528000232</t>
        </is>
      </c>
      <c r="C809" t="inlineStr">
        <is>
          <t>Agung Aji Suhada</t>
        </is>
      </c>
      <c r="D809" t="inlineStr">
        <is>
          <t>LOG</t>
        </is>
      </c>
      <c r="E809" t="inlineStr">
        <is>
          <t>WRM Harian</t>
        </is>
      </c>
      <c r="F809" t="inlineStr">
        <is>
          <t>08:55:08</t>
        </is>
      </c>
      <c r="G809" t="inlineStr">
        <is>
          <t>23:12:08</t>
        </is>
      </c>
      <c r="H809" t="inlineStr">
        <is>
          <t>SELESAI</t>
        </is>
      </c>
      <c r="I809" t="inlineStr">
        <is>
          <t>MK00150</t>
        </is>
      </c>
      <c r="J809" t="inlineStr"/>
    </row>
    <row r="810">
      <c r="A810" t="inlineStr">
        <is>
          <t>08/06/2026</t>
        </is>
      </c>
      <c r="B810" t="inlineStr">
        <is>
          <t>528000238</t>
        </is>
      </c>
      <c r="C810" t="inlineStr">
        <is>
          <t>Indah Lusiana</t>
        </is>
      </c>
      <c r="D810" t="inlineStr">
        <is>
          <t>PROD</t>
        </is>
      </c>
      <c r="E810" t="inlineStr">
        <is>
          <t>Produksi Harian</t>
        </is>
      </c>
      <c r="F810" t="inlineStr"/>
      <c r="G810" t="inlineStr">
        <is>
          <t>09:46:46</t>
        </is>
      </c>
      <c r="H810" t="inlineStr">
        <is>
          <t>KELUAR TANPA MASUK</t>
        </is>
      </c>
      <c r="I810" t="inlineStr">
        <is>
          <t>MK00138</t>
        </is>
      </c>
      <c r="J810" t="inlineStr"/>
    </row>
    <row r="811">
      <c r="A811" t="inlineStr">
        <is>
          <t>08/06/2026</t>
        </is>
      </c>
      <c r="B811" t="inlineStr">
        <is>
          <t>528000241</t>
        </is>
      </c>
      <c r="C811" t="inlineStr">
        <is>
          <t>Balia Nurafif Bilah</t>
        </is>
      </c>
      <c r="D811" t="inlineStr">
        <is>
          <t>PROD</t>
        </is>
      </c>
      <c r="E811" t="inlineStr">
        <is>
          <t>Produksi Harian</t>
        </is>
      </c>
      <c r="F811" t="inlineStr"/>
      <c r="G811" t="inlineStr">
        <is>
          <t>06:05:10</t>
        </is>
      </c>
      <c r="H811" t="inlineStr">
        <is>
          <t>KELUAR TANPA MASUK</t>
        </is>
      </c>
      <c r="I811" t="inlineStr">
        <is>
          <t>MK00138</t>
        </is>
      </c>
      <c r="J811" t="inlineStr"/>
    </row>
    <row r="812">
      <c r="A812" t="inlineStr">
        <is>
          <t>08/06/2026</t>
        </is>
      </c>
      <c r="B812" t="inlineStr">
        <is>
          <t>528000244</t>
        </is>
      </c>
      <c r="C812" t="inlineStr">
        <is>
          <t>Rodian Rifai</t>
        </is>
      </c>
      <c r="D812" t="inlineStr">
        <is>
          <t>PROD</t>
        </is>
      </c>
      <c r="E812" t="inlineStr">
        <is>
          <t>Produksi Harian</t>
        </is>
      </c>
      <c r="F812" t="inlineStr"/>
      <c r="G812" t="inlineStr">
        <is>
          <t>06:36:15</t>
        </is>
      </c>
      <c r="H812" t="inlineStr">
        <is>
          <t>KELUAR TANPA MASUK</t>
        </is>
      </c>
      <c r="I812" t="inlineStr">
        <is>
          <t>MK00250</t>
        </is>
      </c>
      <c r="J812" t="inlineStr"/>
    </row>
    <row r="813">
      <c r="A813" t="inlineStr">
        <is>
          <t>08/06/2026</t>
        </is>
      </c>
      <c r="B813" t="inlineStr">
        <is>
          <t>528000248</t>
        </is>
      </c>
      <c r="C813" t="inlineStr">
        <is>
          <t>Roka Jaya Salka Mulya</t>
        </is>
      </c>
      <c r="D813" t="inlineStr">
        <is>
          <t>PROD</t>
        </is>
      </c>
      <c r="E813" t="inlineStr">
        <is>
          <t>Produksi Harian</t>
        </is>
      </c>
      <c r="F813" t="inlineStr">
        <is>
          <t>13:17:04</t>
        </is>
      </c>
      <c r="G813" t="inlineStr">
        <is>
          <t>22:04:27</t>
        </is>
      </c>
      <c r="H813" t="inlineStr">
        <is>
          <t>SELESAI</t>
        </is>
      </c>
      <c r="I813" t="inlineStr">
        <is>
          <t>MK00160</t>
        </is>
      </c>
      <c r="J813" t="inlineStr"/>
    </row>
    <row r="814">
      <c r="A814" t="inlineStr">
        <is>
          <t>08/06/2026</t>
        </is>
      </c>
      <c r="B814" t="inlineStr">
        <is>
          <t>528000261</t>
        </is>
      </c>
      <c r="C814" t="inlineStr">
        <is>
          <t>Ergi Ergianto</t>
        </is>
      </c>
      <c r="D814" t="inlineStr">
        <is>
          <t>HRGA</t>
        </is>
      </c>
      <c r="E814" t="inlineStr">
        <is>
          <t>GA Harian</t>
        </is>
      </c>
      <c r="F814" t="inlineStr">
        <is>
          <t>13:47:40</t>
        </is>
      </c>
      <c r="G814" t="inlineStr">
        <is>
          <t>22:04:09</t>
        </is>
      </c>
      <c r="H814" t="inlineStr">
        <is>
          <t>SELESAI</t>
        </is>
      </c>
      <c r="I814" t="inlineStr">
        <is>
          <t>MK00186</t>
        </is>
      </c>
      <c r="J814" t="inlineStr"/>
    </row>
    <row r="815">
      <c r="A815" t="inlineStr">
        <is>
          <t>08/06/2026</t>
        </is>
      </c>
      <c r="B815" t="inlineStr">
        <is>
          <t>528000262</t>
        </is>
      </c>
      <c r="C815" t="inlineStr">
        <is>
          <t>Ndari Dwiwanti</t>
        </is>
      </c>
      <c r="D815" t="inlineStr">
        <is>
          <t>PROD</t>
        </is>
      </c>
      <c r="E815" t="inlineStr">
        <is>
          <t>Produksi Harian</t>
        </is>
      </c>
      <c r="F815" t="inlineStr">
        <is>
          <t>13:37:50</t>
        </is>
      </c>
      <c r="G815" t="inlineStr">
        <is>
          <t>22:04:25</t>
        </is>
      </c>
      <c r="H815" t="inlineStr">
        <is>
          <t>SELESAI</t>
        </is>
      </c>
      <c r="I815" t="inlineStr">
        <is>
          <t>MK00143</t>
        </is>
      </c>
      <c r="J815" t="inlineStr"/>
    </row>
    <row r="816">
      <c r="A816" t="inlineStr">
        <is>
          <t>08/06/2026</t>
        </is>
      </c>
      <c r="B816" t="inlineStr">
        <is>
          <t>528000265</t>
        </is>
      </c>
      <c r="C816" t="inlineStr">
        <is>
          <t>Muhammad Haerul Rozikin</t>
        </is>
      </c>
      <c r="D816" t="inlineStr">
        <is>
          <t>LOG</t>
        </is>
      </c>
      <c r="E816" t="inlineStr">
        <is>
          <t>WRM Harian</t>
        </is>
      </c>
      <c r="F816" t="inlineStr">
        <is>
          <t>07:38:22</t>
        </is>
      </c>
      <c r="G816" t="inlineStr">
        <is>
          <t>16:35:33</t>
        </is>
      </c>
      <c r="H816" t="inlineStr">
        <is>
          <t>SELESAI</t>
        </is>
      </c>
      <c r="I816" t="inlineStr">
        <is>
          <t>MK00095</t>
        </is>
      </c>
      <c r="J816" t="inlineStr"/>
    </row>
    <row r="817">
      <c r="A817" t="inlineStr">
        <is>
          <t>08/06/2026</t>
        </is>
      </c>
      <c r="B817" t="inlineStr">
        <is>
          <t>528000266</t>
        </is>
      </c>
      <c r="C817" t="inlineStr">
        <is>
          <t>M. Syirajatieq</t>
        </is>
      </c>
      <c r="D817" t="inlineStr">
        <is>
          <t>LOG</t>
        </is>
      </c>
      <c r="E817" t="inlineStr">
        <is>
          <t>WFG Harian</t>
        </is>
      </c>
      <c r="F817" t="inlineStr">
        <is>
          <t>21:36:36</t>
        </is>
      </c>
      <c r="G817" t="inlineStr"/>
      <c r="H817" t="inlineStr">
        <is>
          <t>DI DALAM</t>
        </is>
      </c>
      <c r="I817" t="inlineStr">
        <is>
          <t>MK00150</t>
        </is>
      </c>
      <c r="J817" t="inlineStr"/>
    </row>
    <row r="818">
      <c r="A818" t="inlineStr">
        <is>
          <t>08/06/2026</t>
        </is>
      </c>
      <c r="B818" t="inlineStr">
        <is>
          <t>528000270</t>
        </is>
      </c>
      <c r="C818" t="inlineStr">
        <is>
          <t>Febri Najmudin</t>
        </is>
      </c>
      <c r="D818" t="inlineStr">
        <is>
          <t>LOG</t>
        </is>
      </c>
      <c r="E818" t="inlineStr">
        <is>
          <t>WRM Harian</t>
        </is>
      </c>
      <c r="F818" t="inlineStr">
        <is>
          <t>05:53:54</t>
        </is>
      </c>
      <c r="G818" t="inlineStr">
        <is>
          <t>14:37:22</t>
        </is>
      </c>
      <c r="H818" t="inlineStr">
        <is>
          <t>SELESAI</t>
        </is>
      </c>
      <c r="I818" t="inlineStr">
        <is>
          <t>MK00113</t>
        </is>
      </c>
      <c r="J818" t="inlineStr"/>
    </row>
    <row r="819">
      <c r="A819" t="inlineStr">
        <is>
          <t>08/06/2026</t>
        </is>
      </c>
      <c r="B819" t="inlineStr">
        <is>
          <t>528000274</t>
        </is>
      </c>
      <c r="C819" t="inlineStr">
        <is>
          <t>Zepri</t>
        </is>
      </c>
      <c r="D819" t="inlineStr">
        <is>
          <t>PROD</t>
        </is>
      </c>
      <c r="E819" t="inlineStr">
        <is>
          <t>Produksi Harian</t>
        </is>
      </c>
      <c r="F819" t="inlineStr"/>
      <c r="G819" t="inlineStr">
        <is>
          <t>06:04:56</t>
        </is>
      </c>
      <c r="H819" t="inlineStr">
        <is>
          <t>KELUAR TANPA MASUK</t>
        </is>
      </c>
      <c r="I819" t="inlineStr">
        <is>
          <t>MK00116</t>
        </is>
      </c>
      <c r="J819" t="inlineStr"/>
    </row>
    <row r="820">
      <c r="A820" t="inlineStr">
        <is>
          <t>08/06/2026</t>
        </is>
      </c>
      <c r="B820" t="inlineStr">
        <is>
          <t>528000279</t>
        </is>
      </c>
      <c r="C820" t="inlineStr">
        <is>
          <t>Mahdalena Dalfa Riani</t>
        </is>
      </c>
      <c r="D820" t="inlineStr">
        <is>
          <t>PROD</t>
        </is>
      </c>
      <c r="E820" t="inlineStr">
        <is>
          <t>Produksi Harian</t>
        </is>
      </c>
      <c r="F820" t="inlineStr">
        <is>
          <t>05:58:43</t>
        </is>
      </c>
      <c r="G820" t="inlineStr">
        <is>
          <t>22:06:05</t>
        </is>
      </c>
      <c r="H820" t="inlineStr">
        <is>
          <t>SELESAI</t>
        </is>
      </c>
      <c r="I820" t="inlineStr">
        <is>
          <t>MK00112</t>
        </is>
      </c>
      <c r="J820" t="inlineStr"/>
    </row>
    <row r="821">
      <c r="A821" t="inlineStr">
        <is>
          <t>08/06/2026</t>
        </is>
      </c>
      <c r="B821" t="inlineStr">
        <is>
          <t>528000282</t>
        </is>
      </c>
      <c r="C821" t="inlineStr">
        <is>
          <t>Defa Desfiana</t>
        </is>
      </c>
      <c r="D821" t="inlineStr">
        <is>
          <t>PROD</t>
        </is>
      </c>
      <c r="E821" t="inlineStr">
        <is>
          <t>Produksi Harian</t>
        </is>
      </c>
      <c r="F821" t="inlineStr">
        <is>
          <t>07:42:41</t>
        </is>
      </c>
      <c r="G821" t="inlineStr">
        <is>
          <t>16:03:39</t>
        </is>
      </c>
      <c r="H821" t="inlineStr">
        <is>
          <t>SELESAI</t>
        </is>
      </c>
      <c r="I821" t="inlineStr">
        <is>
          <t>MK00250</t>
        </is>
      </c>
      <c r="J821" t="inlineStr">
        <is>
          <t>23c</t>
        </is>
      </c>
    </row>
    <row r="822">
      <c r="A822" t="inlineStr">
        <is>
          <t>08/06/2026</t>
        </is>
      </c>
      <c r="B822" t="inlineStr">
        <is>
          <t>528000283</t>
        </is>
      </c>
      <c r="C822" t="inlineStr">
        <is>
          <t>Purwanda Sugiri</t>
        </is>
      </c>
      <c r="D822" t="inlineStr">
        <is>
          <t>LOG</t>
        </is>
      </c>
      <c r="E822" t="inlineStr">
        <is>
          <t>WRM Harian</t>
        </is>
      </c>
      <c r="F822" t="inlineStr">
        <is>
          <t>13:46:36</t>
        </is>
      </c>
      <c r="G822" t="inlineStr">
        <is>
          <t>22:03:13</t>
        </is>
      </c>
      <c r="H822" t="inlineStr">
        <is>
          <t>SELESAI</t>
        </is>
      </c>
      <c r="I822" t="inlineStr">
        <is>
          <t>MK00249</t>
        </is>
      </c>
      <c r="J822" t="inlineStr"/>
    </row>
    <row r="823">
      <c r="A823" t="inlineStr">
        <is>
          <t>08/06/2026</t>
        </is>
      </c>
      <c r="B823" t="inlineStr">
        <is>
          <t>528000286</t>
        </is>
      </c>
      <c r="C823" t="inlineStr">
        <is>
          <t>Imelda Amelia</t>
        </is>
      </c>
      <c r="D823" t="inlineStr">
        <is>
          <t>PROD</t>
        </is>
      </c>
      <c r="E823" t="inlineStr">
        <is>
          <t>Produksi Harian</t>
        </is>
      </c>
      <c r="F823" t="inlineStr"/>
      <c r="G823" t="inlineStr">
        <is>
          <t>06:07:04</t>
        </is>
      </c>
      <c r="H823" t="inlineStr">
        <is>
          <t>KELUAR TANPA MASUK</t>
        </is>
      </c>
      <c r="I823" t="inlineStr">
        <is>
          <t>MK00145</t>
        </is>
      </c>
      <c r="J823" t="inlineStr"/>
    </row>
    <row r="824">
      <c r="A824" t="inlineStr">
        <is>
          <t>08/06/2026</t>
        </is>
      </c>
      <c r="B824" t="inlineStr">
        <is>
          <t>528000288</t>
        </is>
      </c>
      <c r="C824" t="inlineStr">
        <is>
          <t>Dede gunawan</t>
        </is>
      </c>
      <c r="D824" t="inlineStr">
        <is>
          <t>PROD</t>
        </is>
      </c>
      <c r="E824" t="inlineStr">
        <is>
          <t>Produksi Harian</t>
        </is>
      </c>
      <c r="F824" t="inlineStr">
        <is>
          <t>13:49:41</t>
        </is>
      </c>
      <c r="G824" t="inlineStr"/>
      <c r="H824" t="inlineStr">
        <is>
          <t>DI DALAM</t>
        </is>
      </c>
      <c r="I824" t="inlineStr">
        <is>
          <t>MK00192</t>
        </is>
      </c>
      <c r="J824" t="inlineStr"/>
    </row>
    <row r="825">
      <c r="A825" t="inlineStr">
        <is>
          <t>08/06/2026</t>
        </is>
      </c>
      <c r="B825" t="inlineStr">
        <is>
          <t>528000289</t>
        </is>
      </c>
      <c r="C825" t="inlineStr">
        <is>
          <t>Adit Supriyadi</t>
        </is>
      </c>
      <c r="D825" t="inlineStr">
        <is>
          <t>PROD</t>
        </is>
      </c>
      <c r="E825" t="inlineStr">
        <is>
          <t>Produksi Harian</t>
        </is>
      </c>
      <c r="F825" t="inlineStr"/>
      <c r="G825" t="inlineStr">
        <is>
          <t>06:05:06</t>
        </is>
      </c>
      <c r="H825" t="inlineStr">
        <is>
          <t>KELUAR TANPA MASUK</t>
        </is>
      </c>
      <c r="I825" t="inlineStr">
        <is>
          <t>MK00185</t>
        </is>
      </c>
      <c r="J825" t="inlineStr">
        <is>
          <t>7-E</t>
        </is>
      </c>
    </row>
    <row r="826">
      <c r="A826" t="inlineStr">
        <is>
          <t>08/06/2026</t>
        </is>
      </c>
      <c r="B826" t="inlineStr">
        <is>
          <t>528000290</t>
        </is>
      </c>
      <c r="C826" t="inlineStr">
        <is>
          <t>Eval Pranata</t>
        </is>
      </c>
      <c r="D826" t="inlineStr">
        <is>
          <t>PROD</t>
        </is>
      </c>
      <c r="E826" t="inlineStr">
        <is>
          <t>Produksi Harian</t>
        </is>
      </c>
      <c r="F826" t="inlineStr">
        <is>
          <t>22:04:52</t>
        </is>
      </c>
      <c r="G826" t="inlineStr">
        <is>
          <t>06:06:46</t>
        </is>
      </c>
      <c r="H826" t="inlineStr">
        <is>
          <t>SELESAI</t>
        </is>
      </c>
      <c r="I826" t="inlineStr">
        <is>
          <t>MK00249</t>
        </is>
      </c>
      <c r="J826" t="inlineStr"/>
    </row>
    <row r="827">
      <c r="A827" t="inlineStr">
        <is>
          <t>08/06/2026</t>
        </is>
      </c>
      <c r="B827" t="inlineStr">
        <is>
          <t>528000291</t>
        </is>
      </c>
      <c r="C827" t="inlineStr">
        <is>
          <t>Andrian</t>
        </is>
      </c>
      <c r="D827" t="inlineStr">
        <is>
          <t>PROD</t>
        </is>
      </c>
      <c r="E827" t="inlineStr">
        <is>
          <t>Produksi Harian</t>
        </is>
      </c>
      <c r="F827" t="inlineStr">
        <is>
          <t>13:46:15</t>
        </is>
      </c>
      <c r="G827" t="inlineStr">
        <is>
          <t>22:04:00</t>
        </is>
      </c>
      <c r="H827" t="inlineStr">
        <is>
          <t>SELESAI</t>
        </is>
      </c>
      <c r="I827" t="inlineStr">
        <is>
          <t>MK00156</t>
        </is>
      </c>
      <c r="J827" t="inlineStr"/>
    </row>
    <row r="828">
      <c r="A828" t="inlineStr">
        <is>
          <t>08/06/2026</t>
        </is>
      </c>
      <c r="B828" t="inlineStr">
        <is>
          <t>528000292</t>
        </is>
      </c>
      <c r="C828" t="inlineStr">
        <is>
          <t>Aditia Nugraha</t>
        </is>
      </c>
      <c r="D828" t="inlineStr">
        <is>
          <t>PROD</t>
        </is>
      </c>
      <c r="E828" t="inlineStr">
        <is>
          <t>Produksi Harian</t>
        </is>
      </c>
      <c r="F828" t="inlineStr">
        <is>
          <t>13:51:53</t>
        </is>
      </c>
      <c r="G828" t="inlineStr"/>
      <c r="H828" t="inlineStr">
        <is>
          <t>DI DALAM</t>
        </is>
      </c>
      <c r="I828" t="inlineStr">
        <is>
          <t>207</t>
        </is>
      </c>
      <c r="J828" t="inlineStr"/>
    </row>
    <row r="829">
      <c r="A829" t="inlineStr">
        <is>
          <t>08/06/2026</t>
        </is>
      </c>
      <c r="B829" t="inlineStr">
        <is>
          <t>528000297</t>
        </is>
      </c>
      <c r="C829" t="inlineStr">
        <is>
          <t>Muhamad Budiana</t>
        </is>
      </c>
      <c r="D829" t="inlineStr">
        <is>
          <t>PROD</t>
        </is>
      </c>
      <c r="E829" t="inlineStr">
        <is>
          <t>Produksi Harian</t>
        </is>
      </c>
      <c r="F829" t="inlineStr">
        <is>
          <t>13:41:34</t>
        </is>
      </c>
      <c r="G829" t="inlineStr">
        <is>
          <t>23:14:21</t>
        </is>
      </c>
      <c r="H829" t="inlineStr">
        <is>
          <t>SELESAI</t>
        </is>
      </c>
      <c r="I829" t="inlineStr">
        <is>
          <t>MK00150</t>
        </is>
      </c>
      <c r="J829" t="inlineStr"/>
    </row>
    <row r="830">
      <c r="A830" t="inlineStr">
        <is>
          <t>08/06/2026</t>
        </is>
      </c>
      <c r="B830" t="inlineStr">
        <is>
          <t>528000298</t>
        </is>
      </c>
      <c r="C830" t="inlineStr">
        <is>
          <t>Desta Cahaya Pratama</t>
        </is>
      </c>
      <c r="D830" t="inlineStr">
        <is>
          <t>PROD</t>
        </is>
      </c>
      <c r="E830" t="inlineStr">
        <is>
          <t>Produksi Harian</t>
        </is>
      </c>
      <c r="F830" t="inlineStr">
        <is>
          <t>05:50:18</t>
        </is>
      </c>
      <c r="G830" t="inlineStr">
        <is>
          <t>14:01:44</t>
        </is>
      </c>
      <c r="H830" t="inlineStr">
        <is>
          <t>SELESAI</t>
        </is>
      </c>
      <c r="I830" t="inlineStr">
        <is>
          <t>MK00134</t>
        </is>
      </c>
      <c r="J830" t="inlineStr"/>
    </row>
    <row r="831">
      <c r="A831" t="inlineStr">
        <is>
          <t>08/06/2026</t>
        </is>
      </c>
      <c r="B831" t="inlineStr">
        <is>
          <t>528000299</t>
        </is>
      </c>
      <c r="C831" t="inlineStr">
        <is>
          <t>Siti Nurjanah</t>
        </is>
      </c>
      <c r="D831" t="inlineStr">
        <is>
          <t>PROD</t>
        </is>
      </c>
      <c r="E831" t="inlineStr">
        <is>
          <t>Produksi Harian</t>
        </is>
      </c>
      <c r="F831" t="inlineStr">
        <is>
          <t>05:36:13</t>
        </is>
      </c>
      <c r="G831" t="inlineStr">
        <is>
          <t>05:43:19</t>
        </is>
      </c>
      <c r="H831" t="inlineStr">
        <is>
          <t>SELESAI</t>
        </is>
      </c>
      <c r="I831" t="inlineStr">
        <is>
          <t>CK00126</t>
        </is>
      </c>
      <c r="J831" t="inlineStr"/>
    </row>
    <row r="832">
      <c r="A832" t="inlineStr">
        <is>
          <t>08/06/2026</t>
        </is>
      </c>
      <c r="B832" t="inlineStr">
        <is>
          <t>528000300</t>
        </is>
      </c>
      <c r="C832" t="inlineStr">
        <is>
          <t>Lia pitaloka</t>
        </is>
      </c>
      <c r="D832" t="inlineStr">
        <is>
          <t>PROD</t>
        </is>
      </c>
      <c r="E832" t="inlineStr">
        <is>
          <t>Produksi Harian</t>
        </is>
      </c>
      <c r="F832" t="inlineStr">
        <is>
          <t>05:59:18</t>
        </is>
      </c>
      <c r="G832" t="inlineStr">
        <is>
          <t>22:06:50</t>
        </is>
      </c>
      <c r="H832" t="inlineStr">
        <is>
          <t>SELESAI</t>
        </is>
      </c>
      <c r="I832" t="inlineStr">
        <is>
          <t>MK00134</t>
        </is>
      </c>
      <c r="J832" t="inlineStr"/>
    </row>
    <row r="833">
      <c r="A833" t="inlineStr">
        <is>
          <t>08/06/2026</t>
        </is>
      </c>
      <c r="B833" t="inlineStr">
        <is>
          <t>528000302</t>
        </is>
      </c>
      <c r="C833" t="inlineStr">
        <is>
          <t>Henkey gumilar</t>
        </is>
      </c>
      <c r="D833" t="inlineStr">
        <is>
          <t>PROD</t>
        </is>
      </c>
      <c r="E833" t="inlineStr">
        <is>
          <t>Produksi Harian</t>
        </is>
      </c>
      <c r="F833" t="inlineStr">
        <is>
          <t>05:54:25</t>
        </is>
      </c>
      <c r="G833" t="inlineStr">
        <is>
          <t>14:10:11</t>
        </is>
      </c>
      <c r="H833" t="inlineStr">
        <is>
          <t>SELESAI</t>
        </is>
      </c>
      <c r="I833" t="inlineStr">
        <is>
          <t>MK00138</t>
        </is>
      </c>
      <c r="J833" t="inlineStr"/>
    </row>
    <row r="834">
      <c r="A834" t="inlineStr">
        <is>
          <t>08/06/2026</t>
        </is>
      </c>
      <c r="B834" t="inlineStr">
        <is>
          <t>528000305</t>
        </is>
      </c>
      <c r="C834" t="inlineStr">
        <is>
          <t>Puji Puspita</t>
        </is>
      </c>
      <c r="D834" t="inlineStr">
        <is>
          <t>PROD</t>
        </is>
      </c>
      <c r="E834" t="inlineStr">
        <is>
          <t>Produksi Harian</t>
        </is>
      </c>
      <c r="F834" t="inlineStr">
        <is>
          <t>05:34:59</t>
        </is>
      </c>
      <c r="G834" t="inlineStr">
        <is>
          <t>14:03:10</t>
        </is>
      </c>
      <c r="H834" t="inlineStr">
        <is>
          <t>SELESAI</t>
        </is>
      </c>
      <c r="I834" t="inlineStr">
        <is>
          <t>MK00145</t>
        </is>
      </c>
      <c r="J834" t="inlineStr"/>
    </row>
    <row r="835">
      <c r="A835" t="inlineStr">
        <is>
          <t>08/06/2026</t>
        </is>
      </c>
      <c r="B835" t="inlineStr">
        <is>
          <t>528000306</t>
        </is>
      </c>
      <c r="C835" t="inlineStr">
        <is>
          <t>Windy Olivia</t>
        </is>
      </c>
      <c r="D835" t="inlineStr">
        <is>
          <t>PROD</t>
        </is>
      </c>
      <c r="E835" t="inlineStr">
        <is>
          <t>Produksi Harian</t>
        </is>
      </c>
      <c r="F835" t="inlineStr">
        <is>
          <t>13:44:42</t>
        </is>
      </c>
      <c r="G835" t="inlineStr">
        <is>
          <t>22:06:56</t>
        </is>
      </c>
      <c r="H835" t="inlineStr">
        <is>
          <t>SELESAI</t>
        </is>
      </c>
      <c r="I835" t="inlineStr">
        <is>
          <t>MK00235</t>
        </is>
      </c>
      <c r="J835" t="inlineStr"/>
    </row>
    <row r="836">
      <c r="A836" t="inlineStr">
        <is>
          <t>08/06/2026</t>
        </is>
      </c>
      <c r="B836" t="inlineStr">
        <is>
          <t>528000309</t>
        </is>
      </c>
      <c r="C836" t="inlineStr">
        <is>
          <t>Ilham Ramadhan</t>
        </is>
      </c>
      <c r="D836" t="inlineStr">
        <is>
          <t>LOG</t>
        </is>
      </c>
      <c r="E836" t="inlineStr">
        <is>
          <t>WRM Harian</t>
        </is>
      </c>
      <c r="F836" t="inlineStr">
        <is>
          <t>05:53:07</t>
        </is>
      </c>
      <c r="G836" t="inlineStr">
        <is>
          <t>14:07:33</t>
        </is>
      </c>
      <c r="H836" t="inlineStr">
        <is>
          <t>SELESAI</t>
        </is>
      </c>
      <c r="I836" t="inlineStr">
        <is>
          <t>MK00185</t>
        </is>
      </c>
      <c r="J836" t="inlineStr"/>
    </row>
    <row r="837">
      <c r="A837" t="inlineStr">
        <is>
          <t>08/06/2026</t>
        </is>
      </c>
      <c r="B837" t="inlineStr">
        <is>
          <t>528000310</t>
        </is>
      </c>
      <c r="C837" t="inlineStr">
        <is>
          <t>Fachrul Rozzi Suryana</t>
        </is>
      </c>
      <c r="D837" t="inlineStr">
        <is>
          <t>LOG</t>
        </is>
      </c>
      <c r="E837" t="inlineStr">
        <is>
          <t>WRM Harian</t>
        </is>
      </c>
      <c r="F837" t="inlineStr">
        <is>
          <t>07:55:40</t>
        </is>
      </c>
      <c r="G837" t="inlineStr">
        <is>
          <t>16:05:28</t>
        </is>
      </c>
      <c r="H837" t="inlineStr">
        <is>
          <t>SELESAI</t>
        </is>
      </c>
      <c r="I837" t="inlineStr">
        <is>
          <t>MK00210</t>
        </is>
      </c>
      <c r="J837" t="inlineStr">
        <is>
          <t>23F</t>
        </is>
      </c>
    </row>
    <row r="838">
      <c r="A838" t="inlineStr">
        <is>
          <t>08/06/2026</t>
        </is>
      </c>
      <c r="B838" t="inlineStr">
        <is>
          <t>528000313</t>
        </is>
      </c>
      <c r="C838" t="inlineStr">
        <is>
          <t>Muhamad Rifki</t>
        </is>
      </c>
      <c r="D838" t="inlineStr">
        <is>
          <t>PROD</t>
        </is>
      </c>
      <c r="E838" t="inlineStr">
        <is>
          <t>Produksi Harian</t>
        </is>
      </c>
      <c r="F838" t="inlineStr">
        <is>
          <t>05:40:17</t>
        </is>
      </c>
      <c r="G838" t="inlineStr">
        <is>
          <t>14:05:31</t>
        </is>
      </c>
      <c r="H838" t="inlineStr">
        <is>
          <t>SELESAI</t>
        </is>
      </c>
      <c r="I838" t="inlineStr">
        <is>
          <t>MK00213</t>
        </is>
      </c>
      <c r="J838" t="inlineStr"/>
    </row>
    <row r="839">
      <c r="A839" t="inlineStr">
        <is>
          <t>08/06/2026</t>
        </is>
      </c>
      <c r="B839" t="inlineStr">
        <is>
          <t>528000314</t>
        </is>
      </c>
      <c r="C839" t="inlineStr">
        <is>
          <t>Rusmana</t>
        </is>
      </c>
      <c r="D839" t="inlineStr">
        <is>
          <t>PROD</t>
        </is>
      </c>
      <c r="E839" t="inlineStr">
        <is>
          <t>Produksi Harian</t>
        </is>
      </c>
      <c r="F839" t="inlineStr">
        <is>
          <t>15:17:34</t>
        </is>
      </c>
      <c r="G839" t="inlineStr">
        <is>
          <t>00:03:23</t>
        </is>
      </c>
      <c r="H839" t="inlineStr">
        <is>
          <t>SELESAI</t>
        </is>
      </c>
      <c r="I839" t="inlineStr">
        <is>
          <t>MK00125</t>
        </is>
      </c>
      <c r="J839" t="inlineStr"/>
    </row>
    <row r="840">
      <c r="A840" t="inlineStr">
        <is>
          <t>08/06/2026</t>
        </is>
      </c>
      <c r="B840" t="inlineStr">
        <is>
          <t>528000318</t>
        </is>
      </c>
      <c r="C840" t="inlineStr">
        <is>
          <t>Bayu Padli Sepriyana</t>
        </is>
      </c>
      <c r="D840" t="inlineStr">
        <is>
          <t>LOG</t>
        </is>
      </c>
      <c r="E840" t="inlineStr">
        <is>
          <t>WRM Harian</t>
        </is>
      </c>
      <c r="F840" t="inlineStr">
        <is>
          <t>05:49:58</t>
        </is>
      </c>
      <c r="G840" t="inlineStr">
        <is>
          <t>14:02:02</t>
        </is>
      </c>
      <c r="H840" t="inlineStr">
        <is>
          <t>SELESAI</t>
        </is>
      </c>
      <c r="I840" t="inlineStr">
        <is>
          <t>MK00208</t>
        </is>
      </c>
      <c r="J840" t="inlineStr"/>
    </row>
    <row r="841">
      <c r="A841" t="inlineStr">
        <is>
          <t>08/06/2026</t>
        </is>
      </c>
      <c r="B841" t="inlineStr">
        <is>
          <t>528000323</t>
        </is>
      </c>
      <c r="C841" t="inlineStr">
        <is>
          <t>Dian Hamidah</t>
        </is>
      </c>
      <c r="D841" t="inlineStr">
        <is>
          <t>PROD</t>
        </is>
      </c>
      <c r="E841" t="inlineStr">
        <is>
          <t>Produksi Harian</t>
        </is>
      </c>
      <c r="F841" t="inlineStr"/>
      <c r="G841" t="inlineStr">
        <is>
          <t>06:08:42</t>
        </is>
      </c>
      <c r="H841" t="inlineStr">
        <is>
          <t>KELUAR TANPA MASUK</t>
        </is>
      </c>
      <c r="I841" t="inlineStr">
        <is>
          <t>MK00210</t>
        </is>
      </c>
      <c r="J841" t="inlineStr"/>
    </row>
    <row r="842">
      <c r="A842" t="inlineStr">
        <is>
          <t>08/06/2026</t>
        </is>
      </c>
      <c r="B842" t="inlineStr">
        <is>
          <t>528000324</t>
        </is>
      </c>
      <c r="C842" t="inlineStr">
        <is>
          <t>Sri Yanti</t>
        </is>
      </c>
      <c r="D842" t="inlineStr">
        <is>
          <t>PROD</t>
        </is>
      </c>
      <c r="E842" t="inlineStr">
        <is>
          <t>Produksi Harian</t>
        </is>
      </c>
      <c r="F842" t="inlineStr">
        <is>
          <t>13:13:17</t>
        </is>
      </c>
      <c r="G842" t="inlineStr">
        <is>
          <t>22:22:04</t>
        </is>
      </c>
      <c r="H842" t="inlineStr">
        <is>
          <t>SELESAI</t>
        </is>
      </c>
      <c r="I842" t="inlineStr">
        <is>
          <t>MK00141</t>
        </is>
      </c>
      <c r="J842" t="inlineStr"/>
    </row>
    <row r="843">
      <c r="A843" t="inlineStr">
        <is>
          <t>08/06/2026</t>
        </is>
      </c>
      <c r="B843" t="inlineStr">
        <is>
          <t>528000325</t>
        </is>
      </c>
      <c r="C843" t="inlineStr">
        <is>
          <t>Rani Septia Ramadani</t>
        </is>
      </c>
      <c r="D843" t="inlineStr">
        <is>
          <t>PROD</t>
        </is>
      </c>
      <c r="E843" t="inlineStr">
        <is>
          <t>Produksi Harian</t>
        </is>
      </c>
      <c r="F843" t="inlineStr">
        <is>
          <t>05:40:30</t>
        </is>
      </c>
      <c r="G843" t="inlineStr">
        <is>
          <t>14:07:22</t>
        </is>
      </c>
      <c r="H843" t="inlineStr">
        <is>
          <t>SELESAI</t>
        </is>
      </c>
      <c r="I843" t="inlineStr">
        <is>
          <t>MK00218</t>
        </is>
      </c>
      <c r="J843" t="inlineStr"/>
    </row>
    <row r="844">
      <c r="A844" t="inlineStr">
        <is>
          <t>08/06/2026</t>
        </is>
      </c>
      <c r="B844" t="inlineStr">
        <is>
          <t>528000329</t>
        </is>
      </c>
      <c r="C844" t="inlineStr">
        <is>
          <t>Havid Ilham Firdaus</t>
        </is>
      </c>
      <c r="D844" t="inlineStr">
        <is>
          <t>PROD</t>
        </is>
      </c>
      <c r="E844" t="inlineStr">
        <is>
          <t>Produksi Harian</t>
        </is>
      </c>
      <c r="F844" t="inlineStr">
        <is>
          <t>13:46:29</t>
        </is>
      </c>
      <c r="G844" t="inlineStr"/>
      <c r="H844" t="inlineStr">
        <is>
          <t>DI DALAM</t>
        </is>
      </c>
      <c r="I844" t="inlineStr">
        <is>
          <t>MK00143</t>
        </is>
      </c>
      <c r="J844" t="inlineStr"/>
    </row>
    <row r="845">
      <c r="A845" t="inlineStr">
        <is>
          <t>08/06/2026</t>
        </is>
      </c>
      <c r="B845" t="inlineStr">
        <is>
          <t>528000335</t>
        </is>
      </c>
      <c r="C845" t="inlineStr">
        <is>
          <t>Rizal Saepuloh</t>
        </is>
      </c>
      <c r="D845" t="inlineStr">
        <is>
          <t>LOG</t>
        </is>
      </c>
      <c r="E845" t="inlineStr">
        <is>
          <t>WRM Harian</t>
        </is>
      </c>
      <c r="F845" t="inlineStr">
        <is>
          <t>15:53:24</t>
        </is>
      </c>
      <c r="G845" t="inlineStr"/>
      <c r="H845" t="inlineStr">
        <is>
          <t>DI DALAM</t>
        </is>
      </c>
      <c r="I845" t="inlineStr">
        <is>
          <t>MK00204</t>
        </is>
      </c>
      <c r="J845" t="inlineStr"/>
    </row>
    <row r="846">
      <c r="A846" t="inlineStr">
        <is>
          <t>08/06/2026</t>
        </is>
      </c>
      <c r="B846" t="inlineStr">
        <is>
          <t>528000336</t>
        </is>
      </c>
      <c r="C846" t="inlineStr">
        <is>
          <t>Ali Nurhanafi</t>
        </is>
      </c>
      <c r="D846" t="inlineStr">
        <is>
          <t>PROD</t>
        </is>
      </c>
      <c r="E846" t="inlineStr">
        <is>
          <t>Produksi Harian</t>
        </is>
      </c>
      <c r="F846" t="inlineStr">
        <is>
          <t>13:41:01</t>
        </is>
      </c>
      <c r="G846" t="inlineStr">
        <is>
          <t>22:05:22</t>
        </is>
      </c>
      <c r="H846" t="inlineStr">
        <is>
          <t>SELESAI</t>
        </is>
      </c>
      <c r="I846" t="inlineStr">
        <is>
          <t>MK00184</t>
        </is>
      </c>
      <c r="J846" t="inlineStr"/>
    </row>
    <row r="847">
      <c r="A847" t="inlineStr">
        <is>
          <t>08/06/2026</t>
        </is>
      </c>
      <c r="B847" t="inlineStr">
        <is>
          <t>528000337</t>
        </is>
      </c>
      <c r="C847" t="inlineStr">
        <is>
          <t>Ahmad Zaldi Firdaus</t>
        </is>
      </c>
      <c r="D847" t="inlineStr">
        <is>
          <t>PROD</t>
        </is>
      </c>
      <c r="E847" t="inlineStr">
        <is>
          <t>Produksi Harian</t>
        </is>
      </c>
      <c r="F847" t="inlineStr">
        <is>
          <t>12:59:34</t>
        </is>
      </c>
      <c r="G847" t="inlineStr">
        <is>
          <t>22:07:32</t>
        </is>
      </c>
      <c r="H847" t="inlineStr">
        <is>
          <t>SELESAI</t>
        </is>
      </c>
      <c r="I847" t="inlineStr">
        <is>
          <t>MK00212</t>
        </is>
      </c>
      <c r="J847" t="inlineStr"/>
    </row>
    <row r="848">
      <c r="A848" t="inlineStr">
        <is>
          <t>08/06/2026</t>
        </is>
      </c>
      <c r="B848" t="inlineStr">
        <is>
          <t>528000340</t>
        </is>
      </c>
      <c r="C848" t="inlineStr">
        <is>
          <t>Muhammad Wildan Adithya</t>
        </is>
      </c>
      <c r="D848" t="inlineStr">
        <is>
          <t>PROD</t>
        </is>
      </c>
      <c r="E848" t="inlineStr">
        <is>
          <t>Produksi Harian</t>
        </is>
      </c>
      <c r="F848" t="inlineStr">
        <is>
          <t>06:03:04</t>
        </is>
      </c>
      <c r="G848" t="inlineStr">
        <is>
          <t>06:03:46</t>
        </is>
      </c>
      <c r="H848" t="inlineStr">
        <is>
          <t>SELESAI</t>
        </is>
      </c>
      <c r="I848" t="inlineStr">
        <is>
          <t>MK00082</t>
        </is>
      </c>
      <c r="J848" t="inlineStr"/>
    </row>
    <row r="849">
      <c r="A849" t="inlineStr">
        <is>
          <t>08/06/2026</t>
        </is>
      </c>
      <c r="B849" t="inlineStr">
        <is>
          <t>528000348</t>
        </is>
      </c>
      <c r="C849" t="inlineStr">
        <is>
          <t>Saepuloh Ardiansah</t>
        </is>
      </c>
      <c r="D849" t="inlineStr">
        <is>
          <t>LOG</t>
        </is>
      </c>
      <c r="E849" t="inlineStr">
        <is>
          <t>WRM Harian</t>
        </is>
      </c>
      <c r="F849" t="inlineStr">
        <is>
          <t>08:26:20</t>
        </is>
      </c>
      <c r="G849" t="inlineStr">
        <is>
          <t>00:03:08</t>
        </is>
      </c>
      <c r="H849" t="inlineStr">
        <is>
          <t>SELESAI</t>
        </is>
      </c>
      <c r="I849" t="inlineStr">
        <is>
          <t>MK00205</t>
        </is>
      </c>
      <c r="J849" t="inlineStr"/>
    </row>
    <row r="850">
      <c r="A850" t="inlineStr">
        <is>
          <t>08/06/2026</t>
        </is>
      </c>
      <c r="B850" t="inlineStr">
        <is>
          <t>528000349</t>
        </is>
      </c>
      <c r="C850" t="inlineStr">
        <is>
          <t>Anas Abdul Fatah</t>
        </is>
      </c>
      <c r="D850" t="inlineStr">
        <is>
          <t>LOG</t>
        </is>
      </c>
      <c r="E850" t="inlineStr">
        <is>
          <t>WFG Harian</t>
        </is>
      </c>
      <c r="F850" t="inlineStr">
        <is>
          <t>09:44:26</t>
        </is>
      </c>
      <c r="G850" t="inlineStr">
        <is>
          <t>18:13:46</t>
        </is>
      </c>
      <c r="H850" t="inlineStr">
        <is>
          <t>SELESAI</t>
        </is>
      </c>
      <c r="I850" t="inlineStr">
        <is>
          <t>MK00108</t>
        </is>
      </c>
      <c r="J850" t="inlineStr"/>
    </row>
    <row r="851">
      <c r="A851" t="inlineStr">
        <is>
          <t>08/06/2026</t>
        </is>
      </c>
      <c r="B851" t="inlineStr">
        <is>
          <t>528000351</t>
        </is>
      </c>
      <c r="C851" t="inlineStr">
        <is>
          <t>Mulyana</t>
        </is>
      </c>
      <c r="D851" t="inlineStr">
        <is>
          <t>PROD</t>
        </is>
      </c>
      <c r="E851" t="inlineStr">
        <is>
          <t>Produksi Harian</t>
        </is>
      </c>
      <c r="F851" t="inlineStr">
        <is>
          <t>07:50:46</t>
        </is>
      </c>
      <c r="G851" t="inlineStr"/>
      <c r="H851" t="inlineStr">
        <is>
          <t>DI DALAM</t>
        </is>
      </c>
      <c r="I851" t="inlineStr">
        <is>
          <t>MK0050</t>
        </is>
      </c>
      <c r="J851" t="inlineStr"/>
    </row>
    <row r="852">
      <c r="A852" t="inlineStr">
        <is>
          <t>08/06/2026</t>
        </is>
      </c>
      <c r="B852" t="inlineStr">
        <is>
          <t>528000358</t>
        </is>
      </c>
      <c r="C852" t="inlineStr">
        <is>
          <t>Lulu Agustin</t>
        </is>
      </c>
      <c r="D852" t="inlineStr">
        <is>
          <t>PROD</t>
        </is>
      </c>
      <c r="E852" t="inlineStr">
        <is>
          <t>Produksi Harian</t>
        </is>
      </c>
      <c r="F852" t="inlineStr">
        <is>
          <t>13:41:34</t>
        </is>
      </c>
      <c r="G852" t="inlineStr">
        <is>
          <t>22:07:15</t>
        </is>
      </c>
      <c r="H852" t="inlineStr">
        <is>
          <t>SELESAI</t>
        </is>
      </c>
      <c r="I852" t="inlineStr">
        <is>
          <t>MK00136</t>
        </is>
      </c>
      <c r="J852" t="inlineStr"/>
    </row>
    <row r="853">
      <c r="A853" t="inlineStr">
        <is>
          <t>08/06/2026</t>
        </is>
      </c>
      <c r="B853" t="inlineStr">
        <is>
          <t>528000359</t>
        </is>
      </c>
      <c r="C853" t="inlineStr">
        <is>
          <t>M. Iqbal Maulana. S</t>
        </is>
      </c>
      <c r="D853" t="inlineStr">
        <is>
          <t>LOG</t>
        </is>
      </c>
      <c r="E853" t="inlineStr">
        <is>
          <t>WRM Harian</t>
        </is>
      </c>
      <c r="F853" t="inlineStr">
        <is>
          <t>07:43:42</t>
        </is>
      </c>
      <c r="G853" t="inlineStr">
        <is>
          <t>16:35:27</t>
        </is>
      </c>
      <c r="H853" t="inlineStr">
        <is>
          <t>SELESAI</t>
        </is>
      </c>
      <c r="I853" t="inlineStr">
        <is>
          <t>MK00209</t>
        </is>
      </c>
      <c r="J853" t="inlineStr"/>
    </row>
    <row r="854">
      <c r="A854" t="inlineStr">
        <is>
          <t>08/06/2026</t>
        </is>
      </c>
      <c r="B854" t="inlineStr">
        <is>
          <t>528000360</t>
        </is>
      </c>
      <c r="C854" t="inlineStr">
        <is>
          <t>Hendra Permana</t>
        </is>
      </c>
      <c r="D854" t="inlineStr">
        <is>
          <t>ENG</t>
        </is>
      </c>
      <c r="E854" t="inlineStr">
        <is>
          <t>Engineering Harian</t>
        </is>
      </c>
      <c r="F854" t="inlineStr">
        <is>
          <t>13:50:46</t>
        </is>
      </c>
      <c r="G854" t="inlineStr">
        <is>
          <t>22:02:43</t>
        </is>
      </c>
      <c r="H854" t="inlineStr">
        <is>
          <t>SELESAI</t>
        </is>
      </c>
      <c r="I854" t="inlineStr">
        <is>
          <t>MK00008</t>
        </is>
      </c>
      <c r="J854" t="inlineStr"/>
    </row>
    <row r="855">
      <c r="A855" t="inlineStr">
        <is>
          <t>08/06/2026</t>
        </is>
      </c>
      <c r="B855" t="inlineStr">
        <is>
          <t>528000361</t>
        </is>
      </c>
      <c r="C855" t="inlineStr">
        <is>
          <t>Denada Munggarani</t>
        </is>
      </c>
      <c r="D855" t="inlineStr">
        <is>
          <t>PROD</t>
        </is>
      </c>
      <c r="E855" t="inlineStr">
        <is>
          <t>Produksi Harian</t>
        </is>
      </c>
      <c r="F855" t="inlineStr">
        <is>
          <t>05:58:13</t>
        </is>
      </c>
      <c r="G855" t="inlineStr">
        <is>
          <t>14:09:42</t>
        </is>
      </c>
      <c r="H855" t="inlineStr">
        <is>
          <t>SELESAI</t>
        </is>
      </c>
      <c r="I855" t="inlineStr">
        <is>
          <t>MK00093</t>
        </is>
      </c>
      <c r="J855" t="inlineStr"/>
    </row>
    <row r="856">
      <c r="A856" t="inlineStr">
        <is>
          <t>08/06/2026</t>
        </is>
      </c>
      <c r="B856" t="inlineStr">
        <is>
          <t>628000064</t>
        </is>
      </c>
      <c r="C856" t="inlineStr">
        <is>
          <t>Silva Alypia</t>
        </is>
      </c>
      <c r="D856" t="inlineStr">
        <is>
          <t>PROD</t>
        </is>
      </c>
      <c r="E856" t="inlineStr">
        <is>
          <t>Produksi Borongan</t>
        </is>
      </c>
      <c r="F856" t="inlineStr">
        <is>
          <t>05:50:33</t>
        </is>
      </c>
      <c r="G856" t="inlineStr">
        <is>
          <t>22:05:56</t>
        </is>
      </c>
      <c r="H856" t="inlineStr">
        <is>
          <t>SELESAI</t>
        </is>
      </c>
      <c r="I856" t="inlineStr">
        <is>
          <t>MK00113</t>
        </is>
      </c>
      <c r="J856" t="inlineStr"/>
    </row>
    <row r="857">
      <c r="A857" t="inlineStr">
        <is>
          <t>08/06/2026</t>
        </is>
      </c>
      <c r="B857" t="inlineStr">
        <is>
          <t>628000091</t>
        </is>
      </c>
      <c r="C857" t="inlineStr">
        <is>
          <t>Devita Handayani</t>
        </is>
      </c>
      <c r="D857" t="inlineStr">
        <is>
          <t>PROD</t>
        </is>
      </c>
      <c r="E857" t="inlineStr">
        <is>
          <t>Produksi Borongan</t>
        </is>
      </c>
      <c r="F857" t="inlineStr">
        <is>
          <t>05:48:53</t>
        </is>
      </c>
      <c r="G857" t="inlineStr">
        <is>
          <t>14:05:21</t>
        </is>
      </c>
      <c r="H857" t="inlineStr">
        <is>
          <t>SELESAI</t>
        </is>
      </c>
      <c r="I857" t="inlineStr">
        <is>
          <t>MK00249</t>
        </is>
      </c>
      <c r="J857" t="inlineStr"/>
    </row>
    <row r="858">
      <c r="A858" t="inlineStr">
        <is>
          <t>09/06/2026</t>
        </is>
      </c>
      <c r="B858" t="inlineStr">
        <is>
          <t>528000015</t>
        </is>
      </c>
      <c r="C858" t="inlineStr">
        <is>
          <t>Erwin</t>
        </is>
      </c>
      <c r="D858" t="inlineStr">
        <is>
          <t>LOG</t>
        </is>
      </c>
      <c r="E858" t="inlineStr">
        <is>
          <t>WRM Harian</t>
        </is>
      </c>
      <c r="F858" t="inlineStr">
        <is>
          <t>15:47:18</t>
        </is>
      </c>
      <c r="G858" t="inlineStr">
        <is>
          <t>00:02:37</t>
        </is>
      </c>
      <c r="H858" t="inlineStr">
        <is>
          <t>SELESAI</t>
        </is>
      </c>
      <c r="I858" t="inlineStr">
        <is>
          <t>MK00216</t>
        </is>
      </c>
      <c r="J858" t="inlineStr"/>
    </row>
    <row r="859">
      <c r="A859" t="inlineStr">
        <is>
          <t>09/06/2026</t>
        </is>
      </c>
      <c r="B859" t="inlineStr">
        <is>
          <t>528000052</t>
        </is>
      </c>
      <c r="C859" t="inlineStr">
        <is>
          <t>Mustopa</t>
        </is>
      </c>
      <c r="D859" t="inlineStr">
        <is>
          <t>PROD</t>
        </is>
      </c>
      <c r="E859" t="inlineStr">
        <is>
          <t>Produksi Harian</t>
        </is>
      </c>
      <c r="F859" t="inlineStr">
        <is>
          <t>21:03:02</t>
        </is>
      </c>
      <c r="G859" t="inlineStr">
        <is>
          <t>06:03:44</t>
        </is>
      </c>
      <c r="H859" t="inlineStr">
        <is>
          <t>SELESAI</t>
        </is>
      </c>
      <c r="I859" t="inlineStr">
        <is>
          <t>MK00126</t>
        </is>
      </c>
      <c r="J859" t="inlineStr"/>
    </row>
    <row r="860">
      <c r="A860" t="inlineStr">
        <is>
          <t>09/06/2026</t>
        </is>
      </c>
      <c r="B860" t="inlineStr">
        <is>
          <t>528000063</t>
        </is>
      </c>
      <c r="C860" t="inlineStr">
        <is>
          <t>Muhamad Ripki Pebrian</t>
        </is>
      </c>
      <c r="D860" t="inlineStr">
        <is>
          <t>PROD</t>
        </is>
      </c>
      <c r="E860" t="inlineStr">
        <is>
          <t>Produksi Harian</t>
        </is>
      </c>
      <c r="F860" t="inlineStr">
        <is>
          <t>14:15:45</t>
        </is>
      </c>
      <c r="G860" t="inlineStr">
        <is>
          <t>22:06:14</t>
        </is>
      </c>
      <c r="H860" t="inlineStr">
        <is>
          <t>SELESAI</t>
        </is>
      </c>
      <c r="I860" t="inlineStr">
        <is>
          <t>MK00160</t>
        </is>
      </c>
      <c r="J860" t="inlineStr"/>
    </row>
    <row r="861">
      <c r="A861" t="inlineStr">
        <is>
          <t>09/06/2026</t>
        </is>
      </c>
      <c r="B861" t="inlineStr">
        <is>
          <t>528000132</t>
        </is>
      </c>
      <c r="C861" t="inlineStr">
        <is>
          <t>Giopani</t>
        </is>
      </c>
      <c r="D861" t="inlineStr">
        <is>
          <t>LOG</t>
        </is>
      </c>
      <c r="E861" t="inlineStr">
        <is>
          <t>WRM Harian</t>
        </is>
      </c>
      <c r="F861" t="inlineStr">
        <is>
          <t>08:58:39</t>
        </is>
      </c>
      <c r="G861" t="inlineStr">
        <is>
          <t>17:03:37</t>
        </is>
      </c>
      <c r="H861" t="inlineStr">
        <is>
          <t>SELESAI</t>
        </is>
      </c>
      <c r="I861" t="inlineStr">
        <is>
          <t>MM00204</t>
        </is>
      </c>
      <c r="J861" t="inlineStr"/>
    </row>
    <row r="862">
      <c r="A862" t="inlineStr">
        <is>
          <t>09/06/2026</t>
        </is>
      </c>
      <c r="B862" t="inlineStr">
        <is>
          <t>528000144</t>
        </is>
      </c>
      <c r="C862" t="inlineStr">
        <is>
          <t>Jodi Hanafi</t>
        </is>
      </c>
      <c r="D862" t="inlineStr">
        <is>
          <t>LOG</t>
        </is>
      </c>
      <c r="E862" t="inlineStr">
        <is>
          <t>WRM Harian</t>
        </is>
      </c>
      <c r="F862" t="inlineStr">
        <is>
          <t>16:04:48</t>
        </is>
      </c>
      <c r="G862" t="inlineStr"/>
      <c r="H862" t="inlineStr">
        <is>
          <t>DI DALAM</t>
        </is>
      </c>
      <c r="I862" t="inlineStr">
        <is>
          <t>MK00221</t>
        </is>
      </c>
      <c r="J862" t="inlineStr"/>
    </row>
    <row r="863">
      <c r="A863" t="inlineStr">
        <is>
          <t>09/06/2026</t>
        </is>
      </c>
      <c r="B863" t="inlineStr">
        <is>
          <t>528000149</t>
        </is>
      </c>
      <c r="C863" t="inlineStr">
        <is>
          <t>Tio Fernanda</t>
        </is>
      </c>
      <c r="D863" t="inlineStr">
        <is>
          <t>LOG</t>
        </is>
      </c>
      <c r="E863" t="inlineStr">
        <is>
          <t>WRM Harian</t>
        </is>
      </c>
      <c r="F863" t="inlineStr">
        <is>
          <t>08:53:43</t>
        </is>
      </c>
      <c r="G863" t="inlineStr">
        <is>
          <t>17:02:49</t>
        </is>
      </c>
      <c r="H863" t="inlineStr">
        <is>
          <t>SELESAI</t>
        </is>
      </c>
      <c r="I863" t="inlineStr">
        <is>
          <t>MK0130</t>
        </is>
      </c>
      <c r="J863" t="inlineStr"/>
    </row>
    <row r="864">
      <c r="A864" t="inlineStr">
        <is>
          <t>09/06/2026</t>
        </is>
      </c>
      <c r="B864" t="inlineStr">
        <is>
          <t>528000195</t>
        </is>
      </c>
      <c r="C864" t="inlineStr">
        <is>
          <t>Rahma Sariwati</t>
        </is>
      </c>
      <c r="D864" t="inlineStr">
        <is>
          <t>PROD</t>
        </is>
      </c>
      <c r="E864" t="inlineStr">
        <is>
          <t>Produksi Harian</t>
        </is>
      </c>
      <c r="F864" t="inlineStr">
        <is>
          <t>21:42:29</t>
        </is>
      </c>
      <c r="G864" t="inlineStr">
        <is>
          <t>06:06:55</t>
        </is>
      </c>
      <c r="H864" t="inlineStr">
        <is>
          <t>SELESAI</t>
        </is>
      </c>
      <c r="I864" t="inlineStr">
        <is>
          <t>MK00148</t>
        </is>
      </c>
      <c r="J864" t="inlineStr"/>
    </row>
    <row r="865">
      <c r="A865" t="inlineStr">
        <is>
          <t>09/06/2026</t>
        </is>
      </c>
      <c r="B865" t="inlineStr">
        <is>
          <t>528000212</t>
        </is>
      </c>
      <c r="C865" t="inlineStr">
        <is>
          <t>Rizal Fauzi</t>
        </is>
      </c>
      <c r="D865" t="inlineStr">
        <is>
          <t>PROD</t>
        </is>
      </c>
      <c r="E865" t="inlineStr">
        <is>
          <t>Produksi Harian</t>
        </is>
      </c>
      <c r="F865" t="inlineStr"/>
      <c r="G865" t="inlineStr">
        <is>
          <t>14:25:45</t>
        </is>
      </c>
      <c r="H865" t="inlineStr">
        <is>
          <t>KELUAR TANPA MASUK</t>
        </is>
      </c>
      <c r="I865" t="inlineStr">
        <is>
          <t>MK00202</t>
        </is>
      </c>
      <c r="J865" t="inlineStr"/>
    </row>
    <row r="866">
      <c r="A866" t="inlineStr">
        <is>
          <t>09/06/2026</t>
        </is>
      </c>
      <c r="B866" t="inlineStr">
        <is>
          <t>528000232</t>
        </is>
      </c>
      <c r="C866" t="inlineStr">
        <is>
          <t>Agung Aji Suhada</t>
        </is>
      </c>
      <c r="D866" t="inlineStr">
        <is>
          <t>LOG</t>
        </is>
      </c>
      <c r="E866" t="inlineStr">
        <is>
          <t>WRM Harian</t>
        </is>
      </c>
      <c r="F866" t="inlineStr">
        <is>
          <t>09:00:38</t>
        </is>
      </c>
      <c r="G866" t="inlineStr">
        <is>
          <t>17:03:02</t>
        </is>
      </c>
      <c r="H866" t="inlineStr">
        <is>
          <t>SELESAI</t>
        </is>
      </c>
      <c r="I866" t="inlineStr">
        <is>
          <t>MK00204</t>
        </is>
      </c>
      <c r="J866" t="inlineStr"/>
    </row>
    <row r="867">
      <c r="A867" t="inlineStr">
        <is>
          <t>09/06/2026</t>
        </is>
      </c>
      <c r="B867" t="inlineStr">
        <is>
          <t>528000248</t>
        </is>
      </c>
      <c r="C867" t="inlineStr">
        <is>
          <t>Roka Jaya Salka Mulya</t>
        </is>
      </c>
      <c r="D867" t="inlineStr">
        <is>
          <t>PROD</t>
        </is>
      </c>
      <c r="E867" t="inlineStr">
        <is>
          <t>Produksi Harian</t>
        </is>
      </c>
      <c r="F867" t="inlineStr">
        <is>
          <t>13:58:44</t>
        </is>
      </c>
      <c r="G867" t="inlineStr">
        <is>
          <t>22:03:19</t>
        </is>
      </c>
      <c r="H867" t="inlineStr">
        <is>
          <t>SELESAI</t>
        </is>
      </c>
      <c r="I867" t="inlineStr">
        <is>
          <t>MK00055</t>
        </is>
      </c>
      <c r="J867" t="inlineStr"/>
    </row>
    <row r="868">
      <c r="A868" t="inlineStr">
        <is>
          <t>09/06/2026</t>
        </is>
      </c>
      <c r="B868" t="inlineStr">
        <is>
          <t>528000261</t>
        </is>
      </c>
      <c r="C868" t="inlineStr">
        <is>
          <t>Ergi Ergianto</t>
        </is>
      </c>
      <c r="D868" t="inlineStr">
        <is>
          <t>HRGA</t>
        </is>
      </c>
      <c r="E868" t="inlineStr">
        <is>
          <t>GA Harian</t>
        </is>
      </c>
      <c r="F868" t="inlineStr">
        <is>
          <t>21:46:34</t>
        </is>
      </c>
      <c r="G868" t="inlineStr">
        <is>
          <t>06:03:41</t>
        </is>
      </c>
      <c r="H868" t="inlineStr">
        <is>
          <t>SELESAI</t>
        </is>
      </c>
      <c r="I868" t="inlineStr">
        <is>
          <t>MK00202</t>
        </is>
      </c>
      <c r="J868" t="inlineStr"/>
    </row>
    <row r="869">
      <c r="A869" t="inlineStr">
        <is>
          <t>09/06/2026</t>
        </is>
      </c>
      <c r="B869" t="inlineStr">
        <is>
          <t>528000262</t>
        </is>
      </c>
      <c r="C869" t="inlineStr">
        <is>
          <t>Ndari Dwiwanti</t>
        </is>
      </c>
      <c r="D869" t="inlineStr">
        <is>
          <t>PROD</t>
        </is>
      </c>
      <c r="E869" t="inlineStr">
        <is>
          <t>Produksi Harian</t>
        </is>
      </c>
      <c r="F869" t="inlineStr">
        <is>
          <t>21:41:45</t>
        </is>
      </c>
      <c r="G869" t="inlineStr">
        <is>
          <t>06:04:49</t>
        </is>
      </c>
      <c r="H869" t="inlineStr">
        <is>
          <t>SELESAI</t>
        </is>
      </c>
      <c r="I869" t="inlineStr">
        <is>
          <t>MK00008</t>
        </is>
      </c>
      <c r="J869" t="inlineStr"/>
    </row>
    <row r="870">
      <c r="A870" t="inlineStr">
        <is>
          <t>09/06/2026</t>
        </is>
      </c>
      <c r="B870" t="inlineStr">
        <is>
          <t>528000265</t>
        </is>
      </c>
      <c r="C870" t="inlineStr">
        <is>
          <t>Muhammad Haerul Rozikin</t>
        </is>
      </c>
      <c r="D870" t="inlineStr">
        <is>
          <t>LOG</t>
        </is>
      </c>
      <c r="E870" t="inlineStr">
        <is>
          <t>WRM Harian</t>
        </is>
      </c>
      <c r="F870" t="inlineStr">
        <is>
          <t>07:41:04</t>
        </is>
      </c>
      <c r="G870" t="inlineStr">
        <is>
          <t>16:02:27</t>
        </is>
      </c>
      <c r="H870" t="inlineStr">
        <is>
          <t>SELESAI</t>
        </is>
      </c>
      <c r="I870" t="inlineStr">
        <is>
          <t>MK00249</t>
        </is>
      </c>
      <c r="J870" t="inlineStr"/>
    </row>
    <row r="871">
      <c r="A871" t="inlineStr">
        <is>
          <t>09/06/2026</t>
        </is>
      </c>
      <c r="B871" t="inlineStr">
        <is>
          <t>528000266</t>
        </is>
      </c>
      <c r="C871" t="inlineStr">
        <is>
          <t>M. Syirajatieq</t>
        </is>
      </c>
      <c r="D871" t="inlineStr">
        <is>
          <t>LOG</t>
        </is>
      </c>
      <c r="E871" t="inlineStr">
        <is>
          <t>WFG Harian</t>
        </is>
      </c>
      <c r="F871" t="inlineStr">
        <is>
          <t>21:38:39</t>
        </is>
      </c>
      <c r="G871" t="inlineStr">
        <is>
          <t>06:53:48</t>
        </is>
      </c>
      <c r="H871" t="inlineStr">
        <is>
          <t>SELESAI</t>
        </is>
      </c>
      <c r="I871" t="inlineStr">
        <is>
          <t>MK00204</t>
        </is>
      </c>
      <c r="J871" t="inlineStr"/>
    </row>
    <row r="872">
      <c r="A872" t="inlineStr">
        <is>
          <t>09/06/2026</t>
        </is>
      </c>
      <c r="B872" t="inlineStr">
        <is>
          <t>528000270</t>
        </is>
      </c>
      <c r="C872" t="inlineStr">
        <is>
          <t>Febri Najmudin</t>
        </is>
      </c>
      <c r="D872" t="inlineStr">
        <is>
          <t>LOG</t>
        </is>
      </c>
      <c r="E872" t="inlineStr">
        <is>
          <t>WRM Harian</t>
        </is>
      </c>
      <c r="F872" t="inlineStr">
        <is>
          <t>05:52:50</t>
        </is>
      </c>
      <c r="G872" t="inlineStr">
        <is>
          <t>14:24:51</t>
        </is>
      </c>
      <c r="H872" t="inlineStr">
        <is>
          <t>SELESAI</t>
        </is>
      </c>
      <c r="I872" t="inlineStr">
        <is>
          <t>MK00148</t>
        </is>
      </c>
      <c r="J872" t="inlineStr"/>
    </row>
    <row r="873">
      <c r="A873" t="inlineStr">
        <is>
          <t>09/06/2026</t>
        </is>
      </c>
      <c r="B873" t="inlineStr">
        <is>
          <t>528000279</t>
        </is>
      </c>
      <c r="C873" t="inlineStr">
        <is>
          <t>Mahdalena Dalfa Riani</t>
        </is>
      </c>
      <c r="D873" t="inlineStr">
        <is>
          <t>PROD</t>
        </is>
      </c>
      <c r="E873" t="inlineStr">
        <is>
          <t>Produksi Harian</t>
        </is>
      </c>
      <c r="F873" t="inlineStr">
        <is>
          <t>13:58:16</t>
        </is>
      </c>
      <c r="G873" t="inlineStr">
        <is>
          <t>22:05:34</t>
        </is>
      </c>
      <c r="H873" t="inlineStr">
        <is>
          <t>SELESAI</t>
        </is>
      </c>
      <c r="I873" t="inlineStr">
        <is>
          <t>MK00136</t>
        </is>
      </c>
      <c r="J873" t="inlineStr"/>
    </row>
    <row r="874">
      <c r="A874" t="inlineStr">
        <is>
          <t>09/06/2026</t>
        </is>
      </c>
      <c r="B874" t="inlineStr">
        <is>
          <t>528000282</t>
        </is>
      </c>
      <c r="C874" t="inlineStr">
        <is>
          <t>Defa Desfiana</t>
        </is>
      </c>
      <c r="D874" t="inlineStr">
        <is>
          <t>PROD</t>
        </is>
      </c>
      <c r="E874" t="inlineStr">
        <is>
          <t>Produksi Harian</t>
        </is>
      </c>
      <c r="F874" t="inlineStr">
        <is>
          <t>07:39:25</t>
        </is>
      </c>
      <c r="G874" t="inlineStr">
        <is>
          <t>16:02:55</t>
        </is>
      </c>
      <c r="H874" t="inlineStr">
        <is>
          <t>SELESAI</t>
        </is>
      </c>
      <c r="I874" t="inlineStr">
        <is>
          <t>MK00213</t>
        </is>
      </c>
      <c r="J874" t="inlineStr">
        <is>
          <t>23c</t>
        </is>
      </c>
    </row>
    <row r="875">
      <c r="A875" t="inlineStr">
        <is>
          <t>09/06/2026</t>
        </is>
      </c>
      <c r="B875" t="inlineStr">
        <is>
          <t>528000283</t>
        </is>
      </c>
      <c r="C875" t="inlineStr">
        <is>
          <t>Purwanda Sugiri</t>
        </is>
      </c>
      <c r="D875" t="inlineStr">
        <is>
          <t>LOG</t>
        </is>
      </c>
      <c r="E875" t="inlineStr">
        <is>
          <t>WRM Harian</t>
        </is>
      </c>
      <c r="F875" t="inlineStr">
        <is>
          <t>21:50:29</t>
        </is>
      </c>
      <c r="G875" t="inlineStr">
        <is>
          <t>06:05:10</t>
        </is>
      </c>
      <c r="H875" t="inlineStr">
        <is>
          <t>SELESAI</t>
        </is>
      </c>
      <c r="I875" t="inlineStr">
        <is>
          <t>MK00145</t>
        </is>
      </c>
      <c r="J875" t="inlineStr"/>
    </row>
    <row r="876">
      <c r="A876" t="inlineStr">
        <is>
          <t>09/06/2026</t>
        </is>
      </c>
      <c r="B876" t="inlineStr">
        <is>
          <t>528000288</t>
        </is>
      </c>
      <c r="C876" t="inlineStr">
        <is>
          <t>Dede gunawan</t>
        </is>
      </c>
      <c r="D876" t="inlineStr">
        <is>
          <t>PROD</t>
        </is>
      </c>
      <c r="E876" t="inlineStr">
        <is>
          <t>Produksi Harian</t>
        </is>
      </c>
      <c r="F876" t="inlineStr">
        <is>
          <t>13:54:56</t>
        </is>
      </c>
      <c r="G876" t="inlineStr">
        <is>
          <t>13:54:22</t>
        </is>
      </c>
      <c r="H876" t="inlineStr">
        <is>
          <t>SELESAI</t>
        </is>
      </c>
      <c r="I876" t="inlineStr">
        <is>
          <t>MK00095</t>
        </is>
      </c>
      <c r="J876" t="inlineStr"/>
    </row>
    <row r="877">
      <c r="A877" t="inlineStr">
        <is>
          <t>09/06/2026</t>
        </is>
      </c>
      <c r="B877" t="inlineStr">
        <is>
          <t>528000291</t>
        </is>
      </c>
      <c r="C877" t="inlineStr">
        <is>
          <t>Andrian</t>
        </is>
      </c>
      <c r="D877" t="inlineStr">
        <is>
          <t>PROD</t>
        </is>
      </c>
      <c r="E877" t="inlineStr">
        <is>
          <t>Produksi Harian</t>
        </is>
      </c>
      <c r="F877" t="inlineStr">
        <is>
          <t>21:51:28</t>
        </is>
      </c>
      <c r="G877" t="inlineStr">
        <is>
          <t>06:03:51</t>
        </is>
      </c>
      <c r="H877" t="inlineStr">
        <is>
          <t>SELESAI</t>
        </is>
      </c>
      <c r="I877" t="inlineStr">
        <is>
          <t>MK00134</t>
        </is>
      </c>
      <c r="J877" t="inlineStr"/>
    </row>
    <row r="878">
      <c r="A878" t="inlineStr">
        <is>
          <t>09/06/2026</t>
        </is>
      </c>
      <c r="B878" t="inlineStr">
        <is>
          <t>528000297</t>
        </is>
      </c>
      <c r="C878" t="inlineStr">
        <is>
          <t>Muhamad Budiana</t>
        </is>
      </c>
      <c r="D878" t="inlineStr">
        <is>
          <t>PROD</t>
        </is>
      </c>
      <c r="E878" t="inlineStr">
        <is>
          <t>Produksi Harian</t>
        </is>
      </c>
      <c r="F878" t="inlineStr">
        <is>
          <t>14:30:05</t>
        </is>
      </c>
      <c r="G878" t="inlineStr">
        <is>
          <t>22:54:44</t>
        </is>
      </c>
      <c r="H878" t="inlineStr">
        <is>
          <t>SELESAI</t>
        </is>
      </c>
      <c r="I878" t="inlineStr">
        <is>
          <t>ML00148</t>
        </is>
      </c>
      <c r="J878" t="inlineStr"/>
    </row>
    <row r="879">
      <c r="A879" t="inlineStr">
        <is>
          <t>09/06/2026</t>
        </is>
      </c>
      <c r="B879" t="inlineStr">
        <is>
          <t>528000298</t>
        </is>
      </c>
      <c r="C879" t="inlineStr">
        <is>
          <t>Desta Cahaya Pratama</t>
        </is>
      </c>
      <c r="D879" t="inlineStr">
        <is>
          <t>PROD</t>
        </is>
      </c>
      <c r="E879" t="inlineStr">
        <is>
          <t>Produksi Harian</t>
        </is>
      </c>
      <c r="F879" t="inlineStr">
        <is>
          <t>05:42:55</t>
        </is>
      </c>
      <c r="G879" t="inlineStr"/>
      <c r="H879" t="inlineStr">
        <is>
          <t>DI DALAM</t>
        </is>
      </c>
      <c r="I879" t="inlineStr">
        <is>
          <t>MK00093</t>
        </is>
      </c>
      <c r="J879" t="inlineStr"/>
    </row>
    <row r="880">
      <c r="A880" t="inlineStr">
        <is>
          <t>09/06/2026</t>
        </is>
      </c>
      <c r="B880" t="inlineStr">
        <is>
          <t>528000299</t>
        </is>
      </c>
      <c r="C880" t="inlineStr">
        <is>
          <t>Siti Nurjanah</t>
        </is>
      </c>
      <c r="D880" t="inlineStr">
        <is>
          <t>PROD</t>
        </is>
      </c>
      <c r="E880" t="inlineStr">
        <is>
          <t>Produksi Harian</t>
        </is>
      </c>
      <c r="F880" t="inlineStr">
        <is>
          <t>05:43:37</t>
        </is>
      </c>
      <c r="G880" t="inlineStr">
        <is>
          <t>14:00:49</t>
        </is>
      </c>
      <c r="H880" t="inlineStr">
        <is>
          <t>SELESAI</t>
        </is>
      </c>
      <c r="I880" t="inlineStr">
        <is>
          <t>MK00181</t>
        </is>
      </c>
      <c r="J880" t="inlineStr"/>
    </row>
    <row r="881">
      <c r="A881" t="inlineStr">
        <is>
          <t>09/06/2026</t>
        </is>
      </c>
      <c r="B881" t="inlineStr">
        <is>
          <t>528000300</t>
        </is>
      </c>
      <c r="C881" t="inlineStr">
        <is>
          <t>Lia pitaloka</t>
        </is>
      </c>
      <c r="D881" t="inlineStr">
        <is>
          <t>PROD</t>
        </is>
      </c>
      <c r="E881" t="inlineStr">
        <is>
          <t>Produksi Harian</t>
        </is>
      </c>
      <c r="F881" t="inlineStr">
        <is>
          <t>13:53:44</t>
        </is>
      </c>
      <c r="G881" t="inlineStr">
        <is>
          <t>22:06:40</t>
        </is>
      </c>
      <c r="H881" t="inlineStr">
        <is>
          <t>SELESAI</t>
        </is>
      </c>
      <c r="I881" t="inlineStr">
        <is>
          <t>MK00109</t>
        </is>
      </c>
      <c r="J881" t="inlineStr"/>
    </row>
    <row r="882">
      <c r="A882" t="inlineStr">
        <is>
          <t>09/06/2026</t>
        </is>
      </c>
      <c r="B882" t="inlineStr">
        <is>
          <t>528000302</t>
        </is>
      </c>
      <c r="C882" t="inlineStr">
        <is>
          <t>Henkey gumilar</t>
        </is>
      </c>
      <c r="D882" t="inlineStr">
        <is>
          <t>PROD</t>
        </is>
      </c>
      <c r="E882" t="inlineStr">
        <is>
          <t>Produksi Harian</t>
        </is>
      </c>
      <c r="F882" t="inlineStr">
        <is>
          <t>05:59:00</t>
        </is>
      </c>
      <c r="G882" t="inlineStr"/>
      <c r="H882" t="inlineStr">
        <is>
          <t>DI DALAM</t>
        </is>
      </c>
      <c r="I882" t="inlineStr">
        <is>
          <t>MK00208</t>
        </is>
      </c>
      <c r="J882" t="inlineStr"/>
    </row>
    <row r="883">
      <c r="A883" t="inlineStr">
        <is>
          <t>09/06/2026</t>
        </is>
      </c>
      <c r="B883" t="inlineStr">
        <is>
          <t>528000305</t>
        </is>
      </c>
      <c r="C883" t="inlineStr">
        <is>
          <t>Puji Puspita</t>
        </is>
      </c>
      <c r="D883" t="inlineStr">
        <is>
          <t>PROD</t>
        </is>
      </c>
      <c r="E883" t="inlineStr">
        <is>
          <t>Produksi Harian</t>
        </is>
      </c>
      <c r="F883" t="inlineStr">
        <is>
          <t>05:35:17</t>
        </is>
      </c>
      <c r="G883" t="inlineStr">
        <is>
          <t>14:00:58</t>
        </is>
      </c>
      <c r="H883" t="inlineStr">
        <is>
          <t>SELESAI</t>
        </is>
      </c>
      <c r="I883" t="inlineStr">
        <is>
          <t>MK00150</t>
        </is>
      </c>
      <c r="J883" t="inlineStr"/>
    </row>
    <row r="884">
      <c r="A884" t="inlineStr">
        <is>
          <t>09/06/2026</t>
        </is>
      </c>
      <c r="B884" t="inlineStr">
        <is>
          <t>528000306</t>
        </is>
      </c>
      <c r="C884" t="inlineStr">
        <is>
          <t>Windy Olivia</t>
        </is>
      </c>
      <c r="D884" t="inlineStr">
        <is>
          <t>PROD</t>
        </is>
      </c>
      <c r="E884" t="inlineStr">
        <is>
          <t>Produksi Harian</t>
        </is>
      </c>
      <c r="F884" t="inlineStr">
        <is>
          <t>21:40:42</t>
        </is>
      </c>
      <c r="G884" t="inlineStr">
        <is>
          <t>06:04:18</t>
        </is>
      </c>
      <c r="H884" t="inlineStr">
        <is>
          <t>SELESAI</t>
        </is>
      </c>
      <c r="I884" t="inlineStr">
        <is>
          <t>MK00203</t>
        </is>
      </c>
      <c r="J884" t="inlineStr"/>
    </row>
    <row r="885">
      <c r="A885" t="inlineStr">
        <is>
          <t>09/06/2026</t>
        </is>
      </c>
      <c r="B885" t="inlineStr">
        <is>
          <t>528000309</t>
        </is>
      </c>
      <c r="C885" t="inlineStr">
        <is>
          <t>Ilham Ramadhan</t>
        </is>
      </c>
      <c r="D885" t="inlineStr">
        <is>
          <t>LOG</t>
        </is>
      </c>
      <c r="E885" t="inlineStr">
        <is>
          <t>WRM Harian</t>
        </is>
      </c>
      <c r="F885" t="inlineStr">
        <is>
          <t>05:56:04</t>
        </is>
      </c>
      <c r="G885" t="inlineStr">
        <is>
          <t>14:06:15</t>
        </is>
      </c>
      <c r="H885" t="inlineStr">
        <is>
          <t>SELESAI</t>
        </is>
      </c>
      <c r="I885" t="inlineStr">
        <is>
          <t>MK00160</t>
        </is>
      </c>
      <c r="J885" t="inlineStr"/>
    </row>
    <row r="886">
      <c r="A886" t="inlineStr">
        <is>
          <t>09/06/2026</t>
        </is>
      </c>
      <c r="B886" t="inlineStr">
        <is>
          <t>528000310</t>
        </is>
      </c>
      <c r="C886" t="inlineStr">
        <is>
          <t>Fachrul Rozzi Suryana</t>
        </is>
      </c>
      <c r="D886" t="inlineStr">
        <is>
          <t>LOG</t>
        </is>
      </c>
      <c r="E886" t="inlineStr">
        <is>
          <t>WRM Harian</t>
        </is>
      </c>
      <c r="F886" t="inlineStr">
        <is>
          <t>07:59:09</t>
        </is>
      </c>
      <c r="G886" t="inlineStr">
        <is>
          <t>16:02:50</t>
        </is>
      </c>
      <c r="H886" t="inlineStr">
        <is>
          <t>SELESAI</t>
        </is>
      </c>
      <c r="I886" t="inlineStr">
        <is>
          <t>MK00250</t>
        </is>
      </c>
      <c r="J886" t="inlineStr"/>
    </row>
    <row r="887">
      <c r="A887" t="inlineStr">
        <is>
          <t>09/06/2026</t>
        </is>
      </c>
      <c r="B887" t="inlineStr">
        <is>
          <t>528000313</t>
        </is>
      </c>
      <c r="C887" t="inlineStr">
        <is>
          <t>Muhamad Rifki</t>
        </is>
      </c>
      <c r="D887" t="inlineStr">
        <is>
          <t>PROD</t>
        </is>
      </c>
      <c r="E887" t="inlineStr">
        <is>
          <t>Produksi Harian</t>
        </is>
      </c>
      <c r="F887" t="inlineStr">
        <is>
          <t>05:39:28</t>
        </is>
      </c>
      <c r="G887" t="inlineStr">
        <is>
          <t>14:07:55</t>
        </is>
      </c>
      <c r="H887" t="inlineStr">
        <is>
          <t>SELESAI</t>
        </is>
      </c>
      <c r="I887" t="inlineStr">
        <is>
          <t>MK00134</t>
        </is>
      </c>
      <c r="J887" t="inlineStr"/>
    </row>
    <row r="888">
      <c r="A888" t="inlineStr">
        <is>
          <t>09/06/2026</t>
        </is>
      </c>
      <c r="B888" t="inlineStr">
        <is>
          <t>528000314</t>
        </is>
      </c>
      <c r="C888" t="inlineStr">
        <is>
          <t>Rusmana</t>
        </is>
      </c>
      <c r="D888" t="inlineStr">
        <is>
          <t>PROD</t>
        </is>
      </c>
      <c r="E888" t="inlineStr">
        <is>
          <t>Produksi Harian</t>
        </is>
      </c>
      <c r="F888" t="inlineStr">
        <is>
          <t>15:51:19</t>
        </is>
      </c>
      <c r="G888" t="inlineStr">
        <is>
          <t>00:04:43</t>
        </is>
      </c>
      <c r="H888" t="inlineStr">
        <is>
          <t>SELESAI</t>
        </is>
      </c>
      <c r="I888" t="inlineStr">
        <is>
          <t>MK00125</t>
        </is>
      </c>
      <c r="J888" t="inlineStr"/>
    </row>
    <row r="889">
      <c r="A889" t="inlineStr">
        <is>
          <t>09/06/2026</t>
        </is>
      </c>
      <c r="B889" t="inlineStr">
        <is>
          <t>528000318</t>
        </is>
      </c>
      <c r="C889" t="inlineStr">
        <is>
          <t>Bayu Padli Sepriyana</t>
        </is>
      </c>
      <c r="D889" t="inlineStr">
        <is>
          <t>LOG</t>
        </is>
      </c>
      <c r="E889" t="inlineStr">
        <is>
          <t>WRM Harian</t>
        </is>
      </c>
      <c r="F889" t="inlineStr">
        <is>
          <t>05:52:26</t>
        </is>
      </c>
      <c r="G889" t="inlineStr">
        <is>
          <t>14:02:30</t>
        </is>
      </c>
      <c r="H889" t="inlineStr">
        <is>
          <t>SELESAI</t>
        </is>
      </c>
      <c r="I889" t="inlineStr">
        <is>
          <t>MK00235</t>
        </is>
      </c>
      <c r="J889" t="inlineStr"/>
    </row>
    <row r="890">
      <c r="A890" t="inlineStr">
        <is>
          <t>09/06/2026</t>
        </is>
      </c>
      <c r="B890" t="inlineStr">
        <is>
          <t>528000324</t>
        </is>
      </c>
      <c r="C890" t="inlineStr">
        <is>
          <t>Sri Yanti</t>
        </is>
      </c>
      <c r="D890" t="inlineStr">
        <is>
          <t>PROD</t>
        </is>
      </c>
      <c r="E890" t="inlineStr">
        <is>
          <t>Produksi Harian</t>
        </is>
      </c>
      <c r="F890" t="inlineStr">
        <is>
          <t>13:16:45</t>
        </is>
      </c>
      <c r="G890" t="inlineStr">
        <is>
          <t>22:05:44</t>
        </is>
      </c>
      <c r="H890" t="inlineStr">
        <is>
          <t>SELESAI</t>
        </is>
      </c>
      <c r="I890" t="inlineStr">
        <is>
          <t>MK00085</t>
        </is>
      </c>
      <c r="J890" t="inlineStr"/>
    </row>
    <row r="891">
      <c r="A891" t="inlineStr">
        <is>
          <t>09/06/2026</t>
        </is>
      </c>
      <c r="B891" t="inlineStr">
        <is>
          <t>528000325</t>
        </is>
      </c>
      <c r="C891" t="inlineStr">
        <is>
          <t>Rani Septia Ramadani</t>
        </is>
      </c>
      <c r="D891" t="inlineStr">
        <is>
          <t>PROD</t>
        </is>
      </c>
      <c r="E891" t="inlineStr">
        <is>
          <t>Produksi Harian</t>
        </is>
      </c>
      <c r="F891" t="inlineStr"/>
      <c r="G891" t="inlineStr">
        <is>
          <t>13:56:09</t>
        </is>
      </c>
      <c r="H891" t="inlineStr">
        <is>
          <t>KELUAR TANPA MASUK</t>
        </is>
      </c>
      <c r="I891" t="inlineStr">
        <is>
          <t>MK00212</t>
        </is>
      </c>
      <c r="J891" t="inlineStr"/>
    </row>
    <row r="892">
      <c r="A892" t="inlineStr">
        <is>
          <t>09/06/2026</t>
        </is>
      </c>
      <c r="B892" t="inlineStr">
        <is>
          <t>528000337</t>
        </is>
      </c>
      <c r="C892" t="inlineStr">
        <is>
          <t>Ahmad Zaldi Firdaus</t>
        </is>
      </c>
      <c r="D892" t="inlineStr">
        <is>
          <t>PROD</t>
        </is>
      </c>
      <c r="E892" t="inlineStr">
        <is>
          <t>Produksi Harian</t>
        </is>
      </c>
      <c r="F892" t="inlineStr">
        <is>
          <t>20:58:38</t>
        </is>
      </c>
      <c r="G892" t="inlineStr">
        <is>
          <t>06:09:15</t>
        </is>
      </c>
      <c r="H892" t="inlineStr">
        <is>
          <t>SELESAI</t>
        </is>
      </c>
      <c r="I892" t="inlineStr">
        <is>
          <t>MK00202</t>
        </is>
      </c>
      <c r="J892" t="inlineStr"/>
    </row>
    <row r="893">
      <c r="A893" t="inlineStr">
        <is>
          <t>09/06/2026</t>
        </is>
      </c>
      <c r="B893" t="inlineStr">
        <is>
          <t>528000340</t>
        </is>
      </c>
      <c r="C893" t="inlineStr">
        <is>
          <t>Muhammad Wildan Adithya</t>
        </is>
      </c>
      <c r="D893" t="inlineStr">
        <is>
          <t>PROD</t>
        </is>
      </c>
      <c r="E893" t="inlineStr">
        <is>
          <t>Produksi Harian</t>
        </is>
      </c>
      <c r="F893" t="inlineStr">
        <is>
          <t>06:04:11</t>
        </is>
      </c>
      <c r="G893" t="inlineStr">
        <is>
          <t>14:07:34</t>
        </is>
      </c>
      <c r="H893" t="inlineStr">
        <is>
          <t>SELESAI</t>
        </is>
      </c>
      <c r="I893" t="inlineStr">
        <is>
          <t>MK00158</t>
        </is>
      </c>
      <c r="J893" t="inlineStr"/>
    </row>
    <row r="894">
      <c r="A894" t="inlineStr">
        <is>
          <t>09/06/2026</t>
        </is>
      </c>
      <c r="B894" t="inlineStr">
        <is>
          <t>528000348</t>
        </is>
      </c>
      <c r="C894" t="inlineStr">
        <is>
          <t>Saepuloh Ardiansah</t>
        </is>
      </c>
      <c r="D894" t="inlineStr">
        <is>
          <t>LOG</t>
        </is>
      </c>
      <c r="E894" t="inlineStr">
        <is>
          <t>WRM Harian</t>
        </is>
      </c>
      <c r="F894" t="inlineStr">
        <is>
          <t>15:56:44</t>
        </is>
      </c>
      <c r="G894" t="inlineStr">
        <is>
          <t>00:29:01</t>
        </is>
      </c>
      <c r="H894" t="inlineStr">
        <is>
          <t>SELESAI</t>
        </is>
      </c>
      <c r="I894" t="inlineStr">
        <is>
          <t>MK00205</t>
        </is>
      </c>
      <c r="J894" t="inlineStr"/>
    </row>
    <row r="895">
      <c r="A895" t="inlineStr">
        <is>
          <t>09/06/2026</t>
        </is>
      </c>
      <c r="B895" t="inlineStr">
        <is>
          <t>528000349</t>
        </is>
      </c>
      <c r="C895" t="inlineStr">
        <is>
          <t>Anas Abdul Fatah</t>
        </is>
      </c>
      <c r="D895" t="inlineStr">
        <is>
          <t>LOG</t>
        </is>
      </c>
      <c r="E895" t="inlineStr">
        <is>
          <t>WFG Harian</t>
        </is>
      </c>
      <c r="F895" t="inlineStr">
        <is>
          <t>09:39:47</t>
        </is>
      </c>
      <c r="G895" t="inlineStr">
        <is>
          <t>18:11:21</t>
        </is>
      </c>
      <c r="H895" t="inlineStr">
        <is>
          <t>SELESAI</t>
        </is>
      </c>
      <c r="I895" t="inlineStr">
        <is>
          <t>MK00145</t>
        </is>
      </c>
      <c r="J895" t="inlineStr"/>
    </row>
    <row r="896">
      <c r="A896" t="inlineStr">
        <is>
          <t>09/06/2026</t>
        </is>
      </c>
      <c r="B896" t="inlineStr">
        <is>
          <t>528000358</t>
        </is>
      </c>
      <c r="C896" t="inlineStr">
        <is>
          <t>Lulu Agustin</t>
        </is>
      </c>
      <c r="D896" t="inlineStr">
        <is>
          <t>PROD</t>
        </is>
      </c>
      <c r="E896" t="inlineStr">
        <is>
          <t>Produksi Harian</t>
        </is>
      </c>
      <c r="F896" t="inlineStr">
        <is>
          <t>21:39:49</t>
        </is>
      </c>
      <c r="G896" t="inlineStr">
        <is>
          <t>06:05:20</t>
        </is>
      </c>
      <c r="H896" t="inlineStr">
        <is>
          <t>SELESAI</t>
        </is>
      </c>
      <c r="I896" t="inlineStr">
        <is>
          <t>MK00230</t>
        </is>
      </c>
      <c r="J896" t="inlineStr"/>
    </row>
    <row r="897">
      <c r="A897" t="inlineStr">
        <is>
          <t>09/06/2026</t>
        </is>
      </c>
      <c r="B897" t="inlineStr">
        <is>
          <t>528000361</t>
        </is>
      </c>
      <c r="C897" t="inlineStr">
        <is>
          <t>Denada Munggarani</t>
        </is>
      </c>
      <c r="D897" t="inlineStr">
        <is>
          <t>PROD</t>
        </is>
      </c>
      <c r="E897" t="inlineStr">
        <is>
          <t>Produksi Harian</t>
        </is>
      </c>
      <c r="F897" t="inlineStr">
        <is>
          <t>05:47:42</t>
        </is>
      </c>
      <c r="G897" t="inlineStr">
        <is>
          <t>14:16:34</t>
        </is>
      </c>
      <c r="H897" t="inlineStr">
        <is>
          <t>SELESAI</t>
        </is>
      </c>
      <c r="I897" t="inlineStr">
        <is>
          <t>MK00203</t>
        </is>
      </c>
      <c r="J897" t="inlineStr"/>
    </row>
    <row r="898">
      <c r="A898" t="inlineStr">
        <is>
          <t>09/06/2026</t>
        </is>
      </c>
      <c r="B898" t="inlineStr">
        <is>
          <t>628000064</t>
        </is>
      </c>
      <c r="C898" t="inlineStr">
        <is>
          <t>Silva Alypia</t>
        </is>
      </c>
      <c r="D898" t="inlineStr">
        <is>
          <t>PROD</t>
        </is>
      </c>
      <c r="E898" t="inlineStr">
        <is>
          <t>Produksi Borongan</t>
        </is>
      </c>
      <c r="F898" t="inlineStr">
        <is>
          <t>13:56:32</t>
        </is>
      </c>
      <c r="G898" t="inlineStr">
        <is>
          <t>22:06:20</t>
        </is>
      </c>
      <c r="H898" t="inlineStr">
        <is>
          <t>SELESAI</t>
        </is>
      </c>
      <c r="I898" t="inlineStr">
        <is>
          <t>MK00212</t>
        </is>
      </c>
      <c r="J898" t="inlineStr"/>
    </row>
    <row r="899">
      <c r="A899" t="inlineStr">
        <is>
          <t>09/06/2026</t>
        </is>
      </c>
      <c r="B899" t="inlineStr">
        <is>
          <t>628000091</t>
        </is>
      </c>
      <c r="C899" t="inlineStr">
        <is>
          <t>Devita Handayani</t>
        </is>
      </c>
      <c r="D899" t="inlineStr">
        <is>
          <t>PROD</t>
        </is>
      </c>
      <c r="E899" t="inlineStr">
        <is>
          <t>Produksi Borongan</t>
        </is>
      </c>
      <c r="F899" t="inlineStr">
        <is>
          <t>05:43:45</t>
        </is>
      </c>
      <c r="G899" t="inlineStr">
        <is>
          <t>13:59:54</t>
        </is>
      </c>
      <c r="H899" t="inlineStr">
        <is>
          <t>SELESAI</t>
        </is>
      </c>
      <c r="I899" t="inlineStr">
        <is>
          <t>MK00121</t>
        </is>
      </c>
      <c r="J899" t="inlineStr"/>
    </row>
    <row r="900">
      <c r="A900" t="inlineStr">
        <is>
          <t>10/06/2026</t>
        </is>
      </c>
      <c r="B900" t="inlineStr">
        <is>
          <t>528000015</t>
        </is>
      </c>
      <c r="C900" t="inlineStr">
        <is>
          <t>Erwin</t>
        </is>
      </c>
      <c r="D900" t="inlineStr">
        <is>
          <t>LOG</t>
        </is>
      </c>
      <c r="E900" t="inlineStr">
        <is>
          <t>WRM Harian</t>
        </is>
      </c>
      <c r="F900" t="inlineStr">
        <is>
          <t>12:40:49</t>
        </is>
      </c>
      <c r="G900" t="inlineStr"/>
      <c r="H900" t="inlineStr">
        <is>
          <t>DI DALAM</t>
        </is>
      </c>
      <c r="I900" t="inlineStr">
        <is>
          <t>MK00214</t>
        </is>
      </c>
      <c r="J900" t="inlineStr"/>
    </row>
    <row r="901">
      <c r="A901" t="inlineStr">
        <is>
          <t>10/06/2026</t>
        </is>
      </c>
      <c r="B901" t="inlineStr">
        <is>
          <t>528000052</t>
        </is>
      </c>
      <c r="C901" t="inlineStr">
        <is>
          <t>Mustopa</t>
        </is>
      </c>
      <c r="D901" t="inlineStr">
        <is>
          <t>PROD</t>
        </is>
      </c>
      <c r="E901" t="inlineStr">
        <is>
          <t>Produksi Harian</t>
        </is>
      </c>
      <c r="F901" t="inlineStr">
        <is>
          <t>21:07:00</t>
        </is>
      </c>
      <c r="G901" t="inlineStr">
        <is>
          <t>06:03:35</t>
        </is>
      </c>
      <c r="H901" t="inlineStr">
        <is>
          <t>SELESAI</t>
        </is>
      </c>
      <c r="I901" t="inlineStr">
        <is>
          <t>MK00148</t>
        </is>
      </c>
      <c r="J901" t="inlineStr"/>
    </row>
    <row r="902">
      <c r="A902" t="inlineStr">
        <is>
          <t>10/06/2026</t>
        </is>
      </c>
      <c r="B902" t="inlineStr">
        <is>
          <t>528000132</t>
        </is>
      </c>
      <c r="C902" t="inlineStr">
        <is>
          <t>Giopani</t>
        </is>
      </c>
      <c r="D902" t="inlineStr">
        <is>
          <t>LOG</t>
        </is>
      </c>
      <c r="E902" t="inlineStr">
        <is>
          <t>WRM Harian</t>
        </is>
      </c>
      <c r="F902" t="inlineStr">
        <is>
          <t>09:01:40</t>
        </is>
      </c>
      <c r="G902" t="inlineStr">
        <is>
          <t>14:03:46</t>
        </is>
      </c>
      <c r="H902" t="inlineStr">
        <is>
          <t>SELESAI</t>
        </is>
      </c>
      <c r="I902" t="inlineStr">
        <is>
          <t>MK00228</t>
        </is>
      </c>
      <c r="J902" t="inlineStr"/>
    </row>
    <row r="903">
      <c r="A903" t="inlineStr">
        <is>
          <t>10/06/2026</t>
        </is>
      </c>
      <c r="B903" t="inlineStr">
        <is>
          <t>528000144</t>
        </is>
      </c>
      <c r="C903" t="inlineStr">
        <is>
          <t>Jodi Hanafi</t>
        </is>
      </c>
      <c r="D903" t="inlineStr">
        <is>
          <t>LOG</t>
        </is>
      </c>
      <c r="E903" t="inlineStr">
        <is>
          <t>WRM Harian</t>
        </is>
      </c>
      <c r="F903" t="inlineStr">
        <is>
          <t>12:50:48</t>
        </is>
      </c>
      <c r="G903" t="inlineStr">
        <is>
          <t>12:50:04</t>
        </is>
      </c>
      <c r="H903" t="inlineStr">
        <is>
          <t>SELESAI</t>
        </is>
      </c>
      <c r="I903" t="inlineStr">
        <is>
          <t>MK00221</t>
        </is>
      </c>
      <c r="J903" t="inlineStr"/>
    </row>
    <row r="904">
      <c r="A904" t="inlineStr">
        <is>
          <t>10/06/2026</t>
        </is>
      </c>
      <c r="B904" t="inlineStr">
        <is>
          <t>528000149</t>
        </is>
      </c>
      <c r="C904" t="inlineStr">
        <is>
          <t>Tio Fernanda</t>
        </is>
      </c>
      <c r="D904" t="inlineStr">
        <is>
          <t>LOG</t>
        </is>
      </c>
      <c r="E904" t="inlineStr">
        <is>
          <t>WRM Harian</t>
        </is>
      </c>
      <c r="F904" t="inlineStr">
        <is>
          <t>09:01:34</t>
        </is>
      </c>
      <c r="G904" t="inlineStr"/>
      <c r="H904" t="inlineStr">
        <is>
          <t>DI DALAM</t>
        </is>
      </c>
      <c r="I904" t="inlineStr">
        <is>
          <t>MK0130</t>
        </is>
      </c>
      <c r="J904" t="inlineStr"/>
    </row>
    <row r="905">
      <c r="A905" t="inlineStr">
        <is>
          <t>10/06/2026</t>
        </is>
      </c>
      <c r="B905" t="inlineStr">
        <is>
          <t>528000195</t>
        </is>
      </c>
      <c r="C905" t="inlineStr">
        <is>
          <t>Rahma Sariwati</t>
        </is>
      </c>
      <c r="D905" t="inlineStr">
        <is>
          <t>PROD</t>
        </is>
      </c>
      <c r="E905" t="inlineStr">
        <is>
          <t>Produksi Harian</t>
        </is>
      </c>
      <c r="F905" t="inlineStr"/>
      <c r="G905" t="inlineStr">
        <is>
          <t>06:02:40</t>
        </is>
      </c>
      <c r="H905" t="inlineStr">
        <is>
          <t>KELUAR TANPA MASUK</t>
        </is>
      </c>
      <c r="I905" t="inlineStr">
        <is>
          <t>MK00148</t>
        </is>
      </c>
      <c r="J905" t="inlineStr"/>
    </row>
    <row r="906">
      <c r="A906" t="inlineStr">
        <is>
          <t>10/06/2026</t>
        </is>
      </c>
      <c r="B906" t="inlineStr">
        <is>
          <t>528000232</t>
        </is>
      </c>
      <c r="C906" t="inlineStr">
        <is>
          <t>Agung Aji Suhada</t>
        </is>
      </c>
      <c r="D906" t="inlineStr">
        <is>
          <t>LOG</t>
        </is>
      </c>
      <c r="E906" t="inlineStr">
        <is>
          <t>WRM Harian</t>
        </is>
      </c>
      <c r="F906" t="inlineStr">
        <is>
          <t>08:52:41</t>
        </is>
      </c>
      <c r="G906" t="inlineStr">
        <is>
          <t>14:04:34</t>
        </is>
      </c>
      <c r="H906" t="inlineStr">
        <is>
          <t>SELESAI</t>
        </is>
      </c>
      <c r="I906" t="inlineStr">
        <is>
          <t>MK00204</t>
        </is>
      </c>
      <c r="J906" t="inlineStr"/>
    </row>
    <row r="907">
      <c r="A907" t="inlineStr">
        <is>
          <t>10/06/2026</t>
        </is>
      </c>
      <c r="B907" t="inlineStr">
        <is>
          <t>528000248</t>
        </is>
      </c>
      <c r="C907" t="inlineStr">
        <is>
          <t>Roka Jaya Salka Mulya</t>
        </is>
      </c>
      <c r="D907" t="inlineStr">
        <is>
          <t>PROD</t>
        </is>
      </c>
      <c r="E907" t="inlineStr">
        <is>
          <t>Produksi Harian</t>
        </is>
      </c>
      <c r="F907" t="inlineStr">
        <is>
          <t>13:30:42</t>
        </is>
      </c>
      <c r="G907" t="inlineStr">
        <is>
          <t>22:01:09</t>
        </is>
      </c>
      <c r="H907" t="inlineStr">
        <is>
          <t>SELESAI</t>
        </is>
      </c>
      <c r="I907" t="inlineStr">
        <is>
          <t>MK00154</t>
        </is>
      </c>
      <c r="J907" t="inlineStr"/>
    </row>
    <row r="908">
      <c r="A908" t="inlineStr">
        <is>
          <t>10/06/2026</t>
        </is>
      </c>
      <c r="B908" t="inlineStr">
        <is>
          <t>528000261</t>
        </is>
      </c>
      <c r="C908" t="inlineStr">
        <is>
          <t>Ergi Ergianto</t>
        </is>
      </c>
      <c r="D908" t="inlineStr">
        <is>
          <t>HRGA</t>
        </is>
      </c>
      <c r="E908" t="inlineStr">
        <is>
          <t>GA Harian</t>
        </is>
      </c>
      <c r="F908" t="inlineStr">
        <is>
          <t>21:46:17</t>
        </is>
      </c>
      <c r="G908" t="inlineStr">
        <is>
          <t>06:03:35</t>
        </is>
      </c>
      <c r="H908" t="inlineStr">
        <is>
          <t>SELESAI</t>
        </is>
      </c>
      <c r="I908" t="inlineStr">
        <is>
          <t>MK00112</t>
        </is>
      </c>
      <c r="J908" t="inlineStr"/>
    </row>
    <row r="909">
      <c r="A909" t="inlineStr">
        <is>
          <t>10/06/2026</t>
        </is>
      </c>
      <c r="B909" t="inlineStr">
        <is>
          <t>528000262</t>
        </is>
      </c>
      <c r="C909" t="inlineStr">
        <is>
          <t>Ndari Dwiwanti</t>
        </is>
      </c>
      <c r="D909" t="inlineStr">
        <is>
          <t>PROD</t>
        </is>
      </c>
      <c r="E909" t="inlineStr">
        <is>
          <t>Produksi Harian</t>
        </is>
      </c>
      <c r="F909" t="inlineStr"/>
      <c r="G909" t="inlineStr">
        <is>
          <t>06:00:50</t>
        </is>
      </c>
      <c r="H909" t="inlineStr">
        <is>
          <t>KELUAR TANPA MASUK</t>
        </is>
      </c>
      <c r="I909" t="inlineStr">
        <is>
          <t>MK00008</t>
        </is>
      </c>
      <c r="J909" t="inlineStr"/>
    </row>
    <row r="910">
      <c r="A910" t="inlineStr">
        <is>
          <t>10/06/2026</t>
        </is>
      </c>
      <c r="B910" t="inlineStr">
        <is>
          <t>528000265</t>
        </is>
      </c>
      <c r="C910" t="inlineStr">
        <is>
          <t>Muhammad Haerul Rozikin</t>
        </is>
      </c>
      <c r="D910" t="inlineStr">
        <is>
          <t>LOG</t>
        </is>
      </c>
      <c r="E910" t="inlineStr">
        <is>
          <t>WRM Harian</t>
        </is>
      </c>
      <c r="F910" t="inlineStr">
        <is>
          <t>07:48:47</t>
        </is>
      </c>
      <c r="G910" t="inlineStr">
        <is>
          <t>13:07:13</t>
        </is>
      </c>
      <c r="H910" t="inlineStr">
        <is>
          <t>SELESAI</t>
        </is>
      </c>
      <c r="I910" t="inlineStr">
        <is>
          <t>MK00113</t>
        </is>
      </c>
      <c r="J910" t="inlineStr"/>
    </row>
    <row r="911">
      <c r="A911" t="inlineStr">
        <is>
          <t>10/06/2026</t>
        </is>
      </c>
      <c r="B911" t="inlineStr">
        <is>
          <t>528000266</t>
        </is>
      </c>
      <c r="C911" t="inlineStr">
        <is>
          <t>M. Syirajatieq</t>
        </is>
      </c>
      <c r="D911" t="inlineStr">
        <is>
          <t>LOG</t>
        </is>
      </c>
      <c r="E911" t="inlineStr">
        <is>
          <t>WFG Harian</t>
        </is>
      </c>
      <c r="F911" t="inlineStr">
        <is>
          <t>21:39:38</t>
        </is>
      </c>
      <c r="G911" t="inlineStr">
        <is>
          <t>06:34:09</t>
        </is>
      </c>
      <c r="H911" t="inlineStr">
        <is>
          <t>SELESAI</t>
        </is>
      </c>
      <c r="I911" t="inlineStr">
        <is>
          <t>MK00134</t>
        </is>
      </c>
      <c r="J911" t="inlineStr"/>
    </row>
    <row r="912">
      <c r="A912" t="inlineStr">
        <is>
          <t>10/06/2026</t>
        </is>
      </c>
      <c r="B912" t="inlineStr">
        <is>
          <t>528000270</t>
        </is>
      </c>
      <c r="C912" t="inlineStr">
        <is>
          <t>Febri Najmudin</t>
        </is>
      </c>
      <c r="D912" t="inlineStr">
        <is>
          <t>LOG</t>
        </is>
      </c>
      <c r="E912" t="inlineStr">
        <is>
          <t>WRM Harian</t>
        </is>
      </c>
      <c r="F912" t="inlineStr">
        <is>
          <t>05:48:05</t>
        </is>
      </c>
      <c r="G912" t="inlineStr">
        <is>
          <t>14:25:09</t>
        </is>
      </c>
      <c r="H912" t="inlineStr">
        <is>
          <t>SELESAI</t>
        </is>
      </c>
      <c r="I912" t="inlineStr">
        <is>
          <t>MK00213</t>
        </is>
      </c>
      <c r="J912" t="inlineStr"/>
    </row>
    <row r="913">
      <c r="A913" t="inlineStr">
        <is>
          <t>10/06/2026</t>
        </is>
      </c>
      <c r="B913" t="inlineStr">
        <is>
          <t>528000279</t>
        </is>
      </c>
      <c r="C913" t="inlineStr">
        <is>
          <t>Mahdalena Dalfa Riani</t>
        </is>
      </c>
      <c r="D913" t="inlineStr">
        <is>
          <t>PROD</t>
        </is>
      </c>
      <c r="E913" t="inlineStr">
        <is>
          <t>Produksi Harian</t>
        </is>
      </c>
      <c r="F913" t="inlineStr">
        <is>
          <t>13:54:26</t>
        </is>
      </c>
      <c r="G913" t="inlineStr">
        <is>
          <t>22:04:17</t>
        </is>
      </c>
      <c r="H913" t="inlineStr">
        <is>
          <t>SELESAI</t>
        </is>
      </c>
      <c r="I913" t="inlineStr">
        <is>
          <t>MK00082</t>
        </is>
      </c>
      <c r="J913" t="inlineStr"/>
    </row>
    <row r="914">
      <c r="A914" t="inlineStr">
        <is>
          <t>10/06/2026</t>
        </is>
      </c>
      <c r="B914" t="inlineStr">
        <is>
          <t>528000282</t>
        </is>
      </c>
      <c r="C914" t="inlineStr">
        <is>
          <t>Defa Desfiana</t>
        </is>
      </c>
      <c r="D914" t="inlineStr">
        <is>
          <t>PROD</t>
        </is>
      </c>
      <c r="E914" t="inlineStr">
        <is>
          <t>Produksi Harian</t>
        </is>
      </c>
      <c r="F914" t="inlineStr">
        <is>
          <t>07:35:16</t>
        </is>
      </c>
      <c r="G914" t="inlineStr">
        <is>
          <t>13:01:05</t>
        </is>
      </c>
      <c r="H914" t="inlineStr">
        <is>
          <t>SELESAI</t>
        </is>
      </c>
      <c r="I914" t="inlineStr">
        <is>
          <t>MK00210</t>
        </is>
      </c>
      <c r="J914" t="inlineStr">
        <is>
          <t>7b</t>
        </is>
      </c>
    </row>
    <row r="915">
      <c r="A915" t="inlineStr">
        <is>
          <t>10/06/2026</t>
        </is>
      </c>
      <c r="B915" t="inlineStr">
        <is>
          <t>528000283</t>
        </is>
      </c>
      <c r="C915" t="inlineStr">
        <is>
          <t>Purwanda Sugiri</t>
        </is>
      </c>
      <c r="D915" t="inlineStr">
        <is>
          <t>LOG</t>
        </is>
      </c>
      <c r="E915" t="inlineStr">
        <is>
          <t>WRM Harian</t>
        </is>
      </c>
      <c r="F915" t="inlineStr">
        <is>
          <t>21:53:10</t>
        </is>
      </c>
      <c r="G915" t="inlineStr">
        <is>
          <t>06:02:45</t>
        </is>
      </c>
      <c r="H915" t="inlineStr">
        <is>
          <t>SELESAI</t>
        </is>
      </c>
      <c r="I915" t="inlineStr">
        <is>
          <t>MK00154</t>
        </is>
      </c>
      <c r="J915" t="inlineStr"/>
    </row>
    <row r="916">
      <c r="A916" t="inlineStr">
        <is>
          <t>10/06/2026</t>
        </is>
      </c>
      <c r="B916" t="inlineStr">
        <is>
          <t>528000291</t>
        </is>
      </c>
      <c r="C916" t="inlineStr">
        <is>
          <t>Andrian</t>
        </is>
      </c>
      <c r="D916" t="inlineStr">
        <is>
          <t>PROD</t>
        </is>
      </c>
      <c r="E916" t="inlineStr">
        <is>
          <t>Produksi Harian</t>
        </is>
      </c>
      <c r="F916" t="inlineStr">
        <is>
          <t>21:54:14</t>
        </is>
      </c>
      <c r="G916" t="inlineStr">
        <is>
          <t>06:03:23</t>
        </is>
      </c>
      <c r="H916" t="inlineStr">
        <is>
          <t>SELESAI</t>
        </is>
      </c>
      <c r="I916" t="inlineStr">
        <is>
          <t>MK00212</t>
        </is>
      </c>
      <c r="J916" t="inlineStr"/>
    </row>
    <row r="917">
      <c r="A917" t="inlineStr">
        <is>
          <t>10/06/2026</t>
        </is>
      </c>
      <c r="B917" t="inlineStr">
        <is>
          <t>528000297</t>
        </is>
      </c>
      <c r="C917" t="inlineStr">
        <is>
          <t>Muhamad Budiana</t>
        </is>
      </c>
      <c r="D917" t="inlineStr">
        <is>
          <t>PROD</t>
        </is>
      </c>
      <c r="E917" t="inlineStr">
        <is>
          <t>Produksi Harian</t>
        </is>
      </c>
      <c r="F917" t="inlineStr">
        <is>
          <t>13:35:13</t>
        </is>
      </c>
      <c r="G917" t="inlineStr">
        <is>
          <t>22:52:04</t>
        </is>
      </c>
      <c r="H917" t="inlineStr">
        <is>
          <t>SELESAI</t>
        </is>
      </c>
      <c r="I917" t="inlineStr">
        <is>
          <t>MK00249</t>
        </is>
      </c>
      <c r="J917" t="inlineStr"/>
    </row>
    <row r="918">
      <c r="A918" t="inlineStr">
        <is>
          <t>10/06/2026</t>
        </is>
      </c>
      <c r="B918" t="inlineStr">
        <is>
          <t>528000298</t>
        </is>
      </c>
      <c r="C918" t="inlineStr">
        <is>
          <t>Desta Cahaya Pratama</t>
        </is>
      </c>
      <c r="D918" t="inlineStr">
        <is>
          <t>PROD</t>
        </is>
      </c>
      <c r="E918" t="inlineStr">
        <is>
          <t>Produksi Harian</t>
        </is>
      </c>
      <c r="F918" t="inlineStr"/>
      <c r="G918" t="inlineStr">
        <is>
          <t>14:03:25</t>
        </is>
      </c>
      <c r="H918" t="inlineStr">
        <is>
          <t>KELUAR TANPA MASUK</t>
        </is>
      </c>
      <c r="I918" t="inlineStr">
        <is>
          <t>MK00093</t>
        </is>
      </c>
      <c r="J918" t="inlineStr"/>
    </row>
    <row r="919">
      <c r="A919" t="inlineStr">
        <is>
          <t>10/06/2026</t>
        </is>
      </c>
      <c r="B919" t="inlineStr">
        <is>
          <t>528000299</t>
        </is>
      </c>
      <c r="C919" t="inlineStr">
        <is>
          <t>Siti Nurjanah</t>
        </is>
      </c>
      <c r="D919" t="inlineStr">
        <is>
          <t>PROD</t>
        </is>
      </c>
      <c r="E919" t="inlineStr">
        <is>
          <t>Produksi Harian</t>
        </is>
      </c>
      <c r="F919" t="inlineStr">
        <is>
          <t>05:32:48</t>
        </is>
      </c>
      <c r="G919" t="inlineStr">
        <is>
          <t>14:05:55</t>
        </is>
      </c>
      <c r="H919" t="inlineStr">
        <is>
          <t>SELESAI</t>
        </is>
      </c>
      <c r="I919" t="inlineStr">
        <is>
          <t>MK00160</t>
        </is>
      </c>
      <c r="J919" t="inlineStr"/>
    </row>
    <row r="920">
      <c r="A920" t="inlineStr">
        <is>
          <t>10/06/2026</t>
        </is>
      </c>
      <c r="B920" t="inlineStr">
        <is>
          <t>528000300</t>
        </is>
      </c>
      <c r="C920" t="inlineStr">
        <is>
          <t>Lia pitaloka</t>
        </is>
      </c>
      <c r="D920" t="inlineStr">
        <is>
          <t>PROD</t>
        </is>
      </c>
      <c r="E920" t="inlineStr">
        <is>
          <t>Produksi Harian</t>
        </is>
      </c>
      <c r="F920" t="inlineStr">
        <is>
          <t>13:53:26</t>
        </is>
      </c>
      <c r="G920" t="inlineStr">
        <is>
          <t>22:03:24</t>
        </is>
      </c>
      <c r="H920" t="inlineStr">
        <is>
          <t>SELESAI</t>
        </is>
      </c>
      <c r="I920" t="inlineStr">
        <is>
          <t>MK00109</t>
        </is>
      </c>
      <c r="J920" t="inlineStr"/>
    </row>
    <row r="921">
      <c r="A921" t="inlineStr">
        <is>
          <t>10/06/2026</t>
        </is>
      </c>
      <c r="B921" t="inlineStr">
        <is>
          <t>528000302</t>
        </is>
      </c>
      <c r="C921" t="inlineStr">
        <is>
          <t>Henkey gumilar</t>
        </is>
      </c>
      <c r="D921" t="inlineStr">
        <is>
          <t>PROD</t>
        </is>
      </c>
      <c r="E921" t="inlineStr">
        <is>
          <t>Produksi Harian</t>
        </is>
      </c>
      <c r="F921" t="inlineStr"/>
      <c r="G921" t="inlineStr">
        <is>
          <t>14:17:48</t>
        </is>
      </c>
      <c r="H921" t="inlineStr">
        <is>
          <t>KELUAR TANPA MASUK</t>
        </is>
      </c>
      <c r="I921" t="inlineStr">
        <is>
          <t>MK00208</t>
        </is>
      </c>
      <c r="J921" t="inlineStr"/>
    </row>
    <row r="922">
      <c r="A922" t="inlineStr">
        <is>
          <t>10/06/2026</t>
        </is>
      </c>
      <c r="B922" t="inlineStr">
        <is>
          <t>528000305</t>
        </is>
      </c>
      <c r="C922" t="inlineStr">
        <is>
          <t>Puji Puspita</t>
        </is>
      </c>
      <c r="D922" t="inlineStr">
        <is>
          <t>PROD</t>
        </is>
      </c>
      <c r="E922" t="inlineStr">
        <is>
          <t>Produksi Harian</t>
        </is>
      </c>
      <c r="F922" t="inlineStr">
        <is>
          <t>05:33:16</t>
        </is>
      </c>
      <c r="G922" t="inlineStr">
        <is>
          <t>14:04:14</t>
        </is>
      </c>
      <c r="H922" t="inlineStr">
        <is>
          <t>SELESAI</t>
        </is>
      </c>
      <c r="I922" t="inlineStr">
        <is>
          <t>MK00008</t>
        </is>
      </c>
      <c r="J922" t="inlineStr"/>
    </row>
    <row r="923">
      <c r="A923" t="inlineStr">
        <is>
          <t>10/06/2026</t>
        </is>
      </c>
      <c r="B923" t="inlineStr">
        <is>
          <t>528000306</t>
        </is>
      </c>
      <c r="C923" t="inlineStr">
        <is>
          <t>Windy Olivia</t>
        </is>
      </c>
      <c r="D923" t="inlineStr">
        <is>
          <t>PROD</t>
        </is>
      </c>
      <c r="E923" t="inlineStr">
        <is>
          <t>Produksi Harian</t>
        </is>
      </c>
      <c r="F923" t="inlineStr">
        <is>
          <t>21:33:03</t>
        </is>
      </c>
      <c r="G923" t="inlineStr">
        <is>
          <t>06:03:18</t>
        </is>
      </c>
      <c r="H923" t="inlineStr">
        <is>
          <t>SELESAI</t>
        </is>
      </c>
      <c r="I923" t="inlineStr">
        <is>
          <t>MK00138</t>
        </is>
      </c>
      <c r="J923" t="inlineStr"/>
    </row>
    <row r="924">
      <c r="A924" t="inlineStr">
        <is>
          <t>10/06/2026</t>
        </is>
      </c>
      <c r="B924" t="inlineStr">
        <is>
          <t>528000309</t>
        </is>
      </c>
      <c r="C924" t="inlineStr">
        <is>
          <t>Ilham Ramadhan</t>
        </is>
      </c>
      <c r="D924" t="inlineStr">
        <is>
          <t>LOG</t>
        </is>
      </c>
      <c r="E924" t="inlineStr">
        <is>
          <t>WRM Harian</t>
        </is>
      </c>
      <c r="F924" t="inlineStr">
        <is>
          <t>05:55:27</t>
        </is>
      </c>
      <c r="G924" t="inlineStr">
        <is>
          <t>14:05:42</t>
        </is>
      </c>
      <c r="H924" t="inlineStr">
        <is>
          <t>SELESAI</t>
        </is>
      </c>
      <c r="I924" t="inlineStr">
        <is>
          <t>MK00212</t>
        </is>
      </c>
      <c r="J924" t="inlineStr"/>
    </row>
    <row r="925">
      <c r="A925" t="inlineStr">
        <is>
          <t>10/06/2026</t>
        </is>
      </c>
      <c r="B925" t="inlineStr">
        <is>
          <t>528000310</t>
        </is>
      </c>
      <c r="C925" t="inlineStr">
        <is>
          <t>Fachrul Rozzi Suryana</t>
        </is>
      </c>
      <c r="D925" t="inlineStr">
        <is>
          <t>LOG</t>
        </is>
      </c>
      <c r="E925" t="inlineStr">
        <is>
          <t>WRM Harian</t>
        </is>
      </c>
      <c r="F925" t="inlineStr">
        <is>
          <t>07:55:03</t>
        </is>
      </c>
      <c r="G925" t="inlineStr">
        <is>
          <t>13:02:38</t>
        </is>
      </c>
      <c r="H925" t="inlineStr">
        <is>
          <t>SELESAI</t>
        </is>
      </c>
      <c r="I925" t="inlineStr">
        <is>
          <t>MK00250</t>
        </is>
      </c>
      <c r="J925" t="inlineStr">
        <is>
          <t>5B</t>
        </is>
      </c>
    </row>
    <row r="926">
      <c r="A926" t="inlineStr">
        <is>
          <t>10/06/2026</t>
        </is>
      </c>
      <c r="B926" t="inlineStr">
        <is>
          <t>528000313</t>
        </is>
      </c>
      <c r="C926" t="inlineStr">
        <is>
          <t>Muhamad Rifki</t>
        </is>
      </c>
      <c r="D926" t="inlineStr">
        <is>
          <t>PROD</t>
        </is>
      </c>
      <c r="E926" t="inlineStr">
        <is>
          <t>Produksi Harian</t>
        </is>
      </c>
      <c r="F926" t="inlineStr">
        <is>
          <t>05:29:49</t>
        </is>
      </c>
      <c r="G926" t="inlineStr">
        <is>
          <t>14:05:16</t>
        </is>
      </c>
      <c r="H926" t="inlineStr">
        <is>
          <t>SELESAI</t>
        </is>
      </c>
      <c r="I926" t="inlineStr">
        <is>
          <t>MK00230</t>
        </is>
      </c>
      <c r="J926" t="inlineStr"/>
    </row>
    <row r="927">
      <c r="A927" t="inlineStr">
        <is>
          <t>10/06/2026</t>
        </is>
      </c>
      <c r="B927" t="inlineStr">
        <is>
          <t>528000314</t>
        </is>
      </c>
      <c r="C927" t="inlineStr">
        <is>
          <t>Rusmana</t>
        </is>
      </c>
      <c r="D927" t="inlineStr">
        <is>
          <t>PROD</t>
        </is>
      </c>
      <c r="E927" t="inlineStr">
        <is>
          <t>Produksi Harian</t>
        </is>
      </c>
      <c r="F927" t="inlineStr">
        <is>
          <t>12:48:09</t>
        </is>
      </c>
      <c r="G927" t="inlineStr">
        <is>
          <t>18:02:57</t>
        </is>
      </c>
      <c r="H927" t="inlineStr">
        <is>
          <t>SELESAI</t>
        </is>
      </c>
      <c r="I927" t="inlineStr">
        <is>
          <t>MK00125</t>
        </is>
      </c>
      <c r="J927" t="inlineStr"/>
    </row>
    <row r="928">
      <c r="A928" t="inlineStr">
        <is>
          <t>10/06/2026</t>
        </is>
      </c>
      <c r="B928" t="inlineStr">
        <is>
          <t>528000318</t>
        </is>
      </c>
      <c r="C928" t="inlineStr">
        <is>
          <t>Bayu Padli Sepriyana</t>
        </is>
      </c>
      <c r="D928" t="inlineStr">
        <is>
          <t>LOG</t>
        </is>
      </c>
      <c r="E928" t="inlineStr">
        <is>
          <t>WRM Harian</t>
        </is>
      </c>
      <c r="F928" t="inlineStr">
        <is>
          <t>05:49:57</t>
        </is>
      </c>
      <c r="G928" t="inlineStr">
        <is>
          <t>14:03:52</t>
        </is>
      </c>
      <c r="H928" t="inlineStr">
        <is>
          <t>SELESAI</t>
        </is>
      </c>
      <c r="I928" t="inlineStr">
        <is>
          <t>MK00148</t>
        </is>
      </c>
      <c r="J928" t="inlineStr"/>
    </row>
    <row r="929">
      <c r="A929" t="inlineStr">
        <is>
          <t>10/06/2026</t>
        </is>
      </c>
      <c r="B929" t="inlineStr">
        <is>
          <t>528000323</t>
        </is>
      </c>
      <c r="C929" t="inlineStr">
        <is>
          <t>Dian Hamidah</t>
        </is>
      </c>
      <c r="D929" t="inlineStr">
        <is>
          <t>PROD</t>
        </is>
      </c>
      <c r="E929" t="inlineStr">
        <is>
          <t>Produksi Harian</t>
        </is>
      </c>
      <c r="F929" t="inlineStr">
        <is>
          <t>13:39:00</t>
        </is>
      </c>
      <c r="G929" t="inlineStr">
        <is>
          <t>22:12:17</t>
        </is>
      </c>
      <c r="H929" t="inlineStr">
        <is>
          <t>SELESAI</t>
        </is>
      </c>
      <c r="I929" t="inlineStr">
        <is>
          <t>MK00210</t>
        </is>
      </c>
      <c r="J929" t="inlineStr"/>
    </row>
    <row r="930">
      <c r="A930" t="inlineStr">
        <is>
          <t>10/06/2026</t>
        </is>
      </c>
      <c r="B930" t="inlineStr">
        <is>
          <t>528000332</t>
        </is>
      </c>
      <c r="C930" t="inlineStr">
        <is>
          <t>Ena Indriani</t>
        </is>
      </c>
      <c r="D930" t="inlineStr">
        <is>
          <t>PROD</t>
        </is>
      </c>
      <c r="E930" t="inlineStr">
        <is>
          <t>Produksi Harian</t>
        </is>
      </c>
      <c r="F930" t="inlineStr">
        <is>
          <t>13:39:17</t>
        </is>
      </c>
      <c r="G930" t="inlineStr"/>
      <c r="H930" t="inlineStr">
        <is>
          <t>DI DALAM</t>
        </is>
      </c>
      <c r="I930" t="inlineStr">
        <is>
          <t>MK00192</t>
        </is>
      </c>
      <c r="J930" t="inlineStr"/>
    </row>
    <row r="931">
      <c r="A931" t="inlineStr">
        <is>
          <t>10/06/2026</t>
        </is>
      </c>
      <c r="B931" t="inlineStr">
        <is>
          <t>528000337</t>
        </is>
      </c>
      <c r="C931" t="inlineStr">
        <is>
          <t>Ahmad Zaldi Firdaus</t>
        </is>
      </c>
      <c r="D931" t="inlineStr">
        <is>
          <t>PROD</t>
        </is>
      </c>
      <c r="E931" t="inlineStr">
        <is>
          <t>Produksi Harian</t>
        </is>
      </c>
      <c r="F931" t="inlineStr">
        <is>
          <t>20:50:49</t>
        </is>
      </c>
      <c r="G931" t="inlineStr">
        <is>
          <t>06:09:59</t>
        </is>
      </c>
      <c r="H931" t="inlineStr">
        <is>
          <t>SELESAI</t>
        </is>
      </c>
      <c r="I931" t="inlineStr">
        <is>
          <t>MK00108</t>
        </is>
      </c>
      <c r="J931" t="inlineStr"/>
    </row>
    <row r="932">
      <c r="A932" t="inlineStr">
        <is>
          <t>10/06/2026</t>
        </is>
      </c>
      <c r="B932" t="inlineStr">
        <is>
          <t>528000340</t>
        </is>
      </c>
      <c r="C932" t="inlineStr">
        <is>
          <t>Muhammad Wildan Adithya</t>
        </is>
      </c>
      <c r="D932" t="inlineStr">
        <is>
          <t>PROD</t>
        </is>
      </c>
      <c r="E932" t="inlineStr">
        <is>
          <t>Produksi Harian</t>
        </is>
      </c>
      <c r="F932" t="inlineStr">
        <is>
          <t>05:49:40</t>
        </is>
      </c>
      <c r="G932" t="inlineStr">
        <is>
          <t>14:07:54</t>
        </is>
      </c>
      <c r="H932" t="inlineStr">
        <is>
          <t>SELESAI</t>
        </is>
      </c>
      <c r="I932" t="inlineStr">
        <is>
          <t>MK00181</t>
        </is>
      </c>
      <c r="J932" t="inlineStr"/>
    </row>
    <row r="933">
      <c r="A933" t="inlineStr">
        <is>
          <t>10/06/2026</t>
        </is>
      </c>
      <c r="B933" t="inlineStr">
        <is>
          <t>528000348</t>
        </is>
      </c>
      <c r="C933" t="inlineStr">
        <is>
          <t>Saepuloh Ardiansah</t>
        </is>
      </c>
      <c r="D933" t="inlineStr">
        <is>
          <t>LOG</t>
        </is>
      </c>
      <c r="E933" t="inlineStr">
        <is>
          <t>WRM Harian</t>
        </is>
      </c>
      <c r="F933" t="inlineStr">
        <is>
          <t>13:01:35</t>
        </is>
      </c>
      <c r="G933" t="inlineStr">
        <is>
          <t>18:02:16</t>
        </is>
      </c>
      <c r="H933" t="inlineStr">
        <is>
          <t>SELESAI</t>
        </is>
      </c>
      <c r="I933" t="inlineStr">
        <is>
          <t>MK00205</t>
        </is>
      </c>
      <c r="J933" t="inlineStr"/>
    </row>
    <row r="934">
      <c r="A934" t="inlineStr">
        <is>
          <t>10/06/2026</t>
        </is>
      </c>
      <c r="B934" t="inlineStr">
        <is>
          <t>528000358</t>
        </is>
      </c>
      <c r="C934" t="inlineStr">
        <is>
          <t>Lulu Agustin</t>
        </is>
      </c>
      <c r="D934" t="inlineStr">
        <is>
          <t>PROD</t>
        </is>
      </c>
      <c r="E934" t="inlineStr">
        <is>
          <t>Produksi Harian</t>
        </is>
      </c>
      <c r="F934" t="inlineStr"/>
      <c r="G934" t="inlineStr">
        <is>
          <t>06:01:18</t>
        </is>
      </c>
      <c r="H934" t="inlineStr">
        <is>
          <t>KELUAR TANPA MASUK</t>
        </is>
      </c>
      <c r="I934" t="inlineStr">
        <is>
          <t>MK00230</t>
        </is>
      </c>
      <c r="J934" t="inlineStr"/>
    </row>
    <row r="935">
      <c r="A935" t="inlineStr">
        <is>
          <t>10/06/2026</t>
        </is>
      </c>
      <c r="B935" t="inlineStr">
        <is>
          <t>528000361</t>
        </is>
      </c>
      <c r="C935" t="inlineStr">
        <is>
          <t>Denada Munggarani</t>
        </is>
      </c>
      <c r="D935" t="inlineStr">
        <is>
          <t>PROD</t>
        </is>
      </c>
      <c r="E935" t="inlineStr">
        <is>
          <t>Produksi Harian</t>
        </is>
      </c>
      <c r="F935" t="inlineStr"/>
      <c r="G935" t="inlineStr">
        <is>
          <t>14:09:57</t>
        </is>
      </c>
      <c r="H935" t="inlineStr">
        <is>
          <t>KELUAR TANPA MASUK</t>
        </is>
      </c>
      <c r="I935" t="inlineStr">
        <is>
          <t>MK00203</t>
        </is>
      </c>
      <c r="J935" t="inlineStr"/>
    </row>
    <row r="936">
      <c r="A936" t="inlineStr">
        <is>
          <t>10/06/2026</t>
        </is>
      </c>
      <c r="B936" t="inlineStr">
        <is>
          <t>628000064</t>
        </is>
      </c>
      <c r="C936" t="inlineStr">
        <is>
          <t>Silva Alypia</t>
        </is>
      </c>
      <c r="D936" t="inlineStr">
        <is>
          <t>PROD</t>
        </is>
      </c>
      <c r="E936" t="inlineStr">
        <is>
          <t>Produksi Borongan</t>
        </is>
      </c>
      <c r="F936" t="inlineStr">
        <is>
          <t>13:58:36</t>
        </is>
      </c>
      <c r="G936" t="inlineStr">
        <is>
          <t>22:03:51</t>
        </is>
      </c>
      <c r="H936" t="inlineStr">
        <is>
          <t>SELESAI</t>
        </is>
      </c>
      <c r="I936" t="inlineStr">
        <is>
          <t>MK00136</t>
        </is>
      </c>
      <c r="J936" t="inlineStr"/>
    </row>
    <row r="937">
      <c r="A937" t="inlineStr">
        <is>
          <t>11/06/2026</t>
        </is>
      </c>
      <c r="B937" t="inlineStr">
        <is>
          <t>528000015</t>
        </is>
      </c>
      <c r="C937" t="inlineStr">
        <is>
          <t>Erwin</t>
        </is>
      </c>
      <c r="D937" t="inlineStr">
        <is>
          <t>LOG</t>
        </is>
      </c>
      <c r="E937" t="inlineStr">
        <is>
          <t>WRM Harian</t>
        </is>
      </c>
      <c r="F937" t="inlineStr"/>
      <c r="G937" t="inlineStr">
        <is>
          <t>00:02:31</t>
        </is>
      </c>
      <c r="H937" t="inlineStr">
        <is>
          <t>KELUAR TANPA MASUK</t>
        </is>
      </c>
      <c r="I937" t="inlineStr">
        <is>
          <t>MK00203</t>
        </is>
      </c>
      <c r="J937" t="inlineStr"/>
    </row>
    <row r="938">
      <c r="A938" t="inlineStr">
        <is>
          <t>11/06/2026</t>
        </is>
      </c>
      <c r="B938" t="inlineStr">
        <is>
          <t>528000090</t>
        </is>
      </c>
      <c r="C938" t="inlineStr">
        <is>
          <t>Suganda</t>
        </is>
      </c>
      <c r="D938" t="inlineStr">
        <is>
          <t>PROD</t>
        </is>
      </c>
      <c r="E938" t="inlineStr">
        <is>
          <t>Produksi Harian</t>
        </is>
      </c>
      <c r="F938" t="inlineStr">
        <is>
          <t>13:56:27</t>
        </is>
      </c>
      <c r="G938" t="inlineStr"/>
      <c r="H938" t="inlineStr">
        <is>
          <t>DI DALAM</t>
        </is>
      </c>
      <c r="I938" t="inlineStr">
        <is>
          <t>MK00230</t>
        </is>
      </c>
      <c r="J938" t="inlineStr"/>
    </row>
    <row r="939">
      <c r="A939" t="inlineStr">
        <is>
          <t>11/06/2026</t>
        </is>
      </c>
      <c r="B939" t="inlineStr">
        <is>
          <t>528000099</t>
        </is>
      </c>
      <c r="C939" t="inlineStr">
        <is>
          <t>Siti Nurawaliah</t>
        </is>
      </c>
      <c r="D939" t="inlineStr">
        <is>
          <t>PROD</t>
        </is>
      </c>
      <c r="E939" t="inlineStr">
        <is>
          <t>Produksi Harian</t>
        </is>
      </c>
      <c r="F939" t="inlineStr">
        <is>
          <t>13:43:04</t>
        </is>
      </c>
      <c r="G939" t="inlineStr">
        <is>
          <t>22:04:26</t>
        </is>
      </c>
      <c r="H939" t="inlineStr">
        <is>
          <t>SELESAI</t>
        </is>
      </c>
      <c r="I939" t="inlineStr">
        <is>
          <t>MK00090</t>
        </is>
      </c>
      <c r="J939" t="inlineStr"/>
    </row>
    <row r="940">
      <c r="A940" t="inlineStr">
        <is>
          <t>11/06/2026</t>
        </is>
      </c>
      <c r="B940" t="inlineStr">
        <is>
          <t>528000144</t>
        </is>
      </c>
      <c r="C940" t="inlineStr">
        <is>
          <t>Jodi Hanafi</t>
        </is>
      </c>
      <c r="D940" t="inlineStr">
        <is>
          <t>LOG</t>
        </is>
      </c>
      <c r="E940" t="inlineStr">
        <is>
          <t>WRM Harian</t>
        </is>
      </c>
      <c r="F940" t="inlineStr"/>
      <c r="G940" t="inlineStr">
        <is>
          <t>01:01:37</t>
        </is>
      </c>
      <c r="H940" t="inlineStr">
        <is>
          <t>KELUAR TANPA MASUK</t>
        </is>
      </c>
      <c r="I940" t="inlineStr">
        <is>
          <t>MK00213</t>
        </is>
      </c>
      <c r="J940" t="inlineStr"/>
    </row>
    <row r="941">
      <c r="A941" t="inlineStr">
        <is>
          <t>11/06/2026</t>
        </is>
      </c>
      <c r="B941" t="inlineStr">
        <is>
          <t>528000149</t>
        </is>
      </c>
      <c r="C941" t="inlineStr">
        <is>
          <t>Tio Fernanda</t>
        </is>
      </c>
      <c r="D941" t="inlineStr">
        <is>
          <t>LOG</t>
        </is>
      </c>
      <c r="E941" t="inlineStr">
        <is>
          <t>WRM Harian</t>
        </is>
      </c>
      <c r="F941" t="inlineStr"/>
      <c r="G941" t="inlineStr">
        <is>
          <t>00:09:35</t>
        </is>
      </c>
      <c r="H941" t="inlineStr">
        <is>
          <t>KELUAR TANPA MASUK</t>
        </is>
      </c>
      <c r="I941" t="inlineStr">
        <is>
          <t>MK00212</t>
        </is>
      </c>
      <c r="J941" t="inlineStr"/>
    </row>
    <row r="942">
      <c r="A942" t="inlineStr">
        <is>
          <t>11/06/2026</t>
        </is>
      </c>
      <c r="B942" t="inlineStr">
        <is>
          <t>528000201</t>
        </is>
      </c>
      <c r="C942" t="inlineStr">
        <is>
          <t>Zahwa Amelia Choerunissa</t>
        </is>
      </c>
      <c r="D942" t="inlineStr">
        <is>
          <t>PROD</t>
        </is>
      </c>
      <c r="E942" t="inlineStr">
        <is>
          <t>Produksi Harian</t>
        </is>
      </c>
      <c r="F942" t="inlineStr">
        <is>
          <t>13:42:33</t>
        </is>
      </c>
      <c r="G942" t="inlineStr">
        <is>
          <t>22:03:32</t>
        </is>
      </c>
      <c r="H942" t="inlineStr">
        <is>
          <t>SELESAI</t>
        </is>
      </c>
      <c r="I942" t="inlineStr">
        <is>
          <t>MK00160</t>
        </is>
      </c>
      <c r="J942" t="inlineStr"/>
    </row>
    <row r="943">
      <c r="A943" t="inlineStr">
        <is>
          <t>11/06/2026</t>
        </is>
      </c>
      <c r="B943" t="inlineStr">
        <is>
          <t>528000212</t>
        </is>
      </c>
      <c r="C943" t="inlineStr">
        <is>
          <t>Rizal Fauzi</t>
        </is>
      </c>
      <c r="D943" t="inlineStr">
        <is>
          <t>PROD</t>
        </is>
      </c>
      <c r="E943" t="inlineStr">
        <is>
          <t>Produksi Harian</t>
        </is>
      </c>
      <c r="F943" t="inlineStr">
        <is>
          <t>13:56:38</t>
        </is>
      </c>
      <c r="G943" t="inlineStr">
        <is>
          <t>22:39:24</t>
        </is>
      </c>
      <c r="H943" t="inlineStr">
        <is>
          <t>SELESAI</t>
        </is>
      </c>
      <c r="I943" t="inlineStr">
        <is>
          <t>MK00116</t>
        </is>
      </c>
      <c r="J943" t="inlineStr"/>
    </row>
    <row r="944">
      <c r="A944" t="inlineStr">
        <is>
          <t>11/06/2026</t>
        </is>
      </c>
      <c r="B944" t="inlineStr">
        <is>
          <t>528000238</t>
        </is>
      </c>
      <c r="C944" t="inlineStr">
        <is>
          <t>Indah Lusiana</t>
        </is>
      </c>
      <c r="D944" t="inlineStr">
        <is>
          <t>PROD</t>
        </is>
      </c>
      <c r="E944" t="inlineStr">
        <is>
          <t>Produksi Harian</t>
        </is>
      </c>
      <c r="F944" t="inlineStr">
        <is>
          <t>21:29:41</t>
        </is>
      </c>
      <c r="G944" t="inlineStr"/>
      <c r="H944" t="inlineStr">
        <is>
          <t>DI DALAM</t>
        </is>
      </c>
      <c r="I944" t="inlineStr">
        <is>
          <t>MK00085</t>
        </is>
      </c>
      <c r="J944" t="inlineStr"/>
    </row>
    <row r="945">
      <c r="A945" t="inlineStr">
        <is>
          <t>11/06/2026</t>
        </is>
      </c>
      <c r="B945" t="inlineStr">
        <is>
          <t>528000241</t>
        </is>
      </c>
      <c r="C945" t="inlineStr">
        <is>
          <t>Balia Nurafif Bilah</t>
        </is>
      </c>
      <c r="D945" t="inlineStr">
        <is>
          <t>PROD</t>
        </is>
      </c>
      <c r="E945" t="inlineStr">
        <is>
          <t>Produksi Harian</t>
        </is>
      </c>
      <c r="F945" t="inlineStr">
        <is>
          <t>13:50:37</t>
        </is>
      </c>
      <c r="G945" t="inlineStr">
        <is>
          <t>22:01:42</t>
        </is>
      </c>
      <c r="H945" t="inlineStr">
        <is>
          <t>SELESAI</t>
        </is>
      </c>
      <c r="I945" t="inlineStr">
        <is>
          <t>MK00202</t>
        </is>
      </c>
      <c r="J945" t="inlineStr"/>
    </row>
    <row r="946">
      <c r="A946" t="inlineStr">
        <is>
          <t>11/06/2026</t>
        </is>
      </c>
      <c r="B946" t="inlineStr">
        <is>
          <t>528000244</t>
        </is>
      </c>
      <c r="C946" t="inlineStr">
        <is>
          <t>Rodian Rifai</t>
        </is>
      </c>
      <c r="D946" t="inlineStr">
        <is>
          <t>PROD</t>
        </is>
      </c>
      <c r="E946" t="inlineStr">
        <is>
          <t>Produksi Harian</t>
        </is>
      </c>
      <c r="F946" t="inlineStr">
        <is>
          <t>05:46:55</t>
        </is>
      </c>
      <c r="G946" t="inlineStr">
        <is>
          <t>22:18:10</t>
        </is>
      </c>
      <c r="H946" t="inlineStr">
        <is>
          <t>SELESAI</t>
        </is>
      </c>
      <c r="I946" t="inlineStr">
        <is>
          <t>MK00136</t>
        </is>
      </c>
      <c r="J946" t="inlineStr"/>
    </row>
    <row r="947">
      <c r="A947" t="inlineStr">
        <is>
          <t>11/06/2026</t>
        </is>
      </c>
      <c r="B947" t="inlineStr">
        <is>
          <t>528000274</t>
        </is>
      </c>
      <c r="C947" t="inlineStr">
        <is>
          <t>Zepri</t>
        </is>
      </c>
      <c r="D947" t="inlineStr">
        <is>
          <t>PROD</t>
        </is>
      </c>
      <c r="E947" t="inlineStr">
        <is>
          <t>Produksi Harian</t>
        </is>
      </c>
      <c r="F947" t="inlineStr">
        <is>
          <t>13:49:42</t>
        </is>
      </c>
      <c r="G947" t="inlineStr">
        <is>
          <t>22:00:45</t>
        </is>
      </c>
      <c r="H947" t="inlineStr">
        <is>
          <t>SELESAI</t>
        </is>
      </c>
      <c r="I947" t="inlineStr">
        <is>
          <t>MK00203</t>
        </is>
      </c>
      <c r="J947" t="inlineStr"/>
    </row>
    <row r="948">
      <c r="A948" t="inlineStr">
        <is>
          <t>11/06/2026</t>
        </is>
      </c>
      <c r="B948" t="inlineStr">
        <is>
          <t>528000279</t>
        </is>
      </c>
      <c r="C948" t="inlineStr">
        <is>
          <t>Mahdalena Dalfa Riani</t>
        </is>
      </c>
      <c r="D948" t="inlineStr">
        <is>
          <t>PROD</t>
        </is>
      </c>
      <c r="E948" t="inlineStr">
        <is>
          <t>Produksi Harian</t>
        </is>
      </c>
      <c r="F948" t="inlineStr">
        <is>
          <t>21:44:21</t>
        </is>
      </c>
      <c r="G948" t="inlineStr">
        <is>
          <t>06:05:40</t>
        </is>
      </c>
      <c r="H948" t="inlineStr">
        <is>
          <t>SELESAI</t>
        </is>
      </c>
      <c r="I948" t="inlineStr">
        <is>
          <t>MK00207</t>
        </is>
      </c>
      <c r="J948" t="inlineStr"/>
    </row>
    <row r="949">
      <c r="A949" t="inlineStr">
        <is>
          <t>11/06/2026</t>
        </is>
      </c>
      <c r="B949" t="inlineStr">
        <is>
          <t>528000286</t>
        </is>
      </c>
      <c r="C949" t="inlineStr">
        <is>
          <t>Imelda Amelia</t>
        </is>
      </c>
      <c r="D949" t="inlineStr">
        <is>
          <t>PROD</t>
        </is>
      </c>
      <c r="E949" t="inlineStr">
        <is>
          <t>Produksi Harian</t>
        </is>
      </c>
      <c r="F949" t="inlineStr">
        <is>
          <t>13:46:44</t>
        </is>
      </c>
      <c r="G949" t="inlineStr">
        <is>
          <t>22:06:58</t>
        </is>
      </c>
      <c r="H949" t="inlineStr">
        <is>
          <t>SELESAI</t>
        </is>
      </c>
      <c r="I949" t="inlineStr">
        <is>
          <t>MK00008</t>
        </is>
      </c>
      <c r="J949" t="inlineStr"/>
    </row>
    <row r="950">
      <c r="A950" t="inlineStr">
        <is>
          <t>11/06/2026</t>
        </is>
      </c>
      <c r="B950" t="inlineStr">
        <is>
          <t>528000289</t>
        </is>
      </c>
      <c r="C950" t="inlineStr">
        <is>
          <t>Adit Supriyadi</t>
        </is>
      </c>
      <c r="D950" t="inlineStr">
        <is>
          <t>PROD</t>
        </is>
      </c>
      <c r="E950" t="inlineStr">
        <is>
          <t>Produksi Harian</t>
        </is>
      </c>
      <c r="F950" t="inlineStr">
        <is>
          <t>13:52:00</t>
        </is>
      </c>
      <c r="G950" t="inlineStr">
        <is>
          <t>22:01:35</t>
        </is>
      </c>
      <c r="H950" t="inlineStr">
        <is>
          <t>SELESAI</t>
        </is>
      </c>
      <c r="I950" t="inlineStr">
        <is>
          <t>MK00108</t>
        </is>
      </c>
      <c r="J950" t="inlineStr"/>
    </row>
    <row r="951">
      <c r="A951" t="inlineStr">
        <is>
          <t>11/06/2026</t>
        </is>
      </c>
      <c r="B951" t="inlineStr">
        <is>
          <t>528000290</t>
        </is>
      </c>
      <c r="C951" t="inlineStr">
        <is>
          <t>Eval Pranata</t>
        </is>
      </c>
      <c r="D951" t="inlineStr">
        <is>
          <t>PROD</t>
        </is>
      </c>
      <c r="E951" t="inlineStr">
        <is>
          <t>Produksi Harian</t>
        </is>
      </c>
      <c r="F951" t="inlineStr">
        <is>
          <t>13:58:13</t>
        </is>
      </c>
      <c r="G951" t="inlineStr">
        <is>
          <t>22:01:23</t>
        </is>
      </c>
      <c r="H951" t="inlineStr">
        <is>
          <t>SELESAI</t>
        </is>
      </c>
      <c r="I951" t="inlineStr">
        <is>
          <t>MK00109</t>
        </is>
      </c>
      <c r="J951" t="inlineStr"/>
    </row>
    <row r="952">
      <c r="A952" t="inlineStr">
        <is>
          <t>11/06/2026</t>
        </is>
      </c>
      <c r="B952" t="inlineStr">
        <is>
          <t>528000297</t>
        </is>
      </c>
      <c r="C952" t="inlineStr">
        <is>
          <t>Muhamad Budiana</t>
        </is>
      </c>
      <c r="D952" t="inlineStr">
        <is>
          <t>PROD</t>
        </is>
      </c>
      <c r="E952" t="inlineStr">
        <is>
          <t>Produksi Harian</t>
        </is>
      </c>
      <c r="F952" t="inlineStr">
        <is>
          <t>21:49:06</t>
        </is>
      </c>
      <c r="G952" t="inlineStr">
        <is>
          <t>07:06:11</t>
        </is>
      </c>
      <c r="H952" t="inlineStr">
        <is>
          <t>SELESAI</t>
        </is>
      </c>
      <c r="I952" t="inlineStr">
        <is>
          <t>MK00208</t>
        </is>
      </c>
      <c r="J952" t="inlineStr"/>
    </row>
    <row r="953">
      <c r="A953" t="inlineStr">
        <is>
          <t>11/06/2026</t>
        </is>
      </c>
      <c r="B953" t="inlineStr">
        <is>
          <t>528000298</t>
        </is>
      </c>
      <c r="C953" t="inlineStr">
        <is>
          <t>Desta Cahaya Pratama</t>
        </is>
      </c>
      <c r="D953" t="inlineStr">
        <is>
          <t>PROD</t>
        </is>
      </c>
      <c r="E953" t="inlineStr">
        <is>
          <t>Produksi Harian</t>
        </is>
      </c>
      <c r="F953" t="inlineStr">
        <is>
          <t>05:53:54</t>
        </is>
      </c>
      <c r="G953" t="inlineStr">
        <is>
          <t>14:03:43</t>
        </is>
      </c>
      <c r="H953" t="inlineStr">
        <is>
          <t>SELESAI</t>
        </is>
      </c>
      <c r="I953" t="inlineStr">
        <is>
          <t>MK00212</t>
        </is>
      </c>
      <c r="J953" t="inlineStr"/>
    </row>
    <row r="954">
      <c r="A954" t="inlineStr">
        <is>
          <t>11/06/2026</t>
        </is>
      </c>
      <c r="B954" t="inlineStr">
        <is>
          <t>528000299</t>
        </is>
      </c>
      <c r="C954" t="inlineStr">
        <is>
          <t>Siti Nurjanah</t>
        </is>
      </c>
      <c r="D954" t="inlineStr">
        <is>
          <t>PROD</t>
        </is>
      </c>
      <c r="E954" t="inlineStr">
        <is>
          <t>Produksi Harian</t>
        </is>
      </c>
      <c r="F954" t="inlineStr">
        <is>
          <t>05:40:45</t>
        </is>
      </c>
      <c r="G954" t="inlineStr">
        <is>
          <t>14:06:20</t>
        </is>
      </c>
      <c r="H954" t="inlineStr">
        <is>
          <t>SELESAI</t>
        </is>
      </c>
      <c r="I954" t="inlineStr">
        <is>
          <t>MK00154</t>
        </is>
      </c>
      <c r="J954" t="inlineStr"/>
    </row>
    <row r="955">
      <c r="A955" t="inlineStr">
        <is>
          <t>11/06/2026</t>
        </is>
      </c>
      <c r="B955" t="inlineStr">
        <is>
          <t>528000302</t>
        </is>
      </c>
      <c r="C955" t="inlineStr">
        <is>
          <t>Henkey gumilar</t>
        </is>
      </c>
      <c r="D955" t="inlineStr">
        <is>
          <t>PROD</t>
        </is>
      </c>
      <c r="E955" t="inlineStr">
        <is>
          <t>Produksi Harian</t>
        </is>
      </c>
      <c r="F955" t="inlineStr">
        <is>
          <t>05:48:41</t>
        </is>
      </c>
      <c r="G955" t="inlineStr">
        <is>
          <t>14:06:17</t>
        </is>
      </c>
      <c r="H955" t="inlineStr">
        <is>
          <t>SELESAI</t>
        </is>
      </c>
      <c r="I955" t="inlineStr">
        <is>
          <t>MK00158</t>
        </is>
      </c>
      <c r="J955" t="inlineStr"/>
    </row>
    <row r="956">
      <c r="A956" t="inlineStr">
        <is>
          <t>11/06/2026</t>
        </is>
      </c>
      <c r="B956" t="inlineStr">
        <is>
          <t>528000305</t>
        </is>
      </c>
      <c r="C956" t="inlineStr">
        <is>
          <t>Puji Puspita</t>
        </is>
      </c>
      <c r="D956" t="inlineStr">
        <is>
          <t>PROD</t>
        </is>
      </c>
      <c r="E956" t="inlineStr">
        <is>
          <t>Produksi Harian</t>
        </is>
      </c>
      <c r="F956" t="inlineStr">
        <is>
          <t>05:41:13</t>
        </is>
      </c>
      <c r="G956" t="inlineStr">
        <is>
          <t>14:01:45</t>
        </is>
      </c>
      <c r="H956" t="inlineStr">
        <is>
          <t>SELESAI</t>
        </is>
      </c>
      <c r="I956" t="inlineStr">
        <is>
          <t>MK00121</t>
        </is>
      </c>
      <c r="J956" t="inlineStr"/>
    </row>
    <row r="957">
      <c r="A957" t="inlineStr">
        <is>
          <t>11/06/2026</t>
        </is>
      </c>
      <c r="B957" t="inlineStr">
        <is>
          <t>528000306</t>
        </is>
      </c>
      <c r="C957" t="inlineStr">
        <is>
          <t>Windy Olivia</t>
        </is>
      </c>
      <c r="D957" t="inlineStr">
        <is>
          <t>PROD</t>
        </is>
      </c>
      <c r="E957" t="inlineStr">
        <is>
          <t>Produksi Harian</t>
        </is>
      </c>
      <c r="F957" t="inlineStr">
        <is>
          <t>21:36:59</t>
        </is>
      </c>
      <c r="G957" t="inlineStr">
        <is>
          <t>06:03:06</t>
        </is>
      </c>
      <c r="H957" t="inlineStr">
        <is>
          <t>SELESAI</t>
        </is>
      </c>
      <c r="I957" t="inlineStr">
        <is>
          <t>MK00082</t>
        </is>
      </c>
      <c r="J957" t="inlineStr"/>
    </row>
    <row r="958">
      <c r="A958" t="inlineStr">
        <is>
          <t>11/06/2026</t>
        </is>
      </c>
      <c r="B958" t="inlineStr">
        <is>
          <t>528000309</t>
        </is>
      </c>
      <c r="C958" t="inlineStr">
        <is>
          <t>Ilham Ramadhan</t>
        </is>
      </c>
      <c r="D958" t="inlineStr">
        <is>
          <t>LOG</t>
        </is>
      </c>
      <c r="E958" t="inlineStr">
        <is>
          <t>WRM Harian</t>
        </is>
      </c>
      <c r="F958" t="inlineStr">
        <is>
          <t>05:54:28</t>
        </is>
      </c>
      <c r="G958" t="inlineStr">
        <is>
          <t>14:06:58</t>
        </is>
      </c>
      <c r="H958" t="inlineStr">
        <is>
          <t>SELESAI</t>
        </is>
      </c>
      <c r="I958" t="inlineStr">
        <is>
          <t>MK00208</t>
        </is>
      </c>
      <c r="J958" t="inlineStr"/>
    </row>
    <row r="959">
      <c r="A959" t="inlineStr">
        <is>
          <t>11/06/2026</t>
        </is>
      </c>
      <c r="B959" t="inlineStr">
        <is>
          <t>528000313</t>
        </is>
      </c>
      <c r="C959" t="inlineStr">
        <is>
          <t>Muhamad Rifki</t>
        </is>
      </c>
      <c r="D959" t="inlineStr">
        <is>
          <t>PROD</t>
        </is>
      </c>
      <c r="E959" t="inlineStr">
        <is>
          <t>Produksi Harian</t>
        </is>
      </c>
      <c r="F959" t="inlineStr">
        <is>
          <t>05:40:31</t>
        </is>
      </c>
      <c r="G959" t="inlineStr">
        <is>
          <t>14:03:23</t>
        </is>
      </c>
      <c r="H959" t="inlineStr">
        <is>
          <t>SELESAI</t>
        </is>
      </c>
      <c r="I959" t="inlineStr">
        <is>
          <t>MK00138</t>
        </is>
      </c>
      <c r="J959" t="inlineStr"/>
    </row>
    <row r="960">
      <c r="A960" t="inlineStr">
        <is>
          <t>11/06/2026</t>
        </is>
      </c>
      <c r="B960" t="inlineStr">
        <is>
          <t>528000318</t>
        </is>
      </c>
      <c r="C960" t="inlineStr">
        <is>
          <t>Bayu Padli Sepriyana</t>
        </is>
      </c>
      <c r="D960" t="inlineStr">
        <is>
          <t>LOG</t>
        </is>
      </c>
      <c r="E960" t="inlineStr">
        <is>
          <t>WRM Harian</t>
        </is>
      </c>
      <c r="F960" t="inlineStr">
        <is>
          <t>05:49:14</t>
        </is>
      </c>
      <c r="G960" t="inlineStr"/>
      <c r="H960" t="inlineStr">
        <is>
          <t>DI DALAM</t>
        </is>
      </c>
      <c r="I960" t="inlineStr">
        <is>
          <t>MK00210</t>
        </is>
      </c>
      <c r="J960" t="inlineStr"/>
    </row>
    <row r="961">
      <c r="A961" t="inlineStr">
        <is>
          <t>11/06/2026</t>
        </is>
      </c>
      <c r="B961" t="inlineStr">
        <is>
          <t>528000332</t>
        </is>
      </c>
      <c r="C961" t="inlineStr">
        <is>
          <t>Ena Indriani</t>
        </is>
      </c>
      <c r="D961" t="inlineStr">
        <is>
          <t>PROD</t>
        </is>
      </c>
      <c r="E961" t="inlineStr">
        <is>
          <t>Produksi Harian</t>
        </is>
      </c>
      <c r="F961" t="inlineStr">
        <is>
          <t>13:44:20</t>
        </is>
      </c>
      <c r="G961" t="inlineStr">
        <is>
          <t>22:08:28</t>
        </is>
      </c>
      <c r="H961" t="inlineStr">
        <is>
          <t>SELESAI</t>
        </is>
      </c>
      <c r="I961" t="inlineStr">
        <is>
          <t>MK00145</t>
        </is>
      </c>
      <c r="J961" t="inlineStr"/>
    </row>
    <row r="962">
      <c r="A962" t="inlineStr">
        <is>
          <t>11/06/2026</t>
        </is>
      </c>
      <c r="B962" t="inlineStr">
        <is>
          <t>528000337</t>
        </is>
      </c>
      <c r="C962" t="inlineStr">
        <is>
          <t>Ahmad Zaldi Firdaus</t>
        </is>
      </c>
      <c r="D962" t="inlineStr">
        <is>
          <t>PROD</t>
        </is>
      </c>
      <c r="E962" t="inlineStr">
        <is>
          <t>Produksi Harian</t>
        </is>
      </c>
      <c r="F962" t="inlineStr">
        <is>
          <t>20:49:34</t>
        </is>
      </c>
      <c r="G962" t="inlineStr"/>
      <c r="H962" t="inlineStr">
        <is>
          <t>DI DALAM</t>
        </is>
      </c>
      <c r="I962" t="inlineStr">
        <is>
          <t>MK00213</t>
        </is>
      </c>
      <c r="J962" t="inlineStr"/>
    </row>
    <row r="963">
      <c r="A963" t="inlineStr">
        <is>
          <t>11/06/2026</t>
        </is>
      </c>
      <c r="B963" t="inlineStr">
        <is>
          <t>528000340</t>
        </is>
      </c>
      <c r="C963" t="inlineStr">
        <is>
          <t>Muhammad Wildan Adithya</t>
        </is>
      </c>
      <c r="D963" t="inlineStr">
        <is>
          <t>PROD</t>
        </is>
      </c>
      <c r="E963" t="inlineStr">
        <is>
          <t>Produksi Harian</t>
        </is>
      </c>
      <c r="F963" t="inlineStr">
        <is>
          <t>05:49:08</t>
        </is>
      </c>
      <c r="G963" t="inlineStr">
        <is>
          <t>14:10:33</t>
        </is>
      </c>
      <c r="H963" t="inlineStr">
        <is>
          <t>SELESAI</t>
        </is>
      </c>
      <c r="I963" t="inlineStr">
        <is>
          <t>MK00249</t>
        </is>
      </c>
      <c r="J963" t="inlineStr"/>
    </row>
    <row r="964">
      <c r="A964" t="inlineStr">
        <is>
          <t>11/06/2026</t>
        </is>
      </c>
      <c r="B964" t="inlineStr">
        <is>
          <t>528000359</t>
        </is>
      </c>
      <c r="C964" t="inlineStr">
        <is>
          <t>M. Iqbal Maulana. S</t>
        </is>
      </c>
      <c r="D964" t="inlineStr">
        <is>
          <t>LOG</t>
        </is>
      </c>
      <c r="E964" t="inlineStr">
        <is>
          <t>WRM Harian</t>
        </is>
      </c>
      <c r="F964" t="inlineStr">
        <is>
          <t>13:49:46</t>
        </is>
      </c>
      <c r="G964" t="inlineStr">
        <is>
          <t>22:02:06</t>
        </is>
      </c>
      <c r="H964" t="inlineStr">
        <is>
          <t>SELESAI</t>
        </is>
      </c>
      <c r="I964" t="inlineStr">
        <is>
          <t>MK00192</t>
        </is>
      </c>
      <c r="J964" t="inlineStr"/>
    </row>
    <row r="965">
      <c r="A965" t="inlineStr">
        <is>
          <t>11/06/2026</t>
        </is>
      </c>
      <c r="B965" t="inlineStr">
        <is>
          <t>528000361</t>
        </is>
      </c>
      <c r="C965" t="inlineStr">
        <is>
          <t>Denada Munggarani</t>
        </is>
      </c>
      <c r="D965" t="inlineStr">
        <is>
          <t>PROD</t>
        </is>
      </c>
      <c r="E965" t="inlineStr">
        <is>
          <t>Produksi Harian</t>
        </is>
      </c>
      <c r="F965" t="inlineStr">
        <is>
          <t>05:52:17</t>
        </is>
      </c>
      <c r="G965" t="inlineStr">
        <is>
          <t>14:07:10</t>
        </is>
      </c>
      <c r="H965" t="inlineStr">
        <is>
          <t>SELESAI</t>
        </is>
      </c>
      <c r="I965" t="inlineStr">
        <is>
          <t>MK00141</t>
        </is>
      </c>
      <c r="J965" t="inlineStr"/>
    </row>
    <row r="966">
      <c r="A966" t="inlineStr">
        <is>
          <t>11/06/2026</t>
        </is>
      </c>
      <c r="B966" t="inlineStr">
        <is>
          <t>628000061</t>
        </is>
      </c>
      <c r="C966" t="inlineStr">
        <is>
          <t>Nayla Fadillah Exwantoro</t>
        </is>
      </c>
      <c r="D966" t="inlineStr">
        <is>
          <t>PROD</t>
        </is>
      </c>
      <c r="E966" t="inlineStr">
        <is>
          <t>Produksi Borongan</t>
        </is>
      </c>
      <c r="F966" t="inlineStr"/>
      <c r="G966" t="inlineStr">
        <is>
          <t>01:11:42</t>
        </is>
      </c>
      <c r="H966" t="inlineStr">
        <is>
          <t>KELUAR TANPA MASUK</t>
        </is>
      </c>
      <c r="I966" t="inlineStr">
        <is>
          <t>MK00228</t>
        </is>
      </c>
      <c r="J966" t="inlineStr">
        <is>
          <t>E-12</t>
        </is>
      </c>
    </row>
    <row r="967">
      <c r="A967" t="inlineStr">
        <is>
          <t>11/06/2026</t>
        </is>
      </c>
      <c r="B967" t="inlineStr">
        <is>
          <t>628000064</t>
        </is>
      </c>
      <c r="C967" t="inlineStr">
        <is>
          <t>Silva Alypia</t>
        </is>
      </c>
      <c r="D967" t="inlineStr">
        <is>
          <t>PROD</t>
        </is>
      </c>
      <c r="E967" t="inlineStr">
        <is>
          <t>Produksi Borongan</t>
        </is>
      </c>
      <c r="F967" t="inlineStr">
        <is>
          <t>21:50:00</t>
        </is>
      </c>
      <c r="G967" t="inlineStr">
        <is>
          <t>06:06:54</t>
        </is>
      </c>
      <c r="H967" t="inlineStr">
        <is>
          <t>SELESAI</t>
        </is>
      </c>
      <c r="I967" t="inlineStr">
        <is>
          <t>MK00228</t>
        </is>
      </c>
      <c r="J967" t="inlineStr"/>
    </row>
    <row r="968">
      <c r="A968" t="inlineStr">
        <is>
          <t>12/06/2026</t>
        </is>
      </c>
      <c r="B968" t="inlineStr">
        <is>
          <t>528000015</t>
        </is>
      </c>
      <c r="C968" t="inlineStr">
        <is>
          <t>Erwin</t>
        </is>
      </c>
      <c r="D968" t="inlineStr">
        <is>
          <t>LOG</t>
        </is>
      </c>
      <c r="E968" t="inlineStr">
        <is>
          <t>WRM Harian</t>
        </is>
      </c>
      <c r="F968" t="inlineStr">
        <is>
          <t>12:45:06</t>
        </is>
      </c>
      <c r="G968" t="inlineStr">
        <is>
          <t>18:01:21</t>
        </is>
      </c>
      <c r="H968" t="inlineStr">
        <is>
          <t>SELESAI</t>
        </is>
      </c>
      <c r="I968" t="inlineStr">
        <is>
          <t>MK00138</t>
        </is>
      </c>
      <c r="J968" t="inlineStr"/>
    </row>
    <row r="969">
      <c r="A969" t="inlineStr">
        <is>
          <t>12/06/2026</t>
        </is>
      </c>
      <c r="B969" t="inlineStr">
        <is>
          <t>528000144</t>
        </is>
      </c>
      <c r="C969" t="inlineStr">
        <is>
          <t>Jodi Hanafi</t>
        </is>
      </c>
      <c r="D969" t="inlineStr">
        <is>
          <t>LOG</t>
        </is>
      </c>
      <c r="E969" t="inlineStr">
        <is>
          <t>WRM Harian</t>
        </is>
      </c>
      <c r="F969" t="inlineStr">
        <is>
          <t>12:55:46</t>
        </is>
      </c>
      <c r="G969" t="inlineStr"/>
      <c r="H969" t="inlineStr">
        <is>
          <t>DI DALAM</t>
        </is>
      </c>
      <c r="I969" t="inlineStr">
        <is>
          <t>MK00213</t>
        </is>
      </c>
      <c r="J969" t="inlineStr"/>
    </row>
    <row r="970">
      <c r="A970" t="inlineStr">
        <is>
          <t>12/06/2026</t>
        </is>
      </c>
      <c r="B970" t="inlineStr">
        <is>
          <t>528000149</t>
        </is>
      </c>
      <c r="C970" t="inlineStr">
        <is>
          <t>Tio Fernanda</t>
        </is>
      </c>
      <c r="D970" t="inlineStr">
        <is>
          <t>LOG</t>
        </is>
      </c>
      <c r="E970" t="inlineStr">
        <is>
          <t>WRM Harian</t>
        </is>
      </c>
      <c r="F970" t="inlineStr">
        <is>
          <t>12:45:34</t>
        </is>
      </c>
      <c r="G970" t="inlineStr">
        <is>
          <t>18:00:18</t>
        </is>
      </c>
      <c r="H970" t="inlineStr">
        <is>
          <t>SELESAI</t>
        </is>
      </c>
      <c r="I970" t="inlineStr">
        <is>
          <t>MK00212</t>
        </is>
      </c>
      <c r="J970" t="inlineStr"/>
    </row>
    <row r="971">
      <c r="A971" t="inlineStr">
        <is>
          <t>12/06/2026</t>
        </is>
      </c>
      <c r="B971" t="inlineStr">
        <is>
          <t>528000195</t>
        </is>
      </c>
      <c r="C971" t="inlineStr">
        <is>
          <t>Rahma Sariwati</t>
        </is>
      </c>
      <c r="D971" t="inlineStr">
        <is>
          <t>PROD</t>
        </is>
      </c>
      <c r="E971" t="inlineStr">
        <is>
          <t>Produksi Harian</t>
        </is>
      </c>
      <c r="F971" t="inlineStr">
        <is>
          <t>05:48:27</t>
        </is>
      </c>
      <c r="G971" t="inlineStr">
        <is>
          <t>14:08:05</t>
        </is>
      </c>
      <c r="H971" t="inlineStr">
        <is>
          <t>SELESAI</t>
        </is>
      </c>
      <c r="I971" t="inlineStr">
        <is>
          <t>MK00210</t>
        </is>
      </c>
      <c r="J971" t="inlineStr"/>
    </row>
    <row r="972">
      <c r="A972" t="inlineStr">
        <is>
          <t>12/06/2026</t>
        </is>
      </c>
      <c r="B972" t="inlineStr">
        <is>
          <t>528000238</t>
        </is>
      </c>
      <c r="C972" t="inlineStr">
        <is>
          <t>Indah Lusiana</t>
        </is>
      </c>
      <c r="D972" t="inlineStr">
        <is>
          <t>PROD</t>
        </is>
      </c>
      <c r="E972" t="inlineStr">
        <is>
          <t>Produksi Harian</t>
        </is>
      </c>
      <c r="F972" t="inlineStr"/>
      <c r="G972" t="inlineStr">
        <is>
          <t>06:06:51</t>
        </is>
      </c>
      <c r="H972" t="inlineStr">
        <is>
          <t>KELUAR TANPA MASUK</t>
        </is>
      </c>
      <c r="I972" t="inlineStr">
        <is>
          <t>MK00085</t>
        </is>
      </c>
      <c r="J972" t="inlineStr"/>
    </row>
    <row r="973">
      <c r="A973" t="inlineStr">
        <is>
          <t>12/06/2026</t>
        </is>
      </c>
      <c r="B973" t="inlineStr">
        <is>
          <t>528000262</t>
        </is>
      </c>
      <c r="C973" t="inlineStr">
        <is>
          <t>Ndari Dwiwanti</t>
        </is>
      </c>
      <c r="D973" t="inlineStr">
        <is>
          <t>PROD</t>
        </is>
      </c>
      <c r="E973" t="inlineStr">
        <is>
          <t>Produksi Harian</t>
        </is>
      </c>
      <c r="F973" t="inlineStr">
        <is>
          <t>05:44:11</t>
        </is>
      </c>
      <c r="G973" t="inlineStr">
        <is>
          <t>14:05:24</t>
        </is>
      </c>
      <c r="H973" t="inlineStr">
        <is>
          <t>SELESAI</t>
        </is>
      </c>
      <c r="I973" t="inlineStr">
        <is>
          <t>MK00228</t>
        </is>
      </c>
      <c r="J973" t="inlineStr"/>
    </row>
    <row r="974">
      <c r="A974" t="inlineStr">
        <is>
          <t>12/06/2026</t>
        </is>
      </c>
      <c r="B974" t="inlineStr">
        <is>
          <t>528000265</t>
        </is>
      </c>
      <c r="C974" t="inlineStr">
        <is>
          <t>Muhammad Haerul Rozikin</t>
        </is>
      </c>
      <c r="D974" t="inlineStr">
        <is>
          <t>LOG</t>
        </is>
      </c>
      <c r="E974" t="inlineStr">
        <is>
          <t>WRM Harian</t>
        </is>
      </c>
      <c r="F974" t="inlineStr">
        <is>
          <t>07:53:12</t>
        </is>
      </c>
      <c r="G974" t="inlineStr">
        <is>
          <t>13:03:10</t>
        </is>
      </c>
      <c r="H974" t="inlineStr">
        <is>
          <t>SELESAI</t>
        </is>
      </c>
      <c r="I974" t="inlineStr">
        <is>
          <t>MK00181</t>
        </is>
      </c>
      <c r="J974" t="inlineStr"/>
    </row>
    <row r="975">
      <c r="A975" t="inlineStr">
        <is>
          <t>12/06/2026</t>
        </is>
      </c>
      <c r="B975" t="inlineStr">
        <is>
          <t>528000270</t>
        </is>
      </c>
      <c r="C975" t="inlineStr">
        <is>
          <t>Febri Najmudin</t>
        </is>
      </c>
      <c r="D975" t="inlineStr">
        <is>
          <t>LOG</t>
        </is>
      </c>
      <c r="E975" t="inlineStr">
        <is>
          <t>WRM Harian</t>
        </is>
      </c>
      <c r="F975" t="inlineStr">
        <is>
          <t>13:46:25</t>
        </is>
      </c>
      <c r="G975" t="inlineStr">
        <is>
          <t>22:53:15</t>
        </is>
      </c>
      <c r="H975" t="inlineStr">
        <is>
          <t>SELESAI</t>
        </is>
      </c>
      <c r="I975" t="inlineStr">
        <is>
          <t>MK00151</t>
        </is>
      </c>
      <c r="J975" t="inlineStr"/>
    </row>
    <row r="976">
      <c r="A976" t="inlineStr">
        <is>
          <t>12/06/2026</t>
        </is>
      </c>
      <c r="B976" t="inlineStr">
        <is>
          <t>528000279</t>
        </is>
      </c>
      <c r="C976" t="inlineStr">
        <is>
          <t>Mahdalena Dalfa Riani</t>
        </is>
      </c>
      <c r="D976" t="inlineStr">
        <is>
          <t>PROD</t>
        </is>
      </c>
      <c r="E976" t="inlineStr">
        <is>
          <t>Produksi Harian</t>
        </is>
      </c>
      <c r="F976" t="inlineStr">
        <is>
          <t>21:49:26</t>
        </is>
      </c>
      <c r="G976" t="inlineStr">
        <is>
          <t>06:03:38</t>
        </is>
      </c>
      <c r="H976" t="inlineStr">
        <is>
          <t>SELESAI</t>
        </is>
      </c>
      <c r="I976" t="inlineStr">
        <is>
          <t>MK00210</t>
        </is>
      </c>
      <c r="J976" t="inlineStr"/>
    </row>
    <row r="977">
      <c r="A977" t="inlineStr">
        <is>
          <t>12/06/2026</t>
        </is>
      </c>
      <c r="B977" t="inlineStr">
        <is>
          <t>528000282</t>
        </is>
      </c>
      <c r="C977" t="inlineStr">
        <is>
          <t>Defa Desfiana</t>
        </is>
      </c>
      <c r="D977" t="inlineStr">
        <is>
          <t>PROD</t>
        </is>
      </c>
      <c r="E977" t="inlineStr">
        <is>
          <t>Produksi Harian</t>
        </is>
      </c>
      <c r="F977" t="inlineStr">
        <is>
          <t>07:35:02</t>
        </is>
      </c>
      <c r="G977" t="inlineStr">
        <is>
          <t>13:04:08</t>
        </is>
      </c>
      <c r="H977" t="inlineStr">
        <is>
          <t>SELESAI</t>
        </is>
      </c>
      <c r="I977" t="inlineStr">
        <is>
          <t>MK00230</t>
        </is>
      </c>
      <c r="J977" t="inlineStr">
        <is>
          <t>23c</t>
        </is>
      </c>
    </row>
    <row r="978">
      <c r="A978" t="inlineStr">
        <is>
          <t>12/06/2026</t>
        </is>
      </c>
      <c r="B978" t="inlineStr">
        <is>
          <t>528000287</t>
        </is>
      </c>
      <c r="C978" t="inlineStr">
        <is>
          <t>Muhamad Angga Ramdani</t>
        </is>
      </c>
      <c r="D978" t="inlineStr">
        <is>
          <t>PROD</t>
        </is>
      </c>
      <c r="E978" t="inlineStr">
        <is>
          <t>Produksi Harian</t>
        </is>
      </c>
      <c r="F978" t="inlineStr">
        <is>
          <t>07:49:58</t>
        </is>
      </c>
      <c r="G978" t="inlineStr">
        <is>
          <t>13:04:59</t>
        </is>
      </c>
      <c r="H978" t="inlineStr">
        <is>
          <t>SELESAI</t>
        </is>
      </c>
      <c r="I978" t="inlineStr">
        <is>
          <t>MK00204</t>
        </is>
      </c>
      <c r="J978" t="inlineStr"/>
    </row>
    <row r="979">
      <c r="A979" t="inlineStr">
        <is>
          <t>12/06/2026</t>
        </is>
      </c>
      <c r="B979" t="inlineStr">
        <is>
          <t>528000297</t>
        </is>
      </c>
      <c r="C979" t="inlineStr">
        <is>
          <t>Muhamad Budiana</t>
        </is>
      </c>
      <c r="D979" t="inlineStr">
        <is>
          <t>PROD</t>
        </is>
      </c>
      <c r="E979" t="inlineStr">
        <is>
          <t>Produksi Harian</t>
        </is>
      </c>
      <c r="F979" t="inlineStr">
        <is>
          <t>21:52:44</t>
        </is>
      </c>
      <c r="G979" t="inlineStr">
        <is>
          <t>06:48:30</t>
        </is>
      </c>
      <c r="H979" t="inlineStr">
        <is>
          <t>SELESAI</t>
        </is>
      </c>
      <c r="I979" t="inlineStr">
        <is>
          <t>MK00138</t>
        </is>
      </c>
      <c r="J979" t="inlineStr"/>
    </row>
    <row r="980">
      <c r="A980" t="inlineStr">
        <is>
          <t>12/06/2026</t>
        </is>
      </c>
      <c r="B980" t="inlineStr">
        <is>
          <t>528000298</t>
        </is>
      </c>
      <c r="C980" t="inlineStr">
        <is>
          <t>Desta Cahaya Pratama</t>
        </is>
      </c>
      <c r="D980" t="inlineStr">
        <is>
          <t>PROD</t>
        </is>
      </c>
      <c r="E980" t="inlineStr">
        <is>
          <t>Produksi Harian</t>
        </is>
      </c>
      <c r="F980" t="inlineStr">
        <is>
          <t>13:34:26</t>
        </is>
      </c>
      <c r="G980" t="inlineStr"/>
      <c r="H980" t="inlineStr">
        <is>
          <t>DI DALAM</t>
        </is>
      </c>
      <c r="I980" t="inlineStr">
        <is>
          <t>MK00204</t>
        </is>
      </c>
      <c r="J980" t="inlineStr"/>
    </row>
    <row r="981">
      <c r="A981" t="inlineStr">
        <is>
          <t>12/06/2026</t>
        </is>
      </c>
      <c r="B981" t="inlineStr">
        <is>
          <t>528000299</t>
        </is>
      </c>
      <c r="C981" t="inlineStr">
        <is>
          <t>Siti Nurjanah</t>
        </is>
      </c>
      <c r="D981" t="inlineStr">
        <is>
          <t>PROD</t>
        </is>
      </c>
      <c r="E981" t="inlineStr">
        <is>
          <t>Produksi Harian</t>
        </is>
      </c>
      <c r="F981" t="inlineStr">
        <is>
          <t>13:42:49</t>
        </is>
      </c>
      <c r="G981" t="inlineStr">
        <is>
          <t>22:07:12</t>
        </is>
      </c>
      <c r="H981" t="inlineStr">
        <is>
          <t>SELESAI</t>
        </is>
      </c>
      <c r="I981" t="inlineStr">
        <is>
          <t>MK00221</t>
        </is>
      </c>
      <c r="J981" t="inlineStr"/>
    </row>
    <row r="982">
      <c r="A982" t="inlineStr">
        <is>
          <t>12/06/2026</t>
        </is>
      </c>
      <c r="B982" t="inlineStr">
        <is>
          <t>528000302</t>
        </is>
      </c>
      <c r="C982" t="inlineStr">
        <is>
          <t>Henkey gumilar</t>
        </is>
      </c>
      <c r="D982" t="inlineStr">
        <is>
          <t>PROD</t>
        </is>
      </c>
      <c r="E982" t="inlineStr">
        <is>
          <t>Produksi Harian</t>
        </is>
      </c>
      <c r="F982" t="inlineStr">
        <is>
          <t>13:48:51</t>
        </is>
      </c>
      <c r="G982" t="inlineStr">
        <is>
          <t>22:11:58</t>
        </is>
      </c>
      <c r="H982" t="inlineStr">
        <is>
          <t>SELESAI</t>
        </is>
      </c>
      <c r="I982" t="inlineStr">
        <is>
          <t>MK00109</t>
        </is>
      </c>
      <c r="J982" t="inlineStr"/>
    </row>
    <row r="983">
      <c r="A983" t="inlineStr">
        <is>
          <t>12/06/2026</t>
        </is>
      </c>
      <c r="B983" t="inlineStr">
        <is>
          <t>528000348</t>
        </is>
      </c>
      <c r="C983" t="inlineStr">
        <is>
          <t>Saepuloh Ardiansah</t>
        </is>
      </c>
      <c r="D983" t="inlineStr">
        <is>
          <t>LOG</t>
        </is>
      </c>
      <c r="E983" t="inlineStr">
        <is>
          <t>WRM Harian</t>
        </is>
      </c>
      <c r="F983" t="inlineStr">
        <is>
          <t>08:54:39</t>
        </is>
      </c>
      <c r="G983" t="inlineStr"/>
      <c r="H983" t="inlineStr">
        <is>
          <t>DI DALAM</t>
        </is>
      </c>
      <c r="I983" t="inlineStr">
        <is>
          <t>MK00205</t>
        </is>
      </c>
      <c r="J983" t="inlineStr"/>
    </row>
    <row r="984">
      <c r="A984" t="inlineStr">
        <is>
          <t>12/06/2026</t>
        </is>
      </c>
      <c r="B984" t="inlineStr">
        <is>
          <t>528000351</t>
        </is>
      </c>
      <c r="C984" t="inlineStr">
        <is>
          <t>Mulyana</t>
        </is>
      </c>
      <c r="D984" t="inlineStr">
        <is>
          <t>PROD</t>
        </is>
      </c>
      <c r="E984" t="inlineStr">
        <is>
          <t>Produksi Harian</t>
        </is>
      </c>
      <c r="F984" t="inlineStr">
        <is>
          <t>08:11:52</t>
        </is>
      </c>
      <c r="G984" t="inlineStr">
        <is>
          <t>13:03:00</t>
        </is>
      </c>
      <c r="H984" t="inlineStr">
        <is>
          <t>SELESAI</t>
        </is>
      </c>
      <c r="I984" t="inlineStr">
        <is>
          <t>MK00113</t>
        </is>
      </c>
      <c r="J984" t="inlineStr"/>
    </row>
    <row r="985">
      <c r="A985" t="inlineStr">
        <is>
          <t>12/06/2026</t>
        </is>
      </c>
      <c r="B985" t="inlineStr">
        <is>
          <t>528000358</t>
        </is>
      </c>
      <c r="C985" t="inlineStr">
        <is>
          <t>Lulu Agustin</t>
        </is>
      </c>
      <c r="D985" t="inlineStr">
        <is>
          <t>PROD</t>
        </is>
      </c>
      <c r="E985" t="inlineStr">
        <is>
          <t>Produksi Harian</t>
        </is>
      </c>
      <c r="F985" t="inlineStr">
        <is>
          <t>05:40:01</t>
        </is>
      </c>
      <c r="G985" t="inlineStr">
        <is>
          <t>14:05:58</t>
        </is>
      </c>
      <c r="H985" t="inlineStr">
        <is>
          <t>SELESAI</t>
        </is>
      </c>
      <c r="I985" t="inlineStr">
        <is>
          <t>MK00141</t>
        </is>
      </c>
      <c r="J985" t="inlineStr"/>
    </row>
    <row r="986">
      <c r="A986" t="inlineStr">
        <is>
          <t>12/06/2026</t>
        </is>
      </c>
      <c r="B986" t="inlineStr">
        <is>
          <t>628000061</t>
        </is>
      </c>
      <c r="C986" t="inlineStr">
        <is>
          <t>Nayla Fadillah Exwantoro</t>
        </is>
      </c>
      <c r="D986" t="inlineStr">
        <is>
          <t>PROD</t>
        </is>
      </c>
      <c r="E986" t="inlineStr">
        <is>
          <t>Produksi Borongan</t>
        </is>
      </c>
      <c r="F986" t="inlineStr">
        <is>
          <t>12:51:24</t>
        </is>
      </c>
      <c r="G986" t="inlineStr"/>
      <c r="H986" t="inlineStr">
        <is>
          <t>DI DALAM</t>
        </is>
      </c>
      <c r="I986" t="inlineStr">
        <is>
          <t>MK00192</t>
        </is>
      </c>
      <c r="J986" t="inlineStr">
        <is>
          <t>E-12</t>
        </is>
      </c>
    </row>
    <row r="987">
      <c r="A987" t="inlineStr">
        <is>
          <t>12/06/2026</t>
        </is>
      </c>
      <c r="B987" t="inlineStr">
        <is>
          <t>628000064</t>
        </is>
      </c>
      <c r="C987" t="inlineStr">
        <is>
          <t>Silva Alypia</t>
        </is>
      </c>
      <c r="D987" t="inlineStr">
        <is>
          <t>PROD</t>
        </is>
      </c>
      <c r="E987" t="inlineStr">
        <is>
          <t>Produksi Borongan</t>
        </is>
      </c>
      <c r="F987" t="inlineStr">
        <is>
          <t>21:49:13</t>
        </is>
      </c>
      <c r="G987" t="inlineStr">
        <is>
          <t>06:05:18</t>
        </is>
      </c>
      <c r="H987" t="inlineStr">
        <is>
          <t>SELESAI</t>
        </is>
      </c>
      <c r="I987" t="inlineStr">
        <is>
          <t>MK00150</t>
        </is>
      </c>
      <c r="J987" t="inlineStr"/>
    </row>
    <row r="988">
      <c r="A988" t="inlineStr">
        <is>
          <t>12/06/2026</t>
        </is>
      </c>
      <c r="B988" t="inlineStr">
        <is>
          <t>628000091</t>
        </is>
      </c>
      <c r="C988" t="inlineStr">
        <is>
          <t>Devita Handayani</t>
        </is>
      </c>
      <c r="D988" t="inlineStr">
        <is>
          <t>PROD</t>
        </is>
      </c>
      <c r="E988" t="inlineStr">
        <is>
          <t>Produksi Borongan</t>
        </is>
      </c>
      <c r="F988" t="inlineStr">
        <is>
          <t>16:54:46</t>
        </is>
      </c>
      <c r="G988" t="inlineStr">
        <is>
          <t>16:54:25</t>
        </is>
      </c>
      <c r="H988" t="inlineStr">
        <is>
          <t>SELESAI</t>
        </is>
      </c>
      <c r="I988" t="inlineStr">
        <is>
          <t>MK00113</t>
        </is>
      </c>
      <c r="J988" t="inlineStr"/>
    </row>
    <row r="989">
      <c r="A989" t="inlineStr">
        <is>
          <t>13/06/2026</t>
        </is>
      </c>
      <c r="B989" t="inlineStr">
        <is>
          <t>528000015</t>
        </is>
      </c>
      <c r="C989" t="inlineStr">
        <is>
          <t>Erwin</t>
        </is>
      </c>
      <c r="D989" t="inlineStr">
        <is>
          <t>LOG</t>
        </is>
      </c>
      <c r="E989" t="inlineStr">
        <is>
          <t>WRM Harian</t>
        </is>
      </c>
      <c r="F989" t="inlineStr">
        <is>
          <t>07:50:24</t>
        </is>
      </c>
      <c r="G989" t="inlineStr">
        <is>
          <t>16:02:27</t>
        </is>
      </c>
      <c r="H989" t="inlineStr">
        <is>
          <t>SELESAI</t>
        </is>
      </c>
      <c r="I989" t="inlineStr">
        <is>
          <t>MK00228</t>
        </is>
      </c>
      <c r="J989" t="inlineStr"/>
    </row>
    <row r="990">
      <c r="A990" t="inlineStr">
        <is>
          <t>13/06/2026</t>
        </is>
      </c>
      <c r="B990" t="inlineStr">
        <is>
          <t>528000099</t>
        </is>
      </c>
      <c r="C990" t="inlineStr">
        <is>
          <t>Siti Nurawaliah</t>
        </is>
      </c>
      <c r="D990" t="inlineStr">
        <is>
          <t>PROD</t>
        </is>
      </c>
      <c r="E990" t="inlineStr">
        <is>
          <t>Produksi Harian</t>
        </is>
      </c>
      <c r="F990" t="inlineStr">
        <is>
          <t>21:38:30</t>
        </is>
      </c>
      <c r="G990" t="inlineStr"/>
      <c r="H990" t="inlineStr">
        <is>
          <t>DI DALAM</t>
        </is>
      </c>
      <c r="I990" t="inlineStr">
        <is>
          <t>MK00116</t>
        </is>
      </c>
      <c r="J990" t="inlineStr"/>
    </row>
    <row r="991">
      <c r="A991" t="inlineStr">
        <is>
          <t>13/06/2026</t>
        </is>
      </c>
      <c r="B991" t="inlineStr">
        <is>
          <t>528000144</t>
        </is>
      </c>
      <c r="C991" t="inlineStr">
        <is>
          <t>Jodi Hanafi</t>
        </is>
      </c>
      <c r="D991" t="inlineStr">
        <is>
          <t>LOG</t>
        </is>
      </c>
      <c r="E991" t="inlineStr">
        <is>
          <t>WRM Harian</t>
        </is>
      </c>
      <c r="F991" t="inlineStr"/>
      <c r="G991" t="inlineStr">
        <is>
          <t>07:41:38</t>
        </is>
      </c>
      <c r="H991" t="inlineStr">
        <is>
          <t>KELUAR TANPA MASUK</t>
        </is>
      </c>
      <c r="I991" t="inlineStr">
        <is>
          <t>MK00213</t>
        </is>
      </c>
      <c r="J991" t="inlineStr"/>
    </row>
    <row r="992">
      <c r="A992" t="inlineStr">
        <is>
          <t>13/06/2026</t>
        </is>
      </c>
      <c r="B992" t="inlineStr">
        <is>
          <t>528000201</t>
        </is>
      </c>
      <c r="C992" t="inlineStr">
        <is>
          <t>Zahwa Amelia Choerunissa</t>
        </is>
      </c>
      <c r="D992" t="inlineStr">
        <is>
          <t>PROD</t>
        </is>
      </c>
      <c r="E992" t="inlineStr">
        <is>
          <t>Produksi Harian</t>
        </is>
      </c>
      <c r="F992" t="inlineStr">
        <is>
          <t>21:38:05</t>
        </is>
      </c>
      <c r="G992" t="inlineStr"/>
      <c r="H992" t="inlineStr">
        <is>
          <t>DI DALAM</t>
        </is>
      </c>
      <c r="I992" t="inlineStr">
        <is>
          <t>MK00112</t>
        </is>
      </c>
      <c r="J992" t="inlineStr"/>
    </row>
    <row r="993">
      <c r="A993" t="inlineStr">
        <is>
          <t>13/06/2026</t>
        </is>
      </c>
      <c r="B993" t="inlineStr">
        <is>
          <t>528000244</t>
        </is>
      </c>
      <c r="C993" t="inlineStr">
        <is>
          <t>Rodian Rifai</t>
        </is>
      </c>
      <c r="D993" t="inlineStr">
        <is>
          <t>PROD</t>
        </is>
      </c>
      <c r="E993" t="inlineStr">
        <is>
          <t>Produksi Harian</t>
        </is>
      </c>
      <c r="F993" t="inlineStr">
        <is>
          <t>21:31:56</t>
        </is>
      </c>
      <c r="G993" t="inlineStr"/>
      <c r="H993" t="inlineStr">
        <is>
          <t>DI DALAM</t>
        </is>
      </c>
      <c r="I993" t="inlineStr">
        <is>
          <t>MK00249</t>
        </is>
      </c>
      <c r="J993" t="inlineStr">
        <is>
          <t>31B</t>
        </is>
      </c>
    </row>
    <row r="994">
      <c r="A994" t="inlineStr">
        <is>
          <t>13/06/2026</t>
        </is>
      </c>
      <c r="B994" t="inlineStr">
        <is>
          <t>528000262</t>
        </is>
      </c>
      <c r="C994" t="inlineStr">
        <is>
          <t>Ndari Dwiwanti</t>
        </is>
      </c>
      <c r="D994" t="inlineStr">
        <is>
          <t>PROD</t>
        </is>
      </c>
      <c r="E994" t="inlineStr">
        <is>
          <t>Produksi Harian</t>
        </is>
      </c>
      <c r="F994" t="inlineStr">
        <is>
          <t>05:33:50</t>
        </is>
      </c>
      <c r="G994" t="inlineStr">
        <is>
          <t>14:04:32</t>
        </is>
      </c>
      <c r="H994" t="inlineStr">
        <is>
          <t>SELESAI</t>
        </is>
      </c>
      <c r="I994" t="inlineStr">
        <is>
          <t>MK00151</t>
        </is>
      </c>
      <c r="J994" t="inlineStr"/>
    </row>
    <row r="995">
      <c r="A995" t="inlineStr">
        <is>
          <t>13/06/2026</t>
        </is>
      </c>
      <c r="B995" t="inlineStr">
        <is>
          <t>528000265</t>
        </is>
      </c>
      <c r="C995" t="inlineStr">
        <is>
          <t>Muhammad Haerul Rozikin</t>
        </is>
      </c>
      <c r="D995" t="inlineStr">
        <is>
          <t>LOG</t>
        </is>
      </c>
      <c r="E995" t="inlineStr">
        <is>
          <t>WRM Harian</t>
        </is>
      </c>
      <c r="F995" t="inlineStr">
        <is>
          <t>07:54:52</t>
        </is>
      </c>
      <c r="G995" t="inlineStr">
        <is>
          <t>16:08:10</t>
        </is>
      </c>
      <c r="H995" t="inlineStr">
        <is>
          <t>SELESAI</t>
        </is>
      </c>
      <c r="I995" t="inlineStr">
        <is>
          <t>MK00138</t>
        </is>
      </c>
      <c r="J995" t="inlineStr"/>
    </row>
    <row r="996">
      <c r="A996" t="inlineStr">
        <is>
          <t>13/06/2026</t>
        </is>
      </c>
      <c r="B996" t="inlineStr">
        <is>
          <t>528000266</t>
        </is>
      </c>
      <c r="C996" t="inlineStr">
        <is>
          <t>M. Syirajatieq</t>
        </is>
      </c>
      <c r="D996" t="inlineStr">
        <is>
          <t>LOG</t>
        </is>
      </c>
      <c r="E996" t="inlineStr">
        <is>
          <t>WFG Harian</t>
        </is>
      </c>
      <c r="F996" t="inlineStr">
        <is>
          <t>05:42:39</t>
        </is>
      </c>
      <c r="G996" t="inlineStr">
        <is>
          <t>14:19:58</t>
        </is>
      </c>
      <c r="H996" t="inlineStr">
        <is>
          <t>SELESAI</t>
        </is>
      </c>
      <c r="I996" t="inlineStr">
        <is>
          <t>MK00210</t>
        </is>
      </c>
      <c r="J996" t="inlineStr"/>
    </row>
    <row r="997">
      <c r="A997" t="inlineStr">
        <is>
          <t>13/06/2026</t>
        </is>
      </c>
      <c r="B997" t="inlineStr">
        <is>
          <t>528000270</t>
        </is>
      </c>
      <c r="C997" t="inlineStr">
        <is>
          <t>Febri Najmudin</t>
        </is>
      </c>
      <c r="D997" t="inlineStr">
        <is>
          <t>LOG</t>
        </is>
      </c>
      <c r="E997" t="inlineStr">
        <is>
          <t>WRM Harian</t>
        </is>
      </c>
      <c r="F997" t="inlineStr">
        <is>
          <t>13:46:15</t>
        </is>
      </c>
      <c r="G997" t="inlineStr">
        <is>
          <t>22:06:37</t>
        </is>
      </c>
      <c r="H997" t="inlineStr">
        <is>
          <t>SELESAI</t>
        </is>
      </c>
      <c r="I997" t="inlineStr">
        <is>
          <t>MK00158</t>
        </is>
      </c>
      <c r="J997" t="inlineStr"/>
    </row>
    <row r="998">
      <c r="A998" t="inlineStr">
        <is>
          <t>13/06/2026</t>
        </is>
      </c>
      <c r="B998" t="inlineStr">
        <is>
          <t>528000279</t>
        </is>
      </c>
      <c r="C998" t="inlineStr">
        <is>
          <t>Mahdalena Dalfa Riani</t>
        </is>
      </c>
      <c r="D998" t="inlineStr">
        <is>
          <t>PROD</t>
        </is>
      </c>
      <c r="E998" t="inlineStr">
        <is>
          <t>Produksi Harian</t>
        </is>
      </c>
      <c r="F998" t="inlineStr"/>
      <c r="G998" t="inlineStr">
        <is>
          <t>06:04:21</t>
        </is>
      </c>
      <c r="H998" t="inlineStr">
        <is>
          <t>KELUAR TANPA MASUK</t>
        </is>
      </c>
      <c r="I998" t="inlineStr">
        <is>
          <t>MK00210</t>
        </is>
      </c>
      <c r="J998" t="inlineStr"/>
    </row>
    <row r="999">
      <c r="A999" t="inlineStr">
        <is>
          <t>13/06/2026</t>
        </is>
      </c>
      <c r="B999" t="inlineStr">
        <is>
          <t>528000282</t>
        </is>
      </c>
      <c r="C999" t="inlineStr">
        <is>
          <t>Defa Desfiana</t>
        </is>
      </c>
      <c r="D999" t="inlineStr">
        <is>
          <t>PROD</t>
        </is>
      </c>
      <c r="E999" t="inlineStr">
        <is>
          <t>Produksi Harian</t>
        </is>
      </c>
      <c r="F999" t="inlineStr">
        <is>
          <t>13:34:47</t>
        </is>
      </c>
      <c r="G999" t="inlineStr">
        <is>
          <t>22:03:16</t>
        </is>
      </c>
      <c r="H999" t="inlineStr">
        <is>
          <t>SELESAI</t>
        </is>
      </c>
      <c r="I999" t="inlineStr">
        <is>
          <t>MK00156</t>
        </is>
      </c>
      <c r="J999" t="inlineStr"/>
    </row>
    <row r="1000">
      <c r="A1000" t="inlineStr">
        <is>
          <t>13/06/2026</t>
        </is>
      </c>
      <c r="B1000" t="inlineStr">
        <is>
          <t>528000283</t>
        </is>
      </c>
      <c r="C1000" t="inlineStr">
        <is>
          <t>Purwanda Sugiri</t>
        </is>
      </c>
      <c r="D1000" t="inlineStr">
        <is>
          <t>LOG</t>
        </is>
      </c>
      <c r="E1000" t="inlineStr">
        <is>
          <t>WRM Harian</t>
        </is>
      </c>
      <c r="F1000" t="inlineStr">
        <is>
          <t>05:47:06</t>
        </is>
      </c>
      <c r="G1000" t="inlineStr">
        <is>
          <t>14:06:35</t>
        </is>
      </c>
      <c r="H1000" t="inlineStr">
        <is>
          <t>SELESAI</t>
        </is>
      </c>
      <c r="I1000" t="inlineStr">
        <is>
          <t>MK00150</t>
        </is>
      </c>
      <c r="J1000" t="inlineStr"/>
    </row>
    <row r="1001">
      <c r="A1001" t="inlineStr">
        <is>
          <t>13/06/2026</t>
        </is>
      </c>
      <c r="B1001" t="inlineStr">
        <is>
          <t>528000286</t>
        </is>
      </c>
      <c r="C1001" t="inlineStr">
        <is>
          <t>Imelda Amelia</t>
        </is>
      </c>
      <c r="D1001" t="inlineStr">
        <is>
          <t>PROD</t>
        </is>
      </c>
      <c r="E1001" t="inlineStr">
        <is>
          <t>Produksi Harian</t>
        </is>
      </c>
      <c r="F1001" t="inlineStr">
        <is>
          <t>21:35:53</t>
        </is>
      </c>
      <c r="G1001" t="inlineStr"/>
      <c r="H1001" t="inlineStr">
        <is>
          <t>DI DALAM</t>
        </is>
      </c>
      <c r="I1001" t="inlineStr">
        <is>
          <t>MK00230</t>
        </is>
      </c>
      <c r="J1001" t="inlineStr"/>
    </row>
    <row r="1002">
      <c r="A1002" t="inlineStr">
        <is>
          <t>13/06/2026</t>
        </is>
      </c>
      <c r="B1002" t="inlineStr">
        <is>
          <t>528000287</t>
        </is>
      </c>
      <c r="C1002" t="inlineStr">
        <is>
          <t>Muhamad Angga Ramdani</t>
        </is>
      </c>
      <c r="D1002" t="inlineStr">
        <is>
          <t>PROD</t>
        </is>
      </c>
      <c r="E1002" t="inlineStr">
        <is>
          <t>Produksi Harian</t>
        </is>
      </c>
      <c r="F1002" t="inlineStr">
        <is>
          <t>08:08:42</t>
        </is>
      </c>
      <c r="G1002" t="inlineStr">
        <is>
          <t>16:12:53</t>
        </is>
      </c>
      <c r="H1002" t="inlineStr">
        <is>
          <t>SELESAI</t>
        </is>
      </c>
      <c r="I1002" t="inlineStr">
        <is>
          <t>MK00202</t>
        </is>
      </c>
      <c r="J1002" t="inlineStr"/>
    </row>
    <row r="1003">
      <c r="A1003" t="inlineStr">
        <is>
          <t>13/06/2026</t>
        </is>
      </c>
      <c r="B1003" t="inlineStr">
        <is>
          <t>528000290</t>
        </is>
      </c>
      <c r="C1003" t="inlineStr">
        <is>
          <t>Eval Pranata</t>
        </is>
      </c>
      <c r="D1003" t="inlineStr">
        <is>
          <t>PROD</t>
        </is>
      </c>
      <c r="E1003" t="inlineStr">
        <is>
          <t>Produksi Harian</t>
        </is>
      </c>
      <c r="F1003" t="inlineStr">
        <is>
          <t>21:46:42</t>
        </is>
      </c>
      <c r="G1003" t="inlineStr"/>
      <c r="H1003" t="inlineStr">
        <is>
          <t>DI DALAM</t>
        </is>
      </c>
      <c r="I1003" t="inlineStr">
        <is>
          <t>MK00150</t>
        </is>
      </c>
      <c r="J1003" t="inlineStr"/>
    </row>
    <row r="1004">
      <c r="A1004" t="inlineStr">
        <is>
          <t>13/06/2026</t>
        </is>
      </c>
      <c r="B1004" t="inlineStr">
        <is>
          <t>528000291</t>
        </is>
      </c>
      <c r="C1004" t="inlineStr">
        <is>
          <t>Andrian</t>
        </is>
      </c>
      <c r="D1004" t="inlineStr">
        <is>
          <t>PROD</t>
        </is>
      </c>
      <c r="E1004" t="inlineStr">
        <is>
          <t>Produksi Harian</t>
        </is>
      </c>
      <c r="F1004" t="inlineStr">
        <is>
          <t>05:49:43</t>
        </is>
      </c>
      <c r="G1004" t="inlineStr">
        <is>
          <t>14:04:59</t>
        </is>
      </c>
      <c r="H1004" t="inlineStr">
        <is>
          <t>SELESAI</t>
        </is>
      </c>
      <c r="I1004" t="inlineStr">
        <is>
          <t>MK00088</t>
        </is>
      </c>
      <c r="J1004" t="inlineStr"/>
    </row>
    <row r="1005">
      <c r="A1005" t="inlineStr">
        <is>
          <t>13/06/2026</t>
        </is>
      </c>
      <c r="B1005" t="inlineStr">
        <is>
          <t>528000297</t>
        </is>
      </c>
      <c r="C1005" t="inlineStr">
        <is>
          <t>Muhamad Budiana</t>
        </is>
      </c>
      <c r="D1005" t="inlineStr">
        <is>
          <t>PROD</t>
        </is>
      </c>
      <c r="E1005" t="inlineStr">
        <is>
          <t>Produksi Harian</t>
        </is>
      </c>
      <c r="F1005" t="inlineStr"/>
      <c r="G1005" t="inlineStr">
        <is>
          <t>07:05:29</t>
        </is>
      </c>
      <c r="H1005" t="inlineStr">
        <is>
          <t>KELUAR TANPA MASUK</t>
        </is>
      </c>
      <c r="I1005" t="inlineStr">
        <is>
          <t>MK00138</t>
        </is>
      </c>
      <c r="J1005" t="inlineStr"/>
    </row>
    <row r="1006">
      <c r="A1006" t="inlineStr">
        <is>
          <t>13/06/2026</t>
        </is>
      </c>
      <c r="B1006" t="inlineStr">
        <is>
          <t>528000299</t>
        </is>
      </c>
      <c r="C1006" t="inlineStr">
        <is>
          <t>Siti Nurjanah</t>
        </is>
      </c>
      <c r="D1006" t="inlineStr">
        <is>
          <t>PROD</t>
        </is>
      </c>
      <c r="E1006" t="inlineStr">
        <is>
          <t>Produksi Harian</t>
        </is>
      </c>
      <c r="F1006" t="inlineStr">
        <is>
          <t>13:44:18</t>
        </is>
      </c>
      <c r="G1006" t="inlineStr"/>
      <c r="H1006" t="inlineStr">
        <is>
          <t>DI DALAM</t>
        </is>
      </c>
      <c r="I1006" t="inlineStr">
        <is>
          <t>MK00221</t>
        </is>
      </c>
      <c r="J1006" t="inlineStr"/>
    </row>
    <row r="1007">
      <c r="A1007" t="inlineStr">
        <is>
          <t>13/06/2026</t>
        </is>
      </c>
      <c r="B1007" t="inlineStr">
        <is>
          <t>528000302</t>
        </is>
      </c>
      <c r="C1007" t="inlineStr">
        <is>
          <t>Henkey gumilar</t>
        </is>
      </c>
      <c r="D1007" t="inlineStr">
        <is>
          <t>PROD</t>
        </is>
      </c>
      <c r="E1007" t="inlineStr">
        <is>
          <t>Produksi Harian</t>
        </is>
      </c>
      <c r="F1007" t="inlineStr">
        <is>
          <t>13:37:58</t>
        </is>
      </c>
      <c r="G1007" t="inlineStr">
        <is>
          <t>22:10:03</t>
        </is>
      </c>
      <c r="H1007" t="inlineStr">
        <is>
          <t>SELESAI</t>
        </is>
      </c>
      <c r="I1007" t="inlineStr">
        <is>
          <t>MK00181</t>
        </is>
      </c>
      <c r="J1007" t="inlineStr"/>
    </row>
    <row r="1008">
      <c r="A1008" t="inlineStr">
        <is>
          <t>13/06/2026</t>
        </is>
      </c>
      <c r="B1008" t="inlineStr">
        <is>
          <t>528000306</t>
        </is>
      </c>
      <c r="C1008" t="inlineStr">
        <is>
          <t>Windy Olivia</t>
        </is>
      </c>
      <c r="D1008" t="inlineStr">
        <is>
          <t>PROD</t>
        </is>
      </c>
      <c r="E1008" t="inlineStr">
        <is>
          <t>Produksi Harian</t>
        </is>
      </c>
      <c r="F1008" t="inlineStr"/>
      <c r="G1008" t="inlineStr">
        <is>
          <t>05:49:37</t>
        </is>
      </c>
      <c r="H1008" t="inlineStr">
        <is>
          <t>KELUAR TANPA MASUK</t>
        </is>
      </c>
      <c r="I1008" t="inlineStr">
        <is>
          <t>MK00082</t>
        </is>
      </c>
      <c r="J1008" t="inlineStr"/>
    </row>
    <row r="1009">
      <c r="A1009" t="inlineStr">
        <is>
          <t>13/06/2026</t>
        </is>
      </c>
      <c r="B1009" t="inlineStr">
        <is>
          <t>528000358</t>
        </is>
      </c>
      <c r="C1009" t="inlineStr">
        <is>
          <t>Lulu Agustin</t>
        </is>
      </c>
      <c r="D1009" t="inlineStr">
        <is>
          <t>PROD</t>
        </is>
      </c>
      <c r="E1009" t="inlineStr">
        <is>
          <t>Produksi Harian</t>
        </is>
      </c>
      <c r="F1009" t="inlineStr">
        <is>
          <t>05:34:02</t>
        </is>
      </c>
      <c r="G1009" t="inlineStr">
        <is>
          <t>14:05:18</t>
        </is>
      </c>
      <c r="H1009" t="inlineStr">
        <is>
          <t>SELESAI</t>
        </is>
      </c>
      <c r="I1009" t="inlineStr">
        <is>
          <t>MK00141</t>
        </is>
      </c>
      <c r="J1009" t="inlineStr"/>
    </row>
    <row r="1010">
      <c r="A1010" t="inlineStr">
        <is>
          <t>13/06/2026</t>
        </is>
      </c>
      <c r="B1010" t="inlineStr">
        <is>
          <t>628000039</t>
        </is>
      </c>
      <c r="C1010" t="inlineStr">
        <is>
          <t>Nani Maryani</t>
        </is>
      </c>
      <c r="D1010" t="inlineStr">
        <is>
          <t>PROD</t>
        </is>
      </c>
      <c r="E1010" t="inlineStr">
        <is>
          <t>Produksi Borongan</t>
        </is>
      </c>
      <c r="F1010" t="inlineStr"/>
      <c r="G1010" t="inlineStr">
        <is>
          <t>12:59:35</t>
        </is>
      </c>
      <c r="H1010" t="inlineStr">
        <is>
          <t>KELUAR TANPA MASUK</t>
        </is>
      </c>
      <c r="I1010" t="inlineStr">
        <is>
          <t>MK00160</t>
        </is>
      </c>
      <c r="J1010" t="inlineStr"/>
    </row>
    <row r="1011">
      <c r="A1011" t="inlineStr">
        <is>
          <t>13/06/2026</t>
        </is>
      </c>
      <c r="B1011" t="inlineStr">
        <is>
          <t>628000061</t>
        </is>
      </c>
      <c r="C1011" t="inlineStr">
        <is>
          <t>Nayla Fadillah Exwantoro</t>
        </is>
      </c>
      <c r="D1011" t="inlineStr">
        <is>
          <t>PROD</t>
        </is>
      </c>
      <c r="E1011" t="inlineStr">
        <is>
          <t>Produksi Borongan</t>
        </is>
      </c>
      <c r="F1011" t="inlineStr">
        <is>
          <t>13:02:16</t>
        </is>
      </c>
      <c r="G1011" t="inlineStr">
        <is>
          <t>13:01:52</t>
        </is>
      </c>
      <c r="H1011" t="inlineStr">
        <is>
          <t>SELESAI</t>
        </is>
      </c>
      <c r="I1011" t="inlineStr">
        <is>
          <t>MK00160</t>
        </is>
      </c>
      <c r="J1011" t="inlineStr">
        <is>
          <t>C-12</t>
        </is>
      </c>
    </row>
    <row r="1012">
      <c r="A1012" t="inlineStr">
        <is>
          <t>13/06/2026</t>
        </is>
      </c>
      <c r="B1012" t="inlineStr">
        <is>
          <t>628000064</t>
        </is>
      </c>
      <c r="C1012" t="inlineStr">
        <is>
          <t>Silva Alypia</t>
        </is>
      </c>
      <c r="D1012" t="inlineStr">
        <is>
          <t>PROD</t>
        </is>
      </c>
      <c r="E1012" t="inlineStr">
        <is>
          <t>Produksi Borongan</t>
        </is>
      </c>
      <c r="F1012" t="inlineStr"/>
      <c r="G1012" t="inlineStr">
        <is>
          <t>06:06:13</t>
        </is>
      </c>
      <c r="H1012" t="inlineStr">
        <is>
          <t>KELUAR TANPA MASUK</t>
        </is>
      </c>
      <c r="I1012" t="inlineStr">
        <is>
          <t>MK00150</t>
        </is>
      </c>
      <c r="J1012" t="inlineStr"/>
    </row>
    <row r="1013">
      <c r="A1013" t="inlineStr">
        <is>
          <t>13/06/2026</t>
        </is>
      </c>
      <c r="B1013" t="inlineStr">
        <is>
          <t>628000091</t>
        </is>
      </c>
      <c r="C1013" t="inlineStr">
        <is>
          <t>Devita Handayani</t>
        </is>
      </c>
      <c r="D1013" t="inlineStr">
        <is>
          <t>PROD</t>
        </is>
      </c>
      <c r="E1013" t="inlineStr">
        <is>
          <t>Produksi Borongan</t>
        </is>
      </c>
      <c r="F1013" t="inlineStr">
        <is>
          <t>19:20:03</t>
        </is>
      </c>
      <c r="G1013" t="inlineStr">
        <is>
          <t>19:19:07</t>
        </is>
      </c>
      <c r="H1013" t="inlineStr">
        <is>
          <t>SELESAI</t>
        </is>
      </c>
      <c r="I1013" t="inlineStr">
        <is>
          <t>MK00250</t>
        </is>
      </c>
      <c r="J1013" t="inlineStr"/>
    </row>
    <row r="1014">
      <c r="A1014" t="inlineStr">
        <is>
          <t>14/06/2026</t>
        </is>
      </c>
      <c r="B1014" t="inlineStr">
        <is>
          <t>528000015</t>
        </is>
      </c>
      <c r="C1014" t="inlineStr">
        <is>
          <t>Erwin</t>
        </is>
      </c>
      <c r="D1014" t="inlineStr">
        <is>
          <t>LOG</t>
        </is>
      </c>
      <c r="E1014" t="inlineStr">
        <is>
          <t>WRM Harian</t>
        </is>
      </c>
      <c r="F1014" t="inlineStr">
        <is>
          <t>07:43:35</t>
        </is>
      </c>
      <c r="G1014" t="inlineStr">
        <is>
          <t>16:30:24</t>
        </is>
      </c>
      <c r="H1014" t="inlineStr">
        <is>
          <t>SELESAI</t>
        </is>
      </c>
      <c r="I1014" t="inlineStr">
        <is>
          <t>MK00150</t>
        </is>
      </c>
      <c r="J1014" t="inlineStr"/>
    </row>
    <row r="1015">
      <c r="A1015" t="inlineStr">
        <is>
          <t>14/06/2026</t>
        </is>
      </c>
      <c r="B1015" t="inlineStr">
        <is>
          <t>528000099</t>
        </is>
      </c>
      <c r="C1015" t="inlineStr">
        <is>
          <t>Siti Nurawaliah</t>
        </is>
      </c>
      <c r="D1015" t="inlineStr">
        <is>
          <t>PROD</t>
        </is>
      </c>
      <c r="E1015" t="inlineStr">
        <is>
          <t>Produksi Harian</t>
        </is>
      </c>
      <c r="F1015" t="inlineStr">
        <is>
          <t>21:37:57</t>
        </is>
      </c>
      <c r="G1015" t="inlineStr">
        <is>
          <t>06:05:23</t>
        </is>
      </c>
      <c r="H1015" t="inlineStr">
        <is>
          <t>SELESAI</t>
        </is>
      </c>
      <c r="I1015" t="inlineStr">
        <is>
          <t>MK00046</t>
        </is>
      </c>
      <c r="J1015" t="inlineStr"/>
    </row>
    <row r="1016">
      <c r="A1016" t="inlineStr">
        <is>
          <t>14/06/2026</t>
        </is>
      </c>
      <c r="B1016" t="inlineStr">
        <is>
          <t>528000144</t>
        </is>
      </c>
      <c r="C1016" t="inlineStr">
        <is>
          <t>Jodi Hanafi</t>
        </is>
      </c>
      <c r="D1016" t="inlineStr">
        <is>
          <t>LOG</t>
        </is>
      </c>
      <c r="E1016" t="inlineStr">
        <is>
          <t>WRM Harian</t>
        </is>
      </c>
      <c r="F1016" t="inlineStr">
        <is>
          <t>07:41:58</t>
        </is>
      </c>
      <c r="G1016" t="inlineStr">
        <is>
          <t>16:03:16</t>
        </is>
      </c>
      <c r="H1016" t="inlineStr">
        <is>
          <t>SELESAI</t>
        </is>
      </c>
      <c r="I1016" t="inlineStr">
        <is>
          <t>MK00213</t>
        </is>
      </c>
      <c r="J1016" t="inlineStr"/>
    </row>
    <row r="1017">
      <c r="A1017" t="inlineStr">
        <is>
          <t>14/06/2026</t>
        </is>
      </c>
      <c r="B1017" t="inlineStr">
        <is>
          <t>528000195</t>
        </is>
      </c>
      <c r="C1017" t="inlineStr">
        <is>
          <t>Rahma Sariwati</t>
        </is>
      </c>
      <c r="D1017" t="inlineStr">
        <is>
          <t>PROD</t>
        </is>
      </c>
      <c r="E1017" t="inlineStr">
        <is>
          <t>Produksi Harian</t>
        </is>
      </c>
      <c r="F1017" t="inlineStr">
        <is>
          <t>05:43:18</t>
        </is>
      </c>
      <c r="G1017" t="inlineStr">
        <is>
          <t>14:01:20</t>
        </is>
      </c>
      <c r="H1017" t="inlineStr">
        <is>
          <t>SELESAI</t>
        </is>
      </c>
      <c r="I1017" t="inlineStr">
        <is>
          <t>MK00203</t>
        </is>
      </c>
      <c r="J1017" t="inlineStr"/>
    </row>
    <row r="1018">
      <c r="A1018" t="inlineStr">
        <is>
          <t>14/06/2026</t>
        </is>
      </c>
      <c r="B1018" t="inlineStr">
        <is>
          <t>528000201</t>
        </is>
      </c>
      <c r="C1018" t="inlineStr">
        <is>
          <t>Zahwa Amelia Choerunissa</t>
        </is>
      </c>
      <c r="D1018" t="inlineStr">
        <is>
          <t>PROD</t>
        </is>
      </c>
      <c r="E1018" t="inlineStr">
        <is>
          <t>Produksi Harian</t>
        </is>
      </c>
      <c r="F1018" t="inlineStr">
        <is>
          <t>21:37:02</t>
        </is>
      </c>
      <c r="G1018" t="inlineStr">
        <is>
          <t>06:04:46</t>
        </is>
      </c>
      <c r="H1018" t="inlineStr">
        <is>
          <t>SELESAI</t>
        </is>
      </c>
      <c r="I1018" t="inlineStr">
        <is>
          <t>MK00156</t>
        </is>
      </c>
      <c r="J1018" t="inlineStr"/>
    </row>
    <row r="1019">
      <c r="A1019" t="inlineStr">
        <is>
          <t>14/06/2026</t>
        </is>
      </c>
      <c r="B1019" t="inlineStr">
        <is>
          <t>528000212</t>
        </is>
      </c>
      <c r="C1019" t="inlineStr">
        <is>
          <t>Rizal Fauzi</t>
        </is>
      </c>
      <c r="D1019" t="inlineStr">
        <is>
          <t>PROD</t>
        </is>
      </c>
      <c r="E1019" t="inlineStr">
        <is>
          <t>Produksi Harian</t>
        </is>
      </c>
      <c r="F1019" t="inlineStr">
        <is>
          <t>20:51:46</t>
        </is>
      </c>
      <c r="G1019" t="inlineStr">
        <is>
          <t>06:07:28</t>
        </is>
      </c>
      <c r="H1019" t="inlineStr">
        <is>
          <t>SELESAI</t>
        </is>
      </c>
      <c r="I1019" t="inlineStr">
        <is>
          <t>MK00055</t>
        </is>
      </c>
      <c r="J1019" t="inlineStr"/>
    </row>
    <row r="1020">
      <c r="A1020" t="inlineStr">
        <is>
          <t>14/06/2026</t>
        </is>
      </c>
      <c r="B1020" t="inlineStr">
        <is>
          <t>528000244</t>
        </is>
      </c>
      <c r="C1020" t="inlineStr">
        <is>
          <t>Rodian Rifai</t>
        </is>
      </c>
      <c r="D1020" t="inlineStr">
        <is>
          <t>PROD</t>
        </is>
      </c>
      <c r="E1020" t="inlineStr">
        <is>
          <t>Produksi Harian</t>
        </is>
      </c>
      <c r="F1020" t="inlineStr">
        <is>
          <t>21:17:59</t>
        </is>
      </c>
      <c r="G1020" t="inlineStr">
        <is>
          <t>07:25:09</t>
        </is>
      </c>
      <c r="H1020" t="inlineStr">
        <is>
          <t>SELESAI</t>
        </is>
      </c>
      <c r="I1020" t="inlineStr">
        <is>
          <t>MK00228</t>
        </is>
      </c>
      <c r="J1020" t="inlineStr">
        <is>
          <t>23E</t>
        </is>
      </c>
    </row>
    <row r="1021">
      <c r="A1021" t="inlineStr">
        <is>
          <t>14/06/2026</t>
        </is>
      </c>
      <c r="B1021" t="inlineStr">
        <is>
          <t>528000262</t>
        </is>
      </c>
      <c r="C1021" t="inlineStr">
        <is>
          <t>Ndari Dwiwanti</t>
        </is>
      </c>
      <c r="D1021" t="inlineStr">
        <is>
          <t>PROD</t>
        </is>
      </c>
      <c r="E1021" t="inlineStr">
        <is>
          <t>Produksi Harian</t>
        </is>
      </c>
      <c r="F1021" t="inlineStr">
        <is>
          <t>05:44:35</t>
        </is>
      </c>
      <c r="G1021" t="inlineStr">
        <is>
          <t>14:01:24</t>
        </is>
      </c>
      <c r="H1021" t="inlineStr">
        <is>
          <t>SELESAI</t>
        </is>
      </c>
      <c r="I1021" t="inlineStr">
        <is>
          <t>MK00208</t>
        </is>
      </c>
      <c r="J1021" t="inlineStr"/>
    </row>
    <row r="1022">
      <c r="A1022" t="inlineStr">
        <is>
          <t>14/06/2026</t>
        </is>
      </c>
      <c r="B1022" t="inlineStr">
        <is>
          <t>528000265</t>
        </is>
      </c>
      <c r="C1022" t="inlineStr">
        <is>
          <t>Muhammad Haerul Rozikin</t>
        </is>
      </c>
      <c r="D1022" t="inlineStr">
        <is>
          <t>LOG</t>
        </is>
      </c>
      <c r="E1022" t="inlineStr">
        <is>
          <t>WRM Harian</t>
        </is>
      </c>
      <c r="F1022" t="inlineStr">
        <is>
          <t>07:55:33</t>
        </is>
      </c>
      <c r="G1022" t="inlineStr">
        <is>
          <t>16:03:57</t>
        </is>
      </c>
      <c r="H1022" t="inlineStr">
        <is>
          <t>SELESAI</t>
        </is>
      </c>
      <c r="I1022" t="inlineStr">
        <is>
          <t>MK00145</t>
        </is>
      </c>
      <c r="J1022" t="inlineStr"/>
    </row>
    <row r="1023">
      <c r="A1023" t="inlineStr">
        <is>
          <t>14/06/2026</t>
        </is>
      </c>
      <c r="B1023" t="inlineStr">
        <is>
          <t>528000266</t>
        </is>
      </c>
      <c r="C1023" t="inlineStr">
        <is>
          <t>M. Syirajatieq</t>
        </is>
      </c>
      <c r="D1023" t="inlineStr">
        <is>
          <t>LOG</t>
        </is>
      </c>
      <c r="E1023" t="inlineStr">
        <is>
          <t>WFG Harian</t>
        </is>
      </c>
      <c r="F1023" t="inlineStr">
        <is>
          <t>05:43:49</t>
        </is>
      </c>
      <c r="G1023" t="inlineStr">
        <is>
          <t>14:42:39</t>
        </is>
      </c>
      <c r="H1023" t="inlineStr">
        <is>
          <t>SELESAI</t>
        </is>
      </c>
      <c r="I1023" t="inlineStr">
        <is>
          <t>MK00207</t>
        </is>
      </c>
      <c r="J1023" t="inlineStr"/>
    </row>
    <row r="1024">
      <c r="A1024" t="inlineStr">
        <is>
          <t>14/06/2026</t>
        </is>
      </c>
      <c r="B1024" t="inlineStr">
        <is>
          <t>528000270</t>
        </is>
      </c>
      <c r="C1024" t="inlineStr">
        <is>
          <t>Febri Najmudin</t>
        </is>
      </c>
      <c r="D1024" t="inlineStr">
        <is>
          <t>LOG</t>
        </is>
      </c>
      <c r="E1024" t="inlineStr">
        <is>
          <t>WRM Harian</t>
        </is>
      </c>
      <c r="F1024" t="inlineStr">
        <is>
          <t>09:24:57</t>
        </is>
      </c>
      <c r="G1024" t="inlineStr">
        <is>
          <t>22:26:35</t>
        </is>
      </c>
      <c r="H1024" t="inlineStr">
        <is>
          <t>SELESAI</t>
        </is>
      </c>
      <c r="I1024" t="inlineStr">
        <is>
          <t>MK00156</t>
        </is>
      </c>
      <c r="J1024" t="inlineStr"/>
    </row>
    <row r="1025">
      <c r="A1025" t="inlineStr">
        <is>
          <t>14/06/2026</t>
        </is>
      </c>
      <c r="B1025" t="inlineStr">
        <is>
          <t>528000273</t>
        </is>
      </c>
      <c r="C1025" t="inlineStr">
        <is>
          <t>Asep Mulyana</t>
        </is>
      </c>
      <c r="D1025" t="inlineStr">
        <is>
          <t>PROD</t>
        </is>
      </c>
      <c r="E1025" t="inlineStr">
        <is>
          <t>Produksi Harian</t>
        </is>
      </c>
      <c r="F1025" t="inlineStr">
        <is>
          <t>15:52:10</t>
        </is>
      </c>
      <c r="G1025" t="inlineStr">
        <is>
          <t>00:00:32</t>
        </is>
      </c>
      <c r="H1025" t="inlineStr">
        <is>
          <t>SELESAI</t>
        </is>
      </c>
      <c r="I1025" t="inlineStr">
        <is>
          <t>MK00138</t>
        </is>
      </c>
      <c r="J1025" t="inlineStr"/>
    </row>
    <row r="1026">
      <c r="A1026" t="inlineStr">
        <is>
          <t>14/06/2026</t>
        </is>
      </c>
      <c r="B1026" t="inlineStr">
        <is>
          <t>528000283</t>
        </is>
      </c>
      <c r="C1026" t="inlineStr">
        <is>
          <t>Purwanda Sugiri</t>
        </is>
      </c>
      <c r="D1026" t="inlineStr">
        <is>
          <t>LOG</t>
        </is>
      </c>
      <c r="E1026" t="inlineStr">
        <is>
          <t>WRM Harian</t>
        </is>
      </c>
      <c r="F1026" t="inlineStr">
        <is>
          <t>05:54:14</t>
        </is>
      </c>
      <c r="G1026" t="inlineStr">
        <is>
          <t>14:05:01</t>
        </is>
      </c>
      <c r="H1026" t="inlineStr">
        <is>
          <t>SELESAI</t>
        </is>
      </c>
      <c r="I1026" t="inlineStr">
        <is>
          <t>MK00116</t>
        </is>
      </c>
      <c r="J1026" t="inlineStr"/>
    </row>
    <row r="1027">
      <c r="A1027" t="inlineStr">
        <is>
          <t>14/06/2026</t>
        </is>
      </c>
      <c r="B1027" t="inlineStr">
        <is>
          <t>528000286</t>
        </is>
      </c>
      <c r="C1027" t="inlineStr">
        <is>
          <t>Imelda Amelia</t>
        </is>
      </c>
      <c r="D1027" t="inlineStr">
        <is>
          <t>PROD</t>
        </is>
      </c>
      <c r="E1027" t="inlineStr">
        <is>
          <t>Produksi Harian</t>
        </is>
      </c>
      <c r="F1027" t="inlineStr">
        <is>
          <t>21:32:31</t>
        </is>
      </c>
      <c r="G1027" t="inlineStr">
        <is>
          <t>06:06:41</t>
        </is>
      </c>
      <c r="H1027" t="inlineStr">
        <is>
          <t>SELESAI</t>
        </is>
      </c>
      <c r="I1027" t="inlineStr">
        <is>
          <t>MK00208</t>
        </is>
      </c>
      <c r="J1027" t="inlineStr"/>
    </row>
    <row r="1028">
      <c r="A1028" t="inlineStr">
        <is>
          <t>14/06/2026</t>
        </is>
      </c>
      <c r="B1028" t="inlineStr">
        <is>
          <t>528000287</t>
        </is>
      </c>
      <c r="C1028" t="inlineStr">
        <is>
          <t>Muhamad Angga Ramdani</t>
        </is>
      </c>
      <c r="D1028" t="inlineStr">
        <is>
          <t>PROD</t>
        </is>
      </c>
      <c r="E1028" t="inlineStr">
        <is>
          <t>Produksi Harian</t>
        </is>
      </c>
      <c r="F1028" t="inlineStr">
        <is>
          <t>07:52:33</t>
        </is>
      </c>
      <c r="G1028" t="inlineStr">
        <is>
          <t>16:05:45</t>
        </is>
      </c>
      <c r="H1028" t="inlineStr">
        <is>
          <t>SELESAI</t>
        </is>
      </c>
      <c r="I1028" t="inlineStr">
        <is>
          <t>MK00210</t>
        </is>
      </c>
      <c r="J1028" t="inlineStr"/>
    </row>
    <row r="1029">
      <c r="A1029" t="inlineStr">
        <is>
          <t>14/06/2026</t>
        </is>
      </c>
      <c r="B1029" t="inlineStr">
        <is>
          <t>528000290</t>
        </is>
      </c>
      <c r="C1029" t="inlineStr">
        <is>
          <t>Eval Pranata</t>
        </is>
      </c>
      <c r="D1029" t="inlineStr">
        <is>
          <t>PROD</t>
        </is>
      </c>
      <c r="E1029" t="inlineStr">
        <is>
          <t>Produksi Harian</t>
        </is>
      </c>
      <c r="F1029" t="inlineStr"/>
      <c r="G1029" t="inlineStr">
        <is>
          <t>06:07:06</t>
        </is>
      </c>
      <c r="H1029" t="inlineStr">
        <is>
          <t>KELUAR TANPA MASUK</t>
        </is>
      </c>
      <c r="I1029" t="inlineStr">
        <is>
          <t>MK00150</t>
        </is>
      </c>
      <c r="J1029" t="inlineStr"/>
    </row>
    <row r="1030">
      <c r="A1030" t="inlineStr">
        <is>
          <t>14/06/2026</t>
        </is>
      </c>
      <c r="B1030" t="inlineStr">
        <is>
          <t>528000292</t>
        </is>
      </c>
      <c r="C1030" t="inlineStr">
        <is>
          <t>Aditia Nugraha</t>
        </is>
      </c>
      <c r="D1030" t="inlineStr">
        <is>
          <t>PROD</t>
        </is>
      </c>
      <c r="E1030" t="inlineStr">
        <is>
          <t>Produksi Harian</t>
        </is>
      </c>
      <c r="F1030" t="inlineStr">
        <is>
          <t>15:49:48</t>
        </is>
      </c>
      <c r="G1030" t="inlineStr">
        <is>
          <t>07:04:37</t>
        </is>
      </c>
      <c r="H1030" t="inlineStr">
        <is>
          <t>SELESAI</t>
        </is>
      </c>
      <c r="I1030" t="inlineStr">
        <is>
          <t>MK00207</t>
        </is>
      </c>
      <c r="J1030" t="inlineStr"/>
    </row>
    <row r="1031">
      <c r="A1031" t="inlineStr">
        <is>
          <t>14/06/2026</t>
        </is>
      </c>
      <c r="B1031" t="inlineStr">
        <is>
          <t>528000302</t>
        </is>
      </c>
      <c r="C1031" t="inlineStr">
        <is>
          <t>Henkey gumilar</t>
        </is>
      </c>
      <c r="D1031" t="inlineStr">
        <is>
          <t>PROD</t>
        </is>
      </c>
      <c r="E1031" t="inlineStr">
        <is>
          <t>Produksi Harian</t>
        </is>
      </c>
      <c r="F1031" t="inlineStr">
        <is>
          <t>13:48:58</t>
        </is>
      </c>
      <c r="G1031" t="inlineStr">
        <is>
          <t>22:12:04</t>
        </is>
      </c>
      <c r="H1031" t="inlineStr">
        <is>
          <t>SELESAI</t>
        </is>
      </c>
      <c r="I1031" t="inlineStr">
        <is>
          <t>MK00151</t>
        </is>
      </c>
      <c r="J1031" t="inlineStr"/>
    </row>
    <row r="1032">
      <c r="A1032" t="inlineStr">
        <is>
          <t>14/06/2026</t>
        </is>
      </c>
      <c r="B1032" t="inlineStr">
        <is>
          <t>528000305</t>
        </is>
      </c>
      <c r="C1032" t="inlineStr">
        <is>
          <t>Puji Puspita</t>
        </is>
      </c>
      <c r="D1032" t="inlineStr">
        <is>
          <t>PROD</t>
        </is>
      </c>
      <c r="E1032" t="inlineStr">
        <is>
          <t>Produksi Harian</t>
        </is>
      </c>
      <c r="F1032" t="inlineStr">
        <is>
          <t>13:34:25</t>
        </is>
      </c>
      <c r="G1032" t="inlineStr">
        <is>
          <t>22:06:20</t>
        </is>
      </c>
      <c r="H1032" t="inlineStr">
        <is>
          <t>SELESAI</t>
        </is>
      </c>
      <c r="I1032" t="inlineStr">
        <is>
          <t>MK00109</t>
        </is>
      </c>
      <c r="J1032" t="inlineStr"/>
    </row>
    <row r="1033">
      <c r="A1033" t="inlineStr">
        <is>
          <t>14/06/2026</t>
        </is>
      </c>
      <c r="B1033" t="inlineStr">
        <is>
          <t>528000306</t>
        </is>
      </c>
      <c r="C1033" t="inlineStr">
        <is>
          <t>Windy Olivia</t>
        </is>
      </c>
      <c r="D1033" t="inlineStr">
        <is>
          <t>PROD</t>
        </is>
      </c>
      <c r="E1033" t="inlineStr">
        <is>
          <t>Produksi Harian</t>
        </is>
      </c>
      <c r="F1033" t="inlineStr">
        <is>
          <t>05:50:18</t>
        </is>
      </c>
      <c r="G1033" t="inlineStr">
        <is>
          <t>14:02:34</t>
        </is>
      </c>
      <c r="H1033" t="inlineStr">
        <is>
          <t>SELESAI</t>
        </is>
      </c>
      <c r="I1033" t="inlineStr">
        <is>
          <t>MK00158</t>
        </is>
      </c>
      <c r="J1033" t="inlineStr"/>
    </row>
    <row r="1034">
      <c r="A1034" t="inlineStr">
        <is>
          <t>14/06/2026</t>
        </is>
      </c>
      <c r="B1034" t="inlineStr">
        <is>
          <t>528000348</t>
        </is>
      </c>
      <c r="C1034" t="inlineStr">
        <is>
          <t>Saepuloh Ardiansah</t>
        </is>
      </c>
      <c r="D1034" t="inlineStr">
        <is>
          <t>LOG</t>
        </is>
      </c>
      <c r="E1034" t="inlineStr">
        <is>
          <t>WRM Harian</t>
        </is>
      </c>
      <c r="F1034" t="inlineStr">
        <is>
          <t>15:53:36</t>
        </is>
      </c>
      <c r="G1034" t="inlineStr">
        <is>
          <t>15:53:19</t>
        </is>
      </c>
      <c r="H1034" t="inlineStr">
        <is>
          <t>SELESAI</t>
        </is>
      </c>
      <c r="I1034" t="inlineStr">
        <is>
          <t>MK00205</t>
        </is>
      </c>
      <c r="J1034" t="inlineStr"/>
    </row>
    <row r="1035">
      <c r="A1035" t="inlineStr">
        <is>
          <t>14/06/2026</t>
        </is>
      </c>
      <c r="B1035" t="inlineStr">
        <is>
          <t>528000349</t>
        </is>
      </c>
      <c r="C1035" t="inlineStr">
        <is>
          <t>Anas Abdul Fatah</t>
        </is>
      </c>
      <c r="D1035" t="inlineStr">
        <is>
          <t>LOG</t>
        </is>
      </c>
      <c r="E1035" t="inlineStr">
        <is>
          <t>WFG Harian</t>
        </is>
      </c>
      <c r="F1035" t="inlineStr">
        <is>
          <t>07:52:56</t>
        </is>
      </c>
      <c r="G1035" t="inlineStr">
        <is>
          <t>16:10:55</t>
        </is>
      </c>
      <c r="H1035" t="inlineStr">
        <is>
          <t>SELESAI</t>
        </is>
      </c>
      <c r="I1035" t="inlineStr">
        <is>
          <t>MK00249</t>
        </is>
      </c>
      <c r="J1035" t="inlineStr"/>
    </row>
    <row r="1036">
      <c r="A1036" t="inlineStr">
        <is>
          <t>14/06/2026</t>
        </is>
      </c>
      <c r="B1036" t="inlineStr">
        <is>
          <t>528000358</t>
        </is>
      </c>
      <c r="C1036" t="inlineStr">
        <is>
          <t>Lulu Agustin</t>
        </is>
      </c>
      <c r="D1036" t="inlineStr">
        <is>
          <t>PROD</t>
        </is>
      </c>
      <c r="E1036" t="inlineStr">
        <is>
          <t>Produksi Harian</t>
        </is>
      </c>
      <c r="F1036" t="inlineStr">
        <is>
          <t>05:34:49</t>
        </is>
      </c>
      <c r="G1036" t="inlineStr">
        <is>
          <t>13:56:59</t>
        </is>
      </c>
      <c r="H1036" t="inlineStr">
        <is>
          <t>SELESAI</t>
        </is>
      </c>
      <c r="I1036" t="inlineStr">
        <is>
          <t>MK00230</t>
        </is>
      </c>
      <c r="J1036" t="inlineStr"/>
    </row>
    <row r="1037">
      <c r="A1037" t="inlineStr">
        <is>
          <t>15/06/2026</t>
        </is>
      </c>
      <c r="B1037" t="inlineStr">
        <is>
          <t>528000015</t>
        </is>
      </c>
      <c r="C1037" t="inlineStr">
        <is>
          <t>Erwin</t>
        </is>
      </c>
      <c r="D1037" t="inlineStr">
        <is>
          <t>LOG</t>
        </is>
      </c>
      <c r="E1037" t="inlineStr">
        <is>
          <t>WRM Harian</t>
        </is>
      </c>
      <c r="F1037" t="inlineStr">
        <is>
          <t>07:52:25</t>
        </is>
      </c>
      <c r="G1037" t="inlineStr">
        <is>
          <t>16:05:59</t>
        </is>
      </c>
      <c r="H1037" t="inlineStr">
        <is>
          <t>SELESAI</t>
        </is>
      </c>
      <c r="I1037" t="inlineStr">
        <is>
          <t>MK00249</t>
        </is>
      </c>
      <c r="J1037" t="inlineStr"/>
    </row>
    <row r="1038">
      <c r="A1038" t="inlineStr">
        <is>
          <t>15/06/2026</t>
        </is>
      </c>
      <c r="B1038" t="inlineStr">
        <is>
          <t>528000099</t>
        </is>
      </c>
      <c r="C1038" t="inlineStr">
        <is>
          <t>Siti Nurawaliah</t>
        </is>
      </c>
      <c r="D1038" t="inlineStr">
        <is>
          <t>PROD</t>
        </is>
      </c>
      <c r="E1038" t="inlineStr">
        <is>
          <t>Produksi Harian</t>
        </is>
      </c>
      <c r="F1038" t="inlineStr">
        <is>
          <t>21:34:31</t>
        </is>
      </c>
      <c r="G1038" t="inlineStr">
        <is>
          <t>06:04:56</t>
        </is>
      </c>
      <c r="H1038" t="inlineStr">
        <is>
          <t>SELESAI</t>
        </is>
      </c>
      <c r="I1038" t="inlineStr">
        <is>
          <t>MK00181</t>
        </is>
      </c>
      <c r="J1038" t="inlineStr"/>
    </row>
    <row r="1039">
      <c r="A1039" t="inlineStr">
        <is>
          <t>15/06/2026</t>
        </is>
      </c>
      <c r="B1039" t="inlineStr">
        <is>
          <t>528000144</t>
        </is>
      </c>
      <c r="C1039" t="inlineStr">
        <is>
          <t>Jodi Hanafi</t>
        </is>
      </c>
      <c r="D1039" t="inlineStr">
        <is>
          <t>LOG</t>
        </is>
      </c>
      <c r="E1039" t="inlineStr">
        <is>
          <t>WRM Harian</t>
        </is>
      </c>
      <c r="F1039" t="inlineStr">
        <is>
          <t>07:52:39</t>
        </is>
      </c>
      <c r="G1039" t="inlineStr"/>
      <c r="H1039" t="inlineStr">
        <is>
          <t>DI DALAM</t>
        </is>
      </c>
      <c r="I1039" t="inlineStr">
        <is>
          <t>MK00213</t>
        </is>
      </c>
      <c r="J1039" t="inlineStr"/>
    </row>
    <row r="1040">
      <c r="A1040" t="inlineStr">
        <is>
          <t>15/06/2026</t>
        </is>
      </c>
      <c r="B1040" t="inlineStr">
        <is>
          <t>528000195</t>
        </is>
      </c>
      <c r="C1040" t="inlineStr">
        <is>
          <t>Rahma Sariwati</t>
        </is>
      </c>
      <c r="D1040" t="inlineStr">
        <is>
          <t>PROD</t>
        </is>
      </c>
      <c r="E1040" t="inlineStr">
        <is>
          <t>Produksi Harian</t>
        </is>
      </c>
      <c r="F1040" t="inlineStr">
        <is>
          <t>05:47:56</t>
        </is>
      </c>
      <c r="G1040" t="inlineStr">
        <is>
          <t>14:02:48</t>
        </is>
      </c>
      <c r="H1040" t="inlineStr">
        <is>
          <t>SELESAI</t>
        </is>
      </c>
      <c r="I1040" t="inlineStr">
        <is>
          <t>MK00208</t>
        </is>
      </c>
      <c r="J1040" t="inlineStr"/>
    </row>
    <row r="1041">
      <c r="A1041" t="inlineStr">
        <is>
          <t>15/06/2026</t>
        </is>
      </c>
      <c r="B1041" t="inlineStr">
        <is>
          <t>528000201</t>
        </is>
      </c>
      <c r="C1041" t="inlineStr">
        <is>
          <t>Zahwa Amelia Choerunissa</t>
        </is>
      </c>
      <c r="D1041" t="inlineStr">
        <is>
          <t>PROD</t>
        </is>
      </c>
      <c r="E1041" t="inlineStr">
        <is>
          <t>Produksi Harian</t>
        </is>
      </c>
      <c r="F1041" t="inlineStr">
        <is>
          <t>21:33:00</t>
        </is>
      </c>
      <c r="G1041" t="inlineStr">
        <is>
          <t>06:03:33</t>
        </is>
      </c>
      <c r="H1041" t="inlineStr">
        <is>
          <t>SELESAI</t>
        </is>
      </c>
      <c r="I1041" t="inlineStr">
        <is>
          <t>MK00230</t>
        </is>
      </c>
      <c r="J1041" t="inlineStr"/>
    </row>
    <row r="1042">
      <c r="A1042" t="inlineStr">
        <is>
          <t>15/06/2026</t>
        </is>
      </c>
      <c r="B1042" t="inlineStr">
        <is>
          <t>528000212</t>
        </is>
      </c>
      <c r="C1042" t="inlineStr">
        <is>
          <t>Rizal Fauzi</t>
        </is>
      </c>
      <c r="D1042" t="inlineStr">
        <is>
          <t>PROD</t>
        </is>
      </c>
      <c r="E1042" t="inlineStr">
        <is>
          <t>Produksi Harian</t>
        </is>
      </c>
      <c r="F1042" t="inlineStr">
        <is>
          <t>21:36:10</t>
        </is>
      </c>
      <c r="G1042" t="inlineStr">
        <is>
          <t>07:00:13</t>
        </is>
      </c>
      <c r="H1042" t="inlineStr">
        <is>
          <t>SELESAI</t>
        </is>
      </c>
      <c r="I1042" t="inlineStr">
        <is>
          <t>MK00055</t>
        </is>
      </c>
      <c r="J1042" t="inlineStr"/>
    </row>
    <row r="1043">
      <c r="A1043" t="inlineStr">
        <is>
          <t>15/06/2026</t>
        </is>
      </c>
      <c r="B1043" t="inlineStr">
        <is>
          <t>528000241</t>
        </is>
      </c>
      <c r="C1043" t="inlineStr">
        <is>
          <t>Balia Nurafif Bilah</t>
        </is>
      </c>
      <c r="D1043" t="inlineStr">
        <is>
          <t>PROD</t>
        </is>
      </c>
      <c r="E1043" t="inlineStr">
        <is>
          <t>Produksi Harian</t>
        </is>
      </c>
      <c r="F1043" t="inlineStr">
        <is>
          <t>21:51:47</t>
        </is>
      </c>
      <c r="G1043" t="inlineStr"/>
      <c r="H1043" t="inlineStr">
        <is>
          <t>DI DALAM</t>
        </is>
      </c>
      <c r="I1043" t="inlineStr">
        <is>
          <t>MK00151</t>
        </is>
      </c>
      <c r="J1043" t="inlineStr"/>
    </row>
    <row r="1044">
      <c r="A1044" t="inlineStr">
        <is>
          <t>15/06/2026</t>
        </is>
      </c>
      <c r="B1044" t="inlineStr">
        <is>
          <t>528000244</t>
        </is>
      </c>
      <c r="C1044" t="inlineStr">
        <is>
          <t>Rodian Rifai</t>
        </is>
      </c>
      <c r="D1044" t="inlineStr">
        <is>
          <t>PROD</t>
        </is>
      </c>
      <c r="E1044" t="inlineStr">
        <is>
          <t>Produksi Harian</t>
        </is>
      </c>
      <c r="F1044" t="inlineStr">
        <is>
          <t>21:35:30</t>
        </is>
      </c>
      <c r="G1044" t="inlineStr">
        <is>
          <t>07:30:36</t>
        </is>
      </c>
      <c r="H1044" t="inlineStr">
        <is>
          <t>SELESAI</t>
        </is>
      </c>
      <c r="I1044" t="inlineStr">
        <is>
          <t>MK00210</t>
        </is>
      </c>
      <c r="J1044" t="inlineStr"/>
    </row>
    <row r="1045">
      <c r="A1045" t="inlineStr">
        <is>
          <t>15/06/2026</t>
        </is>
      </c>
      <c r="B1045" t="inlineStr">
        <is>
          <t>528000262</t>
        </is>
      </c>
      <c r="C1045" t="inlineStr">
        <is>
          <t>Ndari Dwiwanti</t>
        </is>
      </c>
      <c r="D1045" t="inlineStr">
        <is>
          <t>PROD</t>
        </is>
      </c>
      <c r="E1045" t="inlineStr">
        <is>
          <t>Produksi Harian</t>
        </is>
      </c>
      <c r="F1045" t="inlineStr">
        <is>
          <t>05:34:47</t>
        </is>
      </c>
      <c r="G1045" t="inlineStr">
        <is>
          <t>14:01:56</t>
        </is>
      </c>
      <c r="H1045" t="inlineStr">
        <is>
          <t>SELESAI</t>
        </is>
      </c>
      <c r="I1045" t="inlineStr">
        <is>
          <t>MK00141</t>
        </is>
      </c>
      <c r="J1045" t="inlineStr"/>
    </row>
    <row r="1046">
      <c r="A1046" t="inlineStr">
        <is>
          <t>15/06/2026</t>
        </is>
      </c>
      <c r="B1046" t="inlineStr">
        <is>
          <t>528000265</t>
        </is>
      </c>
      <c r="C1046" t="inlineStr">
        <is>
          <t>Muhammad Haerul Rozikin</t>
        </is>
      </c>
      <c r="D1046" t="inlineStr">
        <is>
          <t>LOG</t>
        </is>
      </c>
      <c r="E1046" t="inlineStr">
        <is>
          <t>WRM Harian</t>
        </is>
      </c>
      <c r="F1046" t="inlineStr">
        <is>
          <t>07:54:46</t>
        </is>
      </c>
      <c r="G1046" t="inlineStr">
        <is>
          <t>05:58:53</t>
        </is>
      </c>
      <c r="H1046" t="inlineStr">
        <is>
          <t>SELESAI</t>
        </is>
      </c>
      <c r="I1046" t="inlineStr">
        <is>
          <t>MK00008</t>
        </is>
      </c>
      <c r="J1046" t="inlineStr"/>
    </row>
    <row r="1047">
      <c r="A1047" t="inlineStr">
        <is>
          <t>15/06/2026</t>
        </is>
      </c>
      <c r="B1047" t="inlineStr">
        <is>
          <t>528000266</t>
        </is>
      </c>
      <c r="C1047" t="inlineStr">
        <is>
          <t>M. Syirajatieq</t>
        </is>
      </c>
      <c r="D1047" t="inlineStr">
        <is>
          <t>LOG</t>
        </is>
      </c>
      <c r="E1047" t="inlineStr">
        <is>
          <t>WFG Harian</t>
        </is>
      </c>
      <c r="F1047" t="inlineStr">
        <is>
          <t>05:45:05</t>
        </is>
      </c>
      <c r="G1047" t="inlineStr">
        <is>
          <t>14:29:52</t>
        </is>
      </c>
      <c r="H1047" t="inlineStr">
        <is>
          <t>SELESAI</t>
        </is>
      </c>
      <c r="I1047" t="inlineStr">
        <is>
          <t>MK00203</t>
        </is>
      </c>
      <c r="J1047" t="inlineStr"/>
    </row>
    <row r="1048">
      <c r="A1048" t="inlineStr">
        <is>
          <t>15/06/2026</t>
        </is>
      </c>
      <c r="B1048" t="inlineStr">
        <is>
          <t>528000270</t>
        </is>
      </c>
      <c r="C1048" t="inlineStr">
        <is>
          <t>Febri Najmudin</t>
        </is>
      </c>
      <c r="D1048" t="inlineStr">
        <is>
          <t>LOG</t>
        </is>
      </c>
      <c r="E1048" t="inlineStr">
        <is>
          <t>WRM Harian</t>
        </is>
      </c>
      <c r="F1048" t="inlineStr">
        <is>
          <t>13:47:31</t>
        </is>
      </c>
      <c r="G1048" t="inlineStr">
        <is>
          <t>22:32:43</t>
        </is>
      </c>
      <c r="H1048" t="inlineStr">
        <is>
          <t>SELESAI</t>
        </is>
      </c>
      <c r="I1048" t="inlineStr">
        <is>
          <t>MK00085</t>
        </is>
      </c>
      <c r="J1048" t="inlineStr"/>
    </row>
    <row r="1049">
      <c r="A1049" t="inlineStr">
        <is>
          <t>15/06/2026</t>
        </is>
      </c>
      <c r="B1049" t="inlineStr">
        <is>
          <t>528000283</t>
        </is>
      </c>
      <c r="C1049" t="inlineStr">
        <is>
          <t>Purwanda Sugiri</t>
        </is>
      </c>
      <c r="D1049" t="inlineStr">
        <is>
          <t>LOG</t>
        </is>
      </c>
      <c r="E1049" t="inlineStr">
        <is>
          <t>WRM Harian</t>
        </is>
      </c>
      <c r="F1049" t="inlineStr">
        <is>
          <t>05:50:23</t>
        </is>
      </c>
      <c r="G1049" t="inlineStr">
        <is>
          <t>06:05:27</t>
        </is>
      </c>
      <c r="H1049" t="inlineStr">
        <is>
          <t>SELESAI</t>
        </is>
      </c>
      <c r="I1049" t="inlineStr">
        <is>
          <t>MK00109</t>
        </is>
      </c>
      <c r="J1049" t="inlineStr"/>
    </row>
    <row r="1050">
      <c r="A1050" t="inlineStr">
        <is>
          <t>15/06/2026</t>
        </is>
      </c>
      <c r="B1050" t="inlineStr">
        <is>
          <t>528000286</t>
        </is>
      </c>
      <c r="C1050" t="inlineStr">
        <is>
          <t>Imelda Amelia</t>
        </is>
      </c>
      <c r="D1050" t="inlineStr">
        <is>
          <t>PROD</t>
        </is>
      </c>
      <c r="E1050" t="inlineStr">
        <is>
          <t>Produksi Harian</t>
        </is>
      </c>
      <c r="F1050" t="inlineStr">
        <is>
          <t>21:36:46</t>
        </is>
      </c>
      <c r="G1050" t="inlineStr">
        <is>
          <t>06:06:00</t>
        </is>
      </c>
      <c r="H1050" t="inlineStr">
        <is>
          <t>SELESAI</t>
        </is>
      </c>
      <c r="I1050" t="inlineStr">
        <is>
          <t>MK00249</t>
        </is>
      </c>
      <c r="J1050" t="inlineStr"/>
    </row>
    <row r="1051">
      <c r="A1051" t="inlineStr">
        <is>
          <t>15/06/2026</t>
        </is>
      </c>
      <c r="B1051" t="inlineStr">
        <is>
          <t>528000292</t>
        </is>
      </c>
      <c r="C1051" t="inlineStr">
        <is>
          <t>Aditia Nugraha</t>
        </is>
      </c>
      <c r="D1051" t="inlineStr">
        <is>
          <t>PROD</t>
        </is>
      </c>
      <c r="E1051" t="inlineStr">
        <is>
          <t>Produksi Harian</t>
        </is>
      </c>
      <c r="F1051" t="inlineStr">
        <is>
          <t>09:01:22</t>
        </is>
      </c>
      <c r="G1051" t="inlineStr">
        <is>
          <t>18:44:02</t>
        </is>
      </c>
      <c r="H1051" t="inlineStr">
        <is>
          <t>SELESAI</t>
        </is>
      </c>
      <c r="I1051" t="inlineStr">
        <is>
          <t>MK00207</t>
        </is>
      </c>
      <c r="J1051" t="inlineStr"/>
    </row>
    <row r="1052">
      <c r="A1052" t="inlineStr">
        <is>
          <t>15/06/2026</t>
        </is>
      </c>
      <c r="B1052" t="inlineStr">
        <is>
          <t>528000302</t>
        </is>
      </c>
      <c r="C1052" t="inlineStr">
        <is>
          <t>Henkey gumilar</t>
        </is>
      </c>
      <c r="D1052" t="inlineStr">
        <is>
          <t>PROD</t>
        </is>
      </c>
      <c r="E1052" t="inlineStr">
        <is>
          <t>Produksi Harian</t>
        </is>
      </c>
      <c r="F1052" t="inlineStr">
        <is>
          <t>13:28:58</t>
        </is>
      </c>
      <c r="G1052" t="inlineStr">
        <is>
          <t>22:12:24</t>
        </is>
      </c>
      <c r="H1052" t="inlineStr">
        <is>
          <t>SELESAI</t>
        </is>
      </c>
      <c r="I1052" t="inlineStr">
        <is>
          <t>MK00160</t>
        </is>
      </c>
      <c r="J1052" t="inlineStr"/>
    </row>
    <row r="1053">
      <c r="A1053" t="inlineStr">
        <is>
          <t>15/06/2026</t>
        </is>
      </c>
      <c r="B1053" t="inlineStr">
        <is>
          <t>528000305</t>
        </is>
      </c>
      <c r="C1053" t="inlineStr">
        <is>
          <t>Puji Puspita</t>
        </is>
      </c>
      <c r="D1053" t="inlineStr">
        <is>
          <t>PROD</t>
        </is>
      </c>
      <c r="E1053" t="inlineStr">
        <is>
          <t>Produksi Harian</t>
        </is>
      </c>
      <c r="F1053" t="inlineStr">
        <is>
          <t>13:42:25</t>
        </is>
      </c>
      <c r="G1053" t="inlineStr"/>
      <c r="H1053" t="inlineStr">
        <is>
          <t>DI DALAM</t>
        </is>
      </c>
      <c r="I1053" t="inlineStr">
        <is>
          <t>MK00202</t>
        </is>
      </c>
      <c r="J1053" t="inlineStr"/>
    </row>
    <row r="1054">
      <c r="A1054" t="inlineStr">
        <is>
          <t>15/06/2026</t>
        </is>
      </c>
      <c r="B1054" t="inlineStr">
        <is>
          <t>528000348</t>
        </is>
      </c>
      <c r="C1054" t="inlineStr">
        <is>
          <t>Saepuloh Ardiansah</t>
        </is>
      </c>
      <c r="D1054" t="inlineStr">
        <is>
          <t>LOG</t>
        </is>
      </c>
      <c r="E1054" t="inlineStr">
        <is>
          <t>WRM Harian</t>
        </is>
      </c>
      <c r="F1054" t="inlineStr">
        <is>
          <t>15:46:49</t>
        </is>
      </c>
      <c r="G1054" t="inlineStr">
        <is>
          <t>00:02:48</t>
        </is>
      </c>
      <c r="H1054" t="inlineStr">
        <is>
          <t>SELESAI</t>
        </is>
      </c>
      <c r="I1054" t="inlineStr">
        <is>
          <t>MK00205</t>
        </is>
      </c>
      <c r="J1054" t="inlineStr"/>
    </row>
    <row r="1055">
      <c r="A1055" t="inlineStr">
        <is>
          <t>15/06/2026</t>
        </is>
      </c>
      <c r="B1055" t="inlineStr">
        <is>
          <t>528000349</t>
        </is>
      </c>
      <c r="C1055" t="inlineStr">
        <is>
          <t>Anas Abdul Fatah</t>
        </is>
      </c>
      <c r="D1055" t="inlineStr">
        <is>
          <t>LOG</t>
        </is>
      </c>
      <c r="E1055" t="inlineStr">
        <is>
          <t>WFG Harian</t>
        </is>
      </c>
      <c r="F1055" t="inlineStr">
        <is>
          <t>07:48:49</t>
        </is>
      </c>
      <c r="G1055" t="inlineStr">
        <is>
          <t>16:13:18</t>
        </is>
      </c>
      <c r="H1055" t="inlineStr">
        <is>
          <t>SELESAI</t>
        </is>
      </c>
      <c r="I1055" t="inlineStr">
        <is>
          <t>MK00192</t>
        </is>
      </c>
      <c r="J1055" t="inlineStr"/>
    </row>
    <row r="1056">
      <c r="A1056" t="inlineStr">
        <is>
          <t>15/06/2026</t>
        </is>
      </c>
      <c r="B1056" t="inlineStr">
        <is>
          <t>528000358</t>
        </is>
      </c>
      <c r="C1056" t="inlineStr">
        <is>
          <t>Lulu Agustin</t>
        </is>
      </c>
      <c r="D1056" t="inlineStr">
        <is>
          <t>PROD</t>
        </is>
      </c>
      <c r="E1056" t="inlineStr">
        <is>
          <t>Produksi Harian</t>
        </is>
      </c>
      <c r="F1056" t="inlineStr">
        <is>
          <t>05:40:50</t>
        </is>
      </c>
      <c r="G1056" t="inlineStr">
        <is>
          <t>14:03:18</t>
        </is>
      </c>
      <c r="H1056" t="inlineStr">
        <is>
          <t>SELESAI</t>
        </is>
      </c>
      <c r="I1056" t="inlineStr">
        <is>
          <t>MK00151</t>
        </is>
      </c>
      <c r="J1056" t="inlineStr"/>
    </row>
    <row r="1057">
      <c r="A1057" t="inlineStr">
        <is>
          <t>15/06/2026</t>
        </is>
      </c>
      <c r="B1057" t="inlineStr">
        <is>
          <t>628000061</t>
        </is>
      </c>
      <c r="C1057" t="inlineStr">
        <is>
          <t>Nayla Fadillah Exwantoro</t>
        </is>
      </c>
      <c r="D1057" t="inlineStr">
        <is>
          <t>PROD</t>
        </is>
      </c>
      <c r="E1057" t="inlineStr">
        <is>
          <t>Produksi Borongan</t>
        </is>
      </c>
      <c r="F1057" t="inlineStr">
        <is>
          <t>13:01:25</t>
        </is>
      </c>
      <c r="G1057" t="inlineStr">
        <is>
          <t>13:01:08</t>
        </is>
      </c>
      <c r="H1057" t="inlineStr">
        <is>
          <t>SELESAI</t>
        </is>
      </c>
      <c r="I1057" t="inlineStr">
        <is>
          <t>MK00158</t>
        </is>
      </c>
      <c r="J1057" t="inlineStr"/>
    </row>
    <row r="1058">
      <c r="A1058" t="inlineStr">
        <is>
          <t>16/06/2026</t>
        </is>
      </c>
      <c r="B1058" t="inlineStr">
        <is>
          <t>528000015</t>
        </is>
      </c>
      <c r="C1058" t="inlineStr">
        <is>
          <t>Erwin</t>
        </is>
      </c>
      <c r="D1058" t="inlineStr">
        <is>
          <t>LOG</t>
        </is>
      </c>
      <c r="E1058" t="inlineStr">
        <is>
          <t>WRM Harian</t>
        </is>
      </c>
      <c r="F1058" t="inlineStr">
        <is>
          <t>07:53:07</t>
        </is>
      </c>
      <c r="G1058" t="inlineStr">
        <is>
          <t>07:54:39</t>
        </is>
      </c>
      <c r="H1058" t="inlineStr">
        <is>
          <t>SELESAI</t>
        </is>
      </c>
      <c r="I1058" t="inlineStr">
        <is>
          <t>MK00156</t>
        </is>
      </c>
      <c r="J1058" t="inlineStr"/>
    </row>
    <row r="1059">
      <c r="A1059" t="inlineStr">
        <is>
          <t>16/06/2026</t>
        </is>
      </c>
      <c r="B1059" t="inlineStr">
        <is>
          <t>528000099</t>
        </is>
      </c>
      <c r="C1059" t="inlineStr">
        <is>
          <t>Siti Nurawaliah</t>
        </is>
      </c>
      <c r="D1059" t="inlineStr">
        <is>
          <t>PROD</t>
        </is>
      </c>
      <c r="E1059" t="inlineStr">
        <is>
          <t>Produksi Harian</t>
        </is>
      </c>
      <c r="F1059" t="inlineStr">
        <is>
          <t>21:40:38</t>
        </is>
      </c>
      <c r="G1059" t="inlineStr">
        <is>
          <t>06:06:43</t>
        </is>
      </c>
      <c r="H1059" t="inlineStr">
        <is>
          <t>SELESAI</t>
        </is>
      </c>
      <c r="I1059" t="inlineStr">
        <is>
          <t>MK00192</t>
        </is>
      </c>
      <c r="J1059" t="inlineStr"/>
    </row>
    <row r="1060">
      <c r="A1060" t="inlineStr">
        <is>
          <t>16/06/2026</t>
        </is>
      </c>
      <c r="B1060" t="inlineStr">
        <is>
          <t>528000144</t>
        </is>
      </c>
      <c r="C1060" t="inlineStr">
        <is>
          <t>Jodi Hanafi</t>
        </is>
      </c>
      <c r="D1060" t="inlineStr">
        <is>
          <t>LOG</t>
        </is>
      </c>
      <c r="E1060" t="inlineStr">
        <is>
          <t>WRM Harian</t>
        </is>
      </c>
      <c r="F1060" t="inlineStr"/>
      <c r="G1060" t="inlineStr">
        <is>
          <t>16:46:33</t>
        </is>
      </c>
      <c r="H1060" t="inlineStr">
        <is>
          <t>KELUAR TANPA MASUK</t>
        </is>
      </c>
      <c r="I1060" t="inlineStr">
        <is>
          <t>MK00213</t>
        </is>
      </c>
      <c r="J1060" t="inlineStr"/>
    </row>
    <row r="1061">
      <c r="A1061" t="inlineStr">
        <is>
          <t>16/06/2026</t>
        </is>
      </c>
      <c r="B1061" t="inlineStr">
        <is>
          <t>528000149</t>
        </is>
      </c>
      <c r="C1061" t="inlineStr">
        <is>
          <t>Tio Fernanda</t>
        </is>
      </c>
      <c r="D1061" t="inlineStr">
        <is>
          <t>LOG</t>
        </is>
      </c>
      <c r="E1061" t="inlineStr">
        <is>
          <t>WRM Harian</t>
        </is>
      </c>
      <c r="F1061" t="inlineStr">
        <is>
          <t>08:57:45</t>
        </is>
      </c>
      <c r="G1061" t="inlineStr"/>
      <c r="H1061" t="inlineStr">
        <is>
          <t>DI DALAM</t>
        </is>
      </c>
      <c r="I1061" t="inlineStr">
        <is>
          <t>MK00212</t>
        </is>
      </c>
      <c r="J1061" t="inlineStr"/>
    </row>
    <row r="1062">
      <c r="A1062" t="inlineStr">
        <is>
          <t>16/06/2026</t>
        </is>
      </c>
      <c r="B1062" t="inlineStr">
        <is>
          <t>528000201</t>
        </is>
      </c>
      <c r="C1062" t="inlineStr">
        <is>
          <t>Zahwa Amelia Choerunissa</t>
        </is>
      </c>
      <c r="D1062" t="inlineStr">
        <is>
          <t>PROD</t>
        </is>
      </c>
      <c r="E1062" t="inlineStr">
        <is>
          <t>Produksi Harian</t>
        </is>
      </c>
      <c r="F1062" t="inlineStr">
        <is>
          <t>21:39:44</t>
        </is>
      </c>
      <c r="G1062" t="inlineStr">
        <is>
          <t>06:05:11</t>
        </is>
      </c>
      <c r="H1062" t="inlineStr">
        <is>
          <t>SELESAI</t>
        </is>
      </c>
      <c r="I1062" t="inlineStr">
        <is>
          <t>MK00228</t>
        </is>
      </c>
      <c r="J1062" t="inlineStr"/>
    </row>
    <row r="1063">
      <c r="A1063" t="inlineStr">
        <is>
          <t>16/06/2026</t>
        </is>
      </c>
      <c r="B1063" t="inlineStr">
        <is>
          <t>528000212</t>
        </is>
      </c>
      <c r="C1063" t="inlineStr">
        <is>
          <t>Rizal Fauzi</t>
        </is>
      </c>
      <c r="D1063" t="inlineStr">
        <is>
          <t>PROD</t>
        </is>
      </c>
      <c r="E1063" t="inlineStr">
        <is>
          <t>Produksi Harian</t>
        </is>
      </c>
      <c r="F1063" t="inlineStr">
        <is>
          <t>21:34:21</t>
        </is>
      </c>
      <c r="G1063" t="inlineStr"/>
      <c r="H1063" t="inlineStr">
        <is>
          <t>DI DALAM</t>
        </is>
      </c>
      <c r="I1063" t="inlineStr">
        <is>
          <t>MK00055</t>
        </is>
      </c>
      <c r="J1063" t="inlineStr"/>
    </row>
    <row r="1064">
      <c r="A1064" t="inlineStr">
        <is>
          <t>16/06/2026</t>
        </is>
      </c>
      <c r="B1064" t="inlineStr">
        <is>
          <t>528000241</t>
        </is>
      </c>
      <c r="C1064" t="inlineStr">
        <is>
          <t>Balia Nurafif Bilah</t>
        </is>
      </c>
      <c r="D1064" t="inlineStr">
        <is>
          <t>PROD</t>
        </is>
      </c>
      <c r="E1064" t="inlineStr">
        <is>
          <t>Produksi Harian</t>
        </is>
      </c>
      <c r="F1064" t="inlineStr"/>
      <c r="G1064" t="inlineStr">
        <is>
          <t>06:04:02</t>
        </is>
      </c>
      <c r="H1064" t="inlineStr">
        <is>
          <t>KELUAR TANPA MASUK</t>
        </is>
      </c>
      <c r="I1064" t="inlineStr">
        <is>
          <t>MK00151</t>
        </is>
      </c>
      <c r="J1064" t="inlineStr"/>
    </row>
    <row r="1065">
      <c r="A1065" t="inlineStr">
        <is>
          <t>16/06/2026</t>
        </is>
      </c>
      <c r="B1065" t="inlineStr">
        <is>
          <t>528000244</t>
        </is>
      </c>
      <c r="C1065" t="inlineStr">
        <is>
          <t>Rodian Rifai</t>
        </is>
      </c>
      <c r="D1065" t="inlineStr">
        <is>
          <t>PROD</t>
        </is>
      </c>
      <c r="E1065" t="inlineStr">
        <is>
          <t>Produksi Harian</t>
        </is>
      </c>
      <c r="F1065" t="inlineStr">
        <is>
          <t>21:37:52</t>
        </is>
      </c>
      <c r="G1065" t="inlineStr">
        <is>
          <t>07:13:21</t>
        </is>
      </c>
      <c r="H1065" t="inlineStr">
        <is>
          <t>SELESAI</t>
        </is>
      </c>
      <c r="I1065" t="inlineStr">
        <is>
          <t>MK00150</t>
        </is>
      </c>
      <c r="J1065" t="inlineStr">
        <is>
          <t>22f</t>
        </is>
      </c>
    </row>
    <row r="1066">
      <c r="A1066" t="inlineStr">
        <is>
          <t>16/06/2026</t>
        </is>
      </c>
      <c r="B1066" t="inlineStr">
        <is>
          <t>528000262</t>
        </is>
      </c>
      <c r="C1066" t="inlineStr">
        <is>
          <t>Ndari Dwiwanti</t>
        </is>
      </c>
      <c r="D1066" t="inlineStr">
        <is>
          <t>PROD</t>
        </is>
      </c>
      <c r="E1066" t="inlineStr">
        <is>
          <t>Produksi Harian</t>
        </is>
      </c>
      <c r="F1066" t="inlineStr">
        <is>
          <t>05:39:41</t>
        </is>
      </c>
      <c r="G1066" t="inlineStr">
        <is>
          <t>14:01:32</t>
        </is>
      </c>
      <c r="H1066" t="inlineStr">
        <is>
          <t>SELESAI</t>
        </is>
      </c>
      <c r="I1066" t="inlineStr">
        <is>
          <t>MK00088</t>
        </is>
      </c>
      <c r="J1066" t="inlineStr"/>
    </row>
    <row r="1067">
      <c r="A1067" t="inlineStr">
        <is>
          <t>16/06/2026</t>
        </is>
      </c>
      <c r="B1067" t="inlineStr">
        <is>
          <t>528000265</t>
        </is>
      </c>
      <c r="C1067" t="inlineStr">
        <is>
          <t>Muhammad Haerul Rozikin</t>
        </is>
      </c>
      <c r="D1067" t="inlineStr">
        <is>
          <t>LOG</t>
        </is>
      </c>
      <c r="E1067" t="inlineStr">
        <is>
          <t>WRM Harian</t>
        </is>
      </c>
      <c r="F1067" t="inlineStr">
        <is>
          <t>05:59:09</t>
        </is>
      </c>
      <c r="G1067" t="inlineStr">
        <is>
          <t>14:16:00</t>
        </is>
      </c>
      <c r="H1067" t="inlineStr">
        <is>
          <t>SELESAI</t>
        </is>
      </c>
      <c r="I1067" t="inlineStr">
        <is>
          <t>MK00249</t>
        </is>
      </c>
      <c r="J1067" t="inlineStr"/>
    </row>
    <row r="1068">
      <c r="A1068" t="inlineStr">
        <is>
          <t>16/06/2026</t>
        </is>
      </c>
      <c r="B1068" t="inlineStr">
        <is>
          <t>528000266</t>
        </is>
      </c>
      <c r="C1068" t="inlineStr">
        <is>
          <t>M. Syirajatieq</t>
        </is>
      </c>
      <c r="D1068" t="inlineStr">
        <is>
          <t>LOG</t>
        </is>
      </c>
      <c r="E1068" t="inlineStr">
        <is>
          <t>WFG Harian</t>
        </is>
      </c>
      <c r="F1068" t="inlineStr">
        <is>
          <t>05:45:40</t>
        </is>
      </c>
      <c r="G1068" t="inlineStr">
        <is>
          <t>14:34:56</t>
        </is>
      </c>
      <c r="H1068" t="inlineStr">
        <is>
          <t>SELESAI</t>
        </is>
      </c>
      <c r="I1068" t="inlineStr">
        <is>
          <t>MK00181</t>
        </is>
      </c>
      <c r="J1068" t="inlineStr"/>
    </row>
    <row r="1069">
      <c r="A1069" t="inlineStr">
        <is>
          <t>16/06/2026</t>
        </is>
      </c>
      <c r="B1069" t="inlineStr">
        <is>
          <t>528000273</t>
        </is>
      </c>
      <c r="C1069" t="inlineStr">
        <is>
          <t>Asep Mulyana</t>
        </is>
      </c>
      <c r="D1069" t="inlineStr">
        <is>
          <t>PROD</t>
        </is>
      </c>
      <c r="E1069" t="inlineStr">
        <is>
          <t>Produksi Harian</t>
        </is>
      </c>
      <c r="F1069" t="inlineStr">
        <is>
          <t>15:51:10</t>
        </is>
      </c>
      <c r="G1069" t="inlineStr">
        <is>
          <t>00:01:02</t>
        </is>
      </c>
      <c r="H1069" t="inlineStr">
        <is>
          <t>SELESAI</t>
        </is>
      </c>
      <c r="I1069" t="inlineStr">
        <is>
          <t>MK00228</t>
        </is>
      </c>
      <c r="J1069" t="inlineStr"/>
    </row>
    <row r="1070">
      <c r="A1070" t="inlineStr">
        <is>
          <t>16/06/2026</t>
        </is>
      </c>
      <c r="B1070" t="inlineStr">
        <is>
          <t>528000279</t>
        </is>
      </c>
      <c r="C1070" t="inlineStr">
        <is>
          <t>Mahdalena Dalfa Riani</t>
        </is>
      </c>
      <c r="D1070" t="inlineStr">
        <is>
          <t>PROD</t>
        </is>
      </c>
      <c r="E1070" t="inlineStr">
        <is>
          <t>Produksi Harian</t>
        </is>
      </c>
      <c r="F1070" t="inlineStr">
        <is>
          <t>13:46:19</t>
        </is>
      </c>
      <c r="G1070" t="inlineStr">
        <is>
          <t>22:04:51</t>
        </is>
      </c>
      <c r="H1070" t="inlineStr">
        <is>
          <t>SELESAI</t>
        </is>
      </c>
      <c r="I1070" t="inlineStr">
        <is>
          <t>MK00208</t>
        </is>
      </c>
      <c r="J1070" t="inlineStr"/>
    </row>
    <row r="1071">
      <c r="A1071" t="inlineStr">
        <is>
          <t>16/06/2026</t>
        </is>
      </c>
      <c r="B1071" t="inlineStr">
        <is>
          <t>528000286</t>
        </is>
      </c>
      <c r="C1071" t="inlineStr">
        <is>
          <t>Imelda Amelia</t>
        </is>
      </c>
      <c r="D1071" t="inlineStr">
        <is>
          <t>PROD</t>
        </is>
      </c>
      <c r="E1071" t="inlineStr">
        <is>
          <t>Produksi Harian</t>
        </is>
      </c>
      <c r="F1071" t="inlineStr">
        <is>
          <t>21:38:02</t>
        </is>
      </c>
      <c r="G1071" t="inlineStr">
        <is>
          <t>06:06:39</t>
        </is>
      </c>
      <c r="H1071" t="inlineStr">
        <is>
          <t>SELESAI</t>
        </is>
      </c>
      <c r="I1071" t="inlineStr">
        <is>
          <t>MK00249</t>
        </is>
      </c>
      <c r="J1071" t="inlineStr"/>
    </row>
    <row r="1072">
      <c r="A1072" t="inlineStr">
        <is>
          <t>16/06/2026</t>
        </is>
      </c>
      <c r="B1072" t="inlineStr">
        <is>
          <t>528000287</t>
        </is>
      </c>
      <c r="C1072" t="inlineStr">
        <is>
          <t>Muhamad Angga Ramdani</t>
        </is>
      </c>
      <c r="D1072" t="inlineStr">
        <is>
          <t>PROD</t>
        </is>
      </c>
      <c r="E1072" t="inlineStr">
        <is>
          <t>Produksi Harian</t>
        </is>
      </c>
      <c r="F1072" t="inlineStr">
        <is>
          <t>07:57:16</t>
        </is>
      </c>
      <c r="G1072" t="inlineStr">
        <is>
          <t>16:10:35</t>
        </is>
      </c>
      <c r="H1072" t="inlineStr">
        <is>
          <t>SELESAI</t>
        </is>
      </c>
      <c r="I1072" t="inlineStr">
        <is>
          <t>MK00230</t>
        </is>
      </c>
      <c r="J1072" t="inlineStr"/>
    </row>
    <row r="1073">
      <c r="A1073" t="inlineStr">
        <is>
          <t>16/06/2026</t>
        </is>
      </c>
      <c r="B1073" t="inlineStr">
        <is>
          <t>528000290</t>
        </is>
      </c>
      <c r="C1073" t="inlineStr">
        <is>
          <t>Eval Pranata</t>
        </is>
      </c>
      <c r="D1073" t="inlineStr">
        <is>
          <t>PROD</t>
        </is>
      </c>
      <c r="E1073" t="inlineStr">
        <is>
          <t>Produksi Harian</t>
        </is>
      </c>
      <c r="F1073" t="inlineStr">
        <is>
          <t>22:01:22</t>
        </is>
      </c>
      <c r="G1073" t="inlineStr">
        <is>
          <t>06:03:14</t>
        </is>
      </c>
      <c r="H1073" t="inlineStr">
        <is>
          <t>SELESAI</t>
        </is>
      </c>
      <c r="I1073" t="inlineStr">
        <is>
          <t>MK00160</t>
        </is>
      </c>
      <c r="J1073" t="inlineStr"/>
    </row>
    <row r="1074">
      <c r="A1074" t="inlineStr">
        <is>
          <t>16/06/2026</t>
        </is>
      </c>
      <c r="B1074" t="inlineStr">
        <is>
          <t>528000292</t>
        </is>
      </c>
      <c r="C1074" t="inlineStr">
        <is>
          <t>Aditia Nugraha</t>
        </is>
      </c>
      <c r="D1074" t="inlineStr">
        <is>
          <t>PROD</t>
        </is>
      </c>
      <c r="E1074" t="inlineStr">
        <is>
          <t>Produksi Harian</t>
        </is>
      </c>
      <c r="F1074" t="inlineStr">
        <is>
          <t>15:54:17</t>
        </is>
      </c>
      <c r="G1074" t="inlineStr">
        <is>
          <t>00:42:29</t>
        </is>
      </c>
      <c r="H1074" t="inlineStr">
        <is>
          <t>SELESAI</t>
        </is>
      </c>
      <c r="I1074" t="inlineStr">
        <is>
          <t>MK00207</t>
        </is>
      </c>
      <c r="J1074" t="inlineStr"/>
    </row>
    <row r="1075">
      <c r="A1075" t="inlineStr">
        <is>
          <t>16/06/2026</t>
        </is>
      </c>
      <c r="B1075" t="inlineStr">
        <is>
          <t>528000297</t>
        </is>
      </c>
      <c r="C1075" t="inlineStr">
        <is>
          <t>Muhamad Budiana</t>
        </is>
      </c>
      <c r="D1075" t="inlineStr">
        <is>
          <t>PROD</t>
        </is>
      </c>
      <c r="E1075" t="inlineStr">
        <is>
          <t>Produksi Harian</t>
        </is>
      </c>
      <c r="F1075" t="inlineStr">
        <is>
          <t>13:28:29</t>
        </is>
      </c>
      <c r="G1075" t="inlineStr">
        <is>
          <t>22:58:39</t>
        </is>
      </c>
      <c r="H1075" t="inlineStr">
        <is>
          <t>SELESAI</t>
        </is>
      </c>
      <c r="I1075" t="inlineStr">
        <is>
          <t>MK00113</t>
        </is>
      </c>
      <c r="J1075" t="inlineStr"/>
    </row>
    <row r="1076">
      <c r="A1076" t="inlineStr">
        <is>
          <t>16/06/2026</t>
        </is>
      </c>
      <c r="B1076" t="inlineStr">
        <is>
          <t>528000306</t>
        </is>
      </c>
      <c r="C1076" t="inlineStr">
        <is>
          <t>Windy Olivia</t>
        </is>
      </c>
      <c r="D1076" t="inlineStr">
        <is>
          <t>PROD</t>
        </is>
      </c>
      <c r="E1076" t="inlineStr">
        <is>
          <t>Produksi Harian</t>
        </is>
      </c>
      <c r="F1076" t="inlineStr">
        <is>
          <t>21:42:54</t>
        </is>
      </c>
      <c r="G1076" t="inlineStr"/>
      <c r="H1076" t="inlineStr">
        <is>
          <t>DI DALAM</t>
        </is>
      </c>
      <c r="I1076" t="inlineStr">
        <is>
          <t>MK00210</t>
        </is>
      </c>
      <c r="J1076" t="inlineStr"/>
    </row>
    <row r="1077">
      <c r="A1077" t="inlineStr">
        <is>
          <t>16/06/2026</t>
        </is>
      </c>
      <c r="B1077" t="inlineStr">
        <is>
          <t>528000348</t>
        </is>
      </c>
      <c r="C1077" t="inlineStr">
        <is>
          <t>Saepuloh Ardiansah</t>
        </is>
      </c>
      <c r="D1077" t="inlineStr">
        <is>
          <t>LOG</t>
        </is>
      </c>
      <c r="E1077" t="inlineStr">
        <is>
          <t>WRM Harian</t>
        </is>
      </c>
      <c r="F1077" t="inlineStr">
        <is>
          <t>15:57:07</t>
        </is>
      </c>
      <c r="G1077" t="inlineStr">
        <is>
          <t>01:27:28</t>
        </is>
      </c>
      <c r="H1077" t="inlineStr">
        <is>
          <t>SELESAI</t>
        </is>
      </c>
      <c r="I1077" t="inlineStr">
        <is>
          <t>MK00205</t>
        </is>
      </c>
      <c r="J1077" t="inlineStr"/>
    </row>
    <row r="1078">
      <c r="A1078" t="inlineStr">
        <is>
          <t>16/06/2026</t>
        </is>
      </c>
      <c r="B1078" t="inlineStr">
        <is>
          <t>528000349</t>
        </is>
      </c>
      <c r="C1078" t="inlineStr">
        <is>
          <t>Anas Abdul Fatah</t>
        </is>
      </c>
      <c r="D1078" t="inlineStr">
        <is>
          <t>LOG</t>
        </is>
      </c>
      <c r="E1078" t="inlineStr">
        <is>
          <t>WFG Harian</t>
        </is>
      </c>
      <c r="F1078" t="inlineStr">
        <is>
          <t>07:50:32</t>
        </is>
      </c>
      <c r="G1078" t="inlineStr">
        <is>
          <t>16:12:44</t>
        </is>
      </c>
      <c r="H1078" t="inlineStr">
        <is>
          <t>SELESAI</t>
        </is>
      </c>
      <c r="I1078" t="inlineStr">
        <is>
          <t>MK00210</t>
        </is>
      </c>
      <c r="J1078" t="inlineStr"/>
    </row>
    <row r="1079">
      <c r="A1079" t="inlineStr">
        <is>
          <t>16/06/2026</t>
        </is>
      </c>
      <c r="B1079" t="inlineStr">
        <is>
          <t>528000358</t>
        </is>
      </c>
      <c r="C1079" t="inlineStr">
        <is>
          <t>Lulu Agustin</t>
        </is>
      </c>
      <c r="D1079" t="inlineStr">
        <is>
          <t>PROD</t>
        </is>
      </c>
      <c r="E1079" t="inlineStr">
        <is>
          <t>Produksi Harian</t>
        </is>
      </c>
      <c r="F1079" t="inlineStr">
        <is>
          <t>05:41:32</t>
        </is>
      </c>
      <c r="G1079" t="inlineStr">
        <is>
          <t>14:01:37</t>
        </is>
      </c>
      <c r="H1079" t="inlineStr">
        <is>
          <t>SELESAI</t>
        </is>
      </c>
      <c r="I1079" t="inlineStr">
        <is>
          <t>MK00085</t>
        </is>
      </c>
      <c r="J1079" t="inlineStr"/>
    </row>
    <row r="1080">
      <c r="A1080" t="inlineStr">
        <is>
          <t>16/06/2026</t>
        </is>
      </c>
      <c r="B1080" t="inlineStr">
        <is>
          <t>628000061</t>
        </is>
      </c>
      <c r="C1080" t="inlineStr">
        <is>
          <t>Nayla Fadillah Exwantoro</t>
        </is>
      </c>
      <c r="D1080" t="inlineStr">
        <is>
          <t>PROD</t>
        </is>
      </c>
      <c r="E1080" t="inlineStr">
        <is>
          <t>Produksi Borongan</t>
        </is>
      </c>
      <c r="F1080" t="inlineStr"/>
      <c r="G1080" t="inlineStr">
        <is>
          <t>05:51:03</t>
        </is>
      </c>
      <c r="H1080" t="inlineStr">
        <is>
          <t>KELUAR TANPA MASUK</t>
        </is>
      </c>
      <c r="I1080" t="inlineStr">
        <is>
          <t>MK00158</t>
        </is>
      </c>
      <c r="J1080" t="inlineStr"/>
    </row>
    <row r="1081">
      <c r="A1081" t="inlineStr">
        <is>
          <t>16/06/2026</t>
        </is>
      </c>
      <c r="B1081" t="inlineStr">
        <is>
          <t>628000064</t>
        </is>
      </c>
      <c r="C1081" t="inlineStr">
        <is>
          <t>Silva Alypia</t>
        </is>
      </c>
      <c r="D1081" t="inlineStr">
        <is>
          <t>PROD</t>
        </is>
      </c>
      <c r="E1081" t="inlineStr">
        <is>
          <t>Produksi Borongan</t>
        </is>
      </c>
      <c r="F1081" t="inlineStr">
        <is>
          <t>13:40:22</t>
        </is>
      </c>
      <c r="G1081" t="inlineStr">
        <is>
          <t>22:09:17</t>
        </is>
      </c>
      <c r="H1081" t="inlineStr">
        <is>
          <t>SELESAI</t>
        </is>
      </c>
      <c r="I1081" t="inlineStr">
        <is>
          <t>MK00150</t>
        </is>
      </c>
      <c r="J1081" t="inlineStr"/>
    </row>
    <row r="1082">
      <c r="A1082" t="inlineStr">
        <is>
          <t>17/06/2026</t>
        </is>
      </c>
      <c r="B1082" t="inlineStr">
        <is>
          <t>528000015</t>
        </is>
      </c>
      <c r="C1082" t="inlineStr">
        <is>
          <t>Erwin</t>
        </is>
      </c>
      <c r="D1082" t="inlineStr">
        <is>
          <t>LOG</t>
        </is>
      </c>
      <c r="E1082" t="inlineStr">
        <is>
          <t>WRM Harian</t>
        </is>
      </c>
      <c r="F1082" t="inlineStr">
        <is>
          <t>07:55:02</t>
        </is>
      </c>
      <c r="G1082" t="inlineStr">
        <is>
          <t>16:12:16</t>
        </is>
      </c>
      <c r="H1082" t="inlineStr">
        <is>
          <t>SELESAI</t>
        </is>
      </c>
      <c r="I1082" t="inlineStr">
        <is>
          <t>MK00181</t>
        </is>
      </c>
      <c r="J1082" t="inlineStr"/>
    </row>
    <row r="1083">
      <c r="A1083" t="inlineStr">
        <is>
          <t>17/06/2026</t>
        </is>
      </c>
      <c r="B1083" t="inlineStr">
        <is>
          <t>528000099</t>
        </is>
      </c>
      <c r="C1083" t="inlineStr">
        <is>
          <t>Siti Nurawaliah</t>
        </is>
      </c>
      <c r="D1083" t="inlineStr">
        <is>
          <t>PROD</t>
        </is>
      </c>
      <c r="E1083" t="inlineStr">
        <is>
          <t>Produksi Harian</t>
        </is>
      </c>
      <c r="F1083" t="inlineStr">
        <is>
          <t>21:30:41</t>
        </is>
      </c>
      <c r="G1083" t="inlineStr">
        <is>
          <t>06:04:09</t>
        </is>
      </c>
      <c r="H1083" t="inlineStr">
        <is>
          <t>SELESAI</t>
        </is>
      </c>
      <c r="I1083" t="inlineStr">
        <is>
          <t>MK00181</t>
        </is>
      </c>
      <c r="J1083" t="inlineStr"/>
    </row>
    <row r="1084">
      <c r="A1084" t="inlineStr">
        <is>
          <t>17/06/2026</t>
        </is>
      </c>
      <c r="B1084" t="inlineStr">
        <is>
          <t>528000144</t>
        </is>
      </c>
      <c r="C1084" t="inlineStr">
        <is>
          <t>Jodi Hanafi</t>
        </is>
      </c>
      <c r="D1084" t="inlineStr">
        <is>
          <t>LOG</t>
        </is>
      </c>
      <c r="E1084" t="inlineStr">
        <is>
          <t>WRM Harian</t>
        </is>
      </c>
      <c r="F1084" t="inlineStr">
        <is>
          <t>09:38:21</t>
        </is>
      </c>
      <c r="G1084" t="inlineStr">
        <is>
          <t>06:40:54</t>
        </is>
      </c>
      <c r="H1084" t="inlineStr">
        <is>
          <t>SELESAI</t>
        </is>
      </c>
      <c r="I1084" t="inlineStr">
        <is>
          <t>MK00213</t>
        </is>
      </c>
      <c r="J1084" t="inlineStr"/>
    </row>
    <row r="1085">
      <c r="A1085" t="inlineStr">
        <is>
          <t>17/06/2026</t>
        </is>
      </c>
      <c r="B1085" t="inlineStr">
        <is>
          <t>528000149</t>
        </is>
      </c>
      <c r="C1085" t="inlineStr">
        <is>
          <t>Tio Fernanda</t>
        </is>
      </c>
      <c r="D1085" t="inlineStr">
        <is>
          <t>LOG</t>
        </is>
      </c>
      <c r="E1085" t="inlineStr">
        <is>
          <t>WRM Harian</t>
        </is>
      </c>
      <c r="F1085" t="inlineStr">
        <is>
          <t>08:54:16</t>
        </is>
      </c>
      <c r="G1085" t="inlineStr">
        <is>
          <t>17:50:32</t>
        </is>
      </c>
      <c r="H1085" t="inlineStr">
        <is>
          <t>SELESAI</t>
        </is>
      </c>
      <c r="I1085" t="inlineStr">
        <is>
          <t>MK00212</t>
        </is>
      </c>
      <c r="J1085" t="inlineStr"/>
    </row>
    <row r="1086">
      <c r="A1086" t="inlineStr">
        <is>
          <t>17/06/2026</t>
        </is>
      </c>
      <c r="B1086" t="inlineStr">
        <is>
          <t>528000201</t>
        </is>
      </c>
      <c r="C1086" t="inlineStr">
        <is>
          <t>Zahwa Amelia Choerunissa</t>
        </is>
      </c>
      <c r="D1086" t="inlineStr">
        <is>
          <t>PROD</t>
        </is>
      </c>
      <c r="E1086" t="inlineStr">
        <is>
          <t>Produksi Harian</t>
        </is>
      </c>
      <c r="F1086" t="inlineStr">
        <is>
          <t>21:28:01</t>
        </is>
      </c>
      <c r="G1086" t="inlineStr">
        <is>
          <t>06:03:29</t>
        </is>
      </c>
      <c r="H1086" t="inlineStr">
        <is>
          <t>SELESAI</t>
        </is>
      </c>
      <c r="I1086" t="inlineStr">
        <is>
          <t>MK00203</t>
        </is>
      </c>
      <c r="J1086" t="inlineStr"/>
    </row>
    <row r="1087">
      <c r="A1087" t="inlineStr">
        <is>
          <t>17/06/2026</t>
        </is>
      </c>
      <c r="B1087" t="inlineStr">
        <is>
          <t>528000212</t>
        </is>
      </c>
      <c r="C1087" t="inlineStr">
        <is>
          <t>Rizal Fauzi</t>
        </is>
      </c>
      <c r="D1087" t="inlineStr">
        <is>
          <t>PROD</t>
        </is>
      </c>
      <c r="E1087" t="inlineStr">
        <is>
          <t>Produksi Harian</t>
        </is>
      </c>
      <c r="F1087" t="inlineStr">
        <is>
          <t>21:22:56</t>
        </is>
      </c>
      <c r="G1087" t="inlineStr">
        <is>
          <t>21:34:03</t>
        </is>
      </c>
      <c r="H1087" t="inlineStr">
        <is>
          <t>SELESAI</t>
        </is>
      </c>
      <c r="I1087" t="inlineStr">
        <is>
          <t>MK00055</t>
        </is>
      </c>
      <c r="J1087" t="inlineStr"/>
    </row>
    <row r="1088">
      <c r="A1088" t="inlineStr">
        <is>
          <t>17/06/2026</t>
        </is>
      </c>
      <c r="B1088" t="inlineStr">
        <is>
          <t>528000244</t>
        </is>
      </c>
      <c r="C1088" t="inlineStr">
        <is>
          <t>Rodian Rifai</t>
        </is>
      </c>
      <c r="D1088" t="inlineStr">
        <is>
          <t>PROD</t>
        </is>
      </c>
      <c r="E1088" t="inlineStr">
        <is>
          <t>Produksi Harian</t>
        </is>
      </c>
      <c r="F1088" t="inlineStr">
        <is>
          <t>21:31:21</t>
        </is>
      </c>
      <c r="G1088" t="inlineStr">
        <is>
          <t>06:47:38</t>
        </is>
      </c>
      <c r="H1088" t="inlineStr">
        <is>
          <t>SELESAI</t>
        </is>
      </c>
      <c r="I1088" t="inlineStr">
        <is>
          <t>MK00235</t>
        </is>
      </c>
      <c r="J1088" t="inlineStr">
        <is>
          <t>22F</t>
        </is>
      </c>
    </row>
    <row r="1089">
      <c r="A1089" t="inlineStr">
        <is>
          <t>17/06/2026</t>
        </is>
      </c>
      <c r="B1089" t="inlineStr">
        <is>
          <t>528000265</t>
        </is>
      </c>
      <c r="C1089" t="inlineStr">
        <is>
          <t>Muhammad Haerul Rozikin</t>
        </is>
      </c>
      <c r="D1089" t="inlineStr">
        <is>
          <t>LOG</t>
        </is>
      </c>
      <c r="E1089" t="inlineStr">
        <is>
          <t>WRM Harian</t>
        </is>
      </c>
      <c r="F1089" t="inlineStr">
        <is>
          <t>05:57:54</t>
        </is>
      </c>
      <c r="G1089" t="inlineStr">
        <is>
          <t>14:02:23</t>
        </is>
      </c>
      <c r="H1089" t="inlineStr">
        <is>
          <t>SELESAI</t>
        </is>
      </c>
      <c r="I1089" t="inlineStr">
        <is>
          <t>MK00112</t>
        </is>
      </c>
      <c r="J1089" t="inlineStr"/>
    </row>
    <row r="1090">
      <c r="A1090" t="inlineStr">
        <is>
          <t>17/06/2026</t>
        </is>
      </c>
      <c r="B1090" t="inlineStr">
        <is>
          <t>528000270</t>
        </is>
      </c>
      <c r="C1090" t="inlineStr">
        <is>
          <t>Febri Najmudin</t>
        </is>
      </c>
      <c r="D1090" t="inlineStr">
        <is>
          <t>LOG</t>
        </is>
      </c>
      <c r="E1090" t="inlineStr">
        <is>
          <t>WRM Harian</t>
        </is>
      </c>
      <c r="F1090" t="inlineStr">
        <is>
          <t>05:48:54</t>
        </is>
      </c>
      <c r="G1090" t="inlineStr">
        <is>
          <t>14:39:58</t>
        </is>
      </c>
      <c r="H1090" t="inlineStr">
        <is>
          <t>SELESAI</t>
        </is>
      </c>
      <c r="I1090" t="inlineStr">
        <is>
          <t>MK00150</t>
        </is>
      </c>
      <c r="J1090" t="inlineStr"/>
    </row>
    <row r="1091">
      <c r="A1091" t="inlineStr">
        <is>
          <t>17/06/2026</t>
        </is>
      </c>
      <c r="B1091" t="inlineStr">
        <is>
          <t>528000273</t>
        </is>
      </c>
      <c r="C1091" t="inlineStr">
        <is>
          <t>Asep Mulyana</t>
        </is>
      </c>
      <c r="D1091" t="inlineStr">
        <is>
          <t>PROD</t>
        </is>
      </c>
      <c r="E1091" t="inlineStr">
        <is>
          <t>Produksi Harian</t>
        </is>
      </c>
      <c r="F1091" t="inlineStr">
        <is>
          <t>15:52:22</t>
        </is>
      </c>
      <c r="G1091" t="inlineStr">
        <is>
          <t>00:02:15</t>
        </is>
      </c>
      <c r="H1091" t="inlineStr">
        <is>
          <t>SELESAI</t>
        </is>
      </c>
      <c r="I1091" t="inlineStr">
        <is>
          <t>MK00160</t>
        </is>
      </c>
      <c r="J1091" t="inlineStr"/>
    </row>
    <row r="1092">
      <c r="A1092" t="inlineStr">
        <is>
          <t>17/06/2026</t>
        </is>
      </c>
      <c r="B1092" t="inlineStr">
        <is>
          <t>528000279</t>
        </is>
      </c>
      <c r="C1092" t="inlineStr">
        <is>
          <t>Mahdalena Dalfa Riani</t>
        </is>
      </c>
      <c r="D1092" t="inlineStr">
        <is>
          <t>PROD</t>
        </is>
      </c>
      <c r="E1092" t="inlineStr">
        <is>
          <t>Produksi Harian</t>
        </is>
      </c>
      <c r="F1092" t="inlineStr">
        <is>
          <t>13:51:40</t>
        </is>
      </c>
      <c r="G1092" t="inlineStr">
        <is>
          <t>22:04:50</t>
        </is>
      </c>
      <c r="H1092" t="inlineStr">
        <is>
          <t>SELESAI</t>
        </is>
      </c>
      <c r="I1092" t="inlineStr">
        <is>
          <t>MK00208</t>
        </is>
      </c>
      <c r="J1092" t="inlineStr"/>
    </row>
    <row r="1093">
      <c r="A1093" t="inlineStr">
        <is>
          <t>17/06/2026</t>
        </is>
      </c>
      <c r="B1093" t="inlineStr">
        <is>
          <t>528000282</t>
        </is>
      </c>
      <c r="C1093" t="inlineStr">
        <is>
          <t>Defa Desfiana</t>
        </is>
      </c>
      <c r="D1093" t="inlineStr">
        <is>
          <t>PROD</t>
        </is>
      </c>
      <c r="E1093" t="inlineStr">
        <is>
          <t>Produksi Harian</t>
        </is>
      </c>
      <c r="F1093" t="inlineStr">
        <is>
          <t>07:22:51</t>
        </is>
      </c>
      <c r="G1093" t="inlineStr">
        <is>
          <t>16:03:05</t>
        </is>
      </c>
      <c r="H1093" t="inlineStr">
        <is>
          <t>SELESAI</t>
        </is>
      </c>
      <c r="I1093" t="inlineStr">
        <is>
          <t>MK00230</t>
        </is>
      </c>
      <c r="J1093" t="inlineStr">
        <is>
          <t>32b</t>
        </is>
      </c>
    </row>
    <row r="1094">
      <c r="A1094" t="inlineStr">
        <is>
          <t>17/06/2026</t>
        </is>
      </c>
      <c r="B1094" t="inlineStr">
        <is>
          <t>528000286</t>
        </is>
      </c>
      <c r="C1094" t="inlineStr">
        <is>
          <t>Imelda Amelia</t>
        </is>
      </c>
      <c r="D1094" t="inlineStr">
        <is>
          <t>PROD</t>
        </is>
      </c>
      <c r="E1094" t="inlineStr">
        <is>
          <t>Produksi Harian</t>
        </is>
      </c>
      <c r="F1094" t="inlineStr">
        <is>
          <t>21:31:51</t>
        </is>
      </c>
      <c r="G1094" t="inlineStr">
        <is>
          <t>06:07:39</t>
        </is>
      </c>
      <c r="H1094" t="inlineStr">
        <is>
          <t>SELESAI</t>
        </is>
      </c>
      <c r="I1094" t="inlineStr">
        <is>
          <t>MK00228</t>
        </is>
      </c>
      <c r="J1094" t="inlineStr"/>
    </row>
    <row r="1095">
      <c r="A1095" t="inlineStr">
        <is>
          <t>17/06/2026</t>
        </is>
      </c>
      <c r="B1095" t="inlineStr">
        <is>
          <t>528000287</t>
        </is>
      </c>
      <c r="C1095" t="inlineStr">
        <is>
          <t>Muhamad Angga Ramdani</t>
        </is>
      </c>
      <c r="D1095" t="inlineStr">
        <is>
          <t>PROD</t>
        </is>
      </c>
      <c r="E1095" t="inlineStr">
        <is>
          <t>Produksi Harian</t>
        </is>
      </c>
      <c r="F1095" t="inlineStr">
        <is>
          <t>07:52:24</t>
        </is>
      </c>
      <c r="G1095" t="inlineStr">
        <is>
          <t>16:04:51</t>
        </is>
      </c>
      <c r="H1095" t="inlineStr">
        <is>
          <t>SELESAI</t>
        </is>
      </c>
      <c r="I1095" t="inlineStr">
        <is>
          <t>MK00210</t>
        </is>
      </c>
      <c r="J1095" t="inlineStr"/>
    </row>
    <row r="1096">
      <c r="A1096" t="inlineStr">
        <is>
          <t>17/06/2026</t>
        </is>
      </c>
      <c r="B1096" t="inlineStr">
        <is>
          <t>528000290</t>
        </is>
      </c>
      <c r="C1096" t="inlineStr">
        <is>
          <t>Eval Pranata</t>
        </is>
      </c>
      <c r="D1096" t="inlineStr">
        <is>
          <t>PROD</t>
        </is>
      </c>
      <c r="E1096" t="inlineStr">
        <is>
          <t>Produksi Harian</t>
        </is>
      </c>
      <c r="F1096" t="inlineStr">
        <is>
          <t>21:58:04</t>
        </is>
      </c>
      <c r="G1096" t="inlineStr"/>
      <c r="H1096" t="inlineStr">
        <is>
          <t>DI DALAM</t>
        </is>
      </c>
      <c r="I1096" t="inlineStr">
        <is>
          <t>MK00151</t>
        </is>
      </c>
      <c r="J1096" t="inlineStr"/>
    </row>
    <row r="1097">
      <c r="A1097" t="inlineStr">
        <is>
          <t>17/06/2026</t>
        </is>
      </c>
      <c r="B1097" t="inlineStr">
        <is>
          <t>528000297</t>
        </is>
      </c>
      <c r="C1097" t="inlineStr">
        <is>
          <t>Muhamad Budiana</t>
        </is>
      </c>
      <c r="D1097" t="inlineStr">
        <is>
          <t>PROD</t>
        </is>
      </c>
      <c r="E1097" t="inlineStr">
        <is>
          <t>Produksi Harian</t>
        </is>
      </c>
      <c r="F1097" t="inlineStr">
        <is>
          <t>13:53:35</t>
        </is>
      </c>
      <c r="G1097" t="inlineStr">
        <is>
          <t>23:04:09</t>
        </is>
      </c>
      <c r="H1097" t="inlineStr">
        <is>
          <t>SELESAI</t>
        </is>
      </c>
      <c r="I1097" t="inlineStr">
        <is>
          <t>MK00116</t>
        </is>
      </c>
      <c r="J1097" t="inlineStr"/>
    </row>
    <row r="1098">
      <c r="A1098" t="inlineStr">
        <is>
          <t>17/06/2026</t>
        </is>
      </c>
      <c r="B1098" t="inlineStr">
        <is>
          <t>528000302</t>
        </is>
      </c>
      <c r="C1098" t="inlineStr">
        <is>
          <t>Henkey gumilar</t>
        </is>
      </c>
      <c r="D1098" t="inlineStr">
        <is>
          <t>PROD</t>
        </is>
      </c>
      <c r="E1098" t="inlineStr">
        <is>
          <t>Produksi Harian</t>
        </is>
      </c>
      <c r="F1098" t="inlineStr">
        <is>
          <t>05:50:09</t>
        </is>
      </c>
      <c r="G1098" t="inlineStr">
        <is>
          <t>14:09:35</t>
        </is>
      </c>
      <c r="H1098" t="inlineStr">
        <is>
          <t>SELESAI</t>
        </is>
      </c>
      <c r="I1098" t="inlineStr">
        <is>
          <t>MK00145</t>
        </is>
      </c>
      <c r="J1098" t="inlineStr"/>
    </row>
    <row r="1099">
      <c r="A1099" t="inlineStr">
        <is>
          <t>17/06/2026</t>
        </is>
      </c>
      <c r="B1099" t="inlineStr">
        <is>
          <t>528000306</t>
        </is>
      </c>
      <c r="C1099" t="inlineStr">
        <is>
          <t>Windy Olivia</t>
        </is>
      </c>
      <c r="D1099" t="inlineStr">
        <is>
          <t>PROD</t>
        </is>
      </c>
      <c r="E1099" t="inlineStr">
        <is>
          <t>Produksi Harian</t>
        </is>
      </c>
      <c r="F1099" t="inlineStr"/>
      <c r="G1099" t="inlineStr">
        <is>
          <t>06:03:22</t>
        </is>
      </c>
      <c r="H1099" t="inlineStr">
        <is>
          <t>KELUAR TANPA MASUK</t>
        </is>
      </c>
      <c r="I1099" t="inlineStr">
        <is>
          <t>MK00210</t>
        </is>
      </c>
      <c r="J1099" t="inlineStr"/>
    </row>
    <row r="1100">
      <c r="A1100" t="inlineStr">
        <is>
          <t>17/06/2026</t>
        </is>
      </c>
      <c r="B1100" t="inlineStr">
        <is>
          <t>528000348</t>
        </is>
      </c>
      <c r="C1100" t="inlineStr">
        <is>
          <t>Saepuloh Ardiansah</t>
        </is>
      </c>
      <c r="D1100" t="inlineStr">
        <is>
          <t>LOG</t>
        </is>
      </c>
      <c r="E1100" t="inlineStr">
        <is>
          <t>WRM Harian</t>
        </is>
      </c>
      <c r="F1100" t="inlineStr">
        <is>
          <t>15:47:54</t>
        </is>
      </c>
      <c r="G1100" t="inlineStr">
        <is>
          <t>00:54:30</t>
        </is>
      </c>
      <c r="H1100" t="inlineStr">
        <is>
          <t>SELESAI</t>
        </is>
      </c>
      <c r="I1100" t="inlineStr">
        <is>
          <t>MK00205</t>
        </is>
      </c>
      <c r="J1100" t="inlineStr"/>
    </row>
    <row r="1101">
      <c r="A1101" t="inlineStr">
        <is>
          <t>17/06/2026</t>
        </is>
      </c>
      <c r="B1101" t="inlineStr">
        <is>
          <t>528000349</t>
        </is>
      </c>
      <c r="C1101" t="inlineStr">
        <is>
          <t>Anas Abdul Fatah</t>
        </is>
      </c>
      <c r="D1101" t="inlineStr">
        <is>
          <t>LOG</t>
        </is>
      </c>
      <c r="E1101" t="inlineStr">
        <is>
          <t>WFG Harian</t>
        </is>
      </c>
      <c r="F1101" t="inlineStr">
        <is>
          <t>07:52:07</t>
        </is>
      </c>
      <c r="G1101" t="inlineStr">
        <is>
          <t>16:15:35</t>
        </is>
      </c>
      <c r="H1101" t="inlineStr">
        <is>
          <t>SELESAI</t>
        </is>
      </c>
      <c r="I1101" t="inlineStr">
        <is>
          <t>MK00249</t>
        </is>
      </c>
      <c r="J1101" t="inlineStr"/>
    </row>
    <row r="1102">
      <c r="A1102" t="inlineStr">
        <is>
          <t>17/06/2026</t>
        </is>
      </c>
      <c r="B1102" t="inlineStr">
        <is>
          <t>628000061</t>
        </is>
      </c>
      <c r="C1102" t="inlineStr">
        <is>
          <t>Nayla Fadillah Exwantoro</t>
        </is>
      </c>
      <c r="D1102" t="inlineStr">
        <is>
          <t>PROD</t>
        </is>
      </c>
      <c r="E1102" t="inlineStr">
        <is>
          <t>Produksi Borongan</t>
        </is>
      </c>
      <c r="F1102" t="inlineStr">
        <is>
          <t>05:51:29</t>
        </is>
      </c>
      <c r="G1102" t="inlineStr">
        <is>
          <t>05:42:16</t>
        </is>
      </c>
      <c r="H1102" t="inlineStr">
        <is>
          <t>SELESAI</t>
        </is>
      </c>
      <c r="I1102" t="inlineStr">
        <is>
          <t>MK001009</t>
        </is>
      </c>
      <c r="J1102" t="inlineStr"/>
    </row>
    <row r="1103">
      <c r="A1103" t="inlineStr">
        <is>
          <t>17/06/2026</t>
        </is>
      </c>
      <c r="B1103" t="inlineStr">
        <is>
          <t>628000064</t>
        </is>
      </c>
      <c r="C1103" t="inlineStr">
        <is>
          <t>Silva Alypia</t>
        </is>
      </c>
      <c r="D1103" t="inlineStr">
        <is>
          <t>PROD</t>
        </is>
      </c>
      <c r="E1103" t="inlineStr">
        <is>
          <t>Produksi Borongan</t>
        </is>
      </c>
      <c r="F1103" t="inlineStr">
        <is>
          <t>13:44:35</t>
        </is>
      </c>
      <c r="G1103" t="inlineStr">
        <is>
          <t>22:07:10</t>
        </is>
      </c>
      <c r="H1103" t="inlineStr">
        <is>
          <t>SELESAI</t>
        </is>
      </c>
      <c r="I1103" t="inlineStr">
        <is>
          <t>MK00126</t>
        </is>
      </c>
      <c r="J1103" t="inlineStr"/>
    </row>
    <row r="1104">
      <c r="A1104" t="inlineStr">
        <is>
          <t>18/06/2026</t>
        </is>
      </c>
      <c r="B1104" t="inlineStr">
        <is>
          <t>528000015</t>
        </is>
      </c>
      <c r="C1104" t="inlineStr">
        <is>
          <t>Erwin</t>
        </is>
      </c>
      <c r="D1104" t="inlineStr">
        <is>
          <t>LOG</t>
        </is>
      </c>
      <c r="E1104" t="inlineStr">
        <is>
          <t>WRM Harian</t>
        </is>
      </c>
      <c r="F1104" t="inlineStr">
        <is>
          <t>07:51:28</t>
        </is>
      </c>
      <c r="G1104" t="inlineStr">
        <is>
          <t>16:34:07</t>
        </is>
      </c>
      <c r="H1104" t="inlineStr">
        <is>
          <t>SELESAI</t>
        </is>
      </c>
      <c r="I1104" t="inlineStr">
        <is>
          <t>MK00113</t>
        </is>
      </c>
      <c r="J1104" t="inlineStr"/>
    </row>
    <row r="1105">
      <c r="A1105" t="inlineStr">
        <is>
          <t>18/06/2026</t>
        </is>
      </c>
      <c r="B1105" t="inlineStr">
        <is>
          <t>528000099</t>
        </is>
      </c>
      <c r="C1105" t="inlineStr">
        <is>
          <t>Siti Nurawaliah</t>
        </is>
      </c>
      <c r="D1105" t="inlineStr">
        <is>
          <t>PROD</t>
        </is>
      </c>
      <c r="E1105" t="inlineStr">
        <is>
          <t>Produksi Harian</t>
        </is>
      </c>
      <c r="F1105" t="inlineStr"/>
      <c r="G1105" t="inlineStr">
        <is>
          <t>06:07:10</t>
        </is>
      </c>
      <c r="H1105" t="inlineStr">
        <is>
          <t>KELUAR TANPA MASUK</t>
        </is>
      </c>
      <c r="I1105" t="inlineStr">
        <is>
          <t>MK00181</t>
        </is>
      </c>
      <c r="J1105" t="inlineStr"/>
    </row>
    <row r="1106">
      <c r="A1106" t="inlineStr">
        <is>
          <t>18/06/2026</t>
        </is>
      </c>
      <c r="B1106" t="inlineStr">
        <is>
          <t>528000144</t>
        </is>
      </c>
      <c r="C1106" t="inlineStr">
        <is>
          <t>Jodi Hanafi</t>
        </is>
      </c>
      <c r="D1106" t="inlineStr">
        <is>
          <t>LOG</t>
        </is>
      </c>
      <c r="E1106" t="inlineStr">
        <is>
          <t>WRM Harian</t>
        </is>
      </c>
      <c r="F1106" t="inlineStr">
        <is>
          <t>08:01:44</t>
        </is>
      </c>
      <c r="G1106" t="inlineStr">
        <is>
          <t>16:02:49</t>
        </is>
      </c>
      <c r="H1106" t="inlineStr">
        <is>
          <t>SELESAI</t>
        </is>
      </c>
      <c r="I1106" t="inlineStr">
        <is>
          <t>MK00109</t>
        </is>
      </c>
      <c r="J1106" t="inlineStr"/>
    </row>
    <row r="1107">
      <c r="A1107" t="inlineStr">
        <is>
          <t>18/06/2026</t>
        </is>
      </c>
      <c r="B1107" t="inlineStr">
        <is>
          <t>528000195</t>
        </is>
      </c>
      <c r="C1107" t="inlineStr">
        <is>
          <t>Rahma Sariwati</t>
        </is>
      </c>
      <c r="D1107" t="inlineStr">
        <is>
          <t>PROD</t>
        </is>
      </c>
      <c r="E1107" t="inlineStr">
        <is>
          <t>Produksi Harian</t>
        </is>
      </c>
      <c r="F1107" t="inlineStr">
        <is>
          <t>21:27:35</t>
        </is>
      </c>
      <c r="G1107" t="inlineStr"/>
      <c r="H1107" t="inlineStr">
        <is>
          <t>DI DALAM</t>
        </is>
      </c>
      <c r="I1107" t="inlineStr">
        <is>
          <t>MK00151</t>
        </is>
      </c>
      <c r="J1107" t="inlineStr"/>
    </row>
    <row r="1108">
      <c r="A1108" t="inlineStr">
        <is>
          <t>18/06/2026</t>
        </is>
      </c>
      <c r="B1108" t="inlineStr">
        <is>
          <t>528000201</t>
        </is>
      </c>
      <c r="C1108" t="inlineStr">
        <is>
          <t>Zahwa Amelia Choerunissa</t>
        </is>
      </c>
      <c r="D1108" t="inlineStr">
        <is>
          <t>PROD</t>
        </is>
      </c>
      <c r="E1108" t="inlineStr">
        <is>
          <t>Produksi Harian</t>
        </is>
      </c>
      <c r="F1108" t="inlineStr"/>
      <c r="G1108" t="inlineStr">
        <is>
          <t>06:06:04</t>
        </is>
      </c>
      <c r="H1108" t="inlineStr">
        <is>
          <t>KELUAR TANPA MASUK</t>
        </is>
      </c>
      <c r="I1108" t="inlineStr">
        <is>
          <t>MK00203</t>
        </is>
      </c>
      <c r="J1108" t="inlineStr"/>
    </row>
    <row r="1109">
      <c r="A1109" t="inlineStr">
        <is>
          <t>18/06/2026</t>
        </is>
      </c>
      <c r="B1109" t="inlineStr">
        <is>
          <t>528000212</t>
        </is>
      </c>
      <c r="C1109" t="inlineStr">
        <is>
          <t>Rizal Fauzi</t>
        </is>
      </c>
      <c r="D1109" t="inlineStr">
        <is>
          <t>PROD</t>
        </is>
      </c>
      <c r="E1109" t="inlineStr">
        <is>
          <t>Produksi Harian</t>
        </is>
      </c>
      <c r="F1109" t="inlineStr"/>
      <c r="G1109" t="inlineStr">
        <is>
          <t>21:22:39</t>
        </is>
      </c>
      <c r="H1109" t="inlineStr">
        <is>
          <t>KELUAR TANPA MASUK</t>
        </is>
      </c>
      <c r="I1109" t="inlineStr">
        <is>
          <t>MK00055</t>
        </is>
      </c>
      <c r="J1109" t="inlineStr"/>
    </row>
    <row r="1110">
      <c r="A1110" t="inlineStr">
        <is>
          <t>18/06/2026</t>
        </is>
      </c>
      <c r="B1110" t="inlineStr">
        <is>
          <t>528000261</t>
        </is>
      </c>
      <c r="C1110" t="inlineStr">
        <is>
          <t>Ergi Ergianto</t>
        </is>
      </c>
      <c r="D1110" t="inlineStr">
        <is>
          <t>HRGA</t>
        </is>
      </c>
      <c r="E1110" t="inlineStr">
        <is>
          <t>GA Harian</t>
        </is>
      </c>
      <c r="F1110" t="inlineStr">
        <is>
          <t>21:47:42</t>
        </is>
      </c>
      <c r="G1110" t="inlineStr"/>
      <c r="H1110" t="inlineStr">
        <is>
          <t>DI DALAM</t>
        </is>
      </c>
      <c r="I1110" t="inlineStr">
        <is>
          <t>MK00145</t>
        </is>
      </c>
      <c r="J1110" t="inlineStr"/>
    </row>
    <row r="1111">
      <c r="A1111" t="inlineStr">
        <is>
          <t>18/06/2026</t>
        </is>
      </c>
      <c r="B1111" t="inlineStr">
        <is>
          <t>528000262</t>
        </is>
      </c>
      <c r="C1111" t="inlineStr">
        <is>
          <t>Ndari Dwiwanti</t>
        </is>
      </c>
      <c r="D1111" t="inlineStr">
        <is>
          <t>PROD</t>
        </is>
      </c>
      <c r="E1111" t="inlineStr">
        <is>
          <t>Produksi Harian</t>
        </is>
      </c>
      <c r="F1111" t="inlineStr">
        <is>
          <t>21:32:51</t>
        </is>
      </c>
      <c r="G1111" t="inlineStr"/>
      <c r="H1111" t="inlineStr">
        <is>
          <t>DI DALAM</t>
        </is>
      </c>
      <c r="I1111" t="inlineStr">
        <is>
          <t>MK00208</t>
        </is>
      </c>
      <c r="J1111" t="inlineStr"/>
    </row>
    <row r="1112">
      <c r="A1112" t="inlineStr">
        <is>
          <t>18/06/2026</t>
        </is>
      </c>
      <c r="B1112" t="inlineStr">
        <is>
          <t>528000265</t>
        </is>
      </c>
      <c r="C1112" t="inlineStr">
        <is>
          <t>Muhammad Haerul Rozikin</t>
        </is>
      </c>
      <c r="D1112" t="inlineStr">
        <is>
          <t>LOG</t>
        </is>
      </c>
      <c r="E1112" t="inlineStr">
        <is>
          <t>WRM Harian</t>
        </is>
      </c>
      <c r="F1112" t="inlineStr">
        <is>
          <t>07:44:56</t>
        </is>
      </c>
      <c r="G1112" t="inlineStr">
        <is>
          <t>16:03:43</t>
        </is>
      </c>
      <c r="H1112" t="inlineStr">
        <is>
          <t>SELESAI</t>
        </is>
      </c>
      <c r="I1112" t="inlineStr">
        <is>
          <t>MK00210</t>
        </is>
      </c>
      <c r="J1112" t="inlineStr"/>
    </row>
    <row r="1113">
      <c r="A1113" t="inlineStr">
        <is>
          <t>18/06/2026</t>
        </is>
      </c>
      <c r="B1113" t="inlineStr">
        <is>
          <t>528000266</t>
        </is>
      </c>
      <c r="C1113" t="inlineStr">
        <is>
          <t>M. Syirajatieq</t>
        </is>
      </c>
      <c r="D1113" t="inlineStr">
        <is>
          <t>LOG</t>
        </is>
      </c>
      <c r="E1113" t="inlineStr">
        <is>
          <t>WFG Harian</t>
        </is>
      </c>
      <c r="F1113" t="inlineStr">
        <is>
          <t>21:34:06</t>
        </is>
      </c>
      <c r="G1113" t="inlineStr"/>
      <c r="H1113" t="inlineStr">
        <is>
          <t>DI DALAM</t>
        </is>
      </c>
      <c r="I1113" t="inlineStr">
        <is>
          <t>MK00249</t>
        </is>
      </c>
      <c r="J1113" t="inlineStr"/>
    </row>
    <row r="1114">
      <c r="A1114" t="inlineStr">
        <is>
          <t>18/06/2026</t>
        </is>
      </c>
      <c r="B1114" t="inlineStr">
        <is>
          <t>528000270</t>
        </is>
      </c>
      <c r="C1114" t="inlineStr">
        <is>
          <t>Febri Najmudin</t>
        </is>
      </c>
      <c r="D1114" t="inlineStr">
        <is>
          <t>LOG</t>
        </is>
      </c>
      <c r="E1114" t="inlineStr">
        <is>
          <t>WRM Harian</t>
        </is>
      </c>
      <c r="F1114" t="inlineStr">
        <is>
          <t>05:48:22</t>
        </is>
      </c>
      <c r="G1114" t="inlineStr">
        <is>
          <t>14:20:48</t>
        </is>
      </c>
      <c r="H1114" t="inlineStr">
        <is>
          <t>SELESAI</t>
        </is>
      </c>
      <c r="I1114" t="inlineStr">
        <is>
          <t>MK00138</t>
        </is>
      </c>
      <c r="J1114" t="inlineStr"/>
    </row>
    <row r="1115">
      <c r="A1115" t="inlineStr">
        <is>
          <t>18/06/2026</t>
        </is>
      </c>
      <c r="B1115" t="inlineStr">
        <is>
          <t>528000273</t>
        </is>
      </c>
      <c r="C1115" t="inlineStr">
        <is>
          <t>Asep Mulyana</t>
        </is>
      </c>
      <c r="D1115" t="inlineStr">
        <is>
          <t>PROD</t>
        </is>
      </c>
      <c r="E1115" t="inlineStr">
        <is>
          <t>Produksi Harian</t>
        </is>
      </c>
      <c r="F1115" t="inlineStr">
        <is>
          <t>18:01:13</t>
        </is>
      </c>
      <c r="G1115" t="inlineStr">
        <is>
          <t>00:02:39</t>
        </is>
      </c>
      <c r="H1115" t="inlineStr">
        <is>
          <t>SELESAI</t>
        </is>
      </c>
      <c r="I1115" t="inlineStr">
        <is>
          <t>MK00230</t>
        </is>
      </c>
      <c r="J1115" t="inlineStr"/>
    </row>
    <row r="1116">
      <c r="A1116" t="inlineStr">
        <is>
          <t>18/06/2026</t>
        </is>
      </c>
      <c r="B1116" t="inlineStr">
        <is>
          <t>528000279</t>
        </is>
      </c>
      <c r="C1116" t="inlineStr">
        <is>
          <t>Mahdalena Dalfa Riani</t>
        </is>
      </c>
      <c r="D1116" t="inlineStr">
        <is>
          <t>PROD</t>
        </is>
      </c>
      <c r="E1116" t="inlineStr">
        <is>
          <t>Produksi Harian</t>
        </is>
      </c>
      <c r="F1116" t="inlineStr">
        <is>
          <t>13:56:59</t>
        </is>
      </c>
      <c r="G1116" t="inlineStr">
        <is>
          <t>22:04:14</t>
        </is>
      </c>
      <c r="H1116" t="inlineStr">
        <is>
          <t>SELESAI</t>
        </is>
      </c>
      <c r="I1116" t="inlineStr">
        <is>
          <t>MK00208</t>
        </is>
      </c>
      <c r="J1116" t="inlineStr"/>
    </row>
    <row r="1117">
      <c r="A1117" t="inlineStr">
        <is>
          <t>18/06/2026</t>
        </is>
      </c>
      <c r="B1117" t="inlineStr">
        <is>
          <t>528000282</t>
        </is>
      </c>
      <c r="C1117" t="inlineStr">
        <is>
          <t>Defa Desfiana</t>
        </is>
      </c>
      <c r="D1117" t="inlineStr">
        <is>
          <t>PROD</t>
        </is>
      </c>
      <c r="E1117" t="inlineStr">
        <is>
          <t>Produksi Harian</t>
        </is>
      </c>
      <c r="F1117" t="inlineStr">
        <is>
          <t>07:39:57</t>
        </is>
      </c>
      <c r="G1117" t="inlineStr">
        <is>
          <t>16:03:51</t>
        </is>
      </c>
      <c r="H1117" t="inlineStr">
        <is>
          <t>SELESAI</t>
        </is>
      </c>
      <c r="I1117" t="inlineStr">
        <is>
          <t>MK00151</t>
        </is>
      </c>
      <c r="J1117" t="inlineStr">
        <is>
          <t>22b</t>
        </is>
      </c>
    </row>
    <row r="1118">
      <c r="A1118" t="inlineStr">
        <is>
          <t>18/06/2026</t>
        </is>
      </c>
      <c r="B1118" t="inlineStr">
        <is>
          <t>528000283</t>
        </is>
      </c>
      <c r="C1118" t="inlineStr">
        <is>
          <t>Purwanda Sugiri</t>
        </is>
      </c>
      <c r="D1118" t="inlineStr">
        <is>
          <t>LOG</t>
        </is>
      </c>
      <c r="E1118" t="inlineStr">
        <is>
          <t>WRM Harian</t>
        </is>
      </c>
      <c r="F1118" t="inlineStr">
        <is>
          <t>21:53:06</t>
        </is>
      </c>
      <c r="G1118" t="inlineStr"/>
      <c r="H1118" t="inlineStr">
        <is>
          <t>DI DALAM</t>
        </is>
      </c>
      <c r="I1118" t="inlineStr">
        <is>
          <t>MK00126</t>
        </is>
      </c>
      <c r="J1118" t="inlineStr"/>
    </row>
    <row r="1119">
      <c r="A1119" t="inlineStr">
        <is>
          <t>18/06/2026</t>
        </is>
      </c>
      <c r="B1119" t="inlineStr">
        <is>
          <t>528000286</t>
        </is>
      </c>
      <c r="C1119" t="inlineStr">
        <is>
          <t>Imelda Amelia</t>
        </is>
      </c>
      <c r="D1119" t="inlineStr">
        <is>
          <t>PROD</t>
        </is>
      </c>
      <c r="E1119" t="inlineStr">
        <is>
          <t>Produksi Harian</t>
        </is>
      </c>
      <c r="F1119" t="inlineStr"/>
      <c r="G1119" t="inlineStr">
        <is>
          <t>06:08:50</t>
        </is>
      </c>
      <c r="H1119" t="inlineStr">
        <is>
          <t>KELUAR TANPA MASUK</t>
        </is>
      </c>
      <c r="I1119" t="inlineStr">
        <is>
          <t>MK00228</t>
        </is>
      </c>
      <c r="J1119" t="inlineStr"/>
    </row>
    <row r="1120">
      <c r="A1120" t="inlineStr">
        <is>
          <t>18/06/2026</t>
        </is>
      </c>
      <c r="B1120" t="inlineStr">
        <is>
          <t>528000287</t>
        </is>
      </c>
      <c r="C1120" t="inlineStr">
        <is>
          <t>Muhamad Angga Ramdani</t>
        </is>
      </c>
      <c r="D1120" t="inlineStr">
        <is>
          <t>PROD</t>
        </is>
      </c>
      <c r="E1120" t="inlineStr">
        <is>
          <t>Produksi Harian</t>
        </is>
      </c>
      <c r="F1120" t="inlineStr">
        <is>
          <t>07:52:00</t>
        </is>
      </c>
      <c r="G1120" t="inlineStr">
        <is>
          <t>16:07:39</t>
        </is>
      </c>
      <c r="H1120" t="inlineStr">
        <is>
          <t>SELESAI</t>
        </is>
      </c>
      <c r="I1120" t="inlineStr">
        <is>
          <t>MK00235</t>
        </is>
      </c>
      <c r="J1120" t="inlineStr"/>
    </row>
    <row r="1121">
      <c r="A1121" t="inlineStr">
        <is>
          <t>18/06/2026</t>
        </is>
      </c>
      <c r="B1121" t="inlineStr">
        <is>
          <t>528000290</t>
        </is>
      </c>
      <c r="C1121" t="inlineStr">
        <is>
          <t>Eval Pranata</t>
        </is>
      </c>
      <c r="D1121" t="inlineStr">
        <is>
          <t>PROD</t>
        </is>
      </c>
      <c r="E1121" t="inlineStr">
        <is>
          <t>Produksi Harian</t>
        </is>
      </c>
      <c r="F1121" t="inlineStr"/>
      <c r="G1121" t="inlineStr">
        <is>
          <t>06:20:23</t>
        </is>
      </c>
      <c r="H1121" t="inlineStr">
        <is>
          <t>KELUAR TANPA MASUK</t>
        </is>
      </c>
      <c r="I1121" t="inlineStr">
        <is>
          <t>MK00151</t>
        </is>
      </c>
      <c r="J1121" t="inlineStr"/>
    </row>
    <row r="1122">
      <c r="A1122" t="inlineStr">
        <is>
          <t>18/06/2026</t>
        </is>
      </c>
      <c r="B1122" t="inlineStr">
        <is>
          <t>528000291</t>
        </is>
      </c>
      <c r="C1122" t="inlineStr">
        <is>
          <t>Andrian</t>
        </is>
      </c>
      <c r="D1122" t="inlineStr">
        <is>
          <t>PROD</t>
        </is>
      </c>
      <c r="E1122" t="inlineStr">
        <is>
          <t>Produksi Harian</t>
        </is>
      </c>
      <c r="F1122" t="inlineStr">
        <is>
          <t>21:52:27</t>
        </is>
      </c>
      <c r="G1122" t="inlineStr"/>
      <c r="H1122" t="inlineStr">
        <is>
          <t>DI DALAM</t>
        </is>
      </c>
      <c r="I1122" t="inlineStr">
        <is>
          <t>MK00093</t>
        </is>
      </c>
      <c r="J1122" t="inlineStr"/>
    </row>
    <row r="1123">
      <c r="A1123" t="inlineStr">
        <is>
          <t>18/06/2026</t>
        </is>
      </c>
      <c r="B1123" t="inlineStr">
        <is>
          <t>528000297</t>
        </is>
      </c>
      <c r="C1123" t="inlineStr">
        <is>
          <t>Muhamad Budiana</t>
        </is>
      </c>
      <c r="D1123" t="inlineStr">
        <is>
          <t>PROD</t>
        </is>
      </c>
      <c r="E1123" t="inlineStr">
        <is>
          <t>Produksi Harian</t>
        </is>
      </c>
      <c r="F1123" t="inlineStr">
        <is>
          <t>13:50:41</t>
        </is>
      </c>
      <c r="G1123" t="inlineStr">
        <is>
          <t>22:58:54</t>
        </is>
      </c>
      <c r="H1123" t="inlineStr">
        <is>
          <t>SELESAI</t>
        </is>
      </c>
      <c r="I1123" t="inlineStr">
        <is>
          <t>MK00112</t>
        </is>
      </c>
      <c r="J1123" t="inlineStr"/>
    </row>
    <row r="1124">
      <c r="A1124" t="inlineStr">
        <is>
          <t>18/06/2026</t>
        </is>
      </c>
      <c r="B1124" t="inlineStr">
        <is>
          <t>528000299</t>
        </is>
      </c>
      <c r="C1124" t="inlineStr">
        <is>
          <t>Siti Nurjanah</t>
        </is>
      </c>
      <c r="D1124" t="inlineStr">
        <is>
          <t>PROD</t>
        </is>
      </c>
      <c r="E1124" t="inlineStr">
        <is>
          <t>Produksi Harian</t>
        </is>
      </c>
      <c r="F1124" t="inlineStr"/>
      <c r="G1124" t="inlineStr">
        <is>
          <t>05:45:44</t>
        </is>
      </c>
      <c r="H1124" t="inlineStr">
        <is>
          <t>KELUAR TANPA MASUK</t>
        </is>
      </c>
      <c r="I1124" t="inlineStr">
        <is>
          <t>MK00221</t>
        </is>
      </c>
      <c r="J1124" t="inlineStr"/>
    </row>
    <row r="1125">
      <c r="A1125" t="inlineStr">
        <is>
          <t>18/06/2026</t>
        </is>
      </c>
      <c r="B1125" t="inlineStr">
        <is>
          <t>528000302</t>
        </is>
      </c>
      <c r="C1125" t="inlineStr">
        <is>
          <t>Henkey gumilar</t>
        </is>
      </c>
      <c r="D1125" t="inlineStr">
        <is>
          <t>PROD</t>
        </is>
      </c>
      <c r="E1125" t="inlineStr">
        <is>
          <t>Produksi Harian</t>
        </is>
      </c>
      <c r="F1125" t="inlineStr">
        <is>
          <t>05:44:11</t>
        </is>
      </c>
      <c r="G1125" t="inlineStr">
        <is>
          <t>14:07:34</t>
        </is>
      </c>
      <c r="H1125" t="inlineStr">
        <is>
          <t>SELESAI</t>
        </is>
      </c>
      <c r="I1125" t="inlineStr">
        <is>
          <t>MK00230</t>
        </is>
      </c>
      <c r="J1125" t="inlineStr"/>
    </row>
    <row r="1126">
      <c r="A1126" t="inlineStr">
        <is>
          <t>18/06/2026</t>
        </is>
      </c>
      <c r="B1126" t="inlineStr">
        <is>
          <t>528000305</t>
        </is>
      </c>
      <c r="C1126" t="inlineStr">
        <is>
          <t>Puji Puspita</t>
        </is>
      </c>
      <c r="D1126" t="inlineStr">
        <is>
          <t>PROD</t>
        </is>
      </c>
      <c r="E1126" t="inlineStr">
        <is>
          <t>Produksi Harian</t>
        </is>
      </c>
      <c r="F1126" t="inlineStr"/>
      <c r="G1126" t="inlineStr">
        <is>
          <t>05:44:20</t>
        </is>
      </c>
      <c r="H1126" t="inlineStr">
        <is>
          <t>KELUAR TANPA MASUK</t>
        </is>
      </c>
      <c r="I1126" t="inlineStr">
        <is>
          <t>MK00202</t>
        </is>
      </c>
      <c r="J1126" t="inlineStr"/>
    </row>
    <row r="1127">
      <c r="A1127" t="inlineStr">
        <is>
          <t>18/06/2026</t>
        </is>
      </c>
      <c r="B1127" t="inlineStr">
        <is>
          <t>528000348</t>
        </is>
      </c>
      <c r="C1127" t="inlineStr">
        <is>
          <t>Saepuloh Ardiansah</t>
        </is>
      </c>
      <c r="D1127" t="inlineStr">
        <is>
          <t>LOG</t>
        </is>
      </c>
      <c r="E1127" t="inlineStr">
        <is>
          <t>WRM Harian</t>
        </is>
      </c>
      <c r="F1127" t="inlineStr">
        <is>
          <t>16:19:23</t>
        </is>
      </c>
      <c r="G1127" t="inlineStr"/>
      <c r="H1127" t="inlineStr">
        <is>
          <t>DI DALAM</t>
        </is>
      </c>
      <c r="I1127" t="inlineStr">
        <is>
          <t>MK00205</t>
        </is>
      </c>
      <c r="J1127" t="inlineStr"/>
    </row>
    <row r="1128">
      <c r="A1128" t="inlineStr">
        <is>
          <t>18/06/2026</t>
        </is>
      </c>
      <c r="B1128" t="inlineStr">
        <is>
          <t>528000349</t>
        </is>
      </c>
      <c r="C1128" t="inlineStr">
        <is>
          <t>Anas Abdul Fatah</t>
        </is>
      </c>
      <c r="D1128" t="inlineStr">
        <is>
          <t>LOG</t>
        </is>
      </c>
      <c r="E1128" t="inlineStr">
        <is>
          <t>WFG Harian</t>
        </is>
      </c>
      <c r="F1128" t="inlineStr">
        <is>
          <t>07:52:32</t>
        </is>
      </c>
      <c r="G1128" t="inlineStr">
        <is>
          <t>16:15:52</t>
        </is>
      </c>
      <c r="H1128" t="inlineStr">
        <is>
          <t>SELESAI</t>
        </is>
      </c>
      <c r="I1128" t="inlineStr">
        <is>
          <t>MK00228</t>
        </is>
      </c>
      <c r="J1128" t="inlineStr"/>
    </row>
    <row r="1129">
      <c r="A1129" t="inlineStr">
        <is>
          <t>18/06/2026</t>
        </is>
      </c>
      <c r="B1129" t="inlineStr">
        <is>
          <t>528000351</t>
        </is>
      </c>
      <c r="C1129" t="inlineStr">
        <is>
          <t>Mulyana</t>
        </is>
      </c>
      <c r="D1129" t="inlineStr">
        <is>
          <t>PROD</t>
        </is>
      </c>
      <c r="E1129" t="inlineStr">
        <is>
          <t>Produksi Harian</t>
        </is>
      </c>
      <c r="F1129" t="inlineStr">
        <is>
          <t>08:21:34</t>
        </is>
      </c>
      <c r="G1129" t="inlineStr">
        <is>
          <t>16:05:58</t>
        </is>
      </c>
      <c r="H1129" t="inlineStr">
        <is>
          <t>SELESAI</t>
        </is>
      </c>
      <c r="I1129" t="inlineStr">
        <is>
          <t>MK00158</t>
        </is>
      </c>
      <c r="J1129" t="inlineStr"/>
    </row>
    <row r="1130">
      <c r="A1130" t="inlineStr">
        <is>
          <t>18/06/2026</t>
        </is>
      </c>
      <c r="B1130" t="inlineStr">
        <is>
          <t>628000064</t>
        </is>
      </c>
      <c r="C1130" t="inlineStr">
        <is>
          <t>Silva Alypia</t>
        </is>
      </c>
      <c r="D1130" t="inlineStr">
        <is>
          <t>PROD</t>
        </is>
      </c>
      <c r="E1130" t="inlineStr">
        <is>
          <t>Produksi Borongan</t>
        </is>
      </c>
      <c r="F1130" t="inlineStr">
        <is>
          <t>13:45:38</t>
        </is>
      </c>
      <c r="G1130" t="inlineStr">
        <is>
          <t>22:06:15</t>
        </is>
      </c>
      <c r="H1130" t="inlineStr">
        <is>
          <t>SELESAI</t>
        </is>
      </c>
      <c r="I1130" t="inlineStr">
        <is>
          <t>MK00126</t>
        </is>
      </c>
      <c r="J1130" t="inlineStr"/>
    </row>
    <row r="1131">
      <c r="A1131" t="inlineStr">
        <is>
          <t>19/06/2026</t>
        </is>
      </c>
      <c r="B1131" t="inlineStr">
        <is>
          <t>528000015</t>
        </is>
      </c>
      <c r="C1131" t="inlineStr">
        <is>
          <t>Erwin</t>
        </is>
      </c>
      <c r="D1131" t="inlineStr">
        <is>
          <t>LOG</t>
        </is>
      </c>
      <c r="E1131" t="inlineStr">
        <is>
          <t>WRM Harian</t>
        </is>
      </c>
      <c r="F1131" t="inlineStr">
        <is>
          <t>07:37:33</t>
        </is>
      </c>
      <c r="G1131" t="inlineStr">
        <is>
          <t>20:30:18</t>
        </is>
      </c>
      <c r="H1131" t="inlineStr">
        <is>
          <t>SELESAI</t>
        </is>
      </c>
      <c r="I1131" t="inlineStr">
        <is>
          <t>MK00150</t>
        </is>
      </c>
      <c r="J1131" t="inlineStr"/>
    </row>
    <row r="1132">
      <c r="A1132" t="inlineStr">
        <is>
          <t>19/06/2026</t>
        </is>
      </c>
      <c r="B1132" t="inlineStr">
        <is>
          <t>528000144</t>
        </is>
      </c>
      <c r="C1132" t="inlineStr">
        <is>
          <t>Jodi Hanafi</t>
        </is>
      </c>
      <c r="D1132" t="inlineStr">
        <is>
          <t>LOG</t>
        </is>
      </c>
      <c r="E1132" t="inlineStr">
        <is>
          <t>WRM Harian</t>
        </is>
      </c>
      <c r="F1132" t="inlineStr">
        <is>
          <t>07:58:55</t>
        </is>
      </c>
      <c r="G1132" t="inlineStr">
        <is>
          <t>13:05:10</t>
        </is>
      </c>
      <c r="H1132" t="inlineStr">
        <is>
          <t>SELESAI</t>
        </is>
      </c>
      <c r="I1132" t="inlineStr">
        <is>
          <t>MK00192</t>
        </is>
      </c>
      <c r="J1132" t="inlineStr"/>
    </row>
    <row r="1133">
      <c r="A1133" t="inlineStr">
        <is>
          <t>19/06/2026</t>
        </is>
      </c>
      <c r="B1133" t="inlineStr">
        <is>
          <t>528000149</t>
        </is>
      </c>
      <c r="C1133" t="inlineStr">
        <is>
          <t>Tio Fernanda</t>
        </is>
      </c>
      <c r="D1133" t="inlineStr">
        <is>
          <t>LOG</t>
        </is>
      </c>
      <c r="E1133" t="inlineStr">
        <is>
          <t>WRM Harian</t>
        </is>
      </c>
      <c r="F1133" t="inlineStr">
        <is>
          <t>09:03:50</t>
        </is>
      </c>
      <c r="G1133" t="inlineStr">
        <is>
          <t>14:19:01</t>
        </is>
      </c>
      <c r="H1133" t="inlineStr">
        <is>
          <t>SELESAI</t>
        </is>
      </c>
      <c r="I1133" t="inlineStr">
        <is>
          <t>MK00212</t>
        </is>
      </c>
      <c r="J1133" t="inlineStr"/>
    </row>
    <row r="1134">
      <c r="A1134" t="inlineStr">
        <is>
          <t>19/06/2026</t>
        </is>
      </c>
      <c r="B1134" t="inlineStr">
        <is>
          <t>528000195</t>
        </is>
      </c>
      <c r="C1134" t="inlineStr">
        <is>
          <t>Rahma Sariwati</t>
        </is>
      </c>
      <c r="D1134" t="inlineStr">
        <is>
          <t>PROD</t>
        </is>
      </c>
      <c r="E1134" t="inlineStr">
        <is>
          <t>Produksi Harian</t>
        </is>
      </c>
      <c r="F1134" t="inlineStr">
        <is>
          <t>21:32:35</t>
        </is>
      </c>
      <c r="G1134" t="inlineStr">
        <is>
          <t>06:03:27</t>
        </is>
      </c>
      <c r="H1134" t="inlineStr">
        <is>
          <t>SELESAI</t>
        </is>
      </c>
      <c r="I1134" t="inlineStr">
        <is>
          <t>MK00156</t>
        </is>
      </c>
      <c r="J1134" t="inlineStr"/>
    </row>
    <row r="1135">
      <c r="A1135" t="inlineStr">
        <is>
          <t>19/06/2026</t>
        </is>
      </c>
      <c r="B1135" t="inlineStr">
        <is>
          <t>528000203</t>
        </is>
      </c>
      <c r="C1135" t="inlineStr">
        <is>
          <t>Yudha Ramdhan Putra</t>
        </is>
      </c>
      <c r="D1135" t="inlineStr">
        <is>
          <t>ENG</t>
        </is>
      </c>
      <c r="E1135" t="inlineStr">
        <is>
          <t>Engineering Harian</t>
        </is>
      </c>
      <c r="F1135" t="inlineStr">
        <is>
          <t>09:04:03</t>
        </is>
      </c>
      <c r="G1135" t="inlineStr">
        <is>
          <t>09:03:45</t>
        </is>
      </c>
      <c r="H1135" t="inlineStr">
        <is>
          <t>SELESAI</t>
        </is>
      </c>
      <c r="I1135" t="inlineStr">
        <is>
          <t>MK00203</t>
        </is>
      </c>
      <c r="J1135" t="inlineStr"/>
    </row>
    <row r="1136">
      <c r="A1136" t="inlineStr">
        <is>
          <t>19/06/2026</t>
        </is>
      </c>
      <c r="B1136" t="inlineStr">
        <is>
          <t>528000232</t>
        </is>
      </c>
      <c r="C1136" t="inlineStr">
        <is>
          <t>Agung Aji Suhada</t>
        </is>
      </c>
      <c r="D1136" t="inlineStr">
        <is>
          <t>LOG</t>
        </is>
      </c>
      <c r="E1136" t="inlineStr">
        <is>
          <t>WRM Harian</t>
        </is>
      </c>
      <c r="F1136" t="inlineStr">
        <is>
          <t>09:02:34</t>
        </is>
      </c>
      <c r="G1136" t="inlineStr">
        <is>
          <t>14:02:35</t>
        </is>
      </c>
      <c r="H1136" t="inlineStr">
        <is>
          <t>SELESAI</t>
        </is>
      </c>
      <c r="I1136" t="inlineStr">
        <is>
          <t>MK00213</t>
        </is>
      </c>
      <c r="J1136" t="inlineStr"/>
    </row>
    <row r="1137">
      <c r="A1137" t="inlineStr">
        <is>
          <t>19/06/2026</t>
        </is>
      </c>
      <c r="B1137" t="inlineStr">
        <is>
          <t>528000244</t>
        </is>
      </c>
      <c r="C1137" t="inlineStr">
        <is>
          <t>Rodian Rifai</t>
        </is>
      </c>
      <c r="D1137" t="inlineStr">
        <is>
          <t>PROD</t>
        </is>
      </c>
      <c r="E1137" t="inlineStr">
        <is>
          <t>Produksi Harian</t>
        </is>
      </c>
      <c r="F1137" t="inlineStr"/>
      <c r="G1137" t="inlineStr">
        <is>
          <t>08:10:42</t>
        </is>
      </c>
      <c r="H1137" t="inlineStr">
        <is>
          <t>KELUAR TANPA MASUK</t>
        </is>
      </c>
      <c r="I1137" t="inlineStr">
        <is>
          <t>MK00235</t>
        </is>
      </c>
      <c r="J1137" t="inlineStr"/>
    </row>
    <row r="1138">
      <c r="A1138" t="inlineStr">
        <is>
          <t>19/06/2026</t>
        </is>
      </c>
      <c r="B1138" t="inlineStr">
        <is>
          <t>528000261</t>
        </is>
      </c>
      <c r="C1138" t="inlineStr">
        <is>
          <t>Ergi Ergianto</t>
        </is>
      </c>
      <c r="D1138" t="inlineStr">
        <is>
          <t>HRGA</t>
        </is>
      </c>
      <c r="E1138" t="inlineStr">
        <is>
          <t>GA Harian</t>
        </is>
      </c>
      <c r="F1138" t="inlineStr">
        <is>
          <t>21:49:42</t>
        </is>
      </c>
      <c r="G1138" t="inlineStr">
        <is>
          <t>06:07:26</t>
        </is>
      </c>
      <c r="H1138" t="inlineStr">
        <is>
          <t>SELESAI</t>
        </is>
      </c>
      <c r="I1138" t="inlineStr">
        <is>
          <t>MK00138</t>
        </is>
      </c>
      <c r="J1138" t="inlineStr"/>
    </row>
    <row r="1139">
      <c r="A1139" t="inlineStr">
        <is>
          <t>19/06/2026</t>
        </is>
      </c>
      <c r="B1139" t="inlineStr">
        <is>
          <t>528000262</t>
        </is>
      </c>
      <c r="C1139" t="inlineStr">
        <is>
          <t>Ndari Dwiwanti</t>
        </is>
      </c>
      <c r="D1139" t="inlineStr">
        <is>
          <t>PROD</t>
        </is>
      </c>
      <c r="E1139" t="inlineStr">
        <is>
          <t>Produksi Harian</t>
        </is>
      </c>
      <c r="F1139" t="inlineStr">
        <is>
          <t>21:32:03</t>
        </is>
      </c>
      <c r="G1139" t="inlineStr">
        <is>
          <t>06:03:32</t>
        </is>
      </c>
      <c r="H1139" t="inlineStr">
        <is>
          <t>SELESAI</t>
        </is>
      </c>
      <c r="I1139" t="inlineStr">
        <is>
          <t>MK00088</t>
        </is>
      </c>
      <c r="J1139" t="inlineStr"/>
    </row>
    <row r="1140">
      <c r="A1140" t="inlineStr">
        <is>
          <t>19/06/2026</t>
        </is>
      </c>
      <c r="B1140" t="inlineStr">
        <is>
          <t>528000265</t>
        </is>
      </c>
      <c r="C1140" t="inlineStr">
        <is>
          <t>Muhammad Haerul Rozikin</t>
        </is>
      </c>
      <c r="D1140" t="inlineStr">
        <is>
          <t>LOG</t>
        </is>
      </c>
      <c r="E1140" t="inlineStr">
        <is>
          <t>WRM Harian</t>
        </is>
      </c>
      <c r="F1140" t="inlineStr">
        <is>
          <t>07:50:25</t>
        </is>
      </c>
      <c r="G1140" t="inlineStr">
        <is>
          <t>13:03:44</t>
        </is>
      </c>
      <c r="H1140" t="inlineStr">
        <is>
          <t>SELESAI</t>
        </is>
      </c>
      <c r="I1140" t="inlineStr">
        <is>
          <t>MK00126</t>
        </is>
      </c>
      <c r="J1140" t="inlineStr"/>
    </row>
    <row r="1141">
      <c r="A1141" t="inlineStr">
        <is>
          <t>19/06/2026</t>
        </is>
      </c>
      <c r="B1141" t="inlineStr">
        <is>
          <t>528000266</t>
        </is>
      </c>
      <c r="C1141" t="inlineStr">
        <is>
          <t>M. Syirajatieq</t>
        </is>
      </c>
      <c r="D1141" t="inlineStr">
        <is>
          <t>LOG</t>
        </is>
      </c>
      <c r="E1141" t="inlineStr">
        <is>
          <t>WFG Harian</t>
        </is>
      </c>
      <c r="F1141" t="inlineStr">
        <is>
          <t>21:38:00</t>
        </is>
      </c>
      <c r="G1141" t="inlineStr">
        <is>
          <t>06:28:32</t>
        </is>
      </c>
      <c r="H1141" t="inlineStr">
        <is>
          <t>SELESAI</t>
        </is>
      </c>
      <c r="I1141" t="inlineStr">
        <is>
          <t>MK00213</t>
        </is>
      </c>
      <c r="J1141" t="inlineStr"/>
    </row>
    <row r="1142">
      <c r="A1142" t="inlineStr">
        <is>
          <t>19/06/2026</t>
        </is>
      </c>
      <c r="B1142" t="inlineStr">
        <is>
          <t>528000270</t>
        </is>
      </c>
      <c r="C1142" t="inlineStr">
        <is>
          <t>Febri Najmudin</t>
        </is>
      </c>
      <c r="D1142" t="inlineStr">
        <is>
          <t>LOG</t>
        </is>
      </c>
      <c r="E1142" t="inlineStr">
        <is>
          <t>WRM Harian</t>
        </is>
      </c>
      <c r="F1142" t="inlineStr">
        <is>
          <t>05:46:01</t>
        </is>
      </c>
      <c r="G1142" t="inlineStr">
        <is>
          <t>14:36:45</t>
        </is>
      </c>
      <c r="H1142" t="inlineStr">
        <is>
          <t>SELESAI</t>
        </is>
      </c>
      <c r="I1142" t="inlineStr">
        <is>
          <t>MK00093</t>
        </is>
      </c>
      <c r="J1142" t="inlineStr"/>
    </row>
    <row r="1143">
      <c r="A1143" t="inlineStr">
        <is>
          <t>19/06/2026</t>
        </is>
      </c>
      <c r="B1143" t="inlineStr">
        <is>
          <t>528000273</t>
        </is>
      </c>
      <c r="C1143" t="inlineStr">
        <is>
          <t>Asep Mulyana</t>
        </is>
      </c>
      <c r="D1143" t="inlineStr">
        <is>
          <t>PROD</t>
        </is>
      </c>
      <c r="E1143" t="inlineStr">
        <is>
          <t>Produksi Harian</t>
        </is>
      </c>
      <c r="F1143" t="inlineStr">
        <is>
          <t>12:54:42</t>
        </is>
      </c>
      <c r="G1143" t="inlineStr">
        <is>
          <t>18:00:22</t>
        </is>
      </c>
      <c r="H1143" t="inlineStr">
        <is>
          <t>SELESAI</t>
        </is>
      </c>
      <c r="I1143" t="inlineStr">
        <is>
          <t>MK00085</t>
        </is>
      </c>
      <c r="J1143" t="inlineStr"/>
    </row>
    <row r="1144">
      <c r="A1144" t="inlineStr">
        <is>
          <t>19/06/2026</t>
        </is>
      </c>
      <c r="B1144" t="inlineStr">
        <is>
          <t>528000279</t>
        </is>
      </c>
      <c r="C1144" t="inlineStr">
        <is>
          <t>Mahdalena Dalfa Riani</t>
        </is>
      </c>
      <c r="D1144" t="inlineStr">
        <is>
          <t>PROD</t>
        </is>
      </c>
      <c r="E1144" t="inlineStr">
        <is>
          <t>Produksi Harian</t>
        </is>
      </c>
      <c r="F1144" t="inlineStr">
        <is>
          <t>13:47:58</t>
        </is>
      </c>
      <c r="G1144" t="inlineStr">
        <is>
          <t>22:06:42</t>
        </is>
      </c>
      <c r="H1144" t="inlineStr">
        <is>
          <t>SELESAI</t>
        </is>
      </c>
      <c r="I1144" t="inlineStr">
        <is>
          <t>MK00228</t>
        </is>
      </c>
      <c r="J1144" t="inlineStr"/>
    </row>
    <row r="1145">
      <c r="A1145" t="inlineStr">
        <is>
          <t>19/06/2026</t>
        </is>
      </c>
      <c r="B1145" t="inlineStr">
        <is>
          <t>528000282</t>
        </is>
      </c>
      <c r="C1145" t="inlineStr">
        <is>
          <t>Defa Desfiana</t>
        </is>
      </c>
      <c r="D1145" t="inlineStr">
        <is>
          <t>PROD</t>
        </is>
      </c>
      <c r="E1145" t="inlineStr">
        <is>
          <t>Produksi Harian</t>
        </is>
      </c>
      <c r="F1145" t="inlineStr">
        <is>
          <t>07:48:13</t>
        </is>
      </c>
      <c r="G1145" t="inlineStr">
        <is>
          <t>13:01:12</t>
        </is>
      </c>
      <c r="H1145" t="inlineStr">
        <is>
          <t>SELESAI</t>
        </is>
      </c>
      <c r="I1145" t="inlineStr">
        <is>
          <t>MK00145</t>
        </is>
      </c>
      <c r="J1145" t="inlineStr">
        <is>
          <t>33b</t>
        </is>
      </c>
    </row>
    <row r="1146">
      <c r="A1146" t="inlineStr">
        <is>
          <t>19/06/2026</t>
        </is>
      </c>
      <c r="B1146" t="inlineStr">
        <is>
          <t>528000283</t>
        </is>
      </c>
      <c r="C1146" t="inlineStr">
        <is>
          <t>Purwanda Sugiri</t>
        </is>
      </c>
      <c r="D1146" t="inlineStr">
        <is>
          <t>LOG</t>
        </is>
      </c>
      <c r="E1146" t="inlineStr">
        <is>
          <t>WRM Harian</t>
        </is>
      </c>
      <c r="F1146" t="inlineStr">
        <is>
          <t>21:53:07</t>
        </is>
      </c>
      <c r="G1146" t="inlineStr">
        <is>
          <t>06:07:59</t>
        </is>
      </c>
      <c r="H1146" t="inlineStr">
        <is>
          <t>SELESAI</t>
        </is>
      </c>
      <c r="I1146" t="inlineStr">
        <is>
          <t>AK0046</t>
        </is>
      </c>
      <c r="J1146" t="inlineStr"/>
    </row>
    <row r="1147">
      <c r="A1147" t="inlineStr">
        <is>
          <t>19/06/2026</t>
        </is>
      </c>
      <c r="B1147" t="inlineStr">
        <is>
          <t>528000291</t>
        </is>
      </c>
      <c r="C1147" t="inlineStr">
        <is>
          <t>Andrian</t>
        </is>
      </c>
      <c r="D1147" t="inlineStr">
        <is>
          <t>PROD</t>
        </is>
      </c>
      <c r="E1147" t="inlineStr">
        <is>
          <t>Produksi Harian</t>
        </is>
      </c>
      <c r="F1147" t="inlineStr">
        <is>
          <t>21:52:51</t>
        </is>
      </c>
      <c r="G1147" t="inlineStr">
        <is>
          <t>06:10:04</t>
        </is>
      </c>
      <c r="H1147" t="inlineStr">
        <is>
          <t>SELESAI</t>
        </is>
      </c>
      <c r="I1147" t="inlineStr">
        <is>
          <t>MK00150</t>
        </is>
      </c>
      <c r="J1147" t="inlineStr"/>
    </row>
    <row r="1148">
      <c r="A1148" t="inlineStr">
        <is>
          <t>19/06/2026</t>
        </is>
      </c>
      <c r="B1148" t="inlineStr">
        <is>
          <t>528000297</t>
        </is>
      </c>
      <c r="C1148" t="inlineStr">
        <is>
          <t>Muhamad Budiana</t>
        </is>
      </c>
      <c r="D1148" t="inlineStr">
        <is>
          <t>PROD</t>
        </is>
      </c>
      <c r="E1148" t="inlineStr">
        <is>
          <t>Produksi Harian</t>
        </is>
      </c>
      <c r="F1148" t="inlineStr">
        <is>
          <t>13:49:08</t>
        </is>
      </c>
      <c r="G1148" t="inlineStr">
        <is>
          <t>22:57:05</t>
        </is>
      </c>
      <c r="H1148" t="inlineStr">
        <is>
          <t>SELESAI</t>
        </is>
      </c>
      <c r="I1148" t="inlineStr">
        <is>
          <t>MK00088</t>
        </is>
      </c>
      <c r="J1148" t="inlineStr"/>
    </row>
    <row r="1149">
      <c r="A1149" t="inlineStr">
        <is>
          <t>19/06/2026</t>
        </is>
      </c>
      <c r="B1149" t="inlineStr">
        <is>
          <t>528000299</t>
        </is>
      </c>
      <c r="C1149" t="inlineStr">
        <is>
          <t>Siti Nurjanah</t>
        </is>
      </c>
      <c r="D1149" t="inlineStr">
        <is>
          <t>PROD</t>
        </is>
      </c>
      <c r="E1149" t="inlineStr">
        <is>
          <t>Produksi Harian</t>
        </is>
      </c>
      <c r="F1149" t="inlineStr">
        <is>
          <t>05:46:06</t>
        </is>
      </c>
      <c r="G1149" t="inlineStr">
        <is>
          <t>14:06:58</t>
        </is>
      </c>
      <c r="H1149" t="inlineStr">
        <is>
          <t>SELESAI</t>
        </is>
      </c>
      <c r="I1149" t="inlineStr">
        <is>
          <t>MK00230</t>
        </is>
      </c>
      <c r="J1149" t="inlineStr"/>
    </row>
    <row r="1150">
      <c r="A1150" t="inlineStr">
        <is>
          <t>19/06/2026</t>
        </is>
      </c>
      <c r="B1150" t="inlineStr">
        <is>
          <t>528000302</t>
        </is>
      </c>
      <c r="C1150" t="inlineStr">
        <is>
          <t>Henkey gumilar</t>
        </is>
      </c>
      <c r="D1150" t="inlineStr">
        <is>
          <t>PROD</t>
        </is>
      </c>
      <c r="E1150" t="inlineStr">
        <is>
          <t>Produksi Harian</t>
        </is>
      </c>
      <c r="F1150" t="inlineStr">
        <is>
          <t>05:50:42</t>
        </is>
      </c>
      <c r="G1150" t="inlineStr">
        <is>
          <t>14:10:39</t>
        </is>
      </c>
      <c r="H1150" t="inlineStr">
        <is>
          <t>SELESAI</t>
        </is>
      </c>
      <c r="I1150" t="inlineStr">
        <is>
          <t>MK00138</t>
        </is>
      </c>
      <c r="J1150" t="inlineStr"/>
    </row>
    <row r="1151">
      <c r="A1151" t="inlineStr">
        <is>
          <t>19/06/2026</t>
        </is>
      </c>
      <c r="B1151" t="inlineStr">
        <is>
          <t>528000305</t>
        </is>
      </c>
      <c r="C1151" t="inlineStr">
        <is>
          <t>Puji Puspita</t>
        </is>
      </c>
      <c r="D1151" t="inlineStr">
        <is>
          <t>PROD</t>
        </is>
      </c>
      <c r="E1151" t="inlineStr">
        <is>
          <t>Produksi Harian</t>
        </is>
      </c>
      <c r="F1151" t="inlineStr">
        <is>
          <t>05:44:51</t>
        </is>
      </c>
      <c r="G1151" t="inlineStr"/>
      <c r="H1151" t="inlineStr">
        <is>
          <t>DI DALAM</t>
        </is>
      </c>
      <c r="I1151" t="inlineStr">
        <is>
          <t>MK00202</t>
        </is>
      </c>
      <c r="J1151" t="inlineStr"/>
    </row>
    <row r="1152">
      <c r="A1152" t="inlineStr">
        <is>
          <t>19/06/2026</t>
        </is>
      </c>
      <c r="B1152" t="inlineStr">
        <is>
          <t>528000348</t>
        </is>
      </c>
      <c r="C1152" t="inlineStr">
        <is>
          <t>Saepuloh Ardiansah</t>
        </is>
      </c>
      <c r="D1152" t="inlineStr">
        <is>
          <t>LOG</t>
        </is>
      </c>
      <c r="E1152" t="inlineStr">
        <is>
          <t>WRM Harian</t>
        </is>
      </c>
      <c r="F1152" t="inlineStr">
        <is>
          <t>12:50:12</t>
        </is>
      </c>
      <c r="G1152" t="inlineStr">
        <is>
          <t>18:24:43</t>
        </is>
      </c>
      <c r="H1152" t="inlineStr">
        <is>
          <t>SELESAI</t>
        </is>
      </c>
      <c r="I1152" t="inlineStr">
        <is>
          <t>MK00205</t>
        </is>
      </c>
      <c r="J1152" t="inlineStr"/>
    </row>
    <row r="1153">
      <c r="A1153" t="inlineStr">
        <is>
          <t>19/06/2026</t>
        </is>
      </c>
      <c r="B1153" t="inlineStr">
        <is>
          <t>528000351</t>
        </is>
      </c>
      <c r="C1153" t="inlineStr">
        <is>
          <t>Mulyana</t>
        </is>
      </c>
      <c r="D1153" t="inlineStr">
        <is>
          <t>PROD</t>
        </is>
      </c>
      <c r="E1153" t="inlineStr">
        <is>
          <t>Produksi Harian</t>
        </is>
      </c>
      <c r="F1153" t="inlineStr">
        <is>
          <t>08:12:37</t>
        </is>
      </c>
      <c r="G1153" t="inlineStr">
        <is>
          <t>13:00:10</t>
        </is>
      </c>
      <c r="H1153" t="inlineStr">
        <is>
          <t>SELESAI</t>
        </is>
      </c>
      <c r="I1153" t="inlineStr">
        <is>
          <t>MK00228</t>
        </is>
      </c>
      <c r="J1153" t="inlineStr"/>
    </row>
    <row r="1154">
      <c r="A1154" t="inlineStr">
        <is>
          <t>19/06/2026</t>
        </is>
      </c>
      <c r="B1154" t="inlineStr">
        <is>
          <t>528000358</t>
        </is>
      </c>
      <c r="C1154" t="inlineStr">
        <is>
          <t>Lulu Agustin</t>
        </is>
      </c>
      <c r="D1154" t="inlineStr">
        <is>
          <t>PROD</t>
        </is>
      </c>
      <c r="E1154" t="inlineStr">
        <is>
          <t>Produksi Harian</t>
        </is>
      </c>
      <c r="F1154" t="inlineStr">
        <is>
          <t>21:34:13</t>
        </is>
      </c>
      <c r="G1154" t="inlineStr"/>
      <c r="H1154" t="inlineStr">
        <is>
          <t>DI DALAM</t>
        </is>
      </c>
      <c r="I1154" t="inlineStr">
        <is>
          <t>MK00082</t>
        </is>
      </c>
      <c r="J1154" t="inlineStr"/>
    </row>
    <row r="1155">
      <c r="A1155" t="inlineStr">
        <is>
          <t>19/06/2026</t>
        </is>
      </c>
      <c r="B1155" t="inlineStr">
        <is>
          <t>628000061</t>
        </is>
      </c>
      <c r="C1155" t="inlineStr">
        <is>
          <t>Nayla Fadillah Exwantoro</t>
        </is>
      </c>
      <c r="D1155" t="inlineStr">
        <is>
          <t>PROD</t>
        </is>
      </c>
      <c r="E1155" t="inlineStr">
        <is>
          <t>Produksi Borongan</t>
        </is>
      </c>
      <c r="F1155" t="inlineStr">
        <is>
          <t>05:36:37</t>
        </is>
      </c>
      <c r="G1155" t="inlineStr">
        <is>
          <t>15:08:24</t>
        </is>
      </c>
      <c r="H1155" t="inlineStr">
        <is>
          <t>SELESAI</t>
        </is>
      </c>
      <c r="I1155" t="inlineStr">
        <is>
          <t>MK00156</t>
        </is>
      </c>
      <c r="J1155" t="inlineStr"/>
    </row>
    <row r="1156">
      <c r="A1156" t="inlineStr">
        <is>
          <t>19/06/2026</t>
        </is>
      </c>
      <c r="B1156" t="inlineStr">
        <is>
          <t>628000064</t>
        </is>
      </c>
      <c r="C1156" t="inlineStr">
        <is>
          <t>Silva Alypia</t>
        </is>
      </c>
      <c r="D1156" t="inlineStr">
        <is>
          <t>PROD</t>
        </is>
      </c>
      <c r="E1156" t="inlineStr">
        <is>
          <t>Produksi Borongan</t>
        </is>
      </c>
      <c r="F1156" t="inlineStr">
        <is>
          <t>13:40:30</t>
        </is>
      </c>
      <c r="G1156" t="inlineStr">
        <is>
          <t>22:11:45</t>
        </is>
      </c>
      <c r="H1156" t="inlineStr">
        <is>
          <t>SELESAI</t>
        </is>
      </c>
      <c r="I1156" t="inlineStr">
        <is>
          <t>MK00158</t>
        </is>
      </c>
      <c r="J1156" t="inlineStr"/>
    </row>
    <row r="1157">
      <c r="A1157" t="inlineStr">
        <is>
          <t>20/06/2026</t>
        </is>
      </c>
      <c r="B1157" t="inlineStr">
        <is>
          <t>528000015</t>
        </is>
      </c>
      <c r="C1157" t="inlineStr">
        <is>
          <t>Erwin</t>
        </is>
      </c>
      <c r="D1157" t="inlineStr">
        <is>
          <t>LOG</t>
        </is>
      </c>
      <c r="E1157" t="inlineStr">
        <is>
          <t>WRM Harian</t>
        </is>
      </c>
      <c r="F1157" t="inlineStr">
        <is>
          <t>15:38:19</t>
        </is>
      </c>
      <c r="G1157" t="inlineStr">
        <is>
          <t>00:22:44</t>
        </is>
      </c>
      <c r="H1157" t="inlineStr">
        <is>
          <t>SELESAI</t>
        </is>
      </c>
      <c r="I1157" t="inlineStr">
        <is>
          <t>MK00113</t>
        </is>
      </c>
      <c r="J1157" t="inlineStr"/>
    </row>
    <row r="1158">
      <c r="A1158" t="inlineStr">
        <is>
          <t>20/06/2026</t>
        </is>
      </c>
      <c r="B1158" t="inlineStr">
        <is>
          <t>528000195</t>
        </is>
      </c>
      <c r="C1158" t="inlineStr">
        <is>
          <t>Rahma Sariwati</t>
        </is>
      </c>
      <c r="D1158" t="inlineStr">
        <is>
          <t>PROD</t>
        </is>
      </c>
      <c r="E1158" t="inlineStr">
        <is>
          <t>Produksi Harian</t>
        </is>
      </c>
      <c r="F1158" t="inlineStr">
        <is>
          <t>21:35:35</t>
        </is>
      </c>
      <c r="G1158" t="inlineStr">
        <is>
          <t>06:18:52</t>
        </is>
      </c>
      <c r="H1158" t="inlineStr">
        <is>
          <t>SELESAI</t>
        </is>
      </c>
      <c r="I1158" t="inlineStr">
        <is>
          <t>MK00186</t>
        </is>
      </c>
      <c r="J1158" t="inlineStr"/>
    </row>
    <row r="1159">
      <c r="A1159" t="inlineStr">
        <is>
          <t>20/06/2026</t>
        </is>
      </c>
      <c r="B1159" t="inlineStr">
        <is>
          <t>528000261</t>
        </is>
      </c>
      <c r="C1159" t="inlineStr">
        <is>
          <t>Ergi Ergianto</t>
        </is>
      </c>
      <c r="D1159" t="inlineStr">
        <is>
          <t>HRGA</t>
        </is>
      </c>
      <c r="E1159" t="inlineStr">
        <is>
          <t>GA Harian</t>
        </is>
      </c>
      <c r="F1159" t="inlineStr">
        <is>
          <t>21:47:00</t>
        </is>
      </c>
      <c r="G1159" t="inlineStr">
        <is>
          <t>06:05:11</t>
        </is>
      </c>
      <c r="H1159" t="inlineStr">
        <is>
          <t>SELESAI</t>
        </is>
      </c>
      <c r="I1159" t="inlineStr">
        <is>
          <t>MK00203</t>
        </is>
      </c>
      <c r="J1159" t="inlineStr"/>
    </row>
    <row r="1160">
      <c r="A1160" t="inlineStr">
        <is>
          <t>20/06/2026</t>
        </is>
      </c>
      <c r="B1160" t="inlineStr">
        <is>
          <t>528000262</t>
        </is>
      </c>
      <c r="C1160" t="inlineStr">
        <is>
          <t>Ndari Dwiwanti</t>
        </is>
      </c>
      <c r="D1160" t="inlineStr">
        <is>
          <t>PROD</t>
        </is>
      </c>
      <c r="E1160" t="inlineStr">
        <is>
          <t>Produksi Harian</t>
        </is>
      </c>
      <c r="F1160" t="inlineStr">
        <is>
          <t>21:36:40</t>
        </is>
      </c>
      <c r="G1160" t="inlineStr">
        <is>
          <t>06:05:31</t>
        </is>
      </c>
      <c r="H1160" t="inlineStr">
        <is>
          <t>SELESAI</t>
        </is>
      </c>
      <c r="I1160" t="inlineStr">
        <is>
          <t>MK00213</t>
        </is>
      </c>
      <c r="J1160" t="inlineStr"/>
    </row>
    <row r="1161">
      <c r="A1161" t="inlineStr">
        <is>
          <t>20/06/2026</t>
        </is>
      </c>
      <c r="B1161" t="inlineStr">
        <is>
          <t>528000266</t>
        </is>
      </c>
      <c r="C1161" t="inlineStr">
        <is>
          <t>M. Syirajatieq</t>
        </is>
      </c>
      <c r="D1161" t="inlineStr">
        <is>
          <t>LOG</t>
        </is>
      </c>
      <c r="E1161" t="inlineStr">
        <is>
          <t>WFG Harian</t>
        </is>
      </c>
      <c r="F1161" t="inlineStr">
        <is>
          <t>21:36:30</t>
        </is>
      </c>
      <c r="G1161" t="inlineStr">
        <is>
          <t>06:42:52</t>
        </is>
      </c>
      <c r="H1161" t="inlineStr">
        <is>
          <t>SELESAI</t>
        </is>
      </c>
      <c r="I1161" t="inlineStr">
        <is>
          <t>MK00156</t>
        </is>
      </c>
      <c r="J1161" t="inlineStr"/>
    </row>
    <row r="1162">
      <c r="A1162" t="inlineStr">
        <is>
          <t>20/06/2026</t>
        </is>
      </c>
      <c r="B1162" t="inlineStr">
        <is>
          <t>528000270</t>
        </is>
      </c>
      <c r="C1162" t="inlineStr">
        <is>
          <t>Febri Najmudin</t>
        </is>
      </c>
      <c r="D1162" t="inlineStr">
        <is>
          <t>LOG</t>
        </is>
      </c>
      <c r="E1162" t="inlineStr">
        <is>
          <t>WRM Harian</t>
        </is>
      </c>
      <c r="F1162" t="inlineStr">
        <is>
          <t>05:49:41</t>
        </is>
      </c>
      <c r="G1162" t="inlineStr">
        <is>
          <t>14:39:27</t>
        </is>
      </c>
      <c r="H1162" t="inlineStr">
        <is>
          <t>SELESAI</t>
        </is>
      </c>
      <c r="I1162" t="inlineStr">
        <is>
          <t>MK00192</t>
        </is>
      </c>
      <c r="J1162" t="inlineStr"/>
    </row>
    <row r="1163">
      <c r="A1163" t="inlineStr">
        <is>
          <t>20/06/2026</t>
        </is>
      </c>
      <c r="B1163" t="inlineStr">
        <is>
          <t>528000279</t>
        </is>
      </c>
      <c r="C1163" t="inlineStr">
        <is>
          <t>Mahdalena Dalfa Riani</t>
        </is>
      </c>
      <c r="D1163" t="inlineStr">
        <is>
          <t>PROD</t>
        </is>
      </c>
      <c r="E1163" t="inlineStr">
        <is>
          <t>Produksi Harian</t>
        </is>
      </c>
      <c r="F1163" t="inlineStr">
        <is>
          <t>13:50:33</t>
        </is>
      </c>
      <c r="G1163" t="inlineStr">
        <is>
          <t>22:05:17</t>
        </is>
      </c>
      <c r="H1163" t="inlineStr">
        <is>
          <t>SELESAI</t>
        </is>
      </c>
      <c r="I1163" t="inlineStr">
        <is>
          <t>MK00249</t>
        </is>
      </c>
      <c r="J1163" t="inlineStr"/>
    </row>
    <row r="1164">
      <c r="A1164" t="inlineStr">
        <is>
          <t>20/06/2026</t>
        </is>
      </c>
      <c r="B1164" t="inlineStr">
        <is>
          <t>528000283</t>
        </is>
      </c>
      <c r="C1164" t="inlineStr">
        <is>
          <t>Purwanda Sugiri</t>
        </is>
      </c>
      <c r="D1164" t="inlineStr">
        <is>
          <t>LOG</t>
        </is>
      </c>
      <c r="E1164" t="inlineStr">
        <is>
          <t>WRM Harian</t>
        </is>
      </c>
      <c r="F1164" t="inlineStr">
        <is>
          <t>21:55:27</t>
        </is>
      </c>
      <c r="G1164" t="inlineStr"/>
      <c r="H1164" t="inlineStr">
        <is>
          <t>DI DALAM</t>
        </is>
      </c>
      <c r="I1164" t="inlineStr">
        <is>
          <t>MK0093</t>
        </is>
      </c>
      <c r="J1164" t="inlineStr"/>
    </row>
    <row r="1165">
      <c r="A1165" t="inlineStr">
        <is>
          <t>20/06/2026</t>
        </is>
      </c>
      <c r="B1165" t="inlineStr">
        <is>
          <t>528000291</t>
        </is>
      </c>
      <c r="C1165" t="inlineStr">
        <is>
          <t>Andrian</t>
        </is>
      </c>
      <c r="D1165" t="inlineStr">
        <is>
          <t>PROD</t>
        </is>
      </c>
      <c r="E1165" t="inlineStr">
        <is>
          <t>Produksi Harian</t>
        </is>
      </c>
      <c r="F1165" t="inlineStr">
        <is>
          <t>21:53:58</t>
        </is>
      </c>
      <c r="G1165" t="inlineStr">
        <is>
          <t>06:04:16</t>
        </is>
      </c>
      <c r="H1165" t="inlineStr">
        <is>
          <t>SELESAI</t>
        </is>
      </c>
      <c r="I1165" t="inlineStr">
        <is>
          <t>MK00008</t>
        </is>
      </c>
      <c r="J1165" t="inlineStr"/>
    </row>
    <row r="1166">
      <c r="A1166" t="inlineStr">
        <is>
          <t>20/06/2026</t>
        </is>
      </c>
      <c r="B1166" t="inlineStr">
        <is>
          <t>528000297</t>
        </is>
      </c>
      <c r="C1166" t="inlineStr">
        <is>
          <t>Muhamad Budiana</t>
        </is>
      </c>
      <c r="D1166" t="inlineStr">
        <is>
          <t>PROD</t>
        </is>
      </c>
      <c r="E1166" t="inlineStr">
        <is>
          <t>Produksi Harian</t>
        </is>
      </c>
      <c r="F1166" t="inlineStr">
        <is>
          <t>13:46:51</t>
        </is>
      </c>
      <c r="G1166" t="inlineStr">
        <is>
          <t>23:06:29</t>
        </is>
      </c>
      <c r="H1166" t="inlineStr">
        <is>
          <t>SELESAI</t>
        </is>
      </c>
      <c r="I1166" t="inlineStr">
        <is>
          <t>MK00230</t>
        </is>
      </c>
      <c r="J1166" t="inlineStr"/>
    </row>
    <row r="1167">
      <c r="A1167" t="inlineStr">
        <is>
          <t>20/06/2026</t>
        </is>
      </c>
      <c r="B1167" t="inlineStr">
        <is>
          <t>528000299</t>
        </is>
      </c>
      <c r="C1167" t="inlineStr">
        <is>
          <t>Siti Nurjanah</t>
        </is>
      </c>
      <c r="D1167" t="inlineStr">
        <is>
          <t>PROD</t>
        </is>
      </c>
      <c r="E1167" t="inlineStr">
        <is>
          <t>Produksi Harian</t>
        </is>
      </c>
      <c r="F1167" t="inlineStr">
        <is>
          <t>05:43:23</t>
        </is>
      </c>
      <c r="G1167" t="inlineStr">
        <is>
          <t>14:04:29</t>
        </is>
      </c>
      <c r="H1167" t="inlineStr">
        <is>
          <t>SELESAI</t>
        </is>
      </c>
      <c r="I1167" t="inlineStr">
        <is>
          <t>MK00158</t>
        </is>
      </c>
      <c r="J1167" t="inlineStr"/>
    </row>
    <row r="1168">
      <c r="A1168" t="inlineStr">
        <is>
          <t>20/06/2026</t>
        </is>
      </c>
      <c r="B1168" t="inlineStr">
        <is>
          <t>528000302</t>
        </is>
      </c>
      <c r="C1168" t="inlineStr">
        <is>
          <t>Henkey gumilar</t>
        </is>
      </c>
      <c r="D1168" t="inlineStr">
        <is>
          <t>PROD</t>
        </is>
      </c>
      <c r="E1168" t="inlineStr">
        <is>
          <t>Produksi Harian</t>
        </is>
      </c>
      <c r="F1168" t="inlineStr">
        <is>
          <t>05:53:07</t>
        </is>
      </c>
      <c r="G1168" t="inlineStr">
        <is>
          <t>14:13:09</t>
        </is>
      </c>
      <c r="H1168" t="inlineStr">
        <is>
          <t>SELESAI</t>
        </is>
      </c>
      <c r="I1168" t="inlineStr">
        <is>
          <t>MK00156</t>
        </is>
      </c>
      <c r="J1168" t="inlineStr"/>
    </row>
    <row r="1169">
      <c r="A1169" t="inlineStr">
        <is>
          <t>20/06/2026</t>
        </is>
      </c>
      <c r="B1169" t="inlineStr">
        <is>
          <t>528000306</t>
        </is>
      </c>
      <c r="C1169" t="inlineStr">
        <is>
          <t>Windy Olivia</t>
        </is>
      </c>
      <c r="D1169" t="inlineStr">
        <is>
          <t>PROD</t>
        </is>
      </c>
      <c r="E1169" t="inlineStr">
        <is>
          <t>Produksi Harian</t>
        </is>
      </c>
      <c r="F1169" t="inlineStr">
        <is>
          <t>21:41:09</t>
        </is>
      </c>
      <c r="G1169" t="inlineStr"/>
      <c r="H1169" t="inlineStr">
        <is>
          <t>DI DALAM</t>
        </is>
      </c>
      <c r="I1169" t="inlineStr">
        <is>
          <t>MK00192</t>
        </is>
      </c>
      <c r="J1169" t="inlineStr"/>
    </row>
    <row r="1170">
      <c r="A1170" t="inlineStr">
        <is>
          <t>20/06/2026</t>
        </is>
      </c>
      <c r="B1170" t="inlineStr">
        <is>
          <t>528000358</t>
        </is>
      </c>
      <c r="C1170" t="inlineStr">
        <is>
          <t>Lulu Agustin</t>
        </is>
      </c>
      <c r="D1170" t="inlineStr">
        <is>
          <t>PROD</t>
        </is>
      </c>
      <c r="E1170" t="inlineStr">
        <is>
          <t>Produksi Harian</t>
        </is>
      </c>
      <c r="F1170" t="inlineStr">
        <is>
          <t>21:40:21</t>
        </is>
      </c>
      <c r="G1170" t="inlineStr">
        <is>
          <t>06:05:47</t>
        </is>
      </c>
      <c r="H1170" t="inlineStr">
        <is>
          <t>SELESAI</t>
        </is>
      </c>
      <c r="I1170" t="inlineStr">
        <is>
          <t>MK00141</t>
        </is>
      </c>
      <c r="J1170" t="inlineStr"/>
    </row>
    <row r="1171">
      <c r="A1171" t="inlineStr">
        <is>
          <t>20/06/2026</t>
        </is>
      </c>
      <c r="B1171" t="inlineStr">
        <is>
          <t>628000061</t>
        </is>
      </c>
      <c r="C1171" t="inlineStr">
        <is>
          <t>Nayla Fadillah Exwantoro</t>
        </is>
      </c>
      <c r="D1171" t="inlineStr">
        <is>
          <t>PROD</t>
        </is>
      </c>
      <c r="E1171" t="inlineStr">
        <is>
          <t>Produksi Borongan</t>
        </is>
      </c>
      <c r="F1171" t="inlineStr">
        <is>
          <t>05:51:10</t>
        </is>
      </c>
      <c r="G1171" t="inlineStr">
        <is>
          <t>22:20:53</t>
        </is>
      </c>
      <c r="H1171" t="inlineStr">
        <is>
          <t>SELESAI</t>
        </is>
      </c>
      <c r="I1171" t="inlineStr">
        <is>
          <t>MK00046</t>
        </is>
      </c>
      <c r="J1171" t="inlineStr"/>
    </row>
    <row r="1172">
      <c r="A1172" t="inlineStr">
        <is>
          <t>20/06/2026</t>
        </is>
      </c>
      <c r="B1172" t="inlineStr">
        <is>
          <t>628000064</t>
        </is>
      </c>
      <c r="C1172" t="inlineStr">
        <is>
          <t>Silva Alypia</t>
        </is>
      </c>
      <c r="D1172" t="inlineStr">
        <is>
          <t>PROD</t>
        </is>
      </c>
      <c r="E1172" t="inlineStr">
        <is>
          <t>Produksi Borongan</t>
        </is>
      </c>
      <c r="F1172" t="inlineStr">
        <is>
          <t>13:44:53</t>
        </is>
      </c>
      <c r="G1172" t="inlineStr">
        <is>
          <t>22:06:14</t>
        </is>
      </c>
      <c r="H1172" t="inlineStr">
        <is>
          <t>SELESAI</t>
        </is>
      </c>
      <c r="I1172" t="inlineStr">
        <is>
          <t>MK00085</t>
        </is>
      </c>
      <c r="J1172" t="inlineStr"/>
    </row>
    <row r="1173">
      <c r="A1173" t="inlineStr">
        <is>
          <t>21/06/2026</t>
        </is>
      </c>
      <c r="B1173" t="inlineStr">
        <is>
          <t>528000015</t>
        </is>
      </c>
      <c r="C1173" t="inlineStr">
        <is>
          <t>Erwin</t>
        </is>
      </c>
      <c r="D1173" t="inlineStr">
        <is>
          <t>LOG</t>
        </is>
      </c>
      <c r="E1173" t="inlineStr">
        <is>
          <t>WRM Harian</t>
        </is>
      </c>
      <c r="F1173" t="inlineStr">
        <is>
          <t>15:41:12</t>
        </is>
      </c>
      <c r="G1173" t="inlineStr">
        <is>
          <t>05:39:26</t>
        </is>
      </c>
      <c r="H1173" t="inlineStr">
        <is>
          <t>SELESAI</t>
        </is>
      </c>
      <c r="I1173" t="inlineStr">
        <is>
          <t>MK00155</t>
        </is>
      </c>
      <c r="J1173" t="inlineStr"/>
    </row>
    <row r="1174">
      <c r="A1174" t="inlineStr">
        <is>
          <t>21/06/2026</t>
        </is>
      </c>
      <c r="B1174" t="inlineStr">
        <is>
          <t>528000055</t>
        </is>
      </c>
      <c r="C1174" t="inlineStr">
        <is>
          <t>Dika Prasetya</t>
        </is>
      </c>
      <c r="D1174" t="inlineStr">
        <is>
          <t>LOG</t>
        </is>
      </c>
      <c r="E1174" t="inlineStr">
        <is>
          <t>WRM Harian</t>
        </is>
      </c>
      <c r="F1174" t="inlineStr">
        <is>
          <t>07:57:09</t>
        </is>
      </c>
      <c r="G1174" t="inlineStr">
        <is>
          <t>16:01:53</t>
        </is>
      </c>
      <c r="H1174" t="inlineStr">
        <is>
          <t>SELESAI</t>
        </is>
      </c>
      <c r="I1174" t="inlineStr">
        <is>
          <t>MK00156</t>
        </is>
      </c>
      <c r="J1174" t="inlineStr"/>
    </row>
    <row r="1175">
      <c r="A1175" t="inlineStr">
        <is>
          <t>21/06/2026</t>
        </is>
      </c>
      <c r="B1175" t="inlineStr">
        <is>
          <t>528000099</t>
        </is>
      </c>
      <c r="C1175" t="inlineStr">
        <is>
          <t>Siti Nurawaliah</t>
        </is>
      </c>
      <c r="D1175" t="inlineStr">
        <is>
          <t>PROD</t>
        </is>
      </c>
      <c r="E1175" t="inlineStr">
        <is>
          <t>Produksi Harian</t>
        </is>
      </c>
      <c r="F1175" t="inlineStr">
        <is>
          <t>13:42:13</t>
        </is>
      </c>
      <c r="G1175" t="inlineStr">
        <is>
          <t>22:05:37</t>
        </is>
      </c>
      <c r="H1175" t="inlineStr">
        <is>
          <t>SELESAI</t>
        </is>
      </c>
      <c r="I1175" t="inlineStr">
        <is>
          <t>MK00138</t>
        </is>
      </c>
      <c r="J1175" t="inlineStr"/>
    </row>
    <row r="1176">
      <c r="A1176" t="inlineStr">
        <is>
          <t>21/06/2026</t>
        </is>
      </c>
      <c r="B1176" t="inlineStr">
        <is>
          <t>528000132</t>
        </is>
      </c>
      <c r="C1176" t="inlineStr">
        <is>
          <t>Giopani</t>
        </is>
      </c>
      <c r="D1176" t="inlineStr">
        <is>
          <t>LOG</t>
        </is>
      </c>
      <c r="E1176" t="inlineStr">
        <is>
          <t>WRM Harian</t>
        </is>
      </c>
      <c r="F1176" t="inlineStr">
        <is>
          <t>00:03:46</t>
        </is>
      </c>
      <c r="G1176" t="inlineStr">
        <is>
          <t>00:04:19</t>
        </is>
      </c>
      <c r="H1176" t="inlineStr">
        <is>
          <t>SELESAI</t>
        </is>
      </c>
      <c r="I1176" t="inlineStr">
        <is>
          <t>MK00088</t>
        </is>
      </c>
      <c r="J1176" t="inlineStr"/>
    </row>
    <row r="1177">
      <c r="A1177" t="inlineStr">
        <is>
          <t>21/06/2026</t>
        </is>
      </c>
      <c r="B1177" t="inlineStr">
        <is>
          <t>528000144</t>
        </is>
      </c>
      <c r="C1177" t="inlineStr">
        <is>
          <t>Jodi Hanafi</t>
        </is>
      </c>
      <c r="D1177" t="inlineStr">
        <is>
          <t>LOG</t>
        </is>
      </c>
      <c r="E1177" t="inlineStr">
        <is>
          <t>WRM Harian</t>
        </is>
      </c>
      <c r="F1177" t="inlineStr">
        <is>
          <t>15:55:01</t>
        </is>
      </c>
      <c r="G1177" t="inlineStr">
        <is>
          <t>02:09:21</t>
        </is>
      </c>
      <c r="H1177" t="inlineStr">
        <is>
          <t>SELESAI</t>
        </is>
      </c>
      <c r="I1177" t="inlineStr">
        <is>
          <t>MK00089</t>
        </is>
      </c>
      <c r="J1177" t="inlineStr"/>
    </row>
    <row r="1178">
      <c r="A1178" t="inlineStr">
        <is>
          <t>21/06/2026</t>
        </is>
      </c>
      <c r="B1178" t="inlineStr">
        <is>
          <t>528000149</t>
        </is>
      </c>
      <c r="C1178" t="inlineStr">
        <is>
          <t>Tio Fernanda</t>
        </is>
      </c>
      <c r="D1178" t="inlineStr">
        <is>
          <t>LOG</t>
        </is>
      </c>
      <c r="E1178" t="inlineStr">
        <is>
          <t>WRM Harian</t>
        </is>
      </c>
      <c r="F1178" t="inlineStr">
        <is>
          <t>08:50:17</t>
        </is>
      </c>
      <c r="G1178" t="inlineStr">
        <is>
          <t>17:24:01</t>
        </is>
      </c>
      <c r="H1178" t="inlineStr">
        <is>
          <t>SELESAI</t>
        </is>
      </c>
      <c r="I1178" t="inlineStr">
        <is>
          <t>MK00212</t>
        </is>
      </c>
      <c r="J1178" t="inlineStr"/>
    </row>
    <row r="1179">
      <c r="A1179" t="inlineStr">
        <is>
          <t>21/06/2026</t>
        </is>
      </c>
      <c r="B1179" t="inlineStr">
        <is>
          <t>528000195</t>
        </is>
      </c>
      <c r="C1179" t="inlineStr">
        <is>
          <t>Rahma Sariwati</t>
        </is>
      </c>
      <c r="D1179" t="inlineStr">
        <is>
          <t>PROD</t>
        </is>
      </c>
      <c r="E1179" t="inlineStr">
        <is>
          <t>Produksi Harian</t>
        </is>
      </c>
      <c r="F1179" t="inlineStr">
        <is>
          <t>21:41:36</t>
        </is>
      </c>
      <c r="G1179" t="inlineStr">
        <is>
          <t>06:05:34</t>
        </is>
      </c>
      <c r="H1179" t="inlineStr">
        <is>
          <t>SELESAI</t>
        </is>
      </c>
      <c r="I1179" t="inlineStr">
        <is>
          <t>MK00150</t>
        </is>
      </c>
      <c r="J1179" t="inlineStr"/>
    </row>
    <row r="1180">
      <c r="A1180" t="inlineStr">
        <is>
          <t>21/06/2026</t>
        </is>
      </c>
      <c r="B1180" t="inlineStr">
        <is>
          <t>528000201</t>
        </is>
      </c>
      <c r="C1180" t="inlineStr">
        <is>
          <t>Zahwa Amelia Choerunissa</t>
        </is>
      </c>
      <c r="D1180" t="inlineStr">
        <is>
          <t>PROD</t>
        </is>
      </c>
      <c r="E1180" t="inlineStr">
        <is>
          <t>Produksi Harian</t>
        </is>
      </c>
      <c r="F1180" t="inlineStr">
        <is>
          <t>13:41:30</t>
        </is>
      </c>
      <c r="G1180" t="inlineStr">
        <is>
          <t>22:06:18</t>
        </is>
      </c>
      <c r="H1180" t="inlineStr">
        <is>
          <t>SELESAI</t>
        </is>
      </c>
      <c r="I1180" t="inlineStr">
        <is>
          <t>MK0082</t>
        </is>
      </c>
      <c r="J1180" t="inlineStr"/>
    </row>
    <row r="1181">
      <c r="A1181" t="inlineStr">
        <is>
          <t>21/06/2026</t>
        </is>
      </c>
      <c r="B1181" t="inlineStr">
        <is>
          <t>528000203</t>
        </is>
      </c>
      <c r="C1181" t="inlineStr">
        <is>
          <t>Yudha Ramdhan Putra</t>
        </is>
      </c>
      <c r="D1181" t="inlineStr">
        <is>
          <t>ENG</t>
        </is>
      </c>
      <c r="E1181" t="inlineStr">
        <is>
          <t>Engineering Harian</t>
        </is>
      </c>
      <c r="F1181" t="inlineStr">
        <is>
          <t>09:02:15</t>
        </is>
      </c>
      <c r="G1181" t="inlineStr">
        <is>
          <t>17:00:01</t>
        </is>
      </c>
      <c r="H1181" t="inlineStr">
        <is>
          <t>SELESAI</t>
        </is>
      </c>
      <c r="I1181" t="inlineStr">
        <is>
          <t>MK00095</t>
        </is>
      </c>
      <c r="J1181" t="inlineStr"/>
    </row>
    <row r="1182">
      <c r="A1182" t="inlineStr">
        <is>
          <t>21/06/2026</t>
        </is>
      </c>
      <c r="B1182" t="inlineStr">
        <is>
          <t>528000212</t>
        </is>
      </c>
      <c r="C1182" t="inlineStr">
        <is>
          <t>Rizal Fauzi</t>
        </is>
      </c>
      <c r="D1182" t="inlineStr">
        <is>
          <t>PROD</t>
        </is>
      </c>
      <c r="E1182" t="inlineStr">
        <is>
          <t>Produksi Harian</t>
        </is>
      </c>
      <c r="F1182" t="inlineStr">
        <is>
          <t>13:38:40</t>
        </is>
      </c>
      <c r="G1182" t="inlineStr">
        <is>
          <t>13:38:21</t>
        </is>
      </c>
      <c r="H1182" t="inlineStr">
        <is>
          <t>SELESAI</t>
        </is>
      </c>
      <c r="I1182" t="inlineStr">
        <is>
          <t>MK00055</t>
        </is>
      </c>
      <c r="J1182" t="inlineStr"/>
    </row>
    <row r="1183">
      <c r="A1183" t="inlineStr">
        <is>
          <t>21/06/2026</t>
        </is>
      </c>
      <c r="B1183" t="inlineStr">
        <is>
          <t>528000232</t>
        </is>
      </c>
      <c r="C1183" t="inlineStr">
        <is>
          <t>Agung Aji Suhada</t>
        </is>
      </c>
      <c r="D1183" t="inlineStr">
        <is>
          <t>LOG</t>
        </is>
      </c>
      <c r="E1183" t="inlineStr">
        <is>
          <t>WRM Harian</t>
        </is>
      </c>
      <c r="F1183" t="inlineStr">
        <is>
          <t>09:00:30</t>
        </is>
      </c>
      <c r="G1183" t="inlineStr"/>
      <c r="H1183" t="inlineStr">
        <is>
          <t>DI DALAM</t>
        </is>
      </c>
      <c r="I1183" t="inlineStr">
        <is>
          <t>MK00046</t>
        </is>
      </c>
      <c r="J1183" t="inlineStr"/>
    </row>
    <row r="1184">
      <c r="A1184" t="inlineStr">
        <is>
          <t>21/06/2026</t>
        </is>
      </c>
      <c r="B1184" t="inlineStr">
        <is>
          <t>528000244</t>
        </is>
      </c>
      <c r="C1184" t="inlineStr">
        <is>
          <t>Rodian Rifai</t>
        </is>
      </c>
      <c r="D1184" t="inlineStr">
        <is>
          <t>PROD</t>
        </is>
      </c>
      <c r="E1184" t="inlineStr">
        <is>
          <t>Produksi Harian</t>
        </is>
      </c>
      <c r="F1184" t="inlineStr">
        <is>
          <t>13:42:31</t>
        </is>
      </c>
      <c r="G1184" t="inlineStr">
        <is>
          <t>23:13:27</t>
        </is>
      </c>
      <c r="H1184" t="inlineStr">
        <is>
          <t>SELESAI</t>
        </is>
      </c>
      <c r="I1184" t="inlineStr">
        <is>
          <t>MK00126</t>
        </is>
      </c>
      <c r="J1184" t="inlineStr"/>
    </row>
    <row r="1185">
      <c r="A1185" t="inlineStr">
        <is>
          <t>21/06/2026</t>
        </is>
      </c>
      <c r="B1185" t="inlineStr">
        <is>
          <t>528000261</t>
        </is>
      </c>
      <c r="C1185" t="inlineStr">
        <is>
          <t>Ergi Ergianto</t>
        </is>
      </c>
      <c r="D1185" t="inlineStr">
        <is>
          <t>HRGA</t>
        </is>
      </c>
      <c r="E1185" t="inlineStr">
        <is>
          <t>GA Harian</t>
        </is>
      </c>
      <c r="F1185" t="inlineStr">
        <is>
          <t>21:47:52</t>
        </is>
      </c>
      <c r="G1185" t="inlineStr">
        <is>
          <t>06:04:33</t>
        </is>
      </c>
      <c r="H1185" t="inlineStr">
        <is>
          <t>SELESAI</t>
        </is>
      </c>
      <c r="I1185" t="inlineStr">
        <is>
          <t>MK00192</t>
        </is>
      </c>
      <c r="J1185" t="inlineStr"/>
    </row>
    <row r="1186">
      <c r="A1186" t="inlineStr">
        <is>
          <t>21/06/2026</t>
        </is>
      </c>
      <c r="B1186" t="inlineStr">
        <is>
          <t>528000262</t>
        </is>
      </c>
      <c r="C1186" t="inlineStr">
        <is>
          <t>Ndari Dwiwanti</t>
        </is>
      </c>
      <c r="D1186" t="inlineStr">
        <is>
          <t>PROD</t>
        </is>
      </c>
      <c r="E1186" t="inlineStr">
        <is>
          <t>Produksi Harian</t>
        </is>
      </c>
      <c r="F1186" t="inlineStr">
        <is>
          <t>21:30:15</t>
        </is>
      </c>
      <c r="G1186" t="inlineStr">
        <is>
          <t>06:04:01</t>
        </is>
      </c>
      <c r="H1186" t="inlineStr">
        <is>
          <t>SELESAI</t>
        </is>
      </c>
      <c r="I1186" t="inlineStr">
        <is>
          <t>MK00230</t>
        </is>
      </c>
      <c r="J1186" t="inlineStr"/>
    </row>
    <row r="1187">
      <c r="A1187" t="inlineStr">
        <is>
          <t>21/06/2026</t>
        </is>
      </c>
      <c r="B1187" t="inlineStr">
        <is>
          <t>528000265</t>
        </is>
      </c>
      <c r="C1187" t="inlineStr">
        <is>
          <t>Muhammad Haerul Rozikin</t>
        </is>
      </c>
      <c r="D1187" t="inlineStr">
        <is>
          <t>LOG</t>
        </is>
      </c>
      <c r="E1187" t="inlineStr">
        <is>
          <t>WRM Harian</t>
        </is>
      </c>
      <c r="F1187" t="inlineStr">
        <is>
          <t>05:56:40</t>
        </is>
      </c>
      <c r="G1187" t="inlineStr">
        <is>
          <t>07:53:55</t>
        </is>
      </c>
      <c r="H1187" t="inlineStr">
        <is>
          <t>SELESAI</t>
        </is>
      </c>
      <c r="I1187" t="inlineStr">
        <is>
          <t>MA00109</t>
        </is>
      </c>
      <c r="J1187" t="inlineStr"/>
    </row>
    <row r="1188">
      <c r="A1188" t="inlineStr">
        <is>
          <t>21/06/2026</t>
        </is>
      </c>
      <c r="B1188" t="inlineStr">
        <is>
          <t>528000266</t>
        </is>
      </c>
      <c r="C1188" t="inlineStr">
        <is>
          <t>M. Syirajatieq</t>
        </is>
      </c>
      <c r="D1188" t="inlineStr">
        <is>
          <t>LOG</t>
        </is>
      </c>
      <c r="E1188" t="inlineStr">
        <is>
          <t>WFG Harian</t>
        </is>
      </c>
      <c r="F1188" t="inlineStr">
        <is>
          <t>21:35:59</t>
        </is>
      </c>
      <c r="G1188" t="inlineStr">
        <is>
          <t>06:26:24</t>
        </is>
      </c>
      <c r="H1188" t="inlineStr">
        <is>
          <t>SELESAI</t>
        </is>
      </c>
      <c r="I1188" t="inlineStr">
        <is>
          <t>MK00208</t>
        </is>
      </c>
      <c r="J1188" t="inlineStr"/>
    </row>
    <row r="1189">
      <c r="A1189" t="inlineStr">
        <is>
          <t>21/06/2026</t>
        </is>
      </c>
      <c r="B1189" t="inlineStr">
        <is>
          <t>528000270</t>
        </is>
      </c>
      <c r="C1189" t="inlineStr">
        <is>
          <t>Febri Najmudin</t>
        </is>
      </c>
      <c r="D1189" t="inlineStr">
        <is>
          <t>LOG</t>
        </is>
      </c>
      <c r="E1189" t="inlineStr">
        <is>
          <t>WRM Harian</t>
        </is>
      </c>
      <c r="F1189" t="inlineStr">
        <is>
          <t>05:50:27</t>
        </is>
      </c>
      <c r="G1189" t="inlineStr">
        <is>
          <t>14:29:47</t>
        </is>
      </c>
      <c r="H1189" t="inlineStr">
        <is>
          <t>SELESAI</t>
        </is>
      </c>
      <c r="I1189" t="inlineStr">
        <is>
          <t>MK0008</t>
        </is>
      </c>
      <c r="J1189" t="inlineStr"/>
    </row>
    <row r="1190">
      <c r="A1190" t="inlineStr">
        <is>
          <t>21/06/2026</t>
        </is>
      </c>
      <c r="B1190" t="inlineStr">
        <is>
          <t>528000273</t>
        </is>
      </c>
      <c r="C1190" t="inlineStr">
        <is>
          <t>Asep Mulyana</t>
        </is>
      </c>
      <c r="D1190" t="inlineStr">
        <is>
          <t>PROD</t>
        </is>
      </c>
      <c r="E1190" t="inlineStr">
        <is>
          <t>Produksi Harian</t>
        </is>
      </c>
      <c r="F1190" t="inlineStr">
        <is>
          <t>07:51:26</t>
        </is>
      </c>
      <c r="G1190" t="inlineStr">
        <is>
          <t>16:00:51</t>
        </is>
      </c>
      <c r="H1190" t="inlineStr">
        <is>
          <t>SELESAI</t>
        </is>
      </c>
      <c r="I1190" t="inlineStr">
        <is>
          <t>MK00141</t>
        </is>
      </c>
      <c r="J1190" t="inlineStr"/>
    </row>
    <row r="1191">
      <c r="A1191" t="inlineStr">
        <is>
          <t>21/06/2026</t>
        </is>
      </c>
      <c r="B1191" t="inlineStr">
        <is>
          <t>528000282</t>
        </is>
      </c>
      <c r="C1191" t="inlineStr">
        <is>
          <t>Defa Desfiana</t>
        </is>
      </c>
      <c r="D1191" t="inlineStr">
        <is>
          <t>PROD</t>
        </is>
      </c>
      <c r="E1191" t="inlineStr">
        <is>
          <t>Produksi Harian</t>
        </is>
      </c>
      <c r="F1191" t="inlineStr">
        <is>
          <t>05:44:14</t>
        </is>
      </c>
      <c r="G1191" t="inlineStr">
        <is>
          <t>14:03:14</t>
        </is>
      </c>
      <c r="H1191" t="inlineStr">
        <is>
          <t>SELESAI</t>
        </is>
      </c>
      <c r="I1191" t="inlineStr">
        <is>
          <t>MK00192</t>
        </is>
      </c>
      <c r="J1191" t="inlineStr"/>
    </row>
    <row r="1192">
      <c r="A1192" t="inlineStr">
        <is>
          <t>21/06/2026</t>
        </is>
      </c>
      <c r="B1192" t="inlineStr">
        <is>
          <t>528000283</t>
        </is>
      </c>
      <c r="C1192" t="inlineStr">
        <is>
          <t>Purwanda Sugiri</t>
        </is>
      </c>
      <c r="D1192" t="inlineStr">
        <is>
          <t>LOG</t>
        </is>
      </c>
      <c r="E1192" t="inlineStr">
        <is>
          <t>WRM Harian</t>
        </is>
      </c>
      <c r="F1192" t="inlineStr"/>
      <c r="G1192" t="inlineStr">
        <is>
          <t>21:55:07</t>
        </is>
      </c>
      <c r="H1192" t="inlineStr">
        <is>
          <t>KELUAR TANPA MASUK</t>
        </is>
      </c>
      <c r="I1192" t="inlineStr">
        <is>
          <t>AK0046</t>
        </is>
      </c>
      <c r="J1192" t="inlineStr"/>
    </row>
    <row r="1193">
      <c r="A1193" t="inlineStr">
        <is>
          <t>21/06/2026</t>
        </is>
      </c>
      <c r="B1193" t="inlineStr">
        <is>
          <t>528000286</t>
        </is>
      </c>
      <c r="C1193" t="inlineStr">
        <is>
          <t>Imelda Amelia</t>
        </is>
      </c>
      <c r="D1193" t="inlineStr">
        <is>
          <t>PROD</t>
        </is>
      </c>
      <c r="E1193" t="inlineStr">
        <is>
          <t>Produksi Harian</t>
        </is>
      </c>
      <c r="F1193" t="inlineStr">
        <is>
          <t>13:40:49</t>
        </is>
      </c>
      <c r="G1193" t="inlineStr">
        <is>
          <t>22:06:58</t>
        </is>
      </c>
      <c r="H1193" t="inlineStr">
        <is>
          <t>SELESAI</t>
        </is>
      </c>
      <c r="I1193" t="inlineStr">
        <is>
          <t>MK00208</t>
        </is>
      </c>
      <c r="J1193" t="inlineStr"/>
    </row>
    <row r="1194">
      <c r="A1194" t="inlineStr">
        <is>
          <t>21/06/2026</t>
        </is>
      </c>
      <c r="B1194" t="inlineStr">
        <is>
          <t>528000287</t>
        </is>
      </c>
      <c r="C1194" t="inlineStr">
        <is>
          <t>Muhamad Angga Ramdani</t>
        </is>
      </c>
      <c r="D1194" t="inlineStr">
        <is>
          <t>PROD</t>
        </is>
      </c>
      <c r="E1194" t="inlineStr">
        <is>
          <t>Produksi Harian</t>
        </is>
      </c>
      <c r="F1194" t="inlineStr">
        <is>
          <t>07:48:39</t>
        </is>
      </c>
      <c r="G1194" t="inlineStr">
        <is>
          <t>16:04:22</t>
        </is>
      </c>
      <c r="H1194" t="inlineStr">
        <is>
          <t>SELESAI</t>
        </is>
      </c>
      <c r="I1194" t="inlineStr">
        <is>
          <t>MK00249</t>
        </is>
      </c>
      <c r="J1194" t="inlineStr"/>
    </row>
    <row r="1195">
      <c r="A1195" t="inlineStr">
        <is>
          <t>21/06/2026</t>
        </is>
      </c>
      <c r="B1195" t="inlineStr">
        <is>
          <t>528000290</t>
        </is>
      </c>
      <c r="C1195" t="inlineStr">
        <is>
          <t>Eval Pranata</t>
        </is>
      </c>
      <c r="D1195" t="inlineStr">
        <is>
          <t>PROD</t>
        </is>
      </c>
      <c r="E1195" t="inlineStr">
        <is>
          <t>Produksi Harian</t>
        </is>
      </c>
      <c r="F1195" t="inlineStr">
        <is>
          <t>13:58:13</t>
        </is>
      </c>
      <c r="G1195" t="inlineStr"/>
      <c r="H1195" t="inlineStr">
        <is>
          <t>DI DALAM</t>
        </is>
      </c>
      <c r="I1195" t="inlineStr">
        <is>
          <t>MK0025Q</t>
        </is>
      </c>
      <c r="J1195" t="inlineStr"/>
    </row>
    <row r="1196">
      <c r="A1196" t="inlineStr">
        <is>
          <t>21/06/2026</t>
        </is>
      </c>
      <c r="B1196" t="inlineStr">
        <is>
          <t>528000291</t>
        </is>
      </c>
      <c r="C1196" t="inlineStr">
        <is>
          <t>Andrian</t>
        </is>
      </c>
      <c r="D1196" t="inlineStr">
        <is>
          <t>PROD</t>
        </is>
      </c>
      <c r="E1196" t="inlineStr">
        <is>
          <t>Produksi Harian</t>
        </is>
      </c>
      <c r="F1196" t="inlineStr">
        <is>
          <t>21:52:47</t>
        </is>
      </c>
      <c r="G1196" t="inlineStr">
        <is>
          <t>06:03:37</t>
        </is>
      </c>
      <c r="H1196" t="inlineStr">
        <is>
          <t>SELESAI</t>
        </is>
      </c>
      <c r="I1196" t="inlineStr">
        <is>
          <t>MK00126</t>
        </is>
      </c>
      <c r="J1196" t="inlineStr"/>
    </row>
    <row r="1197">
      <c r="A1197" t="inlineStr">
        <is>
          <t>21/06/2026</t>
        </is>
      </c>
      <c r="B1197" t="inlineStr">
        <is>
          <t>528000299</t>
        </is>
      </c>
      <c r="C1197" t="inlineStr">
        <is>
          <t>Siti Nurjanah</t>
        </is>
      </c>
      <c r="D1197" t="inlineStr">
        <is>
          <t>PROD</t>
        </is>
      </c>
      <c r="E1197" t="inlineStr">
        <is>
          <t>Produksi Harian</t>
        </is>
      </c>
      <c r="F1197" t="inlineStr">
        <is>
          <t>05:43:51</t>
        </is>
      </c>
      <c r="G1197" t="inlineStr"/>
      <c r="H1197" t="inlineStr">
        <is>
          <t>DI DALAM</t>
        </is>
      </c>
      <c r="I1197" t="inlineStr">
        <is>
          <t>MK00181</t>
        </is>
      </c>
      <c r="J1197" t="inlineStr"/>
    </row>
    <row r="1198">
      <c r="A1198" t="inlineStr">
        <is>
          <t>21/06/2026</t>
        </is>
      </c>
      <c r="B1198" t="inlineStr">
        <is>
          <t>528000300</t>
        </is>
      </c>
      <c r="C1198" t="inlineStr">
        <is>
          <t>Lia pitaloka</t>
        </is>
      </c>
      <c r="D1198" t="inlineStr">
        <is>
          <t>PROD</t>
        </is>
      </c>
      <c r="E1198" t="inlineStr">
        <is>
          <t>Produksi Harian</t>
        </is>
      </c>
      <c r="F1198" t="inlineStr"/>
      <c r="G1198" t="inlineStr">
        <is>
          <t>05:56:07</t>
        </is>
      </c>
      <c r="H1198" t="inlineStr">
        <is>
          <t>KELUAR TANPA MASUK</t>
        </is>
      </c>
      <c r="I1198" t="inlineStr">
        <is>
          <t>MK000209</t>
        </is>
      </c>
      <c r="J1198" t="inlineStr"/>
    </row>
    <row r="1199">
      <c r="A1199" t="inlineStr">
        <is>
          <t>21/06/2026</t>
        </is>
      </c>
      <c r="B1199" t="inlineStr">
        <is>
          <t>528000306</t>
        </is>
      </c>
      <c r="C1199" t="inlineStr">
        <is>
          <t>Windy Olivia</t>
        </is>
      </c>
      <c r="D1199" t="inlineStr">
        <is>
          <t>PROD</t>
        </is>
      </c>
      <c r="E1199" t="inlineStr">
        <is>
          <t>Produksi Harian</t>
        </is>
      </c>
      <c r="F1199" t="inlineStr"/>
      <c r="G1199" t="inlineStr">
        <is>
          <t>06:04:42</t>
        </is>
      </c>
      <c r="H1199" t="inlineStr">
        <is>
          <t>KELUAR TANPA MASUK</t>
        </is>
      </c>
      <c r="I1199" t="inlineStr">
        <is>
          <t>MK00192</t>
        </is>
      </c>
      <c r="J1199" t="inlineStr"/>
    </row>
    <row r="1200">
      <c r="A1200" t="inlineStr">
        <is>
          <t>21/06/2026</t>
        </is>
      </c>
      <c r="B1200" t="inlineStr">
        <is>
          <t>528000348</t>
        </is>
      </c>
      <c r="C1200" t="inlineStr">
        <is>
          <t>Saepuloh Ardiansah</t>
        </is>
      </c>
      <c r="D1200" t="inlineStr">
        <is>
          <t>LOG</t>
        </is>
      </c>
      <c r="E1200" t="inlineStr">
        <is>
          <t>WRM Harian</t>
        </is>
      </c>
      <c r="F1200" t="inlineStr">
        <is>
          <t>08:55:30</t>
        </is>
      </c>
      <c r="G1200" t="inlineStr">
        <is>
          <t>19:05:48</t>
        </is>
      </c>
      <c r="H1200" t="inlineStr">
        <is>
          <t>SELESAI</t>
        </is>
      </c>
      <c r="I1200" t="inlineStr">
        <is>
          <t>MK00205</t>
        </is>
      </c>
      <c r="J1200" t="inlineStr"/>
    </row>
    <row r="1201">
      <c r="A1201" t="inlineStr">
        <is>
          <t>21/06/2026</t>
        </is>
      </c>
      <c r="B1201" t="inlineStr">
        <is>
          <t>528000349</t>
        </is>
      </c>
      <c r="C1201" t="inlineStr">
        <is>
          <t>Anas Abdul Fatah</t>
        </is>
      </c>
      <c r="D1201" t="inlineStr">
        <is>
          <t>LOG</t>
        </is>
      </c>
      <c r="E1201" t="inlineStr">
        <is>
          <t>WFG Harian</t>
        </is>
      </c>
      <c r="F1201" t="inlineStr">
        <is>
          <t>07:56:13</t>
        </is>
      </c>
      <c r="G1201" t="inlineStr">
        <is>
          <t>16:18:08</t>
        </is>
      </c>
      <c r="H1201" t="inlineStr">
        <is>
          <t>SELESAI</t>
        </is>
      </c>
      <c r="I1201" t="inlineStr">
        <is>
          <t>MK00145</t>
        </is>
      </c>
      <c r="J1201" t="inlineStr"/>
    </row>
    <row r="1202">
      <c r="A1202" t="inlineStr">
        <is>
          <t>21/06/2026</t>
        </is>
      </c>
      <c r="B1202" t="inlineStr">
        <is>
          <t>528000351</t>
        </is>
      </c>
      <c r="C1202" t="inlineStr">
        <is>
          <t>Mulyana</t>
        </is>
      </c>
      <c r="D1202" t="inlineStr">
        <is>
          <t>PROD</t>
        </is>
      </c>
      <c r="E1202" t="inlineStr">
        <is>
          <t>Produksi Harian</t>
        </is>
      </c>
      <c r="F1202" t="inlineStr">
        <is>
          <t>07:48:28</t>
        </is>
      </c>
      <c r="G1202" t="inlineStr">
        <is>
          <t>16:01:05</t>
        </is>
      </c>
      <c r="H1202" t="inlineStr">
        <is>
          <t>SELESAI</t>
        </is>
      </c>
      <c r="I1202" t="inlineStr">
        <is>
          <t>MK00213</t>
        </is>
      </c>
      <c r="J1202" t="inlineStr"/>
    </row>
    <row r="1203">
      <c r="A1203" t="inlineStr">
        <is>
          <t>21/06/2026</t>
        </is>
      </c>
      <c r="B1203" t="inlineStr">
        <is>
          <t>528000358</t>
        </is>
      </c>
      <c r="C1203" t="inlineStr">
        <is>
          <t>Lulu Agustin</t>
        </is>
      </c>
      <c r="D1203" t="inlineStr">
        <is>
          <t>PROD</t>
        </is>
      </c>
      <c r="E1203" t="inlineStr">
        <is>
          <t>Produksi Harian</t>
        </is>
      </c>
      <c r="F1203" t="inlineStr">
        <is>
          <t>21:41:01</t>
        </is>
      </c>
      <c r="G1203" t="inlineStr">
        <is>
          <t>06:04:23</t>
        </is>
      </c>
      <c r="H1203" t="inlineStr">
        <is>
          <t>SELESAI</t>
        </is>
      </c>
      <c r="I1203" t="inlineStr">
        <is>
          <t>MK00082</t>
        </is>
      </c>
      <c r="J1203" t="inlineStr"/>
    </row>
    <row r="1204">
      <c r="A1204" t="inlineStr">
        <is>
          <t>21/06/2026</t>
        </is>
      </c>
      <c r="B1204" t="inlineStr">
        <is>
          <t>628000061</t>
        </is>
      </c>
      <c r="C1204" t="inlineStr">
        <is>
          <t>Nayla Fadillah Exwantoro</t>
        </is>
      </c>
      <c r="D1204" t="inlineStr">
        <is>
          <t>PROD</t>
        </is>
      </c>
      <c r="E1204" t="inlineStr">
        <is>
          <t>Produksi Borongan</t>
        </is>
      </c>
      <c r="F1204" t="inlineStr">
        <is>
          <t>05:43:07</t>
        </is>
      </c>
      <c r="G1204" t="inlineStr">
        <is>
          <t>14:26:32</t>
        </is>
      </c>
      <c r="H1204" t="inlineStr">
        <is>
          <t>SELESAI</t>
        </is>
      </c>
      <c r="I1204" t="inlineStr">
        <is>
          <t>MK00230</t>
        </is>
      </c>
      <c r="J1204" t="inlineStr"/>
    </row>
    <row r="1205">
      <c r="A1205" t="inlineStr">
        <is>
          <t>22/06/2026</t>
        </is>
      </c>
      <c r="B1205" t="inlineStr">
        <is>
          <t>528000015</t>
        </is>
      </c>
      <c r="C1205" t="inlineStr">
        <is>
          <t>Erwin</t>
        </is>
      </c>
      <c r="D1205" t="inlineStr">
        <is>
          <t>LOG</t>
        </is>
      </c>
      <c r="E1205" t="inlineStr">
        <is>
          <t>WRM Harian</t>
        </is>
      </c>
      <c r="F1205" t="inlineStr">
        <is>
          <t>15:39:44</t>
        </is>
      </c>
      <c r="G1205" t="inlineStr">
        <is>
          <t>02:01:38</t>
        </is>
      </c>
      <c r="H1205" t="inlineStr">
        <is>
          <t>SELESAI</t>
        </is>
      </c>
      <c r="I1205" t="inlineStr">
        <is>
          <t>MK00215</t>
        </is>
      </c>
      <c r="J1205" t="inlineStr"/>
    </row>
    <row r="1206">
      <c r="A1206" t="inlineStr">
        <is>
          <t>22/06/2026</t>
        </is>
      </c>
      <c r="B1206" t="inlineStr">
        <is>
          <t>528000055</t>
        </is>
      </c>
      <c r="C1206" t="inlineStr">
        <is>
          <t>Dika Prasetya</t>
        </is>
      </c>
      <c r="D1206" t="inlineStr">
        <is>
          <t>LOG</t>
        </is>
      </c>
      <c r="E1206" t="inlineStr">
        <is>
          <t>WRM Harian</t>
        </is>
      </c>
      <c r="F1206" t="inlineStr">
        <is>
          <t>07:57:31</t>
        </is>
      </c>
      <c r="G1206" t="inlineStr">
        <is>
          <t>16:00:38</t>
        </is>
      </c>
      <c r="H1206" t="inlineStr">
        <is>
          <t>SELESAI</t>
        </is>
      </c>
      <c r="I1206" t="inlineStr">
        <is>
          <t>MK0008</t>
        </is>
      </c>
      <c r="J1206" t="inlineStr"/>
    </row>
    <row r="1207">
      <c r="A1207" t="inlineStr">
        <is>
          <t>22/06/2026</t>
        </is>
      </c>
      <c r="B1207" t="inlineStr">
        <is>
          <t>528000099</t>
        </is>
      </c>
      <c r="C1207" t="inlineStr">
        <is>
          <t>Siti Nurawaliah</t>
        </is>
      </c>
      <c r="D1207" t="inlineStr">
        <is>
          <t>PROD</t>
        </is>
      </c>
      <c r="E1207" t="inlineStr">
        <is>
          <t>Produksi Harian</t>
        </is>
      </c>
      <c r="F1207" t="inlineStr">
        <is>
          <t>13:40:38</t>
        </is>
      </c>
      <c r="G1207" t="inlineStr">
        <is>
          <t>22:03:57</t>
        </is>
      </c>
      <c r="H1207" t="inlineStr">
        <is>
          <t>SELESAI</t>
        </is>
      </c>
      <c r="I1207" t="inlineStr">
        <is>
          <t>MK00158</t>
        </is>
      </c>
      <c r="J1207" t="inlineStr"/>
    </row>
    <row r="1208">
      <c r="A1208" t="inlineStr">
        <is>
          <t>22/06/2026</t>
        </is>
      </c>
      <c r="B1208" t="inlineStr">
        <is>
          <t>528000132</t>
        </is>
      </c>
      <c r="C1208" t="inlineStr">
        <is>
          <t>Giopani</t>
        </is>
      </c>
      <c r="D1208" t="inlineStr">
        <is>
          <t>LOG</t>
        </is>
      </c>
      <c r="E1208" t="inlineStr">
        <is>
          <t>WRM Harian</t>
        </is>
      </c>
      <c r="F1208" t="inlineStr">
        <is>
          <t>15:58:31</t>
        </is>
      </c>
      <c r="G1208" t="inlineStr">
        <is>
          <t>00:01:27</t>
        </is>
      </c>
      <c r="H1208" t="inlineStr">
        <is>
          <t>SELESAI</t>
        </is>
      </c>
      <c r="I1208" t="inlineStr">
        <is>
          <t>MK00228</t>
        </is>
      </c>
      <c r="J1208" t="inlineStr"/>
    </row>
    <row r="1209">
      <c r="A1209" t="inlineStr">
        <is>
          <t>22/06/2026</t>
        </is>
      </c>
      <c r="B1209" t="inlineStr">
        <is>
          <t>528000144</t>
        </is>
      </c>
      <c r="C1209" t="inlineStr">
        <is>
          <t>Jodi Hanafi</t>
        </is>
      </c>
      <c r="D1209" t="inlineStr">
        <is>
          <t>LOG</t>
        </is>
      </c>
      <c r="E1209" t="inlineStr">
        <is>
          <t>WRM Harian</t>
        </is>
      </c>
      <c r="F1209" t="inlineStr">
        <is>
          <t>15:55:28</t>
        </is>
      </c>
      <c r="G1209" t="inlineStr">
        <is>
          <t>00:04:00</t>
        </is>
      </c>
      <c r="H1209" t="inlineStr">
        <is>
          <t>SELESAI</t>
        </is>
      </c>
      <c r="I1209" t="inlineStr">
        <is>
          <t>MK00093</t>
        </is>
      </c>
      <c r="J1209" t="inlineStr"/>
    </row>
    <row r="1210">
      <c r="A1210" t="inlineStr">
        <is>
          <t>22/06/2026</t>
        </is>
      </c>
      <c r="B1210" t="inlineStr">
        <is>
          <t>528000149</t>
        </is>
      </c>
      <c r="C1210" t="inlineStr">
        <is>
          <t>Tio Fernanda</t>
        </is>
      </c>
      <c r="D1210" t="inlineStr">
        <is>
          <t>LOG</t>
        </is>
      </c>
      <c r="E1210" t="inlineStr">
        <is>
          <t>WRM Harian</t>
        </is>
      </c>
      <c r="F1210" t="inlineStr">
        <is>
          <t>08:58:02</t>
        </is>
      </c>
      <c r="G1210" t="inlineStr">
        <is>
          <t>17:09:53</t>
        </is>
      </c>
      <c r="H1210" t="inlineStr">
        <is>
          <t>SELESAI</t>
        </is>
      </c>
      <c r="I1210" t="inlineStr">
        <is>
          <t>MK00212</t>
        </is>
      </c>
      <c r="J1210" t="inlineStr"/>
    </row>
    <row r="1211">
      <c r="A1211" t="inlineStr">
        <is>
          <t>22/06/2026</t>
        </is>
      </c>
      <c r="B1211" t="inlineStr">
        <is>
          <t>528000195</t>
        </is>
      </c>
      <c r="C1211" t="inlineStr">
        <is>
          <t>Rahma Sariwati</t>
        </is>
      </c>
      <c r="D1211" t="inlineStr">
        <is>
          <t>PROD</t>
        </is>
      </c>
      <c r="E1211" t="inlineStr">
        <is>
          <t>Produksi Harian</t>
        </is>
      </c>
      <c r="F1211" t="inlineStr">
        <is>
          <t>21:42:23</t>
        </is>
      </c>
      <c r="G1211" t="inlineStr">
        <is>
          <t>06:05:32</t>
        </is>
      </c>
      <c r="H1211" t="inlineStr">
        <is>
          <t>SELESAI</t>
        </is>
      </c>
      <c r="I1211" t="inlineStr">
        <is>
          <t>MK00148</t>
        </is>
      </c>
      <c r="J1211" t="inlineStr"/>
    </row>
    <row r="1212">
      <c r="A1212" t="inlineStr">
        <is>
          <t>22/06/2026</t>
        </is>
      </c>
      <c r="B1212" t="inlineStr">
        <is>
          <t>528000201</t>
        </is>
      </c>
      <c r="C1212" t="inlineStr">
        <is>
          <t>Zahwa Amelia Choerunissa</t>
        </is>
      </c>
      <c r="D1212" t="inlineStr">
        <is>
          <t>PROD</t>
        </is>
      </c>
      <c r="E1212" t="inlineStr">
        <is>
          <t>Produksi Harian</t>
        </is>
      </c>
      <c r="F1212" t="inlineStr">
        <is>
          <t>13:39:53</t>
        </is>
      </c>
      <c r="G1212" t="inlineStr">
        <is>
          <t>22:04:30</t>
        </is>
      </c>
      <c r="H1212" t="inlineStr">
        <is>
          <t>SELESAI</t>
        </is>
      </c>
      <c r="I1212" t="inlineStr">
        <is>
          <t>MK00116</t>
        </is>
      </c>
      <c r="J1212" t="inlineStr"/>
    </row>
    <row r="1213">
      <c r="A1213" t="inlineStr">
        <is>
          <t>22/06/2026</t>
        </is>
      </c>
      <c r="B1213" t="inlineStr">
        <is>
          <t>528000203</t>
        </is>
      </c>
      <c r="C1213" t="inlineStr">
        <is>
          <t>Yudha Ramdhan Putra</t>
        </is>
      </c>
      <c r="D1213" t="inlineStr">
        <is>
          <t>ENG</t>
        </is>
      </c>
      <c r="E1213" t="inlineStr">
        <is>
          <t>Engineering Harian</t>
        </is>
      </c>
      <c r="F1213" t="inlineStr">
        <is>
          <t>09:03:42</t>
        </is>
      </c>
      <c r="G1213" t="inlineStr">
        <is>
          <t>17:09:39</t>
        </is>
      </c>
      <c r="H1213" t="inlineStr">
        <is>
          <t>SELESAI</t>
        </is>
      </c>
      <c r="I1213" t="inlineStr">
        <is>
          <t>MK00185</t>
        </is>
      </c>
      <c r="J1213" t="inlineStr"/>
    </row>
    <row r="1214">
      <c r="A1214" t="inlineStr">
        <is>
          <t>22/06/2026</t>
        </is>
      </c>
      <c r="B1214" t="inlineStr">
        <is>
          <t>528000212</t>
        </is>
      </c>
      <c r="C1214" t="inlineStr">
        <is>
          <t>Rizal Fauzi</t>
        </is>
      </c>
      <c r="D1214" t="inlineStr">
        <is>
          <t>PROD</t>
        </is>
      </c>
      <c r="E1214" t="inlineStr">
        <is>
          <t>Produksi Harian</t>
        </is>
      </c>
      <c r="F1214" t="inlineStr">
        <is>
          <t>13:24:43</t>
        </is>
      </c>
      <c r="G1214" t="inlineStr">
        <is>
          <t>00:23:40</t>
        </is>
      </c>
      <c r="H1214" t="inlineStr">
        <is>
          <t>SELESAI</t>
        </is>
      </c>
      <c r="I1214" t="inlineStr">
        <is>
          <t>MK00055</t>
        </is>
      </c>
      <c r="J1214" t="inlineStr"/>
    </row>
    <row r="1215">
      <c r="A1215" t="inlineStr">
        <is>
          <t>22/06/2026</t>
        </is>
      </c>
      <c r="B1215" t="inlineStr">
        <is>
          <t>528000228</t>
        </is>
      </c>
      <c r="C1215" t="inlineStr">
        <is>
          <t>Banyu Resmi Putri</t>
        </is>
      </c>
      <c r="D1215" t="inlineStr">
        <is>
          <t>PROD</t>
        </is>
      </c>
      <c r="E1215" t="inlineStr">
        <is>
          <t>Produksi Harian</t>
        </is>
      </c>
      <c r="F1215" t="inlineStr">
        <is>
          <t>13:53:23</t>
        </is>
      </c>
      <c r="G1215" t="inlineStr">
        <is>
          <t>22:03:03</t>
        </is>
      </c>
      <c r="H1215" t="inlineStr">
        <is>
          <t>SELESAI</t>
        </is>
      </c>
      <c r="I1215" t="inlineStr">
        <is>
          <t>MK00138</t>
        </is>
      </c>
      <c r="J1215" t="inlineStr"/>
    </row>
    <row r="1216">
      <c r="A1216" t="inlineStr">
        <is>
          <t>22/06/2026</t>
        </is>
      </c>
      <c r="B1216" t="inlineStr">
        <is>
          <t>528000232</t>
        </is>
      </c>
      <c r="C1216" t="inlineStr">
        <is>
          <t>Agung Aji Suhada</t>
        </is>
      </c>
      <c r="D1216" t="inlineStr">
        <is>
          <t>LOG</t>
        </is>
      </c>
      <c r="E1216" t="inlineStr">
        <is>
          <t>WRM Harian</t>
        </is>
      </c>
      <c r="F1216" t="inlineStr">
        <is>
          <t>08:56:37</t>
        </is>
      </c>
      <c r="G1216" t="inlineStr">
        <is>
          <t>17:03:10</t>
        </is>
      </c>
      <c r="H1216" t="inlineStr">
        <is>
          <t>SELESAI</t>
        </is>
      </c>
      <c r="I1216" t="inlineStr">
        <is>
          <t>MK00046</t>
        </is>
      </c>
      <c r="J1216" t="inlineStr"/>
    </row>
    <row r="1217">
      <c r="A1217" t="inlineStr">
        <is>
          <t>22/06/2026</t>
        </is>
      </c>
      <c r="B1217" t="inlineStr">
        <is>
          <t>528000241</t>
        </is>
      </c>
      <c r="C1217" t="inlineStr">
        <is>
          <t>Balia Nurafif Bilah</t>
        </is>
      </c>
      <c r="D1217" t="inlineStr">
        <is>
          <t>PROD</t>
        </is>
      </c>
      <c r="E1217" t="inlineStr">
        <is>
          <t>Produksi Harian</t>
        </is>
      </c>
      <c r="F1217" t="inlineStr">
        <is>
          <t>13:50:53</t>
        </is>
      </c>
      <c r="G1217" t="inlineStr">
        <is>
          <t>22:04:34</t>
        </is>
      </c>
      <c r="H1217" t="inlineStr">
        <is>
          <t>SELESAI</t>
        </is>
      </c>
      <c r="I1217" t="inlineStr">
        <is>
          <t>MK00250</t>
        </is>
      </c>
      <c r="J1217" t="inlineStr"/>
    </row>
    <row r="1218">
      <c r="A1218" t="inlineStr">
        <is>
          <t>22/06/2026</t>
        </is>
      </c>
      <c r="B1218" t="inlineStr">
        <is>
          <t>528000244</t>
        </is>
      </c>
      <c r="C1218" t="inlineStr">
        <is>
          <t>Rodian Rifai</t>
        </is>
      </c>
      <c r="D1218" t="inlineStr">
        <is>
          <t>PROD</t>
        </is>
      </c>
      <c r="E1218" t="inlineStr">
        <is>
          <t>Produksi Harian</t>
        </is>
      </c>
      <c r="F1218" t="inlineStr">
        <is>
          <t>13:40:25</t>
        </is>
      </c>
      <c r="G1218" t="inlineStr">
        <is>
          <t>23:07:54</t>
        </is>
      </c>
      <c r="H1218" t="inlineStr">
        <is>
          <t>SELESAI</t>
        </is>
      </c>
      <c r="I1218" t="inlineStr">
        <is>
          <t>MK00136</t>
        </is>
      </c>
      <c r="J1218" t="inlineStr"/>
    </row>
    <row r="1219">
      <c r="A1219" t="inlineStr">
        <is>
          <t>22/06/2026</t>
        </is>
      </c>
      <c r="B1219" t="inlineStr">
        <is>
          <t>528000261</t>
        </is>
      </c>
      <c r="C1219" t="inlineStr">
        <is>
          <t>Ergi Ergianto</t>
        </is>
      </c>
      <c r="D1219" t="inlineStr">
        <is>
          <t>HRGA</t>
        </is>
      </c>
      <c r="E1219" t="inlineStr">
        <is>
          <t>GA Harian</t>
        </is>
      </c>
      <c r="F1219" t="inlineStr"/>
      <c r="G1219" t="inlineStr">
        <is>
          <t>06:05:54</t>
        </is>
      </c>
      <c r="H1219" t="inlineStr">
        <is>
          <t>KELUAR TANPA MASUK</t>
        </is>
      </c>
      <c r="I1219" t="inlineStr">
        <is>
          <t>MK00192</t>
        </is>
      </c>
      <c r="J1219" t="inlineStr"/>
    </row>
    <row r="1220">
      <c r="A1220" t="inlineStr">
        <is>
          <t>22/06/2026</t>
        </is>
      </c>
      <c r="B1220" t="inlineStr">
        <is>
          <t>528000262</t>
        </is>
      </c>
      <c r="C1220" t="inlineStr">
        <is>
          <t>Ndari Dwiwanti</t>
        </is>
      </c>
      <c r="D1220" t="inlineStr">
        <is>
          <t>PROD</t>
        </is>
      </c>
      <c r="E1220" t="inlineStr">
        <is>
          <t>Produksi Harian</t>
        </is>
      </c>
      <c r="F1220" t="inlineStr"/>
      <c r="G1220" t="inlineStr">
        <is>
          <t>06:05:45</t>
        </is>
      </c>
      <c r="H1220" t="inlineStr">
        <is>
          <t>KELUAR TANPA MASUK</t>
        </is>
      </c>
      <c r="I1220" t="inlineStr">
        <is>
          <t>MK00230</t>
        </is>
      </c>
      <c r="J1220" t="inlineStr"/>
    </row>
    <row r="1221">
      <c r="A1221" t="inlineStr">
        <is>
          <t>22/06/2026</t>
        </is>
      </c>
      <c r="B1221" t="inlineStr">
        <is>
          <t>528000265</t>
        </is>
      </c>
      <c r="C1221" t="inlineStr">
        <is>
          <t>Muhammad Haerul Rozikin</t>
        </is>
      </c>
      <c r="D1221" t="inlineStr">
        <is>
          <t>LOG</t>
        </is>
      </c>
      <c r="E1221" t="inlineStr">
        <is>
          <t>WRM Harian</t>
        </is>
      </c>
      <c r="F1221" t="inlineStr">
        <is>
          <t>07:54:11</t>
        </is>
      </c>
      <c r="G1221" t="inlineStr">
        <is>
          <t>16:04:35</t>
        </is>
      </c>
      <c r="H1221" t="inlineStr">
        <is>
          <t>SELESAI</t>
        </is>
      </c>
      <c r="I1221" t="inlineStr">
        <is>
          <t>MK00156</t>
        </is>
      </c>
      <c r="J1221" t="inlineStr"/>
    </row>
    <row r="1222">
      <c r="A1222" t="inlineStr">
        <is>
          <t>22/06/2026</t>
        </is>
      </c>
      <c r="B1222" t="inlineStr">
        <is>
          <t>528000266</t>
        </is>
      </c>
      <c r="C1222" t="inlineStr">
        <is>
          <t>M. Syirajatieq</t>
        </is>
      </c>
      <c r="D1222" t="inlineStr">
        <is>
          <t>LOG</t>
        </is>
      </c>
      <c r="E1222" t="inlineStr">
        <is>
          <t>WFG Harian</t>
        </is>
      </c>
      <c r="F1222" t="inlineStr">
        <is>
          <t>21:39:27</t>
        </is>
      </c>
      <c r="G1222" t="inlineStr">
        <is>
          <t>06:54:14</t>
        </is>
      </c>
      <c r="H1222" t="inlineStr">
        <is>
          <t>SELESAI</t>
        </is>
      </c>
      <c r="I1222" t="inlineStr">
        <is>
          <t>MK00208</t>
        </is>
      </c>
      <c r="J1222" t="inlineStr"/>
    </row>
    <row r="1223">
      <c r="A1223" t="inlineStr">
        <is>
          <t>22/06/2026</t>
        </is>
      </c>
      <c r="B1223" t="inlineStr">
        <is>
          <t>528000273</t>
        </is>
      </c>
      <c r="C1223" t="inlineStr">
        <is>
          <t>Asep Mulyana</t>
        </is>
      </c>
      <c r="D1223" t="inlineStr">
        <is>
          <t>PROD</t>
        </is>
      </c>
      <c r="E1223" t="inlineStr">
        <is>
          <t>Produksi Harian</t>
        </is>
      </c>
      <c r="F1223" t="inlineStr">
        <is>
          <t>07:17:40</t>
        </is>
      </c>
      <c r="G1223" t="inlineStr">
        <is>
          <t>16:01:27</t>
        </is>
      </c>
      <c r="H1223" t="inlineStr">
        <is>
          <t>SELESAI</t>
        </is>
      </c>
      <c r="I1223" t="inlineStr">
        <is>
          <t>MK00145</t>
        </is>
      </c>
      <c r="J1223" t="inlineStr"/>
    </row>
    <row r="1224">
      <c r="A1224" t="inlineStr">
        <is>
          <t>22/06/2026</t>
        </is>
      </c>
      <c r="B1224" t="inlineStr">
        <is>
          <t>528000279</t>
        </is>
      </c>
      <c r="C1224" t="inlineStr">
        <is>
          <t>Mahdalena Dalfa Riani</t>
        </is>
      </c>
      <c r="D1224" t="inlineStr">
        <is>
          <t>PROD</t>
        </is>
      </c>
      <c r="E1224" t="inlineStr">
        <is>
          <t>Produksi Harian</t>
        </is>
      </c>
      <c r="F1224" t="inlineStr">
        <is>
          <t>05:53:08</t>
        </is>
      </c>
      <c r="G1224" t="inlineStr">
        <is>
          <t>14:04:53</t>
        </is>
      </c>
      <c r="H1224" t="inlineStr">
        <is>
          <t>SELESAI</t>
        </is>
      </c>
      <c r="I1224" t="inlineStr">
        <is>
          <t>MK00228</t>
        </is>
      </c>
      <c r="J1224" t="inlineStr"/>
    </row>
    <row r="1225">
      <c r="A1225" t="inlineStr">
        <is>
          <t>22/06/2026</t>
        </is>
      </c>
      <c r="B1225" t="inlineStr">
        <is>
          <t>528000282</t>
        </is>
      </c>
      <c r="C1225" t="inlineStr">
        <is>
          <t>Defa Desfiana</t>
        </is>
      </c>
      <c r="D1225" t="inlineStr">
        <is>
          <t>PROD</t>
        </is>
      </c>
      <c r="E1225" t="inlineStr">
        <is>
          <t>Produksi Harian</t>
        </is>
      </c>
      <c r="F1225" t="inlineStr">
        <is>
          <t>07:33:05</t>
        </is>
      </c>
      <c r="G1225" t="inlineStr">
        <is>
          <t>16:01:22</t>
        </is>
      </c>
      <c r="H1225" t="inlineStr">
        <is>
          <t>SELESAI</t>
        </is>
      </c>
      <c r="I1225" t="inlineStr">
        <is>
          <t>MK00203</t>
        </is>
      </c>
      <c r="J1225" t="inlineStr">
        <is>
          <t>23b</t>
        </is>
      </c>
    </row>
    <row r="1226">
      <c r="A1226" t="inlineStr">
        <is>
          <t>22/06/2026</t>
        </is>
      </c>
      <c r="B1226" t="inlineStr">
        <is>
          <t>528000286</t>
        </is>
      </c>
      <c r="C1226" t="inlineStr">
        <is>
          <t>Imelda Amelia</t>
        </is>
      </c>
      <c r="D1226" t="inlineStr">
        <is>
          <t>PROD</t>
        </is>
      </c>
      <c r="E1226" t="inlineStr">
        <is>
          <t>Produksi Harian</t>
        </is>
      </c>
      <c r="F1226" t="inlineStr">
        <is>
          <t>13:40:38</t>
        </is>
      </c>
      <c r="G1226" t="inlineStr">
        <is>
          <t>22:05:29</t>
        </is>
      </c>
      <c r="H1226" t="inlineStr">
        <is>
          <t>SELESAI</t>
        </is>
      </c>
      <c r="I1226" t="inlineStr">
        <is>
          <t>MK00221</t>
        </is>
      </c>
      <c r="J1226" t="inlineStr"/>
    </row>
    <row r="1227">
      <c r="A1227" t="inlineStr">
        <is>
          <t>22/06/2026</t>
        </is>
      </c>
      <c r="B1227" t="inlineStr">
        <is>
          <t>528000287</t>
        </is>
      </c>
      <c r="C1227" t="inlineStr">
        <is>
          <t>Muhamad Angga Ramdani</t>
        </is>
      </c>
      <c r="D1227" t="inlineStr">
        <is>
          <t>PROD</t>
        </is>
      </c>
      <c r="E1227" t="inlineStr">
        <is>
          <t>Produksi Harian</t>
        </is>
      </c>
      <c r="F1227" t="inlineStr">
        <is>
          <t>07:50:00</t>
        </is>
      </c>
      <c r="G1227" t="inlineStr">
        <is>
          <t>16:06:51</t>
        </is>
      </c>
      <c r="H1227" t="inlineStr">
        <is>
          <t>SELESAI</t>
        </is>
      </c>
      <c r="I1227" t="inlineStr">
        <is>
          <t>MK00199</t>
        </is>
      </c>
      <c r="J1227" t="inlineStr"/>
    </row>
    <row r="1228">
      <c r="A1228" t="inlineStr">
        <is>
          <t>22/06/2026</t>
        </is>
      </c>
      <c r="B1228" t="inlineStr">
        <is>
          <t>528000290</t>
        </is>
      </c>
      <c r="C1228" t="inlineStr">
        <is>
          <t>Eval Pranata</t>
        </is>
      </c>
      <c r="D1228" t="inlineStr">
        <is>
          <t>PROD</t>
        </is>
      </c>
      <c r="E1228" t="inlineStr">
        <is>
          <t>Produksi Harian</t>
        </is>
      </c>
      <c r="F1228" t="inlineStr">
        <is>
          <t>13:54:09</t>
        </is>
      </c>
      <c r="G1228" t="inlineStr">
        <is>
          <t>22:05:41</t>
        </is>
      </c>
      <c r="H1228" t="inlineStr">
        <is>
          <t>SELESAI</t>
        </is>
      </c>
      <c r="I1228" t="inlineStr">
        <is>
          <t>MK00235</t>
        </is>
      </c>
      <c r="J1228" t="inlineStr"/>
    </row>
    <row r="1229">
      <c r="A1229" t="inlineStr">
        <is>
          <t>22/06/2026</t>
        </is>
      </c>
      <c r="B1229" t="inlineStr">
        <is>
          <t>528000291</t>
        </is>
      </c>
      <c r="C1229" t="inlineStr">
        <is>
          <t>Andrian</t>
        </is>
      </c>
      <c r="D1229" t="inlineStr">
        <is>
          <t>PROD</t>
        </is>
      </c>
      <c r="E1229" t="inlineStr">
        <is>
          <t>Produksi Harian</t>
        </is>
      </c>
      <c r="F1229" t="inlineStr">
        <is>
          <t>21:52:06</t>
        </is>
      </c>
      <c r="G1229" t="inlineStr">
        <is>
          <t>06:04:58</t>
        </is>
      </c>
      <c r="H1229" t="inlineStr">
        <is>
          <t>SELESAI</t>
        </is>
      </c>
      <c r="I1229" t="inlineStr">
        <is>
          <t>MK00199</t>
        </is>
      </c>
      <c r="J1229" t="inlineStr"/>
    </row>
    <row r="1230">
      <c r="A1230" t="inlineStr">
        <is>
          <t>22/06/2026</t>
        </is>
      </c>
      <c r="B1230" t="inlineStr">
        <is>
          <t>528000297</t>
        </is>
      </c>
      <c r="C1230" t="inlineStr">
        <is>
          <t>Muhamad Budiana</t>
        </is>
      </c>
      <c r="D1230" t="inlineStr">
        <is>
          <t>PROD</t>
        </is>
      </c>
      <c r="E1230" t="inlineStr">
        <is>
          <t>Produksi Harian</t>
        </is>
      </c>
      <c r="F1230" t="inlineStr">
        <is>
          <t>05:53:52</t>
        </is>
      </c>
      <c r="G1230" t="inlineStr">
        <is>
          <t>15:30:46</t>
        </is>
      </c>
      <c r="H1230" t="inlineStr">
        <is>
          <t>SELESAI</t>
        </is>
      </c>
      <c r="I1230" t="inlineStr">
        <is>
          <t>MK00109</t>
        </is>
      </c>
      <c r="J1230" t="inlineStr"/>
    </row>
    <row r="1231">
      <c r="A1231" t="inlineStr">
        <is>
          <t>22/06/2026</t>
        </is>
      </c>
      <c r="B1231" t="inlineStr">
        <is>
          <t>528000300</t>
        </is>
      </c>
      <c r="C1231" t="inlineStr">
        <is>
          <t>Lia pitaloka</t>
        </is>
      </c>
      <c r="D1231" t="inlineStr">
        <is>
          <t>PROD</t>
        </is>
      </c>
      <c r="E1231" t="inlineStr">
        <is>
          <t>Produksi Harian</t>
        </is>
      </c>
      <c r="F1231" t="inlineStr">
        <is>
          <t>05:56:27</t>
        </is>
      </c>
      <c r="G1231" t="inlineStr">
        <is>
          <t>14:10:48</t>
        </is>
      </c>
      <c r="H1231" t="inlineStr">
        <is>
          <t>SELESAI</t>
        </is>
      </c>
      <c r="I1231" t="inlineStr">
        <is>
          <t>MK00085</t>
        </is>
      </c>
      <c r="J1231" t="inlineStr"/>
    </row>
    <row r="1232">
      <c r="A1232" t="inlineStr">
        <is>
          <t>22/06/2026</t>
        </is>
      </c>
      <c r="B1232" t="inlineStr">
        <is>
          <t>528000305</t>
        </is>
      </c>
      <c r="C1232" t="inlineStr">
        <is>
          <t>Puji Puspita</t>
        </is>
      </c>
      <c r="D1232" t="inlineStr">
        <is>
          <t>PROD</t>
        </is>
      </c>
      <c r="E1232" t="inlineStr">
        <is>
          <t>Produksi Harian</t>
        </is>
      </c>
      <c r="F1232" t="inlineStr"/>
      <c r="G1232" t="inlineStr">
        <is>
          <t>05:55:05</t>
        </is>
      </c>
      <c r="H1232" t="inlineStr">
        <is>
          <t>KELUAR TANPA MASUK</t>
        </is>
      </c>
      <c r="I1232" t="inlineStr">
        <is>
          <t>MK00202</t>
        </is>
      </c>
      <c r="J1232" t="inlineStr"/>
    </row>
    <row r="1233">
      <c r="A1233" t="inlineStr">
        <is>
          <t>22/06/2026</t>
        </is>
      </c>
      <c r="B1233" t="inlineStr">
        <is>
          <t>528000306</t>
        </is>
      </c>
      <c r="C1233" t="inlineStr">
        <is>
          <t>Windy Olivia</t>
        </is>
      </c>
      <c r="D1233" t="inlineStr">
        <is>
          <t>PROD</t>
        </is>
      </c>
      <c r="E1233" t="inlineStr">
        <is>
          <t>Produksi Harian</t>
        </is>
      </c>
      <c r="F1233" t="inlineStr">
        <is>
          <t>21:38:25</t>
        </is>
      </c>
      <c r="G1233" t="inlineStr"/>
      <c r="H1233" t="inlineStr">
        <is>
          <t>DI DALAM</t>
        </is>
      </c>
      <c r="I1233" t="inlineStr">
        <is>
          <t>MK00141</t>
        </is>
      </c>
      <c r="J1233" t="inlineStr"/>
    </row>
    <row r="1234">
      <c r="A1234" t="inlineStr">
        <is>
          <t>22/06/2026</t>
        </is>
      </c>
      <c r="B1234" t="inlineStr">
        <is>
          <t>528000348</t>
        </is>
      </c>
      <c r="C1234" t="inlineStr">
        <is>
          <t>Saepuloh Ardiansah</t>
        </is>
      </c>
      <c r="D1234" t="inlineStr">
        <is>
          <t>LOG</t>
        </is>
      </c>
      <c r="E1234" t="inlineStr">
        <is>
          <t>WRM Harian</t>
        </is>
      </c>
      <c r="F1234" t="inlineStr">
        <is>
          <t>08:57:27</t>
        </is>
      </c>
      <c r="G1234" t="inlineStr">
        <is>
          <t>17:14:58</t>
        </is>
      </c>
      <c r="H1234" t="inlineStr">
        <is>
          <t>SELESAI</t>
        </is>
      </c>
      <c r="I1234" t="inlineStr">
        <is>
          <t>MK00205</t>
        </is>
      </c>
      <c r="J1234" t="inlineStr"/>
    </row>
    <row r="1235">
      <c r="A1235" t="inlineStr">
        <is>
          <t>22/06/2026</t>
        </is>
      </c>
      <c r="B1235" t="inlineStr">
        <is>
          <t>528000349</t>
        </is>
      </c>
      <c r="C1235" t="inlineStr">
        <is>
          <t>Anas Abdul Fatah</t>
        </is>
      </c>
      <c r="D1235" t="inlineStr">
        <is>
          <t>LOG</t>
        </is>
      </c>
      <c r="E1235" t="inlineStr">
        <is>
          <t>WFG Harian</t>
        </is>
      </c>
      <c r="F1235" t="inlineStr">
        <is>
          <t>07:51:44</t>
        </is>
      </c>
      <c r="G1235" t="inlineStr">
        <is>
          <t>16:15:39</t>
        </is>
      </c>
      <c r="H1235" t="inlineStr">
        <is>
          <t>SELESAI</t>
        </is>
      </c>
      <c r="I1235" t="inlineStr">
        <is>
          <t>MK00151</t>
        </is>
      </c>
      <c r="J1235" t="inlineStr"/>
    </row>
    <row r="1236">
      <c r="A1236" t="inlineStr">
        <is>
          <t>22/06/2026</t>
        </is>
      </c>
      <c r="B1236" t="inlineStr">
        <is>
          <t>528000351</t>
        </is>
      </c>
      <c r="C1236" t="inlineStr">
        <is>
          <t>Mulyana</t>
        </is>
      </c>
      <c r="D1236" t="inlineStr">
        <is>
          <t>PROD</t>
        </is>
      </c>
      <c r="E1236" t="inlineStr">
        <is>
          <t>Produksi Harian</t>
        </is>
      </c>
      <c r="F1236" t="inlineStr">
        <is>
          <t>07:55:39</t>
        </is>
      </c>
      <c r="G1236" t="inlineStr">
        <is>
          <t>16:00:16</t>
        </is>
      </c>
      <c r="H1236" t="inlineStr">
        <is>
          <t>SELESAI</t>
        </is>
      </c>
      <c r="I1236" t="inlineStr">
        <is>
          <t>MK00046</t>
        </is>
      </c>
      <c r="J1236" t="inlineStr"/>
    </row>
    <row r="1237">
      <c r="A1237" t="inlineStr">
        <is>
          <t>22/06/2026</t>
        </is>
      </c>
      <c r="B1237" t="inlineStr">
        <is>
          <t>528000358</t>
        </is>
      </c>
      <c r="C1237" t="inlineStr">
        <is>
          <t>Lulu Agustin</t>
        </is>
      </c>
      <c r="D1237" t="inlineStr">
        <is>
          <t>PROD</t>
        </is>
      </c>
      <c r="E1237" t="inlineStr">
        <is>
          <t>Produksi Harian</t>
        </is>
      </c>
      <c r="F1237" t="inlineStr"/>
      <c r="G1237" t="inlineStr">
        <is>
          <t>06:05:57</t>
        </is>
      </c>
      <c r="H1237" t="inlineStr">
        <is>
          <t>KELUAR TANPA MASUK</t>
        </is>
      </c>
      <c r="I1237" t="inlineStr">
        <is>
          <t>MK00082</t>
        </is>
      </c>
      <c r="J1237" t="inlineStr"/>
    </row>
    <row r="1238">
      <c r="A1238" t="inlineStr">
        <is>
          <t>22/06/2026</t>
        </is>
      </c>
      <c r="B1238" t="inlineStr">
        <is>
          <t>628000064</t>
        </is>
      </c>
      <c r="C1238" t="inlineStr">
        <is>
          <t>Silva Alypia</t>
        </is>
      </c>
      <c r="D1238" t="inlineStr">
        <is>
          <t>PROD</t>
        </is>
      </c>
      <c r="E1238" t="inlineStr">
        <is>
          <t>Produksi Borongan</t>
        </is>
      </c>
      <c r="F1238" t="inlineStr">
        <is>
          <t>05:48:28</t>
        </is>
      </c>
      <c r="G1238" t="inlineStr">
        <is>
          <t>14:09:05</t>
        </is>
      </c>
      <c r="H1238" t="inlineStr">
        <is>
          <t>SELESAI</t>
        </is>
      </c>
      <c r="I1238" t="inlineStr">
        <is>
          <t>MK00126</t>
        </is>
      </c>
      <c r="J1238" t="inlineStr"/>
    </row>
    <row r="1239">
      <c r="A1239" t="inlineStr">
        <is>
          <t>22/06/2026</t>
        </is>
      </c>
      <c r="B1239" t="inlineStr">
        <is>
          <t>628000091</t>
        </is>
      </c>
      <c r="C1239" t="inlineStr">
        <is>
          <t>Devita Handayani</t>
        </is>
      </c>
      <c r="D1239" t="inlineStr">
        <is>
          <t>PROD</t>
        </is>
      </c>
      <c r="E1239" t="inlineStr">
        <is>
          <t>Produksi Borongan</t>
        </is>
      </c>
      <c r="F1239" t="inlineStr"/>
      <c r="G1239" t="inlineStr">
        <is>
          <t>13:44:02</t>
        </is>
      </c>
      <c r="H1239" t="inlineStr">
        <is>
          <t>KELUAR TANPA MASUK</t>
        </is>
      </c>
      <c r="I1239" t="inlineStr">
        <is>
          <t>MK00250</t>
        </is>
      </c>
      <c r="J1239" t="inlineStr"/>
    </row>
    <row r="1240">
      <c r="A1240" t="inlineStr">
        <is>
          <t>23/06/2026</t>
        </is>
      </c>
      <c r="B1240" t="inlineStr">
        <is>
          <t>528000015</t>
        </is>
      </c>
      <c r="C1240" t="inlineStr">
        <is>
          <t>Erwin</t>
        </is>
      </c>
      <c r="D1240" t="inlineStr">
        <is>
          <t>LOG</t>
        </is>
      </c>
      <c r="E1240" t="inlineStr">
        <is>
          <t>WRM Harian</t>
        </is>
      </c>
      <c r="F1240" t="inlineStr">
        <is>
          <t>15:39:09</t>
        </is>
      </c>
      <c r="G1240" t="inlineStr">
        <is>
          <t>00:02:23</t>
        </is>
      </c>
      <c r="H1240" t="inlineStr">
        <is>
          <t>SELESAI</t>
        </is>
      </c>
      <c r="I1240" t="inlineStr">
        <is>
          <t>MK00172</t>
        </is>
      </c>
      <c r="J1240" t="inlineStr"/>
    </row>
    <row r="1241">
      <c r="A1241" t="inlineStr">
        <is>
          <t>23/06/2026</t>
        </is>
      </c>
      <c r="B1241" t="inlineStr">
        <is>
          <t>528000040</t>
        </is>
      </c>
      <c r="C1241" t="inlineStr">
        <is>
          <t>Agus Suryaman</t>
        </is>
      </c>
      <c r="D1241" t="inlineStr">
        <is>
          <t>PROD</t>
        </is>
      </c>
      <c r="E1241" t="inlineStr">
        <is>
          <t>Produksi Harian</t>
        </is>
      </c>
      <c r="F1241" t="inlineStr"/>
      <c r="G1241" t="inlineStr">
        <is>
          <t>21:42:09</t>
        </is>
      </c>
      <c r="H1241" t="inlineStr">
        <is>
          <t>KELUAR TANPA MASUK</t>
        </is>
      </c>
      <c r="I1241" t="inlineStr">
        <is>
          <t>MK00148</t>
        </is>
      </c>
      <c r="J1241" t="inlineStr"/>
    </row>
    <row r="1242">
      <c r="A1242" t="inlineStr">
        <is>
          <t>23/06/2026</t>
        </is>
      </c>
      <c r="B1242" t="inlineStr">
        <is>
          <t>528000055</t>
        </is>
      </c>
      <c r="C1242" t="inlineStr">
        <is>
          <t>Dika Prasetya</t>
        </is>
      </c>
      <c r="D1242" t="inlineStr">
        <is>
          <t>LOG</t>
        </is>
      </c>
      <c r="E1242" t="inlineStr">
        <is>
          <t>WRM Harian</t>
        </is>
      </c>
      <c r="F1242" t="inlineStr">
        <is>
          <t>08:00:29</t>
        </is>
      </c>
      <c r="G1242" t="inlineStr">
        <is>
          <t>16:00:51</t>
        </is>
      </c>
      <c r="H1242" t="inlineStr">
        <is>
          <t>SELESAI</t>
        </is>
      </c>
      <c r="I1242" t="inlineStr">
        <is>
          <t>MK00250</t>
        </is>
      </c>
      <c r="J1242" t="inlineStr"/>
    </row>
    <row r="1243">
      <c r="A1243" t="inlineStr">
        <is>
          <t>23/06/2026</t>
        </is>
      </c>
      <c r="B1243" t="inlineStr">
        <is>
          <t>528000069</t>
        </is>
      </c>
      <c r="C1243" t="inlineStr">
        <is>
          <t>Jajang Ardiansyah</t>
        </is>
      </c>
      <c r="D1243" t="inlineStr">
        <is>
          <t>PROD</t>
        </is>
      </c>
      <c r="E1243" t="inlineStr">
        <is>
          <t>Produksi Harian</t>
        </is>
      </c>
      <c r="F1243" t="inlineStr">
        <is>
          <t>07:35:52</t>
        </is>
      </c>
      <c r="G1243" t="inlineStr">
        <is>
          <t>16:30:36</t>
        </is>
      </c>
      <c r="H1243" t="inlineStr">
        <is>
          <t>SELESAI</t>
        </is>
      </c>
      <c r="I1243" t="inlineStr">
        <is>
          <t>MK00230</t>
        </is>
      </c>
      <c r="J1243" t="inlineStr"/>
    </row>
    <row r="1244">
      <c r="A1244" t="inlineStr">
        <is>
          <t>23/06/2026</t>
        </is>
      </c>
      <c r="B1244" t="inlineStr">
        <is>
          <t>528000099</t>
        </is>
      </c>
      <c r="C1244" t="inlineStr">
        <is>
          <t>Siti Nurawaliah</t>
        </is>
      </c>
      <c r="D1244" t="inlineStr">
        <is>
          <t>PROD</t>
        </is>
      </c>
      <c r="E1244" t="inlineStr">
        <is>
          <t>Produksi Harian</t>
        </is>
      </c>
      <c r="F1244" t="inlineStr">
        <is>
          <t>13:39:50</t>
        </is>
      </c>
      <c r="G1244" t="inlineStr">
        <is>
          <t>22:05:52</t>
        </is>
      </c>
      <c r="H1244" t="inlineStr">
        <is>
          <t>SELESAI</t>
        </is>
      </c>
      <c r="I1244" t="inlineStr">
        <is>
          <t>MK00192</t>
        </is>
      </c>
      <c r="J1244" t="inlineStr"/>
    </row>
    <row r="1245">
      <c r="A1245" t="inlineStr">
        <is>
          <t>23/06/2026</t>
        </is>
      </c>
      <c r="B1245" t="inlineStr">
        <is>
          <t>528000132</t>
        </is>
      </c>
      <c r="C1245" t="inlineStr">
        <is>
          <t>Giopani</t>
        </is>
      </c>
      <c r="D1245" t="inlineStr">
        <is>
          <t>LOG</t>
        </is>
      </c>
      <c r="E1245" t="inlineStr">
        <is>
          <t>WRM Harian</t>
        </is>
      </c>
      <c r="F1245" t="inlineStr">
        <is>
          <t>15:47:19</t>
        </is>
      </c>
      <c r="G1245" t="inlineStr"/>
      <c r="H1245" t="inlineStr">
        <is>
          <t>DI DALAM</t>
        </is>
      </c>
      <c r="I1245" t="inlineStr">
        <is>
          <t>MK00228</t>
        </is>
      </c>
      <c r="J1245" t="inlineStr"/>
    </row>
    <row r="1246">
      <c r="A1246" t="inlineStr">
        <is>
          <t>23/06/2026</t>
        </is>
      </c>
      <c r="B1246" t="inlineStr">
        <is>
          <t>528000144</t>
        </is>
      </c>
      <c r="C1246" t="inlineStr">
        <is>
          <t>Jodi Hanafi</t>
        </is>
      </c>
      <c r="D1246" t="inlineStr">
        <is>
          <t>LOG</t>
        </is>
      </c>
      <c r="E1246" t="inlineStr">
        <is>
          <t>WRM Harian</t>
        </is>
      </c>
      <c r="F1246" t="inlineStr">
        <is>
          <t>15:48:46</t>
        </is>
      </c>
      <c r="G1246" t="inlineStr">
        <is>
          <t>00:10:51</t>
        </is>
      </c>
      <c r="H1246" t="inlineStr">
        <is>
          <t>SELESAI</t>
        </is>
      </c>
      <c r="I1246" t="inlineStr">
        <is>
          <t>MK00088</t>
        </is>
      </c>
      <c r="J1246" t="inlineStr"/>
    </row>
    <row r="1247">
      <c r="A1247" t="inlineStr">
        <is>
          <t>23/06/2026</t>
        </is>
      </c>
      <c r="B1247" t="inlineStr">
        <is>
          <t>528000149</t>
        </is>
      </c>
      <c r="C1247" t="inlineStr">
        <is>
          <t>Tio Fernanda</t>
        </is>
      </c>
      <c r="D1247" t="inlineStr">
        <is>
          <t>LOG</t>
        </is>
      </c>
      <c r="E1247" t="inlineStr">
        <is>
          <t>WRM Harian</t>
        </is>
      </c>
      <c r="F1247" t="inlineStr">
        <is>
          <t>08:59:08</t>
        </is>
      </c>
      <c r="G1247" t="inlineStr">
        <is>
          <t>17:27:37</t>
        </is>
      </c>
      <c r="H1247" t="inlineStr">
        <is>
          <t>SELESAI</t>
        </is>
      </c>
      <c r="I1247" t="inlineStr">
        <is>
          <t>MK00212</t>
        </is>
      </c>
      <c r="J1247" t="inlineStr"/>
    </row>
    <row r="1248">
      <c r="A1248" t="inlineStr">
        <is>
          <t>23/06/2026</t>
        </is>
      </c>
      <c r="B1248" t="inlineStr">
        <is>
          <t>528000195</t>
        </is>
      </c>
      <c r="C1248" t="inlineStr">
        <is>
          <t>Rahma Sariwati</t>
        </is>
      </c>
      <c r="D1248" t="inlineStr">
        <is>
          <t>PROD</t>
        </is>
      </c>
      <c r="E1248" t="inlineStr">
        <is>
          <t>Produksi Harian</t>
        </is>
      </c>
      <c r="F1248" t="inlineStr"/>
      <c r="G1248" t="inlineStr">
        <is>
          <t>06:05:07</t>
        </is>
      </c>
      <c r="H1248" t="inlineStr">
        <is>
          <t>KELUAR TANPA MASUK</t>
        </is>
      </c>
      <c r="I1248" t="inlineStr">
        <is>
          <t>MK00148</t>
        </is>
      </c>
      <c r="J1248" t="inlineStr"/>
    </row>
    <row r="1249">
      <c r="A1249" t="inlineStr">
        <is>
          <t>23/06/2026</t>
        </is>
      </c>
      <c r="B1249" t="inlineStr">
        <is>
          <t>528000201</t>
        </is>
      </c>
      <c r="C1249" t="inlineStr">
        <is>
          <t>Zahwa Amelia Choerunissa</t>
        </is>
      </c>
      <c r="D1249" t="inlineStr">
        <is>
          <t>PROD</t>
        </is>
      </c>
      <c r="E1249" t="inlineStr">
        <is>
          <t>Produksi Harian</t>
        </is>
      </c>
      <c r="F1249" t="inlineStr">
        <is>
          <t>13:39:17</t>
        </is>
      </c>
      <c r="G1249" t="inlineStr">
        <is>
          <t>22:04:53</t>
        </is>
      </c>
      <c r="H1249" t="inlineStr">
        <is>
          <t>SELESAI</t>
        </is>
      </c>
      <c r="I1249" t="inlineStr">
        <is>
          <t>MK00109</t>
        </is>
      </c>
      <c r="J1249" t="inlineStr"/>
    </row>
    <row r="1250">
      <c r="A1250" t="inlineStr">
        <is>
          <t>23/06/2026</t>
        </is>
      </c>
      <c r="B1250" t="inlineStr">
        <is>
          <t>528000203</t>
        </is>
      </c>
      <c r="C1250" t="inlineStr">
        <is>
          <t>Yudha Ramdhan Putra</t>
        </is>
      </c>
      <c r="D1250" t="inlineStr">
        <is>
          <t>ENG</t>
        </is>
      </c>
      <c r="E1250" t="inlineStr">
        <is>
          <t>Engineering Harian</t>
        </is>
      </c>
      <c r="F1250" t="inlineStr">
        <is>
          <t>09:03:46</t>
        </is>
      </c>
      <c r="G1250" t="inlineStr">
        <is>
          <t>17:01:38</t>
        </is>
      </c>
      <c r="H1250" t="inlineStr">
        <is>
          <t>SELESAI</t>
        </is>
      </c>
      <c r="I1250" t="inlineStr">
        <is>
          <t>MK00090</t>
        </is>
      </c>
      <c r="J1250" t="inlineStr"/>
    </row>
    <row r="1251">
      <c r="A1251" t="inlineStr">
        <is>
          <t>23/06/2026</t>
        </is>
      </c>
      <c r="B1251" t="inlineStr">
        <is>
          <t>528000212</t>
        </is>
      </c>
      <c r="C1251" t="inlineStr">
        <is>
          <t>Rizal Fauzi</t>
        </is>
      </c>
      <c r="D1251" t="inlineStr">
        <is>
          <t>PROD</t>
        </is>
      </c>
      <c r="E1251" t="inlineStr">
        <is>
          <t>Produksi Harian</t>
        </is>
      </c>
      <c r="F1251" t="inlineStr">
        <is>
          <t>13:26:40</t>
        </is>
      </c>
      <c r="G1251" t="inlineStr"/>
      <c r="H1251" t="inlineStr">
        <is>
          <t>DI DALAM</t>
        </is>
      </c>
      <c r="I1251" t="inlineStr">
        <is>
          <t>MK00055</t>
        </is>
      </c>
      <c r="J1251" t="inlineStr"/>
    </row>
    <row r="1252">
      <c r="A1252" t="inlineStr">
        <is>
          <t>23/06/2026</t>
        </is>
      </c>
      <c r="B1252" t="inlineStr">
        <is>
          <t>528000228</t>
        </is>
      </c>
      <c r="C1252" t="inlineStr">
        <is>
          <t>Banyu Resmi Putri</t>
        </is>
      </c>
      <c r="D1252" t="inlineStr">
        <is>
          <t>PROD</t>
        </is>
      </c>
      <c r="E1252" t="inlineStr">
        <is>
          <t>Produksi Harian</t>
        </is>
      </c>
      <c r="F1252" t="inlineStr">
        <is>
          <t>13:54:15</t>
        </is>
      </c>
      <c r="G1252" t="inlineStr">
        <is>
          <t>22:03:38</t>
        </is>
      </c>
      <c r="H1252" t="inlineStr">
        <is>
          <t>SELESAI</t>
        </is>
      </c>
      <c r="I1252" t="inlineStr">
        <is>
          <t>MK00095</t>
        </is>
      </c>
      <c r="J1252" t="inlineStr"/>
    </row>
    <row r="1253">
      <c r="A1253" t="inlineStr">
        <is>
          <t>23/06/2026</t>
        </is>
      </c>
      <c r="B1253" t="inlineStr">
        <is>
          <t>528000232</t>
        </is>
      </c>
      <c r="C1253" t="inlineStr">
        <is>
          <t>Agung Aji Suhada</t>
        </is>
      </c>
      <c r="D1253" t="inlineStr">
        <is>
          <t>LOG</t>
        </is>
      </c>
      <c r="E1253" t="inlineStr">
        <is>
          <t>WRM Harian</t>
        </is>
      </c>
      <c r="F1253" t="inlineStr">
        <is>
          <t>08:58:05</t>
        </is>
      </c>
      <c r="G1253" t="inlineStr">
        <is>
          <t>17:07:31</t>
        </is>
      </c>
      <c r="H1253" t="inlineStr">
        <is>
          <t>SELESAI</t>
        </is>
      </c>
      <c r="I1253" t="inlineStr">
        <is>
          <t>MK00046</t>
        </is>
      </c>
      <c r="J1253" t="inlineStr"/>
    </row>
    <row r="1254">
      <c r="A1254" t="inlineStr">
        <is>
          <t>23/06/2026</t>
        </is>
      </c>
      <c r="B1254" t="inlineStr">
        <is>
          <t>528000241</t>
        </is>
      </c>
      <c r="C1254" t="inlineStr">
        <is>
          <t>Balia Nurafif Bilah</t>
        </is>
      </c>
      <c r="D1254" t="inlineStr">
        <is>
          <t>PROD</t>
        </is>
      </c>
      <c r="E1254" t="inlineStr">
        <is>
          <t>Produksi Harian</t>
        </is>
      </c>
      <c r="F1254" t="inlineStr">
        <is>
          <t>13:49:16</t>
        </is>
      </c>
      <c r="G1254" t="inlineStr">
        <is>
          <t>22:02:14</t>
        </is>
      </c>
      <c r="H1254" t="inlineStr">
        <is>
          <t>SELESAI</t>
        </is>
      </c>
      <c r="I1254" t="inlineStr">
        <is>
          <t>MK00150</t>
        </is>
      </c>
      <c r="J1254" t="inlineStr"/>
    </row>
    <row r="1255">
      <c r="A1255" t="inlineStr">
        <is>
          <t>23/06/2026</t>
        </is>
      </c>
      <c r="B1255" t="inlineStr">
        <is>
          <t>528000244</t>
        </is>
      </c>
      <c r="C1255" t="inlineStr">
        <is>
          <t>Rodian Rifai</t>
        </is>
      </c>
      <c r="D1255" t="inlineStr">
        <is>
          <t>PROD</t>
        </is>
      </c>
      <c r="E1255" t="inlineStr">
        <is>
          <t>Produksi Harian</t>
        </is>
      </c>
      <c r="F1255" t="inlineStr">
        <is>
          <t>13:40:14</t>
        </is>
      </c>
      <c r="G1255" t="inlineStr">
        <is>
          <t>23:14:44</t>
        </is>
      </c>
      <c r="H1255" t="inlineStr">
        <is>
          <t>SELESAI</t>
        </is>
      </c>
      <c r="I1255" t="inlineStr">
        <is>
          <t>MK00145</t>
        </is>
      </c>
      <c r="J1255" t="inlineStr"/>
    </row>
    <row r="1256">
      <c r="A1256" t="inlineStr">
        <is>
          <t>23/06/2026</t>
        </is>
      </c>
      <c r="B1256" t="inlineStr">
        <is>
          <t>528000265</t>
        </is>
      </c>
      <c r="C1256" t="inlineStr">
        <is>
          <t>Muhammad Haerul Rozikin</t>
        </is>
      </c>
      <c r="D1256" t="inlineStr">
        <is>
          <t>LOG</t>
        </is>
      </c>
      <c r="E1256" t="inlineStr">
        <is>
          <t>WRM Harian</t>
        </is>
      </c>
      <c r="F1256" t="inlineStr">
        <is>
          <t>07:48:56</t>
        </is>
      </c>
      <c r="G1256" t="inlineStr">
        <is>
          <t>16:01:58</t>
        </is>
      </c>
      <c r="H1256" t="inlineStr">
        <is>
          <t>SELESAI</t>
        </is>
      </c>
      <c r="I1256" t="inlineStr">
        <is>
          <t>MK00185</t>
        </is>
      </c>
      <c r="J1256" t="inlineStr"/>
    </row>
    <row r="1257">
      <c r="A1257" t="inlineStr">
        <is>
          <t>23/06/2026</t>
        </is>
      </c>
      <c r="B1257" t="inlineStr">
        <is>
          <t>528000266</t>
        </is>
      </c>
      <c r="C1257" t="inlineStr">
        <is>
          <t>M. Syirajatieq</t>
        </is>
      </c>
      <c r="D1257" t="inlineStr">
        <is>
          <t>LOG</t>
        </is>
      </c>
      <c r="E1257" t="inlineStr">
        <is>
          <t>WFG Harian</t>
        </is>
      </c>
      <c r="F1257" t="inlineStr"/>
      <c r="G1257" t="inlineStr">
        <is>
          <t>07:12:46</t>
        </is>
      </c>
      <c r="H1257" t="inlineStr">
        <is>
          <t>KELUAR TANPA MASUK</t>
        </is>
      </c>
      <c r="I1257" t="inlineStr">
        <is>
          <t>MK00208</t>
        </is>
      </c>
      <c r="J1257" t="inlineStr"/>
    </row>
    <row r="1258">
      <c r="A1258" t="inlineStr">
        <is>
          <t>23/06/2026</t>
        </is>
      </c>
      <c r="B1258" t="inlineStr">
        <is>
          <t>528000270</t>
        </is>
      </c>
      <c r="C1258" t="inlineStr">
        <is>
          <t>Febri Najmudin</t>
        </is>
      </c>
      <c r="D1258" t="inlineStr">
        <is>
          <t>LOG</t>
        </is>
      </c>
      <c r="E1258" t="inlineStr">
        <is>
          <t>WRM Harian</t>
        </is>
      </c>
      <c r="F1258" t="inlineStr">
        <is>
          <t>21:47:12</t>
        </is>
      </c>
      <c r="G1258" t="inlineStr"/>
      <c r="H1258" t="inlineStr">
        <is>
          <t>DI DALAM</t>
        </is>
      </c>
      <c r="I1258" t="inlineStr">
        <is>
          <t>MK00151</t>
        </is>
      </c>
      <c r="J1258" t="inlineStr"/>
    </row>
    <row r="1259">
      <c r="A1259" t="inlineStr">
        <is>
          <t>23/06/2026</t>
        </is>
      </c>
      <c r="B1259" t="inlineStr">
        <is>
          <t>528000273</t>
        </is>
      </c>
      <c r="C1259" t="inlineStr">
        <is>
          <t>Asep Mulyana</t>
        </is>
      </c>
      <c r="D1259" t="inlineStr">
        <is>
          <t>PROD</t>
        </is>
      </c>
      <c r="E1259" t="inlineStr">
        <is>
          <t>Produksi Harian</t>
        </is>
      </c>
      <c r="F1259" t="inlineStr">
        <is>
          <t>07:59:58</t>
        </is>
      </c>
      <c r="G1259" t="inlineStr">
        <is>
          <t>16:01:45</t>
        </is>
      </c>
      <c r="H1259" t="inlineStr">
        <is>
          <t>SELESAI</t>
        </is>
      </c>
      <c r="I1259" t="inlineStr">
        <is>
          <t>MK00235</t>
        </is>
      </c>
      <c r="J1259" t="inlineStr"/>
    </row>
    <row r="1260">
      <c r="A1260" t="inlineStr">
        <is>
          <t>23/06/2026</t>
        </is>
      </c>
      <c r="B1260" t="inlineStr">
        <is>
          <t>528000274</t>
        </is>
      </c>
      <c r="C1260" t="inlineStr">
        <is>
          <t>Zepri</t>
        </is>
      </c>
      <c r="D1260" t="inlineStr">
        <is>
          <t>PROD</t>
        </is>
      </c>
      <c r="E1260" t="inlineStr">
        <is>
          <t>Produksi Harian</t>
        </is>
      </c>
      <c r="F1260" t="inlineStr">
        <is>
          <t>13:57:56</t>
        </is>
      </c>
      <c r="G1260" t="inlineStr">
        <is>
          <t>22:04:08</t>
        </is>
      </c>
      <c r="H1260" t="inlineStr">
        <is>
          <t>SELESAI</t>
        </is>
      </c>
      <c r="I1260" t="inlineStr">
        <is>
          <t>MK00209</t>
        </is>
      </c>
      <c r="J1260" t="inlineStr"/>
    </row>
    <row r="1261">
      <c r="A1261" t="inlineStr">
        <is>
          <t>23/06/2026</t>
        </is>
      </c>
      <c r="B1261" t="inlineStr">
        <is>
          <t>528000279</t>
        </is>
      </c>
      <c r="C1261" t="inlineStr">
        <is>
          <t>Mahdalena Dalfa Riani</t>
        </is>
      </c>
      <c r="D1261" t="inlineStr">
        <is>
          <t>PROD</t>
        </is>
      </c>
      <c r="E1261" t="inlineStr">
        <is>
          <t>Produksi Harian</t>
        </is>
      </c>
      <c r="F1261" t="inlineStr">
        <is>
          <t>05:55:39</t>
        </is>
      </c>
      <c r="G1261" t="inlineStr">
        <is>
          <t>14:04:33</t>
        </is>
      </c>
      <c r="H1261" t="inlineStr">
        <is>
          <t>SELESAI</t>
        </is>
      </c>
      <c r="I1261" t="inlineStr">
        <is>
          <t>MK00202</t>
        </is>
      </c>
      <c r="J1261" t="inlineStr"/>
    </row>
    <row r="1262">
      <c r="A1262" t="inlineStr">
        <is>
          <t>23/06/2026</t>
        </is>
      </c>
      <c r="B1262" t="inlineStr">
        <is>
          <t>528000282</t>
        </is>
      </c>
      <c r="C1262" t="inlineStr">
        <is>
          <t>Defa Desfiana</t>
        </is>
      </c>
      <c r="D1262" t="inlineStr">
        <is>
          <t>PROD</t>
        </is>
      </c>
      <c r="E1262" t="inlineStr">
        <is>
          <t>Produksi Harian</t>
        </is>
      </c>
      <c r="F1262" t="inlineStr">
        <is>
          <t>07:34:24</t>
        </is>
      </c>
      <c r="G1262" t="inlineStr">
        <is>
          <t>16:01:38</t>
        </is>
      </c>
      <c r="H1262" t="inlineStr">
        <is>
          <t>SELESAI</t>
        </is>
      </c>
      <c r="I1262" t="inlineStr">
        <is>
          <t>MK00208</t>
        </is>
      </c>
      <c r="J1262" t="inlineStr">
        <is>
          <t>23b</t>
        </is>
      </c>
    </row>
    <row r="1263">
      <c r="A1263" t="inlineStr">
        <is>
          <t>23/06/2026</t>
        </is>
      </c>
      <c r="B1263" t="inlineStr">
        <is>
          <t>528000286</t>
        </is>
      </c>
      <c r="C1263" t="inlineStr">
        <is>
          <t>Imelda Amelia</t>
        </is>
      </c>
      <c r="D1263" t="inlineStr">
        <is>
          <t>PROD</t>
        </is>
      </c>
      <c r="E1263" t="inlineStr">
        <is>
          <t>Produksi Harian</t>
        </is>
      </c>
      <c r="F1263" t="inlineStr">
        <is>
          <t>13:41:44</t>
        </is>
      </c>
      <c r="G1263" t="inlineStr">
        <is>
          <t>22:05:24</t>
        </is>
      </c>
      <c r="H1263" t="inlineStr">
        <is>
          <t>SELESAI</t>
        </is>
      </c>
      <c r="I1263" t="inlineStr">
        <is>
          <t>MK00203</t>
        </is>
      </c>
      <c r="J1263" t="inlineStr"/>
    </row>
    <row r="1264">
      <c r="A1264" t="inlineStr">
        <is>
          <t>23/06/2026</t>
        </is>
      </c>
      <c r="B1264" t="inlineStr">
        <is>
          <t>528000287</t>
        </is>
      </c>
      <c r="C1264" t="inlineStr">
        <is>
          <t>Muhamad Angga Ramdani</t>
        </is>
      </c>
      <c r="D1264" t="inlineStr">
        <is>
          <t>PROD</t>
        </is>
      </c>
      <c r="E1264" t="inlineStr">
        <is>
          <t>Produksi Harian</t>
        </is>
      </c>
      <c r="F1264" t="inlineStr">
        <is>
          <t>07:55:23</t>
        </is>
      </c>
      <c r="G1264" t="inlineStr">
        <is>
          <t>16:06:50</t>
        </is>
      </c>
      <c r="H1264" t="inlineStr">
        <is>
          <t>SELESAI</t>
        </is>
      </c>
      <c r="I1264" t="inlineStr">
        <is>
          <t>MK00082</t>
        </is>
      </c>
      <c r="J1264" t="inlineStr"/>
    </row>
    <row r="1265">
      <c r="A1265" t="inlineStr">
        <is>
          <t>23/06/2026</t>
        </is>
      </c>
      <c r="B1265" t="inlineStr">
        <is>
          <t>528000290</t>
        </is>
      </c>
      <c r="C1265" t="inlineStr">
        <is>
          <t>Eval Pranata</t>
        </is>
      </c>
      <c r="D1265" t="inlineStr">
        <is>
          <t>PROD</t>
        </is>
      </c>
      <c r="E1265" t="inlineStr">
        <is>
          <t>Produksi Harian</t>
        </is>
      </c>
      <c r="F1265" t="inlineStr">
        <is>
          <t>13:56:35</t>
        </is>
      </c>
      <c r="G1265" t="inlineStr">
        <is>
          <t>22:05:56</t>
        </is>
      </c>
      <c r="H1265" t="inlineStr">
        <is>
          <t>SELESAI</t>
        </is>
      </c>
      <c r="I1265" t="inlineStr">
        <is>
          <t>MK00154</t>
        </is>
      </c>
      <c r="J1265" t="inlineStr"/>
    </row>
    <row r="1266">
      <c r="A1266" t="inlineStr">
        <is>
          <t>23/06/2026</t>
        </is>
      </c>
      <c r="B1266" t="inlineStr">
        <is>
          <t>528000291</t>
        </is>
      </c>
      <c r="C1266" t="inlineStr">
        <is>
          <t>Andrian</t>
        </is>
      </c>
      <c r="D1266" t="inlineStr">
        <is>
          <t>PROD</t>
        </is>
      </c>
      <c r="E1266" t="inlineStr">
        <is>
          <t>Produksi Harian</t>
        </is>
      </c>
      <c r="F1266" t="inlineStr"/>
      <c r="G1266" t="inlineStr">
        <is>
          <t>06:02:42</t>
        </is>
      </c>
      <c r="H1266" t="inlineStr">
        <is>
          <t>KELUAR TANPA MASUK</t>
        </is>
      </c>
      <c r="I1266" t="inlineStr">
        <is>
          <t>MK00199</t>
        </is>
      </c>
      <c r="J1266" t="inlineStr"/>
    </row>
    <row r="1267">
      <c r="A1267" t="inlineStr">
        <is>
          <t>23/06/2026</t>
        </is>
      </c>
      <c r="B1267" t="inlineStr">
        <is>
          <t>528000292</t>
        </is>
      </c>
      <c r="C1267" t="inlineStr">
        <is>
          <t>Aditia Nugraha</t>
        </is>
      </c>
      <c r="D1267" t="inlineStr">
        <is>
          <t>PROD</t>
        </is>
      </c>
      <c r="E1267" t="inlineStr">
        <is>
          <t>Produksi Harian</t>
        </is>
      </c>
      <c r="F1267" t="inlineStr">
        <is>
          <t>07:08:59</t>
        </is>
      </c>
      <c r="G1267" t="inlineStr">
        <is>
          <t>15:14:27</t>
        </is>
      </c>
      <c r="H1267" t="inlineStr">
        <is>
          <t>SELESAI</t>
        </is>
      </c>
      <c r="I1267" t="inlineStr">
        <is>
          <t>MK00207</t>
        </is>
      </c>
      <c r="J1267" t="inlineStr"/>
    </row>
    <row r="1268">
      <c r="A1268" t="inlineStr">
        <is>
          <t>23/06/2026</t>
        </is>
      </c>
      <c r="B1268" t="inlineStr">
        <is>
          <t>528000297</t>
        </is>
      </c>
      <c r="C1268" t="inlineStr">
        <is>
          <t>Muhamad Budiana</t>
        </is>
      </c>
      <c r="D1268" t="inlineStr">
        <is>
          <t>PROD</t>
        </is>
      </c>
      <c r="E1268" t="inlineStr">
        <is>
          <t>Produksi Harian</t>
        </is>
      </c>
      <c r="F1268" t="inlineStr">
        <is>
          <t>05:50:52</t>
        </is>
      </c>
      <c r="G1268" t="inlineStr">
        <is>
          <t>14:48:19</t>
        </is>
      </c>
      <c r="H1268" t="inlineStr">
        <is>
          <t>SELESAI</t>
        </is>
      </c>
      <c r="I1268" t="inlineStr">
        <is>
          <t>MK00088</t>
        </is>
      </c>
      <c r="J1268" t="inlineStr"/>
    </row>
    <row r="1269">
      <c r="A1269" t="inlineStr">
        <is>
          <t>23/06/2026</t>
        </is>
      </c>
      <c r="B1269" t="inlineStr">
        <is>
          <t>528000298</t>
        </is>
      </c>
      <c r="C1269" t="inlineStr">
        <is>
          <t>Desta Cahaya Pratama</t>
        </is>
      </c>
      <c r="D1269" t="inlineStr">
        <is>
          <t>PROD</t>
        </is>
      </c>
      <c r="E1269" t="inlineStr">
        <is>
          <t>Produksi Harian</t>
        </is>
      </c>
      <c r="F1269" t="inlineStr"/>
      <c r="G1269" t="inlineStr">
        <is>
          <t>17:03:17</t>
        </is>
      </c>
      <c r="H1269" t="inlineStr">
        <is>
          <t>KELUAR TANPA MASUK</t>
        </is>
      </c>
      <c r="I1269" t="inlineStr">
        <is>
          <t>MK00204</t>
        </is>
      </c>
      <c r="J1269" t="inlineStr"/>
    </row>
    <row r="1270">
      <c r="A1270" t="inlineStr">
        <is>
          <t>23/06/2026</t>
        </is>
      </c>
      <c r="B1270" t="inlineStr">
        <is>
          <t>528000299</t>
        </is>
      </c>
      <c r="C1270" t="inlineStr">
        <is>
          <t>Siti Nurjanah</t>
        </is>
      </c>
      <c r="D1270" t="inlineStr">
        <is>
          <t>PROD</t>
        </is>
      </c>
      <c r="E1270" t="inlineStr">
        <is>
          <t>Produksi Harian</t>
        </is>
      </c>
      <c r="F1270" t="inlineStr">
        <is>
          <t>21:47:22</t>
        </is>
      </c>
      <c r="G1270" t="inlineStr"/>
      <c r="H1270" t="inlineStr">
        <is>
          <t>DI DALAM</t>
        </is>
      </c>
      <c r="I1270" t="inlineStr">
        <is>
          <t>MK00230</t>
        </is>
      </c>
      <c r="J1270" t="inlineStr"/>
    </row>
    <row r="1271">
      <c r="A1271" t="inlineStr">
        <is>
          <t>23/06/2026</t>
        </is>
      </c>
      <c r="B1271" t="inlineStr">
        <is>
          <t>528000302</t>
        </is>
      </c>
      <c r="C1271" t="inlineStr">
        <is>
          <t>Henkey gumilar</t>
        </is>
      </c>
      <c r="D1271" t="inlineStr">
        <is>
          <t>PROD</t>
        </is>
      </c>
      <c r="E1271" t="inlineStr">
        <is>
          <t>Produksi Harian</t>
        </is>
      </c>
      <c r="F1271" t="inlineStr">
        <is>
          <t>21:45:51</t>
        </is>
      </c>
      <c r="G1271" t="inlineStr"/>
      <c r="H1271" t="inlineStr">
        <is>
          <t>DI DALAM</t>
        </is>
      </c>
      <c r="I1271" t="inlineStr">
        <is>
          <t>MK00203</t>
        </is>
      </c>
      <c r="J1271" t="inlineStr"/>
    </row>
    <row r="1272">
      <c r="A1272" t="inlineStr">
        <is>
          <t>23/06/2026</t>
        </is>
      </c>
      <c r="B1272" t="inlineStr">
        <is>
          <t>528000305</t>
        </is>
      </c>
      <c r="C1272" t="inlineStr">
        <is>
          <t>Puji Puspita</t>
        </is>
      </c>
      <c r="D1272" t="inlineStr">
        <is>
          <t>PROD</t>
        </is>
      </c>
      <c r="E1272" t="inlineStr">
        <is>
          <t>Produksi Harian</t>
        </is>
      </c>
      <c r="F1272" t="inlineStr">
        <is>
          <t>21:46:52</t>
        </is>
      </c>
      <c r="G1272" t="inlineStr"/>
      <c r="H1272" t="inlineStr">
        <is>
          <t>DI DALAM</t>
        </is>
      </c>
      <c r="I1272" t="inlineStr">
        <is>
          <t>MK00126</t>
        </is>
      </c>
      <c r="J1272" t="inlineStr"/>
    </row>
    <row r="1273">
      <c r="A1273" t="inlineStr">
        <is>
          <t>23/06/2026</t>
        </is>
      </c>
      <c r="B1273" t="inlineStr">
        <is>
          <t>528000306</t>
        </is>
      </c>
      <c r="C1273" t="inlineStr">
        <is>
          <t>Windy Olivia</t>
        </is>
      </c>
      <c r="D1273" t="inlineStr">
        <is>
          <t>PROD</t>
        </is>
      </c>
      <c r="E1273" t="inlineStr">
        <is>
          <t>Produksi Harian</t>
        </is>
      </c>
      <c r="F1273" t="inlineStr"/>
      <c r="G1273" t="inlineStr">
        <is>
          <t>06:03:22</t>
        </is>
      </c>
      <c r="H1273" t="inlineStr">
        <is>
          <t>KELUAR TANPA MASUK</t>
        </is>
      </c>
      <c r="I1273" t="inlineStr">
        <is>
          <t>MK00141</t>
        </is>
      </c>
      <c r="J1273" t="inlineStr"/>
    </row>
    <row r="1274">
      <c r="A1274" t="inlineStr">
        <is>
          <t>23/06/2026</t>
        </is>
      </c>
      <c r="B1274" t="inlineStr">
        <is>
          <t>528000348</t>
        </is>
      </c>
      <c r="C1274" t="inlineStr">
        <is>
          <t>Saepuloh Ardiansah</t>
        </is>
      </c>
      <c r="D1274" t="inlineStr">
        <is>
          <t>LOG</t>
        </is>
      </c>
      <c r="E1274" t="inlineStr">
        <is>
          <t>WRM Harian</t>
        </is>
      </c>
      <c r="F1274" t="inlineStr">
        <is>
          <t>08:55:14</t>
        </is>
      </c>
      <c r="G1274" t="inlineStr"/>
      <c r="H1274" t="inlineStr">
        <is>
          <t>DI DALAM</t>
        </is>
      </c>
      <c r="I1274" t="inlineStr">
        <is>
          <t>MK0020</t>
        </is>
      </c>
      <c r="J1274" t="inlineStr"/>
    </row>
    <row r="1275">
      <c r="A1275" t="inlineStr">
        <is>
          <t>23/06/2026</t>
        </is>
      </c>
      <c r="B1275" t="inlineStr">
        <is>
          <t>528000351</t>
        </is>
      </c>
      <c r="C1275" t="inlineStr">
        <is>
          <t>Mulyana</t>
        </is>
      </c>
      <c r="D1275" t="inlineStr">
        <is>
          <t>PROD</t>
        </is>
      </c>
      <c r="E1275" t="inlineStr">
        <is>
          <t>Produksi Harian</t>
        </is>
      </c>
      <c r="F1275" t="inlineStr">
        <is>
          <t>08:00:01</t>
        </is>
      </c>
      <c r="G1275" t="inlineStr">
        <is>
          <t>16:02:55</t>
        </is>
      </c>
      <c r="H1275" t="inlineStr">
        <is>
          <t>SELESAI</t>
        </is>
      </c>
      <c r="I1275" t="inlineStr">
        <is>
          <t>MK00221</t>
        </is>
      </c>
      <c r="J1275" t="inlineStr"/>
    </row>
    <row r="1276">
      <c r="A1276" t="inlineStr">
        <is>
          <t>23/06/2026</t>
        </is>
      </c>
      <c r="B1276" t="inlineStr">
        <is>
          <t>628000061</t>
        </is>
      </c>
      <c r="C1276" t="inlineStr">
        <is>
          <t>Nayla Fadillah Exwantoro</t>
        </is>
      </c>
      <c r="D1276" t="inlineStr">
        <is>
          <t>PROD</t>
        </is>
      </c>
      <c r="E1276" t="inlineStr">
        <is>
          <t>Produksi Borongan</t>
        </is>
      </c>
      <c r="F1276" t="inlineStr">
        <is>
          <t>21:09:31</t>
        </is>
      </c>
      <c r="G1276" t="inlineStr"/>
      <c r="H1276" t="inlineStr">
        <is>
          <t>DI DALAM</t>
        </is>
      </c>
      <c r="I1276" t="inlineStr">
        <is>
          <t>MK00221</t>
        </is>
      </c>
      <c r="J1276" t="inlineStr"/>
    </row>
    <row r="1277">
      <c r="A1277" t="inlineStr">
        <is>
          <t>23/06/2026</t>
        </is>
      </c>
      <c r="B1277" t="inlineStr">
        <is>
          <t>628000064</t>
        </is>
      </c>
      <c r="C1277" t="inlineStr">
        <is>
          <t>Silva Alypia</t>
        </is>
      </c>
      <c r="D1277" t="inlineStr">
        <is>
          <t>PROD</t>
        </is>
      </c>
      <c r="E1277" t="inlineStr">
        <is>
          <t>Produksi Borongan</t>
        </is>
      </c>
      <c r="F1277" t="inlineStr">
        <is>
          <t>05:43:56</t>
        </is>
      </c>
      <c r="G1277" t="inlineStr">
        <is>
          <t>14:08:11</t>
        </is>
      </c>
      <c r="H1277" t="inlineStr">
        <is>
          <t>SELESAI</t>
        </is>
      </c>
      <c r="I1277" t="inlineStr">
        <is>
          <t>MK00085</t>
        </is>
      </c>
      <c r="J1277" t="inlineStr"/>
    </row>
    <row r="1278">
      <c r="A1278" t="inlineStr">
        <is>
          <t>24/06/2026</t>
        </is>
      </c>
      <c r="B1278" t="inlineStr">
        <is>
          <t>528000015</t>
        </is>
      </c>
      <c r="C1278" t="inlineStr">
        <is>
          <t>Erwin</t>
        </is>
      </c>
      <c r="D1278" t="inlineStr">
        <is>
          <t>LOG</t>
        </is>
      </c>
      <c r="E1278" t="inlineStr">
        <is>
          <t>WRM Harian</t>
        </is>
      </c>
      <c r="F1278" t="inlineStr">
        <is>
          <t>15:51:20</t>
        </is>
      </c>
      <c r="G1278" t="inlineStr">
        <is>
          <t>00:02:27</t>
        </is>
      </c>
      <c r="H1278" t="inlineStr">
        <is>
          <t>SELESAI</t>
        </is>
      </c>
      <c r="I1278" t="inlineStr">
        <is>
          <t>MK00109</t>
        </is>
      </c>
      <c r="J1278" t="inlineStr"/>
    </row>
    <row r="1279">
      <c r="A1279" t="inlineStr">
        <is>
          <t>24/06/2026</t>
        </is>
      </c>
      <c r="B1279" t="inlineStr">
        <is>
          <t>528000055</t>
        </is>
      </c>
      <c r="C1279" t="inlineStr">
        <is>
          <t>Dika Prasetya</t>
        </is>
      </c>
      <c r="D1279" t="inlineStr">
        <is>
          <t>LOG</t>
        </is>
      </c>
      <c r="E1279" t="inlineStr">
        <is>
          <t>WRM Harian</t>
        </is>
      </c>
      <c r="F1279" t="inlineStr">
        <is>
          <t>07:54:41</t>
        </is>
      </c>
      <c r="G1279" t="inlineStr">
        <is>
          <t>16:02:28</t>
        </is>
      </c>
      <c r="H1279" t="inlineStr">
        <is>
          <t>SELESAI</t>
        </is>
      </c>
      <c r="I1279" t="inlineStr">
        <is>
          <t>MK00199</t>
        </is>
      </c>
      <c r="J1279" t="inlineStr"/>
    </row>
    <row r="1280">
      <c r="A1280" t="inlineStr">
        <is>
          <t>24/06/2026</t>
        </is>
      </c>
      <c r="B1280" t="inlineStr">
        <is>
          <t>528000090</t>
        </is>
      </c>
      <c r="C1280" t="inlineStr">
        <is>
          <t>Suganda</t>
        </is>
      </c>
      <c r="D1280" t="inlineStr">
        <is>
          <t>PROD</t>
        </is>
      </c>
      <c r="E1280" t="inlineStr">
        <is>
          <t>Produksi Harian</t>
        </is>
      </c>
      <c r="F1280" t="inlineStr">
        <is>
          <t>13:56:23</t>
        </is>
      </c>
      <c r="G1280" t="inlineStr">
        <is>
          <t>22:03:57</t>
        </is>
      </c>
      <c r="H1280" t="inlineStr">
        <is>
          <t>SELESAI</t>
        </is>
      </c>
      <c r="I1280" t="inlineStr">
        <is>
          <t>MK00093</t>
        </is>
      </c>
      <c r="J1280" t="inlineStr"/>
    </row>
    <row r="1281">
      <c r="A1281" t="inlineStr">
        <is>
          <t>24/06/2026</t>
        </is>
      </c>
      <c r="B1281" t="inlineStr">
        <is>
          <t>528000098</t>
        </is>
      </c>
      <c r="C1281" t="inlineStr">
        <is>
          <t>Edi Junaedi</t>
        </is>
      </c>
      <c r="D1281" t="inlineStr">
        <is>
          <t>PROD</t>
        </is>
      </c>
      <c r="E1281" t="inlineStr">
        <is>
          <t>Produksi Harian</t>
        </is>
      </c>
      <c r="F1281" t="inlineStr">
        <is>
          <t>21:59:01</t>
        </is>
      </c>
      <c r="G1281" t="inlineStr"/>
      <c r="H1281" t="inlineStr">
        <is>
          <t>DI DALAM</t>
        </is>
      </c>
      <c r="I1281" t="inlineStr">
        <is>
          <t>MK00199</t>
        </is>
      </c>
      <c r="J1281" t="inlineStr"/>
    </row>
    <row r="1282">
      <c r="A1282" t="inlineStr">
        <is>
          <t>24/06/2026</t>
        </is>
      </c>
      <c r="B1282" t="inlineStr">
        <is>
          <t>528000099</t>
        </is>
      </c>
      <c r="C1282" t="inlineStr">
        <is>
          <t>Siti Nurawaliah</t>
        </is>
      </c>
      <c r="D1282" t="inlineStr">
        <is>
          <t>PROD</t>
        </is>
      </c>
      <c r="E1282" t="inlineStr">
        <is>
          <t>Produksi Harian</t>
        </is>
      </c>
      <c r="F1282" t="inlineStr">
        <is>
          <t>13:42:18</t>
        </is>
      </c>
      <c r="G1282" t="inlineStr">
        <is>
          <t>22:06:51</t>
        </is>
      </c>
      <c r="H1282" t="inlineStr">
        <is>
          <t>SELESAI</t>
        </is>
      </c>
      <c r="I1282" t="inlineStr">
        <is>
          <t>MK00090</t>
        </is>
      </c>
      <c r="J1282" t="inlineStr"/>
    </row>
    <row r="1283">
      <c r="A1283" t="inlineStr">
        <is>
          <t>24/06/2026</t>
        </is>
      </c>
      <c r="B1283" t="inlineStr">
        <is>
          <t>528000132</t>
        </is>
      </c>
      <c r="C1283" t="inlineStr">
        <is>
          <t>Giopani</t>
        </is>
      </c>
      <c r="D1283" t="inlineStr">
        <is>
          <t>LOG</t>
        </is>
      </c>
      <c r="E1283" t="inlineStr">
        <is>
          <t>WRM Harian</t>
        </is>
      </c>
      <c r="F1283" t="inlineStr">
        <is>
          <t>15:59:48</t>
        </is>
      </c>
      <c r="G1283" t="inlineStr">
        <is>
          <t>01:16:52</t>
        </is>
      </c>
      <c r="H1283" t="inlineStr">
        <is>
          <t>SELESAI</t>
        </is>
      </c>
      <c r="I1283" t="inlineStr">
        <is>
          <t>MK00228</t>
        </is>
      </c>
      <c r="J1283" t="inlineStr"/>
    </row>
    <row r="1284">
      <c r="A1284" t="inlineStr">
        <is>
          <t>24/06/2026</t>
        </is>
      </c>
      <c r="B1284" t="inlineStr">
        <is>
          <t>528000144</t>
        </is>
      </c>
      <c r="C1284" t="inlineStr">
        <is>
          <t>Jodi Hanafi</t>
        </is>
      </c>
      <c r="D1284" t="inlineStr">
        <is>
          <t>LOG</t>
        </is>
      </c>
      <c r="E1284" t="inlineStr">
        <is>
          <t>WRM Harian</t>
        </is>
      </c>
      <c r="F1284" t="inlineStr">
        <is>
          <t>15:58:12</t>
        </is>
      </c>
      <c r="G1284" t="inlineStr">
        <is>
          <t>00:34:43</t>
        </is>
      </c>
      <c r="H1284" t="inlineStr">
        <is>
          <t>SELESAI</t>
        </is>
      </c>
      <c r="I1284" t="inlineStr">
        <is>
          <t>MK00088</t>
        </is>
      </c>
      <c r="J1284" t="inlineStr"/>
    </row>
    <row r="1285">
      <c r="A1285" t="inlineStr">
        <is>
          <t>24/06/2026</t>
        </is>
      </c>
      <c r="B1285" t="inlineStr">
        <is>
          <t>528000149</t>
        </is>
      </c>
      <c r="C1285" t="inlineStr">
        <is>
          <t>Tio Fernanda</t>
        </is>
      </c>
      <c r="D1285" t="inlineStr">
        <is>
          <t>LOG</t>
        </is>
      </c>
      <c r="E1285" t="inlineStr">
        <is>
          <t>WRM Harian</t>
        </is>
      </c>
      <c r="F1285" t="inlineStr">
        <is>
          <t>08:54:16</t>
        </is>
      </c>
      <c r="G1285" t="inlineStr">
        <is>
          <t>17:01:49</t>
        </is>
      </c>
      <c r="H1285" t="inlineStr">
        <is>
          <t>SELESAI</t>
        </is>
      </c>
      <c r="I1285" t="inlineStr">
        <is>
          <t>MK00212</t>
        </is>
      </c>
      <c r="J1285" t="inlineStr"/>
    </row>
    <row r="1286">
      <c r="A1286" t="inlineStr">
        <is>
          <t>24/06/2026</t>
        </is>
      </c>
      <c r="B1286" t="inlineStr">
        <is>
          <t>528000201</t>
        </is>
      </c>
      <c r="C1286" t="inlineStr">
        <is>
          <t>Zahwa Amelia Choerunissa</t>
        </is>
      </c>
      <c r="D1286" t="inlineStr">
        <is>
          <t>PROD</t>
        </is>
      </c>
      <c r="E1286" t="inlineStr">
        <is>
          <t>Produksi Harian</t>
        </is>
      </c>
      <c r="F1286" t="inlineStr">
        <is>
          <t>13:41:50</t>
        </is>
      </c>
      <c r="G1286" t="inlineStr">
        <is>
          <t>22:05:32</t>
        </is>
      </c>
      <c r="H1286" t="inlineStr">
        <is>
          <t>SELESAI</t>
        </is>
      </c>
      <c r="I1286" t="inlineStr">
        <is>
          <t>MK00154</t>
        </is>
      </c>
      <c r="J1286" t="inlineStr"/>
    </row>
    <row r="1287">
      <c r="A1287" t="inlineStr">
        <is>
          <t>24/06/2026</t>
        </is>
      </c>
      <c r="B1287" t="inlineStr">
        <is>
          <t>528000203</t>
        </is>
      </c>
      <c r="C1287" t="inlineStr">
        <is>
          <t>Yudha Ramdhan Putra</t>
        </is>
      </c>
      <c r="D1287" t="inlineStr">
        <is>
          <t>ENG</t>
        </is>
      </c>
      <c r="E1287" t="inlineStr">
        <is>
          <t>Engineering Harian</t>
        </is>
      </c>
      <c r="F1287" t="inlineStr">
        <is>
          <t>09:01:25</t>
        </is>
      </c>
      <c r="G1287" t="inlineStr">
        <is>
          <t>00:16:43</t>
        </is>
      </c>
      <c r="H1287" t="inlineStr">
        <is>
          <t>SELESAI</t>
        </is>
      </c>
      <c r="I1287" t="inlineStr">
        <is>
          <t>MK00134</t>
        </is>
      </c>
      <c r="J1287" t="inlineStr"/>
    </row>
    <row r="1288">
      <c r="A1288" t="inlineStr">
        <is>
          <t>24/06/2026</t>
        </is>
      </c>
      <c r="B1288" t="inlineStr">
        <is>
          <t>528000212</t>
        </is>
      </c>
      <c r="C1288" t="inlineStr">
        <is>
          <t>Rizal Fauzi</t>
        </is>
      </c>
      <c r="D1288" t="inlineStr">
        <is>
          <t>PROD</t>
        </is>
      </c>
      <c r="E1288" t="inlineStr">
        <is>
          <t>Produksi Harian</t>
        </is>
      </c>
      <c r="F1288" t="inlineStr">
        <is>
          <t>13:58:30</t>
        </is>
      </c>
      <c r="G1288" t="inlineStr">
        <is>
          <t>13:58:12</t>
        </is>
      </c>
      <c r="H1288" t="inlineStr">
        <is>
          <t>SELESAI</t>
        </is>
      </c>
      <c r="I1288" t="inlineStr">
        <is>
          <t>MK00150</t>
        </is>
      </c>
      <c r="J1288" t="inlineStr"/>
    </row>
    <row r="1289">
      <c r="A1289" t="inlineStr">
        <is>
          <t>24/06/2026</t>
        </is>
      </c>
      <c r="B1289" t="inlineStr">
        <is>
          <t>528000232</t>
        </is>
      </c>
      <c r="C1289" t="inlineStr">
        <is>
          <t>Agung Aji Suhada</t>
        </is>
      </c>
      <c r="D1289" t="inlineStr">
        <is>
          <t>LOG</t>
        </is>
      </c>
      <c r="E1289" t="inlineStr">
        <is>
          <t>WRM Harian</t>
        </is>
      </c>
      <c r="F1289" t="inlineStr">
        <is>
          <t>09:03:01</t>
        </is>
      </c>
      <c r="G1289" t="inlineStr">
        <is>
          <t>17:02:09</t>
        </is>
      </c>
      <c r="H1289" t="inlineStr">
        <is>
          <t>SELESAI</t>
        </is>
      </c>
      <c r="I1289" t="inlineStr">
        <is>
          <t>MK00046</t>
        </is>
      </c>
      <c r="J1289" t="inlineStr"/>
    </row>
    <row r="1290">
      <c r="A1290" t="inlineStr">
        <is>
          <t>24/06/2026</t>
        </is>
      </c>
      <c r="B1290" t="inlineStr">
        <is>
          <t>528000241</t>
        </is>
      </c>
      <c r="C1290" t="inlineStr">
        <is>
          <t>Balia Nurafif Bilah</t>
        </is>
      </c>
      <c r="D1290" t="inlineStr">
        <is>
          <t>PROD</t>
        </is>
      </c>
      <c r="E1290" t="inlineStr">
        <is>
          <t>Produksi Harian</t>
        </is>
      </c>
      <c r="F1290" t="inlineStr">
        <is>
          <t>13:50:06</t>
        </is>
      </c>
      <c r="G1290" t="inlineStr">
        <is>
          <t>22:03:01</t>
        </is>
      </c>
      <c r="H1290" t="inlineStr">
        <is>
          <t>SELESAI</t>
        </is>
      </c>
      <c r="I1290" t="inlineStr">
        <is>
          <t>MK00202</t>
        </is>
      </c>
      <c r="J1290" t="inlineStr"/>
    </row>
    <row r="1291">
      <c r="A1291" t="inlineStr">
        <is>
          <t>24/06/2026</t>
        </is>
      </c>
      <c r="B1291" t="inlineStr">
        <is>
          <t>528000244</t>
        </is>
      </c>
      <c r="C1291" t="inlineStr">
        <is>
          <t>Rodian Rifai</t>
        </is>
      </c>
      <c r="D1291" t="inlineStr">
        <is>
          <t>PROD</t>
        </is>
      </c>
      <c r="E1291" t="inlineStr">
        <is>
          <t>Produksi Harian</t>
        </is>
      </c>
      <c r="F1291" t="inlineStr">
        <is>
          <t>13:53:25</t>
        </is>
      </c>
      <c r="G1291" t="inlineStr">
        <is>
          <t>22:58:06</t>
        </is>
      </c>
      <c r="H1291" t="inlineStr">
        <is>
          <t>SELESAI</t>
        </is>
      </c>
      <c r="I1291" t="inlineStr">
        <is>
          <t>MK00085</t>
        </is>
      </c>
      <c r="J1291" t="inlineStr"/>
    </row>
    <row r="1292">
      <c r="A1292" t="inlineStr">
        <is>
          <t>24/06/2026</t>
        </is>
      </c>
      <c r="B1292" t="inlineStr">
        <is>
          <t>528000254</t>
        </is>
      </c>
      <c r="C1292" t="inlineStr">
        <is>
          <t>M. Difa Ramdani</t>
        </is>
      </c>
      <c r="D1292" t="inlineStr">
        <is>
          <t>PROD</t>
        </is>
      </c>
      <c r="E1292" t="inlineStr">
        <is>
          <t>Produksi Harian</t>
        </is>
      </c>
      <c r="F1292" t="inlineStr">
        <is>
          <t>08:26:06</t>
        </is>
      </c>
      <c r="G1292" t="inlineStr">
        <is>
          <t>14:07:49</t>
        </is>
      </c>
      <c r="H1292" t="inlineStr">
        <is>
          <t>SELESAI</t>
        </is>
      </c>
      <c r="I1292" t="inlineStr">
        <is>
          <t>MK00126</t>
        </is>
      </c>
      <c r="J1292" t="inlineStr"/>
    </row>
    <row r="1293">
      <c r="A1293" t="inlineStr">
        <is>
          <t>24/06/2026</t>
        </is>
      </c>
      <c r="B1293" t="inlineStr">
        <is>
          <t>528000265</t>
        </is>
      </c>
      <c r="C1293" t="inlineStr">
        <is>
          <t>Muhammad Haerul Rozikin</t>
        </is>
      </c>
      <c r="D1293" t="inlineStr">
        <is>
          <t>LOG</t>
        </is>
      </c>
      <c r="E1293" t="inlineStr">
        <is>
          <t>WRM Harian</t>
        </is>
      </c>
      <c r="F1293" t="inlineStr">
        <is>
          <t>07:43:58</t>
        </is>
      </c>
      <c r="G1293" t="inlineStr">
        <is>
          <t>16:02:06</t>
        </is>
      </c>
      <c r="H1293" t="inlineStr">
        <is>
          <t>SELESAI</t>
        </is>
      </c>
      <c r="I1293" t="inlineStr">
        <is>
          <t>MK00141</t>
        </is>
      </c>
      <c r="J1293" t="inlineStr"/>
    </row>
    <row r="1294">
      <c r="A1294" t="inlineStr">
        <is>
          <t>24/06/2026</t>
        </is>
      </c>
      <c r="B1294" t="inlineStr">
        <is>
          <t>528000270</t>
        </is>
      </c>
      <c r="C1294" t="inlineStr">
        <is>
          <t>Febri Najmudin</t>
        </is>
      </c>
      <c r="D1294" t="inlineStr">
        <is>
          <t>LOG</t>
        </is>
      </c>
      <c r="E1294" t="inlineStr">
        <is>
          <t>WRM Harian</t>
        </is>
      </c>
      <c r="F1294" t="inlineStr">
        <is>
          <t>21:48:51</t>
        </is>
      </c>
      <c r="G1294" t="inlineStr">
        <is>
          <t>06:26:55</t>
        </is>
      </c>
      <c r="H1294" t="inlineStr">
        <is>
          <t>SELESAI</t>
        </is>
      </c>
      <c r="I1294" t="inlineStr">
        <is>
          <t>MK00082</t>
        </is>
      </c>
      <c r="J1294" t="inlineStr"/>
    </row>
    <row r="1295">
      <c r="A1295" t="inlineStr">
        <is>
          <t>24/06/2026</t>
        </is>
      </c>
      <c r="B1295" t="inlineStr">
        <is>
          <t>528000273</t>
        </is>
      </c>
      <c r="C1295" t="inlineStr">
        <is>
          <t>Asep Mulyana</t>
        </is>
      </c>
      <c r="D1295" t="inlineStr">
        <is>
          <t>PROD</t>
        </is>
      </c>
      <c r="E1295" t="inlineStr">
        <is>
          <t>Produksi Harian</t>
        </is>
      </c>
      <c r="F1295" t="inlineStr">
        <is>
          <t>07:53:52</t>
        </is>
      </c>
      <c r="G1295" t="inlineStr">
        <is>
          <t>16:03:33</t>
        </is>
      </c>
      <c r="H1295" t="inlineStr">
        <is>
          <t>SELESAI</t>
        </is>
      </c>
      <c r="I1295" t="inlineStr">
        <is>
          <t>MK00204</t>
        </is>
      </c>
      <c r="J1295" t="inlineStr"/>
    </row>
    <row r="1296">
      <c r="A1296" t="inlineStr">
        <is>
          <t>24/06/2026</t>
        </is>
      </c>
      <c r="B1296" t="inlineStr">
        <is>
          <t>528000274</t>
        </is>
      </c>
      <c r="C1296" t="inlineStr">
        <is>
          <t>Zepri</t>
        </is>
      </c>
      <c r="D1296" t="inlineStr">
        <is>
          <t>PROD</t>
        </is>
      </c>
      <c r="E1296" t="inlineStr">
        <is>
          <t>Produksi Harian</t>
        </is>
      </c>
      <c r="F1296" t="inlineStr">
        <is>
          <t>13:53:13</t>
        </is>
      </c>
      <c r="G1296" t="inlineStr">
        <is>
          <t>22:03:16</t>
        </is>
      </c>
      <c r="H1296" t="inlineStr">
        <is>
          <t>SELESAI</t>
        </is>
      </c>
      <c r="I1296" t="inlineStr">
        <is>
          <t>MK00250</t>
        </is>
      </c>
      <c r="J1296" t="inlineStr"/>
    </row>
    <row r="1297">
      <c r="A1297" t="inlineStr">
        <is>
          <t>24/06/2026</t>
        </is>
      </c>
      <c r="B1297" t="inlineStr">
        <is>
          <t>528000279</t>
        </is>
      </c>
      <c r="C1297" t="inlineStr">
        <is>
          <t>Mahdalena Dalfa Riani</t>
        </is>
      </c>
      <c r="D1297" t="inlineStr">
        <is>
          <t>PROD</t>
        </is>
      </c>
      <c r="E1297" t="inlineStr">
        <is>
          <t>Produksi Harian</t>
        </is>
      </c>
      <c r="F1297" t="inlineStr">
        <is>
          <t>05:55:52</t>
        </is>
      </c>
      <c r="G1297" t="inlineStr">
        <is>
          <t>14:04:15</t>
        </is>
      </c>
      <c r="H1297" t="inlineStr">
        <is>
          <t>SELESAI</t>
        </is>
      </c>
      <c r="I1297" t="inlineStr">
        <is>
          <t>MK00230</t>
        </is>
      </c>
      <c r="J1297" t="inlineStr"/>
    </row>
    <row r="1298">
      <c r="A1298" t="inlineStr">
        <is>
          <t>24/06/2026</t>
        </is>
      </c>
      <c r="B1298" t="inlineStr">
        <is>
          <t>528000282</t>
        </is>
      </c>
      <c r="C1298" t="inlineStr">
        <is>
          <t>Defa Desfiana</t>
        </is>
      </c>
      <c r="D1298" t="inlineStr">
        <is>
          <t>PROD</t>
        </is>
      </c>
      <c r="E1298" t="inlineStr">
        <is>
          <t>Produksi Harian</t>
        </is>
      </c>
      <c r="F1298" t="inlineStr">
        <is>
          <t>07:30:15</t>
        </is>
      </c>
      <c r="G1298" t="inlineStr">
        <is>
          <t>16:04:11</t>
        </is>
      </c>
      <c r="H1298" t="inlineStr">
        <is>
          <t>SELESAI</t>
        </is>
      </c>
      <c r="I1298" t="inlineStr">
        <is>
          <t>MK00208</t>
        </is>
      </c>
      <c r="J1298" t="inlineStr">
        <is>
          <t>23b</t>
        </is>
      </c>
    </row>
    <row r="1299">
      <c r="A1299" t="inlineStr">
        <is>
          <t>24/06/2026</t>
        </is>
      </c>
      <c r="B1299" t="inlineStr">
        <is>
          <t>528000286</t>
        </is>
      </c>
      <c r="C1299" t="inlineStr">
        <is>
          <t>Imelda Amelia</t>
        </is>
      </c>
      <c r="D1299" t="inlineStr">
        <is>
          <t>PROD</t>
        </is>
      </c>
      <c r="E1299" t="inlineStr">
        <is>
          <t>Produksi Harian</t>
        </is>
      </c>
      <c r="F1299" t="inlineStr">
        <is>
          <t>13:42:53</t>
        </is>
      </c>
      <c r="G1299" t="inlineStr">
        <is>
          <t>22:07:46</t>
        </is>
      </c>
      <c r="H1299" t="inlineStr">
        <is>
          <t>SELESAI</t>
        </is>
      </c>
      <c r="I1299" t="inlineStr">
        <is>
          <t>MK00235</t>
        </is>
      </c>
      <c r="J1299" t="inlineStr"/>
    </row>
    <row r="1300">
      <c r="A1300" t="inlineStr">
        <is>
          <t>24/06/2026</t>
        </is>
      </c>
      <c r="B1300" t="inlineStr">
        <is>
          <t>528000290</t>
        </is>
      </c>
      <c r="C1300" t="inlineStr">
        <is>
          <t>Eval Pranata</t>
        </is>
      </c>
      <c r="D1300" t="inlineStr">
        <is>
          <t>PROD</t>
        </is>
      </c>
      <c r="E1300" t="inlineStr">
        <is>
          <t>Produksi Harian</t>
        </is>
      </c>
      <c r="F1300" t="inlineStr">
        <is>
          <t>13:54:50</t>
        </is>
      </c>
      <c r="G1300" t="inlineStr">
        <is>
          <t>22:03:39</t>
        </is>
      </c>
      <c r="H1300" t="inlineStr">
        <is>
          <t>SELESAI</t>
        </is>
      </c>
      <c r="I1300" t="inlineStr">
        <is>
          <t>MK00213</t>
        </is>
      </c>
      <c r="J1300" t="inlineStr"/>
    </row>
    <row r="1301">
      <c r="A1301" t="inlineStr">
        <is>
          <t>24/06/2026</t>
        </is>
      </c>
      <c r="B1301" t="inlineStr">
        <is>
          <t>528000297</t>
        </is>
      </c>
      <c r="C1301" t="inlineStr">
        <is>
          <t>Muhamad Budiana</t>
        </is>
      </c>
      <c r="D1301" t="inlineStr">
        <is>
          <t>PROD</t>
        </is>
      </c>
      <c r="E1301" t="inlineStr">
        <is>
          <t>Produksi Harian</t>
        </is>
      </c>
      <c r="F1301" t="inlineStr">
        <is>
          <t>05:55:17</t>
        </is>
      </c>
      <c r="G1301" t="inlineStr">
        <is>
          <t>14:36:28</t>
        </is>
      </c>
      <c r="H1301" t="inlineStr">
        <is>
          <t>SELESAI</t>
        </is>
      </c>
      <c r="I1301" t="inlineStr">
        <is>
          <t>MK00136</t>
        </is>
      </c>
      <c r="J1301" t="inlineStr"/>
    </row>
    <row r="1302">
      <c r="A1302" t="inlineStr">
        <is>
          <t>24/06/2026</t>
        </is>
      </c>
      <c r="B1302" t="inlineStr">
        <is>
          <t>528000298</t>
        </is>
      </c>
      <c r="C1302" t="inlineStr">
        <is>
          <t>Desta Cahaya Pratama</t>
        </is>
      </c>
      <c r="D1302" t="inlineStr">
        <is>
          <t>PROD</t>
        </is>
      </c>
      <c r="E1302" t="inlineStr">
        <is>
          <t>Produksi Harian</t>
        </is>
      </c>
      <c r="F1302" t="inlineStr">
        <is>
          <t>00:06:10</t>
        </is>
      </c>
      <c r="G1302" t="inlineStr"/>
      <c r="H1302" t="inlineStr">
        <is>
          <t>DI DALAM</t>
        </is>
      </c>
      <c r="I1302" t="inlineStr">
        <is>
          <t>MKOO134</t>
        </is>
      </c>
      <c r="J1302" t="inlineStr"/>
    </row>
    <row r="1303">
      <c r="A1303" t="inlineStr">
        <is>
          <t>24/06/2026</t>
        </is>
      </c>
      <c r="B1303" t="inlineStr">
        <is>
          <t>528000299</t>
        </is>
      </c>
      <c r="C1303" t="inlineStr">
        <is>
          <t>Siti Nurjanah</t>
        </is>
      </c>
      <c r="D1303" t="inlineStr">
        <is>
          <t>PROD</t>
        </is>
      </c>
      <c r="E1303" t="inlineStr">
        <is>
          <t>Produksi Harian</t>
        </is>
      </c>
      <c r="F1303" t="inlineStr">
        <is>
          <t>21:46:52</t>
        </is>
      </c>
      <c r="G1303" t="inlineStr">
        <is>
          <t>06:03:46</t>
        </is>
      </c>
      <c r="H1303" t="inlineStr">
        <is>
          <t>SELESAI</t>
        </is>
      </c>
      <c r="I1303" t="inlineStr">
        <is>
          <t>MK00221</t>
        </is>
      </c>
      <c r="J1303" t="inlineStr"/>
    </row>
    <row r="1304">
      <c r="A1304" t="inlineStr">
        <is>
          <t>24/06/2026</t>
        </is>
      </c>
      <c r="B1304" t="inlineStr">
        <is>
          <t>528000300</t>
        </is>
      </c>
      <c r="C1304" t="inlineStr">
        <is>
          <t>Lia pitaloka</t>
        </is>
      </c>
      <c r="D1304" t="inlineStr">
        <is>
          <t>PROD</t>
        </is>
      </c>
      <c r="E1304" t="inlineStr">
        <is>
          <t>Produksi Harian</t>
        </is>
      </c>
      <c r="F1304" t="inlineStr">
        <is>
          <t>05:53:57</t>
        </is>
      </c>
      <c r="G1304" t="inlineStr">
        <is>
          <t>14:07:14</t>
        </is>
      </c>
      <c r="H1304" t="inlineStr">
        <is>
          <t>SELESAI</t>
        </is>
      </c>
      <c r="I1304" t="inlineStr">
        <is>
          <t>MK00145</t>
        </is>
      </c>
      <c r="J1304" t="inlineStr"/>
    </row>
    <row r="1305">
      <c r="A1305" t="inlineStr">
        <is>
          <t>24/06/2026</t>
        </is>
      </c>
      <c r="B1305" t="inlineStr">
        <is>
          <t>528000302</t>
        </is>
      </c>
      <c r="C1305" t="inlineStr">
        <is>
          <t>Henkey gumilar</t>
        </is>
      </c>
      <c r="D1305" t="inlineStr">
        <is>
          <t>PROD</t>
        </is>
      </c>
      <c r="E1305" t="inlineStr">
        <is>
          <t>Produksi Harian</t>
        </is>
      </c>
      <c r="F1305" t="inlineStr">
        <is>
          <t>21:47:16</t>
        </is>
      </c>
      <c r="G1305" t="inlineStr">
        <is>
          <t>06:12:50</t>
        </is>
      </c>
      <c r="H1305" t="inlineStr">
        <is>
          <t>SELESAI</t>
        </is>
      </c>
      <c r="I1305" t="inlineStr">
        <is>
          <t>MK00143</t>
        </is>
      </c>
      <c r="J1305" t="inlineStr"/>
    </row>
    <row r="1306">
      <c r="A1306" t="inlineStr">
        <is>
          <t>24/06/2026</t>
        </is>
      </c>
      <c r="B1306" t="inlineStr">
        <is>
          <t>528000305</t>
        </is>
      </c>
      <c r="C1306" t="inlineStr">
        <is>
          <t>Puji Puspita</t>
        </is>
      </c>
      <c r="D1306" t="inlineStr">
        <is>
          <t>PROD</t>
        </is>
      </c>
      <c r="E1306" t="inlineStr">
        <is>
          <t>Produksi Harian</t>
        </is>
      </c>
      <c r="F1306" t="inlineStr">
        <is>
          <t>21:47:21</t>
        </is>
      </c>
      <c r="G1306" t="inlineStr">
        <is>
          <t>06:03:16</t>
        </is>
      </c>
      <c r="H1306" t="inlineStr">
        <is>
          <t>SELESAI</t>
        </is>
      </c>
      <c r="I1306" t="inlineStr">
        <is>
          <t>MK00181</t>
        </is>
      </c>
      <c r="J1306" t="inlineStr"/>
    </row>
    <row r="1307">
      <c r="A1307" t="inlineStr">
        <is>
          <t>24/06/2026</t>
        </is>
      </c>
      <c r="B1307" t="inlineStr">
        <is>
          <t>528000349</t>
        </is>
      </c>
      <c r="C1307" t="inlineStr">
        <is>
          <t>Anas Abdul Fatah</t>
        </is>
      </c>
      <c r="D1307" t="inlineStr">
        <is>
          <t>LOG</t>
        </is>
      </c>
      <c r="E1307" t="inlineStr">
        <is>
          <t>WFG Harian</t>
        </is>
      </c>
      <c r="F1307" t="inlineStr">
        <is>
          <t>07:53:20</t>
        </is>
      </c>
      <c r="G1307" t="inlineStr"/>
      <c r="H1307" t="inlineStr">
        <is>
          <t>DI DALAM</t>
        </is>
      </c>
      <c r="I1307" t="inlineStr">
        <is>
          <t>MK0082</t>
        </is>
      </c>
      <c r="J1307" t="inlineStr"/>
    </row>
    <row r="1308">
      <c r="A1308" t="inlineStr">
        <is>
          <t>24/06/2026</t>
        </is>
      </c>
      <c r="B1308" t="inlineStr">
        <is>
          <t>528000351</t>
        </is>
      </c>
      <c r="C1308" t="inlineStr">
        <is>
          <t>Mulyana</t>
        </is>
      </c>
      <c r="D1308" t="inlineStr">
        <is>
          <t>PROD</t>
        </is>
      </c>
      <c r="E1308" t="inlineStr">
        <is>
          <t>Produksi Harian</t>
        </is>
      </c>
      <c r="F1308" t="inlineStr">
        <is>
          <t>08:13:47</t>
        </is>
      </c>
      <c r="G1308" t="inlineStr"/>
      <c r="H1308" t="inlineStr">
        <is>
          <t>DI DALAM</t>
        </is>
      </c>
      <c r="I1308" t="inlineStr">
        <is>
          <t>MA00185</t>
        </is>
      </c>
      <c r="J1308" t="inlineStr"/>
    </row>
    <row r="1309">
      <c r="A1309" t="inlineStr">
        <is>
          <t>24/06/2026</t>
        </is>
      </c>
      <c r="B1309" t="inlineStr">
        <is>
          <t>628000064</t>
        </is>
      </c>
      <c r="C1309" t="inlineStr">
        <is>
          <t>Silva Alypia</t>
        </is>
      </c>
      <c r="D1309" t="inlineStr">
        <is>
          <t>PROD</t>
        </is>
      </c>
      <c r="E1309" t="inlineStr">
        <is>
          <t>Produksi Borongan</t>
        </is>
      </c>
      <c r="F1309" t="inlineStr">
        <is>
          <t>05:47:03</t>
        </is>
      </c>
      <c r="G1309" t="inlineStr">
        <is>
          <t>14:05:07</t>
        </is>
      </c>
      <c r="H1309" t="inlineStr">
        <is>
          <t>SELESAI</t>
        </is>
      </c>
      <c r="I1309" t="inlineStr">
        <is>
          <t>MK00158</t>
        </is>
      </c>
      <c r="J1309" t="inlineStr"/>
    </row>
    <row r="1310">
      <c r="A1310" t="inlineStr">
        <is>
          <t>25/06/2026</t>
        </is>
      </c>
      <c r="B1310" t="inlineStr">
        <is>
          <t>528000015</t>
        </is>
      </c>
      <c r="C1310" t="inlineStr">
        <is>
          <t>Erwin</t>
        </is>
      </c>
      <c r="D1310" t="inlineStr">
        <is>
          <t>LOG</t>
        </is>
      </c>
      <c r="E1310" t="inlineStr">
        <is>
          <t>WRM Harian</t>
        </is>
      </c>
      <c r="F1310" t="inlineStr">
        <is>
          <t>15:54:01</t>
        </is>
      </c>
      <c r="G1310" t="inlineStr">
        <is>
          <t>00:04:09</t>
        </is>
      </c>
      <c r="H1310" t="inlineStr">
        <is>
          <t>SELESAI</t>
        </is>
      </c>
      <c r="I1310" t="inlineStr">
        <is>
          <t>MK00138</t>
        </is>
      </c>
      <c r="J1310" t="inlineStr"/>
    </row>
    <row r="1311">
      <c r="A1311" t="inlineStr">
        <is>
          <t>25/06/2026</t>
        </is>
      </c>
      <c r="B1311" t="inlineStr">
        <is>
          <t>528000052</t>
        </is>
      </c>
      <c r="C1311" t="inlineStr">
        <is>
          <t>Mustopa</t>
        </is>
      </c>
      <c r="D1311" t="inlineStr">
        <is>
          <t>PROD</t>
        </is>
      </c>
      <c r="E1311" t="inlineStr">
        <is>
          <t>Produksi Harian</t>
        </is>
      </c>
      <c r="F1311" t="inlineStr"/>
      <c r="G1311" t="inlineStr">
        <is>
          <t>09:56:44</t>
        </is>
      </c>
      <c r="H1311" t="inlineStr">
        <is>
          <t>KELUAR TANPA MASUK</t>
        </is>
      </c>
      <c r="I1311" t="inlineStr">
        <is>
          <t>MKOO58</t>
        </is>
      </c>
      <c r="J1311" t="inlineStr"/>
    </row>
    <row r="1312">
      <c r="A1312" t="inlineStr">
        <is>
          <t>25/06/2026</t>
        </is>
      </c>
      <c r="B1312" t="inlineStr">
        <is>
          <t>528000055</t>
        </is>
      </c>
      <c r="C1312" t="inlineStr">
        <is>
          <t>Dika Prasetya</t>
        </is>
      </c>
      <c r="D1312" t="inlineStr">
        <is>
          <t>LOG</t>
        </is>
      </c>
      <c r="E1312" t="inlineStr">
        <is>
          <t>WRM Harian</t>
        </is>
      </c>
      <c r="F1312" t="inlineStr">
        <is>
          <t>07:53:56</t>
        </is>
      </c>
      <c r="G1312" t="inlineStr">
        <is>
          <t>16:03:22</t>
        </is>
      </c>
      <c r="H1312" t="inlineStr">
        <is>
          <t>SELESAI</t>
        </is>
      </c>
      <c r="I1312" t="inlineStr">
        <is>
          <t>MK00082</t>
        </is>
      </c>
      <c r="J1312" t="inlineStr"/>
    </row>
    <row r="1313">
      <c r="A1313" t="inlineStr">
        <is>
          <t>25/06/2026</t>
        </is>
      </c>
      <c r="B1313" t="inlineStr">
        <is>
          <t>528000063</t>
        </is>
      </c>
      <c r="C1313" t="inlineStr">
        <is>
          <t>Muhamad Ripki Pebrian</t>
        </is>
      </c>
      <c r="D1313" t="inlineStr">
        <is>
          <t>PROD</t>
        </is>
      </c>
      <c r="E1313" t="inlineStr">
        <is>
          <t>Produksi Harian</t>
        </is>
      </c>
      <c r="F1313" t="inlineStr">
        <is>
          <t>05:54:35</t>
        </is>
      </c>
      <c r="G1313" t="inlineStr">
        <is>
          <t>14:04:03</t>
        </is>
      </c>
      <c r="H1313" t="inlineStr">
        <is>
          <t>SELESAI</t>
        </is>
      </c>
      <c r="I1313" t="inlineStr">
        <is>
          <t>MK00235</t>
        </is>
      </c>
      <c r="J1313" t="inlineStr"/>
    </row>
    <row r="1314">
      <c r="A1314" t="inlineStr">
        <is>
          <t>25/06/2026</t>
        </is>
      </c>
      <c r="B1314" t="inlineStr">
        <is>
          <t>528000069</t>
        </is>
      </c>
      <c r="C1314" t="inlineStr">
        <is>
          <t>Jajang Ardiansyah</t>
        </is>
      </c>
      <c r="D1314" t="inlineStr">
        <is>
          <t>PROD</t>
        </is>
      </c>
      <c r="E1314" t="inlineStr">
        <is>
          <t>Produksi Harian</t>
        </is>
      </c>
      <c r="F1314" t="inlineStr">
        <is>
          <t>06:57:08</t>
        </is>
      </c>
      <c r="G1314" t="inlineStr">
        <is>
          <t>16:03:09</t>
        </is>
      </c>
      <c r="H1314" t="inlineStr">
        <is>
          <t>SELESAI</t>
        </is>
      </c>
      <c r="I1314" t="inlineStr">
        <is>
          <t>MK00203</t>
        </is>
      </c>
      <c r="J1314" t="inlineStr"/>
    </row>
    <row r="1315">
      <c r="A1315" t="inlineStr">
        <is>
          <t>25/06/2026</t>
        </is>
      </c>
      <c r="B1315" t="inlineStr">
        <is>
          <t>528000090</t>
        </is>
      </c>
      <c r="C1315" t="inlineStr">
        <is>
          <t>Suganda</t>
        </is>
      </c>
      <c r="D1315" t="inlineStr">
        <is>
          <t>PROD</t>
        </is>
      </c>
      <c r="E1315" t="inlineStr">
        <is>
          <t>Produksi Harian</t>
        </is>
      </c>
      <c r="F1315" t="inlineStr">
        <is>
          <t>09:18:22</t>
        </is>
      </c>
      <c r="G1315" t="inlineStr">
        <is>
          <t>22:03:12</t>
        </is>
      </c>
      <c r="H1315" t="inlineStr">
        <is>
          <t>SELESAI</t>
        </is>
      </c>
      <c r="I1315" t="inlineStr">
        <is>
          <t>MK00221</t>
        </is>
      </c>
      <c r="J1315" t="inlineStr">
        <is>
          <t>21-A</t>
        </is>
      </c>
    </row>
    <row r="1316">
      <c r="A1316" t="inlineStr">
        <is>
          <t>25/06/2026</t>
        </is>
      </c>
      <c r="B1316" t="inlineStr">
        <is>
          <t>528000098</t>
        </is>
      </c>
      <c r="C1316" t="inlineStr">
        <is>
          <t>Edi Junaedi</t>
        </is>
      </c>
      <c r="D1316" t="inlineStr">
        <is>
          <t>PROD</t>
        </is>
      </c>
      <c r="E1316" t="inlineStr">
        <is>
          <t>Produksi Harian</t>
        </is>
      </c>
      <c r="F1316" t="inlineStr"/>
      <c r="G1316" t="inlineStr">
        <is>
          <t>09:57:20</t>
        </is>
      </c>
      <c r="H1316" t="inlineStr">
        <is>
          <t>KELUAR TANPA MASUK</t>
        </is>
      </c>
      <c r="I1316" t="inlineStr">
        <is>
          <t>MK00200</t>
        </is>
      </c>
      <c r="J1316" t="inlineStr"/>
    </row>
    <row r="1317">
      <c r="A1317" t="inlineStr">
        <is>
          <t>25/06/2026</t>
        </is>
      </c>
      <c r="B1317" t="inlineStr">
        <is>
          <t>528000099</t>
        </is>
      </c>
      <c r="C1317" t="inlineStr">
        <is>
          <t>Siti Nurawaliah</t>
        </is>
      </c>
      <c r="D1317" t="inlineStr">
        <is>
          <t>PROD</t>
        </is>
      </c>
      <c r="E1317" t="inlineStr">
        <is>
          <t>Produksi Harian</t>
        </is>
      </c>
      <c r="F1317" t="inlineStr">
        <is>
          <t>13:49:08</t>
        </is>
      </c>
      <c r="G1317" t="inlineStr">
        <is>
          <t>22:06:39</t>
        </is>
      </c>
      <c r="H1317" t="inlineStr">
        <is>
          <t>SELESAI</t>
        </is>
      </c>
      <c r="I1317" t="inlineStr">
        <is>
          <t>MK00204</t>
        </is>
      </c>
      <c r="J1317" t="inlineStr"/>
    </row>
    <row r="1318">
      <c r="A1318" t="inlineStr">
        <is>
          <t>25/06/2026</t>
        </is>
      </c>
      <c r="B1318" t="inlineStr">
        <is>
          <t>528000132</t>
        </is>
      </c>
      <c r="C1318" t="inlineStr">
        <is>
          <t>Giopani</t>
        </is>
      </c>
      <c r="D1318" t="inlineStr">
        <is>
          <t>LOG</t>
        </is>
      </c>
      <c r="E1318" t="inlineStr">
        <is>
          <t>WRM Harian</t>
        </is>
      </c>
      <c r="F1318" t="inlineStr">
        <is>
          <t>15:41:26</t>
        </is>
      </c>
      <c r="G1318" t="inlineStr">
        <is>
          <t>00:48:13</t>
        </is>
      </c>
      <c r="H1318" t="inlineStr">
        <is>
          <t>SELESAI</t>
        </is>
      </c>
      <c r="I1318" t="inlineStr">
        <is>
          <t>MK00088</t>
        </is>
      </c>
      <c r="J1318" t="inlineStr"/>
    </row>
    <row r="1319">
      <c r="A1319" t="inlineStr">
        <is>
          <t>25/06/2026</t>
        </is>
      </c>
      <c r="B1319" t="inlineStr">
        <is>
          <t>528000144</t>
        </is>
      </c>
      <c r="C1319" t="inlineStr">
        <is>
          <t>Jodi Hanafi</t>
        </is>
      </c>
      <c r="D1319" t="inlineStr">
        <is>
          <t>LOG</t>
        </is>
      </c>
      <c r="E1319" t="inlineStr">
        <is>
          <t>WRM Harian</t>
        </is>
      </c>
      <c r="F1319" t="inlineStr">
        <is>
          <t>15:43:48</t>
        </is>
      </c>
      <c r="G1319" t="inlineStr">
        <is>
          <t>00:50:06</t>
        </is>
      </c>
      <c r="H1319" t="inlineStr">
        <is>
          <t>SELESAI</t>
        </is>
      </c>
      <c r="I1319" t="inlineStr">
        <is>
          <t>MK00228</t>
        </is>
      </c>
      <c r="J1319" t="inlineStr"/>
    </row>
    <row r="1320">
      <c r="A1320" t="inlineStr">
        <is>
          <t>25/06/2026</t>
        </is>
      </c>
      <c r="B1320" t="inlineStr">
        <is>
          <t>528000149</t>
        </is>
      </c>
      <c r="C1320" t="inlineStr">
        <is>
          <t>Tio Fernanda</t>
        </is>
      </c>
      <c r="D1320" t="inlineStr">
        <is>
          <t>LOG</t>
        </is>
      </c>
      <c r="E1320" t="inlineStr">
        <is>
          <t>WRM Harian</t>
        </is>
      </c>
      <c r="F1320" t="inlineStr">
        <is>
          <t>08:50:23</t>
        </is>
      </c>
      <c r="G1320" t="inlineStr">
        <is>
          <t>17:04:01</t>
        </is>
      </c>
      <c r="H1320" t="inlineStr">
        <is>
          <t>SELESAI</t>
        </is>
      </c>
      <c r="I1320" t="inlineStr">
        <is>
          <t>MK00212</t>
        </is>
      </c>
      <c r="J1320" t="inlineStr"/>
    </row>
    <row r="1321">
      <c r="A1321" t="inlineStr">
        <is>
          <t>25/06/2026</t>
        </is>
      </c>
      <c r="B1321" t="inlineStr">
        <is>
          <t>528000201</t>
        </is>
      </c>
      <c r="C1321" t="inlineStr">
        <is>
          <t>Zahwa Amelia Choerunissa</t>
        </is>
      </c>
      <c r="D1321" t="inlineStr">
        <is>
          <t>PROD</t>
        </is>
      </c>
      <c r="E1321" t="inlineStr">
        <is>
          <t>Produksi Harian</t>
        </is>
      </c>
      <c r="F1321" t="inlineStr">
        <is>
          <t>13:48:43</t>
        </is>
      </c>
      <c r="G1321" t="inlineStr">
        <is>
          <t>22:06:06</t>
        </is>
      </c>
      <c r="H1321" t="inlineStr">
        <is>
          <t>SELESAI</t>
        </is>
      </c>
      <c r="I1321" t="inlineStr">
        <is>
          <t>MK00230</t>
        </is>
      </c>
      <c r="J1321" t="inlineStr"/>
    </row>
    <row r="1322">
      <c r="A1322" t="inlineStr">
        <is>
          <t>25/06/2026</t>
        </is>
      </c>
      <c r="B1322" t="inlineStr">
        <is>
          <t>528000212</t>
        </is>
      </c>
      <c r="C1322" t="inlineStr">
        <is>
          <t>Rizal Fauzi</t>
        </is>
      </c>
      <c r="D1322" t="inlineStr">
        <is>
          <t>PROD</t>
        </is>
      </c>
      <c r="E1322" t="inlineStr">
        <is>
          <t>Produksi Harian</t>
        </is>
      </c>
      <c r="F1322" t="inlineStr">
        <is>
          <t>14:01:09</t>
        </is>
      </c>
      <c r="G1322" t="inlineStr">
        <is>
          <t>09:53:52</t>
        </is>
      </c>
      <c r="H1322" t="inlineStr">
        <is>
          <t>SELESAI</t>
        </is>
      </c>
      <c r="I1322" t="inlineStr">
        <is>
          <t>MK00150</t>
        </is>
      </c>
      <c r="J1322" t="inlineStr"/>
    </row>
    <row r="1323">
      <c r="A1323" t="inlineStr">
        <is>
          <t>25/06/2026</t>
        </is>
      </c>
      <c r="B1323" t="inlineStr">
        <is>
          <t>528000232</t>
        </is>
      </c>
      <c r="C1323" t="inlineStr">
        <is>
          <t>Agung Aji Suhada</t>
        </is>
      </c>
      <c r="D1323" t="inlineStr">
        <is>
          <t>LOG</t>
        </is>
      </c>
      <c r="E1323" t="inlineStr">
        <is>
          <t>WRM Harian</t>
        </is>
      </c>
      <c r="F1323" t="inlineStr">
        <is>
          <t>08:57:56</t>
        </is>
      </c>
      <c r="G1323" t="inlineStr">
        <is>
          <t>17:02:38</t>
        </is>
      </c>
      <c r="H1323" t="inlineStr">
        <is>
          <t>SELESAI</t>
        </is>
      </c>
      <c r="I1323" t="inlineStr">
        <is>
          <t>MK00046</t>
        </is>
      </c>
      <c r="J1323" t="inlineStr"/>
    </row>
    <row r="1324">
      <c r="A1324" t="inlineStr">
        <is>
          <t>25/06/2026</t>
        </is>
      </c>
      <c r="B1324" t="inlineStr">
        <is>
          <t>528000241</t>
        </is>
      </c>
      <c r="C1324" t="inlineStr">
        <is>
          <t>Balia Nurafif Bilah</t>
        </is>
      </c>
      <c r="D1324" t="inlineStr">
        <is>
          <t>PROD</t>
        </is>
      </c>
      <c r="E1324" t="inlineStr">
        <is>
          <t>Produksi Harian</t>
        </is>
      </c>
      <c r="F1324" t="inlineStr">
        <is>
          <t>13:50:21</t>
        </is>
      </c>
      <c r="G1324" t="inlineStr">
        <is>
          <t>22:02:42</t>
        </is>
      </c>
      <c r="H1324" t="inlineStr">
        <is>
          <t>SELESAI</t>
        </is>
      </c>
      <c r="I1324" t="inlineStr">
        <is>
          <t>MK00145</t>
        </is>
      </c>
      <c r="J1324" t="inlineStr"/>
    </row>
    <row r="1325">
      <c r="A1325" t="inlineStr">
        <is>
          <t>25/06/2026</t>
        </is>
      </c>
      <c r="B1325" t="inlineStr">
        <is>
          <t>528000244</t>
        </is>
      </c>
      <c r="C1325" t="inlineStr">
        <is>
          <t>Rodian Rifai</t>
        </is>
      </c>
      <c r="D1325" t="inlineStr">
        <is>
          <t>PROD</t>
        </is>
      </c>
      <c r="E1325" t="inlineStr">
        <is>
          <t>Produksi Harian</t>
        </is>
      </c>
      <c r="F1325" t="inlineStr">
        <is>
          <t>13:47:58</t>
        </is>
      </c>
      <c r="G1325" t="inlineStr">
        <is>
          <t>22:10:05</t>
        </is>
      </c>
      <c r="H1325" t="inlineStr">
        <is>
          <t>SELESAI</t>
        </is>
      </c>
      <c r="I1325" t="inlineStr">
        <is>
          <t>MK00148</t>
        </is>
      </c>
      <c r="J1325" t="inlineStr"/>
    </row>
    <row r="1326">
      <c r="A1326" t="inlineStr">
        <is>
          <t>25/06/2026</t>
        </is>
      </c>
      <c r="B1326" t="inlineStr">
        <is>
          <t>528000251</t>
        </is>
      </c>
      <c r="C1326" t="inlineStr">
        <is>
          <t>Salya Nugraha</t>
        </is>
      </c>
      <c r="D1326" t="inlineStr">
        <is>
          <t>PROD</t>
        </is>
      </c>
      <c r="E1326" t="inlineStr">
        <is>
          <t>Produksi Harian</t>
        </is>
      </c>
      <c r="F1326" t="inlineStr"/>
      <c r="G1326" t="inlineStr">
        <is>
          <t>09:56:14</t>
        </is>
      </c>
      <c r="H1326" t="inlineStr">
        <is>
          <t>KELUAR TANPA MASUK</t>
        </is>
      </c>
      <c r="I1326" t="inlineStr">
        <is>
          <t>7200181</t>
        </is>
      </c>
      <c r="J1326" t="inlineStr"/>
    </row>
    <row r="1327">
      <c r="A1327" t="inlineStr">
        <is>
          <t>25/06/2026</t>
        </is>
      </c>
      <c r="B1327" t="inlineStr">
        <is>
          <t>528000254</t>
        </is>
      </c>
      <c r="C1327" t="inlineStr">
        <is>
          <t>M. Difa Ramdani</t>
        </is>
      </c>
      <c r="D1327" t="inlineStr">
        <is>
          <t>PROD</t>
        </is>
      </c>
      <c r="E1327" t="inlineStr">
        <is>
          <t>Produksi Harian</t>
        </is>
      </c>
      <c r="F1327" t="inlineStr">
        <is>
          <t>05:55:45</t>
        </is>
      </c>
      <c r="G1327" t="inlineStr">
        <is>
          <t>14:03:56</t>
        </is>
      </c>
      <c r="H1327" t="inlineStr">
        <is>
          <t>SELESAI</t>
        </is>
      </c>
      <c r="I1327" t="inlineStr">
        <is>
          <t>MK00250</t>
        </is>
      </c>
      <c r="J1327" t="inlineStr"/>
    </row>
    <row r="1328">
      <c r="A1328" t="inlineStr">
        <is>
          <t>25/06/2026</t>
        </is>
      </c>
      <c r="B1328" t="inlineStr">
        <is>
          <t>528000256</t>
        </is>
      </c>
      <c r="C1328" t="inlineStr">
        <is>
          <t>Rasianah</t>
        </is>
      </c>
      <c r="D1328" t="inlineStr">
        <is>
          <t>PROD</t>
        </is>
      </c>
      <c r="E1328" t="inlineStr">
        <is>
          <t>Produksi Harian</t>
        </is>
      </c>
      <c r="F1328" t="inlineStr">
        <is>
          <t>05:54:47</t>
        </is>
      </c>
      <c r="G1328" t="inlineStr">
        <is>
          <t>14:05:31</t>
        </is>
      </c>
      <c r="H1328" t="inlineStr">
        <is>
          <t>SELESAI</t>
        </is>
      </c>
      <c r="I1328" t="inlineStr">
        <is>
          <t>MK00208</t>
        </is>
      </c>
      <c r="J1328" t="inlineStr"/>
    </row>
    <row r="1329">
      <c r="A1329" t="inlineStr">
        <is>
          <t>25/06/2026</t>
        </is>
      </c>
      <c r="B1329" t="inlineStr">
        <is>
          <t>528000265</t>
        </is>
      </c>
      <c r="C1329" t="inlineStr">
        <is>
          <t>Muhammad Haerul Rozikin</t>
        </is>
      </c>
      <c r="D1329" t="inlineStr">
        <is>
          <t>LOG</t>
        </is>
      </c>
      <c r="E1329" t="inlineStr">
        <is>
          <t>WRM Harian</t>
        </is>
      </c>
      <c r="F1329" t="inlineStr">
        <is>
          <t>07:42:46</t>
        </is>
      </c>
      <c r="G1329" t="inlineStr">
        <is>
          <t>16:04:37</t>
        </is>
      </c>
      <c r="H1329" t="inlineStr">
        <is>
          <t>SELESAI</t>
        </is>
      </c>
      <c r="I1329" t="inlineStr">
        <is>
          <t>MK00213</t>
        </is>
      </c>
      <c r="J1329" t="inlineStr"/>
    </row>
    <row r="1330">
      <c r="A1330" t="inlineStr">
        <is>
          <t>25/06/2026</t>
        </is>
      </c>
      <c r="B1330" t="inlineStr">
        <is>
          <t>528000270</t>
        </is>
      </c>
      <c r="C1330" t="inlineStr">
        <is>
          <t>Febri Najmudin</t>
        </is>
      </c>
      <c r="D1330" t="inlineStr">
        <is>
          <t>LOG</t>
        </is>
      </c>
      <c r="E1330" t="inlineStr">
        <is>
          <t>WRM Harian</t>
        </is>
      </c>
      <c r="F1330" t="inlineStr">
        <is>
          <t>21:46:55</t>
        </is>
      </c>
      <c r="G1330" t="inlineStr">
        <is>
          <t>06:39:10</t>
        </is>
      </c>
      <c r="H1330" t="inlineStr">
        <is>
          <t>SELESAI</t>
        </is>
      </c>
      <c r="I1330" t="inlineStr">
        <is>
          <t>MK00138</t>
        </is>
      </c>
      <c r="J1330" t="inlineStr"/>
    </row>
    <row r="1331">
      <c r="A1331" t="inlineStr">
        <is>
          <t>25/06/2026</t>
        </is>
      </c>
      <c r="B1331" t="inlineStr">
        <is>
          <t>528000273</t>
        </is>
      </c>
      <c r="C1331" t="inlineStr">
        <is>
          <t>Asep Mulyana</t>
        </is>
      </c>
      <c r="D1331" t="inlineStr">
        <is>
          <t>PROD</t>
        </is>
      </c>
      <c r="E1331" t="inlineStr">
        <is>
          <t>Produksi Harian</t>
        </is>
      </c>
      <c r="F1331" t="inlineStr">
        <is>
          <t>07:53:24</t>
        </is>
      </c>
      <c r="G1331" t="inlineStr">
        <is>
          <t>16:01:49</t>
        </is>
      </c>
      <c r="H1331" t="inlineStr">
        <is>
          <t>SELESAI</t>
        </is>
      </c>
      <c r="I1331" t="inlineStr">
        <is>
          <t>MK00199</t>
        </is>
      </c>
      <c r="J1331" t="inlineStr"/>
    </row>
    <row r="1332">
      <c r="A1332" t="inlineStr">
        <is>
          <t>25/06/2026</t>
        </is>
      </c>
      <c r="B1332" t="inlineStr">
        <is>
          <t>528000274</t>
        </is>
      </c>
      <c r="C1332" t="inlineStr">
        <is>
          <t>Zepri</t>
        </is>
      </c>
      <c r="D1332" t="inlineStr">
        <is>
          <t>PROD</t>
        </is>
      </c>
      <c r="E1332" t="inlineStr">
        <is>
          <t>Produksi Harian</t>
        </is>
      </c>
      <c r="F1332" t="inlineStr">
        <is>
          <t>13:53:42</t>
        </is>
      </c>
      <c r="G1332" t="inlineStr">
        <is>
          <t>22:02:00</t>
        </is>
      </c>
      <c r="H1332" t="inlineStr">
        <is>
          <t>SELESAI</t>
        </is>
      </c>
      <c r="I1332" t="inlineStr">
        <is>
          <t>MK00156</t>
        </is>
      </c>
      <c r="J1332" t="inlineStr"/>
    </row>
    <row r="1333">
      <c r="A1333" t="inlineStr">
        <is>
          <t>25/06/2026</t>
        </is>
      </c>
      <c r="B1333" t="inlineStr">
        <is>
          <t>528000279</t>
        </is>
      </c>
      <c r="C1333" t="inlineStr">
        <is>
          <t>Mahdalena Dalfa Riani</t>
        </is>
      </c>
      <c r="D1333" t="inlineStr">
        <is>
          <t>PROD</t>
        </is>
      </c>
      <c r="E1333" t="inlineStr">
        <is>
          <t>Produksi Harian</t>
        </is>
      </c>
      <c r="F1333" t="inlineStr">
        <is>
          <t>05:48:38</t>
        </is>
      </c>
      <c r="G1333" t="inlineStr">
        <is>
          <t>14:06:36</t>
        </is>
      </c>
      <c r="H1333" t="inlineStr">
        <is>
          <t>SELESAI</t>
        </is>
      </c>
      <c r="I1333" t="inlineStr">
        <is>
          <t>MK00085</t>
        </is>
      </c>
      <c r="J1333" t="inlineStr"/>
    </row>
    <row r="1334">
      <c r="A1334" t="inlineStr">
        <is>
          <t>25/06/2026</t>
        </is>
      </c>
      <c r="B1334" t="inlineStr">
        <is>
          <t>528000282</t>
        </is>
      </c>
      <c r="C1334" t="inlineStr">
        <is>
          <t>Defa Desfiana</t>
        </is>
      </c>
      <c r="D1334" t="inlineStr">
        <is>
          <t>PROD</t>
        </is>
      </c>
      <c r="E1334" t="inlineStr">
        <is>
          <t>Produksi Harian</t>
        </is>
      </c>
      <c r="F1334" t="inlineStr">
        <is>
          <t>07:36:41</t>
        </is>
      </c>
      <c r="G1334" t="inlineStr">
        <is>
          <t>16:01:13</t>
        </is>
      </c>
      <c r="H1334" t="inlineStr">
        <is>
          <t>SELESAI</t>
        </is>
      </c>
      <c r="I1334" t="inlineStr">
        <is>
          <t>MK00116</t>
        </is>
      </c>
      <c r="J1334" t="inlineStr">
        <is>
          <t>23c</t>
        </is>
      </c>
    </row>
    <row r="1335">
      <c r="A1335" t="inlineStr">
        <is>
          <t>25/06/2026</t>
        </is>
      </c>
      <c r="B1335" t="inlineStr">
        <is>
          <t>528000283</t>
        </is>
      </c>
      <c r="C1335" t="inlineStr">
        <is>
          <t>Purwanda Sugiri</t>
        </is>
      </c>
      <c r="D1335" t="inlineStr">
        <is>
          <t>LOG</t>
        </is>
      </c>
      <c r="E1335" t="inlineStr">
        <is>
          <t>WRM Harian</t>
        </is>
      </c>
      <c r="F1335" t="inlineStr"/>
      <c r="G1335" t="inlineStr">
        <is>
          <t>09:58:10</t>
        </is>
      </c>
      <c r="H1335" t="inlineStr">
        <is>
          <t>KELUAR TANPA MASUK</t>
        </is>
      </c>
      <c r="I1335" t="inlineStr">
        <is>
          <t>MK0093</t>
        </is>
      </c>
      <c r="J1335" t="inlineStr"/>
    </row>
    <row r="1336">
      <c r="A1336" t="inlineStr">
        <is>
          <t>25/06/2026</t>
        </is>
      </c>
      <c r="B1336" t="inlineStr">
        <is>
          <t>528000286</t>
        </is>
      </c>
      <c r="C1336" t="inlineStr">
        <is>
          <t>Imelda Amelia</t>
        </is>
      </c>
      <c r="D1336" t="inlineStr">
        <is>
          <t>PROD</t>
        </is>
      </c>
      <c r="E1336" t="inlineStr">
        <is>
          <t>Produksi Harian</t>
        </is>
      </c>
      <c r="F1336" t="inlineStr">
        <is>
          <t>13:41:17</t>
        </is>
      </c>
      <c r="G1336" t="inlineStr">
        <is>
          <t>22:07:00</t>
        </is>
      </c>
      <c r="H1336" t="inlineStr">
        <is>
          <t>SELESAI</t>
        </is>
      </c>
      <c r="I1336" t="inlineStr">
        <is>
          <t>MK00185</t>
        </is>
      </c>
      <c r="J1336" t="inlineStr"/>
    </row>
    <row r="1337">
      <c r="A1337" t="inlineStr">
        <is>
          <t>25/06/2026</t>
        </is>
      </c>
      <c r="B1337" t="inlineStr">
        <is>
          <t>528000288</t>
        </is>
      </c>
      <c r="C1337" t="inlineStr">
        <is>
          <t>Dede gunawan</t>
        </is>
      </c>
      <c r="D1337" t="inlineStr">
        <is>
          <t>PROD</t>
        </is>
      </c>
      <c r="E1337" t="inlineStr">
        <is>
          <t>Produksi Harian</t>
        </is>
      </c>
      <c r="F1337" t="inlineStr"/>
      <c r="G1337" t="inlineStr">
        <is>
          <t>09:55:08</t>
        </is>
      </c>
      <c r="H1337" t="inlineStr">
        <is>
          <t>KELUAR TANPA MASUK</t>
        </is>
      </c>
      <c r="I1337" t="inlineStr">
        <is>
          <t>MK008I</t>
        </is>
      </c>
      <c r="J1337" t="inlineStr"/>
    </row>
    <row r="1338">
      <c r="A1338" t="inlineStr">
        <is>
          <t>25/06/2026</t>
        </is>
      </c>
      <c r="B1338" t="inlineStr">
        <is>
          <t>528000290</t>
        </is>
      </c>
      <c r="C1338" t="inlineStr">
        <is>
          <t>Eval Pranata</t>
        </is>
      </c>
      <c r="D1338" t="inlineStr">
        <is>
          <t>PROD</t>
        </is>
      </c>
      <c r="E1338" t="inlineStr">
        <is>
          <t>Produksi Harian</t>
        </is>
      </c>
      <c r="F1338" t="inlineStr">
        <is>
          <t>13:54:56</t>
        </is>
      </c>
      <c r="G1338" t="inlineStr">
        <is>
          <t>22:03:28</t>
        </is>
      </c>
      <c r="H1338" t="inlineStr">
        <is>
          <t>SELESAI</t>
        </is>
      </c>
      <c r="I1338" t="inlineStr">
        <is>
          <t>MK00141</t>
        </is>
      </c>
      <c r="J1338" t="inlineStr"/>
    </row>
    <row r="1339">
      <c r="A1339" t="inlineStr">
        <is>
          <t>25/06/2026</t>
        </is>
      </c>
      <c r="B1339" t="inlineStr">
        <is>
          <t>528000297</t>
        </is>
      </c>
      <c r="C1339" t="inlineStr">
        <is>
          <t>Muhamad Budiana</t>
        </is>
      </c>
      <c r="D1339" t="inlineStr">
        <is>
          <t>PROD</t>
        </is>
      </c>
      <c r="E1339" t="inlineStr">
        <is>
          <t>Produksi Harian</t>
        </is>
      </c>
      <c r="F1339" t="inlineStr">
        <is>
          <t>05:59:05</t>
        </is>
      </c>
      <c r="G1339" t="inlineStr">
        <is>
          <t>14:20:33</t>
        </is>
      </c>
      <c r="H1339" t="inlineStr">
        <is>
          <t>SELESAI</t>
        </is>
      </c>
      <c r="I1339" t="inlineStr">
        <is>
          <t>MK00136</t>
        </is>
      </c>
      <c r="J1339" t="inlineStr"/>
    </row>
    <row r="1340">
      <c r="A1340" t="inlineStr">
        <is>
          <t>25/06/2026</t>
        </is>
      </c>
      <c r="B1340" t="inlineStr">
        <is>
          <t>528000298</t>
        </is>
      </c>
      <c r="C1340" t="inlineStr">
        <is>
          <t>Desta Cahaya Pratama</t>
        </is>
      </c>
      <c r="D1340" t="inlineStr">
        <is>
          <t>PROD</t>
        </is>
      </c>
      <c r="E1340" t="inlineStr">
        <is>
          <t>Produksi Harian</t>
        </is>
      </c>
      <c r="F1340" t="inlineStr">
        <is>
          <t>21:44:03</t>
        </is>
      </c>
      <c r="G1340" t="inlineStr">
        <is>
          <t>06:05:56</t>
        </is>
      </c>
      <c r="H1340" t="inlineStr">
        <is>
          <t>SELESAI</t>
        </is>
      </c>
      <c r="I1340" t="inlineStr">
        <is>
          <t>MK00209</t>
        </is>
      </c>
      <c r="J1340" t="inlineStr"/>
    </row>
    <row r="1341">
      <c r="A1341" t="inlineStr">
        <is>
          <t>25/06/2026</t>
        </is>
      </c>
      <c r="B1341" t="inlineStr">
        <is>
          <t>528000299</t>
        </is>
      </c>
      <c r="C1341" t="inlineStr">
        <is>
          <t>Siti Nurjanah</t>
        </is>
      </c>
      <c r="D1341" t="inlineStr">
        <is>
          <t>PROD</t>
        </is>
      </c>
      <c r="E1341" t="inlineStr">
        <is>
          <t>Produksi Harian</t>
        </is>
      </c>
      <c r="F1341" t="inlineStr">
        <is>
          <t>21:44:54</t>
        </is>
      </c>
      <c r="G1341" t="inlineStr">
        <is>
          <t>06:03:58</t>
        </is>
      </c>
      <c r="H1341" t="inlineStr">
        <is>
          <t>SELESAI</t>
        </is>
      </c>
      <c r="I1341" t="inlineStr">
        <is>
          <t>MK00158</t>
        </is>
      </c>
      <c r="J1341" t="inlineStr"/>
    </row>
    <row r="1342">
      <c r="A1342" t="inlineStr">
        <is>
          <t>25/06/2026</t>
        </is>
      </c>
      <c r="B1342" t="inlineStr">
        <is>
          <t>528000300</t>
        </is>
      </c>
      <c r="C1342" t="inlineStr">
        <is>
          <t>Lia pitaloka</t>
        </is>
      </c>
      <c r="D1342" t="inlineStr">
        <is>
          <t>PROD</t>
        </is>
      </c>
      <c r="E1342" t="inlineStr">
        <is>
          <t>Produksi Harian</t>
        </is>
      </c>
      <c r="F1342" t="inlineStr">
        <is>
          <t>05:54:19</t>
        </is>
      </c>
      <c r="G1342" t="inlineStr">
        <is>
          <t>14:07:11</t>
        </is>
      </c>
      <c r="H1342" t="inlineStr">
        <is>
          <t>SELESAI</t>
        </is>
      </c>
      <c r="I1342" t="inlineStr">
        <is>
          <t>MK00090</t>
        </is>
      </c>
      <c r="J1342" t="inlineStr"/>
    </row>
    <row r="1343">
      <c r="A1343" t="inlineStr">
        <is>
          <t>25/06/2026</t>
        </is>
      </c>
      <c r="B1343" t="inlineStr">
        <is>
          <t>528000302</t>
        </is>
      </c>
      <c r="C1343" t="inlineStr">
        <is>
          <t>Henkey gumilar</t>
        </is>
      </c>
      <c r="D1343" t="inlineStr">
        <is>
          <t>PROD</t>
        </is>
      </c>
      <c r="E1343" t="inlineStr">
        <is>
          <t>Produksi Harian</t>
        </is>
      </c>
      <c r="F1343" t="inlineStr">
        <is>
          <t>21:48:33</t>
        </is>
      </c>
      <c r="G1343" t="inlineStr">
        <is>
          <t>06:12:29</t>
        </is>
      </c>
      <c r="H1343" t="inlineStr">
        <is>
          <t>SELESAI</t>
        </is>
      </c>
      <c r="I1343" t="inlineStr">
        <is>
          <t>MK00204</t>
        </is>
      </c>
      <c r="J1343" t="inlineStr"/>
    </row>
    <row r="1344">
      <c r="A1344" t="inlineStr">
        <is>
          <t>25/06/2026</t>
        </is>
      </c>
      <c r="B1344" t="inlineStr">
        <is>
          <t>528000305</t>
        </is>
      </c>
      <c r="C1344" t="inlineStr">
        <is>
          <t>Puji Puspita</t>
        </is>
      </c>
      <c r="D1344" t="inlineStr">
        <is>
          <t>PROD</t>
        </is>
      </c>
      <c r="E1344" t="inlineStr">
        <is>
          <t>Produksi Harian</t>
        </is>
      </c>
      <c r="F1344" t="inlineStr">
        <is>
          <t>21:46:01</t>
        </is>
      </c>
      <c r="G1344" t="inlineStr">
        <is>
          <t>06:02:43</t>
        </is>
      </c>
      <c r="H1344" t="inlineStr">
        <is>
          <t>SELESAI</t>
        </is>
      </c>
      <c r="I1344" t="inlineStr">
        <is>
          <t>PE8532</t>
        </is>
      </c>
      <c r="J1344" t="inlineStr"/>
    </row>
    <row r="1345">
      <c r="A1345" t="inlineStr">
        <is>
          <t>25/06/2026</t>
        </is>
      </c>
      <c r="B1345" t="inlineStr">
        <is>
          <t>528000348</t>
        </is>
      </c>
      <c r="C1345" t="inlineStr">
        <is>
          <t>Saepuloh Ardiansah</t>
        </is>
      </c>
      <c r="D1345" t="inlineStr">
        <is>
          <t>LOG</t>
        </is>
      </c>
      <c r="E1345" t="inlineStr">
        <is>
          <t>WRM Harian</t>
        </is>
      </c>
      <c r="F1345" t="inlineStr">
        <is>
          <t>09:04:42</t>
        </is>
      </c>
      <c r="G1345" t="inlineStr">
        <is>
          <t>17:51:38</t>
        </is>
      </c>
      <c r="H1345" t="inlineStr">
        <is>
          <t>SELESAI</t>
        </is>
      </c>
      <c r="I1345" t="inlineStr">
        <is>
          <t>MK00205</t>
        </is>
      </c>
      <c r="J1345" t="inlineStr"/>
    </row>
    <row r="1346">
      <c r="A1346" t="inlineStr">
        <is>
          <t>25/06/2026</t>
        </is>
      </c>
      <c r="B1346" t="inlineStr">
        <is>
          <t>528000349</t>
        </is>
      </c>
      <c r="C1346" t="inlineStr">
        <is>
          <t>Anas Abdul Fatah</t>
        </is>
      </c>
      <c r="D1346" t="inlineStr">
        <is>
          <t>LOG</t>
        </is>
      </c>
      <c r="E1346" t="inlineStr">
        <is>
          <t>WFG Harian</t>
        </is>
      </c>
      <c r="F1346" t="inlineStr">
        <is>
          <t>08:02:52</t>
        </is>
      </c>
      <c r="G1346" t="inlineStr">
        <is>
          <t>08:01:46</t>
        </is>
      </c>
      <c r="H1346" t="inlineStr">
        <is>
          <t>SELESAI</t>
        </is>
      </c>
      <c r="I1346" t="inlineStr">
        <is>
          <t>MK00158</t>
        </is>
      </c>
      <c r="J1346" t="inlineStr"/>
    </row>
    <row r="1347">
      <c r="A1347" t="inlineStr">
        <is>
          <t>25/06/2026</t>
        </is>
      </c>
      <c r="B1347" t="inlineStr">
        <is>
          <t>528000351</t>
        </is>
      </c>
      <c r="C1347" t="inlineStr">
        <is>
          <t>Mulyana</t>
        </is>
      </c>
      <c r="D1347" t="inlineStr">
        <is>
          <t>PROD</t>
        </is>
      </c>
      <c r="E1347" t="inlineStr">
        <is>
          <t>Produksi Harian</t>
        </is>
      </c>
      <c r="F1347" t="inlineStr"/>
      <c r="G1347" t="inlineStr">
        <is>
          <t>09:59:01</t>
        </is>
      </c>
      <c r="H1347" t="inlineStr">
        <is>
          <t>KELUAR TANPA MASUK</t>
        </is>
      </c>
      <c r="I1347" t="inlineStr">
        <is>
          <t>MA00185</t>
        </is>
      </c>
      <c r="J1347" t="inlineStr"/>
    </row>
    <row r="1348">
      <c r="A1348" t="inlineStr">
        <is>
          <t>25/06/2026</t>
        </is>
      </c>
      <c r="B1348" t="inlineStr">
        <is>
          <t>628000061</t>
        </is>
      </c>
      <c r="C1348" t="inlineStr">
        <is>
          <t>Nayla Fadillah Exwantoro</t>
        </is>
      </c>
      <c r="D1348" t="inlineStr">
        <is>
          <t>PROD</t>
        </is>
      </c>
      <c r="E1348" t="inlineStr">
        <is>
          <t>Produksi Borongan</t>
        </is>
      </c>
      <c r="F1348" t="inlineStr">
        <is>
          <t>16:53:57</t>
        </is>
      </c>
      <c r="G1348" t="inlineStr">
        <is>
          <t>16:54:29</t>
        </is>
      </c>
      <c r="H1348" t="inlineStr">
        <is>
          <t>SELESAI</t>
        </is>
      </c>
      <c r="I1348" t="inlineStr">
        <is>
          <t>MK00124</t>
        </is>
      </c>
      <c r="J1348" t="inlineStr"/>
    </row>
    <row r="1349">
      <c r="A1349" t="inlineStr">
        <is>
          <t>25/06/2026</t>
        </is>
      </c>
      <c r="B1349" t="inlineStr">
        <is>
          <t>628000064</t>
        </is>
      </c>
      <c r="C1349" t="inlineStr">
        <is>
          <t>Silva Alypia</t>
        </is>
      </c>
      <c r="D1349" t="inlineStr">
        <is>
          <t>PROD</t>
        </is>
      </c>
      <c r="E1349" t="inlineStr">
        <is>
          <t>Produksi Borongan</t>
        </is>
      </c>
      <c r="F1349" t="inlineStr">
        <is>
          <t>05:48:21</t>
        </is>
      </c>
      <c r="G1349" t="inlineStr">
        <is>
          <t>14:06:39</t>
        </is>
      </c>
      <c r="H1349" t="inlineStr">
        <is>
          <t>SELESAI</t>
        </is>
      </c>
      <c r="I1349" t="inlineStr">
        <is>
          <t>MK00154</t>
        </is>
      </c>
      <c r="J1349" t="inlineStr"/>
    </row>
    <row r="1350">
      <c r="A1350" t="inlineStr">
        <is>
          <t>26/06/2026</t>
        </is>
      </c>
      <c r="B1350" t="inlineStr">
        <is>
          <t>528000015</t>
        </is>
      </c>
      <c r="C1350" t="inlineStr">
        <is>
          <t>Erwin</t>
        </is>
      </c>
      <c r="D1350" t="inlineStr">
        <is>
          <t>LOG</t>
        </is>
      </c>
      <c r="E1350" t="inlineStr">
        <is>
          <t>WRM Harian</t>
        </is>
      </c>
      <c r="F1350" t="inlineStr">
        <is>
          <t>12:45:13</t>
        </is>
      </c>
      <c r="G1350" t="inlineStr">
        <is>
          <t>18:04:24</t>
        </is>
      </c>
      <c r="H1350" t="inlineStr">
        <is>
          <t>SELESAI</t>
        </is>
      </c>
      <c r="I1350" t="inlineStr">
        <is>
          <t>MK00156</t>
        </is>
      </c>
      <c r="J1350" t="inlineStr"/>
    </row>
    <row r="1351">
      <c r="A1351" t="inlineStr">
        <is>
          <t>26/06/2026</t>
        </is>
      </c>
      <c r="B1351" t="inlineStr">
        <is>
          <t>528000052</t>
        </is>
      </c>
      <c r="C1351" t="inlineStr">
        <is>
          <t>Mustopa</t>
        </is>
      </c>
      <c r="D1351" t="inlineStr">
        <is>
          <t>PROD</t>
        </is>
      </c>
      <c r="E1351" t="inlineStr">
        <is>
          <t>Produksi Harian</t>
        </is>
      </c>
      <c r="F1351" t="inlineStr">
        <is>
          <t>12:54:22</t>
        </is>
      </c>
      <c r="G1351" t="inlineStr"/>
      <c r="H1351" t="inlineStr">
        <is>
          <t>DI DALAM</t>
        </is>
      </c>
      <c r="I1351" t="inlineStr">
        <is>
          <t>MK0085</t>
        </is>
      </c>
      <c r="J1351" t="inlineStr"/>
    </row>
    <row r="1352">
      <c r="A1352" t="inlineStr">
        <is>
          <t>26/06/2026</t>
        </is>
      </c>
      <c r="B1352" t="inlineStr">
        <is>
          <t>528000055</t>
        </is>
      </c>
      <c r="C1352" t="inlineStr">
        <is>
          <t>Dika Prasetya</t>
        </is>
      </c>
      <c r="D1352" t="inlineStr">
        <is>
          <t>LOG</t>
        </is>
      </c>
      <c r="E1352" t="inlineStr">
        <is>
          <t>WRM Harian</t>
        </is>
      </c>
      <c r="F1352" t="inlineStr">
        <is>
          <t>07:53:21</t>
        </is>
      </c>
      <c r="G1352" t="inlineStr">
        <is>
          <t>13:17:10</t>
        </is>
      </c>
      <c r="H1352" t="inlineStr">
        <is>
          <t>SELESAI</t>
        </is>
      </c>
      <c r="I1352" t="inlineStr">
        <is>
          <t>MK00202</t>
        </is>
      </c>
      <c r="J1352" t="inlineStr"/>
    </row>
    <row r="1353">
      <c r="A1353" t="inlineStr">
        <is>
          <t>26/06/2026</t>
        </is>
      </c>
      <c r="B1353" t="inlineStr">
        <is>
          <t>528000063</t>
        </is>
      </c>
      <c r="C1353" t="inlineStr">
        <is>
          <t>Muhamad Ripki Pebrian</t>
        </is>
      </c>
      <c r="D1353" t="inlineStr">
        <is>
          <t>PROD</t>
        </is>
      </c>
      <c r="E1353" t="inlineStr">
        <is>
          <t>Produksi Harian</t>
        </is>
      </c>
      <c r="F1353" t="inlineStr">
        <is>
          <t>05:54:42</t>
        </is>
      </c>
      <c r="G1353" t="inlineStr">
        <is>
          <t>14:02:06</t>
        </is>
      </c>
      <c r="H1353" t="inlineStr">
        <is>
          <t>SELESAI</t>
        </is>
      </c>
      <c r="I1353" t="inlineStr">
        <is>
          <t>MK00138</t>
        </is>
      </c>
      <c r="J1353" t="inlineStr"/>
    </row>
    <row r="1354">
      <c r="A1354" t="inlineStr">
        <is>
          <t>26/06/2026</t>
        </is>
      </c>
      <c r="B1354" t="inlineStr">
        <is>
          <t>528000132</t>
        </is>
      </c>
      <c r="C1354" t="inlineStr">
        <is>
          <t>Giopani</t>
        </is>
      </c>
      <c r="D1354" t="inlineStr">
        <is>
          <t>LOG</t>
        </is>
      </c>
      <c r="E1354" t="inlineStr">
        <is>
          <t>WRM Harian</t>
        </is>
      </c>
      <c r="F1354" t="inlineStr">
        <is>
          <t>12:58:27</t>
        </is>
      </c>
      <c r="G1354" t="inlineStr">
        <is>
          <t>18:13:03</t>
        </is>
      </c>
      <c r="H1354" t="inlineStr">
        <is>
          <t>SELESAI</t>
        </is>
      </c>
      <c r="I1354" t="inlineStr">
        <is>
          <t>MK00228</t>
        </is>
      </c>
      <c r="J1354" t="inlineStr"/>
    </row>
    <row r="1355">
      <c r="A1355" t="inlineStr">
        <is>
          <t>26/06/2026</t>
        </is>
      </c>
      <c r="B1355" t="inlineStr">
        <is>
          <t>528000144</t>
        </is>
      </c>
      <c r="C1355" t="inlineStr">
        <is>
          <t>Jodi Hanafi</t>
        </is>
      </c>
      <c r="D1355" t="inlineStr">
        <is>
          <t>LOG</t>
        </is>
      </c>
      <c r="E1355" t="inlineStr">
        <is>
          <t>WRM Harian</t>
        </is>
      </c>
      <c r="F1355" t="inlineStr">
        <is>
          <t>12:57:14</t>
        </is>
      </c>
      <c r="G1355" t="inlineStr">
        <is>
          <t>18:13:35</t>
        </is>
      </c>
      <c r="H1355" t="inlineStr">
        <is>
          <t>SELESAI</t>
        </is>
      </c>
      <c r="I1355" t="inlineStr">
        <is>
          <t>MK00088</t>
        </is>
      </c>
      <c r="J1355" t="inlineStr"/>
    </row>
    <row r="1356">
      <c r="A1356" t="inlineStr">
        <is>
          <t>26/06/2026</t>
        </is>
      </c>
      <c r="B1356" t="inlineStr">
        <is>
          <t>528000149</t>
        </is>
      </c>
      <c r="C1356" t="inlineStr">
        <is>
          <t>Tio Fernanda</t>
        </is>
      </c>
      <c r="D1356" t="inlineStr">
        <is>
          <t>LOG</t>
        </is>
      </c>
      <c r="E1356" t="inlineStr">
        <is>
          <t>WRM Harian</t>
        </is>
      </c>
      <c r="F1356" t="inlineStr">
        <is>
          <t>08:51:35</t>
        </is>
      </c>
      <c r="G1356" t="inlineStr"/>
      <c r="H1356" t="inlineStr">
        <is>
          <t>DI DALAM</t>
        </is>
      </c>
      <c r="I1356" t="inlineStr">
        <is>
          <t>MK00212</t>
        </is>
      </c>
      <c r="J1356" t="inlineStr"/>
    </row>
    <row r="1357">
      <c r="A1357" t="inlineStr">
        <is>
          <t>26/06/2026</t>
        </is>
      </c>
      <c r="B1357" t="inlineStr">
        <is>
          <t>528000195</t>
        </is>
      </c>
      <c r="C1357" t="inlineStr">
        <is>
          <t>Rahma Sariwati</t>
        </is>
      </c>
      <c r="D1357" t="inlineStr">
        <is>
          <t>PROD</t>
        </is>
      </c>
      <c r="E1357" t="inlineStr">
        <is>
          <t>Produksi Harian</t>
        </is>
      </c>
      <c r="F1357" t="inlineStr">
        <is>
          <t>13:42:58</t>
        </is>
      </c>
      <c r="G1357" t="inlineStr">
        <is>
          <t>22:08:32</t>
        </is>
      </c>
      <c r="H1357" t="inlineStr">
        <is>
          <t>SELESAI</t>
        </is>
      </c>
      <c r="I1357" t="inlineStr">
        <is>
          <t>MK00221</t>
        </is>
      </c>
      <c r="J1357" t="inlineStr"/>
    </row>
    <row r="1358">
      <c r="A1358" t="inlineStr">
        <is>
          <t>26/06/2026</t>
        </is>
      </c>
      <c r="B1358" t="inlineStr">
        <is>
          <t>528000232</t>
        </is>
      </c>
      <c r="C1358" t="inlineStr">
        <is>
          <t>Agung Aji Suhada</t>
        </is>
      </c>
      <c r="D1358" t="inlineStr">
        <is>
          <t>LOG</t>
        </is>
      </c>
      <c r="E1358" t="inlineStr">
        <is>
          <t>WRM Harian</t>
        </is>
      </c>
      <c r="F1358" t="inlineStr">
        <is>
          <t>08:56:56</t>
        </is>
      </c>
      <c r="G1358" t="inlineStr">
        <is>
          <t>14:02:49</t>
        </is>
      </c>
      <c r="H1358" t="inlineStr">
        <is>
          <t>SELESAI</t>
        </is>
      </c>
      <c r="I1358" t="inlineStr">
        <is>
          <t>MK00046</t>
        </is>
      </c>
      <c r="J1358" t="inlineStr"/>
    </row>
    <row r="1359">
      <c r="A1359" t="inlineStr">
        <is>
          <t>26/06/2026</t>
        </is>
      </c>
      <c r="B1359" t="inlineStr">
        <is>
          <t>528000248</t>
        </is>
      </c>
      <c r="C1359" t="inlineStr">
        <is>
          <t>Roka Jaya Salka Mulya</t>
        </is>
      </c>
      <c r="D1359" t="inlineStr">
        <is>
          <t>PROD</t>
        </is>
      </c>
      <c r="E1359" t="inlineStr">
        <is>
          <t>Produksi Harian</t>
        </is>
      </c>
      <c r="F1359" t="inlineStr">
        <is>
          <t>05:55:33</t>
        </is>
      </c>
      <c r="G1359" t="inlineStr">
        <is>
          <t>14:02:38</t>
        </is>
      </c>
      <c r="H1359" t="inlineStr">
        <is>
          <t>SELESAI</t>
        </is>
      </c>
      <c r="I1359" t="inlineStr">
        <is>
          <t>MK00148</t>
        </is>
      </c>
      <c r="J1359" t="inlineStr"/>
    </row>
    <row r="1360">
      <c r="A1360" t="inlineStr">
        <is>
          <t>26/06/2026</t>
        </is>
      </c>
      <c r="B1360" t="inlineStr">
        <is>
          <t>528000254</t>
        </is>
      </c>
      <c r="C1360" t="inlineStr">
        <is>
          <t>M. Difa Ramdani</t>
        </is>
      </c>
      <c r="D1360" t="inlineStr">
        <is>
          <t>PROD</t>
        </is>
      </c>
      <c r="E1360" t="inlineStr">
        <is>
          <t>Produksi Harian</t>
        </is>
      </c>
      <c r="F1360" t="inlineStr">
        <is>
          <t>05:55:04</t>
        </is>
      </c>
      <c r="G1360" t="inlineStr">
        <is>
          <t>14:02:06</t>
        </is>
      </c>
      <c r="H1360" t="inlineStr">
        <is>
          <t>SELESAI</t>
        </is>
      </c>
      <c r="I1360" t="inlineStr">
        <is>
          <t>MK00134</t>
        </is>
      </c>
      <c r="J1360" t="inlineStr"/>
    </row>
    <row r="1361">
      <c r="A1361" t="inlineStr">
        <is>
          <t>26/06/2026</t>
        </is>
      </c>
      <c r="B1361" t="inlineStr">
        <is>
          <t>528000256</t>
        </is>
      </c>
      <c r="C1361" t="inlineStr">
        <is>
          <t>Rasianah</t>
        </is>
      </c>
      <c r="D1361" t="inlineStr">
        <is>
          <t>PROD</t>
        </is>
      </c>
      <c r="E1361" t="inlineStr">
        <is>
          <t>Produksi Harian</t>
        </is>
      </c>
      <c r="F1361" t="inlineStr">
        <is>
          <t>05:27:08</t>
        </is>
      </c>
      <c r="G1361" t="inlineStr"/>
      <c r="H1361" t="inlineStr">
        <is>
          <t>DI DALAM</t>
        </is>
      </c>
      <c r="I1361" t="inlineStr">
        <is>
          <t>MK00101</t>
        </is>
      </c>
      <c r="J1361" t="inlineStr"/>
    </row>
    <row r="1362">
      <c r="A1362" t="inlineStr">
        <is>
          <t>26/06/2026</t>
        </is>
      </c>
      <c r="B1362" t="inlineStr">
        <is>
          <t>528000261</t>
        </is>
      </c>
      <c r="C1362" t="inlineStr">
        <is>
          <t>Ergi Ergianto</t>
        </is>
      </c>
      <c r="D1362" t="inlineStr">
        <is>
          <t>HRGA</t>
        </is>
      </c>
      <c r="E1362" t="inlineStr">
        <is>
          <t>GA Harian</t>
        </is>
      </c>
      <c r="F1362" t="inlineStr">
        <is>
          <t>13:48:35</t>
        </is>
      </c>
      <c r="G1362" t="inlineStr">
        <is>
          <t>22:04:28</t>
        </is>
      </c>
      <c r="H1362" t="inlineStr">
        <is>
          <t>SELESAI</t>
        </is>
      </c>
      <c r="I1362" t="inlineStr">
        <is>
          <t>MK00213</t>
        </is>
      </c>
      <c r="J1362" t="inlineStr"/>
    </row>
    <row r="1363">
      <c r="A1363" t="inlineStr">
        <is>
          <t>26/06/2026</t>
        </is>
      </c>
      <c r="B1363" t="inlineStr">
        <is>
          <t>528000265</t>
        </is>
      </c>
      <c r="C1363" t="inlineStr">
        <is>
          <t>Muhammad Haerul Rozikin</t>
        </is>
      </c>
      <c r="D1363" t="inlineStr">
        <is>
          <t>LOG</t>
        </is>
      </c>
      <c r="E1363" t="inlineStr">
        <is>
          <t>WRM Harian</t>
        </is>
      </c>
      <c r="F1363" t="inlineStr">
        <is>
          <t>07:46:20</t>
        </is>
      </c>
      <c r="G1363" t="inlineStr">
        <is>
          <t>13:04:16</t>
        </is>
      </c>
      <c r="H1363" t="inlineStr">
        <is>
          <t>SELESAI</t>
        </is>
      </c>
      <c r="I1363" t="inlineStr">
        <is>
          <t>MK00221</t>
        </is>
      </c>
      <c r="J1363" t="inlineStr"/>
    </row>
    <row r="1364">
      <c r="A1364" t="inlineStr">
        <is>
          <t>26/06/2026</t>
        </is>
      </c>
      <c r="B1364" t="inlineStr">
        <is>
          <t>528000266</t>
        </is>
      </c>
      <c r="C1364" t="inlineStr">
        <is>
          <t>M. Syirajatieq</t>
        </is>
      </c>
      <c r="D1364" t="inlineStr">
        <is>
          <t>LOG</t>
        </is>
      </c>
      <c r="E1364" t="inlineStr">
        <is>
          <t>WFG Harian</t>
        </is>
      </c>
      <c r="F1364" t="inlineStr">
        <is>
          <t>13:39:04</t>
        </is>
      </c>
      <c r="G1364" t="inlineStr"/>
      <c r="H1364" t="inlineStr">
        <is>
          <t>DI DALAM</t>
        </is>
      </c>
      <c r="I1364" t="inlineStr">
        <is>
          <t>MK0082</t>
        </is>
      </c>
      <c r="J1364" t="inlineStr"/>
    </row>
    <row r="1365">
      <c r="A1365" t="inlineStr">
        <is>
          <t>26/06/2026</t>
        </is>
      </c>
      <c r="B1365" t="inlineStr">
        <is>
          <t>528000270</t>
        </is>
      </c>
      <c r="C1365" t="inlineStr">
        <is>
          <t>Febri Najmudin</t>
        </is>
      </c>
      <c r="D1365" t="inlineStr">
        <is>
          <t>LOG</t>
        </is>
      </c>
      <c r="E1365" t="inlineStr">
        <is>
          <t>WRM Harian</t>
        </is>
      </c>
      <c r="F1365" t="inlineStr">
        <is>
          <t>21:43:56</t>
        </is>
      </c>
      <c r="G1365" t="inlineStr">
        <is>
          <t>06:39:14</t>
        </is>
      </c>
      <c r="H1365" t="inlineStr">
        <is>
          <t>SELESAI</t>
        </is>
      </c>
      <c r="I1365" t="inlineStr">
        <is>
          <t>MK00185</t>
        </is>
      </c>
      <c r="J1365" t="inlineStr"/>
    </row>
    <row r="1366">
      <c r="A1366" t="inlineStr">
        <is>
          <t>26/06/2026</t>
        </is>
      </c>
      <c r="B1366" t="inlineStr">
        <is>
          <t>528000273</t>
        </is>
      </c>
      <c r="C1366" t="inlineStr">
        <is>
          <t>Asep Mulyana</t>
        </is>
      </c>
      <c r="D1366" t="inlineStr">
        <is>
          <t>PROD</t>
        </is>
      </c>
      <c r="E1366" t="inlineStr">
        <is>
          <t>Produksi Harian</t>
        </is>
      </c>
      <c r="F1366" t="inlineStr">
        <is>
          <t>07:51:43</t>
        </is>
      </c>
      <c r="G1366" t="inlineStr">
        <is>
          <t>13:18:01</t>
        </is>
      </c>
      <c r="H1366" t="inlineStr">
        <is>
          <t>SELESAI</t>
        </is>
      </c>
      <c r="I1366" t="inlineStr">
        <is>
          <t>MK00181</t>
        </is>
      </c>
      <c r="J1366" t="inlineStr"/>
    </row>
    <row r="1367">
      <c r="A1367" t="inlineStr">
        <is>
          <t>26/06/2026</t>
        </is>
      </c>
      <c r="B1367" t="inlineStr">
        <is>
          <t>528000279</t>
        </is>
      </c>
      <c r="C1367" t="inlineStr">
        <is>
          <t>Mahdalena Dalfa Riani</t>
        </is>
      </c>
      <c r="D1367" t="inlineStr">
        <is>
          <t>PROD</t>
        </is>
      </c>
      <c r="E1367" t="inlineStr">
        <is>
          <t>Produksi Harian</t>
        </is>
      </c>
      <c r="F1367" t="inlineStr">
        <is>
          <t>05:48:03</t>
        </is>
      </c>
      <c r="G1367" t="inlineStr">
        <is>
          <t>14:06:57</t>
        </is>
      </c>
      <c r="H1367" t="inlineStr">
        <is>
          <t>SELESAI</t>
        </is>
      </c>
      <c r="I1367" t="inlineStr">
        <is>
          <t>MK00185</t>
        </is>
      </c>
      <c r="J1367" t="inlineStr"/>
    </row>
    <row r="1368">
      <c r="A1368" t="inlineStr">
        <is>
          <t>26/06/2026</t>
        </is>
      </c>
      <c r="B1368" t="inlineStr">
        <is>
          <t>528000282</t>
        </is>
      </c>
      <c r="C1368" t="inlineStr">
        <is>
          <t>Defa Desfiana</t>
        </is>
      </c>
      <c r="D1368" t="inlineStr">
        <is>
          <t>PROD</t>
        </is>
      </c>
      <c r="E1368" t="inlineStr">
        <is>
          <t>Produksi Harian</t>
        </is>
      </c>
      <c r="F1368" t="inlineStr">
        <is>
          <t>07:34:25</t>
        </is>
      </c>
      <c r="G1368" t="inlineStr">
        <is>
          <t>13:02:59</t>
        </is>
      </c>
      <c r="H1368" t="inlineStr">
        <is>
          <t>SELESAI</t>
        </is>
      </c>
      <c r="I1368" t="inlineStr">
        <is>
          <t>MK00082</t>
        </is>
      </c>
      <c r="J1368" t="inlineStr">
        <is>
          <t>23c</t>
        </is>
      </c>
    </row>
    <row r="1369">
      <c r="A1369" t="inlineStr">
        <is>
          <t>26/06/2026</t>
        </is>
      </c>
      <c r="B1369" t="inlineStr">
        <is>
          <t>528000283</t>
        </is>
      </c>
      <c r="C1369" t="inlineStr">
        <is>
          <t>Purwanda Sugiri</t>
        </is>
      </c>
      <c r="D1369" t="inlineStr">
        <is>
          <t>LOG</t>
        </is>
      </c>
      <c r="E1369" t="inlineStr">
        <is>
          <t>WRM Harian</t>
        </is>
      </c>
      <c r="F1369" t="inlineStr">
        <is>
          <t>13:46:06</t>
        </is>
      </c>
      <c r="G1369" t="inlineStr">
        <is>
          <t>22:03:16</t>
        </is>
      </c>
      <c r="H1369" t="inlineStr">
        <is>
          <t>SELESAI</t>
        </is>
      </c>
      <c r="I1369" t="inlineStr">
        <is>
          <t>MK00145</t>
        </is>
      </c>
      <c r="J1369" t="inlineStr"/>
    </row>
    <row r="1370">
      <c r="A1370" t="inlineStr">
        <is>
          <t>26/06/2026</t>
        </is>
      </c>
      <c r="B1370" t="inlineStr">
        <is>
          <t>528000288</t>
        </is>
      </c>
      <c r="C1370" t="inlineStr">
        <is>
          <t>Dede gunawan</t>
        </is>
      </c>
      <c r="D1370" t="inlineStr">
        <is>
          <t>PROD</t>
        </is>
      </c>
      <c r="E1370" t="inlineStr">
        <is>
          <t>Produksi Harian</t>
        </is>
      </c>
      <c r="F1370" t="inlineStr">
        <is>
          <t>05:51:42</t>
        </is>
      </c>
      <c r="G1370" t="inlineStr">
        <is>
          <t>14:07:07</t>
        </is>
      </c>
      <c r="H1370" t="inlineStr">
        <is>
          <t>SELESAI</t>
        </is>
      </c>
      <c r="I1370" t="inlineStr">
        <is>
          <t>MK00090</t>
        </is>
      </c>
      <c r="J1370" t="inlineStr"/>
    </row>
    <row r="1371">
      <c r="A1371" t="inlineStr">
        <is>
          <t>26/06/2026</t>
        </is>
      </c>
      <c r="B1371" t="inlineStr">
        <is>
          <t>528000291</t>
        </is>
      </c>
      <c r="C1371" t="inlineStr">
        <is>
          <t>Andrian</t>
        </is>
      </c>
      <c r="D1371" t="inlineStr">
        <is>
          <t>PROD</t>
        </is>
      </c>
      <c r="E1371" t="inlineStr">
        <is>
          <t>Produksi Harian</t>
        </is>
      </c>
      <c r="F1371" t="inlineStr">
        <is>
          <t>13:46:00</t>
        </is>
      </c>
      <c r="G1371" t="inlineStr">
        <is>
          <t>22:03:33</t>
        </is>
      </c>
      <c r="H1371" t="inlineStr">
        <is>
          <t>SELESAI</t>
        </is>
      </c>
      <c r="I1371" t="inlineStr">
        <is>
          <t>MK00126</t>
        </is>
      </c>
      <c r="J1371" t="inlineStr"/>
    </row>
    <row r="1372">
      <c r="A1372" t="inlineStr">
        <is>
          <t>26/06/2026</t>
        </is>
      </c>
      <c r="B1372" t="inlineStr">
        <is>
          <t>528000297</t>
        </is>
      </c>
      <c r="C1372" t="inlineStr">
        <is>
          <t>Muhamad Budiana</t>
        </is>
      </c>
      <c r="D1372" t="inlineStr">
        <is>
          <t>PROD</t>
        </is>
      </c>
      <c r="E1372" t="inlineStr">
        <is>
          <t>Produksi Harian</t>
        </is>
      </c>
      <c r="F1372" t="inlineStr">
        <is>
          <t>05:55:09</t>
        </is>
      </c>
      <c r="G1372" t="inlineStr">
        <is>
          <t>14:48:09</t>
        </is>
      </c>
      <c r="H1372" t="inlineStr">
        <is>
          <t>SELESAI</t>
        </is>
      </c>
      <c r="I1372" t="inlineStr">
        <is>
          <t>MK00151</t>
        </is>
      </c>
      <c r="J1372" t="inlineStr"/>
    </row>
    <row r="1373">
      <c r="A1373" t="inlineStr">
        <is>
          <t>26/06/2026</t>
        </is>
      </c>
      <c r="B1373" t="inlineStr">
        <is>
          <t>528000298</t>
        </is>
      </c>
      <c r="C1373" t="inlineStr">
        <is>
          <t>Desta Cahaya Pratama</t>
        </is>
      </c>
      <c r="D1373" t="inlineStr">
        <is>
          <t>PROD</t>
        </is>
      </c>
      <c r="E1373" t="inlineStr">
        <is>
          <t>Produksi Harian</t>
        </is>
      </c>
      <c r="F1373" t="inlineStr">
        <is>
          <t>21:43:10</t>
        </is>
      </c>
      <c r="G1373" t="inlineStr">
        <is>
          <t>06:06:10</t>
        </is>
      </c>
      <c r="H1373" t="inlineStr">
        <is>
          <t>SELESAI</t>
        </is>
      </c>
      <c r="I1373" t="inlineStr">
        <is>
          <t>MK00141</t>
        </is>
      </c>
      <c r="J1373" t="inlineStr"/>
    </row>
    <row r="1374">
      <c r="A1374" t="inlineStr">
        <is>
          <t>26/06/2026</t>
        </is>
      </c>
      <c r="B1374" t="inlineStr">
        <is>
          <t>528000299</t>
        </is>
      </c>
      <c r="C1374" t="inlineStr">
        <is>
          <t>Siti Nurjanah</t>
        </is>
      </c>
      <c r="D1374" t="inlineStr">
        <is>
          <t>PROD</t>
        </is>
      </c>
      <c r="E1374" t="inlineStr">
        <is>
          <t>Produksi Harian</t>
        </is>
      </c>
      <c r="F1374" t="inlineStr">
        <is>
          <t>21:41:42</t>
        </is>
      </c>
      <c r="G1374" t="inlineStr">
        <is>
          <t>06:06:16</t>
        </is>
      </c>
      <c r="H1374" t="inlineStr">
        <is>
          <t>SELESAI</t>
        </is>
      </c>
      <c r="I1374" t="inlineStr">
        <is>
          <t>AK00203</t>
        </is>
      </c>
      <c r="J1374" t="inlineStr"/>
    </row>
    <row r="1375">
      <c r="A1375" t="inlineStr">
        <is>
          <t>26/06/2026</t>
        </is>
      </c>
      <c r="B1375" t="inlineStr">
        <is>
          <t>528000300</t>
        </is>
      </c>
      <c r="C1375" t="inlineStr">
        <is>
          <t>Lia pitaloka</t>
        </is>
      </c>
      <c r="D1375" t="inlineStr">
        <is>
          <t>PROD</t>
        </is>
      </c>
      <c r="E1375" t="inlineStr">
        <is>
          <t>Produksi Harian</t>
        </is>
      </c>
      <c r="F1375" t="inlineStr">
        <is>
          <t>05:54:09</t>
        </is>
      </c>
      <c r="G1375" t="inlineStr">
        <is>
          <t>14:08:24</t>
        </is>
      </c>
      <c r="H1375" t="inlineStr">
        <is>
          <t>SELESAI</t>
        </is>
      </c>
      <c r="I1375" t="inlineStr">
        <is>
          <t>MK00136</t>
        </is>
      </c>
      <c r="J1375" t="inlineStr"/>
    </row>
    <row r="1376">
      <c r="A1376" t="inlineStr">
        <is>
          <t>26/06/2026</t>
        </is>
      </c>
      <c r="B1376" t="inlineStr">
        <is>
          <t>528000302</t>
        </is>
      </c>
      <c r="C1376" t="inlineStr">
        <is>
          <t>Henkey gumilar</t>
        </is>
      </c>
      <c r="D1376" t="inlineStr">
        <is>
          <t>PROD</t>
        </is>
      </c>
      <c r="E1376" t="inlineStr">
        <is>
          <t>Produksi Harian</t>
        </is>
      </c>
      <c r="F1376" t="inlineStr">
        <is>
          <t>21:39:53</t>
        </is>
      </c>
      <c r="G1376" t="inlineStr">
        <is>
          <t>06:08:51</t>
        </is>
      </c>
      <c r="H1376" t="inlineStr">
        <is>
          <t>SELESAI</t>
        </is>
      </c>
      <c r="I1376" t="inlineStr">
        <is>
          <t>MK00202</t>
        </is>
      </c>
      <c r="J1376" t="inlineStr"/>
    </row>
    <row r="1377">
      <c r="A1377" t="inlineStr">
        <is>
          <t>26/06/2026</t>
        </is>
      </c>
      <c r="B1377" t="inlineStr">
        <is>
          <t>528000306</t>
        </is>
      </c>
      <c r="C1377" t="inlineStr">
        <is>
          <t>Windy Olivia</t>
        </is>
      </c>
      <c r="D1377" t="inlineStr">
        <is>
          <t>PROD</t>
        </is>
      </c>
      <c r="E1377" t="inlineStr">
        <is>
          <t>Produksi Harian</t>
        </is>
      </c>
      <c r="F1377" t="inlineStr">
        <is>
          <t>13:43:29</t>
        </is>
      </c>
      <c r="G1377" t="inlineStr">
        <is>
          <t>22:05:27</t>
        </is>
      </c>
      <c r="H1377" t="inlineStr">
        <is>
          <t>SELESAI</t>
        </is>
      </c>
      <c r="I1377" t="inlineStr">
        <is>
          <t>MK00141</t>
        </is>
      </c>
      <c r="J1377" t="inlineStr"/>
    </row>
    <row r="1378">
      <c r="A1378" t="inlineStr">
        <is>
          <t>26/06/2026</t>
        </is>
      </c>
      <c r="B1378" t="inlineStr">
        <is>
          <t>528000348</t>
        </is>
      </c>
      <c r="C1378" t="inlineStr">
        <is>
          <t>Saepuloh Ardiansah</t>
        </is>
      </c>
      <c r="D1378" t="inlineStr">
        <is>
          <t>LOG</t>
        </is>
      </c>
      <c r="E1378" t="inlineStr">
        <is>
          <t>WRM Harian</t>
        </is>
      </c>
      <c r="F1378" t="inlineStr">
        <is>
          <t>08:46:23</t>
        </is>
      </c>
      <c r="G1378" t="inlineStr">
        <is>
          <t>19:44:44</t>
        </is>
      </c>
      <c r="H1378" t="inlineStr">
        <is>
          <t>SELESAI</t>
        </is>
      </c>
      <c r="I1378" t="inlineStr">
        <is>
          <t>MK00205</t>
        </is>
      </c>
      <c r="J1378" t="inlineStr"/>
    </row>
    <row r="1379">
      <c r="A1379" t="inlineStr">
        <is>
          <t>26/06/2026</t>
        </is>
      </c>
      <c r="B1379" t="inlineStr">
        <is>
          <t>528000349</t>
        </is>
      </c>
      <c r="C1379" t="inlineStr">
        <is>
          <t>Anas Abdul Fatah</t>
        </is>
      </c>
      <c r="D1379" t="inlineStr">
        <is>
          <t>LOG</t>
        </is>
      </c>
      <c r="E1379" t="inlineStr">
        <is>
          <t>WFG Harian</t>
        </is>
      </c>
      <c r="F1379" t="inlineStr"/>
      <c r="G1379" t="inlineStr">
        <is>
          <t>09:54:12</t>
        </is>
      </c>
      <c r="H1379" t="inlineStr">
        <is>
          <t>KELUAR TANPA MASUK</t>
        </is>
      </c>
      <c r="I1379" t="inlineStr">
        <is>
          <t>MK00158</t>
        </is>
      </c>
      <c r="J1379" t="inlineStr"/>
    </row>
    <row r="1380">
      <c r="A1380" t="inlineStr">
        <is>
          <t>26/06/2026</t>
        </is>
      </c>
      <c r="B1380" t="inlineStr">
        <is>
          <t>528000351</t>
        </is>
      </c>
      <c r="C1380" t="inlineStr">
        <is>
          <t>Mulyana</t>
        </is>
      </c>
      <c r="D1380" t="inlineStr">
        <is>
          <t>PROD</t>
        </is>
      </c>
      <c r="E1380" t="inlineStr">
        <is>
          <t>Produksi Harian</t>
        </is>
      </c>
      <c r="F1380" t="inlineStr">
        <is>
          <t>07:59:16</t>
        </is>
      </c>
      <c r="G1380" t="inlineStr">
        <is>
          <t>13:00:42</t>
        </is>
      </c>
      <c r="H1380" t="inlineStr">
        <is>
          <t>SELESAI</t>
        </is>
      </c>
      <c r="I1380" t="inlineStr">
        <is>
          <t>MK00154</t>
        </is>
      </c>
      <c r="J1380" t="inlineStr"/>
    </row>
    <row r="1381">
      <c r="A1381" t="inlineStr">
        <is>
          <t>26/06/2026</t>
        </is>
      </c>
      <c r="B1381" t="inlineStr">
        <is>
          <t>528000358</t>
        </is>
      </c>
      <c r="C1381" t="inlineStr">
        <is>
          <t>Lulu Agustin</t>
        </is>
      </c>
      <c r="D1381" t="inlineStr">
        <is>
          <t>PROD</t>
        </is>
      </c>
      <c r="E1381" t="inlineStr">
        <is>
          <t>Produksi Harian</t>
        </is>
      </c>
      <c r="F1381" t="inlineStr">
        <is>
          <t>13:39:09</t>
        </is>
      </c>
      <c r="G1381" t="inlineStr">
        <is>
          <t>22:04:00</t>
        </is>
      </c>
      <c r="H1381" t="inlineStr">
        <is>
          <t>SELESAI</t>
        </is>
      </c>
      <c r="I1381" t="inlineStr">
        <is>
          <t>MK00202</t>
        </is>
      </c>
      <c r="J1381" t="inlineStr"/>
    </row>
    <row r="1382">
      <c r="A1382" t="inlineStr">
        <is>
          <t>26/06/2026</t>
        </is>
      </c>
      <c r="B1382" t="inlineStr">
        <is>
          <t>628000061</t>
        </is>
      </c>
      <c r="C1382" t="inlineStr">
        <is>
          <t>Nayla Fadillah Exwantoro</t>
        </is>
      </c>
      <c r="D1382" t="inlineStr">
        <is>
          <t>PROD</t>
        </is>
      </c>
      <c r="E1382" t="inlineStr">
        <is>
          <t>Produksi Borongan</t>
        </is>
      </c>
      <c r="F1382" t="inlineStr">
        <is>
          <t>20:59:50</t>
        </is>
      </c>
      <c r="G1382" t="inlineStr">
        <is>
          <t>06:09:48</t>
        </is>
      </c>
      <c r="H1382" t="inlineStr">
        <is>
          <t>SELESAI</t>
        </is>
      </c>
      <c r="I1382" t="inlineStr">
        <is>
          <t>MK00116</t>
        </is>
      </c>
      <c r="J1382" t="inlineStr"/>
    </row>
    <row r="1383">
      <c r="A1383" t="inlineStr">
        <is>
          <t>26/06/2026</t>
        </is>
      </c>
      <c r="B1383" t="inlineStr">
        <is>
          <t>628000064</t>
        </is>
      </c>
      <c r="C1383" t="inlineStr">
        <is>
          <t>Silva Alypia</t>
        </is>
      </c>
      <c r="D1383" t="inlineStr">
        <is>
          <t>PROD</t>
        </is>
      </c>
      <c r="E1383" t="inlineStr">
        <is>
          <t>Produksi Borongan</t>
        </is>
      </c>
      <c r="F1383" t="inlineStr">
        <is>
          <t>05:46:54</t>
        </is>
      </c>
      <c r="G1383" t="inlineStr">
        <is>
          <t>14:04:28</t>
        </is>
      </c>
      <c r="H1383" t="inlineStr">
        <is>
          <t>SELESAI</t>
        </is>
      </c>
      <c r="I1383" t="inlineStr">
        <is>
          <t>MK00230</t>
        </is>
      </c>
      <c r="J1383" t="inlineStr"/>
    </row>
    <row r="1384">
      <c r="A1384" t="inlineStr">
        <is>
          <t>27/06/2026</t>
        </is>
      </c>
      <c r="B1384" t="inlineStr">
        <is>
          <t>528000090</t>
        </is>
      </c>
      <c r="C1384" t="inlineStr">
        <is>
          <t>Suganda</t>
        </is>
      </c>
      <c r="D1384" t="inlineStr">
        <is>
          <t>PROD</t>
        </is>
      </c>
      <c r="E1384" t="inlineStr">
        <is>
          <t>Produksi Harian</t>
        </is>
      </c>
      <c r="F1384" t="inlineStr">
        <is>
          <t>05:56:44</t>
        </is>
      </c>
      <c r="G1384" t="inlineStr">
        <is>
          <t>14:03:23</t>
        </is>
      </c>
      <c r="H1384" t="inlineStr">
        <is>
          <t>SELESAI</t>
        </is>
      </c>
      <c r="I1384" t="inlineStr">
        <is>
          <t>MK00126</t>
        </is>
      </c>
      <c r="J1384" t="inlineStr"/>
    </row>
    <row r="1385">
      <c r="A1385" t="inlineStr">
        <is>
          <t>27/06/2026</t>
        </is>
      </c>
      <c r="B1385" t="inlineStr">
        <is>
          <t>528000098</t>
        </is>
      </c>
      <c r="C1385" t="inlineStr">
        <is>
          <t>Edi Junaedi</t>
        </is>
      </c>
      <c r="D1385" t="inlineStr">
        <is>
          <t>PROD</t>
        </is>
      </c>
      <c r="E1385" t="inlineStr">
        <is>
          <t>Produksi Harian</t>
        </is>
      </c>
      <c r="F1385" t="inlineStr">
        <is>
          <t>21:20:19</t>
        </is>
      </c>
      <c r="G1385" t="inlineStr"/>
      <c r="H1385" t="inlineStr">
        <is>
          <t>DI DALAM</t>
        </is>
      </c>
      <c r="I1385" t="inlineStr">
        <is>
          <t>MK00134</t>
        </is>
      </c>
      <c r="J1385" t="inlineStr"/>
    </row>
    <row r="1386">
      <c r="A1386" t="inlineStr">
        <is>
          <t>27/06/2026</t>
        </is>
      </c>
      <c r="B1386" t="inlineStr">
        <is>
          <t>528000099</t>
        </is>
      </c>
      <c r="C1386" t="inlineStr">
        <is>
          <t>Siti Nurawaliah</t>
        </is>
      </c>
      <c r="D1386" t="inlineStr">
        <is>
          <t>PROD</t>
        </is>
      </c>
      <c r="E1386" t="inlineStr">
        <is>
          <t>Produksi Harian</t>
        </is>
      </c>
      <c r="F1386" t="inlineStr">
        <is>
          <t>05:40:20</t>
        </is>
      </c>
      <c r="G1386" t="inlineStr">
        <is>
          <t>14:05:47</t>
        </is>
      </c>
      <c r="H1386" t="inlineStr">
        <is>
          <t>SELESAI</t>
        </is>
      </c>
      <c r="I1386" t="inlineStr">
        <is>
          <t>MK00203</t>
        </is>
      </c>
      <c r="J1386" t="inlineStr"/>
    </row>
    <row r="1387">
      <c r="A1387" t="inlineStr">
        <is>
          <t>27/06/2026</t>
        </is>
      </c>
      <c r="B1387" t="inlineStr">
        <is>
          <t>528000201</t>
        </is>
      </c>
      <c r="C1387" t="inlineStr">
        <is>
          <t>Zahwa Amelia Choerunissa</t>
        </is>
      </c>
      <c r="D1387" t="inlineStr">
        <is>
          <t>PROD</t>
        </is>
      </c>
      <c r="E1387" t="inlineStr">
        <is>
          <t>Produksi Harian</t>
        </is>
      </c>
      <c r="F1387" t="inlineStr">
        <is>
          <t>05:39:41</t>
        </is>
      </c>
      <c r="G1387" t="inlineStr">
        <is>
          <t>14:04:42</t>
        </is>
      </c>
      <c r="H1387" t="inlineStr">
        <is>
          <t>SELESAI</t>
        </is>
      </c>
      <c r="I1387" t="inlineStr">
        <is>
          <t>MK00221</t>
        </is>
      </c>
      <c r="J1387" t="inlineStr"/>
    </row>
    <row r="1388">
      <c r="A1388" t="inlineStr">
        <is>
          <t>27/06/2026</t>
        </is>
      </c>
      <c r="B1388" t="inlineStr">
        <is>
          <t>528000212</t>
        </is>
      </c>
      <c r="C1388" t="inlineStr">
        <is>
          <t>Rizal Fauzi</t>
        </is>
      </c>
      <c r="D1388" t="inlineStr">
        <is>
          <t>PROD</t>
        </is>
      </c>
      <c r="E1388" t="inlineStr">
        <is>
          <t>Produksi Harian</t>
        </is>
      </c>
      <c r="F1388" t="inlineStr"/>
      <c r="G1388" t="inlineStr">
        <is>
          <t>14:03:33</t>
        </is>
      </c>
      <c r="H1388" t="inlineStr">
        <is>
          <t>KELUAR TANPA MASUK</t>
        </is>
      </c>
      <c r="I1388" t="inlineStr">
        <is>
          <t>MK00150</t>
        </is>
      </c>
      <c r="J1388" t="inlineStr"/>
    </row>
    <row r="1389">
      <c r="A1389" t="inlineStr">
        <is>
          <t>27/06/2026</t>
        </is>
      </c>
      <c r="B1389" t="inlineStr">
        <is>
          <t>528000241</t>
        </is>
      </c>
      <c r="C1389" t="inlineStr">
        <is>
          <t>Balia Nurafif Bilah</t>
        </is>
      </c>
      <c r="D1389" t="inlineStr">
        <is>
          <t>PROD</t>
        </is>
      </c>
      <c r="E1389" t="inlineStr">
        <is>
          <t>Produksi Harian</t>
        </is>
      </c>
      <c r="F1389" t="inlineStr">
        <is>
          <t>05:51:22</t>
        </is>
      </c>
      <c r="G1389" t="inlineStr">
        <is>
          <t>14:02:31</t>
        </is>
      </c>
      <c r="H1389" t="inlineStr">
        <is>
          <t>SELESAI</t>
        </is>
      </c>
      <c r="I1389" t="inlineStr">
        <is>
          <t>MK00213</t>
        </is>
      </c>
      <c r="J1389" t="inlineStr"/>
    </row>
    <row r="1390">
      <c r="A1390" t="inlineStr">
        <is>
          <t>27/06/2026</t>
        </is>
      </c>
      <c r="B1390" t="inlineStr">
        <is>
          <t>528000244</t>
        </is>
      </c>
      <c r="C1390" t="inlineStr">
        <is>
          <t>Rodian Rifai</t>
        </is>
      </c>
      <c r="D1390" t="inlineStr">
        <is>
          <t>PROD</t>
        </is>
      </c>
      <c r="E1390" t="inlineStr">
        <is>
          <t>Produksi Harian</t>
        </is>
      </c>
      <c r="F1390" t="inlineStr">
        <is>
          <t>05:36:44</t>
        </is>
      </c>
      <c r="G1390" t="inlineStr">
        <is>
          <t>15:46:34</t>
        </is>
      </c>
      <c r="H1390" t="inlineStr">
        <is>
          <t>SELESAI</t>
        </is>
      </c>
      <c r="I1390" t="inlineStr">
        <is>
          <t>MK00185</t>
        </is>
      </c>
      <c r="J1390" t="inlineStr">
        <is>
          <t>1E</t>
        </is>
      </c>
    </row>
    <row r="1391">
      <c r="A1391" t="inlineStr">
        <is>
          <t>27/06/2026</t>
        </is>
      </c>
      <c r="B1391" t="inlineStr">
        <is>
          <t>528000261</t>
        </is>
      </c>
      <c r="C1391" t="inlineStr">
        <is>
          <t>Ergi Ergianto</t>
        </is>
      </c>
      <c r="D1391" t="inlineStr">
        <is>
          <t>HRGA</t>
        </is>
      </c>
      <c r="E1391" t="inlineStr">
        <is>
          <t>GA Harian</t>
        </is>
      </c>
      <c r="F1391" t="inlineStr">
        <is>
          <t>13:47:10</t>
        </is>
      </c>
      <c r="G1391" t="inlineStr">
        <is>
          <t>22:04:13</t>
        </is>
      </c>
      <c r="H1391" t="inlineStr">
        <is>
          <t>SELESAI</t>
        </is>
      </c>
      <c r="I1391" t="inlineStr">
        <is>
          <t>MK00209</t>
        </is>
      </c>
      <c r="J1391" t="inlineStr"/>
    </row>
    <row r="1392">
      <c r="A1392" t="inlineStr">
        <is>
          <t>27/06/2026</t>
        </is>
      </c>
      <c r="B1392" t="inlineStr">
        <is>
          <t>528000262</t>
        </is>
      </c>
      <c r="C1392" t="inlineStr">
        <is>
          <t>Ndari Dwiwanti</t>
        </is>
      </c>
      <c r="D1392" t="inlineStr">
        <is>
          <t>PROD</t>
        </is>
      </c>
      <c r="E1392" t="inlineStr">
        <is>
          <t>Produksi Harian</t>
        </is>
      </c>
      <c r="F1392" t="inlineStr">
        <is>
          <t>13:43:35</t>
        </is>
      </c>
      <c r="G1392" t="inlineStr">
        <is>
          <t>22:03:34</t>
        </is>
      </c>
      <c r="H1392" t="inlineStr">
        <is>
          <t>SELESAI</t>
        </is>
      </c>
      <c r="I1392" t="inlineStr">
        <is>
          <t>MK00154</t>
        </is>
      </c>
      <c r="J1392" t="inlineStr"/>
    </row>
    <row r="1393">
      <c r="A1393" t="inlineStr">
        <is>
          <t>27/06/2026</t>
        </is>
      </c>
      <c r="B1393" t="inlineStr">
        <is>
          <t>528000270</t>
        </is>
      </c>
      <c r="C1393" t="inlineStr">
        <is>
          <t>Febri Najmudin</t>
        </is>
      </c>
      <c r="D1393" t="inlineStr">
        <is>
          <t>LOG</t>
        </is>
      </c>
      <c r="E1393" t="inlineStr">
        <is>
          <t>WRM Harian</t>
        </is>
      </c>
      <c r="F1393" t="inlineStr">
        <is>
          <t>21:46:38</t>
        </is>
      </c>
      <c r="G1393" t="inlineStr">
        <is>
          <t>06:17:21</t>
        </is>
      </c>
      <c r="H1393" t="inlineStr">
        <is>
          <t>SELESAI</t>
        </is>
      </c>
      <c r="I1393" t="inlineStr">
        <is>
          <t>MK00249</t>
        </is>
      </c>
      <c r="J1393" t="inlineStr"/>
    </row>
    <row r="1394">
      <c r="A1394" t="inlineStr">
        <is>
          <t>27/06/2026</t>
        </is>
      </c>
      <c r="B1394" t="inlineStr">
        <is>
          <t>528000274</t>
        </is>
      </c>
      <c r="C1394" t="inlineStr">
        <is>
          <t>Zepri</t>
        </is>
      </c>
      <c r="D1394" t="inlineStr">
        <is>
          <t>PROD</t>
        </is>
      </c>
      <c r="E1394" t="inlineStr">
        <is>
          <t>Produksi Harian</t>
        </is>
      </c>
      <c r="F1394" t="inlineStr">
        <is>
          <t>05:56:06</t>
        </is>
      </c>
      <c r="G1394" t="inlineStr">
        <is>
          <t>14:03:27</t>
        </is>
      </c>
      <c r="H1394" t="inlineStr">
        <is>
          <t>SELESAI</t>
        </is>
      </c>
      <c r="I1394" t="inlineStr">
        <is>
          <t>MK00141</t>
        </is>
      </c>
      <c r="J1394" t="inlineStr">
        <is>
          <t>MK00142</t>
        </is>
      </c>
    </row>
    <row r="1395">
      <c r="A1395" t="inlineStr">
        <is>
          <t>27/06/2026</t>
        </is>
      </c>
      <c r="B1395" t="inlineStr">
        <is>
          <t>528000283</t>
        </is>
      </c>
      <c r="C1395" t="inlineStr">
        <is>
          <t>Purwanda Sugiri</t>
        </is>
      </c>
      <c r="D1395" t="inlineStr">
        <is>
          <t>LOG</t>
        </is>
      </c>
      <c r="E1395" t="inlineStr">
        <is>
          <t>WRM Harian</t>
        </is>
      </c>
      <c r="F1395" t="inlineStr">
        <is>
          <t>13:44:48</t>
        </is>
      </c>
      <c r="G1395" t="inlineStr">
        <is>
          <t>22:05:14</t>
        </is>
      </c>
      <c r="H1395" t="inlineStr">
        <is>
          <t>SELESAI</t>
        </is>
      </c>
      <c r="I1395" t="inlineStr">
        <is>
          <t>MK00095</t>
        </is>
      </c>
      <c r="J1395" t="inlineStr"/>
    </row>
    <row r="1396">
      <c r="A1396" t="inlineStr">
        <is>
          <t>27/06/2026</t>
        </is>
      </c>
      <c r="B1396" t="inlineStr">
        <is>
          <t>528000286</t>
        </is>
      </c>
      <c r="C1396" t="inlineStr">
        <is>
          <t>Imelda Amelia</t>
        </is>
      </c>
      <c r="D1396" t="inlineStr">
        <is>
          <t>PROD</t>
        </is>
      </c>
      <c r="E1396" t="inlineStr">
        <is>
          <t>Produksi Harian</t>
        </is>
      </c>
      <c r="F1396" t="inlineStr">
        <is>
          <t>05:44:08</t>
        </is>
      </c>
      <c r="G1396" t="inlineStr">
        <is>
          <t>14:06:09</t>
        </is>
      </c>
      <c r="H1396" t="inlineStr">
        <is>
          <t>SELESAI</t>
        </is>
      </c>
      <c r="I1396" t="inlineStr">
        <is>
          <t>MK00202</t>
        </is>
      </c>
      <c r="J1396" t="inlineStr"/>
    </row>
    <row r="1397">
      <c r="A1397" t="inlineStr">
        <is>
          <t>27/06/2026</t>
        </is>
      </c>
      <c r="B1397" t="inlineStr">
        <is>
          <t>528000290</t>
        </is>
      </c>
      <c r="C1397" t="inlineStr">
        <is>
          <t>Eval Pranata</t>
        </is>
      </c>
      <c r="D1397" t="inlineStr">
        <is>
          <t>PROD</t>
        </is>
      </c>
      <c r="E1397" t="inlineStr">
        <is>
          <t>Produksi Harian</t>
        </is>
      </c>
      <c r="F1397" t="inlineStr">
        <is>
          <t>05:55:38</t>
        </is>
      </c>
      <c r="G1397" t="inlineStr">
        <is>
          <t>14:02:43</t>
        </is>
      </c>
      <c r="H1397" t="inlineStr">
        <is>
          <t>SELESAI</t>
        </is>
      </c>
      <c r="I1397" t="inlineStr">
        <is>
          <t>MK00145</t>
        </is>
      </c>
      <c r="J1397" t="inlineStr"/>
    </row>
    <row r="1398">
      <c r="A1398" t="inlineStr">
        <is>
          <t>27/06/2026</t>
        </is>
      </c>
      <c r="B1398" t="inlineStr">
        <is>
          <t>528000291</t>
        </is>
      </c>
      <c r="C1398" t="inlineStr">
        <is>
          <t>Andrian</t>
        </is>
      </c>
      <c r="D1398" t="inlineStr">
        <is>
          <t>PROD</t>
        </is>
      </c>
      <c r="E1398" t="inlineStr">
        <is>
          <t>Produksi Harian</t>
        </is>
      </c>
      <c r="F1398" t="inlineStr">
        <is>
          <t>13:44:39</t>
        </is>
      </c>
      <c r="G1398" t="inlineStr">
        <is>
          <t>22:03:48</t>
        </is>
      </c>
      <c r="H1398" t="inlineStr">
        <is>
          <t>SELESAI</t>
        </is>
      </c>
      <c r="I1398" t="inlineStr">
        <is>
          <t>MK00130</t>
        </is>
      </c>
      <c r="J1398" t="inlineStr"/>
    </row>
    <row r="1399">
      <c r="A1399" t="inlineStr">
        <is>
          <t>27/06/2026</t>
        </is>
      </c>
      <c r="B1399" t="inlineStr">
        <is>
          <t>528000298</t>
        </is>
      </c>
      <c r="C1399" t="inlineStr">
        <is>
          <t>Desta Cahaya Pratama</t>
        </is>
      </c>
      <c r="D1399" t="inlineStr">
        <is>
          <t>PROD</t>
        </is>
      </c>
      <c r="E1399" t="inlineStr">
        <is>
          <t>Produksi Harian</t>
        </is>
      </c>
      <c r="F1399" t="inlineStr">
        <is>
          <t>21:42:01</t>
        </is>
      </c>
      <c r="G1399" t="inlineStr">
        <is>
          <t>06:08:08</t>
        </is>
      </c>
      <c r="H1399" t="inlineStr">
        <is>
          <t>SELESAI</t>
        </is>
      </c>
      <c r="I1399" t="inlineStr">
        <is>
          <t>MK00209</t>
        </is>
      </c>
      <c r="J1399" t="inlineStr"/>
    </row>
    <row r="1400">
      <c r="A1400" t="inlineStr">
        <is>
          <t>27/06/2026</t>
        </is>
      </c>
      <c r="B1400" t="inlineStr">
        <is>
          <t>528000299</t>
        </is>
      </c>
      <c r="C1400" t="inlineStr">
        <is>
          <t>Siti Nurjanah</t>
        </is>
      </c>
      <c r="D1400" t="inlineStr">
        <is>
          <t>PROD</t>
        </is>
      </c>
      <c r="E1400" t="inlineStr">
        <is>
          <t>Produksi Harian</t>
        </is>
      </c>
      <c r="F1400" t="inlineStr">
        <is>
          <t>21:36:46</t>
        </is>
      </c>
      <c r="G1400" t="inlineStr"/>
      <c r="H1400" t="inlineStr">
        <is>
          <t>DI DALAM</t>
        </is>
      </c>
      <c r="I1400" t="inlineStr">
        <is>
          <t>MK00158</t>
        </is>
      </c>
      <c r="J1400" t="inlineStr"/>
    </row>
    <row r="1401">
      <c r="A1401" t="inlineStr">
        <is>
          <t>27/06/2026</t>
        </is>
      </c>
      <c r="B1401" t="inlineStr">
        <is>
          <t>528000302</t>
        </is>
      </c>
      <c r="C1401" t="inlineStr">
        <is>
          <t>Henkey gumilar</t>
        </is>
      </c>
      <c r="D1401" t="inlineStr">
        <is>
          <t>PROD</t>
        </is>
      </c>
      <c r="E1401" t="inlineStr">
        <is>
          <t>Produksi Harian</t>
        </is>
      </c>
      <c r="F1401" t="inlineStr">
        <is>
          <t>21:45:38</t>
        </is>
      </c>
      <c r="G1401" t="inlineStr">
        <is>
          <t>06:09:33</t>
        </is>
      </c>
      <c r="H1401" t="inlineStr">
        <is>
          <t>SELESAI</t>
        </is>
      </c>
      <c r="I1401" t="inlineStr">
        <is>
          <t>MK00208</t>
        </is>
      </c>
      <c r="J1401" t="inlineStr"/>
    </row>
    <row r="1402">
      <c r="A1402" t="inlineStr">
        <is>
          <t>27/06/2026</t>
        </is>
      </c>
      <c r="B1402" t="inlineStr">
        <is>
          <t>528000305</t>
        </is>
      </c>
      <c r="C1402" t="inlineStr">
        <is>
          <t>Puji Puspita</t>
        </is>
      </c>
      <c r="D1402" t="inlineStr">
        <is>
          <t>PROD</t>
        </is>
      </c>
      <c r="E1402" t="inlineStr">
        <is>
          <t>Produksi Harian</t>
        </is>
      </c>
      <c r="F1402" t="inlineStr">
        <is>
          <t>21:40:19</t>
        </is>
      </c>
      <c r="G1402" t="inlineStr"/>
      <c r="H1402" t="inlineStr">
        <is>
          <t>DI DALAM</t>
        </is>
      </c>
      <c r="I1402" t="inlineStr">
        <is>
          <t>MK00148</t>
        </is>
      </c>
      <c r="J1402" t="inlineStr"/>
    </row>
    <row r="1403">
      <c r="A1403" t="inlineStr">
        <is>
          <t>27/06/2026</t>
        </is>
      </c>
      <c r="B1403" t="inlineStr">
        <is>
          <t>528000358</t>
        </is>
      </c>
      <c r="C1403" t="inlineStr">
        <is>
          <t>Lulu Agustin</t>
        </is>
      </c>
      <c r="D1403" t="inlineStr">
        <is>
          <t>PROD</t>
        </is>
      </c>
      <c r="E1403" t="inlineStr">
        <is>
          <t>Produksi Harian</t>
        </is>
      </c>
      <c r="F1403" t="inlineStr">
        <is>
          <t>13:42:27</t>
        </is>
      </c>
      <c r="G1403" t="inlineStr">
        <is>
          <t>22:04:08</t>
        </is>
      </c>
      <c r="H1403" t="inlineStr">
        <is>
          <t>SELESAI</t>
        </is>
      </c>
      <c r="I1403" t="inlineStr">
        <is>
          <t>MK00109</t>
        </is>
      </c>
      <c r="J1403" t="inlineStr"/>
    </row>
    <row r="1404">
      <c r="A1404" t="inlineStr">
        <is>
          <t>27/06/2026</t>
        </is>
      </c>
      <c r="B1404" t="inlineStr">
        <is>
          <t>628000061</t>
        </is>
      </c>
      <c r="C1404" t="inlineStr">
        <is>
          <t>Nayla Fadillah Exwantoro</t>
        </is>
      </c>
      <c r="D1404" t="inlineStr">
        <is>
          <t>PROD</t>
        </is>
      </c>
      <c r="E1404" t="inlineStr">
        <is>
          <t>Produksi Borongan</t>
        </is>
      </c>
      <c r="F1404" t="inlineStr">
        <is>
          <t>20:55:23</t>
        </is>
      </c>
      <c r="G1404" t="inlineStr"/>
      <c r="H1404" t="inlineStr">
        <is>
          <t>DI DALAM</t>
        </is>
      </c>
      <c r="I1404" t="inlineStr">
        <is>
          <t>MK00213</t>
        </is>
      </c>
      <c r="J1404" t="inlineStr"/>
    </row>
    <row r="1405">
      <c r="A1405" t="inlineStr">
        <is>
          <t>28/06/2026</t>
        </is>
      </c>
      <c r="B1405" t="inlineStr">
        <is>
          <t>528000015</t>
        </is>
      </c>
      <c r="C1405" t="inlineStr">
        <is>
          <t>Erwin</t>
        </is>
      </c>
      <c r="D1405" t="inlineStr">
        <is>
          <t>LOG</t>
        </is>
      </c>
      <c r="E1405" t="inlineStr">
        <is>
          <t>WRM Harian</t>
        </is>
      </c>
      <c r="F1405" t="inlineStr">
        <is>
          <t>07:50:53</t>
        </is>
      </c>
      <c r="G1405" t="inlineStr">
        <is>
          <t>16:14:54</t>
        </is>
      </c>
      <c r="H1405" t="inlineStr">
        <is>
          <t>SELESAI</t>
        </is>
      </c>
      <c r="I1405" t="inlineStr">
        <is>
          <t>MK00116</t>
        </is>
      </c>
      <c r="J1405" t="inlineStr"/>
    </row>
    <row r="1406">
      <c r="A1406" t="inlineStr">
        <is>
          <t>28/06/2026</t>
        </is>
      </c>
      <c r="B1406" t="inlineStr">
        <is>
          <t>528000055</t>
        </is>
      </c>
      <c r="C1406" t="inlineStr">
        <is>
          <t>Dika Prasetya</t>
        </is>
      </c>
      <c r="D1406" t="inlineStr">
        <is>
          <t>LOG</t>
        </is>
      </c>
      <c r="E1406" t="inlineStr">
        <is>
          <t>WRM Harian</t>
        </is>
      </c>
      <c r="F1406" t="inlineStr">
        <is>
          <t>15:42:48</t>
        </is>
      </c>
      <c r="G1406" t="inlineStr">
        <is>
          <t>00:12:59</t>
        </is>
      </c>
      <c r="H1406" t="inlineStr">
        <is>
          <t>SELESAI</t>
        </is>
      </c>
      <c r="I1406" t="inlineStr">
        <is>
          <t>MK00092</t>
        </is>
      </c>
      <c r="J1406" t="inlineStr"/>
    </row>
    <row r="1407">
      <c r="A1407" t="inlineStr">
        <is>
          <t>28/06/2026</t>
        </is>
      </c>
      <c r="B1407" t="inlineStr">
        <is>
          <t>528000063</t>
        </is>
      </c>
      <c r="C1407" t="inlineStr">
        <is>
          <t>Muhamad Ripki Pebrian</t>
        </is>
      </c>
      <c r="D1407" t="inlineStr">
        <is>
          <t>PROD</t>
        </is>
      </c>
      <c r="E1407" t="inlineStr">
        <is>
          <t>Produksi Harian</t>
        </is>
      </c>
      <c r="F1407" t="inlineStr">
        <is>
          <t>21:57:32</t>
        </is>
      </c>
      <c r="G1407" t="inlineStr"/>
      <c r="H1407" t="inlineStr">
        <is>
          <t>DI DALAM</t>
        </is>
      </c>
      <c r="I1407" t="inlineStr">
        <is>
          <t>MK00199</t>
        </is>
      </c>
      <c r="J1407" t="inlineStr"/>
    </row>
    <row r="1408">
      <c r="A1408" t="inlineStr">
        <is>
          <t>28/06/2026</t>
        </is>
      </c>
      <c r="B1408" t="inlineStr">
        <is>
          <t>528000090</t>
        </is>
      </c>
      <c r="C1408" t="inlineStr">
        <is>
          <t>Suganda</t>
        </is>
      </c>
      <c r="D1408" t="inlineStr">
        <is>
          <t>PROD</t>
        </is>
      </c>
      <c r="E1408" t="inlineStr">
        <is>
          <t>Produksi Harian</t>
        </is>
      </c>
      <c r="F1408" t="inlineStr">
        <is>
          <t>05:52:14</t>
        </is>
      </c>
      <c r="G1408" t="inlineStr">
        <is>
          <t>14:05:05</t>
        </is>
      </c>
      <c r="H1408" t="inlineStr">
        <is>
          <t>SELESAI</t>
        </is>
      </c>
      <c r="I1408" t="inlineStr">
        <is>
          <t>MK00151</t>
        </is>
      </c>
      <c r="J1408" t="inlineStr"/>
    </row>
    <row r="1409">
      <c r="A1409" t="inlineStr">
        <is>
          <t>28/06/2026</t>
        </is>
      </c>
      <c r="B1409" t="inlineStr">
        <is>
          <t>528000098</t>
        </is>
      </c>
      <c r="C1409" t="inlineStr">
        <is>
          <t>Edi Junaedi</t>
        </is>
      </c>
      <c r="D1409" t="inlineStr">
        <is>
          <t>PROD</t>
        </is>
      </c>
      <c r="E1409" t="inlineStr">
        <is>
          <t>Produksi Harian</t>
        </is>
      </c>
      <c r="F1409" t="inlineStr"/>
      <c r="G1409" t="inlineStr">
        <is>
          <t>13:37:28</t>
        </is>
      </c>
      <c r="H1409" t="inlineStr">
        <is>
          <t>KELUAR TANPA MASUK</t>
        </is>
      </c>
      <c r="I1409" t="inlineStr">
        <is>
          <t>MK00199</t>
        </is>
      </c>
      <c r="J1409" t="inlineStr"/>
    </row>
    <row r="1410">
      <c r="A1410" t="inlineStr">
        <is>
          <t>28/06/2026</t>
        </is>
      </c>
      <c r="B1410" t="inlineStr">
        <is>
          <t>528000099</t>
        </is>
      </c>
      <c r="C1410" t="inlineStr">
        <is>
          <t>Siti Nurawaliah</t>
        </is>
      </c>
      <c r="D1410" t="inlineStr">
        <is>
          <t>PROD</t>
        </is>
      </c>
      <c r="E1410" t="inlineStr">
        <is>
          <t>Produksi Harian</t>
        </is>
      </c>
      <c r="F1410" t="inlineStr">
        <is>
          <t>05:48:39</t>
        </is>
      </c>
      <c r="G1410" t="inlineStr">
        <is>
          <t>14:08:01</t>
        </is>
      </c>
      <c r="H1410" t="inlineStr">
        <is>
          <t>SELESAI</t>
        </is>
      </c>
      <c r="I1410" t="inlineStr">
        <is>
          <t>MK0046</t>
        </is>
      </c>
      <c r="J1410" t="inlineStr"/>
    </row>
    <row r="1411">
      <c r="A1411" t="inlineStr">
        <is>
          <t>28/06/2026</t>
        </is>
      </c>
      <c r="B1411" t="inlineStr">
        <is>
          <t>528000144</t>
        </is>
      </c>
      <c r="C1411" t="inlineStr">
        <is>
          <t>Jodi Hanafi</t>
        </is>
      </c>
      <c r="D1411" t="inlineStr">
        <is>
          <t>LOG</t>
        </is>
      </c>
      <c r="E1411" t="inlineStr">
        <is>
          <t>WRM Harian</t>
        </is>
      </c>
      <c r="F1411" t="inlineStr">
        <is>
          <t>07:43:05</t>
        </is>
      </c>
      <c r="G1411" t="inlineStr">
        <is>
          <t>16:04:59</t>
        </is>
      </c>
      <c r="H1411" t="inlineStr">
        <is>
          <t>SELESAI</t>
        </is>
      </c>
      <c r="I1411" t="inlineStr">
        <is>
          <t>MK00088</t>
        </is>
      </c>
      <c r="J1411" t="inlineStr"/>
    </row>
    <row r="1412">
      <c r="A1412" t="inlineStr">
        <is>
          <t>28/06/2026</t>
        </is>
      </c>
      <c r="B1412" t="inlineStr">
        <is>
          <t>528000149</t>
        </is>
      </c>
      <c r="C1412" t="inlineStr">
        <is>
          <t>Tio Fernanda</t>
        </is>
      </c>
      <c r="D1412" t="inlineStr">
        <is>
          <t>LOG</t>
        </is>
      </c>
      <c r="E1412" t="inlineStr">
        <is>
          <t>WRM Harian</t>
        </is>
      </c>
      <c r="F1412" t="inlineStr">
        <is>
          <t>08:49:43</t>
        </is>
      </c>
      <c r="G1412" t="inlineStr">
        <is>
          <t>21:09:35</t>
        </is>
      </c>
      <c r="H1412" t="inlineStr">
        <is>
          <t>SELESAI</t>
        </is>
      </c>
      <c r="I1412" t="inlineStr">
        <is>
          <t>MK00212</t>
        </is>
      </c>
      <c r="J1412" t="inlineStr"/>
    </row>
    <row r="1413">
      <c r="A1413" t="inlineStr">
        <is>
          <t>28/06/2026</t>
        </is>
      </c>
      <c r="B1413" t="inlineStr">
        <is>
          <t>528000201</t>
        </is>
      </c>
      <c r="C1413" t="inlineStr">
        <is>
          <t>Zahwa Amelia Choerunissa</t>
        </is>
      </c>
      <c r="D1413" t="inlineStr">
        <is>
          <t>PROD</t>
        </is>
      </c>
      <c r="E1413" t="inlineStr">
        <is>
          <t>Produksi Harian</t>
        </is>
      </c>
      <c r="F1413" t="inlineStr">
        <is>
          <t>05:48:05</t>
        </is>
      </c>
      <c r="G1413" t="inlineStr">
        <is>
          <t>14:07:15</t>
        </is>
      </c>
      <c r="H1413" t="inlineStr">
        <is>
          <t>SELESAI</t>
        </is>
      </c>
      <c r="I1413" t="inlineStr">
        <is>
          <t>MK00181</t>
        </is>
      </c>
      <c r="J1413" t="inlineStr"/>
    </row>
    <row r="1414">
      <c r="A1414" t="inlineStr">
        <is>
          <t>28/06/2026</t>
        </is>
      </c>
      <c r="B1414" t="inlineStr">
        <is>
          <t>528000232</t>
        </is>
      </c>
      <c r="C1414" t="inlineStr">
        <is>
          <t>Agung Aji Suhada</t>
        </is>
      </c>
      <c r="D1414" t="inlineStr">
        <is>
          <t>LOG</t>
        </is>
      </c>
      <c r="E1414" t="inlineStr">
        <is>
          <t>WRM Harian</t>
        </is>
      </c>
      <c r="F1414" t="inlineStr">
        <is>
          <t>15:53:48</t>
        </is>
      </c>
      <c r="G1414" t="inlineStr">
        <is>
          <t>00:01:06</t>
        </is>
      </c>
      <c r="H1414" t="inlineStr">
        <is>
          <t>SELESAI</t>
        </is>
      </c>
      <c r="I1414" t="inlineStr">
        <is>
          <t>MK00109</t>
        </is>
      </c>
      <c r="J1414" t="inlineStr"/>
    </row>
    <row r="1415">
      <c r="A1415" t="inlineStr">
        <is>
          <t>28/06/2026</t>
        </is>
      </c>
      <c r="B1415" t="inlineStr">
        <is>
          <t>528000241</t>
        </is>
      </c>
      <c r="C1415" t="inlineStr">
        <is>
          <t>Balia Nurafif Bilah</t>
        </is>
      </c>
      <c r="D1415" t="inlineStr">
        <is>
          <t>PROD</t>
        </is>
      </c>
      <c r="E1415" t="inlineStr">
        <is>
          <t>Produksi Harian</t>
        </is>
      </c>
      <c r="F1415" t="inlineStr">
        <is>
          <t>05:54:43</t>
        </is>
      </c>
      <c r="G1415" t="inlineStr">
        <is>
          <t>14:04:24</t>
        </is>
      </c>
      <c r="H1415" t="inlineStr">
        <is>
          <t>SELESAI</t>
        </is>
      </c>
      <c r="I1415" t="inlineStr">
        <is>
          <t>MK00158</t>
        </is>
      </c>
      <c r="J1415" t="inlineStr"/>
    </row>
    <row r="1416">
      <c r="A1416" t="inlineStr">
        <is>
          <t>28/06/2026</t>
        </is>
      </c>
      <c r="B1416" t="inlineStr">
        <is>
          <t>528000244</t>
        </is>
      </c>
      <c r="C1416" t="inlineStr">
        <is>
          <t>Rodian Rifai</t>
        </is>
      </c>
      <c r="D1416" t="inlineStr">
        <is>
          <t>PROD</t>
        </is>
      </c>
      <c r="E1416" t="inlineStr">
        <is>
          <t>Produksi Harian</t>
        </is>
      </c>
      <c r="F1416" t="inlineStr">
        <is>
          <t>06:04:43</t>
        </is>
      </c>
      <c r="G1416" t="inlineStr">
        <is>
          <t>14:54:52</t>
        </is>
      </c>
      <c r="H1416" t="inlineStr">
        <is>
          <t>SELESAI</t>
        </is>
      </c>
      <c r="I1416" t="inlineStr">
        <is>
          <t>MK00109</t>
        </is>
      </c>
      <c r="J1416" t="inlineStr"/>
    </row>
    <row r="1417">
      <c r="A1417" t="inlineStr">
        <is>
          <t>28/06/2026</t>
        </is>
      </c>
      <c r="B1417" t="inlineStr">
        <is>
          <t>528000248</t>
        </is>
      </c>
      <c r="C1417" t="inlineStr">
        <is>
          <t>Roka Jaya Salka Mulya</t>
        </is>
      </c>
      <c r="D1417" t="inlineStr">
        <is>
          <t>PROD</t>
        </is>
      </c>
      <c r="E1417" t="inlineStr">
        <is>
          <t>Produksi Harian</t>
        </is>
      </c>
      <c r="F1417" t="inlineStr">
        <is>
          <t>21:37:43</t>
        </is>
      </c>
      <c r="G1417" t="inlineStr"/>
      <c r="H1417" t="inlineStr">
        <is>
          <t>DI DALAM</t>
        </is>
      </c>
      <c r="I1417" t="inlineStr">
        <is>
          <t>MK00116</t>
        </is>
      </c>
      <c r="J1417" t="inlineStr"/>
    </row>
    <row r="1418">
      <c r="A1418" t="inlineStr">
        <is>
          <t>28/06/2026</t>
        </is>
      </c>
      <c r="B1418" t="inlineStr">
        <is>
          <t>528000261</t>
        </is>
      </c>
      <c r="C1418" t="inlineStr">
        <is>
          <t>Ergi Ergianto</t>
        </is>
      </c>
      <c r="D1418" t="inlineStr">
        <is>
          <t>HRGA</t>
        </is>
      </c>
      <c r="E1418" t="inlineStr">
        <is>
          <t>GA Harian</t>
        </is>
      </c>
      <c r="F1418" t="inlineStr">
        <is>
          <t>13:49:39</t>
        </is>
      </c>
      <c r="G1418" t="inlineStr">
        <is>
          <t>22:02:34</t>
        </is>
      </c>
      <c r="H1418" t="inlineStr">
        <is>
          <t>SELESAI</t>
        </is>
      </c>
      <c r="I1418" t="inlineStr">
        <is>
          <t>MK00213</t>
        </is>
      </c>
      <c r="J1418" t="inlineStr"/>
    </row>
    <row r="1419">
      <c r="A1419" t="inlineStr">
        <is>
          <t>28/06/2026</t>
        </is>
      </c>
      <c r="B1419" t="inlineStr">
        <is>
          <t>528000262</t>
        </is>
      </c>
      <c r="C1419" t="inlineStr">
        <is>
          <t>Ndari Dwiwanti</t>
        </is>
      </c>
      <c r="D1419" t="inlineStr">
        <is>
          <t>PROD</t>
        </is>
      </c>
      <c r="E1419" t="inlineStr">
        <is>
          <t>Produksi Harian</t>
        </is>
      </c>
      <c r="F1419" t="inlineStr">
        <is>
          <t>13:35:48</t>
        </is>
      </c>
      <c r="G1419" t="inlineStr">
        <is>
          <t>22:01:06</t>
        </is>
      </c>
      <c r="H1419" t="inlineStr">
        <is>
          <t>SELESAI</t>
        </is>
      </c>
      <c r="I1419" t="inlineStr">
        <is>
          <t>MK00154</t>
        </is>
      </c>
      <c r="J1419" t="inlineStr"/>
    </row>
    <row r="1420">
      <c r="A1420" t="inlineStr">
        <is>
          <t>28/06/2026</t>
        </is>
      </c>
      <c r="B1420" t="inlineStr">
        <is>
          <t>528000265</t>
        </is>
      </c>
      <c r="C1420" t="inlineStr">
        <is>
          <t>Muhammad Haerul Rozikin</t>
        </is>
      </c>
      <c r="D1420" t="inlineStr">
        <is>
          <t>LOG</t>
        </is>
      </c>
      <c r="E1420" t="inlineStr">
        <is>
          <t>WRM Harian</t>
        </is>
      </c>
      <c r="F1420" t="inlineStr">
        <is>
          <t>05:51:19</t>
        </is>
      </c>
      <c r="G1420" t="inlineStr">
        <is>
          <t>14:08:45</t>
        </is>
      </c>
      <c r="H1420" t="inlineStr">
        <is>
          <t>SELESAI</t>
        </is>
      </c>
      <c r="I1420" t="inlineStr">
        <is>
          <t>MK00230</t>
        </is>
      </c>
      <c r="J1420" t="inlineStr"/>
    </row>
    <row r="1421">
      <c r="A1421" t="inlineStr">
        <is>
          <t>28/06/2026</t>
        </is>
      </c>
      <c r="B1421" t="inlineStr">
        <is>
          <t>528000266</t>
        </is>
      </c>
      <c r="C1421" t="inlineStr">
        <is>
          <t>M. Syirajatieq</t>
        </is>
      </c>
      <c r="D1421" t="inlineStr">
        <is>
          <t>LOG</t>
        </is>
      </c>
      <c r="E1421" t="inlineStr">
        <is>
          <t>WFG Harian</t>
        </is>
      </c>
      <c r="F1421" t="inlineStr">
        <is>
          <t>13:45:35</t>
        </is>
      </c>
      <c r="G1421" t="inlineStr">
        <is>
          <t>22:16:12</t>
        </is>
      </c>
      <c r="H1421" t="inlineStr">
        <is>
          <t>SELESAI</t>
        </is>
      </c>
      <c r="I1421" t="inlineStr">
        <is>
          <t>MK00235</t>
        </is>
      </c>
      <c r="J1421" t="inlineStr"/>
    </row>
    <row r="1422">
      <c r="A1422" t="inlineStr">
        <is>
          <t>28/06/2026</t>
        </is>
      </c>
      <c r="B1422" t="inlineStr">
        <is>
          <t>528000267</t>
        </is>
      </c>
      <c r="C1422" t="inlineStr">
        <is>
          <t>Bagas Patulloh</t>
        </is>
      </c>
      <c r="D1422" t="inlineStr">
        <is>
          <t>LOG</t>
        </is>
      </c>
      <c r="E1422" t="inlineStr">
        <is>
          <t>WRM Harian</t>
        </is>
      </c>
      <c r="F1422" t="inlineStr">
        <is>
          <t>16:01:43</t>
        </is>
      </c>
      <c r="G1422" t="inlineStr">
        <is>
          <t>00:03:23</t>
        </is>
      </c>
      <c r="H1422" t="inlineStr">
        <is>
          <t>SELESAI</t>
        </is>
      </c>
      <c r="I1422" t="inlineStr">
        <is>
          <t>MK00230</t>
        </is>
      </c>
      <c r="J1422" t="inlineStr"/>
    </row>
    <row r="1423">
      <c r="A1423" t="inlineStr">
        <is>
          <t>28/06/2026</t>
        </is>
      </c>
      <c r="B1423" t="inlineStr">
        <is>
          <t>528000270</t>
        </is>
      </c>
      <c r="C1423" t="inlineStr">
        <is>
          <t>Febri Najmudin</t>
        </is>
      </c>
      <c r="D1423" t="inlineStr">
        <is>
          <t>LOG</t>
        </is>
      </c>
      <c r="E1423" t="inlineStr">
        <is>
          <t>WRM Harian</t>
        </is>
      </c>
      <c r="F1423" t="inlineStr"/>
      <c r="G1423" t="inlineStr">
        <is>
          <t>06:18:08</t>
        </is>
      </c>
      <c r="H1423" t="inlineStr">
        <is>
          <t>KELUAR TANPA MASUK</t>
        </is>
      </c>
      <c r="I1423" t="inlineStr">
        <is>
          <t>MK00249</t>
        </is>
      </c>
      <c r="J1423" t="inlineStr"/>
    </row>
    <row r="1424">
      <c r="A1424" t="inlineStr">
        <is>
          <t>28/06/2026</t>
        </is>
      </c>
      <c r="B1424" t="inlineStr">
        <is>
          <t>528000273</t>
        </is>
      </c>
      <c r="C1424" t="inlineStr">
        <is>
          <t>Asep Mulyana</t>
        </is>
      </c>
      <c r="D1424" t="inlineStr">
        <is>
          <t>PROD</t>
        </is>
      </c>
      <c r="E1424" t="inlineStr">
        <is>
          <t>Produksi Harian</t>
        </is>
      </c>
      <c r="F1424" t="inlineStr">
        <is>
          <t>15:41:15</t>
        </is>
      </c>
      <c r="G1424" t="inlineStr">
        <is>
          <t>00:13:51</t>
        </is>
      </c>
      <c r="H1424" t="inlineStr">
        <is>
          <t>SELESAI</t>
        </is>
      </c>
      <c r="I1424" t="inlineStr">
        <is>
          <t>MK00156</t>
        </is>
      </c>
      <c r="J1424" t="inlineStr"/>
    </row>
    <row r="1425">
      <c r="A1425" t="inlineStr">
        <is>
          <t>28/06/2026</t>
        </is>
      </c>
      <c r="B1425" t="inlineStr">
        <is>
          <t>528000274</t>
        </is>
      </c>
      <c r="C1425" t="inlineStr">
        <is>
          <t>Zepri</t>
        </is>
      </c>
      <c r="D1425" t="inlineStr">
        <is>
          <t>PROD</t>
        </is>
      </c>
      <c r="E1425" t="inlineStr">
        <is>
          <t>Produksi Harian</t>
        </is>
      </c>
      <c r="F1425" t="inlineStr">
        <is>
          <t>05:55:04</t>
        </is>
      </c>
      <c r="G1425" t="inlineStr">
        <is>
          <t>14:05:24</t>
        </is>
      </c>
      <c r="H1425" t="inlineStr">
        <is>
          <t>SELESAI</t>
        </is>
      </c>
      <c r="I1425" t="inlineStr">
        <is>
          <t>MK00136</t>
        </is>
      </c>
      <c r="J1425" t="inlineStr"/>
    </row>
    <row r="1426">
      <c r="A1426" t="inlineStr">
        <is>
          <t>28/06/2026</t>
        </is>
      </c>
      <c r="B1426" t="inlineStr">
        <is>
          <t>528000279</t>
        </is>
      </c>
      <c r="C1426" t="inlineStr">
        <is>
          <t>Mahdalena Dalfa Riani</t>
        </is>
      </c>
      <c r="D1426" t="inlineStr">
        <is>
          <t>PROD</t>
        </is>
      </c>
      <c r="E1426" t="inlineStr">
        <is>
          <t>Produksi Harian</t>
        </is>
      </c>
      <c r="F1426" t="inlineStr">
        <is>
          <t>21:51:16</t>
        </is>
      </c>
      <c r="G1426" t="inlineStr"/>
      <c r="H1426" t="inlineStr">
        <is>
          <t>DI DALAM</t>
        </is>
      </c>
      <c r="I1426" t="inlineStr">
        <is>
          <t>MK00221</t>
        </is>
      </c>
      <c r="J1426" t="inlineStr"/>
    </row>
    <row r="1427">
      <c r="A1427" t="inlineStr">
        <is>
          <t>28/06/2026</t>
        </is>
      </c>
      <c r="B1427" t="inlineStr">
        <is>
          <t>528000282</t>
        </is>
      </c>
      <c r="C1427" t="inlineStr">
        <is>
          <t>Defa Desfiana</t>
        </is>
      </c>
      <c r="D1427" t="inlineStr">
        <is>
          <t>PROD</t>
        </is>
      </c>
      <c r="E1427" t="inlineStr">
        <is>
          <t>Produksi Harian</t>
        </is>
      </c>
      <c r="F1427" t="inlineStr">
        <is>
          <t>05:56:08</t>
        </is>
      </c>
      <c r="G1427" t="inlineStr">
        <is>
          <t>14:12:31</t>
        </is>
      </c>
      <c r="H1427" t="inlineStr">
        <is>
          <t>SELESAI</t>
        </is>
      </c>
      <c r="I1427" t="inlineStr">
        <is>
          <t>MK00204</t>
        </is>
      </c>
      <c r="J1427" t="inlineStr"/>
    </row>
    <row r="1428">
      <c r="A1428" t="inlineStr">
        <is>
          <t>28/06/2026</t>
        </is>
      </c>
      <c r="B1428" t="inlineStr">
        <is>
          <t>528000283</t>
        </is>
      </c>
      <c r="C1428" t="inlineStr">
        <is>
          <t>Purwanda Sugiri</t>
        </is>
      </c>
      <c r="D1428" t="inlineStr">
        <is>
          <t>LOG</t>
        </is>
      </c>
      <c r="E1428" t="inlineStr">
        <is>
          <t>WRM Harian</t>
        </is>
      </c>
      <c r="F1428" t="inlineStr">
        <is>
          <t>13:45:25</t>
        </is>
      </c>
      <c r="G1428" t="inlineStr">
        <is>
          <t>22:02:24</t>
        </is>
      </c>
      <c r="H1428" t="inlineStr">
        <is>
          <t>SELESAI</t>
        </is>
      </c>
      <c r="I1428" t="inlineStr">
        <is>
          <t>MK00202</t>
        </is>
      </c>
      <c r="J1428" t="inlineStr"/>
    </row>
    <row r="1429">
      <c r="A1429" t="inlineStr">
        <is>
          <t>28/06/2026</t>
        </is>
      </c>
      <c r="B1429" t="inlineStr">
        <is>
          <t>528000286</t>
        </is>
      </c>
      <c r="C1429" t="inlineStr">
        <is>
          <t>Imelda Amelia</t>
        </is>
      </c>
      <c r="D1429" t="inlineStr">
        <is>
          <t>PROD</t>
        </is>
      </c>
      <c r="E1429" t="inlineStr">
        <is>
          <t>Produksi Harian</t>
        </is>
      </c>
      <c r="F1429" t="inlineStr">
        <is>
          <t>05:48:06</t>
        </is>
      </c>
      <c r="G1429" t="inlineStr">
        <is>
          <t>14:08:02</t>
        </is>
      </c>
      <c r="H1429" t="inlineStr">
        <is>
          <t>SELESAI</t>
        </is>
      </c>
      <c r="I1429" t="inlineStr">
        <is>
          <t>MK00208</t>
        </is>
      </c>
      <c r="J1429" t="inlineStr"/>
    </row>
    <row r="1430">
      <c r="A1430" t="inlineStr">
        <is>
          <t>28/06/2026</t>
        </is>
      </c>
      <c r="B1430" t="inlineStr">
        <is>
          <t>528000290</t>
        </is>
      </c>
      <c r="C1430" t="inlineStr">
        <is>
          <t>Eval Pranata</t>
        </is>
      </c>
      <c r="D1430" t="inlineStr">
        <is>
          <t>PROD</t>
        </is>
      </c>
      <c r="E1430" t="inlineStr">
        <is>
          <t>Produksi Harian</t>
        </is>
      </c>
      <c r="F1430" t="inlineStr">
        <is>
          <t>05:57:48</t>
        </is>
      </c>
      <c r="G1430" t="inlineStr">
        <is>
          <t>14:04:50</t>
        </is>
      </c>
      <c r="H1430" t="inlineStr">
        <is>
          <t>SELESAI</t>
        </is>
      </c>
      <c r="I1430" t="inlineStr">
        <is>
          <t>MK00249</t>
        </is>
      </c>
      <c r="J1430" t="inlineStr"/>
    </row>
    <row r="1431">
      <c r="A1431" t="inlineStr">
        <is>
          <t>28/06/2026</t>
        </is>
      </c>
      <c r="B1431" t="inlineStr">
        <is>
          <t>528000291</t>
        </is>
      </c>
      <c r="C1431" t="inlineStr">
        <is>
          <t>Andrian</t>
        </is>
      </c>
      <c r="D1431" t="inlineStr">
        <is>
          <t>PROD</t>
        </is>
      </c>
      <c r="E1431" t="inlineStr">
        <is>
          <t>Produksi Harian</t>
        </is>
      </c>
      <c r="F1431" t="inlineStr">
        <is>
          <t>13:46:55</t>
        </is>
      </c>
      <c r="G1431" t="inlineStr">
        <is>
          <t>22:02:02</t>
        </is>
      </c>
      <c r="H1431" t="inlineStr">
        <is>
          <t>SELESAI</t>
        </is>
      </c>
      <c r="I1431" t="inlineStr">
        <is>
          <t>MK00138</t>
        </is>
      </c>
      <c r="J1431" t="inlineStr"/>
    </row>
    <row r="1432">
      <c r="A1432" t="inlineStr">
        <is>
          <t>28/06/2026</t>
        </is>
      </c>
      <c r="B1432" t="inlineStr">
        <is>
          <t>528000297</t>
        </is>
      </c>
      <c r="C1432" t="inlineStr">
        <is>
          <t>Muhamad Budiana</t>
        </is>
      </c>
      <c r="D1432" t="inlineStr">
        <is>
          <t>PROD</t>
        </is>
      </c>
      <c r="E1432" t="inlineStr">
        <is>
          <t>Produksi Harian</t>
        </is>
      </c>
      <c r="F1432" t="inlineStr">
        <is>
          <t>21:54:05</t>
        </is>
      </c>
      <c r="G1432" t="inlineStr"/>
      <c r="H1432" t="inlineStr">
        <is>
          <t>DI DALAM</t>
        </is>
      </c>
      <c r="I1432" t="inlineStr">
        <is>
          <t>MK00209</t>
        </is>
      </c>
      <c r="J1432" t="inlineStr"/>
    </row>
    <row r="1433">
      <c r="A1433" t="inlineStr">
        <is>
          <t>28/06/2026</t>
        </is>
      </c>
      <c r="B1433" t="inlineStr">
        <is>
          <t>528000298</t>
        </is>
      </c>
      <c r="C1433" t="inlineStr">
        <is>
          <t>Desta Cahaya Pratama</t>
        </is>
      </c>
      <c r="D1433" t="inlineStr">
        <is>
          <t>PROD</t>
        </is>
      </c>
      <c r="E1433" t="inlineStr">
        <is>
          <t>Produksi Harian</t>
        </is>
      </c>
      <c r="F1433" t="inlineStr"/>
      <c r="G1433" t="inlineStr">
        <is>
          <t>06:03:31</t>
        </is>
      </c>
      <c r="H1433" t="inlineStr">
        <is>
          <t>KELUAR TANPA MASUK</t>
        </is>
      </c>
      <c r="I1433" t="inlineStr">
        <is>
          <t>MK00209</t>
        </is>
      </c>
      <c r="J1433" t="inlineStr"/>
    </row>
    <row r="1434">
      <c r="A1434" t="inlineStr">
        <is>
          <t>28/06/2026</t>
        </is>
      </c>
      <c r="B1434" t="inlineStr">
        <is>
          <t>528000299</t>
        </is>
      </c>
      <c r="C1434" t="inlineStr">
        <is>
          <t>Siti Nurjanah</t>
        </is>
      </c>
      <c r="D1434" t="inlineStr">
        <is>
          <t>PROD</t>
        </is>
      </c>
      <c r="E1434" t="inlineStr">
        <is>
          <t>Produksi Harian</t>
        </is>
      </c>
      <c r="F1434" t="inlineStr"/>
      <c r="G1434" t="inlineStr">
        <is>
          <t>06:04:53</t>
        </is>
      </c>
      <c r="H1434" t="inlineStr">
        <is>
          <t>KELUAR TANPA MASUK</t>
        </is>
      </c>
      <c r="I1434" t="inlineStr">
        <is>
          <t>MK00158</t>
        </is>
      </c>
      <c r="J1434" t="inlineStr"/>
    </row>
    <row r="1435">
      <c r="A1435" t="inlineStr">
        <is>
          <t>28/06/2026</t>
        </is>
      </c>
      <c r="B1435" t="inlineStr">
        <is>
          <t>528000300</t>
        </is>
      </c>
      <c r="C1435" t="inlineStr">
        <is>
          <t>Lia pitaloka</t>
        </is>
      </c>
      <c r="D1435" t="inlineStr">
        <is>
          <t>PROD</t>
        </is>
      </c>
      <c r="E1435" t="inlineStr">
        <is>
          <t>Produksi Harian</t>
        </is>
      </c>
      <c r="F1435" t="inlineStr">
        <is>
          <t>21:50:44</t>
        </is>
      </c>
      <c r="G1435" t="inlineStr"/>
      <c r="H1435" t="inlineStr">
        <is>
          <t>DI DALAM</t>
        </is>
      </c>
      <c r="I1435" t="inlineStr">
        <is>
          <t>MK00210</t>
        </is>
      </c>
      <c r="J1435" t="inlineStr"/>
    </row>
    <row r="1436">
      <c r="A1436" t="inlineStr">
        <is>
          <t>28/06/2026</t>
        </is>
      </c>
      <c r="B1436" t="inlineStr">
        <is>
          <t>528000302</t>
        </is>
      </c>
      <c r="C1436" t="inlineStr">
        <is>
          <t>Henkey gumilar</t>
        </is>
      </c>
      <c r="D1436" t="inlineStr">
        <is>
          <t>PROD</t>
        </is>
      </c>
      <c r="E1436" t="inlineStr">
        <is>
          <t>Produksi Harian</t>
        </is>
      </c>
      <c r="F1436" t="inlineStr"/>
      <c r="G1436" t="inlineStr">
        <is>
          <t>06:12:22</t>
        </is>
      </c>
      <c r="H1436" t="inlineStr">
        <is>
          <t>KELUAR TANPA MASUK</t>
        </is>
      </c>
      <c r="I1436" t="inlineStr">
        <is>
          <t>MK00208</t>
        </is>
      </c>
      <c r="J1436" t="inlineStr"/>
    </row>
    <row r="1437">
      <c r="A1437" t="inlineStr">
        <is>
          <t>28/06/2026</t>
        </is>
      </c>
      <c r="B1437" t="inlineStr">
        <is>
          <t>528000305</t>
        </is>
      </c>
      <c r="C1437" t="inlineStr">
        <is>
          <t>Puji Puspita</t>
        </is>
      </c>
      <c r="D1437" t="inlineStr">
        <is>
          <t>PROD</t>
        </is>
      </c>
      <c r="E1437" t="inlineStr">
        <is>
          <t>Produksi Harian</t>
        </is>
      </c>
      <c r="F1437" t="inlineStr"/>
      <c r="G1437" t="inlineStr">
        <is>
          <t>06:05:53</t>
        </is>
      </c>
      <c r="H1437" t="inlineStr">
        <is>
          <t>KELUAR TANPA MASUK</t>
        </is>
      </c>
      <c r="I1437" t="inlineStr">
        <is>
          <t>MK00148</t>
        </is>
      </c>
      <c r="J1437" t="inlineStr"/>
    </row>
    <row r="1438">
      <c r="A1438" t="inlineStr">
        <is>
          <t>28/06/2026</t>
        </is>
      </c>
      <c r="B1438" t="inlineStr">
        <is>
          <t>528000306</t>
        </is>
      </c>
      <c r="C1438" t="inlineStr">
        <is>
          <t>Windy Olivia</t>
        </is>
      </c>
      <c r="D1438" t="inlineStr">
        <is>
          <t>PROD</t>
        </is>
      </c>
      <c r="E1438" t="inlineStr">
        <is>
          <t>Produksi Harian</t>
        </is>
      </c>
      <c r="F1438" t="inlineStr">
        <is>
          <t>13:37:59</t>
        </is>
      </c>
      <c r="G1438" t="inlineStr">
        <is>
          <t>22:01:28</t>
        </is>
      </c>
      <c r="H1438" t="inlineStr">
        <is>
          <t>SELESAI</t>
        </is>
      </c>
      <c r="I1438" t="inlineStr">
        <is>
          <t>MK00199</t>
        </is>
      </c>
      <c r="J1438" t="inlineStr"/>
    </row>
    <row r="1439">
      <c r="A1439" t="inlineStr">
        <is>
          <t>28/06/2026</t>
        </is>
      </c>
      <c r="B1439" t="inlineStr">
        <is>
          <t>528000348</t>
        </is>
      </c>
      <c r="C1439" t="inlineStr">
        <is>
          <t>Saepuloh Ardiansah</t>
        </is>
      </c>
      <c r="D1439" t="inlineStr">
        <is>
          <t>LOG</t>
        </is>
      </c>
      <c r="E1439" t="inlineStr">
        <is>
          <t>WRM Harian</t>
        </is>
      </c>
      <c r="F1439" t="inlineStr">
        <is>
          <t>08:58:50</t>
        </is>
      </c>
      <c r="G1439" t="inlineStr"/>
      <c r="H1439" t="inlineStr">
        <is>
          <t>DI DALAM</t>
        </is>
      </c>
      <c r="I1439" t="inlineStr">
        <is>
          <t>MK00025</t>
        </is>
      </c>
      <c r="J1439" t="inlineStr"/>
    </row>
    <row r="1440">
      <c r="A1440" t="inlineStr">
        <is>
          <t>28/06/2026</t>
        </is>
      </c>
      <c r="B1440" t="inlineStr">
        <is>
          <t>528000349</t>
        </is>
      </c>
      <c r="C1440" t="inlineStr">
        <is>
          <t>Anas Abdul Fatah</t>
        </is>
      </c>
      <c r="D1440" t="inlineStr">
        <is>
          <t>LOG</t>
        </is>
      </c>
      <c r="E1440" t="inlineStr">
        <is>
          <t>WFG Harian</t>
        </is>
      </c>
      <c r="F1440" t="inlineStr">
        <is>
          <t>07:55:35</t>
        </is>
      </c>
      <c r="G1440" t="inlineStr"/>
      <c r="H1440" t="inlineStr">
        <is>
          <t>DI DALAM</t>
        </is>
      </c>
      <c r="I1440" t="inlineStr">
        <is>
          <t>MK0003</t>
        </is>
      </c>
      <c r="J1440" t="inlineStr"/>
    </row>
    <row r="1441">
      <c r="A1441" t="inlineStr">
        <is>
          <t>28/06/2026</t>
        </is>
      </c>
      <c r="B1441" t="inlineStr">
        <is>
          <t>528000351</t>
        </is>
      </c>
      <c r="C1441" t="inlineStr">
        <is>
          <t>Mulyana</t>
        </is>
      </c>
      <c r="D1441" t="inlineStr">
        <is>
          <t>PROD</t>
        </is>
      </c>
      <c r="E1441" t="inlineStr">
        <is>
          <t>Produksi Harian</t>
        </is>
      </c>
      <c r="F1441" t="inlineStr">
        <is>
          <t>07:50:43</t>
        </is>
      </c>
      <c r="G1441" t="inlineStr">
        <is>
          <t>16:01:21</t>
        </is>
      </c>
      <c r="H1441" t="inlineStr">
        <is>
          <t>SELESAI</t>
        </is>
      </c>
      <c r="I1441" t="inlineStr">
        <is>
          <t>MK00134</t>
        </is>
      </c>
      <c r="J1441" t="inlineStr"/>
    </row>
    <row r="1442">
      <c r="A1442" t="inlineStr">
        <is>
          <t>28/06/2026</t>
        </is>
      </c>
      <c r="B1442" t="inlineStr">
        <is>
          <t>528000358</t>
        </is>
      </c>
      <c r="C1442" t="inlineStr">
        <is>
          <t>Lulu Agustin</t>
        </is>
      </c>
      <c r="D1442" t="inlineStr">
        <is>
          <t>PROD</t>
        </is>
      </c>
      <c r="E1442" t="inlineStr">
        <is>
          <t>Produksi Harian</t>
        </is>
      </c>
      <c r="F1442" t="inlineStr">
        <is>
          <t>13:40:20</t>
        </is>
      </c>
      <c r="G1442" t="inlineStr">
        <is>
          <t>22:01:41</t>
        </is>
      </c>
      <c r="H1442" t="inlineStr">
        <is>
          <t>SELESAI</t>
        </is>
      </c>
      <c r="I1442" t="inlineStr">
        <is>
          <t>MK00082</t>
        </is>
      </c>
      <c r="J1442" t="inlineStr"/>
    </row>
    <row r="1443">
      <c r="A1443" t="inlineStr">
        <is>
          <t>28/06/2026</t>
        </is>
      </c>
      <c r="B1443" t="inlineStr">
        <is>
          <t>628000061</t>
        </is>
      </c>
      <c r="C1443" t="inlineStr">
        <is>
          <t>Nayla Fadillah Exwantoro</t>
        </is>
      </c>
      <c r="D1443" t="inlineStr">
        <is>
          <t>PROD</t>
        </is>
      </c>
      <c r="E1443" t="inlineStr">
        <is>
          <t>Produksi Borongan</t>
        </is>
      </c>
      <c r="F1443" t="inlineStr">
        <is>
          <t>20:56:14</t>
        </is>
      </c>
      <c r="G1443" t="inlineStr">
        <is>
          <t>06:28:30</t>
        </is>
      </c>
      <c r="H1443" t="inlineStr">
        <is>
          <t>SELESAI</t>
        </is>
      </c>
      <c r="I1443" t="inlineStr">
        <is>
          <t>MK00085</t>
        </is>
      </c>
      <c r="J1443" t="inlineStr"/>
    </row>
    <row r="1444">
      <c r="A1444" t="inlineStr">
        <is>
          <t>28/06/2026</t>
        </is>
      </c>
      <c r="B1444" t="inlineStr">
        <is>
          <t>628000064</t>
        </is>
      </c>
      <c r="C1444" t="inlineStr">
        <is>
          <t>Silva Alypia</t>
        </is>
      </c>
      <c r="D1444" t="inlineStr">
        <is>
          <t>PROD</t>
        </is>
      </c>
      <c r="E1444" t="inlineStr">
        <is>
          <t>Produksi Borongan</t>
        </is>
      </c>
      <c r="F1444" t="inlineStr">
        <is>
          <t>21:50:38</t>
        </is>
      </c>
      <c r="G1444" t="inlineStr"/>
      <c r="H1444" t="inlineStr">
        <is>
          <t>DI DALAM</t>
        </is>
      </c>
      <c r="I1444" t="inlineStr">
        <is>
          <t>MK00113</t>
        </is>
      </c>
      <c r="J1444" t="inlineStr"/>
    </row>
    <row r="1445">
      <c r="A1445" t="inlineStr">
        <is>
          <t>29/06/2026</t>
        </is>
      </c>
      <c r="B1445" t="inlineStr">
        <is>
          <t>528000015</t>
        </is>
      </c>
      <c r="C1445" t="inlineStr">
        <is>
          <t>Erwin</t>
        </is>
      </c>
      <c r="D1445" t="inlineStr">
        <is>
          <t>LOG</t>
        </is>
      </c>
      <c r="E1445" t="inlineStr">
        <is>
          <t>WRM Harian</t>
        </is>
      </c>
      <c r="F1445" t="inlineStr">
        <is>
          <t>07:47:25</t>
        </is>
      </c>
      <c r="G1445" t="inlineStr">
        <is>
          <t>16:07:24</t>
        </is>
      </c>
      <c r="H1445" t="inlineStr">
        <is>
          <t>SELESAI</t>
        </is>
      </c>
      <c r="I1445" t="inlineStr">
        <is>
          <t>MK00118</t>
        </is>
      </c>
      <c r="J1445" t="inlineStr"/>
    </row>
    <row r="1446">
      <c r="A1446" t="inlineStr">
        <is>
          <t>29/06/2026</t>
        </is>
      </c>
      <c r="B1446" t="inlineStr">
        <is>
          <t>528000052</t>
        </is>
      </c>
      <c r="C1446" t="inlineStr">
        <is>
          <t>Mustopa</t>
        </is>
      </c>
      <c r="D1446" t="inlineStr">
        <is>
          <t>PROD</t>
        </is>
      </c>
      <c r="E1446" t="inlineStr">
        <is>
          <t>Produksi Harian</t>
        </is>
      </c>
      <c r="F1446" t="inlineStr">
        <is>
          <t>13:04:33</t>
        </is>
      </c>
      <c r="G1446" t="inlineStr">
        <is>
          <t>06:04:11</t>
        </is>
      </c>
      <c r="H1446" t="inlineStr">
        <is>
          <t>SELESAI</t>
        </is>
      </c>
      <c r="I1446" t="inlineStr">
        <is>
          <t>MK00249</t>
        </is>
      </c>
      <c r="J1446" t="inlineStr"/>
    </row>
    <row r="1447">
      <c r="A1447" t="inlineStr">
        <is>
          <t>29/06/2026</t>
        </is>
      </c>
      <c r="B1447" t="inlineStr">
        <is>
          <t>528000055</t>
        </is>
      </c>
      <c r="C1447" t="inlineStr">
        <is>
          <t>Dika Prasetya</t>
        </is>
      </c>
      <c r="D1447" t="inlineStr">
        <is>
          <t>LOG</t>
        </is>
      </c>
      <c r="E1447" t="inlineStr">
        <is>
          <t>WRM Harian</t>
        </is>
      </c>
      <c r="F1447" t="inlineStr">
        <is>
          <t>15:40:44</t>
        </is>
      </c>
      <c r="G1447" t="inlineStr"/>
      <c r="H1447" t="inlineStr">
        <is>
          <t>DI DALAM</t>
        </is>
      </c>
      <c r="I1447" t="inlineStr">
        <is>
          <t>MK00092</t>
        </is>
      </c>
      <c r="J1447" t="inlineStr"/>
    </row>
    <row r="1448">
      <c r="A1448" t="inlineStr">
        <is>
          <t>29/06/2026</t>
        </is>
      </c>
      <c r="B1448" t="inlineStr">
        <is>
          <t>528000069</t>
        </is>
      </c>
      <c r="C1448" t="inlineStr">
        <is>
          <t>Jajang Ardiansyah</t>
        </is>
      </c>
      <c r="D1448" t="inlineStr">
        <is>
          <t>PROD</t>
        </is>
      </c>
      <c r="E1448" t="inlineStr">
        <is>
          <t>Produksi Harian</t>
        </is>
      </c>
      <c r="F1448" t="inlineStr">
        <is>
          <t>07:02:44</t>
        </is>
      </c>
      <c r="G1448" t="inlineStr">
        <is>
          <t>16:53:00</t>
        </is>
      </c>
      <c r="H1448" t="inlineStr">
        <is>
          <t>SELESAI</t>
        </is>
      </c>
      <c r="I1448" t="inlineStr">
        <is>
          <t>MK00204</t>
        </is>
      </c>
      <c r="J1448" t="inlineStr"/>
    </row>
    <row r="1449">
      <c r="A1449" t="inlineStr">
        <is>
          <t>29/06/2026</t>
        </is>
      </c>
      <c r="B1449" t="inlineStr">
        <is>
          <t>528000090</t>
        </is>
      </c>
      <c r="C1449" t="inlineStr">
        <is>
          <t>Suganda</t>
        </is>
      </c>
      <c r="D1449" t="inlineStr">
        <is>
          <t>PROD</t>
        </is>
      </c>
      <c r="E1449" t="inlineStr">
        <is>
          <t>Produksi Harian</t>
        </is>
      </c>
      <c r="F1449" t="inlineStr">
        <is>
          <t>06:00:22</t>
        </is>
      </c>
      <c r="G1449" t="inlineStr">
        <is>
          <t>14:04:43</t>
        </is>
      </c>
      <c r="H1449" t="inlineStr">
        <is>
          <t>SELESAI</t>
        </is>
      </c>
      <c r="I1449" t="inlineStr">
        <is>
          <t>MK00185</t>
        </is>
      </c>
      <c r="J1449" t="inlineStr"/>
    </row>
    <row r="1450">
      <c r="A1450" t="inlineStr">
        <is>
          <t>29/06/2026</t>
        </is>
      </c>
      <c r="B1450" t="inlineStr">
        <is>
          <t>528000098</t>
        </is>
      </c>
      <c r="C1450" t="inlineStr">
        <is>
          <t>Edi Junaedi</t>
        </is>
      </c>
      <c r="D1450" t="inlineStr">
        <is>
          <t>PROD</t>
        </is>
      </c>
      <c r="E1450" t="inlineStr">
        <is>
          <t>Produksi Harian</t>
        </is>
      </c>
      <c r="F1450" t="inlineStr"/>
      <c r="G1450" t="inlineStr">
        <is>
          <t>13:40:40</t>
        </is>
      </c>
      <c r="H1450" t="inlineStr">
        <is>
          <t>KELUAR TANPA MASUK</t>
        </is>
      </c>
      <c r="I1450" t="inlineStr">
        <is>
          <t>MK00134</t>
        </is>
      </c>
      <c r="J1450" t="inlineStr"/>
    </row>
    <row r="1451">
      <c r="A1451" t="inlineStr">
        <is>
          <t>29/06/2026</t>
        </is>
      </c>
      <c r="B1451" t="inlineStr">
        <is>
          <t>528000099</t>
        </is>
      </c>
      <c r="C1451" t="inlineStr">
        <is>
          <t>Siti Nurawaliah</t>
        </is>
      </c>
      <c r="D1451" t="inlineStr">
        <is>
          <t>PROD</t>
        </is>
      </c>
      <c r="E1451" t="inlineStr">
        <is>
          <t>Produksi Harian</t>
        </is>
      </c>
      <c r="F1451" t="inlineStr">
        <is>
          <t>05:55:02</t>
        </is>
      </c>
      <c r="G1451" t="inlineStr">
        <is>
          <t>14:08:09</t>
        </is>
      </c>
      <c r="H1451" t="inlineStr">
        <is>
          <t>SELESAI</t>
        </is>
      </c>
      <c r="I1451" t="inlineStr">
        <is>
          <t>MK0093</t>
        </is>
      </c>
      <c r="J1451" t="inlineStr"/>
    </row>
    <row r="1452">
      <c r="A1452" t="inlineStr">
        <is>
          <t>29/06/2026</t>
        </is>
      </c>
      <c r="B1452" t="inlineStr">
        <is>
          <t>528000132</t>
        </is>
      </c>
      <c r="C1452" t="inlineStr">
        <is>
          <t>Giopani</t>
        </is>
      </c>
      <c r="D1452" t="inlineStr">
        <is>
          <t>LOG</t>
        </is>
      </c>
      <c r="E1452" t="inlineStr">
        <is>
          <t>WRM Harian</t>
        </is>
      </c>
      <c r="F1452" t="inlineStr">
        <is>
          <t>08:55:05</t>
        </is>
      </c>
      <c r="G1452" t="inlineStr"/>
      <c r="H1452" t="inlineStr">
        <is>
          <t>DI DALAM</t>
        </is>
      </c>
      <c r="I1452" t="inlineStr">
        <is>
          <t>MK00228</t>
        </is>
      </c>
      <c r="J1452" t="inlineStr"/>
    </row>
    <row r="1453">
      <c r="A1453" t="inlineStr">
        <is>
          <t>29/06/2026</t>
        </is>
      </c>
      <c r="B1453" t="inlineStr">
        <is>
          <t>528000144</t>
        </is>
      </c>
      <c r="C1453" t="inlineStr">
        <is>
          <t>Jodi Hanafi</t>
        </is>
      </c>
      <c r="D1453" t="inlineStr">
        <is>
          <t>LOG</t>
        </is>
      </c>
      <c r="E1453" t="inlineStr">
        <is>
          <t>WRM Harian</t>
        </is>
      </c>
      <c r="F1453" t="inlineStr">
        <is>
          <t>07:42:39</t>
        </is>
      </c>
      <c r="G1453" t="inlineStr">
        <is>
          <t>16:06:49</t>
        </is>
      </c>
      <c r="H1453" t="inlineStr">
        <is>
          <t>SELESAI</t>
        </is>
      </c>
      <c r="I1453" t="inlineStr">
        <is>
          <t>MK00181</t>
        </is>
      </c>
      <c r="J1453" t="inlineStr"/>
    </row>
    <row r="1454">
      <c r="A1454" t="inlineStr">
        <is>
          <t>29/06/2026</t>
        </is>
      </c>
      <c r="B1454" t="inlineStr">
        <is>
          <t>528000149</t>
        </is>
      </c>
      <c r="C1454" t="inlineStr">
        <is>
          <t>Tio Fernanda</t>
        </is>
      </c>
      <c r="D1454" t="inlineStr">
        <is>
          <t>LOG</t>
        </is>
      </c>
      <c r="E1454" t="inlineStr">
        <is>
          <t>WRM Harian</t>
        </is>
      </c>
      <c r="F1454" t="inlineStr">
        <is>
          <t>08:51:42</t>
        </is>
      </c>
      <c r="G1454" t="inlineStr">
        <is>
          <t>13:41:03</t>
        </is>
      </c>
      <c r="H1454" t="inlineStr">
        <is>
          <t>SELESAI</t>
        </is>
      </c>
      <c r="I1454" t="inlineStr">
        <is>
          <t>MK00212</t>
        </is>
      </c>
      <c r="J1454" t="inlineStr"/>
    </row>
    <row r="1455">
      <c r="A1455" t="inlineStr">
        <is>
          <t>29/06/2026</t>
        </is>
      </c>
      <c r="B1455" t="inlineStr">
        <is>
          <t>528000195</t>
        </is>
      </c>
      <c r="C1455" t="inlineStr">
        <is>
          <t>Rahma Sariwati</t>
        </is>
      </c>
      <c r="D1455" t="inlineStr">
        <is>
          <t>PROD</t>
        </is>
      </c>
      <c r="E1455" t="inlineStr">
        <is>
          <t>Produksi Harian</t>
        </is>
      </c>
      <c r="F1455" t="inlineStr">
        <is>
          <t>13:36:26</t>
        </is>
      </c>
      <c r="G1455" t="inlineStr">
        <is>
          <t>06:04:27</t>
        </is>
      </c>
      <c r="H1455" t="inlineStr">
        <is>
          <t>SELESAI</t>
        </is>
      </c>
      <c r="I1455" t="inlineStr">
        <is>
          <t>MK00151</t>
        </is>
      </c>
      <c r="J1455" t="inlineStr"/>
    </row>
    <row r="1456">
      <c r="A1456" t="inlineStr">
        <is>
          <t>29/06/2026</t>
        </is>
      </c>
      <c r="B1456" t="inlineStr">
        <is>
          <t>528000201</t>
        </is>
      </c>
      <c r="C1456" t="inlineStr">
        <is>
          <t>Zahwa Amelia Choerunissa</t>
        </is>
      </c>
      <c r="D1456" t="inlineStr">
        <is>
          <t>PROD</t>
        </is>
      </c>
      <c r="E1456" t="inlineStr">
        <is>
          <t>Produksi Harian</t>
        </is>
      </c>
      <c r="F1456" t="inlineStr">
        <is>
          <t>05:54:35</t>
        </is>
      </c>
      <c r="G1456" t="inlineStr">
        <is>
          <t>14:04:47</t>
        </is>
      </c>
      <c r="H1456" t="inlineStr">
        <is>
          <t>SELESAI</t>
        </is>
      </c>
      <c r="I1456" t="inlineStr">
        <is>
          <t>MK00154</t>
        </is>
      </c>
      <c r="J1456" t="inlineStr"/>
    </row>
    <row r="1457">
      <c r="A1457" t="inlineStr">
        <is>
          <t>29/06/2026</t>
        </is>
      </c>
      <c r="B1457" t="inlineStr">
        <is>
          <t>528000228</t>
        </is>
      </c>
      <c r="C1457" t="inlineStr">
        <is>
          <t>Banyu Resmi Putri</t>
        </is>
      </c>
      <c r="D1457" t="inlineStr">
        <is>
          <t>PROD</t>
        </is>
      </c>
      <c r="E1457" t="inlineStr">
        <is>
          <t>Produksi Harian</t>
        </is>
      </c>
      <c r="F1457" t="inlineStr">
        <is>
          <t>05:48:44</t>
        </is>
      </c>
      <c r="G1457" t="inlineStr">
        <is>
          <t>14:06:39</t>
        </is>
      </c>
      <c r="H1457" t="inlineStr">
        <is>
          <t>SELESAI</t>
        </is>
      </c>
      <c r="I1457" t="inlineStr">
        <is>
          <t>MK00130</t>
        </is>
      </c>
      <c r="J1457" t="inlineStr"/>
    </row>
    <row r="1458">
      <c r="A1458" t="inlineStr">
        <is>
          <t>29/06/2026</t>
        </is>
      </c>
      <c r="B1458" t="inlineStr">
        <is>
          <t>528000232</t>
        </is>
      </c>
      <c r="C1458" t="inlineStr">
        <is>
          <t>Agung Aji Suhada</t>
        </is>
      </c>
      <c r="D1458" t="inlineStr">
        <is>
          <t>LOG</t>
        </is>
      </c>
      <c r="E1458" t="inlineStr">
        <is>
          <t>WRM Harian</t>
        </is>
      </c>
      <c r="F1458" t="inlineStr">
        <is>
          <t>15:55:08</t>
        </is>
      </c>
      <c r="G1458" t="inlineStr"/>
      <c r="H1458" t="inlineStr">
        <is>
          <t>DI DALAM</t>
        </is>
      </c>
      <c r="I1458" t="inlineStr">
        <is>
          <t>MK00109</t>
        </is>
      </c>
      <c r="J1458" t="inlineStr"/>
    </row>
    <row r="1459">
      <c r="A1459" t="inlineStr">
        <is>
          <t>29/06/2026</t>
        </is>
      </c>
      <c r="B1459" t="inlineStr">
        <is>
          <t>528000241</t>
        </is>
      </c>
      <c r="C1459" t="inlineStr">
        <is>
          <t>Balia Nurafif Bilah</t>
        </is>
      </c>
      <c r="D1459" t="inlineStr">
        <is>
          <t>PROD</t>
        </is>
      </c>
      <c r="E1459" t="inlineStr">
        <is>
          <t>Produksi Harian</t>
        </is>
      </c>
      <c r="F1459" t="inlineStr">
        <is>
          <t>05:54:39</t>
        </is>
      </c>
      <c r="G1459" t="inlineStr">
        <is>
          <t>14:03:36</t>
        </is>
      </c>
      <c r="H1459" t="inlineStr">
        <is>
          <t>SELESAI</t>
        </is>
      </c>
      <c r="I1459" t="inlineStr">
        <is>
          <t>MK00138</t>
        </is>
      </c>
      <c r="J1459" t="inlineStr"/>
    </row>
    <row r="1460">
      <c r="A1460" t="inlineStr">
        <is>
          <t>29/06/2026</t>
        </is>
      </c>
      <c r="B1460" t="inlineStr">
        <is>
          <t>528000244</t>
        </is>
      </c>
      <c r="C1460" t="inlineStr">
        <is>
          <t>Rodian Rifai</t>
        </is>
      </c>
      <c r="D1460" t="inlineStr">
        <is>
          <t>PROD</t>
        </is>
      </c>
      <c r="E1460" t="inlineStr">
        <is>
          <t>Produksi Harian</t>
        </is>
      </c>
      <c r="F1460" t="inlineStr">
        <is>
          <t>05:43:38</t>
        </is>
      </c>
      <c r="G1460" t="inlineStr">
        <is>
          <t>15:35:57</t>
        </is>
      </c>
      <c r="H1460" t="inlineStr">
        <is>
          <t>SELESAI</t>
        </is>
      </c>
      <c r="I1460" t="inlineStr">
        <is>
          <t>MK00136</t>
        </is>
      </c>
      <c r="J1460" t="inlineStr"/>
    </row>
    <row r="1461">
      <c r="A1461" t="inlineStr">
        <is>
          <t>29/06/2026</t>
        </is>
      </c>
      <c r="B1461" t="inlineStr">
        <is>
          <t>528000261</t>
        </is>
      </c>
      <c r="C1461" t="inlineStr">
        <is>
          <t>Ergi Ergianto</t>
        </is>
      </c>
      <c r="D1461" t="inlineStr">
        <is>
          <t>HRGA</t>
        </is>
      </c>
      <c r="E1461" t="inlineStr">
        <is>
          <t>GA Harian</t>
        </is>
      </c>
      <c r="F1461" t="inlineStr">
        <is>
          <t>13:46:56</t>
        </is>
      </c>
      <c r="G1461" t="inlineStr">
        <is>
          <t>06:03:46</t>
        </is>
      </c>
      <c r="H1461" t="inlineStr">
        <is>
          <t>SELESAI</t>
        </is>
      </c>
      <c r="I1461" t="inlineStr">
        <is>
          <t>MK00250</t>
        </is>
      </c>
      <c r="J1461" t="inlineStr"/>
    </row>
    <row r="1462">
      <c r="A1462" t="inlineStr">
        <is>
          <t>29/06/2026</t>
        </is>
      </c>
      <c r="B1462" t="inlineStr">
        <is>
          <t>528000262</t>
        </is>
      </c>
      <c r="C1462" t="inlineStr">
        <is>
          <t>Ndari Dwiwanti</t>
        </is>
      </c>
      <c r="D1462" t="inlineStr">
        <is>
          <t>PROD</t>
        </is>
      </c>
      <c r="E1462" t="inlineStr">
        <is>
          <t>Produksi Harian</t>
        </is>
      </c>
      <c r="F1462" t="inlineStr">
        <is>
          <t>13:40:56</t>
        </is>
      </c>
      <c r="G1462" t="inlineStr">
        <is>
          <t>06:04:23</t>
        </is>
      </c>
      <c r="H1462" t="inlineStr">
        <is>
          <t>SELESAI</t>
        </is>
      </c>
      <c r="I1462" t="inlineStr">
        <is>
          <t>MK00134</t>
        </is>
      </c>
      <c r="J1462" t="inlineStr"/>
    </row>
    <row r="1463">
      <c r="A1463" t="inlineStr">
        <is>
          <t>29/06/2026</t>
        </is>
      </c>
      <c r="B1463" t="inlineStr">
        <is>
          <t>528000265</t>
        </is>
      </c>
      <c r="C1463" t="inlineStr">
        <is>
          <t>Muhammad Haerul Rozikin</t>
        </is>
      </c>
      <c r="D1463" t="inlineStr">
        <is>
          <t>LOG</t>
        </is>
      </c>
      <c r="E1463" t="inlineStr">
        <is>
          <t>WRM Harian</t>
        </is>
      </c>
      <c r="F1463" t="inlineStr">
        <is>
          <t>07:43:22</t>
        </is>
      </c>
      <c r="G1463" t="inlineStr">
        <is>
          <t>16:05:07</t>
        </is>
      </c>
      <c r="H1463" t="inlineStr">
        <is>
          <t>SELESAI</t>
        </is>
      </c>
      <c r="I1463" t="inlineStr">
        <is>
          <t>MK00208</t>
        </is>
      </c>
      <c r="J1463" t="inlineStr"/>
    </row>
    <row r="1464">
      <c r="A1464" t="inlineStr">
        <is>
          <t>29/06/2026</t>
        </is>
      </c>
      <c r="B1464" t="inlineStr">
        <is>
          <t>528000266</t>
        </is>
      </c>
      <c r="C1464" t="inlineStr">
        <is>
          <t>M. Syirajatieq</t>
        </is>
      </c>
      <c r="D1464" t="inlineStr">
        <is>
          <t>LOG</t>
        </is>
      </c>
      <c r="E1464" t="inlineStr">
        <is>
          <t>WFG Harian</t>
        </is>
      </c>
      <c r="F1464" t="inlineStr">
        <is>
          <t>13:45:53</t>
        </is>
      </c>
      <c r="G1464" t="inlineStr"/>
      <c r="H1464" t="inlineStr">
        <is>
          <t>DI DALAM</t>
        </is>
      </c>
      <c r="I1464" t="inlineStr">
        <is>
          <t>MK0008</t>
        </is>
      </c>
      <c r="J1464" t="inlineStr"/>
    </row>
    <row r="1465">
      <c r="A1465" t="inlineStr">
        <is>
          <t>29/06/2026</t>
        </is>
      </c>
      <c r="B1465" t="inlineStr">
        <is>
          <t>528000267</t>
        </is>
      </c>
      <c r="C1465" t="inlineStr">
        <is>
          <t>Bagas Patulloh</t>
        </is>
      </c>
      <c r="D1465" t="inlineStr">
        <is>
          <t>LOG</t>
        </is>
      </c>
      <c r="E1465" t="inlineStr">
        <is>
          <t>WRM Harian</t>
        </is>
      </c>
      <c r="F1465" t="inlineStr">
        <is>
          <t>15:59:04</t>
        </is>
      </c>
      <c r="G1465" t="inlineStr"/>
      <c r="H1465" t="inlineStr">
        <is>
          <t>DI DALAM</t>
        </is>
      </c>
      <c r="I1465" t="inlineStr">
        <is>
          <t>MK00136</t>
        </is>
      </c>
      <c r="J1465" t="inlineStr"/>
    </row>
    <row r="1466">
      <c r="A1466" t="inlineStr">
        <is>
          <t>29/06/2026</t>
        </is>
      </c>
      <c r="B1466" t="inlineStr">
        <is>
          <t>528000273</t>
        </is>
      </c>
      <c r="C1466" t="inlineStr">
        <is>
          <t>Asep Mulyana</t>
        </is>
      </c>
      <c r="D1466" t="inlineStr">
        <is>
          <t>PROD</t>
        </is>
      </c>
      <c r="E1466" t="inlineStr">
        <is>
          <t>Produksi Harian</t>
        </is>
      </c>
      <c r="F1466" t="inlineStr">
        <is>
          <t>15:39:14</t>
        </is>
      </c>
      <c r="G1466" t="inlineStr"/>
      <c r="H1466" t="inlineStr">
        <is>
          <t>DI DALAM</t>
        </is>
      </c>
      <c r="I1466" t="inlineStr">
        <is>
          <t>MK00156</t>
        </is>
      </c>
      <c r="J1466" t="inlineStr"/>
    </row>
    <row r="1467">
      <c r="A1467" t="inlineStr">
        <is>
          <t>29/06/2026</t>
        </is>
      </c>
      <c r="B1467" t="inlineStr">
        <is>
          <t>528000274</t>
        </is>
      </c>
      <c r="C1467" t="inlineStr">
        <is>
          <t>Zepri</t>
        </is>
      </c>
      <c r="D1467" t="inlineStr">
        <is>
          <t>PROD</t>
        </is>
      </c>
      <c r="E1467" t="inlineStr">
        <is>
          <t>Produksi Harian</t>
        </is>
      </c>
      <c r="F1467" t="inlineStr">
        <is>
          <t>05:56:27</t>
        </is>
      </c>
      <c r="G1467" t="inlineStr">
        <is>
          <t>14:04:56</t>
        </is>
      </c>
      <c r="H1467" t="inlineStr">
        <is>
          <t>SELESAI</t>
        </is>
      </c>
      <c r="I1467" t="inlineStr">
        <is>
          <t>MK00088</t>
        </is>
      </c>
      <c r="J1467" t="inlineStr"/>
    </row>
    <row r="1468">
      <c r="A1468" t="inlineStr">
        <is>
          <t>29/06/2026</t>
        </is>
      </c>
      <c r="B1468" t="inlineStr">
        <is>
          <t>528000282</t>
        </is>
      </c>
      <c r="C1468" t="inlineStr">
        <is>
          <t>Defa Desfiana</t>
        </is>
      </c>
      <c r="D1468" t="inlineStr">
        <is>
          <t>PROD</t>
        </is>
      </c>
      <c r="E1468" t="inlineStr">
        <is>
          <t>Produksi Harian</t>
        </is>
      </c>
      <c r="F1468" t="inlineStr">
        <is>
          <t>07:44:19</t>
        </is>
      </c>
      <c r="G1468" t="inlineStr">
        <is>
          <t>16:01:13</t>
        </is>
      </c>
      <c r="H1468" t="inlineStr">
        <is>
          <t>SELESAI</t>
        </is>
      </c>
      <c r="I1468" t="inlineStr">
        <is>
          <t>MK00209</t>
        </is>
      </c>
      <c r="J1468" t="inlineStr">
        <is>
          <t>10c</t>
        </is>
      </c>
    </row>
    <row r="1469">
      <c r="A1469" t="inlineStr">
        <is>
          <t>29/06/2026</t>
        </is>
      </c>
      <c r="B1469" t="inlineStr">
        <is>
          <t>528000283</t>
        </is>
      </c>
      <c r="C1469" t="inlineStr">
        <is>
          <t>Purwanda Sugiri</t>
        </is>
      </c>
      <c r="D1469" t="inlineStr">
        <is>
          <t>LOG</t>
        </is>
      </c>
      <c r="E1469" t="inlineStr">
        <is>
          <t>WRM Harian</t>
        </is>
      </c>
      <c r="F1469" t="inlineStr">
        <is>
          <t>13:41:36</t>
        </is>
      </c>
      <c r="G1469" t="inlineStr">
        <is>
          <t>06:03:24</t>
        </is>
      </c>
      <c r="H1469" t="inlineStr">
        <is>
          <t>SELESAI</t>
        </is>
      </c>
      <c r="I1469" t="inlineStr">
        <is>
          <t>MK00145</t>
        </is>
      </c>
      <c r="J1469" t="inlineStr"/>
    </row>
    <row r="1470">
      <c r="A1470" t="inlineStr">
        <is>
          <t>29/06/2026</t>
        </is>
      </c>
      <c r="B1470" t="inlineStr">
        <is>
          <t>528000286</t>
        </is>
      </c>
      <c r="C1470" t="inlineStr">
        <is>
          <t>Imelda Amelia</t>
        </is>
      </c>
      <c r="D1470" t="inlineStr">
        <is>
          <t>PROD</t>
        </is>
      </c>
      <c r="E1470" t="inlineStr">
        <is>
          <t>Produksi Harian</t>
        </is>
      </c>
      <c r="F1470" t="inlineStr">
        <is>
          <t>05:47:18</t>
        </is>
      </c>
      <c r="G1470" t="inlineStr">
        <is>
          <t>14:07:18</t>
        </is>
      </c>
      <c r="H1470" t="inlineStr">
        <is>
          <t>SELESAI</t>
        </is>
      </c>
      <c r="I1470" t="inlineStr">
        <is>
          <t>MK00230</t>
        </is>
      </c>
      <c r="J1470" t="inlineStr"/>
    </row>
    <row r="1471">
      <c r="A1471" t="inlineStr">
        <is>
          <t>29/06/2026</t>
        </is>
      </c>
      <c r="B1471" t="inlineStr">
        <is>
          <t>528000288</t>
        </is>
      </c>
      <c r="C1471" t="inlineStr">
        <is>
          <t>Dede gunawan</t>
        </is>
      </c>
      <c r="D1471" t="inlineStr">
        <is>
          <t>PROD</t>
        </is>
      </c>
      <c r="E1471" t="inlineStr">
        <is>
          <t>Produksi Harian</t>
        </is>
      </c>
      <c r="F1471" t="inlineStr">
        <is>
          <t>13:43:52</t>
        </is>
      </c>
      <c r="G1471" t="inlineStr">
        <is>
          <t>13:44:20</t>
        </is>
      </c>
      <c r="H1471" t="inlineStr">
        <is>
          <t>SELESAI</t>
        </is>
      </c>
      <c r="I1471" t="inlineStr">
        <is>
          <t>MK00212</t>
        </is>
      </c>
      <c r="J1471" t="inlineStr"/>
    </row>
    <row r="1472">
      <c r="A1472" t="inlineStr">
        <is>
          <t>29/06/2026</t>
        </is>
      </c>
      <c r="B1472" t="inlineStr">
        <is>
          <t>528000290</t>
        </is>
      </c>
      <c r="C1472" t="inlineStr">
        <is>
          <t>Eval Pranata</t>
        </is>
      </c>
      <c r="D1472" t="inlineStr">
        <is>
          <t>PROD</t>
        </is>
      </c>
      <c r="E1472" t="inlineStr">
        <is>
          <t>Produksi Harian</t>
        </is>
      </c>
      <c r="F1472" t="inlineStr">
        <is>
          <t>05:56:08</t>
        </is>
      </c>
      <c r="G1472" t="inlineStr">
        <is>
          <t>14:04:00</t>
        </is>
      </c>
      <c r="H1472" t="inlineStr">
        <is>
          <t>SELESAI</t>
        </is>
      </c>
      <c r="I1472" t="inlineStr">
        <is>
          <t>MK00213</t>
        </is>
      </c>
      <c r="J1472" t="inlineStr"/>
    </row>
    <row r="1473">
      <c r="A1473" t="inlineStr">
        <is>
          <t>29/06/2026</t>
        </is>
      </c>
      <c r="B1473" t="inlineStr">
        <is>
          <t>528000291</t>
        </is>
      </c>
      <c r="C1473" t="inlineStr">
        <is>
          <t>Andrian</t>
        </is>
      </c>
      <c r="D1473" t="inlineStr">
        <is>
          <t>PROD</t>
        </is>
      </c>
      <c r="E1473" t="inlineStr">
        <is>
          <t>Produksi Harian</t>
        </is>
      </c>
      <c r="F1473" t="inlineStr">
        <is>
          <t>13:44:46</t>
        </is>
      </c>
      <c r="G1473" t="inlineStr">
        <is>
          <t>06:03:39</t>
        </is>
      </c>
      <c r="H1473" t="inlineStr">
        <is>
          <t>SELESAI</t>
        </is>
      </c>
      <c r="I1473" t="inlineStr">
        <is>
          <t>MK00212</t>
        </is>
      </c>
      <c r="J1473" t="inlineStr"/>
    </row>
    <row r="1474">
      <c r="A1474" t="inlineStr">
        <is>
          <t>29/06/2026</t>
        </is>
      </c>
      <c r="B1474" t="inlineStr">
        <is>
          <t>528000302</t>
        </is>
      </c>
      <c r="C1474" t="inlineStr">
        <is>
          <t>Henkey gumilar</t>
        </is>
      </c>
      <c r="D1474" t="inlineStr">
        <is>
          <t>PROD</t>
        </is>
      </c>
      <c r="E1474" t="inlineStr">
        <is>
          <t>Produksi Harian</t>
        </is>
      </c>
      <c r="F1474" t="inlineStr"/>
      <c r="G1474" t="inlineStr">
        <is>
          <t>05:49:35</t>
        </is>
      </c>
      <c r="H1474" t="inlineStr">
        <is>
          <t>KELUAR TANPA MASUK</t>
        </is>
      </c>
      <c r="I1474" t="inlineStr">
        <is>
          <t>MK00090</t>
        </is>
      </c>
      <c r="J1474" t="inlineStr"/>
    </row>
    <row r="1475">
      <c r="A1475" t="inlineStr">
        <is>
          <t>29/06/2026</t>
        </is>
      </c>
      <c r="B1475" t="inlineStr">
        <is>
          <t>528000305</t>
        </is>
      </c>
      <c r="C1475" t="inlineStr">
        <is>
          <t>Puji Puspita</t>
        </is>
      </c>
      <c r="D1475" t="inlineStr">
        <is>
          <t>PROD</t>
        </is>
      </c>
      <c r="E1475" t="inlineStr">
        <is>
          <t>Produksi Harian</t>
        </is>
      </c>
      <c r="F1475" t="inlineStr"/>
      <c r="G1475" t="inlineStr">
        <is>
          <t>05:52:10</t>
        </is>
      </c>
      <c r="H1475" t="inlineStr">
        <is>
          <t>KELUAR TANPA MASUK</t>
        </is>
      </c>
      <c r="I1475" t="inlineStr">
        <is>
          <t>MK00210</t>
        </is>
      </c>
      <c r="J1475" t="inlineStr"/>
    </row>
    <row r="1476">
      <c r="A1476" t="inlineStr">
        <is>
          <t>29/06/2026</t>
        </is>
      </c>
      <c r="B1476" t="inlineStr">
        <is>
          <t>528000323</t>
        </is>
      </c>
      <c r="C1476" t="inlineStr">
        <is>
          <t>Dian Hamidah</t>
        </is>
      </c>
      <c r="D1476" t="inlineStr">
        <is>
          <t>PROD</t>
        </is>
      </c>
      <c r="E1476" t="inlineStr">
        <is>
          <t>Produksi Harian</t>
        </is>
      </c>
      <c r="F1476" t="inlineStr"/>
      <c r="G1476" t="inlineStr">
        <is>
          <t>06:04:50</t>
        </is>
      </c>
      <c r="H1476" t="inlineStr">
        <is>
          <t>KELUAR TANPA MASUK</t>
        </is>
      </c>
      <c r="I1476" t="inlineStr">
        <is>
          <t>MK00121</t>
        </is>
      </c>
      <c r="J1476" t="inlineStr"/>
    </row>
    <row r="1477">
      <c r="A1477" t="inlineStr">
        <is>
          <t>29/06/2026</t>
        </is>
      </c>
      <c r="B1477" t="inlineStr">
        <is>
          <t>528000328</t>
        </is>
      </c>
      <c r="C1477" t="inlineStr">
        <is>
          <t>Nur Anjani</t>
        </is>
      </c>
      <c r="D1477" t="inlineStr">
        <is>
          <t>PROD</t>
        </is>
      </c>
      <c r="E1477" t="inlineStr">
        <is>
          <t>Produksi Harian</t>
        </is>
      </c>
      <c r="F1477" t="inlineStr">
        <is>
          <t>21:43:43</t>
        </is>
      </c>
      <c r="G1477" t="inlineStr"/>
      <c r="H1477" t="inlineStr">
        <is>
          <t>DI DALAM</t>
        </is>
      </c>
      <c r="I1477" t="inlineStr">
        <is>
          <t>MK00230</t>
        </is>
      </c>
      <c r="J1477" t="inlineStr"/>
    </row>
    <row r="1478">
      <c r="A1478" t="inlineStr">
        <is>
          <t>29/06/2026</t>
        </is>
      </c>
      <c r="B1478" t="inlineStr">
        <is>
          <t>528000336</t>
        </is>
      </c>
      <c r="C1478" t="inlineStr">
        <is>
          <t>Ali Nurhanafi</t>
        </is>
      </c>
      <c r="D1478" t="inlineStr">
        <is>
          <t>PROD</t>
        </is>
      </c>
      <c r="E1478" t="inlineStr">
        <is>
          <t>Produksi Harian</t>
        </is>
      </c>
      <c r="F1478" t="inlineStr"/>
      <c r="G1478" t="inlineStr">
        <is>
          <t>06:05:44</t>
        </is>
      </c>
      <c r="H1478" t="inlineStr">
        <is>
          <t>KELUAR TANPA MASUK</t>
        </is>
      </c>
      <c r="I1478" t="inlineStr">
        <is>
          <t>MK00185</t>
        </is>
      </c>
      <c r="J1478" t="inlineStr"/>
    </row>
    <row r="1479">
      <c r="A1479" t="inlineStr">
        <is>
          <t>29/06/2026</t>
        </is>
      </c>
      <c r="B1479" t="inlineStr">
        <is>
          <t>528000337</t>
        </is>
      </c>
      <c r="C1479" t="inlineStr">
        <is>
          <t>Ahmad Zaldi Firdaus</t>
        </is>
      </c>
      <c r="D1479" t="inlineStr">
        <is>
          <t>PROD</t>
        </is>
      </c>
      <c r="E1479" t="inlineStr">
        <is>
          <t>Produksi Harian</t>
        </is>
      </c>
      <c r="F1479" t="inlineStr"/>
      <c r="G1479" t="inlineStr">
        <is>
          <t>06:09:08</t>
        </is>
      </c>
      <c r="H1479" t="inlineStr">
        <is>
          <t>KELUAR TANPA MASUK</t>
        </is>
      </c>
      <c r="I1479" t="inlineStr">
        <is>
          <t>MK00202</t>
        </is>
      </c>
      <c r="J1479" t="inlineStr"/>
    </row>
    <row r="1480">
      <c r="A1480" t="inlineStr">
        <is>
          <t>29/06/2026</t>
        </is>
      </c>
      <c r="B1480" t="inlineStr">
        <is>
          <t>528000348</t>
        </is>
      </c>
      <c r="C1480" t="inlineStr">
        <is>
          <t>Saepuloh Ardiansah</t>
        </is>
      </c>
      <c r="D1480" t="inlineStr">
        <is>
          <t>LOG</t>
        </is>
      </c>
      <c r="E1480" t="inlineStr">
        <is>
          <t>WRM Harian</t>
        </is>
      </c>
      <c r="F1480" t="inlineStr">
        <is>
          <t>09:01:54</t>
        </is>
      </c>
      <c r="G1480" t="inlineStr">
        <is>
          <t>07:48:37</t>
        </is>
      </c>
      <c r="H1480" t="inlineStr">
        <is>
          <t>SELESAI</t>
        </is>
      </c>
      <c r="I1480" t="inlineStr">
        <is>
          <t>MK00205</t>
        </is>
      </c>
      <c r="J1480" t="inlineStr"/>
    </row>
    <row r="1481">
      <c r="A1481" t="inlineStr">
        <is>
          <t>29/06/2026</t>
        </is>
      </c>
      <c r="B1481" t="inlineStr">
        <is>
          <t>528000349</t>
        </is>
      </c>
      <c r="C1481" t="inlineStr">
        <is>
          <t>Anas Abdul Fatah</t>
        </is>
      </c>
      <c r="D1481" t="inlineStr">
        <is>
          <t>LOG</t>
        </is>
      </c>
      <c r="E1481" t="inlineStr">
        <is>
          <t>WFG Harian</t>
        </is>
      </c>
      <c r="F1481" t="inlineStr"/>
      <c r="G1481" t="inlineStr">
        <is>
          <t>16:21:26</t>
        </is>
      </c>
      <c r="H1481" t="inlineStr">
        <is>
          <t>KELUAR TANPA MASUK</t>
        </is>
      </c>
      <c r="I1481" t="inlineStr">
        <is>
          <t>MK0003</t>
        </is>
      </c>
      <c r="J1481" t="inlineStr"/>
    </row>
    <row r="1482">
      <c r="A1482" t="inlineStr">
        <is>
          <t>29/06/2026</t>
        </is>
      </c>
      <c r="B1482" t="inlineStr">
        <is>
          <t>528000358</t>
        </is>
      </c>
      <c r="C1482" t="inlineStr">
        <is>
          <t>Lulu Agustin</t>
        </is>
      </c>
      <c r="D1482" t="inlineStr">
        <is>
          <t>PROD</t>
        </is>
      </c>
      <c r="E1482" t="inlineStr">
        <is>
          <t>Produksi Harian</t>
        </is>
      </c>
      <c r="F1482" t="inlineStr">
        <is>
          <t>13:34:08</t>
        </is>
      </c>
      <c r="G1482" t="inlineStr">
        <is>
          <t>06:04:20</t>
        </is>
      </c>
      <c r="H1482" t="inlineStr">
        <is>
          <t>SELESAI</t>
        </is>
      </c>
      <c r="I1482" t="inlineStr">
        <is>
          <t>MK00095</t>
        </is>
      </c>
      <c r="J1482" t="inlineStr"/>
    </row>
    <row r="1483">
      <c r="A1483" t="inlineStr">
        <is>
          <t>29/06/2026</t>
        </is>
      </c>
      <c r="B1483" t="inlineStr">
        <is>
          <t>528000360</t>
        </is>
      </c>
      <c r="C1483" t="inlineStr">
        <is>
          <t>Hendra Permana</t>
        </is>
      </c>
      <c r="D1483" t="inlineStr">
        <is>
          <t>ENG</t>
        </is>
      </c>
      <c r="E1483" t="inlineStr">
        <is>
          <t>Engineering Harian</t>
        </is>
      </c>
      <c r="F1483" t="inlineStr">
        <is>
          <t>21:52:45</t>
        </is>
      </c>
      <c r="G1483" t="inlineStr">
        <is>
          <t>06:03:00</t>
        </is>
      </c>
      <c r="H1483" t="inlineStr">
        <is>
          <t>SELESAI</t>
        </is>
      </c>
      <c r="I1483" t="inlineStr">
        <is>
          <t>MK00109</t>
        </is>
      </c>
      <c r="J1483" t="inlineStr"/>
    </row>
    <row r="1484">
      <c r="A1484" t="inlineStr">
        <is>
          <t>29/06/2026</t>
        </is>
      </c>
      <c r="B1484" t="inlineStr">
        <is>
          <t>528000361</t>
        </is>
      </c>
      <c r="C1484" t="inlineStr">
        <is>
          <t>Denada Munggarani</t>
        </is>
      </c>
      <c r="D1484" t="inlineStr">
        <is>
          <t>PROD</t>
        </is>
      </c>
      <c r="E1484" t="inlineStr">
        <is>
          <t>Produksi Harian</t>
        </is>
      </c>
      <c r="F1484" t="inlineStr"/>
      <c r="G1484" t="inlineStr">
        <is>
          <t>07:45:56</t>
        </is>
      </c>
      <c r="H1484" t="inlineStr">
        <is>
          <t>KELUAR TANPA MASUK</t>
        </is>
      </c>
      <c r="I1484" t="inlineStr">
        <is>
          <t>MK00230</t>
        </is>
      </c>
      <c r="J1484" t="inlineStr"/>
    </row>
    <row r="1485">
      <c r="A1485" t="inlineStr">
        <is>
          <t>30/06/2026</t>
        </is>
      </c>
      <c r="B1485" t="inlineStr">
        <is>
          <t>528000015</t>
        </is>
      </c>
      <c r="C1485" t="inlineStr">
        <is>
          <t>Erwin</t>
        </is>
      </c>
      <c r="D1485" t="inlineStr">
        <is>
          <t>LOG</t>
        </is>
      </c>
      <c r="E1485" t="inlineStr">
        <is>
          <t>WRM Harian</t>
        </is>
      </c>
      <c r="F1485" t="inlineStr">
        <is>
          <t>05:51:02</t>
        </is>
      </c>
      <c r="G1485" t="inlineStr"/>
      <c r="H1485" t="inlineStr">
        <is>
          <t>DI DALAM</t>
        </is>
      </c>
      <c r="I1485" t="inlineStr">
        <is>
          <t>MK00123</t>
        </is>
      </c>
      <c r="J1485" t="inlineStr"/>
    </row>
    <row r="1486">
      <c r="A1486" t="inlineStr">
        <is>
          <t>30/06/2026</t>
        </is>
      </c>
      <c r="B1486" t="inlineStr">
        <is>
          <t>528000040</t>
        </is>
      </c>
      <c r="C1486" t="inlineStr">
        <is>
          <t>Agus Suryaman</t>
        </is>
      </c>
      <c r="D1486" t="inlineStr">
        <is>
          <t>PROD</t>
        </is>
      </c>
      <c r="E1486" t="inlineStr">
        <is>
          <t>Produksi Harian</t>
        </is>
      </c>
      <c r="F1486" t="inlineStr">
        <is>
          <t>08:55:54</t>
        </is>
      </c>
      <c r="G1486" t="inlineStr">
        <is>
          <t>14:04:21</t>
        </is>
      </c>
      <c r="H1486" t="inlineStr">
        <is>
          <t>SELESAI</t>
        </is>
      </c>
      <c r="I1486" t="inlineStr">
        <is>
          <t>MK00141</t>
        </is>
      </c>
      <c r="J1486" t="inlineStr"/>
    </row>
    <row r="1487">
      <c r="A1487" t="inlineStr">
        <is>
          <t>30/06/2026</t>
        </is>
      </c>
      <c r="B1487" t="inlineStr">
        <is>
          <t>528000052</t>
        </is>
      </c>
      <c r="C1487" t="inlineStr">
        <is>
          <t>Mustopa</t>
        </is>
      </c>
      <c r="D1487" t="inlineStr">
        <is>
          <t>PROD</t>
        </is>
      </c>
      <c r="E1487" t="inlineStr">
        <is>
          <t>Produksi Harian</t>
        </is>
      </c>
      <c r="F1487" t="inlineStr"/>
      <c r="G1487" t="inlineStr">
        <is>
          <t>06:04:01</t>
        </is>
      </c>
      <c r="H1487" t="inlineStr">
        <is>
          <t>KELUAR TANPA MASUK</t>
        </is>
      </c>
      <c r="I1487" t="inlineStr">
        <is>
          <t>MK00143</t>
        </is>
      </c>
      <c r="J1487" t="inlineStr"/>
    </row>
    <row r="1488">
      <c r="A1488" t="inlineStr">
        <is>
          <t>30/06/2026</t>
        </is>
      </c>
      <c r="B1488" t="inlineStr">
        <is>
          <t>528000090</t>
        </is>
      </c>
      <c r="C1488" t="inlineStr">
        <is>
          <t>Suganda</t>
        </is>
      </c>
      <c r="D1488" t="inlineStr">
        <is>
          <t>PROD</t>
        </is>
      </c>
      <c r="E1488" t="inlineStr">
        <is>
          <t>Produksi Harian</t>
        </is>
      </c>
      <c r="F1488" t="inlineStr">
        <is>
          <t>13:50:23</t>
        </is>
      </c>
      <c r="G1488" t="inlineStr">
        <is>
          <t>22:13:51</t>
        </is>
      </c>
      <c r="H1488" t="inlineStr">
        <is>
          <t>SELESAI</t>
        </is>
      </c>
      <c r="I1488" t="inlineStr">
        <is>
          <t>MK00085</t>
        </is>
      </c>
      <c r="J1488" t="inlineStr"/>
    </row>
    <row r="1489">
      <c r="A1489" t="inlineStr">
        <is>
          <t>30/06/2026</t>
        </is>
      </c>
      <c r="B1489" t="inlineStr">
        <is>
          <t>528000144</t>
        </is>
      </c>
      <c r="C1489" t="inlineStr">
        <is>
          <t>Jodi Hanafi</t>
        </is>
      </c>
      <c r="D1489" t="inlineStr">
        <is>
          <t>LOG</t>
        </is>
      </c>
      <c r="E1489" t="inlineStr">
        <is>
          <t>WRM Harian</t>
        </is>
      </c>
      <c r="F1489" t="inlineStr">
        <is>
          <t>07:56:18</t>
        </is>
      </c>
      <c r="G1489" t="inlineStr"/>
      <c r="H1489" t="inlineStr">
        <is>
          <t>DI DALAM</t>
        </is>
      </c>
      <c r="I1489" t="inlineStr">
        <is>
          <t>MK00221</t>
        </is>
      </c>
      <c r="J1489" t="inlineStr"/>
    </row>
    <row r="1490">
      <c r="A1490" t="inlineStr">
        <is>
          <t>30/06/2026</t>
        </is>
      </c>
      <c r="B1490" t="inlineStr">
        <is>
          <t>528000149</t>
        </is>
      </c>
      <c r="C1490" t="inlineStr">
        <is>
          <t>Tio Fernanda</t>
        </is>
      </c>
      <c r="D1490" t="inlineStr">
        <is>
          <t>LOG</t>
        </is>
      </c>
      <c r="E1490" t="inlineStr">
        <is>
          <t>WRM Harian</t>
        </is>
      </c>
      <c r="F1490" t="inlineStr">
        <is>
          <t>09:03:56</t>
        </is>
      </c>
      <c r="G1490" t="inlineStr">
        <is>
          <t>14:02:50</t>
        </is>
      </c>
      <c r="H1490" t="inlineStr">
        <is>
          <t>SELESAI</t>
        </is>
      </c>
      <c r="I1490" t="inlineStr">
        <is>
          <t>MK0130</t>
        </is>
      </c>
      <c r="J1490" t="inlineStr"/>
    </row>
    <row r="1491">
      <c r="A1491" t="inlineStr">
        <is>
          <t>30/06/2026</t>
        </is>
      </c>
      <c r="B1491" t="inlineStr">
        <is>
          <t>528000195</t>
        </is>
      </c>
      <c r="C1491" t="inlineStr">
        <is>
          <t>Rahma Sariwati</t>
        </is>
      </c>
      <c r="D1491" t="inlineStr">
        <is>
          <t>PROD</t>
        </is>
      </c>
      <c r="E1491" t="inlineStr">
        <is>
          <t>Produksi Harian</t>
        </is>
      </c>
      <c r="F1491" t="inlineStr"/>
      <c r="G1491" t="inlineStr">
        <is>
          <t>06:17:00</t>
        </is>
      </c>
      <c r="H1491" t="inlineStr">
        <is>
          <t>KELUAR TANPA MASUK</t>
        </is>
      </c>
      <c r="I1491" t="inlineStr">
        <is>
          <t>MK00212</t>
        </is>
      </c>
      <c r="J1491" t="inlineStr"/>
    </row>
    <row r="1492">
      <c r="A1492" t="inlineStr">
        <is>
          <t>30/06/2026</t>
        </is>
      </c>
      <c r="B1492" t="inlineStr">
        <is>
          <t>528000201</t>
        </is>
      </c>
      <c r="C1492" t="inlineStr">
        <is>
          <t>Zahwa Amelia Choerunissa</t>
        </is>
      </c>
      <c r="D1492" t="inlineStr">
        <is>
          <t>PROD</t>
        </is>
      </c>
      <c r="E1492" t="inlineStr">
        <is>
          <t>Produksi Harian</t>
        </is>
      </c>
      <c r="F1492" t="inlineStr">
        <is>
          <t>13:35:51</t>
        </is>
      </c>
      <c r="G1492" t="inlineStr">
        <is>
          <t>22:05:21</t>
        </is>
      </c>
      <c r="H1492" t="inlineStr">
        <is>
          <t>SELESAI</t>
        </is>
      </c>
      <c r="I1492" t="inlineStr">
        <is>
          <t>MK00184</t>
        </is>
      </c>
      <c r="J1492" t="inlineStr"/>
    </row>
    <row r="1493">
      <c r="A1493" t="inlineStr">
        <is>
          <t>30/06/2026</t>
        </is>
      </c>
      <c r="B1493" t="inlineStr">
        <is>
          <t>528000212</t>
        </is>
      </c>
      <c r="C1493" t="inlineStr">
        <is>
          <t>Rizal Fauzi</t>
        </is>
      </c>
      <c r="D1493" t="inlineStr">
        <is>
          <t>PROD</t>
        </is>
      </c>
      <c r="E1493" t="inlineStr">
        <is>
          <t>Produksi Harian</t>
        </is>
      </c>
      <c r="F1493" t="inlineStr">
        <is>
          <t>14:03:24</t>
        </is>
      </c>
      <c r="G1493" t="inlineStr">
        <is>
          <t>14:02:20</t>
        </is>
      </c>
      <c r="H1493" t="inlineStr">
        <is>
          <t>SELESAI</t>
        </is>
      </c>
      <c r="I1493" t="inlineStr">
        <is>
          <t>MK00082</t>
        </is>
      </c>
      <c r="J1493" t="inlineStr"/>
    </row>
    <row r="1494">
      <c r="A1494" t="inlineStr">
        <is>
          <t>30/06/2026</t>
        </is>
      </c>
      <c r="B1494" t="inlineStr">
        <is>
          <t>528000232</t>
        </is>
      </c>
      <c r="C1494" t="inlineStr">
        <is>
          <t>Agung Aji Suhada</t>
        </is>
      </c>
      <c r="D1494" t="inlineStr">
        <is>
          <t>LOG</t>
        </is>
      </c>
      <c r="E1494" t="inlineStr">
        <is>
          <t>WRM Harian</t>
        </is>
      </c>
      <c r="F1494" t="inlineStr">
        <is>
          <t>08:54:47</t>
        </is>
      </c>
      <c r="G1494" t="inlineStr">
        <is>
          <t>14:02:24</t>
        </is>
      </c>
      <c r="H1494" t="inlineStr">
        <is>
          <t>SELESAI</t>
        </is>
      </c>
      <c r="I1494" t="inlineStr">
        <is>
          <t>MK150</t>
        </is>
      </c>
      <c r="J1494" t="inlineStr"/>
    </row>
    <row r="1495">
      <c r="A1495" t="inlineStr">
        <is>
          <t>30/06/2026</t>
        </is>
      </c>
      <c r="B1495" t="inlineStr">
        <is>
          <t>528000241</t>
        </is>
      </c>
      <c r="C1495" t="inlineStr">
        <is>
          <t>Balia Nurafif Bilah</t>
        </is>
      </c>
      <c r="D1495" t="inlineStr">
        <is>
          <t>PROD</t>
        </is>
      </c>
      <c r="E1495" t="inlineStr">
        <is>
          <t>Produksi Harian</t>
        </is>
      </c>
      <c r="F1495" t="inlineStr">
        <is>
          <t>13:50:00</t>
        </is>
      </c>
      <c r="G1495" t="inlineStr">
        <is>
          <t>22:04:08</t>
        </is>
      </c>
      <c r="H1495" t="inlineStr">
        <is>
          <t>SELESAI</t>
        </is>
      </c>
      <c r="I1495" t="inlineStr">
        <is>
          <t>MK00145</t>
        </is>
      </c>
      <c r="J1495" t="inlineStr"/>
    </row>
    <row r="1496">
      <c r="A1496" t="inlineStr">
        <is>
          <t>30/06/2026</t>
        </is>
      </c>
      <c r="B1496" t="inlineStr">
        <is>
          <t>528000261</t>
        </is>
      </c>
      <c r="C1496" t="inlineStr">
        <is>
          <t>Ergi Ergianto</t>
        </is>
      </c>
      <c r="D1496" t="inlineStr">
        <is>
          <t>HRGA</t>
        </is>
      </c>
      <c r="E1496" t="inlineStr">
        <is>
          <t>GA Harian</t>
        </is>
      </c>
      <c r="F1496" t="inlineStr"/>
      <c r="G1496" t="inlineStr">
        <is>
          <t>06:03:58</t>
        </is>
      </c>
      <c r="H1496" t="inlineStr">
        <is>
          <t>KELUAR TANPA MASUK</t>
        </is>
      </c>
      <c r="I1496" t="inlineStr">
        <is>
          <t>MK00235</t>
        </is>
      </c>
      <c r="J1496" t="inlineStr"/>
    </row>
    <row r="1497">
      <c r="A1497" t="inlineStr">
        <is>
          <t>30/06/2026</t>
        </is>
      </c>
      <c r="B1497" t="inlineStr">
        <is>
          <t>528000265</t>
        </is>
      </c>
      <c r="C1497" t="inlineStr">
        <is>
          <t>Muhammad Haerul Rozikin</t>
        </is>
      </c>
      <c r="D1497" t="inlineStr">
        <is>
          <t>LOG</t>
        </is>
      </c>
      <c r="E1497" t="inlineStr">
        <is>
          <t>WRM Harian</t>
        </is>
      </c>
      <c r="F1497" t="inlineStr">
        <is>
          <t>07:40:22</t>
        </is>
      </c>
      <c r="G1497" t="inlineStr">
        <is>
          <t>13:04:52</t>
        </is>
      </c>
      <c r="H1497" t="inlineStr">
        <is>
          <t>SELESAI</t>
        </is>
      </c>
      <c r="I1497" t="inlineStr">
        <is>
          <t>MK00250</t>
        </is>
      </c>
      <c r="J1497" t="inlineStr"/>
    </row>
    <row r="1498">
      <c r="A1498" t="inlineStr">
        <is>
          <t>30/06/2026</t>
        </is>
      </c>
      <c r="B1498" t="inlineStr">
        <is>
          <t>528000273</t>
        </is>
      </c>
      <c r="C1498" t="inlineStr">
        <is>
          <t>Asep Mulyana</t>
        </is>
      </c>
      <c r="D1498" t="inlineStr">
        <is>
          <t>PROD</t>
        </is>
      </c>
      <c r="E1498" t="inlineStr">
        <is>
          <t>Produksi Harian</t>
        </is>
      </c>
      <c r="F1498" t="inlineStr">
        <is>
          <t>13:51:59</t>
        </is>
      </c>
      <c r="G1498" t="inlineStr">
        <is>
          <t>22:01:16</t>
        </is>
      </c>
      <c r="H1498" t="inlineStr">
        <is>
          <t>SELESAI</t>
        </is>
      </c>
      <c r="I1498" t="inlineStr">
        <is>
          <t>MK00249</t>
        </is>
      </c>
      <c r="J1498" t="inlineStr"/>
    </row>
    <row r="1499">
      <c r="A1499" t="inlineStr">
        <is>
          <t>30/06/2026</t>
        </is>
      </c>
      <c r="B1499" t="inlineStr">
        <is>
          <t>528000274</t>
        </is>
      </c>
      <c r="C1499" t="inlineStr">
        <is>
          <t>Zepri</t>
        </is>
      </c>
      <c r="D1499" t="inlineStr">
        <is>
          <t>PROD</t>
        </is>
      </c>
      <c r="E1499" t="inlineStr">
        <is>
          <t>Produksi Harian</t>
        </is>
      </c>
      <c r="F1499" t="inlineStr">
        <is>
          <t>13:48:07</t>
        </is>
      </c>
      <c r="G1499" t="inlineStr">
        <is>
          <t>22:04:13</t>
        </is>
      </c>
      <c r="H1499" t="inlineStr">
        <is>
          <t>SELESAI</t>
        </is>
      </c>
      <c r="I1499" t="inlineStr">
        <is>
          <t>MK00154</t>
        </is>
      </c>
      <c r="J1499" t="inlineStr"/>
    </row>
    <row r="1500">
      <c r="A1500" t="inlineStr">
        <is>
          <t>30/06/2026</t>
        </is>
      </c>
      <c r="B1500" t="inlineStr">
        <is>
          <t>528000282</t>
        </is>
      </c>
      <c r="C1500" t="inlineStr">
        <is>
          <t>Defa Desfiana</t>
        </is>
      </c>
      <c r="D1500" t="inlineStr">
        <is>
          <t>PROD</t>
        </is>
      </c>
      <c r="E1500" t="inlineStr">
        <is>
          <t>Produksi Harian</t>
        </is>
      </c>
      <c r="F1500" t="inlineStr">
        <is>
          <t>07:46:24</t>
        </is>
      </c>
      <c r="G1500" t="inlineStr">
        <is>
          <t>13:02:13</t>
        </is>
      </c>
      <c r="H1500" t="inlineStr">
        <is>
          <t>SELESAI</t>
        </is>
      </c>
      <c r="I1500" t="inlineStr">
        <is>
          <t>MK00230</t>
        </is>
      </c>
      <c r="J1500" t="inlineStr">
        <is>
          <t>4a</t>
        </is>
      </c>
    </row>
    <row r="1501">
      <c r="A1501" t="inlineStr">
        <is>
          <t>30/06/2026</t>
        </is>
      </c>
      <c r="B1501" t="inlineStr">
        <is>
          <t>528000283</t>
        </is>
      </c>
      <c r="C1501" t="inlineStr">
        <is>
          <t>Purwanda Sugiri</t>
        </is>
      </c>
      <c r="D1501" t="inlineStr">
        <is>
          <t>LOG</t>
        </is>
      </c>
      <c r="E1501" t="inlineStr">
        <is>
          <t>WRM Harian</t>
        </is>
      </c>
      <c r="F1501" t="inlineStr"/>
      <c r="G1501" t="inlineStr">
        <is>
          <t>06:03:39</t>
        </is>
      </c>
      <c r="H1501" t="inlineStr">
        <is>
          <t>KELUAR TANPA MASUK</t>
        </is>
      </c>
      <c r="I1501" t="inlineStr">
        <is>
          <t>MK00095</t>
        </is>
      </c>
      <c r="J1501" t="inlineStr"/>
    </row>
    <row r="1502">
      <c r="A1502" t="inlineStr">
        <is>
          <t>30/06/2026</t>
        </is>
      </c>
      <c r="B1502" t="inlineStr">
        <is>
          <t>528000286</t>
        </is>
      </c>
      <c r="C1502" t="inlineStr">
        <is>
          <t>Imelda Amelia</t>
        </is>
      </c>
      <c r="D1502" t="inlineStr">
        <is>
          <t>PROD</t>
        </is>
      </c>
      <c r="E1502" t="inlineStr">
        <is>
          <t>Produksi Harian</t>
        </is>
      </c>
      <c r="F1502" t="inlineStr">
        <is>
          <t>13:46:40</t>
        </is>
      </c>
      <c r="G1502" t="inlineStr">
        <is>
          <t>22:06:11</t>
        </is>
      </c>
      <c r="H1502" t="inlineStr">
        <is>
          <t>SELESAI</t>
        </is>
      </c>
      <c r="I1502" t="inlineStr">
        <is>
          <t>MK00213</t>
        </is>
      </c>
      <c r="J1502" t="inlineStr"/>
    </row>
    <row r="1503">
      <c r="A1503" t="inlineStr">
        <is>
          <t>30/06/2026</t>
        </is>
      </c>
      <c r="B1503" t="inlineStr">
        <is>
          <t>528000289</t>
        </is>
      </c>
      <c r="C1503" t="inlineStr">
        <is>
          <t>Adit Supriyadi</t>
        </is>
      </c>
      <c r="D1503" t="inlineStr">
        <is>
          <t>PROD</t>
        </is>
      </c>
      <c r="E1503" t="inlineStr">
        <is>
          <t>Produksi Harian</t>
        </is>
      </c>
      <c r="F1503" t="inlineStr">
        <is>
          <t>13:48:03</t>
        </is>
      </c>
      <c r="G1503" t="inlineStr">
        <is>
          <t>22:05:44</t>
        </is>
      </c>
      <c r="H1503" t="inlineStr">
        <is>
          <t>SELESAI</t>
        </is>
      </c>
      <c r="I1503" t="inlineStr">
        <is>
          <t>MK00090</t>
        </is>
      </c>
      <c r="J1503" t="inlineStr"/>
    </row>
    <row r="1504">
      <c r="A1504" t="inlineStr">
        <is>
          <t>30/06/2026</t>
        </is>
      </c>
      <c r="B1504" t="inlineStr">
        <is>
          <t>528000290</t>
        </is>
      </c>
      <c r="C1504" t="inlineStr">
        <is>
          <t>Eval Pranata</t>
        </is>
      </c>
      <c r="D1504" t="inlineStr">
        <is>
          <t>PROD</t>
        </is>
      </c>
      <c r="E1504" t="inlineStr">
        <is>
          <t>Produksi Harian</t>
        </is>
      </c>
      <c r="F1504" t="inlineStr">
        <is>
          <t>13:58:37</t>
        </is>
      </c>
      <c r="G1504" t="inlineStr">
        <is>
          <t>22:04:58</t>
        </is>
      </c>
      <c r="H1504" t="inlineStr">
        <is>
          <t>SELESAI</t>
        </is>
      </c>
      <c r="I1504" t="inlineStr">
        <is>
          <t>MK00209</t>
        </is>
      </c>
      <c r="J1504" t="inlineStr"/>
    </row>
    <row r="1505">
      <c r="A1505" t="inlineStr">
        <is>
          <t>30/06/2026</t>
        </is>
      </c>
      <c r="B1505" t="inlineStr">
        <is>
          <t>528000291</t>
        </is>
      </c>
      <c r="C1505" t="inlineStr">
        <is>
          <t>Andrian</t>
        </is>
      </c>
      <c r="D1505" t="inlineStr">
        <is>
          <t>PROD</t>
        </is>
      </c>
      <c r="E1505" t="inlineStr">
        <is>
          <t>Produksi Harian</t>
        </is>
      </c>
      <c r="F1505" t="inlineStr"/>
      <c r="G1505" t="inlineStr">
        <is>
          <t>06:03:43</t>
        </is>
      </c>
      <c r="H1505" t="inlineStr">
        <is>
          <t>KELUAR TANPA MASUK</t>
        </is>
      </c>
      <c r="I1505" t="inlineStr">
        <is>
          <t>MK00112</t>
        </is>
      </c>
      <c r="J1505" t="inlineStr"/>
    </row>
    <row r="1506">
      <c r="A1506" t="inlineStr">
        <is>
          <t>30/06/2026</t>
        </is>
      </c>
      <c r="B1506" t="inlineStr">
        <is>
          <t>528000298</t>
        </is>
      </c>
      <c r="C1506" t="inlineStr">
        <is>
          <t>Desta Cahaya Pratama</t>
        </is>
      </c>
      <c r="D1506" t="inlineStr">
        <is>
          <t>PROD</t>
        </is>
      </c>
      <c r="E1506" t="inlineStr">
        <is>
          <t>Produksi Harian</t>
        </is>
      </c>
      <c r="F1506" t="inlineStr">
        <is>
          <t>05:53:13</t>
        </is>
      </c>
      <c r="G1506" t="inlineStr">
        <is>
          <t>14:05:01</t>
        </is>
      </c>
      <c r="H1506" t="inlineStr">
        <is>
          <t>SELESAI</t>
        </is>
      </c>
      <c r="I1506" t="inlineStr">
        <is>
          <t>MK00156</t>
        </is>
      </c>
      <c r="J1506" t="inlineStr"/>
    </row>
    <row r="1507">
      <c r="A1507" t="inlineStr">
        <is>
          <t>30/06/2026</t>
        </is>
      </c>
      <c r="B1507" t="inlineStr">
        <is>
          <t>528000299</t>
        </is>
      </c>
      <c r="C1507" t="inlineStr">
        <is>
          <t>Siti Nurjanah</t>
        </is>
      </c>
      <c r="D1507" t="inlineStr">
        <is>
          <t>PROD</t>
        </is>
      </c>
      <c r="E1507" t="inlineStr">
        <is>
          <t>Produksi Harian</t>
        </is>
      </c>
      <c r="F1507" t="inlineStr">
        <is>
          <t>05:46:02</t>
        </is>
      </c>
      <c r="G1507" t="inlineStr">
        <is>
          <t>14:03:26</t>
        </is>
      </c>
      <c r="H1507" t="inlineStr">
        <is>
          <t>SELESAI</t>
        </is>
      </c>
      <c r="I1507" t="inlineStr">
        <is>
          <t>MK00181</t>
        </is>
      </c>
      <c r="J1507" t="inlineStr"/>
    </row>
    <row r="1508">
      <c r="A1508" t="inlineStr">
        <is>
          <t>30/06/2026</t>
        </is>
      </c>
      <c r="B1508" t="inlineStr">
        <is>
          <t>528000302</t>
        </is>
      </c>
      <c r="C1508" t="inlineStr">
        <is>
          <t>Henkey gumilar</t>
        </is>
      </c>
      <c r="D1508" t="inlineStr">
        <is>
          <t>PROD</t>
        </is>
      </c>
      <c r="E1508" t="inlineStr">
        <is>
          <t>Produksi Harian</t>
        </is>
      </c>
      <c r="F1508" t="inlineStr">
        <is>
          <t>05:51:15</t>
        </is>
      </c>
      <c r="G1508" t="inlineStr">
        <is>
          <t>14:06:30</t>
        </is>
      </c>
      <c r="H1508" t="inlineStr">
        <is>
          <t>SELESAI</t>
        </is>
      </c>
      <c r="I1508" t="inlineStr">
        <is>
          <t>MK00088</t>
        </is>
      </c>
      <c r="J1508" t="inlineStr"/>
    </row>
    <row r="1509">
      <c r="A1509" t="inlineStr">
        <is>
          <t>30/06/2026</t>
        </is>
      </c>
      <c r="B1509" t="inlineStr">
        <is>
          <t>528000305</t>
        </is>
      </c>
      <c r="C1509" t="inlineStr">
        <is>
          <t>Puji Puspita</t>
        </is>
      </c>
      <c r="D1509" t="inlineStr">
        <is>
          <t>PROD</t>
        </is>
      </c>
      <c r="E1509" t="inlineStr">
        <is>
          <t>Produksi Harian</t>
        </is>
      </c>
      <c r="F1509" t="inlineStr">
        <is>
          <t>05:43:42</t>
        </is>
      </c>
      <c r="G1509" t="inlineStr"/>
      <c r="H1509" t="inlineStr">
        <is>
          <t>DI DALAM</t>
        </is>
      </c>
      <c r="I1509" t="inlineStr">
        <is>
          <t>MK00210</t>
        </is>
      </c>
      <c r="J1509" t="inlineStr"/>
    </row>
    <row r="1510">
      <c r="A1510" t="inlineStr">
        <is>
          <t>30/06/2026</t>
        </is>
      </c>
      <c r="B1510" t="inlineStr">
        <is>
          <t>528000309</t>
        </is>
      </c>
      <c r="C1510" t="inlineStr">
        <is>
          <t>Ilham Ramadhan</t>
        </is>
      </c>
      <c r="D1510" t="inlineStr">
        <is>
          <t>LOG</t>
        </is>
      </c>
      <c r="E1510" t="inlineStr">
        <is>
          <t>WRM Harian</t>
        </is>
      </c>
      <c r="F1510" t="inlineStr">
        <is>
          <t>05:56:59</t>
        </is>
      </c>
      <c r="G1510" t="inlineStr">
        <is>
          <t>14:05:34</t>
        </is>
      </c>
      <c r="H1510" t="inlineStr">
        <is>
          <t>SELESAI</t>
        </is>
      </c>
      <c r="I1510" t="inlineStr">
        <is>
          <t>MK00109</t>
        </is>
      </c>
      <c r="J1510" t="inlineStr"/>
    </row>
    <row r="1511">
      <c r="A1511" t="inlineStr">
        <is>
          <t>30/06/2026</t>
        </is>
      </c>
      <c r="B1511" t="inlineStr">
        <is>
          <t>528000310</t>
        </is>
      </c>
      <c r="C1511" t="inlineStr">
        <is>
          <t>Fachrul Rozzi Suryana</t>
        </is>
      </c>
      <c r="D1511" t="inlineStr">
        <is>
          <t>LOG</t>
        </is>
      </c>
      <c r="E1511" t="inlineStr">
        <is>
          <t>WRM Harian</t>
        </is>
      </c>
      <c r="F1511" t="inlineStr">
        <is>
          <t>07:58:29</t>
        </is>
      </c>
      <c r="G1511" t="inlineStr">
        <is>
          <t>13:05:17</t>
        </is>
      </c>
      <c r="H1511" t="inlineStr">
        <is>
          <t>SELESAI</t>
        </is>
      </c>
      <c r="I1511" t="inlineStr">
        <is>
          <t>MK00160</t>
        </is>
      </c>
      <c r="J1511" t="inlineStr">
        <is>
          <t>27F</t>
        </is>
      </c>
    </row>
    <row r="1512">
      <c r="A1512" t="inlineStr">
        <is>
          <t>30/06/2026</t>
        </is>
      </c>
      <c r="B1512" t="inlineStr">
        <is>
          <t>528000313</t>
        </is>
      </c>
      <c r="C1512" t="inlineStr">
        <is>
          <t>Muhamad Rifki</t>
        </is>
      </c>
      <c r="D1512" t="inlineStr">
        <is>
          <t>PROD</t>
        </is>
      </c>
      <c r="E1512" t="inlineStr">
        <is>
          <t>Produksi Harian</t>
        </is>
      </c>
      <c r="F1512" t="inlineStr">
        <is>
          <t>06:02:19</t>
        </is>
      </c>
      <c r="G1512" t="inlineStr">
        <is>
          <t>14:05:06</t>
        </is>
      </c>
      <c r="H1512" t="inlineStr">
        <is>
          <t>SELESAI</t>
        </is>
      </c>
      <c r="I1512" t="inlineStr">
        <is>
          <t>MK00113</t>
        </is>
      </c>
      <c r="J1512" t="inlineStr"/>
    </row>
    <row r="1513">
      <c r="A1513" t="inlineStr">
        <is>
          <t>30/06/2026</t>
        </is>
      </c>
      <c r="B1513" t="inlineStr">
        <is>
          <t>528000314</t>
        </is>
      </c>
      <c r="C1513" t="inlineStr">
        <is>
          <t>Rusmana</t>
        </is>
      </c>
      <c r="D1513" t="inlineStr">
        <is>
          <t>PROD</t>
        </is>
      </c>
      <c r="E1513" t="inlineStr">
        <is>
          <t>Produksi Harian</t>
        </is>
      </c>
      <c r="F1513" t="inlineStr">
        <is>
          <t>22:04:47</t>
        </is>
      </c>
      <c r="G1513" t="inlineStr">
        <is>
          <t>21:56:13</t>
        </is>
      </c>
      <c r="H1513" t="inlineStr">
        <is>
          <t>SELESAI</t>
        </is>
      </c>
      <c r="I1513" t="inlineStr">
        <is>
          <t>MK00125</t>
        </is>
      </c>
      <c r="J1513" t="inlineStr"/>
    </row>
    <row r="1514">
      <c r="A1514" t="inlineStr">
        <is>
          <t>30/06/2026</t>
        </is>
      </c>
      <c r="B1514" t="inlineStr">
        <is>
          <t>528000318</t>
        </is>
      </c>
      <c r="C1514" t="inlineStr">
        <is>
          <t>Bayu Padli Sepriyana</t>
        </is>
      </c>
      <c r="D1514" t="inlineStr">
        <is>
          <t>LOG</t>
        </is>
      </c>
      <c r="E1514" t="inlineStr">
        <is>
          <t>WRM Harian</t>
        </is>
      </c>
      <c r="F1514" t="inlineStr">
        <is>
          <t>05:44:49</t>
        </is>
      </c>
      <c r="G1514" t="inlineStr">
        <is>
          <t>14:04:39</t>
        </is>
      </c>
      <c r="H1514" t="inlineStr">
        <is>
          <t>SELESAI</t>
        </is>
      </c>
      <c r="I1514" t="inlineStr">
        <is>
          <t>MK00235</t>
        </is>
      </c>
      <c r="J1514" t="inlineStr"/>
    </row>
    <row r="1515">
      <c r="A1515" t="inlineStr">
        <is>
          <t>30/06/2026</t>
        </is>
      </c>
      <c r="B1515" t="inlineStr">
        <is>
          <t>528000322</t>
        </is>
      </c>
      <c r="C1515" t="inlineStr">
        <is>
          <t>Muhamad Aliludin</t>
        </is>
      </c>
      <c r="D1515" t="inlineStr">
        <is>
          <t>PROD</t>
        </is>
      </c>
      <c r="E1515" t="inlineStr">
        <is>
          <t>Produksi Harian</t>
        </is>
      </c>
      <c r="F1515" t="inlineStr">
        <is>
          <t>05:22:02</t>
        </is>
      </c>
      <c r="G1515" t="inlineStr">
        <is>
          <t>14:04:02</t>
        </is>
      </c>
      <c r="H1515" t="inlineStr">
        <is>
          <t>SELESAI</t>
        </is>
      </c>
      <c r="I1515" t="inlineStr">
        <is>
          <t>MK00217</t>
        </is>
      </c>
      <c r="J1515" t="inlineStr"/>
    </row>
    <row r="1516">
      <c r="A1516" t="inlineStr">
        <is>
          <t>30/06/2026</t>
        </is>
      </c>
      <c r="B1516" t="inlineStr">
        <is>
          <t>528000328</t>
        </is>
      </c>
      <c r="C1516" t="inlineStr">
        <is>
          <t>Nur Anjani</t>
        </is>
      </c>
      <c r="D1516" t="inlineStr">
        <is>
          <t>PROD</t>
        </is>
      </c>
      <c r="E1516" t="inlineStr">
        <is>
          <t>Produksi Harian</t>
        </is>
      </c>
      <c r="F1516" t="inlineStr"/>
      <c r="G1516" t="inlineStr">
        <is>
          <t>06:05:56</t>
        </is>
      </c>
      <c r="H1516" t="inlineStr">
        <is>
          <t>KELUAR TANPA MASUK</t>
        </is>
      </c>
      <c r="I1516" t="inlineStr">
        <is>
          <t>MK00230</t>
        </is>
      </c>
      <c r="J1516" t="inlineStr"/>
    </row>
    <row r="1517">
      <c r="A1517" t="inlineStr">
        <is>
          <t>30/06/2026</t>
        </is>
      </c>
      <c r="B1517" t="inlineStr">
        <is>
          <t>528000329</t>
        </is>
      </c>
      <c r="C1517" t="inlineStr">
        <is>
          <t>Havid Ilham Firdaus</t>
        </is>
      </c>
      <c r="D1517" t="inlineStr">
        <is>
          <t>PROD</t>
        </is>
      </c>
      <c r="E1517" t="inlineStr">
        <is>
          <t>Produksi Harian</t>
        </is>
      </c>
      <c r="F1517" t="inlineStr"/>
      <c r="G1517" t="inlineStr">
        <is>
          <t>14:00:17</t>
        </is>
      </c>
      <c r="H1517" t="inlineStr">
        <is>
          <t>KELUAR TANPA MASUK</t>
        </is>
      </c>
      <c r="I1517" t="inlineStr">
        <is>
          <t>MK00082</t>
        </is>
      </c>
      <c r="J1517" t="inlineStr"/>
    </row>
    <row r="1518">
      <c r="A1518" t="inlineStr">
        <is>
          <t>30/06/2026</t>
        </is>
      </c>
      <c r="B1518" t="inlineStr">
        <is>
          <t>528000335</t>
        </is>
      </c>
      <c r="C1518" t="inlineStr">
        <is>
          <t>Rizal Saepuloh</t>
        </is>
      </c>
      <c r="D1518" t="inlineStr">
        <is>
          <t>LOG</t>
        </is>
      </c>
      <c r="E1518" t="inlineStr">
        <is>
          <t>WRM Harian</t>
        </is>
      </c>
      <c r="F1518" t="inlineStr">
        <is>
          <t>07:51:13</t>
        </is>
      </c>
      <c r="G1518" t="inlineStr">
        <is>
          <t>13:01:01</t>
        </is>
      </c>
      <c r="H1518" t="inlineStr">
        <is>
          <t>SELESAI</t>
        </is>
      </c>
      <c r="I1518" t="inlineStr">
        <is>
          <t>MK00204</t>
        </is>
      </c>
      <c r="J1518" t="inlineStr"/>
    </row>
    <row r="1519">
      <c r="A1519" t="inlineStr">
        <is>
          <t>30/06/2026</t>
        </is>
      </c>
      <c r="B1519" t="inlineStr">
        <is>
          <t>528000336</t>
        </is>
      </c>
      <c r="C1519" t="inlineStr">
        <is>
          <t>Ali Nurhanafi</t>
        </is>
      </c>
      <c r="D1519" t="inlineStr">
        <is>
          <t>PROD</t>
        </is>
      </c>
      <c r="E1519" t="inlineStr">
        <is>
          <t>Produksi Harian</t>
        </is>
      </c>
      <c r="F1519" t="inlineStr">
        <is>
          <t>20:29:42</t>
        </is>
      </c>
      <c r="G1519" t="inlineStr">
        <is>
          <t>06:05:51</t>
        </is>
      </c>
      <c r="H1519" t="inlineStr">
        <is>
          <t>SELESAI</t>
        </is>
      </c>
      <c r="I1519" t="inlineStr">
        <is>
          <t>MK00138</t>
        </is>
      </c>
      <c r="J1519" t="inlineStr"/>
    </row>
    <row r="1520">
      <c r="A1520" t="inlineStr">
        <is>
          <t>30/06/2026</t>
        </is>
      </c>
      <c r="B1520" t="inlineStr">
        <is>
          <t>528000337</t>
        </is>
      </c>
      <c r="C1520" t="inlineStr">
        <is>
          <t>Ahmad Zaldi Firdaus</t>
        </is>
      </c>
      <c r="D1520" t="inlineStr">
        <is>
          <t>PROD</t>
        </is>
      </c>
      <c r="E1520" t="inlineStr">
        <is>
          <t>Produksi Harian</t>
        </is>
      </c>
      <c r="F1520" t="inlineStr">
        <is>
          <t>20:48:24</t>
        </is>
      </c>
      <c r="G1520" t="inlineStr">
        <is>
          <t>06:06:42</t>
        </is>
      </c>
      <c r="H1520" t="inlineStr">
        <is>
          <t>SELESAI</t>
        </is>
      </c>
      <c r="I1520" t="inlineStr">
        <is>
          <t>MK00217</t>
        </is>
      </c>
      <c r="J1520" t="inlineStr"/>
    </row>
    <row r="1521">
      <c r="A1521" t="inlineStr">
        <is>
          <t>30/06/2026</t>
        </is>
      </c>
      <c r="B1521" t="inlineStr">
        <is>
          <t>528000339</t>
        </is>
      </c>
      <c r="C1521" t="inlineStr">
        <is>
          <t>Muhamad Ripai'i</t>
        </is>
      </c>
      <c r="D1521" t="inlineStr">
        <is>
          <t>HRGA</t>
        </is>
      </c>
      <c r="E1521" t="inlineStr">
        <is>
          <t>GA Harian</t>
        </is>
      </c>
      <c r="F1521" t="inlineStr">
        <is>
          <t>13:09:59</t>
        </is>
      </c>
      <c r="G1521" t="inlineStr">
        <is>
          <t>22:07:30</t>
        </is>
      </c>
      <c r="H1521" t="inlineStr">
        <is>
          <t>SELESAI</t>
        </is>
      </c>
      <c r="I1521" t="inlineStr">
        <is>
          <t>MK00136</t>
        </is>
      </c>
      <c r="J1521" t="inlineStr"/>
    </row>
    <row r="1522">
      <c r="A1522" t="inlineStr">
        <is>
          <t>30/06/2026</t>
        </is>
      </c>
      <c r="B1522" t="inlineStr">
        <is>
          <t>528000340</t>
        </is>
      </c>
      <c r="C1522" t="inlineStr">
        <is>
          <t>Muhammad Wildan Adithya</t>
        </is>
      </c>
      <c r="D1522" t="inlineStr">
        <is>
          <t>PROD</t>
        </is>
      </c>
      <c r="E1522" t="inlineStr">
        <is>
          <t>Produksi Harian</t>
        </is>
      </c>
      <c r="F1522" t="inlineStr">
        <is>
          <t>05:48:42</t>
        </is>
      </c>
      <c r="G1522" t="inlineStr">
        <is>
          <t>14:23:19</t>
        </is>
      </c>
      <c r="H1522" t="inlineStr">
        <is>
          <t>SELESAI</t>
        </is>
      </c>
      <c r="I1522" t="inlineStr">
        <is>
          <t>MK00108</t>
        </is>
      </c>
      <c r="J1522" t="inlineStr"/>
    </row>
    <row r="1523">
      <c r="A1523" t="inlineStr">
        <is>
          <t>30/06/2026</t>
        </is>
      </c>
      <c r="B1523" t="inlineStr">
        <is>
          <t>528000348</t>
        </is>
      </c>
      <c r="C1523" t="inlineStr">
        <is>
          <t>Saepuloh Ardiansah</t>
        </is>
      </c>
      <c r="D1523" t="inlineStr">
        <is>
          <t>LOG</t>
        </is>
      </c>
      <c r="E1523" t="inlineStr">
        <is>
          <t>WRM Harian</t>
        </is>
      </c>
      <c r="F1523" t="inlineStr">
        <is>
          <t>08:48:32</t>
        </is>
      </c>
      <c r="G1523" t="inlineStr">
        <is>
          <t>14:37:19</t>
        </is>
      </c>
      <c r="H1523" t="inlineStr">
        <is>
          <t>SELESAI</t>
        </is>
      </c>
      <c r="I1523" t="inlineStr">
        <is>
          <t>MK00205</t>
        </is>
      </c>
      <c r="J1523" t="inlineStr"/>
    </row>
    <row r="1524">
      <c r="A1524" t="inlineStr">
        <is>
          <t>30/06/2026</t>
        </is>
      </c>
      <c r="B1524" t="inlineStr">
        <is>
          <t>528000351</t>
        </is>
      </c>
      <c r="C1524" t="inlineStr">
        <is>
          <t>Mulyana</t>
        </is>
      </c>
      <c r="D1524" t="inlineStr">
        <is>
          <t>PROD</t>
        </is>
      </c>
      <c r="E1524" t="inlineStr">
        <is>
          <t>Produksi Harian</t>
        </is>
      </c>
      <c r="F1524" t="inlineStr">
        <is>
          <t>07:51:57</t>
        </is>
      </c>
      <c r="G1524" t="inlineStr">
        <is>
          <t>13:10:37</t>
        </is>
      </c>
      <c r="H1524" t="inlineStr">
        <is>
          <t>SELESAI</t>
        </is>
      </c>
      <c r="I1524" t="inlineStr">
        <is>
          <t>MK00185</t>
        </is>
      </c>
      <c r="J1524" t="inlineStr"/>
    </row>
    <row r="1525">
      <c r="A1525" t="inlineStr">
        <is>
          <t>30/06/2026</t>
        </is>
      </c>
      <c r="B1525" t="inlineStr">
        <is>
          <t>528000358</t>
        </is>
      </c>
      <c r="C1525" t="inlineStr">
        <is>
          <t>Lulu Agustin</t>
        </is>
      </c>
      <c r="D1525" t="inlineStr">
        <is>
          <t>PROD</t>
        </is>
      </c>
      <c r="E1525" t="inlineStr">
        <is>
          <t>Produksi Harian</t>
        </is>
      </c>
      <c r="F1525" t="inlineStr"/>
      <c r="G1525" t="inlineStr">
        <is>
          <t>06:04:35</t>
        </is>
      </c>
      <c r="H1525" t="inlineStr">
        <is>
          <t>KELUAR TANPA MASUK</t>
        </is>
      </c>
      <c r="I1525" t="inlineStr">
        <is>
          <t>MK00208</t>
        </is>
      </c>
      <c r="J1525" t="inlineStr"/>
    </row>
    <row r="1526">
      <c r="A1526" t="inlineStr">
        <is>
          <t>30/06/2026</t>
        </is>
      </c>
      <c r="B1526" t="inlineStr">
        <is>
          <t>528000360</t>
        </is>
      </c>
      <c r="C1526" t="inlineStr">
        <is>
          <t>Hendra Permana</t>
        </is>
      </c>
      <c r="D1526" t="inlineStr">
        <is>
          <t>ENG</t>
        </is>
      </c>
      <c r="E1526" t="inlineStr">
        <is>
          <t>Engineering Harian</t>
        </is>
      </c>
      <c r="F1526" t="inlineStr"/>
      <c r="G1526" t="inlineStr">
        <is>
          <t>06:03:19</t>
        </is>
      </c>
      <c r="H1526" t="inlineStr">
        <is>
          <t>KELUAR TANPA MASUK</t>
        </is>
      </c>
      <c r="I1526" t="inlineStr">
        <is>
          <t>MK00109</t>
        </is>
      </c>
      <c r="J1526" t="inlineStr">
        <is>
          <t>1E</t>
        </is>
      </c>
    </row>
    <row r="1527">
      <c r="A1527" t="inlineStr">
        <is>
          <t>30/06/2026</t>
        </is>
      </c>
      <c r="B1527" t="inlineStr">
        <is>
          <t>528000361</t>
        </is>
      </c>
      <c r="C1527" t="inlineStr">
        <is>
          <t>Denada Munggarani</t>
        </is>
      </c>
      <c r="D1527" t="inlineStr">
        <is>
          <t>PROD</t>
        </is>
      </c>
      <c r="E1527" t="inlineStr">
        <is>
          <t>Produksi Harian</t>
        </is>
      </c>
      <c r="F1527" t="inlineStr">
        <is>
          <t>05:42:34</t>
        </is>
      </c>
      <c r="G1527" t="inlineStr"/>
      <c r="H1527" t="inlineStr">
        <is>
          <t>DI DALAM</t>
        </is>
      </c>
      <c r="I1527" t="inlineStr">
        <is>
          <t>MK00230</t>
        </is>
      </c>
      <c r="J1527" t="inlineStr"/>
    </row>
    <row r="1528">
      <c r="A1528" t="inlineStr">
        <is>
          <t>01/07/2026</t>
        </is>
      </c>
      <c r="B1528" t="inlineStr">
        <is>
          <t>528000248</t>
        </is>
      </c>
      <c r="C1528" t="inlineStr">
        <is>
          <t>Roka Jaya Salka Mulya</t>
        </is>
      </c>
      <c r="D1528" t="inlineStr">
        <is>
          <t>PROD</t>
        </is>
      </c>
      <c r="E1528" t="inlineStr">
        <is>
          <t>Produksi Harian</t>
        </is>
      </c>
      <c r="F1528" t="inlineStr">
        <is>
          <t>05:48:48</t>
        </is>
      </c>
      <c r="G1528" t="inlineStr"/>
      <c r="H1528" t="inlineStr">
        <is>
          <t>DI DALAM</t>
        </is>
      </c>
      <c r="I1528" t="inlineStr">
        <is>
          <t>MK00202</t>
        </is>
      </c>
      <c r="J1528" t="inlineStr"/>
    </row>
    <row r="1529">
      <c r="A1529" t="inlineStr">
        <is>
          <t>01/07/2026</t>
        </is>
      </c>
      <c r="B1529" t="inlineStr">
        <is>
          <t>528000279</t>
        </is>
      </c>
      <c r="C1529" t="inlineStr">
        <is>
          <t>Mahdalena Dalfa Riani</t>
        </is>
      </c>
      <c r="D1529" t="inlineStr">
        <is>
          <t>PROD</t>
        </is>
      </c>
      <c r="E1529" t="inlineStr">
        <is>
          <t>Produksi Harian</t>
        </is>
      </c>
      <c r="F1529" t="inlineStr">
        <is>
          <t>05:52:26</t>
        </is>
      </c>
      <c r="G1529" t="inlineStr"/>
      <c r="H1529" t="inlineStr">
        <is>
          <t>DI DALAM</t>
        </is>
      </c>
      <c r="I1529" t="inlineStr">
        <is>
          <t>MK00213</t>
        </is>
      </c>
      <c r="J1529" t="inlineStr"/>
    </row>
    <row r="1530">
      <c r="A1530" t="inlineStr">
        <is>
          <t>01/07/2026</t>
        </is>
      </c>
      <c r="B1530" t="inlineStr">
        <is>
          <t>528000300</t>
        </is>
      </c>
      <c r="C1530" t="inlineStr">
        <is>
          <t>Lia pitaloka</t>
        </is>
      </c>
      <c r="D1530" t="inlineStr">
        <is>
          <t>PROD</t>
        </is>
      </c>
      <c r="E1530" t="inlineStr">
        <is>
          <t>Produksi Harian</t>
        </is>
      </c>
      <c r="F1530" t="inlineStr">
        <is>
          <t>05:58:07</t>
        </is>
      </c>
      <c r="G1530" t="inlineStr"/>
      <c r="H1530" t="inlineStr">
        <is>
          <t>DI DALAM</t>
        </is>
      </c>
      <c r="I1530" t="inlineStr">
        <is>
          <t>MK00209</t>
        </is>
      </c>
      <c r="J1530" t="inlineStr"/>
    </row>
    <row r="1531">
      <c r="A1531" t="inlineStr">
        <is>
          <t>01/07/2026</t>
        </is>
      </c>
      <c r="B1531" t="inlineStr">
        <is>
          <t>528000334</t>
        </is>
      </c>
      <c r="C1531" t="inlineStr">
        <is>
          <t>Naufal Yudhistira</t>
        </is>
      </c>
      <c r="D1531" t="inlineStr">
        <is>
          <t>PROD</t>
        </is>
      </c>
      <c r="E1531" t="inlineStr">
        <is>
          <t>Produksi Harian</t>
        </is>
      </c>
      <c r="F1531" t="inlineStr">
        <is>
          <t>05:56:03</t>
        </is>
      </c>
      <c r="G1531" t="inlineStr"/>
      <c r="H1531" t="inlineStr">
        <is>
          <t>DI DALAM</t>
        </is>
      </c>
      <c r="I1531" t="inlineStr">
        <is>
          <t>MK00136</t>
        </is>
      </c>
      <c r="J1531" t="inlineStr"/>
    </row>
    <row r="1532">
      <c r="A1532" t="inlineStr">
        <is>
          <t>01/07/2026</t>
        </is>
      </c>
      <c r="B1532" t="inlineStr">
        <is>
          <t>628000064</t>
        </is>
      </c>
      <c r="C1532" t="inlineStr">
        <is>
          <t>Silva Alypia</t>
        </is>
      </c>
      <c r="D1532" t="inlineStr">
        <is>
          <t>PROD</t>
        </is>
      </c>
      <c r="E1532" t="inlineStr">
        <is>
          <t>Produksi Borongan</t>
        </is>
      </c>
      <c r="F1532" t="inlineStr">
        <is>
          <t>05:47:30</t>
        </is>
      </c>
      <c r="G1532" t="inlineStr"/>
      <c r="H1532" t="inlineStr">
        <is>
          <t>DI DALAM</t>
        </is>
      </c>
      <c r="I1532" t="inlineStr">
        <is>
          <t>MK00145</t>
        </is>
      </c>
      <c r="J1532" t="inlineStr"/>
    </row>
    <row r="1533">
      <c r="A1533" t="inlineStr">
        <is>
          <t>04/07/2026</t>
        </is>
      </c>
      <c r="B1533" t="inlineStr">
        <is>
          <t>528000098</t>
        </is>
      </c>
      <c r="C1533" t="inlineStr">
        <is>
          <t>Edi Junaedi</t>
        </is>
      </c>
      <c r="D1533" t="inlineStr">
        <is>
          <t>PROD</t>
        </is>
      </c>
      <c r="E1533" t="inlineStr">
        <is>
          <t>Produksi Harian</t>
        </is>
      </c>
      <c r="F1533" t="inlineStr">
        <is>
          <t>21:30:23</t>
        </is>
      </c>
      <c r="G1533" t="inlineStr">
        <is>
          <t>06:06:26</t>
        </is>
      </c>
      <c r="H1533" t="inlineStr">
        <is>
          <t>SELESAI</t>
        </is>
      </c>
      <c r="I1533" t="inlineStr">
        <is>
          <t>MK00151</t>
        </is>
      </c>
      <c r="J1533" t="inlineStr"/>
    </row>
    <row r="1534">
      <c r="A1534" t="inlineStr">
        <is>
          <t>04/07/2026</t>
        </is>
      </c>
      <c r="B1534" t="inlineStr">
        <is>
          <t>528000270</t>
        </is>
      </c>
      <c r="C1534" t="inlineStr">
        <is>
          <t>Febri Najmudin</t>
        </is>
      </c>
      <c r="D1534" t="inlineStr">
        <is>
          <t>LOG</t>
        </is>
      </c>
      <c r="E1534" t="inlineStr">
        <is>
          <t>WRM Harian</t>
        </is>
      </c>
      <c r="F1534" t="inlineStr">
        <is>
          <t>21:47:21</t>
        </is>
      </c>
      <c r="G1534" t="inlineStr"/>
      <c r="H1534" t="inlineStr">
        <is>
          <t>DI DALAM</t>
        </is>
      </c>
      <c r="I1534" t="inlineStr">
        <is>
          <t>MK00181</t>
        </is>
      </c>
      <c r="J1534" t="inlineStr"/>
    </row>
    <row r="1535">
      <c r="A1535" t="inlineStr">
        <is>
          <t>04/07/2026</t>
        </is>
      </c>
      <c r="B1535" t="inlineStr">
        <is>
          <t>528000298</t>
        </is>
      </c>
      <c r="C1535" t="inlineStr">
        <is>
          <t>Desta Cahaya Pratama</t>
        </is>
      </c>
      <c r="D1535" t="inlineStr">
        <is>
          <t>PROD</t>
        </is>
      </c>
      <c r="E1535" t="inlineStr">
        <is>
          <t>Produksi Harian</t>
        </is>
      </c>
      <c r="F1535" t="inlineStr">
        <is>
          <t>21:39:47</t>
        </is>
      </c>
      <c r="G1535" t="inlineStr">
        <is>
          <t>06:04:30</t>
        </is>
      </c>
      <c r="H1535" t="inlineStr">
        <is>
          <t>SELESAI</t>
        </is>
      </c>
      <c r="I1535" t="inlineStr">
        <is>
          <t>MK00093</t>
        </is>
      </c>
      <c r="J1535" t="inlineStr"/>
    </row>
    <row r="1536">
      <c r="A1536" t="inlineStr">
        <is>
          <t>04/07/2026</t>
        </is>
      </c>
      <c r="B1536" t="inlineStr">
        <is>
          <t>528000299</t>
        </is>
      </c>
      <c r="C1536" t="inlineStr">
        <is>
          <t>Siti Nurjanah</t>
        </is>
      </c>
      <c r="D1536" t="inlineStr">
        <is>
          <t>PROD</t>
        </is>
      </c>
      <c r="E1536" t="inlineStr">
        <is>
          <t>Produksi Harian</t>
        </is>
      </c>
      <c r="F1536" t="inlineStr"/>
      <c r="G1536" t="inlineStr">
        <is>
          <t>06:03:40</t>
        </is>
      </c>
      <c r="H1536" t="inlineStr">
        <is>
          <t>KELUAR TANPA MASUK</t>
        </is>
      </c>
      <c r="I1536" t="inlineStr">
        <is>
          <t>MK00085</t>
        </is>
      </c>
      <c r="J1536" t="inlineStr"/>
    </row>
    <row r="1537">
      <c r="A1537" t="inlineStr">
        <is>
          <t>04/07/2026</t>
        </is>
      </c>
      <c r="B1537" t="inlineStr">
        <is>
          <t>528000302</t>
        </is>
      </c>
      <c r="C1537" t="inlineStr">
        <is>
          <t>Henkey gumilar</t>
        </is>
      </c>
      <c r="D1537" t="inlineStr">
        <is>
          <t>PROD</t>
        </is>
      </c>
      <c r="E1537" t="inlineStr">
        <is>
          <t>Produksi Harian</t>
        </is>
      </c>
      <c r="F1537" t="inlineStr">
        <is>
          <t>21:39:22</t>
        </is>
      </c>
      <c r="G1537" t="inlineStr">
        <is>
          <t>06:09:39</t>
        </is>
      </c>
      <c r="H1537" t="inlineStr">
        <is>
          <t>SELESAI</t>
        </is>
      </c>
      <c r="I1537" t="inlineStr">
        <is>
          <t>MK00154</t>
        </is>
      </c>
      <c r="J1537" t="inlineStr"/>
    </row>
    <row r="1538">
      <c r="A1538" t="inlineStr">
        <is>
          <t>04/07/2026</t>
        </is>
      </c>
      <c r="B1538" t="inlineStr">
        <is>
          <t>528000305</t>
        </is>
      </c>
      <c r="C1538" t="inlineStr">
        <is>
          <t>Puji Puspita</t>
        </is>
      </c>
      <c r="D1538" t="inlineStr">
        <is>
          <t>PROD</t>
        </is>
      </c>
      <c r="E1538" t="inlineStr">
        <is>
          <t>Produksi Harian</t>
        </is>
      </c>
      <c r="F1538" t="inlineStr">
        <is>
          <t>21:39:07</t>
        </is>
      </c>
      <c r="G1538" t="inlineStr">
        <is>
          <t>00:20:00</t>
        </is>
      </c>
      <c r="H1538" t="inlineStr">
        <is>
          <t>SELESAI</t>
        </is>
      </c>
      <c r="I1538" t="inlineStr">
        <is>
          <t>MK00113</t>
        </is>
      </c>
      <c r="J1538" t="inlineStr"/>
    </row>
    <row r="1539">
      <c r="A1539" t="inlineStr">
        <is>
          <t>04/07/2026</t>
        </is>
      </c>
      <c r="B1539" t="inlineStr">
        <is>
          <t>528000306</t>
        </is>
      </c>
      <c r="C1539" t="inlineStr">
        <is>
          <t>Windy Olivia</t>
        </is>
      </c>
      <c r="D1539" t="inlineStr">
        <is>
          <t>PROD</t>
        </is>
      </c>
      <c r="E1539" t="inlineStr">
        <is>
          <t>Produksi Harian</t>
        </is>
      </c>
      <c r="F1539" t="inlineStr">
        <is>
          <t>21:37:44</t>
        </is>
      </c>
      <c r="G1539" t="inlineStr">
        <is>
          <t>06:02:48</t>
        </is>
      </c>
      <c r="H1539" t="inlineStr">
        <is>
          <t>SELESAI</t>
        </is>
      </c>
      <c r="I1539" t="inlineStr">
        <is>
          <t>MK00156</t>
        </is>
      </c>
      <c r="J1539" t="inlineStr"/>
    </row>
    <row r="1540">
      <c r="A1540" t="inlineStr">
        <is>
          <t>04/07/2026</t>
        </is>
      </c>
      <c r="B1540" t="inlineStr">
        <is>
          <t>628000061</t>
        </is>
      </c>
      <c r="C1540" t="inlineStr">
        <is>
          <t>Nayla Fadillah Exwantoro</t>
        </is>
      </c>
      <c r="D1540" t="inlineStr">
        <is>
          <t>PROD</t>
        </is>
      </c>
      <c r="E1540" t="inlineStr">
        <is>
          <t>Produksi Borongan</t>
        </is>
      </c>
      <c r="F1540" t="inlineStr"/>
      <c r="G1540" t="inlineStr">
        <is>
          <t>06:25:24</t>
        </is>
      </c>
      <c r="H1540" t="inlineStr">
        <is>
          <t>KELUAR TANPA MASUK</t>
        </is>
      </c>
      <c r="I1540" t="inlineStr">
        <is>
          <t>MK00221</t>
        </is>
      </c>
      <c r="J1540" t="inlineStr">
        <is>
          <t>19E</t>
        </is>
      </c>
    </row>
    <row r="1541">
      <c r="A1541" t="inlineStr">
        <is>
          <t>04/07/2026</t>
        </is>
      </c>
      <c r="B1541" t="inlineStr">
        <is>
          <t>628000091</t>
        </is>
      </c>
      <c r="C1541" t="inlineStr">
        <is>
          <t>Devita Handayani</t>
        </is>
      </c>
      <c r="D1541" t="inlineStr">
        <is>
          <t>PROD</t>
        </is>
      </c>
      <c r="E1541" t="inlineStr">
        <is>
          <t>Produksi Borongan</t>
        </is>
      </c>
      <c r="F1541" t="inlineStr">
        <is>
          <t>21:30:29</t>
        </is>
      </c>
      <c r="G1541" t="inlineStr">
        <is>
          <t>06:04:38</t>
        </is>
      </c>
      <c r="H1541" t="inlineStr">
        <is>
          <t>SELESAI</t>
        </is>
      </c>
      <c r="I1541" t="inlineStr">
        <is>
          <t>MK00249</t>
        </is>
      </c>
      <c r="J1541" t="inlineStr"/>
    </row>
    <row r="1542">
      <c r="A1542" t="inlineStr">
        <is>
          <t>05/07/2026</t>
        </is>
      </c>
      <c r="B1542" t="inlineStr">
        <is>
          <t>528000015</t>
        </is>
      </c>
      <c r="C1542" t="inlineStr">
        <is>
          <t>Erwin</t>
        </is>
      </c>
      <c r="D1542" t="inlineStr">
        <is>
          <t>LOG</t>
        </is>
      </c>
      <c r="E1542" t="inlineStr">
        <is>
          <t>WRM Harian</t>
        </is>
      </c>
      <c r="F1542" t="inlineStr">
        <is>
          <t>07:47:02</t>
        </is>
      </c>
      <c r="G1542" t="inlineStr">
        <is>
          <t>00:02:02</t>
        </is>
      </c>
      <c r="H1542" t="inlineStr">
        <is>
          <t>SELESAI</t>
        </is>
      </c>
      <c r="I1542" t="inlineStr">
        <is>
          <t>MK00145</t>
        </is>
      </c>
      <c r="J1542" t="inlineStr"/>
    </row>
    <row r="1543">
      <c r="A1543" t="inlineStr">
        <is>
          <t>05/07/2026</t>
        </is>
      </c>
      <c r="B1543" t="inlineStr">
        <is>
          <t>528000090</t>
        </is>
      </c>
      <c r="C1543" t="inlineStr">
        <is>
          <t>Suganda</t>
        </is>
      </c>
      <c r="D1543" t="inlineStr">
        <is>
          <t>PROD</t>
        </is>
      </c>
      <c r="E1543" t="inlineStr">
        <is>
          <t>Produksi Harian</t>
        </is>
      </c>
      <c r="F1543" t="inlineStr">
        <is>
          <t>21:54:53</t>
        </is>
      </c>
      <c r="G1543" t="inlineStr">
        <is>
          <t>06:02:16</t>
        </is>
      </c>
      <c r="H1543" t="inlineStr">
        <is>
          <t>SELESAI</t>
        </is>
      </c>
      <c r="I1543" t="inlineStr">
        <is>
          <t>MK00158</t>
        </is>
      </c>
      <c r="J1543" t="inlineStr"/>
    </row>
    <row r="1544">
      <c r="A1544" t="inlineStr">
        <is>
          <t>05/07/2026</t>
        </is>
      </c>
      <c r="B1544" t="inlineStr">
        <is>
          <t>528000099</t>
        </is>
      </c>
      <c r="C1544" t="inlineStr">
        <is>
          <t>Siti Nurawaliah</t>
        </is>
      </c>
      <c r="D1544" t="inlineStr">
        <is>
          <t>PROD</t>
        </is>
      </c>
      <c r="E1544" t="inlineStr">
        <is>
          <t>Produksi Harian</t>
        </is>
      </c>
      <c r="F1544" t="inlineStr">
        <is>
          <t>21:41:28</t>
        </is>
      </c>
      <c r="G1544" t="inlineStr">
        <is>
          <t>06:06:14</t>
        </is>
      </c>
      <c r="H1544" t="inlineStr">
        <is>
          <t>SELESAI</t>
        </is>
      </c>
      <c r="I1544" t="inlineStr">
        <is>
          <t>MK0090</t>
        </is>
      </c>
      <c r="J1544" t="inlineStr"/>
    </row>
    <row r="1545">
      <c r="A1545" t="inlineStr">
        <is>
          <t>05/07/2026</t>
        </is>
      </c>
      <c r="B1545" t="inlineStr">
        <is>
          <t>528000144</t>
        </is>
      </c>
      <c r="C1545" t="inlineStr">
        <is>
          <t>Jodi Hanafi</t>
        </is>
      </c>
      <c r="D1545" t="inlineStr">
        <is>
          <t>LOG</t>
        </is>
      </c>
      <c r="E1545" t="inlineStr">
        <is>
          <t>WRM Harian</t>
        </is>
      </c>
      <c r="F1545" t="inlineStr"/>
      <c r="G1545" t="inlineStr">
        <is>
          <t>00:30:19</t>
        </is>
      </c>
      <c r="H1545" t="inlineStr">
        <is>
          <t>KELUAR TANPA MASUK</t>
        </is>
      </c>
      <c r="I1545" t="inlineStr">
        <is>
          <t>MK00221</t>
        </is>
      </c>
      <c r="J1545" t="inlineStr"/>
    </row>
    <row r="1546">
      <c r="A1546" t="inlineStr">
        <is>
          <t>05/07/2026</t>
        </is>
      </c>
      <c r="B1546" t="inlineStr">
        <is>
          <t>528000195</t>
        </is>
      </c>
      <c r="C1546" t="inlineStr">
        <is>
          <t>Rahma Sariwati</t>
        </is>
      </c>
      <c r="D1546" t="inlineStr">
        <is>
          <t>PROD</t>
        </is>
      </c>
      <c r="E1546" t="inlineStr">
        <is>
          <t>Produksi Harian</t>
        </is>
      </c>
      <c r="F1546" t="inlineStr">
        <is>
          <t>13:30:50</t>
        </is>
      </c>
      <c r="G1546" t="inlineStr">
        <is>
          <t>22:03:34</t>
        </is>
      </c>
      <c r="H1546" t="inlineStr">
        <is>
          <t>SELESAI</t>
        </is>
      </c>
      <c r="I1546" t="inlineStr">
        <is>
          <t>MK00141</t>
        </is>
      </c>
      <c r="J1546" t="inlineStr"/>
    </row>
    <row r="1547">
      <c r="A1547" t="inlineStr">
        <is>
          <t>05/07/2026</t>
        </is>
      </c>
      <c r="B1547" t="inlineStr">
        <is>
          <t>528000201</t>
        </is>
      </c>
      <c r="C1547" t="inlineStr">
        <is>
          <t>Zahwa Amelia Choerunissa</t>
        </is>
      </c>
      <c r="D1547" t="inlineStr">
        <is>
          <t>PROD</t>
        </is>
      </c>
      <c r="E1547" t="inlineStr">
        <is>
          <t>Produksi Harian</t>
        </is>
      </c>
      <c r="F1547" t="inlineStr">
        <is>
          <t>21:40:48</t>
        </is>
      </c>
      <c r="G1547" t="inlineStr">
        <is>
          <t>06:04:32</t>
        </is>
      </c>
      <c r="H1547" t="inlineStr">
        <is>
          <t>SELESAI</t>
        </is>
      </c>
      <c r="I1547" t="inlineStr">
        <is>
          <t>MK00095</t>
        </is>
      </c>
      <c r="J1547" t="inlineStr"/>
    </row>
    <row r="1548">
      <c r="A1548" t="inlineStr">
        <is>
          <t>05/07/2026</t>
        </is>
      </c>
      <c r="B1548" t="inlineStr">
        <is>
          <t>528000212</t>
        </is>
      </c>
      <c r="C1548" t="inlineStr">
        <is>
          <t>Rizal Fauzi</t>
        </is>
      </c>
      <c r="D1548" t="inlineStr">
        <is>
          <t>PROD</t>
        </is>
      </c>
      <c r="E1548" t="inlineStr">
        <is>
          <t>Produksi Harian</t>
        </is>
      </c>
      <c r="F1548" t="inlineStr"/>
      <c r="G1548" t="inlineStr">
        <is>
          <t>06:02:28</t>
        </is>
      </c>
      <c r="H1548" t="inlineStr">
        <is>
          <t>KELUAR TANPA MASUK</t>
        </is>
      </c>
      <c r="I1548" t="inlineStr">
        <is>
          <t>MK0082</t>
        </is>
      </c>
      <c r="J1548" t="inlineStr"/>
    </row>
    <row r="1549">
      <c r="A1549" t="inlineStr">
        <is>
          <t>05/07/2026</t>
        </is>
      </c>
      <c r="B1549" t="inlineStr">
        <is>
          <t>528000238</t>
        </is>
      </c>
      <c r="C1549" t="inlineStr">
        <is>
          <t>Indah Lusiana</t>
        </is>
      </c>
      <c r="D1549" t="inlineStr">
        <is>
          <t>PROD</t>
        </is>
      </c>
      <c r="E1549" t="inlineStr">
        <is>
          <t>Produksi Harian</t>
        </is>
      </c>
      <c r="F1549" t="inlineStr">
        <is>
          <t>13:52:56</t>
        </is>
      </c>
      <c r="G1549" t="inlineStr">
        <is>
          <t>22:04:36</t>
        </is>
      </c>
      <c r="H1549" t="inlineStr">
        <is>
          <t>SELESAI</t>
        </is>
      </c>
      <c r="I1549" t="inlineStr">
        <is>
          <t>MK00250</t>
        </is>
      </c>
      <c r="J1549" t="inlineStr"/>
    </row>
    <row r="1550">
      <c r="A1550" t="inlineStr">
        <is>
          <t>05/07/2026</t>
        </is>
      </c>
      <c r="B1550" t="inlineStr">
        <is>
          <t>528000241</t>
        </is>
      </c>
      <c r="C1550" t="inlineStr">
        <is>
          <t>Balia Nurafif Bilah</t>
        </is>
      </c>
      <c r="D1550" t="inlineStr">
        <is>
          <t>PROD</t>
        </is>
      </c>
      <c r="E1550" t="inlineStr">
        <is>
          <t>Produksi Harian</t>
        </is>
      </c>
      <c r="F1550" t="inlineStr">
        <is>
          <t>21:54:06</t>
        </is>
      </c>
      <c r="G1550" t="inlineStr">
        <is>
          <t>06:02:40</t>
        </is>
      </c>
      <c r="H1550" t="inlineStr">
        <is>
          <t>SELESAI</t>
        </is>
      </c>
      <c r="I1550" t="inlineStr">
        <is>
          <t>MK00116</t>
        </is>
      </c>
      <c r="J1550" t="inlineStr"/>
    </row>
    <row r="1551">
      <c r="A1551" t="inlineStr">
        <is>
          <t>05/07/2026</t>
        </is>
      </c>
      <c r="B1551" t="inlineStr">
        <is>
          <t>528000244</t>
        </is>
      </c>
      <c r="C1551" t="inlineStr">
        <is>
          <t>Rodian Rifai</t>
        </is>
      </c>
      <c r="D1551" t="inlineStr">
        <is>
          <t>PROD</t>
        </is>
      </c>
      <c r="E1551" t="inlineStr">
        <is>
          <t>Produksi Harian</t>
        </is>
      </c>
      <c r="F1551" t="inlineStr">
        <is>
          <t>21:23:53</t>
        </is>
      </c>
      <c r="G1551" t="inlineStr">
        <is>
          <t>06:40:20</t>
        </is>
      </c>
      <c r="H1551" t="inlineStr">
        <is>
          <t>SELESAI</t>
        </is>
      </c>
      <c r="I1551" t="inlineStr">
        <is>
          <t>MK00113</t>
        </is>
      </c>
      <c r="J1551" t="inlineStr">
        <is>
          <t>31E</t>
        </is>
      </c>
    </row>
    <row r="1552">
      <c r="A1552" t="inlineStr">
        <is>
          <t>05/07/2026</t>
        </is>
      </c>
      <c r="B1552" t="inlineStr">
        <is>
          <t>528000261</t>
        </is>
      </c>
      <c r="C1552" t="inlineStr">
        <is>
          <t>Ergi Ergianto</t>
        </is>
      </c>
      <c r="D1552" t="inlineStr">
        <is>
          <t>HRGA</t>
        </is>
      </c>
      <c r="E1552" t="inlineStr">
        <is>
          <t>GA Harian</t>
        </is>
      </c>
      <c r="F1552" t="inlineStr">
        <is>
          <t>13:49:39</t>
        </is>
      </c>
      <c r="G1552" t="inlineStr">
        <is>
          <t>22:02:37</t>
        </is>
      </c>
      <c r="H1552" t="inlineStr">
        <is>
          <t>SELESAI</t>
        </is>
      </c>
      <c r="I1552" t="inlineStr">
        <is>
          <t>MK00192</t>
        </is>
      </c>
      <c r="J1552" t="inlineStr"/>
    </row>
    <row r="1553">
      <c r="A1553" t="inlineStr">
        <is>
          <t>05/07/2026</t>
        </is>
      </c>
      <c r="B1553" t="inlineStr">
        <is>
          <t>528000262</t>
        </is>
      </c>
      <c r="C1553" t="inlineStr">
        <is>
          <t>Ndari Dwiwanti</t>
        </is>
      </c>
      <c r="D1553" t="inlineStr">
        <is>
          <t>PROD</t>
        </is>
      </c>
      <c r="E1553" t="inlineStr">
        <is>
          <t>Produksi Harian</t>
        </is>
      </c>
      <c r="F1553" t="inlineStr">
        <is>
          <t>13:31:54</t>
        </is>
      </c>
      <c r="G1553" t="inlineStr">
        <is>
          <t>22:02:51</t>
        </is>
      </c>
      <c r="H1553" t="inlineStr">
        <is>
          <t>SELESAI</t>
        </is>
      </c>
      <c r="I1553" t="inlineStr">
        <is>
          <t>MK00155</t>
        </is>
      </c>
      <c r="J1553" t="inlineStr"/>
    </row>
    <row r="1554">
      <c r="A1554" t="inlineStr">
        <is>
          <t>05/07/2026</t>
        </is>
      </c>
      <c r="B1554" t="inlineStr">
        <is>
          <t>528000266</t>
        </is>
      </c>
      <c r="C1554" t="inlineStr">
        <is>
          <t>M. Syirajatieq</t>
        </is>
      </c>
      <c r="D1554" t="inlineStr">
        <is>
          <t>LOG</t>
        </is>
      </c>
      <c r="E1554" t="inlineStr">
        <is>
          <t>WFG Harian</t>
        </is>
      </c>
      <c r="F1554" t="inlineStr">
        <is>
          <t>13:45:08</t>
        </is>
      </c>
      <c r="G1554" t="inlineStr">
        <is>
          <t>05:49:43</t>
        </is>
      </c>
      <c r="H1554" t="inlineStr">
        <is>
          <t>SELESAI</t>
        </is>
      </c>
      <c r="I1554" t="inlineStr">
        <is>
          <t>MK00150</t>
        </is>
      </c>
      <c r="J1554" t="inlineStr"/>
    </row>
    <row r="1555">
      <c r="A1555" t="inlineStr">
        <is>
          <t>05/07/2026</t>
        </is>
      </c>
      <c r="B1555" t="inlineStr">
        <is>
          <t>528000270</t>
        </is>
      </c>
      <c r="C1555" t="inlineStr">
        <is>
          <t>Febri Najmudin</t>
        </is>
      </c>
      <c r="D1555" t="inlineStr">
        <is>
          <t>LOG</t>
        </is>
      </c>
      <c r="E1555" t="inlineStr">
        <is>
          <t>WRM Harian</t>
        </is>
      </c>
      <c r="F1555" t="inlineStr"/>
      <c r="G1555" t="inlineStr">
        <is>
          <t>21:46:59</t>
        </is>
      </c>
      <c r="H1555" t="inlineStr">
        <is>
          <t>KELUAR TANPA MASUK</t>
        </is>
      </c>
      <c r="I1555" t="inlineStr">
        <is>
          <t>MK00112</t>
        </is>
      </c>
      <c r="J1555" t="inlineStr"/>
    </row>
    <row r="1556">
      <c r="A1556" t="inlineStr">
        <is>
          <t>05/07/2026</t>
        </is>
      </c>
      <c r="B1556" t="inlineStr">
        <is>
          <t>528000274</t>
        </is>
      </c>
      <c r="C1556" t="inlineStr">
        <is>
          <t>Zepri</t>
        </is>
      </c>
      <c r="D1556" t="inlineStr">
        <is>
          <t>PROD</t>
        </is>
      </c>
      <c r="E1556" t="inlineStr">
        <is>
          <t>Produksi Harian</t>
        </is>
      </c>
      <c r="F1556" t="inlineStr">
        <is>
          <t>21:55:33</t>
        </is>
      </c>
      <c r="G1556" t="inlineStr">
        <is>
          <t>06:02:08</t>
        </is>
      </c>
      <c r="H1556" t="inlineStr">
        <is>
          <t>SELESAI</t>
        </is>
      </c>
      <c r="I1556" t="inlineStr">
        <is>
          <t>MK00108</t>
        </is>
      </c>
      <c r="J1556" t="inlineStr"/>
    </row>
    <row r="1557">
      <c r="A1557" t="inlineStr">
        <is>
          <t>05/07/2026</t>
        </is>
      </c>
      <c r="B1557" t="inlineStr">
        <is>
          <t>528000279</t>
        </is>
      </c>
      <c r="C1557" t="inlineStr">
        <is>
          <t>Mahdalena Dalfa Riani</t>
        </is>
      </c>
      <c r="D1557" t="inlineStr">
        <is>
          <t>PROD</t>
        </is>
      </c>
      <c r="E1557" t="inlineStr">
        <is>
          <t>Produksi Harian</t>
        </is>
      </c>
      <c r="F1557" t="inlineStr">
        <is>
          <t>05:52:01</t>
        </is>
      </c>
      <c r="G1557" t="inlineStr">
        <is>
          <t>14:09:33</t>
        </is>
      </c>
      <c r="H1557" t="inlineStr">
        <is>
          <t>SELESAI</t>
        </is>
      </c>
      <c r="I1557" t="inlineStr">
        <is>
          <t>MK00249</t>
        </is>
      </c>
      <c r="J1557" t="inlineStr"/>
    </row>
    <row r="1558">
      <c r="A1558" t="inlineStr">
        <is>
          <t>05/07/2026</t>
        </is>
      </c>
      <c r="B1558" t="inlineStr">
        <is>
          <t>528000283</t>
        </is>
      </c>
      <c r="C1558" t="inlineStr">
        <is>
          <t>Purwanda Sugiri</t>
        </is>
      </c>
      <c r="D1558" t="inlineStr">
        <is>
          <t>LOG</t>
        </is>
      </c>
      <c r="E1558" t="inlineStr">
        <is>
          <t>WRM Harian</t>
        </is>
      </c>
      <c r="F1558" t="inlineStr">
        <is>
          <t>13:46:06</t>
        </is>
      </c>
      <c r="G1558" t="inlineStr">
        <is>
          <t>22:04:55</t>
        </is>
      </c>
      <c r="H1558" t="inlineStr">
        <is>
          <t>SELESAI</t>
        </is>
      </c>
      <c r="I1558" t="inlineStr">
        <is>
          <t>MK00046</t>
        </is>
      </c>
      <c r="J1558" t="inlineStr"/>
    </row>
    <row r="1559">
      <c r="A1559" t="inlineStr">
        <is>
          <t>05/07/2026</t>
        </is>
      </c>
      <c r="B1559" t="inlineStr">
        <is>
          <t>528000286</t>
        </is>
      </c>
      <c r="C1559" t="inlineStr">
        <is>
          <t>Imelda Amelia</t>
        </is>
      </c>
      <c r="D1559" t="inlineStr">
        <is>
          <t>PROD</t>
        </is>
      </c>
      <c r="E1559" t="inlineStr">
        <is>
          <t>Produksi Harian</t>
        </is>
      </c>
      <c r="F1559" t="inlineStr">
        <is>
          <t>21:47:22</t>
        </is>
      </c>
      <c r="G1559" t="inlineStr">
        <is>
          <t>06:05:21</t>
        </is>
      </c>
      <c r="H1559" t="inlineStr">
        <is>
          <t>SELESAI</t>
        </is>
      </c>
      <c r="I1559" t="inlineStr">
        <is>
          <t>MK00250</t>
        </is>
      </c>
      <c r="J1559" t="inlineStr"/>
    </row>
    <row r="1560">
      <c r="A1560" t="inlineStr">
        <is>
          <t>05/07/2026</t>
        </is>
      </c>
      <c r="B1560" t="inlineStr">
        <is>
          <t>528000289</t>
        </is>
      </c>
      <c r="C1560" t="inlineStr">
        <is>
          <t>Adit Supriyadi</t>
        </is>
      </c>
      <c r="D1560" t="inlineStr">
        <is>
          <t>PROD</t>
        </is>
      </c>
      <c r="E1560" t="inlineStr">
        <is>
          <t>Produksi Harian</t>
        </is>
      </c>
      <c r="F1560" t="inlineStr">
        <is>
          <t>21:32:44</t>
        </is>
      </c>
      <c r="G1560" t="inlineStr">
        <is>
          <t>07:23:26</t>
        </is>
      </c>
      <c r="H1560" t="inlineStr">
        <is>
          <t>SELESAI</t>
        </is>
      </c>
      <c r="I1560" t="inlineStr">
        <is>
          <t>MK00112</t>
        </is>
      </c>
      <c r="J1560" t="inlineStr">
        <is>
          <t>1-E</t>
        </is>
      </c>
    </row>
    <row r="1561">
      <c r="A1561" t="inlineStr">
        <is>
          <t>05/07/2026</t>
        </is>
      </c>
      <c r="B1561" t="inlineStr">
        <is>
          <t>528000290</t>
        </is>
      </c>
      <c r="C1561" t="inlineStr">
        <is>
          <t>Eval Pranata</t>
        </is>
      </c>
      <c r="D1561" t="inlineStr">
        <is>
          <t>PROD</t>
        </is>
      </c>
      <c r="E1561" t="inlineStr">
        <is>
          <t>Produksi Harian</t>
        </is>
      </c>
      <c r="F1561" t="inlineStr"/>
      <c r="G1561" t="inlineStr">
        <is>
          <t>06:02:28</t>
        </is>
      </c>
      <c r="H1561" t="inlineStr">
        <is>
          <t>KELUAR TANPA MASUK</t>
        </is>
      </c>
      <c r="I1561" t="inlineStr">
        <is>
          <t>MK00136</t>
        </is>
      </c>
      <c r="J1561" t="inlineStr"/>
    </row>
    <row r="1562">
      <c r="A1562" t="inlineStr">
        <is>
          <t>05/07/2026</t>
        </is>
      </c>
      <c r="B1562" t="inlineStr">
        <is>
          <t>528000291</t>
        </is>
      </c>
      <c r="C1562" t="inlineStr">
        <is>
          <t>Andrian</t>
        </is>
      </c>
      <c r="D1562" t="inlineStr">
        <is>
          <t>PROD</t>
        </is>
      </c>
      <c r="E1562" t="inlineStr">
        <is>
          <t>Produksi Harian</t>
        </is>
      </c>
      <c r="F1562" t="inlineStr">
        <is>
          <t>13:54:40</t>
        </is>
      </c>
      <c r="G1562" t="inlineStr">
        <is>
          <t>22:05:03</t>
        </is>
      </c>
      <c r="H1562" t="inlineStr">
        <is>
          <t>SELESAI</t>
        </is>
      </c>
      <c r="I1562" t="inlineStr">
        <is>
          <t>MK00088</t>
        </is>
      </c>
      <c r="J1562" t="inlineStr"/>
    </row>
    <row r="1563">
      <c r="A1563" t="inlineStr">
        <is>
          <t>05/07/2026</t>
        </is>
      </c>
      <c r="B1563" t="inlineStr">
        <is>
          <t>528000297</t>
        </is>
      </c>
      <c r="C1563" t="inlineStr">
        <is>
          <t>Muhamad Budiana</t>
        </is>
      </c>
      <c r="D1563" t="inlineStr">
        <is>
          <t>PROD</t>
        </is>
      </c>
      <c r="E1563" t="inlineStr">
        <is>
          <t>Produksi Harian</t>
        </is>
      </c>
      <c r="F1563" t="inlineStr">
        <is>
          <t>05:53:50</t>
        </is>
      </c>
      <c r="G1563" t="inlineStr">
        <is>
          <t>14:05:47</t>
        </is>
      </c>
      <c r="H1563" t="inlineStr">
        <is>
          <t>SELESAI</t>
        </is>
      </c>
      <c r="I1563" t="inlineStr">
        <is>
          <t>MK00126</t>
        </is>
      </c>
      <c r="J1563" t="inlineStr"/>
    </row>
    <row r="1564">
      <c r="A1564" t="inlineStr">
        <is>
          <t>05/07/2026</t>
        </is>
      </c>
      <c r="B1564" t="inlineStr">
        <is>
          <t>528000301</t>
        </is>
      </c>
      <c r="C1564" t="inlineStr">
        <is>
          <t>Muhammad Mukti Ridwan</t>
        </is>
      </c>
      <c r="D1564" t="inlineStr">
        <is>
          <t>PROD</t>
        </is>
      </c>
      <c r="E1564" t="inlineStr">
        <is>
          <t>Produksi Harian</t>
        </is>
      </c>
      <c r="F1564" t="inlineStr">
        <is>
          <t>13:52:25</t>
        </is>
      </c>
      <c r="G1564" t="inlineStr">
        <is>
          <t>22:05:39</t>
        </is>
      </c>
      <c r="H1564" t="inlineStr">
        <is>
          <t>SELESAI</t>
        </is>
      </c>
      <c r="I1564" t="inlineStr">
        <is>
          <t>MK00085</t>
        </is>
      </c>
      <c r="J1564" t="inlineStr"/>
    </row>
    <row r="1565">
      <c r="A1565" t="inlineStr">
        <is>
          <t>05/07/2026</t>
        </is>
      </c>
      <c r="B1565" t="inlineStr">
        <is>
          <t>528000306</t>
        </is>
      </c>
      <c r="C1565" t="inlineStr">
        <is>
          <t>Windy Olivia</t>
        </is>
      </c>
      <c r="D1565" t="inlineStr">
        <is>
          <t>PROD</t>
        </is>
      </c>
      <c r="E1565" t="inlineStr">
        <is>
          <t>Produksi Harian</t>
        </is>
      </c>
      <c r="F1565" t="inlineStr"/>
      <c r="G1565" t="inlineStr">
        <is>
          <t>06:02:43</t>
        </is>
      </c>
      <c r="H1565" t="inlineStr">
        <is>
          <t>KELUAR TANPA MASUK</t>
        </is>
      </c>
      <c r="I1565" t="inlineStr">
        <is>
          <t>MK00250</t>
        </is>
      </c>
      <c r="J1565" t="inlineStr"/>
    </row>
    <row r="1566">
      <c r="A1566" t="inlineStr">
        <is>
          <t>05/07/2026</t>
        </is>
      </c>
      <c r="B1566" t="inlineStr">
        <is>
          <t>528000348</t>
        </is>
      </c>
      <c r="C1566" t="inlineStr">
        <is>
          <t>Saepuloh Ardiansah</t>
        </is>
      </c>
      <c r="D1566" t="inlineStr">
        <is>
          <t>LOG</t>
        </is>
      </c>
      <c r="E1566" t="inlineStr">
        <is>
          <t>WRM Harian</t>
        </is>
      </c>
      <c r="F1566" t="inlineStr">
        <is>
          <t>08:56:59</t>
        </is>
      </c>
      <c r="G1566" t="inlineStr">
        <is>
          <t>17:41:20</t>
        </is>
      </c>
      <c r="H1566" t="inlineStr">
        <is>
          <t>SELESAI</t>
        </is>
      </c>
      <c r="I1566" t="inlineStr">
        <is>
          <t>MK00205</t>
        </is>
      </c>
      <c r="J1566" t="inlineStr"/>
    </row>
    <row r="1567">
      <c r="A1567" t="inlineStr">
        <is>
          <t>05/07/2026</t>
        </is>
      </c>
      <c r="B1567" t="inlineStr">
        <is>
          <t>528000358</t>
        </is>
      </c>
      <c r="C1567" t="inlineStr">
        <is>
          <t>Lulu Agustin</t>
        </is>
      </c>
      <c r="D1567" t="inlineStr">
        <is>
          <t>PROD</t>
        </is>
      </c>
      <c r="E1567" t="inlineStr">
        <is>
          <t>Produksi Harian</t>
        </is>
      </c>
      <c r="F1567" t="inlineStr">
        <is>
          <t>13:30:58</t>
        </is>
      </c>
      <c r="G1567" t="inlineStr">
        <is>
          <t>22:05:26</t>
        </is>
      </c>
      <c r="H1567" t="inlineStr">
        <is>
          <t>SELESAI</t>
        </is>
      </c>
      <c r="I1567" t="inlineStr">
        <is>
          <t>MK00082</t>
        </is>
      </c>
      <c r="J1567" t="inlineStr"/>
    </row>
    <row r="1568">
      <c r="A1568" t="inlineStr">
        <is>
          <t>05/07/2026</t>
        </is>
      </c>
      <c r="B1568" t="inlineStr">
        <is>
          <t>628000064</t>
        </is>
      </c>
      <c r="C1568" t="inlineStr">
        <is>
          <t>Silva Alypia</t>
        </is>
      </c>
      <c r="D1568" t="inlineStr">
        <is>
          <t>PROD</t>
        </is>
      </c>
      <c r="E1568" t="inlineStr">
        <is>
          <t>Produksi Borongan</t>
        </is>
      </c>
      <c r="F1568" t="inlineStr">
        <is>
          <t>05:53:44</t>
        </is>
      </c>
      <c r="G1568" t="inlineStr"/>
      <c r="H1568" t="inlineStr">
        <is>
          <t>DI DALAM</t>
        </is>
      </c>
      <c r="I1568" t="inlineStr">
        <is>
          <t>MK00100</t>
        </is>
      </c>
      <c r="J1568" t="inlineStr"/>
    </row>
    <row r="1569">
      <c r="A1569" t="inlineStr">
        <is>
          <t>06/07/2026</t>
        </is>
      </c>
      <c r="B1569" t="inlineStr">
        <is>
          <t>528000015</t>
        </is>
      </c>
      <c r="C1569" t="inlineStr">
        <is>
          <t>Erwin</t>
        </is>
      </c>
      <c r="D1569" t="inlineStr">
        <is>
          <t>LOG</t>
        </is>
      </c>
      <c r="E1569" t="inlineStr">
        <is>
          <t>WRM Harian</t>
        </is>
      </c>
      <c r="F1569" t="inlineStr">
        <is>
          <t>15:39:48</t>
        </is>
      </c>
      <c r="G1569" t="inlineStr"/>
      <c r="H1569" t="inlineStr">
        <is>
          <t>DI DALAM</t>
        </is>
      </c>
      <c r="I1569" t="inlineStr">
        <is>
          <t>MK00213</t>
        </is>
      </c>
      <c r="J1569" t="inlineStr"/>
    </row>
    <row r="1570">
      <c r="A1570" t="inlineStr">
        <is>
          <t>06/07/2026</t>
        </is>
      </c>
      <c r="B1570" t="inlineStr">
        <is>
          <t>528000052</t>
        </is>
      </c>
      <c r="C1570" t="inlineStr">
        <is>
          <t>Mustopa</t>
        </is>
      </c>
      <c r="D1570" t="inlineStr">
        <is>
          <t>PROD</t>
        </is>
      </c>
      <c r="E1570" t="inlineStr">
        <is>
          <t>Produksi Harian</t>
        </is>
      </c>
      <c r="F1570" t="inlineStr">
        <is>
          <t>05:31:05</t>
        </is>
      </c>
      <c r="G1570" t="inlineStr">
        <is>
          <t>14:02:12</t>
        </is>
      </c>
      <c r="H1570" t="inlineStr">
        <is>
          <t>SELESAI</t>
        </is>
      </c>
      <c r="I1570" t="inlineStr">
        <is>
          <t>MK0192</t>
        </is>
      </c>
      <c r="J1570" t="inlineStr"/>
    </row>
    <row r="1571">
      <c r="A1571" t="inlineStr">
        <is>
          <t>06/07/2026</t>
        </is>
      </c>
      <c r="B1571" t="inlineStr">
        <is>
          <t>528000069</t>
        </is>
      </c>
      <c r="C1571" t="inlineStr">
        <is>
          <t>Jajang Ardiansyah</t>
        </is>
      </c>
      <c r="D1571" t="inlineStr">
        <is>
          <t>PROD</t>
        </is>
      </c>
      <c r="E1571" t="inlineStr">
        <is>
          <t>Produksi Harian</t>
        </is>
      </c>
      <c r="F1571" t="inlineStr">
        <is>
          <t>07:00:12</t>
        </is>
      </c>
      <c r="G1571" t="inlineStr">
        <is>
          <t>22:09:26</t>
        </is>
      </c>
      <c r="H1571" t="inlineStr">
        <is>
          <t>SELESAI</t>
        </is>
      </c>
      <c r="I1571" t="inlineStr">
        <is>
          <t>MK00202</t>
        </is>
      </c>
      <c r="J1571" t="inlineStr"/>
    </row>
    <row r="1572">
      <c r="A1572" t="inlineStr">
        <is>
          <t>06/07/2026</t>
        </is>
      </c>
      <c r="B1572" t="inlineStr">
        <is>
          <t>528000098</t>
        </is>
      </c>
      <c r="C1572" t="inlineStr">
        <is>
          <t>Edi Junaedi</t>
        </is>
      </c>
      <c r="D1572" t="inlineStr">
        <is>
          <t>PROD</t>
        </is>
      </c>
      <c r="E1572" t="inlineStr">
        <is>
          <t>Produksi Harian</t>
        </is>
      </c>
      <c r="F1572" t="inlineStr"/>
      <c r="G1572" t="inlineStr">
        <is>
          <t>13:51:17</t>
        </is>
      </c>
      <c r="H1572" t="inlineStr">
        <is>
          <t>KELUAR TANPA MASUK</t>
        </is>
      </c>
      <c r="I1572" t="inlineStr">
        <is>
          <t>MK00154</t>
        </is>
      </c>
      <c r="J1572" t="inlineStr"/>
    </row>
    <row r="1573">
      <c r="A1573" t="inlineStr">
        <is>
          <t>06/07/2026</t>
        </is>
      </c>
      <c r="B1573" t="inlineStr">
        <is>
          <t>528000132</t>
        </is>
      </c>
      <c r="C1573" t="inlineStr">
        <is>
          <t>Giopani</t>
        </is>
      </c>
      <c r="D1573" t="inlineStr">
        <is>
          <t>LOG</t>
        </is>
      </c>
      <c r="E1573" t="inlineStr">
        <is>
          <t>WRM Harian</t>
        </is>
      </c>
      <c r="F1573" t="inlineStr">
        <is>
          <t>08:57:49</t>
        </is>
      </c>
      <c r="G1573" t="inlineStr">
        <is>
          <t>08:57:32</t>
        </is>
      </c>
      <c r="H1573" t="inlineStr">
        <is>
          <t>SELESAI</t>
        </is>
      </c>
      <c r="I1573" t="inlineStr">
        <is>
          <t>MK00228</t>
        </is>
      </c>
      <c r="J1573" t="inlineStr"/>
    </row>
    <row r="1574">
      <c r="A1574" t="inlineStr">
        <is>
          <t>06/07/2026</t>
        </is>
      </c>
      <c r="B1574" t="inlineStr">
        <is>
          <t>528000144</t>
        </is>
      </c>
      <c r="C1574" t="inlineStr">
        <is>
          <t>Jodi Hanafi</t>
        </is>
      </c>
      <c r="D1574" t="inlineStr">
        <is>
          <t>LOG</t>
        </is>
      </c>
      <c r="E1574" t="inlineStr">
        <is>
          <t>WRM Harian</t>
        </is>
      </c>
      <c r="F1574" t="inlineStr">
        <is>
          <t>15:41:14</t>
        </is>
      </c>
      <c r="G1574" t="inlineStr"/>
      <c r="H1574" t="inlineStr">
        <is>
          <t>DI DALAM</t>
        </is>
      </c>
      <c r="I1574" t="inlineStr">
        <is>
          <t>MK00221</t>
        </is>
      </c>
      <c r="J1574" t="inlineStr"/>
    </row>
    <row r="1575">
      <c r="A1575" t="inlineStr">
        <is>
          <t>06/07/2026</t>
        </is>
      </c>
      <c r="B1575" t="inlineStr">
        <is>
          <t>528000195</t>
        </is>
      </c>
      <c r="C1575" t="inlineStr">
        <is>
          <t>Rahma Sariwati</t>
        </is>
      </c>
      <c r="D1575" t="inlineStr">
        <is>
          <t>PROD</t>
        </is>
      </c>
      <c r="E1575" t="inlineStr">
        <is>
          <t>Produksi Harian</t>
        </is>
      </c>
      <c r="F1575" t="inlineStr">
        <is>
          <t>05:42:40</t>
        </is>
      </c>
      <c r="G1575" t="inlineStr">
        <is>
          <t>14:07:46</t>
        </is>
      </c>
      <c r="H1575" t="inlineStr">
        <is>
          <t>SELESAI</t>
        </is>
      </c>
      <c r="I1575" t="inlineStr">
        <is>
          <t>MK00151</t>
        </is>
      </c>
      <c r="J1575" t="inlineStr"/>
    </row>
    <row r="1576">
      <c r="A1576" t="inlineStr">
        <is>
          <t>06/07/2026</t>
        </is>
      </c>
      <c r="B1576" t="inlineStr">
        <is>
          <t>528000203</t>
        </is>
      </c>
      <c r="C1576" t="inlineStr">
        <is>
          <t>Yudha Ramdhan Putra</t>
        </is>
      </c>
      <c r="D1576" t="inlineStr">
        <is>
          <t>ENG</t>
        </is>
      </c>
      <c r="E1576" t="inlineStr">
        <is>
          <t>Engineering Harian</t>
        </is>
      </c>
      <c r="F1576" t="inlineStr">
        <is>
          <t>08:00:40</t>
        </is>
      </c>
      <c r="G1576" t="inlineStr">
        <is>
          <t>16:01:49</t>
        </is>
      </c>
      <c r="H1576" t="inlineStr">
        <is>
          <t>SELESAI</t>
        </is>
      </c>
      <c r="I1576" t="inlineStr">
        <is>
          <t>MK00112</t>
        </is>
      </c>
      <c r="J1576" t="inlineStr"/>
    </row>
    <row r="1577">
      <c r="A1577" t="inlineStr">
        <is>
          <t>06/07/2026</t>
        </is>
      </c>
      <c r="B1577" t="inlineStr">
        <is>
          <t>528000212</t>
        </is>
      </c>
      <c r="C1577" t="inlineStr">
        <is>
          <t>Rizal Fauzi</t>
        </is>
      </c>
      <c r="D1577" t="inlineStr">
        <is>
          <t>PROD</t>
        </is>
      </c>
      <c r="E1577" t="inlineStr">
        <is>
          <t>Produksi Harian</t>
        </is>
      </c>
      <c r="F1577" t="inlineStr">
        <is>
          <t>22:00:28</t>
        </is>
      </c>
      <c r="G1577" t="inlineStr"/>
      <c r="H1577" t="inlineStr">
        <is>
          <t>DI DALAM</t>
        </is>
      </c>
      <c r="I1577" t="inlineStr">
        <is>
          <t>MK00154</t>
        </is>
      </c>
      <c r="J1577" t="inlineStr">
        <is>
          <t>14B</t>
        </is>
      </c>
    </row>
    <row r="1578">
      <c r="A1578" t="inlineStr">
        <is>
          <t>06/07/2026</t>
        </is>
      </c>
      <c r="B1578" t="inlineStr">
        <is>
          <t>528000228</t>
        </is>
      </c>
      <c r="C1578" t="inlineStr">
        <is>
          <t>Banyu Resmi Putri</t>
        </is>
      </c>
      <c r="D1578" t="inlineStr">
        <is>
          <t>PROD</t>
        </is>
      </c>
      <c r="E1578" t="inlineStr">
        <is>
          <t>Produksi Harian</t>
        </is>
      </c>
      <c r="F1578" t="inlineStr"/>
      <c r="G1578" t="inlineStr">
        <is>
          <t>13:48:45</t>
        </is>
      </c>
      <c r="H1578" t="inlineStr">
        <is>
          <t>KELUAR TANPA MASUK</t>
        </is>
      </c>
      <c r="I1578" t="inlineStr">
        <is>
          <t>MK0085</t>
        </is>
      </c>
      <c r="J1578" t="inlineStr"/>
    </row>
    <row r="1579">
      <c r="A1579" t="inlineStr">
        <is>
          <t>06/07/2026</t>
        </is>
      </c>
      <c r="B1579" t="inlineStr">
        <is>
          <t>528000232</t>
        </is>
      </c>
      <c r="C1579" t="inlineStr">
        <is>
          <t>Agung Aji Suhada</t>
        </is>
      </c>
      <c r="D1579" t="inlineStr">
        <is>
          <t>LOG</t>
        </is>
      </c>
      <c r="E1579" t="inlineStr">
        <is>
          <t>WRM Harian</t>
        </is>
      </c>
      <c r="F1579" t="inlineStr">
        <is>
          <t>08:56:47</t>
        </is>
      </c>
      <c r="G1579" t="inlineStr">
        <is>
          <t>17:02:27</t>
        </is>
      </c>
      <c r="H1579" t="inlineStr">
        <is>
          <t>SELESAI</t>
        </is>
      </c>
      <c r="I1579" t="inlineStr">
        <is>
          <t>MK00204</t>
        </is>
      </c>
      <c r="J1579" t="inlineStr"/>
    </row>
    <row r="1580">
      <c r="A1580" t="inlineStr">
        <is>
          <t>06/07/2026</t>
        </is>
      </c>
      <c r="B1580" t="inlineStr">
        <is>
          <t>528000248</t>
        </is>
      </c>
      <c r="C1580" t="inlineStr">
        <is>
          <t>Roka Jaya Salka Mulya</t>
        </is>
      </c>
      <c r="D1580" t="inlineStr">
        <is>
          <t>PROD</t>
        </is>
      </c>
      <c r="E1580" t="inlineStr">
        <is>
          <t>Produksi Harian</t>
        </is>
      </c>
      <c r="F1580" t="inlineStr">
        <is>
          <t>14:14:08</t>
        </is>
      </c>
      <c r="G1580" t="inlineStr"/>
      <c r="H1580" t="inlineStr">
        <is>
          <t>DI DALAM</t>
        </is>
      </c>
      <c r="I1580" t="inlineStr">
        <is>
          <t>MK00208</t>
        </is>
      </c>
      <c r="J1580" t="inlineStr"/>
    </row>
    <row r="1581">
      <c r="A1581" t="inlineStr">
        <is>
          <t>06/07/2026</t>
        </is>
      </c>
      <c r="B1581" t="inlineStr">
        <is>
          <t>528000256</t>
        </is>
      </c>
      <c r="C1581" t="inlineStr">
        <is>
          <t>Rasianah</t>
        </is>
      </c>
      <c r="D1581" t="inlineStr">
        <is>
          <t>PROD</t>
        </is>
      </c>
      <c r="E1581" t="inlineStr">
        <is>
          <t>Produksi Harian</t>
        </is>
      </c>
      <c r="F1581" t="inlineStr"/>
      <c r="G1581" t="inlineStr">
        <is>
          <t>13:47:09</t>
        </is>
      </c>
      <c r="H1581" t="inlineStr">
        <is>
          <t>KELUAR TANPA MASUK</t>
        </is>
      </c>
      <c r="I1581" t="inlineStr">
        <is>
          <t>MK00101</t>
        </is>
      </c>
      <c r="J1581" t="inlineStr"/>
    </row>
    <row r="1582">
      <c r="A1582" t="inlineStr">
        <is>
          <t>06/07/2026</t>
        </is>
      </c>
      <c r="B1582" t="inlineStr">
        <is>
          <t>528000261</t>
        </is>
      </c>
      <c r="C1582" t="inlineStr">
        <is>
          <t>Ergi Ergianto</t>
        </is>
      </c>
      <c r="D1582" t="inlineStr">
        <is>
          <t>HRGA</t>
        </is>
      </c>
      <c r="E1582" t="inlineStr">
        <is>
          <t>GA Harian</t>
        </is>
      </c>
      <c r="F1582" t="inlineStr">
        <is>
          <t>05:50:00</t>
        </is>
      </c>
      <c r="G1582" t="inlineStr">
        <is>
          <t>14:04:17</t>
        </is>
      </c>
      <c r="H1582" t="inlineStr">
        <is>
          <t>SELESAI</t>
        </is>
      </c>
      <c r="I1582" t="inlineStr">
        <is>
          <t>MK00230</t>
        </is>
      </c>
      <c r="J1582" t="inlineStr"/>
    </row>
    <row r="1583">
      <c r="A1583" t="inlineStr">
        <is>
          <t>06/07/2026</t>
        </is>
      </c>
      <c r="B1583" t="inlineStr">
        <is>
          <t>528000262</t>
        </is>
      </c>
      <c r="C1583" t="inlineStr">
        <is>
          <t>Ndari Dwiwanti</t>
        </is>
      </c>
      <c r="D1583" t="inlineStr">
        <is>
          <t>PROD</t>
        </is>
      </c>
      <c r="E1583" t="inlineStr">
        <is>
          <t>Produksi Harian</t>
        </is>
      </c>
      <c r="F1583" t="inlineStr">
        <is>
          <t>05:41:57</t>
        </is>
      </c>
      <c r="G1583" t="inlineStr">
        <is>
          <t>14:09:25</t>
        </is>
      </c>
      <c r="H1583" t="inlineStr">
        <is>
          <t>SELESAI</t>
        </is>
      </c>
      <c r="I1583" t="inlineStr">
        <is>
          <t>MK00208</t>
        </is>
      </c>
      <c r="J1583" t="inlineStr"/>
    </row>
    <row r="1584">
      <c r="A1584" t="inlineStr">
        <is>
          <t>06/07/2026</t>
        </is>
      </c>
      <c r="B1584" t="inlineStr">
        <is>
          <t>528000265</t>
        </is>
      </c>
      <c r="C1584" t="inlineStr">
        <is>
          <t>Muhammad Haerul Rozikin</t>
        </is>
      </c>
      <c r="D1584" t="inlineStr">
        <is>
          <t>LOG</t>
        </is>
      </c>
      <c r="E1584" t="inlineStr">
        <is>
          <t>WRM Harian</t>
        </is>
      </c>
      <c r="F1584" t="inlineStr">
        <is>
          <t>07:46:34</t>
        </is>
      </c>
      <c r="G1584" t="inlineStr">
        <is>
          <t>16:03:11</t>
        </is>
      </c>
      <c r="H1584" t="inlineStr">
        <is>
          <t>SELESAI</t>
        </is>
      </c>
      <c r="I1584" t="inlineStr">
        <is>
          <t>MKZ0116</t>
        </is>
      </c>
      <c r="J1584" t="inlineStr"/>
    </row>
    <row r="1585">
      <c r="A1585" t="inlineStr">
        <is>
          <t>06/07/2026</t>
        </is>
      </c>
      <c r="B1585" t="inlineStr">
        <is>
          <t>528000266</t>
        </is>
      </c>
      <c r="C1585" t="inlineStr">
        <is>
          <t>M. Syirajatieq</t>
        </is>
      </c>
      <c r="D1585" t="inlineStr">
        <is>
          <t>LOG</t>
        </is>
      </c>
      <c r="E1585" t="inlineStr">
        <is>
          <t>WFG Harian</t>
        </is>
      </c>
      <c r="F1585" t="inlineStr">
        <is>
          <t>05:50:27</t>
        </is>
      </c>
      <c r="G1585" t="inlineStr">
        <is>
          <t>14:19:17</t>
        </is>
      </c>
      <c r="H1585" t="inlineStr">
        <is>
          <t>SELESAI</t>
        </is>
      </c>
      <c r="I1585" t="inlineStr">
        <is>
          <t>MK00008</t>
        </is>
      </c>
      <c r="J1585" t="inlineStr"/>
    </row>
    <row r="1586">
      <c r="A1586" t="inlineStr">
        <is>
          <t>06/07/2026</t>
        </is>
      </c>
      <c r="B1586" t="inlineStr">
        <is>
          <t>528000279</t>
        </is>
      </c>
      <c r="C1586" t="inlineStr">
        <is>
          <t>Mahdalena Dalfa Riani</t>
        </is>
      </c>
      <c r="D1586" t="inlineStr">
        <is>
          <t>PROD</t>
        </is>
      </c>
      <c r="E1586" t="inlineStr">
        <is>
          <t>Produksi Harian</t>
        </is>
      </c>
      <c r="F1586" t="inlineStr">
        <is>
          <t>14:02:42</t>
        </is>
      </c>
      <c r="G1586" t="inlineStr">
        <is>
          <t>22:03:37</t>
        </is>
      </c>
      <c r="H1586" t="inlineStr">
        <is>
          <t>SELESAI</t>
        </is>
      </c>
      <c r="I1586" t="inlineStr">
        <is>
          <t>MK00046</t>
        </is>
      </c>
      <c r="J1586" t="inlineStr"/>
    </row>
    <row r="1587">
      <c r="A1587" t="inlineStr">
        <is>
          <t>06/07/2026</t>
        </is>
      </c>
      <c r="B1587" t="inlineStr">
        <is>
          <t>528000282</t>
        </is>
      </c>
      <c r="C1587" t="inlineStr">
        <is>
          <t>Defa Desfiana</t>
        </is>
      </c>
      <c r="D1587" t="inlineStr">
        <is>
          <t>PROD</t>
        </is>
      </c>
      <c r="E1587" t="inlineStr">
        <is>
          <t>Produksi Harian</t>
        </is>
      </c>
      <c r="F1587" t="inlineStr">
        <is>
          <t>07:39:53</t>
        </is>
      </c>
      <c r="G1587" t="inlineStr">
        <is>
          <t>16:01:41</t>
        </is>
      </c>
      <c r="H1587" t="inlineStr">
        <is>
          <t>SELESAI</t>
        </is>
      </c>
      <c r="I1587" t="inlineStr">
        <is>
          <t>MK00145</t>
        </is>
      </c>
      <c r="J1587" t="inlineStr">
        <is>
          <t>22b</t>
        </is>
      </c>
    </row>
    <row r="1588">
      <c r="A1588" t="inlineStr">
        <is>
          <t>06/07/2026</t>
        </is>
      </c>
      <c r="B1588" t="inlineStr">
        <is>
          <t>528000283</t>
        </is>
      </c>
      <c r="C1588" t="inlineStr">
        <is>
          <t>Purwanda Sugiri</t>
        </is>
      </c>
      <c r="D1588" t="inlineStr">
        <is>
          <t>LOG</t>
        </is>
      </c>
      <c r="E1588" t="inlineStr">
        <is>
          <t>WRM Harian</t>
        </is>
      </c>
      <c r="F1588" t="inlineStr"/>
      <c r="G1588" t="inlineStr">
        <is>
          <t>13:47:32</t>
        </is>
      </c>
      <c r="H1588" t="inlineStr">
        <is>
          <t>KELUAR TANPA MASUK</t>
        </is>
      </c>
      <c r="I1588" t="inlineStr">
        <is>
          <t>MK0093</t>
        </is>
      </c>
      <c r="J1588" t="inlineStr"/>
    </row>
    <row r="1589">
      <c r="A1589" t="inlineStr">
        <is>
          <t>06/07/2026</t>
        </is>
      </c>
      <c r="B1589" t="inlineStr">
        <is>
          <t>528000288</t>
        </is>
      </c>
      <c r="C1589" t="inlineStr">
        <is>
          <t>Dede gunawan</t>
        </is>
      </c>
      <c r="D1589" t="inlineStr">
        <is>
          <t>PROD</t>
        </is>
      </c>
      <c r="E1589" t="inlineStr">
        <is>
          <t>Produksi Harian</t>
        </is>
      </c>
      <c r="F1589" t="inlineStr">
        <is>
          <t>17:40:10</t>
        </is>
      </c>
      <c r="G1589" t="inlineStr"/>
      <c r="H1589" t="inlineStr">
        <is>
          <t>DI DALAM</t>
        </is>
      </c>
      <c r="I1589" t="inlineStr">
        <is>
          <t>MK00235</t>
        </is>
      </c>
      <c r="J1589" t="inlineStr"/>
    </row>
    <row r="1590">
      <c r="A1590" t="inlineStr">
        <is>
          <t>06/07/2026</t>
        </is>
      </c>
      <c r="B1590" t="inlineStr">
        <is>
          <t>528000297</t>
        </is>
      </c>
      <c r="C1590" t="inlineStr">
        <is>
          <t>Muhamad Budiana</t>
        </is>
      </c>
      <c r="D1590" t="inlineStr">
        <is>
          <t>PROD</t>
        </is>
      </c>
      <c r="E1590" t="inlineStr">
        <is>
          <t>Produksi Harian</t>
        </is>
      </c>
      <c r="F1590" t="inlineStr">
        <is>
          <t>13:49:35</t>
        </is>
      </c>
      <c r="G1590" t="inlineStr">
        <is>
          <t>23:22:45</t>
        </is>
      </c>
      <c r="H1590" t="inlineStr">
        <is>
          <t>SELESAI</t>
        </is>
      </c>
      <c r="I1590" t="inlineStr">
        <is>
          <t>MK00093</t>
        </is>
      </c>
      <c r="J1590" t="inlineStr"/>
    </row>
    <row r="1591">
      <c r="A1591" t="inlineStr">
        <is>
          <t>06/07/2026</t>
        </is>
      </c>
      <c r="B1591" t="inlineStr">
        <is>
          <t>528000298</t>
        </is>
      </c>
      <c r="C1591" t="inlineStr">
        <is>
          <t>Desta Cahaya Pratama</t>
        </is>
      </c>
      <c r="D1591" t="inlineStr">
        <is>
          <t>PROD</t>
        </is>
      </c>
      <c r="E1591" t="inlineStr">
        <is>
          <t>Produksi Harian</t>
        </is>
      </c>
      <c r="F1591" t="inlineStr"/>
      <c r="G1591" t="inlineStr">
        <is>
          <t>13:52:01</t>
        </is>
      </c>
      <c r="H1591" t="inlineStr">
        <is>
          <t>KELUAR TANPA MASUK</t>
        </is>
      </c>
      <c r="I1591" t="inlineStr">
        <is>
          <t>MK00235</t>
        </is>
      </c>
      <c r="J1591" t="inlineStr"/>
    </row>
    <row r="1592">
      <c r="A1592" t="inlineStr">
        <is>
          <t>06/07/2026</t>
        </is>
      </c>
      <c r="B1592" t="inlineStr">
        <is>
          <t>528000300</t>
        </is>
      </c>
      <c r="C1592" t="inlineStr">
        <is>
          <t>Lia pitaloka</t>
        </is>
      </c>
      <c r="D1592" t="inlineStr">
        <is>
          <t>PROD</t>
        </is>
      </c>
      <c r="E1592" t="inlineStr">
        <is>
          <t>Produksi Harian</t>
        </is>
      </c>
      <c r="F1592" t="inlineStr">
        <is>
          <t>14:07:50</t>
        </is>
      </c>
      <c r="G1592" t="inlineStr">
        <is>
          <t>22:04:17</t>
        </is>
      </c>
      <c r="H1592" t="inlineStr">
        <is>
          <t>SELESAI</t>
        </is>
      </c>
      <c r="I1592" t="inlineStr">
        <is>
          <t>MK00209</t>
        </is>
      </c>
      <c r="J1592" t="inlineStr"/>
    </row>
    <row r="1593">
      <c r="A1593" t="inlineStr">
        <is>
          <t>06/07/2026</t>
        </is>
      </c>
      <c r="B1593" t="inlineStr">
        <is>
          <t>528000309</t>
        </is>
      </c>
      <c r="C1593" t="inlineStr">
        <is>
          <t>Ilham Ramadhan</t>
        </is>
      </c>
      <c r="D1593" t="inlineStr">
        <is>
          <t>LOG</t>
        </is>
      </c>
      <c r="E1593" t="inlineStr">
        <is>
          <t>WRM Harian</t>
        </is>
      </c>
      <c r="F1593" t="inlineStr"/>
      <c r="G1593" t="inlineStr">
        <is>
          <t>13:52:49</t>
        </is>
      </c>
      <c r="H1593" t="inlineStr">
        <is>
          <t>KELUAR TANPA MASUK</t>
        </is>
      </c>
      <c r="I1593" t="inlineStr">
        <is>
          <t>MK00130</t>
        </is>
      </c>
      <c r="J1593" t="inlineStr"/>
    </row>
    <row r="1594">
      <c r="A1594" t="inlineStr">
        <is>
          <t>06/07/2026</t>
        </is>
      </c>
      <c r="B1594" t="inlineStr">
        <is>
          <t>528000310</t>
        </is>
      </c>
      <c r="C1594" t="inlineStr">
        <is>
          <t>Fachrul Rozzi Suryana</t>
        </is>
      </c>
      <c r="D1594" t="inlineStr">
        <is>
          <t>LOG</t>
        </is>
      </c>
      <c r="E1594" t="inlineStr">
        <is>
          <t>WRM Harian</t>
        </is>
      </c>
      <c r="F1594" t="inlineStr">
        <is>
          <t>07:52:30</t>
        </is>
      </c>
      <c r="G1594" t="inlineStr">
        <is>
          <t>16:01:37</t>
        </is>
      </c>
      <c r="H1594" t="inlineStr">
        <is>
          <t>SELESAI</t>
        </is>
      </c>
      <c r="I1594" t="inlineStr">
        <is>
          <t>MK00249</t>
        </is>
      </c>
      <c r="J1594" t="inlineStr">
        <is>
          <t>7B</t>
        </is>
      </c>
    </row>
    <row r="1595">
      <c r="A1595" t="inlineStr">
        <is>
          <t>06/07/2026</t>
        </is>
      </c>
      <c r="B1595" t="inlineStr">
        <is>
          <t>528000318</t>
        </is>
      </c>
      <c r="C1595" t="inlineStr">
        <is>
          <t>Bayu Padli Sepriyana</t>
        </is>
      </c>
      <c r="D1595" t="inlineStr">
        <is>
          <t>LOG</t>
        </is>
      </c>
      <c r="E1595" t="inlineStr">
        <is>
          <t>WRM Harian</t>
        </is>
      </c>
      <c r="F1595" t="inlineStr">
        <is>
          <t>13:50:04</t>
        </is>
      </c>
      <c r="G1595" t="inlineStr">
        <is>
          <t>22:03:24</t>
        </is>
      </c>
      <c r="H1595" t="inlineStr">
        <is>
          <t>SELESAI</t>
        </is>
      </c>
      <c r="I1595" t="inlineStr">
        <is>
          <t>MK00136</t>
        </is>
      </c>
      <c r="J1595" t="inlineStr"/>
    </row>
    <row r="1596">
      <c r="A1596" t="inlineStr">
        <is>
          <t>06/07/2026</t>
        </is>
      </c>
      <c r="B1596" t="inlineStr">
        <is>
          <t>528000328</t>
        </is>
      </c>
      <c r="C1596" t="inlineStr">
        <is>
          <t>Nur Anjani</t>
        </is>
      </c>
      <c r="D1596" t="inlineStr">
        <is>
          <t>PROD</t>
        </is>
      </c>
      <c r="E1596" t="inlineStr">
        <is>
          <t>Produksi Harian</t>
        </is>
      </c>
      <c r="F1596" t="inlineStr">
        <is>
          <t>05:49:01</t>
        </is>
      </c>
      <c r="G1596" t="inlineStr"/>
      <c r="H1596" t="inlineStr">
        <is>
          <t>DI DALAM</t>
        </is>
      </c>
      <c r="I1596" t="inlineStr">
        <is>
          <t>MK000209</t>
        </is>
      </c>
      <c r="J1596" t="inlineStr"/>
    </row>
    <row r="1597">
      <c r="A1597" t="inlineStr">
        <is>
          <t>06/07/2026</t>
        </is>
      </c>
      <c r="B1597" t="inlineStr">
        <is>
          <t>528000348</t>
        </is>
      </c>
      <c r="C1597" t="inlineStr">
        <is>
          <t>Saepuloh Ardiansah</t>
        </is>
      </c>
      <c r="D1597" t="inlineStr">
        <is>
          <t>LOG</t>
        </is>
      </c>
      <c r="E1597" t="inlineStr">
        <is>
          <t>WRM Harian</t>
        </is>
      </c>
      <c r="F1597" t="inlineStr">
        <is>
          <t>15:57:22</t>
        </is>
      </c>
      <c r="G1597" t="inlineStr">
        <is>
          <t>09:59:17</t>
        </is>
      </c>
      <c r="H1597" t="inlineStr">
        <is>
          <t>SELESAI</t>
        </is>
      </c>
      <c r="I1597" t="inlineStr">
        <is>
          <t>MK00205</t>
        </is>
      </c>
      <c r="J1597" t="inlineStr"/>
    </row>
    <row r="1598">
      <c r="A1598" t="inlineStr">
        <is>
          <t>06/07/2026</t>
        </is>
      </c>
      <c r="B1598" t="inlineStr">
        <is>
          <t>528000349</t>
        </is>
      </c>
      <c r="C1598" t="inlineStr">
        <is>
          <t>Anas Abdul Fatah</t>
        </is>
      </c>
      <c r="D1598" t="inlineStr">
        <is>
          <t>LOG</t>
        </is>
      </c>
      <c r="E1598" t="inlineStr">
        <is>
          <t>WFG Harian</t>
        </is>
      </c>
      <c r="F1598" t="inlineStr">
        <is>
          <t>09:37:57</t>
        </is>
      </c>
      <c r="G1598" t="inlineStr">
        <is>
          <t>18:17:21</t>
        </is>
      </c>
      <c r="H1598" t="inlineStr">
        <is>
          <t>SELESAI</t>
        </is>
      </c>
      <c r="I1598" t="inlineStr">
        <is>
          <t>MK0082</t>
        </is>
      </c>
      <c r="J1598" t="inlineStr"/>
    </row>
    <row r="1599">
      <c r="A1599" t="inlineStr">
        <is>
          <t>06/07/2026</t>
        </is>
      </c>
      <c r="B1599" t="inlineStr">
        <is>
          <t>528000351</t>
        </is>
      </c>
      <c r="C1599" t="inlineStr">
        <is>
          <t>Mulyana</t>
        </is>
      </c>
      <c r="D1599" t="inlineStr">
        <is>
          <t>PROD</t>
        </is>
      </c>
      <c r="E1599" t="inlineStr">
        <is>
          <t>Produksi Harian</t>
        </is>
      </c>
      <c r="F1599" t="inlineStr">
        <is>
          <t>07:47:07</t>
        </is>
      </c>
      <c r="G1599" t="inlineStr">
        <is>
          <t>16:04:11</t>
        </is>
      </c>
      <c r="H1599" t="inlineStr">
        <is>
          <t>SELESAI</t>
        </is>
      </c>
      <c r="I1599" t="inlineStr">
        <is>
          <t>MK00138</t>
        </is>
      </c>
      <c r="J1599" t="inlineStr"/>
    </row>
    <row r="1600">
      <c r="A1600" t="inlineStr">
        <is>
          <t>06/07/2026</t>
        </is>
      </c>
      <c r="B1600" t="inlineStr">
        <is>
          <t>528000358</t>
        </is>
      </c>
      <c r="C1600" t="inlineStr">
        <is>
          <t>Lulu Agustin</t>
        </is>
      </c>
      <c r="D1600" t="inlineStr">
        <is>
          <t>PROD</t>
        </is>
      </c>
      <c r="E1600" t="inlineStr">
        <is>
          <t>Produksi Harian</t>
        </is>
      </c>
      <c r="F1600" t="inlineStr"/>
      <c r="G1600" t="inlineStr">
        <is>
          <t>13:49:35</t>
        </is>
      </c>
      <c r="H1600" t="inlineStr">
        <is>
          <t>KELUAR TANPA MASUK</t>
        </is>
      </c>
      <c r="I1600" t="inlineStr">
        <is>
          <t>MK0249</t>
        </is>
      </c>
      <c r="J1600" t="inlineStr"/>
    </row>
    <row r="1601">
      <c r="A1601" t="inlineStr">
        <is>
          <t>06/07/2026</t>
        </is>
      </c>
      <c r="B1601" t="inlineStr">
        <is>
          <t>628000064</t>
        </is>
      </c>
      <c r="C1601" t="inlineStr">
        <is>
          <t>Silva Alypia</t>
        </is>
      </c>
      <c r="D1601" t="inlineStr">
        <is>
          <t>PROD</t>
        </is>
      </c>
      <c r="E1601" t="inlineStr">
        <is>
          <t>Produksi Borongan</t>
        </is>
      </c>
      <c r="F1601" t="inlineStr">
        <is>
          <t>13:42:36</t>
        </is>
      </c>
      <c r="G1601" t="inlineStr">
        <is>
          <t>22:04:28</t>
        </is>
      </c>
      <c r="H1601" t="inlineStr">
        <is>
          <t>SELESAI</t>
        </is>
      </c>
      <c r="I1601" t="inlineStr">
        <is>
          <t>MK00148</t>
        </is>
      </c>
      <c r="J1601" t="inlineStr"/>
    </row>
    <row r="1602">
      <c r="A1602" t="inlineStr">
        <is>
          <t>07/07/2026</t>
        </is>
      </c>
      <c r="B1602" t="inlineStr">
        <is>
          <t>528000149</t>
        </is>
      </c>
      <c r="C1602" t="inlineStr">
        <is>
          <t>Tio Fernanda</t>
        </is>
      </c>
      <c r="D1602" t="inlineStr">
        <is>
          <t>LOG</t>
        </is>
      </c>
      <c r="E1602" t="inlineStr">
        <is>
          <t>WRM Harian</t>
        </is>
      </c>
      <c r="F1602" t="inlineStr"/>
      <c r="G1602" t="inlineStr">
        <is>
          <t>00:00:09</t>
        </is>
      </c>
      <c r="H1602" t="inlineStr">
        <is>
          <t>KELUAR TANPA MASUK</t>
        </is>
      </c>
      <c r="I1602" t="inlineStr">
        <is>
          <t>MK0130</t>
        </is>
      </c>
      <c r="J1602" t="inlineStr"/>
    </row>
    <row r="1603">
      <c r="A1603" t="inlineStr">
        <is>
          <t>07/07/2026</t>
        </is>
      </c>
      <c r="B1603" t="inlineStr">
        <is>
          <t>528000238</t>
        </is>
      </c>
      <c r="C1603" t="inlineStr">
        <is>
          <t>Indah Lusiana</t>
        </is>
      </c>
      <c r="D1603" t="inlineStr">
        <is>
          <t>PROD</t>
        </is>
      </c>
      <c r="E1603" t="inlineStr">
        <is>
          <t>Produksi Harian</t>
        </is>
      </c>
      <c r="F1603" t="inlineStr"/>
      <c r="G1603" t="inlineStr">
        <is>
          <t>06:05:26</t>
        </is>
      </c>
      <c r="H1603" t="inlineStr">
        <is>
          <t>KELUAR TANPA MASUK</t>
        </is>
      </c>
      <c r="I1603" t="inlineStr">
        <is>
          <t>MK00213</t>
        </is>
      </c>
      <c r="J1603" t="inlineStr"/>
    </row>
    <row r="1604">
      <c r="A1604" t="inlineStr">
        <is>
          <t>07/07/2026</t>
        </is>
      </c>
      <c r="B1604" t="inlineStr">
        <is>
          <t>528000296</t>
        </is>
      </c>
      <c r="C1604" t="inlineStr">
        <is>
          <t>Nurdin</t>
        </is>
      </c>
      <c r="D1604" t="inlineStr">
        <is>
          <t>PROD</t>
        </is>
      </c>
      <c r="E1604" t="inlineStr">
        <is>
          <t>Produksi Harian</t>
        </is>
      </c>
      <c r="F1604" t="inlineStr"/>
      <c r="G1604" t="inlineStr">
        <is>
          <t>05:34:15</t>
        </is>
      </c>
      <c r="H1604" t="inlineStr">
        <is>
          <t>KELUAR TANPA MASUK</t>
        </is>
      </c>
      <c r="I1604" t="inlineStr">
        <is>
          <t>MK00121</t>
        </is>
      </c>
      <c r="J1604" t="inlineStr"/>
    </row>
    <row r="1605">
      <c r="A1605" t="inlineStr">
        <is>
          <t>07/07/2026</t>
        </is>
      </c>
      <c r="B1605" t="inlineStr">
        <is>
          <t>528000302</t>
        </is>
      </c>
      <c r="C1605" t="inlineStr">
        <is>
          <t>Henkey gumilar</t>
        </is>
      </c>
      <c r="D1605" t="inlineStr">
        <is>
          <t>PROD</t>
        </is>
      </c>
      <c r="E1605" t="inlineStr">
        <is>
          <t>Produksi Harian</t>
        </is>
      </c>
      <c r="F1605" t="inlineStr"/>
      <c r="G1605" t="inlineStr">
        <is>
          <t>06:08:12</t>
        </is>
      </c>
      <c r="H1605" t="inlineStr">
        <is>
          <t>KELUAR TANPA MASUK</t>
        </is>
      </c>
      <c r="I1605" t="inlineStr">
        <is>
          <t>MK00095</t>
        </is>
      </c>
      <c r="J1605" t="inlineStr"/>
    </row>
    <row r="1606">
      <c r="A1606" t="inlineStr">
        <is>
          <t>07/07/2026</t>
        </is>
      </c>
      <c r="B1606" t="inlineStr">
        <is>
          <t>528000305</t>
        </is>
      </c>
      <c r="C1606" t="inlineStr">
        <is>
          <t>Puji Puspita</t>
        </is>
      </c>
      <c r="D1606" t="inlineStr">
        <is>
          <t>PROD</t>
        </is>
      </c>
      <c r="E1606" t="inlineStr">
        <is>
          <t>Produksi Harian</t>
        </is>
      </c>
      <c r="F1606" t="inlineStr"/>
      <c r="G1606" t="inlineStr">
        <is>
          <t>06:02:34</t>
        </is>
      </c>
      <c r="H1606" t="inlineStr">
        <is>
          <t>KELUAR TANPA MASUK</t>
        </is>
      </c>
      <c r="I1606" t="inlineStr">
        <is>
          <t>MK00208</t>
        </is>
      </c>
      <c r="J1606" t="inlineStr"/>
    </row>
    <row r="1607">
      <c r="A1607" t="inlineStr">
        <is>
          <t>07/07/2026</t>
        </is>
      </c>
      <c r="B1607" t="inlineStr">
        <is>
          <t>528000309</t>
        </is>
      </c>
      <c r="C1607" t="inlineStr">
        <is>
          <t>Ilham Ramadhan</t>
        </is>
      </c>
      <c r="D1607" t="inlineStr">
        <is>
          <t>LOG</t>
        </is>
      </c>
      <c r="E1607" t="inlineStr">
        <is>
          <t>WRM Harian</t>
        </is>
      </c>
      <c r="F1607" t="inlineStr"/>
      <c r="G1607" t="inlineStr">
        <is>
          <t>06:06:52</t>
        </is>
      </c>
      <c r="H1607" t="inlineStr">
        <is>
          <t>KELUAR TANPA MASUK</t>
        </is>
      </c>
      <c r="I1607" t="inlineStr">
        <is>
          <t>MK00230</t>
        </is>
      </c>
      <c r="J1607" t="inlineStr"/>
    </row>
    <row r="1608">
      <c r="A1608" t="inlineStr">
        <is>
          <t>07/07/2026</t>
        </is>
      </c>
      <c r="B1608" t="inlineStr">
        <is>
          <t>528000313</t>
        </is>
      </c>
      <c r="C1608" t="inlineStr">
        <is>
          <t>Muhamad Rifki</t>
        </is>
      </c>
      <c r="D1608" t="inlineStr">
        <is>
          <t>PROD</t>
        </is>
      </c>
      <c r="E1608" t="inlineStr">
        <is>
          <t>Produksi Harian</t>
        </is>
      </c>
      <c r="F1608" t="inlineStr"/>
      <c r="G1608" t="inlineStr">
        <is>
          <t>06:05:05</t>
        </is>
      </c>
      <c r="H1608" t="inlineStr">
        <is>
          <t>KELUAR TANPA MASUK</t>
        </is>
      </c>
      <c r="I1608" t="inlineStr">
        <is>
          <t>MK00108</t>
        </is>
      </c>
      <c r="J1608" t="inlineStr"/>
    </row>
    <row r="1609">
      <c r="A1609" t="inlineStr">
        <is>
          <t>07/07/2026</t>
        </is>
      </c>
      <c r="B1609" t="inlineStr">
        <is>
          <t>528000322</t>
        </is>
      </c>
      <c r="C1609" t="inlineStr">
        <is>
          <t>Muhamad Aliludin</t>
        </is>
      </c>
      <c r="D1609" t="inlineStr">
        <is>
          <t>PROD</t>
        </is>
      </c>
      <c r="E1609" t="inlineStr">
        <is>
          <t>Produksi Harian</t>
        </is>
      </c>
      <c r="F1609" t="inlineStr">
        <is>
          <t>21:44:38</t>
        </is>
      </c>
      <c r="G1609" t="inlineStr">
        <is>
          <t>07:13:50</t>
        </is>
      </c>
      <c r="H1609" t="inlineStr">
        <is>
          <t>SELESAI</t>
        </is>
      </c>
      <c r="I1609" t="inlineStr">
        <is>
          <t>MK00112</t>
        </is>
      </c>
      <c r="J1609" t="inlineStr"/>
    </row>
    <row r="1610">
      <c r="A1610" t="inlineStr">
        <is>
          <t>07/07/2026</t>
        </is>
      </c>
      <c r="B1610" t="inlineStr">
        <is>
          <t>528000335</t>
        </is>
      </c>
      <c r="C1610" t="inlineStr">
        <is>
          <t>Rizal Saepuloh</t>
        </is>
      </c>
      <c r="D1610" t="inlineStr">
        <is>
          <t>LOG</t>
        </is>
      </c>
      <c r="E1610" t="inlineStr">
        <is>
          <t>WRM Harian</t>
        </is>
      </c>
      <c r="F1610" t="inlineStr"/>
      <c r="G1610" t="inlineStr">
        <is>
          <t>00:00:52</t>
        </is>
      </c>
      <c r="H1610" t="inlineStr">
        <is>
          <t>KELUAR TANPA MASUK</t>
        </is>
      </c>
      <c r="I1610" t="inlineStr">
        <is>
          <t>MK00204</t>
        </is>
      </c>
      <c r="J1610" t="inlineStr"/>
    </row>
    <row r="1611">
      <c r="A1611" t="inlineStr">
        <is>
          <t>07/07/2026</t>
        </is>
      </c>
      <c r="B1611" t="inlineStr">
        <is>
          <t>528000339</t>
        </is>
      </c>
      <c r="C1611" t="inlineStr">
        <is>
          <t>Muhamad Ripai'i</t>
        </is>
      </c>
      <c r="D1611" t="inlineStr">
        <is>
          <t>HRGA</t>
        </is>
      </c>
      <c r="E1611" t="inlineStr">
        <is>
          <t>GA Harian</t>
        </is>
      </c>
      <c r="F1611" t="inlineStr"/>
      <c r="G1611" t="inlineStr">
        <is>
          <t>05:58:57</t>
        </is>
      </c>
      <c r="H1611" t="inlineStr">
        <is>
          <t>KELUAR TANPA MASUK</t>
        </is>
      </c>
      <c r="I1611" t="inlineStr">
        <is>
          <t>MK00217</t>
        </is>
      </c>
      <c r="J1611" t="inlineStr"/>
    </row>
    <row r="1612">
      <c r="A1612" t="inlineStr">
        <is>
          <t>07/07/2026</t>
        </is>
      </c>
      <c r="B1612" t="inlineStr">
        <is>
          <t>528000340</t>
        </is>
      </c>
      <c r="C1612" t="inlineStr">
        <is>
          <t>Muhammad Wildan Adithya</t>
        </is>
      </c>
      <c r="D1612" t="inlineStr">
        <is>
          <t>PROD</t>
        </is>
      </c>
      <c r="E1612" t="inlineStr">
        <is>
          <t>Produksi Harian</t>
        </is>
      </c>
      <c r="F1612" t="inlineStr"/>
      <c r="G1612" t="inlineStr">
        <is>
          <t>06:05:55</t>
        </is>
      </c>
      <c r="H1612" t="inlineStr">
        <is>
          <t>KELUAR TANPA MASUK</t>
        </is>
      </c>
      <c r="I1612" t="inlineStr">
        <is>
          <t>MK00220</t>
        </is>
      </c>
      <c r="J1612" t="inlineStr"/>
    </row>
    <row r="1613">
      <c r="A1613" t="inlineStr">
        <is>
          <t>07/07/2026</t>
        </is>
      </c>
      <c r="B1613" t="inlineStr">
        <is>
          <t>528000361</t>
        </is>
      </c>
      <c r="C1613" t="inlineStr">
        <is>
          <t>Denada Munggarani</t>
        </is>
      </c>
      <c r="D1613" t="inlineStr">
        <is>
          <t>PROD</t>
        </is>
      </c>
      <c r="E1613" t="inlineStr">
        <is>
          <t>Produksi Harian</t>
        </is>
      </c>
      <c r="F1613" t="inlineStr"/>
      <c r="G1613" t="inlineStr">
        <is>
          <t>06:38:09</t>
        </is>
      </c>
      <c r="H1613" t="inlineStr">
        <is>
          <t>KELUAR TANPA MASUK</t>
        </is>
      </c>
      <c r="I1613" t="inlineStr">
        <is>
          <t>MK00138</t>
        </is>
      </c>
      <c r="J1613" t="inlineStr"/>
    </row>
    <row r="1614">
      <c r="A1614" t="inlineStr">
        <is>
          <t>07/07/2026</t>
        </is>
      </c>
      <c r="B1614" t="inlineStr">
        <is>
          <t>628000091</t>
        </is>
      </c>
      <c r="C1614" t="inlineStr">
        <is>
          <t>Devita Handayani</t>
        </is>
      </c>
      <c r="D1614" t="inlineStr">
        <is>
          <t>PROD</t>
        </is>
      </c>
      <c r="E1614" t="inlineStr">
        <is>
          <t>Produksi Borongan</t>
        </is>
      </c>
      <c r="F1614" t="inlineStr"/>
      <c r="G1614" t="inlineStr">
        <is>
          <t>06:48:02</t>
        </is>
      </c>
      <c r="H1614" t="inlineStr">
        <is>
          <t>KELUAR TANPA MASUK</t>
        </is>
      </c>
      <c r="I1614" t="inlineStr">
        <is>
          <t>MK00160</t>
        </is>
      </c>
      <c r="J1614" t="inlineStr"/>
    </row>
    <row r="1615">
      <c r="A1615" t="inlineStr">
        <is>
          <t>08/07/2026</t>
        </is>
      </c>
      <c r="B1615" t="inlineStr">
        <is>
          <t>528000040</t>
        </is>
      </c>
      <c r="C1615" t="inlineStr">
        <is>
          <t>Agus Suryaman</t>
        </is>
      </c>
      <c r="D1615" t="inlineStr">
        <is>
          <t>PROD</t>
        </is>
      </c>
      <c r="E1615" t="inlineStr">
        <is>
          <t>Produksi Harian</t>
        </is>
      </c>
      <c r="F1615" t="inlineStr">
        <is>
          <t>08:50:49</t>
        </is>
      </c>
      <c r="G1615" t="inlineStr">
        <is>
          <t>17:14:36</t>
        </is>
      </c>
      <c r="H1615" t="inlineStr">
        <is>
          <t>SELESAI</t>
        </is>
      </c>
      <c r="I1615" t="inlineStr">
        <is>
          <t>MK00141</t>
        </is>
      </c>
      <c r="J1615" t="inlineStr"/>
    </row>
    <row r="1616">
      <c r="A1616" t="inlineStr">
        <is>
          <t>08/07/2026</t>
        </is>
      </c>
      <c r="B1616" t="inlineStr">
        <is>
          <t>528000052</t>
        </is>
      </c>
      <c r="C1616" t="inlineStr">
        <is>
          <t>Mustopa</t>
        </is>
      </c>
      <c r="D1616" t="inlineStr">
        <is>
          <t>PROD</t>
        </is>
      </c>
      <c r="E1616" t="inlineStr">
        <is>
          <t>Produksi Harian</t>
        </is>
      </c>
      <c r="F1616" t="inlineStr">
        <is>
          <t>13:06:08</t>
        </is>
      </c>
      <c r="G1616" t="inlineStr">
        <is>
          <t>22:05:11</t>
        </is>
      </c>
      <c r="H1616" t="inlineStr">
        <is>
          <t>SELESAI</t>
        </is>
      </c>
      <c r="I1616" t="inlineStr">
        <is>
          <t>MK00108</t>
        </is>
      </c>
      <c r="J1616" t="inlineStr"/>
    </row>
    <row r="1617">
      <c r="A1617" t="inlineStr">
        <is>
          <t>08/07/2026</t>
        </is>
      </c>
      <c r="B1617" t="inlineStr">
        <is>
          <t>528000090</t>
        </is>
      </c>
      <c r="C1617" t="inlineStr">
        <is>
          <t>Suganda</t>
        </is>
      </c>
      <c r="D1617" t="inlineStr">
        <is>
          <t>PROD</t>
        </is>
      </c>
      <c r="E1617" t="inlineStr">
        <is>
          <t>Produksi Harian</t>
        </is>
      </c>
      <c r="F1617" t="inlineStr">
        <is>
          <t>05:50:51</t>
        </is>
      </c>
      <c r="G1617" t="inlineStr">
        <is>
          <t>16:11:30</t>
        </is>
      </c>
      <c r="H1617" t="inlineStr">
        <is>
          <t>SELESAI</t>
        </is>
      </c>
      <c r="I1617" t="inlineStr">
        <is>
          <t>MK00134</t>
        </is>
      </c>
      <c r="J1617" t="inlineStr"/>
    </row>
    <row r="1618">
      <c r="A1618" t="inlineStr">
        <is>
          <t>08/07/2026</t>
        </is>
      </c>
      <c r="B1618" t="inlineStr">
        <is>
          <t>528000144</t>
        </is>
      </c>
      <c r="C1618" t="inlineStr">
        <is>
          <t>Jodi Hanafi</t>
        </is>
      </c>
      <c r="D1618" t="inlineStr">
        <is>
          <t>LOG</t>
        </is>
      </c>
      <c r="E1618" t="inlineStr">
        <is>
          <t>WRM Harian</t>
        </is>
      </c>
      <c r="F1618" t="inlineStr">
        <is>
          <t>16:02:21</t>
        </is>
      </c>
      <c r="G1618" t="inlineStr"/>
      <c r="H1618" t="inlineStr">
        <is>
          <t>DI DALAM</t>
        </is>
      </c>
      <c r="I1618" t="inlineStr">
        <is>
          <t>MK00221</t>
        </is>
      </c>
      <c r="J1618" t="inlineStr"/>
    </row>
    <row r="1619">
      <c r="A1619" t="inlineStr">
        <is>
          <t>08/07/2026</t>
        </is>
      </c>
      <c r="B1619" t="inlineStr">
        <is>
          <t>528000149</t>
        </is>
      </c>
      <c r="C1619" t="inlineStr">
        <is>
          <t>Tio Fernanda</t>
        </is>
      </c>
      <c r="D1619" t="inlineStr">
        <is>
          <t>LOG</t>
        </is>
      </c>
      <c r="E1619" t="inlineStr">
        <is>
          <t>WRM Harian</t>
        </is>
      </c>
      <c r="F1619" t="inlineStr">
        <is>
          <t>15:28:33</t>
        </is>
      </c>
      <c r="G1619" t="inlineStr"/>
      <c r="H1619" t="inlineStr">
        <is>
          <t>DI DALAM</t>
        </is>
      </c>
      <c r="I1619" t="inlineStr">
        <is>
          <t>MK0130</t>
        </is>
      </c>
      <c r="J1619" t="inlineStr"/>
    </row>
    <row r="1620">
      <c r="A1620" t="inlineStr">
        <is>
          <t>08/07/2026</t>
        </is>
      </c>
      <c r="B1620" t="inlineStr">
        <is>
          <t>528000195</t>
        </is>
      </c>
      <c r="C1620" t="inlineStr">
        <is>
          <t>Rahma Sariwati</t>
        </is>
      </c>
      <c r="D1620" t="inlineStr">
        <is>
          <t>PROD</t>
        </is>
      </c>
      <c r="E1620" t="inlineStr">
        <is>
          <t>Produksi Harian</t>
        </is>
      </c>
      <c r="F1620" t="inlineStr">
        <is>
          <t>13:40:33</t>
        </is>
      </c>
      <c r="G1620" t="inlineStr"/>
      <c r="H1620" t="inlineStr">
        <is>
          <t>DI DALAM</t>
        </is>
      </c>
      <c r="I1620" t="inlineStr">
        <is>
          <t>MK00213</t>
        </is>
      </c>
      <c r="J1620" t="inlineStr"/>
    </row>
    <row r="1621">
      <c r="A1621" t="inlineStr">
        <is>
          <t>08/07/2026</t>
        </is>
      </c>
      <c r="B1621" t="inlineStr">
        <is>
          <t>528000201</t>
        </is>
      </c>
      <c r="C1621" t="inlineStr">
        <is>
          <t>Zahwa Amelia Choerunissa</t>
        </is>
      </c>
      <c r="D1621" t="inlineStr">
        <is>
          <t>PROD</t>
        </is>
      </c>
      <c r="E1621" t="inlineStr">
        <is>
          <t>Produksi Harian</t>
        </is>
      </c>
      <c r="F1621" t="inlineStr">
        <is>
          <t>05:46:20</t>
        </is>
      </c>
      <c r="G1621" t="inlineStr">
        <is>
          <t>14:06:20</t>
        </is>
      </c>
      <c r="H1621" t="inlineStr">
        <is>
          <t>SELESAI</t>
        </is>
      </c>
      <c r="I1621" t="inlineStr">
        <is>
          <t>MK00112</t>
        </is>
      </c>
      <c r="J1621" t="inlineStr"/>
    </row>
    <row r="1622">
      <c r="A1622" t="inlineStr">
        <is>
          <t>08/07/2026</t>
        </is>
      </c>
      <c r="B1622" t="inlineStr">
        <is>
          <t>528000203</t>
        </is>
      </c>
      <c r="C1622" t="inlineStr">
        <is>
          <t>Yudha Ramdhan Putra</t>
        </is>
      </c>
      <c r="D1622" t="inlineStr">
        <is>
          <t>ENG</t>
        </is>
      </c>
      <c r="E1622" t="inlineStr">
        <is>
          <t>Engineering Harian</t>
        </is>
      </c>
      <c r="F1622" t="inlineStr">
        <is>
          <t>16:04:46</t>
        </is>
      </c>
      <c r="G1622" t="inlineStr"/>
      <c r="H1622" t="inlineStr">
        <is>
          <t>DI DALAM</t>
        </is>
      </c>
      <c r="I1622" t="inlineStr">
        <is>
          <t>MK00136</t>
        </is>
      </c>
      <c r="J1622" t="inlineStr"/>
    </row>
    <row r="1623">
      <c r="A1623" t="inlineStr">
        <is>
          <t>08/07/2026</t>
        </is>
      </c>
      <c r="B1623" t="inlineStr">
        <is>
          <t>528000212</t>
        </is>
      </c>
      <c r="C1623" t="inlineStr">
        <is>
          <t>Rizal Fauzi</t>
        </is>
      </c>
      <c r="D1623" t="inlineStr">
        <is>
          <t>PROD</t>
        </is>
      </c>
      <c r="E1623" t="inlineStr">
        <is>
          <t>Produksi Harian</t>
        </is>
      </c>
      <c r="F1623" t="inlineStr">
        <is>
          <t>05:58:44</t>
        </is>
      </c>
      <c r="G1623" t="inlineStr"/>
      <c r="H1623" t="inlineStr">
        <is>
          <t>DI DALAM</t>
        </is>
      </c>
      <c r="I1623" t="inlineStr">
        <is>
          <t>MK00186</t>
        </is>
      </c>
      <c r="J1623" t="inlineStr"/>
    </row>
    <row r="1624">
      <c r="A1624" t="inlineStr">
        <is>
          <t>08/07/2026</t>
        </is>
      </c>
      <c r="B1624" t="inlineStr">
        <is>
          <t>528000228</t>
        </is>
      </c>
      <c r="C1624" t="inlineStr">
        <is>
          <t>Banyu Resmi Putri</t>
        </is>
      </c>
      <c r="D1624" t="inlineStr">
        <is>
          <t>PROD</t>
        </is>
      </c>
      <c r="E1624" t="inlineStr">
        <is>
          <t>Produksi Harian</t>
        </is>
      </c>
      <c r="F1624" t="inlineStr">
        <is>
          <t>05:53:54</t>
        </is>
      </c>
      <c r="G1624" t="inlineStr">
        <is>
          <t>14:07:30</t>
        </is>
      </c>
      <c r="H1624" t="inlineStr">
        <is>
          <t>SELESAI</t>
        </is>
      </c>
      <c r="I1624" t="inlineStr">
        <is>
          <t>MK00249</t>
        </is>
      </c>
      <c r="J1624" t="inlineStr"/>
    </row>
    <row r="1625">
      <c r="A1625" t="inlineStr">
        <is>
          <t>08/07/2026</t>
        </is>
      </c>
      <c r="B1625" t="inlineStr">
        <is>
          <t>528000232</t>
        </is>
      </c>
      <c r="C1625" t="inlineStr">
        <is>
          <t>Agung Aji Suhada</t>
        </is>
      </c>
      <c r="D1625" t="inlineStr">
        <is>
          <t>LOG</t>
        </is>
      </c>
      <c r="E1625" t="inlineStr">
        <is>
          <t>WRM Harian</t>
        </is>
      </c>
      <c r="F1625" t="inlineStr">
        <is>
          <t>08:47:23</t>
        </is>
      </c>
      <c r="G1625" t="inlineStr">
        <is>
          <t>17:04:14</t>
        </is>
      </c>
      <c r="H1625" t="inlineStr">
        <is>
          <t>SELESAI</t>
        </is>
      </c>
      <c r="I1625" t="inlineStr">
        <is>
          <t>MK00150</t>
        </is>
      </c>
      <c r="J1625" t="inlineStr"/>
    </row>
    <row r="1626">
      <c r="A1626" t="inlineStr">
        <is>
          <t>08/07/2026</t>
        </is>
      </c>
      <c r="B1626" t="inlineStr">
        <is>
          <t>528000241</t>
        </is>
      </c>
      <c r="C1626" t="inlineStr">
        <is>
          <t>Balia Nurafif Bilah</t>
        </is>
      </c>
      <c r="D1626" t="inlineStr">
        <is>
          <t>PROD</t>
        </is>
      </c>
      <c r="E1626" t="inlineStr">
        <is>
          <t>Produksi Harian</t>
        </is>
      </c>
      <c r="F1626" t="inlineStr">
        <is>
          <t>05:52:02</t>
        </is>
      </c>
      <c r="G1626" t="inlineStr">
        <is>
          <t>14:03:19</t>
        </is>
      </c>
      <c r="H1626" t="inlineStr">
        <is>
          <t>SELESAI</t>
        </is>
      </c>
      <c r="I1626" t="inlineStr">
        <is>
          <t>MK00250</t>
        </is>
      </c>
      <c r="J1626" t="inlineStr"/>
    </row>
    <row r="1627">
      <c r="A1627" t="inlineStr">
        <is>
          <t>08/07/2026</t>
        </is>
      </c>
      <c r="B1627" t="inlineStr">
        <is>
          <t>528000261</t>
        </is>
      </c>
      <c r="C1627" t="inlineStr">
        <is>
          <t>Ergi Ergianto</t>
        </is>
      </c>
      <c r="D1627" t="inlineStr">
        <is>
          <t>HRGA</t>
        </is>
      </c>
      <c r="E1627" t="inlineStr">
        <is>
          <t>GA Harian</t>
        </is>
      </c>
      <c r="F1627" t="inlineStr">
        <is>
          <t>13:48:15</t>
        </is>
      </c>
      <c r="G1627" t="inlineStr">
        <is>
          <t>22:06:05</t>
        </is>
      </c>
      <c r="H1627" t="inlineStr">
        <is>
          <t>SELESAI</t>
        </is>
      </c>
      <c r="I1627" t="inlineStr">
        <is>
          <t>MK00210</t>
        </is>
      </c>
      <c r="J1627" t="inlineStr"/>
    </row>
    <row r="1628">
      <c r="A1628" t="inlineStr">
        <is>
          <t>08/07/2026</t>
        </is>
      </c>
      <c r="B1628" t="inlineStr">
        <is>
          <t>528000262</t>
        </is>
      </c>
      <c r="C1628" t="inlineStr">
        <is>
          <t>Ndari Dwiwanti</t>
        </is>
      </c>
      <c r="D1628" t="inlineStr">
        <is>
          <t>PROD</t>
        </is>
      </c>
      <c r="E1628" t="inlineStr">
        <is>
          <t>Produksi Harian</t>
        </is>
      </c>
      <c r="F1628" t="inlineStr">
        <is>
          <t>13:34:51</t>
        </is>
      </c>
      <c r="G1628" t="inlineStr"/>
      <c r="H1628" t="inlineStr">
        <is>
          <t>DI DALAM</t>
        </is>
      </c>
      <c r="I1628" t="inlineStr">
        <is>
          <t>MK00209</t>
        </is>
      </c>
      <c r="J1628" t="inlineStr"/>
    </row>
    <row r="1629">
      <c r="A1629" t="inlineStr">
        <is>
          <t>08/07/2026</t>
        </is>
      </c>
      <c r="B1629" t="inlineStr">
        <is>
          <t>528000265</t>
        </is>
      </c>
      <c r="C1629" t="inlineStr">
        <is>
          <t>Muhammad Haerul Rozikin</t>
        </is>
      </c>
      <c r="D1629" t="inlineStr">
        <is>
          <t>LOG</t>
        </is>
      </c>
      <c r="E1629" t="inlineStr">
        <is>
          <t>WRM Harian</t>
        </is>
      </c>
      <c r="F1629" t="inlineStr">
        <is>
          <t>07:46:32</t>
        </is>
      </c>
      <c r="G1629" t="inlineStr">
        <is>
          <t>16:02:16</t>
        </is>
      </c>
      <c r="H1629" t="inlineStr">
        <is>
          <t>SELESAI</t>
        </is>
      </c>
      <c r="I1629" t="inlineStr">
        <is>
          <t>MK00138</t>
        </is>
      </c>
      <c r="J1629" t="inlineStr"/>
    </row>
    <row r="1630">
      <c r="A1630" t="inlineStr">
        <is>
          <t>08/07/2026</t>
        </is>
      </c>
      <c r="B1630" t="inlineStr">
        <is>
          <t>528000273</t>
        </is>
      </c>
      <c r="C1630" t="inlineStr">
        <is>
          <t>Asep Mulyana</t>
        </is>
      </c>
      <c r="D1630" t="inlineStr">
        <is>
          <t>PROD</t>
        </is>
      </c>
      <c r="E1630" t="inlineStr">
        <is>
          <t>Produksi Harian</t>
        </is>
      </c>
      <c r="F1630" t="inlineStr">
        <is>
          <t>05:55:12</t>
        </is>
      </c>
      <c r="G1630" t="inlineStr">
        <is>
          <t>14:00:54</t>
        </is>
      </c>
      <c r="H1630" t="inlineStr">
        <is>
          <t>SELESAI</t>
        </is>
      </c>
      <c r="I1630" t="inlineStr">
        <is>
          <t>MK00082</t>
        </is>
      </c>
      <c r="J1630" t="inlineStr"/>
    </row>
    <row r="1631">
      <c r="A1631" t="inlineStr">
        <is>
          <t>08/07/2026</t>
        </is>
      </c>
      <c r="B1631" t="inlineStr">
        <is>
          <t>528000274</t>
        </is>
      </c>
      <c r="C1631" t="inlineStr">
        <is>
          <t>Zepri</t>
        </is>
      </c>
      <c r="D1631" t="inlineStr">
        <is>
          <t>PROD</t>
        </is>
      </c>
      <c r="E1631" t="inlineStr">
        <is>
          <t>Produksi Harian</t>
        </is>
      </c>
      <c r="F1631" t="inlineStr">
        <is>
          <t>05:59:14</t>
        </is>
      </c>
      <c r="G1631" t="inlineStr">
        <is>
          <t>14:20:27</t>
        </is>
      </c>
      <c r="H1631" t="inlineStr">
        <is>
          <t>SELESAI</t>
        </is>
      </c>
      <c r="I1631" t="inlineStr">
        <is>
          <t>MK00217</t>
        </is>
      </c>
      <c r="J1631" t="inlineStr"/>
    </row>
    <row r="1632">
      <c r="A1632" t="inlineStr">
        <is>
          <t>08/07/2026</t>
        </is>
      </c>
      <c r="B1632" t="inlineStr">
        <is>
          <t>528000282</t>
        </is>
      </c>
      <c r="C1632" t="inlineStr">
        <is>
          <t>Defa Desfiana</t>
        </is>
      </c>
      <c r="D1632" t="inlineStr">
        <is>
          <t>PROD</t>
        </is>
      </c>
      <c r="E1632" t="inlineStr">
        <is>
          <t>Produksi Harian</t>
        </is>
      </c>
      <c r="F1632" t="inlineStr">
        <is>
          <t>07:45:28</t>
        </is>
      </c>
      <c r="G1632" t="inlineStr">
        <is>
          <t>16:06:43</t>
        </is>
      </c>
      <c r="H1632" t="inlineStr">
        <is>
          <t>SELESAI</t>
        </is>
      </c>
      <c r="I1632" t="inlineStr">
        <is>
          <t>MK00160</t>
        </is>
      </c>
      <c r="J1632" t="inlineStr">
        <is>
          <t>5a</t>
        </is>
      </c>
    </row>
    <row r="1633">
      <c r="A1633" t="inlineStr">
        <is>
          <t>08/07/2026</t>
        </is>
      </c>
      <c r="B1633" t="inlineStr">
        <is>
          <t>528000283</t>
        </is>
      </c>
      <c r="C1633" t="inlineStr">
        <is>
          <t>Purwanda Sugiri</t>
        </is>
      </c>
      <c r="D1633" t="inlineStr">
        <is>
          <t>LOG</t>
        </is>
      </c>
      <c r="E1633" t="inlineStr">
        <is>
          <t>WRM Harian</t>
        </is>
      </c>
      <c r="F1633" t="inlineStr">
        <is>
          <t>13:46:35</t>
        </is>
      </c>
      <c r="G1633" t="inlineStr">
        <is>
          <t>22:02:38</t>
        </is>
      </c>
      <c r="H1633" t="inlineStr">
        <is>
          <t>SELESAI</t>
        </is>
      </c>
      <c r="I1633" t="inlineStr">
        <is>
          <t>MK00230</t>
        </is>
      </c>
      <c r="J1633" t="inlineStr"/>
    </row>
    <row r="1634">
      <c r="A1634" t="inlineStr">
        <is>
          <t>08/07/2026</t>
        </is>
      </c>
      <c r="B1634" t="inlineStr">
        <is>
          <t>528000286</t>
        </is>
      </c>
      <c r="C1634" t="inlineStr">
        <is>
          <t>Imelda Amelia</t>
        </is>
      </c>
      <c r="D1634" t="inlineStr">
        <is>
          <t>PROD</t>
        </is>
      </c>
      <c r="E1634" t="inlineStr">
        <is>
          <t>Produksi Harian</t>
        </is>
      </c>
      <c r="F1634" t="inlineStr">
        <is>
          <t>05:41:00</t>
        </is>
      </c>
      <c r="G1634" t="inlineStr">
        <is>
          <t>14:08:10</t>
        </is>
      </c>
      <c r="H1634" t="inlineStr">
        <is>
          <t>SELESAI</t>
        </is>
      </c>
      <c r="I1634" t="inlineStr">
        <is>
          <t>MK00203</t>
        </is>
      </c>
      <c r="J1634" t="inlineStr"/>
    </row>
    <row r="1635">
      <c r="A1635" t="inlineStr">
        <is>
          <t>08/07/2026</t>
        </is>
      </c>
      <c r="B1635" t="inlineStr">
        <is>
          <t>528000289</t>
        </is>
      </c>
      <c r="C1635" t="inlineStr">
        <is>
          <t>Adit Supriyadi</t>
        </is>
      </c>
      <c r="D1635" t="inlineStr">
        <is>
          <t>PROD</t>
        </is>
      </c>
      <c r="E1635" t="inlineStr">
        <is>
          <t>Produksi Harian</t>
        </is>
      </c>
      <c r="F1635" t="inlineStr">
        <is>
          <t>05:34:46</t>
        </is>
      </c>
      <c r="G1635" t="inlineStr">
        <is>
          <t>16:10:46</t>
        </is>
      </c>
      <c r="H1635" t="inlineStr">
        <is>
          <t>SELESAI</t>
        </is>
      </c>
      <c r="I1635" t="inlineStr">
        <is>
          <t>MK00121</t>
        </is>
      </c>
      <c r="J1635" t="inlineStr"/>
    </row>
    <row r="1636">
      <c r="A1636" t="inlineStr">
        <is>
          <t>08/07/2026</t>
        </is>
      </c>
      <c r="B1636" t="inlineStr">
        <is>
          <t>528000290</t>
        </is>
      </c>
      <c r="C1636" t="inlineStr">
        <is>
          <t>Eval Pranata</t>
        </is>
      </c>
      <c r="D1636" t="inlineStr">
        <is>
          <t>PROD</t>
        </is>
      </c>
      <c r="E1636" t="inlineStr">
        <is>
          <t>Produksi Harian</t>
        </is>
      </c>
      <c r="F1636" t="inlineStr">
        <is>
          <t>05:57:58</t>
        </is>
      </c>
      <c r="G1636" t="inlineStr">
        <is>
          <t>14:03:13</t>
        </is>
      </c>
      <c r="H1636" t="inlineStr">
        <is>
          <t>SELESAI</t>
        </is>
      </c>
      <c r="I1636" t="inlineStr">
        <is>
          <t>MK00109</t>
        </is>
      </c>
      <c r="J1636" t="inlineStr"/>
    </row>
    <row r="1637">
      <c r="A1637" t="inlineStr">
        <is>
          <t>08/07/2026</t>
        </is>
      </c>
      <c r="B1637" t="inlineStr">
        <is>
          <t>528000291</t>
        </is>
      </c>
      <c r="C1637" t="inlineStr">
        <is>
          <t>Andrian</t>
        </is>
      </c>
      <c r="D1637" t="inlineStr">
        <is>
          <t>PROD</t>
        </is>
      </c>
      <c r="E1637" t="inlineStr">
        <is>
          <t>Produksi Harian</t>
        </is>
      </c>
      <c r="F1637" t="inlineStr">
        <is>
          <t>13:43:59</t>
        </is>
      </c>
      <c r="G1637" t="inlineStr">
        <is>
          <t>22:04:15</t>
        </is>
      </c>
      <c r="H1637" t="inlineStr">
        <is>
          <t>SELESAI</t>
        </is>
      </c>
      <c r="I1637" t="inlineStr">
        <is>
          <t>MK00192</t>
        </is>
      </c>
      <c r="J1637" t="inlineStr"/>
    </row>
    <row r="1638">
      <c r="A1638" t="inlineStr">
        <is>
          <t>08/07/2026</t>
        </is>
      </c>
      <c r="B1638" t="inlineStr">
        <is>
          <t>528000310</t>
        </is>
      </c>
      <c r="C1638" t="inlineStr">
        <is>
          <t>Fachrul Rozzi Suryana</t>
        </is>
      </c>
      <c r="D1638" t="inlineStr">
        <is>
          <t>LOG</t>
        </is>
      </c>
      <c r="E1638" t="inlineStr">
        <is>
          <t>WRM Harian</t>
        </is>
      </c>
      <c r="F1638" t="inlineStr">
        <is>
          <t>08:00:00</t>
        </is>
      </c>
      <c r="G1638" t="inlineStr">
        <is>
          <t>16:01:17</t>
        </is>
      </c>
      <c r="H1638" t="inlineStr">
        <is>
          <t>SELESAI</t>
        </is>
      </c>
      <c r="I1638" t="inlineStr">
        <is>
          <t>MK00208</t>
        </is>
      </c>
      <c r="J1638" t="inlineStr">
        <is>
          <t>23F</t>
        </is>
      </c>
    </row>
    <row r="1639">
      <c r="A1639" t="inlineStr">
        <is>
          <t>08/07/2026</t>
        </is>
      </c>
      <c r="B1639" t="inlineStr">
        <is>
          <t>528000314</t>
        </is>
      </c>
      <c r="C1639" t="inlineStr">
        <is>
          <t>Rusmana</t>
        </is>
      </c>
      <c r="D1639" t="inlineStr">
        <is>
          <t>PROD</t>
        </is>
      </c>
      <c r="E1639" t="inlineStr">
        <is>
          <t>Produksi Harian</t>
        </is>
      </c>
      <c r="F1639" t="inlineStr">
        <is>
          <t>13:46:05</t>
        </is>
      </c>
      <c r="G1639" t="inlineStr">
        <is>
          <t>22:30:22</t>
        </is>
      </c>
      <c r="H1639" t="inlineStr">
        <is>
          <t>SELESAI</t>
        </is>
      </c>
      <c r="I1639" t="inlineStr">
        <is>
          <t>MK00125</t>
        </is>
      </c>
      <c r="J1639" t="inlineStr"/>
    </row>
    <row r="1640">
      <c r="A1640" t="inlineStr">
        <is>
          <t>08/07/2026</t>
        </is>
      </c>
      <c r="B1640" t="inlineStr">
        <is>
          <t>528000335</t>
        </is>
      </c>
      <c r="C1640" t="inlineStr">
        <is>
          <t>Rizal Saepuloh</t>
        </is>
      </c>
      <c r="D1640" t="inlineStr">
        <is>
          <t>LOG</t>
        </is>
      </c>
      <c r="E1640" t="inlineStr">
        <is>
          <t>WRM Harian</t>
        </is>
      </c>
      <c r="F1640" t="inlineStr">
        <is>
          <t>15:51:24</t>
        </is>
      </c>
      <c r="G1640" t="inlineStr"/>
      <c r="H1640" t="inlineStr">
        <is>
          <t>DI DALAM</t>
        </is>
      </c>
      <c r="I1640" t="inlineStr">
        <is>
          <t>MK00204</t>
        </is>
      </c>
      <c r="J1640" t="inlineStr"/>
    </row>
    <row r="1641">
      <c r="A1641" t="inlineStr">
        <is>
          <t>08/07/2026</t>
        </is>
      </c>
      <c r="B1641" t="inlineStr">
        <is>
          <t>528000336</t>
        </is>
      </c>
      <c r="C1641" t="inlineStr">
        <is>
          <t>Ali Nurhanafi</t>
        </is>
      </c>
      <c r="D1641" t="inlineStr">
        <is>
          <t>PROD</t>
        </is>
      </c>
      <c r="E1641" t="inlineStr">
        <is>
          <t>Produksi Harian</t>
        </is>
      </c>
      <c r="F1641" t="inlineStr">
        <is>
          <t>13:38:54</t>
        </is>
      </c>
      <c r="G1641" t="inlineStr"/>
      <c r="H1641" t="inlineStr">
        <is>
          <t>DI DALAM</t>
        </is>
      </c>
      <c r="I1641" t="inlineStr">
        <is>
          <t>MK0088</t>
        </is>
      </c>
      <c r="J1641" t="inlineStr"/>
    </row>
    <row r="1642">
      <c r="A1642" t="inlineStr">
        <is>
          <t>08/07/2026</t>
        </is>
      </c>
      <c r="B1642" t="inlineStr">
        <is>
          <t>528000339</t>
        </is>
      </c>
      <c r="C1642" t="inlineStr">
        <is>
          <t>Muhamad Ripai'i</t>
        </is>
      </c>
      <c r="D1642" t="inlineStr">
        <is>
          <t>HRGA</t>
        </is>
      </c>
      <c r="E1642" t="inlineStr">
        <is>
          <t>GA Harian</t>
        </is>
      </c>
      <c r="F1642" t="inlineStr">
        <is>
          <t>05:33:23</t>
        </is>
      </c>
      <c r="G1642" t="inlineStr"/>
      <c r="H1642" t="inlineStr">
        <is>
          <t>DI DALAM</t>
        </is>
      </c>
      <c r="I1642" t="inlineStr">
        <is>
          <t>MK00217</t>
        </is>
      </c>
      <c r="J1642" t="inlineStr"/>
    </row>
    <row r="1643">
      <c r="A1643" t="inlineStr">
        <is>
          <t>08/07/2026</t>
        </is>
      </c>
      <c r="B1643" t="inlineStr">
        <is>
          <t>528000348</t>
        </is>
      </c>
      <c r="C1643" t="inlineStr">
        <is>
          <t>Saepuloh Ardiansah</t>
        </is>
      </c>
      <c r="D1643" t="inlineStr">
        <is>
          <t>LOG</t>
        </is>
      </c>
      <c r="E1643" t="inlineStr">
        <is>
          <t>WRM Harian</t>
        </is>
      </c>
      <c r="F1643" t="inlineStr">
        <is>
          <t>08:54:26</t>
        </is>
      </c>
      <c r="G1643" t="inlineStr">
        <is>
          <t>17:04:55</t>
        </is>
      </c>
      <c r="H1643" t="inlineStr">
        <is>
          <t>SELESAI</t>
        </is>
      </c>
      <c r="I1643" t="inlineStr">
        <is>
          <t>MK00205</t>
        </is>
      </c>
      <c r="J1643" t="inlineStr"/>
    </row>
    <row r="1644">
      <c r="A1644" t="inlineStr">
        <is>
          <t>08/07/2026</t>
        </is>
      </c>
      <c r="B1644" t="inlineStr">
        <is>
          <t>528000349</t>
        </is>
      </c>
      <c r="C1644" t="inlineStr">
        <is>
          <t>Anas Abdul Fatah</t>
        </is>
      </c>
      <c r="D1644" t="inlineStr">
        <is>
          <t>LOG</t>
        </is>
      </c>
      <c r="E1644" t="inlineStr">
        <is>
          <t>WFG Harian</t>
        </is>
      </c>
      <c r="F1644" t="inlineStr">
        <is>
          <t>09:33:10</t>
        </is>
      </c>
      <c r="G1644" t="inlineStr">
        <is>
          <t>18:12:27</t>
        </is>
      </c>
      <c r="H1644" t="inlineStr">
        <is>
          <t>SELESAI</t>
        </is>
      </c>
      <c r="I1644" t="inlineStr">
        <is>
          <t>MK00220</t>
        </is>
      </c>
      <c r="J1644" t="inlineStr"/>
    </row>
    <row r="1645">
      <c r="A1645" t="inlineStr">
        <is>
          <t>08/07/2026</t>
        </is>
      </c>
      <c r="B1645" t="inlineStr">
        <is>
          <t>528000358</t>
        </is>
      </c>
      <c r="C1645" t="inlineStr">
        <is>
          <t>Lulu Agustin</t>
        </is>
      </c>
      <c r="D1645" t="inlineStr">
        <is>
          <t>PROD</t>
        </is>
      </c>
      <c r="E1645" t="inlineStr">
        <is>
          <t>Produksi Harian</t>
        </is>
      </c>
      <c r="F1645" t="inlineStr">
        <is>
          <t>13:38:21</t>
        </is>
      </c>
      <c r="G1645" t="inlineStr"/>
      <c r="H1645" t="inlineStr">
        <is>
          <t>DI DALAM</t>
        </is>
      </c>
      <c r="I1645" t="inlineStr">
        <is>
          <t>MK00143</t>
        </is>
      </c>
      <c r="J1645" t="inlineStr"/>
    </row>
    <row r="1646">
      <c r="A1646" t="inlineStr">
        <is>
          <t>08/07/2026</t>
        </is>
      </c>
      <c r="B1646" t="inlineStr">
        <is>
          <t>528000359</t>
        </is>
      </c>
      <c r="C1646" t="inlineStr">
        <is>
          <t>M. Iqbal Maulana. S</t>
        </is>
      </c>
      <c r="D1646" t="inlineStr">
        <is>
          <t>LOG</t>
        </is>
      </c>
      <c r="E1646" t="inlineStr">
        <is>
          <t>WRM Harian</t>
        </is>
      </c>
      <c r="F1646" t="inlineStr">
        <is>
          <t>06:00:52</t>
        </is>
      </c>
      <c r="G1646" t="inlineStr">
        <is>
          <t>14:03:34</t>
        </is>
      </c>
      <c r="H1646" t="inlineStr">
        <is>
          <t>SELESAI</t>
        </is>
      </c>
      <c r="I1646" t="inlineStr">
        <is>
          <t>MK00184</t>
        </is>
      </c>
      <c r="J1646" t="inlineStr"/>
    </row>
    <row r="1647">
      <c r="A1647" t="inlineStr">
        <is>
          <t>08/07/2026</t>
        </is>
      </c>
      <c r="B1647" t="inlineStr">
        <is>
          <t>528000360</t>
        </is>
      </c>
      <c r="C1647" t="inlineStr">
        <is>
          <t>Hendra Permana</t>
        </is>
      </c>
      <c r="D1647" t="inlineStr">
        <is>
          <t>ENG</t>
        </is>
      </c>
      <c r="E1647" t="inlineStr">
        <is>
          <t>Engineering Harian</t>
        </is>
      </c>
      <c r="F1647" t="inlineStr">
        <is>
          <t>13:54:57</t>
        </is>
      </c>
      <c r="G1647" t="inlineStr">
        <is>
          <t>22:03:45</t>
        </is>
      </c>
      <c r="H1647" t="inlineStr">
        <is>
          <t>SELESAI</t>
        </is>
      </c>
      <c r="I1647" t="inlineStr">
        <is>
          <t>MK00235</t>
        </is>
      </c>
      <c r="J1647" t="inlineStr"/>
    </row>
    <row r="1648">
      <c r="A1648" t="inlineStr">
        <is>
          <t>08/07/2026</t>
        </is>
      </c>
      <c r="B1648" t="inlineStr">
        <is>
          <t>628000078</t>
        </is>
      </c>
      <c r="C1648" t="inlineStr">
        <is>
          <t>Sudiro</t>
        </is>
      </c>
      <c r="D1648" t="inlineStr">
        <is>
          <t>LOG</t>
        </is>
      </c>
      <c r="E1648" t="inlineStr">
        <is>
          <t>WFG Borongan</t>
        </is>
      </c>
      <c r="F1648" t="inlineStr">
        <is>
          <t>17:13:42</t>
        </is>
      </c>
      <c r="G1648" t="inlineStr"/>
      <c r="H1648" t="inlineStr">
        <is>
          <t>DI DALAM</t>
        </is>
      </c>
      <c r="I1648" t="inlineStr">
        <is>
          <t>MK00207</t>
        </is>
      </c>
      <c r="J1648" t="inlineStr"/>
    </row>
    <row r="1649">
      <c r="A1649" t="inlineStr">
        <is>
          <t>11/07/2026</t>
        </is>
      </c>
      <c r="B1649" t="inlineStr">
        <is>
          <t>528000015</t>
        </is>
      </c>
      <c r="C1649" t="inlineStr">
        <is>
          <t>Erwin</t>
        </is>
      </c>
      <c r="D1649" t="inlineStr">
        <is>
          <t>LOG</t>
        </is>
      </c>
      <c r="E1649" t="inlineStr">
        <is>
          <t>WRM Harian</t>
        </is>
      </c>
      <c r="F1649" t="inlineStr"/>
      <c r="G1649" t="inlineStr">
        <is>
          <t>07:54:02</t>
        </is>
      </c>
      <c r="H1649" t="inlineStr">
        <is>
          <t>KELUAR TANPA MASUK</t>
        </is>
      </c>
      <c r="I1649" t="inlineStr">
        <is>
          <t>MK00214</t>
        </is>
      </c>
      <c r="J1649" t="inlineStr"/>
    </row>
    <row r="1650">
      <c r="A1650" t="inlineStr">
        <is>
          <t>11/07/2026</t>
        </is>
      </c>
      <c r="B1650" t="inlineStr">
        <is>
          <t>528000052</t>
        </is>
      </c>
      <c r="C1650" t="inlineStr">
        <is>
          <t>Mustopa</t>
        </is>
      </c>
      <c r="D1650" t="inlineStr">
        <is>
          <t>PROD</t>
        </is>
      </c>
      <c r="E1650" t="inlineStr">
        <is>
          <t>Produksi Harian</t>
        </is>
      </c>
      <c r="F1650" t="inlineStr">
        <is>
          <t>21:11:41</t>
        </is>
      </c>
      <c r="G1650" t="inlineStr">
        <is>
          <t>06:03:09</t>
        </is>
      </c>
      <c r="H1650" t="inlineStr">
        <is>
          <t>SELESAI</t>
        </is>
      </c>
      <c r="I1650" t="inlineStr">
        <is>
          <t>MK00212</t>
        </is>
      </c>
      <c r="J1650" t="inlineStr"/>
    </row>
    <row r="1651">
      <c r="A1651" t="inlineStr">
        <is>
          <t>11/07/2026</t>
        </is>
      </c>
      <c r="B1651" t="inlineStr">
        <is>
          <t>528000144</t>
        </is>
      </c>
      <c r="C1651" t="inlineStr">
        <is>
          <t>Jodi Hanafi</t>
        </is>
      </c>
      <c r="D1651" t="inlineStr">
        <is>
          <t>LOG</t>
        </is>
      </c>
      <c r="E1651" t="inlineStr">
        <is>
          <t>WRM Harian</t>
        </is>
      </c>
      <c r="F1651" t="inlineStr"/>
      <c r="G1651" t="inlineStr">
        <is>
          <t>07:57:55</t>
        </is>
      </c>
      <c r="H1651" t="inlineStr">
        <is>
          <t>KELUAR TANPA MASUK</t>
        </is>
      </c>
      <c r="I1651" t="inlineStr">
        <is>
          <t>MK00221</t>
        </is>
      </c>
      <c r="J1651" t="inlineStr"/>
    </row>
    <row r="1652">
      <c r="A1652" t="inlineStr">
        <is>
          <t>11/07/2026</t>
        </is>
      </c>
      <c r="B1652" t="inlineStr">
        <is>
          <t>528000195</t>
        </is>
      </c>
      <c r="C1652" t="inlineStr">
        <is>
          <t>Rahma Sariwati</t>
        </is>
      </c>
      <c r="D1652" t="inlineStr">
        <is>
          <t>PROD</t>
        </is>
      </c>
      <c r="E1652" t="inlineStr">
        <is>
          <t>Produksi Harian</t>
        </is>
      </c>
      <c r="F1652" t="inlineStr">
        <is>
          <t>21:37:16</t>
        </is>
      </c>
      <c r="G1652" t="inlineStr"/>
      <c r="H1652" t="inlineStr">
        <is>
          <t>DI DALAM</t>
        </is>
      </c>
      <c r="I1652" t="inlineStr">
        <is>
          <t>MK00088</t>
        </is>
      </c>
      <c r="J1652" t="inlineStr"/>
    </row>
    <row r="1653">
      <c r="A1653" t="inlineStr">
        <is>
          <t>11/07/2026</t>
        </is>
      </c>
      <c r="B1653" t="inlineStr">
        <is>
          <t>528000261</t>
        </is>
      </c>
      <c r="C1653" t="inlineStr">
        <is>
          <t>Ergi Ergianto</t>
        </is>
      </c>
      <c r="D1653" t="inlineStr">
        <is>
          <t>HRGA</t>
        </is>
      </c>
      <c r="E1653" t="inlineStr">
        <is>
          <t>GA Harian</t>
        </is>
      </c>
      <c r="F1653" t="inlineStr">
        <is>
          <t>21:45:51</t>
        </is>
      </c>
      <c r="G1653" t="inlineStr">
        <is>
          <t>06:02:53</t>
        </is>
      </c>
      <c r="H1653" t="inlineStr">
        <is>
          <t>SELESAI</t>
        </is>
      </c>
      <c r="I1653" t="inlineStr">
        <is>
          <t>MK00145</t>
        </is>
      </c>
      <c r="J1653" t="inlineStr"/>
    </row>
    <row r="1654">
      <c r="A1654" t="inlineStr">
        <is>
          <t>11/07/2026</t>
        </is>
      </c>
      <c r="B1654" t="inlineStr">
        <is>
          <t>528000262</t>
        </is>
      </c>
      <c r="C1654" t="inlineStr">
        <is>
          <t>Ndari Dwiwanti</t>
        </is>
      </c>
      <c r="D1654" t="inlineStr">
        <is>
          <t>PROD</t>
        </is>
      </c>
      <c r="E1654" t="inlineStr">
        <is>
          <t>Produksi Harian</t>
        </is>
      </c>
      <c r="F1654" t="inlineStr">
        <is>
          <t>21:40:17</t>
        </is>
      </c>
      <c r="G1654" t="inlineStr"/>
      <c r="H1654" t="inlineStr">
        <is>
          <t>DI DALAM</t>
        </is>
      </c>
      <c r="I1654" t="inlineStr">
        <is>
          <t>MK00156</t>
        </is>
      </c>
      <c r="J1654" t="inlineStr"/>
    </row>
    <row r="1655">
      <c r="A1655" t="inlineStr">
        <is>
          <t>11/07/2026</t>
        </is>
      </c>
      <c r="B1655" t="inlineStr">
        <is>
          <t>528000266</t>
        </is>
      </c>
      <c r="C1655" t="inlineStr">
        <is>
          <t>M. Syirajatieq</t>
        </is>
      </c>
      <c r="D1655" t="inlineStr">
        <is>
          <t>LOG</t>
        </is>
      </c>
      <c r="E1655" t="inlineStr">
        <is>
          <t>WFG Harian</t>
        </is>
      </c>
      <c r="F1655" t="inlineStr">
        <is>
          <t>21:42:44</t>
        </is>
      </c>
      <c r="G1655" t="inlineStr">
        <is>
          <t>06:18:05</t>
        </is>
      </c>
      <c r="H1655" t="inlineStr">
        <is>
          <t>SELESAI</t>
        </is>
      </c>
      <c r="I1655" t="inlineStr">
        <is>
          <t>MK00108</t>
        </is>
      </c>
      <c r="J1655" t="inlineStr"/>
    </row>
    <row r="1656">
      <c r="A1656" t="inlineStr">
        <is>
          <t>11/07/2026</t>
        </is>
      </c>
      <c r="B1656" t="inlineStr">
        <is>
          <t>528000283</t>
        </is>
      </c>
      <c r="C1656" t="inlineStr">
        <is>
          <t>Purwanda Sugiri</t>
        </is>
      </c>
      <c r="D1656" t="inlineStr">
        <is>
          <t>LOG</t>
        </is>
      </c>
      <c r="E1656" t="inlineStr">
        <is>
          <t>WRM Harian</t>
        </is>
      </c>
      <c r="F1656" t="inlineStr">
        <is>
          <t>21:55:14</t>
        </is>
      </c>
      <c r="G1656" t="inlineStr">
        <is>
          <t>06:02:20</t>
        </is>
      </c>
      <c r="H1656" t="inlineStr">
        <is>
          <t>SELESAI</t>
        </is>
      </c>
      <c r="I1656" t="inlineStr">
        <is>
          <t>MK00085</t>
        </is>
      </c>
      <c r="J1656" t="inlineStr"/>
    </row>
    <row r="1657">
      <c r="A1657" t="inlineStr">
        <is>
          <t>11/07/2026</t>
        </is>
      </c>
      <c r="B1657" t="inlineStr">
        <is>
          <t>528000288</t>
        </is>
      </c>
      <c r="C1657" t="inlineStr">
        <is>
          <t>Dede gunawan</t>
        </is>
      </c>
      <c r="D1657" t="inlineStr">
        <is>
          <t>PROD</t>
        </is>
      </c>
      <c r="E1657" t="inlineStr">
        <is>
          <t>Produksi Harian</t>
        </is>
      </c>
      <c r="F1657" t="inlineStr"/>
      <c r="G1657" t="inlineStr">
        <is>
          <t>05:51:10</t>
        </is>
      </c>
      <c r="H1657" t="inlineStr">
        <is>
          <t>KELUAR TANPA MASUK</t>
        </is>
      </c>
      <c r="I1657" t="inlineStr">
        <is>
          <t>MK00095</t>
        </is>
      </c>
      <c r="J1657" t="inlineStr"/>
    </row>
    <row r="1658">
      <c r="A1658" t="inlineStr">
        <is>
          <t>11/07/2026</t>
        </is>
      </c>
      <c r="B1658" t="inlineStr">
        <is>
          <t>528000291</t>
        </is>
      </c>
      <c r="C1658" t="inlineStr">
        <is>
          <t>Andrian</t>
        </is>
      </c>
      <c r="D1658" t="inlineStr">
        <is>
          <t>PROD</t>
        </is>
      </c>
      <c r="E1658" t="inlineStr">
        <is>
          <t>Produksi Harian</t>
        </is>
      </c>
      <c r="F1658" t="inlineStr">
        <is>
          <t>21:55:15</t>
        </is>
      </c>
      <c r="G1658" t="inlineStr">
        <is>
          <t>06:02:57</t>
        </is>
      </c>
      <c r="H1658" t="inlineStr">
        <is>
          <t>SELESAI</t>
        </is>
      </c>
      <c r="I1658" t="inlineStr">
        <is>
          <t>MK00093</t>
        </is>
      </c>
      <c r="J1658" t="inlineStr"/>
    </row>
    <row r="1659">
      <c r="A1659" t="inlineStr">
        <is>
          <t>11/07/2026</t>
        </is>
      </c>
      <c r="B1659" t="inlineStr">
        <is>
          <t>528000306</t>
        </is>
      </c>
      <c r="C1659" t="inlineStr">
        <is>
          <t>Windy Olivia</t>
        </is>
      </c>
      <c r="D1659" t="inlineStr">
        <is>
          <t>PROD</t>
        </is>
      </c>
      <c r="E1659" t="inlineStr">
        <is>
          <t>Produksi Harian</t>
        </is>
      </c>
      <c r="F1659" t="inlineStr"/>
      <c r="G1659" t="inlineStr">
        <is>
          <t>06:01:28</t>
        </is>
      </c>
      <c r="H1659" t="inlineStr">
        <is>
          <t>KELUAR TANPA MASUK</t>
        </is>
      </c>
      <c r="I1659" t="inlineStr">
        <is>
          <t>MK00138</t>
        </is>
      </c>
      <c r="J1659" t="inlineStr"/>
    </row>
    <row r="1660">
      <c r="A1660" t="inlineStr">
        <is>
          <t>11/07/2026</t>
        </is>
      </c>
      <c r="B1660" t="inlineStr">
        <is>
          <t>528000323</t>
        </is>
      </c>
      <c r="C1660" t="inlineStr">
        <is>
          <t>Dian Hamidah</t>
        </is>
      </c>
      <c r="D1660" t="inlineStr">
        <is>
          <t>PROD</t>
        </is>
      </c>
      <c r="E1660" t="inlineStr">
        <is>
          <t>Produksi Harian</t>
        </is>
      </c>
      <c r="F1660" t="inlineStr"/>
      <c r="G1660" t="inlineStr">
        <is>
          <t>06:05:49</t>
        </is>
      </c>
      <c r="H1660" t="inlineStr">
        <is>
          <t>KELUAR TANPA MASUK</t>
        </is>
      </c>
      <c r="I1660" t="inlineStr">
        <is>
          <t>MK00141</t>
        </is>
      </c>
      <c r="J1660" t="inlineStr"/>
    </row>
    <row r="1661">
      <c r="A1661" t="inlineStr">
        <is>
          <t>11/07/2026</t>
        </is>
      </c>
      <c r="B1661" t="inlineStr">
        <is>
          <t>528000335</t>
        </is>
      </c>
      <c r="C1661" t="inlineStr">
        <is>
          <t>Rizal Saepuloh</t>
        </is>
      </c>
      <c r="D1661" t="inlineStr">
        <is>
          <t>LOG</t>
        </is>
      </c>
      <c r="E1661" t="inlineStr">
        <is>
          <t>WRM Harian</t>
        </is>
      </c>
      <c r="F1661" t="inlineStr"/>
      <c r="G1661" t="inlineStr">
        <is>
          <t>07:53:55</t>
        </is>
      </c>
      <c r="H1661" t="inlineStr">
        <is>
          <t>KELUAR TANPA MASUK</t>
        </is>
      </c>
      <c r="I1661" t="inlineStr">
        <is>
          <t>MK00046</t>
        </is>
      </c>
      <c r="J1661" t="inlineStr"/>
    </row>
    <row r="1662">
      <c r="A1662" t="inlineStr">
        <is>
          <t>11/07/2026</t>
        </is>
      </c>
      <c r="B1662" t="inlineStr">
        <is>
          <t>528000337</t>
        </is>
      </c>
      <c r="C1662" t="inlineStr">
        <is>
          <t>Ahmad Zaldi Firdaus</t>
        </is>
      </c>
      <c r="D1662" t="inlineStr">
        <is>
          <t>PROD</t>
        </is>
      </c>
      <c r="E1662" t="inlineStr">
        <is>
          <t>Produksi Harian</t>
        </is>
      </c>
      <c r="F1662" t="inlineStr"/>
      <c r="G1662" t="inlineStr">
        <is>
          <t>06:08:55</t>
        </is>
      </c>
      <c r="H1662" t="inlineStr">
        <is>
          <t>KELUAR TANPA MASUK</t>
        </is>
      </c>
      <c r="I1662" t="inlineStr">
        <is>
          <t>MK00213</t>
        </is>
      </c>
      <c r="J1662" t="inlineStr"/>
    </row>
    <row r="1663">
      <c r="A1663" t="inlineStr">
        <is>
          <t>11/07/2026</t>
        </is>
      </c>
      <c r="B1663" t="inlineStr">
        <is>
          <t>528000351</t>
        </is>
      </c>
      <c r="C1663" t="inlineStr">
        <is>
          <t>Mulyana</t>
        </is>
      </c>
      <c r="D1663" t="inlineStr">
        <is>
          <t>PROD</t>
        </is>
      </c>
      <c r="E1663" t="inlineStr">
        <is>
          <t>Produksi Harian</t>
        </is>
      </c>
      <c r="F1663" t="inlineStr"/>
      <c r="G1663" t="inlineStr">
        <is>
          <t>07:53:32</t>
        </is>
      </c>
      <c r="H1663" t="inlineStr">
        <is>
          <t>KELUAR TANPA MASUK</t>
        </is>
      </c>
      <c r="I1663" t="inlineStr">
        <is>
          <t>MK0050</t>
        </is>
      </c>
      <c r="J1663" t="inlineStr"/>
    </row>
    <row r="1664">
      <c r="A1664" t="inlineStr">
        <is>
          <t>11/07/2026</t>
        </is>
      </c>
      <c r="B1664" t="inlineStr">
        <is>
          <t>528000358</t>
        </is>
      </c>
      <c r="C1664" t="inlineStr">
        <is>
          <t>Lulu Agustin</t>
        </is>
      </c>
      <c r="D1664" t="inlineStr">
        <is>
          <t>PROD</t>
        </is>
      </c>
      <c r="E1664" t="inlineStr">
        <is>
          <t>Produksi Harian</t>
        </is>
      </c>
      <c r="F1664" t="inlineStr">
        <is>
          <t>21:43:27</t>
        </is>
      </c>
      <c r="G1664" t="inlineStr"/>
      <c r="H1664" t="inlineStr">
        <is>
          <t>DI DALAM</t>
        </is>
      </c>
      <c r="I1664" t="inlineStr">
        <is>
          <t>MK00150</t>
        </is>
      </c>
      <c r="J1664" t="inlineStr"/>
    </row>
    <row r="1665">
      <c r="A1665" t="inlineStr">
        <is>
          <t>11/07/2026</t>
        </is>
      </c>
      <c r="B1665" t="inlineStr">
        <is>
          <t>528000360</t>
        </is>
      </c>
      <c r="C1665" t="inlineStr">
        <is>
          <t>Hendra Permana</t>
        </is>
      </c>
      <c r="D1665" t="inlineStr">
        <is>
          <t>ENG</t>
        </is>
      </c>
      <c r="E1665" t="inlineStr">
        <is>
          <t>Engineering Harian</t>
        </is>
      </c>
      <c r="F1665" t="inlineStr">
        <is>
          <t>21:28:38</t>
        </is>
      </c>
      <c r="G1665" t="inlineStr"/>
      <c r="H1665" t="inlineStr">
        <is>
          <t>DI DALAM</t>
        </is>
      </c>
      <c r="I1665" t="inlineStr">
        <is>
          <t>MK00208</t>
        </is>
      </c>
      <c r="J1665" t="inlineStr"/>
    </row>
    <row r="1666">
      <c r="A1666" t="inlineStr">
        <is>
          <t>11/07/2026</t>
        </is>
      </c>
      <c r="B1666" t="inlineStr">
        <is>
          <t>528000361</t>
        </is>
      </c>
      <c r="C1666" t="inlineStr">
        <is>
          <t>Denada Munggarani</t>
        </is>
      </c>
      <c r="D1666" t="inlineStr">
        <is>
          <t>PROD</t>
        </is>
      </c>
      <c r="E1666" t="inlineStr">
        <is>
          <t>Produksi Harian</t>
        </is>
      </c>
      <c r="F1666" t="inlineStr"/>
      <c r="G1666" t="inlineStr">
        <is>
          <t>05:58:24</t>
        </is>
      </c>
      <c r="H1666" t="inlineStr">
        <is>
          <t>KELUAR TANPA MASUK</t>
        </is>
      </c>
      <c r="I1666" t="inlineStr">
        <is>
          <t>MK00160</t>
        </is>
      </c>
      <c r="J1666" t="inlineStr"/>
    </row>
    <row r="1667">
      <c r="A1667" t="inlineStr">
        <is>
          <t>12/07/2026</t>
        </is>
      </c>
      <c r="B1667" t="inlineStr">
        <is>
          <t>528000015</t>
        </is>
      </c>
      <c r="C1667" t="inlineStr">
        <is>
          <t>Erwin</t>
        </is>
      </c>
      <c r="D1667" t="inlineStr">
        <is>
          <t>LOG</t>
        </is>
      </c>
      <c r="E1667" t="inlineStr">
        <is>
          <t>WRM Harian</t>
        </is>
      </c>
      <c r="F1667" t="inlineStr">
        <is>
          <t>07:54:21</t>
        </is>
      </c>
      <c r="G1667" t="inlineStr">
        <is>
          <t>16:17:31</t>
        </is>
      </c>
      <c r="H1667" t="inlineStr">
        <is>
          <t>SELESAI</t>
        </is>
      </c>
      <c r="I1667" t="inlineStr">
        <is>
          <t>MK00088</t>
        </is>
      </c>
      <c r="J1667" t="inlineStr"/>
    </row>
    <row r="1668">
      <c r="A1668" t="inlineStr">
        <is>
          <t>12/07/2026</t>
        </is>
      </c>
      <c r="B1668" t="inlineStr">
        <is>
          <t>528000052</t>
        </is>
      </c>
      <c r="C1668" t="inlineStr">
        <is>
          <t>Mustopa</t>
        </is>
      </c>
      <c r="D1668" t="inlineStr">
        <is>
          <t>PROD</t>
        </is>
      </c>
      <c r="E1668" t="inlineStr">
        <is>
          <t>Produksi Harian</t>
        </is>
      </c>
      <c r="F1668" t="inlineStr">
        <is>
          <t>21:05:32</t>
        </is>
      </c>
      <c r="G1668" t="inlineStr">
        <is>
          <t>06:02:17</t>
        </is>
      </c>
      <c r="H1668" t="inlineStr">
        <is>
          <t>SELESAI</t>
        </is>
      </c>
      <c r="I1668" t="inlineStr">
        <is>
          <t>MK00121</t>
        </is>
      </c>
      <c r="J1668" t="inlineStr"/>
    </row>
    <row r="1669">
      <c r="A1669" t="inlineStr">
        <is>
          <t>12/07/2026</t>
        </is>
      </c>
      <c r="B1669" t="inlineStr">
        <is>
          <t>528000063</t>
        </is>
      </c>
      <c r="C1669" t="inlineStr">
        <is>
          <t>Muhamad Ripki Pebrian</t>
        </is>
      </c>
      <c r="D1669" t="inlineStr">
        <is>
          <t>PROD</t>
        </is>
      </c>
      <c r="E1669" t="inlineStr">
        <is>
          <t>Produksi Harian</t>
        </is>
      </c>
      <c r="F1669" t="inlineStr">
        <is>
          <t>05:59:04</t>
        </is>
      </c>
      <c r="G1669" t="inlineStr">
        <is>
          <t>14:03:37</t>
        </is>
      </c>
      <c r="H1669" t="inlineStr">
        <is>
          <t>SELESAI</t>
        </is>
      </c>
      <c r="I1669" t="inlineStr">
        <is>
          <t>MK00192</t>
        </is>
      </c>
      <c r="J1669" t="inlineStr"/>
    </row>
    <row r="1670">
      <c r="A1670" t="inlineStr">
        <is>
          <t>12/07/2026</t>
        </is>
      </c>
      <c r="B1670" t="inlineStr">
        <is>
          <t>528000069</t>
        </is>
      </c>
      <c r="C1670" t="inlineStr">
        <is>
          <t>Jajang Ardiansyah</t>
        </is>
      </c>
      <c r="D1670" t="inlineStr">
        <is>
          <t>PROD</t>
        </is>
      </c>
      <c r="E1670" t="inlineStr">
        <is>
          <t>Produksi Harian</t>
        </is>
      </c>
      <c r="F1670" t="inlineStr">
        <is>
          <t>07:36:48</t>
        </is>
      </c>
      <c r="G1670" t="inlineStr">
        <is>
          <t>22:43:40</t>
        </is>
      </c>
      <c r="H1670" t="inlineStr">
        <is>
          <t>SELESAI</t>
        </is>
      </c>
      <c r="I1670" t="inlineStr">
        <is>
          <t>MK00160</t>
        </is>
      </c>
      <c r="J1670" t="inlineStr"/>
    </row>
    <row r="1671">
      <c r="A1671" t="inlineStr">
        <is>
          <t>12/07/2026</t>
        </is>
      </c>
      <c r="B1671" t="inlineStr">
        <is>
          <t>528000090</t>
        </is>
      </c>
      <c r="C1671" t="inlineStr">
        <is>
          <t>Suganda</t>
        </is>
      </c>
      <c r="D1671" t="inlineStr">
        <is>
          <t>PROD</t>
        </is>
      </c>
      <c r="E1671" t="inlineStr">
        <is>
          <t>Produksi Harian</t>
        </is>
      </c>
      <c r="F1671" t="inlineStr"/>
      <c r="G1671" t="inlineStr">
        <is>
          <t>14:00:39</t>
        </is>
      </c>
      <c r="H1671" t="inlineStr">
        <is>
          <t>KELUAR TANPA MASUK</t>
        </is>
      </c>
      <c r="I1671" t="inlineStr">
        <is>
          <t>MK00230</t>
        </is>
      </c>
      <c r="J1671" t="inlineStr"/>
    </row>
    <row r="1672">
      <c r="A1672" t="inlineStr">
        <is>
          <t>12/07/2026</t>
        </is>
      </c>
      <c r="B1672" t="inlineStr">
        <is>
          <t>528000099</t>
        </is>
      </c>
      <c r="C1672" t="inlineStr">
        <is>
          <t>Siti Nurawaliah</t>
        </is>
      </c>
      <c r="D1672" t="inlineStr">
        <is>
          <t>PROD</t>
        </is>
      </c>
      <c r="E1672" t="inlineStr">
        <is>
          <t>Produksi Harian</t>
        </is>
      </c>
      <c r="F1672" t="inlineStr">
        <is>
          <t>13:45:22</t>
        </is>
      </c>
      <c r="G1672" t="inlineStr">
        <is>
          <t>22:05:58</t>
        </is>
      </c>
      <c r="H1672" t="inlineStr">
        <is>
          <t>SELESAI</t>
        </is>
      </c>
      <c r="I1672" t="inlineStr">
        <is>
          <t>MK00138</t>
        </is>
      </c>
      <c r="J1672" t="inlineStr"/>
    </row>
    <row r="1673">
      <c r="A1673" t="inlineStr">
        <is>
          <t>12/07/2026</t>
        </is>
      </c>
      <c r="B1673" t="inlineStr">
        <is>
          <t>528000132</t>
        </is>
      </c>
      <c r="C1673" t="inlineStr">
        <is>
          <t>Giopani</t>
        </is>
      </c>
      <c r="D1673" t="inlineStr">
        <is>
          <t>LOG</t>
        </is>
      </c>
      <c r="E1673" t="inlineStr">
        <is>
          <t>WRM Harian</t>
        </is>
      </c>
      <c r="F1673" t="inlineStr">
        <is>
          <t>08:53:59</t>
        </is>
      </c>
      <c r="G1673" t="inlineStr">
        <is>
          <t>17:00:20</t>
        </is>
      </c>
      <c r="H1673" t="inlineStr">
        <is>
          <t>SELESAI</t>
        </is>
      </c>
      <c r="I1673" t="inlineStr">
        <is>
          <t>MK00228</t>
        </is>
      </c>
      <c r="J1673" t="inlineStr"/>
    </row>
    <row r="1674">
      <c r="A1674" t="inlineStr">
        <is>
          <t>12/07/2026</t>
        </is>
      </c>
      <c r="B1674" t="inlineStr">
        <is>
          <t>528000144</t>
        </is>
      </c>
      <c r="C1674" t="inlineStr">
        <is>
          <t>Jodi Hanafi</t>
        </is>
      </c>
      <c r="D1674" t="inlineStr">
        <is>
          <t>LOG</t>
        </is>
      </c>
      <c r="E1674" t="inlineStr">
        <is>
          <t>WRM Harian</t>
        </is>
      </c>
      <c r="F1674" t="inlineStr">
        <is>
          <t>07:58:40</t>
        </is>
      </c>
      <c r="G1674" t="inlineStr">
        <is>
          <t>16:32:00</t>
        </is>
      </c>
      <c r="H1674" t="inlineStr">
        <is>
          <t>SELESAI</t>
        </is>
      </c>
      <c r="I1674" t="inlineStr">
        <is>
          <t>MK00221</t>
        </is>
      </c>
      <c r="J1674" t="inlineStr"/>
    </row>
    <row r="1675">
      <c r="A1675" t="inlineStr">
        <is>
          <t>12/07/2026</t>
        </is>
      </c>
      <c r="B1675" t="inlineStr">
        <is>
          <t>528000149</t>
        </is>
      </c>
      <c r="C1675" t="inlineStr">
        <is>
          <t>Tio Fernanda</t>
        </is>
      </c>
      <c r="D1675" t="inlineStr">
        <is>
          <t>LOG</t>
        </is>
      </c>
      <c r="E1675" t="inlineStr">
        <is>
          <t>WRM Harian</t>
        </is>
      </c>
      <c r="F1675" t="inlineStr">
        <is>
          <t>15:42:59</t>
        </is>
      </c>
      <c r="G1675" t="inlineStr">
        <is>
          <t>15:42:32</t>
        </is>
      </c>
      <c r="H1675" t="inlineStr">
        <is>
          <t>SELESAI</t>
        </is>
      </c>
      <c r="I1675" t="inlineStr">
        <is>
          <t>MK0130</t>
        </is>
      </c>
      <c r="J1675" t="inlineStr"/>
    </row>
    <row r="1676">
      <c r="A1676" t="inlineStr">
        <is>
          <t>12/07/2026</t>
        </is>
      </c>
      <c r="B1676" t="inlineStr">
        <is>
          <t>528000195</t>
        </is>
      </c>
      <c r="C1676" t="inlineStr">
        <is>
          <t>Rahma Sariwati</t>
        </is>
      </c>
      <c r="D1676" t="inlineStr">
        <is>
          <t>PROD</t>
        </is>
      </c>
      <c r="E1676" t="inlineStr">
        <is>
          <t>Produksi Harian</t>
        </is>
      </c>
      <c r="F1676" t="inlineStr">
        <is>
          <t>21:35:35</t>
        </is>
      </c>
      <c r="G1676" t="inlineStr">
        <is>
          <t>06:10:27</t>
        </is>
      </c>
      <c r="H1676" t="inlineStr">
        <is>
          <t>SELESAI</t>
        </is>
      </c>
      <c r="I1676" t="inlineStr">
        <is>
          <t>MK00126</t>
        </is>
      </c>
      <c r="J1676" t="inlineStr"/>
    </row>
    <row r="1677">
      <c r="A1677" t="inlineStr">
        <is>
          <t>12/07/2026</t>
        </is>
      </c>
      <c r="B1677" t="inlineStr">
        <is>
          <t>528000201</t>
        </is>
      </c>
      <c r="C1677" t="inlineStr">
        <is>
          <t>Zahwa Amelia Choerunissa</t>
        </is>
      </c>
      <c r="D1677" t="inlineStr">
        <is>
          <t>PROD</t>
        </is>
      </c>
      <c r="E1677" t="inlineStr">
        <is>
          <t>Produksi Harian</t>
        </is>
      </c>
      <c r="F1677" t="inlineStr">
        <is>
          <t>13:44:37</t>
        </is>
      </c>
      <c r="G1677" t="inlineStr">
        <is>
          <t>22:05:23</t>
        </is>
      </c>
      <c r="H1677" t="inlineStr">
        <is>
          <t>SELESAI</t>
        </is>
      </c>
      <c r="I1677" t="inlineStr">
        <is>
          <t>MK00113</t>
        </is>
      </c>
      <c r="J1677" t="inlineStr"/>
    </row>
    <row r="1678">
      <c r="A1678" t="inlineStr">
        <is>
          <t>12/07/2026</t>
        </is>
      </c>
      <c r="B1678" t="inlineStr">
        <is>
          <t>528000232</t>
        </is>
      </c>
      <c r="C1678" t="inlineStr">
        <is>
          <t>Agung Aji Suhada</t>
        </is>
      </c>
      <c r="D1678" t="inlineStr">
        <is>
          <t>LOG</t>
        </is>
      </c>
      <c r="E1678" t="inlineStr">
        <is>
          <t>WRM Harian</t>
        </is>
      </c>
      <c r="F1678" t="inlineStr">
        <is>
          <t>08:53:29</t>
        </is>
      </c>
      <c r="G1678" t="inlineStr">
        <is>
          <t>17:01:03</t>
        </is>
      </c>
      <c r="H1678" t="inlineStr">
        <is>
          <t>SELESAI</t>
        </is>
      </c>
      <c r="I1678" t="inlineStr">
        <is>
          <t>MK00210</t>
        </is>
      </c>
      <c r="J1678" t="inlineStr"/>
    </row>
    <row r="1679">
      <c r="A1679" t="inlineStr">
        <is>
          <t>12/07/2026</t>
        </is>
      </c>
      <c r="B1679" t="inlineStr">
        <is>
          <t>528000238</t>
        </is>
      </c>
      <c r="C1679" t="inlineStr">
        <is>
          <t>Indah Lusiana</t>
        </is>
      </c>
      <c r="D1679" t="inlineStr">
        <is>
          <t>PROD</t>
        </is>
      </c>
      <c r="E1679" t="inlineStr">
        <is>
          <t>Produksi Harian</t>
        </is>
      </c>
      <c r="F1679" t="inlineStr">
        <is>
          <t>21:25:35</t>
        </is>
      </c>
      <c r="G1679" t="inlineStr"/>
      <c r="H1679" t="inlineStr">
        <is>
          <t>DI DALAM</t>
        </is>
      </c>
      <c r="I1679" t="inlineStr">
        <is>
          <t>MK00213</t>
        </is>
      </c>
      <c r="J1679" t="inlineStr"/>
    </row>
    <row r="1680">
      <c r="A1680" t="inlineStr">
        <is>
          <t>12/07/2026</t>
        </is>
      </c>
      <c r="B1680" t="inlineStr">
        <is>
          <t>528000241</t>
        </is>
      </c>
      <c r="C1680" t="inlineStr">
        <is>
          <t>Balia Nurafif Bilah</t>
        </is>
      </c>
      <c r="D1680" t="inlineStr">
        <is>
          <t>PROD</t>
        </is>
      </c>
      <c r="E1680" t="inlineStr">
        <is>
          <t>Produksi Harian</t>
        </is>
      </c>
      <c r="F1680" t="inlineStr">
        <is>
          <t>13:52:20</t>
        </is>
      </c>
      <c r="G1680" t="inlineStr">
        <is>
          <t>22:03:56</t>
        </is>
      </c>
      <c r="H1680" t="inlineStr">
        <is>
          <t>SELESAI</t>
        </is>
      </c>
      <c r="I1680" t="inlineStr">
        <is>
          <t>MK0082</t>
        </is>
      </c>
      <c r="J1680" t="inlineStr"/>
    </row>
    <row r="1681">
      <c r="A1681" t="inlineStr">
        <is>
          <t>12/07/2026</t>
        </is>
      </c>
      <c r="B1681" t="inlineStr">
        <is>
          <t>528000244</t>
        </is>
      </c>
      <c r="C1681" t="inlineStr">
        <is>
          <t>Rodian Rifai</t>
        </is>
      </c>
      <c r="D1681" t="inlineStr">
        <is>
          <t>PROD</t>
        </is>
      </c>
      <c r="E1681" t="inlineStr">
        <is>
          <t>Produksi Harian</t>
        </is>
      </c>
      <c r="F1681" t="inlineStr">
        <is>
          <t>13:24:06</t>
        </is>
      </c>
      <c r="G1681" t="inlineStr">
        <is>
          <t>22:53:47</t>
        </is>
      </c>
      <c r="H1681" t="inlineStr">
        <is>
          <t>SELESAI</t>
        </is>
      </c>
      <c r="I1681" t="inlineStr">
        <is>
          <t>MK00154</t>
        </is>
      </c>
      <c r="J1681" t="inlineStr"/>
    </row>
    <row r="1682">
      <c r="A1682" t="inlineStr">
        <is>
          <t>12/07/2026</t>
        </is>
      </c>
      <c r="B1682" t="inlineStr">
        <is>
          <t>528000248</t>
        </is>
      </c>
      <c r="C1682" t="inlineStr">
        <is>
          <t>Roka Jaya Salka Mulya</t>
        </is>
      </c>
      <c r="D1682" t="inlineStr">
        <is>
          <t>PROD</t>
        </is>
      </c>
      <c r="E1682" t="inlineStr">
        <is>
          <t>Produksi Harian</t>
        </is>
      </c>
      <c r="F1682" t="inlineStr">
        <is>
          <t>05:57:26</t>
        </is>
      </c>
      <c r="G1682" t="inlineStr">
        <is>
          <t>14:04:07</t>
        </is>
      </c>
      <c r="H1682" t="inlineStr">
        <is>
          <t>SELESAI</t>
        </is>
      </c>
      <c r="I1682" t="inlineStr">
        <is>
          <t>MK00008</t>
        </is>
      </c>
      <c r="J1682" t="inlineStr"/>
    </row>
    <row r="1683">
      <c r="A1683" t="inlineStr">
        <is>
          <t>12/07/2026</t>
        </is>
      </c>
      <c r="B1683" t="inlineStr">
        <is>
          <t>528000261</t>
        </is>
      </c>
      <c r="C1683" t="inlineStr">
        <is>
          <t>Ergi Ergianto</t>
        </is>
      </c>
      <c r="D1683" t="inlineStr">
        <is>
          <t>HRGA</t>
        </is>
      </c>
      <c r="E1683" t="inlineStr">
        <is>
          <t>GA Harian</t>
        </is>
      </c>
      <c r="F1683" t="inlineStr">
        <is>
          <t>21:50:25</t>
        </is>
      </c>
      <c r="G1683" t="inlineStr">
        <is>
          <t>06:02:38</t>
        </is>
      </c>
      <c r="H1683" t="inlineStr">
        <is>
          <t>SELESAI</t>
        </is>
      </c>
      <c r="I1683" t="inlineStr">
        <is>
          <t>MK00208</t>
        </is>
      </c>
      <c r="J1683" t="inlineStr"/>
    </row>
    <row r="1684">
      <c r="A1684" t="inlineStr">
        <is>
          <t>12/07/2026</t>
        </is>
      </c>
      <c r="B1684" t="inlineStr">
        <is>
          <t>528000262</t>
        </is>
      </c>
      <c r="C1684" t="inlineStr">
        <is>
          <t>Ndari Dwiwanti</t>
        </is>
      </c>
      <c r="D1684" t="inlineStr">
        <is>
          <t>PROD</t>
        </is>
      </c>
      <c r="E1684" t="inlineStr">
        <is>
          <t>Produksi Harian</t>
        </is>
      </c>
      <c r="F1684" t="inlineStr">
        <is>
          <t>21:32:53</t>
        </is>
      </c>
      <c r="G1684" t="inlineStr">
        <is>
          <t>06:02:42</t>
        </is>
      </c>
      <c r="H1684" t="inlineStr">
        <is>
          <t>SELESAI</t>
        </is>
      </c>
      <c r="I1684" t="inlineStr">
        <is>
          <t>MK00160</t>
        </is>
      </c>
      <c r="J1684" t="inlineStr"/>
    </row>
    <row r="1685">
      <c r="A1685" t="inlineStr">
        <is>
          <t>12/07/2026</t>
        </is>
      </c>
      <c r="B1685" t="inlineStr">
        <is>
          <t>528000265</t>
        </is>
      </c>
      <c r="C1685" t="inlineStr">
        <is>
          <t>Muhammad Haerul Rozikin</t>
        </is>
      </c>
      <c r="D1685" t="inlineStr">
        <is>
          <t>LOG</t>
        </is>
      </c>
      <c r="E1685" t="inlineStr">
        <is>
          <t>WRM Harian</t>
        </is>
      </c>
      <c r="F1685" t="inlineStr">
        <is>
          <t>07:47:36</t>
        </is>
      </c>
      <c r="G1685" t="inlineStr">
        <is>
          <t>16:03:55</t>
        </is>
      </c>
      <c r="H1685" t="inlineStr">
        <is>
          <t>SELESAI</t>
        </is>
      </c>
      <c r="I1685" t="inlineStr">
        <is>
          <t>MK00093</t>
        </is>
      </c>
      <c r="J1685" t="inlineStr"/>
    </row>
    <row r="1686">
      <c r="A1686" t="inlineStr">
        <is>
          <t>12/07/2026</t>
        </is>
      </c>
      <c r="B1686" t="inlineStr">
        <is>
          <t>528000266</t>
        </is>
      </c>
      <c r="C1686" t="inlineStr">
        <is>
          <t>M. Syirajatieq</t>
        </is>
      </c>
      <c r="D1686" t="inlineStr">
        <is>
          <t>LOG</t>
        </is>
      </c>
      <c r="E1686" t="inlineStr">
        <is>
          <t>WFG Harian</t>
        </is>
      </c>
      <c r="F1686" t="inlineStr">
        <is>
          <t>21:39:02</t>
        </is>
      </c>
      <c r="G1686" t="inlineStr">
        <is>
          <t>06:20:44</t>
        </is>
      </c>
      <c r="H1686" t="inlineStr">
        <is>
          <t>SELESAI</t>
        </is>
      </c>
      <c r="I1686" t="inlineStr">
        <is>
          <t>MK00109</t>
        </is>
      </c>
      <c r="J1686" t="inlineStr"/>
    </row>
    <row r="1687">
      <c r="A1687" t="inlineStr">
        <is>
          <t>12/07/2026</t>
        </is>
      </c>
      <c r="B1687" t="inlineStr">
        <is>
          <t>528000274</t>
        </is>
      </c>
      <c r="C1687" t="inlineStr">
        <is>
          <t>Zepri</t>
        </is>
      </c>
      <c r="D1687" t="inlineStr">
        <is>
          <t>PROD</t>
        </is>
      </c>
      <c r="E1687" t="inlineStr">
        <is>
          <t>Produksi Harian</t>
        </is>
      </c>
      <c r="F1687" t="inlineStr">
        <is>
          <t>13:53:06</t>
        </is>
      </c>
      <c r="G1687" t="inlineStr">
        <is>
          <t>22:03:30</t>
        </is>
      </c>
      <c r="H1687" t="inlineStr">
        <is>
          <t>SELESAI</t>
        </is>
      </c>
      <c r="I1687" t="inlineStr">
        <is>
          <t>MK00095</t>
        </is>
      </c>
      <c r="J1687" t="inlineStr"/>
    </row>
    <row r="1688">
      <c r="A1688" t="inlineStr">
        <is>
          <t>12/07/2026</t>
        </is>
      </c>
      <c r="B1688" t="inlineStr">
        <is>
          <t>528000279</t>
        </is>
      </c>
      <c r="C1688" t="inlineStr">
        <is>
          <t>Mahdalena Dalfa Riani</t>
        </is>
      </c>
      <c r="D1688" t="inlineStr">
        <is>
          <t>PROD</t>
        </is>
      </c>
      <c r="E1688" t="inlineStr">
        <is>
          <t>Produksi Harian</t>
        </is>
      </c>
      <c r="F1688" t="inlineStr">
        <is>
          <t>05:46:48</t>
        </is>
      </c>
      <c r="G1688" t="inlineStr">
        <is>
          <t>14:06:20</t>
        </is>
      </c>
      <c r="H1688" t="inlineStr">
        <is>
          <t>SELESAI</t>
        </is>
      </c>
      <c r="I1688" t="inlineStr">
        <is>
          <t>MK00202</t>
        </is>
      </c>
      <c r="J1688" t="inlineStr"/>
    </row>
    <row r="1689">
      <c r="A1689" t="inlineStr">
        <is>
          <t>12/07/2026</t>
        </is>
      </c>
      <c r="B1689" t="inlineStr">
        <is>
          <t>528000282</t>
        </is>
      </c>
      <c r="C1689" t="inlineStr">
        <is>
          <t>Defa Desfiana</t>
        </is>
      </c>
      <c r="D1689" t="inlineStr">
        <is>
          <t>PROD</t>
        </is>
      </c>
      <c r="E1689" t="inlineStr">
        <is>
          <t>Produksi Harian</t>
        </is>
      </c>
      <c r="F1689" t="inlineStr">
        <is>
          <t>07:32:45</t>
        </is>
      </c>
      <c r="G1689" t="inlineStr">
        <is>
          <t>16:19:27</t>
        </is>
      </c>
      <c r="H1689" t="inlineStr">
        <is>
          <t>SELESAI</t>
        </is>
      </c>
      <c r="I1689" t="inlineStr">
        <is>
          <t>MK00208</t>
        </is>
      </c>
      <c r="J1689" t="inlineStr">
        <is>
          <t>7b</t>
        </is>
      </c>
    </row>
    <row r="1690">
      <c r="A1690" t="inlineStr">
        <is>
          <t>12/07/2026</t>
        </is>
      </c>
      <c r="B1690" t="inlineStr">
        <is>
          <t>528000283</t>
        </is>
      </c>
      <c r="C1690" t="inlineStr">
        <is>
          <t>Purwanda Sugiri</t>
        </is>
      </c>
      <c r="D1690" t="inlineStr">
        <is>
          <t>LOG</t>
        </is>
      </c>
      <c r="E1690" t="inlineStr">
        <is>
          <t>WRM Harian</t>
        </is>
      </c>
      <c r="F1690" t="inlineStr">
        <is>
          <t>21:55:27</t>
        </is>
      </c>
      <c r="G1690" t="inlineStr">
        <is>
          <t>06:03:22</t>
        </is>
      </c>
      <c r="H1690" t="inlineStr">
        <is>
          <t>SELESAI</t>
        </is>
      </c>
      <c r="I1690" t="inlineStr">
        <is>
          <t>MK00113</t>
        </is>
      </c>
      <c r="J1690" t="inlineStr"/>
    </row>
    <row r="1691">
      <c r="A1691" t="inlineStr">
        <is>
          <t>12/07/2026</t>
        </is>
      </c>
      <c r="B1691" t="inlineStr">
        <is>
          <t>528000286</t>
        </is>
      </c>
      <c r="C1691" t="inlineStr">
        <is>
          <t>Imelda Amelia</t>
        </is>
      </c>
      <c r="D1691" t="inlineStr">
        <is>
          <t>PROD</t>
        </is>
      </c>
      <c r="E1691" t="inlineStr">
        <is>
          <t>Produksi Harian</t>
        </is>
      </c>
      <c r="F1691" t="inlineStr">
        <is>
          <t>13:49:16</t>
        </is>
      </c>
      <c r="G1691" t="inlineStr">
        <is>
          <t>22:05:11</t>
        </is>
      </c>
      <c r="H1691" t="inlineStr">
        <is>
          <t>SELESAI</t>
        </is>
      </c>
      <c r="I1691" t="inlineStr">
        <is>
          <t>MK00141</t>
        </is>
      </c>
      <c r="J1691" t="inlineStr"/>
    </row>
    <row r="1692">
      <c r="A1692" t="inlineStr">
        <is>
          <t>12/07/2026</t>
        </is>
      </c>
      <c r="B1692" t="inlineStr">
        <is>
          <t>528000288</t>
        </is>
      </c>
      <c r="C1692" t="inlineStr">
        <is>
          <t>Dede gunawan</t>
        </is>
      </c>
      <c r="D1692" t="inlineStr">
        <is>
          <t>PROD</t>
        </is>
      </c>
      <c r="E1692" t="inlineStr">
        <is>
          <t>Produksi Harian</t>
        </is>
      </c>
      <c r="F1692" t="inlineStr">
        <is>
          <t>05:51:46</t>
        </is>
      </c>
      <c r="G1692" t="inlineStr"/>
      <c r="H1692" t="inlineStr">
        <is>
          <t>DI DALAM</t>
        </is>
      </c>
      <c r="I1692" t="inlineStr">
        <is>
          <t>MK00126</t>
        </is>
      </c>
      <c r="J1692" t="inlineStr"/>
    </row>
    <row r="1693">
      <c r="A1693" t="inlineStr">
        <is>
          <t>12/07/2026</t>
        </is>
      </c>
      <c r="B1693" t="inlineStr">
        <is>
          <t>528000289</t>
        </is>
      </c>
      <c r="C1693" t="inlineStr">
        <is>
          <t>Adit Supriyadi</t>
        </is>
      </c>
      <c r="D1693" t="inlineStr">
        <is>
          <t>PROD</t>
        </is>
      </c>
      <c r="E1693" t="inlineStr">
        <is>
          <t>Produksi Harian</t>
        </is>
      </c>
      <c r="F1693" t="inlineStr">
        <is>
          <t>13:51:35</t>
        </is>
      </c>
      <c r="G1693" t="inlineStr"/>
      <c r="H1693" t="inlineStr">
        <is>
          <t>DI DALAM</t>
        </is>
      </c>
      <c r="I1693" t="inlineStr">
        <is>
          <t>MK00239</t>
        </is>
      </c>
      <c r="J1693" t="inlineStr"/>
    </row>
    <row r="1694">
      <c r="A1694" t="inlineStr">
        <is>
          <t>12/07/2026</t>
        </is>
      </c>
      <c r="B1694" t="inlineStr">
        <is>
          <t>528000290</t>
        </is>
      </c>
      <c r="C1694" t="inlineStr">
        <is>
          <t>Eval Pranata</t>
        </is>
      </c>
      <c r="D1694" t="inlineStr">
        <is>
          <t>PROD</t>
        </is>
      </c>
      <c r="E1694" t="inlineStr">
        <is>
          <t>Produksi Harian</t>
        </is>
      </c>
      <c r="F1694" t="inlineStr">
        <is>
          <t>13:58:19</t>
        </is>
      </c>
      <c r="G1694" t="inlineStr">
        <is>
          <t>22:03:07</t>
        </is>
      </c>
      <c r="H1694" t="inlineStr">
        <is>
          <t>SELESAI</t>
        </is>
      </c>
      <c r="I1694" t="inlineStr">
        <is>
          <t>MK00250</t>
        </is>
      </c>
      <c r="J1694" t="inlineStr"/>
    </row>
    <row r="1695">
      <c r="A1695" t="inlineStr">
        <is>
          <t>12/07/2026</t>
        </is>
      </c>
      <c r="B1695" t="inlineStr">
        <is>
          <t>528000291</t>
        </is>
      </c>
      <c r="C1695" t="inlineStr">
        <is>
          <t>Andrian</t>
        </is>
      </c>
      <c r="D1695" t="inlineStr">
        <is>
          <t>PROD</t>
        </is>
      </c>
      <c r="E1695" t="inlineStr">
        <is>
          <t>Produksi Harian</t>
        </is>
      </c>
      <c r="F1695" t="inlineStr">
        <is>
          <t>21:57:34</t>
        </is>
      </c>
      <c r="G1695" t="inlineStr">
        <is>
          <t>06:02:38</t>
        </is>
      </c>
      <c r="H1695" t="inlineStr">
        <is>
          <t>SELESAI</t>
        </is>
      </c>
      <c r="I1695" t="inlineStr">
        <is>
          <t>MK00186</t>
        </is>
      </c>
      <c r="J1695" t="inlineStr"/>
    </row>
    <row r="1696">
      <c r="A1696" t="inlineStr">
        <is>
          <t>12/07/2026</t>
        </is>
      </c>
      <c r="B1696" t="inlineStr">
        <is>
          <t>528000297</t>
        </is>
      </c>
      <c r="C1696" t="inlineStr">
        <is>
          <t>Muhamad Budiana</t>
        </is>
      </c>
      <c r="D1696" t="inlineStr">
        <is>
          <t>PROD</t>
        </is>
      </c>
      <c r="E1696" t="inlineStr">
        <is>
          <t>Produksi Harian</t>
        </is>
      </c>
      <c r="F1696" t="inlineStr">
        <is>
          <t>05:48:56</t>
        </is>
      </c>
      <c r="G1696" t="inlineStr">
        <is>
          <t>16:06:25</t>
        </is>
      </c>
      <c r="H1696" t="inlineStr">
        <is>
          <t>SELESAI</t>
        </is>
      </c>
      <c r="I1696" t="inlineStr">
        <is>
          <t>MK00145</t>
        </is>
      </c>
      <c r="J1696" t="inlineStr"/>
    </row>
    <row r="1697">
      <c r="A1697" t="inlineStr">
        <is>
          <t>12/07/2026</t>
        </is>
      </c>
      <c r="B1697" t="inlineStr">
        <is>
          <t>528000300</t>
        </is>
      </c>
      <c r="C1697" t="inlineStr">
        <is>
          <t>Lia pitaloka</t>
        </is>
      </c>
      <c r="D1697" t="inlineStr">
        <is>
          <t>PROD</t>
        </is>
      </c>
      <c r="E1697" t="inlineStr">
        <is>
          <t>Produksi Harian</t>
        </is>
      </c>
      <c r="F1697" t="inlineStr">
        <is>
          <t>05:56:55</t>
        </is>
      </c>
      <c r="G1697" t="inlineStr">
        <is>
          <t>14:23:23</t>
        </is>
      </c>
      <c r="H1697" t="inlineStr">
        <is>
          <t>SELESAI</t>
        </is>
      </c>
      <c r="I1697" t="inlineStr">
        <is>
          <t>MK00150</t>
        </is>
      </c>
      <c r="J1697" t="inlineStr"/>
    </row>
    <row r="1698">
      <c r="A1698" t="inlineStr">
        <is>
          <t>12/07/2026</t>
        </is>
      </c>
      <c r="B1698" t="inlineStr">
        <is>
          <t>528000310</t>
        </is>
      </c>
      <c r="C1698" t="inlineStr">
        <is>
          <t>Fachrul Rozzi Suryana</t>
        </is>
      </c>
      <c r="D1698" t="inlineStr">
        <is>
          <t>LOG</t>
        </is>
      </c>
      <c r="E1698" t="inlineStr">
        <is>
          <t>WRM Harian</t>
        </is>
      </c>
      <c r="F1698" t="inlineStr">
        <is>
          <t>07:45:59</t>
        </is>
      </c>
      <c r="G1698" t="inlineStr">
        <is>
          <t>16:04:02</t>
        </is>
      </c>
      <c r="H1698" t="inlineStr">
        <is>
          <t>SELESAI</t>
        </is>
      </c>
      <c r="I1698" t="inlineStr">
        <is>
          <t>MK00085</t>
        </is>
      </c>
      <c r="J1698" t="inlineStr">
        <is>
          <t>32B</t>
        </is>
      </c>
    </row>
    <row r="1699">
      <c r="A1699" t="inlineStr">
        <is>
          <t>12/07/2026</t>
        </is>
      </c>
      <c r="B1699" t="inlineStr">
        <is>
          <t>528000314</t>
        </is>
      </c>
      <c r="C1699" t="inlineStr">
        <is>
          <t>Rusmana</t>
        </is>
      </c>
      <c r="D1699" t="inlineStr">
        <is>
          <t>PROD</t>
        </is>
      </c>
      <c r="E1699" t="inlineStr">
        <is>
          <t>Produksi Harian</t>
        </is>
      </c>
      <c r="F1699" t="inlineStr">
        <is>
          <t>07:58:16</t>
        </is>
      </c>
      <c r="G1699" t="inlineStr">
        <is>
          <t>16:06:19</t>
        </is>
      </c>
      <c r="H1699" t="inlineStr">
        <is>
          <t>SELESAI</t>
        </is>
      </c>
      <c r="I1699" t="inlineStr">
        <is>
          <t>MK00125</t>
        </is>
      </c>
      <c r="J1699" t="inlineStr"/>
    </row>
    <row r="1700">
      <c r="A1700" t="inlineStr">
        <is>
          <t>12/07/2026</t>
        </is>
      </c>
      <c r="B1700" t="inlineStr">
        <is>
          <t>528000318</t>
        </is>
      </c>
      <c r="C1700" t="inlineStr">
        <is>
          <t>Bayu Padli Sepriyana</t>
        </is>
      </c>
      <c r="D1700" t="inlineStr">
        <is>
          <t>LOG</t>
        </is>
      </c>
      <c r="E1700" t="inlineStr">
        <is>
          <t>WRM Harian</t>
        </is>
      </c>
      <c r="F1700" t="inlineStr"/>
      <c r="G1700" t="inlineStr">
        <is>
          <t>08:53:06</t>
        </is>
      </c>
      <c r="H1700" t="inlineStr">
        <is>
          <t>KELUAR TANPA MASUK</t>
        </is>
      </c>
      <c r="I1700" t="inlineStr">
        <is>
          <t>MK00210</t>
        </is>
      </c>
      <c r="J1700" t="inlineStr"/>
    </row>
    <row r="1701">
      <c r="A1701" t="inlineStr">
        <is>
          <t>12/07/2026</t>
        </is>
      </c>
      <c r="B1701" t="inlineStr">
        <is>
          <t>528000324</t>
        </is>
      </c>
      <c r="C1701" t="inlineStr">
        <is>
          <t>Sri Yanti</t>
        </is>
      </c>
      <c r="D1701" t="inlineStr">
        <is>
          <t>PROD</t>
        </is>
      </c>
      <c r="E1701" t="inlineStr">
        <is>
          <t>Produksi Harian</t>
        </is>
      </c>
      <c r="F1701" t="inlineStr">
        <is>
          <t>13:18:59</t>
        </is>
      </c>
      <c r="G1701" t="inlineStr">
        <is>
          <t>22:02:06</t>
        </is>
      </c>
      <c r="H1701" t="inlineStr">
        <is>
          <t>SELESAI</t>
        </is>
      </c>
      <c r="I1701" t="inlineStr">
        <is>
          <t>MK00109</t>
        </is>
      </c>
      <c r="J1701" t="inlineStr"/>
    </row>
    <row r="1702">
      <c r="A1702" t="inlineStr">
        <is>
          <t>12/07/2026</t>
        </is>
      </c>
      <c r="B1702" t="inlineStr">
        <is>
          <t>528000337</t>
        </is>
      </c>
      <c r="C1702" t="inlineStr">
        <is>
          <t>Ahmad Zaldi Firdaus</t>
        </is>
      </c>
      <c r="D1702" t="inlineStr">
        <is>
          <t>PROD</t>
        </is>
      </c>
      <c r="E1702" t="inlineStr">
        <is>
          <t>Produksi Harian</t>
        </is>
      </c>
      <c r="F1702" t="inlineStr">
        <is>
          <t>20:52:23</t>
        </is>
      </c>
      <c r="G1702" t="inlineStr">
        <is>
          <t>06:08:32</t>
        </is>
      </c>
      <c r="H1702" t="inlineStr">
        <is>
          <t>SELESAI</t>
        </is>
      </c>
      <c r="I1702" t="inlineStr">
        <is>
          <t>MK00202</t>
        </is>
      </c>
      <c r="J1702" t="inlineStr"/>
    </row>
    <row r="1703">
      <c r="A1703" t="inlineStr">
        <is>
          <t>12/07/2026</t>
        </is>
      </c>
      <c r="B1703" t="inlineStr">
        <is>
          <t>528000348</t>
        </is>
      </c>
      <c r="C1703" t="inlineStr">
        <is>
          <t>Saepuloh Ardiansah</t>
        </is>
      </c>
      <c r="D1703" t="inlineStr">
        <is>
          <t>LOG</t>
        </is>
      </c>
      <c r="E1703" t="inlineStr">
        <is>
          <t>WRM Harian</t>
        </is>
      </c>
      <c r="F1703" t="inlineStr">
        <is>
          <t>08:52:07</t>
        </is>
      </c>
      <c r="G1703" t="inlineStr">
        <is>
          <t>18:17:51</t>
        </is>
      </c>
      <c r="H1703" t="inlineStr">
        <is>
          <t>SELESAI</t>
        </is>
      </c>
      <c r="I1703" t="inlineStr">
        <is>
          <t>MK00205</t>
        </is>
      </c>
      <c r="J1703" t="inlineStr"/>
    </row>
    <row r="1704">
      <c r="A1704" t="inlineStr">
        <is>
          <t>12/07/2026</t>
        </is>
      </c>
      <c r="B1704" t="inlineStr">
        <is>
          <t>528000349</t>
        </is>
      </c>
      <c r="C1704" t="inlineStr">
        <is>
          <t>Anas Abdul Fatah</t>
        </is>
      </c>
      <c r="D1704" t="inlineStr">
        <is>
          <t>LOG</t>
        </is>
      </c>
      <c r="E1704" t="inlineStr">
        <is>
          <t>WFG Harian</t>
        </is>
      </c>
      <c r="F1704" t="inlineStr">
        <is>
          <t>09:37:42</t>
        </is>
      </c>
      <c r="G1704" t="inlineStr">
        <is>
          <t>18:11:58</t>
        </is>
      </c>
      <c r="H1704" t="inlineStr">
        <is>
          <t>SELESAI</t>
        </is>
      </c>
      <c r="I1704" t="inlineStr">
        <is>
          <t>MK00212</t>
        </is>
      </c>
      <c r="J1704" t="inlineStr"/>
    </row>
    <row r="1705">
      <c r="A1705" t="inlineStr">
        <is>
          <t>12/07/2026</t>
        </is>
      </c>
      <c r="B1705" t="inlineStr">
        <is>
          <t>528000351</t>
        </is>
      </c>
      <c r="C1705" t="inlineStr">
        <is>
          <t>Mulyana</t>
        </is>
      </c>
      <c r="D1705" t="inlineStr">
        <is>
          <t>PROD</t>
        </is>
      </c>
      <c r="E1705" t="inlineStr">
        <is>
          <t>Produksi Harian</t>
        </is>
      </c>
      <c r="F1705" t="inlineStr">
        <is>
          <t>07:53:52</t>
        </is>
      </c>
      <c r="G1705" t="inlineStr">
        <is>
          <t>16:00:23</t>
        </is>
      </c>
      <c r="H1705" t="inlineStr">
        <is>
          <t>SELESAI</t>
        </is>
      </c>
      <c r="I1705" t="inlineStr">
        <is>
          <t>MK00181</t>
        </is>
      </c>
      <c r="J1705" t="inlineStr"/>
    </row>
    <row r="1706">
      <c r="A1706" t="inlineStr">
        <is>
          <t>12/07/2026</t>
        </is>
      </c>
      <c r="B1706" t="inlineStr">
        <is>
          <t>528000358</t>
        </is>
      </c>
      <c r="C1706" t="inlineStr">
        <is>
          <t>Lulu Agustin</t>
        </is>
      </c>
      <c r="D1706" t="inlineStr">
        <is>
          <t>PROD</t>
        </is>
      </c>
      <c r="E1706" t="inlineStr">
        <is>
          <t>Produksi Harian</t>
        </is>
      </c>
      <c r="F1706" t="inlineStr">
        <is>
          <t>21:40:45</t>
        </is>
      </c>
      <c r="G1706" t="inlineStr">
        <is>
          <t>06:02:33</t>
        </is>
      </c>
      <c r="H1706" t="inlineStr">
        <is>
          <t>SELESAI</t>
        </is>
      </c>
      <c r="I1706" t="inlineStr">
        <is>
          <t>MK00154</t>
        </is>
      </c>
      <c r="J1706" t="inlineStr"/>
    </row>
    <row r="1707">
      <c r="A1707" t="inlineStr">
        <is>
          <t>12/07/2026</t>
        </is>
      </c>
      <c r="B1707" t="inlineStr">
        <is>
          <t>528000359</t>
        </is>
      </c>
      <c r="C1707" t="inlineStr">
        <is>
          <t>M. Iqbal Maulana. S</t>
        </is>
      </c>
      <c r="D1707" t="inlineStr">
        <is>
          <t>LOG</t>
        </is>
      </c>
      <c r="E1707" t="inlineStr">
        <is>
          <t>WRM Harian</t>
        </is>
      </c>
      <c r="F1707" t="inlineStr">
        <is>
          <t>05:55:27</t>
        </is>
      </c>
      <c r="G1707" t="inlineStr">
        <is>
          <t>14:05:30</t>
        </is>
      </c>
      <c r="H1707" t="inlineStr">
        <is>
          <t>SELESAI</t>
        </is>
      </c>
      <c r="I1707" t="inlineStr">
        <is>
          <t>MK00090</t>
        </is>
      </c>
      <c r="J1707" t="inlineStr"/>
    </row>
    <row r="1708">
      <c r="A1708" t="inlineStr">
        <is>
          <t>12/07/2026</t>
        </is>
      </c>
      <c r="B1708" t="inlineStr">
        <is>
          <t>528000360</t>
        </is>
      </c>
      <c r="C1708" t="inlineStr">
        <is>
          <t>Hendra Permana</t>
        </is>
      </c>
      <c r="D1708" t="inlineStr">
        <is>
          <t>ENG</t>
        </is>
      </c>
      <c r="E1708" t="inlineStr">
        <is>
          <t>Engineering Harian</t>
        </is>
      </c>
      <c r="F1708" t="inlineStr">
        <is>
          <t>21:24:05</t>
        </is>
      </c>
      <c r="G1708" t="inlineStr"/>
      <c r="H1708" t="inlineStr">
        <is>
          <t>DI DALAM</t>
        </is>
      </c>
      <c r="I1708" t="inlineStr">
        <is>
          <t>MK00082</t>
        </is>
      </c>
      <c r="J1708" t="inlineStr"/>
    </row>
    <row r="1709">
      <c r="A1709" t="inlineStr">
        <is>
          <t>12/07/2026</t>
        </is>
      </c>
      <c r="B1709" t="inlineStr">
        <is>
          <t>528000361</t>
        </is>
      </c>
      <c r="C1709" t="inlineStr">
        <is>
          <t>Denada Munggarani</t>
        </is>
      </c>
      <c r="D1709" t="inlineStr">
        <is>
          <t>PROD</t>
        </is>
      </c>
      <c r="E1709" t="inlineStr">
        <is>
          <t>Produksi Harian</t>
        </is>
      </c>
      <c r="F1709" t="inlineStr">
        <is>
          <t>05:55:26</t>
        </is>
      </c>
      <c r="G1709" t="inlineStr"/>
      <c r="H1709" t="inlineStr">
        <is>
          <t>DI DALAM</t>
        </is>
      </c>
      <c r="I1709" t="inlineStr">
        <is>
          <t>MK00160</t>
        </is>
      </c>
      <c r="J1709" t="inlineStr"/>
    </row>
    <row r="1710">
      <c r="A1710" t="inlineStr">
        <is>
          <t>12/07/2026</t>
        </is>
      </c>
      <c r="B1710" t="inlineStr">
        <is>
          <t>628000064</t>
        </is>
      </c>
      <c r="C1710" t="inlineStr">
        <is>
          <t>Silva Alypia</t>
        </is>
      </c>
      <c r="D1710" t="inlineStr">
        <is>
          <t>PROD</t>
        </is>
      </c>
      <c r="E1710" t="inlineStr">
        <is>
          <t>Produksi Borongan</t>
        </is>
      </c>
      <c r="F1710" t="inlineStr">
        <is>
          <t>05:43:30</t>
        </is>
      </c>
      <c r="G1710" t="inlineStr">
        <is>
          <t>14:05:23</t>
        </is>
      </c>
      <c r="H1710" t="inlineStr">
        <is>
          <t>SELESAI</t>
        </is>
      </c>
      <c r="I1710" t="inlineStr">
        <is>
          <t>MK00108</t>
        </is>
      </c>
      <c r="J1710" t="inlineStr"/>
    </row>
    <row r="1711">
      <c r="A1711" t="inlineStr">
        <is>
          <t>13/07/2026</t>
        </is>
      </c>
      <c r="B1711" t="inlineStr">
        <is>
          <t>528000015</t>
        </is>
      </c>
      <c r="C1711" t="inlineStr">
        <is>
          <t>Erwin</t>
        </is>
      </c>
      <c r="D1711" t="inlineStr">
        <is>
          <t>LOG</t>
        </is>
      </c>
      <c r="E1711" t="inlineStr">
        <is>
          <t>WRM Harian</t>
        </is>
      </c>
      <c r="F1711" t="inlineStr">
        <is>
          <t>07:41:32</t>
        </is>
      </c>
      <c r="G1711" t="inlineStr">
        <is>
          <t>16:06:17</t>
        </is>
      </c>
      <c r="H1711" t="inlineStr">
        <is>
          <t>SELESAI</t>
        </is>
      </c>
      <c r="I1711" t="inlineStr">
        <is>
          <t>MK00213</t>
        </is>
      </c>
      <c r="J1711" t="inlineStr"/>
    </row>
    <row r="1712">
      <c r="A1712" t="inlineStr">
        <is>
          <t>13/07/2026</t>
        </is>
      </c>
      <c r="B1712" t="inlineStr">
        <is>
          <t>528000052</t>
        </is>
      </c>
      <c r="C1712" t="inlineStr">
        <is>
          <t>Mustopa</t>
        </is>
      </c>
      <c r="D1712" t="inlineStr">
        <is>
          <t>PROD</t>
        </is>
      </c>
      <c r="E1712" t="inlineStr">
        <is>
          <t>Produksi Harian</t>
        </is>
      </c>
      <c r="F1712" t="inlineStr"/>
      <c r="G1712" t="inlineStr">
        <is>
          <t>06:02:38</t>
        </is>
      </c>
      <c r="H1712" t="inlineStr">
        <is>
          <t>KELUAR TANPA MASUK</t>
        </is>
      </c>
      <c r="I1712" t="inlineStr">
        <is>
          <t>MK00121</t>
        </is>
      </c>
      <c r="J1712" t="inlineStr"/>
    </row>
    <row r="1713">
      <c r="A1713" t="inlineStr">
        <is>
          <t>13/07/2026</t>
        </is>
      </c>
      <c r="B1713" t="inlineStr">
        <is>
          <t>528000063</t>
        </is>
      </c>
      <c r="C1713" t="inlineStr">
        <is>
          <t>Muhamad Ripki Pebrian</t>
        </is>
      </c>
      <c r="D1713" t="inlineStr">
        <is>
          <t>PROD</t>
        </is>
      </c>
      <c r="E1713" t="inlineStr">
        <is>
          <t>Produksi Harian</t>
        </is>
      </c>
      <c r="F1713" t="inlineStr">
        <is>
          <t>05:56:42</t>
        </is>
      </c>
      <c r="G1713" t="inlineStr">
        <is>
          <t>14:04:20</t>
        </is>
      </c>
      <c r="H1713" t="inlineStr">
        <is>
          <t>SELESAI</t>
        </is>
      </c>
      <c r="I1713" t="inlineStr">
        <is>
          <t>MK00154</t>
        </is>
      </c>
      <c r="J1713" t="inlineStr"/>
    </row>
    <row r="1714">
      <c r="A1714" t="inlineStr">
        <is>
          <t>13/07/2026</t>
        </is>
      </c>
      <c r="B1714" t="inlineStr">
        <is>
          <t>528000069</t>
        </is>
      </c>
      <c r="C1714" t="inlineStr">
        <is>
          <t>Jajang Ardiansyah</t>
        </is>
      </c>
      <c r="D1714" t="inlineStr">
        <is>
          <t>PROD</t>
        </is>
      </c>
      <c r="E1714" t="inlineStr">
        <is>
          <t>Produksi Harian</t>
        </is>
      </c>
      <c r="F1714" t="inlineStr">
        <is>
          <t>06:04:19</t>
        </is>
      </c>
      <c r="G1714" t="inlineStr">
        <is>
          <t>21:27:20</t>
        </is>
      </c>
      <c r="H1714" t="inlineStr">
        <is>
          <t>SELESAI</t>
        </is>
      </c>
      <c r="I1714" t="inlineStr">
        <is>
          <t>MK00160</t>
        </is>
      </c>
      <c r="J1714" t="inlineStr"/>
    </row>
    <row r="1715">
      <c r="A1715" t="inlineStr">
        <is>
          <t>13/07/2026</t>
        </is>
      </c>
      <c r="B1715" t="inlineStr">
        <is>
          <t>528000090</t>
        </is>
      </c>
      <c r="C1715" t="inlineStr">
        <is>
          <t>Suganda</t>
        </is>
      </c>
      <c r="D1715" t="inlineStr">
        <is>
          <t>PROD</t>
        </is>
      </c>
      <c r="E1715" t="inlineStr">
        <is>
          <t>Produksi Harian</t>
        </is>
      </c>
      <c r="F1715" t="inlineStr">
        <is>
          <t>13:57:30</t>
        </is>
      </c>
      <c r="G1715" t="inlineStr">
        <is>
          <t>22:07:47</t>
        </is>
      </c>
      <c r="H1715" t="inlineStr">
        <is>
          <t>SELESAI</t>
        </is>
      </c>
      <c r="I1715" t="inlineStr">
        <is>
          <t>MK00055</t>
        </is>
      </c>
      <c r="J1715" t="inlineStr"/>
    </row>
    <row r="1716">
      <c r="A1716" t="inlineStr">
        <is>
          <t>13/07/2026</t>
        </is>
      </c>
      <c r="B1716" t="inlineStr">
        <is>
          <t>528000099</t>
        </is>
      </c>
      <c r="C1716" t="inlineStr">
        <is>
          <t>Siti Nurawaliah</t>
        </is>
      </c>
      <c r="D1716" t="inlineStr">
        <is>
          <t>PROD</t>
        </is>
      </c>
      <c r="E1716" t="inlineStr">
        <is>
          <t>Produksi Harian</t>
        </is>
      </c>
      <c r="F1716" t="inlineStr">
        <is>
          <t>13:43:53</t>
        </is>
      </c>
      <c r="G1716" t="inlineStr">
        <is>
          <t>22:07:58</t>
        </is>
      </c>
      <c r="H1716" t="inlineStr">
        <is>
          <t>SELESAI</t>
        </is>
      </c>
      <c r="I1716" t="inlineStr">
        <is>
          <t>MK00116</t>
        </is>
      </c>
      <c r="J1716" t="inlineStr"/>
    </row>
    <row r="1717">
      <c r="A1717" t="inlineStr">
        <is>
          <t>13/07/2026</t>
        </is>
      </c>
      <c r="B1717" t="inlineStr">
        <is>
          <t>528000132</t>
        </is>
      </c>
      <c r="C1717" t="inlineStr">
        <is>
          <t>Giopani</t>
        </is>
      </c>
      <c r="D1717" t="inlineStr">
        <is>
          <t>LOG</t>
        </is>
      </c>
      <c r="E1717" t="inlineStr">
        <is>
          <t>WRM Harian</t>
        </is>
      </c>
      <c r="F1717" t="inlineStr">
        <is>
          <t>08:49:27</t>
        </is>
      </c>
      <c r="G1717" t="inlineStr">
        <is>
          <t>17:04:05</t>
        </is>
      </c>
      <c r="H1717" t="inlineStr">
        <is>
          <t>SELESAI</t>
        </is>
      </c>
      <c r="I1717" t="inlineStr">
        <is>
          <t>MK00228</t>
        </is>
      </c>
      <c r="J1717" t="inlineStr"/>
    </row>
    <row r="1718">
      <c r="A1718" t="inlineStr">
        <is>
          <t>13/07/2026</t>
        </is>
      </c>
      <c r="B1718" t="inlineStr">
        <is>
          <t>528000144</t>
        </is>
      </c>
      <c r="C1718" t="inlineStr">
        <is>
          <t>Jodi Hanafi</t>
        </is>
      </c>
      <c r="D1718" t="inlineStr">
        <is>
          <t>LOG</t>
        </is>
      </c>
      <c r="E1718" t="inlineStr">
        <is>
          <t>WRM Harian</t>
        </is>
      </c>
      <c r="F1718" t="inlineStr">
        <is>
          <t>07:55:34</t>
        </is>
      </c>
      <c r="G1718" t="inlineStr">
        <is>
          <t>16:03:54</t>
        </is>
      </c>
      <c r="H1718" t="inlineStr">
        <is>
          <t>SELESAI</t>
        </is>
      </c>
      <c r="I1718" t="inlineStr">
        <is>
          <t>MK00221</t>
        </is>
      </c>
      <c r="J1718" t="inlineStr"/>
    </row>
    <row r="1719">
      <c r="A1719" t="inlineStr">
        <is>
          <t>13/07/2026</t>
        </is>
      </c>
      <c r="B1719" t="inlineStr">
        <is>
          <t>528000195</t>
        </is>
      </c>
      <c r="C1719" t="inlineStr">
        <is>
          <t>Rahma Sariwati</t>
        </is>
      </c>
      <c r="D1719" t="inlineStr">
        <is>
          <t>PROD</t>
        </is>
      </c>
      <c r="E1719" t="inlineStr">
        <is>
          <t>Produksi Harian</t>
        </is>
      </c>
      <c r="F1719" t="inlineStr"/>
      <c r="G1719" t="inlineStr">
        <is>
          <t>06:06:29</t>
        </is>
      </c>
      <c r="H1719" t="inlineStr">
        <is>
          <t>KELUAR TANPA MASUK</t>
        </is>
      </c>
      <c r="I1719" t="inlineStr">
        <is>
          <t>MK00126</t>
        </is>
      </c>
      <c r="J1719" t="inlineStr"/>
    </row>
    <row r="1720">
      <c r="A1720" t="inlineStr">
        <is>
          <t>13/07/2026</t>
        </is>
      </c>
      <c r="B1720" t="inlineStr">
        <is>
          <t>528000201</t>
        </is>
      </c>
      <c r="C1720" t="inlineStr">
        <is>
          <t>Zahwa Amelia Choerunissa</t>
        </is>
      </c>
      <c r="D1720" t="inlineStr">
        <is>
          <t>PROD</t>
        </is>
      </c>
      <c r="E1720" t="inlineStr">
        <is>
          <t>Produksi Harian</t>
        </is>
      </c>
      <c r="F1720" t="inlineStr">
        <is>
          <t>13:41:55</t>
        </is>
      </c>
      <c r="G1720" t="inlineStr">
        <is>
          <t>22:07:14</t>
        </is>
      </c>
      <c r="H1720" t="inlineStr">
        <is>
          <t>SELESAI</t>
        </is>
      </c>
      <c r="I1720" t="inlineStr">
        <is>
          <t>MK00203</t>
        </is>
      </c>
      <c r="J1720" t="inlineStr"/>
    </row>
    <row r="1721">
      <c r="A1721" t="inlineStr">
        <is>
          <t>13/07/2026</t>
        </is>
      </c>
      <c r="B1721" t="inlineStr">
        <is>
          <t>528000212</t>
        </is>
      </c>
      <c r="C1721" t="inlineStr">
        <is>
          <t>Rizal Fauzi</t>
        </is>
      </c>
      <c r="D1721" t="inlineStr">
        <is>
          <t>PROD</t>
        </is>
      </c>
      <c r="E1721" t="inlineStr">
        <is>
          <t>Produksi Harian</t>
        </is>
      </c>
      <c r="F1721" t="inlineStr">
        <is>
          <t>14:03:30</t>
        </is>
      </c>
      <c r="G1721" t="inlineStr"/>
      <c r="H1721" t="inlineStr">
        <is>
          <t>DI DALAM</t>
        </is>
      </c>
      <c r="I1721" t="inlineStr">
        <is>
          <t>MK00250</t>
        </is>
      </c>
      <c r="J1721" t="inlineStr"/>
    </row>
    <row r="1722">
      <c r="A1722" t="inlineStr">
        <is>
          <t>13/07/2026</t>
        </is>
      </c>
      <c r="B1722" t="inlineStr">
        <is>
          <t>528000232</t>
        </is>
      </c>
      <c r="C1722" t="inlineStr">
        <is>
          <t>Agung Aji Suhada</t>
        </is>
      </c>
      <c r="D1722" t="inlineStr">
        <is>
          <t>LOG</t>
        </is>
      </c>
      <c r="E1722" t="inlineStr">
        <is>
          <t>WRM Harian</t>
        </is>
      </c>
      <c r="F1722" t="inlineStr">
        <is>
          <t>08:48:28</t>
        </is>
      </c>
      <c r="G1722" t="inlineStr">
        <is>
          <t>17:04:52</t>
        </is>
      </c>
      <c r="H1722" t="inlineStr">
        <is>
          <t>SELESAI</t>
        </is>
      </c>
      <c r="I1722" t="inlineStr">
        <is>
          <t>MK00210</t>
        </is>
      </c>
      <c r="J1722" t="inlineStr"/>
    </row>
    <row r="1723">
      <c r="A1723" t="inlineStr">
        <is>
          <t>13/07/2026</t>
        </is>
      </c>
      <c r="B1723" t="inlineStr">
        <is>
          <t>528000238</t>
        </is>
      </c>
      <c r="C1723" t="inlineStr">
        <is>
          <t>Indah Lusiana</t>
        </is>
      </c>
      <c r="D1723" t="inlineStr">
        <is>
          <t>PROD</t>
        </is>
      </c>
      <c r="E1723" t="inlineStr">
        <is>
          <t>Produksi Harian</t>
        </is>
      </c>
      <c r="F1723" t="inlineStr"/>
      <c r="G1723" t="inlineStr">
        <is>
          <t>06:10:35</t>
        </is>
      </c>
      <c r="H1723" t="inlineStr">
        <is>
          <t>KELUAR TANPA MASUK</t>
        </is>
      </c>
      <c r="I1723" t="inlineStr">
        <is>
          <t>MK00213</t>
        </is>
      </c>
      <c r="J1723" t="inlineStr"/>
    </row>
    <row r="1724">
      <c r="A1724" t="inlineStr">
        <is>
          <t>13/07/2026</t>
        </is>
      </c>
      <c r="B1724" t="inlineStr">
        <is>
          <t>528000244</t>
        </is>
      </c>
      <c r="C1724" t="inlineStr">
        <is>
          <t>Rodian Rifai</t>
        </is>
      </c>
      <c r="D1724" t="inlineStr">
        <is>
          <t>PROD</t>
        </is>
      </c>
      <c r="E1724" t="inlineStr">
        <is>
          <t>Produksi Harian</t>
        </is>
      </c>
      <c r="F1724" t="inlineStr">
        <is>
          <t>13:52:46</t>
        </is>
      </c>
      <c r="G1724" t="inlineStr">
        <is>
          <t>22:54:18</t>
        </is>
      </c>
      <c r="H1724" t="inlineStr">
        <is>
          <t>SELESAI</t>
        </is>
      </c>
      <c r="I1724" t="inlineStr">
        <is>
          <t>MK00158</t>
        </is>
      </c>
      <c r="J1724" t="inlineStr"/>
    </row>
    <row r="1725">
      <c r="A1725" t="inlineStr">
        <is>
          <t>13/07/2026</t>
        </is>
      </c>
      <c r="B1725" t="inlineStr">
        <is>
          <t>528000261</t>
        </is>
      </c>
      <c r="C1725" t="inlineStr">
        <is>
          <t>Ergi Ergianto</t>
        </is>
      </c>
      <c r="D1725" t="inlineStr">
        <is>
          <t>HRGA</t>
        </is>
      </c>
      <c r="E1725" t="inlineStr">
        <is>
          <t>GA Harian</t>
        </is>
      </c>
      <c r="F1725" t="inlineStr"/>
      <c r="G1725" t="inlineStr">
        <is>
          <t>06:03:28</t>
        </is>
      </c>
      <c r="H1725" t="inlineStr">
        <is>
          <t>KELUAR TANPA MASUK</t>
        </is>
      </c>
      <c r="I1725" t="inlineStr">
        <is>
          <t>MK00208</t>
        </is>
      </c>
      <c r="J1725" t="inlineStr"/>
    </row>
    <row r="1726">
      <c r="A1726" t="inlineStr">
        <is>
          <t>13/07/2026</t>
        </is>
      </c>
      <c r="B1726" t="inlineStr">
        <is>
          <t>528000262</t>
        </is>
      </c>
      <c r="C1726" t="inlineStr">
        <is>
          <t>Ndari Dwiwanti</t>
        </is>
      </c>
      <c r="D1726" t="inlineStr">
        <is>
          <t>PROD</t>
        </is>
      </c>
      <c r="E1726" t="inlineStr">
        <is>
          <t>Produksi Harian</t>
        </is>
      </c>
      <c r="F1726" t="inlineStr"/>
      <c r="G1726" t="inlineStr">
        <is>
          <t>06:04:00</t>
        </is>
      </c>
      <c r="H1726" t="inlineStr">
        <is>
          <t>KELUAR TANPA MASUK</t>
        </is>
      </c>
      <c r="I1726" t="inlineStr">
        <is>
          <t>MK00160</t>
        </is>
      </c>
      <c r="J1726" t="inlineStr"/>
    </row>
    <row r="1727">
      <c r="A1727" t="inlineStr">
        <is>
          <t>13/07/2026</t>
        </is>
      </c>
      <c r="B1727" t="inlineStr">
        <is>
          <t>528000265</t>
        </is>
      </c>
      <c r="C1727" t="inlineStr">
        <is>
          <t>Muhammad Haerul Rozikin</t>
        </is>
      </c>
      <c r="D1727" t="inlineStr">
        <is>
          <t>LOG</t>
        </is>
      </c>
      <c r="E1727" t="inlineStr">
        <is>
          <t>WRM Harian</t>
        </is>
      </c>
      <c r="F1727" t="inlineStr">
        <is>
          <t>07:43:22</t>
        </is>
      </c>
      <c r="G1727" t="inlineStr">
        <is>
          <t>16:02:05</t>
        </is>
      </c>
      <c r="H1727" t="inlineStr">
        <is>
          <t>SELESAI</t>
        </is>
      </c>
      <c r="I1727" t="inlineStr">
        <is>
          <t>MK00181</t>
        </is>
      </c>
      <c r="J1727" t="inlineStr"/>
    </row>
    <row r="1728">
      <c r="A1728" t="inlineStr">
        <is>
          <t>13/07/2026</t>
        </is>
      </c>
      <c r="B1728" t="inlineStr">
        <is>
          <t>528000266</t>
        </is>
      </c>
      <c r="C1728" t="inlineStr">
        <is>
          <t>M. Syirajatieq</t>
        </is>
      </c>
      <c r="D1728" t="inlineStr">
        <is>
          <t>LOG</t>
        </is>
      </c>
      <c r="E1728" t="inlineStr">
        <is>
          <t>WFG Harian</t>
        </is>
      </c>
      <c r="F1728" t="inlineStr"/>
      <c r="G1728" t="inlineStr">
        <is>
          <t>06:21:23</t>
        </is>
      </c>
      <c r="H1728" t="inlineStr">
        <is>
          <t>KELUAR TANPA MASUK</t>
        </is>
      </c>
      <c r="I1728" t="inlineStr">
        <is>
          <t>MK00109</t>
        </is>
      </c>
      <c r="J1728" t="inlineStr"/>
    </row>
    <row r="1729">
      <c r="A1729" t="inlineStr">
        <is>
          <t>13/07/2026</t>
        </is>
      </c>
      <c r="B1729" t="inlineStr">
        <is>
          <t>528000270</t>
        </is>
      </c>
      <c r="C1729" t="inlineStr">
        <is>
          <t>Febri Najmudin</t>
        </is>
      </c>
      <c r="D1729" t="inlineStr">
        <is>
          <t>LOG</t>
        </is>
      </c>
      <c r="E1729" t="inlineStr">
        <is>
          <t>WRM Harian</t>
        </is>
      </c>
      <c r="F1729" t="inlineStr">
        <is>
          <t>21:42:24</t>
        </is>
      </c>
      <c r="G1729" t="inlineStr"/>
      <c r="H1729" t="inlineStr">
        <is>
          <t>DI DALAM</t>
        </is>
      </c>
      <c r="I1729" t="inlineStr">
        <is>
          <t>MK00213</t>
        </is>
      </c>
      <c r="J1729" t="inlineStr"/>
    </row>
    <row r="1730">
      <c r="A1730" t="inlineStr">
        <is>
          <t>13/07/2026</t>
        </is>
      </c>
      <c r="B1730" t="inlineStr">
        <is>
          <t>528000274</t>
        </is>
      </c>
      <c r="C1730" t="inlineStr">
        <is>
          <t>Zepri</t>
        </is>
      </c>
      <c r="D1730" t="inlineStr">
        <is>
          <t>PROD</t>
        </is>
      </c>
      <c r="E1730" t="inlineStr">
        <is>
          <t>Produksi Harian</t>
        </is>
      </c>
      <c r="F1730" t="inlineStr">
        <is>
          <t>13:57:34</t>
        </is>
      </c>
      <c r="G1730" t="inlineStr">
        <is>
          <t>22:05:58</t>
        </is>
      </c>
      <c r="H1730" t="inlineStr">
        <is>
          <t>SELESAI</t>
        </is>
      </c>
      <c r="I1730" t="inlineStr">
        <is>
          <t>MK00136</t>
        </is>
      </c>
      <c r="J1730" t="inlineStr"/>
    </row>
    <row r="1731">
      <c r="A1731" t="inlineStr">
        <is>
          <t>13/07/2026</t>
        </is>
      </c>
      <c r="B1731" t="inlineStr">
        <is>
          <t>528000279</t>
        </is>
      </c>
      <c r="C1731" t="inlineStr">
        <is>
          <t>Mahdalena Dalfa Riani</t>
        </is>
      </c>
      <c r="D1731" t="inlineStr">
        <is>
          <t>PROD</t>
        </is>
      </c>
      <c r="E1731" t="inlineStr">
        <is>
          <t>Produksi Harian</t>
        </is>
      </c>
      <c r="F1731" t="inlineStr">
        <is>
          <t>05:50:42</t>
        </is>
      </c>
      <c r="G1731" t="inlineStr">
        <is>
          <t>14:11:40</t>
        </is>
      </c>
      <c r="H1731" t="inlineStr">
        <is>
          <t>SELESAI</t>
        </is>
      </c>
      <c r="I1731" t="inlineStr">
        <is>
          <t>MK00235</t>
        </is>
      </c>
      <c r="J1731" t="inlineStr"/>
    </row>
    <row r="1732">
      <c r="A1732" t="inlineStr">
        <is>
          <t>13/07/2026</t>
        </is>
      </c>
      <c r="B1732" t="inlineStr">
        <is>
          <t>528000282</t>
        </is>
      </c>
      <c r="C1732" t="inlineStr">
        <is>
          <t>Defa Desfiana</t>
        </is>
      </c>
      <c r="D1732" t="inlineStr">
        <is>
          <t>PROD</t>
        </is>
      </c>
      <c r="E1732" t="inlineStr">
        <is>
          <t>Produksi Harian</t>
        </is>
      </c>
      <c r="F1732" t="inlineStr">
        <is>
          <t>07:32:20</t>
        </is>
      </c>
      <c r="G1732" t="inlineStr">
        <is>
          <t>16:02:22</t>
        </is>
      </c>
      <c r="H1732" t="inlineStr">
        <is>
          <t>SELESAI</t>
        </is>
      </c>
      <c r="I1732" t="inlineStr">
        <is>
          <t>MK00212</t>
        </is>
      </c>
      <c r="J1732" t="inlineStr">
        <is>
          <t>22b</t>
        </is>
      </c>
    </row>
    <row r="1733">
      <c r="A1733" t="inlineStr">
        <is>
          <t>13/07/2026</t>
        </is>
      </c>
      <c r="B1733" t="inlineStr">
        <is>
          <t>528000283</t>
        </is>
      </c>
      <c r="C1733" t="inlineStr">
        <is>
          <t>Purwanda Sugiri</t>
        </is>
      </c>
      <c r="D1733" t="inlineStr">
        <is>
          <t>LOG</t>
        </is>
      </c>
      <c r="E1733" t="inlineStr">
        <is>
          <t>WRM Harian</t>
        </is>
      </c>
      <c r="F1733" t="inlineStr"/>
      <c r="G1733" t="inlineStr">
        <is>
          <t>06:02:32</t>
        </is>
      </c>
      <c r="H1733" t="inlineStr">
        <is>
          <t>KELUAR TANPA MASUK</t>
        </is>
      </c>
      <c r="I1733" t="inlineStr">
        <is>
          <t>MK00113</t>
        </is>
      </c>
      <c r="J1733" t="inlineStr"/>
    </row>
    <row r="1734">
      <c r="A1734" t="inlineStr">
        <is>
          <t>13/07/2026</t>
        </is>
      </c>
      <c r="B1734" t="inlineStr">
        <is>
          <t>528000286</t>
        </is>
      </c>
      <c r="C1734" t="inlineStr">
        <is>
          <t>Imelda Amelia</t>
        </is>
      </c>
      <c r="D1734" t="inlineStr">
        <is>
          <t>PROD</t>
        </is>
      </c>
      <c r="E1734" t="inlineStr">
        <is>
          <t>Produksi Harian</t>
        </is>
      </c>
      <c r="F1734" t="inlineStr">
        <is>
          <t>13:49:42</t>
        </is>
      </c>
      <c r="G1734" t="inlineStr">
        <is>
          <t>22:07:43</t>
        </is>
      </c>
      <c r="H1734" t="inlineStr">
        <is>
          <t>SELESAI</t>
        </is>
      </c>
      <c r="I1734" t="inlineStr">
        <is>
          <t>MK00148</t>
        </is>
      </c>
      <c r="J1734" t="inlineStr"/>
    </row>
    <row r="1735">
      <c r="A1735" t="inlineStr">
        <is>
          <t>13/07/2026</t>
        </is>
      </c>
      <c r="B1735" t="inlineStr">
        <is>
          <t>528000288</t>
        </is>
      </c>
      <c r="C1735" t="inlineStr">
        <is>
          <t>Dede gunawan</t>
        </is>
      </c>
      <c r="D1735" t="inlineStr">
        <is>
          <t>PROD</t>
        </is>
      </c>
      <c r="E1735" t="inlineStr">
        <is>
          <t>Produksi Harian</t>
        </is>
      </c>
      <c r="F1735" t="inlineStr"/>
      <c r="G1735" t="inlineStr">
        <is>
          <t>21:35:17</t>
        </is>
      </c>
      <c r="H1735" t="inlineStr">
        <is>
          <t>KELUAR TANPA MASUK</t>
        </is>
      </c>
      <c r="I1735" t="inlineStr">
        <is>
          <t>MK00126</t>
        </is>
      </c>
      <c r="J1735" t="inlineStr"/>
    </row>
    <row r="1736">
      <c r="A1736" t="inlineStr">
        <is>
          <t>13/07/2026</t>
        </is>
      </c>
      <c r="B1736" t="inlineStr">
        <is>
          <t>528000289</t>
        </is>
      </c>
      <c r="C1736" t="inlineStr">
        <is>
          <t>Adit Supriyadi</t>
        </is>
      </c>
      <c r="D1736" t="inlineStr">
        <is>
          <t>PROD</t>
        </is>
      </c>
      <c r="E1736" t="inlineStr">
        <is>
          <t>Produksi Harian</t>
        </is>
      </c>
      <c r="F1736" t="inlineStr">
        <is>
          <t>13:49:36</t>
        </is>
      </c>
      <c r="G1736" t="inlineStr">
        <is>
          <t>13:48:39</t>
        </is>
      </c>
      <c r="H1736" t="inlineStr">
        <is>
          <t>SELESAI</t>
        </is>
      </c>
      <c r="I1736" t="inlineStr">
        <is>
          <t>MK00192</t>
        </is>
      </c>
      <c r="J1736" t="inlineStr"/>
    </row>
    <row r="1737">
      <c r="A1737" t="inlineStr">
        <is>
          <t>13/07/2026</t>
        </is>
      </c>
      <c r="B1737" t="inlineStr">
        <is>
          <t>528000290</t>
        </is>
      </c>
      <c r="C1737" t="inlineStr">
        <is>
          <t>Eval Pranata</t>
        </is>
      </c>
      <c r="D1737" t="inlineStr">
        <is>
          <t>PROD</t>
        </is>
      </c>
      <c r="E1737" t="inlineStr">
        <is>
          <t>Produksi Harian</t>
        </is>
      </c>
      <c r="F1737" t="inlineStr">
        <is>
          <t>13:54:52</t>
        </is>
      </c>
      <c r="G1737" t="inlineStr">
        <is>
          <t>22:06:57</t>
        </is>
      </c>
      <c r="H1737" t="inlineStr">
        <is>
          <t>SELESAI</t>
        </is>
      </c>
      <c r="I1737" t="inlineStr">
        <is>
          <t>MK0008</t>
        </is>
      </c>
      <c r="J1737" t="inlineStr"/>
    </row>
    <row r="1738">
      <c r="A1738" t="inlineStr">
        <is>
          <t>13/07/2026</t>
        </is>
      </c>
      <c r="B1738" t="inlineStr">
        <is>
          <t>528000297</t>
        </is>
      </c>
      <c r="C1738" t="inlineStr">
        <is>
          <t>Muhamad Budiana</t>
        </is>
      </c>
      <c r="D1738" t="inlineStr">
        <is>
          <t>PROD</t>
        </is>
      </c>
      <c r="E1738" t="inlineStr">
        <is>
          <t>Produksi Harian</t>
        </is>
      </c>
      <c r="F1738" t="inlineStr">
        <is>
          <t>05:53:40</t>
        </is>
      </c>
      <c r="G1738" t="inlineStr">
        <is>
          <t>14:58:22</t>
        </is>
      </c>
      <c r="H1738" t="inlineStr">
        <is>
          <t>SELESAI</t>
        </is>
      </c>
      <c r="I1738" t="inlineStr">
        <is>
          <t>MK00134</t>
        </is>
      </c>
      <c r="J1738" t="inlineStr"/>
    </row>
    <row r="1739">
      <c r="A1739" t="inlineStr">
        <is>
          <t>13/07/2026</t>
        </is>
      </c>
      <c r="B1739" t="inlineStr">
        <is>
          <t>528000298</t>
        </is>
      </c>
      <c r="C1739" t="inlineStr">
        <is>
          <t>Desta Cahaya Pratama</t>
        </is>
      </c>
      <c r="D1739" t="inlineStr">
        <is>
          <t>PROD</t>
        </is>
      </c>
      <c r="E1739" t="inlineStr">
        <is>
          <t>Produksi Harian</t>
        </is>
      </c>
      <c r="F1739" t="inlineStr">
        <is>
          <t>21:44:19</t>
        </is>
      </c>
      <c r="G1739" t="inlineStr"/>
      <c r="H1739" t="inlineStr">
        <is>
          <t>DI DALAM</t>
        </is>
      </c>
      <c r="I1739" t="inlineStr">
        <is>
          <t>MK00134</t>
        </is>
      </c>
      <c r="J1739" t="inlineStr"/>
    </row>
    <row r="1740">
      <c r="A1740" t="inlineStr">
        <is>
          <t>13/07/2026</t>
        </is>
      </c>
      <c r="B1740" t="inlineStr">
        <is>
          <t>528000299</t>
        </is>
      </c>
      <c r="C1740" t="inlineStr">
        <is>
          <t>Siti Nurjanah</t>
        </is>
      </c>
      <c r="D1740" t="inlineStr">
        <is>
          <t>PROD</t>
        </is>
      </c>
      <c r="E1740" t="inlineStr">
        <is>
          <t>Produksi Harian</t>
        </is>
      </c>
      <c r="F1740" t="inlineStr">
        <is>
          <t>21:45:21</t>
        </is>
      </c>
      <c r="G1740" t="inlineStr"/>
      <c r="H1740" t="inlineStr">
        <is>
          <t>DI DALAM</t>
        </is>
      </c>
      <c r="I1740" t="inlineStr">
        <is>
          <t>MK00126</t>
        </is>
      </c>
      <c r="J1740" t="inlineStr"/>
    </row>
    <row r="1741">
      <c r="A1741" t="inlineStr">
        <is>
          <t>13/07/2026</t>
        </is>
      </c>
      <c r="B1741" t="inlineStr">
        <is>
          <t>528000300</t>
        </is>
      </c>
      <c r="C1741" t="inlineStr">
        <is>
          <t>Lia pitaloka</t>
        </is>
      </c>
      <c r="D1741" t="inlineStr">
        <is>
          <t>PROD</t>
        </is>
      </c>
      <c r="E1741" t="inlineStr">
        <is>
          <t>Produksi Harian</t>
        </is>
      </c>
      <c r="F1741" t="inlineStr">
        <is>
          <t>05:58:45</t>
        </is>
      </c>
      <c r="G1741" t="inlineStr">
        <is>
          <t>14:09:33</t>
        </is>
      </c>
      <c r="H1741" t="inlineStr">
        <is>
          <t>SELESAI</t>
        </is>
      </c>
      <c r="I1741" t="inlineStr">
        <is>
          <t>MK00082</t>
        </is>
      </c>
      <c r="J1741" t="inlineStr"/>
    </row>
    <row r="1742">
      <c r="A1742" t="inlineStr">
        <is>
          <t>13/07/2026</t>
        </is>
      </c>
      <c r="B1742" t="inlineStr">
        <is>
          <t>528000302</t>
        </is>
      </c>
      <c r="C1742" t="inlineStr">
        <is>
          <t>Henkey gumilar</t>
        </is>
      </c>
      <c r="D1742" t="inlineStr">
        <is>
          <t>PROD</t>
        </is>
      </c>
      <c r="E1742" t="inlineStr">
        <is>
          <t>Produksi Harian</t>
        </is>
      </c>
      <c r="F1742" t="inlineStr">
        <is>
          <t>21:54:14</t>
        </is>
      </c>
      <c r="G1742" t="inlineStr"/>
      <c r="H1742" t="inlineStr">
        <is>
          <t>DI DALAM</t>
        </is>
      </c>
      <c r="I1742" t="inlineStr">
        <is>
          <t>MK00082</t>
        </is>
      </c>
      <c r="J1742" t="inlineStr"/>
    </row>
    <row r="1743">
      <c r="A1743" t="inlineStr">
        <is>
          <t>13/07/2026</t>
        </is>
      </c>
      <c r="B1743" t="inlineStr">
        <is>
          <t>528000305</t>
        </is>
      </c>
      <c r="C1743" t="inlineStr">
        <is>
          <t>Puji Puspita</t>
        </is>
      </c>
      <c r="D1743" t="inlineStr">
        <is>
          <t>PROD</t>
        </is>
      </c>
      <c r="E1743" t="inlineStr">
        <is>
          <t>Produksi Harian</t>
        </is>
      </c>
      <c r="F1743" t="inlineStr">
        <is>
          <t>21:44:46</t>
        </is>
      </c>
      <c r="G1743" t="inlineStr"/>
      <c r="H1743" t="inlineStr">
        <is>
          <t>DI DALAM</t>
        </is>
      </c>
      <c r="I1743" t="inlineStr">
        <is>
          <t>MK00230</t>
        </is>
      </c>
      <c r="J1743" t="inlineStr"/>
    </row>
    <row r="1744">
      <c r="A1744" t="inlineStr">
        <is>
          <t>13/07/2026</t>
        </is>
      </c>
      <c r="B1744" t="inlineStr">
        <is>
          <t>528000309</t>
        </is>
      </c>
      <c r="C1744" t="inlineStr">
        <is>
          <t>Ilham Ramadhan</t>
        </is>
      </c>
      <c r="D1744" t="inlineStr">
        <is>
          <t>LOG</t>
        </is>
      </c>
      <c r="E1744" t="inlineStr">
        <is>
          <t>WRM Harian</t>
        </is>
      </c>
      <c r="F1744" t="inlineStr">
        <is>
          <t>21:48:36</t>
        </is>
      </c>
      <c r="G1744" t="inlineStr"/>
      <c r="H1744" t="inlineStr">
        <is>
          <t>DI DALAM</t>
        </is>
      </c>
      <c r="I1744" t="inlineStr">
        <is>
          <t>MK00250</t>
        </is>
      </c>
      <c r="J1744" t="inlineStr"/>
    </row>
    <row r="1745">
      <c r="A1745" t="inlineStr">
        <is>
          <t>13/07/2026</t>
        </is>
      </c>
      <c r="B1745" t="inlineStr">
        <is>
          <t>528000310</t>
        </is>
      </c>
      <c r="C1745" t="inlineStr">
        <is>
          <t>Fachrul Rozzi Suryana</t>
        </is>
      </c>
      <c r="D1745" t="inlineStr">
        <is>
          <t>LOG</t>
        </is>
      </c>
      <c r="E1745" t="inlineStr">
        <is>
          <t>WRM Harian</t>
        </is>
      </c>
      <c r="F1745" t="inlineStr">
        <is>
          <t>07:56:32</t>
        </is>
      </c>
      <c r="G1745" t="inlineStr">
        <is>
          <t>16:04:20</t>
        </is>
      </c>
      <c r="H1745" t="inlineStr">
        <is>
          <t>SELESAI</t>
        </is>
      </c>
      <c r="I1745" t="inlineStr">
        <is>
          <t>MK00093</t>
        </is>
      </c>
      <c r="J1745" t="inlineStr">
        <is>
          <t>32B</t>
        </is>
      </c>
    </row>
    <row r="1746">
      <c r="A1746" t="inlineStr">
        <is>
          <t>13/07/2026</t>
        </is>
      </c>
      <c r="B1746" t="inlineStr">
        <is>
          <t>528000313</t>
        </is>
      </c>
      <c r="C1746" t="inlineStr">
        <is>
          <t>Muhamad Rifki</t>
        </is>
      </c>
      <c r="D1746" t="inlineStr">
        <is>
          <t>PROD</t>
        </is>
      </c>
      <c r="E1746" t="inlineStr">
        <is>
          <t>Produksi Harian</t>
        </is>
      </c>
      <c r="F1746" t="inlineStr">
        <is>
          <t>21:05:08</t>
        </is>
      </c>
      <c r="G1746" t="inlineStr"/>
      <c r="H1746" t="inlineStr">
        <is>
          <t>DI DALAM</t>
        </is>
      </c>
      <c r="I1746" t="inlineStr">
        <is>
          <t>MK00208</t>
        </is>
      </c>
      <c r="J1746" t="inlineStr"/>
    </row>
    <row r="1747">
      <c r="A1747" t="inlineStr">
        <is>
          <t>13/07/2026</t>
        </is>
      </c>
      <c r="B1747" t="inlineStr">
        <is>
          <t>528000314</t>
        </is>
      </c>
      <c r="C1747" t="inlineStr">
        <is>
          <t>Rusmana</t>
        </is>
      </c>
      <c r="D1747" t="inlineStr">
        <is>
          <t>PROD</t>
        </is>
      </c>
      <c r="E1747" t="inlineStr">
        <is>
          <t>Produksi Harian</t>
        </is>
      </c>
      <c r="F1747" t="inlineStr">
        <is>
          <t>07:58:45</t>
        </is>
      </c>
      <c r="G1747" t="inlineStr">
        <is>
          <t>16:05:57</t>
        </is>
      </c>
      <c r="H1747" t="inlineStr">
        <is>
          <t>SELESAI</t>
        </is>
      </c>
      <c r="I1747" t="inlineStr">
        <is>
          <t>MK00204</t>
        </is>
      </c>
      <c r="J1747" t="inlineStr"/>
    </row>
    <row r="1748">
      <c r="A1748" t="inlineStr">
        <is>
          <t>13/07/2026</t>
        </is>
      </c>
      <c r="B1748" t="inlineStr">
        <is>
          <t>528000318</t>
        </is>
      </c>
      <c r="C1748" t="inlineStr">
        <is>
          <t>Bayu Padli Sepriyana</t>
        </is>
      </c>
      <c r="D1748" t="inlineStr">
        <is>
          <t>LOG</t>
        </is>
      </c>
      <c r="E1748" t="inlineStr">
        <is>
          <t>WRM Harian</t>
        </is>
      </c>
      <c r="F1748" t="inlineStr">
        <is>
          <t>13:51:51</t>
        </is>
      </c>
      <c r="G1748" t="inlineStr">
        <is>
          <t>22:07:09</t>
        </is>
      </c>
      <c r="H1748" t="inlineStr">
        <is>
          <t>SELESAI</t>
        </is>
      </c>
      <c r="I1748" t="inlineStr">
        <is>
          <t>MK00112</t>
        </is>
      </c>
      <c r="J1748" t="inlineStr"/>
    </row>
    <row r="1749">
      <c r="A1749" t="inlineStr">
        <is>
          <t>13/07/2026</t>
        </is>
      </c>
      <c r="B1749" t="inlineStr">
        <is>
          <t>528000335</t>
        </is>
      </c>
      <c r="C1749" t="inlineStr">
        <is>
          <t>Rizal Saepuloh</t>
        </is>
      </c>
      <c r="D1749" t="inlineStr">
        <is>
          <t>LOG</t>
        </is>
      </c>
      <c r="E1749" t="inlineStr">
        <is>
          <t>WRM Harian</t>
        </is>
      </c>
      <c r="F1749" t="inlineStr">
        <is>
          <t>07:54:46</t>
        </is>
      </c>
      <c r="G1749" t="inlineStr">
        <is>
          <t>16:05:08</t>
        </is>
      </c>
      <c r="H1749" t="inlineStr">
        <is>
          <t>SELESAI</t>
        </is>
      </c>
      <c r="I1749" t="inlineStr">
        <is>
          <t>MK00046</t>
        </is>
      </c>
      <c r="J1749" t="inlineStr"/>
    </row>
    <row r="1750">
      <c r="A1750" t="inlineStr">
        <is>
          <t>13/07/2026</t>
        </is>
      </c>
      <c r="B1750" t="inlineStr">
        <is>
          <t>528000336</t>
        </is>
      </c>
      <c r="C1750" t="inlineStr">
        <is>
          <t>Ali Nurhanafi</t>
        </is>
      </c>
      <c r="D1750" t="inlineStr">
        <is>
          <t>PROD</t>
        </is>
      </c>
      <c r="E1750" t="inlineStr">
        <is>
          <t>Produksi Harian</t>
        </is>
      </c>
      <c r="F1750" t="inlineStr"/>
      <c r="G1750" t="inlineStr">
        <is>
          <t>21:57:14</t>
        </is>
      </c>
      <c r="H1750" t="inlineStr">
        <is>
          <t>KELUAR TANPA MASUK</t>
        </is>
      </c>
      <c r="I1750" t="inlineStr">
        <is>
          <t>MK00185</t>
        </is>
      </c>
      <c r="J1750" t="inlineStr"/>
    </row>
    <row r="1751">
      <c r="A1751" t="inlineStr">
        <is>
          <t>13/07/2026</t>
        </is>
      </c>
      <c r="B1751" t="inlineStr">
        <is>
          <t>528000337</t>
        </is>
      </c>
      <c r="C1751" t="inlineStr">
        <is>
          <t>Ahmad Zaldi Firdaus</t>
        </is>
      </c>
      <c r="D1751" t="inlineStr">
        <is>
          <t>PROD</t>
        </is>
      </c>
      <c r="E1751" t="inlineStr">
        <is>
          <t>Produksi Harian</t>
        </is>
      </c>
      <c r="F1751" t="inlineStr">
        <is>
          <t>20:42:02</t>
        </is>
      </c>
      <c r="G1751" t="inlineStr">
        <is>
          <t>06:06:36</t>
        </is>
      </c>
      <c r="H1751" t="inlineStr">
        <is>
          <t>SELESAI</t>
        </is>
      </c>
      <c r="I1751" t="inlineStr">
        <is>
          <t>MK00202</t>
        </is>
      </c>
      <c r="J1751" t="inlineStr"/>
    </row>
    <row r="1752">
      <c r="A1752" t="inlineStr">
        <is>
          <t>13/07/2026</t>
        </is>
      </c>
      <c r="B1752" t="inlineStr">
        <is>
          <t>528000340</t>
        </is>
      </c>
      <c r="C1752" t="inlineStr">
        <is>
          <t>Muhammad Wildan Adithya</t>
        </is>
      </c>
      <c r="D1752" t="inlineStr">
        <is>
          <t>PROD</t>
        </is>
      </c>
      <c r="E1752" t="inlineStr">
        <is>
          <t>Produksi Harian</t>
        </is>
      </c>
      <c r="F1752" t="inlineStr">
        <is>
          <t>13:01:07</t>
        </is>
      </c>
      <c r="G1752" t="inlineStr">
        <is>
          <t>22:08:09</t>
        </is>
      </c>
      <c r="H1752" t="inlineStr">
        <is>
          <t>SELESAI</t>
        </is>
      </c>
      <c r="I1752" t="inlineStr">
        <is>
          <t>MK00141</t>
        </is>
      </c>
      <c r="J1752" t="inlineStr"/>
    </row>
    <row r="1753">
      <c r="A1753" t="inlineStr">
        <is>
          <t>13/07/2026</t>
        </is>
      </c>
      <c r="B1753" t="inlineStr">
        <is>
          <t>528000348</t>
        </is>
      </c>
      <c r="C1753" t="inlineStr">
        <is>
          <t>Saepuloh Ardiansah</t>
        </is>
      </c>
      <c r="D1753" t="inlineStr">
        <is>
          <t>LOG</t>
        </is>
      </c>
      <c r="E1753" t="inlineStr">
        <is>
          <t>WRM Harian</t>
        </is>
      </c>
      <c r="F1753" t="inlineStr">
        <is>
          <t>08:55:41</t>
        </is>
      </c>
      <c r="G1753" t="inlineStr">
        <is>
          <t>17:20:54</t>
        </is>
      </c>
      <c r="H1753" t="inlineStr">
        <is>
          <t>SELESAI</t>
        </is>
      </c>
      <c r="I1753" t="inlineStr">
        <is>
          <t>MK00205</t>
        </is>
      </c>
      <c r="J1753" t="inlineStr"/>
    </row>
    <row r="1754">
      <c r="A1754" t="inlineStr">
        <is>
          <t>13/07/2026</t>
        </is>
      </c>
      <c r="B1754" t="inlineStr">
        <is>
          <t>528000349</t>
        </is>
      </c>
      <c r="C1754" t="inlineStr">
        <is>
          <t>Anas Abdul Fatah</t>
        </is>
      </c>
      <c r="D1754" t="inlineStr">
        <is>
          <t>LOG</t>
        </is>
      </c>
      <c r="E1754" t="inlineStr">
        <is>
          <t>WFG Harian</t>
        </is>
      </c>
      <c r="F1754" t="inlineStr">
        <is>
          <t>09:45:43</t>
        </is>
      </c>
      <c r="G1754" t="inlineStr">
        <is>
          <t>18:13:17</t>
        </is>
      </c>
      <c r="H1754" t="inlineStr">
        <is>
          <t>SELESAI</t>
        </is>
      </c>
      <c r="I1754" t="inlineStr">
        <is>
          <t>MK00249</t>
        </is>
      </c>
      <c r="J1754" t="inlineStr"/>
    </row>
    <row r="1755">
      <c r="A1755" t="inlineStr">
        <is>
          <t>13/07/2026</t>
        </is>
      </c>
      <c r="B1755" t="inlineStr">
        <is>
          <t>528000358</t>
        </is>
      </c>
      <c r="C1755" t="inlineStr">
        <is>
          <t>Lulu Agustin</t>
        </is>
      </c>
      <c r="D1755" t="inlineStr">
        <is>
          <t>PROD</t>
        </is>
      </c>
      <c r="E1755" t="inlineStr">
        <is>
          <t>Produksi Harian</t>
        </is>
      </c>
      <c r="F1755" t="inlineStr"/>
      <c r="G1755" t="inlineStr">
        <is>
          <t>06:03:39</t>
        </is>
      </c>
      <c r="H1755" t="inlineStr">
        <is>
          <t>KELUAR TANPA MASUK</t>
        </is>
      </c>
      <c r="I1755" t="inlineStr">
        <is>
          <t>MK00154</t>
        </is>
      </c>
      <c r="J1755" t="inlineStr"/>
    </row>
    <row r="1756">
      <c r="A1756" t="inlineStr">
        <is>
          <t>13/07/2026</t>
        </is>
      </c>
      <c r="B1756" t="inlineStr">
        <is>
          <t>528000359</t>
        </is>
      </c>
      <c r="C1756" t="inlineStr">
        <is>
          <t>M. Iqbal Maulana. S</t>
        </is>
      </c>
      <c r="D1756" t="inlineStr">
        <is>
          <t>LOG</t>
        </is>
      </c>
      <c r="E1756" t="inlineStr">
        <is>
          <t>WRM Harian</t>
        </is>
      </c>
      <c r="F1756" t="inlineStr">
        <is>
          <t>05:51:21</t>
        </is>
      </c>
      <c r="G1756" t="inlineStr">
        <is>
          <t>14:05:07</t>
        </is>
      </c>
      <c r="H1756" t="inlineStr">
        <is>
          <t>SELESAI</t>
        </is>
      </c>
      <c r="I1756" t="inlineStr">
        <is>
          <t>MK00138</t>
        </is>
      </c>
      <c r="J1756" t="inlineStr"/>
    </row>
    <row r="1757">
      <c r="A1757" t="inlineStr">
        <is>
          <t>13/07/2026</t>
        </is>
      </c>
      <c r="B1757" t="inlineStr">
        <is>
          <t>528000360</t>
        </is>
      </c>
      <c r="C1757" t="inlineStr">
        <is>
          <t>Hendra Permana</t>
        </is>
      </c>
      <c r="D1757" t="inlineStr">
        <is>
          <t>ENG</t>
        </is>
      </c>
      <c r="E1757" t="inlineStr">
        <is>
          <t>Engineering Harian</t>
        </is>
      </c>
      <c r="F1757" t="inlineStr"/>
      <c r="G1757" t="inlineStr">
        <is>
          <t>06:04:15</t>
        </is>
      </c>
      <c r="H1757" t="inlineStr">
        <is>
          <t>KELUAR TANPA MASUK</t>
        </is>
      </c>
      <c r="I1757" t="inlineStr">
        <is>
          <t>MK00082</t>
        </is>
      </c>
      <c r="J1757" t="inlineStr"/>
    </row>
    <row r="1758">
      <c r="A1758" t="inlineStr">
        <is>
          <t>13/07/2026</t>
        </is>
      </c>
      <c r="B1758" t="inlineStr">
        <is>
          <t>628000064</t>
        </is>
      </c>
      <c r="C1758" t="inlineStr">
        <is>
          <t>Silva Alypia</t>
        </is>
      </c>
      <c r="D1758" t="inlineStr">
        <is>
          <t>PROD</t>
        </is>
      </c>
      <c r="E1758" t="inlineStr">
        <is>
          <t>Produksi Borongan</t>
        </is>
      </c>
      <c r="F1758" t="inlineStr">
        <is>
          <t>05:47:59</t>
        </is>
      </c>
      <c r="G1758" t="inlineStr">
        <is>
          <t>14:10:26</t>
        </is>
      </c>
      <c r="H1758" t="inlineStr">
        <is>
          <t>SELESAI</t>
        </is>
      </c>
      <c r="I1758" t="inlineStr">
        <is>
          <t>MK00121</t>
        </is>
      </c>
      <c r="J1758" t="inlineStr"/>
    </row>
    <row r="1759">
      <c r="A1759" t="inlineStr">
        <is>
          <t>13/07/2026</t>
        </is>
      </c>
      <c r="B1759" t="inlineStr">
        <is>
          <t>628000091</t>
        </is>
      </c>
      <c r="C1759" t="inlineStr">
        <is>
          <t>Devita Handayani</t>
        </is>
      </c>
      <c r="D1759" t="inlineStr">
        <is>
          <t>PROD</t>
        </is>
      </c>
      <c r="E1759" t="inlineStr">
        <is>
          <t>Produksi Borongan</t>
        </is>
      </c>
      <c r="F1759" t="inlineStr">
        <is>
          <t>21:25:22</t>
        </is>
      </c>
      <c r="G1759" t="inlineStr"/>
      <c r="H1759" t="inlineStr">
        <is>
          <t>DI DALAM</t>
        </is>
      </c>
      <c r="I1759" t="inlineStr">
        <is>
          <t>MK00154</t>
        </is>
      </c>
      <c r="J1759" t="inlineStr"/>
    </row>
    <row r="1760">
      <c r="A1760" t="inlineStr">
        <is>
          <t>14/07/2026</t>
        </is>
      </c>
      <c r="B1760" t="inlineStr">
        <is>
          <t>528000015</t>
        </is>
      </c>
      <c r="C1760" t="inlineStr">
        <is>
          <t>Erwin</t>
        </is>
      </c>
      <c r="D1760" t="inlineStr">
        <is>
          <t>LOG</t>
        </is>
      </c>
      <c r="E1760" t="inlineStr">
        <is>
          <t>WRM Harian</t>
        </is>
      </c>
      <c r="F1760" t="inlineStr">
        <is>
          <t>07:39:52</t>
        </is>
      </c>
      <c r="G1760" t="inlineStr">
        <is>
          <t>07:40:33</t>
        </is>
      </c>
      <c r="H1760" t="inlineStr">
        <is>
          <t>SELESAI</t>
        </is>
      </c>
      <c r="I1760" t="inlineStr">
        <is>
          <t>MK00088</t>
        </is>
      </c>
      <c r="J1760" t="inlineStr"/>
    </row>
    <row r="1761">
      <c r="A1761" t="inlineStr">
        <is>
          <t>14/07/2026</t>
        </is>
      </c>
      <c r="B1761" t="inlineStr">
        <is>
          <t>528000063</t>
        </is>
      </c>
      <c r="C1761" t="inlineStr">
        <is>
          <t>Muhamad Ripki Pebrian</t>
        </is>
      </c>
      <c r="D1761" t="inlineStr">
        <is>
          <t>PROD</t>
        </is>
      </c>
      <c r="E1761" t="inlineStr">
        <is>
          <t>Produksi Harian</t>
        </is>
      </c>
      <c r="F1761" t="inlineStr">
        <is>
          <t>05:56:56</t>
        </is>
      </c>
      <c r="G1761" t="inlineStr">
        <is>
          <t>14:01:02</t>
        </is>
      </c>
      <c r="H1761" t="inlineStr">
        <is>
          <t>SELESAI</t>
        </is>
      </c>
      <c r="I1761" t="inlineStr">
        <is>
          <t>MK00141</t>
        </is>
      </c>
      <c r="J1761" t="inlineStr"/>
    </row>
    <row r="1762">
      <c r="A1762" t="inlineStr">
        <is>
          <t>14/07/2026</t>
        </is>
      </c>
      <c r="B1762" t="inlineStr">
        <is>
          <t>528000069</t>
        </is>
      </c>
      <c r="C1762" t="inlineStr">
        <is>
          <t>Jajang Ardiansyah</t>
        </is>
      </c>
      <c r="D1762" t="inlineStr">
        <is>
          <t>PROD</t>
        </is>
      </c>
      <c r="E1762" t="inlineStr">
        <is>
          <t>Produksi Harian</t>
        </is>
      </c>
      <c r="F1762" t="inlineStr">
        <is>
          <t>07:42:49</t>
        </is>
      </c>
      <c r="G1762" t="inlineStr">
        <is>
          <t>22:26:33</t>
        </is>
      </c>
      <c r="H1762" t="inlineStr">
        <is>
          <t>SELESAI</t>
        </is>
      </c>
      <c r="I1762" t="inlineStr">
        <is>
          <t>MK00160</t>
        </is>
      </c>
      <c r="J1762" t="inlineStr"/>
    </row>
    <row r="1763">
      <c r="A1763" t="inlineStr">
        <is>
          <t>14/07/2026</t>
        </is>
      </c>
      <c r="B1763" t="inlineStr">
        <is>
          <t>528000090</t>
        </is>
      </c>
      <c r="C1763" t="inlineStr">
        <is>
          <t>Suganda</t>
        </is>
      </c>
      <c r="D1763" t="inlineStr">
        <is>
          <t>PROD</t>
        </is>
      </c>
      <c r="E1763" t="inlineStr">
        <is>
          <t>Produksi Harian</t>
        </is>
      </c>
      <c r="F1763" t="inlineStr">
        <is>
          <t>13:56:54</t>
        </is>
      </c>
      <c r="G1763" t="inlineStr">
        <is>
          <t>22:03:26</t>
        </is>
      </c>
      <c r="H1763" t="inlineStr">
        <is>
          <t>SELESAI</t>
        </is>
      </c>
      <c r="I1763" t="inlineStr">
        <is>
          <t>MK00145</t>
        </is>
      </c>
      <c r="J1763" t="inlineStr"/>
    </row>
    <row r="1764">
      <c r="A1764" t="inlineStr">
        <is>
          <t>14/07/2026</t>
        </is>
      </c>
      <c r="B1764" t="inlineStr">
        <is>
          <t>528000099</t>
        </is>
      </c>
      <c r="C1764" t="inlineStr">
        <is>
          <t>Siti Nurawaliah</t>
        </is>
      </c>
      <c r="D1764" t="inlineStr">
        <is>
          <t>PROD</t>
        </is>
      </c>
      <c r="E1764" t="inlineStr">
        <is>
          <t>Produksi Harian</t>
        </is>
      </c>
      <c r="F1764" t="inlineStr">
        <is>
          <t>13:44:43</t>
        </is>
      </c>
      <c r="G1764" t="inlineStr">
        <is>
          <t>22:11:53</t>
        </is>
      </c>
      <c r="H1764" t="inlineStr">
        <is>
          <t>SELESAI</t>
        </is>
      </c>
      <c r="I1764" t="inlineStr">
        <is>
          <t>MK00181</t>
        </is>
      </c>
      <c r="J1764" t="inlineStr"/>
    </row>
    <row r="1765">
      <c r="A1765" t="inlineStr">
        <is>
          <t>14/07/2026</t>
        </is>
      </c>
      <c r="B1765" t="inlineStr">
        <is>
          <t>528000132</t>
        </is>
      </c>
      <c r="C1765" t="inlineStr">
        <is>
          <t>Giopani</t>
        </is>
      </c>
      <c r="D1765" t="inlineStr">
        <is>
          <t>LOG</t>
        </is>
      </c>
      <c r="E1765" t="inlineStr">
        <is>
          <t>WRM Harian</t>
        </is>
      </c>
      <c r="F1765" t="inlineStr">
        <is>
          <t>08:56:52</t>
        </is>
      </c>
      <c r="G1765" t="inlineStr">
        <is>
          <t>17:00:31</t>
        </is>
      </c>
      <c r="H1765" t="inlineStr">
        <is>
          <t>SELESAI</t>
        </is>
      </c>
      <c r="I1765" t="inlineStr">
        <is>
          <t>MK00228</t>
        </is>
      </c>
      <c r="J1765" t="inlineStr"/>
    </row>
    <row r="1766">
      <c r="A1766" t="inlineStr">
        <is>
          <t>14/07/2026</t>
        </is>
      </c>
      <c r="B1766" t="inlineStr">
        <is>
          <t>528000144</t>
        </is>
      </c>
      <c r="C1766" t="inlineStr">
        <is>
          <t>Jodi Hanafi</t>
        </is>
      </c>
      <c r="D1766" t="inlineStr">
        <is>
          <t>LOG</t>
        </is>
      </c>
      <c r="E1766" t="inlineStr">
        <is>
          <t>WRM Harian</t>
        </is>
      </c>
      <c r="F1766" t="inlineStr">
        <is>
          <t>07:58:57</t>
        </is>
      </c>
      <c r="G1766" t="inlineStr">
        <is>
          <t>17:32:41</t>
        </is>
      </c>
      <c r="H1766" t="inlineStr">
        <is>
          <t>SELESAI</t>
        </is>
      </c>
      <c r="I1766" t="inlineStr">
        <is>
          <t>MK00221</t>
        </is>
      </c>
      <c r="J1766" t="inlineStr"/>
    </row>
    <row r="1767">
      <c r="A1767" t="inlineStr">
        <is>
          <t>14/07/2026</t>
        </is>
      </c>
      <c r="B1767" t="inlineStr">
        <is>
          <t>528000201</t>
        </is>
      </c>
      <c r="C1767" t="inlineStr">
        <is>
          <t>Zahwa Amelia Choerunissa</t>
        </is>
      </c>
      <c r="D1767" t="inlineStr">
        <is>
          <t>PROD</t>
        </is>
      </c>
      <c r="E1767" t="inlineStr">
        <is>
          <t>Produksi Harian</t>
        </is>
      </c>
      <c r="F1767" t="inlineStr">
        <is>
          <t>13:44:15</t>
        </is>
      </c>
      <c r="G1767" t="inlineStr">
        <is>
          <t>22:11:06</t>
        </is>
      </c>
      <c r="H1767" t="inlineStr">
        <is>
          <t>SELESAI</t>
        </is>
      </c>
      <c r="I1767" t="inlineStr">
        <is>
          <t>MK00090</t>
        </is>
      </c>
      <c r="J1767" t="inlineStr"/>
    </row>
    <row r="1768">
      <c r="A1768" t="inlineStr">
        <is>
          <t>14/07/2026</t>
        </is>
      </c>
      <c r="B1768" t="inlineStr">
        <is>
          <t>528000212</t>
        </is>
      </c>
      <c r="C1768" t="inlineStr">
        <is>
          <t>Rizal Fauzi</t>
        </is>
      </c>
      <c r="D1768" t="inlineStr">
        <is>
          <t>PROD</t>
        </is>
      </c>
      <c r="E1768" t="inlineStr">
        <is>
          <t>Produksi Harian</t>
        </is>
      </c>
      <c r="F1768" t="inlineStr">
        <is>
          <t>14:02:14</t>
        </is>
      </c>
      <c r="G1768" t="inlineStr">
        <is>
          <t>11:01:28</t>
        </is>
      </c>
      <c r="H1768" t="inlineStr">
        <is>
          <t>SELESAI</t>
        </is>
      </c>
      <c r="I1768" t="inlineStr">
        <is>
          <t>MK00150</t>
        </is>
      </c>
      <c r="J1768" t="inlineStr"/>
    </row>
    <row r="1769">
      <c r="A1769" t="inlineStr">
        <is>
          <t>14/07/2026</t>
        </is>
      </c>
      <c r="B1769" t="inlineStr">
        <is>
          <t>528000228</t>
        </is>
      </c>
      <c r="C1769" t="inlineStr">
        <is>
          <t>Banyu Resmi Putri</t>
        </is>
      </c>
      <c r="D1769" t="inlineStr">
        <is>
          <t>PROD</t>
        </is>
      </c>
      <c r="E1769" t="inlineStr">
        <is>
          <t>Produksi Harian</t>
        </is>
      </c>
      <c r="F1769" t="inlineStr">
        <is>
          <t>13:55:40</t>
        </is>
      </c>
      <c r="G1769" t="inlineStr"/>
      <c r="H1769" t="inlineStr">
        <is>
          <t>DI DALAM</t>
        </is>
      </c>
      <c r="I1769" t="inlineStr">
        <is>
          <t>MK00249</t>
        </is>
      </c>
      <c r="J1769" t="inlineStr"/>
    </row>
    <row r="1770">
      <c r="A1770" t="inlineStr">
        <is>
          <t>14/07/2026</t>
        </is>
      </c>
      <c r="B1770" t="inlineStr">
        <is>
          <t>528000232</t>
        </is>
      </c>
      <c r="C1770" t="inlineStr">
        <is>
          <t>Agung Aji Suhada</t>
        </is>
      </c>
      <c r="D1770" t="inlineStr">
        <is>
          <t>LOG</t>
        </is>
      </c>
      <c r="E1770" t="inlineStr">
        <is>
          <t>WRM Harian</t>
        </is>
      </c>
      <c r="F1770" t="inlineStr">
        <is>
          <t>08:43:19</t>
        </is>
      </c>
      <c r="G1770" t="inlineStr">
        <is>
          <t>17:01:16</t>
        </is>
      </c>
      <c r="H1770" t="inlineStr">
        <is>
          <t>SELESAI</t>
        </is>
      </c>
      <c r="I1770" t="inlineStr">
        <is>
          <t>MK00210</t>
        </is>
      </c>
      <c r="J1770" t="inlineStr"/>
    </row>
    <row r="1771">
      <c r="A1771" t="inlineStr">
        <is>
          <t>14/07/2026</t>
        </is>
      </c>
      <c r="B1771" t="inlineStr">
        <is>
          <t>528000241</t>
        </is>
      </c>
      <c r="C1771" t="inlineStr">
        <is>
          <t>Balia Nurafif Bilah</t>
        </is>
      </c>
      <c r="D1771" t="inlineStr">
        <is>
          <t>PROD</t>
        </is>
      </c>
      <c r="E1771" t="inlineStr">
        <is>
          <t>Produksi Harian</t>
        </is>
      </c>
      <c r="F1771" t="inlineStr">
        <is>
          <t>13:50:10</t>
        </is>
      </c>
      <c r="G1771" t="inlineStr">
        <is>
          <t>22:04:03</t>
        </is>
      </c>
      <c r="H1771" t="inlineStr">
        <is>
          <t>SELESAI</t>
        </is>
      </c>
      <c r="I1771" t="inlineStr">
        <is>
          <t>MK00204</t>
        </is>
      </c>
      <c r="J1771" t="inlineStr"/>
    </row>
    <row r="1772">
      <c r="A1772" t="inlineStr">
        <is>
          <t>14/07/2026</t>
        </is>
      </c>
      <c r="B1772" t="inlineStr">
        <is>
          <t>528000265</t>
        </is>
      </c>
      <c r="C1772" t="inlineStr">
        <is>
          <t>Muhammad Haerul Rozikin</t>
        </is>
      </c>
      <c r="D1772" t="inlineStr">
        <is>
          <t>LOG</t>
        </is>
      </c>
      <c r="E1772" t="inlineStr">
        <is>
          <t>WRM Harian</t>
        </is>
      </c>
      <c r="F1772" t="inlineStr">
        <is>
          <t>05:56:04</t>
        </is>
      </c>
      <c r="G1772" t="inlineStr">
        <is>
          <t>14:03:27</t>
        </is>
      </c>
      <c r="H1772" t="inlineStr">
        <is>
          <t>SELESAI</t>
        </is>
      </c>
      <c r="I1772" t="inlineStr">
        <is>
          <t>MK00H57</t>
        </is>
      </c>
      <c r="J1772" t="inlineStr"/>
    </row>
    <row r="1773">
      <c r="A1773" t="inlineStr">
        <is>
          <t>14/07/2026</t>
        </is>
      </c>
      <c r="B1773" t="inlineStr">
        <is>
          <t>528000270</t>
        </is>
      </c>
      <c r="C1773" t="inlineStr">
        <is>
          <t>Febri Najmudin</t>
        </is>
      </c>
      <c r="D1773" t="inlineStr">
        <is>
          <t>LOG</t>
        </is>
      </c>
      <c r="E1773" t="inlineStr">
        <is>
          <t>WRM Harian</t>
        </is>
      </c>
      <c r="F1773" t="inlineStr">
        <is>
          <t>21:49:10</t>
        </is>
      </c>
      <c r="G1773" t="inlineStr">
        <is>
          <t>06:33:16</t>
        </is>
      </c>
      <c r="H1773" t="inlineStr">
        <is>
          <t>SELESAI</t>
        </is>
      </c>
      <c r="I1773" t="inlineStr">
        <is>
          <t>MH0208</t>
        </is>
      </c>
      <c r="J1773" t="inlineStr"/>
    </row>
    <row r="1774">
      <c r="A1774" t="inlineStr">
        <is>
          <t>14/07/2026</t>
        </is>
      </c>
      <c r="B1774" t="inlineStr">
        <is>
          <t>528000274</t>
        </is>
      </c>
      <c r="C1774" t="inlineStr">
        <is>
          <t>Zepri</t>
        </is>
      </c>
      <c r="D1774" t="inlineStr">
        <is>
          <t>PROD</t>
        </is>
      </c>
      <c r="E1774" t="inlineStr">
        <is>
          <t>Produksi Harian</t>
        </is>
      </c>
      <c r="F1774" t="inlineStr">
        <is>
          <t>13:54:42</t>
        </is>
      </c>
      <c r="G1774" t="inlineStr">
        <is>
          <t>22:03:05</t>
        </is>
      </c>
      <c r="H1774" t="inlineStr">
        <is>
          <t>SELESAI</t>
        </is>
      </c>
      <c r="I1774" t="inlineStr">
        <is>
          <t>MK00112</t>
        </is>
      </c>
      <c r="J1774" t="inlineStr"/>
    </row>
    <row r="1775">
      <c r="A1775" t="inlineStr">
        <is>
          <t>14/07/2026</t>
        </is>
      </c>
      <c r="B1775" t="inlineStr">
        <is>
          <t>528000279</t>
        </is>
      </c>
      <c r="C1775" t="inlineStr">
        <is>
          <t>Mahdalena Dalfa Riani</t>
        </is>
      </c>
      <c r="D1775" t="inlineStr">
        <is>
          <t>PROD</t>
        </is>
      </c>
      <c r="E1775" t="inlineStr">
        <is>
          <t>Produksi Harian</t>
        </is>
      </c>
      <c r="F1775" t="inlineStr">
        <is>
          <t>05:53:13</t>
        </is>
      </c>
      <c r="G1775" t="inlineStr">
        <is>
          <t>14:04:42</t>
        </is>
      </c>
      <c r="H1775" t="inlineStr">
        <is>
          <t>SELESAI</t>
        </is>
      </c>
      <c r="I1775" t="inlineStr">
        <is>
          <t>MK00203</t>
        </is>
      </c>
      <c r="J1775" t="inlineStr"/>
    </row>
    <row r="1776">
      <c r="A1776" t="inlineStr">
        <is>
          <t>14/07/2026</t>
        </is>
      </c>
      <c r="B1776" t="inlineStr">
        <is>
          <t>528000282</t>
        </is>
      </c>
      <c r="C1776" t="inlineStr">
        <is>
          <t>Defa Desfiana</t>
        </is>
      </c>
      <c r="D1776" t="inlineStr">
        <is>
          <t>PROD</t>
        </is>
      </c>
      <c r="E1776" t="inlineStr">
        <is>
          <t>Produksi Harian</t>
        </is>
      </c>
      <c r="F1776" t="inlineStr">
        <is>
          <t>05:51:07</t>
        </is>
      </c>
      <c r="G1776" t="inlineStr">
        <is>
          <t>14:22:06</t>
        </is>
      </c>
      <c r="H1776" t="inlineStr">
        <is>
          <t>SELESAI</t>
        </is>
      </c>
      <c r="I1776" t="inlineStr">
        <is>
          <t>MK00230</t>
        </is>
      </c>
      <c r="J1776" t="inlineStr"/>
    </row>
    <row r="1777">
      <c r="A1777" t="inlineStr">
        <is>
          <t>14/07/2026</t>
        </is>
      </c>
      <c r="B1777" t="inlineStr">
        <is>
          <t>528000286</t>
        </is>
      </c>
      <c r="C1777" t="inlineStr">
        <is>
          <t>Imelda Amelia</t>
        </is>
      </c>
      <c r="D1777" t="inlineStr">
        <is>
          <t>PROD</t>
        </is>
      </c>
      <c r="E1777" t="inlineStr">
        <is>
          <t>Produksi Harian</t>
        </is>
      </c>
      <c r="F1777" t="inlineStr">
        <is>
          <t>13:47:05</t>
        </is>
      </c>
      <c r="G1777" t="inlineStr">
        <is>
          <t>22:09:10</t>
        </is>
      </c>
      <c r="H1777" t="inlineStr">
        <is>
          <t>SELESAI</t>
        </is>
      </c>
      <c r="I1777" t="inlineStr">
        <is>
          <t>MK00156</t>
        </is>
      </c>
      <c r="J1777" t="inlineStr"/>
    </row>
    <row r="1778">
      <c r="A1778" t="inlineStr">
        <is>
          <t>14/07/2026</t>
        </is>
      </c>
      <c r="B1778" t="inlineStr">
        <is>
          <t>528000289</t>
        </is>
      </c>
      <c r="C1778" t="inlineStr">
        <is>
          <t>Adit Supriyadi</t>
        </is>
      </c>
      <c r="D1778" t="inlineStr">
        <is>
          <t>PROD</t>
        </is>
      </c>
      <c r="E1778" t="inlineStr">
        <is>
          <t>Produksi Harian</t>
        </is>
      </c>
      <c r="F1778" t="inlineStr">
        <is>
          <t>13:48:29</t>
        </is>
      </c>
      <c r="G1778" t="inlineStr">
        <is>
          <t>11:12:01</t>
        </is>
      </c>
      <c r="H1778" t="inlineStr">
        <is>
          <t>SELESAI</t>
        </is>
      </c>
      <c r="I1778" t="inlineStr">
        <is>
          <t>MK00085</t>
        </is>
      </c>
      <c r="J1778" t="inlineStr"/>
    </row>
    <row r="1779">
      <c r="A1779" t="inlineStr">
        <is>
          <t>14/07/2026</t>
        </is>
      </c>
      <c r="B1779" t="inlineStr">
        <is>
          <t>528000290</t>
        </is>
      </c>
      <c r="C1779" t="inlineStr">
        <is>
          <t>Eval Pranata</t>
        </is>
      </c>
      <c r="D1779" t="inlineStr">
        <is>
          <t>PROD</t>
        </is>
      </c>
      <c r="E1779" t="inlineStr">
        <is>
          <t>Produksi Harian</t>
        </is>
      </c>
      <c r="F1779" t="inlineStr">
        <is>
          <t>13:57:39</t>
        </is>
      </c>
      <c r="G1779" t="inlineStr">
        <is>
          <t>22:03:12</t>
        </is>
      </c>
      <c r="H1779" t="inlineStr">
        <is>
          <t>SELESAI</t>
        </is>
      </c>
      <c r="I1779" t="inlineStr">
        <is>
          <t>MK00212</t>
        </is>
      </c>
      <c r="J1779" t="inlineStr"/>
    </row>
    <row r="1780">
      <c r="A1780" t="inlineStr">
        <is>
          <t>14/07/2026</t>
        </is>
      </c>
      <c r="B1780" t="inlineStr">
        <is>
          <t>528000298</t>
        </is>
      </c>
      <c r="C1780" t="inlineStr">
        <is>
          <t>Desta Cahaya Pratama</t>
        </is>
      </c>
      <c r="D1780" t="inlineStr">
        <is>
          <t>PROD</t>
        </is>
      </c>
      <c r="E1780" t="inlineStr">
        <is>
          <t>Produksi Harian</t>
        </is>
      </c>
      <c r="F1780" t="inlineStr">
        <is>
          <t>21:45:23</t>
        </is>
      </c>
      <c r="G1780" t="inlineStr">
        <is>
          <t>06:06:42</t>
        </is>
      </c>
      <c r="H1780" t="inlineStr">
        <is>
          <t>SELESAI</t>
        </is>
      </c>
      <c r="I1780" t="inlineStr">
        <is>
          <t>MK00250</t>
        </is>
      </c>
      <c r="J1780" t="inlineStr"/>
    </row>
    <row r="1781">
      <c r="A1781" t="inlineStr">
        <is>
          <t>14/07/2026</t>
        </is>
      </c>
      <c r="B1781" t="inlineStr">
        <is>
          <t>528000299</t>
        </is>
      </c>
      <c r="C1781" t="inlineStr">
        <is>
          <t>Siti Nurjanah</t>
        </is>
      </c>
      <c r="D1781" t="inlineStr">
        <is>
          <t>PROD</t>
        </is>
      </c>
      <c r="E1781" t="inlineStr">
        <is>
          <t>Produksi Harian</t>
        </is>
      </c>
      <c r="F1781" t="inlineStr">
        <is>
          <t>21:36:37</t>
        </is>
      </c>
      <c r="G1781" t="inlineStr">
        <is>
          <t>06:08:11</t>
        </is>
      </c>
      <c r="H1781" t="inlineStr">
        <is>
          <t>SELESAI</t>
        </is>
      </c>
      <c r="I1781" t="inlineStr">
        <is>
          <t>MK00109</t>
        </is>
      </c>
      <c r="J1781" t="inlineStr"/>
    </row>
    <row r="1782">
      <c r="A1782" t="inlineStr">
        <is>
          <t>14/07/2026</t>
        </is>
      </c>
      <c r="B1782" t="inlineStr">
        <is>
          <t>528000300</t>
        </is>
      </c>
      <c r="C1782" t="inlineStr">
        <is>
          <t>Lia pitaloka</t>
        </is>
      </c>
      <c r="D1782" t="inlineStr">
        <is>
          <t>PROD</t>
        </is>
      </c>
      <c r="E1782" t="inlineStr">
        <is>
          <t>Produksi Harian</t>
        </is>
      </c>
      <c r="F1782" t="inlineStr">
        <is>
          <t>05:56:17</t>
        </is>
      </c>
      <c r="G1782" t="inlineStr">
        <is>
          <t>14:03:18</t>
        </is>
      </c>
      <c r="H1782" t="inlineStr">
        <is>
          <t>SELESAI</t>
        </is>
      </c>
      <c r="I1782" t="inlineStr">
        <is>
          <t>MK00136</t>
        </is>
      </c>
      <c r="J1782" t="inlineStr"/>
    </row>
    <row r="1783">
      <c r="A1783" t="inlineStr">
        <is>
          <t>14/07/2026</t>
        </is>
      </c>
      <c r="B1783" t="inlineStr">
        <is>
          <t>528000302</t>
        </is>
      </c>
      <c r="C1783" t="inlineStr">
        <is>
          <t>Henkey gumilar</t>
        </is>
      </c>
      <c r="D1783" t="inlineStr">
        <is>
          <t>PROD</t>
        </is>
      </c>
      <c r="E1783" t="inlineStr">
        <is>
          <t>Produksi Harian</t>
        </is>
      </c>
      <c r="F1783" t="inlineStr">
        <is>
          <t>21:48:00</t>
        </is>
      </c>
      <c r="G1783" t="inlineStr">
        <is>
          <t>06:07:26</t>
        </is>
      </c>
      <c r="H1783" t="inlineStr">
        <is>
          <t>SELESAI</t>
        </is>
      </c>
      <c r="I1783" t="inlineStr">
        <is>
          <t>MK00082</t>
        </is>
      </c>
      <c r="J1783" t="inlineStr"/>
    </row>
    <row r="1784">
      <c r="A1784" t="inlineStr">
        <is>
          <t>14/07/2026</t>
        </is>
      </c>
      <c r="B1784" t="inlineStr">
        <is>
          <t>528000305</t>
        </is>
      </c>
      <c r="C1784" t="inlineStr">
        <is>
          <t>Puji Puspita</t>
        </is>
      </c>
      <c r="D1784" t="inlineStr">
        <is>
          <t>PROD</t>
        </is>
      </c>
      <c r="E1784" t="inlineStr">
        <is>
          <t>Produksi Harian</t>
        </is>
      </c>
      <c r="F1784" t="inlineStr">
        <is>
          <t>21:36:11</t>
        </is>
      </c>
      <c r="G1784" t="inlineStr">
        <is>
          <t>06:03:11</t>
        </is>
      </c>
      <c r="H1784" t="inlineStr">
        <is>
          <t>SELESAI</t>
        </is>
      </c>
      <c r="I1784" t="inlineStr">
        <is>
          <t>MK00145</t>
        </is>
      </c>
      <c r="J1784" t="inlineStr"/>
    </row>
    <row r="1785">
      <c r="A1785" t="inlineStr">
        <is>
          <t>14/07/2026</t>
        </is>
      </c>
      <c r="B1785" t="inlineStr">
        <is>
          <t>528000309</t>
        </is>
      </c>
      <c r="C1785" t="inlineStr">
        <is>
          <t>Ilham Ramadhan</t>
        </is>
      </c>
      <c r="D1785" t="inlineStr">
        <is>
          <t>LOG</t>
        </is>
      </c>
      <c r="E1785" t="inlineStr">
        <is>
          <t>WRM Harian</t>
        </is>
      </c>
      <c r="F1785" t="inlineStr">
        <is>
          <t>21:50:59</t>
        </is>
      </c>
      <c r="G1785" t="inlineStr">
        <is>
          <t>06:04:36</t>
        </is>
      </c>
      <c r="H1785" t="inlineStr">
        <is>
          <t>SELESAI</t>
        </is>
      </c>
      <c r="I1785" t="inlineStr">
        <is>
          <t>MK00235</t>
        </is>
      </c>
      <c r="J1785" t="inlineStr"/>
    </row>
    <row r="1786">
      <c r="A1786" t="inlineStr">
        <is>
          <t>14/07/2026</t>
        </is>
      </c>
      <c r="B1786" t="inlineStr">
        <is>
          <t>528000310</t>
        </is>
      </c>
      <c r="C1786" t="inlineStr">
        <is>
          <t>Fachrul Rozzi Suryana</t>
        </is>
      </c>
      <c r="D1786" t="inlineStr">
        <is>
          <t>LOG</t>
        </is>
      </c>
      <c r="E1786" t="inlineStr">
        <is>
          <t>WRM Harian</t>
        </is>
      </c>
      <c r="F1786" t="inlineStr">
        <is>
          <t>06:04:27</t>
        </is>
      </c>
      <c r="G1786" t="inlineStr">
        <is>
          <t>19:25:24</t>
        </is>
      </c>
      <c r="H1786" t="inlineStr">
        <is>
          <t>SELESAI</t>
        </is>
      </c>
      <c r="I1786" t="inlineStr">
        <is>
          <t>MK0053</t>
        </is>
      </c>
      <c r="J1786" t="inlineStr">
        <is>
          <t>2A</t>
        </is>
      </c>
    </row>
    <row r="1787">
      <c r="A1787" t="inlineStr">
        <is>
          <t>14/07/2026</t>
        </is>
      </c>
      <c r="B1787" t="inlineStr">
        <is>
          <t>528000313</t>
        </is>
      </c>
      <c r="C1787" t="inlineStr">
        <is>
          <t>Muhamad Rifki</t>
        </is>
      </c>
      <c r="D1787" t="inlineStr">
        <is>
          <t>PROD</t>
        </is>
      </c>
      <c r="E1787" t="inlineStr">
        <is>
          <t>Produksi Harian</t>
        </is>
      </c>
      <c r="F1787" t="inlineStr">
        <is>
          <t>21:18:58</t>
        </is>
      </c>
      <c r="G1787" t="inlineStr">
        <is>
          <t>06:04:53</t>
        </is>
      </c>
      <c r="H1787" t="inlineStr">
        <is>
          <t>SELESAI</t>
        </is>
      </c>
      <c r="I1787" t="inlineStr">
        <is>
          <t>MK00085</t>
        </is>
      </c>
      <c r="J1787" t="inlineStr"/>
    </row>
    <row r="1788">
      <c r="A1788" t="inlineStr">
        <is>
          <t>14/07/2026</t>
        </is>
      </c>
      <c r="B1788" t="inlineStr">
        <is>
          <t>528000314</t>
        </is>
      </c>
      <c r="C1788" t="inlineStr">
        <is>
          <t>Rusmana</t>
        </is>
      </c>
      <c r="D1788" t="inlineStr">
        <is>
          <t>PROD</t>
        </is>
      </c>
      <c r="E1788" t="inlineStr">
        <is>
          <t>Produksi Harian</t>
        </is>
      </c>
      <c r="F1788" t="inlineStr">
        <is>
          <t>07:59:24</t>
        </is>
      </c>
      <c r="G1788" t="inlineStr">
        <is>
          <t>07:54:06</t>
        </is>
      </c>
      <c r="H1788" t="inlineStr">
        <is>
          <t>SELESAI</t>
        </is>
      </c>
      <c r="I1788" t="inlineStr">
        <is>
          <t>MK00125</t>
        </is>
      </c>
      <c r="J1788" t="inlineStr"/>
    </row>
    <row r="1789">
      <c r="A1789" t="inlineStr">
        <is>
          <t>14/07/2026</t>
        </is>
      </c>
      <c r="B1789" t="inlineStr">
        <is>
          <t>528000318</t>
        </is>
      </c>
      <c r="C1789" t="inlineStr">
        <is>
          <t>Bayu Padli Sepriyana</t>
        </is>
      </c>
      <c r="D1789" t="inlineStr">
        <is>
          <t>LOG</t>
        </is>
      </c>
      <c r="E1789" t="inlineStr">
        <is>
          <t>WRM Harian</t>
        </is>
      </c>
      <c r="F1789" t="inlineStr">
        <is>
          <t>21:44:46</t>
        </is>
      </c>
      <c r="G1789" t="inlineStr">
        <is>
          <t>06:02:28</t>
        </is>
      </c>
      <c r="H1789" t="inlineStr">
        <is>
          <t>SELESAI</t>
        </is>
      </c>
      <c r="I1789" t="inlineStr">
        <is>
          <t>MK00213</t>
        </is>
      </c>
      <c r="J1789" t="inlineStr"/>
    </row>
    <row r="1790">
      <c r="A1790" t="inlineStr">
        <is>
          <t>14/07/2026</t>
        </is>
      </c>
      <c r="B1790" t="inlineStr">
        <is>
          <t>528000340</t>
        </is>
      </c>
      <c r="C1790" t="inlineStr">
        <is>
          <t>Muhammad Wildan Adithya</t>
        </is>
      </c>
      <c r="D1790" t="inlineStr">
        <is>
          <t>PROD</t>
        </is>
      </c>
      <c r="E1790" t="inlineStr">
        <is>
          <t>Produksi Harian</t>
        </is>
      </c>
      <c r="F1790" t="inlineStr">
        <is>
          <t>21:17:43</t>
        </is>
      </c>
      <c r="G1790" t="inlineStr">
        <is>
          <t>06:07:11</t>
        </is>
      </c>
      <c r="H1790" t="inlineStr">
        <is>
          <t>SELESAI</t>
        </is>
      </c>
      <c r="I1790" t="inlineStr">
        <is>
          <t>MK00204</t>
        </is>
      </c>
      <c r="J1790" t="inlineStr"/>
    </row>
    <row r="1791">
      <c r="A1791" t="inlineStr">
        <is>
          <t>14/07/2026</t>
        </is>
      </c>
      <c r="B1791" t="inlineStr">
        <is>
          <t>528000348</t>
        </is>
      </c>
      <c r="C1791" t="inlineStr">
        <is>
          <t>Saepuloh Ardiansah</t>
        </is>
      </c>
      <c r="D1791" t="inlineStr">
        <is>
          <t>LOG</t>
        </is>
      </c>
      <c r="E1791" t="inlineStr">
        <is>
          <t>WRM Harian</t>
        </is>
      </c>
      <c r="F1791" t="inlineStr">
        <is>
          <t>08:57:00</t>
        </is>
      </c>
      <c r="G1791" t="inlineStr">
        <is>
          <t>19:10:08</t>
        </is>
      </c>
      <c r="H1791" t="inlineStr">
        <is>
          <t>SELESAI</t>
        </is>
      </c>
      <c r="I1791" t="inlineStr">
        <is>
          <t>MK00205</t>
        </is>
      </c>
      <c r="J1791" t="inlineStr"/>
    </row>
    <row r="1792">
      <c r="A1792" t="inlineStr">
        <is>
          <t>14/07/2026</t>
        </is>
      </c>
      <c r="B1792" t="inlineStr">
        <is>
          <t>528000349</t>
        </is>
      </c>
      <c r="C1792" t="inlineStr">
        <is>
          <t>Anas Abdul Fatah</t>
        </is>
      </c>
      <c r="D1792" t="inlineStr">
        <is>
          <t>LOG</t>
        </is>
      </c>
      <c r="E1792" t="inlineStr">
        <is>
          <t>WFG Harian</t>
        </is>
      </c>
      <c r="F1792" t="inlineStr">
        <is>
          <t>09:36:55</t>
        </is>
      </c>
      <c r="G1792" t="inlineStr">
        <is>
          <t>18:20:08</t>
        </is>
      </c>
      <c r="H1792" t="inlineStr">
        <is>
          <t>SELESAI</t>
        </is>
      </c>
      <c r="I1792" t="inlineStr">
        <is>
          <t>MK00134</t>
        </is>
      </c>
      <c r="J1792" t="inlineStr"/>
    </row>
    <row r="1793">
      <c r="A1793" t="inlineStr">
        <is>
          <t>14/07/2026</t>
        </is>
      </c>
      <c r="B1793" t="inlineStr">
        <is>
          <t>528000359</t>
        </is>
      </c>
      <c r="C1793" t="inlineStr">
        <is>
          <t>M. Iqbal Maulana. S</t>
        </is>
      </c>
      <c r="D1793" t="inlineStr">
        <is>
          <t>LOG</t>
        </is>
      </c>
      <c r="E1793" t="inlineStr">
        <is>
          <t>WRM Harian</t>
        </is>
      </c>
      <c r="F1793" t="inlineStr">
        <is>
          <t>13:48:27</t>
        </is>
      </c>
      <c r="G1793" t="inlineStr">
        <is>
          <t>22:03:55</t>
        </is>
      </c>
      <c r="H1793" t="inlineStr">
        <is>
          <t>SELESAI</t>
        </is>
      </c>
      <c r="I1793" t="inlineStr">
        <is>
          <t>MK00138</t>
        </is>
      </c>
      <c r="J1793" t="inlineStr"/>
    </row>
    <row r="1794">
      <c r="A1794" t="inlineStr">
        <is>
          <t>14/07/2026</t>
        </is>
      </c>
      <c r="B1794" t="inlineStr">
        <is>
          <t>628000064</t>
        </is>
      </c>
      <c r="C1794" t="inlineStr">
        <is>
          <t>Silva Alypia</t>
        </is>
      </c>
      <c r="D1794" t="inlineStr">
        <is>
          <t>PROD</t>
        </is>
      </c>
      <c r="E1794" t="inlineStr">
        <is>
          <t>Produksi Borongan</t>
        </is>
      </c>
      <c r="F1794" t="inlineStr">
        <is>
          <t>05:50:42</t>
        </is>
      </c>
      <c r="G1794" t="inlineStr">
        <is>
          <t>14:03:32</t>
        </is>
      </c>
      <c r="H1794" t="inlineStr">
        <is>
          <t>SELESAI</t>
        </is>
      </c>
      <c r="I1794" t="inlineStr">
        <is>
          <t>MK0008</t>
        </is>
      </c>
      <c r="J1794" t="inlineStr"/>
    </row>
    <row r="1795">
      <c r="A1795" t="inlineStr">
        <is>
          <t>14/07/2026</t>
        </is>
      </c>
      <c r="B1795" t="inlineStr">
        <is>
          <t>628000091</t>
        </is>
      </c>
      <c r="C1795" t="inlineStr">
        <is>
          <t>Devita Handayani</t>
        </is>
      </c>
      <c r="D1795" t="inlineStr">
        <is>
          <t>PROD</t>
        </is>
      </c>
      <c r="E1795" t="inlineStr">
        <is>
          <t>Produksi Borongan</t>
        </is>
      </c>
      <c r="F1795" t="inlineStr">
        <is>
          <t>21:23:17</t>
        </is>
      </c>
      <c r="G1795" t="inlineStr">
        <is>
          <t>06:11:18</t>
        </is>
      </c>
      <c r="H1795" t="inlineStr">
        <is>
          <t>SELESAI</t>
        </is>
      </c>
      <c r="I1795" t="inlineStr">
        <is>
          <t>MK00203</t>
        </is>
      </c>
      <c r="J1795" t="inlineStr"/>
    </row>
    <row r="1796">
      <c r="A1796" t="inlineStr">
        <is>
          <t>15/07/2026</t>
        </is>
      </c>
      <c r="B1796" t="inlineStr">
        <is>
          <t>528000015</t>
        </is>
      </c>
      <c r="C1796" t="inlineStr">
        <is>
          <t>Erwin</t>
        </is>
      </c>
      <c r="D1796" t="inlineStr">
        <is>
          <t>LOG</t>
        </is>
      </c>
      <c r="E1796" t="inlineStr">
        <is>
          <t>WRM Harian</t>
        </is>
      </c>
      <c r="F1796" t="inlineStr">
        <is>
          <t>07:40:59</t>
        </is>
      </c>
      <c r="G1796" t="inlineStr">
        <is>
          <t>19:37:39</t>
        </is>
      </c>
      <c r="H1796" t="inlineStr">
        <is>
          <t>SELESAI</t>
        </is>
      </c>
      <c r="I1796" t="inlineStr">
        <is>
          <t>MK00181</t>
        </is>
      </c>
      <c r="J1796" t="inlineStr"/>
    </row>
    <row r="1797">
      <c r="A1797" t="inlineStr">
        <is>
          <t>15/07/2026</t>
        </is>
      </c>
      <c r="B1797" t="inlineStr">
        <is>
          <t>528000063</t>
        </is>
      </c>
      <c r="C1797" t="inlineStr">
        <is>
          <t>Muhamad Ripki Pebrian</t>
        </is>
      </c>
      <c r="D1797" t="inlineStr">
        <is>
          <t>PROD</t>
        </is>
      </c>
      <c r="E1797" t="inlineStr">
        <is>
          <t>Produksi Harian</t>
        </is>
      </c>
      <c r="F1797" t="inlineStr">
        <is>
          <t>05:57:37</t>
        </is>
      </c>
      <c r="G1797" t="inlineStr">
        <is>
          <t>14:01:46</t>
        </is>
      </c>
      <c r="H1797" t="inlineStr">
        <is>
          <t>SELESAI</t>
        </is>
      </c>
      <c r="I1797" t="inlineStr">
        <is>
          <t>MK00158</t>
        </is>
      </c>
      <c r="J1797" t="inlineStr"/>
    </row>
    <row r="1798">
      <c r="A1798" t="inlineStr">
        <is>
          <t>15/07/2026</t>
        </is>
      </c>
      <c r="B1798" t="inlineStr">
        <is>
          <t>528000069</t>
        </is>
      </c>
      <c r="C1798" t="inlineStr">
        <is>
          <t>Jajang Ardiansyah</t>
        </is>
      </c>
      <c r="D1798" t="inlineStr">
        <is>
          <t>PROD</t>
        </is>
      </c>
      <c r="E1798" t="inlineStr">
        <is>
          <t>Produksi Harian</t>
        </is>
      </c>
      <c r="F1798" t="inlineStr">
        <is>
          <t>07:17:49</t>
        </is>
      </c>
      <c r="G1798" t="inlineStr">
        <is>
          <t>16:16:57</t>
        </is>
      </c>
      <c r="H1798" t="inlineStr">
        <is>
          <t>SELESAI</t>
        </is>
      </c>
      <c r="I1798" t="inlineStr">
        <is>
          <t>MK00160</t>
        </is>
      </c>
      <c r="J1798" t="inlineStr"/>
    </row>
    <row r="1799">
      <c r="A1799" t="inlineStr">
        <is>
          <t>15/07/2026</t>
        </is>
      </c>
      <c r="B1799" t="inlineStr">
        <is>
          <t>528000090</t>
        </is>
      </c>
      <c r="C1799" t="inlineStr">
        <is>
          <t>Suganda</t>
        </is>
      </c>
      <c r="D1799" t="inlineStr">
        <is>
          <t>PROD</t>
        </is>
      </c>
      <c r="E1799" t="inlineStr">
        <is>
          <t>Produksi Harian</t>
        </is>
      </c>
      <c r="F1799" t="inlineStr">
        <is>
          <t>13:55:12</t>
        </is>
      </c>
      <c r="G1799" t="inlineStr">
        <is>
          <t>22:03:13</t>
        </is>
      </c>
      <c r="H1799" t="inlineStr">
        <is>
          <t>SELESAI</t>
        </is>
      </c>
      <c r="I1799" t="inlineStr">
        <is>
          <t>MK00090</t>
        </is>
      </c>
      <c r="J1799" t="inlineStr"/>
    </row>
    <row r="1800">
      <c r="A1800" t="inlineStr">
        <is>
          <t>15/07/2026</t>
        </is>
      </c>
      <c r="B1800" t="inlineStr">
        <is>
          <t>528000099</t>
        </is>
      </c>
      <c r="C1800" t="inlineStr">
        <is>
          <t>Siti Nurawaliah</t>
        </is>
      </c>
      <c r="D1800" t="inlineStr">
        <is>
          <t>PROD</t>
        </is>
      </c>
      <c r="E1800" t="inlineStr">
        <is>
          <t>Produksi Harian</t>
        </is>
      </c>
      <c r="F1800" t="inlineStr">
        <is>
          <t>13:47:22</t>
        </is>
      </c>
      <c r="G1800" t="inlineStr">
        <is>
          <t>22:07:05</t>
        </is>
      </c>
      <c r="H1800" t="inlineStr">
        <is>
          <t>SELESAI</t>
        </is>
      </c>
      <c r="I1800" t="inlineStr">
        <is>
          <t>MK00217</t>
        </is>
      </c>
      <c r="J1800" t="inlineStr"/>
    </row>
    <row r="1801">
      <c r="A1801" t="inlineStr">
        <is>
          <t>15/07/2026</t>
        </is>
      </c>
      <c r="B1801" t="inlineStr">
        <is>
          <t>528000132</t>
        </is>
      </c>
      <c r="C1801" t="inlineStr">
        <is>
          <t>Giopani</t>
        </is>
      </c>
      <c r="D1801" t="inlineStr">
        <is>
          <t>LOG</t>
        </is>
      </c>
      <c r="E1801" t="inlineStr">
        <is>
          <t>WRM Harian</t>
        </is>
      </c>
      <c r="F1801" t="inlineStr">
        <is>
          <t>08:54:05</t>
        </is>
      </c>
      <c r="G1801" t="inlineStr"/>
      <c r="H1801" t="inlineStr">
        <is>
          <t>DI DALAM</t>
        </is>
      </c>
      <c r="I1801" t="inlineStr">
        <is>
          <t>MK00228</t>
        </is>
      </c>
      <c r="J1801" t="inlineStr"/>
    </row>
    <row r="1802">
      <c r="A1802" t="inlineStr">
        <is>
          <t>15/07/2026</t>
        </is>
      </c>
      <c r="B1802" t="inlineStr">
        <is>
          <t>528000144</t>
        </is>
      </c>
      <c r="C1802" t="inlineStr">
        <is>
          <t>Jodi Hanafi</t>
        </is>
      </c>
      <c r="D1802" t="inlineStr">
        <is>
          <t>LOG</t>
        </is>
      </c>
      <c r="E1802" t="inlineStr">
        <is>
          <t>WRM Harian</t>
        </is>
      </c>
      <c r="F1802" t="inlineStr">
        <is>
          <t>07:39:14</t>
        </is>
      </c>
      <c r="G1802" t="inlineStr">
        <is>
          <t>16:15:37</t>
        </is>
      </c>
      <c r="H1802" t="inlineStr">
        <is>
          <t>SELESAI</t>
        </is>
      </c>
      <c r="I1802" t="inlineStr">
        <is>
          <t>MK00221</t>
        </is>
      </c>
      <c r="J1802" t="inlineStr"/>
    </row>
    <row r="1803">
      <c r="A1803" t="inlineStr">
        <is>
          <t>15/07/2026</t>
        </is>
      </c>
      <c r="B1803" t="inlineStr">
        <is>
          <t>528000201</t>
        </is>
      </c>
      <c r="C1803" t="inlineStr">
        <is>
          <t>Zahwa Amelia Choerunissa</t>
        </is>
      </c>
      <c r="D1803" t="inlineStr">
        <is>
          <t>PROD</t>
        </is>
      </c>
      <c r="E1803" t="inlineStr">
        <is>
          <t>Produksi Harian</t>
        </is>
      </c>
      <c r="F1803" t="inlineStr">
        <is>
          <t>13:46:55</t>
        </is>
      </c>
      <c r="G1803" t="inlineStr">
        <is>
          <t>22:06:32</t>
        </is>
      </c>
      <c r="H1803" t="inlineStr">
        <is>
          <t>SELESAI</t>
        </is>
      </c>
      <c r="I1803" t="inlineStr">
        <is>
          <t>MK00184</t>
        </is>
      </c>
      <c r="J1803" t="inlineStr"/>
    </row>
    <row r="1804">
      <c r="A1804" t="inlineStr">
        <is>
          <t>15/07/2026</t>
        </is>
      </c>
      <c r="B1804" t="inlineStr">
        <is>
          <t>528000212</t>
        </is>
      </c>
      <c r="C1804" t="inlineStr">
        <is>
          <t>Rizal Fauzi</t>
        </is>
      </c>
      <c r="D1804" t="inlineStr">
        <is>
          <t>PROD</t>
        </is>
      </c>
      <c r="E1804" t="inlineStr">
        <is>
          <t>Produksi Harian</t>
        </is>
      </c>
      <c r="F1804" t="inlineStr">
        <is>
          <t>14:00:44</t>
        </is>
      </c>
      <c r="G1804" t="inlineStr">
        <is>
          <t>14:00:21</t>
        </is>
      </c>
      <c r="H1804" t="inlineStr">
        <is>
          <t>SELESAI</t>
        </is>
      </c>
      <c r="I1804" t="inlineStr">
        <is>
          <t>MK00134</t>
        </is>
      </c>
      <c r="J1804" t="inlineStr"/>
    </row>
    <row r="1805">
      <c r="A1805" t="inlineStr">
        <is>
          <t>15/07/2026</t>
        </is>
      </c>
      <c r="B1805" t="inlineStr">
        <is>
          <t>528000232</t>
        </is>
      </c>
      <c r="C1805" t="inlineStr">
        <is>
          <t>Agung Aji Suhada</t>
        </is>
      </c>
      <c r="D1805" t="inlineStr">
        <is>
          <t>LOG</t>
        </is>
      </c>
      <c r="E1805" t="inlineStr">
        <is>
          <t>WRM Harian</t>
        </is>
      </c>
      <c r="F1805" t="inlineStr">
        <is>
          <t>08:53:30</t>
        </is>
      </c>
      <c r="G1805" t="inlineStr"/>
      <c r="H1805" t="inlineStr">
        <is>
          <t>DI DALAM</t>
        </is>
      </c>
      <c r="I1805" t="inlineStr">
        <is>
          <t>MK00210</t>
        </is>
      </c>
      <c r="J1805" t="inlineStr"/>
    </row>
    <row r="1806">
      <c r="A1806" t="inlineStr">
        <is>
          <t>15/07/2026</t>
        </is>
      </c>
      <c r="B1806" t="inlineStr">
        <is>
          <t>528000241</t>
        </is>
      </c>
      <c r="C1806" t="inlineStr">
        <is>
          <t>Balia Nurafif Bilah</t>
        </is>
      </c>
      <c r="D1806" t="inlineStr">
        <is>
          <t>PROD</t>
        </is>
      </c>
      <c r="E1806" t="inlineStr">
        <is>
          <t>Produksi Harian</t>
        </is>
      </c>
      <c r="F1806" t="inlineStr">
        <is>
          <t>13:50:57</t>
        </is>
      </c>
      <c r="G1806" t="inlineStr">
        <is>
          <t>22:02:57</t>
        </is>
      </c>
      <c r="H1806" t="inlineStr">
        <is>
          <t>SELESAI</t>
        </is>
      </c>
      <c r="I1806" t="inlineStr">
        <is>
          <t>MK00218</t>
        </is>
      </c>
      <c r="J1806" t="inlineStr"/>
    </row>
    <row r="1807">
      <c r="A1807" t="inlineStr">
        <is>
          <t>15/07/2026</t>
        </is>
      </c>
      <c r="B1807" t="inlineStr">
        <is>
          <t>528000244</t>
        </is>
      </c>
      <c r="C1807" t="inlineStr">
        <is>
          <t>Rodian Rifai</t>
        </is>
      </c>
      <c r="D1807" t="inlineStr">
        <is>
          <t>PROD</t>
        </is>
      </c>
      <c r="E1807" t="inlineStr">
        <is>
          <t>Produksi Harian</t>
        </is>
      </c>
      <c r="F1807" t="inlineStr">
        <is>
          <t>13:25:59</t>
        </is>
      </c>
      <c r="G1807" t="inlineStr">
        <is>
          <t>22:27:29</t>
        </is>
      </c>
      <c r="H1807" t="inlineStr">
        <is>
          <t>SELESAI</t>
        </is>
      </c>
      <c r="I1807" t="inlineStr">
        <is>
          <t>MK00050</t>
        </is>
      </c>
      <c r="J1807" t="inlineStr"/>
    </row>
    <row r="1808">
      <c r="A1808" t="inlineStr">
        <is>
          <t>15/07/2026</t>
        </is>
      </c>
      <c r="B1808" t="inlineStr">
        <is>
          <t>528000248</t>
        </is>
      </c>
      <c r="C1808" t="inlineStr">
        <is>
          <t>Roka Jaya Salka Mulya</t>
        </is>
      </c>
      <c r="D1808" t="inlineStr">
        <is>
          <t>PROD</t>
        </is>
      </c>
      <c r="E1808" t="inlineStr">
        <is>
          <t>Produksi Harian</t>
        </is>
      </c>
      <c r="F1808" t="inlineStr">
        <is>
          <t>05:54:21</t>
        </is>
      </c>
      <c r="G1808" t="inlineStr">
        <is>
          <t>14:01:57</t>
        </is>
      </c>
      <c r="H1808" t="inlineStr">
        <is>
          <t>SELESAI</t>
        </is>
      </c>
      <c r="I1808" t="inlineStr">
        <is>
          <t>MK00148</t>
        </is>
      </c>
      <c r="J1808" t="inlineStr"/>
    </row>
    <row r="1809">
      <c r="A1809" t="inlineStr">
        <is>
          <t>15/07/2026</t>
        </is>
      </c>
      <c r="B1809" t="inlineStr">
        <is>
          <t>528000265</t>
        </is>
      </c>
      <c r="C1809" t="inlineStr">
        <is>
          <t>Muhammad Haerul Rozikin</t>
        </is>
      </c>
      <c r="D1809" t="inlineStr">
        <is>
          <t>LOG</t>
        </is>
      </c>
      <c r="E1809" t="inlineStr">
        <is>
          <t>WRM Harian</t>
        </is>
      </c>
      <c r="F1809" t="inlineStr">
        <is>
          <t>07:55:39</t>
        </is>
      </c>
      <c r="G1809" t="inlineStr">
        <is>
          <t>16:01:15</t>
        </is>
      </c>
      <c r="H1809" t="inlineStr">
        <is>
          <t>SELESAI</t>
        </is>
      </c>
      <c r="I1809" t="inlineStr">
        <is>
          <t>MK00203</t>
        </is>
      </c>
      <c r="J1809" t="inlineStr"/>
    </row>
    <row r="1810">
      <c r="A1810" t="inlineStr">
        <is>
          <t>15/07/2026</t>
        </is>
      </c>
      <c r="B1810" t="inlineStr">
        <is>
          <t>528000270</t>
        </is>
      </c>
      <c r="C1810" t="inlineStr">
        <is>
          <t>Febri Najmudin</t>
        </is>
      </c>
      <c r="D1810" t="inlineStr">
        <is>
          <t>LOG</t>
        </is>
      </c>
      <c r="E1810" t="inlineStr">
        <is>
          <t>WRM Harian</t>
        </is>
      </c>
      <c r="F1810" t="inlineStr">
        <is>
          <t>21:46:00</t>
        </is>
      </c>
      <c r="G1810" t="inlineStr"/>
      <c r="H1810" t="inlineStr">
        <is>
          <t>DI DALAM</t>
        </is>
      </c>
      <c r="I1810" t="inlineStr">
        <is>
          <t>MK00134</t>
        </is>
      </c>
      <c r="J1810" t="inlineStr"/>
    </row>
    <row r="1811">
      <c r="A1811" t="inlineStr">
        <is>
          <t>15/07/2026</t>
        </is>
      </c>
      <c r="B1811" t="inlineStr">
        <is>
          <t>528000274</t>
        </is>
      </c>
      <c r="C1811" t="inlineStr">
        <is>
          <t>Zepri</t>
        </is>
      </c>
      <c r="D1811" t="inlineStr">
        <is>
          <t>PROD</t>
        </is>
      </c>
      <c r="E1811" t="inlineStr">
        <is>
          <t>Produksi Harian</t>
        </is>
      </c>
      <c r="F1811" t="inlineStr">
        <is>
          <t>13:54:32</t>
        </is>
      </c>
      <c r="G1811" t="inlineStr">
        <is>
          <t>22:04:15</t>
        </is>
      </c>
      <c r="H1811" t="inlineStr">
        <is>
          <t>SELESAI</t>
        </is>
      </c>
      <c r="I1811" t="inlineStr">
        <is>
          <t>MK00156</t>
        </is>
      </c>
      <c r="J1811" t="inlineStr"/>
    </row>
    <row r="1812">
      <c r="A1812" t="inlineStr">
        <is>
          <t>15/07/2026</t>
        </is>
      </c>
      <c r="B1812" t="inlineStr">
        <is>
          <t>528000279</t>
        </is>
      </c>
      <c r="C1812" t="inlineStr">
        <is>
          <t>Mahdalena Dalfa Riani</t>
        </is>
      </c>
      <c r="D1812" t="inlineStr">
        <is>
          <t>PROD</t>
        </is>
      </c>
      <c r="E1812" t="inlineStr">
        <is>
          <t>Produksi Harian</t>
        </is>
      </c>
      <c r="F1812" t="inlineStr">
        <is>
          <t>05:53:59</t>
        </is>
      </c>
      <c r="G1812" t="inlineStr">
        <is>
          <t>14:02:14</t>
        </is>
      </c>
      <c r="H1812" t="inlineStr">
        <is>
          <t>SELESAI</t>
        </is>
      </c>
      <c r="I1812" t="inlineStr">
        <is>
          <t>MK00212</t>
        </is>
      </c>
      <c r="J1812" t="inlineStr"/>
    </row>
    <row r="1813">
      <c r="A1813" t="inlineStr">
        <is>
          <t>15/07/2026</t>
        </is>
      </c>
      <c r="B1813" t="inlineStr">
        <is>
          <t>528000282</t>
        </is>
      </c>
      <c r="C1813" t="inlineStr">
        <is>
          <t>Defa Desfiana</t>
        </is>
      </c>
      <c r="D1813" t="inlineStr">
        <is>
          <t>PROD</t>
        </is>
      </c>
      <c r="E1813" t="inlineStr">
        <is>
          <t>Produksi Harian</t>
        </is>
      </c>
      <c r="F1813" t="inlineStr">
        <is>
          <t>07:30:56</t>
        </is>
      </c>
      <c r="G1813" t="inlineStr">
        <is>
          <t>16:14:45</t>
        </is>
      </c>
      <c r="H1813" t="inlineStr">
        <is>
          <t>SELESAI</t>
        </is>
      </c>
      <c r="I1813" t="inlineStr">
        <is>
          <t>MK00213</t>
        </is>
      </c>
      <c r="J1813" t="inlineStr">
        <is>
          <t>30e</t>
        </is>
      </c>
    </row>
    <row r="1814">
      <c r="A1814" t="inlineStr">
        <is>
          <t>15/07/2026</t>
        </is>
      </c>
      <c r="B1814" t="inlineStr">
        <is>
          <t>528000286</t>
        </is>
      </c>
      <c r="C1814" t="inlineStr">
        <is>
          <t>Imelda Amelia</t>
        </is>
      </c>
      <c r="D1814" t="inlineStr">
        <is>
          <t>PROD</t>
        </is>
      </c>
      <c r="E1814" t="inlineStr">
        <is>
          <t>Produksi Harian</t>
        </is>
      </c>
      <c r="F1814" t="inlineStr">
        <is>
          <t>13:45:56</t>
        </is>
      </c>
      <c r="G1814" t="inlineStr">
        <is>
          <t>22:08:24</t>
        </is>
      </c>
      <c r="H1814" t="inlineStr">
        <is>
          <t>SELESAI</t>
        </is>
      </c>
      <c r="I1814" t="inlineStr">
        <is>
          <t>MK00220</t>
        </is>
      </c>
      <c r="J1814" t="inlineStr"/>
    </row>
    <row r="1815">
      <c r="A1815" t="inlineStr">
        <is>
          <t>15/07/2026</t>
        </is>
      </c>
      <c r="B1815" t="inlineStr">
        <is>
          <t>528000288</t>
        </is>
      </c>
      <c r="C1815" t="inlineStr">
        <is>
          <t>Dede gunawan</t>
        </is>
      </c>
      <c r="D1815" t="inlineStr">
        <is>
          <t>PROD</t>
        </is>
      </c>
      <c r="E1815" t="inlineStr">
        <is>
          <t>Produksi Harian</t>
        </is>
      </c>
      <c r="F1815" t="inlineStr">
        <is>
          <t>05:54:54</t>
        </is>
      </c>
      <c r="G1815" t="inlineStr">
        <is>
          <t>05:57:42</t>
        </is>
      </c>
      <c r="H1815" t="inlineStr">
        <is>
          <t>SELESAI</t>
        </is>
      </c>
      <c r="I1815" t="inlineStr">
        <is>
          <t>MK00108</t>
        </is>
      </c>
      <c r="J1815" t="inlineStr"/>
    </row>
    <row r="1816">
      <c r="A1816" t="inlineStr">
        <is>
          <t>15/07/2026</t>
        </is>
      </c>
      <c r="B1816" t="inlineStr">
        <is>
          <t>528000289</t>
        </is>
      </c>
      <c r="C1816" t="inlineStr">
        <is>
          <t>Adit Supriyadi</t>
        </is>
      </c>
      <c r="D1816" t="inlineStr">
        <is>
          <t>PROD</t>
        </is>
      </c>
      <c r="E1816" t="inlineStr">
        <is>
          <t>Produksi Harian</t>
        </is>
      </c>
      <c r="F1816" t="inlineStr">
        <is>
          <t>13:50:50</t>
        </is>
      </c>
      <c r="G1816" t="inlineStr">
        <is>
          <t>05:59:17</t>
        </is>
      </c>
      <c r="H1816" t="inlineStr">
        <is>
          <t>SELESAI</t>
        </is>
      </c>
      <c r="I1816" t="inlineStr">
        <is>
          <t>MK00219</t>
        </is>
      </c>
      <c r="J1816" t="inlineStr"/>
    </row>
    <row r="1817">
      <c r="A1817" t="inlineStr">
        <is>
          <t>15/07/2026</t>
        </is>
      </c>
      <c r="B1817" t="inlineStr">
        <is>
          <t>528000290</t>
        </is>
      </c>
      <c r="C1817" t="inlineStr">
        <is>
          <t>Eval Pranata</t>
        </is>
      </c>
      <c r="D1817" t="inlineStr">
        <is>
          <t>PROD</t>
        </is>
      </c>
      <c r="E1817" t="inlineStr">
        <is>
          <t>Produksi Harian</t>
        </is>
      </c>
      <c r="F1817" t="inlineStr">
        <is>
          <t>13:58:30</t>
        </is>
      </c>
      <c r="G1817" t="inlineStr">
        <is>
          <t>22:03:56</t>
        </is>
      </c>
      <c r="H1817" t="inlineStr">
        <is>
          <t>SELESAI</t>
        </is>
      </c>
      <c r="I1817" t="inlineStr">
        <is>
          <t>MK00154</t>
        </is>
      </c>
      <c r="J1817" t="inlineStr"/>
    </row>
    <row r="1818">
      <c r="A1818" t="inlineStr">
        <is>
          <t>15/07/2026</t>
        </is>
      </c>
      <c r="B1818" t="inlineStr">
        <is>
          <t>528000297</t>
        </is>
      </c>
      <c r="C1818" t="inlineStr">
        <is>
          <t>Muhamad Budiana</t>
        </is>
      </c>
      <c r="D1818" t="inlineStr">
        <is>
          <t>PROD</t>
        </is>
      </c>
      <c r="E1818" t="inlineStr">
        <is>
          <t>Produksi Harian</t>
        </is>
      </c>
      <c r="F1818" t="inlineStr">
        <is>
          <t>05:55:45</t>
        </is>
      </c>
      <c r="G1818" t="inlineStr">
        <is>
          <t>14:56:34</t>
        </is>
      </c>
      <c r="H1818" t="inlineStr">
        <is>
          <t>SELESAI</t>
        </is>
      </c>
      <c r="I1818" t="inlineStr">
        <is>
          <t>MK00116</t>
        </is>
      </c>
      <c r="J1818" t="inlineStr"/>
    </row>
    <row r="1819">
      <c r="A1819" t="inlineStr">
        <is>
          <t>15/07/2026</t>
        </is>
      </c>
      <c r="B1819" t="inlineStr">
        <is>
          <t>528000298</t>
        </is>
      </c>
      <c r="C1819" t="inlineStr">
        <is>
          <t>Desta Cahaya Pratama</t>
        </is>
      </c>
      <c r="D1819" t="inlineStr">
        <is>
          <t>PROD</t>
        </is>
      </c>
      <c r="E1819" t="inlineStr">
        <is>
          <t>Produksi Harian</t>
        </is>
      </c>
      <c r="F1819" t="inlineStr">
        <is>
          <t>21:41:17</t>
        </is>
      </c>
      <c r="G1819" t="inlineStr">
        <is>
          <t>06:04:35</t>
        </is>
      </c>
      <c r="H1819" t="inlineStr">
        <is>
          <t>SELESAI</t>
        </is>
      </c>
      <c r="I1819" t="inlineStr">
        <is>
          <t>MK00138</t>
        </is>
      </c>
      <c r="J1819" t="inlineStr"/>
    </row>
    <row r="1820">
      <c r="A1820" t="inlineStr">
        <is>
          <t>15/07/2026</t>
        </is>
      </c>
      <c r="B1820" t="inlineStr">
        <is>
          <t>528000299</t>
        </is>
      </c>
      <c r="C1820" t="inlineStr">
        <is>
          <t>Siti Nurjanah</t>
        </is>
      </c>
      <c r="D1820" t="inlineStr">
        <is>
          <t>PROD</t>
        </is>
      </c>
      <c r="E1820" t="inlineStr">
        <is>
          <t>Produksi Harian</t>
        </is>
      </c>
      <c r="F1820" t="inlineStr">
        <is>
          <t>21:41:33</t>
        </is>
      </c>
      <c r="G1820" t="inlineStr">
        <is>
          <t>06:04:29</t>
        </is>
      </c>
      <c r="H1820" t="inlineStr">
        <is>
          <t>SELESAI</t>
        </is>
      </c>
      <c r="I1820" t="inlineStr">
        <is>
          <t>MK00109</t>
        </is>
      </c>
      <c r="J1820" t="inlineStr"/>
    </row>
    <row r="1821">
      <c r="A1821" t="inlineStr">
        <is>
          <t>15/07/2026</t>
        </is>
      </c>
      <c r="B1821" t="inlineStr">
        <is>
          <t>528000300</t>
        </is>
      </c>
      <c r="C1821" t="inlineStr">
        <is>
          <t>Lia pitaloka</t>
        </is>
      </c>
      <c r="D1821" t="inlineStr">
        <is>
          <t>PROD</t>
        </is>
      </c>
      <c r="E1821" t="inlineStr">
        <is>
          <t>Produksi Harian</t>
        </is>
      </c>
      <c r="F1821" t="inlineStr">
        <is>
          <t>05:55:46</t>
        </is>
      </c>
      <c r="G1821" t="inlineStr">
        <is>
          <t>14:03:32</t>
        </is>
      </c>
      <c r="H1821" t="inlineStr">
        <is>
          <t>SELESAI</t>
        </is>
      </c>
      <c r="I1821" t="inlineStr">
        <is>
          <t>MK00145</t>
        </is>
      </c>
      <c r="J1821" t="inlineStr"/>
    </row>
    <row r="1822">
      <c r="A1822" t="inlineStr">
        <is>
          <t>15/07/2026</t>
        </is>
      </c>
      <c r="B1822" t="inlineStr">
        <is>
          <t>528000302</t>
        </is>
      </c>
      <c r="C1822" t="inlineStr">
        <is>
          <t>Henkey gumilar</t>
        </is>
      </c>
      <c r="D1822" t="inlineStr">
        <is>
          <t>PROD</t>
        </is>
      </c>
      <c r="E1822" t="inlineStr">
        <is>
          <t>Produksi Harian</t>
        </is>
      </c>
      <c r="F1822" t="inlineStr">
        <is>
          <t>21:48:45</t>
        </is>
      </c>
      <c r="G1822" t="inlineStr">
        <is>
          <t>06:10:05</t>
        </is>
      </c>
      <c r="H1822" t="inlineStr">
        <is>
          <t>SELESAI</t>
        </is>
      </c>
      <c r="I1822" t="inlineStr">
        <is>
          <t>MK00208</t>
        </is>
      </c>
      <c r="J1822" t="inlineStr"/>
    </row>
    <row r="1823">
      <c r="A1823" t="inlineStr">
        <is>
          <t>15/07/2026</t>
        </is>
      </c>
      <c r="B1823" t="inlineStr">
        <is>
          <t>528000305</t>
        </is>
      </c>
      <c r="C1823" t="inlineStr">
        <is>
          <t>Puji Puspita</t>
        </is>
      </c>
      <c r="D1823" t="inlineStr">
        <is>
          <t>PROD</t>
        </is>
      </c>
      <c r="E1823" t="inlineStr">
        <is>
          <t>Produksi Harian</t>
        </is>
      </c>
      <c r="F1823" t="inlineStr">
        <is>
          <t>21:41:41</t>
        </is>
      </c>
      <c r="G1823" t="inlineStr">
        <is>
          <t>06:02:14</t>
        </is>
      </c>
      <c r="H1823" t="inlineStr">
        <is>
          <t>SELESAI</t>
        </is>
      </c>
      <c r="I1823" t="inlineStr">
        <is>
          <t>MK00184</t>
        </is>
      </c>
      <c r="J1823" t="inlineStr"/>
    </row>
    <row r="1824">
      <c r="A1824" t="inlineStr">
        <is>
          <t>15/07/2026</t>
        </is>
      </c>
      <c r="B1824" t="inlineStr">
        <is>
          <t>528000306</t>
        </is>
      </c>
      <c r="C1824" t="inlineStr">
        <is>
          <t>Windy Olivia</t>
        </is>
      </c>
      <c r="D1824" t="inlineStr">
        <is>
          <t>PROD</t>
        </is>
      </c>
      <c r="E1824" t="inlineStr">
        <is>
          <t>Produksi Harian</t>
        </is>
      </c>
      <c r="F1824" t="inlineStr">
        <is>
          <t>05:49:06</t>
        </is>
      </c>
      <c r="G1824" t="inlineStr">
        <is>
          <t>14:02:26</t>
        </is>
      </c>
      <c r="H1824" t="inlineStr">
        <is>
          <t>SELESAI</t>
        </is>
      </c>
      <c r="I1824" t="inlineStr">
        <is>
          <t>MK00121</t>
        </is>
      </c>
      <c r="J1824" t="inlineStr"/>
    </row>
    <row r="1825">
      <c r="A1825" t="inlineStr">
        <is>
          <t>15/07/2026</t>
        </is>
      </c>
      <c r="B1825" t="inlineStr">
        <is>
          <t>528000309</t>
        </is>
      </c>
      <c r="C1825" t="inlineStr">
        <is>
          <t>Ilham Ramadhan</t>
        </is>
      </c>
      <c r="D1825" t="inlineStr">
        <is>
          <t>LOG</t>
        </is>
      </c>
      <c r="E1825" t="inlineStr">
        <is>
          <t>WRM Harian</t>
        </is>
      </c>
      <c r="F1825" t="inlineStr">
        <is>
          <t>21:50:05</t>
        </is>
      </c>
      <c r="G1825" t="inlineStr">
        <is>
          <t>06:05:59</t>
        </is>
      </c>
      <c r="H1825" t="inlineStr">
        <is>
          <t>SELESAI</t>
        </is>
      </c>
      <c r="I1825" t="inlineStr">
        <is>
          <t>MK00219</t>
        </is>
      </c>
      <c r="J1825" t="inlineStr"/>
    </row>
    <row r="1826">
      <c r="A1826" t="inlineStr">
        <is>
          <t>15/07/2026</t>
        </is>
      </c>
      <c r="B1826" t="inlineStr">
        <is>
          <t>528000310</t>
        </is>
      </c>
      <c r="C1826" t="inlineStr">
        <is>
          <t>Fachrul Rozzi Suryana</t>
        </is>
      </c>
      <c r="D1826" t="inlineStr">
        <is>
          <t>LOG</t>
        </is>
      </c>
      <c r="E1826" t="inlineStr">
        <is>
          <t>WRM Harian</t>
        </is>
      </c>
      <c r="F1826" t="inlineStr">
        <is>
          <t>07:51:31</t>
        </is>
      </c>
      <c r="G1826" t="inlineStr">
        <is>
          <t>16:00:53</t>
        </is>
      </c>
      <c r="H1826" t="inlineStr">
        <is>
          <t>SELESAI</t>
        </is>
      </c>
      <c r="I1826" t="inlineStr">
        <is>
          <t>MK00192</t>
        </is>
      </c>
      <c r="J1826" t="inlineStr">
        <is>
          <t>32B</t>
        </is>
      </c>
    </row>
    <row r="1827">
      <c r="A1827" t="inlineStr">
        <is>
          <t>15/07/2026</t>
        </is>
      </c>
      <c r="B1827" t="inlineStr">
        <is>
          <t>528000313</t>
        </is>
      </c>
      <c r="C1827" t="inlineStr">
        <is>
          <t>Muhamad Rifki</t>
        </is>
      </c>
      <c r="D1827" t="inlineStr">
        <is>
          <t>PROD</t>
        </is>
      </c>
      <c r="E1827" t="inlineStr">
        <is>
          <t>Produksi Harian</t>
        </is>
      </c>
      <c r="F1827" t="inlineStr">
        <is>
          <t>21:48:20</t>
        </is>
      </c>
      <c r="G1827" t="inlineStr">
        <is>
          <t>06:04:42</t>
        </is>
      </c>
      <c r="H1827" t="inlineStr">
        <is>
          <t>SELESAI</t>
        </is>
      </c>
      <c r="I1827" t="inlineStr">
        <is>
          <t>MK00113</t>
        </is>
      </c>
      <c r="J1827" t="inlineStr"/>
    </row>
    <row r="1828">
      <c r="A1828" t="inlineStr">
        <is>
          <t>15/07/2026</t>
        </is>
      </c>
      <c r="B1828" t="inlineStr">
        <is>
          <t>528000314</t>
        </is>
      </c>
      <c r="C1828" t="inlineStr">
        <is>
          <t>Rusmana</t>
        </is>
      </c>
      <c r="D1828" t="inlineStr">
        <is>
          <t>PROD</t>
        </is>
      </c>
      <c r="E1828" t="inlineStr">
        <is>
          <t>Produksi Harian</t>
        </is>
      </c>
      <c r="F1828" t="inlineStr">
        <is>
          <t>07:55:39</t>
        </is>
      </c>
      <c r="G1828" t="inlineStr"/>
      <c r="H1828" t="inlineStr">
        <is>
          <t>DI DALAM</t>
        </is>
      </c>
      <c r="I1828" t="inlineStr">
        <is>
          <t>MK00125</t>
        </is>
      </c>
      <c r="J1828" t="inlineStr"/>
    </row>
    <row r="1829">
      <c r="A1829" t="inlineStr">
        <is>
          <t>15/07/2026</t>
        </is>
      </c>
      <c r="B1829" t="inlineStr">
        <is>
          <t>528000318</t>
        </is>
      </c>
      <c r="C1829" t="inlineStr">
        <is>
          <t>Bayu Padli Sepriyana</t>
        </is>
      </c>
      <c r="D1829" t="inlineStr">
        <is>
          <t>LOG</t>
        </is>
      </c>
      <c r="E1829" t="inlineStr">
        <is>
          <t>WRM Harian</t>
        </is>
      </c>
      <c r="F1829" t="inlineStr">
        <is>
          <t>21:37:49</t>
        </is>
      </c>
      <c r="G1829" t="inlineStr">
        <is>
          <t>06:01:39</t>
        </is>
      </c>
      <c r="H1829" t="inlineStr">
        <is>
          <t>SELESAI</t>
        </is>
      </c>
      <c r="I1829" t="inlineStr">
        <is>
          <t>MK00181</t>
        </is>
      </c>
      <c r="J1829" t="inlineStr"/>
    </row>
    <row r="1830">
      <c r="A1830" t="inlineStr">
        <is>
          <t>15/07/2026</t>
        </is>
      </c>
      <c r="B1830" t="inlineStr">
        <is>
          <t>528000322</t>
        </is>
      </c>
      <c r="C1830" t="inlineStr">
        <is>
          <t>Muhamad Aliludin</t>
        </is>
      </c>
      <c r="D1830" t="inlineStr">
        <is>
          <t>PROD</t>
        </is>
      </c>
      <c r="E1830" t="inlineStr">
        <is>
          <t>Produksi Harian</t>
        </is>
      </c>
      <c r="F1830" t="inlineStr">
        <is>
          <t>21:47:33</t>
        </is>
      </c>
      <c r="G1830" t="inlineStr"/>
      <c r="H1830" t="inlineStr">
        <is>
          <t>DI DALAM</t>
        </is>
      </c>
      <c r="I1830" t="inlineStr">
        <is>
          <t>MK00230</t>
        </is>
      </c>
      <c r="J1830" t="inlineStr"/>
    </row>
    <row r="1831">
      <c r="A1831" t="inlineStr">
        <is>
          <t>15/07/2026</t>
        </is>
      </c>
      <c r="B1831" t="inlineStr">
        <is>
          <t>528000335</t>
        </is>
      </c>
      <c r="C1831" t="inlineStr">
        <is>
          <t>Rizal Saepuloh</t>
        </is>
      </c>
      <c r="D1831" t="inlineStr">
        <is>
          <t>LOG</t>
        </is>
      </c>
      <c r="E1831" t="inlineStr">
        <is>
          <t>WRM Harian</t>
        </is>
      </c>
      <c r="F1831" t="inlineStr">
        <is>
          <t>12:34:17</t>
        </is>
      </c>
      <c r="G1831" t="inlineStr"/>
      <c r="H1831" t="inlineStr">
        <is>
          <t>DI DALAM</t>
        </is>
      </c>
      <c r="I1831" t="inlineStr">
        <is>
          <t>528000335</t>
        </is>
      </c>
      <c r="J1831" t="inlineStr"/>
    </row>
    <row r="1832">
      <c r="A1832" t="inlineStr">
        <is>
          <t>15/07/2026</t>
        </is>
      </c>
      <c r="B1832" t="inlineStr">
        <is>
          <t>528000340</t>
        </is>
      </c>
      <c r="C1832" t="inlineStr">
        <is>
          <t>Muhammad Wildan Adithya</t>
        </is>
      </c>
      <c r="D1832" t="inlineStr">
        <is>
          <t>PROD</t>
        </is>
      </c>
      <c r="E1832" t="inlineStr">
        <is>
          <t>Produksi Harian</t>
        </is>
      </c>
      <c r="F1832" t="inlineStr">
        <is>
          <t>21:21:25</t>
        </is>
      </c>
      <c r="G1832" t="inlineStr">
        <is>
          <t>06:05:42</t>
        </is>
      </c>
      <c r="H1832" t="inlineStr">
        <is>
          <t>SELESAI</t>
        </is>
      </c>
      <c r="I1832" t="inlineStr">
        <is>
          <t>MK00217</t>
        </is>
      </c>
      <c r="J1832" t="inlineStr"/>
    </row>
    <row r="1833">
      <c r="A1833" t="inlineStr">
        <is>
          <t>15/07/2026</t>
        </is>
      </c>
      <c r="B1833" t="inlineStr">
        <is>
          <t>528000348</t>
        </is>
      </c>
      <c r="C1833" t="inlineStr">
        <is>
          <t>Saepuloh Ardiansah</t>
        </is>
      </c>
      <c r="D1833" t="inlineStr">
        <is>
          <t>LOG</t>
        </is>
      </c>
      <c r="E1833" t="inlineStr">
        <is>
          <t>WRM Harian</t>
        </is>
      </c>
      <c r="F1833" t="inlineStr">
        <is>
          <t>08:55:41</t>
        </is>
      </c>
      <c r="G1833" t="inlineStr">
        <is>
          <t>17:27:48</t>
        </is>
      </c>
      <c r="H1833" t="inlineStr">
        <is>
          <t>SELESAI</t>
        </is>
      </c>
      <c r="I1833" t="inlineStr">
        <is>
          <t>MK00205</t>
        </is>
      </c>
      <c r="J1833" t="inlineStr"/>
    </row>
    <row r="1834">
      <c r="A1834" t="inlineStr">
        <is>
          <t>15/07/2026</t>
        </is>
      </c>
      <c r="B1834" t="inlineStr">
        <is>
          <t>528000349</t>
        </is>
      </c>
      <c r="C1834" t="inlineStr">
        <is>
          <t>Anas Abdul Fatah</t>
        </is>
      </c>
      <c r="D1834" t="inlineStr">
        <is>
          <t>LOG</t>
        </is>
      </c>
      <c r="E1834" t="inlineStr">
        <is>
          <t>WFG Harian</t>
        </is>
      </c>
      <c r="F1834" t="inlineStr">
        <is>
          <t>09:42:52</t>
        </is>
      </c>
      <c r="G1834" t="inlineStr">
        <is>
          <t>18:12:45</t>
        </is>
      </c>
      <c r="H1834" t="inlineStr">
        <is>
          <t>SELESAI</t>
        </is>
      </c>
      <c r="I1834" t="inlineStr">
        <is>
          <t>MK00202</t>
        </is>
      </c>
      <c r="J1834" t="inlineStr"/>
    </row>
    <row r="1835">
      <c r="A1835" t="inlineStr">
        <is>
          <t>15/07/2026</t>
        </is>
      </c>
      <c r="B1835" t="inlineStr">
        <is>
          <t>528000351</t>
        </is>
      </c>
      <c r="C1835" t="inlineStr">
        <is>
          <t>Mulyana</t>
        </is>
      </c>
      <c r="D1835" t="inlineStr">
        <is>
          <t>PROD</t>
        </is>
      </c>
      <c r="E1835" t="inlineStr">
        <is>
          <t>Produksi Harian</t>
        </is>
      </c>
      <c r="F1835" t="inlineStr">
        <is>
          <t>07:49:56</t>
        </is>
      </c>
      <c r="G1835" t="inlineStr">
        <is>
          <t>16:02:55</t>
        </is>
      </c>
      <c r="H1835" t="inlineStr">
        <is>
          <t>SELESAI</t>
        </is>
      </c>
      <c r="I1835" t="inlineStr">
        <is>
          <t>MK00208</t>
        </is>
      </c>
      <c r="J1835" t="inlineStr"/>
    </row>
    <row r="1836">
      <c r="A1836" t="inlineStr">
        <is>
          <t>15/07/2026</t>
        </is>
      </c>
      <c r="B1836" t="inlineStr">
        <is>
          <t>528000359</t>
        </is>
      </c>
      <c r="C1836" t="inlineStr">
        <is>
          <t>M. Iqbal Maulana. S</t>
        </is>
      </c>
      <c r="D1836" t="inlineStr">
        <is>
          <t>LOG</t>
        </is>
      </c>
      <c r="E1836" t="inlineStr">
        <is>
          <t>WRM Harian</t>
        </is>
      </c>
      <c r="F1836" t="inlineStr">
        <is>
          <t>05:54:44</t>
        </is>
      </c>
      <c r="G1836" t="inlineStr">
        <is>
          <t>14:02:11</t>
        </is>
      </c>
      <c r="H1836" t="inlineStr">
        <is>
          <t>SELESAI</t>
        </is>
      </c>
      <c r="I1836" t="inlineStr">
        <is>
          <t>MK00235</t>
        </is>
      </c>
      <c r="J1836" t="inlineStr"/>
    </row>
    <row r="1837">
      <c r="A1837" t="inlineStr">
        <is>
          <t>15/07/2026</t>
        </is>
      </c>
      <c r="B1837" t="inlineStr">
        <is>
          <t>528000361</t>
        </is>
      </c>
      <c r="C1837" t="inlineStr">
        <is>
          <t>Denada Munggarani</t>
        </is>
      </c>
      <c r="D1837" t="inlineStr">
        <is>
          <t>PROD</t>
        </is>
      </c>
      <c r="E1837" t="inlineStr">
        <is>
          <t>Produksi Harian</t>
        </is>
      </c>
      <c r="F1837" t="inlineStr">
        <is>
          <t>21:39:32</t>
        </is>
      </c>
      <c r="G1837" t="inlineStr"/>
      <c r="H1837" t="inlineStr">
        <is>
          <t>DI DALAM</t>
        </is>
      </c>
      <c r="I1837" t="inlineStr">
        <is>
          <t>MK00160</t>
        </is>
      </c>
      <c r="J1837" t="inlineStr"/>
    </row>
    <row r="1838">
      <c r="A1838" t="inlineStr">
        <is>
          <t>15/07/2026</t>
        </is>
      </c>
      <c r="B1838" t="inlineStr">
        <is>
          <t>628000064</t>
        </is>
      </c>
      <c r="C1838" t="inlineStr">
        <is>
          <t>Silva Alypia</t>
        </is>
      </c>
      <c r="D1838" t="inlineStr">
        <is>
          <t>PROD</t>
        </is>
      </c>
      <c r="E1838" t="inlineStr">
        <is>
          <t>Produksi Borongan</t>
        </is>
      </c>
      <c r="F1838" t="inlineStr">
        <is>
          <t>05:55:08</t>
        </is>
      </c>
      <c r="G1838" t="inlineStr">
        <is>
          <t>14:03:43</t>
        </is>
      </c>
      <c r="H1838" t="inlineStr">
        <is>
          <t>SELESAI</t>
        </is>
      </c>
      <c r="I1838" t="inlineStr">
        <is>
          <t>MK00109</t>
        </is>
      </c>
      <c r="J1838" t="inlineStr"/>
    </row>
    <row r="1839">
      <c r="A1839" t="inlineStr">
        <is>
          <t>15/07/2026</t>
        </is>
      </c>
      <c r="B1839" t="inlineStr">
        <is>
          <t>628000091</t>
        </is>
      </c>
      <c r="C1839" t="inlineStr">
        <is>
          <t>Devita Handayani</t>
        </is>
      </c>
      <c r="D1839" t="inlineStr">
        <is>
          <t>PROD</t>
        </is>
      </c>
      <c r="E1839" t="inlineStr">
        <is>
          <t>Produksi Borongan</t>
        </is>
      </c>
      <c r="F1839" t="inlineStr"/>
      <c r="G1839" t="inlineStr">
        <is>
          <t>06:11:35</t>
        </is>
      </c>
      <c r="H1839" t="inlineStr">
        <is>
          <t>KELUAR TANPA MASUK</t>
        </is>
      </c>
      <c r="I1839" t="inlineStr">
        <is>
          <t>MK00203</t>
        </is>
      </c>
      <c r="J1839" t="inlineStr"/>
    </row>
    <row r="1840">
      <c r="A1840" t="inlineStr">
        <is>
          <t>16/07/2026</t>
        </is>
      </c>
      <c r="B1840" t="inlineStr">
        <is>
          <t>528000015</t>
        </is>
      </c>
      <c r="C1840" t="inlineStr">
        <is>
          <t>Erwin</t>
        </is>
      </c>
      <c r="D1840" t="inlineStr">
        <is>
          <t>LOG</t>
        </is>
      </c>
      <c r="E1840" t="inlineStr">
        <is>
          <t>WRM Harian</t>
        </is>
      </c>
      <c r="F1840" t="inlineStr">
        <is>
          <t>05:32:25</t>
        </is>
      </c>
      <c r="G1840" t="inlineStr">
        <is>
          <t>06:04:12</t>
        </is>
      </c>
      <c r="H1840" t="inlineStr">
        <is>
          <t>SELESAI</t>
        </is>
      </c>
      <c r="I1840" t="inlineStr">
        <is>
          <t>MK00088</t>
        </is>
      </c>
      <c r="J1840" t="inlineStr"/>
    </row>
    <row r="1841">
      <c r="A1841" t="inlineStr">
        <is>
          <t>16/07/2026</t>
        </is>
      </c>
      <c r="B1841" t="inlineStr">
        <is>
          <t>528000040</t>
        </is>
      </c>
      <c r="C1841" t="inlineStr">
        <is>
          <t>Agus Suryaman</t>
        </is>
      </c>
      <c r="D1841" t="inlineStr">
        <is>
          <t>PROD</t>
        </is>
      </c>
      <c r="E1841" t="inlineStr">
        <is>
          <t>Produksi Harian</t>
        </is>
      </c>
      <c r="F1841" t="inlineStr">
        <is>
          <t>09:02:04</t>
        </is>
      </c>
      <c r="G1841" t="inlineStr">
        <is>
          <t>16:57:36</t>
        </is>
      </c>
      <c r="H1841" t="inlineStr">
        <is>
          <t>SELESAI</t>
        </is>
      </c>
      <c r="I1841" t="inlineStr">
        <is>
          <t>MK00138</t>
        </is>
      </c>
      <c r="J1841" t="inlineStr"/>
    </row>
    <row r="1842">
      <c r="A1842" t="inlineStr">
        <is>
          <t>16/07/2026</t>
        </is>
      </c>
      <c r="B1842" t="inlineStr">
        <is>
          <t>528000052</t>
        </is>
      </c>
      <c r="C1842" t="inlineStr">
        <is>
          <t>Mustopa</t>
        </is>
      </c>
      <c r="D1842" t="inlineStr">
        <is>
          <t>PROD</t>
        </is>
      </c>
      <c r="E1842" t="inlineStr">
        <is>
          <t>Produksi Harian</t>
        </is>
      </c>
      <c r="F1842" t="inlineStr">
        <is>
          <t>13:06:35</t>
        </is>
      </c>
      <c r="G1842" t="inlineStr">
        <is>
          <t>14:00:14</t>
        </is>
      </c>
      <c r="H1842" t="inlineStr">
        <is>
          <t>SELESAI</t>
        </is>
      </c>
      <c r="I1842" t="inlineStr">
        <is>
          <t>MK00158</t>
        </is>
      </c>
      <c r="J1842" t="inlineStr"/>
    </row>
    <row r="1843">
      <c r="A1843" t="inlineStr">
        <is>
          <t>16/07/2026</t>
        </is>
      </c>
      <c r="B1843" t="inlineStr">
        <is>
          <t>528000063</t>
        </is>
      </c>
      <c r="C1843" t="inlineStr">
        <is>
          <t>Muhamad Ripki Pebrian</t>
        </is>
      </c>
      <c r="D1843" t="inlineStr">
        <is>
          <t>PROD</t>
        </is>
      </c>
      <c r="E1843" t="inlineStr">
        <is>
          <t>Produksi Harian</t>
        </is>
      </c>
      <c r="F1843" t="inlineStr">
        <is>
          <t>05:56:18</t>
        </is>
      </c>
      <c r="G1843" t="inlineStr"/>
      <c r="H1843" t="inlineStr">
        <is>
          <t>DI DALAM</t>
        </is>
      </c>
      <c r="I1843" t="inlineStr">
        <is>
          <t>MK0088</t>
        </is>
      </c>
      <c r="J1843" t="inlineStr"/>
    </row>
    <row r="1844">
      <c r="A1844" t="inlineStr">
        <is>
          <t>16/07/2026</t>
        </is>
      </c>
      <c r="B1844" t="inlineStr">
        <is>
          <t>528000069</t>
        </is>
      </c>
      <c r="C1844" t="inlineStr">
        <is>
          <t>Jajang Ardiansyah</t>
        </is>
      </c>
      <c r="D1844" t="inlineStr">
        <is>
          <t>PROD</t>
        </is>
      </c>
      <c r="E1844" t="inlineStr">
        <is>
          <t>Produksi Harian</t>
        </is>
      </c>
      <c r="F1844" t="inlineStr">
        <is>
          <t>06:46:15</t>
        </is>
      </c>
      <c r="G1844" t="inlineStr">
        <is>
          <t>21:40:43</t>
        </is>
      </c>
      <c r="H1844" t="inlineStr">
        <is>
          <t>SELESAI</t>
        </is>
      </c>
      <c r="I1844" t="inlineStr">
        <is>
          <t>MK00208</t>
        </is>
      </c>
      <c r="J1844" t="inlineStr"/>
    </row>
    <row r="1845">
      <c r="A1845" t="inlineStr">
        <is>
          <t>16/07/2026</t>
        </is>
      </c>
      <c r="B1845" t="inlineStr">
        <is>
          <t>528000132</t>
        </is>
      </c>
      <c r="C1845" t="inlineStr">
        <is>
          <t>Giopani</t>
        </is>
      </c>
      <c r="D1845" t="inlineStr">
        <is>
          <t>LOG</t>
        </is>
      </c>
      <c r="E1845" t="inlineStr">
        <is>
          <t>WRM Harian</t>
        </is>
      </c>
      <c r="F1845" t="inlineStr">
        <is>
          <t>08:42:27</t>
        </is>
      </c>
      <c r="G1845" t="inlineStr">
        <is>
          <t>21:28:22</t>
        </is>
      </c>
      <c r="H1845" t="inlineStr">
        <is>
          <t>SELESAI</t>
        </is>
      </c>
      <c r="I1845" t="inlineStr">
        <is>
          <t>MK00228</t>
        </is>
      </c>
      <c r="J1845" t="inlineStr"/>
    </row>
    <row r="1846">
      <c r="A1846" t="inlineStr">
        <is>
          <t>16/07/2026</t>
        </is>
      </c>
      <c r="B1846" t="inlineStr">
        <is>
          <t>528000144</t>
        </is>
      </c>
      <c r="C1846" t="inlineStr">
        <is>
          <t>Jodi Hanafi</t>
        </is>
      </c>
      <c r="D1846" t="inlineStr">
        <is>
          <t>LOG</t>
        </is>
      </c>
      <c r="E1846" t="inlineStr">
        <is>
          <t>WRM Harian</t>
        </is>
      </c>
      <c r="F1846" t="inlineStr">
        <is>
          <t>07:58:30</t>
        </is>
      </c>
      <c r="G1846" t="inlineStr">
        <is>
          <t>16:27:30</t>
        </is>
      </c>
      <c r="H1846" t="inlineStr">
        <is>
          <t>SELESAI</t>
        </is>
      </c>
      <c r="I1846" t="inlineStr">
        <is>
          <t>MK00221</t>
        </is>
      </c>
      <c r="J1846" t="inlineStr"/>
    </row>
    <row r="1847">
      <c r="A1847" t="inlineStr">
        <is>
          <t>16/07/2026</t>
        </is>
      </c>
      <c r="B1847" t="inlineStr">
        <is>
          <t>528000149</t>
        </is>
      </c>
      <c r="C1847" t="inlineStr">
        <is>
          <t>Tio Fernanda</t>
        </is>
      </c>
      <c r="D1847" t="inlineStr">
        <is>
          <t>LOG</t>
        </is>
      </c>
      <c r="E1847" t="inlineStr">
        <is>
          <t>WRM Harian</t>
        </is>
      </c>
      <c r="F1847" t="inlineStr">
        <is>
          <t>16:07:04</t>
        </is>
      </c>
      <c r="G1847" t="inlineStr">
        <is>
          <t>16:06:52</t>
        </is>
      </c>
      <c r="H1847" t="inlineStr">
        <is>
          <t>SELESAI</t>
        </is>
      </c>
      <c r="I1847" t="inlineStr">
        <is>
          <t>MK0130</t>
        </is>
      </c>
      <c r="J1847" t="inlineStr"/>
    </row>
    <row r="1848">
      <c r="A1848" t="inlineStr">
        <is>
          <t>16/07/2026</t>
        </is>
      </c>
      <c r="B1848" t="inlineStr">
        <is>
          <t>528000195</t>
        </is>
      </c>
      <c r="C1848" t="inlineStr">
        <is>
          <t>Rahma Sariwati</t>
        </is>
      </c>
      <c r="D1848" t="inlineStr">
        <is>
          <t>PROD</t>
        </is>
      </c>
      <c r="E1848" t="inlineStr">
        <is>
          <t>Produksi Harian</t>
        </is>
      </c>
      <c r="F1848" t="inlineStr">
        <is>
          <t>13:34:20</t>
        </is>
      </c>
      <c r="G1848" t="inlineStr">
        <is>
          <t>22:03:57</t>
        </is>
      </c>
      <c r="H1848" t="inlineStr">
        <is>
          <t>SELESAI</t>
        </is>
      </c>
      <c r="I1848" t="inlineStr">
        <is>
          <t>MK00148</t>
        </is>
      </c>
      <c r="J1848" t="inlineStr"/>
    </row>
    <row r="1849">
      <c r="A1849" t="inlineStr">
        <is>
          <t>16/07/2026</t>
        </is>
      </c>
      <c r="B1849" t="inlineStr">
        <is>
          <t>528000212</t>
        </is>
      </c>
      <c r="C1849" t="inlineStr">
        <is>
          <t>Rizal Fauzi</t>
        </is>
      </c>
      <c r="D1849" t="inlineStr">
        <is>
          <t>PROD</t>
        </is>
      </c>
      <c r="E1849" t="inlineStr">
        <is>
          <t>Produksi Harian</t>
        </is>
      </c>
      <c r="F1849" t="inlineStr"/>
      <c r="G1849" t="inlineStr">
        <is>
          <t>17:18:09</t>
        </is>
      </c>
      <c r="H1849" t="inlineStr">
        <is>
          <t>KELUAR TANPA MASUK</t>
        </is>
      </c>
      <c r="I1849" t="inlineStr">
        <is>
          <t>MK00134</t>
        </is>
      </c>
      <c r="J1849" t="inlineStr"/>
    </row>
    <row r="1850">
      <c r="A1850" t="inlineStr">
        <is>
          <t>16/07/2026</t>
        </is>
      </c>
      <c r="B1850" t="inlineStr">
        <is>
          <t>528000232</t>
        </is>
      </c>
      <c r="C1850" t="inlineStr">
        <is>
          <t>Agung Aji Suhada</t>
        </is>
      </c>
      <c r="D1850" t="inlineStr">
        <is>
          <t>LOG</t>
        </is>
      </c>
      <c r="E1850" t="inlineStr">
        <is>
          <t>WRM Harian</t>
        </is>
      </c>
      <c r="F1850" t="inlineStr">
        <is>
          <t>08:43:15</t>
        </is>
      </c>
      <c r="G1850" t="inlineStr">
        <is>
          <t>17:02:08</t>
        </is>
      </c>
      <c r="H1850" t="inlineStr">
        <is>
          <t>SELESAI</t>
        </is>
      </c>
      <c r="I1850" t="inlineStr">
        <is>
          <t>MK00210</t>
        </is>
      </c>
      <c r="J1850" t="inlineStr"/>
    </row>
    <row r="1851">
      <c r="A1851" t="inlineStr">
        <is>
          <t>16/07/2026</t>
        </is>
      </c>
      <c r="B1851" t="inlineStr">
        <is>
          <t>528000248</t>
        </is>
      </c>
      <c r="C1851" t="inlineStr">
        <is>
          <t>Roka Jaya Salka Mulya</t>
        </is>
      </c>
      <c r="D1851" t="inlineStr">
        <is>
          <t>PROD</t>
        </is>
      </c>
      <c r="E1851" t="inlineStr">
        <is>
          <t>Produksi Harian</t>
        </is>
      </c>
      <c r="F1851" t="inlineStr">
        <is>
          <t>05:54:07</t>
        </is>
      </c>
      <c r="G1851" t="inlineStr">
        <is>
          <t>14:00:39</t>
        </is>
      </c>
      <c r="H1851" t="inlineStr">
        <is>
          <t>SELESAI</t>
        </is>
      </c>
      <c r="I1851" t="inlineStr">
        <is>
          <t>MK00185</t>
        </is>
      </c>
      <c r="J1851" t="inlineStr"/>
    </row>
    <row r="1852">
      <c r="A1852" t="inlineStr">
        <is>
          <t>16/07/2026</t>
        </is>
      </c>
      <c r="B1852" t="inlineStr">
        <is>
          <t>528000262</t>
        </is>
      </c>
      <c r="C1852" t="inlineStr">
        <is>
          <t>Ndari Dwiwanti</t>
        </is>
      </c>
      <c r="D1852" t="inlineStr">
        <is>
          <t>PROD</t>
        </is>
      </c>
      <c r="E1852" t="inlineStr">
        <is>
          <t>Produksi Harian</t>
        </is>
      </c>
      <c r="F1852" t="inlineStr">
        <is>
          <t>13:31:33</t>
        </is>
      </c>
      <c r="G1852" t="inlineStr">
        <is>
          <t>22:01:08</t>
        </is>
      </c>
      <c r="H1852" t="inlineStr">
        <is>
          <t>SELESAI</t>
        </is>
      </c>
      <c r="I1852" t="inlineStr">
        <is>
          <t>MK00143</t>
        </is>
      </c>
      <c r="J1852" t="inlineStr"/>
    </row>
    <row r="1853">
      <c r="A1853" t="inlineStr">
        <is>
          <t>16/07/2026</t>
        </is>
      </c>
      <c r="B1853" t="inlineStr">
        <is>
          <t>528000265</t>
        </is>
      </c>
      <c r="C1853" t="inlineStr">
        <is>
          <t>Muhammad Haerul Rozikin</t>
        </is>
      </c>
      <c r="D1853" t="inlineStr">
        <is>
          <t>LOG</t>
        </is>
      </c>
      <c r="E1853" t="inlineStr">
        <is>
          <t>WRM Harian</t>
        </is>
      </c>
      <c r="F1853" t="inlineStr">
        <is>
          <t>07:53:35</t>
        </is>
      </c>
      <c r="G1853" t="inlineStr">
        <is>
          <t>16:10:29</t>
        </is>
      </c>
      <c r="H1853" t="inlineStr">
        <is>
          <t>SELESAI</t>
        </is>
      </c>
      <c r="I1853" t="inlineStr">
        <is>
          <t>MK00203</t>
        </is>
      </c>
      <c r="J1853" t="inlineStr"/>
    </row>
    <row r="1854">
      <c r="A1854" t="inlineStr">
        <is>
          <t>16/07/2026</t>
        </is>
      </c>
      <c r="B1854" t="inlineStr">
        <is>
          <t>528000266</t>
        </is>
      </c>
      <c r="C1854" t="inlineStr">
        <is>
          <t>M. Syirajatieq</t>
        </is>
      </c>
      <c r="D1854" t="inlineStr">
        <is>
          <t>LOG</t>
        </is>
      </c>
      <c r="E1854" t="inlineStr">
        <is>
          <t>WFG Harian</t>
        </is>
      </c>
      <c r="F1854" t="inlineStr">
        <is>
          <t>13:40:20</t>
        </is>
      </c>
      <c r="G1854" t="inlineStr">
        <is>
          <t>00:12:12</t>
        </is>
      </c>
      <c r="H1854" t="inlineStr">
        <is>
          <t>SELESAI</t>
        </is>
      </c>
      <c r="I1854" t="inlineStr">
        <is>
          <t>MK00202</t>
        </is>
      </c>
      <c r="J1854" t="inlineStr"/>
    </row>
    <row r="1855">
      <c r="A1855" t="inlineStr">
        <is>
          <t>16/07/2026</t>
        </is>
      </c>
      <c r="B1855" t="inlineStr">
        <is>
          <t>528000267</t>
        </is>
      </c>
      <c r="C1855" t="inlineStr">
        <is>
          <t>Bagas Patulloh</t>
        </is>
      </c>
      <c r="D1855" t="inlineStr">
        <is>
          <t>LOG</t>
        </is>
      </c>
      <c r="E1855" t="inlineStr">
        <is>
          <t>WRM Harian</t>
        </is>
      </c>
      <c r="F1855" t="inlineStr">
        <is>
          <t>16:09:44</t>
        </is>
      </c>
      <c r="G1855" t="inlineStr">
        <is>
          <t>00:01:39</t>
        </is>
      </c>
      <c r="H1855" t="inlineStr">
        <is>
          <t>SELESAI</t>
        </is>
      </c>
      <c r="I1855" t="inlineStr">
        <is>
          <t>MK00082</t>
        </is>
      </c>
      <c r="J1855" t="inlineStr"/>
    </row>
    <row r="1856">
      <c r="A1856" t="inlineStr">
        <is>
          <t>16/07/2026</t>
        </is>
      </c>
      <c r="B1856" t="inlineStr">
        <is>
          <t>528000270</t>
        </is>
      </c>
      <c r="C1856" t="inlineStr">
        <is>
          <t>Febri Najmudin</t>
        </is>
      </c>
      <c r="D1856" t="inlineStr">
        <is>
          <t>LOG</t>
        </is>
      </c>
      <c r="E1856" t="inlineStr">
        <is>
          <t>WRM Harian</t>
        </is>
      </c>
      <c r="F1856" t="inlineStr">
        <is>
          <t>21:44:09</t>
        </is>
      </c>
      <c r="G1856" t="inlineStr">
        <is>
          <t>06:23:29</t>
        </is>
      </c>
      <c r="H1856" t="inlineStr">
        <is>
          <t>SELESAI</t>
        </is>
      </c>
      <c r="I1856" t="inlineStr">
        <is>
          <t>MK00085</t>
        </is>
      </c>
      <c r="J1856" t="inlineStr"/>
    </row>
    <row r="1857">
      <c r="A1857" t="inlineStr">
        <is>
          <t>16/07/2026</t>
        </is>
      </c>
      <c r="B1857" t="inlineStr">
        <is>
          <t>528000279</t>
        </is>
      </c>
      <c r="C1857" t="inlineStr">
        <is>
          <t>Mahdalena Dalfa Riani</t>
        </is>
      </c>
      <c r="D1857" t="inlineStr">
        <is>
          <t>PROD</t>
        </is>
      </c>
      <c r="E1857" t="inlineStr">
        <is>
          <t>Produksi Harian</t>
        </is>
      </c>
      <c r="F1857" t="inlineStr">
        <is>
          <t>05:56:06</t>
        </is>
      </c>
      <c r="G1857" t="inlineStr">
        <is>
          <t>14:02:33</t>
        </is>
      </c>
      <c r="H1857" t="inlineStr">
        <is>
          <t>SELESAI</t>
        </is>
      </c>
      <c r="I1857" t="inlineStr">
        <is>
          <t>MK00090</t>
        </is>
      </c>
      <c r="J1857" t="inlineStr"/>
    </row>
    <row r="1858">
      <c r="A1858" t="inlineStr">
        <is>
          <t>16/07/2026</t>
        </is>
      </c>
      <c r="B1858" t="inlineStr">
        <is>
          <t>528000282</t>
        </is>
      </c>
      <c r="C1858" t="inlineStr">
        <is>
          <t>Defa Desfiana</t>
        </is>
      </c>
      <c r="D1858" t="inlineStr">
        <is>
          <t>PROD</t>
        </is>
      </c>
      <c r="E1858" t="inlineStr">
        <is>
          <t>Produksi Harian</t>
        </is>
      </c>
      <c r="F1858" t="inlineStr">
        <is>
          <t>07:34:52</t>
        </is>
      </c>
      <c r="G1858" t="inlineStr">
        <is>
          <t>16:10:01</t>
        </is>
      </c>
      <c r="H1858" t="inlineStr">
        <is>
          <t>SELESAI</t>
        </is>
      </c>
      <c r="I1858" t="inlineStr">
        <is>
          <t>MK00213</t>
        </is>
      </c>
      <c r="J1858" t="inlineStr">
        <is>
          <t>23c</t>
        </is>
      </c>
    </row>
    <row r="1859">
      <c r="A1859" t="inlineStr">
        <is>
          <t>16/07/2026</t>
        </is>
      </c>
      <c r="B1859" t="inlineStr">
        <is>
          <t>528000283</t>
        </is>
      </c>
      <c r="C1859" t="inlineStr">
        <is>
          <t>Purwanda Sugiri</t>
        </is>
      </c>
      <c r="D1859" t="inlineStr">
        <is>
          <t>LOG</t>
        </is>
      </c>
      <c r="E1859" t="inlineStr">
        <is>
          <t>WRM Harian</t>
        </is>
      </c>
      <c r="F1859" t="inlineStr">
        <is>
          <t>13:44:09</t>
        </is>
      </c>
      <c r="G1859" t="inlineStr">
        <is>
          <t>22:02:39</t>
        </is>
      </c>
      <c r="H1859" t="inlineStr">
        <is>
          <t>SELESAI</t>
        </is>
      </c>
      <c r="I1859" t="inlineStr">
        <is>
          <t>MK00192</t>
        </is>
      </c>
      <c r="J1859" t="inlineStr"/>
    </row>
    <row r="1860">
      <c r="A1860" t="inlineStr">
        <is>
          <t>16/07/2026</t>
        </is>
      </c>
      <c r="B1860" t="inlineStr">
        <is>
          <t>528000288</t>
        </is>
      </c>
      <c r="C1860" t="inlineStr">
        <is>
          <t>Dede gunawan</t>
        </is>
      </c>
      <c r="D1860" t="inlineStr">
        <is>
          <t>PROD</t>
        </is>
      </c>
      <c r="E1860" t="inlineStr">
        <is>
          <t>Produksi Harian</t>
        </is>
      </c>
      <c r="F1860" t="inlineStr">
        <is>
          <t>05:58:27</t>
        </is>
      </c>
      <c r="G1860" t="inlineStr"/>
      <c r="H1860" t="inlineStr">
        <is>
          <t>DI DALAM</t>
        </is>
      </c>
      <c r="I1860" t="inlineStr">
        <is>
          <t>MK00108</t>
        </is>
      </c>
      <c r="J1860" t="inlineStr"/>
    </row>
    <row r="1861">
      <c r="A1861" t="inlineStr">
        <is>
          <t>16/07/2026</t>
        </is>
      </c>
      <c r="B1861" t="inlineStr">
        <is>
          <t>528000291</t>
        </is>
      </c>
      <c r="C1861" t="inlineStr">
        <is>
          <t>Andrian</t>
        </is>
      </c>
      <c r="D1861" t="inlineStr">
        <is>
          <t>PROD</t>
        </is>
      </c>
      <c r="E1861" t="inlineStr">
        <is>
          <t>Produksi Harian</t>
        </is>
      </c>
      <c r="F1861" t="inlineStr">
        <is>
          <t>13:47:24</t>
        </is>
      </c>
      <c r="G1861" t="inlineStr">
        <is>
          <t>22:02:54</t>
        </is>
      </c>
      <c r="H1861" t="inlineStr">
        <is>
          <t>SELESAI</t>
        </is>
      </c>
      <c r="I1861" t="inlineStr">
        <is>
          <t>MK00112</t>
        </is>
      </c>
      <c r="J1861" t="inlineStr"/>
    </row>
    <row r="1862">
      <c r="A1862" t="inlineStr">
        <is>
          <t>16/07/2026</t>
        </is>
      </c>
      <c r="B1862" t="inlineStr">
        <is>
          <t>528000297</t>
        </is>
      </c>
      <c r="C1862" t="inlineStr">
        <is>
          <t>Muhamad Budiana</t>
        </is>
      </c>
      <c r="D1862" t="inlineStr">
        <is>
          <t>PROD</t>
        </is>
      </c>
      <c r="E1862" t="inlineStr">
        <is>
          <t>Produksi Harian</t>
        </is>
      </c>
      <c r="F1862" t="inlineStr">
        <is>
          <t>05:43:48</t>
        </is>
      </c>
      <c r="G1862" t="inlineStr">
        <is>
          <t>14:22:15</t>
        </is>
      </c>
      <c r="H1862" t="inlineStr">
        <is>
          <t>SELESAI</t>
        </is>
      </c>
      <c r="I1862" t="inlineStr">
        <is>
          <t>MK00212</t>
        </is>
      </c>
      <c r="J1862" t="inlineStr"/>
    </row>
    <row r="1863">
      <c r="A1863" t="inlineStr">
        <is>
          <t>16/07/2026</t>
        </is>
      </c>
      <c r="B1863" t="inlineStr">
        <is>
          <t>528000298</t>
        </is>
      </c>
      <c r="C1863" t="inlineStr">
        <is>
          <t>Desta Cahaya Pratama</t>
        </is>
      </c>
      <c r="D1863" t="inlineStr">
        <is>
          <t>PROD</t>
        </is>
      </c>
      <c r="E1863" t="inlineStr">
        <is>
          <t>Produksi Harian</t>
        </is>
      </c>
      <c r="F1863" t="inlineStr">
        <is>
          <t>21:41:42</t>
        </is>
      </c>
      <c r="G1863" t="inlineStr">
        <is>
          <t>06:04:33</t>
        </is>
      </c>
      <c r="H1863" t="inlineStr">
        <is>
          <t>SELESAI</t>
        </is>
      </c>
      <c r="I1863" t="inlineStr">
        <is>
          <t>MK00116</t>
        </is>
      </c>
      <c r="J1863" t="inlineStr"/>
    </row>
    <row r="1864">
      <c r="A1864" t="inlineStr">
        <is>
          <t>16/07/2026</t>
        </is>
      </c>
      <c r="B1864" t="inlineStr">
        <is>
          <t>528000299</t>
        </is>
      </c>
      <c r="C1864" t="inlineStr">
        <is>
          <t>Siti Nurjanah</t>
        </is>
      </c>
      <c r="D1864" t="inlineStr">
        <is>
          <t>PROD</t>
        </is>
      </c>
      <c r="E1864" t="inlineStr">
        <is>
          <t>Produksi Harian</t>
        </is>
      </c>
      <c r="F1864" t="inlineStr">
        <is>
          <t>21:35:31</t>
        </is>
      </c>
      <c r="G1864" t="inlineStr">
        <is>
          <t>06:04:31</t>
        </is>
      </c>
      <c r="H1864" t="inlineStr">
        <is>
          <t>SELESAI</t>
        </is>
      </c>
      <c r="I1864" t="inlineStr">
        <is>
          <t>MK00160</t>
        </is>
      </c>
      <c r="J1864" t="inlineStr"/>
    </row>
    <row r="1865">
      <c r="A1865" t="inlineStr">
        <is>
          <t>16/07/2026</t>
        </is>
      </c>
      <c r="B1865" t="inlineStr">
        <is>
          <t>528000300</t>
        </is>
      </c>
      <c r="C1865" t="inlineStr">
        <is>
          <t>Lia pitaloka</t>
        </is>
      </c>
      <c r="D1865" t="inlineStr">
        <is>
          <t>PROD</t>
        </is>
      </c>
      <c r="E1865" t="inlineStr">
        <is>
          <t>Produksi Harian</t>
        </is>
      </c>
      <c r="F1865" t="inlineStr">
        <is>
          <t>05:55:47</t>
        </is>
      </c>
      <c r="G1865" t="inlineStr">
        <is>
          <t>14:03:33</t>
        </is>
      </c>
      <c r="H1865" t="inlineStr">
        <is>
          <t>SELESAI</t>
        </is>
      </c>
      <c r="I1865" t="inlineStr">
        <is>
          <t>MK00156</t>
        </is>
      </c>
      <c r="J1865" t="inlineStr"/>
    </row>
    <row r="1866">
      <c r="A1866" t="inlineStr">
        <is>
          <t>16/07/2026</t>
        </is>
      </c>
      <c r="B1866" t="inlineStr">
        <is>
          <t>528000302</t>
        </is>
      </c>
      <c r="C1866" t="inlineStr">
        <is>
          <t>Henkey gumilar</t>
        </is>
      </c>
      <c r="D1866" t="inlineStr">
        <is>
          <t>PROD</t>
        </is>
      </c>
      <c r="E1866" t="inlineStr">
        <is>
          <t>Produksi Harian</t>
        </is>
      </c>
      <c r="F1866" t="inlineStr">
        <is>
          <t>21:53:09</t>
        </is>
      </c>
      <c r="G1866" t="inlineStr">
        <is>
          <t>06:05:04</t>
        </is>
      </c>
      <c r="H1866" t="inlineStr">
        <is>
          <t>SELESAI</t>
        </is>
      </c>
      <c r="I1866" t="inlineStr">
        <is>
          <t>MK00141</t>
        </is>
      </c>
      <c r="J1866" t="inlineStr"/>
    </row>
    <row r="1867">
      <c r="A1867" t="inlineStr">
        <is>
          <t>16/07/2026</t>
        </is>
      </c>
      <c r="B1867" t="inlineStr">
        <is>
          <t>528000305</t>
        </is>
      </c>
      <c r="C1867" t="inlineStr">
        <is>
          <t>Puji Puspita</t>
        </is>
      </c>
      <c r="D1867" t="inlineStr">
        <is>
          <t>PROD</t>
        </is>
      </c>
      <c r="E1867" t="inlineStr">
        <is>
          <t>Produksi Harian</t>
        </is>
      </c>
      <c r="F1867" t="inlineStr">
        <is>
          <t>21:34:18</t>
        </is>
      </c>
      <c r="G1867" t="inlineStr">
        <is>
          <t>06:02:30</t>
        </is>
      </c>
      <c r="H1867" t="inlineStr">
        <is>
          <t>SELESAI</t>
        </is>
      </c>
      <c r="I1867" t="inlineStr">
        <is>
          <t>MK00109</t>
        </is>
      </c>
      <c r="J1867" t="inlineStr"/>
    </row>
    <row r="1868">
      <c r="A1868" t="inlineStr">
        <is>
          <t>16/07/2026</t>
        </is>
      </c>
      <c r="B1868" t="inlineStr">
        <is>
          <t>528000309</t>
        </is>
      </c>
      <c r="C1868" t="inlineStr">
        <is>
          <t>Ilham Ramadhan</t>
        </is>
      </c>
      <c r="D1868" t="inlineStr">
        <is>
          <t>LOG</t>
        </is>
      </c>
      <c r="E1868" t="inlineStr">
        <is>
          <t>WRM Harian</t>
        </is>
      </c>
      <c r="F1868" t="inlineStr">
        <is>
          <t>21:51:44</t>
        </is>
      </c>
      <c r="G1868" t="inlineStr">
        <is>
          <t>06:05:40</t>
        </is>
      </c>
      <c r="H1868" t="inlineStr">
        <is>
          <t>SELESAI</t>
        </is>
      </c>
      <c r="I1868" t="inlineStr">
        <is>
          <t>MK00143</t>
        </is>
      </c>
      <c r="J1868" t="inlineStr"/>
    </row>
    <row r="1869">
      <c r="A1869" t="inlineStr">
        <is>
          <t>16/07/2026</t>
        </is>
      </c>
      <c r="B1869" t="inlineStr">
        <is>
          <t>528000310</t>
        </is>
      </c>
      <c r="C1869" t="inlineStr">
        <is>
          <t>Fachrul Rozzi Suryana</t>
        </is>
      </c>
      <c r="D1869" t="inlineStr">
        <is>
          <t>LOG</t>
        </is>
      </c>
      <c r="E1869" t="inlineStr">
        <is>
          <t>WRM Harian</t>
        </is>
      </c>
      <c r="F1869" t="inlineStr">
        <is>
          <t>07:51:25</t>
        </is>
      </c>
      <c r="G1869" t="inlineStr">
        <is>
          <t>16:09:58</t>
        </is>
      </c>
      <c r="H1869" t="inlineStr">
        <is>
          <t>SELESAI</t>
        </is>
      </c>
      <c r="I1869" t="inlineStr">
        <is>
          <t>MK00145</t>
        </is>
      </c>
      <c r="J1869" t="inlineStr">
        <is>
          <t>7B</t>
        </is>
      </c>
    </row>
    <row r="1870">
      <c r="A1870" t="inlineStr">
        <is>
          <t>16/07/2026</t>
        </is>
      </c>
      <c r="B1870" t="inlineStr">
        <is>
          <t>528000313</t>
        </is>
      </c>
      <c r="C1870" t="inlineStr">
        <is>
          <t>Muhamad Rifki</t>
        </is>
      </c>
      <c r="D1870" t="inlineStr">
        <is>
          <t>PROD</t>
        </is>
      </c>
      <c r="E1870" t="inlineStr">
        <is>
          <t>Produksi Harian</t>
        </is>
      </c>
      <c r="F1870" t="inlineStr">
        <is>
          <t>21:27:03</t>
        </is>
      </c>
      <c r="G1870" t="inlineStr">
        <is>
          <t>06:03:56</t>
        </is>
      </c>
      <c r="H1870" t="inlineStr">
        <is>
          <t>SELESAI</t>
        </is>
      </c>
      <c r="I1870" t="inlineStr">
        <is>
          <t>MK00230</t>
        </is>
      </c>
      <c r="J1870" t="inlineStr"/>
    </row>
    <row r="1871">
      <c r="A1871" t="inlineStr">
        <is>
          <t>16/07/2026</t>
        </is>
      </c>
      <c r="B1871" t="inlineStr">
        <is>
          <t>528000314</t>
        </is>
      </c>
      <c r="C1871" t="inlineStr">
        <is>
          <t>Rusmana</t>
        </is>
      </c>
      <c r="D1871" t="inlineStr">
        <is>
          <t>PROD</t>
        </is>
      </c>
      <c r="E1871" t="inlineStr">
        <is>
          <t>Produksi Harian</t>
        </is>
      </c>
      <c r="F1871" t="inlineStr">
        <is>
          <t>13:40:46</t>
        </is>
      </c>
      <c r="G1871" t="inlineStr">
        <is>
          <t>13:39:31</t>
        </is>
      </c>
      <c r="H1871" t="inlineStr">
        <is>
          <t>SELESAI</t>
        </is>
      </c>
      <c r="I1871" t="inlineStr">
        <is>
          <t>MK00125</t>
        </is>
      </c>
      <c r="J1871" t="inlineStr"/>
    </row>
    <row r="1872">
      <c r="A1872" t="inlineStr">
        <is>
          <t>16/07/2026</t>
        </is>
      </c>
      <c r="B1872" t="inlineStr">
        <is>
          <t>528000318</t>
        </is>
      </c>
      <c r="C1872" t="inlineStr">
        <is>
          <t>Bayu Padli Sepriyana</t>
        </is>
      </c>
      <c r="D1872" t="inlineStr">
        <is>
          <t>LOG</t>
        </is>
      </c>
      <c r="E1872" t="inlineStr">
        <is>
          <t>WRM Harian</t>
        </is>
      </c>
      <c r="F1872" t="inlineStr">
        <is>
          <t>21:39:01</t>
        </is>
      </c>
      <c r="G1872" t="inlineStr">
        <is>
          <t>06:01:57</t>
        </is>
      </c>
      <c r="H1872" t="inlineStr">
        <is>
          <t>SELESAI</t>
        </is>
      </c>
      <c r="I1872" t="inlineStr">
        <is>
          <t>MK00208</t>
        </is>
      </c>
      <c r="J1872" t="inlineStr"/>
    </row>
    <row r="1873">
      <c r="A1873" t="inlineStr">
        <is>
          <t>16/07/2026</t>
        </is>
      </c>
      <c r="B1873" t="inlineStr">
        <is>
          <t>528000322</t>
        </is>
      </c>
      <c r="C1873" t="inlineStr">
        <is>
          <t>Muhamad Aliludin</t>
        </is>
      </c>
      <c r="D1873" t="inlineStr">
        <is>
          <t>PROD</t>
        </is>
      </c>
      <c r="E1873" t="inlineStr">
        <is>
          <t>Produksi Harian</t>
        </is>
      </c>
      <c r="F1873" t="inlineStr">
        <is>
          <t>21:34:50</t>
        </is>
      </c>
      <c r="G1873" t="inlineStr"/>
      <c r="H1873" t="inlineStr">
        <is>
          <t>DI DALAM</t>
        </is>
      </c>
      <c r="I1873" t="inlineStr">
        <is>
          <t>MK00148</t>
        </is>
      </c>
      <c r="J1873" t="inlineStr"/>
    </row>
    <row r="1874">
      <c r="A1874" t="inlineStr">
        <is>
          <t>16/07/2026</t>
        </is>
      </c>
      <c r="B1874" t="inlineStr">
        <is>
          <t>528000324</t>
        </is>
      </c>
      <c r="C1874" t="inlineStr">
        <is>
          <t>Sri Yanti</t>
        </is>
      </c>
      <c r="D1874" t="inlineStr">
        <is>
          <t>PROD</t>
        </is>
      </c>
      <c r="E1874" t="inlineStr">
        <is>
          <t>Produksi Harian</t>
        </is>
      </c>
      <c r="F1874" t="inlineStr">
        <is>
          <t>05:29:57</t>
        </is>
      </c>
      <c r="G1874" t="inlineStr">
        <is>
          <t>14:00:43</t>
        </is>
      </c>
      <c r="H1874" t="inlineStr">
        <is>
          <t>SELESAI</t>
        </is>
      </c>
      <c r="I1874" t="inlineStr">
        <is>
          <t>MK00220</t>
        </is>
      </c>
      <c r="J1874" t="inlineStr"/>
    </row>
    <row r="1875">
      <c r="A1875" t="inlineStr">
        <is>
          <t>16/07/2026</t>
        </is>
      </c>
      <c r="B1875" t="inlineStr">
        <is>
          <t>528000328</t>
        </is>
      </c>
      <c r="C1875" t="inlineStr">
        <is>
          <t>Nur Anjani</t>
        </is>
      </c>
      <c r="D1875" t="inlineStr">
        <is>
          <t>PROD</t>
        </is>
      </c>
      <c r="E1875" t="inlineStr">
        <is>
          <t>Produksi Harian</t>
        </is>
      </c>
      <c r="F1875" t="inlineStr">
        <is>
          <t>13:36:19</t>
        </is>
      </c>
      <c r="G1875" t="inlineStr">
        <is>
          <t>22:03:01</t>
        </is>
      </c>
      <c r="H1875" t="inlineStr">
        <is>
          <t>SELESAI</t>
        </is>
      </c>
      <c r="I1875" t="inlineStr">
        <is>
          <t>MK00136</t>
        </is>
      </c>
      <c r="J1875" t="inlineStr"/>
    </row>
    <row r="1876">
      <c r="A1876" t="inlineStr">
        <is>
          <t>16/07/2026</t>
        </is>
      </c>
      <c r="B1876" t="inlineStr">
        <is>
          <t>528000329</t>
        </is>
      </c>
      <c r="C1876" t="inlineStr">
        <is>
          <t>Havid Ilham Firdaus</t>
        </is>
      </c>
      <c r="D1876" t="inlineStr">
        <is>
          <t>PROD</t>
        </is>
      </c>
      <c r="E1876" t="inlineStr">
        <is>
          <t>Produksi Harian</t>
        </is>
      </c>
      <c r="F1876" t="inlineStr"/>
      <c r="G1876" t="inlineStr">
        <is>
          <t>09:06:00</t>
        </is>
      </c>
      <c r="H1876" t="inlineStr">
        <is>
          <t>KELUAR TANPA MASUK</t>
        </is>
      </c>
      <c r="I1876" t="inlineStr">
        <is>
          <t>MK00143</t>
        </is>
      </c>
      <c r="J1876" t="inlineStr"/>
    </row>
    <row r="1877">
      <c r="A1877" t="inlineStr">
        <is>
          <t>16/07/2026</t>
        </is>
      </c>
      <c r="B1877" t="inlineStr">
        <is>
          <t>528000334</t>
        </is>
      </c>
      <c r="C1877" t="inlineStr">
        <is>
          <t>Naufal Yudhistira</t>
        </is>
      </c>
      <c r="D1877" t="inlineStr">
        <is>
          <t>PROD</t>
        </is>
      </c>
      <c r="E1877" t="inlineStr">
        <is>
          <t>Produksi Harian</t>
        </is>
      </c>
      <c r="F1877" t="inlineStr">
        <is>
          <t>05:59:57</t>
        </is>
      </c>
      <c r="G1877" t="inlineStr"/>
      <c r="H1877" t="inlineStr">
        <is>
          <t>DI DALAM</t>
        </is>
      </c>
      <c r="I1877" t="inlineStr">
        <is>
          <t>MK000219</t>
        </is>
      </c>
      <c r="J1877" t="inlineStr"/>
    </row>
    <row r="1878">
      <c r="A1878" t="inlineStr">
        <is>
          <t>16/07/2026</t>
        </is>
      </c>
      <c r="B1878" t="inlineStr">
        <is>
          <t>528000335</t>
        </is>
      </c>
      <c r="C1878" t="inlineStr">
        <is>
          <t>Rizal Saepuloh</t>
        </is>
      </c>
      <c r="D1878" t="inlineStr">
        <is>
          <t>LOG</t>
        </is>
      </c>
      <c r="E1878" t="inlineStr">
        <is>
          <t>WRM Harian</t>
        </is>
      </c>
      <c r="F1878" t="inlineStr">
        <is>
          <t>07:55:01</t>
        </is>
      </c>
      <c r="G1878" t="inlineStr">
        <is>
          <t>16:04:34</t>
        </is>
      </c>
      <c r="H1878" t="inlineStr">
        <is>
          <t>SELESAI</t>
        </is>
      </c>
      <c r="I1878" t="inlineStr">
        <is>
          <t>MK00046</t>
        </is>
      </c>
      <c r="J1878" t="inlineStr"/>
    </row>
    <row r="1879">
      <c r="A1879" t="inlineStr">
        <is>
          <t>16/07/2026</t>
        </is>
      </c>
      <c r="B1879" t="inlineStr">
        <is>
          <t>528000337</t>
        </is>
      </c>
      <c r="C1879" t="inlineStr">
        <is>
          <t>Ahmad Zaldi Firdaus</t>
        </is>
      </c>
      <c r="D1879" t="inlineStr">
        <is>
          <t>PROD</t>
        </is>
      </c>
      <c r="E1879" t="inlineStr">
        <is>
          <t>Produksi Harian</t>
        </is>
      </c>
      <c r="F1879" t="inlineStr">
        <is>
          <t>12:56:28</t>
        </is>
      </c>
      <c r="G1879" t="inlineStr">
        <is>
          <t>22:05:47</t>
        </is>
      </c>
      <c r="H1879" t="inlineStr">
        <is>
          <t>SELESAI</t>
        </is>
      </c>
      <c r="I1879" t="inlineStr">
        <is>
          <t>MK00141</t>
        </is>
      </c>
      <c r="J1879" t="inlineStr"/>
    </row>
    <row r="1880">
      <c r="A1880" t="inlineStr">
        <is>
          <t>16/07/2026</t>
        </is>
      </c>
      <c r="B1880" t="inlineStr">
        <is>
          <t>528000340</t>
        </is>
      </c>
      <c r="C1880" t="inlineStr">
        <is>
          <t>Muhammad Wildan Adithya</t>
        </is>
      </c>
      <c r="D1880" t="inlineStr">
        <is>
          <t>PROD</t>
        </is>
      </c>
      <c r="E1880" t="inlineStr">
        <is>
          <t>Produksi Harian</t>
        </is>
      </c>
      <c r="F1880" t="inlineStr">
        <is>
          <t>21:42:40</t>
        </is>
      </c>
      <c r="G1880" t="inlineStr">
        <is>
          <t>06:07:56</t>
        </is>
      </c>
      <c r="H1880" t="inlineStr">
        <is>
          <t>SELESAI</t>
        </is>
      </c>
      <c r="I1880" t="inlineStr">
        <is>
          <t>MK00219</t>
        </is>
      </c>
      <c r="J1880" t="inlineStr"/>
    </row>
    <row r="1881">
      <c r="A1881" t="inlineStr">
        <is>
          <t>16/07/2026</t>
        </is>
      </c>
      <c r="B1881" t="inlineStr">
        <is>
          <t>528000348</t>
        </is>
      </c>
      <c r="C1881" t="inlineStr">
        <is>
          <t>Saepuloh Ardiansah</t>
        </is>
      </c>
      <c r="D1881" t="inlineStr">
        <is>
          <t>LOG</t>
        </is>
      </c>
      <c r="E1881" t="inlineStr">
        <is>
          <t>WRM Harian</t>
        </is>
      </c>
      <c r="F1881" t="inlineStr">
        <is>
          <t>09:00:45</t>
        </is>
      </c>
      <c r="G1881" t="inlineStr">
        <is>
          <t>21:25:13</t>
        </is>
      </c>
      <c r="H1881" t="inlineStr">
        <is>
          <t>SELESAI</t>
        </is>
      </c>
      <c r="I1881" t="inlineStr">
        <is>
          <t>MK00205</t>
        </is>
      </c>
      <c r="J1881" t="inlineStr"/>
    </row>
    <row r="1882">
      <c r="A1882" t="inlineStr">
        <is>
          <t>16/07/2026</t>
        </is>
      </c>
      <c r="B1882" t="inlineStr">
        <is>
          <t>528000349</t>
        </is>
      </c>
      <c r="C1882" t="inlineStr">
        <is>
          <t>Anas Abdul Fatah</t>
        </is>
      </c>
      <c r="D1882" t="inlineStr">
        <is>
          <t>LOG</t>
        </is>
      </c>
      <c r="E1882" t="inlineStr">
        <is>
          <t>WFG Harian</t>
        </is>
      </c>
      <c r="F1882" t="inlineStr">
        <is>
          <t>09:42:05</t>
        </is>
      </c>
      <c r="G1882" t="inlineStr">
        <is>
          <t>18:13:33</t>
        </is>
      </c>
      <c r="H1882" t="inlineStr">
        <is>
          <t>SELESAI</t>
        </is>
      </c>
      <c r="I1882" t="inlineStr">
        <is>
          <t>MK00113</t>
        </is>
      </c>
      <c r="J1882" t="inlineStr"/>
    </row>
    <row r="1883">
      <c r="A1883" t="inlineStr">
        <is>
          <t>16/07/2026</t>
        </is>
      </c>
      <c r="B1883" t="inlineStr">
        <is>
          <t>528000351</t>
        </is>
      </c>
      <c r="C1883" t="inlineStr">
        <is>
          <t>Mulyana</t>
        </is>
      </c>
      <c r="D1883" t="inlineStr">
        <is>
          <t>PROD</t>
        </is>
      </c>
      <c r="E1883" t="inlineStr">
        <is>
          <t>Produksi Harian</t>
        </is>
      </c>
      <c r="F1883" t="inlineStr">
        <is>
          <t>07:55:17</t>
        </is>
      </c>
      <c r="G1883" t="inlineStr">
        <is>
          <t>16:03:02</t>
        </is>
      </c>
      <c r="H1883" t="inlineStr">
        <is>
          <t>SELESAI</t>
        </is>
      </c>
      <c r="I1883" t="inlineStr">
        <is>
          <t>MK0082</t>
        </is>
      </c>
      <c r="J1883" t="inlineStr"/>
    </row>
    <row r="1884">
      <c r="A1884" t="inlineStr">
        <is>
          <t>16/07/2026</t>
        </is>
      </c>
      <c r="B1884" t="inlineStr">
        <is>
          <t>528000358</t>
        </is>
      </c>
      <c r="C1884" t="inlineStr">
        <is>
          <t>Lulu Agustin</t>
        </is>
      </c>
      <c r="D1884" t="inlineStr">
        <is>
          <t>PROD</t>
        </is>
      </c>
      <c r="E1884" t="inlineStr">
        <is>
          <t>Produksi Harian</t>
        </is>
      </c>
      <c r="F1884" t="inlineStr">
        <is>
          <t>13:35:13</t>
        </is>
      </c>
      <c r="G1884" t="inlineStr">
        <is>
          <t>22:01:23</t>
        </is>
      </c>
      <c r="H1884" t="inlineStr">
        <is>
          <t>SELESAI</t>
        </is>
      </c>
      <c r="I1884" t="inlineStr">
        <is>
          <t>MK00116</t>
        </is>
      </c>
      <c r="J1884" t="inlineStr"/>
    </row>
    <row r="1885">
      <c r="A1885" t="inlineStr">
        <is>
          <t>16/07/2026</t>
        </is>
      </c>
      <c r="B1885" t="inlineStr">
        <is>
          <t>528000360</t>
        </is>
      </c>
      <c r="C1885" t="inlineStr">
        <is>
          <t>Hendra Permana</t>
        </is>
      </c>
      <c r="D1885" t="inlineStr">
        <is>
          <t>ENG</t>
        </is>
      </c>
      <c r="E1885" t="inlineStr">
        <is>
          <t>Engineering Harian</t>
        </is>
      </c>
      <c r="F1885" t="inlineStr">
        <is>
          <t>13:38:37</t>
        </is>
      </c>
      <c r="G1885" t="inlineStr">
        <is>
          <t>22:02:01</t>
        </is>
      </c>
      <c r="H1885" t="inlineStr">
        <is>
          <t>SELESAI</t>
        </is>
      </c>
      <c r="I1885" t="inlineStr">
        <is>
          <t>MK00121</t>
        </is>
      </c>
      <c r="J1885" t="inlineStr"/>
    </row>
    <row r="1886">
      <c r="A1886" t="inlineStr">
        <is>
          <t>16/07/2026</t>
        </is>
      </c>
      <c r="B1886" t="inlineStr">
        <is>
          <t>528000361</t>
        </is>
      </c>
      <c r="C1886" t="inlineStr">
        <is>
          <t>Denada Munggarani</t>
        </is>
      </c>
      <c r="D1886" t="inlineStr">
        <is>
          <t>PROD</t>
        </is>
      </c>
      <c r="E1886" t="inlineStr">
        <is>
          <t>Produksi Harian</t>
        </is>
      </c>
      <c r="F1886" t="inlineStr">
        <is>
          <t>21:28:50</t>
        </is>
      </c>
      <c r="G1886" t="inlineStr"/>
      <c r="H1886" t="inlineStr">
        <is>
          <t>DI DALAM</t>
        </is>
      </c>
      <c r="I1886" t="inlineStr">
        <is>
          <t>MK00192</t>
        </is>
      </c>
      <c r="J1886" t="inlineStr"/>
    </row>
    <row r="1887">
      <c r="A1887" t="inlineStr">
        <is>
          <t>16/07/2026</t>
        </is>
      </c>
      <c r="B1887" t="inlineStr">
        <is>
          <t>628000064</t>
        </is>
      </c>
      <c r="C1887" t="inlineStr">
        <is>
          <t>Silva Alypia</t>
        </is>
      </c>
      <c r="D1887" t="inlineStr">
        <is>
          <t>PROD</t>
        </is>
      </c>
      <c r="E1887" t="inlineStr">
        <is>
          <t>Produksi Borongan</t>
        </is>
      </c>
      <c r="F1887" t="inlineStr">
        <is>
          <t>05:50:17</t>
        </is>
      </c>
      <c r="G1887" t="inlineStr">
        <is>
          <t>14:02:27</t>
        </is>
      </c>
      <c r="H1887" t="inlineStr">
        <is>
          <t>SELESAI</t>
        </is>
      </c>
      <c r="I1887" t="inlineStr">
        <is>
          <t>MK00218</t>
        </is>
      </c>
      <c r="J1887" t="inlineStr"/>
    </row>
    <row r="1888">
      <c r="A1888" t="inlineStr">
        <is>
          <t>17/07/2026</t>
        </is>
      </c>
      <c r="B1888" t="inlineStr">
        <is>
          <t>528000015</t>
        </is>
      </c>
      <c r="C1888" t="inlineStr">
        <is>
          <t>Erwin</t>
        </is>
      </c>
      <c r="D1888" t="inlineStr">
        <is>
          <t>LOG</t>
        </is>
      </c>
      <c r="E1888" t="inlineStr">
        <is>
          <t>WRM Harian</t>
        </is>
      </c>
      <c r="F1888" t="inlineStr">
        <is>
          <t>21:32:35</t>
        </is>
      </c>
      <c r="G1888" t="inlineStr">
        <is>
          <t>06:07:04</t>
        </is>
      </c>
      <c r="H1888" t="inlineStr">
        <is>
          <t>SELESAI</t>
        </is>
      </c>
      <c r="I1888" t="inlineStr">
        <is>
          <t>MK00184</t>
        </is>
      </c>
      <c r="J1888" t="inlineStr"/>
    </row>
    <row r="1889">
      <c r="A1889" t="inlineStr">
        <is>
          <t>17/07/2026</t>
        </is>
      </c>
      <c r="B1889" t="inlineStr">
        <is>
          <t>528000040</t>
        </is>
      </c>
      <c r="C1889" t="inlineStr">
        <is>
          <t>Agus Suryaman</t>
        </is>
      </c>
      <c r="D1889" t="inlineStr">
        <is>
          <t>PROD</t>
        </is>
      </c>
      <c r="E1889" t="inlineStr">
        <is>
          <t>Produksi Harian</t>
        </is>
      </c>
      <c r="F1889" t="inlineStr">
        <is>
          <t>09:02:02</t>
        </is>
      </c>
      <c r="G1889" t="inlineStr">
        <is>
          <t>14:01:47</t>
        </is>
      </c>
      <c r="H1889" t="inlineStr">
        <is>
          <t>SELESAI</t>
        </is>
      </c>
      <c r="I1889" t="inlineStr">
        <is>
          <t>MK00148</t>
        </is>
      </c>
      <c r="J1889" t="inlineStr"/>
    </row>
    <row r="1890">
      <c r="A1890" t="inlineStr">
        <is>
          <t>17/07/2026</t>
        </is>
      </c>
      <c r="B1890" t="inlineStr">
        <is>
          <t>528000052</t>
        </is>
      </c>
      <c r="C1890" t="inlineStr">
        <is>
          <t>Mustopa</t>
        </is>
      </c>
      <c r="D1890" t="inlineStr">
        <is>
          <t>PROD</t>
        </is>
      </c>
      <c r="E1890" t="inlineStr">
        <is>
          <t>Produksi Harian</t>
        </is>
      </c>
      <c r="F1890" t="inlineStr">
        <is>
          <t>13:07:33</t>
        </is>
      </c>
      <c r="G1890" t="inlineStr">
        <is>
          <t>22:03:27</t>
        </is>
      </c>
      <c r="H1890" t="inlineStr">
        <is>
          <t>SELESAI</t>
        </is>
      </c>
      <c r="I1890" t="inlineStr">
        <is>
          <t>MK0088</t>
        </is>
      </c>
      <c r="J1890" t="inlineStr"/>
    </row>
    <row r="1891">
      <c r="A1891" t="inlineStr">
        <is>
          <t>17/07/2026</t>
        </is>
      </c>
      <c r="B1891" t="inlineStr">
        <is>
          <t>528000063</t>
        </is>
      </c>
      <c r="C1891" t="inlineStr">
        <is>
          <t>Muhamad Ripki Pebrian</t>
        </is>
      </c>
      <c r="D1891" t="inlineStr">
        <is>
          <t>PROD</t>
        </is>
      </c>
      <c r="E1891" t="inlineStr">
        <is>
          <t>Produksi Harian</t>
        </is>
      </c>
      <c r="F1891" t="inlineStr"/>
      <c r="G1891" t="inlineStr">
        <is>
          <t>13:07:08</t>
        </is>
      </c>
      <c r="H1891" t="inlineStr">
        <is>
          <t>KELUAR TANPA MASUK</t>
        </is>
      </c>
      <c r="I1891" t="inlineStr">
        <is>
          <t>MK0088</t>
        </is>
      </c>
      <c r="J1891" t="inlineStr"/>
    </row>
    <row r="1892">
      <c r="A1892" t="inlineStr">
        <is>
          <t>17/07/2026</t>
        </is>
      </c>
      <c r="B1892" t="inlineStr">
        <is>
          <t>528000069</t>
        </is>
      </c>
      <c r="C1892" t="inlineStr">
        <is>
          <t>Jajang Ardiansyah</t>
        </is>
      </c>
      <c r="D1892" t="inlineStr">
        <is>
          <t>PROD</t>
        </is>
      </c>
      <c r="E1892" t="inlineStr">
        <is>
          <t>Produksi Harian</t>
        </is>
      </c>
      <c r="F1892" t="inlineStr">
        <is>
          <t>07:54:15</t>
        </is>
      </c>
      <c r="G1892" t="inlineStr">
        <is>
          <t>20:09:52</t>
        </is>
      </c>
      <c r="H1892" t="inlineStr">
        <is>
          <t>SELESAI</t>
        </is>
      </c>
      <c r="I1892" t="inlineStr">
        <is>
          <t>MK00154</t>
        </is>
      </c>
      <c r="J1892" t="inlineStr"/>
    </row>
    <row r="1893">
      <c r="A1893" t="inlineStr">
        <is>
          <t>17/07/2026</t>
        </is>
      </c>
      <c r="B1893" t="inlineStr">
        <is>
          <t>528000090</t>
        </is>
      </c>
      <c r="C1893" t="inlineStr">
        <is>
          <t>Suganda</t>
        </is>
      </c>
      <c r="D1893" t="inlineStr">
        <is>
          <t>PROD</t>
        </is>
      </c>
      <c r="E1893" t="inlineStr">
        <is>
          <t>Produksi Harian</t>
        </is>
      </c>
      <c r="F1893" t="inlineStr">
        <is>
          <t>05:56:09</t>
        </is>
      </c>
      <c r="G1893" t="inlineStr">
        <is>
          <t>14:06:34</t>
        </is>
      </c>
      <c r="H1893" t="inlineStr">
        <is>
          <t>SELESAI</t>
        </is>
      </c>
      <c r="I1893" t="inlineStr">
        <is>
          <t>MK00116</t>
        </is>
      </c>
      <c r="J1893" t="inlineStr"/>
    </row>
    <row r="1894">
      <c r="A1894" t="inlineStr">
        <is>
          <t>17/07/2026</t>
        </is>
      </c>
      <c r="B1894" t="inlineStr">
        <is>
          <t>528000099</t>
        </is>
      </c>
      <c r="C1894" t="inlineStr">
        <is>
          <t>Siti Nurawaliah</t>
        </is>
      </c>
      <c r="D1894" t="inlineStr">
        <is>
          <t>PROD</t>
        </is>
      </c>
      <c r="E1894" t="inlineStr">
        <is>
          <t>Produksi Harian</t>
        </is>
      </c>
      <c r="F1894" t="inlineStr">
        <is>
          <t>05:38:58</t>
        </is>
      </c>
      <c r="G1894" t="inlineStr">
        <is>
          <t>14:09:24</t>
        </is>
      </c>
      <c r="H1894" t="inlineStr">
        <is>
          <t>SELESAI</t>
        </is>
      </c>
      <c r="I1894" t="inlineStr">
        <is>
          <t>MK0779</t>
        </is>
      </c>
      <c r="J1894" t="inlineStr"/>
    </row>
    <row r="1895">
      <c r="A1895" t="inlineStr">
        <is>
          <t>17/07/2026</t>
        </is>
      </c>
      <c r="B1895" t="inlineStr">
        <is>
          <t>528000132</t>
        </is>
      </c>
      <c r="C1895" t="inlineStr">
        <is>
          <t>Giopani</t>
        </is>
      </c>
      <c r="D1895" t="inlineStr">
        <is>
          <t>LOG</t>
        </is>
      </c>
      <c r="E1895" t="inlineStr">
        <is>
          <t>WRM Harian</t>
        </is>
      </c>
      <c r="F1895" t="inlineStr">
        <is>
          <t>09:37:21</t>
        </is>
      </c>
      <c r="G1895" t="inlineStr">
        <is>
          <t>14:01:38</t>
        </is>
      </c>
      <c r="H1895" t="inlineStr">
        <is>
          <t>SELESAI</t>
        </is>
      </c>
      <c r="I1895" t="inlineStr">
        <is>
          <t>MK00228</t>
        </is>
      </c>
      <c r="J1895" t="inlineStr"/>
    </row>
    <row r="1896">
      <c r="A1896" t="inlineStr">
        <is>
          <t>17/07/2026</t>
        </is>
      </c>
      <c r="B1896" t="inlineStr">
        <is>
          <t>528000144</t>
        </is>
      </c>
      <c r="C1896" t="inlineStr">
        <is>
          <t>Jodi Hanafi</t>
        </is>
      </c>
      <c r="D1896" t="inlineStr">
        <is>
          <t>LOG</t>
        </is>
      </c>
      <c r="E1896" t="inlineStr">
        <is>
          <t>WRM Harian</t>
        </is>
      </c>
      <c r="F1896" t="inlineStr">
        <is>
          <t>08:04:46</t>
        </is>
      </c>
      <c r="G1896" t="inlineStr">
        <is>
          <t>14:53:09</t>
        </is>
      </c>
      <c r="H1896" t="inlineStr">
        <is>
          <t>SELESAI</t>
        </is>
      </c>
      <c r="I1896" t="inlineStr">
        <is>
          <t>MK000221</t>
        </is>
      </c>
      <c r="J1896" t="inlineStr"/>
    </row>
    <row r="1897">
      <c r="A1897" t="inlineStr">
        <is>
          <t>17/07/2026</t>
        </is>
      </c>
      <c r="B1897" t="inlineStr">
        <is>
          <t>528000195</t>
        </is>
      </c>
      <c r="C1897" t="inlineStr">
        <is>
          <t>Rahma Sariwati</t>
        </is>
      </c>
      <c r="D1897" t="inlineStr">
        <is>
          <t>PROD</t>
        </is>
      </c>
      <c r="E1897" t="inlineStr">
        <is>
          <t>Produksi Harian</t>
        </is>
      </c>
      <c r="F1897" t="inlineStr">
        <is>
          <t>13:37:02</t>
        </is>
      </c>
      <c r="G1897" t="inlineStr">
        <is>
          <t>22:02:27</t>
        </is>
      </c>
      <c r="H1897" t="inlineStr">
        <is>
          <t>SELESAI</t>
        </is>
      </c>
      <c r="I1897" t="inlineStr">
        <is>
          <t>MK00145</t>
        </is>
      </c>
      <c r="J1897" t="inlineStr"/>
    </row>
    <row r="1898">
      <c r="A1898" t="inlineStr">
        <is>
          <t>17/07/2026</t>
        </is>
      </c>
      <c r="B1898" t="inlineStr">
        <is>
          <t>528000201</t>
        </is>
      </c>
      <c r="C1898" t="inlineStr">
        <is>
          <t>Zahwa Amelia Choerunissa</t>
        </is>
      </c>
      <c r="D1898" t="inlineStr">
        <is>
          <t>PROD</t>
        </is>
      </c>
      <c r="E1898" t="inlineStr">
        <is>
          <t>Produksi Harian</t>
        </is>
      </c>
      <c r="F1898" t="inlineStr">
        <is>
          <t>05:37:56</t>
        </is>
      </c>
      <c r="G1898" t="inlineStr">
        <is>
          <t>14:08:10</t>
        </is>
      </c>
      <c r="H1898" t="inlineStr">
        <is>
          <t>SELESAI</t>
        </is>
      </c>
      <c r="I1898" t="inlineStr">
        <is>
          <t>MK0082</t>
        </is>
      </c>
      <c r="J1898" t="inlineStr"/>
    </row>
    <row r="1899">
      <c r="A1899" t="inlineStr">
        <is>
          <t>17/07/2026</t>
        </is>
      </c>
      <c r="B1899" t="inlineStr">
        <is>
          <t>528000212</t>
        </is>
      </c>
      <c r="C1899" t="inlineStr">
        <is>
          <t>Rizal Fauzi</t>
        </is>
      </c>
      <c r="D1899" t="inlineStr">
        <is>
          <t>PROD</t>
        </is>
      </c>
      <c r="E1899" t="inlineStr">
        <is>
          <t>Produksi Harian</t>
        </is>
      </c>
      <c r="F1899" t="inlineStr">
        <is>
          <t>06:00:25</t>
        </is>
      </c>
      <c r="G1899" t="inlineStr">
        <is>
          <t>14:23:24</t>
        </is>
      </c>
      <c r="H1899" t="inlineStr">
        <is>
          <t>SELESAI</t>
        </is>
      </c>
      <c r="I1899" t="inlineStr">
        <is>
          <t>MK00124</t>
        </is>
      </c>
      <c r="J1899" t="inlineStr"/>
    </row>
    <row r="1900">
      <c r="A1900" t="inlineStr">
        <is>
          <t>17/07/2026</t>
        </is>
      </c>
      <c r="B1900" t="inlineStr">
        <is>
          <t>528000228</t>
        </is>
      </c>
      <c r="C1900" t="inlineStr">
        <is>
          <t>Banyu Resmi Putri</t>
        </is>
      </c>
      <c r="D1900" t="inlineStr">
        <is>
          <t>PROD</t>
        </is>
      </c>
      <c r="E1900" t="inlineStr">
        <is>
          <t>Produksi Harian</t>
        </is>
      </c>
      <c r="F1900" t="inlineStr"/>
      <c r="G1900" t="inlineStr">
        <is>
          <t>22:03:33</t>
        </is>
      </c>
      <c r="H1900" t="inlineStr">
        <is>
          <t>KELUAR TANPA MASUK</t>
        </is>
      </c>
      <c r="I1900" t="inlineStr">
        <is>
          <t>MK00249</t>
        </is>
      </c>
      <c r="J1900" t="inlineStr"/>
    </row>
    <row r="1901">
      <c r="A1901" t="inlineStr">
        <is>
          <t>17/07/2026</t>
        </is>
      </c>
      <c r="B1901" t="inlineStr">
        <is>
          <t>528000232</t>
        </is>
      </c>
      <c r="C1901" t="inlineStr">
        <is>
          <t>Agung Aji Suhada</t>
        </is>
      </c>
      <c r="D1901" t="inlineStr">
        <is>
          <t>LOG</t>
        </is>
      </c>
      <c r="E1901" t="inlineStr">
        <is>
          <t>WRM Harian</t>
        </is>
      </c>
      <c r="F1901" t="inlineStr">
        <is>
          <t>08:54:02</t>
        </is>
      </c>
      <c r="G1901" t="inlineStr">
        <is>
          <t>14:01:07</t>
        </is>
      </c>
      <c r="H1901" t="inlineStr">
        <is>
          <t>SELESAI</t>
        </is>
      </c>
      <c r="I1901" t="inlineStr">
        <is>
          <t>MK00210</t>
        </is>
      </c>
      <c r="J1901" t="inlineStr"/>
    </row>
    <row r="1902">
      <c r="A1902" t="inlineStr">
        <is>
          <t>17/07/2026</t>
        </is>
      </c>
      <c r="B1902" t="inlineStr">
        <is>
          <t>528000241</t>
        </is>
      </c>
      <c r="C1902" t="inlineStr">
        <is>
          <t>Balia Nurafif Bilah</t>
        </is>
      </c>
      <c r="D1902" t="inlineStr">
        <is>
          <t>PROD</t>
        </is>
      </c>
      <c r="E1902" t="inlineStr">
        <is>
          <t>Produksi Harian</t>
        </is>
      </c>
      <c r="F1902" t="inlineStr">
        <is>
          <t>05:53:40</t>
        </is>
      </c>
      <c r="G1902" t="inlineStr">
        <is>
          <t>14:05:16</t>
        </is>
      </c>
      <c r="H1902" t="inlineStr">
        <is>
          <t>SELESAI</t>
        </is>
      </c>
      <c r="I1902" t="inlineStr">
        <is>
          <t>MK00192</t>
        </is>
      </c>
      <c r="J1902" t="inlineStr"/>
    </row>
    <row r="1903">
      <c r="A1903" t="inlineStr">
        <is>
          <t>17/07/2026</t>
        </is>
      </c>
      <c r="B1903" t="inlineStr">
        <is>
          <t>528000244</t>
        </is>
      </c>
      <c r="C1903" t="inlineStr">
        <is>
          <t>Rodian Rifai</t>
        </is>
      </c>
      <c r="D1903" t="inlineStr">
        <is>
          <t>PROD</t>
        </is>
      </c>
      <c r="E1903" t="inlineStr">
        <is>
          <t>Produksi Harian</t>
        </is>
      </c>
      <c r="F1903" t="inlineStr">
        <is>
          <t>05:56:39</t>
        </is>
      </c>
      <c r="G1903" t="inlineStr">
        <is>
          <t>14:22:05</t>
        </is>
      </c>
      <c r="H1903" t="inlineStr">
        <is>
          <t>SELESAI</t>
        </is>
      </c>
      <c r="I1903" t="inlineStr">
        <is>
          <t>MK00121</t>
        </is>
      </c>
      <c r="J1903" t="inlineStr"/>
    </row>
    <row r="1904">
      <c r="A1904" t="inlineStr">
        <is>
          <t>17/07/2026</t>
        </is>
      </c>
      <c r="B1904" t="inlineStr">
        <is>
          <t>528000262</t>
        </is>
      </c>
      <c r="C1904" t="inlineStr">
        <is>
          <t>Ndari Dwiwanti</t>
        </is>
      </c>
      <c r="D1904" t="inlineStr">
        <is>
          <t>PROD</t>
        </is>
      </c>
      <c r="E1904" t="inlineStr">
        <is>
          <t>Produksi Harian</t>
        </is>
      </c>
      <c r="F1904" t="inlineStr">
        <is>
          <t>13:43:43</t>
        </is>
      </c>
      <c r="G1904" t="inlineStr">
        <is>
          <t>22:01:13</t>
        </is>
      </c>
      <c r="H1904" t="inlineStr">
        <is>
          <t>SELESAI</t>
        </is>
      </c>
      <c r="I1904" t="inlineStr">
        <is>
          <t>MK00113</t>
        </is>
      </c>
      <c r="J1904" t="inlineStr"/>
    </row>
    <row r="1905">
      <c r="A1905" t="inlineStr">
        <is>
          <t>17/07/2026</t>
        </is>
      </c>
      <c r="B1905" t="inlineStr">
        <is>
          <t>528000265</t>
        </is>
      </c>
      <c r="C1905" t="inlineStr">
        <is>
          <t>Muhammad Haerul Rozikin</t>
        </is>
      </c>
      <c r="D1905" t="inlineStr">
        <is>
          <t>LOG</t>
        </is>
      </c>
      <c r="E1905" t="inlineStr">
        <is>
          <t>WRM Harian</t>
        </is>
      </c>
      <c r="F1905" t="inlineStr">
        <is>
          <t>07:45:22</t>
        </is>
      </c>
      <c r="G1905" t="inlineStr">
        <is>
          <t>13:06:46</t>
        </is>
      </c>
      <c r="H1905" t="inlineStr">
        <is>
          <t>SELESAI</t>
        </is>
      </c>
      <c r="I1905" t="inlineStr">
        <is>
          <t>MK00181</t>
        </is>
      </c>
      <c r="J1905" t="inlineStr"/>
    </row>
    <row r="1906">
      <c r="A1906" t="inlineStr">
        <is>
          <t>17/07/2026</t>
        </is>
      </c>
      <c r="B1906" t="inlineStr">
        <is>
          <t>528000266</t>
        </is>
      </c>
      <c r="C1906" t="inlineStr">
        <is>
          <t>M. Syirajatieq</t>
        </is>
      </c>
      <c r="D1906" t="inlineStr">
        <is>
          <t>LOG</t>
        </is>
      </c>
      <c r="E1906" t="inlineStr">
        <is>
          <t>WFG Harian</t>
        </is>
      </c>
      <c r="F1906" t="inlineStr">
        <is>
          <t>13:43:25</t>
        </is>
      </c>
      <c r="G1906" t="inlineStr">
        <is>
          <t>22:32:08</t>
        </is>
      </c>
      <c r="H1906" t="inlineStr">
        <is>
          <t>SELESAI</t>
        </is>
      </c>
      <c r="I1906" t="inlineStr">
        <is>
          <t>MK00181</t>
        </is>
      </c>
      <c r="J1906" t="inlineStr"/>
    </row>
    <row r="1907">
      <c r="A1907" t="inlineStr">
        <is>
          <t>17/07/2026</t>
        </is>
      </c>
      <c r="B1907" t="inlineStr">
        <is>
          <t>528000267</t>
        </is>
      </c>
      <c r="C1907" t="inlineStr">
        <is>
          <t>Bagas Patulloh</t>
        </is>
      </c>
      <c r="D1907" t="inlineStr">
        <is>
          <t>LOG</t>
        </is>
      </c>
      <c r="E1907" t="inlineStr">
        <is>
          <t>WRM Harian</t>
        </is>
      </c>
      <c r="F1907" t="inlineStr">
        <is>
          <t>13:05:54</t>
        </is>
      </c>
      <c r="G1907" t="inlineStr">
        <is>
          <t>18:00:33</t>
        </is>
      </c>
      <c r="H1907" t="inlineStr">
        <is>
          <t>SELESAI</t>
        </is>
      </c>
      <c r="I1907" t="inlineStr">
        <is>
          <t>MK00230</t>
        </is>
      </c>
      <c r="J1907" t="inlineStr"/>
    </row>
    <row r="1908">
      <c r="A1908" t="inlineStr">
        <is>
          <t>17/07/2026</t>
        </is>
      </c>
      <c r="B1908" t="inlineStr">
        <is>
          <t>528000270</t>
        </is>
      </c>
      <c r="C1908" t="inlineStr">
        <is>
          <t>Febri Najmudin</t>
        </is>
      </c>
      <c r="D1908" t="inlineStr">
        <is>
          <t>LOG</t>
        </is>
      </c>
      <c r="E1908" t="inlineStr">
        <is>
          <t>WRM Harian</t>
        </is>
      </c>
      <c r="F1908" t="inlineStr">
        <is>
          <t>21:45:59</t>
        </is>
      </c>
      <c r="G1908" t="inlineStr">
        <is>
          <t>06:23:23</t>
        </is>
      </c>
      <c r="H1908" t="inlineStr">
        <is>
          <t>SELESAI</t>
        </is>
      </c>
      <c r="I1908" t="inlineStr">
        <is>
          <t>MK00113</t>
        </is>
      </c>
      <c r="J1908" t="inlineStr"/>
    </row>
    <row r="1909">
      <c r="A1909" t="inlineStr">
        <is>
          <t>17/07/2026</t>
        </is>
      </c>
      <c r="B1909" t="inlineStr">
        <is>
          <t>528000274</t>
        </is>
      </c>
      <c r="C1909" t="inlineStr">
        <is>
          <t>Zepri</t>
        </is>
      </c>
      <c r="D1909" t="inlineStr">
        <is>
          <t>PROD</t>
        </is>
      </c>
      <c r="E1909" t="inlineStr">
        <is>
          <t>Produksi Harian</t>
        </is>
      </c>
      <c r="F1909" t="inlineStr">
        <is>
          <t>05:55:42</t>
        </is>
      </c>
      <c r="G1909" t="inlineStr">
        <is>
          <t>14:07:15</t>
        </is>
      </c>
      <c r="H1909" t="inlineStr">
        <is>
          <t>SELESAI</t>
        </is>
      </c>
      <c r="I1909" t="inlineStr">
        <is>
          <t>MK00141</t>
        </is>
      </c>
      <c r="J1909" t="inlineStr"/>
    </row>
    <row r="1910">
      <c r="A1910" t="inlineStr">
        <is>
          <t>17/07/2026</t>
        </is>
      </c>
      <c r="B1910" t="inlineStr">
        <is>
          <t>528000282</t>
        </is>
      </c>
      <c r="C1910" t="inlineStr">
        <is>
          <t>Defa Desfiana</t>
        </is>
      </c>
      <c r="D1910" t="inlineStr">
        <is>
          <t>PROD</t>
        </is>
      </c>
      <c r="E1910" t="inlineStr">
        <is>
          <t>Produksi Harian</t>
        </is>
      </c>
      <c r="F1910" t="inlineStr">
        <is>
          <t>07:39:42</t>
        </is>
      </c>
      <c r="G1910" t="inlineStr">
        <is>
          <t>13:01:19</t>
        </is>
      </c>
      <c r="H1910" t="inlineStr">
        <is>
          <t>SELESAI</t>
        </is>
      </c>
      <c r="I1910" t="inlineStr">
        <is>
          <t>MK00217</t>
        </is>
      </c>
      <c r="J1910" t="inlineStr">
        <is>
          <t>22b</t>
        </is>
      </c>
    </row>
    <row r="1911">
      <c r="A1911" t="inlineStr">
        <is>
          <t>17/07/2026</t>
        </is>
      </c>
      <c r="B1911" t="inlineStr">
        <is>
          <t>528000283</t>
        </is>
      </c>
      <c r="C1911" t="inlineStr">
        <is>
          <t>Purwanda Sugiri</t>
        </is>
      </c>
      <c r="D1911" t="inlineStr">
        <is>
          <t>LOG</t>
        </is>
      </c>
      <c r="E1911" t="inlineStr">
        <is>
          <t>WRM Harian</t>
        </is>
      </c>
      <c r="F1911" t="inlineStr">
        <is>
          <t>13:52:20</t>
        </is>
      </c>
      <c r="G1911" t="inlineStr"/>
      <c r="H1911" t="inlineStr">
        <is>
          <t>DI DALAM</t>
        </is>
      </c>
      <c r="I1911" t="inlineStr">
        <is>
          <t>MK00248</t>
        </is>
      </c>
      <c r="J1911" t="inlineStr"/>
    </row>
    <row r="1912">
      <c r="A1912" t="inlineStr">
        <is>
          <t>17/07/2026</t>
        </is>
      </c>
      <c r="B1912" t="inlineStr">
        <is>
          <t>528000286</t>
        </is>
      </c>
      <c r="C1912" t="inlineStr">
        <is>
          <t>Imelda Amelia</t>
        </is>
      </c>
      <c r="D1912" t="inlineStr">
        <is>
          <t>PROD</t>
        </is>
      </c>
      <c r="E1912" t="inlineStr">
        <is>
          <t>Produksi Harian</t>
        </is>
      </c>
      <c r="F1912" t="inlineStr">
        <is>
          <t>05:47:58</t>
        </is>
      </c>
      <c r="G1912" t="inlineStr">
        <is>
          <t>14:10:02</t>
        </is>
      </c>
      <c r="H1912" t="inlineStr">
        <is>
          <t>SELESAI</t>
        </is>
      </c>
      <c r="I1912" t="inlineStr">
        <is>
          <t>MK00143</t>
        </is>
      </c>
      <c r="J1912" t="inlineStr"/>
    </row>
    <row r="1913">
      <c r="A1913" t="inlineStr">
        <is>
          <t>17/07/2026</t>
        </is>
      </c>
      <c r="B1913" t="inlineStr">
        <is>
          <t>528000289</t>
        </is>
      </c>
      <c r="C1913" t="inlineStr">
        <is>
          <t>Adit Supriyadi</t>
        </is>
      </c>
      <c r="D1913" t="inlineStr">
        <is>
          <t>PROD</t>
        </is>
      </c>
      <c r="E1913" t="inlineStr">
        <is>
          <t>Produksi Harian</t>
        </is>
      </c>
      <c r="F1913" t="inlineStr">
        <is>
          <t>05:34:17</t>
        </is>
      </c>
      <c r="G1913" t="inlineStr">
        <is>
          <t>14:06:04</t>
        </is>
      </c>
      <c r="H1913" t="inlineStr">
        <is>
          <t>SELESAI</t>
        </is>
      </c>
      <c r="I1913" t="inlineStr">
        <is>
          <t>MK00202</t>
        </is>
      </c>
      <c r="J1913" t="inlineStr"/>
    </row>
    <row r="1914">
      <c r="A1914" t="inlineStr">
        <is>
          <t>17/07/2026</t>
        </is>
      </c>
      <c r="B1914" t="inlineStr">
        <is>
          <t>528000290</t>
        </is>
      </c>
      <c r="C1914" t="inlineStr">
        <is>
          <t>Eval Pranata</t>
        </is>
      </c>
      <c r="D1914" t="inlineStr">
        <is>
          <t>PROD</t>
        </is>
      </c>
      <c r="E1914" t="inlineStr">
        <is>
          <t>Produksi Harian</t>
        </is>
      </c>
      <c r="F1914" t="inlineStr">
        <is>
          <t>05:57:06</t>
        </is>
      </c>
      <c r="G1914" t="inlineStr">
        <is>
          <t>05:59:21</t>
        </is>
      </c>
      <c r="H1914" t="inlineStr">
        <is>
          <t>SELESAI</t>
        </is>
      </c>
      <c r="I1914" t="inlineStr">
        <is>
          <t>MK0093</t>
        </is>
      </c>
      <c r="J1914" t="inlineStr"/>
    </row>
    <row r="1915">
      <c r="A1915" t="inlineStr">
        <is>
          <t>17/07/2026</t>
        </is>
      </c>
      <c r="B1915" t="inlineStr">
        <is>
          <t>528000291</t>
        </is>
      </c>
      <c r="C1915" t="inlineStr">
        <is>
          <t>Andrian</t>
        </is>
      </c>
      <c r="D1915" t="inlineStr">
        <is>
          <t>PROD</t>
        </is>
      </c>
      <c r="E1915" t="inlineStr">
        <is>
          <t>Produksi Harian</t>
        </is>
      </c>
      <c r="F1915" t="inlineStr">
        <is>
          <t>13:47:09</t>
        </is>
      </c>
      <c r="G1915" t="inlineStr">
        <is>
          <t>22:04:08</t>
        </is>
      </c>
      <c r="H1915" t="inlineStr">
        <is>
          <t>SELESAI</t>
        </is>
      </c>
      <c r="I1915" t="inlineStr">
        <is>
          <t>MK00235</t>
        </is>
      </c>
      <c r="J1915" t="inlineStr"/>
    </row>
    <row r="1916">
      <c r="A1916" t="inlineStr">
        <is>
          <t>17/07/2026</t>
        </is>
      </c>
      <c r="B1916" t="inlineStr">
        <is>
          <t>528000298</t>
        </is>
      </c>
      <c r="C1916" t="inlineStr">
        <is>
          <t>Desta Cahaya Pratama</t>
        </is>
      </c>
      <c r="D1916" t="inlineStr">
        <is>
          <t>PROD</t>
        </is>
      </c>
      <c r="E1916" t="inlineStr">
        <is>
          <t>Produksi Harian</t>
        </is>
      </c>
      <c r="F1916" t="inlineStr">
        <is>
          <t>21:45:27</t>
        </is>
      </c>
      <c r="G1916" t="inlineStr">
        <is>
          <t>06:03:54</t>
        </is>
      </c>
      <c r="H1916" t="inlineStr">
        <is>
          <t>SELESAI</t>
        </is>
      </c>
      <c r="I1916" t="inlineStr">
        <is>
          <t>MK00192</t>
        </is>
      </c>
      <c r="J1916" t="inlineStr"/>
    </row>
    <row r="1917">
      <c r="A1917" t="inlineStr">
        <is>
          <t>17/07/2026</t>
        </is>
      </c>
      <c r="B1917" t="inlineStr">
        <is>
          <t>528000299</t>
        </is>
      </c>
      <c r="C1917" t="inlineStr">
        <is>
          <t>Siti Nurjanah</t>
        </is>
      </c>
      <c r="D1917" t="inlineStr">
        <is>
          <t>PROD</t>
        </is>
      </c>
      <c r="E1917" t="inlineStr">
        <is>
          <t>Produksi Harian</t>
        </is>
      </c>
      <c r="F1917" t="inlineStr">
        <is>
          <t>21:42:42</t>
        </is>
      </c>
      <c r="G1917" t="inlineStr">
        <is>
          <t>06:12:29</t>
        </is>
      </c>
      <c r="H1917" t="inlineStr">
        <is>
          <t>SELESAI</t>
        </is>
      </c>
      <c r="I1917" t="inlineStr">
        <is>
          <t>MK00219</t>
        </is>
      </c>
      <c r="J1917" t="inlineStr"/>
    </row>
    <row r="1918">
      <c r="A1918" t="inlineStr">
        <is>
          <t>17/07/2026</t>
        </is>
      </c>
      <c r="B1918" t="inlineStr">
        <is>
          <t>528000302</t>
        </is>
      </c>
      <c r="C1918" t="inlineStr">
        <is>
          <t>Henkey gumilar</t>
        </is>
      </c>
      <c r="D1918" t="inlineStr">
        <is>
          <t>PROD</t>
        </is>
      </c>
      <c r="E1918" t="inlineStr">
        <is>
          <t>Produksi Harian</t>
        </is>
      </c>
      <c r="F1918" t="inlineStr">
        <is>
          <t>21:46:57</t>
        </is>
      </c>
      <c r="G1918" t="inlineStr">
        <is>
          <t>06:04:43</t>
        </is>
      </c>
      <c r="H1918" t="inlineStr">
        <is>
          <t>SELESAI</t>
        </is>
      </c>
      <c r="I1918" t="inlineStr">
        <is>
          <t>MK00181</t>
        </is>
      </c>
      <c r="J1918" t="inlineStr"/>
    </row>
    <row r="1919">
      <c r="A1919" t="inlineStr">
        <is>
          <t>17/07/2026</t>
        </is>
      </c>
      <c r="B1919" t="inlineStr">
        <is>
          <t>528000305</t>
        </is>
      </c>
      <c r="C1919" t="inlineStr">
        <is>
          <t>Puji Puspita</t>
        </is>
      </c>
      <c r="D1919" t="inlineStr">
        <is>
          <t>PROD</t>
        </is>
      </c>
      <c r="E1919" t="inlineStr">
        <is>
          <t>Produksi Harian</t>
        </is>
      </c>
      <c r="F1919" t="inlineStr">
        <is>
          <t>21:42:29</t>
        </is>
      </c>
      <c r="G1919" t="inlineStr">
        <is>
          <t>06:02:28</t>
        </is>
      </c>
      <c r="H1919" t="inlineStr">
        <is>
          <t>SELESAI</t>
        </is>
      </c>
      <c r="I1919" t="inlineStr">
        <is>
          <t>MK00109</t>
        </is>
      </c>
      <c r="J1919" t="inlineStr"/>
    </row>
    <row r="1920">
      <c r="A1920" t="inlineStr">
        <is>
          <t>17/07/2026</t>
        </is>
      </c>
      <c r="B1920" t="inlineStr">
        <is>
          <t>528000309</t>
        </is>
      </c>
      <c r="C1920" t="inlineStr">
        <is>
          <t>Ilham Ramadhan</t>
        </is>
      </c>
      <c r="D1920" t="inlineStr">
        <is>
          <t>LOG</t>
        </is>
      </c>
      <c r="E1920" t="inlineStr">
        <is>
          <t>WRM Harian</t>
        </is>
      </c>
      <c r="F1920" t="inlineStr">
        <is>
          <t>21:52:57</t>
        </is>
      </c>
      <c r="G1920" t="inlineStr">
        <is>
          <t>06:07:05</t>
        </is>
      </c>
      <c r="H1920" t="inlineStr">
        <is>
          <t>SELESAI</t>
        </is>
      </c>
      <c r="I1920" t="inlineStr">
        <is>
          <t>MK00218</t>
        </is>
      </c>
      <c r="J1920" t="inlineStr"/>
    </row>
    <row r="1921">
      <c r="A1921" t="inlineStr">
        <is>
          <t>17/07/2026</t>
        </is>
      </c>
      <c r="B1921" t="inlineStr">
        <is>
          <t>528000310</t>
        </is>
      </c>
      <c r="C1921" t="inlineStr">
        <is>
          <t>Fachrul Rozzi Suryana</t>
        </is>
      </c>
      <c r="D1921" t="inlineStr">
        <is>
          <t>LOG</t>
        </is>
      </c>
      <c r="E1921" t="inlineStr">
        <is>
          <t>WRM Harian</t>
        </is>
      </c>
      <c r="F1921" t="inlineStr">
        <is>
          <t>07:51:27</t>
        </is>
      </c>
      <c r="G1921" t="inlineStr">
        <is>
          <t>13:02:35</t>
        </is>
      </c>
      <c r="H1921" t="inlineStr">
        <is>
          <t>SELESAI</t>
        </is>
      </c>
      <c r="I1921" t="inlineStr">
        <is>
          <t>MK00138</t>
        </is>
      </c>
      <c r="J1921" t="inlineStr">
        <is>
          <t>31B</t>
        </is>
      </c>
    </row>
    <row r="1922">
      <c r="A1922" t="inlineStr">
        <is>
          <t>17/07/2026</t>
        </is>
      </c>
      <c r="B1922" t="inlineStr">
        <is>
          <t>528000313</t>
        </is>
      </c>
      <c r="C1922" t="inlineStr">
        <is>
          <t>Muhamad Rifki</t>
        </is>
      </c>
      <c r="D1922" t="inlineStr">
        <is>
          <t>PROD</t>
        </is>
      </c>
      <c r="E1922" t="inlineStr">
        <is>
          <t>Produksi Harian</t>
        </is>
      </c>
      <c r="F1922" t="inlineStr">
        <is>
          <t>21:31:37</t>
        </is>
      </c>
      <c r="G1922" t="inlineStr">
        <is>
          <t>06:06:48</t>
        </is>
      </c>
      <c r="H1922" t="inlineStr">
        <is>
          <t>SELESAI</t>
        </is>
      </c>
      <c r="I1922" t="inlineStr">
        <is>
          <t>MK00160</t>
        </is>
      </c>
      <c r="J1922" t="inlineStr"/>
    </row>
    <row r="1923">
      <c r="A1923" t="inlineStr">
        <is>
          <t>17/07/2026</t>
        </is>
      </c>
      <c r="B1923" t="inlineStr">
        <is>
          <t>528000314</t>
        </is>
      </c>
      <c r="C1923" t="inlineStr">
        <is>
          <t>Rusmana</t>
        </is>
      </c>
      <c r="D1923" t="inlineStr">
        <is>
          <t>PROD</t>
        </is>
      </c>
      <c r="E1923" t="inlineStr">
        <is>
          <t>Produksi Harian</t>
        </is>
      </c>
      <c r="F1923" t="inlineStr">
        <is>
          <t>14:01:20</t>
        </is>
      </c>
      <c r="G1923" t="inlineStr">
        <is>
          <t>13:17:34</t>
        </is>
      </c>
      <c r="H1923" t="inlineStr">
        <is>
          <t>SELESAI</t>
        </is>
      </c>
      <c r="I1923" t="inlineStr">
        <is>
          <t>MK00125</t>
        </is>
      </c>
      <c r="J1923" t="inlineStr"/>
    </row>
    <row r="1924">
      <c r="A1924" t="inlineStr">
        <is>
          <t>17/07/2026</t>
        </is>
      </c>
      <c r="B1924" t="inlineStr">
        <is>
          <t>528000318</t>
        </is>
      </c>
      <c r="C1924" t="inlineStr">
        <is>
          <t>Bayu Padli Sepriyana</t>
        </is>
      </c>
      <c r="D1924" t="inlineStr">
        <is>
          <t>LOG</t>
        </is>
      </c>
      <c r="E1924" t="inlineStr">
        <is>
          <t>WRM Harian</t>
        </is>
      </c>
      <c r="F1924" t="inlineStr">
        <is>
          <t>21:38:24</t>
        </is>
      </c>
      <c r="G1924" t="inlineStr">
        <is>
          <t>06:02:04</t>
        </is>
      </c>
      <c r="H1924" t="inlineStr">
        <is>
          <t>SELESAI</t>
        </is>
      </c>
      <c r="I1924" t="inlineStr">
        <is>
          <t>MK00143</t>
        </is>
      </c>
      <c r="J1924" t="inlineStr"/>
    </row>
    <row r="1925">
      <c r="A1925" t="inlineStr">
        <is>
          <t>17/07/2026</t>
        </is>
      </c>
      <c r="B1925" t="inlineStr">
        <is>
          <t>528000322</t>
        </is>
      </c>
      <c r="C1925" t="inlineStr">
        <is>
          <t>Muhamad Aliludin</t>
        </is>
      </c>
      <c r="D1925" t="inlineStr">
        <is>
          <t>PROD</t>
        </is>
      </c>
      <c r="E1925" t="inlineStr">
        <is>
          <t>Produksi Harian</t>
        </is>
      </c>
      <c r="F1925" t="inlineStr">
        <is>
          <t>21:42:59</t>
        </is>
      </c>
      <c r="G1925" t="inlineStr">
        <is>
          <t>06:03:03</t>
        </is>
      </c>
      <c r="H1925" t="inlineStr">
        <is>
          <t>SELESAI</t>
        </is>
      </c>
      <c r="I1925" t="inlineStr">
        <is>
          <t>MK00116</t>
        </is>
      </c>
      <c r="J1925" t="inlineStr"/>
    </row>
    <row r="1926">
      <c r="A1926" t="inlineStr">
        <is>
          <t>17/07/2026</t>
        </is>
      </c>
      <c r="B1926" t="inlineStr">
        <is>
          <t>528000325</t>
        </is>
      </c>
      <c r="C1926" t="inlineStr">
        <is>
          <t>Rani Septia Ramadani</t>
        </is>
      </c>
      <c r="D1926" t="inlineStr">
        <is>
          <t>PROD</t>
        </is>
      </c>
      <c r="E1926" t="inlineStr">
        <is>
          <t>Produksi Harian</t>
        </is>
      </c>
      <c r="F1926" t="inlineStr">
        <is>
          <t>22:00:40</t>
        </is>
      </c>
      <c r="G1926" t="inlineStr">
        <is>
          <t>22:01:17</t>
        </is>
      </c>
      <c r="H1926" t="inlineStr">
        <is>
          <t>SELESAI</t>
        </is>
      </c>
      <c r="I1926" t="inlineStr">
        <is>
          <t>MK00217</t>
        </is>
      </c>
      <c r="J1926" t="inlineStr"/>
    </row>
    <row r="1927">
      <c r="A1927" t="inlineStr">
        <is>
          <t>17/07/2026</t>
        </is>
      </c>
      <c r="B1927" t="inlineStr">
        <is>
          <t>528000335</t>
        </is>
      </c>
      <c r="C1927" t="inlineStr">
        <is>
          <t>Rizal Saepuloh</t>
        </is>
      </c>
      <c r="D1927" t="inlineStr">
        <is>
          <t>LOG</t>
        </is>
      </c>
      <c r="E1927" t="inlineStr">
        <is>
          <t>WRM Harian</t>
        </is>
      </c>
      <c r="F1927" t="inlineStr">
        <is>
          <t>07:32:43</t>
        </is>
      </c>
      <c r="G1927" t="inlineStr"/>
      <c r="H1927" t="inlineStr">
        <is>
          <t>DI DALAM</t>
        </is>
      </c>
      <c r="I1927" t="inlineStr">
        <is>
          <t>46</t>
        </is>
      </c>
      <c r="J1927" t="inlineStr"/>
    </row>
    <row r="1928">
      <c r="A1928" t="inlineStr">
        <is>
          <t>17/07/2026</t>
        </is>
      </c>
      <c r="B1928" t="inlineStr">
        <is>
          <t>528000337</t>
        </is>
      </c>
      <c r="C1928" t="inlineStr">
        <is>
          <t>Ahmad Zaldi Firdaus</t>
        </is>
      </c>
      <c r="D1928" t="inlineStr">
        <is>
          <t>PROD</t>
        </is>
      </c>
      <c r="E1928" t="inlineStr">
        <is>
          <t>Produksi Harian</t>
        </is>
      </c>
      <c r="F1928" t="inlineStr">
        <is>
          <t>12:56:09</t>
        </is>
      </c>
      <c r="G1928" t="inlineStr">
        <is>
          <t>22:10:52</t>
        </is>
      </c>
      <c r="H1928" t="inlineStr">
        <is>
          <t>SELESAI</t>
        </is>
      </c>
      <c r="I1928" t="inlineStr">
        <is>
          <t>MK00218</t>
        </is>
      </c>
      <c r="J1928" t="inlineStr"/>
    </row>
    <row r="1929">
      <c r="A1929" t="inlineStr">
        <is>
          <t>17/07/2026</t>
        </is>
      </c>
      <c r="B1929" t="inlineStr">
        <is>
          <t>528000339</t>
        </is>
      </c>
      <c r="C1929" t="inlineStr">
        <is>
          <t>Muhamad Ripai'i</t>
        </is>
      </c>
      <c r="D1929" t="inlineStr">
        <is>
          <t>HRGA</t>
        </is>
      </c>
      <c r="E1929" t="inlineStr">
        <is>
          <t>GA Harian</t>
        </is>
      </c>
      <c r="F1929" t="inlineStr">
        <is>
          <t>05:40:29</t>
        </is>
      </c>
      <c r="G1929" t="inlineStr">
        <is>
          <t>14:07:18</t>
        </is>
      </c>
      <c r="H1929" t="inlineStr">
        <is>
          <t>SELESAI</t>
        </is>
      </c>
      <c r="I1929" t="inlineStr">
        <is>
          <t>MK00158</t>
        </is>
      </c>
      <c r="J1929" t="inlineStr"/>
    </row>
    <row r="1930">
      <c r="A1930" t="inlineStr">
        <is>
          <t>17/07/2026</t>
        </is>
      </c>
      <c r="B1930" t="inlineStr">
        <is>
          <t>528000340</t>
        </is>
      </c>
      <c r="C1930" t="inlineStr">
        <is>
          <t>Muhammad Wildan Adithya</t>
        </is>
      </c>
      <c r="D1930" t="inlineStr">
        <is>
          <t>PROD</t>
        </is>
      </c>
      <c r="E1930" t="inlineStr">
        <is>
          <t>Produksi Harian</t>
        </is>
      </c>
      <c r="F1930" t="inlineStr">
        <is>
          <t>21:27:30</t>
        </is>
      </c>
      <c r="G1930" t="inlineStr">
        <is>
          <t>06:11:55</t>
        </is>
      </c>
      <c r="H1930" t="inlineStr">
        <is>
          <t>SELESAI</t>
        </is>
      </c>
      <c r="I1930" t="inlineStr">
        <is>
          <t>MK00230</t>
        </is>
      </c>
      <c r="J1930" t="inlineStr"/>
    </row>
    <row r="1931">
      <c r="A1931" t="inlineStr">
        <is>
          <t>17/07/2026</t>
        </is>
      </c>
      <c r="B1931" t="inlineStr">
        <is>
          <t>528000348</t>
        </is>
      </c>
      <c r="C1931" t="inlineStr">
        <is>
          <t>Saepuloh Ardiansah</t>
        </is>
      </c>
      <c r="D1931" t="inlineStr">
        <is>
          <t>LOG</t>
        </is>
      </c>
      <c r="E1931" t="inlineStr">
        <is>
          <t>WRM Harian</t>
        </is>
      </c>
      <c r="F1931" t="inlineStr">
        <is>
          <t>08:48:37</t>
        </is>
      </c>
      <c r="G1931" t="inlineStr">
        <is>
          <t>14:10:45</t>
        </is>
      </c>
      <c r="H1931" t="inlineStr">
        <is>
          <t>SELESAI</t>
        </is>
      </c>
      <c r="I1931" t="inlineStr">
        <is>
          <t>MK00205</t>
        </is>
      </c>
      <c r="J1931" t="inlineStr"/>
    </row>
    <row r="1932">
      <c r="A1932" t="inlineStr">
        <is>
          <t>17/07/2026</t>
        </is>
      </c>
      <c r="B1932" t="inlineStr">
        <is>
          <t>528000351</t>
        </is>
      </c>
      <c r="C1932" t="inlineStr">
        <is>
          <t>Mulyana</t>
        </is>
      </c>
      <c r="D1932" t="inlineStr">
        <is>
          <t>PROD</t>
        </is>
      </c>
      <c r="E1932" t="inlineStr">
        <is>
          <t>Produksi Harian</t>
        </is>
      </c>
      <c r="F1932" t="inlineStr">
        <is>
          <t>07:50:13</t>
        </is>
      </c>
      <c r="G1932" t="inlineStr">
        <is>
          <t>13:20:13</t>
        </is>
      </c>
      <c r="H1932" t="inlineStr">
        <is>
          <t>SELESAI</t>
        </is>
      </c>
      <c r="I1932" t="inlineStr">
        <is>
          <t>MK00184</t>
        </is>
      </c>
      <c r="J1932" t="inlineStr"/>
    </row>
    <row r="1933">
      <c r="A1933" t="inlineStr">
        <is>
          <t>17/07/2026</t>
        </is>
      </c>
      <c r="B1933" t="inlineStr">
        <is>
          <t>528000358</t>
        </is>
      </c>
      <c r="C1933" t="inlineStr">
        <is>
          <t>Lulu Agustin</t>
        </is>
      </c>
      <c r="D1933" t="inlineStr">
        <is>
          <t>PROD</t>
        </is>
      </c>
      <c r="E1933" t="inlineStr">
        <is>
          <t>Produksi Harian</t>
        </is>
      </c>
      <c r="F1933" t="inlineStr">
        <is>
          <t>13:42:34</t>
        </is>
      </c>
      <c r="G1933" t="inlineStr">
        <is>
          <t>22:01:20</t>
        </is>
      </c>
      <c r="H1933" t="inlineStr">
        <is>
          <t>SELESAI</t>
        </is>
      </c>
      <c r="I1933" t="inlineStr">
        <is>
          <t>MK00184</t>
        </is>
      </c>
      <c r="J1933" t="inlineStr"/>
    </row>
    <row r="1934">
      <c r="A1934" t="inlineStr">
        <is>
          <t>17/07/2026</t>
        </is>
      </c>
      <c r="B1934" t="inlineStr">
        <is>
          <t>528000360</t>
        </is>
      </c>
      <c r="C1934" t="inlineStr">
        <is>
          <t>Hendra Permana</t>
        </is>
      </c>
      <c r="D1934" t="inlineStr">
        <is>
          <t>ENG</t>
        </is>
      </c>
      <c r="E1934" t="inlineStr">
        <is>
          <t>Engineering Harian</t>
        </is>
      </c>
      <c r="F1934" t="inlineStr">
        <is>
          <t>13:21:28</t>
        </is>
      </c>
      <c r="G1934" t="inlineStr">
        <is>
          <t>22:02:54</t>
        </is>
      </c>
      <c r="H1934" t="inlineStr">
        <is>
          <t>SELESAI</t>
        </is>
      </c>
      <c r="I1934" t="inlineStr">
        <is>
          <t>MK00212</t>
        </is>
      </c>
      <c r="J1934" t="inlineStr"/>
    </row>
    <row r="1935">
      <c r="A1935" t="inlineStr">
        <is>
          <t>17/07/2026</t>
        </is>
      </c>
      <c r="B1935" t="inlineStr">
        <is>
          <t>528000361</t>
        </is>
      </c>
      <c r="C1935" t="inlineStr">
        <is>
          <t>Denada Munggarani</t>
        </is>
      </c>
      <c r="D1935" t="inlineStr">
        <is>
          <t>PROD</t>
        </is>
      </c>
      <c r="E1935" t="inlineStr">
        <is>
          <t>Produksi Harian</t>
        </is>
      </c>
      <c r="F1935" t="inlineStr">
        <is>
          <t>21:49:14</t>
        </is>
      </c>
      <c r="G1935" t="inlineStr">
        <is>
          <t>06:12:22</t>
        </is>
      </c>
      <c r="H1935" t="inlineStr">
        <is>
          <t>SELESAI</t>
        </is>
      </c>
      <c r="I1935" t="inlineStr">
        <is>
          <t>MK00121</t>
        </is>
      </c>
      <c r="J1935" t="inlineStr"/>
    </row>
    <row r="1936">
      <c r="A1936" t="inlineStr">
        <is>
          <t>18/07/2026</t>
        </is>
      </c>
      <c r="B1936" t="inlineStr">
        <is>
          <t>528000015</t>
        </is>
      </c>
      <c r="C1936" t="inlineStr">
        <is>
          <t>Erwin</t>
        </is>
      </c>
      <c r="D1936" t="inlineStr">
        <is>
          <t>LOG</t>
        </is>
      </c>
      <c r="E1936" t="inlineStr">
        <is>
          <t>WRM Harian</t>
        </is>
      </c>
      <c r="F1936" t="inlineStr">
        <is>
          <t>06:06:18</t>
        </is>
      </c>
      <c r="G1936" t="inlineStr">
        <is>
          <t>06:51:56</t>
        </is>
      </c>
      <c r="H1936" t="inlineStr">
        <is>
          <t>SELESAI</t>
        </is>
      </c>
      <c r="I1936" t="inlineStr">
        <is>
          <t>MK00088</t>
        </is>
      </c>
      <c r="J1936" t="inlineStr"/>
    </row>
    <row r="1937">
      <c r="A1937" t="inlineStr">
        <is>
          <t>18/07/2026</t>
        </is>
      </c>
      <c r="B1937" t="inlineStr">
        <is>
          <t>528000052</t>
        </is>
      </c>
      <c r="C1937" t="inlineStr">
        <is>
          <t>Mustopa</t>
        </is>
      </c>
      <c r="D1937" t="inlineStr">
        <is>
          <t>PROD</t>
        </is>
      </c>
      <c r="E1937" t="inlineStr">
        <is>
          <t>Produksi Harian</t>
        </is>
      </c>
      <c r="F1937" t="inlineStr">
        <is>
          <t>05:25:21</t>
        </is>
      </c>
      <c r="G1937" t="inlineStr">
        <is>
          <t>22:02:18</t>
        </is>
      </c>
      <c r="H1937" t="inlineStr">
        <is>
          <t>SELESAI</t>
        </is>
      </c>
      <c r="I1937" t="inlineStr">
        <is>
          <t>MK0055</t>
        </is>
      </c>
      <c r="J1937" t="inlineStr"/>
    </row>
    <row r="1938">
      <c r="A1938" t="inlineStr">
        <is>
          <t>18/07/2026</t>
        </is>
      </c>
      <c r="B1938" t="inlineStr">
        <is>
          <t>528000090</t>
        </is>
      </c>
      <c r="C1938" t="inlineStr">
        <is>
          <t>Suganda</t>
        </is>
      </c>
      <c r="D1938" t="inlineStr">
        <is>
          <t>PROD</t>
        </is>
      </c>
      <c r="E1938" t="inlineStr">
        <is>
          <t>Produksi Harian</t>
        </is>
      </c>
      <c r="F1938" t="inlineStr">
        <is>
          <t>05:57:13</t>
        </is>
      </c>
      <c r="G1938" t="inlineStr"/>
      <c r="H1938" t="inlineStr">
        <is>
          <t>DI DALAM</t>
        </is>
      </c>
      <c r="I1938" t="inlineStr">
        <is>
          <t>MK00249</t>
        </is>
      </c>
      <c r="J1938" t="inlineStr"/>
    </row>
    <row r="1939">
      <c r="A1939" t="inlineStr">
        <is>
          <t>18/07/2026</t>
        </is>
      </c>
      <c r="B1939" t="inlineStr">
        <is>
          <t>528000099</t>
        </is>
      </c>
      <c r="C1939" t="inlineStr">
        <is>
          <t>Siti Nurawaliah</t>
        </is>
      </c>
      <c r="D1939" t="inlineStr">
        <is>
          <t>PROD</t>
        </is>
      </c>
      <c r="E1939" t="inlineStr">
        <is>
          <t>Produksi Harian</t>
        </is>
      </c>
      <c r="F1939" t="inlineStr">
        <is>
          <t>05:47:14</t>
        </is>
      </c>
      <c r="G1939" t="inlineStr">
        <is>
          <t>14:05:11</t>
        </is>
      </c>
      <c r="H1939" t="inlineStr">
        <is>
          <t>SELESAI</t>
        </is>
      </c>
      <c r="I1939" t="inlineStr">
        <is>
          <t>MK00235</t>
        </is>
      </c>
      <c r="J1939" t="inlineStr"/>
    </row>
    <row r="1940">
      <c r="A1940" t="inlineStr">
        <is>
          <t>18/07/2026</t>
        </is>
      </c>
      <c r="B1940" t="inlineStr">
        <is>
          <t>528000195</t>
        </is>
      </c>
      <c r="C1940" t="inlineStr">
        <is>
          <t>Rahma Sariwati</t>
        </is>
      </c>
      <c r="D1940" t="inlineStr">
        <is>
          <t>PROD</t>
        </is>
      </c>
      <c r="E1940" t="inlineStr">
        <is>
          <t>Produksi Harian</t>
        </is>
      </c>
      <c r="F1940" t="inlineStr">
        <is>
          <t>13:39:59</t>
        </is>
      </c>
      <c r="G1940" t="inlineStr">
        <is>
          <t>22:05:18</t>
        </is>
      </c>
      <c r="H1940" t="inlineStr">
        <is>
          <t>SELESAI</t>
        </is>
      </c>
      <c r="I1940" t="inlineStr">
        <is>
          <t>MK00134</t>
        </is>
      </c>
      <c r="J1940" t="inlineStr"/>
    </row>
    <row r="1941">
      <c r="A1941" t="inlineStr">
        <is>
          <t>18/07/2026</t>
        </is>
      </c>
      <c r="B1941" t="inlineStr">
        <is>
          <t>528000201</t>
        </is>
      </c>
      <c r="C1941" t="inlineStr">
        <is>
          <t>Zahwa Amelia Choerunissa</t>
        </is>
      </c>
      <c r="D1941" t="inlineStr">
        <is>
          <t>PROD</t>
        </is>
      </c>
      <c r="E1941" t="inlineStr">
        <is>
          <t>Produksi Harian</t>
        </is>
      </c>
      <c r="F1941" t="inlineStr">
        <is>
          <t>05:46:29</t>
        </is>
      </c>
      <c r="G1941" t="inlineStr">
        <is>
          <t>14:04:43</t>
        </is>
      </c>
      <c r="H1941" t="inlineStr">
        <is>
          <t>SELESAI</t>
        </is>
      </c>
      <c r="I1941" t="inlineStr">
        <is>
          <t>MK00213</t>
        </is>
      </c>
      <c r="J1941" t="inlineStr"/>
    </row>
    <row r="1942">
      <c r="A1942" t="inlineStr">
        <is>
          <t>18/07/2026</t>
        </is>
      </c>
      <c r="B1942" t="inlineStr">
        <is>
          <t>528000241</t>
        </is>
      </c>
      <c r="C1942" t="inlineStr">
        <is>
          <t>Balia Nurafif Bilah</t>
        </is>
      </c>
      <c r="D1942" t="inlineStr">
        <is>
          <t>PROD</t>
        </is>
      </c>
      <c r="E1942" t="inlineStr">
        <is>
          <t>Produksi Harian</t>
        </is>
      </c>
      <c r="F1942" t="inlineStr">
        <is>
          <t>05:53:35</t>
        </is>
      </c>
      <c r="G1942" t="inlineStr">
        <is>
          <t>14:04:23</t>
        </is>
      </c>
      <c r="H1942" t="inlineStr">
        <is>
          <t>SELESAI</t>
        </is>
      </c>
      <c r="I1942" t="inlineStr">
        <is>
          <t>MK00218</t>
        </is>
      </c>
      <c r="J1942" t="inlineStr"/>
    </row>
    <row r="1943">
      <c r="A1943" t="inlineStr">
        <is>
          <t>18/07/2026</t>
        </is>
      </c>
      <c r="B1943" t="inlineStr">
        <is>
          <t>528000244</t>
        </is>
      </c>
      <c r="C1943" t="inlineStr">
        <is>
          <t>Rodian Rifai</t>
        </is>
      </c>
      <c r="D1943" t="inlineStr">
        <is>
          <t>PROD</t>
        </is>
      </c>
      <c r="E1943" t="inlineStr">
        <is>
          <t>Produksi Harian</t>
        </is>
      </c>
      <c r="F1943" t="inlineStr">
        <is>
          <t>05:57:36</t>
        </is>
      </c>
      <c r="G1943" t="inlineStr"/>
      <c r="H1943" t="inlineStr">
        <is>
          <t>DI DALAM</t>
        </is>
      </c>
      <c r="I1943" t="inlineStr">
        <is>
          <t>52800088</t>
        </is>
      </c>
      <c r="J1943" t="inlineStr"/>
    </row>
    <row r="1944">
      <c r="A1944" t="inlineStr">
        <is>
          <t>18/07/2026</t>
        </is>
      </c>
      <c r="B1944" t="inlineStr">
        <is>
          <t>528000248</t>
        </is>
      </c>
      <c r="C1944" t="inlineStr">
        <is>
          <t>Roka Jaya Salka Mulya</t>
        </is>
      </c>
      <c r="D1944" t="inlineStr">
        <is>
          <t>PROD</t>
        </is>
      </c>
      <c r="E1944" t="inlineStr">
        <is>
          <t>Produksi Harian</t>
        </is>
      </c>
      <c r="F1944" t="inlineStr">
        <is>
          <t>21:49:40</t>
        </is>
      </c>
      <c r="G1944" t="inlineStr"/>
      <c r="H1944" t="inlineStr">
        <is>
          <t>DI DALAM</t>
        </is>
      </c>
      <c r="I1944" t="inlineStr">
        <is>
          <t>MK00156</t>
        </is>
      </c>
      <c r="J1944" t="inlineStr"/>
    </row>
    <row r="1945">
      <c r="A1945" t="inlineStr">
        <is>
          <t>18/07/2026</t>
        </is>
      </c>
      <c r="B1945" t="inlineStr">
        <is>
          <t>528000262</t>
        </is>
      </c>
      <c r="C1945" t="inlineStr">
        <is>
          <t>Ndari Dwiwanti</t>
        </is>
      </c>
      <c r="D1945" t="inlineStr">
        <is>
          <t>PROD</t>
        </is>
      </c>
      <c r="E1945" t="inlineStr">
        <is>
          <t>Produksi Harian</t>
        </is>
      </c>
      <c r="F1945" t="inlineStr">
        <is>
          <t>13:35:33</t>
        </is>
      </c>
      <c r="G1945" t="inlineStr">
        <is>
          <t>22:03:48</t>
        </is>
      </c>
      <c r="H1945" t="inlineStr">
        <is>
          <t>SELESAI</t>
        </is>
      </c>
      <c r="I1945" t="inlineStr">
        <is>
          <t>MK00112</t>
        </is>
      </c>
      <c r="J1945" t="inlineStr"/>
    </row>
    <row r="1946">
      <c r="A1946" t="inlineStr">
        <is>
          <t>18/07/2026</t>
        </is>
      </c>
      <c r="B1946" t="inlineStr">
        <is>
          <t>528000266</t>
        </is>
      </c>
      <c r="C1946" t="inlineStr">
        <is>
          <t>M. Syirajatieq</t>
        </is>
      </c>
      <c r="D1946" t="inlineStr">
        <is>
          <t>LOG</t>
        </is>
      </c>
      <c r="E1946" t="inlineStr">
        <is>
          <t>WFG Harian</t>
        </is>
      </c>
      <c r="F1946" t="inlineStr">
        <is>
          <t>13:39:12</t>
        </is>
      </c>
      <c r="G1946" t="inlineStr">
        <is>
          <t>22:29:48</t>
        </is>
      </c>
      <c r="H1946" t="inlineStr">
        <is>
          <t>SELESAI</t>
        </is>
      </c>
      <c r="I1946" t="inlineStr">
        <is>
          <t>MK00138</t>
        </is>
      </c>
      <c r="J1946" t="inlineStr"/>
    </row>
    <row r="1947">
      <c r="A1947" t="inlineStr">
        <is>
          <t>18/07/2026</t>
        </is>
      </c>
      <c r="B1947" t="inlineStr">
        <is>
          <t>528000270</t>
        </is>
      </c>
      <c r="C1947" t="inlineStr">
        <is>
          <t>Febri Najmudin</t>
        </is>
      </c>
      <c r="D1947" t="inlineStr">
        <is>
          <t>LOG</t>
        </is>
      </c>
      <c r="E1947" t="inlineStr">
        <is>
          <t>WRM Harian</t>
        </is>
      </c>
      <c r="F1947" t="inlineStr"/>
      <c r="G1947" t="inlineStr">
        <is>
          <t>06:17:12</t>
        </is>
      </c>
      <c r="H1947" t="inlineStr">
        <is>
          <t>KELUAR TANPA MASUK</t>
        </is>
      </c>
      <c r="I1947" t="inlineStr">
        <is>
          <t>MK00113</t>
        </is>
      </c>
      <c r="J1947" t="inlineStr"/>
    </row>
    <row r="1948">
      <c r="A1948" t="inlineStr">
        <is>
          <t>18/07/2026</t>
        </is>
      </c>
      <c r="B1948" t="inlineStr">
        <is>
          <t>528000273</t>
        </is>
      </c>
      <c r="C1948" t="inlineStr">
        <is>
          <t>Asep Mulyana</t>
        </is>
      </c>
      <c r="D1948" t="inlineStr">
        <is>
          <t>PROD</t>
        </is>
      </c>
      <c r="E1948" t="inlineStr">
        <is>
          <t>Produksi Harian</t>
        </is>
      </c>
      <c r="F1948" t="inlineStr">
        <is>
          <t>08:16:03</t>
        </is>
      </c>
      <c r="G1948" t="inlineStr">
        <is>
          <t>14:06:19</t>
        </is>
      </c>
      <c r="H1948" t="inlineStr">
        <is>
          <t>SELESAI</t>
        </is>
      </c>
      <c r="I1948" t="inlineStr">
        <is>
          <t>MK00095</t>
        </is>
      </c>
      <c r="J1948" t="inlineStr"/>
    </row>
    <row r="1949">
      <c r="A1949" t="inlineStr">
        <is>
          <t>18/07/2026</t>
        </is>
      </c>
      <c r="B1949" t="inlineStr">
        <is>
          <t>528000274</t>
        </is>
      </c>
      <c r="C1949" t="inlineStr">
        <is>
          <t>Zepri</t>
        </is>
      </c>
      <c r="D1949" t="inlineStr">
        <is>
          <t>PROD</t>
        </is>
      </c>
      <c r="E1949" t="inlineStr">
        <is>
          <t>Produksi Harian</t>
        </is>
      </c>
      <c r="F1949" t="inlineStr">
        <is>
          <t>05:57:50</t>
        </is>
      </c>
      <c r="G1949" t="inlineStr">
        <is>
          <t>14:04:46</t>
        </is>
      </c>
      <c r="H1949" t="inlineStr">
        <is>
          <t>SELESAI</t>
        </is>
      </c>
      <c r="I1949" t="inlineStr">
        <is>
          <t>MK00113</t>
        </is>
      </c>
      <c r="J1949" t="inlineStr"/>
    </row>
    <row r="1950">
      <c r="A1950" t="inlineStr">
        <is>
          <t>18/07/2026</t>
        </is>
      </c>
      <c r="B1950" t="inlineStr">
        <is>
          <t>528000279</t>
        </is>
      </c>
      <c r="C1950" t="inlineStr">
        <is>
          <t>Mahdalena Dalfa Riani</t>
        </is>
      </c>
      <c r="D1950" t="inlineStr">
        <is>
          <t>PROD</t>
        </is>
      </c>
      <c r="E1950" t="inlineStr">
        <is>
          <t>Produksi Harian</t>
        </is>
      </c>
      <c r="F1950" t="inlineStr">
        <is>
          <t>21:43:25</t>
        </is>
      </c>
      <c r="G1950" t="inlineStr"/>
      <c r="H1950" t="inlineStr">
        <is>
          <t>DI DALAM</t>
        </is>
      </c>
      <c r="I1950" t="inlineStr">
        <is>
          <t>MK00082</t>
        </is>
      </c>
      <c r="J1950" t="inlineStr"/>
    </row>
    <row r="1951">
      <c r="A1951" t="inlineStr">
        <is>
          <t>18/07/2026</t>
        </is>
      </c>
      <c r="B1951" t="inlineStr">
        <is>
          <t>528000283</t>
        </is>
      </c>
      <c r="C1951" t="inlineStr">
        <is>
          <t>Purwanda Sugiri</t>
        </is>
      </c>
      <c r="D1951" t="inlineStr">
        <is>
          <t>LOG</t>
        </is>
      </c>
      <c r="E1951" t="inlineStr">
        <is>
          <t>WRM Harian</t>
        </is>
      </c>
      <c r="F1951" t="inlineStr">
        <is>
          <t>13:50:00</t>
        </is>
      </c>
      <c r="G1951" t="inlineStr">
        <is>
          <t>13:49:14</t>
        </is>
      </c>
      <c r="H1951" t="inlineStr">
        <is>
          <t>SELESAI</t>
        </is>
      </c>
      <c r="I1951" t="inlineStr">
        <is>
          <t>MK00090</t>
        </is>
      </c>
      <c r="J1951" t="inlineStr"/>
    </row>
    <row r="1952">
      <c r="A1952" t="inlineStr">
        <is>
          <t>18/07/2026</t>
        </is>
      </c>
      <c r="B1952" t="inlineStr">
        <is>
          <t>528000286</t>
        </is>
      </c>
      <c r="C1952" t="inlineStr">
        <is>
          <t>Imelda Amelia</t>
        </is>
      </c>
      <c r="D1952" t="inlineStr">
        <is>
          <t>PROD</t>
        </is>
      </c>
      <c r="E1952" t="inlineStr">
        <is>
          <t>Produksi Harian</t>
        </is>
      </c>
      <c r="F1952" t="inlineStr">
        <is>
          <t>05:52:00</t>
        </is>
      </c>
      <c r="G1952" t="inlineStr">
        <is>
          <t>14:05:47</t>
        </is>
      </c>
      <c r="H1952" t="inlineStr">
        <is>
          <t>SELESAI</t>
        </is>
      </c>
      <c r="I1952" t="inlineStr">
        <is>
          <t>MK00145</t>
        </is>
      </c>
      <c r="J1952" t="inlineStr"/>
    </row>
    <row r="1953">
      <c r="A1953" t="inlineStr">
        <is>
          <t>18/07/2026</t>
        </is>
      </c>
      <c r="B1953" t="inlineStr">
        <is>
          <t>528000289</t>
        </is>
      </c>
      <c r="C1953" t="inlineStr">
        <is>
          <t>Adit Supriyadi</t>
        </is>
      </c>
      <c r="D1953" t="inlineStr">
        <is>
          <t>PROD</t>
        </is>
      </c>
      <c r="E1953" t="inlineStr">
        <is>
          <t>Produksi Harian</t>
        </is>
      </c>
      <c r="F1953" t="inlineStr">
        <is>
          <t>05:53:51</t>
        </is>
      </c>
      <c r="G1953" t="inlineStr">
        <is>
          <t>14:02:39</t>
        </is>
      </c>
      <c r="H1953" t="inlineStr">
        <is>
          <t>SELESAI</t>
        </is>
      </c>
      <c r="I1953" t="inlineStr">
        <is>
          <t>MK00212</t>
        </is>
      </c>
      <c r="J1953" t="inlineStr"/>
    </row>
    <row r="1954">
      <c r="A1954" t="inlineStr">
        <is>
          <t>18/07/2026</t>
        </is>
      </c>
      <c r="B1954" t="inlineStr">
        <is>
          <t>528000290</t>
        </is>
      </c>
      <c r="C1954" t="inlineStr">
        <is>
          <t>Eval Pranata</t>
        </is>
      </c>
      <c r="D1954" t="inlineStr">
        <is>
          <t>PROD</t>
        </is>
      </c>
      <c r="E1954" t="inlineStr">
        <is>
          <t>Produksi Harian</t>
        </is>
      </c>
      <c r="F1954" t="inlineStr">
        <is>
          <t>05:59:32</t>
        </is>
      </c>
      <c r="G1954" t="inlineStr">
        <is>
          <t>14:04:57</t>
        </is>
      </c>
      <c r="H1954" t="inlineStr">
        <is>
          <t>SELESAI</t>
        </is>
      </c>
      <c r="I1954" t="inlineStr">
        <is>
          <t>MK00220</t>
        </is>
      </c>
      <c r="J1954" t="inlineStr"/>
    </row>
    <row r="1955">
      <c r="A1955" t="inlineStr">
        <is>
          <t>18/07/2026</t>
        </is>
      </c>
      <c r="B1955" t="inlineStr">
        <is>
          <t>528000291</t>
        </is>
      </c>
      <c r="C1955" t="inlineStr">
        <is>
          <t>Andrian</t>
        </is>
      </c>
      <c r="D1955" t="inlineStr">
        <is>
          <t>PROD</t>
        </is>
      </c>
      <c r="E1955" t="inlineStr">
        <is>
          <t>Produksi Harian</t>
        </is>
      </c>
      <c r="F1955" t="inlineStr">
        <is>
          <t>13:48:34</t>
        </is>
      </c>
      <c r="G1955" t="inlineStr">
        <is>
          <t>22:03:36</t>
        </is>
      </c>
      <c r="H1955" t="inlineStr">
        <is>
          <t>SELESAI</t>
        </is>
      </c>
      <c r="I1955" t="inlineStr">
        <is>
          <t>MK00185</t>
        </is>
      </c>
      <c r="J1955" t="inlineStr"/>
    </row>
    <row r="1956">
      <c r="A1956" t="inlineStr">
        <is>
          <t>18/07/2026</t>
        </is>
      </c>
      <c r="B1956" t="inlineStr">
        <is>
          <t>528000296</t>
        </is>
      </c>
      <c r="C1956" t="inlineStr">
        <is>
          <t>Nurdin</t>
        </is>
      </c>
      <c r="D1956" t="inlineStr">
        <is>
          <t>PROD</t>
        </is>
      </c>
      <c r="E1956" t="inlineStr">
        <is>
          <t>Produksi Harian</t>
        </is>
      </c>
      <c r="F1956" t="inlineStr">
        <is>
          <t>05:51:03</t>
        </is>
      </c>
      <c r="G1956" t="inlineStr">
        <is>
          <t>14:09:18</t>
        </is>
      </c>
      <c r="H1956" t="inlineStr">
        <is>
          <t>SELESAI</t>
        </is>
      </c>
      <c r="I1956" t="inlineStr">
        <is>
          <t>MK00184</t>
        </is>
      </c>
      <c r="J1956" t="inlineStr"/>
    </row>
    <row r="1957">
      <c r="A1957" t="inlineStr">
        <is>
          <t>18/07/2026</t>
        </is>
      </c>
      <c r="B1957" t="inlineStr">
        <is>
          <t>528000297</t>
        </is>
      </c>
      <c r="C1957" t="inlineStr">
        <is>
          <t>Muhamad Budiana</t>
        </is>
      </c>
      <c r="D1957" t="inlineStr">
        <is>
          <t>PROD</t>
        </is>
      </c>
      <c r="E1957" t="inlineStr">
        <is>
          <t>Produksi Harian</t>
        </is>
      </c>
      <c r="F1957" t="inlineStr">
        <is>
          <t>21:48:19</t>
        </is>
      </c>
      <c r="G1957" t="inlineStr"/>
      <c r="H1957" t="inlineStr">
        <is>
          <t>DI DALAM</t>
        </is>
      </c>
      <c r="I1957" t="inlineStr">
        <is>
          <t>MK00208</t>
        </is>
      </c>
      <c r="J1957" t="inlineStr"/>
    </row>
    <row r="1958">
      <c r="A1958" t="inlineStr">
        <is>
          <t>18/07/2026</t>
        </is>
      </c>
      <c r="B1958" t="inlineStr">
        <is>
          <t>528000298</t>
        </is>
      </c>
      <c r="C1958" t="inlineStr">
        <is>
          <t>Desta Cahaya Pratama</t>
        </is>
      </c>
      <c r="D1958" t="inlineStr">
        <is>
          <t>PROD</t>
        </is>
      </c>
      <c r="E1958" t="inlineStr">
        <is>
          <t>Produksi Harian</t>
        </is>
      </c>
      <c r="F1958" t="inlineStr"/>
      <c r="G1958" t="inlineStr">
        <is>
          <t>06:05:30</t>
        </is>
      </c>
      <c r="H1958" t="inlineStr">
        <is>
          <t>KELUAR TANPA MASUK</t>
        </is>
      </c>
      <c r="I1958" t="inlineStr">
        <is>
          <t>MK00192</t>
        </is>
      </c>
      <c r="J1958" t="inlineStr"/>
    </row>
    <row r="1959">
      <c r="A1959" t="inlineStr">
        <is>
          <t>18/07/2026</t>
        </is>
      </c>
      <c r="B1959" t="inlineStr">
        <is>
          <t>528000299</t>
        </is>
      </c>
      <c r="C1959" t="inlineStr">
        <is>
          <t>Siti Nurjanah</t>
        </is>
      </c>
      <c r="D1959" t="inlineStr">
        <is>
          <t>PROD</t>
        </is>
      </c>
      <c r="E1959" t="inlineStr">
        <is>
          <t>Produksi Harian</t>
        </is>
      </c>
      <c r="F1959" t="inlineStr"/>
      <c r="G1959" t="inlineStr">
        <is>
          <t>06:03:41</t>
        </is>
      </c>
      <c r="H1959" t="inlineStr">
        <is>
          <t>KELUAR TANPA MASUK</t>
        </is>
      </c>
      <c r="I1959" t="inlineStr">
        <is>
          <t>MK00219</t>
        </is>
      </c>
      <c r="J1959" t="inlineStr"/>
    </row>
    <row r="1960">
      <c r="A1960" t="inlineStr">
        <is>
          <t>18/07/2026</t>
        </is>
      </c>
      <c r="B1960" t="inlineStr">
        <is>
          <t>528000300</t>
        </is>
      </c>
      <c r="C1960" t="inlineStr">
        <is>
          <t>Lia pitaloka</t>
        </is>
      </c>
      <c r="D1960" t="inlineStr">
        <is>
          <t>PROD</t>
        </is>
      </c>
      <c r="E1960" t="inlineStr">
        <is>
          <t>Produksi Harian</t>
        </is>
      </c>
      <c r="F1960" t="inlineStr">
        <is>
          <t>21:42:27</t>
        </is>
      </c>
      <c r="G1960" t="inlineStr"/>
      <c r="H1960" t="inlineStr">
        <is>
          <t>DI DALAM</t>
        </is>
      </c>
      <c r="I1960" t="inlineStr">
        <is>
          <t>MK00185</t>
        </is>
      </c>
      <c r="J1960" t="inlineStr"/>
    </row>
    <row r="1961">
      <c r="A1961" t="inlineStr">
        <is>
          <t>18/07/2026</t>
        </is>
      </c>
      <c r="B1961" t="inlineStr">
        <is>
          <t>528000302</t>
        </is>
      </c>
      <c r="C1961" t="inlineStr">
        <is>
          <t>Henkey gumilar</t>
        </is>
      </c>
      <c r="D1961" t="inlineStr">
        <is>
          <t>PROD</t>
        </is>
      </c>
      <c r="E1961" t="inlineStr">
        <is>
          <t>Produksi Harian</t>
        </is>
      </c>
      <c r="F1961" t="inlineStr"/>
      <c r="G1961" t="inlineStr">
        <is>
          <t>06:07:20</t>
        </is>
      </c>
      <c r="H1961" t="inlineStr">
        <is>
          <t>KELUAR TANPA MASUK</t>
        </is>
      </c>
      <c r="I1961" t="inlineStr">
        <is>
          <t>MK00181</t>
        </is>
      </c>
      <c r="J1961" t="inlineStr"/>
    </row>
    <row r="1962">
      <c r="A1962" t="inlineStr">
        <is>
          <t>18/07/2026</t>
        </is>
      </c>
      <c r="B1962" t="inlineStr">
        <is>
          <t>528000305</t>
        </is>
      </c>
      <c r="C1962" t="inlineStr">
        <is>
          <t>Puji Puspita</t>
        </is>
      </c>
      <c r="D1962" t="inlineStr">
        <is>
          <t>PROD</t>
        </is>
      </c>
      <c r="E1962" t="inlineStr">
        <is>
          <t>Produksi Harian</t>
        </is>
      </c>
      <c r="F1962" t="inlineStr"/>
      <c r="G1962" t="inlineStr">
        <is>
          <t>06:03:18</t>
        </is>
      </c>
      <c r="H1962" t="inlineStr">
        <is>
          <t>KELUAR TANPA MASUK</t>
        </is>
      </c>
      <c r="I1962" t="inlineStr">
        <is>
          <t>MK00109</t>
        </is>
      </c>
      <c r="J1962" t="inlineStr"/>
    </row>
    <row r="1963">
      <c r="A1963" t="inlineStr">
        <is>
          <t>18/07/2026</t>
        </is>
      </c>
      <c r="B1963" t="inlineStr">
        <is>
          <t>528000309</t>
        </is>
      </c>
      <c r="C1963" t="inlineStr">
        <is>
          <t>Ilham Ramadhan</t>
        </is>
      </c>
      <c r="D1963" t="inlineStr">
        <is>
          <t>LOG</t>
        </is>
      </c>
      <c r="E1963" t="inlineStr">
        <is>
          <t>WRM Harian</t>
        </is>
      </c>
      <c r="F1963" t="inlineStr"/>
      <c r="G1963" t="inlineStr">
        <is>
          <t>06:06:04</t>
        </is>
      </c>
      <c r="H1963" t="inlineStr">
        <is>
          <t>KELUAR TANPA MASUK</t>
        </is>
      </c>
      <c r="I1963" t="inlineStr">
        <is>
          <t>MK00218</t>
        </is>
      </c>
      <c r="J1963" t="inlineStr"/>
    </row>
    <row r="1964">
      <c r="A1964" t="inlineStr">
        <is>
          <t>18/07/2026</t>
        </is>
      </c>
      <c r="B1964" t="inlineStr">
        <is>
          <t>528000313</t>
        </is>
      </c>
      <c r="C1964" t="inlineStr">
        <is>
          <t>Muhamad Rifki</t>
        </is>
      </c>
      <c r="D1964" t="inlineStr">
        <is>
          <t>PROD</t>
        </is>
      </c>
      <c r="E1964" t="inlineStr">
        <is>
          <t>Produksi Harian</t>
        </is>
      </c>
      <c r="F1964" t="inlineStr"/>
      <c r="G1964" t="inlineStr">
        <is>
          <t>06:06:52</t>
        </is>
      </c>
      <c r="H1964" t="inlineStr">
        <is>
          <t>KELUAR TANPA MASUK</t>
        </is>
      </c>
      <c r="I1964" t="inlineStr">
        <is>
          <t>MK00160</t>
        </is>
      </c>
      <c r="J1964" t="inlineStr"/>
    </row>
    <row r="1965">
      <c r="A1965" t="inlineStr">
        <is>
          <t>18/07/2026</t>
        </is>
      </c>
      <c r="B1965" t="inlineStr">
        <is>
          <t>528000314</t>
        </is>
      </c>
      <c r="C1965" t="inlineStr">
        <is>
          <t>Rusmana</t>
        </is>
      </c>
      <c r="D1965" t="inlineStr">
        <is>
          <t>PROD</t>
        </is>
      </c>
      <c r="E1965" t="inlineStr">
        <is>
          <t>Produksi Harian</t>
        </is>
      </c>
      <c r="F1965" t="inlineStr">
        <is>
          <t>13:55:37</t>
        </is>
      </c>
      <c r="G1965" t="inlineStr">
        <is>
          <t>13:54:57</t>
        </is>
      </c>
      <c r="H1965" t="inlineStr">
        <is>
          <t>SELESAI</t>
        </is>
      </c>
      <c r="I1965" t="inlineStr">
        <is>
          <t>MK00125</t>
        </is>
      </c>
      <c r="J1965" t="inlineStr"/>
    </row>
    <row r="1966">
      <c r="A1966" t="inlineStr">
        <is>
          <t>18/07/2026</t>
        </is>
      </c>
      <c r="B1966" t="inlineStr">
        <is>
          <t>528000318</t>
        </is>
      </c>
      <c r="C1966" t="inlineStr">
        <is>
          <t>Bayu Padli Sepriyana</t>
        </is>
      </c>
      <c r="D1966" t="inlineStr">
        <is>
          <t>LOG</t>
        </is>
      </c>
      <c r="E1966" t="inlineStr">
        <is>
          <t>WRM Harian</t>
        </is>
      </c>
      <c r="F1966" t="inlineStr"/>
      <c r="G1966" t="inlineStr">
        <is>
          <t>06:02:50</t>
        </is>
      </c>
      <c r="H1966" t="inlineStr">
        <is>
          <t>KELUAR TANPA MASUK</t>
        </is>
      </c>
      <c r="I1966" t="inlineStr">
        <is>
          <t>MK00143</t>
        </is>
      </c>
      <c r="J1966" t="inlineStr"/>
    </row>
    <row r="1967">
      <c r="A1967" t="inlineStr">
        <is>
          <t>18/07/2026</t>
        </is>
      </c>
      <c r="B1967" t="inlineStr">
        <is>
          <t>528000322</t>
        </is>
      </c>
      <c r="C1967" t="inlineStr">
        <is>
          <t>Muhamad Aliludin</t>
        </is>
      </c>
      <c r="D1967" t="inlineStr">
        <is>
          <t>PROD</t>
        </is>
      </c>
      <c r="E1967" t="inlineStr">
        <is>
          <t>Produksi Harian</t>
        </is>
      </c>
      <c r="F1967" t="inlineStr"/>
      <c r="G1967" t="inlineStr">
        <is>
          <t>06:04:21</t>
        </is>
      </c>
      <c r="H1967" t="inlineStr">
        <is>
          <t>KELUAR TANPA MASUK</t>
        </is>
      </c>
      <c r="I1967" t="inlineStr">
        <is>
          <t>MK00116</t>
        </is>
      </c>
      <c r="J1967" t="inlineStr"/>
    </row>
    <row r="1968">
      <c r="A1968" t="inlineStr">
        <is>
          <t>18/07/2026</t>
        </is>
      </c>
      <c r="B1968" t="inlineStr">
        <is>
          <t>528000323</t>
        </is>
      </c>
      <c r="C1968" t="inlineStr">
        <is>
          <t>Dian Hamidah</t>
        </is>
      </c>
      <c r="D1968" t="inlineStr">
        <is>
          <t>PROD</t>
        </is>
      </c>
      <c r="E1968" t="inlineStr">
        <is>
          <t>Produksi Harian</t>
        </is>
      </c>
      <c r="F1968" t="inlineStr">
        <is>
          <t>21:42:48</t>
        </is>
      </c>
      <c r="G1968" t="inlineStr"/>
      <c r="H1968" t="inlineStr">
        <is>
          <t>DI DALAM</t>
        </is>
      </c>
      <c r="I1968" t="inlineStr">
        <is>
          <t>MK00108</t>
        </is>
      </c>
      <c r="J1968" t="inlineStr"/>
    </row>
    <row r="1969">
      <c r="A1969" t="inlineStr">
        <is>
          <t>18/07/2026</t>
        </is>
      </c>
      <c r="B1969" t="inlineStr">
        <is>
          <t>528000334</t>
        </is>
      </c>
      <c r="C1969" t="inlineStr">
        <is>
          <t>Naufal Yudhistira</t>
        </is>
      </c>
      <c r="D1969" t="inlineStr">
        <is>
          <t>PROD</t>
        </is>
      </c>
      <c r="E1969" t="inlineStr">
        <is>
          <t>Produksi Harian</t>
        </is>
      </c>
      <c r="F1969" t="inlineStr">
        <is>
          <t>21:50:53</t>
        </is>
      </c>
      <c r="G1969" t="inlineStr"/>
      <c r="H1969" t="inlineStr">
        <is>
          <t>DI DALAM</t>
        </is>
      </c>
      <c r="I1969" t="inlineStr">
        <is>
          <t>MK00212</t>
        </is>
      </c>
      <c r="J1969" t="inlineStr"/>
    </row>
    <row r="1970">
      <c r="A1970" t="inlineStr">
        <is>
          <t>18/07/2026</t>
        </is>
      </c>
      <c r="B1970" t="inlineStr">
        <is>
          <t>528000336</t>
        </is>
      </c>
      <c r="C1970" t="inlineStr">
        <is>
          <t>Ali Nurhanafi</t>
        </is>
      </c>
      <c r="D1970" t="inlineStr">
        <is>
          <t>PROD</t>
        </is>
      </c>
      <c r="E1970" t="inlineStr">
        <is>
          <t>Produksi Harian</t>
        </is>
      </c>
      <c r="F1970" t="inlineStr">
        <is>
          <t>13:10:35</t>
        </is>
      </c>
      <c r="G1970" t="inlineStr">
        <is>
          <t>22:07:10</t>
        </is>
      </c>
      <c r="H1970" t="inlineStr">
        <is>
          <t>SELESAI</t>
        </is>
      </c>
      <c r="I1970" t="inlineStr">
        <is>
          <t>MK00208</t>
        </is>
      </c>
      <c r="J1970" t="inlineStr"/>
    </row>
    <row r="1971">
      <c r="A1971" t="inlineStr">
        <is>
          <t>18/07/2026</t>
        </is>
      </c>
      <c r="B1971" t="inlineStr">
        <is>
          <t>528000337</t>
        </is>
      </c>
      <c r="C1971" t="inlineStr">
        <is>
          <t>Ahmad Zaldi Firdaus</t>
        </is>
      </c>
      <c r="D1971" t="inlineStr">
        <is>
          <t>PROD</t>
        </is>
      </c>
      <c r="E1971" t="inlineStr">
        <is>
          <t>Produksi Harian</t>
        </is>
      </c>
      <c r="F1971" t="inlineStr">
        <is>
          <t>12:57:12</t>
        </is>
      </c>
      <c r="G1971" t="inlineStr">
        <is>
          <t>22:07:58</t>
        </is>
      </c>
      <c r="H1971" t="inlineStr">
        <is>
          <t>SELESAI</t>
        </is>
      </c>
      <c r="I1971" t="inlineStr">
        <is>
          <t>MK00202</t>
        </is>
      </c>
      <c r="J1971" t="inlineStr"/>
    </row>
    <row r="1972">
      <c r="A1972" t="inlineStr">
        <is>
          <t>18/07/2026</t>
        </is>
      </c>
      <c r="B1972" t="inlineStr">
        <is>
          <t>528000339</t>
        </is>
      </c>
      <c r="C1972" t="inlineStr">
        <is>
          <t>Muhamad Ripai'i</t>
        </is>
      </c>
      <c r="D1972" t="inlineStr">
        <is>
          <t>HRGA</t>
        </is>
      </c>
      <c r="E1972" t="inlineStr">
        <is>
          <t>GA Harian</t>
        </is>
      </c>
      <c r="F1972" t="inlineStr">
        <is>
          <t>05:31:16</t>
        </is>
      </c>
      <c r="G1972" t="inlineStr">
        <is>
          <t>14:07:56</t>
        </is>
      </c>
      <c r="H1972" t="inlineStr">
        <is>
          <t>SELESAI</t>
        </is>
      </c>
      <c r="I1972" t="inlineStr">
        <is>
          <t>MK00217</t>
        </is>
      </c>
      <c r="J1972" t="inlineStr"/>
    </row>
    <row r="1973">
      <c r="A1973" t="inlineStr">
        <is>
          <t>18/07/2026</t>
        </is>
      </c>
      <c r="B1973" t="inlineStr">
        <is>
          <t>528000358</t>
        </is>
      </c>
      <c r="C1973" t="inlineStr">
        <is>
          <t>Lulu Agustin</t>
        </is>
      </c>
      <c r="D1973" t="inlineStr">
        <is>
          <t>PROD</t>
        </is>
      </c>
      <c r="E1973" t="inlineStr">
        <is>
          <t>Produksi Harian</t>
        </is>
      </c>
      <c r="F1973" t="inlineStr">
        <is>
          <t>13:40:36</t>
        </is>
      </c>
      <c r="G1973" t="inlineStr">
        <is>
          <t>22:02:52</t>
        </is>
      </c>
      <c r="H1973" t="inlineStr">
        <is>
          <t>SELESAI</t>
        </is>
      </c>
      <c r="I1973" t="inlineStr">
        <is>
          <t>MK00204</t>
        </is>
      </c>
      <c r="J1973" t="inlineStr"/>
    </row>
    <row r="1974">
      <c r="A1974" t="inlineStr">
        <is>
          <t>18/07/2026</t>
        </is>
      </c>
      <c r="B1974" t="inlineStr">
        <is>
          <t>528000360</t>
        </is>
      </c>
      <c r="C1974" t="inlineStr">
        <is>
          <t>Hendra Permana</t>
        </is>
      </c>
      <c r="D1974" t="inlineStr">
        <is>
          <t>ENG</t>
        </is>
      </c>
      <c r="E1974" t="inlineStr">
        <is>
          <t>Engineering Harian</t>
        </is>
      </c>
      <c r="F1974" t="inlineStr">
        <is>
          <t>14:11:26</t>
        </is>
      </c>
      <c r="G1974" t="inlineStr">
        <is>
          <t>22:02:33</t>
        </is>
      </c>
      <c r="H1974" t="inlineStr">
        <is>
          <t>SELESAI</t>
        </is>
      </c>
      <c r="I1974" t="inlineStr">
        <is>
          <t>MK00213</t>
        </is>
      </c>
      <c r="J1974" t="inlineStr"/>
    </row>
    <row r="1975">
      <c r="A1975" t="inlineStr">
        <is>
          <t>18/07/2026</t>
        </is>
      </c>
      <c r="B1975" t="inlineStr">
        <is>
          <t>528000361</t>
        </is>
      </c>
      <c r="C1975" t="inlineStr">
        <is>
          <t>Denada Munggarani</t>
        </is>
      </c>
      <c r="D1975" t="inlineStr">
        <is>
          <t>PROD</t>
        </is>
      </c>
      <c r="E1975" t="inlineStr">
        <is>
          <t>Produksi Harian</t>
        </is>
      </c>
      <c r="F1975" t="inlineStr"/>
      <c r="G1975" t="inlineStr">
        <is>
          <t>06:39:35</t>
        </is>
      </c>
      <c r="H1975" t="inlineStr">
        <is>
          <t>KELUAR TANPA MASUK</t>
        </is>
      </c>
      <c r="I1975" t="inlineStr">
        <is>
          <t>MK00121</t>
        </is>
      </c>
      <c r="J1975" t="inlineStr"/>
    </row>
    <row r="1976">
      <c r="A1976" t="inlineStr">
        <is>
          <t>18/07/2026</t>
        </is>
      </c>
      <c r="B1976" t="inlineStr">
        <is>
          <t>628000064</t>
        </is>
      </c>
      <c r="C1976" t="inlineStr">
        <is>
          <t>Silva Alypia</t>
        </is>
      </c>
      <c r="D1976" t="inlineStr">
        <is>
          <t>PROD</t>
        </is>
      </c>
      <c r="E1976" t="inlineStr">
        <is>
          <t>Produksi Borongan</t>
        </is>
      </c>
      <c r="F1976" t="inlineStr">
        <is>
          <t>21:52:45</t>
        </is>
      </c>
      <c r="G1976" t="inlineStr"/>
      <c r="H1976" t="inlineStr">
        <is>
          <t>DI DALAM</t>
        </is>
      </c>
      <c r="I1976" t="inlineStr">
        <is>
          <t>MK00113</t>
        </is>
      </c>
      <c r="J1976" t="inlineStr"/>
    </row>
    <row r="1977">
      <c r="A1977" t="inlineStr">
        <is>
          <t>19/07/2026</t>
        </is>
      </c>
      <c r="B1977" t="inlineStr">
        <is>
          <t>528000040</t>
        </is>
      </c>
      <c r="C1977" t="inlineStr">
        <is>
          <t>Agus Suryaman</t>
        </is>
      </c>
      <c r="D1977" t="inlineStr">
        <is>
          <t>PROD</t>
        </is>
      </c>
      <c r="E1977" t="inlineStr">
        <is>
          <t>Produksi Harian</t>
        </is>
      </c>
      <c r="F1977" t="inlineStr">
        <is>
          <t>09:00:47</t>
        </is>
      </c>
      <c r="G1977" t="inlineStr">
        <is>
          <t>00:03:27</t>
        </is>
      </c>
      <c r="H1977" t="inlineStr">
        <is>
          <t>SELESAI</t>
        </is>
      </c>
      <c r="I1977" t="inlineStr">
        <is>
          <t>MK00235</t>
        </is>
      </c>
      <c r="J1977" t="inlineStr"/>
    </row>
    <row r="1978">
      <c r="A1978" t="inlineStr">
        <is>
          <t>19/07/2026</t>
        </is>
      </c>
      <c r="B1978" t="inlineStr">
        <is>
          <t>528000052</t>
        </is>
      </c>
      <c r="C1978" t="inlineStr">
        <is>
          <t>Mustopa</t>
        </is>
      </c>
      <c r="D1978" t="inlineStr">
        <is>
          <t>PROD</t>
        </is>
      </c>
      <c r="E1978" t="inlineStr">
        <is>
          <t>Produksi Harian</t>
        </is>
      </c>
      <c r="F1978" t="inlineStr">
        <is>
          <t>13:25:27</t>
        </is>
      </c>
      <c r="G1978" t="inlineStr">
        <is>
          <t>22:05:34</t>
        </is>
      </c>
      <c r="H1978" t="inlineStr">
        <is>
          <t>SELESAI</t>
        </is>
      </c>
      <c r="I1978" t="inlineStr">
        <is>
          <t>MK00218</t>
        </is>
      </c>
      <c r="J1978" t="inlineStr"/>
    </row>
    <row r="1979">
      <c r="A1979" t="inlineStr">
        <is>
          <t>19/07/2026</t>
        </is>
      </c>
      <c r="B1979" t="inlineStr">
        <is>
          <t>528000090</t>
        </is>
      </c>
      <c r="C1979" t="inlineStr">
        <is>
          <t>Suganda</t>
        </is>
      </c>
      <c r="D1979" t="inlineStr">
        <is>
          <t>PROD</t>
        </is>
      </c>
      <c r="E1979" t="inlineStr">
        <is>
          <t>Produksi Harian</t>
        </is>
      </c>
      <c r="F1979" t="inlineStr"/>
      <c r="G1979" t="inlineStr">
        <is>
          <t>06:00:21</t>
        </is>
      </c>
      <c r="H1979" t="inlineStr">
        <is>
          <t>KELUAR TANPA MASUK</t>
        </is>
      </c>
      <c r="I1979" t="inlineStr">
        <is>
          <t>MK00249</t>
        </is>
      </c>
      <c r="J1979" t="inlineStr"/>
    </row>
    <row r="1980">
      <c r="A1980" t="inlineStr">
        <is>
          <t>19/07/2026</t>
        </is>
      </c>
      <c r="B1980" t="inlineStr">
        <is>
          <t>528000099</t>
        </is>
      </c>
      <c r="C1980" t="inlineStr">
        <is>
          <t>Siti Nurawaliah</t>
        </is>
      </c>
      <c r="D1980" t="inlineStr">
        <is>
          <t>PROD</t>
        </is>
      </c>
      <c r="E1980" t="inlineStr">
        <is>
          <t>Produksi Harian</t>
        </is>
      </c>
      <c r="F1980" t="inlineStr">
        <is>
          <t>05:46:09</t>
        </is>
      </c>
      <c r="G1980" t="inlineStr">
        <is>
          <t>14:05:35</t>
        </is>
      </c>
      <c r="H1980" t="inlineStr">
        <is>
          <t>SELESAI</t>
        </is>
      </c>
      <c r="I1980" t="inlineStr">
        <is>
          <t>MK00202</t>
        </is>
      </c>
      <c r="J1980" t="inlineStr"/>
    </row>
    <row r="1981">
      <c r="A1981" t="inlineStr">
        <is>
          <t>19/07/2026</t>
        </is>
      </c>
      <c r="B1981" t="inlineStr">
        <is>
          <t>528000144</t>
        </is>
      </c>
      <c r="C1981" t="inlineStr">
        <is>
          <t>Jodi Hanafi</t>
        </is>
      </c>
      <c r="D1981" t="inlineStr">
        <is>
          <t>LOG</t>
        </is>
      </c>
      <c r="E1981" t="inlineStr">
        <is>
          <t>WRM Harian</t>
        </is>
      </c>
      <c r="F1981" t="inlineStr">
        <is>
          <t>16:00:41</t>
        </is>
      </c>
      <c r="G1981" t="inlineStr">
        <is>
          <t>00:15:13</t>
        </is>
      </c>
      <c r="H1981" t="inlineStr">
        <is>
          <t>SELESAI</t>
        </is>
      </c>
      <c r="I1981" t="inlineStr">
        <is>
          <t>MK00221</t>
        </is>
      </c>
      <c r="J1981" t="inlineStr"/>
    </row>
    <row r="1982">
      <c r="A1982" t="inlineStr">
        <is>
          <t>19/07/2026</t>
        </is>
      </c>
      <c r="B1982" t="inlineStr">
        <is>
          <t>528000149</t>
        </is>
      </c>
      <c r="C1982" t="inlineStr">
        <is>
          <t>Tio Fernanda</t>
        </is>
      </c>
      <c r="D1982" t="inlineStr">
        <is>
          <t>LOG</t>
        </is>
      </c>
      <c r="E1982" t="inlineStr">
        <is>
          <t>WRM Harian</t>
        </is>
      </c>
      <c r="F1982" t="inlineStr">
        <is>
          <t>09:08:17</t>
        </is>
      </c>
      <c r="G1982" t="inlineStr">
        <is>
          <t>09:08:01</t>
        </is>
      </c>
      <c r="H1982" t="inlineStr">
        <is>
          <t>SELESAI</t>
        </is>
      </c>
      <c r="I1982" t="inlineStr">
        <is>
          <t>MK0130</t>
        </is>
      </c>
      <c r="J1982" t="inlineStr"/>
    </row>
    <row r="1983">
      <c r="A1983" t="inlineStr">
        <is>
          <t>19/07/2026</t>
        </is>
      </c>
      <c r="B1983" t="inlineStr">
        <is>
          <t>528000195</t>
        </is>
      </c>
      <c r="C1983" t="inlineStr">
        <is>
          <t>Rahma Sariwati</t>
        </is>
      </c>
      <c r="D1983" t="inlineStr">
        <is>
          <t>PROD</t>
        </is>
      </c>
      <c r="E1983" t="inlineStr">
        <is>
          <t>Produksi Harian</t>
        </is>
      </c>
      <c r="F1983" t="inlineStr">
        <is>
          <t>13:43:54</t>
        </is>
      </c>
      <c r="G1983" t="inlineStr">
        <is>
          <t>22:06:04</t>
        </is>
      </c>
      <c r="H1983" t="inlineStr">
        <is>
          <t>SELESAI</t>
        </is>
      </c>
      <c r="I1983" t="inlineStr">
        <is>
          <t>MK00116</t>
        </is>
      </c>
      <c r="J1983" t="inlineStr"/>
    </row>
    <row r="1984">
      <c r="A1984" t="inlineStr">
        <is>
          <t>19/07/2026</t>
        </is>
      </c>
      <c r="B1984" t="inlineStr">
        <is>
          <t>528000201</t>
        </is>
      </c>
      <c r="C1984" t="inlineStr">
        <is>
          <t>Zahwa Amelia Choerunissa</t>
        </is>
      </c>
      <c r="D1984" t="inlineStr">
        <is>
          <t>PROD</t>
        </is>
      </c>
      <c r="E1984" t="inlineStr">
        <is>
          <t>Produksi Harian</t>
        </is>
      </c>
      <c r="F1984" t="inlineStr">
        <is>
          <t>05:45:26</t>
        </is>
      </c>
      <c r="G1984" t="inlineStr">
        <is>
          <t>14:04:59</t>
        </is>
      </c>
      <c r="H1984" t="inlineStr">
        <is>
          <t>SELESAI</t>
        </is>
      </c>
      <c r="I1984" t="inlineStr">
        <is>
          <t>MK00203</t>
        </is>
      </c>
      <c r="J1984" t="inlineStr"/>
    </row>
    <row r="1985">
      <c r="A1985" t="inlineStr">
        <is>
          <t>19/07/2026</t>
        </is>
      </c>
      <c r="B1985" t="inlineStr">
        <is>
          <t>528000232</t>
        </is>
      </c>
      <c r="C1985" t="inlineStr">
        <is>
          <t>Agung Aji Suhada</t>
        </is>
      </c>
      <c r="D1985" t="inlineStr">
        <is>
          <t>LOG</t>
        </is>
      </c>
      <c r="E1985" t="inlineStr">
        <is>
          <t>WRM Harian</t>
        </is>
      </c>
      <c r="F1985" t="inlineStr">
        <is>
          <t>15:44:17</t>
        </is>
      </c>
      <c r="G1985" t="inlineStr">
        <is>
          <t>00:03:58</t>
        </is>
      </c>
      <c r="H1985" t="inlineStr">
        <is>
          <t>SELESAI</t>
        </is>
      </c>
      <c r="I1985" t="inlineStr">
        <is>
          <t>MK00210</t>
        </is>
      </c>
      <c r="J1985" t="inlineStr"/>
    </row>
    <row r="1986">
      <c r="A1986" t="inlineStr">
        <is>
          <t>19/07/2026</t>
        </is>
      </c>
      <c r="B1986" t="inlineStr">
        <is>
          <t>528000241</t>
        </is>
      </c>
      <c r="C1986" t="inlineStr">
        <is>
          <t>Balia Nurafif Bilah</t>
        </is>
      </c>
      <c r="D1986" t="inlineStr">
        <is>
          <t>PROD</t>
        </is>
      </c>
      <c r="E1986" t="inlineStr">
        <is>
          <t>Produksi Harian</t>
        </is>
      </c>
      <c r="F1986" t="inlineStr">
        <is>
          <t>05:54:10</t>
        </is>
      </c>
      <c r="G1986" t="inlineStr">
        <is>
          <t>14:05:15</t>
        </is>
      </c>
      <c r="H1986" t="inlineStr">
        <is>
          <t>SELESAI</t>
        </is>
      </c>
      <c r="I1986" t="inlineStr">
        <is>
          <t>MK00204</t>
        </is>
      </c>
      <c r="J1986" t="inlineStr"/>
    </row>
    <row r="1987">
      <c r="A1987" t="inlineStr">
        <is>
          <t>19/07/2026</t>
        </is>
      </c>
      <c r="B1987" t="inlineStr">
        <is>
          <t>528000244</t>
        </is>
      </c>
      <c r="C1987" t="inlineStr">
        <is>
          <t>Rodian Rifai</t>
        </is>
      </c>
      <c r="D1987" t="inlineStr">
        <is>
          <t>PROD</t>
        </is>
      </c>
      <c r="E1987" t="inlineStr">
        <is>
          <t>Produksi Harian</t>
        </is>
      </c>
      <c r="F1987" t="inlineStr"/>
      <c r="G1987" t="inlineStr">
        <is>
          <t>05:52:12</t>
        </is>
      </c>
      <c r="H1987" t="inlineStr">
        <is>
          <t>KELUAR TANPA MASUK</t>
        </is>
      </c>
      <c r="I1987" t="inlineStr">
        <is>
          <t>52800088</t>
        </is>
      </c>
      <c r="J1987" t="inlineStr"/>
    </row>
    <row r="1988">
      <c r="A1988" t="inlineStr">
        <is>
          <t>19/07/2026</t>
        </is>
      </c>
      <c r="B1988" t="inlineStr">
        <is>
          <t>528000248</t>
        </is>
      </c>
      <c r="C1988" t="inlineStr">
        <is>
          <t>Roka Jaya Salka Mulya</t>
        </is>
      </c>
      <c r="D1988" t="inlineStr">
        <is>
          <t>PROD</t>
        </is>
      </c>
      <c r="E1988" t="inlineStr">
        <is>
          <t>Produksi Harian</t>
        </is>
      </c>
      <c r="F1988" t="inlineStr">
        <is>
          <t>21:49:02</t>
        </is>
      </c>
      <c r="G1988" t="inlineStr">
        <is>
          <t>06:01:49</t>
        </is>
      </c>
      <c r="H1988" t="inlineStr">
        <is>
          <t>SELESAI</t>
        </is>
      </c>
      <c r="I1988" t="inlineStr">
        <is>
          <t>MK00121</t>
        </is>
      </c>
      <c r="J1988" t="inlineStr"/>
    </row>
    <row r="1989">
      <c r="A1989" t="inlineStr">
        <is>
          <t>19/07/2026</t>
        </is>
      </c>
      <c r="B1989" t="inlineStr">
        <is>
          <t>528000262</t>
        </is>
      </c>
      <c r="C1989" t="inlineStr">
        <is>
          <t>Ndari Dwiwanti</t>
        </is>
      </c>
      <c r="D1989" t="inlineStr">
        <is>
          <t>PROD</t>
        </is>
      </c>
      <c r="E1989" t="inlineStr">
        <is>
          <t>Produksi Harian</t>
        </is>
      </c>
      <c r="F1989" t="inlineStr">
        <is>
          <t>13:35:56</t>
        </is>
      </c>
      <c r="G1989" t="inlineStr">
        <is>
          <t>22:04:05</t>
        </is>
      </c>
      <c r="H1989" t="inlineStr">
        <is>
          <t>SELESAI</t>
        </is>
      </c>
      <c r="I1989" t="inlineStr">
        <is>
          <t>MK00220</t>
        </is>
      </c>
      <c r="J1989" t="inlineStr"/>
    </row>
    <row r="1990">
      <c r="A1990" t="inlineStr">
        <is>
          <t>19/07/2026</t>
        </is>
      </c>
      <c r="B1990" t="inlineStr">
        <is>
          <t>528000265</t>
        </is>
      </c>
      <c r="C1990" t="inlineStr">
        <is>
          <t>Muhammad Haerul Rozikin</t>
        </is>
      </c>
      <c r="D1990" t="inlineStr">
        <is>
          <t>LOG</t>
        </is>
      </c>
      <c r="E1990" t="inlineStr">
        <is>
          <t>WRM Harian</t>
        </is>
      </c>
      <c r="F1990" t="inlineStr">
        <is>
          <t>05:57:06</t>
        </is>
      </c>
      <c r="G1990" t="inlineStr">
        <is>
          <t>14:05:39</t>
        </is>
      </c>
      <c r="H1990" t="inlineStr">
        <is>
          <t>SELESAI</t>
        </is>
      </c>
      <c r="I1990" t="inlineStr">
        <is>
          <t>MK00213</t>
        </is>
      </c>
      <c r="J1990" t="inlineStr"/>
    </row>
    <row r="1991">
      <c r="A1991" t="inlineStr">
        <is>
          <t>19/07/2026</t>
        </is>
      </c>
      <c r="B1991" t="inlineStr">
        <is>
          <t>528000266</t>
        </is>
      </c>
      <c r="C1991" t="inlineStr">
        <is>
          <t>M. Syirajatieq</t>
        </is>
      </c>
      <c r="D1991" t="inlineStr">
        <is>
          <t>LOG</t>
        </is>
      </c>
      <c r="E1991" t="inlineStr">
        <is>
          <t>WFG Harian</t>
        </is>
      </c>
      <c r="F1991" t="inlineStr">
        <is>
          <t>13:44:17</t>
        </is>
      </c>
      <c r="G1991" t="inlineStr">
        <is>
          <t>22:43:45</t>
        </is>
      </c>
      <c r="H1991" t="inlineStr">
        <is>
          <t>SELESAI</t>
        </is>
      </c>
      <c r="I1991" t="inlineStr">
        <is>
          <t>MK00150</t>
        </is>
      </c>
      <c r="J1991" t="inlineStr"/>
    </row>
    <row r="1992">
      <c r="A1992" t="inlineStr">
        <is>
          <t>19/07/2026</t>
        </is>
      </c>
      <c r="B1992" t="inlineStr">
        <is>
          <t>528000273</t>
        </is>
      </c>
      <c r="C1992" t="inlineStr">
        <is>
          <t>Asep Mulyana</t>
        </is>
      </c>
      <c r="D1992" t="inlineStr">
        <is>
          <t>PROD</t>
        </is>
      </c>
      <c r="E1992" t="inlineStr">
        <is>
          <t>Produksi Harian</t>
        </is>
      </c>
      <c r="F1992" t="inlineStr">
        <is>
          <t>05:58:08</t>
        </is>
      </c>
      <c r="G1992" t="inlineStr">
        <is>
          <t>14:02:26</t>
        </is>
      </c>
      <c r="H1992" t="inlineStr">
        <is>
          <t>SELESAI</t>
        </is>
      </c>
      <c r="I1992" t="inlineStr">
        <is>
          <t>338</t>
        </is>
      </c>
      <c r="J1992" t="inlineStr"/>
    </row>
    <row r="1993">
      <c r="A1993" t="inlineStr">
        <is>
          <t>19/07/2026</t>
        </is>
      </c>
      <c r="B1993" t="inlineStr">
        <is>
          <t>528000274</t>
        </is>
      </c>
      <c r="C1993" t="inlineStr">
        <is>
          <t>Zepri</t>
        </is>
      </c>
      <c r="D1993" t="inlineStr">
        <is>
          <t>PROD</t>
        </is>
      </c>
      <c r="E1993" t="inlineStr">
        <is>
          <t>Produksi Harian</t>
        </is>
      </c>
      <c r="F1993" t="inlineStr">
        <is>
          <t>05:56:26</t>
        </is>
      </c>
      <c r="G1993" t="inlineStr">
        <is>
          <t>14:05:10</t>
        </is>
      </c>
      <c r="H1993" t="inlineStr">
        <is>
          <t>SELESAI</t>
        </is>
      </c>
      <c r="I1993" t="inlineStr">
        <is>
          <t>MK00093</t>
        </is>
      </c>
      <c r="J1993" t="inlineStr"/>
    </row>
    <row r="1994">
      <c r="A1994" t="inlineStr">
        <is>
          <t>19/07/2026</t>
        </is>
      </c>
      <c r="B1994" t="inlineStr">
        <is>
          <t>528000279</t>
        </is>
      </c>
      <c r="C1994" t="inlineStr">
        <is>
          <t>Mahdalena Dalfa Riani</t>
        </is>
      </c>
      <c r="D1994" t="inlineStr">
        <is>
          <t>PROD</t>
        </is>
      </c>
      <c r="E1994" t="inlineStr">
        <is>
          <t>Produksi Harian</t>
        </is>
      </c>
      <c r="F1994" t="inlineStr">
        <is>
          <t>21:49:55</t>
        </is>
      </c>
      <c r="G1994" t="inlineStr">
        <is>
          <t>06:04:29</t>
        </is>
      </c>
      <c r="H1994" t="inlineStr">
        <is>
          <t>SELESAI</t>
        </is>
      </c>
      <c r="I1994" t="inlineStr">
        <is>
          <t>MK00141</t>
        </is>
      </c>
      <c r="J1994" t="inlineStr"/>
    </row>
    <row r="1995">
      <c r="A1995" t="inlineStr">
        <is>
          <t>19/07/2026</t>
        </is>
      </c>
      <c r="B1995" t="inlineStr">
        <is>
          <t>528000283</t>
        </is>
      </c>
      <c r="C1995" t="inlineStr">
        <is>
          <t>Purwanda Sugiri</t>
        </is>
      </c>
      <c r="D1995" t="inlineStr">
        <is>
          <t>LOG</t>
        </is>
      </c>
      <c r="E1995" t="inlineStr">
        <is>
          <t>WRM Harian</t>
        </is>
      </c>
      <c r="F1995" t="inlineStr">
        <is>
          <t>13:45:52</t>
        </is>
      </c>
      <c r="G1995" t="inlineStr">
        <is>
          <t>13:44:59</t>
        </is>
      </c>
      <c r="H1995" t="inlineStr">
        <is>
          <t>SELESAI</t>
        </is>
      </c>
      <c r="I1995" t="inlineStr">
        <is>
          <t>MK00143</t>
        </is>
      </c>
      <c r="J1995" t="inlineStr"/>
    </row>
    <row r="1996">
      <c r="A1996" t="inlineStr">
        <is>
          <t>19/07/2026</t>
        </is>
      </c>
      <c r="B1996" t="inlineStr">
        <is>
          <t>528000286</t>
        </is>
      </c>
      <c r="C1996" t="inlineStr">
        <is>
          <t>Imelda Amelia</t>
        </is>
      </c>
      <c r="D1996" t="inlineStr">
        <is>
          <t>PROD</t>
        </is>
      </c>
      <c r="E1996" t="inlineStr">
        <is>
          <t>Produksi Harian</t>
        </is>
      </c>
      <c r="F1996" t="inlineStr">
        <is>
          <t>05:49:45</t>
        </is>
      </c>
      <c r="G1996" t="inlineStr">
        <is>
          <t>14:08:31</t>
        </is>
      </c>
      <c r="H1996" t="inlineStr">
        <is>
          <t>SELESAI</t>
        </is>
      </c>
      <c r="I1996" t="inlineStr">
        <is>
          <t>MK00208</t>
        </is>
      </c>
      <c r="J1996" t="inlineStr"/>
    </row>
    <row r="1997">
      <c r="A1997" t="inlineStr">
        <is>
          <t>19/07/2026</t>
        </is>
      </c>
      <c r="B1997" t="inlineStr">
        <is>
          <t>528000288</t>
        </is>
      </c>
      <c r="C1997" t="inlineStr">
        <is>
          <t>Dede gunawan</t>
        </is>
      </c>
      <c r="D1997" t="inlineStr">
        <is>
          <t>PROD</t>
        </is>
      </c>
      <c r="E1997" t="inlineStr">
        <is>
          <t>Produksi Harian</t>
        </is>
      </c>
      <c r="F1997" t="inlineStr">
        <is>
          <t>21:54:22</t>
        </is>
      </c>
      <c r="G1997" t="inlineStr">
        <is>
          <t>21:41:30</t>
        </is>
      </c>
      <c r="H1997" t="inlineStr">
        <is>
          <t>SELESAI</t>
        </is>
      </c>
      <c r="I1997" t="inlineStr">
        <is>
          <t>MK0050</t>
        </is>
      </c>
      <c r="J1997" t="inlineStr"/>
    </row>
    <row r="1998">
      <c r="A1998" t="inlineStr">
        <is>
          <t>19/07/2026</t>
        </is>
      </c>
      <c r="B1998" t="inlineStr">
        <is>
          <t>528000289</t>
        </is>
      </c>
      <c r="C1998" t="inlineStr">
        <is>
          <t>Adit Supriyadi</t>
        </is>
      </c>
      <c r="D1998" t="inlineStr">
        <is>
          <t>PROD</t>
        </is>
      </c>
      <c r="E1998" t="inlineStr">
        <is>
          <t>Produksi Harian</t>
        </is>
      </c>
      <c r="F1998" t="inlineStr">
        <is>
          <t>05:54:15</t>
        </is>
      </c>
      <c r="G1998" t="inlineStr">
        <is>
          <t>14:03:19</t>
        </is>
      </c>
      <c r="H1998" t="inlineStr">
        <is>
          <t>SELESAI</t>
        </is>
      </c>
      <c r="I1998" t="inlineStr">
        <is>
          <t>MK00138</t>
        </is>
      </c>
      <c r="J1998" t="inlineStr"/>
    </row>
    <row r="1999">
      <c r="A1999" t="inlineStr">
        <is>
          <t>19/07/2026</t>
        </is>
      </c>
      <c r="B1999" t="inlineStr">
        <is>
          <t>528000290</t>
        </is>
      </c>
      <c r="C1999" t="inlineStr">
        <is>
          <t>Eval Pranata</t>
        </is>
      </c>
      <c r="D1999" t="inlineStr">
        <is>
          <t>PROD</t>
        </is>
      </c>
      <c r="E1999" t="inlineStr">
        <is>
          <t>Produksi Harian</t>
        </is>
      </c>
      <c r="F1999" t="inlineStr">
        <is>
          <t>05:53:36</t>
        </is>
      </c>
      <c r="G1999" t="inlineStr">
        <is>
          <t>14:06:29</t>
        </is>
      </c>
      <c r="H1999" t="inlineStr">
        <is>
          <t>SELESAI</t>
        </is>
      </c>
      <c r="I1999" t="inlineStr">
        <is>
          <t>MK00134</t>
        </is>
      </c>
      <c r="J1999" t="inlineStr"/>
    </row>
    <row r="2000">
      <c r="A2000" t="inlineStr">
        <is>
          <t>19/07/2026</t>
        </is>
      </c>
      <c r="B2000" t="inlineStr">
        <is>
          <t>528000291</t>
        </is>
      </c>
      <c r="C2000" t="inlineStr">
        <is>
          <t>Andrian</t>
        </is>
      </c>
      <c r="D2000" t="inlineStr">
        <is>
          <t>PROD</t>
        </is>
      </c>
      <c r="E2000" t="inlineStr">
        <is>
          <t>Produksi Harian</t>
        </is>
      </c>
      <c r="F2000" t="inlineStr">
        <is>
          <t>13:45:31</t>
        </is>
      </c>
      <c r="G2000" t="inlineStr">
        <is>
          <t>22:05:30</t>
        </is>
      </c>
      <c r="H2000" t="inlineStr">
        <is>
          <t>SELESAI</t>
        </is>
      </c>
      <c r="I2000" t="inlineStr">
        <is>
          <t>MK00095</t>
        </is>
      </c>
      <c r="J2000" t="inlineStr"/>
    </row>
    <row r="2001">
      <c r="A2001" t="inlineStr">
        <is>
          <t>19/07/2026</t>
        </is>
      </c>
      <c r="B2001" t="inlineStr">
        <is>
          <t>528000297</t>
        </is>
      </c>
      <c r="C2001" t="inlineStr">
        <is>
          <t>Muhamad Budiana</t>
        </is>
      </c>
      <c r="D2001" t="inlineStr">
        <is>
          <t>PROD</t>
        </is>
      </c>
      <c r="E2001" t="inlineStr">
        <is>
          <t>Produksi Harian</t>
        </is>
      </c>
      <c r="F2001" t="inlineStr">
        <is>
          <t>21:41:53</t>
        </is>
      </c>
      <c r="G2001" t="inlineStr">
        <is>
          <t>06:34:13</t>
        </is>
      </c>
      <c r="H2001" t="inlineStr">
        <is>
          <t>SELESAI</t>
        </is>
      </c>
      <c r="I2001" t="inlineStr">
        <is>
          <t>MK00082</t>
        </is>
      </c>
      <c r="J2001" t="inlineStr"/>
    </row>
    <row r="2002">
      <c r="A2002" t="inlineStr">
        <is>
          <t>19/07/2026</t>
        </is>
      </c>
      <c r="B2002" t="inlineStr">
        <is>
          <t>528000300</t>
        </is>
      </c>
      <c r="C2002" t="inlineStr">
        <is>
          <t>Lia pitaloka</t>
        </is>
      </c>
      <c r="D2002" t="inlineStr">
        <is>
          <t>PROD</t>
        </is>
      </c>
      <c r="E2002" t="inlineStr">
        <is>
          <t>Produksi Harian</t>
        </is>
      </c>
      <c r="F2002" t="inlineStr">
        <is>
          <t>21:43:56</t>
        </is>
      </c>
      <c r="G2002" t="inlineStr">
        <is>
          <t>06:03:47</t>
        </is>
      </c>
      <c r="H2002" t="inlineStr">
        <is>
          <t>SELESAI</t>
        </is>
      </c>
      <c r="I2002" t="inlineStr">
        <is>
          <t>MK00154</t>
        </is>
      </c>
      <c r="J2002" t="inlineStr"/>
    </row>
    <row r="2003">
      <c r="A2003" t="inlineStr">
        <is>
          <t>19/07/2026</t>
        </is>
      </c>
      <c r="B2003" t="inlineStr">
        <is>
          <t>528000306</t>
        </is>
      </c>
      <c r="C2003" t="inlineStr">
        <is>
          <t>Windy Olivia</t>
        </is>
      </c>
      <c r="D2003" t="inlineStr">
        <is>
          <t>PROD</t>
        </is>
      </c>
      <c r="E2003" t="inlineStr">
        <is>
          <t>Produksi Harian</t>
        </is>
      </c>
      <c r="F2003" t="inlineStr">
        <is>
          <t>13:37:22</t>
        </is>
      </c>
      <c r="G2003" t="inlineStr">
        <is>
          <t>22:03:42</t>
        </is>
      </c>
      <c r="H2003" t="inlineStr">
        <is>
          <t>SELESAI</t>
        </is>
      </c>
      <c r="I2003" t="inlineStr">
        <is>
          <t>MK00192</t>
        </is>
      </c>
      <c r="J2003" t="inlineStr"/>
    </row>
    <row r="2004">
      <c r="A2004" t="inlineStr">
        <is>
          <t>19/07/2026</t>
        </is>
      </c>
      <c r="B2004" t="inlineStr">
        <is>
          <t>528000310</t>
        </is>
      </c>
      <c r="C2004" t="inlineStr">
        <is>
          <t>Fachrul Rozzi Suryana</t>
        </is>
      </c>
      <c r="D2004" t="inlineStr">
        <is>
          <t>LOG</t>
        </is>
      </c>
      <c r="E2004" t="inlineStr">
        <is>
          <t>WRM Harian</t>
        </is>
      </c>
      <c r="F2004" t="inlineStr">
        <is>
          <t>06:05:01</t>
        </is>
      </c>
      <c r="G2004" t="inlineStr">
        <is>
          <t>14:01:43</t>
        </is>
      </c>
      <c r="H2004" t="inlineStr">
        <is>
          <t>SELESAI</t>
        </is>
      </c>
      <c r="I2004" t="inlineStr">
        <is>
          <t>MK00141</t>
        </is>
      </c>
      <c r="J2004" t="inlineStr">
        <is>
          <t>33B</t>
        </is>
      </c>
    </row>
    <row r="2005">
      <c r="A2005" t="inlineStr">
        <is>
          <t>19/07/2026</t>
        </is>
      </c>
      <c r="B2005" t="inlineStr">
        <is>
          <t>528000314</t>
        </is>
      </c>
      <c r="C2005" t="inlineStr">
        <is>
          <t>Rusmana</t>
        </is>
      </c>
      <c r="D2005" t="inlineStr">
        <is>
          <t>PROD</t>
        </is>
      </c>
      <c r="E2005" t="inlineStr">
        <is>
          <t>Produksi Harian</t>
        </is>
      </c>
      <c r="F2005" t="inlineStr">
        <is>
          <t>13:55:15</t>
        </is>
      </c>
      <c r="G2005" t="inlineStr">
        <is>
          <t>07:44:41</t>
        </is>
      </c>
      <c r="H2005" t="inlineStr">
        <is>
          <t>SELESAI</t>
        </is>
      </c>
      <c r="I2005" t="inlineStr">
        <is>
          <t>MK00125</t>
        </is>
      </c>
      <c r="J2005" t="inlineStr"/>
    </row>
    <row r="2006">
      <c r="A2006" t="inlineStr">
        <is>
          <t>19/07/2026</t>
        </is>
      </c>
      <c r="B2006" t="inlineStr">
        <is>
          <t>528000323</t>
        </is>
      </c>
      <c r="C2006" t="inlineStr">
        <is>
          <t>Dian Hamidah</t>
        </is>
      </c>
      <c r="D2006" t="inlineStr">
        <is>
          <t>PROD</t>
        </is>
      </c>
      <c r="E2006" t="inlineStr">
        <is>
          <t>Produksi Harian</t>
        </is>
      </c>
      <c r="F2006" t="inlineStr"/>
      <c r="G2006" t="inlineStr">
        <is>
          <t>06:08:28</t>
        </is>
      </c>
      <c r="H2006" t="inlineStr">
        <is>
          <t>KELUAR TANPA MASUK</t>
        </is>
      </c>
      <c r="I2006" t="inlineStr">
        <is>
          <t>MK00108</t>
        </is>
      </c>
      <c r="J2006" t="inlineStr"/>
    </row>
    <row r="2007">
      <c r="A2007" t="inlineStr">
        <is>
          <t>19/07/2026</t>
        </is>
      </c>
      <c r="B2007" t="inlineStr">
        <is>
          <t>528000324</t>
        </is>
      </c>
      <c r="C2007" t="inlineStr">
        <is>
          <t>Sri Yanti</t>
        </is>
      </c>
      <c r="D2007" t="inlineStr">
        <is>
          <t>PROD</t>
        </is>
      </c>
      <c r="E2007" t="inlineStr">
        <is>
          <t>Produksi Harian</t>
        </is>
      </c>
      <c r="F2007" t="inlineStr">
        <is>
          <t>21:19:56</t>
        </is>
      </c>
      <c r="G2007" t="inlineStr"/>
      <c r="H2007" t="inlineStr">
        <is>
          <t>DI DALAM</t>
        </is>
      </c>
      <c r="I2007" t="inlineStr">
        <is>
          <t>MK00235</t>
        </is>
      </c>
      <c r="J2007" t="inlineStr"/>
    </row>
    <row r="2008">
      <c r="A2008" t="inlineStr">
        <is>
          <t>19/07/2026</t>
        </is>
      </c>
      <c r="B2008" t="inlineStr">
        <is>
          <t>528000334</t>
        </is>
      </c>
      <c r="C2008" t="inlineStr">
        <is>
          <t>Naufal Yudhistira</t>
        </is>
      </c>
      <c r="D2008" t="inlineStr">
        <is>
          <t>PROD</t>
        </is>
      </c>
      <c r="E2008" t="inlineStr">
        <is>
          <t>Produksi Harian</t>
        </is>
      </c>
      <c r="F2008" t="inlineStr"/>
      <c r="G2008" t="inlineStr">
        <is>
          <t>06:03:50</t>
        </is>
      </c>
      <c r="H2008" t="inlineStr">
        <is>
          <t>KELUAR TANPA MASUK</t>
        </is>
      </c>
      <c r="I2008" t="inlineStr">
        <is>
          <t>MK00212</t>
        </is>
      </c>
      <c r="J2008" t="inlineStr"/>
    </row>
    <row r="2009">
      <c r="A2009" t="inlineStr">
        <is>
          <t>19/07/2026</t>
        </is>
      </c>
      <c r="B2009" t="inlineStr">
        <is>
          <t>528000335</t>
        </is>
      </c>
      <c r="C2009" t="inlineStr">
        <is>
          <t>Rizal Saepuloh</t>
        </is>
      </c>
      <c r="D2009" t="inlineStr">
        <is>
          <t>LOG</t>
        </is>
      </c>
      <c r="E2009" t="inlineStr">
        <is>
          <t>WRM Harian</t>
        </is>
      </c>
      <c r="F2009" t="inlineStr">
        <is>
          <t>23:46:32</t>
        </is>
      </c>
      <c r="G2009" t="inlineStr">
        <is>
          <t>00:00:44</t>
        </is>
      </c>
      <c r="H2009" t="inlineStr">
        <is>
          <t>SELESAI</t>
        </is>
      </c>
      <c r="I2009" t="inlineStr">
        <is>
          <t>MK00204</t>
        </is>
      </c>
      <c r="J2009" t="inlineStr"/>
    </row>
    <row r="2010">
      <c r="A2010" t="inlineStr">
        <is>
          <t>19/07/2026</t>
        </is>
      </c>
      <c r="B2010" t="inlineStr">
        <is>
          <t>528000336</t>
        </is>
      </c>
      <c r="C2010" t="inlineStr">
        <is>
          <t>Ali Nurhanafi</t>
        </is>
      </c>
      <c r="D2010" t="inlineStr">
        <is>
          <t>PROD</t>
        </is>
      </c>
      <c r="E2010" t="inlineStr">
        <is>
          <t>Produksi Harian</t>
        </is>
      </c>
      <c r="F2010" t="inlineStr">
        <is>
          <t>12:59:03</t>
        </is>
      </c>
      <c r="G2010" t="inlineStr">
        <is>
          <t>22:08:54</t>
        </is>
      </c>
      <c r="H2010" t="inlineStr">
        <is>
          <t>SELESAI</t>
        </is>
      </c>
      <c r="I2010" t="inlineStr">
        <is>
          <t>MK00085</t>
        </is>
      </c>
      <c r="J2010" t="inlineStr"/>
    </row>
    <row r="2011">
      <c r="A2011" t="inlineStr">
        <is>
          <t>19/07/2026</t>
        </is>
      </c>
      <c r="B2011" t="inlineStr">
        <is>
          <t>528000337</t>
        </is>
      </c>
      <c r="C2011" t="inlineStr">
        <is>
          <t>Ahmad Zaldi Firdaus</t>
        </is>
      </c>
      <c r="D2011" t="inlineStr">
        <is>
          <t>PROD</t>
        </is>
      </c>
      <c r="E2011" t="inlineStr">
        <is>
          <t>Produksi Harian</t>
        </is>
      </c>
      <c r="F2011" t="inlineStr">
        <is>
          <t>12:59:14</t>
        </is>
      </c>
      <c r="G2011" t="inlineStr">
        <is>
          <t>22:08:36</t>
        </is>
      </c>
      <c r="H2011" t="inlineStr">
        <is>
          <t>SELESAI</t>
        </is>
      </c>
      <c r="I2011" t="inlineStr">
        <is>
          <t>MK00217</t>
        </is>
      </c>
      <c r="J2011" t="inlineStr"/>
    </row>
    <row r="2012">
      <c r="A2012" t="inlineStr">
        <is>
          <t>19/07/2026</t>
        </is>
      </c>
      <c r="B2012" t="inlineStr">
        <is>
          <t>528000340</t>
        </is>
      </c>
      <c r="C2012" t="inlineStr">
        <is>
          <t>Muhammad Wildan Adithya</t>
        </is>
      </c>
      <c r="D2012" t="inlineStr">
        <is>
          <t>PROD</t>
        </is>
      </c>
      <c r="E2012" t="inlineStr">
        <is>
          <t>Produksi Harian</t>
        </is>
      </c>
      <c r="F2012" t="inlineStr">
        <is>
          <t>17:30:03</t>
        </is>
      </c>
      <c r="G2012" t="inlineStr">
        <is>
          <t>13:53:26</t>
        </is>
      </c>
      <c r="H2012" t="inlineStr">
        <is>
          <t>SELESAI</t>
        </is>
      </c>
      <c r="I2012" t="inlineStr">
        <is>
          <t>MK00230</t>
        </is>
      </c>
      <c r="J2012" t="inlineStr"/>
    </row>
    <row r="2013">
      <c r="A2013" t="inlineStr">
        <is>
          <t>19/07/2026</t>
        </is>
      </c>
      <c r="B2013" t="inlineStr">
        <is>
          <t>528000348</t>
        </is>
      </c>
      <c r="C2013" t="inlineStr">
        <is>
          <t>Saepuloh Ardiansah</t>
        </is>
      </c>
      <c r="D2013" t="inlineStr">
        <is>
          <t>LOG</t>
        </is>
      </c>
      <c r="E2013" t="inlineStr">
        <is>
          <t>WRM Harian</t>
        </is>
      </c>
      <c r="F2013" t="inlineStr">
        <is>
          <t>08:39:13</t>
        </is>
      </c>
      <c r="G2013" t="inlineStr"/>
      <c r="H2013" t="inlineStr">
        <is>
          <t>DI DALAM</t>
        </is>
      </c>
      <c r="I2013" t="inlineStr">
        <is>
          <t>MK00205</t>
        </is>
      </c>
      <c r="J2013" t="inlineStr"/>
    </row>
    <row r="2014">
      <c r="A2014" t="inlineStr">
        <is>
          <t>19/07/2026</t>
        </is>
      </c>
      <c r="B2014" t="inlineStr">
        <is>
          <t>528000349</t>
        </is>
      </c>
      <c r="C2014" t="inlineStr">
        <is>
          <t>Anas Abdul Fatah</t>
        </is>
      </c>
      <c r="D2014" t="inlineStr">
        <is>
          <t>LOG</t>
        </is>
      </c>
      <c r="E2014" t="inlineStr">
        <is>
          <t>WFG Harian</t>
        </is>
      </c>
      <c r="F2014" t="inlineStr">
        <is>
          <t>09:42:45</t>
        </is>
      </c>
      <c r="G2014" t="inlineStr">
        <is>
          <t>18:11:28</t>
        </is>
      </c>
      <c r="H2014" t="inlineStr">
        <is>
          <t>SELESAI</t>
        </is>
      </c>
      <c r="I2014" t="inlineStr">
        <is>
          <t>MK00055</t>
        </is>
      </c>
      <c r="J2014" t="inlineStr"/>
    </row>
    <row r="2015">
      <c r="A2015" t="inlineStr">
        <is>
          <t>19/07/2026</t>
        </is>
      </c>
      <c r="B2015" t="inlineStr">
        <is>
          <t>528000351</t>
        </is>
      </c>
      <c r="C2015" t="inlineStr">
        <is>
          <t>Mulyana</t>
        </is>
      </c>
      <c r="D2015" t="inlineStr">
        <is>
          <t>PROD</t>
        </is>
      </c>
      <c r="E2015" t="inlineStr">
        <is>
          <t>Produksi Harian</t>
        </is>
      </c>
      <c r="F2015" t="inlineStr">
        <is>
          <t>07:57:18</t>
        </is>
      </c>
      <c r="G2015" t="inlineStr">
        <is>
          <t>16:05:58</t>
        </is>
      </c>
      <c r="H2015" t="inlineStr">
        <is>
          <t>SELESAI</t>
        </is>
      </c>
      <c r="I2015" t="inlineStr">
        <is>
          <t>MK00082</t>
        </is>
      </c>
      <c r="J2015" t="inlineStr"/>
    </row>
    <row r="2016">
      <c r="A2016" t="inlineStr">
        <is>
          <t>19/07/2026</t>
        </is>
      </c>
      <c r="B2016" t="inlineStr">
        <is>
          <t>528000359</t>
        </is>
      </c>
      <c r="C2016" t="inlineStr">
        <is>
          <t>M. Iqbal Maulana. S</t>
        </is>
      </c>
      <c r="D2016" t="inlineStr">
        <is>
          <t>LOG</t>
        </is>
      </c>
      <c r="E2016" t="inlineStr">
        <is>
          <t>WRM Harian</t>
        </is>
      </c>
      <c r="F2016" t="inlineStr">
        <is>
          <t>05:59:01</t>
        </is>
      </c>
      <c r="G2016" t="inlineStr">
        <is>
          <t>14:05:06</t>
        </is>
      </c>
      <c r="H2016" t="inlineStr">
        <is>
          <t>SELESAI</t>
        </is>
      </c>
      <c r="I2016" t="inlineStr">
        <is>
          <t>MK00212</t>
        </is>
      </c>
      <c r="J2016" t="inlineStr">
        <is>
          <t>26E</t>
        </is>
      </c>
    </row>
    <row r="2017">
      <c r="A2017" t="inlineStr">
        <is>
          <t>19/07/2026</t>
        </is>
      </c>
      <c r="B2017" t="inlineStr">
        <is>
          <t>528000360</t>
        </is>
      </c>
      <c r="C2017" t="inlineStr">
        <is>
          <t>Hendra Permana</t>
        </is>
      </c>
      <c r="D2017" t="inlineStr">
        <is>
          <t>ENG</t>
        </is>
      </c>
      <c r="E2017" t="inlineStr">
        <is>
          <t>Engineering Harian</t>
        </is>
      </c>
      <c r="F2017" t="inlineStr">
        <is>
          <t>13:26:42</t>
        </is>
      </c>
      <c r="G2017" t="inlineStr">
        <is>
          <t>22:04:35</t>
        </is>
      </c>
      <c r="H2017" t="inlineStr">
        <is>
          <t>SELESAI</t>
        </is>
      </c>
      <c r="I2017" t="inlineStr">
        <is>
          <t>MK00184</t>
        </is>
      </c>
      <c r="J2017" t="inlineStr"/>
    </row>
    <row r="2018">
      <c r="A2018" t="inlineStr">
        <is>
          <t>19/07/2026</t>
        </is>
      </c>
      <c r="B2018" t="inlineStr">
        <is>
          <t>628000064</t>
        </is>
      </c>
      <c r="C2018" t="inlineStr">
        <is>
          <t>Silva Alypia</t>
        </is>
      </c>
      <c r="D2018" t="inlineStr">
        <is>
          <t>PROD</t>
        </is>
      </c>
      <c r="E2018" t="inlineStr">
        <is>
          <t>Produksi Borongan</t>
        </is>
      </c>
      <c r="F2018" t="inlineStr">
        <is>
          <t>21:46:57</t>
        </is>
      </c>
      <c r="G2018" t="inlineStr">
        <is>
          <t>06:04:34</t>
        </is>
      </c>
      <c r="H2018" t="inlineStr">
        <is>
          <t>SELESAI</t>
        </is>
      </c>
      <c r="I2018" t="inlineStr">
        <is>
          <t>MK00181</t>
        </is>
      </c>
      <c r="J2018" t="inlineStr"/>
    </row>
    <row r="2019">
      <c r="A2019" t="inlineStr">
        <is>
          <t>20/07/2026</t>
        </is>
      </c>
      <c r="B2019" t="inlineStr">
        <is>
          <t>528000040</t>
        </is>
      </c>
      <c r="C2019" t="inlineStr">
        <is>
          <t>Agus Suryaman</t>
        </is>
      </c>
      <c r="D2019" t="inlineStr">
        <is>
          <t>PROD</t>
        </is>
      </c>
      <c r="E2019" t="inlineStr">
        <is>
          <t>Produksi Harian</t>
        </is>
      </c>
      <c r="F2019" t="inlineStr">
        <is>
          <t>08:22:33</t>
        </is>
      </c>
      <c r="G2019" t="inlineStr">
        <is>
          <t>17:02:34</t>
        </is>
      </c>
      <c r="H2019" t="inlineStr">
        <is>
          <t>SELESAI</t>
        </is>
      </c>
      <c r="I2019" t="inlineStr">
        <is>
          <t>MK00156</t>
        </is>
      </c>
      <c r="J2019" t="inlineStr"/>
    </row>
    <row r="2020">
      <c r="A2020" t="inlineStr">
        <is>
          <t>20/07/2026</t>
        </is>
      </c>
      <c r="B2020" t="inlineStr">
        <is>
          <t>528000052</t>
        </is>
      </c>
      <c r="C2020" t="inlineStr">
        <is>
          <t>Mustopa</t>
        </is>
      </c>
      <c r="D2020" t="inlineStr">
        <is>
          <t>PROD</t>
        </is>
      </c>
      <c r="E2020" t="inlineStr">
        <is>
          <t>Produksi Harian</t>
        </is>
      </c>
      <c r="F2020" t="inlineStr">
        <is>
          <t>13:02:00</t>
        </is>
      </c>
      <c r="G2020" t="inlineStr">
        <is>
          <t>22:02:05</t>
        </is>
      </c>
      <c r="H2020" t="inlineStr">
        <is>
          <t>SELESAI</t>
        </is>
      </c>
      <c r="I2020" t="inlineStr">
        <is>
          <t>MK00008</t>
        </is>
      </c>
      <c r="J2020" t="inlineStr"/>
    </row>
    <row r="2021">
      <c r="A2021" t="inlineStr">
        <is>
          <t>20/07/2026</t>
        </is>
      </c>
      <c r="B2021" t="inlineStr">
        <is>
          <t>528000069</t>
        </is>
      </c>
      <c r="C2021" t="inlineStr">
        <is>
          <t>Jajang Ardiansyah</t>
        </is>
      </c>
      <c r="D2021" t="inlineStr">
        <is>
          <t>PROD</t>
        </is>
      </c>
      <c r="E2021" t="inlineStr">
        <is>
          <t>Produksi Harian</t>
        </is>
      </c>
      <c r="F2021" t="inlineStr">
        <is>
          <t>06:46:33</t>
        </is>
      </c>
      <c r="G2021" t="inlineStr">
        <is>
          <t>21:39:17</t>
        </is>
      </c>
      <c r="H2021" t="inlineStr">
        <is>
          <t>SELESAI</t>
        </is>
      </c>
      <c r="I2021" t="inlineStr">
        <is>
          <t>MK00154</t>
        </is>
      </c>
      <c r="J2021" t="inlineStr"/>
    </row>
    <row r="2022">
      <c r="A2022" t="inlineStr">
        <is>
          <t>20/07/2026</t>
        </is>
      </c>
      <c r="B2022" t="inlineStr">
        <is>
          <t>528000090</t>
        </is>
      </c>
      <c r="C2022" t="inlineStr">
        <is>
          <t>Suganda</t>
        </is>
      </c>
      <c r="D2022" t="inlineStr">
        <is>
          <t>PROD</t>
        </is>
      </c>
      <c r="E2022" t="inlineStr">
        <is>
          <t>Produksi Harian</t>
        </is>
      </c>
      <c r="F2022" t="inlineStr">
        <is>
          <t>06:01:36</t>
        </is>
      </c>
      <c r="G2022" t="inlineStr">
        <is>
          <t>21:46:36</t>
        </is>
      </c>
      <c r="H2022" t="inlineStr">
        <is>
          <t>SELESAI</t>
        </is>
      </c>
      <c r="I2022" t="inlineStr">
        <is>
          <t>MK00181</t>
        </is>
      </c>
      <c r="J2022" t="inlineStr"/>
    </row>
    <row r="2023">
      <c r="A2023" t="inlineStr">
        <is>
          <t>20/07/2026</t>
        </is>
      </c>
      <c r="B2023" t="inlineStr">
        <is>
          <t>528000099</t>
        </is>
      </c>
      <c r="C2023" t="inlineStr">
        <is>
          <t>Siti Nurawaliah</t>
        </is>
      </c>
      <c r="D2023" t="inlineStr">
        <is>
          <t>PROD</t>
        </is>
      </c>
      <c r="E2023" t="inlineStr">
        <is>
          <t>Produksi Harian</t>
        </is>
      </c>
      <c r="F2023" t="inlineStr">
        <is>
          <t>05:52:27</t>
        </is>
      </c>
      <c r="G2023" t="inlineStr">
        <is>
          <t>14:04:52</t>
        </is>
      </c>
      <c r="H2023" t="inlineStr">
        <is>
          <t>SELESAI</t>
        </is>
      </c>
      <c r="I2023" t="inlineStr">
        <is>
          <t>MK00145</t>
        </is>
      </c>
      <c r="J2023" t="inlineStr"/>
    </row>
    <row r="2024">
      <c r="A2024" t="inlineStr">
        <is>
          <t>20/07/2026</t>
        </is>
      </c>
      <c r="B2024" t="inlineStr">
        <is>
          <t>528000144</t>
        </is>
      </c>
      <c r="C2024" t="inlineStr">
        <is>
          <t>Jodi Hanafi</t>
        </is>
      </c>
      <c r="D2024" t="inlineStr">
        <is>
          <t>LOG</t>
        </is>
      </c>
      <c r="E2024" t="inlineStr">
        <is>
          <t>WRM Harian</t>
        </is>
      </c>
      <c r="F2024" t="inlineStr">
        <is>
          <t>15:43:49</t>
        </is>
      </c>
      <c r="G2024" t="inlineStr">
        <is>
          <t>00:16:00</t>
        </is>
      </c>
      <c r="H2024" t="inlineStr">
        <is>
          <t>SELESAI</t>
        </is>
      </c>
      <c r="I2024" t="inlineStr">
        <is>
          <t>MK00122</t>
        </is>
      </c>
      <c r="J2024" t="inlineStr"/>
    </row>
    <row r="2025">
      <c r="A2025" t="inlineStr">
        <is>
          <t>20/07/2026</t>
        </is>
      </c>
      <c r="B2025" t="inlineStr">
        <is>
          <t>528000201</t>
        </is>
      </c>
      <c r="C2025" t="inlineStr">
        <is>
          <t>Zahwa Amelia Choerunissa</t>
        </is>
      </c>
      <c r="D2025" t="inlineStr">
        <is>
          <t>PROD</t>
        </is>
      </c>
      <c r="E2025" t="inlineStr">
        <is>
          <t>Produksi Harian</t>
        </is>
      </c>
      <c r="F2025" t="inlineStr">
        <is>
          <t>05:51:08</t>
        </is>
      </c>
      <c r="G2025" t="inlineStr">
        <is>
          <t>14:04:23</t>
        </is>
      </c>
      <c r="H2025" t="inlineStr">
        <is>
          <t>SELESAI</t>
        </is>
      </c>
      <c r="I2025" t="inlineStr">
        <is>
          <t>MK00217</t>
        </is>
      </c>
      <c r="J2025" t="inlineStr"/>
    </row>
    <row r="2026">
      <c r="A2026" t="inlineStr">
        <is>
          <t>20/07/2026</t>
        </is>
      </c>
      <c r="B2026" t="inlineStr">
        <is>
          <t>528000212</t>
        </is>
      </c>
      <c r="C2026" t="inlineStr">
        <is>
          <t>Rizal Fauzi</t>
        </is>
      </c>
      <c r="D2026" t="inlineStr">
        <is>
          <t>PROD</t>
        </is>
      </c>
      <c r="E2026" t="inlineStr">
        <is>
          <t>Produksi Harian</t>
        </is>
      </c>
      <c r="F2026" t="inlineStr">
        <is>
          <t>05:59:26</t>
        </is>
      </c>
      <c r="G2026" t="inlineStr">
        <is>
          <t>14:03:53</t>
        </is>
      </c>
      <c r="H2026" t="inlineStr">
        <is>
          <t>SELESAI</t>
        </is>
      </c>
      <c r="I2026" t="inlineStr">
        <is>
          <t>MK00116</t>
        </is>
      </c>
      <c r="J2026" t="inlineStr"/>
    </row>
    <row r="2027">
      <c r="A2027" t="inlineStr">
        <is>
          <t>20/07/2026</t>
        </is>
      </c>
      <c r="B2027" t="inlineStr">
        <is>
          <t>528000228</t>
        </is>
      </c>
      <c r="C2027" t="inlineStr">
        <is>
          <t>Banyu Resmi Putri</t>
        </is>
      </c>
      <c r="D2027" t="inlineStr">
        <is>
          <t>PROD</t>
        </is>
      </c>
      <c r="E2027" t="inlineStr">
        <is>
          <t>Produksi Harian</t>
        </is>
      </c>
      <c r="F2027" t="inlineStr">
        <is>
          <t>05:53:25</t>
        </is>
      </c>
      <c r="G2027" t="inlineStr">
        <is>
          <t>14:02:48</t>
        </is>
      </c>
      <c r="H2027" t="inlineStr">
        <is>
          <t>SELESAI</t>
        </is>
      </c>
      <c r="I2027" t="inlineStr">
        <is>
          <t>MK00121</t>
        </is>
      </c>
      <c r="J2027" t="inlineStr"/>
    </row>
    <row r="2028">
      <c r="A2028" t="inlineStr">
        <is>
          <t>20/07/2026</t>
        </is>
      </c>
      <c r="B2028" t="inlineStr">
        <is>
          <t>528000232</t>
        </is>
      </c>
      <c r="C2028" t="inlineStr">
        <is>
          <t>Agung Aji Suhada</t>
        </is>
      </c>
      <c r="D2028" t="inlineStr">
        <is>
          <t>LOG</t>
        </is>
      </c>
      <c r="E2028" t="inlineStr">
        <is>
          <t>WRM Harian</t>
        </is>
      </c>
      <c r="F2028" t="inlineStr">
        <is>
          <t>15:30:54</t>
        </is>
      </c>
      <c r="G2028" t="inlineStr"/>
      <c r="H2028" t="inlineStr">
        <is>
          <t>DI DALAM</t>
        </is>
      </c>
      <c r="I2028" t="inlineStr">
        <is>
          <t>MK00210</t>
        </is>
      </c>
      <c r="J2028" t="inlineStr"/>
    </row>
    <row r="2029">
      <c r="A2029" t="inlineStr">
        <is>
          <t>20/07/2026</t>
        </is>
      </c>
      <c r="B2029" t="inlineStr">
        <is>
          <t>528000241</t>
        </is>
      </c>
      <c r="C2029" t="inlineStr">
        <is>
          <t>Balia Nurafif Bilah</t>
        </is>
      </c>
      <c r="D2029" t="inlineStr">
        <is>
          <t>PROD</t>
        </is>
      </c>
      <c r="E2029" t="inlineStr">
        <is>
          <t>Produksi Harian</t>
        </is>
      </c>
      <c r="F2029" t="inlineStr">
        <is>
          <t>05:51:56</t>
        </is>
      </c>
      <c r="G2029" t="inlineStr">
        <is>
          <t>14:02:23</t>
        </is>
      </c>
      <c r="H2029" t="inlineStr">
        <is>
          <t>SELESAI</t>
        </is>
      </c>
      <c r="I2029" t="inlineStr">
        <is>
          <t>MK00218</t>
        </is>
      </c>
      <c r="J2029" t="inlineStr"/>
    </row>
    <row r="2030">
      <c r="A2030" t="inlineStr">
        <is>
          <t>20/07/2026</t>
        </is>
      </c>
      <c r="B2030" t="inlineStr">
        <is>
          <t>528000244</t>
        </is>
      </c>
      <c r="C2030" t="inlineStr">
        <is>
          <t>Rodian Rifai</t>
        </is>
      </c>
      <c r="D2030" t="inlineStr">
        <is>
          <t>PROD</t>
        </is>
      </c>
      <c r="E2030" t="inlineStr">
        <is>
          <t>Produksi Harian</t>
        </is>
      </c>
      <c r="F2030" t="inlineStr">
        <is>
          <t>05:54:05</t>
        </is>
      </c>
      <c r="G2030" t="inlineStr">
        <is>
          <t>05:42:28</t>
        </is>
      </c>
      <c r="H2030" t="inlineStr">
        <is>
          <t>SELESAI</t>
        </is>
      </c>
      <c r="I2030" t="inlineStr">
        <is>
          <t>MK00095</t>
        </is>
      </c>
      <c r="J2030" t="inlineStr"/>
    </row>
    <row r="2031">
      <c r="A2031" t="inlineStr">
        <is>
          <t>20/07/2026</t>
        </is>
      </c>
      <c r="B2031" t="inlineStr">
        <is>
          <t>528000248</t>
        </is>
      </c>
      <c r="C2031" t="inlineStr">
        <is>
          <t>Roka Jaya Salka Mulya</t>
        </is>
      </c>
      <c r="D2031" t="inlineStr">
        <is>
          <t>PROD</t>
        </is>
      </c>
      <c r="E2031" t="inlineStr">
        <is>
          <t>Produksi Harian</t>
        </is>
      </c>
      <c r="F2031" t="inlineStr">
        <is>
          <t>21:47:56</t>
        </is>
      </c>
      <c r="G2031" t="inlineStr">
        <is>
          <t>06:03:45</t>
        </is>
      </c>
      <c r="H2031" t="inlineStr">
        <is>
          <t>SELESAI</t>
        </is>
      </c>
      <c r="I2031" t="inlineStr">
        <is>
          <t>MK00145</t>
        </is>
      </c>
      <c r="J2031" t="inlineStr"/>
    </row>
    <row r="2032">
      <c r="A2032" t="inlineStr">
        <is>
          <t>20/07/2026</t>
        </is>
      </c>
      <c r="B2032" t="inlineStr">
        <is>
          <t>528000261</t>
        </is>
      </c>
      <c r="C2032" t="inlineStr">
        <is>
          <t>Ergi Ergianto</t>
        </is>
      </c>
      <c r="D2032" t="inlineStr">
        <is>
          <t>HRGA</t>
        </is>
      </c>
      <c r="E2032" t="inlineStr">
        <is>
          <t>GA Harian</t>
        </is>
      </c>
      <c r="F2032" t="inlineStr">
        <is>
          <t>13:47:38</t>
        </is>
      </c>
      <c r="G2032" t="inlineStr">
        <is>
          <t>22:03:27</t>
        </is>
      </c>
      <c r="H2032" t="inlineStr">
        <is>
          <t>SELESAI</t>
        </is>
      </c>
      <c r="I2032" t="inlineStr">
        <is>
          <t>MK00112</t>
        </is>
      </c>
      <c r="J2032" t="inlineStr"/>
    </row>
    <row r="2033">
      <c r="A2033" t="inlineStr">
        <is>
          <t>20/07/2026</t>
        </is>
      </c>
      <c r="B2033" t="inlineStr">
        <is>
          <t>528000262</t>
        </is>
      </c>
      <c r="C2033" t="inlineStr">
        <is>
          <t>Ndari Dwiwanti</t>
        </is>
      </c>
      <c r="D2033" t="inlineStr">
        <is>
          <t>PROD</t>
        </is>
      </c>
      <c r="E2033" t="inlineStr">
        <is>
          <t>Produksi Harian</t>
        </is>
      </c>
      <c r="F2033" t="inlineStr">
        <is>
          <t>13:42:34</t>
        </is>
      </c>
      <c r="G2033" t="inlineStr">
        <is>
          <t>22:03:21</t>
        </is>
      </c>
      <c r="H2033" t="inlineStr">
        <is>
          <t>SELESAI</t>
        </is>
      </c>
      <c r="I2033" t="inlineStr">
        <is>
          <t>MK00220</t>
        </is>
      </c>
      <c r="J2033" t="inlineStr"/>
    </row>
    <row r="2034">
      <c r="A2034" t="inlineStr">
        <is>
          <t>20/07/2026</t>
        </is>
      </c>
      <c r="B2034" t="inlineStr">
        <is>
          <t>528000265</t>
        </is>
      </c>
      <c r="C2034" t="inlineStr">
        <is>
          <t>Muhammad Haerul Rozikin</t>
        </is>
      </c>
      <c r="D2034" t="inlineStr">
        <is>
          <t>LOG</t>
        </is>
      </c>
      <c r="E2034" t="inlineStr">
        <is>
          <t>WRM Harian</t>
        </is>
      </c>
      <c r="F2034" t="inlineStr">
        <is>
          <t>07:44:38</t>
        </is>
      </c>
      <c r="G2034" t="inlineStr">
        <is>
          <t>16:02:16</t>
        </is>
      </c>
      <c r="H2034" t="inlineStr">
        <is>
          <t>SELESAI</t>
        </is>
      </c>
      <c r="I2034" t="inlineStr">
        <is>
          <t>MK00090</t>
        </is>
      </c>
      <c r="J2034" t="inlineStr"/>
    </row>
    <row r="2035">
      <c r="A2035" t="inlineStr">
        <is>
          <t>20/07/2026</t>
        </is>
      </c>
      <c r="B2035" t="inlineStr">
        <is>
          <t>528000266</t>
        </is>
      </c>
      <c r="C2035" t="inlineStr">
        <is>
          <t>M. Syirajatieq</t>
        </is>
      </c>
      <c r="D2035" t="inlineStr">
        <is>
          <t>LOG</t>
        </is>
      </c>
      <c r="E2035" t="inlineStr">
        <is>
          <t>WFG Harian</t>
        </is>
      </c>
      <c r="F2035" t="inlineStr">
        <is>
          <t>13:40:37</t>
        </is>
      </c>
      <c r="G2035" t="inlineStr">
        <is>
          <t>22:44:19</t>
        </is>
      </c>
      <c r="H2035" t="inlineStr">
        <is>
          <t>SELESAI</t>
        </is>
      </c>
      <c r="I2035" t="inlineStr">
        <is>
          <t>MK00212</t>
        </is>
      </c>
      <c r="J2035" t="inlineStr"/>
    </row>
    <row r="2036">
      <c r="A2036" t="inlineStr">
        <is>
          <t>20/07/2026</t>
        </is>
      </c>
      <c r="B2036" t="inlineStr">
        <is>
          <t>528000273</t>
        </is>
      </c>
      <c r="C2036" t="inlineStr">
        <is>
          <t>Asep Mulyana</t>
        </is>
      </c>
      <c r="D2036" t="inlineStr">
        <is>
          <t>PROD</t>
        </is>
      </c>
      <c r="E2036" t="inlineStr">
        <is>
          <t>Produksi Harian</t>
        </is>
      </c>
      <c r="F2036" t="inlineStr">
        <is>
          <t>05:40:44</t>
        </is>
      </c>
      <c r="G2036" t="inlineStr">
        <is>
          <t>14:03:41</t>
        </is>
      </c>
      <c r="H2036" t="inlineStr">
        <is>
          <t>SELESAI</t>
        </is>
      </c>
      <c r="I2036" t="inlineStr">
        <is>
          <t>MK00180</t>
        </is>
      </c>
      <c r="J2036" t="inlineStr"/>
    </row>
    <row r="2037">
      <c r="A2037" t="inlineStr">
        <is>
          <t>20/07/2026</t>
        </is>
      </c>
      <c r="B2037" t="inlineStr">
        <is>
          <t>528000274</t>
        </is>
      </c>
      <c r="C2037" t="inlineStr">
        <is>
          <t>Zepri</t>
        </is>
      </c>
      <c r="D2037" t="inlineStr">
        <is>
          <t>PROD</t>
        </is>
      </c>
      <c r="E2037" t="inlineStr">
        <is>
          <t>Produksi Harian</t>
        </is>
      </c>
      <c r="F2037" t="inlineStr">
        <is>
          <t>05:56:34</t>
        </is>
      </c>
      <c r="G2037" t="inlineStr">
        <is>
          <t>14:06:55</t>
        </is>
      </c>
      <c r="H2037" t="inlineStr">
        <is>
          <t>SELESAI</t>
        </is>
      </c>
      <c r="I2037" t="inlineStr">
        <is>
          <t>MK000136</t>
        </is>
      </c>
      <c r="J2037" t="inlineStr"/>
    </row>
    <row r="2038">
      <c r="A2038" t="inlineStr">
        <is>
          <t>20/07/2026</t>
        </is>
      </c>
      <c r="B2038" t="inlineStr">
        <is>
          <t>528000279</t>
        </is>
      </c>
      <c r="C2038" t="inlineStr">
        <is>
          <t>Mahdalena Dalfa Riani</t>
        </is>
      </c>
      <c r="D2038" t="inlineStr">
        <is>
          <t>PROD</t>
        </is>
      </c>
      <c r="E2038" t="inlineStr">
        <is>
          <t>Produksi Harian</t>
        </is>
      </c>
      <c r="F2038" t="inlineStr">
        <is>
          <t>21:50:51</t>
        </is>
      </c>
      <c r="G2038" t="inlineStr">
        <is>
          <t>06:07:31</t>
        </is>
      </c>
      <c r="H2038" t="inlineStr">
        <is>
          <t>SELESAI</t>
        </is>
      </c>
      <c r="I2038" t="inlineStr">
        <is>
          <t>MK00143</t>
        </is>
      </c>
      <c r="J2038" t="inlineStr"/>
    </row>
    <row r="2039">
      <c r="A2039" t="inlineStr">
        <is>
          <t>20/07/2026</t>
        </is>
      </c>
      <c r="B2039" t="inlineStr">
        <is>
          <t>528000282</t>
        </is>
      </c>
      <c r="C2039" t="inlineStr">
        <is>
          <t>Defa Desfiana</t>
        </is>
      </c>
      <c r="D2039" t="inlineStr">
        <is>
          <t>PROD</t>
        </is>
      </c>
      <c r="E2039" t="inlineStr">
        <is>
          <t>Produksi Harian</t>
        </is>
      </c>
      <c r="F2039" t="inlineStr">
        <is>
          <t>07:41:10</t>
        </is>
      </c>
      <c r="G2039" t="inlineStr">
        <is>
          <t>16:06:21</t>
        </is>
      </c>
      <c r="H2039" t="inlineStr">
        <is>
          <t>SELESAI</t>
        </is>
      </c>
      <c r="I2039" t="inlineStr">
        <is>
          <t>MK00108</t>
        </is>
      </c>
      <c r="J2039" t="inlineStr">
        <is>
          <t>32c</t>
        </is>
      </c>
    </row>
    <row r="2040">
      <c r="A2040" t="inlineStr">
        <is>
          <t>20/07/2026</t>
        </is>
      </c>
      <c r="B2040" t="inlineStr">
        <is>
          <t>528000283</t>
        </is>
      </c>
      <c r="C2040" t="inlineStr">
        <is>
          <t>Purwanda Sugiri</t>
        </is>
      </c>
      <c r="D2040" t="inlineStr">
        <is>
          <t>LOG</t>
        </is>
      </c>
      <c r="E2040" t="inlineStr">
        <is>
          <t>WRM Harian</t>
        </is>
      </c>
      <c r="F2040" t="inlineStr">
        <is>
          <t>13:45:04</t>
        </is>
      </c>
      <c r="G2040" t="inlineStr">
        <is>
          <t>13:43:35</t>
        </is>
      </c>
      <c r="H2040" t="inlineStr">
        <is>
          <t>SELESAI</t>
        </is>
      </c>
      <c r="I2040" t="inlineStr">
        <is>
          <t>MK00093</t>
        </is>
      </c>
      <c r="J2040" t="inlineStr"/>
    </row>
    <row r="2041">
      <c r="A2041" t="inlineStr">
        <is>
          <t>20/07/2026</t>
        </is>
      </c>
      <c r="B2041" t="inlineStr">
        <is>
          <t>528000286</t>
        </is>
      </c>
      <c r="C2041" t="inlineStr">
        <is>
          <t>Imelda Amelia</t>
        </is>
      </c>
      <c r="D2041" t="inlineStr">
        <is>
          <t>PROD</t>
        </is>
      </c>
      <c r="E2041" t="inlineStr">
        <is>
          <t>Produksi Harian</t>
        </is>
      </c>
      <c r="F2041" t="inlineStr">
        <is>
          <t>05:45:58</t>
        </is>
      </c>
      <c r="G2041" t="inlineStr">
        <is>
          <t>14:06:13</t>
        </is>
      </c>
      <c r="H2041" t="inlineStr">
        <is>
          <t>SELESAI</t>
        </is>
      </c>
      <c r="I2041" t="inlineStr">
        <is>
          <t>MK00184</t>
        </is>
      </c>
      <c r="J2041" t="inlineStr"/>
    </row>
    <row r="2042">
      <c r="A2042" t="inlineStr">
        <is>
          <t>20/07/2026</t>
        </is>
      </c>
      <c r="B2042" t="inlineStr">
        <is>
          <t>528000289</t>
        </is>
      </c>
      <c r="C2042" t="inlineStr">
        <is>
          <t>Adit Supriyadi</t>
        </is>
      </c>
      <c r="D2042" t="inlineStr">
        <is>
          <t>PROD</t>
        </is>
      </c>
      <c r="E2042" t="inlineStr">
        <is>
          <t>Produksi Harian</t>
        </is>
      </c>
      <c r="F2042" t="inlineStr">
        <is>
          <t>05:41:26</t>
        </is>
      </c>
      <c r="G2042" t="inlineStr">
        <is>
          <t>14:04:01</t>
        </is>
      </c>
      <c r="H2042" t="inlineStr">
        <is>
          <t>SELESAI</t>
        </is>
      </c>
      <c r="I2042" t="inlineStr">
        <is>
          <t>MK00150</t>
        </is>
      </c>
      <c r="J2042" t="inlineStr"/>
    </row>
    <row r="2043">
      <c r="A2043" t="inlineStr">
        <is>
          <t>20/07/2026</t>
        </is>
      </c>
      <c r="B2043" t="inlineStr">
        <is>
          <t>528000290</t>
        </is>
      </c>
      <c r="C2043" t="inlineStr">
        <is>
          <t>Eval Pranata</t>
        </is>
      </c>
      <c r="D2043" t="inlineStr">
        <is>
          <t>PROD</t>
        </is>
      </c>
      <c r="E2043" t="inlineStr">
        <is>
          <t>Produksi Harian</t>
        </is>
      </c>
      <c r="F2043" t="inlineStr">
        <is>
          <t>05:57:59</t>
        </is>
      </c>
      <c r="G2043" t="inlineStr">
        <is>
          <t>14:03:18</t>
        </is>
      </c>
      <c r="H2043" t="inlineStr">
        <is>
          <t>SELESAI</t>
        </is>
      </c>
      <c r="I2043" t="inlineStr">
        <is>
          <t>MK00141</t>
        </is>
      </c>
      <c r="J2043" t="inlineStr"/>
    </row>
    <row r="2044">
      <c r="A2044" t="inlineStr">
        <is>
          <t>20/07/2026</t>
        </is>
      </c>
      <c r="B2044" t="inlineStr">
        <is>
          <t>528000291</t>
        </is>
      </c>
      <c r="C2044" t="inlineStr">
        <is>
          <t>Andrian</t>
        </is>
      </c>
      <c r="D2044" t="inlineStr">
        <is>
          <t>PROD</t>
        </is>
      </c>
      <c r="E2044" t="inlineStr">
        <is>
          <t>Produksi Harian</t>
        </is>
      </c>
      <c r="F2044" t="inlineStr">
        <is>
          <t>13:47:12</t>
        </is>
      </c>
      <c r="G2044" t="inlineStr">
        <is>
          <t>22:02:39</t>
        </is>
      </c>
      <c r="H2044" t="inlineStr">
        <is>
          <t>SELESAI</t>
        </is>
      </c>
      <c r="I2044" t="inlineStr">
        <is>
          <t>MK00250</t>
        </is>
      </c>
      <c r="J2044" t="inlineStr"/>
    </row>
    <row r="2045">
      <c r="A2045" t="inlineStr">
        <is>
          <t>20/07/2026</t>
        </is>
      </c>
      <c r="B2045" t="inlineStr">
        <is>
          <t>528000297</t>
        </is>
      </c>
      <c r="C2045" t="inlineStr">
        <is>
          <t>Muhamad Budiana</t>
        </is>
      </c>
      <c r="D2045" t="inlineStr">
        <is>
          <t>PROD</t>
        </is>
      </c>
      <c r="E2045" t="inlineStr">
        <is>
          <t>Produksi Harian</t>
        </is>
      </c>
      <c r="F2045" t="inlineStr">
        <is>
          <t>21:50:08</t>
        </is>
      </c>
      <c r="G2045" t="inlineStr">
        <is>
          <t>06:42:30</t>
        </is>
      </c>
      <c r="H2045" t="inlineStr">
        <is>
          <t>SELESAI</t>
        </is>
      </c>
      <c r="I2045" t="inlineStr">
        <is>
          <t>MK00095</t>
        </is>
      </c>
      <c r="J2045" t="inlineStr"/>
    </row>
    <row r="2046">
      <c r="A2046" t="inlineStr">
        <is>
          <t>20/07/2026</t>
        </is>
      </c>
      <c r="B2046" t="inlineStr">
        <is>
          <t>528000300</t>
        </is>
      </c>
      <c r="C2046" t="inlineStr">
        <is>
          <t>Lia pitaloka</t>
        </is>
      </c>
      <c r="D2046" t="inlineStr">
        <is>
          <t>PROD</t>
        </is>
      </c>
      <c r="E2046" t="inlineStr">
        <is>
          <t>Produksi Harian</t>
        </is>
      </c>
      <c r="F2046" t="inlineStr">
        <is>
          <t>21:54:44</t>
        </is>
      </c>
      <c r="G2046" t="inlineStr">
        <is>
          <t>06:06:01</t>
        </is>
      </c>
      <c r="H2046" t="inlineStr">
        <is>
          <t>SELESAI</t>
        </is>
      </c>
      <c r="I2046" t="inlineStr">
        <is>
          <t>MK00136</t>
        </is>
      </c>
      <c r="J2046" t="inlineStr"/>
    </row>
    <row r="2047">
      <c r="A2047" t="inlineStr">
        <is>
          <t>20/07/2026</t>
        </is>
      </c>
      <c r="B2047" t="inlineStr">
        <is>
          <t>528000306</t>
        </is>
      </c>
      <c r="C2047" t="inlineStr">
        <is>
          <t>Windy Olivia</t>
        </is>
      </c>
      <c r="D2047" t="inlineStr">
        <is>
          <t>PROD</t>
        </is>
      </c>
      <c r="E2047" t="inlineStr">
        <is>
          <t>Produksi Harian</t>
        </is>
      </c>
      <c r="F2047" t="inlineStr">
        <is>
          <t>13:46:09</t>
        </is>
      </c>
      <c r="G2047" t="inlineStr">
        <is>
          <t>22:02:36</t>
        </is>
      </c>
      <c r="H2047" t="inlineStr">
        <is>
          <t>SELESAI</t>
        </is>
      </c>
      <c r="I2047" t="inlineStr">
        <is>
          <t>MK00230</t>
        </is>
      </c>
      <c r="J2047" t="inlineStr"/>
    </row>
    <row r="2048">
      <c r="A2048" t="inlineStr">
        <is>
          <t>20/07/2026</t>
        </is>
      </c>
      <c r="B2048" t="inlineStr">
        <is>
          <t>528000310</t>
        </is>
      </c>
      <c r="C2048" t="inlineStr">
        <is>
          <t>Fachrul Rozzi Suryana</t>
        </is>
      </c>
      <c r="D2048" t="inlineStr">
        <is>
          <t>LOG</t>
        </is>
      </c>
      <c r="E2048" t="inlineStr">
        <is>
          <t>WRM Harian</t>
        </is>
      </c>
      <c r="F2048" t="inlineStr">
        <is>
          <t>07:55:10</t>
        </is>
      </c>
      <c r="G2048" t="inlineStr">
        <is>
          <t>16:01:25</t>
        </is>
      </c>
      <c r="H2048" t="inlineStr">
        <is>
          <t>SELESAI</t>
        </is>
      </c>
      <c r="I2048" t="inlineStr">
        <is>
          <t>MK00055</t>
        </is>
      </c>
      <c r="J2048" t="inlineStr">
        <is>
          <t>10D</t>
        </is>
      </c>
    </row>
    <row r="2049">
      <c r="A2049" t="inlineStr">
        <is>
          <t>20/07/2026</t>
        </is>
      </c>
      <c r="B2049" t="inlineStr">
        <is>
          <t>528000323</t>
        </is>
      </c>
      <c r="C2049" t="inlineStr">
        <is>
          <t>Dian Hamidah</t>
        </is>
      </c>
      <c r="D2049" t="inlineStr">
        <is>
          <t>PROD</t>
        </is>
      </c>
      <c r="E2049" t="inlineStr">
        <is>
          <t>Produksi Harian</t>
        </is>
      </c>
      <c r="F2049" t="inlineStr">
        <is>
          <t>21:38:07</t>
        </is>
      </c>
      <c r="G2049" t="inlineStr"/>
      <c r="H2049" t="inlineStr">
        <is>
          <t>DI DALAM</t>
        </is>
      </c>
      <c r="I2049" t="inlineStr">
        <is>
          <t>MK00160</t>
        </is>
      </c>
      <c r="J2049" t="inlineStr"/>
    </row>
    <row r="2050">
      <c r="A2050" t="inlineStr">
        <is>
          <t>20/07/2026</t>
        </is>
      </c>
      <c r="B2050" t="inlineStr">
        <is>
          <t>528000324</t>
        </is>
      </c>
      <c r="C2050" t="inlineStr">
        <is>
          <t>Sri Yanti</t>
        </is>
      </c>
      <c r="D2050" t="inlineStr">
        <is>
          <t>PROD</t>
        </is>
      </c>
      <c r="E2050" t="inlineStr">
        <is>
          <t>Produksi Harian</t>
        </is>
      </c>
      <c r="F2050" t="inlineStr"/>
      <c r="G2050" t="inlineStr">
        <is>
          <t>06:03:00</t>
        </is>
      </c>
      <c r="H2050" t="inlineStr">
        <is>
          <t>KELUAR TANPA MASUK</t>
        </is>
      </c>
      <c r="I2050" t="inlineStr">
        <is>
          <t>MK00235</t>
        </is>
      </c>
      <c r="J2050" t="inlineStr"/>
    </row>
    <row r="2051">
      <c r="A2051" t="inlineStr">
        <is>
          <t>20/07/2026</t>
        </is>
      </c>
      <c r="B2051" t="inlineStr">
        <is>
          <t>528000328</t>
        </is>
      </c>
      <c r="C2051" t="inlineStr">
        <is>
          <t>Nur Anjani</t>
        </is>
      </c>
      <c r="D2051" t="inlineStr">
        <is>
          <t>PROD</t>
        </is>
      </c>
      <c r="E2051" t="inlineStr">
        <is>
          <t>Produksi Harian</t>
        </is>
      </c>
      <c r="F2051" t="inlineStr">
        <is>
          <t>13:36:59</t>
        </is>
      </c>
      <c r="G2051" t="inlineStr">
        <is>
          <t>22:04:33</t>
        </is>
      </c>
      <c r="H2051" t="inlineStr">
        <is>
          <t>SELESAI</t>
        </is>
      </c>
      <c r="I2051" t="inlineStr">
        <is>
          <t>MK00213</t>
        </is>
      </c>
      <c r="J2051" t="inlineStr"/>
    </row>
    <row r="2052">
      <c r="A2052" t="inlineStr">
        <is>
          <t>20/07/2026</t>
        </is>
      </c>
      <c r="B2052" t="inlineStr">
        <is>
          <t>528000332</t>
        </is>
      </c>
      <c r="C2052" t="inlineStr">
        <is>
          <t>Ena Indriani</t>
        </is>
      </c>
      <c r="D2052" t="inlineStr">
        <is>
          <t>PROD</t>
        </is>
      </c>
      <c r="E2052" t="inlineStr">
        <is>
          <t>Produksi Harian</t>
        </is>
      </c>
      <c r="F2052" t="inlineStr">
        <is>
          <t>13:27:40</t>
        </is>
      </c>
      <c r="G2052" t="inlineStr"/>
      <c r="H2052" t="inlineStr">
        <is>
          <t>DI DALAM</t>
        </is>
      </c>
      <c r="I2052" t="inlineStr">
        <is>
          <t>MKOO138</t>
        </is>
      </c>
      <c r="J2052" t="inlineStr"/>
    </row>
    <row r="2053">
      <c r="A2053" t="inlineStr">
        <is>
          <t>20/07/2026</t>
        </is>
      </c>
      <c r="B2053" t="inlineStr">
        <is>
          <t>528000335</t>
        </is>
      </c>
      <c r="C2053" t="inlineStr">
        <is>
          <t>Rizal Saepuloh</t>
        </is>
      </c>
      <c r="D2053" t="inlineStr">
        <is>
          <t>LOG</t>
        </is>
      </c>
      <c r="E2053" t="inlineStr">
        <is>
          <t>WRM Harian</t>
        </is>
      </c>
      <c r="F2053" t="inlineStr">
        <is>
          <t>15:54:34</t>
        </is>
      </c>
      <c r="G2053" t="inlineStr">
        <is>
          <t>00:00:39</t>
        </is>
      </c>
      <c r="H2053" t="inlineStr">
        <is>
          <t>SELESAI</t>
        </is>
      </c>
      <c r="I2053" t="inlineStr">
        <is>
          <t>MK00204</t>
        </is>
      </c>
      <c r="J2053" t="inlineStr"/>
    </row>
    <row r="2054">
      <c r="A2054" t="inlineStr">
        <is>
          <t>20/07/2026</t>
        </is>
      </c>
      <c r="B2054" t="inlineStr">
        <is>
          <t>528000336</t>
        </is>
      </c>
      <c r="C2054" t="inlineStr">
        <is>
          <t>Ali Nurhanafi</t>
        </is>
      </c>
      <c r="D2054" t="inlineStr">
        <is>
          <t>PROD</t>
        </is>
      </c>
      <c r="E2054" t="inlineStr">
        <is>
          <t>Produksi Harian</t>
        </is>
      </c>
      <c r="F2054" t="inlineStr">
        <is>
          <t>12:57:22</t>
        </is>
      </c>
      <c r="G2054" t="inlineStr">
        <is>
          <t>22:04:59</t>
        </is>
      </c>
      <c r="H2054" t="inlineStr">
        <is>
          <t>SELESAI</t>
        </is>
      </c>
      <c r="I2054" t="inlineStr">
        <is>
          <t>MK00085</t>
        </is>
      </c>
      <c r="J2054" t="inlineStr"/>
    </row>
    <row r="2055">
      <c r="A2055" t="inlineStr">
        <is>
          <t>20/07/2026</t>
        </is>
      </c>
      <c r="B2055" t="inlineStr">
        <is>
          <t>528000337</t>
        </is>
      </c>
      <c r="C2055" t="inlineStr">
        <is>
          <t>Ahmad Zaldi Firdaus</t>
        </is>
      </c>
      <c r="D2055" t="inlineStr">
        <is>
          <t>PROD</t>
        </is>
      </c>
      <c r="E2055" t="inlineStr">
        <is>
          <t>Produksi Harian</t>
        </is>
      </c>
      <c r="F2055" t="inlineStr">
        <is>
          <t>12:57:30</t>
        </is>
      </c>
      <c r="G2055" t="inlineStr">
        <is>
          <t>22:05:35</t>
        </is>
      </c>
      <c r="H2055" t="inlineStr">
        <is>
          <t>SELESAI</t>
        </is>
      </c>
      <c r="I2055" t="inlineStr">
        <is>
          <t>MK00202</t>
        </is>
      </c>
      <c r="J2055" t="inlineStr"/>
    </row>
    <row r="2056">
      <c r="A2056" t="inlineStr">
        <is>
          <t>20/07/2026</t>
        </is>
      </c>
      <c r="B2056" t="inlineStr">
        <is>
          <t>528000339</t>
        </is>
      </c>
      <c r="C2056" t="inlineStr">
        <is>
          <t>Muhamad Ripai'i</t>
        </is>
      </c>
      <c r="D2056" t="inlineStr">
        <is>
          <t>HRGA</t>
        </is>
      </c>
      <c r="E2056" t="inlineStr">
        <is>
          <t>GA Harian</t>
        </is>
      </c>
      <c r="F2056" t="inlineStr">
        <is>
          <t>05:33:46</t>
        </is>
      </c>
      <c r="G2056" t="inlineStr">
        <is>
          <t>14:08:14</t>
        </is>
      </c>
      <c r="H2056" t="inlineStr">
        <is>
          <t>SELESAI</t>
        </is>
      </c>
      <c r="I2056" t="inlineStr">
        <is>
          <t>MK00235</t>
        </is>
      </c>
      <c r="J2056" t="inlineStr"/>
    </row>
    <row r="2057">
      <c r="A2057" t="inlineStr">
        <is>
          <t>20/07/2026</t>
        </is>
      </c>
      <c r="B2057" t="inlineStr">
        <is>
          <t>528000340</t>
        </is>
      </c>
      <c r="C2057" t="inlineStr">
        <is>
          <t>Muhammad Wildan Adithya</t>
        </is>
      </c>
      <c r="D2057" t="inlineStr">
        <is>
          <t>PROD</t>
        </is>
      </c>
      <c r="E2057" t="inlineStr">
        <is>
          <t>Produksi Harian</t>
        </is>
      </c>
      <c r="F2057" t="inlineStr">
        <is>
          <t>14:26:20</t>
        </is>
      </c>
      <c r="G2057" t="inlineStr">
        <is>
          <t>07:35:24</t>
        </is>
      </c>
      <c r="H2057" t="inlineStr">
        <is>
          <t>SELESAI</t>
        </is>
      </c>
      <c r="I2057" t="inlineStr">
        <is>
          <t>MK00218</t>
        </is>
      </c>
      <c r="J2057" t="inlineStr"/>
    </row>
    <row r="2058">
      <c r="A2058" t="inlineStr">
        <is>
          <t>20/07/2026</t>
        </is>
      </c>
      <c r="B2058" t="inlineStr">
        <is>
          <t>528000348</t>
        </is>
      </c>
      <c r="C2058" t="inlineStr">
        <is>
          <t>Saepuloh Ardiansah</t>
        </is>
      </c>
      <c r="D2058" t="inlineStr">
        <is>
          <t>LOG</t>
        </is>
      </c>
      <c r="E2058" t="inlineStr">
        <is>
          <t>WRM Harian</t>
        </is>
      </c>
      <c r="F2058" t="inlineStr"/>
      <c r="G2058" t="inlineStr">
        <is>
          <t>17:03:14</t>
        </is>
      </c>
      <c r="H2058" t="inlineStr">
        <is>
          <t>KELUAR TANPA MASUK</t>
        </is>
      </c>
      <c r="I2058" t="inlineStr">
        <is>
          <t>MK00205</t>
        </is>
      </c>
      <c r="J2058" t="inlineStr"/>
    </row>
    <row r="2059">
      <c r="A2059" t="inlineStr">
        <is>
          <t>20/07/2026</t>
        </is>
      </c>
      <c r="B2059" t="inlineStr">
        <is>
          <t>528000349</t>
        </is>
      </c>
      <c r="C2059" t="inlineStr">
        <is>
          <t>Anas Abdul Fatah</t>
        </is>
      </c>
      <c r="D2059" t="inlineStr">
        <is>
          <t>LOG</t>
        </is>
      </c>
      <c r="E2059" t="inlineStr">
        <is>
          <t>WFG Harian</t>
        </is>
      </c>
      <c r="F2059" t="inlineStr">
        <is>
          <t>09:43:44</t>
        </is>
      </c>
      <c r="G2059" t="inlineStr">
        <is>
          <t>18:14:36</t>
        </is>
      </c>
      <c r="H2059" t="inlineStr">
        <is>
          <t>SELESAI</t>
        </is>
      </c>
      <c r="I2059" t="inlineStr">
        <is>
          <t>MK00160</t>
        </is>
      </c>
      <c r="J2059" t="inlineStr"/>
    </row>
    <row r="2060">
      <c r="A2060" t="inlineStr">
        <is>
          <t>20/07/2026</t>
        </is>
      </c>
      <c r="B2060" t="inlineStr">
        <is>
          <t>528000351</t>
        </is>
      </c>
      <c r="C2060" t="inlineStr">
        <is>
          <t>Mulyana</t>
        </is>
      </c>
      <c r="D2060" t="inlineStr">
        <is>
          <t>PROD</t>
        </is>
      </c>
      <c r="E2060" t="inlineStr">
        <is>
          <t>Produksi Harian</t>
        </is>
      </c>
      <c r="F2060" t="inlineStr">
        <is>
          <t>07:52:36</t>
        </is>
      </c>
      <c r="G2060" t="inlineStr">
        <is>
          <t>16:00:08</t>
        </is>
      </c>
      <c r="H2060" t="inlineStr">
        <is>
          <t>SELESAI</t>
        </is>
      </c>
      <c r="I2060" t="inlineStr">
        <is>
          <t>MK00185</t>
        </is>
      </c>
      <c r="J2060" t="inlineStr"/>
    </row>
    <row r="2061">
      <c r="A2061" t="inlineStr">
        <is>
          <t>20/07/2026</t>
        </is>
      </c>
      <c r="B2061" t="inlineStr">
        <is>
          <t>528000358</t>
        </is>
      </c>
      <c r="C2061" t="inlineStr">
        <is>
          <t>Lulu Agustin</t>
        </is>
      </c>
      <c r="D2061" t="inlineStr">
        <is>
          <t>PROD</t>
        </is>
      </c>
      <c r="E2061" t="inlineStr">
        <is>
          <t>Produksi Harian</t>
        </is>
      </c>
      <c r="F2061" t="inlineStr">
        <is>
          <t>13:43:57</t>
        </is>
      </c>
      <c r="G2061" t="inlineStr">
        <is>
          <t>22:03:39</t>
        </is>
      </c>
      <c r="H2061" t="inlineStr">
        <is>
          <t>SELESAI</t>
        </is>
      </c>
      <c r="I2061" t="inlineStr">
        <is>
          <t>MK00143</t>
        </is>
      </c>
      <c r="J2061" t="inlineStr"/>
    </row>
    <row r="2062">
      <c r="A2062" t="inlineStr">
        <is>
          <t>20/07/2026</t>
        </is>
      </c>
      <c r="B2062" t="inlineStr">
        <is>
          <t>628000064</t>
        </is>
      </c>
      <c r="C2062" t="inlineStr">
        <is>
          <t>Silva Alypia</t>
        </is>
      </c>
      <c r="D2062" t="inlineStr">
        <is>
          <t>PROD</t>
        </is>
      </c>
      <c r="E2062" t="inlineStr">
        <is>
          <t>Produksi Borongan</t>
        </is>
      </c>
      <c r="F2062" t="inlineStr">
        <is>
          <t>21:47:00</t>
        </is>
      </c>
      <c r="G2062" t="inlineStr">
        <is>
          <t>06:05:53</t>
        </is>
      </c>
      <c r="H2062" t="inlineStr">
        <is>
          <t>SELESAI</t>
        </is>
      </c>
      <c r="I2062" t="inlineStr">
        <is>
          <t>MK00150</t>
        </is>
      </c>
      <c r="J2062" t="inlineStr"/>
    </row>
    <row r="2063">
      <c r="A2063" t="inlineStr">
        <is>
          <t>21/07/2026</t>
        </is>
      </c>
      <c r="B2063" t="inlineStr">
        <is>
          <t>528000015</t>
        </is>
      </c>
      <c r="C2063" t="inlineStr">
        <is>
          <t>Erwin</t>
        </is>
      </c>
      <c r="D2063" t="inlineStr">
        <is>
          <t>LOG</t>
        </is>
      </c>
      <c r="E2063" t="inlineStr">
        <is>
          <t>WRM Harian</t>
        </is>
      </c>
      <c r="F2063" t="inlineStr">
        <is>
          <t>13:43:24</t>
        </is>
      </c>
      <c r="G2063" t="inlineStr">
        <is>
          <t>22:19:30</t>
        </is>
      </c>
      <c r="H2063" t="inlineStr">
        <is>
          <t>SELESAI</t>
        </is>
      </c>
      <c r="I2063" t="inlineStr">
        <is>
          <t>MK00208</t>
        </is>
      </c>
      <c r="J2063" t="inlineStr"/>
    </row>
    <row r="2064">
      <c r="A2064" t="inlineStr">
        <is>
          <t>21/07/2026</t>
        </is>
      </c>
      <c r="B2064" t="inlineStr">
        <is>
          <t>528000040</t>
        </is>
      </c>
      <c r="C2064" t="inlineStr">
        <is>
          <t>Agus Suryaman</t>
        </is>
      </c>
      <c r="D2064" t="inlineStr">
        <is>
          <t>PROD</t>
        </is>
      </c>
      <c r="E2064" t="inlineStr">
        <is>
          <t>Produksi Harian</t>
        </is>
      </c>
      <c r="F2064" t="inlineStr">
        <is>
          <t>08:44:07</t>
        </is>
      </c>
      <c r="G2064" t="inlineStr">
        <is>
          <t>17:07:11</t>
        </is>
      </c>
      <c r="H2064" t="inlineStr">
        <is>
          <t>SELESAI</t>
        </is>
      </c>
      <c r="I2064" t="inlineStr">
        <is>
          <t>MK00141</t>
        </is>
      </c>
      <c r="J2064" t="inlineStr"/>
    </row>
    <row r="2065">
      <c r="A2065" t="inlineStr">
        <is>
          <t>21/07/2026</t>
        </is>
      </c>
      <c r="B2065" t="inlineStr">
        <is>
          <t>528000069</t>
        </is>
      </c>
      <c r="C2065" t="inlineStr">
        <is>
          <t>Jajang Ardiansyah</t>
        </is>
      </c>
      <c r="D2065" t="inlineStr">
        <is>
          <t>PROD</t>
        </is>
      </c>
      <c r="E2065" t="inlineStr">
        <is>
          <t>Produksi Harian</t>
        </is>
      </c>
      <c r="F2065" t="inlineStr">
        <is>
          <t>07:02:48</t>
        </is>
      </c>
      <c r="G2065" t="inlineStr">
        <is>
          <t>16:29:22</t>
        </is>
      </c>
      <c r="H2065" t="inlineStr">
        <is>
          <t>SELESAI</t>
        </is>
      </c>
      <c r="I2065" t="inlineStr">
        <is>
          <t>MK00217</t>
        </is>
      </c>
      <c r="J2065" t="inlineStr"/>
    </row>
    <row r="2066">
      <c r="A2066" t="inlineStr">
        <is>
          <t>21/07/2026</t>
        </is>
      </c>
      <c r="B2066" t="inlineStr">
        <is>
          <t>528000090</t>
        </is>
      </c>
      <c r="C2066" t="inlineStr">
        <is>
          <t>Suganda</t>
        </is>
      </c>
      <c r="D2066" t="inlineStr">
        <is>
          <t>PROD</t>
        </is>
      </c>
      <c r="E2066" t="inlineStr">
        <is>
          <t>Produksi Harian</t>
        </is>
      </c>
      <c r="F2066" t="inlineStr">
        <is>
          <t>06:00:38</t>
        </is>
      </c>
      <c r="G2066" t="inlineStr">
        <is>
          <t>14:00:16</t>
        </is>
      </c>
      <c r="H2066" t="inlineStr">
        <is>
          <t>SELESAI</t>
        </is>
      </c>
      <c r="I2066" t="inlineStr">
        <is>
          <t>MK00230</t>
        </is>
      </c>
      <c r="J2066" t="inlineStr"/>
    </row>
    <row r="2067">
      <c r="A2067" t="inlineStr">
        <is>
          <t>21/07/2026</t>
        </is>
      </c>
      <c r="B2067" t="inlineStr">
        <is>
          <t>528000098</t>
        </is>
      </c>
      <c r="C2067" t="inlineStr">
        <is>
          <t>Edi Junaedi</t>
        </is>
      </c>
      <c r="D2067" t="inlineStr">
        <is>
          <t>PROD</t>
        </is>
      </c>
      <c r="E2067" t="inlineStr">
        <is>
          <t>Produksi Harian</t>
        </is>
      </c>
      <c r="F2067" t="inlineStr">
        <is>
          <t>13:53:30</t>
        </is>
      </c>
      <c r="G2067" t="inlineStr"/>
      <c r="H2067" t="inlineStr">
        <is>
          <t>DI DALAM</t>
        </is>
      </c>
      <c r="I2067" t="inlineStr">
        <is>
          <t>MK00030</t>
        </is>
      </c>
      <c r="J2067" t="inlineStr"/>
    </row>
    <row r="2068">
      <c r="A2068" t="inlineStr">
        <is>
          <t>21/07/2026</t>
        </is>
      </c>
      <c r="B2068" t="inlineStr">
        <is>
          <t>528000099</t>
        </is>
      </c>
      <c r="C2068" t="inlineStr">
        <is>
          <t>Siti Nurawaliah</t>
        </is>
      </c>
      <c r="D2068" t="inlineStr">
        <is>
          <t>PROD</t>
        </is>
      </c>
      <c r="E2068" t="inlineStr">
        <is>
          <t>Produksi Harian</t>
        </is>
      </c>
      <c r="F2068" t="inlineStr">
        <is>
          <t>05:53:23</t>
        </is>
      </c>
      <c r="G2068" t="inlineStr">
        <is>
          <t>14:03:28</t>
        </is>
      </c>
      <c r="H2068" t="inlineStr">
        <is>
          <t>SELESAI</t>
        </is>
      </c>
      <c r="I2068" t="inlineStr">
        <is>
          <t>MK00184</t>
        </is>
      </c>
      <c r="J2068" t="inlineStr"/>
    </row>
    <row r="2069">
      <c r="A2069" t="inlineStr">
        <is>
          <t>21/07/2026</t>
        </is>
      </c>
      <c r="B2069" t="inlineStr">
        <is>
          <t>528000144</t>
        </is>
      </c>
      <c r="C2069" t="inlineStr">
        <is>
          <t>Jodi Hanafi</t>
        </is>
      </c>
      <c r="D2069" t="inlineStr">
        <is>
          <t>LOG</t>
        </is>
      </c>
      <c r="E2069" t="inlineStr">
        <is>
          <t>WRM Harian</t>
        </is>
      </c>
      <c r="F2069" t="inlineStr">
        <is>
          <t>14:09:22</t>
        </is>
      </c>
      <c r="G2069" t="inlineStr">
        <is>
          <t>01:11:28</t>
        </is>
      </c>
      <c r="H2069" t="inlineStr">
        <is>
          <t>SELESAI</t>
        </is>
      </c>
      <c r="I2069" t="inlineStr">
        <is>
          <t>MK00030</t>
        </is>
      </c>
      <c r="J2069" t="inlineStr"/>
    </row>
    <row r="2070">
      <c r="A2070" t="inlineStr">
        <is>
          <t>21/07/2026</t>
        </is>
      </c>
      <c r="B2070" t="inlineStr">
        <is>
          <t>528000201</t>
        </is>
      </c>
      <c r="C2070" t="inlineStr">
        <is>
          <t>Zahwa Amelia Choerunissa</t>
        </is>
      </c>
      <c r="D2070" t="inlineStr">
        <is>
          <t>PROD</t>
        </is>
      </c>
      <c r="E2070" t="inlineStr">
        <is>
          <t>Produksi Harian</t>
        </is>
      </c>
      <c r="F2070" t="inlineStr">
        <is>
          <t>05:51:28</t>
        </is>
      </c>
      <c r="G2070" t="inlineStr">
        <is>
          <t>14:03:01</t>
        </is>
      </c>
      <c r="H2070" t="inlineStr">
        <is>
          <t>SELESAI</t>
        </is>
      </c>
      <c r="I2070" t="inlineStr">
        <is>
          <t>MK00085</t>
        </is>
      </c>
      <c r="J2070" t="inlineStr"/>
    </row>
    <row r="2071">
      <c r="A2071" t="inlineStr">
        <is>
          <t>21/07/2026</t>
        </is>
      </c>
      <c r="B2071" t="inlineStr">
        <is>
          <t>528000203</t>
        </is>
      </c>
      <c r="C2071" t="inlineStr">
        <is>
          <t>Yudha Ramdhan Putra</t>
        </is>
      </c>
      <c r="D2071" t="inlineStr">
        <is>
          <t>ENG</t>
        </is>
      </c>
      <c r="E2071" t="inlineStr">
        <is>
          <t>Engineering Harian</t>
        </is>
      </c>
      <c r="F2071" t="inlineStr">
        <is>
          <t>08:02:30</t>
        </is>
      </c>
      <c r="G2071" t="inlineStr"/>
      <c r="H2071" t="inlineStr">
        <is>
          <t>DI DALAM</t>
        </is>
      </c>
      <c r="I2071" t="inlineStr">
        <is>
          <t>220</t>
        </is>
      </c>
      <c r="J2071" t="inlineStr"/>
    </row>
    <row r="2072">
      <c r="A2072" t="inlineStr">
        <is>
          <t>21/07/2026</t>
        </is>
      </c>
      <c r="B2072" t="inlineStr">
        <is>
          <t>528000212</t>
        </is>
      </c>
      <c r="C2072" t="inlineStr">
        <is>
          <t>Rizal Fauzi</t>
        </is>
      </c>
      <c r="D2072" t="inlineStr">
        <is>
          <t>PROD</t>
        </is>
      </c>
      <c r="E2072" t="inlineStr">
        <is>
          <t>Produksi Harian</t>
        </is>
      </c>
      <c r="F2072" t="inlineStr">
        <is>
          <t>05:58:54</t>
        </is>
      </c>
      <c r="G2072" t="inlineStr">
        <is>
          <t>14:44:08</t>
        </is>
      </c>
      <c r="H2072" t="inlineStr">
        <is>
          <t>SELESAI</t>
        </is>
      </c>
      <c r="I2072" t="inlineStr">
        <is>
          <t>MK00143</t>
        </is>
      </c>
      <c r="J2072" t="inlineStr"/>
    </row>
    <row r="2073">
      <c r="A2073" t="inlineStr">
        <is>
          <t>21/07/2026</t>
        </is>
      </c>
      <c r="B2073" t="inlineStr">
        <is>
          <t>528000228</t>
        </is>
      </c>
      <c r="C2073" t="inlineStr">
        <is>
          <t>Banyu Resmi Putri</t>
        </is>
      </c>
      <c r="D2073" t="inlineStr">
        <is>
          <t>PROD</t>
        </is>
      </c>
      <c r="E2073" t="inlineStr">
        <is>
          <t>Produksi Harian</t>
        </is>
      </c>
      <c r="F2073" t="inlineStr">
        <is>
          <t>05:56:14</t>
        </is>
      </c>
      <c r="G2073" t="inlineStr">
        <is>
          <t>14:02:48</t>
        </is>
      </c>
      <c r="H2073" t="inlineStr">
        <is>
          <t>SELESAI</t>
        </is>
      </c>
      <c r="I2073" t="inlineStr">
        <is>
          <t>MK00055</t>
        </is>
      </c>
      <c r="J2073" t="inlineStr"/>
    </row>
    <row r="2074">
      <c r="A2074" t="inlineStr">
        <is>
          <t>21/07/2026</t>
        </is>
      </c>
      <c r="B2074" t="inlineStr">
        <is>
          <t>528000232</t>
        </is>
      </c>
      <c r="C2074" t="inlineStr">
        <is>
          <t>Agung Aji Suhada</t>
        </is>
      </c>
      <c r="D2074" t="inlineStr">
        <is>
          <t>LOG</t>
        </is>
      </c>
      <c r="E2074" t="inlineStr">
        <is>
          <t>WRM Harian</t>
        </is>
      </c>
      <c r="F2074" t="inlineStr">
        <is>
          <t>15:53:03</t>
        </is>
      </c>
      <c r="G2074" t="inlineStr">
        <is>
          <t>00:02:58</t>
        </is>
      </c>
      <c r="H2074" t="inlineStr">
        <is>
          <t>SELESAI</t>
        </is>
      </c>
      <c r="I2074" t="inlineStr">
        <is>
          <t>MK00210</t>
        </is>
      </c>
      <c r="J2074" t="inlineStr"/>
    </row>
    <row r="2075">
      <c r="A2075" t="inlineStr">
        <is>
          <t>21/07/2026</t>
        </is>
      </c>
      <c r="B2075" t="inlineStr">
        <is>
          <t>528000241</t>
        </is>
      </c>
      <c r="C2075" t="inlineStr">
        <is>
          <t>Balia Nurafif Bilah</t>
        </is>
      </c>
      <c r="D2075" t="inlineStr">
        <is>
          <t>PROD</t>
        </is>
      </c>
      <c r="E2075" t="inlineStr">
        <is>
          <t>Produksi Harian</t>
        </is>
      </c>
      <c r="F2075" t="inlineStr">
        <is>
          <t>05:52:43</t>
        </is>
      </c>
      <c r="G2075" t="inlineStr">
        <is>
          <t>14:01:08</t>
        </is>
      </c>
      <c r="H2075" t="inlineStr">
        <is>
          <t>SELESAI</t>
        </is>
      </c>
      <c r="I2075" t="inlineStr">
        <is>
          <t>MK00109</t>
        </is>
      </c>
      <c r="J2075" t="inlineStr"/>
    </row>
    <row r="2076">
      <c r="A2076" t="inlineStr">
        <is>
          <t>21/07/2026</t>
        </is>
      </c>
      <c r="B2076" t="inlineStr">
        <is>
          <t>528000244</t>
        </is>
      </c>
      <c r="C2076" t="inlineStr">
        <is>
          <t>Rodian Rifai</t>
        </is>
      </c>
      <c r="D2076" t="inlineStr">
        <is>
          <t>PROD</t>
        </is>
      </c>
      <c r="E2076" t="inlineStr">
        <is>
          <t>Produksi Harian</t>
        </is>
      </c>
      <c r="F2076" t="inlineStr">
        <is>
          <t>05:43:43</t>
        </is>
      </c>
      <c r="G2076" t="inlineStr"/>
      <c r="H2076" t="inlineStr">
        <is>
          <t>DI DALAM</t>
        </is>
      </c>
      <c r="I2076" t="inlineStr">
        <is>
          <t>MK00202</t>
        </is>
      </c>
      <c r="J2076" t="inlineStr"/>
    </row>
    <row r="2077">
      <c r="A2077" t="inlineStr">
        <is>
          <t>21/07/2026</t>
        </is>
      </c>
      <c r="B2077" t="inlineStr">
        <is>
          <t>528000248</t>
        </is>
      </c>
      <c r="C2077" t="inlineStr">
        <is>
          <t>Roka Jaya Salka Mulya</t>
        </is>
      </c>
      <c r="D2077" t="inlineStr">
        <is>
          <t>PROD</t>
        </is>
      </c>
      <c r="E2077" t="inlineStr">
        <is>
          <t>Produksi Harian</t>
        </is>
      </c>
      <c r="F2077" t="inlineStr">
        <is>
          <t>21:45:56</t>
        </is>
      </c>
      <c r="G2077" t="inlineStr">
        <is>
          <t>06:02:22</t>
        </is>
      </c>
      <c r="H2077" t="inlineStr">
        <is>
          <t>SELESAI</t>
        </is>
      </c>
      <c r="I2077" t="inlineStr">
        <is>
          <t>MK00088</t>
        </is>
      </c>
      <c r="J2077" t="inlineStr"/>
    </row>
    <row r="2078">
      <c r="A2078" t="inlineStr">
        <is>
          <t>21/07/2026</t>
        </is>
      </c>
      <c r="B2078" t="inlineStr">
        <is>
          <t>528000265</t>
        </is>
      </c>
      <c r="C2078" t="inlineStr">
        <is>
          <t>Muhammad Haerul Rozikin</t>
        </is>
      </c>
      <c r="D2078" t="inlineStr">
        <is>
          <t>LOG</t>
        </is>
      </c>
      <c r="E2078" t="inlineStr">
        <is>
          <t>WRM Harian</t>
        </is>
      </c>
      <c r="F2078" t="inlineStr">
        <is>
          <t>07:48:22</t>
        </is>
      </c>
      <c r="G2078" t="inlineStr">
        <is>
          <t>16:03:43</t>
        </is>
      </c>
      <c r="H2078" t="inlineStr">
        <is>
          <t>SELESAI</t>
        </is>
      </c>
      <c r="I2078" t="inlineStr">
        <is>
          <t>MK00235</t>
        </is>
      </c>
      <c r="J2078" t="inlineStr"/>
    </row>
    <row r="2079">
      <c r="A2079" t="inlineStr">
        <is>
          <t>21/07/2026</t>
        </is>
      </c>
      <c r="B2079" t="inlineStr">
        <is>
          <t>528000267</t>
        </is>
      </c>
      <c r="C2079" t="inlineStr">
        <is>
          <t>Bagas Patulloh</t>
        </is>
      </c>
      <c r="D2079" t="inlineStr">
        <is>
          <t>LOG</t>
        </is>
      </c>
      <c r="E2079" t="inlineStr">
        <is>
          <t>WRM Harian</t>
        </is>
      </c>
      <c r="F2079" t="inlineStr">
        <is>
          <t>08:02:39</t>
        </is>
      </c>
      <c r="G2079" t="inlineStr"/>
      <c r="H2079" t="inlineStr">
        <is>
          <t>DI DALAM</t>
        </is>
      </c>
      <c r="I2079" t="inlineStr">
        <is>
          <t>MK00093</t>
        </is>
      </c>
      <c r="J2079" t="inlineStr"/>
    </row>
    <row r="2080">
      <c r="A2080" t="inlineStr">
        <is>
          <t>21/07/2026</t>
        </is>
      </c>
      <c r="B2080" t="inlineStr">
        <is>
          <t>528000273</t>
        </is>
      </c>
      <c r="C2080" t="inlineStr">
        <is>
          <t>Asep Mulyana</t>
        </is>
      </c>
      <c r="D2080" t="inlineStr">
        <is>
          <t>PROD</t>
        </is>
      </c>
      <c r="E2080" t="inlineStr">
        <is>
          <t>Produksi Harian</t>
        </is>
      </c>
      <c r="F2080" t="inlineStr">
        <is>
          <t>05:35:29</t>
        </is>
      </c>
      <c r="G2080" t="inlineStr">
        <is>
          <t>14:17:28</t>
        </is>
      </c>
      <c r="H2080" t="inlineStr">
        <is>
          <t>SELESAI</t>
        </is>
      </c>
      <c r="I2080" t="inlineStr">
        <is>
          <t>MK00092</t>
        </is>
      </c>
      <c r="J2080" t="inlineStr"/>
    </row>
    <row r="2081">
      <c r="A2081" t="inlineStr">
        <is>
          <t>21/07/2026</t>
        </is>
      </c>
      <c r="B2081" t="inlineStr">
        <is>
          <t>528000274</t>
        </is>
      </c>
      <c r="C2081" t="inlineStr">
        <is>
          <t>Zepri</t>
        </is>
      </c>
      <c r="D2081" t="inlineStr">
        <is>
          <t>PROD</t>
        </is>
      </c>
      <c r="E2081" t="inlineStr">
        <is>
          <t>Produksi Harian</t>
        </is>
      </c>
      <c r="F2081" t="inlineStr">
        <is>
          <t>05:56:59</t>
        </is>
      </c>
      <c r="G2081" t="inlineStr">
        <is>
          <t>14:00:19</t>
        </is>
      </c>
      <c r="H2081" t="inlineStr">
        <is>
          <t>SELESAI</t>
        </is>
      </c>
      <c r="I2081" t="inlineStr">
        <is>
          <t>MK00108</t>
        </is>
      </c>
      <c r="J2081" t="inlineStr"/>
    </row>
    <row r="2082">
      <c r="A2082" t="inlineStr">
        <is>
          <t>21/07/2026</t>
        </is>
      </c>
      <c r="B2082" t="inlineStr">
        <is>
          <t>528000279</t>
        </is>
      </c>
      <c r="C2082" t="inlineStr">
        <is>
          <t>Mahdalena Dalfa Riani</t>
        </is>
      </c>
      <c r="D2082" t="inlineStr">
        <is>
          <t>PROD</t>
        </is>
      </c>
      <c r="E2082" t="inlineStr">
        <is>
          <t>Produksi Harian</t>
        </is>
      </c>
      <c r="F2082" t="inlineStr">
        <is>
          <t>21:53:51</t>
        </is>
      </c>
      <c r="G2082" t="inlineStr">
        <is>
          <t>06:08:54</t>
        </is>
      </c>
      <c r="H2082" t="inlineStr">
        <is>
          <t>SELESAI</t>
        </is>
      </c>
      <c r="I2082" t="inlineStr">
        <is>
          <t>MK00192</t>
        </is>
      </c>
      <c r="J2082" t="inlineStr"/>
    </row>
    <row r="2083">
      <c r="A2083" t="inlineStr">
        <is>
          <t>21/07/2026</t>
        </is>
      </c>
      <c r="B2083" t="inlineStr">
        <is>
          <t>528000282</t>
        </is>
      </c>
      <c r="C2083" t="inlineStr">
        <is>
          <t>Defa Desfiana</t>
        </is>
      </c>
      <c r="D2083" t="inlineStr">
        <is>
          <t>PROD</t>
        </is>
      </c>
      <c r="E2083" t="inlineStr">
        <is>
          <t>Produksi Harian</t>
        </is>
      </c>
      <c r="F2083" t="inlineStr">
        <is>
          <t>07:35:42</t>
        </is>
      </c>
      <c r="G2083" t="inlineStr">
        <is>
          <t>16:00:54</t>
        </is>
      </c>
      <c r="H2083" t="inlineStr">
        <is>
          <t>SELESAI</t>
        </is>
      </c>
      <c r="I2083" t="inlineStr">
        <is>
          <t>MK00218</t>
        </is>
      </c>
      <c r="J2083" t="inlineStr">
        <is>
          <t>32c</t>
        </is>
      </c>
    </row>
    <row r="2084">
      <c r="A2084" t="inlineStr">
        <is>
          <t>21/07/2026</t>
        </is>
      </c>
      <c r="B2084" t="inlineStr">
        <is>
          <t>528000283</t>
        </is>
      </c>
      <c r="C2084" t="inlineStr">
        <is>
          <t>Purwanda Sugiri</t>
        </is>
      </c>
      <c r="D2084" t="inlineStr">
        <is>
          <t>LOG</t>
        </is>
      </c>
      <c r="E2084" t="inlineStr">
        <is>
          <t>WRM Harian</t>
        </is>
      </c>
      <c r="F2084" t="inlineStr"/>
      <c r="G2084" t="inlineStr">
        <is>
          <t>08:02:23</t>
        </is>
      </c>
      <c r="H2084" t="inlineStr">
        <is>
          <t>KELUAR TANPA MASUK</t>
        </is>
      </c>
      <c r="I2084" t="inlineStr">
        <is>
          <t>MK00093</t>
        </is>
      </c>
      <c r="J2084" t="inlineStr"/>
    </row>
    <row r="2085">
      <c r="A2085" t="inlineStr">
        <is>
          <t>21/07/2026</t>
        </is>
      </c>
      <c r="B2085" t="inlineStr">
        <is>
          <t>528000286</t>
        </is>
      </c>
      <c r="C2085" t="inlineStr">
        <is>
          <t>Imelda Amelia</t>
        </is>
      </c>
      <c r="D2085" t="inlineStr">
        <is>
          <t>PROD</t>
        </is>
      </c>
      <c r="E2085" t="inlineStr">
        <is>
          <t>Produksi Harian</t>
        </is>
      </c>
      <c r="F2085" t="inlineStr">
        <is>
          <t>05:51:21</t>
        </is>
      </c>
      <c r="G2085" t="inlineStr">
        <is>
          <t>14:07:50</t>
        </is>
      </c>
      <c r="H2085" t="inlineStr">
        <is>
          <t>SELESAI</t>
        </is>
      </c>
      <c r="I2085" t="inlineStr">
        <is>
          <t>MK00213</t>
        </is>
      </c>
      <c r="J2085" t="inlineStr"/>
    </row>
    <row r="2086">
      <c r="A2086" t="inlineStr">
        <is>
          <t>21/07/2026</t>
        </is>
      </c>
      <c r="B2086" t="inlineStr">
        <is>
          <t>528000288</t>
        </is>
      </c>
      <c r="C2086" t="inlineStr">
        <is>
          <t>Dede gunawan</t>
        </is>
      </c>
      <c r="D2086" t="inlineStr">
        <is>
          <t>PROD</t>
        </is>
      </c>
      <c r="E2086" t="inlineStr">
        <is>
          <t>Produksi Harian</t>
        </is>
      </c>
      <c r="F2086" t="inlineStr">
        <is>
          <t>21:53:53</t>
        </is>
      </c>
      <c r="G2086" t="inlineStr"/>
      <c r="H2086" t="inlineStr">
        <is>
          <t>DI DALAM</t>
        </is>
      </c>
      <c r="I2086" t="inlineStr">
        <is>
          <t>MK00143</t>
        </is>
      </c>
      <c r="J2086" t="inlineStr"/>
    </row>
    <row r="2087">
      <c r="A2087" t="inlineStr">
        <is>
          <t>21/07/2026</t>
        </is>
      </c>
      <c r="B2087" t="inlineStr">
        <is>
          <t>528000289</t>
        </is>
      </c>
      <c r="C2087" t="inlineStr">
        <is>
          <t>Adit Supriyadi</t>
        </is>
      </c>
      <c r="D2087" t="inlineStr">
        <is>
          <t>PROD</t>
        </is>
      </c>
      <c r="E2087" t="inlineStr">
        <is>
          <t>Produksi Harian</t>
        </is>
      </c>
      <c r="F2087" t="inlineStr">
        <is>
          <t>05:55:20</t>
        </is>
      </c>
      <c r="G2087" t="inlineStr"/>
      <c r="H2087" t="inlineStr">
        <is>
          <t>DI DALAM</t>
        </is>
      </c>
      <c r="I2087" t="inlineStr">
        <is>
          <t>MK00134</t>
        </is>
      </c>
      <c r="J2087" t="inlineStr"/>
    </row>
    <row r="2088">
      <c r="A2088" t="inlineStr">
        <is>
          <t>21/07/2026</t>
        </is>
      </c>
      <c r="B2088" t="inlineStr">
        <is>
          <t>528000290</t>
        </is>
      </c>
      <c r="C2088" t="inlineStr">
        <is>
          <t>Eval Pranata</t>
        </is>
      </c>
      <c r="D2088" t="inlineStr">
        <is>
          <t>PROD</t>
        </is>
      </c>
      <c r="E2088" t="inlineStr">
        <is>
          <t>Produksi Harian</t>
        </is>
      </c>
      <c r="F2088" t="inlineStr">
        <is>
          <t>05:58:51</t>
        </is>
      </c>
      <c r="G2088" t="inlineStr">
        <is>
          <t>14:02:14</t>
        </is>
      </c>
      <c r="H2088" t="inlineStr">
        <is>
          <t>SELESAI</t>
        </is>
      </c>
      <c r="I2088" t="inlineStr">
        <is>
          <t>MK00212</t>
        </is>
      </c>
      <c r="J2088" t="inlineStr"/>
    </row>
    <row r="2089">
      <c r="A2089" t="inlineStr">
        <is>
          <t>21/07/2026</t>
        </is>
      </c>
      <c r="B2089" t="inlineStr">
        <is>
          <t>528000292</t>
        </is>
      </c>
      <c r="C2089" t="inlineStr">
        <is>
          <t>Aditia Nugraha</t>
        </is>
      </c>
      <c r="D2089" t="inlineStr">
        <is>
          <t>PROD</t>
        </is>
      </c>
      <c r="E2089" t="inlineStr">
        <is>
          <t>Produksi Harian</t>
        </is>
      </c>
      <c r="F2089" t="inlineStr"/>
      <c r="G2089" t="inlineStr">
        <is>
          <t>13:27:24</t>
        </is>
      </c>
      <c r="H2089" t="inlineStr">
        <is>
          <t>KELUAR TANPA MASUK</t>
        </is>
      </c>
      <c r="I2089" t="inlineStr">
        <is>
          <t>207</t>
        </is>
      </c>
      <c r="J2089" t="inlineStr"/>
    </row>
    <row r="2090">
      <c r="A2090" t="inlineStr">
        <is>
          <t>21/07/2026</t>
        </is>
      </c>
      <c r="B2090" t="inlineStr">
        <is>
          <t>528000297</t>
        </is>
      </c>
      <c r="C2090" t="inlineStr">
        <is>
          <t>Muhamad Budiana</t>
        </is>
      </c>
      <c r="D2090" t="inlineStr">
        <is>
          <t>PROD</t>
        </is>
      </c>
      <c r="E2090" t="inlineStr">
        <is>
          <t>Produksi Harian</t>
        </is>
      </c>
      <c r="F2090" t="inlineStr">
        <is>
          <t>21:42:28</t>
        </is>
      </c>
      <c r="G2090" t="inlineStr">
        <is>
          <t>06:39:53</t>
        </is>
      </c>
      <c r="H2090" t="inlineStr">
        <is>
          <t>SELESAI</t>
        </is>
      </c>
      <c r="I2090" t="inlineStr">
        <is>
          <t>MK00185</t>
        </is>
      </c>
      <c r="J2090" t="inlineStr"/>
    </row>
    <row r="2091">
      <c r="A2091" t="inlineStr">
        <is>
          <t>21/07/2026</t>
        </is>
      </c>
      <c r="B2091" t="inlineStr">
        <is>
          <t>528000298</t>
        </is>
      </c>
      <c r="C2091" t="inlineStr">
        <is>
          <t>Desta Cahaya Pratama</t>
        </is>
      </c>
      <c r="D2091" t="inlineStr">
        <is>
          <t>PROD</t>
        </is>
      </c>
      <c r="E2091" t="inlineStr">
        <is>
          <t>Produksi Harian</t>
        </is>
      </c>
      <c r="F2091" t="inlineStr">
        <is>
          <t>13:37:28</t>
        </is>
      </c>
      <c r="G2091" t="inlineStr">
        <is>
          <t>22:03:04</t>
        </is>
      </c>
      <c r="H2091" t="inlineStr">
        <is>
          <t>SELESAI</t>
        </is>
      </c>
      <c r="I2091" t="inlineStr">
        <is>
          <t>MK00113</t>
        </is>
      </c>
      <c r="J2091" t="inlineStr"/>
    </row>
    <row r="2092">
      <c r="A2092" t="inlineStr">
        <is>
          <t>21/07/2026</t>
        </is>
      </c>
      <c r="B2092" t="inlineStr">
        <is>
          <t>528000299</t>
        </is>
      </c>
      <c r="C2092" t="inlineStr">
        <is>
          <t>Siti Nurjanah</t>
        </is>
      </c>
      <c r="D2092" t="inlineStr">
        <is>
          <t>PROD</t>
        </is>
      </c>
      <c r="E2092" t="inlineStr">
        <is>
          <t>Produksi Harian</t>
        </is>
      </c>
      <c r="F2092" t="inlineStr">
        <is>
          <t>13:44:25</t>
        </is>
      </c>
      <c r="G2092" t="inlineStr">
        <is>
          <t>22:03:26</t>
        </is>
      </c>
      <c r="H2092" t="inlineStr">
        <is>
          <t>SELESAI</t>
        </is>
      </c>
      <c r="I2092" t="inlineStr">
        <is>
          <t>MK00181</t>
        </is>
      </c>
      <c r="J2092" t="inlineStr"/>
    </row>
    <row r="2093">
      <c r="A2093" t="inlineStr">
        <is>
          <t>21/07/2026</t>
        </is>
      </c>
      <c r="B2093" t="inlineStr">
        <is>
          <t>528000300</t>
        </is>
      </c>
      <c r="C2093" t="inlineStr">
        <is>
          <t>Lia pitaloka</t>
        </is>
      </c>
      <c r="D2093" t="inlineStr">
        <is>
          <t>PROD</t>
        </is>
      </c>
      <c r="E2093" t="inlineStr">
        <is>
          <t>Produksi Harian</t>
        </is>
      </c>
      <c r="F2093" t="inlineStr">
        <is>
          <t>21:51:11</t>
        </is>
      </c>
      <c r="G2093" t="inlineStr">
        <is>
          <t>06:04:13</t>
        </is>
      </c>
      <c r="H2093" t="inlineStr">
        <is>
          <t>SELESAI</t>
        </is>
      </c>
      <c r="I2093" t="inlineStr">
        <is>
          <t>MK00095</t>
        </is>
      </c>
      <c r="J2093" t="inlineStr"/>
    </row>
    <row r="2094">
      <c r="A2094" t="inlineStr">
        <is>
          <t>21/07/2026</t>
        </is>
      </c>
      <c r="B2094" t="inlineStr">
        <is>
          <t>528000302</t>
        </is>
      </c>
      <c r="C2094" t="inlineStr">
        <is>
          <t>Henkey gumilar</t>
        </is>
      </c>
      <c r="D2094" t="inlineStr">
        <is>
          <t>PROD</t>
        </is>
      </c>
      <c r="E2094" t="inlineStr">
        <is>
          <t>Produksi Harian</t>
        </is>
      </c>
      <c r="F2094" t="inlineStr">
        <is>
          <t>13:45:41</t>
        </is>
      </c>
      <c r="G2094" t="inlineStr">
        <is>
          <t>22:07:48</t>
        </is>
      </c>
      <c r="H2094" t="inlineStr">
        <is>
          <t>SELESAI</t>
        </is>
      </c>
      <c r="I2094" t="inlineStr">
        <is>
          <t>MK00082</t>
        </is>
      </c>
      <c r="J2094" t="inlineStr"/>
    </row>
    <row r="2095">
      <c r="A2095" t="inlineStr">
        <is>
          <t>21/07/2026</t>
        </is>
      </c>
      <c r="B2095" t="inlineStr">
        <is>
          <t>528000305</t>
        </is>
      </c>
      <c r="C2095" t="inlineStr">
        <is>
          <t>Puji Puspita</t>
        </is>
      </c>
      <c r="D2095" t="inlineStr">
        <is>
          <t>PROD</t>
        </is>
      </c>
      <c r="E2095" t="inlineStr">
        <is>
          <t>Produksi Harian</t>
        </is>
      </c>
      <c r="F2095" t="inlineStr">
        <is>
          <t>13:43:24</t>
        </is>
      </c>
      <c r="G2095" t="inlineStr">
        <is>
          <t>22:09:20</t>
        </is>
      </c>
      <c r="H2095" t="inlineStr">
        <is>
          <t>SELESAI</t>
        </is>
      </c>
      <c r="I2095" t="inlineStr">
        <is>
          <t>MK00008</t>
        </is>
      </c>
      <c r="J2095" t="inlineStr"/>
    </row>
    <row r="2096">
      <c r="A2096" t="inlineStr">
        <is>
          <t>21/07/2026</t>
        </is>
      </c>
      <c r="B2096" t="inlineStr">
        <is>
          <t>528000309</t>
        </is>
      </c>
      <c r="C2096" t="inlineStr">
        <is>
          <t>Ilham Ramadhan</t>
        </is>
      </c>
      <c r="D2096" t="inlineStr">
        <is>
          <t>LOG</t>
        </is>
      </c>
      <c r="E2096" t="inlineStr">
        <is>
          <t>WRM Harian</t>
        </is>
      </c>
      <c r="F2096" t="inlineStr">
        <is>
          <t>13:46:30</t>
        </is>
      </c>
      <c r="G2096" t="inlineStr">
        <is>
          <t>22:04:05</t>
        </is>
      </c>
      <c r="H2096" t="inlineStr">
        <is>
          <t>SELESAI</t>
        </is>
      </c>
      <c r="I2096" t="inlineStr">
        <is>
          <t>MK00121</t>
        </is>
      </c>
      <c r="J2096" t="inlineStr"/>
    </row>
    <row r="2097">
      <c r="A2097" t="inlineStr">
        <is>
          <t>21/07/2026</t>
        </is>
      </c>
      <c r="B2097" t="inlineStr">
        <is>
          <t>528000310</t>
        </is>
      </c>
      <c r="C2097" t="inlineStr">
        <is>
          <t>Fachrul Rozzi Suryana</t>
        </is>
      </c>
      <c r="D2097" t="inlineStr">
        <is>
          <t>LOG</t>
        </is>
      </c>
      <c r="E2097" t="inlineStr">
        <is>
          <t>WRM Harian</t>
        </is>
      </c>
      <c r="F2097" t="inlineStr">
        <is>
          <t>07:49:33</t>
        </is>
      </c>
      <c r="G2097" t="inlineStr">
        <is>
          <t>16:00:40</t>
        </is>
      </c>
      <c r="H2097" t="inlineStr">
        <is>
          <t>SELESAI</t>
        </is>
      </c>
      <c r="I2097" t="inlineStr">
        <is>
          <t>MK00154</t>
        </is>
      </c>
      <c r="J2097" t="inlineStr">
        <is>
          <t>10D</t>
        </is>
      </c>
    </row>
    <row r="2098">
      <c r="A2098" t="inlineStr">
        <is>
          <t>21/07/2026</t>
        </is>
      </c>
      <c r="B2098" t="inlineStr">
        <is>
          <t>528000313</t>
        </is>
      </c>
      <c r="C2098" t="inlineStr">
        <is>
          <t>Muhamad Rifki</t>
        </is>
      </c>
      <c r="D2098" t="inlineStr">
        <is>
          <t>PROD</t>
        </is>
      </c>
      <c r="E2098" t="inlineStr">
        <is>
          <t>Produksi Harian</t>
        </is>
      </c>
      <c r="F2098" t="inlineStr">
        <is>
          <t>13:37:21</t>
        </is>
      </c>
      <c r="G2098" t="inlineStr">
        <is>
          <t>22:04:52</t>
        </is>
      </c>
      <c r="H2098" t="inlineStr">
        <is>
          <t>SELESAI</t>
        </is>
      </c>
      <c r="I2098" t="inlineStr">
        <is>
          <t>MK00250</t>
        </is>
      </c>
      <c r="J2098" t="inlineStr"/>
    </row>
    <row r="2099">
      <c r="A2099" t="inlineStr">
        <is>
          <t>21/07/2026</t>
        </is>
      </c>
      <c r="B2099" t="inlineStr">
        <is>
          <t>528000318</t>
        </is>
      </c>
      <c r="C2099" t="inlineStr">
        <is>
          <t>Bayu Padli Sepriyana</t>
        </is>
      </c>
      <c r="D2099" t="inlineStr">
        <is>
          <t>LOG</t>
        </is>
      </c>
      <c r="E2099" t="inlineStr">
        <is>
          <t>WRM Harian</t>
        </is>
      </c>
      <c r="F2099" t="inlineStr">
        <is>
          <t>13:46:57</t>
        </is>
      </c>
      <c r="G2099" t="inlineStr">
        <is>
          <t>22:03:19</t>
        </is>
      </c>
      <c r="H2099" t="inlineStr">
        <is>
          <t>SELESAI</t>
        </is>
      </c>
      <c r="I2099" t="inlineStr">
        <is>
          <t>MK00088</t>
        </is>
      </c>
      <c r="J2099" t="inlineStr"/>
    </row>
    <row r="2100">
      <c r="A2100" t="inlineStr">
        <is>
          <t>21/07/2026</t>
        </is>
      </c>
      <c r="B2100" t="inlineStr">
        <is>
          <t>528000322</t>
        </is>
      </c>
      <c r="C2100" t="inlineStr">
        <is>
          <t>Muhamad Aliludin</t>
        </is>
      </c>
      <c r="D2100" t="inlineStr">
        <is>
          <t>PROD</t>
        </is>
      </c>
      <c r="E2100" t="inlineStr">
        <is>
          <t>Produksi Harian</t>
        </is>
      </c>
      <c r="F2100" t="inlineStr">
        <is>
          <t>13:54:02</t>
        </is>
      </c>
      <c r="G2100" t="inlineStr">
        <is>
          <t>22:03:12</t>
        </is>
      </c>
      <c r="H2100" t="inlineStr">
        <is>
          <t>SELESAI</t>
        </is>
      </c>
      <c r="I2100" t="inlineStr">
        <is>
          <t>MK00158</t>
        </is>
      </c>
      <c r="J2100" t="inlineStr"/>
    </row>
    <row r="2101">
      <c r="A2101" t="inlineStr">
        <is>
          <t>21/07/2026</t>
        </is>
      </c>
      <c r="B2101" t="inlineStr">
        <is>
          <t>528000323</t>
        </is>
      </c>
      <c r="C2101" t="inlineStr">
        <is>
          <t>Dian Hamidah</t>
        </is>
      </c>
      <c r="D2101" t="inlineStr">
        <is>
          <t>PROD</t>
        </is>
      </c>
      <c r="E2101" t="inlineStr">
        <is>
          <t>Produksi Harian</t>
        </is>
      </c>
      <c r="F2101" t="inlineStr"/>
      <c r="G2101" t="inlineStr">
        <is>
          <t>06:10:11</t>
        </is>
      </c>
      <c r="H2101" t="inlineStr">
        <is>
          <t>KELUAR TANPA MASUK</t>
        </is>
      </c>
      <c r="I2101" t="inlineStr">
        <is>
          <t>MK00160</t>
        </is>
      </c>
      <c r="J2101" t="inlineStr"/>
    </row>
    <row r="2102">
      <c r="A2102" t="inlineStr">
        <is>
          <t>21/07/2026</t>
        </is>
      </c>
      <c r="B2102" t="inlineStr">
        <is>
          <t>528000324</t>
        </is>
      </c>
      <c r="C2102" t="inlineStr">
        <is>
          <t>Sri Yanti</t>
        </is>
      </c>
      <c r="D2102" t="inlineStr">
        <is>
          <t>PROD</t>
        </is>
      </c>
      <c r="E2102" t="inlineStr">
        <is>
          <t>Produksi Harian</t>
        </is>
      </c>
      <c r="F2102" t="inlineStr">
        <is>
          <t>21:25:49</t>
        </is>
      </c>
      <c r="G2102" t="inlineStr"/>
      <c r="H2102" t="inlineStr">
        <is>
          <t>DI DALAM</t>
        </is>
      </c>
      <c r="I2102" t="inlineStr">
        <is>
          <t>MK00154</t>
        </is>
      </c>
      <c r="J2102" t="inlineStr"/>
    </row>
    <row r="2103">
      <c r="A2103" t="inlineStr">
        <is>
          <t>21/07/2026</t>
        </is>
      </c>
      <c r="B2103" t="inlineStr">
        <is>
          <t>528000335</t>
        </is>
      </c>
      <c r="C2103" t="inlineStr">
        <is>
          <t>Rizal Saepuloh</t>
        </is>
      </c>
      <c r="D2103" t="inlineStr">
        <is>
          <t>LOG</t>
        </is>
      </c>
      <c r="E2103" t="inlineStr">
        <is>
          <t>WRM Harian</t>
        </is>
      </c>
      <c r="F2103" t="inlineStr">
        <is>
          <t>16:23:02</t>
        </is>
      </c>
      <c r="G2103" t="inlineStr">
        <is>
          <t>00:00:37</t>
        </is>
      </c>
      <c r="H2103" t="inlineStr">
        <is>
          <t>SELESAI</t>
        </is>
      </c>
      <c r="I2103" t="inlineStr">
        <is>
          <t>MK00204</t>
        </is>
      </c>
      <c r="J2103" t="inlineStr"/>
    </row>
    <row r="2104">
      <c r="A2104" t="inlineStr">
        <is>
          <t>21/07/2026</t>
        </is>
      </c>
      <c r="B2104" t="inlineStr">
        <is>
          <t>528000339</t>
        </is>
      </c>
      <c r="C2104" t="inlineStr">
        <is>
          <t>Muhamad Ripai'i</t>
        </is>
      </c>
      <c r="D2104" t="inlineStr">
        <is>
          <t>HRGA</t>
        </is>
      </c>
      <c r="E2104" t="inlineStr">
        <is>
          <t>GA Harian</t>
        </is>
      </c>
      <c r="F2104" t="inlineStr">
        <is>
          <t>05:35:05</t>
        </is>
      </c>
      <c r="G2104" t="inlineStr">
        <is>
          <t>14:06:09</t>
        </is>
      </c>
      <c r="H2104" t="inlineStr">
        <is>
          <t>SELESAI</t>
        </is>
      </c>
      <c r="I2104" t="inlineStr">
        <is>
          <t>MK00112</t>
        </is>
      </c>
      <c r="J2104" t="inlineStr"/>
    </row>
    <row r="2105">
      <c r="A2105" t="inlineStr">
        <is>
          <t>21/07/2026</t>
        </is>
      </c>
      <c r="B2105" t="inlineStr">
        <is>
          <t>528000340</t>
        </is>
      </c>
      <c r="C2105" t="inlineStr">
        <is>
          <t>Muhammad Wildan Adithya</t>
        </is>
      </c>
      <c r="D2105" t="inlineStr">
        <is>
          <t>PROD</t>
        </is>
      </c>
      <c r="E2105" t="inlineStr">
        <is>
          <t>Produksi Harian</t>
        </is>
      </c>
      <c r="F2105" t="inlineStr">
        <is>
          <t>13:28:49</t>
        </is>
      </c>
      <c r="G2105" t="inlineStr"/>
      <c r="H2105" t="inlineStr">
        <is>
          <t>DI DALAM</t>
        </is>
      </c>
      <c r="I2105" t="inlineStr">
        <is>
          <t>MK00209</t>
        </is>
      </c>
      <c r="J2105" t="inlineStr"/>
    </row>
    <row r="2106">
      <c r="A2106" t="inlineStr">
        <is>
          <t>21/07/2026</t>
        </is>
      </c>
      <c r="B2106" t="inlineStr">
        <is>
          <t>528000348</t>
        </is>
      </c>
      <c r="C2106" t="inlineStr">
        <is>
          <t>Saepuloh Ardiansah</t>
        </is>
      </c>
      <c r="D2106" t="inlineStr">
        <is>
          <t>LOG</t>
        </is>
      </c>
      <c r="E2106" t="inlineStr">
        <is>
          <t>WRM Harian</t>
        </is>
      </c>
      <c r="F2106" t="inlineStr">
        <is>
          <t>08:58:44</t>
        </is>
      </c>
      <c r="G2106" t="inlineStr">
        <is>
          <t>17:19:24</t>
        </is>
      </c>
      <c r="H2106" t="inlineStr">
        <is>
          <t>SELESAI</t>
        </is>
      </c>
      <c r="I2106" t="inlineStr">
        <is>
          <t>MK00205</t>
        </is>
      </c>
      <c r="J2106" t="inlineStr"/>
    </row>
    <row r="2107">
      <c r="A2107" t="inlineStr">
        <is>
          <t>21/07/2026</t>
        </is>
      </c>
      <c r="B2107" t="inlineStr">
        <is>
          <t>528000349</t>
        </is>
      </c>
      <c r="C2107" t="inlineStr">
        <is>
          <t>Anas Abdul Fatah</t>
        </is>
      </c>
      <c r="D2107" t="inlineStr">
        <is>
          <t>LOG</t>
        </is>
      </c>
      <c r="E2107" t="inlineStr">
        <is>
          <t>WFG Harian</t>
        </is>
      </c>
      <c r="F2107" t="inlineStr">
        <is>
          <t>09:42:19</t>
        </is>
      </c>
      <c r="G2107" t="inlineStr">
        <is>
          <t>18:11:10</t>
        </is>
      </c>
      <c r="H2107" t="inlineStr">
        <is>
          <t>SELESAI</t>
        </is>
      </c>
      <c r="I2107" t="inlineStr">
        <is>
          <t>MK00160</t>
        </is>
      </c>
      <c r="J2107" t="inlineStr"/>
    </row>
    <row r="2108">
      <c r="A2108" t="inlineStr">
        <is>
          <t>21/07/2026</t>
        </is>
      </c>
      <c r="B2108" t="inlineStr">
        <is>
          <t>528000351</t>
        </is>
      </c>
      <c r="C2108" t="inlineStr">
        <is>
          <t>Mulyana</t>
        </is>
      </c>
      <c r="D2108" t="inlineStr">
        <is>
          <t>PROD</t>
        </is>
      </c>
      <c r="E2108" t="inlineStr">
        <is>
          <t>Produksi Harian</t>
        </is>
      </c>
      <c r="F2108" t="inlineStr">
        <is>
          <t>08:06:40</t>
        </is>
      </c>
      <c r="G2108" t="inlineStr">
        <is>
          <t>16:00:12</t>
        </is>
      </c>
      <c r="H2108" t="inlineStr">
        <is>
          <t>SELESAI</t>
        </is>
      </c>
      <c r="I2108" t="inlineStr">
        <is>
          <t>MK00116</t>
        </is>
      </c>
      <c r="J2108" t="inlineStr"/>
    </row>
    <row r="2109">
      <c r="A2109" t="inlineStr">
        <is>
          <t>21/07/2026</t>
        </is>
      </c>
      <c r="B2109" t="inlineStr">
        <is>
          <t>528000359</t>
        </is>
      </c>
      <c r="C2109" t="inlineStr">
        <is>
          <t>M. Iqbal Maulana. S</t>
        </is>
      </c>
      <c r="D2109" t="inlineStr">
        <is>
          <t>LOG</t>
        </is>
      </c>
      <c r="E2109" t="inlineStr">
        <is>
          <t>WRM Harian</t>
        </is>
      </c>
      <c r="F2109" t="inlineStr">
        <is>
          <t>09:13:22</t>
        </is>
      </c>
      <c r="G2109" t="inlineStr">
        <is>
          <t>17:03:20</t>
        </is>
      </c>
      <c r="H2109" t="inlineStr">
        <is>
          <t>SELESAI</t>
        </is>
      </c>
      <c r="I2109" t="inlineStr">
        <is>
          <t>MK00203</t>
        </is>
      </c>
      <c r="J2109" t="inlineStr"/>
    </row>
    <row r="2110">
      <c r="A2110" t="inlineStr">
        <is>
          <t>21/07/2026</t>
        </is>
      </c>
      <c r="B2110" t="inlineStr">
        <is>
          <t>528000361</t>
        </is>
      </c>
      <c r="C2110" t="inlineStr">
        <is>
          <t>Denada Munggarani</t>
        </is>
      </c>
      <c r="D2110" t="inlineStr">
        <is>
          <t>PROD</t>
        </is>
      </c>
      <c r="E2110" t="inlineStr">
        <is>
          <t>Produksi Harian</t>
        </is>
      </c>
      <c r="F2110" t="inlineStr">
        <is>
          <t>13:29:06</t>
        </is>
      </c>
      <c r="G2110" t="inlineStr">
        <is>
          <t>22:05:35</t>
        </is>
      </c>
      <c r="H2110" t="inlineStr">
        <is>
          <t>SELESAI</t>
        </is>
      </c>
      <c r="I2110" t="inlineStr">
        <is>
          <t>MK00185</t>
        </is>
      </c>
      <c r="J2110" t="inlineStr"/>
    </row>
    <row r="2111">
      <c r="A2111" t="inlineStr">
        <is>
          <t>21/07/2026</t>
        </is>
      </c>
      <c r="B2111" t="inlineStr">
        <is>
          <t>628000061</t>
        </is>
      </c>
      <c r="C2111" t="inlineStr">
        <is>
          <t>Nayla Fadillah Exwantoro</t>
        </is>
      </c>
      <c r="D2111" t="inlineStr">
        <is>
          <t>PROD</t>
        </is>
      </c>
      <c r="E2111" t="inlineStr">
        <is>
          <t>Produksi Borongan</t>
        </is>
      </c>
      <c r="F2111" t="inlineStr"/>
      <c r="G2111" t="inlineStr">
        <is>
          <t>13:26:16</t>
        </is>
      </c>
      <c r="H2111" t="inlineStr">
        <is>
          <t>KELUAR TANPA MASUK</t>
        </is>
      </c>
      <c r="I2111" t="inlineStr">
        <is>
          <t>MK000235</t>
        </is>
      </c>
      <c r="J2111" t="inlineStr"/>
    </row>
    <row r="2112">
      <c r="A2112" t="inlineStr">
        <is>
          <t>21/07/2026</t>
        </is>
      </c>
      <c r="B2112" t="inlineStr">
        <is>
          <t>628000064</t>
        </is>
      </c>
      <c r="C2112" t="inlineStr">
        <is>
          <t>Silva Alypia</t>
        </is>
      </c>
      <c r="D2112" t="inlineStr">
        <is>
          <t>PROD</t>
        </is>
      </c>
      <c r="E2112" t="inlineStr">
        <is>
          <t>Produksi Borongan</t>
        </is>
      </c>
      <c r="F2112" t="inlineStr">
        <is>
          <t>21:51:05</t>
        </is>
      </c>
      <c r="G2112" t="inlineStr">
        <is>
          <t>06:05:33</t>
        </is>
      </c>
      <c r="H2112" t="inlineStr">
        <is>
          <t>SELESAI</t>
        </is>
      </c>
      <c r="I2112" t="inlineStr">
        <is>
          <t>MK00220</t>
        </is>
      </c>
      <c r="J2112" t="inlineStr"/>
    </row>
    <row r="2113">
      <c r="A2113" t="inlineStr">
        <is>
          <t>21/07/2026</t>
        </is>
      </c>
      <c r="B2113" t="inlineStr">
        <is>
          <t>628000091</t>
        </is>
      </c>
      <c r="C2113" t="inlineStr">
        <is>
          <t>Devita Handayani</t>
        </is>
      </c>
      <c r="D2113" t="inlineStr">
        <is>
          <t>PROD</t>
        </is>
      </c>
      <c r="E2113" t="inlineStr">
        <is>
          <t>Produksi Borongan</t>
        </is>
      </c>
      <c r="F2113" t="inlineStr">
        <is>
          <t>13:12:19</t>
        </is>
      </c>
      <c r="G2113" t="inlineStr">
        <is>
          <t>22:37:38</t>
        </is>
      </c>
      <c r="H2113" t="inlineStr">
        <is>
          <t>SELESAI</t>
        </is>
      </c>
      <c r="I2113" t="inlineStr">
        <is>
          <t>MK00090</t>
        </is>
      </c>
      <c r="J2113" t="inlineStr"/>
    </row>
    <row r="2114">
      <c r="A2114" t="inlineStr">
        <is>
          <t>22/07/2026</t>
        </is>
      </c>
      <c r="B2114" t="inlineStr">
        <is>
          <t>528000015</t>
        </is>
      </c>
      <c r="C2114" t="inlineStr">
        <is>
          <t>Erwin</t>
        </is>
      </c>
      <c r="D2114" t="inlineStr">
        <is>
          <t>LOG</t>
        </is>
      </c>
      <c r="E2114" t="inlineStr">
        <is>
          <t>WRM Harian</t>
        </is>
      </c>
      <c r="F2114" t="inlineStr">
        <is>
          <t>13:36:12</t>
        </is>
      </c>
      <c r="G2114" t="inlineStr">
        <is>
          <t>22:28:49</t>
        </is>
      </c>
      <c r="H2114" t="inlineStr">
        <is>
          <t>SELESAI</t>
        </is>
      </c>
      <c r="I2114" t="inlineStr">
        <is>
          <t>MK00213</t>
        </is>
      </c>
      <c r="J2114" t="inlineStr"/>
    </row>
    <row r="2115">
      <c r="A2115" t="inlineStr">
        <is>
          <t>22/07/2026</t>
        </is>
      </c>
      <c r="B2115" t="inlineStr">
        <is>
          <t>528000040</t>
        </is>
      </c>
      <c r="C2115" t="inlineStr">
        <is>
          <t>Agus Suryaman</t>
        </is>
      </c>
      <c r="D2115" t="inlineStr">
        <is>
          <t>PROD</t>
        </is>
      </c>
      <c r="E2115" t="inlineStr">
        <is>
          <t>Produksi Harian</t>
        </is>
      </c>
      <c r="F2115" t="inlineStr">
        <is>
          <t>08:56:28</t>
        </is>
      </c>
      <c r="G2115" t="inlineStr">
        <is>
          <t>17:01:20</t>
        </is>
      </c>
      <c r="H2115" t="inlineStr">
        <is>
          <t>SELESAI</t>
        </is>
      </c>
      <c r="I2115" t="inlineStr">
        <is>
          <t>MK00141</t>
        </is>
      </c>
      <c r="J2115" t="inlineStr"/>
    </row>
    <row r="2116">
      <c r="A2116" t="inlineStr">
        <is>
          <t>22/07/2026</t>
        </is>
      </c>
      <c r="B2116" t="inlineStr">
        <is>
          <t>528000052</t>
        </is>
      </c>
      <c r="C2116" t="inlineStr">
        <is>
          <t>Mustopa</t>
        </is>
      </c>
      <c r="D2116" t="inlineStr">
        <is>
          <t>PROD</t>
        </is>
      </c>
      <c r="E2116" t="inlineStr">
        <is>
          <t>Produksi Harian</t>
        </is>
      </c>
      <c r="F2116" t="inlineStr">
        <is>
          <t>05:26:06</t>
        </is>
      </c>
      <c r="G2116" t="inlineStr">
        <is>
          <t>14:03:43</t>
        </is>
      </c>
      <c r="H2116" t="inlineStr">
        <is>
          <t>SELESAI</t>
        </is>
      </c>
      <c r="I2116" t="inlineStr">
        <is>
          <t>MK00203</t>
        </is>
      </c>
      <c r="J2116" t="inlineStr"/>
    </row>
    <row r="2117">
      <c r="A2117" t="inlineStr">
        <is>
          <t>22/07/2026</t>
        </is>
      </c>
      <c r="B2117" t="inlineStr">
        <is>
          <t>528000144</t>
        </is>
      </c>
      <c r="C2117" t="inlineStr">
        <is>
          <t>Jodi Hanafi</t>
        </is>
      </c>
      <c r="D2117" t="inlineStr">
        <is>
          <t>LOG</t>
        </is>
      </c>
      <c r="E2117" t="inlineStr">
        <is>
          <t>WRM Harian</t>
        </is>
      </c>
      <c r="F2117" t="inlineStr">
        <is>
          <t>15:30:05</t>
        </is>
      </c>
      <c r="G2117" t="inlineStr">
        <is>
          <t>00:25:42</t>
        </is>
      </c>
      <c r="H2117" t="inlineStr">
        <is>
          <t>SELESAI</t>
        </is>
      </c>
      <c r="I2117" t="inlineStr">
        <is>
          <t>MK00221</t>
        </is>
      </c>
      <c r="J2117" t="inlineStr"/>
    </row>
    <row r="2118">
      <c r="A2118" t="inlineStr">
        <is>
          <t>22/07/2026</t>
        </is>
      </c>
      <c r="B2118" t="inlineStr">
        <is>
          <t>528000149</t>
        </is>
      </c>
      <c r="C2118" t="inlineStr">
        <is>
          <t>Tio Fernanda</t>
        </is>
      </c>
      <c r="D2118" t="inlineStr">
        <is>
          <t>LOG</t>
        </is>
      </c>
      <c r="E2118" t="inlineStr">
        <is>
          <t>WRM Harian</t>
        </is>
      </c>
      <c r="F2118" t="inlineStr">
        <is>
          <t>08:37:34</t>
        </is>
      </c>
      <c r="G2118" t="inlineStr">
        <is>
          <t>17:22:38</t>
        </is>
      </c>
      <c r="H2118" t="inlineStr">
        <is>
          <t>SELESAI</t>
        </is>
      </c>
      <c r="I2118" t="inlineStr">
        <is>
          <t>MK0130</t>
        </is>
      </c>
      <c r="J2118" t="inlineStr"/>
    </row>
    <row r="2119">
      <c r="A2119" t="inlineStr">
        <is>
          <t>22/07/2026</t>
        </is>
      </c>
      <c r="B2119" t="inlineStr">
        <is>
          <t>528000195</t>
        </is>
      </c>
      <c r="C2119" t="inlineStr">
        <is>
          <t>Rahma Sariwati</t>
        </is>
      </c>
      <c r="D2119" t="inlineStr">
        <is>
          <t>PROD</t>
        </is>
      </c>
      <c r="E2119" t="inlineStr">
        <is>
          <t>Produksi Harian</t>
        </is>
      </c>
      <c r="F2119" t="inlineStr">
        <is>
          <t>05:48:03</t>
        </is>
      </c>
      <c r="G2119" t="inlineStr">
        <is>
          <t>14:04:05</t>
        </is>
      </c>
      <c r="H2119" t="inlineStr">
        <is>
          <t>SELESAI</t>
        </is>
      </c>
      <c r="I2119" t="inlineStr">
        <is>
          <t>MK00181</t>
        </is>
      </c>
      <c r="J2119" t="inlineStr"/>
    </row>
    <row r="2120">
      <c r="A2120" t="inlineStr">
        <is>
          <t>22/07/2026</t>
        </is>
      </c>
      <c r="B2120" t="inlineStr">
        <is>
          <t>528000232</t>
        </is>
      </c>
      <c r="C2120" t="inlineStr">
        <is>
          <t>Agung Aji Suhada</t>
        </is>
      </c>
      <c r="D2120" t="inlineStr">
        <is>
          <t>LOG</t>
        </is>
      </c>
      <c r="E2120" t="inlineStr">
        <is>
          <t>WRM Harian</t>
        </is>
      </c>
      <c r="F2120" t="inlineStr">
        <is>
          <t>15:42:12</t>
        </is>
      </c>
      <c r="G2120" t="inlineStr"/>
      <c r="H2120" t="inlineStr">
        <is>
          <t>DI DALAM</t>
        </is>
      </c>
      <c r="I2120" t="inlineStr">
        <is>
          <t>MK00210</t>
        </is>
      </c>
      <c r="J2120" t="inlineStr"/>
    </row>
    <row r="2121">
      <c r="A2121" t="inlineStr">
        <is>
          <t>22/07/2026</t>
        </is>
      </c>
      <c r="B2121" t="inlineStr">
        <is>
          <t>528000248</t>
        </is>
      </c>
      <c r="C2121" t="inlineStr">
        <is>
          <t>Roka Jaya Salka Mulya</t>
        </is>
      </c>
      <c r="D2121" t="inlineStr">
        <is>
          <t>PROD</t>
        </is>
      </c>
      <c r="E2121" t="inlineStr">
        <is>
          <t>Produksi Harian</t>
        </is>
      </c>
      <c r="F2121" t="inlineStr">
        <is>
          <t>21:50:05</t>
        </is>
      </c>
      <c r="G2121" t="inlineStr">
        <is>
          <t>06:01:36</t>
        </is>
      </c>
      <c r="H2121" t="inlineStr">
        <is>
          <t>SELESAI</t>
        </is>
      </c>
      <c r="I2121" t="inlineStr">
        <is>
          <t>MK00185</t>
        </is>
      </c>
      <c r="J2121" t="inlineStr"/>
    </row>
    <row r="2122">
      <c r="A2122" t="inlineStr">
        <is>
          <t>22/07/2026</t>
        </is>
      </c>
      <c r="B2122" t="inlineStr">
        <is>
          <t>528000261</t>
        </is>
      </c>
      <c r="C2122" t="inlineStr">
        <is>
          <t>Ergi Ergianto</t>
        </is>
      </c>
      <c r="D2122" t="inlineStr">
        <is>
          <t>HRGA</t>
        </is>
      </c>
      <c r="E2122" t="inlineStr">
        <is>
          <t>GA Harian</t>
        </is>
      </c>
      <c r="F2122" t="inlineStr">
        <is>
          <t>05:48:59</t>
        </is>
      </c>
      <c r="G2122" t="inlineStr">
        <is>
          <t>14:02:04</t>
        </is>
      </c>
      <c r="H2122" t="inlineStr">
        <is>
          <t>SELESAI</t>
        </is>
      </c>
      <c r="I2122" t="inlineStr">
        <is>
          <t>MK00250</t>
        </is>
      </c>
      <c r="J2122" t="inlineStr"/>
    </row>
    <row r="2123">
      <c r="A2123" t="inlineStr">
        <is>
          <t>22/07/2026</t>
        </is>
      </c>
      <c r="B2123" t="inlineStr">
        <is>
          <t>528000262</t>
        </is>
      </c>
      <c r="C2123" t="inlineStr">
        <is>
          <t>Ndari Dwiwanti</t>
        </is>
      </c>
      <c r="D2123" t="inlineStr">
        <is>
          <t>PROD</t>
        </is>
      </c>
      <c r="E2123" t="inlineStr">
        <is>
          <t>Produksi Harian</t>
        </is>
      </c>
      <c r="F2123" t="inlineStr">
        <is>
          <t>05:37:40</t>
        </is>
      </c>
      <c r="G2123" t="inlineStr">
        <is>
          <t>14:04:00</t>
        </is>
      </c>
      <c r="H2123" t="inlineStr">
        <is>
          <t>SELESAI</t>
        </is>
      </c>
      <c r="I2123" t="inlineStr">
        <is>
          <t>MK00154</t>
        </is>
      </c>
      <c r="J2123" t="inlineStr"/>
    </row>
    <row r="2124">
      <c r="A2124" t="inlineStr">
        <is>
          <t>22/07/2026</t>
        </is>
      </c>
      <c r="B2124" t="inlineStr">
        <is>
          <t>528000265</t>
        </is>
      </c>
      <c r="C2124" t="inlineStr">
        <is>
          <t>Muhammad Haerul Rozikin</t>
        </is>
      </c>
      <c r="D2124" t="inlineStr">
        <is>
          <t>LOG</t>
        </is>
      </c>
      <c r="E2124" t="inlineStr">
        <is>
          <t>WRM Harian</t>
        </is>
      </c>
      <c r="F2124" t="inlineStr">
        <is>
          <t>07:39:24</t>
        </is>
      </c>
      <c r="G2124" t="inlineStr">
        <is>
          <t>16:03:54</t>
        </is>
      </c>
      <c r="H2124" t="inlineStr">
        <is>
          <t>SELESAI</t>
        </is>
      </c>
      <c r="I2124" t="inlineStr">
        <is>
          <t>MK00184</t>
        </is>
      </c>
      <c r="J2124" t="inlineStr"/>
    </row>
    <row r="2125">
      <c r="A2125" t="inlineStr">
        <is>
          <t>22/07/2026</t>
        </is>
      </c>
      <c r="B2125" t="inlineStr">
        <is>
          <t>528000266</t>
        </is>
      </c>
      <c r="C2125" t="inlineStr">
        <is>
          <t>M. Syirajatieq</t>
        </is>
      </c>
      <c r="D2125" t="inlineStr">
        <is>
          <t>LOG</t>
        </is>
      </c>
      <c r="E2125" t="inlineStr">
        <is>
          <t>WFG Harian</t>
        </is>
      </c>
      <c r="F2125" t="inlineStr">
        <is>
          <t>05:46:36</t>
        </is>
      </c>
      <c r="G2125" t="inlineStr">
        <is>
          <t>15:33:16</t>
        </is>
      </c>
      <c r="H2125" t="inlineStr">
        <is>
          <t>SELESAI</t>
        </is>
      </c>
      <c r="I2125" t="inlineStr">
        <is>
          <t>MK0088</t>
        </is>
      </c>
      <c r="J2125" t="inlineStr"/>
    </row>
    <row r="2126">
      <c r="A2126" t="inlineStr">
        <is>
          <t>22/07/2026</t>
        </is>
      </c>
      <c r="B2126" t="inlineStr">
        <is>
          <t>528000267</t>
        </is>
      </c>
      <c r="C2126" t="inlineStr">
        <is>
          <t>Bagas Patulloh</t>
        </is>
      </c>
      <c r="D2126" t="inlineStr">
        <is>
          <t>LOG</t>
        </is>
      </c>
      <c r="E2126" t="inlineStr">
        <is>
          <t>WRM Harian</t>
        </is>
      </c>
      <c r="F2126" t="inlineStr">
        <is>
          <t>11:37:50</t>
        </is>
      </c>
      <c r="G2126" t="inlineStr">
        <is>
          <t>17:25:16</t>
        </is>
      </c>
      <c r="H2126" t="inlineStr">
        <is>
          <t>SELESAI</t>
        </is>
      </c>
      <c r="I2126" t="inlineStr">
        <is>
          <t>MK00093</t>
        </is>
      </c>
      <c r="J2126" t="inlineStr"/>
    </row>
    <row r="2127">
      <c r="A2127" t="inlineStr">
        <is>
          <t>22/07/2026</t>
        </is>
      </c>
      <c r="B2127" t="inlineStr">
        <is>
          <t>528000270</t>
        </is>
      </c>
      <c r="C2127" t="inlineStr">
        <is>
          <t>Febri Najmudin</t>
        </is>
      </c>
      <c r="D2127" t="inlineStr">
        <is>
          <t>LOG</t>
        </is>
      </c>
      <c r="E2127" t="inlineStr">
        <is>
          <t>WRM Harian</t>
        </is>
      </c>
      <c r="F2127" t="inlineStr">
        <is>
          <t>13:43:49</t>
        </is>
      </c>
      <c r="G2127" t="inlineStr">
        <is>
          <t>22:18:16</t>
        </is>
      </c>
      <c r="H2127" t="inlineStr">
        <is>
          <t>SELESAI</t>
        </is>
      </c>
      <c r="I2127" t="inlineStr">
        <is>
          <t>MK00230</t>
        </is>
      </c>
      <c r="J2127" t="inlineStr"/>
    </row>
    <row r="2128">
      <c r="A2128" t="inlineStr">
        <is>
          <t>22/07/2026</t>
        </is>
      </c>
      <c r="B2128" t="inlineStr">
        <is>
          <t>528000279</t>
        </is>
      </c>
      <c r="C2128" t="inlineStr">
        <is>
          <t>Mahdalena Dalfa Riani</t>
        </is>
      </c>
      <c r="D2128" t="inlineStr">
        <is>
          <t>PROD</t>
        </is>
      </c>
      <c r="E2128" t="inlineStr">
        <is>
          <t>Produksi Harian</t>
        </is>
      </c>
      <c r="F2128" t="inlineStr">
        <is>
          <t>21:53:03</t>
        </is>
      </c>
      <c r="G2128" t="inlineStr">
        <is>
          <t>06:06:26</t>
        </is>
      </c>
      <c r="H2128" t="inlineStr">
        <is>
          <t>SELESAI</t>
        </is>
      </c>
      <c r="I2128" t="inlineStr">
        <is>
          <t>MK00220</t>
        </is>
      </c>
      <c r="J2128" t="inlineStr"/>
    </row>
    <row r="2129">
      <c r="A2129" t="inlineStr">
        <is>
          <t>22/07/2026</t>
        </is>
      </c>
      <c r="B2129" t="inlineStr">
        <is>
          <t>528000282</t>
        </is>
      </c>
      <c r="C2129" t="inlineStr">
        <is>
          <t>Defa Desfiana</t>
        </is>
      </c>
      <c r="D2129" t="inlineStr">
        <is>
          <t>PROD</t>
        </is>
      </c>
      <c r="E2129" t="inlineStr">
        <is>
          <t>Produksi Harian</t>
        </is>
      </c>
      <c r="F2129" t="inlineStr">
        <is>
          <t>07:35:19</t>
        </is>
      </c>
      <c r="G2129" t="inlineStr">
        <is>
          <t>16:01:09</t>
        </is>
      </c>
      <c r="H2129" t="inlineStr">
        <is>
          <t>SELESAI</t>
        </is>
      </c>
      <c r="I2129" t="inlineStr">
        <is>
          <t>MK00218</t>
        </is>
      </c>
      <c r="J2129" t="inlineStr">
        <is>
          <t>32c</t>
        </is>
      </c>
    </row>
    <row r="2130">
      <c r="A2130" t="inlineStr">
        <is>
          <t>22/07/2026</t>
        </is>
      </c>
      <c r="B2130" t="inlineStr">
        <is>
          <t>528000283</t>
        </is>
      </c>
      <c r="C2130" t="inlineStr">
        <is>
          <t>Purwanda Sugiri</t>
        </is>
      </c>
      <c r="D2130" t="inlineStr">
        <is>
          <t>LOG</t>
        </is>
      </c>
      <c r="E2130" t="inlineStr">
        <is>
          <t>WRM Harian</t>
        </is>
      </c>
      <c r="F2130" t="inlineStr">
        <is>
          <t>05:49:46</t>
        </is>
      </c>
      <c r="G2130" t="inlineStr">
        <is>
          <t>14:01:51</t>
        </is>
      </c>
      <c r="H2130" t="inlineStr">
        <is>
          <t>SELESAI</t>
        </is>
      </c>
      <c r="I2130" t="inlineStr">
        <is>
          <t>MK00121</t>
        </is>
      </c>
      <c r="J2130" t="inlineStr"/>
    </row>
    <row r="2131">
      <c r="A2131" t="inlineStr">
        <is>
          <t>22/07/2026</t>
        </is>
      </c>
      <c r="B2131" t="inlineStr">
        <is>
          <t>528000288</t>
        </is>
      </c>
      <c r="C2131" t="inlineStr">
        <is>
          <t>Dede gunawan</t>
        </is>
      </c>
      <c r="D2131" t="inlineStr">
        <is>
          <t>PROD</t>
        </is>
      </c>
      <c r="E2131" t="inlineStr">
        <is>
          <t>Produksi Harian</t>
        </is>
      </c>
      <c r="F2131" t="inlineStr">
        <is>
          <t>21:55:42</t>
        </is>
      </c>
      <c r="G2131" t="inlineStr">
        <is>
          <t>06:06:30</t>
        </is>
      </c>
      <c r="H2131" t="inlineStr">
        <is>
          <t>SELESAI</t>
        </is>
      </c>
      <c r="I2131" t="inlineStr">
        <is>
          <t>MK00134</t>
        </is>
      </c>
      <c r="J2131" t="inlineStr"/>
    </row>
    <row r="2132">
      <c r="A2132" t="inlineStr">
        <is>
          <t>22/07/2026</t>
        </is>
      </c>
      <c r="B2132" t="inlineStr">
        <is>
          <t>528000289</t>
        </is>
      </c>
      <c r="C2132" t="inlineStr">
        <is>
          <t>Adit Supriyadi</t>
        </is>
      </c>
      <c r="D2132" t="inlineStr">
        <is>
          <t>PROD</t>
        </is>
      </c>
      <c r="E2132" t="inlineStr">
        <is>
          <t>Produksi Harian</t>
        </is>
      </c>
      <c r="F2132" t="inlineStr"/>
      <c r="G2132" t="inlineStr">
        <is>
          <t>09:46:12</t>
        </is>
      </c>
      <c r="H2132" t="inlineStr">
        <is>
          <t>KELUAR TANPA MASUK</t>
        </is>
      </c>
      <c r="I2132" t="inlineStr">
        <is>
          <t>MK00134</t>
        </is>
      </c>
      <c r="J2132" t="inlineStr"/>
    </row>
    <row r="2133">
      <c r="A2133" t="inlineStr">
        <is>
          <t>22/07/2026</t>
        </is>
      </c>
      <c r="B2133" t="inlineStr">
        <is>
          <t>528000291</t>
        </is>
      </c>
      <c r="C2133" t="inlineStr">
        <is>
          <t>Andrian</t>
        </is>
      </c>
      <c r="D2133" t="inlineStr">
        <is>
          <t>PROD</t>
        </is>
      </c>
      <c r="E2133" t="inlineStr">
        <is>
          <t>Produksi Harian</t>
        </is>
      </c>
      <c r="F2133" t="inlineStr">
        <is>
          <t>05:49:18</t>
        </is>
      </c>
      <c r="G2133" t="inlineStr">
        <is>
          <t>14:01:54</t>
        </is>
      </c>
      <c r="H2133" t="inlineStr">
        <is>
          <t>SELESAI</t>
        </is>
      </c>
      <c r="I2133" t="inlineStr">
        <is>
          <t>MK00008</t>
        </is>
      </c>
      <c r="J2133" t="inlineStr"/>
    </row>
    <row r="2134">
      <c r="A2134" t="inlineStr">
        <is>
          <t>22/07/2026</t>
        </is>
      </c>
      <c r="B2134" t="inlineStr">
        <is>
          <t>528000297</t>
        </is>
      </c>
      <c r="C2134" t="inlineStr">
        <is>
          <t>Muhamad Budiana</t>
        </is>
      </c>
      <c r="D2134" t="inlineStr">
        <is>
          <t>PROD</t>
        </is>
      </c>
      <c r="E2134" t="inlineStr">
        <is>
          <t>Produksi Harian</t>
        </is>
      </c>
      <c r="F2134" t="inlineStr">
        <is>
          <t>21:51:10</t>
        </is>
      </c>
      <c r="G2134" t="inlineStr">
        <is>
          <t>06:55:40</t>
        </is>
      </c>
      <c r="H2134" t="inlineStr">
        <is>
          <t>SELESAI</t>
        </is>
      </c>
      <c r="I2134" t="inlineStr">
        <is>
          <t>MK00121</t>
        </is>
      </c>
      <c r="J2134" t="inlineStr"/>
    </row>
    <row r="2135">
      <c r="A2135" t="inlineStr">
        <is>
          <t>22/07/2026</t>
        </is>
      </c>
      <c r="B2135" t="inlineStr">
        <is>
          <t>528000298</t>
        </is>
      </c>
      <c r="C2135" t="inlineStr">
        <is>
          <t>Desta Cahaya Pratama</t>
        </is>
      </c>
      <c r="D2135" t="inlineStr">
        <is>
          <t>PROD</t>
        </is>
      </c>
      <c r="E2135" t="inlineStr">
        <is>
          <t>Produksi Harian</t>
        </is>
      </c>
      <c r="F2135" t="inlineStr">
        <is>
          <t>13:39:20</t>
        </is>
      </c>
      <c r="G2135" t="inlineStr">
        <is>
          <t>22:08:34</t>
        </is>
      </c>
      <c r="H2135" t="inlineStr">
        <is>
          <t>SELESAI</t>
        </is>
      </c>
      <c r="I2135" t="inlineStr">
        <is>
          <t>MK00145</t>
        </is>
      </c>
      <c r="J2135" t="inlineStr"/>
    </row>
    <row r="2136">
      <c r="A2136" t="inlineStr">
        <is>
          <t>22/07/2026</t>
        </is>
      </c>
      <c r="B2136" t="inlineStr">
        <is>
          <t>528000299</t>
        </is>
      </c>
      <c r="C2136" t="inlineStr">
        <is>
          <t>Siti Nurjanah</t>
        </is>
      </c>
      <c r="D2136" t="inlineStr">
        <is>
          <t>PROD</t>
        </is>
      </c>
      <c r="E2136" t="inlineStr">
        <is>
          <t>Produksi Harian</t>
        </is>
      </c>
      <c r="F2136" t="inlineStr">
        <is>
          <t>13:46:59</t>
        </is>
      </c>
      <c r="G2136" t="inlineStr">
        <is>
          <t>22:04:14</t>
        </is>
      </c>
      <c r="H2136" t="inlineStr">
        <is>
          <t>SELESAI</t>
        </is>
      </c>
      <c r="I2136" t="inlineStr">
        <is>
          <t>MK00208</t>
        </is>
      </c>
      <c r="J2136" t="inlineStr"/>
    </row>
    <row r="2137">
      <c r="A2137" t="inlineStr">
        <is>
          <t>22/07/2026</t>
        </is>
      </c>
      <c r="B2137" t="inlineStr">
        <is>
          <t>528000300</t>
        </is>
      </c>
      <c r="C2137" t="inlineStr">
        <is>
          <t>Lia pitaloka</t>
        </is>
      </c>
      <c r="D2137" t="inlineStr">
        <is>
          <t>PROD</t>
        </is>
      </c>
      <c r="E2137" t="inlineStr">
        <is>
          <t>Produksi Harian</t>
        </is>
      </c>
      <c r="F2137" t="inlineStr"/>
      <c r="G2137" t="inlineStr">
        <is>
          <t>06:03:07</t>
        </is>
      </c>
      <c r="H2137" t="inlineStr">
        <is>
          <t>KELUAR TANPA MASUK</t>
        </is>
      </c>
      <c r="I2137" t="inlineStr">
        <is>
          <t>MK00095</t>
        </is>
      </c>
      <c r="J2137" t="inlineStr"/>
    </row>
    <row r="2138">
      <c r="A2138" t="inlineStr">
        <is>
          <t>22/07/2026</t>
        </is>
      </c>
      <c r="B2138" t="inlineStr">
        <is>
          <t>528000302</t>
        </is>
      </c>
      <c r="C2138" t="inlineStr">
        <is>
          <t>Henkey gumilar</t>
        </is>
      </c>
      <c r="D2138" t="inlineStr">
        <is>
          <t>PROD</t>
        </is>
      </c>
      <c r="E2138" t="inlineStr">
        <is>
          <t>Produksi Harian</t>
        </is>
      </c>
      <c r="F2138" t="inlineStr">
        <is>
          <t>13:45:00</t>
        </is>
      </c>
      <c r="G2138" t="inlineStr"/>
      <c r="H2138" t="inlineStr">
        <is>
          <t>DI DALAM</t>
        </is>
      </c>
      <c r="I2138" t="inlineStr">
        <is>
          <t>MH00108</t>
        </is>
      </c>
      <c r="J2138" t="inlineStr"/>
    </row>
    <row r="2139">
      <c r="A2139" t="inlineStr">
        <is>
          <t>22/07/2026</t>
        </is>
      </c>
      <c r="B2139" t="inlineStr">
        <is>
          <t>528000305</t>
        </is>
      </c>
      <c r="C2139" t="inlineStr">
        <is>
          <t>Puji Puspita</t>
        </is>
      </c>
      <c r="D2139" t="inlineStr">
        <is>
          <t>PROD</t>
        </is>
      </c>
      <c r="E2139" t="inlineStr">
        <is>
          <t>Produksi Harian</t>
        </is>
      </c>
      <c r="F2139" t="inlineStr">
        <is>
          <t>13:42:26</t>
        </is>
      </c>
      <c r="G2139" t="inlineStr">
        <is>
          <t>22:02:16</t>
        </is>
      </c>
      <c r="H2139" t="inlineStr">
        <is>
          <t>SELESAI</t>
        </is>
      </c>
      <c r="I2139" t="inlineStr">
        <is>
          <t>MK00082</t>
        </is>
      </c>
      <c r="J2139" t="inlineStr"/>
    </row>
    <row r="2140">
      <c r="A2140" t="inlineStr">
        <is>
          <t>22/07/2026</t>
        </is>
      </c>
      <c r="B2140" t="inlineStr">
        <is>
          <t>528000306</t>
        </is>
      </c>
      <c r="C2140" t="inlineStr">
        <is>
          <t>Windy Olivia</t>
        </is>
      </c>
      <c r="D2140" t="inlineStr">
        <is>
          <t>PROD</t>
        </is>
      </c>
      <c r="E2140" t="inlineStr">
        <is>
          <t>Produksi Harian</t>
        </is>
      </c>
      <c r="F2140" t="inlineStr">
        <is>
          <t>05:40:30</t>
        </is>
      </c>
      <c r="G2140" t="inlineStr">
        <is>
          <t>14:04:17</t>
        </is>
      </c>
      <c r="H2140" t="inlineStr">
        <is>
          <t>SELESAI</t>
        </is>
      </c>
      <c r="I2140" t="inlineStr">
        <is>
          <t>MK00235</t>
        </is>
      </c>
      <c r="J2140" t="inlineStr"/>
    </row>
    <row r="2141">
      <c r="A2141" t="inlineStr">
        <is>
          <t>22/07/2026</t>
        </is>
      </c>
      <c r="B2141" t="inlineStr">
        <is>
          <t>528000309</t>
        </is>
      </c>
      <c r="C2141" t="inlineStr">
        <is>
          <t>Ilham Ramadhan</t>
        </is>
      </c>
      <c r="D2141" t="inlineStr">
        <is>
          <t>LOG</t>
        </is>
      </c>
      <c r="E2141" t="inlineStr">
        <is>
          <t>WRM Harian</t>
        </is>
      </c>
      <c r="F2141" t="inlineStr">
        <is>
          <t>13:55:25</t>
        </is>
      </c>
      <c r="G2141" t="inlineStr">
        <is>
          <t>22:03:39</t>
        </is>
      </c>
      <c r="H2141" t="inlineStr">
        <is>
          <t>SELESAI</t>
        </is>
      </c>
      <c r="I2141" t="inlineStr">
        <is>
          <t>MK00134</t>
        </is>
      </c>
      <c r="J2141" t="inlineStr"/>
    </row>
    <row r="2142">
      <c r="A2142" t="inlineStr">
        <is>
          <t>22/07/2026</t>
        </is>
      </c>
      <c r="B2142" t="inlineStr">
        <is>
          <t>528000310</t>
        </is>
      </c>
      <c r="C2142" t="inlineStr">
        <is>
          <t>Fachrul Rozzi Suryana</t>
        </is>
      </c>
      <c r="D2142" t="inlineStr">
        <is>
          <t>LOG</t>
        </is>
      </c>
      <c r="E2142" t="inlineStr">
        <is>
          <t>WRM Harian</t>
        </is>
      </c>
      <c r="F2142" t="inlineStr">
        <is>
          <t>07:56:40</t>
        </is>
      </c>
      <c r="G2142" t="inlineStr">
        <is>
          <t>16:00:42</t>
        </is>
      </c>
      <c r="H2142" t="inlineStr">
        <is>
          <t>SELESAI</t>
        </is>
      </c>
      <c r="I2142" t="inlineStr">
        <is>
          <t>MK00090</t>
        </is>
      </c>
      <c r="J2142" t="inlineStr">
        <is>
          <t>23F</t>
        </is>
      </c>
    </row>
    <row r="2143">
      <c r="A2143" t="inlineStr">
        <is>
          <t>22/07/2026</t>
        </is>
      </c>
      <c r="B2143" t="inlineStr">
        <is>
          <t>528000313</t>
        </is>
      </c>
      <c r="C2143" t="inlineStr">
        <is>
          <t>Muhamad Rifki</t>
        </is>
      </c>
      <c r="D2143" t="inlineStr">
        <is>
          <t>PROD</t>
        </is>
      </c>
      <c r="E2143" t="inlineStr">
        <is>
          <t>Produksi Harian</t>
        </is>
      </c>
      <c r="F2143" t="inlineStr">
        <is>
          <t>13:31:38</t>
        </is>
      </c>
      <c r="G2143" t="inlineStr">
        <is>
          <t>22:08:26</t>
        </is>
      </c>
      <c r="H2143" t="inlineStr">
        <is>
          <t>SELESAI</t>
        </is>
      </c>
      <c r="I2143" t="inlineStr">
        <is>
          <t>MK00085</t>
        </is>
      </c>
      <c r="J2143" t="inlineStr"/>
    </row>
    <row r="2144">
      <c r="A2144" t="inlineStr">
        <is>
          <t>22/07/2026</t>
        </is>
      </c>
      <c r="B2144" t="inlineStr">
        <is>
          <t>528000314</t>
        </is>
      </c>
      <c r="C2144" t="inlineStr">
        <is>
          <t>Rusmana</t>
        </is>
      </c>
      <c r="D2144" t="inlineStr">
        <is>
          <t>PROD</t>
        </is>
      </c>
      <c r="E2144" t="inlineStr">
        <is>
          <t>Produksi Harian</t>
        </is>
      </c>
      <c r="F2144" t="inlineStr">
        <is>
          <t>05:08:41</t>
        </is>
      </c>
      <c r="G2144" t="inlineStr">
        <is>
          <t>05:53:46</t>
        </is>
      </c>
      <c r="H2144" t="inlineStr">
        <is>
          <t>SELESAI</t>
        </is>
      </c>
      <c r="I2144" t="inlineStr">
        <is>
          <t>MK00125</t>
        </is>
      </c>
      <c r="J2144" t="inlineStr"/>
    </row>
    <row r="2145">
      <c r="A2145" t="inlineStr">
        <is>
          <t>22/07/2026</t>
        </is>
      </c>
      <c r="B2145" t="inlineStr">
        <is>
          <t>528000318</t>
        </is>
      </c>
      <c r="C2145" t="inlineStr">
        <is>
          <t>Bayu Padli Sepriyana</t>
        </is>
      </c>
      <c r="D2145" t="inlineStr">
        <is>
          <t>LOG</t>
        </is>
      </c>
      <c r="E2145" t="inlineStr">
        <is>
          <t>WRM Harian</t>
        </is>
      </c>
      <c r="F2145" t="inlineStr">
        <is>
          <t>13:48:03</t>
        </is>
      </c>
      <c r="G2145" t="inlineStr">
        <is>
          <t>22:03:30</t>
        </is>
      </c>
      <c r="H2145" t="inlineStr">
        <is>
          <t>SELESAI</t>
        </is>
      </c>
      <c r="I2145" t="inlineStr">
        <is>
          <t>MK00136</t>
        </is>
      </c>
      <c r="J2145" t="inlineStr"/>
    </row>
    <row r="2146">
      <c r="A2146" t="inlineStr">
        <is>
          <t>22/07/2026</t>
        </is>
      </c>
      <c r="B2146" t="inlineStr">
        <is>
          <t>528000322</t>
        </is>
      </c>
      <c r="C2146" t="inlineStr">
        <is>
          <t>Muhamad Aliludin</t>
        </is>
      </c>
      <c r="D2146" t="inlineStr">
        <is>
          <t>PROD</t>
        </is>
      </c>
      <c r="E2146" t="inlineStr">
        <is>
          <t>Produksi Harian</t>
        </is>
      </c>
      <c r="F2146" t="inlineStr">
        <is>
          <t>14:34:41</t>
        </is>
      </c>
      <c r="G2146" t="inlineStr">
        <is>
          <t>21:50:39</t>
        </is>
      </c>
      <c r="H2146" t="inlineStr">
        <is>
          <t>SELESAI</t>
        </is>
      </c>
      <c r="I2146" t="inlineStr">
        <is>
          <t>MK00220</t>
        </is>
      </c>
      <c r="J2146" t="inlineStr"/>
    </row>
    <row r="2147">
      <c r="A2147" t="inlineStr">
        <is>
          <t>22/07/2026</t>
        </is>
      </c>
      <c r="B2147" t="inlineStr">
        <is>
          <t>528000323</t>
        </is>
      </c>
      <c r="C2147" t="inlineStr">
        <is>
          <t>Dian Hamidah</t>
        </is>
      </c>
      <c r="D2147" t="inlineStr">
        <is>
          <t>PROD</t>
        </is>
      </c>
      <c r="E2147" t="inlineStr">
        <is>
          <t>Produksi Harian</t>
        </is>
      </c>
      <c r="F2147" t="inlineStr">
        <is>
          <t>21:40:29</t>
        </is>
      </c>
      <c r="G2147" t="inlineStr"/>
      <c r="H2147" t="inlineStr">
        <is>
          <t>DI DALAM</t>
        </is>
      </c>
      <c r="I2147" t="inlineStr">
        <is>
          <t>MK00160</t>
        </is>
      </c>
      <c r="J2147" t="inlineStr"/>
    </row>
    <row r="2148">
      <c r="A2148" t="inlineStr">
        <is>
          <t>22/07/2026</t>
        </is>
      </c>
      <c r="B2148" t="inlineStr">
        <is>
          <t>528000324</t>
        </is>
      </c>
      <c r="C2148" t="inlineStr">
        <is>
          <t>Sri Yanti</t>
        </is>
      </c>
      <c r="D2148" t="inlineStr">
        <is>
          <t>PROD</t>
        </is>
      </c>
      <c r="E2148" t="inlineStr">
        <is>
          <t>Produksi Harian</t>
        </is>
      </c>
      <c r="F2148" t="inlineStr"/>
      <c r="G2148" t="inlineStr">
        <is>
          <t>06:08:16</t>
        </is>
      </c>
      <c r="H2148" t="inlineStr">
        <is>
          <t>KELUAR TANPA MASUK</t>
        </is>
      </c>
      <c r="I2148" t="inlineStr">
        <is>
          <t>MK00154</t>
        </is>
      </c>
      <c r="J2148" t="inlineStr"/>
    </row>
    <row r="2149">
      <c r="A2149" t="inlineStr">
        <is>
          <t>22/07/2026</t>
        </is>
      </c>
      <c r="B2149" t="inlineStr">
        <is>
          <t>528000328</t>
        </is>
      </c>
      <c r="C2149" t="inlineStr">
        <is>
          <t>Nur Anjani</t>
        </is>
      </c>
      <c r="D2149" t="inlineStr">
        <is>
          <t>PROD</t>
        </is>
      </c>
      <c r="E2149" t="inlineStr">
        <is>
          <t>Produksi Harian</t>
        </is>
      </c>
      <c r="F2149" t="inlineStr">
        <is>
          <t>05:43:33</t>
        </is>
      </c>
      <c r="G2149" t="inlineStr">
        <is>
          <t>14:05:12</t>
        </is>
      </c>
      <c r="H2149" t="inlineStr">
        <is>
          <t>SELESAI</t>
        </is>
      </c>
      <c r="I2149" t="inlineStr">
        <is>
          <t>MK00113</t>
        </is>
      </c>
      <c r="J2149" t="inlineStr"/>
    </row>
    <row r="2150">
      <c r="A2150" t="inlineStr">
        <is>
          <t>22/07/2026</t>
        </is>
      </c>
      <c r="B2150" t="inlineStr">
        <is>
          <t>528000335</t>
        </is>
      </c>
      <c r="C2150" t="inlineStr">
        <is>
          <t>Rizal Saepuloh</t>
        </is>
      </c>
      <c r="D2150" t="inlineStr">
        <is>
          <t>LOG</t>
        </is>
      </c>
      <c r="E2150" t="inlineStr">
        <is>
          <t>WRM Harian</t>
        </is>
      </c>
      <c r="F2150" t="inlineStr">
        <is>
          <t>16:02:48</t>
        </is>
      </c>
      <c r="G2150" t="inlineStr">
        <is>
          <t>00:00:19</t>
        </is>
      </c>
      <c r="H2150" t="inlineStr">
        <is>
          <t>SELESAI</t>
        </is>
      </c>
      <c r="I2150" t="inlineStr">
        <is>
          <t>MK00204</t>
        </is>
      </c>
      <c r="J2150" t="inlineStr"/>
    </row>
    <row r="2151">
      <c r="A2151" t="inlineStr">
        <is>
          <t>22/07/2026</t>
        </is>
      </c>
      <c r="B2151" t="inlineStr">
        <is>
          <t>528000336</t>
        </is>
      </c>
      <c r="C2151" t="inlineStr">
        <is>
          <t>Ali Nurhanafi</t>
        </is>
      </c>
      <c r="D2151" t="inlineStr">
        <is>
          <t>PROD</t>
        </is>
      </c>
      <c r="E2151" t="inlineStr">
        <is>
          <t>Produksi Harian</t>
        </is>
      </c>
      <c r="F2151" t="inlineStr">
        <is>
          <t>05:49:26</t>
        </is>
      </c>
      <c r="G2151" t="inlineStr">
        <is>
          <t>14:07:16</t>
        </is>
      </c>
      <c r="H2151" t="inlineStr">
        <is>
          <t>SELESAI</t>
        </is>
      </c>
      <c r="I2151" t="inlineStr">
        <is>
          <t>MK00185</t>
        </is>
      </c>
      <c r="J2151" t="inlineStr"/>
    </row>
    <row r="2152">
      <c r="A2152" t="inlineStr">
        <is>
          <t>22/07/2026</t>
        </is>
      </c>
      <c r="B2152" t="inlineStr">
        <is>
          <t>528000337</t>
        </is>
      </c>
      <c r="C2152" t="inlineStr">
        <is>
          <t>Ahmad Zaldi Firdaus</t>
        </is>
      </c>
      <c r="D2152" t="inlineStr">
        <is>
          <t>PROD</t>
        </is>
      </c>
      <c r="E2152" t="inlineStr">
        <is>
          <t>Produksi Harian</t>
        </is>
      </c>
      <c r="F2152" t="inlineStr">
        <is>
          <t>05:34:04</t>
        </is>
      </c>
      <c r="G2152" t="inlineStr">
        <is>
          <t>14:08:27</t>
        </is>
      </c>
      <c r="H2152" t="inlineStr">
        <is>
          <t>SELESAI</t>
        </is>
      </c>
      <c r="I2152" t="inlineStr">
        <is>
          <t>MK00220</t>
        </is>
      </c>
      <c r="J2152" t="inlineStr"/>
    </row>
    <row r="2153">
      <c r="A2153" t="inlineStr">
        <is>
          <t>22/07/2026</t>
        </is>
      </c>
      <c r="B2153" t="inlineStr">
        <is>
          <t>528000340</t>
        </is>
      </c>
      <c r="C2153" t="inlineStr">
        <is>
          <t>Muhammad Wildan Adithya</t>
        </is>
      </c>
      <c r="D2153" t="inlineStr">
        <is>
          <t>PROD</t>
        </is>
      </c>
      <c r="E2153" t="inlineStr">
        <is>
          <t>Produksi Harian</t>
        </is>
      </c>
      <c r="F2153" t="inlineStr">
        <is>
          <t>13:34:32</t>
        </is>
      </c>
      <c r="G2153" t="inlineStr">
        <is>
          <t>22:39:50</t>
        </is>
      </c>
      <c r="H2153" t="inlineStr">
        <is>
          <t>SELESAI</t>
        </is>
      </c>
      <c r="I2153" t="inlineStr">
        <is>
          <t>MK00217</t>
        </is>
      </c>
      <c r="J2153" t="inlineStr"/>
    </row>
    <row r="2154">
      <c r="A2154" t="inlineStr">
        <is>
          <t>22/07/2026</t>
        </is>
      </c>
      <c r="B2154" t="inlineStr">
        <is>
          <t>528000348</t>
        </is>
      </c>
      <c r="C2154" t="inlineStr">
        <is>
          <t>Saepuloh Ardiansah</t>
        </is>
      </c>
      <c r="D2154" t="inlineStr">
        <is>
          <t>LOG</t>
        </is>
      </c>
      <c r="E2154" t="inlineStr">
        <is>
          <t>WRM Harian</t>
        </is>
      </c>
      <c r="F2154" t="inlineStr">
        <is>
          <t>08:49:02</t>
        </is>
      </c>
      <c r="G2154" t="inlineStr">
        <is>
          <t>17:22:33</t>
        </is>
      </c>
      <c r="H2154" t="inlineStr">
        <is>
          <t>SELESAI</t>
        </is>
      </c>
      <c r="I2154" t="inlineStr">
        <is>
          <t>MK00205</t>
        </is>
      </c>
      <c r="J2154" t="inlineStr"/>
    </row>
    <row r="2155">
      <c r="A2155" t="inlineStr">
        <is>
          <t>22/07/2026</t>
        </is>
      </c>
      <c r="B2155" t="inlineStr">
        <is>
          <t>528000349</t>
        </is>
      </c>
      <c r="C2155" t="inlineStr">
        <is>
          <t>Anas Abdul Fatah</t>
        </is>
      </c>
      <c r="D2155" t="inlineStr">
        <is>
          <t>LOG</t>
        </is>
      </c>
      <c r="E2155" t="inlineStr">
        <is>
          <t>WFG Harian</t>
        </is>
      </c>
      <c r="F2155" t="inlineStr">
        <is>
          <t>09:45:04</t>
        </is>
      </c>
      <c r="G2155" t="inlineStr">
        <is>
          <t>18:11:18</t>
        </is>
      </c>
      <c r="H2155" t="inlineStr">
        <is>
          <t>SELESAI</t>
        </is>
      </c>
      <c r="I2155" t="inlineStr">
        <is>
          <t>MK00160</t>
        </is>
      </c>
      <c r="J2155" t="inlineStr"/>
    </row>
    <row r="2156">
      <c r="A2156" t="inlineStr">
        <is>
          <t>22/07/2026</t>
        </is>
      </c>
      <c r="B2156" t="inlineStr">
        <is>
          <t>528000351</t>
        </is>
      </c>
      <c r="C2156" t="inlineStr">
        <is>
          <t>Mulyana</t>
        </is>
      </c>
      <c r="D2156" t="inlineStr">
        <is>
          <t>PROD</t>
        </is>
      </c>
      <c r="E2156" t="inlineStr">
        <is>
          <t>Produksi Harian</t>
        </is>
      </c>
      <c r="F2156" t="inlineStr">
        <is>
          <t>08:10:47</t>
        </is>
      </c>
      <c r="G2156" t="inlineStr">
        <is>
          <t>16:00:12</t>
        </is>
      </c>
      <c r="H2156" t="inlineStr">
        <is>
          <t>SELESAI</t>
        </is>
      </c>
      <c r="I2156" t="inlineStr">
        <is>
          <t>MK00156</t>
        </is>
      </c>
      <c r="J2156" t="inlineStr"/>
    </row>
    <row r="2157">
      <c r="A2157" t="inlineStr">
        <is>
          <t>22/07/2026</t>
        </is>
      </c>
      <c r="B2157" t="inlineStr">
        <is>
          <t>528000358</t>
        </is>
      </c>
      <c r="C2157" t="inlineStr">
        <is>
          <t>Lulu Agustin</t>
        </is>
      </c>
      <c r="D2157" t="inlineStr">
        <is>
          <t>PROD</t>
        </is>
      </c>
      <c r="E2157" t="inlineStr">
        <is>
          <t>Produksi Harian</t>
        </is>
      </c>
      <c r="F2157" t="inlineStr">
        <is>
          <t>05:38:19</t>
        </is>
      </c>
      <c r="G2157" t="inlineStr">
        <is>
          <t>14:03:23</t>
        </is>
      </c>
      <c r="H2157" t="inlineStr">
        <is>
          <t>SELESAI</t>
        </is>
      </c>
      <c r="I2157" t="inlineStr">
        <is>
          <t>MK00249</t>
        </is>
      </c>
      <c r="J2157" t="inlineStr"/>
    </row>
    <row r="2158">
      <c r="A2158" t="inlineStr">
        <is>
          <t>22/07/2026</t>
        </is>
      </c>
      <c r="B2158" t="inlineStr">
        <is>
          <t>528000361</t>
        </is>
      </c>
      <c r="C2158" t="inlineStr">
        <is>
          <t>Denada Munggarani</t>
        </is>
      </c>
      <c r="D2158" t="inlineStr">
        <is>
          <t>PROD</t>
        </is>
      </c>
      <c r="E2158" t="inlineStr">
        <is>
          <t>Produksi Harian</t>
        </is>
      </c>
      <c r="F2158" t="inlineStr">
        <is>
          <t>13:40:40</t>
        </is>
      </c>
      <c r="G2158" t="inlineStr">
        <is>
          <t>22:01:56</t>
        </is>
      </c>
      <c r="H2158" t="inlineStr">
        <is>
          <t>SELESAI</t>
        </is>
      </c>
      <c r="I2158" t="inlineStr">
        <is>
          <t>MK00212</t>
        </is>
      </c>
      <c r="J2158" t="inlineStr"/>
    </row>
    <row r="2159">
      <c r="A2159" t="inlineStr">
        <is>
          <t>22/07/2026</t>
        </is>
      </c>
      <c r="B2159" t="inlineStr">
        <is>
          <t>628000064</t>
        </is>
      </c>
      <c r="C2159" t="inlineStr">
        <is>
          <t>Silva Alypia</t>
        </is>
      </c>
      <c r="D2159" t="inlineStr">
        <is>
          <t>PROD</t>
        </is>
      </c>
      <c r="E2159" t="inlineStr">
        <is>
          <t>Produksi Borongan</t>
        </is>
      </c>
      <c r="F2159" t="inlineStr"/>
      <c r="G2159" t="inlineStr">
        <is>
          <t>06:03:33</t>
        </is>
      </c>
      <c r="H2159" t="inlineStr">
        <is>
          <t>KELUAR TANPA MASUK</t>
        </is>
      </c>
      <c r="I2159" t="inlineStr">
        <is>
          <t>MK00220</t>
        </is>
      </c>
      <c r="J2159" t="inlineStr"/>
    </row>
    <row r="2160">
      <c r="A2160" t="inlineStr">
        <is>
          <t>23/07/2026</t>
        </is>
      </c>
      <c r="B2160" t="inlineStr">
        <is>
          <t>528000015</t>
        </is>
      </c>
      <c r="C2160" t="inlineStr">
        <is>
          <t>Erwin</t>
        </is>
      </c>
      <c r="D2160" t="inlineStr">
        <is>
          <t>LOG</t>
        </is>
      </c>
      <c r="E2160" t="inlineStr">
        <is>
          <t>WRM Harian</t>
        </is>
      </c>
      <c r="F2160" t="inlineStr">
        <is>
          <t>13:43:20</t>
        </is>
      </c>
      <c r="G2160" t="inlineStr"/>
      <c r="H2160" t="inlineStr">
        <is>
          <t>DI DALAM</t>
        </is>
      </c>
      <c r="I2160" t="inlineStr">
        <is>
          <t>MK00118</t>
        </is>
      </c>
      <c r="J2160" t="inlineStr"/>
    </row>
    <row r="2161">
      <c r="A2161" t="inlineStr">
        <is>
          <t>23/07/2026</t>
        </is>
      </c>
      <c r="B2161" t="inlineStr">
        <is>
          <t>528000040</t>
        </is>
      </c>
      <c r="C2161" t="inlineStr">
        <is>
          <t>Agus Suryaman</t>
        </is>
      </c>
      <c r="D2161" t="inlineStr">
        <is>
          <t>PROD</t>
        </is>
      </c>
      <c r="E2161" t="inlineStr">
        <is>
          <t>Produksi Harian</t>
        </is>
      </c>
      <c r="F2161" t="inlineStr">
        <is>
          <t>08:51:21</t>
        </is>
      </c>
      <c r="G2161" t="inlineStr">
        <is>
          <t>17:06:50</t>
        </is>
      </c>
      <c r="H2161" t="inlineStr">
        <is>
          <t>SELESAI</t>
        </is>
      </c>
      <c r="I2161" t="inlineStr">
        <is>
          <t>MK00141</t>
        </is>
      </c>
      <c r="J2161" t="inlineStr"/>
    </row>
    <row r="2162">
      <c r="A2162" t="inlineStr">
        <is>
          <t>23/07/2026</t>
        </is>
      </c>
      <c r="B2162" t="inlineStr">
        <is>
          <t>528000052</t>
        </is>
      </c>
      <c r="C2162" t="inlineStr">
        <is>
          <t>Mustopa</t>
        </is>
      </c>
      <c r="D2162" t="inlineStr">
        <is>
          <t>PROD</t>
        </is>
      </c>
      <c r="E2162" t="inlineStr">
        <is>
          <t>Produksi Harian</t>
        </is>
      </c>
      <c r="F2162" t="inlineStr">
        <is>
          <t>05:42:14</t>
        </is>
      </c>
      <c r="G2162" t="inlineStr">
        <is>
          <t>14:03:46</t>
        </is>
      </c>
      <c r="H2162" t="inlineStr">
        <is>
          <t>SELESAI</t>
        </is>
      </c>
      <c r="I2162" t="inlineStr">
        <is>
          <t>MK00156</t>
        </is>
      </c>
      <c r="J2162" t="inlineStr"/>
    </row>
    <row r="2163">
      <c r="A2163" t="inlineStr">
        <is>
          <t>23/07/2026</t>
        </is>
      </c>
      <c r="B2163" t="inlineStr">
        <is>
          <t>528000090</t>
        </is>
      </c>
      <c r="C2163" t="inlineStr">
        <is>
          <t>Suganda</t>
        </is>
      </c>
      <c r="D2163" t="inlineStr">
        <is>
          <t>PROD</t>
        </is>
      </c>
      <c r="E2163" t="inlineStr">
        <is>
          <t>Produksi Harian</t>
        </is>
      </c>
      <c r="F2163" t="inlineStr">
        <is>
          <t>21:58:36</t>
        </is>
      </c>
      <c r="G2163" t="inlineStr"/>
      <c r="H2163" t="inlineStr">
        <is>
          <t>DI DALAM</t>
        </is>
      </c>
      <c r="I2163" t="inlineStr">
        <is>
          <t>MK00143</t>
        </is>
      </c>
      <c r="J2163" t="inlineStr"/>
    </row>
    <row r="2164">
      <c r="A2164" t="inlineStr">
        <is>
          <t>23/07/2026</t>
        </is>
      </c>
      <c r="B2164" t="inlineStr">
        <is>
          <t>528000099</t>
        </is>
      </c>
      <c r="C2164" t="inlineStr">
        <is>
          <t>Siti Nurawaliah</t>
        </is>
      </c>
      <c r="D2164" t="inlineStr">
        <is>
          <t>PROD</t>
        </is>
      </c>
      <c r="E2164" t="inlineStr">
        <is>
          <t>Produksi Harian</t>
        </is>
      </c>
      <c r="F2164" t="inlineStr">
        <is>
          <t>21:47:09</t>
        </is>
      </c>
      <c r="G2164" t="inlineStr"/>
      <c r="H2164" t="inlineStr">
        <is>
          <t>DI DALAM</t>
        </is>
      </c>
      <c r="I2164" t="inlineStr">
        <is>
          <t>145</t>
        </is>
      </c>
      <c r="J2164" t="inlineStr"/>
    </row>
    <row r="2165">
      <c r="A2165" t="inlineStr">
        <is>
          <t>23/07/2026</t>
        </is>
      </c>
      <c r="B2165" t="inlineStr">
        <is>
          <t>528000144</t>
        </is>
      </c>
      <c r="C2165" t="inlineStr">
        <is>
          <t>Jodi Hanafi</t>
        </is>
      </c>
      <c r="D2165" t="inlineStr">
        <is>
          <t>LOG</t>
        </is>
      </c>
      <c r="E2165" t="inlineStr">
        <is>
          <t>WRM Harian</t>
        </is>
      </c>
      <c r="F2165" t="inlineStr">
        <is>
          <t>15:36:34</t>
        </is>
      </c>
      <c r="G2165" t="inlineStr">
        <is>
          <t>00:32:45</t>
        </is>
      </c>
      <c r="H2165" t="inlineStr">
        <is>
          <t>SELESAI</t>
        </is>
      </c>
      <c r="I2165" t="inlineStr">
        <is>
          <t>MK00221</t>
        </is>
      </c>
      <c r="J2165" t="inlineStr"/>
    </row>
    <row r="2166">
      <c r="A2166" t="inlineStr">
        <is>
          <t>23/07/2026</t>
        </is>
      </c>
      <c r="B2166" t="inlineStr">
        <is>
          <t>528000149</t>
        </is>
      </c>
      <c r="C2166" t="inlineStr">
        <is>
          <t>Tio Fernanda</t>
        </is>
      </c>
      <c r="D2166" t="inlineStr">
        <is>
          <t>LOG</t>
        </is>
      </c>
      <c r="E2166" t="inlineStr">
        <is>
          <t>WRM Harian</t>
        </is>
      </c>
      <c r="F2166" t="inlineStr">
        <is>
          <t>08:49:27</t>
        </is>
      </c>
      <c r="G2166" t="inlineStr">
        <is>
          <t>17:14:56</t>
        </is>
      </c>
      <c r="H2166" t="inlineStr">
        <is>
          <t>SELESAI</t>
        </is>
      </c>
      <c r="I2166" t="inlineStr">
        <is>
          <t>MK0130</t>
        </is>
      </c>
      <c r="J2166" t="inlineStr"/>
    </row>
    <row r="2167">
      <c r="A2167" t="inlineStr">
        <is>
          <t>23/07/2026</t>
        </is>
      </c>
      <c r="B2167" t="inlineStr">
        <is>
          <t>528000195</t>
        </is>
      </c>
      <c r="C2167" t="inlineStr">
        <is>
          <t>Rahma Sariwati</t>
        </is>
      </c>
      <c r="D2167" t="inlineStr">
        <is>
          <t>PROD</t>
        </is>
      </c>
      <c r="E2167" t="inlineStr">
        <is>
          <t>Produksi Harian</t>
        </is>
      </c>
      <c r="F2167" t="inlineStr">
        <is>
          <t>05:43:20</t>
        </is>
      </c>
      <c r="G2167" t="inlineStr">
        <is>
          <t>14:13:10</t>
        </is>
      </c>
      <c r="H2167" t="inlineStr">
        <is>
          <t>SELESAI</t>
        </is>
      </c>
      <c r="I2167" t="inlineStr">
        <is>
          <t>MK0217</t>
        </is>
      </c>
      <c r="J2167" t="inlineStr"/>
    </row>
    <row r="2168">
      <c r="A2168" t="inlineStr">
        <is>
          <t>23/07/2026</t>
        </is>
      </c>
      <c r="B2168" t="inlineStr">
        <is>
          <t>528000201</t>
        </is>
      </c>
      <c r="C2168" t="inlineStr">
        <is>
          <t>Zahwa Amelia Choerunissa</t>
        </is>
      </c>
      <c r="D2168" t="inlineStr">
        <is>
          <t>PROD</t>
        </is>
      </c>
      <c r="E2168" t="inlineStr">
        <is>
          <t>Produksi Harian</t>
        </is>
      </c>
      <c r="F2168" t="inlineStr">
        <is>
          <t>21:45:55</t>
        </is>
      </c>
      <c r="G2168" t="inlineStr"/>
      <c r="H2168" t="inlineStr">
        <is>
          <t>DI DALAM</t>
        </is>
      </c>
      <c r="I2168" t="inlineStr">
        <is>
          <t>MK0095</t>
        </is>
      </c>
      <c r="J2168" t="inlineStr"/>
    </row>
    <row r="2169">
      <c r="A2169" t="inlineStr">
        <is>
          <t>23/07/2026</t>
        </is>
      </c>
      <c r="B2169" t="inlineStr">
        <is>
          <t>528000212</t>
        </is>
      </c>
      <c r="C2169" t="inlineStr">
        <is>
          <t>Rizal Fauzi</t>
        </is>
      </c>
      <c r="D2169" t="inlineStr">
        <is>
          <t>PROD</t>
        </is>
      </c>
      <c r="E2169" t="inlineStr">
        <is>
          <t>Produksi Harian</t>
        </is>
      </c>
      <c r="F2169" t="inlineStr">
        <is>
          <t>21:56:41</t>
        </is>
      </c>
      <c r="G2169" t="inlineStr"/>
      <c r="H2169" t="inlineStr">
        <is>
          <t>DI DALAM</t>
        </is>
      </c>
      <c r="I2169" t="inlineStr">
        <is>
          <t>MK00116</t>
        </is>
      </c>
      <c r="J2169" t="inlineStr"/>
    </row>
    <row r="2170">
      <c r="A2170" t="inlineStr">
        <is>
          <t>23/07/2026</t>
        </is>
      </c>
      <c r="B2170" t="inlineStr">
        <is>
          <t>528000232</t>
        </is>
      </c>
      <c r="C2170" t="inlineStr">
        <is>
          <t>Agung Aji Suhada</t>
        </is>
      </c>
      <c r="D2170" t="inlineStr">
        <is>
          <t>LOG</t>
        </is>
      </c>
      <c r="E2170" t="inlineStr">
        <is>
          <t>WRM Harian</t>
        </is>
      </c>
      <c r="F2170" t="inlineStr">
        <is>
          <t>15:51:46</t>
        </is>
      </c>
      <c r="G2170" t="inlineStr">
        <is>
          <t>00:15:28</t>
        </is>
      </c>
      <c r="H2170" t="inlineStr">
        <is>
          <t>SELESAI</t>
        </is>
      </c>
      <c r="I2170" t="inlineStr">
        <is>
          <t>MK00210</t>
        </is>
      </c>
      <c r="J2170" t="inlineStr"/>
    </row>
    <row r="2171">
      <c r="A2171" t="inlineStr">
        <is>
          <t>23/07/2026</t>
        </is>
      </c>
      <c r="B2171" t="inlineStr">
        <is>
          <t>528000241</t>
        </is>
      </c>
      <c r="C2171" t="inlineStr">
        <is>
          <t>Balia Nurafif Bilah</t>
        </is>
      </c>
      <c r="D2171" t="inlineStr">
        <is>
          <t>PROD</t>
        </is>
      </c>
      <c r="E2171" t="inlineStr">
        <is>
          <t>Produksi Harian</t>
        </is>
      </c>
      <c r="F2171" t="inlineStr">
        <is>
          <t>21:51:35</t>
        </is>
      </c>
      <c r="G2171" t="inlineStr"/>
      <c r="H2171" t="inlineStr">
        <is>
          <t>DI DALAM</t>
        </is>
      </c>
      <c r="I2171" t="inlineStr">
        <is>
          <t>MK00156</t>
        </is>
      </c>
      <c r="J2171" t="inlineStr"/>
    </row>
    <row r="2172">
      <c r="A2172" t="inlineStr">
        <is>
          <t>23/07/2026</t>
        </is>
      </c>
      <c r="B2172" t="inlineStr">
        <is>
          <t>528000244</t>
        </is>
      </c>
      <c r="C2172" t="inlineStr">
        <is>
          <t>Rodian Rifai</t>
        </is>
      </c>
      <c r="D2172" t="inlineStr">
        <is>
          <t>PROD</t>
        </is>
      </c>
      <c r="E2172" t="inlineStr">
        <is>
          <t>Produksi Harian</t>
        </is>
      </c>
      <c r="F2172" t="inlineStr">
        <is>
          <t>14:11:09</t>
        </is>
      </c>
      <c r="G2172" t="inlineStr">
        <is>
          <t>13:39:25</t>
        </is>
      </c>
      <c r="H2172" t="inlineStr">
        <is>
          <t>SELESAI</t>
        </is>
      </c>
      <c r="I2172" t="inlineStr">
        <is>
          <t>MK00212</t>
        </is>
      </c>
      <c r="J2172" t="inlineStr"/>
    </row>
    <row r="2173">
      <c r="A2173" t="inlineStr">
        <is>
          <t>23/07/2026</t>
        </is>
      </c>
      <c r="B2173" t="inlineStr">
        <is>
          <t>528000248</t>
        </is>
      </c>
      <c r="C2173" t="inlineStr">
        <is>
          <t>Roka Jaya Salka Mulya</t>
        </is>
      </c>
      <c r="D2173" t="inlineStr">
        <is>
          <t>PROD</t>
        </is>
      </c>
      <c r="E2173" t="inlineStr">
        <is>
          <t>Produksi Harian</t>
        </is>
      </c>
      <c r="F2173" t="inlineStr"/>
      <c r="G2173" t="inlineStr">
        <is>
          <t>06:01:00</t>
        </is>
      </c>
      <c r="H2173" t="inlineStr">
        <is>
          <t>KELUAR TANPA MASUK</t>
        </is>
      </c>
      <c r="I2173" t="inlineStr">
        <is>
          <t>MK00185</t>
        </is>
      </c>
      <c r="J2173" t="inlineStr"/>
    </row>
    <row r="2174">
      <c r="A2174" t="inlineStr">
        <is>
          <t>23/07/2026</t>
        </is>
      </c>
      <c r="B2174" t="inlineStr">
        <is>
          <t>528000261</t>
        </is>
      </c>
      <c r="C2174" t="inlineStr">
        <is>
          <t>Ergi Ergianto</t>
        </is>
      </c>
      <c r="D2174" t="inlineStr">
        <is>
          <t>HRGA</t>
        </is>
      </c>
      <c r="E2174" t="inlineStr">
        <is>
          <t>GA Harian</t>
        </is>
      </c>
      <c r="F2174" t="inlineStr">
        <is>
          <t>05:45:16</t>
        </is>
      </c>
      <c r="G2174" t="inlineStr">
        <is>
          <t>14:04:45</t>
        </is>
      </c>
      <c r="H2174" t="inlineStr">
        <is>
          <t>SELESAI</t>
        </is>
      </c>
      <c r="I2174" t="inlineStr">
        <is>
          <t>MK00108</t>
        </is>
      </c>
      <c r="J2174" t="inlineStr"/>
    </row>
    <row r="2175">
      <c r="A2175" t="inlineStr">
        <is>
          <t>23/07/2026</t>
        </is>
      </c>
      <c r="B2175" t="inlineStr">
        <is>
          <t>528000262</t>
        </is>
      </c>
      <c r="C2175" t="inlineStr">
        <is>
          <t>Ndari Dwiwanti</t>
        </is>
      </c>
      <c r="D2175" t="inlineStr">
        <is>
          <t>PROD</t>
        </is>
      </c>
      <c r="E2175" t="inlineStr">
        <is>
          <t>Produksi Harian</t>
        </is>
      </c>
      <c r="F2175" t="inlineStr">
        <is>
          <t>05:50:13</t>
        </is>
      </c>
      <c r="G2175" t="inlineStr">
        <is>
          <t>14:03:57</t>
        </is>
      </c>
      <c r="H2175" t="inlineStr">
        <is>
          <t>SELESAI</t>
        </is>
      </c>
      <c r="I2175" t="inlineStr">
        <is>
          <t>MK00136</t>
        </is>
      </c>
      <c r="J2175" t="inlineStr"/>
    </row>
    <row r="2176">
      <c r="A2176" t="inlineStr">
        <is>
          <t>23/07/2026</t>
        </is>
      </c>
      <c r="B2176" t="inlineStr">
        <is>
          <t>528000265</t>
        </is>
      </c>
      <c r="C2176" t="inlineStr">
        <is>
          <t>Muhammad Haerul Rozikin</t>
        </is>
      </c>
      <c r="D2176" t="inlineStr">
        <is>
          <t>LOG</t>
        </is>
      </c>
      <c r="E2176" t="inlineStr">
        <is>
          <t>WRM Harian</t>
        </is>
      </c>
      <c r="F2176" t="inlineStr">
        <is>
          <t>07:44:15</t>
        </is>
      </c>
      <c r="G2176" t="inlineStr">
        <is>
          <t>16:07:21</t>
        </is>
      </c>
      <c r="H2176" t="inlineStr">
        <is>
          <t>SELESAI</t>
        </is>
      </c>
      <c r="I2176" t="inlineStr">
        <is>
          <t>MK00160</t>
        </is>
      </c>
      <c r="J2176" t="inlineStr"/>
    </row>
    <row r="2177">
      <c r="A2177" t="inlineStr">
        <is>
          <t>23/07/2026</t>
        </is>
      </c>
      <c r="B2177" t="inlineStr">
        <is>
          <t>528000266</t>
        </is>
      </c>
      <c r="C2177" t="inlineStr">
        <is>
          <t>M. Syirajatieq</t>
        </is>
      </c>
      <c r="D2177" t="inlineStr">
        <is>
          <t>LOG</t>
        </is>
      </c>
      <c r="E2177" t="inlineStr">
        <is>
          <t>WFG Harian</t>
        </is>
      </c>
      <c r="F2177" t="inlineStr">
        <is>
          <t>05:47:45</t>
        </is>
      </c>
      <c r="G2177" t="inlineStr">
        <is>
          <t>14:28:23</t>
        </is>
      </c>
      <c r="H2177" t="inlineStr">
        <is>
          <t>SELESAI</t>
        </is>
      </c>
      <c r="I2177" t="inlineStr">
        <is>
          <t>MK00112</t>
        </is>
      </c>
      <c r="J2177" t="inlineStr"/>
    </row>
    <row r="2178">
      <c r="A2178" t="inlineStr">
        <is>
          <t>23/07/2026</t>
        </is>
      </c>
      <c r="B2178" t="inlineStr">
        <is>
          <t>528000270</t>
        </is>
      </c>
      <c r="C2178" t="inlineStr">
        <is>
          <t>Febri Najmudin</t>
        </is>
      </c>
      <c r="D2178" t="inlineStr">
        <is>
          <t>LOG</t>
        </is>
      </c>
      <c r="E2178" t="inlineStr">
        <is>
          <t>WRM Harian</t>
        </is>
      </c>
      <c r="F2178" t="inlineStr">
        <is>
          <t>13:48:00</t>
        </is>
      </c>
      <c r="G2178" t="inlineStr">
        <is>
          <t>22:22:48</t>
        </is>
      </c>
      <c r="H2178" t="inlineStr">
        <is>
          <t>SELESAI</t>
        </is>
      </c>
      <c r="I2178" t="inlineStr">
        <is>
          <t>MK00116</t>
        </is>
      </c>
      <c r="J2178" t="inlineStr"/>
    </row>
    <row r="2179">
      <c r="A2179" t="inlineStr">
        <is>
          <t>23/07/2026</t>
        </is>
      </c>
      <c r="B2179" t="inlineStr">
        <is>
          <t>528000273</t>
        </is>
      </c>
      <c r="C2179" t="inlineStr">
        <is>
          <t>Asep Mulyana</t>
        </is>
      </c>
      <c r="D2179" t="inlineStr">
        <is>
          <t>PROD</t>
        </is>
      </c>
      <c r="E2179" t="inlineStr">
        <is>
          <t>Produksi Harian</t>
        </is>
      </c>
      <c r="F2179" t="inlineStr">
        <is>
          <t>21:53:21</t>
        </is>
      </c>
      <c r="G2179" t="inlineStr"/>
      <c r="H2179" t="inlineStr">
        <is>
          <t>DI DALAM</t>
        </is>
      </c>
      <c r="I2179" t="inlineStr">
        <is>
          <t>MK00185</t>
        </is>
      </c>
      <c r="J2179" t="inlineStr"/>
    </row>
    <row r="2180">
      <c r="A2180" t="inlineStr">
        <is>
          <t>23/07/2026</t>
        </is>
      </c>
      <c r="B2180" t="inlineStr">
        <is>
          <t>528000274</t>
        </is>
      </c>
      <c r="C2180" t="inlineStr">
        <is>
          <t>Zepri</t>
        </is>
      </c>
      <c r="D2180" t="inlineStr">
        <is>
          <t>PROD</t>
        </is>
      </c>
      <c r="E2180" t="inlineStr">
        <is>
          <t>Produksi Harian</t>
        </is>
      </c>
      <c r="F2180" t="inlineStr">
        <is>
          <t>21:56:25</t>
        </is>
      </c>
      <c r="G2180" t="inlineStr"/>
      <c r="H2180" t="inlineStr">
        <is>
          <t>DI DALAM</t>
        </is>
      </c>
      <c r="I2180" t="inlineStr">
        <is>
          <t>MK00136</t>
        </is>
      </c>
      <c r="J2180" t="inlineStr"/>
    </row>
    <row r="2181">
      <c r="A2181" t="inlineStr">
        <is>
          <t>23/07/2026</t>
        </is>
      </c>
      <c r="B2181" t="inlineStr">
        <is>
          <t>528000279</t>
        </is>
      </c>
      <c r="C2181" t="inlineStr">
        <is>
          <t>Mahdalena Dalfa Riani</t>
        </is>
      </c>
      <c r="D2181" t="inlineStr">
        <is>
          <t>PROD</t>
        </is>
      </c>
      <c r="E2181" t="inlineStr">
        <is>
          <t>Produksi Harian</t>
        </is>
      </c>
      <c r="F2181" t="inlineStr"/>
      <c r="G2181" t="inlineStr">
        <is>
          <t>06:04:00</t>
        </is>
      </c>
      <c r="H2181" t="inlineStr">
        <is>
          <t>KELUAR TANPA MASUK</t>
        </is>
      </c>
      <c r="I2181" t="inlineStr">
        <is>
          <t>MK00220</t>
        </is>
      </c>
      <c r="J2181" t="inlineStr"/>
    </row>
    <row r="2182">
      <c r="A2182" t="inlineStr">
        <is>
          <t>23/07/2026</t>
        </is>
      </c>
      <c r="B2182" t="inlineStr">
        <is>
          <t>528000282</t>
        </is>
      </c>
      <c r="C2182" t="inlineStr">
        <is>
          <t>Defa Desfiana</t>
        </is>
      </c>
      <c r="D2182" t="inlineStr">
        <is>
          <t>PROD</t>
        </is>
      </c>
      <c r="E2182" t="inlineStr">
        <is>
          <t>Produksi Harian</t>
        </is>
      </c>
      <c r="F2182" t="inlineStr">
        <is>
          <t>07:35:22</t>
        </is>
      </c>
      <c r="G2182" t="inlineStr">
        <is>
          <t>16:15:01</t>
        </is>
      </c>
      <c r="H2182" t="inlineStr">
        <is>
          <t>SELESAI</t>
        </is>
      </c>
      <c r="I2182" t="inlineStr">
        <is>
          <t>MK00185</t>
        </is>
      </c>
      <c r="J2182" t="inlineStr">
        <is>
          <t>32c</t>
        </is>
      </c>
    </row>
    <row r="2183">
      <c r="A2183" t="inlineStr">
        <is>
          <t>23/07/2026</t>
        </is>
      </c>
      <c r="B2183" t="inlineStr">
        <is>
          <t>528000283</t>
        </is>
      </c>
      <c r="C2183" t="inlineStr">
        <is>
          <t>Purwanda Sugiri</t>
        </is>
      </c>
      <c r="D2183" t="inlineStr">
        <is>
          <t>LOG</t>
        </is>
      </c>
      <c r="E2183" t="inlineStr">
        <is>
          <t>WRM Harian</t>
        </is>
      </c>
      <c r="F2183" t="inlineStr">
        <is>
          <t>05:54:20</t>
        </is>
      </c>
      <c r="G2183" t="inlineStr">
        <is>
          <t>05:55:26</t>
        </is>
      </c>
      <c r="H2183" t="inlineStr">
        <is>
          <t>SELESAI</t>
        </is>
      </c>
      <c r="I2183" t="inlineStr">
        <is>
          <t>MK00218</t>
        </is>
      </c>
      <c r="J2183" t="inlineStr"/>
    </row>
    <row r="2184">
      <c r="A2184" t="inlineStr">
        <is>
          <t>23/07/2026</t>
        </is>
      </c>
      <c r="B2184" t="inlineStr">
        <is>
          <t>528000286</t>
        </is>
      </c>
      <c r="C2184" t="inlineStr">
        <is>
          <t>Imelda Amelia</t>
        </is>
      </c>
      <c r="D2184" t="inlineStr">
        <is>
          <t>PROD</t>
        </is>
      </c>
      <c r="E2184" t="inlineStr">
        <is>
          <t>Produksi Harian</t>
        </is>
      </c>
      <c r="F2184" t="inlineStr">
        <is>
          <t>21:37:26</t>
        </is>
      </c>
      <c r="G2184" t="inlineStr"/>
      <c r="H2184" t="inlineStr">
        <is>
          <t>DI DALAM</t>
        </is>
      </c>
      <c r="I2184" t="inlineStr">
        <is>
          <t>MK00235</t>
        </is>
      </c>
      <c r="J2184" t="inlineStr"/>
    </row>
    <row r="2185">
      <c r="A2185" t="inlineStr">
        <is>
          <t>23/07/2026</t>
        </is>
      </c>
      <c r="B2185" t="inlineStr">
        <is>
          <t>528000289</t>
        </is>
      </c>
      <c r="C2185" t="inlineStr">
        <is>
          <t>Adit Supriyadi</t>
        </is>
      </c>
      <c r="D2185" t="inlineStr">
        <is>
          <t>PROD</t>
        </is>
      </c>
      <c r="E2185" t="inlineStr">
        <is>
          <t>Produksi Harian</t>
        </is>
      </c>
      <c r="F2185" t="inlineStr">
        <is>
          <t>21:49:51</t>
        </is>
      </c>
      <c r="G2185" t="inlineStr"/>
      <c r="H2185" t="inlineStr">
        <is>
          <t>DI DALAM</t>
        </is>
      </c>
      <c r="I2185" t="inlineStr">
        <is>
          <t>MK00249</t>
        </is>
      </c>
      <c r="J2185" t="inlineStr"/>
    </row>
    <row r="2186">
      <c r="A2186" t="inlineStr">
        <is>
          <t>23/07/2026</t>
        </is>
      </c>
      <c r="B2186" t="inlineStr">
        <is>
          <t>528000290</t>
        </is>
      </c>
      <c r="C2186" t="inlineStr">
        <is>
          <t>Eval Pranata</t>
        </is>
      </c>
      <c r="D2186" t="inlineStr">
        <is>
          <t>PROD</t>
        </is>
      </c>
      <c r="E2186" t="inlineStr">
        <is>
          <t>Produksi Harian</t>
        </is>
      </c>
      <c r="F2186" t="inlineStr">
        <is>
          <t>21:57:33</t>
        </is>
      </c>
      <c r="G2186" t="inlineStr"/>
      <c r="H2186" t="inlineStr">
        <is>
          <t>DI DALAM</t>
        </is>
      </c>
      <c r="I2186" t="inlineStr">
        <is>
          <t>MK0085</t>
        </is>
      </c>
      <c r="J2186" t="inlineStr"/>
    </row>
    <row r="2187">
      <c r="A2187" t="inlineStr">
        <is>
          <t>23/07/2026</t>
        </is>
      </c>
      <c r="B2187" t="inlineStr">
        <is>
          <t>528000291</t>
        </is>
      </c>
      <c r="C2187" t="inlineStr">
        <is>
          <t>Andrian</t>
        </is>
      </c>
      <c r="D2187" t="inlineStr">
        <is>
          <t>PROD</t>
        </is>
      </c>
      <c r="E2187" t="inlineStr">
        <is>
          <t>Produksi Harian</t>
        </is>
      </c>
      <c r="F2187" t="inlineStr">
        <is>
          <t>05:52:36</t>
        </is>
      </c>
      <c r="G2187" t="inlineStr">
        <is>
          <t>14:04:27</t>
        </is>
      </c>
      <c r="H2187" t="inlineStr">
        <is>
          <t>SELESAI</t>
        </is>
      </c>
      <c r="I2187" t="inlineStr">
        <is>
          <t>MK00250</t>
        </is>
      </c>
      <c r="J2187" t="inlineStr"/>
    </row>
    <row r="2188">
      <c r="A2188" t="inlineStr">
        <is>
          <t>23/07/2026</t>
        </is>
      </c>
      <c r="B2188" t="inlineStr">
        <is>
          <t>528000297</t>
        </is>
      </c>
      <c r="C2188" t="inlineStr">
        <is>
          <t>Muhamad Budiana</t>
        </is>
      </c>
      <c r="D2188" t="inlineStr">
        <is>
          <t>PROD</t>
        </is>
      </c>
      <c r="E2188" t="inlineStr">
        <is>
          <t>Produksi Harian</t>
        </is>
      </c>
      <c r="F2188" t="inlineStr"/>
      <c r="G2188" t="inlineStr">
        <is>
          <t>06:45:37</t>
        </is>
      </c>
      <c r="H2188" t="inlineStr">
        <is>
          <t>KELUAR TANPA MASUK</t>
        </is>
      </c>
      <c r="I2188" t="inlineStr">
        <is>
          <t>MK00121</t>
        </is>
      </c>
      <c r="J2188" t="inlineStr"/>
    </row>
    <row r="2189">
      <c r="A2189" t="inlineStr">
        <is>
          <t>23/07/2026</t>
        </is>
      </c>
      <c r="B2189" t="inlineStr">
        <is>
          <t>528000298</t>
        </is>
      </c>
      <c r="C2189" t="inlineStr">
        <is>
          <t>Desta Cahaya Pratama</t>
        </is>
      </c>
      <c r="D2189" t="inlineStr">
        <is>
          <t>PROD</t>
        </is>
      </c>
      <c r="E2189" t="inlineStr">
        <is>
          <t>Produksi Harian</t>
        </is>
      </c>
      <c r="F2189" t="inlineStr">
        <is>
          <t>13:38:29</t>
        </is>
      </c>
      <c r="G2189" t="inlineStr">
        <is>
          <t>22:04:01</t>
        </is>
      </c>
      <c r="H2189" t="inlineStr">
        <is>
          <t>SELESAI</t>
        </is>
      </c>
      <c r="I2189" t="inlineStr">
        <is>
          <t>MK00184</t>
        </is>
      </c>
      <c r="J2189" t="inlineStr"/>
    </row>
    <row r="2190">
      <c r="A2190" t="inlineStr">
        <is>
          <t>23/07/2026</t>
        </is>
      </c>
      <c r="B2190" t="inlineStr">
        <is>
          <t>528000299</t>
        </is>
      </c>
      <c r="C2190" t="inlineStr">
        <is>
          <t>Siti Nurjanah</t>
        </is>
      </c>
      <c r="D2190" t="inlineStr">
        <is>
          <t>PROD</t>
        </is>
      </c>
      <c r="E2190" t="inlineStr">
        <is>
          <t>Produksi Harian</t>
        </is>
      </c>
      <c r="F2190" t="inlineStr">
        <is>
          <t>13:43:24</t>
        </is>
      </c>
      <c r="G2190" t="inlineStr">
        <is>
          <t>22:02:11</t>
        </is>
      </c>
      <c r="H2190" t="inlineStr">
        <is>
          <t>SELESAI</t>
        </is>
      </c>
      <c r="I2190" t="inlineStr">
        <is>
          <t>MK00055</t>
        </is>
      </c>
      <c r="J2190" t="inlineStr"/>
    </row>
    <row r="2191">
      <c r="A2191" t="inlineStr">
        <is>
          <t>23/07/2026</t>
        </is>
      </c>
      <c r="B2191" t="inlineStr">
        <is>
          <t>528000302</t>
        </is>
      </c>
      <c r="C2191" t="inlineStr">
        <is>
          <t>Henkey gumilar</t>
        </is>
      </c>
      <c r="D2191" t="inlineStr">
        <is>
          <t>PROD</t>
        </is>
      </c>
      <c r="E2191" t="inlineStr">
        <is>
          <t>Produksi Harian</t>
        </is>
      </c>
      <c r="F2191" t="inlineStr">
        <is>
          <t>13:42:52</t>
        </is>
      </c>
      <c r="G2191" t="inlineStr">
        <is>
          <t>13:40:30</t>
        </is>
      </c>
      <c r="H2191" t="inlineStr">
        <is>
          <t>SELESAI</t>
        </is>
      </c>
      <c r="I2191" t="inlineStr">
        <is>
          <t>MK00202</t>
        </is>
      </c>
      <c r="J2191" t="inlineStr"/>
    </row>
    <row r="2192">
      <c r="A2192" t="inlineStr">
        <is>
          <t>23/07/2026</t>
        </is>
      </c>
      <c r="B2192" t="inlineStr">
        <is>
          <t>528000305</t>
        </is>
      </c>
      <c r="C2192" t="inlineStr">
        <is>
          <t>Puji Puspita</t>
        </is>
      </c>
      <c r="D2192" t="inlineStr">
        <is>
          <t>PROD</t>
        </is>
      </c>
      <c r="E2192" t="inlineStr">
        <is>
          <t>Produksi Harian</t>
        </is>
      </c>
      <c r="F2192" t="inlineStr">
        <is>
          <t>13:41:35</t>
        </is>
      </c>
      <c r="G2192" t="inlineStr"/>
      <c r="H2192" t="inlineStr">
        <is>
          <t>DI DALAM</t>
        </is>
      </c>
      <c r="I2192" t="inlineStr">
        <is>
          <t>MK00109</t>
        </is>
      </c>
      <c r="J2192" t="inlineStr"/>
    </row>
    <row r="2193">
      <c r="A2193" t="inlineStr">
        <is>
          <t>23/07/2026</t>
        </is>
      </c>
      <c r="B2193" t="inlineStr">
        <is>
          <t>528000306</t>
        </is>
      </c>
      <c r="C2193" t="inlineStr">
        <is>
          <t>Windy Olivia</t>
        </is>
      </c>
      <c r="D2193" t="inlineStr">
        <is>
          <t>PROD</t>
        </is>
      </c>
      <c r="E2193" t="inlineStr">
        <is>
          <t>Produksi Harian</t>
        </is>
      </c>
      <c r="F2193" t="inlineStr">
        <is>
          <t>05:45:30</t>
        </is>
      </c>
      <c r="G2193" t="inlineStr">
        <is>
          <t>14:03:40</t>
        </is>
      </c>
      <c r="H2193" t="inlineStr">
        <is>
          <t>SELESAI</t>
        </is>
      </c>
      <c r="I2193" t="inlineStr">
        <is>
          <t>MK00085</t>
        </is>
      </c>
      <c r="J2193" t="inlineStr"/>
    </row>
    <row r="2194">
      <c r="A2194" t="inlineStr">
        <is>
          <t>23/07/2026</t>
        </is>
      </c>
      <c r="B2194" t="inlineStr">
        <is>
          <t>528000309</t>
        </is>
      </c>
      <c r="C2194" t="inlineStr">
        <is>
          <t>Ilham Ramadhan</t>
        </is>
      </c>
      <c r="D2194" t="inlineStr">
        <is>
          <t>LOG</t>
        </is>
      </c>
      <c r="E2194" t="inlineStr">
        <is>
          <t>WRM Harian</t>
        </is>
      </c>
      <c r="F2194" t="inlineStr">
        <is>
          <t>13:47:27</t>
        </is>
      </c>
      <c r="G2194" t="inlineStr">
        <is>
          <t>22:04:30</t>
        </is>
      </c>
      <c r="H2194" t="inlineStr">
        <is>
          <t>SELESAI</t>
        </is>
      </c>
      <c r="I2194" t="inlineStr">
        <is>
          <t>MK00145</t>
        </is>
      </c>
      <c r="J2194" t="inlineStr"/>
    </row>
    <row r="2195">
      <c r="A2195" t="inlineStr">
        <is>
          <t>23/07/2026</t>
        </is>
      </c>
      <c r="B2195" t="inlineStr">
        <is>
          <t>528000310</t>
        </is>
      </c>
      <c r="C2195" t="inlineStr">
        <is>
          <t>Fachrul Rozzi Suryana</t>
        </is>
      </c>
      <c r="D2195" t="inlineStr">
        <is>
          <t>LOG</t>
        </is>
      </c>
      <c r="E2195" t="inlineStr">
        <is>
          <t>WRM Harian</t>
        </is>
      </c>
      <c r="F2195" t="inlineStr">
        <is>
          <t>07:49:30</t>
        </is>
      </c>
      <c r="G2195" t="inlineStr">
        <is>
          <t>16:01:58</t>
        </is>
      </c>
      <c r="H2195" t="inlineStr">
        <is>
          <t>SELESAI</t>
        </is>
      </c>
      <c r="I2195" t="inlineStr">
        <is>
          <t>MK00121</t>
        </is>
      </c>
      <c r="J2195" t="inlineStr">
        <is>
          <t>33F</t>
        </is>
      </c>
    </row>
    <row r="2196">
      <c r="A2196" t="inlineStr">
        <is>
          <t>23/07/2026</t>
        </is>
      </c>
      <c r="B2196" t="inlineStr">
        <is>
          <t>528000313</t>
        </is>
      </c>
      <c r="C2196" t="inlineStr">
        <is>
          <t>Muhamad Rifki</t>
        </is>
      </c>
      <c r="D2196" t="inlineStr">
        <is>
          <t>PROD</t>
        </is>
      </c>
      <c r="E2196" t="inlineStr">
        <is>
          <t>Produksi Harian</t>
        </is>
      </c>
      <c r="F2196" t="inlineStr">
        <is>
          <t>13:38:12</t>
        </is>
      </c>
      <c r="G2196" t="inlineStr">
        <is>
          <t>22:06:22</t>
        </is>
      </c>
      <c r="H2196" t="inlineStr">
        <is>
          <t>SELESAI</t>
        </is>
      </c>
      <c r="I2196" t="inlineStr">
        <is>
          <t>MK00181</t>
        </is>
      </c>
      <c r="J2196" t="inlineStr"/>
    </row>
    <row r="2197">
      <c r="A2197" t="inlineStr">
        <is>
          <t>23/07/2026</t>
        </is>
      </c>
      <c r="B2197" t="inlineStr">
        <is>
          <t>528000314</t>
        </is>
      </c>
      <c r="C2197" t="inlineStr">
        <is>
          <t>Rusmana</t>
        </is>
      </c>
      <c r="D2197" t="inlineStr">
        <is>
          <t>PROD</t>
        </is>
      </c>
      <c r="E2197" t="inlineStr">
        <is>
          <t>Produksi Harian</t>
        </is>
      </c>
      <c r="F2197" t="inlineStr">
        <is>
          <t>05:56:09</t>
        </is>
      </c>
      <c r="G2197" t="inlineStr">
        <is>
          <t>05:52:38</t>
        </is>
      </c>
      <c r="H2197" t="inlineStr">
        <is>
          <t>SELESAI</t>
        </is>
      </c>
      <c r="I2197" t="inlineStr">
        <is>
          <t>MK00125</t>
        </is>
      </c>
      <c r="J2197" t="inlineStr"/>
    </row>
    <row r="2198">
      <c r="A2198" t="inlineStr">
        <is>
          <t>23/07/2026</t>
        </is>
      </c>
      <c r="B2198" t="inlineStr">
        <is>
          <t>528000318</t>
        </is>
      </c>
      <c r="C2198" t="inlineStr">
        <is>
          <t>Bayu Padli Sepriyana</t>
        </is>
      </c>
      <c r="D2198" t="inlineStr">
        <is>
          <t>LOG</t>
        </is>
      </c>
      <c r="E2198" t="inlineStr">
        <is>
          <t>WRM Harian</t>
        </is>
      </c>
      <c r="F2198" t="inlineStr">
        <is>
          <t>13:48:49</t>
        </is>
      </c>
      <c r="G2198" t="inlineStr">
        <is>
          <t>22:04:22</t>
        </is>
      </c>
      <c r="H2198" t="inlineStr">
        <is>
          <t>SELESAI</t>
        </is>
      </c>
      <c r="I2198" t="inlineStr">
        <is>
          <t>MK00235</t>
        </is>
      </c>
      <c r="J2198" t="inlineStr"/>
    </row>
    <row r="2199">
      <c r="A2199" t="inlineStr">
        <is>
          <t>23/07/2026</t>
        </is>
      </c>
      <c r="B2199" t="inlineStr">
        <is>
          <t>528000322</t>
        </is>
      </c>
      <c r="C2199" t="inlineStr">
        <is>
          <t>Muhamad Aliludin</t>
        </is>
      </c>
      <c r="D2199" t="inlineStr">
        <is>
          <t>PROD</t>
        </is>
      </c>
      <c r="E2199" t="inlineStr">
        <is>
          <t>Produksi Harian</t>
        </is>
      </c>
      <c r="F2199" t="inlineStr">
        <is>
          <t>13:43:47</t>
        </is>
      </c>
      <c r="G2199" t="inlineStr">
        <is>
          <t>22:06:13</t>
        </is>
      </c>
      <c r="H2199" t="inlineStr">
        <is>
          <t>SELESAI</t>
        </is>
      </c>
      <c r="I2199" t="inlineStr">
        <is>
          <t>MK00249</t>
        </is>
      </c>
      <c r="J2199" t="inlineStr"/>
    </row>
    <row r="2200">
      <c r="A2200" t="inlineStr">
        <is>
          <t>23/07/2026</t>
        </is>
      </c>
      <c r="B2200" t="inlineStr">
        <is>
          <t>528000323</t>
        </is>
      </c>
      <c r="C2200" t="inlineStr">
        <is>
          <t>Dian Hamidah</t>
        </is>
      </c>
      <c r="D2200" t="inlineStr">
        <is>
          <t>PROD</t>
        </is>
      </c>
      <c r="E2200" t="inlineStr">
        <is>
          <t>Produksi Harian</t>
        </is>
      </c>
      <c r="F2200" t="inlineStr"/>
      <c r="G2200" t="inlineStr">
        <is>
          <t>06:13:46</t>
        </is>
      </c>
      <c r="H2200" t="inlineStr">
        <is>
          <t>KELUAR TANPA MASUK</t>
        </is>
      </c>
      <c r="I2200" t="inlineStr">
        <is>
          <t>MK00160</t>
        </is>
      </c>
      <c r="J2200" t="inlineStr"/>
    </row>
    <row r="2201">
      <c r="A2201" t="inlineStr">
        <is>
          <t>23/07/2026</t>
        </is>
      </c>
      <c r="B2201" t="inlineStr">
        <is>
          <t>528000325</t>
        </is>
      </c>
      <c r="C2201" t="inlineStr">
        <is>
          <t>Rani Septia Ramadani</t>
        </is>
      </c>
      <c r="D2201" t="inlineStr">
        <is>
          <t>PROD</t>
        </is>
      </c>
      <c r="E2201" t="inlineStr">
        <is>
          <t>Produksi Harian</t>
        </is>
      </c>
      <c r="F2201" t="inlineStr">
        <is>
          <t>21:21:30</t>
        </is>
      </c>
      <c r="G2201" t="inlineStr"/>
      <c r="H2201" t="inlineStr">
        <is>
          <t>DI DALAM</t>
        </is>
      </c>
      <c r="I2201" t="inlineStr">
        <is>
          <t>MK00209</t>
        </is>
      </c>
      <c r="J2201" t="inlineStr"/>
    </row>
    <row r="2202">
      <c r="A2202" t="inlineStr">
        <is>
          <t>23/07/2026</t>
        </is>
      </c>
      <c r="B2202" t="inlineStr">
        <is>
          <t>528000328</t>
        </is>
      </c>
      <c r="C2202" t="inlineStr">
        <is>
          <t>Nur Anjani</t>
        </is>
      </c>
      <c r="D2202" t="inlineStr">
        <is>
          <t>PROD</t>
        </is>
      </c>
      <c r="E2202" t="inlineStr">
        <is>
          <t>Produksi Harian</t>
        </is>
      </c>
      <c r="F2202" t="inlineStr">
        <is>
          <t>05:43:39</t>
        </is>
      </c>
      <c r="G2202" t="inlineStr">
        <is>
          <t>14:06:04</t>
        </is>
      </c>
      <c r="H2202" t="inlineStr">
        <is>
          <t>SELESAI</t>
        </is>
      </c>
      <c r="I2202" t="inlineStr">
        <is>
          <t>MK00208</t>
        </is>
      </c>
      <c r="J2202" t="inlineStr"/>
    </row>
    <row r="2203">
      <c r="A2203" t="inlineStr">
        <is>
          <t>23/07/2026</t>
        </is>
      </c>
      <c r="B2203" t="inlineStr">
        <is>
          <t>528000335</t>
        </is>
      </c>
      <c r="C2203" t="inlineStr">
        <is>
          <t>Rizal Saepuloh</t>
        </is>
      </c>
      <c r="D2203" t="inlineStr">
        <is>
          <t>LOG</t>
        </is>
      </c>
      <c r="E2203" t="inlineStr">
        <is>
          <t>WRM Harian</t>
        </is>
      </c>
      <c r="F2203" t="inlineStr">
        <is>
          <t>15:53:45</t>
        </is>
      </c>
      <c r="G2203" t="inlineStr">
        <is>
          <t>00:01:12</t>
        </is>
      </c>
      <c r="H2203" t="inlineStr">
        <is>
          <t>SELESAI</t>
        </is>
      </c>
      <c r="I2203" t="inlineStr">
        <is>
          <t>MK00204</t>
        </is>
      </c>
      <c r="J2203" t="inlineStr"/>
    </row>
    <row r="2204">
      <c r="A2204" t="inlineStr">
        <is>
          <t>23/07/2026</t>
        </is>
      </c>
      <c r="B2204" t="inlineStr">
        <is>
          <t>528000337</t>
        </is>
      </c>
      <c r="C2204" t="inlineStr">
        <is>
          <t>Ahmad Zaldi Firdaus</t>
        </is>
      </c>
      <c r="D2204" t="inlineStr">
        <is>
          <t>PROD</t>
        </is>
      </c>
      <c r="E2204" t="inlineStr">
        <is>
          <t>Produksi Harian</t>
        </is>
      </c>
      <c r="F2204" t="inlineStr">
        <is>
          <t>05:35:30</t>
        </is>
      </c>
      <c r="G2204" t="inlineStr">
        <is>
          <t>14:06:25</t>
        </is>
      </c>
      <c r="H2204" t="inlineStr">
        <is>
          <t>SELESAI</t>
        </is>
      </c>
      <c r="I2204" t="inlineStr">
        <is>
          <t>MK00230</t>
        </is>
      </c>
      <c r="J2204" t="inlineStr"/>
    </row>
    <row r="2205">
      <c r="A2205" t="inlineStr">
        <is>
          <t>23/07/2026</t>
        </is>
      </c>
      <c r="B2205" t="inlineStr">
        <is>
          <t>528000339</t>
        </is>
      </c>
      <c r="C2205" t="inlineStr">
        <is>
          <t>Muhamad Ripai'i</t>
        </is>
      </c>
      <c r="D2205" t="inlineStr">
        <is>
          <t>HRGA</t>
        </is>
      </c>
      <c r="E2205" t="inlineStr">
        <is>
          <t>GA Harian</t>
        </is>
      </c>
      <c r="F2205" t="inlineStr">
        <is>
          <t>21:01:16</t>
        </is>
      </c>
      <c r="G2205" t="inlineStr"/>
      <c r="H2205" t="inlineStr">
        <is>
          <t>DI DALAM</t>
        </is>
      </c>
      <c r="I2205" t="inlineStr">
        <is>
          <t>MK00210</t>
        </is>
      </c>
      <c r="J2205" t="inlineStr"/>
    </row>
    <row r="2206">
      <c r="A2206" t="inlineStr">
        <is>
          <t>23/07/2026</t>
        </is>
      </c>
      <c r="B2206" t="inlineStr">
        <is>
          <t>528000340</t>
        </is>
      </c>
      <c r="C2206" t="inlineStr">
        <is>
          <t>Muhammad Wildan Adithya</t>
        </is>
      </c>
      <c r="D2206" t="inlineStr">
        <is>
          <t>PROD</t>
        </is>
      </c>
      <c r="E2206" t="inlineStr">
        <is>
          <t>Produksi Harian</t>
        </is>
      </c>
      <c r="F2206" t="inlineStr">
        <is>
          <t>13:36:59</t>
        </is>
      </c>
      <c r="G2206" t="inlineStr">
        <is>
          <t>22:04:16</t>
        </is>
      </c>
      <c r="H2206" t="inlineStr">
        <is>
          <t>SELESAI</t>
        </is>
      </c>
      <c r="I2206" t="inlineStr">
        <is>
          <t>MK00090</t>
        </is>
      </c>
      <c r="J2206" t="inlineStr"/>
    </row>
    <row r="2207">
      <c r="A2207" t="inlineStr">
        <is>
          <t>23/07/2026</t>
        </is>
      </c>
      <c r="B2207" t="inlineStr">
        <is>
          <t>528000348</t>
        </is>
      </c>
      <c r="C2207" t="inlineStr">
        <is>
          <t>Saepuloh Ardiansah</t>
        </is>
      </c>
      <c r="D2207" t="inlineStr">
        <is>
          <t>LOG</t>
        </is>
      </c>
      <c r="E2207" t="inlineStr">
        <is>
          <t>WRM Harian</t>
        </is>
      </c>
      <c r="F2207" t="inlineStr">
        <is>
          <t>08:52:00</t>
        </is>
      </c>
      <c r="G2207" t="inlineStr">
        <is>
          <t>17:16:02</t>
        </is>
      </c>
      <c r="H2207" t="inlineStr">
        <is>
          <t>SELESAI</t>
        </is>
      </c>
      <c r="I2207" t="inlineStr">
        <is>
          <t>MK00205</t>
        </is>
      </c>
      <c r="J2207" t="inlineStr"/>
    </row>
    <row r="2208">
      <c r="A2208" t="inlineStr">
        <is>
          <t>23/07/2026</t>
        </is>
      </c>
      <c r="B2208" t="inlineStr">
        <is>
          <t>528000349</t>
        </is>
      </c>
      <c r="C2208" t="inlineStr">
        <is>
          <t>Anas Abdul Fatah</t>
        </is>
      </c>
      <c r="D2208" t="inlineStr">
        <is>
          <t>LOG</t>
        </is>
      </c>
      <c r="E2208" t="inlineStr">
        <is>
          <t>WFG Harian</t>
        </is>
      </c>
      <c r="F2208" t="inlineStr">
        <is>
          <t>09:35:42</t>
        </is>
      </c>
      <c r="G2208" t="inlineStr">
        <is>
          <t>18:11:57</t>
        </is>
      </c>
      <c r="H2208" t="inlineStr">
        <is>
          <t>SELESAI</t>
        </is>
      </c>
      <c r="I2208" t="inlineStr">
        <is>
          <t>MK00209</t>
        </is>
      </c>
      <c r="J2208" t="inlineStr"/>
    </row>
    <row r="2209">
      <c r="A2209" t="inlineStr">
        <is>
          <t>23/07/2026</t>
        </is>
      </c>
      <c r="B2209" t="inlineStr">
        <is>
          <t>528000351</t>
        </is>
      </c>
      <c r="C2209" t="inlineStr">
        <is>
          <t>Mulyana</t>
        </is>
      </c>
      <c r="D2209" t="inlineStr">
        <is>
          <t>PROD</t>
        </is>
      </c>
      <c r="E2209" t="inlineStr">
        <is>
          <t>Produksi Harian</t>
        </is>
      </c>
      <c r="F2209" t="inlineStr">
        <is>
          <t>08:10:10</t>
        </is>
      </c>
      <c r="G2209" t="inlineStr">
        <is>
          <t>16:01:23</t>
        </is>
      </c>
      <c r="H2209" t="inlineStr">
        <is>
          <t>SELESAI</t>
        </is>
      </c>
      <c r="I2209" t="inlineStr">
        <is>
          <t>MK00192</t>
        </is>
      </c>
      <c r="J2209" t="inlineStr"/>
    </row>
    <row r="2210">
      <c r="A2210" t="inlineStr">
        <is>
          <t>23/07/2026</t>
        </is>
      </c>
      <c r="B2210" t="inlineStr">
        <is>
          <t>528000358</t>
        </is>
      </c>
      <c r="C2210" t="inlineStr">
        <is>
          <t>Lulu Agustin</t>
        </is>
      </c>
      <c r="D2210" t="inlineStr">
        <is>
          <t>PROD</t>
        </is>
      </c>
      <c r="E2210" t="inlineStr">
        <is>
          <t>Produksi Harian</t>
        </is>
      </c>
      <c r="F2210" t="inlineStr">
        <is>
          <t>05:49:54</t>
        </is>
      </c>
      <c r="G2210" t="inlineStr">
        <is>
          <t>14:04:51</t>
        </is>
      </c>
      <c r="H2210" t="inlineStr">
        <is>
          <t>SELESAI</t>
        </is>
      </c>
      <c r="I2210" t="inlineStr">
        <is>
          <t>MK00082</t>
        </is>
      </c>
      <c r="J2210" t="inlineStr"/>
    </row>
    <row r="2211">
      <c r="A2211" t="inlineStr">
        <is>
          <t>23/07/2026</t>
        </is>
      </c>
      <c r="B2211" t="inlineStr">
        <is>
          <t>528000361</t>
        </is>
      </c>
      <c r="C2211" t="inlineStr">
        <is>
          <t>Denada Munggarani</t>
        </is>
      </c>
      <c r="D2211" t="inlineStr">
        <is>
          <t>PROD</t>
        </is>
      </c>
      <c r="E2211" t="inlineStr">
        <is>
          <t>Produksi Harian</t>
        </is>
      </c>
      <c r="F2211" t="inlineStr">
        <is>
          <t>13:46:02</t>
        </is>
      </c>
      <c r="G2211" t="inlineStr">
        <is>
          <t>22:00:36</t>
        </is>
      </c>
      <c r="H2211" t="inlineStr">
        <is>
          <t>SELESAI</t>
        </is>
      </c>
      <c r="I2211" t="inlineStr">
        <is>
          <t>MK00095</t>
        </is>
      </c>
      <c r="J2211" t="inlineStr"/>
    </row>
    <row r="2212">
      <c r="A2212" t="inlineStr">
        <is>
          <t>23/07/2026</t>
        </is>
      </c>
      <c r="B2212" t="inlineStr">
        <is>
          <t>628000091</t>
        </is>
      </c>
      <c r="C2212" t="inlineStr">
        <is>
          <t>Devita Handayani</t>
        </is>
      </c>
      <c r="D2212" t="inlineStr">
        <is>
          <t>PROD</t>
        </is>
      </c>
      <c r="E2212" t="inlineStr">
        <is>
          <t>Produksi Borongan</t>
        </is>
      </c>
      <c r="F2212" t="inlineStr">
        <is>
          <t>13:14:23</t>
        </is>
      </c>
      <c r="G2212" t="inlineStr"/>
      <c r="H2212" t="inlineStr">
        <is>
          <t>DI DALAM</t>
        </is>
      </c>
      <c r="I2212" t="inlineStr">
        <is>
          <t>MK00113</t>
        </is>
      </c>
      <c r="J2212" t="inlineStr"/>
    </row>
    <row r="2213">
      <c r="A2213" t="inlineStr">
        <is>
          <t>24/07/2026</t>
        </is>
      </c>
      <c r="B2213" t="inlineStr">
        <is>
          <t>528000015</t>
        </is>
      </c>
      <c r="C2213" t="inlineStr">
        <is>
          <t>Erwin</t>
        </is>
      </c>
      <c r="D2213" t="inlineStr">
        <is>
          <t>LOG</t>
        </is>
      </c>
      <c r="E2213" t="inlineStr">
        <is>
          <t>WRM Harian</t>
        </is>
      </c>
      <c r="F2213" t="inlineStr">
        <is>
          <t>13:45:32</t>
        </is>
      </c>
      <c r="G2213" t="inlineStr">
        <is>
          <t>22:12:39</t>
        </is>
      </c>
      <c r="H2213" t="inlineStr">
        <is>
          <t>SELESAI</t>
        </is>
      </c>
      <c r="I2213" t="inlineStr">
        <is>
          <t>MK00183</t>
        </is>
      </c>
      <c r="J2213" t="inlineStr"/>
    </row>
    <row r="2214">
      <c r="A2214" t="inlineStr">
        <is>
          <t>24/07/2026</t>
        </is>
      </c>
      <c r="B2214" t="inlineStr">
        <is>
          <t>528000040</t>
        </is>
      </c>
      <c r="C2214" t="inlineStr">
        <is>
          <t>Agus Suryaman</t>
        </is>
      </c>
      <c r="D2214" t="inlineStr">
        <is>
          <t>PROD</t>
        </is>
      </c>
      <c r="E2214" t="inlineStr">
        <is>
          <t>Produksi Harian</t>
        </is>
      </c>
      <c r="F2214" t="inlineStr">
        <is>
          <t>08:57:12</t>
        </is>
      </c>
      <c r="G2214" t="inlineStr">
        <is>
          <t>14:06:09</t>
        </is>
      </c>
      <c r="H2214" t="inlineStr">
        <is>
          <t>SELESAI</t>
        </is>
      </c>
      <c r="I2214" t="inlineStr">
        <is>
          <t>MK00141</t>
        </is>
      </c>
      <c r="J2214" t="inlineStr"/>
    </row>
    <row r="2215">
      <c r="A2215" t="inlineStr">
        <is>
          <t>24/07/2026</t>
        </is>
      </c>
      <c r="B2215" t="inlineStr">
        <is>
          <t>528000052</t>
        </is>
      </c>
      <c r="C2215" t="inlineStr">
        <is>
          <t>Mustopa</t>
        </is>
      </c>
      <c r="D2215" t="inlineStr">
        <is>
          <t>PROD</t>
        </is>
      </c>
      <c r="E2215" t="inlineStr">
        <is>
          <t>Produksi Harian</t>
        </is>
      </c>
      <c r="F2215" t="inlineStr">
        <is>
          <t>05:32:32</t>
        </is>
      </c>
      <c r="G2215" t="inlineStr">
        <is>
          <t>14:04:09</t>
        </is>
      </c>
      <c r="H2215" t="inlineStr">
        <is>
          <t>SELESAI</t>
        </is>
      </c>
      <c r="I2215" t="inlineStr">
        <is>
          <t>MK00090</t>
        </is>
      </c>
      <c r="J2215" t="inlineStr"/>
    </row>
    <row r="2216">
      <c r="A2216" t="inlineStr">
        <is>
          <t>24/07/2026</t>
        </is>
      </c>
      <c r="B2216" t="inlineStr">
        <is>
          <t>528000090</t>
        </is>
      </c>
      <c r="C2216" t="inlineStr">
        <is>
          <t>Suganda</t>
        </is>
      </c>
      <c r="D2216" t="inlineStr">
        <is>
          <t>PROD</t>
        </is>
      </c>
      <c r="E2216" t="inlineStr">
        <is>
          <t>Produksi Harian</t>
        </is>
      </c>
      <c r="F2216" t="inlineStr">
        <is>
          <t>21:55:58</t>
        </is>
      </c>
      <c r="G2216" t="inlineStr">
        <is>
          <t>06:07:50</t>
        </is>
      </c>
      <c r="H2216" t="inlineStr">
        <is>
          <t>SELESAI</t>
        </is>
      </c>
      <c r="I2216" t="inlineStr">
        <is>
          <t>MK00181</t>
        </is>
      </c>
      <c r="J2216" t="inlineStr"/>
    </row>
    <row r="2217">
      <c r="A2217" t="inlineStr">
        <is>
          <t>24/07/2026</t>
        </is>
      </c>
      <c r="B2217" t="inlineStr">
        <is>
          <t>528000144</t>
        </is>
      </c>
      <c r="C2217" t="inlineStr">
        <is>
          <t>Jodi Hanafi</t>
        </is>
      </c>
      <c r="D2217" t="inlineStr">
        <is>
          <t>LOG</t>
        </is>
      </c>
      <c r="E2217" t="inlineStr">
        <is>
          <t>WRM Harian</t>
        </is>
      </c>
      <c r="F2217" t="inlineStr">
        <is>
          <t>12:58:09</t>
        </is>
      </c>
      <c r="G2217" t="inlineStr">
        <is>
          <t>18:24:32</t>
        </is>
      </c>
      <c r="H2217" t="inlineStr">
        <is>
          <t>SELESAI</t>
        </is>
      </c>
      <c r="I2217" t="inlineStr">
        <is>
          <t>MK00221</t>
        </is>
      </c>
      <c r="J2217" t="inlineStr"/>
    </row>
    <row r="2218">
      <c r="A2218" t="inlineStr">
        <is>
          <t>24/07/2026</t>
        </is>
      </c>
      <c r="B2218" t="inlineStr">
        <is>
          <t>528000149</t>
        </is>
      </c>
      <c r="C2218" t="inlineStr">
        <is>
          <t>Tio Fernanda</t>
        </is>
      </c>
      <c r="D2218" t="inlineStr">
        <is>
          <t>LOG</t>
        </is>
      </c>
      <c r="E2218" t="inlineStr">
        <is>
          <t>WRM Harian</t>
        </is>
      </c>
      <c r="F2218" t="inlineStr">
        <is>
          <t>08:56:17</t>
        </is>
      </c>
      <c r="G2218" t="inlineStr"/>
      <c r="H2218" t="inlineStr">
        <is>
          <t>DI DALAM</t>
        </is>
      </c>
      <c r="I2218" t="inlineStr">
        <is>
          <t>MK0130</t>
        </is>
      </c>
      <c r="J2218" t="inlineStr"/>
    </row>
    <row r="2219">
      <c r="A2219" t="inlineStr">
        <is>
          <t>24/07/2026</t>
        </is>
      </c>
      <c r="B2219" t="inlineStr">
        <is>
          <t>528000195</t>
        </is>
      </c>
      <c r="C2219" t="inlineStr">
        <is>
          <t>Rahma Sariwati</t>
        </is>
      </c>
      <c r="D2219" t="inlineStr">
        <is>
          <t>PROD</t>
        </is>
      </c>
      <c r="E2219" t="inlineStr">
        <is>
          <t>Produksi Harian</t>
        </is>
      </c>
      <c r="F2219" t="inlineStr">
        <is>
          <t>05:49:34</t>
        </is>
      </c>
      <c r="G2219" t="inlineStr">
        <is>
          <t>14:05:59</t>
        </is>
      </c>
      <c r="H2219" t="inlineStr">
        <is>
          <t>SELESAI</t>
        </is>
      </c>
      <c r="I2219" t="inlineStr">
        <is>
          <t>MK00184</t>
        </is>
      </c>
      <c r="J2219" t="inlineStr"/>
    </row>
    <row r="2220">
      <c r="A2220" t="inlineStr">
        <is>
          <t>24/07/2026</t>
        </is>
      </c>
      <c r="B2220" t="inlineStr">
        <is>
          <t>528000201</t>
        </is>
      </c>
      <c r="C2220" t="inlineStr">
        <is>
          <t>Zahwa Amelia Choerunissa</t>
        </is>
      </c>
      <c r="D2220" t="inlineStr">
        <is>
          <t>PROD</t>
        </is>
      </c>
      <c r="E2220" t="inlineStr">
        <is>
          <t>Produksi Harian</t>
        </is>
      </c>
      <c r="F2220" t="inlineStr">
        <is>
          <t>21:42:43</t>
        </is>
      </c>
      <c r="G2220" t="inlineStr">
        <is>
          <t>06:04:43</t>
        </is>
      </c>
      <c r="H2220" t="inlineStr">
        <is>
          <t>SELESAI</t>
        </is>
      </c>
      <c r="I2220" t="inlineStr">
        <is>
          <t>MK00249</t>
        </is>
      </c>
      <c r="J2220" t="inlineStr"/>
    </row>
    <row r="2221">
      <c r="A2221" t="inlineStr">
        <is>
          <t>24/07/2026</t>
        </is>
      </c>
      <c r="B2221" t="inlineStr">
        <is>
          <t>528000212</t>
        </is>
      </c>
      <c r="C2221" t="inlineStr">
        <is>
          <t>Rizal Fauzi</t>
        </is>
      </c>
      <c r="D2221" t="inlineStr">
        <is>
          <t>PROD</t>
        </is>
      </c>
      <c r="E2221" t="inlineStr">
        <is>
          <t>Produksi Harian</t>
        </is>
      </c>
      <c r="F2221" t="inlineStr">
        <is>
          <t>21:58:45</t>
        </is>
      </c>
      <c r="G2221" t="inlineStr"/>
      <c r="H2221" t="inlineStr">
        <is>
          <t>DI DALAM</t>
        </is>
      </c>
      <c r="I2221" t="inlineStr">
        <is>
          <t>MK00202</t>
        </is>
      </c>
      <c r="J2221" t="inlineStr"/>
    </row>
    <row r="2222">
      <c r="A2222" t="inlineStr">
        <is>
          <t>24/07/2026</t>
        </is>
      </c>
      <c r="B2222" t="inlineStr">
        <is>
          <t>528000232</t>
        </is>
      </c>
      <c r="C2222" t="inlineStr">
        <is>
          <t>Agung Aji Suhada</t>
        </is>
      </c>
      <c r="D2222" t="inlineStr">
        <is>
          <t>LOG</t>
        </is>
      </c>
      <c r="E2222" t="inlineStr">
        <is>
          <t>WRM Harian</t>
        </is>
      </c>
      <c r="F2222" t="inlineStr">
        <is>
          <t>12:47:20</t>
        </is>
      </c>
      <c r="G2222" t="inlineStr">
        <is>
          <t>18:03:40</t>
        </is>
      </c>
      <c r="H2222" t="inlineStr">
        <is>
          <t>SELESAI</t>
        </is>
      </c>
      <c r="I2222" t="inlineStr">
        <is>
          <t>MK00210</t>
        </is>
      </c>
      <c r="J2222" t="inlineStr"/>
    </row>
    <row r="2223">
      <c r="A2223" t="inlineStr">
        <is>
          <t>24/07/2026</t>
        </is>
      </c>
      <c r="B2223" t="inlineStr">
        <is>
          <t>528000241</t>
        </is>
      </c>
      <c r="C2223" t="inlineStr">
        <is>
          <t>Balia Nurafif Bilah</t>
        </is>
      </c>
      <c r="D2223" t="inlineStr">
        <is>
          <t>PROD</t>
        </is>
      </c>
      <c r="E2223" t="inlineStr">
        <is>
          <t>Produksi Harian</t>
        </is>
      </c>
      <c r="F2223" t="inlineStr">
        <is>
          <t>21:51:53</t>
        </is>
      </c>
      <c r="G2223" t="inlineStr">
        <is>
          <t>06:06:27</t>
        </is>
      </c>
      <c r="H2223" t="inlineStr">
        <is>
          <t>SELESAI</t>
        </is>
      </c>
      <c r="I2223" t="inlineStr">
        <is>
          <t>MK00138</t>
        </is>
      </c>
      <c r="J2223" t="inlineStr"/>
    </row>
    <row r="2224">
      <c r="A2224" t="inlineStr">
        <is>
          <t>24/07/2026</t>
        </is>
      </c>
      <c r="B2224" t="inlineStr">
        <is>
          <t>528000244</t>
        </is>
      </c>
      <c r="C2224" t="inlineStr">
        <is>
          <t>Rodian Rifai</t>
        </is>
      </c>
      <c r="D2224" t="inlineStr">
        <is>
          <t>PROD</t>
        </is>
      </c>
      <c r="E2224" t="inlineStr">
        <is>
          <t>Produksi Harian</t>
        </is>
      </c>
      <c r="F2224" t="inlineStr">
        <is>
          <t>21:01:31</t>
        </is>
      </c>
      <c r="G2224" t="inlineStr">
        <is>
          <t>07:16:55</t>
        </is>
      </c>
      <c r="H2224" t="inlineStr">
        <is>
          <t>SELESAI</t>
        </is>
      </c>
      <c r="I2224" t="inlineStr">
        <is>
          <t>MK00109</t>
        </is>
      </c>
      <c r="J2224" t="inlineStr"/>
    </row>
    <row r="2225">
      <c r="A2225" t="inlineStr">
        <is>
          <t>24/07/2026</t>
        </is>
      </c>
      <c r="B2225" t="inlineStr">
        <is>
          <t>528000261</t>
        </is>
      </c>
      <c r="C2225" t="inlineStr">
        <is>
          <t>Ergi Ergianto</t>
        </is>
      </c>
      <c r="D2225" t="inlineStr">
        <is>
          <t>HRGA</t>
        </is>
      </c>
      <c r="E2225" t="inlineStr">
        <is>
          <t>GA Harian</t>
        </is>
      </c>
      <c r="F2225" t="inlineStr">
        <is>
          <t>05:50:09</t>
        </is>
      </c>
      <c r="G2225" t="inlineStr">
        <is>
          <t>14:04:34</t>
        </is>
      </c>
      <c r="H2225" t="inlineStr">
        <is>
          <t>SELESAI</t>
        </is>
      </c>
      <c r="I2225" t="inlineStr">
        <is>
          <t>MK00136</t>
        </is>
      </c>
      <c r="J2225" t="inlineStr"/>
    </row>
    <row r="2226">
      <c r="A2226" t="inlineStr">
        <is>
          <t>24/07/2026</t>
        </is>
      </c>
      <c r="B2226" t="inlineStr">
        <is>
          <t>528000265</t>
        </is>
      </c>
      <c r="C2226" t="inlineStr">
        <is>
          <t>Muhammad Haerul Rozikin</t>
        </is>
      </c>
      <c r="D2226" t="inlineStr">
        <is>
          <t>LOG</t>
        </is>
      </c>
      <c r="E2226" t="inlineStr">
        <is>
          <t>WRM Harian</t>
        </is>
      </c>
      <c r="F2226" t="inlineStr">
        <is>
          <t>07:54:19</t>
        </is>
      </c>
      <c r="G2226" t="inlineStr">
        <is>
          <t>13:04:15</t>
        </is>
      </c>
      <c r="H2226" t="inlineStr">
        <is>
          <t>SELESAI</t>
        </is>
      </c>
      <c r="I2226" t="inlineStr">
        <is>
          <t>MK00143</t>
        </is>
      </c>
      <c r="J2226" t="inlineStr"/>
    </row>
    <row r="2227">
      <c r="A2227" t="inlineStr">
        <is>
          <t>24/07/2026</t>
        </is>
      </c>
      <c r="B2227" t="inlineStr">
        <is>
          <t>528000266</t>
        </is>
      </c>
      <c r="C2227" t="inlineStr">
        <is>
          <t>M. Syirajatieq</t>
        </is>
      </c>
      <c r="D2227" t="inlineStr">
        <is>
          <t>LOG</t>
        </is>
      </c>
      <c r="E2227" t="inlineStr">
        <is>
          <t>WFG Harian</t>
        </is>
      </c>
      <c r="F2227" t="inlineStr">
        <is>
          <t>05:49:04</t>
        </is>
      </c>
      <c r="G2227" t="inlineStr">
        <is>
          <t>14:27:55</t>
        </is>
      </c>
      <c r="H2227" t="inlineStr">
        <is>
          <t>SELESAI</t>
        </is>
      </c>
      <c r="I2227" t="inlineStr">
        <is>
          <t>MK00055</t>
        </is>
      </c>
      <c r="J2227" t="inlineStr"/>
    </row>
    <row r="2228">
      <c r="A2228" t="inlineStr">
        <is>
          <t>24/07/2026</t>
        </is>
      </c>
      <c r="B2228" t="inlineStr">
        <is>
          <t>528000270</t>
        </is>
      </c>
      <c r="C2228" t="inlineStr">
        <is>
          <t>Febri Najmudin</t>
        </is>
      </c>
      <c r="D2228" t="inlineStr">
        <is>
          <t>LOG</t>
        </is>
      </c>
      <c r="E2228" t="inlineStr">
        <is>
          <t>WRM Harian</t>
        </is>
      </c>
      <c r="F2228" t="inlineStr">
        <is>
          <t>13:47:25</t>
        </is>
      </c>
      <c r="G2228" t="inlineStr">
        <is>
          <t>22:18:18</t>
        </is>
      </c>
      <c r="H2228" t="inlineStr">
        <is>
          <t>SELESAI</t>
        </is>
      </c>
      <c r="I2228" t="inlineStr">
        <is>
          <t>MK00138</t>
        </is>
      </c>
      <c r="J2228" t="inlineStr"/>
    </row>
    <row r="2229">
      <c r="A2229" t="inlineStr">
        <is>
          <t>24/07/2026</t>
        </is>
      </c>
      <c r="B2229" t="inlineStr">
        <is>
          <t>528000273</t>
        </is>
      </c>
      <c r="C2229" t="inlineStr">
        <is>
          <t>Asep Mulyana</t>
        </is>
      </c>
      <c r="D2229" t="inlineStr">
        <is>
          <t>PROD</t>
        </is>
      </c>
      <c r="E2229" t="inlineStr">
        <is>
          <t>Produksi Harian</t>
        </is>
      </c>
      <c r="F2229" t="inlineStr">
        <is>
          <t>21:50:05</t>
        </is>
      </c>
      <c r="G2229" t="inlineStr">
        <is>
          <t>06:01:24</t>
        </is>
      </c>
      <c r="H2229" t="inlineStr">
        <is>
          <t>SELESAI</t>
        </is>
      </c>
      <c r="I2229" t="inlineStr">
        <is>
          <t>MK00150</t>
        </is>
      </c>
      <c r="J2229" t="inlineStr"/>
    </row>
    <row r="2230">
      <c r="A2230" t="inlineStr">
        <is>
          <t>24/07/2026</t>
        </is>
      </c>
      <c r="B2230" t="inlineStr">
        <is>
          <t>528000274</t>
        </is>
      </c>
      <c r="C2230" t="inlineStr">
        <is>
          <t>Zepri</t>
        </is>
      </c>
      <c r="D2230" t="inlineStr">
        <is>
          <t>PROD</t>
        </is>
      </c>
      <c r="E2230" t="inlineStr">
        <is>
          <t>Produksi Harian</t>
        </is>
      </c>
      <c r="F2230" t="inlineStr">
        <is>
          <t>21:54:55</t>
        </is>
      </c>
      <c r="G2230" t="inlineStr">
        <is>
          <t>06:04:37</t>
        </is>
      </c>
      <c r="H2230" t="inlineStr">
        <is>
          <t>SELESAI</t>
        </is>
      </c>
      <c r="I2230" t="inlineStr">
        <is>
          <t>MK00156</t>
        </is>
      </c>
      <c r="J2230" t="inlineStr"/>
    </row>
    <row r="2231">
      <c r="A2231" t="inlineStr">
        <is>
          <t>24/07/2026</t>
        </is>
      </c>
      <c r="B2231" t="inlineStr">
        <is>
          <t>528000282</t>
        </is>
      </c>
      <c r="C2231" t="inlineStr">
        <is>
          <t>Defa Desfiana</t>
        </is>
      </c>
      <c r="D2231" t="inlineStr">
        <is>
          <t>PROD</t>
        </is>
      </c>
      <c r="E2231" t="inlineStr">
        <is>
          <t>Produksi Harian</t>
        </is>
      </c>
      <c r="F2231" t="inlineStr">
        <is>
          <t>07:41:54</t>
        </is>
      </c>
      <c r="G2231" t="inlineStr">
        <is>
          <t>13:00:57</t>
        </is>
      </c>
      <c r="H2231" t="inlineStr">
        <is>
          <t>SELESAI</t>
        </is>
      </c>
      <c r="I2231" t="inlineStr">
        <is>
          <t>MK00160</t>
        </is>
      </c>
      <c r="J2231" t="inlineStr">
        <is>
          <t>32c</t>
        </is>
      </c>
    </row>
    <row r="2232">
      <c r="A2232" t="inlineStr">
        <is>
          <t>24/07/2026</t>
        </is>
      </c>
      <c r="B2232" t="inlineStr">
        <is>
          <t>528000283</t>
        </is>
      </c>
      <c r="C2232" t="inlineStr">
        <is>
          <t>Purwanda Sugiri</t>
        </is>
      </c>
      <c r="D2232" t="inlineStr">
        <is>
          <t>LOG</t>
        </is>
      </c>
      <c r="E2232" t="inlineStr">
        <is>
          <t>WRM Harian</t>
        </is>
      </c>
      <c r="F2232" t="inlineStr">
        <is>
          <t>05:56:22</t>
        </is>
      </c>
      <c r="G2232" t="inlineStr">
        <is>
          <t>05:52:11</t>
        </is>
      </c>
      <c r="H2232" t="inlineStr">
        <is>
          <t>SELESAI</t>
        </is>
      </c>
      <c r="I2232" t="inlineStr">
        <is>
          <t>MK00085</t>
        </is>
      </c>
      <c r="J2232" t="inlineStr"/>
    </row>
    <row r="2233">
      <c r="A2233" t="inlineStr">
        <is>
          <t>24/07/2026</t>
        </is>
      </c>
      <c r="B2233" t="inlineStr">
        <is>
          <t>528000286</t>
        </is>
      </c>
      <c r="C2233" t="inlineStr">
        <is>
          <t>Imelda Amelia</t>
        </is>
      </c>
      <c r="D2233" t="inlineStr">
        <is>
          <t>PROD</t>
        </is>
      </c>
      <c r="E2233" t="inlineStr">
        <is>
          <t>Produksi Harian</t>
        </is>
      </c>
      <c r="F2233" t="inlineStr">
        <is>
          <t>21:42:43</t>
        </is>
      </c>
      <c r="G2233" t="inlineStr">
        <is>
          <t>06:06:09</t>
        </is>
      </c>
      <c r="H2233" t="inlineStr">
        <is>
          <t>SELESAI</t>
        </is>
      </c>
      <c r="I2233" t="inlineStr">
        <is>
          <t>MK00212</t>
        </is>
      </c>
      <c r="J2233" t="inlineStr"/>
    </row>
    <row r="2234">
      <c r="A2234" t="inlineStr">
        <is>
          <t>24/07/2026</t>
        </is>
      </c>
      <c r="B2234" t="inlineStr">
        <is>
          <t>528000289</t>
        </is>
      </c>
      <c r="C2234" t="inlineStr">
        <is>
          <t>Adit Supriyadi</t>
        </is>
      </c>
      <c r="D2234" t="inlineStr">
        <is>
          <t>PROD</t>
        </is>
      </c>
      <c r="E2234" t="inlineStr">
        <is>
          <t>Produksi Harian</t>
        </is>
      </c>
      <c r="F2234" t="inlineStr">
        <is>
          <t>21:33:30</t>
        </is>
      </c>
      <c r="G2234" t="inlineStr">
        <is>
          <t>06:02:11</t>
        </is>
      </c>
      <c r="H2234" t="inlineStr">
        <is>
          <t>SELESAI</t>
        </is>
      </c>
      <c r="I2234" t="inlineStr">
        <is>
          <t>MK00112</t>
        </is>
      </c>
      <c r="J2234" t="inlineStr"/>
    </row>
    <row r="2235">
      <c r="A2235" t="inlineStr">
        <is>
          <t>24/07/2026</t>
        </is>
      </c>
      <c r="B2235" t="inlineStr">
        <is>
          <t>528000290</t>
        </is>
      </c>
      <c r="C2235" t="inlineStr">
        <is>
          <t>Eval Pranata</t>
        </is>
      </c>
      <c r="D2235" t="inlineStr">
        <is>
          <t>PROD</t>
        </is>
      </c>
      <c r="E2235" t="inlineStr">
        <is>
          <t>Produksi Harian</t>
        </is>
      </c>
      <c r="F2235" t="inlineStr">
        <is>
          <t>21:55:59</t>
        </is>
      </c>
      <c r="G2235" t="inlineStr">
        <is>
          <t>06:07:17</t>
        </is>
      </c>
      <c r="H2235" t="inlineStr">
        <is>
          <t>SELESAI</t>
        </is>
      </c>
      <c r="I2235" t="inlineStr">
        <is>
          <t>MK00208</t>
        </is>
      </c>
      <c r="J2235" t="inlineStr"/>
    </row>
    <row r="2236">
      <c r="A2236" t="inlineStr">
        <is>
          <t>24/07/2026</t>
        </is>
      </c>
      <c r="B2236" t="inlineStr">
        <is>
          <t>528000296</t>
        </is>
      </c>
      <c r="C2236" t="inlineStr">
        <is>
          <t>Nurdin</t>
        </is>
      </c>
      <c r="D2236" t="inlineStr">
        <is>
          <t>PROD</t>
        </is>
      </c>
      <c r="E2236" t="inlineStr">
        <is>
          <t>Produksi Harian</t>
        </is>
      </c>
      <c r="F2236" t="inlineStr">
        <is>
          <t>14:58:56</t>
        </is>
      </c>
      <c r="G2236" t="inlineStr">
        <is>
          <t>23:03:42</t>
        </is>
      </c>
      <c r="H2236" t="inlineStr">
        <is>
          <t>SELESAI</t>
        </is>
      </c>
      <c r="I2236" t="inlineStr">
        <is>
          <t>MK00055</t>
        </is>
      </c>
      <c r="J2236" t="inlineStr"/>
    </row>
    <row r="2237">
      <c r="A2237" t="inlineStr">
        <is>
          <t>24/07/2026</t>
        </is>
      </c>
      <c r="B2237" t="inlineStr">
        <is>
          <t>528000298</t>
        </is>
      </c>
      <c r="C2237" t="inlineStr">
        <is>
          <t>Desta Cahaya Pratama</t>
        </is>
      </c>
      <c r="D2237" t="inlineStr">
        <is>
          <t>PROD</t>
        </is>
      </c>
      <c r="E2237" t="inlineStr">
        <is>
          <t>Produksi Harian</t>
        </is>
      </c>
      <c r="F2237" t="inlineStr">
        <is>
          <t>13:48:17</t>
        </is>
      </c>
      <c r="G2237" t="inlineStr"/>
      <c r="H2237" t="inlineStr">
        <is>
          <t>DI DALAM</t>
        </is>
      </c>
      <c r="I2237" t="inlineStr">
        <is>
          <t>MK000230</t>
        </is>
      </c>
      <c r="J2237" t="inlineStr"/>
    </row>
    <row r="2238">
      <c r="A2238" t="inlineStr">
        <is>
          <t>24/07/2026</t>
        </is>
      </c>
      <c r="B2238" t="inlineStr">
        <is>
          <t>528000299</t>
        </is>
      </c>
      <c r="C2238" t="inlineStr">
        <is>
          <t>Siti Nurjanah</t>
        </is>
      </c>
      <c r="D2238" t="inlineStr">
        <is>
          <t>PROD</t>
        </is>
      </c>
      <c r="E2238" t="inlineStr">
        <is>
          <t>Produksi Harian</t>
        </is>
      </c>
      <c r="F2238" t="inlineStr">
        <is>
          <t>13:38:12</t>
        </is>
      </c>
      <c r="G2238" t="inlineStr">
        <is>
          <t>22:04:21</t>
        </is>
      </c>
      <c r="H2238" t="inlineStr">
        <is>
          <t>SELESAI</t>
        </is>
      </c>
      <c r="I2238" t="inlineStr">
        <is>
          <t>MK00108</t>
        </is>
      </c>
      <c r="J2238" t="inlineStr"/>
    </row>
    <row r="2239">
      <c r="A2239" t="inlineStr">
        <is>
          <t>24/07/2026</t>
        </is>
      </c>
      <c r="B2239" t="inlineStr">
        <is>
          <t>528000305</t>
        </is>
      </c>
      <c r="C2239" t="inlineStr">
        <is>
          <t>Puji Puspita</t>
        </is>
      </c>
      <c r="D2239" t="inlineStr">
        <is>
          <t>PROD</t>
        </is>
      </c>
      <c r="E2239" t="inlineStr">
        <is>
          <t>Produksi Harian</t>
        </is>
      </c>
      <c r="F2239" t="inlineStr">
        <is>
          <t>13:39:25</t>
        </is>
      </c>
      <c r="G2239" t="inlineStr">
        <is>
          <t>22:29:17</t>
        </is>
      </c>
      <c r="H2239" t="inlineStr">
        <is>
          <t>SELESAI</t>
        </is>
      </c>
      <c r="I2239" t="inlineStr">
        <is>
          <t>MK00154</t>
        </is>
      </c>
      <c r="J2239" t="inlineStr"/>
    </row>
    <row r="2240">
      <c r="A2240" t="inlineStr">
        <is>
          <t>24/07/2026</t>
        </is>
      </c>
      <c r="B2240" t="inlineStr">
        <is>
          <t>528000306</t>
        </is>
      </c>
      <c r="C2240" t="inlineStr">
        <is>
          <t>Windy Olivia</t>
        </is>
      </c>
      <c r="D2240" t="inlineStr">
        <is>
          <t>PROD</t>
        </is>
      </c>
      <c r="E2240" t="inlineStr">
        <is>
          <t>Produksi Harian</t>
        </is>
      </c>
      <c r="F2240" t="inlineStr">
        <is>
          <t>05:46:53</t>
        </is>
      </c>
      <c r="G2240" t="inlineStr">
        <is>
          <t>14:03:26</t>
        </is>
      </c>
      <c r="H2240" t="inlineStr">
        <is>
          <t>SELESAI</t>
        </is>
      </c>
      <c r="I2240" t="inlineStr">
        <is>
          <t>MK00156</t>
        </is>
      </c>
      <c r="J2240" t="inlineStr"/>
    </row>
    <row r="2241">
      <c r="A2241" t="inlineStr">
        <is>
          <t>24/07/2026</t>
        </is>
      </c>
      <c r="B2241" t="inlineStr">
        <is>
          <t>528000309</t>
        </is>
      </c>
      <c r="C2241" t="inlineStr">
        <is>
          <t>Ilham Ramadhan</t>
        </is>
      </c>
      <c r="D2241" t="inlineStr">
        <is>
          <t>LOG</t>
        </is>
      </c>
      <c r="E2241" t="inlineStr">
        <is>
          <t>WRM Harian</t>
        </is>
      </c>
      <c r="F2241" t="inlineStr">
        <is>
          <t>13:40:11</t>
        </is>
      </c>
      <c r="G2241" t="inlineStr">
        <is>
          <t>22:05:35</t>
        </is>
      </c>
      <c r="H2241" t="inlineStr">
        <is>
          <t>SELESAI</t>
        </is>
      </c>
      <c r="I2241" t="inlineStr">
        <is>
          <t>MK00218</t>
        </is>
      </c>
      <c r="J2241" t="inlineStr"/>
    </row>
    <row r="2242">
      <c r="A2242" t="inlineStr">
        <is>
          <t>24/07/2026</t>
        </is>
      </c>
      <c r="B2242" t="inlineStr">
        <is>
          <t>528000310</t>
        </is>
      </c>
      <c r="C2242" t="inlineStr">
        <is>
          <t>Fachrul Rozzi Suryana</t>
        </is>
      </c>
      <c r="D2242" t="inlineStr">
        <is>
          <t>LOG</t>
        </is>
      </c>
      <c r="E2242" t="inlineStr">
        <is>
          <t>WRM Harian</t>
        </is>
      </c>
      <c r="F2242" t="inlineStr">
        <is>
          <t>07:50:59</t>
        </is>
      </c>
      <c r="G2242" t="inlineStr">
        <is>
          <t>13:00:20</t>
        </is>
      </c>
      <c r="H2242" t="inlineStr">
        <is>
          <t>SELESAI</t>
        </is>
      </c>
      <c r="I2242" t="inlineStr">
        <is>
          <t>MK00220</t>
        </is>
      </c>
      <c r="J2242" t="inlineStr">
        <is>
          <t>33F</t>
        </is>
      </c>
    </row>
    <row r="2243">
      <c r="A2243" t="inlineStr">
        <is>
          <t>24/07/2026</t>
        </is>
      </c>
      <c r="B2243" t="inlineStr">
        <is>
          <t>528000313</t>
        </is>
      </c>
      <c r="C2243" t="inlineStr">
        <is>
          <t>Muhamad Rifki</t>
        </is>
      </c>
      <c r="D2243" t="inlineStr">
        <is>
          <t>PROD</t>
        </is>
      </c>
      <c r="E2243" t="inlineStr">
        <is>
          <t>Produksi Harian</t>
        </is>
      </c>
      <c r="F2243" t="inlineStr">
        <is>
          <t>13:34:10</t>
        </is>
      </c>
      <c r="G2243" t="inlineStr">
        <is>
          <t>22:06:17</t>
        </is>
      </c>
      <c r="H2243" t="inlineStr">
        <is>
          <t>SELESAI</t>
        </is>
      </c>
      <c r="I2243" t="inlineStr">
        <is>
          <t>MK00082</t>
        </is>
      </c>
      <c r="J2243" t="inlineStr"/>
    </row>
    <row r="2244">
      <c r="A2244" t="inlineStr">
        <is>
          <t>24/07/2026</t>
        </is>
      </c>
      <c r="B2244" t="inlineStr">
        <is>
          <t>528000314</t>
        </is>
      </c>
      <c r="C2244" t="inlineStr">
        <is>
          <t>Rusmana</t>
        </is>
      </c>
      <c r="D2244" t="inlineStr">
        <is>
          <t>PROD</t>
        </is>
      </c>
      <c r="E2244" t="inlineStr">
        <is>
          <t>Produksi Harian</t>
        </is>
      </c>
      <c r="F2244" t="inlineStr">
        <is>
          <t>05:54:28</t>
        </is>
      </c>
      <c r="G2244" t="inlineStr">
        <is>
          <t>05:51:01</t>
        </is>
      </c>
      <c r="H2244" t="inlineStr">
        <is>
          <t>SELESAI</t>
        </is>
      </c>
      <c r="I2244" t="inlineStr">
        <is>
          <t>MK00125</t>
        </is>
      </c>
      <c r="J2244" t="inlineStr"/>
    </row>
    <row r="2245">
      <c r="A2245" t="inlineStr">
        <is>
          <t>24/07/2026</t>
        </is>
      </c>
      <c r="B2245" t="inlineStr">
        <is>
          <t>528000318</t>
        </is>
      </c>
      <c r="C2245" t="inlineStr">
        <is>
          <t>Bayu Padli Sepriyana</t>
        </is>
      </c>
      <c r="D2245" t="inlineStr">
        <is>
          <t>LOG</t>
        </is>
      </c>
      <c r="E2245" t="inlineStr">
        <is>
          <t>WRM Harian</t>
        </is>
      </c>
      <c r="F2245" t="inlineStr">
        <is>
          <t>13:46:57</t>
        </is>
      </c>
      <c r="G2245" t="inlineStr">
        <is>
          <t>22:05:46</t>
        </is>
      </c>
      <c r="H2245" t="inlineStr">
        <is>
          <t>SELESAI</t>
        </is>
      </c>
      <c r="I2245" t="inlineStr">
        <is>
          <t>MK00213</t>
        </is>
      </c>
      <c r="J2245" t="inlineStr"/>
    </row>
    <row r="2246">
      <c r="A2246" t="inlineStr">
        <is>
          <t>24/07/2026</t>
        </is>
      </c>
      <c r="B2246" t="inlineStr">
        <is>
          <t>528000322</t>
        </is>
      </c>
      <c r="C2246" t="inlineStr">
        <is>
          <t>Muhamad Aliludin</t>
        </is>
      </c>
      <c r="D2246" t="inlineStr">
        <is>
          <t>PROD</t>
        </is>
      </c>
      <c r="E2246" t="inlineStr">
        <is>
          <t>Produksi Harian</t>
        </is>
      </c>
      <c r="F2246" t="inlineStr">
        <is>
          <t>13:58:29</t>
        </is>
      </c>
      <c r="G2246" t="inlineStr"/>
      <c r="H2246" t="inlineStr">
        <is>
          <t>DI DALAM</t>
        </is>
      </c>
      <c r="I2246" t="inlineStr">
        <is>
          <t>MK00112</t>
        </is>
      </c>
      <c r="J2246" t="inlineStr"/>
    </row>
    <row r="2247">
      <c r="A2247" t="inlineStr">
        <is>
          <t>24/07/2026</t>
        </is>
      </c>
      <c r="B2247" t="inlineStr">
        <is>
          <t>528000328</t>
        </is>
      </c>
      <c r="C2247" t="inlineStr">
        <is>
          <t>Nur Anjani</t>
        </is>
      </c>
      <c r="D2247" t="inlineStr">
        <is>
          <t>PROD</t>
        </is>
      </c>
      <c r="E2247" t="inlineStr">
        <is>
          <t>Produksi Harian</t>
        </is>
      </c>
      <c r="F2247" t="inlineStr">
        <is>
          <t>05:49:56</t>
        </is>
      </c>
      <c r="G2247" t="inlineStr">
        <is>
          <t>14:05:06</t>
        </is>
      </c>
      <c r="H2247" t="inlineStr">
        <is>
          <t>SELESAI</t>
        </is>
      </c>
      <c r="I2247" t="inlineStr">
        <is>
          <t>MK00181</t>
        </is>
      </c>
      <c r="J2247" t="inlineStr"/>
    </row>
    <row r="2248">
      <c r="A2248" t="inlineStr">
        <is>
          <t>24/07/2026</t>
        </is>
      </c>
      <c r="B2248" t="inlineStr">
        <is>
          <t>528000335</t>
        </is>
      </c>
      <c r="C2248" t="inlineStr">
        <is>
          <t>Rizal Saepuloh</t>
        </is>
      </c>
      <c r="D2248" t="inlineStr">
        <is>
          <t>LOG</t>
        </is>
      </c>
      <c r="E2248" t="inlineStr">
        <is>
          <t>WRM Harian</t>
        </is>
      </c>
      <c r="F2248" t="inlineStr">
        <is>
          <t>12:59:10</t>
        </is>
      </c>
      <c r="G2248" t="inlineStr">
        <is>
          <t>17:59:48</t>
        </is>
      </c>
      <c r="H2248" t="inlineStr">
        <is>
          <t>SELESAI</t>
        </is>
      </c>
      <c r="I2248" t="inlineStr">
        <is>
          <t>MK00204</t>
        </is>
      </c>
      <c r="J2248" t="inlineStr"/>
    </row>
    <row r="2249">
      <c r="A2249" t="inlineStr">
        <is>
          <t>24/07/2026</t>
        </is>
      </c>
      <c r="B2249" t="inlineStr">
        <is>
          <t>528000336</t>
        </is>
      </c>
      <c r="C2249" t="inlineStr">
        <is>
          <t>Ali Nurhanafi</t>
        </is>
      </c>
      <c r="D2249" t="inlineStr">
        <is>
          <t>PROD</t>
        </is>
      </c>
      <c r="E2249" t="inlineStr">
        <is>
          <t>Produksi Harian</t>
        </is>
      </c>
      <c r="F2249" t="inlineStr">
        <is>
          <t>05:45:39</t>
        </is>
      </c>
      <c r="G2249" t="inlineStr">
        <is>
          <t>14:07:54</t>
        </is>
      </c>
      <c r="H2249" t="inlineStr">
        <is>
          <t>SELESAI</t>
        </is>
      </c>
      <c r="I2249" t="inlineStr">
        <is>
          <t>MK00145</t>
        </is>
      </c>
      <c r="J2249" t="inlineStr"/>
    </row>
    <row r="2250">
      <c r="A2250" t="inlineStr">
        <is>
          <t>24/07/2026</t>
        </is>
      </c>
      <c r="B2250" t="inlineStr">
        <is>
          <t>528000337</t>
        </is>
      </c>
      <c r="C2250" t="inlineStr">
        <is>
          <t>Ahmad Zaldi Firdaus</t>
        </is>
      </c>
      <c r="D2250" t="inlineStr">
        <is>
          <t>PROD</t>
        </is>
      </c>
      <c r="E2250" t="inlineStr">
        <is>
          <t>Produksi Harian</t>
        </is>
      </c>
      <c r="F2250" t="inlineStr">
        <is>
          <t>05:44:43</t>
        </is>
      </c>
      <c r="G2250" t="inlineStr">
        <is>
          <t>14:07:44</t>
        </is>
      </c>
      <c r="H2250" t="inlineStr">
        <is>
          <t>SELESAI</t>
        </is>
      </c>
      <c r="I2250" t="inlineStr">
        <is>
          <t>MK00249</t>
        </is>
      </c>
      <c r="J2250" t="inlineStr"/>
    </row>
    <row r="2251">
      <c r="A2251" t="inlineStr">
        <is>
          <t>24/07/2026</t>
        </is>
      </c>
      <c r="B2251" t="inlineStr">
        <is>
          <t>528000339</t>
        </is>
      </c>
      <c r="C2251" t="inlineStr">
        <is>
          <t>Muhamad Ripai'i</t>
        </is>
      </c>
      <c r="D2251" t="inlineStr">
        <is>
          <t>HRGA</t>
        </is>
      </c>
      <c r="E2251" t="inlineStr">
        <is>
          <t>GA Harian</t>
        </is>
      </c>
      <c r="F2251" t="inlineStr">
        <is>
          <t>21:02:54</t>
        </is>
      </c>
      <c r="G2251" t="inlineStr">
        <is>
          <t>06:06:02</t>
        </is>
      </c>
      <c r="H2251" t="inlineStr">
        <is>
          <t>SELESAI</t>
        </is>
      </c>
      <c r="I2251" t="inlineStr">
        <is>
          <t>MK00008</t>
        </is>
      </c>
      <c r="J2251" t="inlineStr"/>
    </row>
    <row r="2252">
      <c r="A2252" t="inlineStr">
        <is>
          <t>24/07/2026</t>
        </is>
      </c>
      <c r="B2252" t="inlineStr">
        <is>
          <t>528000340</t>
        </is>
      </c>
      <c r="C2252" t="inlineStr">
        <is>
          <t>Muhammad Wildan Adithya</t>
        </is>
      </c>
      <c r="D2252" t="inlineStr">
        <is>
          <t>PROD</t>
        </is>
      </c>
      <c r="E2252" t="inlineStr">
        <is>
          <t>Produksi Harian</t>
        </is>
      </c>
      <c r="F2252" t="inlineStr">
        <is>
          <t>05:54:33</t>
        </is>
      </c>
      <c r="G2252" t="inlineStr">
        <is>
          <t>22:09:01</t>
        </is>
      </c>
      <c r="H2252" t="inlineStr">
        <is>
          <t>SELESAI</t>
        </is>
      </c>
      <c r="I2252" t="inlineStr">
        <is>
          <t>MK00217</t>
        </is>
      </c>
      <c r="J2252" t="inlineStr"/>
    </row>
    <row r="2253">
      <c r="A2253" t="inlineStr">
        <is>
          <t>24/07/2026</t>
        </is>
      </c>
      <c r="B2253" t="inlineStr">
        <is>
          <t>528000348</t>
        </is>
      </c>
      <c r="C2253" t="inlineStr">
        <is>
          <t>Saepuloh Ardiansah</t>
        </is>
      </c>
      <c r="D2253" t="inlineStr">
        <is>
          <t>LOG</t>
        </is>
      </c>
      <c r="E2253" t="inlineStr">
        <is>
          <t>WRM Harian</t>
        </is>
      </c>
      <c r="F2253" t="inlineStr">
        <is>
          <t>08:56:59</t>
        </is>
      </c>
      <c r="G2253" t="inlineStr">
        <is>
          <t>14:51:34</t>
        </is>
      </c>
      <c r="H2253" t="inlineStr">
        <is>
          <t>SELESAI</t>
        </is>
      </c>
      <c r="I2253" t="inlineStr">
        <is>
          <t>MK00205</t>
        </is>
      </c>
      <c r="J2253" t="inlineStr"/>
    </row>
    <row r="2254">
      <c r="A2254" t="inlineStr">
        <is>
          <t>24/07/2026</t>
        </is>
      </c>
      <c r="B2254" t="inlineStr">
        <is>
          <t>528000351</t>
        </is>
      </c>
      <c r="C2254" t="inlineStr">
        <is>
          <t>Mulyana</t>
        </is>
      </c>
      <c r="D2254" t="inlineStr">
        <is>
          <t>PROD</t>
        </is>
      </c>
      <c r="E2254" t="inlineStr">
        <is>
          <t>Produksi Harian</t>
        </is>
      </c>
      <c r="F2254" t="inlineStr">
        <is>
          <t>07:56:31</t>
        </is>
      </c>
      <c r="G2254" t="inlineStr">
        <is>
          <t>13:04:21</t>
        </is>
      </c>
      <c r="H2254" t="inlineStr">
        <is>
          <t>SELESAI</t>
        </is>
      </c>
      <c r="I2254" t="inlineStr">
        <is>
          <t>MK00192</t>
        </is>
      </c>
      <c r="J2254" t="inlineStr"/>
    </row>
    <row r="2255">
      <c r="A2255" t="inlineStr">
        <is>
          <t>24/07/2026</t>
        </is>
      </c>
      <c r="B2255" t="inlineStr">
        <is>
          <t>528000358</t>
        </is>
      </c>
      <c r="C2255" t="inlineStr">
        <is>
          <t>Lulu Agustin</t>
        </is>
      </c>
      <c r="D2255" t="inlineStr">
        <is>
          <t>PROD</t>
        </is>
      </c>
      <c r="E2255" t="inlineStr">
        <is>
          <t>Produksi Harian</t>
        </is>
      </c>
      <c r="F2255" t="inlineStr">
        <is>
          <t>05:45:51</t>
        </is>
      </c>
      <c r="G2255" t="inlineStr">
        <is>
          <t>14:05:30</t>
        </is>
      </c>
      <c r="H2255" t="inlineStr">
        <is>
          <t>SELESAI</t>
        </is>
      </c>
      <c r="I2255" t="inlineStr">
        <is>
          <t>MK00095</t>
        </is>
      </c>
      <c r="J2255" t="inlineStr"/>
    </row>
    <row r="2256">
      <c r="A2256" t="inlineStr">
        <is>
          <t>24/07/2026</t>
        </is>
      </c>
      <c r="B2256" t="inlineStr">
        <is>
          <t>528000361</t>
        </is>
      </c>
      <c r="C2256" t="inlineStr">
        <is>
          <t>Denada Munggarani</t>
        </is>
      </c>
      <c r="D2256" t="inlineStr">
        <is>
          <t>PROD</t>
        </is>
      </c>
      <c r="E2256" t="inlineStr">
        <is>
          <t>Produksi Harian</t>
        </is>
      </c>
      <c r="F2256" t="inlineStr">
        <is>
          <t>13:51:42</t>
        </is>
      </c>
      <c r="G2256" t="inlineStr">
        <is>
          <t>22:36:02</t>
        </is>
      </c>
      <c r="H2256" t="inlineStr">
        <is>
          <t>SELESAI</t>
        </is>
      </c>
      <c r="I2256" t="inlineStr">
        <is>
          <t>MK00088</t>
        </is>
      </c>
      <c r="J2256" t="inlineStr"/>
    </row>
    <row r="2257">
      <c r="A2257" t="inlineStr">
        <is>
          <t>25/07/2026</t>
        </is>
      </c>
      <c r="B2257" t="inlineStr">
        <is>
          <t>528000015</t>
        </is>
      </c>
      <c r="C2257" t="inlineStr">
        <is>
          <t>Erwin</t>
        </is>
      </c>
      <c r="D2257" t="inlineStr">
        <is>
          <t>LOG</t>
        </is>
      </c>
      <c r="E2257" t="inlineStr">
        <is>
          <t>WRM Harian</t>
        </is>
      </c>
      <c r="F2257" t="inlineStr">
        <is>
          <t>13:41:40</t>
        </is>
      </c>
      <c r="G2257" t="inlineStr">
        <is>
          <t>23:44:24</t>
        </is>
      </c>
      <c r="H2257" t="inlineStr">
        <is>
          <t>SELESAI</t>
        </is>
      </c>
      <c r="I2257" t="inlineStr">
        <is>
          <t>MK00123</t>
        </is>
      </c>
      <c r="J2257" t="inlineStr"/>
    </row>
    <row r="2258">
      <c r="A2258" t="inlineStr">
        <is>
          <t>25/07/2026</t>
        </is>
      </c>
      <c r="B2258" t="inlineStr">
        <is>
          <t>528000052</t>
        </is>
      </c>
      <c r="C2258" t="inlineStr">
        <is>
          <t>Mustopa</t>
        </is>
      </c>
      <c r="D2258" t="inlineStr">
        <is>
          <t>PROD</t>
        </is>
      </c>
      <c r="E2258" t="inlineStr">
        <is>
          <t>Produksi Harian</t>
        </is>
      </c>
      <c r="F2258" t="inlineStr">
        <is>
          <t>05:36:51</t>
        </is>
      </c>
      <c r="G2258" t="inlineStr">
        <is>
          <t>14:03:12</t>
        </is>
      </c>
      <c r="H2258" t="inlineStr">
        <is>
          <t>SELESAI</t>
        </is>
      </c>
      <c r="I2258" t="inlineStr">
        <is>
          <t>MK00055</t>
        </is>
      </c>
      <c r="J2258" t="inlineStr"/>
    </row>
    <row r="2259">
      <c r="A2259" t="inlineStr">
        <is>
          <t>25/07/2026</t>
        </is>
      </c>
      <c r="B2259" t="inlineStr">
        <is>
          <t>528000090</t>
        </is>
      </c>
      <c r="C2259" t="inlineStr">
        <is>
          <t>Suganda</t>
        </is>
      </c>
      <c r="D2259" t="inlineStr">
        <is>
          <t>PROD</t>
        </is>
      </c>
      <c r="E2259" t="inlineStr">
        <is>
          <t>Produksi Harian</t>
        </is>
      </c>
      <c r="F2259" t="inlineStr">
        <is>
          <t>21:53:51</t>
        </is>
      </c>
      <c r="G2259" t="inlineStr">
        <is>
          <t>06:05:39</t>
        </is>
      </c>
      <c r="H2259" t="inlineStr">
        <is>
          <t>SELESAI</t>
        </is>
      </c>
      <c r="I2259" t="inlineStr">
        <is>
          <t>MK00112</t>
        </is>
      </c>
      <c r="J2259" t="inlineStr"/>
    </row>
    <row r="2260">
      <c r="A2260" t="inlineStr">
        <is>
          <t>25/07/2026</t>
        </is>
      </c>
      <c r="B2260" t="inlineStr">
        <is>
          <t>528000201</t>
        </is>
      </c>
      <c r="C2260" t="inlineStr">
        <is>
          <t>Zahwa Amelia Choerunissa</t>
        </is>
      </c>
      <c r="D2260" t="inlineStr">
        <is>
          <t>PROD</t>
        </is>
      </c>
      <c r="E2260" t="inlineStr">
        <is>
          <t>Produksi Harian</t>
        </is>
      </c>
      <c r="F2260" t="inlineStr">
        <is>
          <t>21:41:13</t>
        </is>
      </c>
      <c r="G2260" t="inlineStr">
        <is>
          <t>06:03:57</t>
        </is>
      </c>
      <c r="H2260" t="inlineStr">
        <is>
          <t>SELESAI</t>
        </is>
      </c>
      <c r="I2260" t="inlineStr">
        <is>
          <t>MK00202</t>
        </is>
      </c>
      <c r="J2260" t="inlineStr"/>
    </row>
    <row r="2261">
      <c r="A2261" t="inlineStr">
        <is>
          <t>25/07/2026</t>
        </is>
      </c>
      <c r="B2261" t="inlineStr">
        <is>
          <t>528000212</t>
        </is>
      </c>
      <c r="C2261" t="inlineStr">
        <is>
          <t>Rizal Fauzi</t>
        </is>
      </c>
      <c r="D2261" t="inlineStr">
        <is>
          <t>PROD</t>
        </is>
      </c>
      <c r="E2261" t="inlineStr">
        <is>
          <t>Produksi Harian</t>
        </is>
      </c>
      <c r="F2261" t="inlineStr"/>
      <c r="G2261" t="inlineStr">
        <is>
          <t>20:39:55</t>
        </is>
      </c>
      <c r="H2261" t="inlineStr">
        <is>
          <t>KELUAR TANPA MASUK</t>
        </is>
      </c>
      <c r="I2261" t="inlineStr">
        <is>
          <t>MK00116</t>
        </is>
      </c>
      <c r="J2261" t="inlineStr"/>
    </row>
    <row r="2262">
      <c r="A2262" t="inlineStr">
        <is>
          <t>25/07/2026</t>
        </is>
      </c>
      <c r="B2262" t="inlineStr">
        <is>
          <t>528000228</t>
        </is>
      </c>
      <c r="C2262" t="inlineStr">
        <is>
          <t>Banyu Resmi Putri</t>
        </is>
      </c>
      <c r="D2262" t="inlineStr">
        <is>
          <t>PROD</t>
        </is>
      </c>
      <c r="E2262" t="inlineStr">
        <is>
          <t>Produksi Harian</t>
        </is>
      </c>
      <c r="F2262" t="inlineStr">
        <is>
          <t>21:51:49</t>
        </is>
      </c>
      <c r="G2262" t="inlineStr"/>
      <c r="H2262" t="inlineStr">
        <is>
          <t>DI DALAM</t>
        </is>
      </c>
      <c r="I2262" t="inlineStr">
        <is>
          <t>MK00212</t>
        </is>
      </c>
      <c r="J2262" t="inlineStr"/>
    </row>
    <row r="2263">
      <c r="A2263" t="inlineStr">
        <is>
          <t>25/07/2026</t>
        </is>
      </c>
      <c r="B2263" t="inlineStr">
        <is>
          <t>528000241</t>
        </is>
      </c>
      <c r="C2263" t="inlineStr">
        <is>
          <t>Balia Nurafif Bilah</t>
        </is>
      </c>
      <c r="D2263" t="inlineStr">
        <is>
          <t>PROD</t>
        </is>
      </c>
      <c r="E2263" t="inlineStr">
        <is>
          <t>Produksi Harian</t>
        </is>
      </c>
      <c r="F2263" t="inlineStr">
        <is>
          <t>21:53:19</t>
        </is>
      </c>
      <c r="G2263" t="inlineStr">
        <is>
          <t>06:04:09</t>
        </is>
      </c>
      <c r="H2263" t="inlineStr">
        <is>
          <t>SELESAI</t>
        </is>
      </c>
      <c r="I2263" t="inlineStr">
        <is>
          <t>MK00208</t>
        </is>
      </c>
      <c r="J2263" t="inlineStr"/>
    </row>
    <row r="2264">
      <c r="A2264" t="inlineStr">
        <is>
          <t>25/07/2026</t>
        </is>
      </c>
      <c r="B2264" t="inlineStr">
        <is>
          <t>528000244</t>
        </is>
      </c>
      <c r="C2264" t="inlineStr">
        <is>
          <t>Rodian Rifai</t>
        </is>
      </c>
      <c r="D2264" t="inlineStr">
        <is>
          <t>PROD</t>
        </is>
      </c>
      <c r="E2264" t="inlineStr">
        <is>
          <t>Produksi Harian</t>
        </is>
      </c>
      <c r="F2264" t="inlineStr">
        <is>
          <t>21:02:40</t>
        </is>
      </c>
      <c r="G2264" t="inlineStr">
        <is>
          <t>06:51:18</t>
        </is>
      </c>
      <c r="H2264" t="inlineStr">
        <is>
          <t>SELESAI</t>
        </is>
      </c>
      <c r="I2264" t="inlineStr">
        <is>
          <t>MK00008</t>
        </is>
      </c>
      <c r="J2264" t="inlineStr"/>
    </row>
    <row r="2265">
      <c r="A2265" t="inlineStr">
        <is>
          <t>25/07/2026</t>
        </is>
      </c>
      <c r="B2265" t="inlineStr">
        <is>
          <t>528000261</t>
        </is>
      </c>
      <c r="C2265" t="inlineStr">
        <is>
          <t>Ergi Ergianto</t>
        </is>
      </c>
      <c r="D2265" t="inlineStr">
        <is>
          <t>HRGA</t>
        </is>
      </c>
      <c r="E2265" t="inlineStr">
        <is>
          <t>GA Harian</t>
        </is>
      </c>
      <c r="F2265" t="inlineStr">
        <is>
          <t>05:47:08</t>
        </is>
      </c>
      <c r="G2265" t="inlineStr">
        <is>
          <t>14:02:52</t>
        </is>
      </c>
      <c r="H2265" t="inlineStr">
        <is>
          <t>SELESAI</t>
        </is>
      </c>
      <c r="I2265" t="inlineStr">
        <is>
          <t>MK00154</t>
        </is>
      </c>
      <c r="J2265" t="inlineStr"/>
    </row>
    <row r="2266">
      <c r="A2266" t="inlineStr">
        <is>
          <t>25/07/2026</t>
        </is>
      </c>
      <c r="B2266" t="inlineStr">
        <is>
          <t>528000262</t>
        </is>
      </c>
      <c r="C2266" t="inlineStr">
        <is>
          <t>Ndari Dwiwanti</t>
        </is>
      </c>
      <c r="D2266" t="inlineStr">
        <is>
          <t>PROD</t>
        </is>
      </c>
      <c r="E2266" t="inlineStr">
        <is>
          <t>Produksi Harian</t>
        </is>
      </c>
      <c r="F2266" t="inlineStr">
        <is>
          <t>05:35:52</t>
        </is>
      </c>
      <c r="G2266" t="inlineStr">
        <is>
          <t>14:04:05</t>
        </is>
      </c>
      <c r="H2266" t="inlineStr">
        <is>
          <t>SELESAI</t>
        </is>
      </c>
      <c r="I2266" t="inlineStr">
        <is>
          <t>MK00138</t>
        </is>
      </c>
      <c r="J2266" t="inlineStr"/>
    </row>
    <row r="2267">
      <c r="A2267" t="inlineStr">
        <is>
          <t>25/07/2026</t>
        </is>
      </c>
      <c r="B2267" t="inlineStr">
        <is>
          <t>528000266</t>
        </is>
      </c>
      <c r="C2267" t="inlineStr">
        <is>
          <t>M. Syirajatieq</t>
        </is>
      </c>
      <c r="D2267" t="inlineStr">
        <is>
          <t>LOG</t>
        </is>
      </c>
      <c r="E2267" t="inlineStr">
        <is>
          <t>WFG Harian</t>
        </is>
      </c>
      <c r="F2267" t="inlineStr">
        <is>
          <t>05:39:34</t>
        </is>
      </c>
      <c r="G2267" t="inlineStr">
        <is>
          <t>14:17:30</t>
        </is>
      </c>
      <c r="H2267" t="inlineStr">
        <is>
          <t>SELESAI</t>
        </is>
      </c>
      <c r="I2267" t="inlineStr">
        <is>
          <t>MK00230</t>
        </is>
      </c>
      <c r="J2267" t="inlineStr"/>
    </row>
    <row r="2268">
      <c r="A2268" t="inlineStr">
        <is>
          <t>25/07/2026</t>
        </is>
      </c>
      <c r="B2268" t="inlineStr">
        <is>
          <t>528000270</t>
        </is>
      </c>
      <c r="C2268" t="inlineStr">
        <is>
          <t>Febri Najmudin</t>
        </is>
      </c>
      <c r="D2268" t="inlineStr">
        <is>
          <t>LOG</t>
        </is>
      </c>
      <c r="E2268" t="inlineStr">
        <is>
          <t>WRM Harian</t>
        </is>
      </c>
      <c r="F2268" t="inlineStr">
        <is>
          <t>13:47:09</t>
        </is>
      </c>
      <c r="G2268" t="inlineStr">
        <is>
          <t>22:22:21</t>
        </is>
      </c>
      <c r="H2268" t="inlineStr">
        <is>
          <t>SELESAI</t>
        </is>
      </c>
      <c r="I2268" t="inlineStr">
        <is>
          <t>MK00184</t>
        </is>
      </c>
      <c r="J2268" t="inlineStr"/>
    </row>
    <row r="2269">
      <c r="A2269" t="inlineStr">
        <is>
          <t>25/07/2026</t>
        </is>
      </c>
      <c r="B2269" t="inlineStr">
        <is>
          <t>528000273</t>
        </is>
      </c>
      <c r="C2269" t="inlineStr">
        <is>
          <t>Asep Mulyana</t>
        </is>
      </c>
      <c r="D2269" t="inlineStr">
        <is>
          <t>PROD</t>
        </is>
      </c>
      <c r="E2269" t="inlineStr">
        <is>
          <t>Produksi Harian</t>
        </is>
      </c>
      <c r="F2269" t="inlineStr">
        <is>
          <t>21:47:30</t>
        </is>
      </c>
      <c r="G2269" t="inlineStr">
        <is>
          <t>06:01:11</t>
        </is>
      </c>
      <c r="H2269" t="inlineStr">
        <is>
          <t>SELESAI</t>
        </is>
      </c>
      <c r="I2269" t="inlineStr">
        <is>
          <t>MK00209</t>
        </is>
      </c>
      <c r="J2269" t="inlineStr"/>
    </row>
    <row r="2270">
      <c r="A2270" t="inlineStr">
        <is>
          <t>25/07/2026</t>
        </is>
      </c>
      <c r="B2270" t="inlineStr">
        <is>
          <t>528000274</t>
        </is>
      </c>
      <c r="C2270" t="inlineStr">
        <is>
          <t>Zepri</t>
        </is>
      </c>
      <c r="D2270" t="inlineStr">
        <is>
          <t>PROD</t>
        </is>
      </c>
      <c r="E2270" t="inlineStr">
        <is>
          <t>Produksi Harian</t>
        </is>
      </c>
      <c r="F2270" t="inlineStr">
        <is>
          <t>21:53:45</t>
        </is>
      </c>
      <c r="G2270" t="inlineStr">
        <is>
          <t>06:04:04</t>
        </is>
      </c>
      <c r="H2270" t="inlineStr">
        <is>
          <t>SELESAI</t>
        </is>
      </c>
      <c r="I2270" t="inlineStr">
        <is>
          <t>MK00181</t>
        </is>
      </c>
      <c r="J2270" t="inlineStr"/>
    </row>
    <row r="2271">
      <c r="A2271" t="inlineStr">
        <is>
          <t>25/07/2026</t>
        </is>
      </c>
      <c r="B2271" t="inlineStr">
        <is>
          <t>528000283</t>
        </is>
      </c>
      <c r="C2271" t="inlineStr">
        <is>
          <t>Purwanda Sugiri</t>
        </is>
      </c>
      <c r="D2271" t="inlineStr">
        <is>
          <t>LOG</t>
        </is>
      </c>
      <c r="E2271" t="inlineStr">
        <is>
          <t>WRM Harian</t>
        </is>
      </c>
      <c r="F2271" t="inlineStr">
        <is>
          <t>05:52:59</t>
        </is>
      </c>
      <c r="G2271" t="inlineStr">
        <is>
          <t>05:49:34</t>
        </is>
      </c>
      <c r="H2271" t="inlineStr">
        <is>
          <t>SELESAI</t>
        </is>
      </c>
      <c r="I2271" t="inlineStr">
        <is>
          <t>MK00213</t>
        </is>
      </c>
      <c r="J2271" t="inlineStr"/>
    </row>
    <row r="2272">
      <c r="A2272" t="inlineStr">
        <is>
          <t>25/07/2026</t>
        </is>
      </c>
      <c r="B2272" t="inlineStr">
        <is>
          <t>528000286</t>
        </is>
      </c>
      <c r="C2272" t="inlineStr">
        <is>
          <t>Imelda Amelia</t>
        </is>
      </c>
      <c r="D2272" t="inlineStr">
        <is>
          <t>PROD</t>
        </is>
      </c>
      <c r="E2272" t="inlineStr">
        <is>
          <t>Produksi Harian</t>
        </is>
      </c>
      <c r="F2272" t="inlineStr">
        <is>
          <t>21:43:53</t>
        </is>
      </c>
      <c r="G2272" t="inlineStr">
        <is>
          <t>07:59:06</t>
        </is>
      </c>
      <c r="H2272" t="inlineStr">
        <is>
          <t>SELESAI</t>
        </is>
      </c>
      <c r="I2272" t="inlineStr">
        <is>
          <t>MK00185</t>
        </is>
      </c>
      <c r="J2272" t="inlineStr"/>
    </row>
    <row r="2273">
      <c r="A2273" t="inlineStr">
        <is>
          <t>25/07/2026</t>
        </is>
      </c>
      <c r="B2273" t="inlineStr">
        <is>
          <t>528000289</t>
        </is>
      </c>
      <c r="C2273" t="inlineStr">
        <is>
          <t>Adit Supriyadi</t>
        </is>
      </c>
      <c r="D2273" t="inlineStr">
        <is>
          <t>PROD</t>
        </is>
      </c>
      <c r="E2273" t="inlineStr">
        <is>
          <t>Produksi Harian</t>
        </is>
      </c>
      <c r="F2273" t="inlineStr">
        <is>
          <t>21:03:51</t>
        </is>
      </c>
      <c r="G2273" t="inlineStr">
        <is>
          <t>06:07:30</t>
        </is>
      </c>
      <c r="H2273" t="inlineStr">
        <is>
          <t>SELESAI</t>
        </is>
      </c>
      <c r="I2273" t="inlineStr">
        <is>
          <t>MK00145</t>
        </is>
      </c>
      <c r="J2273" t="inlineStr"/>
    </row>
    <row r="2274">
      <c r="A2274" t="inlineStr">
        <is>
          <t>25/07/2026</t>
        </is>
      </c>
      <c r="B2274" t="inlineStr">
        <is>
          <t>528000290</t>
        </is>
      </c>
      <c r="C2274" t="inlineStr">
        <is>
          <t>Eval Pranata</t>
        </is>
      </c>
      <c r="D2274" t="inlineStr">
        <is>
          <t>PROD</t>
        </is>
      </c>
      <c r="E2274" t="inlineStr">
        <is>
          <t>Produksi Harian</t>
        </is>
      </c>
      <c r="F2274" t="inlineStr">
        <is>
          <t>21:55:44</t>
        </is>
      </c>
      <c r="G2274" t="inlineStr">
        <is>
          <t>06:06:05</t>
        </is>
      </c>
      <c r="H2274" t="inlineStr">
        <is>
          <t>SELESAI</t>
        </is>
      </c>
      <c r="I2274" t="inlineStr">
        <is>
          <t>MK00249</t>
        </is>
      </c>
      <c r="J2274" t="inlineStr"/>
    </row>
    <row r="2275">
      <c r="A2275" t="inlineStr">
        <is>
          <t>25/07/2026</t>
        </is>
      </c>
      <c r="B2275" t="inlineStr">
        <is>
          <t>528000291</t>
        </is>
      </c>
      <c r="C2275" t="inlineStr">
        <is>
          <t>Andrian</t>
        </is>
      </c>
      <c r="D2275" t="inlineStr">
        <is>
          <t>PROD</t>
        </is>
      </c>
      <c r="E2275" t="inlineStr">
        <is>
          <t>Produksi Harian</t>
        </is>
      </c>
      <c r="F2275" t="inlineStr">
        <is>
          <t>05:52:46</t>
        </is>
      </c>
      <c r="G2275" t="inlineStr">
        <is>
          <t>14:02:55</t>
        </is>
      </c>
      <c r="H2275" t="inlineStr">
        <is>
          <t>SELESAI</t>
        </is>
      </c>
      <c r="I2275" t="inlineStr">
        <is>
          <t>MK00108</t>
        </is>
      </c>
      <c r="J2275" t="inlineStr"/>
    </row>
    <row r="2276">
      <c r="A2276" t="inlineStr">
        <is>
          <t>25/07/2026</t>
        </is>
      </c>
      <c r="B2276" t="inlineStr">
        <is>
          <t>528000296</t>
        </is>
      </c>
      <c r="C2276" t="inlineStr">
        <is>
          <t>Nurdin</t>
        </is>
      </c>
      <c r="D2276" t="inlineStr">
        <is>
          <t>PROD</t>
        </is>
      </c>
      <c r="E2276" t="inlineStr">
        <is>
          <t>Produksi Harian</t>
        </is>
      </c>
      <c r="F2276" t="inlineStr">
        <is>
          <t>13:52:32</t>
        </is>
      </c>
      <c r="G2276" t="inlineStr">
        <is>
          <t>22:04:41</t>
        </is>
      </c>
      <c r="H2276" t="inlineStr">
        <is>
          <t>SELESAI</t>
        </is>
      </c>
      <c r="I2276" t="inlineStr">
        <is>
          <t>MK00185</t>
        </is>
      </c>
      <c r="J2276" t="inlineStr"/>
    </row>
    <row r="2277">
      <c r="A2277" t="inlineStr">
        <is>
          <t>25/07/2026</t>
        </is>
      </c>
      <c r="B2277" t="inlineStr">
        <is>
          <t>528000298</t>
        </is>
      </c>
      <c r="C2277" t="inlineStr">
        <is>
          <t>Desta Cahaya Pratama</t>
        </is>
      </c>
      <c r="D2277" t="inlineStr">
        <is>
          <t>PROD</t>
        </is>
      </c>
      <c r="E2277" t="inlineStr">
        <is>
          <t>Produksi Harian</t>
        </is>
      </c>
      <c r="F2277" t="inlineStr">
        <is>
          <t>13:49:42</t>
        </is>
      </c>
      <c r="G2277" t="inlineStr">
        <is>
          <t>13:48:34</t>
        </is>
      </c>
      <c r="H2277" t="inlineStr">
        <is>
          <t>SELESAI</t>
        </is>
      </c>
      <c r="I2277" t="inlineStr">
        <is>
          <t>MK00085</t>
        </is>
      </c>
      <c r="J2277" t="inlineStr"/>
    </row>
    <row r="2278">
      <c r="A2278" t="inlineStr">
        <is>
          <t>25/07/2026</t>
        </is>
      </c>
      <c r="B2278" t="inlineStr">
        <is>
          <t>528000302</t>
        </is>
      </c>
      <c r="C2278" t="inlineStr">
        <is>
          <t>Henkey gumilar</t>
        </is>
      </c>
      <c r="D2278" t="inlineStr">
        <is>
          <t>PROD</t>
        </is>
      </c>
      <c r="E2278" t="inlineStr">
        <is>
          <t>Produksi Harian</t>
        </is>
      </c>
      <c r="F2278" t="inlineStr"/>
      <c r="G2278" t="inlineStr">
        <is>
          <t>21:57:54</t>
        </is>
      </c>
      <c r="H2278" t="inlineStr">
        <is>
          <t>KELUAR TANPA MASUK</t>
        </is>
      </c>
      <c r="I2278" t="inlineStr">
        <is>
          <t>MK00202</t>
        </is>
      </c>
      <c r="J2278" t="inlineStr"/>
    </row>
    <row r="2279">
      <c r="A2279" t="inlineStr">
        <is>
          <t>25/07/2026</t>
        </is>
      </c>
      <c r="B2279" t="inlineStr">
        <is>
          <t>528000309</t>
        </is>
      </c>
      <c r="C2279" t="inlineStr">
        <is>
          <t>Ilham Ramadhan</t>
        </is>
      </c>
      <c r="D2279" t="inlineStr">
        <is>
          <t>LOG</t>
        </is>
      </c>
      <c r="E2279" t="inlineStr">
        <is>
          <t>WRM Harian</t>
        </is>
      </c>
      <c r="F2279" t="inlineStr">
        <is>
          <t>13:44:19</t>
        </is>
      </c>
      <c r="G2279" t="inlineStr">
        <is>
          <t>22:04:31</t>
        </is>
      </c>
      <c r="H2279" t="inlineStr">
        <is>
          <t>SELESAI</t>
        </is>
      </c>
      <c r="I2279" t="inlineStr">
        <is>
          <t>MK00210</t>
        </is>
      </c>
      <c r="J2279" t="inlineStr"/>
    </row>
    <row r="2280">
      <c r="A2280" t="inlineStr">
        <is>
          <t>25/07/2026</t>
        </is>
      </c>
      <c r="B2280" t="inlineStr">
        <is>
          <t>528000313</t>
        </is>
      </c>
      <c r="C2280" t="inlineStr">
        <is>
          <t>Muhamad Rifki</t>
        </is>
      </c>
      <c r="D2280" t="inlineStr">
        <is>
          <t>PROD</t>
        </is>
      </c>
      <c r="E2280" t="inlineStr">
        <is>
          <t>Produksi Harian</t>
        </is>
      </c>
      <c r="F2280" t="inlineStr">
        <is>
          <t>13:33:33</t>
        </is>
      </c>
      <c r="G2280" t="inlineStr">
        <is>
          <t>22:04:29</t>
        </is>
      </c>
      <c r="H2280" t="inlineStr">
        <is>
          <t>SELESAI</t>
        </is>
      </c>
      <c r="I2280" t="inlineStr">
        <is>
          <t>MK00220</t>
        </is>
      </c>
      <c r="J2280" t="inlineStr"/>
    </row>
    <row r="2281">
      <c r="A2281" t="inlineStr">
        <is>
          <t>25/07/2026</t>
        </is>
      </c>
      <c r="B2281" t="inlineStr">
        <is>
          <t>528000314</t>
        </is>
      </c>
      <c r="C2281" t="inlineStr">
        <is>
          <t>Rusmana</t>
        </is>
      </c>
      <c r="D2281" t="inlineStr">
        <is>
          <t>PROD</t>
        </is>
      </c>
      <c r="E2281" t="inlineStr">
        <is>
          <t>Produksi Harian</t>
        </is>
      </c>
      <c r="F2281" t="inlineStr">
        <is>
          <t>05:52:44</t>
        </is>
      </c>
      <c r="G2281" t="inlineStr"/>
      <c r="H2281" t="inlineStr">
        <is>
          <t>DI DALAM</t>
        </is>
      </c>
      <c r="I2281" t="inlineStr">
        <is>
          <t>MK00125</t>
        </is>
      </c>
      <c r="J2281" t="inlineStr"/>
    </row>
    <row r="2282">
      <c r="A2282" t="inlineStr">
        <is>
          <t>25/07/2026</t>
        </is>
      </c>
      <c r="B2282" t="inlineStr">
        <is>
          <t>528000318</t>
        </is>
      </c>
      <c r="C2282" t="inlineStr">
        <is>
          <t>Bayu Padli Sepriyana</t>
        </is>
      </c>
      <c r="D2282" t="inlineStr">
        <is>
          <t>LOG</t>
        </is>
      </c>
      <c r="E2282" t="inlineStr">
        <is>
          <t>WRM Harian</t>
        </is>
      </c>
      <c r="F2282" t="inlineStr">
        <is>
          <t>13:46:17</t>
        </is>
      </c>
      <c r="G2282" t="inlineStr">
        <is>
          <t>22:04:24</t>
        </is>
      </c>
      <c r="H2282" t="inlineStr">
        <is>
          <t>SELESAI</t>
        </is>
      </c>
      <c r="I2282" t="inlineStr">
        <is>
          <t>MK00235</t>
        </is>
      </c>
      <c r="J2282" t="inlineStr"/>
    </row>
    <row r="2283">
      <c r="A2283" t="inlineStr">
        <is>
          <t>25/07/2026</t>
        </is>
      </c>
      <c r="B2283" t="inlineStr">
        <is>
          <t>528000322</t>
        </is>
      </c>
      <c r="C2283" t="inlineStr">
        <is>
          <t>Muhamad Aliludin</t>
        </is>
      </c>
      <c r="D2283" t="inlineStr">
        <is>
          <t>PROD</t>
        </is>
      </c>
      <c r="E2283" t="inlineStr">
        <is>
          <t>Produksi Harian</t>
        </is>
      </c>
      <c r="F2283" t="inlineStr"/>
      <c r="G2283" t="inlineStr">
        <is>
          <t>21:32:53</t>
        </is>
      </c>
      <c r="H2283" t="inlineStr">
        <is>
          <t>KELUAR TANPA MASUK</t>
        </is>
      </c>
      <c r="I2283" t="inlineStr">
        <is>
          <t>MK00112</t>
        </is>
      </c>
      <c r="J2283" t="inlineStr"/>
    </row>
    <row r="2284">
      <c r="A2284" t="inlineStr">
        <is>
          <t>25/07/2026</t>
        </is>
      </c>
      <c r="B2284" t="inlineStr">
        <is>
          <t>528000323</t>
        </is>
      </c>
      <c r="C2284" t="inlineStr">
        <is>
          <t>Dian Hamidah</t>
        </is>
      </c>
      <c r="D2284" t="inlineStr">
        <is>
          <t>PROD</t>
        </is>
      </c>
      <c r="E2284" t="inlineStr">
        <is>
          <t>Produksi Harian</t>
        </is>
      </c>
      <c r="F2284" t="inlineStr">
        <is>
          <t>06:05:03</t>
        </is>
      </c>
      <c r="G2284" t="inlineStr">
        <is>
          <t>14:05:06</t>
        </is>
      </c>
      <c r="H2284" t="inlineStr">
        <is>
          <t>SELESAI</t>
        </is>
      </c>
      <c r="I2284" t="inlineStr">
        <is>
          <t>MK00181</t>
        </is>
      </c>
      <c r="J2284" t="inlineStr"/>
    </row>
    <row r="2285">
      <c r="A2285" t="inlineStr">
        <is>
          <t>25/07/2026</t>
        </is>
      </c>
      <c r="B2285" t="inlineStr">
        <is>
          <t>528000324</t>
        </is>
      </c>
      <c r="C2285" t="inlineStr">
        <is>
          <t>Sri Yanti</t>
        </is>
      </c>
      <c r="D2285" t="inlineStr">
        <is>
          <t>PROD</t>
        </is>
      </c>
      <c r="E2285" t="inlineStr">
        <is>
          <t>Produksi Harian</t>
        </is>
      </c>
      <c r="F2285" t="inlineStr">
        <is>
          <t>05:41:23</t>
        </is>
      </c>
      <c r="G2285" t="inlineStr">
        <is>
          <t>14:04:53</t>
        </is>
      </c>
      <c r="H2285" t="inlineStr">
        <is>
          <t>SELESAI</t>
        </is>
      </c>
      <c r="I2285" t="inlineStr">
        <is>
          <t>MK00218</t>
        </is>
      </c>
      <c r="J2285" t="inlineStr"/>
    </row>
    <row r="2286">
      <c r="A2286" t="inlineStr">
        <is>
          <t>25/07/2026</t>
        </is>
      </c>
      <c r="B2286" t="inlineStr">
        <is>
          <t>528000328</t>
        </is>
      </c>
      <c r="C2286" t="inlineStr">
        <is>
          <t>Nur Anjani</t>
        </is>
      </c>
      <c r="D2286" t="inlineStr">
        <is>
          <t>PROD</t>
        </is>
      </c>
      <c r="E2286" t="inlineStr">
        <is>
          <t>Produksi Harian</t>
        </is>
      </c>
      <c r="F2286" t="inlineStr">
        <is>
          <t>13:45:03</t>
        </is>
      </c>
      <c r="G2286" t="inlineStr">
        <is>
          <t>22:04:04</t>
        </is>
      </c>
      <c r="H2286" t="inlineStr">
        <is>
          <t>SELESAI</t>
        </is>
      </c>
      <c r="I2286" t="inlineStr">
        <is>
          <t>MK00095</t>
        </is>
      </c>
      <c r="J2286" t="inlineStr"/>
    </row>
    <row r="2287">
      <c r="A2287" t="inlineStr">
        <is>
          <t>25/07/2026</t>
        </is>
      </c>
      <c r="B2287" t="inlineStr">
        <is>
          <t>528000336</t>
        </is>
      </c>
      <c r="C2287" t="inlineStr">
        <is>
          <t>Ali Nurhanafi</t>
        </is>
      </c>
      <c r="D2287" t="inlineStr">
        <is>
          <t>PROD</t>
        </is>
      </c>
      <c r="E2287" t="inlineStr">
        <is>
          <t>Produksi Harian</t>
        </is>
      </c>
      <c r="F2287" t="inlineStr">
        <is>
          <t>06:04:22</t>
        </is>
      </c>
      <c r="G2287" t="inlineStr">
        <is>
          <t>14:05:53</t>
        </is>
      </c>
      <c r="H2287" t="inlineStr">
        <is>
          <t>SELESAI</t>
        </is>
      </c>
      <c r="I2287" t="inlineStr">
        <is>
          <t>MK00088</t>
        </is>
      </c>
      <c r="J2287" t="inlineStr"/>
    </row>
    <row r="2288">
      <c r="A2288" t="inlineStr">
        <is>
          <t>25/07/2026</t>
        </is>
      </c>
      <c r="B2288" t="inlineStr">
        <is>
          <t>528000337</t>
        </is>
      </c>
      <c r="C2288" t="inlineStr">
        <is>
          <t>Ahmad Zaldi Firdaus</t>
        </is>
      </c>
      <c r="D2288" t="inlineStr">
        <is>
          <t>PROD</t>
        </is>
      </c>
      <c r="E2288" t="inlineStr">
        <is>
          <t>Produksi Harian</t>
        </is>
      </c>
      <c r="F2288" t="inlineStr">
        <is>
          <t>05:39:38</t>
        </is>
      </c>
      <c r="G2288" t="inlineStr">
        <is>
          <t>14:10:39</t>
        </is>
      </c>
      <c r="H2288" t="inlineStr">
        <is>
          <t>SELESAI</t>
        </is>
      </c>
      <c r="I2288" t="inlineStr">
        <is>
          <t>MK00217</t>
        </is>
      </c>
      <c r="J2288" t="inlineStr"/>
    </row>
    <row r="2289">
      <c r="A2289" t="inlineStr">
        <is>
          <t>25/07/2026</t>
        </is>
      </c>
      <c r="B2289" t="inlineStr">
        <is>
          <t>528000339</t>
        </is>
      </c>
      <c r="C2289" t="inlineStr">
        <is>
          <t>Muhamad Ripai'i</t>
        </is>
      </c>
      <c r="D2289" t="inlineStr">
        <is>
          <t>HRGA</t>
        </is>
      </c>
      <c r="E2289" t="inlineStr">
        <is>
          <t>GA Harian</t>
        </is>
      </c>
      <c r="F2289" t="inlineStr">
        <is>
          <t>21:03:46</t>
        </is>
      </c>
      <c r="G2289" t="inlineStr">
        <is>
          <t>06:05:31</t>
        </is>
      </c>
      <c r="H2289" t="inlineStr">
        <is>
          <t>SELESAI</t>
        </is>
      </c>
      <c r="I2289" t="inlineStr">
        <is>
          <t>MK00138</t>
        </is>
      </c>
      <c r="J2289" t="inlineStr"/>
    </row>
    <row r="2290">
      <c r="A2290" t="inlineStr">
        <is>
          <t>25/07/2026</t>
        </is>
      </c>
      <c r="B2290" t="inlineStr">
        <is>
          <t>528000340</t>
        </is>
      </c>
      <c r="C2290" t="inlineStr">
        <is>
          <t>Muhammad Wildan Adithya</t>
        </is>
      </c>
      <c r="D2290" t="inlineStr">
        <is>
          <t>PROD</t>
        </is>
      </c>
      <c r="E2290" t="inlineStr">
        <is>
          <t>Produksi Harian</t>
        </is>
      </c>
      <c r="F2290" t="inlineStr">
        <is>
          <t>12:51:24</t>
        </is>
      </c>
      <c r="G2290" t="inlineStr">
        <is>
          <t>22:05:20</t>
        </is>
      </c>
      <c r="H2290" t="inlineStr">
        <is>
          <t>SELESAI</t>
        </is>
      </c>
      <c r="I2290" t="inlineStr">
        <is>
          <t>MK00143</t>
        </is>
      </c>
      <c r="J2290" t="inlineStr"/>
    </row>
    <row r="2291">
      <c r="A2291" t="inlineStr">
        <is>
          <t>25/07/2026</t>
        </is>
      </c>
      <c r="B2291" t="inlineStr">
        <is>
          <t>528000358</t>
        </is>
      </c>
      <c r="C2291" t="inlineStr">
        <is>
          <t>Lulu Agustin</t>
        </is>
      </c>
      <c r="D2291" t="inlineStr">
        <is>
          <t>PROD</t>
        </is>
      </c>
      <c r="E2291" t="inlineStr">
        <is>
          <t>Produksi Harian</t>
        </is>
      </c>
      <c r="F2291" t="inlineStr">
        <is>
          <t>05:50:03</t>
        </is>
      </c>
      <c r="G2291" t="inlineStr">
        <is>
          <t>14:05:03</t>
        </is>
      </c>
      <c r="H2291" t="inlineStr">
        <is>
          <t>SELESAI</t>
        </is>
      </c>
      <c r="I2291" t="inlineStr">
        <is>
          <t>MK00208</t>
        </is>
      </c>
      <c r="J2291" t="inlineStr"/>
    </row>
    <row r="2292">
      <c r="A2292" t="inlineStr">
        <is>
          <t>25/07/2026</t>
        </is>
      </c>
      <c r="B2292" t="inlineStr">
        <is>
          <t>528000360</t>
        </is>
      </c>
      <c r="C2292" t="inlineStr">
        <is>
          <t>Hendra Permana</t>
        </is>
      </c>
      <c r="D2292" t="inlineStr">
        <is>
          <t>ENG</t>
        </is>
      </c>
      <c r="E2292" t="inlineStr">
        <is>
          <t>Engineering Harian</t>
        </is>
      </c>
      <c r="F2292" t="inlineStr">
        <is>
          <t>05:57:15</t>
        </is>
      </c>
      <c r="G2292" t="inlineStr">
        <is>
          <t>14:02:33</t>
        </is>
      </c>
      <c r="H2292" t="inlineStr">
        <is>
          <t>SELESAI</t>
        </is>
      </c>
      <c r="I2292" t="inlineStr">
        <is>
          <t>MK00186</t>
        </is>
      </c>
      <c r="J2292" t="inlineStr"/>
    </row>
    <row r="2293">
      <c r="A2293" t="inlineStr">
        <is>
          <t>25/07/2026</t>
        </is>
      </c>
      <c r="B2293" t="inlineStr">
        <is>
          <t>528000361</t>
        </is>
      </c>
      <c r="C2293" t="inlineStr">
        <is>
          <t>Denada Munggarani</t>
        </is>
      </c>
      <c r="D2293" t="inlineStr">
        <is>
          <t>PROD</t>
        </is>
      </c>
      <c r="E2293" t="inlineStr">
        <is>
          <t>Produksi Harian</t>
        </is>
      </c>
      <c r="F2293" t="inlineStr">
        <is>
          <t>13:39:12</t>
        </is>
      </c>
      <c r="G2293" t="inlineStr">
        <is>
          <t>22:10:14</t>
        </is>
      </c>
      <c r="H2293" t="inlineStr">
        <is>
          <t>SELESAI</t>
        </is>
      </c>
      <c r="I2293" t="inlineStr">
        <is>
          <t>MK00121</t>
        </is>
      </c>
      <c r="J2293" t="inlineStr"/>
    </row>
    <row r="2294">
      <c r="A2294" t="inlineStr">
        <is>
          <t>25/07/2026</t>
        </is>
      </c>
      <c r="B2294" t="inlineStr">
        <is>
          <t>628000018</t>
        </is>
      </c>
      <c r="C2294" t="inlineStr">
        <is>
          <t>Annisa Tri Pratiwi</t>
        </is>
      </c>
      <c r="D2294" t="inlineStr">
        <is>
          <t>PROD</t>
        </is>
      </c>
      <c r="E2294" t="inlineStr">
        <is>
          <t>Produksi Borongan</t>
        </is>
      </c>
      <c r="F2294" t="inlineStr">
        <is>
          <t>13:41:15</t>
        </is>
      </c>
      <c r="G2294" t="inlineStr">
        <is>
          <t>22:07:06</t>
        </is>
      </c>
      <c r="H2294" t="inlineStr">
        <is>
          <t>SELESAI</t>
        </is>
      </c>
      <c r="I2294" t="inlineStr">
        <is>
          <t>MK00250</t>
        </is>
      </c>
      <c r="J2294" t="inlineStr"/>
    </row>
    <row r="2295">
      <c r="A2295" t="inlineStr">
        <is>
          <t>26/07/2026</t>
        </is>
      </c>
      <c r="B2295" t="inlineStr">
        <is>
          <t>528000040</t>
        </is>
      </c>
      <c r="C2295" t="inlineStr">
        <is>
          <t>Agus Suryaman</t>
        </is>
      </c>
      <c r="D2295" t="inlineStr">
        <is>
          <t>PROD</t>
        </is>
      </c>
      <c r="E2295" t="inlineStr">
        <is>
          <t>Produksi Harian</t>
        </is>
      </c>
      <c r="F2295" t="inlineStr">
        <is>
          <t>08:52:33</t>
        </is>
      </c>
      <c r="G2295" t="inlineStr">
        <is>
          <t>17:08:55</t>
        </is>
      </c>
      <c r="H2295" t="inlineStr">
        <is>
          <t>SELESAI</t>
        </is>
      </c>
      <c r="I2295" t="inlineStr">
        <is>
          <t>MK00141</t>
        </is>
      </c>
      <c r="J2295" t="inlineStr"/>
    </row>
    <row r="2296">
      <c r="A2296" t="inlineStr">
        <is>
          <t>26/07/2026</t>
        </is>
      </c>
      <c r="B2296" t="inlineStr">
        <is>
          <t>528000063</t>
        </is>
      </c>
      <c r="C2296" t="inlineStr">
        <is>
          <t>Muhamad Ripki Pebrian</t>
        </is>
      </c>
      <c r="D2296" t="inlineStr">
        <is>
          <t>PROD</t>
        </is>
      </c>
      <c r="E2296" t="inlineStr">
        <is>
          <t>Produksi Harian</t>
        </is>
      </c>
      <c r="F2296" t="inlineStr">
        <is>
          <t>13:55:38</t>
        </is>
      </c>
      <c r="G2296" t="inlineStr"/>
      <c r="H2296" t="inlineStr">
        <is>
          <t>DI DALAM</t>
        </is>
      </c>
      <c r="I2296" t="inlineStr">
        <is>
          <t>MA00108</t>
        </is>
      </c>
      <c r="J2296" t="inlineStr"/>
    </row>
    <row r="2297">
      <c r="A2297" t="inlineStr">
        <is>
          <t>26/07/2026</t>
        </is>
      </c>
      <c r="B2297" t="inlineStr">
        <is>
          <t>528000069</t>
        </is>
      </c>
      <c r="C2297" t="inlineStr">
        <is>
          <t>Jajang Ardiansyah</t>
        </is>
      </c>
      <c r="D2297" t="inlineStr">
        <is>
          <t>PROD</t>
        </is>
      </c>
      <c r="E2297" t="inlineStr">
        <is>
          <t>Produksi Harian</t>
        </is>
      </c>
      <c r="F2297" t="inlineStr">
        <is>
          <t>06:47:16</t>
        </is>
      </c>
      <c r="G2297" t="inlineStr">
        <is>
          <t>20:25:15</t>
        </is>
      </c>
      <c r="H2297" t="inlineStr">
        <is>
          <t>SELESAI</t>
        </is>
      </c>
      <c r="I2297" t="inlineStr">
        <is>
          <t>MK00138</t>
        </is>
      </c>
      <c r="J2297" t="inlineStr"/>
    </row>
    <row r="2298">
      <c r="A2298" t="inlineStr">
        <is>
          <t>26/07/2026</t>
        </is>
      </c>
      <c r="B2298" t="inlineStr">
        <is>
          <t>528000090</t>
        </is>
      </c>
      <c r="C2298" t="inlineStr">
        <is>
          <t>Suganda</t>
        </is>
      </c>
      <c r="D2298" t="inlineStr">
        <is>
          <t>PROD</t>
        </is>
      </c>
      <c r="E2298" t="inlineStr">
        <is>
          <t>Produksi Harian</t>
        </is>
      </c>
      <c r="F2298" t="inlineStr">
        <is>
          <t>21:57:17</t>
        </is>
      </c>
      <c r="G2298" t="inlineStr">
        <is>
          <t>06:27:19</t>
        </is>
      </c>
      <c r="H2298" t="inlineStr">
        <is>
          <t>SELESAI</t>
        </is>
      </c>
      <c r="I2298" t="inlineStr">
        <is>
          <t>MK00088</t>
        </is>
      </c>
      <c r="J2298" t="inlineStr"/>
    </row>
    <row r="2299">
      <c r="A2299" t="inlineStr">
        <is>
          <t>26/07/2026</t>
        </is>
      </c>
      <c r="B2299" t="inlineStr">
        <is>
          <t>528000144</t>
        </is>
      </c>
      <c r="C2299" t="inlineStr">
        <is>
          <t>Jodi Hanafi</t>
        </is>
      </c>
      <c r="D2299" t="inlineStr">
        <is>
          <t>LOG</t>
        </is>
      </c>
      <c r="E2299" t="inlineStr">
        <is>
          <t>WRM Harian</t>
        </is>
      </c>
      <c r="F2299" t="inlineStr">
        <is>
          <t>08:01:56</t>
        </is>
      </c>
      <c r="G2299" t="inlineStr">
        <is>
          <t>16:07:41</t>
        </is>
      </c>
      <c r="H2299" t="inlineStr">
        <is>
          <t>SELESAI</t>
        </is>
      </c>
      <c r="I2299" t="inlineStr">
        <is>
          <t>MK00221</t>
        </is>
      </c>
      <c r="J2299" t="inlineStr"/>
    </row>
    <row r="2300">
      <c r="A2300" t="inlineStr">
        <is>
          <t>26/07/2026</t>
        </is>
      </c>
      <c r="B2300" t="inlineStr">
        <is>
          <t>528000149</t>
        </is>
      </c>
      <c r="C2300" t="inlineStr">
        <is>
          <t>Tio Fernanda</t>
        </is>
      </c>
      <c r="D2300" t="inlineStr">
        <is>
          <t>LOG</t>
        </is>
      </c>
      <c r="E2300" t="inlineStr">
        <is>
          <t>WRM Harian</t>
        </is>
      </c>
      <c r="F2300" t="inlineStr">
        <is>
          <t>08:52:26</t>
        </is>
      </c>
      <c r="G2300" t="inlineStr">
        <is>
          <t>08:52:13</t>
        </is>
      </c>
      <c r="H2300" t="inlineStr">
        <is>
          <t>SELESAI</t>
        </is>
      </c>
      <c r="I2300" t="inlineStr">
        <is>
          <t>MK0130</t>
        </is>
      </c>
      <c r="J2300" t="inlineStr"/>
    </row>
    <row r="2301">
      <c r="A2301" t="inlineStr">
        <is>
          <t>26/07/2026</t>
        </is>
      </c>
      <c r="B2301" t="inlineStr">
        <is>
          <t>528000195</t>
        </is>
      </c>
      <c r="C2301" t="inlineStr">
        <is>
          <t>Rahma Sariwati</t>
        </is>
      </c>
      <c r="D2301" t="inlineStr">
        <is>
          <t>PROD</t>
        </is>
      </c>
      <c r="E2301" t="inlineStr">
        <is>
          <t>Produksi Harian</t>
        </is>
      </c>
      <c r="F2301" t="inlineStr">
        <is>
          <t>05:47:43</t>
        </is>
      </c>
      <c r="G2301" t="inlineStr">
        <is>
          <t>14:04:33</t>
        </is>
      </c>
      <c r="H2301" t="inlineStr">
        <is>
          <t>SELESAI</t>
        </is>
      </c>
      <c r="I2301" t="inlineStr">
        <is>
          <t>MK00185</t>
        </is>
      </c>
      <c r="J2301" t="inlineStr"/>
    </row>
    <row r="2302">
      <c r="A2302" t="inlineStr">
        <is>
          <t>26/07/2026</t>
        </is>
      </c>
      <c r="B2302" t="inlineStr">
        <is>
          <t>528000201</t>
        </is>
      </c>
      <c r="C2302" t="inlineStr">
        <is>
          <t>Zahwa Amelia Choerunissa</t>
        </is>
      </c>
      <c r="D2302" t="inlineStr">
        <is>
          <t>PROD</t>
        </is>
      </c>
      <c r="E2302" t="inlineStr">
        <is>
          <t>Produksi Harian</t>
        </is>
      </c>
      <c r="F2302" t="inlineStr">
        <is>
          <t>21:44:22</t>
        </is>
      </c>
      <c r="G2302" t="inlineStr">
        <is>
          <t>06:04:39</t>
        </is>
      </c>
      <c r="H2302" t="inlineStr">
        <is>
          <t>SELESAI</t>
        </is>
      </c>
      <c r="I2302" t="inlineStr">
        <is>
          <t>MK00218</t>
        </is>
      </c>
      <c r="J2302" t="inlineStr"/>
    </row>
    <row r="2303">
      <c r="A2303" t="inlineStr">
        <is>
          <t>26/07/2026</t>
        </is>
      </c>
      <c r="B2303" t="inlineStr">
        <is>
          <t>528000212</t>
        </is>
      </c>
      <c r="C2303" t="inlineStr">
        <is>
          <t>Rizal Fauzi</t>
        </is>
      </c>
      <c r="D2303" t="inlineStr">
        <is>
          <t>PROD</t>
        </is>
      </c>
      <c r="E2303" t="inlineStr">
        <is>
          <t>Produksi Harian</t>
        </is>
      </c>
      <c r="F2303" t="inlineStr">
        <is>
          <t>21:57:38</t>
        </is>
      </c>
      <c r="G2303" t="inlineStr">
        <is>
          <t>19:34:10</t>
        </is>
      </c>
      <c r="H2303" t="inlineStr">
        <is>
          <t>SELESAI</t>
        </is>
      </c>
      <c r="I2303" t="inlineStr">
        <is>
          <t>MK00212</t>
        </is>
      </c>
      <c r="J2303" t="inlineStr"/>
    </row>
    <row r="2304">
      <c r="A2304" t="inlineStr">
        <is>
          <t>26/07/2026</t>
        </is>
      </c>
      <c r="B2304" t="inlineStr">
        <is>
          <t>528000228</t>
        </is>
      </c>
      <c r="C2304" t="inlineStr">
        <is>
          <t>Banyu Resmi Putri</t>
        </is>
      </c>
      <c r="D2304" t="inlineStr">
        <is>
          <t>PROD</t>
        </is>
      </c>
      <c r="E2304" t="inlineStr">
        <is>
          <t>Produksi Harian</t>
        </is>
      </c>
      <c r="F2304" t="inlineStr"/>
      <c r="G2304" t="inlineStr">
        <is>
          <t>06:06:15</t>
        </is>
      </c>
      <c r="H2304" t="inlineStr">
        <is>
          <t>KELUAR TANPA MASUK</t>
        </is>
      </c>
      <c r="I2304" t="inlineStr">
        <is>
          <t>MK00212</t>
        </is>
      </c>
      <c r="J2304" t="inlineStr"/>
    </row>
    <row r="2305">
      <c r="A2305" t="inlineStr">
        <is>
          <t>26/07/2026</t>
        </is>
      </c>
      <c r="B2305" t="inlineStr">
        <is>
          <t>528000232</t>
        </is>
      </c>
      <c r="C2305" t="inlineStr">
        <is>
          <t>Agung Aji Suhada</t>
        </is>
      </c>
      <c r="D2305" t="inlineStr">
        <is>
          <t>LOG</t>
        </is>
      </c>
      <c r="E2305" t="inlineStr">
        <is>
          <t>WRM Harian</t>
        </is>
      </c>
      <c r="F2305" t="inlineStr">
        <is>
          <t>08:53:46</t>
        </is>
      </c>
      <c r="G2305" t="inlineStr">
        <is>
          <t>22:01:52</t>
        </is>
      </c>
      <c r="H2305" t="inlineStr">
        <is>
          <t>SELESAI</t>
        </is>
      </c>
      <c r="I2305" t="inlineStr">
        <is>
          <t>MK00150</t>
        </is>
      </c>
      <c r="J2305" t="inlineStr"/>
    </row>
    <row r="2306">
      <c r="A2306" t="inlineStr">
        <is>
          <t>26/07/2026</t>
        </is>
      </c>
      <c r="B2306" t="inlineStr">
        <is>
          <t>528000241</t>
        </is>
      </c>
      <c r="C2306" t="inlineStr">
        <is>
          <t>Balia Nurafif Bilah</t>
        </is>
      </c>
      <c r="D2306" t="inlineStr">
        <is>
          <t>PROD</t>
        </is>
      </c>
      <c r="E2306" t="inlineStr">
        <is>
          <t>Produksi Harian</t>
        </is>
      </c>
      <c r="F2306" t="inlineStr">
        <is>
          <t>21:53:06</t>
        </is>
      </c>
      <c r="G2306" t="inlineStr">
        <is>
          <t>06:03:34</t>
        </is>
      </c>
      <c r="H2306" t="inlineStr">
        <is>
          <t>SELESAI</t>
        </is>
      </c>
      <c r="I2306" t="inlineStr">
        <is>
          <t>MK00184</t>
        </is>
      </c>
      <c r="J2306" t="inlineStr"/>
    </row>
    <row r="2307">
      <c r="A2307" t="inlineStr">
        <is>
          <t>26/07/2026</t>
        </is>
      </c>
      <c r="B2307" t="inlineStr">
        <is>
          <t>528000244</t>
        </is>
      </c>
      <c r="C2307" t="inlineStr">
        <is>
          <t>Rodian Rifai</t>
        </is>
      </c>
      <c r="D2307" t="inlineStr">
        <is>
          <t>PROD</t>
        </is>
      </c>
      <c r="E2307" t="inlineStr">
        <is>
          <t>Produksi Harian</t>
        </is>
      </c>
      <c r="F2307" t="inlineStr">
        <is>
          <t>21:17:43</t>
        </is>
      </c>
      <c r="G2307" t="inlineStr">
        <is>
          <t>06:56:23</t>
        </is>
      </c>
      <c r="H2307" t="inlineStr">
        <is>
          <t>SELESAI</t>
        </is>
      </c>
      <c r="I2307" t="inlineStr">
        <is>
          <t>MK00116</t>
        </is>
      </c>
      <c r="J2307" t="inlineStr"/>
    </row>
    <row r="2308">
      <c r="A2308" t="inlineStr">
        <is>
          <t>26/07/2026</t>
        </is>
      </c>
      <c r="B2308" t="inlineStr">
        <is>
          <t>528000248</t>
        </is>
      </c>
      <c r="C2308" t="inlineStr">
        <is>
          <t>Roka Jaya Salka Mulya</t>
        </is>
      </c>
      <c r="D2308" t="inlineStr">
        <is>
          <t>PROD</t>
        </is>
      </c>
      <c r="E2308" t="inlineStr">
        <is>
          <t>Produksi Harian</t>
        </is>
      </c>
      <c r="F2308" t="inlineStr">
        <is>
          <t>13:51:57</t>
        </is>
      </c>
      <c r="G2308" t="inlineStr">
        <is>
          <t>22:04:07</t>
        </is>
      </c>
      <c r="H2308" t="inlineStr">
        <is>
          <t>SELESAI</t>
        </is>
      </c>
      <c r="I2308" t="inlineStr">
        <is>
          <t>MK00235</t>
        </is>
      </c>
      <c r="J2308" t="inlineStr"/>
    </row>
    <row r="2309">
      <c r="A2309" t="inlineStr">
        <is>
          <t>26/07/2026</t>
        </is>
      </c>
      <c r="B2309" t="inlineStr">
        <is>
          <t>528000261</t>
        </is>
      </c>
      <c r="C2309" t="inlineStr">
        <is>
          <t>Ergi Ergianto</t>
        </is>
      </c>
      <c r="D2309" t="inlineStr">
        <is>
          <t>HRGA</t>
        </is>
      </c>
      <c r="E2309" t="inlineStr">
        <is>
          <t>GA Harian</t>
        </is>
      </c>
      <c r="F2309" t="inlineStr">
        <is>
          <t>05:43:27</t>
        </is>
      </c>
      <c r="G2309" t="inlineStr">
        <is>
          <t>14:00:28</t>
        </is>
      </c>
      <c r="H2309" t="inlineStr">
        <is>
          <t>SELESAI</t>
        </is>
      </c>
      <c r="I2309" t="inlineStr">
        <is>
          <t>MK00143</t>
        </is>
      </c>
      <c r="J2309" t="inlineStr"/>
    </row>
    <row r="2310">
      <c r="A2310" t="inlineStr">
        <is>
          <t>26/07/2026</t>
        </is>
      </c>
      <c r="B2310" t="inlineStr">
        <is>
          <t>528000262</t>
        </is>
      </c>
      <c r="C2310" t="inlineStr">
        <is>
          <t>Ndari Dwiwanti</t>
        </is>
      </c>
      <c r="D2310" t="inlineStr">
        <is>
          <t>PROD</t>
        </is>
      </c>
      <c r="E2310" t="inlineStr">
        <is>
          <t>Produksi Harian</t>
        </is>
      </c>
      <c r="F2310" t="inlineStr">
        <is>
          <t>05:42:09</t>
        </is>
      </c>
      <c r="G2310" t="inlineStr">
        <is>
          <t>14:00:45</t>
        </is>
      </c>
      <c r="H2310" t="inlineStr">
        <is>
          <t>SELESAI</t>
        </is>
      </c>
      <c r="I2310" t="inlineStr">
        <is>
          <t>MK00136</t>
        </is>
      </c>
      <c r="J2310" t="inlineStr"/>
    </row>
    <row r="2311">
      <c r="A2311" t="inlineStr">
        <is>
          <t>26/07/2026</t>
        </is>
      </c>
      <c r="B2311" t="inlineStr">
        <is>
          <t>528000265</t>
        </is>
      </c>
      <c r="C2311" t="inlineStr">
        <is>
          <t>Muhammad Haerul Rozikin</t>
        </is>
      </c>
      <c r="D2311" t="inlineStr">
        <is>
          <t>LOG</t>
        </is>
      </c>
      <c r="E2311" t="inlineStr">
        <is>
          <t>WRM Harian</t>
        </is>
      </c>
      <c r="F2311" t="inlineStr">
        <is>
          <t>07:52:43</t>
        </is>
      </c>
      <c r="G2311" t="inlineStr">
        <is>
          <t>16:03:28</t>
        </is>
      </c>
      <c r="H2311" t="inlineStr">
        <is>
          <t>SELESAI</t>
        </is>
      </c>
      <c r="I2311" t="inlineStr">
        <is>
          <t>MK00145</t>
        </is>
      </c>
      <c r="J2311" t="inlineStr"/>
    </row>
    <row r="2312">
      <c r="A2312" t="inlineStr">
        <is>
          <t>26/07/2026</t>
        </is>
      </c>
      <c r="B2312" t="inlineStr">
        <is>
          <t>528000266</t>
        </is>
      </c>
      <c r="C2312" t="inlineStr">
        <is>
          <t>M. Syirajatieq</t>
        </is>
      </c>
      <c r="D2312" t="inlineStr">
        <is>
          <t>LOG</t>
        </is>
      </c>
      <c r="E2312" t="inlineStr">
        <is>
          <t>WFG Harian</t>
        </is>
      </c>
      <c r="F2312" t="inlineStr">
        <is>
          <t>05:47:56</t>
        </is>
      </c>
      <c r="G2312" t="inlineStr">
        <is>
          <t>14:29:00</t>
        </is>
      </c>
      <c r="H2312" t="inlineStr">
        <is>
          <t>SELESAI</t>
        </is>
      </c>
      <c r="I2312" t="inlineStr">
        <is>
          <t>MK00184</t>
        </is>
      </c>
      <c r="J2312" t="inlineStr"/>
    </row>
    <row r="2313">
      <c r="A2313" t="inlineStr">
        <is>
          <t>26/07/2026</t>
        </is>
      </c>
      <c r="B2313" t="inlineStr">
        <is>
          <t>528000267</t>
        </is>
      </c>
      <c r="C2313" t="inlineStr">
        <is>
          <t>Bagas Patulloh</t>
        </is>
      </c>
      <c r="D2313" t="inlineStr">
        <is>
          <t>LOG</t>
        </is>
      </c>
      <c r="E2313" t="inlineStr">
        <is>
          <t>WRM Harian</t>
        </is>
      </c>
      <c r="F2313" t="inlineStr">
        <is>
          <t>16:03:18</t>
        </is>
      </c>
      <c r="G2313" t="inlineStr">
        <is>
          <t>00:02:41</t>
        </is>
      </c>
      <c r="H2313" t="inlineStr">
        <is>
          <t>SELESAI</t>
        </is>
      </c>
      <c r="I2313" t="inlineStr">
        <is>
          <t>MK00093</t>
        </is>
      </c>
      <c r="J2313" t="inlineStr"/>
    </row>
    <row r="2314">
      <c r="A2314" t="inlineStr">
        <is>
          <t>26/07/2026</t>
        </is>
      </c>
      <c r="B2314" t="inlineStr">
        <is>
          <t>528000273</t>
        </is>
      </c>
      <c r="C2314" t="inlineStr">
        <is>
          <t>Asep Mulyana</t>
        </is>
      </c>
      <c r="D2314" t="inlineStr">
        <is>
          <t>PROD</t>
        </is>
      </c>
      <c r="E2314" t="inlineStr">
        <is>
          <t>Produksi Harian</t>
        </is>
      </c>
      <c r="F2314" t="inlineStr">
        <is>
          <t>21:53:36</t>
        </is>
      </c>
      <c r="G2314" t="inlineStr">
        <is>
          <t>06:05:39</t>
        </is>
      </c>
      <c r="H2314" t="inlineStr">
        <is>
          <t>SELESAI</t>
        </is>
      </c>
      <c r="I2314" t="inlineStr">
        <is>
          <t>MK00109</t>
        </is>
      </c>
      <c r="J2314" t="inlineStr"/>
    </row>
    <row r="2315">
      <c r="A2315" t="inlineStr">
        <is>
          <t>26/07/2026</t>
        </is>
      </c>
      <c r="B2315" t="inlineStr">
        <is>
          <t>528000274</t>
        </is>
      </c>
      <c r="C2315" t="inlineStr">
        <is>
          <t>Zepri</t>
        </is>
      </c>
      <c r="D2315" t="inlineStr">
        <is>
          <t>PROD</t>
        </is>
      </c>
      <c r="E2315" t="inlineStr">
        <is>
          <t>Produksi Harian</t>
        </is>
      </c>
      <c r="F2315" t="inlineStr">
        <is>
          <t>21:57:04</t>
        </is>
      </c>
      <c r="G2315" t="inlineStr">
        <is>
          <t>06:03:54</t>
        </is>
      </c>
      <c r="H2315" t="inlineStr">
        <is>
          <t>SELESAI</t>
        </is>
      </c>
      <c r="I2315" t="inlineStr">
        <is>
          <t>MK00210</t>
        </is>
      </c>
      <c r="J2315" t="inlineStr"/>
    </row>
    <row r="2316">
      <c r="A2316" t="inlineStr">
        <is>
          <t>26/07/2026</t>
        </is>
      </c>
      <c r="B2316" t="inlineStr">
        <is>
          <t>528000279</t>
        </is>
      </c>
      <c r="C2316" t="inlineStr">
        <is>
          <t>Mahdalena Dalfa Riani</t>
        </is>
      </c>
      <c r="D2316" t="inlineStr">
        <is>
          <t>PROD</t>
        </is>
      </c>
      <c r="E2316" t="inlineStr">
        <is>
          <t>Produksi Harian</t>
        </is>
      </c>
      <c r="F2316" t="inlineStr">
        <is>
          <t>13:52:39</t>
        </is>
      </c>
      <c r="G2316" t="inlineStr">
        <is>
          <t>22:06:54</t>
        </is>
      </c>
      <c r="H2316" t="inlineStr">
        <is>
          <t>SELESAI</t>
        </is>
      </c>
      <c r="I2316" t="inlineStr">
        <is>
          <t>MK00213</t>
        </is>
      </c>
      <c r="J2316" t="inlineStr"/>
    </row>
    <row r="2317">
      <c r="A2317" t="inlineStr">
        <is>
          <t>26/07/2026</t>
        </is>
      </c>
      <c r="B2317" t="inlineStr">
        <is>
          <t>528000282</t>
        </is>
      </c>
      <c r="C2317" t="inlineStr">
        <is>
          <t>Defa Desfiana</t>
        </is>
      </c>
      <c r="D2317" t="inlineStr">
        <is>
          <t>PROD</t>
        </is>
      </c>
      <c r="E2317" t="inlineStr">
        <is>
          <t>Produksi Harian</t>
        </is>
      </c>
      <c r="F2317" t="inlineStr">
        <is>
          <t>07:46:35</t>
        </is>
      </c>
      <c r="G2317" t="inlineStr">
        <is>
          <t>16:13:19</t>
        </is>
      </c>
      <c r="H2317" t="inlineStr">
        <is>
          <t>SELESAI</t>
        </is>
      </c>
      <c r="I2317" t="inlineStr">
        <is>
          <t>MK00181</t>
        </is>
      </c>
      <c r="J2317" t="inlineStr">
        <is>
          <t>32c</t>
        </is>
      </c>
    </row>
    <row r="2318">
      <c r="A2318" t="inlineStr">
        <is>
          <t>26/07/2026</t>
        </is>
      </c>
      <c r="B2318" t="inlineStr">
        <is>
          <t>528000283</t>
        </is>
      </c>
      <c r="C2318" t="inlineStr">
        <is>
          <t>Purwanda Sugiri</t>
        </is>
      </c>
      <c r="D2318" t="inlineStr">
        <is>
          <t>LOG</t>
        </is>
      </c>
      <c r="E2318" t="inlineStr">
        <is>
          <t>WRM Harian</t>
        </is>
      </c>
      <c r="F2318" t="inlineStr">
        <is>
          <t>05:50:31</t>
        </is>
      </c>
      <c r="G2318" t="inlineStr"/>
      <c r="H2318" t="inlineStr">
        <is>
          <t>DI DALAM</t>
        </is>
      </c>
      <c r="I2318" t="inlineStr">
        <is>
          <t>MK00095</t>
        </is>
      </c>
      <c r="J2318" t="inlineStr"/>
    </row>
    <row r="2319">
      <c r="A2319" t="inlineStr">
        <is>
          <t>26/07/2026</t>
        </is>
      </c>
      <c r="B2319" t="inlineStr">
        <is>
          <t>528000286</t>
        </is>
      </c>
      <c r="C2319" t="inlineStr">
        <is>
          <t>Imelda Amelia</t>
        </is>
      </c>
      <c r="D2319" t="inlineStr">
        <is>
          <t>PROD</t>
        </is>
      </c>
      <c r="E2319" t="inlineStr">
        <is>
          <t>Produksi Harian</t>
        </is>
      </c>
      <c r="F2319" t="inlineStr">
        <is>
          <t>21:49:06</t>
        </is>
      </c>
      <c r="G2319" t="inlineStr">
        <is>
          <t>06:08:08</t>
        </is>
      </c>
      <c r="H2319" t="inlineStr">
        <is>
          <t>SELESAI</t>
        </is>
      </c>
      <c r="I2319" t="inlineStr">
        <is>
          <t>MK00208</t>
        </is>
      </c>
      <c r="J2319" t="inlineStr"/>
    </row>
    <row r="2320">
      <c r="A2320" t="inlineStr">
        <is>
          <t>26/07/2026</t>
        </is>
      </c>
      <c r="B2320" t="inlineStr">
        <is>
          <t>528000289</t>
        </is>
      </c>
      <c r="C2320" t="inlineStr">
        <is>
          <t>Adit Supriyadi</t>
        </is>
      </c>
      <c r="D2320" t="inlineStr">
        <is>
          <t>PROD</t>
        </is>
      </c>
      <c r="E2320" t="inlineStr">
        <is>
          <t>Produksi Harian</t>
        </is>
      </c>
      <c r="F2320" t="inlineStr">
        <is>
          <t>21:25:07</t>
        </is>
      </c>
      <c r="G2320" t="inlineStr">
        <is>
          <t>07:36:23</t>
        </is>
      </c>
      <c r="H2320" t="inlineStr">
        <is>
          <t>SELESAI</t>
        </is>
      </c>
      <c r="I2320" t="inlineStr">
        <is>
          <t>MK00154</t>
        </is>
      </c>
      <c r="J2320" t="inlineStr"/>
    </row>
    <row r="2321">
      <c r="A2321" t="inlineStr">
        <is>
          <t>26/07/2026</t>
        </is>
      </c>
      <c r="B2321" t="inlineStr">
        <is>
          <t>528000290</t>
        </is>
      </c>
      <c r="C2321" t="inlineStr">
        <is>
          <t>Eval Pranata</t>
        </is>
      </c>
      <c r="D2321" t="inlineStr">
        <is>
          <t>PROD</t>
        </is>
      </c>
      <c r="E2321" t="inlineStr">
        <is>
          <t>Produksi Harian</t>
        </is>
      </c>
      <c r="F2321" t="inlineStr">
        <is>
          <t>21:57:25</t>
        </is>
      </c>
      <c r="G2321" t="inlineStr">
        <is>
          <t>06:04:17</t>
        </is>
      </c>
      <c r="H2321" t="inlineStr">
        <is>
          <t>SELESAI</t>
        </is>
      </c>
      <c r="I2321" t="inlineStr">
        <is>
          <t>MK00249</t>
        </is>
      </c>
      <c r="J2321" t="inlineStr"/>
    </row>
    <row r="2322">
      <c r="A2322" t="inlineStr">
        <is>
          <t>26/07/2026</t>
        </is>
      </c>
      <c r="B2322" t="inlineStr">
        <is>
          <t>528000291</t>
        </is>
      </c>
      <c r="C2322" t="inlineStr">
        <is>
          <t>Andrian</t>
        </is>
      </c>
      <c r="D2322" t="inlineStr">
        <is>
          <t>PROD</t>
        </is>
      </c>
      <c r="E2322" t="inlineStr">
        <is>
          <t>Produksi Harian</t>
        </is>
      </c>
      <c r="F2322" t="inlineStr">
        <is>
          <t>05:52:19</t>
        </is>
      </c>
      <c r="G2322" t="inlineStr">
        <is>
          <t>14:00:22</t>
        </is>
      </c>
      <c r="H2322" t="inlineStr">
        <is>
          <t>SELESAI</t>
        </is>
      </c>
      <c r="I2322" t="inlineStr">
        <is>
          <t>MK00230</t>
        </is>
      </c>
      <c r="J2322" t="inlineStr"/>
    </row>
    <row r="2323">
      <c r="A2323" t="inlineStr">
        <is>
          <t>26/07/2026</t>
        </is>
      </c>
      <c r="B2323" t="inlineStr">
        <is>
          <t>528000296</t>
        </is>
      </c>
      <c r="C2323" t="inlineStr">
        <is>
          <t>Nurdin</t>
        </is>
      </c>
      <c r="D2323" t="inlineStr">
        <is>
          <t>PROD</t>
        </is>
      </c>
      <c r="E2323" t="inlineStr">
        <is>
          <t>Produksi Harian</t>
        </is>
      </c>
      <c r="F2323" t="inlineStr">
        <is>
          <t>08:54:50</t>
        </is>
      </c>
      <c r="G2323" t="inlineStr">
        <is>
          <t>17:03:16</t>
        </is>
      </c>
      <c r="H2323" t="inlineStr">
        <is>
          <t>SELESAI</t>
        </is>
      </c>
      <c r="I2323" t="inlineStr">
        <is>
          <t>MK00082</t>
        </is>
      </c>
      <c r="J2323" t="inlineStr"/>
    </row>
    <row r="2324">
      <c r="A2324" t="inlineStr">
        <is>
          <t>26/07/2026</t>
        </is>
      </c>
      <c r="B2324" t="inlineStr">
        <is>
          <t>528000297</t>
        </is>
      </c>
      <c r="C2324" t="inlineStr">
        <is>
          <t>Muhamad Budiana</t>
        </is>
      </c>
      <c r="D2324" t="inlineStr">
        <is>
          <t>PROD</t>
        </is>
      </c>
      <c r="E2324" t="inlineStr">
        <is>
          <t>Produksi Harian</t>
        </is>
      </c>
      <c r="F2324" t="inlineStr">
        <is>
          <t>13:46:36</t>
        </is>
      </c>
      <c r="G2324" t="inlineStr">
        <is>
          <t>23:28:24</t>
        </is>
      </c>
      <c r="H2324" t="inlineStr">
        <is>
          <t>SELESAI</t>
        </is>
      </c>
      <c r="I2324" t="inlineStr">
        <is>
          <t>MK00217</t>
        </is>
      </c>
      <c r="J2324" t="inlineStr"/>
    </row>
    <row r="2325">
      <c r="A2325" t="inlineStr">
        <is>
          <t>26/07/2026</t>
        </is>
      </c>
      <c r="B2325" t="inlineStr">
        <is>
          <t>528000298</t>
        </is>
      </c>
      <c r="C2325" t="inlineStr">
        <is>
          <t>Desta Cahaya Pratama</t>
        </is>
      </c>
      <c r="D2325" t="inlineStr">
        <is>
          <t>PROD</t>
        </is>
      </c>
      <c r="E2325" t="inlineStr">
        <is>
          <t>Produksi Harian</t>
        </is>
      </c>
      <c r="F2325" t="inlineStr"/>
      <c r="G2325" t="inlineStr">
        <is>
          <t>10:09:01</t>
        </is>
      </c>
      <c r="H2325" t="inlineStr">
        <is>
          <t>KELUAR TANPA MASUK</t>
        </is>
      </c>
      <c r="I2325" t="inlineStr">
        <is>
          <t>MK00085</t>
        </is>
      </c>
      <c r="J2325" t="inlineStr"/>
    </row>
    <row r="2326">
      <c r="A2326" t="inlineStr">
        <is>
          <t>26/07/2026</t>
        </is>
      </c>
      <c r="B2326" t="inlineStr">
        <is>
          <t>528000300</t>
        </is>
      </c>
      <c r="C2326" t="inlineStr">
        <is>
          <t>Lia pitaloka</t>
        </is>
      </c>
      <c r="D2326" t="inlineStr">
        <is>
          <t>PROD</t>
        </is>
      </c>
      <c r="E2326" t="inlineStr">
        <is>
          <t>Produksi Harian</t>
        </is>
      </c>
      <c r="F2326" t="inlineStr">
        <is>
          <t>13:51:16</t>
        </is>
      </c>
      <c r="G2326" t="inlineStr">
        <is>
          <t>22:06:05</t>
        </is>
      </c>
      <c r="H2326" t="inlineStr">
        <is>
          <t>SELESAI</t>
        </is>
      </c>
      <c r="I2326" t="inlineStr">
        <is>
          <t>MK00154</t>
        </is>
      </c>
      <c r="J2326" t="inlineStr"/>
    </row>
    <row r="2327">
      <c r="A2327" t="inlineStr">
        <is>
          <t>26/07/2026</t>
        </is>
      </c>
      <c r="B2327" t="inlineStr">
        <is>
          <t>528000306</t>
        </is>
      </c>
      <c r="C2327" t="inlineStr">
        <is>
          <t>Windy Olivia</t>
        </is>
      </c>
      <c r="D2327" t="inlineStr">
        <is>
          <t>PROD</t>
        </is>
      </c>
      <c r="E2327" t="inlineStr">
        <is>
          <t>Produksi Harian</t>
        </is>
      </c>
      <c r="F2327" t="inlineStr">
        <is>
          <t>05:44:06</t>
        </is>
      </c>
      <c r="G2327" t="inlineStr">
        <is>
          <t>14:01:39</t>
        </is>
      </c>
      <c r="H2327" t="inlineStr">
        <is>
          <t>SELESAI</t>
        </is>
      </c>
      <c r="I2327" t="inlineStr">
        <is>
          <t>MK00090</t>
        </is>
      </c>
      <c r="J2327" t="inlineStr"/>
    </row>
    <row r="2328">
      <c r="A2328" t="inlineStr">
        <is>
          <t>26/07/2026</t>
        </is>
      </c>
      <c r="B2328" t="inlineStr">
        <is>
          <t>528000310</t>
        </is>
      </c>
      <c r="C2328" t="inlineStr">
        <is>
          <t>Fachrul Rozzi Suryana</t>
        </is>
      </c>
      <c r="D2328" t="inlineStr">
        <is>
          <t>LOG</t>
        </is>
      </c>
      <c r="E2328" t="inlineStr">
        <is>
          <t>WRM Harian</t>
        </is>
      </c>
      <c r="F2328" t="inlineStr">
        <is>
          <t>07:50:57</t>
        </is>
      </c>
      <c r="G2328" t="inlineStr">
        <is>
          <t>16:00:47</t>
        </is>
      </c>
      <c r="H2328" t="inlineStr">
        <is>
          <t>SELESAI</t>
        </is>
      </c>
      <c r="I2328" t="inlineStr">
        <is>
          <t>MK00208</t>
        </is>
      </c>
      <c r="J2328" t="inlineStr">
        <is>
          <t>33E</t>
        </is>
      </c>
    </row>
    <row r="2329">
      <c r="A2329" t="inlineStr">
        <is>
          <t>26/07/2026</t>
        </is>
      </c>
      <c r="B2329" t="inlineStr">
        <is>
          <t>528000323</t>
        </is>
      </c>
      <c r="C2329" t="inlineStr">
        <is>
          <t>Dian Hamidah</t>
        </is>
      </c>
      <c r="D2329" t="inlineStr">
        <is>
          <t>PROD</t>
        </is>
      </c>
      <c r="E2329" t="inlineStr">
        <is>
          <t>Produksi Harian</t>
        </is>
      </c>
      <c r="F2329" t="inlineStr">
        <is>
          <t>13:42:02</t>
        </is>
      </c>
      <c r="G2329" t="inlineStr">
        <is>
          <t>22:08:46</t>
        </is>
      </c>
      <c r="H2329" t="inlineStr">
        <is>
          <t>SELESAI</t>
        </is>
      </c>
      <c r="I2329" t="inlineStr">
        <is>
          <t>MK00218</t>
        </is>
      </c>
      <c r="J2329" t="inlineStr"/>
    </row>
    <row r="2330">
      <c r="A2330" t="inlineStr">
        <is>
          <t>26/07/2026</t>
        </is>
      </c>
      <c r="B2330" t="inlineStr">
        <is>
          <t>528000324</t>
        </is>
      </c>
      <c r="C2330" t="inlineStr">
        <is>
          <t>Sri Yanti</t>
        </is>
      </c>
      <c r="D2330" t="inlineStr">
        <is>
          <t>PROD</t>
        </is>
      </c>
      <c r="E2330" t="inlineStr">
        <is>
          <t>Produksi Harian</t>
        </is>
      </c>
      <c r="F2330" t="inlineStr">
        <is>
          <t>13:18:19</t>
        </is>
      </c>
      <c r="G2330" t="inlineStr">
        <is>
          <t>22:04:56</t>
        </is>
      </c>
      <c r="H2330" t="inlineStr">
        <is>
          <t>SELESAI</t>
        </is>
      </c>
      <c r="I2330" t="inlineStr">
        <is>
          <t>MK00160</t>
        </is>
      </c>
      <c r="J2330" t="inlineStr"/>
    </row>
    <row r="2331">
      <c r="A2331" t="inlineStr">
        <is>
          <t>26/07/2026</t>
        </is>
      </c>
      <c r="B2331" t="inlineStr">
        <is>
          <t>528000325</t>
        </is>
      </c>
      <c r="C2331" t="inlineStr">
        <is>
          <t>Rani Septia Ramadani</t>
        </is>
      </c>
      <c r="D2331" t="inlineStr">
        <is>
          <t>PROD</t>
        </is>
      </c>
      <c r="E2331" t="inlineStr">
        <is>
          <t>Produksi Harian</t>
        </is>
      </c>
      <c r="F2331" t="inlineStr"/>
      <c r="G2331" t="inlineStr">
        <is>
          <t>08:00:22</t>
        </is>
      </c>
      <c r="H2331" t="inlineStr">
        <is>
          <t>KELUAR TANPA MASUK</t>
        </is>
      </c>
      <c r="I2331" t="inlineStr">
        <is>
          <t>MK00209</t>
        </is>
      </c>
      <c r="J2331" t="inlineStr"/>
    </row>
    <row r="2332">
      <c r="A2332" t="inlineStr">
        <is>
          <t>26/07/2026</t>
        </is>
      </c>
      <c r="B2332" t="inlineStr">
        <is>
          <t>528000335</t>
        </is>
      </c>
      <c r="C2332" t="inlineStr">
        <is>
          <t>Rizal Saepuloh</t>
        </is>
      </c>
      <c r="D2332" t="inlineStr">
        <is>
          <t>LOG</t>
        </is>
      </c>
      <c r="E2332" t="inlineStr">
        <is>
          <t>WRM Harian</t>
        </is>
      </c>
      <c r="F2332" t="inlineStr">
        <is>
          <t>07:55:32</t>
        </is>
      </c>
      <c r="G2332" t="inlineStr">
        <is>
          <t>16:00:14</t>
        </is>
      </c>
      <c r="H2332" t="inlineStr">
        <is>
          <t>SELESAI</t>
        </is>
      </c>
      <c r="I2332" t="inlineStr">
        <is>
          <t>MK00204</t>
        </is>
      </c>
      <c r="J2332" t="inlineStr"/>
    </row>
    <row r="2333">
      <c r="A2333" t="inlineStr">
        <is>
          <t>26/07/2026</t>
        </is>
      </c>
      <c r="B2333" t="inlineStr">
        <is>
          <t>528000337</t>
        </is>
      </c>
      <c r="C2333" t="inlineStr">
        <is>
          <t>Ahmad Zaldi Firdaus</t>
        </is>
      </c>
      <c r="D2333" t="inlineStr">
        <is>
          <t>PROD</t>
        </is>
      </c>
      <c r="E2333" t="inlineStr">
        <is>
          <t>Produksi Harian</t>
        </is>
      </c>
      <c r="F2333" t="inlineStr">
        <is>
          <t>05:42:15</t>
        </is>
      </c>
      <c r="G2333" t="inlineStr">
        <is>
          <t>14:04:40</t>
        </is>
      </c>
      <c r="H2333" t="inlineStr">
        <is>
          <t>SELESAI</t>
        </is>
      </c>
      <c r="I2333" t="inlineStr">
        <is>
          <t>MK00210</t>
        </is>
      </c>
      <c r="J2333" t="inlineStr"/>
    </row>
    <row r="2334">
      <c r="A2334" t="inlineStr">
        <is>
          <t>26/07/2026</t>
        </is>
      </c>
      <c r="B2334" t="inlineStr">
        <is>
          <t>528000339</t>
        </is>
      </c>
      <c r="C2334" t="inlineStr">
        <is>
          <t>Muhamad Ripai'i</t>
        </is>
      </c>
      <c r="D2334" t="inlineStr">
        <is>
          <t>HRGA</t>
        </is>
      </c>
      <c r="E2334" t="inlineStr">
        <is>
          <t>GA Harian</t>
        </is>
      </c>
      <c r="F2334" t="inlineStr">
        <is>
          <t>21:11:19</t>
        </is>
      </c>
      <c r="G2334" t="inlineStr">
        <is>
          <t>06:08:34</t>
        </is>
      </c>
      <c r="H2334" t="inlineStr">
        <is>
          <t>SELESAI</t>
        </is>
      </c>
      <c r="I2334" t="inlineStr">
        <is>
          <t>MK00202</t>
        </is>
      </c>
      <c r="J2334" t="inlineStr"/>
    </row>
    <row r="2335">
      <c r="A2335" t="inlineStr">
        <is>
          <t>26/07/2026</t>
        </is>
      </c>
      <c r="B2335" t="inlineStr">
        <is>
          <t>528000340</t>
        </is>
      </c>
      <c r="C2335" t="inlineStr">
        <is>
          <t>Muhammad Wildan Adithya</t>
        </is>
      </c>
      <c r="D2335" t="inlineStr">
        <is>
          <t>PROD</t>
        </is>
      </c>
      <c r="E2335" t="inlineStr">
        <is>
          <t>Produksi Harian</t>
        </is>
      </c>
      <c r="F2335" t="inlineStr">
        <is>
          <t>07:30:57</t>
        </is>
      </c>
      <c r="G2335" t="inlineStr">
        <is>
          <t>14:03:48</t>
        </is>
      </c>
      <c r="H2335" t="inlineStr">
        <is>
          <t>SELESAI</t>
        </is>
      </c>
      <c r="I2335" t="inlineStr">
        <is>
          <t>MK00249</t>
        </is>
      </c>
      <c r="J2335" t="inlineStr"/>
    </row>
    <row r="2336">
      <c r="A2336" t="inlineStr">
        <is>
          <t>26/07/2026</t>
        </is>
      </c>
      <c r="B2336" t="inlineStr">
        <is>
          <t>528000348</t>
        </is>
      </c>
      <c r="C2336" t="inlineStr">
        <is>
          <t>Saepuloh Ardiansah</t>
        </is>
      </c>
      <c r="D2336" t="inlineStr">
        <is>
          <t>LOG</t>
        </is>
      </c>
      <c r="E2336" t="inlineStr">
        <is>
          <t>WRM Harian</t>
        </is>
      </c>
      <c r="F2336" t="inlineStr">
        <is>
          <t>08:54:37</t>
        </is>
      </c>
      <c r="G2336" t="inlineStr">
        <is>
          <t>17:15:18</t>
        </is>
      </c>
      <c r="H2336" t="inlineStr">
        <is>
          <t>SELESAI</t>
        </is>
      </c>
      <c r="I2336" t="inlineStr">
        <is>
          <t>MK00205</t>
        </is>
      </c>
      <c r="J2336" t="inlineStr"/>
    </row>
    <row r="2337">
      <c r="A2337" t="inlineStr">
        <is>
          <t>26/07/2026</t>
        </is>
      </c>
      <c r="B2337" t="inlineStr">
        <is>
          <t>528000351</t>
        </is>
      </c>
      <c r="C2337" t="inlineStr">
        <is>
          <t>Mulyana</t>
        </is>
      </c>
      <c r="D2337" t="inlineStr">
        <is>
          <t>PROD</t>
        </is>
      </c>
      <c r="E2337" t="inlineStr">
        <is>
          <t>Produksi Harian</t>
        </is>
      </c>
      <c r="F2337" t="inlineStr">
        <is>
          <t>07:53:22</t>
        </is>
      </c>
      <c r="G2337" t="inlineStr">
        <is>
          <t>16:00:52</t>
        </is>
      </c>
      <c r="H2337" t="inlineStr">
        <is>
          <t>SELESAI</t>
        </is>
      </c>
      <c r="I2337" t="inlineStr">
        <is>
          <t>MK00112</t>
        </is>
      </c>
      <c r="J2337" t="inlineStr"/>
    </row>
    <row r="2338">
      <c r="A2338" t="inlineStr">
        <is>
          <t>26/07/2026</t>
        </is>
      </c>
      <c r="B2338" t="inlineStr">
        <is>
          <t>528000358</t>
        </is>
      </c>
      <c r="C2338" t="inlineStr">
        <is>
          <t>Lulu Agustin</t>
        </is>
      </c>
      <c r="D2338" t="inlineStr">
        <is>
          <t>PROD</t>
        </is>
      </c>
      <c r="E2338" t="inlineStr">
        <is>
          <t>Produksi Harian</t>
        </is>
      </c>
      <c r="F2338" t="inlineStr">
        <is>
          <t>05:51:53</t>
        </is>
      </c>
      <c r="G2338" t="inlineStr">
        <is>
          <t>14:00:49</t>
        </is>
      </c>
      <c r="H2338" t="inlineStr">
        <is>
          <t>SELESAI</t>
        </is>
      </c>
      <c r="I2338" t="inlineStr">
        <is>
          <t>MK00192</t>
        </is>
      </c>
      <c r="J2338" t="inlineStr"/>
    </row>
    <row r="2339">
      <c r="A2339" t="inlineStr">
        <is>
          <t>26/07/2026</t>
        </is>
      </c>
      <c r="B2339" t="inlineStr">
        <is>
          <t>528000360</t>
        </is>
      </c>
      <c r="C2339" t="inlineStr">
        <is>
          <t>Hendra Permana</t>
        </is>
      </c>
      <c r="D2339" t="inlineStr">
        <is>
          <t>ENG</t>
        </is>
      </c>
      <c r="E2339" t="inlineStr">
        <is>
          <t>Engineering Harian</t>
        </is>
      </c>
      <c r="F2339" t="inlineStr">
        <is>
          <t>05:55:12</t>
        </is>
      </c>
      <c r="G2339" t="inlineStr">
        <is>
          <t>14:00:12</t>
        </is>
      </c>
      <c r="H2339" t="inlineStr">
        <is>
          <t>SELESAI</t>
        </is>
      </c>
      <c r="I2339" t="inlineStr">
        <is>
          <t>MK00220</t>
        </is>
      </c>
      <c r="J2339" t="inlineStr"/>
    </row>
    <row r="2340">
      <c r="A2340" t="inlineStr">
        <is>
          <t>26/07/2026</t>
        </is>
      </c>
      <c r="B2340" t="inlineStr">
        <is>
          <t>628000064</t>
        </is>
      </c>
      <c r="C2340" t="inlineStr">
        <is>
          <t>Silva Alypia</t>
        </is>
      </c>
      <c r="D2340" t="inlineStr">
        <is>
          <t>PROD</t>
        </is>
      </c>
      <c r="E2340" t="inlineStr">
        <is>
          <t>Produksi Borongan</t>
        </is>
      </c>
      <c r="F2340" t="inlineStr">
        <is>
          <t>13:44:50</t>
        </is>
      </c>
      <c r="G2340" t="inlineStr">
        <is>
          <t>22:06:11</t>
        </is>
      </c>
      <c r="H2340" t="inlineStr">
        <is>
          <t>SELESAI</t>
        </is>
      </c>
      <c r="I2340" t="inlineStr">
        <is>
          <t>MK00121</t>
        </is>
      </c>
      <c r="J2340" t="inlineStr"/>
    </row>
    <row r="2341">
      <c r="A2341" t="inlineStr">
        <is>
          <t>27/07/2026</t>
        </is>
      </c>
      <c r="B2341" t="inlineStr">
        <is>
          <t>528000015</t>
        </is>
      </c>
      <c r="C2341" t="inlineStr">
        <is>
          <t>Erwin</t>
        </is>
      </c>
      <c r="D2341" t="inlineStr">
        <is>
          <t>LOG</t>
        </is>
      </c>
      <c r="E2341" t="inlineStr">
        <is>
          <t>WRM Harian</t>
        </is>
      </c>
      <c r="F2341" t="inlineStr">
        <is>
          <t>05:45:55</t>
        </is>
      </c>
      <c r="G2341" t="inlineStr">
        <is>
          <t>13:52:39</t>
        </is>
      </c>
      <c r="H2341" t="inlineStr">
        <is>
          <t>SELESAI</t>
        </is>
      </c>
      <c r="I2341" t="inlineStr">
        <is>
          <t>MK00088</t>
        </is>
      </c>
      <c r="J2341" t="inlineStr"/>
    </row>
    <row r="2342">
      <c r="A2342" t="inlineStr">
        <is>
          <t>27/07/2026</t>
        </is>
      </c>
      <c r="B2342" t="inlineStr">
        <is>
          <t>528000040</t>
        </is>
      </c>
      <c r="C2342" t="inlineStr">
        <is>
          <t>Agus Suryaman</t>
        </is>
      </c>
      <c r="D2342" t="inlineStr">
        <is>
          <t>PROD</t>
        </is>
      </c>
      <c r="E2342" t="inlineStr">
        <is>
          <t>Produksi Harian</t>
        </is>
      </c>
      <c r="F2342" t="inlineStr">
        <is>
          <t>08:08:45</t>
        </is>
      </c>
      <c r="G2342" t="inlineStr"/>
      <c r="H2342" t="inlineStr">
        <is>
          <t>DI DALAM</t>
        </is>
      </c>
      <c r="I2342" t="inlineStr">
        <is>
          <t>MK00141</t>
        </is>
      </c>
      <c r="J2342" t="inlineStr"/>
    </row>
    <row r="2343">
      <c r="A2343" t="inlineStr">
        <is>
          <t>27/07/2026</t>
        </is>
      </c>
      <c r="B2343" t="inlineStr">
        <is>
          <t>528000052</t>
        </is>
      </c>
      <c r="C2343" t="inlineStr">
        <is>
          <t>Mustopa</t>
        </is>
      </c>
      <c r="D2343" t="inlineStr">
        <is>
          <t>PROD</t>
        </is>
      </c>
      <c r="E2343" t="inlineStr">
        <is>
          <t>Produksi Harian</t>
        </is>
      </c>
      <c r="F2343" t="inlineStr">
        <is>
          <t>20:53:07</t>
        </is>
      </c>
      <c r="G2343" t="inlineStr">
        <is>
          <t>06:07:36</t>
        </is>
      </c>
      <c r="H2343" t="inlineStr">
        <is>
          <t>SELESAI</t>
        </is>
      </c>
      <c r="I2343" t="inlineStr">
        <is>
          <t>MK00108</t>
        </is>
      </c>
      <c r="J2343" t="inlineStr"/>
    </row>
    <row r="2344">
      <c r="A2344" t="inlineStr">
        <is>
          <t>27/07/2026</t>
        </is>
      </c>
      <c r="B2344" t="inlineStr">
        <is>
          <t>528000090</t>
        </is>
      </c>
      <c r="C2344" t="inlineStr">
        <is>
          <t>Suganda</t>
        </is>
      </c>
      <c r="D2344" t="inlineStr">
        <is>
          <t>PROD</t>
        </is>
      </c>
      <c r="E2344" t="inlineStr">
        <is>
          <t>Produksi Harian</t>
        </is>
      </c>
      <c r="F2344" t="inlineStr">
        <is>
          <t>21:59:39</t>
        </is>
      </c>
      <c r="G2344" t="inlineStr"/>
      <c r="H2344" t="inlineStr">
        <is>
          <t>DI DALAM</t>
        </is>
      </c>
      <c r="I2344" t="inlineStr">
        <is>
          <t>MK00113</t>
        </is>
      </c>
      <c r="J2344" t="inlineStr"/>
    </row>
    <row r="2345">
      <c r="A2345" t="inlineStr">
        <is>
          <t>27/07/2026</t>
        </is>
      </c>
      <c r="B2345" t="inlineStr">
        <is>
          <t>528000132</t>
        </is>
      </c>
      <c r="C2345" t="inlineStr">
        <is>
          <t>Giopani</t>
        </is>
      </c>
      <c r="D2345" t="inlineStr">
        <is>
          <t>LOG</t>
        </is>
      </c>
      <c r="E2345" t="inlineStr">
        <is>
          <t>WRM Harian</t>
        </is>
      </c>
      <c r="F2345" t="inlineStr">
        <is>
          <t>15:57:46</t>
        </is>
      </c>
      <c r="G2345" t="inlineStr">
        <is>
          <t>00:02:25</t>
        </is>
      </c>
      <c r="H2345" t="inlineStr">
        <is>
          <t>SELESAI</t>
        </is>
      </c>
      <c r="I2345" t="inlineStr">
        <is>
          <t>MK00228</t>
        </is>
      </c>
      <c r="J2345" t="inlineStr"/>
    </row>
    <row r="2346">
      <c r="A2346" t="inlineStr">
        <is>
          <t>27/07/2026</t>
        </is>
      </c>
      <c r="B2346" t="inlineStr">
        <is>
          <t>528000144</t>
        </is>
      </c>
      <c r="C2346" t="inlineStr">
        <is>
          <t>Jodi Hanafi</t>
        </is>
      </c>
      <c r="D2346" t="inlineStr">
        <is>
          <t>LOG</t>
        </is>
      </c>
      <c r="E2346" t="inlineStr">
        <is>
          <t>WRM Harian</t>
        </is>
      </c>
      <c r="F2346" t="inlineStr">
        <is>
          <t>07:53:49</t>
        </is>
      </c>
      <c r="G2346" t="inlineStr">
        <is>
          <t>18:01:23</t>
        </is>
      </c>
      <c r="H2346" t="inlineStr">
        <is>
          <t>SELESAI</t>
        </is>
      </c>
      <c r="I2346" t="inlineStr">
        <is>
          <t>MK00221</t>
        </is>
      </c>
      <c r="J2346" t="inlineStr"/>
    </row>
    <row r="2347">
      <c r="A2347" t="inlineStr">
        <is>
          <t>27/07/2026</t>
        </is>
      </c>
      <c r="B2347" t="inlineStr">
        <is>
          <t>528000149</t>
        </is>
      </c>
      <c r="C2347" t="inlineStr">
        <is>
          <t>Tio Fernanda</t>
        </is>
      </c>
      <c r="D2347" t="inlineStr">
        <is>
          <t>LOG</t>
        </is>
      </c>
      <c r="E2347" t="inlineStr">
        <is>
          <t>WRM Harian</t>
        </is>
      </c>
      <c r="F2347" t="inlineStr">
        <is>
          <t>08:49:58</t>
        </is>
      </c>
      <c r="G2347" t="inlineStr">
        <is>
          <t>08:49:47</t>
        </is>
      </c>
      <c r="H2347" t="inlineStr">
        <is>
          <t>SELESAI</t>
        </is>
      </c>
      <c r="I2347" t="inlineStr">
        <is>
          <t>MK0130</t>
        </is>
      </c>
      <c r="J2347" t="inlineStr"/>
    </row>
    <row r="2348">
      <c r="A2348" t="inlineStr">
        <is>
          <t>27/07/2026</t>
        </is>
      </c>
      <c r="B2348" t="inlineStr">
        <is>
          <t>528000201</t>
        </is>
      </c>
      <c r="C2348" t="inlineStr">
        <is>
          <t>Zahwa Amelia Choerunissa</t>
        </is>
      </c>
      <c r="D2348" t="inlineStr">
        <is>
          <t>PROD</t>
        </is>
      </c>
      <c r="E2348" t="inlineStr">
        <is>
          <t>Produksi Harian</t>
        </is>
      </c>
      <c r="F2348" t="inlineStr">
        <is>
          <t>21:46:43</t>
        </is>
      </c>
      <c r="G2348" t="inlineStr">
        <is>
          <t>06:04:48</t>
        </is>
      </c>
      <c r="H2348" t="inlineStr">
        <is>
          <t>SELESAI</t>
        </is>
      </c>
      <c r="I2348" t="inlineStr">
        <is>
          <t>MK00085</t>
        </is>
      </c>
      <c r="J2348" t="inlineStr"/>
    </row>
    <row r="2349">
      <c r="A2349" t="inlineStr">
        <is>
          <t>27/07/2026</t>
        </is>
      </c>
      <c r="B2349" t="inlineStr">
        <is>
          <t>528000232</t>
        </is>
      </c>
      <c r="C2349" t="inlineStr">
        <is>
          <t>Agung Aji Suhada</t>
        </is>
      </c>
      <c r="D2349" t="inlineStr">
        <is>
          <t>LOG</t>
        </is>
      </c>
      <c r="E2349" t="inlineStr">
        <is>
          <t>WRM Harian</t>
        </is>
      </c>
      <c r="F2349" t="inlineStr">
        <is>
          <t>08:52:35</t>
        </is>
      </c>
      <c r="G2349" t="inlineStr"/>
      <c r="H2349" t="inlineStr">
        <is>
          <t>DI DALAM</t>
        </is>
      </c>
      <c r="I2349" t="inlineStr">
        <is>
          <t>MK00150</t>
        </is>
      </c>
      <c r="J2349" t="inlineStr"/>
    </row>
    <row r="2350">
      <c r="A2350" t="inlineStr">
        <is>
          <t>27/07/2026</t>
        </is>
      </c>
      <c r="B2350" t="inlineStr">
        <is>
          <t>528000241</t>
        </is>
      </c>
      <c r="C2350" t="inlineStr">
        <is>
          <t>Balia Nurafif Bilah</t>
        </is>
      </c>
      <c r="D2350" t="inlineStr">
        <is>
          <t>PROD</t>
        </is>
      </c>
      <c r="E2350" t="inlineStr">
        <is>
          <t>Produksi Harian</t>
        </is>
      </c>
      <c r="F2350" t="inlineStr">
        <is>
          <t>21:52:56</t>
        </is>
      </c>
      <c r="G2350" t="inlineStr">
        <is>
          <t>06:04:57</t>
        </is>
      </c>
      <c r="H2350" t="inlineStr">
        <is>
          <t>SELESAI</t>
        </is>
      </c>
      <c r="I2350" t="inlineStr">
        <is>
          <t>MK00210</t>
        </is>
      </c>
      <c r="J2350" t="inlineStr"/>
    </row>
    <row r="2351">
      <c r="A2351" t="inlineStr">
        <is>
          <t>27/07/2026</t>
        </is>
      </c>
      <c r="B2351" t="inlineStr">
        <is>
          <t>528000244</t>
        </is>
      </c>
      <c r="C2351" t="inlineStr">
        <is>
          <t>Rodian Rifai</t>
        </is>
      </c>
      <c r="D2351" t="inlineStr">
        <is>
          <t>PROD</t>
        </is>
      </c>
      <c r="E2351" t="inlineStr">
        <is>
          <t>Produksi Harian</t>
        </is>
      </c>
      <c r="F2351" t="inlineStr">
        <is>
          <t>21:07:16</t>
        </is>
      </c>
      <c r="G2351" t="inlineStr">
        <is>
          <t>07:11:52</t>
        </is>
      </c>
      <c r="H2351" t="inlineStr">
        <is>
          <t>SELESAI</t>
        </is>
      </c>
      <c r="I2351" t="inlineStr">
        <is>
          <t>MK00008</t>
        </is>
      </c>
      <c r="J2351" t="inlineStr"/>
    </row>
    <row r="2352">
      <c r="A2352" t="inlineStr">
        <is>
          <t>27/07/2026</t>
        </is>
      </c>
      <c r="B2352" t="inlineStr">
        <is>
          <t>528000248</t>
        </is>
      </c>
      <c r="C2352" t="inlineStr">
        <is>
          <t>Roka Jaya Salka Mulya</t>
        </is>
      </c>
      <c r="D2352" t="inlineStr">
        <is>
          <t>PROD</t>
        </is>
      </c>
      <c r="E2352" t="inlineStr">
        <is>
          <t>Produksi Harian</t>
        </is>
      </c>
      <c r="F2352" t="inlineStr">
        <is>
          <t>13:50:24</t>
        </is>
      </c>
      <c r="G2352" t="inlineStr">
        <is>
          <t>22:02:25</t>
        </is>
      </c>
      <c r="H2352" t="inlineStr">
        <is>
          <t>SELESAI</t>
        </is>
      </c>
      <c r="I2352" t="inlineStr">
        <is>
          <t>MK00136</t>
        </is>
      </c>
      <c r="J2352" t="inlineStr"/>
    </row>
    <row r="2353">
      <c r="A2353" t="inlineStr">
        <is>
          <t>27/07/2026</t>
        </is>
      </c>
      <c r="B2353" t="inlineStr">
        <is>
          <t>528000265</t>
        </is>
      </c>
      <c r="C2353" t="inlineStr">
        <is>
          <t>Muhammad Haerul Rozikin</t>
        </is>
      </c>
      <c r="D2353" t="inlineStr">
        <is>
          <t>LOG</t>
        </is>
      </c>
      <c r="E2353" t="inlineStr">
        <is>
          <t>WRM Harian</t>
        </is>
      </c>
      <c r="F2353" t="inlineStr">
        <is>
          <t>05:55:45</t>
        </is>
      </c>
      <c r="G2353" t="inlineStr">
        <is>
          <t>14:04:02</t>
        </is>
      </c>
      <c r="H2353" t="inlineStr">
        <is>
          <t>SELESAI</t>
        </is>
      </c>
      <c r="I2353" t="inlineStr">
        <is>
          <t>MK00203</t>
        </is>
      </c>
      <c r="J2353" t="inlineStr"/>
    </row>
    <row r="2354">
      <c r="A2354" t="inlineStr">
        <is>
          <t>27/07/2026</t>
        </is>
      </c>
      <c r="B2354" t="inlineStr">
        <is>
          <t>528000267</t>
        </is>
      </c>
      <c r="C2354" t="inlineStr">
        <is>
          <t>Bagas Patulloh</t>
        </is>
      </c>
      <c r="D2354" t="inlineStr">
        <is>
          <t>LOG</t>
        </is>
      </c>
      <c r="E2354" t="inlineStr">
        <is>
          <t>WRM Harian</t>
        </is>
      </c>
      <c r="F2354" t="inlineStr">
        <is>
          <t>15:56:52</t>
        </is>
      </c>
      <c r="G2354" t="inlineStr">
        <is>
          <t>00:03:23</t>
        </is>
      </c>
      <c r="H2354" t="inlineStr">
        <is>
          <t>SELESAI</t>
        </is>
      </c>
      <c r="I2354" t="inlineStr">
        <is>
          <t>MK00093</t>
        </is>
      </c>
      <c r="J2354" t="inlineStr"/>
    </row>
    <row r="2355">
      <c r="A2355" t="inlineStr">
        <is>
          <t>27/07/2026</t>
        </is>
      </c>
      <c r="B2355" t="inlineStr">
        <is>
          <t>528000270</t>
        </is>
      </c>
      <c r="C2355" t="inlineStr">
        <is>
          <t>Febri Najmudin</t>
        </is>
      </c>
      <c r="D2355" t="inlineStr">
        <is>
          <t>LOG</t>
        </is>
      </c>
      <c r="E2355" t="inlineStr">
        <is>
          <t>WRM Harian</t>
        </is>
      </c>
      <c r="F2355" t="inlineStr">
        <is>
          <t>05:47:28</t>
        </is>
      </c>
      <c r="G2355" t="inlineStr">
        <is>
          <t>14:27:38</t>
        </is>
      </c>
      <c r="H2355" t="inlineStr">
        <is>
          <t>SELESAI</t>
        </is>
      </c>
      <c r="I2355" t="inlineStr">
        <is>
          <t>MK00090</t>
        </is>
      </c>
      <c r="J2355" t="inlineStr"/>
    </row>
    <row r="2356">
      <c r="A2356" t="inlineStr">
        <is>
          <t>27/07/2026</t>
        </is>
      </c>
      <c r="B2356" t="inlineStr">
        <is>
          <t>528000273</t>
        </is>
      </c>
      <c r="C2356" t="inlineStr">
        <is>
          <t>Asep Mulyana</t>
        </is>
      </c>
      <c r="D2356" t="inlineStr">
        <is>
          <t>PROD</t>
        </is>
      </c>
      <c r="E2356" t="inlineStr">
        <is>
          <t>Produksi Harian</t>
        </is>
      </c>
      <c r="F2356" t="inlineStr">
        <is>
          <t>21:37:26</t>
        </is>
      </c>
      <c r="G2356" t="inlineStr">
        <is>
          <t>07:44:55</t>
        </is>
      </c>
      <c r="H2356" t="inlineStr">
        <is>
          <t>SELESAI</t>
        </is>
      </c>
      <c r="I2356" t="inlineStr">
        <is>
          <t>MK00158</t>
        </is>
      </c>
      <c r="J2356" t="inlineStr"/>
    </row>
    <row r="2357">
      <c r="A2357" t="inlineStr">
        <is>
          <t>27/07/2026</t>
        </is>
      </c>
      <c r="B2357" t="inlineStr">
        <is>
          <t>528000274</t>
        </is>
      </c>
      <c r="C2357" t="inlineStr">
        <is>
          <t>Zepri</t>
        </is>
      </c>
      <c r="D2357" t="inlineStr">
        <is>
          <t>PROD</t>
        </is>
      </c>
      <c r="E2357" t="inlineStr">
        <is>
          <t>Produksi Harian</t>
        </is>
      </c>
      <c r="F2357" t="inlineStr">
        <is>
          <t>21:59:06</t>
        </is>
      </c>
      <c r="G2357" t="inlineStr"/>
      <c r="H2357" t="inlineStr">
        <is>
          <t>DI DALAM</t>
        </is>
      </c>
      <c r="I2357" t="inlineStr">
        <is>
          <t>MK00116</t>
        </is>
      </c>
      <c r="J2357" t="inlineStr"/>
    </row>
    <row r="2358">
      <c r="A2358" t="inlineStr">
        <is>
          <t>27/07/2026</t>
        </is>
      </c>
      <c r="B2358" t="inlineStr">
        <is>
          <t>528000279</t>
        </is>
      </c>
      <c r="C2358" t="inlineStr">
        <is>
          <t>Mahdalena Dalfa Riani</t>
        </is>
      </c>
      <c r="D2358" t="inlineStr">
        <is>
          <t>PROD</t>
        </is>
      </c>
      <c r="E2358" t="inlineStr">
        <is>
          <t>Produksi Harian</t>
        </is>
      </c>
      <c r="F2358" t="inlineStr">
        <is>
          <t>13:58:37</t>
        </is>
      </c>
      <c r="G2358" t="inlineStr">
        <is>
          <t>22:06:42</t>
        </is>
      </c>
      <c r="H2358" t="inlineStr">
        <is>
          <t>SELESAI</t>
        </is>
      </c>
      <c r="I2358" t="inlineStr">
        <is>
          <t>MK00230</t>
        </is>
      </c>
      <c r="J2358" t="inlineStr"/>
    </row>
    <row r="2359">
      <c r="A2359" t="inlineStr">
        <is>
          <t>27/07/2026</t>
        </is>
      </c>
      <c r="B2359" t="inlineStr">
        <is>
          <t>528000282</t>
        </is>
      </c>
      <c r="C2359" t="inlineStr">
        <is>
          <t>Defa Desfiana</t>
        </is>
      </c>
      <c r="D2359" t="inlineStr">
        <is>
          <t>PROD</t>
        </is>
      </c>
      <c r="E2359" t="inlineStr">
        <is>
          <t>Produksi Harian</t>
        </is>
      </c>
      <c r="F2359" t="inlineStr">
        <is>
          <t>05:46:54</t>
        </is>
      </c>
      <c r="G2359" t="inlineStr">
        <is>
          <t>14:00:59</t>
        </is>
      </c>
      <c r="H2359" t="inlineStr">
        <is>
          <t>SELESAI</t>
        </is>
      </c>
      <c r="I2359" t="inlineStr">
        <is>
          <t>MK00192</t>
        </is>
      </c>
      <c r="J2359" t="inlineStr">
        <is>
          <t>3a</t>
        </is>
      </c>
    </row>
    <row r="2360">
      <c r="A2360" t="inlineStr">
        <is>
          <t>27/07/2026</t>
        </is>
      </c>
      <c r="B2360" t="inlineStr">
        <is>
          <t>528000286</t>
        </is>
      </c>
      <c r="C2360" t="inlineStr">
        <is>
          <t>Imelda Amelia</t>
        </is>
      </c>
      <c r="D2360" t="inlineStr">
        <is>
          <t>PROD</t>
        </is>
      </c>
      <c r="E2360" t="inlineStr">
        <is>
          <t>Produksi Harian</t>
        </is>
      </c>
      <c r="F2360" t="inlineStr">
        <is>
          <t>21:43:28</t>
        </is>
      </c>
      <c r="G2360" t="inlineStr">
        <is>
          <t>06:05:55</t>
        </is>
      </c>
      <c r="H2360" t="inlineStr">
        <is>
          <t>SELESAI</t>
        </is>
      </c>
      <c r="I2360" t="inlineStr">
        <is>
          <t>MK00230</t>
        </is>
      </c>
      <c r="J2360" t="inlineStr"/>
    </row>
    <row r="2361">
      <c r="A2361" t="inlineStr">
        <is>
          <t>27/07/2026</t>
        </is>
      </c>
      <c r="B2361" t="inlineStr">
        <is>
          <t>528000289</t>
        </is>
      </c>
      <c r="C2361" t="inlineStr">
        <is>
          <t>Adit Supriyadi</t>
        </is>
      </c>
      <c r="D2361" t="inlineStr">
        <is>
          <t>PROD</t>
        </is>
      </c>
      <c r="E2361" t="inlineStr">
        <is>
          <t>Produksi Harian</t>
        </is>
      </c>
      <c r="F2361" t="inlineStr">
        <is>
          <t>21:22:15</t>
        </is>
      </c>
      <c r="G2361" t="inlineStr">
        <is>
          <t>06:10:15</t>
        </is>
      </c>
      <c r="H2361" t="inlineStr">
        <is>
          <t>SELESAI</t>
        </is>
      </c>
      <c r="I2361" t="inlineStr">
        <is>
          <t>MK00249</t>
        </is>
      </c>
      <c r="J2361" t="inlineStr"/>
    </row>
    <row r="2362">
      <c r="A2362" t="inlineStr">
        <is>
          <t>27/07/2026</t>
        </is>
      </c>
      <c r="B2362" t="inlineStr">
        <is>
          <t>528000290</t>
        </is>
      </c>
      <c r="C2362" t="inlineStr">
        <is>
          <t>Eval Pranata</t>
        </is>
      </c>
      <c r="D2362" t="inlineStr">
        <is>
          <t>PROD</t>
        </is>
      </c>
      <c r="E2362" t="inlineStr">
        <is>
          <t>Produksi Harian</t>
        </is>
      </c>
      <c r="F2362" t="inlineStr">
        <is>
          <t>21:58:43</t>
        </is>
      </c>
      <c r="G2362" t="inlineStr">
        <is>
          <t>06:28:57</t>
        </is>
      </c>
      <c r="H2362" t="inlineStr">
        <is>
          <t>SELESAI</t>
        </is>
      </c>
      <c r="I2362" t="inlineStr">
        <is>
          <t>MK00217</t>
        </is>
      </c>
      <c r="J2362" t="inlineStr"/>
    </row>
    <row r="2363">
      <c r="A2363" t="inlineStr">
        <is>
          <t>27/07/2026</t>
        </is>
      </c>
      <c r="B2363" t="inlineStr">
        <is>
          <t>528000297</t>
        </is>
      </c>
      <c r="C2363" t="inlineStr">
        <is>
          <t>Muhamad Budiana</t>
        </is>
      </c>
      <c r="D2363" t="inlineStr">
        <is>
          <t>PROD</t>
        </is>
      </c>
      <c r="E2363" t="inlineStr">
        <is>
          <t>Produksi Harian</t>
        </is>
      </c>
      <c r="F2363" t="inlineStr">
        <is>
          <t>13:53:05</t>
        </is>
      </c>
      <c r="G2363" t="inlineStr">
        <is>
          <t>22:51:05</t>
        </is>
      </c>
      <c r="H2363" t="inlineStr">
        <is>
          <t>SELESAI</t>
        </is>
      </c>
      <c r="I2363" t="inlineStr">
        <is>
          <t>MK00235</t>
        </is>
      </c>
      <c r="J2363" t="inlineStr"/>
    </row>
    <row r="2364">
      <c r="A2364" t="inlineStr">
        <is>
          <t>27/07/2026</t>
        </is>
      </c>
      <c r="B2364" t="inlineStr">
        <is>
          <t>528000298</t>
        </is>
      </c>
      <c r="C2364" t="inlineStr">
        <is>
          <t>Desta Cahaya Pratama</t>
        </is>
      </c>
      <c r="D2364" t="inlineStr">
        <is>
          <t>PROD</t>
        </is>
      </c>
      <c r="E2364" t="inlineStr">
        <is>
          <t>Produksi Harian</t>
        </is>
      </c>
      <c r="F2364" t="inlineStr">
        <is>
          <t>05:48:34</t>
        </is>
      </c>
      <c r="G2364" t="inlineStr">
        <is>
          <t>14:04:12</t>
        </is>
      </c>
      <c r="H2364" t="inlineStr">
        <is>
          <t>SELESAI</t>
        </is>
      </c>
      <c r="I2364" t="inlineStr">
        <is>
          <t>MK00108</t>
        </is>
      </c>
      <c r="J2364" t="inlineStr"/>
    </row>
    <row r="2365">
      <c r="A2365" t="inlineStr">
        <is>
          <t>27/07/2026</t>
        </is>
      </c>
      <c r="B2365" t="inlineStr">
        <is>
          <t>528000299</t>
        </is>
      </c>
      <c r="C2365" t="inlineStr">
        <is>
          <t>Siti Nurjanah</t>
        </is>
      </c>
      <c r="D2365" t="inlineStr">
        <is>
          <t>PROD</t>
        </is>
      </c>
      <c r="E2365" t="inlineStr">
        <is>
          <t>Produksi Harian</t>
        </is>
      </c>
      <c r="F2365" t="inlineStr">
        <is>
          <t>05:40:27</t>
        </is>
      </c>
      <c r="G2365" t="inlineStr">
        <is>
          <t>14:06:34</t>
        </is>
      </c>
      <c r="H2365" t="inlineStr">
        <is>
          <t>SELESAI</t>
        </is>
      </c>
      <c r="I2365" t="inlineStr">
        <is>
          <t>MK00184</t>
        </is>
      </c>
      <c r="J2365" t="inlineStr"/>
    </row>
    <row r="2366">
      <c r="A2366" t="inlineStr">
        <is>
          <t>27/07/2026</t>
        </is>
      </c>
      <c r="B2366" t="inlineStr">
        <is>
          <t>528000300</t>
        </is>
      </c>
      <c r="C2366" t="inlineStr">
        <is>
          <t>Lia pitaloka</t>
        </is>
      </c>
      <c r="D2366" t="inlineStr">
        <is>
          <t>PROD</t>
        </is>
      </c>
      <c r="E2366" t="inlineStr">
        <is>
          <t>Produksi Harian</t>
        </is>
      </c>
      <c r="F2366" t="inlineStr">
        <is>
          <t>13:45:20</t>
        </is>
      </c>
      <c r="G2366" t="inlineStr">
        <is>
          <t>22:07:35</t>
        </is>
      </c>
      <c r="H2366" t="inlineStr">
        <is>
          <t>SELESAI</t>
        </is>
      </c>
      <c r="I2366" t="inlineStr">
        <is>
          <t>MK00143</t>
        </is>
      </c>
      <c r="J2366" t="inlineStr"/>
    </row>
    <row r="2367">
      <c r="A2367" t="inlineStr">
        <is>
          <t>27/07/2026</t>
        </is>
      </c>
      <c r="B2367" t="inlineStr">
        <is>
          <t>528000305</t>
        </is>
      </c>
      <c r="C2367" t="inlineStr">
        <is>
          <t>Puji Puspita</t>
        </is>
      </c>
      <c r="D2367" t="inlineStr">
        <is>
          <t>PROD</t>
        </is>
      </c>
      <c r="E2367" t="inlineStr">
        <is>
          <t>Produksi Harian</t>
        </is>
      </c>
      <c r="F2367" t="inlineStr">
        <is>
          <t>05:40:07</t>
        </is>
      </c>
      <c r="G2367" t="inlineStr">
        <is>
          <t>14:02:43</t>
        </is>
      </c>
      <c r="H2367" t="inlineStr">
        <is>
          <t>SELESAI</t>
        </is>
      </c>
      <c r="I2367" t="inlineStr">
        <is>
          <t>MK00210</t>
        </is>
      </c>
      <c r="J2367" t="inlineStr"/>
    </row>
    <row r="2368">
      <c r="A2368" t="inlineStr">
        <is>
          <t>27/07/2026</t>
        </is>
      </c>
      <c r="B2368" t="inlineStr">
        <is>
          <t>528000306</t>
        </is>
      </c>
      <c r="C2368" t="inlineStr">
        <is>
          <t>Windy Olivia</t>
        </is>
      </c>
      <c r="D2368" t="inlineStr">
        <is>
          <t>PROD</t>
        </is>
      </c>
      <c r="E2368" t="inlineStr">
        <is>
          <t>Produksi Harian</t>
        </is>
      </c>
      <c r="F2368" t="inlineStr">
        <is>
          <t>13:36:32</t>
        </is>
      </c>
      <c r="G2368" t="inlineStr">
        <is>
          <t>22:04:01</t>
        </is>
      </c>
      <c r="H2368" t="inlineStr">
        <is>
          <t>SELESAI</t>
        </is>
      </c>
      <c r="I2368" t="inlineStr">
        <is>
          <t>MK00213</t>
        </is>
      </c>
      <c r="J2368" t="inlineStr"/>
    </row>
    <row r="2369">
      <c r="A2369" t="inlineStr">
        <is>
          <t>27/07/2026</t>
        </is>
      </c>
      <c r="B2369" t="inlineStr">
        <is>
          <t>528000309</t>
        </is>
      </c>
      <c r="C2369" t="inlineStr">
        <is>
          <t>Ilham Ramadhan</t>
        </is>
      </c>
      <c r="D2369" t="inlineStr">
        <is>
          <t>LOG</t>
        </is>
      </c>
      <c r="E2369" t="inlineStr">
        <is>
          <t>WRM Harian</t>
        </is>
      </c>
      <c r="F2369" t="inlineStr">
        <is>
          <t>05:54:53</t>
        </is>
      </c>
      <c r="G2369" t="inlineStr">
        <is>
          <t>14:03:36</t>
        </is>
      </c>
      <c r="H2369" t="inlineStr">
        <is>
          <t>SELESAI</t>
        </is>
      </c>
      <c r="I2369" t="inlineStr">
        <is>
          <t>MK00154</t>
        </is>
      </c>
      <c r="J2369" t="inlineStr"/>
    </row>
    <row r="2370">
      <c r="A2370" t="inlineStr">
        <is>
          <t>27/07/2026</t>
        </is>
      </c>
      <c r="B2370" t="inlineStr">
        <is>
          <t>528000310</t>
        </is>
      </c>
      <c r="C2370" t="inlineStr">
        <is>
          <t>Fachrul Rozzi Suryana</t>
        </is>
      </c>
      <c r="D2370" t="inlineStr">
        <is>
          <t>LOG</t>
        </is>
      </c>
      <c r="E2370" t="inlineStr">
        <is>
          <t>WRM Harian</t>
        </is>
      </c>
      <c r="F2370" t="inlineStr">
        <is>
          <t>05:57:52</t>
        </is>
      </c>
      <c r="G2370" t="inlineStr">
        <is>
          <t>14:00:34</t>
        </is>
      </c>
      <c r="H2370" t="inlineStr">
        <is>
          <t>SELESAI</t>
        </is>
      </c>
      <c r="I2370" t="inlineStr">
        <is>
          <t>MK00121</t>
        </is>
      </c>
      <c r="J2370" t="inlineStr"/>
    </row>
    <row r="2371">
      <c r="A2371" t="inlineStr">
        <is>
          <t>27/07/2026</t>
        </is>
      </c>
      <c r="B2371" t="inlineStr">
        <is>
          <t>528000313</t>
        </is>
      </c>
      <c r="C2371" t="inlineStr">
        <is>
          <t>Muhamad Rifki</t>
        </is>
      </c>
      <c r="D2371" t="inlineStr">
        <is>
          <t>PROD</t>
        </is>
      </c>
      <c r="E2371" t="inlineStr">
        <is>
          <t>Produksi Harian</t>
        </is>
      </c>
      <c r="F2371" t="inlineStr">
        <is>
          <t>05:45:48</t>
        </is>
      </c>
      <c r="G2371" t="inlineStr"/>
      <c r="H2371" t="inlineStr">
        <is>
          <t>DI DALAM</t>
        </is>
      </c>
      <c r="I2371" t="inlineStr">
        <is>
          <t>116</t>
        </is>
      </c>
      <c r="J2371" t="inlineStr"/>
    </row>
    <row r="2372">
      <c r="A2372" t="inlineStr">
        <is>
          <t>27/07/2026</t>
        </is>
      </c>
      <c r="B2372" t="inlineStr">
        <is>
          <t>528000318</t>
        </is>
      </c>
      <c r="C2372" t="inlineStr">
        <is>
          <t>Bayu Padli Sepriyana</t>
        </is>
      </c>
      <c r="D2372" t="inlineStr">
        <is>
          <t>LOG</t>
        </is>
      </c>
      <c r="E2372" t="inlineStr">
        <is>
          <t>WRM Harian</t>
        </is>
      </c>
      <c r="F2372" t="inlineStr">
        <is>
          <t>05:46:53</t>
        </is>
      </c>
      <c r="G2372" t="inlineStr">
        <is>
          <t>14:03:30</t>
        </is>
      </c>
      <c r="H2372" t="inlineStr">
        <is>
          <t>SELESAI</t>
        </is>
      </c>
      <c r="I2372" t="inlineStr">
        <is>
          <t>MK00217</t>
        </is>
      </c>
      <c r="J2372" t="inlineStr"/>
    </row>
    <row r="2373">
      <c r="A2373" t="inlineStr">
        <is>
          <t>27/07/2026</t>
        </is>
      </c>
      <c r="B2373" t="inlineStr">
        <is>
          <t>528000322</t>
        </is>
      </c>
      <c r="C2373" t="inlineStr">
        <is>
          <t>Muhamad Aliludin</t>
        </is>
      </c>
      <c r="D2373" t="inlineStr">
        <is>
          <t>PROD</t>
        </is>
      </c>
      <c r="E2373" t="inlineStr">
        <is>
          <t>Produksi Harian</t>
        </is>
      </c>
      <c r="F2373" t="inlineStr">
        <is>
          <t>05:24:54</t>
        </is>
      </c>
      <c r="G2373" t="inlineStr">
        <is>
          <t>14:05:36</t>
        </is>
      </c>
      <c r="H2373" t="inlineStr">
        <is>
          <t>SELESAI</t>
        </is>
      </c>
      <c r="I2373" t="inlineStr">
        <is>
          <t>MK00109</t>
        </is>
      </c>
      <c r="J2373" t="inlineStr"/>
    </row>
    <row r="2374">
      <c r="A2374" t="inlineStr">
        <is>
          <t>27/07/2026</t>
        </is>
      </c>
      <c r="B2374" t="inlineStr">
        <is>
          <t>528000323</t>
        </is>
      </c>
      <c r="C2374" t="inlineStr">
        <is>
          <t>Dian Hamidah</t>
        </is>
      </c>
      <c r="D2374" t="inlineStr">
        <is>
          <t>PROD</t>
        </is>
      </c>
      <c r="E2374" t="inlineStr">
        <is>
          <t>Produksi Harian</t>
        </is>
      </c>
      <c r="F2374" t="inlineStr">
        <is>
          <t>13:39:49</t>
        </is>
      </c>
      <c r="G2374" t="inlineStr">
        <is>
          <t>22:09:04</t>
        </is>
      </c>
      <c r="H2374" t="inlineStr">
        <is>
          <t>SELESAI</t>
        </is>
      </c>
      <c r="I2374" t="inlineStr">
        <is>
          <t>MK00160</t>
        </is>
      </c>
      <c r="J2374" t="inlineStr"/>
    </row>
    <row r="2375">
      <c r="A2375" t="inlineStr">
        <is>
          <t>27/07/2026</t>
        </is>
      </c>
      <c r="B2375" t="inlineStr">
        <is>
          <t>528000329</t>
        </is>
      </c>
      <c r="C2375" t="inlineStr">
        <is>
          <t>Havid Ilham Firdaus</t>
        </is>
      </c>
      <c r="D2375" t="inlineStr">
        <is>
          <t>PROD</t>
        </is>
      </c>
      <c r="E2375" t="inlineStr">
        <is>
          <t>Produksi Harian</t>
        </is>
      </c>
      <c r="F2375" t="inlineStr">
        <is>
          <t>13:51:55</t>
        </is>
      </c>
      <c r="G2375" t="inlineStr"/>
      <c r="H2375" t="inlineStr">
        <is>
          <t>DI DALAM</t>
        </is>
      </c>
      <c r="I2375" t="inlineStr">
        <is>
          <t>MK00082</t>
        </is>
      </c>
      <c r="J2375" t="inlineStr"/>
    </row>
    <row r="2376">
      <c r="A2376" t="inlineStr">
        <is>
          <t>27/07/2026</t>
        </is>
      </c>
      <c r="B2376" t="inlineStr">
        <is>
          <t>528000335</t>
        </is>
      </c>
      <c r="C2376" t="inlineStr">
        <is>
          <t>Rizal Saepuloh</t>
        </is>
      </c>
      <c r="D2376" t="inlineStr">
        <is>
          <t>LOG</t>
        </is>
      </c>
      <c r="E2376" t="inlineStr">
        <is>
          <t>WRM Harian</t>
        </is>
      </c>
      <c r="F2376" t="inlineStr">
        <is>
          <t>07:59:05</t>
        </is>
      </c>
      <c r="G2376" t="inlineStr">
        <is>
          <t>16:01:26</t>
        </is>
      </c>
      <c r="H2376" t="inlineStr">
        <is>
          <t>SELESAI</t>
        </is>
      </c>
      <c r="I2376" t="inlineStr">
        <is>
          <t>MK00204</t>
        </is>
      </c>
      <c r="J2376" t="inlineStr"/>
    </row>
    <row r="2377">
      <c r="A2377" t="inlineStr">
        <is>
          <t>27/07/2026</t>
        </is>
      </c>
      <c r="B2377" t="inlineStr">
        <is>
          <t>528000339</t>
        </is>
      </c>
      <c r="C2377" t="inlineStr">
        <is>
          <t>Muhamad Ripai'i</t>
        </is>
      </c>
      <c r="D2377" t="inlineStr">
        <is>
          <t>HRGA</t>
        </is>
      </c>
      <c r="E2377" t="inlineStr">
        <is>
          <t>GA Harian</t>
        </is>
      </c>
      <c r="F2377" t="inlineStr">
        <is>
          <t>21:00:36</t>
        </is>
      </c>
      <c r="G2377" t="inlineStr">
        <is>
          <t>07:26:35</t>
        </is>
      </c>
      <c r="H2377" t="inlineStr">
        <is>
          <t>SELESAI</t>
        </is>
      </c>
      <c r="I2377" t="inlineStr">
        <is>
          <t>MK00213</t>
        </is>
      </c>
      <c r="J2377" t="inlineStr"/>
    </row>
    <row r="2378">
      <c r="A2378" t="inlineStr">
        <is>
          <t>27/07/2026</t>
        </is>
      </c>
      <c r="B2378" t="inlineStr">
        <is>
          <t>528000340</t>
        </is>
      </c>
      <c r="C2378" t="inlineStr">
        <is>
          <t>Muhammad Wildan Adithya</t>
        </is>
      </c>
      <c r="D2378" t="inlineStr">
        <is>
          <t>PROD</t>
        </is>
      </c>
      <c r="E2378" t="inlineStr">
        <is>
          <t>Produksi Harian</t>
        </is>
      </c>
      <c r="F2378" t="inlineStr">
        <is>
          <t>06:23:32</t>
        </is>
      </c>
      <c r="G2378" t="inlineStr">
        <is>
          <t>14:04:57</t>
        </is>
      </c>
      <c r="H2378" t="inlineStr">
        <is>
          <t>SELESAI</t>
        </is>
      </c>
      <c r="I2378" t="inlineStr">
        <is>
          <t>MK00208</t>
        </is>
      </c>
      <c r="J2378" t="inlineStr"/>
    </row>
    <row r="2379">
      <c r="A2379" t="inlineStr">
        <is>
          <t>27/07/2026</t>
        </is>
      </c>
      <c r="B2379" t="inlineStr">
        <is>
          <t>528000348</t>
        </is>
      </c>
      <c r="C2379" t="inlineStr">
        <is>
          <t>Saepuloh Ardiansah</t>
        </is>
      </c>
      <c r="D2379" t="inlineStr">
        <is>
          <t>LOG</t>
        </is>
      </c>
      <c r="E2379" t="inlineStr">
        <is>
          <t>WRM Harian</t>
        </is>
      </c>
      <c r="F2379" t="inlineStr">
        <is>
          <t>08:47:36</t>
        </is>
      </c>
      <c r="G2379" t="inlineStr">
        <is>
          <t>17:20:32</t>
        </is>
      </c>
      <c r="H2379" t="inlineStr">
        <is>
          <t>SELESAI</t>
        </is>
      </c>
      <c r="I2379" t="inlineStr">
        <is>
          <t>MK00205</t>
        </is>
      </c>
      <c r="J2379" t="inlineStr"/>
    </row>
    <row r="2380">
      <c r="A2380" t="inlineStr">
        <is>
          <t>27/07/2026</t>
        </is>
      </c>
      <c r="B2380" t="inlineStr">
        <is>
          <t>528000349</t>
        </is>
      </c>
      <c r="C2380" t="inlineStr">
        <is>
          <t>Anas Abdul Fatah</t>
        </is>
      </c>
      <c r="D2380" t="inlineStr">
        <is>
          <t>LOG</t>
        </is>
      </c>
      <c r="E2380" t="inlineStr">
        <is>
          <t>WFG Harian</t>
        </is>
      </c>
      <c r="F2380" t="inlineStr">
        <is>
          <t>09:41:10</t>
        </is>
      </c>
      <c r="G2380" t="inlineStr">
        <is>
          <t>18:10:54</t>
        </is>
      </c>
      <c r="H2380" t="inlineStr">
        <is>
          <t>SELESAI</t>
        </is>
      </c>
      <c r="I2380" t="inlineStr">
        <is>
          <t>MK00202</t>
        </is>
      </c>
      <c r="J2380" t="inlineStr"/>
    </row>
    <row r="2381">
      <c r="A2381" t="inlineStr">
        <is>
          <t>27/07/2026</t>
        </is>
      </c>
      <c r="B2381" t="inlineStr">
        <is>
          <t>528000351</t>
        </is>
      </c>
      <c r="C2381" t="inlineStr">
        <is>
          <t>Mulyana</t>
        </is>
      </c>
      <c r="D2381" t="inlineStr">
        <is>
          <t>PROD</t>
        </is>
      </c>
      <c r="E2381" t="inlineStr">
        <is>
          <t>Produksi Harian</t>
        </is>
      </c>
      <c r="F2381" t="inlineStr">
        <is>
          <t>07:48:23</t>
        </is>
      </c>
      <c r="G2381" t="inlineStr">
        <is>
          <t>16:00:59</t>
        </is>
      </c>
      <c r="H2381" t="inlineStr">
        <is>
          <t>SELESAI</t>
        </is>
      </c>
      <c r="I2381" t="inlineStr">
        <is>
          <t>MK00145</t>
        </is>
      </c>
      <c r="J2381" t="inlineStr"/>
    </row>
    <row r="2382">
      <c r="A2382" t="inlineStr">
        <is>
          <t>27/07/2026</t>
        </is>
      </c>
      <c r="B2382" t="inlineStr">
        <is>
          <t>528000361</t>
        </is>
      </c>
      <c r="C2382" t="inlineStr">
        <is>
          <t>Denada Munggarani</t>
        </is>
      </c>
      <c r="D2382" t="inlineStr">
        <is>
          <t>PROD</t>
        </is>
      </c>
      <c r="E2382" t="inlineStr">
        <is>
          <t>Produksi Harian</t>
        </is>
      </c>
      <c r="F2382" t="inlineStr">
        <is>
          <t>06:01:32</t>
        </is>
      </c>
      <c r="G2382" t="inlineStr">
        <is>
          <t>14:33:35</t>
        </is>
      </c>
      <c r="H2382" t="inlineStr">
        <is>
          <t>SELESAI</t>
        </is>
      </c>
      <c r="I2382" t="inlineStr">
        <is>
          <t>MK00218</t>
        </is>
      </c>
      <c r="J2382" t="inlineStr"/>
    </row>
    <row r="2383">
      <c r="A2383" t="inlineStr">
        <is>
          <t>27/07/2026</t>
        </is>
      </c>
      <c r="B2383" t="inlineStr">
        <is>
          <t>628000064</t>
        </is>
      </c>
      <c r="C2383" t="inlineStr">
        <is>
          <t>Silva Alypia</t>
        </is>
      </c>
      <c r="D2383" t="inlineStr">
        <is>
          <t>PROD</t>
        </is>
      </c>
      <c r="E2383" t="inlineStr">
        <is>
          <t>Produksi Borongan</t>
        </is>
      </c>
      <c r="F2383" t="inlineStr">
        <is>
          <t>13:48:41</t>
        </is>
      </c>
      <c r="G2383" t="inlineStr">
        <is>
          <t>22:04:07</t>
        </is>
      </c>
      <c r="H2383" t="inlineStr">
        <is>
          <t>SELESAI</t>
        </is>
      </c>
      <c r="I2383" t="inlineStr">
        <is>
          <t>MK00186</t>
        </is>
      </c>
      <c r="J2383" t="inlineStr"/>
    </row>
    <row r="2384">
      <c r="A2384" t="inlineStr">
        <is>
          <t>28/07/2026</t>
        </is>
      </c>
      <c r="B2384" t="inlineStr">
        <is>
          <t>128000054</t>
        </is>
      </c>
      <c r="C2384" t="inlineStr">
        <is>
          <t>Nurhaslinda Lubis</t>
        </is>
      </c>
      <c r="D2384" t="inlineStr">
        <is>
          <t>HRGA</t>
        </is>
      </c>
      <c r="E2384" t="inlineStr">
        <is>
          <t>General Affair Officer</t>
        </is>
      </c>
      <c r="F2384" t="inlineStr">
        <is>
          <t>17:14:52</t>
        </is>
      </c>
      <c r="G2384" t="inlineStr">
        <is>
          <t>17:15:09</t>
        </is>
      </c>
      <c r="H2384" t="inlineStr">
        <is>
          <t>SELESAI</t>
        </is>
      </c>
      <c r="I2384" t="inlineStr">
        <is>
          <t>MK00160</t>
        </is>
      </c>
      <c r="J2384" t="inlineStr"/>
    </row>
    <row r="2385">
      <c r="A2385" t="inlineStr">
        <is>
          <t>28/07/2026</t>
        </is>
      </c>
      <c r="B2385" t="inlineStr">
        <is>
          <t>528000015</t>
        </is>
      </c>
      <c r="C2385" t="inlineStr">
        <is>
          <t>Erwin</t>
        </is>
      </c>
      <c r="D2385" t="inlineStr">
        <is>
          <t>LOG</t>
        </is>
      </c>
      <c r="E2385" t="inlineStr">
        <is>
          <t>WRM Harian</t>
        </is>
      </c>
      <c r="F2385" t="inlineStr">
        <is>
          <t>05:38:22</t>
        </is>
      </c>
      <c r="G2385" t="inlineStr">
        <is>
          <t>05:50:34</t>
        </is>
      </c>
      <c r="H2385" t="inlineStr">
        <is>
          <t>SELESAI</t>
        </is>
      </c>
      <c r="I2385" t="inlineStr">
        <is>
          <t>MK00168</t>
        </is>
      </c>
      <c r="J2385" t="inlineStr"/>
    </row>
    <row r="2386">
      <c r="A2386" t="inlineStr">
        <is>
          <t>28/07/2026</t>
        </is>
      </c>
      <c r="B2386" t="inlineStr">
        <is>
          <t>528000040</t>
        </is>
      </c>
      <c r="C2386" t="inlineStr">
        <is>
          <t>Agus Suryaman</t>
        </is>
      </c>
      <c r="D2386" t="inlineStr">
        <is>
          <t>PROD</t>
        </is>
      </c>
      <c r="E2386" t="inlineStr">
        <is>
          <t>Produksi Harian</t>
        </is>
      </c>
      <c r="F2386" t="inlineStr">
        <is>
          <t>08:37:24</t>
        </is>
      </c>
      <c r="G2386" t="inlineStr">
        <is>
          <t>17:05:39</t>
        </is>
      </c>
      <c r="H2386" t="inlineStr">
        <is>
          <t>SELESAI</t>
        </is>
      </c>
      <c r="I2386" t="inlineStr">
        <is>
          <t>MK00141</t>
        </is>
      </c>
      <c r="J2386" t="inlineStr"/>
    </row>
    <row r="2387">
      <c r="A2387" t="inlineStr">
        <is>
          <t>28/07/2026</t>
        </is>
      </c>
      <c r="B2387" t="inlineStr">
        <is>
          <t>528000090</t>
        </is>
      </c>
      <c r="C2387" t="inlineStr">
        <is>
          <t>Suganda</t>
        </is>
      </c>
      <c r="D2387" t="inlineStr">
        <is>
          <t>PROD</t>
        </is>
      </c>
      <c r="E2387" t="inlineStr">
        <is>
          <t>Produksi Harian</t>
        </is>
      </c>
      <c r="F2387" t="inlineStr"/>
      <c r="G2387" t="inlineStr">
        <is>
          <t>07:54:10</t>
        </is>
      </c>
      <c r="H2387" t="inlineStr">
        <is>
          <t>KELUAR TANPA MASUK</t>
        </is>
      </c>
      <c r="I2387" t="inlineStr">
        <is>
          <t>MK00113</t>
        </is>
      </c>
      <c r="J2387" t="inlineStr"/>
    </row>
    <row r="2388">
      <c r="A2388" t="inlineStr">
        <is>
          <t>28/07/2026</t>
        </is>
      </c>
      <c r="B2388" t="inlineStr">
        <is>
          <t>528000144</t>
        </is>
      </c>
      <c r="C2388" t="inlineStr">
        <is>
          <t>Jodi Hanafi</t>
        </is>
      </c>
      <c r="D2388" t="inlineStr">
        <is>
          <t>LOG</t>
        </is>
      </c>
      <c r="E2388" t="inlineStr">
        <is>
          <t>WRM Harian</t>
        </is>
      </c>
      <c r="F2388" t="inlineStr">
        <is>
          <t>07:48:14</t>
        </is>
      </c>
      <c r="G2388" t="inlineStr">
        <is>
          <t>16:42:14</t>
        </is>
      </c>
      <c r="H2388" t="inlineStr">
        <is>
          <t>SELESAI</t>
        </is>
      </c>
      <c r="I2388" t="inlineStr">
        <is>
          <t>MK00221</t>
        </is>
      </c>
      <c r="J2388" t="inlineStr"/>
    </row>
    <row r="2389">
      <c r="A2389" t="inlineStr">
        <is>
          <t>28/07/2026</t>
        </is>
      </c>
      <c r="B2389" t="inlineStr">
        <is>
          <t>528000149</t>
        </is>
      </c>
      <c r="C2389" t="inlineStr">
        <is>
          <t>Tio Fernanda</t>
        </is>
      </c>
      <c r="D2389" t="inlineStr">
        <is>
          <t>LOG</t>
        </is>
      </c>
      <c r="E2389" t="inlineStr">
        <is>
          <t>WRM Harian</t>
        </is>
      </c>
      <c r="F2389" t="inlineStr">
        <is>
          <t>08:33:20</t>
        </is>
      </c>
      <c r="G2389" t="inlineStr">
        <is>
          <t>08:33:05</t>
        </is>
      </c>
      <c r="H2389" t="inlineStr">
        <is>
          <t>SELESAI</t>
        </is>
      </c>
      <c r="I2389" t="inlineStr">
        <is>
          <t>MK0130</t>
        </is>
      </c>
      <c r="J2389" t="inlineStr"/>
    </row>
    <row r="2390">
      <c r="A2390" t="inlineStr">
        <is>
          <t>28/07/2026</t>
        </is>
      </c>
      <c r="B2390" t="inlineStr">
        <is>
          <t>528000201</t>
        </is>
      </c>
      <c r="C2390" t="inlineStr">
        <is>
          <t>Zahwa Amelia Choerunissa</t>
        </is>
      </c>
      <c r="D2390" t="inlineStr">
        <is>
          <t>PROD</t>
        </is>
      </c>
      <c r="E2390" t="inlineStr">
        <is>
          <t>Produksi Harian</t>
        </is>
      </c>
      <c r="F2390" t="inlineStr"/>
      <c r="G2390" t="inlineStr">
        <is>
          <t>06:03:16</t>
        </is>
      </c>
      <c r="H2390" t="inlineStr">
        <is>
          <t>KELUAR TANPA MASUK</t>
        </is>
      </c>
      <c r="I2390" t="inlineStr">
        <is>
          <t>MK00085</t>
        </is>
      </c>
      <c r="J2390" t="inlineStr"/>
    </row>
    <row r="2391">
      <c r="A2391" t="inlineStr">
        <is>
          <t>28/07/2026</t>
        </is>
      </c>
      <c r="B2391" t="inlineStr">
        <is>
          <t>528000212</t>
        </is>
      </c>
      <c r="C2391" t="inlineStr">
        <is>
          <t>Rizal Fauzi</t>
        </is>
      </c>
      <c r="D2391" t="inlineStr">
        <is>
          <t>PROD</t>
        </is>
      </c>
      <c r="E2391" t="inlineStr">
        <is>
          <t>Produksi Harian</t>
        </is>
      </c>
      <c r="F2391" t="inlineStr">
        <is>
          <t>22:00:05</t>
        </is>
      </c>
      <c r="G2391" t="inlineStr">
        <is>
          <t>13:50:43</t>
        </is>
      </c>
      <c r="H2391" t="inlineStr">
        <is>
          <t>SELESAI</t>
        </is>
      </c>
      <c r="I2391" t="inlineStr">
        <is>
          <t>MK0090</t>
        </is>
      </c>
      <c r="J2391" t="inlineStr"/>
    </row>
    <row r="2392">
      <c r="A2392" t="inlineStr">
        <is>
          <t>28/07/2026</t>
        </is>
      </c>
      <c r="B2392" t="inlineStr">
        <is>
          <t>528000232</t>
        </is>
      </c>
      <c r="C2392" t="inlineStr">
        <is>
          <t>Agung Aji Suhada</t>
        </is>
      </c>
      <c r="D2392" t="inlineStr">
        <is>
          <t>LOG</t>
        </is>
      </c>
      <c r="E2392" t="inlineStr">
        <is>
          <t>WRM Harian</t>
        </is>
      </c>
      <c r="F2392" t="inlineStr">
        <is>
          <t>08:56:21</t>
        </is>
      </c>
      <c r="G2392" t="inlineStr">
        <is>
          <t>17:01:45</t>
        </is>
      </c>
      <c r="H2392" t="inlineStr">
        <is>
          <t>SELESAI</t>
        </is>
      </c>
      <c r="I2392" t="inlineStr">
        <is>
          <t>MK00150</t>
        </is>
      </c>
      <c r="J2392" t="inlineStr"/>
    </row>
    <row r="2393">
      <c r="A2393" t="inlineStr">
        <is>
          <t>28/07/2026</t>
        </is>
      </c>
      <c r="B2393" t="inlineStr">
        <is>
          <t>528000241</t>
        </is>
      </c>
      <c r="C2393" t="inlineStr">
        <is>
          <t>Balia Nurafif Bilah</t>
        </is>
      </c>
      <c r="D2393" t="inlineStr">
        <is>
          <t>PROD</t>
        </is>
      </c>
      <c r="E2393" t="inlineStr">
        <is>
          <t>Produksi Harian</t>
        </is>
      </c>
      <c r="F2393" t="inlineStr"/>
      <c r="G2393" t="inlineStr">
        <is>
          <t>06:02:24</t>
        </is>
      </c>
      <c r="H2393" t="inlineStr">
        <is>
          <t>KELUAR TANPA MASUK</t>
        </is>
      </c>
      <c r="I2393" t="inlineStr">
        <is>
          <t>MK00210</t>
        </is>
      </c>
      <c r="J2393" t="inlineStr"/>
    </row>
    <row r="2394">
      <c r="A2394" t="inlineStr">
        <is>
          <t>28/07/2026</t>
        </is>
      </c>
      <c r="B2394" t="inlineStr">
        <is>
          <t>528000244</t>
        </is>
      </c>
      <c r="C2394" t="inlineStr">
        <is>
          <t>Rodian Rifai</t>
        </is>
      </c>
      <c r="D2394" t="inlineStr">
        <is>
          <t>PROD</t>
        </is>
      </c>
      <c r="E2394" t="inlineStr">
        <is>
          <t>Produksi Harian</t>
        </is>
      </c>
      <c r="F2394" t="inlineStr"/>
      <c r="G2394" t="inlineStr">
        <is>
          <t>06:16:17</t>
        </is>
      </c>
      <c r="H2394" t="inlineStr">
        <is>
          <t>KELUAR TANPA MASUK</t>
        </is>
      </c>
      <c r="I2394" t="inlineStr">
        <is>
          <t>MK00008</t>
        </is>
      </c>
      <c r="J2394" t="inlineStr"/>
    </row>
    <row r="2395">
      <c r="A2395" t="inlineStr">
        <is>
          <t>28/07/2026</t>
        </is>
      </c>
      <c r="B2395" t="inlineStr">
        <is>
          <t>528000248</t>
        </is>
      </c>
      <c r="C2395" t="inlineStr">
        <is>
          <t>Roka Jaya Salka Mulya</t>
        </is>
      </c>
      <c r="D2395" t="inlineStr">
        <is>
          <t>PROD</t>
        </is>
      </c>
      <c r="E2395" t="inlineStr">
        <is>
          <t>Produksi Harian</t>
        </is>
      </c>
      <c r="F2395" t="inlineStr">
        <is>
          <t>13:53:23</t>
        </is>
      </c>
      <c r="G2395" t="inlineStr">
        <is>
          <t>22:00:28</t>
        </is>
      </c>
      <c r="H2395" t="inlineStr">
        <is>
          <t>SELESAI</t>
        </is>
      </c>
      <c r="I2395" t="inlineStr">
        <is>
          <t>MK00112</t>
        </is>
      </c>
      <c r="J2395" t="inlineStr"/>
    </row>
    <row r="2396">
      <c r="A2396" t="inlineStr">
        <is>
          <t>28/07/2026</t>
        </is>
      </c>
      <c r="B2396" t="inlineStr">
        <is>
          <t>528000261</t>
        </is>
      </c>
      <c r="C2396" t="inlineStr">
        <is>
          <t>Ergi Ergianto</t>
        </is>
      </c>
      <c r="D2396" t="inlineStr">
        <is>
          <t>HRGA</t>
        </is>
      </c>
      <c r="E2396" t="inlineStr">
        <is>
          <t>GA Harian</t>
        </is>
      </c>
      <c r="F2396" t="inlineStr">
        <is>
          <t>21:51:07</t>
        </is>
      </c>
      <c r="G2396" t="inlineStr"/>
      <c r="H2396" t="inlineStr">
        <is>
          <t>DI DALAM</t>
        </is>
      </c>
      <c r="I2396" t="inlineStr">
        <is>
          <t>MK00218</t>
        </is>
      </c>
      <c r="J2396" t="inlineStr"/>
    </row>
    <row r="2397">
      <c r="A2397" t="inlineStr">
        <is>
          <t>28/07/2026</t>
        </is>
      </c>
      <c r="B2397" t="inlineStr">
        <is>
          <t>528000262</t>
        </is>
      </c>
      <c r="C2397" t="inlineStr">
        <is>
          <t>Ndari Dwiwanti</t>
        </is>
      </c>
      <c r="D2397" t="inlineStr">
        <is>
          <t>PROD</t>
        </is>
      </c>
      <c r="E2397" t="inlineStr">
        <is>
          <t>Produksi Harian</t>
        </is>
      </c>
      <c r="F2397" t="inlineStr">
        <is>
          <t>21:36:46</t>
        </is>
      </c>
      <c r="G2397" t="inlineStr"/>
      <c r="H2397" t="inlineStr">
        <is>
          <t>DI DALAM</t>
        </is>
      </c>
      <c r="I2397" t="inlineStr">
        <is>
          <t>MK00108</t>
        </is>
      </c>
      <c r="J2397" t="inlineStr"/>
    </row>
    <row r="2398">
      <c r="A2398" t="inlineStr">
        <is>
          <t>28/07/2026</t>
        </is>
      </c>
      <c r="B2398" t="inlineStr">
        <is>
          <t>528000265</t>
        </is>
      </c>
      <c r="C2398" t="inlineStr">
        <is>
          <t>Muhammad Haerul Rozikin</t>
        </is>
      </c>
      <c r="D2398" t="inlineStr">
        <is>
          <t>LOG</t>
        </is>
      </c>
      <c r="E2398" t="inlineStr">
        <is>
          <t>WRM Harian</t>
        </is>
      </c>
      <c r="F2398" t="inlineStr">
        <is>
          <t>07:42:52</t>
        </is>
      </c>
      <c r="G2398" t="inlineStr">
        <is>
          <t>16:02:51</t>
        </is>
      </c>
      <c r="H2398" t="inlineStr">
        <is>
          <t>SELESAI</t>
        </is>
      </c>
      <c r="I2398" t="inlineStr">
        <is>
          <t>MK00217</t>
        </is>
      </c>
      <c r="J2398" t="inlineStr"/>
    </row>
    <row r="2399">
      <c r="A2399" t="inlineStr">
        <is>
          <t>28/07/2026</t>
        </is>
      </c>
      <c r="B2399" t="inlineStr">
        <is>
          <t>528000266</t>
        </is>
      </c>
      <c r="C2399" t="inlineStr">
        <is>
          <t>M. Syirajatieq</t>
        </is>
      </c>
      <c r="D2399" t="inlineStr">
        <is>
          <t>LOG</t>
        </is>
      </c>
      <c r="E2399" t="inlineStr">
        <is>
          <t>WFG Harian</t>
        </is>
      </c>
      <c r="F2399" t="inlineStr">
        <is>
          <t>21:50:03</t>
        </is>
      </c>
      <c r="G2399" t="inlineStr"/>
      <c r="H2399" t="inlineStr">
        <is>
          <t>DI DALAM</t>
        </is>
      </c>
      <c r="I2399" t="inlineStr">
        <is>
          <t>MK00209</t>
        </is>
      </c>
      <c r="J2399" t="inlineStr"/>
    </row>
    <row r="2400">
      <c r="A2400" t="inlineStr">
        <is>
          <t>28/07/2026</t>
        </is>
      </c>
      <c r="B2400" t="inlineStr">
        <is>
          <t>528000270</t>
        </is>
      </c>
      <c r="C2400" t="inlineStr">
        <is>
          <t>Febri Najmudin</t>
        </is>
      </c>
      <c r="D2400" t="inlineStr">
        <is>
          <t>LOG</t>
        </is>
      </c>
      <c r="E2400" t="inlineStr">
        <is>
          <t>WRM Harian</t>
        </is>
      </c>
      <c r="F2400" t="inlineStr">
        <is>
          <t>05:50:22</t>
        </is>
      </c>
      <c r="G2400" t="inlineStr">
        <is>
          <t>14:33:29</t>
        </is>
      </c>
      <c r="H2400" t="inlineStr">
        <is>
          <t>SELESAI</t>
        </is>
      </c>
      <c r="I2400" t="inlineStr">
        <is>
          <t>MK00143</t>
        </is>
      </c>
      <c r="J2400" t="inlineStr"/>
    </row>
    <row r="2401">
      <c r="A2401" t="inlineStr">
        <is>
          <t>28/07/2026</t>
        </is>
      </c>
      <c r="B2401" t="inlineStr">
        <is>
          <t>528000273</t>
        </is>
      </c>
      <c r="C2401" t="inlineStr">
        <is>
          <t>Asep Mulyana</t>
        </is>
      </c>
      <c r="D2401" t="inlineStr">
        <is>
          <t>PROD</t>
        </is>
      </c>
      <c r="E2401" t="inlineStr">
        <is>
          <t>Produksi Harian</t>
        </is>
      </c>
      <c r="F2401" t="inlineStr"/>
      <c r="G2401" t="inlineStr">
        <is>
          <t>07:10:14</t>
        </is>
      </c>
      <c r="H2401" t="inlineStr">
        <is>
          <t>KELUAR TANPA MASUK</t>
        </is>
      </c>
      <c r="I2401" t="inlineStr">
        <is>
          <t>MK00158</t>
        </is>
      </c>
      <c r="J2401" t="inlineStr"/>
    </row>
    <row r="2402">
      <c r="A2402" t="inlineStr">
        <is>
          <t>28/07/2026</t>
        </is>
      </c>
      <c r="B2402" t="inlineStr">
        <is>
          <t>528000274</t>
        </is>
      </c>
      <c r="C2402" t="inlineStr">
        <is>
          <t>Zepri</t>
        </is>
      </c>
      <c r="D2402" t="inlineStr">
        <is>
          <t>PROD</t>
        </is>
      </c>
      <c r="E2402" t="inlineStr">
        <is>
          <t>Produksi Harian</t>
        </is>
      </c>
      <c r="F2402" t="inlineStr"/>
      <c r="G2402" t="inlineStr">
        <is>
          <t>06:22:17</t>
        </is>
      </c>
      <c r="H2402" t="inlineStr">
        <is>
          <t>KELUAR TANPA MASUK</t>
        </is>
      </c>
      <c r="I2402" t="inlineStr">
        <is>
          <t>MK00116</t>
        </is>
      </c>
      <c r="J2402" t="inlineStr"/>
    </row>
    <row r="2403">
      <c r="A2403" t="inlineStr">
        <is>
          <t>28/07/2026</t>
        </is>
      </c>
      <c r="B2403" t="inlineStr">
        <is>
          <t>528000279</t>
        </is>
      </c>
      <c r="C2403" t="inlineStr">
        <is>
          <t>Mahdalena Dalfa Riani</t>
        </is>
      </c>
      <c r="D2403" t="inlineStr">
        <is>
          <t>PROD</t>
        </is>
      </c>
      <c r="E2403" t="inlineStr">
        <is>
          <t>Produksi Harian</t>
        </is>
      </c>
      <c r="F2403" t="inlineStr">
        <is>
          <t>13:51:17</t>
        </is>
      </c>
      <c r="G2403" t="inlineStr">
        <is>
          <t>22:02:40</t>
        </is>
      </c>
      <c r="H2403" t="inlineStr">
        <is>
          <t>SELESAI</t>
        </is>
      </c>
      <c r="I2403" t="inlineStr">
        <is>
          <t>MK00203</t>
        </is>
      </c>
      <c r="J2403" t="inlineStr"/>
    </row>
    <row r="2404">
      <c r="A2404" t="inlineStr">
        <is>
          <t>28/07/2026</t>
        </is>
      </c>
      <c r="B2404" t="inlineStr">
        <is>
          <t>528000282</t>
        </is>
      </c>
      <c r="C2404" t="inlineStr">
        <is>
          <t>Defa Desfiana</t>
        </is>
      </c>
      <c r="D2404" t="inlineStr">
        <is>
          <t>PROD</t>
        </is>
      </c>
      <c r="E2404" t="inlineStr">
        <is>
          <t>Produksi Harian</t>
        </is>
      </c>
      <c r="F2404" t="inlineStr">
        <is>
          <t>07:45:09</t>
        </is>
      </c>
      <c r="G2404" t="inlineStr">
        <is>
          <t>16:01:14</t>
        </is>
      </c>
      <c r="H2404" t="inlineStr">
        <is>
          <t>SELESAI</t>
        </is>
      </c>
      <c r="I2404" t="inlineStr">
        <is>
          <t>MK00109</t>
        </is>
      </c>
      <c r="J2404" t="inlineStr">
        <is>
          <t>32b</t>
        </is>
      </c>
    </row>
    <row r="2405">
      <c r="A2405" t="inlineStr">
        <is>
          <t>28/07/2026</t>
        </is>
      </c>
      <c r="B2405" t="inlineStr">
        <is>
          <t>528000283</t>
        </is>
      </c>
      <c r="C2405" t="inlineStr">
        <is>
          <t>Purwanda Sugiri</t>
        </is>
      </c>
      <c r="D2405" t="inlineStr">
        <is>
          <t>LOG</t>
        </is>
      </c>
      <c r="E2405" t="inlineStr">
        <is>
          <t>WRM Harian</t>
        </is>
      </c>
      <c r="F2405" t="inlineStr">
        <is>
          <t>21:51:00</t>
        </is>
      </c>
      <c r="G2405" t="inlineStr"/>
      <c r="H2405" t="inlineStr">
        <is>
          <t>DI DALAM</t>
        </is>
      </c>
      <c r="I2405" t="inlineStr">
        <is>
          <t>MK00109</t>
        </is>
      </c>
      <c r="J2405" t="inlineStr"/>
    </row>
    <row r="2406">
      <c r="A2406" t="inlineStr">
        <is>
          <t>28/07/2026</t>
        </is>
      </c>
      <c r="B2406" t="inlineStr">
        <is>
          <t>528000286</t>
        </is>
      </c>
      <c r="C2406" t="inlineStr">
        <is>
          <t>Imelda Amelia</t>
        </is>
      </c>
      <c r="D2406" t="inlineStr">
        <is>
          <t>PROD</t>
        </is>
      </c>
      <c r="E2406" t="inlineStr">
        <is>
          <t>Produksi Harian</t>
        </is>
      </c>
      <c r="F2406" t="inlineStr"/>
      <c r="G2406" t="inlineStr">
        <is>
          <t>06:04:01</t>
        </is>
      </c>
      <c r="H2406" t="inlineStr">
        <is>
          <t>KELUAR TANPA MASUK</t>
        </is>
      </c>
      <c r="I2406" t="inlineStr">
        <is>
          <t>MK00230</t>
        </is>
      </c>
      <c r="J2406" t="inlineStr"/>
    </row>
    <row r="2407">
      <c r="A2407" t="inlineStr">
        <is>
          <t>28/07/2026</t>
        </is>
      </c>
      <c r="B2407" t="inlineStr">
        <is>
          <t>528000290</t>
        </is>
      </c>
      <c r="C2407" t="inlineStr">
        <is>
          <t>Eval Pranata</t>
        </is>
      </c>
      <c r="D2407" t="inlineStr">
        <is>
          <t>PROD</t>
        </is>
      </c>
      <c r="E2407" t="inlineStr">
        <is>
          <t>Produksi Harian</t>
        </is>
      </c>
      <c r="F2407" t="inlineStr"/>
      <c r="G2407" t="inlineStr">
        <is>
          <t>06:20:16</t>
        </is>
      </c>
      <c r="H2407" t="inlineStr">
        <is>
          <t>KELUAR TANPA MASUK</t>
        </is>
      </c>
      <c r="I2407" t="inlineStr">
        <is>
          <t>MK00217</t>
        </is>
      </c>
      <c r="J2407" t="inlineStr"/>
    </row>
    <row r="2408">
      <c r="A2408" t="inlineStr">
        <is>
          <t>28/07/2026</t>
        </is>
      </c>
      <c r="B2408" t="inlineStr">
        <is>
          <t>528000291</t>
        </is>
      </c>
      <c r="C2408" t="inlineStr">
        <is>
          <t>Andrian</t>
        </is>
      </c>
      <c r="D2408" t="inlineStr">
        <is>
          <t>PROD</t>
        </is>
      </c>
      <c r="E2408" t="inlineStr">
        <is>
          <t>Produksi Harian</t>
        </is>
      </c>
      <c r="F2408" t="inlineStr">
        <is>
          <t>21:49:36</t>
        </is>
      </c>
      <c r="G2408" t="inlineStr"/>
      <c r="H2408" t="inlineStr">
        <is>
          <t>DI DALAM</t>
        </is>
      </c>
      <c r="I2408" t="inlineStr">
        <is>
          <t>MK00181</t>
        </is>
      </c>
      <c r="J2408" t="inlineStr"/>
    </row>
    <row r="2409">
      <c r="A2409" t="inlineStr">
        <is>
          <t>28/07/2026</t>
        </is>
      </c>
      <c r="B2409" t="inlineStr">
        <is>
          <t>528000297</t>
        </is>
      </c>
      <c r="C2409" t="inlineStr">
        <is>
          <t>Muhamad Budiana</t>
        </is>
      </c>
      <c r="D2409" t="inlineStr">
        <is>
          <t>PROD</t>
        </is>
      </c>
      <c r="E2409" t="inlineStr">
        <is>
          <t>Produksi Harian</t>
        </is>
      </c>
      <c r="F2409" t="inlineStr">
        <is>
          <t>13:47:17</t>
        </is>
      </c>
      <c r="G2409" t="inlineStr">
        <is>
          <t>22:38:24</t>
        </is>
      </c>
      <c r="H2409" t="inlineStr">
        <is>
          <t>SELESAI</t>
        </is>
      </c>
      <c r="I2409" t="inlineStr">
        <is>
          <t>MK00185</t>
        </is>
      </c>
      <c r="J2409" t="inlineStr"/>
    </row>
    <row r="2410">
      <c r="A2410" t="inlineStr">
        <is>
          <t>28/07/2026</t>
        </is>
      </c>
      <c r="B2410" t="inlineStr">
        <is>
          <t>528000298</t>
        </is>
      </c>
      <c r="C2410" t="inlineStr">
        <is>
          <t>Desta Cahaya Pratama</t>
        </is>
      </c>
      <c r="D2410" t="inlineStr">
        <is>
          <t>PROD</t>
        </is>
      </c>
      <c r="E2410" t="inlineStr">
        <is>
          <t>Produksi Harian</t>
        </is>
      </c>
      <c r="F2410" t="inlineStr">
        <is>
          <t>05:47:24</t>
        </is>
      </c>
      <c r="G2410" t="inlineStr">
        <is>
          <t>14:04:15</t>
        </is>
      </c>
      <c r="H2410" t="inlineStr">
        <is>
          <t>SELESAI</t>
        </is>
      </c>
      <c r="I2410" t="inlineStr">
        <is>
          <t>MK00230</t>
        </is>
      </c>
      <c r="J2410" t="inlineStr"/>
    </row>
    <row r="2411">
      <c r="A2411" t="inlineStr">
        <is>
          <t>28/07/2026</t>
        </is>
      </c>
      <c r="B2411" t="inlineStr">
        <is>
          <t>528000299</t>
        </is>
      </c>
      <c r="C2411" t="inlineStr">
        <is>
          <t>Siti Nurjanah</t>
        </is>
      </c>
      <c r="D2411" t="inlineStr">
        <is>
          <t>PROD</t>
        </is>
      </c>
      <c r="E2411" t="inlineStr">
        <is>
          <t>Produksi Harian</t>
        </is>
      </c>
      <c r="F2411" t="inlineStr">
        <is>
          <t>05:35:50</t>
        </is>
      </c>
      <c r="G2411" t="inlineStr">
        <is>
          <t>14:06:36</t>
        </is>
      </c>
      <c r="H2411" t="inlineStr">
        <is>
          <t>SELESAI</t>
        </is>
      </c>
      <c r="I2411" t="inlineStr">
        <is>
          <t>MK00250</t>
        </is>
      </c>
      <c r="J2411" t="inlineStr"/>
    </row>
    <row r="2412">
      <c r="A2412" t="inlineStr">
        <is>
          <t>28/07/2026</t>
        </is>
      </c>
      <c r="B2412" t="inlineStr">
        <is>
          <t>528000300</t>
        </is>
      </c>
      <c r="C2412" t="inlineStr">
        <is>
          <t>Lia pitaloka</t>
        </is>
      </c>
      <c r="D2412" t="inlineStr">
        <is>
          <t>PROD</t>
        </is>
      </c>
      <c r="E2412" t="inlineStr">
        <is>
          <t>Produksi Harian</t>
        </is>
      </c>
      <c r="F2412" t="inlineStr">
        <is>
          <t>13:58:11</t>
        </is>
      </c>
      <c r="G2412" t="inlineStr">
        <is>
          <t>22:03:44</t>
        </is>
      </c>
      <c r="H2412" t="inlineStr">
        <is>
          <t>SELESAI</t>
        </is>
      </c>
      <c r="I2412" t="inlineStr">
        <is>
          <t>MK00212</t>
        </is>
      </c>
      <c r="J2412" t="inlineStr"/>
    </row>
    <row r="2413">
      <c r="A2413" t="inlineStr">
        <is>
          <t>28/07/2026</t>
        </is>
      </c>
      <c r="B2413" t="inlineStr">
        <is>
          <t>528000302</t>
        </is>
      </c>
      <c r="C2413" t="inlineStr">
        <is>
          <t>Henkey gumilar</t>
        </is>
      </c>
      <c r="D2413" t="inlineStr">
        <is>
          <t>PROD</t>
        </is>
      </c>
      <c r="E2413" t="inlineStr">
        <is>
          <t>Produksi Harian</t>
        </is>
      </c>
      <c r="F2413" t="inlineStr">
        <is>
          <t>05:53:47</t>
        </is>
      </c>
      <c r="G2413" t="inlineStr"/>
      <c r="H2413" t="inlineStr">
        <is>
          <t>DI DALAM</t>
        </is>
      </c>
      <c r="I2413" t="inlineStr">
        <is>
          <t>MK0095</t>
        </is>
      </c>
      <c r="J2413" t="inlineStr"/>
    </row>
    <row r="2414">
      <c r="A2414" t="inlineStr">
        <is>
          <t>28/07/2026</t>
        </is>
      </c>
      <c r="B2414" t="inlineStr">
        <is>
          <t>528000305</t>
        </is>
      </c>
      <c r="C2414" t="inlineStr">
        <is>
          <t>Puji Puspita</t>
        </is>
      </c>
      <c r="D2414" t="inlineStr">
        <is>
          <t>PROD</t>
        </is>
      </c>
      <c r="E2414" t="inlineStr">
        <is>
          <t>Produksi Harian</t>
        </is>
      </c>
      <c r="F2414" t="inlineStr">
        <is>
          <t>05:35:26</t>
        </is>
      </c>
      <c r="G2414" t="inlineStr">
        <is>
          <t>14:01:55</t>
        </is>
      </c>
      <c r="H2414" t="inlineStr">
        <is>
          <t>SELESAI</t>
        </is>
      </c>
      <c r="I2414" t="inlineStr">
        <is>
          <t>MK00136</t>
        </is>
      </c>
      <c r="J2414" t="inlineStr"/>
    </row>
    <row r="2415">
      <c r="A2415" t="inlineStr">
        <is>
          <t>28/07/2026</t>
        </is>
      </c>
      <c r="B2415" t="inlineStr">
        <is>
          <t>528000306</t>
        </is>
      </c>
      <c r="C2415" t="inlineStr">
        <is>
          <t>Windy Olivia</t>
        </is>
      </c>
      <c r="D2415" t="inlineStr">
        <is>
          <t>PROD</t>
        </is>
      </c>
      <c r="E2415" t="inlineStr">
        <is>
          <t>Produksi Harian</t>
        </is>
      </c>
      <c r="F2415" t="inlineStr">
        <is>
          <t>21:39:33</t>
        </is>
      </c>
      <c r="G2415" t="inlineStr">
        <is>
          <t>06:00:46</t>
        </is>
      </c>
      <c r="H2415" t="inlineStr">
        <is>
          <t>SELESAI</t>
        </is>
      </c>
      <c r="I2415" t="inlineStr">
        <is>
          <t>MK00230</t>
        </is>
      </c>
      <c r="J2415" t="inlineStr"/>
    </row>
    <row r="2416">
      <c r="A2416" t="inlineStr">
        <is>
          <t>28/07/2026</t>
        </is>
      </c>
      <c r="B2416" t="inlineStr">
        <is>
          <t>528000309</t>
        </is>
      </c>
      <c r="C2416" t="inlineStr">
        <is>
          <t>Ilham Ramadhan</t>
        </is>
      </c>
      <c r="D2416" t="inlineStr">
        <is>
          <t>LOG</t>
        </is>
      </c>
      <c r="E2416" t="inlineStr">
        <is>
          <t>WRM Harian</t>
        </is>
      </c>
      <c r="F2416" t="inlineStr">
        <is>
          <t>05:53:24</t>
        </is>
      </c>
      <c r="G2416" t="inlineStr">
        <is>
          <t>05:57:33</t>
        </is>
      </c>
      <c r="H2416" t="inlineStr">
        <is>
          <t>SELESAI</t>
        </is>
      </c>
      <c r="I2416" t="inlineStr">
        <is>
          <t>MK00235</t>
        </is>
      </c>
      <c r="J2416" t="inlineStr"/>
    </row>
    <row r="2417">
      <c r="A2417" t="inlineStr">
        <is>
          <t>28/07/2026</t>
        </is>
      </c>
      <c r="B2417" t="inlineStr">
        <is>
          <t>528000313</t>
        </is>
      </c>
      <c r="C2417" t="inlineStr">
        <is>
          <t>Muhamad Rifki</t>
        </is>
      </c>
      <c r="D2417" t="inlineStr">
        <is>
          <t>PROD</t>
        </is>
      </c>
      <c r="E2417" t="inlineStr">
        <is>
          <t>Produksi Harian</t>
        </is>
      </c>
      <c r="F2417" t="inlineStr">
        <is>
          <t>09:58:23</t>
        </is>
      </c>
      <c r="G2417" t="inlineStr">
        <is>
          <t>14:05:07</t>
        </is>
      </c>
      <c r="H2417" t="inlineStr">
        <is>
          <t>SELESAI</t>
        </is>
      </c>
      <c r="I2417" t="inlineStr">
        <is>
          <t>MK00213</t>
        </is>
      </c>
      <c r="J2417" t="inlineStr"/>
    </row>
    <row r="2418">
      <c r="A2418" t="inlineStr">
        <is>
          <t>28/07/2026</t>
        </is>
      </c>
      <c r="B2418" t="inlineStr">
        <is>
          <t>528000314</t>
        </is>
      </c>
      <c r="C2418" t="inlineStr">
        <is>
          <t>Rusmana</t>
        </is>
      </c>
      <c r="D2418" t="inlineStr">
        <is>
          <t>PROD</t>
        </is>
      </c>
      <c r="E2418" t="inlineStr">
        <is>
          <t>Produksi Harian</t>
        </is>
      </c>
      <c r="F2418" t="inlineStr">
        <is>
          <t>21:54:16</t>
        </is>
      </c>
      <c r="G2418" t="inlineStr"/>
      <c r="H2418" t="inlineStr">
        <is>
          <t>DI DALAM</t>
        </is>
      </c>
      <c r="I2418" t="inlineStr">
        <is>
          <t>MK00125</t>
        </is>
      </c>
      <c r="J2418" t="inlineStr"/>
    </row>
    <row r="2419">
      <c r="A2419" t="inlineStr">
        <is>
          <t>28/07/2026</t>
        </is>
      </c>
      <c r="B2419" t="inlineStr">
        <is>
          <t>528000318</t>
        </is>
      </c>
      <c r="C2419" t="inlineStr">
        <is>
          <t>Bayu Padli Sepriyana</t>
        </is>
      </c>
      <c r="D2419" t="inlineStr">
        <is>
          <t>LOG</t>
        </is>
      </c>
      <c r="E2419" t="inlineStr">
        <is>
          <t>WRM Harian</t>
        </is>
      </c>
      <c r="F2419" t="inlineStr">
        <is>
          <t>05:48:14</t>
        </is>
      </c>
      <c r="G2419" t="inlineStr">
        <is>
          <t>14:02:36</t>
        </is>
      </c>
      <c r="H2419" t="inlineStr">
        <is>
          <t>SELESAI</t>
        </is>
      </c>
      <c r="I2419" t="inlineStr">
        <is>
          <t>MK00085</t>
        </is>
      </c>
      <c r="J2419" t="inlineStr"/>
    </row>
    <row r="2420">
      <c r="A2420" t="inlineStr">
        <is>
          <t>28/07/2026</t>
        </is>
      </c>
      <c r="B2420" t="inlineStr">
        <is>
          <t>528000322</t>
        </is>
      </c>
      <c r="C2420" t="inlineStr">
        <is>
          <t>Muhamad Aliludin</t>
        </is>
      </c>
      <c r="D2420" t="inlineStr">
        <is>
          <t>PROD</t>
        </is>
      </c>
      <c r="E2420" t="inlineStr">
        <is>
          <t>Produksi Harian</t>
        </is>
      </c>
      <c r="F2420" t="inlineStr">
        <is>
          <t>09:59:26</t>
        </is>
      </c>
      <c r="G2420" t="inlineStr">
        <is>
          <t>14:03:49</t>
        </is>
      </c>
      <c r="H2420" t="inlineStr">
        <is>
          <t>SELESAI</t>
        </is>
      </c>
      <c r="I2420" t="inlineStr">
        <is>
          <t>MK00113</t>
        </is>
      </c>
      <c r="J2420" t="inlineStr"/>
    </row>
    <row r="2421">
      <c r="A2421" t="inlineStr">
        <is>
          <t>28/07/2026</t>
        </is>
      </c>
      <c r="B2421" t="inlineStr">
        <is>
          <t>528000324</t>
        </is>
      </c>
      <c r="C2421" t="inlineStr">
        <is>
          <t>Sri Yanti</t>
        </is>
      </c>
      <c r="D2421" t="inlineStr">
        <is>
          <t>PROD</t>
        </is>
      </c>
      <c r="E2421" t="inlineStr">
        <is>
          <t>Produksi Harian</t>
        </is>
      </c>
      <c r="F2421" t="inlineStr">
        <is>
          <t>13:18:23</t>
        </is>
      </c>
      <c r="G2421" t="inlineStr">
        <is>
          <t>22:01:17</t>
        </is>
      </c>
      <c r="H2421" t="inlineStr">
        <is>
          <t>SELESAI</t>
        </is>
      </c>
      <c r="I2421" t="inlineStr">
        <is>
          <t>MK00181</t>
        </is>
      </c>
      <c r="J2421" t="inlineStr"/>
    </row>
    <row r="2422">
      <c r="A2422" t="inlineStr">
        <is>
          <t>28/07/2026</t>
        </is>
      </c>
      <c r="B2422" t="inlineStr">
        <is>
          <t>528000325</t>
        </is>
      </c>
      <c r="C2422" t="inlineStr">
        <is>
          <t>Rani Septia Ramadani</t>
        </is>
      </c>
      <c r="D2422" t="inlineStr">
        <is>
          <t>PROD</t>
        </is>
      </c>
      <c r="E2422" t="inlineStr">
        <is>
          <t>Produksi Harian</t>
        </is>
      </c>
      <c r="F2422" t="inlineStr">
        <is>
          <t>05:41:09</t>
        </is>
      </c>
      <c r="G2422" t="inlineStr">
        <is>
          <t>14:03:02</t>
        </is>
      </c>
      <c r="H2422" t="inlineStr">
        <is>
          <t>SELESAI</t>
        </is>
      </c>
      <c r="I2422" t="inlineStr">
        <is>
          <t>MK00138</t>
        </is>
      </c>
      <c r="J2422" t="inlineStr"/>
    </row>
    <row r="2423">
      <c r="A2423" t="inlineStr">
        <is>
          <t>28/07/2026</t>
        </is>
      </c>
      <c r="B2423" t="inlineStr">
        <is>
          <t>528000328</t>
        </is>
      </c>
      <c r="C2423" t="inlineStr">
        <is>
          <t>Nur Anjani</t>
        </is>
      </c>
      <c r="D2423" t="inlineStr">
        <is>
          <t>PROD</t>
        </is>
      </c>
      <c r="E2423" t="inlineStr">
        <is>
          <t>Produksi Harian</t>
        </is>
      </c>
      <c r="F2423" t="inlineStr">
        <is>
          <t>21:42:44</t>
        </is>
      </c>
      <c r="G2423" t="inlineStr"/>
      <c r="H2423" t="inlineStr">
        <is>
          <t>DI DALAM</t>
        </is>
      </c>
      <c r="I2423" t="inlineStr">
        <is>
          <t>MK00136</t>
        </is>
      </c>
      <c r="J2423" t="inlineStr"/>
    </row>
    <row r="2424">
      <c r="A2424" t="inlineStr">
        <is>
          <t>28/07/2026</t>
        </is>
      </c>
      <c r="B2424" t="inlineStr">
        <is>
          <t>528000335</t>
        </is>
      </c>
      <c r="C2424" t="inlineStr">
        <is>
          <t>Rizal Saepuloh</t>
        </is>
      </c>
      <c r="D2424" t="inlineStr">
        <is>
          <t>LOG</t>
        </is>
      </c>
      <c r="E2424" t="inlineStr">
        <is>
          <t>WRM Harian</t>
        </is>
      </c>
      <c r="F2424" t="inlineStr">
        <is>
          <t>07:54:39</t>
        </is>
      </c>
      <c r="G2424" t="inlineStr">
        <is>
          <t>16:05:50</t>
        </is>
      </c>
      <c r="H2424" t="inlineStr">
        <is>
          <t>SELESAI</t>
        </is>
      </c>
      <c r="I2424" t="inlineStr">
        <is>
          <t>MK00204</t>
        </is>
      </c>
      <c r="J2424" t="inlineStr"/>
    </row>
    <row r="2425">
      <c r="A2425" t="inlineStr">
        <is>
          <t>28/07/2026</t>
        </is>
      </c>
      <c r="B2425" t="inlineStr">
        <is>
          <t>528000339</t>
        </is>
      </c>
      <c r="C2425" t="inlineStr">
        <is>
          <t>Muhamad Ripai'i</t>
        </is>
      </c>
      <c r="D2425" t="inlineStr">
        <is>
          <t>HRGA</t>
        </is>
      </c>
      <c r="E2425" t="inlineStr">
        <is>
          <t>GA Harian</t>
        </is>
      </c>
      <c r="F2425" t="inlineStr"/>
      <c r="G2425" t="inlineStr">
        <is>
          <t>06:06:31</t>
        </is>
      </c>
      <c r="H2425" t="inlineStr">
        <is>
          <t>KELUAR TANPA MASUK</t>
        </is>
      </c>
      <c r="I2425" t="inlineStr">
        <is>
          <t>MK00213</t>
        </is>
      </c>
      <c r="J2425" t="inlineStr"/>
    </row>
    <row r="2426">
      <c r="A2426" t="inlineStr">
        <is>
          <t>28/07/2026</t>
        </is>
      </c>
      <c r="B2426" t="inlineStr">
        <is>
          <t>528000340</t>
        </is>
      </c>
      <c r="C2426" t="inlineStr">
        <is>
          <t>Muhammad Wildan Adithya</t>
        </is>
      </c>
      <c r="D2426" t="inlineStr">
        <is>
          <t>PROD</t>
        </is>
      </c>
      <c r="E2426" t="inlineStr">
        <is>
          <t>Produksi Harian</t>
        </is>
      </c>
      <c r="F2426" t="inlineStr">
        <is>
          <t>05:49:34</t>
        </is>
      </c>
      <c r="G2426" t="inlineStr">
        <is>
          <t>14:05:31</t>
        </is>
      </c>
      <c r="H2426" t="inlineStr">
        <is>
          <t>SELESAI</t>
        </is>
      </c>
      <c r="I2426" t="inlineStr">
        <is>
          <t>MK00160</t>
        </is>
      </c>
      <c r="J2426" t="inlineStr"/>
    </row>
    <row r="2427">
      <c r="A2427" t="inlineStr">
        <is>
          <t>28/07/2026</t>
        </is>
      </c>
      <c r="B2427" t="inlineStr">
        <is>
          <t>528000348</t>
        </is>
      </c>
      <c r="C2427" t="inlineStr">
        <is>
          <t>Saepuloh Ardiansah</t>
        </is>
      </c>
      <c r="D2427" t="inlineStr">
        <is>
          <t>LOG</t>
        </is>
      </c>
      <c r="E2427" t="inlineStr">
        <is>
          <t>WRM Harian</t>
        </is>
      </c>
      <c r="F2427" t="inlineStr">
        <is>
          <t>08:53:24</t>
        </is>
      </c>
      <c r="G2427" t="inlineStr"/>
      <c r="H2427" t="inlineStr">
        <is>
          <t>DI DALAM</t>
        </is>
      </c>
      <c r="I2427" t="inlineStr">
        <is>
          <t>MK00205</t>
        </is>
      </c>
      <c r="J2427" t="inlineStr"/>
    </row>
    <row r="2428">
      <c r="A2428" t="inlineStr">
        <is>
          <t>28/07/2026</t>
        </is>
      </c>
      <c r="B2428" t="inlineStr">
        <is>
          <t>528000349</t>
        </is>
      </c>
      <c r="C2428" t="inlineStr">
        <is>
          <t>Anas Abdul Fatah</t>
        </is>
      </c>
      <c r="D2428" t="inlineStr">
        <is>
          <t>LOG</t>
        </is>
      </c>
      <c r="E2428" t="inlineStr">
        <is>
          <t>WFG Harian</t>
        </is>
      </c>
      <c r="F2428" t="inlineStr">
        <is>
          <t>09:51:22</t>
        </is>
      </c>
      <c r="G2428" t="inlineStr">
        <is>
          <t>18:14:36</t>
        </is>
      </c>
      <c r="H2428" t="inlineStr">
        <is>
          <t>SELESAI</t>
        </is>
      </c>
      <c r="I2428" t="inlineStr">
        <is>
          <t>MK00184</t>
        </is>
      </c>
      <c r="J2428" t="inlineStr"/>
    </row>
    <row r="2429">
      <c r="A2429" t="inlineStr">
        <is>
          <t>28/07/2026</t>
        </is>
      </c>
      <c r="B2429" t="inlineStr">
        <is>
          <t>528000351</t>
        </is>
      </c>
      <c r="C2429" t="inlineStr">
        <is>
          <t>Mulyana</t>
        </is>
      </c>
      <c r="D2429" t="inlineStr">
        <is>
          <t>PROD</t>
        </is>
      </c>
      <c r="E2429" t="inlineStr">
        <is>
          <t>Produksi Harian</t>
        </is>
      </c>
      <c r="F2429" t="inlineStr">
        <is>
          <t>07:45:47</t>
        </is>
      </c>
      <c r="G2429" t="inlineStr">
        <is>
          <t>16:01:07</t>
        </is>
      </c>
      <c r="H2429" t="inlineStr">
        <is>
          <t>SELESAI</t>
        </is>
      </c>
      <c r="I2429" t="inlineStr">
        <is>
          <t>MK00055</t>
        </is>
      </c>
      <c r="J2429" t="inlineStr"/>
    </row>
    <row r="2430">
      <c r="A2430" t="inlineStr">
        <is>
          <t>28/07/2026</t>
        </is>
      </c>
      <c r="B2430" t="inlineStr">
        <is>
          <t>528000358</t>
        </is>
      </c>
      <c r="C2430" t="inlineStr">
        <is>
          <t>Lulu Agustin</t>
        </is>
      </c>
      <c r="D2430" t="inlineStr">
        <is>
          <t>PROD</t>
        </is>
      </c>
      <c r="E2430" t="inlineStr">
        <is>
          <t>Produksi Harian</t>
        </is>
      </c>
      <c r="F2430" t="inlineStr">
        <is>
          <t>21:50:57</t>
        </is>
      </c>
      <c r="G2430" t="inlineStr"/>
      <c r="H2430" t="inlineStr">
        <is>
          <t>DI DALAM</t>
        </is>
      </c>
      <c r="I2430" t="inlineStr">
        <is>
          <t>MK00220</t>
        </is>
      </c>
      <c r="J2430" t="inlineStr"/>
    </row>
    <row r="2431">
      <c r="A2431" t="inlineStr">
        <is>
          <t>28/07/2026</t>
        </is>
      </c>
      <c r="B2431" t="inlineStr">
        <is>
          <t>528000360</t>
        </is>
      </c>
      <c r="C2431" t="inlineStr">
        <is>
          <t>Hendra Permana</t>
        </is>
      </c>
      <c r="D2431" t="inlineStr">
        <is>
          <t>ENG</t>
        </is>
      </c>
      <c r="E2431" t="inlineStr">
        <is>
          <t>Engineering Harian</t>
        </is>
      </c>
      <c r="F2431" t="inlineStr">
        <is>
          <t>21:47:47</t>
        </is>
      </c>
      <c r="G2431" t="inlineStr"/>
      <c r="H2431" t="inlineStr">
        <is>
          <t>DI DALAM</t>
        </is>
      </c>
      <c r="I2431" t="inlineStr">
        <is>
          <t>MK00186</t>
        </is>
      </c>
      <c r="J2431" t="inlineStr"/>
    </row>
    <row r="2432">
      <c r="A2432" t="inlineStr">
        <is>
          <t>28/07/2026</t>
        </is>
      </c>
      <c r="B2432" t="inlineStr">
        <is>
          <t>528000361</t>
        </is>
      </c>
      <c r="C2432" t="inlineStr">
        <is>
          <t>Denada Munggarani</t>
        </is>
      </c>
      <c r="D2432" t="inlineStr">
        <is>
          <t>PROD</t>
        </is>
      </c>
      <c r="E2432" t="inlineStr">
        <is>
          <t>Produksi Harian</t>
        </is>
      </c>
      <c r="F2432" t="inlineStr">
        <is>
          <t>05:51:20</t>
        </is>
      </c>
      <c r="G2432" t="inlineStr">
        <is>
          <t>14:48:21</t>
        </is>
      </c>
      <c r="H2432" t="inlineStr">
        <is>
          <t>SELESAI</t>
        </is>
      </c>
      <c r="I2432" t="inlineStr">
        <is>
          <t>MK00186</t>
        </is>
      </c>
      <c r="J2432" t="inlineStr"/>
    </row>
    <row r="2433">
      <c r="A2433" t="inlineStr">
        <is>
          <t>28/07/2026</t>
        </is>
      </c>
      <c r="B2433" t="inlineStr">
        <is>
          <t>628000018</t>
        </is>
      </c>
      <c r="C2433" t="inlineStr">
        <is>
          <t>Annisa Tri Pratiwi</t>
        </is>
      </c>
      <c r="D2433" t="inlineStr">
        <is>
          <t>PROD</t>
        </is>
      </c>
      <c r="E2433" t="inlineStr">
        <is>
          <t>Produksi Borongan</t>
        </is>
      </c>
      <c r="F2433" t="inlineStr">
        <is>
          <t>13:52:34</t>
        </is>
      </c>
      <c r="G2433" t="inlineStr">
        <is>
          <t>22:03:08</t>
        </is>
      </c>
      <c r="H2433" t="inlineStr">
        <is>
          <t>SELESAI</t>
        </is>
      </c>
      <c r="I2433" t="inlineStr">
        <is>
          <t>MK00121</t>
        </is>
      </c>
      <c r="J2433" t="inlineStr"/>
    </row>
    <row r="2434">
      <c r="A2434" t="inlineStr">
        <is>
          <t>28/07/2026</t>
        </is>
      </c>
      <c r="B2434" t="inlineStr">
        <is>
          <t>628000064</t>
        </is>
      </c>
      <c r="C2434" t="inlineStr">
        <is>
          <t>Silva Alypia</t>
        </is>
      </c>
      <c r="D2434" t="inlineStr">
        <is>
          <t>PROD</t>
        </is>
      </c>
      <c r="E2434" t="inlineStr">
        <is>
          <t>Produksi Borongan</t>
        </is>
      </c>
      <c r="F2434" t="inlineStr">
        <is>
          <t>13:53:31</t>
        </is>
      </c>
      <c r="G2434" t="inlineStr">
        <is>
          <t>22:04:10</t>
        </is>
      </c>
      <c r="H2434" t="inlineStr">
        <is>
          <t>SELESAI</t>
        </is>
      </c>
      <c r="I2434" t="inlineStr">
        <is>
          <t>MK00218</t>
        </is>
      </c>
      <c r="J2434" t="inlineStr"/>
    </row>
    <row r="2435">
      <c r="A2435" t="inlineStr">
        <is>
          <t>28/07/2026</t>
        </is>
      </c>
      <c r="B2435" t="inlineStr">
        <is>
          <t>628000091</t>
        </is>
      </c>
      <c r="C2435" t="inlineStr">
        <is>
          <t>Devita Handayani</t>
        </is>
      </c>
      <c r="D2435" t="inlineStr">
        <is>
          <t>PROD</t>
        </is>
      </c>
      <c r="E2435" t="inlineStr">
        <is>
          <t>Produksi Borongan</t>
        </is>
      </c>
      <c r="F2435" t="inlineStr"/>
      <c r="G2435" t="inlineStr">
        <is>
          <t>09:54:12</t>
        </is>
      </c>
      <c r="H2435" t="inlineStr">
        <is>
          <t>KELUAR TANPA MASUK</t>
        </is>
      </c>
      <c r="I2435" t="inlineStr">
        <is>
          <t>MK00113</t>
        </is>
      </c>
      <c r="J2435" t="inlineStr"/>
    </row>
    <row r="2436">
      <c r="A2436" t="inlineStr">
        <is>
          <t>29/07/2026</t>
        </is>
      </c>
      <c r="B2436" t="inlineStr">
        <is>
          <t>528000015</t>
        </is>
      </c>
      <c r="C2436" t="inlineStr">
        <is>
          <t>Erwin</t>
        </is>
      </c>
      <c r="D2436" t="inlineStr">
        <is>
          <t>LOG</t>
        </is>
      </c>
      <c r="E2436" t="inlineStr">
        <is>
          <t>WRM Harian</t>
        </is>
      </c>
      <c r="F2436" t="inlineStr">
        <is>
          <t>05:52:06</t>
        </is>
      </c>
      <c r="G2436" t="inlineStr">
        <is>
          <t>16:05:35</t>
        </is>
      </c>
      <c r="H2436" t="inlineStr">
        <is>
          <t>SELESAI</t>
        </is>
      </c>
      <c r="I2436" t="inlineStr">
        <is>
          <t>MK00115</t>
        </is>
      </c>
      <c r="J2436" t="inlineStr"/>
    </row>
    <row r="2437">
      <c r="A2437" t="inlineStr">
        <is>
          <t>29/07/2026</t>
        </is>
      </c>
      <c r="B2437" t="inlineStr">
        <is>
          <t>528000040</t>
        </is>
      </c>
      <c r="C2437" t="inlineStr">
        <is>
          <t>Agus Suryaman</t>
        </is>
      </c>
      <c r="D2437" t="inlineStr">
        <is>
          <t>PROD</t>
        </is>
      </c>
      <c r="E2437" t="inlineStr">
        <is>
          <t>Produksi Harian</t>
        </is>
      </c>
      <c r="F2437" t="inlineStr">
        <is>
          <t>08:46:18</t>
        </is>
      </c>
      <c r="G2437" t="inlineStr">
        <is>
          <t>17:24:16</t>
        </is>
      </c>
      <c r="H2437" t="inlineStr">
        <is>
          <t>SELESAI</t>
        </is>
      </c>
      <c r="I2437" t="inlineStr">
        <is>
          <t>MK00141</t>
        </is>
      </c>
      <c r="J2437" t="inlineStr"/>
    </row>
    <row r="2438">
      <c r="A2438" t="inlineStr">
        <is>
          <t>29/07/2026</t>
        </is>
      </c>
      <c r="B2438" t="inlineStr">
        <is>
          <t>528000052</t>
        </is>
      </c>
      <c r="C2438" t="inlineStr">
        <is>
          <t>Mustopa</t>
        </is>
      </c>
      <c r="D2438" t="inlineStr">
        <is>
          <t>PROD</t>
        </is>
      </c>
      <c r="E2438" t="inlineStr">
        <is>
          <t>Produksi Harian</t>
        </is>
      </c>
      <c r="F2438" t="inlineStr">
        <is>
          <t>20:53:02</t>
        </is>
      </c>
      <c r="G2438" t="inlineStr">
        <is>
          <t>06:03:43</t>
        </is>
      </c>
      <c r="H2438" t="inlineStr">
        <is>
          <t>SELESAI</t>
        </is>
      </c>
      <c r="I2438" t="inlineStr">
        <is>
          <t>MK00145</t>
        </is>
      </c>
      <c r="J2438" t="inlineStr"/>
    </row>
    <row r="2439">
      <c r="A2439" t="inlineStr">
        <is>
          <t>29/07/2026</t>
        </is>
      </c>
      <c r="B2439" t="inlineStr">
        <is>
          <t>528000144</t>
        </is>
      </c>
      <c r="C2439" t="inlineStr">
        <is>
          <t>Jodi Hanafi</t>
        </is>
      </c>
      <c r="D2439" t="inlineStr">
        <is>
          <t>LOG</t>
        </is>
      </c>
      <c r="E2439" t="inlineStr">
        <is>
          <t>WRM Harian</t>
        </is>
      </c>
      <c r="F2439" t="inlineStr">
        <is>
          <t>07:43:26</t>
        </is>
      </c>
      <c r="G2439" t="inlineStr">
        <is>
          <t>19:43:45</t>
        </is>
      </c>
      <c r="H2439" t="inlineStr">
        <is>
          <t>SELESAI</t>
        </is>
      </c>
      <c r="I2439" t="inlineStr">
        <is>
          <t>MK00221</t>
        </is>
      </c>
      <c r="J2439" t="inlineStr"/>
    </row>
    <row r="2440">
      <c r="A2440" t="inlineStr">
        <is>
          <t>29/07/2026</t>
        </is>
      </c>
      <c r="B2440" t="inlineStr">
        <is>
          <t>528000149</t>
        </is>
      </c>
      <c r="C2440" t="inlineStr">
        <is>
          <t>Tio Fernanda</t>
        </is>
      </c>
      <c r="D2440" t="inlineStr">
        <is>
          <t>LOG</t>
        </is>
      </c>
      <c r="E2440" t="inlineStr">
        <is>
          <t>WRM Harian</t>
        </is>
      </c>
      <c r="F2440" t="inlineStr">
        <is>
          <t>08:58:21</t>
        </is>
      </c>
      <c r="G2440" t="inlineStr">
        <is>
          <t>08:58:10</t>
        </is>
      </c>
      <c r="H2440" t="inlineStr">
        <is>
          <t>SELESAI</t>
        </is>
      </c>
      <c r="I2440" t="inlineStr">
        <is>
          <t>MK0130</t>
        </is>
      </c>
      <c r="J2440" t="inlineStr"/>
    </row>
    <row r="2441">
      <c r="A2441" t="inlineStr">
        <is>
          <t>29/07/2026</t>
        </is>
      </c>
      <c r="B2441" t="inlineStr">
        <is>
          <t>528000195</t>
        </is>
      </c>
      <c r="C2441" t="inlineStr">
        <is>
          <t>Rahma Sariwati</t>
        </is>
      </c>
      <c r="D2441" t="inlineStr">
        <is>
          <t>PROD</t>
        </is>
      </c>
      <c r="E2441" t="inlineStr">
        <is>
          <t>Produksi Harian</t>
        </is>
      </c>
      <c r="F2441" t="inlineStr">
        <is>
          <t>21:36:10</t>
        </is>
      </c>
      <c r="G2441" t="inlineStr"/>
      <c r="H2441" t="inlineStr">
        <is>
          <t>DI DALAM</t>
        </is>
      </c>
      <c r="I2441" t="inlineStr">
        <is>
          <t>MK00136</t>
        </is>
      </c>
      <c r="J2441" t="inlineStr"/>
    </row>
    <row r="2442">
      <c r="A2442" t="inlineStr">
        <is>
          <t>29/07/2026</t>
        </is>
      </c>
      <c r="B2442" t="inlineStr">
        <is>
          <t>528000232</t>
        </is>
      </c>
      <c r="C2442" t="inlineStr">
        <is>
          <t>Agung Aji Suhada</t>
        </is>
      </c>
      <c r="D2442" t="inlineStr">
        <is>
          <t>LOG</t>
        </is>
      </c>
      <c r="E2442" t="inlineStr">
        <is>
          <t>WRM Harian</t>
        </is>
      </c>
      <c r="F2442" t="inlineStr">
        <is>
          <t>08:57:19</t>
        </is>
      </c>
      <c r="G2442" t="inlineStr">
        <is>
          <t>17:03:10</t>
        </is>
      </c>
      <c r="H2442" t="inlineStr">
        <is>
          <t>SELESAI</t>
        </is>
      </c>
      <c r="I2442" t="inlineStr">
        <is>
          <t>MK00150</t>
        </is>
      </c>
      <c r="J2442" t="inlineStr"/>
    </row>
    <row r="2443">
      <c r="A2443" t="inlineStr">
        <is>
          <t>29/07/2026</t>
        </is>
      </c>
      <c r="B2443" t="inlineStr">
        <is>
          <t>528000248</t>
        </is>
      </c>
      <c r="C2443" t="inlineStr">
        <is>
          <t>Roka Jaya Salka Mulya</t>
        </is>
      </c>
      <c r="D2443" t="inlineStr">
        <is>
          <t>PROD</t>
        </is>
      </c>
      <c r="E2443" t="inlineStr">
        <is>
          <t>Produksi Harian</t>
        </is>
      </c>
      <c r="F2443" t="inlineStr">
        <is>
          <t>13:50:45</t>
        </is>
      </c>
      <c r="G2443" t="inlineStr">
        <is>
          <t>22:03:34</t>
        </is>
      </c>
      <c r="H2443" t="inlineStr">
        <is>
          <t>SELESAI</t>
        </is>
      </c>
      <c r="I2443" t="inlineStr">
        <is>
          <t>MK00138</t>
        </is>
      </c>
      <c r="J2443" t="inlineStr"/>
    </row>
    <row r="2444">
      <c r="A2444" t="inlineStr">
        <is>
          <t>29/07/2026</t>
        </is>
      </c>
      <c r="B2444" t="inlineStr">
        <is>
          <t>528000261</t>
        </is>
      </c>
      <c r="C2444" t="inlineStr">
        <is>
          <t>Ergi Ergianto</t>
        </is>
      </c>
      <c r="D2444" t="inlineStr">
        <is>
          <t>HRGA</t>
        </is>
      </c>
      <c r="E2444" t="inlineStr">
        <is>
          <t>GA Harian</t>
        </is>
      </c>
      <c r="F2444" t="inlineStr">
        <is>
          <t>21:49:33</t>
        </is>
      </c>
      <c r="G2444" t="inlineStr">
        <is>
          <t>06:04:23</t>
        </is>
      </c>
      <c r="H2444" t="inlineStr">
        <is>
          <t>SELESAI</t>
        </is>
      </c>
      <c r="I2444" t="inlineStr">
        <is>
          <t>MK00203</t>
        </is>
      </c>
      <c r="J2444" t="inlineStr"/>
    </row>
    <row r="2445">
      <c r="A2445" t="inlineStr">
        <is>
          <t>29/07/2026</t>
        </is>
      </c>
      <c r="B2445" t="inlineStr">
        <is>
          <t>528000262</t>
        </is>
      </c>
      <c r="C2445" t="inlineStr">
        <is>
          <t>Ndari Dwiwanti</t>
        </is>
      </c>
      <c r="D2445" t="inlineStr">
        <is>
          <t>PROD</t>
        </is>
      </c>
      <c r="E2445" t="inlineStr">
        <is>
          <t>Produksi Harian</t>
        </is>
      </c>
      <c r="F2445" t="inlineStr">
        <is>
          <t>21:39:52</t>
        </is>
      </c>
      <c r="G2445" t="inlineStr">
        <is>
          <t>06:05:14</t>
        </is>
      </c>
      <c r="H2445" t="inlineStr">
        <is>
          <t>SELESAI</t>
        </is>
      </c>
      <c r="I2445" t="inlineStr">
        <is>
          <t>MK00186</t>
        </is>
      </c>
      <c r="J2445" t="inlineStr"/>
    </row>
    <row r="2446">
      <c r="A2446" t="inlineStr">
        <is>
          <t>29/07/2026</t>
        </is>
      </c>
      <c r="B2446" t="inlineStr">
        <is>
          <t>528000265</t>
        </is>
      </c>
      <c r="C2446" t="inlineStr">
        <is>
          <t>Muhammad Haerul Rozikin</t>
        </is>
      </c>
      <c r="D2446" t="inlineStr">
        <is>
          <t>LOG</t>
        </is>
      </c>
      <c r="E2446" t="inlineStr">
        <is>
          <t>WRM Harian</t>
        </is>
      </c>
      <c r="F2446" t="inlineStr">
        <is>
          <t>07:46:20</t>
        </is>
      </c>
      <c r="G2446" t="inlineStr">
        <is>
          <t>16:04:14</t>
        </is>
      </c>
      <c r="H2446" t="inlineStr">
        <is>
          <t>SELESAI</t>
        </is>
      </c>
      <c r="I2446" t="inlineStr">
        <is>
          <t>MK00008</t>
        </is>
      </c>
      <c r="J2446" t="inlineStr"/>
    </row>
    <row r="2447">
      <c r="A2447" t="inlineStr">
        <is>
          <t>29/07/2026</t>
        </is>
      </c>
      <c r="B2447" t="inlineStr">
        <is>
          <t>528000266</t>
        </is>
      </c>
      <c r="C2447" t="inlineStr">
        <is>
          <t>M. Syirajatieq</t>
        </is>
      </c>
      <c r="D2447" t="inlineStr">
        <is>
          <t>LOG</t>
        </is>
      </c>
      <c r="E2447" t="inlineStr">
        <is>
          <t>WFG Harian</t>
        </is>
      </c>
      <c r="F2447" t="inlineStr"/>
      <c r="G2447" t="inlineStr">
        <is>
          <t>22:14:38</t>
        </is>
      </c>
      <c r="H2447" t="inlineStr">
        <is>
          <t>KELUAR TANPA MASUK</t>
        </is>
      </c>
      <c r="I2447" t="inlineStr">
        <is>
          <t>MK00209</t>
        </is>
      </c>
      <c r="J2447" t="inlineStr"/>
    </row>
    <row r="2448">
      <c r="A2448" t="inlineStr">
        <is>
          <t>29/07/2026</t>
        </is>
      </c>
      <c r="B2448" t="inlineStr">
        <is>
          <t>528000267</t>
        </is>
      </c>
      <c r="C2448" t="inlineStr">
        <is>
          <t>Bagas Patulloh</t>
        </is>
      </c>
      <c r="D2448" t="inlineStr">
        <is>
          <t>LOG</t>
        </is>
      </c>
      <c r="E2448" t="inlineStr">
        <is>
          <t>WRM Harian</t>
        </is>
      </c>
      <c r="F2448" t="inlineStr">
        <is>
          <t>16:06:25</t>
        </is>
      </c>
      <c r="G2448" t="inlineStr">
        <is>
          <t>00:00:50</t>
        </is>
      </c>
      <c r="H2448" t="inlineStr">
        <is>
          <t>SELESAI</t>
        </is>
      </c>
      <c r="I2448" t="inlineStr">
        <is>
          <t>MK00093</t>
        </is>
      </c>
      <c r="J2448" t="inlineStr"/>
    </row>
    <row r="2449">
      <c r="A2449" t="inlineStr">
        <is>
          <t>29/07/2026</t>
        </is>
      </c>
      <c r="B2449" t="inlineStr">
        <is>
          <t>528000279</t>
        </is>
      </c>
      <c r="C2449" t="inlineStr">
        <is>
          <t>Mahdalena Dalfa Riani</t>
        </is>
      </c>
      <c r="D2449" t="inlineStr">
        <is>
          <t>PROD</t>
        </is>
      </c>
      <c r="E2449" t="inlineStr">
        <is>
          <t>Produksi Harian</t>
        </is>
      </c>
      <c r="F2449" t="inlineStr">
        <is>
          <t>13:49:09</t>
        </is>
      </c>
      <c r="G2449" t="inlineStr">
        <is>
          <t>22:04:50</t>
        </is>
      </c>
      <c r="H2449" t="inlineStr">
        <is>
          <t>SELESAI</t>
        </is>
      </c>
      <c r="I2449" t="inlineStr">
        <is>
          <t>MK00090</t>
        </is>
      </c>
      <c r="J2449" t="inlineStr"/>
    </row>
    <row r="2450">
      <c r="A2450" t="inlineStr">
        <is>
          <t>29/07/2026</t>
        </is>
      </c>
      <c r="B2450" t="inlineStr">
        <is>
          <t>528000282</t>
        </is>
      </c>
      <c r="C2450" t="inlineStr">
        <is>
          <t>Defa Desfiana</t>
        </is>
      </c>
      <c r="D2450" t="inlineStr">
        <is>
          <t>PROD</t>
        </is>
      </c>
      <c r="E2450" t="inlineStr">
        <is>
          <t>Produksi Harian</t>
        </is>
      </c>
      <c r="F2450" t="inlineStr">
        <is>
          <t>07:50:06</t>
        </is>
      </c>
      <c r="G2450" t="inlineStr">
        <is>
          <t>16:06:01</t>
        </is>
      </c>
      <c r="H2450" t="inlineStr">
        <is>
          <t>SELESAI</t>
        </is>
      </c>
      <c r="I2450" t="inlineStr">
        <is>
          <t>MK00230</t>
        </is>
      </c>
      <c r="J2450" t="inlineStr">
        <is>
          <t>32c</t>
        </is>
      </c>
    </row>
    <row r="2451">
      <c r="A2451" t="inlineStr">
        <is>
          <t>29/07/2026</t>
        </is>
      </c>
      <c r="B2451" t="inlineStr">
        <is>
          <t>528000283</t>
        </is>
      </c>
      <c r="C2451" t="inlineStr">
        <is>
          <t>Purwanda Sugiri</t>
        </is>
      </c>
      <c r="D2451" t="inlineStr">
        <is>
          <t>LOG</t>
        </is>
      </c>
      <c r="E2451" t="inlineStr">
        <is>
          <t>WRM Harian</t>
        </is>
      </c>
      <c r="F2451" t="inlineStr">
        <is>
          <t>21:33:57</t>
        </is>
      </c>
      <c r="G2451" t="inlineStr">
        <is>
          <t>06:05:03</t>
        </is>
      </c>
      <c r="H2451" t="inlineStr">
        <is>
          <t>SELESAI</t>
        </is>
      </c>
      <c r="I2451" t="inlineStr">
        <is>
          <t>MK00250</t>
        </is>
      </c>
      <c r="J2451" t="inlineStr"/>
    </row>
    <row r="2452">
      <c r="A2452" t="inlineStr">
        <is>
          <t>29/07/2026</t>
        </is>
      </c>
      <c r="B2452" t="inlineStr">
        <is>
          <t>528000291</t>
        </is>
      </c>
      <c r="C2452" t="inlineStr">
        <is>
          <t>Andrian</t>
        </is>
      </c>
      <c r="D2452" t="inlineStr">
        <is>
          <t>PROD</t>
        </is>
      </c>
      <c r="E2452" t="inlineStr">
        <is>
          <t>Produksi Harian</t>
        </is>
      </c>
      <c r="F2452" t="inlineStr">
        <is>
          <t>21:50:57</t>
        </is>
      </c>
      <c r="G2452" t="inlineStr">
        <is>
          <t>06:05:19</t>
        </is>
      </c>
      <c r="H2452" t="inlineStr">
        <is>
          <t>SELESAI</t>
        </is>
      </c>
      <c r="I2452" t="inlineStr">
        <is>
          <t>MK00138</t>
        </is>
      </c>
      <c r="J2452" t="inlineStr"/>
    </row>
    <row r="2453">
      <c r="A2453" t="inlineStr">
        <is>
          <t>29/07/2026</t>
        </is>
      </c>
      <c r="B2453" t="inlineStr">
        <is>
          <t>528000298</t>
        </is>
      </c>
      <c r="C2453" t="inlineStr">
        <is>
          <t>Desta Cahaya Pratama</t>
        </is>
      </c>
      <c r="D2453" t="inlineStr">
        <is>
          <t>PROD</t>
        </is>
      </c>
      <c r="E2453" t="inlineStr">
        <is>
          <t>Produksi Harian</t>
        </is>
      </c>
      <c r="F2453" t="inlineStr">
        <is>
          <t>05:50:16</t>
        </is>
      </c>
      <c r="G2453" t="inlineStr">
        <is>
          <t>14:09:24</t>
        </is>
      </c>
      <c r="H2453" t="inlineStr">
        <is>
          <t>SELESAI</t>
        </is>
      </c>
      <c r="I2453" t="inlineStr">
        <is>
          <t>MK00192</t>
        </is>
      </c>
      <c r="J2453" t="inlineStr"/>
    </row>
    <row r="2454">
      <c r="A2454" t="inlineStr">
        <is>
          <t>29/07/2026</t>
        </is>
      </c>
      <c r="B2454" t="inlineStr">
        <is>
          <t>528000299</t>
        </is>
      </c>
      <c r="C2454" t="inlineStr">
        <is>
          <t>Siti Nurjanah</t>
        </is>
      </c>
      <c r="D2454" t="inlineStr">
        <is>
          <t>PROD</t>
        </is>
      </c>
      <c r="E2454" t="inlineStr">
        <is>
          <t>Produksi Harian</t>
        </is>
      </c>
      <c r="F2454" t="inlineStr">
        <is>
          <t>05:39:37</t>
        </is>
      </c>
      <c r="G2454" t="inlineStr">
        <is>
          <t>14:07:23</t>
        </is>
      </c>
      <c r="H2454" t="inlineStr">
        <is>
          <t>SELESAI</t>
        </is>
      </c>
      <c r="I2454" t="inlineStr">
        <is>
          <t>MK00220</t>
        </is>
      </c>
      <c r="J2454" t="inlineStr"/>
    </row>
    <row r="2455">
      <c r="A2455" t="inlineStr">
        <is>
          <t>29/07/2026</t>
        </is>
      </c>
      <c r="B2455" t="inlineStr">
        <is>
          <t>528000302</t>
        </is>
      </c>
      <c r="C2455" t="inlineStr">
        <is>
          <t>Henkey gumilar</t>
        </is>
      </c>
      <c r="D2455" t="inlineStr">
        <is>
          <t>PROD</t>
        </is>
      </c>
      <c r="E2455" t="inlineStr">
        <is>
          <t>Produksi Harian</t>
        </is>
      </c>
      <c r="F2455" t="inlineStr"/>
      <c r="G2455" t="inlineStr">
        <is>
          <t>05:52:25</t>
        </is>
      </c>
      <c r="H2455" t="inlineStr">
        <is>
          <t>KELUAR TANPA MASUK</t>
        </is>
      </c>
      <c r="I2455" t="inlineStr">
        <is>
          <t>MK0095</t>
        </is>
      </c>
      <c r="J2455" t="inlineStr"/>
    </row>
    <row r="2456">
      <c r="A2456" t="inlineStr">
        <is>
          <t>29/07/2026</t>
        </is>
      </c>
      <c r="B2456" t="inlineStr">
        <is>
          <t>528000305</t>
        </is>
      </c>
      <c r="C2456" t="inlineStr">
        <is>
          <t>Puji Puspita</t>
        </is>
      </c>
      <c r="D2456" t="inlineStr">
        <is>
          <t>PROD</t>
        </is>
      </c>
      <c r="E2456" t="inlineStr">
        <is>
          <t>Produksi Harian</t>
        </is>
      </c>
      <c r="F2456" t="inlineStr">
        <is>
          <t>05:38:00</t>
        </is>
      </c>
      <c r="G2456" t="inlineStr">
        <is>
          <t>14:04:30</t>
        </is>
      </c>
      <c r="H2456" t="inlineStr">
        <is>
          <t>SELESAI</t>
        </is>
      </c>
      <c r="I2456" t="inlineStr">
        <is>
          <t>MK00181</t>
        </is>
      </c>
      <c r="J2456" t="inlineStr"/>
    </row>
    <row r="2457">
      <c r="A2457" t="inlineStr">
        <is>
          <t>29/07/2026</t>
        </is>
      </c>
      <c r="B2457" t="inlineStr">
        <is>
          <t>528000306</t>
        </is>
      </c>
      <c r="C2457" t="inlineStr">
        <is>
          <t>Windy Olivia</t>
        </is>
      </c>
      <c r="D2457" t="inlineStr">
        <is>
          <t>PROD</t>
        </is>
      </c>
      <c r="E2457" t="inlineStr">
        <is>
          <t>Produksi Harian</t>
        </is>
      </c>
      <c r="F2457" t="inlineStr"/>
      <c r="G2457" t="inlineStr">
        <is>
          <t>06:05:53</t>
        </is>
      </c>
      <c r="H2457" t="inlineStr">
        <is>
          <t>KELUAR TANPA MASUK</t>
        </is>
      </c>
      <c r="I2457" t="inlineStr">
        <is>
          <t>MK00230</t>
        </is>
      </c>
      <c r="J2457" t="inlineStr"/>
    </row>
    <row r="2458">
      <c r="A2458" t="inlineStr">
        <is>
          <t>29/07/2026</t>
        </is>
      </c>
      <c r="B2458" t="inlineStr">
        <is>
          <t>528000309</t>
        </is>
      </c>
      <c r="C2458" t="inlineStr">
        <is>
          <t>Ilham Ramadhan</t>
        </is>
      </c>
      <c r="D2458" t="inlineStr">
        <is>
          <t>LOG</t>
        </is>
      </c>
      <c r="E2458" t="inlineStr">
        <is>
          <t>WRM Harian</t>
        </is>
      </c>
      <c r="F2458" t="inlineStr">
        <is>
          <t>05:55:53</t>
        </is>
      </c>
      <c r="G2458" t="inlineStr"/>
      <c r="H2458" t="inlineStr">
        <is>
          <t>DI DALAM</t>
        </is>
      </c>
      <c r="I2458" t="inlineStr">
        <is>
          <t>MK00208</t>
        </is>
      </c>
      <c r="J2458" t="inlineStr"/>
    </row>
    <row r="2459">
      <c r="A2459" t="inlineStr">
        <is>
          <t>29/07/2026</t>
        </is>
      </c>
      <c r="B2459" t="inlineStr">
        <is>
          <t>528000310</t>
        </is>
      </c>
      <c r="C2459" t="inlineStr">
        <is>
          <t>Fachrul Rozzi Suryana</t>
        </is>
      </c>
      <c r="D2459" t="inlineStr">
        <is>
          <t>LOG</t>
        </is>
      </c>
      <c r="E2459" t="inlineStr">
        <is>
          <t>WRM Harian</t>
        </is>
      </c>
      <c r="F2459" t="inlineStr">
        <is>
          <t>07:48:20</t>
        </is>
      </c>
      <c r="G2459" t="inlineStr">
        <is>
          <t>16:01:21</t>
        </is>
      </c>
      <c r="H2459" t="inlineStr">
        <is>
          <t>SELESAI</t>
        </is>
      </c>
      <c r="I2459" t="inlineStr">
        <is>
          <t>MK00210</t>
        </is>
      </c>
      <c r="J2459" t="inlineStr">
        <is>
          <t>9E</t>
        </is>
      </c>
    </row>
    <row r="2460">
      <c r="A2460" t="inlineStr">
        <is>
          <t>29/07/2026</t>
        </is>
      </c>
      <c r="B2460" t="inlineStr">
        <is>
          <t>528000313</t>
        </is>
      </c>
      <c r="C2460" t="inlineStr">
        <is>
          <t>Muhamad Rifki</t>
        </is>
      </c>
      <c r="D2460" t="inlineStr">
        <is>
          <t>PROD</t>
        </is>
      </c>
      <c r="E2460" t="inlineStr">
        <is>
          <t>Produksi Harian</t>
        </is>
      </c>
      <c r="F2460" t="inlineStr">
        <is>
          <t>05:47:57</t>
        </is>
      </c>
      <c r="G2460" t="inlineStr">
        <is>
          <t>14:07:32</t>
        </is>
      </c>
      <c r="H2460" t="inlineStr">
        <is>
          <t>SELESAI</t>
        </is>
      </c>
      <c r="I2460" t="inlineStr">
        <is>
          <t>MK00209</t>
        </is>
      </c>
      <c r="J2460" t="inlineStr"/>
    </row>
    <row r="2461">
      <c r="A2461" t="inlineStr">
        <is>
          <t>29/07/2026</t>
        </is>
      </c>
      <c r="B2461" t="inlineStr">
        <is>
          <t>528000314</t>
        </is>
      </c>
      <c r="C2461" t="inlineStr">
        <is>
          <t>Rusmana</t>
        </is>
      </c>
      <c r="D2461" t="inlineStr">
        <is>
          <t>PROD</t>
        </is>
      </c>
      <c r="E2461" t="inlineStr">
        <is>
          <t>Produksi Harian</t>
        </is>
      </c>
      <c r="F2461" t="inlineStr">
        <is>
          <t>21:51:24</t>
        </is>
      </c>
      <c r="G2461" t="inlineStr">
        <is>
          <t>21:52:56</t>
        </is>
      </c>
      <c r="H2461" t="inlineStr">
        <is>
          <t>SELESAI</t>
        </is>
      </c>
      <c r="I2461" t="inlineStr">
        <is>
          <t>MK00125</t>
        </is>
      </c>
      <c r="J2461" t="inlineStr"/>
    </row>
    <row r="2462">
      <c r="A2462" t="inlineStr">
        <is>
          <t>29/07/2026</t>
        </is>
      </c>
      <c r="B2462" t="inlineStr">
        <is>
          <t>528000318</t>
        </is>
      </c>
      <c r="C2462" t="inlineStr">
        <is>
          <t>Bayu Padli Sepriyana</t>
        </is>
      </c>
      <c r="D2462" t="inlineStr">
        <is>
          <t>LOG</t>
        </is>
      </c>
      <c r="E2462" t="inlineStr">
        <is>
          <t>WRM Harian</t>
        </is>
      </c>
      <c r="F2462" t="inlineStr">
        <is>
          <t>05:48:02</t>
        </is>
      </c>
      <c r="G2462" t="inlineStr">
        <is>
          <t>14:05:42</t>
        </is>
      </c>
      <c r="H2462" t="inlineStr">
        <is>
          <t>SELESAI</t>
        </is>
      </c>
      <c r="I2462" t="inlineStr">
        <is>
          <t>MK00108</t>
        </is>
      </c>
      <c r="J2462" t="inlineStr"/>
    </row>
    <row r="2463">
      <c r="A2463" t="inlineStr">
        <is>
          <t>29/07/2026</t>
        </is>
      </c>
      <c r="B2463" t="inlineStr">
        <is>
          <t>528000322</t>
        </is>
      </c>
      <c r="C2463" t="inlineStr">
        <is>
          <t>Muhamad Aliludin</t>
        </is>
      </c>
      <c r="D2463" t="inlineStr">
        <is>
          <t>PROD</t>
        </is>
      </c>
      <c r="E2463" t="inlineStr">
        <is>
          <t>Produksi Harian</t>
        </is>
      </c>
      <c r="F2463" t="inlineStr">
        <is>
          <t>05:26:38</t>
        </is>
      </c>
      <c r="G2463" t="inlineStr">
        <is>
          <t>14:07:11</t>
        </is>
      </c>
      <c r="H2463" t="inlineStr">
        <is>
          <t>SELESAI</t>
        </is>
      </c>
      <c r="I2463" t="inlineStr">
        <is>
          <t>MK00185</t>
        </is>
      </c>
      <c r="J2463" t="inlineStr"/>
    </row>
    <row r="2464">
      <c r="A2464" t="inlineStr">
        <is>
          <t>29/07/2026</t>
        </is>
      </c>
      <c r="B2464" t="inlineStr">
        <is>
          <t>528000323</t>
        </is>
      </c>
      <c r="C2464" t="inlineStr">
        <is>
          <t>Dian Hamidah</t>
        </is>
      </c>
      <c r="D2464" t="inlineStr">
        <is>
          <t>PROD</t>
        </is>
      </c>
      <c r="E2464" t="inlineStr">
        <is>
          <t>Produksi Harian</t>
        </is>
      </c>
      <c r="F2464" t="inlineStr">
        <is>
          <t>05:42:23</t>
        </is>
      </c>
      <c r="G2464" t="inlineStr">
        <is>
          <t>14:10:51</t>
        </is>
      </c>
      <c r="H2464" t="inlineStr">
        <is>
          <t>SELESAI</t>
        </is>
      </c>
      <c r="I2464" t="inlineStr">
        <is>
          <t>MK00218</t>
        </is>
      </c>
      <c r="J2464" t="inlineStr"/>
    </row>
    <row r="2465">
      <c r="A2465" t="inlineStr">
        <is>
          <t>29/07/2026</t>
        </is>
      </c>
      <c r="B2465" t="inlineStr">
        <is>
          <t>528000324</t>
        </is>
      </c>
      <c r="C2465" t="inlineStr">
        <is>
          <t>Sri Yanti</t>
        </is>
      </c>
      <c r="D2465" t="inlineStr">
        <is>
          <t>PROD</t>
        </is>
      </c>
      <c r="E2465" t="inlineStr">
        <is>
          <t>Produksi Harian</t>
        </is>
      </c>
      <c r="F2465" t="inlineStr">
        <is>
          <t>13:10:11</t>
        </is>
      </c>
      <c r="G2465" t="inlineStr">
        <is>
          <t>22:04:25</t>
        </is>
      </c>
      <c r="H2465" t="inlineStr">
        <is>
          <t>SELESAI</t>
        </is>
      </c>
      <c r="I2465" t="inlineStr">
        <is>
          <t>MK00160</t>
        </is>
      </c>
      <c r="J2465" t="inlineStr"/>
    </row>
    <row r="2466">
      <c r="A2466" t="inlineStr">
        <is>
          <t>29/07/2026</t>
        </is>
      </c>
      <c r="B2466" t="inlineStr">
        <is>
          <t>528000325</t>
        </is>
      </c>
      <c r="C2466" t="inlineStr">
        <is>
          <t>Rani Septia Ramadani</t>
        </is>
      </c>
      <c r="D2466" t="inlineStr">
        <is>
          <t>PROD</t>
        </is>
      </c>
      <c r="E2466" t="inlineStr">
        <is>
          <t>Produksi Harian</t>
        </is>
      </c>
      <c r="F2466" t="inlineStr"/>
      <c r="G2466" t="inlineStr">
        <is>
          <t>06:04:55</t>
        </is>
      </c>
      <c r="H2466" t="inlineStr">
        <is>
          <t>KELUAR TANPA MASUK</t>
        </is>
      </c>
      <c r="I2466" t="inlineStr">
        <is>
          <t>MK00210</t>
        </is>
      </c>
      <c r="J2466" t="inlineStr"/>
    </row>
    <row r="2467">
      <c r="A2467" t="inlineStr">
        <is>
          <t>29/07/2026</t>
        </is>
      </c>
      <c r="B2467" t="inlineStr">
        <is>
          <t>528000328</t>
        </is>
      </c>
      <c r="C2467" t="inlineStr">
        <is>
          <t>Nur Anjani</t>
        </is>
      </c>
      <c r="D2467" t="inlineStr">
        <is>
          <t>PROD</t>
        </is>
      </c>
      <c r="E2467" t="inlineStr">
        <is>
          <t>Produksi Harian</t>
        </is>
      </c>
      <c r="F2467" t="inlineStr"/>
      <c r="G2467" t="inlineStr">
        <is>
          <t>06:05:05</t>
        </is>
      </c>
      <c r="H2467" t="inlineStr">
        <is>
          <t>KELUAR TANPA MASUK</t>
        </is>
      </c>
      <c r="I2467" t="inlineStr">
        <is>
          <t>MK00136</t>
        </is>
      </c>
      <c r="J2467" t="inlineStr"/>
    </row>
    <row r="2468">
      <c r="A2468" t="inlineStr">
        <is>
          <t>29/07/2026</t>
        </is>
      </c>
      <c r="B2468" t="inlineStr">
        <is>
          <t>528000335</t>
        </is>
      </c>
      <c r="C2468" t="inlineStr">
        <is>
          <t>Rizal Saepuloh</t>
        </is>
      </c>
      <c r="D2468" t="inlineStr">
        <is>
          <t>LOG</t>
        </is>
      </c>
      <c r="E2468" t="inlineStr">
        <is>
          <t>WRM Harian</t>
        </is>
      </c>
      <c r="F2468" t="inlineStr">
        <is>
          <t>07:53:17</t>
        </is>
      </c>
      <c r="G2468" t="inlineStr">
        <is>
          <t>16:01:27</t>
        </is>
      </c>
      <c r="H2468" t="inlineStr">
        <is>
          <t>SELESAI</t>
        </is>
      </c>
      <c r="I2468" t="inlineStr">
        <is>
          <t>MK00204</t>
        </is>
      </c>
      <c r="J2468" t="inlineStr"/>
    </row>
    <row r="2469">
      <c r="A2469" t="inlineStr">
        <is>
          <t>29/07/2026</t>
        </is>
      </c>
      <c r="B2469" t="inlineStr">
        <is>
          <t>528000336</t>
        </is>
      </c>
      <c r="C2469" t="inlineStr">
        <is>
          <t>Ali Nurhanafi</t>
        </is>
      </c>
      <c r="D2469" t="inlineStr">
        <is>
          <t>PROD</t>
        </is>
      </c>
      <c r="E2469" t="inlineStr">
        <is>
          <t>Produksi Harian</t>
        </is>
      </c>
      <c r="F2469" t="inlineStr">
        <is>
          <t>20:54:40</t>
        </is>
      </c>
      <c r="G2469" t="inlineStr">
        <is>
          <t>06:11:11</t>
        </is>
      </c>
      <c r="H2469" t="inlineStr">
        <is>
          <t>SELESAI</t>
        </is>
      </c>
      <c r="I2469" t="inlineStr">
        <is>
          <t>MK00088</t>
        </is>
      </c>
      <c r="J2469" t="inlineStr"/>
    </row>
    <row r="2470">
      <c r="A2470" t="inlineStr">
        <is>
          <t>29/07/2026</t>
        </is>
      </c>
      <c r="B2470" t="inlineStr">
        <is>
          <t>528000337</t>
        </is>
      </c>
      <c r="C2470" t="inlineStr">
        <is>
          <t>Ahmad Zaldi Firdaus</t>
        </is>
      </c>
      <c r="D2470" t="inlineStr">
        <is>
          <t>PROD</t>
        </is>
      </c>
      <c r="E2470" t="inlineStr">
        <is>
          <t>Produksi Harian</t>
        </is>
      </c>
      <c r="F2470" t="inlineStr">
        <is>
          <t>20:34:53</t>
        </is>
      </c>
      <c r="G2470" t="inlineStr">
        <is>
          <t>06:11:59</t>
        </is>
      </c>
      <c r="H2470" t="inlineStr">
        <is>
          <t>SELESAI</t>
        </is>
      </c>
      <c r="I2470" t="inlineStr">
        <is>
          <t>MK00202</t>
        </is>
      </c>
      <c r="J2470" t="inlineStr"/>
    </row>
    <row r="2471">
      <c r="A2471" t="inlineStr">
        <is>
          <t>29/07/2026</t>
        </is>
      </c>
      <c r="B2471" t="inlineStr">
        <is>
          <t>528000340</t>
        </is>
      </c>
      <c r="C2471" t="inlineStr">
        <is>
          <t>Muhammad Wildan Adithya</t>
        </is>
      </c>
      <c r="D2471" t="inlineStr">
        <is>
          <t>PROD</t>
        </is>
      </c>
      <c r="E2471" t="inlineStr">
        <is>
          <t>Produksi Harian</t>
        </is>
      </c>
      <c r="F2471" t="inlineStr">
        <is>
          <t>05:57:38</t>
        </is>
      </c>
      <c r="G2471" t="inlineStr">
        <is>
          <t>14:07:29</t>
        </is>
      </c>
      <c r="H2471" t="inlineStr">
        <is>
          <t>SELESAI</t>
        </is>
      </c>
      <c r="I2471" t="inlineStr">
        <is>
          <t>MK00202</t>
        </is>
      </c>
      <c r="J2471" t="inlineStr"/>
    </row>
    <row r="2472">
      <c r="A2472" t="inlineStr">
        <is>
          <t>29/07/2026</t>
        </is>
      </c>
      <c r="B2472" t="inlineStr">
        <is>
          <t>528000348</t>
        </is>
      </c>
      <c r="C2472" t="inlineStr">
        <is>
          <t>Saepuloh Ardiansah</t>
        </is>
      </c>
      <c r="D2472" t="inlineStr">
        <is>
          <t>LOG</t>
        </is>
      </c>
      <c r="E2472" t="inlineStr">
        <is>
          <t>WRM Harian</t>
        </is>
      </c>
      <c r="F2472" t="inlineStr">
        <is>
          <t>08:59:18</t>
        </is>
      </c>
      <c r="G2472" t="inlineStr">
        <is>
          <t>19:22:06</t>
        </is>
      </c>
      <c r="H2472" t="inlineStr">
        <is>
          <t>SELESAI</t>
        </is>
      </c>
      <c r="I2472" t="inlineStr">
        <is>
          <t>MK00205</t>
        </is>
      </c>
      <c r="J2472" t="inlineStr"/>
    </row>
    <row r="2473">
      <c r="A2473" t="inlineStr">
        <is>
          <t>29/07/2026</t>
        </is>
      </c>
      <c r="B2473" t="inlineStr">
        <is>
          <t>528000349</t>
        </is>
      </c>
      <c r="C2473" t="inlineStr">
        <is>
          <t>Anas Abdul Fatah</t>
        </is>
      </c>
      <c r="D2473" t="inlineStr">
        <is>
          <t>LOG</t>
        </is>
      </c>
      <c r="E2473" t="inlineStr">
        <is>
          <t>WFG Harian</t>
        </is>
      </c>
      <c r="F2473" t="inlineStr">
        <is>
          <t>09:43:41</t>
        </is>
      </c>
      <c r="G2473" t="inlineStr">
        <is>
          <t>18:15:18</t>
        </is>
      </c>
      <c r="H2473" t="inlineStr">
        <is>
          <t>SELESAI</t>
        </is>
      </c>
      <c r="I2473" t="inlineStr">
        <is>
          <t>MK00116</t>
        </is>
      </c>
      <c r="J2473" t="inlineStr"/>
    </row>
    <row r="2474">
      <c r="A2474" t="inlineStr">
        <is>
          <t>29/07/2026</t>
        </is>
      </c>
      <c r="B2474" t="inlineStr">
        <is>
          <t>528000351</t>
        </is>
      </c>
      <c r="C2474" t="inlineStr">
        <is>
          <t>Mulyana</t>
        </is>
      </c>
      <c r="D2474" t="inlineStr">
        <is>
          <t>PROD</t>
        </is>
      </c>
      <c r="E2474" t="inlineStr">
        <is>
          <t>Produksi Harian</t>
        </is>
      </c>
      <c r="F2474" t="inlineStr">
        <is>
          <t>07:52:22</t>
        </is>
      </c>
      <c r="G2474" t="inlineStr">
        <is>
          <t>16:00:44</t>
        </is>
      </c>
      <c r="H2474" t="inlineStr">
        <is>
          <t>SELESAI</t>
        </is>
      </c>
      <c r="I2474" t="inlineStr">
        <is>
          <t>MK00145</t>
        </is>
      </c>
      <c r="J2474" t="inlineStr"/>
    </row>
    <row r="2475">
      <c r="A2475" t="inlineStr">
        <is>
          <t>29/07/2026</t>
        </is>
      </c>
      <c r="B2475" t="inlineStr">
        <is>
          <t>528000358</t>
        </is>
      </c>
      <c r="C2475" t="inlineStr">
        <is>
          <t>Lulu Agustin</t>
        </is>
      </c>
      <c r="D2475" t="inlineStr">
        <is>
          <t>PROD</t>
        </is>
      </c>
      <c r="E2475" t="inlineStr">
        <is>
          <t>Produksi Harian</t>
        </is>
      </c>
      <c r="F2475" t="inlineStr">
        <is>
          <t>21:36:55</t>
        </is>
      </c>
      <c r="G2475" t="inlineStr">
        <is>
          <t>06:05:23</t>
        </is>
      </c>
      <c r="H2475" t="inlineStr">
        <is>
          <t>SELESAI</t>
        </is>
      </c>
      <c r="I2475" t="inlineStr">
        <is>
          <t>MK00192</t>
        </is>
      </c>
      <c r="J2475" t="inlineStr"/>
    </row>
    <row r="2476">
      <c r="A2476" t="inlineStr">
        <is>
          <t>29/07/2026</t>
        </is>
      </c>
      <c r="B2476" t="inlineStr">
        <is>
          <t>528000360</t>
        </is>
      </c>
      <c r="C2476" t="inlineStr">
        <is>
          <t>Hendra Permana</t>
        </is>
      </c>
      <c r="D2476" t="inlineStr">
        <is>
          <t>ENG</t>
        </is>
      </c>
      <c r="E2476" t="inlineStr">
        <is>
          <t>Engineering Harian</t>
        </is>
      </c>
      <c r="F2476" t="inlineStr">
        <is>
          <t>21:42:10</t>
        </is>
      </c>
      <c r="G2476" t="inlineStr">
        <is>
          <t>06:04:06</t>
        </is>
      </c>
      <c r="H2476" t="inlineStr">
        <is>
          <t>SELESAI</t>
        </is>
      </c>
      <c r="I2476" t="inlineStr">
        <is>
          <t>MK00008</t>
        </is>
      </c>
      <c r="J2476" t="inlineStr"/>
    </row>
    <row r="2477">
      <c r="A2477" t="inlineStr">
        <is>
          <t>29/07/2026</t>
        </is>
      </c>
      <c r="B2477" t="inlineStr">
        <is>
          <t>528000361</t>
        </is>
      </c>
      <c r="C2477" t="inlineStr">
        <is>
          <t>Denada Munggarani</t>
        </is>
      </c>
      <c r="D2477" t="inlineStr">
        <is>
          <t>PROD</t>
        </is>
      </c>
      <c r="E2477" t="inlineStr">
        <is>
          <t>Produksi Harian</t>
        </is>
      </c>
      <c r="F2477" t="inlineStr">
        <is>
          <t>05:43:32</t>
        </is>
      </c>
      <c r="G2477" t="inlineStr">
        <is>
          <t>14:33:39</t>
        </is>
      </c>
      <c r="H2477" t="inlineStr">
        <is>
          <t>SELESAI</t>
        </is>
      </c>
      <c r="I2477" t="inlineStr">
        <is>
          <t>MK00156</t>
        </is>
      </c>
      <c r="J2477" t="inlineStr"/>
    </row>
    <row r="2478">
      <c r="A2478" t="inlineStr">
        <is>
          <t>29/07/2026</t>
        </is>
      </c>
      <c r="B2478" t="inlineStr">
        <is>
          <t>628000018</t>
        </is>
      </c>
      <c r="C2478" t="inlineStr">
        <is>
          <t>Annisa Tri Pratiwi</t>
        </is>
      </c>
      <c r="D2478" t="inlineStr">
        <is>
          <t>PROD</t>
        </is>
      </c>
      <c r="E2478" t="inlineStr">
        <is>
          <t>Produksi Borongan</t>
        </is>
      </c>
      <c r="F2478" t="inlineStr">
        <is>
          <t>13:47:53</t>
        </is>
      </c>
      <c r="G2478" t="inlineStr">
        <is>
          <t>22:05:28</t>
        </is>
      </c>
      <c r="H2478" t="inlineStr">
        <is>
          <t>SELESAI</t>
        </is>
      </c>
      <c r="I2478" t="inlineStr">
        <is>
          <t>MK00143</t>
        </is>
      </c>
      <c r="J2478" t="inlineStr">
        <is>
          <t>MK00143</t>
        </is>
      </c>
    </row>
    <row r="2479">
      <c r="A2479" t="inlineStr">
        <is>
          <t>29/07/2026</t>
        </is>
      </c>
      <c r="B2479" t="inlineStr">
        <is>
          <t>628000064</t>
        </is>
      </c>
      <c r="C2479" t="inlineStr">
        <is>
          <t>Silva Alypia</t>
        </is>
      </c>
      <c r="D2479" t="inlineStr">
        <is>
          <t>PROD</t>
        </is>
      </c>
      <c r="E2479" t="inlineStr">
        <is>
          <t>Produksi Borongan</t>
        </is>
      </c>
      <c r="F2479" t="inlineStr">
        <is>
          <t>13:49:50</t>
        </is>
      </c>
      <c r="G2479" t="inlineStr">
        <is>
          <t>22:04:40</t>
        </is>
      </c>
      <c r="H2479" t="inlineStr">
        <is>
          <t>SELESAI</t>
        </is>
      </c>
      <c r="I2479" t="inlineStr">
        <is>
          <t>MK00154</t>
        </is>
      </c>
      <c r="J2479" t="inlineStr"/>
    </row>
    <row r="2480">
      <c r="A2480" t="inlineStr">
        <is>
          <t>30/07/2026</t>
        </is>
      </c>
      <c r="B2480" t="inlineStr">
        <is>
          <t>528000015</t>
        </is>
      </c>
      <c r="C2480" t="inlineStr">
        <is>
          <t>Erwin</t>
        </is>
      </c>
      <c r="D2480" t="inlineStr">
        <is>
          <t>LOG</t>
        </is>
      </c>
      <c r="E2480" t="inlineStr">
        <is>
          <t>WRM Harian</t>
        </is>
      </c>
      <c r="F2480" t="inlineStr">
        <is>
          <t>05:43:30</t>
        </is>
      </c>
      <c r="G2480" t="inlineStr">
        <is>
          <t>14:23:33</t>
        </is>
      </c>
      <c r="H2480" t="inlineStr">
        <is>
          <t>SELESAI</t>
        </is>
      </c>
      <c r="I2480" t="inlineStr">
        <is>
          <t>MK00123</t>
        </is>
      </c>
      <c r="J2480" t="inlineStr"/>
    </row>
    <row r="2481">
      <c r="A2481" t="inlineStr">
        <is>
          <t>30/07/2026</t>
        </is>
      </c>
      <c r="B2481" t="inlineStr">
        <is>
          <t>528000040</t>
        </is>
      </c>
      <c r="C2481" t="inlineStr">
        <is>
          <t>Agus Suryaman</t>
        </is>
      </c>
      <c r="D2481" t="inlineStr">
        <is>
          <t>PROD</t>
        </is>
      </c>
      <c r="E2481" t="inlineStr">
        <is>
          <t>Produksi Harian</t>
        </is>
      </c>
      <c r="F2481" t="inlineStr">
        <is>
          <t>08:44:33</t>
        </is>
      </c>
      <c r="G2481" t="inlineStr">
        <is>
          <t>08:46:11</t>
        </is>
      </c>
      <c r="H2481" t="inlineStr">
        <is>
          <t>SELESAI</t>
        </is>
      </c>
      <c r="I2481" t="inlineStr">
        <is>
          <t>MK00141</t>
        </is>
      </c>
      <c r="J2481" t="inlineStr"/>
    </row>
    <row r="2482">
      <c r="A2482" t="inlineStr">
        <is>
          <t>30/07/2026</t>
        </is>
      </c>
      <c r="B2482" t="inlineStr">
        <is>
          <t>528000052</t>
        </is>
      </c>
      <c r="C2482" t="inlineStr">
        <is>
          <t>Mustopa</t>
        </is>
      </c>
      <c r="D2482" t="inlineStr">
        <is>
          <t>PROD</t>
        </is>
      </c>
      <c r="E2482" t="inlineStr">
        <is>
          <t>Produksi Harian</t>
        </is>
      </c>
      <c r="F2482" t="inlineStr">
        <is>
          <t>20:56:38</t>
        </is>
      </c>
      <c r="G2482" t="inlineStr"/>
      <c r="H2482" t="inlineStr">
        <is>
          <t>DI DALAM</t>
        </is>
      </c>
      <c r="I2482" t="inlineStr">
        <is>
          <t>MK00143</t>
        </is>
      </c>
      <c r="J2482" t="inlineStr"/>
    </row>
    <row r="2483">
      <c r="A2483" t="inlineStr">
        <is>
          <t>30/07/2026</t>
        </is>
      </c>
      <c r="B2483" t="inlineStr">
        <is>
          <t>528000132</t>
        </is>
      </c>
      <c r="C2483" t="inlineStr">
        <is>
          <t>Giopani</t>
        </is>
      </c>
      <c r="D2483" t="inlineStr">
        <is>
          <t>LOG</t>
        </is>
      </c>
      <c r="E2483" t="inlineStr">
        <is>
          <t>WRM Harian</t>
        </is>
      </c>
      <c r="F2483" t="inlineStr">
        <is>
          <t>16:06:57</t>
        </is>
      </c>
      <c r="G2483" t="inlineStr"/>
      <c r="H2483" t="inlineStr">
        <is>
          <t>DI DALAM</t>
        </is>
      </c>
      <c r="I2483" t="inlineStr">
        <is>
          <t>MK00228</t>
        </is>
      </c>
      <c r="J2483" t="inlineStr"/>
    </row>
    <row r="2484">
      <c r="A2484" t="inlineStr">
        <is>
          <t>30/07/2026</t>
        </is>
      </c>
      <c r="B2484" t="inlineStr">
        <is>
          <t>528000144</t>
        </is>
      </c>
      <c r="C2484" t="inlineStr">
        <is>
          <t>Jodi Hanafi</t>
        </is>
      </c>
      <c r="D2484" t="inlineStr">
        <is>
          <t>LOG</t>
        </is>
      </c>
      <c r="E2484" t="inlineStr">
        <is>
          <t>WRM Harian</t>
        </is>
      </c>
      <c r="F2484" t="inlineStr">
        <is>
          <t>07:58:03</t>
        </is>
      </c>
      <c r="G2484" t="inlineStr">
        <is>
          <t>16:07:01</t>
        </is>
      </c>
      <c r="H2484" t="inlineStr">
        <is>
          <t>SELESAI</t>
        </is>
      </c>
      <c r="I2484" t="inlineStr">
        <is>
          <t>MK00221</t>
        </is>
      </c>
      <c r="J2484" t="inlineStr"/>
    </row>
    <row r="2485">
      <c r="A2485" t="inlineStr">
        <is>
          <t>30/07/2026</t>
        </is>
      </c>
      <c r="B2485" t="inlineStr">
        <is>
          <t>528000149</t>
        </is>
      </c>
      <c r="C2485" t="inlineStr">
        <is>
          <t>Tio Fernanda</t>
        </is>
      </c>
      <c r="D2485" t="inlineStr">
        <is>
          <t>LOG</t>
        </is>
      </c>
      <c r="E2485" t="inlineStr">
        <is>
          <t>WRM Harian</t>
        </is>
      </c>
      <c r="F2485" t="inlineStr">
        <is>
          <t>08:32:28</t>
        </is>
      </c>
      <c r="G2485" t="inlineStr">
        <is>
          <t>08:32:15</t>
        </is>
      </c>
      <c r="H2485" t="inlineStr">
        <is>
          <t>SELESAI</t>
        </is>
      </c>
      <c r="I2485" t="inlineStr">
        <is>
          <t>MK0130</t>
        </is>
      </c>
      <c r="J2485" t="inlineStr"/>
    </row>
    <row r="2486">
      <c r="A2486" t="inlineStr">
        <is>
          <t>30/07/2026</t>
        </is>
      </c>
      <c r="B2486" t="inlineStr">
        <is>
          <t>528000232</t>
        </is>
      </c>
      <c r="C2486" t="inlineStr">
        <is>
          <t>Agung Aji Suhada</t>
        </is>
      </c>
      <c r="D2486" t="inlineStr">
        <is>
          <t>LOG</t>
        </is>
      </c>
      <c r="E2486" t="inlineStr">
        <is>
          <t>WRM Harian</t>
        </is>
      </c>
      <c r="F2486" t="inlineStr">
        <is>
          <t>08:52:58</t>
        </is>
      </c>
      <c r="G2486" t="inlineStr">
        <is>
          <t>17:01:21</t>
        </is>
      </c>
      <c r="H2486" t="inlineStr">
        <is>
          <t>SELESAI</t>
        </is>
      </c>
      <c r="I2486" t="inlineStr">
        <is>
          <t>MK00150</t>
        </is>
      </c>
      <c r="J2486" t="inlineStr"/>
    </row>
    <row r="2487">
      <c r="A2487" t="inlineStr">
        <is>
          <t>30/07/2026</t>
        </is>
      </c>
      <c r="B2487" t="inlineStr">
        <is>
          <t>528000265</t>
        </is>
      </c>
      <c r="C2487" t="inlineStr">
        <is>
          <t>Muhammad Haerul Rozikin</t>
        </is>
      </c>
      <c r="D2487" t="inlineStr">
        <is>
          <t>LOG</t>
        </is>
      </c>
      <c r="E2487" t="inlineStr">
        <is>
          <t>WRM Harian</t>
        </is>
      </c>
      <c r="F2487" t="inlineStr">
        <is>
          <t>07:46:30</t>
        </is>
      </c>
      <c r="G2487" t="inlineStr">
        <is>
          <t>16:03:30</t>
        </is>
      </c>
      <c r="H2487" t="inlineStr">
        <is>
          <t>SELESAI</t>
        </is>
      </c>
      <c r="I2487" t="inlineStr">
        <is>
          <t>MK00186</t>
        </is>
      </c>
      <c r="J2487" t="inlineStr"/>
    </row>
    <row r="2488">
      <c r="A2488" t="inlineStr">
        <is>
          <t>30/07/2026</t>
        </is>
      </c>
      <c r="B2488" t="inlineStr">
        <is>
          <t>528000267</t>
        </is>
      </c>
      <c r="C2488" t="inlineStr">
        <is>
          <t>Bagas Patulloh</t>
        </is>
      </c>
      <c r="D2488" t="inlineStr">
        <is>
          <t>LOG</t>
        </is>
      </c>
      <c r="E2488" t="inlineStr">
        <is>
          <t>WRM Harian</t>
        </is>
      </c>
      <c r="F2488" t="inlineStr">
        <is>
          <t>15:53:26</t>
        </is>
      </c>
      <c r="G2488" t="inlineStr"/>
      <c r="H2488" t="inlineStr">
        <is>
          <t>DI DALAM</t>
        </is>
      </c>
      <c r="I2488" t="inlineStr">
        <is>
          <t>MK00093</t>
        </is>
      </c>
      <c r="J2488" t="inlineStr"/>
    </row>
    <row r="2489">
      <c r="A2489" t="inlineStr">
        <is>
          <t>30/07/2026</t>
        </is>
      </c>
      <c r="B2489" t="inlineStr">
        <is>
          <t>528000279</t>
        </is>
      </c>
      <c r="C2489" t="inlineStr">
        <is>
          <t>Mahdalena Dalfa Riani</t>
        </is>
      </c>
      <c r="D2489" t="inlineStr">
        <is>
          <t>PROD</t>
        </is>
      </c>
      <c r="E2489" t="inlineStr">
        <is>
          <t>Produksi Harian</t>
        </is>
      </c>
      <c r="F2489" t="inlineStr">
        <is>
          <t>13:51:38</t>
        </is>
      </c>
      <c r="G2489" t="inlineStr">
        <is>
          <t>22:10:05</t>
        </is>
      </c>
      <c r="H2489" t="inlineStr">
        <is>
          <t>SELESAI</t>
        </is>
      </c>
      <c r="I2489" t="inlineStr">
        <is>
          <t>MK00217</t>
        </is>
      </c>
      <c r="J2489" t="inlineStr"/>
    </row>
    <row r="2490">
      <c r="A2490" t="inlineStr">
        <is>
          <t>30/07/2026</t>
        </is>
      </c>
      <c r="B2490" t="inlineStr">
        <is>
          <t>528000282</t>
        </is>
      </c>
      <c r="C2490" t="inlineStr">
        <is>
          <t>Defa Desfiana</t>
        </is>
      </c>
      <c r="D2490" t="inlineStr">
        <is>
          <t>PROD</t>
        </is>
      </c>
      <c r="E2490" t="inlineStr">
        <is>
          <t>Produksi Harian</t>
        </is>
      </c>
      <c r="F2490" t="inlineStr">
        <is>
          <t>07:42:39</t>
        </is>
      </c>
      <c r="G2490" t="inlineStr">
        <is>
          <t>16:01:14</t>
        </is>
      </c>
      <c r="H2490" t="inlineStr">
        <is>
          <t>SELESAI</t>
        </is>
      </c>
      <c r="I2490" t="inlineStr">
        <is>
          <t>MK00209</t>
        </is>
      </c>
      <c r="J2490" t="inlineStr">
        <is>
          <t>32c</t>
        </is>
      </c>
    </row>
    <row r="2491">
      <c r="A2491" t="inlineStr">
        <is>
          <t>30/07/2026</t>
        </is>
      </c>
      <c r="B2491" t="inlineStr">
        <is>
          <t>528000289</t>
        </is>
      </c>
      <c r="C2491" t="inlineStr">
        <is>
          <t>Adit Supriyadi</t>
        </is>
      </c>
      <c r="D2491" t="inlineStr">
        <is>
          <t>PROD</t>
        </is>
      </c>
      <c r="E2491" t="inlineStr">
        <is>
          <t>Produksi Harian</t>
        </is>
      </c>
      <c r="F2491" t="inlineStr"/>
      <c r="G2491" t="inlineStr">
        <is>
          <t>22:05:10</t>
        </is>
      </c>
      <c r="H2491" t="inlineStr">
        <is>
          <t>KELUAR TANPA MASUK</t>
        </is>
      </c>
      <c r="I2491" t="inlineStr">
        <is>
          <t>MK00249</t>
        </is>
      </c>
      <c r="J2491" t="inlineStr"/>
    </row>
    <row r="2492">
      <c r="A2492" t="inlineStr">
        <is>
          <t>30/07/2026</t>
        </is>
      </c>
      <c r="B2492" t="inlineStr">
        <is>
          <t>528000298</t>
        </is>
      </c>
      <c r="C2492" t="inlineStr">
        <is>
          <t>Desta Cahaya Pratama</t>
        </is>
      </c>
      <c r="D2492" t="inlineStr">
        <is>
          <t>PROD</t>
        </is>
      </c>
      <c r="E2492" t="inlineStr">
        <is>
          <t>Produksi Harian</t>
        </is>
      </c>
      <c r="F2492" t="inlineStr">
        <is>
          <t>05:48:06</t>
        </is>
      </c>
      <c r="G2492" t="inlineStr">
        <is>
          <t>14:05:51</t>
        </is>
      </c>
      <c r="H2492" t="inlineStr">
        <is>
          <t>SELESAI</t>
        </is>
      </c>
      <c r="I2492" t="inlineStr">
        <is>
          <t>MK00212</t>
        </is>
      </c>
      <c r="J2492" t="inlineStr"/>
    </row>
    <row r="2493">
      <c r="A2493" t="inlineStr">
        <is>
          <t>30/07/2026</t>
        </is>
      </c>
      <c r="B2493" t="inlineStr">
        <is>
          <t>528000299</t>
        </is>
      </c>
      <c r="C2493" t="inlineStr">
        <is>
          <t>Siti Nurjanah</t>
        </is>
      </c>
      <c r="D2493" t="inlineStr">
        <is>
          <t>PROD</t>
        </is>
      </c>
      <c r="E2493" t="inlineStr">
        <is>
          <t>Produksi Harian</t>
        </is>
      </c>
      <c r="F2493" t="inlineStr">
        <is>
          <t>05:52:10</t>
        </is>
      </c>
      <c r="G2493" t="inlineStr">
        <is>
          <t>14:06:10</t>
        </is>
      </c>
      <c r="H2493" t="inlineStr">
        <is>
          <t>SELESAI</t>
        </is>
      </c>
      <c r="I2493" t="inlineStr">
        <is>
          <t>MK00213</t>
        </is>
      </c>
      <c r="J2493" t="inlineStr"/>
    </row>
    <row r="2494">
      <c r="A2494" t="inlineStr">
        <is>
          <t>30/07/2026</t>
        </is>
      </c>
      <c r="B2494" t="inlineStr">
        <is>
          <t>528000300</t>
        </is>
      </c>
      <c r="C2494" t="inlineStr">
        <is>
          <t>Lia pitaloka</t>
        </is>
      </c>
      <c r="D2494" t="inlineStr">
        <is>
          <t>PROD</t>
        </is>
      </c>
      <c r="E2494" t="inlineStr">
        <is>
          <t>Produksi Harian</t>
        </is>
      </c>
      <c r="F2494" t="inlineStr">
        <is>
          <t>13:53:08</t>
        </is>
      </c>
      <c r="G2494" t="inlineStr">
        <is>
          <t>22:09:07</t>
        </is>
      </c>
      <c r="H2494" t="inlineStr">
        <is>
          <t>SELESAI</t>
        </is>
      </c>
      <c r="I2494" t="inlineStr">
        <is>
          <t>MK00230</t>
        </is>
      </c>
      <c r="J2494" t="inlineStr"/>
    </row>
    <row r="2495">
      <c r="A2495" t="inlineStr">
        <is>
          <t>30/07/2026</t>
        </is>
      </c>
      <c r="B2495" t="inlineStr">
        <is>
          <t>528000302</t>
        </is>
      </c>
      <c r="C2495" t="inlineStr">
        <is>
          <t>Henkey gumilar</t>
        </is>
      </c>
      <c r="D2495" t="inlineStr">
        <is>
          <t>PROD</t>
        </is>
      </c>
      <c r="E2495" t="inlineStr">
        <is>
          <t>Produksi Harian</t>
        </is>
      </c>
      <c r="F2495" t="inlineStr">
        <is>
          <t>05:54:18</t>
        </is>
      </c>
      <c r="G2495" t="inlineStr"/>
      <c r="H2495" t="inlineStr">
        <is>
          <t>DI DALAM</t>
        </is>
      </c>
      <c r="I2495" t="inlineStr">
        <is>
          <t>MK00090</t>
        </is>
      </c>
      <c r="J2495" t="inlineStr"/>
    </row>
    <row r="2496">
      <c r="A2496" t="inlineStr">
        <is>
          <t>30/07/2026</t>
        </is>
      </c>
      <c r="B2496" t="inlineStr">
        <is>
          <t>528000305</t>
        </is>
      </c>
      <c r="C2496" t="inlineStr">
        <is>
          <t>Puji Puspita</t>
        </is>
      </c>
      <c r="D2496" t="inlineStr">
        <is>
          <t>PROD</t>
        </is>
      </c>
      <c r="E2496" t="inlineStr">
        <is>
          <t>Produksi Harian</t>
        </is>
      </c>
      <c r="F2496" t="inlineStr">
        <is>
          <t>05:36:45</t>
        </is>
      </c>
      <c r="G2496" t="inlineStr">
        <is>
          <t>14:03:48</t>
        </is>
      </c>
      <c r="H2496" t="inlineStr">
        <is>
          <t>SELESAI</t>
        </is>
      </c>
      <c r="I2496" t="inlineStr">
        <is>
          <t>MK00250</t>
        </is>
      </c>
      <c r="J2496" t="inlineStr"/>
    </row>
    <row r="2497">
      <c r="A2497" t="inlineStr">
        <is>
          <t>30/07/2026</t>
        </is>
      </c>
      <c r="B2497" t="inlineStr">
        <is>
          <t>528000309</t>
        </is>
      </c>
      <c r="C2497" t="inlineStr">
        <is>
          <t>Ilham Ramadhan</t>
        </is>
      </c>
      <c r="D2497" t="inlineStr">
        <is>
          <t>LOG</t>
        </is>
      </c>
      <c r="E2497" t="inlineStr">
        <is>
          <t>WRM Harian</t>
        </is>
      </c>
      <c r="F2497" t="inlineStr">
        <is>
          <t>05:56:51</t>
        </is>
      </c>
      <c r="G2497" t="inlineStr">
        <is>
          <t>14:05:24</t>
        </is>
      </c>
      <c r="H2497" t="inlineStr">
        <is>
          <t>SELESAI</t>
        </is>
      </c>
      <c r="I2497" t="inlineStr">
        <is>
          <t>MK00154</t>
        </is>
      </c>
      <c r="J2497" t="inlineStr"/>
    </row>
    <row r="2498">
      <c r="A2498" t="inlineStr">
        <is>
          <t>30/07/2026</t>
        </is>
      </c>
      <c r="B2498" t="inlineStr">
        <is>
          <t>528000310</t>
        </is>
      </c>
      <c r="C2498" t="inlineStr">
        <is>
          <t>Fachrul Rozzi Suryana</t>
        </is>
      </c>
      <c r="D2498" t="inlineStr">
        <is>
          <t>LOG</t>
        </is>
      </c>
      <c r="E2498" t="inlineStr">
        <is>
          <t>WRM Harian</t>
        </is>
      </c>
      <c r="F2498" t="inlineStr">
        <is>
          <t>07:49:25</t>
        </is>
      </c>
      <c r="G2498" t="inlineStr">
        <is>
          <t>16:00:10</t>
        </is>
      </c>
      <c r="H2498" t="inlineStr">
        <is>
          <t>SELESAI</t>
        </is>
      </c>
      <c r="I2498" t="inlineStr">
        <is>
          <t>MK00136</t>
        </is>
      </c>
      <c r="J2498" t="inlineStr">
        <is>
          <t>9E</t>
        </is>
      </c>
    </row>
    <row r="2499">
      <c r="A2499" t="inlineStr">
        <is>
          <t>30/07/2026</t>
        </is>
      </c>
      <c r="B2499" t="inlineStr">
        <is>
          <t>528000313</t>
        </is>
      </c>
      <c r="C2499" t="inlineStr">
        <is>
          <t>Muhamad Rifki</t>
        </is>
      </c>
      <c r="D2499" t="inlineStr">
        <is>
          <t>PROD</t>
        </is>
      </c>
      <c r="E2499" t="inlineStr">
        <is>
          <t>Produksi Harian</t>
        </is>
      </c>
      <c r="F2499" t="inlineStr">
        <is>
          <t>05:48:10</t>
        </is>
      </c>
      <c r="G2499" t="inlineStr">
        <is>
          <t>14:05:40</t>
        </is>
      </c>
      <c r="H2499" t="inlineStr">
        <is>
          <t>SELESAI</t>
        </is>
      </c>
      <c r="I2499" t="inlineStr">
        <is>
          <t>MK00008</t>
        </is>
      </c>
      <c r="J2499" t="inlineStr"/>
    </row>
    <row r="2500">
      <c r="A2500" t="inlineStr">
        <is>
          <t>30/07/2026</t>
        </is>
      </c>
      <c r="B2500" t="inlineStr">
        <is>
          <t>528000314</t>
        </is>
      </c>
      <c r="C2500" t="inlineStr">
        <is>
          <t>Rusmana</t>
        </is>
      </c>
      <c r="D2500" t="inlineStr">
        <is>
          <t>PROD</t>
        </is>
      </c>
      <c r="E2500" t="inlineStr">
        <is>
          <t>Produksi Harian</t>
        </is>
      </c>
      <c r="F2500" t="inlineStr"/>
      <c r="G2500" t="inlineStr">
        <is>
          <t>21:47:46</t>
        </is>
      </c>
      <c r="H2500" t="inlineStr">
        <is>
          <t>KELUAR TANPA MASUK</t>
        </is>
      </c>
      <c r="I2500" t="inlineStr">
        <is>
          <t>MK00125</t>
        </is>
      </c>
      <c r="J2500" t="inlineStr"/>
    </row>
    <row r="2501">
      <c r="A2501" t="inlineStr">
        <is>
          <t>30/07/2026</t>
        </is>
      </c>
      <c r="B2501" t="inlineStr">
        <is>
          <t>528000318</t>
        </is>
      </c>
      <c r="C2501" t="inlineStr">
        <is>
          <t>Bayu Padli Sepriyana</t>
        </is>
      </c>
      <c r="D2501" t="inlineStr">
        <is>
          <t>LOG</t>
        </is>
      </c>
      <c r="E2501" t="inlineStr">
        <is>
          <t>WRM Harian</t>
        </is>
      </c>
      <c r="F2501" t="inlineStr">
        <is>
          <t>05:44:28</t>
        </is>
      </c>
      <c r="G2501" t="inlineStr">
        <is>
          <t>14:04:23</t>
        </is>
      </c>
      <c r="H2501" t="inlineStr">
        <is>
          <t>SELESAI</t>
        </is>
      </c>
      <c r="I2501" t="inlineStr">
        <is>
          <t>MK00138</t>
        </is>
      </c>
      <c r="J2501" t="inlineStr"/>
    </row>
    <row r="2502">
      <c r="A2502" t="inlineStr">
        <is>
          <t>30/07/2026</t>
        </is>
      </c>
      <c r="B2502" t="inlineStr">
        <is>
          <t>528000322</t>
        </is>
      </c>
      <c r="C2502" t="inlineStr">
        <is>
          <t>Muhamad Aliludin</t>
        </is>
      </c>
      <c r="D2502" t="inlineStr">
        <is>
          <t>PROD</t>
        </is>
      </c>
      <c r="E2502" t="inlineStr">
        <is>
          <t>Produksi Harian</t>
        </is>
      </c>
      <c r="F2502" t="inlineStr">
        <is>
          <t>05:23:41</t>
        </is>
      </c>
      <c r="G2502" t="inlineStr">
        <is>
          <t>14:07:37</t>
        </is>
      </c>
      <c r="H2502" t="inlineStr">
        <is>
          <t>SELESAI</t>
        </is>
      </c>
      <c r="I2502" t="inlineStr">
        <is>
          <t>MK00121</t>
        </is>
      </c>
      <c r="J2502" t="inlineStr"/>
    </row>
    <row r="2503">
      <c r="A2503" t="inlineStr">
        <is>
          <t>30/07/2026</t>
        </is>
      </c>
      <c r="B2503" t="inlineStr">
        <is>
          <t>528000335</t>
        </is>
      </c>
      <c r="C2503" t="inlineStr">
        <is>
          <t>Rizal Saepuloh</t>
        </is>
      </c>
      <c r="D2503" t="inlineStr">
        <is>
          <t>LOG</t>
        </is>
      </c>
      <c r="E2503" t="inlineStr">
        <is>
          <t>WRM Harian</t>
        </is>
      </c>
      <c r="F2503" t="inlineStr">
        <is>
          <t>07:57:46</t>
        </is>
      </c>
      <c r="G2503" t="inlineStr">
        <is>
          <t>16:02:54</t>
        </is>
      </c>
      <c r="H2503" t="inlineStr">
        <is>
          <t>SELESAI</t>
        </is>
      </c>
      <c r="I2503" t="inlineStr">
        <is>
          <t>MK00204</t>
        </is>
      </c>
      <c r="J2503" t="inlineStr"/>
    </row>
    <row r="2504">
      <c r="A2504" t="inlineStr">
        <is>
          <t>30/07/2026</t>
        </is>
      </c>
      <c r="B2504" t="inlineStr">
        <is>
          <t>528000336</t>
        </is>
      </c>
      <c r="C2504" t="inlineStr">
        <is>
          <t>Ali Nurhanafi</t>
        </is>
      </c>
      <c r="D2504" t="inlineStr">
        <is>
          <t>PROD</t>
        </is>
      </c>
      <c r="E2504" t="inlineStr">
        <is>
          <t>Produksi Harian</t>
        </is>
      </c>
      <c r="F2504" t="inlineStr">
        <is>
          <t>20:54:44</t>
        </is>
      </c>
      <c r="G2504" t="inlineStr"/>
      <c r="H2504" t="inlineStr">
        <is>
          <t>DI DALAM</t>
        </is>
      </c>
      <c r="I2504" t="inlineStr">
        <is>
          <t>MK00185</t>
        </is>
      </c>
      <c r="J2504" t="inlineStr"/>
    </row>
    <row r="2505">
      <c r="A2505" t="inlineStr">
        <is>
          <t>30/07/2026</t>
        </is>
      </c>
      <c r="B2505" t="inlineStr">
        <is>
          <t>528000337</t>
        </is>
      </c>
      <c r="C2505" t="inlineStr">
        <is>
          <t>Ahmad Zaldi Firdaus</t>
        </is>
      </c>
      <c r="D2505" t="inlineStr">
        <is>
          <t>PROD</t>
        </is>
      </c>
      <c r="E2505" t="inlineStr">
        <is>
          <t>Produksi Harian</t>
        </is>
      </c>
      <c r="F2505" t="inlineStr">
        <is>
          <t>20:52:41</t>
        </is>
      </c>
      <c r="G2505" t="inlineStr"/>
      <c r="H2505" t="inlineStr">
        <is>
          <t>DI DALAM</t>
        </is>
      </c>
      <c r="I2505" t="inlineStr">
        <is>
          <t>MK00202</t>
        </is>
      </c>
      <c r="J2505" t="inlineStr"/>
    </row>
    <row r="2506">
      <c r="A2506" t="inlineStr">
        <is>
          <t>30/07/2026</t>
        </is>
      </c>
      <c r="B2506" t="inlineStr">
        <is>
          <t>528000340</t>
        </is>
      </c>
      <c r="C2506" t="inlineStr">
        <is>
          <t>Muhammad Wildan Adithya</t>
        </is>
      </c>
      <c r="D2506" t="inlineStr">
        <is>
          <t>PROD</t>
        </is>
      </c>
      <c r="E2506" t="inlineStr">
        <is>
          <t>Produksi Harian</t>
        </is>
      </c>
      <c r="F2506" t="inlineStr">
        <is>
          <t>05:46:39</t>
        </is>
      </c>
      <c r="G2506" t="inlineStr">
        <is>
          <t>14:06:13</t>
        </is>
      </c>
      <c r="H2506" t="inlineStr">
        <is>
          <t>SELESAI</t>
        </is>
      </c>
      <c r="I2506" t="inlineStr">
        <is>
          <t>MK00160</t>
        </is>
      </c>
      <c r="J2506" t="inlineStr"/>
    </row>
    <row r="2507">
      <c r="A2507" t="inlineStr">
        <is>
          <t>30/07/2026</t>
        </is>
      </c>
      <c r="B2507" t="inlineStr">
        <is>
          <t>528000348</t>
        </is>
      </c>
      <c r="C2507" t="inlineStr">
        <is>
          <t>Saepuloh Ardiansah</t>
        </is>
      </c>
      <c r="D2507" t="inlineStr">
        <is>
          <t>LOG</t>
        </is>
      </c>
      <c r="E2507" t="inlineStr">
        <is>
          <t>WRM Harian</t>
        </is>
      </c>
      <c r="F2507" t="inlineStr">
        <is>
          <t>08:47:06</t>
        </is>
      </c>
      <c r="G2507" t="inlineStr"/>
      <c r="H2507" t="inlineStr">
        <is>
          <t>DI DALAM</t>
        </is>
      </c>
      <c r="I2507" t="inlineStr">
        <is>
          <t>MK00205</t>
        </is>
      </c>
      <c r="J2507" t="inlineStr"/>
    </row>
    <row r="2508">
      <c r="A2508" t="inlineStr">
        <is>
          <t>30/07/2026</t>
        </is>
      </c>
      <c r="B2508" t="inlineStr">
        <is>
          <t>528000349</t>
        </is>
      </c>
      <c r="C2508" t="inlineStr">
        <is>
          <t>Anas Abdul Fatah</t>
        </is>
      </c>
      <c r="D2508" t="inlineStr">
        <is>
          <t>LOG</t>
        </is>
      </c>
      <c r="E2508" t="inlineStr">
        <is>
          <t>WFG Harian</t>
        </is>
      </c>
      <c r="F2508" t="inlineStr">
        <is>
          <t>09:41:52</t>
        </is>
      </c>
      <c r="G2508" t="inlineStr"/>
      <c r="H2508" t="inlineStr">
        <is>
          <t>DI DALAM</t>
        </is>
      </c>
      <c r="I2508" t="inlineStr">
        <is>
          <t>MK00218</t>
        </is>
      </c>
      <c r="J2508" t="inlineStr"/>
    </row>
    <row r="2509">
      <c r="A2509" t="inlineStr">
        <is>
          <t>30/07/2026</t>
        </is>
      </c>
      <c r="B2509" t="inlineStr">
        <is>
          <t>528000351</t>
        </is>
      </c>
      <c r="C2509" t="inlineStr">
        <is>
          <t>Mulyana</t>
        </is>
      </c>
      <c r="D2509" t="inlineStr">
        <is>
          <t>PROD</t>
        </is>
      </c>
      <c r="E2509" t="inlineStr">
        <is>
          <t>Produksi Harian</t>
        </is>
      </c>
      <c r="F2509" t="inlineStr">
        <is>
          <t>08:10:39</t>
        </is>
      </c>
      <c r="G2509" t="inlineStr">
        <is>
          <t>16:03:13</t>
        </is>
      </c>
      <c r="H2509" t="inlineStr">
        <is>
          <t>SELESAI</t>
        </is>
      </c>
      <c r="I2509" t="inlineStr">
        <is>
          <t>MK00208</t>
        </is>
      </c>
      <c r="J2509" t="inlineStr"/>
    </row>
    <row r="2510">
      <c r="A2510" t="inlineStr">
        <is>
          <t>30/07/2026</t>
        </is>
      </c>
      <c r="B2510" t="inlineStr">
        <is>
          <t>528000361</t>
        </is>
      </c>
      <c r="C2510" t="inlineStr">
        <is>
          <t>Denada Munggarani</t>
        </is>
      </c>
      <c r="D2510" t="inlineStr">
        <is>
          <t>PROD</t>
        </is>
      </c>
      <c r="E2510" t="inlineStr">
        <is>
          <t>Produksi Harian</t>
        </is>
      </c>
      <c r="F2510" t="inlineStr">
        <is>
          <t>05:49:52</t>
        </is>
      </c>
      <c r="G2510" t="inlineStr">
        <is>
          <t>17:01:15</t>
        </is>
      </c>
      <c r="H2510" t="inlineStr">
        <is>
          <t>SELESAI</t>
        </is>
      </c>
      <c r="I2510" t="inlineStr">
        <is>
          <t>MK00203</t>
        </is>
      </c>
      <c r="J2510" t="inlineStr"/>
    </row>
    <row r="2511">
      <c r="A2511" t="inlineStr">
        <is>
          <t>30/07/2026</t>
        </is>
      </c>
      <c r="B2511" t="inlineStr">
        <is>
          <t>628000064</t>
        </is>
      </c>
      <c r="C2511" t="inlineStr">
        <is>
          <t>Silva Alypia</t>
        </is>
      </c>
      <c r="D2511" t="inlineStr">
        <is>
          <t>PROD</t>
        </is>
      </c>
      <c r="E2511" t="inlineStr">
        <is>
          <t>Produksi Borongan</t>
        </is>
      </c>
      <c r="F2511" t="inlineStr">
        <is>
          <t>13:51:06</t>
        </is>
      </c>
      <c r="G2511" t="inlineStr">
        <is>
          <t>22:06:01</t>
        </is>
      </c>
      <c r="H2511" t="inlineStr">
        <is>
          <t>SELESAI</t>
        </is>
      </c>
      <c r="I2511" t="inlineStr">
        <is>
          <t>MK00181</t>
        </is>
      </c>
      <c r="J2511" t="inlineStr"/>
    </row>
    <row r="2512">
      <c r="A2512" t="inlineStr">
        <is>
          <t>30/07/2026</t>
        </is>
      </c>
      <c r="B2512" t="inlineStr">
        <is>
          <t>628000091</t>
        </is>
      </c>
      <c r="C2512" t="inlineStr">
        <is>
          <t>Devita Handayani</t>
        </is>
      </c>
      <c r="D2512" t="inlineStr">
        <is>
          <t>PROD</t>
        </is>
      </c>
      <c r="E2512" t="inlineStr">
        <is>
          <t>Produksi Borongan</t>
        </is>
      </c>
      <c r="F2512" t="inlineStr">
        <is>
          <t>05:51:46</t>
        </is>
      </c>
      <c r="G2512" t="inlineStr">
        <is>
          <t>14:07:43</t>
        </is>
      </c>
      <c r="H2512" t="inlineStr">
        <is>
          <t>SELESAI</t>
        </is>
      </c>
      <c r="I2512" t="inlineStr">
        <is>
          <t>MK00143</t>
        </is>
      </c>
      <c r="J2512" t="inlineStr"/>
    </row>
    <row r="2513">
      <c r="A2513" t="inlineStr">
        <is>
          <t>31/07/2026</t>
        </is>
      </c>
      <c r="B2513" t="inlineStr">
        <is>
          <t>528000052</t>
        </is>
      </c>
      <c r="C2513" t="inlineStr">
        <is>
          <t>Mustopa</t>
        </is>
      </c>
      <c r="D2513" t="inlineStr">
        <is>
          <t>PROD</t>
        </is>
      </c>
      <c r="E2513" t="inlineStr">
        <is>
          <t>Produksi Harian</t>
        </is>
      </c>
      <c r="F2513" t="inlineStr">
        <is>
          <t>21:04:22</t>
        </is>
      </c>
      <c r="G2513" t="inlineStr"/>
      <c r="H2513" t="inlineStr">
        <is>
          <t>DI DALAM</t>
        </is>
      </c>
      <c r="I2513" t="inlineStr">
        <is>
          <t>MK00160</t>
        </is>
      </c>
      <c r="J2513" t="inlineStr"/>
    </row>
    <row r="2514">
      <c r="A2514" t="inlineStr">
        <is>
          <t>31/07/2026</t>
        </is>
      </c>
      <c r="B2514" t="inlineStr">
        <is>
          <t>528000261</t>
        </is>
      </c>
      <c r="C2514" t="inlineStr">
        <is>
          <t>Ergi Ergianto</t>
        </is>
      </c>
      <c r="D2514" t="inlineStr">
        <is>
          <t>HRGA</t>
        </is>
      </c>
      <c r="E2514" t="inlineStr">
        <is>
          <t>GA Harian</t>
        </is>
      </c>
      <c r="F2514" t="inlineStr">
        <is>
          <t>21:50:44</t>
        </is>
      </c>
      <c r="G2514" t="inlineStr"/>
      <c r="H2514" t="inlineStr">
        <is>
          <t>DI DALAM</t>
        </is>
      </c>
      <c r="I2514" t="inlineStr">
        <is>
          <t>MK00202</t>
        </is>
      </c>
      <c r="J2514" t="inlineStr"/>
    </row>
    <row r="2515">
      <c r="A2515" t="inlineStr">
        <is>
          <t>31/07/2026</t>
        </is>
      </c>
      <c r="B2515" t="inlineStr">
        <is>
          <t>528000262</t>
        </is>
      </c>
      <c r="C2515" t="inlineStr">
        <is>
          <t>Ndari Dwiwanti</t>
        </is>
      </c>
      <c r="D2515" t="inlineStr">
        <is>
          <t>PROD</t>
        </is>
      </c>
      <c r="E2515" t="inlineStr">
        <is>
          <t>Produksi Harian</t>
        </is>
      </c>
      <c r="F2515" t="inlineStr">
        <is>
          <t>21:37:17</t>
        </is>
      </c>
      <c r="G2515" t="inlineStr"/>
      <c r="H2515" t="inlineStr">
        <is>
          <t>DI DALAM</t>
        </is>
      </c>
      <c r="I2515" t="inlineStr">
        <is>
          <t>MK00113</t>
        </is>
      </c>
      <c r="J2515" t="inlineStr"/>
    </row>
    <row r="2516">
      <c r="A2516" t="inlineStr">
        <is>
          <t>31/07/2026</t>
        </is>
      </c>
      <c r="B2516" t="inlineStr">
        <is>
          <t>528000283</t>
        </is>
      </c>
      <c r="C2516" t="inlineStr">
        <is>
          <t>Purwanda Sugiri</t>
        </is>
      </c>
      <c r="D2516" t="inlineStr">
        <is>
          <t>LOG</t>
        </is>
      </c>
      <c r="E2516" t="inlineStr">
        <is>
          <t>WRM Harian</t>
        </is>
      </c>
      <c r="F2516" t="inlineStr">
        <is>
          <t>21:53:19</t>
        </is>
      </c>
      <c r="G2516" t="inlineStr"/>
      <c r="H2516" t="inlineStr">
        <is>
          <t>DI DALAM</t>
        </is>
      </c>
      <c r="I2516" t="inlineStr">
        <is>
          <t>MK00154</t>
        </is>
      </c>
      <c r="J2516" t="inlineStr"/>
    </row>
    <row r="2517">
      <c r="A2517" t="inlineStr">
        <is>
          <t>31/07/2026</t>
        </is>
      </c>
      <c r="B2517" t="inlineStr">
        <is>
          <t>528000291</t>
        </is>
      </c>
      <c r="C2517" t="inlineStr">
        <is>
          <t>Andrian</t>
        </is>
      </c>
      <c r="D2517" t="inlineStr">
        <is>
          <t>PROD</t>
        </is>
      </c>
      <c r="E2517" t="inlineStr">
        <is>
          <t>Produksi Harian</t>
        </is>
      </c>
      <c r="F2517" t="inlineStr">
        <is>
          <t>21:52:57</t>
        </is>
      </c>
      <c r="G2517" t="inlineStr"/>
      <c r="H2517" t="inlineStr">
        <is>
          <t>DI DALAM</t>
        </is>
      </c>
      <c r="I2517" t="inlineStr">
        <is>
          <t>MK00082</t>
        </is>
      </c>
      <c r="J2517" t="inlineStr"/>
    </row>
    <row r="2518">
      <c r="A2518" t="inlineStr">
        <is>
          <t>31/07/2026</t>
        </is>
      </c>
      <c r="B2518" t="inlineStr">
        <is>
          <t>528000318</t>
        </is>
      </c>
      <c r="C2518" t="inlineStr">
        <is>
          <t>Bayu Padli Sepriyana</t>
        </is>
      </c>
      <c r="D2518" t="inlineStr">
        <is>
          <t>LOG</t>
        </is>
      </c>
      <c r="E2518" t="inlineStr">
        <is>
          <t>WRM Harian</t>
        </is>
      </c>
      <c r="F2518" t="inlineStr">
        <is>
          <t>21:35:36</t>
        </is>
      </c>
      <c r="G2518" t="inlineStr"/>
      <c r="H2518" t="inlineStr">
        <is>
          <t>DI DALAM</t>
        </is>
      </c>
      <c r="I2518" t="inlineStr">
        <is>
          <t>MK00090</t>
        </is>
      </c>
      <c r="J2518" t="inlineStr"/>
    </row>
    <row r="2519">
      <c r="A2519" t="inlineStr">
        <is>
          <t>31/07/2026</t>
        </is>
      </c>
      <c r="B2519" t="inlineStr">
        <is>
          <t>528000358</t>
        </is>
      </c>
      <c r="C2519" t="inlineStr">
        <is>
          <t>Lulu Agustin</t>
        </is>
      </c>
      <c r="D2519" t="inlineStr">
        <is>
          <t>PROD</t>
        </is>
      </c>
      <c r="E2519" t="inlineStr">
        <is>
          <t>Produksi Harian</t>
        </is>
      </c>
      <c r="F2519" t="inlineStr">
        <is>
          <t>21:40:42</t>
        </is>
      </c>
      <c r="G2519" t="inlineStr"/>
      <c r="H2519" t="inlineStr">
        <is>
          <t>DI DALAM</t>
        </is>
      </c>
      <c r="I2519" t="inlineStr">
        <is>
          <t>MK00213</t>
        </is>
      </c>
      <c r="J2519" t="inlineStr"/>
    </row>
    <row r="2520">
      <c r="A2520" t="inlineStr">
        <is>
          <t>31/07/2026</t>
        </is>
      </c>
      <c r="B2520" t="inlineStr">
        <is>
          <t>528000360</t>
        </is>
      </c>
      <c r="C2520" t="inlineStr">
        <is>
          <t>Hendra Permana</t>
        </is>
      </c>
      <c r="D2520" t="inlineStr">
        <is>
          <t>ENG</t>
        </is>
      </c>
      <c r="E2520" t="inlineStr">
        <is>
          <t>Engineering Harian</t>
        </is>
      </c>
      <c r="F2520" t="inlineStr">
        <is>
          <t>21:49:03</t>
        </is>
      </c>
      <c r="G2520" t="inlineStr"/>
      <c r="H2520" t="inlineStr">
        <is>
          <t>DI DALAM</t>
        </is>
      </c>
      <c r="I2520" t="inlineStr">
        <is>
          <t>MK00085</t>
        </is>
      </c>
      <c r="J2520" t="inlineStr">
        <is>
          <t>5C</t>
        </is>
      </c>
    </row>
    <row r="2521">
      <c r="A2521" t="inlineStr">
        <is>
          <t>01/08/2026</t>
        </is>
      </c>
      <c r="B2521" t="inlineStr">
        <is>
          <t>528000090</t>
        </is>
      </c>
      <c r="C2521" t="inlineStr">
        <is>
          <t>Suganda</t>
        </is>
      </c>
      <c r="D2521" t="inlineStr">
        <is>
          <t>PROD</t>
        </is>
      </c>
      <c r="E2521" t="inlineStr">
        <is>
          <t>Produksi Harian</t>
        </is>
      </c>
      <c r="F2521" t="inlineStr">
        <is>
          <t>13:58:13</t>
        </is>
      </c>
      <c r="G2521" t="inlineStr">
        <is>
          <t>22:05:47</t>
        </is>
      </c>
      <c r="H2521" t="inlineStr">
        <is>
          <t>SELESAI</t>
        </is>
      </c>
      <c r="I2521" t="inlineStr">
        <is>
          <t>MK00109</t>
        </is>
      </c>
      <c r="J2521" t="inlineStr"/>
    </row>
    <row r="2522">
      <c r="A2522" t="inlineStr">
        <is>
          <t>01/08/2026</t>
        </is>
      </c>
      <c r="B2522" t="inlineStr">
        <is>
          <t>528000201</t>
        </is>
      </c>
      <c r="C2522" t="inlineStr">
        <is>
          <t>Zahwa Amelia Choerunissa</t>
        </is>
      </c>
      <c r="D2522" t="inlineStr">
        <is>
          <t>PROD</t>
        </is>
      </c>
      <c r="E2522" t="inlineStr">
        <is>
          <t>Produksi Harian</t>
        </is>
      </c>
      <c r="F2522" t="inlineStr">
        <is>
          <t>13:42:08</t>
        </is>
      </c>
      <c r="G2522" t="inlineStr">
        <is>
          <t>22:05:35</t>
        </is>
      </c>
      <c r="H2522" t="inlineStr">
        <is>
          <t>SELESAI</t>
        </is>
      </c>
      <c r="I2522" t="inlineStr">
        <is>
          <t>MK00095</t>
        </is>
      </c>
      <c r="J2522" t="inlineStr"/>
    </row>
    <row r="2523">
      <c r="A2523" t="inlineStr">
        <is>
          <t>01/08/2026</t>
        </is>
      </c>
      <c r="B2523" t="inlineStr">
        <is>
          <t>528000212</t>
        </is>
      </c>
      <c r="C2523" t="inlineStr">
        <is>
          <t>Rizal Fauzi</t>
        </is>
      </c>
      <c r="D2523" t="inlineStr">
        <is>
          <t>PROD</t>
        </is>
      </c>
      <c r="E2523" t="inlineStr">
        <is>
          <t>Produksi Harian</t>
        </is>
      </c>
      <c r="F2523" t="inlineStr">
        <is>
          <t>14:02:02</t>
        </is>
      </c>
      <c r="G2523" t="inlineStr">
        <is>
          <t>22:04:03</t>
        </is>
      </c>
      <c r="H2523" t="inlineStr">
        <is>
          <t>SELESAI</t>
        </is>
      </c>
      <c r="I2523" t="inlineStr">
        <is>
          <t>MK00112</t>
        </is>
      </c>
      <c r="J2523" t="inlineStr"/>
    </row>
    <row r="2524">
      <c r="A2524" t="inlineStr">
        <is>
          <t>01/08/2026</t>
        </is>
      </c>
      <c r="B2524" t="inlineStr">
        <is>
          <t>528000241</t>
        </is>
      </c>
      <c r="C2524" t="inlineStr">
        <is>
          <t>Balia Nurafif Bilah</t>
        </is>
      </c>
      <c r="D2524" t="inlineStr">
        <is>
          <t>PROD</t>
        </is>
      </c>
      <c r="E2524" t="inlineStr">
        <is>
          <t>Produksi Harian</t>
        </is>
      </c>
      <c r="F2524" t="inlineStr">
        <is>
          <t>13:50:32</t>
        </is>
      </c>
      <c r="G2524" t="inlineStr">
        <is>
          <t>22:03:40</t>
        </is>
      </c>
      <c r="H2524" t="inlineStr">
        <is>
          <t>SELESAI</t>
        </is>
      </c>
      <c r="I2524" t="inlineStr">
        <is>
          <t>MK00143</t>
        </is>
      </c>
      <c r="J2524" t="inlineStr"/>
    </row>
    <row r="2525">
      <c r="A2525" t="inlineStr">
        <is>
          <t>01/08/2026</t>
        </is>
      </c>
      <c r="B2525" t="inlineStr">
        <is>
          <t>528000248</t>
        </is>
      </c>
      <c r="C2525" t="inlineStr">
        <is>
          <t>Roka Jaya Salka Mulya</t>
        </is>
      </c>
      <c r="D2525" t="inlineStr">
        <is>
          <t>PROD</t>
        </is>
      </c>
      <c r="E2525" t="inlineStr">
        <is>
          <t>Produksi Harian</t>
        </is>
      </c>
      <c r="F2525" t="inlineStr"/>
      <c r="G2525" t="inlineStr">
        <is>
          <t>14:01:16</t>
        </is>
      </c>
      <c r="H2525" t="inlineStr">
        <is>
          <t>KELUAR TANPA MASUK</t>
        </is>
      </c>
      <c r="I2525" t="inlineStr">
        <is>
          <t>MK00202</t>
        </is>
      </c>
      <c r="J2525" t="inlineStr"/>
    </row>
    <row r="2526">
      <c r="A2526" t="inlineStr">
        <is>
          <t>01/08/2026</t>
        </is>
      </c>
      <c r="B2526" t="inlineStr">
        <is>
          <t>528000273</t>
        </is>
      </c>
      <c r="C2526" t="inlineStr">
        <is>
          <t>Asep Mulyana</t>
        </is>
      </c>
      <c r="D2526" t="inlineStr">
        <is>
          <t>PROD</t>
        </is>
      </c>
      <c r="E2526" t="inlineStr">
        <is>
          <t>Produksi Harian</t>
        </is>
      </c>
      <c r="F2526" t="inlineStr">
        <is>
          <t>13:45:44</t>
        </is>
      </c>
      <c r="G2526" t="inlineStr">
        <is>
          <t>22:01:55</t>
        </is>
      </c>
      <c r="H2526" t="inlineStr">
        <is>
          <t>SELESAI</t>
        </is>
      </c>
      <c r="I2526" t="inlineStr">
        <is>
          <t>MK00235</t>
        </is>
      </c>
      <c r="J2526" t="inlineStr"/>
    </row>
    <row r="2527">
      <c r="A2527" t="inlineStr">
        <is>
          <t>01/08/2026</t>
        </is>
      </c>
      <c r="B2527" t="inlineStr">
        <is>
          <t>528000274</t>
        </is>
      </c>
      <c r="C2527" t="inlineStr">
        <is>
          <t>Zepri</t>
        </is>
      </c>
      <c r="D2527" t="inlineStr">
        <is>
          <t>PROD</t>
        </is>
      </c>
      <c r="E2527" t="inlineStr">
        <is>
          <t>Produksi Harian</t>
        </is>
      </c>
      <c r="F2527" t="inlineStr">
        <is>
          <t>13:48:40</t>
        </is>
      </c>
      <c r="G2527" t="inlineStr">
        <is>
          <t>22:02:47</t>
        </is>
      </c>
      <c r="H2527" t="inlineStr">
        <is>
          <t>SELESAI</t>
        </is>
      </c>
      <c r="I2527" t="inlineStr">
        <is>
          <t>MK00217</t>
        </is>
      </c>
      <c r="J2527" t="inlineStr"/>
    </row>
    <row r="2528">
      <c r="A2528" t="inlineStr">
        <is>
          <t>01/08/2026</t>
        </is>
      </c>
      <c r="B2528" t="inlineStr">
        <is>
          <t>528000279</t>
        </is>
      </c>
      <c r="C2528" t="inlineStr">
        <is>
          <t>Mahdalena Dalfa Riani</t>
        </is>
      </c>
      <c r="D2528" t="inlineStr">
        <is>
          <t>PROD</t>
        </is>
      </c>
      <c r="E2528" t="inlineStr">
        <is>
          <t>Produksi Harian</t>
        </is>
      </c>
      <c r="F2528" t="inlineStr"/>
      <c r="G2528" t="inlineStr">
        <is>
          <t>14:08:43</t>
        </is>
      </c>
      <c r="H2528" t="inlineStr">
        <is>
          <t>KELUAR TANPA MASUK</t>
        </is>
      </c>
      <c r="I2528" t="inlineStr">
        <is>
          <t>MK00213</t>
        </is>
      </c>
      <c r="J2528" t="inlineStr"/>
    </row>
    <row r="2529">
      <c r="A2529" t="inlineStr">
        <is>
          <t>01/08/2026</t>
        </is>
      </c>
      <c r="B2529" t="inlineStr">
        <is>
          <t>528000283</t>
        </is>
      </c>
      <c r="C2529" t="inlineStr">
        <is>
          <t>Purwanda Sugiri</t>
        </is>
      </c>
      <c r="D2529" t="inlineStr">
        <is>
          <t>LOG</t>
        </is>
      </c>
      <c r="E2529" t="inlineStr">
        <is>
          <t>WRM Harian</t>
        </is>
      </c>
      <c r="F2529" t="inlineStr"/>
      <c r="G2529" t="inlineStr">
        <is>
          <t>06:04:10</t>
        </is>
      </c>
      <c r="H2529" t="inlineStr">
        <is>
          <t>KELUAR TANPA MASUK</t>
        </is>
      </c>
      <c r="I2529" t="inlineStr">
        <is>
          <t>MK00154</t>
        </is>
      </c>
      <c r="J2529" t="inlineStr"/>
    </row>
    <row r="2530">
      <c r="A2530" t="inlineStr">
        <is>
          <t>01/08/2026</t>
        </is>
      </c>
      <c r="B2530" t="inlineStr">
        <is>
          <t>528000286</t>
        </is>
      </c>
      <c r="C2530" t="inlineStr">
        <is>
          <t>Imelda Amelia</t>
        </is>
      </c>
      <c r="D2530" t="inlineStr">
        <is>
          <t>PROD</t>
        </is>
      </c>
      <c r="E2530" t="inlineStr">
        <is>
          <t>Produksi Harian</t>
        </is>
      </c>
      <c r="F2530" t="inlineStr">
        <is>
          <t>13:39:44</t>
        </is>
      </c>
      <c r="G2530" t="inlineStr">
        <is>
          <t>22:07:43</t>
        </is>
      </c>
      <c r="H2530" t="inlineStr">
        <is>
          <t>SELESAI</t>
        </is>
      </c>
      <c r="I2530" t="inlineStr">
        <is>
          <t>MK00181</t>
        </is>
      </c>
      <c r="J2530" t="inlineStr"/>
    </row>
    <row r="2531">
      <c r="A2531" t="inlineStr">
        <is>
          <t>01/08/2026</t>
        </is>
      </c>
      <c r="B2531" t="inlineStr">
        <is>
          <t>528000289</t>
        </is>
      </c>
      <c r="C2531" t="inlineStr">
        <is>
          <t>Adit Supriyadi</t>
        </is>
      </c>
      <c r="D2531" t="inlineStr">
        <is>
          <t>PROD</t>
        </is>
      </c>
      <c r="E2531" t="inlineStr">
        <is>
          <t>Produksi Harian</t>
        </is>
      </c>
      <c r="F2531" t="inlineStr">
        <is>
          <t>13:49:07</t>
        </is>
      </c>
      <c r="G2531" t="inlineStr">
        <is>
          <t>22:33:49</t>
        </is>
      </c>
      <c r="H2531" t="inlineStr">
        <is>
          <t>SELESAI</t>
        </is>
      </c>
      <c r="I2531" t="inlineStr">
        <is>
          <t>MK00138</t>
        </is>
      </c>
      <c r="J2531" t="inlineStr"/>
    </row>
    <row r="2532">
      <c r="A2532" t="inlineStr">
        <is>
          <t>01/08/2026</t>
        </is>
      </c>
      <c r="B2532" t="inlineStr">
        <is>
          <t>528000290</t>
        </is>
      </c>
      <c r="C2532" t="inlineStr">
        <is>
          <t>Eval Pranata</t>
        </is>
      </c>
      <c r="D2532" t="inlineStr">
        <is>
          <t>PROD</t>
        </is>
      </c>
      <c r="E2532" t="inlineStr">
        <is>
          <t>Produksi Harian</t>
        </is>
      </c>
      <c r="F2532" t="inlineStr">
        <is>
          <t>13:58:25</t>
        </is>
      </c>
      <c r="G2532" t="inlineStr">
        <is>
          <t>22:03:44</t>
        </is>
      </c>
      <c r="H2532" t="inlineStr">
        <is>
          <t>SELESAI</t>
        </is>
      </c>
      <c r="I2532" t="inlineStr">
        <is>
          <t>MK00208</t>
        </is>
      </c>
      <c r="J2532" t="inlineStr"/>
    </row>
    <row r="2533">
      <c r="A2533" t="inlineStr">
        <is>
          <t>01/08/2026</t>
        </is>
      </c>
      <c r="B2533" t="inlineStr">
        <is>
          <t>528000296</t>
        </is>
      </c>
      <c r="C2533" t="inlineStr">
        <is>
          <t>Nurdin</t>
        </is>
      </c>
      <c r="D2533" t="inlineStr">
        <is>
          <t>PROD</t>
        </is>
      </c>
      <c r="E2533" t="inlineStr">
        <is>
          <t>Produksi Harian</t>
        </is>
      </c>
      <c r="F2533" t="inlineStr">
        <is>
          <t>13:51:08</t>
        </is>
      </c>
      <c r="G2533" t="inlineStr"/>
      <c r="H2533" t="inlineStr">
        <is>
          <t>DI DALAM</t>
        </is>
      </c>
      <c r="I2533" t="inlineStr">
        <is>
          <t>MK00121</t>
        </is>
      </c>
      <c r="J2533" t="inlineStr"/>
    </row>
    <row r="2534">
      <c r="A2534" t="inlineStr">
        <is>
          <t>01/08/2026</t>
        </is>
      </c>
      <c r="B2534" t="inlineStr">
        <is>
          <t>528000300</t>
        </is>
      </c>
      <c r="C2534" t="inlineStr">
        <is>
          <t>Lia pitaloka</t>
        </is>
      </c>
      <c r="D2534" t="inlineStr">
        <is>
          <t>PROD</t>
        </is>
      </c>
      <c r="E2534" t="inlineStr">
        <is>
          <t>Produksi Harian</t>
        </is>
      </c>
      <c r="F2534" t="inlineStr"/>
      <c r="G2534" t="inlineStr">
        <is>
          <t>14:10:23</t>
        </is>
      </c>
      <c r="H2534" t="inlineStr">
        <is>
          <t>KELUAR TANPA MASUK</t>
        </is>
      </c>
      <c r="I2534" t="inlineStr">
        <is>
          <t>MK00209</t>
        </is>
      </c>
      <c r="J2534" t="inlineStr"/>
    </row>
    <row r="2535">
      <c r="A2535" t="inlineStr">
        <is>
          <t>01/08/2026</t>
        </is>
      </c>
      <c r="B2535" t="inlineStr">
        <is>
          <t>528000318</t>
        </is>
      </c>
      <c r="C2535" t="inlineStr">
        <is>
          <t>Bayu Padli Sepriyana</t>
        </is>
      </c>
      <c r="D2535" t="inlineStr">
        <is>
          <t>LOG</t>
        </is>
      </c>
      <c r="E2535" t="inlineStr">
        <is>
          <t>WRM Harian</t>
        </is>
      </c>
      <c r="F2535" t="inlineStr"/>
      <c r="G2535" t="inlineStr">
        <is>
          <t>06:05:02</t>
        </is>
      </c>
      <c r="H2535" t="inlineStr">
        <is>
          <t>KELUAR TANPA MASUK</t>
        </is>
      </c>
      <c r="I2535" t="inlineStr">
        <is>
          <t>MK00090</t>
        </is>
      </c>
      <c r="J2535" t="inlineStr"/>
    </row>
    <row r="2536">
      <c r="A2536" t="inlineStr">
        <is>
          <t>01/08/2026</t>
        </is>
      </c>
      <c r="B2536" t="inlineStr">
        <is>
          <t>528000334</t>
        </is>
      </c>
      <c r="C2536" t="inlineStr">
        <is>
          <t>Naufal Yudhistira</t>
        </is>
      </c>
      <c r="D2536" t="inlineStr">
        <is>
          <t>PROD</t>
        </is>
      </c>
      <c r="E2536" t="inlineStr">
        <is>
          <t>Produksi Harian</t>
        </is>
      </c>
      <c r="F2536" t="inlineStr"/>
      <c r="G2536" t="inlineStr">
        <is>
          <t>14:03:28</t>
        </is>
      </c>
      <c r="H2536" t="inlineStr">
        <is>
          <t>KELUAR TANPA MASUK</t>
        </is>
      </c>
      <c r="I2536" t="inlineStr">
        <is>
          <t>MK00136</t>
        </is>
      </c>
      <c r="J2536" t="inlineStr"/>
    </row>
    <row r="2537">
      <c r="A2537" t="inlineStr">
        <is>
          <t>01/08/2026</t>
        </is>
      </c>
      <c r="B2537" t="inlineStr">
        <is>
          <t>528000337</t>
        </is>
      </c>
      <c r="C2537" t="inlineStr">
        <is>
          <t>Ahmad Zaldi Firdaus</t>
        </is>
      </c>
      <c r="D2537" t="inlineStr">
        <is>
          <t>PROD</t>
        </is>
      </c>
      <c r="E2537" t="inlineStr">
        <is>
          <t>Produksi Harian</t>
        </is>
      </c>
      <c r="F2537" t="inlineStr">
        <is>
          <t>20:51:27</t>
        </is>
      </c>
      <c r="G2537" t="inlineStr">
        <is>
          <t>06:08:40</t>
        </is>
      </c>
      <c r="H2537" t="inlineStr">
        <is>
          <t>SELESAI</t>
        </is>
      </c>
      <c r="I2537" t="inlineStr">
        <is>
          <t>MK00212</t>
        </is>
      </c>
      <c r="J2537" t="inlineStr"/>
    </row>
    <row r="2538">
      <c r="A2538" t="inlineStr">
        <is>
          <t>01/08/2026</t>
        </is>
      </c>
      <c r="B2538" t="inlineStr">
        <is>
          <t>528000339</t>
        </is>
      </c>
      <c r="C2538" t="inlineStr">
        <is>
          <t>Muhamad Ripai'i</t>
        </is>
      </c>
      <c r="D2538" t="inlineStr">
        <is>
          <t>HRGA</t>
        </is>
      </c>
      <c r="E2538" t="inlineStr">
        <is>
          <t>GA Harian</t>
        </is>
      </c>
      <c r="F2538" t="inlineStr">
        <is>
          <t>13:39:41</t>
        </is>
      </c>
      <c r="G2538" t="inlineStr">
        <is>
          <t>22:05:05</t>
        </is>
      </c>
      <c r="H2538" t="inlineStr">
        <is>
          <t>SELESAI</t>
        </is>
      </c>
      <c r="I2538" t="inlineStr">
        <is>
          <t>MK00108</t>
        </is>
      </c>
      <c r="J2538" t="inlineStr"/>
    </row>
    <row r="2539">
      <c r="A2539" t="inlineStr">
        <is>
          <t>01/08/2026</t>
        </is>
      </c>
      <c r="B2539" t="inlineStr">
        <is>
          <t>528000359</t>
        </is>
      </c>
      <c r="C2539" t="inlineStr">
        <is>
          <t>M. Iqbal Maulana. S</t>
        </is>
      </c>
      <c r="D2539" t="inlineStr">
        <is>
          <t>LOG</t>
        </is>
      </c>
      <c r="E2539" t="inlineStr">
        <is>
          <t>WRM Harian</t>
        </is>
      </c>
      <c r="F2539" t="inlineStr">
        <is>
          <t>07:11:45</t>
        </is>
      </c>
      <c r="G2539" t="inlineStr">
        <is>
          <t>14:02:10</t>
        </is>
      </c>
      <c r="H2539" t="inlineStr">
        <is>
          <t>SELESAI</t>
        </is>
      </c>
      <c r="I2539" t="inlineStr">
        <is>
          <t>MK00212</t>
        </is>
      </c>
      <c r="J2539" t="inlineStr"/>
    </row>
    <row r="2540">
      <c r="A2540" t="inlineStr">
        <is>
          <t>01/08/2026</t>
        </is>
      </c>
      <c r="B2540" t="inlineStr">
        <is>
          <t>528000360</t>
        </is>
      </c>
      <c r="C2540" t="inlineStr">
        <is>
          <t>Hendra Permana</t>
        </is>
      </c>
      <c r="D2540" t="inlineStr">
        <is>
          <t>ENG</t>
        </is>
      </c>
      <c r="E2540" t="inlineStr">
        <is>
          <t>Engineering Harian</t>
        </is>
      </c>
      <c r="F2540" t="inlineStr"/>
      <c r="G2540" t="inlineStr">
        <is>
          <t>06:05:39</t>
        </is>
      </c>
      <c r="H2540" t="inlineStr">
        <is>
          <t>KELUAR TANPA MASUK</t>
        </is>
      </c>
      <c r="I2540" t="inlineStr">
        <is>
          <t>MK00085</t>
        </is>
      </c>
      <c r="J2540" t="inlineStr">
        <is>
          <t>5C</t>
        </is>
      </c>
    </row>
    <row r="2541">
      <c r="A2541" t="inlineStr">
        <is>
          <t>01/08/2026</t>
        </is>
      </c>
      <c r="B2541" t="inlineStr">
        <is>
          <t>628000064</t>
        </is>
      </c>
      <c r="C2541" t="inlineStr">
        <is>
          <t>Silva Alypia</t>
        </is>
      </c>
      <c r="D2541" t="inlineStr">
        <is>
          <t>PROD</t>
        </is>
      </c>
      <c r="E2541" t="inlineStr">
        <is>
          <t>Produksi Borongan</t>
        </is>
      </c>
      <c r="F2541" t="inlineStr"/>
      <c r="G2541" t="inlineStr">
        <is>
          <t>14:04:10</t>
        </is>
      </c>
      <c r="H2541" t="inlineStr">
        <is>
          <t>KELUAR TANPA MASUK</t>
        </is>
      </c>
      <c r="I2541" t="inlineStr">
        <is>
          <t>MK00145</t>
        </is>
      </c>
      <c r="J2541" t="inlineStr"/>
    </row>
    <row r="2542">
      <c r="A2542" t="inlineStr">
        <is>
          <t>02/08/2026</t>
        </is>
      </c>
      <c r="B2542" t="inlineStr">
        <is>
          <t>528000265</t>
        </is>
      </c>
      <c r="C2542" t="inlineStr">
        <is>
          <t>Muhammad Haerul Rozikin</t>
        </is>
      </c>
      <c r="D2542" t="inlineStr">
        <is>
          <t>LOG</t>
        </is>
      </c>
      <c r="E2542" t="inlineStr">
        <is>
          <t>WRM Harian</t>
        </is>
      </c>
      <c r="F2542" t="inlineStr">
        <is>
          <t>07:45:54</t>
        </is>
      </c>
      <c r="G2542" t="inlineStr"/>
      <c r="H2542" t="inlineStr">
        <is>
          <t>DI DALAM</t>
        </is>
      </c>
      <c r="I2542" t="inlineStr">
        <is>
          <t>MK00154</t>
        </is>
      </c>
      <c r="J2542" t="inlineStr"/>
    </row>
    <row r="2543">
      <c r="A2543" t="inlineStr">
        <is>
          <t>02/08/2026</t>
        </is>
      </c>
      <c r="B2543" t="inlineStr">
        <is>
          <t>528000279</t>
        </is>
      </c>
      <c r="C2543" t="inlineStr">
        <is>
          <t>Mahdalena Dalfa Riani</t>
        </is>
      </c>
      <c r="D2543" t="inlineStr">
        <is>
          <t>PROD</t>
        </is>
      </c>
      <c r="E2543" t="inlineStr">
        <is>
          <t>Produksi Harian</t>
        </is>
      </c>
      <c r="F2543" t="inlineStr">
        <is>
          <t>05:57:01</t>
        </is>
      </c>
      <c r="G2543" t="inlineStr"/>
      <c r="H2543" t="inlineStr">
        <is>
          <t>DI DALAM</t>
        </is>
      </c>
      <c r="I2543" t="inlineStr">
        <is>
          <t>MK00208</t>
        </is>
      </c>
      <c r="J2543" t="inlineStr"/>
    </row>
    <row r="2544">
      <c r="A2544" t="inlineStr">
        <is>
          <t>02/08/2026</t>
        </is>
      </c>
      <c r="B2544" t="inlineStr">
        <is>
          <t>528000282</t>
        </is>
      </c>
      <c r="C2544" t="inlineStr">
        <is>
          <t>Defa Desfiana</t>
        </is>
      </c>
      <c r="D2544" t="inlineStr">
        <is>
          <t>PROD</t>
        </is>
      </c>
      <c r="E2544" t="inlineStr">
        <is>
          <t>Produksi Harian</t>
        </is>
      </c>
      <c r="F2544" t="inlineStr">
        <is>
          <t>07:37:41</t>
        </is>
      </c>
      <c r="G2544" t="inlineStr"/>
      <c r="H2544" t="inlineStr">
        <is>
          <t>DI DALAM</t>
        </is>
      </c>
      <c r="I2544" t="inlineStr">
        <is>
          <t>MK00210</t>
        </is>
      </c>
      <c r="J2544" t="inlineStr">
        <is>
          <t>32c</t>
        </is>
      </c>
    </row>
    <row r="2545">
      <c r="A2545" t="inlineStr">
        <is>
          <t>02/08/2026</t>
        </is>
      </c>
      <c r="B2545" t="inlineStr">
        <is>
          <t>528000300</t>
        </is>
      </c>
      <c r="C2545" t="inlineStr">
        <is>
          <t>Lia pitaloka</t>
        </is>
      </c>
      <c r="D2545" t="inlineStr">
        <is>
          <t>PROD</t>
        </is>
      </c>
      <c r="E2545" t="inlineStr">
        <is>
          <t>Produksi Harian</t>
        </is>
      </c>
      <c r="F2545" t="inlineStr">
        <is>
          <t>05:56:25</t>
        </is>
      </c>
      <c r="G2545" t="inlineStr"/>
      <c r="H2545" t="inlineStr">
        <is>
          <t>DI DALAM</t>
        </is>
      </c>
      <c r="I2545" t="inlineStr">
        <is>
          <t>MK00138</t>
        </is>
      </c>
      <c r="J2545" t="inlineStr"/>
    </row>
    <row r="2546">
      <c r="A2546" t="inlineStr">
        <is>
          <t>02/08/2026</t>
        </is>
      </c>
      <c r="B2546" t="inlineStr">
        <is>
          <t>628000064</t>
        </is>
      </c>
      <c r="C2546" t="inlineStr">
        <is>
          <t>Silva Alypia</t>
        </is>
      </c>
      <c r="D2546" t="inlineStr">
        <is>
          <t>PROD</t>
        </is>
      </c>
      <c r="E2546" t="inlineStr">
        <is>
          <t>Produksi Borongan</t>
        </is>
      </c>
      <c r="F2546" t="inlineStr">
        <is>
          <t>05:50:41</t>
        </is>
      </c>
      <c r="G2546" t="inlineStr"/>
      <c r="H2546" t="inlineStr">
        <is>
          <t>DI DALAM</t>
        </is>
      </c>
      <c r="I2546" t="inlineStr">
        <is>
          <t>MK00108</t>
        </is>
      </c>
      <c r="J2546" t="inlineStr"/>
    </row>
    <row r="2547">
      <c r="A2547" t="inlineStr">
        <is>
          <t>05/08/2026</t>
        </is>
      </c>
      <c r="B2547" t="inlineStr">
        <is>
          <t>528000015</t>
        </is>
      </c>
      <c r="C2547" t="inlineStr">
        <is>
          <t>Erwin</t>
        </is>
      </c>
      <c r="D2547" t="inlineStr">
        <is>
          <t>LOG</t>
        </is>
      </c>
      <c r="E2547" t="inlineStr">
        <is>
          <t>WRM Harian</t>
        </is>
      </c>
      <c r="F2547" t="inlineStr">
        <is>
          <t>21:53:33</t>
        </is>
      </c>
      <c r="G2547" t="inlineStr"/>
      <c r="H2547" t="inlineStr">
        <is>
          <t>DI DALAM</t>
        </is>
      </c>
      <c r="I2547" t="inlineStr">
        <is>
          <t>MK00181</t>
        </is>
      </c>
      <c r="J2547" t="inlineStr"/>
    </row>
    <row r="2548">
      <c r="A2548" t="inlineStr">
        <is>
          <t>05/08/2026</t>
        </is>
      </c>
      <c r="B2548" t="inlineStr">
        <is>
          <t>528000298</t>
        </is>
      </c>
      <c r="C2548" t="inlineStr">
        <is>
          <t>Desta Cahaya Pratama</t>
        </is>
      </c>
      <c r="D2548" t="inlineStr">
        <is>
          <t>PROD</t>
        </is>
      </c>
      <c r="E2548" t="inlineStr">
        <is>
          <t>Produksi Harian</t>
        </is>
      </c>
      <c r="F2548" t="inlineStr">
        <is>
          <t>21:37:15</t>
        </is>
      </c>
      <c r="G2548" t="inlineStr"/>
      <c r="H2548" t="inlineStr">
        <is>
          <t>DI DALAM</t>
        </is>
      </c>
      <c r="I2548" t="inlineStr">
        <is>
          <t>MK00138</t>
        </is>
      </c>
      <c r="J2548" t="inlineStr"/>
    </row>
    <row r="2549">
      <c r="A2549" t="inlineStr">
        <is>
          <t>05/08/2026</t>
        </is>
      </c>
      <c r="B2549" t="inlineStr">
        <is>
          <t>528000299</t>
        </is>
      </c>
      <c r="C2549" t="inlineStr">
        <is>
          <t>Siti Nurjanah</t>
        </is>
      </c>
      <c r="D2549" t="inlineStr">
        <is>
          <t>PROD</t>
        </is>
      </c>
      <c r="E2549" t="inlineStr">
        <is>
          <t>Produksi Harian</t>
        </is>
      </c>
      <c r="F2549" t="inlineStr">
        <is>
          <t>21:22:02</t>
        </is>
      </c>
      <c r="G2549" t="inlineStr"/>
      <c r="H2549" t="inlineStr">
        <is>
          <t>DI DALAM</t>
        </is>
      </c>
      <c r="I2549" t="inlineStr">
        <is>
          <t>MK00220</t>
        </is>
      </c>
      <c r="J2549" t="inlineStr"/>
    </row>
    <row r="2550">
      <c r="A2550" t="inlineStr">
        <is>
          <t>05/08/2026</t>
        </is>
      </c>
      <c r="B2550" t="inlineStr">
        <is>
          <t>528000305</t>
        </is>
      </c>
      <c r="C2550" t="inlineStr">
        <is>
          <t>Puji Puspita</t>
        </is>
      </c>
      <c r="D2550" t="inlineStr">
        <is>
          <t>PROD</t>
        </is>
      </c>
      <c r="E2550" t="inlineStr">
        <is>
          <t>Produksi Harian</t>
        </is>
      </c>
      <c r="F2550" t="inlineStr">
        <is>
          <t>21:30:03</t>
        </is>
      </c>
      <c r="G2550" t="inlineStr"/>
      <c r="H2550" t="inlineStr">
        <is>
          <t>DI DALAM</t>
        </is>
      </c>
      <c r="I2550" t="inlineStr">
        <is>
          <t>MK00185</t>
        </is>
      </c>
      <c r="J2550" t="inlineStr"/>
    </row>
    <row r="2551">
      <c r="A2551" t="inlineStr">
        <is>
          <t>05/08/2026</t>
        </is>
      </c>
      <c r="B2551" t="inlineStr">
        <is>
          <t>528000309</t>
        </is>
      </c>
      <c r="C2551" t="inlineStr">
        <is>
          <t>Ilham Ramadhan</t>
        </is>
      </c>
      <c r="D2551" t="inlineStr">
        <is>
          <t>LOG</t>
        </is>
      </c>
      <c r="E2551" t="inlineStr">
        <is>
          <t>WRM Harian</t>
        </is>
      </c>
      <c r="F2551" t="inlineStr">
        <is>
          <t>21:38:41</t>
        </is>
      </c>
      <c r="G2551" t="inlineStr"/>
      <c r="H2551" t="inlineStr">
        <is>
          <t>DI DALAM</t>
        </is>
      </c>
      <c r="I2551" t="inlineStr">
        <is>
          <t>MK00217</t>
        </is>
      </c>
      <c r="J2551" t="inlineStr"/>
    </row>
    <row r="2552">
      <c r="A2552" t="inlineStr">
        <is>
          <t>05/08/2026</t>
        </is>
      </c>
      <c r="B2552" t="inlineStr">
        <is>
          <t>528000313</t>
        </is>
      </c>
      <c r="C2552" t="inlineStr">
        <is>
          <t>Muhamad Rifki</t>
        </is>
      </c>
      <c r="D2552" t="inlineStr">
        <is>
          <t>PROD</t>
        </is>
      </c>
      <c r="E2552" t="inlineStr">
        <is>
          <t>Produksi Harian</t>
        </is>
      </c>
      <c r="F2552" t="inlineStr">
        <is>
          <t>21:41:41</t>
        </is>
      </c>
      <c r="G2552" t="inlineStr"/>
      <c r="H2552" t="inlineStr">
        <is>
          <t>DI DALAM</t>
        </is>
      </c>
      <c r="I2552" t="inlineStr">
        <is>
          <t>MK00082</t>
        </is>
      </c>
      <c r="J2552" t="inlineStr"/>
    </row>
    <row r="2553">
      <c r="A2553" t="inlineStr">
        <is>
          <t>05/08/2026</t>
        </is>
      </c>
      <c r="B2553" t="inlineStr">
        <is>
          <t>528000318</t>
        </is>
      </c>
      <c r="C2553" t="inlineStr">
        <is>
          <t>Bayu Padli Sepriyana</t>
        </is>
      </c>
      <c r="D2553" t="inlineStr">
        <is>
          <t>LOG</t>
        </is>
      </c>
      <c r="E2553" t="inlineStr">
        <is>
          <t>WRM Harian</t>
        </is>
      </c>
      <c r="F2553" t="inlineStr">
        <is>
          <t>21:33:36</t>
        </is>
      </c>
      <c r="G2553" t="inlineStr"/>
      <c r="H2553" t="inlineStr">
        <is>
          <t>DI DALAM</t>
        </is>
      </c>
      <c r="I2553" t="inlineStr">
        <is>
          <t>MK00184</t>
        </is>
      </c>
      <c r="J2553" t="inlineStr"/>
    </row>
    <row r="2554">
      <c r="A2554" t="inlineStr">
        <is>
          <t>05/08/2026</t>
        </is>
      </c>
      <c r="B2554" t="inlineStr">
        <is>
          <t>528000340</t>
        </is>
      </c>
      <c r="C2554" t="inlineStr">
        <is>
          <t>Muhammad Wildan Adithya</t>
        </is>
      </c>
      <c r="D2554" t="inlineStr">
        <is>
          <t>PROD</t>
        </is>
      </c>
      <c r="E2554" t="inlineStr">
        <is>
          <t>Produksi Harian</t>
        </is>
      </c>
      <c r="F2554" t="inlineStr">
        <is>
          <t>21:32:37</t>
        </is>
      </c>
      <c r="G2554" t="inlineStr"/>
      <c r="H2554" t="inlineStr">
        <is>
          <t>DI DALAM</t>
        </is>
      </c>
      <c r="I2554" t="inlineStr">
        <is>
          <t>MK00218</t>
        </is>
      </c>
      <c r="J2554" t="inlineStr"/>
    </row>
    <row r="2555">
      <c r="A2555" t="inlineStr">
        <is>
          <t>05/08/2026</t>
        </is>
      </c>
      <c r="B2555" t="inlineStr">
        <is>
          <t>528000361</t>
        </is>
      </c>
      <c r="C2555" t="inlineStr">
        <is>
          <t>Denada Munggarani</t>
        </is>
      </c>
      <c r="D2555" t="inlineStr">
        <is>
          <t>PROD</t>
        </is>
      </c>
      <c r="E2555" t="inlineStr">
        <is>
          <t>Produksi Harian</t>
        </is>
      </c>
      <c r="F2555" t="inlineStr">
        <is>
          <t>21:32:13</t>
        </is>
      </c>
      <c r="G2555" t="inlineStr"/>
      <c r="H2555" t="inlineStr">
        <is>
          <t>DI DALAM</t>
        </is>
      </c>
      <c r="I2555" t="inlineStr">
        <is>
          <t>MK00134</t>
        </is>
      </c>
      <c r="J2555" t="inlineStr"/>
    </row>
    <row r="2556">
      <c r="A2556" t="inlineStr">
        <is>
          <t>06/08/2026</t>
        </is>
      </c>
      <c r="B2556" t="inlineStr">
        <is>
          <t>528000015</t>
        </is>
      </c>
      <c r="C2556" t="inlineStr">
        <is>
          <t>Erwin</t>
        </is>
      </c>
      <c r="D2556" t="inlineStr">
        <is>
          <t>LOG</t>
        </is>
      </c>
      <c r="E2556" t="inlineStr">
        <is>
          <t>WRM Harian</t>
        </is>
      </c>
      <c r="F2556" t="inlineStr"/>
      <c r="G2556" t="inlineStr">
        <is>
          <t>06:06:05</t>
        </is>
      </c>
      <c r="H2556" t="inlineStr">
        <is>
          <t>KELUAR TANPA MASUK</t>
        </is>
      </c>
      <c r="I2556" t="inlineStr">
        <is>
          <t>MK00181</t>
        </is>
      </c>
      <c r="J2556" t="inlineStr"/>
    </row>
    <row r="2557">
      <c r="A2557" t="inlineStr">
        <is>
          <t>06/08/2026</t>
        </is>
      </c>
      <c r="B2557" t="inlineStr">
        <is>
          <t>528000098</t>
        </is>
      </c>
      <c r="C2557" t="inlineStr">
        <is>
          <t>Edi Junaedi</t>
        </is>
      </c>
      <c r="D2557" t="inlineStr">
        <is>
          <t>PROD</t>
        </is>
      </c>
      <c r="E2557" t="inlineStr">
        <is>
          <t>Produksi Harian</t>
        </is>
      </c>
      <c r="F2557" t="inlineStr">
        <is>
          <t>14:29:54</t>
        </is>
      </c>
      <c r="G2557" t="inlineStr">
        <is>
          <t>14:44:15</t>
        </is>
      </c>
      <c r="H2557" t="inlineStr">
        <is>
          <t>SELESAI</t>
        </is>
      </c>
      <c r="I2557" t="inlineStr">
        <is>
          <t>MK00112</t>
        </is>
      </c>
      <c r="J2557" t="inlineStr">
        <is>
          <t>12A</t>
        </is>
      </c>
    </row>
    <row r="2558">
      <c r="A2558" t="inlineStr">
        <is>
          <t>06/08/2026</t>
        </is>
      </c>
      <c r="B2558" t="inlineStr">
        <is>
          <t>528000298</t>
        </is>
      </c>
      <c r="C2558" t="inlineStr">
        <is>
          <t>Desta Cahaya Pratama</t>
        </is>
      </c>
      <c r="D2558" t="inlineStr">
        <is>
          <t>PROD</t>
        </is>
      </c>
      <c r="E2558" t="inlineStr">
        <is>
          <t>Produksi Harian</t>
        </is>
      </c>
      <c r="F2558" t="inlineStr"/>
      <c r="G2558" t="inlineStr">
        <is>
          <t>06:06:12</t>
        </is>
      </c>
      <c r="H2558" t="inlineStr">
        <is>
          <t>KELUAR TANPA MASUK</t>
        </is>
      </c>
      <c r="I2558" t="inlineStr">
        <is>
          <t>MK00138</t>
        </is>
      </c>
      <c r="J2558" t="inlineStr"/>
    </row>
    <row r="2559">
      <c r="A2559" t="inlineStr">
        <is>
          <t>06/08/2026</t>
        </is>
      </c>
      <c r="B2559" t="inlineStr">
        <is>
          <t>528000305</t>
        </is>
      </c>
      <c r="C2559" t="inlineStr">
        <is>
          <t>Puji Puspita</t>
        </is>
      </c>
      <c r="D2559" t="inlineStr">
        <is>
          <t>PROD</t>
        </is>
      </c>
      <c r="E2559" t="inlineStr">
        <is>
          <t>Produksi Harian</t>
        </is>
      </c>
      <c r="F2559" t="inlineStr"/>
      <c r="G2559" t="inlineStr">
        <is>
          <t>06:01:49</t>
        </is>
      </c>
      <c r="H2559" t="inlineStr">
        <is>
          <t>KELUAR TANPA MASUK</t>
        </is>
      </c>
      <c r="I2559" t="inlineStr">
        <is>
          <t>MK00185</t>
        </is>
      </c>
      <c r="J2559" t="inlineStr"/>
    </row>
    <row r="2560">
      <c r="A2560" t="inlineStr">
        <is>
          <t>06/08/2026</t>
        </is>
      </c>
      <c r="B2560" t="inlineStr">
        <is>
          <t>528000309</t>
        </is>
      </c>
      <c r="C2560" t="inlineStr">
        <is>
          <t>Ilham Ramadhan</t>
        </is>
      </c>
      <c r="D2560" t="inlineStr">
        <is>
          <t>LOG</t>
        </is>
      </c>
      <c r="E2560" t="inlineStr">
        <is>
          <t>WRM Harian</t>
        </is>
      </c>
      <c r="F2560" t="inlineStr"/>
      <c r="G2560" t="inlineStr">
        <is>
          <t>06:05:42</t>
        </is>
      </c>
      <c r="H2560" t="inlineStr">
        <is>
          <t>KELUAR TANPA MASUK</t>
        </is>
      </c>
      <c r="I2560" t="inlineStr">
        <is>
          <t>MK00217</t>
        </is>
      </c>
      <c r="J2560" t="inlineStr"/>
    </row>
    <row r="2561">
      <c r="A2561" t="inlineStr">
        <is>
          <t>06/08/2026</t>
        </is>
      </c>
      <c r="B2561" t="inlineStr">
        <is>
          <t>528000313</t>
        </is>
      </c>
      <c r="C2561" t="inlineStr">
        <is>
          <t>Muhamad Rifki</t>
        </is>
      </c>
      <c r="D2561" t="inlineStr">
        <is>
          <t>PROD</t>
        </is>
      </c>
      <c r="E2561" t="inlineStr">
        <is>
          <t>Produksi Harian</t>
        </is>
      </c>
      <c r="F2561" t="inlineStr"/>
      <c r="G2561" t="inlineStr">
        <is>
          <t>06:05:36</t>
        </is>
      </c>
      <c r="H2561" t="inlineStr">
        <is>
          <t>KELUAR TANPA MASUK</t>
        </is>
      </c>
      <c r="I2561" t="inlineStr">
        <is>
          <t>MK00082</t>
        </is>
      </c>
      <c r="J2561" t="inlineStr"/>
    </row>
    <row r="2562">
      <c r="A2562" t="inlineStr">
        <is>
          <t>06/08/2026</t>
        </is>
      </c>
      <c r="B2562" t="inlineStr">
        <is>
          <t>528000318</t>
        </is>
      </c>
      <c r="C2562" t="inlineStr">
        <is>
          <t>Bayu Padli Sepriyana</t>
        </is>
      </c>
      <c r="D2562" t="inlineStr">
        <is>
          <t>LOG</t>
        </is>
      </c>
      <c r="E2562" t="inlineStr">
        <is>
          <t>WRM Harian</t>
        </is>
      </c>
      <c r="F2562" t="inlineStr"/>
      <c r="G2562" t="inlineStr">
        <is>
          <t>06:06:46</t>
        </is>
      </c>
      <c r="H2562" t="inlineStr">
        <is>
          <t>KELUAR TANPA MASUK</t>
        </is>
      </c>
      <c r="I2562" t="inlineStr">
        <is>
          <t>MK00184</t>
        </is>
      </c>
      <c r="J2562" t="inlineStr"/>
    </row>
    <row r="2563">
      <c r="A2563" t="inlineStr">
        <is>
          <t>06/08/2026</t>
        </is>
      </c>
      <c r="B2563" t="inlineStr">
        <is>
          <t>528000345</t>
        </is>
      </c>
      <c r="C2563" t="inlineStr">
        <is>
          <t>Dandi</t>
        </is>
      </c>
      <c r="D2563" t="inlineStr">
        <is>
          <t>LOG</t>
        </is>
      </c>
      <c r="E2563" t="inlineStr">
        <is>
          <t>WRM Harian</t>
        </is>
      </c>
      <c r="F2563" t="inlineStr">
        <is>
          <t>22:10:44</t>
        </is>
      </c>
      <c r="G2563" t="inlineStr">
        <is>
          <t>22:15:36</t>
        </is>
      </c>
      <c r="H2563" t="inlineStr">
        <is>
          <t>SELESAI</t>
        </is>
      </c>
      <c r="I2563" t="inlineStr">
        <is>
          <t>MK00145</t>
        </is>
      </c>
      <c r="J2563" t="inlineStr"/>
    </row>
    <row r="2564">
      <c r="A2564" t="inlineStr">
        <is>
          <t>06/08/2026</t>
        </is>
      </c>
      <c r="B2564" t="inlineStr">
        <is>
          <t>528000351</t>
        </is>
      </c>
      <c r="C2564" t="inlineStr">
        <is>
          <t>Mulyana</t>
        </is>
      </c>
      <c r="D2564" t="inlineStr">
        <is>
          <t>PROD</t>
        </is>
      </c>
      <c r="E2564" t="inlineStr">
        <is>
          <t>Produksi Harian</t>
        </is>
      </c>
      <c r="F2564" t="inlineStr"/>
      <c r="G2564" t="inlineStr">
        <is>
          <t>07:49:37</t>
        </is>
      </c>
      <c r="H2564" t="inlineStr">
        <is>
          <t>KELUAR TANPA MASUK</t>
        </is>
      </c>
      <c r="I2564" t="inlineStr">
        <is>
          <t>MK00185</t>
        </is>
      </c>
      <c r="J2564" t="inlineStr"/>
    </row>
    <row r="2565">
      <c r="A2565" t="inlineStr">
        <is>
          <t>06/08/2026</t>
        </is>
      </c>
      <c r="B2565" t="inlineStr">
        <is>
          <t>528000361</t>
        </is>
      </c>
      <c r="C2565" t="inlineStr">
        <is>
          <t>Denada Munggarani</t>
        </is>
      </c>
      <c r="D2565" t="inlineStr">
        <is>
          <t>PROD</t>
        </is>
      </c>
      <c r="E2565" t="inlineStr">
        <is>
          <t>Produksi Harian</t>
        </is>
      </c>
      <c r="F2565" t="inlineStr"/>
      <c r="G2565" t="inlineStr">
        <is>
          <t>06:03:59</t>
        </is>
      </c>
      <c r="H2565" t="inlineStr">
        <is>
          <t>KELUAR TANPA MASUK</t>
        </is>
      </c>
      <c r="I2565" t="inlineStr">
        <is>
          <t>MK00134</t>
        </is>
      </c>
      <c r="J2565" t="inlineStr"/>
    </row>
    <row r="2566">
      <c r="A2566" t="inlineStr">
        <is>
          <t>07/08/2026</t>
        </is>
      </c>
      <c r="B2566" t="inlineStr">
        <is>
          <t>528000099</t>
        </is>
      </c>
      <c r="C2566" t="inlineStr">
        <is>
          <t>Siti Nurawaliah</t>
        </is>
      </c>
      <c r="D2566" t="inlineStr">
        <is>
          <t>PROD</t>
        </is>
      </c>
      <c r="E2566" t="inlineStr">
        <is>
          <t>Produksi Harian</t>
        </is>
      </c>
      <c r="F2566" t="inlineStr">
        <is>
          <t>05:47:05</t>
        </is>
      </c>
      <c r="G2566" t="inlineStr"/>
      <c r="H2566" t="inlineStr">
        <is>
          <t>DI DALAM</t>
        </is>
      </c>
      <c r="I2566" t="inlineStr">
        <is>
          <t>MK00145</t>
        </is>
      </c>
      <c r="J2566" t="inlineStr"/>
    </row>
    <row r="2567">
      <c r="A2567" t="inlineStr">
        <is>
          <t>07/08/2026</t>
        </is>
      </c>
      <c r="B2567" t="inlineStr">
        <is>
          <t>528000132</t>
        </is>
      </c>
      <c r="C2567" t="inlineStr">
        <is>
          <t>Giopani</t>
        </is>
      </c>
      <c r="D2567" t="inlineStr">
        <is>
          <t>LOG</t>
        </is>
      </c>
      <c r="E2567" t="inlineStr">
        <is>
          <t>WRM Harian</t>
        </is>
      </c>
      <c r="F2567" t="inlineStr">
        <is>
          <t>08:22:17</t>
        </is>
      </c>
      <c r="G2567" t="inlineStr"/>
      <c r="H2567" t="inlineStr">
        <is>
          <t>DI DALAM</t>
        </is>
      </c>
      <c r="I2567" t="inlineStr">
        <is>
          <t>MK00228</t>
        </is>
      </c>
      <c r="J2567" t="inlineStr"/>
    </row>
    <row r="2568">
      <c r="A2568" t="inlineStr">
        <is>
          <t>07/08/2026</t>
        </is>
      </c>
      <c r="B2568" t="inlineStr">
        <is>
          <t>528000201</t>
        </is>
      </c>
      <c r="C2568" t="inlineStr">
        <is>
          <t>Zahwa Amelia Choerunissa</t>
        </is>
      </c>
      <c r="D2568" t="inlineStr">
        <is>
          <t>PROD</t>
        </is>
      </c>
      <c r="E2568" t="inlineStr">
        <is>
          <t>Produksi Harian</t>
        </is>
      </c>
      <c r="F2568" t="inlineStr">
        <is>
          <t>05:45:40</t>
        </is>
      </c>
      <c r="G2568" t="inlineStr"/>
      <c r="H2568" t="inlineStr">
        <is>
          <t>DI DALAM</t>
        </is>
      </c>
      <c r="I2568" t="inlineStr">
        <is>
          <t>MK0156</t>
        </is>
      </c>
      <c r="J2568" t="inlineStr"/>
    </row>
    <row r="2569">
      <c r="A2569" t="inlineStr">
        <is>
          <t>07/08/2026</t>
        </is>
      </c>
      <c r="B2569" t="inlineStr">
        <is>
          <t>528000232</t>
        </is>
      </c>
      <c r="C2569" t="inlineStr">
        <is>
          <t>Agung Aji Suhada</t>
        </is>
      </c>
      <c r="D2569" t="inlineStr">
        <is>
          <t>LOG</t>
        </is>
      </c>
      <c r="E2569" t="inlineStr">
        <is>
          <t>WRM Harian</t>
        </is>
      </c>
      <c r="F2569" t="inlineStr">
        <is>
          <t>09:00:26</t>
        </is>
      </c>
      <c r="G2569" t="inlineStr"/>
      <c r="H2569" t="inlineStr">
        <is>
          <t>DI DALAM</t>
        </is>
      </c>
      <c r="I2569" t="inlineStr">
        <is>
          <t>MK00150</t>
        </is>
      </c>
      <c r="J2569" t="inlineStr"/>
    </row>
    <row r="2570">
      <c r="A2570" t="inlineStr">
        <is>
          <t>07/08/2026</t>
        </is>
      </c>
      <c r="B2570" t="inlineStr">
        <is>
          <t>528000241</t>
        </is>
      </c>
      <c r="C2570" t="inlineStr">
        <is>
          <t>Balia Nurafif Bilah</t>
        </is>
      </c>
      <c r="D2570" t="inlineStr">
        <is>
          <t>PROD</t>
        </is>
      </c>
      <c r="E2570" t="inlineStr">
        <is>
          <t>Produksi Harian</t>
        </is>
      </c>
      <c r="F2570" t="inlineStr">
        <is>
          <t>05:53:49</t>
        </is>
      </c>
      <c r="G2570" t="inlineStr"/>
      <c r="H2570" t="inlineStr">
        <is>
          <t>DI DALAM</t>
        </is>
      </c>
      <c r="I2570" t="inlineStr">
        <is>
          <t>MK00212</t>
        </is>
      </c>
      <c r="J2570" t="inlineStr"/>
    </row>
    <row r="2571">
      <c r="A2571" t="inlineStr">
        <is>
          <t>07/08/2026</t>
        </is>
      </c>
      <c r="B2571" t="inlineStr">
        <is>
          <t>528000265</t>
        </is>
      </c>
      <c r="C2571" t="inlineStr">
        <is>
          <t>Muhammad Haerul Rozikin</t>
        </is>
      </c>
      <c r="D2571" t="inlineStr">
        <is>
          <t>LOG</t>
        </is>
      </c>
      <c r="E2571" t="inlineStr">
        <is>
          <t>WRM Harian</t>
        </is>
      </c>
      <c r="F2571" t="inlineStr">
        <is>
          <t>07:43:16</t>
        </is>
      </c>
      <c r="G2571" t="inlineStr"/>
      <c r="H2571" t="inlineStr">
        <is>
          <t>DI DALAM</t>
        </is>
      </c>
      <c r="I2571" t="inlineStr">
        <is>
          <t>MK00134</t>
        </is>
      </c>
      <c r="J2571" t="inlineStr"/>
    </row>
    <row r="2572">
      <c r="A2572" t="inlineStr">
        <is>
          <t>07/08/2026</t>
        </is>
      </c>
      <c r="B2572" t="inlineStr">
        <is>
          <t>528000274</t>
        </is>
      </c>
      <c r="C2572" t="inlineStr">
        <is>
          <t>Zepri</t>
        </is>
      </c>
      <c r="D2572" t="inlineStr">
        <is>
          <t>PROD</t>
        </is>
      </c>
      <c r="E2572" t="inlineStr">
        <is>
          <t>Produksi Harian</t>
        </is>
      </c>
      <c r="F2572" t="inlineStr">
        <is>
          <t>05:54:19</t>
        </is>
      </c>
      <c r="G2572" t="inlineStr"/>
      <c r="H2572" t="inlineStr">
        <is>
          <t>DI DALAM</t>
        </is>
      </c>
      <c r="I2572" t="inlineStr">
        <is>
          <t>MK00208</t>
        </is>
      </c>
      <c r="J2572" t="inlineStr"/>
    </row>
    <row r="2573">
      <c r="A2573" t="inlineStr">
        <is>
          <t>07/08/2026</t>
        </is>
      </c>
      <c r="B2573" t="inlineStr">
        <is>
          <t>528000282</t>
        </is>
      </c>
      <c r="C2573" t="inlineStr">
        <is>
          <t>Defa Desfiana</t>
        </is>
      </c>
      <c r="D2573" t="inlineStr">
        <is>
          <t>PROD</t>
        </is>
      </c>
      <c r="E2573" t="inlineStr">
        <is>
          <t>Produksi Harian</t>
        </is>
      </c>
      <c r="F2573" t="inlineStr">
        <is>
          <t>07:45:00</t>
        </is>
      </c>
      <c r="G2573" t="inlineStr"/>
      <c r="H2573" t="inlineStr">
        <is>
          <t>DI DALAM</t>
        </is>
      </c>
      <c r="I2573" t="inlineStr">
        <is>
          <t>MK00218</t>
        </is>
      </c>
      <c r="J2573" t="inlineStr">
        <is>
          <t>32c</t>
        </is>
      </c>
    </row>
    <row r="2574">
      <c r="A2574" t="inlineStr">
        <is>
          <t>07/08/2026</t>
        </is>
      </c>
      <c r="B2574" t="inlineStr">
        <is>
          <t>528000286</t>
        </is>
      </c>
      <c r="C2574" t="inlineStr">
        <is>
          <t>Imelda Amelia</t>
        </is>
      </c>
      <c r="D2574" t="inlineStr">
        <is>
          <t>PROD</t>
        </is>
      </c>
      <c r="E2574" t="inlineStr">
        <is>
          <t>Produksi Harian</t>
        </is>
      </c>
      <c r="F2574" t="inlineStr">
        <is>
          <t>05:42:24</t>
        </is>
      </c>
      <c r="G2574" t="inlineStr"/>
      <c r="H2574" t="inlineStr">
        <is>
          <t>DI DALAM</t>
        </is>
      </c>
      <c r="I2574" t="inlineStr">
        <is>
          <t>MK00108</t>
        </is>
      </c>
      <c r="J2574" t="inlineStr"/>
    </row>
    <row r="2575">
      <c r="A2575" t="inlineStr">
        <is>
          <t>07/08/2026</t>
        </is>
      </c>
      <c r="B2575" t="inlineStr">
        <is>
          <t>528000322</t>
        </is>
      </c>
      <c r="C2575" t="inlineStr">
        <is>
          <t>Muhamad Aliludin</t>
        </is>
      </c>
      <c r="D2575" t="inlineStr">
        <is>
          <t>PROD</t>
        </is>
      </c>
      <c r="E2575" t="inlineStr">
        <is>
          <t>Produksi Harian</t>
        </is>
      </c>
      <c r="F2575" t="inlineStr"/>
      <c r="G2575" t="inlineStr">
        <is>
          <t>06:07:09</t>
        </is>
      </c>
      <c r="H2575" t="inlineStr">
        <is>
          <t>KELUAR TANPA MASUK</t>
        </is>
      </c>
      <c r="I2575" t="inlineStr">
        <is>
          <t>MK00112</t>
        </is>
      </c>
      <c r="J2575" t="inlineStr"/>
    </row>
    <row r="2576">
      <c r="A2576" t="inlineStr">
        <is>
          <t>07/08/2026</t>
        </is>
      </c>
      <c r="B2576" t="inlineStr">
        <is>
          <t>528000335</t>
        </is>
      </c>
      <c r="C2576" t="inlineStr">
        <is>
          <t>Rizal Saepuloh</t>
        </is>
      </c>
      <c r="D2576" t="inlineStr">
        <is>
          <t>LOG</t>
        </is>
      </c>
      <c r="E2576" t="inlineStr">
        <is>
          <t>WRM Harian</t>
        </is>
      </c>
      <c r="F2576" t="inlineStr"/>
      <c r="G2576" t="inlineStr">
        <is>
          <t>00:01:32</t>
        </is>
      </c>
      <c r="H2576" t="inlineStr">
        <is>
          <t>KELUAR TANPA MASUK</t>
        </is>
      </c>
      <c r="I2576" t="inlineStr">
        <is>
          <t>MK00204</t>
        </is>
      </c>
      <c r="J2576" t="inlineStr"/>
    </row>
    <row r="2577">
      <c r="A2577" t="inlineStr">
        <is>
          <t>07/08/2026</t>
        </is>
      </c>
      <c r="B2577" t="inlineStr">
        <is>
          <t>528000339</t>
        </is>
      </c>
      <c r="C2577" t="inlineStr">
        <is>
          <t>Muhamad Ripai'i</t>
        </is>
      </c>
      <c r="D2577" t="inlineStr">
        <is>
          <t>HRGA</t>
        </is>
      </c>
      <c r="E2577" t="inlineStr">
        <is>
          <t>GA Harian</t>
        </is>
      </c>
      <c r="F2577" t="inlineStr">
        <is>
          <t>05:39:33</t>
        </is>
      </c>
      <c r="G2577" t="inlineStr"/>
      <c r="H2577" t="inlineStr">
        <is>
          <t>DI DALAM</t>
        </is>
      </c>
      <c r="I2577" t="inlineStr">
        <is>
          <t>MK00210</t>
        </is>
      </c>
      <c r="J2577" t="inlineStr"/>
    </row>
    <row r="2578">
      <c r="A2578" t="inlineStr">
        <is>
          <t>07/08/2026</t>
        </is>
      </c>
      <c r="B2578" t="inlineStr">
        <is>
          <t>528000340</t>
        </is>
      </c>
      <c r="C2578" t="inlineStr">
        <is>
          <t>Muhammad Wildan Adithya</t>
        </is>
      </c>
      <c r="D2578" t="inlineStr">
        <is>
          <t>PROD</t>
        </is>
      </c>
      <c r="E2578" t="inlineStr">
        <is>
          <t>Produksi Harian</t>
        </is>
      </c>
      <c r="F2578" t="inlineStr"/>
      <c r="G2578" t="inlineStr">
        <is>
          <t>06:07:52</t>
        </is>
      </c>
      <c r="H2578" t="inlineStr">
        <is>
          <t>KELUAR TANPA MASUK</t>
        </is>
      </c>
      <c r="I2578" t="inlineStr">
        <is>
          <t>MK00218</t>
        </is>
      </c>
      <c r="J2578" t="inlineStr"/>
    </row>
    <row r="2579">
      <c r="A2579" t="inlineStr">
        <is>
          <t>07/08/2026</t>
        </is>
      </c>
      <c r="B2579" t="inlineStr">
        <is>
          <t>528000351</t>
        </is>
      </c>
      <c r="C2579" t="inlineStr">
        <is>
          <t>Mulyana</t>
        </is>
      </c>
      <c r="D2579" t="inlineStr">
        <is>
          <t>PROD</t>
        </is>
      </c>
      <c r="E2579" t="inlineStr">
        <is>
          <t>Produksi Harian</t>
        </is>
      </c>
      <c r="F2579" t="inlineStr">
        <is>
          <t>07:45:33</t>
        </is>
      </c>
      <c r="G2579" t="inlineStr"/>
      <c r="H2579" t="inlineStr">
        <is>
          <t>DI DALAM</t>
        </is>
      </c>
      <c r="I2579" t="inlineStr">
        <is>
          <t>MK00185</t>
        </is>
      </c>
      <c r="J2579" t="inlineStr"/>
    </row>
    <row r="2580">
      <c r="A2580" t="inlineStr">
        <is>
          <t>07/08/2026</t>
        </is>
      </c>
      <c r="B2580" t="inlineStr">
        <is>
          <t>528000358</t>
        </is>
      </c>
      <c r="C2580" t="inlineStr">
        <is>
          <t>Lulu Agustin</t>
        </is>
      </c>
      <c r="D2580" t="inlineStr">
        <is>
          <t>PROD</t>
        </is>
      </c>
      <c r="E2580" t="inlineStr">
        <is>
          <t>Produksi Harian</t>
        </is>
      </c>
      <c r="F2580" t="inlineStr"/>
      <c r="G2580" t="inlineStr">
        <is>
          <t>05:37:38</t>
        </is>
      </c>
      <c r="H2580" t="inlineStr">
        <is>
          <t>KELUAR TANPA MASUK</t>
        </is>
      </c>
      <c r="I2580" t="inlineStr">
        <is>
          <t>MK00143</t>
        </is>
      </c>
      <c r="J2580" t="inlineStr"/>
    </row>
    <row r="2581">
      <c r="A2581" t="inlineStr">
        <is>
          <t>07/08/2026</t>
        </is>
      </c>
      <c r="B2581" t="inlineStr">
        <is>
          <t>528000359</t>
        </is>
      </c>
      <c r="C2581" t="inlineStr">
        <is>
          <t>M. Iqbal Maulana. S</t>
        </is>
      </c>
      <c r="D2581" t="inlineStr">
        <is>
          <t>LOG</t>
        </is>
      </c>
      <c r="E2581" t="inlineStr">
        <is>
          <t>WRM Harian</t>
        </is>
      </c>
      <c r="F2581" t="inlineStr">
        <is>
          <t>06:08:11</t>
        </is>
      </c>
      <c r="G2581" t="inlineStr"/>
      <c r="H2581" t="inlineStr">
        <is>
          <t>DI DALAM</t>
        </is>
      </c>
      <c r="I2581" t="inlineStr">
        <is>
          <t>MK00082</t>
        </is>
      </c>
      <c r="J2581" t="inlineStr"/>
    </row>
    <row r="2582">
      <c r="A2582" t="inlineStr">
        <is>
          <t>07/08/2026</t>
        </is>
      </c>
      <c r="B2582" t="inlineStr">
        <is>
          <t>628000079</t>
        </is>
      </c>
      <c r="C2582" t="inlineStr">
        <is>
          <t>Maman Suherman</t>
        </is>
      </c>
      <c r="D2582" t="inlineStr">
        <is>
          <t>LOG</t>
        </is>
      </c>
      <c r="E2582" t="inlineStr">
        <is>
          <t>WFG Borongan</t>
        </is>
      </c>
      <c r="F2582" t="inlineStr">
        <is>
          <t>08:11:00</t>
        </is>
      </c>
      <c r="G2582" t="inlineStr"/>
      <c r="H2582" t="inlineStr">
        <is>
          <t>DI DALAM</t>
        </is>
      </c>
      <c r="I2582" t="inlineStr">
        <is>
          <t>MK00112</t>
        </is>
      </c>
      <c r="J2582" t="inlineStr"/>
    </row>
    <row r="2583">
      <c r="A2583" t="inlineStr">
        <is>
          <t>08/08/2026</t>
        </is>
      </c>
      <c r="B2583" t="inlineStr">
        <is>
          <t>528000040</t>
        </is>
      </c>
      <c r="C2583" t="inlineStr">
        <is>
          <t>Agus Suryaman</t>
        </is>
      </c>
      <c r="D2583" t="inlineStr">
        <is>
          <t>PROD</t>
        </is>
      </c>
      <c r="E2583" t="inlineStr">
        <is>
          <t>Produksi Harian</t>
        </is>
      </c>
      <c r="F2583" t="inlineStr">
        <is>
          <t>08:52:04</t>
        </is>
      </c>
      <c r="G2583" t="inlineStr"/>
      <c r="H2583" t="inlineStr">
        <is>
          <t>DI DALAM</t>
        </is>
      </c>
      <c r="I2583" t="inlineStr">
        <is>
          <t>MK0041</t>
        </is>
      </c>
      <c r="J2583" t="inlineStr"/>
    </row>
    <row r="2584">
      <c r="A2584" t="inlineStr">
        <is>
          <t>08/08/2026</t>
        </is>
      </c>
      <c r="B2584" t="inlineStr">
        <is>
          <t>528000273</t>
        </is>
      </c>
      <c r="C2584" t="inlineStr">
        <is>
          <t>Asep Mulyana</t>
        </is>
      </c>
      <c r="D2584" t="inlineStr">
        <is>
          <t>PROD</t>
        </is>
      </c>
      <c r="E2584" t="inlineStr">
        <is>
          <t>Produksi Harian</t>
        </is>
      </c>
      <c r="F2584" t="inlineStr">
        <is>
          <t>05:53:37</t>
        </is>
      </c>
      <c r="G2584" t="inlineStr"/>
      <c r="H2584" t="inlineStr">
        <is>
          <t>DI DALAM</t>
        </is>
      </c>
      <c r="I2584" t="inlineStr">
        <is>
          <t>MK00192</t>
        </is>
      </c>
      <c r="J2584" t="inlineStr"/>
    </row>
    <row r="2585">
      <c r="A2585" t="inlineStr">
        <is>
          <t>08/08/2026</t>
        </is>
      </c>
      <c r="B2585" t="inlineStr">
        <is>
          <t>528000289</t>
        </is>
      </c>
      <c r="C2585" t="inlineStr">
        <is>
          <t>Adit Supriyadi</t>
        </is>
      </c>
      <c r="D2585" t="inlineStr">
        <is>
          <t>PROD</t>
        </is>
      </c>
      <c r="E2585" t="inlineStr">
        <is>
          <t>Produksi Harian</t>
        </is>
      </c>
      <c r="F2585" t="inlineStr">
        <is>
          <t>05:38:47</t>
        </is>
      </c>
      <c r="G2585" t="inlineStr"/>
      <c r="H2585" t="inlineStr">
        <is>
          <t>DI DALAM</t>
        </is>
      </c>
      <c r="I2585" t="inlineStr">
        <is>
          <t>MK00143</t>
        </is>
      </c>
      <c r="J2585" t="inlineStr"/>
    </row>
    <row r="2586">
      <c r="A2586" t="inlineStr">
        <is>
          <t>08/08/2026</t>
        </is>
      </c>
      <c r="B2586" t="inlineStr">
        <is>
          <t>528000310</t>
        </is>
      </c>
      <c r="C2586" t="inlineStr">
        <is>
          <t>Fachrul Rozzi Suryana</t>
        </is>
      </c>
      <c r="D2586" t="inlineStr">
        <is>
          <t>LOG</t>
        </is>
      </c>
      <c r="E2586" t="inlineStr">
        <is>
          <t>WRM Harian</t>
        </is>
      </c>
      <c r="F2586" t="inlineStr">
        <is>
          <t>07:58:21</t>
        </is>
      </c>
      <c r="G2586" t="inlineStr"/>
      <c r="H2586" t="inlineStr">
        <is>
          <t>DI DALAM</t>
        </is>
      </c>
      <c r="I2586" t="inlineStr">
        <is>
          <t>MK00250</t>
        </is>
      </c>
      <c r="J2586" t="inlineStr">
        <is>
          <t>31F</t>
        </is>
      </c>
    </row>
    <row r="2587">
      <c r="A2587" t="inlineStr">
        <is>
          <t>08/08/2026</t>
        </is>
      </c>
      <c r="B2587" t="inlineStr">
        <is>
          <t>528000348</t>
        </is>
      </c>
      <c r="C2587" t="inlineStr">
        <is>
          <t>Saepuloh Ardiansah</t>
        </is>
      </c>
      <c r="D2587" t="inlineStr">
        <is>
          <t>LOG</t>
        </is>
      </c>
      <c r="E2587" t="inlineStr">
        <is>
          <t>WRM Harian</t>
        </is>
      </c>
      <c r="F2587" t="inlineStr">
        <is>
          <t>09:00:10</t>
        </is>
      </c>
      <c r="G2587" t="inlineStr"/>
      <c r="H2587" t="inlineStr">
        <is>
          <t>DI DALAM</t>
        </is>
      </c>
      <c r="I2587" t="inlineStr">
        <is>
          <t>MK00205</t>
        </is>
      </c>
      <c r="J2587" t="inlineStr"/>
    </row>
    <row r="2588">
      <c r="A2588" t="inlineStr">
        <is>
          <t>08/08/2026</t>
        </is>
      </c>
      <c r="B2588" t="inlineStr">
        <is>
          <t>628000085</t>
        </is>
      </c>
      <c r="C2588" t="inlineStr">
        <is>
          <t>Ahmad Surnadi</t>
        </is>
      </c>
      <c r="D2588" t="inlineStr">
        <is>
          <t>LOG</t>
        </is>
      </c>
      <c r="E2588" t="inlineStr">
        <is>
          <t>WFG Borongan</t>
        </is>
      </c>
      <c r="F2588" t="inlineStr">
        <is>
          <t>07:24:37</t>
        </is>
      </c>
      <c r="G2588" t="inlineStr"/>
      <c r="H2588" t="inlineStr">
        <is>
          <t>DI DALAM</t>
        </is>
      </c>
      <c r="I2588" t="inlineStr">
        <is>
          <t>MK00217</t>
        </is>
      </c>
      <c r="J2588" t="inlineStr"/>
    </row>
    <row r="2589">
      <c r="A2589" t="inlineStr">
        <is>
          <t>08/08/2026</t>
        </is>
      </c>
      <c r="B2589" t="inlineStr">
        <is>
          <t>628000131</t>
        </is>
      </c>
      <c r="C2589" t="inlineStr">
        <is>
          <t>Aos Iskandar</t>
        </is>
      </c>
      <c r="D2589" t="inlineStr">
        <is>
          <t>LOG</t>
        </is>
      </c>
      <c r="E2589" t="inlineStr">
        <is>
          <t>WFG Borongan</t>
        </is>
      </c>
      <c r="F2589" t="inlineStr">
        <is>
          <t>07:25:33</t>
        </is>
      </c>
      <c r="G2589" t="inlineStr"/>
      <c r="H2589" t="inlineStr">
        <is>
          <t>DI DALAM</t>
        </is>
      </c>
      <c r="I2589" t="inlineStr">
        <is>
          <t>MK00181</t>
        </is>
      </c>
      <c r="J258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H1536"/>
  <sheetViews>
    <sheetView workbookViewId="0">
      <selection activeCell="A1" sqref="A1"/>
    </sheetView>
  </sheetViews>
  <sheetFormatPr baseColWidth="8" defaultColWidth="12.63" defaultRowHeight="15" customHeight="1"/>
  <cols>
    <col width="12.5" customWidth="1" style="169" min="1" max="1"/>
    <col width="6.13" customWidth="1" style="169" min="2" max="2"/>
    <col width="9.380000000000001" customWidth="1" style="169" min="3" max="3"/>
    <col width="9.880000000000001" customWidth="1" style="169" min="4" max="4"/>
    <col width="9.380000000000001" customWidth="1" style="169" min="5" max="5"/>
    <col width="27.25" customWidth="1" style="169" min="6" max="6"/>
    <col width="10.75" customWidth="1" style="169" min="7" max="7"/>
    <col width="8.5" customWidth="1" style="169" min="8" max="8"/>
    <col width="28" customWidth="1" style="169" min="9" max="9"/>
  </cols>
  <sheetData>
    <row r="1">
      <c r="A1" s="27" t="inlineStr">
        <is>
          <t>NO KARTU MK</t>
        </is>
      </c>
      <c r="B1" s="13" t="inlineStr">
        <is>
          <t>INOUT</t>
        </is>
      </c>
      <c r="C1" s="13" t="inlineStr">
        <is>
          <t>TANGGAL</t>
        </is>
      </c>
      <c r="D1" s="13" t="inlineStr">
        <is>
          <t>JAM CATAT</t>
        </is>
      </c>
      <c r="E1" s="13" t="inlineStr">
        <is>
          <t>NIK</t>
        </is>
      </c>
      <c r="F1" s="13" t="inlineStr">
        <is>
          <t>NAMA</t>
        </is>
      </c>
      <c r="G1" s="13" t="inlineStr">
        <is>
          <t>TUJUAN</t>
        </is>
      </c>
      <c r="H1" s="13" t="inlineStr">
        <is>
          <t>CATATAN</t>
        </is>
      </c>
    </row>
    <row r="2">
      <c r="A2" s="27" t="n"/>
      <c r="C2" s="177" t="n"/>
      <c r="G2" s="13" t="inlineStr">
        <is>
          <t>TOILET</t>
        </is>
      </c>
    </row>
    <row r="3">
      <c r="A3" s="27" t="n"/>
      <c r="C3" s="177" t="n"/>
      <c r="G3" s="13" t="inlineStr">
        <is>
          <t>ISTRIHAHAT</t>
        </is>
      </c>
    </row>
    <row r="4">
      <c r="A4" s="27" t="n"/>
      <c r="C4" s="177" t="n"/>
      <c r="G4" s="13" t="inlineStr">
        <is>
          <t>SHOLAT</t>
        </is>
      </c>
    </row>
    <row r="5">
      <c r="A5" s="27" t="n"/>
      <c r="C5" s="177" t="n"/>
      <c r="G5" s="13" t="inlineStr">
        <is>
          <t>KLINIK</t>
        </is>
      </c>
    </row>
    <row r="6">
      <c r="A6" s="27" t="inlineStr">
        <is>
          <t>MK00160</t>
        </is>
      </c>
      <c r="B6" s="13" t="inlineStr">
        <is>
          <t>IN</t>
        </is>
      </c>
      <c r="C6" s="177" t="n">
        <v>46166.41666666666</v>
      </c>
      <c r="D6" s="51" t="n">
        <v>0.7185995370370371</v>
      </c>
      <c r="E6" s="13" t="n">
        <v>628000039</v>
      </c>
      <c r="F6" s="13" t="inlineStr">
        <is>
          <t>Nani Maryani</t>
        </is>
      </c>
      <c r="G6" s="13" t="inlineStr">
        <is>
          <t>HRD &amp; GA</t>
        </is>
      </c>
    </row>
    <row r="7">
      <c r="A7" s="27" t="inlineStr">
        <is>
          <t>MK00160</t>
        </is>
      </c>
      <c r="B7" s="13" t="inlineStr">
        <is>
          <t>OUT</t>
        </is>
      </c>
      <c r="C7" s="177" t="n">
        <v>46166.41666666666</v>
      </c>
      <c r="D7" s="51" t="n">
        <v>0.7193055555555555</v>
      </c>
      <c r="E7" s="13" t="n">
        <v>628000039</v>
      </c>
      <c r="F7" s="13" t="inlineStr">
        <is>
          <t>Nani Maryani</t>
        </is>
      </c>
      <c r="G7" s="13" t="inlineStr">
        <is>
          <t>HRD &amp; GA</t>
        </is>
      </c>
    </row>
    <row r="8">
      <c r="A8" s="27" t="inlineStr">
        <is>
          <t>MK00160</t>
        </is>
      </c>
      <c r="B8" s="13" t="inlineStr">
        <is>
          <t>IN</t>
        </is>
      </c>
      <c r="C8" s="177" t="n">
        <v>46166.41666666666</v>
      </c>
      <c r="D8" s="51" t="n">
        <v>0.7196064814814814</v>
      </c>
      <c r="E8" s="13" t="n">
        <v>628000039</v>
      </c>
      <c r="F8" s="13" t="inlineStr">
        <is>
          <t>Nani Maryani</t>
        </is>
      </c>
      <c r="G8" s="13" t="inlineStr">
        <is>
          <t>HRD &amp; GA</t>
        </is>
      </c>
      <c r="H8" s="13" t="inlineStr">
        <is>
          <t>Toilet</t>
        </is>
      </c>
    </row>
    <row r="9">
      <c r="A9" s="27" t="inlineStr">
        <is>
          <t>MK00112</t>
        </is>
      </c>
      <c r="B9" s="13" t="inlineStr">
        <is>
          <t>IN</t>
        </is>
      </c>
      <c r="C9" s="177" t="n">
        <v>46170.41666666666</v>
      </c>
      <c r="D9" s="51" t="n">
        <v>0.5934259259259259</v>
      </c>
      <c r="E9" s="13" t="n">
        <v>528000016</v>
      </c>
      <c r="F9" s="13" t="inlineStr">
        <is>
          <t>Randi Apriyanto</t>
        </is>
      </c>
      <c r="G9" s="13" t="inlineStr">
        <is>
          <t>LOG</t>
        </is>
      </c>
    </row>
    <row r="10">
      <c r="A10" s="27" t="inlineStr">
        <is>
          <t>MK00154</t>
        </is>
      </c>
      <c r="B10" s="13" t="inlineStr">
        <is>
          <t>IN</t>
        </is>
      </c>
      <c r="C10" s="177" t="n">
        <v>46196.41666666666</v>
      </c>
      <c r="D10" s="51" t="n">
        <v>0.6387152777777778</v>
      </c>
      <c r="E10" s="13" t="n">
        <v>528000290</v>
      </c>
      <c r="F10" s="13" t="inlineStr">
        <is>
          <t>Eval Pranata</t>
        </is>
      </c>
      <c r="G10" s="13" t="inlineStr">
        <is>
          <t>Produksi</t>
        </is>
      </c>
      <c r="H10" s="13" t="inlineStr">
        <is>
          <t>Istirahat</t>
        </is>
      </c>
    </row>
    <row r="11">
      <c r="A11" s="27" t="inlineStr">
        <is>
          <t>MK00154</t>
        </is>
      </c>
      <c r="B11" s="13" t="inlineStr">
        <is>
          <t>OUT</t>
        </is>
      </c>
      <c r="C11" s="177" t="n">
        <v>46196.41666666666</v>
      </c>
      <c r="D11" s="51" t="n">
        <v>0.639525462962963</v>
      </c>
      <c r="E11" s="13" t="n">
        <v>528000290</v>
      </c>
      <c r="F11" s="13" t="inlineStr">
        <is>
          <t>Eval Pranata</t>
        </is>
      </c>
      <c r="G11" s="13" t="inlineStr">
        <is>
          <t>Produksi</t>
        </is>
      </c>
      <c r="H11" s="13" t="inlineStr">
        <is>
          <t>Pekerjaan</t>
        </is>
      </c>
    </row>
    <row r="12">
      <c r="A12" s="27" t="inlineStr">
        <is>
          <t>MK00154</t>
        </is>
      </c>
      <c r="B12" s="13" t="inlineStr">
        <is>
          <t>IN</t>
        </is>
      </c>
      <c r="C12" s="177" t="n">
        <v>46196.41666666666</v>
      </c>
      <c r="D12" s="51" t="n">
        <v>0.6403819444444444</v>
      </c>
      <c r="E12" s="13" t="n">
        <v>528000290</v>
      </c>
      <c r="F12" s="13" t="inlineStr">
        <is>
          <t>Eval Pranata</t>
        </is>
      </c>
      <c r="G12" s="13" t="inlineStr">
        <is>
          <t>Produksi</t>
        </is>
      </c>
      <c r="H12" s="13" t="inlineStr">
        <is>
          <t>Pekerjaan</t>
        </is>
      </c>
    </row>
    <row r="13">
      <c r="A13" s="27" t="inlineStr">
        <is>
          <t>MK00154</t>
        </is>
      </c>
      <c r="B13" s="13" t="inlineStr">
        <is>
          <t>OUT</t>
        </is>
      </c>
      <c r="C13" s="177" t="n">
        <v>46196.41666666666</v>
      </c>
      <c r="D13" s="51" t="n">
        <v>0.643900462962963</v>
      </c>
      <c r="E13" s="13" t="n">
        <v>528000290</v>
      </c>
      <c r="F13" s="13" t="inlineStr">
        <is>
          <t>Eval Pranata</t>
        </is>
      </c>
      <c r="G13" s="13" t="inlineStr">
        <is>
          <t>Produksi</t>
        </is>
      </c>
      <c r="H13" s="13" t="inlineStr">
        <is>
          <t>Toilet</t>
        </is>
      </c>
    </row>
    <row r="14">
      <c r="A14" s="27" t="inlineStr">
        <is>
          <t>MK00154</t>
        </is>
      </c>
      <c r="B14" s="13" t="inlineStr">
        <is>
          <t>IN</t>
        </is>
      </c>
      <c r="C14" s="177" t="n">
        <v>46196.41666666666</v>
      </c>
      <c r="D14" s="51" t="n">
        <v>0.6446412037037037</v>
      </c>
      <c r="E14" s="13" t="n">
        <v>528000290</v>
      </c>
      <c r="F14" s="13" t="inlineStr">
        <is>
          <t>Eval Pranata</t>
        </is>
      </c>
      <c r="G14" s="13" t="inlineStr">
        <is>
          <t>Produksi</t>
        </is>
      </c>
      <c r="H14" s="13" t="inlineStr">
        <is>
          <t>Pekerjaan</t>
        </is>
      </c>
    </row>
    <row r="15">
      <c r="A15" s="27" t="inlineStr">
        <is>
          <t>MK00154</t>
        </is>
      </c>
      <c r="B15" s="13" t="inlineStr">
        <is>
          <t>OUT</t>
        </is>
      </c>
      <c r="C15" s="177" t="n">
        <v>46196.41666666666</v>
      </c>
      <c r="D15" s="51" t="n">
        <v>0.6716782407407408</v>
      </c>
      <c r="E15" s="13" t="n">
        <v>528000290</v>
      </c>
      <c r="F15" s="13" t="inlineStr">
        <is>
          <t>Eval Pranata</t>
        </is>
      </c>
      <c r="G15" s="13" t="inlineStr">
        <is>
          <t>Produksi</t>
        </is>
      </c>
      <c r="H15" s="13" t="inlineStr">
        <is>
          <t>Sholat</t>
        </is>
      </c>
    </row>
    <row r="16">
      <c r="A16" s="27" t="n">
        <v>428000104</v>
      </c>
      <c r="B16" s="13" t="inlineStr">
        <is>
          <t>IN</t>
        </is>
      </c>
      <c r="C16" s="177" t="n">
        <v>46196.41666666666</v>
      </c>
      <c r="D16" s="51" t="n">
        <v>0.6782754629629629</v>
      </c>
      <c r="E16" s="13" t="n">
        <v>428000104</v>
      </c>
      <c r="F16" s="13" t="inlineStr">
        <is>
          <t>BELLA NURLAILLA. AP</t>
        </is>
      </c>
      <c r="G16" s="13" t="inlineStr">
        <is>
          <t>Produksi</t>
        </is>
      </c>
    </row>
    <row r="17">
      <c r="A17" s="27" t="inlineStr">
        <is>
          <t>MK00154</t>
        </is>
      </c>
      <c r="B17" s="13" t="inlineStr">
        <is>
          <t>IN</t>
        </is>
      </c>
      <c r="C17" s="177" t="n">
        <v>46196.41666666666</v>
      </c>
      <c r="D17" s="51" t="n">
        <v>0.6805208333333334</v>
      </c>
      <c r="E17" s="13" t="n">
        <v>528000290</v>
      </c>
      <c r="F17" s="13" t="inlineStr">
        <is>
          <t>Eval Pranata</t>
        </is>
      </c>
      <c r="G17" s="13" t="inlineStr">
        <is>
          <t>Produksi</t>
        </is>
      </c>
      <c r="H17" s="13" t="inlineStr">
        <is>
          <t>Pekerjaan</t>
        </is>
      </c>
    </row>
    <row r="18">
      <c r="A18" s="27" t="inlineStr">
        <is>
          <t>MK00154</t>
        </is>
      </c>
      <c r="B18" s="13" t="inlineStr">
        <is>
          <t>OUT</t>
        </is>
      </c>
      <c r="C18" s="177" t="n">
        <v>46196.41666666666</v>
      </c>
      <c r="D18" s="51" t="n">
        <v>0.6942708333333333</v>
      </c>
      <c r="E18" s="13" t="n">
        <v>528000290</v>
      </c>
      <c r="F18" s="13" t="inlineStr">
        <is>
          <t>Eval Pranata</t>
        </is>
      </c>
      <c r="G18" s="13" t="inlineStr">
        <is>
          <t>Produksi</t>
        </is>
      </c>
      <c r="H18" s="13" t="inlineStr">
        <is>
          <t>Istirahat</t>
        </is>
      </c>
    </row>
    <row r="19">
      <c r="A19" s="27" t="inlineStr">
        <is>
          <t>MK00150</t>
        </is>
      </c>
      <c r="B19" s="13" t="inlineStr">
        <is>
          <t>IN</t>
        </is>
      </c>
      <c r="C19" s="177" t="n">
        <v>46196.41666666666</v>
      </c>
      <c r="D19" s="51" t="n">
        <v>0.7096064814814815</v>
      </c>
      <c r="E19" s="13" t="n">
        <v>528000241</v>
      </c>
      <c r="F19" s="13" t="inlineStr">
        <is>
          <t>Balia Nurafif Bilah</t>
        </is>
      </c>
      <c r="G19" s="13" t="inlineStr">
        <is>
          <t>Produksi</t>
        </is>
      </c>
      <c r="H19" s="13" t="inlineStr">
        <is>
          <t>Istirahat</t>
        </is>
      </c>
    </row>
    <row r="20">
      <c r="A20" s="27" t="inlineStr">
        <is>
          <t>MK00150</t>
        </is>
      </c>
      <c r="B20" s="13" t="inlineStr">
        <is>
          <t>OUT</t>
        </is>
      </c>
      <c r="C20" s="177" t="n">
        <v>46196.41666666666</v>
      </c>
      <c r="D20" s="51" t="n">
        <v>0.7121180555555555</v>
      </c>
      <c r="E20" s="13" t="n">
        <v>528000241</v>
      </c>
      <c r="F20" s="13" t="inlineStr">
        <is>
          <t>Balia Nurafif Bilah</t>
        </is>
      </c>
      <c r="G20" s="13" t="inlineStr">
        <is>
          <t>Produksi</t>
        </is>
      </c>
      <c r="H20" s="13" t="inlineStr">
        <is>
          <t>Istirahat</t>
        </is>
      </c>
    </row>
    <row r="21">
      <c r="A21" s="27" t="inlineStr">
        <is>
          <t>MK00154</t>
        </is>
      </c>
      <c r="B21" s="13" t="inlineStr">
        <is>
          <t>IN</t>
        </is>
      </c>
      <c r="C21" s="177" t="n">
        <v>46196.41666666666</v>
      </c>
      <c r="D21" s="51" t="n">
        <v>0.7156597222222222</v>
      </c>
      <c r="E21" s="13" t="n">
        <v>528000290</v>
      </c>
      <c r="F21" s="13" t="inlineStr">
        <is>
          <t>Eval Pranata</t>
        </is>
      </c>
      <c r="G21" s="13" t="inlineStr">
        <is>
          <t>Produksi</t>
        </is>
      </c>
      <c r="H21" s="13" t="inlineStr">
        <is>
          <t>Pekerjaan</t>
        </is>
      </c>
    </row>
    <row r="22">
      <c r="A22" s="27" t="inlineStr">
        <is>
          <t>MK00150</t>
        </is>
      </c>
      <c r="B22" s="13" t="inlineStr">
        <is>
          <t>IN</t>
        </is>
      </c>
      <c r="C22" s="177" t="n">
        <v>46196.41666666666</v>
      </c>
      <c r="D22" s="51" t="n">
        <v>0.734837962962963</v>
      </c>
      <c r="E22" s="13" t="n">
        <v>528000241</v>
      </c>
      <c r="F22" s="13" t="inlineStr">
        <is>
          <t>Balia Nurafif Bilah</t>
        </is>
      </c>
      <c r="G22" s="13" t="inlineStr">
        <is>
          <t>Produksi</t>
        </is>
      </c>
      <c r="H22" s="13" t="inlineStr">
        <is>
          <t>Pekerjaan</t>
        </is>
      </c>
    </row>
    <row r="23">
      <c r="A23" s="27" t="inlineStr">
        <is>
          <t>MK00192</t>
        </is>
      </c>
      <c r="B23" s="13" t="inlineStr">
        <is>
          <t>IN</t>
        </is>
      </c>
      <c r="C23" s="177" t="n">
        <v>46196.41666666666</v>
      </c>
      <c r="D23" s="51" t="n">
        <v>0.7720717592592593</v>
      </c>
      <c r="E23" s="13" t="n">
        <v>528000099</v>
      </c>
      <c r="F23" s="13" t="inlineStr">
        <is>
          <t>Siti Nurawaliah</t>
        </is>
      </c>
      <c r="G23" s="13" t="inlineStr">
        <is>
          <t>Produksi</t>
        </is>
      </c>
      <c r="H23" s="13" t="inlineStr">
        <is>
          <t>Istirahat</t>
        </is>
      </c>
    </row>
    <row r="24">
      <c r="A24" s="27" t="inlineStr">
        <is>
          <t>MK00192</t>
        </is>
      </c>
      <c r="B24" s="13" t="inlineStr">
        <is>
          <t>OUT</t>
        </is>
      </c>
      <c r="C24" s="177" t="n">
        <v>46196.41666666666</v>
      </c>
      <c r="D24" s="51" t="n">
        <v>0.772349537037037</v>
      </c>
      <c r="E24" s="13" t="n">
        <v>528000099</v>
      </c>
      <c r="F24" s="13" t="inlineStr">
        <is>
          <t>Siti Nurawaliah</t>
        </is>
      </c>
      <c r="G24" s="13" t="inlineStr">
        <is>
          <t>Produksi</t>
        </is>
      </c>
      <c r="H24" s="13" t="inlineStr">
        <is>
          <t>Istirahat</t>
        </is>
      </c>
    </row>
    <row r="25">
      <c r="A25" s="27" t="inlineStr">
        <is>
          <t>MK00154</t>
        </is>
      </c>
      <c r="B25" s="13" t="inlineStr">
        <is>
          <t>OUT</t>
        </is>
      </c>
      <c r="C25" s="177" t="n">
        <v>46196.41666666666</v>
      </c>
      <c r="D25" s="51" t="n">
        <v>0.7733680555555555</v>
      </c>
      <c r="E25" s="13" t="n">
        <v>528000290</v>
      </c>
      <c r="F25" s="13" t="inlineStr">
        <is>
          <t>Eval Pranata</t>
        </is>
      </c>
      <c r="G25" s="13" t="inlineStr">
        <is>
          <t>Produksi</t>
        </is>
      </c>
      <c r="H25" s="13" t="inlineStr">
        <is>
          <t>Sholat</t>
        </is>
      </c>
    </row>
    <row r="26">
      <c r="A26" s="27" t="inlineStr">
        <is>
          <t>MK00154</t>
        </is>
      </c>
      <c r="B26" s="13" t="inlineStr">
        <is>
          <t>IN</t>
        </is>
      </c>
      <c r="C26" s="177" t="n">
        <v>46196.41666666666</v>
      </c>
      <c r="D26" s="51" t="n">
        <v>0.7801851851851852</v>
      </c>
      <c r="E26" s="13" t="n">
        <v>528000290</v>
      </c>
      <c r="F26" s="13" t="inlineStr">
        <is>
          <t>Eval Pranata</t>
        </is>
      </c>
      <c r="G26" s="13" t="inlineStr">
        <is>
          <t>Produksi</t>
        </is>
      </c>
      <c r="H26" s="13" t="inlineStr">
        <is>
          <t>Pekerjaan</t>
        </is>
      </c>
    </row>
    <row r="27">
      <c r="A27" s="27" t="inlineStr">
        <is>
          <t>MK00203</t>
        </is>
      </c>
      <c r="B27" s="13" t="inlineStr">
        <is>
          <t>IN</t>
        </is>
      </c>
      <c r="C27" s="177" t="n">
        <v>46196.41666666666</v>
      </c>
      <c r="D27" s="51" t="n">
        <v>0.7872569444444445</v>
      </c>
      <c r="E27" s="13" t="n">
        <v>528000286</v>
      </c>
      <c r="F27" s="13" t="inlineStr">
        <is>
          <t>Imelda Amelia</t>
        </is>
      </c>
      <c r="G27" s="13" t="inlineStr">
        <is>
          <t>Produksi</t>
        </is>
      </c>
      <c r="H27" s="13" t="inlineStr">
        <is>
          <t>Istirahat</t>
        </is>
      </c>
    </row>
    <row r="28">
      <c r="A28" s="27" t="inlineStr">
        <is>
          <t>MK00203</t>
        </is>
      </c>
      <c r="B28" s="13" t="inlineStr">
        <is>
          <t>OUT</t>
        </is>
      </c>
      <c r="C28" s="177" t="n">
        <v>46196.41666666666</v>
      </c>
      <c r="D28" s="51" t="n">
        <v>0.7874305555555555</v>
      </c>
      <c r="E28" s="13" t="n">
        <v>528000286</v>
      </c>
      <c r="F28" s="13" t="inlineStr">
        <is>
          <t>Imelda Amelia</t>
        </is>
      </c>
      <c r="G28" s="13" t="inlineStr">
        <is>
          <t>Produksi</t>
        </is>
      </c>
      <c r="H28" s="13" t="inlineStr">
        <is>
          <t>Istirahat</t>
        </is>
      </c>
    </row>
    <row r="29">
      <c r="A29" s="27" t="inlineStr">
        <is>
          <t>MK00109</t>
        </is>
      </c>
      <c r="B29" s="13" t="inlineStr">
        <is>
          <t>IN</t>
        </is>
      </c>
      <c r="C29" s="177" t="n">
        <v>46196.41666666666</v>
      </c>
      <c r="D29" s="51" t="n">
        <v>0.7876157407407407</v>
      </c>
      <c r="E29" s="13" t="n">
        <v>528000201</v>
      </c>
      <c r="F29" s="13" t="inlineStr">
        <is>
          <t>Zahwa Amelia Choerunissa</t>
        </is>
      </c>
      <c r="G29" s="13" t="inlineStr">
        <is>
          <t>Produksi</t>
        </is>
      </c>
      <c r="H29" s="13" t="inlineStr">
        <is>
          <t>Istirahat</t>
        </is>
      </c>
    </row>
    <row r="30">
      <c r="A30" s="27" t="inlineStr">
        <is>
          <t>MK00109</t>
        </is>
      </c>
      <c r="B30" s="13" t="inlineStr">
        <is>
          <t>OUT</t>
        </is>
      </c>
      <c r="C30" s="177" t="n">
        <v>46196.41666666666</v>
      </c>
      <c r="D30" s="51" t="n">
        <v>0.7878472222222223</v>
      </c>
      <c r="E30" s="13" t="n">
        <v>528000201</v>
      </c>
      <c r="F30" s="13" t="inlineStr">
        <is>
          <t>Zahwa Amelia Choerunissa</t>
        </is>
      </c>
      <c r="G30" s="13" t="inlineStr">
        <is>
          <t>Produksi</t>
        </is>
      </c>
      <c r="H30" s="13" t="inlineStr">
        <is>
          <t>Istirahat</t>
        </is>
      </c>
    </row>
    <row r="31">
      <c r="A31" s="27" t="inlineStr">
        <is>
          <t>MK00192</t>
        </is>
      </c>
      <c r="B31" s="13" t="inlineStr">
        <is>
          <t>IN</t>
        </is>
      </c>
      <c r="C31" s="177" t="n">
        <v>46196.41666666666</v>
      </c>
      <c r="D31" s="51" t="n">
        <v>0.7928587962962963</v>
      </c>
      <c r="E31" s="13" t="n">
        <v>528000099</v>
      </c>
      <c r="F31" s="13" t="inlineStr">
        <is>
          <t>Siti Nurawaliah</t>
        </is>
      </c>
      <c r="G31" s="13" t="inlineStr">
        <is>
          <t>Produksi</t>
        </is>
      </c>
      <c r="H31" s="13" t="inlineStr">
        <is>
          <t>Pekerjaan</t>
        </is>
      </c>
    </row>
    <row r="32">
      <c r="A32" s="27" t="inlineStr">
        <is>
          <t>MK00109</t>
        </is>
      </c>
      <c r="B32" s="13" t="inlineStr">
        <is>
          <t>IN</t>
        </is>
      </c>
      <c r="C32" s="177" t="n">
        <v>46196.41666666666</v>
      </c>
      <c r="D32" s="51" t="n">
        <v>0.7987615740740741</v>
      </c>
      <c r="E32" s="13" t="n">
        <v>528000201</v>
      </c>
      <c r="F32" s="13" t="inlineStr">
        <is>
          <t>Zahwa Amelia Choerunissa</t>
        </is>
      </c>
      <c r="G32" s="13" t="inlineStr">
        <is>
          <t>Produksi</t>
        </is>
      </c>
      <c r="H32" s="13" t="inlineStr">
        <is>
          <t>Istirahat</t>
        </is>
      </c>
    </row>
    <row r="33">
      <c r="A33" s="27" t="inlineStr">
        <is>
          <t>MK00095</t>
        </is>
      </c>
      <c r="B33" s="13" t="inlineStr">
        <is>
          <t>IN</t>
        </is>
      </c>
      <c r="C33" s="177" t="n">
        <v>46196.41666666666</v>
      </c>
      <c r="D33" s="51" t="n">
        <v>0.8029976851851852</v>
      </c>
      <c r="E33" s="13" t="n">
        <v>528000228</v>
      </c>
      <c r="F33" s="13" t="inlineStr">
        <is>
          <t>Banyu Resmi Putri</t>
        </is>
      </c>
      <c r="G33" s="13" t="inlineStr">
        <is>
          <t>Produksi</t>
        </is>
      </c>
      <c r="H33" s="13" t="inlineStr">
        <is>
          <t>Istirahat</t>
        </is>
      </c>
    </row>
    <row r="34">
      <c r="A34" s="27" t="inlineStr">
        <is>
          <t>MK00095</t>
        </is>
      </c>
      <c r="B34" s="13" t="inlineStr">
        <is>
          <t>OUT</t>
        </is>
      </c>
      <c r="C34" s="177" t="n">
        <v>46196.41666666666</v>
      </c>
      <c r="D34" s="51" t="n">
        <v>0.8032638888888889</v>
      </c>
      <c r="E34" s="13" t="n">
        <v>528000228</v>
      </c>
      <c r="F34" s="13" t="inlineStr">
        <is>
          <t>Banyu Resmi Putri</t>
        </is>
      </c>
      <c r="G34" s="13" t="inlineStr">
        <is>
          <t>Produksi</t>
        </is>
      </c>
      <c r="H34" s="13" t="inlineStr">
        <is>
          <t>Istirahat</t>
        </is>
      </c>
    </row>
    <row r="35">
      <c r="A35" s="27" t="inlineStr">
        <is>
          <t>MK00203</t>
        </is>
      </c>
      <c r="B35" s="13" t="inlineStr">
        <is>
          <t>IN</t>
        </is>
      </c>
      <c r="C35" s="177" t="n">
        <v>46196.41666666666</v>
      </c>
      <c r="D35" s="51" t="n">
        <v>0.8156828703703703</v>
      </c>
      <c r="E35" s="13" t="n">
        <v>528000286</v>
      </c>
      <c r="F35" s="13" t="inlineStr">
        <is>
          <t>Imelda Amelia</t>
        </is>
      </c>
      <c r="G35" s="13" t="inlineStr">
        <is>
          <t>Produksi</t>
        </is>
      </c>
      <c r="H35" s="13" t="inlineStr">
        <is>
          <t>Istirahat</t>
        </is>
      </c>
    </row>
    <row r="36">
      <c r="A36" s="27" t="inlineStr">
        <is>
          <t>MK00109</t>
        </is>
      </c>
      <c r="B36" s="13" t="inlineStr">
        <is>
          <t>OUT</t>
        </is>
      </c>
      <c r="C36" s="177" t="n">
        <v>46196.41666666666</v>
      </c>
      <c r="D36" s="51" t="n">
        <v>0.8159259259259259</v>
      </c>
      <c r="E36" s="13" t="n">
        <v>528000201</v>
      </c>
      <c r="F36" s="13" t="inlineStr">
        <is>
          <t>Zahwa Amelia Choerunissa</t>
        </is>
      </c>
      <c r="G36" s="13" t="inlineStr">
        <is>
          <t>Produksi</t>
        </is>
      </c>
      <c r="H36" s="13" t="inlineStr">
        <is>
          <t>Istirahat</t>
        </is>
      </c>
    </row>
    <row r="37">
      <c r="A37" s="27" t="inlineStr">
        <is>
          <t>MK00109</t>
        </is>
      </c>
      <c r="B37" s="13" t="inlineStr">
        <is>
          <t>IN</t>
        </is>
      </c>
      <c r="C37" s="177" t="n">
        <v>46196.41666666666</v>
      </c>
      <c r="D37" s="51" t="n">
        <v>0.8161111111111111</v>
      </c>
      <c r="E37" s="13" t="n">
        <v>528000201</v>
      </c>
      <c r="F37" s="13" t="inlineStr">
        <is>
          <t>Zahwa Amelia Choerunissa</t>
        </is>
      </c>
      <c r="G37" s="13" t="inlineStr">
        <is>
          <t>Produksi</t>
        </is>
      </c>
      <c r="H37" s="13" t="inlineStr">
        <is>
          <t>Istirahat</t>
        </is>
      </c>
    </row>
    <row r="38">
      <c r="A38" s="27" t="inlineStr">
        <is>
          <t>MK00095</t>
        </is>
      </c>
      <c r="B38" s="13" t="inlineStr">
        <is>
          <t>IN</t>
        </is>
      </c>
      <c r="C38" s="177" t="n">
        <v>46196.41666666666</v>
      </c>
      <c r="D38" s="51" t="n">
        <v>0.8236458333333333</v>
      </c>
      <c r="E38" s="13" t="n">
        <v>528000228</v>
      </c>
      <c r="F38" s="13" t="inlineStr">
        <is>
          <t>Banyu Resmi Putri</t>
        </is>
      </c>
      <c r="G38" s="13" t="inlineStr">
        <is>
          <t>Produksi</t>
        </is>
      </c>
      <c r="H38" s="13" t="inlineStr">
        <is>
          <t>Istirahat</t>
        </is>
      </c>
    </row>
    <row r="39">
      <c r="A39" s="27" t="inlineStr">
        <is>
          <t>MK00145</t>
        </is>
      </c>
      <c r="B39" s="13" t="inlineStr">
        <is>
          <t>IN</t>
        </is>
      </c>
      <c r="C39" s="177" t="n">
        <v>46196.41666666666</v>
      </c>
      <c r="D39" s="51" t="n">
        <v>0.8308333333333333</v>
      </c>
      <c r="E39" s="13" t="n">
        <v>528000244</v>
      </c>
      <c r="F39" s="13" t="inlineStr">
        <is>
          <t>Rodian Rifai</t>
        </is>
      </c>
      <c r="G39" s="13" t="inlineStr">
        <is>
          <t>Produksi</t>
        </is>
      </c>
      <c r="H39" s="13" t="inlineStr">
        <is>
          <t>Istirahat</t>
        </is>
      </c>
    </row>
    <row r="40">
      <c r="A40" s="27" t="inlineStr">
        <is>
          <t>MK00154</t>
        </is>
      </c>
      <c r="B40" s="13" t="inlineStr">
        <is>
          <t>OUT</t>
        </is>
      </c>
      <c r="C40" s="177" t="n">
        <v>46196.41666666666</v>
      </c>
      <c r="D40" s="51" t="n">
        <v>0.8359143518518518</v>
      </c>
      <c r="E40" s="13" t="n">
        <v>528000290</v>
      </c>
      <c r="F40" s="13" t="inlineStr">
        <is>
          <t>Eval Pranata</t>
        </is>
      </c>
      <c r="G40" s="13" t="inlineStr">
        <is>
          <t>Produksi</t>
        </is>
      </c>
      <c r="H40" s="13" t="inlineStr">
        <is>
          <t>Sholat</t>
        </is>
      </c>
    </row>
    <row r="41">
      <c r="A41" s="27" t="inlineStr">
        <is>
          <t>MK00145</t>
        </is>
      </c>
      <c r="B41" s="13" t="inlineStr">
        <is>
          <t>OUT</t>
        </is>
      </c>
      <c r="C41" s="177" t="n">
        <v>46196.41666666666</v>
      </c>
      <c r="D41" s="51" t="n">
        <v>0.8417476851851852</v>
      </c>
      <c r="E41" s="13" t="n">
        <v>528000244</v>
      </c>
      <c r="F41" s="13" t="inlineStr">
        <is>
          <t>Rodian Rifai</t>
        </is>
      </c>
      <c r="G41" s="13" t="inlineStr">
        <is>
          <t>Produksi</t>
        </is>
      </c>
      <c r="H41" s="13" t="inlineStr">
        <is>
          <t>Sholat</t>
        </is>
      </c>
    </row>
    <row r="42">
      <c r="A42" s="27" t="inlineStr">
        <is>
          <t>MK00145</t>
        </is>
      </c>
      <c r="B42" s="13" t="inlineStr">
        <is>
          <t>IN</t>
        </is>
      </c>
      <c r="C42" s="177" t="n">
        <v>46196.41666666666</v>
      </c>
      <c r="D42" s="51" t="n">
        <v>0.8421990740740741</v>
      </c>
      <c r="E42" s="13" t="n">
        <v>528000244</v>
      </c>
      <c r="F42" s="13" t="inlineStr">
        <is>
          <t>Rodian Rifai</t>
        </is>
      </c>
      <c r="G42" s="13" t="inlineStr">
        <is>
          <t>Produksi</t>
        </is>
      </c>
      <c r="H42" s="13" t="inlineStr">
        <is>
          <t>Sholat</t>
        </is>
      </c>
    </row>
    <row r="43">
      <c r="A43" s="27" t="inlineStr">
        <is>
          <t>MK00154</t>
        </is>
      </c>
      <c r="B43" s="13" t="inlineStr">
        <is>
          <t>IN</t>
        </is>
      </c>
      <c r="C43" s="177" t="n">
        <v>46196.41666666666</v>
      </c>
      <c r="D43" s="51" t="n">
        <v>0.8430324074074074</v>
      </c>
      <c r="E43" s="13" t="n">
        <v>528000290</v>
      </c>
      <c r="F43" s="13" t="inlineStr">
        <is>
          <t>Eval Pranata</t>
        </is>
      </c>
      <c r="G43" s="13" t="inlineStr">
        <is>
          <t>Produksi</t>
        </is>
      </c>
      <c r="H43" s="13" t="inlineStr">
        <is>
          <t>Sholat</t>
        </is>
      </c>
    </row>
    <row r="44">
      <c r="A44" s="27" t="inlineStr">
        <is>
          <t>MK00150</t>
        </is>
      </c>
      <c r="B44" s="13" t="inlineStr">
        <is>
          <t>OUT</t>
        </is>
      </c>
      <c r="C44" s="177" t="n">
        <v>46196.41666666666</v>
      </c>
      <c r="D44" s="51" t="n">
        <v>0.8650925925925926</v>
      </c>
      <c r="E44" s="13" t="n">
        <v>528000241</v>
      </c>
      <c r="F44" s="13" t="inlineStr">
        <is>
          <t>Balia Nurafif Bilah</t>
        </is>
      </c>
      <c r="G44" s="13" t="inlineStr">
        <is>
          <t>Produksi</t>
        </is>
      </c>
      <c r="H44" s="13" t="inlineStr">
        <is>
          <t>Toilet</t>
        </is>
      </c>
    </row>
    <row r="45">
      <c r="A45" s="27" t="inlineStr">
        <is>
          <t>MK00150</t>
        </is>
      </c>
      <c r="B45" s="13" t="inlineStr">
        <is>
          <t>IN</t>
        </is>
      </c>
      <c r="C45" s="177" t="n">
        <v>46196.41666666666</v>
      </c>
      <c r="D45" s="51" t="n">
        <v>0.8669791666666666</v>
      </c>
      <c r="E45" s="13" t="n">
        <v>528000241</v>
      </c>
      <c r="F45" s="13" t="inlineStr">
        <is>
          <t>Balia Nurafif Bilah</t>
        </is>
      </c>
      <c r="G45" s="13" t="inlineStr">
        <is>
          <t>Produksi</t>
        </is>
      </c>
      <c r="H45" s="13" t="inlineStr">
        <is>
          <t>Toilet</t>
        </is>
      </c>
    </row>
    <row r="46">
      <c r="A46" s="27" t="inlineStr">
        <is>
          <t>MK00148</t>
        </is>
      </c>
      <c r="B46" s="13" t="inlineStr">
        <is>
          <t>IN</t>
        </is>
      </c>
      <c r="C46" s="177" t="n">
        <v>46197.41666666666</v>
      </c>
      <c r="D46" s="51" t="n">
        <v>0.03508101851851852</v>
      </c>
      <c r="E46" s="13" t="n">
        <v>528000195</v>
      </c>
      <c r="F46" s="13" t="inlineStr">
        <is>
          <t>Rahma Sariwati</t>
        </is>
      </c>
      <c r="G46" s="13" t="inlineStr">
        <is>
          <t>Produksi</t>
        </is>
      </c>
      <c r="H46" s="13" t="inlineStr">
        <is>
          <t>Toilet</t>
        </is>
      </c>
    </row>
    <row r="47">
      <c r="A47" s="27" t="inlineStr">
        <is>
          <t>MK00148</t>
        </is>
      </c>
      <c r="B47" s="13" t="inlineStr">
        <is>
          <t>OUT</t>
        </is>
      </c>
      <c r="C47" s="177" t="n">
        <v>46197.41666666666</v>
      </c>
      <c r="D47" s="51" t="n">
        <v>0.0353587962962963</v>
      </c>
      <c r="E47" s="13" t="n">
        <v>528000195</v>
      </c>
      <c r="F47" s="13" t="inlineStr">
        <is>
          <t>Rahma Sariwati</t>
        </is>
      </c>
      <c r="G47" s="13" t="inlineStr">
        <is>
          <t>Produksi</t>
        </is>
      </c>
      <c r="H47" s="13" t="inlineStr">
        <is>
          <t>Toilet</t>
        </is>
      </c>
    </row>
    <row r="48">
      <c r="A48" s="27" t="inlineStr">
        <is>
          <t>MK00148</t>
        </is>
      </c>
      <c r="B48" s="13" t="inlineStr">
        <is>
          <t>IN</t>
        </is>
      </c>
      <c r="C48" s="177" t="n">
        <v>46197.41666666666</v>
      </c>
      <c r="D48" s="51" t="n">
        <v>0.03755787037037037</v>
      </c>
      <c r="E48" s="13" t="n">
        <v>528000195</v>
      </c>
      <c r="F48" s="13" t="inlineStr">
        <is>
          <t>Rahma Sariwati</t>
        </is>
      </c>
      <c r="G48" s="13" t="inlineStr">
        <is>
          <t>Produksi</t>
        </is>
      </c>
      <c r="H48" s="13" t="inlineStr">
        <is>
          <t>Toilet</t>
        </is>
      </c>
    </row>
    <row r="49">
      <c r="A49" s="27" t="inlineStr">
        <is>
          <t>MK00199</t>
        </is>
      </c>
      <c r="B49" s="13" t="inlineStr">
        <is>
          <t>IN</t>
        </is>
      </c>
      <c r="C49" s="177" t="n">
        <v>46197.41666666666</v>
      </c>
      <c r="D49" s="51" t="n">
        <v>0.06594907407407408</v>
      </c>
      <c r="E49" s="13" t="n">
        <v>528000291</v>
      </c>
      <c r="F49" s="13" t="inlineStr">
        <is>
          <t>Andrian</t>
        </is>
      </c>
      <c r="G49" s="13" t="inlineStr">
        <is>
          <t>Produksi</t>
        </is>
      </c>
      <c r="H49" s="13" t="inlineStr">
        <is>
          <t>Istirahat</t>
        </is>
      </c>
    </row>
    <row r="50">
      <c r="A50" s="27" t="inlineStr">
        <is>
          <t>MK00199</t>
        </is>
      </c>
      <c r="B50" s="13" t="inlineStr">
        <is>
          <t>OUT</t>
        </is>
      </c>
      <c r="C50" s="177" t="n">
        <v>46197.41666666666</v>
      </c>
      <c r="D50" s="51" t="n">
        <v>0.06717592592592593</v>
      </c>
      <c r="E50" s="13" t="n">
        <v>528000291</v>
      </c>
      <c r="F50" s="13" t="inlineStr">
        <is>
          <t>Andrian</t>
        </is>
      </c>
      <c r="G50" s="13" t="inlineStr">
        <is>
          <t>Produksi</t>
        </is>
      </c>
      <c r="H50" s="13" t="inlineStr">
        <is>
          <t>Istirahat</t>
        </is>
      </c>
    </row>
    <row r="51">
      <c r="A51" s="27" t="inlineStr">
        <is>
          <t>MK00148</t>
        </is>
      </c>
      <c r="B51" s="13" t="inlineStr">
        <is>
          <t>OUT</t>
        </is>
      </c>
      <c r="C51" s="177" t="n">
        <v>46197.41666666666</v>
      </c>
      <c r="D51" s="51" t="n">
        <v>0.08201388888888889</v>
      </c>
      <c r="E51" s="13" t="n">
        <v>528000195</v>
      </c>
      <c r="F51" s="13" t="inlineStr">
        <is>
          <t>Rahma Sariwati</t>
        </is>
      </c>
      <c r="G51" s="13" t="inlineStr">
        <is>
          <t>Produksi</t>
        </is>
      </c>
      <c r="H51" s="13" t="inlineStr">
        <is>
          <t>Istirahat</t>
        </is>
      </c>
    </row>
    <row r="52">
      <c r="A52" s="27" t="inlineStr">
        <is>
          <t>MK00141</t>
        </is>
      </c>
      <c r="B52" s="13" t="inlineStr">
        <is>
          <t>OUT</t>
        </is>
      </c>
      <c r="C52" s="177" t="n">
        <v>46197.41666666666</v>
      </c>
      <c r="D52" s="51" t="n">
        <v>0.08233796296296296</v>
      </c>
      <c r="E52" s="13" t="n">
        <v>528000306</v>
      </c>
      <c r="F52" s="13" t="inlineStr">
        <is>
          <t>Windy Olivia</t>
        </is>
      </c>
      <c r="G52" s="13" t="inlineStr">
        <is>
          <t>Produksi</t>
        </is>
      </c>
      <c r="H52" s="13" t="inlineStr">
        <is>
          <t>Istirahat</t>
        </is>
      </c>
    </row>
    <row r="53">
      <c r="A53" s="27" t="inlineStr">
        <is>
          <t>MK00199</t>
        </is>
      </c>
      <c r="B53" s="13" t="inlineStr">
        <is>
          <t>IN</t>
        </is>
      </c>
      <c r="C53" s="177" t="n">
        <v>46197.41666666666</v>
      </c>
      <c r="D53" s="51" t="n">
        <v>0.08712962962962963</v>
      </c>
      <c r="E53" s="13" t="n">
        <v>528000291</v>
      </c>
      <c r="F53" s="13" t="inlineStr">
        <is>
          <t>Andrian</t>
        </is>
      </c>
      <c r="G53" s="13" t="inlineStr">
        <is>
          <t>Produksi</t>
        </is>
      </c>
      <c r="H53" s="13" t="inlineStr">
        <is>
          <t>Istirahat</t>
        </is>
      </c>
    </row>
    <row r="54">
      <c r="A54" s="27" t="inlineStr">
        <is>
          <t>MK00148</t>
        </is>
      </c>
      <c r="B54" s="13" t="inlineStr">
        <is>
          <t>IN</t>
        </is>
      </c>
      <c r="C54" s="177" t="n">
        <v>46197.41666666666</v>
      </c>
      <c r="D54" s="51" t="n">
        <v>0.1040509259259259</v>
      </c>
      <c r="E54" s="13" t="n">
        <v>528000195</v>
      </c>
      <c r="F54" s="13" t="inlineStr">
        <is>
          <t>Rahma Sariwati</t>
        </is>
      </c>
      <c r="G54" s="13" t="inlineStr">
        <is>
          <t>Produksi</t>
        </is>
      </c>
      <c r="H54" s="13" t="inlineStr">
        <is>
          <t>Istirahat</t>
        </is>
      </c>
    </row>
    <row r="55">
      <c r="A55" s="27" t="inlineStr">
        <is>
          <t>MK00141</t>
        </is>
      </c>
      <c r="B55" s="13" t="inlineStr">
        <is>
          <t>IN</t>
        </is>
      </c>
      <c r="C55" s="177" t="n">
        <v>46197.41666666666</v>
      </c>
      <c r="D55" s="51" t="n">
        <v>0.1053472222222222</v>
      </c>
      <c r="E55" s="13" t="n">
        <v>528000306</v>
      </c>
      <c r="F55" s="13" t="inlineStr">
        <is>
          <t>Windy Olivia</t>
        </is>
      </c>
      <c r="G55" s="13" t="inlineStr">
        <is>
          <t>Produksi</t>
        </is>
      </c>
      <c r="H55" s="13" t="inlineStr">
        <is>
          <t>Istirahat</t>
        </is>
      </c>
    </row>
    <row r="56">
      <c r="A56" s="27" t="inlineStr">
        <is>
          <t>MK00208</t>
        </is>
      </c>
      <c r="B56" s="13" t="inlineStr">
        <is>
          <t>OUT</t>
        </is>
      </c>
      <c r="C56" s="177" t="n">
        <v>46197.41666666666</v>
      </c>
      <c r="D56" s="51" t="n">
        <v>0.118125</v>
      </c>
      <c r="E56" s="13" t="n">
        <v>528000266</v>
      </c>
      <c r="F56" s="13" t="inlineStr">
        <is>
          <t>M. Syirajatieq</t>
        </is>
      </c>
      <c r="G56" s="13" t="inlineStr">
        <is>
          <t>Produksi</t>
        </is>
      </c>
      <c r="H56" s="13" t="inlineStr">
        <is>
          <t>Istirahat</t>
        </is>
      </c>
    </row>
    <row r="57">
      <c r="A57" s="27" t="inlineStr">
        <is>
          <t>MK00208</t>
        </is>
      </c>
      <c r="B57" s="13" t="inlineStr">
        <is>
          <t>IN</t>
        </is>
      </c>
      <c r="C57" s="177" t="n">
        <v>46197.41666666666</v>
      </c>
      <c r="D57" s="51" t="n">
        <v>0.1460069444444445</v>
      </c>
      <c r="E57" s="13" t="n">
        <v>528000266</v>
      </c>
      <c r="F57" s="13" t="inlineStr">
        <is>
          <t>M. Syirajatieq</t>
        </is>
      </c>
      <c r="G57" s="13" t="inlineStr">
        <is>
          <t>Produksi</t>
        </is>
      </c>
      <c r="H57" s="13" t="inlineStr">
        <is>
          <t>Istirahat</t>
        </is>
      </c>
    </row>
    <row r="58">
      <c r="A58" s="27" t="inlineStr">
        <is>
          <t>MK00141</t>
        </is>
      </c>
      <c r="B58" s="13" t="inlineStr">
        <is>
          <t>OUT</t>
        </is>
      </c>
      <c r="C58" s="177" t="n">
        <v>46197.41666666666</v>
      </c>
      <c r="D58" s="51" t="n">
        <v>0.1971412037037037</v>
      </c>
      <c r="E58" s="13" t="n">
        <v>528000306</v>
      </c>
      <c r="F58" s="13" t="inlineStr">
        <is>
          <t>Windy Olivia</t>
        </is>
      </c>
      <c r="G58" s="13" t="inlineStr">
        <is>
          <t>Produksi</t>
        </is>
      </c>
      <c r="H58" s="13" t="inlineStr">
        <is>
          <t>Sholat</t>
        </is>
      </c>
    </row>
    <row r="59">
      <c r="A59" s="27" t="inlineStr">
        <is>
          <t>MK00141</t>
        </is>
      </c>
      <c r="B59" s="13" t="inlineStr">
        <is>
          <t>IN</t>
        </is>
      </c>
      <c r="C59" s="177" t="n">
        <v>46197.41666666666</v>
      </c>
      <c r="D59" s="51" t="n">
        <v>0.2070486111111111</v>
      </c>
      <c r="E59" s="13" t="n">
        <v>528000306</v>
      </c>
      <c r="F59" s="13" t="inlineStr">
        <is>
          <t>Windy Olivia</t>
        </is>
      </c>
      <c r="G59" s="13" t="inlineStr">
        <is>
          <t>Produksi</t>
        </is>
      </c>
      <c r="H59" s="13" t="inlineStr">
        <is>
          <t>Sholat</t>
        </is>
      </c>
    </row>
    <row r="60">
      <c r="A60" s="27" t="inlineStr">
        <is>
          <t>MK00145</t>
        </is>
      </c>
      <c r="B60" s="13" t="inlineStr">
        <is>
          <t>OUT</t>
        </is>
      </c>
      <c r="C60" s="177" t="n">
        <v>46197.41666666666</v>
      </c>
      <c r="D60" s="51" t="n">
        <v>0.2730092592592593</v>
      </c>
      <c r="E60" s="13" t="n">
        <v>528000300</v>
      </c>
      <c r="F60" s="13" t="inlineStr">
        <is>
          <t>Lia pitaloka</t>
        </is>
      </c>
      <c r="G60" s="13" t="inlineStr">
        <is>
          <t>Produksi</t>
        </is>
      </c>
      <c r="H60" s="13" t="inlineStr">
        <is>
          <t>Toilet</t>
        </is>
      </c>
    </row>
    <row r="61">
      <c r="A61" s="27" t="inlineStr">
        <is>
          <t>MK00145</t>
        </is>
      </c>
      <c r="B61" s="13" t="inlineStr">
        <is>
          <t>OUT</t>
        </is>
      </c>
      <c r="C61" s="177" t="n">
        <v>46197.41666666666</v>
      </c>
      <c r="D61" s="51" t="n">
        <v>0.2792708333333334</v>
      </c>
      <c r="E61" s="13" t="n">
        <v>528000300</v>
      </c>
      <c r="F61" s="13" t="inlineStr">
        <is>
          <t>Lia pitaloka</t>
        </is>
      </c>
      <c r="G61" s="13" t="inlineStr">
        <is>
          <t>Produksi</t>
        </is>
      </c>
      <c r="H61" s="13" t="inlineStr">
        <is>
          <t>Toilet</t>
        </is>
      </c>
    </row>
    <row r="62">
      <c r="A62" s="27" t="inlineStr">
        <is>
          <t>MK00145</t>
        </is>
      </c>
      <c r="B62" s="13" t="inlineStr">
        <is>
          <t>IN</t>
        </is>
      </c>
      <c r="C62" s="177" t="n">
        <v>46197.41666666666</v>
      </c>
      <c r="D62" s="51" t="n">
        <v>0.2795023148148148</v>
      </c>
      <c r="E62" s="13" t="n">
        <v>528000300</v>
      </c>
      <c r="F62" s="13" t="inlineStr">
        <is>
          <t>Lia pitaloka</t>
        </is>
      </c>
      <c r="G62" s="13" t="inlineStr">
        <is>
          <t>Produksi</t>
        </is>
      </c>
      <c r="H62" s="13" t="inlineStr">
        <is>
          <t>Toilet</t>
        </is>
      </c>
    </row>
    <row r="63">
      <c r="A63" s="27" t="inlineStr">
        <is>
          <t>MK00136</t>
        </is>
      </c>
      <c r="B63" s="13" t="inlineStr">
        <is>
          <t>IN</t>
        </is>
      </c>
      <c r="C63" s="177" t="n">
        <v>46197.41666666666</v>
      </c>
      <c r="D63" s="51" t="n">
        <v>0.4131481481481482</v>
      </c>
      <c r="E63" s="13" t="n">
        <v>528000297</v>
      </c>
      <c r="F63" s="13" t="inlineStr">
        <is>
          <t>Muhamad Budiana</t>
        </is>
      </c>
      <c r="G63" s="13" t="inlineStr">
        <is>
          <t>Produksi</t>
        </is>
      </c>
      <c r="H63" s="13" t="inlineStr">
        <is>
          <t>Toilet</t>
        </is>
      </c>
    </row>
    <row r="64">
      <c r="A64" s="27" t="inlineStr">
        <is>
          <t>MK00136</t>
        </is>
      </c>
      <c r="B64" s="13" t="inlineStr">
        <is>
          <t>OUT</t>
        </is>
      </c>
      <c r="C64" s="177" t="n">
        <v>46197.41666666666</v>
      </c>
      <c r="D64" s="51" t="n">
        <v>0.4139351851851852</v>
      </c>
      <c r="E64" s="13" t="n">
        <v>528000297</v>
      </c>
      <c r="F64" s="13" t="inlineStr">
        <is>
          <t>Muhamad Budiana</t>
        </is>
      </c>
      <c r="G64" s="13" t="inlineStr">
        <is>
          <t>Produksi</t>
        </is>
      </c>
      <c r="H64" s="13" t="inlineStr">
        <is>
          <t>Toilet</t>
        </is>
      </c>
    </row>
    <row r="65">
      <c r="A65" s="27" t="inlineStr">
        <is>
          <t>MK00136</t>
        </is>
      </c>
      <c r="B65" s="13" t="inlineStr">
        <is>
          <t>IN</t>
        </is>
      </c>
      <c r="C65" s="177" t="n">
        <v>46197.41666666666</v>
      </c>
      <c r="D65" s="51" t="n">
        <v>0.4154513888888889</v>
      </c>
      <c r="E65" s="13" t="n">
        <v>528000297</v>
      </c>
      <c r="F65" s="13" t="inlineStr">
        <is>
          <t>Muhamad Budiana</t>
        </is>
      </c>
      <c r="G65" s="13" t="inlineStr">
        <is>
          <t>Produksi</t>
        </is>
      </c>
      <c r="H65" s="13" t="inlineStr">
        <is>
          <t>Toilet</t>
        </is>
      </c>
    </row>
    <row r="66">
      <c r="A66" s="27" t="inlineStr">
        <is>
          <t>MK00136</t>
        </is>
      </c>
      <c r="B66" s="13" t="inlineStr">
        <is>
          <t>OUT</t>
        </is>
      </c>
      <c r="C66" s="177" t="n">
        <v>46197.41666666666</v>
      </c>
      <c r="D66" s="51" t="n">
        <v>0.415625</v>
      </c>
      <c r="E66" s="13" t="n">
        <v>528000297</v>
      </c>
      <c r="F66" s="13" t="inlineStr">
        <is>
          <t>Muhamad Budiana</t>
        </is>
      </c>
      <c r="G66" s="13" t="inlineStr">
        <is>
          <t>Produksi</t>
        </is>
      </c>
      <c r="H66" s="13" t="inlineStr">
        <is>
          <t>Istirahat</t>
        </is>
      </c>
    </row>
    <row r="67">
      <c r="A67" s="27" t="inlineStr">
        <is>
          <t>MK00136</t>
        </is>
      </c>
      <c r="B67" s="13" t="inlineStr">
        <is>
          <t>IN</t>
        </is>
      </c>
      <c r="C67" s="177" t="n">
        <v>46197.41666666666</v>
      </c>
      <c r="D67" s="51" t="n">
        <v>0.4172685185185185</v>
      </c>
      <c r="E67" s="13" t="n">
        <v>528000297</v>
      </c>
      <c r="F67" s="13" t="inlineStr">
        <is>
          <t>Muhamad Budiana</t>
        </is>
      </c>
      <c r="G67" s="13" t="inlineStr">
        <is>
          <t>Produksi</t>
        </is>
      </c>
      <c r="H67" s="13" t="inlineStr">
        <is>
          <t>Istirahat</t>
        </is>
      </c>
    </row>
    <row r="68">
      <c r="A68" s="27" t="inlineStr">
        <is>
          <t>MK00136</t>
        </is>
      </c>
      <c r="B68" s="13" t="inlineStr">
        <is>
          <t>OUT</t>
        </is>
      </c>
      <c r="C68" s="177" t="n">
        <v>46197.41666666666</v>
      </c>
      <c r="D68" s="51" t="n">
        <v>0.4175231481481482</v>
      </c>
      <c r="E68" s="13" t="n">
        <v>528000297</v>
      </c>
      <c r="F68" s="13" t="inlineStr">
        <is>
          <t>Muhamad Budiana</t>
        </is>
      </c>
      <c r="G68" s="13" t="inlineStr">
        <is>
          <t>Produksi</t>
        </is>
      </c>
      <c r="H68" s="13" t="inlineStr">
        <is>
          <t>Toilet</t>
        </is>
      </c>
    </row>
    <row r="69">
      <c r="A69" s="27" t="inlineStr">
        <is>
          <t>MK00158</t>
        </is>
      </c>
      <c r="B69" s="13" t="inlineStr">
        <is>
          <t>IN</t>
        </is>
      </c>
      <c r="C69" s="177" t="n">
        <v>46197.41666666666</v>
      </c>
      <c r="D69" s="51" t="n">
        <v>0.4278819444444444</v>
      </c>
      <c r="E69" s="13" t="n">
        <v>628000064</v>
      </c>
      <c r="F69" s="13" t="inlineStr">
        <is>
          <t>Silva Alypia</t>
        </is>
      </c>
      <c r="G69" s="13" t="inlineStr">
        <is>
          <t>Produksi</t>
        </is>
      </c>
      <c r="H69" s="13" t="inlineStr">
        <is>
          <t>Istirahat</t>
        </is>
      </c>
    </row>
    <row r="70">
      <c r="A70" s="27" t="inlineStr">
        <is>
          <t>MK00158</t>
        </is>
      </c>
      <c r="B70" s="13" t="inlineStr">
        <is>
          <t>OUT</t>
        </is>
      </c>
      <c r="C70" s="177" t="n">
        <v>46197.41666666666</v>
      </c>
      <c r="D70" s="51" t="n">
        <v>0.4281481481481482</v>
      </c>
      <c r="E70" s="13" t="n">
        <v>628000064</v>
      </c>
      <c r="F70" s="13" t="inlineStr">
        <is>
          <t>Silva Alypia</t>
        </is>
      </c>
      <c r="G70" s="13" t="inlineStr">
        <is>
          <t>Produksi</t>
        </is>
      </c>
      <c r="H70" s="13" t="inlineStr">
        <is>
          <t>Istirahat</t>
        </is>
      </c>
    </row>
    <row r="71">
      <c r="A71" s="27" t="inlineStr">
        <is>
          <t>MK00136</t>
        </is>
      </c>
      <c r="B71" s="13" t="inlineStr">
        <is>
          <t>IN</t>
        </is>
      </c>
      <c r="C71" s="177" t="n">
        <v>46197.41666666666</v>
      </c>
      <c r="D71" s="51" t="n">
        <v>0.4378819444444444</v>
      </c>
      <c r="E71" s="13" t="n">
        <v>528000297</v>
      </c>
      <c r="F71" s="13" t="inlineStr">
        <is>
          <t>Muhamad Budiana</t>
        </is>
      </c>
      <c r="G71" s="13" t="inlineStr">
        <is>
          <t>Produksi</t>
        </is>
      </c>
      <c r="H71" s="13" t="inlineStr">
        <is>
          <t>Istirahat</t>
        </is>
      </c>
    </row>
    <row r="72">
      <c r="A72" s="27" t="inlineStr">
        <is>
          <t>MK00126</t>
        </is>
      </c>
      <c r="B72" s="13" t="inlineStr">
        <is>
          <t>IN</t>
        </is>
      </c>
      <c r="C72" s="177" t="n">
        <v>46197.41666666666</v>
      </c>
      <c r="D72" s="51" t="n">
        <v>0.4422453703703704</v>
      </c>
      <c r="E72" s="13" t="n">
        <v>528000254</v>
      </c>
      <c r="F72" s="13" t="inlineStr">
        <is>
          <t>M. Difa Ramdani</t>
        </is>
      </c>
      <c r="G72" s="13" t="inlineStr">
        <is>
          <t>Produksi</t>
        </is>
      </c>
      <c r="H72" s="13" t="inlineStr">
        <is>
          <t>Istirahat</t>
        </is>
      </c>
    </row>
    <row r="73">
      <c r="A73" s="27" t="inlineStr">
        <is>
          <t>MK00126</t>
        </is>
      </c>
      <c r="B73" s="13" t="inlineStr">
        <is>
          <t>OUT</t>
        </is>
      </c>
      <c r="C73" s="177" t="n">
        <v>46197.41666666666</v>
      </c>
      <c r="D73" s="51" t="n">
        <v>0.4425810185185185</v>
      </c>
      <c r="E73" s="13" t="n">
        <v>528000254</v>
      </c>
      <c r="F73" s="13" t="inlineStr">
        <is>
          <t>M. Difa Ramdani</t>
        </is>
      </c>
      <c r="G73" s="13" t="inlineStr">
        <is>
          <t>Produksi</t>
        </is>
      </c>
      <c r="H73" s="13" t="inlineStr">
        <is>
          <t>Istirahat</t>
        </is>
      </c>
    </row>
    <row r="74">
      <c r="A74" s="27" t="inlineStr">
        <is>
          <t>MK00126</t>
        </is>
      </c>
      <c r="B74" s="13" t="inlineStr">
        <is>
          <t>IN</t>
        </is>
      </c>
      <c r="C74" s="177" t="n">
        <v>46197.41666666666</v>
      </c>
      <c r="D74" s="51" t="n">
        <v>0.4681597222222222</v>
      </c>
      <c r="E74" s="13" t="n">
        <v>528000254</v>
      </c>
      <c r="F74" s="13" t="inlineStr">
        <is>
          <t>M. Difa Ramdani</t>
        </is>
      </c>
      <c r="G74" s="13" t="inlineStr">
        <is>
          <t>Produksi</t>
        </is>
      </c>
    </row>
    <row r="75">
      <c r="A75" s="27" t="inlineStr">
        <is>
          <t>MK00141</t>
        </is>
      </c>
      <c r="B75" s="13" t="inlineStr">
        <is>
          <t>OUT</t>
        </is>
      </c>
      <c r="C75" s="177" t="n">
        <v>46197.41666666666</v>
      </c>
      <c r="D75" s="51" t="n">
        <v>0.4894675925925926</v>
      </c>
      <c r="E75" s="13" t="n">
        <v>528000265</v>
      </c>
      <c r="F75" s="13" t="inlineStr">
        <is>
          <t>Muhammad Haerul Rozikin</t>
        </is>
      </c>
      <c r="G75" s="13" t="inlineStr">
        <is>
          <t>Produksi</t>
        </is>
      </c>
    </row>
    <row r="76">
      <c r="A76" s="27" t="inlineStr">
        <is>
          <t>MK00208</t>
        </is>
      </c>
      <c r="B76" s="13" t="inlineStr">
        <is>
          <t>OUT</t>
        </is>
      </c>
      <c r="C76" s="177" t="n">
        <v>46197.41666666666</v>
      </c>
      <c r="D76" s="51" t="n">
        <v>0.5046064814814815</v>
      </c>
      <c r="E76" s="13" t="n">
        <v>528000282</v>
      </c>
      <c r="F76" s="13" t="inlineStr">
        <is>
          <t>Defa Desfiana</t>
        </is>
      </c>
      <c r="G76" s="13" t="inlineStr">
        <is>
          <t>Produksi</t>
        </is>
      </c>
    </row>
    <row r="77">
      <c r="A77" s="27" t="inlineStr">
        <is>
          <t>MK00126</t>
        </is>
      </c>
      <c r="B77" s="13" t="inlineStr">
        <is>
          <t>OUT</t>
        </is>
      </c>
      <c r="C77" s="177" t="n">
        <v>46197.41666666666</v>
      </c>
      <c r="D77" s="51" t="n">
        <v>0.5298495370370371</v>
      </c>
      <c r="E77" s="13" t="n">
        <v>528000254</v>
      </c>
      <c r="F77" s="13" t="inlineStr">
        <is>
          <t>M. Difa Ramdani</t>
        </is>
      </c>
      <c r="G77" s="13" t="inlineStr">
        <is>
          <t>Produksi</t>
        </is>
      </c>
    </row>
    <row r="78">
      <c r="A78" s="27" t="inlineStr">
        <is>
          <t>MK00158</t>
        </is>
      </c>
      <c r="B78" s="13" t="inlineStr">
        <is>
          <t>IN</t>
        </is>
      </c>
      <c r="C78" s="177" t="n">
        <v>46197.41666666666</v>
      </c>
      <c r="D78" s="51" t="n">
        <v>0.5315740740740741</v>
      </c>
      <c r="E78" s="13" t="n">
        <v>628000064</v>
      </c>
      <c r="F78" s="13" t="inlineStr">
        <is>
          <t>Silva Alypia</t>
        </is>
      </c>
      <c r="G78" s="13" t="inlineStr">
        <is>
          <t>Produksi</t>
        </is>
      </c>
    </row>
    <row r="79">
      <c r="A79" s="27" t="inlineStr">
        <is>
          <t>MK00158</t>
        </is>
      </c>
      <c r="B79" s="13" t="inlineStr">
        <is>
          <t>OUT</t>
        </is>
      </c>
      <c r="C79" s="177" t="n">
        <v>46197.41666666666</v>
      </c>
      <c r="D79" s="51" t="n">
        <v>0.5318055555555555</v>
      </c>
      <c r="E79" s="13" t="n">
        <v>628000064</v>
      </c>
      <c r="F79" s="13" t="inlineStr">
        <is>
          <t>Silva Alypia</t>
        </is>
      </c>
      <c r="G79" s="13" t="inlineStr">
        <is>
          <t>Produksi</t>
        </is>
      </c>
      <c r="H79" s="13" t="inlineStr">
        <is>
          <t>Sholat</t>
        </is>
      </c>
    </row>
    <row r="80">
      <c r="A80" s="27" t="inlineStr">
        <is>
          <t>MK00230</t>
        </is>
      </c>
      <c r="B80" s="13" t="inlineStr">
        <is>
          <t>IN</t>
        </is>
      </c>
      <c r="C80" s="177" t="n">
        <v>46197.41666666666</v>
      </c>
      <c r="D80" s="51" t="n">
        <v>0.5322106481481481</v>
      </c>
      <c r="E80" s="13" t="n">
        <v>528000279</v>
      </c>
      <c r="F80" s="13" t="inlineStr">
        <is>
          <t>Mahdalena Dalfa Riani</t>
        </is>
      </c>
      <c r="G80" s="13" t="inlineStr">
        <is>
          <t>Produksi</t>
        </is>
      </c>
      <c r="H80" s="13" t="inlineStr">
        <is>
          <t>Sholat</t>
        </is>
      </c>
    </row>
    <row r="81">
      <c r="A81" s="27" t="inlineStr">
        <is>
          <t>MK00230</t>
        </is>
      </c>
      <c r="B81" s="13" t="inlineStr">
        <is>
          <t>OUT</t>
        </is>
      </c>
      <c r="C81" s="177" t="n">
        <v>46197.41666666666</v>
      </c>
      <c r="D81" s="51" t="n">
        <v>0.5324074074074074</v>
      </c>
      <c r="E81" s="13" t="n">
        <v>528000279</v>
      </c>
      <c r="F81" s="13" t="inlineStr">
        <is>
          <t>Mahdalena Dalfa Riani</t>
        </is>
      </c>
      <c r="G81" s="13" t="inlineStr">
        <is>
          <t>Produksi</t>
        </is>
      </c>
      <c r="H81" s="13" t="inlineStr">
        <is>
          <t>Sholat</t>
        </is>
      </c>
    </row>
    <row r="82">
      <c r="A82" s="27" t="inlineStr">
        <is>
          <t>MK00126</t>
        </is>
      </c>
      <c r="B82" s="13" t="inlineStr">
        <is>
          <t>IN</t>
        </is>
      </c>
      <c r="C82" s="177" t="n">
        <v>46197.41666666666</v>
      </c>
      <c r="D82" s="51" t="n">
        <v>0.5369675925925926</v>
      </c>
      <c r="E82" s="13" t="n">
        <v>528000254</v>
      </c>
      <c r="F82" s="13" t="inlineStr">
        <is>
          <t>M. Difa Ramdani</t>
        </is>
      </c>
      <c r="G82" s="13" t="inlineStr">
        <is>
          <t>Produksi</t>
        </is>
      </c>
      <c r="H82" s="13" t="inlineStr">
        <is>
          <t>Sholat</t>
        </is>
      </c>
    </row>
    <row r="83">
      <c r="A83" s="27" t="inlineStr">
        <is>
          <t>MK00230</t>
        </is>
      </c>
      <c r="B83" s="13" t="inlineStr">
        <is>
          <t>IN</t>
        </is>
      </c>
      <c r="C83" s="177" t="n">
        <v>46197.41666666666</v>
      </c>
      <c r="D83" s="51" t="n">
        <v>0.538900462962963</v>
      </c>
      <c r="E83" s="13" t="n">
        <v>528000279</v>
      </c>
      <c r="F83" s="13" t="inlineStr">
        <is>
          <t>Mahdalena Dalfa Riani</t>
        </is>
      </c>
      <c r="G83" s="13" t="inlineStr">
        <is>
          <t>Produksi</t>
        </is>
      </c>
      <c r="H83" s="13" t="inlineStr">
        <is>
          <t>Sholat</t>
        </is>
      </c>
    </row>
    <row r="84">
      <c r="A84" s="27" t="inlineStr">
        <is>
          <t>MK00158</t>
        </is>
      </c>
      <c r="B84" s="13" t="inlineStr">
        <is>
          <t>IN</t>
        </is>
      </c>
      <c r="C84" s="177" t="n">
        <v>46197.41666666666</v>
      </c>
      <c r="D84" s="51" t="n">
        <v>0.5392476851851852</v>
      </c>
      <c r="E84" s="13" t="n">
        <v>628000064</v>
      </c>
      <c r="F84" s="13" t="inlineStr">
        <is>
          <t>Silva Alypia</t>
        </is>
      </c>
      <c r="G84" s="13" t="inlineStr">
        <is>
          <t>Produksi</t>
        </is>
      </c>
      <c r="H84" s="13" t="inlineStr">
        <is>
          <t>Sholat</t>
        </is>
      </c>
    </row>
    <row r="85">
      <c r="A85" s="27" t="inlineStr">
        <is>
          <t>MK00154</t>
        </is>
      </c>
      <c r="B85" s="13" t="inlineStr">
        <is>
          <t>OUT</t>
        </is>
      </c>
      <c r="C85" s="177" t="n">
        <v>46197.41666666666</v>
      </c>
      <c r="D85" s="51" t="n">
        <v>0.6810185185185185</v>
      </c>
      <c r="E85" s="13" t="n">
        <v>528000201</v>
      </c>
      <c r="F85" s="13" t="inlineStr">
        <is>
          <t>Zahwa Amelia Choerunissa</t>
        </is>
      </c>
      <c r="G85" s="13" t="inlineStr">
        <is>
          <t>Produksi</t>
        </is>
      </c>
    </row>
    <row r="86">
      <c r="A86" s="27" t="inlineStr">
        <is>
          <t>MK00154</t>
        </is>
      </c>
      <c r="B86" s="13" t="inlineStr">
        <is>
          <t>IN</t>
        </is>
      </c>
      <c r="C86" s="177" t="n">
        <v>46197.41666666666</v>
      </c>
      <c r="D86" s="51" t="n">
        <v>0.6865046296296297</v>
      </c>
      <c r="E86" s="13" t="n">
        <v>528000201</v>
      </c>
      <c r="F86" s="13" t="inlineStr">
        <is>
          <t>Zahwa Amelia Choerunissa</t>
        </is>
      </c>
      <c r="G86" s="13" t="inlineStr">
        <is>
          <t>Produksi</t>
        </is>
      </c>
    </row>
    <row r="87">
      <c r="A87" s="27" t="n">
        <v>328000589</v>
      </c>
      <c r="B87" s="13" t="inlineStr">
        <is>
          <t>IN</t>
        </is>
      </c>
      <c r="C87" s="177" t="n">
        <v>46197.41666666666</v>
      </c>
      <c r="D87" s="51" t="n">
        <v>0.6878587962962963</v>
      </c>
      <c r="E87" s="13" t="n">
        <v>328000589</v>
      </c>
      <c r="F87" s="13" t="inlineStr">
        <is>
          <t>DEA PERMATASARI</t>
        </is>
      </c>
      <c r="G87" s="13" t="inlineStr">
        <is>
          <t>Produksi</t>
        </is>
      </c>
    </row>
    <row r="88">
      <c r="A88" s="27" t="inlineStr">
        <is>
          <t>MK00093</t>
        </is>
      </c>
      <c r="B88" s="13" t="inlineStr">
        <is>
          <t>IN</t>
        </is>
      </c>
      <c r="C88" s="177" t="n">
        <v>46197.41666666666</v>
      </c>
      <c r="D88" s="51" t="n">
        <v>0.7180787037037037</v>
      </c>
      <c r="E88" s="13" t="n">
        <v>528000090</v>
      </c>
      <c r="F88" s="13" t="inlineStr">
        <is>
          <t>Suganda</t>
        </is>
      </c>
      <c r="G88" s="13" t="inlineStr">
        <is>
          <t>Produksi</t>
        </is>
      </c>
      <c r="H88" s="13" t="inlineStr">
        <is>
          <t>Istirahat</t>
        </is>
      </c>
    </row>
    <row r="89">
      <c r="A89" s="27" t="inlineStr">
        <is>
          <t>MK00093</t>
        </is>
      </c>
      <c r="B89" s="13" t="inlineStr">
        <is>
          <t>OUT</t>
        </is>
      </c>
      <c r="C89" s="177" t="n">
        <v>46197.41666666666</v>
      </c>
      <c r="D89" s="51" t="n">
        <v>0.7185069444444444</v>
      </c>
      <c r="E89" s="13" t="n">
        <v>528000090</v>
      </c>
      <c r="F89" s="13" t="inlineStr">
        <is>
          <t>Suganda</t>
        </is>
      </c>
      <c r="G89" s="13" t="inlineStr">
        <is>
          <t>Produksi</t>
        </is>
      </c>
      <c r="H89" s="13" t="inlineStr">
        <is>
          <t>Istirahat</t>
        </is>
      </c>
    </row>
    <row r="90">
      <c r="A90" s="27" t="inlineStr">
        <is>
          <t>MK00250</t>
        </is>
      </c>
      <c r="B90" s="13" t="inlineStr">
        <is>
          <t>IN</t>
        </is>
      </c>
      <c r="C90" s="177" t="n">
        <v>46197.41666666666</v>
      </c>
      <c r="D90" s="51" t="n">
        <v>0.7231481481481481</v>
      </c>
      <c r="E90" s="13" t="n">
        <v>528000274</v>
      </c>
      <c r="F90" s="13" t="inlineStr">
        <is>
          <t>Zepri</t>
        </is>
      </c>
      <c r="G90" s="13" t="inlineStr">
        <is>
          <t>Produksi</t>
        </is>
      </c>
      <c r="H90" s="13" t="inlineStr">
        <is>
          <t>Istirahat</t>
        </is>
      </c>
    </row>
    <row r="91">
      <c r="A91" s="27" t="inlineStr">
        <is>
          <t>MK00250</t>
        </is>
      </c>
      <c r="B91" s="13" t="inlineStr">
        <is>
          <t>OUT</t>
        </is>
      </c>
      <c r="C91" s="177" t="n">
        <v>46197.41666666666</v>
      </c>
      <c r="D91" s="51" t="n">
        <v>0.7233796296296297</v>
      </c>
      <c r="E91" s="13" t="n">
        <v>528000274</v>
      </c>
      <c r="F91" s="13" t="inlineStr">
        <is>
          <t>Zepri</t>
        </is>
      </c>
      <c r="G91" s="13" t="inlineStr">
        <is>
          <t>Produksi</t>
        </is>
      </c>
      <c r="H91" s="13" t="inlineStr">
        <is>
          <t>Istirahat</t>
        </is>
      </c>
    </row>
    <row r="92">
      <c r="A92" s="27" t="inlineStr">
        <is>
          <t>MK00213</t>
        </is>
      </c>
      <c r="B92" s="13" t="inlineStr">
        <is>
          <t>OUT</t>
        </is>
      </c>
      <c r="C92" s="177" t="n">
        <v>46197.41666666666</v>
      </c>
      <c r="D92" s="51" t="n">
        <v>0.7241319444444444</v>
      </c>
      <c r="E92" s="13" t="n">
        <v>528000290</v>
      </c>
      <c r="F92" s="13" t="inlineStr">
        <is>
          <t>Eval Pranata</t>
        </is>
      </c>
      <c r="G92" s="13" t="inlineStr">
        <is>
          <t>Produksi</t>
        </is>
      </c>
      <c r="H92" s="13" t="inlineStr">
        <is>
          <t>Istirahat</t>
        </is>
      </c>
    </row>
    <row r="93">
      <c r="A93" s="27" t="inlineStr">
        <is>
          <t>MK00202</t>
        </is>
      </c>
      <c r="B93" s="13" t="inlineStr">
        <is>
          <t>OUT</t>
        </is>
      </c>
      <c r="C93" s="177" t="n">
        <v>46197.41666666666</v>
      </c>
      <c r="D93" s="51" t="n">
        <v>0.7248958333333333</v>
      </c>
      <c r="E93" s="13" t="n">
        <v>528000241</v>
      </c>
      <c r="F93" s="13" t="inlineStr">
        <is>
          <t>Balia Nurafif Bilah</t>
        </is>
      </c>
      <c r="G93" s="13" t="inlineStr">
        <is>
          <t>Produksi</t>
        </is>
      </c>
      <c r="H93" s="13" t="inlineStr">
        <is>
          <t>Istirahat</t>
        </is>
      </c>
    </row>
    <row r="94">
      <c r="A94" s="27" t="inlineStr">
        <is>
          <t>MK00093</t>
        </is>
      </c>
      <c r="B94" s="13" t="inlineStr">
        <is>
          <t>IN</t>
        </is>
      </c>
      <c r="C94" s="177" t="n">
        <v>46197.41666666666</v>
      </c>
      <c r="D94" s="51" t="n">
        <v>0.7448611111111111</v>
      </c>
      <c r="E94" s="13" t="n">
        <v>528000090</v>
      </c>
      <c r="F94" s="13" t="inlineStr">
        <is>
          <t>Suganda</t>
        </is>
      </c>
      <c r="G94" s="13" t="inlineStr">
        <is>
          <t>Produksi</t>
        </is>
      </c>
    </row>
    <row r="95">
      <c r="A95" s="27" t="inlineStr">
        <is>
          <t>MK00250</t>
        </is>
      </c>
      <c r="B95" s="13" t="inlineStr">
        <is>
          <t>IN</t>
        </is>
      </c>
      <c r="C95" s="177" t="n">
        <v>46197.41666666666</v>
      </c>
      <c r="D95" s="51" t="n">
        <v>0.7466898148148148</v>
      </c>
      <c r="E95" s="13" t="n">
        <v>528000274</v>
      </c>
      <c r="F95" s="13" t="inlineStr">
        <is>
          <t>Zepri</t>
        </is>
      </c>
      <c r="G95" s="13" t="inlineStr">
        <is>
          <t>Produksi</t>
        </is>
      </c>
    </row>
    <row r="96">
      <c r="A96" s="27" t="inlineStr">
        <is>
          <t>MK00213</t>
        </is>
      </c>
      <c r="B96" s="13" t="inlineStr">
        <is>
          <t>IN</t>
        </is>
      </c>
      <c r="C96" s="177" t="n">
        <v>46197.41666666666</v>
      </c>
      <c r="D96" s="51" t="n">
        <v>0.7470486111111111</v>
      </c>
      <c r="E96" s="13" t="n">
        <v>528000290</v>
      </c>
      <c r="F96" s="13" t="inlineStr">
        <is>
          <t>Eval Pranata</t>
        </is>
      </c>
      <c r="G96" s="13" t="inlineStr">
        <is>
          <t>Produksi</t>
        </is>
      </c>
    </row>
    <row r="97">
      <c r="A97" s="27" t="inlineStr">
        <is>
          <t>MK00202</t>
        </is>
      </c>
      <c r="B97" s="13" t="inlineStr">
        <is>
          <t>IN</t>
        </is>
      </c>
      <c r="C97" s="177" t="n">
        <v>46197.41666666666</v>
      </c>
      <c r="D97" s="51" t="n">
        <v>0.7486574074074074</v>
      </c>
      <c r="E97" s="13" t="n">
        <v>528000241</v>
      </c>
      <c r="F97" s="13" t="inlineStr">
        <is>
          <t>Balia Nurafif Bilah</t>
        </is>
      </c>
      <c r="G97" s="13" t="inlineStr">
        <is>
          <t>Produksi</t>
        </is>
      </c>
    </row>
    <row r="98">
      <c r="A98" s="27" t="inlineStr">
        <is>
          <t>MK00090</t>
        </is>
      </c>
      <c r="B98" s="13" t="inlineStr">
        <is>
          <t>OUT</t>
        </is>
      </c>
      <c r="C98" s="177" t="n">
        <v>46197.41666666666</v>
      </c>
      <c r="D98" s="51" t="n">
        <v>0.7579513888888889</v>
      </c>
      <c r="E98" s="13" t="n">
        <v>528000099</v>
      </c>
      <c r="F98" s="13" t="inlineStr">
        <is>
          <t>Siti Nurawaliah</t>
        </is>
      </c>
      <c r="G98" s="13" t="inlineStr">
        <is>
          <t>Produksi</t>
        </is>
      </c>
    </row>
    <row r="99">
      <c r="A99" s="27" t="inlineStr">
        <is>
          <t>MK00181</t>
        </is>
      </c>
      <c r="B99" s="13" t="inlineStr">
        <is>
          <t>IN</t>
        </is>
      </c>
      <c r="C99" s="177" t="n">
        <v>46197.41666666666</v>
      </c>
      <c r="D99" s="51" t="n">
        <v>0.7623958333333334</v>
      </c>
      <c r="E99" s="13" t="n">
        <v>528000299</v>
      </c>
      <c r="F99" s="13" t="inlineStr">
        <is>
          <t>Siti Nurjanah</t>
        </is>
      </c>
      <c r="G99" s="13" t="inlineStr">
        <is>
          <t>Produksi</t>
        </is>
      </c>
    </row>
    <row r="100">
      <c r="A100" s="27" t="inlineStr">
        <is>
          <t>MK00235</t>
        </is>
      </c>
      <c r="B100" s="13" t="inlineStr">
        <is>
          <t>OUT</t>
        </is>
      </c>
      <c r="C100" s="177" t="n">
        <v>46197.41666666666</v>
      </c>
      <c r="D100" s="51" t="n">
        <v>0.7707175925925925</v>
      </c>
      <c r="E100" s="13" t="n">
        <v>528000286</v>
      </c>
      <c r="F100" s="13" t="inlineStr">
        <is>
          <t>Imelda Amelia</t>
        </is>
      </c>
      <c r="G100" s="13" t="inlineStr">
        <is>
          <t>Produksi</t>
        </is>
      </c>
    </row>
    <row r="101">
      <c r="A101" s="27" t="inlineStr">
        <is>
          <t>MK00154</t>
        </is>
      </c>
      <c r="B101" s="13" t="inlineStr">
        <is>
          <t>OUT</t>
        </is>
      </c>
      <c r="C101" s="177" t="n">
        <v>46197.41666666666</v>
      </c>
      <c r="D101" s="51" t="n">
        <v>0.7745601851851852</v>
      </c>
      <c r="E101" s="13" t="n">
        <v>528000201</v>
      </c>
      <c r="F101" s="13" t="inlineStr">
        <is>
          <t>Zahwa Amelia Choerunissa</t>
        </is>
      </c>
      <c r="G101" s="13" t="inlineStr">
        <is>
          <t>Produksi</t>
        </is>
      </c>
    </row>
    <row r="102">
      <c r="A102" s="27" t="inlineStr">
        <is>
          <t>MK00181</t>
        </is>
      </c>
      <c r="B102" s="13" t="inlineStr">
        <is>
          <t>OUT</t>
        </is>
      </c>
      <c r="C102" s="177" t="n">
        <v>46197.41666666666</v>
      </c>
      <c r="D102" s="51" t="n">
        <v>0.7792939814814814</v>
      </c>
      <c r="E102" s="13" t="n">
        <v>528000299</v>
      </c>
      <c r="F102" s="13" t="inlineStr">
        <is>
          <t>Siti Nurjanah</t>
        </is>
      </c>
      <c r="G102" s="13" t="inlineStr">
        <is>
          <t>Produksi</t>
        </is>
      </c>
    </row>
    <row r="103">
      <c r="A103" s="27" t="inlineStr">
        <is>
          <t>MK00090</t>
        </is>
      </c>
      <c r="B103" s="13" t="inlineStr">
        <is>
          <t>IN</t>
        </is>
      </c>
      <c r="C103" s="177" t="n">
        <v>46197.41666666666</v>
      </c>
      <c r="D103" s="51" t="n">
        <v>0.7794907407407408</v>
      </c>
      <c r="E103" s="13" t="n">
        <v>528000099</v>
      </c>
      <c r="F103" s="13" t="inlineStr">
        <is>
          <t>Siti Nurawaliah</t>
        </is>
      </c>
      <c r="G103" s="13" t="inlineStr">
        <is>
          <t>Produksi</t>
        </is>
      </c>
    </row>
    <row r="104">
      <c r="A104" s="27" t="inlineStr">
        <is>
          <t>MK00181</t>
        </is>
      </c>
      <c r="B104" s="13" t="inlineStr">
        <is>
          <t>IN</t>
        </is>
      </c>
      <c r="C104" s="177" t="n">
        <v>46197.41666666666</v>
      </c>
      <c r="D104" s="51" t="n">
        <v>0.7798148148148148</v>
      </c>
      <c r="E104" s="13" t="n">
        <v>528000299</v>
      </c>
      <c r="F104" s="13" t="inlineStr">
        <is>
          <t>Siti Nurjanah</t>
        </is>
      </c>
      <c r="G104" s="13" t="inlineStr">
        <is>
          <t>Produksi</t>
        </is>
      </c>
    </row>
    <row r="105">
      <c r="A105" s="27" t="inlineStr">
        <is>
          <t>MK00235</t>
        </is>
      </c>
      <c r="B105" s="13" t="inlineStr">
        <is>
          <t>IN</t>
        </is>
      </c>
      <c r="C105" s="177" t="n">
        <v>46197.41666666666</v>
      </c>
      <c r="D105" s="51" t="n">
        <v>0.7925925925925926</v>
      </c>
      <c r="E105" s="13" t="n">
        <v>528000286</v>
      </c>
      <c r="F105" s="13" t="inlineStr">
        <is>
          <t>Imelda Amelia</t>
        </is>
      </c>
      <c r="G105" s="13" t="inlineStr">
        <is>
          <t>Produksi</t>
        </is>
      </c>
    </row>
    <row r="106">
      <c r="A106" s="27" t="inlineStr">
        <is>
          <t>MK00154</t>
        </is>
      </c>
      <c r="B106" s="13" t="inlineStr">
        <is>
          <t>IN</t>
        </is>
      </c>
      <c r="C106" s="177" t="n">
        <v>46197.41666666666</v>
      </c>
      <c r="D106" s="51" t="n">
        <v>0.7946412037037037</v>
      </c>
      <c r="E106" s="13" t="n">
        <v>528000201</v>
      </c>
      <c r="F106" s="13" t="inlineStr">
        <is>
          <t>Zahwa Amelia Choerunissa</t>
        </is>
      </c>
      <c r="G106" s="13" t="inlineStr">
        <is>
          <t>Produksi</t>
        </is>
      </c>
    </row>
    <row r="107">
      <c r="A107" s="27" t="inlineStr">
        <is>
          <t>MK00235</t>
        </is>
      </c>
      <c r="B107" s="13" t="inlineStr">
        <is>
          <t>OUT</t>
        </is>
      </c>
      <c r="C107" s="177" t="n">
        <v>46197.41666666666</v>
      </c>
      <c r="D107" s="51" t="n">
        <v>0.7999884259259259</v>
      </c>
      <c r="E107" s="13" t="n">
        <v>528000286</v>
      </c>
      <c r="F107" s="13" t="inlineStr">
        <is>
          <t>Imelda Amelia</t>
        </is>
      </c>
      <c r="G107" s="13" t="inlineStr">
        <is>
          <t>Produksi</t>
        </is>
      </c>
    </row>
    <row r="108">
      <c r="A108" s="27" t="inlineStr">
        <is>
          <t>MK00235</t>
        </is>
      </c>
      <c r="B108" s="13" t="inlineStr">
        <is>
          <t>OUT</t>
        </is>
      </c>
      <c r="C108" s="177" t="n">
        <v>46197.41666666666</v>
      </c>
      <c r="D108" s="51" t="n">
        <v>0.8008796296296297</v>
      </c>
      <c r="E108" s="13" t="n">
        <v>528000286</v>
      </c>
      <c r="F108" s="13" t="inlineStr">
        <is>
          <t>Imelda Amelia</t>
        </is>
      </c>
      <c r="G108" s="13" t="inlineStr">
        <is>
          <t>Produksi</t>
        </is>
      </c>
      <c r="H108" s="13" t="inlineStr">
        <is>
          <t>Pekerjaan</t>
        </is>
      </c>
    </row>
    <row r="109">
      <c r="A109" s="27" t="inlineStr">
        <is>
          <t>MK00235</t>
        </is>
      </c>
      <c r="B109" s="13" t="inlineStr">
        <is>
          <t>IN</t>
        </is>
      </c>
      <c r="C109" s="177" t="n">
        <v>46197.41666666666</v>
      </c>
      <c r="D109" s="51" t="n">
        <v>0.8028587962962963</v>
      </c>
      <c r="E109" s="13" t="n">
        <v>528000286</v>
      </c>
      <c r="F109" s="13" t="inlineStr">
        <is>
          <t>Imelda Amelia</t>
        </is>
      </c>
      <c r="G109" s="13" t="inlineStr">
        <is>
          <t>Produksi</t>
        </is>
      </c>
      <c r="H109" s="13" t="inlineStr">
        <is>
          <t>Toilet</t>
        </is>
      </c>
    </row>
    <row r="110">
      <c r="A110" s="27" t="inlineStr">
        <is>
          <t>MK00235</t>
        </is>
      </c>
      <c r="B110" s="13" t="inlineStr">
        <is>
          <t>OUT</t>
        </is>
      </c>
      <c r="C110" s="177" t="n">
        <v>46197.41666666666</v>
      </c>
      <c r="D110" s="51" t="n">
        <v>0.8036226851851852</v>
      </c>
      <c r="E110" s="13" t="n">
        <v>528000286</v>
      </c>
      <c r="F110" s="13" t="inlineStr">
        <is>
          <t>Imelda Amelia</t>
        </is>
      </c>
      <c r="G110" s="13" t="inlineStr">
        <is>
          <t>Produksi</t>
        </is>
      </c>
      <c r="H110" s="13" t="inlineStr">
        <is>
          <t>Pekerjaan</t>
        </is>
      </c>
    </row>
    <row r="111">
      <c r="A111" s="27" t="inlineStr">
        <is>
          <t>MK00085</t>
        </is>
      </c>
      <c r="B111" s="13" t="inlineStr">
        <is>
          <t>OUT</t>
        </is>
      </c>
      <c r="C111" s="177" t="n">
        <v>46197.41666666666</v>
      </c>
      <c r="D111" s="51" t="n">
        <v>0.8220833333333334</v>
      </c>
      <c r="E111" s="13" t="n">
        <v>528000244</v>
      </c>
      <c r="F111" s="13" t="inlineStr">
        <is>
          <t>Rodian Rifai</t>
        </is>
      </c>
      <c r="G111" s="13" t="inlineStr">
        <is>
          <t>Produksi</t>
        </is>
      </c>
      <c r="H111" s="13" t="inlineStr">
        <is>
          <t>Pekerjaan</t>
        </is>
      </c>
    </row>
    <row r="112">
      <c r="A112" s="27" t="inlineStr">
        <is>
          <t>MK00085</t>
        </is>
      </c>
      <c r="B112" s="13" t="inlineStr">
        <is>
          <t>IN</t>
        </is>
      </c>
      <c r="C112" s="177" t="n">
        <v>46197.41666666666</v>
      </c>
      <c r="D112" s="51" t="n">
        <v>0.8468981481481481</v>
      </c>
      <c r="E112" s="13" t="n">
        <v>528000244</v>
      </c>
      <c r="F112" s="13" t="inlineStr">
        <is>
          <t>Rodian Rifai</t>
        </is>
      </c>
      <c r="G112" s="13" t="inlineStr">
        <is>
          <t>Produksi</t>
        </is>
      </c>
      <c r="H112" s="13" t="inlineStr">
        <is>
          <t>Pekerjaan</t>
        </is>
      </c>
    </row>
    <row r="113">
      <c r="A113" s="27" t="inlineStr">
        <is>
          <t>MK00093</t>
        </is>
      </c>
      <c r="B113" s="13" t="inlineStr">
        <is>
          <t>OUT</t>
        </is>
      </c>
      <c r="C113" s="177" t="n">
        <v>46197.41666666666</v>
      </c>
      <c r="D113" s="51" t="n">
        <v>0.8861226851851852</v>
      </c>
      <c r="E113" s="13" t="n">
        <v>528000090</v>
      </c>
      <c r="F113" s="13" t="inlineStr">
        <is>
          <t>Suganda</t>
        </is>
      </c>
      <c r="G113" s="13" t="inlineStr">
        <is>
          <t>Produksi</t>
        </is>
      </c>
      <c r="H113" s="13" t="inlineStr">
        <is>
          <t>Toilet</t>
        </is>
      </c>
    </row>
    <row r="114">
      <c r="A114" s="27" t="inlineStr">
        <is>
          <t>MK00093</t>
        </is>
      </c>
      <c r="B114" s="13" t="inlineStr">
        <is>
          <t>IN</t>
        </is>
      </c>
      <c r="C114" s="177" t="n">
        <v>46197.41666666666</v>
      </c>
      <c r="D114" s="51" t="n">
        <v>0.8866319444444445</v>
      </c>
      <c r="E114" s="13" t="n">
        <v>528000090</v>
      </c>
      <c r="F114" s="13" t="inlineStr">
        <is>
          <t>Suganda</t>
        </is>
      </c>
      <c r="G114" s="13" t="inlineStr">
        <is>
          <t>Produksi</t>
        </is>
      </c>
      <c r="H114" s="13" t="inlineStr">
        <is>
          <t>Pekerjaan</t>
        </is>
      </c>
    </row>
    <row r="115">
      <c r="A115" s="27" t="inlineStr">
        <is>
          <t>MK00134</t>
        </is>
      </c>
      <c r="B115" s="13" t="inlineStr">
        <is>
          <t>IN</t>
        </is>
      </c>
      <c r="C115" s="177" t="n">
        <v>46198.41666666666</v>
      </c>
      <c r="D115" s="51" t="n">
        <v>0.01096064814814815</v>
      </c>
      <c r="E115" s="13" t="n">
        <v>528000203</v>
      </c>
      <c r="F115" s="13" t="inlineStr">
        <is>
          <t>Yudha Ramdhan Putra</t>
        </is>
      </c>
      <c r="G115" s="13" t="inlineStr">
        <is>
          <t>Produksi</t>
        </is>
      </c>
      <c r="H115" s="13" t="inlineStr">
        <is>
          <t>Toilet</t>
        </is>
      </c>
    </row>
    <row r="116">
      <c r="A116" s="27" t="inlineStr">
        <is>
          <t>MK00203</t>
        </is>
      </c>
      <c r="B116" s="13" t="inlineStr">
        <is>
          <t>OUT</t>
        </is>
      </c>
      <c r="C116" s="177" t="n">
        <v>46198.41666666666</v>
      </c>
      <c r="D116" s="51" t="n">
        <v>0.0258912037037037</v>
      </c>
      <c r="E116" s="13" t="n">
        <v>528000302</v>
      </c>
      <c r="F116" s="13" t="inlineStr">
        <is>
          <t>Henkey gumilar</t>
        </is>
      </c>
      <c r="G116" s="13" t="inlineStr">
        <is>
          <t>Produksi</t>
        </is>
      </c>
      <c r="H116" s="13" t="inlineStr">
        <is>
          <t>Istirahat</t>
        </is>
      </c>
    </row>
    <row r="117">
      <c r="A117" s="27" t="inlineStr">
        <is>
          <t>MK00203</t>
        </is>
      </c>
      <c r="B117" s="13" t="inlineStr">
        <is>
          <t>IN</t>
        </is>
      </c>
      <c r="C117" s="177" t="n">
        <v>46198.41666666666</v>
      </c>
      <c r="D117" s="51" t="n">
        <v>0.0509837962962963</v>
      </c>
      <c r="E117" s="13" t="n">
        <v>528000302</v>
      </c>
      <c r="F117" s="13" t="inlineStr">
        <is>
          <t>Henkey gumilar</t>
        </is>
      </c>
      <c r="G117" s="13" t="inlineStr">
        <is>
          <t>Produksi</t>
        </is>
      </c>
      <c r="H117" s="13" t="inlineStr">
        <is>
          <t>Pekerjaan</t>
        </is>
      </c>
    </row>
    <row r="118">
      <c r="A118" s="27" t="inlineStr">
        <is>
          <t>MK00230</t>
        </is>
      </c>
      <c r="B118" s="13" t="inlineStr">
        <is>
          <t>OUT</t>
        </is>
      </c>
      <c r="C118" s="177" t="n">
        <v>46198.41666666666</v>
      </c>
      <c r="D118" s="51" t="n">
        <v>0.05240740740740741</v>
      </c>
      <c r="E118" s="13" t="n">
        <v>528000299</v>
      </c>
      <c r="F118" s="13" t="inlineStr">
        <is>
          <t>Siti Nurjanah</t>
        </is>
      </c>
      <c r="G118" s="13" t="inlineStr">
        <is>
          <t>Produksi</t>
        </is>
      </c>
      <c r="H118" s="13" t="inlineStr">
        <is>
          <t>Istirahat</t>
        </is>
      </c>
    </row>
    <row r="119">
      <c r="A119" s="27" t="inlineStr">
        <is>
          <t>MK00221</t>
        </is>
      </c>
      <c r="B119" s="13" t="inlineStr">
        <is>
          <t>IN</t>
        </is>
      </c>
      <c r="C119" s="177" t="n">
        <v>46198.41666666666</v>
      </c>
      <c r="D119" s="51" t="n">
        <v>0.05866898148148148</v>
      </c>
      <c r="E119" s="13" t="n">
        <v>628000061</v>
      </c>
      <c r="F119" s="13" t="inlineStr">
        <is>
          <t>Nayla Fadillah Exwantoro</t>
        </is>
      </c>
      <c r="G119" s="13" t="inlineStr">
        <is>
          <t>Produksi</t>
        </is>
      </c>
      <c r="H119" s="13" t="inlineStr">
        <is>
          <t>Istirahat</t>
        </is>
      </c>
    </row>
    <row r="120">
      <c r="A120" s="27" t="inlineStr">
        <is>
          <t>MK00221</t>
        </is>
      </c>
      <c r="B120" s="13" t="inlineStr">
        <is>
          <t>OUT</t>
        </is>
      </c>
      <c r="C120" s="177" t="n">
        <v>46198.41666666666</v>
      </c>
      <c r="D120" s="51" t="n">
        <v>0.0590162037037037</v>
      </c>
      <c r="E120" s="13" t="n">
        <v>628000061</v>
      </c>
      <c r="F120" s="13" t="inlineStr">
        <is>
          <t>Nayla Fadillah Exwantoro</t>
        </is>
      </c>
      <c r="G120" s="13" t="inlineStr">
        <is>
          <t>Produksi</t>
        </is>
      </c>
      <c r="H120" s="13" t="inlineStr">
        <is>
          <t>Istirahat</t>
        </is>
      </c>
    </row>
    <row r="121">
      <c r="A121" s="27" t="inlineStr">
        <is>
          <t>MK00230</t>
        </is>
      </c>
      <c r="B121" s="13" t="inlineStr">
        <is>
          <t>IN</t>
        </is>
      </c>
      <c r="C121" s="177" t="n">
        <v>46198.41666666666</v>
      </c>
      <c r="D121" s="51" t="n">
        <v>0.06152777777777778</v>
      </c>
      <c r="E121" s="13" t="n">
        <v>528000299</v>
      </c>
      <c r="F121" s="13" t="inlineStr">
        <is>
          <t>Siti Nurjanah</t>
        </is>
      </c>
      <c r="G121" s="13" t="inlineStr">
        <is>
          <t>Produksi</t>
        </is>
      </c>
      <c r="H121" s="13" t="inlineStr">
        <is>
          <t>Pekerjaan</t>
        </is>
      </c>
    </row>
    <row r="122">
      <c r="A122" s="27" t="inlineStr">
        <is>
          <t>MK00230</t>
        </is>
      </c>
      <c r="B122" s="13" t="inlineStr">
        <is>
          <t>OUT</t>
        </is>
      </c>
      <c r="C122" s="177" t="n">
        <v>46198.41666666666</v>
      </c>
      <c r="D122" s="51" t="n">
        <v>0.06179398148148148</v>
      </c>
      <c r="E122" s="13" t="n">
        <v>528000299</v>
      </c>
      <c r="F122" s="13" t="inlineStr">
        <is>
          <t>Siti Nurjanah</t>
        </is>
      </c>
      <c r="G122" s="13" t="inlineStr">
        <is>
          <t>Produksi</t>
        </is>
      </c>
      <c r="H122" s="13" t="inlineStr">
        <is>
          <t>Istirahat</t>
        </is>
      </c>
    </row>
    <row r="123">
      <c r="A123" s="27" t="inlineStr">
        <is>
          <t>MK00230</t>
        </is>
      </c>
      <c r="B123" s="13" t="inlineStr">
        <is>
          <t>IN</t>
        </is>
      </c>
      <c r="C123" s="177" t="n">
        <v>46198.41666666666</v>
      </c>
      <c r="D123" s="51" t="n">
        <v>0.07101851851851852</v>
      </c>
      <c r="E123" s="13" t="n">
        <v>528000299</v>
      </c>
      <c r="F123" s="13" t="inlineStr">
        <is>
          <t>Siti Nurjanah</t>
        </is>
      </c>
      <c r="G123" s="13" t="inlineStr">
        <is>
          <t>Produksi</t>
        </is>
      </c>
      <c r="H123" s="13" t="inlineStr">
        <is>
          <t>Pekerjaan</t>
        </is>
      </c>
    </row>
    <row r="124">
      <c r="A124" s="27" t="inlineStr">
        <is>
          <t>MK00221</t>
        </is>
      </c>
      <c r="B124" s="13" t="inlineStr">
        <is>
          <t>IN</t>
        </is>
      </c>
      <c r="C124" s="177" t="n">
        <v>46198.41666666666</v>
      </c>
      <c r="D124" s="51" t="n">
        <v>0.08003472222222222</v>
      </c>
      <c r="E124" s="13" t="n">
        <v>628000061</v>
      </c>
      <c r="F124" s="13" t="inlineStr">
        <is>
          <t>Nayla Fadillah Exwantoro</t>
        </is>
      </c>
      <c r="G124" s="13" t="inlineStr">
        <is>
          <t>Produksi</t>
        </is>
      </c>
      <c r="H124" s="13" t="inlineStr">
        <is>
          <t>Pekerjaan</t>
        </is>
      </c>
    </row>
    <row r="125">
      <c r="A125" s="27" t="inlineStr">
        <is>
          <t>MK00154</t>
        </is>
      </c>
      <c r="B125" s="13" t="inlineStr">
        <is>
          <t>OUT</t>
        </is>
      </c>
      <c r="C125" s="177" t="n">
        <v>46198.41666666666</v>
      </c>
      <c r="D125" s="51" t="n">
        <v>0.355787037037037</v>
      </c>
      <c r="E125" s="13" t="n">
        <v>628000064</v>
      </c>
      <c r="F125" s="13" t="inlineStr">
        <is>
          <t>Silva Alypia</t>
        </is>
      </c>
      <c r="G125" s="13" t="inlineStr">
        <is>
          <t>Produksi</t>
        </is>
      </c>
    </row>
    <row r="126">
      <c r="A126" s="27" t="inlineStr">
        <is>
          <t>MK00154</t>
        </is>
      </c>
      <c r="B126" s="13" t="inlineStr">
        <is>
          <t>IN</t>
        </is>
      </c>
      <c r="C126" s="177" t="n">
        <v>46198.41666666666</v>
      </c>
      <c r="D126" s="51" t="n">
        <v>0.3577430555555556</v>
      </c>
      <c r="E126" s="13" t="n">
        <v>628000064</v>
      </c>
      <c r="F126" s="13" t="inlineStr">
        <is>
          <t>Silva Alypia</t>
        </is>
      </c>
      <c r="G126" s="13" t="inlineStr">
        <is>
          <t>Produksi</t>
        </is>
      </c>
      <c r="H126" s="13" t="inlineStr">
        <is>
          <t>Toilet</t>
        </is>
      </c>
    </row>
    <row r="127">
      <c r="A127" s="27" t="inlineStr">
        <is>
          <t>MK00221</t>
        </is>
      </c>
      <c r="B127" s="13" t="inlineStr">
        <is>
          <t>OUT</t>
        </is>
      </c>
      <c r="C127" s="177" t="n">
        <v>46198.41666666666</v>
      </c>
      <c r="D127" s="51" t="n">
        <v>0.3920717592592592</v>
      </c>
      <c r="E127" s="13" t="n">
        <v>528000090</v>
      </c>
      <c r="F127" s="13" t="inlineStr">
        <is>
          <t>Suganda</t>
        </is>
      </c>
      <c r="G127" s="13" t="inlineStr">
        <is>
          <t>Produksi</t>
        </is>
      </c>
    </row>
    <row r="128">
      <c r="A128" s="27" t="inlineStr">
        <is>
          <t>MK00221</t>
        </is>
      </c>
      <c r="B128" s="13" t="inlineStr">
        <is>
          <t>IN</t>
        </is>
      </c>
      <c r="C128" s="177" t="n">
        <v>46198.41666666666</v>
      </c>
      <c r="D128" s="51" t="n">
        <v>0.3929398148148148</v>
      </c>
      <c r="E128" s="13" t="n">
        <v>528000090</v>
      </c>
      <c r="F128" s="13" t="inlineStr">
        <is>
          <t>Suganda</t>
        </is>
      </c>
      <c r="G128" s="13" t="inlineStr">
        <is>
          <t>Produksi</t>
        </is>
      </c>
      <c r="H128" s="13" t="inlineStr">
        <is>
          <t>Pekerjaan</t>
        </is>
      </c>
    </row>
    <row r="129">
      <c r="A129" s="27" t="n">
        <v>328000540</v>
      </c>
      <c r="B129" s="13" t="inlineStr">
        <is>
          <t>IN</t>
        </is>
      </c>
      <c r="C129" s="177" t="n">
        <v>46198.41666666666</v>
      </c>
      <c r="D129" s="51" t="n">
        <v>0.3950925925925926</v>
      </c>
      <c r="E129" s="13" t="n">
        <v>328000540</v>
      </c>
      <c r="F129" s="13" t="inlineStr">
        <is>
          <t>RAJESTY SUCIPTA MAHESA DWI</t>
        </is>
      </c>
      <c r="G129" s="13" t="inlineStr">
        <is>
          <t>Produksi</t>
        </is>
      </c>
      <c r="H129" s="13" t="inlineStr">
        <is>
          <t>Toilet</t>
        </is>
      </c>
    </row>
    <row r="130">
      <c r="A130" s="27" t="inlineStr">
        <is>
          <t>MK00221</t>
        </is>
      </c>
      <c r="B130" s="13" t="inlineStr">
        <is>
          <t>OUT</t>
        </is>
      </c>
      <c r="C130" s="177" t="n">
        <v>46198.41666666666</v>
      </c>
      <c r="D130" s="51" t="n">
        <v>0.4034143518518519</v>
      </c>
      <c r="E130" s="13" t="n">
        <v>528000090</v>
      </c>
      <c r="F130" s="13" t="inlineStr">
        <is>
          <t>Suganda</t>
        </is>
      </c>
      <c r="G130" s="13" t="inlineStr">
        <is>
          <t>Produksi</t>
        </is>
      </c>
      <c r="H130" s="13" t="inlineStr">
        <is>
          <t>Pekerjaan</t>
        </is>
      </c>
    </row>
    <row r="131">
      <c r="A131" s="27" t="inlineStr">
        <is>
          <t>MK00221</t>
        </is>
      </c>
      <c r="B131" s="13" t="inlineStr">
        <is>
          <t>IN</t>
        </is>
      </c>
      <c r="C131" s="177" t="n">
        <v>46198.41666666666</v>
      </c>
      <c r="D131" s="51" t="n">
        <v>0.4048263888888889</v>
      </c>
      <c r="E131" s="13" t="n">
        <v>528000090</v>
      </c>
      <c r="F131" s="13" t="inlineStr">
        <is>
          <t>Suganda</t>
        </is>
      </c>
      <c r="G131" s="13" t="inlineStr">
        <is>
          <t>Produksi</t>
        </is>
      </c>
      <c r="H131" s="13" t="inlineStr">
        <is>
          <t>Istirahat</t>
        </is>
      </c>
    </row>
    <row r="132">
      <c r="A132" s="27" t="inlineStr">
        <is>
          <t>MK00221</t>
        </is>
      </c>
      <c r="B132" s="13" t="inlineStr">
        <is>
          <t>OUT</t>
        </is>
      </c>
      <c r="C132" s="177" t="n">
        <v>46198.41666666666</v>
      </c>
      <c r="D132" s="51" t="n">
        <v>0.4051041666666667</v>
      </c>
      <c r="E132" s="13" t="n">
        <v>528000090</v>
      </c>
      <c r="F132" s="13" t="inlineStr">
        <is>
          <t>Suganda</t>
        </is>
      </c>
      <c r="G132" s="13" t="inlineStr">
        <is>
          <t>Produksi</t>
        </is>
      </c>
      <c r="H132" s="13" t="inlineStr">
        <is>
          <t>Istirahat</t>
        </is>
      </c>
    </row>
    <row r="133">
      <c r="A133" s="27" t="inlineStr">
        <is>
          <t>MK00221</t>
        </is>
      </c>
      <c r="B133" s="13" t="inlineStr">
        <is>
          <t>IN</t>
        </is>
      </c>
      <c r="C133" s="177" t="n">
        <v>46198.41666666666</v>
      </c>
      <c r="D133" s="51" t="n">
        <v>0.4055555555555556</v>
      </c>
      <c r="E133" s="13" t="n">
        <v>528000090</v>
      </c>
      <c r="F133" s="13" t="inlineStr">
        <is>
          <t>Suganda</t>
        </is>
      </c>
      <c r="G133" s="13" t="inlineStr">
        <is>
          <t>Produksi</t>
        </is>
      </c>
      <c r="H133" s="13" t="inlineStr">
        <is>
          <t>Pekerjaan</t>
        </is>
      </c>
    </row>
    <row r="134">
      <c r="A134" s="27" t="inlineStr">
        <is>
          <t>MK00154</t>
        </is>
      </c>
      <c r="B134" s="13" t="inlineStr">
        <is>
          <t>OUT</t>
        </is>
      </c>
      <c r="C134" s="177" t="n">
        <v>46198.41666666666</v>
      </c>
      <c r="D134" s="51" t="n">
        <v>0.4610069444444445</v>
      </c>
      <c r="E134" s="13" t="n">
        <v>628000064</v>
      </c>
      <c r="F134" s="13" t="inlineStr">
        <is>
          <t>Silva Alypia</t>
        </is>
      </c>
      <c r="G134" s="13" t="inlineStr">
        <is>
          <t>Produksi</t>
        </is>
      </c>
      <c r="H134" s="13" t="inlineStr">
        <is>
          <t>Toilet</t>
        </is>
      </c>
    </row>
    <row r="135">
      <c r="A135" s="27" t="inlineStr">
        <is>
          <t>MK00154</t>
        </is>
      </c>
      <c r="B135" s="13" t="inlineStr">
        <is>
          <t>IN</t>
        </is>
      </c>
      <c r="C135" s="177" t="n">
        <v>46198.41666666666</v>
      </c>
      <c r="D135" s="51" t="n">
        <v>0.4624652777777778</v>
      </c>
      <c r="E135" s="13" t="n">
        <v>628000064</v>
      </c>
      <c r="F135" s="13" t="inlineStr">
        <is>
          <t>Silva Alypia</t>
        </is>
      </c>
      <c r="G135" s="13" t="inlineStr">
        <is>
          <t>Produksi</t>
        </is>
      </c>
      <c r="H135" s="13" t="inlineStr">
        <is>
          <t>Toilet</t>
        </is>
      </c>
    </row>
    <row r="136">
      <c r="A136" s="27" t="inlineStr">
        <is>
          <t>MK00154</t>
        </is>
      </c>
      <c r="B136" s="13" t="inlineStr">
        <is>
          <t>OUT</t>
        </is>
      </c>
      <c r="C136" s="177" t="n">
        <v>46198.41666666666</v>
      </c>
      <c r="D136" s="51" t="n">
        <v>0.488900462962963</v>
      </c>
      <c r="E136" s="13" t="n">
        <v>628000064</v>
      </c>
      <c r="F136" s="13" t="inlineStr">
        <is>
          <t>Silva Alypia</t>
        </is>
      </c>
      <c r="G136" s="13" t="inlineStr">
        <is>
          <t>Produksi</t>
        </is>
      </c>
      <c r="H136" s="13" t="inlineStr">
        <is>
          <t>Istirahat</t>
        </is>
      </c>
    </row>
    <row r="137">
      <c r="A137" s="27" t="inlineStr">
        <is>
          <t>MK00154</t>
        </is>
      </c>
      <c r="B137" s="13" t="inlineStr">
        <is>
          <t>IN</t>
        </is>
      </c>
      <c r="C137" s="177" t="n">
        <v>46198.41666666666</v>
      </c>
      <c r="D137" s="51" t="n">
        <v>0.489212962962963</v>
      </c>
      <c r="E137" s="13" t="n">
        <v>628000064</v>
      </c>
      <c r="F137" s="13" t="inlineStr">
        <is>
          <t>Silva Alypia</t>
        </is>
      </c>
      <c r="G137" s="13" t="inlineStr">
        <is>
          <t>Produksi</t>
        </is>
      </c>
      <c r="H137" s="13" t="inlineStr">
        <is>
          <t>Istirahat</t>
        </is>
      </c>
    </row>
    <row r="138">
      <c r="A138" s="27" t="inlineStr">
        <is>
          <t>MK00085</t>
        </is>
      </c>
      <c r="B138" s="13" t="inlineStr">
        <is>
          <t>OUT</t>
        </is>
      </c>
      <c r="C138" s="177" t="n">
        <v>46198.41666666666</v>
      </c>
      <c r="D138" s="51" t="n">
        <v>0.4895601851851852</v>
      </c>
      <c r="E138" s="13" t="n">
        <v>528000279</v>
      </c>
      <c r="F138" s="13" t="inlineStr">
        <is>
          <t>Mahdalena Dalfa Riani</t>
        </is>
      </c>
      <c r="G138" s="13" t="inlineStr">
        <is>
          <t>Produksi</t>
        </is>
      </c>
      <c r="H138" s="13" t="inlineStr">
        <is>
          <t>Istirahat</t>
        </is>
      </c>
    </row>
    <row r="139">
      <c r="A139" s="27" t="inlineStr">
        <is>
          <t>MK00085</t>
        </is>
      </c>
      <c r="B139" s="13" t="inlineStr">
        <is>
          <t>IN</t>
        </is>
      </c>
      <c r="C139" s="177" t="n">
        <v>46198.41666666666</v>
      </c>
      <c r="D139" s="51" t="n">
        <v>0.5086111111111111</v>
      </c>
      <c r="E139" s="13" t="n">
        <v>528000279</v>
      </c>
      <c r="F139" s="13" t="inlineStr">
        <is>
          <t>Mahdalena Dalfa Riani</t>
        </is>
      </c>
      <c r="G139" s="13" t="inlineStr">
        <is>
          <t>Produksi</t>
        </is>
      </c>
      <c r="H139" s="13" t="inlineStr">
        <is>
          <t>Istirahat</t>
        </is>
      </c>
    </row>
    <row r="140">
      <c r="A140" s="27" t="inlineStr">
        <is>
          <t>MK00154</t>
        </is>
      </c>
      <c r="B140" s="13" t="inlineStr">
        <is>
          <t>OUT</t>
        </is>
      </c>
      <c r="C140" s="177" t="n">
        <v>46198.41666666666</v>
      </c>
      <c r="D140" s="51" t="n">
        <v>0.5092361111111111</v>
      </c>
      <c r="E140" s="13" t="n">
        <v>628000064</v>
      </c>
      <c r="F140" s="13" t="inlineStr">
        <is>
          <t>Silva Alypia</t>
        </is>
      </c>
      <c r="G140" s="13" t="inlineStr">
        <is>
          <t>Produksi</t>
        </is>
      </c>
      <c r="H140" s="13" t="inlineStr">
        <is>
          <t>Istirahat</t>
        </is>
      </c>
    </row>
    <row r="141">
      <c r="A141" s="27" t="inlineStr">
        <is>
          <t>MK00090</t>
        </is>
      </c>
      <c r="B141" s="13" t="inlineStr">
        <is>
          <t>OUT</t>
        </is>
      </c>
      <c r="C141" s="177" t="n">
        <v>46198.41666666666</v>
      </c>
      <c r="D141" s="51" t="n">
        <v>0.5106597222222222</v>
      </c>
      <c r="E141" s="13" t="n">
        <v>528000300</v>
      </c>
      <c r="F141" s="13" t="inlineStr">
        <is>
          <t>Lia pitaloka</t>
        </is>
      </c>
      <c r="G141" s="13" t="inlineStr">
        <is>
          <t>Produksi</t>
        </is>
      </c>
    </row>
    <row r="142">
      <c r="A142" s="27" t="inlineStr">
        <is>
          <t>MK00154</t>
        </is>
      </c>
      <c r="B142" s="13" t="inlineStr">
        <is>
          <t>IN</t>
        </is>
      </c>
      <c r="C142" s="177" t="n">
        <v>46198.41666666666</v>
      </c>
      <c r="D142" s="51" t="n">
        <v>0.5467824074074074</v>
      </c>
      <c r="E142" s="13" t="n">
        <v>628000064</v>
      </c>
      <c r="F142" s="13" t="inlineStr">
        <is>
          <t>Silva Alypia</t>
        </is>
      </c>
      <c r="G142" s="13" t="inlineStr">
        <is>
          <t>Produksi</t>
        </is>
      </c>
      <c r="H142" s="13" t="inlineStr">
        <is>
          <t>Sholat</t>
        </is>
      </c>
    </row>
    <row r="143">
      <c r="A143" s="27" t="inlineStr">
        <is>
          <t>MK00145</t>
        </is>
      </c>
      <c r="B143" s="13" t="inlineStr">
        <is>
          <t>OUT</t>
        </is>
      </c>
      <c r="C143" s="177" t="n">
        <v>46198.41666666666</v>
      </c>
      <c r="D143" s="51" t="n">
        <v>0.714224537037037</v>
      </c>
      <c r="E143" s="13" t="n">
        <v>528000241</v>
      </c>
      <c r="F143" s="13" t="inlineStr">
        <is>
          <t>Balia Nurafif Bilah</t>
        </is>
      </c>
      <c r="G143" s="13" t="inlineStr">
        <is>
          <t>Produksi</t>
        </is>
      </c>
      <c r="H143" s="13" t="inlineStr">
        <is>
          <t>Istirahat</t>
        </is>
      </c>
    </row>
    <row r="144">
      <c r="A144" s="27" t="inlineStr">
        <is>
          <t>MK00156</t>
        </is>
      </c>
      <c r="B144" s="13" t="inlineStr">
        <is>
          <t>OUT</t>
        </is>
      </c>
      <c r="C144" s="177" t="n">
        <v>46198.41666666666</v>
      </c>
      <c r="D144" s="51" t="n">
        <v>0.724386574074074</v>
      </c>
      <c r="E144" s="13" t="n">
        <v>528000274</v>
      </c>
      <c r="F144" s="13" t="inlineStr">
        <is>
          <t>Zepri</t>
        </is>
      </c>
      <c r="G144" s="13" t="inlineStr">
        <is>
          <t>Produksi</t>
        </is>
      </c>
      <c r="H144" s="13" t="inlineStr">
        <is>
          <t>Istirahat</t>
        </is>
      </c>
    </row>
    <row r="145">
      <c r="A145" s="27" t="inlineStr">
        <is>
          <t>MK00141</t>
        </is>
      </c>
      <c r="B145" s="13" t="inlineStr">
        <is>
          <t>OUT</t>
        </is>
      </c>
      <c r="C145" s="177" t="n">
        <v>46198.41666666666</v>
      </c>
      <c r="D145" s="51" t="n">
        <v>0.7246064814814814</v>
      </c>
      <c r="E145" s="13" t="n">
        <v>528000290</v>
      </c>
      <c r="F145" s="13" t="inlineStr">
        <is>
          <t>Eval Pranata</t>
        </is>
      </c>
      <c r="G145" s="13" t="inlineStr">
        <is>
          <t>Produksi</t>
        </is>
      </c>
      <c r="H145" s="13" t="inlineStr">
        <is>
          <t>Istirahat</t>
        </is>
      </c>
    </row>
    <row r="146">
      <c r="A146" s="27" t="inlineStr">
        <is>
          <t>MK00145</t>
        </is>
      </c>
      <c r="B146" s="13" t="inlineStr">
        <is>
          <t>IN</t>
        </is>
      </c>
      <c r="C146" s="177" t="n">
        <v>46198.41666666666</v>
      </c>
      <c r="D146" s="51" t="n">
        <v>0.7412384259259259</v>
      </c>
      <c r="E146" s="13" t="n">
        <v>528000241</v>
      </c>
      <c r="F146" s="13" t="inlineStr">
        <is>
          <t>Balia Nurafif Bilah</t>
        </is>
      </c>
      <c r="G146" s="13" t="inlineStr">
        <is>
          <t>Produksi</t>
        </is>
      </c>
      <c r="H146" s="13" t="inlineStr">
        <is>
          <t>Istirahat</t>
        </is>
      </c>
    </row>
    <row r="147">
      <c r="A147" s="27" t="inlineStr">
        <is>
          <t>MK00141</t>
        </is>
      </c>
      <c r="B147" s="13" t="inlineStr">
        <is>
          <t>IN</t>
        </is>
      </c>
      <c r="C147" s="177" t="n">
        <v>46198.41666666666</v>
      </c>
      <c r="D147" s="51" t="n">
        <v>0.7428009259259259</v>
      </c>
      <c r="E147" s="13" t="n">
        <v>528000290</v>
      </c>
      <c r="F147" s="13" t="inlineStr">
        <is>
          <t>Eval Pranata</t>
        </is>
      </c>
      <c r="G147" s="13" t="inlineStr">
        <is>
          <t>Produksi</t>
        </is>
      </c>
      <c r="H147" s="13" t="inlineStr">
        <is>
          <t>Istirahat</t>
        </is>
      </c>
    </row>
    <row r="148">
      <c r="A148" s="27" t="inlineStr">
        <is>
          <t>MK00156</t>
        </is>
      </c>
      <c r="B148" s="13" t="inlineStr">
        <is>
          <t>IN</t>
        </is>
      </c>
      <c r="C148" s="177" t="n">
        <v>46198.41666666666</v>
      </c>
      <c r="D148" s="51" t="n">
        <v>0.744537037037037</v>
      </c>
      <c r="E148" s="13" t="n">
        <v>528000274</v>
      </c>
      <c r="F148" s="13" t="inlineStr">
        <is>
          <t>Zepri</t>
        </is>
      </c>
      <c r="G148" s="13" t="inlineStr">
        <is>
          <t>Produksi</t>
        </is>
      </c>
      <c r="H148" s="13" t="inlineStr">
        <is>
          <t>Istirahat</t>
        </is>
      </c>
    </row>
    <row r="149">
      <c r="A149" s="27" t="inlineStr">
        <is>
          <t>MK00204</t>
        </is>
      </c>
      <c r="B149" s="13" t="inlineStr">
        <is>
          <t>OUT</t>
        </is>
      </c>
      <c r="C149" s="177" t="n">
        <v>46198.41666666666</v>
      </c>
      <c r="D149" s="51" t="n">
        <v>0.7770138888888889</v>
      </c>
      <c r="E149" s="13" t="n">
        <v>528000099</v>
      </c>
      <c r="F149" s="13" t="inlineStr">
        <is>
          <t>Siti Nurawaliah</t>
        </is>
      </c>
      <c r="G149" s="13" t="inlineStr">
        <is>
          <t>Produksi</t>
        </is>
      </c>
      <c r="H149" s="13" t="inlineStr">
        <is>
          <t>Istirahat</t>
        </is>
      </c>
    </row>
    <row r="150">
      <c r="A150" s="27" t="inlineStr">
        <is>
          <t>MK00230</t>
        </is>
      </c>
      <c r="B150" s="13" t="inlineStr">
        <is>
          <t>OUT</t>
        </is>
      </c>
      <c r="C150" s="177" t="n">
        <v>46198.41666666666</v>
      </c>
      <c r="D150" s="51" t="n">
        <v>0.777349537037037</v>
      </c>
      <c r="E150" s="13" t="n">
        <v>528000201</v>
      </c>
      <c r="F150" s="13" t="inlineStr">
        <is>
          <t>Zahwa Amelia Choerunissa</t>
        </is>
      </c>
      <c r="G150" s="13" t="inlineStr">
        <is>
          <t>Produksi</t>
        </is>
      </c>
      <c r="H150" s="13" t="inlineStr">
        <is>
          <t>Istirahat</t>
        </is>
      </c>
    </row>
    <row r="151">
      <c r="A151" s="27" t="inlineStr">
        <is>
          <t>MK00185</t>
        </is>
      </c>
      <c r="B151" s="13" t="inlineStr">
        <is>
          <t>IN</t>
        </is>
      </c>
      <c r="C151" s="177" t="n">
        <v>46198.41666666666</v>
      </c>
      <c r="D151" s="51" t="n">
        <v>0.7775925925925926</v>
      </c>
      <c r="E151" s="13" t="n">
        <v>528000286</v>
      </c>
      <c r="F151" s="13" t="inlineStr">
        <is>
          <t>Imelda Amelia</t>
        </is>
      </c>
      <c r="G151" s="13" t="inlineStr">
        <is>
          <t>Produksi</t>
        </is>
      </c>
      <c r="H151" s="13" t="inlineStr">
        <is>
          <t>Istirahat</t>
        </is>
      </c>
    </row>
    <row r="152">
      <c r="A152" s="27" t="inlineStr">
        <is>
          <t>MK00185</t>
        </is>
      </c>
      <c r="B152" s="13" t="inlineStr">
        <is>
          <t>OUT</t>
        </is>
      </c>
      <c r="C152" s="177" t="n">
        <v>46198.41666666666</v>
      </c>
      <c r="D152" s="51" t="n">
        <v>0.7778240740740741</v>
      </c>
      <c r="E152" s="13" t="n">
        <v>528000286</v>
      </c>
      <c r="F152" s="13" t="inlineStr">
        <is>
          <t>Imelda Amelia</t>
        </is>
      </c>
      <c r="G152" s="13" t="inlineStr">
        <is>
          <t>Produksi</t>
        </is>
      </c>
      <c r="H152" s="13" t="inlineStr">
        <is>
          <t>Istirahat</t>
        </is>
      </c>
    </row>
    <row r="153">
      <c r="A153" s="27" t="inlineStr">
        <is>
          <t>MK00204</t>
        </is>
      </c>
      <c r="B153" s="13" t="inlineStr">
        <is>
          <t>IN</t>
        </is>
      </c>
      <c r="C153" s="177" t="n">
        <v>46198.41666666666</v>
      </c>
      <c r="D153" s="51" t="n">
        <v>0.7915972222222222</v>
      </c>
      <c r="E153" s="13" t="n">
        <v>528000099</v>
      </c>
      <c r="F153" s="13" t="inlineStr">
        <is>
          <t>Siti Nurawaliah</t>
        </is>
      </c>
      <c r="G153" s="13" t="inlineStr">
        <is>
          <t>Produksi</t>
        </is>
      </c>
      <c r="H153" s="13" t="inlineStr">
        <is>
          <t>Istirahat</t>
        </is>
      </c>
    </row>
    <row r="154">
      <c r="A154" s="27" t="inlineStr">
        <is>
          <t>MK00230</t>
        </is>
      </c>
      <c r="B154" s="13" t="inlineStr">
        <is>
          <t>IN</t>
        </is>
      </c>
      <c r="C154" s="177" t="n">
        <v>46198.41666666666</v>
      </c>
      <c r="D154" s="51" t="n">
        <v>0.7919560185185185</v>
      </c>
      <c r="E154" s="13" t="n">
        <v>528000201</v>
      </c>
      <c r="F154" s="13" t="inlineStr">
        <is>
          <t>Zahwa Amelia Choerunissa</t>
        </is>
      </c>
      <c r="G154" s="13" t="inlineStr">
        <is>
          <t>Produksi</t>
        </is>
      </c>
      <c r="H154" s="13" t="inlineStr">
        <is>
          <t>Istirahat</t>
        </is>
      </c>
    </row>
    <row r="155">
      <c r="A155" s="27" t="inlineStr">
        <is>
          <t>MK00185</t>
        </is>
      </c>
      <c r="B155" s="13" t="inlineStr">
        <is>
          <t>IN</t>
        </is>
      </c>
      <c r="C155" s="177" t="n">
        <v>46198.41666666666</v>
      </c>
      <c r="D155" s="51" t="n">
        <v>0.7926273148148149</v>
      </c>
      <c r="E155" s="13" t="n">
        <v>528000286</v>
      </c>
      <c r="F155" s="13" t="inlineStr">
        <is>
          <t>Imelda Amelia</t>
        </is>
      </c>
      <c r="G155" s="13" t="inlineStr">
        <is>
          <t>Produksi</t>
        </is>
      </c>
      <c r="H155" s="13" t="inlineStr">
        <is>
          <t>Istirahat</t>
        </is>
      </c>
    </row>
    <row r="156">
      <c r="A156" s="27" t="inlineStr">
        <is>
          <t>MK00148</t>
        </is>
      </c>
      <c r="B156" s="13" t="inlineStr">
        <is>
          <t>OUT</t>
        </is>
      </c>
      <c r="C156" s="177" t="n">
        <v>46198.41666666666</v>
      </c>
      <c r="D156" s="51" t="n">
        <v>0.8019444444444445</v>
      </c>
      <c r="E156" s="13" t="n">
        <v>528000244</v>
      </c>
      <c r="F156" s="13" t="inlineStr">
        <is>
          <t>Rodian Rifai</t>
        </is>
      </c>
      <c r="G156" s="13" t="inlineStr">
        <is>
          <t>Produksi</t>
        </is>
      </c>
      <c r="H156" s="13" t="inlineStr">
        <is>
          <t>Pekerjaan</t>
        </is>
      </c>
    </row>
    <row r="157">
      <c r="A157" s="27" t="inlineStr">
        <is>
          <t>MK00148</t>
        </is>
      </c>
      <c r="B157" s="13" t="inlineStr">
        <is>
          <t>IN</t>
        </is>
      </c>
      <c r="C157" s="177" t="n">
        <v>46198.41666666666</v>
      </c>
      <c r="D157" s="51" t="n">
        <v>0.8021759259259259</v>
      </c>
      <c r="E157" s="13" t="n">
        <v>528000244</v>
      </c>
      <c r="F157" s="13" t="inlineStr">
        <is>
          <t>Rodian Rifai</t>
        </is>
      </c>
      <c r="G157" s="13" t="inlineStr">
        <is>
          <t>Produksi</t>
        </is>
      </c>
      <c r="H157" s="13" t="inlineStr">
        <is>
          <t>Pekerjaan</t>
        </is>
      </c>
    </row>
    <row r="158">
      <c r="A158" s="27" t="inlineStr">
        <is>
          <t>MK00199</t>
        </is>
      </c>
      <c r="B158" s="13" t="inlineStr">
        <is>
          <t>OUT</t>
        </is>
      </c>
      <c r="C158" s="177" t="n">
        <v>46199.41666666666</v>
      </c>
      <c r="D158" s="51" t="n">
        <v>0.02315972222222222</v>
      </c>
      <c r="E158" s="13" t="n">
        <v>528000098</v>
      </c>
      <c r="F158" s="13" t="inlineStr">
        <is>
          <t>Edi Junaedi</t>
        </is>
      </c>
      <c r="G158" s="13" t="inlineStr">
        <is>
          <t>Produksi</t>
        </is>
      </c>
      <c r="H158" s="13" t="inlineStr">
        <is>
          <t>Istirahat</t>
        </is>
      </c>
    </row>
    <row r="159">
      <c r="A159" s="27" t="inlineStr">
        <is>
          <t>MK00221</t>
        </is>
      </c>
      <c r="B159" s="13" t="inlineStr">
        <is>
          <t>OUT</t>
        </is>
      </c>
      <c r="C159" s="177" t="n">
        <v>46199.41666666666</v>
      </c>
      <c r="D159" s="51" t="n">
        <v>0.02556712962962963</v>
      </c>
      <c r="E159" s="13" t="n">
        <v>528000299</v>
      </c>
      <c r="F159" s="13" t="inlineStr">
        <is>
          <t>Siti Nurjanah</t>
        </is>
      </c>
      <c r="G159" s="13" t="inlineStr">
        <is>
          <t>Produksi</t>
        </is>
      </c>
      <c r="H159" s="13" t="inlineStr">
        <is>
          <t>Istirahat</t>
        </is>
      </c>
    </row>
    <row r="160">
      <c r="A160" s="27" t="inlineStr">
        <is>
          <t>MK00221</t>
        </is>
      </c>
      <c r="B160" s="13" t="inlineStr">
        <is>
          <t>IN</t>
        </is>
      </c>
      <c r="C160" s="177" t="n">
        <v>46199.41666666666</v>
      </c>
      <c r="D160" s="51" t="n">
        <v>0.04550925925925926</v>
      </c>
      <c r="E160" s="13" t="n">
        <v>528000299</v>
      </c>
      <c r="F160" s="13" t="inlineStr">
        <is>
          <t>Siti Nurjanah</t>
        </is>
      </c>
      <c r="G160" s="13" t="inlineStr">
        <is>
          <t>Produksi</t>
        </is>
      </c>
      <c r="H160" s="13" t="inlineStr">
        <is>
          <t>Pekerjaan</t>
        </is>
      </c>
    </row>
    <row r="161">
      <c r="A161" s="27" t="inlineStr">
        <is>
          <t>MK00213</t>
        </is>
      </c>
      <c r="B161" s="13" t="inlineStr">
        <is>
          <t>OUT</t>
        </is>
      </c>
      <c r="C161" s="177" t="n">
        <v>46199.41666666666</v>
      </c>
      <c r="D161" s="51" t="n">
        <v>0.04758101851851852</v>
      </c>
      <c r="E161" s="13" t="n">
        <v>528000298</v>
      </c>
      <c r="F161" s="13" t="inlineStr">
        <is>
          <t>Desta Cahaya Pratama</t>
        </is>
      </c>
      <c r="G161" s="13" t="inlineStr">
        <is>
          <t>Produksi</t>
        </is>
      </c>
      <c r="H161" s="13" t="inlineStr">
        <is>
          <t>Istirahat</t>
        </is>
      </c>
    </row>
    <row r="162">
      <c r="A162" s="27" t="inlineStr">
        <is>
          <t>MK00199</t>
        </is>
      </c>
      <c r="B162" s="13" t="inlineStr">
        <is>
          <t>IN</t>
        </is>
      </c>
      <c r="C162" s="177" t="n">
        <v>46199.41666666666</v>
      </c>
      <c r="D162" s="51" t="n">
        <v>0.04962962962962963</v>
      </c>
      <c r="E162" s="13" t="n">
        <v>528000098</v>
      </c>
      <c r="F162" s="13" t="inlineStr">
        <is>
          <t>Edi Junaedi</t>
        </is>
      </c>
      <c r="G162" s="13" t="inlineStr">
        <is>
          <t>Produksi</t>
        </is>
      </c>
      <c r="H162" s="13" t="inlineStr">
        <is>
          <t>Pekerjaan</t>
        </is>
      </c>
    </row>
    <row r="163">
      <c r="A163" s="27" t="inlineStr">
        <is>
          <t>MK00143</t>
        </is>
      </c>
      <c r="B163" s="13" t="inlineStr">
        <is>
          <t>OUT</t>
        </is>
      </c>
      <c r="C163" s="177" t="n">
        <v>46199.41666666666</v>
      </c>
      <c r="D163" s="51" t="n">
        <v>0.053125</v>
      </c>
      <c r="E163" s="13" t="n">
        <v>528000302</v>
      </c>
      <c r="F163" s="13" t="inlineStr">
        <is>
          <t>Henkey gumilar</t>
        </is>
      </c>
      <c r="G163" s="13" t="inlineStr">
        <is>
          <t>Produksi</t>
        </is>
      </c>
      <c r="H163" s="13" t="inlineStr">
        <is>
          <t>Istirahat</t>
        </is>
      </c>
    </row>
    <row r="164">
      <c r="A164" s="27" t="inlineStr">
        <is>
          <t>MK00181</t>
        </is>
      </c>
      <c r="B164" s="13" t="inlineStr">
        <is>
          <t>OUT</t>
        </is>
      </c>
      <c r="C164" s="177" t="n">
        <v>46199.41666666666</v>
      </c>
      <c r="D164" s="51" t="n">
        <v>0.05636574074074074</v>
      </c>
      <c r="E164" s="13" t="n">
        <v>528000305</v>
      </c>
      <c r="F164" s="13" t="inlineStr">
        <is>
          <t>Puji Puspita</t>
        </is>
      </c>
      <c r="G164" s="13" t="inlineStr">
        <is>
          <t>Produksi</t>
        </is>
      </c>
      <c r="H164" s="13" t="inlineStr">
        <is>
          <t>Istirahat</t>
        </is>
      </c>
    </row>
    <row r="165">
      <c r="A165" s="27" t="inlineStr">
        <is>
          <t>MK00213</t>
        </is>
      </c>
      <c r="B165" s="13" t="inlineStr">
        <is>
          <t>IN</t>
        </is>
      </c>
      <c r="C165" s="177" t="n">
        <v>46199.41666666666</v>
      </c>
      <c r="D165" s="51" t="n">
        <v>0.07472222222222222</v>
      </c>
      <c r="E165" s="13" t="n">
        <v>528000298</v>
      </c>
      <c r="F165" s="13" t="inlineStr">
        <is>
          <t>Desta Cahaya Pratama</t>
        </is>
      </c>
      <c r="G165" s="13" t="inlineStr">
        <is>
          <t>Produksi</t>
        </is>
      </c>
      <c r="H165" s="13" t="inlineStr">
        <is>
          <t>Istirahat</t>
        </is>
      </c>
    </row>
    <row r="166">
      <c r="A166" s="27" t="inlineStr">
        <is>
          <t>MK00143</t>
        </is>
      </c>
      <c r="B166" s="13" t="inlineStr">
        <is>
          <t>IN</t>
        </is>
      </c>
      <c r="C166" s="177" t="n">
        <v>46199.41666666666</v>
      </c>
      <c r="D166" s="51" t="n">
        <v>0.07664351851851851</v>
      </c>
      <c r="E166" s="13" t="n">
        <v>528000302</v>
      </c>
      <c r="F166" s="13" t="inlineStr">
        <is>
          <t>Henkey gumilar</t>
        </is>
      </c>
      <c r="G166" s="13" t="inlineStr">
        <is>
          <t>Produksi</t>
        </is>
      </c>
      <c r="H166" s="13" t="inlineStr">
        <is>
          <t>Pekerjaan</t>
        </is>
      </c>
    </row>
    <row r="167">
      <c r="A167" s="27" t="inlineStr">
        <is>
          <t>MK00181</t>
        </is>
      </c>
      <c r="B167" s="13" t="inlineStr">
        <is>
          <t>IN</t>
        </is>
      </c>
      <c r="C167" s="177" t="n">
        <v>46199.41666666666</v>
      </c>
      <c r="D167" s="51" t="n">
        <v>0.08175925925925925</v>
      </c>
      <c r="E167" s="13" t="n">
        <v>528000305</v>
      </c>
      <c r="F167" s="13" t="inlineStr">
        <is>
          <t>Puji Puspita</t>
        </is>
      </c>
      <c r="G167" s="13" t="inlineStr">
        <is>
          <t>Produksi</t>
        </is>
      </c>
      <c r="H167" s="13" t="inlineStr">
        <is>
          <t>Pekerjaan</t>
        </is>
      </c>
    </row>
    <row r="168">
      <c r="A168" s="27" t="inlineStr">
        <is>
          <t>MK00082</t>
        </is>
      </c>
      <c r="B168" s="13" t="inlineStr">
        <is>
          <t>IN</t>
        </is>
      </c>
      <c r="C168" s="177" t="n">
        <v>46199.41666666666</v>
      </c>
      <c r="D168" s="51" t="n">
        <v>0.100474537037037</v>
      </c>
      <c r="E168" s="13" t="n">
        <v>528000270</v>
      </c>
      <c r="F168" s="13" t="inlineStr">
        <is>
          <t>Febri Najmudin</t>
        </is>
      </c>
      <c r="G168" s="13" t="inlineStr">
        <is>
          <t>Produksi</t>
        </is>
      </c>
      <c r="H168" s="13" t="inlineStr">
        <is>
          <t>Istirahat</t>
        </is>
      </c>
    </row>
    <row r="169">
      <c r="A169" s="27" t="inlineStr">
        <is>
          <t>MK00082</t>
        </is>
      </c>
      <c r="B169" s="13" t="inlineStr">
        <is>
          <t>OUT</t>
        </is>
      </c>
      <c r="C169" s="177" t="n">
        <v>46199.41666666666</v>
      </c>
      <c r="D169" s="51" t="n">
        <v>0.1255324074074074</v>
      </c>
      <c r="E169" s="13" t="n">
        <v>528000270</v>
      </c>
      <c r="F169" s="13" t="inlineStr">
        <is>
          <t>Febri Najmudin</t>
        </is>
      </c>
      <c r="G169" s="13" t="inlineStr">
        <is>
          <t>Produksi</t>
        </is>
      </c>
      <c r="H169" s="13" t="inlineStr">
        <is>
          <t>Pekerjaan</t>
        </is>
      </c>
    </row>
    <row r="170">
      <c r="A170" s="27" t="inlineStr">
        <is>
          <t>MK00082</t>
        </is>
      </c>
      <c r="B170" s="13" t="inlineStr">
        <is>
          <t>IN</t>
        </is>
      </c>
      <c r="C170" s="177" t="n">
        <v>46199.41666666666</v>
      </c>
      <c r="D170" s="51" t="n">
        <v>0.1259490740740741</v>
      </c>
      <c r="E170" s="13" t="n">
        <v>528000270</v>
      </c>
      <c r="F170" s="13" t="inlineStr">
        <is>
          <t>Febri Najmudin</t>
        </is>
      </c>
      <c r="G170" s="13" t="inlineStr">
        <is>
          <t>Produksi</t>
        </is>
      </c>
      <c r="H170" s="13" t="inlineStr">
        <is>
          <t>Pekerjaan</t>
        </is>
      </c>
    </row>
    <row r="171">
      <c r="A171" s="27" t="inlineStr">
        <is>
          <t>MK00136</t>
        </is>
      </c>
      <c r="B171" s="13" t="inlineStr">
        <is>
          <t>OUT</t>
        </is>
      </c>
      <c r="C171" s="177" t="n">
        <v>46199.41666666666</v>
      </c>
      <c r="D171" s="51" t="n">
        <v>0.3112847222222222</v>
      </c>
      <c r="E171" s="13" t="n">
        <v>528000300</v>
      </c>
      <c r="F171" s="13" t="inlineStr">
        <is>
          <t>Lia pitaloka</t>
        </is>
      </c>
      <c r="G171" s="13" t="inlineStr">
        <is>
          <t>Produksi</t>
        </is>
      </c>
      <c r="H171" s="13" t="inlineStr">
        <is>
          <t>Toilet</t>
        </is>
      </c>
    </row>
    <row r="172">
      <c r="A172" s="27" t="inlineStr">
        <is>
          <t>MK00136</t>
        </is>
      </c>
      <c r="B172" s="13" t="inlineStr">
        <is>
          <t>IN</t>
        </is>
      </c>
      <c r="C172" s="177" t="n">
        <v>46199.41666666666</v>
      </c>
      <c r="D172" s="51" t="n">
        <v>0.3159953703703703</v>
      </c>
      <c r="E172" s="13" t="n">
        <v>528000300</v>
      </c>
      <c r="F172" s="13" t="inlineStr">
        <is>
          <t>Lia pitaloka</t>
        </is>
      </c>
      <c r="G172" s="13" t="inlineStr">
        <is>
          <t>Produksi</t>
        </is>
      </c>
      <c r="H172" s="13" t="inlineStr">
        <is>
          <t>Toilet</t>
        </is>
      </c>
    </row>
    <row r="173">
      <c r="A173" s="27" t="inlineStr">
        <is>
          <t>MK00136</t>
        </is>
      </c>
      <c r="B173" s="13" t="inlineStr">
        <is>
          <t>OUT</t>
        </is>
      </c>
      <c r="C173" s="177" t="n">
        <v>46199.41666666666</v>
      </c>
      <c r="D173" s="51" t="n">
        <v>0.3831712962962963</v>
      </c>
      <c r="E173" s="13" t="n">
        <v>528000300</v>
      </c>
      <c r="F173" s="13" t="inlineStr">
        <is>
          <t>Lia pitaloka</t>
        </is>
      </c>
      <c r="G173" s="13" t="inlineStr">
        <is>
          <t>Produksi</t>
        </is>
      </c>
      <c r="H173" s="13" t="inlineStr">
        <is>
          <t>Istirahat</t>
        </is>
      </c>
    </row>
    <row r="174">
      <c r="A174" s="27" t="inlineStr">
        <is>
          <t>MK00138</t>
        </is>
      </c>
      <c r="B174" s="13" t="inlineStr">
        <is>
          <t>OUT</t>
        </is>
      </c>
      <c r="C174" s="177" t="n">
        <v>46199.41666666666</v>
      </c>
      <c r="D174" s="51" t="n">
        <v>0.3854861111111111</v>
      </c>
      <c r="E174" s="13" t="n">
        <v>528000063</v>
      </c>
      <c r="F174" s="13" t="inlineStr">
        <is>
          <t>Muhamad Ripki Pebrian</t>
        </is>
      </c>
      <c r="G174" s="13" t="inlineStr">
        <is>
          <t>Produksi</t>
        </is>
      </c>
    </row>
    <row r="175">
      <c r="A175" s="27" t="inlineStr">
        <is>
          <t>MK00136</t>
        </is>
      </c>
      <c r="B175" s="13" t="inlineStr">
        <is>
          <t>IN</t>
        </is>
      </c>
      <c r="C175" s="177" t="n">
        <v>46199.41666666666</v>
      </c>
      <c r="D175" s="51" t="n">
        <v>0.4047106481481482</v>
      </c>
      <c r="E175" s="13" t="n">
        <v>528000300</v>
      </c>
      <c r="F175" s="13" t="inlineStr">
        <is>
          <t>Lia pitaloka</t>
        </is>
      </c>
      <c r="G175" s="13" t="inlineStr">
        <is>
          <t>Produksi</t>
        </is>
      </c>
      <c r="H175" s="13" t="inlineStr">
        <is>
          <t>Istirahat</t>
        </is>
      </c>
    </row>
    <row r="176">
      <c r="A176" s="27" t="inlineStr">
        <is>
          <t>MK00134</t>
        </is>
      </c>
      <c r="B176" s="13" t="inlineStr">
        <is>
          <t>OUT</t>
        </is>
      </c>
      <c r="C176" s="177" t="n">
        <v>46199.41666666666</v>
      </c>
      <c r="D176" s="51" t="n">
        <v>0.4077662037037037</v>
      </c>
      <c r="E176" s="13" t="n">
        <v>528000254</v>
      </c>
      <c r="F176" s="13" t="inlineStr">
        <is>
          <t>M. Difa Ramdani</t>
        </is>
      </c>
      <c r="G176" s="13" t="inlineStr">
        <is>
          <t>Produksi</t>
        </is>
      </c>
      <c r="H176" s="13" t="inlineStr">
        <is>
          <t>Istirahat</t>
        </is>
      </c>
    </row>
    <row r="177">
      <c r="A177" s="27" t="inlineStr">
        <is>
          <t>MK00158</t>
        </is>
      </c>
      <c r="B177" s="13" t="inlineStr">
        <is>
          <t>OUT</t>
        </is>
      </c>
      <c r="C177" s="177" t="n">
        <v>46199.41666666666</v>
      </c>
      <c r="D177" s="51" t="n">
        <v>0.4091319444444445</v>
      </c>
      <c r="E177" s="13" t="n">
        <v>528000349</v>
      </c>
      <c r="F177" s="13" t="inlineStr">
        <is>
          <t>Anas Abdul Fatah</t>
        </is>
      </c>
      <c r="G177" s="13" t="inlineStr">
        <is>
          <t>Produksi</t>
        </is>
      </c>
      <c r="H177" s="13" t="inlineStr">
        <is>
          <t>Istirahat</t>
        </is>
      </c>
    </row>
    <row r="178">
      <c r="A178" s="27" t="inlineStr">
        <is>
          <t>MK00158</t>
        </is>
      </c>
      <c r="B178" s="13" t="inlineStr">
        <is>
          <t>OUT</t>
        </is>
      </c>
      <c r="C178" s="177" t="n">
        <v>46199.41666666666</v>
      </c>
      <c r="D178" s="51" t="n">
        <v>0.4097685185185185</v>
      </c>
      <c r="E178" s="13" t="n">
        <v>528000349</v>
      </c>
      <c r="F178" s="13" t="inlineStr">
        <is>
          <t>Anas Abdul Fatah</t>
        </is>
      </c>
      <c r="G178" s="13" t="inlineStr">
        <is>
          <t>Produksi</t>
        </is>
      </c>
      <c r="H178" s="13" t="inlineStr">
        <is>
          <t>Istirahat</t>
        </is>
      </c>
    </row>
    <row r="179">
      <c r="A179" s="27" t="inlineStr">
        <is>
          <t>MK00151</t>
        </is>
      </c>
      <c r="B179" s="13" t="inlineStr">
        <is>
          <t>OUT</t>
        </is>
      </c>
      <c r="C179" s="177" t="n">
        <v>46199.41666666666</v>
      </c>
      <c r="D179" s="51" t="n">
        <v>0.4143981481481481</v>
      </c>
      <c r="E179" s="13" t="n">
        <v>528000297</v>
      </c>
      <c r="F179" s="13" t="inlineStr">
        <is>
          <t>Muhamad Budiana</t>
        </is>
      </c>
      <c r="G179" s="13" t="inlineStr">
        <is>
          <t>Produksi</t>
        </is>
      </c>
      <c r="H179" s="13" t="inlineStr">
        <is>
          <t>Istirahat</t>
        </is>
      </c>
    </row>
    <row r="180">
      <c r="A180" s="27" t="inlineStr">
        <is>
          <t>MK00185</t>
        </is>
      </c>
      <c r="B180" s="13" t="inlineStr">
        <is>
          <t>OUT</t>
        </is>
      </c>
      <c r="C180" s="177" t="n">
        <v>46199.41666666666</v>
      </c>
      <c r="D180" s="51" t="n">
        <v>0.4147453703703703</v>
      </c>
      <c r="E180" s="13" t="n">
        <v>528000279</v>
      </c>
      <c r="F180" s="13" t="inlineStr">
        <is>
          <t>Mahdalena Dalfa Riani</t>
        </is>
      </c>
      <c r="G180" s="13" t="inlineStr">
        <is>
          <t>Produksi</t>
        </is>
      </c>
      <c r="H180" s="13" t="inlineStr">
        <is>
          <t>Istirahat</t>
        </is>
      </c>
    </row>
    <row r="181">
      <c r="A181" s="27" t="inlineStr">
        <is>
          <t>MK00230</t>
        </is>
      </c>
      <c r="B181" s="13" t="inlineStr">
        <is>
          <t>OUT</t>
        </is>
      </c>
      <c r="C181" s="177" t="n">
        <v>46199.41666666666</v>
      </c>
      <c r="D181" s="51" t="n">
        <v>0.4151041666666667</v>
      </c>
      <c r="E181" s="13" t="n">
        <v>628000064</v>
      </c>
      <c r="F181" s="13" t="inlineStr">
        <is>
          <t>Silva Alypia</t>
        </is>
      </c>
      <c r="G181" s="13" t="inlineStr">
        <is>
          <t>Produksi</t>
        </is>
      </c>
      <c r="H181" s="13" t="inlineStr">
        <is>
          <t>Istirahat</t>
        </is>
      </c>
    </row>
    <row r="182">
      <c r="A182" s="27" t="inlineStr">
        <is>
          <t>MK00148</t>
        </is>
      </c>
      <c r="B182" s="13" t="inlineStr">
        <is>
          <t>OUT</t>
        </is>
      </c>
      <c r="C182" s="177" t="n">
        <v>46199.41666666666</v>
      </c>
      <c r="D182" s="51" t="n">
        <v>0.4296064814814815</v>
      </c>
      <c r="E182" s="13" t="n">
        <v>528000248</v>
      </c>
      <c r="F182" s="13" t="inlineStr">
        <is>
          <t>Roka Jaya Salka Mulya</t>
        </is>
      </c>
      <c r="G182" s="13" t="inlineStr">
        <is>
          <t>Produksi</t>
        </is>
      </c>
      <c r="H182" s="13" t="inlineStr">
        <is>
          <t>Istirahat</t>
        </is>
      </c>
    </row>
    <row r="183">
      <c r="A183" s="27" t="inlineStr">
        <is>
          <t>MK00134</t>
        </is>
      </c>
      <c r="B183" s="13" t="inlineStr">
        <is>
          <t>IN</t>
        </is>
      </c>
      <c r="C183" s="177" t="n">
        <v>46199.41666666666</v>
      </c>
      <c r="D183" s="51" t="n">
        <v>0.4329282407407408</v>
      </c>
      <c r="E183" s="13" t="n">
        <v>528000254</v>
      </c>
      <c r="F183" s="13" t="inlineStr">
        <is>
          <t>M. Difa Ramdani</t>
        </is>
      </c>
      <c r="G183" s="13" t="inlineStr">
        <is>
          <t>Produksi</t>
        </is>
      </c>
      <c r="H183" s="13" t="inlineStr">
        <is>
          <t>Istirahat</t>
        </is>
      </c>
    </row>
    <row r="184">
      <c r="A184" s="27" t="inlineStr">
        <is>
          <t>MK00185</t>
        </is>
      </c>
      <c r="B184" s="13" t="inlineStr">
        <is>
          <t>IN</t>
        </is>
      </c>
      <c r="C184" s="177" t="n">
        <v>46199.41666666666</v>
      </c>
      <c r="D184" s="51" t="n">
        <v>0.4376273148148148</v>
      </c>
      <c r="E184" s="13" t="n">
        <v>528000279</v>
      </c>
      <c r="F184" s="13" t="inlineStr">
        <is>
          <t>Mahdalena Dalfa Riani</t>
        </is>
      </c>
      <c r="G184" s="13" t="inlineStr">
        <is>
          <t>Produksi</t>
        </is>
      </c>
      <c r="H184" s="13" t="inlineStr">
        <is>
          <t>Istirahat</t>
        </is>
      </c>
    </row>
    <row r="185">
      <c r="A185" s="27" t="inlineStr">
        <is>
          <t>MK00230</t>
        </is>
      </c>
      <c r="B185" s="13" t="inlineStr">
        <is>
          <t>IN</t>
        </is>
      </c>
      <c r="C185" s="177" t="n">
        <v>46199.41666666666</v>
      </c>
      <c r="D185" s="51" t="n">
        <v>0.4384375</v>
      </c>
      <c r="E185" s="13" t="n">
        <v>628000064</v>
      </c>
      <c r="F185" s="13" t="inlineStr">
        <is>
          <t>Silva Alypia</t>
        </is>
      </c>
      <c r="G185" s="13" t="inlineStr">
        <is>
          <t>Produksi</t>
        </is>
      </c>
      <c r="H185" s="13" t="inlineStr">
        <is>
          <t>Istirahat</t>
        </is>
      </c>
    </row>
    <row r="186">
      <c r="A186" s="27" t="inlineStr">
        <is>
          <t>MK00151</t>
        </is>
      </c>
      <c r="B186" s="13" t="inlineStr">
        <is>
          <t>IN</t>
        </is>
      </c>
      <c r="C186" s="177" t="n">
        <v>46199.41666666666</v>
      </c>
      <c r="D186" s="51" t="n">
        <v>0.4426851851851852</v>
      </c>
      <c r="E186" s="13" t="n">
        <v>528000297</v>
      </c>
      <c r="F186" s="13" t="inlineStr">
        <is>
          <t>Muhamad Budiana</t>
        </is>
      </c>
      <c r="G186" s="13" t="inlineStr">
        <is>
          <t>Produksi</t>
        </is>
      </c>
      <c r="H186" s="13" t="inlineStr">
        <is>
          <t>Istirahat</t>
        </is>
      </c>
    </row>
    <row r="187">
      <c r="A187" s="27" t="inlineStr">
        <is>
          <t>MK00148</t>
        </is>
      </c>
      <c r="B187" s="13" t="inlineStr">
        <is>
          <t>IN</t>
        </is>
      </c>
      <c r="C187" s="177" t="n">
        <v>46199.41666666666</v>
      </c>
      <c r="D187" s="51" t="n">
        <v>0.4527893518518519</v>
      </c>
      <c r="E187" s="13" t="n">
        <v>528000248</v>
      </c>
      <c r="F187" s="13" t="inlineStr">
        <is>
          <t>Roka Jaya Salka Mulya</t>
        </is>
      </c>
      <c r="G187" s="13" t="inlineStr">
        <is>
          <t>Produksi</t>
        </is>
      </c>
      <c r="H187" s="13" t="inlineStr">
        <is>
          <t>Istirahat</t>
        </is>
      </c>
    </row>
    <row r="188">
      <c r="A188" s="27" t="inlineStr">
        <is>
          <t>MK00090</t>
        </is>
      </c>
      <c r="B188" s="13" t="inlineStr">
        <is>
          <t>OUT</t>
        </is>
      </c>
      <c r="C188" s="177" t="n">
        <v>46199.41666666666</v>
      </c>
      <c r="D188" s="51" t="n">
        <v>0.454212962962963</v>
      </c>
      <c r="E188" s="13" t="n">
        <v>528000288</v>
      </c>
      <c r="F188" s="13" t="inlineStr">
        <is>
          <t>Dede gunawan</t>
        </is>
      </c>
      <c r="G188" s="13" t="inlineStr">
        <is>
          <t>Produksi</t>
        </is>
      </c>
      <c r="H188" s="13" t="inlineStr">
        <is>
          <t>Istirahat</t>
        </is>
      </c>
    </row>
    <row r="189">
      <c r="A189" s="27" t="inlineStr">
        <is>
          <t>MK00138</t>
        </is>
      </c>
      <c r="B189" s="13" t="inlineStr">
        <is>
          <t>OUT</t>
        </is>
      </c>
      <c r="C189" s="177" t="n">
        <v>46199.41666666666</v>
      </c>
      <c r="D189" s="51" t="n">
        <v>0.4763078703703704</v>
      </c>
      <c r="E189" s="13" t="n">
        <v>528000063</v>
      </c>
      <c r="F189" s="13" t="inlineStr">
        <is>
          <t>Muhamad Ripki Pebrian</t>
        </is>
      </c>
      <c r="G189" s="13" t="inlineStr">
        <is>
          <t>Produksi</t>
        </is>
      </c>
      <c r="H189" s="13" t="inlineStr">
        <is>
          <t>Toilet</t>
        </is>
      </c>
    </row>
    <row r="190">
      <c r="A190" s="27" t="inlineStr">
        <is>
          <t>MK00090</t>
        </is>
      </c>
      <c r="B190" s="13" t="inlineStr">
        <is>
          <t>IN</t>
        </is>
      </c>
      <c r="C190" s="177" t="n">
        <v>46199.41666666666</v>
      </c>
      <c r="D190" s="51" t="n">
        <v>0.4771875</v>
      </c>
      <c r="E190" s="13" t="n">
        <v>528000288</v>
      </c>
      <c r="F190" s="13" t="inlineStr">
        <is>
          <t>Dede gunawan</t>
        </is>
      </c>
      <c r="G190" s="13" t="inlineStr">
        <is>
          <t>Produksi</t>
        </is>
      </c>
      <c r="H190" s="13" t="inlineStr">
        <is>
          <t>Istirahat</t>
        </is>
      </c>
    </row>
    <row r="191">
      <c r="A191" s="27" t="inlineStr">
        <is>
          <t>MK00230</t>
        </is>
      </c>
      <c r="B191" s="13" t="inlineStr">
        <is>
          <t>OUT</t>
        </is>
      </c>
      <c r="C191" s="177" t="n">
        <v>46199.41666666666</v>
      </c>
      <c r="D191" s="51" t="n">
        <v>0.4790625</v>
      </c>
      <c r="E191" s="13" t="n">
        <v>628000064</v>
      </c>
      <c r="F191" s="13" t="inlineStr">
        <is>
          <t>Silva Alypia</t>
        </is>
      </c>
      <c r="G191" s="13" t="inlineStr">
        <is>
          <t>Produksi</t>
        </is>
      </c>
      <c r="H191" s="13" t="inlineStr">
        <is>
          <t>Toilet</t>
        </is>
      </c>
    </row>
    <row r="192">
      <c r="A192" s="27" t="inlineStr">
        <is>
          <t>MK00230</t>
        </is>
      </c>
      <c r="B192" s="13" t="inlineStr">
        <is>
          <t>IN</t>
        </is>
      </c>
      <c r="C192" s="177" t="n">
        <v>46199.41666666666</v>
      </c>
      <c r="D192" s="51" t="n">
        <v>0.4819212962962963</v>
      </c>
      <c r="E192" s="13" t="n">
        <v>628000064</v>
      </c>
      <c r="F192" s="13" t="inlineStr">
        <is>
          <t>Silva Alypia</t>
        </is>
      </c>
      <c r="G192" s="13" t="inlineStr">
        <is>
          <t>Produksi</t>
        </is>
      </c>
      <c r="H192" s="13" t="inlineStr">
        <is>
          <t>Toilet</t>
        </is>
      </c>
    </row>
    <row r="193">
      <c r="A193" s="27" t="inlineStr">
        <is>
          <t>MK00138</t>
        </is>
      </c>
      <c r="B193" s="13" t="inlineStr">
        <is>
          <t>IN</t>
        </is>
      </c>
      <c r="C193" s="177" t="n">
        <v>46199.41666666666</v>
      </c>
      <c r="D193" s="51" t="n">
        <v>0.4848726851851852</v>
      </c>
      <c r="E193" s="13" t="n">
        <v>528000063</v>
      </c>
      <c r="F193" s="13" t="inlineStr">
        <is>
          <t>Muhamad Ripki Pebrian</t>
        </is>
      </c>
      <c r="G193" s="13" t="inlineStr">
        <is>
          <t>Produksi</t>
        </is>
      </c>
      <c r="H193" s="13" t="inlineStr">
        <is>
          <t>Toilet</t>
        </is>
      </c>
    </row>
    <row r="194">
      <c r="A194" s="27" t="inlineStr">
        <is>
          <t>MK00138</t>
        </is>
      </c>
      <c r="B194" s="13" t="inlineStr">
        <is>
          <t>OUT</t>
        </is>
      </c>
      <c r="C194" s="177" t="n">
        <v>46199.41666666666</v>
      </c>
      <c r="D194" s="51" t="n">
        <v>0.515625</v>
      </c>
      <c r="E194" s="13" t="n">
        <v>528000063</v>
      </c>
      <c r="F194" s="13" t="inlineStr">
        <is>
          <t>Muhamad Ripki Pebrian</t>
        </is>
      </c>
      <c r="G194" s="13" t="inlineStr">
        <is>
          <t>Produksi</t>
        </is>
      </c>
      <c r="H194" s="13" t="inlineStr">
        <is>
          <t>Sholat</t>
        </is>
      </c>
    </row>
    <row r="195">
      <c r="A195" s="27" t="inlineStr">
        <is>
          <t>MK00138</t>
        </is>
      </c>
      <c r="B195" s="13" t="inlineStr">
        <is>
          <t>IN</t>
        </is>
      </c>
      <c r="C195" s="177" t="n">
        <v>46199.41666666666</v>
      </c>
      <c r="D195" s="51" t="n">
        <v>0.5218981481481482</v>
      </c>
      <c r="E195" s="13" t="n">
        <v>528000063</v>
      </c>
      <c r="F195" s="13" t="inlineStr">
        <is>
          <t>Muhamad Ripki Pebrian</t>
        </is>
      </c>
      <c r="G195" s="13" t="inlineStr">
        <is>
          <t>Produksi</t>
        </is>
      </c>
      <c r="H195" s="13" t="inlineStr">
        <is>
          <t>Sholat</t>
        </is>
      </c>
    </row>
    <row r="196">
      <c r="A196" s="27" t="inlineStr">
        <is>
          <t>MK00185</t>
        </is>
      </c>
      <c r="B196" s="13" t="inlineStr">
        <is>
          <t>OUT</t>
        </is>
      </c>
      <c r="C196" s="177" t="n">
        <v>46199.41666666666</v>
      </c>
      <c r="D196" s="51" t="n">
        <v>0.5246296296296297</v>
      </c>
      <c r="E196" s="13" t="n">
        <v>528000279</v>
      </c>
      <c r="F196" s="13" t="inlineStr">
        <is>
          <t>Mahdalena Dalfa Riani</t>
        </is>
      </c>
      <c r="G196" s="13" t="inlineStr">
        <is>
          <t>Produksi</t>
        </is>
      </c>
      <c r="H196" s="13" t="inlineStr">
        <is>
          <t>Sholat</t>
        </is>
      </c>
    </row>
    <row r="197">
      <c r="A197" s="27" t="inlineStr">
        <is>
          <t>MK00090</t>
        </is>
      </c>
      <c r="B197" s="13" t="inlineStr">
        <is>
          <t>OUT</t>
        </is>
      </c>
      <c r="C197" s="177" t="n">
        <v>46199.41666666666</v>
      </c>
      <c r="D197" s="51" t="n">
        <v>0.5250231481481481</v>
      </c>
      <c r="E197" s="13" t="n">
        <v>528000288</v>
      </c>
      <c r="F197" s="13" t="inlineStr">
        <is>
          <t>Dede gunawan</t>
        </is>
      </c>
      <c r="G197" s="13" t="inlineStr">
        <is>
          <t>Produksi</t>
        </is>
      </c>
      <c r="H197" s="13" t="inlineStr">
        <is>
          <t>Sholat</t>
        </is>
      </c>
    </row>
    <row r="198">
      <c r="A198" s="27" t="inlineStr">
        <is>
          <t>MK00134</t>
        </is>
      </c>
      <c r="B198" s="13" t="inlineStr">
        <is>
          <t>OUT</t>
        </is>
      </c>
      <c r="C198" s="177" t="n">
        <v>46199.41666666666</v>
      </c>
      <c r="D198" s="51" t="n">
        <v>0.5259953703703704</v>
      </c>
      <c r="E198" s="13" t="n">
        <v>528000254</v>
      </c>
      <c r="F198" s="13" t="inlineStr">
        <is>
          <t>M. Difa Ramdani</t>
        </is>
      </c>
      <c r="G198" s="13" t="inlineStr">
        <is>
          <t>Produksi</t>
        </is>
      </c>
      <c r="H198" s="13" t="inlineStr">
        <is>
          <t>Sholat</t>
        </is>
      </c>
    </row>
    <row r="199">
      <c r="A199" s="27" t="inlineStr">
        <is>
          <t>MK00185</t>
        </is>
      </c>
      <c r="B199" s="13" t="inlineStr">
        <is>
          <t>IN</t>
        </is>
      </c>
      <c r="C199" s="177" t="n">
        <v>46199.41666666666</v>
      </c>
      <c r="D199" s="51" t="n">
        <v>0.5342592592592592</v>
      </c>
      <c r="E199" s="13" t="n">
        <v>528000279</v>
      </c>
      <c r="F199" s="13" t="inlineStr">
        <is>
          <t>Mahdalena Dalfa Riani</t>
        </is>
      </c>
      <c r="G199" s="13" t="inlineStr">
        <is>
          <t>Produksi</t>
        </is>
      </c>
    </row>
    <row r="200">
      <c r="A200" s="27" t="inlineStr">
        <is>
          <t>MK00230</t>
        </is>
      </c>
      <c r="B200" s="13" t="inlineStr">
        <is>
          <t>OUT</t>
        </is>
      </c>
      <c r="C200" s="177" t="n">
        <v>46199.41666666666</v>
      </c>
      <c r="D200" s="51" t="n">
        <v>0.5347916666666667</v>
      </c>
      <c r="E200" s="13" t="n">
        <v>628000064</v>
      </c>
      <c r="F200" s="13" t="inlineStr">
        <is>
          <t>Silva Alypia</t>
        </is>
      </c>
      <c r="G200" s="13" t="inlineStr">
        <is>
          <t>Produksi</t>
        </is>
      </c>
      <c r="H200" s="13" t="inlineStr">
        <is>
          <t>Sholat</t>
        </is>
      </c>
    </row>
    <row r="201">
      <c r="A201" s="27" t="inlineStr">
        <is>
          <t>MK00090</t>
        </is>
      </c>
      <c r="B201" s="13" t="inlineStr">
        <is>
          <t>IN</t>
        </is>
      </c>
      <c r="C201" s="177" t="n">
        <v>46199.41666666666</v>
      </c>
      <c r="D201" s="51" t="n">
        <v>0.5351041666666667</v>
      </c>
      <c r="E201" s="13" t="n">
        <v>528000288</v>
      </c>
      <c r="F201" s="13" t="inlineStr">
        <is>
          <t>Dede gunawan</t>
        </is>
      </c>
      <c r="G201" s="13" t="inlineStr">
        <is>
          <t>Produksi</t>
        </is>
      </c>
      <c r="H201" s="13" t="inlineStr">
        <is>
          <t>Sholat</t>
        </is>
      </c>
    </row>
    <row r="202">
      <c r="A202" s="27" t="inlineStr">
        <is>
          <t>MK00230</t>
        </is>
      </c>
      <c r="B202" s="13" t="inlineStr">
        <is>
          <t>IN</t>
        </is>
      </c>
      <c r="C202" s="177" t="n">
        <v>46199.41666666666</v>
      </c>
      <c r="D202" s="51" t="n">
        <v>0.5365972222222222</v>
      </c>
      <c r="E202" s="13" t="n">
        <v>628000064</v>
      </c>
      <c r="F202" s="13" t="inlineStr">
        <is>
          <t>Silva Alypia</t>
        </is>
      </c>
      <c r="G202" s="13" t="inlineStr">
        <is>
          <t>Produksi</t>
        </is>
      </c>
      <c r="H202" s="13" t="inlineStr">
        <is>
          <t>Sholat</t>
        </is>
      </c>
    </row>
    <row r="203">
      <c r="A203" s="27" t="inlineStr">
        <is>
          <t>MK00134</t>
        </is>
      </c>
      <c r="B203" s="13" t="inlineStr">
        <is>
          <t>IN</t>
        </is>
      </c>
      <c r="C203" s="177" t="n">
        <v>46199.41666666666</v>
      </c>
      <c r="D203" s="51" t="n">
        <v>0.5368171296296296</v>
      </c>
      <c r="E203" s="13" t="n">
        <v>528000254</v>
      </c>
      <c r="F203" s="13" t="inlineStr">
        <is>
          <t>M. Difa Ramdani</t>
        </is>
      </c>
      <c r="G203" s="13" t="inlineStr">
        <is>
          <t>Produksi</t>
        </is>
      </c>
      <c r="H203" s="13" t="inlineStr">
        <is>
          <t>Sholat</t>
        </is>
      </c>
    </row>
    <row r="204">
      <c r="A204" s="27" t="inlineStr">
        <is>
          <t>MK00126</t>
        </is>
      </c>
      <c r="B204" s="13" t="inlineStr">
        <is>
          <t>OUT</t>
        </is>
      </c>
      <c r="C204" s="177" t="n">
        <v>46199.41666666666</v>
      </c>
      <c r="D204" s="51" t="n">
        <v>0.6502777777777777</v>
      </c>
      <c r="E204" s="13" t="n">
        <v>528000291</v>
      </c>
      <c r="F204" s="13" t="inlineStr">
        <is>
          <t>Andrian</t>
        </is>
      </c>
      <c r="G204" s="13" t="inlineStr">
        <is>
          <t>Produksi</t>
        </is>
      </c>
    </row>
    <row r="205">
      <c r="A205" s="27" t="inlineStr">
        <is>
          <t>MK00126</t>
        </is>
      </c>
      <c r="B205" s="13" t="inlineStr">
        <is>
          <t>IN</t>
        </is>
      </c>
      <c r="C205" s="177" t="n">
        <v>46199.41666666666</v>
      </c>
      <c r="D205" s="51" t="n">
        <v>0.6608217592592592</v>
      </c>
      <c r="E205" s="13" t="n">
        <v>528000291</v>
      </c>
      <c r="F205" s="13" t="inlineStr">
        <is>
          <t>Andrian</t>
        </is>
      </c>
      <c r="G205" s="13" t="inlineStr">
        <is>
          <t>Produksi</t>
        </is>
      </c>
      <c r="H205" s="13" t="inlineStr">
        <is>
          <t>Sholat</t>
        </is>
      </c>
    </row>
    <row r="206">
      <c r="A206" s="27" t="inlineStr">
        <is>
          <t>MK00126</t>
        </is>
      </c>
      <c r="B206" s="13" t="inlineStr">
        <is>
          <t>IN</t>
        </is>
      </c>
      <c r="C206" s="177" t="n">
        <v>46199.41666666666</v>
      </c>
      <c r="D206" s="51" t="n">
        <v>0.7056481481481481</v>
      </c>
      <c r="E206" s="13" t="n">
        <v>528000291</v>
      </c>
      <c r="F206" s="13" t="inlineStr">
        <is>
          <t>Andrian</t>
        </is>
      </c>
      <c r="G206" s="13" t="inlineStr">
        <is>
          <t>Produksi</t>
        </is>
      </c>
      <c r="H206" s="13" t="inlineStr">
        <is>
          <t>Sholat</t>
        </is>
      </c>
    </row>
    <row r="207">
      <c r="A207" s="27" t="inlineStr">
        <is>
          <t>MK00141</t>
        </is>
      </c>
      <c r="B207" s="13" t="inlineStr">
        <is>
          <t>OUT</t>
        </is>
      </c>
      <c r="C207" s="177" t="n">
        <v>46199.41666666666</v>
      </c>
      <c r="D207" s="51" t="n">
        <v>0.7203125</v>
      </c>
      <c r="E207" s="13" t="n">
        <v>528000306</v>
      </c>
      <c r="F207" s="13" t="inlineStr">
        <is>
          <t>Windy Olivia</t>
        </is>
      </c>
      <c r="G207" s="13" t="inlineStr">
        <is>
          <t>Produksi</t>
        </is>
      </c>
      <c r="H207" s="13" t="inlineStr">
        <is>
          <t>Istirahat</t>
        </is>
      </c>
    </row>
    <row r="208">
      <c r="A208" s="27" t="inlineStr">
        <is>
          <t>MK00126</t>
        </is>
      </c>
      <c r="B208" s="13" t="inlineStr">
        <is>
          <t>OUT</t>
        </is>
      </c>
      <c r="C208" s="177" t="n">
        <v>46199.41666666666</v>
      </c>
      <c r="D208" s="51" t="n">
        <v>0.7246759259259259</v>
      </c>
      <c r="E208" s="13" t="n">
        <v>528000291</v>
      </c>
      <c r="F208" s="13" t="inlineStr">
        <is>
          <t>Andrian</t>
        </is>
      </c>
      <c r="G208" s="13" t="inlineStr">
        <is>
          <t>Produksi</t>
        </is>
      </c>
      <c r="H208" s="13" t="inlineStr">
        <is>
          <t>Istirahat</t>
        </is>
      </c>
    </row>
    <row r="209">
      <c r="A209" s="27" t="inlineStr">
        <is>
          <t>MK00202</t>
        </is>
      </c>
      <c r="B209" s="13" t="inlineStr">
        <is>
          <t>OUT</t>
        </is>
      </c>
      <c r="C209" s="177" t="n">
        <v>46199.41666666666</v>
      </c>
      <c r="D209" s="51" t="n">
        <v>0.7391666666666666</v>
      </c>
      <c r="E209" s="13" t="n">
        <v>528000358</v>
      </c>
      <c r="F209" s="13" t="inlineStr">
        <is>
          <t>Lulu Agustin</t>
        </is>
      </c>
      <c r="G209" s="13" t="inlineStr">
        <is>
          <t>Produksi</t>
        </is>
      </c>
      <c r="H209" s="13" t="inlineStr">
        <is>
          <t>Istirahat</t>
        </is>
      </c>
    </row>
    <row r="210">
      <c r="A210" s="27" t="inlineStr">
        <is>
          <t>MK00141</t>
        </is>
      </c>
      <c r="B210" s="13" t="inlineStr">
        <is>
          <t>OUT</t>
        </is>
      </c>
      <c r="C210" s="177" t="n">
        <v>46199.41666666666</v>
      </c>
      <c r="D210" s="51" t="n">
        <v>0.7411805555555555</v>
      </c>
      <c r="E210" s="13" t="n">
        <v>528000306</v>
      </c>
      <c r="F210" s="13" t="inlineStr">
        <is>
          <t>Windy Olivia</t>
        </is>
      </c>
      <c r="G210" s="13" t="inlineStr">
        <is>
          <t>Produksi</t>
        </is>
      </c>
      <c r="H210" s="13" t="inlineStr">
        <is>
          <t>Istirahat</t>
        </is>
      </c>
    </row>
    <row r="211">
      <c r="A211" s="27" t="inlineStr">
        <is>
          <t>MK00141</t>
        </is>
      </c>
      <c r="B211" s="13" t="inlineStr">
        <is>
          <t>IN</t>
        </is>
      </c>
      <c r="C211" s="177" t="n">
        <v>46199.41666666666</v>
      </c>
      <c r="D211" s="51" t="n">
        <v>0.7413194444444444</v>
      </c>
      <c r="E211" s="13" t="n">
        <v>528000306</v>
      </c>
      <c r="F211" s="13" t="inlineStr">
        <is>
          <t>Windy Olivia</t>
        </is>
      </c>
      <c r="G211" s="13" t="inlineStr">
        <is>
          <t>Produksi</t>
        </is>
      </c>
      <c r="H211" s="13" t="inlineStr">
        <is>
          <t>Istirahat</t>
        </is>
      </c>
    </row>
    <row r="212">
      <c r="A212" s="27" t="inlineStr">
        <is>
          <t>MK00126</t>
        </is>
      </c>
      <c r="B212" s="13" t="inlineStr">
        <is>
          <t>IN</t>
        </is>
      </c>
      <c r="C212" s="177" t="n">
        <v>46199.41666666666</v>
      </c>
      <c r="D212" s="51" t="n">
        <v>0.7481365740740741</v>
      </c>
      <c r="E212" s="13" t="n">
        <v>528000291</v>
      </c>
      <c r="F212" s="13" t="inlineStr">
        <is>
          <t>Andrian</t>
        </is>
      </c>
      <c r="G212" s="13" t="inlineStr">
        <is>
          <t>Produksi</t>
        </is>
      </c>
    </row>
    <row r="213">
      <c r="A213" s="27" t="inlineStr">
        <is>
          <t>MK00202</t>
        </is>
      </c>
      <c r="B213" s="13" t="inlineStr">
        <is>
          <t>IN</t>
        </is>
      </c>
      <c r="C213" s="177" t="n">
        <v>46199.41666666666</v>
      </c>
      <c r="D213" s="51" t="n">
        <v>0.7631712962962963</v>
      </c>
      <c r="E213" s="13" t="n">
        <v>528000358</v>
      </c>
      <c r="F213" s="13" t="inlineStr">
        <is>
          <t>Lulu Agustin</t>
        </is>
      </c>
      <c r="G213" s="13" t="inlineStr">
        <is>
          <t>Produksi</t>
        </is>
      </c>
      <c r="H213" s="13" t="inlineStr">
        <is>
          <t>Istirahat</t>
        </is>
      </c>
    </row>
    <row r="214">
      <c r="A214" s="27" t="inlineStr">
        <is>
          <t>MK00213</t>
        </is>
      </c>
      <c r="B214" s="13" t="inlineStr">
        <is>
          <t>OUT</t>
        </is>
      </c>
      <c r="C214" s="177" t="n">
        <v>46199.41666666666</v>
      </c>
      <c r="D214" s="51" t="n">
        <v>0.770462962962963</v>
      </c>
      <c r="E214" s="13" t="n">
        <v>528000261</v>
      </c>
      <c r="F214" s="13" t="inlineStr">
        <is>
          <t>Ergi Ergianto</t>
        </is>
      </c>
      <c r="G214" s="13" t="inlineStr">
        <is>
          <t>Produksi</t>
        </is>
      </c>
    </row>
    <row r="215">
      <c r="A215" s="27" t="inlineStr">
        <is>
          <t>MK00221</t>
        </is>
      </c>
      <c r="B215" s="13" t="inlineStr">
        <is>
          <t>OUT</t>
        </is>
      </c>
      <c r="C215" s="177" t="n">
        <v>46199.41666666666</v>
      </c>
      <c r="D215" s="51" t="n">
        <v>0.7746759259259259</v>
      </c>
      <c r="E215" s="13" t="n">
        <v>528000195</v>
      </c>
      <c r="F215" s="13" t="inlineStr">
        <is>
          <t>Rahma Sariwati</t>
        </is>
      </c>
      <c r="G215" s="13" t="inlineStr">
        <is>
          <t>Produksi</t>
        </is>
      </c>
      <c r="H215" s="13" t="inlineStr">
        <is>
          <t>Istirahat</t>
        </is>
      </c>
    </row>
    <row r="216">
      <c r="A216" s="27" t="inlineStr">
        <is>
          <t>MK00221</t>
        </is>
      </c>
      <c r="B216" s="13" t="inlineStr">
        <is>
          <t>IN</t>
        </is>
      </c>
      <c r="C216" s="177" t="n">
        <v>46199.41666666666</v>
      </c>
      <c r="D216" s="51" t="n">
        <v>0.8041203703703703</v>
      </c>
      <c r="E216" s="13" t="n">
        <v>528000195</v>
      </c>
      <c r="F216" s="13" t="inlineStr">
        <is>
          <t>Rahma Sariwati</t>
        </is>
      </c>
      <c r="G216" s="13" t="inlineStr">
        <is>
          <t>Produksi</t>
        </is>
      </c>
      <c r="H216" s="13" t="inlineStr">
        <is>
          <t>Istirahat</t>
        </is>
      </c>
    </row>
    <row r="217">
      <c r="A217" s="27" t="inlineStr">
        <is>
          <t>MK00145</t>
        </is>
      </c>
      <c r="B217" s="13" t="inlineStr">
        <is>
          <t>OUT</t>
        </is>
      </c>
      <c r="C217" s="177" t="n">
        <v>46199.41666666666</v>
      </c>
      <c r="D217" s="51" t="n">
        <v>0.8209953703703704</v>
      </c>
      <c r="E217" s="13" t="n">
        <v>528000283</v>
      </c>
      <c r="F217" s="13" t="inlineStr">
        <is>
          <t>Purwanda Sugiri</t>
        </is>
      </c>
      <c r="G217" s="13" t="inlineStr">
        <is>
          <t>Produksi</t>
        </is>
      </c>
      <c r="H217" s="13" t="inlineStr">
        <is>
          <t>Istirahat</t>
        </is>
      </c>
    </row>
    <row r="218">
      <c r="A218" s="27" t="inlineStr">
        <is>
          <t>MK00145</t>
        </is>
      </c>
      <c r="B218" s="13" t="inlineStr">
        <is>
          <t>IN</t>
        </is>
      </c>
      <c r="C218" s="177" t="n">
        <v>46199.41666666666</v>
      </c>
      <c r="D218" s="51" t="n">
        <v>0.8473032407407407</v>
      </c>
      <c r="E218" s="13" t="n">
        <v>528000283</v>
      </c>
      <c r="F218" s="13" t="inlineStr">
        <is>
          <t>Purwanda Sugiri</t>
        </is>
      </c>
      <c r="G218" s="13" t="inlineStr">
        <is>
          <t>Produksi</t>
        </is>
      </c>
      <c r="H218" s="13" t="inlineStr">
        <is>
          <t>Istirahat</t>
        </is>
      </c>
    </row>
    <row r="219">
      <c r="A219" s="27" t="n">
        <v>328000514</v>
      </c>
      <c r="B219" s="13" t="inlineStr">
        <is>
          <t>IN</t>
        </is>
      </c>
      <c r="C219" s="177" t="n">
        <v>46199.41666666666</v>
      </c>
      <c r="D219" s="51" t="n">
        <v>0.8627893518518519</v>
      </c>
      <c r="E219" s="13" t="n">
        <v>328000514</v>
      </c>
      <c r="F219" s="13" t="inlineStr">
        <is>
          <t>DEVINA PURWITA</t>
        </is>
      </c>
      <c r="G219" s="13" t="inlineStr">
        <is>
          <t>Produksi</t>
        </is>
      </c>
      <c r="H219" s="13" t="inlineStr">
        <is>
          <t>Istirahat</t>
        </is>
      </c>
    </row>
    <row r="220">
      <c r="A220" s="27" t="inlineStr">
        <is>
          <t>MK00116</t>
        </is>
      </c>
      <c r="B220" s="13" t="inlineStr">
        <is>
          <t>OUT</t>
        </is>
      </c>
      <c r="C220" s="177" t="n">
        <v>46200.41666666666</v>
      </c>
      <c r="D220" s="51" t="n">
        <v>0.0334375</v>
      </c>
      <c r="E220" s="13" t="n">
        <v>628000061</v>
      </c>
      <c r="F220" s="13" t="inlineStr">
        <is>
          <t>Nayla Fadillah Exwantoro</t>
        </is>
      </c>
      <c r="G220" s="13" t="inlineStr">
        <is>
          <t>Produksi</t>
        </is>
      </c>
      <c r="H220" s="13" t="inlineStr">
        <is>
          <t>Istirahat</t>
        </is>
      </c>
    </row>
    <row r="221">
      <c r="A221" s="27" t="inlineStr">
        <is>
          <t>MK00209</t>
        </is>
      </c>
      <c r="B221" s="13" t="inlineStr">
        <is>
          <t>OUT</t>
        </is>
      </c>
      <c r="C221" s="177" t="n">
        <v>46200.41666666666</v>
      </c>
      <c r="D221" s="51" t="n">
        <v>0.04643518518518518</v>
      </c>
      <c r="E221" s="13" t="n">
        <v>528000298</v>
      </c>
      <c r="F221" s="13" t="inlineStr">
        <is>
          <t>Desta Cahaya Pratama</t>
        </is>
      </c>
      <c r="G221" s="13" t="inlineStr">
        <is>
          <t>Produksi</t>
        </is>
      </c>
      <c r="H221" s="13" t="inlineStr">
        <is>
          <t>Istirahat</t>
        </is>
      </c>
    </row>
    <row r="222">
      <c r="A222" s="27" t="inlineStr">
        <is>
          <t>MK00158</t>
        </is>
      </c>
      <c r="B222" s="13" t="inlineStr">
        <is>
          <t>IN</t>
        </is>
      </c>
      <c r="C222" s="177" t="n">
        <v>46200.41666666666</v>
      </c>
      <c r="D222" s="51" t="n">
        <v>0.04950231481481481</v>
      </c>
      <c r="E222" s="13" t="n">
        <v>528000299</v>
      </c>
      <c r="F222" s="13" t="inlineStr">
        <is>
          <t>Siti Nurjanah</t>
        </is>
      </c>
      <c r="G222" s="13" t="inlineStr">
        <is>
          <t>Produksi</t>
        </is>
      </c>
      <c r="H222" s="13" t="inlineStr">
        <is>
          <t>Istirahat</t>
        </is>
      </c>
    </row>
    <row r="223">
      <c r="A223" s="27" t="inlineStr">
        <is>
          <t>MK00116</t>
        </is>
      </c>
      <c r="B223" s="13" t="inlineStr">
        <is>
          <t>IN</t>
        </is>
      </c>
      <c r="C223" s="177" t="n">
        <v>46200.41666666666</v>
      </c>
      <c r="D223" s="51" t="n">
        <v>0.0503587962962963</v>
      </c>
      <c r="E223" s="13" t="n">
        <v>628000061</v>
      </c>
      <c r="F223" s="13" t="inlineStr">
        <is>
          <t>Nayla Fadillah Exwantoro</t>
        </is>
      </c>
      <c r="G223" s="13" t="inlineStr">
        <is>
          <t>Produksi</t>
        </is>
      </c>
      <c r="H223" s="13" t="inlineStr">
        <is>
          <t>Istirahat</t>
        </is>
      </c>
    </row>
    <row r="224">
      <c r="A224" s="27" t="inlineStr">
        <is>
          <t>MK00204</t>
        </is>
      </c>
      <c r="B224" s="13" t="inlineStr">
        <is>
          <t>OUT</t>
        </is>
      </c>
      <c r="C224" s="177" t="n">
        <v>46200.41666666666</v>
      </c>
      <c r="D224" s="51" t="n">
        <v>0.05351851851851852</v>
      </c>
      <c r="E224" s="13" t="n">
        <v>528000302</v>
      </c>
      <c r="F224" s="13" t="inlineStr">
        <is>
          <t>Henkey gumilar</t>
        </is>
      </c>
      <c r="G224" s="13" t="inlineStr">
        <is>
          <t>Produksi</t>
        </is>
      </c>
      <c r="H224" s="13" t="inlineStr">
        <is>
          <t>Istirahat</t>
        </is>
      </c>
    </row>
    <row r="225">
      <c r="A225" s="27" t="inlineStr">
        <is>
          <t>MK00158</t>
        </is>
      </c>
      <c r="B225" s="13" t="inlineStr">
        <is>
          <t>OUT</t>
        </is>
      </c>
      <c r="C225" s="177" t="n">
        <v>46200.41666666666</v>
      </c>
      <c r="D225" s="51" t="n">
        <v>0.06657407407407408</v>
      </c>
      <c r="E225" s="13" t="n">
        <v>528000299</v>
      </c>
      <c r="F225" s="13" t="inlineStr">
        <is>
          <t>Siti Nurjanah</t>
        </is>
      </c>
      <c r="G225" s="13" t="inlineStr">
        <is>
          <t>Produksi</t>
        </is>
      </c>
      <c r="H225" s="13" t="inlineStr">
        <is>
          <t>Istirahat</t>
        </is>
      </c>
    </row>
    <row r="226">
      <c r="A226" s="27" t="inlineStr">
        <is>
          <t>MK00158</t>
        </is>
      </c>
      <c r="B226" s="13" t="inlineStr">
        <is>
          <t>IN</t>
        </is>
      </c>
      <c r="C226" s="177" t="n">
        <v>46200.41666666666</v>
      </c>
      <c r="D226" s="51" t="n">
        <v>0.06696759259259259</v>
      </c>
      <c r="E226" s="13" t="n">
        <v>528000299</v>
      </c>
      <c r="F226" s="13" t="inlineStr">
        <is>
          <t>Siti Nurjanah</t>
        </is>
      </c>
      <c r="G226" s="13" t="inlineStr">
        <is>
          <t>Produksi</t>
        </is>
      </c>
      <c r="H226" s="13" t="inlineStr">
        <is>
          <t>Istirahat</t>
        </is>
      </c>
    </row>
    <row r="227">
      <c r="A227" s="27" t="inlineStr">
        <is>
          <t>MK00209</t>
        </is>
      </c>
      <c r="B227" s="13" t="inlineStr">
        <is>
          <t>IN</t>
        </is>
      </c>
      <c r="C227" s="177" t="n">
        <v>46200.41666666666</v>
      </c>
      <c r="D227" s="51" t="n">
        <v>0.07472222222222222</v>
      </c>
      <c r="E227" s="13" t="n">
        <v>528000298</v>
      </c>
      <c r="F227" s="13" t="inlineStr">
        <is>
          <t>Desta Cahaya Pratama</t>
        </is>
      </c>
      <c r="G227" s="13" t="inlineStr">
        <is>
          <t>Produksi</t>
        </is>
      </c>
    </row>
    <row r="228">
      <c r="A228" s="27" t="inlineStr">
        <is>
          <t>MK00204</t>
        </is>
      </c>
      <c r="B228" s="13" t="inlineStr">
        <is>
          <t>IN</t>
        </is>
      </c>
      <c r="C228" s="177" t="n">
        <v>46200.41666666666</v>
      </c>
      <c r="D228" s="51" t="n">
        <v>0.07628472222222223</v>
      </c>
      <c r="E228" s="13" t="n">
        <v>528000302</v>
      </c>
      <c r="F228" s="13" t="inlineStr">
        <is>
          <t>Henkey gumilar</t>
        </is>
      </c>
      <c r="G228" s="13" t="inlineStr">
        <is>
          <t>Produksi</t>
        </is>
      </c>
      <c r="H228" s="13" t="inlineStr">
        <is>
          <t>Istirahat</t>
        </is>
      </c>
    </row>
    <row r="229">
      <c r="A229" s="27" t="inlineStr">
        <is>
          <t>MK00138</t>
        </is>
      </c>
      <c r="B229" s="13" t="inlineStr">
        <is>
          <t>OUT</t>
        </is>
      </c>
      <c r="C229" s="177" t="n">
        <v>46200.41666666666</v>
      </c>
      <c r="D229" s="51" t="n">
        <v>0.09378472222222223</v>
      </c>
      <c r="E229" s="13" t="n">
        <v>528000270</v>
      </c>
      <c r="F229" s="13" t="inlineStr">
        <is>
          <t>Febri Najmudin</t>
        </is>
      </c>
      <c r="G229" s="13" t="inlineStr">
        <is>
          <t>Produksi</t>
        </is>
      </c>
      <c r="H229" s="13" t="inlineStr">
        <is>
          <t>Istirahat</t>
        </is>
      </c>
    </row>
    <row r="230">
      <c r="A230" s="27" t="inlineStr">
        <is>
          <t>MK00138</t>
        </is>
      </c>
      <c r="B230" s="13" t="inlineStr">
        <is>
          <t>IN</t>
        </is>
      </c>
      <c r="C230" s="177" t="n">
        <v>46200.41666666666</v>
      </c>
      <c r="D230" s="51" t="n">
        <v>0.1154513888888889</v>
      </c>
      <c r="E230" s="13" t="n">
        <v>528000270</v>
      </c>
      <c r="F230" s="13" t="inlineStr">
        <is>
          <t>Febri Najmudin</t>
        </is>
      </c>
      <c r="G230" s="13" t="inlineStr">
        <is>
          <t>Produksi</t>
        </is>
      </c>
      <c r="H230" s="13" t="inlineStr">
        <is>
          <t>Istirahat</t>
        </is>
      </c>
    </row>
    <row r="231">
      <c r="A231" s="27" t="inlineStr">
        <is>
          <t>MK00116</t>
        </is>
      </c>
      <c r="B231" s="13" t="inlineStr">
        <is>
          <t>OUT</t>
        </is>
      </c>
      <c r="C231" s="177" t="n">
        <v>46200.41666666666</v>
      </c>
      <c r="D231" s="51" t="n">
        <v>0.1291319444444445</v>
      </c>
      <c r="E231" s="13" t="n">
        <v>628000061</v>
      </c>
      <c r="F231" s="13" t="inlineStr">
        <is>
          <t>Nayla Fadillah Exwantoro</t>
        </is>
      </c>
      <c r="G231" s="13" t="inlineStr">
        <is>
          <t>Produksi</t>
        </is>
      </c>
    </row>
    <row r="232">
      <c r="A232" s="27" t="inlineStr">
        <is>
          <t>MK00116</t>
        </is>
      </c>
      <c r="B232" s="13" t="inlineStr">
        <is>
          <t>IN</t>
        </is>
      </c>
      <c r="C232" s="177" t="n">
        <v>46200.41666666666</v>
      </c>
      <c r="D232" s="51" t="n">
        <v>0.1302662037037037</v>
      </c>
      <c r="E232" s="13" t="n">
        <v>628000061</v>
      </c>
      <c r="F232" s="13" t="inlineStr">
        <is>
          <t>Nayla Fadillah Exwantoro</t>
        </is>
      </c>
      <c r="G232" s="13" t="inlineStr">
        <is>
          <t>Produksi</t>
        </is>
      </c>
      <c r="H232" s="13" t="inlineStr">
        <is>
          <t>Toilet</t>
        </is>
      </c>
    </row>
    <row r="233">
      <c r="A233" s="27" t="inlineStr">
        <is>
          <t>MK00209</t>
        </is>
      </c>
      <c r="B233" s="13" t="inlineStr">
        <is>
          <t>OUT</t>
        </is>
      </c>
      <c r="C233" s="177" t="n">
        <v>46200.41666666666</v>
      </c>
      <c r="D233" s="51" t="n">
        <v>0.1424074074074074</v>
      </c>
      <c r="E233" s="13" t="n">
        <v>528000298</v>
      </c>
      <c r="F233" s="13" t="inlineStr">
        <is>
          <t>Desta Cahaya Pratama</t>
        </is>
      </c>
      <c r="G233" s="13" t="inlineStr">
        <is>
          <t>Produksi</t>
        </is>
      </c>
      <c r="H233" s="13" t="inlineStr">
        <is>
          <t>Toilet</t>
        </is>
      </c>
    </row>
    <row r="234">
      <c r="A234" s="27" t="inlineStr">
        <is>
          <t>MK00209</t>
        </is>
      </c>
      <c r="B234" s="13" t="inlineStr">
        <is>
          <t>IN</t>
        </is>
      </c>
      <c r="C234" s="177" t="n">
        <v>46200.41666666666</v>
      </c>
      <c r="D234" s="51" t="n">
        <v>0.1479976851851852</v>
      </c>
      <c r="E234" s="13" t="n">
        <v>528000298</v>
      </c>
      <c r="F234" s="13" t="inlineStr">
        <is>
          <t>Desta Cahaya Pratama</t>
        </is>
      </c>
      <c r="G234" s="13" t="inlineStr">
        <is>
          <t>Produksi</t>
        </is>
      </c>
    </row>
    <row r="235">
      <c r="A235" s="27" t="inlineStr">
        <is>
          <t>MK00202</t>
        </is>
      </c>
      <c r="B235" s="13" t="inlineStr">
        <is>
          <t>OUT</t>
        </is>
      </c>
      <c r="C235" s="177" t="n">
        <v>46200.41666666666</v>
      </c>
      <c r="D235" s="51" t="n">
        <v>0.3319097222222222</v>
      </c>
      <c r="E235" s="13" t="n">
        <v>528000286</v>
      </c>
      <c r="F235" s="13" t="inlineStr">
        <is>
          <t>Imelda Amelia</t>
        </is>
      </c>
      <c r="G235" s="13" t="inlineStr">
        <is>
          <t>Produksi</t>
        </is>
      </c>
      <c r="H235" s="13" t="inlineStr">
        <is>
          <t>Toilet</t>
        </is>
      </c>
    </row>
    <row r="236">
      <c r="A236" s="27" t="inlineStr">
        <is>
          <t>MK00202</t>
        </is>
      </c>
      <c r="B236" s="13" t="inlineStr">
        <is>
          <t>IN</t>
        </is>
      </c>
      <c r="C236" s="177" t="n">
        <v>46200.41666666666</v>
      </c>
      <c r="D236" s="51" t="n">
        <v>0.3354398148148148</v>
      </c>
      <c r="E236" s="13" t="n">
        <v>528000286</v>
      </c>
      <c r="F236" s="13" t="inlineStr">
        <is>
          <t>Imelda Amelia</t>
        </is>
      </c>
      <c r="G236" s="13" t="inlineStr">
        <is>
          <t>Produksi</t>
        </is>
      </c>
      <c r="H236" s="13" t="inlineStr">
        <is>
          <t>Toilet</t>
        </is>
      </c>
    </row>
    <row r="237">
      <c r="A237" s="27" t="inlineStr">
        <is>
          <t>MK00145</t>
        </is>
      </c>
      <c r="B237" s="13" t="inlineStr">
        <is>
          <t>OUT</t>
        </is>
      </c>
      <c r="C237" s="177" t="n">
        <v>46200.41666666666</v>
      </c>
      <c r="D237" s="51" t="n">
        <v>0.364375</v>
      </c>
      <c r="E237" s="13" t="n">
        <v>528000290</v>
      </c>
      <c r="F237" s="13" t="inlineStr">
        <is>
          <t>Eval Pranata</t>
        </is>
      </c>
      <c r="G237" s="13" t="inlineStr">
        <is>
          <t>Produksi</t>
        </is>
      </c>
      <c r="H237" s="13" t="inlineStr">
        <is>
          <t>Istirahat</t>
        </is>
      </c>
    </row>
    <row r="238">
      <c r="A238" s="27" t="inlineStr">
        <is>
          <t>MK00213</t>
        </is>
      </c>
      <c r="B238" s="13" t="inlineStr">
        <is>
          <t>OUT</t>
        </is>
      </c>
      <c r="C238" s="177" t="n">
        <v>46200.41666666666</v>
      </c>
      <c r="D238" s="51" t="n">
        <v>0.3778472222222222</v>
      </c>
      <c r="E238" s="13" t="n">
        <v>528000241</v>
      </c>
      <c r="F238" s="13" t="inlineStr">
        <is>
          <t>Balia Nurafif Bilah</t>
        </is>
      </c>
      <c r="G238" s="13" t="inlineStr">
        <is>
          <t>Produksi</t>
        </is>
      </c>
      <c r="H238" s="13" t="inlineStr">
        <is>
          <t>Istirahat</t>
        </is>
      </c>
    </row>
    <row r="239">
      <c r="A239" s="27" t="inlineStr">
        <is>
          <t>MK00145</t>
        </is>
      </c>
      <c r="B239" s="13" t="inlineStr">
        <is>
          <t>IN</t>
        </is>
      </c>
      <c r="C239" s="177" t="n">
        <v>46200.41666666666</v>
      </c>
      <c r="D239" s="51" t="n">
        <v>0.387511574074074</v>
      </c>
      <c r="E239" s="13" t="n">
        <v>528000290</v>
      </c>
      <c r="F239" s="13" t="inlineStr">
        <is>
          <t>Eval Pranata</t>
        </is>
      </c>
      <c r="G239" s="13" t="inlineStr">
        <is>
          <t>Produksi</t>
        </is>
      </c>
      <c r="H239" s="13" t="inlineStr">
        <is>
          <t>Istirahat</t>
        </is>
      </c>
    </row>
    <row r="240">
      <c r="A240" s="27" t="inlineStr">
        <is>
          <t>MK00141</t>
        </is>
      </c>
      <c r="B240" s="13" t="inlineStr">
        <is>
          <t>OUT</t>
        </is>
      </c>
      <c r="C240" s="177" t="n">
        <v>46200.41666666666</v>
      </c>
      <c r="D240" s="51" t="n">
        <v>0.392650462962963</v>
      </c>
      <c r="E240" s="13" t="n">
        <v>528000274</v>
      </c>
      <c r="F240" s="13" t="inlineStr">
        <is>
          <t>Zepri</t>
        </is>
      </c>
      <c r="G240" s="13" t="inlineStr">
        <is>
          <t>Produksi</t>
        </is>
      </c>
      <c r="H240" s="13" t="inlineStr">
        <is>
          <t>Istirahat</t>
        </is>
      </c>
    </row>
    <row r="241">
      <c r="A241" s="27" t="inlineStr">
        <is>
          <t>MK00213</t>
        </is>
      </c>
      <c r="B241" s="13" t="inlineStr">
        <is>
          <t>IN</t>
        </is>
      </c>
      <c r="C241" s="177" t="n">
        <v>46200.41666666666</v>
      </c>
      <c r="D241" s="51" t="n">
        <v>0.4012037037037037</v>
      </c>
      <c r="E241" s="13" t="n">
        <v>528000241</v>
      </c>
      <c r="F241" s="13" t="inlineStr">
        <is>
          <t>Balia Nurafif Bilah</t>
        </is>
      </c>
      <c r="G241" s="13" t="inlineStr">
        <is>
          <t>Produksi</t>
        </is>
      </c>
      <c r="H241" s="13" t="inlineStr">
        <is>
          <t>Istirahat</t>
        </is>
      </c>
    </row>
    <row r="242">
      <c r="A242" s="27" t="inlineStr">
        <is>
          <t>MK00126</t>
        </is>
      </c>
      <c r="B242" s="13" t="inlineStr">
        <is>
          <t>OUT</t>
        </is>
      </c>
      <c r="C242" s="177" t="n">
        <v>46200.41666666666</v>
      </c>
      <c r="D242" s="51" t="n">
        <v>0.4022800925925926</v>
      </c>
      <c r="E242" s="13" t="n">
        <v>528000090</v>
      </c>
      <c r="F242" s="13" t="inlineStr">
        <is>
          <t>Suganda</t>
        </is>
      </c>
      <c r="G242" s="13" t="inlineStr">
        <is>
          <t>Produksi</t>
        </is>
      </c>
      <c r="H242" s="13" t="inlineStr">
        <is>
          <t>Istirahat</t>
        </is>
      </c>
    </row>
    <row r="243">
      <c r="A243" s="27" t="inlineStr">
        <is>
          <t>MK00141</t>
        </is>
      </c>
      <c r="B243" s="13" t="inlineStr">
        <is>
          <t>IN</t>
        </is>
      </c>
      <c r="C243" s="177" t="n">
        <v>46200.41666666666</v>
      </c>
      <c r="D243" s="51" t="n">
        <v>0.4162847222222222</v>
      </c>
      <c r="E243" s="13" t="n">
        <v>528000274</v>
      </c>
      <c r="F243" s="13" t="inlineStr">
        <is>
          <t>Zepri</t>
        </is>
      </c>
      <c r="G243" s="13" t="inlineStr">
        <is>
          <t>Produksi</t>
        </is>
      </c>
      <c r="H243" s="13" t="inlineStr">
        <is>
          <t>Istirahat</t>
        </is>
      </c>
    </row>
    <row r="244">
      <c r="A244" s="27" t="inlineStr">
        <is>
          <t>MK00203</t>
        </is>
      </c>
      <c r="B244" s="13" t="inlineStr">
        <is>
          <t>OUT</t>
        </is>
      </c>
      <c r="C244" s="177" t="n">
        <v>46200.41666666666</v>
      </c>
      <c r="D244" s="51" t="n">
        <v>0.4269328703703704</v>
      </c>
      <c r="E244" s="13" t="n">
        <v>528000099</v>
      </c>
      <c r="F244" s="13" t="inlineStr">
        <is>
          <t>Siti Nurawaliah</t>
        </is>
      </c>
      <c r="G244" s="13" t="inlineStr">
        <is>
          <t>Produksi</t>
        </is>
      </c>
      <c r="H244" s="13" t="inlineStr">
        <is>
          <t>Istirahat</t>
        </is>
      </c>
    </row>
    <row r="245">
      <c r="A245" s="27" t="inlineStr">
        <is>
          <t>MK00221</t>
        </is>
      </c>
      <c r="B245" s="13" t="inlineStr">
        <is>
          <t>OUT</t>
        </is>
      </c>
      <c r="C245" s="177" t="n">
        <v>46200.41666666666</v>
      </c>
      <c r="D245" s="51" t="n">
        <v>0.4271759259259259</v>
      </c>
      <c r="E245" s="13" t="n">
        <v>528000201</v>
      </c>
      <c r="F245" s="13" t="inlineStr">
        <is>
          <t>Zahwa Amelia Choerunissa</t>
        </is>
      </c>
      <c r="G245" s="13" t="inlineStr">
        <is>
          <t>Produksi</t>
        </is>
      </c>
      <c r="H245" s="13" t="inlineStr">
        <is>
          <t>Istirahat</t>
        </is>
      </c>
    </row>
    <row r="246">
      <c r="A246" s="27" t="inlineStr">
        <is>
          <t>MK00202</t>
        </is>
      </c>
      <c r="B246" s="13" t="inlineStr">
        <is>
          <t>OUT</t>
        </is>
      </c>
      <c r="C246" s="177" t="n">
        <v>46200.41666666666</v>
      </c>
      <c r="D246" s="51" t="n">
        <v>0.4273148148148148</v>
      </c>
      <c r="E246" s="13" t="n">
        <v>528000286</v>
      </c>
      <c r="F246" s="13" t="inlineStr">
        <is>
          <t>Imelda Amelia</t>
        </is>
      </c>
      <c r="G246" s="13" t="inlineStr">
        <is>
          <t>Produksi</t>
        </is>
      </c>
      <c r="H246" s="13" t="inlineStr">
        <is>
          <t>Istirahat</t>
        </is>
      </c>
    </row>
    <row r="247">
      <c r="A247" s="27" t="inlineStr">
        <is>
          <t>MK00126</t>
        </is>
      </c>
      <c r="B247" s="13" t="inlineStr">
        <is>
          <t>OUT</t>
        </is>
      </c>
      <c r="C247" s="177" t="n">
        <v>46200.41666666666</v>
      </c>
      <c r="D247" s="51" t="n">
        <v>0.4280671296296296</v>
      </c>
      <c r="E247" s="13" t="n">
        <v>528000090</v>
      </c>
      <c r="F247" s="13" t="inlineStr">
        <is>
          <t>Suganda</t>
        </is>
      </c>
      <c r="G247" s="13" t="inlineStr">
        <is>
          <t>Produksi</t>
        </is>
      </c>
      <c r="H247" s="13" t="inlineStr">
        <is>
          <t>Istirahat</t>
        </is>
      </c>
    </row>
    <row r="248">
      <c r="A248" s="27" t="inlineStr">
        <is>
          <t>MK00126</t>
        </is>
      </c>
      <c r="B248" s="13" t="inlineStr">
        <is>
          <t>IN</t>
        </is>
      </c>
      <c r="C248" s="177" t="n">
        <v>46200.41666666666</v>
      </c>
      <c r="D248" s="51" t="n">
        <v>0.428287037037037</v>
      </c>
      <c r="E248" s="13" t="n">
        <v>528000090</v>
      </c>
      <c r="F248" s="13" t="inlineStr">
        <is>
          <t>Suganda</t>
        </is>
      </c>
      <c r="G248" s="13" t="inlineStr">
        <is>
          <t>Produksi</t>
        </is>
      </c>
    </row>
    <row r="249">
      <c r="A249" s="27" t="inlineStr">
        <is>
          <t>MK00150</t>
        </is>
      </c>
      <c r="B249" s="13" t="inlineStr">
        <is>
          <t>OUT</t>
        </is>
      </c>
      <c r="C249" s="177" t="n">
        <v>46200.41666666666</v>
      </c>
      <c r="D249" s="51" t="n">
        <v>0.4325347222222222</v>
      </c>
      <c r="E249" s="13" t="n">
        <v>528000212</v>
      </c>
      <c r="F249" s="13" t="inlineStr">
        <is>
          <t>Rizal Fauzi</t>
        </is>
      </c>
      <c r="G249" s="13" t="inlineStr">
        <is>
          <t>Produksi</t>
        </is>
      </c>
    </row>
    <row r="250">
      <c r="A250" s="27" t="inlineStr">
        <is>
          <t>MK00202</t>
        </is>
      </c>
      <c r="B250" s="13" t="inlineStr">
        <is>
          <t>IN</t>
        </is>
      </c>
      <c r="C250" s="177" t="n">
        <v>46200.41666666666</v>
      </c>
      <c r="D250" s="51" t="n">
        <v>0.4470949074074074</v>
      </c>
      <c r="E250" s="13" t="n">
        <v>528000286</v>
      </c>
      <c r="F250" s="13" t="inlineStr">
        <is>
          <t>Imelda Amelia</t>
        </is>
      </c>
      <c r="G250" s="13" t="inlineStr">
        <is>
          <t>Produksi</t>
        </is>
      </c>
      <c r="H250" s="13" t="inlineStr">
        <is>
          <t>Istirahat</t>
        </is>
      </c>
    </row>
    <row r="251">
      <c r="A251" s="27" t="inlineStr">
        <is>
          <t>MK00203</t>
        </is>
      </c>
      <c r="B251" s="13" t="inlineStr">
        <is>
          <t>IN</t>
        </is>
      </c>
      <c r="C251" s="177" t="n">
        <v>46200.41666666666</v>
      </c>
      <c r="D251" s="51" t="n">
        <v>0.4472337962962963</v>
      </c>
      <c r="E251" s="13" t="n">
        <v>528000099</v>
      </c>
      <c r="F251" s="13" t="inlineStr">
        <is>
          <t>Siti Nurawaliah</t>
        </is>
      </c>
      <c r="G251" s="13" t="inlineStr">
        <is>
          <t>Produksi</t>
        </is>
      </c>
      <c r="H251" s="13" t="inlineStr">
        <is>
          <t>Istirahat</t>
        </is>
      </c>
    </row>
    <row r="252">
      <c r="A252" s="27" t="inlineStr">
        <is>
          <t>MK00221</t>
        </is>
      </c>
      <c r="B252" s="13" t="inlineStr">
        <is>
          <t>IN</t>
        </is>
      </c>
      <c r="C252" s="177" t="n">
        <v>46200.41666666666</v>
      </c>
      <c r="D252" s="51" t="n">
        <v>0.4482291666666667</v>
      </c>
      <c r="E252" s="13" t="n">
        <v>528000201</v>
      </c>
      <c r="F252" s="13" t="inlineStr">
        <is>
          <t>Zahwa Amelia Choerunissa</t>
        </is>
      </c>
      <c r="G252" s="13" t="inlineStr">
        <is>
          <t>Produksi</t>
        </is>
      </c>
      <c r="H252" s="13" t="inlineStr">
        <is>
          <t>Istirahat</t>
        </is>
      </c>
    </row>
    <row r="253">
      <c r="A253" s="27" t="inlineStr">
        <is>
          <t>MK00150</t>
        </is>
      </c>
      <c r="B253" s="13" t="inlineStr">
        <is>
          <t>IN</t>
        </is>
      </c>
      <c r="C253" s="177" t="n">
        <v>46200.41666666666</v>
      </c>
      <c r="D253" s="51" t="n">
        <v>0.4568981481481482</v>
      </c>
      <c r="E253" s="13" t="n">
        <v>528000212</v>
      </c>
      <c r="F253" s="13" t="inlineStr">
        <is>
          <t>Rizal Fauzi</t>
        </is>
      </c>
      <c r="G253" s="13" t="inlineStr">
        <is>
          <t>Produksi</t>
        </is>
      </c>
      <c r="H253" s="13" t="inlineStr">
        <is>
          <t>Istirahat</t>
        </is>
      </c>
    </row>
    <row r="254">
      <c r="A254" s="27" t="inlineStr">
        <is>
          <t>MK00202</t>
        </is>
      </c>
      <c r="B254" s="13" t="inlineStr">
        <is>
          <t>OUT</t>
        </is>
      </c>
      <c r="C254" s="177" t="n">
        <v>46200.41666666666</v>
      </c>
      <c r="D254" s="51" t="n">
        <v>0.5143055555555556</v>
      </c>
      <c r="E254" s="13" t="n">
        <v>528000286</v>
      </c>
      <c r="F254" s="13" t="inlineStr">
        <is>
          <t>Imelda Amelia</t>
        </is>
      </c>
      <c r="G254" s="13" t="inlineStr">
        <is>
          <t>Produksi</t>
        </is>
      </c>
    </row>
    <row r="255">
      <c r="A255" s="27" t="inlineStr">
        <is>
          <t>MK00203</t>
        </is>
      </c>
      <c r="B255" s="13" t="inlineStr">
        <is>
          <t>OUT</t>
        </is>
      </c>
      <c r="C255" s="177" t="n">
        <v>46200.41666666666</v>
      </c>
      <c r="D255" s="51" t="n">
        <v>0.5144675925925926</v>
      </c>
      <c r="E255" s="13" t="n">
        <v>528000099</v>
      </c>
      <c r="F255" s="13" t="inlineStr">
        <is>
          <t>Siti Nurawaliah</t>
        </is>
      </c>
      <c r="G255" s="13" t="inlineStr">
        <is>
          <t>Produksi</t>
        </is>
      </c>
    </row>
    <row r="256">
      <c r="A256" s="27" t="inlineStr">
        <is>
          <t>MK00145</t>
        </is>
      </c>
      <c r="B256" s="13" t="inlineStr">
        <is>
          <t>OUT</t>
        </is>
      </c>
      <c r="C256" s="177" t="n">
        <v>46200.41666666666</v>
      </c>
      <c r="D256" s="51" t="n">
        <v>0.5149074074074074</v>
      </c>
      <c r="E256" s="13" t="n">
        <v>528000290</v>
      </c>
      <c r="F256" s="13" t="inlineStr">
        <is>
          <t>Eval Pranata</t>
        </is>
      </c>
      <c r="G256" s="13" t="inlineStr">
        <is>
          <t>Produksi</t>
        </is>
      </c>
      <c r="H256" s="13" t="inlineStr">
        <is>
          <t>Sholat</t>
        </is>
      </c>
    </row>
    <row r="257">
      <c r="A257" s="27" t="inlineStr">
        <is>
          <t>MK00203</t>
        </is>
      </c>
      <c r="B257" s="13" t="inlineStr">
        <is>
          <t>IN</t>
        </is>
      </c>
      <c r="C257" s="177" t="n">
        <v>46200.41666666666</v>
      </c>
      <c r="D257" s="51" t="n">
        <v>0.5177083333333333</v>
      </c>
      <c r="E257" s="13" t="n">
        <v>528000099</v>
      </c>
      <c r="F257" s="13" t="inlineStr">
        <is>
          <t>Siti Nurawaliah</t>
        </is>
      </c>
      <c r="G257" s="13" t="inlineStr">
        <is>
          <t>Produksi</t>
        </is>
      </c>
    </row>
    <row r="258">
      <c r="A258" s="27" t="inlineStr">
        <is>
          <t>MK00202</t>
        </is>
      </c>
      <c r="B258" s="13" t="inlineStr">
        <is>
          <t>IN</t>
        </is>
      </c>
      <c r="C258" s="177" t="n">
        <v>46200.41666666666</v>
      </c>
      <c r="D258" s="51" t="n">
        <v>0.5193518518518518</v>
      </c>
      <c r="E258" s="13" t="n">
        <v>528000286</v>
      </c>
      <c r="F258" s="13" t="inlineStr">
        <is>
          <t>Imelda Amelia</t>
        </is>
      </c>
      <c r="G258" s="13" t="inlineStr">
        <is>
          <t>Produksi</t>
        </is>
      </c>
    </row>
    <row r="259">
      <c r="A259" s="27" t="inlineStr">
        <is>
          <t>MK00130</t>
        </is>
      </c>
      <c r="B259" s="13" t="inlineStr">
        <is>
          <t>OUT</t>
        </is>
      </c>
      <c r="C259" s="177" t="n">
        <v>46200.41666666666</v>
      </c>
      <c r="D259" s="51" t="n">
        <v>0.652962962962963</v>
      </c>
      <c r="E259" s="13" t="n">
        <v>528000291</v>
      </c>
      <c r="F259" s="13" t="inlineStr">
        <is>
          <t>Andrian</t>
        </is>
      </c>
      <c r="G259" s="13" t="inlineStr">
        <is>
          <t>Produksi</t>
        </is>
      </c>
    </row>
    <row r="260">
      <c r="A260" s="27" t="inlineStr">
        <is>
          <t>MK00130</t>
        </is>
      </c>
      <c r="B260" s="13" t="inlineStr">
        <is>
          <t>IN</t>
        </is>
      </c>
      <c r="C260" s="177" t="n">
        <v>46200.41666666666</v>
      </c>
      <c r="D260" s="51" t="n">
        <v>0.6644328703703704</v>
      </c>
      <c r="E260" s="13" t="n">
        <v>528000291</v>
      </c>
      <c r="F260" s="13" t="inlineStr">
        <is>
          <t>Andrian</t>
        </is>
      </c>
      <c r="G260" s="13" t="inlineStr">
        <is>
          <t>Produksi</t>
        </is>
      </c>
    </row>
    <row r="261">
      <c r="A261" s="27" t="inlineStr">
        <is>
          <t>MK00109</t>
        </is>
      </c>
      <c r="B261" s="13" t="inlineStr">
        <is>
          <t>OUT</t>
        </is>
      </c>
      <c r="C261" s="177" t="n">
        <v>46200.41666666666</v>
      </c>
      <c r="D261" s="51" t="n">
        <v>0.7007523148148148</v>
      </c>
      <c r="E261" s="13" t="n">
        <v>528000358</v>
      </c>
      <c r="F261" s="13" t="inlineStr">
        <is>
          <t>Lulu Agustin</t>
        </is>
      </c>
      <c r="G261" s="13" t="inlineStr">
        <is>
          <t>Produksi</t>
        </is>
      </c>
      <c r="H261" s="13" t="inlineStr">
        <is>
          <t>Istirahat</t>
        </is>
      </c>
    </row>
    <row r="262">
      <c r="A262" s="27" t="inlineStr">
        <is>
          <t>MK00130</t>
        </is>
      </c>
      <c r="B262" s="13" t="inlineStr">
        <is>
          <t>OUT</t>
        </is>
      </c>
      <c r="C262" s="177" t="n">
        <v>46200.41666666666</v>
      </c>
      <c r="D262" s="51" t="n">
        <v>0.7584375</v>
      </c>
      <c r="E262" s="13" t="n">
        <v>528000291</v>
      </c>
      <c r="F262" s="13" t="inlineStr">
        <is>
          <t>Andrian</t>
        </is>
      </c>
      <c r="G262" s="13" t="inlineStr">
        <is>
          <t>Produksi</t>
        </is>
      </c>
      <c r="H262" s="13" t="inlineStr">
        <is>
          <t>Istirahat</t>
        </is>
      </c>
    </row>
    <row r="263">
      <c r="A263" s="27" t="inlineStr">
        <is>
          <t>MK00209</t>
        </is>
      </c>
      <c r="B263" s="13" t="inlineStr">
        <is>
          <t>OUT</t>
        </is>
      </c>
      <c r="C263" s="177" t="n">
        <v>46200.41666666666</v>
      </c>
      <c r="D263" s="51" t="n">
        <v>0.7765972222222223</v>
      </c>
      <c r="E263" s="13" t="n">
        <v>528000261</v>
      </c>
      <c r="F263" s="13" t="inlineStr">
        <is>
          <t>Ergi Ergianto</t>
        </is>
      </c>
      <c r="G263" s="13" t="inlineStr">
        <is>
          <t>Produksi</t>
        </is>
      </c>
    </row>
    <row r="264">
      <c r="A264" s="27" t="inlineStr">
        <is>
          <t>MK00154</t>
        </is>
      </c>
      <c r="B264" s="13" t="inlineStr">
        <is>
          <t>OUT</t>
        </is>
      </c>
      <c r="C264" s="177" t="n">
        <v>46200.41666666666</v>
      </c>
      <c r="D264" s="51" t="n">
        <v>0.7768287037037037</v>
      </c>
      <c r="E264" s="13" t="n">
        <v>528000262</v>
      </c>
      <c r="F264" s="13" t="inlineStr">
        <is>
          <t>Ndari Dwiwanti</t>
        </is>
      </c>
      <c r="G264" s="13" t="inlineStr">
        <is>
          <t>Produksi</t>
        </is>
      </c>
    </row>
    <row r="265">
      <c r="A265" s="27" t="inlineStr">
        <is>
          <t>MK00130</t>
        </is>
      </c>
      <c r="B265" s="13" t="inlineStr">
        <is>
          <t>IN</t>
        </is>
      </c>
      <c r="C265" s="177" t="n">
        <v>46200.41666666666</v>
      </c>
      <c r="D265" s="51" t="n">
        <v>0.7806597222222222</v>
      </c>
      <c r="E265" s="13" t="n">
        <v>528000291</v>
      </c>
      <c r="F265" s="13" t="inlineStr">
        <is>
          <t>Andrian</t>
        </is>
      </c>
      <c r="G265" s="13" t="inlineStr">
        <is>
          <t>Produksi</t>
        </is>
      </c>
    </row>
    <row r="266">
      <c r="A266" s="27" t="inlineStr">
        <is>
          <t>MK00209</t>
        </is>
      </c>
      <c r="B266" s="13" t="inlineStr">
        <is>
          <t>IN</t>
        </is>
      </c>
      <c r="C266" s="177" t="n">
        <v>46200.41666666666</v>
      </c>
      <c r="D266" s="51" t="n">
        <v>0.793125</v>
      </c>
      <c r="E266" s="13" t="n">
        <v>528000261</v>
      </c>
      <c r="F266" s="13" t="inlineStr">
        <is>
          <t>Ergi Ergianto</t>
        </is>
      </c>
      <c r="G266" s="13" t="inlineStr">
        <is>
          <t>Produksi</t>
        </is>
      </c>
    </row>
    <row r="267">
      <c r="A267" s="27" t="inlineStr">
        <is>
          <t>MK00209</t>
        </is>
      </c>
      <c r="B267" s="13" t="inlineStr">
        <is>
          <t>OUT</t>
        </is>
      </c>
      <c r="C267" s="177" t="n">
        <v>46200.41666666666</v>
      </c>
      <c r="D267" s="51" t="n">
        <v>0.8006481481481481</v>
      </c>
      <c r="E267" s="13" t="n">
        <v>528000261</v>
      </c>
      <c r="F267" s="13" t="inlineStr">
        <is>
          <t>Ergi Ergianto</t>
        </is>
      </c>
      <c r="G267" s="13" t="inlineStr">
        <is>
          <t>Produksi</t>
        </is>
      </c>
      <c r="H267" s="13" t="inlineStr">
        <is>
          <t>Istirahat</t>
        </is>
      </c>
    </row>
    <row r="268">
      <c r="A268" s="27" t="inlineStr">
        <is>
          <t>MK00209</t>
        </is>
      </c>
      <c r="B268" s="13" t="inlineStr">
        <is>
          <t>IN</t>
        </is>
      </c>
      <c r="C268" s="177" t="n">
        <v>46200.41666666666</v>
      </c>
      <c r="D268" s="51" t="n">
        <v>0.8017708333333333</v>
      </c>
      <c r="E268" s="13" t="n">
        <v>528000261</v>
      </c>
      <c r="F268" s="13" t="inlineStr">
        <is>
          <t>Ergi Ergianto</t>
        </is>
      </c>
      <c r="G268" s="13" t="inlineStr">
        <is>
          <t>Produksi</t>
        </is>
      </c>
      <c r="H268" s="13" t="inlineStr">
        <is>
          <t>Istirahat</t>
        </is>
      </c>
    </row>
    <row r="269">
      <c r="A269" s="27" t="inlineStr">
        <is>
          <t>MK00095</t>
        </is>
      </c>
      <c r="B269" s="13" t="inlineStr">
        <is>
          <t>OUT</t>
        </is>
      </c>
      <c r="C269" s="177" t="n">
        <v>46200.41666666666</v>
      </c>
      <c r="D269" s="51" t="n">
        <v>0.8220138888888889</v>
      </c>
      <c r="E269" s="13" t="n">
        <v>528000283</v>
      </c>
      <c r="F269" s="13" t="inlineStr">
        <is>
          <t>Purwanda Sugiri</t>
        </is>
      </c>
      <c r="G269" s="13" t="inlineStr">
        <is>
          <t>Produksi</t>
        </is>
      </c>
      <c r="H269" s="13" t="inlineStr">
        <is>
          <t>Istirahat</t>
        </is>
      </c>
    </row>
    <row r="270">
      <c r="A270" s="27" t="inlineStr">
        <is>
          <t>MK00095</t>
        </is>
      </c>
      <c r="B270" s="13" t="inlineStr">
        <is>
          <t>IN</t>
        </is>
      </c>
      <c r="C270" s="177" t="n">
        <v>46200.41666666666</v>
      </c>
      <c r="D270" s="51" t="n">
        <v>0.8495717592592592</v>
      </c>
      <c r="E270" s="13" t="n">
        <v>528000283</v>
      </c>
      <c r="F270" s="13" t="inlineStr">
        <is>
          <t>Purwanda Sugiri</t>
        </is>
      </c>
      <c r="G270" s="13" t="inlineStr">
        <is>
          <t>Produksi</t>
        </is>
      </c>
      <c r="H270" s="13" t="inlineStr">
        <is>
          <t>Istirahat</t>
        </is>
      </c>
    </row>
    <row r="271">
      <c r="A271" s="27" t="inlineStr">
        <is>
          <t>MK00199</t>
        </is>
      </c>
      <c r="B271" s="13" t="inlineStr">
        <is>
          <t>OUT</t>
        </is>
      </c>
      <c r="C271" s="177" t="n">
        <v>46201.41666666666</v>
      </c>
      <c r="D271" s="51" t="n">
        <v>0.02175925925925926</v>
      </c>
      <c r="E271" s="13" t="n">
        <v>528000098</v>
      </c>
      <c r="F271" s="13" t="inlineStr">
        <is>
          <t>Edi Junaedi</t>
        </is>
      </c>
      <c r="G271" s="13" t="inlineStr">
        <is>
          <t>Produksi</t>
        </is>
      </c>
      <c r="H271" s="13" t="inlineStr">
        <is>
          <t>Istirahat</t>
        </is>
      </c>
    </row>
    <row r="272">
      <c r="A272" s="27" t="inlineStr">
        <is>
          <t>MK00199</t>
        </is>
      </c>
      <c r="B272" s="13" t="inlineStr">
        <is>
          <t>IN</t>
        </is>
      </c>
      <c r="C272" s="177" t="n">
        <v>46201.41666666666</v>
      </c>
      <c r="D272" s="51" t="n">
        <v>0.02196759259259259</v>
      </c>
      <c r="E272" s="13" t="n">
        <v>528000098</v>
      </c>
      <c r="F272" s="13" t="inlineStr">
        <is>
          <t>Edi Junaedi</t>
        </is>
      </c>
      <c r="G272" s="13" t="inlineStr">
        <is>
          <t>Produksi</t>
        </is>
      </c>
      <c r="H272" s="13" t="inlineStr">
        <is>
          <t>Istirahat</t>
        </is>
      </c>
    </row>
    <row r="273">
      <c r="A273" s="27" t="inlineStr">
        <is>
          <t>MK00213</t>
        </is>
      </c>
      <c r="B273" s="13" t="inlineStr">
        <is>
          <t>OUT</t>
        </is>
      </c>
      <c r="C273" s="177" t="n">
        <v>46201.41666666666</v>
      </c>
      <c r="D273" s="51" t="n">
        <v>0.03042824074074074</v>
      </c>
      <c r="E273" s="13" t="n">
        <v>628000061</v>
      </c>
      <c r="F273" s="13" t="inlineStr">
        <is>
          <t>Nayla Fadillah Exwantoro</t>
        </is>
      </c>
      <c r="G273" s="13" t="inlineStr">
        <is>
          <t>Produksi</t>
        </is>
      </c>
    </row>
    <row r="274">
      <c r="A274" s="27" t="inlineStr">
        <is>
          <t>MK00213</t>
        </is>
      </c>
      <c r="B274" s="13" t="inlineStr">
        <is>
          <t>IN</t>
        </is>
      </c>
      <c r="C274" s="177" t="n">
        <v>46201.41666666666</v>
      </c>
      <c r="D274" s="51" t="n">
        <v>0.03077546296296296</v>
      </c>
      <c r="E274" s="13" t="n">
        <v>628000061</v>
      </c>
      <c r="F274" s="13" t="inlineStr">
        <is>
          <t>Nayla Fadillah Exwantoro</t>
        </is>
      </c>
      <c r="G274" s="13" t="inlineStr">
        <is>
          <t>Produksi</t>
        </is>
      </c>
      <c r="H274" s="13" t="inlineStr">
        <is>
          <t>Istirahat</t>
        </is>
      </c>
    </row>
    <row r="275">
      <c r="A275" s="27" t="inlineStr">
        <is>
          <t>MK00213</t>
        </is>
      </c>
      <c r="B275" s="13" t="inlineStr">
        <is>
          <t>OUT</t>
        </is>
      </c>
      <c r="C275" s="177" t="n">
        <v>46201.41666666666</v>
      </c>
      <c r="D275" s="51" t="n">
        <v>0.03291666666666666</v>
      </c>
      <c r="E275" s="13" t="n">
        <v>628000061</v>
      </c>
      <c r="F275" s="13" t="inlineStr">
        <is>
          <t>Nayla Fadillah Exwantoro</t>
        </is>
      </c>
      <c r="G275" s="13" t="inlineStr">
        <is>
          <t>Produksi</t>
        </is>
      </c>
      <c r="H275" s="13" t="inlineStr">
        <is>
          <t>Istirahat</t>
        </is>
      </c>
    </row>
    <row r="276">
      <c r="A276" s="27" t="inlineStr">
        <is>
          <t>MK00199</t>
        </is>
      </c>
      <c r="B276" s="13" t="inlineStr">
        <is>
          <t>OUT</t>
        </is>
      </c>
      <c r="C276" s="177" t="n">
        <v>46201.41666666666</v>
      </c>
      <c r="D276" s="51" t="n">
        <v>0.03369212962962963</v>
      </c>
      <c r="E276" s="13" t="n">
        <v>528000098</v>
      </c>
      <c r="F276" s="13" t="inlineStr">
        <is>
          <t>Edi Junaedi</t>
        </is>
      </c>
      <c r="G276" s="13" t="inlineStr">
        <is>
          <t>Produksi</t>
        </is>
      </c>
      <c r="H276" s="13" t="inlineStr">
        <is>
          <t>Istirahat</t>
        </is>
      </c>
    </row>
    <row r="277">
      <c r="A277" s="27" t="inlineStr">
        <is>
          <t>MK00199</t>
        </is>
      </c>
      <c r="B277" s="13" t="inlineStr">
        <is>
          <t>IN</t>
        </is>
      </c>
      <c r="C277" s="177" t="n">
        <v>46201.41666666666</v>
      </c>
      <c r="D277" s="51" t="n">
        <v>0.0478587962962963</v>
      </c>
      <c r="E277" s="13" t="n">
        <v>528000098</v>
      </c>
      <c r="F277" s="13" t="inlineStr">
        <is>
          <t>Edi Junaedi</t>
        </is>
      </c>
      <c r="G277" s="13" t="inlineStr">
        <is>
          <t>Produksi</t>
        </is>
      </c>
      <c r="H277" s="13" t="inlineStr">
        <is>
          <t>Istirahat</t>
        </is>
      </c>
    </row>
    <row r="278">
      <c r="A278" s="27" t="inlineStr">
        <is>
          <t>MK00213</t>
        </is>
      </c>
      <c r="B278" s="13" t="inlineStr">
        <is>
          <t>IN</t>
        </is>
      </c>
      <c r="C278" s="177" t="n">
        <v>46201.41666666666</v>
      </c>
      <c r="D278" s="51" t="n">
        <v>0.05240740740740741</v>
      </c>
      <c r="E278" s="13" t="n">
        <v>628000061</v>
      </c>
      <c r="F278" s="13" t="inlineStr">
        <is>
          <t>Nayla Fadillah Exwantoro</t>
        </is>
      </c>
      <c r="G278" s="13" t="inlineStr">
        <is>
          <t>Produksi</t>
        </is>
      </c>
      <c r="H278" s="13" t="inlineStr">
        <is>
          <t>Istirahat</t>
        </is>
      </c>
    </row>
    <row r="279">
      <c r="A279" s="27" t="inlineStr">
        <is>
          <t>MK00202</t>
        </is>
      </c>
      <c r="B279" s="13" t="inlineStr">
        <is>
          <t>OUT</t>
        </is>
      </c>
      <c r="C279" s="177" t="n">
        <v>46201.41666666666</v>
      </c>
      <c r="D279" s="51" t="n">
        <v>0.05763888888888889</v>
      </c>
      <c r="E279" s="13" t="n">
        <v>528000302</v>
      </c>
      <c r="F279" s="13" t="inlineStr">
        <is>
          <t>Henkey gumilar</t>
        </is>
      </c>
      <c r="G279" s="13" t="inlineStr">
        <is>
          <t>Produksi</t>
        </is>
      </c>
      <c r="H279" s="13" t="inlineStr">
        <is>
          <t>Istirahat</t>
        </is>
      </c>
    </row>
    <row r="280">
      <c r="A280" s="27" t="inlineStr">
        <is>
          <t>MK00141</t>
        </is>
      </c>
      <c r="B280" s="13" t="inlineStr">
        <is>
          <t>OUT</t>
        </is>
      </c>
      <c r="C280" s="177" t="n">
        <v>46201.41666666666</v>
      </c>
      <c r="D280" s="51" t="n">
        <v>0.05829861111111111</v>
      </c>
      <c r="E280" s="13" t="n">
        <v>528000298</v>
      </c>
      <c r="F280" s="13" t="inlineStr">
        <is>
          <t>Desta Cahaya Pratama</t>
        </is>
      </c>
      <c r="G280" s="13" t="inlineStr">
        <is>
          <t>Produksi</t>
        </is>
      </c>
      <c r="H280" s="13" t="inlineStr">
        <is>
          <t>Istirahat</t>
        </is>
      </c>
    </row>
    <row r="281">
      <c r="A281" s="27" t="inlineStr">
        <is>
          <t>MK00141</t>
        </is>
      </c>
      <c r="B281" s="13" t="inlineStr">
        <is>
          <t>IN</t>
        </is>
      </c>
      <c r="C281" s="177" t="n">
        <v>46201.41666666666</v>
      </c>
      <c r="D281" s="51" t="n">
        <v>0.08530092592592593</v>
      </c>
      <c r="E281" s="13" t="n">
        <v>528000298</v>
      </c>
      <c r="F281" s="13" t="inlineStr">
        <is>
          <t>Desta Cahaya Pratama</t>
        </is>
      </c>
      <c r="G281" s="13" t="inlineStr">
        <is>
          <t>Produksi</t>
        </is>
      </c>
      <c r="H281" s="13" t="inlineStr">
        <is>
          <t>Istirahat</t>
        </is>
      </c>
    </row>
    <row r="282">
      <c r="A282" s="27" t="inlineStr">
        <is>
          <t>MK00141</t>
        </is>
      </c>
      <c r="B282" s="13" t="inlineStr">
        <is>
          <t>OUT</t>
        </is>
      </c>
      <c r="C282" s="177" t="n">
        <v>46201.41666666666</v>
      </c>
      <c r="D282" s="51" t="n">
        <v>0.104525462962963</v>
      </c>
      <c r="E282" s="13" t="n">
        <v>528000298</v>
      </c>
      <c r="F282" s="13" t="inlineStr">
        <is>
          <t>Desta Cahaya Pratama</t>
        </is>
      </c>
      <c r="G282" s="13" t="inlineStr">
        <is>
          <t>Produksi</t>
        </is>
      </c>
      <c r="H282" s="13" t="inlineStr">
        <is>
          <t>Toilet</t>
        </is>
      </c>
    </row>
    <row r="283">
      <c r="A283" s="27" t="inlineStr">
        <is>
          <t>MK00185</t>
        </is>
      </c>
      <c r="B283" s="13" t="inlineStr">
        <is>
          <t>OUT</t>
        </is>
      </c>
      <c r="C283" s="177" t="n">
        <v>46201.41666666666</v>
      </c>
      <c r="D283" s="51" t="n">
        <v>0.1067592592592593</v>
      </c>
      <c r="E283" s="13" t="n">
        <v>528000270</v>
      </c>
      <c r="F283" s="13" t="inlineStr">
        <is>
          <t>Febri Najmudin</t>
        </is>
      </c>
      <c r="G283" s="13" t="inlineStr">
        <is>
          <t>Produksi</t>
        </is>
      </c>
      <c r="H283" s="13" t="inlineStr">
        <is>
          <t>Istirahat</t>
        </is>
      </c>
    </row>
    <row r="284">
      <c r="A284" s="27" t="inlineStr">
        <is>
          <t>MK00185</t>
        </is>
      </c>
      <c r="B284" s="13" t="inlineStr">
        <is>
          <t>IN</t>
        </is>
      </c>
      <c r="C284" s="177" t="n">
        <v>46201.41666666666</v>
      </c>
      <c r="D284" s="51" t="n">
        <v>0.1078819444444444</v>
      </c>
      <c r="E284" s="13" t="n">
        <v>528000270</v>
      </c>
      <c r="F284" s="13" t="inlineStr">
        <is>
          <t>Febri Najmudin</t>
        </is>
      </c>
      <c r="G284" s="13" t="inlineStr">
        <is>
          <t>Produksi</t>
        </is>
      </c>
      <c r="H284" s="13" t="inlineStr">
        <is>
          <t>Istirahat</t>
        </is>
      </c>
    </row>
    <row r="285">
      <c r="A285" s="27" t="inlineStr">
        <is>
          <t>MK00141</t>
        </is>
      </c>
      <c r="B285" s="13" t="inlineStr">
        <is>
          <t>IN</t>
        </is>
      </c>
      <c r="C285" s="177" t="n">
        <v>46201.41666666666</v>
      </c>
      <c r="D285" s="51" t="n">
        <v>0.1135300925925926</v>
      </c>
      <c r="E285" s="13" t="n">
        <v>528000298</v>
      </c>
      <c r="F285" s="13" t="inlineStr">
        <is>
          <t>Desta Cahaya Pratama</t>
        </is>
      </c>
      <c r="G285" s="13" t="inlineStr">
        <is>
          <t>Produksi</t>
        </is>
      </c>
      <c r="H285" s="13" t="inlineStr">
        <is>
          <t>Toilet</t>
        </is>
      </c>
    </row>
    <row r="286">
      <c r="A286" s="27" t="inlineStr">
        <is>
          <t>MK00249</t>
        </is>
      </c>
      <c r="B286" s="13" t="inlineStr">
        <is>
          <t>IN</t>
        </is>
      </c>
      <c r="C286" s="177" t="n">
        <v>46201.41666666666</v>
      </c>
      <c r="D286" s="51" t="n">
        <v>0.3890856481481482</v>
      </c>
      <c r="E286" s="13" t="n">
        <v>528000290</v>
      </c>
      <c r="F286" s="13" t="inlineStr">
        <is>
          <t>Eval Pranata</t>
        </is>
      </c>
      <c r="G286" s="13" t="inlineStr">
        <is>
          <t>Produksi</t>
        </is>
      </c>
      <c r="H286" s="13" t="inlineStr">
        <is>
          <t>Istirahat</t>
        </is>
      </c>
    </row>
    <row r="287">
      <c r="A287" s="27" t="inlineStr">
        <is>
          <t>MK00249</t>
        </is>
      </c>
      <c r="B287" s="13" t="inlineStr">
        <is>
          <t>OUT</t>
        </is>
      </c>
      <c r="C287" s="177" t="n">
        <v>46201.41666666666</v>
      </c>
      <c r="D287" s="51" t="n">
        <v>0.3893171296296296</v>
      </c>
      <c r="E287" s="13" t="n">
        <v>528000290</v>
      </c>
      <c r="F287" s="13" t="inlineStr">
        <is>
          <t>Eval Pranata</t>
        </is>
      </c>
      <c r="G287" s="13" t="inlineStr">
        <is>
          <t>Produksi</t>
        </is>
      </c>
      <c r="H287" s="13" t="inlineStr">
        <is>
          <t>Istirahat</t>
        </is>
      </c>
    </row>
    <row r="288">
      <c r="A288" s="27" t="inlineStr">
        <is>
          <t>MK00151</t>
        </is>
      </c>
      <c r="B288" s="13" t="inlineStr">
        <is>
          <t>OUT</t>
        </is>
      </c>
      <c r="C288" s="177" t="n">
        <v>46201.41666666666</v>
      </c>
      <c r="D288" s="51" t="n">
        <v>0.4094444444444444</v>
      </c>
      <c r="E288" s="13" t="n">
        <v>528000090</v>
      </c>
      <c r="F288" s="13" t="inlineStr">
        <is>
          <t>Suganda</t>
        </is>
      </c>
      <c r="G288" s="13" t="inlineStr">
        <is>
          <t>Produksi</t>
        </is>
      </c>
      <c r="H288" s="13" t="inlineStr">
        <is>
          <t>Istirahat</t>
        </is>
      </c>
    </row>
    <row r="289">
      <c r="A289" s="27" t="inlineStr">
        <is>
          <t>MK00249</t>
        </is>
      </c>
      <c r="B289" s="13" t="inlineStr">
        <is>
          <t>IN</t>
        </is>
      </c>
      <c r="C289" s="177" t="n">
        <v>46201.41666666666</v>
      </c>
      <c r="D289" s="51" t="n">
        <v>0.4229398148148148</v>
      </c>
      <c r="E289" s="13" t="n">
        <v>528000290</v>
      </c>
      <c r="F289" s="13" t="inlineStr">
        <is>
          <t>Eval Pranata</t>
        </is>
      </c>
      <c r="G289" s="13" t="inlineStr">
        <is>
          <t>Produksi</t>
        </is>
      </c>
      <c r="H289" s="13" t="inlineStr">
        <is>
          <t>Pekerjaan</t>
        </is>
      </c>
    </row>
    <row r="290">
      <c r="A290" s="27" t="inlineStr">
        <is>
          <t>MK00136</t>
        </is>
      </c>
      <c r="B290" s="13" t="inlineStr">
        <is>
          <t>OUT</t>
        </is>
      </c>
      <c r="C290" s="177" t="n">
        <v>46201.41666666666</v>
      </c>
      <c r="D290" s="51" t="n">
        <v>0.423125</v>
      </c>
      <c r="E290" s="13" t="n">
        <v>528000274</v>
      </c>
      <c r="F290" s="13" t="inlineStr">
        <is>
          <t>Zepri</t>
        </is>
      </c>
      <c r="G290" s="13" t="inlineStr">
        <is>
          <t>Produksi</t>
        </is>
      </c>
      <c r="H290" s="13" t="inlineStr">
        <is>
          <t>Istirahat</t>
        </is>
      </c>
    </row>
    <row r="291">
      <c r="A291" s="27" t="inlineStr">
        <is>
          <t>MK00151</t>
        </is>
      </c>
      <c r="B291" s="13" t="inlineStr">
        <is>
          <t>IN</t>
        </is>
      </c>
      <c r="C291" s="177" t="n">
        <v>46201.41666666666</v>
      </c>
      <c r="D291" s="51" t="n">
        <v>0.4360185185185185</v>
      </c>
      <c r="E291" s="13" t="n">
        <v>528000090</v>
      </c>
      <c r="F291" s="13" t="inlineStr">
        <is>
          <t>Suganda</t>
        </is>
      </c>
      <c r="G291" s="13" t="inlineStr">
        <is>
          <t>Produksi</t>
        </is>
      </c>
      <c r="H291" s="13" t="inlineStr">
        <is>
          <t>Pekerjaan</t>
        </is>
      </c>
    </row>
    <row r="292">
      <c r="A292" s="27" t="inlineStr">
        <is>
          <t>MK00136</t>
        </is>
      </c>
      <c r="B292" s="13" t="inlineStr">
        <is>
          <t>IN</t>
        </is>
      </c>
      <c r="C292" s="177" t="n">
        <v>46201.41666666666</v>
      </c>
      <c r="D292" s="51" t="n">
        <v>0.4367824074074074</v>
      </c>
      <c r="E292" s="13" t="n">
        <v>528000274</v>
      </c>
      <c r="F292" s="13" t="inlineStr">
        <is>
          <t>Zepri</t>
        </is>
      </c>
      <c r="G292" s="13" t="inlineStr">
        <is>
          <t>Produksi</t>
        </is>
      </c>
      <c r="H292" s="13" t="inlineStr">
        <is>
          <t>Pekerjaan</t>
        </is>
      </c>
    </row>
    <row r="293">
      <c r="A293" s="27" t="inlineStr">
        <is>
          <t>MK00181</t>
        </is>
      </c>
      <c r="B293" s="13" t="inlineStr">
        <is>
          <t>OUT</t>
        </is>
      </c>
      <c r="C293" s="177" t="n">
        <v>46201.41666666666</v>
      </c>
      <c r="D293" s="51" t="n">
        <v>0.4371064814814815</v>
      </c>
      <c r="E293" s="13" t="n">
        <v>528000201</v>
      </c>
      <c r="F293" s="13" t="inlineStr">
        <is>
          <t>Zahwa Amelia Choerunissa</t>
        </is>
      </c>
      <c r="G293" s="13" t="inlineStr">
        <is>
          <t>Produksi</t>
        </is>
      </c>
      <c r="H293" s="13" t="inlineStr">
        <is>
          <t>Istirahat</t>
        </is>
      </c>
    </row>
    <row r="294">
      <c r="A294" s="27" t="inlineStr">
        <is>
          <t>MK00208</t>
        </is>
      </c>
      <c r="B294" s="13" t="inlineStr">
        <is>
          <t>OUT</t>
        </is>
      </c>
      <c r="C294" s="177" t="n">
        <v>46201.41666666666</v>
      </c>
      <c r="D294" s="51" t="n">
        <v>0.4372916666666667</v>
      </c>
      <c r="E294" s="13" t="n">
        <v>528000286</v>
      </c>
      <c r="F294" s="13" t="inlineStr">
        <is>
          <t>Imelda Amelia</t>
        </is>
      </c>
      <c r="G294" s="13" t="inlineStr">
        <is>
          <t>Produksi</t>
        </is>
      </c>
      <c r="H294" s="13" t="inlineStr">
        <is>
          <t>Istirahat</t>
        </is>
      </c>
    </row>
    <row r="295">
      <c r="A295" s="27" t="inlineStr">
        <is>
          <t>MK00158</t>
        </is>
      </c>
      <c r="B295" s="13" t="inlineStr">
        <is>
          <t>OUT</t>
        </is>
      </c>
      <c r="C295" s="177" t="n">
        <v>46201.41666666666</v>
      </c>
      <c r="D295" s="51" t="n">
        <v>0.4430555555555555</v>
      </c>
      <c r="E295" s="13" t="n">
        <v>528000241</v>
      </c>
      <c r="F295" s="13" t="inlineStr">
        <is>
          <t>Balia Nurafif Bilah</t>
        </is>
      </c>
      <c r="G295" s="13" t="inlineStr">
        <is>
          <t>Produksi</t>
        </is>
      </c>
      <c r="H295" s="13" t="inlineStr">
        <is>
          <t>Istirahat</t>
        </is>
      </c>
    </row>
    <row r="296">
      <c r="A296" s="27" t="inlineStr">
        <is>
          <t>MK00181</t>
        </is>
      </c>
      <c r="B296" s="13" t="inlineStr">
        <is>
          <t>IN</t>
        </is>
      </c>
      <c r="C296" s="177" t="n">
        <v>46201.41666666666</v>
      </c>
      <c r="D296" s="51" t="n">
        <v>0.4580439814814815</v>
      </c>
      <c r="E296" s="13" t="n">
        <v>528000201</v>
      </c>
      <c r="F296" s="13" t="inlineStr">
        <is>
          <t>Zahwa Amelia Choerunissa</t>
        </is>
      </c>
      <c r="G296" s="13" t="inlineStr">
        <is>
          <t>Produksi</t>
        </is>
      </c>
      <c r="H296" s="13" t="inlineStr">
        <is>
          <t>Pekerjaan</t>
        </is>
      </c>
    </row>
    <row r="297">
      <c r="A297" s="27" t="inlineStr">
        <is>
          <t>MK00208</t>
        </is>
      </c>
      <c r="B297" s="13" t="inlineStr">
        <is>
          <t>IN</t>
        </is>
      </c>
      <c r="C297" s="177" t="n">
        <v>46201.41666666666</v>
      </c>
      <c r="D297" s="51" t="n">
        <v>0.458287037037037</v>
      </c>
      <c r="E297" s="13" t="n">
        <v>528000286</v>
      </c>
      <c r="F297" s="13" t="inlineStr">
        <is>
          <t>Imelda Amelia</t>
        </is>
      </c>
      <c r="G297" s="13" t="inlineStr">
        <is>
          <t>Produksi</t>
        </is>
      </c>
      <c r="H297" s="13" t="inlineStr">
        <is>
          <t>Pekerjaan</t>
        </is>
      </c>
    </row>
    <row r="298">
      <c r="A298" s="27" t="inlineStr">
        <is>
          <t>MK00158</t>
        </is>
      </c>
      <c r="B298" s="13" t="inlineStr">
        <is>
          <t>IN</t>
        </is>
      </c>
      <c r="C298" s="177" t="n">
        <v>46201.41666666666</v>
      </c>
      <c r="D298" s="51" t="n">
        <v>0.4658449074074074</v>
      </c>
      <c r="E298" s="13" t="n">
        <v>528000241</v>
      </c>
      <c r="F298" s="13" t="inlineStr">
        <is>
          <t>Balia Nurafif Bilah</t>
        </is>
      </c>
      <c r="G298" s="13" t="inlineStr">
        <is>
          <t>Produksi</t>
        </is>
      </c>
      <c r="H298" s="13" t="inlineStr">
        <is>
          <t>Pekerjaan</t>
        </is>
      </c>
    </row>
    <row r="299">
      <c r="A299" s="27" t="inlineStr">
        <is>
          <t>MK00109</t>
        </is>
      </c>
      <c r="B299" s="13" t="inlineStr">
        <is>
          <t>IN</t>
        </is>
      </c>
      <c r="C299" s="177" t="n">
        <v>46201.41666666666</v>
      </c>
      <c r="D299" s="51" t="n">
        <v>0.4664236111111111</v>
      </c>
      <c r="E299" s="13" t="n">
        <v>528000244</v>
      </c>
      <c r="F299" s="13" t="inlineStr">
        <is>
          <t>Rodian Rifai</t>
        </is>
      </c>
      <c r="G299" s="13" t="inlineStr">
        <is>
          <t>Produksi</t>
        </is>
      </c>
      <c r="H299" s="13" t="inlineStr">
        <is>
          <t>Istirahat</t>
        </is>
      </c>
    </row>
    <row r="300">
      <c r="A300" s="27" t="inlineStr">
        <is>
          <t>MK00109</t>
        </is>
      </c>
      <c r="B300" s="13" t="inlineStr">
        <is>
          <t>OUT</t>
        </is>
      </c>
      <c r="C300" s="177" t="n">
        <v>46201.41666666666</v>
      </c>
      <c r="D300" s="51" t="n">
        <v>0.4904861111111111</v>
      </c>
      <c r="E300" s="13" t="n">
        <v>528000244</v>
      </c>
      <c r="F300" s="13" t="inlineStr">
        <is>
          <t>Rodian Rifai</t>
        </is>
      </c>
      <c r="G300" s="13" t="inlineStr">
        <is>
          <t>Produksi</t>
        </is>
      </c>
      <c r="H300" s="13" t="inlineStr">
        <is>
          <t>Pekerjaan</t>
        </is>
      </c>
    </row>
    <row r="301">
      <c r="A301" s="27" t="inlineStr">
        <is>
          <t>MK00109</t>
        </is>
      </c>
      <c r="B301" s="13" t="inlineStr">
        <is>
          <t>IN</t>
        </is>
      </c>
      <c r="C301" s="177" t="n">
        <v>46201.41666666666</v>
      </c>
      <c r="D301" s="51" t="n">
        <v>0.4912152777777778</v>
      </c>
      <c r="E301" s="13" t="n">
        <v>528000244</v>
      </c>
      <c r="F301" s="13" t="inlineStr">
        <is>
          <t>Rodian Rifai</t>
        </is>
      </c>
      <c r="G301" s="13" t="inlineStr">
        <is>
          <t>Produksi</t>
        </is>
      </c>
      <c r="H301" s="13" t="inlineStr">
        <is>
          <t>Pekerjaan</t>
        </is>
      </c>
    </row>
    <row r="302">
      <c r="A302" s="27" t="inlineStr">
        <is>
          <t>MK00138</t>
        </is>
      </c>
      <c r="B302" s="13" t="inlineStr">
        <is>
          <t>OUT</t>
        </is>
      </c>
      <c r="C302" s="177" t="n">
        <v>46201.41666666666</v>
      </c>
      <c r="D302" s="51" t="n">
        <v>0.7240856481481481</v>
      </c>
      <c r="E302" s="13" t="n">
        <v>528000291</v>
      </c>
      <c r="F302" s="13" t="inlineStr">
        <is>
          <t>Andrian</t>
        </is>
      </c>
      <c r="G302" s="13" t="inlineStr">
        <is>
          <t>Produksi</t>
        </is>
      </c>
      <c r="H302" s="13" t="inlineStr">
        <is>
          <t>Istirahat</t>
        </is>
      </c>
    </row>
    <row r="303">
      <c r="A303" s="27" t="inlineStr">
        <is>
          <t>MK00138</t>
        </is>
      </c>
      <c r="B303" s="13" t="inlineStr">
        <is>
          <t>IN</t>
        </is>
      </c>
      <c r="C303" s="177" t="n">
        <v>46201.41666666666</v>
      </c>
      <c r="D303" s="51" t="n">
        <v>0.7488194444444445</v>
      </c>
      <c r="E303" s="13" t="n">
        <v>528000291</v>
      </c>
      <c r="F303" s="13" t="inlineStr">
        <is>
          <t>Andrian</t>
        </is>
      </c>
      <c r="G303" s="13" t="inlineStr">
        <is>
          <t>Produksi</t>
        </is>
      </c>
      <c r="H303" s="13" t="inlineStr">
        <is>
          <t>Pekerjaan</t>
        </is>
      </c>
    </row>
    <row r="304">
      <c r="A304" s="27" t="inlineStr">
        <is>
          <t>MK00199</t>
        </is>
      </c>
      <c r="B304" s="13" t="inlineStr">
        <is>
          <t>OUT</t>
        </is>
      </c>
      <c r="C304" s="177" t="n">
        <v>46201.41666666666</v>
      </c>
      <c r="D304" s="51" t="n">
        <v>0.7593402777777778</v>
      </c>
      <c r="E304" s="13" t="n">
        <v>528000306</v>
      </c>
      <c r="F304" s="13" t="inlineStr">
        <is>
          <t>Windy Olivia</t>
        </is>
      </c>
      <c r="G304" s="13" t="inlineStr">
        <is>
          <t>Produksi</t>
        </is>
      </c>
      <c r="H304" s="13" t="inlineStr">
        <is>
          <t>Pekerjaan</t>
        </is>
      </c>
    </row>
    <row r="305">
      <c r="A305" s="27" t="inlineStr">
        <is>
          <t>MK00154</t>
        </is>
      </c>
      <c r="B305" s="13" t="inlineStr">
        <is>
          <t>IN</t>
        </is>
      </c>
      <c r="C305" s="177" t="n">
        <v>46201.41666666666</v>
      </c>
      <c r="D305" s="51" t="n">
        <v>0.7643981481481481</v>
      </c>
      <c r="E305" s="13" t="n">
        <v>528000262</v>
      </c>
      <c r="F305" s="13" t="inlineStr">
        <is>
          <t>Ndari Dwiwanti</t>
        </is>
      </c>
      <c r="G305" s="13" t="inlineStr">
        <is>
          <t>Produksi</t>
        </is>
      </c>
      <c r="H305" s="13" t="inlineStr">
        <is>
          <t>Pekerjaan</t>
        </is>
      </c>
    </row>
    <row r="306">
      <c r="A306" s="27" t="inlineStr">
        <is>
          <t>MK00154</t>
        </is>
      </c>
      <c r="B306" s="13" t="inlineStr">
        <is>
          <t>OUT</t>
        </is>
      </c>
      <c r="C306" s="177" t="n">
        <v>46201.41666666666</v>
      </c>
      <c r="D306" s="51" t="n">
        <v>0.7647222222222222</v>
      </c>
      <c r="E306" s="13" t="n">
        <v>528000262</v>
      </c>
      <c r="F306" s="13" t="inlineStr">
        <is>
          <t>Ndari Dwiwanti</t>
        </is>
      </c>
      <c r="G306" s="13" t="inlineStr">
        <is>
          <t>Produksi</t>
        </is>
      </c>
      <c r="H306" s="13" t="inlineStr">
        <is>
          <t>Istirahat</t>
        </is>
      </c>
    </row>
    <row r="307">
      <c r="A307" s="27" t="inlineStr">
        <is>
          <t>MK00199</t>
        </is>
      </c>
      <c r="B307" s="13" t="inlineStr">
        <is>
          <t>IN</t>
        </is>
      </c>
      <c r="C307" s="177" t="n">
        <v>46201.41666666666</v>
      </c>
      <c r="D307" s="51" t="n">
        <v>0.7849421296296296</v>
      </c>
      <c r="E307" s="13" t="n">
        <v>528000306</v>
      </c>
      <c r="F307" s="13" t="inlineStr">
        <is>
          <t>Windy Olivia</t>
        </is>
      </c>
      <c r="G307" s="13" t="inlineStr">
        <is>
          <t>Produksi</t>
        </is>
      </c>
      <c r="H307" s="13" t="inlineStr">
        <is>
          <t>Pekerjaan</t>
        </is>
      </c>
    </row>
    <row r="308">
      <c r="A308" s="27" t="inlineStr">
        <is>
          <t>MK00154</t>
        </is>
      </c>
      <c r="B308" s="13" t="inlineStr">
        <is>
          <t>IN</t>
        </is>
      </c>
      <c r="C308" s="177" t="n">
        <v>46201.41666666666</v>
      </c>
      <c r="D308" s="51" t="n">
        <v>0.785150462962963</v>
      </c>
      <c r="E308" s="13" t="n">
        <v>528000262</v>
      </c>
      <c r="F308" s="13" t="inlineStr">
        <is>
          <t>Ndari Dwiwanti</t>
        </is>
      </c>
      <c r="G308" s="13" t="inlineStr">
        <is>
          <t>Produksi</t>
        </is>
      </c>
      <c r="H308" s="13" t="inlineStr">
        <is>
          <t>Pekerjaan</t>
        </is>
      </c>
    </row>
    <row r="309">
      <c r="A309" s="27" t="inlineStr">
        <is>
          <t>MK00202</t>
        </is>
      </c>
      <c r="B309" s="13" t="inlineStr">
        <is>
          <t>OUT</t>
        </is>
      </c>
      <c r="C309" s="177" t="n">
        <v>46201.41666666666</v>
      </c>
      <c r="D309" s="51" t="n">
        <v>0.8195717592592593</v>
      </c>
      <c r="E309" s="13" t="n">
        <v>528000283</v>
      </c>
      <c r="F309" s="13" t="inlineStr">
        <is>
          <t>Purwanda Sugiri</t>
        </is>
      </c>
      <c r="G309" s="13" t="inlineStr">
        <is>
          <t>Produksi</t>
        </is>
      </c>
    </row>
    <row r="310">
      <c r="A310" s="27" t="inlineStr">
        <is>
          <t>MK00202</t>
        </is>
      </c>
      <c r="B310" s="13" t="inlineStr">
        <is>
          <t>IN</t>
        </is>
      </c>
      <c r="C310" s="177" t="n">
        <v>46201.41666666666</v>
      </c>
      <c r="D310" s="51" t="n">
        <v>0.8485416666666666</v>
      </c>
      <c r="E310" s="13" t="n">
        <v>528000283</v>
      </c>
      <c r="F310" s="13" t="inlineStr">
        <is>
          <t>Purwanda Sugiri</t>
        </is>
      </c>
      <c r="G310" s="13" t="inlineStr">
        <is>
          <t>Produksi</t>
        </is>
      </c>
    </row>
    <row r="311">
      <c r="A311" s="27" t="inlineStr">
        <is>
          <t>MK00134</t>
        </is>
      </c>
      <c r="B311" s="13" t="inlineStr">
        <is>
          <t>OUT</t>
        </is>
      </c>
      <c r="C311" s="177" t="n">
        <v>46202.41666666666</v>
      </c>
      <c r="D311" s="51" t="n">
        <v>0.02953703703703704</v>
      </c>
      <c r="E311" s="13" t="n">
        <v>528000098</v>
      </c>
      <c r="F311" s="13" t="inlineStr">
        <is>
          <t>Edi Junaedi</t>
        </is>
      </c>
      <c r="G311" s="13" t="inlineStr">
        <is>
          <t>Produksi</t>
        </is>
      </c>
      <c r="H311" s="13" t="inlineStr">
        <is>
          <t>Istirahat</t>
        </is>
      </c>
    </row>
    <row r="312">
      <c r="A312" s="27" t="inlineStr">
        <is>
          <t>MK00134</t>
        </is>
      </c>
      <c r="B312" s="13" t="inlineStr">
        <is>
          <t>IN</t>
        </is>
      </c>
      <c r="C312" s="177" t="n">
        <v>46202.41666666666</v>
      </c>
      <c r="D312" s="51" t="n">
        <v>0.1381712962962963</v>
      </c>
      <c r="E312" s="13" t="n">
        <v>528000098</v>
      </c>
      <c r="F312" s="13" t="inlineStr">
        <is>
          <t>Edi Junaedi</t>
        </is>
      </c>
      <c r="G312" s="13" t="inlineStr">
        <is>
          <t>Produksi</t>
        </is>
      </c>
      <c r="H312" s="13" t="inlineStr">
        <is>
          <t>Istirahat</t>
        </is>
      </c>
    </row>
    <row r="313">
      <c r="A313" s="27" t="inlineStr">
        <is>
          <t>MK00158</t>
        </is>
      </c>
      <c r="B313" s="13" t="inlineStr">
        <is>
          <t>OUT</t>
        </is>
      </c>
      <c r="C313" s="177" t="n">
        <v>46202.41666666666</v>
      </c>
      <c r="D313" s="51" t="n">
        <v>0.1526851851851852</v>
      </c>
      <c r="E313" s="13" t="n">
        <v>528000299</v>
      </c>
      <c r="F313" s="13" t="inlineStr">
        <is>
          <t>Siti Nurjanah</t>
        </is>
      </c>
      <c r="G313" s="13" t="inlineStr">
        <is>
          <t>Produksi</t>
        </is>
      </c>
    </row>
    <row r="314">
      <c r="A314" s="27" t="inlineStr">
        <is>
          <t>MK00208</t>
        </is>
      </c>
      <c r="B314" s="13" t="inlineStr">
        <is>
          <t>OUT</t>
        </is>
      </c>
      <c r="C314" s="177" t="n">
        <v>46202.41666666666</v>
      </c>
      <c r="D314" s="51" t="n">
        <v>0.1528819444444444</v>
      </c>
      <c r="E314" s="13" t="n">
        <v>528000302</v>
      </c>
      <c r="F314" s="13" t="inlineStr">
        <is>
          <t>Henkey gumilar</t>
        </is>
      </c>
      <c r="G314" s="13" t="inlineStr">
        <is>
          <t>Produksi</t>
        </is>
      </c>
    </row>
    <row r="315">
      <c r="A315" s="27" t="inlineStr">
        <is>
          <t>MK00209</t>
        </is>
      </c>
      <c r="B315" s="13" t="inlineStr">
        <is>
          <t>OUT</t>
        </is>
      </c>
      <c r="C315" s="177" t="n">
        <v>46202.41666666666</v>
      </c>
      <c r="D315" s="51" t="n">
        <v>0.1531828703703704</v>
      </c>
      <c r="E315" s="13" t="n">
        <v>528000298</v>
      </c>
      <c r="F315" s="13" t="inlineStr">
        <is>
          <t>Desta Cahaya Pratama</t>
        </is>
      </c>
      <c r="G315" s="13" t="inlineStr">
        <is>
          <t>Produksi</t>
        </is>
      </c>
    </row>
    <row r="316">
      <c r="A316" s="27" t="inlineStr">
        <is>
          <t>MK00085</t>
        </is>
      </c>
      <c r="B316" s="13" t="inlineStr">
        <is>
          <t>OUT</t>
        </is>
      </c>
      <c r="C316" s="177" t="n">
        <v>46202.41666666666</v>
      </c>
      <c r="D316" s="51" t="n">
        <v>0.1533912037037037</v>
      </c>
      <c r="E316" s="13" t="n">
        <v>628000061</v>
      </c>
      <c r="F316" s="13" t="inlineStr">
        <is>
          <t>Nayla Fadillah Exwantoro</t>
        </is>
      </c>
      <c r="G316" s="13" t="inlineStr">
        <is>
          <t>Produksi</t>
        </is>
      </c>
    </row>
    <row r="317">
      <c r="A317" s="27" t="inlineStr">
        <is>
          <t>MK00249</t>
        </is>
      </c>
      <c r="B317" s="13" t="inlineStr">
        <is>
          <t>OUT</t>
        </is>
      </c>
      <c r="C317" s="177" t="n">
        <v>46202.41666666666</v>
      </c>
      <c r="D317" s="51" t="n">
        <v>0.1537615740740741</v>
      </c>
      <c r="E317" s="13" t="n">
        <v>528000270</v>
      </c>
      <c r="F317" s="13" t="inlineStr">
        <is>
          <t>Febri Najmudin</t>
        </is>
      </c>
      <c r="G317" s="13" t="inlineStr">
        <is>
          <t>Produksi</t>
        </is>
      </c>
    </row>
    <row r="318">
      <c r="A318" s="27" t="inlineStr">
        <is>
          <t>MK00249</t>
        </is>
      </c>
      <c r="B318" s="13" t="inlineStr">
        <is>
          <t>IN</t>
        </is>
      </c>
      <c r="C318" s="177" t="n">
        <v>46202.41666666666</v>
      </c>
      <c r="D318" s="51" t="n">
        <v>0.1656134259259259</v>
      </c>
      <c r="E318" s="13" t="n">
        <v>528000270</v>
      </c>
      <c r="F318" s="13" t="inlineStr">
        <is>
          <t>Febri Najmudin</t>
        </is>
      </c>
      <c r="G318" s="13" t="inlineStr">
        <is>
          <t>Produksi</t>
        </is>
      </c>
      <c r="H318" s="13" t="inlineStr">
        <is>
          <t>Istirahat</t>
        </is>
      </c>
    </row>
    <row r="319">
      <c r="A319" s="27" t="inlineStr">
        <is>
          <t>MK00085</t>
        </is>
      </c>
      <c r="B319" s="13" t="inlineStr">
        <is>
          <t>IN</t>
        </is>
      </c>
      <c r="C319" s="177" t="n">
        <v>46202.41666666666</v>
      </c>
      <c r="D319" s="51" t="n">
        <v>0.1657638888888889</v>
      </c>
      <c r="E319" s="13" t="n">
        <v>628000061</v>
      </c>
      <c r="F319" s="13" t="inlineStr">
        <is>
          <t>Nayla Fadillah Exwantoro</t>
        </is>
      </c>
      <c r="G319" s="13" t="inlineStr">
        <is>
          <t>Produksi</t>
        </is>
      </c>
      <c r="H319" s="13" t="inlineStr">
        <is>
          <t>Istirahat</t>
        </is>
      </c>
    </row>
    <row r="320">
      <c r="A320" s="27" t="inlineStr">
        <is>
          <t>MK00249</t>
        </is>
      </c>
      <c r="B320" s="13" t="inlineStr">
        <is>
          <t>IN</t>
        </is>
      </c>
      <c r="C320" s="177" t="n">
        <v>46202.41666666666</v>
      </c>
      <c r="D320" s="51" t="n">
        <v>0.1659259259259259</v>
      </c>
      <c r="E320" s="13" t="n">
        <v>528000270</v>
      </c>
      <c r="F320" s="13" t="inlineStr">
        <is>
          <t>Febri Najmudin</t>
        </is>
      </c>
      <c r="G320" s="13" t="inlineStr">
        <is>
          <t>Produksi</t>
        </is>
      </c>
      <c r="H320" s="13" t="inlineStr">
        <is>
          <t>Istirahat</t>
        </is>
      </c>
    </row>
    <row r="321">
      <c r="A321" s="27" t="inlineStr">
        <is>
          <t>MK00209</t>
        </is>
      </c>
      <c r="B321" s="13" t="inlineStr">
        <is>
          <t>IN</t>
        </is>
      </c>
      <c r="C321" s="177" t="n">
        <v>46202.41666666666</v>
      </c>
      <c r="D321" s="51" t="n">
        <v>0.1663194444444444</v>
      </c>
      <c r="E321" s="13" t="n">
        <v>528000298</v>
      </c>
      <c r="F321" s="13" t="inlineStr">
        <is>
          <t>Desta Cahaya Pratama</t>
        </is>
      </c>
      <c r="G321" s="13" t="inlineStr">
        <is>
          <t>Produksi</t>
        </is>
      </c>
      <c r="H321" s="13" t="inlineStr">
        <is>
          <t>Istirahat</t>
        </is>
      </c>
    </row>
    <row r="322">
      <c r="A322" s="27" t="inlineStr">
        <is>
          <t>MK00208</t>
        </is>
      </c>
      <c r="B322" s="13" t="inlineStr">
        <is>
          <t>IN</t>
        </is>
      </c>
      <c r="C322" s="177" t="n">
        <v>46202.41666666666</v>
      </c>
      <c r="D322" s="51" t="n">
        <v>0.1666666666666667</v>
      </c>
      <c r="E322" s="13" t="n">
        <v>528000302</v>
      </c>
      <c r="F322" s="13" t="inlineStr">
        <is>
          <t>Henkey gumilar</t>
        </is>
      </c>
      <c r="G322" s="13" t="inlineStr">
        <is>
          <t>Produksi</t>
        </is>
      </c>
      <c r="H322" s="13" t="inlineStr">
        <is>
          <t>Istirahat</t>
        </is>
      </c>
    </row>
    <row r="323">
      <c r="A323" s="27" t="inlineStr">
        <is>
          <t>MK00158</t>
        </is>
      </c>
      <c r="B323" s="13" t="inlineStr">
        <is>
          <t>IN</t>
        </is>
      </c>
      <c r="C323" s="177" t="n">
        <v>46202.41666666666</v>
      </c>
      <c r="D323" s="51" t="n">
        <v>0.167037037037037</v>
      </c>
      <c r="E323" s="13" t="n">
        <v>528000299</v>
      </c>
      <c r="F323" s="13" t="inlineStr">
        <is>
          <t>Siti Nurjanah</t>
        </is>
      </c>
      <c r="G323" s="13" t="inlineStr">
        <is>
          <t>Produksi</t>
        </is>
      </c>
      <c r="H323" s="13" t="inlineStr">
        <is>
          <t>Istirahat</t>
        </is>
      </c>
    </row>
    <row r="324">
      <c r="A324" s="27" t="inlineStr">
        <is>
          <t>MK00213</t>
        </is>
      </c>
      <c r="B324" s="13" t="inlineStr">
        <is>
          <t>OUT</t>
        </is>
      </c>
      <c r="C324" s="177" t="n">
        <v>46202.41666666666</v>
      </c>
      <c r="D324" s="51" t="n">
        <v>0.353125</v>
      </c>
      <c r="E324" s="13" t="n">
        <v>528000290</v>
      </c>
      <c r="F324" s="13" t="inlineStr">
        <is>
          <t>Eval Pranata</t>
        </is>
      </c>
      <c r="G324" s="13" t="inlineStr">
        <is>
          <t>Produksi</t>
        </is>
      </c>
    </row>
    <row r="325">
      <c r="A325" s="27" t="inlineStr">
        <is>
          <t>MK00213</t>
        </is>
      </c>
      <c r="B325" s="13" t="inlineStr">
        <is>
          <t>IN</t>
        </is>
      </c>
      <c r="C325" s="177" t="n">
        <v>46202.41666666666</v>
      </c>
      <c r="D325" s="51" t="n">
        <v>0.375162037037037</v>
      </c>
      <c r="E325" s="13" t="n">
        <v>528000290</v>
      </c>
      <c r="F325" s="13" t="inlineStr">
        <is>
          <t>Eval Pranata</t>
        </is>
      </c>
      <c r="G325" s="13" t="inlineStr">
        <is>
          <t>Produksi</t>
        </is>
      </c>
      <c r="H325" s="13" t="inlineStr">
        <is>
          <t>Pekerjaan</t>
        </is>
      </c>
    </row>
    <row r="326">
      <c r="A326" s="27" t="inlineStr">
        <is>
          <t>MK00138</t>
        </is>
      </c>
      <c r="B326" s="13" t="inlineStr">
        <is>
          <t>OUT</t>
        </is>
      </c>
      <c r="C326" s="177" t="n">
        <v>46202.41666666666</v>
      </c>
      <c r="D326" s="51" t="n">
        <v>0.4130902777777778</v>
      </c>
      <c r="E326" s="13" t="n">
        <v>528000241</v>
      </c>
      <c r="F326" s="13" t="inlineStr">
        <is>
          <t>Balia Nurafif Bilah</t>
        </is>
      </c>
      <c r="G326" s="13" t="inlineStr">
        <is>
          <t>Produksi</t>
        </is>
      </c>
      <c r="H326" s="13" t="inlineStr">
        <is>
          <t>Istirahat</t>
        </is>
      </c>
    </row>
    <row r="327">
      <c r="A327" s="27" t="inlineStr">
        <is>
          <t>MK00185</t>
        </is>
      </c>
      <c r="B327" s="13" t="inlineStr">
        <is>
          <t>OUT</t>
        </is>
      </c>
      <c r="C327" s="177" t="n">
        <v>46202.41666666666</v>
      </c>
      <c r="D327" s="51" t="n">
        <v>0.4132175925925926</v>
      </c>
      <c r="E327" s="13" t="n">
        <v>528000090</v>
      </c>
      <c r="F327" s="13" t="inlineStr">
        <is>
          <t>Suganda</t>
        </is>
      </c>
      <c r="G327" s="13" t="inlineStr">
        <is>
          <t>Produksi</t>
        </is>
      </c>
      <c r="H327" s="13" t="inlineStr">
        <is>
          <t>Istirahat</t>
        </is>
      </c>
    </row>
    <row r="328">
      <c r="A328" s="27" t="inlineStr">
        <is>
          <t>MK00088</t>
        </is>
      </c>
      <c r="B328" s="13" t="inlineStr">
        <is>
          <t>OUT</t>
        </is>
      </c>
      <c r="C328" s="177" t="n">
        <v>46202.41666666666</v>
      </c>
      <c r="D328" s="51" t="n">
        <v>0.4133101851851852</v>
      </c>
      <c r="E328" s="13" t="n">
        <v>528000274</v>
      </c>
      <c r="F328" s="13" t="inlineStr">
        <is>
          <t>Zepri</t>
        </is>
      </c>
      <c r="G328" s="13" t="inlineStr">
        <is>
          <t>Produksi</t>
        </is>
      </c>
      <c r="H328" s="13" t="inlineStr">
        <is>
          <t>Istirahat</t>
        </is>
      </c>
    </row>
    <row r="329">
      <c r="A329" s="27" t="inlineStr">
        <is>
          <t>MK00230</t>
        </is>
      </c>
      <c r="B329" s="13" t="inlineStr">
        <is>
          <t>OUT</t>
        </is>
      </c>
      <c r="C329" s="177" t="n">
        <v>46202.41666666666</v>
      </c>
      <c r="D329" s="51" t="n">
        <v>0.4285532407407407</v>
      </c>
      <c r="E329" s="13" t="n">
        <v>528000286</v>
      </c>
      <c r="F329" s="13" t="inlineStr">
        <is>
          <t>Imelda Amelia</t>
        </is>
      </c>
      <c r="G329" s="13" t="inlineStr">
        <is>
          <t>Produksi</t>
        </is>
      </c>
      <c r="H329" s="13" t="inlineStr">
        <is>
          <t>Istirahat</t>
        </is>
      </c>
    </row>
    <row r="330">
      <c r="A330" s="27" t="n">
        <v>528000286</v>
      </c>
      <c r="B330" s="13" t="inlineStr">
        <is>
          <t>IN</t>
        </is>
      </c>
      <c r="C330" s="177" t="n">
        <v>46202.41666666666</v>
      </c>
      <c r="D330" s="51" t="n">
        <v>0.4290740740740741</v>
      </c>
      <c r="E330" s="13" t="n">
        <v>528000286</v>
      </c>
      <c r="F330" s="13" t="inlineStr">
        <is>
          <t>Imelda Amelia</t>
        </is>
      </c>
      <c r="G330" s="13" t="inlineStr">
        <is>
          <t>Produksi</t>
        </is>
      </c>
      <c r="H330" s="13" t="inlineStr">
        <is>
          <t>Istirahat</t>
        </is>
      </c>
    </row>
    <row r="331">
      <c r="A331" s="27" t="inlineStr">
        <is>
          <t>MK00230</t>
        </is>
      </c>
      <c r="B331" s="13" t="inlineStr">
        <is>
          <t>OUT</t>
        </is>
      </c>
      <c r="C331" s="177" t="n">
        <v>46202.41666666666</v>
      </c>
      <c r="D331" s="51" t="n">
        <v>0.4294791666666667</v>
      </c>
      <c r="E331" s="13" t="n">
        <v>528000286</v>
      </c>
      <c r="F331" s="13" t="inlineStr">
        <is>
          <t>Imelda Amelia</t>
        </is>
      </c>
      <c r="G331" s="13" t="inlineStr">
        <is>
          <t>Produksi</t>
        </is>
      </c>
      <c r="H331" s="13" t="inlineStr">
        <is>
          <t>Istirahat</t>
        </is>
      </c>
    </row>
    <row r="332">
      <c r="A332" s="27" t="inlineStr">
        <is>
          <t>MK00154</t>
        </is>
      </c>
      <c r="B332" s="13" t="inlineStr">
        <is>
          <t>OUT</t>
        </is>
      </c>
      <c r="C332" s="177" t="n">
        <v>46202.41666666666</v>
      </c>
      <c r="D332" s="51" t="n">
        <v>0.4299537037037037</v>
      </c>
      <c r="E332" s="13" t="n">
        <v>528000201</v>
      </c>
      <c r="F332" s="13" t="inlineStr">
        <is>
          <t>Zahwa Amelia Choerunissa</t>
        </is>
      </c>
      <c r="G332" s="13" t="inlineStr">
        <is>
          <t>Produksi</t>
        </is>
      </c>
      <c r="H332" s="13" t="inlineStr">
        <is>
          <t>Istirahat</t>
        </is>
      </c>
    </row>
    <row r="333">
      <c r="A333" s="27" t="inlineStr">
        <is>
          <t>MK00138</t>
        </is>
      </c>
      <c r="B333" s="13" t="inlineStr">
        <is>
          <t>IN</t>
        </is>
      </c>
      <c r="C333" s="177" t="n">
        <v>46202.41666666666</v>
      </c>
      <c r="D333" s="51" t="n">
        <v>0.4339814814814815</v>
      </c>
      <c r="E333" s="13" t="n">
        <v>528000241</v>
      </c>
      <c r="F333" s="13" t="inlineStr">
        <is>
          <t>Balia Nurafif Bilah</t>
        </is>
      </c>
      <c r="G333" s="13" t="inlineStr">
        <is>
          <t>Produksi</t>
        </is>
      </c>
      <c r="H333" s="13" t="inlineStr">
        <is>
          <t>Pekerjaan</t>
        </is>
      </c>
    </row>
    <row r="334">
      <c r="A334" s="27" t="inlineStr">
        <is>
          <t>MK00088</t>
        </is>
      </c>
      <c r="B334" s="13" t="inlineStr">
        <is>
          <t>IN</t>
        </is>
      </c>
      <c r="C334" s="177" t="n">
        <v>46202.41666666666</v>
      </c>
      <c r="D334" s="51" t="n">
        <v>0.4383912037037037</v>
      </c>
      <c r="E334" s="13" t="n">
        <v>528000274</v>
      </c>
      <c r="F334" s="13" t="inlineStr">
        <is>
          <t>Zepri</t>
        </is>
      </c>
      <c r="G334" s="13" t="inlineStr">
        <is>
          <t>Produksi</t>
        </is>
      </c>
      <c r="H334" s="13" t="inlineStr">
        <is>
          <t>Pekerjaan</t>
        </is>
      </c>
    </row>
    <row r="335">
      <c r="A335" s="27" t="inlineStr">
        <is>
          <t>MK00185</t>
        </is>
      </c>
      <c r="B335" s="13" t="inlineStr">
        <is>
          <t>IN</t>
        </is>
      </c>
      <c r="C335" s="177" t="n">
        <v>46202.41666666666</v>
      </c>
      <c r="D335" s="51" t="n">
        <v>0.4385069444444444</v>
      </c>
      <c r="E335" s="13" t="n">
        <v>528000090</v>
      </c>
      <c r="F335" s="13" t="inlineStr">
        <is>
          <t>Suganda</t>
        </is>
      </c>
      <c r="G335" s="13" t="inlineStr">
        <is>
          <t>Produksi</t>
        </is>
      </c>
      <c r="H335" s="13" t="inlineStr">
        <is>
          <t>Pekerjaan</t>
        </is>
      </c>
    </row>
    <row r="336">
      <c r="A336" s="27" t="inlineStr">
        <is>
          <t>MK00088</t>
        </is>
      </c>
      <c r="B336" s="13" t="inlineStr">
        <is>
          <t>OUT</t>
        </is>
      </c>
      <c r="C336" s="177" t="n">
        <v>46202.41666666666</v>
      </c>
      <c r="D336" s="51" t="n">
        <v>0.4497337962962963</v>
      </c>
      <c r="E336" s="13" t="n">
        <v>528000274</v>
      </c>
      <c r="F336" s="13" t="inlineStr">
        <is>
          <t>Zepri</t>
        </is>
      </c>
      <c r="G336" s="13" t="inlineStr">
        <is>
          <t>Produksi</t>
        </is>
      </c>
      <c r="H336" s="13" t="inlineStr">
        <is>
          <t>Pekerjaan</t>
        </is>
      </c>
    </row>
    <row r="337">
      <c r="A337" s="27" t="inlineStr">
        <is>
          <t>MK00088</t>
        </is>
      </c>
      <c r="B337" s="13" t="inlineStr">
        <is>
          <t>IN</t>
        </is>
      </c>
      <c r="C337" s="177" t="n">
        <v>46202.41666666666</v>
      </c>
      <c r="D337" s="51" t="n">
        <v>0.4498842592592592</v>
      </c>
      <c r="E337" s="13" t="n">
        <v>528000274</v>
      </c>
      <c r="F337" s="13" t="inlineStr">
        <is>
          <t>Zepri</t>
        </is>
      </c>
      <c r="G337" s="13" t="inlineStr">
        <is>
          <t>Produksi</t>
        </is>
      </c>
      <c r="H337" s="13" t="inlineStr">
        <is>
          <t>Pekerjaan</t>
        </is>
      </c>
    </row>
    <row r="338">
      <c r="A338" s="27" t="inlineStr">
        <is>
          <t>MK00230</t>
        </is>
      </c>
      <c r="B338" s="13" t="inlineStr">
        <is>
          <t>IN</t>
        </is>
      </c>
      <c r="C338" s="177" t="n">
        <v>46202.41666666666</v>
      </c>
      <c r="D338" s="51" t="n">
        <v>0.4501157407407407</v>
      </c>
      <c r="E338" s="13" t="n">
        <v>528000286</v>
      </c>
      <c r="F338" s="13" t="inlineStr">
        <is>
          <t>Imelda Amelia</t>
        </is>
      </c>
      <c r="G338" s="13" t="inlineStr">
        <is>
          <t>Produksi</t>
        </is>
      </c>
      <c r="H338" s="13" t="inlineStr">
        <is>
          <t>Pekerjaan</t>
        </is>
      </c>
    </row>
    <row r="339">
      <c r="A339" s="27" t="inlineStr">
        <is>
          <t>MK00154</t>
        </is>
      </c>
      <c r="B339" s="13" t="inlineStr">
        <is>
          <t>IN</t>
        </is>
      </c>
      <c r="C339" s="177" t="n">
        <v>46202.41666666666</v>
      </c>
      <c r="D339" s="51" t="n">
        <v>0.4502777777777778</v>
      </c>
      <c r="E339" s="13" t="n">
        <v>528000201</v>
      </c>
      <c r="F339" s="13" t="inlineStr">
        <is>
          <t>Zahwa Amelia Choerunissa</t>
        </is>
      </c>
      <c r="G339" s="13" t="inlineStr">
        <is>
          <t>Produksi</t>
        </is>
      </c>
      <c r="H339" s="13" t="inlineStr">
        <is>
          <t>Pekerjaan</t>
        </is>
      </c>
    </row>
    <row r="340">
      <c r="A340" s="27" t="inlineStr">
        <is>
          <t>MK00136</t>
        </is>
      </c>
      <c r="B340" s="13" t="inlineStr">
        <is>
          <t>OUT</t>
        </is>
      </c>
      <c r="C340" s="177" t="n">
        <v>46202.41666666666</v>
      </c>
      <c r="D340" s="51" t="n">
        <v>0.463275462962963</v>
      </c>
      <c r="E340" s="13" t="n">
        <v>528000244</v>
      </c>
      <c r="F340" s="13" t="inlineStr">
        <is>
          <t>Rodian Rifai</t>
        </is>
      </c>
      <c r="G340" s="13" t="inlineStr">
        <is>
          <t>Produksi</t>
        </is>
      </c>
      <c r="H340" s="13" t="inlineStr">
        <is>
          <t>Istirahat</t>
        </is>
      </c>
    </row>
    <row r="341">
      <c r="A341" s="27" t="inlineStr">
        <is>
          <t>MK00130</t>
        </is>
      </c>
      <c r="B341" s="13" t="inlineStr">
        <is>
          <t>OUT</t>
        </is>
      </c>
      <c r="C341" s="177" t="n">
        <v>46202.41666666666</v>
      </c>
      <c r="D341" s="51" t="n">
        <v>0.4633912037037037</v>
      </c>
      <c r="E341" s="13" t="n">
        <v>528000228</v>
      </c>
      <c r="F341" s="13" t="inlineStr">
        <is>
          <t>Banyu Resmi Putri</t>
        </is>
      </c>
      <c r="G341" s="13" t="inlineStr">
        <is>
          <t>Produksi</t>
        </is>
      </c>
      <c r="H341" s="13" t="inlineStr">
        <is>
          <t>Istirahat</t>
        </is>
      </c>
    </row>
    <row r="342">
      <c r="A342" s="27" t="inlineStr">
        <is>
          <t>MK00134</t>
        </is>
      </c>
      <c r="B342" s="13" t="inlineStr">
        <is>
          <t>IN</t>
        </is>
      </c>
      <c r="C342" s="177" t="n">
        <v>46202.41666666666</v>
      </c>
      <c r="D342" s="51" t="n">
        <v>0.7413657407407407</v>
      </c>
      <c r="E342" s="13" t="n">
        <v>528000262</v>
      </c>
      <c r="F342" s="13" t="inlineStr">
        <is>
          <t>Ndari Dwiwanti</t>
        </is>
      </c>
      <c r="G342" s="13" t="inlineStr">
        <is>
          <t>Produksi</t>
        </is>
      </c>
      <c r="H342" s="13" t="inlineStr">
        <is>
          <t>Istirahat</t>
        </is>
      </c>
    </row>
    <row r="343">
      <c r="A343" s="27" t="inlineStr">
        <is>
          <t>MK00095</t>
        </is>
      </c>
      <c r="B343" s="13" t="inlineStr">
        <is>
          <t>IN</t>
        </is>
      </c>
      <c r="C343" s="177" t="n">
        <v>46202.41666666666</v>
      </c>
      <c r="D343" s="51" t="n">
        <v>0.7415046296296296</v>
      </c>
      <c r="E343" s="13" t="n">
        <v>528000358</v>
      </c>
      <c r="F343" s="13" t="inlineStr">
        <is>
          <t>Lulu Agustin</t>
        </is>
      </c>
      <c r="G343" s="13" t="inlineStr">
        <is>
          <t>Produksi</t>
        </is>
      </c>
      <c r="H343" s="13" t="inlineStr">
        <is>
          <t>Istirahat</t>
        </is>
      </c>
    </row>
    <row r="344">
      <c r="A344" s="27" t="inlineStr">
        <is>
          <t>MK00151</t>
        </is>
      </c>
      <c r="B344" s="13" t="inlineStr">
        <is>
          <t>IN</t>
        </is>
      </c>
      <c r="C344" s="177" t="n">
        <v>46202.41666666666</v>
      </c>
      <c r="D344" s="51" t="n">
        <v>0.7437962962962963</v>
      </c>
      <c r="E344" s="13" t="n">
        <v>528000195</v>
      </c>
      <c r="F344" s="13" t="inlineStr">
        <is>
          <t>Rahma Sariwati</t>
        </is>
      </c>
      <c r="G344" s="13" t="inlineStr">
        <is>
          <t>Produksi</t>
        </is>
      </c>
      <c r="H344" s="13" t="inlineStr">
        <is>
          <t>Pekerjaan</t>
        </is>
      </c>
    </row>
    <row r="345">
      <c r="A345" s="27" t="inlineStr">
        <is>
          <t>MK00095</t>
        </is>
      </c>
      <c r="B345" s="13" t="inlineStr">
        <is>
          <t>IN</t>
        </is>
      </c>
      <c r="C345" s="177" t="n">
        <v>46202.41666666666</v>
      </c>
      <c r="D345" s="51" t="n">
        <v>0.7439930555555555</v>
      </c>
      <c r="E345" s="13" t="n">
        <v>528000358</v>
      </c>
      <c r="F345" s="13" t="inlineStr">
        <is>
          <t>Lulu Agustin</t>
        </is>
      </c>
      <c r="G345" s="13" t="inlineStr">
        <is>
          <t>Produksi</t>
        </is>
      </c>
      <c r="H345" s="13" t="inlineStr">
        <is>
          <t>Pekerjaan</t>
        </is>
      </c>
    </row>
    <row r="346">
      <c r="A346" s="27" t="inlineStr">
        <is>
          <t>MK00145</t>
        </is>
      </c>
      <c r="B346" s="13" t="inlineStr">
        <is>
          <t>OUT</t>
        </is>
      </c>
      <c r="C346" s="177" t="n">
        <v>46202.41666666666</v>
      </c>
      <c r="D346" s="51" t="n">
        <v>0.8230787037037037</v>
      </c>
      <c r="E346" s="13" t="n">
        <v>528000283</v>
      </c>
      <c r="F346" s="13" t="inlineStr">
        <is>
          <t>Purwanda Sugiri</t>
        </is>
      </c>
      <c r="G346" s="13" t="inlineStr">
        <is>
          <t>Produksi</t>
        </is>
      </c>
      <c r="H346" s="13" t="inlineStr">
        <is>
          <t>Istirahat</t>
        </is>
      </c>
    </row>
    <row r="347">
      <c r="A347" s="27" t="inlineStr">
        <is>
          <t>MK00145</t>
        </is>
      </c>
      <c r="B347" s="13" t="inlineStr">
        <is>
          <t>IN</t>
        </is>
      </c>
      <c r="C347" s="177" t="n">
        <v>46202.41666666666</v>
      </c>
      <c r="D347" s="51" t="n">
        <v>0.8499652777777778</v>
      </c>
      <c r="E347" s="13" t="n">
        <v>528000283</v>
      </c>
      <c r="F347" s="13" t="inlineStr">
        <is>
          <t>Purwanda Sugiri</t>
        </is>
      </c>
      <c r="G347" s="13" t="inlineStr">
        <is>
          <t>Produksi</t>
        </is>
      </c>
      <c r="H347" s="13" t="inlineStr">
        <is>
          <t>Istirahat</t>
        </is>
      </c>
    </row>
    <row r="348">
      <c r="A348" s="27" t="inlineStr">
        <is>
          <t>MK00210</t>
        </is>
      </c>
      <c r="B348" s="13" t="inlineStr">
        <is>
          <t>OUT</t>
        </is>
      </c>
      <c r="C348" s="177" t="n">
        <v>46028.375</v>
      </c>
      <c r="D348" s="51" t="n">
        <v>0.08422453703703704</v>
      </c>
      <c r="E348" s="13" t="n">
        <v>528000300</v>
      </c>
      <c r="F348" s="13" t="inlineStr">
        <is>
          <t>Lia pitaloka</t>
        </is>
      </c>
      <c r="G348" s="13" t="inlineStr">
        <is>
          <t>Produksi</t>
        </is>
      </c>
      <c r="H348" s="13" t="inlineStr">
        <is>
          <t>Istirahat</t>
        </is>
      </c>
    </row>
    <row r="349">
      <c r="A349" s="27" t="inlineStr">
        <is>
          <t>MK00199</t>
        </is>
      </c>
      <c r="B349" s="13" t="inlineStr">
        <is>
          <t>OUT</t>
        </is>
      </c>
      <c r="C349" s="177" t="n">
        <v>46028.375</v>
      </c>
      <c r="D349" s="51" t="n">
        <v>0.09408564814814815</v>
      </c>
      <c r="E349" s="13" t="n">
        <v>528000063</v>
      </c>
      <c r="F349" s="13" t="inlineStr">
        <is>
          <t>Muhamad Ripki Pebrian</t>
        </is>
      </c>
      <c r="G349" s="13" t="inlineStr">
        <is>
          <t>Produksi</t>
        </is>
      </c>
      <c r="H349" s="13" t="inlineStr">
        <is>
          <t>Istirahat</t>
        </is>
      </c>
    </row>
    <row r="350">
      <c r="A350" s="27" t="inlineStr">
        <is>
          <t>MK00209</t>
        </is>
      </c>
      <c r="B350" s="13" t="inlineStr">
        <is>
          <t>OUT</t>
        </is>
      </c>
      <c r="C350" s="177" t="n">
        <v>46028.375</v>
      </c>
      <c r="D350" s="51" t="n">
        <v>0.1223032407407407</v>
      </c>
      <c r="E350" s="13" t="n">
        <v>528000297</v>
      </c>
      <c r="F350" s="13" t="inlineStr">
        <is>
          <t>Muhamad Budiana</t>
        </is>
      </c>
      <c r="G350" s="13" t="inlineStr">
        <is>
          <t>Produksi</t>
        </is>
      </c>
      <c r="H350" s="13" t="inlineStr">
        <is>
          <t>Istirahat</t>
        </is>
      </c>
    </row>
    <row r="351">
      <c r="A351" s="27" t="inlineStr">
        <is>
          <t>MK00210</t>
        </is>
      </c>
      <c r="B351" s="13" t="inlineStr">
        <is>
          <t>IN</t>
        </is>
      </c>
      <c r="C351" s="177" t="n">
        <v>46028.375</v>
      </c>
      <c r="D351" s="51" t="n">
        <v>0.1226041666666667</v>
      </c>
      <c r="E351" s="13" t="n">
        <v>528000300</v>
      </c>
      <c r="F351" s="13" t="inlineStr">
        <is>
          <t>Lia pitaloka</t>
        </is>
      </c>
      <c r="G351" s="13" t="inlineStr">
        <is>
          <t>Produksi</t>
        </is>
      </c>
      <c r="H351" s="13" t="inlineStr">
        <is>
          <t>Istirahat</t>
        </is>
      </c>
    </row>
    <row r="352">
      <c r="A352" s="27" t="inlineStr">
        <is>
          <t>MK00221</t>
        </is>
      </c>
      <c r="B352" s="13" t="inlineStr">
        <is>
          <t>OUT</t>
        </is>
      </c>
      <c r="C352" s="177" t="n">
        <v>46028.375</v>
      </c>
      <c r="D352" s="51" t="n">
        <v>0.1322685185185185</v>
      </c>
      <c r="E352" s="13" t="n">
        <v>528000279</v>
      </c>
      <c r="F352" s="13" t="inlineStr">
        <is>
          <t>Mahdalena Dalfa Riani</t>
        </is>
      </c>
      <c r="G352" s="13" t="inlineStr">
        <is>
          <t>Produksi</t>
        </is>
      </c>
      <c r="H352" s="13" t="inlineStr">
        <is>
          <t>Istirahat</t>
        </is>
      </c>
    </row>
    <row r="353">
      <c r="A353" s="27" t="inlineStr">
        <is>
          <t>MK00113</t>
        </is>
      </c>
      <c r="B353" s="13" t="inlineStr">
        <is>
          <t>OUT</t>
        </is>
      </c>
      <c r="C353" s="177" t="n">
        <v>46028.375</v>
      </c>
      <c r="D353" s="51" t="n">
        <v>0.1324768518518518</v>
      </c>
      <c r="E353" s="13" t="n">
        <v>628000064</v>
      </c>
      <c r="F353" s="13" t="inlineStr">
        <is>
          <t>Silva Alypia</t>
        </is>
      </c>
      <c r="G353" s="13" t="inlineStr">
        <is>
          <t>Produksi</t>
        </is>
      </c>
      <c r="H353" s="13" t="inlineStr">
        <is>
          <t>Istirahat</t>
        </is>
      </c>
    </row>
    <row r="354">
      <c r="A354" s="27" t="inlineStr">
        <is>
          <t>MK00209</t>
        </is>
      </c>
      <c r="B354" s="13" t="inlineStr">
        <is>
          <t>IN</t>
        </is>
      </c>
      <c r="C354" s="177" t="n">
        <v>46028.375</v>
      </c>
      <c r="D354" s="51" t="n">
        <v>0.1540393518518519</v>
      </c>
      <c r="E354" s="13" t="n">
        <v>528000297</v>
      </c>
      <c r="F354" s="13" t="inlineStr">
        <is>
          <t>Muhamad Budiana</t>
        </is>
      </c>
      <c r="G354" s="13" t="inlineStr">
        <is>
          <t>Produksi</t>
        </is>
      </c>
      <c r="H354" s="13" t="inlineStr">
        <is>
          <t>Istirahat</t>
        </is>
      </c>
    </row>
    <row r="355">
      <c r="A355" s="27" t="inlineStr">
        <is>
          <t>MK00221</t>
        </is>
      </c>
      <c r="B355" s="13" t="inlineStr">
        <is>
          <t>IN</t>
        </is>
      </c>
      <c r="C355" s="177" t="n">
        <v>46028.375</v>
      </c>
      <c r="D355" s="51" t="n">
        <v>0.1542013888888889</v>
      </c>
      <c r="E355" s="13" t="n">
        <v>528000279</v>
      </c>
      <c r="F355" s="13" t="inlineStr">
        <is>
          <t>Mahdalena Dalfa Riani</t>
        </is>
      </c>
      <c r="G355" s="13" t="inlineStr">
        <is>
          <t>Produksi</t>
        </is>
      </c>
      <c r="H355" s="13" t="inlineStr">
        <is>
          <t>Istirahat</t>
        </is>
      </c>
    </row>
    <row r="356">
      <c r="A356" s="27" t="inlineStr">
        <is>
          <t>MK00113</t>
        </is>
      </c>
      <c r="B356" s="13" t="inlineStr">
        <is>
          <t>IN</t>
        </is>
      </c>
      <c r="C356" s="177" t="n">
        <v>46028.375</v>
      </c>
      <c r="D356" s="51" t="n">
        <v>0.1543518518518519</v>
      </c>
      <c r="E356" s="13" t="n">
        <v>628000064</v>
      </c>
      <c r="F356" s="13" t="inlineStr">
        <is>
          <t>Silva Alypia</t>
        </is>
      </c>
      <c r="G356" s="13" t="inlineStr">
        <is>
          <t>Produksi</t>
        </is>
      </c>
      <c r="H356" s="13" t="inlineStr">
        <is>
          <t>Istirahat</t>
        </is>
      </c>
    </row>
    <row r="357">
      <c r="A357" s="27" t="inlineStr">
        <is>
          <t>MK00250</t>
        </is>
      </c>
      <c r="B357" s="13" t="inlineStr">
        <is>
          <t>OUT</t>
        </is>
      </c>
      <c r="C357" s="177" t="n">
        <v>46028.375</v>
      </c>
      <c r="D357" s="51" t="n">
        <v>0.3587384259259259</v>
      </c>
      <c r="E357" s="13" t="n">
        <v>528000290</v>
      </c>
      <c r="F357" s="13" t="inlineStr">
        <is>
          <t>Eval Pranata</t>
        </is>
      </c>
      <c r="G357" s="13" t="inlineStr">
        <is>
          <t>Produksi</t>
        </is>
      </c>
      <c r="H357" s="13" t="inlineStr">
        <is>
          <t>Istirahat</t>
        </is>
      </c>
    </row>
    <row r="358">
      <c r="A358" s="27" t="inlineStr">
        <is>
          <t>MK00250</t>
        </is>
      </c>
      <c r="B358" s="13" t="inlineStr">
        <is>
          <t>IN</t>
        </is>
      </c>
      <c r="C358" s="177" t="n">
        <v>46028.375</v>
      </c>
      <c r="D358" s="51" t="n">
        <v>0.381724537037037</v>
      </c>
      <c r="E358" s="13" t="n">
        <v>528000290</v>
      </c>
      <c r="F358" s="13" t="inlineStr">
        <is>
          <t>Eval Pranata</t>
        </is>
      </c>
      <c r="G358" s="13" t="inlineStr">
        <is>
          <t>Produksi</t>
        </is>
      </c>
      <c r="H358" s="13" t="inlineStr">
        <is>
          <t>Istirahat</t>
        </is>
      </c>
    </row>
    <row r="359">
      <c r="A359" s="27" t="inlineStr">
        <is>
          <t>MK00212</t>
        </is>
      </c>
      <c r="B359" s="13" t="inlineStr">
        <is>
          <t>OUT</t>
        </is>
      </c>
      <c r="C359" s="177" t="n">
        <v>46028.375</v>
      </c>
      <c r="D359" s="51" t="n">
        <v>0.4127430555555556</v>
      </c>
      <c r="E359" s="13" t="n">
        <v>528000090</v>
      </c>
      <c r="F359" s="13" t="inlineStr">
        <is>
          <t>Suganda</t>
        </is>
      </c>
      <c r="G359" s="13" t="inlineStr">
        <is>
          <t>Produksi</t>
        </is>
      </c>
      <c r="H359" s="13" t="inlineStr">
        <is>
          <t>Istirahat</t>
        </is>
      </c>
    </row>
    <row r="360">
      <c r="A360" s="27" t="inlineStr">
        <is>
          <t>MK00158</t>
        </is>
      </c>
      <c r="B360" s="13" t="inlineStr">
        <is>
          <t>IN</t>
        </is>
      </c>
      <c r="C360" s="177" t="n">
        <v>46028.375</v>
      </c>
      <c r="D360" s="51" t="n">
        <v>0.4297337962962963</v>
      </c>
      <c r="E360" s="13" t="n">
        <v>528000228</v>
      </c>
      <c r="F360" s="13" t="inlineStr">
        <is>
          <t>Banyu Resmi Putri</t>
        </is>
      </c>
      <c r="G360" s="13" t="inlineStr">
        <is>
          <t>Produksi</t>
        </is>
      </c>
      <c r="H360" s="13" t="inlineStr">
        <is>
          <t>Istirahat</t>
        </is>
      </c>
    </row>
    <row r="361">
      <c r="A361" s="27" t="inlineStr">
        <is>
          <t>MK00158</t>
        </is>
      </c>
      <c r="B361" s="13" t="inlineStr">
        <is>
          <t>OUT</t>
        </is>
      </c>
      <c r="C361" s="177" t="n">
        <v>46028.375</v>
      </c>
      <c r="D361" s="51" t="n">
        <v>0.4300347222222222</v>
      </c>
      <c r="E361" s="13" t="n">
        <v>528000228</v>
      </c>
      <c r="F361" s="13" t="inlineStr">
        <is>
          <t>Banyu Resmi Putri</t>
        </is>
      </c>
      <c r="G361" s="13" t="inlineStr">
        <is>
          <t>Produksi</t>
        </is>
      </c>
      <c r="H361" s="13" t="inlineStr">
        <is>
          <t>Istirahat</t>
        </is>
      </c>
    </row>
    <row r="362">
      <c r="A362" s="27" t="inlineStr">
        <is>
          <t>MK00136</t>
        </is>
      </c>
      <c r="B362" s="13" t="inlineStr">
        <is>
          <t>IN</t>
        </is>
      </c>
      <c r="C362" s="177" t="n">
        <v>46028.375</v>
      </c>
      <c r="D362" s="51" t="n">
        <v>0.4305787037037037</v>
      </c>
      <c r="E362" s="13" t="n">
        <v>528000099</v>
      </c>
      <c r="F362" s="13" t="inlineStr">
        <is>
          <t>Siti Nurawaliah</t>
        </is>
      </c>
      <c r="G362" s="13" t="inlineStr">
        <is>
          <t>Produksi</t>
        </is>
      </c>
      <c r="H362" s="13" t="inlineStr">
        <is>
          <t>Istirahat</t>
        </is>
      </c>
    </row>
    <row r="363">
      <c r="A363" s="27" t="inlineStr">
        <is>
          <t>MK00136</t>
        </is>
      </c>
      <c r="B363" s="13" t="inlineStr">
        <is>
          <t>OUT</t>
        </is>
      </c>
      <c r="C363" s="177" t="n">
        <v>46028.375</v>
      </c>
      <c r="D363" s="51" t="n">
        <v>0.4311111111111111</v>
      </c>
      <c r="E363" s="13" t="n">
        <v>528000099</v>
      </c>
      <c r="F363" s="13" t="inlineStr">
        <is>
          <t>Siti Nurawaliah</t>
        </is>
      </c>
      <c r="G363" s="13" t="inlineStr">
        <is>
          <t>Produksi</t>
        </is>
      </c>
      <c r="H363" s="13" t="inlineStr">
        <is>
          <t>Istirahat</t>
        </is>
      </c>
    </row>
    <row r="364">
      <c r="A364" s="27" t="inlineStr">
        <is>
          <t>MK00151</t>
        </is>
      </c>
      <c r="B364" s="13" t="inlineStr">
        <is>
          <t>OUT</t>
        </is>
      </c>
      <c r="C364" s="177" t="n">
        <v>46028.375</v>
      </c>
      <c r="D364" s="51" t="n">
        <v>0.4312615740740741</v>
      </c>
      <c r="E364" s="13" t="n">
        <v>528000286</v>
      </c>
      <c r="F364" s="13" t="inlineStr">
        <is>
          <t>Imelda Amelia</t>
        </is>
      </c>
      <c r="G364" s="13" t="inlineStr">
        <is>
          <t>Produksi</t>
        </is>
      </c>
      <c r="H364" s="13" t="inlineStr">
        <is>
          <t>Istirahat</t>
        </is>
      </c>
    </row>
    <row r="365">
      <c r="A365" s="27" t="inlineStr">
        <is>
          <t>MK00109</t>
        </is>
      </c>
      <c r="B365" s="13" t="inlineStr">
        <is>
          <t>OUT</t>
        </is>
      </c>
      <c r="C365" s="177" t="n">
        <v>46028.375</v>
      </c>
      <c r="D365" s="51" t="n">
        <v>0.4315625</v>
      </c>
      <c r="E365" s="13" t="n">
        <v>528000201</v>
      </c>
      <c r="F365" s="13" t="inlineStr">
        <is>
          <t>Zahwa Amelia Choerunissa</t>
        </is>
      </c>
      <c r="G365" s="13" t="inlineStr">
        <is>
          <t>Produksi</t>
        </is>
      </c>
      <c r="H365" s="13" t="inlineStr">
        <is>
          <t>Istirahat</t>
        </is>
      </c>
    </row>
    <row r="366">
      <c r="A366" s="27" t="inlineStr">
        <is>
          <t>MK00095</t>
        </is>
      </c>
      <c r="B366" s="13" t="inlineStr">
        <is>
          <t>OUT</t>
        </is>
      </c>
      <c r="C366" s="177" t="n">
        <v>46028.375</v>
      </c>
      <c r="D366" s="51" t="n">
        <v>0.4318518518518519</v>
      </c>
      <c r="E366" s="13" t="n">
        <v>528000274</v>
      </c>
      <c r="F366" s="13" t="inlineStr">
        <is>
          <t>Zepri</t>
        </is>
      </c>
      <c r="G366" s="13" t="inlineStr">
        <is>
          <t>Produksi</t>
        </is>
      </c>
      <c r="H366" s="13" t="inlineStr">
        <is>
          <t>Istirahat</t>
        </is>
      </c>
    </row>
    <row r="367">
      <c r="A367" s="27" t="inlineStr">
        <is>
          <t>MK00212</t>
        </is>
      </c>
      <c r="B367" s="13" t="inlineStr">
        <is>
          <t>IN</t>
        </is>
      </c>
      <c r="C367" s="177" t="n">
        <v>46028.375</v>
      </c>
      <c r="D367" s="51" t="n">
        <v>0.4404166666666667</v>
      </c>
      <c r="E367" s="13" t="n">
        <v>528000090</v>
      </c>
      <c r="F367" s="13" t="inlineStr">
        <is>
          <t>Suganda</t>
        </is>
      </c>
      <c r="G367" s="13" t="inlineStr">
        <is>
          <t>Produksi</t>
        </is>
      </c>
    </row>
    <row r="368">
      <c r="A368" s="27" t="inlineStr">
        <is>
          <t>MK00095</t>
        </is>
      </c>
      <c r="B368" s="13" t="inlineStr">
        <is>
          <t>IN</t>
        </is>
      </c>
      <c r="C368" s="177" t="n">
        <v>46028.375</v>
      </c>
      <c r="D368" s="51" t="n">
        <v>0.4408796296296296</v>
      </c>
      <c r="E368" s="13" t="n">
        <v>528000274</v>
      </c>
      <c r="F368" s="13" t="inlineStr">
        <is>
          <t>Zepri</t>
        </is>
      </c>
      <c r="G368" s="13" t="inlineStr">
        <is>
          <t>Produksi</t>
        </is>
      </c>
    </row>
    <row r="369">
      <c r="A369" s="27" t="inlineStr">
        <is>
          <t>MK00136</t>
        </is>
      </c>
      <c r="B369" s="13" t="inlineStr">
        <is>
          <t>IN</t>
        </is>
      </c>
      <c r="C369" s="177" t="n">
        <v>46028.375</v>
      </c>
      <c r="D369" s="51" t="n">
        <v>0.4511689814814815</v>
      </c>
      <c r="E369" s="13" t="n">
        <v>528000099</v>
      </c>
      <c r="F369" s="13" t="inlineStr">
        <is>
          <t>Siti Nurawaliah</t>
        </is>
      </c>
      <c r="G369" s="13" t="inlineStr">
        <is>
          <t>Produksi</t>
        </is>
      </c>
    </row>
    <row r="370">
      <c r="A370" s="27" t="inlineStr">
        <is>
          <t>MK00151</t>
        </is>
      </c>
      <c r="B370" s="13" t="inlineStr">
        <is>
          <t>IN</t>
        </is>
      </c>
      <c r="C370" s="177" t="n">
        <v>46028.375</v>
      </c>
      <c r="D370" s="51" t="n">
        <v>0.4517476851851852</v>
      </c>
      <c r="E370" s="13" t="n">
        <v>528000286</v>
      </c>
      <c r="F370" s="13" t="inlineStr">
        <is>
          <t>Imelda Amelia</t>
        </is>
      </c>
      <c r="G370" s="13" t="inlineStr">
        <is>
          <t>Produksi</t>
        </is>
      </c>
    </row>
    <row r="371">
      <c r="A371" s="27" t="inlineStr">
        <is>
          <t>MK00154</t>
        </is>
      </c>
      <c r="B371" s="13" t="inlineStr">
        <is>
          <t>IN</t>
        </is>
      </c>
      <c r="C371" s="177" t="n">
        <v>46028.375</v>
      </c>
      <c r="D371" s="51" t="n">
        <v>0.4690277777777778</v>
      </c>
      <c r="E371" s="13" t="n">
        <v>528000244</v>
      </c>
      <c r="F371" s="13" t="inlineStr">
        <is>
          <t>Rodian Rifai</t>
        </is>
      </c>
      <c r="G371" s="13" t="inlineStr">
        <is>
          <t>Produksi</t>
        </is>
      </c>
      <c r="H371" s="13" t="inlineStr">
        <is>
          <t>Istirahat</t>
        </is>
      </c>
    </row>
    <row r="372">
      <c r="A372" s="27" t="inlineStr">
        <is>
          <t>MK00008</t>
        </is>
      </c>
      <c r="B372" s="13" t="inlineStr">
        <is>
          <t>IN</t>
        </is>
      </c>
      <c r="C372" s="177" t="n">
        <v>46028.375</v>
      </c>
      <c r="D372" s="51" t="n">
        <v>0.4946412037037037</v>
      </c>
      <c r="E372" s="13" t="n">
        <v>528000282</v>
      </c>
      <c r="F372" s="13" t="inlineStr">
        <is>
          <t>Defa Desfiana</t>
        </is>
      </c>
      <c r="G372" s="13" t="inlineStr">
        <is>
          <t>Produksi</t>
        </is>
      </c>
    </row>
    <row r="373">
      <c r="A373" s="27" t="inlineStr">
        <is>
          <t>MK0008</t>
        </is>
      </c>
      <c r="B373" s="13" t="inlineStr">
        <is>
          <t>OUT</t>
        </is>
      </c>
      <c r="C373" s="177" t="n">
        <v>46028.375</v>
      </c>
      <c r="D373" s="51" t="n">
        <v>0.4951388888888889</v>
      </c>
      <c r="E373" s="13" t="n">
        <v>528000266</v>
      </c>
      <c r="F373" s="13" t="inlineStr">
        <is>
          <t>M. Syirajatieq</t>
        </is>
      </c>
      <c r="G373" s="13" t="inlineStr">
        <is>
          <t>Produksi</t>
        </is>
      </c>
    </row>
    <row r="374">
      <c r="A374" s="27" t="inlineStr">
        <is>
          <t>MK00151</t>
        </is>
      </c>
      <c r="B374" s="13" t="inlineStr">
        <is>
          <t>OUT</t>
        </is>
      </c>
      <c r="C374" s="177" t="n">
        <v>46028.375</v>
      </c>
      <c r="D374" s="51" t="n">
        <v>0.5124305555555555</v>
      </c>
      <c r="E374" s="13" t="n">
        <v>528000286</v>
      </c>
      <c r="F374" s="13" t="inlineStr">
        <is>
          <t>Imelda Amelia</t>
        </is>
      </c>
      <c r="G374" s="13" t="inlineStr">
        <is>
          <t>Produksi</t>
        </is>
      </c>
      <c r="H374" s="13" t="inlineStr">
        <is>
          <t>Sholat</t>
        </is>
      </c>
    </row>
    <row r="375">
      <c r="A375" s="27" t="inlineStr">
        <is>
          <t>MK00136</t>
        </is>
      </c>
      <c r="B375" s="13" t="inlineStr">
        <is>
          <t>OUT</t>
        </is>
      </c>
      <c r="C375" s="177" t="n">
        <v>46028.375</v>
      </c>
      <c r="D375" s="51" t="n">
        <v>0.5137962962962963</v>
      </c>
      <c r="E375" s="13" t="n">
        <v>528000099</v>
      </c>
      <c r="F375" s="13" t="inlineStr">
        <is>
          <t>Siti Nurawaliah</t>
        </is>
      </c>
      <c r="G375" s="13" t="inlineStr">
        <is>
          <t>Produksi</t>
        </is>
      </c>
      <c r="H375" s="13" t="inlineStr">
        <is>
          <t>Sholat</t>
        </is>
      </c>
    </row>
    <row r="376">
      <c r="A376" s="27" t="inlineStr">
        <is>
          <t>MK00185</t>
        </is>
      </c>
      <c r="B376" s="13" t="inlineStr">
        <is>
          <t>OUT</t>
        </is>
      </c>
      <c r="C376" s="177" t="n">
        <v>46028.375</v>
      </c>
      <c r="D376" s="51" t="n">
        <v>0.7344560185185185</v>
      </c>
      <c r="E376" s="13" t="n">
        <v>528000291</v>
      </c>
      <c r="F376" s="13" t="inlineStr">
        <is>
          <t>Andrian</t>
        </is>
      </c>
      <c r="G376" s="13" t="inlineStr">
        <is>
          <t>Produksi</t>
        </is>
      </c>
      <c r="H376" s="13" t="inlineStr">
        <is>
          <t>Istirahat</t>
        </is>
      </c>
    </row>
    <row r="377">
      <c r="A377" s="27" t="inlineStr">
        <is>
          <t>MK00204</t>
        </is>
      </c>
      <c r="B377" s="13" t="inlineStr">
        <is>
          <t>OUT</t>
        </is>
      </c>
      <c r="C377" s="177" t="n">
        <v>46028.375</v>
      </c>
      <c r="D377" s="51" t="n">
        <v>0.7350578703703704</v>
      </c>
      <c r="E377" s="13" t="n">
        <v>528000052</v>
      </c>
      <c r="F377" s="13" t="inlineStr">
        <is>
          <t>Mustopa</t>
        </is>
      </c>
      <c r="G377" s="13" t="inlineStr">
        <is>
          <t>Produksi</t>
        </is>
      </c>
      <c r="H377" s="13" t="inlineStr">
        <is>
          <t>Istirahat</t>
        </is>
      </c>
    </row>
    <row r="378">
      <c r="A378" s="27" t="inlineStr">
        <is>
          <t>MK00113</t>
        </is>
      </c>
      <c r="B378" s="13" t="inlineStr">
        <is>
          <t>OUT</t>
        </is>
      </c>
      <c r="C378" s="177" t="n">
        <v>46028.375</v>
      </c>
      <c r="D378" s="51" t="n">
        <v>0.7431597222222223</v>
      </c>
      <c r="E378" s="13" t="n">
        <v>528000262</v>
      </c>
      <c r="F378" s="13" t="inlineStr">
        <is>
          <t>Ndari Dwiwanti</t>
        </is>
      </c>
      <c r="G378" s="13" t="inlineStr">
        <is>
          <t>Produksi</t>
        </is>
      </c>
      <c r="H378" s="13" t="inlineStr">
        <is>
          <t>Istirahat</t>
        </is>
      </c>
    </row>
    <row r="379">
      <c r="A379" s="27" t="inlineStr">
        <is>
          <t>MK00221</t>
        </is>
      </c>
      <c r="B379" s="13" t="inlineStr">
        <is>
          <t>OUT</t>
        </is>
      </c>
      <c r="C379" s="177" t="n">
        <v>46028.375</v>
      </c>
      <c r="D379" s="51" t="n">
        <v>0.75125</v>
      </c>
      <c r="E379" s="13" t="n">
        <v>528000195</v>
      </c>
      <c r="F379" s="13" t="inlineStr">
        <is>
          <t>Rahma Sariwati</t>
        </is>
      </c>
      <c r="G379" s="13" t="inlineStr">
        <is>
          <t>Produksi</t>
        </is>
      </c>
      <c r="H379" s="13" t="inlineStr">
        <is>
          <t>Istirahat</t>
        </is>
      </c>
    </row>
    <row r="380">
      <c r="A380" s="27" t="inlineStr">
        <is>
          <t>MK00181</t>
        </is>
      </c>
      <c r="B380" s="13" t="inlineStr">
        <is>
          <t>OUT</t>
        </is>
      </c>
      <c r="C380" s="177" t="n">
        <v>46059.375</v>
      </c>
      <c r="D380" s="51" t="n">
        <v>0.3925</v>
      </c>
      <c r="E380" s="13" t="n">
        <v>528000290</v>
      </c>
      <c r="F380" s="13" t="inlineStr">
        <is>
          <t>Eval Pranata</t>
        </is>
      </c>
      <c r="G380" s="13" t="inlineStr">
        <is>
          <t>Produksi</t>
        </is>
      </c>
      <c r="H380" s="13" t="inlineStr">
        <is>
          <t>Istirahat</t>
        </is>
      </c>
    </row>
    <row r="381">
      <c r="A381" s="27" t="inlineStr">
        <is>
          <t>MK00181</t>
        </is>
      </c>
      <c r="B381" s="13" t="inlineStr">
        <is>
          <t>IN</t>
        </is>
      </c>
      <c r="C381" s="177" t="n">
        <v>46059.375</v>
      </c>
      <c r="D381" s="51" t="n">
        <v>0.4106944444444444</v>
      </c>
      <c r="E381" s="13" t="n">
        <v>528000290</v>
      </c>
      <c r="F381" s="13" t="inlineStr">
        <is>
          <t>Eval Pranata</t>
        </is>
      </c>
      <c r="G381" s="13" t="inlineStr">
        <is>
          <t>Produksi</t>
        </is>
      </c>
    </row>
    <row r="382">
      <c r="A382" s="27" t="inlineStr">
        <is>
          <t>MK00126</t>
        </is>
      </c>
      <c r="B382" s="13" t="inlineStr">
        <is>
          <t>OUT</t>
        </is>
      </c>
      <c r="C382" s="177" t="n">
        <v>46059.375</v>
      </c>
      <c r="D382" s="51" t="n">
        <v>0.4155208333333333</v>
      </c>
      <c r="E382" s="13" t="n">
        <v>528000274</v>
      </c>
      <c r="F382" s="13" t="inlineStr">
        <is>
          <t>Zepri</t>
        </is>
      </c>
      <c r="G382" s="13" t="inlineStr">
        <is>
          <t>Produksi</t>
        </is>
      </c>
      <c r="H382" s="13" t="inlineStr">
        <is>
          <t>Istirahat</t>
        </is>
      </c>
    </row>
    <row r="383">
      <c r="A383" s="27" t="inlineStr">
        <is>
          <t>MK00204</t>
        </is>
      </c>
      <c r="B383" s="13" t="inlineStr">
        <is>
          <t>IN</t>
        </is>
      </c>
      <c r="C383" s="177" t="n">
        <v>46059.375</v>
      </c>
      <c r="D383" s="51" t="n">
        <v>0.415775462962963</v>
      </c>
      <c r="E383" s="13" t="n">
        <v>528000244</v>
      </c>
      <c r="F383" s="13" t="inlineStr">
        <is>
          <t>Rodian Rifai</t>
        </is>
      </c>
      <c r="G383" s="13" t="inlineStr">
        <is>
          <t>Produksi</t>
        </is>
      </c>
      <c r="H383" s="13" t="inlineStr">
        <is>
          <t>Istirahat</t>
        </is>
      </c>
    </row>
    <row r="384">
      <c r="A384" s="27" t="inlineStr">
        <is>
          <t>MK00192</t>
        </is>
      </c>
      <c r="B384" s="13" t="inlineStr">
        <is>
          <t>IN</t>
        </is>
      </c>
      <c r="C384" s="177" t="n">
        <v>46059.375</v>
      </c>
      <c r="D384" s="51" t="n">
        <v>0.4273032407407407</v>
      </c>
      <c r="E384" s="13" t="n">
        <v>528000099</v>
      </c>
      <c r="F384" s="13" t="inlineStr">
        <is>
          <t>Siti Nurawaliah</t>
        </is>
      </c>
      <c r="G384" s="13" t="inlineStr">
        <is>
          <t>Produksi</t>
        </is>
      </c>
      <c r="H384" s="13" t="inlineStr">
        <is>
          <t>Istirahat</t>
        </is>
      </c>
    </row>
    <row r="385">
      <c r="A385" s="27" t="inlineStr">
        <is>
          <t>MK00204</t>
        </is>
      </c>
      <c r="B385" s="13" t="inlineStr">
        <is>
          <t>OUT</t>
        </is>
      </c>
      <c r="C385" s="177" t="n">
        <v>46059.375</v>
      </c>
      <c r="D385" s="51" t="n">
        <v>0.4400694444444445</v>
      </c>
      <c r="E385" s="13" t="n">
        <v>528000244</v>
      </c>
      <c r="F385" s="13" t="inlineStr">
        <is>
          <t>Rodian Rifai</t>
        </is>
      </c>
      <c r="G385" s="13" t="inlineStr">
        <is>
          <t>Produksi</t>
        </is>
      </c>
      <c r="H385" s="13" t="inlineStr">
        <is>
          <t>Istirahat</t>
        </is>
      </c>
    </row>
    <row r="386">
      <c r="A386" s="27" t="inlineStr">
        <is>
          <t>MK00192</t>
        </is>
      </c>
      <c r="B386" s="13" t="inlineStr">
        <is>
          <t>OUT</t>
        </is>
      </c>
      <c r="C386" s="177" t="n">
        <v>46059.375</v>
      </c>
      <c r="D386" s="51" t="n">
        <v>0.4451967592592593</v>
      </c>
      <c r="E386" s="13" t="n">
        <v>528000099</v>
      </c>
      <c r="F386" s="13" t="inlineStr">
        <is>
          <t>Siti Nurawaliah</t>
        </is>
      </c>
      <c r="G386" s="13" t="inlineStr">
        <is>
          <t>Produksi</t>
        </is>
      </c>
    </row>
    <row r="387">
      <c r="A387" s="27" t="inlineStr">
        <is>
          <t>MK00192</t>
        </is>
      </c>
      <c r="B387" s="13" t="inlineStr">
        <is>
          <t>IN</t>
        </is>
      </c>
      <c r="C387" s="177" t="n">
        <v>46059.375</v>
      </c>
      <c r="D387" s="51" t="n">
        <v>0.4454050925925926</v>
      </c>
      <c r="E387" s="13" t="n">
        <v>528000099</v>
      </c>
      <c r="F387" s="13" t="inlineStr">
        <is>
          <t>Siti Nurawaliah</t>
        </is>
      </c>
      <c r="G387" s="13" t="inlineStr">
        <is>
          <t>Produksi</t>
        </is>
      </c>
    </row>
    <row r="388">
      <c r="A388" s="27" t="inlineStr">
        <is>
          <t>MK00134</t>
        </is>
      </c>
      <c r="B388" s="13" t="inlineStr">
        <is>
          <t>OUT</t>
        </is>
      </c>
      <c r="C388" s="177" t="n">
        <v>46059.375</v>
      </c>
      <c r="D388" s="51" t="n">
        <v>0.4483796296296296</v>
      </c>
      <c r="E388" s="13" t="n">
        <v>528000090</v>
      </c>
      <c r="F388" s="13" t="inlineStr">
        <is>
          <t>Suganda</t>
        </is>
      </c>
      <c r="G388" s="13" t="inlineStr">
        <is>
          <t>Produksi</t>
        </is>
      </c>
    </row>
    <row r="389">
      <c r="A389" s="27" t="inlineStr">
        <is>
          <t>MK00210</t>
        </is>
      </c>
      <c r="B389" s="13" t="inlineStr">
        <is>
          <t>OUT</t>
        </is>
      </c>
      <c r="C389" s="177" t="n">
        <v>46059.375</v>
      </c>
      <c r="D389" s="51" t="n">
        <v>0.4491666666666667</v>
      </c>
      <c r="E389" s="13" t="n">
        <v>528000241</v>
      </c>
      <c r="F389" s="13" t="inlineStr">
        <is>
          <t>Balia Nurafif Bilah</t>
        </is>
      </c>
      <c r="G389" s="13" t="inlineStr">
        <is>
          <t>Produksi</t>
        </is>
      </c>
    </row>
    <row r="390">
      <c r="A390" s="27" t="inlineStr">
        <is>
          <t>MK00185</t>
        </is>
      </c>
      <c r="B390" s="13" t="inlineStr">
        <is>
          <t>IN</t>
        </is>
      </c>
      <c r="C390" s="177" t="n">
        <v>46059.375</v>
      </c>
      <c r="D390" s="51" t="n">
        <v>0.4513194444444444</v>
      </c>
      <c r="E390" s="13" t="n">
        <v>528000286</v>
      </c>
      <c r="F390" s="13" t="inlineStr">
        <is>
          <t>Imelda Amelia</t>
        </is>
      </c>
      <c r="G390" s="13" t="inlineStr">
        <is>
          <t>Produksi</t>
        </is>
      </c>
    </row>
    <row r="391">
      <c r="A391" s="27" t="inlineStr">
        <is>
          <t>MK00185</t>
        </is>
      </c>
      <c r="B391" s="13" t="inlineStr">
        <is>
          <t>OUT</t>
        </is>
      </c>
      <c r="C391" s="177" t="n">
        <v>46059.375</v>
      </c>
      <c r="D391" s="51" t="n">
        <v>0.4517361111111111</v>
      </c>
      <c r="E391" s="13" t="n">
        <v>528000286</v>
      </c>
      <c r="F391" s="13" t="inlineStr">
        <is>
          <t>Imelda Amelia</t>
        </is>
      </c>
      <c r="G391" s="13" t="inlineStr">
        <is>
          <t>Produksi</t>
        </is>
      </c>
      <c r="H391" s="13" t="inlineStr">
        <is>
          <t>Istirahat</t>
        </is>
      </c>
    </row>
    <row r="392">
      <c r="A392" s="27" t="inlineStr">
        <is>
          <t>MK0085</t>
        </is>
      </c>
      <c r="B392" s="13" t="inlineStr">
        <is>
          <t>IN</t>
        </is>
      </c>
      <c r="C392" s="177" t="n">
        <v>46059.375</v>
      </c>
      <c r="D392" s="51" t="n">
        <v>0.4526967592592593</v>
      </c>
      <c r="E392" s="13" t="n">
        <v>528000228</v>
      </c>
      <c r="F392" s="13" t="inlineStr">
        <is>
          <t>Banyu Resmi Putri</t>
        </is>
      </c>
      <c r="G392" s="13" t="inlineStr">
        <is>
          <t>Produksi</t>
        </is>
      </c>
      <c r="H392" s="13" t="inlineStr">
        <is>
          <t>Istirahat</t>
        </is>
      </c>
    </row>
    <row r="393">
      <c r="A393" s="27" t="inlineStr">
        <is>
          <t>MK0085</t>
        </is>
      </c>
      <c r="B393" s="13" t="inlineStr">
        <is>
          <t>OUT</t>
        </is>
      </c>
      <c r="C393" s="177" t="n">
        <v>46059.375</v>
      </c>
      <c r="D393" s="51" t="n">
        <v>0.4533217592592593</v>
      </c>
      <c r="E393" s="13" t="n">
        <v>528000228</v>
      </c>
      <c r="F393" s="13" t="inlineStr">
        <is>
          <t>Banyu Resmi Putri</t>
        </is>
      </c>
      <c r="G393" s="13" t="inlineStr">
        <is>
          <t>Produksi</t>
        </is>
      </c>
    </row>
    <row r="394">
      <c r="A394" s="27" t="inlineStr">
        <is>
          <t>MK00126</t>
        </is>
      </c>
      <c r="B394" s="13" t="inlineStr">
        <is>
          <t>IN</t>
        </is>
      </c>
      <c r="C394" s="177" t="n">
        <v>46059.375</v>
      </c>
      <c r="D394" s="51" t="n">
        <v>0.4569328703703704</v>
      </c>
      <c r="E394" s="13" t="n">
        <v>528000274</v>
      </c>
      <c r="F394" s="13" t="inlineStr">
        <is>
          <t>Zepri</t>
        </is>
      </c>
      <c r="G394" s="13" t="inlineStr">
        <is>
          <t>Produksi</t>
        </is>
      </c>
    </row>
    <row r="395">
      <c r="A395" s="27" t="inlineStr">
        <is>
          <t>MK00134</t>
        </is>
      </c>
      <c r="B395" s="13" t="inlineStr">
        <is>
          <t>IN</t>
        </is>
      </c>
      <c r="C395" s="177" t="n">
        <v>46059.375</v>
      </c>
      <c r="D395" s="51" t="n">
        <v>0.4577777777777778</v>
      </c>
      <c r="E395" s="13" t="n">
        <v>528000090</v>
      </c>
      <c r="F395" s="13" t="inlineStr">
        <is>
          <t>Suganda</t>
        </is>
      </c>
      <c r="G395" s="13" t="inlineStr">
        <is>
          <t>Produksi</t>
        </is>
      </c>
    </row>
    <row r="396">
      <c r="A396" s="27" t="inlineStr">
        <is>
          <t>MK00230</t>
        </is>
      </c>
      <c r="B396" s="13" t="inlineStr">
        <is>
          <t>IN</t>
        </is>
      </c>
      <c r="C396" s="177" t="n">
        <v>46059.375</v>
      </c>
      <c r="D396" s="51" t="n">
        <v>0.4584953703703704</v>
      </c>
      <c r="E396" s="13" t="n">
        <v>528000201</v>
      </c>
      <c r="F396" s="13" t="inlineStr">
        <is>
          <t>Zahwa Amelia Choerunissa</t>
        </is>
      </c>
      <c r="G396" s="13" t="inlineStr">
        <is>
          <t>Produksi</t>
        </is>
      </c>
    </row>
    <row r="397">
      <c r="A397" s="27" t="inlineStr">
        <is>
          <t>MK00230</t>
        </is>
      </c>
      <c r="B397" s="13" t="inlineStr">
        <is>
          <t>OUT</t>
        </is>
      </c>
      <c r="C397" s="177" t="n">
        <v>46059.375</v>
      </c>
      <c r="D397" s="51" t="n">
        <v>0.4588541666666667</v>
      </c>
      <c r="E397" s="13" t="n">
        <v>528000201</v>
      </c>
      <c r="F397" s="13" t="inlineStr">
        <is>
          <t>Zahwa Amelia Choerunissa</t>
        </is>
      </c>
      <c r="G397" s="13" t="inlineStr">
        <is>
          <t>Produksi</t>
        </is>
      </c>
    </row>
    <row r="398">
      <c r="A398" s="27" t="inlineStr">
        <is>
          <t>MK00185</t>
        </is>
      </c>
      <c r="B398" s="13" t="inlineStr">
        <is>
          <t>IN</t>
        </is>
      </c>
      <c r="C398" s="177" t="n">
        <v>46059.375</v>
      </c>
      <c r="D398" s="51" t="n">
        <v>0.4999305555555555</v>
      </c>
      <c r="E398" s="13" t="n">
        <v>528000286</v>
      </c>
      <c r="F398" s="13" t="inlineStr">
        <is>
          <t>Imelda Amelia</t>
        </is>
      </c>
      <c r="G398" s="13" t="inlineStr">
        <is>
          <t>Produksi</t>
        </is>
      </c>
    </row>
    <row r="399">
      <c r="A399" s="27" t="inlineStr">
        <is>
          <t>MK00185</t>
        </is>
      </c>
      <c r="B399" s="13" t="inlineStr">
        <is>
          <t>OUT</t>
        </is>
      </c>
      <c r="C399" s="177" t="n">
        <v>46059.375</v>
      </c>
      <c r="D399" s="51" t="n">
        <v>0.5005324074074075</v>
      </c>
      <c r="E399" s="13" t="n">
        <v>528000286</v>
      </c>
      <c r="F399" s="13" t="inlineStr">
        <is>
          <t>Imelda Amelia</t>
        </is>
      </c>
      <c r="G399" s="13" t="inlineStr">
        <is>
          <t>Produksi</t>
        </is>
      </c>
    </row>
    <row r="400">
      <c r="A400" s="27" t="inlineStr">
        <is>
          <t>MK00213</t>
        </is>
      </c>
      <c r="B400" s="13" t="inlineStr">
        <is>
          <t>OUT</t>
        </is>
      </c>
      <c r="C400" s="177" t="n">
        <v>46059.375</v>
      </c>
      <c r="D400" s="51" t="n">
        <v>0.505474537037037</v>
      </c>
      <c r="E400" s="13" t="n">
        <v>528000265</v>
      </c>
      <c r="F400" s="13" t="inlineStr">
        <is>
          <t>Muhammad Haerul Rozikin</t>
        </is>
      </c>
      <c r="G400" s="13" t="inlineStr">
        <is>
          <t>Produksi</t>
        </is>
      </c>
    </row>
    <row r="401">
      <c r="A401" s="27" t="inlineStr">
        <is>
          <t>MK00213</t>
        </is>
      </c>
      <c r="B401" s="13" t="inlineStr">
        <is>
          <t>IN</t>
        </is>
      </c>
      <c r="C401" s="177" t="n">
        <v>46059.375</v>
      </c>
      <c r="D401" s="51" t="n">
        <v>0.5059837962962963</v>
      </c>
      <c r="E401" s="13" t="n">
        <v>528000265</v>
      </c>
      <c r="F401" s="13" t="inlineStr">
        <is>
          <t>Muhammad Haerul Rozikin</t>
        </is>
      </c>
      <c r="G401" s="13" t="inlineStr">
        <is>
          <t>Produksi</t>
        </is>
      </c>
    </row>
    <row r="402">
      <c r="A402" s="27" t="inlineStr">
        <is>
          <t>MK00185</t>
        </is>
      </c>
      <c r="B402" s="13" t="inlineStr">
        <is>
          <t>IN</t>
        </is>
      </c>
      <c r="C402" s="177" t="n">
        <v>46059.375</v>
      </c>
      <c r="D402" s="51" t="n">
        <v>0.5072800925925925</v>
      </c>
      <c r="E402" s="13" t="n">
        <v>528000286</v>
      </c>
      <c r="F402" s="13" t="inlineStr">
        <is>
          <t>Imelda Amelia</t>
        </is>
      </c>
      <c r="G402" s="13" t="inlineStr">
        <is>
          <t>Produksi</t>
        </is>
      </c>
    </row>
    <row r="403">
      <c r="A403" s="27" t="inlineStr">
        <is>
          <t>MK00130</t>
        </is>
      </c>
      <c r="B403" s="13" t="inlineStr">
        <is>
          <t>IN</t>
        </is>
      </c>
      <c r="C403" s="177" t="n">
        <v>46059.375</v>
      </c>
      <c r="D403" s="51" t="n">
        <v>0.5076851851851852</v>
      </c>
      <c r="E403" s="13" t="n">
        <v>528000212</v>
      </c>
      <c r="F403" s="13" t="inlineStr">
        <is>
          <t>Rizal Fauzi</t>
        </is>
      </c>
      <c r="G403" s="13" t="inlineStr">
        <is>
          <t>Produksi</t>
        </is>
      </c>
    </row>
    <row r="404">
      <c r="A404" s="27" t="inlineStr">
        <is>
          <t>MK00213</t>
        </is>
      </c>
      <c r="B404" s="13" t="inlineStr">
        <is>
          <t>OUT</t>
        </is>
      </c>
      <c r="C404" s="177" t="n">
        <v>46059.375</v>
      </c>
      <c r="D404" s="51" t="n">
        <v>0.5271990740740741</v>
      </c>
      <c r="E404" s="13" t="n">
        <v>528000265</v>
      </c>
      <c r="F404" s="13" t="inlineStr">
        <is>
          <t>Muhammad Haerul Rozikin</t>
        </is>
      </c>
      <c r="G404" s="13" t="inlineStr">
        <is>
          <t>Produksi</t>
        </is>
      </c>
    </row>
    <row r="405">
      <c r="A405" s="27" t="inlineStr">
        <is>
          <t>MK00158</t>
        </is>
      </c>
      <c r="B405" s="13" t="inlineStr">
        <is>
          <t>OUT</t>
        </is>
      </c>
      <c r="C405" s="177" t="n">
        <v>46059.375</v>
      </c>
      <c r="D405" s="51" t="n">
        <v>0.5277314814814815</v>
      </c>
      <c r="E405" s="13" t="n">
        <v>528000282</v>
      </c>
      <c r="F405" s="13" t="inlineStr">
        <is>
          <t>Defa Desfiana</t>
        </is>
      </c>
      <c r="G405" s="13" t="inlineStr">
        <is>
          <t>Produksi</t>
        </is>
      </c>
    </row>
    <row r="406">
      <c r="A406" s="27" t="inlineStr">
        <is>
          <t>MK00126</t>
        </is>
      </c>
      <c r="B406" s="13" t="inlineStr">
        <is>
          <t>OUT</t>
        </is>
      </c>
      <c r="C406" s="177" t="n">
        <v>46059.375</v>
      </c>
      <c r="D406" s="51" t="n">
        <v>0.6083912037037037</v>
      </c>
      <c r="E406" s="13" t="n">
        <v>528000274</v>
      </c>
      <c r="F406" s="13" t="inlineStr">
        <is>
          <t>Zepri</t>
        </is>
      </c>
      <c r="G406" s="13" t="inlineStr">
        <is>
          <t>Produksi</t>
        </is>
      </c>
      <c r="H406" s="13" t="inlineStr">
        <is>
          <t>Istirahat</t>
        </is>
      </c>
    </row>
    <row r="407">
      <c r="A407" s="27" t="inlineStr">
        <is>
          <t>MK00208</t>
        </is>
      </c>
      <c r="B407" s="13" t="inlineStr">
        <is>
          <t>OUT</t>
        </is>
      </c>
      <c r="C407" s="177" t="n">
        <v>46059.375</v>
      </c>
      <c r="D407" s="51" t="n">
        <v>0.6922337962962963</v>
      </c>
      <c r="E407" s="13" t="n">
        <v>528000098</v>
      </c>
      <c r="F407" s="13" t="inlineStr">
        <is>
          <t>Edi Junaedi</t>
        </is>
      </c>
      <c r="G407" s="13" t="inlineStr">
        <is>
          <t>Produksi</t>
        </is>
      </c>
      <c r="H407" s="13" t="inlineStr">
        <is>
          <t>Istirahat</t>
        </is>
      </c>
    </row>
    <row r="408">
      <c r="A408" s="27" t="inlineStr">
        <is>
          <t>MK00208</t>
        </is>
      </c>
      <c r="B408" s="13" t="inlineStr">
        <is>
          <t>IN</t>
        </is>
      </c>
      <c r="C408" s="177" t="n">
        <v>46059.375</v>
      </c>
      <c r="D408" s="51" t="n">
        <v>0.7140625</v>
      </c>
      <c r="E408" s="13" t="n">
        <v>528000098</v>
      </c>
      <c r="F408" s="13" t="inlineStr">
        <is>
          <t>Edi Junaedi</t>
        </is>
      </c>
      <c r="G408" s="13" t="inlineStr">
        <is>
          <t>Produksi</t>
        </is>
      </c>
    </row>
    <row r="409">
      <c r="A409" s="27" t="inlineStr">
        <is>
          <t>MK00221</t>
        </is>
      </c>
      <c r="B409" s="13" t="inlineStr">
        <is>
          <t>IN</t>
        </is>
      </c>
      <c r="C409" s="177" t="n">
        <v>46059.375</v>
      </c>
      <c r="D409" s="51" t="n">
        <v>0.7237847222222222</v>
      </c>
      <c r="E409" s="13" t="n">
        <v>528000299</v>
      </c>
      <c r="F409" s="13" t="inlineStr">
        <is>
          <t>Siti Nurjanah</t>
        </is>
      </c>
      <c r="G409" s="13" t="inlineStr">
        <is>
          <t>Produksi</t>
        </is>
      </c>
      <c r="H409" s="13" t="inlineStr">
        <is>
          <t>Istirahat</t>
        </is>
      </c>
    </row>
    <row r="410">
      <c r="A410" s="27" t="inlineStr">
        <is>
          <t>MK00221</t>
        </is>
      </c>
      <c r="B410" s="13" t="inlineStr">
        <is>
          <t>OUT</t>
        </is>
      </c>
      <c r="C410" s="177" t="n">
        <v>46059.375</v>
      </c>
      <c r="D410" s="51" t="n">
        <v>0.7240277777777778</v>
      </c>
      <c r="E410" s="13" t="n">
        <v>528000299</v>
      </c>
      <c r="F410" s="13" t="inlineStr">
        <is>
          <t>Siti Nurjanah</t>
        </is>
      </c>
      <c r="G410" s="13" t="inlineStr">
        <is>
          <t>Produksi</t>
        </is>
      </c>
      <c r="H410" s="13" t="inlineStr">
        <is>
          <t>Istirahat</t>
        </is>
      </c>
    </row>
    <row r="411">
      <c r="A411" s="27" t="inlineStr">
        <is>
          <t>MK00145</t>
        </is>
      </c>
      <c r="B411" s="13" t="inlineStr">
        <is>
          <t>OUT</t>
        </is>
      </c>
      <c r="C411" s="177" t="n">
        <v>46059.375</v>
      </c>
      <c r="D411" s="51" t="n">
        <v>0.7409027777777778</v>
      </c>
      <c r="E411" s="13" t="n">
        <v>528000298</v>
      </c>
      <c r="F411" s="13" t="inlineStr">
        <is>
          <t>Desta Cahaya Pratama</t>
        </is>
      </c>
      <c r="G411" s="13" t="inlineStr">
        <is>
          <t>Produksi</t>
        </is>
      </c>
    </row>
    <row r="412">
      <c r="A412" s="27" t="inlineStr">
        <is>
          <t>MK00221</t>
        </is>
      </c>
      <c r="B412" s="13" t="inlineStr">
        <is>
          <t>IN</t>
        </is>
      </c>
      <c r="C412" s="177" t="n">
        <v>46059.375</v>
      </c>
      <c r="D412" s="51" t="n">
        <v>0.7450231481481482</v>
      </c>
      <c r="E412" s="13" t="n">
        <v>528000299</v>
      </c>
      <c r="F412" s="13" t="inlineStr">
        <is>
          <t>Siti Nurjanah</t>
        </is>
      </c>
      <c r="G412" s="13" t="inlineStr">
        <is>
          <t>Produksi</t>
        </is>
      </c>
    </row>
    <row r="413">
      <c r="A413" s="27" t="inlineStr">
        <is>
          <t>MK00145</t>
        </is>
      </c>
      <c r="B413" s="13" t="inlineStr">
        <is>
          <t>IN</t>
        </is>
      </c>
      <c r="C413" s="177" t="n">
        <v>46059.375</v>
      </c>
      <c r="D413" s="51" t="n">
        <v>0.7676157407407408</v>
      </c>
      <c r="E413" s="13" t="n">
        <v>528000298</v>
      </c>
      <c r="F413" s="13" t="inlineStr">
        <is>
          <t>Desta Cahaya Pratama</t>
        </is>
      </c>
      <c r="G413" s="13" t="inlineStr">
        <is>
          <t>Produksi</t>
        </is>
      </c>
    </row>
    <row r="414">
      <c r="A414" s="27" t="inlineStr">
        <is>
          <t>MK00151</t>
        </is>
      </c>
      <c r="B414" s="13" t="inlineStr">
        <is>
          <t>IN</t>
        </is>
      </c>
      <c r="C414" s="177" t="n">
        <v>46059.375</v>
      </c>
      <c r="D414" s="51" t="n">
        <v>0.7809375</v>
      </c>
      <c r="E414" s="13" t="n">
        <v>528000309</v>
      </c>
      <c r="F414" s="13" t="inlineStr">
        <is>
          <t>Ilham Ramadhan</t>
        </is>
      </c>
      <c r="G414" s="13" t="inlineStr">
        <is>
          <t>Produksi</t>
        </is>
      </c>
      <c r="H414" s="13" t="inlineStr">
        <is>
          <t>Istirahat</t>
        </is>
      </c>
    </row>
    <row r="415">
      <c r="A415" s="27" t="inlineStr">
        <is>
          <t>MK00151</t>
        </is>
      </c>
      <c r="B415" s="13" t="inlineStr">
        <is>
          <t>OUT</t>
        </is>
      </c>
      <c r="C415" s="177" t="n">
        <v>46059.375</v>
      </c>
      <c r="D415" s="51" t="n">
        <v>0.7810995370370371</v>
      </c>
      <c r="E415" s="13" t="n">
        <v>528000309</v>
      </c>
      <c r="F415" s="13" t="inlineStr">
        <is>
          <t>Ilham Ramadhan</t>
        </is>
      </c>
      <c r="G415" s="13" t="inlineStr">
        <is>
          <t>Produksi</t>
        </is>
      </c>
      <c r="H415" s="13" t="inlineStr">
        <is>
          <t>Istirahat</t>
        </is>
      </c>
    </row>
    <row r="416">
      <c r="A416" s="27" t="inlineStr">
        <is>
          <t>MK00093</t>
        </is>
      </c>
      <c r="B416" s="13" t="inlineStr">
        <is>
          <t>OUT</t>
        </is>
      </c>
      <c r="C416" s="177" t="n">
        <v>46059.375</v>
      </c>
      <c r="D416" s="51" t="n">
        <v>0.781238425925926</v>
      </c>
      <c r="E416" s="13" t="n">
        <v>528000302</v>
      </c>
      <c r="F416" s="13" t="inlineStr">
        <is>
          <t>Henkey gumilar</t>
        </is>
      </c>
      <c r="G416" s="13" t="inlineStr">
        <is>
          <t>Produksi</t>
        </is>
      </c>
      <c r="H416" s="13" t="inlineStr">
        <is>
          <t>Istirahat</t>
        </is>
      </c>
    </row>
    <row r="417">
      <c r="A417" s="27" t="inlineStr">
        <is>
          <t>MK00138</t>
        </is>
      </c>
      <c r="B417" s="13" t="inlineStr">
        <is>
          <t>OUT</t>
        </is>
      </c>
      <c r="C417" s="177" t="n">
        <v>46059.375</v>
      </c>
      <c r="D417" s="51" t="n">
        <v>0.7832291666666666</v>
      </c>
      <c r="E417" s="13" t="n">
        <v>528000270</v>
      </c>
      <c r="F417" s="13" t="inlineStr">
        <is>
          <t>Febri Najmudin</t>
        </is>
      </c>
      <c r="G417" s="13" t="inlineStr">
        <is>
          <t>Produksi</t>
        </is>
      </c>
      <c r="H417" s="13" t="inlineStr">
        <is>
          <t>Istirahat</t>
        </is>
      </c>
    </row>
    <row r="418">
      <c r="A418" s="27" t="inlineStr">
        <is>
          <t>MK00138</t>
        </is>
      </c>
      <c r="B418" s="13" t="inlineStr">
        <is>
          <t>IN</t>
        </is>
      </c>
      <c r="C418" s="177" t="n">
        <v>46059.375</v>
      </c>
      <c r="D418" s="51" t="n">
        <v>0.7835300925925925</v>
      </c>
      <c r="E418" s="13" t="n">
        <v>528000270</v>
      </c>
      <c r="F418" s="13" t="inlineStr">
        <is>
          <t>Febri Najmudin</t>
        </is>
      </c>
      <c r="G418" s="13" t="inlineStr">
        <is>
          <t>Produksi</t>
        </is>
      </c>
      <c r="H418" s="13" t="inlineStr">
        <is>
          <t>Istirahat</t>
        </is>
      </c>
    </row>
    <row r="419">
      <c r="A419" s="27" t="inlineStr">
        <is>
          <t>MK00151</t>
        </is>
      </c>
      <c r="B419" s="13" t="inlineStr">
        <is>
          <t>IN</t>
        </is>
      </c>
      <c r="C419" s="177" t="n">
        <v>46059.375</v>
      </c>
      <c r="D419" s="51" t="n">
        <v>0.7955902777777778</v>
      </c>
      <c r="E419" s="13" t="n">
        <v>528000309</v>
      </c>
      <c r="F419" s="13" t="inlineStr">
        <is>
          <t>Ilham Ramadhan</t>
        </is>
      </c>
      <c r="G419" s="13" t="inlineStr">
        <is>
          <t>Produksi</t>
        </is>
      </c>
      <c r="H419" s="13" t="inlineStr">
        <is>
          <t>Istirahat</t>
        </is>
      </c>
    </row>
    <row r="420">
      <c r="A420" s="27" t="inlineStr">
        <is>
          <t>MK00151</t>
        </is>
      </c>
      <c r="B420" s="13" t="inlineStr">
        <is>
          <t>OUT</t>
        </is>
      </c>
      <c r="C420" s="177" t="n">
        <v>46087.375</v>
      </c>
      <c r="D420" s="51" t="n">
        <v>0.4919097222222222</v>
      </c>
      <c r="E420" s="13" t="n">
        <v>528000358</v>
      </c>
      <c r="F420" s="13" t="inlineStr">
        <is>
          <t>Lulu Agustin</t>
        </is>
      </c>
      <c r="G420" s="13" t="inlineStr">
        <is>
          <t>Produksi</t>
        </is>
      </c>
      <c r="H420" s="13" t="inlineStr">
        <is>
          <t>Istirahat</t>
        </is>
      </c>
    </row>
    <row r="421">
      <c r="A421" s="27" t="inlineStr">
        <is>
          <t>MK00209</t>
        </is>
      </c>
      <c r="B421" s="13" t="inlineStr">
        <is>
          <t>OUT</t>
        </is>
      </c>
      <c r="C421" s="177" t="n">
        <v>46087.375</v>
      </c>
      <c r="D421" s="51" t="n">
        <v>0.4920138888888889</v>
      </c>
      <c r="E421" s="13" t="n">
        <v>528000262</v>
      </c>
      <c r="F421" s="13" t="inlineStr">
        <is>
          <t>Ndari Dwiwanti</t>
        </is>
      </c>
      <c r="G421" s="13" t="inlineStr">
        <is>
          <t>Produksi</t>
        </is>
      </c>
      <c r="H421" s="13" t="inlineStr">
        <is>
          <t>Istirahat</t>
        </is>
      </c>
    </row>
    <row r="422">
      <c r="A422" s="27" t="inlineStr">
        <is>
          <t>MK00138</t>
        </is>
      </c>
      <c r="B422" s="13" t="inlineStr">
        <is>
          <t>OUT</t>
        </is>
      </c>
      <c r="C422" s="177" t="n">
        <v>46087.375</v>
      </c>
      <c r="D422" s="51" t="n">
        <v>0.4921527777777778</v>
      </c>
      <c r="E422" s="13" t="n">
        <v>528000195</v>
      </c>
      <c r="F422" s="13" t="inlineStr">
        <is>
          <t>Rahma Sariwati</t>
        </is>
      </c>
      <c r="G422" s="13" t="inlineStr">
        <is>
          <t>Produksi</t>
        </is>
      </c>
      <c r="H422" s="13" t="inlineStr">
        <is>
          <t>Istirahat</t>
        </is>
      </c>
    </row>
    <row r="423">
      <c r="A423" s="27" t="inlineStr">
        <is>
          <t>MK00199</t>
        </is>
      </c>
      <c r="B423" s="13" t="inlineStr">
        <is>
          <t>OUT</t>
        </is>
      </c>
      <c r="C423" s="177" t="n">
        <v>46087.375</v>
      </c>
      <c r="D423" s="51" t="n">
        <v>0.4922569444444445</v>
      </c>
      <c r="E423" s="13" t="n">
        <v>528000261</v>
      </c>
      <c r="F423" s="13" t="inlineStr">
        <is>
          <t>Ergi Ergianto</t>
        </is>
      </c>
      <c r="G423" s="13" t="inlineStr">
        <is>
          <t>Produksi</t>
        </is>
      </c>
      <c r="H423" s="13" t="inlineStr">
        <is>
          <t>Istirahat</t>
        </is>
      </c>
    </row>
    <row r="424">
      <c r="A424" s="27" t="inlineStr">
        <is>
          <t>MK00154</t>
        </is>
      </c>
      <c r="B424" s="13" t="inlineStr">
        <is>
          <t>OUT</t>
        </is>
      </c>
      <c r="C424" s="177" t="n">
        <v>46087.375</v>
      </c>
      <c r="D424" s="51" t="n">
        <v>0.4928587962962963</v>
      </c>
      <c r="E424" s="13" t="n">
        <v>528000291</v>
      </c>
      <c r="F424" s="13" t="inlineStr">
        <is>
          <t>Andrian</t>
        </is>
      </c>
      <c r="G424" s="13" t="inlineStr">
        <is>
          <t>Produksi</t>
        </is>
      </c>
      <c r="H424" s="13" t="inlineStr">
        <is>
          <t>Istirahat</t>
        </is>
      </c>
    </row>
    <row r="425">
      <c r="A425" s="27" t="inlineStr">
        <is>
          <t>MK00138</t>
        </is>
      </c>
      <c r="B425" s="13" t="inlineStr">
        <is>
          <t>IN</t>
        </is>
      </c>
      <c r="C425" s="177" t="n">
        <v>46087.375</v>
      </c>
      <c r="D425" s="51" t="n">
        <v>0.5120023148148148</v>
      </c>
      <c r="E425" s="13" t="n">
        <v>528000195</v>
      </c>
      <c r="F425" s="13" t="inlineStr">
        <is>
          <t>Rahma Sariwati</t>
        </is>
      </c>
      <c r="G425" s="13" t="inlineStr">
        <is>
          <t>Produksi</t>
        </is>
      </c>
    </row>
    <row r="426">
      <c r="A426" s="27" t="inlineStr">
        <is>
          <t>MK00209</t>
        </is>
      </c>
      <c r="B426" s="13" t="inlineStr">
        <is>
          <t>IN</t>
        </is>
      </c>
      <c r="C426" s="177" t="n">
        <v>46087.375</v>
      </c>
      <c r="D426" s="51" t="n">
        <v>0.5122106481481481</v>
      </c>
      <c r="E426" s="13" t="n">
        <v>528000262</v>
      </c>
      <c r="F426" s="13" t="inlineStr">
        <is>
          <t>Ndari Dwiwanti</t>
        </is>
      </c>
      <c r="G426" s="13" t="inlineStr">
        <is>
          <t>Produksi</t>
        </is>
      </c>
    </row>
    <row r="427">
      <c r="A427" s="27" t="inlineStr">
        <is>
          <t>MK00151</t>
        </is>
      </c>
      <c r="B427" s="13" t="inlineStr">
        <is>
          <t>IN</t>
        </is>
      </c>
      <c r="C427" s="177" t="n">
        <v>46087.375</v>
      </c>
      <c r="D427" s="51" t="n">
        <v>0.5210300925925926</v>
      </c>
      <c r="E427" s="13" t="n">
        <v>528000358</v>
      </c>
      <c r="F427" s="13" t="inlineStr">
        <is>
          <t>Lulu Agustin</t>
        </is>
      </c>
      <c r="G427" s="13" t="inlineStr">
        <is>
          <t>Produksi</t>
        </is>
      </c>
    </row>
    <row r="428">
      <c r="A428" s="27" t="inlineStr">
        <is>
          <t>MK00250</t>
        </is>
      </c>
      <c r="B428" s="13" t="inlineStr">
        <is>
          <t>IN</t>
        </is>
      </c>
      <c r="C428" s="177" t="n">
        <v>46087.375</v>
      </c>
      <c r="D428" s="51" t="n">
        <v>0.5308680555555556</v>
      </c>
      <c r="E428" s="13" t="n">
        <v>528000052</v>
      </c>
      <c r="F428" s="13" t="inlineStr">
        <is>
          <t>Mustopa</t>
        </is>
      </c>
      <c r="G428" s="13" t="inlineStr">
        <is>
          <t>Produksi</t>
        </is>
      </c>
    </row>
    <row r="429">
      <c r="A429" s="27" t="inlineStr">
        <is>
          <t>MK00154</t>
        </is>
      </c>
      <c r="B429" s="13" t="inlineStr">
        <is>
          <t>IN</t>
        </is>
      </c>
      <c r="C429" s="177" t="n">
        <v>46087.375</v>
      </c>
      <c r="D429" s="51" t="n">
        <v>0.5333101851851851</v>
      </c>
      <c r="E429" s="13" t="n">
        <v>528000291</v>
      </c>
      <c r="F429" s="13" t="inlineStr">
        <is>
          <t>Andrian</t>
        </is>
      </c>
      <c r="G429" s="13" t="inlineStr">
        <is>
          <t>Produksi</t>
        </is>
      </c>
    </row>
    <row r="430">
      <c r="A430" s="27" t="inlineStr">
        <is>
          <t>MK00221</t>
        </is>
      </c>
      <c r="B430" s="13" t="inlineStr">
        <is>
          <t>IN</t>
        </is>
      </c>
      <c r="C430" s="177" t="n">
        <v>46087.375</v>
      </c>
      <c r="D430" s="51" t="n">
        <v>0.5334953703703704</v>
      </c>
      <c r="E430" s="13" t="n">
        <v>528000299</v>
      </c>
      <c r="F430" s="13" t="inlineStr">
        <is>
          <t>Siti Nurjanah</t>
        </is>
      </c>
      <c r="G430" s="13" t="inlineStr">
        <is>
          <t>Produksi</t>
        </is>
      </c>
    </row>
    <row r="431">
      <c r="A431" s="27" t="inlineStr">
        <is>
          <t>MK00112</t>
        </is>
      </c>
      <c r="B431" s="13" t="inlineStr">
        <is>
          <t>OUT</t>
        </is>
      </c>
      <c r="C431" s="177" t="n">
        <v>46087.375</v>
      </c>
      <c r="D431" s="51" t="n">
        <v>0.7012152777777778</v>
      </c>
      <c r="E431" s="13" t="n">
        <v>628000061</v>
      </c>
      <c r="F431" s="13" t="inlineStr">
        <is>
          <t>Nayla Fadillah Exwantoro</t>
        </is>
      </c>
      <c r="G431" s="13" t="inlineStr">
        <is>
          <t>Produksi</t>
        </is>
      </c>
    </row>
    <row r="432">
      <c r="A432" s="27" t="inlineStr">
        <is>
          <t>MK00230</t>
        </is>
      </c>
      <c r="B432" s="13" t="inlineStr">
        <is>
          <t>OUT</t>
        </is>
      </c>
      <c r="C432" s="177" t="n">
        <v>46087.375</v>
      </c>
      <c r="D432" s="51" t="n">
        <v>0.7017361111111111</v>
      </c>
      <c r="E432" s="13" t="n">
        <v>628000091</v>
      </c>
      <c r="F432" s="13" t="inlineStr">
        <is>
          <t>Devita Handayani</t>
        </is>
      </c>
      <c r="G432" s="13" t="inlineStr">
        <is>
          <t>Produksi</t>
        </is>
      </c>
    </row>
    <row r="433">
      <c r="A433" s="27" t="inlineStr">
        <is>
          <t>MK00113</t>
        </is>
      </c>
      <c r="B433" s="13" t="inlineStr">
        <is>
          <t>OUT</t>
        </is>
      </c>
      <c r="C433" s="177" t="n">
        <v>46087.375</v>
      </c>
      <c r="D433" s="51" t="n">
        <v>0.7217708333333334</v>
      </c>
      <c r="E433" s="13" t="n">
        <v>528000299</v>
      </c>
      <c r="F433" s="13" t="inlineStr">
        <is>
          <t>Siti Nurjanah</t>
        </is>
      </c>
      <c r="G433" s="13" t="inlineStr">
        <is>
          <t>Produksi</t>
        </is>
      </c>
    </row>
    <row r="434">
      <c r="A434" s="27" t="inlineStr">
        <is>
          <t>MK00181</t>
        </is>
      </c>
      <c r="B434" s="13" t="inlineStr">
        <is>
          <t>OUT</t>
        </is>
      </c>
      <c r="C434" s="177" t="n">
        <v>46087.375</v>
      </c>
      <c r="D434" s="51" t="n">
        <v>0.7219328703703703</v>
      </c>
      <c r="E434" s="13" t="n">
        <v>528000298</v>
      </c>
      <c r="F434" s="13" t="inlineStr">
        <is>
          <t>Desta Cahaya Pratama</t>
        </is>
      </c>
      <c r="G434" s="13" t="inlineStr">
        <is>
          <t>Produksi</t>
        </is>
      </c>
    </row>
    <row r="435">
      <c r="A435" s="27" t="inlineStr">
        <is>
          <t>MK00134</t>
        </is>
      </c>
      <c r="B435" s="13" t="inlineStr">
        <is>
          <t>OUT</t>
        </is>
      </c>
      <c r="C435" s="177" t="n">
        <v>46087.375</v>
      </c>
      <c r="D435" s="51" t="n">
        <v>0.722037037037037</v>
      </c>
      <c r="E435" s="13" t="n">
        <v>528000270</v>
      </c>
      <c r="F435" s="13" t="inlineStr">
        <is>
          <t>Febri Najmudin</t>
        </is>
      </c>
      <c r="G435" s="13" t="inlineStr">
        <is>
          <t>Produksi</t>
        </is>
      </c>
    </row>
    <row r="436">
      <c r="A436" s="27" t="inlineStr">
        <is>
          <t>MK00136</t>
        </is>
      </c>
      <c r="B436" s="13" t="inlineStr">
        <is>
          <t>OUT</t>
        </is>
      </c>
      <c r="C436" s="177" t="n">
        <v>46087.375</v>
      </c>
      <c r="D436" s="51" t="n">
        <v>0.7221643518518519</v>
      </c>
      <c r="E436" s="13" t="n">
        <v>528000305</v>
      </c>
      <c r="F436" s="13" t="inlineStr">
        <is>
          <t>Puji Puspita</t>
        </is>
      </c>
      <c r="G436" s="13" t="inlineStr">
        <is>
          <t>Produksi</t>
        </is>
      </c>
    </row>
    <row r="437">
      <c r="A437" s="27" t="inlineStr">
        <is>
          <t>MK00136</t>
        </is>
      </c>
      <c r="B437" s="13" t="inlineStr">
        <is>
          <t>IN</t>
        </is>
      </c>
      <c r="C437" s="177" t="n">
        <v>46087.375</v>
      </c>
      <c r="D437" s="51" t="n">
        <v>0.7421875</v>
      </c>
      <c r="E437" s="13" t="n">
        <v>528000305</v>
      </c>
      <c r="F437" s="13" t="inlineStr">
        <is>
          <t>Puji Puspita</t>
        </is>
      </c>
      <c r="G437" s="13" t="inlineStr">
        <is>
          <t>Produksi</t>
        </is>
      </c>
    </row>
    <row r="438">
      <c r="A438" s="27" t="inlineStr">
        <is>
          <t>MK00134</t>
        </is>
      </c>
      <c r="B438" s="13" t="inlineStr">
        <is>
          <t>IN</t>
        </is>
      </c>
      <c r="C438" s="177" t="n">
        <v>46087.375</v>
      </c>
      <c r="D438" s="51" t="n">
        <v>0.7504398148148148</v>
      </c>
      <c r="E438" s="13" t="n">
        <v>528000270</v>
      </c>
      <c r="F438" s="13" t="inlineStr">
        <is>
          <t>Febri Najmudin</t>
        </is>
      </c>
      <c r="G438" s="13" t="inlineStr">
        <is>
          <t>Produksi</t>
        </is>
      </c>
    </row>
    <row r="439">
      <c r="A439" s="27" t="inlineStr">
        <is>
          <t>MK00181</t>
        </is>
      </c>
      <c r="B439" s="13" t="inlineStr">
        <is>
          <t>IN</t>
        </is>
      </c>
      <c r="C439" s="177" t="n">
        <v>46087.375</v>
      </c>
      <c r="D439" s="51" t="n">
        <v>0.7522453703703704</v>
      </c>
      <c r="E439" s="13" t="n">
        <v>528000298</v>
      </c>
      <c r="F439" s="13" t="inlineStr">
        <is>
          <t>Desta Cahaya Pratama</t>
        </is>
      </c>
      <c r="G439" s="13" t="inlineStr">
        <is>
          <t>Produksi</t>
        </is>
      </c>
      <c r="H439" s="13" t="inlineStr">
        <is>
          <t>Istirahat</t>
        </is>
      </c>
    </row>
    <row r="440">
      <c r="A440" s="27" t="inlineStr">
        <is>
          <t>MK00235</t>
        </is>
      </c>
      <c r="B440" s="13" t="inlineStr">
        <is>
          <t>OUT</t>
        </is>
      </c>
      <c r="C440" s="177" t="n">
        <v>46087.375</v>
      </c>
      <c r="D440" s="51" t="n">
        <v>0.759988425925926</v>
      </c>
      <c r="E440" s="13" t="n">
        <v>528000302</v>
      </c>
      <c r="F440" s="13" t="inlineStr">
        <is>
          <t>Henkey gumilar</t>
        </is>
      </c>
      <c r="G440" s="13" t="inlineStr">
        <is>
          <t>Produksi</t>
        </is>
      </c>
      <c r="H440" s="13" t="inlineStr">
        <is>
          <t>Istirahat</t>
        </is>
      </c>
    </row>
    <row r="441">
      <c r="A441" s="27" t="inlineStr">
        <is>
          <t>MK00113</t>
        </is>
      </c>
      <c r="B441" s="13" t="inlineStr">
        <is>
          <t>IN</t>
        </is>
      </c>
      <c r="C441" s="177" t="n">
        <v>46087.375</v>
      </c>
      <c r="D441" s="51" t="n">
        <v>0.7603819444444444</v>
      </c>
      <c r="E441" s="13" t="n">
        <v>528000299</v>
      </c>
      <c r="F441" s="13" t="inlineStr">
        <is>
          <t>Siti Nurjanah</t>
        </is>
      </c>
      <c r="G441" s="13" t="inlineStr">
        <is>
          <t>Produksi</t>
        </is>
      </c>
      <c r="H441" s="13" t="inlineStr">
        <is>
          <t>Istirahat</t>
        </is>
      </c>
    </row>
    <row r="442">
      <c r="A442" s="27" t="inlineStr">
        <is>
          <t>MK00230</t>
        </is>
      </c>
      <c r="B442" s="13" t="inlineStr">
        <is>
          <t>IN</t>
        </is>
      </c>
      <c r="C442" s="177" t="n">
        <v>46087.375</v>
      </c>
      <c r="D442" s="51" t="n">
        <v>0.7605787037037037</v>
      </c>
      <c r="E442" s="13" t="n">
        <v>628000091</v>
      </c>
      <c r="F442" s="13" t="inlineStr">
        <is>
          <t>Devita Handayani</t>
        </is>
      </c>
      <c r="G442" s="13" t="inlineStr">
        <is>
          <t>Produksi</t>
        </is>
      </c>
      <c r="H442" s="13" t="inlineStr">
        <is>
          <t>Istirahat</t>
        </is>
      </c>
    </row>
    <row r="443">
      <c r="A443" s="27" t="inlineStr">
        <is>
          <t>MK00116</t>
        </is>
      </c>
      <c r="B443" s="13" t="inlineStr">
        <is>
          <t>OUT</t>
        </is>
      </c>
      <c r="C443" s="177" t="n">
        <v>46087.375</v>
      </c>
      <c r="D443" s="51" t="n">
        <v>0.7723842592592592</v>
      </c>
      <c r="E443" s="13" t="n">
        <v>528000309</v>
      </c>
      <c r="F443" s="13" t="inlineStr">
        <is>
          <t>Ilham Ramadhan</t>
        </is>
      </c>
      <c r="G443" s="13" t="inlineStr">
        <is>
          <t>Produksi</t>
        </is>
      </c>
      <c r="H443" s="13" t="inlineStr">
        <is>
          <t>Istirahat</t>
        </is>
      </c>
    </row>
    <row r="444">
      <c r="A444" s="27" t="inlineStr">
        <is>
          <t>MK00181</t>
        </is>
      </c>
      <c r="B444" s="13" t="inlineStr">
        <is>
          <t>OUT</t>
        </is>
      </c>
      <c r="C444" s="177" t="n">
        <v>46087.375</v>
      </c>
      <c r="D444" s="51" t="n">
        <v>0.8846759259259259</v>
      </c>
      <c r="E444" s="13" t="n">
        <v>528000298</v>
      </c>
      <c r="F444" s="13" t="inlineStr">
        <is>
          <t>Desta Cahaya Pratama</t>
        </is>
      </c>
      <c r="G444" s="13" t="inlineStr">
        <is>
          <t>Produksi</t>
        </is>
      </c>
    </row>
    <row r="445">
      <c r="A445" s="27" t="inlineStr">
        <is>
          <t>MK00181</t>
        </is>
      </c>
      <c r="B445" s="13" t="inlineStr">
        <is>
          <t>IN</t>
        </is>
      </c>
      <c r="C445" s="177" t="n">
        <v>46087.375</v>
      </c>
      <c r="D445" s="51" t="n">
        <v>0.8849768518518518</v>
      </c>
      <c r="E445" s="13" t="n">
        <v>528000298</v>
      </c>
      <c r="F445" s="13" t="inlineStr">
        <is>
          <t>Desta Cahaya Pratama</t>
        </is>
      </c>
      <c r="G445" s="13" t="inlineStr">
        <is>
          <t>Produksi</t>
        </is>
      </c>
      <c r="H445" s="13" t="inlineStr">
        <is>
          <t>Sholat</t>
        </is>
      </c>
    </row>
    <row r="446">
      <c r="A446" s="27" t="inlineStr">
        <is>
          <t>MK00202</t>
        </is>
      </c>
      <c r="B446" s="13" t="inlineStr">
        <is>
          <t>OUT</t>
        </is>
      </c>
      <c r="C446" s="177" t="n">
        <v>46118.41666666666</v>
      </c>
      <c r="D446" s="51" t="n">
        <v>0.07222222222222222</v>
      </c>
      <c r="E446" s="13" t="n">
        <v>528000288</v>
      </c>
      <c r="F446" s="13" t="inlineStr">
        <is>
          <t>Dede gunawan</t>
        </is>
      </c>
      <c r="G446" s="13" t="inlineStr">
        <is>
          <t>Produksi</t>
        </is>
      </c>
      <c r="H446" s="13" t="inlineStr">
        <is>
          <t>Istirahat</t>
        </is>
      </c>
    </row>
    <row r="447">
      <c r="A447" s="27" t="inlineStr">
        <is>
          <t>MK00210</t>
        </is>
      </c>
      <c r="B447" s="13" t="inlineStr">
        <is>
          <t>IN</t>
        </is>
      </c>
      <c r="C447" s="177" t="n">
        <v>46118.41666666666</v>
      </c>
      <c r="D447" s="51" t="n">
        <v>0.07255787037037037</v>
      </c>
      <c r="E447" s="13" t="n">
        <v>528000300</v>
      </c>
      <c r="F447" s="13" t="inlineStr">
        <is>
          <t>Lia pitaloka</t>
        </is>
      </c>
      <c r="G447" s="13" t="inlineStr">
        <is>
          <t>Produksi</t>
        </is>
      </c>
      <c r="H447" s="13" t="inlineStr">
        <is>
          <t>Istirahat</t>
        </is>
      </c>
    </row>
    <row r="448">
      <c r="A448" s="27" t="inlineStr">
        <is>
          <t>MK00208</t>
        </is>
      </c>
      <c r="B448" s="13" t="inlineStr">
        <is>
          <t>OUT</t>
        </is>
      </c>
      <c r="C448" s="177" t="n">
        <v>46118.41666666666</v>
      </c>
      <c r="D448" s="51" t="n">
        <v>0.07458333333333333</v>
      </c>
      <c r="E448" s="13" t="n">
        <v>528000279</v>
      </c>
      <c r="F448" s="13" t="inlineStr">
        <is>
          <t>Mahdalena Dalfa Riani</t>
        </is>
      </c>
      <c r="G448" s="13" t="inlineStr">
        <is>
          <t>Produksi</t>
        </is>
      </c>
      <c r="H448" s="13" t="inlineStr">
        <is>
          <t>Istirahat</t>
        </is>
      </c>
    </row>
    <row r="449">
      <c r="A449" s="27" t="inlineStr">
        <is>
          <t>MK00210</t>
        </is>
      </c>
      <c r="B449" s="13" t="inlineStr">
        <is>
          <t>OUT</t>
        </is>
      </c>
      <c r="C449" s="177" t="n">
        <v>46118.41666666666</v>
      </c>
      <c r="D449" s="51" t="n">
        <v>0.07515046296296296</v>
      </c>
      <c r="E449" s="13" t="n">
        <v>528000300</v>
      </c>
      <c r="F449" s="13" t="inlineStr">
        <is>
          <t>Lia pitaloka</t>
        </is>
      </c>
      <c r="G449" s="13" t="inlineStr">
        <is>
          <t>Produksi</t>
        </is>
      </c>
      <c r="H449" s="13" t="inlineStr">
        <is>
          <t>Istirahat</t>
        </is>
      </c>
    </row>
    <row r="450">
      <c r="A450" s="27" t="inlineStr">
        <is>
          <t>MK00210</t>
        </is>
      </c>
      <c r="B450" s="13" t="inlineStr">
        <is>
          <t>IN</t>
        </is>
      </c>
      <c r="C450" s="177" t="n">
        <v>46118.41666666666</v>
      </c>
      <c r="D450" s="51" t="n">
        <v>0.0939699074074074</v>
      </c>
      <c r="E450" s="13" t="n">
        <v>528000300</v>
      </c>
      <c r="F450" s="13" t="inlineStr">
        <is>
          <t>Lia pitaloka</t>
        </is>
      </c>
      <c r="G450" s="13" t="inlineStr">
        <is>
          <t>Produksi</t>
        </is>
      </c>
      <c r="H450" s="13" t="inlineStr">
        <is>
          <t>Istirahat</t>
        </is>
      </c>
    </row>
    <row r="451">
      <c r="A451" s="27" t="inlineStr">
        <is>
          <t>MK00208</t>
        </is>
      </c>
      <c r="B451" s="13" t="inlineStr">
        <is>
          <t>IN</t>
        </is>
      </c>
      <c r="C451" s="177" t="n">
        <v>46118.41666666666</v>
      </c>
      <c r="D451" s="51" t="n">
        <v>0.09515046296296296</v>
      </c>
      <c r="E451" s="13" t="n">
        <v>528000279</v>
      </c>
      <c r="F451" s="13" t="inlineStr">
        <is>
          <t>Mahdalena Dalfa Riani</t>
        </is>
      </c>
      <c r="G451" s="13" t="inlineStr">
        <is>
          <t>Produksi</t>
        </is>
      </c>
      <c r="H451" s="13" t="inlineStr">
        <is>
          <t>Istirahat</t>
        </is>
      </c>
    </row>
    <row r="452">
      <c r="A452" s="27" t="inlineStr">
        <is>
          <t>MK00148</t>
        </is>
      </c>
      <c r="B452" s="13" t="inlineStr">
        <is>
          <t>OUT</t>
        </is>
      </c>
      <c r="C452" s="177" t="n">
        <v>46118.41666666666</v>
      </c>
      <c r="D452" s="51" t="n">
        <v>0.1153240740740741</v>
      </c>
      <c r="E452" s="13" t="n">
        <v>628000064</v>
      </c>
      <c r="F452" s="13" t="inlineStr">
        <is>
          <t>Silva Alypia</t>
        </is>
      </c>
      <c r="G452" s="13" t="inlineStr">
        <is>
          <t>Produksi</t>
        </is>
      </c>
      <c r="H452" s="13" t="inlineStr">
        <is>
          <t>Istirahat</t>
        </is>
      </c>
    </row>
    <row r="453">
      <c r="A453" s="27" t="inlineStr">
        <is>
          <t>MK00213</t>
        </is>
      </c>
      <c r="B453" s="13" t="inlineStr">
        <is>
          <t>IN</t>
        </is>
      </c>
      <c r="C453" s="177" t="n">
        <v>46118.41666666666</v>
      </c>
      <c r="D453" s="51" t="n">
        <v>0.1337731481481481</v>
      </c>
      <c r="E453" s="13" t="n">
        <v>528000297</v>
      </c>
      <c r="F453" s="13" t="inlineStr">
        <is>
          <t>Muhamad Budiana</t>
        </is>
      </c>
      <c r="G453" s="13" t="inlineStr">
        <is>
          <t>Produksi</t>
        </is>
      </c>
      <c r="H453" s="13" t="inlineStr">
        <is>
          <t>Istirahat</t>
        </is>
      </c>
    </row>
    <row r="454">
      <c r="A454" s="27" t="inlineStr">
        <is>
          <t>MK00148</t>
        </is>
      </c>
      <c r="B454" s="13" t="inlineStr">
        <is>
          <t>IN</t>
        </is>
      </c>
      <c r="C454" s="177" t="n">
        <v>46118.41666666666</v>
      </c>
      <c r="D454" s="51" t="n">
        <v>0.1424189814814815</v>
      </c>
      <c r="E454" s="13" t="n">
        <v>628000064</v>
      </c>
      <c r="F454" s="13" t="inlineStr">
        <is>
          <t>Silva Alypia</t>
        </is>
      </c>
      <c r="G454" s="13" t="inlineStr">
        <is>
          <t>Produksi</t>
        </is>
      </c>
      <c r="H454" s="13" t="inlineStr">
        <is>
          <t>Istirahat</t>
        </is>
      </c>
    </row>
    <row r="455">
      <c r="A455" s="27" t="inlineStr">
        <is>
          <t>MK00213</t>
        </is>
      </c>
      <c r="B455" s="13" t="inlineStr">
        <is>
          <t>OUT</t>
        </is>
      </c>
      <c r="C455" s="177" t="n">
        <v>46118.41666666666</v>
      </c>
      <c r="D455" s="51" t="n">
        <v>0.154375</v>
      </c>
      <c r="E455" s="13" t="n">
        <v>528000297</v>
      </c>
      <c r="F455" s="13" t="inlineStr">
        <is>
          <t>Muhamad Budiana</t>
        </is>
      </c>
      <c r="G455" s="13" t="inlineStr">
        <is>
          <t>Produksi</t>
        </is>
      </c>
      <c r="H455" s="13" t="inlineStr">
        <is>
          <t>Istirahat</t>
        </is>
      </c>
    </row>
    <row r="456">
      <c r="A456" s="27" t="inlineStr">
        <is>
          <t>MK00213</t>
        </is>
      </c>
      <c r="B456" s="13" t="inlineStr">
        <is>
          <t>IN</t>
        </is>
      </c>
      <c r="C456" s="177" t="n">
        <v>46118.41666666666</v>
      </c>
      <c r="D456" s="51" t="n">
        <v>0.1550694444444445</v>
      </c>
      <c r="E456" s="13" t="n">
        <v>528000297</v>
      </c>
      <c r="F456" s="13" t="inlineStr">
        <is>
          <t>Muhamad Budiana</t>
        </is>
      </c>
      <c r="G456" s="13" t="inlineStr">
        <is>
          <t>Produksi</t>
        </is>
      </c>
      <c r="H456" s="13" t="inlineStr">
        <is>
          <t>Istirahat</t>
        </is>
      </c>
    </row>
    <row r="457">
      <c r="A457" s="27" t="inlineStr">
        <is>
          <t>MK00210</t>
        </is>
      </c>
      <c r="B457" s="13" t="inlineStr">
        <is>
          <t>OUT</t>
        </is>
      </c>
      <c r="C457" s="177" t="n">
        <v>46118.41666666666</v>
      </c>
      <c r="D457" s="51" t="n">
        <v>0.1723958333333333</v>
      </c>
      <c r="E457" s="13" t="n">
        <v>528000300</v>
      </c>
      <c r="F457" s="13" t="inlineStr">
        <is>
          <t>Lia pitaloka</t>
        </is>
      </c>
      <c r="G457" s="13" t="inlineStr">
        <is>
          <t>Produksi</t>
        </is>
      </c>
      <c r="H457" s="13" t="inlineStr">
        <is>
          <t>Toilet</t>
        </is>
      </c>
    </row>
    <row r="458">
      <c r="A458" s="27" t="inlineStr">
        <is>
          <t>MK00210</t>
        </is>
      </c>
      <c r="B458" s="13" t="inlineStr">
        <is>
          <t>IN</t>
        </is>
      </c>
      <c r="C458" s="177" t="n">
        <v>46118.41666666666</v>
      </c>
      <c r="D458" s="51" t="n">
        <v>0.1746527777777778</v>
      </c>
      <c r="E458" s="13" t="n">
        <v>528000300</v>
      </c>
      <c r="F458" s="13" t="inlineStr">
        <is>
          <t>Lia pitaloka</t>
        </is>
      </c>
      <c r="G458" s="13" t="inlineStr">
        <is>
          <t>Produksi</t>
        </is>
      </c>
      <c r="H458" s="13" t="inlineStr">
        <is>
          <t>Toilet</t>
        </is>
      </c>
    </row>
    <row r="459">
      <c r="A459" s="27" t="inlineStr">
        <is>
          <t>MK00090</t>
        </is>
      </c>
      <c r="B459" s="13" t="inlineStr">
        <is>
          <t>OUT</t>
        </is>
      </c>
      <c r="C459" s="177" t="n">
        <v>46118.41666666666</v>
      </c>
      <c r="D459" s="51" t="n">
        <v>0.3817361111111111</v>
      </c>
      <c r="E459" s="13" t="n">
        <v>528000262</v>
      </c>
      <c r="F459" s="13" t="inlineStr">
        <is>
          <t>Ndari Dwiwanti</t>
        </is>
      </c>
      <c r="G459" s="13" t="inlineStr">
        <is>
          <t>Produksi</t>
        </is>
      </c>
      <c r="H459" s="13" t="inlineStr">
        <is>
          <t>Istirahat</t>
        </is>
      </c>
    </row>
    <row r="460">
      <c r="A460" s="27" t="inlineStr">
        <is>
          <t>MK00136</t>
        </is>
      </c>
      <c r="B460" s="13" t="inlineStr">
        <is>
          <t>OUT</t>
        </is>
      </c>
      <c r="C460" s="177" t="n">
        <v>46118.41666666666</v>
      </c>
      <c r="D460" s="51" t="n">
        <v>0.3818981481481482</v>
      </c>
      <c r="E460" s="13" t="n">
        <v>528000195</v>
      </c>
      <c r="F460" s="13" t="inlineStr">
        <is>
          <t>Rahma Sariwati</t>
        </is>
      </c>
      <c r="G460" s="13" t="inlineStr">
        <is>
          <t>Produksi</t>
        </is>
      </c>
      <c r="H460" s="13" t="inlineStr">
        <is>
          <t>Istirahat</t>
        </is>
      </c>
    </row>
    <row r="461">
      <c r="A461" s="27" t="inlineStr">
        <is>
          <t>MK00235</t>
        </is>
      </c>
      <c r="B461" s="13" t="inlineStr">
        <is>
          <t>OUT</t>
        </is>
      </c>
      <c r="C461" s="177" t="n">
        <v>46118.41666666666</v>
      </c>
      <c r="D461" s="51" t="n">
        <v>0.3997800925925926</v>
      </c>
      <c r="E461" s="13" t="n">
        <v>528000261</v>
      </c>
      <c r="F461" s="13" t="inlineStr">
        <is>
          <t>Ergi Ergianto</t>
        </is>
      </c>
      <c r="G461" s="13" t="inlineStr">
        <is>
          <t>Produksi</t>
        </is>
      </c>
      <c r="H461" s="13" t="inlineStr">
        <is>
          <t>Istirahat</t>
        </is>
      </c>
    </row>
    <row r="462">
      <c r="A462" s="27" t="inlineStr">
        <is>
          <t>MK00090</t>
        </is>
      </c>
      <c r="B462" s="13" t="inlineStr">
        <is>
          <t>IN</t>
        </is>
      </c>
      <c r="C462" s="177" t="n">
        <v>46118.41666666666</v>
      </c>
      <c r="D462" s="51" t="n">
        <v>0.4007407407407407</v>
      </c>
      <c r="E462" s="13" t="n">
        <v>528000262</v>
      </c>
      <c r="F462" s="13" t="inlineStr">
        <is>
          <t>Ndari Dwiwanti</t>
        </is>
      </c>
      <c r="G462" s="13" t="inlineStr">
        <is>
          <t>Produksi</t>
        </is>
      </c>
      <c r="H462" s="13" t="inlineStr">
        <is>
          <t>Istirahat</t>
        </is>
      </c>
    </row>
    <row r="463">
      <c r="A463" s="27" t="inlineStr">
        <is>
          <t>MK00136</t>
        </is>
      </c>
      <c r="B463" s="13" t="inlineStr">
        <is>
          <t>IN</t>
        </is>
      </c>
      <c r="C463" s="177" t="n">
        <v>46118.41666666666</v>
      </c>
      <c r="D463" s="51" t="n">
        <v>0.4012384259259259</v>
      </c>
      <c r="E463" s="13" t="n">
        <v>528000195</v>
      </c>
      <c r="F463" s="13" t="inlineStr">
        <is>
          <t>Rahma Sariwati</t>
        </is>
      </c>
      <c r="G463" s="13" t="inlineStr">
        <is>
          <t>Produksi</t>
        </is>
      </c>
      <c r="H463" s="13" t="inlineStr">
        <is>
          <t>Istirahat</t>
        </is>
      </c>
    </row>
    <row r="464">
      <c r="A464" s="27" t="inlineStr">
        <is>
          <t>MK00235</t>
        </is>
      </c>
      <c r="B464" s="13" t="inlineStr">
        <is>
          <t>OUT</t>
        </is>
      </c>
      <c r="C464" s="177" t="n">
        <v>46118.41666666666</v>
      </c>
      <c r="D464" s="51" t="n">
        <v>0.4236458333333333</v>
      </c>
      <c r="E464" s="13" t="n">
        <v>528000261</v>
      </c>
      <c r="F464" s="13" t="inlineStr">
        <is>
          <t>Ergi Ergianto</t>
        </is>
      </c>
      <c r="G464" s="13" t="inlineStr">
        <is>
          <t>Produksi</t>
        </is>
      </c>
    </row>
    <row r="465">
      <c r="A465" s="27" t="inlineStr">
        <is>
          <t>MK00090</t>
        </is>
      </c>
      <c r="B465" s="13" t="inlineStr">
        <is>
          <t>IN</t>
        </is>
      </c>
      <c r="C465" s="177" t="n">
        <v>46118.41666666666</v>
      </c>
      <c r="D465" s="51" t="n">
        <v>0.4241550925925926</v>
      </c>
      <c r="E465" s="13" t="n">
        <v>528000262</v>
      </c>
      <c r="F465" s="13" t="inlineStr">
        <is>
          <t>Ndari Dwiwanti</t>
        </is>
      </c>
      <c r="G465" s="13" t="inlineStr">
        <is>
          <t>Produksi</t>
        </is>
      </c>
      <c r="H465" s="13" t="inlineStr">
        <is>
          <t>Istirahat</t>
        </is>
      </c>
    </row>
    <row r="466">
      <c r="A466" s="27" t="inlineStr">
        <is>
          <t>MK00235</t>
        </is>
      </c>
      <c r="B466" s="13" t="inlineStr">
        <is>
          <t>IN</t>
        </is>
      </c>
      <c r="C466" s="177" t="n">
        <v>46118.41666666666</v>
      </c>
      <c r="D466" s="51" t="n">
        <v>0.4248842592592593</v>
      </c>
      <c r="E466" s="13" t="n">
        <v>528000261</v>
      </c>
      <c r="F466" s="13" t="inlineStr">
        <is>
          <t>Ergi Ergianto</t>
        </is>
      </c>
      <c r="G466" s="13" t="inlineStr">
        <is>
          <t>Produksi</t>
        </is>
      </c>
      <c r="H466" s="13" t="inlineStr">
        <is>
          <t>Istirahat</t>
        </is>
      </c>
    </row>
    <row r="467">
      <c r="A467" s="27" t="inlineStr">
        <is>
          <t>MK00230</t>
        </is>
      </c>
      <c r="B467" s="13" t="inlineStr">
        <is>
          <t>OUT</t>
        </is>
      </c>
      <c r="C467" s="177" t="n">
        <v>46118.41666666666</v>
      </c>
      <c r="D467" s="51" t="n">
        <v>0.4316319444444445</v>
      </c>
      <c r="E467" s="13" t="n">
        <v>528000266</v>
      </c>
      <c r="F467" s="13" t="inlineStr">
        <is>
          <t>M. Syirajatieq</t>
        </is>
      </c>
      <c r="G467" s="13" t="inlineStr">
        <is>
          <t>Produksi</t>
        </is>
      </c>
    </row>
    <row r="468">
      <c r="A468" s="27" t="inlineStr">
        <is>
          <t>MK00108</t>
        </is>
      </c>
      <c r="B468" s="13" t="inlineStr">
        <is>
          <t>OUT</t>
        </is>
      </c>
      <c r="C468" s="177" t="n">
        <v>46118.41666666666</v>
      </c>
      <c r="D468" s="51" t="n">
        <v>0.4379282407407407</v>
      </c>
      <c r="E468" s="13" t="n">
        <v>528000052</v>
      </c>
      <c r="F468" s="13" t="inlineStr">
        <is>
          <t>Mustopa</t>
        </is>
      </c>
      <c r="G468" s="13" t="inlineStr">
        <is>
          <t>Produksi</t>
        </is>
      </c>
    </row>
    <row r="469">
      <c r="A469" s="27" t="inlineStr">
        <is>
          <t>MK00230</t>
        </is>
      </c>
      <c r="B469" s="13" t="inlineStr">
        <is>
          <t>IN</t>
        </is>
      </c>
      <c r="C469" s="177" t="n">
        <v>46118.41666666666</v>
      </c>
      <c r="D469" s="51" t="n">
        <v>0.4571759259259259</v>
      </c>
      <c r="E469" s="13" t="n">
        <v>528000266</v>
      </c>
      <c r="F469" s="13" t="inlineStr">
        <is>
          <t>M. Syirajatieq</t>
        </is>
      </c>
      <c r="G469" s="13" t="inlineStr">
        <is>
          <t>Produksi</t>
        </is>
      </c>
      <c r="H469" s="13" t="inlineStr">
        <is>
          <t>Istirahat</t>
        </is>
      </c>
    </row>
    <row r="470">
      <c r="A470" s="27" t="inlineStr">
        <is>
          <t>MK00192</t>
        </is>
      </c>
      <c r="B470" s="13" t="inlineStr">
        <is>
          <t>IN</t>
        </is>
      </c>
      <c r="C470" s="177" t="n">
        <v>46118.41666666666</v>
      </c>
      <c r="D470" s="51" t="n">
        <v>0.4819212962962963</v>
      </c>
      <c r="E470" s="13" t="n">
        <v>528000291</v>
      </c>
      <c r="F470" s="13" t="inlineStr">
        <is>
          <t>Andrian</t>
        </is>
      </c>
      <c r="G470" s="13" t="inlineStr">
        <is>
          <t>Produksi</t>
        </is>
      </c>
    </row>
    <row r="471">
      <c r="A471" s="27" t="inlineStr">
        <is>
          <t>MK00108</t>
        </is>
      </c>
      <c r="B471" s="13" t="inlineStr">
        <is>
          <t>IN</t>
        </is>
      </c>
      <c r="C471" s="177" t="n">
        <v>46118.41666666666</v>
      </c>
      <c r="D471" s="51" t="n">
        <v>0.4824074074074074</v>
      </c>
      <c r="E471" s="13" t="n">
        <v>528000052</v>
      </c>
      <c r="F471" s="13" t="inlineStr">
        <is>
          <t>Mustopa</t>
        </is>
      </c>
      <c r="G471" s="13" t="inlineStr">
        <is>
          <t>Produksi</t>
        </is>
      </c>
    </row>
    <row r="472">
      <c r="A472" s="27" t="inlineStr">
        <is>
          <t>MK00181</t>
        </is>
      </c>
      <c r="B472" s="13" t="inlineStr">
        <is>
          <t>OUT</t>
        </is>
      </c>
      <c r="C472" s="177" t="n">
        <v>46118.41666666666</v>
      </c>
      <c r="D472" s="51" t="n">
        <v>0.4829166666666667</v>
      </c>
      <c r="E472" s="13" t="n">
        <v>528000144</v>
      </c>
      <c r="F472" s="13" t="inlineStr">
        <is>
          <t>Jodi Hanafi</t>
        </is>
      </c>
      <c r="G472" s="13" t="inlineStr">
        <is>
          <t>Produksi</t>
        </is>
      </c>
    </row>
    <row r="473">
      <c r="A473" s="27" t="inlineStr">
        <is>
          <t>MK00145</t>
        </is>
      </c>
      <c r="B473" s="13" t="inlineStr">
        <is>
          <t>OUT</t>
        </is>
      </c>
      <c r="C473" s="177" t="n">
        <v>46118.41666666666</v>
      </c>
      <c r="D473" s="51" t="n">
        <v>0.6955208333333334</v>
      </c>
      <c r="E473" s="13" t="n">
        <v>528000098</v>
      </c>
      <c r="F473" s="13" t="inlineStr">
        <is>
          <t>Edi Junaedi</t>
        </is>
      </c>
      <c r="G473" s="13" t="inlineStr">
        <is>
          <t>Produksi</t>
        </is>
      </c>
      <c r="H473" s="13" t="inlineStr">
        <is>
          <t>Istirahat</t>
        </is>
      </c>
    </row>
    <row r="474">
      <c r="A474" s="27" t="inlineStr">
        <is>
          <t>MK00145</t>
        </is>
      </c>
      <c r="B474" s="13" t="inlineStr">
        <is>
          <t>OUT</t>
        </is>
      </c>
      <c r="C474" s="177" t="n">
        <v>46118.41666666666</v>
      </c>
      <c r="D474" s="51" t="n">
        <v>0.7302777777777778</v>
      </c>
      <c r="E474" s="13" t="n">
        <v>528000098</v>
      </c>
      <c r="F474" s="13" t="inlineStr">
        <is>
          <t>Edi Junaedi</t>
        </is>
      </c>
      <c r="G474" s="13" t="inlineStr">
        <is>
          <t>Produksi</t>
        </is>
      </c>
      <c r="H474" s="13" t="inlineStr">
        <is>
          <t>Istirahat</t>
        </is>
      </c>
    </row>
    <row r="475">
      <c r="A475" s="27" t="inlineStr">
        <is>
          <t>MK00116</t>
        </is>
      </c>
      <c r="B475" s="13" t="inlineStr">
        <is>
          <t>OUT</t>
        </is>
      </c>
      <c r="C475" s="177" t="n">
        <v>46118.41666666666</v>
      </c>
      <c r="D475" s="51" t="n">
        <v>0.7310069444444445</v>
      </c>
      <c r="E475" s="13" t="n">
        <v>628000061</v>
      </c>
      <c r="F475" s="13" t="inlineStr">
        <is>
          <t>Nayla Fadillah Exwantoro</t>
        </is>
      </c>
      <c r="G475" s="13" t="inlineStr">
        <is>
          <t>Produksi</t>
        </is>
      </c>
      <c r="H475" s="13" t="inlineStr">
        <is>
          <t>Istirahat</t>
        </is>
      </c>
    </row>
    <row r="476">
      <c r="A476" s="27" t="inlineStr">
        <is>
          <t>MK00148</t>
        </is>
      </c>
      <c r="B476" s="13" t="inlineStr">
        <is>
          <t>OUT</t>
        </is>
      </c>
      <c r="C476" s="177" t="n">
        <v>46118.41666666666</v>
      </c>
      <c r="D476" s="51" t="n">
        <v>0.7313541666666666</v>
      </c>
      <c r="E476" s="13" t="n">
        <v>528000305</v>
      </c>
      <c r="F476" s="13" t="inlineStr">
        <is>
          <t>Puji Puspita</t>
        </is>
      </c>
      <c r="G476" s="13" t="inlineStr">
        <is>
          <t>Produksi</t>
        </is>
      </c>
      <c r="H476" s="13" t="inlineStr">
        <is>
          <t>Istirahat</t>
        </is>
      </c>
    </row>
    <row r="477">
      <c r="A477" s="27" t="inlineStr">
        <is>
          <t>MK00145</t>
        </is>
      </c>
      <c r="B477" s="13" t="inlineStr">
        <is>
          <t>IN</t>
        </is>
      </c>
      <c r="C477" s="177" t="n">
        <v>46118.41666666666</v>
      </c>
      <c r="D477" s="51" t="n">
        <v>0.7332523148148148</v>
      </c>
      <c r="E477" s="13" t="n">
        <v>528000098</v>
      </c>
      <c r="F477" s="13" t="inlineStr">
        <is>
          <t>Edi Junaedi</t>
        </is>
      </c>
      <c r="G477" s="13" t="inlineStr">
        <is>
          <t>Produksi</t>
        </is>
      </c>
      <c r="H477" s="13" t="inlineStr">
        <is>
          <t>Istirahat</t>
        </is>
      </c>
    </row>
    <row r="478">
      <c r="A478" s="27" t="inlineStr">
        <is>
          <t>MK00116</t>
        </is>
      </c>
      <c r="B478" s="13" t="inlineStr">
        <is>
          <t>IN</t>
        </is>
      </c>
      <c r="C478" s="177" t="n">
        <v>46118.41666666666</v>
      </c>
      <c r="D478" s="51" t="n">
        <v>0.7354166666666667</v>
      </c>
      <c r="E478" s="13" t="n">
        <v>628000061</v>
      </c>
      <c r="F478" s="13" t="inlineStr">
        <is>
          <t>Nayla Fadillah Exwantoro</t>
        </is>
      </c>
      <c r="G478" s="13" t="inlineStr">
        <is>
          <t>Produksi</t>
        </is>
      </c>
      <c r="H478" s="13" t="inlineStr">
        <is>
          <t>Istirahat</t>
        </is>
      </c>
    </row>
    <row r="479">
      <c r="A479" s="27" t="inlineStr">
        <is>
          <t>MK00199</t>
        </is>
      </c>
      <c r="B479" s="13" t="inlineStr">
        <is>
          <t>OUT</t>
        </is>
      </c>
      <c r="C479" s="177" t="n">
        <v>46118.41666666666</v>
      </c>
      <c r="D479" s="51" t="n">
        <v>0.7686111111111111</v>
      </c>
      <c r="E479" s="13" t="n">
        <v>528000309</v>
      </c>
      <c r="F479" s="13" t="inlineStr">
        <is>
          <t>Ilham Ramadhan</t>
        </is>
      </c>
      <c r="G479" s="13" t="inlineStr">
        <is>
          <t>Produksi</t>
        </is>
      </c>
      <c r="H479" s="13" t="inlineStr">
        <is>
          <t>Istirahat</t>
        </is>
      </c>
    </row>
    <row r="480">
      <c r="A480" s="27" t="inlineStr">
        <is>
          <t>MK00154</t>
        </is>
      </c>
      <c r="B480" s="13" t="inlineStr">
        <is>
          <t>OUT</t>
        </is>
      </c>
      <c r="C480" s="177" t="n">
        <v>46118.41666666666</v>
      </c>
      <c r="D480" s="51" t="n">
        <v>0.770162037037037</v>
      </c>
      <c r="E480" s="13" t="n">
        <v>528000298</v>
      </c>
      <c r="F480" s="13" t="inlineStr">
        <is>
          <t>Desta Cahaya Pratama</t>
        </is>
      </c>
      <c r="G480" s="13" t="inlineStr">
        <is>
          <t>Produksi</t>
        </is>
      </c>
      <c r="H480" s="13" t="inlineStr">
        <is>
          <t>Istirahat</t>
        </is>
      </c>
    </row>
    <row r="481">
      <c r="A481" s="27" t="inlineStr">
        <is>
          <t>MK00199</t>
        </is>
      </c>
      <c r="B481" s="13" t="inlineStr">
        <is>
          <t>IN</t>
        </is>
      </c>
      <c r="C481" s="177" t="n">
        <v>46118.41666666666</v>
      </c>
      <c r="D481" s="51" t="n">
        <v>0.7881597222222222</v>
      </c>
      <c r="E481" s="13" t="n">
        <v>528000309</v>
      </c>
      <c r="F481" s="13" t="inlineStr">
        <is>
          <t>Ilham Ramadhan</t>
        </is>
      </c>
      <c r="G481" s="13" t="inlineStr">
        <is>
          <t>Produksi</t>
        </is>
      </c>
      <c r="H481" s="13" t="inlineStr">
        <is>
          <t>Istirahat</t>
        </is>
      </c>
    </row>
    <row r="482">
      <c r="A482" s="27" t="inlineStr">
        <is>
          <t>MK00209</t>
        </is>
      </c>
      <c r="B482" s="13" t="inlineStr">
        <is>
          <t>OUT</t>
        </is>
      </c>
      <c r="C482" s="177" t="n">
        <v>46118.41666666666</v>
      </c>
      <c r="D482" s="51" t="n">
        <v>0.7913541666666667</v>
      </c>
      <c r="E482" s="13" t="n">
        <v>528000270</v>
      </c>
      <c r="F482" s="13" t="inlineStr">
        <is>
          <t>Febri Najmudin</t>
        </is>
      </c>
      <c r="G482" s="13" t="inlineStr">
        <is>
          <t>Produksi</t>
        </is>
      </c>
      <c r="H482" s="13" t="inlineStr">
        <is>
          <t>Istirahat</t>
        </is>
      </c>
    </row>
    <row r="483">
      <c r="A483" s="27" t="inlineStr">
        <is>
          <t>MK00209</t>
        </is>
      </c>
      <c r="B483" s="13" t="inlineStr">
        <is>
          <t>IN</t>
        </is>
      </c>
      <c r="C483" s="177" t="n">
        <v>46118.41666666666</v>
      </c>
      <c r="D483" s="51" t="n">
        <v>0.8016435185185186</v>
      </c>
      <c r="E483" s="13" t="n">
        <v>528000270</v>
      </c>
      <c r="F483" s="13" t="inlineStr">
        <is>
          <t>Febri Najmudin</t>
        </is>
      </c>
      <c r="G483" s="13" t="inlineStr">
        <is>
          <t>Produksi</t>
        </is>
      </c>
      <c r="H483" s="13" t="inlineStr">
        <is>
          <t>Istirahat</t>
        </is>
      </c>
    </row>
    <row r="484">
      <c r="A484" s="27" t="inlineStr">
        <is>
          <t>MK00221</t>
        </is>
      </c>
      <c r="B484" s="13" t="inlineStr">
        <is>
          <t>OUT</t>
        </is>
      </c>
      <c r="C484" s="177" t="n">
        <v>46148.41666666666</v>
      </c>
      <c r="D484" s="51" t="n">
        <v>0.04789351851851852</v>
      </c>
      <c r="E484" s="13" t="n">
        <v>528000323</v>
      </c>
      <c r="F484" s="13" t="inlineStr">
        <is>
          <t>Dian Hamidah</t>
        </is>
      </c>
      <c r="G484" s="13" t="inlineStr">
        <is>
          <t>Produksi</t>
        </is>
      </c>
    </row>
    <row r="485">
      <c r="A485" s="27" t="inlineStr">
        <is>
          <t>MK00090</t>
        </is>
      </c>
      <c r="B485" s="13" t="inlineStr">
        <is>
          <t>OUT</t>
        </is>
      </c>
      <c r="C485" s="177" t="n">
        <v>46148.41666666666</v>
      </c>
      <c r="D485" s="51" t="n">
        <v>0.04819444444444444</v>
      </c>
      <c r="E485" s="13" t="n">
        <v>528000306</v>
      </c>
      <c r="F485" s="13" t="inlineStr">
        <is>
          <t>Windy Olivia</t>
        </is>
      </c>
      <c r="G485" s="13" t="inlineStr">
        <is>
          <t>Produksi</t>
        </is>
      </c>
    </row>
    <row r="486">
      <c r="A486" s="27" t="inlineStr">
        <is>
          <t>MK00181</t>
        </is>
      </c>
      <c r="B486" s="13" t="inlineStr">
        <is>
          <t>IN</t>
        </is>
      </c>
      <c r="C486" s="177" t="n">
        <v>46148.41666666666</v>
      </c>
      <c r="D486" s="51" t="n">
        <v>0.05172453703703703</v>
      </c>
      <c r="E486" s="13" t="n">
        <v>528000300</v>
      </c>
      <c r="F486" s="13" t="inlineStr">
        <is>
          <t>Lia pitaloka</t>
        </is>
      </c>
      <c r="G486" s="13" t="inlineStr">
        <is>
          <t>Produksi</t>
        </is>
      </c>
    </row>
    <row r="487">
      <c r="A487" s="27" t="inlineStr">
        <is>
          <t>MK00093</t>
        </is>
      </c>
      <c r="B487" s="13" t="inlineStr">
        <is>
          <t>IN</t>
        </is>
      </c>
      <c r="C487" s="177" t="n">
        <v>46148.41666666666</v>
      </c>
      <c r="D487" s="51" t="n">
        <v>0.07337962962962963</v>
      </c>
      <c r="E487" s="13" t="n">
        <v>528000288</v>
      </c>
      <c r="F487" s="13" t="inlineStr">
        <is>
          <t>Dede gunawan</t>
        </is>
      </c>
      <c r="G487" s="13" t="inlineStr">
        <is>
          <t>Produksi</t>
        </is>
      </c>
      <c r="H487" s="13" t="inlineStr">
        <is>
          <t>Istirahat</t>
        </is>
      </c>
    </row>
    <row r="488">
      <c r="A488" s="27" t="inlineStr">
        <is>
          <t>MK00093</t>
        </is>
      </c>
      <c r="B488" s="13" t="inlineStr">
        <is>
          <t>OUT</t>
        </is>
      </c>
      <c r="C488" s="177" t="n">
        <v>46148.41666666666</v>
      </c>
      <c r="D488" s="51" t="n">
        <v>0.07351851851851852</v>
      </c>
      <c r="E488" s="13" t="n">
        <v>528000288</v>
      </c>
      <c r="F488" s="13" t="inlineStr">
        <is>
          <t>Dede gunawan</t>
        </is>
      </c>
      <c r="G488" s="13" t="inlineStr">
        <is>
          <t>Produksi</t>
        </is>
      </c>
      <c r="H488" s="13" t="inlineStr">
        <is>
          <t>Istirahat</t>
        </is>
      </c>
    </row>
    <row r="489">
      <c r="A489" s="27" t="inlineStr">
        <is>
          <t>MK00181</t>
        </is>
      </c>
      <c r="B489" s="13" t="inlineStr">
        <is>
          <t>OUT</t>
        </is>
      </c>
      <c r="C489" s="177" t="n">
        <v>46148.41666666666</v>
      </c>
      <c r="D489" s="51" t="n">
        <v>0.07850694444444445</v>
      </c>
      <c r="E489" s="13" t="n">
        <v>528000300</v>
      </c>
      <c r="F489" s="13" t="inlineStr">
        <is>
          <t>Lia pitaloka</t>
        </is>
      </c>
      <c r="G489" s="13" t="inlineStr">
        <is>
          <t>Produksi</t>
        </is>
      </c>
      <c r="H489" s="13" t="inlineStr">
        <is>
          <t>Istirahat</t>
        </is>
      </c>
    </row>
    <row r="490">
      <c r="A490" s="27" t="inlineStr">
        <is>
          <t>MK00181</t>
        </is>
      </c>
      <c r="B490" s="13" t="inlineStr">
        <is>
          <t>IN</t>
        </is>
      </c>
      <c r="C490" s="177" t="n">
        <v>46148.41666666666</v>
      </c>
      <c r="D490" s="51" t="n">
        <v>0.07930555555555556</v>
      </c>
      <c r="E490" s="13" t="n">
        <v>528000300</v>
      </c>
      <c r="F490" s="13" t="inlineStr">
        <is>
          <t>Lia pitaloka</t>
        </is>
      </c>
      <c r="G490" s="13" t="inlineStr">
        <is>
          <t>Produksi</t>
        </is>
      </c>
      <c r="H490" s="13" t="inlineStr">
        <is>
          <t>Istirahat</t>
        </is>
      </c>
    </row>
    <row r="491">
      <c r="A491" s="27" t="inlineStr">
        <is>
          <t>MK00008</t>
        </is>
      </c>
      <c r="B491" s="13" t="inlineStr">
        <is>
          <t>OUT</t>
        </is>
      </c>
      <c r="C491" s="177" t="n">
        <v>46148.41666666666</v>
      </c>
      <c r="D491" s="51" t="n">
        <v>0.08041666666666666</v>
      </c>
      <c r="E491" s="13" t="n">
        <v>528000329</v>
      </c>
      <c r="F491" s="13" t="inlineStr">
        <is>
          <t>Havid Ilham Firdaus</t>
        </is>
      </c>
      <c r="G491" s="13" t="inlineStr">
        <is>
          <t>Produksi</t>
        </is>
      </c>
      <c r="H491" s="13" t="inlineStr">
        <is>
          <t>Istirahat</t>
        </is>
      </c>
    </row>
    <row r="492">
      <c r="A492" s="27" t="inlineStr">
        <is>
          <t>MK00093</t>
        </is>
      </c>
      <c r="B492" s="13" t="inlineStr">
        <is>
          <t>IN</t>
        </is>
      </c>
      <c r="C492" s="177" t="n">
        <v>46148.41666666666</v>
      </c>
      <c r="D492" s="51" t="n">
        <v>0.09490740740740741</v>
      </c>
      <c r="E492" s="13" t="n">
        <v>528000288</v>
      </c>
      <c r="F492" s="13" t="inlineStr">
        <is>
          <t>Dede gunawan</t>
        </is>
      </c>
      <c r="G492" s="13" t="inlineStr">
        <is>
          <t>Produksi</t>
        </is>
      </c>
    </row>
    <row r="493">
      <c r="A493" s="27" t="inlineStr">
        <is>
          <t>MK00208</t>
        </is>
      </c>
      <c r="B493" s="13" t="inlineStr">
        <is>
          <t>OUT</t>
        </is>
      </c>
      <c r="C493" s="177" t="n">
        <v>46148.41666666666</v>
      </c>
      <c r="D493" s="51" t="n">
        <v>0.09924768518518519</v>
      </c>
      <c r="E493" s="13" t="n">
        <v>528000063</v>
      </c>
      <c r="F493" s="13" t="inlineStr">
        <is>
          <t>Muhamad Ripki Pebrian</t>
        </is>
      </c>
      <c r="G493" s="13" t="inlineStr">
        <is>
          <t>Produksi</t>
        </is>
      </c>
    </row>
    <row r="494">
      <c r="A494" s="27" t="inlineStr">
        <is>
          <t>MK00138</t>
        </is>
      </c>
      <c r="B494" s="13" t="inlineStr">
        <is>
          <t>OUT</t>
        </is>
      </c>
      <c r="C494" s="177" t="n">
        <v>46148.41666666666</v>
      </c>
      <c r="D494" s="51" t="n">
        <v>0.1031712962962963</v>
      </c>
      <c r="E494" s="13" t="n">
        <v>528000297</v>
      </c>
      <c r="F494" s="13" t="inlineStr">
        <is>
          <t>Muhamad Budiana</t>
        </is>
      </c>
      <c r="G494" s="13" t="inlineStr">
        <is>
          <t>Produksi</t>
        </is>
      </c>
    </row>
    <row r="495">
      <c r="A495" s="27" t="inlineStr">
        <is>
          <t>MK00008</t>
        </is>
      </c>
      <c r="B495" s="13" t="inlineStr">
        <is>
          <t>IN</t>
        </is>
      </c>
      <c r="C495" s="177" t="n">
        <v>46148.41666666666</v>
      </c>
      <c r="D495" s="51" t="n">
        <v>0.1122337962962963</v>
      </c>
      <c r="E495" s="13" t="n">
        <v>528000329</v>
      </c>
      <c r="F495" s="13" t="inlineStr">
        <is>
          <t>Havid Ilham Firdaus</t>
        </is>
      </c>
      <c r="G495" s="13" t="inlineStr">
        <is>
          <t>Produksi</t>
        </is>
      </c>
    </row>
    <row r="496">
      <c r="A496" s="27" t="inlineStr">
        <is>
          <t>MK00202</t>
        </is>
      </c>
      <c r="B496" s="13" t="inlineStr">
        <is>
          <t>OUT</t>
        </is>
      </c>
      <c r="C496" s="177" t="n">
        <v>46148.41666666666</v>
      </c>
      <c r="D496" s="51" t="n">
        <v>0.1135069444444444</v>
      </c>
      <c r="E496" s="13" t="n">
        <v>528000279</v>
      </c>
      <c r="F496" s="13" t="inlineStr">
        <is>
          <t>Mahdalena Dalfa Riani</t>
        </is>
      </c>
      <c r="G496" s="13" t="inlineStr">
        <is>
          <t>Produksi</t>
        </is>
      </c>
    </row>
    <row r="497">
      <c r="A497" s="27" t="inlineStr">
        <is>
          <t>MK00108</t>
        </is>
      </c>
      <c r="B497" s="13" t="inlineStr">
        <is>
          <t>OUT</t>
        </is>
      </c>
      <c r="C497" s="177" t="n">
        <v>46148.41666666666</v>
      </c>
      <c r="D497" s="51" t="n">
        <v>0.1139351851851852</v>
      </c>
      <c r="E497" s="13" t="n">
        <v>628000064</v>
      </c>
      <c r="F497" s="13" t="inlineStr">
        <is>
          <t>Silva Alypia</t>
        </is>
      </c>
      <c r="G497" s="13" t="inlineStr">
        <is>
          <t>Produksi</t>
        </is>
      </c>
      <c r="H497" s="13" t="inlineStr">
        <is>
          <t>Istirahat</t>
        </is>
      </c>
    </row>
    <row r="498">
      <c r="A498" s="27" t="inlineStr">
        <is>
          <t>MK00138</t>
        </is>
      </c>
      <c r="B498" s="13" t="inlineStr">
        <is>
          <t>IN</t>
        </is>
      </c>
      <c r="C498" s="177" t="n">
        <v>46148.41666666666</v>
      </c>
      <c r="D498" s="51" t="n">
        <v>0.1258333333333333</v>
      </c>
      <c r="E498" s="13" t="n">
        <v>528000297</v>
      </c>
      <c r="F498" s="13" t="inlineStr">
        <is>
          <t>Muhamad Budiana</t>
        </is>
      </c>
      <c r="G498" s="13" t="inlineStr">
        <is>
          <t>Produksi</t>
        </is>
      </c>
    </row>
    <row r="499">
      <c r="A499" s="27" t="inlineStr">
        <is>
          <t>MK00208</t>
        </is>
      </c>
      <c r="B499" s="13" t="inlineStr">
        <is>
          <t>IN</t>
        </is>
      </c>
      <c r="C499" s="177" t="n">
        <v>46148.41666666666</v>
      </c>
      <c r="D499" s="51" t="n">
        <v>0.1319328703703704</v>
      </c>
      <c r="E499" s="13" t="n">
        <v>528000063</v>
      </c>
      <c r="F499" s="13" t="inlineStr">
        <is>
          <t>Muhamad Ripki Pebrian</t>
        </is>
      </c>
      <c r="G499" s="13" t="inlineStr">
        <is>
          <t>Produksi</t>
        </is>
      </c>
    </row>
    <row r="500">
      <c r="A500" s="27" t="inlineStr">
        <is>
          <t>MK00202</t>
        </is>
      </c>
      <c r="B500" s="13" t="inlineStr">
        <is>
          <t>IN</t>
        </is>
      </c>
      <c r="C500" s="177" t="n">
        <v>46148.41666666666</v>
      </c>
      <c r="D500" s="51" t="n">
        <v>0.141412037037037</v>
      </c>
      <c r="E500" s="13" t="n">
        <v>528000279</v>
      </c>
      <c r="F500" s="13" t="inlineStr">
        <is>
          <t>Mahdalena Dalfa Riani</t>
        </is>
      </c>
      <c r="G500" s="13" t="inlineStr">
        <is>
          <t>Produksi</t>
        </is>
      </c>
    </row>
    <row r="501">
      <c r="A501" s="27" t="inlineStr">
        <is>
          <t>MK00108</t>
        </is>
      </c>
      <c r="B501" s="13" t="inlineStr">
        <is>
          <t>IN</t>
        </is>
      </c>
      <c r="C501" s="177" t="n">
        <v>46148.41666666666</v>
      </c>
      <c r="D501" s="51" t="n">
        <v>0.1416435185185185</v>
      </c>
      <c r="E501" s="13" t="n">
        <v>628000064</v>
      </c>
      <c r="F501" s="13" t="inlineStr">
        <is>
          <t>Silva Alypia</t>
        </is>
      </c>
      <c r="G501" s="13" t="inlineStr">
        <is>
          <t>Produksi</t>
        </is>
      </c>
    </row>
    <row r="502">
      <c r="A502" s="27" t="inlineStr">
        <is>
          <t>MK00199</t>
        </is>
      </c>
      <c r="B502" s="13" t="inlineStr">
        <is>
          <t>OUT</t>
        </is>
      </c>
      <c r="C502" s="177" t="n">
        <v>46148.41666666666</v>
      </c>
      <c r="D502" s="51" t="n">
        <v>0.3931828703703704</v>
      </c>
      <c r="E502" s="13" t="n">
        <v>528000358</v>
      </c>
      <c r="F502" s="13" t="inlineStr">
        <is>
          <t>Lulu Agustin</t>
        </is>
      </c>
      <c r="G502" s="13" t="inlineStr">
        <is>
          <t>Produksi</t>
        </is>
      </c>
      <c r="H502" s="13" t="inlineStr">
        <is>
          <t>Istirahat</t>
        </is>
      </c>
    </row>
    <row r="503">
      <c r="A503" s="27" t="inlineStr">
        <is>
          <t>MK00154</t>
        </is>
      </c>
      <c r="B503" s="13" t="inlineStr">
        <is>
          <t>IN</t>
        </is>
      </c>
      <c r="C503" s="177" t="n">
        <v>46148.41666666666</v>
      </c>
      <c r="D503" s="51" t="n">
        <v>0.3933449074074074</v>
      </c>
      <c r="E503" s="13" t="n">
        <v>528000262</v>
      </c>
      <c r="F503" s="13" t="inlineStr">
        <is>
          <t>Ndari Dwiwanti</t>
        </is>
      </c>
      <c r="G503" s="13" t="inlineStr">
        <is>
          <t>Produksi</t>
        </is>
      </c>
      <c r="H503" s="13" t="inlineStr">
        <is>
          <t>Istirahat</t>
        </is>
      </c>
    </row>
    <row r="504">
      <c r="A504" s="27" t="inlineStr">
        <is>
          <t>MK00199</t>
        </is>
      </c>
      <c r="B504" s="13" t="inlineStr">
        <is>
          <t>IN</t>
        </is>
      </c>
      <c r="C504" s="177" t="n">
        <v>46148.41666666666</v>
      </c>
      <c r="D504" s="51" t="n">
        <v>0.4136458333333333</v>
      </c>
      <c r="E504" s="13" t="n">
        <v>528000358</v>
      </c>
      <c r="F504" s="13" t="inlineStr">
        <is>
          <t>Lulu Agustin</t>
        </is>
      </c>
      <c r="G504" s="13" t="inlineStr">
        <is>
          <t>Produksi</t>
        </is>
      </c>
      <c r="H504" s="13" t="inlineStr">
        <is>
          <t>Pekerjaan</t>
        </is>
      </c>
    </row>
    <row r="505">
      <c r="A505" s="27" t="inlineStr">
        <is>
          <t>MK00113</t>
        </is>
      </c>
      <c r="B505" s="13" t="inlineStr">
        <is>
          <t>OUT</t>
        </is>
      </c>
      <c r="C505" s="177" t="n">
        <v>46148.41666666666</v>
      </c>
      <c r="D505" s="51" t="n">
        <v>0.4146412037037037</v>
      </c>
      <c r="E505" s="13" t="n">
        <v>528000291</v>
      </c>
      <c r="F505" s="13" t="inlineStr">
        <is>
          <t>Andrian</t>
        </is>
      </c>
      <c r="G505" s="13" t="inlineStr">
        <is>
          <t>Produksi</t>
        </is>
      </c>
      <c r="H505" s="13" t="inlineStr">
        <is>
          <t>Istirahat</t>
        </is>
      </c>
    </row>
    <row r="506">
      <c r="A506" s="27" t="inlineStr">
        <is>
          <t>MK00113</t>
        </is>
      </c>
      <c r="B506" s="13" t="inlineStr">
        <is>
          <t>IN</t>
        </is>
      </c>
      <c r="C506" s="177" t="n">
        <v>46148.41666666666</v>
      </c>
      <c r="D506" s="51" t="n">
        <v>0.4357060185185185</v>
      </c>
      <c r="E506" s="13" t="n">
        <v>528000291</v>
      </c>
      <c r="F506" s="13" t="inlineStr">
        <is>
          <t>Andrian</t>
        </is>
      </c>
      <c r="G506" s="13" t="inlineStr">
        <is>
          <t>Produksi</t>
        </is>
      </c>
      <c r="H506" s="13" t="inlineStr">
        <is>
          <t>Istirahat</t>
        </is>
      </c>
    </row>
    <row r="507">
      <c r="A507" s="27" t="inlineStr">
        <is>
          <t>MK00151</t>
        </is>
      </c>
      <c r="B507" s="13" t="inlineStr">
        <is>
          <t>OUT</t>
        </is>
      </c>
      <c r="C507" s="177" t="n">
        <v>46148.41666666666</v>
      </c>
      <c r="D507" s="51" t="n">
        <v>0.4485300925925926</v>
      </c>
      <c r="E507" s="13" t="n">
        <v>528000261</v>
      </c>
      <c r="F507" s="13" t="inlineStr">
        <is>
          <t>Ergi Ergianto</t>
        </is>
      </c>
      <c r="G507" s="13" t="inlineStr">
        <is>
          <t>Produksi</t>
        </is>
      </c>
      <c r="H507" s="13" t="inlineStr">
        <is>
          <t>Istirahat</t>
        </is>
      </c>
    </row>
    <row r="508">
      <c r="A508" s="27" t="inlineStr">
        <is>
          <t>MK00213</t>
        </is>
      </c>
      <c r="B508" s="13" t="inlineStr">
        <is>
          <t>OUT</t>
        </is>
      </c>
      <c r="C508" s="177" t="n">
        <v>46148.41666666666</v>
      </c>
      <c r="D508" s="51" t="n">
        <v>0.4486458333333334</v>
      </c>
      <c r="E508" s="13" t="n">
        <v>528000266</v>
      </c>
      <c r="F508" s="13" t="inlineStr">
        <is>
          <t>M. Syirajatieq</t>
        </is>
      </c>
      <c r="G508" s="13" t="inlineStr">
        <is>
          <t>Produksi</t>
        </is>
      </c>
      <c r="H508" s="13" t="inlineStr">
        <is>
          <t>Istirahat</t>
        </is>
      </c>
    </row>
    <row r="509">
      <c r="A509" s="27" t="inlineStr">
        <is>
          <t>MK00213</t>
        </is>
      </c>
      <c r="B509" s="13" t="inlineStr">
        <is>
          <t>IN</t>
        </is>
      </c>
      <c r="C509" s="177" t="n">
        <v>46148.41666666666</v>
      </c>
      <c r="D509" s="51" t="n">
        <v>0.4587615740740741</v>
      </c>
      <c r="E509" s="13" t="n">
        <v>528000266</v>
      </c>
      <c r="F509" s="13" t="inlineStr">
        <is>
          <t>M. Syirajatieq</t>
        </is>
      </c>
      <c r="G509" s="13" t="inlineStr">
        <is>
          <t>Produksi</t>
        </is>
      </c>
      <c r="H509" s="13" t="inlineStr">
        <is>
          <t>Pekerjaan</t>
        </is>
      </c>
    </row>
    <row r="510">
      <c r="A510" s="27" t="inlineStr">
        <is>
          <t>MK00151</t>
        </is>
      </c>
      <c r="B510" s="13" t="inlineStr">
        <is>
          <t>IN</t>
        </is>
      </c>
      <c r="C510" s="177" t="n">
        <v>46148.41666666666</v>
      </c>
      <c r="D510" s="51" t="n">
        <v>0.4745138888888889</v>
      </c>
      <c r="E510" s="13" t="n">
        <v>528000261</v>
      </c>
      <c r="F510" s="13" t="inlineStr">
        <is>
          <t>Ergi Ergianto</t>
        </is>
      </c>
      <c r="G510" s="13" t="inlineStr">
        <is>
          <t>Produksi</t>
        </is>
      </c>
      <c r="H510" s="13" t="inlineStr">
        <is>
          <t>Pekerjaan</t>
        </is>
      </c>
    </row>
    <row r="511">
      <c r="A511" s="27" t="inlineStr">
        <is>
          <t>MK00113</t>
        </is>
      </c>
      <c r="B511" s="13" t="inlineStr">
        <is>
          <t>OUT</t>
        </is>
      </c>
      <c r="C511" s="177" t="n">
        <v>46148.41666666666</v>
      </c>
      <c r="D511" s="51" t="n">
        <v>0.5213194444444444</v>
      </c>
      <c r="E511" s="13" t="n">
        <v>528000291</v>
      </c>
      <c r="F511" s="13" t="inlineStr">
        <is>
          <t>Andrian</t>
        </is>
      </c>
      <c r="G511" s="13" t="inlineStr">
        <is>
          <t>Produksi</t>
        </is>
      </c>
      <c r="H511" s="13" t="inlineStr">
        <is>
          <t>Sholat</t>
        </is>
      </c>
    </row>
    <row r="512">
      <c r="A512" s="27" t="inlineStr">
        <is>
          <t>MK00113</t>
        </is>
      </c>
      <c r="B512" s="13" t="inlineStr">
        <is>
          <t>IN</t>
        </is>
      </c>
      <c r="C512" s="177" t="n">
        <v>46148.41666666666</v>
      </c>
      <c r="D512" s="51" t="n">
        <v>0.5310995370370371</v>
      </c>
      <c r="E512" s="13" t="n">
        <v>528000291</v>
      </c>
      <c r="F512" s="13" t="inlineStr">
        <is>
          <t>Andrian</t>
        </is>
      </c>
      <c r="G512" s="13" t="inlineStr">
        <is>
          <t>Produksi</t>
        </is>
      </c>
      <c r="H512" s="13" t="inlineStr">
        <is>
          <t>Pekerjaan</t>
        </is>
      </c>
    </row>
    <row r="513">
      <c r="A513" s="27" t="inlineStr">
        <is>
          <t>MK00112</t>
        </is>
      </c>
      <c r="B513" s="13" t="inlineStr">
        <is>
          <t>IN</t>
        </is>
      </c>
      <c r="C513" s="177" t="n">
        <v>46179.41666666666</v>
      </c>
      <c r="D513" s="51" t="n">
        <v>0.0521875</v>
      </c>
      <c r="E513" s="13" t="n">
        <v>528000290</v>
      </c>
      <c r="F513" s="13" t="inlineStr">
        <is>
          <t>Eval Pranata</t>
        </is>
      </c>
      <c r="G513" s="13" t="inlineStr">
        <is>
          <t>Produksi</t>
        </is>
      </c>
      <c r="H513" s="13" t="inlineStr">
        <is>
          <t>Istirahat</t>
        </is>
      </c>
    </row>
    <row r="514">
      <c r="A514" s="27" t="inlineStr">
        <is>
          <t>MK00112</t>
        </is>
      </c>
      <c r="B514" s="13" t="inlineStr">
        <is>
          <t>OUT</t>
        </is>
      </c>
      <c r="C514" s="177" t="n">
        <v>46179.41666666666</v>
      </c>
      <c r="D514" s="51" t="n">
        <v>0.05239583333333334</v>
      </c>
      <c r="E514" s="13" t="n">
        <v>528000290</v>
      </c>
      <c r="F514" s="13" t="inlineStr">
        <is>
          <t>Eval Pranata</t>
        </is>
      </c>
      <c r="G514" s="13" t="inlineStr">
        <is>
          <t>Produksi</t>
        </is>
      </c>
      <c r="H514" s="13" t="inlineStr">
        <is>
          <t>Istirahat</t>
        </is>
      </c>
    </row>
    <row r="515">
      <c r="A515" s="27" t="inlineStr">
        <is>
          <t>MK00136</t>
        </is>
      </c>
      <c r="B515" s="13" t="inlineStr">
        <is>
          <t>OUT</t>
        </is>
      </c>
      <c r="C515" s="177" t="n">
        <v>46179.41666666666</v>
      </c>
      <c r="D515" s="51" t="n">
        <v>0.05646990740740741</v>
      </c>
      <c r="E515" s="13" t="n">
        <v>528000090</v>
      </c>
      <c r="F515" s="13" t="inlineStr">
        <is>
          <t>Suganda</t>
        </is>
      </c>
      <c r="G515" s="13" t="inlineStr">
        <is>
          <t>Produksi</t>
        </is>
      </c>
      <c r="H515" s="13" t="inlineStr">
        <is>
          <t>Istirahat</t>
        </is>
      </c>
    </row>
    <row r="516">
      <c r="A516" s="27" t="inlineStr">
        <is>
          <t>MK00112</t>
        </is>
      </c>
      <c r="B516" s="13" t="inlineStr">
        <is>
          <t>IN</t>
        </is>
      </c>
      <c r="C516" s="177" t="n">
        <v>46179.41666666666</v>
      </c>
      <c r="D516" s="51" t="n">
        <v>0.07401620370370371</v>
      </c>
      <c r="E516" s="13" t="n">
        <v>528000290</v>
      </c>
      <c r="F516" s="13" t="inlineStr">
        <is>
          <t>Eval Pranata</t>
        </is>
      </c>
      <c r="G516" s="13" t="inlineStr">
        <is>
          <t>Produksi</t>
        </is>
      </c>
      <c r="H516" s="13" t="inlineStr">
        <is>
          <t>Istirahat</t>
        </is>
      </c>
    </row>
    <row r="517">
      <c r="A517" s="27" t="inlineStr">
        <is>
          <t>MK00109</t>
        </is>
      </c>
      <c r="B517" s="13" t="inlineStr">
        <is>
          <t>OUT</t>
        </is>
      </c>
      <c r="C517" s="177" t="n">
        <v>46179.41666666666</v>
      </c>
      <c r="D517" s="51" t="n">
        <v>0.07962962962962963</v>
      </c>
      <c r="E517" s="13" t="n">
        <v>528000318</v>
      </c>
      <c r="F517" s="13" t="inlineStr">
        <is>
          <t>Bayu Padli Sepriyana</t>
        </is>
      </c>
      <c r="G517" s="13" t="inlineStr">
        <is>
          <t>Produksi</t>
        </is>
      </c>
      <c r="H517" s="13" t="inlineStr">
        <is>
          <t>Istirahat</t>
        </is>
      </c>
    </row>
    <row r="518">
      <c r="A518" s="27" t="inlineStr">
        <is>
          <t>MK00136</t>
        </is>
      </c>
      <c r="B518" s="13" t="inlineStr">
        <is>
          <t>IN</t>
        </is>
      </c>
      <c r="C518" s="177" t="n">
        <v>46179.41666666666</v>
      </c>
      <c r="D518" s="51" t="n">
        <v>0.08349537037037037</v>
      </c>
      <c r="E518" s="13" t="n">
        <v>528000090</v>
      </c>
      <c r="F518" s="13" t="inlineStr">
        <is>
          <t>Suganda</t>
        </is>
      </c>
      <c r="G518" s="13" t="inlineStr">
        <is>
          <t>Produksi</t>
        </is>
      </c>
      <c r="H518" s="13" t="inlineStr">
        <is>
          <t>Istirahat</t>
        </is>
      </c>
    </row>
    <row r="519">
      <c r="A519" s="27" t="inlineStr">
        <is>
          <t>MK00213</t>
        </is>
      </c>
      <c r="B519" s="13" t="inlineStr">
        <is>
          <t>IN</t>
        </is>
      </c>
      <c r="C519" s="177" t="n">
        <v>46179.41666666666</v>
      </c>
      <c r="D519" s="51" t="n">
        <v>0.0927662037037037</v>
      </c>
      <c r="E519" s="13" t="n">
        <v>528000266</v>
      </c>
      <c r="F519" s="13" t="inlineStr">
        <is>
          <t>M. Syirajatieq</t>
        </is>
      </c>
      <c r="G519" s="13" t="inlineStr">
        <is>
          <t>Produksi</t>
        </is>
      </c>
      <c r="H519" s="13" t="inlineStr">
        <is>
          <t>Istirahat</t>
        </is>
      </c>
    </row>
    <row r="520">
      <c r="A520" s="27" t="inlineStr">
        <is>
          <t>MK00213</t>
        </is>
      </c>
      <c r="B520" s="13" t="inlineStr">
        <is>
          <t>OUT</t>
        </is>
      </c>
      <c r="C520" s="177" t="n">
        <v>46179.41666666666</v>
      </c>
      <c r="D520" s="51" t="n">
        <v>0.09300925925925926</v>
      </c>
      <c r="E520" s="13" t="n">
        <v>528000266</v>
      </c>
      <c r="F520" s="13" t="inlineStr">
        <is>
          <t>M. Syirajatieq</t>
        </is>
      </c>
      <c r="G520" s="13" t="inlineStr">
        <is>
          <t>Produksi</t>
        </is>
      </c>
      <c r="H520" s="13" t="inlineStr">
        <is>
          <t>Istirahat</t>
        </is>
      </c>
    </row>
    <row r="521">
      <c r="A521" s="27" t="inlineStr">
        <is>
          <t>MK00109</t>
        </is>
      </c>
      <c r="B521" s="13" t="inlineStr">
        <is>
          <t>IN</t>
        </is>
      </c>
      <c r="C521" s="177" t="n">
        <v>46179.41666666666</v>
      </c>
      <c r="D521" s="51" t="n">
        <v>0.09947916666666666</v>
      </c>
      <c r="E521" s="13" t="n">
        <v>528000318</v>
      </c>
      <c r="F521" s="13" t="inlineStr">
        <is>
          <t>Bayu Padli Sepriyana</t>
        </is>
      </c>
      <c r="G521" s="13" t="inlineStr">
        <is>
          <t>Produksi</t>
        </is>
      </c>
      <c r="H521" s="13" t="inlineStr">
        <is>
          <t>Istirahat</t>
        </is>
      </c>
    </row>
    <row r="522">
      <c r="A522" s="27" t="inlineStr">
        <is>
          <t>MK00213</t>
        </is>
      </c>
      <c r="B522" s="13" t="inlineStr">
        <is>
          <t>IN</t>
        </is>
      </c>
      <c r="C522" s="177" t="n">
        <v>46179.41666666666</v>
      </c>
      <c r="D522" s="51" t="n">
        <v>0.1073958333333333</v>
      </c>
      <c r="E522" s="13" t="n">
        <v>528000266</v>
      </c>
      <c r="F522" s="13" t="inlineStr">
        <is>
          <t>M. Syirajatieq</t>
        </is>
      </c>
      <c r="G522" s="13" t="inlineStr">
        <is>
          <t>Produksi</t>
        </is>
      </c>
    </row>
    <row r="523">
      <c r="A523" s="27" t="inlineStr">
        <is>
          <t>MK00148</t>
        </is>
      </c>
      <c r="B523" s="13" t="inlineStr">
        <is>
          <t>OUT</t>
        </is>
      </c>
      <c r="C523" s="177" t="n">
        <v>46179.41666666666</v>
      </c>
      <c r="D523" s="51" t="n">
        <v>0.1265509259259259</v>
      </c>
      <c r="E523" s="13" t="n">
        <v>528000241</v>
      </c>
      <c r="F523" s="13" t="inlineStr">
        <is>
          <t>Balia Nurafif Bilah</t>
        </is>
      </c>
      <c r="G523" s="13" t="inlineStr">
        <is>
          <t>Produksi</t>
        </is>
      </c>
    </row>
    <row r="524">
      <c r="A524" s="27" t="inlineStr">
        <is>
          <t>MK00199</t>
        </is>
      </c>
      <c r="B524" s="13" t="inlineStr">
        <is>
          <t>OUT</t>
        </is>
      </c>
      <c r="C524" s="177" t="n">
        <v>46179.41666666666</v>
      </c>
      <c r="D524" s="51" t="n">
        <v>0.1272569444444444</v>
      </c>
      <c r="E524" s="13" t="n">
        <v>528000286</v>
      </c>
      <c r="F524" s="13" t="inlineStr">
        <is>
          <t>Imelda Amelia</t>
        </is>
      </c>
      <c r="G524" s="13" t="inlineStr">
        <is>
          <t>Produksi</t>
        </is>
      </c>
      <c r="H524" s="13" t="inlineStr">
        <is>
          <t>Istirahat</t>
        </is>
      </c>
    </row>
    <row r="525">
      <c r="A525" s="27" t="inlineStr">
        <is>
          <t>MK00204</t>
        </is>
      </c>
      <c r="B525" s="13" t="inlineStr">
        <is>
          <t>OUT</t>
        </is>
      </c>
      <c r="C525" s="177" t="n">
        <v>46179.41666666666</v>
      </c>
      <c r="D525" s="51" t="n">
        <v>0.1281365740740741</v>
      </c>
      <c r="E525" s="13" t="n">
        <v>528000201</v>
      </c>
      <c r="F525" s="13" t="inlineStr">
        <is>
          <t>Zahwa Amelia Choerunissa</t>
        </is>
      </c>
      <c r="G525" s="13" t="inlineStr">
        <is>
          <t>Produksi</t>
        </is>
      </c>
      <c r="H525" s="13" t="inlineStr">
        <is>
          <t>Istirahat</t>
        </is>
      </c>
    </row>
    <row r="526">
      <c r="A526" s="27" t="inlineStr">
        <is>
          <t>MK00158</t>
        </is>
      </c>
      <c r="B526" s="13" t="inlineStr">
        <is>
          <t>OUT</t>
        </is>
      </c>
      <c r="C526" s="177" t="n">
        <v>46179.41666666666</v>
      </c>
      <c r="D526" s="51" t="n">
        <v>0.128287037037037</v>
      </c>
      <c r="E526" s="13" t="n">
        <v>528000099</v>
      </c>
      <c r="F526" s="13" t="inlineStr">
        <is>
          <t>Siti Nurawaliah</t>
        </is>
      </c>
      <c r="G526" s="13" t="inlineStr">
        <is>
          <t>Produksi</t>
        </is>
      </c>
      <c r="H526" s="13" t="inlineStr">
        <is>
          <t>Istirahat</t>
        </is>
      </c>
    </row>
    <row r="527">
      <c r="A527" s="27" t="inlineStr">
        <is>
          <t>MK00138</t>
        </is>
      </c>
      <c r="B527" s="13" t="inlineStr">
        <is>
          <t>OUT</t>
        </is>
      </c>
      <c r="C527" s="177" t="n">
        <v>46179.41666666666</v>
      </c>
      <c r="D527" s="51" t="n">
        <v>0.1492708333333333</v>
      </c>
      <c r="E527" s="13" t="n">
        <v>528000244</v>
      </c>
      <c r="F527" s="13" t="inlineStr">
        <is>
          <t>Rodian Rifai</t>
        </is>
      </c>
      <c r="G527" s="13" t="inlineStr">
        <is>
          <t>Produksi</t>
        </is>
      </c>
    </row>
    <row r="528">
      <c r="A528" s="27" t="inlineStr">
        <is>
          <t>MK00199</t>
        </is>
      </c>
      <c r="B528" s="13" t="inlineStr">
        <is>
          <t>IN</t>
        </is>
      </c>
      <c r="C528" s="177" t="n">
        <v>46179.41666666666</v>
      </c>
      <c r="D528" s="51" t="n">
        <v>0.1494675925925926</v>
      </c>
      <c r="E528" s="13" t="n">
        <v>528000286</v>
      </c>
      <c r="F528" s="13" t="inlineStr">
        <is>
          <t>Imelda Amelia</t>
        </is>
      </c>
      <c r="G528" s="13" t="inlineStr">
        <is>
          <t>Produksi</t>
        </is>
      </c>
    </row>
    <row r="529">
      <c r="A529" s="27" t="inlineStr">
        <is>
          <t>MK00158</t>
        </is>
      </c>
      <c r="B529" s="13" t="inlineStr">
        <is>
          <t>IN</t>
        </is>
      </c>
      <c r="C529" s="177" t="n">
        <v>46179.41666666666</v>
      </c>
      <c r="D529" s="51" t="n">
        <v>0.1497222222222222</v>
      </c>
      <c r="E529" s="13" t="n">
        <v>528000099</v>
      </c>
      <c r="F529" s="13" t="inlineStr">
        <is>
          <t>Siti Nurawaliah</t>
        </is>
      </c>
      <c r="G529" s="13" t="inlineStr">
        <is>
          <t>Produksi</t>
        </is>
      </c>
    </row>
    <row r="530">
      <c r="A530" s="27" t="inlineStr">
        <is>
          <t>MK00204</t>
        </is>
      </c>
      <c r="B530" s="13" t="inlineStr">
        <is>
          <t>IN</t>
        </is>
      </c>
      <c r="C530" s="177" t="n">
        <v>46179.41666666666</v>
      </c>
      <c r="D530" s="51" t="n">
        <v>0.1498611111111111</v>
      </c>
      <c r="E530" s="13" t="n">
        <v>528000201</v>
      </c>
      <c r="F530" s="13" t="inlineStr">
        <is>
          <t>Zahwa Amelia Choerunissa</t>
        </is>
      </c>
      <c r="G530" s="13" t="inlineStr">
        <is>
          <t>Produksi</t>
        </is>
      </c>
    </row>
    <row r="531">
      <c r="A531" s="27" t="inlineStr">
        <is>
          <t>MK00148</t>
        </is>
      </c>
      <c r="B531" s="13" t="inlineStr">
        <is>
          <t>IN</t>
        </is>
      </c>
      <c r="C531" s="177" t="n">
        <v>46179.41666666666</v>
      </c>
      <c r="D531" s="51" t="n">
        <v>0.1520023148148148</v>
      </c>
      <c r="E531" s="13" t="n">
        <v>528000241</v>
      </c>
      <c r="F531" s="13" t="inlineStr">
        <is>
          <t>Balia Nurafif Bilah</t>
        </is>
      </c>
      <c r="G531" s="13" t="inlineStr">
        <is>
          <t>Produksi</t>
        </is>
      </c>
    </row>
    <row r="532">
      <c r="A532" s="27" t="inlineStr">
        <is>
          <t>MK00138</t>
        </is>
      </c>
      <c r="B532" s="13" t="inlineStr">
        <is>
          <t>IN</t>
        </is>
      </c>
      <c r="C532" s="177" t="n">
        <v>46179.41666666666</v>
      </c>
      <c r="D532" s="51" t="n">
        <v>0.1740046296296296</v>
      </c>
      <c r="E532" s="13" t="n">
        <v>528000244</v>
      </c>
      <c r="F532" s="13" t="inlineStr">
        <is>
          <t>Rodian Rifai</t>
        </is>
      </c>
      <c r="G532" s="13" t="inlineStr">
        <is>
          <t>Produksi</t>
        </is>
      </c>
      <c r="H532" s="13" t="inlineStr">
        <is>
          <t>Istirahat</t>
        </is>
      </c>
    </row>
    <row r="533">
      <c r="A533" s="27" t="inlineStr">
        <is>
          <t>MK00250</t>
        </is>
      </c>
      <c r="B533" s="13" t="inlineStr">
        <is>
          <t>OUT</t>
        </is>
      </c>
      <c r="C533" s="177" t="n">
        <v>46179.41666666666</v>
      </c>
      <c r="D533" s="51" t="n">
        <v>0.4117824074074074</v>
      </c>
      <c r="E533" s="13" t="n">
        <v>528000195</v>
      </c>
      <c r="F533" s="13" t="inlineStr">
        <is>
          <t>Rahma Sariwati</t>
        </is>
      </c>
      <c r="G533" s="13" t="inlineStr">
        <is>
          <t>Produksi</t>
        </is>
      </c>
      <c r="H533" s="13" t="inlineStr">
        <is>
          <t>Istirahat</t>
        </is>
      </c>
    </row>
    <row r="534">
      <c r="A534" s="27" t="inlineStr">
        <is>
          <t>MK00221</t>
        </is>
      </c>
      <c r="B534" s="13" t="inlineStr">
        <is>
          <t>OUT</t>
        </is>
      </c>
      <c r="C534" s="177" t="n">
        <v>46179.41666666666</v>
      </c>
      <c r="D534" s="51" t="n">
        <v>0.4120138888888889</v>
      </c>
      <c r="E534" s="13" t="n">
        <v>528000262</v>
      </c>
      <c r="F534" s="13" t="inlineStr">
        <is>
          <t>Ndari Dwiwanti</t>
        </is>
      </c>
      <c r="G534" s="13" t="inlineStr">
        <is>
          <t>Produksi</t>
        </is>
      </c>
      <c r="H534" s="13" t="inlineStr">
        <is>
          <t>Istirahat</t>
        </is>
      </c>
    </row>
    <row r="535">
      <c r="A535" s="27" t="inlineStr">
        <is>
          <t>MK00250</t>
        </is>
      </c>
      <c r="B535" s="13" t="inlineStr">
        <is>
          <t>IN</t>
        </is>
      </c>
      <c r="C535" s="177" t="n">
        <v>46179.41666666666</v>
      </c>
      <c r="D535" s="51" t="n">
        <v>0.4416550925925926</v>
      </c>
      <c r="E535" s="13" t="n">
        <v>528000195</v>
      </c>
      <c r="F535" s="13" t="inlineStr">
        <is>
          <t>Rahma Sariwati</t>
        </is>
      </c>
      <c r="G535" s="13" t="inlineStr">
        <is>
          <t>Produksi</t>
        </is>
      </c>
      <c r="H535" s="13" t="inlineStr">
        <is>
          <t>Pekerjaan</t>
        </is>
      </c>
    </row>
    <row r="536">
      <c r="A536" s="27" t="inlineStr">
        <is>
          <t>MK00221</t>
        </is>
      </c>
      <c r="B536" s="13" t="inlineStr">
        <is>
          <t>IN</t>
        </is>
      </c>
      <c r="C536" s="177" t="n">
        <v>46179.41666666666</v>
      </c>
      <c r="D536" s="51" t="n">
        <v>0.4418518518518518</v>
      </c>
      <c r="E536" s="13" t="n">
        <v>528000262</v>
      </c>
      <c r="F536" s="13" t="inlineStr">
        <is>
          <t>Ndari Dwiwanti</t>
        </is>
      </c>
      <c r="G536" s="13" t="inlineStr">
        <is>
          <t>Produksi</t>
        </is>
      </c>
      <c r="H536" s="13" t="inlineStr">
        <is>
          <t>Pekerjaan</t>
        </is>
      </c>
    </row>
    <row r="537">
      <c r="A537" s="27" t="inlineStr">
        <is>
          <t>MK00181</t>
        </is>
      </c>
      <c r="B537" s="13" t="inlineStr">
        <is>
          <t>OUT</t>
        </is>
      </c>
      <c r="C537" s="177" t="n">
        <v>46179.41666666666</v>
      </c>
      <c r="D537" s="51" t="n">
        <v>0.4460416666666667</v>
      </c>
      <c r="E537" s="13" t="n">
        <v>528000300</v>
      </c>
      <c r="F537" s="13" t="inlineStr">
        <is>
          <t>Lia pitaloka</t>
        </is>
      </c>
      <c r="G537" s="13" t="inlineStr">
        <is>
          <t>Produksi</t>
        </is>
      </c>
      <c r="H537" s="13" t="inlineStr">
        <is>
          <t>Istirahat</t>
        </is>
      </c>
    </row>
    <row r="538">
      <c r="A538" s="27" t="inlineStr">
        <is>
          <t>MK00185</t>
        </is>
      </c>
      <c r="B538" s="13" t="inlineStr">
        <is>
          <t>IN</t>
        </is>
      </c>
      <c r="C538" s="177" t="n">
        <v>46179.41666666666</v>
      </c>
      <c r="D538" s="51" t="n">
        <v>0.8094097222222222</v>
      </c>
      <c r="E538" s="13" t="n">
        <v>528000313</v>
      </c>
      <c r="F538" s="13" t="inlineStr">
        <is>
          <t>Muhamad Rifki</t>
        </is>
      </c>
      <c r="G538" s="13" t="inlineStr">
        <is>
          <t>Produksi</t>
        </is>
      </c>
      <c r="H538" s="13" t="inlineStr">
        <is>
          <t>Istirahat</t>
        </is>
      </c>
    </row>
    <row r="539">
      <c r="A539" s="27" t="inlineStr">
        <is>
          <t>MK00130</t>
        </is>
      </c>
      <c r="B539" s="13" t="inlineStr">
        <is>
          <t>IN</t>
        </is>
      </c>
      <c r="C539" s="177" t="n">
        <v>46179.41666666666</v>
      </c>
      <c r="D539" s="51" t="n">
        <v>0.8544212962962963</v>
      </c>
      <c r="E539" s="13" t="n">
        <v>528000309</v>
      </c>
      <c r="F539" s="13" t="inlineStr">
        <is>
          <t>Ilham Ramadhan</t>
        </is>
      </c>
      <c r="G539" s="13" t="inlineStr">
        <is>
          <t>Produksi</t>
        </is>
      </c>
      <c r="H539" s="13" t="inlineStr">
        <is>
          <t>Istirahat</t>
        </is>
      </c>
    </row>
    <row r="540">
      <c r="A540" s="27" t="inlineStr">
        <is>
          <t>MK00250</t>
        </is>
      </c>
      <c r="B540" s="13" t="inlineStr">
        <is>
          <t>OUT</t>
        </is>
      </c>
      <c r="C540" s="177" t="n">
        <v>46209.41666666666</v>
      </c>
      <c r="D540" s="51" t="n">
        <v>0.02782407407407407</v>
      </c>
      <c r="E540" s="13" t="n">
        <v>528000306</v>
      </c>
      <c r="F540" s="13" t="inlineStr">
        <is>
          <t>Windy Olivia</t>
        </is>
      </c>
      <c r="G540" s="13" t="inlineStr">
        <is>
          <t>Produksi</t>
        </is>
      </c>
      <c r="H540" s="13" t="inlineStr">
        <is>
          <t>Istirahat</t>
        </is>
      </c>
    </row>
    <row r="541">
      <c r="A541" s="27" t="inlineStr">
        <is>
          <t>MK00250</t>
        </is>
      </c>
      <c r="B541" s="13" t="inlineStr">
        <is>
          <t>IN</t>
        </is>
      </c>
      <c r="C541" s="177" t="n">
        <v>46209.41666666666</v>
      </c>
      <c r="D541" s="51" t="n">
        <v>0.04439814814814814</v>
      </c>
      <c r="E541" s="13" t="n">
        <v>528000306</v>
      </c>
      <c r="F541" s="13" t="inlineStr">
        <is>
          <t>Windy Olivia</t>
        </is>
      </c>
      <c r="G541" s="13" t="inlineStr">
        <is>
          <t>Produksi</t>
        </is>
      </c>
    </row>
    <row r="542">
      <c r="A542" s="27" t="inlineStr">
        <is>
          <t>MK00158</t>
        </is>
      </c>
      <c r="B542" s="13" t="inlineStr">
        <is>
          <t>OUT</t>
        </is>
      </c>
      <c r="C542" s="177" t="n">
        <v>46209.41666666666</v>
      </c>
      <c r="D542" s="51" t="n">
        <v>0.04638888888888889</v>
      </c>
      <c r="E542" s="13" t="n">
        <v>528000241</v>
      </c>
      <c r="F542" s="13" t="inlineStr">
        <is>
          <t>Balia Nurafif Bilah</t>
        </is>
      </c>
      <c r="G542" s="13" t="inlineStr">
        <is>
          <t>Produksi</t>
        </is>
      </c>
      <c r="H542" s="13" t="inlineStr">
        <is>
          <t>Istirahat</t>
        </is>
      </c>
    </row>
    <row r="543">
      <c r="A543" s="27" t="inlineStr">
        <is>
          <t>MK00136</t>
        </is>
      </c>
      <c r="B543" s="13" t="inlineStr">
        <is>
          <t>OUT</t>
        </is>
      </c>
      <c r="C543" s="177" t="n">
        <v>46209.41666666666</v>
      </c>
      <c r="D543" s="51" t="n">
        <v>0.06196759259259259</v>
      </c>
      <c r="E543" s="13" t="n">
        <v>528000290</v>
      </c>
      <c r="F543" s="13" t="inlineStr">
        <is>
          <t>Eval Pranata</t>
        </is>
      </c>
      <c r="G543" s="13" t="inlineStr">
        <is>
          <t>Produksi</t>
        </is>
      </c>
      <c r="H543" s="13" t="inlineStr">
        <is>
          <t>Istirahat</t>
        </is>
      </c>
    </row>
    <row r="544">
      <c r="A544" s="27" t="inlineStr">
        <is>
          <t>MK00158</t>
        </is>
      </c>
      <c r="B544" s="13" t="inlineStr">
        <is>
          <t>IN</t>
        </is>
      </c>
      <c r="C544" s="177" t="n">
        <v>46209.41666666666</v>
      </c>
      <c r="D544" s="51" t="n">
        <v>0.06685185185185186</v>
      </c>
      <c r="E544" s="13" t="n">
        <v>528000241</v>
      </c>
      <c r="F544" s="13" t="inlineStr">
        <is>
          <t>Balia Nurafif Bilah</t>
        </is>
      </c>
      <c r="G544" s="13" t="inlineStr">
        <is>
          <t>Produksi</t>
        </is>
      </c>
      <c r="H544" s="13" t="inlineStr">
        <is>
          <t>Istirahat</t>
        </is>
      </c>
    </row>
    <row r="545">
      <c r="A545" s="27" t="inlineStr">
        <is>
          <t>MK00112</t>
        </is>
      </c>
      <c r="B545" s="13" t="inlineStr">
        <is>
          <t>OUT</t>
        </is>
      </c>
      <c r="C545" s="177" t="n">
        <v>46209.41666666666</v>
      </c>
      <c r="D545" s="51" t="n">
        <v>0.08337962962962962</v>
      </c>
      <c r="E545" s="13" t="n">
        <v>528000090</v>
      </c>
      <c r="F545" s="13" t="inlineStr">
        <is>
          <t>Suganda</t>
        </is>
      </c>
      <c r="G545" s="13" t="inlineStr">
        <is>
          <t>Produksi</t>
        </is>
      </c>
      <c r="H545" s="13" t="inlineStr">
        <is>
          <t>Istirahat</t>
        </is>
      </c>
    </row>
    <row r="546">
      <c r="A546" s="27" t="inlineStr">
        <is>
          <t>MK00134</t>
        </is>
      </c>
      <c r="B546" s="13" t="inlineStr">
        <is>
          <t>OUT</t>
        </is>
      </c>
      <c r="C546" s="177" t="n">
        <v>46209.41666666666</v>
      </c>
      <c r="D546" s="51" t="n">
        <v>0.08362268518518519</v>
      </c>
      <c r="E546" s="13" t="n">
        <v>528000274</v>
      </c>
      <c r="F546" s="13" t="inlineStr">
        <is>
          <t>Zepri</t>
        </is>
      </c>
      <c r="G546" s="13" t="inlineStr">
        <is>
          <t>Produksi</t>
        </is>
      </c>
      <c r="H546" s="13" t="inlineStr">
        <is>
          <t>Istirahat</t>
        </is>
      </c>
    </row>
    <row r="547">
      <c r="A547" s="27" t="inlineStr">
        <is>
          <t>MK00136</t>
        </is>
      </c>
      <c r="B547" s="13" t="inlineStr">
        <is>
          <t>IN</t>
        </is>
      </c>
      <c r="C547" s="177" t="n">
        <v>46209.41666666666</v>
      </c>
      <c r="D547" s="51" t="n">
        <v>0.08465277777777777</v>
      </c>
      <c r="E547" s="13" t="n">
        <v>528000290</v>
      </c>
      <c r="F547" s="13" t="inlineStr">
        <is>
          <t>Eval Pranata</t>
        </is>
      </c>
      <c r="G547" s="13" t="inlineStr">
        <is>
          <t>Produksi</t>
        </is>
      </c>
      <c r="H547" s="13" t="inlineStr">
        <is>
          <t>Istirahat</t>
        </is>
      </c>
    </row>
    <row r="548">
      <c r="A548" s="27" t="inlineStr">
        <is>
          <t>MK00112</t>
        </is>
      </c>
      <c r="B548" s="13" t="inlineStr">
        <is>
          <t>IN</t>
        </is>
      </c>
      <c r="C548" s="177" t="n">
        <v>46209.41666666666</v>
      </c>
      <c r="D548" s="51" t="n">
        <v>0.1124537037037037</v>
      </c>
      <c r="E548" s="13" t="n">
        <v>528000090</v>
      </c>
      <c r="F548" s="13" t="inlineStr">
        <is>
          <t>Suganda</t>
        </is>
      </c>
      <c r="G548" s="13" t="inlineStr">
        <is>
          <t>Produksi</t>
        </is>
      </c>
      <c r="H548" s="13" t="inlineStr">
        <is>
          <t>Istirahat</t>
        </is>
      </c>
    </row>
    <row r="549">
      <c r="A549" s="27" t="inlineStr">
        <is>
          <t>MK00134</t>
        </is>
      </c>
      <c r="B549" s="13" t="inlineStr">
        <is>
          <t>IN</t>
        </is>
      </c>
      <c r="C549" s="177" t="n">
        <v>46209.41666666666</v>
      </c>
      <c r="D549" s="51" t="n">
        <v>0.1126157407407407</v>
      </c>
      <c r="E549" s="13" t="n">
        <v>528000274</v>
      </c>
      <c r="F549" s="13" t="inlineStr">
        <is>
          <t>Zepri</t>
        </is>
      </c>
      <c r="G549" s="13" t="inlineStr">
        <is>
          <t>Produksi</t>
        </is>
      </c>
      <c r="H549" s="13" t="inlineStr">
        <is>
          <t>Istirahat</t>
        </is>
      </c>
    </row>
    <row r="550">
      <c r="A550" s="27" t="inlineStr">
        <is>
          <t>MK00249</t>
        </is>
      </c>
      <c r="B550" s="13" t="inlineStr">
        <is>
          <t>OUT</t>
        </is>
      </c>
      <c r="C550" s="177" t="n">
        <v>46209.41666666666</v>
      </c>
      <c r="D550" s="51" t="n">
        <v>0.116400462962963</v>
      </c>
      <c r="E550" s="13" t="n">
        <v>528000099</v>
      </c>
      <c r="F550" s="13" t="inlineStr">
        <is>
          <t>Siti Nurawaliah</t>
        </is>
      </c>
      <c r="G550" s="13" t="inlineStr">
        <is>
          <t>Produksi</t>
        </is>
      </c>
      <c r="H550" s="13" t="inlineStr">
        <is>
          <t>Istirahat</t>
        </is>
      </c>
    </row>
    <row r="551">
      <c r="A551" s="27" t="inlineStr">
        <is>
          <t>MK00095</t>
        </is>
      </c>
      <c r="B551" s="13" t="inlineStr">
        <is>
          <t>OUT</t>
        </is>
      </c>
      <c r="C551" s="177" t="n">
        <v>46209.41666666666</v>
      </c>
      <c r="D551" s="51" t="n">
        <v>0.1167824074074074</v>
      </c>
      <c r="E551" s="13" t="n">
        <v>528000286</v>
      </c>
      <c r="F551" s="13" t="inlineStr">
        <is>
          <t>Imelda Amelia</t>
        </is>
      </c>
      <c r="G551" s="13" t="inlineStr">
        <is>
          <t>Produksi</t>
        </is>
      </c>
      <c r="H551" s="13" t="inlineStr">
        <is>
          <t>Istirahat</t>
        </is>
      </c>
    </row>
    <row r="552">
      <c r="A552" s="27" t="inlineStr">
        <is>
          <t>MK00116</t>
        </is>
      </c>
      <c r="B552" s="13" t="inlineStr">
        <is>
          <t>OUT</t>
        </is>
      </c>
      <c r="C552" s="177" t="n">
        <v>46209.41666666666</v>
      </c>
      <c r="D552" s="51" t="n">
        <v>0.1208333333333333</v>
      </c>
      <c r="E552" s="13" t="n">
        <v>528000201</v>
      </c>
      <c r="F552" s="13" t="inlineStr">
        <is>
          <t>Zahwa Amelia Choerunissa</t>
        </is>
      </c>
      <c r="G552" s="13" t="inlineStr">
        <is>
          <t>Produksi</t>
        </is>
      </c>
      <c r="H552" s="13" t="inlineStr">
        <is>
          <t>Istirahat</t>
        </is>
      </c>
    </row>
    <row r="553">
      <c r="A553" s="27" t="inlineStr">
        <is>
          <t>MK00095</t>
        </is>
      </c>
      <c r="B553" s="13" t="inlineStr">
        <is>
          <t>IN</t>
        </is>
      </c>
      <c r="C553" s="177" t="n">
        <v>46209.41666666666</v>
      </c>
      <c r="D553" s="51" t="n">
        <v>0.1387384259259259</v>
      </c>
      <c r="E553" s="13" t="n">
        <v>528000286</v>
      </c>
      <c r="F553" s="13" t="inlineStr">
        <is>
          <t>Imelda Amelia</t>
        </is>
      </c>
      <c r="G553" s="13" t="inlineStr">
        <is>
          <t>Produksi</t>
        </is>
      </c>
      <c r="H553" s="13" t="inlineStr">
        <is>
          <t>Istirahat</t>
        </is>
      </c>
    </row>
    <row r="554">
      <c r="A554" s="27" t="inlineStr">
        <is>
          <t>MK00249</t>
        </is>
      </c>
      <c r="B554" s="13" t="inlineStr">
        <is>
          <t>IN</t>
        </is>
      </c>
      <c r="C554" s="177" t="n">
        <v>46209.41666666666</v>
      </c>
      <c r="D554" s="51" t="n">
        <v>0.1388888888888889</v>
      </c>
      <c r="E554" s="13" t="n">
        <v>528000099</v>
      </c>
      <c r="F554" s="13" t="inlineStr">
        <is>
          <t>Siti Nurawaliah</t>
        </is>
      </c>
      <c r="G554" s="13" t="inlineStr">
        <is>
          <t>Produksi</t>
        </is>
      </c>
      <c r="H554" s="13" t="inlineStr">
        <is>
          <t>Istirahat</t>
        </is>
      </c>
    </row>
    <row r="555">
      <c r="A555" s="27" t="inlineStr">
        <is>
          <t>MK00109</t>
        </is>
      </c>
      <c r="B555" s="13" t="inlineStr">
        <is>
          <t>OUT</t>
        </is>
      </c>
      <c r="C555" s="177" t="n">
        <v>46209.41666666666</v>
      </c>
      <c r="D555" s="51" t="n">
        <v>0.1399768518518519</v>
      </c>
      <c r="E555" s="13" t="n">
        <v>528000244</v>
      </c>
      <c r="F555" s="13" t="inlineStr">
        <is>
          <t>Rodian Rifai</t>
        </is>
      </c>
      <c r="G555" s="13" t="inlineStr">
        <is>
          <t>Produksi</t>
        </is>
      </c>
      <c r="H555" s="13" t="inlineStr">
        <is>
          <t>Istirahat</t>
        </is>
      </c>
    </row>
    <row r="556">
      <c r="A556" s="27" t="inlineStr">
        <is>
          <t>MK00109</t>
        </is>
      </c>
      <c r="B556" s="13" t="inlineStr">
        <is>
          <t>IN</t>
        </is>
      </c>
      <c r="C556" s="177" t="n">
        <v>46209.41666666666</v>
      </c>
      <c r="D556" s="51" t="n">
        <v>0.1414699074074074</v>
      </c>
      <c r="E556" s="13" t="n">
        <v>528000244</v>
      </c>
      <c r="F556" s="13" t="inlineStr">
        <is>
          <t>Rodian Rifai</t>
        </is>
      </c>
      <c r="G556" s="13" t="inlineStr">
        <is>
          <t>Produksi</t>
        </is>
      </c>
      <c r="H556" s="13" t="inlineStr">
        <is>
          <t>Istirahat</t>
        </is>
      </c>
    </row>
    <row r="557">
      <c r="A557" s="27" t="inlineStr">
        <is>
          <t>MK00116</t>
        </is>
      </c>
      <c r="B557" s="13" t="inlineStr">
        <is>
          <t>IN</t>
        </is>
      </c>
      <c r="C557" s="177" t="n">
        <v>46209.41666666666</v>
      </c>
      <c r="D557" s="51" t="n">
        <v>0.1433101851851852</v>
      </c>
      <c r="E557" s="13" t="n">
        <v>528000201</v>
      </c>
      <c r="F557" s="13" t="inlineStr">
        <is>
          <t>Zahwa Amelia Choerunissa</t>
        </is>
      </c>
      <c r="G557" s="13" t="inlineStr">
        <is>
          <t>Produksi</t>
        </is>
      </c>
      <c r="H557" s="13" t="inlineStr">
        <is>
          <t>Istirahat</t>
        </is>
      </c>
    </row>
    <row r="558">
      <c r="A558" s="27" t="inlineStr">
        <is>
          <t>MK00109</t>
        </is>
      </c>
      <c r="B558" s="13" t="inlineStr">
        <is>
          <t>IN</t>
        </is>
      </c>
      <c r="C558" s="177" t="n">
        <v>46209.41666666666</v>
      </c>
      <c r="D558" s="51" t="n">
        <v>0.1621643518518519</v>
      </c>
      <c r="E558" s="13" t="n">
        <v>528000244</v>
      </c>
      <c r="F558" s="13" t="inlineStr">
        <is>
          <t>Rodian Rifai</t>
        </is>
      </c>
      <c r="G558" s="13" t="inlineStr">
        <is>
          <t>Produksi</t>
        </is>
      </c>
      <c r="H558" s="13" t="inlineStr">
        <is>
          <t>Istirahat</t>
        </is>
      </c>
    </row>
    <row r="559">
      <c r="A559" s="27" t="inlineStr">
        <is>
          <t>MK00204</t>
        </is>
      </c>
      <c r="B559" s="13" t="inlineStr">
        <is>
          <t>OUT</t>
        </is>
      </c>
      <c r="C559" s="177" t="n">
        <v>46209.41666666666</v>
      </c>
      <c r="D559" s="51" t="n">
        <v>0.1714930555555556</v>
      </c>
      <c r="E559" s="13" t="n">
        <v>528000289</v>
      </c>
      <c r="F559" s="13" t="inlineStr">
        <is>
          <t>Adit Supriyadi</t>
        </is>
      </c>
      <c r="G559" s="13" t="inlineStr">
        <is>
          <t>Produksi</t>
        </is>
      </c>
      <c r="H559" s="13" t="inlineStr">
        <is>
          <t>Istirahat</t>
        </is>
      </c>
    </row>
    <row r="560">
      <c r="A560" s="27" t="inlineStr">
        <is>
          <t>MK00204</t>
        </is>
      </c>
      <c r="B560" s="13" t="inlineStr">
        <is>
          <t>IN</t>
        </is>
      </c>
      <c r="C560" s="177" t="n">
        <v>46209.41666666666</v>
      </c>
      <c r="D560" s="51" t="n">
        <v>0.1950347222222222</v>
      </c>
      <c r="E560" s="13" t="n">
        <v>528000289</v>
      </c>
      <c r="F560" s="13" t="inlineStr">
        <is>
          <t>Adit Supriyadi</t>
        </is>
      </c>
      <c r="G560" s="13" t="inlineStr">
        <is>
          <t>Produksi</t>
        </is>
      </c>
      <c r="H560" s="13" t="inlineStr">
        <is>
          <t>Istirahat</t>
        </is>
      </c>
    </row>
    <row r="561">
      <c r="A561" s="27" t="inlineStr">
        <is>
          <t>MK00151</t>
        </is>
      </c>
      <c r="B561" s="13" t="inlineStr">
        <is>
          <t>OUT</t>
        </is>
      </c>
      <c r="C561" s="177" t="n">
        <v>46209.41666666666</v>
      </c>
      <c r="D561" s="51" t="n">
        <v>0.3851967592592593</v>
      </c>
      <c r="E561" s="13" t="n">
        <v>528000195</v>
      </c>
      <c r="F561" s="13" t="inlineStr">
        <is>
          <t>Rahma Sariwati</t>
        </is>
      </c>
      <c r="G561" s="13" t="inlineStr">
        <is>
          <t>Produksi</t>
        </is>
      </c>
      <c r="H561" s="13" t="inlineStr">
        <is>
          <t>Istirahat</t>
        </is>
      </c>
    </row>
    <row r="562">
      <c r="A562" s="27" t="inlineStr">
        <is>
          <t>MK00208</t>
        </is>
      </c>
      <c r="B562" s="13" t="inlineStr">
        <is>
          <t>OUT</t>
        </is>
      </c>
      <c r="C562" s="177" t="n">
        <v>46209.41666666666</v>
      </c>
      <c r="D562" s="51" t="n">
        <v>0.3860763888888889</v>
      </c>
      <c r="E562" s="13" t="n">
        <v>528000262</v>
      </c>
      <c r="F562" s="13" t="inlineStr">
        <is>
          <t>Ndari Dwiwanti</t>
        </is>
      </c>
      <c r="G562" s="13" t="inlineStr">
        <is>
          <t>Produksi</t>
        </is>
      </c>
      <c r="H562" s="13" t="inlineStr">
        <is>
          <t>Istirahat</t>
        </is>
      </c>
    </row>
    <row r="563">
      <c r="A563" s="27" t="inlineStr">
        <is>
          <t>MK00151</t>
        </is>
      </c>
      <c r="B563" s="13" t="inlineStr">
        <is>
          <t>IN</t>
        </is>
      </c>
      <c r="C563" s="177" t="n">
        <v>46209.41666666666</v>
      </c>
      <c r="D563" s="51" t="n">
        <v>0.4081712962962963</v>
      </c>
      <c r="E563" s="13" t="n">
        <v>528000195</v>
      </c>
      <c r="F563" s="13" t="inlineStr">
        <is>
          <t>Rahma Sariwati</t>
        </is>
      </c>
      <c r="G563" s="13" t="inlineStr">
        <is>
          <t>Produksi</t>
        </is>
      </c>
    </row>
    <row r="564">
      <c r="A564" s="27" t="inlineStr">
        <is>
          <t>MK00208</t>
        </is>
      </c>
      <c r="B564" s="13" t="inlineStr">
        <is>
          <t>IN</t>
        </is>
      </c>
      <c r="C564" s="177" t="n">
        <v>46209.41666666666</v>
      </c>
      <c r="D564" s="51" t="n">
        <v>0.4083449074074074</v>
      </c>
      <c r="E564" s="13" t="n">
        <v>528000262</v>
      </c>
      <c r="F564" s="13" t="inlineStr">
        <is>
          <t>Ndari Dwiwanti</t>
        </is>
      </c>
      <c r="G564" s="13" t="inlineStr">
        <is>
          <t>Produksi</t>
        </is>
      </c>
    </row>
    <row r="565">
      <c r="A565" s="27" t="inlineStr">
        <is>
          <t>MK00008</t>
        </is>
      </c>
      <c r="B565" s="13" t="inlineStr">
        <is>
          <t>OUT</t>
        </is>
      </c>
      <c r="C565" s="177" t="n">
        <v>46209.41666666666</v>
      </c>
      <c r="D565" s="51" t="n">
        <v>0.4086111111111111</v>
      </c>
      <c r="E565" s="13" t="n">
        <v>528000266</v>
      </c>
      <c r="F565" s="13" t="inlineStr">
        <is>
          <t>M. Syirajatieq</t>
        </is>
      </c>
      <c r="G565" s="13" t="inlineStr">
        <is>
          <t>Produksi</t>
        </is>
      </c>
      <c r="H565" s="13" t="inlineStr">
        <is>
          <t>Istirahat</t>
        </is>
      </c>
    </row>
    <row r="566">
      <c r="A566" s="27" t="inlineStr">
        <is>
          <t>MK0192</t>
        </is>
      </c>
      <c r="B566" s="13" t="inlineStr">
        <is>
          <t>OUT</t>
        </is>
      </c>
      <c r="C566" s="177" t="n">
        <v>46209.41666666666</v>
      </c>
      <c r="D566" s="51" t="n">
        <v>0.4101388888888889</v>
      </c>
      <c r="E566" s="13" t="n">
        <v>528000052</v>
      </c>
      <c r="F566" s="13" t="inlineStr">
        <is>
          <t>Mustopa</t>
        </is>
      </c>
      <c r="G566" s="13" t="inlineStr">
        <is>
          <t>Produksi</t>
        </is>
      </c>
      <c r="H566" s="13" t="inlineStr">
        <is>
          <t>Istirahat</t>
        </is>
      </c>
    </row>
    <row r="567">
      <c r="A567" s="27" t="inlineStr">
        <is>
          <t>MK0192</t>
        </is>
      </c>
      <c r="B567" s="13" t="inlineStr">
        <is>
          <t>IN</t>
        </is>
      </c>
      <c r="C567" s="177" t="n">
        <v>46209.41666666666</v>
      </c>
      <c r="D567" s="51" t="n">
        <v>0.4103240740740741</v>
      </c>
      <c r="E567" s="13" t="n">
        <v>528000052</v>
      </c>
      <c r="F567" s="13" t="inlineStr">
        <is>
          <t>Mustopa</t>
        </is>
      </c>
      <c r="G567" s="13" t="inlineStr">
        <is>
          <t>Produksi</t>
        </is>
      </c>
      <c r="H567" s="13" t="inlineStr">
        <is>
          <t>Istirahat</t>
        </is>
      </c>
    </row>
    <row r="568">
      <c r="A568" s="27" t="inlineStr">
        <is>
          <t>MK00008</t>
        </is>
      </c>
      <c r="B568" s="13" t="inlineStr">
        <is>
          <t>IN</t>
        </is>
      </c>
      <c r="C568" s="177" t="n">
        <v>46209.41666666666</v>
      </c>
      <c r="D568" s="51" t="n">
        <v>0.4351041666666667</v>
      </c>
      <c r="E568" s="13" t="n">
        <v>528000266</v>
      </c>
      <c r="F568" s="13" t="inlineStr">
        <is>
          <t>M. Syirajatieq</t>
        </is>
      </c>
      <c r="G568" s="13" t="inlineStr">
        <is>
          <t>Produksi</t>
        </is>
      </c>
      <c r="H568" s="13" t="inlineStr">
        <is>
          <t>Istirahat</t>
        </is>
      </c>
    </row>
    <row r="569">
      <c r="A569" s="27" t="inlineStr">
        <is>
          <t>MK00230</t>
        </is>
      </c>
      <c r="B569" s="13" t="inlineStr">
        <is>
          <t>OUT</t>
        </is>
      </c>
      <c r="C569" s="177" t="n">
        <v>46209.41666666666</v>
      </c>
      <c r="D569" s="51" t="n">
        <v>0.4354861111111111</v>
      </c>
      <c r="E569" s="13" t="n">
        <v>528000261</v>
      </c>
      <c r="F569" s="13" t="inlineStr">
        <is>
          <t>Ergi Ergianto</t>
        </is>
      </c>
      <c r="G569" s="13" t="inlineStr">
        <is>
          <t>Produksi</t>
        </is>
      </c>
      <c r="H569" s="13" t="inlineStr">
        <is>
          <t>Istirahat</t>
        </is>
      </c>
    </row>
    <row r="570">
      <c r="A570" s="27" t="inlineStr">
        <is>
          <t>MK00230</t>
        </is>
      </c>
      <c r="B570" s="13" t="inlineStr">
        <is>
          <t>IN</t>
        </is>
      </c>
      <c r="C570" s="177" t="n">
        <v>46209.41666666666</v>
      </c>
      <c r="D570" s="51" t="n">
        <v>0.4503703703703704</v>
      </c>
      <c r="E570" s="13" t="n">
        <v>528000261</v>
      </c>
      <c r="F570" s="13" t="inlineStr">
        <is>
          <t>Ergi Ergianto</t>
        </is>
      </c>
      <c r="G570" s="13" t="inlineStr">
        <is>
          <t>Produksi</t>
        </is>
      </c>
    </row>
    <row r="571">
      <c r="A571" s="27" t="inlineStr">
        <is>
          <t>MK00154</t>
        </is>
      </c>
      <c r="B571" s="13" t="inlineStr">
        <is>
          <t>OUT</t>
        </is>
      </c>
      <c r="C571" s="177" t="n">
        <v>46209.41666666666</v>
      </c>
      <c r="D571" s="51" t="n">
        <v>0.4878703703703703</v>
      </c>
      <c r="E571" s="13" t="n">
        <v>528000098</v>
      </c>
      <c r="F571" s="13" t="inlineStr">
        <is>
          <t>Edi Junaedi</t>
        </is>
      </c>
      <c r="G571" s="13" t="inlineStr">
        <is>
          <t>Produksi</t>
        </is>
      </c>
      <c r="H571" s="13" t="inlineStr">
        <is>
          <t>Istirahat</t>
        </is>
      </c>
    </row>
    <row r="572">
      <c r="A572" s="27" t="inlineStr">
        <is>
          <t>MK00154</t>
        </is>
      </c>
      <c r="B572" s="13" t="inlineStr">
        <is>
          <t>IN</t>
        </is>
      </c>
      <c r="C572" s="177" t="n">
        <v>46209.41666666666</v>
      </c>
      <c r="D572" s="51" t="n">
        <v>0.515636574074074</v>
      </c>
      <c r="E572" s="13" t="n">
        <v>528000098</v>
      </c>
      <c r="F572" s="13" t="inlineStr">
        <is>
          <t>Edi Junaedi</t>
        </is>
      </c>
      <c r="G572" s="13" t="inlineStr">
        <is>
          <t>Produksi</t>
        </is>
      </c>
      <c r="H572" s="13" t="inlineStr">
        <is>
          <t>Istirahat</t>
        </is>
      </c>
    </row>
    <row r="573">
      <c r="A573" s="27" t="inlineStr">
        <is>
          <t>MK00145</t>
        </is>
      </c>
      <c r="B573" s="13" t="inlineStr">
        <is>
          <t>OUT</t>
        </is>
      </c>
      <c r="C573" s="177" t="n">
        <v>46209.41666666666</v>
      </c>
      <c r="D573" s="51" t="n">
        <v>0.5181365740740741</v>
      </c>
      <c r="E573" s="13" t="n">
        <v>528000282</v>
      </c>
      <c r="F573" s="13" t="inlineStr">
        <is>
          <t>Defa Desfiana</t>
        </is>
      </c>
      <c r="G573" s="13" t="inlineStr">
        <is>
          <t>Produksi</t>
        </is>
      </c>
      <c r="H573" s="13" t="inlineStr">
        <is>
          <t>Istirahat</t>
        </is>
      </c>
    </row>
    <row r="574">
      <c r="A574" s="27" t="inlineStr">
        <is>
          <t>MK00136</t>
        </is>
      </c>
      <c r="B574" s="13" t="inlineStr">
        <is>
          <t>OUT</t>
        </is>
      </c>
      <c r="C574" s="177" t="n">
        <v>46209.41666666666</v>
      </c>
      <c r="D574" s="51" t="n">
        <v>0.7380208333333333</v>
      </c>
      <c r="E574" s="13" t="n">
        <v>528000318</v>
      </c>
      <c r="F574" s="13" t="inlineStr">
        <is>
          <t>Bayu Padli Sepriyana</t>
        </is>
      </c>
      <c r="G574" s="13" t="inlineStr">
        <is>
          <t>Produksi</t>
        </is>
      </c>
      <c r="H574" s="13" t="inlineStr">
        <is>
          <t>Istirahat</t>
        </is>
      </c>
    </row>
    <row r="575">
      <c r="A575" s="27" t="inlineStr">
        <is>
          <t>MK00235</t>
        </is>
      </c>
      <c r="B575" s="13" t="inlineStr">
        <is>
          <t>OUT</t>
        </is>
      </c>
      <c r="C575" s="177" t="n">
        <v>46209.41666666666</v>
      </c>
      <c r="D575" s="51" t="n">
        <v>0.7388657407407407</v>
      </c>
      <c r="E575" s="13" t="n">
        <v>528000288</v>
      </c>
      <c r="F575" s="13" t="inlineStr">
        <is>
          <t>Dede gunawan</t>
        </is>
      </c>
      <c r="G575" s="13" t="inlineStr">
        <is>
          <t>Produksi</t>
        </is>
      </c>
      <c r="H575" s="13" t="inlineStr">
        <is>
          <t>Istirahat</t>
        </is>
      </c>
    </row>
    <row r="576">
      <c r="A576" s="27" t="inlineStr">
        <is>
          <t>MK00046</t>
        </is>
      </c>
      <c r="B576" s="13" t="inlineStr">
        <is>
          <t>OUT</t>
        </is>
      </c>
      <c r="C576" s="177" t="n">
        <v>46209.41666666666</v>
      </c>
      <c r="D576" s="51" t="n">
        <v>0.7409490740740741</v>
      </c>
      <c r="E576" s="13" t="n">
        <v>528000279</v>
      </c>
      <c r="F576" s="13" t="inlineStr">
        <is>
          <t>Mahdalena Dalfa Riani</t>
        </is>
      </c>
      <c r="G576" s="13" t="inlineStr">
        <is>
          <t>Produksi</t>
        </is>
      </c>
      <c r="H576" s="13" t="inlineStr">
        <is>
          <t>Sholat</t>
        </is>
      </c>
    </row>
    <row r="577">
      <c r="A577" s="27" t="inlineStr">
        <is>
          <t>MK00235</t>
        </is>
      </c>
      <c r="B577" s="13" t="inlineStr">
        <is>
          <t>IN</t>
        </is>
      </c>
      <c r="C577" s="177" t="n">
        <v>46209.41666666666</v>
      </c>
      <c r="D577" s="51" t="n">
        <v>0.741550925925926</v>
      </c>
      <c r="E577" s="13" t="n">
        <v>528000288</v>
      </c>
      <c r="F577" s="13" t="inlineStr">
        <is>
          <t>Dede gunawan</t>
        </is>
      </c>
      <c r="G577" s="13" t="inlineStr">
        <is>
          <t>Produksi</t>
        </is>
      </c>
      <c r="H577" s="13" t="inlineStr">
        <is>
          <t>Istirahat</t>
        </is>
      </c>
    </row>
    <row r="578">
      <c r="A578" s="27" t="inlineStr">
        <is>
          <t>MK00209</t>
        </is>
      </c>
      <c r="B578" s="13" t="inlineStr">
        <is>
          <t>IN</t>
        </is>
      </c>
      <c r="C578" s="177" t="n">
        <v>46209.41666666666</v>
      </c>
      <c r="D578" s="51" t="n">
        <v>0.7418402777777777</v>
      </c>
      <c r="E578" s="13" t="n">
        <v>528000300</v>
      </c>
      <c r="F578" s="13" t="inlineStr">
        <is>
          <t>Lia pitaloka</t>
        </is>
      </c>
      <c r="G578" s="13" t="inlineStr">
        <is>
          <t>Produksi</t>
        </is>
      </c>
      <c r="H578" s="13" t="inlineStr">
        <is>
          <t>Sholat</t>
        </is>
      </c>
    </row>
    <row r="579">
      <c r="A579" s="27" t="inlineStr">
        <is>
          <t>MK00209</t>
        </is>
      </c>
      <c r="B579" s="13" t="inlineStr">
        <is>
          <t>OUT</t>
        </is>
      </c>
      <c r="C579" s="177" t="n">
        <v>46209.41666666666</v>
      </c>
      <c r="D579" s="51" t="n">
        <v>0.7429745370370371</v>
      </c>
      <c r="E579" s="13" t="n">
        <v>528000300</v>
      </c>
      <c r="F579" s="13" t="inlineStr">
        <is>
          <t>Lia pitaloka</t>
        </is>
      </c>
      <c r="G579" s="13" t="inlineStr">
        <is>
          <t>Produksi</t>
        </is>
      </c>
      <c r="H579" s="13" t="inlineStr">
        <is>
          <t>Sholat</t>
        </is>
      </c>
    </row>
    <row r="580">
      <c r="A580" s="27" t="inlineStr">
        <is>
          <t>MK00209</t>
        </is>
      </c>
      <c r="B580" s="13" t="inlineStr">
        <is>
          <t>IN</t>
        </is>
      </c>
      <c r="C580" s="177" t="n">
        <v>46209.41666666666</v>
      </c>
      <c r="D580" s="51" t="n">
        <v>0.7445833333333334</v>
      </c>
      <c r="E580" s="13" t="n">
        <v>528000300</v>
      </c>
      <c r="F580" s="13" t="inlineStr">
        <is>
          <t>Lia pitaloka</t>
        </is>
      </c>
      <c r="G580" s="13" t="inlineStr">
        <is>
          <t>Produksi</t>
        </is>
      </c>
      <c r="H580" s="13" t="inlineStr">
        <is>
          <t>Sholat</t>
        </is>
      </c>
    </row>
    <row r="581">
      <c r="A581" s="27" t="inlineStr">
        <is>
          <t>MK00046</t>
        </is>
      </c>
      <c r="B581" s="13" t="inlineStr">
        <is>
          <t>IN</t>
        </is>
      </c>
      <c r="C581" s="177" t="n">
        <v>46209.41666666666</v>
      </c>
      <c r="D581" s="51" t="n">
        <v>0.7501041666666667</v>
      </c>
      <c r="E581" s="13" t="n">
        <v>528000279</v>
      </c>
      <c r="F581" s="13" t="inlineStr">
        <is>
          <t>Mahdalena Dalfa Riani</t>
        </is>
      </c>
      <c r="G581" s="13" t="inlineStr">
        <is>
          <t>Produksi</t>
        </is>
      </c>
      <c r="H581" s="13" t="inlineStr">
        <is>
          <t>Sholat</t>
        </is>
      </c>
    </row>
    <row r="582">
      <c r="A582" s="27" t="inlineStr">
        <is>
          <t>MK00209</t>
        </is>
      </c>
      <c r="B582" s="13" t="inlineStr">
        <is>
          <t>OUT</t>
        </is>
      </c>
      <c r="C582" s="177" t="n">
        <v>46209.41666666666</v>
      </c>
      <c r="D582" s="51" t="n">
        <v>0.7509143518518518</v>
      </c>
      <c r="E582" s="13" t="n">
        <v>528000300</v>
      </c>
      <c r="F582" s="13" t="inlineStr">
        <is>
          <t>Lia pitaloka</t>
        </is>
      </c>
      <c r="G582" s="13" t="inlineStr">
        <is>
          <t>Produksi</t>
        </is>
      </c>
      <c r="H582" s="13" t="inlineStr">
        <is>
          <t>Sholat</t>
        </is>
      </c>
    </row>
    <row r="583">
      <c r="A583" s="27" t="inlineStr">
        <is>
          <t>MK00046</t>
        </is>
      </c>
      <c r="B583" s="13" t="inlineStr">
        <is>
          <t>OUT</t>
        </is>
      </c>
      <c r="C583" s="177" t="n">
        <v>46209.41666666666</v>
      </c>
      <c r="D583" s="51" t="n">
        <v>0.7514351851851852</v>
      </c>
      <c r="E583" s="13" t="n">
        <v>528000279</v>
      </c>
      <c r="F583" s="13" t="inlineStr">
        <is>
          <t>Mahdalena Dalfa Riani</t>
        </is>
      </c>
      <c r="G583" s="13" t="inlineStr">
        <is>
          <t>Produksi</t>
        </is>
      </c>
      <c r="H583" s="13" t="inlineStr">
        <is>
          <t>Istirahat</t>
        </is>
      </c>
    </row>
    <row r="584">
      <c r="A584" s="27" t="inlineStr">
        <is>
          <t>MK00093</t>
        </is>
      </c>
      <c r="B584" s="13" t="inlineStr">
        <is>
          <t>OUT</t>
        </is>
      </c>
      <c r="C584" s="177" t="n">
        <v>46209.41666666666</v>
      </c>
      <c r="D584" s="51" t="n">
        <v>0.7561689814814815</v>
      </c>
      <c r="E584" s="13" t="n">
        <v>528000297</v>
      </c>
      <c r="F584" s="13" t="inlineStr">
        <is>
          <t>Muhamad Budiana</t>
        </is>
      </c>
      <c r="G584" s="13" t="inlineStr">
        <is>
          <t>Produksi</t>
        </is>
      </c>
      <c r="H584" s="13" t="inlineStr">
        <is>
          <t>Istirahat</t>
        </is>
      </c>
    </row>
    <row r="585">
      <c r="A585" s="27" t="inlineStr">
        <is>
          <t>MK00136</t>
        </is>
      </c>
      <c r="B585" s="13" t="inlineStr">
        <is>
          <t>IN</t>
        </is>
      </c>
      <c r="C585" s="177" t="n">
        <v>46209.41666666666</v>
      </c>
      <c r="D585" s="51" t="n">
        <v>0.7690625</v>
      </c>
      <c r="E585" s="13" t="n">
        <v>528000318</v>
      </c>
      <c r="F585" s="13" t="inlineStr">
        <is>
          <t>Bayu Padli Sepriyana</t>
        </is>
      </c>
      <c r="G585" s="13" t="inlineStr">
        <is>
          <t>Produksi</t>
        </is>
      </c>
      <c r="H585" s="13" t="inlineStr">
        <is>
          <t>Istirahat</t>
        </is>
      </c>
    </row>
    <row r="586">
      <c r="A586" s="27" t="inlineStr">
        <is>
          <t>MK00046</t>
        </is>
      </c>
      <c r="B586" s="13" t="inlineStr">
        <is>
          <t>IN</t>
        </is>
      </c>
      <c r="C586" s="177" t="n">
        <v>46209.41666666666</v>
      </c>
      <c r="D586" s="51" t="n">
        <v>0.7801388888888889</v>
      </c>
      <c r="E586" s="13" t="n">
        <v>528000279</v>
      </c>
      <c r="F586" s="13" t="inlineStr">
        <is>
          <t>Mahdalena Dalfa Riani</t>
        </is>
      </c>
      <c r="G586" s="13" t="inlineStr">
        <is>
          <t>Produksi</t>
        </is>
      </c>
    </row>
    <row r="587">
      <c r="A587" s="27" t="inlineStr">
        <is>
          <t>MK00209</t>
        </is>
      </c>
      <c r="B587" s="13" t="inlineStr">
        <is>
          <t>IN</t>
        </is>
      </c>
      <c r="C587" s="177" t="n">
        <v>46209.41666666666</v>
      </c>
      <c r="D587" s="51" t="n">
        <v>0.7803935185185186</v>
      </c>
      <c r="E587" s="13" t="n">
        <v>528000300</v>
      </c>
      <c r="F587" s="13" t="inlineStr">
        <is>
          <t>Lia pitaloka</t>
        </is>
      </c>
      <c r="G587" s="13" t="inlineStr">
        <is>
          <t>Produksi</t>
        </is>
      </c>
    </row>
    <row r="588">
      <c r="A588" s="27" t="inlineStr">
        <is>
          <t>MK00148</t>
        </is>
      </c>
      <c r="B588" s="13" t="inlineStr">
        <is>
          <t>OUT</t>
        </is>
      </c>
      <c r="C588" s="177" t="n">
        <v>46209.41666666666</v>
      </c>
      <c r="D588" s="51" t="n">
        <v>0.8126041666666667</v>
      </c>
      <c r="E588" s="13" t="n">
        <v>628000064</v>
      </c>
      <c r="F588" s="13" t="inlineStr">
        <is>
          <t>Silva Alypia</t>
        </is>
      </c>
      <c r="G588" s="13" t="inlineStr">
        <is>
          <t>Produksi</t>
        </is>
      </c>
      <c r="H588" s="13" t="inlineStr">
        <is>
          <t>Pekerjaan</t>
        </is>
      </c>
    </row>
    <row r="589">
      <c r="A589" s="27" t="inlineStr">
        <is>
          <t>MK00093</t>
        </is>
      </c>
      <c r="B589" s="13" t="inlineStr">
        <is>
          <t>IN</t>
        </is>
      </c>
      <c r="C589" s="177" t="n">
        <v>46209.41666666666</v>
      </c>
      <c r="D589" s="51" t="n">
        <v>0.8128935185185185</v>
      </c>
      <c r="E589" s="13" t="n">
        <v>528000297</v>
      </c>
      <c r="F589" s="13" t="inlineStr">
        <is>
          <t>Muhamad Budiana</t>
        </is>
      </c>
      <c r="G589" s="13" t="inlineStr">
        <is>
          <t>Produksi</t>
        </is>
      </c>
      <c r="H589" s="13" t="inlineStr">
        <is>
          <t>Pekerjaan</t>
        </is>
      </c>
    </row>
    <row r="590">
      <c r="A590" s="27" t="inlineStr">
        <is>
          <t>MK00148</t>
        </is>
      </c>
      <c r="B590" s="13" t="inlineStr">
        <is>
          <t>IN</t>
        </is>
      </c>
      <c r="C590" s="177" t="n">
        <v>46209.41666666666</v>
      </c>
      <c r="D590" s="51" t="n">
        <v>0.8131018518518518</v>
      </c>
      <c r="E590" s="13" t="n">
        <v>628000064</v>
      </c>
      <c r="F590" s="13" t="inlineStr">
        <is>
          <t>Silva Alypia</t>
        </is>
      </c>
      <c r="G590" s="13" t="inlineStr">
        <is>
          <t>Produksi</t>
        </is>
      </c>
      <c r="H590" s="13" t="inlineStr">
        <is>
          <t>Pekerjaan</t>
        </is>
      </c>
    </row>
    <row r="591">
      <c r="A591" s="27" t="inlineStr">
        <is>
          <t>MK00109</t>
        </is>
      </c>
      <c r="B591" s="13" t="inlineStr">
        <is>
          <t>OUT</t>
        </is>
      </c>
      <c r="C591" s="177" t="n">
        <v>46240.41666666666</v>
      </c>
      <c r="D591" s="51" t="n">
        <v>0.3576157407407408</v>
      </c>
      <c r="E591" s="13" t="n">
        <v>628000091</v>
      </c>
      <c r="F591" s="13" t="inlineStr">
        <is>
          <t>Devita Handayani</t>
        </is>
      </c>
      <c r="G591" s="13" t="inlineStr">
        <is>
          <t>Produksi</t>
        </is>
      </c>
      <c r="H591" s="13" t="inlineStr">
        <is>
          <t>Istirahat</t>
        </is>
      </c>
    </row>
    <row r="592">
      <c r="A592" s="27" t="inlineStr">
        <is>
          <t>MK00235</t>
        </is>
      </c>
      <c r="B592" s="13" t="inlineStr">
        <is>
          <t>OUT</t>
        </is>
      </c>
      <c r="C592" s="177" t="n">
        <v>46240.41666666666</v>
      </c>
      <c r="D592" s="51" t="n">
        <v>0.3632175925925926</v>
      </c>
      <c r="E592" s="13" t="n">
        <v>528000288</v>
      </c>
      <c r="F592" s="13" t="inlineStr">
        <is>
          <t>Dede gunawan</t>
        </is>
      </c>
      <c r="G592" s="13" t="inlineStr">
        <is>
          <t>Produksi</t>
        </is>
      </c>
      <c r="H592" s="13" t="inlineStr">
        <is>
          <t>Istirahat</t>
        </is>
      </c>
    </row>
    <row r="593">
      <c r="A593" s="27" t="inlineStr">
        <is>
          <t>MK00109</t>
        </is>
      </c>
      <c r="B593" s="13" t="inlineStr">
        <is>
          <t>IN</t>
        </is>
      </c>
      <c r="C593" s="177" t="n">
        <v>46240.41666666666</v>
      </c>
      <c r="D593" s="51" t="n">
        <v>0.3769212962962963</v>
      </c>
      <c r="E593" s="13" t="n">
        <v>628000091</v>
      </c>
      <c r="F593" s="13" t="inlineStr">
        <is>
          <t>Devita Handayani</t>
        </is>
      </c>
      <c r="G593" s="13" t="inlineStr">
        <is>
          <t>Produksi</t>
        </is>
      </c>
      <c r="H593" s="13" t="inlineStr">
        <is>
          <t>Istirahat</t>
        </is>
      </c>
    </row>
    <row r="594">
      <c r="A594" s="27" t="inlineStr">
        <is>
          <t>MK00181</t>
        </is>
      </c>
      <c r="B594" s="13" t="inlineStr">
        <is>
          <t>IN</t>
        </is>
      </c>
      <c r="C594" s="177" t="n">
        <v>46240.41666666666</v>
      </c>
      <c r="D594" s="51" t="n">
        <v>0.382337962962963</v>
      </c>
      <c r="E594" s="13" t="n">
        <v>528000299</v>
      </c>
      <c r="F594" s="13" t="inlineStr">
        <is>
          <t>Siti Nurjanah</t>
        </is>
      </c>
      <c r="G594" s="13" t="inlineStr">
        <is>
          <t>Produksi</t>
        </is>
      </c>
      <c r="H594" s="13" t="inlineStr">
        <is>
          <t>Istirahat</t>
        </is>
      </c>
    </row>
    <row r="595">
      <c r="A595" s="27" t="inlineStr">
        <is>
          <t>MK00126</t>
        </is>
      </c>
      <c r="B595" s="13" t="inlineStr">
        <is>
          <t>OUT</t>
        </is>
      </c>
      <c r="C595" s="177" t="n">
        <v>46240.41666666666</v>
      </c>
      <c r="D595" s="51" t="n">
        <v>0.3835069444444444</v>
      </c>
      <c r="E595" s="13" t="n">
        <v>528000313</v>
      </c>
      <c r="F595" s="13" t="inlineStr">
        <is>
          <t>Muhamad Rifki</t>
        </is>
      </c>
      <c r="G595" s="13" t="inlineStr">
        <is>
          <t>Produksi</t>
        </is>
      </c>
      <c r="H595" s="13" t="inlineStr">
        <is>
          <t>Istirahat</t>
        </is>
      </c>
    </row>
    <row r="596">
      <c r="A596" s="27" t="inlineStr">
        <is>
          <t>MK00235</t>
        </is>
      </c>
      <c r="B596" s="13" t="inlineStr">
        <is>
          <t>IN</t>
        </is>
      </c>
      <c r="C596" s="177" t="n">
        <v>46240.41666666666</v>
      </c>
      <c r="D596" s="51" t="n">
        <v>0.3887268518518519</v>
      </c>
      <c r="E596" s="13" t="n">
        <v>528000288</v>
      </c>
      <c r="F596" s="13" t="inlineStr">
        <is>
          <t>Dede gunawan</t>
        </is>
      </c>
      <c r="G596" s="13" t="inlineStr">
        <is>
          <t>Produksi</t>
        </is>
      </c>
      <c r="H596" s="13" t="inlineStr">
        <is>
          <t>Istirahat</t>
        </is>
      </c>
    </row>
    <row r="597">
      <c r="A597" s="27" t="inlineStr">
        <is>
          <t>MK00181</t>
        </is>
      </c>
      <c r="B597" s="13" t="inlineStr">
        <is>
          <t>OUT</t>
        </is>
      </c>
      <c r="C597" s="177" t="n">
        <v>46240.41666666666</v>
      </c>
      <c r="D597" s="51" t="n">
        <v>0.3967476851851852</v>
      </c>
      <c r="E597" s="13" t="n">
        <v>528000299</v>
      </c>
      <c r="F597" s="13" t="inlineStr">
        <is>
          <t>Siti Nurjanah</t>
        </is>
      </c>
      <c r="G597" s="13" t="inlineStr">
        <is>
          <t>Produksi</t>
        </is>
      </c>
      <c r="H597" s="13" t="inlineStr">
        <is>
          <t>Istirahat</t>
        </is>
      </c>
    </row>
    <row r="598">
      <c r="A598" s="27" t="inlineStr">
        <is>
          <t>MK00181</t>
        </is>
      </c>
      <c r="B598" s="13" t="inlineStr">
        <is>
          <t>IN</t>
        </is>
      </c>
      <c r="C598" s="177" t="n">
        <v>46240.41666666666</v>
      </c>
      <c r="D598" s="51" t="n">
        <v>0.3969097222222222</v>
      </c>
      <c r="E598" s="13" t="n">
        <v>528000299</v>
      </c>
      <c r="F598" s="13" t="inlineStr">
        <is>
          <t>Siti Nurjanah</t>
        </is>
      </c>
      <c r="G598" s="13" t="inlineStr">
        <is>
          <t>Produksi</t>
        </is>
      </c>
      <c r="H598" s="13" t="inlineStr">
        <is>
          <t>Istirahat</t>
        </is>
      </c>
    </row>
    <row r="599">
      <c r="A599" s="27" t="inlineStr">
        <is>
          <t>MK00136</t>
        </is>
      </c>
      <c r="B599" s="13" t="inlineStr">
        <is>
          <t>OUT</t>
        </is>
      </c>
      <c r="C599" s="177" t="n">
        <v>46240.41666666666</v>
      </c>
      <c r="D599" s="51" t="n">
        <v>0.4143287037037037</v>
      </c>
      <c r="E599" s="13" t="n">
        <v>528000302</v>
      </c>
      <c r="F599" s="13" t="inlineStr">
        <is>
          <t>Henkey gumilar</t>
        </is>
      </c>
      <c r="G599" s="13" t="inlineStr">
        <is>
          <t>Produksi</t>
        </is>
      </c>
      <c r="H599" s="13" t="inlineStr">
        <is>
          <t>Istirahat</t>
        </is>
      </c>
    </row>
    <row r="600">
      <c r="A600" s="27" t="inlineStr">
        <is>
          <t>MK00148</t>
        </is>
      </c>
      <c r="B600" s="13" t="inlineStr">
        <is>
          <t>OUT</t>
        </is>
      </c>
      <c r="C600" s="177" t="n">
        <v>46240.41666666666</v>
      </c>
      <c r="D600" s="51" t="n">
        <v>0.4144791666666667</v>
      </c>
      <c r="E600" s="13" t="n">
        <v>528000305</v>
      </c>
      <c r="F600" s="13" t="inlineStr">
        <is>
          <t>Puji Puspita</t>
        </is>
      </c>
      <c r="G600" s="13" t="inlineStr">
        <is>
          <t>Produksi</t>
        </is>
      </c>
      <c r="H600" s="13" t="inlineStr">
        <is>
          <t>Istirahat</t>
        </is>
      </c>
    </row>
    <row r="601">
      <c r="A601" s="27" t="inlineStr">
        <is>
          <t>MK00134</t>
        </is>
      </c>
      <c r="B601" s="13" t="inlineStr">
        <is>
          <t>OUT</t>
        </is>
      </c>
      <c r="C601" s="177" t="n">
        <v>46240.41666666666</v>
      </c>
      <c r="D601" s="51" t="n">
        <v>0.4203935185185185</v>
      </c>
      <c r="E601" s="13" t="n">
        <v>528000270</v>
      </c>
      <c r="F601" s="13" t="inlineStr">
        <is>
          <t>Febri Najmudin</t>
        </is>
      </c>
      <c r="G601" s="13" t="inlineStr">
        <is>
          <t>Produksi</t>
        </is>
      </c>
      <c r="H601" s="13" t="inlineStr">
        <is>
          <t>Istirahat</t>
        </is>
      </c>
    </row>
    <row r="602">
      <c r="A602" s="27" t="inlineStr">
        <is>
          <t>MK00085</t>
        </is>
      </c>
      <c r="B602" s="13" t="inlineStr">
        <is>
          <t>IN</t>
        </is>
      </c>
      <c r="C602" s="177" t="n">
        <v>46240.41666666666</v>
      </c>
      <c r="D602" s="51" t="n">
        <v>0.432800925925926</v>
      </c>
      <c r="E602" s="13" t="n">
        <v>528000298</v>
      </c>
      <c r="F602" s="13" t="inlineStr">
        <is>
          <t>Desta Cahaya Pratama</t>
        </is>
      </c>
      <c r="G602" s="13" t="inlineStr">
        <is>
          <t>Produksi</t>
        </is>
      </c>
      <c r="H602" s="13" t="inlineStr">
        <is>
          <t>Istirahat</t>
        </is>
      </c>
    </row>
    <row r="603">
      <c r="A603" s="27" t="inlineStr">
        <is>
          <t>MK00085</t>
        </is>
      </c>
      <c r="B603" s="13" t="inlineStr">
        <is>
          <t>OUT</t>
        </is>
      </c>
      <c r="C603" s="177" t="n">
        <v>46240.41666666666</v>
      </c>
      <c r="D603" s="51" t="n">
        <v>0.4329398148148148</v>
      </c>
      <c r="E603" s="13" t="n">
        <v>528000298</v>
      </c>
      <c r="F603" s="13" t="inlineStr">
        <is>
          <t>Desta Cahaya Pratama</t>
        </is>
      </c>
      <c r="G603" s="13" t="inlineStr">
        <is>
          <t>Produksi</t>
        </is>
      </c>
      <c r="H603" s="13" t="inlineStr">
        <is>
          <t>Istirahat</t>
        </is>
      </c>
    </row>
    <row r="604">
      <c r="A604" s="27" t="inlineStr">
        <is>
          <t>MK00136</t>
        </is>
      </c>
      <c r="B604" s="13" t="inlineStr">
        <is>
          <t>IN</t>
        </is>
      </c>
      <c r="C604" s="177" t="n">
        <v>46240.41666666666</v>
      </c>
      <c r="D604" s="51" t="n">
        <v>0.4338773148148148</v>
      </c>
      <c r="E604" s="13" t="n">
        <v>528000302</v>
      </c>
      <c r="F604" s="13" t="inlineStr">
        <is>
          <t>Henkey gumilar</t>
        </is>
      </c>
      <c r="G604" s="13" t="inlineStr">
        <is>
          <t>Produksi</t>
        </is>
      </c>
      <c r="H604" s="13" t="inlineStr">
        <is>
          <t>Istirahat</t>
        </is>
      </c>
    </row>
    <row r="605">
      <c r="A605" s="27" t="inlineStr">
        <is>
          <t>MK00148</t>
        </is>
      </c>
      <c r="B605" s="13" t="inlineStr">
        <is>
          <t>IN</t>
        </is>
      </c>
      <c r="C605" s="177" t="n">
        <v>46240.41666666666</v>
      </c>
      <c r="D605" s="51" t="n">
        <v>0.4361342592592592</v>
      </c>
      <c r="E605" s="13" t="n">
        <v>528000305</v>
      </c>
      <c r="F605" s="13" t="inlineStr">
        <is>
          <t>Puji Puspita</t>
        </is>
      </c>
      <c r="G605" s="13" t="inlineStr">
        <is>
          <t>Produksi</t>
        </is>
      </c>
      <c r="H605" s="13" t="inlineStr">
        <is>
          <t>Istirahat</t>
        </is>
      </c>
    </row>
    <row r="606">
      <c r="A606" s="27" t="inlineStr">
        <is>
          <t>MK00134</t>
        </is>
      </c>
      <c r="B606" s="13" t="inlineStr">
        <is>
          <t>IN</t>
        </is>
      </c>
      <c r="C606" s="177" t="n">
        <v>46240.41666666666</v>
      </c>
      <c r="D606" s="51" t="n">
        <v>0.443900462962963</v>
      </c>
      <c r="E606" s="13" t="n">
        <v>528000270</v>
      </c>
      <c r="F606" s="13" t="inlineStr">
        <is>
          <t>Febri Najmudin</t>
        </is>
      </c>
      <c r="G606" s="13" t="inlineStr">
        <is>
          <t>Produksi</t>
        </is>
      </c>
      <c r="H606" s="13" t="inlineStr">
        <is>
          <t>Istirahat</t>
        </is>
      </c>
    </row>
    <row r="607">
      <c r="A607" s="27" t="inlineStr">
        <is>
          <t>MK00046</t>
        </is>
      </c>
      <c r="B607" s="13" t="inlineStr">
        <is>
          <t>OUT</t>
        </is>
      </c>
      <c r="C607" s="177" t="n">
        <v>46240.41666666666</v>
      </c>
      <c r="D607" s="51" t="n">
        <v>0.4466435185185185</v>
      </c>
      <c r="E607" s="13" t="n">
        <v>528000309</v>
      </c>
      <c r="F607" s="13" t="inlineStr">
        <is>
          <t>Ilham Ramadhan</t>
        </is>
      </c>
      <c r="G607" s="13" t="inlineStr">
        <is>
          <t>Produksi</t>
        </is>
      </c>
      <c r="H607" s="13" t="inlineStr">
        <is>
          <t>Istirahat</t>
        </is>
      </c>
    </row>
    <row r="608">
      <c r="A608" s="27" t="inlineStr">
        <is>
          <t>MK00085</t>
        </is>
      </c>
      <c r="B608" s="13" t="inlineStr">
        <is>
          <t>IN</t>
        </is>
      </c>
      <c r="C608" s="177" t="n">
        <v>46240.41666666666</v>
      </c>
      <c r="D608" s="51" t="n">
        <v>0.4524537037037037</v>
      </c>
      <c r="E608" s="13" t="n">
        <v>528000298</v>
      </c>
      <c r="F608" s="13" t="inlineStr">
        <is>
          <t>Desta Cahaya Pratama</t>
        </is>
      </c>
      <c r="G608" s="13" t="inlineStr">
        <is>
          <t>Produksi</t>
        </is>
      </c>
      <c r="H608" s="13" t="inlineStr">
        <is>
          <t>Istirahat</t>
        </is>
      </c>
    </row>
    <row r="609">
      <c r="A609" s="27" t="inlineStr">
        <is>
          <t>MK00158</t>
        </is>
      </c>
      <c r="B609" s="13" t="inlineStr">
        <is>
          <t>IN</t>
        </is>
      </c>
      <c r="C609" s="177" t="n">
        <v>46240.41666666666</v>
      </c>
      <c r="D609" s="51" t="n">
        <v>0.5368518518518518</v>
      </c>
      <c r="E609" s="13" t="n">
        <v>528000282</v>
      </c>
      <c r="F609" s="13" t="inlineStr">
        <is>
          <t>Defa Desfiana</t>
        </is>
      </c>
      <c r="G609" s="13" t="inlineStr">
        <is>
          <t>Produksi</t>
        </is>
      </c>
      <c r="H609" s="13" t="inlineStr">
        <is>
          <t>Istirahat</t>
        </is>
      </c>
    </row>
    <row r="610">
      <c r="A610" s="27" t="inlineStr">
        <is>
          <t>MK00158</t>
        </is>
      </c>
      <c r="B610" s="13" t="inlineStr">
        <is>
          <t>OUT</t>
        </is>
      </c>
      <c r="C610" s="177" t="n">
        <v>46240.41666666666</v>
      </c>
      <c r="D610" s="51" t="n">
        <v>0.5371296296296296</v>
      </c>
      <c r="E610" s="13" t="n">
        <v>528000282</v>
      </c>
      <c r="F610" s="13" t="inlineStr">
        <is>
          <t>Defa Desfiana</t>
        </is>
      </c>
      <c r="G610" s="13" t="inlineStr">
        <is>
          <t>Produksi</t>
        </is>
      </c>
      <c r="H610" s="13" t="inlineStr">
        <is>
          <t>Istirahat</t>
        </is>
      </c>
    </row>
    <row r="611">
      <c r="A611" s="27" t="inlineStr">
        <is>
          <t>MK00249</t>
        </is>
      </c>
      <c r="B611" s="13" t="inlineStr">
        <is>
          <t>OUT</t>
        </is>
      </c>
      <c r="C611" s="177" t="n">
        <v>46240.41666666666</v>
      </c>
      <c r="D611" s="51" t="n">
        <v>0.7215393518518518</v>
      </c>
      <c r="E611" s="13" t="n">
        <v>528000297</v>
      </c>
      <c r="F611" s="13" t="inlineStr">
        <is>
          <t>Muhamad Budiana</t>
        </is>
      </c>
      <c r="G611" s="13" t="inlineStr">
        <is>
          <t>Produksi</t>
        </is>
      </c>
      <c r="H611" s="13" t="inlineStr">
        <is>
          <t>Istirahat</t>
        </is>
      </c>
    </row>
    <row r="612">
      <c r="A612" s="27" t="inlineStr">
        <is>
          <t>MK00208</t>
        </is>
      </c>
      <c r="B612" s="13" t="inlineStr">
        <is>
          <t>OUT</t>
        </is>
      </c>
      <c r="C612" s="177" t="n">
        <v>46240.41666666666</v>
      </c>
      <c r="D612" s="51" t="n">
        <v>0.7390393518518519</v>
      </c>
      <c r="E612" s="13" t="n">
        <v>528000300</v>
      </c>
      <c r="F612" s="13" t="inlineStr">
        <is>
          <t>Lia pitaloka</t>
        </is>
      </c>
      <c r="G612" s="13" t="inlineStr">
        <is>
          <t>Produksi</t>
        </is>
      </c>
    </row>
    <row r="613">
      <c r="A613" s="27" t="inlineStr">
        <is>
          <t>MK00249</t>
        </is>
      </c>
      <c r="B613" s="13" t="inlineStr">
        <is>
          <t>IN</t>
        </is>
      </c>
      <c r="C613" s="177" t="n">
        <v>46240.41666666666</v>
      </c>
      <c r="D613" s="51" t="n">
        <v>0.7405671296296297</v>
      </c>
      <c r="E613" s="13" t="n">
        <v>528000297</v>
      </c>
      <c r="F613" s="13" t="inlineStr">
        <is>
          <t>Muhamad Budiana</t>
        </is>
      </c>
      <c r="G613" s="13" t="inlineStr">
        <is>
          <t>Produksi</t>
        </is>
      </c>
    </row>
    <row r="614">
      <c r="A614" s="27" t="inlineStr">
        <is>
          <t>MK00109</t>
        </is>
      </c>
      <c r="B614" s="13" t="inlineStr">
        <is>
          <t>OUT</t>
        </is>
      </c>
      <c r="C614" s="177" t="n">
        <v>46240.41666666666</v>
      </c>
      <c r="D614" s="51" t="n">
        <v>0.7592245370370371</v>
      </c>
      <c r="E614" s="13" t="n">
        <v>528000279</v>
      </c>
      <c r="F614" s="13" t="inlineStr">
        <is>
          <t>Mahdalena Dalfa Riani</t>
        </is>
      </c>
      <c r="G614" s="13" t="inlineStr">
        <is>
          <t>Produksi</t>
        </is>
      </c>
      <c r="H614" s="13" t="inlineStr">
        <is>
          <t>Istirahat</t>
        </is>
      </c>
    </row>
    <row r="615">
      <c r="A615" s="27" t="inlineStr">
        <is>
          <t>MK00136</t>
        </is>
      </c>
      <c r="B615" s="13" t="inlineStr">
        <is>
          <t>OUT</t>
        </is>
      </c>
      <c r="C615" s="177" t="n">
        <v>46240.41666666666</v>
      </c>
      <c r="D615" s="51" t="n">
        <v>0.760162037037037</v>
      </c>
      <c r="E615" s="13" t="n">
        <v>528000052</v>
      </c>
      <c r="F615" s="13" t="inlineStr">
        <is>
          <t>Mustopa</t>
        </is>
      </c>
      <c r="G615" s="13" t="inlineStr">
        <is>
          <t>Produksi</t>
        </is>
      </c>
      <c r="H615" s="13" t="inlineStr">
        <is>
          <t>Istirahat</t>
        </is>
      </c>
    </row>
    <row r="616">
      <c r="A616" s="27" t="inlineStr">
        <is>
          <t>MK00208</t>
        </is>
      </c>
      <c r="B616" s="13" t="inlineStr">
        <is>
          <t>IN</t>
        </is>
      </c>
      <c r="C616" s="177" t="n">
        <v>46240.41666666666</v>
      </c>
      <c r="D616" s="51" t="n">
        <v>0.7620023148148148</v>
      </c>
      <c r="E616" s="13" t="n">
        <v>528000300</v>
      </c>
      <c r="F616" s="13" t="inlineStr">
        <is>
          <t>Lia pitaloka</t>
        </is>
      </c>
      <c r="G616" s="13" t="inlineStr">
        <is>
          <t>Produksi</t>
        </is>
      </c>
      <c r="H616" s="13" t="inlineStr">
        <is>
          <t>Istirahat</t>
        </is>
      </c>
    </row>
    <row r="617">
      <c r="A617" s="27" t="inlineStr">
        <is>
          <t>MK00213</t>
        </is>
      </c>
      <c r="B617" s="13" t="inlineStr">
        <is>
          <t>OUT</t>
        </is>
      </c>
      <c r="C617" s="177" t="n">
        <v>46240.41666666666</v>
      </c>
      <c r="D617" s="51" t="n">
        <v>0.7774305555555555</v>
      </c>
      <c r="E617" s="13" t="n">
        <v>528000288</v>
      </c>
      <c r="F617" s="13" t="inlineStr">
        <is>
          <t>Dede gunawan</t>
        </is>
      </c>
      <c r="G617" s="13" t="inlineStr">
        <is>
          <t>Produksi</t>
        </is>
      </c>
      <c r="H617" s="13" t="inlineStr">
        <is>
          <t>Istirahat</t>
        </is>
      </c>
    </row>
    <row r="618">
      <c r="A618" s="27" t="inlineStr">
        <is>
          <t>MK00213</t>
        </is>
      </c>
      <c r="B618" s="13" t="inlineStr">
        <is>
          <t>IN</t>
        </is>
      </c>
      <c r="C618" s="177" t="n">
        <v>46240.41666666666</v>
      </c>
      <c r="D618" s="51" t="n">
        <v>0.7777546296296296</v>
      </c>
      <c r="E618" s="13" t="n">
        <v>528000288</v>
      </c>
      <c r="F618" s="13" t="inlineStr">
        <is>
          <t>Dede gunawan</t>
        </is>
      </c>
      <c r="G618" s="13" t="inlineStr">
        <is>
          <t>Produksi</t>
        </is>
      </c>
      <c r="H618" s="13" t="inlineStr">
        <is>
          <t>Istirahat</t>
        </is>
      </c>
    </row>
    <row r="619">
      <c r="A619" s="27" t="inlineStr">
        <is>
          <t>MK00145</t>
        </is>
      </c>
      <c r="B619" s="13" t="inlineStr">
        <is>
          <t>OUT</t>
        </is>
      </c>
      <c r="C619" s="177" t="n">
        <v>46240.41666666666</v>
      </c>
      <c r="D619" s="51" t="n">
        <v>0.7854050925925926</v>
      </c>
      <c r="E619" s="13" t="n">
        <v>628000064</v>
      </c>
      <c r="F619" s="13" t="inlineStr">
        <is>
          <t>Silva Alypia</t>
        </is>
      </c>
      <c r="G619" s="13" t="inlineStr">
        <is>
          <t>Produksi</t>
        </is>
      </c>
      <c r="H619" s="13" t="inlineStr">
        <is>
          <t>Istirahat</t>
        </is>
      </c>
    </row>
    <row r="620">
      <c r="A620" s="27" t="inlineStr">
        <is>
          <t>MK00208</t>
        </is>
      </c>
      <c r="B620" s="13" t="inlineStr">
        <is>
          <t>OUT</t>
        </is>
      </c>
      <c r="C620" s="177" t="n">
        <v>46271.41666666666</v>
      </c>
      <c r="D620" s="51" t="n">
        <v>0.3583912037037037</v>
      </c>
      <c r="E620" s="13" t="n">
        <v>528000318</v>
      </c>
      <c r="F620" s="13" t="inlineStr">
        <is>
          <t>Bayu Padli Sepriyana</t>
        </is>
      </c>
      <c r="G620" s="13" t="inlineStr">
        <is>
          <t>Produksi</t>
        </is>
      </c>
      <c r="H620" s="13" t="inlineStr">
        <is>
          <t>Istirahat</t>
        </is>
      </c>
    </row>
    <row r="621">
      <c r="A621" s="27" t="inlineStr">
        <is>
          <t>MK00249</t>
        </is>
      </c>
      <c r="B621" s="13" t="inlineStr">
        <is>
          <t>OUT</t>
        </is>
      </c>
      <c r="C621" s="177" t="n">
        <v>46271.41666666666</v>
      </c>
      <c r="D621" s="51" t="n">
        <v>0.3585416666666666</v>
      </c>
      <c r="E621" s="13" t="n">
        <v>628000091</v>
      </c>
      <c r="F621" s="13" t="inlineStr">
        <is>
          <t>Devita Handayani</t>
        </is>
      </c>
      <c r="G621" s="13" t="inlineStr">
        <is>
          <t>Produksi</t>
        </is>
      </c>
      <c r="H621" s="13" t="inlineStr">
        <is>
          <t>Istirahat</t>
        </is>
      </c>
    </row>
    <row r="622">
      <c r="A622" s="27" t="inlineStr">
        <is>
          <t>MK00093</t>
        </is>
      </c>
      <c r="B622" s="13" t="inlineStr">
        <is>
          <t>OUT</t>
        </is>
      </c>
      <c r="C622" s="177" t="n">
        <v>46271.41666666666</v>
      </c>
      <c r="D622" s="51" t="n">
        <v>0.4051273148148148</v>
      </c>
      <c r="E622" s="13" t="n">
        <v>528000361</v>
      </c>
      <c r="F622" s="13" t="inlineStr">
        <is>
          <t>Denada Munggarani</t>
        </is>
      </c>
      <c r="G622" s="13" t="inlineStr">
        <is>
          <t>Produksi</t>
        </is>
      </c>
      <c r="H622" s="13" t="inlineStr">
        <is>
          <t>Istirahat</t>
        </is>
      </c>
    </row>
    <row r="623">
      <c r="A623" s="27" t="inlineStr">
        <is>
          <t>MK00134</t>
        </is>
      </c>
      <c r="B623" s="13" t="inlineStr">
        <is>
          <t>OUT</t>
        </is>
      </c>
      <c r="C623" s="177" t="n">
        <v>46271.41666666666</v>
      </c>
      <c r="D623" s="51" t="n">
        <v>0.4054166666666666</v>
      </c>
      <c r="E623" s="13" t="n">
        <v>528000298</v>
      </c>
      <c r="F623" s="13" t="inlineStr">
        <is>
          <t>Desta Cahaya Pratama</t>
        </is>
      </c>
      <c r="G623" s="13" t="inlineStr">
        <is>
          <t>Produksi</t>
        </is>
      </c>
      <c r="H623" s="13" t="inlineStr">
        <is>
          <t>Istirahat</t>
        </is>
      </c>
    </row>
    <row r="624">
      <c r="A624" s="27" t="inlineStr">
        <is>
          <t>MK00113</t>
        </is>
      </c>
      <c r="B624" s="13" t="inlineStr">
        <is>
          <t>OUT</t>
        </is>
      </c>
      <c r="C624" s="177" t="n">
        <v>46271.41666666666</v>
      </c>
      <c r="D624" s="51" t="n">
        <v>0.4056018518518518</v>
      </c>
      <c r="E624" s="13" t="n">
        <v>528000270</v>
      </c>
      <c r="F624" s="13" t="inlineStr">
        <is>
          <t>Febri Najmudin</t>
        </is>
      </c>
      <c r="G624" s="13" t="inlineStr">
        <is>
          <t>Produksi</t>
        </is>
      </c>
      <c r="H624" s="13" t="inlineStr">
        <is>
          <t>Istirahat</t>
        </is>
      </c>
    </row>
    <row r="625">
      <c r="A625" s="27" t="inlineStr">
        <is>
          <t>MK00213</t>
        </is>
      </c>
      <c r="B625" s="13" t="inlineStr">
        <is>
          <t>OUT</t>
        </is>
      </c>
      <c r="C625" s="177" t="n">
        <v>46271.41666666666</v>
      </c>
      <c r="D625" s="51" t="n">
        <v>0.4178472222222222</v>
      </c>
      <c r="E625" s="13" t="n">
        <v>528000313</v>
      </c>
      <c r="F625" s="13" t="inlineStr">
        <is>
          <t>Muhamad Rifki</t>
        </is>
      </c>
      <c r="G625" s="13" t="inlineStr">
        <is>
          <t>Produksi</t>
        </is>
      </c>
      <c r="H625" s="13" t="inlineStr">
        <is>
          <t>Istirahat</t>
        </is>
      </c>
    </row>
    <row r="626">
      <c r="A626" s="27" t="inlineStr">
        <is>
          <t>MK00208</t>
        </is>
      </c>
      <c r="B626" s="13" t="inlineStr">
        <is>
          <t>IN</t>
        </is>
      </c>
      <c r="C626" s="177" t="n">
        <v>46271.41666666666</v>
      </c>
      <c r="D626" s="51" t="n">
        <v>0.418587962962963</v>
      </c>
      <c r="E626" s="13" t="n">
        <v>528000318</v>
      </c>
      <c r="F626" s="13" t="inlineStr">
        <is>
          <t>Bayu Padli Sepriyana</t>
        </is>
      </c>
      <c r="G626" s="13" t="inlineStr">
        <is>
          <t>Produksi</t>
        </is>
      </c>
      <c r="H626" s="13" t="inlineStr">
        <is>
          <t>Istirahat</t>
        </is>
      </c>
    </row>
    <row r="627">
      <c r="A627" s="27" t="inlineStr">
        <is>
          <t>MK00249</t>
        </is>
      </c>
      <c r="B627" s="13" t="inlineStr">
        <is>
          <t>IN</t>
        </is>
      </c>
      <c r="C627" s="177" t="n">
        <v>46271.41666666666</v>
      </c>
      <c r="D627" s="51" t="n">
        <v>0.41875</v>
      </c>
      <c r="E627" s="13" t="n">
        <v>628000091</v>
      </c>
      <c r="F627" s="13" t="inlineStr">
        <is>
          <t>Devita Handayani</t>
        </is>
      </c>
      <c r="G627" s="13" t="inlineStr">
        <is>
          <t>Produksi</t>
        </is>
      </c>
      <c r="H627" s="13" t="inlineStr">
        <is>
          <t>Istirahat</t>
        </is>
      </c>
    </row>
    <row r="628">
      <c r="A628" s="27" t="inlineStr">
        <is>
          <t>MK00093</t>
        </is>
      </c>
      <c r="B628" s="13" t="inlineStr">
        <is>
          <t>IN</t>
        </is>
      </c>
      <c r="C628" s="177" t="n">
        <v>46271.41666666666</v>
      </c>
      <c r="D628" s="51" t="n">
        <v>0.4189120370370371</v>
      </c>
      <c r="E628" s="13" t="n">
        <v>528000361</v>
      </c>
      <c r="F628" s="13" t="inlineStr">
        <is>
          <t>Denada Munggarani</t>
        </is>
      </c>
      <c r="G628" s="13" t="inlineStr">
        <is>
          <t>Produksi</t>
        </is>
      </c>
      <c r="H628" s="13" t="inlineStr">
        <is>
          <t>Istirahat</t>
        </is>
      </c>
    </row>
    <row r="629">
      <c r="A629" s="27" t="inlineStr">
        <is>
          <t>MK00145</t>
        </is>
      </c>
      <c r="B629" s="13" t="inlineStr">
        <is>
          <t>IN</t>
        </is>
      </c>
      <c r="C629" s="177" t="n">
        <v>46271.41666666666</v>
      </c>
      <c r="D629" s="51" t="n">
        <v>0.4190856481481481</v>
      </c>
      <c r="E629" s="13" t="n">
        <v>528000305</v>
      </c>
      <c r="F629" s="13" t="inlineStr">
        <is>
          <t>Puji Puspita</t>
        </is>
      </c>
      <c r="G629" s="13" t="inlineStr">
        <is>
          <t>Produksi</t>
        </is>
      </c>
      <c r="H629" s="13" t="inlineStr">
        <is>
          <t>Istirahat</t>
        </is>
      </c>
    </row>
    <row r="630">
      <c r="A630" s="27" t="inlineStr">
        <is>
          <t>MK00134</t>
        </is>
      </c>
      <c r="B630" s="13" t="inlineStr">
        <is>
          <t>IN</t>
        </is>
      </c>
      <c r="C630" s="177" t="n">
        <v>46271.41666666666</v>
      </c>
      <c r="D630" s="51" t="n">
        <v>0.4192476851851852</v>
      </c>
      <c r="E630" s="13" t="n">
        <v>528000298</v>
      </c>
      <c r="F630" s="13" t="inlineStr">
        <is>
          <t>Desta Cahaya Pratama</t>
        </is>
      </c>
      <c r="G630" s="13" t="inlineStr">
        <is>
          <t>Produksi</t>
        </is>
      </c>
      <c r="H630" s="13" t="inlineStr">
        <is>
          <t>Istirahat</t>
        </is>
      </c>
    </row>
    <row r="631">
      <c r="A631" s="27" t="inlineStr">
        <is>
          <t>MK00082</t>
        </is>
      </c>
      <c r="B631" s="13" t="inlineStr">
        <is>
          <t>OUT</t>
        </is>
      </c>
      <c r="C631" s="177" t="n">
        <v>46271.41666666666</v>
      </c>
      <c r="D631" s="51" t="n">
        <v>0.4379166666666667</v>
      </c>
      <c r="E631" s="13" t="n">
        <v>528000340</v>
      </c>
      <c r="F631" s="13" t="inlineStr">
        <is>
          <t>Muhammad Wildan Adithya</t>
        </is>
      </c>
      <c r="G631" s="13" t="inlineStr">
        <is>
          <t>Produksi</t>
        </is>
      </c>
      <c r="H631" s="13" t="inlineStr">
        <is>
          <t>Istirahat</t>
        </is>
      </c>
    </row>
    <row r="632">
      <c r="A632" s="27" t="inlineStr">
        <is>
          <t>MK00113</t>
        </is>
      </c>
      <c r="B632" s="13" t="inlineStr">
        <is>
          <t>IN</t>
        </is>
      </c>
      <c r="C632" s="177" t="n">
        <v>46271.41666666666</v>
      </c>
      <c r="D632" s="51" t="n">
        <v>0.4381944444444444</v>
      </c>
      <c r="E632" s="13" t="n">
        <v>528000270</v>
      </c>
      <c r="F632" s="13" t="inlineStr">
        <is>
          <t>Febri Najmudin</t>
        </is>
      </c>
      <c r="G632" s="13" t="inlineStr">
        <is>
          <t>Produksi</t>
        </is>
      </c>
      <c r="H632" s="13" t="inlineStr">
        <is>
          <t>Istirahat</t>
        </is>
      </c>
    </row>
    <row r="633">
      <c r="A633" s="27" t="inlineStr">
        <is>
          <t>MK00213</t>
        </is>
      </c>
      <c r="B633" s="13" t="inlineStr">
        <is>
          <t>IN</t>
        </is>
      </c>
      <c r="C633" s="177" t="n">
        <v>46271.41666666666</v>
      </c>
      <c r="D633" s="51" t="n">
        <v>0.4384837962962963</v>
      </c>
      <c r="E633" s="13" t="n">
        <v>528000313</v>
      </c>
      <c r="F633" s="13" t="inlineStr">
        <is>
          <t>Muhamad Rifki</t>
        </is>
      </c>
      <c r="G633" s="13" t="inlineStr">
        <is>
          <t>Produksi</t>
        </is>
      </c>
      <c r="H633" s="13" t="inlineStr">
        <is>
          <t>Istirahat</t>
        </is>
      </c>
    </row>
    <row r="634">
      <c r="A634" s="27" t="inlineStr">
        <is>
          <t>MK00185</t>
        </is>
      </c>
      <c r="B634" s="13" t="inlineStr">
        <is>
          <t>OUT</t>
        </is>
      </c>
      <c r="C634" s="177" t="n">
        <v>46271.41666666666</v>
      </c>
      <c r="D634" s="51" t="n">
        <v>0.4542592592592593</v>
      </c>
      <c r="E634" s="13" t="n">
        <v>528000309</v>
      </c>
      <c r="F634" s="13" t="inlineStr">
        <is>
          <t>Ilham Ramadhan</t>
        </is>
      </c>
      <c r="G634" s="13" t="inlineStr">
        <is>
          <t>Produksi</t>
        </is>
      </c>
      <c r="H634" s="13" t="inlineStr">
        <is>
          <t>Istirahat</t>
        </is>
      </c>
    </row>
    <row r="635">
      <c r="A635" s="27" t="inlineStr">
        <is>
          <t>MK00138</t>
        </is>
      </c>
      <c r="B635" s="13" t="inlineStr">
        <is>
          <t>OUT</t>
        </is>
      </c>
      <c r="C635" s="177" t="n">
        <v>46271.41666666666</v>
      </c>
      <c r="D635" s="51" t="n">
        <v>0.4545486111111111</v>
      </c>
      <c r="E635" s="13" t="n">
        <v>528000302</v>
      </c>
      <c r="F635" s="13" t="inlineStr">
        <is>
          <t>Henkey gumilar</t>
        </is>
      </c>
      <c r="G635" s="13" t="inlineStr">
        <is>
          <t>Produksi</t>
        </is>
      </c>
      <c r="H635" s="13" t="inlineStr">
        <is>
          <t>Istirahat</t>
        </is>
      </c>
    </row>
    <row r="636">
      <c r="A636" s="27" t="inlineStr">
        <is>
          <t>MK00185</t>
        </is>
      </c>
      <c r="B636" s="13" t="inlineStr">
        <is>
          <t>IN</t>
        </is>
      </c>
      <c r="C636" s="177" t="n">
        <v>46271.41666666666</v>
      </c>
      <c r="D636" s="51" t="n">
        <v>0.4677546296296296</v>
      </c>
      <c r="E636" s="13" t="n">
        <v>528000309</v>
      </c>
      <c r="F636" s="13" t="inlineStr">
        <is>
          <t>Ilham Ramadhan</t>
        </is>
      </c>
      <c r="G636" s="13" t="inlineStr">
        <is>
          <t>Produksi</t>
        </is>
      </c>
      <c r="H636" s="13" t="inlineStr">
        <is>
          <t>Istirahat</t>
        </is>
      </c>
    </row>
    <row r="637">
      <c r="A637" s="27" t="inlineStr">
        <is>
          <t>MK00181</t>
        </is>
      </c>
      <c r="B637" s="13" t="inlineStr">
        <is>
          <t>OUT</t>
        </is>
      </c>
      <c r="C637" s="177" t="n">
        <v>46271.41666666666</v>
      </c>
      <c r="D637" s="51" t="n">
        <v>0.7127777777777777</v>
      </c>
      <c r="E637" s="13" t="n">
        <v>528000300</v>
      </c>
      <c r="F637" s="13" t="inlineStr">
        <is>
          <t>Lia pitaloka</t>
        </is>
      </c>
      <c r="G637" s="13" t="inlineStr">
        <is>
          <t>Produksi</t>
        </is>
      </c>
      <c r="H637" s="13" t="inlineStr">
        <is>
          <t>Istirahat</t>
        </is>
      </c>
    </row>
    <row r="638">
      <c r="A638" s="27" t="inlineStr">
        <is>
          <t>MK00181</t>
        </is>
      </c>
      <c r="B638" s="13" t="inlineStr">
        <is>
          <t>IN</t>
        </is>
      </c>
      <c r="C638" s="177" t="n">
        <v>46271.41666666666</v>
      </c>
      <c r="D638" s="51" t="n">
        <v>0.7318171296296296</v>
      </c>
      <c r="E638" s="13" t="n">
        <v>528000300</v>
      </c>
      <c r="F638" s="13" t="inlineStr">
        <is>
          <t>Lia pitaloka</t>
        </is>
      </c>
      <c r="G638" s="13" t="inlineStr">
        <is>
          <t>Produksi</t>
        </is>
      </c>
      <c r="H638" s="13" t="inlineStr">
        <is>
          <t>Istirahat</t>
        </is>
      </c>
    </row>
    <row r="639">
      <c r="A639" s="27" t="inlineStr">
        <is>
          <t>MK00192</t>
        </is>
      </c>
      <c r="B639" s="13" t="inlineStr">
        <is>
          <t>OUT</t>
        </is>
      </c>
      <c r="C639" s="177" t="n">
        <v>46271.41666666666</v>
      </c>
      <c r="D639" s="51" t="n">
        <v>0.7319907407407408</v>
      </c>
      <c r="E639" s="13" t="n">
        <v>528000288</v>
      </c>
      <c r="F639" s="13" t="inlineStr">
        <is>
          <t>Dede gunawan</t>
        </is>
      </c>
      <c r="G639" s="13" t="inlineStr">
        <is>
          <t>Produksi</t>
        </is>
      </c>
      <c r="H639" s="13" t="inlineStr">
        <is>
          <t>Istirahat</t>
        </is>
      </c>
    </row>
    <row r="640">
      <c r="A640" s="27" t="inlineStr">
        <is>
          <t>MK00192</t>
        </is>
      </c>
      <c r="B640" s="13" t="inlineStr">
        <is>
          <t>IN</t>
        </is>
      </c>
      <c r="C640" s="177" t="n">
        <v>46271.41666666666</v>
      </c>
      <c r="D640" s="51" t="n">
        <v>0.7592361111111111</v>
      </c>
      <c r="E640" s="13" t="n">
        <v>528000288</v>
      </c>
      <c r="F640" s="13" t="inlineStr">
        <is>
          <t>Dede gunawan</t>
        </is>
      </c>
      <c r="G640" s="13" t="inlineStr">
        <is>
          <t>Produksi</t>
        </is>
      </c>
    </row>
    <row r="641">
      <c r="A641" s="27" t="inlineStr">
        <is>
          <t>MK00235</t>
        </is>
      </c>
      <c r="B641" s="13" t="inlineStr">
        <is>
          <t>OUT</t>
        </is>
      </c>
      <c r="C641" s="177" t="n">
        <v>46271.41666666666</v>
      </c>
      <c r="D641" s="51" t="n">
        <v>0.7594097222222222</v>
      </c>
      <c r="E641" s="13" t="n">
        <v>528000306</v>
      </c>
      <c r="F641" s="13" t="inlineStr">
        <is>
          <t>Windy Olivia</t>
        </is>
      </c>
      <c r="G641" s="13" t="inlineStr">
        <is>
          <t>Produksi</t>
        </is>
      </c>
      <c r="H641" s="13" t="inlineStr">
        <is>
          <t>Istirahat</t>
        </is>
      </c>
    </row>
    <row r="642">
      <c r="A642" s="27" t="inlineStr">
        <is>
          <t>MK00143</t>
        </is>
      </c>
      <c r="B642" s="13" t="inlineStr">
        <is>
          <t>OUT</t>
        </is>
      </c>
      <c r="C642" s="177" t="n">
        <v>46271.41666666666</v>
      </c>
      <c r="D642" s="51" t="n">
        <v>0.7595833333333334</v>
      </c>
      <c r="E642" s="13" t="n">
        <v>528000329</v>
      </c>
      <c r="F642" s="13" t="inlineStr">
        <is>
          <t>Havid Ilham Firdaus</t>
        </is>
      </c>
      <c r="G642" s="13" t="inlineStr">
        <is>
          <t>Produksi</t>
        </is>
      </c>
      <c r="H642" s="13" t="inlineStr">
        <is>
          <t>Istirahat</t>
        </is>
      </c>
    </row>
    <row r="643">
      <c r="A643" s="27" t="inlineStr">
        <is>
          <t>MK00160</t>
        </is>
      </c>
      <c r="B643" s="13" t="inlineStr">
        <is>
          <t>OUT</t>
        </is>
      </c>
      <c r="C643" s="177" t="n">
        <v>46271.41666666666</v>
      </c>
      <c r="D643" s="51" t="n">
        <v>0.7597453703703704</v>
      </c>
      <c r="E643" s="13" t="n">
        <v>528000248</v>
      </c>
      <c r="F643" s="13" t="inlineStr">
        <is>
          <t>Roka Jaya Salka Mulya</t>
        </is>
      </c>
      <c r="G643" s="13" t="inlineStr">
        <is>
          <t>Produksi</t>
        </is>
      </c>
      <c r="H643" s="13" t="inlineStr">
        <is>
          <t>Istirahat</t>
        </is>
      </c>
    </row>
    <row r="644">
      <c r="A644" s="27" t="inlineStr">
        <is>
          <t>MK00143</t>
        </is>
      </c>
      <c r="B644" s="13" t="inlineStr">
        <is>
          <t>IN</t>
        </is>
      </c>
      <c r="C644" s="177" t="n">
        <v>46271.41666666666</v>
      </c>
      <c r="D644" s="51" t="n">
        <v>0.7676273148148148</v>
      </c>
      <c r="E644" s="13" t="n">
        <v>528000329</v>
      </c>
      <c r="F644" s="13" t="inlineStr">
        <is>
          <t>Havid Ilham Firdaus</t>
        </is>
      </c>
      <c r="G644" s="13" t="inlineStr">
        <is>
          <t>Produksi</t>
        </is>
      </c>
      <c r="H644" s="13" t="inlineStr">
        <is>
          <t>Istirahat</t>
        </is>
      </c>
    </row>
    <row r="645">
      <c r="A645" s="27" t="inlineStr">
        <is>
          <t>MK00121</t>
        </is>
      </c>
      <c r="B645" s="13" t="inlineStr">
        <is>
          <t>OUT</t>
        </is>
      </c>
      <c r="C645" s="177" t="n">
        <v>46271.41666666666</v>
      </c>
      <c r="D645" s="51" t="n">
        <v>0.7679282407407407</v>
      </c>
      <c r="E645" s="13" t="n">
        <v>528000279</v>
      </c>
      <c r="F645" s="13" t="inlineStr">
        <is>
          <t>Mahdalena Dalfa Riani</t>
        </is>
      </c>
      <c r="G645" s="13" t="inlineStr">
        <is>
          <t>Produksi</t>
        </is>
      </c>
      <c r="H645" s="13" t="inlineStr">
        <is>
          <t>Istirahat</t>
        </is>
      </c>
    </row>
    <row r="646">
      <c r="A646" s="27" t="inlineStr">
        <is>
          <t>MK00150</t>
        </is>
      </c>
      <c r="B646" s="13" t="inlineStr">
        <is>
          <t>OUT</t>
        </is>
      </c>
      <c r="C646" s="177" t="n">
        <v>46271.41666666666</v>
      </c>
      <c r="D646" s="51" t="n">
        <v>0.7837499999999999</v>
      </c>
      <c r="E646" s="13" t="n">
        <v>528000297</v>
      </c>
      <c r="F646" s="13" t="inlineStr">
        <is>
          <t>Muhamad Budiana</t>
        </is>
      </c>
      <c r="G646" s="13" t="inlineStr">
        <is>
          <t>Produksi</t>
        </is>
      </c>
      <c r="H646" s="13" t="inlineStr">
        <is>
          <t>Istirahat</t>
        </is>
      </c>
    </row>
    <row r="647">
      <c r="A647" s="27" t="inlineStr">
        <is>
          <t>MK00148</t>
        </is>
      </c>
      <c r="B647" s="13" t="inlineStr">
        <is>
          <t>OUT</t>
        </is>
      </c>
      <c r="C647" s="177" t="n">
        <v>46271.41666666666</v>
      </c>
      <c r="D647" s="51" t="n">
        <v>0.7840162037037037</v>
      </c>
      <c r="E647" s="13" t="n">
        <v>628000064</v>
      </c>
      <c r="F647" s="13" t="inlineStr">
        <is>
          <t>Silva Alypia</t>
        </is>
      </c>
      <c r="G647" s="13" t="inlineStr">
        <is>
          <t>Produksi</t>
        </is>
      </c>
      <c r="H647" s="13" t="inlineStr">
        <is>
          <t>Istirahat</t>
        </is>
      </c>
    </row>
    <row r="648">
      <c r="A648" s="27" t="inlineStr">
        <is>
          <t>MK00121</t>
        </is>
      </c>
      <c r="B648" s="13" t="inlineStr">
        <is>
          <t>IN</t>
        </is>
      </c>
      <c r="C648" s="177" t="n">
        <v>46271.41666666666</v>
      </c>
      <c r="D648" s="51" t="n">
        <v>0.791412037037037</v>
      </c>
      <c r="E648" s="13" t="n">
        <v>528000279</v>
      </c>
      <c r="F648" s="13" t="inlineStr">
        <is>
          <t>Mahdalena Dalfa Riani</t>
        </is>
      </c>
      <c r="G648" s="13" t="inlineStr">
        <is>
          <t>Produksi</t>
        </is>
      </c>
      <c r="H648" s="13" t="inlineStr">
        <is>
          <t>Istirahat</t>
        </is>
      </c>
    </row>
    <row r="649">
      <c r="A649" s="27" t="inlineStr">
        <is>
          <t>MK00148</t>
        </is>
      </c>
      <c r="B649" s="13" t="inlineStr">
        <is>
          <t>IN</t>
        </is>
      </c>
      <c r="C649" s="177" t="n">
        <v>46271.41666666666</v>
      </c>
      <c r="D649" s="51" t="n">
        <v>0.8148032407407407</v>
      </c>
      <c r="E649" s="13" t="n">
        <v>628000064</v>
      </c>
      <c r="F649" s="13" t="inlineStr">
        <is>
          <t>Silva Alypia</t>
        </is>
      </c>
      <c r="G649" s="13" t="inlineStr">
        <is>
          <t>Produksi</t>
        </is>
      </c>
      <c r="H649" s="13" t="inlineStr">
        <is>
          <t>Istirahat</t>
        </is>
      </c>
    </row>
    <row r="650">
      <c r="A650" s="27" t="inlineStr">
        <is>
          <t>MK00210</t>
        </is>
      </c>
      <c r="B650" s="13" t="inlineStr">
        <is>
          <t>IN</t>
        </is>
      </c>
      <c r="C650" s="177" t="n">
        <v>46301.41666666666</v>
      </c>
      <c r="D650" s="51" t="n">
        <v>0.05586805555555555</v>
      </c>
      <c r="E650" s="13" t="n">
        <v>528000323</v>
      </c>
      <c r="F650" s="13" t="inlineStr">
        <is>
          <t>Dian Hamidah</t>
        </is>
      </c>
      <c r="G650" s="13" t="inlineStr">
        <is>
          <t>Produksi</t>
        </is>
      </c>
      <c r="H650" s="13" t="inlineStr">
        <is>
          <t>Istirahat</t>
        </is>
      </c>
    </row>
    <row r="651">
      <c r="A651" s="27" t="inlineStr">
        <is>
          <t>MK00210</t>
        </is>
      </c>
      <c r="B651" s="13" t="inlineStr">
        <is>
          <t>OUT</t>
        </is>
      </c>
      <c r="C651" s="177" t="n">
        <v>46301.41666666666</v>
      </c>
      <c r="D651" s="51" t="n">
        <v>0.05711805555555555</v>
      </c>
      <c r="E651" s="13" t="n">
        <v>528000323</v>
      </c>
      <c r="F651" s="13" t="inlineStr">
        <is>
          <t>Dian Hamidah</t>
        </is>
      </c>
      <c r="G651" s="13" t="inlineStr">
        <is>
          <t>Produksi</t>
        </is>
      </c>
      <c r="H651" s="13" t="inlineStr">
        <is>
          <t>Istirahat</t>
        </is>
      </c>
    </row>
    <row r="652">
      <c r="A652" s="27" t="inlineStr">
        <is>
          <t>MK00138</t>
        </is>
      </c>
      <c r="B652" s="13" t="inlineStr">
        <is>
          <t>IN</t>
        </is>
      </c>
      <c r="C652" s="177" t="n">
        <v>46301.41666666666</v>
      </c>
      <c r="D652" s="51" t="n">
        <v>0.07828703703703704</v>
      </c>
      <c r="E652" s="13" t="n">
        <v>528000241</v>
      </c>
      <c r="F652" s="13" t="inlineStr">
        <is>
          <t>Balia Nurafif Bilah</t>
        </is>
      </c>
      <c r="G652" s="13" t="inlineStr">
        <is>
          <t>Produksi</t>
        </is>
      </c>
    </row>
    <row r="653">
      <c r="A653" s="27" t="inlineStr">
        <is>
          <t>MK00138</t>
        </is>
      </c>
      <c r="B653" s="13" t="inlineStr">
        <is>
          <t>OUT</t>
        </is>
      </c>
      <c r="C653" s="177" t="n">
        <v>46301.41666666666</v>
      </c>
      <c r="D653" s="51" t="n">
        <v>0.07847222222222222</v>
      </c>
      <c r="E653" s="13" t="n">
        <v>528000241</v>
      </c>
      <c r="F653" s="13" t="inlineStr">
        <is>
          <t>Balia Nurafif Bilah</t>
        </is>
      </c>
      <c r="G653" s="13" t="inlineStr">
        <is>
          <t>Produksi</t>
        </is>
      </c>
    </row>
    <row r="654">
      <c r="A654" s="27" t="inlineStr">
        <is>
          <t>MK00210</t>
        </is>
      </c>
      <c r="B654" s="13" t="inlineStr">
        <is>
          <t>IN</t>
        </is>
      </c>
      <c r="C654" s="177" t="n">
        <v>46301.41666666666</v>
      </c>
      <c r="D654" s="51" t="n">
        <v>0.07898148148148149</v>
      </c>
      <c r="E654" s="13" t="n">
        <v>528000323</v>
      </c>
      <c r="F654" s="13" t="inlineStr">
        <is>
          <t>Dian Hamidah</t>
        </is>
      </c>
      <c r="G654" s="13" t="inlineStr">
        <is>
          <t>Produksi</t>
        </is>
      </c>
    </row>
    <row r="655">
      <c r="A655" s="27" t="inlineStr">
        <is>
          <t>MK00249</t>
        </is>
      </c>
      <c r="B655" s="13" t="inlineStr">
        <is>
          <t>OUT</t>
        </is>
      </c>
      <c r="C655" s="177" t="n">
        <v>46301.41666666666</v>
      </c>
      <c r="D655" s="51" t="n">
        <v>0.09019675925925925</v>
      </c>
      <c r="E655" s="13" t="n">
        <v>528000290</v>
      </c>
      <c r="F655" s="13" t="inlineStr">
        <is>
          <t>Eval Pranata</t>
        </is>
      </c>
      <c r="G655" s="13" t="inlineStr">
        <is>
          <t>Produksi</t>
        </is>
      </c>
    </row>
    <row r="656">
      <c r="A656" s="27" t="inlineStr">
        <is>
          <t>MK00116</t>
        </is>
      </c>
      <c r="B656" s="13" t="inlineStr">
        <is>
          <t>OUT</t>
        </is>
      </c>
      <c r="C656" s="177" t="n">
        <v>46301.41666666666</v>
      </c>
      <c r="D656" s="51" t="n">
        <v>0.09060185185185185</v>
      </c>
      <c r="E656" s="13" t="n">
        <v>528000274</v>
      </c>
      <c r="F656" s="13" t="inlineStr">
        <is>
          <t>Zepri</t>
        </is>
      </c>
      <c r="G656" s="13" t="inlineStr">
        <is>
          <t>Produksi</t>
        </is>
      </c>
    </row>
    <row r="657">
      <c r="A657" s="27" t="inlineStr">
        <is>
          <t>MK00112</t>
        </is>
      </c>
      <c r="B657" s="13" t="inlineStr">
        <is>
          <t>OUT</t>
        </is>
      </c>
      <c r="C657" s="177" t="n">
        <v>46301.41666666666</v>
      </c>
      <c r="D657" s="51" t="n">
        <v>0.09782407407407408</v>
      </c>
      <c r="E657" s="13" t="n">
        <v>528000090</v>
      </c>
      <c r="F657" s="13" t="inlineStr">
        <is>
          <t>Suganda</t>
        </is>
      </c>
      <c r="G657" s="13" t="inlineStr">
        <is>
          <t>Produksi</t>
        </is>
      </c>
    </row>
    <row r="658">
      <c r="A658" s="27" t="inlineStr">
        <is>
          <t>MK00202</t>
        </is>
      </c>
      <c r="B658" s="13" t="inlineStr">
        <is>
          <t>OUT</t>
        </is>
      </c>
      <c r="C658" s="177" t="n">
        <v>46301.41666666666</v>
      </c>
      <c r="D658" s="51" t="n">
        <v>0.09829861111111111</v>
      </c>
      <c r="E658" s="13" t="n">
        <v>528000212</v>
      </c>
      <c r="F658" s="13" t="inlineStr">
        <is>
          <t>Rizal Fauzi</t>
        </is>
      </c>
      <c r="G658" s="13" t="inlineStr">
        <is>
          <t>Produksi</t>
        </is>
      </c>
    </row>
    <row r="659">
      <c r="A659" s="27" t="inlineStr">
        <is>
          <t>MK00138</t>
        </is>
      </c>
      <c r="B659" s="13" t="inlineStr">
        <is>
          <t>IN</t>
        </is>
      </c>
      <c r="C659" s="177" t="n">
        <v>46301.41666666666</v>
      </c>
      <c r="D659" s="51" t="n">
        <v>0.1019444444444444</v>
      </c>
      <c r="E659" s="13" t="n">
        <v>528000241</v>
      </c>
      <c r="F659" s="13" t="inlineStr">
        <is>
          <t>Balia Nurafif Bilah</t>
        </is>
      </c>
      <c r="G659" s="13" t="inlineStr">
        <is>
          <t>Produksi</t>
        </is>
      </c>
    </row>
    <row r="660">
      <c r="A660" s="27" t="inlineStr">
        <is>
          <t>MK00249</t>
        </is>
      </c>
      <c r="B660" s="13" t="inlineStr">
        <is>
          <t>IN</t>
        </is>
      </c>
      <c r="C660" s="177" t="n">
        <v>46301.41666666666</v>
      </c>
      <c r="D660" s="51" t="n">
        <v>0.1067939814814815</v>
      </c>
      <c r="E660" s="13" t="n">
        <v>528000290</v>
      </c>
      <c r="F660" s="13" t="inlineStr">
        <is>
          <t>Eval Pranata</t>
        </is>
      </c>
      <c r="G660" s="13" t="inlineStr">
        <is>
          <t>Produksi</t>
        </is>
      </c>
    </row>
    <row r="661">
      <c r="A661" s="27" t="inlineStr">
        <is>
          <t>MK00116</t>
        </is>
      </c>
      <c r="B661" s="13" t="inlineStr">
        <is>
          <t>IN</t>
        </is>
      </c>
      <c r="C661" s="177" t="n">
        <v>46301.41666666666</v>
      </c>
      <c r="D661" s="51" t="n">
        <v>0.1117592592592593</v>
      </c>
      <c r="E661" s="13" t="n">
        <v>528000274</v>
      </c>
      <c r="F661" s="13" t="inlineStr">
        <is>
          <t>Zepri</t>
        </is>
      </c>
      <c r="G661" s="13" t="inlineStr">
        <is>
          <t>Produksi</t>
        </is>
      </c>
    </row>
    <row r="662">
      <c r="A662" s="27" t="inlineStr">
        <is>
          <t>MK0090</t>
        </is>
      </c>
      <c r="B662" s="13" t="inlineStr">
        <is>
          <t>OUT</t>
        </is>
      </c>
      <c r="C662" s="177" t="n">
        <v>46301.41666666666</v>
      </c>
      <c r="D662" s="51" t="n">
        <v>0.1264583333333333</v>
      </c>
      <c r="E662" s="13" t="n">
        <v>528000099</v>
      </c>
      <c r="F662" s="13" t="inlineStr">
        <is>
          <t>Siti Nurawaliah</t>
        </is>
      </c>
      <c r="G662" s="13" t="inlineStr">
        <is>
          <t>Produksi</t>
        </is>
      </c>
    </row>
    <row r="663">
      <c r="A663" s="27" t="inlineStr">
        <is>
          <t>MK00145</t>
        </is>
      </c>
      <c r="B663" s="13" t="inlineStr">
        <is>
          <t>OUT</t>
        </is>
      </c>
      <c r="C663" s="177" t="n">
        <v>46301.41666666666</v>
      </c>
      <c r="D663" s="51" t="n">
        <v>0.1268171296296296</v>
      </c>
      <c r="E663" s="13" t="n">
        <v>528000286</v>
      </c>
      <c r="F663" s="13" t="inlineStr">
        <is>
          <t>Imelda Amelia</t>
        </is>
      </c>
      <c r="G663" s="13" t="inlineStr">
        <is>
          <t>Produksi</t>
        </is>
      </c>
    </row>
    <row r="664">
      <c r="A664" s="27" t="inlineStr">
        <is>
          <t>MK00112</t>
        </is>
      </c>
      <c r="B664" s="13" t="inlineStr">
        <is>
          <t>IN</t>
        </is>
      </c>
      <c r="C664" s="177" t="n">
        <v>46301.41666666666</v>
      </c>
      <c r="D664" s="51" t="n">
        <v>0.1278472222222222</v>
      </c>
      <c r="E664" s="13" t="n">
        <v>528000090</v>
      </c>
      <c r="F664" s="13" t="inlineStr">
        <is>
          <t>Suganda</t>
        </is>
      </c>
      <c r="G664" s="13" t="inlineStr">
        <is>
          <t>Produksi</t>
        </is>
      </c>
    </row>
    <row r="665">
      <c r="A665" s="27" t="inlineStr">
        <is>
          <t>MK00202</t>
        </is>
      </c>
      <c r="B665" s="13" t="inlineStr">
        <is>
          <t>IN</t>
        </is>
      </c>
      <c r="C665" s="177" t="n">
        <v>46301.41666666666</v>
      </c>
      <c r="D665" s="51" t="n">
        <v>0.1280092592592593</v>
      </c>
      <c r="E665" s="13" t="n">
        <v>528000212</v>
      </c>
      <c r="F665" s="13" t="inlineStr">
        <is>
          <t>Rizal Fauzi</t>
        </is>
      </c>
      <c r="G665" s="13" t="inlineStr">
        <is>
          <t>Produksi</t>
        </is>
      </c>
    </row>
    <row r="666">
      <c r="A666" s="27" t="inlineStr">
        <is>
          <t>MK00154</t>
        </is>
      </c>
      <c r="B666" s="13" t="inlineStr">
        <is>
          <t>OUT</t>
        </is>
      </c>
      <c r="C666" s="177" t="n">
        <v>46301.41666666666</v>
      </c>
      <c r="D666" s="51" t="n">
        <v>0.1363541666666667</v>
      </c>
      <c r="E666" s="13" t="n">
        <v>528000201</v>
      </c>
      <c r="F666" s="13" t="inlineStr">
        <is>
          <t>Zahwa Amelia Choerunissa</t>
        </is>
      </c>
      <c r="G666" s="13" t="inlineStr">
        <is>
          <t>Produksi</t>
        </is>
      </c>
    </row>
    <row r="667">
      <c r="A667" s="27" t="inlineStr">
        <is>
          <t>MK00145</t>
        </is>
      </c>
      <c r="B667" s="13" t="inlineStr">
        <is>
          <t>IN</t>
        </is>
      </c>
      <c r="C667" s="177" t="n">
        <v>46301.41666666666</v>
      </c>
      <c r="D667" s="51" t="n">
        <v>0.1478009259259259</v>
      </c>
      <c r="E667" s="13" t="n">
        <v>528000286</v>
      </c>
      <c r="F667" s="13" t="inlineStr">
        <is>
          <t>Imelda Amelia</t>
        </is>
      </c>
      <c r="G667" s="13" t="inlineStr">
        <is>
          <t>Produksi</t>
        </is>
      </c>
    </row>
    <row r="668">
      <c r="A668" s="27" t="inlineStr">
        <is>
          <t>MK0090</t>
        </is>
      </c>
      <c r="B668" s="13" t="inlineStr">
        <is>
          <t>IN</t>
        </is>
      </c>
      <c r="C668" s="177" t="n">
        <v>46301.41666666666</v>
      </c>
      <c r="D668" s="51" t="n">
        <v>0.1482291666666667</v>
      </c>
      <c r="E668" s="13" t="n">
        <v>528000099</v>
      </c>
      <c r="F668" s="13" t="inlineStr">
        <is>
          <t>Siti Nurawaliah</t>
        </is>
      </c>
      <c r="G668" s="13" t="inlineStr">
        <is>
          <t>Produksi</t>
        </is>
      </c>
    </row>
    <row r="669">
      <c r="A669" s="27" t="inlineStr">
        <is>
          <t>MK00154</t>
        </is>
      </c>
      <c r="B669" s="13" t="inlineStr">
        <is>
          <t>IN</t>
        </is>
      </c>
      <c r="C669" s="177" t="n">
        <v>46301.41666666666</v>
      </c>
      <c r="D669" s="51" t="n">
        <v>0.1567708333333333</v>
      </c>
      <c r="E669" s="13" t="n">
        <v>528000201</v>
      </c>
      <c r="F669" s="13" t="inlineStr">
        <is>
          <t>Zahwa Amelia Choerunissa</t>
        </is>
      </c>
      <c r="G669" s="13" t="inlineStr">
        <is>
          <t>Produksi</t>
        </is>
      </c>
    </row>
    <row r="670">
      <c r="A670" s="27" t="inlineStr">
        <is>
          <t>MK00250</t>
        </is>
      </c>
      <c r="B670" s="13" t="inlineStr">
        <is>
          <t>OUT</t>
        </is>
      </c>
      <c r="C670" s="177" t="n">
        <v>46301.41666666666</v>
      </c>
      <c r="D670" s="51" t="n">
        <v>0.1637037037037037</v>
      </c>
      <c r="E670" s="13" t="n">
        <v>528000244</v>
      </c>
      <c r="F670" s="13" t="inlineStr">
        <is>
          <t>Rodian Rifai</t>
        </is>
      </c>
      <c r="G670" s="13" t="inlineStr">
        <is>
          <t>Produksi</t>
        </is>
      </c>
    </row>
    <row r="671">
      <c r="A671" s="27" t="inlineStr">
        <is>
          <t>MK00185</t>
        </is>
      </c>
      <c r="B671" s="13" t="inlineStr">
        <is>
          <t>OUT</t>
        </is>
      </c>
      <c r="C671" s="177" t="n">
        <v>46301.41666666666</v>
      </c>
      <c r="D671" s="51" t="n">
        <v>0.1671412037037037</v>
      </c>
      <c r="E671" s="13" t="n">
        <v>528000289</v>
      </c>
      <c r="F671" s="13" t="inlineStr">
        <is>
          <t>Adit Supriyadi</t>
        </is>
      </c>
      <c r="G671" s="13" t="inlineStr">
        <is>
          <t>Produksi</t>
        </is>
      </c>
    </row>
    <row r="672">
      <c r="A672" s="27" t="inlineStr">
        <is>
          <t>MK00250</t>
        </is>
      </c>
      <c r="B672" s="13" t="inlineStr">
        <is>
          <t>IN</t>
        </is>
      </c>
      <c r="C672" s="177" t="n">
        <v>46301.41666666666</v>
      </c>
      <c r="D672" s="51" t="n">
        <v>0.1865972222222222</v>
      </c>
      <c r="E672" s="13" t="n">
        <v>528000244</v>
      </c>
      <c r="F672" s="13" t="inlineStr">
        <is>
          <t>Rodian Rifai</t>
        </is>
      </c>
      <c r="G672" s="13" t="inlineStr">
        <is>
          <t>Produksi</t>
        </is>
      </c>
    </row>
    <row r="673">
      <c r="A673" s="27" t="inlineStr">
        <is>
          <t>MK00235</t>
        </is>
      </c>
      <c r="B673" s="13" t="inlineStr">
        <is>
          <t>OUT</t>
        </is>
      </c>
      <c r="C673" s="177" t="n">
        <v>46301.41666666666</v>
      </c>
      <c r="D673" s="51" t="n">
        <v>0.4935416666666667</v>
      </c>
      <c r="E673" s="13" t="n">
        <v>528000318</v>
      </c>
      <c r="F673" s="13" t="inlineStr">
        <is>
          <t>Bayu Padli Sepriyana</t>
        </is>
      </c>
      <c r="G673" s="13" t="inlineStr">
        <is>
          <t>Produksi</t>
        </is>
      </c>
      <c r="H673" s="13" t="inlineStr">
        <is>
          <t>Istirahat</t>
        </is>
      </c>
    </row>
    <row r="674">
      <c r="A674" s="27" t="inlineStr">
        <is>
          <t>MK00093</t>
        </is>
      </c>
      <c r="B674" s="13" t="inlineStr">
        <is>
          <t>OUT</t>
        </is>
      </c>
      <c r="C674" s="177" t="n">
        <v>46301.41666666666</v>
      </c>
      <c r="D674" s="51" t="n">
        <v>0.4937731481481482</v>
      </c>
      <c r="E674" s="13" t="n">
        <v>528000298</v>
      </c>
      <c r="F674" s="13" t="inlineStr">
        <is>
          <t>Desta Cahaya Pratama</t>
        </is>
      </c>
      <c r="G674" s="13" t="inlineStr">
        <is>
          <t>Produksi</t>
        </is>
      </c>
      <c r="H674" s="13" t="inlineStr">
        <is>
          <t>Istirahat</t>
        </is>
      </c>
    </row>
    <row r="675">
      <c r="A675" s="27" t="inlineStr">
        <is>
          <t>MK00150</t>
        </is>
      </c>
      <c r="B675" s="13" t="inlineStr">
        <is>
          <t>OUT</t>
        </is>
      </c>
      <c r="C675" s="177" t="n">
        <v>46301.41666666666</v>
      </c>
      <c r="D675" s="51" t="n">
        <v>0.4939583333333333</v>
      </c>
      <c r="E675" s="13" t="n">
        <v>528000305</v>
      </c>
      <c r="F675" s="13" t="inlineStr">
        <is>
          <t>Puji Puspita</t>
        </is>
      </c>
      <c r="G675" s="13" t="inlineStr">
        <is>
          <t>Produksi</t>
        </is>
      </c>
      <c r="H675" s="13" t="inlineStr">
        <is>
          <t>Istirahat</t>
        </is>
      </c>
    </row>
    <row r="676">
      <c r="A676" s="27" t="inlineStr">
        <is>
          <t>MK00181</t>
        </is>
      </c>
      <c r="B676" s="13" t="inlineStr">
        <is>
          <t>OUT</t>
        </is>
      </c>
      <c r="C676" s="177" t="n">
        <v>46301.41666666666</v>
      </c>
      <c r="D676" s="51" t="n">
        <v>0.4941782407407407</v>
      </c>
      <c r="E676" s="13" t="n">
        <v>528000299</v>
      </c>
      <c r="F676" s="13" t="inlineStr">
        <is>
          <t>Siti Nurjanah</t>
        </is>
      </c>
      <c r="G676" s="13" t="inlineStr">
        <is>
          <t>Produksi</t>
        </is>
      </c>
      <c r="H676" s="13" t="inlineStr">
        <is>
          <t>Istirahat</t>
        </is>
      </c>
    </row>
    <row r="677">
      <c r="A677" s="27" t="inlineStr">
        <is>
          <t>MK00192</t>
        </is>
      </c>
      <c r="B677" s="13" t="inlineStr">
        <is>
          <t>OUT</t>
        </is>
      </c>
      <c r="C677" s="177" t="n">
        <v>46301.41666666666</v>
      </c>
      <c r="D677" s="51" t="n">
        <v>0.4943402777777778</v>
      </c>
      <c r="E677" s="13" t="n">
        <v>528000288</v>
      </c>
      <c r="F677" s="13" t="inlineStr">
        <is>
          <t>Dede gunawan</t>
        </is>
      </c>
      <c r="G677" s="13" t="inlineStr">
        <is>
          <t>Produksi</t>
        </is>
      </c>
      <c r="H677" s="13" t="inlineStr">
        <is>
          <t>Istirahat</t>
        </is>
      </c>
    </row>
    <row r="678">
      <c r="A678" s="27" t="inlineStr">
        <is>
          <t>MK00202</t>
        </is>
      </c>
      <c r="B678" s="13" t="inlineStr">
        <is>
          <t>OUT</t>
        </is>
      </c>
      <c r="C678" s="177" t="n">
        <v>46301.41666666666</v>
      </c>
      <c r="D678" s="51" t="n">
        <v>0.4945833333333333</v>
      </c>
      <c r="E678" s="13" t="n">
        <v>528000212</v>
      </c>
      <c r="F678" s="13" t="inlineStr">
        <is>
          <t>Rizal Fauzi</t>
        </is>
      </c>
      <c r="G678" s="13" t="inlineStr">
        <is>
          <t>Produksi</t>
        </is>
      </c>
      <c r="H678" s="13" t="inlineStr">
        <is>
          <t>Istirahat</t>
        </is>
      </c>
    </row>
    <row r="679">
      <c r="A679" s="27" t="inlineStr">
        <is>
          <t>MK00203</t>
        </is>
      </c>
      <c r="B679" s="13" t="inlineStr">
        <is>
          <t>OUT</t>
        </is>
      </c>
      <c r="C679" s="177" t="n">
        <v>46301.41666666666</v>
      </c>
      <c r="D679" s="51" t="n">
        <v>0.4947453703703704</v>
      </c>
      <c r="E679" s="13" t="n">
        <v>528000361</v>
      </c>
      <c r="F679" s="13" t="inlineStr">
        <is>
          <t>Denada Munggarani</t>
        </is>
      </c>
      <c r="G679" s="13" t="inlineStr">
        <is>
          <t>Produksi</t>
        </is>
      </c>
      <c r="H679" s="13" t="inlineStr">
        <is>
          <t>Istirahat</t>
        </is>
      </c>
    </row>
    <row r="680">
      <c r="A680" s="27" t="inlineStr">
        <is>
          <t>MK00121</t>
        </is>
      </c>
      <c r="B680" s="13" t="inlineStr">
        <is>
          <t>OUT</t>
        </is>
      </c>
      <c r="C680" s="177" t="n">
        <v>46301.41666666666</v>
      </c>
      <c r="D680" s="51" t="n">
        <v>0.4950810185185185</v>
      </c>
      <c r="E680" s="13" t="n">
        <v>628000091</v>
      </c>
      <c r="F680" s="13" t="inlineStr">
        <is>
          <t>Devita Handayani</t>
        </is>
      </c>
      <c r="G680" s="13" t="inlineStr">
        <is>
          <t>Produksi</t>
        </is>
      </c>
      <c r="H680" s="13" t="inlineStr">
        <is>
          <t>Istirahat</t>
        </is>
      </c>
    </row>
    <row r="681">
      <c r="A681" s="27" t="inlineStr">
        <is>
          <t>MK00148</t>
        </is>
      </c>
      <c r="B681" s="13" t="inlineStr">
        <is>
          <t>OUT</t>
        </is>
      </c>
      <c r="C681" s="177" t="n">
        <v>46301.41666666666</v>
      </c>
      <c r="D681" s="51" t="n">
        <v>0.4952430555555555</v>
      </c>
      <c r="E681" s="13" t="n">
        <v>528000270</v>
      </c>
      <c r="F681" s="13" t="inlineStr">
        <is>
          <t>Febri Najmudin</t>
        </is>
      </c>
      <c r="G681" s="13" t="inlineStr">
        <is>
          <t>Produksi</t>
        </is>
      </c>
      <c r="H681" s="13" t="inlineStr">
        <is>
          <t>Istirahat</t>
        </is>
      </c>
    </row>
    <row r="682">
      <c r="A682" s="27" t="inlineStr">
        <is>
          <t>MK00160</t>
        </is>
      </c>
      <c r="B682" s="13" t="inlineStr">
        <is>
          <t>OUT</t>
        </is>
      </c>
      <c r="C682" s="177" t="n">
        <v>46301.41666666666</v>
      </c>
      <c r="D682" s="51" t="n">
        <v>0.4953935185185185</v>
      </c>
      <c r="E682" s="13" t="n">
        <v>528000309</v>
      </c>
      <c r="F682" s="13" t="inlineStr">
        <is>
          <t>Ilham Ramadhan</t>
        </is>
      </c>
      <c r="G682" s="13" t="inlineStr">
        <is>
          <t>Produksi</t>
        </is>
      </c>
      <c r="H682" s="13" t="inlineStr">
        <is>
          <t>Istirahat</t>
        </is>
      </c>
    </row>
    <row r="683">
      <c r="A683" s="27" t="inlineStr">
        <is>
          <t>MK00158</t>
        </is>
      </c>
      <c r="B683" s="13" t="inlineStr">
        <is>
          <t>OUT</t>
        </is>
      </c>
      <c r="C683" s="177" t="n">
        <v>46301.41666666666</v>
      </c>
      <c r="D683" s="51" t="n">
        <v>0.4955555555555556</v>
      </c>
      <c r="E683" s="13" t="n">
        <v>528000340</v>
      </c>
      <c r="F683" s="13" t="inlineStr">
        <is>
          <t>Muhammad Wildan Adithya</t>
        </is>
      </c>
      <c r="G683" s="13" t="inlineStr">
        <is>
          <t>Produksi</t>
        </is>
      </c>
      <c r="H683" s="13" t="inlineStr">
        <is>
          <t>Istirahat</t>
        </is>
      </c>
    </row>
    <row r="684">
      <c r="A684" s="27" t="inlineStr">
        <is>
          <t>MK00134</t>
        </is>
      </c>
      <c r="B684" s="13" t="inlineStr">
        <is>
          <t>OUT</t>
        </is>
      </c>
      <c r="C684" s="177" t="n">
        <v>46301.41666666666</v>
      </c>
      <c r="D684" s="51" t="n">
        <v>0.4957060185185185</v>
      </c>
      <c r="E684" s="13" t="n">
        <v>528000313</v>
      </c>
      <c r="F684" s="13" t="inlineStr">
        <is>
          <t>Muhamad Rifki</t>
        </is>
      </c>
      <c r="G684" s="13" t="inlineStr">
        <is>
          <t>Produksi</t>
        </is>
      </c>
      <c r="H684" s="13" t="inlineStr">
        <is>
          <t>Istirahat</t>
        </is>
      </c>
    </row>
    <row r="685">
      <c r="A685" s="27" t="inlineStr">
        <is>
          <t>MK00181</t>
        </is>
      </c>
      <c r="B685" s="13" t="inlineStr">
        <is>
          <t>IN</t>
        </is>
      </c>
      <c r="C685" s="177" t="n">
        <v>46301.41666666666</v>
      </c>
      <c r="D685" s="51" t="n">
        <v>0.5117361111111111</v>
      </c>
      <c r="E685" s="13" t="n">
        <v>528000299</v>
      </c>
      <c r="F685" s="13" t="inlineStr">
        <is>
          <t>Siti Nurjanah</t>
        </is>
      </c>
      <c r="G685" s="13" t="inlineStr">
        <is>
          <t>Produksi</t>
        </is>
      </c>
      <c r="H685" s="13" t="inlineStr">
        <is>
          <t>Istirahat</t>
        </is>
      </c>
    </row>
    <row r="686">
      <c r="A686" s="27" t="inlineStr">
        <is>
          <t>MK00150</t>
        </is>
      </c>
      <c r="B686" s="13" t="inlineStr">
        <is>
          <t>IN</t>
        </is>
      </c>
      <c r="C686" s="177" t="n">
        <v>46301.41666666666</v>
      </c>
      <c r="D686" s="51" t="n">
        <v>0.5119212962962963</v>
      </c>
      <c r="E686" s="13" t="n">
        <v>528000305</v>
      </c>
      <c r="F686" s="13" t="inlineStr">
        <is>
          <t>Puji Puspita</t>
        </is>
      </c>
      <c r="G686" s="13" t="inlineStr">
        <is>
          <t>Produksi</t>
        </is>
      </c>
      <c r="H686" s="13" t="inlineStr">
        <is>
          <t>Istirahat</t>
        </is>
      </c>
    </row>
    <row r="687">
      <c r="A687" s="27" t="inlineStr">
        <is>
          <t>MK00121</t>
        </is>
      </c>
      <c r="B687" s="13" t="inlineStr">
        <is>
          <t>IN</t>
        </is>
      </c>
      <c r="C687" s="177" t="n">
        <v>46301.41666666666</v>
      </c>
      <c r="D687" s="51" t="n">
        <v>0.5122337962962963</v>
      </c>
      <c r="E687" s="13" t="n">
        <v>628000091</v>
      </c>
      <c r="F687" s="13" t="inlineStr">
        <is>
          <t>Devita Handayani</t>
        </is>
      </c>
      <c r="G687" s="13" t="inlineStr">
        <is>
          <t>Produksi</t>
        </is>
      </c>
      <c r="H687" s="13" t="inlineStr">
        <is>
          <t>Istirahat</t>
        </is>
      </c>
    </row>
    <row r="688">
      <c r="A688" s="27" t="inlineStr">
        <is>
          <t>MK00203</t>
        </is>
      </c>
      <c r="B688" s="13" t="inlineStr">
        <is>
          <t>IN</t>
        </is>
      </c>
      <c r="C688" s="177" t="n">
        <v>46301.41666666666</v>
      </c>
      <c r="D688" s="51" t="n">
        <v>0.5123726851851852</v>
      </c>
      <c r="E688" s="13" t="n">
        <v>528000361</v>
      </c>
      <c r="F688" s="13" t="inlineStr">
        <is>
          <t>Denada Munggarani</t>
        </is>
      </c>
      <c r="G688" s="13" t="inlineStr">
        <is>
          <t>Produksi</t>
        </is>
      </c>
      <c r="H688" s="13" t="inlineStr">
        <is>
          <t>Istirahat</t>
        </is>
      </c>
    </row>
    <row r="689">
      <c r="A689" s="27" t="inlineStr">
        <is>
          <t>MK00148</t>
        </is>
      </c>
      <c r="B689" s="13" t="inlineStr">
        <is>
          <t>IN</t>
        </is>
      </c>
      <c r="C689" s="177" t="n">
        <v>46301.41666666666</v>
      </c>
      <c r="D689" s="51" t="n">
        <v>0.5341898148148149</v>
      </c>
      <c r="E689" s="13" t="n">
        <v>528000270</v>
      </c>
      <c r="F689" s="13" t="inlineStr">
        <is>
          <t>Febri Najmudin</t>
        </is>
      </c>
      <c r="G689" s="13" t="inlineStr">
        <is>
          <t>Produksi</t>
        </is>
      </c>
      <c r="H689" s="13" t="inlineStr">
        <is>
          <t>Istirahat</t>
        </is>
      </c>
    </row>
    <row r="690">
      <c r="A690" s="27" t="inlineStr">
        <is>
          <t>MK00093</t>
        </is>
      </c>
      <c r="B690" s="13" t="inlineStr">
        <is>
          <t>IN</t>
        </is>
      </c>
      <c r="C690" s="177" t="n">
        <v>46301.41666666666</v>
      </c>
      <c r="D690" s="51" t="n">
        <v>0.5347453703703704</v>
      </c>
      <c r="E690" s="13" t="n">
        <v>528000298</v>
      </c>
      <c r="F690" s="13" t="inlineStr">
        <is>
          <t>Desta Cahaya Pratama</t>
        </is>
      </c>
      <c r="G690" s="13" t="inlineStr">
        <is>
          <t>Produksi</t>
        </is>
      </c>
      <c r="H690" s="13" t="inlineStr">
        <is>
          <t>Istirahat</t>
        </is>
      </c>
    </row>
    <row r="691">
      <c r="A691" s="27" t="inlineStr">
        <is>
          <t>MK00158</t>
        </is>
      </c>
      <c r="B691" s="13" t="inlineStr">
        <is>
          <t>IN</t>
        </is>
      </c>
      <c r="C691" s="177" t="n">
        <v>46301.41666666666</v>
      </c>
      <c r="D691" s="51" t="n">
        <v>0.5354282407407407</v>
      </c>
      <c r="E691" s="13" t="n">
        <v>528000340</v>
      </c>
      <c r="F691" s="13" t="inlineStr">
        <is>
          <t>Muhammad Wildan Adithya</t>
        </is>
      </c>
      <c r="G691" s="13" t="inlineStr">
        <is>
          <t>Produksi</t>
        </is>
      </c>
      <c r="H691" s="13" t="inlineStr">
        <is>
          <t>Istirahat</t>
        </is>
      </c>
    </row>
    <row r="692">
      <c r="A692" s="27" t="inlineStr">
        <is>
          <t>MK00235</t>
        </is>
      </c>
      <c r="B692" s="13" t="inlineStr">
        <is>
          <t>IN</t>
        </is>
      </c>
      <c r="C692" s="177" t="n">
        <v>46301.41666666666</v>
      </c>
      <c r="D692" s="51" t="n">
        <v>0.5357638888888889</v>
      </c>
      <c r="E692" s="13" t="n">
        <v>528000318</v>
      </c>
      <c r="F692" s="13" t="inlineStr">
        <is>
          <t>Bayu Padli Sepriyana</t>
        </is>
      </c>
      <c r="G692" s="13" t="inlineStr">
        <is>
          <t>Produksi</t>
        </is>
      </c>
      <c r="H692" s="13" t="inlineStr">
        <is>
          <t>Istirahat</t>
        </is>
      </c>
    </row>
    <row r="693">
      <c r="A693" s="27" t="inlineStr">
        <is>
          <t>MK00134</t>
        </is>
      </c>
      <c r="B693" s="13" t="inlineStr">
        <is>
          <t>IN</t>
        </is>
      </c>
      <c r="C693" s="177" t="n">
        <v>46301.41666666666</v>
      </c>
      <c r="D693" s="51" t="n">
        <v>0.5359953703703704</v>
      </c>
      <c r="E693" s="13" t="n">
        <v>528000313</v>
      </c>
      <c r="F693" s="13" t="inlineStr">
        <is>
          <t>Muhamad Rifki</t>
        </is>
      </c>
      <c r="G693" s="13" t="inlineStr">
        <is>
          <t>Produksi</t>
        </is>
      </c>
      <c r="H693" s="13" t="inlineStr">
        <is>
          <t>Istirahat</t>
        </is>
      </c>
    </row>
    <row r="694">
      <c r="A694" s="27" t="inlineStr">
        <is>
          <t>MK00160</t>
        </is>
      </c>
      <c r="B694" s="13" t="inlineStr">
        <is>
          <t>IN</t>
        </is>
      </c>
      <c r="C694" s="177" t="n">
        <v>46301.41666666666</v>
      </c>
      <c r="D694" s="51" t="n">
        <v>0.5361226851851851</v>
      </c>
      <c r="E694" s="13" t="n">
        <v>528000309</v>
      </c>
      <c r="F694" s="13" t="inlineStr">
        <is>
          <t>Ilham Ramadhan</t>
        </is>
      </c>
      <c r="G694" s="13" t="inlineStr">
        <is>
          <t>Produksi</t>
        </is>
      </c>
      <c r="H694" s="13" t="inlineStr">
        <is>
          <t>Istirahat</t>
        </is>
      </c>
    </row>
    <row r="695">
      <c r="A695" s="27" t="inlineStr">
        <is>
          <t>MK00202</t>
        </is>
      </c>
      <c r="B695" s="13" t="inlineStr">
        <is>
          <t>IN</t>
        </is>
      </c>
      <c r="C695" s="177" t="n">
        <v>46301.41666666666</v>
      </c>
      <c r="D695" s="51" t="n">
        <v>0.5362962962962963</v>
      </c>
      <c r="E695" s="13" t="n">
        <v>528000212</v>
      </c>
      <c r="F695" s="13" t="inlineStr">
        <is>
          <t>Rizal Fauzi</t>
        </is>
      </c>
      <c r="G695" s="13" t="inlineStr">
        <is>
          <t>Produksi</t>
        </is>
      </c>
      <c r="H695" s="13" t="inlineStr">
        <is>
          <t>Istirahat</t>
        </is>
      </c>
    </row>
    <row r="696">
      <c r="A696" s="27" t="inlineStr">
        <is>
          <t>MK00085</t>
        </is>
      </c>
      <c r="B696" s="13" t="inlineStr">
        <is>
          <t>OUT</t>
        </is>
      </c>
      <c r="C696" s="177" t="n">
        <v>46301.41666666666</v>
      </c>
      <c r="D696" s="51" t="n">
        <v>0.7098611111111112</v>
      </c>
      <c r="E696" s="13" t="n">
        <v>528000324</v>
      </c>
      <c r="F696" s="13" t="inlineStr">
        <is>
          <t>Sri Yanti</t>
        </is>
      </c>
      <c r="G696" s="13" t="inlineStr">
        <is>
          <t>Produksi</t>
        </is>
      </c>
      <c r="H696" s="13" t="inlineStr">
        <is>
          <t>Istirahat</t>
        </is>
      </c>
    </row>
    <row r="697">
      <c r="A697" s="27" t="inlineStr">
        <is>
          <t>MK00085</t>
        </is>
      </c>
      <c r="B697" s="13" t="inlineStr">
        <is>
          <t>OUT</t>
        </is>
      </c>
      <c r="C697" s="177" t="n">
        <v>46301.41666666666</v>
      </c>
      <c r="D697" s="51" t="n">
        <v>0.7378819444444444</v>
      </c>
      <c r="E697" s="13" t="n">
        <v>528000324</v>
      </c>
      <c r="F697" s="13" t="inlineStr">
        <is>
          <t>Sri Yanti</t>
        </is>
      </c>
      <c r="G697" s="13" t="inlineStr">
        <is>
          <t>Produksi</t>
        </is>
      </c>
    </row>
    <row r="698">
      <c r="A698" s="27" t="inlineStr">
        <is>
          <t>MK00109</t>
        </is>
      </c>
      <c r="B698" s="13" t="inlineStr">
        <is>
          <t>OUT</t>
        </is>
      </c>
      <c r="C698" s="177" t="n">
        <v>46301.41666666666</v>
      </c>
      <c r="D698" s="51" t="n">
        <v>0.7382638888888889</v>
      </c>
      <c r="E698" s="13" t="n">
        <v>528000300</v>
      </c>
      <c r="F698" s="13" t="inlineStr">
        <is>
          <t>Lia pitaloka</t>
        </is>
      </c>
      <c r="G698" s="13" t="inlineStr">
        <is>
          <t>Produksi</t>
        </is>
      </c>
      <c r="H698" s="13" t="inlineStr">
        <is>
          <t>Istirahat</t>
        </is>
      </c>
    </row>
    <row r="699">
      <c r="A699" s="27" t="inlineStr">
        <is>
          <t>MK00143</t>
        </is>
      </c>
      <c r="B699" s="13" t="inlineStr">
        <is>
          <t>OUT</t>
        </is>
      </c>
      <c r="C699" s="177" t="n">
        <v>46301.41666666666</v>
      </c>
      <c r="D699" s="51" t="n">
        <v>0.7384490740740741</v>
      </c>
      <c r="E699" s="13" t="n">
        <v>528000329</v>
      </c>
      <c r="F699" s="13" t="inlineStr">
        <is>
          <t>Havid Ilham Firdaus</t>
        </is>
      </c>
      <c r="G699" s="13" t="inlineStr">
        <is>
          <t>Produksi</t>
        </is>
      </c>
      <c r="H699" s="13" t="inlineStr">
        <is>
          <t>Istirahat</t>
        </is>
      </c>
    </row>
    <row r="700">
      <c r="A700" s="27" t="inlineStr">
        <is>
          <t>MK00095</t>
        </is>
      </c>
      <c r="B700" s="13" t="inlineStr">
        <is>
          <t>OUT</t>
        </is>
      </c>
      <c r="C700" s="177" t="n">
        <v>46301.41666666666</v>
      </c>
      <c r="D700" s="51" t="n">
        <v>0.7393981481481482</v>
      </c>
      <c r="E700" s="13" t="n">
        <v>528000288</v>
      </c>
      <c r="F700" s="13" t="inlineStr">
        <is>
          <t>Dede gunawan</t>
        </is>
      </c>
      <c r="G700" s="13" t="inlineStr">
        <is>
          <t>Produksi</t>
        </is>
      </c>
      <c r="H700" s="13" t="inlineStr">
        <is>
          <t>Istirahat</t>
        </is>
      </c>
    </row>
    <row r="701">
      <c r="A701" s="27" t="inlineStr">
        <is>
          <t>MK00143</t>
        </is>
      </c>
      <c r="B701" s="13" t="inlineStr">
        <is>
          <t>OUT</t>
        </is>
      </c>
      <c r="C701" s="177" t="n">
        <v>46301.41666666666</v>
      </c>
      <c r="D701" s="51" t="n">
        <v>0.7566319444444445</v>
      </c>
      <c r="E701" s="13" t="n">
        <v>528000329</v>
      </c>
      <c r="F701" s="13" t="inlineStr">
        <is>
          <t>Havid Ilham Firdaus</t>
        </is>
      </c>
      <c r="G701" s="13" t="inlineStr">
        <is>
          <t>Produksi</t>
        </is>
      </c>
      <c r="H701" s="13" t="inlineStr">
        <is>
          <t>Istirahat</t>
        </is>
      </c>
    </row>
    <row r="702">
      <c r="A702" s="27" t="inlineStr">
        <is>
          <t>MK00095</t>
        </is>
      </c>
      <c r="B702" s="13" t="inlineStr">
        <is>
          <t>OUT</t>
        </is>
      </c>
      <c r="C702" s="177" t="n">
        <v>46301.41666666666</v>
      </c>
      <c r="D702" s="51" t="n">
        <v>0.7569328703703704</v>
      </c>
      <c r="E702" s="13" t="n">
        <v>528000288</v>
      </c>
      <c r="F702" s="13" t="inlineStr">
        <is>
          <t>Dede gunawan</t>
        </is>
      </c>
      <c r="G702" s="13" t="inlineStr">
        <is>
          <t>Produksi</t>
        </is>
      </c>
      <c r="H702" s="13" t="inlineStr">
        <is>
          <t>Istirahat</t>
        </is>
      </c>
    </row>
    <row r="703">
      <c r="A703" s="27" t="inlineStr">
        <is>
          <t>MK00160</t>
        </is>
      </c>
      <c r="B703" s="13" t="inlineStr">
        <is>
          <t>OUT</t>
        </is>
      </c>
      <c r="C703" s="177" t="n">
        <v>46301.41666666666</v>
      </c>
      <c r="D703" s="51" t="n">
        <v>0.7575578703703704</v>
      </c>
      <c r="E703" s="13" t="n">
        <v>528000063</v>
      </c>
      <c r="F703" s="13" t="inlineStr">
        <is>
          <t>Muhamad Ripki Pebrian</t>
        </is>
      </c>
      <c r="G703" s="13" t="inlineStr">
        <is>
          <t>Produksi</t>
        </is>
      </c>
      <c r="H703" s="13" t="inlineStr">
        <is>
          <t>Istirahat</t>
        </is>
      </c>
    </row>
    <row r="704">
      <c r="A704" s="27" t="inlineStr">
        <is>
          <t>MK00136</t>
        </is>
      </c>
      <c r="B704" s="13" t="inlineStr">
        <is>
          <t>IN</t>
        </is>
      </c>
      <c r="C704" s="177" t="n">
        <v>46301.41666666666</v>
      </c>
      <c r="D704" s="51" t="n">
        <v>0.7578356481481482</v>
      </c>
      <c r="E704" s="13" t="n">
        <v>528000279</v>
      </c>
      <c r="F704" s="13" t="inlineStr">
        <is>
          <t>Mahdalena Dalfa Riani</t>
        </is>
      </c>
      <c r="G704" s="13" t="inlineStr">
        <is>
          <t>Produksi</t>
        </is>
      </c>
      <c r="H704" s="13" t="inlineStr">
        <is>
          <t>Istirahat</t>
        </is>
      </c>
    </row>
    <row r="705">
      <c r="A705" s="27" t="inlineStr">
        <is>
          <t>MK00136</t>
        </is>
      </c>
      <c r="B705" s="13" t="inlineStr">
        <is>
          <t>OUT</t>
        </is>
      </c>
      <c r="C705" s="177" t="n">
        <v>46301.41666666666</v>
      </c>
      <c r="D705" s="51" t="n">
        <v>0.7596875</v>
      </c>
      <c r="E705" s="13" t="n">
        <v>528000279</v>
      </c>
      <c r="F705" s="13" t="inlineStr">
        <is>
          <t>Mahdalena Dalfa Riani</t>
        </is>
      </c>
      <c r="G705" s="13" t="inlineStr">
        <is>
          <t>Produksi</t>
        </is>
      </c>
      <c r="H705" s="13" t="inlineStr">
        <is>
          <t>Istirahat</t>
        </is>
      </c>
    </row>
    <row r="706">
      <c r="A706" s="27" t="inlineStr">
        <is>
          <t>MK00109</t>
        </is>
      </c>
      <c r="B706" s="13" t="inlineStr">
        <is>
          <t>IN</t>
        </is>
      </c>
      <c r="C706" s="177" t="n">
        <v>46301.41666666666</v>
      </c>
      <c r="D706" s="51" t="n">
        <v>0.7638194444444445</v>
      </c>
      <c r="E706" s="13" t="n">
        <v>528000300</v>
      </c>
      <c r="F706" s="13" t="inlineStr">
        <is>
          <t>Lia pitaloka</t>
        </is>
      </c>
      <c r="G706" s="13" t="inlineStr">
        <is>
          <t>Produksi</t>
        </is>
      </c>
      <c r="H706" s="13" t="inlineStr">
        <is>
          <t>Istirahat</t>
        </is>
      </c>
    </row>
    <row r="707">
      <c r="A707" s="27" t="inlineStr">
        <is>
          <t>MK00109</t>
        </is>
      </c>
      <c r="B707" s="13" t="inlineStr">
        <is>
          <t>IN</t>
        </is>
      </c>
      <c r="C707" s="177" t="n">
        <v>46301.41666666666</v>
      </c>
      <c r="D707" s="51" t="n">
        <v>0.7640277777777778</v>
      </c>
      <c r="E707" s="13" t="n">
        <v>528000300</v>
      </c>
      <c r="F707" s="13" t="inlineStr">
        <is>
          <t>Lia pitaloka</t>
        </is>
      </c>
      <c r="G707" s="13" t="inlineStr">
        <is>
          <t>Produksi</t>
        </is>
      </c>
      <c r="H707" s="13" t="inlineStr">
        <is>
          <t>Istirahat</t>
        </is>
      </c>
    </row>
    <row r="708">
      <c r="A708" s="27" t="inlineStr">
        <is>
          <t>MK00143</t>
        </is>
      </c>
      <c r="B708" s="13" t="inlineStr">
        <is>
          <t>IN</t>
        </is>
      </c>
      <c r="C708" s="177" t="n">
        <v>46301.41666666666</v>
      </c>
      <c r="D708" s="51" t="n">
        <v>0.7690856481481482</v>
      </c>
      <c r="E708" s="13" t="n">
        <v>528000329</v>
      </c>
      <c r="F708" s="13" t="inlineStr">
        <is>
          <t>Havid Ilham Firdaus</t>
        </is>
      </c>
      <c r="G708" s="13" t="inlineStr">
        <is>
          <t>Produksi</t>
        </is>
      </c>
      <c r="H708" s="13" t="inlineStr">
        <is>
          <t>Istirahat</t>
        </is>
      </c>
    </row>
    <row r="709">
      <c r="A709" s="27" t="inlineStr">
        <is>
          <t>MK00055</t>
        </is>
      </c>
      <c r="B709" s="13" t="inlineStr">
        <is>
          <t>OUT</t>
        </is>
      </c>
      <c r="C709" s="177" t="n">
        <v>46301.41666666666</v>
      </c>
      <c r="D709" s="51" t="n">
        <v>0.7705208333333333</v>
      </c>
      <c r="E709" s="13" t="n">
        <v>528000248</v>
      </c>
      <c r="F709" s="13" t="inlineStr">
        <is>
          <t>Roka Jaya Salka Mulya</t>
        </is>
      </c>
      <c r="G709" s="13" t="inlineStr">
        <is>
          <t>Produksi</t>
        </is>
      </c>
      <c r="H709" s="13" t="inlineStr">
        <is>
          <t>Istirahat</t>
        </is>
      </c>
    </row>
    <row r="710">
      <c r="A710" s="27" t="inlineStr">
        <is>
          <t>MK00095</t>
        </is>
      </c>
      <c r="B710" s="13" t="inlineStr">
        <is>
          <t>IN</t>
        </is>
      </c>
      <c r="C710" s="177" t="n">
        <v>46301.41666666666</v>
      </c>
      <c r="D710" s="51" t="n">
        <v>0.7709143518518519</v>
      </c>
      <c r="E710" s="13" t="n">
        <v>528000288</v>
      </c>
      <c r="F710" s="13" t="inlineStr">
        <is>
          <t>Dede gunawan</t>
        </is>
      </c>
      <c r="G710" s="13" t="inlineStr">
        <is>
          <t>Produksi</t>
        </is>
      </c>
      <c r="H710" s="13" t="inlineStr">
        <is>
          <t>Istirahat</t>
        </is>
      </c>
    </row>
    <row r="711">
      <c r="A711" s="27" t="inlineStr">
        <is>
          <t>MK00136</t>
        </is>
      </c>
      <c r="B711" s="13" t="inlineStr">
        <is>
          <t>IN</t>
        </is>
      </c>
      <c r="C711" s="177" t="n">
        <v>46301.41666666666</v>
      </c>
      <c r="D711" s="51" t="n">
        <v>0.7835069444444445</v>
      </c>
      <c r="E711" s="13" t="n">
        <v>528000279</v>
      </c>
      <c r="F711" s="13" t="inlineStr">
        <is>
          <t>Mahdalena Dalfa Riani</t>
        </is>
      </c>
      <c r="G711" s="13" t="inlineStr">
        <is>
          <t>Produksi</t>
        </is>
      </c>
      <c r="H711" s="13" t="inlineStr">
        <is>
          <t>Istirahat</t>
        </is>
      </c>
    </row>
    <row r="712">
      <c r="A712" s="27" t="inlineStr">
        <is>
          <t>MK00212</t>
        </is>
      </c>
      <c r="B712" s="13" t="inlineStr">
        <is>
          <t>OUT</t>
        </is>
      </c>
      <c r="C712" s="177" t="n">
        <v>46301.41666666666</v>
      </c>
      <c r="D712" s="51" t="n">
        <v>0.7839699074074075</v>
      </c>
      <c r="E712" s="13" t="n">
        <v>628000064</v>
      </c>
      <c r="F712" s="13" t="inlineStr">
        <is>
          <t>Silva Alypia</t>
        </is>
      </c>
      <c r="G712" s="13" t="inlineStr">
        <is>
          <t>Produksi</t>
        </is>
      </c>
      <c r="H712" s="13" t="inlineStr">
        <is>
          <t>Istirahat</t>
        </is>
      </c>
    </row>
    <row r="713">
      <c r="A713" s="27" t="inlineStr">
        <is>
          <t>MK00055</t>
        </is>
      </c>
      <c r="B713" s="13" t="inlineStr">
        <is>
          <t>IN</t>
        </is>
      </c>
      <c r="C713" s="177" t="n">
        <v>46301.41666666666</v>
      </c>
      <c r="D713" s="51" t="n">
        <v>0.7860185185185186</v>
      </c>
      <c r="E713" s="13" t="n">
        <v>528000248</v>
      </c>
      <c r="F713" s="13" t="inlineStr">
        <is>
          <t>Roka Jaya Salka Mulya</t>
        </is>
      </c>
      <c r="G713" s="13" t="inlineStr">
        <is>
          <t>Produksi</t>
        </is>
      </c>
      <c r="H713" s="13" t="inlineStr">
        <is>
          <t>Istirahat</t>
        </is>
      </c>
    </row>
    <row r="714">
      <c r="A714" s="27" t="inlineStr">
        <is>
          <t>MK00212</t>
        </is>
      </c>
      <c r="B714" s="13" t="inlineStr">
        <is>
          <t>IN</t>
        </is>
      </c>
      <c r="C714" s="177" t="n">
        <v>46301.41666666666</v>
      </c>
      <c r="D714" s="51" t="n">
        <v>0.8601041666666667</v>
      </c>
      <c r="E714" s="13" t="n">
        <v>628000064</v>
      </c>
      <c r="F714" s="13" t="inlineStr">
        <is>
          <t>Silva Alypia</t>
        </is>
      </c>
      <c r="G714" s="13" t="inlineStr">
        <is>
          <t>Produksi</t>
        </is>
      </c>
      <c r="H714" s="13" t="inlineStr">
        <is>
          <t>Sholat</t>
        </is>
      </c>
    </row>
    <row r="715">
      <c r="A715" s="27" t="inlineStr">
        <is>
          <t>MK00209</t>
        </is>
      </c>
      <c r="B715" s="13" t="inlineStr">
        <is>
          <t>IN</t>
        </is>
      </c>
      <c r="C715" s="177" t="n">
        <v>46332.375</v>
      </c>
      <c r="D715" s="51" t="n">
        <v>0.02564814814814815</v>
      </c>
      <c r="E715" s="13" t="n">
        <v>528000306</v>
      </c>
      <c r="F715" s="13" t="inlineStr">
        <is>
          <t>Windy Olivia</t>
        </is>
      </c>
      <c r="G715" s="13" t="inlineStr">
        <is>
          <t>Produksi</t>
        </is>
      </c>
      <c r="H715" s="13" t="inlineStr">
        <is>
          <t>Istirahat</t>
        </is>
      </c>
    </row>
    <row r="716">
      <c r="A716" s="27" t="inlineStr">
        <is>
          <t>MK00209</t>
        </is>
      </c>
      <c r="B716" s="13" t="inlineStr">
        <is>
          <t>OUT</t>
        </is>
      </c>
      <c r="C716" s="177" t="n">
        <v>46332.375</v>
      </c>
      <c r="D716" s="51" t="n">
        <v>0.02622685185185185</v>
      </c>
      <c r="E716" s="13" t="n">
        <v>528000306</v>
      </c>
      <c r="F716" s="13" t="inlineStr">
        <is>
          <t>Windy Olivia</t>
        </is>
      </c>
      <c r="G716" s="13" t="inlineStr">
        <is>
          <t>Produksi</t>
        </is>
      </c>
      <c r="H716" s="13" t="inlineStr">
        <is>
          <t>Istirahat</t>
        </is>
      </c>
    </row>
    <row r="717">
      <c r="A717" s="27" t="inlineStr">
        <is>
          <t>MK00209</t>
        </is>
      </c>
      <c r="B717" s="13" t="inlineStr">
        <is>
          <t>IN</t>
        </is>
      </c>
      <c r="C717" s="177" t="n">
        <v>46332.375</v>
      </c>
      <c r="D717" s="51" t="n">
        <v>0.04429398148148148</v>
      </c>
      <c r="E717" s="13" t="n">
        <v>528000306</v>
      </c>
      <c r="F717" s="13" t="inlineStr">
        <is>
          <t>Windy Olivia</t>
        </is>
      </c>
      <c r="G717" s="13" t="inlineStr">
        <is>
          <t>Produksi</t>
        </is>
      </c>
      <c r="H717" s="13" t="inlineStr">
        <is>
          <t>Istirahat</t>
        </is>
      </c>
    </row>
    <row r="718">
      <c r="A718" s="27" t="inlineStr">
        <is>
          <t>MK00141</t>
        </is>
      </c>
      <c r="B718" s="13" t="inlineStr">
        <is>
          <t>OUT</t>
        </is>
      </c>
      <c r="C718" s="177" t="n">
        <v>46332.375</v>
      </c>
      <c r="D718" s="51" t="n">
        <v>0.07703703703703704</v>
      </c>
      <c r="E718" s="13" t="n">
        <v>528000261</v>
      </c>
      <c r="F718" s="13" t="inlineStr">
        <is>
          <t>Ergi Ergianto</t>
        </is>
      </c>
      <c r="G718" s="13" t="inlineStr">
        <is>
          <t>Produksi</t>
        </is>
      </c>
      <c r="H718" s="13" t="inlineStr">
        <is>
          <t>Istirahat</t>
        </is>
      </c>
    </row>
    <row r="719">
      <c r="A719" s="27" t="inlineStr">
        <is>
          <t>MK00108</t>
        </is>
      </c>
      <c r="B719" s="13" t="inlineStr">
        <is>
          <t>OUT</t>
        </is>
      </c>
      <c r="C719" s="177" t="n">
        <v>46332.375</v>
      </c>
      <c r="D719" s="51" t="n">
        <v>0.08799768518518518</v>
      </c>
      <c r="E719" s="13" t="n">
        <v>528000195</v>
      </c>
      <c r="F719" s="13" t="inlineStr">
        <is>
          <t>Rahma Sariwati</t>
        </is>
      </c>
      <c r="G719" s="13" t="inlineStr">
        <is>
          <t>Produksi</t>
        </is>
      </c>
      <c r="H719" s="13" t="inlineStr">
        <is>
          <t>Istirahat</t>
        </is>
      </c>
    </row>
    <row r="720">
      <c r="A720" s="27" t="inlineStr">
        <is>
          <t>MK00210</t>
        </is>
      </c>
      <c r="B720" s="13" t="inlineStr">
        <is>
          <t>OUT</t>
        </is>
      </c>
      <c r="C720" s="177" t="n">
        <v>46332.375</v>
      </c>
      <c r="D720" s="51" t="n">
        <v>0.08831018518518519</v>
      </c>
      <c r="E720" s="13" t="n">
        <v>528000262</v>
      </c>
      <c r="F720" s="13" t="inlineStr">
        <is>
          <t>Ndari Dwiwanti</t>
        </is>
      </c>
      <c r="G720" s="13" t="inlineStr">
        <is>
          <t>Produksi</t>
        </is>
      </c>
      <c r="H720" s="13" t="inlineStr">
        <is>
          <t>Istirahat</t>
        </is>
      </c>
    </row>
    <row r="721">
      <c r="A721" s="27" t="inlineStr">
        <is>
          <t>MK00113</t>
        </is>
      </c>
      <c r="B721" s="13" t="inlineStr">
        <is>
          <t>OUT</t>
        </is>
      </c>
      <c r="C721" s="177" t="n">
        <v>46332.375</v>
      </c>
      <c r="D721" s="51" t="n">
        <v>0.09145833333333334</v>
      </c>
      <c r="E721" s="13" t="n">
        <v>528000291</v>
      </c>
      <c r="F721" s="13" t="inlineStr">
        <is>
          <t>Andrian</t>
        </is>
      </c>
      <c r="G721" s="13" t="inlineStr">
        <is>
          <t>Produksi</t>
        </is>
      </c>
      <c r="H721" s="13" t="inlineStr">
        <is>
          <t>Istirahat</t>
        </is>
      </c>
    </row>
    <row r="722">
      <c r="A722" s="27" t="inlineStr">
        <is>
          <t>MK00235</t>
        </is>
      </c>
      <c r="B722" s="13" t="inlineStr">
        <is>
          <t>OUT</t>
        </is>
      </c>
      <c r="C722" s="177" t="n">
        <v>46332.375</v>
      </c>
      <c r="D722" s="51" t="n">
        <v>0.09266203703703704</v>
      </c>
      <c r="E722" s="13" t="n">
        <v>528000052</v>
      </c>
      <c r="F722" s="13" t="inlineStr">
        <is>
          <t>Mustopa</t>
        </is>
      </c>
      <c r="G722" s="13" t="inlineStr">
        <is>
          <t>Produksi</t>
        </is>
      </c>
      <c r="H722" s="13" t="inlineStr">
        <is>
          <t>Istirahat</t>
        </is>
      </c>
    </row>
    <row r="723">
      <c r="A723" s="27" t="inlineStr">
        <is>
          <t>MK00113</t>
        </is>
      </c>
      <c r="B723" s="13" t="inlineStr">
        <is>
          <t>IN</t>
        </is>
      </c>
      <c r="C723" s="177" t="n">
        <v>46332.375</v>
      </c>
      <c r="D723" s="51" t="n">
        <v>0.09293981481481481</v>
      </c>
      <c r="E723" s="13" t="n">
        <v>528000291</v>
      </c>
      <c r="F723" s="13" t="inlineStr">
        <is>
          <t>Andrian</t>
        </is>
      </c>
      <c r="G723" s="13" t="inlineStr">
        <is>
          <t>Produksi</t>
        </is>
      </c>
      <c r="H723" s="13" t="inlineStr">
        <is>
          <t>Istirahat</t>
        </is>
      </c>
    </row>
    <row r="724">
      <c r="A724" s="27" t="inlineStr">
        <is>
          <t>MK00250</t>
        </is>
      </c>
      <c r="B724" s="13" t="inlineStr">
        <is>
          <t>OUT</t>
        </is>
      </c>
      <c r="C724" s="177" t="n">
        <v>46332.375</v>
      </c>
      <c r="D724" s="51" t="n">
        <v>0.09569444444444444</v>
      </c>
      <c r="E724" s="13" t="n">
        <v>528000358</v>
      </c>
      <c r="F724" s="13" t="inlineStr">
        <is>
          <t>Lulu Agustin</t>
        </is>
      </c>
      <c r="G724" s="13" t="inlineStr">
        <is>
          <t>Produksi</t>
        </is>
      </c>
      <c r="H724" s="13" t="inlineStr">
        <is>
          <t>Istirahat</t>
        </is>
      </c>
    </row>
    <row r="725">
      <c r="A725" s="27" t="inlineStr">
        <is>
          <t>MK00250</t>
        </is>
      </c>
      <c r="B725" s="13" t="inlineStr">
        <is>
          <t>IN</t>
        </is>
      </c>
      <c r="C725" s="177" t="n">
        <v>46332.375</v>
      </c>
      <c r="D725" s="51" t="n">
        <v>0.09612268518518519</v>
      </c>
      <c r="E725" s="13" t="n">
        <v>528000358</v>
      </c>
      <c r="F725" s="13" t="inlineStr">
        <is>
          <t>Lulu Agustin</t>
        </is>
      </c>
      <c r="G725" s="13" t="inlineStr">
        <is>
          <t>Produksi</t>
        </is>
      </c>
      <c r="H725" s="13" t="inlineStr">
        <is>
          <t>Istirahat</t>
        </is>
      </c>
    </row>
    <row r="726">
      <c r="A726" s="27" t="inlineStr">
        <is>
          <t>MK00141</t>
        </is>
      </c>
      <c r="B726" s="13" t="inlineStr">
        <is>
          <t>IN</t>
        </is>
      </c>
      <c r="C726" s="177" t="n">
        <v>46332.375</v>
      </c>
      <c r="D726" s="51" t="n">
        <v>0.1027662037037037</v>
      </c>
      <c r="E726" s="13" t="n">
        <v>528000261</v>
      </c>
      <c r="F726" s="13" t="inlineStr">
        <is>
          <t>Ergi Ergianto</t>
        </is>
      </c>
      <c r="G726" s="13" t="inlineStr">
        <is>
          <t>Produksi</t>
        </is>
      </c>
      <c r="H726" s="13" t="inlineStr">
        <is>
          <t>Istirahat</t>
        </is>
      </c>
    </row>
    <row r="727">
      <c r="A727" s="27" t="inlineStr">
        <is>
          <t>MK00210</t>
        </is>
      </c>
      <c r="B727" s="13" t="inlineStr">
        <is>
          <t>IN</t>
        </is>
      </c>
      <c r="C727" s="177" t="n">
        <v>46332.375</v>
      </c>
      <c r="D727" s="51" t="n">
        <v>0.112962962962963</v>
      </c>
      <c r="E727" s="13" t="n">
        <v>528000262</v>
      </c>
      <c r="F727" s="13" t="inlineStr">
        <is>
          <t>Ndari Dwiwanti</t>
        </is>
      </c>
      <c r="G727" s="13" t="inlineStr">
        <is>
          <t>Produksi</t>
        </is>
      </c>
      <c r="H727" s="13" t="inlineStr">
        <is>
          <t>Istirahat</t>
        </is>
      </c>
    </row>
    <row r="728">
      <c r="A728" s="27" t="inlineStr">
        <is>
          <t>MK00108</t>
        </is>
      </c>
      <c r="B728" s="13" t="inlineStr">
        <is>
          <t>IN</t>
        </is>
      </c>
      <c r="C728" s="177" t="n">
        <v>46332.375</v>
      </c>
      <c r="D728" s="51" t="n">
        <v>0.113125</v>
      </c>
      <c r="E728" s="13" t="n">
        <v>528000195</v>
      </c>
      <c r="F728" s="13" t="inlineStr">
        <is>
          <t>Rahma Sariwati</t>
        </is>
      </c>
      <c r="G728" s="13" t="inlineStr">
        <is>
          <t>Produksi</t>
        </is>
      </c>
      <c r="H728" s="13" t="inlineStr">
        <is>
          <t>Istirahat</t>
        </is>
      </c>
    </row>
    <row r="729">
      <c r="A729" s="27" t="inlineStr">
        <is>
          <t>MK00150</t>
        </is>
      </c>
      <c r="B729" s="13" t="inlineStr">
        <is>
          <t>OUT</t>
        </is>
      </c>
      <c r="C729" s="177" t="n">
        <v>46332.375</v>
      </c>
      <c r="D729" s="51" t="n">
        <v>0.1132986111111111</v>
      </c>
      <c r="E729" s="13" t="n">
        <v>528000266</v>
      </c>
      <c r="F729" s="13" t="inlineStr">
        <is>
          <t>M. Syirajatieq</t>
        </is>
      </c>
      <c r="G729" s="13" t="inlineStr">
        <is>
          <t>Produksi</t>
        </is>
      </c>
      <c r="H729" s="13" t="inlineStr">
        <is>
          <t>Istirahat</t>
        </is>
      </c>
    </row>
    <row r="730">
      <c r="A730" s="27" t="inlineStr">
        <is>
          <t>MK00235</t>
        </is>
      </c>
      <c r="B730" s="13" t="inlineStr">
        <is>
          <t>IN</t>
        </is>
      </c>
      <c r="C730" s="177" t="n">
        <v>46332.375</v>
      </c>
      <c r="D730" s="51" t="n">
        <v>0.1202199074074074</v>
      </c>
      <c r="E730" s="13" t="n">
        <v>528000052</v>
      </c>
      <c r="F730" s="13" t="inlineStr">
        <is>
          <t>Mustopa</t>
        </is>
      </c>
      <c r="G730" s="13" t="inlineStr">
        <is>
          <t>Produksi</t>
        </is>
      </c>
      <c r="H730" s="13" t="inlineStr">
        <is>
          <t>Istirahat</t>
        </is>
      </c>
    </row>
    <row r="731">
      <c r="A731" s="27" t="inlineStr">
        <is>
          <t>MK00185</t>
        </is>
      </c>
      <c r="B731" s="13" t="inlineStr">
        <is>
          <t>IN</t>
        </is>
      </c>
      <c r="C731" s="177" t="n">
        <v>46332.375</v>
      </c>
      <c r="D731" s="51" t="n">
        <v>0.1365162037037037</v>
      </c>
      <c r="E731" s="13" t="n">
        <v>528000336</v>
      </c>
      <c r="F731" s="13" t="inlineStr">
        <is>
          <t>Ali Nurhanafi</t>
        </is>
      </c>
      <c r="G731" s="13" t="inlineStr">
        <is>
          <t>Produksi</t>
        </is>
      </c>
      <c r="H731" s="13" t="inlineStr">
        <is>
          <t>Istirahat</t>
        </is>
      </c>
    </row>
    <row r="732">
      <c r="A732" s="27" t="inlineStr">
        <is>
          <t>MK00150</t>
        </is>
      </c>
      <c r="B732" s="13" t="inlineStr">
        <is>
          <t>IN</t>
        </is>
      </c>
      <c r="C732" s="177" t="n">
        <v>46332.375</v>
      </c>
      <c r="D732" s="51" t="n">
        <v>0.1377777777777778</v>
      </c>
      <c r="E732" s="13" t="n">
        <v>528000266</v>
      </c>
      <c r="F732" s="13" t="inlineStr">
        <is>
          <t>M. Syirajatieq</t>
        </is>
      </c>
      <c r="G732" s="13" t="inlineStr">
        <is>
          <t>Produksi</t>
        </is>
      </c>
      <c r="H732" s="13" t="inlineStr">
        <is>
          <t>Istirahat</t>
        </is>
      </c>
    </row>
    <row r="733">
      <c r="A733" s="27" t="inlineStr">
        <is>
          <t>MK00209</t>
        </is>
      </c>
      <c r="B733" s="13" t="inlineStr">
        <is>
          <t>OUT</t>
        </is>
      </c>
      <c r="C733" s="177" t="n">
        <v>46332.375</v>
      </c>
      <c r="D733" s="51" t="n">
        <v>0.147349537037037</v>
      </c>
      <c r="E733" s="13" t="n">
        <v>528000306</v>
      </c>
      <c r="F733" s="13" t="inlineStr">
        <is>
          <t>Windy Olivia</t>
        </is>
      </c>
      <c r="G733" s="13" t="inlineStr">
        <is>
          <t>Produksi</t>
        </is>
      </c>
      <c r="H733" s="13" t="inlineStr">
        <is>
          <t>Istirahat</t>
        </is>
      </c>
    </row>
    <row r="734">
      <c r="A734" s="27" t="inlineStr">
        <is>
          <t>MK00209</t>
        </is>
      </c>
      <c r="B734" s="13" t="inlineStr">
        <is>
          <t>IN</t>
        </is>
      </c>
      <c r="C734" s="177" t="n">
        <v>46332.375</v>
      </c>
      <c r="D734" s="51" t="n">
        <v>0.1482175925925926</v>
      </c>
      <c r="E734" s="13" t="n">
        <v>528000306</v>
      </c>
      <c r="F734" s="13" t="inlineStr">
        <is>
          <t>Windy Olivia</t>
        </is>
      </c>
      <c r="G734" s="13" t="inlineStr">
        <is>
          <t>Produksi</t>
        </is>
      </c>
      <c r="H734" s="13" t="inlineStr">
        <is>
          <t>Istirahat</t>
        </is>
      </c>
    </row>
    <row r="735">
      <c r="A735" s="27" t="inlineStr">
        <is>
          <t>MK00202</t>
        </is>
      </c>
      <c r="B735" s="13" t="inlineStr">
        <is>
          <t>OUT</t>
        </is>
      </c>
      <c r="C735" s="177" t="n">
        <v>46332.375</v>
      </c>
      <c r="D735" s="51" t="n">
        <v>0.1484027777777778</v>
      </c>
      <c r="E735" s="13" t="n">
        <v>528000337</v>
      </c>
      <c r="F735" s="13" t="inlineStr">
        <is>
          <t>Ahmad Zaldi Firdaus</t>
        </is>
      </c>
      <c r="G735" s="13" t="inlineStr">
        <is>
          <t>Produksi</t>
        </is>
      </c>
      <c r="H735" s="13" t="inlineStr">
        <is>
          <t>Istirahat</t>
        </is>
      </c>
    </row>
    <row r="736">
      <c r="A736" s="27" t="inlineStr">
        <is>
          <t>MK00202</t>
        </is>
      </c>
      <c r="B736" s="13" t="inlineStr">
        <is>
          <t>IN</t>
        </is>
      </c>
      <c r="C736" s="177" t="n">
        <v>46332.375</v>
      </c>
      <c r="D736" s="51" t="n">
        <v>0.1487615740740741</v>
      </c>
      <c r="E736" s="13" t="n">
        <v>528000337</v>
      </c>
      <c r="F736" s="13" t="inlineStr">
        <is>
          <t>Ahmad Zaldi Firdaus</t>
        </is>
      </c>
      <c r="G736" s="13" t="inlineStr">
        <is>
          <t>Produksi</t>
        </is>
      </c>
      <c r="H736" s="13" t="inlineStr">
        <is>
          <t>Istirahat</t>
        </is>
      </c>
    </row>
    <row r="737">
      <c r="A737" s="27" t="inlineStr">
        <is>
          <t>MK00116</t>
        </is>
      </c>
      <c r="B737" s="13" t="inlineStr">
        <is>
          <t>OUT</t>
        </is>
      </c>
      <c r="C737" s="177" t="n">
        <v>46332.375</v>
      </c>
      <c r="D737" s="51" t="n">
        <v>0.1585300925925926</v>
      </c>
      <c r="E737" s="13" t="n">
        <v>528000283</v>
      </c>
      <c r="F737" s="13" t="inlineStr">
        <is>
          <t>Purwanda Sugiri</t>
        </is>
      </c>
      <c r="G737" s="13" t="inlineStr">
        <is>
          <t>Produksi</t>
        </is>
      </c>
      <c r="H737" s="13" t="inlineStr">
        <is>
          <t>Istirahat</t>
        </is>
      </c>
    </row>
    <row r="738">
      <c r="A738" s="27" t="inlineStr">
        <is>
          <t>MK00185</t>
        </is>
      </c>
      <c r="B738" s="13" t="inlineStr">
        <is>
          <t>OUT</t>
        </is>
      </c>
      <c r="C738" s="177" t="n">
        <v>46332.375</v>
      </c>
      <c r="D738" s="51" t="n">
        <v>0.1589583333333333</v>
      </c>
      <c r="E738" s="13" t="n">
        <v>528000336</v>
      </c>
      <c r="F738" s="13" t="inlineStr">
        <is>
          <t>Ali Nurhanafi</t>
        </is>
      </c>
      <c r="G738" s="13" t="inlineStr">
        <is>
          <t>Produksi</t>
        </is>
      </c>
      <c r="H738" s="13" t="inlineStr">
        <is>
          <t>Istirahat</t>
        </is>
      </c>
    </row>
    <row r="739">
      <c r="A739" s="27" t="inlineStr">
        <is>
          <t>MK00185</t>
        </is>
      </c>
      <c r="B739" s="13" t="inlineStr">
        <is>
          <t>IN</t>
        </is>
      </c>
      <c r="C739" s="177" t="n">
        <v>46332.375</v>
      </c>
      <c r="D739" s="51" t="n">
        <v>0.1594675925925926</v>
      </c>
      <c r="E739" s="13" t="n">
        <v>528000336</v>
      </c>
      <c r="F739" s="13" t="inlineStr">
        <is>
          <t>Ali Nurhanafi</t>
        </is>
      </c>
      <c r="G739" s="13" t="inlineStr">
        <is>
          <t>Produksi</t>
        </is>
      </c>
      <c r="H739" s="13" t="inlineStr">
        <is>
          <t>Istirahat</t>
        </is>
      </c>
    </row>
    <row r="740">
      <c r="A740" s="27" t="inlineStr">
        <is>
          <t>MK00203</t>
        </is>
      </c>
      <c r="B740" s="13" t="inlineStr">
        <is>
          <t>OUT</t>
        </is>
      </c>
      <c r="C740" s="177" t="n">
        <v>46332.375</v>
      </c>
      <c r="D740" s="51" t="n">
        <v>0.2436805555555556</v>
      </c>
      <c r="E740" s="13" t="n">
        <v>528000361</v>
      </c>
      <c r="F740" s="13" t="inlineStr">
        <is>
          <t>Denada Munggarani</t>
        </is>
      </c>
      <c r="G740" s="13" t="inlineStr">
        <is>
          <t>Produksi</t>
        </is>
      </c>
    </row>
    <row r="741">
      <c r="A741" s="27" t="inlineStr">
        <is>
          <t>MK00203</t>
        </is>
      </c>
      <c r="B741" s="13" t="inlineStr">
        <is>
          <t>IN</t>
        </is>
      </c>
      <c r="C741" s="177" t="n">
        <v>46332.375</v>
      </c>
      <c r="D741" s="51" t="n">
        <v>0.2444675925925926</v>
      </c>
      <c r="E741" s="13" t="n">
        <v>528000361</v>
      </c>
      <c r="F741" s="13" t="inlineStr">
        <is>
          <t>Denada Munggarani</t>
        </is>
      </c>
      <c r="G741" s="13" t="inlineStr">
        <is>
          <t>Produksi</t>
        </is>
      </c>
    </row>
    <row r="742">
      <c r="A742" s="27" t="inlineStr">
        <is>
          <t>MK00208</t>
        </is>
      </c>
      <c r="B742" s="13" t="inlineStr">
        <is>
          <t>IN</t>
        </is>
      </c>
      <c r="C742" s="177" t="n">
        <v>46332.375</v>
      </c>
      <c r="D742" s="51" t="n">
        <v>0.2459837962962963</v>
      </c>
      <c r="E742" s="13" t="n">
        <v>528000302</v>
      </c>
      <c r="F742" s="13" t="inlineStr">
        <is>
          <t>Henkey gumilar</t>
        </is>
      </c>
      <c r="G742" s="13" t="inlineStr">
        <is>
          <t>Produksi</t>
        </is>
      </c>
    </row>
    <row r="743">
      <c r="A743" s="27" t="inlineStr">
        <is>
          <t>MK00093</t>
        </is>
      </c>
      <c r="B743" s="13" t="inlineStr">
        <is>
          <t>OUT</t>
        </is>
      </c>
      <c r="C743" s="177" t="n">
        <v>46332.375</v>
      </c>
      <c r="D743" s="51" t="n">
        <v>0.2503240740740741</v>
      </c>
      <c r="E743" s="13" t="n">
        <v>528000298</v>
      </c>
      <c r="F743" s="13" t="inlineStr">
        <is>
          <t>Desta Cahaya Pratama</t>
        </is>
      </c>
      <c r="G743" s="13" t="inlineStr">
        <is>
          <t>Produksi</t>
        </is>
      </c>
    </row>
    <row r="744">
      <c r="A744" s="27" t="inlineStr">
        <is>
          <t>MK00093</t>
        </is>
      </c>
      <c r="B744" s="13" t="inlineStr">
        <is>
          <t>IN</t>
        </is>
      </c>
      <c r="C744" s="177" t="n">
        <v>46332.375</v>
      </c>
      <c r="D744" s="51" t="n">
        <v>0.2507754629629629</v>
      </c>
      <c r="E744" s="13" t="n">
        <v>528000298</v>
      </c>
      <c r="F744" s="13" t="inlineStr">
        <is>
          <t>Desta Cahaya Pratama</t>
        </is>
      </c>
      <c r="G744" s="13" t="inlineStr">
        <is>
          <t>Produksi</t>
        </is>
      </c>
    </row>
    <row r="745">
      <c r="A745" s="27" t="inlineStr">
        <is>
          <t>MK00185</t>
        </is>
      </c>
      <c r="B745" s="13" t="inlineStr">
        <is>
          <t>OUT</t>
        </is>
      </c>
      <c r="C745" s="177" t="n">
        <v>46332.375</v>
      </c>
      <c r="D745" s="51" t="n">
        <v>0.2599652777777778</v>
      </c>
      <c r="E745" s="13" t="n">
        <v>528000336</v>
      </c>
      <c r="F745" s="13" t="inlineStr">
        <is>
          <t>Ali Nurhanafi</t>
        </is>
      </c>
      <c r="G745" s="13" t="inlineStr">
        <is>
          <t>Produksi</t>
        </is>
      </c>
    </row>
    <row r="746">
      <c r="A746" s="27" t="inlineStr">
        <is>
          <t>MK00148</t>
        </is>
      </c>
      <c r="B746" s="13" t="inlineStr">
        <is>
          <t>OUT</t>
        </is>
      </c>
      <c r="C746" s="177" t="n">
        <v>46332.375</v>
      </c>
      <c r="D746" s="51" t="n">
        <v>0.3555324074074074</v>
      </c>
      <c r="E746" s="13" t="n">
        <v>528000318</v>
      </c>
      <c r="F746" s="13" t="inlineStr">
        <is>
          <t>Bayu Padli Sepriyana</t>
        </is>
      </c>
      <c r="G746" s="13" t="inlineStr">
        <is>
          <t>Produksi</t>
        </is>
      </c>
      <c r="H746" s="13" t="inlineStr">
        <is>
          <t>Istirahat</t>
        </is>
      </c>
    </row>
    <row r="747">
      <c r="A747" s="27" t="inlineStr">
        <is>
          <t>MK00148</t>
        </is>
      </c>
      <c r="B747" s="13" t="inlineStr">
        <is>
          <t>IN</t>
        </is>
      </c>
      <c r="C747" s="177" t="n">
        <v>46332.375</v>
      </c>
      <c r="D747" s="51" t="n">
        <v>0.3767824074074074</v>
      </c>
      <c r="E747" s="13" t="n">
        <v>528000318</v>
      </c>
      <c r="F747" s="13" t="inlineStr">
        <is>
          <t>Bayu Padli Sepriyana</t>
        </is>
      </c>
      <c r="G747" s="13" t="inlineStr">
        <is>
          <t>Produksi</t>
        </is>
      </c>
      <c r="H747" s="13" t="inlineStr">
        <is>
          <t>Pekerjaan</t>
        </is>
      </c>
    </row>
    <row r="748">
      <c r="A748" s="27" t="inlineStr">
        <is>
          <t>MK00093</t>
        </is>
      </c>
      <c r="B748" s="13" t="inlineStr">
        <is>
          <t>OUT</t>
        </is>
      </c>
      <c r="C748" s="177" t="n">
        <v>46332.375</v>
      </c>
      <c r="D748" s="51" t="n">
        <v>0.3771527777777778</v>
      </c>
      <c r="E748" s="13" t="n">
        <v>528000298</v>
      </c>
      <c r="F748" s="13" t="inlineStr">
        <is>
          <t>Desta Cahaya Pratama</t>
        </is>
      </c>
      <c r="G748" s="13" t="inlineStr">
        <is>
          <t>Produksi</t>
        </is>
      </c>
      <c r="H748" s="13" t="inlineStr">
        <is>
          <t>Istirahat</t>
        </is>
      </c>
    </row>
    <row r="749">
      <c r="A749" s="27" t="inlineStr">
        <is>
          <t>MK00208</t>
        </is>
      </c>
      <c r="B749" s="13" t="inlineStr">
        <is>
          <t>OUT</t>
        </is>
      </c>
      <c r="C749" s="177" t="n">
        <v>46332.375</v>
      </c>
      <c r="D749" s="51" t="n">
        <v>0.3792476851851852</v>
      </c>
      <c r="E749" s="13" t="n">
        <v>528000302</v>
      </c>
      <c r="F749" s="13" t="inlineStr">
        <is>
          <t>Henkey gumilar</t>
        </is>
      </c>
      <c r="G749" s="13" t="inlineStr">
        <is>
          <t>Produksi</t>
        </is>
      </c>
      <c r="H749" s="13" t="inlineStr">
        <is>
          <t>Istirahat</t>
        </is>
      </c>
    </row>
    <row r="750">
      <c r="A750" s="27" t="inlineStr">
        <is>
          <t>MK00160</t>
        </is>
      </c>
      <c r="B750" s="13" t="inlineStr">
        <is>
          <t>IN</t>
        </is>
      </c>
      <c r="C750" s="177" t="n">
        <v>46332.375</v>
      </c>
      <c r="D750" s="51" t="n">
        <v>0.3803009259259259</v>
      </c>
      <c r="E750" s="13" t="n">
        <v>528000299</v>
      </c>
      <c r="F750" s="13" t="inlineStr">
        <is>
          <t>Siti Nurjanah</t>
        </is>
      </c>
      <c r="G750" s="13" t="inlineStr">
        <is>
          <t>Produksi</t>
        </is>
      </c>
      <c r="H750" s="13" t="inlineStr">
        <is>
          <t>Istirahat</t>
        </is>
      </c>
    </row>
    <row r="751">
      <c r="A751" s="27" t="inlineStr">
        <is>
          <t>MK00160</t>
        </is>
      </c>
      <c r="B751" s="13" t="inlineStr">
        <is>
          <t>OUT</t>
        </is>
      </c>
      <c r="C751" s="177" t="n">
        <v>46332.375</v>
      </c>
      <c r="D751" s="51" t="n">
        <v>0.3804629629629629</v>
      </c>
      <c r="E751" s="13" t="n">
        <v>528000299</v>
      </c>
      <c r="F751" s="13" t="inlineStr">
        <is>
          <t>Siti Nurjanah</t>
        </is>
      </c>
      <c r="G751" s="13" t="inlineStr">
        <is>
          <t>Produksi</t>
        </is>
      </c>
      <c r="H751" s="13" t="inlineStr">
        <is>
          <t>Istirahat</t>
        </is>
      </c>
    </row>
    <row r="752">
      <c r="A752" s="27" t="inlineStr">
        <is>
          <t>MK00203</t>
        </is>
      </c>
      <c r="B752" s="13" t="inlineStr">
        <is>
          <t>OUT</t>
        </is>
      </c>
      <c r="C752" s="177" t="n">
        <v>46332.375</v>
      </c>
      <c r="D752" s="51" t="n">
        <v>0.3809953703703703</v>
      </c>
      <c r="E752" s="13" t="n">
        <v>528000361</v>
      </c>
      <c r="F752" s="13" t="inlineStr">
        <is>
          <t>Denada Munggarani</t>
        </is>
      </c>
      <c r="G752" s="13" t="inlineStr">
        <is>
          <t>Produksi</t>
        </is>
      </c>
      <c r="H752" s="13" t="inlineStr">
        <is>
          <t>Istirahat</t>
        </is>
      </c>
    </row>
    <row r="753">
      <c r="A753" s="27" t="inlineStr">
        <is>
          <t>MK00230</t>
        </is>
      </c>
      <c r="B753" s="13" t="inlineStr">
        <is>
          <t>OUT</t>
        </is>
      </c>
      <c r="C753" s="177" t="n">
        <v>46332.375</v>
      </c>
      <c r="D753" s="51" t="n">
        <v>0.3829861111111111</v>
      </c>
      <c r="E753" s="13" t="n">
        <v>528000313</v>
      </c>
      <c r="F753" s="13" t="inlineStr">
        <is>
          <t>Muhamad Rifki</t>
        </is>
      </c>
      <c r="G753" s="13" t="inlineStr">
        <is>
          <t>Produksi</t>
        </is>
      </c>
      <c r="H753" s="13" t="inlineStr">
        <is>
          <t>Istirahat</t>
        </is>
      </c>
    </row>
    <row r="754">
      <c r="A754" s="27" t="inlineStr">
        <is>
          <t>MK00093</t>
        </is>
      </c>
      <c r="B754" s="13" t="inlineStr">
        <is>
          <t>IN</t>
        </is>
      </c>
      <c r="C754" s="177" t="n">
        <v>46332.375</v>
      </c>
      <c r="D754" s="51" t="n">
        <v>0.4088541666666667</v>
      </c>
      <c r="E754" s="13" t="n">
        <v>528000298</v>
      </c>
      <c r="F754" s="13" t="inlineStr">
        <is>
          <t>Desta Cahaya Pratama</t>
        </is>
      </c>
      <c r="G754" s="13" t="inlineStr">
        <is>
          <t>Produksi</t>
        </is>
      </c>
      <c r="H754" s="13" t="inlineStr">
        <is>
          <t>Pekerjaan</t>
        </is>
      </c>
    </row>
    <row r="755">
      <c r="A755" s="27" t="inlineStr">
        <is>
          <t>MK00208</t>
        </is>
      </c>
      <c r="B755" s="13" t="inlineStr">
        <is>
          <t>IN</t>
        </is>
      </c>
      <c r="C755" s="177" t="n">
        <v>46332.375</v>
      </c>
      <c r="D755" s="51" t="n">
        <v>0.4089930555555555</v>
      </c>
      <c r="E755" s="13" t="n">
        <v>528000302</v>
      </c>
      <c r="F755" s="13" t="inlineStr">
        <is>
          <t>Henkey gumilar</t>
        </is>
      </c>
      <c r="G755" s="13" t="inlineStr">
        <is>
          <t>Produksi</t>
        </is>
      </c>
      <c r="H755" s="13" t="inlineStr">
        <is>
          <t>Pekerjaan</t>
        </is>
      </c>
    </row>
    <row r="756">
      <c r="A756" s="27" t="inlineStr">
        <is>
          <t>MK00160</t>
        </is>
      </c>
      <c r="B756" s="13" t="inlineStr">
        <is>
          <t>IN</t>
        </is>
      </c>
      <c r="C756" s="177" t="n">
        <v>46332.375</v>
      </c>
      <c r="D756" s="51" t="n">
        <v>0.4092708333333333</v>
      </c>
      <c r="E756" s="13" t="n">
        <v>528000299</v>
      </c>
      <c r="F756" s="13" t="inlineStr">
        <is>
          <t>Siti Nurjanah</t>
        </is>
      </c>
      <c r="G756" s="13" t="inlineStr">
        <is>
          <t>Produksi</t>
        </is>
      </c>
      <c r="H756" s="13" t="inlineStr">
        <is>
          <t>Pekerjaan</t>
        </is>
      </c>
    </row>
    <row r="757">
      <c r="A757" s="27" t="inlineStr">
        <is>
          <t>MK00203</t>
        </is>
      </c>
      <c r="B757" s="13" t="inlineStr">
        <is>
          <t>IN</t>
        </is>
      </c>
      <c r="C757" s="177" t="n">
        <v>46332.375</v>
      </c>
      <c r="D757" s="51" t="n">
        <v>0.4094560185185185</v>
      </c>
      <c r="E757" s="13" t="n">
        <v>528000361</v>
      </c>
      <c r="F757" s="13" t="inlineStr">
        <is>
          <t>Denada Munggarani</t>
        </is>
      </c>
      <c r="G757" s="13" t="inlineStr">
        <is>
          <t>Produksi</t>
        </is>
      </c>
      <c r="H757" s="13" t="inlineStr">
        <is>
          <t>Pekerjaan</t>
        </is>
      </c>
    </row>
    <row r="758">
      <c r="A758" s="27" t="inlineStr">
        <is>
          <t>MK00230</t>
        </is>
      </c>
      <c r="B758" s="13" t="inlineStr">
        <is>
          <t>IN</t>
        </is>
      </c>
      <c r="C758" s="177" t="n">
        <v>46332.375</v>
      </c>
      <c r="D758" s="51" t="n">
        <v>0.4099652777777778</v>
      </c>
      <c r="E758" s="13" t="n">
        <v>528000313</v>
      </c>
      <c r="F758" s="13" t="inlineStr">
        <is>
          <t>Muhamad Rifki</t>
        </is>
      </c>
      <c r="G758" s="13" t="inlineStr">
        <is>
          <t>Produksi</t>
        </is>
      </c>
      <c r="H758" s="13" t="inlineStr">
        <is>
          <t>Pekerjaan</t>
        </is>
      </c>
    </row>
    <row r="759">
      <c r="A759" s="27" t="inlineStr">
        <is>
          <t>MK00212</t>
        </is>
      </c>
      <c r="B759" s="13" t="inlineStr">
        <is>
          <t>OUT</t>
        </is>
      </c>
      <c r="C759" s="177" t="n">
        <v>46332.375</v>
      </c>
      <c r="D759" s="51" t="n">
        <v>0.4213541666666666</v>
      </c>
      <c r="E759" s="13" t="n">
        <v>528000309</v>
      </c>
      <c r="F759" s="13" t="inlineStr">
        <is>
          <t>Ilham Ramadhan</t>
        </is>
      </c>
      <c r="G759" s="13" t="inlineStr">
        <is>
          <t>Produksi</t>
        </is>
      </c>
      <c r="H759" s="13" t="inlineStr">
        <is>
          <t>Istirahat</t>
        </is>
      </c>
    </row>
    <row r="760">
      <c r="A760" s="27" t="inlineStr">
        <is>
          <t>MK00213</t>
        </is>
      </c>
      <c r="B760" s="13" t="inlineStr">
        <is>
          <t>OUT</t>
        </is>
      </c>
      <c r="C760" s="177" t="n">
        <v>46332.375</v>
      </c>
      <c r="D760" s="51" t="n">
        <v>0.4270717592592593</v>
      </c>
      <c r="E760" s="13" t="n">
        <v>528000270</v>
      </c>
      <c r="F760" s="13" t="inlineStr">
        <is>
          <t>Febri Najmudin</t>
        </is>
      </c>
      <c r="G760" s="13" t="inlineStr">
        <is>
          <t>Produksi</t>
        </is>
      </c>
      <c r="H760" s="13" t="inlineStr">
        <is>
          <t>Istirahat</t>
        </is>
      </c>
    </row>
    <row r="761">
      <c r="A761" s="27" t="inlineStr">
        <is>
          <t>MK00212</t>
        </is>
      </c>
      <c r="B761" s="13" t="inlineStr">
        <is>
          <t>IN</t>
        </is>
      </c>
      <c r="C761" s="177" t="n">
        <v>46332.375</v>
      </c>
      <c r="D761" s="51" t="n">
        <v>0.4370486111111111</v>
      </c>
      <c r="E761" s="13" t="n">
        <v>528000309</v>
      </c>
      <c r="F761" s="13" t="inlineStr">
        <is>
          <t>Ilham Ramadhan</t>
        </is>
      </c>
      <c r="G761" s="13" t="inlineStr">
        <is>
          <t>Produksi</t>
        </is>
      </c>
      <c r="H761" s="13" t="inlineStr">
        <is>
          <t>Pekerjaan</t>
        </is>
      </c>
    </row>
    <row r="762">
      <c r="A762" s="27" t="inlineStr">
        <is>
          <t>MK00008</t>
        </is>
      </c>
      <c r="B762" s="13" t="inlineStr">
        <is>
          <t>OUT</t>
        </is>
      </c>
      <c r="C762" s="177" t="n">
        <v>46332.375</v>
      </c>
      <c r="D762" s="51" t="n">
        <v>0.4387847222222222</v>
      </c>
      <c r="E762" s="13" t="n">
        <v>528000305</v>
      </c>
      <c r="F762" s="13" t="inlineStr">
        <is>
          <t>Puji Puspita</t>
        </is>
      </c>
      <c r="G762" s="13" t="inlineStr">
        <is>
          <t>Produksi</t>
        </is>
      </c>
      <c r="H762" s="13" t="inlineStr">
        <is>
          <t>Istirahat</t>
        </is>
      </c>
    </row>
    <row r="763">
      <c r="A763" s="27" t="inlineStr">
        <is>
          <t>MK00181</t>
        </is>
      </c>
      <c r="B763" s="13" t="inlineStr">
        <is>
          <t>OUT</t>
        </is>
      </c>
      <c r="C763" s="177" t="n">
        <v>46332.375</v>
      </c>
      <c r="D763" s="51" t="n">
        <v>0.4480439814814815</v>
      </c>
      <c r="E763" s="13" t="n">
        <v>528000340</v>
      </c>
      <c r="F763" s="13" t="inlineStr">
        <is>
          <t>Muhammad Wildan Adithya</t>
        </is>
      </c>
      <c r="G763" s="13" t="inlineStr">
        <is>
          <t>Produksi</t>
        </is>
      </c>
      <c r="H763" s="13" t="inlineStr">
        <is>
          <t>Istirahat</t>
        </is>
      </c>
    </row>
    <row r="764">
      <c r="A764" s="27" t="inlineStr">
        <is>
          <t>MK00213</t>
        </is>
      </c>
      <c r="B764" s="13" t="inlineStr">
        <is>
          <t>IN</t>
        </is>
      </c>
      <c r="C764" s="177" t="n">
        <v>46332.375</v>
      </c>
      <c r="D764" s="51" t="n">
        <v>0.4482523148148148</v>
      </c>
      <c r="E764" s="13" t="n">
        <v>528000270</v>
      </c>
      <c r="F764" s="13" t="inlineStr">
        <is>
          <t>Febri Najmudin</t>
        </is>
      </c>
      <c r="G764" s="13" t="inlineStr">
        <is>
          <t>Produksi</t>
        </is>
      </c>
      <c r="H764" s="13" t="inlineStr">
        <is>
          <t>Pekerjaan</t>
        </is>
      </c>
    </row>
    <row r="765">
      <c r="A765" s="27" t="inlineStr">
        <is>
          <t>MK00008</t>
        </is>
      </c>
      <c r="B765" s="13" t="inlineStr">
        <is>
          <t>IN</t>
        </is>
      </c>
      <c r="C765" s="177" t="n">
        <v>46332.375</v>
      </c>
      <c r="D765" s="51" t="n">
        <v>0.4599652777777778</v>
      </c>
      <c r="E765" s="13" t="n">
        <v>528000305</v>
      </c>
      <c r="F765" s="13" t="inlineStr">
        <is>
          <t>Puji Puspita</t>
        </is>
      </c>
      <c r="G765" s="13" t="inlineStr">
        <is>
          <t>Produksi</t>
        </is>
      </c>
      <c r="H765" s="13" t="inlineStr">
        <is>
          <t>Pekerjaan</t>
        </is>
      </c>
    </row>
    <row r="766">
      <c r="A766" s="27" t="inlineStr">
        <is>
          <t>MK00181</t>
        </is>
      </c>
      <c r="B766" s="13" t="inlineStr">
        <is>
          <t>IN</t>
        </is>
      </c>
      <c r="C766" s="177" t="n">
        <v>46332.375</v>
      </c>
      <c r="D766" s="51" t="n">
        <v>0.471412037037037</v>
      </c>
      <c r="E766" s="13" t="n">
        <v>528000340</v>
      </c>
      <c r="F766" s="13" t="inlineStr">
        <is>
          <t>Muhammad Wildan Adithya</t>
        </is>
      </c>
      <c r="G766" s="13" t="inlineStr">
        <is>
          <t>Produksi</t>
        </is>
      </c>
      <c r="H766" s="13" t="inlineStr">
        <is>
          <t>Pekerjaan</t>
        </is>
      </c>
    </row>
    <row r="767">
      <c r="A767" s="27" t="inlineStr">
        <is>
          <t>MK00210</t>
        </is>
      </c>
      <c r="B767" s="13" t="inlineStr">
        <is>
          <t>OUT</t>
        </is>
      </c>
      <c r="C767" s="177" t="n">
        <v>46332.375</v>
      </c>
      <c r="D767" s="51" t="n">
        <v>0.7012037037037037</v>
      </c>
      <c r="E767" s="13" t="n">
        <v>528000323</v>
      </c>
      <c r="F767" s="13" t="inlineStr">
        <is>
          <t>Dian Hamidah</t>
        </is>
      </c>
      <c r="G767" s="13" t="inlineStr">
        <is>
          <t>Produksi</t>
        </is>
      </c>
      <c r="H767" s="13" t="inlineStr">
        <is>
          <t>Istirahat</t>
        </is>
      </c>
    </row>
    <row r="768">
      <c r="A768" s="27" t="inlineStr">
        <is>
          <t>MK00143</t>
        </is>
      </c>
      <c r="B768" s="13" t="inlineStr">
        <is>
          <t>OUT</t>
        </is>
      </c>
      <c r="C768" s="177" t="n">
        <v>46332.375</v>
      </c>
      <c r="D768" s="51" t="n">
        <v>0.7186921296296296</v>
      </c>
      <c r="E768" s="13" t="n">
        <v>528000329</v>
      </c>
      <c r="F768" s="13" t="inlineStr">
        <is>
          <t>Havid Ilham Firdaus</t>
        </is>
      </c>
      <c r="G768" s="13" t="inlineStr">
        <is>
          <t>Produksi</t>
        </is>
      </c>
      <c r="H768" s="13" t="inlineStr">
        <is>
          <t>Istirahat</t>
        </is>
      </c>
    </row>
    <row r="769">
      <c r="A769" s="27" t="inlineStr">
        <is>
          <t>MK00210</t>
        </is>
      </c>
      <c r="B769" s="13" t="inlineStr">
        <is>
          <t>IN</t>
        </is>
      </c>
      <c r="C769" s="177" t="n">
        <v>46332.375</v>
      </c>
      <c r="D769" s="51" t="n">
        <v>0.7195486111111111</v>
      </c>
      <c r="E769" s="13" t="n">
        <v>528000323</v>
      </c>
      <c r="F769" s="13" t="inlineStr">
        <is>
          <t>Dian Hamidah</t>
        </is>
      </c>
      <c r="G769" s="13" t="inlineStr">
        <is>
          <t>Produksi</t>
        </is>
      </c>
      <c r="H769" s="13" t="inlineStr">
        <is>
          <t>Pekerjaan</t>
        </is>
      </c>
    </row>
    <row r="770">
      <c r="A770" s="27" t="inlineStr">
        <is>
          <t>MK00154</t>
        </is>
      </c>
      <c r="B770" s="13" t="inlineStr">
        <is>
          <t>IN</t>
        </is>
      </c>
      <c r="C770" s="177" t="n">
        <v>46332.375</v>
      </c>
      <c r="D770" s="51" t="n">
        <v>0.8048148148148148</v>
      </c>
      <c r="E770" s="13" t="n">
        <v>528000248</v>
      </c>
      <c r="F770" s="13" t="inlineStr">
        <is>
          <t>Roka Jaya Salka Mulya</t>
        </is>
      </c>
      <c r="G770" s="13" t="inlineStr">
        <is>
          <t>Produksi</t>
        </is>
      </c>
      <c r="H770" s="13" t="inlineStr">
        <is>
          <t>Istirahat</t>
        </is>
      </c>
    </row>
    <row r="771">
      <c r="A771" s="27" t="inlineStr">
        <is>
          <t>MK00192</t>
        </is>
      </c>
      <c r="B771" s="13" t="inlineStr">
        <is>
          <t>IN</t>
        </is>
      </c>
      <c r="C771" s="177" t="n">
        <v>46332.375</v>
      </c>
      <c r="D771" s="51" t="n">
        <v>0.8122222222222222</v>
      </c>
      <c r="E771" s="13" t="n">
        <v>528000332</v>
      </c>
      <c r="F771" s="13" t="inlineStr">
        <is>
          <t>Ena Indriani</t>
        </is>
      </c>
      <c r="G771" s="13" t="inlineStr">
        <is>
          <t>Produksi</t>
        </is>
      </c>
      <c r="H771" s="13" t="inlineStr">
        <is>
          <t>Istirahat</t>
        </is>
      </c>
    </row>
    <row r="772">
      <c r="A772" s="27" t="inlineStr">
        <is>
          <t>MK00136</t>
        </is>
      </c>
      <c r="B772" s="13" t="inlineStr">
        <is>
          <t>IN</t>
        </is>
      </c>
      <c r="C772" s="177" t="n">
        <v>46332.375</v>
      </c>
      <c r="D772" s="51" t="n">
        <v>0.8123842592592593</v>
      </c>
      <c r="E772" s="13" t="n">
        <v>628000064</v>
      </c>
      <c r="F772" s="13" t="inlineStr">
        <is>
          <t>Silva Alypia</t>
        </is>
      </c>
      <c r="G772" s="13" t="inlineStr">
        <is>
          <t>Produksi</t>
        </is>
      </c>
      <c r="H772" s="13" t="inlineStr">
        <is>
          <t>Istirahat</t>
        </is>
      </c>
    </row>
    <row r="773">
      <c r="A773" s="27" t="inlineStr">
        <is>
          <t>MK00249</t>
        </is>
      </c>
      <c r="B773" s="13" t="inlineStr">
        <is>
          <t>IN</t>
        </is>
      </c>
      <c r="C773" s="177" t="n">
        <v>46332.375</v>
      </c>
      <c r="D773" s="51" t="n">
        <v>0.8213425925925926</v>
      </c>
      <c r="E773" s="13" t="n">
        <v>528000297</v>
      </c>
      <c r="F773" s="13" t="inlineStr">
        <is>
          <t>Muhamad Budiana</t>
        </is>
      </c>
      <c r="G773" s="13" t="inlineStr">
        <is>
          <t>Produksi</t>
        </is>
      </c>
      <c r="H773" s="13" t="inlineStr">
        <is>
          <t>Istirahat</t>
        </is>
      </c>
    </row>
    <row r="774">
      <c r="A774" s="27" t="inlineStr">
        <is>
          <t>MK00203</t>
        </is>
      </c>
      <c r="B774" s="13" t="inlineStr">
        <is>
          <t>OUT</t>
        </is>
      </c>
      <c r="C774" s="177" t="n">
        <v>46362.375</v>
      </c>
      <c r="D774" s="51" t="n">
        <v>0.02902777777777778</v>
      </c>
      <c r="E774" s="13" t="n">
        <v>528000306</v>
      </c>
      <c r="F774" s="13" t="inlineStr">
        <is>
          <t>Windy Olivia</t>
        </is>
      </c>
      <c r="G774" s="13" t="inlineStr">
        <is>
          <t>Produksi</t>
        </is>
      </c>
      <c r="H774" s="13" t="inlineStr">
        <is>
          <t>Istirahat</t>
        </is>
      </c>
    </row>
    <row r="775">
      <c r="A775" s="27" t="inlineStr">
        <is>
          <t>MK00204</t>
        </is>
      </c>
      <c r="B775" s="13" t="inlineStr">
        <is>
          <t>OUT</t>
        </is>
      </c>
      <c r="C775" s="177" t="n">
        <v>46362.375</v>
      </c>
      <c r="D775" s="51" t="n">
        <v>0.1340162037037037</v>
      </c>
      <c r="E775" s="13" t="n">
        <v>528000266</v>
      </c>
      <c r="F775" s="13" t="inlineStr">
        <is>
          <t>M. Syirajatieq</t>
        </is>
      </c>
      <c r="G775" s="13" t="inlineStr">
        <is>
          <t>Produksi</t>
        </is>
      </c>
      <c r="H775" s="13" t="inlineStr">
        <is>
          <t>Istirahat</t>
        </is>
      </c>
    </row>
    <row r="776">
      <c r="A776" s="27" t="inlineStr">
        <is>
          <t>MK00134</t>
        </is>
      </c>
      <c r="B776" s="13" t="inlineStr">
        <is>
          <t>OUT</t>
        </is>
      </c>
      <c r="C776" s="177" t="n">
        <v>46362.375</v>
      </c>
      <c r="D776" s="51" t="n">
        <v>0.1343171296296296</v>
      </c>
      <c r="E776" s="13" t="n">
        <v>528000291</v>
      </c>
      <c r="F776" s="13" t="inlineStr">
        <is>
          <t>Andrian</t>
        </is>
      </c>
      <c r="G776" s="13" t="inlineStr">
        <is>
          <t>Produksi</t>
        </is>
      </c>
      <c r="H776" s="13" t="inlineStr">
        <is>
          <t>Istirahat</t>
        </is>
      </c>
    </row>
    <row r="777">
      <c r="A777" s="27" t="inlineStr">
        <is>
          <t>MK00108</t>
        </is>
      </c>
      <c r="B777" s="13" t="inlineStr">
        <is>
          <t>OUT</t>
        </is>
      </c>
      <c r="C777" s="177" t="n">
        <v>46362.375</v>
      </c>
      <c r="D777" s="51" t="n">
        <v>0.1344675925925926</v>
      </c>
      <c r="E777" s="13" t="n">
        <v>528000337</v>
      </c>
      <c r="F777" s="13" t="inlineStr">
        <is>
          <t>Ahmad Zaldi Firdaus</t>
        </is>
      </c>
      <c r="G777" s="13" t="inlineStr">
        <is>
          <t>Produksi</t>
        </is>
      </c>
      <c r="H777" s="13" t="inlineStr">
        <is>
          <t>Istirahat</t>
        </is>
      </c>
    </row>
    <row r="778">
      <c r="A778" s="27" t="inlineStr">
        <is>
          <t>MK00148</t>
        </is>
      </c>
      <c r="B778" s="13" t="inlineStr">
        <is>
          <t>OUT</t>
        </is>
      </c>
      <c r="C778" s="177" t="n">
        <v>46362.375</v>
      </c>
      <c r="D778" s="51" t="n">
        <v>0.1346180555555556</v>
      </c>
      <c r="E778" s="13" t="n">
        <v>528000195</v>
      </c>
      <c r="F778" s="13" t="inlineStr">
        <is>
          <t>Rahma Sariwati</t>
        </is>
      </c>
      <c r="G778" s="13" t="inlineStr">
        <is>
          <t>Produksi</t>
        </is>
      </c>
      <c r="H778" s="13" t="inlineStr">
        <is>
          <t>Istirahat</t>
        </is>
      </c>
    </row>
    <row r="779">
      <c r="A779" s="27" t="inlineStr">
        <is>
          <t>MK00202</t>
        </is>
      </c>
      <c r="B779" s="13" t="inlineStr">
        <is>
          <t>OUT</t>
        </is>
      </c>
      <c r="C779" s="177" t="n">
        <v>46362.375</v>
      </c>
      <c r="D779" s="51" t="n">
        <v>0.1347916666666667</v>
      </c>
      <c r="E779" s="13" t="n">
        <v>528000261</v>
      </c>
      <c r="F779" s="13" t="inlineStr">
        <is>
          <t>Ergi Ergianto</t>
        </is>
      </c>
      <c r="G779" s="13" t="inlineStr">
        <is>
          <t>Produksi</t>
        </is>
      </c>
      <c r="H779" s="13" t="inlineStr">
        <is>
          <t>Istirahat</t>
        </is>
      </c>
    </row>
    <row r="780">
      <c r="A780" s="27" t="inlineStr">
        <is>
          <t>MK00008</t>
        </is>
      </c>
      <c r="B780" s="13" t="inlineStr">
        <is>
          <t>OUT</t>
        </is>
      </c>
      <c r="C780" s="177" t="n">
        <v>46362.375</v>
      </c>
      <c r="D780" s="51" t="n">
        <v>0.1350810185185185</v>
      </c>
      <c r="E780" s="13" t="n">
        <v>528000262</v>
      </c>
      <c r="F780" s="13" t="inlineStr">
        <is>
          <t>Ndari Dwiwanti</t>
        </is>
      </c>
      <c r="G780" s="13" t="inlineStr">
        <is>
          <t>Produksi</t>
        </is>
      </c>
      <c r="H780" s="13" t="inlineStr">
        <is>
          <t>Istirahat</t>
        </is>
      </c>
    </row>
    <row r="781">
      <c r="A781" s="27" t="inlineStr">
        <is>
          <t>MK00230</t>
        </is>
      </c>
      <c r="B781" s="13" t="inlineStr">
        <is>
          <t>OUT</t>
        </is>
      </c>
      <c r="C781" s="177" t="n">
        <v>46362.375</v>
      </c>
      <c r="D781" s="51" t="n">
        <v>0.1352546296296296</v>
      </c>
      <c r="E781" s="13" t="n">
        <v>528000358</v>
      </c>
      <c r="F781" s="13" t="inlineStr">
        <is>
          <t>Lulu Agustin</t>
        </is>
      </c>
      <c r="G781" s="13" t="inlineStr">
        <is>
          <t>Produksi</t>
        </is>
      </c>
      <c r="H781" s="13" t="inlineStr">
        <is>
          <t>Istirahat</t>
        </is>
      </c>
    </row>
    <row r="782">
      <c r="A782" s="27" t="inlineStr">
        <is>
          <t>MK00126</t>
        </is>
      </c>
      <c r="B782" s="13" t="inlineStr">
        <is>
          <t>OUT</t>
        </is>
      </c>
      <c r="C782" s="177" t="n">
        <v>46362.375</v>
      </c>
      <c r="D782" s="51" t="n">
        <v>0.1354398148148148</v>
      </c>
      <c r="E782" s="13" t="n">
        <v>528000052</v>
      </c>
      <c r="F782" s="13" t="inlineStr">
        <is>
          <t>Mustopa</t>
        </is>
      </c>
      <c r="G782" s="13" t="inlineStr">
        <is>
          <t>Produksi</t>
        </is>
      </c>
      <c r="H782" s="13" t="inlineStr">
        <is>
          <t>Istirahat</t>
        </is>
      </c>
    </row>
    <row r="783">
      <c r="A783" s="27" t="inlineStr">
        <is>
          <t>MK00203</t>
        </is>
      </c>
      <c r="B783" s="13" t="inlineStr">
        <is>
          <t>IN</t>
        </is>
      </c>
      <c r="C783" s="177" t="n">
        <v>46362.375</v>
      </c>
      <c r="D783" s="51" t="n">
        <v>0.1357986111111111</v>
      </c>
      <c r="E783" s="13" t="n">
        <v>528000306</v>
      </c>
      <c r="F783" s="13" t="inlineStr">
        <is>
          <t>Windy Olivia</t>
        </is>
      </c>
      <c r="G783" s="13" t="inlineStr">
        <is>
          <t>Produksi</t>
        </is>
      </c>
      <c r="H783" s="13" t="inlineStr">
        <is>
          <t>Istirahat</t>
        </is>
      </c>
    </row>
    <row r="784">
      <c r="A784" s="27" t="inlineStr">
        <is>
          <t>MK00126</t>
        </is>
      </c>
      <c r="B784" s="13" t="inlineStr">
        <is>
          <t>IN</t>
        </is>
      </c>
      <c r="C784" s="177" t="n">
        <v>46362.375</v>
      </c>
      <c r="D784" s="51" t="n">
        <v>0.1839583333333333</v>
      </c>
      <c r="E784" s="13" t="n">
        <v>528000052</v>
      </c>
      <c r="F784" s="13" t="inlineStr">
        <is>
          <t>Mustopa</t>
        </is>
      </c>
      <c r="G784" s="13" t="inlineStr">
        <is>
          <t>Produksi</t>
        </is>
      </c>
      <c r="H784" s="13" t="inlineStr">
        <is>
          <t>Istirahat</t>
        </is>
      </c>
    </row>
    <row r="785">
      <c r="A785" s="27" t="inlineStr">
        <is>
          <t>MK00230</t>
        </is>
      </c>
      <c r="B785" s="13" t="inlineStr">
        <is>
          <t>IN</t>
        </is>
      </c>
      <c r="C785" s="177" t="n">
        <v>46362.375</v>
      </c>
      <c r="D785" s="51" t="n">
        <v>0.1840625</v>
      </c>
      <c r="E785" s="13" t="n">
        <v>528000358</v>
      </c>
      <c r="F785" s="13" t="inlineStr">
        <is>
          <t>Lulu Agustin</t>
        </is>
      </c>
      <c r="G785" s="13" t="inlineStr">
        <is>
          <t>Produksi</t>
        </is>
      </c>
      <c r="H785" s="13" t="inlineStr">
        <is>
          <t>Istirahat</t>
        </is>
      </c>
    </row>
    <row r="786">
      <c r="A786" s="27" t="inlineStr">
        <is>
          <t>MK00008</t>
        </is>
      </c>
      <c r="B786" s="13" t="inlineStr">
        <is>
          <t>IN</t>
        </is>
      </c>
      <c r="C786" s="177" t="n">
        <v>46362.375</v>
      </c>
      <c r="D786" s="51" t="n">
        <v>0.1842013888888889</v>
      </c>
      <c r="E786" s="13" t="n">
        <v>528000262</v>
      </c>
      <c r="F786" s="13" t="inlineStr">
        <is>
          <t>Ndari Dwiwanti</t>
        </is>
      </c>
      <c r="G786" s="13" t="inlineStr">
        <is>
          <t>Produksi</t>
        </is>
      </c>
      <c r="H786" s="13" t="inlineStr">
        <is>
          <t>Istirahat</t>
        </is>
      </c>
    </row>
    <row r="787">
      <c r="A787" s="27" t="inlineStr">
        <is>
          <t>MK00202</t>
        </is>
      </c>
      <c r="B787" s="13" t="inlineStr">
        <is>
          <t>IN</t>
        </is>
      </c>
      <c r="C787" s="177" t="n">
        <v>46362.375</v>
      </c>
      <c r="D787" s="51" t="n">
        <v>0.1843402777777778</v>
      </c>
      <c r="E787" s="13" t="n">
        <v>528000261</v>
      </c>
      <c r="F787" s="13" t="inlineStr">
        <is>
          <t>Ergi Ergianto</t>
        </is>
      </c>
      <c r="G787" s="13" t="inlineStr">
        <is>
          <t>Produksi</t>
        </is>
      </c>
      <c r="H787" s="13" t="inlineStr">
        <is>
          <t>Istirahat</t>
        </is>
      </c>
    </row>
    <row r="788">
      <c r="A788" s="27" t="inlineStr">
        <is>
          <t>MK00148</t>
        </is>
      </c>
      <c r="B788" s="13" t="inlineStr">
        <is>
          <t>IN</t>
        </is>
      </c>
      <c r="C788" s="177" t="n">
        <v>46362.375</v>
      </c>
      <c r="D788" s="51" t="n">
        <v>0.1844560185185185</v>
      </c>
      <c r="E788" s="13" t="n">
        <v>528000195</v>
      </c>
      <c r="F788" s="13" t="inlineStr">
        <is>
          <t>Rahma Sariwati</t>
        </is>
      </c>
      <c r="G788" s="13" t="inlineStr">
        <is>
          <t>Produksi</t>
        </is>
      </c>
      <c r="H788" s="13" t="inlineStr">
        <is>
          <t>Istirahat</t>
        </is>
      </c>
    </row>
    <row r="789">
      <c r="A789" s="27" t="inlineStr">
        <is>
          <t>MK00108</t>
        </is>
      </c>
      <c r="B789" s="13" t="inlineStr">
        <is>
          <t>IN</t>
        </is>
      </c>
      <c r="C789" s="177" t="n">
        <v>46362.375</v>
      </c>
      <c r="D789" s="51" t="n">
        <v>0.1845717592592593</v>
      </c>
      <c r="E789" s="13" t="n">
        <v>528000337</v>
      </c>
      <c r="F789" s="13" t="inlineStr">
        <is>
          <t>Ahmad Zaldi Firdaus</t>
        </is>
      </c>
      <c r="G789" s="13" t="inlineStr">
        <is>
          <t>Produksi</t>
        </is>
      </c>
      <c r="H789" s="13" t="inlineStr">
        <is>
          <t>Istirahat</t>
        </is>
      </c>
    </row>
    <row r="790">
      <c r="A790" s="27" t="inlineStr">
        <is>
          <t>MK00134</t>
        </is>
      </c>
      <c r="B790" s="13" t="inlineStr">
        <is>
          <t>IN</t>
        </is>
      </c>
      <c r="C790" s="177" t="n">
        <v>46362.375</v>
      </c>
      <c r="D790" s="51" t="n">
        <v>0.1846759259259259</v>
      </c>
      <c r="E790" s="13" t="n">
        <v>528000291</v>
      </c>
      <c r="F790" s="13" t="inlineStr">
        <is>
          <t>Andrian</t>
        </is>
      </c>
      <c r="G790" s="13" t="inlineStr">
        <is>
          <t>Produksi</t>
        </is>
      </c>
      <c r="H790" s="13" t="inlineStr">
        <is>
          <t>Istirahat</t>
        </is>
      </c>
    </row>
    <row r="791">
      <c r="A791" s="27" t="inlineStr">
        <is>
          <t>MK00204</t>
        </is>
      </c>
      <c r="B791" s="13" t="inlineStr">
        <is>
          <t>IN</t>
        </is>
      </c>
      <c r="C791" s="177" t="n">
        <v>46362.375</v>
      </c>
      <c r="D791" s="51" t="n">
        <v>0.1850694444444445</v>
      </c>
      <c r="E791" s="13" t="n">
        <v>528000266</v>
      </c>
      <c r="F791" s="13" t="inlineStr">
        <is>
          <t>M. Syirajatieq</t>
        </is>
      </c>
      <c r="G791" s="13" t="inlineStr">
        <is>
          <t>Produksi</t>
        </is>
      </c>
      <c r="H791" s="13" t="inlineStr">
        <is>
          <t>Istirahat</t>
        </is>
      </c>
    </row>
    <row r="792">
      <c r="A792" s="27" t="inlineStr">
        <is>
          <t>MK00212</t>
        </is>
      </c>
      <c r="B792" s="13" t="inlineStr">
        <is>
          <t>OUT</t>
        </is>
      </c>
      <c r="C792" s="177" t="n">
        <v>46362.375</v>
      </c>
      <c r="D792" s="51" t="n">
        <v>0.3804398148148148</v>
      </c>
      <c r="E792" s="13" t="n">
        <v>528000298</v>
      </c>
      <c r="F792" s="13" t="inlineStr">
        <is>
          <t>Desta Cahaya Pratama</t>
        </is>
      </c>
      <c r="G792" s="13" t="inlineStr">
        <is>
          <t>Produksi</t>
        </is>
      </c>
      <c r="H792" s="13" t="inlineStr">
        <is>
          <t>Istirahat</t>
        </is>
      </c>
    </row>
    <row r="793">
      <c r="A793" s="27" t="inlineStr">
        <is>
          <t>MK00154</t>
        </is>
      </c>
      <c r="B793" s="13" t="inlineStr">
        <is>
          <t>OUT</t>
        </is>
      </c>
      <c r="C793" s="177" t="n">
        <v>46362.375</v>
      </c>
      <c r="D793" s="51" t="n">
        <v>0.388287037037037</v>
      </c>
      <c r="E793" s="13" t="n">
        <v>528000299</v>
      </c>
      <c r="F793" s="13" t="inlineStr">
        <is>
          <t>Siti Nurjanah</t>
        </is>
      </c>
      <c r="G793" s="13" t="inlineStr">
        <is>
          <t>Produksi</t>
        </is>
      </c>
      <c r="H793" s="13" t="inlineStr">
        <is>
          <t>Istirahat</t>
        </is>
      </c>
    </row>
    <row r="794">
      <c r="A794" s="27" t="inlineStr">
        <is>
          <t>MK00141</t>
        </is>
      </c>
      <c r="B794" s="13" t="inlineStr">
        <is>
          <t>OUT</t>
        </is>
      </c>
      <c r="C794" s="177" t="n">
        <v>46362.375</v>
      </c>
      <c r="D794" s="51" t="n">
        <v>0.3887847222222222</v>
      </c>
      <c r="E794" s="13" t="n">
        <v>528000361</v>
      </c>
      <c r="F794" s="13" t="inlineStr">
        <is>
          <t>Denada Munggarani</t>
        </is>
      </c>
      <c r="G794" s="13" t="inlineStr">
        <is>
          <t>Produksi</t>
        </is>
      </c>
      <c r="H794" s="13" t="inlineStr">
        <is>
          <t>Istirahat</t>
        </is>
      </c>
    </row>
    <row r="795">
      <c r="A795" s="27" t="inlineStr">
        <is>
          <t>MK00212</t>
        </is>
      </c>
      <c r="B795" s="13" t="inlineStr">
        <is>
          <t>IN</t>
        </is>
      </c>
      <c r="C795" s="177" t="n">
        <v>46362.375</v>
      </c>
      <c r="D795" s="51" t="n">
        <v>0.4117824074074074</v>
      </c>
      <c r="E795" s="13" t="n">
        <v>528000298</v>
      </c>
      <c r="F795" s="13" t="inlineStr">
        <is>
          <t>Desta Cahaya Pratama</t>
        </is>
      </c>
      <c r="G795" s="13" t="inlineStr">
        <is>
          <t>Produksi</t>
        </is>
      </c>
      <c r="H795" s="13" t="inlineStr">
        <is>
          <t>Pekerjaan</t>
        </is>
      </c>
    </row>
    <row r="796">
      <c r="A796" s="27" t="inlineStr">
        <is>
          <t>MK00141</t>
        </is>
      </c>
      <c r="B796" s="13" t="inlineStr">
        <is>
          <t>IN</t>
        </is>
      </c>
      <c r="C796" s="177" t="n">
        <v>46362.375</v>
      </c>
      <c r="D796" s="51" t="n">
        <v>0.4119560185185185</v>
      </c>
      <c r="E796" s="13" t="n">
        <v>528000361</v>
      </c>
      <c r="F796" s="13" t="inlineStr">
        <is>
          <t>Denada Munggarani</t>
        </is>
      </c>
      <c r="G796" s="13" t="inlineStr">
        <is>
          <t>Produksi</t>
        </is>
      </c>
      <c r="H796" s="13" t="inlineStr">
        <is>
          <t>Pekerjaan</t>
        </is>
      </c>
    </row>
    <row r="797">
      <c r="A797" s="27" t="inlineStr">
        <is>
          <t>MK00154</t>
        </is>
      </c>
      <c r="B797" s="13" t="inlineStr">
        <is>
          <t>IN</t>
        </is>
      </c>
      <c r="C797" s="177" t="n">
        <v>46362.375</v>
      </c>
      <c r="D797" s="51" t="n">
        <v>0.4121296296296296</v>
      </c>
      <c r="E797" s="13" t="n">
        <v>528000299</v>
      </c>
      <c r="F797" s="13" t="inlineStr">
        <is>
          <t>Siti Nurjanah</t>
        </is>
      </c>
      <c r="G797" s="13" t="inlineStr">
        <is>
          <t>Produksi</t>
        </is>
      </c>
      <c r="H797" s="13" t="inlineStr">
        <is>
          <t>Pekerjaan</t>
        </is>
      </c>
    </row>
    <row r="798">
      <c r="A798" s="27" t="inlineStr">
        <is>
          <t>MK00158</t>
        </is>
      </c>
      <c r="B798" s="13" t="inlineStr">
        <is>
          <t>OUT</t>
        </is>
      </c>
      <c r="C798" s="177" t="n">
        <v>46362.375</v>
      </c>
      <c r="D798" s="51" t="n">
        <v>0.4122337962962963</v>
      </c>
      <c r="E798" s="13" t="n">
        <v>528000302</v>
      </c>
      <c r="F798" s="13" t="inlineStr">
        <is>
          <t>Henkey gumilar</t>
        </is>
      </c>
      <c r="G798" s="13" t="inlineStr">
        <is>
          <t>Produksi</t>
        </is>
      </c>
      <c r="H798" s="13" t="inlineStr">
        <is>
          <t>Pekerjaan</t>
        </is>
      </c>
    </row>
    <row r="799">
      <c r="A799" s="27" t="inlineStr">
        <is>
          <t>MK00158</t>
        </is>
      </c>
      <c r="B799" s="13" t="inlineStr">
        <is>
          <t>IN</t>
        </is>
      </c>
      <c r="C799" s="177" t="n">
        <v>46362.375</v>
      </c>
      <c r="D799" s="51" t="n">
        <v>0.4123842592592593</v>
      </c>
      <c r="E799" s="13" t="n">
        <v>528000302</v>
      </c>
      <c r="F799" s="13" t="inlineStr">
        <is>
          <t>Henkey gumilar</t>
        </is>
      </c>
      <c r="G799" s="13" t="inlineStr">
        <is>
          <t>Produksi</t>
        </is>
      </c>
      <c r="H799" s="13" t="inlineStr">
        <is>
          <t>Pekerjaan</t>
        </is>
      </c>
    </row>
    <row r="800">
      <c r="A800" s="27" t="inlineStr">
        <is>
          <t>MK00208</t>
        </is>
      </c>
      <c r="B800" s="13" t="inlineStr">
        <is>
          <t>OUT</t>
        </is>
      </c>
      <c r="C800" s="177" t="n">
        <v>46362.375</v>
      </c>
      <c r="D800" s="51" t="n">
        <v>0.4422916666666667</v>
      </c>
      <c r="E800" s="13" t="n">
        <v>528000309</v>
      </c>
      <c r="F800" s="13" t="inlineStr">
        <is>
          <t>Ilham Ramadhan</t>
        </is>
      </c>
      <c r="G800" s="13" t="inlineStr">
        <is>
          <t>Produksi</t>
        </is>
      </c>
      <c r="H800" s="13" t="inlineStr">
        <is>
          <t>Istirahat</t>
        </is>
      </c>
    </row>
    <row r="801">
      <c r="A801" s="27" t="inlineStr">
        <is>
          <t>MK00138</t>
        </is>
      </c>
      <c r="B801" s="13" t="inlineStr">
        <is>
          <t>OUT</t>
        </is>
      </c>
      <c r="C801" s="177" t="n">
        <v>46362.375</v>
      </c>
      <c r="D801" s="51" t="n">
        <v>0.4424421296296296</v>
      </c>
      <c r="E801" s="13" t="n">
        <v>528000313</v>
      </c>
      <c r="F801" s="13" t="inlineStr">
        <is>
          <t>Muhamad Rifki</t>
        </is>
      </c>
      <c r="G801" s="13" t="inlineStr">
        <is>
          <t>Produksi</t>
        </is>
      </c>
      <c r="H801" s="13" t="inlineStr">
        <is>
          <t>Istirahat</t>
        </is>
      </c>
    </row>
    <row r="802">
      <c r="A802" s="27" t="inlineStr">
        <is>
          <t>MK00121</t>
        </is>
      </c>
      <c r="B802" s="13" t="inlineStr">
        <is>
          <t>OUT</t>
        </is>
      </c>
      <c r="C802" s="177" t="n">
        <v>46362.375</v>
      </c>
      <c r="D802" s="51" t="n">
        <v>0.4425694444444445</v>
      </c>
      <c r="E802" s="13" t="n">
        <v>528000305</v>
      </c>
      <c r="F802" s="13" t="inlineStr">
        <is>
          <t>Puji Puspita</t>
        </is>
      </c>
      <c r="G802" s="13" t="inlineStr">
        <is>
          <t>Produksi</t>
        </is>
      </c>
      <c r="H802" s="13" t="inlineStr">
        <is>
          <t>Istirahat</t>
        </is>
      </c>
    </row>
    <row r="803">
      <c r="A803" s="27" t="inlineStr">
        <is>
          <t>MK00249</t>
        </is>
      </c>
      <c r="B803" s="13" t="inlineStr">
        <is>
          <t>OUT</t>
        </is>
      </c>
      <c r="C803" s="177" t="n">
        <v>46362.375</v>
      </c>
      <c r="D803" s="51" t="n">
        <v>0.4427314814814815</v>
      </c>
      <c r="E803" s="13" t="n">
        <v>528000340</v>
      </c>
      <c r="F803" s="13" t="inlineStr">
        <is>
          <t>Muhammad Wildan Adithya</t>
        </is>
      </c>
      <c r="G803" s="13" t="inlineStr">
        <is>
          <t>Produksi</t>
        </is>
      </c>
      <c r="H803" s="13" t="inlineStr">
        <is>
          <t>Istirahat</t>
        </is>
      </c>
    </row>
    <row r="804">
      <c r="A804" s="27" t="inlineStr">
        <is>
          <t>MK00208</t>
        </is>
      </c>
      <c r="B804" s="13" t="inlineStr">
        <is>
          <t>IN</t>
        </is>
      </c>
      <c r="C804" s="177" t="n">
        <v>46362.375</v>
      </c>
      <c r="D804" s="51" t="n">
        <v>0.4543287037037037</v>
      </c>
      <c r="E804" s="13" t="n">
        <v>528000309</v>
      </c>
      <c r="F804" s="13" t="inlineStr">
        <is>
          <t>Ilham Ramadhan</t>
        </is>
      </c>
      <c r="G804" s="13" t="inlineStr">
        <is>
          <t>Produksi</t>
        </is>
      </c>
      <c r="H804" s="13" t="inlineStr">
        <is>
          <t>Pekerjaan</t>
        </is>
      </c>
    </row>
    <row r="805">
      <c r="A805" s="27" t="inlineStr">
        <is>
          <t>MK00008</t>
        </is>
      </c>
      <c r="B805" s="13" t="inlineStr">
        <is>
          <t>OUT</t>
        </is>
      </c>
      <c r="C805" s="177" t="n">
        <v>46362.375</v>
      </c>
      <c r="D805" s="51" t="n">
        <v>0.7570601851851851</v>
      </c>
      <c r="E805" s="13" t="n">
        <v>528000286</v>
      </c>
      <c r="F805" s="13" t="inlineStr">
        <is>
          <t>Imelda Amelia</t>
        </is>
      </c>
      <c r="G805" s="13" t="inlineStr">
        <is>
          <t>Produksi</t>
        </is>
      </c>
      <c r="H805" s="13" t="inlineStr">
        <is>
          <t>Istirahat</t>
        </is>
      </c>
    </row>
    <row r="806">
      <c r="A806" s="27" t="inlineStr">
        <is>
          <t>MK00203</t>
        </is>
      </c>
      <c r="B806" s="13" t="inlineStr">
        <is>
          <t>OUT</t>
        </is>
      </c>
      <c r="C806" s="177" t="n">
        <v>46362.375</v>
      </c>
      <c r="D806" s="51" t="n">
        <v>0.7571875</v>
      </c>
      <c r="E806" s="13" t="n">
        <v>528000274</v>
      </c>
      <c r="F806" s="13" t="inlineStr">
        <is>
          <t>Zepri</t>
        </is>
      </c>
      <c r="G806" s="13" t="inlineStr">
        <is>
          <t>Produksi</t>
        </is>
      </c>
      <c r="H806" s="13" t="inlineStr">
        <is>
          <t>Istirahat</t>
        </is>
      </c>
    </row>
    <row r="807">
      <c r="A807" s="27" t="inlineStr">
        <is>
          <t>MK00230</t>
        </is>
      </c>
      <c r="B807" s="13" t="inlineStr">
        <is>
          <t>OUT</t>
        </is>
      </c>
      <c r="C807" s="177" t="n">
        <v>46362.375</v>
      </c>
      <c r="D807" s="51" t="n">
        <v>0.757349537037037</v>
      </c>
      <c r="E807" s="13" t="n">
        <v>528000090</v>
      </c>
      <c r="F807" s="13" t="inlineStr">
        <is>
          <t>Suganda</t>
        </is>
      </c>
      <c r="G807" s="13" t="inlineStr">
        <is>
          <t>Produksi</t>
        </is>
      </c>
      <c r="H807" s="13" t="inlineStr">
        <is>
          <t>Istirahat</t>
        </is>
      </c>
    </row>
    <row r="808">
      <c r="A808" s="27" t="inlineStr">
        <is>
          <t>MK00160</t>
        </is>
      </c>
      <c r="B808" s="13" t="inlineStr">
        <is>
          <t>OUT</t>
        </is>
      </c>
      <c r="C808" s="177" t="n">
        <v>46362.375</v>
      </c>
      <c r="D808" s="51" t="n">
        <v>0.7574768518518519</v>
      </c>
      <c r="E808" s="13" t="n">
        <v>528000201</v>
      </c>
      <c r="F808" s="13" t="inlineStr">
        <is>
          <t>Zahwa Amelia Choerunissa</t>
        </is>
      </c>
      <c r="G808" s="13" t="inlineStr">
        <is>
          <t>Produksi</t>
        </is>
      </c>
      <c r="H808" s="13" t="inlineStr">
        <is>
          <t>Istirahat</t>
        </is>
      </c>
    </row>
    <row r="809">
      <c r="A809" s="27" t="inlineStr">
        <is>
          <t>MK00090</t>
        </is>
      </c>
      <c r="B809" s="13" t="inlineStr">
        <is>
          <t>OUT</t>
        </is>
      </c>
      <c r="C809" s="177" t="n">
        <v>46362.375</v>
      </c>
      <c r="D809" s="51" t="n">
        <v>0.7575578703703704</v>
      </c>
      <c r="E809" s="13" t="n">
        <v>528000099</v>
      </c>
      <c r="F809" s="13" t="inlineStr">
        <is>
          <t>Siti Nurawaliah</t>
        </is>
      </c>
      <c r="G809" s="13" t="inlineStr">
        <is>
          <t>Produksi</t>
        </is>
      </c>
      <c r="H809" s="13" t="inlineStr">
        <is>
          <t>Istirahat</t>
        </is>
      </c>
    </row>
    <row r="810">
      <c r="A810" s="27" t="inlineStr">
        <is>
          <t>MK00109</t>
        </is>
      </c>
      <c r="B810" s="13" t="inlineStr">
        <is>
          <t>OUT</t>
        </is>
      </c>
      <c r="C810" s="177" t="n">
        <v>46362.375</v>
      </c>
      <c r="D810" s="51" t="n">
        <v>0.7576851851851852</v>
      </c>
      <c r="E810" s="13" t="n">
        <v>528000290</v>
      </c>
      <c r="F810" s="13" t="inlineStr">
        <is>
          <t>Eval Pranata</t>
        </is>
      </c>
      <c r="G810" s="13" t="inlineStr">
        <is>
          <t>Produksi</t>
        </is>
      </c>
      <c r="H810" s="13" t="inlineStr">
        <is>
          <t>Istirahat</t>
        </is>
      </c>
    </row>
    <row r="811">
      <c r="A811" s="27" t="inlineStr">
        <is>
          <t>MK00202</t>
        </is>
      </c>
      <c r="B811" s="13" t="inlineStr">
        <is>
          <t>OUT</t>
        </is>
      </c>
      <c r="C811" s="177" t="n">
        <v>46362.375</v>
      </c>
      <c r="D811" s="51" t="n">
        <v>0.7579166666666667</v>
      </c>
      <c r="E811" s="13" t="n">
        <v>528000241</v>
      </c>
      <c r="F811" s="13" t="inlineStr">
        <is>
          <t>Balia Nurafif Bilah</t>
        </is>
      </c>
      <c r="G811" s="13" t="inlineStr">
        <is>
          <t>Produksi</t>
        </is>
      </c>
      <c r="H811" s="13" t="inlineStr">
        <is>
          <t>Istirahat</t>
        </is>
      </c>
    </row>
    <row r="812">
      <c r="A812" s="27" t="inlineStr">
        <is>
          <t>MK00202</t>
        </is>
      </c>
      <c r="B812" s="13" t="inlineStr">
        <is>
          <t>IN</t>
        </is>
      </c>
      <c r="C812" s="177" t="n">
        <v>46362.375</v>
      </c>
      <c r="D812" s="51" t="n">
        <v>0.765</v>
      </c>
      <c r="E812" s="13" t="n">
        <v>528000241</v>
      </c>
      <c r="F812" s="13" t="inlineStr">
        <is>
          <t>Balia Nurafif Bilah</t>
        </is>
      </c>
      <c r="G812" s="13" t="inlineStr">
        <is>
          <t>Produksi</t>
        </is>
      </c>
      <c r="H812" s="13" t="inlineStr">
        <is>
          <t>Pekerjaan</t>
        </is>
      </c>
    </row>
    <row r="813">
      <c r="A813" s="27" t="inlineStr">
        <is>
          <t>MK00160</t>
        </is>
      </c>
      <c r="B813" s="13" t="inlineStr">
        <is>
          <t>IN</t>
        </is>
      </c>
      <c r="C813" s="177" t="n">
        <v>46362.375</v>
      </c>
      <c r="D813" s="51" t="n">
        <v>0.7650925925925925</v>
      </c>
      <c r="E813" s="13" t="n">
        <v>528000201</v>
      </c>
      <c r="F813" s="13" t="inlineStr">
        <is>
          <t>Zahwa Amelia Choerunissa</t>
        </is>
      </c>
      <c r="G813" s="13" t="inlineStr">
        <is>
          <t>Produksi</t>
        </is>
      </c>
      <c r="H813" s="13" t="inlineStr">
        <is>
          <t>Pekerjaan</t>
        </is>
      </c>
    </row>
    <row r="814">
      <c r="A814" s="27" t="inlineStr">
        <is>
          <t>MK00090</t>
        </is>
      </c>
      <c r="B814" s="13" t="inlineStr">
        <is>
          <t>IN</t>
        </is>
      </c>
      <c r="C814" s="177" t="n">
        <v>46362.375</v>
      </c>
      <c r="D814" s="51" t="n">
        <v>0.7652083333333334</v>
      </c>
      <c r="E814" s="13" t="n">
        <v>528000099</v>
      </c>
      <c r="F814" s="13" t="inlineStr">
        <is>
          <t>Siti Nurawaliah</t>
        </is>
      </c>
      <c r="G814" s="13" t="inlineStr">
        <is>
          <t>Produksi</t>
        </is>
      </c>
      <c r="H814" s="13" t="inlineStr">
        <is>
          <t>Pekerjaan</t>
        </is>
      </c>
    </row>
    <row r="815">
      <c r="A815" s="27" t="inlineStr">
        <is>
          <t>MK00008</t>
        </is>
      </c>
      <c r="B815" s="13" t="inlineStr">
        <is>
          <t>IN</t>
        </is>
      </c>
      <c r="C815" s="177" t="n">
        <v>46362.375</v>
      </c>
      <c r="D815" s="51" t="n">
        <v>0.7653125</v>
      </c>
      <c r="E815" s="13" t="n">
        <v>528000286</v>
      </c>
      <c r="F815" s="13" t="inlineStr">
        <is>
          <t>Imelda Amelia</t>
        </is>
      </c>
      <c r="G815" s="13" t="inlineStr">
        <is>
          <t>Produksi</t>
        </is>
      </c>
      <c r="H815" s="13" t="inlineStr">
        <is>
          <t>Pekerjaan</t>
        </is>
      </c>
    </row>
    <row r="816">
      <c r="A816" s="27" t="inlineStr">
        <is>
          <t>MK00116</t>
        </is>
      </c>
      <c r="B816" s="13" t="inlineStr">
        <is>
          <t>IN</t>
        </is>
      </c>
      <c r="C816" s="177" t="n">
        <v>46362.375</v>
      </c>
      <c r="D816" s="51" t="n">
        <v>0.765462962962963</v>
      </c>
      <c r="E816" s="13" t="n">
        <v>528000212</v>
      </c>
      <c r="F816" s="13" t="inlineStr">
        <is>
          <t>Rizal Fauzi</t>
        </is>
      </c>
      <c r="G816" s="13" t="inlineStr">
        <is>
          <t>Produksi</t>
        </is>
      </c>
      <c r="H816" s="13" t="inlineStr">
        <is>
          <t>Pekerjaan</t>
        </is>
      </c>
    </row>
    <row r="817">
      <c r="A817" s="27" t="inlineStr">
        <is>
          <t>MK00230</t>
        </is>
      </c>
      <c r="B817" s="13" t="inlineStr">
        <is>
          <t>IN</t>
        </is>
      </c>
      <c r="C817" s="177" t="n">
        <v>46362.375</v>
      </c>
      <c r="D817" s="51" t="n">
        <v>0.765613425925926</v>
      </c>
      <c r="E817" s="13" t="n">
        <v>528000090</v>
      </c>
      <c r="F817" s="13" t="inlineStr">
        <is>
          <t>Suganda</t>
        </is>
      </c>
      <c r="G817" s="13" t="inlineStr">
        <is>
          <t>Produksi</t>
        </is>
      </c>
      <c r="H817" s="13" t="inlineStr">
        <is>
          <t>Pekerjaan</t>
        </is>
      </c>
    </row>
    <row r="818">
      <c r="A818" s="27" t="inlineStr">
        <is>
          <t>MK00203</t>
        </is>
      </c>
      <c r="B818" s="13" t="inlineStr">
        <is>
          <t>IN</t>
        </is>
      </c>
      <c r="C818" s="177" t="n">
        <v>46362.375</v>
      </c>
      <c r="D818" s="51" t="n">
        <v>0.7657060185185185</v>
      </c>
      <c r="E818" s="13" t="n">
        <v>528000274</v>
      </c>
      <c r="F818" s="13" t="inlineStr">
        <is>
          <t>Zepri</t>
        </is>
      </c>
      <c r="G818" s="13" t="inlineStr">
        <is>
          <t>Produksi</t>
        </is>
      </c>
      <c r="H818" s="13" t="inlineStr">
        <is>
          <t>Pekerjaan</t>
        </is>
      </c>
    </row>
    <row r="819">
      <c r="A819" s="27" t="inlineStr">
        <is>
          <t>MK00109</t>
        </is>
      </c>
      <c r="B819" s="13" t="inlineStr">
        <is>
          <t>IN</t>
        </is>
      </c>
      <c r="C819" s="177" t="n">
        <v>46362.375</v>
      </c>
      <c r="D819" s="51" t="n">
        <v>0.7660648148148148</v>
      </c>
      <c r="E819" s="13" t="n">
        <v>528000290</v>
      </c>
      <c r="F819" s="13" t="inlineStr">
        <is>
          <t>Eval Pranata</t>
        </is>
      </c>
      <c r="G819" s="13" t="inlineStr">
        <is>
          <t>Produksi</t>
        </is>
      </c>
      <c r="H819" s="13" t="inlineStr">
        <is>
          <t>Pekerjaan</t>
        </is>
      </c>
    </row>
    <row r="820">
      <c r="A820" s="27" t="inlineStr">
        <is>
          <t>MK00145</t>
        </is>
      </c>
      <c r="B820" s="13" t="inlineStr">
        <is>
          <t>IN</t>
        </is>
      </c>
      <c r="C820" s="177" t="n">
        <v>46362.375</v>
      </c>
      <c r="D820" s="51" t="n">
        <v>0.7985185185185185</v>
      </c>
      <c r="E820" s="13" t="n">
        <v>528000332</v>
      </c>
      <c r="F820" s="13" t="inlineStr">
        <is>
          <t>Ena Indriani</t>
        </is>
      </c>
      <c r="G820" s="13" t="inlineStr">
        <is>
          <t>Produksi</t>
        </is>
      </c>
      <c r="H820" s="13" t="inlineStr">
        <is>
          <t>Istirahat</t>
        </is>
      </c>
    </row>
    <row r="821">
      <c r="A821" s="27" t="inlineStr">
        <is>
          <t>MK00108</t>
        </is>
      </c>
      <c r="B821" s="13" t="inlineStr">
        <is>
          <t>OUT</t>
        </is>
      </c>
      <c r="C821" s="177" t="n">
        <v>46362.375</v>
      </c>
      <c r="D821" s="51" t="n">
        <v>0.8354513888888889</v>
      </c>
      <c r="E821" s="13" t="n">
        <v>528000289</v>
      </c>
      <c r="F821" s="13" t="inlineStr">
        <is>
          <t>Adit Supriyadi</t>
        </is>
      </c>
      <c r="G821" s="13" t="inlineStr">
        <is>
          <t>Produksi</t>
        </is>
      </c>
      <c r="H821" s="13" t="inlineStr">
        <is>
          <t>Istirahat</t>
        </is>
      </c>
    </row>
    <row r="822">
      <c r="A822" s="27" t="inlineStr">
        <is>
          <t>MK00108</t>
        </is>
      </c>
      <c r="B822" s="13" t="inlineStr">
        <is>
          <t>IN</t>
        </is>
      </c>
      <c r="C822" s="177" t="n">
        <v>46362.375</v>
      </c>
      <c r="D822" s="51" t="n">
        <v>0.8634259259259259</v>
      </c>
      <c r="E822" s="13" t="n">
        <v>528000289</v>
      </c>
      <c r="F822" s="13" t="inlineStr">
        <is>
          <t>Adit Supriyadi</t>
        </is>
      </c>
      <c r="G822" s="13" t="inlineStr">
        <is>
          <t>Produksi</t>
        </is>
      </c>
    </row>
    <row r="823">
      <c r="A823" s="27" t="inlineStr">
        <is>
          <t>MK00138</t>
        </is>
      </c>
      <c r="B823" s="13" t="inlineStr">
        <is>
          <t>OUT</t>
        </is>
      </c>
      <c r="C823" s="177" t="n">
        <v>46215.41666666666</v>
      </c>
      <c r="D823" s="51" t="n">
        <v>0.05350694444444445</v>
      </c>
      <c r="E823" s="13" t="n">
        <v>528000306</v>
      </c>
      <c r="F823" s="13" t="inlineStr">
        <is>
          <t>Windy Olivia</t>
        </is>
      </c>
      <c r="G823" s="13" t="inlineStr">
        <is>
          <t>Produksi</t>
        </is>
      </c>
      <c r="H823" s="13" t="inlineStr">
        <is>
          <t>Istirahat</t>
        </is>
      </c>
    </row>
    <row r="824">
      <c r="A824" s="27" t="inlineStr">
        <is>
          <t>MK00141</t>
        </is>
      </c>
      <c r="B824" s="13" t="inlineStr">
        <is>
          <t>OUT</t>
        </is>
      </c>
      <c r="C824" s="177" t="n">
        <v>46215.41666666666</v>
      </c>
      <c r="D824" s="51" t="n">
        <v>0.05371527777777778</v>
      </c>
      <c r="E824" s="13" t="n">
        <v>528000323</v>
      </c>
      <c r="F824" s="13" t="inlineStr">
        <is>
          <t>Dian Hamidah</t>
        </is>
      </c>
      <c r="G824" s="13" t="inlineStr">
        <is>
          <t>Produksi</t>
        </is>
      </c>
      <c r="H824" s="13" t="inlineStr">
        <is>
          <t>Istirahat</t>
        </is>
      </c>
    </row>
    <row r="825">
      <c r="A825" s="27" t="inlineStr">
        <is>
          <t>MK00112</t>
        </is>
      </c>
      <c r="B825" s="13" t="inlineStr">
        <is>
          <t>OUT</t>
        </is>
      </c>
      <c r="C825" s="177" t="n">
        <v>46215.41666666666</v>
      </c>
      <c r="D825" s="51" t="n">
        <v>0.07668981481481481</v>
      </c>
      <c r="E825" s="13" t="n">
        <v>528000261</v>
      </c>
      <c r="F825" s="13" t="inlineStr">
        <is>
          <t>Ergi Ergianto</t>
        </is>
      </c>
      <c r="G825" s="13" t="inlineStr">
        <is>
          <t>Produksi</t>
        </is>
      </c>
      <c r="H825" s="13" t="inlineStr">
        <is>
          <t>Istirahat</t>
        </is>
      </c>
    </row>
    <row r="826">
      <c r="A826" s="27" t="inlineStr">
        <is>
          <t>MK00138</t>
        </is>
      </c>
      <c r="B826" s="13" t="inlineStr">
        <is>
          <t>IN</t>
        </is>
      </c>
      <c r="C826" s="177" t="n">
        <v>46215.41666666666</v>
      </c>
      <c r="D826" s="51" t="n">
        <v>0.07875</v>
      </c>
      <c r="E826" s="13" t="n">
        <v>528000306</v>
      </c>
      <c r="F826" s="13" t="inlineStr">
        <is>
          <t>Windy Olivia</t>
        </is>
      </c>
      <c r="G826" s="13" t="inlineStr">
        <is>
          <t>Produksi</t>
        </is>
      </c>
      <c r="H826" s="13" t="inlineStr">
        <is>
          <t>Istirahat</t>
        </is>
      </c>
    </row>
    <row r="827">
      <c r="A827" s="27" t="inlineStr">
        <is>
          <t>MK00141</t>
        </is>
      </c>
      <c r="B827" s="13" t="inlineStr">
        <is>
          <t>IN</t>
        </is>
      </c>
      <c r="C827" s="177" t="n">
        <v>46215.41666666666</v>
      </c>
      <c r="D827" s="51" t="n">
        <v>0.07894675925925926</v>
      </c>
      <c r="E827" s="13" t="n">
        <v>528000323</v>
      </c>
      <c r="F827" s="13" t="inlineStr">
        <is>
          <t>Dian Hamidah</t>
        </is>
      </c>
      <c r="G827" s="13" t="inlineStr">
        <is>
          <t>Produksi</t>
        </is>
      </c>
      <c r="H827" s="13" t="inlineStr">
        <is>
          <t>Istirahat</t>
        </is>
      </c>
    </row>
    <row r="828">
      <c r="A828" s="27" t="inlineStr">
        <is>
          <t>MK00212</t>
        </is>
      </c>
      <c r="B828" s="13" t="inlineStr">
        <is>
          <t>OUT</t>
        </is>
      </c>
      <c r="C828" s="177" t="n">
        <v>46215.41666666666</v>
      </c>
      <c r="D828" s="51" t="n">
        <v>0.08111111111111111</v>
      </c>
      <c r="E828" s="13" t="n">
        <v>528000291</v>
      </c>
      <c r="F828" s="13" t="inlineStr">
        <is>
          <t>Andrian</t>
        </is>
      </c>
      <c r="G828" s="13" t="inlineStr">
        <is>
          <t>Produksi</t>
        </is>
      </c>
      <c r="H828" s="13" t="inlineStr">
        <is>
          <t>Istirahat</t>
        </is>
      </c>
    </row>
    <row r="829">
      <c r="A829" s="27" t="inlineStr">
        <is>
          <t>MK00213</t>
        </is>
      </c>
      <c r="B829" s="13" t="inlineStr">
        <is>
          <t>OUT</t>
        </is>
      </c>
      <c r="C829" s="177" t="n">
        <v>46215.41666666666</v>
      </c>
      <c r="D829" s="51" t="n">
        <v>0.09027777777777778</v>
      </c>
      <c r="E829" s="13" t="n">
        <v>528000337</v>
      </c>
      <c r="F829" s="13" t="inlineStr">
        <is>
          <t>Ahmad Zaldi Firdaus</t>
        </is>
      </c>
      <c r="G829" s="13" t="inlineStr">
        <is>
          <t>Produksi</t>
        </is>
      </c>
      <c r="H829" s="13" t="inlineStr">
        <is>
          <t>Istirahat</t>
        </is>
      </c>
    </row>
    <row r="830">
      <c r="A830" s="27" t="inlineStr">
        <is>
          <t>MK00148</t>
        </is>
      </c>
      <c r="B830" s="13" t="inlineStr">
        <is>
          <t>OUT</t>
        </is>
      </c>
      <c r="C830" s="177" t="n">
        <v>46215.41666666666</v>
      </c>
      <c r="D830" s="51" t="n">
        <v>0.09356481481481481</v>
      </c>
      <c r="E830" s="13" t="n">
        <v>528000052</v>
      </c>
      <c r="F830" s="13" t="inlineStr">
        <is>
          <t>Mustopa</t>
        </is>
      </c>
      <c r="G830" s="13" t="inlineStr">
        <is>
          <t>Produksi</t>
        </is>
      </c>
      <c r="H830" s="13" t="inlineStr">
        <is>
          <t>Istirahat</t>
        </is>
      </c>
    </row>
    <row r="831">
      <c r="A831" s="27" t="inlineStr">
        <is>
          <t>MK00112</t>
        </is>
      </c>
      <c r="B831" s="13" t="inlineStr">
        <is>
          <t>IN</t>
        </is>
      </c>
      <c r="C831" s="177" t="n">
        <v>46215.41666666666</v>
      </c>
      <c r="D831" s="51" t="n">
        <v>0.1050347222222222</v>
      </c>
      <c r="E831" s="13" t="n">
        <v>528000261</v>
      </c>
      <c r="F831" s="13" t="inlineStr">
        <is>
          <t>Ergi Ergianto</t>
        </is>
      </c>
      <c r="G831" s="13" t="inlineStr">
        <is>
          <t>Produksi</t>
        </is>
      </c>
      <c r="H831" s="13" t="inlineStr">
        <is>
          <t>Istirahat</t>
        </is>
      </c>
    </row>
    <row r="832">
      <c r="A832" s="27" t="inlineStr">
        <is>
          <t>MK00212</t>
        </is>
      </c>
      <c r="B832" s="13" t="inlineStr">
        <is>
          <t>IN</t>
        </is>
      </c>
      <c r="C832" s="177" t="n">
        <v>46215.41666666666</v>
      </c>
      <c r="D832" s="51" t="n">
        <v>0.1063541666666667</v>
      </c>
      <c r="E832" s="13" t="n">
        <v>528000291</v>
      </c>
      <c r="F832" s="13" t="inlineStr">
        <is>
          <t>Andrian</t>
        </is>
      </c>
      <c r="G832" s="13" t="inlineStr">
        <is>
          <t>Produksi</t>
        </is>
      </c>
      <c r="H832" s="13" t="inlineStr">
        <is>
          <t>Istirahat</t>
        </is>
      </c>
    </row>
    <row r="833">
      <c r="A833" s="27" t="inlineStr">
        <is>
          <t>MK00213</t>
        </is>
      </c>
      <c r="B833" s="13" t="inlineStr">
        <is>
          <t>IN</t>
        </is>
      </c>
      <c r="C833" s="177" t="n">
        <v>46215.41666666666</v>
      </c>
      <c r="D833" s="51" t="n">
        <v>0.1133796296296296</v>
      </c>
      <c r="E833" s="13" t="n">
        <v>528000337</v>
      </c>
      <c r="F833" s="13" t="inlineStr">
        <is>
          <t>Ahmad Zaldi Firdaus</t>
        </is>
      </c>
      <c r="G833" s="13" t="inlineStr">
        <is>
          <t>Produksi</t>
        </is>
      </c>
      <c r="H833" s="13" t="inlineStr">
        <is>
          <t>Istirahat</t>
        </is>
      </c>
    </row>
    <row r="834">
      <c r="A834" s="27" t="inlineStr">
        <is>
          <t>MK00148</t>
        </is>
      </c>
      <c r="B834" s="13" t="inlineStr">
        <is>
          <t>IN</t>
        </is>
      </c>
      <c r="C834" s="177" t="n">
        <v>46215.41666666666</v>
      </c>
      <c r="D834" s="51" t="n">
        <v>0.1171064814814815</v>
      </c>
      <c r="E834" s="13" t="n">
        <v>528000052</v>
      </c>
      <c r="F834" s="13" t="inlineStr">
        <is>
          <t>Mustopa</t>
        </is>
      </c>
      <c r="G834" s="13" t="inlineStr">
        <is>
          <t>Produksi</t>
        </is>
      </c>
      <c r="H834" s="13" t="inlineStr">
        <is>
          <t>Istirahat</t>
        </is>
      </c>
    </row>
    <row r="835">
      <c r="A835" s="27" t="inlineStr">
        <is>
          <t>MK00134</t>
        </is>
      </c>
      <c r="B835" s="13" t="inlineStr">
        <is>
          <t>OUT</t>
        </is>
      </c>
      <c r="C835" s="177" t="n">
        <v>46215.41666666666</v>
      </c>
      <c r="D835" s="51" t="n">
        <v>0.1174768518518518</v>
      </c>
      <c r="E835" s="13" t="n">
        <v>528000266</v>
      </c>
      <c r="F835" s="13" t="inlineStr">
        <is>
          <t>M. Syirajatieq</t>
        </is>
      </c>
      <c r="G835" s="13" t="inlineStr">
        <is>
          <t>Produksi</t>
        </is>
      </c>
      <c r="H835" s="13" t="inlineStr">
        <is>
          <t>Istirahat</t>
        </is>
      </c>
    </row>
    <row r="836">
      <c r="A836" s="27" t="inlineStr">
        <is>
          <t>MK00134</t>
        </is>
      </c>
      <c r="B836" s="13" t="inlineStr">
        <is>
          <t>IN</t>
        </is>
      </c>
      <c r="C836" s="177" t="n">
        <v>46215.41666666666</v>
      </c>
      <c r="D836" s="51" t="n">
        <v>0.1456018518518518</v>
      </c>
      <c r="E836" s="13" t="n">
        <v>528000266</v>
      </c>
      <c r="F836" s="13" t="inlineStr">
        <is>
          <t>M. Syirajatieq</t>
        </is>
      </c>
      <c r="G836" s="13" t="inlineStr">
        <is>
          <t>Produksi</t>
        </is>
      </c>
      <c r="H836" s="13" t="inlineStr">
        <is>
          <t>Istirahat</t>
        </is>
      </c>
    </row>
    <row r="837">
      <c r="A837" s="27" t="inlineStr">
        <is>
          <t>MK00138</t>
        </is>
      </c>
      <c r="B837" s="13" t="inlineStr">
        <is>
          <t>OUT</t>
        </is>
      </c>
      <c r="C837" s="177" t="n">
        <v>46215.41666666666</v>
      </c>
      <c r="D837" s="51" t="n">
        <v>0.1459143518518519</v>
      </c>
      <c r="E837" s="13" t="n">
        <v>528000306</v>
      </c>
      <c r="F837" s="13" t="inlineStr">
        <is>
          <t>Windy Olivia</t>
        </is>
      </c>
      <c r="G837" s="13" t="inlineStr">
        <is>
          <t>Produksi</t>
        </is>
      </c>
      <c r="H837" s="13" t="inlineStr">
        <is>
          <t>Istirahat</t>
        </is>
      </c>
    </row>
    <row r="838">
      <c r="A838" s="27" t="inlineStr">
        <is>
          <t>MK00141</t>
        </is>
      </c>
      <c r="B838" s="13" t="inlineStr">
        <is>
          <t>OUT</t>
        </is>
      </c>
      <c r="C838" s="177" t="n">
        <v>46215.41666666666</v>
      </c>
      <c r="D838" s="51" t="n">
        <v>0.1460416666666667</v>
      </c>
      <c r="E838" s="13" t="n">
        <v>528000323</v>
      </c>
      <c r="F838" s="13" t="inlineStr">
        <is>
          <t>Dian Hamidah</t>
        </is>
      </c>
      <c r="G838" s="13" t="inlineStr">
        <is>
          <t>Produksi</t>
        </is>
      </c>
      <c r="H838" s="13" t="inlineStr">
        <is>
          <t>Istirahat</t>
        </is>
      </c>
    </row>
    <row r="839">
      <c r="A839" s="27" t="inlineStr">
        <is>
          <t>MK00112</t>
        </is>
      </c>
      <c r="B839" s="13" t="inlineStr">
        <is>
          <t>OUT</t>
        </is>
      </c>
      <c r="C839" s="177" t="n">
        <v>46215.41666666666</v>
      </c>
      <c r="D839" s="51" t="n">
        <v>0.1462731481481482</v>
      </c>
      <c r="E839" s="13" t="n">
        <v>528000261</v>
      </c>
      <c r="F839" s="13" t="inlineStr">
        <is>
          <t>Ergi Ergianto</t>
        </is>
      </c>
      <c r="G839" s="13" t="inlineStr">
        <is>
          <t>Produksi</t>
        </is>
      </c>
      <c r="H839" s="13" t="inlineStr">
        <is>
          <t>Istirahat</t>
        </is>
      </c>
    </row>
    <row r="840">
      <c r="A840" s="27" t="inlineStr">
        <is>
          <t>MK00112</t>
        </is>
      </c>
      <c r="B840" s="13" t="inlineStr">
        <is>
          <t>IN</t>
        </is>
      </c>
      <c r="C840" s="177" t="n">
        <v>46215.41666666666</v>
      </c>
      <c r="D840" s="51" t="n">
        <v>0.1468518518518518</v>
      </c>
      <c r="E840" s="13" t="n">
        <v>528000261</v>
      </c>
      <c r="F840" s="13" t="inlineStr">
        <is>
          <t>Ergi Ergianto</t>
        </is>
      </c>
      <c r="G840" s="13" t="inlineStr">
        <is>
          <t>Produksi</t>
        </is>
      </c>
      <c r="H840" s="13" t="inlineStr">
        <is>
          <t>Istirahat</t>
        </is>
      </c>
    </row>
    <row r="841">
      <c r="A841" s="27" t="inlineStr">
        <is>
          <t>MK00141</t>
        </is>
      </c>
      <c r="B841" s="13" t="inlineStr">
        <is>
          <t>IN</t>
        </is>
      </c>
      <c r="C841" s="177" t="n">
        <v>46215.41666666666</v>
      </c>
      <c r="D841" s="51" t="n">
        <v>0.1470601851851852</v>
      </c>
      <c r="E841" s="13" t="n">
        <v>528000323</v>
      </c>
      <c r="F841" s="13" t="inlineStr">
        <is>
          <t>Dian Hamidah</t>
        </is>
      </c>
      <c r="G841" s="13" t="inlineStr">
        <is>
          <t>Produksi</t>
        </is>
      </c>
      <c r="H841" s="13" t="inlineStr">
        <is>
          <t>Istirahat</t>
        </is>
      </c>
    </row>
    <row r="842">
      <c r="A842" s="27" t="inlineStr">
        <is>
          <t>MK00138</t>
        </is>
      </c>
      <c r="B842" s="13" t="inlineStr">
        <is>
          <t>IN</t>
        </is>
      </c>
      <c r="C842" s="177" t="n">
        <v>46215.41666666666</v>
      </c>
      <c r="D842" s="51" t="n">
        <v>0.1471759259259259</v>
      </c>
      <c r="E842" s="13" t="n">
        <v>528000306</v>
      </c>
      <c r="F842" s="13" t="inlineStr">
        <is>
          <t>Windy Olivia</t>
        </is>
      </c>
      <c r="G842" s="13" t="inlineStr">
        <is>
          <t>Produksi</t>
        </is>
      </c>
      <c r="H842" s="13" t="inlineStr">
        <is>
          <t>Istirahat</t>
        </is>
      </c>
    </row>
    <row r="843">
      <c r="A843" s="27" t="inlineStr">
        <is>
          <t>MK00154</t>
        </is>
      </c>
      <c r="B843" s="13" t="inlineStr">
        <is>
          <t>IN</t>
        </is>
      </c>
      <c r="C843" s="177" t="n">
        <v>46215.41666666666</v>
      </c>
      <c r="D843" s="51" t="n">
        <v>0.1859837962962963</v>
      </c>
      <c r="E843" s="13" t="n">
        <v>528000283</v>
      </c>
      <c r="F843" s="13" t="inlineStr">
        <is>
          <t>Purwanda Sugiri</t>
        </is>
      </c>
      <c r="G843" s="13" t="inlineStr">
        <is>
          <t>Produksi</t>
        </is>
      </c>
      <c r="H843" s="13" t="inlineStr">
        <is>
          <t>Istirahat</t>
        </is>
      </c>
    </row>
    <row r="844">
      <c r="A844" s="27" t="inlineStr">
        <is>
          <t>MK00150</t>
        </is>
      </c>
      <c r="B844" s="13" t="inlineStr">
        <is>
          <t>OUT</t>
        </is>
      </c>
      <c r="C844" s="177" t="n">
        <v>46215.41666666666</v>
      </c>
      <c r="D844" s="51" t="n">
        <v>0.395775462962963</v>
      </c>
      <c r="E844" s="13" t="n">
        <v>528000300</v>
      </c>
      <c r="F844" s="13" t="inlineStr">
        <is>
          <t>Lia pitaloka</t>
        </is>
      </c>
      <c r="G844" s="13" t="inlineStr">
        <is>
          <t>Produksi</t>
        </is>
      </c>
      <c r="H844" s="13" t="inlineStr">
        <is>
          <t>Istirahat</t>
        </is>
      </c>
    </row>
    <row r="845">
      <c r="A845" s="27" t="inlineStr">
        <is>
          <t>MK00202</t>
        </is>
      </c>
      <c r="B845" s="13" t="inlineStr">
        <is>
          <t>OUT</t>
        </is>
      </c>
      <c r="C845" s="177" t="n">
        <v>46215.41666666666</v>
      </c>
      <c r="D845" s="51" t="n">
        <v>0.3971064814814815</v>
      </c>
      <c r="E845" s="13" t="n">
        <v>528000279</v>
      </c>
      <c r="F845" s="13" t="inlineStr">
        <is>
          <t>Mahdalena Dalfa Riani</t>
        </is>
      </c>
      <c r="G845" s="13" t="inlineStr">
        <is>
          <t>Produksi</t>
        </is>
      </c>
      <c r="H845" s="13" t="inlineStr">
        <is>
          <t>Istirahat</t>
        </is>
      </c>
    </row>
    <row r="846">
      <c r="A846" s="27" t="inlineStr">
        <is>
          <t>MK00008</t>
        </is>
      </c>
      <c r="B846" s="13" t="inlineStr">
        <is>
          <t>OUT</t>
        </is>
      </c>
      <c r="C846" s="177" t="n">
        <v>46215.41666666666</v>
      </c>
      <c r="D846" s="51" t="n">
        <v>0.4062847222222222</v>
      </c>
      <c r="E846" s="13" t="n">
        <v>528000248</v>
      </c>
      <c r="F846" s="13" t="inlineStr">
        <is>
          <t>Roka Jaya Salka Mulya</t>
        </is>
      </c>
      <c r="G846" s="13" t="inlineStr">
        <is>
          <t>Produksi</t>
        </is>
      </c>
      <c r="H846" s="13" t="inlineStr">
        <is>
          <t>Istirahat</t>
        </is>
      </c>
    </row>
    <row r="847">
      <c r="A847" s="27" t="inlineStr">
        <is>
          <t>MK00150</t>
        </is>
      </c>
      <c r="B847" s="13" t="inlineStr">
        <is>
          <t>IN</t>
        </is>
      </c>
      <c r="C847" s="177" t="n">
        <v>46215.41666666666</v>
      </c>
      <c r="D847" s="51" t="n">
        <v>0.4075694444444444</v>
      </c>
      <c r="E847" s="13" t="n">
        <v>528000300</v>
      </c>
      <c r="F847" s="13" t="inlineStr">
        <is>
          <t>Lia pitaloka</t>
        </is>
      </c>
      <c r="G847" s="13" t="inlineStr">
        <is>
          <t>Produksi</t>
        </is>
      </c>
      <c r="H847" s="13" t="inlineStr">
        <is>
          <t>Istirahat</t>
        </is>
      </c>
    </row>
    <row r="848">
      <c r="A848" s="27" t="inlineStr">
        <is>
          <t>MK00192</t>
        </is>
      </c>
      <c r="B848" s="13" t="inlineStr">
        <is>
          <t>OUT</t>
        </is>
      </c>
      <c r="C848" s="177" t="n">
        <v>46215.41666666666</v>
      </c>
      <c r="D848" s="51" t="n">
        <v>0.4077083333333333</v>
      </c>
      <c r="E848" s="13" t="n">
        <v>528000063</v>
      </c>
      <c r="F848" s="13" t="inlineStr">
        <is>
          <t>Muhamad Ripki Pebrian</t>
        </is>
      </c>
      <c r="G848" s="13" t="inlineStr">
        <is>
          <t>Produksi</t>
        </is>
      </c>
      <c r="H848" s="13" t="inlineStr">
        <is>
          <t>Istirahat</t>
        </is>
      </c>
    </row>
    <row r="849">
      <c r="A849" s="27" t="inlineStr">
        <is>
          <t>MK00202</t>
        </is>
      </c>
      <c r="B849" s="13" t="inlineStr">
        <is>
          <t>IN</t>
        </is>
      </c>
      <c r="C849" s="177" t="n">
        <v>46215.41666666666</v>
      </c>
      <c r="D849" s="51" t="n">
        <v>0.4180439814814815</v>
      </c>
      <c r="E849" s="13" t="n">
        <v>528000279</v>
      </c>
      <c r="F849" s="13" t="inlineStr">
        <is>
          <t>Mahdalena Dalfa Riani</t>
        </is>
      </c>
      <c r="G849" s="13" t="inlineStr">
        <is>
          <t>Produksi</t>
        </is>
      </c>
      <c r="H849" s="13" t="inlineStr">
        <is>
          <t>Istirahat</t>
        </is>
      </c>
    </row>
    <row r="850">
      <c r="A850" s="27" t="inlineStr">
        <is>
          <t>MK00192</t>
        </is>
      </c>
      <c r="B850" s="13" t="inlineStr">
        <is>
          <t>IN</t>
        </is>
      </c>
      <c r="C850" s="177" t="n">
        <v>46215.41666666666</v>
      </c>
      <c r="D850" s="51" t="n">
        <v>0.4368634259259259</v>
      </c>
      <c r="E850" s="13" t="n">
        <v>528000063</v>
      </c>
      <c r="F850" s="13" t="inlineStr">
        <is>
          <t>Muhamad Ripki Pebrian</t>
        </is>
      </c>
      <c r="G850" s="13" t="inlineStr">
        <is>
          <t>Produksi</t>
        </is>
      </c>
      <c r="H850" s="13" t="inlineStr">
        <is>
          <t>Istirahat</t>
        </is>
      </c>
    </row>
    <row r="851">
      <c r="A851" s="27" t="inlineStr">
        <is>
          <t>MK00008</t>
        </is>
      </c>
      <c r="B851" s="13" t="inlineStr">
        <is>
          <t>IN</t>
        </is>
      </c>
      <c r="C851" s="177" t="n">
        <v>46215.41666666666</v>
      </c>
      <c r="D851" s="51" t="n">
        <v>0.4371759259259259</v>
      </c>
      <c r="E851" s="13" t="n">
        <v>528000248</v>
      </c>
      <c r="F851" s="13" t="inlineStr">
        <is>
          <t>Roka Jaya Salka Mulya</t>
        </is>
      </c>
      <c r="G851" s="13" t="inlineStr">
        <is>
          <t>Produksi</t>
        </is>
      </c>
      <c r="H851" s="13" t="inlineStr">
        <is>
          <t>Istirahat</t>
        </is>
      </c>
    </row>
    <row r="852">
      <c r="A852" s="27" t="inlineStr">
        <is>
          <t>MK00145</t>
        </is>
      </c>
      <c r="B852" s="13" t="inlineStr">
        <is>
          <t>OUT</t>
        </is>
      </c>
      <c r="C852" s="177" t="n">
        <v>46215.41666666666</v>
      </c>
      <c r="D852" s="51" t="n">
        <v>0.4375810185185185</v>
      </c>
      <c r="E852" s="13" t="n">
        <v>528000297</v>
      </c>
      <c r="F852" s="13" t="inlineStr">
        <is>
          <t>Muhamad Budiana</t>
        </is>
      </c>
      <c r="G852" s="13" t="inlineStr">
        <is>
          <t>Produksi</t>
        </is>
      </c>
      <c r="H852" s="13" t="inlineStr">
        <is>
          <t>Istirahat</t>
        </is>
      </c>
    </row>
    <row r="853">
      <c r="A853" s="27" t="inlineStr">
        <is>
          <t>MK00145</t>
        </is>
      </c>
      <c r="B853" s="13" t="inlineStr">
        <is>
          <t>IN</t>
        </is>
      </c>
      <c r="C853" s="177" t="n">
        <v>46215.41666666666</v>
      </c>
      <c r="D853" s="51" t="n">
        <v>0.4383217592592593</v>
      </c>
      <c r="E853" s="13" t="n">
        <v>528000297</v>
      </c>
      <c r="F853" s="13" t="inlineStr">
        <is>
          <t>Muhamad Budiana</t>
        </is>
      </c>
      <c r="G853" s="13" t="inlineStr">
        <is>
          <t>Produksi</t>
        </is>
      </c>
      <c r="H853" s="13" t="inlineStr">
        <is>
          <t>Istirahat</t>
        </is>
      </c>
    </row>
    <row r="854">
      <c r="A854" s="27" t="inlineStr">
        <is>
          <t>MK00108</t>
        </is>
      </c>
      <c r="B854" s="13" t="inlineStr">
        <is>
          <t>OUT</t>
        </is>
      </c>
      <c r="C854" s="177" t="n">
        <v>46215.41666666666</v>
      </c>
      <c r="D854" s="51" t="n">
        <v>0.4386458333333333</v>
      </c>
      <c r="E854" s="13" t="n">
        <v>628000064</v>
      </c>
      <c r="F854" s="13" t="inlineStr">
        <is>
          <t>Silva Alypia</t>
        </is>
      </c>
      <c r="G854" s="13" t="inlineStr">
        <is>
          <t>Produksi</t>
        </is>
      </c>
      <c r="H854" s="13" t="inlineStr">
        <is>
          <t>Istirahat</t>
        </is>
      </c>
    </row>
    <row r="855">
      <c r="A855" s="27" t="inlineStr">
        <is>
          <t>MK00145</t>
        </is>
      </c>
      <c r="B855" s="13" t="inlineStr">
        <is>
          <t>OUT</t>
        </is>
      </c>
      <c r="C855" s="177" t="n">
        <v>46215.41666666666</v>
      </c>
      <c r="D855" s="51" t="n">
        <v>0.4471643518518518</v>
      </c>
      <c r="E855" s="13" t="n">
        <v>528000297</v>
      </c>
      <c r="F855" s="13" t="inlineStr">
        <is>
          <t>Muhamad Budiana</t>
        </is>
      </c>
      <c r="G855" s="13" t="inlineStr">
        <is>
          <t>Produksi</t>
        </is>
      </c>
      <c r="H855" s="13" t="inlineStr">
        <is>
          <t>Istirahat</t>
        </is>
      </c>
    </row>
    <row r="856">
      <c r="A856" s="27" t="inlineStr">
        <is>
          <t>MK00145</t>
        </is>
      </c>
      <c r="B856" s="13" t="inlineStr">
        <is>
          <t>IN</t>
        </is>
      </c>
      <c r="C856" s="177" t="n">
        <v>46215.41666666666</v>
      </c>
      <c r="D856" s="51" t="n">
        <v>0.4484027777777778</v>
      </c>
      <c r="E856" s="13" t="n">
        <v>528000297</v>
      </c>
      <c r="F856" s="13" t="inlineStr">
        <is>
          <t>Muhamad Budiana</t>
        </is>
      </c>
      <c r="G856" s="13" t="inlineStr">
        <is>
          <t>Produksi</t>
        </is>
      </c>
      <c r="H856" s="13" t="inlineStr">
        <is>
          <t>Istirahat</t>
        </is>
      </c>
    </row>
    <row r="857">
      <c r="A857" s="27" t="inlineStr">
        <is>
          <t>MK00108</t>
        </is>
      </c>
      <c r="B857" s="13" t="inlineStr">
        <is>
          <t>IN</t>
        </is>
      </c>
      <c r="C857" s="177" t="n">
        <v>46215.41666666666</v>
      </c>
      <c r="D857" s="51" t="n">
        <v>0.4634375</v>
      </c>
      <c r="E857" s="13" t="n">
        <v>628000064</v>
      </c>
      <c r="F857" s="13" t="inlineStr">
        <is>
          <t>Silva Alypia</t>
        </is>
      </c>
      <c r="G857" s="13" t="inlineStr">
        <is>
          <t>Produksi</t>
        </is>
      </c>
      <c r="H857" s="13" t="inlineStr">
        <is>
          <t>Istirahat</t>
        </is>
      </c>
    </row>
    <row r="858">
      <c r="A858" s="27" t="inlineStr">
        <is>
          <t>MK00143</t>
        </is>
      </c>
      <c r="B858" s="13" t="inlineStr">
        <is>
          <t>IN</t>
        </is>
      </c>
      <c r="C858" s="177" t="n">
        <v>46215.41666666666</v>
      </c>
      <c r="D858" s="51" t="n">
        <v>0.7143055555555555</v>
      </c>
      <c r="E858" s="13" t="n">
        <v>528000329</v>
      </c>
      <c r="F858" s="13" t="inlineStr">
        <is>
          <t>Havid Ilham Firdaus</t>
        </is>
      </c>
      <c r="G858" s="13" t="inlineStr">
        <is>
          <t>Produksi</t>
        </is>
      </c>
      <c r="H858" s="13" t="inlineStr">
        <is>
          <t>Istirahat</t>
        </is>
      </c>
    </row>
    <row r="859">
      <c r="A859" s="27" t="inlineStr">
        <is>
          <t>MK00250</t>
        </is>
      </c>
      <c r="B859" s="13" t="inlineStr">
        <is>
          <t>OUT</t>
        </is>
      </c>
      <c r="C859" s="177" t="n">
        <v>46215.41666666666</v>
      </c>
      <c r="D859" s="51" t="n">
        <v>0.7318171296296296</v>
      </c>
      <c r="E859" s="13" t="n">
        <v>528000290</v>
      </c>
      <c r="F859" s="13" t="inlineStr">
        <is>
          <t>Eval Pranata</t>
        </is>
      </c>
      <c r="G859" s="13" t="inlineStr">
        <is>
          <t>Produksi</t>
        </is>
      </c>
      <c r="H859" s="13" t="inlineStr">
        <is>
          <t>Istirahat</t>
        </is>
      </c>
    </row>
    <row r="860">
      <c r="A860" s="27" t="inlineStr">
        <is>
          <t>MK00138</t>
        </is>
      </c>
      <c r="B860" s="13" t="inlineStr">
        <is>
          <t>OUT</t>
        </is>
      </c>
      <c r="C860" s="177" t="n">
        <v>46215.41666666666</v>
      </c>
      <c r="D860" s="51" t="n">
        <v>0.7369791666666666</v>
      </c>
      <c r="E860" s="13" t="n">
        <v>528000099</v>
      </c>
      <c r="F860" s="13" t="inlineStr">
        <is>
          <t>Siti Nurawaliah</t>
        </is>
      </c>
      <c r="G860" s="13" t="inlineStr">
        <is>
          <t>Produksi</t>
        </is>
      </c>
      <c r="H860" s="13" t="inlineStr">
        <is>
          <t>Istirahat</t>
        </is>
      </c>
    </row>
    <row r="861">
      <c r="A861" s="27" t="inlineStr">
        <is>
          <t>MK00143</t>
        </is>
      </c>
      <c r="B861" s="13" t="inlineStr">
        <is>
          <t>OUT</t>
        </is>
      </c>
      <c r="C861" s="177" t="n">
        <v>46215.41666666666</v>
      </c>
      <c r="D861" s="51" t="n">
        <v>0.740011574074074</v>
      </c>
      <c r="E861" s="13" t="n">
        <v>528000329</v>
      </c>
      <c r="F861" s="13" t="inlineStr">
        <is>
          <t>Havid Ilham Firdaus</t>
        </is>
      </c>
      <c r="G861" s="13" t="inlineStr">
        <is>
          <t>Produksi</t>
        </is>
      </c>
      <c r="H861" s="13" t="inlineStr">
        <is>
          <t>Istirahat</t>
        </is>
      </c>
    </row>
    <row r="862">
      <c r="A862" s="27" t="inlineStr">
        <is>
          <t>MK00095</t>
        </is>
      </c>
      <c r="B862" s="13" t="inlineStr">
        <is>
          <t>OUT</t>
        </is>
      </c>
      <c r="C862" s="177" t="n">
        <v>46215.41666666666</v>
      </c>
      <c r="D862" s="51" t="n">
        <v>0.7569444444444444</v>
      </c>
      <c r="E862" s="13" t="n">
        <v>528000274</v>
      </c>
      <c r="F862" s="13" t="inlineStr">
        <is>
          <t>Zepri</t>
        </is>
      </c>
      <c r="G862" s="13" t="inlineStr">
        <is>
          <t>Produksi</t>
        </is>
      </c>
    </row>
    <row r="863">
      <c r="A863" s="27" t="inlineStr">
        <is>
          <t>MK00138</t>
        </is>
      </c>
      <c r="B863" s="13" t="inlineStr">
        <is>
          <t>IN</t>
        </is>
      </c>
      <c r="C863" s="177" t="n">
        <v>46215.41666666666</v>
      </c>
      <c r="D863" s="51" t="n">
        <v>0.7577546296296296</v>
      </c>
      <c r="E863" s="13" t="n">
        <v>528000099</v>
      </c>
      <c r="F863" s="13" t="inlineStr">
        <is>
          <t>Siti Nurawaliah</t>
        </is>
      </c>
      <c r="G863" s="13" t="inlineStr">
        <is>
          <t>Produksi</t>
        </is>
      </c>
    </row>
    <row r="864">
      <c r="A864" s="27" t="inlineStr">
        <is>
          <t>MK00113</t>
        </is>
      </c>
      <c r="B864" s="13" t="inlineStr">
        <is>
          <t>OUT</t>
        </is>
      </c>
      <c r="C864" s="177" t="n">
        <v>46215.41666666666</v>
      </c>
      <c r="D864" s="51" t="n">
        <v>0.7760763888888889</v>
      </c>
      <c r="E864" s="13" t="n">
        <v>528000201</v>
      </c>
      <c r="F864" s="13" t="inlineStr">
        <is>
          <t>Zahwa Amelia Choerunissa</t>
        </is>
      </c>
      <c r="G864" s="13" t="inlineStr">
        <is>
          <t>Produksi</t>
        </is>
      </c>
      <c r="H864" s="13" t="inlineStr">
        <is>
          <t>Istirahat</t>
        </is>
      </c>
    </row>
    <row r="865">
      <c r="A865" s="27" t="inlineStr">
        <is>
          <t>MK00141</t>
        </is>
      </c>
      <c r="B865" s="13" t="inlineStr">
        <is>
          <t>OUT</t>
        </is>
      </c>
      <c r="C865" s="177" t="n">
        <v>46215.41666666666</v>
      </c>
      <c r="D865" s="51" t="n">
        <v>0.7762037037037037</v>
      </c>
      <c r="E865" s="13" t="n">
        <v>528000286</v>
      </c>
      <c r="F865" s="13" t="inlineStr">
        <is>
          <t>Imelda Amelia</t>
        </is>
      </c>
      <c r="G865" s="13" t="inlineStr">
        <is>
          <t>Produksi</t>
        </is>
      </c>
      <c r="H865" s="13" t="inlineStr">
        <is>
          <t>Istirahat</t>
        </is>
      </c>
    </row>
    <row r="866">
      <c r="A866" s="27" t="inlineStr">
        <is>
          <t>MK00109</t>
        </is>
      </c>
      <c r="B866" s="13" t="inlineStr">
        <is>
          <t>OUT</t>
        </is>
      </c>
      <c r="C866" s="177" t="n">
        <v>46215.41666666666</v>
      </c>
      <c r="D866" s="51" t="n">
        <v>0.7763657407407407</v>
      </c>
      <c r="E866" s="13" t="n">
        <v>528000324</v>
      </c>
      <c r="F866" s="13" t="inlineStr">
        <is>
          <t>Sri Yanti</t>
        </is>
      </c>
      <c r="G866" s="13" t="inlineStr">
        <is>
          <t>Produksi</t>
        </is>
      </c>
      <c r="H866" s="13" t="inlineStr">
        <is>
          <t>Istirahat</t>
        </is>
      </c>
    </row>
    <row r="867">
      <c r="A867" s="27" t="inlineStr">
        <is>
          <t>MK00154</t>
        </is>
      </c>
      <c r="B867" s="13" t="inlineStr">
        <is>
          <t>OUT</t>
        </is>
      </c>
      <c r="C867" s="177" t="n">
        <v>46215.41666666666</v>
      </c>
      <c r="D867" s="51" t="n">
        <v>0.7765277777777778</v>
      </c>
      <c r="E867" s="13" t="n">
        <v>528000244</v>
      </c>
      <c r="F867" s="13" t="inlineStr">
        <is>
          <t>Rodian Rifai</t>
        </is>
      </c>
      <c r="G867" s="13" t="inlineStr">
        <is>
          <t>Produksi</t>
        </is>
      </c>
      <c r="H867" s="13" t="inlineStr">
        <is>
          <t>Istirahat</t>
        </is>
      </c>
    </row>
    <row r="868">
      <c r="A868" s="27" t="inlineStr">
        <is>
          <t>MK00095</t>
        </is>
      </c>
      <c r="B868" s="13" t="inlineStr">
        <is>
          <t>IN</t>
        </is>
      </c>
      <c r="C868" s="177" t="n">
        <v>46215.41666666666</v>
      </c>
      <c r="D868" s="51" t="n">
        <v>0.7787731481481481</v>
      </c>
      <c r="E868" s="13" t="n">
        <v>528000274</v>
      </c>
      <c r="F868" s="13" t="inlineStr">
        <is>
          <t>Zepri</t>
        </is>
      </c>
      <c r="G868" s="13" t="inlineStr">
        <is>
          <t>Produksi</t>
        </is>
      </c>
      <c r="H868" s="13" t="inlineStr">
        <is>
          <t>Istirahat</t>
        </is>
      </c>
    </row>
    <row r="869">
      <c r="A869" s="27" t="inlineStr">
        <is>
          <t>MK00113</t>
        </is>
      </c>
      <c r="B869" s="13" t="inlineStr">
        <is>
          <t>IN</t>
        </is>
      </c>
      <c r="C869" s="177" t="n">
        <v>46215.41666666666</v>
      </c>
      <c r="D869" s="51" t="n">
        <v>0.7877430555555556</v>
      </c>
      <c r="E869" s="13" t="n">
        <v>528000201</v>
      </c>
      <c r="F869" s="13" t="inlineStr">
        <is>
          <t>Zahwa Amelia Choerunissa</t>
        </is>
      </c>
      <c r="G869" s="13" t="inlineStr">
        <is>
          <t>Produksi</t>
        </is>
      </c>
      <c r="H869" s="13" t="inlineStr">
        <is>
          <t>Istirahat</t>
        </is>
      </c>
    </row>
    <row r="870">
      <c r="A870" s="27" t="inlineStr">
        <is>
          <t>MK00141</t>
        </is>
      </c>
      <c r="B870" s="13" t="inlineStr">
        <is>
          <t>IN</t>
        </is>
      </c>
      <c r="C870" s="177" t="n">
        <v>46215.41666666666</v>
      </c>
      <c r="D870" s="51" t="n">
        <v>0.7878587962962963</v>
      </c>
      <c r="E870" s="13" t="n">
        <v>528000286</v>
      </c>
      <c r="F870" s="13" t="inlineStr">
        <is>
          <t>Imelda Amelia</t>
        </is>
      </c>
      <c r="G870" s="13" t="inlineStr">
        <is>
          <t>Produksi</t>
        </is>
      </c>
      <c r="H870" s="13" t="inlineStr">
        <is>
          <t>Istirahat</t>
        </is>
      </c>
    </row>
    <row r="871">
      <c r="A871" s="27" t="inlineStr">
        <is>
          <t>MK00109</t>
        </is>
      </c>
      <c r="B871" s="13" t="inlineStr">
        <is>
          <t>IN</t>
        </is>
      </c>
      <c r="C871" s="177" t="n">
        <v>46215.41666666666</v>
      </c>
      <c r="D871" s="51" t="n">
        <v>0.7879976851851852</v>
      </c>
      <c r="E871" s="13" t="n">
        <v>528000324</v>
      </c>
      <c r="F871" s="13" t="inlineStr">
        <is>
          <t>Sri Yanti</t>
        </is>
      </c>
      <c r="G871" s="13" t="inlineStr">
        <is>
          <t>Produksi</t>
        </is>
      </c>
      <c r="H871" s="13" t="inlineStr">
        <is>
          <t>Istirahat</t>
        </is>
      </c>
    </row>
    <row r="872">
      <c r="A872" s="27" t="inlineStr">
        <is>
          <t>MK00185</t>
        </is>
      </c>
      <c r="B872" s="13" t="inlineStr">
        <is>
          <t>IN</t>
        </is>
      </c>
      <c r="C872" s="177" t="n">
        <v>46215.41666666666</v>
      </c>
      <c r="D872" s="51" t="n">
        <v>0.7932754629629629</v>
      </c>
      <c r="E872" s="13" t="n">
        <v>528000336</v>
      </c>
      <c r="F872" s="13" t="inlineStr">
        <is>
          <t>Ali Nurhanafi</t>
        </is>
      </c>
      <c r="G872" s="13" t="inlineStr">
        <is>
          <t>Produksi</t>
        </is>
      </c>
      <c r="H872" s="13" t="inlineStr">
        <is>
          <t>Istirahat</t>
        </is>
      </c>
    </row>
    <row r="873">
      <c r="A873" s="27" t="inlineStr">
        <is>
          <t>MK00154</t>
        </is>
      </c>
      <c r="B873" s="13" t="inlineStr">
        <is>
          <t>IN</t>
        </is>
      </c>
      <c r="C873" s="177" t="n">
        <v>46215.41666666666</v>
      </c>
      <c r="D873" s="51" t="n">
        <v>0.8010069444444444</v>
      </c>
      <c r="E873" s="13" t="n">
        <v>528000244</v>
      </c>
      <c r="F873" s="13" t="inlineStr">
        <is>
          <t>Rodian Rifai</t>
        </is>
      </c>
      <c r="G873" s="13" t="inlineStr">
        <is>
          <t>Produksi</t>
        </is>
      </c>
      <c r="H873" s="13" t="inlineStr">
        <is>
          <t>Pekerjaan</t>
        </is>
      </c>
    </row>
    <row r="874">
      <c r="A874" s="27" t="inlineStr">
        <is>
          <t>MK00138</t>
        </is>
      </c>
      <c r="B874" s="13" t="inlineStr">
        <is>
          <t>OUT</t>
        </is>
      </c>
      <c r="C874" s="177" t="n">
        <v>46216.41666666666</v>
      </c>
      <c r="D874" s="51" t="n">
        <v>0.3819560185185185</v>
      </c>
      <c r="E874" s="13" t="n">
        <v>528000359</v>
      </c>
      <c r="F874" s="13" t="inlineStr">
        <is>
          <t>M. Iqbal Maulana. S</t>
        </is>
      </c>
      <c r="G874" s="13" t="inlineStr">
        <is>
          <t>Produksi</t>
        </is>
      </c>
      <c r="H874" s="13" t="inlineStr">
        <is>
          <t>Istirahat</t>
        </is>
      </c>
    </row>
    <row r="875">
      <c r="A875" s="27" t="inlineStr">
        <is>
          <t>MK00185</t>
        </is>
      </c>
      <c r="B875" s="13" t="inlineStr">
        <is>
          <t>OUT</t>
        </is>
      </c>
      <c r="C875" s="177" t="n">
        <v>46216.41666666666</v>
      </c>
      <c r="D875" s="51" t="n">
        <v>0.3905439814814815</v>
      </c>
      <c r="E875" s="13" t="n">
        <v>528000336</v>
      </c>
      <c r="F875" s="13" t="inlineStr">
        <is>
          <t>Ali Nurhanafi</t>
        </is>
      </c>
      <c r="G875" s="13" t="inlineStr">
        <is>
          <t>Produksi</t>
        </is>
      </c>
      <c r="H875" s="13" t="inlineStr">
        <is>
          <t>Istirahat</t>
        </is>
      </c>
    </row>
    <row r="876">
      <c r="A876" s="27" t="inlineStr">
        <is>
          <t>MK00082</t>
        </is>
      </c>
      <c r="B876" s="13" t="inlineStr">
        <is>
          <t>OUT</t>
        </is>
      </c>
      <c r="C876" s="177" t="n">
        <v>46216.41666666666</v>
      </c>
      <c r="D876" s="51" t="n">
        <v>0.3987615740740741</v>
      </c>
      <c r="E876" s="13" t="n">
        <v>528000300</v>
      </c>
      <c r="F876" s="13" t="inlineStr">
        <is>
          <t>Lia pitaloka</t>
        </is>
      </c>
      <c r="G876" s="13" t="inlineStr">
        <is>
          <t>Produksi</t>
        </is>
      </c>
      <c r="H876" s="13" t="inlineStr">
        <is>
          <t>Istirahat</t>
        </is>
      </c>
    </row>
    <row r="877">
      <c r="A877" s="27" t="inlineStr">
        <is>
          <t>MK00138</t>
        </is>
      </c>
      <c r="B877" s="13" t="inlineStr">
        <is>
          <t>IN</t>
        </is>
      </c>
      <c r="C877" s="177" t="n">
        <v>46216.41666666666</v>
      </c>
      <c r="D877" s="51" t="n">
        <v>0.4019444444444444</v>
      </c>
      <c r="E877" s="13" t="n">
        <v>528000359</v>
      </c>
      <c r="F877" s="13" t="inlineStr">
        <is>
          <t>M. Iqbal Maulana. S</t>
        </is>
      </c>
      <c r="G877" s="13" t="inlineStr">
        <is>
          <t>Produksi</t>
        </is>
      </c>
      <c r="H877" s="13" t="inlineStr">
        <is>
          <t>Istirahat</t>
        </is>
      </c>
    </row>
    <row r="878">
      <c r="A878" s="27" t="inlineStr">
        <is>
          <t>MK00235</t>
        </is>
      </c>
      <c r="B878" s="13" t="inlineStr">
        <is>
          <t>OUT</t>
        </is>
      </c>
      <c r="C878" s="177" t="n">
        <v>46216.41666666666</v>
      </c>
      <c r="D878" s="51" t="n">
        <v>0.4033796296296296</v>
      </c>
      <c r="E878" s="13" t="n">
        <v>528000279</v>
      </c>
      <c r="F878" s="13" t="inlineStr">
        <is>
          <t>Mahdalena Dalfa Riani</t>
        </is>
      </c>
      <c r="G878" s="13" t="inlineStr">
        <is>
          <t>Produksi</t>
        </is>
      </c>
      <c r="H878" s="13" t="inlineStr">
        <is>
          <t>Istirahat</t>
        </is>
      </c>
    </row>
    <row r="879">
      <c r="A879" s="27" t="inlineStr">
        <is>
          <t>MK00213</t>
        </is>
      </c>
      <c r="B879" s="13" t="inlineStr">
        <is>
          <t>OUT</t>
        </is>
      </c>
      <c r="C879" s="177" t="n">
        <v>46216.41666666666</v>
      </c>
      <c r="D879" s="51" t="n">
        <v>0.4046643518518518</v>
      </c>
      <c r="E879" s="13" t="n">
        <v>528000015</v>
      </c>
      <c r="F879" s="13" t="inlineStr">
        <is>
          <t>Erwin</t>
        </is>
      </c>
      <c r="G879" s="13" t="inlineStr">
        <is>
          <t>Produksi</t>
        </is>
      </c>
      <c r="H879" s="13" t="inlineStr">
        <is>
          <t>Istirahat</t>
        </is>
      </c>
    </row>
    <row r="880">
      <c r="A880" s="27" t="inlineStr">
        <is>
          <t>MK00082</t>
        </is>
      </c>
      <c r="B880" s="13" t="inlineStr">
        <is>
          <t>IN</t>
        </is>
      </c>
      <c r="C880" s="177" t="n">
        <v>46216.41666666666</v>
      </c>
      <c r="D880" s="51" t="n">
        <v>0.412962962962963</v>
      </c>
      <c r="E880" s="13" t="n">
        <v>528000300</v>
      </c>
      <c r="F880" s="13" t="inlineStr">
        <is>
          <t>Lia pitaloka</t>
        </is>
      </c>
      <c r="G880" s="13" t="inlineStr">
        <is>
          <t>Produksi</t>
        </is>
      </c>
      <c r="H880" s="13" t="inlineStr">
        <is>
          <t>Istirahat</t>
        </is>
      </c>
    </row>
    <row r="881">
      <c r="A881" s="27" t="inlineStr">
        <is>
          <t>MK00154</t>
        </is>
      </c>
      <c r="B881" s="13" t="inlineStr">
        <is>
          <t>OUT</t>
        </is>
      </c>
      <c r="C881" s="177" t="n">
        <v>46216.41666666666</v>
      </c>
      <c r="D881" s="51" t="n">
        <v>0.4206018518518518</v>
      </c>
      <c r="E881" s="13" t="n">
        <v>528000063</v>
      </c>
      <c r="F881" s="13" t="inlineStr">
        <is>
          <t>Muhamad Ripki Pebrian</t>
        </is>
      </c>
      <c r="G881" s="13" t="inlineStr">
        <is>
          <t>Produksi</t>
        </is>
      </c>
      <c r="H881" s="13" t="inlineStr">
        <is>
          <t>Istirahat</t>
        </is>
      </c>
    </row>
    <row r="882">
      <c r="A882" s="27" t="inlineStr">
        <is>
          <t>MK00235</t>
        </is>
      </c>
      <c r="B882" s="13" t="inlineStr">
        <is>
          <t>IN</t>
        </is>
      </c>
      <c r="C882" s="177" t="n">
        <v>46216.41666666666</v>
      </c>
      <c r="D882" s="51" t="n">
        <v>0.4241666666666667</v>
      </c>
      <c r="E882" s="13" t="n">
        <v>528000279</v>
      </c>
      <c r="F882" s="13" t="inlineStr">
        <is>
          <t>Mahdalena Dalfa Riani</t>
        </is>
      </c>
      <c r="G882" s="13" t="inlineStr">
        <is>
          <t>Produksi</t>
        </is>
      </c>
      <c r="H882" s="13" t="inlineStr">
        <is>
          <t>Istirahat</t>
        </is>
      </c>
    </row>
    <row r="883">
      <c r="A883" s="27" t="inlineStr">
        <is>
          <t>MK00121</t>
        </is>
      </c>
      <c r="B883" s="13" t="inlineStr">
        <is>
          <t>OUT</t>
        </is>
      </c>
      <c r="C883" s="177" t="n">
        <v>46216.41666666666</v>
      </c>
      <c r="D883" s="51" t="n">
        <v>0.4377777777777778</v>
      </c>
      <c r="E883" s="13" t="n">
        <v>628000064</v>
      </c>
      <c r="F883" s="13" t="inlineStr">
        <is>
          <t>Silva Alypia</t>
        </is>
      </c>
      <c r="G883" s="13" t="inlineStr">
        <is>
          <t>Produksi</t>
        </is>
      </c>
      <c r="H883" s="13" t="inlineStr">
        <is>
          <t>Istirahat</t>
        </is>
      </c>
    </row>
    <row r="884">
      <c r="A884" s="27" t="inlineStr">
        <is>
          <t>MK00154</t>
        </is>
      </c>
      <c r="B884" s="13" t="inlineStr">
        <is>
          <t>IN</t>
        </is>
      </c>
      <c r="C884" s="177" t="n">
        <v>46216.41666666666</v>
      </c>
      <c r="D884" s="51" t="n">
        <v>0.4502083333333333</v>
      </c>
      <c r="E884" s="13" t="n">
        <v>528000063</v>
      </c>
      <c r="F884" s="13" t="inlineStr">
        <is>
          <t>Muhamad Ripki Pebrian</t>
        </is>
      </c>
      <c r="G884" s="13" t="inlineStr">
        <is>
          <t>Produksi</t>
        </is>
      </c>
      <c r="H884" s="13" t="inlineStr">
        <is>
          <t>Istirahat</t>
        </is>
      </c>
    </row>
    <row r="885">
      <c r="A885" s="27" t="inlineStr">
        <is>
          <t>MK00134</t>
        </is>
      </c>
      <c r="B885" s="13" t="inlineStr">
        <is>
          <t>OUT</t>
        </is>
      </c>
      <c r="C885" s="177" t="n">
        <v>46216.41666666666</v>
      </c>
      <c r="D885" s="51" t="n">
        <v>0.4504976851851852</v>
      </c>
      <c r="E885" s="13" t="n">
        <v>528000297</v>
      </c>
      <c r="F885" s="13" t="inlineStr">
        <is>
          <t>Muhamad Budiana</t>
        </is>
      </c>
      <c r="G885" s="13" t="inlineStr">
        <is>
          <t>Produksi</t>
        </is>
      </c>
      <c r="H885" s="13" t="inlineStr">
        <is>
          <t>Istirahat</t>
        </is>
      </c>
    </row>
    <row r="886">
      <c r="A886" s="27" t="inlineStr">
        <is>
          <t>MK00134</t>
        </is>
      </c>
      <c r="B886" s="13" t="inlineStr">
        <is>
          <t>IN</t>
        </is>
      </c>
      <c r="C886" s="177" t="n">
        <v>46216.41666666666</v>
      </c>
      <c r="D886" s="51" t="n">
        <v>0.450925925925926</v>
      </c>
      <c r="E886" s="13" t="n">
        <v>528000297</v>
      </c>
      <c r="F886" s="13" t="inlineStr">
        <is>
          <t>Muhamad Budiana</t>
        </is>
      </c>
      <c r="G886" s="13" t="inlineStr">
        <is>
          <t>Produksi</t>
        </is>
      </c>
      <c r="H886" s="13" t="inlineStr">
        <is>
          <t>Istirahat</t>
        </is>
      </c>
    </row>
    <row r="887">
      <c r="A887" s="27" t="inlineStr">
        <is>
          <t>MK00121</t>
        </is>
      </c>
      <c r="B887" s="13" t="inlineStr">
        <is>
          <t>IN</t>
        </is>
      </c>
      <c r="C887" s="177" t="n">
        <v>46216.41666666666</v>
      </c>
      <c r="D887" s="51" t="n">
        <v>0.4613425925925926</v>
      </c>
      <c r="E887" s="13" t="n">
        <v>628000064</v>
      </c>
      <c r="F887" s="13" t="inlineStr">
        <is>
          <t>Silva Alypia</t>
        </is>
      </c>
      <c r="G887" s="13" t="inlineStr">
        <is>
          <t>Produksi</t>
        </is>
      </c>
      <c r="H887" s="13" t="inlineStr">
        <is>
          <t>Istirahat</t>
        </is>
      </c>
    </row>
    <row r="888">
      <c r="A888" s="27" t="inlineStr">
        <is>
          <t>MK00121</t>
        </is>
      </c>
      <c r="B888" s="13" t="inlineStr">
        <is>
          <t>OUT</t>
        </is>
      </c>
      <c r="C888" s="177" t="n">
        <v>46216.41666666666</v>
      </c>
      <c r="D888" s="51" t="n">
        <v>0.4619444444444444</v>
      </c>
      <c r="E888" s="13" t="n">
        <v>628000064</v>
      </c>
      <c r="F888" s="13" t="inlineStr">
        <is>
          <t>Silva Alypia</t>
        </is>
      </c>
      <c r="G888" s="13" t="inlineStr">
        <is>
          <t>Produksi</t>
        </is>
      </c>
      <c r="H888" s="13" t="inlineStr">
        <is>
          <t>Toilet</t>
        </is>
      </c>
    </row>
    <row r="889">
      <c r="A889" s="27" t="inlineStr">
        <is>
          <t>MK00121</t>
        </is>
      </c>
      <c r="B889" s="13" t="inlineStr">
        <is>
          <t>IN</t>
        </is>
      </c>
      <c r="C889" s="177" t="n">
        <v>46216.41666666666</v>
      </c>
      <c r="D889" s="51" t="n">
        <v>0.4627430555555556</v>
      </c>
      <c r="E889" s="13" t="n">
        <v>628000064</v>
      </c>
      <c r="F889" s="13" t="inlineStr">
        <is>
          <t>Silva Alypia</t>
        </is>
      </c>
      <c r="G889" s="13" t="inlineStr">
        <is>
          <t>Produksi</t>
        </is>
      </c>
      <c r="H889" s="13" t="inlineStr">
        <is>
          <t>Toilet</t>
        </is>
      </c>
    </row>
    <row r="890">
      <c r="A890" s="27" t="inlineStr">
        <is>
          <t>MK00082</t>
        </is>
      </c>
      <c r="B890" s="13" t="inlineStr">
        <is>
          <t>OUT</t>
        </is>
      </c>
      <c r="C890" s="177" t="n">
        <v>46216.41666666666</v>
      </c>
      <c r="D890" s="51" t="n">
        <v>0.4704398148148148</v>
      </c>
      <c r="E890" s="13" t="n">
        <v>528000300</v>
      </c>
      <c r="F890" s="13" t="inlineStr">
        <is>
          <t>Lia pitaloka</t>
        </is>
      </c>
      <c r="G890" s="13" t="inlineStr">
        <is>
          <t>Produksi</t>
        </is>
      </c>
      <c r="H890" s="13" t="inlineStr">
        <is>
          <t>Toilet</t>
        </is>
      </c>
    </row>
    <row r="891">
      <c r="A891" s="27" t="inlineStr">
        <is>
          <t>MK00082</t>
        </is>
      </c>
      <c r="B891" s="13" t="inlineStr">
        <is>
          <t>IN</t>
        </is>
      </c>
      <c r="C891" s="177" t="n">
        <v>46216.41666666666</v>
      </c>
      <c r="D891" s="51" t="n">
        <v>0.4721990740740741</v>
      </c>
      <c r="E891" s="13" t="n">
        <v>528000300</v>
      </c>
      <c r="F891" s="13" t="inlineStr">
        <is>
          <t>Lia pitaloka</t>
        </is>
      </c>
      <c r="G891" s="13" t="inlineStr">
        <is>
          <t>Produksi</t>
        </is>
      </c>
      <c r="H891" s="13" t="inlineStr">
        <is>
          <t>Toilet</t>
        </is>
      </c>
    </row>
    <row r="892">
      <c r="A892" s="27" t="inlineStr">
        <is>
          <t>MK00235</t>
        </is>
      </c>
      <c r="B892" s="13" t="inlineStr">
        <is>
          <t>OUT</t>
        </is>
      </c>
      <c r="C892" s="177" t="n">
        <v>46216.41666666666</v>
      </c>
      <c r="D892" s="51" t="n">
        <v>0.5234722222222222</v>
      </c>
      <c r="E892" s="13" t="n">
        <v>528000279</v>
      </c>
      <c r="F892" s="13" t="inlineStr">
        <is>
          <t>Mahdalena Dalfa Riani</t>
        </is>
      </c>
      <c r="G892" s="13" t="inlineStr">
        <is>
          <t>Produksi</t>
        </is>
      </c>
      <c r="H892" s="13" t="inlineStr">
        <is>
          <t>Sholat</t>
        </is>
      </c>
    </row>
    <row r="893">
      <c r="A893" s="27" t="inlineStr">
        <is>
          <t>MK00154</t>
        </is>
      </c>
      <c r="B893" s="13" t="inlineStr">
        <is>
          <t>OUT</t>
        </is>
      </c>
      <c r="C893" s="177" t="n">
        <v>46216.41666666666</v>
      </c>
      <c r="D893" s="51" t="n">
        <v>0.5249884259259259</v>
      </c>
      <c r="E893" s="13" t="n">
        <v>528000063</v>
      </c>
      <c r="F893" s="13" t="inlineStr">
        <is>
          <t>Muhamad Ripki Pebrian</t>
        </is>
      </c>
      <c r="G893" s="13" t="inlineStr">
        <is>
          <t>Produksi</t>
        </is>
      </c>
      <c r="H893" s="13" t="inlineStr">
        <is>
          <t>Sholat</t>
        </is>
      </c>
    </row>
    <row r="894">
      <c r="A894" s="27" t="inlineStr">
        <is>
          <t>MK00138</t>
        </is>
      </c>
      <c r="B894" s="13" t="inlineStr">
        <is>
          <t>OUT</t>
        </is>
      </c>
      <c r="C894" s="177" t="n">
        <v>46216.41666666666</v>
      </c>
      <c r="D894" s="51" t="n">
        <v>0.5317013888888888</v>
      </c>
      <c r="E894" s="13" t="n">
        <v>528000359</v>
      </c>
      <c r="F894" s="13" t="inlineStr">
        <is>
          <t>M. Iqbal Maulana. S</t>
        </is>
      </c>
      <c r="G894" s="13" t="inlineStr">
        <is>
          <t>Produksi</t>
        </is>
      </c>
      <c r="H894" s="13" t="inlineStr">
        <is>
          <t>Sholat</t>
        </is>
      </c>
    </row>
    <row r="895">
      <c r="A895" s="27" t="inlineStr">
        <is>
          <t>MK00235</t>
        </is>
      </c>
      <c r="B895" s="13" t="inlineStr">
        <is>
          <t>IN</t>
        </is>
      </c>
      <c r="C895" s="177" t="n">
        <v>46216.41666666666</v>
      </c>
      <c r="D895" s="51" t="n">
        <v>0.5318634259259259</v>
      </c>
      <c r="E895" s="13" t="n">
        <v>528000279</v>
      </c>
      <c r="F895" s="13" t="inlineStr">
        <is>
          <t>Mahdalena Dalfa Riani</t>
        </is>
      </c>
      <c r="G895" s="13" t="inlineStr">
        <is>
          <t>Produksi</t>
        </is>
      </c>
      <c r="H895" s="13" t="inlineStr">
        <is>
          <t>Sholat</t>
        </is>
      </c>
    </row>
    <row r="896">
      <c r="A896" s="27" t="inlineStr">
        <is>
          <t>MK00154</t>
        </is>
      </c>
      <c r="B896" s="13" t="inlineStr">
        <is>
          <t>IN</t>
        </is>
      </c>
      <c r="C896" s="177" t="n">
        <v>46216.41666666666</v>
      </c>
      <c r="D896" s="51" t="n">
        <v>0.534375</v>
      </c>
      <c r="E896" s="13" t="n">
        <v>528000063</v>
      </c>
      <c r="F896" s="13" t="inlineStr">
        <is>
          <t>Muhamad Ripki Pebrian</t>
        </is>
      </c>
      <c r="G896" s="13" t="inlineStr">
        <is>
          <t>Produksi</t>
        </is>
      </c>
      <c r="H896" s="13" t="inlineStr">
        <is>
          <t>Sholat</t>
        </is>
      </c>
    </row>
    <row r="897">
      <c r="A897" s="27" t="inlineStr">
        <is>
          <t>MK00121</t>
        </is>
      </c>
      <c r="B897" s="13" t="inlineStr">
        <is>
          <t>OUT</t>
        </is>
      </c>
      <c r="C897" s="177" t="n">
        <v>46216.41666666666</v>
      </c>
      <c r="D897" s="51" t="n">
        <v>0.5345486111111111</v>
      </c>
      <c r="E897" s="13" t="n">
        <v>628000064</v>
      </c>
      <c r="F897" s="13" t="inlineStr">
        <is>
          <t>Silva Alypia</t>
        </is>
      </c>
      <c r="G897" s="13" t="inlineStr">
        <is>
          <t>Produksi</t>
        </is>
      </c>
      <c r="H897" s="13" t="inlineStr">
        <is>
          <t>Sholat</t>
        </is>
      </c>
    </row>
    <row r="898">
      <c r="A898" s="27" t="inlineStr">
        <is>
          <t>MK00138</t>
        </is>
      </c>
      <c r="B898" s="13" t="inlineStr">
        <is>
          <t>IN</t>
        </is>
      </c>
      <c r="C898" s="177" t="n">
        <v>46216.41666666666</v>
      </c>
      <c r="D898" s="51" t="n">
        <v>0.5378356481481481</v>
      </c>
      <c r="E898" s="13" t="n">
        <v>528000359</v>
      </c>
      <c r="F898" s="13" t="inlineStr">
        <is>
          <t>M. Iqbal Maulana. S</t>
        </is>
      </c>
      <c r="G898" s="13" t="inlineStr">
        <is>
          <t>Produksi</t>
        </is>
      </c>
      <c r="H898" s="13" t="inlineStr">
        <is>
          <t>Sholat</t>
        </is>
      </c>
    </row>
    <row r="899">
      <c r="A899" s="27" t="inlineStr">
        <is>
          <t>MK00121</t>
        </is>
      </c>
      <c r="B899" s="13" t="inlineStr">
        <is>
          <t>IN</t>
        </is>
      </c>
      <c r="C899" s="177" t="n">
        <v>46216.41666666666</v>
      </c>
      <c r="D899" s="51" t="n">
        <v>0.5417939814814815</v>
      </c>
      <c r="E899" s="13" t="n">
        <v>628000064</v>
      </c>
      <c r="F899" s="13" t="inlineStr">
        <is>
          <t>Silva Alypia</t>
        </is>
      </c>
      <c r="G899" s="13" t="inlineStr">
        <is>
          <t>Produksi</t>
        </is>
      </c>
      <c r="H899" s="13" t="inlineStr">
        <is>
          <t>Sholat</t>
        </is>
      </c>
    </row>
    <row r="900">
      <c r="A900" s="27" t="inlineStr">
        <is>
          <t>MK00250</t>
        </is>
      </c>
      <c r="B900" s="13" t="inlineStr">
        <is>
          <t>IN</t>
        </is>
      </c>
      <c r="C900" s="177" t="n">
        <v>46216.41666666666</v>
      </c>
      <c r="D900" s="51" t="n">
        <v>0.7378125</v>
      </c>
      <c r="E900" s="13" t="n">
        <v>528000212</v>
      </c>
      <c r="F900" s="13" t="inlineStr">
        <is>
          <t>Rizal Fauzi</t>
        </is>
      </c>
      <c r="G900" s="13" t="inlineStr">
        <is>
          <t>Produksi</t>
        </is>
      </c>
      <c r="H900" s="13" t="inlineStr">
        <is>
          <t>Istirahat</t>
        </is>
      </c>
    </row>
    <row r="901">
      <c r="A901" s="27" t="inlineStr">
        <is>
          <t>MK00141</t>
        </is>
      </c>
      <c r="B901" s="13" t="inlineStr">
        <is>
          <t>OUT</t>
        </is>
      </c>
      <c r="C901" s="177" t="n">
        <v>46216.41666666666</v>
      </c>
      <c r="D901" s="51" t="n">
        <v>0.7389583333333334</v>
      </c>
      <c r="E901" s="13" t="n">
        <v>528000340</v>
      </c>
      <c r="F901" s="13" t="inlineStr">
        <is>
          <t>Muhammad Wildan Adithya</t>
        </is>
      </c>
      <c r="G901" s="13" t="inlineStr">
        <is>
          <t>Produksi</t>
        </is>
      </c>
      <c r="H901" s="13" t="inlineStr">
        <is>
          <t>Istirahat</t>
        </is>
      </c>
    </row>
    <row r="902">
      <c r="A902" s="27" t="inlineStr">
        <is>
          <t>MK00136</t>
        </is>
      </c>
      <c r="B902" s="13" t="inlineStr">
        <is>
          <t>OUT</t>
        </is>
      </c>
      <c r="C902" s="177" t="n">
        <v>46216.41666666666</v>
      </c>
      <c r="D902" s="51" t="n">
        <v>0.7436805555555556</v>
      </c>
      <c r="E902" s="13" t="n">
        <v>528000274</v>
      </c>
      <c r="F902" s="13" t="inlineStr">
        <is>
          <t>Zepri</t>
        </is>
      </c>
      <c r="G902" s="13" t="inlineStr">
        <is>
          <t>Produksi</t>
        </is>
      </c>
      <c r="H902" s="13" t="inlineStr">
        <is>
          <t>Istirahat</t>
        </is>
      </c>
    </row>
    <row r="903">
      <c r="A903" s="27" t="inlineStr">
        <is>
          <t>MK00112</t>
        </is>
      </c>
      <c r="B903" s="13" t="inlineStr">
        <is>
          <t>OUT</t>
        </is>
      </c>
      <c r="C903" s="177" t="n">
        <v>46216.41666666666</v>
      </c>
      <c r="D903" s="51" t="n">
        <v>0.7498032407407408</v>
      </c>
      <c r="E903" s="13" t="n">
        <v>528000318</v>
      </c>
      <c r="F903" s="13" t="inlineStr">
        <is>
          <t>Bayu Padli Sepriyana</t>
        </is>
      </c>
      <c r="G903" s="13" t="inlineStr">
        <is>
          <t>Produksi</t>
        </is>
      </c>
      <c r="H903" s="13" t="inlineStr">
        <is>
          <t>Istirahat</t>
        </is>
      </c>
    </row>
    <row r="904">
      <c r="A904" s="27" t="inlineStr">
        <is>
          <t>MK00148</t>
        </is>
      </c>
      <c r="B904" s="13" t="inlineStr">
        <is>
          <t>OUT</t>
        </is>
      </c>
      <c r="C904" s="177" t="n">
        <v>46216.41666666666</v>
      </c>
      <c r="D904" s="51" t="n">
        <v>0.7626157407407408</v>
      </c>
      <c r="E904" s="13" t="n">
        <v>528000286</v>
      </c>
      <c r="F904" s="13" t="inlineStr">
        <is>
          <t>Imelda Amelia</t>
        </is>
      </c>
      <c r="G904" s="13" t="inlineStr">
        <is>
          <t>Produksi</t>
        </is>
      </c>
      <c r="H904" s="13" t="inlineStr">
        <is>
          <t>Istirahat</t>
        </is>
      </c>
    </row>
    <row r="905">
      <c r="A905" s="27" t="inlineStr">
        <is>
          <t>MK00116</t>
        </is>
      </c>
      <c r="B905" s="13" t="inlineStr">
        <is>
          <t>OUT</t>
        </is>
      </c>
      <c r="C905" s="177" t="n">
        <v>46216.41666666666</v>
      </c>
      <c r="D905" s="51" t="n">
        <v>0.7627893518518518</v>
      </c>
      <c r="E905" s="13" t="n">
        <v>528000099</v>
      </c>
      <c r="F905" s="13" t="inlineStr">
        <is>
          <t>Siti Nurawaliah</t>
        </is>
      </c>
      <c r="G905" s="13" t="inlineStr">
        <is>
          <t>Produksi</t>
        </is>
      </c>
      <c r="H905" s="13" t="inlineStr">
        <is>
          <t>Istirahat</t>
        </is>
      </c>
    </row>
    <row r="906">
      <c r="A906" s="27" t="inlineStr">
        <is>
          <t>MK00250</t>
        </is>
      </c>
      <c r="B906" s="13" t="inlineStr">
        <is>
          <t>OUT</t>
        </is>
      </c>
      <c r="C906" s="177" t="n">
        <v>46216.41666666666</v>
      </c>
      <c r="D906" s="51" t="n">
        <v>0.7629861111111111</v>
      </c>
      <c r="E906" s="13" t="n">
        <v>528000212</v>
      </c>
      <c r="F906" s="13" t="inlineStr">
        <is>
          <t>Rizal Fauzi</t>
        </is>
      </c>
      <c r="G906" s="13" t="inlineStr">
        <is>
          <t>Produksi</t>
        </is>
      </c>
      <c r="H906" s="13" t="inlineStr">
        <is>
          <t>Istirahat</t>
        </is>
      </c>
    </row>
    <row r="907">
      <c r="A907" s="27" t="inlineStr">
        <is>
          <t>MK00250</t>
        </is>
      </c>
      <c r="B907" s="13" t="inlineStr">
        <is>
          <t>IN</t>
        </is>
      </c>
      <c r="C907" s="177" t="n">
        <v>46216.41666666666</v>
      </c>
      <c r="D907" s="51" t="n">
        <v>0.7631944444444444</v>
      </c>
      <c r="E907" s="13" t="n">
        <v>528000212</v>
      </c>
      <c r="F907" s="13" t="inlineStr">
        <is>
          <t>Rizal Fauzi</t>
        </is>
      </c>
      <c r="G907" s="13" t="inlineStr">
        <is>
          <t>Produksi</t>
        </is>
      </c>
      <c r="H907" s="13" t="inlineStr">
        <is>
          <t>Istirahat</t>
        </is>
      </c>
    </row>
    <row r="908">
      <c r="A908" s="27" t="inlineStr">
        <is>
          <t>MK00141</t>
        </is>
      </c>
      <c r="B908" s="13" t="inlineStr">
        <is>
          <t>IN</t>
        </is>
      </c>
      <c r="C908" s="177" t="n">
        <v>46216.41666666666</v>
      </c>
      <c r="D908" s="51" t="n">
        <v>0.7634837962962963</v>
      </c>
      <c r="E908" s="13" t="n">
        <v>528000340</v>
      </c>
      <c r="F908" s="13" t="inlineStr">
        <is>
          <t>Muhammad Wildan Adithya</t>
        </is>
      </c>
      <c r="G908" s="13" t="inlineStr">
        <is>
          <t>Produksi</t>
        </is>
      </c>
      <c r="H908" s="13" t="inlineStr">
        <is>
          <t>Istirahat</t>
        </is>
      </c>
    </row>
    <row r="909">
      <c r="A909" s="27" t="inlineStr">
        <is>
          <t>MK00136</t>
        </is>
      </c>
      <c r="B909" s="13" t="inlineStr">
        <is>
          <t>IN</t>
        </is>
      </c>
      <c r="C909" s="177" t="n">
        <v>46216.41666666666</v>
      </c>
      <c r="D909" s="51" t="n">
        <v>0.766875</v>
      </c>
      <c r="E909" s="13" t="n">
        <v>528000274</v>
      </c>
      <c r="F909" s="13" t="inlineStr">
        <is>
          <t>Zepri</t>
        </is>
      </c>
      <c r="G909" s="13" t="inlineStr">
        <is>
          <t>Produksi</t>
        </is>
      </c>
      <c r="H909" s="13" t="inlineStr">
        <is>
          <t>Istirahat</t>
        </is>
      </c>
    </row>
    <row r="910">
      <c r="A910" s="27" t="inlineStr">
        <is>
          <t>MK00112</t>
        </is>
      </c>
      <c r="B910" s="13" t="inlineStr">
        <is>
          <t>IN</t>
        </is>
      </c>
      <c r="C910" s="177" t="n">
        <v>46216.41666666666</v>
      </c>
      <c r="D910" s="51" t="n">
        <v>0.7730787037037037</v>
      </c>
      <c r="E910" s="13" t="n">
        <v>528000318</v>
      </c>
      <c r="F910" s="13" t="inlineStr">
        <is>
          <t>Bayu Padli Sepriyana</t>
        </is>
      </c>
      <c r="G910" s="13" t="inlineStr">
        <is>
          <t>Produksi</t>
        </is>
      </c>
      <c r="H910" s="13" t="inlineStr">
        <is>
          <t>Istirahat</t>
        </is>
      </c>
    </row>
    <row r="911">
      <c r="A911" s="27" t="inlineStr">
        <is>
          <t>MK00055</t>
        </is>
      </c>
      <c r="B911" s="13" t="inlineStr">
        <is>
          <t>OUT</t>
        </is>
      </c>
      <c r="C911" s="177" t="n">
        <v>46216.41666666666</v>
      </c>
      <c r="D911" s="51" t="n">
        <v>0.7778703703703703</v>
      </c>
      <c r="E911" s="13" t="n">
        <v>528000090</v>
      </c>
      <c r="F911" s="13" t="inlineStr">
        <is>
          <t>Suganda</t>
        </is>
      </c>
      <c r="G911" s="13" t="inlineStr">
        <is>
          <t>Produksi</t>
        </is>
      </c>
      <c r="H911" s="13" t="inlineStr">
        <is>
          <t>Istirahat</t>
        </is>
      </c>
    </row>
    <row r="912">
      <c r="A912" s="27" t="inlineStr">
        <is>
          <t>MK00148</t>
        </is>
      </c>
      <c r="B912" s="13" t="inlineStr">
        <is>
          <t>IN</t>
        </is>
      </c>
      <c r="C912" s="177" t="n">
        <v>46216.41666666666</v>
      </c>
      <c r="D912" s="51" t="n">
        <v>0.7861342592592593</v>
      </c>
      <c r="E912" s="13" t="n">
        <v>528000286</v>
      </c>
      <c r="F912" s="13" t="inlineStr">
        <is>
          <t>Imelda Amelia</t>
        </is>
      </c>
      <c r="G912" s="13" t="inlineStr">
        <is>
          <t>Produksi</t>
        </is>
      </c>
      <c r="H912" s="13" t="inlineStr">
        <is>
          <t>Istirahat</t>
        </is>
      </c>
    </row>
    <row r="913">
      <c r="A913" s="27" t="inlineStr">
        <is>
          <t>MK00116</t>
        </is>
      </c>
      <c r="B913" s="13" t="inlineStr">
        <is>
          <t>IN</t>
        </is>
      </c>
      <c r="C913" s="177" t="n">
        <v>46216.41666666666</v>
      </c>
      <c r="D913" s="51" t="n">
        <v>0.78625</v>
      </c>
      <c r="E913" s="13" t="n">
        <v>528000099</v>
      </c>
      <c r="F913" s="13" t="inlineStr">
        <is>
          <t>Siti Nurawaliah</t>
        </is>
      </c>
      <c r="G913" s="13" t="inlineStr">
        <is>
          <t>Produksi</t>
        </is>
      </c>
      <c r="H913" s="13" t="inlineStr">
        <is>
          <t>Istirahat</t>
        </is>
      </c>
    </row>
    <row r="914">
      <c r="A914" s="27" t="inlineStr">
        <is>
          <t>MK00136</t>
        </is>
      </c>
      <c r="B914" s="13" t="inlineStr">
        <is>
          <t>OUT</t>
        </is>
      </c>
      <c r="C914" s="177" t="n">
        <v>46217.41666666666</v>
      </c>
      <c r="D914" s="51" t="n">
        <v>0.4133680555555556</v>
      </c>
      <c r="E914" s="13" t="n">
        <v>528000300</v>
      </c>
      <c r="F914" s="13" t="inlineStr">
        <is>
          <t>Lia pitaloka</t>
        </is>
      </c>
      <c r="G914" s="13" t="inlineStr">
        <is>
          <t>Produksi</t>
        </is>
      </c>
      <c r="H914" s="13" t="inlineStr">
        <is>
          <t>Istirahat</t>
        </is>
      </c>
    </row>
    <row r="915">
      <c r="A915" s="27" t="inlineStr">
        <is>
          <t>MK00203</t>
        </is>
      </c>
      <c r="B915" s="13" t="inlineStr">
        <is>
          <t>OUT</t>
        </is>
      </c>
      <c r="C915" s="177" t="n">
        <v>46217.41666666666</v>
      </c>
      <c r="D915" s="51" t="n">
        <v>0.4138078703703704</v>
      </c>
      <c r="E915" s="13" t="n">
        <v>528000279</v>
      </c>
      <c r="F915" s="13" t="inlineStr">
        <is>
          <t>Mahdalena Dalfa Riani</t>
        </is>
      </c>
      <c r="G915" s="13" t="inlineStr">
        <is>
          <t>Produksi</t>
        </is>
      </c>
      <c r="H915" s="13" t="inlineStr">
        <is>
          <t>Istirahat</t>
        </is>
      </c>
    </row>
    <row r="916">
      <c r="A916" s="27" t="inlineStr">
        <is>
          <t>MK00141</t>
        </is>
      </c>
      <c r="B916" s="13" t="inlineStr">
        <is>
          <t>OUT</t>
        </is>
      </c>
      <c r="C916" s="177" t="n">
        <v>46217.41666666666</v>
      </c>
      <c r="D916" s="51" t="n">
        <v>0.4145138888888889</v>
      </c>
      <c r="E916" s="13" t="n">
        <v>528000063</v>
      </c>
      <c r="F916" s="13" t="inlineStr">
        <is>
          <t>Muhamad Ripki Pebrian</t>
        </is>
      </c>
      <c r="G916" s="13" t="inlineStr">
        <is>
          <t>Produksi</t>
        </is>
      </c>
      <c r="H916" s="13" t="inlineStr">
        <is>
          <t>Istirahat</t>
        </is>
      </c>
    </row>
    <row r="917">
      <c r="A917" s="27" t="inlineStr">
        <is>
          <t>MK00203</t>
        </is>
      </c>
      <c r="B917" s="13" t="inlineStr">
        <is>
          <t>IN</t>
        </is>
      </c>
      <c r="C917" s="177" t="n">
        <v>46217.41666666666</v>
      </c>
      <c r="D917" s="51" t="n">
        <v>0.4367245370370371</v>
      </c>
      <c r="E917" s="13" t="n">
        <v>528000279</v>
      </c>
      <c r="F917" s="13" t="inlineStr">
        <is>
          <t>Mahdalena Dalfa Riani</t>
        </is>
      </c>
      <c r="G917" s="13" t="inlineStr">
        <is>
          <t>Produksi</t>
        </is>
      </c>
      <c r="H917" s="13" t="inlineStr">
        <is>
          <t>Istirahat</t>
        </is>
      </c>
    </row>
    <row r="918">
      <c r="A918" s="27" t="inlineStr">
        <is>
          <t>MK00136</t>
        </is>
      </c>
      <c r="B918" s="13" t="inlineStr">
        <is>
          <t>IN</t>
        </is>
      </c>
      <c r="C918" s="177" t="n">
        <v>46217.41666666666</v>
      </c>
      <c r="D918" s="51" t="n">
        <v>0.4368634259259259</v>
      </c>
      <c r="E918" s="13" t="n">
        <v>528000300</v>
      </c>
      <c r="F918" s="13" t="inlineStr">
        <is>
          <t>Lia pitaloka</t>
        </is>
      </c>
      <c r="G918" s="13" t="inlineStr">
        <is>
          <t>Produksi</t>
        </is>
      </c>
      <c r="H918" s="13" t="inlineStr">
        <is>
          <t>Istirahat</t>
        </is>
      </c>
    </row>
    <row r="919">
      <c r="A919" s="27" t="inlineStr">
        <is>
          <t>MK00141</t>
        </is>
      </c>
      <c r="B919" s="13" t="inlineStr">
        <is>
          <t>IN</t>
        </is>
      </c>
      <c r="C919" s="177" t="n">
        <v>46217.41666666666</v>
      </c>
      <c r="D919" s="51" t="n">
        <v>0.4434027777777778</v>
      </c>
      <c r="E919" s="13" t="n">
        <v>528000063</v>
      </c>
      <c r="F919" s="13" t="inlineStr">
        <is>
          <t>Muhamad Ripki Pebrian</t>
        </is>
      </c>
      <c r="G919" s="13" t="inlineStr">
        <is>
          <t>Produksi</t>
        </is>
      </c>
      <c r="H919" s="13" t="inlineStr">
        <is>
          <t>Istirahat</t>
        </is>
      </c>
    </row>
    <row r="920">
      <c r="A920" s="27" t="inlineStr">
        <is>
          <t>MK00192</t>
        </is>
      </c>
      <c r="B920" s="13" t="inlineStr">
        <is>
          <t>OUT</t>
        </is>
      </c>
      <c r="C920" s="177" t="n">
        <v>46217.41666666666</v>
      </c>
      <c r="D920" s="51" t="n">
        <v>0.4627083333333333</v>
      </c>
      <c r="E920" s="13" t="n">
        <v>528000289</v>
      </c>
      <c r="F920" s="13" t="inlineStr">
        <is>
          <t>Adit Supriyadi</t>
        </is>
      </c>
      <c r="G920" s="13" t="inlineStr">
        <is>
          <t>Produksi</t>
        </is>
      </c>
    </row>
    <row r="921">
      <c r="A921" s="27" t="inlineStr">
        <is>
          <t>MK00138</t>
        </is>
      </c>
      <c r="B921" s="13" t="inlineStr">
        <is>
          <t>OUT</t>
        </is>
      </c>
      <c r="C921" s="177" t="n">
        <v>46217.41666666666</v>
      </c>
      <c r="D921" s="51" t="n">
        <v>0.6914583333333333</v>
      </c>
      <c r="E921" s="13" t="n">
        <v>528000359</v>
      </c>
      <c r="F921" s="13" t="inlineStr">
        <is>
          <t>M. Iqbal Maulana. S</t>
        </is>
      </c>
      <c r="G921" s="13" t="inlineStr">
        <is>
          <t>Produksi</t>
        </is>
      </c>
      <c r="H921" s="13" t="inlineStr">
        <is>
          <t>Istirahat</t>
        </is>
      </c>
    </row>
    <row r="922">
      <c r="A922" s="27" t="inlineStr">
        <is>
          <t>MK00145</t>
        </is>
      </c>
      <c r="B922" s="13" t="inlineStr">
        <is>
          <t>OUT</t>
        </is>
      </c>
      <c r="C922" s="177" t="n">
        <v>46217.41666666666</v>
      </c>
      <c r="D922" s="51" t="n">
        <v>0.7445717592592592</v>
      </c>
      <c r="E922" s="13" t="n">
        <v>528000090</v>
      </c>
      <c r="F922" s="13" t="inlineStr">
        <is>
          <t>Suganda</t>
        </is>
      </c>
      <c r="G922" s="13" t="inlineStr">
        <is>
          <t>Produksi</t>
        </is>
      </c>
      <c r="H922" s="13" t="inlineStr">
        <is>
          <t>Istirahat</t>
        </is>
      </c>
    </row>
    <row r="923">
      <c r="A923" s="27" t="inlineStr">
        <is>
          <t>MK00204</t>
        </is>
      </c>
      <c r="B923" s="13" t="inlineStr">
        <is>
          <t>OUT</t>
        </is>
      </c>
      <c r="C923" s="177" t="n">
        <v>46217.41666666666</v>
      </c>
      <c r="D923" s="51" t="n">
        <v>0.7447337962962963</v>
      </c>
      <c r="E923" s="13" t="n">
        <v>528000241</v>
      </c>
      <c r="F923" s="13" t="inlineStr">
        <is>
          <t>Balia Nurafif Bilah</t>
        </is>
      </c>
      <c r="G923" s="13" t="inlineStr">
        <is>
          <t>Produksi</t>
        </is>
      </c>
      <c r="H923" s="13" t="inlineStr">
        <is>
          <t>Istirahat</t>
        </is>
      </c>
    </row>
    <row r="924">
      <c r="A924" s="27" t="inlineStr">
        <is>
          <t>MK00181</t>
        </is>
      </c>
      <c r="B924" s="13" t="inlineStr">
        <is>
          <t>OUT</t>
        </is>
      </c>
      <c r="C924" s="177" t="n">
        <v>46217.41666666666</v>
      </c>
      <c r="D924" s="51" t="n">
        <v>0.7621643518518518</v>
      </c>
      <c r="E924" s="13" t="n">
        <v>528000099</v>
      </c>
      <c r="F924" s="13" t="inlineStr">
        <is>
          <t>Siti Nurawaliah</t>
        </is>
      </c>
      <c r="G924" s="13" t="inlineStr">
        <is>
          <t>Produksi</t>
        </is>
      </c>
    </row>
    <row r="925">
      <c r="A925" s="27" t="inlineStr">
        <is>
          <t>MK00156</t>
        </is>
      </c>
      <c r="B925" s="13" t="inlineStr">
        <is>
          <t>OUT</t>
        </is>
      </c>
      <c r="C925" s="177" t="n">
        <v>46217.41666666666</v>
      </c>
      <c r="D925" s="51" t="n">
        <v>0.762349537037037</v>
      </c>
      <c r="E925" s="13" t="n">
        <v>528000286</v>
      </c>
      <c r="F925" s="13" t="inlineStr">
        <is>
          <t>Imelda Amelia</t>
        </is>
      </c>
      <c r="G925" s="13" t="inlineStr">
        <is>
          <t>Produksi</t>
        </is>
      </c>
      <c r="H925" s="13" t="inlineStr">
        <is>
          <t>Istirahat</t>
        </is>
      </c>
    </row>
    <row r="926">
      <c r="A926" s="27" t="inlineStr">
        <is>
          <t>MK00090</t>
        </is>
      </c>
      <c r="B926" s="13" t="inlineStr">
        <is>
          <t>OUT</t>
        </is>
      </c>
      <c r="C926" s="177" t="n">
        <v>46217.41666666666</v>
      </c>
      <c r="D926" s="51" t="n">
        <v>0.7625694444444444</v>
      </c>
      <c r="E926" s="13" t="n">
        <v>528000201</v>
      </c>
      <c r="F926" s="13" t="inlineStr">
        <is>
          <t>Zahwa Amelia Choerunissa</t>
        </is>
      </c>
      <c r="G926" s="13" t="inlineStr">
        <is>
          <t>Produksi</t>
        </is>
      </c>
      <c r="H926" s="13" t="inlineStr">
        <is>
          <t>Istirahat</t>
        </is>
      </c>
    </row>
    <row r="927">
      <c r="A927" s="27" t="inlineStr">
        <is>
          <t>MK00138</t>
        </is>
      </c>
      <c r="B927" s="13" t="inlineStr">
        <is>
          <t>IN</t>
        </is>
      </c>
      <c r="C927" s="177" t="n">
        <v>46217.41666666666</v>
      </c>
      <c r="D927" s="51" t="n">
        <v>0.7631944444444444</v>
      </c>
      <c r="E927" s="13" t="n">
        <v>528000359</v>
      </c>
      <c r="F927" s="13" t="inlineStr">
        <is>
          <t>M. Iqbal Maulana. S</t>
        </is>
      </c>
      <c r="G927" s="13" t="inlineStr">
        <is>
          <t>Produksi</t>
        </is>
      </c>
      <c r="H927" s="13" t="inlineStr">
        <is>
          <t>Istirahat</t>
        </is>
      </c>
    </row>
    <row r="928">
      <c r="A928" s="27" t="inlineStr">
        <is>
          <t>MK00145</t>
        </is>
      </c>
      <c r="B928" s="13" t="inlineStr">
        <is>
          <t>IN</t>
        </is>
      </c>
      <c r="C928" s="177" t="n">
        <v>46217.41666666666</v>
      </c>
      <c r="D928" s="51" t="n">
        <v>0.7634027777777778</v>
      </c>
      <c r="E928" s="13" t="n">
        <v>528000090</v>
      </c>
      <c r="F928" s="13" t="inlineStr">
        <is>
          <t>Suganda</t>
        </is>
      </c>
      <c r="G928" s="13" t="inlineStr">
        <is>
          <t>Produksi</t>
        </is>
      </c>
      <c r="H928" s="13" t="inlineStr">
        <is>
          <t>Istirahat</t>
        </is>
      </c>
    </row>
    <row r="929">
      <c r="A929" s="27" t="inlineStr">
        <is>
          <t>MK00204</t>
        </is>
      </c>
      <c r="B929" s="13" t="inlineStr">
        <is>
          <t>IN</t>
        </is>
      </c>
      <c r="C929" s="177" t="n">
        <v>46217.41666666666</v>
      </c>
      <c r="D929" s="51" t="n">
        <v>0.765162037037037</v>
      </c>
      <c r="E929" s="13" t="n">
        <v>528000241</v>
      </c>
      <c r="F929" s="13" t="inlineStr">
        <is>
          <t>Balia Nurafif Bilah</t>
        </is>
      </c>
      <c r="G929" s="13" t="inlineStr">
        <is>
          <t>Produksi</t>
        </is>
      </c>
    </row>
    <row r="930">
      <c r="A930" s="27" t="inlineStr">
        <is>
          <t>MK00249</t>
        </is>
      </c>
      <c r="B930" s="13" t="inlineStr">
        <is>
          <t>OUT</t>
        </is>
      </c>
      <c r="C930" s="177" t="n">
        <v>46217.41666666666</v>
      </c>
      <c r="D930" s="51" t="n">
        <v>0.7677199074074074</v>
      </c>
      <c r="E930" s="13" t="n">
        <v>528000228</v>
      </c>
      <c r="F930" s="13" t="inlineStr">
        <is>
          <t>Banyu Resmi Putri</t>
        </is>
      </c>
      <c r="G930" s="13" t="inlineStr">
        <is>
          <t>Produksi</t>
        </is>
      </c>
      <c r="H930" s="13" t="inlineStr">
        <is>
          <t>Istirahat</t>
        </is>
      </c>
    </row>
    <row r="931">
      <c r="A931" s="27" t="inlineStr">
        <is>
          <t>MK00143</t>
        </is>
      </c>
      <c r="B931" s="13" t="inlineStr">
        <is>
          <t>OUT</t>
        </is>
      </c>
      <c r="C931" s="177" t="n">
        <v>46217.41666666666</v>
      </c>
      <c r="D931" s="51" t="n">
        <v>0.7692824074074074</v>
      </c>
      <c r="E931" s="13" t="n">
        <v>528000329</v>
      </c>
      <c r="F931" s="13" t="inlineStr">
        <is>
          <t>Havid Ilham Firdaus</t>
        </is>
      </c>
      <c r="G931" s="13" t="inlineStr">
        <is>
          <t>Produksi</t>
        </is>
      </c>
      <c r="H931" s="13" t="inlineStr">
        <is>
          <t>Istirahat</t>
        </is>
      </c>
    </row>
    <row r="932">
      <c r="A932" s="27" t="inlineStr">
        <is>
          <t>MK00112</t>
        </is>
      </c>
      <c r="B932" s="13" t="inlineStr">
        <is>
          <t>OUT</t>
        </is>
      </c>
      <c r="C932" s="177" t="n">
        <v>46217.41666666666</v>
      </c>
      <c r="D932" s="51" t="n">
        <v>0.7707291666666667</v>
      </c>
      <c r="E932" s="13" t="n">
        <v>528000274</v>
      </c>
      <c r="F932" s="13" t="inlineStr">
        <is>
          <t>Zepri</t>
        </is>
      </c>
      <c r="G932" s="13" t="inlineStr">
        <is>
          <t>Produksi</t>
        </is>
      </c>
      <c r="H932" s="13" t="inlineStr">
        <is>
          <t>Istirahat</t>
        </is>
      </c>
    </row>
    <row r="933">
      <c r="A933" s="27" t="inlineStr">
        <is>
          <t>MK00212</t>
        </is>
      </c>
      <c r="B933" s="13" t="inlineStr">
        <is>
          <t>OUT</t>
        </is>
      </c>
      <c r="C933" s="177" t="n">
        <v>46217.41666666666</v>
      </c>
      <c r="D933" s="51" t="n">
        <v>0.7708796296296296</v>
      </c>
      <c r="E933" s="13" t="n">
        <v>528000290</v>
      </c>
      <c r="F933" s="13" t="inlineStr">
        <is>
          <t>Eval Pranata</t>
        </is>
      </c>
      <c r="G933" s="13" t="inlineStr">
        <is>
          <t>Produksi</t>
        </is>
      </c>
      <c r="H933" s="13" t="inlineStr">
        <is>
          <t>Istirahat</t>
        </is>
      </c>
    </row>
    <row r="934">
      <c r="A934" s="27" t="inlineStr">
        <is>
          <t>MK00181</t>
        </is>
      </c>
      <c r="B934" s="13" t="inlineStr">
        <is>
          <t>IN</t>
        </is>
      </c>
      <c r="C934" s="177" t="n">
        <v>46217.41666666666</v>
      </c>
      <c r="D934" s="51" t="n">
        <v>0.7837731481481481</v>
      </c>
      <c r="E934" s="13" t="n">
        <v>528000099</v>
      </c>
      <c r="F934" s="13" t="inlineStr">
        <is>
          <t>Siti Nurawaliah</t>
        </is>
      </c>
      <c r="G934" s="13" t="inlineStr">
        <is>
          <t>Produksi</t>
        </is>
      </c>
      <c r="H934" s="13" t="inlineStr">
        <is>
          <t>Istirahat</t>
        </is>
      </c>
    </row>
    <row r="935">
      <c r="A935" s="27" t="inlineStr">
        <is>
          <t>MK00090</t>
        </is>
      </c>
      <c r="B935" s="13" t="inlineStr">
        <is>
          <t>IN</t>
        </is>
      </c>
      <c r="C935" s="177" t="n">
        <v>46217.41666666666</v>
      </c>
      <c r="D935" s="51" t="n">
        <v>0.7839467592592593</v>
      </c>
      <c r="E935" s="13" t="n">
        <v>528000201</v>
      </c>
      <c r="F935" s="13" t="inlineStr">
        <is>
          <t>Zahwa Amelia Choerunissa</t>
        </is>
      </c>
      <c r="G935" s="13" t="inlineStr">
        <is>
          <t>Produksi</t>
        </is>
      </c>
      <c r="H935" s="13" t="inlineStr">
        <is>
          <t>Istirahat</t>
        </is>
      </c>
    </row>
    <row r="936">
      <c r="A936" s="27" t="inlineStr">
        <is>
          <t>MK00156</t>
        </is>
      </c>
      <c r="B936" s="13" t="inlineStr">
        <is>
          <t>IN</t>
        </is>
      </c>
      <c r="C936" s="177" t="n">
        <v>46217.41666666666</v>
      </c>
      <c r="D936" s="51" t="n">
        <v>0.784074074074074</v>
      </c>
      <c r="E936" s="13" t="n">
        <v>528000286</v>
      </c>
      <c r="F936" s="13" t="inlineStr">
        <is>
          <t>Imelda Amelia</t>
        </is>
      </c>
      <c r="G936" s="13" t="inlineStr">
        <is>
          <t>Produksi</t>
        </is>
      </c>
      <c r="H936" s="13" t="inlineStr">
        <is>
          <t>Istirahat</t>
        </is>
      </c>
    </row>
    <row r="937">
      <c r="A937" s="27" t="inlineStr">
        <is>
          <t>MK00249</t>
        </is>
      </c>
      <c r="B937" s="13" t="inlineStr">
        <is>
          <t>IN</t>
        </is>
      </c>
      <c r="C937" s="177" t="n">
        <v>46217.41666666666</v>
      </c>
      <c r="D937" s="51" t="n">
        <v>0.7907986111111112</v>
      </c>
      <c r="E937" s="13" t="n">
        <v>528000228</v>
      </c>
      <c r="F937" s="13" t="inlineStr">
        <is>
          <t>Banyu Resmi Putri</t>
        </is>
      </c>
      <c r="G937" s="13" t="inlineStr">
        <is>
          <t>Produksi</t>
        </is>
      </c>
      <c r="H937" s="13" t="inlineStr">
        <is>
          <t>Istirahat</t>
        </is>
      </c>
    </row>
    <row r="938">
      <c r="A938" s="27" t="inlineStr">
        <is>
          <t>MK00143</t>
        </is>
      </c>
      <c r="B938" s="13" t="inlineStr">
        <is>
          <t>IN</t>
        </is>
      </c>
      <c r="C938" s="177" t="n">
        <v>46217.41666666666</v>
      </c>
      <c r="D938" s="51" t="n">
        <v>0.7931481481481482</v>
      </c>
      <c r="E938" s="13" t="n">
        <v>528000329</v>
      </c>
      <c r="F938" s="13" t="inlineStr">
        <is>
          <t>Havid Ilham Firdaus</t>
        </is>
      </c>
      <c r="G938" s="13" t="inlineStr">
        <is>
          <t>Produksi</t>
        </is>
      </c>
      <c r="H938" s="13" t="inlineStr">
        <is>
          <t>Istirahat</t>
        </is>
      </c>
    </row>
    <row r="939">
      <c r="A939" s="27" t="inlineStr">
        <is>
          <t>MK00212</t>
        </is>
      </c>
      <c r="B939" s="13" t="inlineStr">
        <is>
          <t>IN</t>
        </is>
      </c>
      <c r="C939" s="177" t="n">
        <v>46217.41666666666</v>
      </c>
      <c r="D939" s="51" t="n">
        <v>0.7948379629629629</v>
      </c>
      <c r="E939" s="13" t="n">
        <v>528000290</v>
      </c>
      <c r="F939" s="13" t="inlineStr">
        <is>
          <t>Eval Pranata</t>
        </is>
      </c>
      <c r="G939" s="13" t="inlineStr">
        <is>
          <t>Produksi</t>
        </is>
      </c>
      <c r="H939" s="13" t="inlineStr">
        <is>
          <t>Istirahat</t>
        </is>
      </c>
    </row>
    <row r="940">
      <c r="A940" s="27" t="inlineStr">
        <is>
          <t>MK00112</t>
        </is>
      </c>
      <c r="B940" s="13" t="inlineStr">
        <is>
          <t>IN</t>
        </is>
      </c>
      <c r="C940" s="177" t="n">
        <v>46217.41666666666</v>
      </c>
      <c r="D940" s="51" t="n">
        <v>0.7949537037037037</v>
      </c>
      <c r="E940" s="13" t="n">
        <v>528000274</v>
      </c>
      <c r="F940" s="13" t="inlineStr">
        <is>
          <t>Zepri</t>
        </is>
      </c>
      <c r="G940" s="13" t="inlineStr">
        <is>
          <t>Produksi</t>
        </is>
      </c>
      <c r="H940" s="13" t="inlineStr">
        <is>
          <t>Istirahat</t>
        </is>
      </c>
    </row>
    <row r="941">
      <c r="A941" s="27" t="inlineStr">
        <is>
          <t>MK00213</t>
        </is>
      </c>
      <c r="B941" s="13" t="inlineStr">
        <is>
          <t>IN</t>
        </is>
      </c>
      <c r="C941" s="177" t="n">
        <v>46218.41666666666</v>
      </c>
      <c r="D941" s="51" t="n">
        <v>0.09269675925925926</v>
      </c>
      <c r="E941" s="13" t="n">
        <v>528000270</v>
      </c>
      <c r="F941" s="13" t="inlineStr">
        <is>
          <t>Febri Najmudin</t>
        </is>
      </c>
      <c r="G941" s="13" t="inlineStr">
        <is>
          <t>Produksi</t>
        </is>
      </c>
      <c r="H941" s="13" t="inlineStr">
        <is>
          <t>Istirahat</t>
        </is>
      </c>
    </row>
    <row r="942">
      <c r="A942" s="27" t="inlineStr">
        <is>
          <t>MK00213</t>
        </is>
      </c>
      <c r="B942" s="13" t="inlineStr">
        <is>
          <t>OUT</t>
        </is>
      </c>
      <c r="C942" s="177" t="n">
        <v>46218.41666666666</v>
      </c>
      <c r="D942" s="51" t="n">
        <v>0.09337962962962963</v>
      </c>
      <c r="E942" s="13" t="n">
        <v>528000270</v>
      </c>
      <c r="F942" s="13" t="inlineStr">
        <is>
          <t>Febri Najmudin</t>
        </is>
      </c>
      <c r="G942" s="13" t="inlineStr">
        <is>
          <t>Produksi</t>
        </is>
      </c>
      <c r="H942" s="13" t="inlineStr">
        <is>
          <t>Istirahat</t>
        </is>
      </c>
    </row>
    <row r="943">
      <c r="A943" s="27" t="inlineStr">
        <is>
          <t>MK00202</t>
        </is>
      </c>
      <c r="B943" s="13" t="inlineStr">
        <is>
          <t>OUT</t>
        </is>
      </c>
      <c r="C943" s="177" t="n">
        <v>46218.41666666666</v>
      </c>
      <c r="D943" s="51" t="n">
        <v>0.1116550925925926</v>
      </c>
      <c r="E943" s="13" t="n">
        <v>528000340</v>
      </c>
      <c r="F943" s="13" t="inlineStr">
        <is>
          <t>Muhammad Wildan Adithya</t>
        </is>
      </c>
      <c r="G943" s="13" t="inlineStr">
        <is>
          <t>Produksi</t>
        </is>
      </c>
      <c r="H943" s="13" t="inlineStr">
        <is>
          <t>Istirahat</t>
        </is>
      </c>
    </row>
    <row r="944">
      <c r="A944" s="27" t="inlineStr">
        <is>
          <t>MK00213</t>
        </is>
      </c>
      <c r="B944" s="13" t="inlineStr">
        <is>
          <t>IN</t>
        </is>
      </c>
      <c r="C944" s="177" t="n">
        <v>46218.41666666666</v>
      </c>
      <c r="D944" s="51" t="n">
        <v>0.1183680555555556</v>
      </c>
      <c r="E944" s="13" t="n">
        <v>528000270</v>
      </c>
      <c r="F944" s="13" t="inlineStr">
        <is>
          <t>Febri Najmudin</t>
        </is>
      </c>
      <c r="G944" s="13" t="inlineStr">
        <is>
          <t>Produksi</t>
        </is>
      </c>
      <c r="H944" s="13" t="inlineStr">
        <is>
          <t>Istirahat</t>
        </is>
      </c>
    </row>
    <row r="945">
      <c r="A945" s="27" t="inlineStr">
        <is>
          <t>MK00202</t>
        </is>
      </c>
      <c r="B945" s="13" t="inlineStr">
        <is>
          <t>IN</t>
        </is>
      </c>
      <c r="C945" s="177" t="n">
        <v>46218.41666666666</v>
      </c>
      <c r="D945" s="51" t="n">
        <v>0.1363773148148148</v>
      </c>
      <c r="E945" s="13" t="n">
        <v>528000340</v>
      </c>
      <c r="F945" s="13" t="inlineStr">
        <is>
          <t>Muhammad Wildan Adithya</t>
        </is>
      </c>
      <c r="G945" s="13" t="inlineStr">
        <is>
          <t>Produksi</t>
        </is>
      </c>
      <c r="H945" s="13" t="inlineStr">
        <is>
          <t>Istirahat</t>
        </is>
      </c>
    </row>
    <row r="946">
      <c r="A946" s="27" t="inlineStr">
        <is>
          <t>MK00235</t>
        </is>
      </c>
      <c r="B946" s="13" t="inlineStr">
        <is>
          <t>OUT</t>
        </is>
      </c>
      <c r="C946" s="177" t="n">
        <v>46218.41666666666</v>
      </c>
      <c r="D946" s="51" t="n">
        <v>0.3878935185185185</v>
      </c>
      <c r="E946" s="13" t="n">
        <v>528000359</v>
      </c>
      <c r="F946" s="13" t="inlineStr">
        <is>
          <t>M. Iqbal Maulana. S</t>
        </is>
      </c>
      <c r="G946" s="13" t="inlineStr">
        <is>
          <t>Produksi</t>
        </is>
      </c>
      <c r="H946" s="13" t="inlineStr">
        <is>
          <t>Istirahat</t>
        </is>
      </c>
    </row>
    <row r="947">
      <c r="A947" s="27" t="inlineStr">
        <is>
          <t>MK000235</t>
        </is>
      </c>
      <c r="B947" s="13" t="inlineStr">
        <is>
          <t>IN</t>
        </is>
      </c>
      <c r="C947" s="177" t="n">
        <v>46218.41666666666</v>
      </c>
      <c r="D947" s="51" t="n">
        <v>0.4103009259259259</v>
      </c>
      <c r="E947" s="13" t="n">
        <v>628000061</v>
      </c>
      <c r="F947" s="13" t="inlineStr">
        <is>
          <t>Nayla Fadillah Exwantoro</t>
        </is>
      </c>
      <c r="G947" s="13" t="inlineStr">
        <is>
          <t>Produksi</t>
        </is>
      </c>
      <c r="H947" s="13" t="inlineStr">
        <is>
          <t>Istirahat</t>
        </is>
      </c>
    </row>
    <row r="948">
      <c r="A948" s="27" t="inlineStr">
        <is>
          <t>MK00158</t>
        </is>
      </c>
      <c r="B948" s="13" t="inlineStr">
        <is>
          <t>OUT</t>
        </is>
      </c>
      <c r="C948" s="177" t="n">
        <v>46218.41666666666</v>
      </c>
      <c r="D948" s="51" t="n">
        <v>0.4150925925925926</v>
      </c>
      <c r="E948" s="13" t="n">
        <v>528000063</v>
      </c>
      <c r="F948" s="13" t="inlineStr">
        <is>
          <t>Muhamad Ripki Pebrian</t>
        </is>
      </c>
      <c r="G948" s="13" t="inlineStr">
        <is>
          <t>Produksi</t>
        </is>
      </c>
      <c r="H948" s="13" t="inlineStr">
        <is>
          <t>Istirahat</t>
        </is>
      </c>
    </row>
    <row r="949">
      <c r="A949" s="27" t="inlineStr">
        <is>
          <t>MK00121</t>
        </is>
      </c>
      <c r="B949" s="13" t="inlineStr">
        <is>
          <t>OUT</t>
        </is>
      </c>
      <c r="C949" s="177" t="n">
        <v>46218.41666666666</v>
      </c>
      <c r="D949" s="51" t="n">
        <v>0.4153125</v>
      </c>
      <c r="E949" s="13" t="n">
        <v>528000306</v>
      </c>
      <c r="F949" s="13" t="inlineStr">
        <is>
          <t>Windy Olivia</t>
        </is>
      </c>
      <c r="G949" s="13" t="inlineStr">
        <is>
          <t>Produksi</t>
        </is>
      </c>
      <c r="H949" s="13" t="inlineStr">
        <is>
          <t>Istirahat</t>
        </is>
      </c>
    </row>
    <row r="950">
      <c r="A950" s="27" t="inlineStr">
        <is>
          <t>MK00145</t>
        </is>
      </c>
      <c r="B950" s="13" t="inlineStr">
        <is>
          <t>OUT</t>
        </is>
      </c>
      <c r="C950" s="177" t="n">
        <v>46218.41666666666</v>
      </c>
      <c r="D950" s="51" t="n">
        <v>0.417962962962963</v>
      </c>
      <c r="E950" s="13" t="n">
        <v>528000300</v>
      </c>
      <c r="F950" s="13" t="inlineStr">
        <is>
          <t>Lia pitaloka</t>
        </is>
      </c>
      <c r="G950" s="13" t="inlineStr">
        <is>
          <t>Produksi</t>
        </is>
      </c>
      <c r="H950" s="13" t="inlineStr">
        <is>
          <t>Istirahat</t>
        </is>
      </c>
    </row>
    <row r="951">
      <c r="A951" s="27" t="inlineStr">
        <is>
          <t>MK00212</t>
        </is>
      </c>
      <c r="B951" s="13" t="inlineStr">
        <is>
          <t>OUT</t>
        </is>
      </c>
      <c r="C951" s="177" t="n">
        <v>46218.41666666666</v>
      </c>
      <c r="D951" s="51" t="n">
        <v>0.4180902777777778</v>
      </c>
      <c r="E951" s="13" t="n">
        <v>528000279</v>
      </c>
      <c r="F951" s="13" t="inlineStr">
        <is>
          <t>Mahdalena Dalfa Riani</t>
        </is>
      </c>
      <c r="G951" s="13" t="inlineStr">
        <is>
          <t>Produksi</t>
        </is>
      </c>
      <c r="H951" s="13" t="inlineStr">
        <is>
          <t>Istirahat</t>
        </is>
      </c>
    </row>
    <row r="952">
      <c r="A952" s="27" t="inlineStr">
        <is>
          <t>MK00148</t>
        </is>
      </c>
      <c r="B952" s="13" t="inlineStr">
        <is>
          <t>OUT</t>
        </is>
      </c>
      <c r="C952" s="177" t="n">
        <v>46218.41666666666</v>
      </c>
      <c r="D952" s="51" t="n">
        <v>0.4260300925925926</v>
      </c>
      <c r="E952" s="13" t="n">
        <v>528000248</v>
      </c>
      <c r="F952" s="13" t="inlineStr">
        <is>
          <t>Roka Jaya Salka Mulya</t>
        </is>
      </c>
      <c r="G952" s="13" t="inlineStr">
        <is>
          <t>Produksi</t>
        </is>
      </c>
    </row>
    <row r="953">
      <c r="A953" s="27" t="inlineStr">
        <is>
          <t>MK00121</t>
        </is>
      </c>
      <c r="B953" s="13" t="inlineStr">
        <is>
          <t>IN</t>
        </is>
      </c>
      <c r="C953" s="177" t="n">
        <v>46218.41666666666</v>
      </c>
      <c r="D953" s="51" t="n">
        <v>0.4403356481481481</v>
      </c>
      <c r="E953" s="13" t="n">
        <v>528000306</v>
      </c>
      <c r="F953" s="13" t="inlineStr">
        <is>
          <t>Windy Olivia</t>
        </is>
      </c>
      <c r="G953" s="13" t="inlineStr">
        <is>
          <t>Produksi</t>
        </is>
      </c>
      <c r="H953" s="13" t="inlineStr">
        <is>
          <t>Istirahat</t>
        </is>
      </c>
    </row>
    <row r="954">
      <c r="A954" s="27" t="inlineStr">
        <is>
          <t>MK00158</t>
        </is>
      </c>
      <c r="B954" s="13" t="inlineStr">
        <is>
          <t>IN</t>
        </is>
      </c>
      <c r="C954" s="177" t="n">
        <v>46218.41666666666</v>
      </c>
      <c r="D954" s="51" t="n">
        <v>0.4411342592592593</v>
      </c>
      <c r="E954" s="13" t="n">
        <v>528000063</v>
      </c>
      <c r="F954" s="13" t="inlineStr">
        <is>
          <t>Muhamad Ripki Pebrian</t>
        </is>
      </c>
      <c r="G954" s="13" t="inlineStr">
        <is>
          <t>Produksi</t>
        </is>
      </c>
      <c r="H954" s="13" t="inlineStr">
        <is>
          <t>Istirahat</t>
        </is>
      </c>
    </row>
    <row r="955">
      <c r="A955" s="27" t="inlineStr">
        <is>
          <t>MK00212</t>
        </is>
      </c>
      <c r="B955" s="13" t="inlineStr">
        <is>
          <t>IN</t>
        </is>
      </c>
      <c r="C955" s="177" t="n">
        <v>46218.41666666666</v>
      </c>
      <c r="D955" s="51" t="n">
        <v>0.4430902777777778</v>
      </c>
      <c r="E955" s="13" t="n">
        <v>528000279</v>
      </c>
      <c r="F955" s="13" t="inlineStr">
        <is>
          <t>Mahdalena Dalfa Riani</t>
        </is>
      </c>
      <c r="G955" s="13" t="inlineStr">
        <is>
          <t>Produksi</t>
        </is>
      </c>
      <c r="H955" s="13" t="inlineStr">
        <is>
          <t>Istirahat</t>
        </is>
      </c>
    </row>
    <row r="956">
      <c r="A956" s="27" t="inlineStr">
        <is>
          <t>MK00145</t>
        </is>
      </c>
      <c r="B956" s="13" t="inlineStr">
        <is>
          <t>IN</t>
        </is>
      </c>
      <c r="C956" s="177" t="n">
        <v>46218.41666666666</v>
      </c>
      <c r="D956" s="51" t="n">
        <v>0.4432060185185185</v>
      </c>
      <c r="E956" s="13" t="n">
        <v>528000300</v>
      </c>
      <c r="F956" s="13" t="inlineStr">
        <is>
          <t>Lia pitaloka</t>
        </is>
      </c>
      <c r="G956" s="13" t="inlineStr">
        <is>
          <t>Produksi</t>
        </is>
      </c>
      <c r="H956" s="13" t="inlineStr">
        <is>
          <t>Istirahat</t>
        </is>
      </c>
    </row>
    <row r="957">
      <c r="A957" s="27" t="inlineStr">
        <is>
          <t>MK00108</t>
        </is>
      </c>
      <c r="B957" s="13" t="inlineStr">
        <is>
          <t>IN</t>
        </is>
      </c>
      <c r="C957" s="177" t="n">
        <v>46218.41666666666</v>
      </c>
      <c r="D957" s="51" t="n">
        <v>0.4445486111111111</v>
      </c>
      <c r="E957" s="13" t="n">
        <v>528000288</v>
      </c>
      <c r="F957" s="13" t="inlineStr">
        <is>
          <t>Dede gunawan</t>
        </is>
      </c>
      <c r="G957" s="13" t="inlineStr">
        <is>
          <t>Produksi</t>
        </is>
      </c>
      <c r="H957" s="13" t="inlineStr">
        <is>
          <t>Istirahat</t>
        </is>
      </c>
    </row>
    <row r="958">
      <c r="A958" s="27" t="inlineStr">
        <is>
          <t>MK00108</t>
        </is>
      </c>
      <c r="B958" s="13" t="inlineStr">
        <is>
          <t>OUT</t>
        </is>
      </c>
      <c r="C958" s="177" t="n">
        <v>46218.41666666666</v>
      </c>
      <c r="D958" s="51" t="n">
        <v>0.4446643518518518</v>
      </c>
      <c r="E958" s="13" t="n">
        <v>528000288</v>
      </c>
      <c r="F958" s="13" t="inlineStr">
        <is>
          <t>Dede gunawan</t>
        </is>
      </c>
      <c r="G958" s="13" t="inlineStr">
        <is>
          <t>Produksi</t>
        </is>
      </c>
      <c r="H958" s="13" t="inlineStr">
        <is>
          <t>Istirahat</t>
        </is>
      </c>
    </row>
    <row r="959">
      <c r="A959" s="27" t="inlineStr">
        <is>
          <t>MK00116</t>
        </is>
      </c>
      <c r="B959" s="13" t="inlineStr">
        <is>
          <t>OUT</t>
        </is>
      </c>
      <c r="C959" s="177" t="n">
        <v>46218.41666666666</v>
      </c>
      <c r="D959" s="51" t="n">
        <v>0.4662962962962963</v>
      </c>
      <c r="E959" s="13" t="n">
        <v>528000297</v>
      </c>
      <c r="F959" s="13" t="inlineStr">
        <is>
          <t>Muhamad Budiana</t>
        </is>
      </c>
      <c r="G959" s="13" t="inlineStr">
        <is>
          <t>Produksi</t>
        </is>
      </c>
      <c r="H959" s="13" t="inlineStr">
        <is>
          <t>Istirahat</t>
        </is>
      </c>
    </row>
    <row r="960">
      <c r="A960" s="27" t="inlineStr">
        <is>
          <t>MK00108</t>
        </is>
      </c>
      <c r="B960" s="13" t="inlineStr">
        <is>
          <t>IN</t>
        </is>
      </c>
      <c r="C960" s="177" t="n">
        <v>46218.41666666666</v>
      </c>
      <c r="D960" s="51" t="n">
        <v>0.4736111111111111</v>
      </c>
      <c r="E960" s="13" t="n">
        <v>528000288</v>
      </c>
      <c r="F960" s="13" t="inlineStr">
        <is>
          <t>Dede gunawan</t>
        </is>
      </c>
      <c r="G960" s="13" t="inlineStr">
        <is>
          <t>Produksi</t>
        </is>
      </c>
      <c r="H960" s="13" t="inlineStr">
        <is>
          <t>Istirahat</t>
        </is>
      </c>
    </row>
    <row r="961">
      <c r="A961" s="27" t="inlineStr">
        <is>
          <t>MK00148</t>
        </is>
      </c>
      <c r="B961" s="13" t="inlineStr">
        <is>
          <t>IN</t>
        </is>
      </c>
      <c r="C961" s="177" t="n">
        <v>46218.41666666666</v>
      </c>
      <c r="D961" s="51" t="n">
        <v>0.4740509259259259</v>
      </c>
      <c r="E961" s="13" t="n">
        <v>528000248</v>
      </c>
      <c r="F961" s="13" t="inlineStr">
        <is>
          <t>Roka Jaya Salka Mulya</t>
        </is>
      </c>
      <c r="G961" s="13" t="inlineStr">
        <is>
          <t>Produksi</t>
        </is>
      </c>
      <c r="H961" s="13" t="inlineStr">
        <is>
          <t>Istirahat</t>
        </is>
      </c>
    </row>
    <row r="962">
      <c r="A962" s="27" t="inlineStr">
        <is>
          <t>MK00109</t>
        </is>
      </c>
      <c r="B962" s="13" t="inlineStr">
        <is>
          <t>OUT</t>
        </is>
      </c>
      <c r="C962" s="177" t="n">
        <v>46218.41666666666</v>
      </c>
      <c r="D962" s="51" t="n">
        <v>0.4752430555555556</v>
      </c>
      <c r="E962" s="13" t="n">
        <v>628000064</v>
      </c>
      <c r="F962" s="13" t="inlineStr">
        <is>
          <t>Silva Alypia</t>
        </is>
      </c>
      <c r="G962" s="13" t="inlineStr">
        <is>
          <t>Produksi</t>
        </is>
      </c>
      <c r="H962" s="13" t="inlineStr">
        <is>
          <t>Istirahat</t>
        </is>
      </c>
    </row>
    <row r="963">
      <c r="A963" s="27" t="inlineStr">
        <is>
          <t>MK00109</t>
        </is>
      </c>
      <c r="B963" s="13" t="inlineStr">
        <is>
          <t>IN</t>
        </is>
      </c>
      <c r="C963" s="177" t="n">
        <v>46218.41666666666</v>
      </c>
      <c r="D963" s="51" t="n">
        <v>0.4754050925925926</v>
      </c>
      <c r="E963" s="13" t="n">
        <v>628000064</v>
      </c>
      <c r="F963" s="13" t="inlineStr">
        <is>
          <t>Silva Alypia</t>
        </is>
      </c>
      <c r="G963" s="13" t="inlineStr">
        <is>
          <t>Produksi</t>
        </is>
      </c>
      <c r="H963" s="13" t="inlineStr">
        <is>
          <t>Istirahat</t>
        </is>
      </c>
    </row>
    <row r="964">
      <c r="A964" s="27" t="inlineStr">
        <is>
          <t>MK00116</t>
        </is>
      </c>
      <c r="B964" s="13" t="inlineStr">
        <is>
          <t>OUT</t>
        </is>
      </c>
      <c r="C964" s="177" t="n">
        <v>46218.41666666666</v>
      </c>
      <c r="D964" s="51" t="n">
        <v>0.4758101851851852</v>
      </c>
      <c r="E964" s="13" t="n">
        <v>528000297</v>
      </c>
      <c r="F964" s="13" t="inlineStr">
        <is>
          <t>Muhamad Budiana</t>
        </is>
      </c>
      <c r="G964" s="13" t="inlineStr">
        <is>
          <t>Produksi</t>
        </is>
      </c>
      <c r="H964" s="13" t="inlineStr">
        <is>
          <t>Istirahat</t>
        </is>
      </c>
    </row>
    <row r="965">
      <c r="A965" s="27" t="inlineStr">
        <is>
          <t>MK00154</t>
        </is>
      </c>
      <c r="B965" s="13" t="inlineStr">
        <is>
          <t>OUT</t>
        </is>
      </c>
      <c r="C965" s="177" t="n">
        <v>46218.41666666666</v>
      </c>
      <c r="D965" s="51" t="n">
        <v>0.7497106481481481</v>
      </c>
      <c r="E965" s="13" t="n">
        <v>528000290</v>
      </c>
      <c r="F965" s="13" t="inlineStr">
        <is>
          <t>Eval Pranata</t>
        </is>
      </c>
      <c r="G965" s="13" t="inlineStr">
        <is>
          <t>Produksi</t>
        </is>
      </c>
      <c r="H965" s="13" t="inlineStr">
        <is>
          <t>Istirahat</t>
        </is>
      </c>
    </row>
    <row r="966">
      <c r="A966" s="27" t="inlineStr">
        <is>
          <t>MK00218</t>
        </is>
      </c>
      <c r="B966" s="13" t="inlineStr">
        <is>
          <t>OUT</t>
        </is>
      </c>
      <c r="C966" s="177" t="n">
        <v>46218.41666666666</v>
      </c>
      <c r="D966" s="51" t="n">
        <v>0.7504398148148148</v>
      </c>
      <c r="E966" s="13" t="n">
        <v>528000241</v>
      </c>
      <c r="F966" s="13" t="inlineStr">
        <is>
          <t>Balia Nurafif Bilah</t>
        </is>
      </c>
      <c r="G966" s="13" t="inlineStr">
        <is>
          <t>Produksi</t>
        </is>
      </c>
      <c r="H966" s="13" t="inlineStr">
        <is>
          <t>Istirahat</t>
        </is>
      </c>
    </row>
    <row r="967">
      <c r="A967" s="27" t="inlineStr">
        <is>
          <t>MK00156</t>
        </is>
      </c>
      <c r="B967" s="13" t="inlineStr">
        <is>
          <t>OUT</t>
        </is>
      </c>
      <c r="C967" s="177" t="n">
        <v>46218.41666666666</v>
      </c>
      <c r="D967" s="51" t="n">
        <v>0.7708449074074074</v>
      </c>
      <c r="E967" s="13" t="n">
        <v>528000274</v>
      </c>
      <c r="F967" s="13" t="inlineStr">
        <is>
          <t>Zepri</t>
        </is>
      </c>
      <c r="G967" s="13" t="inlineStr">
        <is>
          <t>Produksi</t>
        </is>
      </c>
      <c r="H967" s="13" t="inlineStr">
        <is>
          <t>Istirahat</t>
        </is>
      </c>
    </row>
    <row r="968">
      <c r="A968" s="27" t="inlineStr">
        <is>
          <t>MK00154</t>
        </is>
      </c>
      <c r="B968" s="13" t="inlineStr">
        <is>
          <t>IN</t>
        </is>
      </c>
      <c r="C968" s="177" t="n">
        <v>46218.41666666666</v>
      </c>
      <c r="D968" s="51" t="n">
        <v>0.7731828703703704</v>
      </c>
      <c r="E968" s="13" t="n">
        <v>528000290</v>
      </c>
      <c r="F968" s="13" t="inlineStr">
        <is>
          <t>Eval Pranata</t>
        </is>
      </c>
      <c r="G968" s="13" t="inlineStr">
        <is>
          <t>Produksi</t>
        </is>
      </c>
      <c r="H968" s="13" t="inlineStr">
        <is>
          <t>Istirahat</t>
        </is>
      </c>
    </row>
    <row r="969">
      <c r="A969" s="27" t="inlineStr">
        <is>
          <t>MK00156</t>
        </is>
      </c>
      <c r="B969" s="13" t="inlineStr">
        <is>
          <t>IN</t>
        </is>
      </c>
      <c r="C969" s="177" t="n">
        <v>46218.41666666666</v>
      </c>
      <c r="D969" s="51" t="n">
        <v>0.7762731481481482</v>
      </c>
      <c r="E969" s="13" t="n">
        <v>528000274</v>
      </c>
      <c r="F969" s="13" t="inlineStr">
        <is>
          <t>Zepri</t>
        </is>
      </c>
      <c r="G969" s="13" t="inlineStr">
        <is>
          <t>Produksi</t>
        </is>
      </c>
    </row>
    <row r="970">
      <c r="A970" s="27" t="inlineStr">
        <is>
          <t>MK00184</t>
        </is>
      </c>
      <c r="B970" s="13" t="inlineStr">
        <is>
          <t>OUT</t>
        </is>
      </c>
      <c r="C970" s="177" t="n">
        <v>46218.41666666666</v>
      </c>
      <c r="D970" s="51" t="n">
        <v>0.7765856481481481</v>
      </c>
      <c r="E970" s="13" t="n">
        <v>528000201</v>
      </c>
      <c r="F970" s="13" t="inlineStr">
        <is>
          <t>Zahwa Amelia Choerunissa</t>
        </is>
      </c>
      <c r="G970" s="13" t="inlineStr">
        <is>
          <t>Produksi</t>
        </is>
      </c>
    </row>
    <row r="971">
      <c r="A971" s="27" t="inlineStr">
        <is>
          <t>MK00217</t>
        </is>
      </c>
      <c r="B971" s="13" t="inlineStr">
        <is>
          <t>OUT</t>
        </is>
      </c>
      <c r="C971" s="177" t="n">
        <v>46218.41666666666</v>
      </c>
      <c r="D971" s="51" t="n">
        <v>0.7811689814814815</v>
      </c>
      <c r="E971" s="13" t="n">
        <v>528000099</v>
      </c>
      <c r="F971" s="13" t="inlineStr">
        <is>
          <t>Siti Nurawaliah</t>
        </is>
      </c>
      <c r="G971" s="13" t="inlineStr">
        <is>
          <t>Produksi</t>
        </is>
      </c>
      <c r="H971" s="13" t="inlineStr">
        <is>
          <t>Istirahat</t>
        </is>
      </c>
    </row>
    <row r="972">
      <c r="A972" s="27" t="inlineStr">
        <is>
          <t>MK00220</t>
        </is>
      </c>
      <c r="B972" s="13" t="inlineStr">
        <is>
          <t>OUT</t>
        </is>
      </c>
      <c r="C972" s="177" t="n">
        <v>46218.41666666666</v>
      </c>
      <c r="D972" s="51" t="n">
        <v>0.7813078703703704</v>
      </c>
      <c r="E972" s="13" t="n">
        <v>528000286</v>
      </c>
      <c r="F972" s="13" t="inlineStr">
        <is>
          <t>Imelda Amelia</t>
        </is>
      </c>
      <c r="G972" s="13" t="inlineStr">
        <is>
          <t>Produksi</t>
        </is>
      </c>
      <c r="H972" s="13" t="inlineStr">
        <is>
          <t>Istirahat</t>
        </is>
      </c>
    </row>
    <row r="973">
      <c r="A973" s="27" t="inlineStr">
        <is>
          <t>MK00090</t>
        </is>
      </c>
      <c r="B973" s="13" t="inlineStr">
        <is>
          <t>OUT</t>
        </is>
      </c>
      <c r="C973" s="177" t="n">
        <v>46218.41666666666</v>
      </c>
      <c r="D973" s="51" t="n">
        <v>0.7889930555555555</v>
      </c>
      <c r="E973" s="13" t="n">
        <v>528000090</v>
      </c>
      <c r="F973" s="13" t="inlineStr">
        <is>
          <t>Suganda</t>
        </is>
      </c>
      <c r="G973" s="13" t="inlineStr">
        <is>
          <t>Produksi</t>
        </is>
      </c>
    </row>
    <row r="974">
      <c r="A974" s="27" t="inlineStr">
        <is>
          <t>MK00184</t>
        </is>
      </c>
      <c r="B974" s="13" t="inlineStr">
        <is>
          <t>IN</t>
        </is>
      </c>
      <c r="C974" s="177" t="n">
        <v>46218.41666666666</v>
      </c>
      <c r="D974" s="51" t="n">
        <v>0.8040972222222222</v>
      </c>
      <c r="E974" s="13" t="n">
        <v>528000201</v>
      </c>
      <c r="F974" s="13" t="inlineStr">
        <is>
          <t>Zahwa Amelia Choerunissa</t>
        </is>
      </c>
      <c r="G974" s="13" t="inlineStr">
        <is>
          <t>Produksi</t>
        </is>
      </c>
      <c r="H974" s="13" t="inlineStr">
        <is>
          <t>Istirahat</t>
        </is>
      </c>
    </row>
    <row r="975">
      <c r="A975" s="27" t="inlineStr">
        <is>
          <t>MK00217</t>
        </is>
      </c>
      <c r="B975" s="13" t="inlineStr">
        <is>
          <t>IN</t>
        </is>
      </c>
      <c r="C975" s="177" t="n">
        <v>46218.41666666666</v>
      </c>
      <c r="D975" s="51" t="n">
        <v>0.8054398148148149</v>
      </c>
      <c r="E975" s="13" t="n">
        <v>528000099</v>
      </c>
      <c r="F975" s="13" t="inlineStr">
        <is>
          <t>Siti Nurawaliah</t>
        </is>
      </c>
      <c r="G975" s="13" t="inlineStr">
        <is>
          <t>Produksi</t>
        </is>
      </c>
      <c r="H975" s="13" t="inlineStr">
        <is>
          <t>Istirahat</t>
        </is>
      </c>
    </row>
    <row r="976">
      <c r="A976" s="27" t="inlineStr">
        <is>
          <t>MK00213</t>
        </is>
      </c>
      <c r="B976" s="13" t="inlineStr">
        <is>
          <t>OUT</t>
        </is>
      </c>
      <c r="C976" s="177" t="n">
        <v>46219.41666666666</v>
      </c>
      <c r="D976" s="51" t="n">
        <v>0.02575231481481481</v>
      </c>
      <c r="E976" s="13" t="n">
        <v>528000318</v>
      </c>
      <c r="F976" s="13" t="inlineStr">
        <is>
          <t>Bayu Padli Sepriyana</t>
        </is>
      </c>
      <c r="G976" s="13" t="inlineStr">
        <is>
          <t>Produksi</t>
        </is>
      </c>
      <c r="H976" s="13" t="inlineStr">
        <is>
          <t>Istirahat</t>
        </is>
      </c>
    </row>
    <row r="977">
      <c r="A977" s="27" t="inlineStr">
        <is>
          <t>MK00109</t>
        </is>
      </c>
      <c r="B977" s="13" t="inlineStr">
        <is>
          <t>OUT</t>
        </is>
      </c>
      <c r="C977" s="177" t="n">
        <v>46219.41666666666</v>
      </c>
      <c r="D977" s="51" t="n">
        <v>0.02592592592592593</v>
      </c>
      <c r="E977" s="13" t="n">
        <v>528000299</v>
      </c>
      <c r="F977" s="13" t="inlineStr">
        <is>
          <t>Siti Nurjanah</t>
        </is>
      </c>
      <c r="G977" s="13" t="inlineStr">
        <is>
          <t>Produksi</t>
        </is>
      </c>
      <c r="H977" s="13" t="inlineStr">
        <is>
          <t>Istirahat</t>
        </is>
      </c>
    </row>
    <row r="978">
      <c r="A978" s="27" t="inlineStr">
        <is>
          <t>MK00082</t>
        </is>
      </c>
      <c r="B978" s="13" t="inlineStr">
        <is>
          <t>OUT</t>
        </is>
      </c>
      <c r="C978" s="177" t="n">
        <v>46219.41666666666</v>
      </c>
      <c r="D978" s="51" t="n">
        <v>0.02612268518518519</v>
      </c>
      <c r="E978" s="13" t="n">
        <v>528000302</v>
      </c>
      <c r="F978" s="13" t="inlineStr">
        <is>
          <t>Henkey gumilar</t>
        </is>
      </c>
      <c r="G978" s="13" t="inlineStr">
        <is>
          <t>Produksi</t>
        </is>
      </c>
      <c r="H978" s="13" t="inlineStr">
        <is>
          <t>Istirahat</t>
        </is>
      </c>
    </row>
    <row r="979">
      <c r="A979" s="27" t="inlineStr">
        <is>
          <t>MK00109</t>
        </is>
      </c>
      <c r="B979" s="13" t="inlineStr">
        <is>
          <t>IN</t>
        </is>
      </c>
      <c r="C979" s="177" t="n">
        <v>46219.41666666666</v>
      </c>
      <c r="D979" s="51" t="n">
        <v>0.04258101851851852</v>
      </c>
      <c r="E979" s="13" t="n">
        <v>528000299</v>
      </c>
      <c r="F979" s="13" t="inlineStr">
        <is>
          <t>Siti Nurjanah</t>
        </is>
      </c>
      <c r="G979" s="13" t="inlineStr">
        <is>
          <t>Produksi</t>
        </is>
      </c>
      <c r="H979" s="13" t="inlineStr">
        <is>
          <t>Istirahat</t>
        </is>
      </c>
    </row>
    <row r="980">
      <c r="A980" s="27" t="inlineStr">
        <is>
          <t>MK00213</t>
        </is>
      </c>
      <c r="B980" s="13" t="inlineStr">
        <is>
          <t>IN</t>
        </is>
      </c>
      <c r="C980" s="177" t="n">
        <v>46219.41666666666</v>
      </c>
      <c r="D980" s="51" t="n">
        <v>0.04556712962962963</v>
      </c>
      <c r="E980" s="13" t="n">
        <v>528000318</v>
      </c>
      <c r="F980" s="13" t="inlineStr">
        <is>
          <t>Bayu Padli Sepriyana</t>
        </is>
      </c>
      <c r="G980" s="13" t="inlineStr">
        <is>
          <t>Produksi</t>
        </is>
      </c>
      <c r="H980" s="13" t="inlineStr">
        <is>
          <t>Istirahat</t>
        </is>
      </c>
    </row>
    <row r="981">
      <c r="A981" s="27" t="inlineStr">
        <is>
          <t>MK00082</t>
        </is>
      </c>
      <c r="B981" s="13" t="inlineStr">
        <is>
          <t>IN</t>
        </is>
      </c>
      <c r="C981" s="177" t="n">
        <v>46219.41666666666</v>
      </c>
      <c r="D981" s="51" t="n">
        <v>0.04666666666666667</v>
      </c>
      <c r="E981" s="13" t="n">
        <v>528000302</v>
      </c>
      <c r="F981" s="13" t="inlineStr">
        <is>
          <t>Henkey gumilar</t>
        </is>
      </c>
      <c r="G981" s="13" t="inlineStr">
        <is>
          <t>Produksi</t>
        </is>
      </c>
      <c r="H981" s="13" t="inlineStr">
        <is>
          <t>Istirahat</t>
        </is>
      </c>
    </row>
    <row r="982">
      <c r="A982" s="27" t="inlineStr">
        <is>
          <t>MK00143</t>
        </is>
      </c>
      <c r="B982" s="13" t="inlineStr">
        <is>
          <t>OUT</t>
        </is>
      </c>
      <c r="C982" s="177" t="n">
        <v>46219.41666666666</v>
      </c>
      <c r="D982" s="51" t="n">
        <v>0.04923611111111111</v>
      </c>
      <c r="E982" s="13" t="n">
        <v>528000329</v>
      </c>
      <c r="F982" s="13" t="inlineStr">
        <is>
          <t>Havid Ilham Firdaus</t>
        </is>
      </c>
      <c r="G982" s="13" t="inlineStr">
        <is>
          <t>Produksi</t>
        </is>
      </c>
      <c r="H982" s="13" t="inlineStr">
        <is>
          <t>Istirahat</t>
        </is>
      </c>
    </row>
    <row r="983">
      <c r="A983" s="27" t="inlineStr">
        <is>
          <t>MK00235</t>
        </is>
      </c>
      <c r="B983" s="13" t="inlineStr">
        <is>
          <t>IN</t>
        </is>
      </c>
      <c r="C983" s="177" t="n">
        <v>46219.41666666666</v>
      </c>
      <c r="D983" s="51" t="n">
        <v>0.05282407407407407</v>
      </c>
      <c r="E983" s="13" t="n">
        <v>528000309</v>
      </c>
      <c r="F983" s="13" t="inlineStr">
        <is>
          <t>Ilham Ramadhan</t>
        </is>
      </c>
      <c r="G983" s="13" t="inlineStr">
        <is>
          <t>Produksi</t>
        </is>
      </c>
      <c r="H983" s="13" t="inlineStr">
        <is>
          <t>Istirahat</t>
        </is>
      </c>
    </row>
    <row r="984">
      <c r="A984" s="27" t="inlineStr">
        <is>
          <t>MK00250</t>
        </is>
      </c>
      <c r="B984" s="13" t="inlineStr">
        <is>
          <t>OUT</t>
        </is>
      </c>
      <c r="C984" s="177" t="n">
        <v>46219.41666666666</v>
      </c>
      <c r="D984" s="51" t="n">
        <v>0.05306712962962963</v>
      </c>
      <c r="E984" s="13" t="n">
        <v>528000298</v>
      </c>
      <c r="F984" s="13" t="inlineStr">
        <is>
          <t>Desta Cahaya Pratama</t>
        </is>
      </c>
      <c r="G984" s="13" t="inlineStr">
        <is>
          <t>Produksi</t>
        </is>
      </c>
      <c r="H984" s="13" t="inlineStr">
        <is>
          <t>Istirahat</t>
        </is>
      </c>
    </row>
    <row r="985">
      <c r="A985" s="27" t="inlineStr">
        <is>
          <t>MK00203</t>
        </is>
      </c>
      <c r="B985" s="13" t="inlineStr">
        <is>
          <t>OUT</t>
        </is>
      </c>
      <c r="C985" s="177" t="n">
        <v>46219.41666666666</v>
      </c>
      <c r="D985" s="51" t="n">
        <v>0.05327546296296296</v>
      </c>
      <c r="E985" s="13" t="n">
        <v>628000091</v>
      </c>
      <c r="F985" s="13" t="inlineStr">
        <is>
          <t>Devita Handayani</t>
        </is>
      </c>
      <c r="G985" s="13" t="inlineStr">
        <is>
          <t>Produksi</t>
        </is>
      </c>
      <c r="H985" s="13" t="inlineStr">
        <is>
          <t>Istirahat</t>
        </is>
      </c>
    </row>
    <row r="986">
      <c r="A986" s="27" t="inlineStr">
        <is>
          <t>MK00143</t>
        </is>
      </c>
      <c r="B986" s="13" t="inlineStr">
        <is>
          <t>IN</t>
        </is>
      </c>
      <c r="C986" s="177" t="n">
        <v>46219.41666666666</v>
      </c>
      <c r="D986" s="51" t="n">
        <v>0.06829861111111112</v>
      </c>
      <c r="E986" s="13" t="n">
        <v>528000329</v>
      </c>
      <c r="F986" s="13" t="inlineStr">
        <is>
          <t>Havid Ilham Firdaus</t>
        </is>
      </c>
      <c r="G986" s="13" t="inlineStr">
        <is>
          <t>Produksi</t>
        </is>
      </c>
      <c r="H986" s="13" t="inlineStr">
        <is>
          <t>Istirahat</t>
        </is>
      </c>
    </row>
    <row r="987">
      <c r="A987" s="27" t="inlineStr">
        <is>
          <t>MK00203</t>
        </is>
      </c>
      <c r="B987" s="13" t="inlineStr">
        <is>
          <t>IN</t>
        </is>
      </c>
      <c r="C987" s="177" t="n">
        <v>46219.41666666666</v>
      </c>
      <c r="D987" s="51" t="n">
        <v>0.07364583333333333</v>
      </c>
      <c r="E987" s="13" t="n">
        <v>628000091</v>
      </c>
      <c r="F987" s="13" t="inlineStr">
        <is>
          <t>Devita Handayani</t>
        </is>
      </c>
      <c r="G987" s="13" t="inlineStr">
        <is>
          <t>Produksi</t>
        </is>
      </c>
    </row>
    <row r="988">
      <c r="A988" s="27" t="inlineStr">
        <is>
          <t>MK00235</t>
        </is>
      </c>
      <c r="B988" s="13" t="inlineStr">
        <is>
          <t>OUT</t>
        </is>
      </c>
      <c r="C988" s="177" t="n">
        <v>46219.41666666666</v>
      </c>
      <c r="D988" s="51" t="n">
        <v>0.07689814814814815</v>
      </c>
      <c r="E988" s="13" t="n">
        <v>528000309</v>
      </c>
      <c r="F988" s="13" t="inlineStr">
        <is>
          <t>Ilham Ramadhan</t>
        </is>
      </c>
      <c r="G988" s="13" t="inlineStr">
        <is>
          <t>Produksi</t>
        </is>
      </c>
    </row>
    <row r="989">
      <c r="A989" s="27" t="inlineStr">
        <is>
          <t>MK00235</t>
        </is>
      </c>
      <c r="B989" s="13" t="inlineStr">
        <is>
          <t>IN</t>
        </is>
      </c>
      <c r="C989" s="177" t="n">
        <v>46219.41666666666</v>
      </c>
      <c r="D989" s="51" t="n">
        <v>0.07732638888888889</v>
      </c>
      <c r="E989" s="13" t="n">
        <v>528000309</v>
      </c>
      <c r="F989" s="13" t="inlineStr">
        <is>
          <t>Ilham Ramadhan</t>
        </is>
      </c>
      <c r="G989" s="13" t="inlineStr">
        <is>
          <t>Produksi</t>
        </is>
      </c>
    </row>
    <row r="990">
      <c r="A990" s="27" t="inlineStr">
        <is>
          <t>MK00250</t>
        </is>
      </c>
      <c r="B990" s="13" t="inlineStr">
        <is>
          <t>IN</t>
        </is>
      </c>
      <c r="C990" s="177" t="n">
        <v>46219.41666666666</v>
      </c>
      <c r="D990" s="51" t="n">
        <v>0.08057870370370371</v>
      </c>
      <c r="E990" s="13" t="n">
        <v>528000298</v>
      </c>
      <c r="F990" s="13" t="inlineStr">
        <is>
          <t>Desta Cahaya Pratama</t>
        </is>
      </c>
      <c r="G990" s="13" t="inlineStr">
        <is>
          <t>Produksi</t>
        </is>
      </c>
    </row>
    <row r="991">
      <c r="A991" s="27" t="inlineStr">
        <is>
          <t>MK00145</t>
        </is>
      </c>
      <c r="B991" s="13" t="inlineStr">
        <is>
          <t>OUT</t>
        </is>
      </c>
      <c r="C991" s="177" t="n">
        <v>46219.41666666666</v>
      </c>
      <c r="D991" s="51" t="n">
        <v>0.08280092592592593</v>
      </c>
      <c r="E991" s="13" t="n">
        <v>528000305</v>
      </c>
      <c r="F991" s="13" t="inlineStr">
        <is>
          <t>Puji Puspita</t>
        </is>
      </c>
      <c r="G991" s="13" t="inlineStr">
        <is>
          <t>Produksi</t>
        </is>
      </c>
    </row>
    <row r="992">
      <c r="A992" s="27" t="inlineStr">
        <is>
          <t>MK00145</t>
        </is>
      </c>
      <c r="B992" s="13" t="inlineStr">
        <is>
          <t>IN</t>
        </is>
      </c>
      <c r="C992" s="177" t="n">
        <v>46219.41666666666</v>
      </c>
      <c r="D992" s="51" t="n">
        <v>0.1068865740740741</v>
      </c>
      <c r="E992" s="13" t="n">
        <v>528000305</v>
      </c>
      <c r="F992" s="13" t="inlineStr">
        <is>
          <t>Puji Puspita</t>
        </is>
      </c>
      <c r="G992" s="13" t="inlineStr">
        <is>
          <t>Produksi</t>
        </is>
      </c>
    </row>
    <row r="993">
      <c r="A993" s="27" t="inlineStr">
        <is>
          <t>MK00085</t>
        </is>
      </c>
      <c r="B993" s="13" t="inlineStr">
        <is>
          <t>IN</t>
        </is>
      </c>
      <c r="C993" s="177" t="n">
        <v>46219.41666666666</v>
      </c>
      <c r="D993" s="51" t="n">
        <v>0.1069444444444444</v>
      </c>
      <c r="E993" s="13" t="n">
        <v>528000313</v>
      </c>
      <c r="F993" s="13" t="inlineStr">
        <is>
          <t>Muhamad Rifki</t>
        </is>
      </c>
      <c r="G993" s="13" t="inlineStr">
        <is>
          <t>Produksi</t>
        </is>
      </c>
    </row>
    <row r="994">
      <c r="A994" s="27" t="inlineStr">
        <is>
          <t>MK00085</t>
        </is>
      </c>
      <c r="B994" s="13" t="inlineStr">
        <is>
          <t>OUT</t>
        </is>
      </c>
      <c r="C994" s="177" t="n">
        <v>46219.41666666666</v>
      </c>
      <c r="D994" s="51" t="n">
        <v>0.1094328703703704</v>
      </c>
      <c r="E994" s="13" t="n">
        <v>528000313</v>
      </c>
      <c r="F994" s="13" t="inlineStr">
        <is>
          <t>Muhamad Rifki</t>
        </is>
      </c>
      <c r="G994" s="13" t="inlineStr">
        <is>
          <t>Produksi</t>
        </is>
      </c>
    </row>
    <row r="995">
      <c r="A995" s="27" t="inlineStr">
        <is>
          <t>MK00085</t>
        </is>
      </c>
      <c r="B995" s="13" t="inlineStr">
        <is>
          <t>IN</t>
        </is>
      </c>
      <c r="C995" s="177" t="n">
        <v>46219.41666666666</v>
      </c>
      <c r="D995" s="51" t="n">
        <v>0.1307986111111111</v>
      </c>
      <c r="E995" s="13" t="n">
        <v>528000313</v>
      </c>
      <c r="F995" s="13" t="inlineStr">
        <is>
          <t>Muhamad Rifki</t>
        </is>
      </c>
      <c r="G995" s="13" t="inlineStr">
        <is>
          <t>Produksi</t>
        </is>
      </c>
    </row>
    <row r="996">
      <c r="A996" s="27" t="inlineStr">
        <is>
          <t>MK00204</t>
        </is>
      </c>
      <c r="B996" s="13" t="inlineStr">
        <is>
          <t>OUT</t>
        </is>
      </c>
      <c r="C996" s="177" t="n">
        <v>46219.41666666666</v>
      </c>
      <c r="D996" s="51" t="n">
        <v>0.1471990740740741</v>
      </c>
      <c r="E996" s="13" t="n">
        <v>528000340</v>
      </c>
      <c r="F996" s="13" t="inlineStr">
        <is>
          <t>Muhammad Wildan Adithya</t>
        </is>
      </c>
      <c r="G996" s="13" t="inlineStr">
        <is>
          <t>Produksi</t>
        </is>
      </c>
    </row>
    <row r="997">
      <c r="A997" s="27" t="inlineStr">
        <is>
          <t>MK00204</t>
        </is>
      </c>
      <c r="B997" s="13" t="inlineStr">
        <is>
          <t>IN</t>
        </is>
      </c>
      <c r="C997" s="177" t="n">
        <v>46219.41666666666</v>
      </c>
      <c r="D997" s="51" t="n">
        <v>0.1728240740740741</v>
      </c>
      <c r="E997" s="13" t="n">
        <v>528000340</v>
      </c>
      <c r="F997" s="13" t="inlineStr">
        <is>
          <t>Muhammad Wildan Adithya</t>
        </is>
      </c>
      <c r="G997" s="13" t="inlineStr">
        <is>
          <t>Produksi</t>
        </is>
      </c>
    </row>
    <row r="998">
      <c r="A998" s="27" t="inlineStr">
        <is>
          <t>MK00143</t>
        </is>
      </c>
      <c r="B998" s="13" t="inlineStr">
        <is>
          <t>OUT</t>
        </is>
      </c>
      <c r="C998" s="177" t="n">
        <v>46219.41666666666</v>
      </c>
      <c r="D998" s="51" t="n">
        <v>0.742662037037037</v>
      </c>
      <c r="E998" s="13" t="n">
        <v>528000262</v>
      </c>
      <c r="F998" s="13" t="inlineStr">
        <is>
          <t>Ndari Dwiwanti</t>
        </is>
      </c>
      <c r="G998" s="13" t="inlineStr">
        <is>
          <t>Produksi</t>
        </is>
      </c>
      <c r="H998" s="13" t="inlineStr">
        <is>
          <t>Istirahat</t>
        </is>
      </c>
    </row>
    <row r="999">
      <c r="A999" s="27" t="inlineStr">
        <is>
          <t>MK00116</t>
        </is>
      </c>
      <c r="B999" s="13" t="inlineStr">
        <is>
          <t>IN</t>
        </is>
      </c>
      <c r="C999" s="177" t="n">
        <v>46219.41666666666</v>
      </c>
      <c r="D999" s="51" t="n">
        <v>0.7428472222222222</v>
      </c>
      <c r="E999" s="13" t="n">
        <v>528000358</v>
      </c>
      <c r="F999" s="13" t="inlineStr">
        <is>
          <t>Lulu Agustin</t>
        </is>
      </c>
      <c r="G999" s="13" t="inlineStr">
        <is>
          <t>Produksi</t>
        </is>
      </c>
      <c r="H999" s="13" t="inlineStr">
        <is>
          <t>Istirahat</t>
        </is>
      </c>
    </row>
    <row r="1000">
      <c r="A1000" s="27" t="inlineStr">
        <is>
          <t>MK00116</t>
        </is>
      </c>
      <c r="B1000" s="13" t="inlineStr">
        <is>
          <t>OUT</t>
        </is>
      </c>
      <c r="C1000" s="177" t="n">
        <v>46219.41666666666</v>
      </c>
      <c r="D1000" s="51" t="n">
        <v>0.7435069444444444</v>
      </c>
      <c r="E1000" s="13" t="n">
        <v>528000358</v>
      </c>
      <c r="F1000" s="13" t="inlineStr">
        <is>
          <t>Lulu Agustin</t>
        </is>
      </c>
      <c r="G1000" s="13" t="inlineStr">
        <is>
          <t>Produksi</t>
        </is>
      </c>
      <c r="H1000" s="13" t="inlineStr">
        <is>
          <t>Istirahat</t>
        </is>
      </c>
    </row>
    <row r="1001">
      <c r="A1001" s="27" t="inlineStr">
        <is>
          <t>MK00202</t>
        </is>
      </c>
      <c r="B1001" s="13" t="inlineStr">
        <is>
          <t>OUT</t>
        </is>
      </c>
      <c r="C1001" s="177" t="n">
        <v>46219.41666666666</v>
      </c>
      <c r="D1001" s="51" t="n">
        <v>0.820474537037037</v>
      </c>
      <c r="E1001" s="13" t="n">
        <v>528000266</v>
      </c>
      <c r="F1001" s="13" t="inlineStr">
        <is>
          <t>M. Syirajatieq</t>
        </is>
      </c>
      <c r="G1001" s="13" t="inlineStr">
        <is>
          <t>Produksi</t>
        </is>
      </c>
      <c r="H1001" s="13" t="inlineStr">
        <is>
          <t>Istirahat</t>
        </is>
      </c>
    </row>
    <row r="1002">
      <c r="A1002" s="27" t="inlineStr">
        <is>
          <t>MK00192</t>
        </is>
      </c>
      <c r="B1002" s="13" t="inlineStr">
        <is>
          <t>OUT</t>
        </is>
      </c>
      <c r="C1002" s="177" t="n">
        <v>46219.41666666666</v>
      </c>
      <c r="D1002" s="51" t="n">
        <v>0.8277083333333334</v>
      </c>
      <c r="E1002" s="13" t="n">
        <v>528000283</v>
      </c>
      <c r="F1002" s="13" t="inlineStr">
        <is>
          <t>Purwanda Sugiri</t>
        </is>
      </c>
      <c r="G1002" s="13" t="inlineStr">
        <is>
          <t>Produksi</t>
        </is>
      </c>
      <c r="H1002" s="13" t="inlineStr">
        <is>
          <t>Istirahat</t>
        </is>
      </c>
    </row>
    <row r="1003">
      <c r="A1003" s="27" t="inlineStr">
        <is>
          <t>MK00121</t>
        </is>
      </c>
      <c r="B1003" s="13" t="inlineStr">
        <is>
          <t>OUT</t>
        </is>
      </c>
      <c r="C1003" s="177" t="n">
        <v>46219.41666666666</v>
      </c>
      <c r="D1003" s="51" t="n">
        <v>0.8291087962962963</v>
      </c>
      <c r="E1003" s="13" t="n">
        <v>528000360</v>
      </c>
      <c r="F1003" s="13" t="inlineStr">
        <is>
          <t>Hendra Permana</t>
        </is>
      </c>
      <c r="G1003" s="13" t="inlineStr">
        <is>
          <t>Produksi</t>
        </is>
      </c>
      <c r="H1003" s="13" t="inlineStr">
        <is>
          <t>Istirahat</t>
        </is>
      </c>
    </row>
    <row r="1004">
      <c r="A1004" s="27" t="inlineStr">
        <is>
          <t>MK00202</t>
        </is>
      </c>
      <c r="B1004" s="13" t="inlineStr">
        <is>
          <t>IN</t>
        </is>
      </c>
      <c r="C1004" s="177" t="n">
        <v>46219.41666666666</v>
      </c>
      <c r="D1004" s="51" t="n">
        <v>0.8754513888888888</v>
      </c>
      <c r="E1004" s="13" t="n">
        <v>528000266</v>
      </c>
      <c r="F1004" s="13" t="inlineStr">
        <is>
          <t>M. Syirajatieq</t>
        </is>
      </c>
      <c r="G1004" s="13" t="inlineStr">
        <is>
          <t>Produksi</t>
        </is>
      </c>
      <c r="H1004" s="13" t="inlineStr">
        <is>
          <t>Istirahat</t>
        </is>
      </c>
    </row>
    <row r="1005">
      <c r="A1005" s="27" t="inlineStr">
        <is>
          <t>MK00192</t>
        </is>
      </c>
      <c r="B1005" s="13" t="inlineStr">
        <is>
          <t>IN</t>
        </is>
      </c>
      <c r="C1005" s="177" t="n">
        <v>46219.41666666666</v>
      </c>
      <c r="D1005" s="51" t="n">
        <v>0.8756481481481482</v>
      </c>
      <c r="E1005" s="13" t="n">
        <v>528000283</v>
      </c>
      <c r="F1005" s="13" t="inlineStr">
        <is>
          <t>Purwanda Sugiri</t>
        </is>
      </c>
      <c r="G1005" s="13" t="inlineStr">
        <is>
          <t>Produksi</t>
        </is>
      </c>
      <c r="H1005" s="13" t="inlineStr">
        <is>
          <t>Istirahat</t>
        </is>
      </c>
    </row>
    <row r="1006">
      <c r="A1006" s="27" t="inlineStr">
        <is>
          <t>MK00121</t>
        </is>
      </c>
      <c r="B1006" s="13" t="inlineStr">
        <is>
          <t>IN</t>
        </is>
      </c>
      <c r="C1006" s="177" t="n">
        <v>46219.41666666666</v>
      </c>
      <c r="D1006" s="51" t="n">
        <v>0.8758101851851852</v>
      </c>
      <c r="E1006" s="13" t="n">
        <v>528000360</v>
      </c>
      <c r="F1006" s="13" t="inlineStr">
        <is>
          <t>Hendra Permana</t>
        </is>
      </c>
      <c r="G1006" s="13" t="inlineStr">
        <is>
          <t>Produksi</t>
        </is>
      </c>
      <c r="H1006" s="13" t="inlineStr">
        <is>
          <t>Istirahat</t>
        </is>
      </c>
    </row>
    <row r="1007">
      <c r="A1007" s="27" t="inlineStr">
        <is>
          <t>MK00160</t>
        </is>
      </c>
      <c r="B1007" s="13" t="inlineStr">
        <is>
          <t>OUT</t>
        </is>
      </c>
      <c r="C1007" s="177" t="n">
        <v>46220.41666666666</v>
      </c>
      <c r="D1007" s="51" t="n">
        <v>0.02467592592592593</v>
      </c>
      <c r="E1007" s="13" t="n">
        <v>528000361</v>
      </c>
      <c r="F1007" s="13" t="inlineStr">
        <is>
          <t>Denada Munggarani</t>
        </is>
      </c>
      <c r="G1007" s="13" t="inlineStr">
        <is>
          <t>Produksi</t>
        </is>
      </c>
      <c r="H1007" s="13" t="inlineStr">
        <is>
          <t>Istirahat</t>
        </is>
      </c>
    </row>
    <row r="1008">
      <c r="A1008" s="27" t="inlineStr">
        <is>
          <t>MK00181</t>
        </is>
      </c>
      <c r="B1008" s="13" t="inlineStr">
        <is>
          <t>OUT</t>
        </is>
      </c>
      <c r="C1008" s="177" t="n">
        <v>46220.41666666666</v>
      </c>
      <c r="D1008" s="51" t="n">
        <v>0.02482638888888889</v>
      </c>
      <c r="E1008" s="13" t="n">
        <v>528000318</v>
      </c>
      <c r="F1008" s="13" t="inlineStr">
        <is>
          <t>Bayu Padli Sepriyana</t>
        </is>
      </c>
      <c r="G1008" s="13" t="inlineStr">
        <is>
          <t>Produksi</t>
        </is>
      </c>
      <c r="H1008" s="13" t="inlineStr">
        <is>
          <t>Istirahat</t>
        </is>
      </c>
    </row>
    <row r="1009">
      <c r="A1009" s="27" t="inlineStr">
        <is>
          <t>MK00160</t>
        </is>
      </c>
      <c r="B1009" s="13" t="inlineStr">
        <is>
          <t>IN</t>
        </is>
      </c>
      <c r="C1009" s="177" t="n">
        <v>46220.41666666666</v>
      </c>
      <c r="D1009" s="51" t="n">
        <v>0.03982638888888889</v>
      </c>
      <c r="E1009" s="13" t="n">
        <v>528000361</v>
      </c>
      <c r="F1009" s="13" t="inlineStr">
        <is>
          <t>Denada Munggarani</t>
        </is>
      </c>
      <c r="G1009" s="13" t="inlineStr">
        <is>
          <t>Produksi</t>
        </is>
      </c>
      <c r="H1009" s="13" t="inlineStr">
        <is>
          <t>Istirahat</t>
        </is>
      </c>
    </row>
    <row r="1010">
      <c r="A1010" s="27" t="inlineStr">
        <is>
          <t>MK00181</t>
        </is>
      </c>
      <c r="B1010" s="13" t="inlineStr">
        <is>
          <t>IN</t>
        </is>
      </c>
      <c r="C1010" s="177" t="n">
        <v>46220.41666666666</v>
      </c>
      <c r="D1010" s="51" t="n">
        <v>0.04479166666666667</v>
      </c>
      <c r="E1010" s="13" t="n">
        <v>528000318</v>
      </c>
      <c r="F1010" s="13" t="inlineStr">
        <is>
          <t>Bayu Padli Sepriyana</t>
        </is>
      </c>
      <c r="G1010" s="13" t="inlineStr">
        <is>
          <t>Produksi</t>
        </is>
      </c>
      <c r="H1010" s="13" t="inlineStr">
        <is>
          <t>Istirahat</t>
        </is>
      </c>
    </row>
    <row r="1011">
      <c r="A1011" s="27" t="inlineStr">
        <is>
          <t>MK00219</t>
        </is>
      </c>
      <c r="B1011" s="13" t="inlineStr">
        <is>
          <t>IN</t>
        </is>
      </c>
      <c r="C1011" s="177" t="n">
        <v>46220.41666666666</v>
      </c>
      <c r="D1011" s="51" t="n">
        <v>0.04752314814814815</v>
      </c>
      <c r="E1011" s="13" t="n">
        <v>528000309</v>
      </c>
      <c r="F1011" s="13" t="inlineStr">
        <is>
          <t>Ilham Ramadhan</t>
        </is>
      </c>
      <c r="G1011" s="13" t="inlineStr">
        <is>
          <t>Produksi</t>
        </is>
      </c>
      <c r="H1011" s="13" t="inlineStr">
        <is>
          <t>Istirahat</t>
        </is>
      </c>
    </row>
    <row r="1012">
      <c r="A1012" s="27" t="inlineStr">
        <is>
          <t>MK00184</t>
        </is>
      </c>
      <c r="B1012" s="13" t="inlineStr">
        <is>
          <t>IN</t>
        </is>
      </c>
      <c r="C1012" s="177" t="n">
        <v>46220.41666666666</v>
      </c>
      <c r="D1012" s="51" t="n">
        <v>0.04790509259259259</v>
      </c>
      <c r="E1012" s="13" t="n">
        <v>528000305</v>
      </c>
      <c r="F1012" s="13" t="inlineStr">
        <is>
          <t>Puji Puspita</t>
        </is>
      </c>
      <c r="G1012" s="13" t="inlineStr">
        <is>
          <t>Produksi</t>
        </is>
      </c>
      <c r="H1012" s="13" t="inlineStr">
        <is>
          <t>Istirahat</t>
        </is>
      </c>
    </row>
    <row r="1013">
      <c r="A1013" s="27" t="inlineStr">
        <is>
          <t>MK00138</t>
        </is>
      </c>
      <c r="B1013" s="13" t="inlineStr">
        <is>
          <t>IN</t>
        </is>
      </c>
      <c r="C1013" s="177" t="n">
        <v>46220.41666666666</v>
      </c>
      <c r="D1013" s="51" t="n">
        <v>0.04854166666666666</v>
      </c>
      <c r="E1013" s="13" t="n">
        <v>528000298</v>
      </c>
      <c r="F1013" s="13" t="inlineStr">
        <is>
          <t>Desta Cahaya Pratama</t>
        </is>
      </c>
      <c r="G1013" s="13" t="inlineStr">
        <is>
          <t>Produksi</t>
        </is>
      </c>
      <c r="H1013" s="13" t="inlineStr">
        <is>
          <t>Istirahat</t>
        </is>
      </c>
    </row>
    <row r="1014">
      <c r="A1014" s="27" t="inlineStr">
        <is>
          <t>MK00217</t>
        </is>
      </c>
      <c r="B1014" s="13" t="inlineStr">
        <is>
          <t>IN</t>
        </is>
      </c>
      <c r="C1014" s="177" t="n">
        <v>46220.41666666666</v>
      </c>
      <c r="D1014" s="51" t="n">
        <v>0.04884259259259259</v>
      </c>
      <c r="E1014" s="13" t="n">
        <v>528000340</v>
      </c>
      <c r="F1014" s="13" t="inlineStr">
        <is>
          <t>Muhammad Wildan Adithya</t>
        </is>
      </c>
      <c r="G1014" s="13" t="inlineStr">
        <is>
          <t>Produksi</t>
        </is>
      </c>
      <c r="H1014" s="13" t="inlineStr">
        <is>
          <t>Istirahat</t>
        </is>
      </c>
    </row>
    <row r="1015">
      <c r="A1015" s="27" t="inlineStr">
        <is>
          <t>MK00230</t>
        </is>
      </c>
      <c r="B1015" s="13" t="inlineStr">
        <is>
          <t>IN</t>
        </is>
      </c>
      <c r="C1015" s="177" t="n">
        <v>46220.41666666666</v>
      </c>
      <c r="D1015" s="51" t="n">
        <v>0.04908564814814815</v>
      </c>
      <c r="E1015" s="13" t="n">
        <v>528000322</v>
      </c>
      <c r="F1015" s="13" t="inlineStr">
        <is>
          <t>Muhamad Aliludin</t>
        </is>
      </c>
      <c r="G1015" s="13" t="inlineStr">
        <is>
          <t>Produksi</t>
        </is>
      </c>
      <c r="H1015" s="13" t="inlineStr">
        <is>
          <t>Istirahat</t>
        </is>
      </c>
    </row>
    <row r="1016">
      <c r="A1016" s="27" t="inlineStr">
        <is>
          <t>MK00109</t>
        </is>
      </c>
      <c r="B1016" s="13" t="inlineStr">
        <is>
          <t>OUT</t>
        </is>
      </c>
      <c r="C1016" s="177" t="n">
        <v>46220.41666666666</v>
      </c>
      <c r="D1016" s="51" t="n">
        <v>0.04971064814814815</v>
      </c>
      <c r="E1016" s="13" t="n">
        <v>528000299</v>
      </c>
      <c r="F1016" s="13" t="inlineStr">
        <is>
          <t>Siti Nurjanah</t>
        </is>
      </c>
      <c r="G1016" s="13" t="inlineStr">
        <is>
          <t>Produksi</t>
        </is>
      </c>
      <c r="H1016" s="13" t="inlineStr">
        <is>
          <t>Istirahat</t>
        </is>
      </c>
    </row>
    <row r="1017">
      <c r="A1017" s="27" t="inlineStr">
        <is>
          <t>MK00230</t>
        </is>
      </c>
      <c r="B1017" s="13" t="inlineStr">
        <is>
          <t>OUT</t>
        </is>
      </c>
      <c r="C1017" s="177" t="n">
        <v>46220.41666666666</v>
      </c>
      <c r="D1017" s="51" t="n">
        <v>0.05019675925925926</v>
      </c>
      <c r="E1017" s="13" t="n">
        <v>528000322</v>
      </c>
      <c r="F1017" s="13" t="inlineStr">
        <is>
          <t>Muhamad Aliludin</t>
        </is>
      </c>
      <c r="G1017" s="13" t="inlineStr">
        <is>
          <t>Produksi</t>
        </is>
      </c>
      <c r="H1017" s="13" t="inlineStr">
        <is>
          <t>Istirahat</t>
        </is>
      </c>
    </row>
    <row r="1018">
      <c r="A1018" s="27" t="inlineStr">
        <is>
          <t>MK00217</t>
        </is>
      </c>
      <c r="B1018" s="13" t="inlineStr">
        <is>
          <t>OUT</t>
        </is>
      </c>
      <c r="C1018" s="177" t="n">
        <v>46220.41666666666</v>
      </c>
      <c r="D1018" s="51" t="n">
        <v>0.05050925925925926</v>
      </c>
      <c r="E1018" s="13" t="n">
        <v>528000340</v>
      </c>
      <c r="F1018" s="13" t="inlineStr">
        <is>
          <t>Muhammad Wildan Adithya</t>
        </is>
      </c>
      <c r="G1018" s="13" t="inlineStr">
        <is>
          <t>Produksi</t>
        </is>
      </c>
      <c r="H1018" s="13" t="inlineStr">
        <is>
          <t>Istirahat</t>
        </is>
      </c>
    </row>
    <row r="1019">
      <c r="A1019" s="27" t="inlineStr">
        <is>
          <t>MK00184</t>
        </is>
      </c>
      <c r="B1019" s="13" t="inlineStr">
        <is>
          <t>OUT</t>
        </is>
      </c>
      <c r="C1019" s="177" t="n">
        <v>46220.41666666666</v>
      </c>
      <c r="D1019" s="51" t="n">
        <v>0.05114583333333333</v>
      </c>
      <c r="E1019" s="13" t="n">
        <v>528000305</v>
      </c>
      <c r="F1019" s="13" t="inlineStr">
        <is>
          <t>Puji Puspita</t>
        </is>
      </c>
      <c r="G1019" s="13" t="inlineStr">
        <is>
          <t>Produksi</t>
        </is>
      </c>
      <c r="H1019" s="13" t="inlineStr">
        <is>
          <t>Istirahat</t>
        </is>
      </c>
    </row>
    <row r="1020">
      <c r="A1020" s="27" t="inlineStr">
        <is>
          <t>MK00138</t>
        </is>
      </c>
      <c r="B1020" s="13" t="inlineStr">
        <is>
          <t>OUT</t>
        </is>
      </c>
      <c r="C1020" s="177" t="n">
        <v>46220.41666666666</v>
      </c>
      <c r="D1020" s="51" t="n">
        <v>0.05130787037037037</v>
      </c>
      <c r="E1020" s="13" t="n">
        <v>528000298</v>
      </c>
      <c r="F1020" s="13" t="inlineStr">
        <is>
          <t>Desta Cahaya Pratama</t>
        </is>
      </c>
      <c r="G1020" s="13" t="inlineStr">
        <is>
          <t>Produksi</t>
        </is>
      </c>
      <c r="H1020" s="13" t="inlineStr">
        <is>
          <t>Istirahat</t>
        </is>
      </c>
    </row>
    <row r="1021">
      <c r="A1021" s="27" t="inlineStr">
        <is>
          <t>MK00219</t>
        </is>
      </c>
      <c r="B1021" s="13" t="inlineStr">
        <is>
          <t>OUT</t>
        </is>
      </c>
      <c r="C1021" s="177" t="n">
        <v>46220.41666666666</v>
      </c>
      <c r="D1021" s="51" t="n">
        <v>0.051875</v>
      </c>
      <c r="E1021" s="13" t="n">
        <v>528000309</v>
      </c>
      <c r="F1021" s="13" t="inlineStr">
        <is>
          <t>Ilham Ramadhan</t>
        </is>
      </c>
      <c r="G1021" s="13" t="inlineStr">
        <is>
          <t>Produksi</t>
        </is>
      </c>
      <c r="H1021" s="13" t="inlineStr">
        <is>
          <t>Istirahat</t>
        </is>
      </c>
    </row>
    <row r="1022">
      <c r="A1022" s="27" t="inlineStr">
        <is>
          <t>MK00208</t>
        </is>
      </c>
      <c r="B1022" s="13" t="inlineStr">
        <is>
          <t>OUT</t>
        </is>
      </c>
      <c r="C1022" s="177" t="n">
        <v>46220.41666666666</v>
      </c>
      <c r="D1022" s="51" t="n">
        <v>0.05274305555555556</v>
      </c>
      <c r="E1022" s="13" t="n">
        <v>528000302</v>
      </c>
      <c r="F1022" s="13" t="inlineStr">
        <is>
          <t>Henkey gumilar</t>
        </is>
      </c>
      <c r="G1022" s="13" t="inlineStr">
        <is>
          <t>Produksi</t>
        </is>
      </c>
      <c r="H1022" s="13" t="inlineStr">
        <is>
          <t>Istirahat</t>
        </is>
      </c>
    </row>
    <row r="1023">
      <c r="A1023" s="27" t="inlineStr">
        <is>
          <t>MK00109</t>
        </is>
      </c>
      <c r="B1023" s="13" t="inlineStr">
        <is>
          <t>IN</t>
        </is>
      </c>
      <c r="C1023" s="177" t="n">
        <v>46220.41666666666</v>
      </c>
      <c r="D1023" s="51" t="n">
        <v>0.06987268518518519</v>
      </c>
      <c r="E1023" s="13" t="n">
        <v>528000299</v>
      </c>
      <c r="F1023" s="13" t="inlineStr">
        <is>
          <t>Siti Nurjanah</t>
        </is>
      </c>
      <c r="G1023" s="13" t="inlineStr">
        <is>
          <t>Produksi</t>
        </is>
      </c>
      <c r="H1023" s="13" t="inlineStr">
        <is>
          <t>Istirahat</t>
        </is>
      </c>
    </row>
    <row r="1024">
      <c r="A1024" s="27" t="inlineStr">
        <is>
          <t>MK00184</t>
        </is>
      </c>
      <c r="B1024" s="13" t="inlineStr">
        <is>
          <t>IN</t>
        </is>
      </c>
      <c r="C1024" s="177" t="n">
        <v>46220.41666666666</v>
      </c>
      <c r="D1024" s="51" t="n">
        <v>0.07065972222222222</v>
      </c>
      <c r="E1024" s="13" t="n">
        <v>528000305</v>
      </c>
      <c r="F1024" s="13" t="inlineStr">
        <is>
          <t>Puji Puspita</t>
        </is>
      </c>
      <c r="G1024" s="13" t="inlineStr">
        <is>
          <t>Produksi</t>
        </is>
      </c>
      <c r="H1024" s="13" t="inlineStr">
        <is>
          <t>Istirahat</t>
        </is>
      </c>
    </row>
    <row r="1025">
      <c r="A1025" s="27" t="inlineStr">
        <is>
          <t>MK00230</t>
        </is>
      </c>
      <c r="B1025" s="13" t="inlineStr">
        <is>
          <t>IN</t>
        </is>
      </c>
      <c r="C1025" s="177" t="n">
        <v>46220.41666666666</v>
      </c>
      <c r="D1025" s="51" t="n">
        <v>0.07212962962962963</v>
      </c>
      <c r="E1025" s="13" t="n">
        <v>528000322</v>
      </c>
      <c r="F1025" s="13" t="inlineStr">
        <is>
          <t>Muhamad Aliludin</t>
        </is>
      </c>
      <c r="G1025" s="13" t="inlineStr">
        <is>
          <t>Produksi</t>
        </is>
      </c>
      <c r="H1025" s="13" t="inlineStr">
        <is>
          <t>Istirahat</t>
        </is>
      </c>
    </row>
    <row r="1026">
      <c r="A1026" s="27" t="inlineStr">
        <is>
          <t>MK00217</t>
        </is>
      </c>
      <c r="B1026" s="13" t="inlineStr">
        <is>
          <t>IN</t>
        </is>
      </c>
      <c r="C1026" s="177" t="n">
        <v>46220.41666666666</v>
      </c>
      <c r="D1026" s="51" t="n">
        <v>0.07266203703703704</v>
      </c>
      <c r="E1026" s="13" t="n">
        <v>528000340</v>
      </c>
      <c r="F1026" s="13" t="inlineStr">
        <is>
          <t>Muhammad Wildan Adithya</t>
        </is>
      </c>
      <c r="G1026" s="13" t="inlineStr">
        <is>
          <t>Produksi</t>
        </is>
      </c>
      <c r="H1026" s="13" t="inlineStr">
        <is>
          <t>Istirahat</t>
        </is>
      </c>
    </row>
    <row r="1027">
      <c r="A1027" s="27" t="inlineStr">
        <is>
          <t>MK00208</t>
        </is>
      </c>
      <c r="B1027" s="13" t="inlineStr">
        <is>
          <t>IN</t>
        </is>
      </c>
      <c r="C1027" s="177" t="n">
        <v>46220.41666666666</v>
      </c>
      <c r="D1027" s="51" t="n">
        <v>0.0728125</v>
      </c>
      <c r="E1027" s="13" t="n">
        <v>528000302</v>
      </c>
      <c r="F1027" s="13" t="inlineStr">
        <is>
          <t>Henkey gumilar</t>
        </is>
      </c>
      <c r="G1027" s="13" t="inlineStr">
        <is>
          <t>Produksi</t>
        </is>
      </c>
      <c r="H1027" s="13" t="inlineStr">
        <is>
          <t>Istirahat</t>
        </is>
      </c>
    </row>
    <row r="1028">
      <c r="A1028" s="27" t="inlineStr">
        <is>
          <t>MK00138</t>
        </is>
      </c>
      <c r="B1028" s="13" t="inlineStr">
        <is>
          <t>IN</t>
        </is>
      </c>
      <c r="C1028" s="177" t="n">
        <v>46220.41666666666</v>
      </c>
      <c r="D1028" s="51" t="n">
        <v>0.07329861111111111</v>
      </c>
      <c r="E1028" s="13" t="n">
        <v>528000298</v>
      </c>
      <c r="F1028" s="13" t="inlineStr">
        <is>
          <t>Desta Cahaya Pratama</t>
        </is>
      </c>
      <c r="G1028" s="13" t="inlineStr">
        <is>
          <t>Produksi</t>
        </is>
      </c>
      <c r="H1028" s="13" t="inlineStr">
        <is>
          <t>Istirahat</t>
        </is>
      </c>
    </row>
    <row r="1029">
      <c r="A1029" s="27" t="inlineStr">
        <is>
          <t>MK00208</t>
        </is>
      </c>
      <c r="B1029" s="13" t="inlineStr">
        <is>
          <t>OUT</t>
        </is>
      </c>
      <c r="C1029" s="177" t="n">
        <v>46220.41666666666</v>
      </c>
      <c r="D1029" s="51" t="n">
        <v>0.07781250000000001</v>
      </c>
      <c r="E1029" s="13" t="n">
        <v>528000302</v>
      </c>
      <c r="F1029" s="13" t="inlineStr">
        <is>
          <t>Henkey gumilar</t>
        </is>
      </c>
      <c r="G1029" s="13" t="inlineStr">
        <is>
          <t>Produksi</t>
        </is>
      </c>
      <c r="H1029" s="13" t="inlineStr">
        <is>
          <t>Istirahat</t>
        </is>
      </c>
    </row>
    <row r="1030">
      <c r="A1030" s="27" t="inlineStr">
        <is>
          <t>MK00208</t>
        </is>
      </c>
      <c r="B1030" s="13" t="inlineStr">
        <is>
          <t>IN</t>
        </is>
      </c>
      <c r="C1030" s="177" t="n">
        <v>46220.41666666666</v>
      </c>
      <c r="D1030" s="51" t="n">
        <v>0.07918981481481481</v>
      </c>
      <c r="E1030" s="13" t="n">
        <v>528000302</v>
      </c>
      <c r="F1030" s="13" t="inlineStr">
        <is>
          <t>Henkey gumilar</t>
        </is>
      </c>
      <c r="G1030" s="13" t="inlineStr">
        <is>
          <t>Produksi</t>
        </is>
      </c>
      <c r="H1030" s="13" t="inlineStr">
        <is>
          <t>Istirahat</t>
        </is>
      </c>
    </row>
    <row r="1031">
      <c r="A1031" s="27" t="inlineStr">
        <is>
          <t>MK00134</t>
        </is>
      </c>
      <c r="B1031" s="13" t="inlineStr">
        <is>
          <t>OUT</t>
        </is>
      </c>
      <c r="C1031" s="177" t="n">
        <v>46220.41666666666</v>
      </c>
      <c r="D1031" s="51" t="n">
        <v>0.0874537037037037</v>
      </c>
      <c r="E1031" s="13" t="n">
        <v>528000270</v>
      </c>
      <c r="F1031" s="13" t="inlineStr">
        <is>
          <t>Febri Najmudin</t>
        </is>
      </c>
      <c r="G1031" s="13" t="inlineStr">
        <is>
          <t>Produksi</t>
        </is>
      </c>
      <c r="H1031" s="13" t="inlineStr">
        <is>
          <t>Istirahat</t>
        </is>
      </c>
    </row>
    <row r="1032">
      <c r="A1032" s="27" t="inlineStr">
        <is>
          <t>MK00113</t>
        </is>
      </c>
      <c r="B1032" s="13" t="inlineStr">
        <is>
          <t>OUT</t>
        </is>
      </c>
      <c r="C1032" s="177" t="n">
        <v>46220.41666666666</v>
      </c>
      <c r="D1032" s="51" t="n">
        <v>0.1054166666666667</v>
      </c>
      <c r="E1032" s="13" t="n">
        <v>528000313</v>
      </c>
      <c r="F1032" s="13" t="inlineStr">
        <is>
          <t>Muhamad Rifki</t>
        </is>
      </c>
      <c r="G1032" s="13" t="inlineStr">
        <is>
          <t>Produksi</t>
        </is>
      </c>
      <c r="H1032" s="13" t="inlineStr">
        <is>
          <t>Istirahat</t>
        </is>
      </c>
    </row>
    <row r="1033">
      <c r="A1033" s="27" t="inlineStr">
        <is>
          <t>MK00134</t>
        </is>
      </c>
      <c r="B1033" s="13" t="inlineStr">
        <is>
          <t>IN</t>
        </is>
      </c>
      <c r="C1033" s="177" t="n">
        <v>46220.41666666666</v>
      </c>
      <c r="D1033" s="51" t="n">
        <v>0.1113888888888889</v>
      </c>
      <c r="E1033" s="13" t="n">
        <v>528000270</v>
      </c>
      <c r="F1033" s="13" t="inlineStr">
        <is>
          <t>Febri Najmudin</t>
        </is>
      </c>
      <c r="G1033" s="13" t="inlineStr">
        <is>
          <t>Produksi</t>
        </is>
      </c>
      <c r="H1033" s="13" t="inlineStr">
        <is>
          <t>Istirahat</t>
        </is>
      </c>
    </row>
    <row r="1034">
      <c r="A1034" s="27" t="inlineStr">
        <is>
          <t>MK00192</t>
        </is>
      </c>
      <c r="B1034" s="13" t="inlineStr">
        <is>
          <t>OUT</t>
        </is>
      </c>
      <c r="C1034" s="177" t="n">
        <v>46220.41666666666</v>
      </c>
      <c r="D1034" s="51" t="n">
        <v>0.414224537037037</v>
      </c>
      <c r="E1034" s="13" t="n">
        <v>528000241</v>
      </c>
      <c r="F1034" s="13" t="inlineStr">
        <is>
          <t>Balia Nurafif Bilah</t>
        </is>
      </c>
      <c r="G1034" s="13" t="inlineStr">
        <is>
          <t>Produksi</t>
        </is>
      </c>
      <c r="H1034" s="13" t="inlineStr">
        <is>
          <t>Istirahat</t>
        </is>
      </c>
    </row>
    <row r="1035">
      <c r="A1035" s="27" t="inlineStr">
        <is>
          <t>MK00192</t>
        </is>
      </c>
      <c r="B1035" s="13" t="inlineStr">
        <is>
          <t>IN</t>
        </is>
      </c>
      <c r="C1035" s="177" t="n">
        <v>46220.41666666666</v>
      </c>
      <c r="D1035" s="51" t="n">
        <v>0.4150462962962963</v>
      </c>
      <c r="E1035" s="13" t="n">
        <v>528000241</v>
      </c>
      <c r="F1035" s="13" t="inlineStr">
        <is>
          <t>Balia Nurafif Bilah</t>
        </is>
      </c>
      <c r="G1035" s="13" t="inlineStr">
        <is>
          <t>Produksi</t>
        </is>
      </c>
      <c r="H1035" s="13" t="inlineStr">
        <is>
          <t>Istirahat</t>
        </is>
      </c>
    </row>
    <row r="1036">
      <c r="A1036" s="27" t="inlineStr">
        <is>
          <t>MK00141</t>
        </is>
      </c>
      <c r="B1036" s="13" t="inlineStr">
        <is>
          <t>OUT</t>
        </is>
      </c>
      <c r="C1036" s="177" t="n">
        <v>46220.41666666666</v>
      </c>
      <c r="D1036" s="51" t="n">
        <v>0.4152777777777778</v>
      </c>
      <c r="E1036" s="13" t="n">
        <v>528000274</v>
      </c>
      <c r="F1036" s="13" t="inlineStr">
        <is>
          <t>Zepri</t>
        </is>
      </c>
      <c r="G1036" s="13" t="inlineStr">
        <is>
          <t>Produksi</t>
        </is>
      </c>
      <c r="H1036" s="13" t="inlineStr">
        <is>
          <t>Istirahat</t>
        </is>
      </c>
    </row>
    <row r="1037">
      <c r="A1037" s="27" t="inlineStr">
        <is>
          <t>MK00143</t>
        </is>
      </c>
      <c r="B1037" s="13" t="inlineStr">
        <is>
          <t>IN</t>
        </is>
      </c>
      <c r="C1037" s="177" t="n">
        <v>46220.41666666666</v>
      </c>
      <c r="D1037" s="51" t="n">
        <v>0.420150462962963</v>
      </c>
      <c r="E1037" s="13" t="n">
        <v>528000286</v>
      </c>
      <c r="F1037" s="13" t="inlineStr">
        <is>
          <t>Imelda Amelia</t>
        </is>
      </c>
      <c r="G1037" s="13" t="inlineStr">
        <is>
          <t>Produksi</t>
        </is>
      </c>
      <c r="H1037" s="13" t="inlineStr">
        <is>
          <t>Istirahat</t>
        </is>
      </c>
    </row>
    <row r="1038">
      <c r="A1038" s="27" t="inlineStr">
        <is>
          <t>MK00141</t>
        </is>
      </c>
      <c r="B1038" s="13" t="inlineStr">
        <is>
          <t>IN</t>
        </is>
      </c>
      <c r="C1038" s="177" t="n">
        <v>46220.41666666666</v>
      </c>
      <c r="D1038" s="51" t="n">
        <v>0.4387615740740741</v>
      </c>
      <c r="E1038" s="13" t="n">
        <v>528000274</v>
      </c>
      <c r="F1038" s="13" t="inlineStr">
        <is>
          <t>Zepri</t>
        </is>
      </c>
      <c r="G1038" s="13" t="inlineStr">
        <is>
          <t>Produksi</t>
        </is>
      </c>
      <c r="H1038" s="13" t="inlineStr">
        <is>
          <t>Pekerjaan</t>
        </is>
      </c>
    </row>
    <row r="1039">
      <c r="A1039" s="27" t="inlineStr">
        <is>
          <t>MK00184</t>
        </is>
      </c>
      <c r="B1039" s="13" t="inlineStr">
        <is>
          <t>OUT</t>
        </is>
      </c>
      <c r="C1039" s="177" t="n">
        <v>46220.41666666666</v>
      </c>
      <c r="D1039" s="51" t="n">
        <v>0.7228125</v>
      </c>
      <c r="E1039" s="13" t="n">
        <v>528000358</v>
      </c>
      <c r="F1039" s="13" t="inlineStr">
        <is>
          <t>Lulu Agustin</t>
        </is>
      </c>
      <c r="G1039" s="13" t="inlineStr">
        <is>
          <t>Produksi</t>
        </is>
      </c>
      <c r="H1039" s="13" t="inlineStr">
        <is>
          <t>Istirahat</t>
        </is>
      </c>
    </row>
    <row r="1040">
      <c r="A1040" s="27" t="inlineStr">
        <is>
          <t>MK00145</t>
        </is>
      </c>
      <c r="B1040" s="13" t="inlineStr">
        <is>
          <t>OUT</t>
        </is>
      </c>
      <c r="C1040" s="177" t="n">
        <v>46220.41666666666</v>
      </c>
      <c r="D1040" s="51" t="n">
        <v>0.7229745370370371</v>
      </c>
      <c r="E1040" s="13" t="n">
        <v>528000195</v>
      </c>
      <c r="F1040" s="13" t="inlineStr">
        <is>
          <t>Rahma Sariwati</t>
        </is>
      </c>
      <c r="G1040" s="13" t="inlineStr">
        <is>
          <t>Produksi</t>
        </is>
      </c>
      <c r="H1040" s="13" t="inlineStr">
        <is>
          <t>Istirahat</t>
        </is>
      </c>
    </row>
    <row r="1041">
      <c r="A1041" s="27" t="inlineStr">
        <is>
          <t>MK00113</t>
        </is>
      </c>
      <c r="B1041" s="13" t="inlineStr">
        <is>
          <t>IN</t>
        </is>
      </c>
      <c r="C1041" s="177" t="n">
        <v>46220.41666666666</v>
      </c>
      <c r="D1041" s="51" t="n">
        <v>0.7375578703703703</v>
      </c>
      <c r="E1041" s="13" t="n">
        <v>528000262</v>
      </c>
      <c r="F1041" s="13" t="inlineStr">
        <is>
          <t>Ndari Dwiwanti</t>
        </is>
      </c>
      <c r="G1041" s="13" t="inlineStr">
        <is>
          <t>Produksi</t>
        </is>
      </c>
      <c r="H1041" s="13" t="inlineStr">
        <is>
          <t>Istirahat</t>
        </is>
      </c>
    </row>
    <row r="1042">
      <c r="A1042" s="27" t="inlineStr">
        <is>
          <t>MK00212</t>
        </is>
      </c>
      <c r="B1042" s="13" t="inlineStr">
        <is>
          <t>OUT</t>
        </is>
      </c>
      <c r="C1042" s="177" t="n">
        <v>46220.41666666666</v>
      </c>
      <c r="D1042" s="51" t="n">
        <v>0.8257407407407408</v>
      </c>
      <c r="E1042" s="13" t="n">
        <v>528000360</v>
      </c>
      <c r="F1042" s="13" t="inlineStr">
        <is>
          <t>Hendra Permana</t>
        </is>
      </c>
      <c r="G1042" s="13" t="inlineStr">
        <is>
          <t>Produksi</t>
        </is>
      </c>
      <c r="H1042" s="13" t="inlineStr">
        <is>
          <t>Istirahat</t>
        </is>
      </c>
    </row>
    <row r="1043">
      <c r="A1043" s="27" t="inlineStr">
        <is>
          <t>MK00249</t>
        </is>
      </c>
      <c r="B1043" s="13" t="inlineStr">
        <is>
          <t>OUT</t>
        </is>
      </c>
      <c r="C1043" s="177" t="n">
        <v>46220.41666666666</v>
      </c>
      <c r="D1043" s="51" t="n">
        <v>0.8258680555555555</v>
      </c>
      <c r="E1043" s="13" t="n">
        <v>528000228</v>
      </c>
      <c r="F1043" s="13" t="inlineStr">
        <is>
          <t>Banyu Resmi Putri</t>
        </is>
      </c>
      <c r="G1043" s="13" t="inlineStr">
        <is>
          <t>Produksi</t>
        </is>
      </c>
      <c r="H1043" s="13" t="inlineStr">
        <is>
          <t>Istirahat</t>
        </is>
      </c>
    </row>
    <row r="1044">
      <c r="A1044" s="27" t="inlineStr">
        <is>
          <t>MK00208</t>
        </is>
      </c>
      <c r="B1044" s="13" t="inlineStr">
        <is>
          <t>OUT</t>
        </is>
      </c>
      <c r="C1044" s="177" t="n">
        <v>46221.41666666666</v>
      </c>
      <c r="D1044" s="51" t="n">
        <v>0.02554398148148148</v>
      </c>
      <c r="E1044" s="13" t="n">
        <v>528000318</v>
      </c>
      <c r="F1044" s="13" t="inlineStr">
        <is>
          <t>Bayu Padli Sepriyana</t>
        </is>
      </c>
      <c r="G1044" s="13" t="inlineStr">
        <is>
          <t>Produksi</t>
        </is>
      </c>
      <c r="H1044" s="13" t="inlineStr">
        <is>
          <t>Istirahat</t>
        </is>
      </c>
    </row>
    <row r="1045">
      <c r="A1045" s="27" t="inlineStr">
        <is>
          <t>MK00109</t>
        </is>
      </c>
      <c r="B1045" s="13" t="inlineStr">
        <is>
          <t>OUT</t>
        </is>
      </c>
      <c r="C1045" s="177" t="n">
        <v>46221.41666666666</v>
      </c>
      <c r="D1045" s="51" t="n">
        <v>0.03094907407407407</v>
      </c>
      <c r="E1045" s="13" t="n">
        <v>528000305</v>
      </c>
      <c r="F1045" s="13" t="inlineStr">
        <is>
          <t>Puji Puspita</t>
        </is>
      </c>
      <c r="G1045" s="13" t="inlineStr">
        <is>
          <t>Produksi</t>
        </is>
      </c>
      <c r="H1045" s="13" t="inlineStr">
        <is>
          <t>Istirahat</t>
        </is>
      </c>
    </row>
    <row r="1046">
      <c r="A1046" s="27" t="inlineStr">
        <is>
          <t>MK00208</t>
        </is>
      </c>
      <c r="B1046" s="13" t="inlineStr">
        <is>
          <t>IN</t>
        </is>
      </c>
      <c r="C1046" s="177" t="n">
        <v>46221.41666666666</v>
      </c>
      <c r="D1046" s="51" t="n">
        <v>0.04405092592592592</v>
      </c>
      <c r="E1046" s="13" t="n">
        <v>528000318</v>
      </c>
      <c r="F1046" s="13" t="inlineStr">
        <is>
          <t>Bayu Padli Sepriyana</t>
        </is>
      </c>
      <c r="G1046" s="13" t="inlineStr">
        <is>
          <t>Produksi</t>
        </is>
      </c>
      <c r="H1046" s="13" t="inlineStr">
        <is>
          <t>Istirahat</t>
        </is>
      </c>
    </row>
    <row r="1047">
      <c r="A1047" s="27" t="inlineStr">
        <is>
          <t>MK00192</t>
        </is>
      </c>
      <c r="B1047" s="13" t="inlineStr">
        <is>
          <t>OUT</t>
        </is>
      </c>
      <c r="C1047" s="177" t="n">
        <v>46221.41666666666</v>
      </c>
      <c r="D1047" s="51" t="n">
        <v>0.04527777777777778</v>
      </c>
      <c r="E1047" s="13" t="n">
        <v>528000361</v>
      </c>
      <c r="F1047" s="13" t="inlineStr">
        <is>
          <t>Denada Munggarani</t>
        </is>
      </c>
      <c r="G1047" s="13" t="inlineStr">
        <is>
          <t>Produksi</t>
        </is>
      </c>
      <c r="H1047" s="13" t="inlineStr">
        <is>
          <t>Istirahat</t>
        </is>
      </c>
    </row>
    <row r="1048">
      <c r="A1048" s="27" t="inlineStr">
        <is>
          <t>MK00160</t>
        </is>
      </c>
      <c r="B1048" s="13" t="inlineStr">
        <is>
          <t>OUT</t>
        </is>
      </c>
      <c r="C1048" s="177" t="n">
        <v>46221.41666666666</v>
      </c>
      <c r="D1048" s="51" t="n">
        <v>0.048125</v>
      </c>
      <c r="E1048" s="13" t="n">
        <v>528000299</v>
      </c>
      <c r="F1048" s="13" t="inlineStr">
        <is>
          <t>Siti Nurjanah</t>
        </is>
      </c>
      <c r="G1048" s="13" t="inlineStr">
        <is>
          <t>Produksi</t>
        </is>
      </c>
      <c r="H1048" s="13" t="inlineStr">
        <is>
          <t>Istirahat</t>
        </is>
      </c>
    </row>
    <row r="1049">
      <c r="A1049" s="27" t="inlineStr">
        <is>
          <t>MK00141</t>
        </is>
      </c>
      <c r="B1049" s="13" t="inlineStr">
        <is>
          <t>OUT</t>
        </is>
      </c>
      <c r="C1049" s="177" t="n">
        <v>46221.41666666666</v>
      </c>
      <c r="D1049" s="51" t="n">
        <v>0.05034722222222222</v>
      </c>
      <c r="E1049" s="13" t="n">
        <v>528000302</v>
      </c>
      <c r="F1049" s="13" t="inlineStr">
        <is>
          <t>Henkey gumilar</t>
        </is>
      </c>
      <c r="G1049" s="13" t="inlineStr">
        <is>
          <t>Produksi</t>
        </is>
      </c>
      <c r="H1049" s="13" t="inlineStr">
        <is>
          <t>Istirahat</t>
        </is>
      </c>
    </row>
    <row r="1050">
      <c r="A1050" s="27" t="inlineStr">
        <is>
          <t>MK00109</t>
        </is>
      </c>
      <c r="B1050" s="13" t="inlineStr">
        <is>
          <t>OUT</t>
        </is>
      </c>
      <c r="C1050" s="177" t="n">
        <v>46221.41666666666</v>
      </c>
      <c r="D1050" s="51" t="n">
        <v>0.05474537037037037</v>
      </c>
      <c r="E1050" s="13" t="n">
        <v>528000305</v>
      </c>
      <c r="F1050" s="13" t="inlineStr">
        <is>
          <t>Puji Puspita</t>
        </is>
      </c>
      <c r="G1050" s="13" t="inlineStr">
        <is>
          <t>Produksi</t>
        </is>
      </c>
      <c r="H1050" s="13" t="inlineStr">
        <is>
          <t>Istirahat</t>
        </is>
      </c>
    </row>
    <row r="1051">
      <c r="A1051" s="27" t="inlineStr">
        <is>
          <t>MK00109</t>
        </is>
      </c>
      <c r="B1051" s="13" t="inlineStr">
        <is>
          <t>IN</t>
        </is>
      </c>
      <c r="C1051" s="177" t="n">
        <v>46221.41666666666</v>
      </c>
      <c r="D1051" s="51" t="n">
        <v>0.05526620370370371</v>
      </c>
      <c r="E1051" s="13" t="n">
        <v>528000305</v>
      </c>
      <c r="F1051" s="13" t="inlineStr">
        <is>
          <t>Puji Puspita</t>
        </is>
      </c>
      <c r="G1051" s="13" t="inlineStr">
        <is>
          <t>Produksi</t>
        </is>
      </c>
      <c r="H1051" s="13" t="inlineStr">
        <is>
          <t>Istirahat</t>
        </is>
      </c>
    </row>
    <row r="1052">
      <c r="A1052" s="27" t="inlineStr">
        <is>
          <t>MK00116</t>
        </is>
      </c>
      <c r="B1052" s="13" t="inlineStr">
        <is>
          <t>OUT</t>
        </is>
      </c>
      <c r="C1052" s="177" t="n">
        <v>46221.41666666666</v>
      </c>
      <c r="D1052" s="51" t="n">
        <v>0.05993055555555556</v>
      </c>
      <c r="E1052" s="13" t="n">
        <v>528000298</v>
      </c>
      <c r="F1052" s="13" t="inlineStr">
        <is>
          <t>Desta Cahaya Pratama</t>
        </is>
      </c>
      <c r="G1052" s="13" t="inlineStr">
        <is>
          <t>Produksi</t>
        </is>
      </c>
      <c r="H1052" s="13" t="inlineStr">
        <is>
          <t>Istirahat</t>
        </is>
      </c>
    </row>
    <row r="1053">
      <c r="A1053" s="27" t="inlineStr">
        <is>
          <t>MK00143</t>
        </is>
      </c>
      <c r="B1053" s="13" t="inlineStr">
        <is>
          <t>OUT</t>
        </is>
      </c>
      <c r="C1053" s="177" t="n">
        <v>46221.41666666666</v>
      </c>
      <c r="D1053" s="51" t="n">
        <v>0.06018518518518518</v>
      </c>
      <c r="E1053" s="13" t="n">
        <v>528000309</v>
      </c>
      <c r="F1053" s="13" t="inlineStr">
        <is>
          <t>Ilham Ramadhan</t>
        </is>
      </c>
      <c r="G1053" s="13" t="inlineStr">
        <is>
          <t>Produksi</t>
        </is>
      </c>
      <c r="H1053" s="13" t="inlineStr">
        <is>
          <t>Istirahat</t>
        </is>
      </c>
    </row>
    <row r="1054">
      <c r="A1054" s="27" t="inlineStr">
        <is>
          <t>MK00192</t>
        </is>
      </c>
      <c r="B1054" s="13" t="inlineStr">
        <is>
          <t>IN</t>
        </is>
      </c>
      <c r="C1054" s="177" t="n">
        <v>46221.41666666666</v>
      </c>
      <c r="D1054" s="51" t="n">
        <v>0.0658912037037037</v>
      </c>
      <c r="E1054" s="13" t="n">
        <v>528000361</v>
      </c>
      <c r="F1054" s="13" t="inlineStr">
        <is>
          <t>Denada Munggarani</t>
        </is>
      </c>
      <c r="G1054" s="13" t="inlineStr">
        <is>
          <t>Produksi</t>
        </is>
      </c>
      <c r="H1054" s="13" t="inlineStr">
        <is>
          <t>Istirahat</t>
        </is>
      </c>
    </row>
    <row r="1055">
      <c r="A1055" s="27" t="inlineStr">
        <is>
          <t>MK00160</t>
        </is>
      </c>
      <c r="B1055" s="13" t="inlineStr">
        <is>
          <t>IN</t>
        </is>
      </c>
      <c r="C1055" s="177" t="n">
        <v>46221.41666666666</v>
      </c>
      <c r="D1055" s="51" t="n">
        <v>0.06934027777777778</v>
      </c>
      <c r="E1055" s="13" t="n">
        <v>528000299</v>
      </c>
      <c r="F1055" s="13" t="inlineStr">
        <is>
          <t>Siti Nurjanah</t>
        </is>
      </c>
      <c r="G1055" s="13" t="inlineStr">
        <is>
          <t>Produksi</t>
        </is>
      </c>
      <c r="H1055" s="13" t="inlineStr">
        <is>
          <t>Istirahat</t>
        </is>
      </c>
    </row>
    <row r="1056">
      <c r="A1056" s="27" t="inlineStr">
        <is>
          <t>MK00148</t>
        </is>
      </c>
      <c r="B1056" s="13" t="inlineStr">
        <is>
          <t>OUT</t>
        </is>
      </c>
      <c r="C1056" s="177" t="n">
        <v>46221.41666666666</v>
      </c>
      <c r="D1056" s="51" t="n">
        <v>0.07332175925925925</v>
      </c>
      <c r="E1056" s="13" t="n">
        <v>528000322</v>
      </c>
      <c r="F1056" s="13" t="inlineStr">
        <is>
          <t>Muhamad Aliludin</t>
        </is>
      </c>
      <c r="G1056" s="13" t="inlineStr">
        <is>
          <t>Produksi</t>
        </is>
      </c>
      <c r="H1056" s="13" t="inlineStr">
        <is>
          <t>Istirahat</t>
        </is>
      </c>
    </row>
    <row r="1057">
      <c r="A1057" s="27" t="inlineStr">
        <is>
          <t>MK00141</t>
        </is>
      </c>
      <c r="B1057" s="13" t="inlineStr">
        <is>
          <t>IN</t>
        </is>
      </c>
      <c r="C1057" s="177" t="n">
        <v>46221.41666666666</v>
      </c>
      <c r="D1057" s="51" t="n">
        <v>0.07803240740740741</v>
      </c>
      <c r="E1057" s="13" t="n">
        <v>528000302</v>
      </c>
      <c r="F1057" s="13" t="inlineStr">
        <is>
          <t>Henkey gumilar</t>
        </is>
      </c>
      <c r="G1057" s="13" t="inlineStr">
        <is>
          <t>Produksi</t>
        </is>
      </c>
      <c r="H1057" s="13" t="inlineStr">
        <is>
          <t>Istirahat</t>
        </is>
      </c>
    </row>
    <row r="1058">
      <c r="A1058" s="27" t="inlineStr">
        <is>
          <t>MK00085</t>
        </is>
      </c>
      <c r="B1058" s="13" t="inlineStr">
        <is>
          <t>OUT</t>
        </is>
      </c>
      <c r="C1058" s="177" t="n">
        <v>46221.41666666666</v>
      </c>
      <c r="D1058" s="51" t="n">
        <v>0.08019675925925926</v>
      </c>
      <c r="E1058" s="13" t="n">
        <v>528000270</v>
      </c>
      <c r="F1058" s="13" t="inlineStr">
        <is>
          <t>Febri Najmudin</t>
        </is>
      </c>
      <c r="G1058" s="13" t="inlineStr">
        <is>
          <t>Produksi</t>
        </is>
      </c>
      <c r="H1058" s="13" t="inlineStr">
        <is>
          <t>Istirahat</t>
        </is>
      </c>
    </row>
    <row r="1059">
      <c r="A1059" s="27" t="inlineStr">
        <is>
          <t>MK00230</t>
        </is>
      </c>
      <c r="B1059" s="13" t="inlineStr">
        <is>
          <t>OUT</t>
        </is>
      </c>
      <c r="C1059" s="177" t="n">
        <v>46221.41666666666</v>
      </c>
      <c r="D1059" s="51" t="n">
        <v>0.1008333333333333</v>
      </c>
      <c r="E1059" s="13" t="n">
        <v>528000313</v>
      </c>
      <c r="F1059" s="13" t="inlineStr">
        <is>
          <t>Muhamad Rifki</t>
        </is>
      </c>
      <c r="G1059" s="13" t="inlineStr">
        <is>
          <t>Produksi</t>
        </is>
      </c>
      <c r="H1059" s="13" t="inlineStr">
        <is>
          <t>Istirahat</t>
        </is>
      </c>
    </row>
    <row r="1060">
      <c r="A1060" s="27" t="inlineStr">
        <is>
          <t>MK00085</t>
        </is>
      </c>
      <c r="B1060" s="13" t="inlineStr">
        <is>
          <t>IN</t>
        </is>
      </c>
      <c r="C1060" s="177" t="n">
        <v>46221.41666666666</v>
      </c>
      <c r="D1060" s="51" t="n">
        <v>0.1047222222222222</v>
      </c>
      <c r="E1060" s="13" t="n">
        <v>528000270</v>
      </c>
      <c r="F1060" s="13" t="inlineStr">
        <is>
          <t>Febri Najmudin</t>
        </is>
      </c>
      <c r="G1060" s="13" t="inlineStr">
        <is>
          <t>Produksi</t>
        </is>
      </c>
      <c r="H1060" s="13" t="inlineStr">
        <is>
          <t>Istirahat</t>
        </is>
      </c>
    </row>
    <row r="1061">
      <c r="A1061" s="27" t="inlineStr">
        <is>
          <t>MK00219</t>
        </is>
      </c>
      <c r="B1061" s="13" t="inlineStr">
        <is>
          <t>OUT</t>
        </is>
      </c>
      <c r="C1061" s="177" t="n">
        <v>46221.41666666666</v>
      </c>
      <c r="D1061" s="51" t="n">
        <v>0.1054861111111111</v>
      </c>
      <c r="E1061" s="13" t="n">
        <v>528000340</v>
      </c>
      <c r="F1061" s="13" t="inlineStr">
        <is>
          <t>Muhammad Wildan Adithya</t>
        </is>
      </c>
      <c r="G1061" s="13" t="inlineStr">
        <is>
          <t>Produksi</t>
        </is>
      </c>
      <c r="H1061" s="13" t="inlineStr">
        <is>
          <t>Istirahat</t>
        </is>
      </c>
    </row>
    <row r="1062">
      <c r="A1062" s="27" t="inlineStr">
        <is>
          <t>MK00230</t>
        </is>
      </c>
      <c r="B1062" s="13" t="inlineStr">
        <is>
          <t>IN</t>
        </is>
      </c>
      <c r="C1062" s="177" t="n">
        <v>46221.41666666666</v>
      </c>
      <c r="D1062" s="51" t="n">
        <v>0.1241550925925926</v>
      </c>
      <c r="E1062" s="13" t="n">
        <v>528000313</v>
      </c>
      <c r="F1062" s="13" t="inlineStr">
        <is>
          <t>Muhamad Rifki</t>
        </is>
      </c>
      <c r="G1062" s="13" t="inlineStr">
        <is>
          <t>Produksi</t>
        </is>
      </c>
      <c r="H1062" s="13" t="inlineStr">
        <is>
          <t>Istirahat</t>
        </is>
      </c>
    </row>
    <row r="1063">
      <c r="A1063" s="27" t="inlineStr">
        <is>
          <t>MK00113</t>
        </is>
      </c>
      <c r="B1063" s="13" t="inlineStr">
        <is>
          <t>OUT</t>
        </is>
      </c>
      <c r="C1063" s="177" t="n">
        <v>46221.41666666666</v>
      </c>
      <c r="D1063" s="51" t="n">
        <v>0.411412037037037</v>
      </c>
      <c r="E1063" s="13" t="n">
        <v>528000274</v>
      </c>
      <c r="F1063" s="13" t="inlineStr">
        <is>
          <t>Zepri</t>
        </is>
      </c>
      <c r="G1063" s="13" t="inlineStr">
        <is>
          <t>Produksi</t>
        </is>
      </c>
      <c r="H1063" s="13" t="inlineStr">
        <is>
          <t>Istirahat</t>
        </is>
      </c>
    </row>
    <row r="1064">
      <c r="A1064" s="27" t="inlineStr">
        <is>
          <t>MK00249</t>
        </is>
      </c>
      <c r="B1064" s="13" t="inlineStr">
        <is>
          <t>IN</t>
        </is>
      </c>
      <c r="C1064" s="177" t="n">
        <v>46221.41666666666</v>
      </c>
      <c r="D1064" s="51" t="n">
        <v>0.4120949074074074</v>
      </c>
      <c r="E1064" s="13" t="n">
        <v>528000090</v>
      </c>
      <c r="F1064" s="13" t="inlineStr">
        <is>
          <t>Suganda</t>
        </is>
      </c>
      <c r="G1064" s="13" t="inlineStr">
        <is>
          <t>Produksi</t>
        </is>
      </c>
      <c r="H1064" s="13" t="inlineStr">
        <is>
          <t>Istirahat</t>
        </is>
      </c>
    </row>
    <row r="1065">
      <c r="A1065" s="27" t="inlineStr">
        <is>
          <t>MK00249</t>
        </is>
      </c>
      <c r="B1065" s="13" t="inlineStr">
        <is>
          <t>OUT</t>
        </is>
      </c>
      <c r="C1065" s="177" t="n">
        <v>46221.41666666666</v>
      </c>
      <c r="D1065" s="51" t="n">
        <v>0.4124189814814815</v>
      </c>
      <c r="E1065" s="13" t="n">
        <v>528000090</v>
      </c>
      <c r="F1065" s="13" t="inlineStr">
        <is>
          <t>Suganda</t>
        </is>
      </c>
      <c r="G1065" s="13" t="inlineStr">
        <is>
          <t>Produksi</t>
        </is>
      </c>
      <c r="H1065" s="13" t="inlineStr">
        <is>
          <t>Istirahat</t>
        </is>
      </c>
    </row>
    <row r="1066">
      <c r="A1066" s="27" t="inlineStr">
        <is>
          <t>MK00218</t>
        </is>
      </c>
      <c r="B1066" s="13" t="inlineStr">
        <is>
          <t>OUT</t>
        </is>
      </c>
      <c r="C1066" s="177" t="n">
        <v>46221.41666666666</v>
      </c>
      <c r="D1066" s="51" t="n">
        <v>0.4229861111111111</v>
      </c>
      <c r="E1066" s="13" t="n">
        <v>528000241</v>
      </c>
      <c r="F1066" s="13" t="inlineStr">
        <is>
          <t>Balia Nurafif Bilah</t>
        </is>
      </c>
      <c r="G1066" s="13" t="inlineStr">
        <is>
          <t>Produksi</t>
        </is>
      </c>
      <c r="H1066" s="13" t="inlineStr">
        <is>
          <t>Istirahat</t>
        </is>
      </c>
    </row>
    <row r="1067">
      <c r="A1067" s="27" t="inlineStr">
        <is>
          <t>MK00145</t>
        </is>
      </c>
      <c r="B1067" s="13" t="inlineStr">
        <is>
          <t>IN</t>
        </is>
      </c>
      <c r="C1067" s="177" t="n">
        <v>46221.41666666666</v>
      </c>
      <c r="D1067" s="51" t="n">
        <v>0.4231365740740741</v>
      </c>
      <c r="E1067" s="13" t="n">
        <v>528000286</v>
      </c>
      <c r="F1067" s="13" t="inlineStr">
        <is>
          <t>Imelda Amelia</t>
        </is>
      </c>
      <c r="G1067" s="13" t="inlineStr">
        <is>
          <t>Produksi</t>
        </is>
      </c>
      <c r="H1067" s="13" t="inlineStr">
        <is>
          <t>Istirahat</t>
        </is>
      </c>
    </row>
    <row r="1068">
      <c r="A1068" s="27" t="inlineStr">
        <is>
          <t>MK00145</t>
        </is>
      </c>
      <c r="B1068" s="13" t="inlineStr">
        <is>
          <t>OUT</t>
        </is>
      </c>
      <c r="C1068" s="177" t="n">
        <v>46221.41666666666</v>
      </c>
      <c r="D1068" s="51" t="n">
        <v>0.423287037037037</v>
      </c>
      <c r="E1068" s="13" t="n">
        <v>528000286</v>
      </c>
      <c r="F1068" s="13" t="inlineStr">
        <is>
          <t>Imelda Amelia</t>
        </is>
      </c>
      <c r="G1068" s="13" t="inlineStr">
        <is>
          <t>Produksi</t>
        </is>
      </c>
      <c r="H1068" s="13" t="inlineStr">
        <is>
          <t>Istirahat</t>
        </is>
      </c>
    </row>
    <row r="1069">
      <c r="A1069" s="27" t="inlineStr">
        <is>
          <t>MK00235</t>
        </is>
      </c>
      <c r="B1069" s="13" t="inlineStr">
        <is>
          <t>OUT</t>
        </is>
      </c>
      <c r="C1069" s="177" t="n">
        <v>46221.41666666666</v>
      </c>
      <c r="D1069" s="51" t="n">
        <v>0.4234375</v>
      </c>
      <c r="E1069" s="13" t="n">
        <v>528000099</v>
      </c>
      <c r="F1069" s="13" t="inlineStr">
        <is>
          <t>Siti Nurawaliah</t>
        </is>
      </c>
      <c r="G1069" s="13" t="inlineStr">
        <is>
          <t>Produksi</t>
        </is>
      </c>
      <c r="H1069" s="13" t="inlineStr">
        <is>
          <t>Istirahat</t>
        </is>
      </c>
    </row>
    <row r="1070">
      <c r="A1070" s="27" t="inlineStr">
        <is>
          <t>MK00213</t>
        </is>
      </c>
      <c r="B1070" s="13" t="inlineStr">
        <is>
          <t>OUT</t>
        </is>
      </c>
      <c r="C1070" s="177" t="n">
        <v>46221.41666666666</v>
      </c>
      <c r="D1070" s="51" t="n">
        <v>0.4236111111111111</v>
      </c>
      <c r="E1070" s="13" t="n">
        <v>528000201</v>
      </c>
      <c r="F1070" s="13" t="inlineStr">
        <is>
          <t>Zahwa Amelia Choerunissa</t>
        </is>
      </c>
      <c r="G1070" s="13" t="inlineStr">
        <is>
          <t>Produksi</t>
        </is>
      </c>
      <c r="H1070" s="13" t="inlineStr">
        <is>
          <t>Istirahat</t>
        </is>
      </c>
    </row>
    <row r="1071">
      <c r="A1071" s="27" t="inlineStr">
        <is>
          <t>MK00212</t>
        </is>
      </c>
      <c r="B1071" s="13" t="inlineStr">
        <is>
          <t>IN</t>
        </is>
      </c>
      <c r="C1071" s="177" t="n">
        <v>46221.41666666666</v>
      </c>
      <c r="D1071" s="51" t="n">
        <v>0.4263657407407407</v>
      </c>
      <c r="E1071" s="13" t="n">
        <v>528000289</v>
      </c>
      <c r="F1071" s="13" t="inlineStr">
        <is>
          <t>Adit Supriyadi</t>
        </is>
      </c>
      <c r="G1071" s="13" t="inlineStr">
        <is>
          <t>Produksi</t>
        </is>
      </c>
      <c r="H1071" s="13" t="inlineStr">
        <is>
          <t>Istirahat</t>
        </is>
      </c>
    </row>
    <row r="1072">
      <c r="A1072" s="27" t="inlineStr">
        <is>
          <t>MK00212</t>
        </is>
      </c>
      <c r="B1072" s="13" t="inlineStr">
        <is>
          <t>OUT</t>
        </is>
      </c>
      <c r="C1072" s="177" t="n">
        <v>46221.41666666666</v>
      </c>
      <c r="D1072" s="51" t="n">
        <v>0.4265046296296297</v>
      </c>
      <c r="E1072" s="13" t="n">
        <v>528000289</v>
      </c>
      <c r="F1072" s="13" t="inlineStr">
        <is>
          <t>Adit Supriyadi</t>
        </is>
      </c>
      <c r="G1072" s="13" t="inlineStr">
        <is>
          <t>Produksi</t>
        </is>
      </c>
      <c r="H1072" s="13" t="inlineStr">
        <is>
          <t>Istirahat</t>
        </is>
      </c>
    </row>
    <row r="1073">
      <c r="A1073" s="27" t="inlineStr">
        <is>
          <t>MK00217</t>
        </is>
      </c>
      <c r="B1073" s="13" t="inlineStr">
        <is>
          <t>OUT</t>
        </is>
      </c>
      <c r="C1073" s="177" t="n">
        <v>46221.41666666666</v>
      </c>
      <c r="D1073" s="51" t="n">
        <v>0.4266435185185185</v>
      </c>
      <c r="E1073" s="13" t="n">
        <v>528000339</v>
      </c>
      <c r="F1073" s="13" t="inlineStr">
        <is>
          <t>Muhamad Ripai'i</t>
        </is>
      </c>
      <c r="G1073" s="13" t="inlineStr">
        <is>
          <t>Produksi</t>
        </is>
      </c>
      <c r="H1073" s="13" t="inlineStr">
        <is>
          <t>Istirahat</t>
        </is>
      </c>
    </row>
    <row r="1074">
      <c r="A1074" s="27" t="inlineStr">
        <is>
          <t>MK00113</t>
        </is>
      </c>
      <c r="B1074" s="13" t="inlineStr">
        <is>
          <t>IN</t>
        </is>
      </c>
      <c r="C1074" s="177" t="n">
        <v>46221.41666666666</v>
      </c>
      <c r="D1074" s="51" t="n">
        <v>0.4342939814814815</v>
      </c>
      <c r="E1074" s="13" t="n">
        <v>528000274</v>
      </c>
      <c r="F1074" s="13" t="inlineStr">
        <is>
          <t>Zepri</t>
        </is>
      </c>
      <c r="G1074" s="13" t="inlineStr">
        <is>
          <t>Produksi</t>
        </is>
      </c>
      <c r="H1074" s="13" t="inlineStr">
        <is>
          <t>Istirahat</t>
        </is>
      </c>
    </row>
    <row r="1075">
      <c r="A1075" s="27" t="inlineStr">
        <is>
          <t>MK00218</t>
        </is>
      </c>
      <c r="B1075" s="13" t="inlineStr">
        <is>
          <t>IN</t>
        </is>
      </c>
      <c r="C1075" s="177" t="n">
        <v>46221.41666666666</v>
      </c>
      <c r="D1075" s="51" t="n">
        <v>0.4396875</v>
      </c>
      <c r="E1075" s="13" t="n">
        <v>528000241</v>
      </c>
      <c r="F1075" s="13" t="inlineStr">
        <is>
          <t>Balia Nurafif Bilah</t>
        </is>
      </c>
      <c r="G1075" s="13" t="inlineStr">
        <is>
          <t>Produksi</t>
        </is>
      </c>
      <c r="H1075" s="13" t="inlineStr">
        <is>
          <t>Istirahat</t>
        </is>
      </c>
    </row>
    <row r="1076">
      <c r="A1076" s="27" t="inlineStr">
        <is>
          <t>MK00249</t>
        </is>
      </c>
      <c r="B1076" s="13" t="inlineStr">
        <is>
          <t>IN</t>
        </is>
      </c>
      <c r="C1076" s="177" t="n">
        <v>46221.41666666666</v>
      </c>
      <c r="D1076" s="51" t="n">
        <v>0.4398842592592593</v>
      </c>
      <c r="E1076" s="13" t="n">
        <v>528000090</v>
      </c>
      <c r="F1076" s="13" t="inlineStr">
        <is>
          <t>Suganda</t>
        </is>
      </c>
      <c r="G1076" s="13" t="inlineStr">
        <is>
          <t>Produksi</t>
        </is>
      </c>
      <c r="H1076" s="13" t="inlineStr">
        <is>
          <t>Istirahat</t>
        </is>
      </c>
    </row>
    <row r="1077">
      <c r="A1077" s="27" t="inlineStr">
        <is>
          <t>MK00235</t>
        </is>
      </c>
      <c r="B1077" s="13" t="inlineStr">
        <is>
          <t>IN</t>
        </is>
      </c>
      <c r="C1077" s="177" t="n">
        <v>46221.41666666666</v>
      </c>
      <c r="D1077" s="51" t="n">
        <v>0.4444097222222222</v>
      </c>
      <c r="E1077" s="13" t="n">
        <v>528000099</v>
      </c>
      <c r="F1077" s="13" t="inlineStr">
        <is>
          <t>Siti Nurawaliah</t>
        </is>
      </c>
      <c r="G1077" s="13" t="inlineStr">
        <is>
          <t>Produksi</t>
        </is>
      </c>
      <c r="H1077" s="13" t="inlineStr">
        <is>
          <t>Istirahat</t>
        </is>
      </c>
    </row>
    <row r="1078">
      <c r="A1078" s="27" t="inlineStr">
        <is>
          <t>MK00145</t>
        </is>
      </c>
      <c r="B1078" s="13" t="inlineStr">
        <is>
          <t>IN</t>
        </is>
      </c>
      <c r="C1078" s="177" t="n">
        <v>46221.41666666666</v>
      </c>
      <c r="D1078" s="51" t="n">
        <v>0.4446296296296297</v>
      </c>
      <c r="E1078" s="13" t="n">
        <v>528000286</v>
      </c>
      <c r="F1078" s="13" t="inlineStr">
        <is>
          <t>Imelda Amelia</t>
        </is>
      </c>
      <c r="G1078" s="13" t="inlineStr">
        <is>
          <t>Produksi</t>
        </is>
      </c>
      <c r="H1078" s="13" t="inlineStr">
        <is>
          <t>Istirahat</t>
        </is>
      </c>
    </row>
    <row r="1079">
      <c r="A1079" s="27" t="inlineStr">
        <is>
          <t>MK00213</t>
        </is>
      </c>
      <c r="B1079" s="13" t="inlineStr">
        <is>
          <t>IN</t>
        </is>
      </c>
      <c r="C1079" s="177" t="n">
        <v>46221.41666666666</v>
      </c>
      <c r="D1079" s="51" t="n">
        <v>0.4448263888888889</v>
      </c>
      <c r="E1079" s="13" t="n">
        <v>528000201</v>
      </c>
      <c r="F1079" s="13" t="inlineStr">
        <is>
          <t>Zahwa Amelia Choerunissa</t>
        </is>
      </c>
      <c r="G1079" s="13" t="inlineStr">
        <is>
          <t>Produksi</t>
        </is>
      </c>
      <c r="H1079" s="13" t="inlineStr">
        <is>
          <t>Istirahat</t>
        </is>
      </c>
    </row>
    <row r="1080">
      <c r="A1080" s="27" t="inlineStr">
        <is>
          <t>MK00217</t>
        </is>
      </c>
      <c r="B1080" s="13" t="inlineStr">
        <is>
          <t>IN</t>
        </is>
      </c>
      <c r="C1080" s="177" t="n">
        <v>46221.41666666666</v>
      </c>
      <c r="D1080" s="51" t="n">
        <v>0.4466782407407408</v>
      </c>
      <c r="E1080" s="13" t="n">
        <v>528000339</v>
      </c>
      <c r="F1080" s="13" t="inlineStr">
        <is>
          <t>Muhamad Ripai'i</t>
        </is>
      </c>
      <c r="G1080" s="13" t="inlineStr">
        <is>
          <t>Produksi</t>
        </is>
      </c>
      <c r="H1080" s="13" t="inlineStr">
        <is>
          <t>Istirahat</t>
        </is>
      </c>
    </row>
    <row r="1081">
      <c r="A1081" s="27" t="inlineStr">
        <is>
          <t>MK00212</t>
        </is>
      </c>
      <c r="B1081" s="13" t="inlineStr">
        <is>
          <t>IN</t>
        </is>
      </c>
      <c r="C1081" s="177" t="n">
        <v>46221.41666666666</v>
      </c>
      <c r="D1081" s="51" t="n">
        <v>0.4523495370370371</v>
      </c>
      <c r="E1081" s="13" t="n">
        <v>528000289</v>
      </c>
      <c r="F1081" s="13" t="inlineStr">
        <is>
          <t>Adit Supriyadi</t>
        </is>
      </c>
      <c r="G1081" s="13" t="inlineStr">
        <is>
          <t>Produksi</t>
        </is>
      </c>
      <c r="H1081" s="13" t="inlineStr">
        <is>
          <t>Istirahat</t>
        </is>
      </c>
    </row>
    <row r="1082">
      <c r="A1082" s="27" t="inlineStr">
        <is>
          <t>MK00208</t>
        </is>
      </c>
      <c r="B1082" s="13" t="inlineStr">
        <is>
          <t>OUT</t>
        </is>
      </c>
      <c r="C1082" s="177" t="n">
        <v>46221.41666666666</v>
      </c>
      <c r="D1082" s="51" t="n">
        <v>0.7251736111111111</v>
      </c>
      <c r="E1082" s="13" t="n">
        <v>528000336</v>
      </c>
      <c r="F1082" s="13" t="inlineStr">
        <is>
          <t>Ali Nurhanafi</t>
        </is>
      </c>
      <c r="G1082" s="13" t="inlineStr">
        <is>
          <t>Produksi</t>
        </is>
      </c>
      <c r="H1082" s="13" t="inlineStr">
        <is>
          <t>Istirahat</t>
        </is>
      </c>
    </row>
    <row r="1083">
      <c r="A1083" s="27" t="inlineStr">
        <is>
          <t>MK00112</t>
        </is>
      </c>
      <c r="B1083" s="13" t="inlineStr">
        <is>
          <t>OUT</t>
        </is>
      </c>
      <c r="C1083" s="177" t="n">
        <v>46221.41666666666</v>
      </c>
      <c r="D1083" s="51" t="n">
        <v>0.744849537037037</v>
      </c>
      <c r="E1083" s="13" t="n">
        <v>528000262</v>
      </c>
      <c r="F1083" s="13" t="inlineStr">
        <is>
          <t>Ndari Dwiwanti</t>
        </is>
      </c>
      <c r="G1083" s="13" t="inlineStr">
        <is>
          <t>Produksi</t>
        </is>
      </c>
      <c r="H1083" s="13" t="inlineStr">
        <is>
          <t>Istirahat</t>
        </is>
      </c>
    </row>
    <row r="1084">
      <c r="A1084" s="27" t="inlineStr">
        <is>
          <t>MK00204</t>
        </is>
      </c>
      <c r="B1084" s="13" t="inlineStr">
        <is>
          <t>IN</t>
        </is>
      </c>
      <c r="C1084" s="177" t="n">
        <v>46221.41666666666</v>
      </c>
      <c r="D1084" s="51" t="n">
        <v>0.7454513888888888</v>
      </c>
      <c r="E1084" s="13" t="n">
        <v>528000358</v>
      </c>
      <c r="F1084" s="13" t="inlineStr">
        <is>
          <t>Lulu Agustin</t>
        </is>
      </c>
      <c r="G1084" s="13" t="inlineStr">
        <is>
          <t>Produksi</t>
        </is>
      </c>
      <c r="H1084" s="13" t="inlineStr">
        <is>
          <t>Istirahat</t>
        </is>
      </c>
    </row>
    <row r="1085">
      <c r="A1085" s="27" t="inlineStr">
        <is>
          <t>MK00185</t>
        </is>
      </c>
      <c r="B1085" s="13" t="inlineStr">
        <is>
          <t>IN</t>
        </is>
      </c>
      <c r="C1085" s="177" t="n">
        <v>46221.41666666666</v>
      </c>
      <c r="D1085" s="51" t="n">
        <v>0.7458564814814815</v>
      </c>
      <c r="E1085" s="13" t="n">
        <v>528000291</v>
      </c>
      <c r="F1085" s="13" t="inlineStr">
        <is>
          <t>Andrian</t>
        </is>
      </c>
      <c r="G1085" s="13" t="inlineStr">
        <is>
          <t>Produksi</t>
        </is>
      </c>
      <c r="H1085" s="13" t="inlineStr">
        <is>
          <t>Istirahat</t>
        </is>
      </c>
    </row>
    <row r="1086">
      <c r="A1086" s="27" t="inlineStr">
        <is>
          <t>MK00134</t>
        </is>
      </c>
      <c r="B1086" s="13" t="inlineStr">
        <is>
          <t>IN</t>
        </is>
      </c>
      <c r="C1086" s="177" t="n">
        <v>46221.41666666666</v>
      </c>
      <c r="D1086" s="51" t="n">
        <v>0.7461805555555555</v>
      </c>
      <c r="E1086" s="13" t="n">
        <v>528000195</v>
      </c>
      <c r="F1086" s="13" t="inlineStr">
        <is>
          <t>Rahma Sariwati</t>
        </is>
      </c>
      <c r="G1086" s="13" t="inlineStr">
        <is>
          <t>Produksi</t>
        </is>
      </c>
      <c r="H1086" s="13" t="inlineStr">
        <is>
          <t>Istirahat</t>
        </is>
      </c>
    </row>
    <row r="1087">
      <c r="A1087" s="27" t="inlineStr">
        <is>
          <t>MK00208</t>
        </is>
      </c>
      <c r="B1087" s="13" t="inlineStr">
        <is>
          <t>IN</t>
        </is>
      </c>
      <c r="C1087" s="177" t="n">
        <v>46221.41666666666</v>
      </c>
      <c r="D1087" s="51" t="n">
        <v>0.749537037037037</v>
      </c>
      <c r="E1087" s="13" t="n">
        <v>528000336</v>
      </c>
      <c r="F1087" s="13" t="inlineStr">
        <is>
          <t>Ali Nurhanafi</t>
        </is>
      </c>
      <c r="G1087" s="13" t="inlineStr">
        <is>
          <t>Produksi</t>
        </is>
      </c>
      <c r="H1087" s="13" t="inlineStr">
        <is>
          <t>Istirahat</t>
        </is>
      </c>
    </row>
    <row r="1088">
      <c r="A1088" s="27" t="inlineStr">
        <is>
          <t>MK00134</t>
        </is>
      </c>
      <c r="B1088" s="13" t="inlineStr">
        <is>
          <t>OUT</t>
        </is>
      </c>
      <c r="C1088" s="177" t="n">
        <v>46222.41666666666</v>
      </c>
      <c r="D1088" s="51" t="n">
        <v>0.3621412037037037</v>
      </c>
      <c r="E1088" s="13" t="n">
        <v>528000290</v>
      </c>
      <c r="F1088" s="13" t="inlineStr">
        <is>
          <t>Eval Pranata</t>
        </is>
      </c>
      <c r="G1088" s="13" t="inlineStr">
        <is>
          <t>Produksi</t>
        </is>
      </c>
      <c r="H1088" s="13" t="inlineStr">
        <is>
          <t>Istirahat</t>
        </is>
      </c>
    </row>
    <row r="1089">
      <c r="A1089" s="27" t="inlineStr">
        <is>
          <t>MK00134</t>
        </is>
      </c>
      <c r="B1089" s="13" t="inlineStr">
        <is>
          <t>IN</t>
        </is>
      </c>
      <c r="C1089" s="177" t="n">
        <v>46222.41666666666</v>
      </c>
      <c r="D1089" s="51" t="n">
        <v>0.3844791666666666</v>
      </c>
      <c r="E1089" s="13" t="n">
        <v>528000290</v>
      </c>
      <c r="F1089" s="13" t="inlineStr">
        <is>
          <t>Eval Pranata</t>
        </is>
      </c>
      <c r="G1089" s="13" t="inlineStr">
        <is>
          <t>Produksi</t>
        </is>
      </c>
      <c r="H1089" s="13" t="inlineStr">
        <is>
          <t>Istirahat</t>
        </is>
      </c>
    </row>
    <row r="1090">
      <c r="A1090" s="27" t="inlineStr">
        <is>
          <t>MK00212</t>
        </is>
      </c>
      <c r="B1090" s="13" t="inlineStr">
        <is>
          <t>OUT</t>
        </is>
      </c>
      <c r="C1090" s="177" t="n">
        <v>46222.41666666666</v>
      </c>
      <c r="D1090" s="51" t="n">
        <v>0.4020486111111111</v>
      </c>
      <c r="E1090" s="13" t="n">
        <v>528000359</v>
      </c>
      <c r="F1090" s="13" t="inlineStr">
        <is>
          <t>M. Iqbal Maulana. S</t>
        </is>
      </c>
      <c r="G1090" s="13" t="inlineStr">
        <is>
          <t>Produksi</t>
        </is>
      </c>
      <c r="H1090" s="13" t="inlineStr">
        <is>
          <t>Istirahat</t>
        </is>
      </c>
    </row>
    <row r="1091">
      <c r="A1091" s="27" t="inlineStr">
        <is>
          <t>MK00204</t>
        </is>
      </c>
      <c r="B1091" s="13" t="inlineStr">
        <is>
          <t>OUT</t>
        </is>
      </c>
      <c r="C1091" s="177" t="n">
        <v>46222.41666666666</v>
      </c>
      <c r="D1091" s="51" t="n">
        <v>0.4102662037037037</v>
      </c>
      <c r="E1091" s="13" t="n">
        <v>528000241</v>
      </c>
      <c r="F1091" s="13" t="inlineStr">
        <is>
          <t>Balia Nurafif Bilah</t>
        </is>
      </c>
      <c r="G1091" s="13" t="inlineStr">
        <is>
          <t>Produksi</t>
        </is>
      </c>
      <c r="H1091" s="13" t="inlineStr">
        <is>
          <t>Istirahat</t>
        </is>
      </c>
    </row>
    <row r="1092">
      <c r="A1092" s="27" t="inlineStr">
        <is>
          <t>MK00212</t>
        </is>
      </c>
      <c r="B1092" s="13" t="inlineStr">
        <is>
          <t>IN</t>
        </is>
      </c>
      <c r="C1092" s="177" t="n">
        <v>46222.41666666666</v>
      </c>
      <c r="D1092" s="51" t="n">
        <v>0.4233217592592592</v>
      </c>
      <c r="E1092" s="13" t="n">
        <v>528000359</v>
      </c>
      <c r="F1092" s="13" t="inlineStr">
        <is>
          <t>M. Iqbal Maulana. S</t>
        </is>
      </c>
      <c r="G1092" s="13" t="inlineStr">
        <is>
          <t>Produksi</t>
        </is>
      </c>
      <c r="H1092" s="13" t="inlineStr">
        <is>
          <t>Istirahat</t>
        </is>
      </c>
    </row>
    <row r="1093">
      <c r="A1093" s="27" t="inlineStr">
        <is>
          <t>MK00138</t>
        </is>
      </c>
      <c r="B1093" s="13" t="inlineStr">
        <is>
          <t>OUT</t>
        </is>
      </c>
      <c r="C1093" s="177" t="n">
        <v>46222.41666666666</v>
      </c>
      <c r="D1093" s="51" t="n">
        <v>0.4317824074074074</v>
      </c>
      <c r="E1093" s="13" t="n">
        <v>528000289</v>
      </c>
      <c r="F1093" s="13" t="inlineStr">
        <is>
          <t>Adit Supriyadi</t>
        </is>
      </c>
      <c r="G1093" s="13" t="inlineStr">
        <is>
          <t>Produksi</t>
        </is>
      </c>
      <c r="H1093" s="13" t="inlineStr">
        <is>
          <t>Istirahat</t>
        </is>
      </c>
    </row>
    <row r="1094">
      <c r="A1094" s="27" t="inlineStr">
        <is>
          <t>MK00202</t>
        </is>
      </c>
      <c r="B1094" s="13" t="inlineStr">
        <is>
          <t>OUT</t>
        </is>
      </c>
      <c r="C1094" s="177" t="n">
        <v>46222.41666666666</v>
      </c>
      <c r="D1094" s="51" t="n">
        <v>0.4321643518518519</v>
      </c>
      <c r="E1094" s="13" t="n">
        <v>528000099</v>
      </c>
      <c r="F1094" s="13" t="inlineStr">
        <is>
          <t>Siti Nurawaliah</t>
        </is>
      </c>
      <c r="G1094" s="13" t="inlineStr">
        <is>
          <t>Produksi</t>
        </is>
      </c>
      <c r="H1094" s="13" t="inlineStr">
        <is>
          <t>Istirahat</t>
        </is>
      </c>
    </row>
    <row r="1095">
      <c r="A1095" s="27" t="inlineStr">
        <is>
          <t>MK00208</t>
        </is>
      </c>
      <c r="B1095" s="13" t="inlineStr">
        <is>
          <t>OUT</t>
        </is>
      </c>
      <c r="C1095" s="177" t="n">
        <v>46222.41666666666</v>
      </c>
      <c r="D1095" s="51" t="n">
        <v>0.4322916666666667</v>
      </c>
      <c r="E1095" s="13" t="n">
        <v>528000286</v>
      </c>
      <c r="F1095" s="13" t="inlineStr">
        <is>
          <t>Imelda Amelia</t>
        </is>
      </c>
      <c r="G1095" s="13" t="inlineStr">
        <is>
          <t>Produksi</t>
        </is>
      </c>
      <c r="H1095" s="13" t="inlineStr">
        <is>
          <t>Istirahat</t>
        </is>
      </c>
    </row>
    <row r="1096">
      <c r="A1096" s="27" t="inlineStr">
        <is>
          <t>MK00203</t>
        </is>
      </c>
      <c r="B1096" s="13" t="inlineStr">
        <is>
          <t>OUT</t>
        </is>
      </c>
      <c r="C1096" s="177" t="n">
        <v>46222.41666666666</v>
      </c>
      <c r="D1096" s="51" t="n">
        <v>0.4324189814814815</v>
      </c>
      <c r="E1096" s="13" t="n">
        <v>528000201</v>
      </c>
      <c r="F1096" s="13" t="inlineStr">
        <is>
          <t>Zahwa Amelia Choerunissa</t>
        </is>
      </c>
      <c r="G1096" s="13" t="inlineStr">
        <is>
          <t>Produksi</t>
        </is>
      </c>
      <c r="H1096" s="13" t="inlineStr">
        <is>
          <t>Istirahat</t>
        </is>
      </c>
    </row>
    <row r="1097">
      <c r="A1097" s="27" t="inlineStr">
        <is>
          <t>MK00093</t>
        </is>
      </c>
      <c r="B1097" s="13" t="inlineStr">
        <is>
          <t>OUT</t>
        </is>
      </c>
      <c r="C1097" s="177" t="n">
        <v>46222.41666666666</v>
      </c>
      <c r="D1097" s="51" t="n">
        <v>0.4326388888888889</v>
      </c>
      <c r="E1097" s="13" t="n">
        <v>528000274</v>
      </c>
      <c r="F1097" s="13" t="inlineStr">
        <is>
          <t>Zepri</t>
        </is>
      </c>
      <c r="G1097" s="13" t="inlineStr">
        <is>
          <t>Produksi</t>
        </is>
      </c>
      <c r="H1097" s="13" t="inlineStr">
        <is>
          <t>Istirahat</t>
        </is>
      </c>
    </row>
    <row r="1098">
      <c r="A1098" s="27" t="inlineStr">
        <is>
          <t>MK00204</t>
        </is>
      </c>
      <c r="B1098" s="13" t="inlineStr">
        <is>
          <t>IN</t>
        </is>
      </c>
      <c r="C1098" s="177" t="n">
        <v>46222.41666666666</v>
      </c>
      <c r="D1098" s="51" t="n">
        <v>0.4328125</v>
      </c>
      <c r="E1098" s="13" t="n">
        <v>528000241</v>
      </c>
      <c r="F1098" s="13" t="inlineStr">
        <is>
          <t>Balia Nurafif Bilah</t>
        </is>
      </c>
      <c r="G1098" s="13" t="inlineStr">
        <is>
          <t>Produksi</t>
        </is>
      </c>
      <c r="H1098" s="13" t="inlineStr">
        <is>
          <t>Istirahat</t>
        </is>
      </c>
    </row>
    <row r="1099">
      <c r="A1099" s="27" t="inlineStr">
        <is>
          <t>MK00202</t>
        </is>
      </c>
      <c r="B1099" s="13" t="inlineStr">
        <is>
          <t>IN</t>
        </is>
      </c>
      <c r="C1099" s="177" t="n">
        <v>46222.41666666666</v>
      </c>
      <c r="D1099" s="51" t="n">
        <v>0.4491666666666667</v>
      </c>
      <c r="E1099" s="13" t="n">
        <v>528000099</v>
      </c>
      <c r="F1099" s="13" t="inlineStr">
        <is>
          <t>Siti Nurawaliah</t>
        </is>
      </c>
      <c r="G1099" s="13" t="inlineStr">
        <is>
          <t>Produksi</t>
        </is>
      </c>
      <c r="H1099" s="13" t="n"/>
    </row>
    <row r="1100">
      <c r="A1100" s="27" t="inlineStr">
        <is>
          <t>MK00208</t>
        </is>
      </c>
      <c r="B1100" s="13" t="inlineStr">
        <is>
          <t>IN</t>
        </is>
      </c>
      <c r="C1100" s="177" t="n">
        <v>46222.41666666666</v>
      </c>
      <c r="D1100" s="51" t="n">
        <v>0.4493865740740741</v>
      </c>
      <c r="E1100" s="13" t="n">
        <v>528000286</v>
      </c>
      <c r="F1100" s="13" t="inlineStr">
        <is>
          <t>Imelda Amelia</t>
        </is>
      </c>
      <c r="G1100" s="13" t="inlineStr">
        <is>
          <t>Produksi</t>
        </is>
      </c>
      <c r="H1100" s="13" t="n"/>
    </row>
    <row r="1101">
      <c r="A1101" s="27" t="inlineStr">
        <is>
          <t>MK00203</t>
        </is>
      </c>
      <c r="B1101" s="13" t="inlineStr">
        <is>
          <t>IN</t>
        </is>
      </c>
      <c r="C1101" s="177" t="n">
        <v>46222.41666666666</v>
      </c>
      <c r="D1101" s="51" t="n">
        <v>0.4495833333333333</v>
      </c>
      <c r="E1101" s="13" t="n">
        <v>528000201</v>
      </c>
      <c r="F1101" s="13" t="inlineStr">
        <is>
          <t>Zahwa Amelia Choerunissa</t>
        </is>
      </c>
      <c r="G1101" s="13" t="inlineStr">
        <is>
          <t>Produksi</t>
        </is>
      </c>
      <c r="H1101" s="13" t="n"/>
    </row>
    <row r="1102">
      <c r="A1102" s="27" t="inlineStr">
        <is>
          <t>MK00138</t>
        </is>
      </c>
      <c r="B1102" s="13" t="inlineStr">
        <is>
          <t>IN</t>
        </is>
      </c>
      <c r="C1102" s="177" t="n">
        <v>46222.41666666666</v>
      </c>
      <c r="D1102" s="51" t="n">
        <v>0.4525231481481481</v>
      </c>
      <c r="E1102" s="13" t="n">
        <v>528000289</v>
      </c>
      <c r="F1102" s="13" t="inlineStr">
        <is>
          <t>Adit Supriyadi</t>
        </is>
      </c>
      <c r="G1102" s="13" t="inlineStr">
        <is>
          <t>Produksi</t>
        </is>
      </c>
      <c r="H1102" s="13" t="n"/>
    </row>
    <row r="1103">
      <c r="A1103" s="27" t="inlineStr">
        <is>
          <t>MK00093</t>
        </is>
      </c>
      <c r="B1103" s="13" t="inlineStr">
        <is>
          <t>IN</t>
        </is>
      </c>
      <c r="C1103" s="177" t="n">
        <v>46222.41666666666</v>
      </c>
      <c r="D1103" s="51" t="n">
        <v>0.4546296296296296</v>
      </c>
      <c r="E1103" s="13" t="n">
        <v>528000274</v>
      </c>
      <c r="F1103" s="13" t="inlineStr">
        <is>
          <t>Zepri</t>
        </is>
      </c>
      <c r="G1103" s="13" t="inlineStr">
        <is>
          <t>Produksi</t>
        </is>
      </c>
      <c r="H1103" s="13" t="n"/>
    </row>
    <row r="1104">
      <c r="A1104" s="27" t="inlineStr">
        <is>
          <t>MK00212</t>
        </is>
      </c>
      <c r="B1104" s="13" t="inlineStr">
        <is>
          <t>OUT</t>
        </is>
      </c>
      <c r="C1104" s="177" t="n">
        <v>46222.41666666666</v>
      </c>
      <c r="D1104" s="51" t="n">
        <v>0.5223148148148148</v>
      </c>
      <c r="E1104" s="13" t="n">
        <v>528000359</v>
      </c>
      <c r="F1104" s="13" t="inlineStr">
        <is>
          <t>M. Iqbal Maulana. S</t>
        </is>
      </c>
      <c r="G1104" s="13" t="inlineStr">
        <is>
          <t>Produksi</t>
        </is>
      </c>
      <c r="H1104" s="13" t="n"/>
    </row>
    <row r="1105">
      <c r="A1105" s="27" t="inlineStr">
        <is>
          <t>MK00212</t>
        </is>
      </c>
      <c r="B1105" s="13" t="inlineStr">
        <is>
          <t>IN</t>
        </is>
      </c>
      <c r="C1105" s="177" t="n">
        <v>46222.41666666666</v>
      </c>
      <c r="D1105" s="51" t="n">
        <v>0.5225810185185186</v>
      </c>
      <c r="E1105" s="13" t="n">
        <v>528000359</v>
      </c>
      <c r="F1105" s="13" t="inlineStr">
        <is>
          <t>M. Iqbal Maulana. S</t>
        </is>
      </c>
      <c r="G1105" s="13" t="inlineStr">
        <is>
          <t>Produksi</t>
        </is>
      </c>
      <c r="H1105" s="13" t="n"/>
    </row>
    <row r="1106">
      <c r="A1106" s="27" t="inlineStr">
        <is>
          <t>MK00192</t>
        </is>
      </c>
      <c r="B1106" s="13" t="inlineStr">
        <is>
          <t>OUT</t>
        </is>
      </c>
      <c r="C1106" s="177" t="n">
        <v>46222.41666666666</v>
      </c>
      <c r="D1106" s="51" t="n">
        <v>0.741550925925926</v>
      </c>
      <c r="E1106" s="13" t="n">
        <v>528000306</v>
      </c>
      <c r="F1106" s="13" t="inlineStr">
        <is>
          <t>Windy Olivia</t>
        </is>
      </c>
      <c r="G1106" s="13" t="inlineStr">
        <is>
          <t>Produksi</t>
        </is>
      </c>
      <c r="H1106" s="13" t="inlineStr">
        <is>
          <t>Istirahat</t>
        </is>
      </c>
    </row>
    <row r="1107">
      <c r="A1107" s="27" t="inlineStr">
        <is>
          <t>MK00085</t>
        </is>
      </c>
      <c r="B1107" s="13" t="inlineStr">
        <is>
          <t>OUT</t>
        </is>
      </c>
      <c r="C1107" s="177" t="n">
        <v>46222.41666666666</v>
      </c>
      <c r="D1107" s="51" t="n">
        <v>0.741724537037037</v>
      </c>
      <c r="E1107" s="13" t="n">
        <v>528000336</v>
      </c>
      <c r="F1107" s="13" t="inlineStr">
        <is>
          <t>Ali Nurhanafi</t>
        </is>
      </c>
      <c r="G1107" s="13" t="inlineStr">
        <is>
          <t>Produksi</t>
        </is>
      </c>
      <c r="H1107" s="13" t="inlineStr">
        <is>
          <t>Istirahat</t>
        </is>
      </c>
    </row>
    <row r="1108">
      <c r="A1108" s="27" t="inlineStr">
        <is>
          <t>MK00218</t>
        </is>
      </c>
      <c r="B1108" s="13" t="inlineStr">
        <is>
          <t>OUT</t>
        </is>
      </c>
      <c r="C1108" s="177" t="n">
        <v>46222.41666666666</v>
      </c>
      <c r="D1108" s="51" t="n">
        <v>0.7418634259259259</v>
      </c>
      <c r="E1108" s="13" t="n">
        <v>528000052</v>
      </c>
      <c r="F1108" s="13" t="inlineStr">
        <is>
          <t>Mustopa</t>
        </is>
      </c>
      <c r="G1108" s="13" t="inlineStr">
        <is>
          <t>Produksi</t>
        </is>
      </c>
      <c r="H1108" s="13" t="inlineStr">
        <is>
          <t>Istirahat</t>
        </is>
      </c>
    </row>
    <row r="1109">
      <c r="A1109" s="27" t="inlineStr">
        <is>
          <t>MK00220</t>
        </is>
      </c>
      <c r="B1109" s="13" t="inlineStr">
        <is>
          <t>IN</t>
        </is>
      </c>
      <c r="C1109" s="177" t="n">
        <v>46222.41666666666</v>
      </c>
      <c r="D1109" s="51" t="n">
        <v>0.7421875</v>
      </c>
      <c r="E1109" s="13" t="n">
        <v>528000262</v>
      </c>
      <c r="F1109" s="13" t="inlineStr">
        <is>
          <t>Ndari Dwiwanti</t>
        </is>
      </c>
      <c r="G1109" s="13" t="inlineStr">
        <is>
          <t>Produksi</t>
        </is>
      </c>
      <c r="H1109" s="13" t="inlineStr">
        <is>
          <t>Istirahat</t>
        </is>
      </c>
    </row>
    <row r="1110">
      <c r="A1110" s="27" t="inlineStr">
        <is>
          <t>MK00220</t>
        </is>
      </c>
      <c r="B1110" s="13" t="inlineStr">
        <is>
          <t>OUT</t>
        </is>
      </c>
      <c r="C1110" s="177" t="n">
        <v>46222.41666666666</v>
      </c>
      <c r="D1110" s="51" t="n">
        <v>0.7423379629629629</v>
      </c>
      <c r="E1110" s="13" t="n">
        <v>528000262</v>
      </c>
      <c r="F1110" s="13" t="inlineStr">
        <is>
          <t>Ndari Dwiwanti</t>
        </is>
      </c>
      <c r="G1110" s="13" t="inlineStr">
        <is>
          <t>Produksi</t>
        </is>
      </c>
      <c r="H1110" s="13" t="inlineStr">
        <is>
          <t>Istirahat</t>
        </is>
      </c>
    </row>
    <row r="1111">
      <c r="A1111" s="27" t="inlineStr">
        <is>
          <t>MK00116</t>
        </is>
      </c>
      <c r="B1111" s="13" t="inlineStr">
        <is>
          <t>OUT</t>
        </is>
      </c>
      <c r="C1111" s="177" t="n">
        <v>46222.41666666666</v>
      </c>
      <c r="D1111" s="51" t="n">
        <v>0.7424652777777778</v>
      </c>
      <c r="E1111" s="13" t="n">
        <v>528000195</v>
      </c>
      <c r="F1111" s="13" t="inlineStr">
        <is>
          <t>Rahma Sariwati</t>
        </is>
      </c>
      <c r="G1111" s="13" t="inlineStr">
        <is>
          <t>Produksi</t>
        </is>
      </c>
      <c r="H1111" s="13" t="inlineStr">
        <is>
          <t>Istirahat</t>
        </is>
      </c>
    </row>
    <row r="1112">
      <c r="A1112" s="27" t="inlineStr">
        <is>
          <t>MK00095</t>
        </is>
      </c>
      <c r="B1112" s="13" t="inlineStr">
        <is>
          <t>OUT</t>
        </is>
      </c>
      <c r="C1112" s="177" t="n">
        <v>46222.41666666666</v>
      </c>
      <c r="D1112" s="51" t="n">
        <v>0.7425925925925926</v>
      </c>
      <c r="E1112" s="13" t="n">
        <v>528000291</v>
      </c>
      <c r="F1112" s="13" t="inlineStr">
        <is>
          <t>Andrian</t>
        </is>
      </c>
      <c r="G1112" s="13" t="inlineStr">
        <is>
          <t>Produksi</t>
        </is>
      </c>
      <c r="H1112" s="13" t="inlineStr">
        <is>
          <t>Istirahat</t>
        </is>
      </c>
    </row>
    <row r="1113">
      <c r="A1113" s="27" t="inlineStr">
        <is>
          <t>MK00220</t>
        </is>
      </c>
      <c r="B1113" s="13" t="inlineStr">
        <is>
          <t>IN</t>
        </is>
      </c>
      <c r="C1113" s="177" t="n">
        <v>46222.41666666666</v>
      </c>
      <c r="D1113" s="51" t="n">
        <v>0.7643981481481481</v>
      </c>
      <c r="E1113" s="13" t="n">
        <v>528000262</v>
      </c>
      <c r="F1113" s="13" t="inlineStr">
        <is>
          <t>Ndari Dwiwanti</t>
        </is>
      </c>
      <c r="G1113" s="13" t="inlineStr">
        <is>
          <t>Produksi</t>
        </is>
      </c>
      <c r="H1113" s="13" t="n"/>
    </row>
    <row r="1114">
      <c r="A1114" s="27" t="inlineStr">
        <is>
          <t>MK00116</t>
        </is>
      </c>
      <c r="B1114" s="13" t="inlineStr">
        <is>
          <t>IN</t>
        </is>
      </c>
      <c r="C1114" s="177" t="n">
        <v>46222.41666666666</v>
      </c>
      <c r="D1114" s="51" t="n">
        <v>0.7645833333333333</v>
      </c>
      <c r="E1114" s="13" t="n">
        <v>528000195</v>
      </c>
      <c r="F1114" s="13" t="inlineStr">
        <is>
          <t>Rahma Sariwati</t>
        </is>
      </c>
      <c r="G1114" s="13" t="inlineStr">
        <is>
          <t>Produksi</t>
        </is>
      </c>
      <c r="H1114" s="13" t="n"/>
    </row>
    <row r="1115">
      <c r="A1115" s="27" t="inlineStr">
        <is>
          <t>MK00218</t>
        </is>
      </c>
      <c r="B1115" s="13" t="inlineStr">
        <is>
          <t>IN</t>
        </is>
      </c>
      <c r="C1115" s="177" t="n">
        <v>46222.41666666666</v>
      </c>
      <c r="D1115" s="51" t="n">
        <v>0.7687962962962963</v>
      </c>
      <c r="E1115" s="13" t="n">
        <v>528000052</v>
      </c>
      <c r="F1115" s="13" t="inlineStr">
        <is>
          <t>Mustopa</t>
        </is>
      </c>
      <c r="G1115" s="13" t="inlineStr">
        <is>
          <t>Produksi</t>
        </is>
      </c>
      <c r="H1115" s="13" t="n"/>
    </row>
    <row r="1116">
      <c r="A1116" s="27" t="inlineStr">
        <is>
          <t>MK00218</t>
        </is>
      </c>
      <c r="B1116" s="13" t="inlineStr">
        <is>
          <t>OUT</t>
        </is>
      </c>
      <c r="C1116" s="177" t="n">
        <v>46223.41666666666</v>
      </c>
      <c r="D1116" s="51" t="n">
        <v>0.4121990740740741</v>
      </c>
      <c r="E1116" s="13" t="n">
        <v>528000241</v>
      </c>
      <c r="F1116" s="13" t="inlineStr">
        <is>
          <t>Balia Nurafif Bilah</t>
        </is>
      </c>
      <c r="G1116" s="13" t="inlineStr">
        <is>
          <t>Produksi</t>
        </is>
      </c>
      <c r="H1116" s="13" t="inlineStr">
        <is>
          <t>Istirahat</t>
        </is>
      </c>
    </row>
    <row r="1117">
      <c r="A1117" s="27" t="inlineStr">
        <is>
          <t>MK00141</t>
        </is>
      </c>
      <c r="B1117" s="13" t="inlineStr">
        <is>
          <t>OUT</t>
        </is>
      </c>
      <c r="C1117" s="177" t="n">
        <v>46223.41666666666</v>
      </c>
      <c r="D1117" s="51" t="n">
        <v>0.4123611111111111</v>
      </c>
      <c r="E1117" s="13" t="n">
        <v>528000290</v>
      </c>
      <c r="F1117" s="13" t="inlineStr">
        <is>
          <t>Eval Pranata</t>
        </is>
      </c>
      <c r="G1117" s="13" t="inlineStr">
        <is>
          <t>Produksi</t>
        </is>
      </c>
      <c r="H1117" s="13" t="inlineStr">
        <is>
          <t>Istirahat</t>
        </is>
      </c>
    </row>
    <row r="1118">
      <c r="A1118" s="27" t="inlineStr">
        <is>
          <t>MK00184</t>
        </is>
      </c>
      <c r="B1118" s="13" t="inlineStr">
        <is>
          <t>OUT</t>
        </is>
      </c>
      <c r="C1118" s="177" t="n">
        <v>46223.41666666666</v>
      </c>
      <c r="D1118" s="51" t="n">
        <v>0.4235532407407407</v>
      </c>
      <c r="E1118" s="13" t="n">
        <v>528000286</v>
      </c>
      <c r="F1118" s="13" t="inlineStr">
        <is>
          <t>Imelda Amelia</t>
        </is>
      </c>
      <c r="G1118" s="13" t="inlineStr">
        <is>
          <t>Produksi</t>
        </is>
      </c>
      <c r="H1118" s="13" t="inlineStr">
        <is>
          <t>Istirahat</t>
        </is>
      </c>
    </row>
    <row r="1119">
      <c r="A1119" s="27" t="inlineStr">
        <is>
          <t>MK00145</t>
        </is>
      </c>
      <c r="B1119" s="13" t="inlineStr">
        <is>
          <t>OUT</t>
        </is>
      </c>
      <c r="C1119" s="177" t="n">
        <v>46223.41666666666</v>
      </c>
      <c r="D1119" s="51" t="n">
        <v>0.4237731481481481</v>
      </c>
      <c r="E1119" s="13" t="n">
        <v>528000099</v>
      </c>
      <c r="F1119" s="13" t="inlineStr">
        <is>
          <t>Siti Nurawaliah</t>
        </is>
      </c>
      <c r="G1119" s="13" t="inlineStr">
        <is>
          <t>Produksi</t>
        </is>
      </c>
      <c r="H1119" s="13" t="inlineStr">
        <is>
          <t>Istirahat</t>
        </is>
      </c>
    </row>
    <row r="1120">
      <c r="A1120" s="27" t="inlineStr">
        <is>
          <t>MK00217</t>
        </is>
      </c>
      <c r="B1120" s="13" t="inlineStr">
        <is>
          <t>OUT</t>
        </is>
      </c>
      <c r="C1120" s="177" t="n">
        <v>46223.41666666666</v>
      </c>
      <c r="D1120" s="51" t="n">
        <v>0.4249305555555555</v>
      </c>
      <c r="E1120" s="13" t="n">
        <v>528000201</v>
      </c>
      <c r="F1120" s="13" t="inlineStr">
        <is>
          <t>Zahwa Amelia Choerunissa</t>
        </is>
      </c>
      <c r="G1120" s="13" t="inlineStr">
        <is>
          <t>Produksi</t>
        </is>
      </c>
      <c r="H1120" s="13" t="inlineStr">
        <is>
          <t>Istirahat</t>
        </is>
      </c>
    </row>
    <row r="1121">
      <c r="A1121" s="27" t="inlineStr">
        <is>
          <t>MK00235</t>
        </is>
      </c>
      <c r="B1121" s="13" t="inlineStr">
        <is>
          <t>OUT</t>
        </is>
      </c>
      <c r="C1121" s="177" t="n">
        <v>46223.41666666666</v>
      </c>
      <c r="D1121" s="51" t="n">
        <v>0.4329282407407408</v>
      </c>
      <c r="E1121" s="13" t="n">
        <v>528000339</v>
      </c>
      <c r="F1121" s="13" t="inlineStr">
        <is>
          <t>Muhamad Ripai'i</t>
        </is>
      </c>
      <c r="G1121" s="13" t="inlineStr">
        <is>
          <t>Produksi</t>
        </is>
      </c>
      <c r="H1121" s="13" t="inlineStr">
        <is>
          <t>Istirahat</t>
        </is>
      </c>
    </row>
    <row r="1122">
      <c r="A1122" s="27" t="inlineStr">
        <is>
          <t>MK00150</t>
        </is>
      </c>
      <c r="B1122" s="13" t="inlineStr">
        <is>
          <t>OUT</t>
        </is>
      </c>
      <c r="C1122" s="177" t="n">
        <v>46223.41666666666</v>
      </c>
      <c r="D1122" s="51" t="n">
        <v>0.4330787037037037</v>
      </c>
      <c r="E1122" s="13" t="n">
        <v>528000289</v>
      </c>
      <c r="F1122" s="13" t="inlineStr">
        <is>
          <t>Adit Supriyadi</t>
        </is>
      </c>
      <c r="G1122" s="13" t="inlineStr">
        <is>
          <t>Produksi</t>
        </is>
      </c>
      <c r="H1122" s="13" t="inlineStr">
        <is>
          <t>Istirahat</t>
        </is>
      </c>
    </row>
    <row r="1123">
      <c r="A1123" s="27" t="inlineStr">
        <is>
          <t>MK00184</t>
        </is>
      </c>
      <c r="B1123" s="13" t="inlineStr">
        <is>
          <t>IN</t>
        </is>
      </c>
      <c r="C1123" s="177" t="n">
        <v>46223.41666666666</v>
      </c>
      <c r="D1123" s="51" t="n">
        <v>0.4482060185185185</v>
      </c>
      <c r="E1123" s="13" t="n">
        <v>528000286</v>
      </c>
      <c r="F1123" s="13" t="inlineStr">
        <is>
          <t>Imelda Amelia</t>
        </is>
      </c>
      <c r="G1123" s="13" t="inlineStr">
        <is>
          <t>Produksi</t>
        </is>
      </c>
      <c r="H1123" s="13" t="inlineStr">
        <is>
          <t>Istirahat</t>
        </is>
      </c>
    </row>
    <row r="1124">
      <c r="A1124" s="27" t="inlineStr">
        <is>
          <t>MK00217</t>
        </is>
      </c>
      <c r="B1124" s="13" t="inlineStr">
        <is>
          <t>IN</t>
        </is>
      </c>
      <c r="C1124" s="177" t="n">
        <v>46223.41666666666</v>
      </c>
      <c r="D1124" s="51" t="n">
        <v>0.4484375</v>
      </c>
      <c r="E1124" s="13" t="n">
        <v>528000201</v>
      </c>
      <c r="F1124" s="13" t="inlineStr">
        <is>
          <t>Zahwa Amelia Choerunissa</t>
        </is>
      </c>
      <c r="G1124" s="13" t="inlineStr">
        <is>
          <t>Produksi</t>
        </is>
      </c>
      <c r="H1124" s="13" t="inlineStr">
        <is>
          <t>Istirahat</t>
        </is>
      </c>
    </row>
    <row r="1125">
      <c r="A1125" s="27" t="inlineStr">
        <is>
          <t>MK00145</t>
        </is>
      </c>
      <c r="B1125" s="13" t="inlineStr">
        <is>
          <t>IN</t>
        </is>
      </c>
      <c r="C1125" s="177" t="n">
        <v>46223.41666666666</v>
      </c>
      <c r="D1125" s="51" t="n">
        <v>0.4497453703703704</v>
      </c>
      <c r="E1125" s="13" t="n">
        <v>528000099</v>
      </c>
      <c r="F1125" s="13" t="inlineStr">
        <is>
          <t>Siti Nurawaliah</t>
        </is>
      </c>
      <c r="G1125" s="13" t="inlineStr">
        <is>
          <t>Produksi</t>
        </is>
      </c>
      <c r="H1125" s="13" t="inlineStr">
        <is>
          <t>Istirahat</t>
        </is>
      </c>
    </row>
    <row r="1126">
      <c r="A1126" s="27" t="inlineStr">
        <is>
          <t>MK00121</t>
        </is>
      </c>
      <c r="B1126" s="13" t="inlineStr">
        <is>
          <t>IN</t>
        </is>
      </c>
      <c r="C1126" s="177" t="n">
        <v>46223.41666666666</v>
      </c>
      <c r="D1126" s="51" t="n">
        <v>0.4515162037037037</v>
      </c>
      <c r="E1126" s="13" t="n">
        <v>528000228</v>
      </c>
      <c r="F1126" s="13" t="inlineStr">
        <is>
          <t>Banyu Resmi Putri</t>
        </is>
      </c>
      <c r="G1126" s="13" t="inlineStr">
        <is>
          <t>Produksi</t>
        </is>
      </c>
      <c r="H1126" s="13" t="inlineStr">
        <is>
          <t>Istirahat</t>
        </is>
      </c>
    </row>
    <row r="1127">
      <c r="A1127" s="27" t="inlineStr">
        <is>
          <t>MK00121</t>
        </is>
      </c>
      <c r="B1127" s="13" t="inlineStr">
        <is>
          <t>OUT</t>
        </is>
      </c>
      <c r="C1127" s="177" t="n">
        <v>46223.41666666666</v>
      </c>
      <c r="D1127" s="51" t="n">
        <v>0.451724537037037</v>
      </c>
      <c r="E1127" s="13" t="n">
        <v>528000228</v>
      </c>
      <c r="F1127" s="13" t="inlineStr">
        <is>
          <t>Banyu Resmi Putri</t>
        </is>
      </c>
      <c r="G1127" s="13" t="inlineStr">
        <is>
          <t>Produksi</t>
        </is>
      </c>
      <c r="H1127" s="13" t="inlineStr">
        <is>
          <t>Istirahat</t>
        </is>
      </c>
    </row>
    <row r="1128">
      <c r="A1128" s="27" t="inlineStr">
        <is>
          <t>MK00235</t>
        </is>
      </c>
      <c r="B1128" s="13" t="inlineStr">
        <is>
          <t>IN</t>
        </is>
      </c>
      <c r="C1128" s="177" t="n">
        <v>46223.41666666666</v>
      </c>
      <c r="D1128" s="51" t="n">
        <v>0.4592824074074074</v>
      </c>
      <c r="E1128" s="13" t="n">
        <v>528000339</v>
      </c>
      <c r="F1128" s="13" t="inlineStr">
        <is>
          <t>Muhamad Ripai'i</t>
        </is>
      </c>
      <c r="G1128" s="13" t="inlineStr">
        <is>
          <t>Produksi</t>
        </is>
      </c>
      <c r="H1128" s="13" t="inlineStr">
        <is>
          <t>Istirahat</t>
        </is>
      </c>
    </row>
    <row r="1129">
      <c r="A1129" s="27" t="inlineStr">
        <is>
          <t>MK00150</t>
        </is>
      </c>
      <c r="B1129" s="13" t="inlineStr">
        <is>
          <t>IN</t>
        </is>
      </c>
      <c r="C1129" s="177" t="n">
        <v>46223.41666666666</v>
      </c>
      <c r="D1129" s="51" t="n">
        <v>0.4594212962962963</v>
      </c>
      <c r="E1129" s="13" t="n">
        <v>528000289</v>
      </c>
      <c r="F1129" s="13" t="inlineStr">
        <is>
          <t>Adit Supriyadi</t>
        </is>
      </c>
      <c r="G1129" s="13" t="inlineStr">
        <is>
          <t>Produksi</t>
        </is>
      </c>
      <c r="H1129" s="13" t="inlineStr">
        <is>
          <t>Istirahat</t>
        </is>
      </c>
    </row>
    <row r="1130">
      <c r="A1130" s="27" t="inlineStr">
        <is>
          <t>MK00116</t>
        </is>
      </c>
      <c r="B1130" s="13" t="inlineStr">
        <is>
          <t>OUT</t>
        </is>
      </c>
      <c r="C1130" s="177" t="n">
        <v>46223.41666666666</v>
      </c>
      <c r="D1130" s="51" t="n">
        <v>0.4805324074074074</v>
      </c>
      <c r="E1130" s="13" t="n">
        <v>528000212</v>
      </c>
      <c r="F1130" s="13" t="inlineStr">
        <is>
          <t>Rizal Fauzi</t>
        </is>
      </c>
      <c r="G1130" s="13" t="inlineStr">
        <is>
          <t>Produksi</t>
        </is>
      </c>
      <c r="H1130" s="13" t="inlineStr">
        <is>
          <t>Istirahat</t>
        </is>
      </c>
    </row>
    <row r="1131">
      <c r="A1131" s="27" t="inlineStr">
        <is>
          <t>MK00121</t>
        </is>
      </c>
      <c r="B1131" s="13" t="inlineStr">
        <is>
          <t>IN</t>
        </is>
      </c>
      <c r="C1131" s="177" t="n">
        <v>46223.41666666666</v>
      </c>
      <c r="D1131" s="51" t="n">
        <v>0.4811805555555556</v>
      </c>
      <c r="E1131" s="13" t="n">
        <v>528000228</v>
      </c>
      <c r="F1131" s="13" t="inlineStr">
        <is>
          <t>Banyu Resmi Putri</t>
        </is>
      </c>
      <c r="G1131" s="13" t="inlineStr">
        <is>
          <t>Produksi</t>
        </is>
      </c>
      <c r="H1131" s="13" t="inlineStr">
        <is>
          <t>Istirahat</t>
        </is>
      </c>
    </row>
    <row r="1132">
      <c r="A1132" s="27" t="inlineStr">
        <is>
          <t>MK00116</t>
        </is>
      </c>
      <c r="B1132" s="13" t="inlineStr">
        <is>
          <t>IN</t>
        </is>
      </c>
      <c r="C1132" s="177" t="n">
        <v>46223.41666666666</v>
      </c>
      <c r="D1132" s="51" t="n">
        <v>0.5035300925925926</v>
      </c>
      <c r="E1132" s="13" t="n">
        <v>528000212</v>
      </c>
      <c r="F1132" s="13" t="inlineStr">
        <is>
          <t>Rizal Fauzi</t>
        </is>
      </c>
      <c r="G1132" s="13" t="inlineStr">
        <is>
          <t>Produksi</t>
        </is>
      </c>
      <c r="H1132" s="13" t="inlineStr">
        <is>
          <t>Istirahat</t>
        </is>
      </c>
    </row>
    <row r="1133">
      <c r="A1133" s="27" t="inlineStr">
        <is>
          <t>MK00230</t>
        </is>
      </c>
      <c r="B1133" s="13" t="inlineStr">
        <is>
          <t>OUT</t>
        </is>
      </c>
      <c r="C1133" s="177" t="n">
        <v>46223.41666666666</v>
      </c>
      <c r="D1133" s="51" t="n">
        <v>0.7262615740740741</v>
      </c>
      <c r="E1133" s="13" t="n">
        <v>528000306</v>
      </c>
      <c r="F1133" s="13" t="inlineStr">
        <is>
          <t>Windy Olivia</t>
        </is>
      </c>
      <c r="G1133" s="13" t="inlineStr">
        <is>
          <t>Produksi</t>
        </is>
      </c>
      <c r="H1133" s="13" t="inlineStr">
        <is>
          <t>Istirahat</t>
        </is>
      </c>
    </row>
    <row r="1134">
      <c r="A1134" s="27" t="inlineStr">
        <is>
          <t>MK00143</t>
        </is>
      </c>
      <c r="B1134" s="13" t="inlineStr">
        <is>
          <t>OUT</t>
        </is>
      </c>
      <c r="C1134" s="177" t="n">
        <v>46223.41666666666</v>
      </c>
      <c r="D1134" s="51" t="n">
        <v>0.7354513888888888</v>
      </c>
      <c r="E1134" s="13" t="n">
        <v>528000358</v>
      </c>
      <c r="F1134" s="13" t="inlineStr">
        <is>
          <t>Lulu Agustin</t>
        </is>
      </c>
      <c r="G1134" s="13" t="inlineStr">
        <is>
          <t>Produksi</t>
        </is>
      </c>
      <c r="H1134" s="13" t="inlineStr">
        <is>
          <t>Istirahat</t>
        </is>
      </c>
    </row>
    <row r="1135">
      <c r="A1135" s="27" t="inlineStr">
        <is>
          <t>MK00220</t>
        </is>
      </c>
      <c r="B1135" s="13" t="inlineStr">
        <is>
          <t>OUT</t>
        </is>
      </c>
      <c r="C1135" s="177" t="n">
        <v>46223.41666666666</v>
      </c>
      <c r="D1135" s="51" t="n">
        <v>0.7355902777777777</v>
      </c>
      <c r="E1135" s="13" t="n">
        <v>528000262</v>
      </c>
      <c r="F1135" s="13" t="inlineStr">
        <is>
          <t>Ndari Dwiwanti</t>
        </is>
      </c>
      <c r="G1135" s="13" t="inlineStr">
        <is>
          <t>Produksi</t>
        </is>
      </c>
      <c r="H1135" s="13" t="inlineStr">
        <is>
          <t>Istirahat</t>
        </is>
      </c>
    </row>
    <row r="1136">
      <c r="A1136" s="27" t="inlineStr">
        <is>
          <t>MK00112</t>
        </is>
      </c>
      <c r="B1136" s="13" t="inlineStr">
        <is>
          <t>OUT</t>
        </is>
      </c>
      <c r="C1136" s="177" t="n">
        <v>46223.41666666666</v>
      </c>
      <c r="D1136" s="51" t="n">
        <v>0.7444097222222222</v>
      </c>
      <c r="E1136" s="13" t="n">
        <v>528000261</v>
      </c>
      <c r="F1136" s="13" t="inlineStr">
        <is>
          <t>Ergi Ergianto</t>
        </is>
      </c>
      <c r="G1136" s="13" t="inlineStr">
        <is>
          <t>Produksi</t>
        </is>
      </c>
      <c r="H1136" s="13" t="inlineStr">
        <is>
          <t>Istirahat</t>
        </is>
      </c>
    </row>
    <row r="1137">
      <c r="A1137" s="27" t="inlineStr">
        <is>
          <t>MK00213</t>
        </is>
      </c>
      <c r="B1137" s="13" t="inlineStr">
        <is>
          <t>OUT</t>
        </is>
      </c>
      <c r="C1137" s="177" t="n">
        <v>46223.41666666666</v>
      </c>
      <c r="D1137" s="51" t="n">
        <v>0.7486226851851852</v>
      </c>
      <c r="E1137" s="13" t="n">
        <v>528000328</v>
      </c>
      <c r="F1137" s="13" t="inlineStr">
        <is>
          <t>Nur Anjani</t>
        </is>
      </c>
      <c r="G1137" s="13" t="inlineStr">
        <is>
          <t>Produksi</t>
        </is>
      </c>
      <c r="H1137" s="13" t="inlineStr">
        <is>
          <t>Istirahat</t>
        </is>
      </c>
    </row>
    <row r="1138">
      <c r="A1138" s="27" t="inlineStr">
        <is>
          <t>MK00230</t>
        </is>
      </c>
      <c r="B1138" s="13" t="inlineStr">
        <is>
          <t>IN</t>
        </is>
      </c>
      <c r="C1138" s="177" t="n">
        <v>46223.41666666666</v>
      </c>
      <c r="D1138" s="51" t="n">
        <v>0.7531481481481481</v>
      </c>
      <c r="E1138" s="13" t="n">
        <v>528000306</v>
      </c>
      <c r="F1138" s="13" t="inlineStr">
        <is>
          <t>Windy Olivia</t>
        </is>
      </c>
      <c r="G1138" s="13" t="inlineStr">
        <is>
          <t>Produksi</t>
        </is>
      </c>
      <c r="H1138" s="13" t="inlineStr">
        <is>
          <t>Istirahat</t>
        </is>
      </c>
    </row>
    <row r="1139">
      <c r="A1139" s="27" t="inlineStr">
        <is>
          <t>MK00213</t>
        </is>
      </c>
      <c r="B1139" s="13" t="inlineStr">
        <is>
          <t>OUT</t>
        </is>
      </c>
      <c r="C1139" s="177" t="n">
        <v>46223.41666666666</v>
      </c>
      <c r="D1139" s="51" t="n">
        <v>0.7580439814814814</v>
      </c>
      <c r="E1139" s="13" t="n">
        <v>528000328</v>
      </c>
      <c r="F1139" s="13" t="inlineStr">
        <is>
          <t>Nur Anjani</t>
        </is>
      </c>
      <c r="G1139" s="13" t="inlineStr">
        <is>
          <t>Produksi</t>
        </is>
      </c>
      <c r="H1139" s="13" t="inlineStr">
        <is>
          <t>Istirahat</t>
        </is>
      </c>
    </row>
    <row r="1140">
      <c r="A1140" s="27" t="inlineStr">
        <is>
          <t>MK00143</t>
        </is>
      </c>
      <c r="B1140" s="13" t="inlineStr">
        <is>
          <t>IN</t>
        </is>
      </c>
      <c r="C1140" s="177" t="n">
        <v>46223.41666666666</v>
      </c>
      <c r="D1140" s="51" t="n">
        <v>0.7583796296296297</v>
      </c>
      <c r="E1140" s="13" t="n">
        <v>528000358</v>
      </c>
      <c r="F1140" s="13" t="inlineStr">
        <is>
          <t>Lulu Agustin</t>
        </is>
      </c>
      <c r="G1140" s="13" t="inlineStr">
        <is>
          <t>Produksi</t>
        </is>
      </c>
      <c r="H1140" s="13" t="inlineStr">
        <is>
          <t>Istirahat</t>
        </is>
      </c>
    </row>
    <row r="1141">
      <c r="A1141" s="27" t="inlineStr">
        <is>
          <t>MK00220</t>
        </is>
      </c>
      <c r="B1141" s="13" t="inlineStr">
        <is>
          <t>IN</t>
        </is>
      </c>
      <c r="C1141" s="177" t="n">
        <v>46223.41666666666</v>
      </c>
      <c r="D1141" s="51" t="n">
        <v>0.7585300925925926</v>
      </c>
      <c r="E1141" s="13" t="n">
        <v>528000262</v>
      </c>
      <c r="F1141" s="13" t="inlineStr">
        <is>
          <t>Ndari Dwiwanti</t>
        </is>
      </c>
      <c r="G1141" s="13" t="inlineStr">
        <is>
          <t>Produksi</t>
        </is>
      </c>
      <c r="H1141" s="13" t="inlineStr">
        <is>
          <t>Istirahat</t>
        </is>
      </c>
    </row>
    <row r="1142">
      <c r="A1142" s="27" t="inlineStr">
        <is>
          <t>MK00008</t>
        </is>
      </c>
      <c r="B1142" s="13" t="inlineStr">
        <is>
          <t>OUT</t>
        </is>
      </c>
      <c r="C1142" s="177" t="n">
        <v>46223.41666666666</v>
      </c>
      <c r="D1142" s="51" t="n">
        <v>0.7605902777777778</v>
      </c>
      <c r="E1142" s="13" t="n">
        <v>528000052</v>
      </c>
      <c r="F1142" s="13" t="inlineStr">
        <is>
          <t>Mustopa</t>
        </is>
      </c>
      <c r="G1142" s="13" t="inlineStr">
        <is>
          <t>Produksi</t>
        </is>
      </c>
      <c r="H1142" s="13" t="inlineStr">
        <is>
          <t>Istirahat</t>
        </is>
      </c>
    </row>
    <row r="1143">
      <c r="A1143" s="27" t="inlineStr">
        <is>
          <t>MK00112</t>
        </is>
      </c>
      <c r="B1143" s="13" t="inlineStr">
        <is>
          <t>IN</t>
        </is>
      </c>
      <c r="C1143" s="177" t="n">
        <v>46223.41666666666</v>
      </c>
      <c r="D1143" s="51" t="n">
        <v>0.7660416666666666</v>
      </c>
      <c r="E1143" s="13" t="n">
        <v>528000261</v>
      </c>
      <c r="F1143" s="13" t="inlineStr">
        <is>
          <t>Ergi Ergianto</t>
        </is>
      </c>
      <c r="G1143" s="13" t="inlineStr">
        <is>
          <t>Produksi</t>
        </is>
      </c>
      <c r="H1143" s="13" t="inlineStr">
        <is>
          <t>Istirahat</t>
        </is>
      </c>
    </row>
    <row r="1144">
      <c r="A1144" s="27" t="inlineStr">
        <is>
          <t>MK00250</t>
        </is>
      </c>
      <c r="B1144" s="13" t="inlineStr">
        <is>
          <t>IN</t>
        </is>
      </c>
      <c r="C1144" s="177" t="n">
        <v>46223.41666666666</v>
      </c>
      <c r="D1144" s="51" t="n">
        <v>0.7732060185185186</v>
      </c>
      <c r="E1144" s="13" t="n">
        <v>528000291</v>
      </c>
      <c r="F1144" s="13" t="inlineStr">
        <is>
          <t>Andrian</t>
        </is>
      </c>
      <c r="G1144" s="13" t="inlineStr">
        <is>
          <t>Produksi</t>
        </is>
      </c>
      <c r="H1144" s="13" t="inlineStr">
        <is>
          <t>Istirahat</t>
        </is>
      </c>
    </row>
    <row r="1145">
      <c r="A1145" s="27" t="inlineStr">
        <is>
          <t>MK00213</t>
        </is>
      </c>
      <c r="B1145" s="13" t="inlineStr">
        <is>
          <t>IN</t>
        </is>
      </c>
      <c r="C1145" s="177" t="n">
        <v>46223.41666666666</v>
      </c>
      <c r="D1145" s="51" t="n">
        <v>0.7775925925925926</v>
      </c>
      <c r="E1145" s="13" t="n">
        <v>528000328</v>
      </c>
      <c r="F1145" s="13" t="inlineStr">
        <is>
          <t>Nur Anjani</t>
        </is>
      </c>
      <c r="G1145" s="13" t="inlineStr">
        <is>
          <t>Produksi</t>
        </is>
      </c>
      <c r="H1145" s="13" t="inlineStr">
        <is>
          <t>Istirahat</t>
        </is>
      </c>
    </row>
    <row r="1146">
      <c r="A1146" s="27" t="inlineStr">
        <is>
          <t>MK00008</t>
        </is>
      </c>
      <c r="B1146" s="13" t="inlineStr">
        <is>
          <t>IN</t>
        </is>
      </c>
      <c r="C1146" s="177" t="n">
        <v>46223.41666666666</v>
      </c>
      <c r="D1146" s="51" t="n">
        <v>0.7797916666666667</v>
      </c>
      <c r="E1146" s="13" t="n">
        <v>528000052</v>
      </c>
      <c r="F1146" s="13" t="inlineStr">
        <is>
          <t>Mustopa</t>
        </is>
      </c>
      <c r="G1146" s="13" t="inlineStr">
        <is>
          <t>Produksi</t>
        </is>
      </c>
      <c r="H1146" s="13" t="inlineStr">
        <is>
          <t>Istirahat</t>
        </is>
      </c>
    </row>
    <row r="1147">
      <c r="A1147" s="27" t="inlineStr">
        <is>
          <t>MK00202</t>
        </is>
      </c>
      <c r="B1147" s="13" t="inlineStr">
        <is>
          <t>OUT</t>
        </is>
      </c>
      <c r="C1147" s="177" t="n">
        <v>46223.41666666666</v>
      </c>
      <c r="D1147" s="51" t="n">
        <v>0.7866203703703704</v>
      </c>
      <c r="E1147" s="13" t="n">
        <v>528000337</v>
      </c>
      <c r="F1147" s="13" t="inlineStr">
        <is>
          <t>Ahmad Zaldi Firdaus</t>
        </is>
      </c>
      <c r="G1147" s="13" t="inlineStr">
        <is>
          <t>Produksi</t>
        </is>
      </c>
      <c r="H1147" s="13" t="inlineStr">
        <is>
          <t>Istirahat</t>
        </is>
      </c>
    </row>
    <row r="1148">
      <c r="A1148" s="27" t="inlineStr">
        <is>
          <t>MK00141</t>
        </is>
      </c>
      <c r="B1148" s="13" t="inlineStr">
        <is>
          <t>IN</t>
        </is>
      </c>
      <c r="C1148" s="177" t="n">
        <v>46224.41666666666</v>
      </c>
      <c r="D1148" s="51" t="n">
        <v>0.06050925925925926</v>
      </c>
      <c r="E1148" s="13" t="n">
        <v>528000279</v>
      </c>
      <c r="F1148" s="13" t="inlineStr">
        <is>
          <t>Mahdalena Dalfa Riani</t>
        </is>
      </c>
      <c r="G1148" s="13" t="inlineStr">
        <is>
          <t>Produksi</t>
        </is>
      </c>
      <c r="H1148" s="13" t="inlineStr">
        <is>
          <t>Istirahat</t>
        </is>
      </c>
    </row>
    <row r="1149">
      <c r="A1149" s="27" t="inlineStr">
        <is>
          <t>MK00141</t>
        </is>
      </c>
      <c r="B1149" s="13" t="inlineStr">
        <is>
          <t>OUT</t>
        </is>
      </c>
      <c r="C1149" s="177" t="n">
        <v>46224.41666666666</v>
      </c>
      <c r="D1149" s="51" t="n">
        <v>0.0608912037037037</v>
      </c>
      <c r="E1149" s="13" t="n">
        <v>528000279</v>
      </c>
      <c r="F1149" s="13" t="inlineStr">
        <is>
          <t>Mahdalena Dalfa Riani</t>
        </is>
      </c>
      <c r="G1149" s="13" t="inlineStr">
        <is>
          <t>Produksi</t>
        </is>
      </c>
      <c r="H1149" s="13" t="inlineStr">
        <is>
          <t>Istirahat</t>
        </is>
      </c>
    </row>
    <row r="1150">
      <c r="A1150" s="27" t="inlineStr">
        <is>
          <t>MK00154</t>
        </is>
      </c>
      <c r="B1150" s="13" t="inlineStr">
        <is>
          <t>OUT</t>
        </is>
      </c>
      <c r="C1150" s="177" t="n">
        <v>46224.41666666666</v>
      </c>
      <c r="D1150" s="51" t="n">
        <v>0.06112268518518518</v>
      </c>
      <c r="E1150" s="13" t="n">
        <v>528000300</v>
      </c>
      <c r="F1150" s="13" t="inlineStr">
        <is>
          <t>Lia pitaloka</t>
        </is>
      </c>
      <c r="G1150" s="13" t="inlineStr">
        <is>
          <t>Produksi</t>
        </is>
      </c>
      <c r="H1150" s="13" t="inlineStr">
        <is>
          <t>Istirahat</t>
        </is>
      </c>
    </row>
    <row r="1151">
      <c r="A1151" s="27" t="inlineStr">
        <is>
          <t>MK00235</t>
        </is>
      </c>
      <c r="B1151" s="13" t="inlineStr">
        <is>
          <t>OUT</t>
        </is>
      </c>
      <c r="C1151" s="177" t="n">
        <v>46224.41666666666</v>
      </c>
      <c r="D1151" s="51" t="n">
        <v>0.1004050925925926</v>
      </c>
      <c r="E1151" s="13" t="n">
        <v>528000324</v>
      </c>
      <c r="F1151" s="13" t="inlineStr">
        <is>
          <t>Sri Yanti</t>
        </is>
      </c>
      <c r="G1151" s="13" t="inlineStr">
        <is>
          <t>Produksi</t>
        </is>
      </c>
      <c r="H1151" s="13" t="inlineStr">
        <is>
          <t>Istirahat</t>
        </is>
      </c>
    </row>
    <row r="1152">
      <c r="A1152" s="27" t="inlineStr">
        <is>
          <t>MK00082</t>
        </is>
      </c>
      <c r="B1152" s="13" t="inlineStr">
        <is>
          <t>OUT</t>
        </is>
      </c>
      <c r="C1152" s="177" t="n">
        <v>46224.41666666666</v>
      </c>
      <c r="D1152" s="51" t="n">
        <v>0.1024074074074074</v>
      </c>
      <c r="E1152" s="13" t="n">
        <v>528000297</v>
      </c>
      <c r="F1152" s="13" t="inlineStr">
        <is>
          <t>Muhamad Budiana</t>
        </is>
      </c>
      <c r="G1152" s="13" t="inlineStr">
        <is>
          <t>Produksi</t>
        </is>
      </c>
      <c r="H1152" s="13" t="inlineStr">
        <is>
          <t>Istirahat</t>
        </is>
      </c>
    </row>
    <row r="1153">
      <c r="A1153" s="27" t="inlineStr">
        <is>
          <t>MK00082</t>
        </is>
      </c>
      <c r="B1153" s="13" t="inlineStr">
        <is>
          <t>IN</t>
        </is>
      </c>
      <c r="C1153" s="177" t="n">
        <v>46224.41666666666</v>
      </c>
      <c r="D1153" s="51" t="n">
        <v>0.102650462962963</v>
      </c>
      <c r="E1153" s="13" t="n">
        <v>528000297</v>
      </c>
      <c r="F1153" s="13" t="inlineStr">
        <is>
          <t>Muhamad Budiana</t>
        </is>
      </c>
      <c r="G1153" s="13" t="inlineStr">
        <is>
          <t>Produksi</t>
        </is>
      </c>
      <c r="H1153" s="13" t="inlineStr">
        <is>
          <t>Istirahat</t>
        </is>
      </c>
    </row>
    <row r="1154">
      <c r="A1154" s="27" t="inlineStr">
        <is>
          <t>MK00095</t>
        </is>
      </c>
      <c r="B1154" s="13" t="inlineStr">
        <is>
          <t>IN</t>
        </is>
      </c>
      <c r="C1154" s="177" t="n">
        <v>46224.41666666666</v>
      </c>
      <c r="D1154" s="51" t="n">
        <v>0.1123726851851852</v>
      </c>
      <c r="E1154" s="13" t="n">
        <v>528000244</v>
      </c>
      <c r="F1154" s="13" t="inlineStr">
        <is>
          <t>Rodian Rifai</t>
        </is>
      </c>
      <c r="G1154" s="13" t="inlineStr">
        <is>
          <t>Produksi</t>
        </is>
      </c>
      <c r="H1154" s="13" t="inlineStr">
        <is>
          <t>Istirahat</t>
        </is>
      </c>
    </row>
    <row r="1155">
      <c r="A1155" s="27" t="inlineStr">
        <is>
          <t>MK00095</t>
        </is>
      </c>
      <c r="B1155" s="13" t="inlineStr">
        <is>
          <t>OUT</t>
        </is>
      </c>
      <c r="C1155" s="177" t="n">
        <v>46224.41666666666</v>
      </c>
      <c r="D1155" s="51" t="n">
        <v>0.1130092592592593</v>
      </c>
      <c r="E1155" s="13" t="n">
        <v>528000244</v>
      </c>
      <c r="F1155" s="13" t="inlineStr">
        <is>
          <t>Rodian Rifai</t>
        </is>
      </c>
      <c r="G1155" s="13" t="inlineStr">
        <is>
          <t>Produksi</t>
        </is>
      </c>
      <c r="H1155" s="13" t="inlineStr">
        <is>
          <t>Istirahat</t>
        </is>
      </c>
    </row>
    <row r="1156">
      <c r="A1156" s="27" t="inlineStr">
        <is>
          <t>MK00181</t>
        </is>
      </c>
      <c r="B1156" s="13" t="inlineStr">
        <is>
          <t>OUT</t>
        </is>
      </c>
      <c r="C1156" s="177" t="n">
        <v>46224.41666666666</v>
      </c>
      <c r="D1156" s="51" t="n">
        <v>0.1205671296296296</v>
      </c>
      <c r="E1156" s="13" t="n">
        <v>628000064</v>
      </c>
      <c r="F1156" s="13" t="inlineStr">
        <is>
          <t>Silva Alypia</t>
        </is>
      </c>
      <c r="G1156" s="13" t="inlineStr">
        <is>
          <t>Produksi</t>
        </is>
      </c>
      <c r="H1156" s="13" t="inlineStr">
        <is>
          <t>Istirahat</t>
        </is>
      </c>
    </row>
    <row r="1157">
      <c r="A1157" s="27" t="inlineStr">
        <is>
          <t>MK00235</t>
        </is>
      </c>
      <c r="B1157" s="13" t="inlineStr">
        <is>
          <t>IN</t>
        </is>
      </c>
      <c r="C1157" s="177" t="n">
        <v>46224.41666666666</v>
      </c>
      <c r="D1157" s="51" t="n">
        <v>0.1208449074074074</v>
      </c>
      <c r="E1157" s="13" t="n">
        <v>528000324</v>
      </c>
      <c r="F1157" s="13" t="inlineStr">
        <is>
          <t>Sri Yanti</t>
        </is>
      </c>
      <c r="G1157" s="13" t="inlineStr">
        <is>
          <t>Produksi</t>
        </is>
      </c>
      <c r="H1157" s="13" t="inlineStr">
        <is>
          <t>Istirahat</t>
        </is>
      </c>
    </row>
    <row r="1158">
      <c r="A1158" s="27" t="inlineStr">
        <is>
          <t>MK00181</t>
        </is>
      </c>
      <c r="B1158" s="13" t="inlineStr">
        <is>
          <t>IN</t>
        </is>
      </c>
      <c r="C1158" s="177" t="n">
        <v>46224.41666666666</v>
      </c>
      <c r="D1158" s="51" t="n">
        <v>0.1485069444444445</v>
      </c>
      <c r="E1158" s="13" t="n">
        <v>628000064</v>
      </c>
      <c r="F1158" s="13" t="inlineStr">
        <is>
          <t>Silva Alypia</t>
        </is>
      </c>
      <c r="G1158" s="13" t="inlineStr">
        <is>
          <t>Produksi</t>
        </is>
      </c>
      <c r="H1158" s="13" t="inlineStr">
        <is>
          <t>Istirahat</t>
        </is>
      </c>
    </row>
    <row r="1159">
      <c r="A1159" s="27" t="inlineStr">
        <is>
          <t>MK00230</t>
        </is>
      </c>
      <c r="B1159" s="13" t="inlineStr">
        <is>
          <t>OUT</t>
        </is>
      </c>
      <c r="C1159" s="177" t="n">
        <v>46224.41666666666</v>
      </c>
      <c r="D1159" s="51" t="n">
        <v>0.3765972222222222</v>
      </c>
      <c r="E1159" s="13" t="n">
        <v>528000090</v>
      </c>
      <c r="F1159" s="13" t="inlineStr">
        <is>
          <t>Suganda</t>
        </is>
      </c>
      <c r="G1159" s="13" t="inlineStr">
        <is>
          <t>Produksi</t>
        </is>
      </c>
      <c r="H1159" s="13" t="inlineStr">
        <is>
          <t>Istirahat</t>
        </is>
      </c>
    </row>
    <row r="1160">
      <c r="A1160" s="27" t="inlineStr">
        <is>
          <t>MK00230</t>
        </is>
      </c>
      <c r="B1160" s="13" t="inlineStr">
        <is>
          <t>IN</t>
        </is>
      </c>
      <c r="C1160" s="177" t="n">
        <v>46224.41666666666</v>
      </c>
      <c r="D1160" s="51" t="n">
        <v>0.4016203703703703</v>
      </c>
      <c r="E1160" s="13" t="n">
        <v>528000090</v>
      </c>
      <c r="F1160" s="13" t="inlineStr">
        <is>
          <t>Suganda</t>
        </is>
      </c>
      <c r="G1160" s="13" t="inlineStr">
        <is>
          <t>Produksi</t>
        </is>
      </c>
      <c r="H1160" s="13" t="inlineStr">
        <is>
          <t>Istirahat</t>
        </is>
      </c>
    </row>
    <row r="1161">
      <c r="A1161" s="27" t="inlineStr">
        <is>
          <t>MK00085</t>
        </is>
      </c>
      <c r="B1161" s="13" t="inlineStr">
        <is>
          <t>OUT</t>
        </is>
      </c>
      <c r="C1161" s="177" t="n">
        <v>46224.41666666666</v>
      </c>
      <c r="D1161" s="51" t="n">
        <v>0.4027314814814815</v>
      </c>
      <c r="E1161" s="13" t="n">
        <v>528000201</v>
      </c>
      <c r="F1161" s="13" t="inlineStr">
        <is>
          <t>Zahwa Amelia Choerunissa</t>
        </is>
      </c>
      <c r="G1161" s="13" t="inlineStr">
        <is>
          <t>Produksi</t>
        </is>
      </c>
      <c r="H1161" s="13" t="inlineStr">
        <is>
          <t>Istirahat</t>
        </is>
      </c>
    </row>
    <row r="1162">
      <c r="A1162" s="27" t="inlineStr">
        <is>
          <t>MK00184</t>
        </is>
      </c>
      <c r="B1162" s="13" t="inlineStr">
        <is>
          <t>OUT</t>
        </is>
      </c>
      <c r="C1162" s="177" t="n">
        <v>46224.41666666666</v>
      </c>
      <c r="D1162" s="51" t="n">
        <v>0.4050810185185185</v>
      </c>
      <c r="E1162" s="13" t="n">
        <v>528000099</v>
      </c>
      <c r="F1162" s="13" t="inlineStr">
        <is>
          <t>Siti Nurawaliah</t>
        </is>
      </c>
      <c r="G1162" s="13" t="inlineStr">
        <is>
          <t>Produksi</t>
        </is>
      </c>
      <c r="H1162" s="13" t="inlineStr">
        <is>
          <t>Istirahat</t>
        </is>
      </c>
    </row>
    <row r="1163">
      <c r="A1163" s="27" t="inlineStr">
        <is>
          <t>MK00213</t>
        </is>
      </c>
      <c r="B1163" s="13" t="inlineStr">
        <is>
          <t>OUT</t>
        </is>
      </c>
      <c r="C1163" s="177" t="n">
        <v>46224.41666666666</v>
      </c>
      <c r="D1163" s="51" t="n">
        <v>0.4093865740740741</v>
      </c>
      <c r="E1163" s="13" t="n">
        <v>528000286</v>
      </c>
      <c r="F1163" s="13" t="inlineStr">
        <is>
          <t>Imelda Amelia</t>
        </is>
      </c>
      <c r="G1163" s="13" t="inlineStr">
        <is>
          <t>Produksi</t>
        </is>
      </c>
      <c r="H1163" s="13" t="inlineStr">
        <is>
          <t>Istirahat</t>
        </is>
      </c>
    </row>
    <row r="1164">
      <c r="A1164" s="27" t="inlineStr">
        <is>
          <t>MK00109</t>
        </is>
      </c>
      <c r="B1164" s="13" t="inlineStr">
        <is>
          <t>OUT</t>
        </is>
      </c>
      <c r="C1164" s="177" t="n">
        <v>46224.41666666666</v>
      </c>
      <c r="D1164" s="51" t="n">
        <v>0.4218518518518519</v>
      </c>
      <c r="E1164" s="13" t="n">
        <v>528000241</v>
      </c>
      <c r="F1164" s="13" t="inlineStr">
        <is>
          <t>Balia Nurafif Bilah</t>
        </is>
      </c>
      <c r="G1164" s="13" t="inlineStr">
        <is>
          <t>Produksi</t>
        </is>
      </c>
      <c r="H1164" s="13" t="inlineStr">
        <is>
          <t>Istirahat</t>
        </is>
      </c>
    </row>
    <row r="1165">
      <c r="A1165" s="27" t="inlineStr">
        <is>
          <t>MK00055</t>
        </is>
      </c>
      <c r="B1165" s="13" t="inlineStr">
        <is>
          <t>IN</t>
        </is>
      </c>
      <c r="C1165" s="177" t="n">
        <v>46224.41666666666</v>
      </c>
      <c r="D1165" s="51" t="n">
        <v>0.4231597222222222</v>
      </c>
      <c r="E1165" s="13" t="n">
        <v>528000228</v>
      </c>
      <c r="F1165" s="13" t="inlineStr">
        <is>
          <t>Banyu Resmi Putri</t>
        </is>
      </c>
      <c r="G1165" s="13" t="inlineStr">
        <is>
          <t>Produksi</t>
        </is>
      </c>
      <c r="H1165" s="13" t="inlineStr">
        <is>
          <t>Istirahat</t>
        </is>
      </c>
    </row>
    <row r="1166">
      <c r="A1166" s="27" t="inlineStr">
        <is>
          <t>MK00085</t>
        </is>
      </c>
      <c r="B1166" s="13" t="inlineStr">
        <is>
          <t>IN</t>
        </is>
      </c>
      <c r="C1166" s="177" t="n">
        <v>46224.41666666666</v>
      </c>
      <c r="D1166" s="51" t="n">
        <v>0.4233333333333333</v>
      </c>
      <c r="E1166" s="13" t="n">
        <v>528000201</v>
      </c>
      <c r="F1166" s="13" t="inlineStr">
        <is>
          <t>Zahwa Amelia Choerunissa</t>
        </is>
      </c>
      <c r="G1166" s="13" t="inlineStr">
        <is>
          <t>Produksi</t>
        </is>
      </c>
      <c r="H1166" s="13" t="inlineStr">
        <is>
          <t>Istirahat</t>
        </is>
      </c>
    </row>
    <row r="1167">
      <c r="A1167" s="27" t="inlineStr">
        <is>
          <t>MK00184</t>
        </is>
      </c>
      <c r="B1167" s="13" t="inlineStr">
        <is>
          <t>IN</t>
        </is>
      </c>
      <c r="C1167" s="177" t="n">
        <v>46224.41666666666</v>
      </c>
      <c r="D1167" s="51" t="n">
        <v>0.426574074074074</v>
      </c>
      <c r="E1167" s="13" t="n">
        <v>528000099</v>
      </c>
      <c r="F1167" s="13" t="inlineStr">
        <is>
          <t>Siti Nurawaliah</t>
        </is>
      </c>
      <c r="G1167" s="13" t="inlineStr">
        <is>
          <t>Produksi</t>
        </is>
      </c>
      <c r="H1167" s="13" t="inlineStr">
        <is>
          <t>Istirahat</t>
        </is>
      </c>
    </row>
    <row r="1168">
      <c r="A1168" s="27" t="inlineStr">
        <is>
          <t>MK00143</t>
        </is>
      </c>
      <c r="B1168" s="13" t="inlineStr">
        <is>
          <t>OUT</t>
        </is>
      </c>
      <c r="C1168" s="177" t="n">
        <v>46224.41666666666</v>
      </c>
      <c r="D1168" s="51" t="n">
        <v>0.4291782407407407</v>
      </c>
      <c r="E1168" s="13" t="n">
        <v>528000212</v>
      </c>
      <c r="F1168" s="13" t="inlineStr">
        <is>
          <t>Rizal Fauzi</t>
        </is>
      </c>
      <c r="G1168" s="13" t="inlineStr">
        <is>
          <t>Produksi</t>
        </is>
      </c>
      <c r="H1168" s="13" t="inlineStr">
        <is>
          <t>Istirahat</t>
        </is>
      </c>
    </row>
    <row r="1169">
      <c r="A1169" s="27" t="inlineStr">
        <is>
          <t>MK00213</t>
        </is>
      </c>
      <c r="B1169" s="13" t="inlineStr">
        <is>
          <t>IN</t>
        </is>
      </c>
      <c r="C1169" s="177" t="n">
        <v>46224.41666666666</v>
      </c>
      <c r="D1169" s="51" t="n">
        <v>0.4364236111111111</v>
      </c>
      <c r="E1169" s="13" t="n">
        <v>528000286</v>
      </c>
      <c r="F1169" s="13" t="inlineStr">
        <is>
          <t>Imelda Amelia</t>
        </is>
      </c>
      <c r="G1169" s="13" t="inlineStr">
        <is>
          <t>Produksi</t>
        </is>
      </c>
      <c r="H1169" s="13" t="inlineStr">
        <is>
          <t>Istirahat</t>
        </is>
      </c>
    </row>
    <row r="1170">
      <c r="A1170" s="27" t="inlineStr">
        <is>
          <t>MK00109</t>
        </is>
      </c>
      <c r="B1170" s="13" t="inlineStr">
        <is>
          <t>IN</t>
        </is>
      </c>
      <c r="C1170" s="177" t="n">
        <v>46224.41666666666</v>
      </c>
      <c r="D1170" s="51" t="n">
        <v>0.4371412037037037</v>
      </c>
      <c r="E1170" s="13" t="n">
        <v>528000241</v>
      </c>
      <c r="F1170" s="13" t="inlineStr">
        <is>
          <t>Balia Nurafif Bilah</t>
        </is>
      </c>
      <c r="G1170" s="13" t="inlineStr">
        <is>
          <t>Produksi</t>
        </is>
      </c>
      <c r="H1170" s="13" t="inlineStr">
        <is>
          <t>Istirahat</t>
        </is>
      </c>
    </row>
    <row r="1171">
      <c r="A1171" s="27" t="inlineStr">
        <is>
          <t>MK00112</t>
        </is>
      </c>
      <c r="B1171" s="13" t="inlineStr">
        <is>
          <t>OUT</t>
        </is>
      </c>
      <c r="C1171" s="177" t="n">
        <v>46224.41666666666</v>
      </c>
      <c r="D1171" s="51" t="n">
        <v>0.4399768518518519</v>
      </c>
      <c r="E1171" s="13" t="n">
        <v>528000339</v>
      </c>
      <c r="F1171" s="13" t="inlineStr">
        <is>
          <t>Muhamad Ripai'i</t>
        </is>
      </c>
      <c r="G1171" s="13" t="inlineStr">
        <is>
          <t>Produksi</t>
        </is>
      </c>
      <c r="H1171" s="13" t="inlineStr">
        <is>
          <t>Istirahat</t>
        </is>
      </c>
    </row>
    <row r="1172">
      <c r="A1172" s="27" t="inlineStr">
        <is>
          <t>MK00134</t>
        </is>
      </c>
      <c r="B1172" s="13" t="inlineStr">
        <is>
          <t>OUT</t>
        </is>
      </c>
      <c r="C1172" s="177" t="n">
        <v>46224.41666666666</v>
      </c>
      <c r="D1172" s="51" t="n">
        <v>0.4428819444444445</v>
      </c>
      <c r="E1172" s="13" t="n">
        <v>528000289</v>
      </c>
      <c r="F1172" s="13" t="inlineStr">
        <is>
          <t>Adit Supriyadi</t>
        </is>
      </c>
      <c r="G1172" s="13" t="inlineStr">
        <is>
          <t>Produksi</t>
        </is>
      </c>
      <c r="H1172" s="13" t="inlineStr">
        <is>
          <t>Istirahat</t>
        </is>
      </c>
    </row>
    <row r="1173">
      <c r="A1173" s="27" t="inlineStr">
        <is>
          <t>MK00108</t>
        </is>
      </c>
      <c r="B1173" s="13" t="inlineStr">
        <is>
          <t>OUT</t>
        </is>
      </c>
      <c r="C1173" s="177" t="n">
        <v>46224.41666666666</v>
      </c>
      <c r="D1173" s="51" t="n">
        <v>0.4434375</v>
      </c>
      <c r="E1173" s="13" t="n">
        <v>528000274</v>
      </c>
      <c r="F1173" s="13" t="inlineStr">
        <is>
          <t>Zepri</t>
        </is>
      </c>
      <c r="G1173" s="13" t="inlineStr">
        <is>
          <t>Produksi</t>
        </is>
      </c>
      <c r="H1173" s="13" t="inlineStr">
        <is>
          <t>Istirahat</t>
        </is>
      </c>
    </row>
    <row r="1174">
      <c r="A1174" s="27" t="inlineStr">
        <is>
          <t>MK00212</t>
        </is>
      </c>
      <c r="B1174" s="13" t="inlineStr">
        <is>
          <t>OUT</t>
        </is>
      </c>
      <c r="C1174" s="177" t="n">
        <v>46224.41666666666</v>
      </c>
      <c r="D1174" s="51" t="n">
        <v>0.4435648148148148</v>
      </c>
      <c r="E1174" s="13" t="n">
        <v>528000290</v>
      </c>
      <c r="F1174" s="13" t="inlineStr">
        <is>
          <t>Eval Pranata</t>
        </is>
      </c>
      <c r="G1174" s="13" t="inlineStr">
        <is>
          <t>Produksi</t>
        </is>
      </c>
      <c r="H1174" s="13" t="inlineStr">
        <is>
          <t>Istirahat</t>
        </is>
      </c>
    </row>
    <row r="1175">
      <c r="A1175" s="27" t="inlineStr">
        <is>
          <t>MK00143</t>
        </is>
      </c>
      <c r="B1175" s="13" t="inlineStr">
        <is>
          <t>IN</t>
        </is>
      </c>
      <c r="C1175" s="177" t="n">
        <v>46224.41666666666</v>
      </c>
      <c r="D1175" s="51" t="n">
        <v>0.4640046296296296</v>
      </c>
      <c r="E1175" s="13" t="n">
        <v>528000212</v>
      </c>
      <c r="F1175" s="13" t="inlineStr">
        <is>
          <t>Rizal Fauzi</t>
        </is>
      </c>
      <c r="G1175" s="13" t="inlineStr">
        <is>
          <t>Produksi</t>
        </is>
      </c>
      <c r="H1175" s="13" t="inlineStr">
        <is>
          <t>Istirahat</t>
        </is>
      </c>
    </row>
    <row r="1176">
      <c r="A1176" s="27" t="inlineStr">
        <is>
          <t>MK00112</t>
        </is>
      </c>
      <c r="B1176" s="13" t="inlineStr">
        <is>
          <t>IN</t>
        </is>
      </c>
      <c r="C1176" s="177" t="n">
        <v>46224.41666666666</v>
      </c>
      <c r="D1176" s="51" t="n">
        <v>0.4641203703703703</v>
      </c>
      <c r="E1176" s="13" t="n">
        <v>528000339</v>
      </c>
      <c r="F1176" s="13" t="inlineStr">
        <is>
          <t>Muhamad Ripai'i</t>
        </is>
      </c>
      <c r="G1176" s="13" t="inlineStr">
        <is>
          <t>Produksi</t>
        </is>
      </c>
      <c r="H1176" s="13" t="inlineStr">
        <is>
          <t>Istirahat</t>
        </is>
      </c>
    </row>
    <row r="1177">
      <c r="A1177" s="27" t="inlineStr">
        <is>
          <t>MK00134</t>
        </is>
      </c>
      <c r="B1177" s="13" t="inlineStr">
        <is>
          <t>IN</t>
        </is>
      </c>
      <c r="C1177" s="177" t="n">
        <v>46224.41666666666</v>
      </c>
      <c r="D1177" s="51" t="n">
        <v>0.4671180555555556</v>
      </c>
      <c r="E1177" s="13" t="n">
        <v>528000289</v>
      </c>
      <c r="F1177" s="13" t="inlineStr">
        <is>
          <t>Adit Supriyadi</t>
        </is>
      </c>
      <c r="G1177" s="13" t="inlineStr">
        <is>
          <t>Produksi</t>
        </is>
      </c>
      <c r="H1177" s="13" t="inlineStr">
        <is>
          <t>Istirahat</t>
        </is>
      </c>
    </row>
    <row r="1178">
      <c r="A1178" s="27" t="inlineStr">
        <is>
          <t>MK00108</t>
        </is>
      </c>
      <c r="B1178" s="13" t="inlineStr">
        <is>
          <t>IN</t>
        </is>
      </c>
      <c r="C1178" s="177" t="n">
        <v>46224.41666666666</v>
      </c>
      <c r="D1178" s="51" t="n">
        <v>0.46875</v>
      </c>
      <c r="E1178" s="13" t="n">
        <v>528000274</v>
      </c>
      <c r="F1178" s="13" t="inlineStr">
        <is>
          <t>Zepri</t>
        </is>
      </c>
      <c r="G1178" s="13" t="inlineStr">
        <is>
          <t>Produksi</t>
        </is>
      </c>
      <c r="H1178" s="13" t="inlineStr">
        <is>
          <t>Istirahat</t>
        </is>
      </c>
    </row>
    <row r="1179">
      <c r="A1179" s="27" t="inlineStr">
        <is>
          <t>MK00212</t>
        </is>
      </c>
      <c r="B1179" s="13" t="inlineStr">
        <is>
          <t>IN</t>
        </is>
      </c>
      <c r="C1179" s="177" t="n">
        <v>46224.41666666666</v>
      </c>
      <c r="D1179" s="51" t="n">
        <v>0.4689467592592593</v>
      </c>
      <c r="E1179" s="13" t="n">
        <v>528000290</v>
      </c>
      <c r="F1179" s="13" t="inlineStr">
        <is>
          <t>Eval Pranata</t>
        </is>
      </c>
      <c r="G1179" s="13" t="inlineStr">
        <is>
          <t>Produksi</t>
        </is>
      </c>
      <c r="H1179" s="13" t="inlineStr">
        <is>
          <t>Istirahat</t>
        </is>
      </c>
    </row>
    <row r="1180">
      <c r="A1180" s="27" t="inlineStr">
        <is>
          <t>MK00090</t>
        </is>
      </c>
      <c r="B1180" s="13" t="inlineStr">
        <is>
          <t>IN</t>
        </is>
      </c>
      <c r="C1180" s="177" t="n">
        <v>46224.41666666666</v>
      </c>
      <c r="D1180" s="51" t="n">
        <v>0.718125</v>
      </c>
      <c r="E1180" s="13" t="n">
        <v>628000091</v>
      </c>
      <c r="F1180" s="13" t="inlineStr">
        <is>
          <t>Devita Handayani</t>
        </is>
      </c>
      <c r="G1180" s="13" t="inlineStr">
        <is>
          <t>Produksi</t>
        </is>
      </c>
      <c r="H1180" s="13" t="inlineStr">
        <is>
          <t>Istirahat</t>
        </is>
      </c>
    </row>
    <row r="1181">
      <c r="A1181" s="27" t="inlineStr">
        <is>
          <t>MK00008</t>
        </is>
      </c>
      <c r="B1181" s="13" t="inlineStr">
        <is>
          <t>IN</t>
        </is>
      </c>
      <c r="C1181" s="177" t="n">
        <v>46224.41666666666</v>
      </c>
      <c r="D1181" s="51" t="n">
        <v>0.7276388888888888</v>
      </c>
      <c r="E1181" s="13" t="n">
        <v>528000305</v>
      </c>
      <c r="F1181" s="13" t="inlineStr">
        <is>
          <t>Puji Puspita</t>
        </is>
      </c>
      <c r="G1181" s="13" t="inlineStr">
        <is>
          <t>Produksi</t>
        </is>
      </c>
      <c r="H1181" s="13" t="inlineStr">
        <is>
          <t>Istirahat</t>
        </is>
      </c>
    </row>
    <row r="1182">
      <c r="A1182" s="27" t="inlineStr">
        <is>
          <t>MK00088</t>
        </is>
      </c>
      <c r="B1182" s="13" t="inlineStr">
        <is>
          <t>IN</t>
        </is>
      </c>
      <c r="C1182" s="177" t="n">
        <v>46224.41666666666</v>
      </c>
      <c r="D1182" s="51" t="n">
        <v>0.7278472222222222</v>
      </c>
      <c r="E1182" s="13" t="n">
        <v>528000318</v>
      </c>
      <c r="F1182" s="13" t="inlineStr">
        <is>
          <t>Bayu Padli Sepriyana</t>
        </is>
      </c>
      <c r="G1182" s="13" t="inlineStr">
        <is>
          <t>Produksi</t>
        </is>
      </c>
      <c r="H1182" s="13" t="inlineStr">
        <is>
          <t>Istirahat</t>
        </is>
      </c>
    </row>
    <row r="1183">
      <c r="A1183" s="27" t="inlineStr">
        <is>
          <t>MK00181</t>
        </is>
      </c>
      <c r="B1183" s="13" t="inlineStr">
        <is>
          <t>OUT</t>
        </is>
      </c>
      <c r="C1183" s="177" t="n">
        <v>46224.41666666666</v>
      </c>
      <c r="D1183" s="51" t="n">
        <v>0.7280439814814815</v>
      </c>
      <c r="E1183" s="13" t="n">
        <v>528000299</v>
      </c>
      <c r="F1183" s="13" t="inlineStr">
        <is>
          <t>Siti Nurjanah</t>
        </is>
      </c>
      <c r="G1183" s="13" t="inlineStr">
        <is>
          <t>Produksi</t>
        </is>
      </c>
      <c r="H1183" s="13" t="inlineStr">
        <is>
          <t>Istirahat</t>
        </is>
      </c>
    </row>
    <row r="1184">
      <c r="A1184" s="27" t="inlineStr">
        <is>
          <t>MK00185</t>
        </is>
      </c>
      <c r="B1184" s="13" t="inlineStr">
        <is>
          <t>OUT</t>
        </is>
      </c>
      <c r="C1184" s="177" t="n">
        <v>46224.41666666666</v>
      </c>
      <c r="D1184" s="51" t="n">
        <v>0.7282175925925926</v>
      </c>
      <c r="E1184" s="13" t="n">
        <v>528000361</v>
      </c>
      <c r="F1184" s="13" t="inlineStr">
        <is>
          <t>Denada Munggarani</t>
        </is>
      </c>
      <c r="G1184" s="13" t="inlineStr">
        <is>
          <t>Produksi</t>
        </is>
      </c>
      <c r="H1184" s="13" t="inlineStr">
        <is>
          <t>Istirahat</t>
        </is>
      </c>
    </row>
    <row r="1185">
      <c r="A1185" s="27" t="inlineStr">
        <is>
          <t>MK00181</t>
        </is>
      </c>
      <c r="B1185" s="13" t="inlineStr">
        <is>
          <t>IN</t>
        </is>
      </c>
      <c r="C1185" s="177" t="n">
        <v>46224.41666666666</v>
      </c>
      <c r="D1185" s="51" t="n">
        <v>0.7429282407407407</v>
      </c>
      <c r="E1185" s="13" t="n">
        <v>528000299</v>
      </c>
      <c r="F1185" s="13" t="inlineStr">
        <is>
          <t>Siti Nurjanah</t>
        </is>
      </c>
      <c r="G1185" s="13" t="inlineStr">
        <is>
          <t>Produksi</t>
        </is>
      </c>
      <c r="H1185" s="13" t="inlineStr">
        <is>
          <t>Istirahat</t>
        </is>
      </c>
    </row>
    <row r="1186">
      <c r="A1186" s="27" t="inlineStr">
        <is>
          <t>MK00185</t>
        </is>
      </c>
      <c r="B1186" s="13" t="inlineStr">
        <is>
          <t>IN</t>
        </is>
      </c>
      <c r="C1186" s="177" t="n">
        <v>46224.41666666666</v>
      </c>
      <c r="D1186" s="51" t="n">
        <v>0.7430555555555556</v>
      </c>
      <c r="E1186" s="13" t="n">
        <v>528000361</v>
      </c>
      <c r="F1186" s="13" t="inlineStr">
        <is>
          <t>Denada Munggarani</t>
        </is>
      </c>
      <c r="G1186" s="13" t="inlineStr">
        <is>
          <t>Produksi</t>
        </is>
      </c>
      <c r="H1186" s="13" t="inlineStr">
        <is>
          <t>Istirahat</t>
        </is>
      </c>
    </row>
    <row r="1187">
      <c r="A1187" s="27" t="inlineStr">
        <is>
          <t>MK00158</t>
        </is>
      </c>
      <c r="B1187" s="13" t="inlineStr">
        <is>
          <t>OUT</t>
        </is>
      </c>
      <c r="C1187" s="177" t="n">
        <v>46224.41666666666</v>
      </c>
      <c r="D1187" s="51" t="n">
        <v>0.7479861111111111</v>
      </c>
      <c r="E1187" s="13" t="n">
        <v>528000322</v>
      </c>
      <c r="F1187" s="13" t="inlineStr">
        <is>
          <t>Muhamad Aliludin</t>
        </is>
      </c>
      <c r="G1187" s="13" t="inlineStr">
        <is>
          <t>Produksi</t>
        </is>
      </c>
      <c r="H1187" s="13" t="inlineStr">
        <is>
          <t>Istirahat</t>
        </is>
      </c>
    </row>
    <row r="1188">
      <c r="A1188" s="27" t="inlineStr">
        <is>
          <t>MK00082</t>
        </is>
      </c>
      <c r="B1188" s="13" t="inlineStr">
        <is>
          <t>OUT</t>
        </is>
      </c>
      <c r="C1188" s="177" t="n">
        <v>46224.41666666666</v>
      </c>
      <c r="D1188" s="51" t="n">
        <v>0.7483796296296297</v>
      </c>
      <c r="E1188" s="13" t="n">
        <v>528000302</v>
      </c>
      <c r="F1188" s="13" t="inlineStr">
        <is>
          <t>Henkey gumilar</t>
        </is>
      </c>
      <c r="G1188" s="13" t="inlineStr">
        <is>
          <t>Produksi</t>
        </is>
      </c>
      <c r="H1188" s="13" t="inlineStr">
        <is>
          <t>Istirahat</t>
        </is>
      </c>
    </row>
    <row r="1189">
      <c r="A1189" s="27" t="inlineStr">
        <is>
          <t>MK00113</t>
        </is>
      </c>
      <c r="B1189" s="13" t="inlineStr">
        <is>
          <t>OUT</t>
        </is>
      </c>
      <c r="C1189" s="177" t="n">
        <v>46224.41666666666</v>
      </c>
      <c r="D1189" s="51" t="n">
        <v>0.7549074074074074</v>
      </c>
      <c r="E1189" s="13" t="n">
        <v>528000298</v>
      </c>
      <c r="F1189" s="13" t="inlineStr">
        <is>
          <t>Desta Cahaya Pratama</t>
        </is>
      </c>
      <c r="G1189" s="13" t="inlineStr">
        <is>
          <t>Produksi</t>
        </is>
      </c>
      <c r="H1189" s="13" t="inlineStr">
        <is>
          <t>Istirahat</t>
        </is>
      </c>
    </row>
    <row r="1190">
      <c r="A1190" s="27" t="inlineStr">
        <is>
          <t>MK00008</t>
        </is>
      </c>
      <c r="B1190" s="13" t="inlineStr">
        <is>
          <t>OUT</t>
        </is>
      </c>
      <c r="C1190" s="177" t="n">
        <v>46224.41666666666</v>
      </c>
      <c r="D1190" s="51" t="n">
        <v>0.7550925925925925</v>
      </c>
      <c r="E1190" s="13" t="n">
        <v>528000305</v>
      </c>
      <c r="F1190" s="13" t="inlineStr">
        <is>
          <t>Puji Puspita</t>
        </is>
      </c>
      <c r="G1190" s="13" t="inlineStr">
        <is>
          <t>Produksi</t>
        </is>
      </c>
      <c r="H1190" s="13" t="inlineStr">
        <is>
          <t>Istirahat</t>
        </is>
      </c>
    </row>
    <row r="1191">
      <c r="A1191" s="27" t="inlineStr">
        <is>
          <t>MK00158</t>
        </is>
      </c>
      <c r="B1191" s="13" t="inlineStr">
        <is>
          <t>IN</t>
        </is>
      </c>
      <c r="C1191" s="177" t="n">
        <v>46224.41666666666</v>
      </c>
      <c r="D1191" s="51" t="n">
        <v>0.7733449074074074</v>
      </c>
      <c r="E1191" s="13" t="n">
        <v>528000322</v>
      </c>
      <c r="F1191" s="13" t="inlineStr">
        <is>
          <t>Muhamad Aliludin</t>
        </is>
      </c>
      <c r="G1191" s="13" t="inlineStr">
        <is>
          <t>Produksi</t>
        </is>
      </c>
      <c r="H1191" s="13" t="inlineStr">
        <is>
          <t>Istirahat</t>
        </is>
      </c>
    </row>
    <row r="1192">
      <c r="A1192" s="27" t="inlineStr">
        <is>
          <t>MK00250</t>
        </is>
      </c>
      <c r="B1192" s="13" t="inlineStr">
        <is>
          <t>IN</t>
        </is>
      </c>
      <c r="C1192" s="177" t="n">
        <v>46224.41666666666</v>
      </c>
      <c r="D1192" s="51" t="n">
        <v>0.7735185185185185</v>
      </c>
      <c r="E1192" s="13" t="n">
        <v>528000313</v>
      </c>
      <c r="F1192" s="13" t="inlineStr">
        <is>
          <t>Muhamad Rifki</t>
        </is>
      </c>
      <c r="G1192" s="13" t="inlineStr">
        <is>
          <t>Produksi</t>
        </is>
      </c>
      <c r="H1192" s="13" t="inlineStr">
        <is>
          <t>Istirahat</t>
        </is>
      </c>
    </row>
    <row r="1193">
      <c r="A1193" s="27" t="inlineStr">
        <is>
          <t>MK00082</t>
        </is>
      </c>
      <c r="B1193" s="13" t="inlineStr">
        <is>
          <t>IN</t>
        </is>
      </c>
      <c r="C1193" s="177" t="n">
        <v>46224.41666666666</v>
      </c>
      <c r="D1193" s="51" t="n">
        <v>0.7742129629629629</v>
      </c>
      <c r="E1193" s="13" t="n">
        <v>528000302</v>
      </c>
      <c r="F1193" s="13" t="inlineStr">
        <is>
          <t>Henkey gumilar</t>
        </is>
      </c>
      <c r="G1193" s="13" t="inlineStr">
        <is>
          <t>Produksi</t>
        </is>
      </c>
      <c r="H1193" s="13" t="inlineStr">
        <is>
          <t>Istirahat</t>
        </is>
      </c>
    </row>
    <row r="1194">
      <c r="A1194" s="27" t="inlineStr">
        <is>
          <t>MK00008</t>
        </is>
      </c>
      <c r="B1194" s="13" t="inlineStr">
        <is>
          <t>IN</t>
        </is>
      </c>
      <c r="C1194" s="177" t="n">
        <v>46224.41666666666</v>
      </c>
      <c r="D1194" s="51" t="n">
        <v>0.7744097222222223</v>
      </c>
      <c r="E1194" s="13" t="n">
        <v>528000305</v>
      </c>
      <c r="F1194" s="13" t="inlineStr">
        <is>
          <t>Puji Puspita</t>
        </is>
      </c>
      <c r="G1194" s="13" t="inlineStr">
        <is>
          <t>Produksi</t>
        </is>
      </c>
      <c r="H1194" s="13" t="inlineStr">
        <is>
          <t>Istirahat</t>
        </is>
      </c>
    </row>
    <row r="1195">
      <c r="A1195" s="27" t="inlineStr">
        <is>
          <t>MK00113</t>
        </is>
      </c>
      <c r="B1195" s="13" t="inlineStr">
        <is>
          <t>IN</t>
        </is>
      </c>
      <c r="C1195" s="177" t="n">
        <v>46224.41666666666</v>
      </c>
      <c r="D1195" s="51" t="n">
        <v>0.7838078703703704</v>
      </c>
      <c r="E1195" s="13" t="n">
        <v>528000298</v>
      </c>
      <c r="F1195" s="13" t="inlineStr">
        <is>
          <t>Desta Cahaya Pratama</t>
        </is>
      </c>
      <c r="G1195" s="13" t="inlineStr">
        <is>
          <t>Produksi</t>
        </is>
      </c>
      <c r="H1195" s="13" t="inlineStr">
        <is>
          <t>Istirahat</t>
        </is>
      </c>
    </row>
    <row r="1196">
      <c r="A1196" s="27" t="inlineStr">
        <is>
          <t>MK00121</t>
        </is>
      </c>
      <c r="B1196" s="13" t="inlineStr">
        <is>
          <t>OUT</t>
        </is>
      </c>
      <c r="C1196" s="177" t="n">
        <v>46224.41666666666</v>
      </c>
      <c r="D1196" s="51" t="n">
        <v>0.7944097222222222</v>
      </c>
      <c r="E1196" s="13" t="n">
        <v>528000309</v>
      </c>
      <c r="F1196" s="13" t="inlineStr">
        <is>
          <t>Ilham Ramadhan</t>
        </is>
      </c>
      <c r="G1196" s="13" t="inlineStr">
        <is>
          <t>Produksi</t>
        </is>
      </c>
      <c r="H1196" s="13" t="inlineStr">
        <is>
          <t>Istirahat</t>
        </is>
      </c>
    </row>
    <row r="1197">
      <c r="A1197" s="27" t="inlineStr">
        <is>
          <t>MK00160</t>
        </is>
      </c>
      <c r="B1197" s="13" t="inlineStr">
        <is>
          <t>OUT</t>
        </is>
      </c>
      <c r="C1197" s="177" t="n">
        <v>46225.41666666666</v>
      </c>
      <c r="D1197" s="51" t="n">
        <v>0.06936342592592593</v>
      </c>
      <c r="E1197" s="13" t="n">
        <v>528000323</v>
      </c>
      <c r="F1197" s="13" t="inlineStr">
        <is>
          <t>Dian Hamidah</t>
        </is>
      </c>
      <c r="G1197" s="13" t="inlineStr">
        <is>
          <t>Produksi</t>
        </is>
      </c>
      <c r="H1197" s="13" t="n"/>
    </row>
    <row r="1198">
      <c r="A1198" s="27" t="inlineStr">
        <is>
          <t>MK00160</t>
        </is>
      </c>
      <c r="B1198" s="13" t="inlineStr">
        <is>
          <t>IN</t>
        </is>
      </c>
      <c r="C1198" s="177" t="n">
        <v>46225.41666666666</v>
      </c>
      <c r="D1198" s="51" t="n">
        <v>0.09347222222222222</v>
      </c>
      <c r="E1198" s="13" t="n">
        <v>528000323</v>
      </c>
      <c r="F1198" s="13" t="inlineStr">
        <is>
          <t>Dian Hamidah</t>
        </is>
      </c>
      <c r="G1198" s="13" t="inlineStr">
        <is>
          <t>Produksi</t>
        </is>
      </c>
      <c r="H1198" s="13" t="n"/>
    </row>
    <row r="1199">
      <c r="A1199" s="27" t="inlineStr">
        <is>
          <t>MK00150</t>
        </is>
      </c>
      <c r="B1199" s="13" t="inlineStr">
        <is>
          <t>OUT</t>
        </is>
      </c>
      <c r="C1199" s="177" t="n">
        <v>46225.41666666666</v>
      </c>
      <c r="D1199" s="51" t="n">
        <v>0.1005902777777778</v>
      </c>
      <c r="E1199" s="13" t="n">
        <v>628000064</v>
      </c>
      <c r="F1199" s="13" t="inlineStr">
        <is>
          <t>Silva Alypia</t>
        </is>
      </c>
      <c r="G1199" s="13" t="inlineStr">
        <is>
          <t>Produksi</t>
        </is>
      </c>
      <c r="H1199" s="13" t="n"/>
    </row>
    <row r="1200">
      <c r="A1200" s="27" t="inlineStr">
        <is>
          <t>MK00136</t>
        </is>
      </c>
      <c r="B1200" s="13" t="inlineStr">
        <is>
          <t>IN</t>
        </is>
      </c>
      <c r="C1200" s="177" t="n">
        <v>46225.41666666666</v>
      </c>
      <c r="D1200" s="51" t="n">
        <v>0.1007638888888889</v>
      </c>
      <c r="E1200" s="13" t="n">
        <v>528000300</v>
      </c>
      <c r="F1200" s="13" t="inlineStr">
        <is>
          <t>Lia pitaloka</t>
        </is>
      </c>
      <c r="G1200" s="13" t="inlineStr">
        <is>
          <t>Produksi</t>
        </is>
      </c>
      <c r="H1200" s="13" t="n"/>
    </row>
    <row r="1201">
      <c r="A1201" s="27" t="inlineStr">
        <is>
          <t>MK00095</t>
        </is>
      </c>
      <c r="B1201" s="13" t="inlineStr">
        <is>
          <t>IN</t>
        </is>
      </c>
      <c r="C1201" s="177" t="n">
        <v>46225.41666666666</v>
      </c>
      <c r="D1201" s="51" t="n">
        <v>0.1127777777777778</v>
      </c>
      <c r="E1201" s="13" t="n">
        <v>528000297</v>
      </c>
      <c r="F1201" s="13" t="inlineStr">
        <is>
          <t>Muhamad Budiana</t>
        </is>
      </c>
      <c r="G1201" s="13" t="inlineStr">
        <is>
          <t>Produksi</t>
        </is>
      </c>
      <c r="H1201" s="13" t="n"/>
    </row>
    <row r="1202">
      <c r="A1202" s="27" t="inlineStr">
        <is>
          <t>MK00134</t>
        </is>
      </c>
      <c r="B1202" s="13" t="inlineStr">
        <is>
          <t>OUT</t>
        </is>
      </c>
      <c r="C1202" s="177" t="n">
        <v>46225.41666666666</v>
      </c>
      <c r="D1202" s="51" t="n">
        <v>0.1306018518518519</v>
      </c>
      <c r="E1202" s="13" t="n">
        <v>528000289</v>
      </c>
      <c r="F1202" s="13" t="inlineStr">
        <is>
          <t>Adit Supriyadi</t>
        </is>
      </c>
      <c r="G1202" s="13" t="inlineStr">
        <is>
          <t>Produksi</t>
        </is>
      </c>
      <c r="H1202" s="13" t="n"/>
    </row>
    <row r="1203">
      <c r="A1203" s="27" t="inlineStr">
        <is>
          <t>MK00134</t>
        </is>
      </c>
      <c r="B1203" s="13" t="inlineStr">
        <is>
          <t>IN</t>
        </is>
      </c>
      <c r="C1203" s="177" t="n">
        <v>46225.41666666666</v>
      </c>
      <c r="D1203" s="51" t="n">
        <v>0.1387615740740741</v>
      </c>
      <c r="E1203" s="13" t="n">
        <v>528000289</v>
      </c>
      <c r="F1203" s="13" t="inlineStr">
        <is>
          <t>Adit Supriyadi</t>
        </is>
      </c>
      <c r="G1203" s="13" t="inlineStr">
        <is>
          <t>Produksi</t>
        </is>
      </c>
      <c r="H1203" s="13" t="n"/>
    </row>
    <row r="1204">
      <c r="A1204" s="27" t="inlineStr">
        <is>
          <t>MK00249</t>
        </is>
      </c>
      <c r="B1204" s="13" t="inlineStr">
        <is>
          <t>OUT</t>
        </is>
      </c>
      <c r="C1204" s="177" t="n">
        <v>46225.41666666666</v>
      </c>
      <c r="D1204" s="51" t="n">
        <v>0.3886458333333334</v>
      </c>
      <c r="E1204" s="13" t="n">
        <v>528000358</v>
      </c>
      <c r="F1204" s="13" t="inlineStr">
        <is>
          <t>Lulu Agustin</t>
        </is>
      </c>
      <c r="G1204" s="13" t="inlineStr">
        <is>
          <t>Produksi</t>
        </is>
      </c>
      <c r="H1204" s="13" t="inlineStr">
        <is>
          <t>Istirahat</t>
        </is>
      </c>
    </row>
    <row r="1205">
      <c r="A1205" s="27" t="inlineStr">
        <is>
          <t>MK00154</t>
        </is>
      </c>
      <c r="B1205" s="13" t="inlineStr">
        <is>
          <t>IN</t>
        </is>
      </c>
      <c r="C1205" s="177" t="n">
        <v>46225.41666666666</v>
      </c>
      <c r="D1205" s="51" t="n">
        <v>0.3887962962962963</v>
      </c>
      <c r="E1205" s="13" t="n">
        <v>528000262</v>
      </c>
      <c r="F1205" s="13" t="inlineStr">
        <is>
          <t>Ndari Dwiwanti</t>
        </is>
      </c>
      <c r="G1205" s="13" t="inlineStr">
        <is>
          <t>Produksi</t>
        </is>
      </c>
      <c r="H1205" s="13" t="inlineStr">
        <is>
          <t>Istirahat</t>
        </is>
      </c>
    </row>
    <row r="1206">
      <c r="A1206" s="27" t="inlineStr">
        <is>
          <t>MK00154</t>
        </is>
      </c>
      <c r="B1206" s="13" t="inlineStr">
        <is>
          <t>OUT</t>
        </is>
      </c>
      <c r="C1206" s="177" t="n">
        <v>46225.41666666666</v>
      </c>
      <c r="D1206" s="51" t="n">
        <v>0.3889467592592593</v>
      </c>
      <c r="E1206" s="13" t="n">
        <v>528000262</v>
      </c>
      <c r="F1206" s="13" t="inlineStr">
        <is>
          <t>Ndari Dwiwanti</t>
        </is>
      </c>
      <c r="G1206" s="13" t="inlineStr">
        <is>
          <t>Produksi</t>
        </is>
      </c>
      <c r="H1206" s="13" t="inlineStr">
        <is>
          <t>Istirahat</t>
        </is>
      </c>
    </row>
    <row r="1207">
      <c r="A1207" s="27" t="inlineStr">
        <is>
          <t>MK00203</t>
        </is>
      </c>
      <c r="B1207" s="13" t="inlineStr">
        <is>
          <t>OUT</t>
        </is>
      </c>
      <c r="C1207" s="177" t="n">
        <v>46225.41666666666</v>
      </c>
      <c r="D1207" s="51" t="n">
        <v>0.4130671296296296</v>
      </c>
      <c r="E1207" s="13" t="n">
        <v>528000052</v>
      </c>
      <c r="F1207" s="13" t="inlineStr">
        <is>
          <t>Mustopa</t>
        </is>
      </c>
      <c r="G1207" s="13" t="inlineStr">
        <is>
          <t>Produksi</t>
        </is>
      </c>
      <c r="H1207" s="13" t="n"/>
    </row>
    <row r="1208">
      <c r="A1208" s="27" t="inlineStr">
        <is>
          <t>MK00008</t>
        </is>
      </c>
      <c r="B1208" s="13" t="inlineStr">
        <is>
          <t>OUT</t>
        </is>
      </c>
      <c r="C1208" s="177" t="n">
        <v>46225.41666666666</v>
      </c>
      <c r="D1208" s="51" t="n">
        <v>0.4171875</v>
      </c>
      <c r="E1208" s="13" t="n">
        <v>528000291</v>
      </c>
      <c r="F1208" s="13" t="inlineStr">
        <is>
          <t>Andrian</t>
        </is>
      </c>
      <c r="G1208" s="13" t="inlineStr">
        <is>
          <t>Produksi</t>
        </is>
      </c>
      <c r="H1208" s="13" t="n"/>
    </row>
    <row r="1209">
      <c r="A1209" s="27" t="inlineStr">
        <is>
          <t>MK00249</t>
        </is>
      </c>
      <c r="B1209" s="13" t="inlineStr">
        <is>
          <t>IN</t>
        </is>
      </c>
      <c r="C1209" s="177" t="n">
        <v>46225.41666666666</v>
      </c>
      <c r="D1209" s="51" t="n">
        <v>0.4173611111111111</v>
      </c>
      <c r="E1209" s="13" t="n">
        <v>528000358</v>
      </c>
      <c r="F1209" s="13" t="inlineStr">
        <is>
          <t>Lulu Agustin</t>
        </is>
      </c>
      <c r="G1209" s="13" t="inlineStr">
        <is>
          <t>Produksi</t>
        </is>
      </c>
      <c r="H1209" s="13" t="n"/>
    </row>
    <row r="1210">
      <c r="A1210" s="27" t="inlineStr">
        <is>
          <t>MK00154</t>
        </is>
      </c>
      <c r="B1210" s="13" t="inlineStr">
        <is>
          <t>IN</t>
        </is>
      </c>
      <c r="C1210" s="177" t="n">
        <v>46225.41666666666</v>
      </c>
      <c r="D1210" s="51" t="n">
        <v>0.4174652777777778</v>
      </c>
      <c r="E1210" s="13" t="n">
        <v>528000262</v>
      </c>
      <c r="F1210" s="13" t="inlineStr">
        <is>
          <t>Ndari Dwiwanti</t>
        </is>
      </c>
      <c r="G1210" s="13" t="inlineStr">
        <is>
          <t>Produksi</t>
        </is>
      </c>
      <c r="H1210" s="13" t="n"/>
    </row>
    <row r="1211">
      <c r="A1211" s="27" t="n">
        <v>328000422</v>
      </c>
      <c r="B1211" s="13" t="inlineStr">
        <is>
          <t>IN</t>
        </is>
      </c>
      <c r="C1211" s="177" t="n">
        <v>46225.41666666666</v>
      </c>
      <c r="D1211" s="51" t="n">
        <v>0.4175925925925926</v>
      </c>
      <c r="E1211" s="13" t="n">
        <v>328000422</v>
      </c>
      <c r="F1211" s="13" t="inlineStr">
        <is>
          <t>KEVIN PRAKOSO</t>
        </is>
      </c>
      <c r="G1211" s="13" t="inlineStr">
        <is>
          <t>Produksi</t>
        </is>
      </c>
      <c r="H1211" s="13" t="n"/>
    </row>
    <row r="1212">
      <c r="A1212" s="27" t="n">
        <v>328000371</v>
      </c>
      <c r="B1212" s="13" t="inlineStr">
        <is>
          <t>IN</t>
        </is>
      </c>
      <c r="C1212" s="177" t="n">
        <v>46225.41666666666</v>
      </c>
      <c r="D1212" s="51" t="n">
        <v>0.4193518518518519</v>
      </c>
      <c r="E1212" s="13" t="n">
        <v>328000371</v>
      </c>
      <c r="F1212" s="13" t="inlineStr">
        <is>
          <t>ALYA NOOR KAMILA HARJA</t>
        </is>
      </c>
      <c r="G1212" s="13" t="inlineStr">
        <is>
          <t>Produksi</t>
        </is>
      </c>
      <c r="H1212" s="13" t="inlineStr">
        <is>
          <t>Istirahat</t>
        </is>
      </c>
    </row>
    <row r="1213">
      <c r="A1213" s="27" t="n">
        <v>328000373</v>
      </c>
      <c r="B1213" s="13" t="inlineStr">
        <is>
          <t>IN</t>
        </is>
      </c>
      <c r="C1213" s="177" t="n">
        <v>46225.41666666666</v>
      </c>
      <c r="D1213" s="51" t="n">
        <v>0.4196875</v>
      </c>
      <c r="E1213" s="13" t="n">
        <v>328000373</v>
      </c>
      <c r="F1213" s="13" t="inlineStr">
        <is>
          <t>YUNI SRI WULAN</t>
        </is>
      </c>
      <c r="G1213" s="13" t="inlineStr">
        <is>
          <t>Produksi</t>
        </is>
      </c>
      <c r="H1213" s="13" t="inlineStr">
        <is>
          <t>Istirahat</t>
        </is>
      </c>
    </row>
    <row r="1214">
      <c r="A1214" s="27" t="inlineStr">
        <is>
          <t>MK00181</t>
        </is>
      </c>
      <c r="B1214" s="13" t="inlineStr">
        <is>
          <t>OUT</t>
        </is>
      </c>
      <c r="C1214" s="177" t="n">
        <v>46225.41666666666</v>
      </c>
      <c r="D1214" s="51" t="n">
        <v>0.4200115740740741</v>
      </c>
      <c r="E1214" s="13" t="n">
        <v>528000195</v>
      </c>
      <c r="F1214" s="13" t="inlineStr">
        <is>
          <t>Rahma Sariwati</t>
        </is>
      </c>
      <c r="G1214" s="13" t="inlineStr">
        <is>
          <t>Produksi</t>
        </is>
      </c>
      <c r="H1214" s="13" t="inlineStr">
        <is>
          <t>Istirahat</t>
        </is>
      </c>
    </row>
    <row r="1215">
      <c r="A1215" s="27" t="inlineStr">
        <is>
          <t>MK00235</t>
        </is>
      </c>
      <c r="B1215" s="13" t="inlineStr">
        <is>
          <t>OUT</t>
        </is>
      </c>
      <c r="C1215" s="177" t="n">
        <v>46225.41666666666</v>
      </c>
      <c r="D1215" s="51" t="n">
        <v>0.4284722222222222</v>
      </c>
      <c r="E1215" s="13" t="n">
        <v>528000306</v>
      </c>
      <c r="F1215" s="13" t="inlineStr">
        <is>
          <t>Windy Olivia</t>
        </is>
      </c>
      <c r="G1215" s="13" t="inlineStr">
        <is>
          <t>Produksi</t>
        </is>
      </c>
      <c r="H1215" s="13" t="inlineStr">
        <is>
          <t>Istirahat</t>
        </is>
      </c>
    </row>
    <row r="1216">
      <c r="A1216" s="27" t="inlineStr">
        <is>
          <t>MK00203</t>
        </is>
      </c>
      <c r="B1216" s="13" t="inlineStr">
        <is>
          <t>IN</t>
        </is>
      </c>
      <c r="C1216" s="177" t="n">
        <v>46225.41666666666</v>
      </c>
      <c r="D1216" s="51" t="n">
        <v>0.4353125</v>
      </c>
      <c r="E1216" s="13" t="n">
        <v>528000052</v>
      </c>
      <c r="F1216" s="13" t="inlineStr">
        <is>
          <t>Mustopa</t>
        </is>
      </c>
      <c r="G1216" s="13" t="inlineStr">
        <is>
          <t>Produksi</t>
        </is>
      </c>
      <c r="H1216" s="13" t="inlineStr">
        <is>
          <t>Istirahat</t>
        </is>
      </c>
    </row>
    <row r="1217">
      <c r="A1217" s="27" t="inlineStr">
        <is>
          <t>MK00008</t>
        </is>
      </c>
      <c r="B1217" s="13" t="inlineStr">
        <is>
          <t>IN</t>
        </is>
      </c>
      <c r="C1217" s="177" t="n">
        <v>46225.41666666666</v>
      </c>
      <c r="D1217" s="51" t="n">
        <v>0.44</v>
      </c>
      <c r="E1217" s="13" t="n">
        <v>528000291</v>
      </c>
      <c r="F1217" s="13" t="inlineStr">
        <is>
          <t>Andrian</t>
        </is>
      </c>
      <c r="G1217" s="13" t="inlineStr">
        <is>
          <t>Produksi</t>
        </is>
      </c>
      <c r="H1217" s="13" t="inlineStr">
        <is>
          <t>Istirahat</t>
        </is>
      </c>
    </row>
    <row r="1218">
      <c r="A1218" s="27" t="inlineStr">
        <is>
          <t>MK00235</t>
        </is>
      </c>
      <c r="B1218" s="13" t="inlineStr">
        <is>
          <t>IN</t>
        </is>
      </c>
      <c r="C1218" s="177" t="n">
        <v>46225.41666666666</v>
      </c>
      <c r="D1218" s="51" t="n">
        <v>0.4427546296296296</v>
      </c>
      <c r="E1218" s="13" t="n">
        <v>528000306</v>
      </c>
      <c r="F1218" s="13" t="inlineStr">
        <is>
          <t>Windy Olivia</t>
        </is>
      </c>
      <c r="G1218" s="13" t="inlineStr">
        <is>
          <t>Produksi</t>
        </is>
      </c>
      <c r="H1218" s="13" t="inlineStr">
        <is>
          <t>Istirahat</t>
        </is>
      </c>
    </row>
    <row r="1219">
      <c r="A1219" s="27" t="inlineStr">
        <is>
          <t>MK00185</t>
        </is>
      </c>
      <c r="B1219" s="13" t="inlineStr">
        <is>
          <t>OUT</t>
        </is>
      </c>
      <c r="C1219" s="177" t="n">
        <v>46225.41666666666</v>
      </c>
      <c r="D1219" s="51" t="n">
        <v>0.4438310185185185</v>
      </c>
      <c r="E1219" s="13" t="n">
        <v>528000336</v>
      </c>
      <c r="F1219" s="13" t="inlineStr">
        <is>
          <t>Ali Nurhanafi</t>
        </is>
      </c>
      <c r="G1219" s="13" t="inlineStr">
        <is>
          <t>Produksi</t>
        </is>
      </c>
      <c r="H1219" s="13" t="inlineStr">
        <is>
          <t>Istirahat</t>
        </is>
      </c>
    </row>
    <row r="1220">
      <c r="A1220" s="27" t="inlineStr">
        <is>
          <t>MK00250</t>
        </is>
      </c>
      <c r="B1220" s="13" t="inlineStr">
        <is>
          <t>OUT</t>
        </is>
      </c>
      <c r="C1220" s="177" t="n">
        <v>46225.41666666666</v>
      </c>
      <c r="D1220" s="51" t="n">
        <v>0.4566666666666667</v>
      </c>
      <c r="E1220" s="13" t="n">
        <v>528000261</v>
      </c>
      <c r="F1220" s="13" t="inlineStr">
        <is>
          <t>Ergi Ergianto</t>
        </is>
      </c>
      <c r="G1220" s="13" t="inlineStr">
        <is>
          <t>Produksi</t>
        </is>
      </c>
      <c r="H1220" s="13" t="inlineStr">
        <is>
          <t>Istirahat</t>
        </is>
      </c>
    </row>
    <row r="1221">
      <c r="A1221" s="27" t="inlineStr">
        <is>
          <t>MK00220</t>
        </is>
      </c>
      <c r="B1221" s="13" t="inlineStr">
        <is>
          <t>IN</t>
        </is>
      </c>
      <c r="C1221" s="177" t="n">
        <v>46225.41666666666</v>
      </c>
      <c r="D1221" s="51" t="n">
        <v>0.4568981481481482</v>
      </c>
      <c r="E1221" s="13" t="n">
        <v>528000337</v>
      </c>
      <c r="F1221" s="13" t="inlineStr">
        <is>
          <t>Ahmad Zaldi Firdaus</t>
        </is>
      </c>
      <c r="G1221" s="13" t="inlineStr">
        <is>
          <t>Produksi</t>
        </is>
      </c>
      <c r="H1221" s="13" t="inlineStr">
        <is>
          <t>Istirahat</t>
        </is>
      </c>
    </row>
    <row r="1222">
      <c r="A1222" s="27" t="inlineStr">
        <is>
          <t>MK00220</t>
        </is>
      </c>
      <c r="B1222" s="13" t="inlineStr">
        <is>
          <t>OUT</t>
        </is>
      </c>
      <c r="C1222" s="177" t="n">
        <v>46225.41666666666</v>
      </c>
      <c r="D1222" s="51" t="n">
        <v>0.4571296296296296</v>
      </c>
      <c r="E1222" s="13" t="n">
        <v>528000337</v>
      </c>
      <c r="F1222" s="13" t="inlineStr">
        <is>
          <t>Ahmad Zaldi Firdaus</t>
        </is>
      </c>
      <c r="G1222" s="13" t="inlineStr">
        <is>
          <t>Produksi</t>
        </is>
      </c>
      <c r="H1222" s="13" t="inlineStr">
        <is>
          <t>Istirahat</t>
        </is>
      </c>
    </row>
    <row r="1223">
      <c r="A1223" s="27" t="inlineStr">
        <is>
          <t>MK00220</t>
        </is>
      </c>
      <c r="B1223" s="13" t="inlineStr">
        <is>
          <t>IN</t>
        </is>
      </c>
      <c r="C1223" s="177" t="n">
        <v>46225.41666666666</v>
      </c>
      <c r="D1223" s="51" t="n">
        <v>0.4773379629629629</v>
      </c>
      <c r="E1223" s="13" t="n">
        <v>528000337</v>
      </c>
      <c r="F1223" s="13" t="inlineStr">
        <is>
          <t>Ahmad Zaldi Firdaus</t>
        </is>
      </c>
      <c r="G1223" s="13" t="inlineStr">
        <is>
          <t>Produksi</t>
        </is>
      </c>
      <c r="H1223" s="13" t="inlineStr">
        <is>
          <t>Istirahat</t>
        </is>
      </c>
    </row>
    <row r="1224">
      <c r="A1224" s="27" t="inlineStr">
        <is>
          <t>MK00250</t>
        </is>
      </c>
      <c r="B1224" s="13" t="inlineStr">
        <is>
          <t>IN</t>
        </is>
      </c>
      <c r="C1224" s="177" t="n">
        <v>46225.41666666666</v>
      </c>
      <c r="D1224" s="51" t="n">
        <v>0.4775115740740741</v>
      </c>
      <c r="E1224" s="13" t="n">
        <v>528000261</v>
      </c>
      <c r="F1224" s="13" t="inlineStr">
        <is>
          <t>Ergi Ergianto</t>
        </is>
      </c>
      <c r="G1224" s="13" t="inlineStr">
        <is>
          <t>Produksi</t>
        </is>
      </c>
      <c r="H1224" s="13" t="inlineStr">
        <is>
          <t>Istirahat</t>
        </is>
      </c>
    </row>
    <row r="1225">
      <c r="A1225" s="27" t="inlineStr">
        <is>
          <t>MK00185</t>
        </is>
      </c>
      <c r="B1225" s="13" t="inlineStr">
        <is>
          <t>IN</t>
        </is>
      </c>
      <c r="C1225" s="177" t="n">
        <v>46225.41666666666</v>
      </c>
      <c r="D1225" s="51" t="n">
        <v>0.4787731481481481</v>
      </c>
      <c r="E1225" s="13" t="n">
        <v>528000336</v>
      </c>
      <c r="F1225" s="13" t="inlineStr">
        <is>
          <t>Ali Nurhanafi</t>
        </is>
      </c>
      <c r="G1225" s="13" t="inlineStr">
        <is>
          <t>Produksi</t>
        </is>
      </c>
      <c r="H1225" s="13" t="inlineStr">
        <is>
          <t>Istirahat</t>
        </is>
      </c>
    </row>
    <row r="1226">
      <c r="A1226" s="27" t="inlineStr">
        <is>
          <t>MK00121</t>
        </is>
      </c>
      <c r="B1226" s="13" t="inlineStr">
        <is>
          <t>IN</t>
        </is>
      </c>
      <c r="C1226" s="177" t="n">
        <v>46225.41666666666</v>
      </c>
      <c r="D1226" s="51" t="n">
        <v>0.5127199074074074</v>
      </c>
      <c r="E1226" s="13" t="n">
        <v>528000283</v>
      </c>
      <c r="F1226" s="13" t="inlineStr">
        <is>
          <t>Purwanda Sugiri</t>
        </is>
      </c>
      <c r="G1226" s="13" t="inlineStr">
        <is>
          <t>Produksi</t>
        </is>
      </c>
      <c r="H1226" s="13" t="inlineStr">
        <is>
          <t>Pekerjaan</t>
        </is>
      </c>
    </row>
    <row r="1227">
      <c r="A1227" s="27" t="inlineStr">
        <is>
          <t>MK00136</t>
        </is>
      </c>
      <c r="B1227" s="13" t="inlineStr">
        <is>
          <t>OUT</t>
        </is>
      </c>
      <c r="C1227" s="177" t="n">
        <v>46225.41666666666</v>
      </c>
      <c r="D1227" s="51" t="n">
        <v>0.7057986111111111</v>
      </c>
      <c r="E1227" s="13" t="n">
        <v>528000318</v>
      </c>
      <c r="F1227" s="13" t="inlineStr">
        <is>
          <t>Bayu Padli Sepriyana</t>
        </is>
      </c>
      <c r="G1227" s="13" t="inlineStr">
        <is>
          <t>Produksi</t>
        </is>
      </c>
      <c r="H1227" s="13" t="n"/>
    </row>
    <row r="1228">
      <c r="A1228" s="27" t="inlineStr">
        <is>
          <t>MK00085</t>
        </is>
      </c>
      <c r="B1228" s="13" t="inlineStr">
        <is>
          <t>OUT</t>
        </is>
      </c>
      <c r="C1228" s="177" t="n">
        <v>46225.41666666666</v>
      </c>
      <c r="D1228" s="51" t="n">
        <v>0.7059722222222222</v>
      </c>
      <c r="E1228" s="13" t="n">
        <v>528000313</v>
      </c>
      <c r="F1228" s="13" t="inlineStr">
        <is>
          <t>Muhamad Rifki</t>
        </is>
      </c>
      <c r="G1228" s="13" t="inlineStr">
        <is>
          <t>Produksi</t>
        </is>
      </c>
      <c r="H1228" s="13" t="n"/>
    </row>
    <row r="1229">
      <c r="A1229" s="27" t="inlineStr">
        <is>
          <t>MK00082</t>
        </is>
      </c>
      <c r="B1229" s="13" t="inlineStr">
        <is>
          <t>OUT</t>
        </is>
      </c>
      <c r="C1229" s="177" t="n">
        <v>46225.41666666666</v>
      </c>
      <c r="D1229" s="51" t="n">
        <v>0.7571296296296296</v>
      </c>
      <c r="E1229" s="13" t="n">
        <v>528000305</v>
      </c>
      <c r="F1229" s="13" t="inlineStr">
        <is>
          <t>Puji Puspita</t>
        </is>
      </c>
      <c r="G1229" s="13" t="inlineStr">
        <is>
          <t>Produksi</t>
        </is>
      </c>
      <c r="H1229" s="13" t="n"/>
    </row>
    <row r="1230">
      <c r="A1230" s="27" t="inlineStr">
        <is>
          <t>MK00212</t>
        </is>
      </c>
      <c r="B1230" s="13" t="inlineStr">
        <is>
          <t>OUT</t>
        </is>
      </c>
      <c r="C1230" s="177" t="n">
        <v>46225.41666666666</v>
      </c>
      <c r="D1230" s="51" t="n">
        <v>0.7572685185185185</v>
      </c>
      <c r="E1230" s="13" t="n">
        <v>528000361</v>
      </c>
      <c r="F1230" s="13" t="inlineStr">
        <is>
          <t>Denada Munggarani</t>
        </is>
      </c>
      <c r="G1230" s="13" t="inlineStr">
        <is>
          <t>Produksi</t>
        </is>
      </c>
      <c r="H1230" s="13" t="n"/>
    </row>
    <row r="1231">
      <c r="A1231" s="27" t="inlineStr">
        <is>
          <t>MK00136</t>
        </is>
      </c>
      <c r="B1231" s="13" t="inlineStr">
        <is>
          <t>IN</t>
        </is>
      </c>
      <c r="C1231" s="177" t="n">
        <v>46225.41666666666</v>
      </c>
      <c r="D1231" s="51" t="n">
        <v>0.7576388888888889</v>
      </c>
      <c r="E1231" s="13" t="n">
        <v>528000318</v>
      </c>
      <c r="F1231" s="13" t="inlineStr">
        <is>
          <t>Bayu Padli Sepriyana</t>
        </is>
      </c>
      <c r="G1231" s="13" t="inlineStr">
        <is>
          <t>Produksi</t>
        </is>
      </c>
      <c r="H1231" s="13" t="n"/>
    </row>
    <row r="1232">
      <c r="A1232" s="27" t="inlineStr">
        <is>
          <t>MK00085</t>
        </is>
      </c>
      <c r="B1232" s="13" t="inlineStr">
        <is>
          <t>IN</t>
        </is>
      </c>
      <c r="C1232" s="177" t="n">
        <v>46225.41666666666</v>
      </c>
      <c r="D1232" s="51" t="n">
        <v>0.7577314814814815</v>
      </c>
      <c r="E1232" s="13" t="n">
        <v>528000313</v>
      </c>
      <c r="F1232" s="13" t="inlineStr">
        <is>
          <t>Muhamad Rifki</t>
        </is>
      </c>
      <c r="G1232" s="13" t="inlineStr">
        <is>
          <t>Produksi</t>
        </is>
      </c>
      <c r="H1232" s="13" t="n"/>
    </row>
    <row r="1233">
      <c r="A1233" s="27" t="inlineStr">
        <is>
          <t>MK00145</t>
        </is>
      </c>
      <c r="B1233" s="13" t="inlineStr">
        <is>
          <t>OUT</t>
        </is>
      </c>
      <c r="C1233" s="177" t="n">
        <v>46225.41666666666</v>
      </c>
      <c r="D1233" s="51" t="n">
        <v>0.7580555555555556</v>
      </c>
      <c r="E1233" s="13" t="n">
        <v>528000298</v>
      </c>
      <c r="F1233" s="13" t="inlineStr">
        <is>
          <t>Desta Cahaya Pratama</t>
        </is>
      </c>
      <c r="G1233" s="13" t="inlineStr">
        <is>
          <t>Produksi</t>
        </is>
      </c>
      <c r="H1233" s="13" t="n"/>
    </row>
    <row r="1234">
      <c r="A1234" s="27" t="inlineStr">
        <is>
          <t>MK00134</t>
        </is>
      </c>
      <c r="B1234" s="13" t="inlineStr">
        <is>
          <t>OUT</t>
        </is>
      </c>
      <c r="C1234" s="177" t="n">
        <v>46225.41666666666</v>
      </c>
      <c r="D1234" s="51" t="n">
        <v>0.7612962962962962</v>
      </c>
      <c r="E1234" s="13" t="n">
        <v>528000309</v>
      </c>
      <c r="F1234" s="13" t="inlineStr">
        <is>
          <t>Ilham Ramadhan</t>
        </is>
      </c>
      <c r="G1234" s="13" t="inlineStr">
        <is>
          <t>Produksi</t>
        </is>
      </c>
      <c r="H1234" s="13" t="n"/>
    </row>
    <row r="1235">
      <c r="A1235" s="27" t="inlineStr">
        <is>
          <t>MK00082</t>
        </is>
      </c>
      <c r="B1235" s="13" t="inlineStr">
        <is>
          <t>IN</t>
        </is>
      </c>
      <c r="C1235" s="177" t="n">
        <v>46225.41666666666</v>
      </c>
      <c r="D1235" s="51" t="n">
        <v>0.7651736111111112</v>
      </c>
      <c r="E1235" s="13" t="n">
        <v>528000305</v>
      </c>
      <c r="F1235" s="13" t="inlineStr">
        <is>
          <t>Puji Puspita</t>
        </is>
      </c>
      <c r="G1235" s="13" t="inlineStr">
        <is>
          <t>Produksi</t>
        </is>
      </c>
      <c r="H1235" s="13" t="n"/>
    </row>
    <row r="1236">
      <c r="A1236" s="27" t="inlineStr">
        <is>
          <t>MK00212</t>
        </is>
      </c>
      <c r="B1236" s="13" t="inlineStr">
        <is>
          <t>IN</t>
        </is>
      </c>
      <c r="C1236" s="177" t="n">
        <v>46225.41666666666</v>
      </c>
      <c r="D1236" s="51" t="n">
        <v>0.7653240740740741</v>
      </c>
      <c r="E1236" s="13" t="n">
        <v>528000361</v>
      </c>
      <c r="F1236" s="13" t="inlineStr">
        <is>
          <t>Denada Munggarani</t>
        </is>
      </c>
      <c r="G1236" s="13" t="inlineStr">
        <is>
          <t>Produksi</t>
        </is>
      </c>
      <c r="H1236" s="13" t="n"/>
    </row>
    <row r="1237">
      <c r="A1237" s="27" t="inlineStr">
        <is>
          <t>MK00145</t>
        </is>
      </c>
      <c r="B1237" s="13" t="inlineStr">
        <is>
          <t>IN</t>
        </is>
      </c>
      <c r="C1237" s="177" t="n">
        <v>46225.41666666666</v>
      </c>
      <c r="D1237" s="51" t="n">
        <v>0.7803819444444444</v>
      </c>
      <c r="E1237" s="13" t="n">
        <v>528000298</v>
      </c>
      <c r="F1237" s="13" t="inlineStr">
        <is>
          <t>Desta Cahaya Pratama</t>
        </is>
      </c>
      <c r="G1237" s="13" t="inlineStr">
        <is>
          <t>Produksi</t>
        </is>
      </c>
      <c r="H1237" s="13" t="n"/>
    </row>
    <row r="1238">
      <c r="A1238" s="27" t="inlineStr">
        <is>
          <t>MK00134</t>
        </is>
      </c>
      <c r="B1238" s="13" t="inlineStr">
        <is>
          <t>IN</t>
        </is>
      </c>
      <c r="C1238" s="177" t="n">
        <v>46225.41666666666</v>
      </c>
      <c r="D1238" s="51" t="n">
        <v>0.7805671296296296</v>
      </c>
      <c r="E1238" s="13" t="n">
        <v>528000309</v>
      </c>
      <c r="F1238" s="13" t="inlineStr">
        <is>
          <t>Ilham Ramadhan</t>
        </is>
      </c>
      <c r="G1238" s="13" t="inlineStr">
        <is>
          <t>Produksi</t>
        </is>
      </c>
      <c r="H1238" s="13" t="n"/>
    </row>
    <row r="1239">
      <c r="A1239" s="27" t="inlineStr">
        <is>
          <t>MK00185</t>
        </is>
      </c>
      <c r="B1239" s="13" t="inlineStr">
        <is>
          <t>IN</t>
        </is>
      </c>
      <c r="C1239" s="177" t="n">
        <v>46226.41666666666</v>
      </c>
      <c r="D1239" s="51" t="n">
        <v>0.1323263888888889</v>
      </c>
      <c r="E1239" s="13" t="n">
        <v>528000297</v>
      </c>
      <c r="F1239" s="13" t="inlineStr">
        <is>
          <t>Muhamad Budiana</t>
        </is>
      </c>
      <c r="G1239" s="13" t="inlineStr">
        <is>
          <t>Produksi</t>
        </is>
      </c>
      <c r="H1239" s="13" t="n"/>
    </row>
    <row r="1240">
      <c r="A1240" s="27" t="inlineStr">
        <is>
          <t>MK00088</t>
        </is>
      </c>
      <c r="B1240" s="13" t="inlineStr">
        <is>
          <t>OUT</t>
        </is>
      </c>
      <c r="C1240" s="177" t="n">
        <v>46226.41666666666</v>
      </c>
      <c r="D1240" s="51" t="n">
        <v>0.1815393518518519</v>
      </c>
      <c r="E1240" s="13" t="n">
        <v>528000248</v>
      </c>
      <c r="F1240" s="13" t="inlineStr">
        <is>
          <t>Roka Jaya Salka Mulya</t>
        </is>
      </c>
      <c r="G1240" s="13" t="inlineStr">
        <is>
          <t>Produksi</t>
        </is>
      </c>
      <c r="H1240" s="13" t="inlineStr">
        <is>
          <t>Istirahat</t>
        </is>
      </c>
    </row>
    <row r="1241">
      <c r="A1241" s="27" t="inlineStr">
        <is>
          <t>MK00113</t>
        </is>
      </c>
      <c r="B1241" s="13" t="inlineStr">
        <is>
          <t>OUT</t>
        </is>
      </c>
      <c r="C1241" s="177" t="n">
        <v>46226.41666666666</v>
      </c>
      <c r="D1241" s="51" t="n">
        <v>0.6951041666666666</v>
      </c>
      <c r="E1241" s="13" t="n">
        <v>628000091</v>
      </c>
      <c r="F1241" s="13" t="inlineStr">
        <is>
          <t>Devita Handayani</t>
        </is>
      </c>
      <c r="G1241" s="13" t="inlineStr">
        <is>
          <t>Produksi</t>
        </is>
      </c>
      <c r="H1241" s="13" t="inlineStr">
        <is>
          <t>Istirahat</t>
        </is>
      </c>
    </row>
    <row r="1242">
      <c r="A1242" s="27" t="inlineStr">
        <is>
          <t>MK00055</t>
        </is>
      </c>
      <c r="B1242" s="13" t="inlineStr">
        <is>
          <t>OUT</t>
        </is>
      </c>
      <c r="C1242" s="177" t="n">
        <v>46226.41666666666</v>
      </c>
      <c r="D1242" s="51" t="n">
        <v>0.6952199074074074</v>
      </c>
      <c r="E1242" s="13" t="n">
        <v>528000299</v>
      </c>
      <c r="F1242" s="13" t="inlineStr">
        <is>
          <t>Siti Nurjanah</t>
        </is>
      </c>
      <c r="G1242" s="13" t="inlineStr">
        <is>
          <t>Produksi</t>
        </is>
      </c>
      <c r="H1242" s="13" t="inlineStr">
        <is>
          <t>Istirahat</t>
        </is>
      </c>
    </row>
    <row r="1243">
      <c r="A1243" s="27" t="inlineStr">
        <is>
          <t>MK00235</t>
        </is>
      </c>
      <c r="B1243" s="13" t="inlineStr">
        <is>
          <t>OUT</t>
        </is>
      </c>
      <c r="C1243" s="177" t="n">
        <v>46226.41666666666</v>
      </c>
      <c r="D1243" s="51" t="n">
        <v>0.6953356481481482</v>
      </c>
      <c r="E1243" s="13" t="n">
        <v>528000318</v>
      </c>
      <c r="F1243" s="13" t="inlineStr">
        <is>
          <t>Bayu Padli Sepriyana</t>
        </is>
      </c>
      <c r="G1243" s="13" t="inlineStr">
        <is>
          <t>Produksi</t>
        </is>
      </c>
      <c r="H1243" s="13" t="inlineStr">
        <is>
          <t>Istirahat</t>
        </is>
      </c>
    </row>
    <row r="1244">
      <c r="A1244" s="27" t="inlineStr">
        <is>
          <t>MK00055</t>
        </is>
      </c>
      <c r="B1244" s="13" t="inlineStr">
        <is>
          <t>IN</t>
        </is>
      </c>
      <c r="C1244" s="177" t="n">
        <v>46226.41666666666</v>
      </c>
      <c r="D1244" s="51" t="n">
        <v>0.7129166666666666</v>
      </c>
      <c r="E1244" s="13" t="n">
        <v>528000299</v>
      </c>
      <c r="F1244" s="13" t="inlineStr">
        <is>
          <t>Siti Nurjanah</t>
        </is>
      </c>
      <c r="G1244" s="13" t="inlineStr">
        <is>
          <t>Produksi</t>
        </is>
      </c>
      <c r="H1244" s="13" t="inlineStr">
        <is>
          <t>Istirahat</t>
        </is>
      </c>
    </row>
    <row r="1245">
      <c r="A1245" s="27" t="inlineStr">
        <is>
          <t>MK00113</t>
        </is>
      </c>
      <c r="B1245" s="13" t="inlineStr">
        <is>
          <t>IN</t>
        </is>
      </c>
      <c r="C1245" s="177" t="n">
        <v>46226.41666666666</v>
      </c>
      <c r="D1245" s="51" t="n">
        <v>0.7133449074074074</v>
      </c>
      <c r="E1245" s="13" t="n">
        <v>628000091</v>
      </c>
      <c r="F1245" s="13" t="inlineStr">
        <is>
          <t>Devita Handayani</t>
        </is>
      </c>
      <c r="G1245" s="13" t="inlineStr">
        <is>
          <t>Produksi</t>
        </is>
      </c>
      <c r="H1245" s="13" t="inlineStr">
        <is>
          <t>Istirahat</t>
        </is>
      </c>
    </row>
    <row r="1246">
      <c r="A1246" s="27" t="inlineStr">
        <is>
          <t>MK00235</t>
        </is>
      </c>
      <c r="B1246" s="13" t="inlineStr">
        <is>
          <t>IN</t>
        </is>
      </c>
      <c r="C1246" s="177" t="n">
        <v>46226.41666666666</v>
      </c>
      <c r="D1246" s="51" t="n">
        <v>0.7145717592592593</v>
      </c>
      <c r="E1246" s="13" t="n">
        <v>528000318</v>
      </c>
      <c r="F1246" s="13" t="inlineStr">
        <is>
          <t>Bayu Padli Sepriyana</t>
        </is>
      </c>
      <c r="G1246" s="13" t="inlineStr">
        <is>
          <t>Produksi</t>
        </is>
      </c>
      <c r="H1246" s="13" t="inlineStr">
        <is>
          <t>Istirahat</t>
        </is>
      </c>
    </row>
    <row r="1247">
      <c r="A1247" s="27" t="inlineStr">
        <is>
          <t>MK00109</t>
        </is>
      </c>
      <c r="B1247" s="13" t="inlineStr">
        <is>
          <t>OUT</t>
        </is>
      </c>
      <c r="C1247" s="177" t="n">
        <v>46226.41666666666</v>
      </c>
      <c r="D1247" s="51" t="n">
        <v>0.7148726851851852</v>
      </c>
      <c r="E1247" s="13" t="n">
        <v>528000305</v>
      </c>
      <c r="F1247" s="13" t="inlineStr">
        <is>
          <t>Puji Puspita</t>
        </is>
      </c>
      <c r="G1247" s="13" t="inlineStr">
        <is>
          <t>Produksi</t>
        </is>
      </c>
      <c r="H1247" s="13" t="inlineStr">
        <is>
          <t>Istirahat</t>
        </is>
      </c>
    </row>
    <row r="1248">
      <c r="A1248" s="27" t="inlineStr">
        <is>
          <t>MK00249</t>
        </is>
      </c>
      <c r="B1248" s="13" t="inlineStr">
        <is>
          <t>OUT</t>
        </is>
      </c>
      <c r="C1248" s="177" t="n">
        <v>46226.41666666666</v>
      </c>
      <c r="D1248" s="51" t="n">
        <v>0.7489699074074074</v>
      </c>
      <c r="E1248" s="13" t="n">
        <v>528000322</v>
      </c>
      <c r="F1248" s="13" t="inlineStr">
        <is>
          <t>Muhamad Aliludin</t>
        </is>
      </c>
      <c r="G1248" s="13" t="inlineStr">
        <is>
          <t>Produksi</t>
        </is>
      </c>
      <c r="H1248" s="13" t="inlineStr">
        <is>
          <t>Istirahat</t>
        </is>
      </c>
    </row>
    <row r="1249">
      <c r="A1249" s="27" t="inlineStr">
        <is>
          <t>MK00181</t>
        </is>
      </c>
      <c r="B1249" s="13" t="inlineStr">
        <is>
          <t>OUT</t>
        </is>
      </c>
      <c r="C1249" s="177" t="n">
        <v>46226.41666666666</v>
      </c>
      <c r="D1249" s="51" t="n">
        <v>0.7493981481481482</v>
      </c>
      <c r="E1249" s="13" t="n">
        <v>528000313</v>
      </c>
      <c r="F1249" s="13" t="inlineStr">
        <is>
          <t>Muhamad Rifki</t>
        </is>
      </c>
      <c r="G1249" s="13" t="inlineStr">
        <is>
          <t>Produksi</t>
        </is>
      </c>
      <c r="H1249" s="13" t="inlineStr">
        <is>
          <t>Istirahat</t>
        </is>
      </c>
    </row>
    <row r="1250">
      <c r="A1250" s="27" t="inlineStr">
        <is>
          <t>MK00184</t>
        </is>
      </c>
      <c r="B1250" s="13" t="inlineStr">
        <is>
          <t>OUT</t>
        </is>
      </c>
      <c r="C1250" s="177" t="n">
        <v>46226.41666666666</v>
      </c>
      <c r="D1250" s="51" t="n">
        <v>0.7705324074074074</v>
      </c>
      <c r="E1250" s="13" t="n">
        <v>528000298</v>
      </c>
      <c r="F1250" s="13" t="inlineStr">
        <is>
          <t>Desta Cahaya Pratama</t>
        </is>
      </c>
      <c r="G1250" s="13" t="inlineStr">
        <is>
          <t>Produksi</t>
        </is>
      </c>
      <c r="H1250" s="13" t="inlineStr">
        <is>
          <t>Istirahat</t>
        </is>
      </c>
    </row>
    <row r="1251">
      <c r="A1251" s="27" t="inlineStr">
        <is>
          <t>MK00181</t>
        </is>
      </c>
      <c r="B1251" s="13" t="inlineStr">
        <is>
          <t>IN</t>
        </is>
      </c>
      <c r="C1251" s="177" t="n">
        <v>46226.41666666666</v>
      </c>
      <c r="D1251" s="51" t="n">
        <v>0.7706597222222222</v>
      </c>
      <c r="E1251" s="13" t="n">
        <v>528000313</v>
      </c>
      <c r="F1251" s="13" t="inlineStr">
        <is>
          <t>Muhamad Rifki</t>
        </is>
      </c>
      <c r="G1251" s="13" t="inlineStr">
        <is>
          <t>Produksi</t>
        </is>
      </c>
      <c r="H1251" s="13" t="inlineStr">
        <is>
          <t>Istirahat</t>
        </is>
      </c>
    </row>
    <row r="1252">
      <c r="A1252" s="27" t="inlineStr">
        <is>
          <t>MK00145</t>
        </is>
      </c>
      <c r="B1252" s="13" t="inlineStr">
        <is>
          <t>OUT</t>
        </is>
      </c>
      <c r="C1252" s="177" t="n">
        <v>46226.41666666666</v>
      </c>
      <c r="D1252" s="51" t="n">
        <v>0.7715972222222223</v>
      </c>
      <c r="E1252" s="13" t="n">
        <v>528000309</v>
      </c>
      <c r="F1252" s="13" t="inlineStr">
        <is>
          <t>Ilham Ramadhan</t>
        </is>
      </c>
      <c r="G1252" s="13" t="inlineStr">
        <is>
          <t>Produksi</t>
        </is>
      </c>
      <c r="H1252" s="13" t="inlineStr">
        <is>
          <t>Istirahat</t>
        </is>
      </c>
    </row>
    <row r="1253">
      <c r="A1253" s="27" t="inlineStr">
        <is>
          <t>MK00249</t>
        </is>
      </c>
      <c r="B1253" s="13" t="inlineStr">
        <is>
          <t>IN</t>
        </is>
      </c>
      <c r="C1253" s="177" t="n">
        <v>46226.41666666666</v>
      </c>
      <c r="D1253" s="51" t="n">
        <v>0.771724537037037</v>
      </c>
      <c r="E1253" s="13" t="n">
        <v>528000322</v>
      </c>
      <c r="F1253" s="13" t="inlineStr">
        <is>
          <t>Muhamad Aliludin</t>
        </is>
      </c>
      <c r="G1253" s="13" t="inlineStr">
        <is>
          <t>Produksi</t>
        </is>
      </c>
      <c r="H1253" s="13" t="inlineStr">
        <is>
          <t>Istirahat</t>
        </is>
      </c>
    </row>
    <row r="1254">
      <c r="A1254" s="27" t="inlineStr">
        <is>
          <t>MK00145</t>
        </is>
      </c>
      <c r="B1254" s="13" t="inlineStr">
        <is>
          <t>IN</t>
        </is>
      </c>
      <c r="C1254" s="177" t="n">
        <v>46226.41666666666</v>
      </c>
      <c r="D1254" s="51" t="n">
        <v>0.771875</v>
      </c>
      <c r="E1254" s="13" t="n">
        <v>528000309</v>
      </c>
      <c r="F1254" s="13" t="inlineStr">
        <is>
          <t>Ilham Ramadhan</t>
        </is>
      </c>
      <c r="G1254" s="13" t="inlineStr">
        <is>
          <t>Produksi</t>
        </is>
      </c>
      <c r="H1254" s="13" t="inlineStr">
        <is>
          <t>Istirahat</t>
        </is>
      </c>
    </row>
    <row r="1255">
      <c r="A1255" s="27" t="inlineStr">
        <is>
          <t>MK00249</t>
        </is>
      </c>
      <c r="B1255" s="13" t="inlineStr">
        <is>
          <t>OUT</t>
        </is>
      </c>
      <c r="C1255" s="177" t="n">
        <v>46226.41666666666</v>
      </c>
      <c r="D1255" s="51" t="n">
        <v>0.7720138888888889</v>
      </c>
      <c r="E1255" s="13" t="n">
        <v>528000322</v>
      </c>
      <c r="F1255" s="13" t="inlineStr">
        <is>
          <t>Muhamad Aliludin</t>
        </is>
      </c>
      <c r="G1255" s="13" t="inlineStr">
        <is>
          <t>Produksi</t>
        </is>
      </c>
      <c r="H1255" s="13" t="inlineStr">
        <is>
          <t>Istirahat</t>
        </is>
      </c>
    </row>
    <row r="1256">
      <c r="A1256" s="27" t="inlineStr">
        <is>
          <t>MK00249</t>
        </is>
      </c>
      <c r="B1256" s="13" t="inlineStr">
        <is>
          <t>IN</t>
        </is>
      </c>
      <c r="C1256" s="177" t="n">
        <v>46226.41666666666</v>
      </c>
      <c r="D1256" s="51" t="n">
        <v>0.7721527777777778</v>
      </c>
      <c r="E1256" s="13" t="n">
        <v>528000322</v>
      </c>
      <c r="F1256" s="13" t="inlineStr">
        <is>
          <t>Muhamad Aliludin</t>
        </is>
      </c>
      <c r="G1256" s="13" t="inlineStr">
        <is>
          <t>Produksi</t>
        </is>
      </c>
      <c r="H1256" s="13" t="inlineStr">
        <is>
          <t>Istirahat</t>
        </is>
      </c>
    </row>
    <row r="1257">
      <c r="A1257" s="27" t="inlineStr">
        <is>
          <t>MK00220</t>
        </is>
      </c>
      <c r="B1257" s="13" t="inlineStr">
        <is>
          <t>OUT</t>
        </is>
      </c>
      <c r="C1257" s="177" t="n">
        <v>46227.41666666666</v>
      </c>
      <c r="D1257" s="51" t="n">
        <v>0.1321180555555556</v>
      </c>
      <c r="E1257" s="13" t="n">
        <v>528000279</v>
      </c>
      <c r="F1257" s="13" t="inlineStr">
        <is>
          <t>Mahdalena Dalfa Riani</t>
        </is>
      </c>
      <c r="G1257" s="13" t="inlineStr">
        <is>
          <t>Produksi</t>
        </is>
      </c>
      <c r="H1257" s="13" t="inlineStr">
        <is>
          <t>Istirahat</t>
        </is>
      </c>
    </row>
    <row r="1258">
      <c r="A1258" s="27" t="inlineStr">
        <is>
          <t>MK00134</t>
        </is>
      </c>
      <c r="B1258" s="13" t="inlineStr">
        <is>
          <t>OUT</t>
        </is>
      </c>
      <c r="C1258" s="177" t="n">
        <v>46227.41666666666</v>
      </c>
      <c r="D1258" s="51" t="n">
        <v>0.1323148148148148</v>
      </c>
      <c r="E1258" s="13" t="n">
        <v>528000288</v>
      </c>
      <c r="F1258" s="13" t="inlineStr">
        <is>
          <t>Dede gunawan</t>
        </is>
      </c>
      <c r="G1258" s="13" t="inlineStr">
        <is>
          <t>Produksi</t>
        </is>
      </c>
      <c r="H1258" s="13" t="inlineStr">
        <is>
          <t>Istirahat</t>
        </is>
      </c>
    </row>
    <row r="1259">
      <c r="A1259" s="27" t="inlineStr">
        <is>
          <t>MK00121</t>
        </is>
      </c>
      <c r="B1259" s="13" t="inlineStr">
        <is>
          <t>OUT</t>
        </is>
      </c>
      <c r="C1259" s="177" t="n">
        <v>46227.41666666666</v>
      </c>
      <c r="D1259" s="51" t="n">
        <v>0.1327662037037037</v>
      </c>
      <c r="E1259" s="13" t="n">
        <v>528000297</v>
      </c>
      <c r="F1259" s="13" t="inlineStr">
        <is>
          <t>Muhamad Budiana</t>
        </is>
      </c>
      <c r="G1259" s="13" t="inlineStr">
        <is>
          <t>Produksi</t>
        </is>
      </c>
      <c r="H1259" s="13" t="inlineStr">
        <is>
          <t>Istirahat</t>
        </is>
      </c>
    </row>
    <row r="1260">
      <c r="A1260" s="27" t="inlineStr">
        <is>
          <t>MK00160</t>
        </is>
      </c>
      <c r="B1260" s="13" t="inlineStr">
        <is>
          <t>OUT</t>
        </is>
      </c>
      <c r="C1260" s="177" t="n">
        <v>46227.41666666666</v>
      </c>
      <c r="D1260" s="51" t="n">
        <v>0.1345601851851852</v>
      </c>
      <c r="E1260" s="13" t="n">
        <v>528000323</v>
      </c>
      <c r="F1260" s="13" t="inlineStr">
        <is>
          <t>Dian Hamidah</t>
        </is>
      </c>
      <c r="G1260" s="13" t="inlineStr">
        <is>
          <t>Produksi</t>
        </is>
      </c>
      <c r="H1260" s="13" t="inlineStr">
        <is>
          <t>Istirahat</t>
        </is>
      </c>
    </row>
    <row r="1261">
      <c r="A1261" s="27" t="inlineStr">
        <is>
          <t>MK00220</t>
        </is>
      </c>
      <c r="B1261" s="13" t="inlineStr">
        <is>
          <t>OUT</t>
        </is>
      </c>
      <c r="C1261" s="177" t="n">
        <v>46227.41666666666</v>
      </c>
      <c r="D1261" s="51" t="n">
        <v>0.1348611111111111</v>
      </c>
      <c r="E1261" s="13" t="n">
        <v>528000279</v>
      </c>
      <c r="F1261" s="13" t="inlineStr">
        <is>
          <t>Mahdalena Dalfa Riani</t>
        </is>
      </c>
      <c r="G1261" s="13" t="inlineStr">
        <is>
          <t>Produksi</t>
        </is>
      </c>
      <c r="H1261" s="13" t="inlineStr">
        <is>
          <t>Istirahat</t>
        </is>
      </c>
    </row>
    <row r="1262">
      <c r="A1262" s="27" t="inlineStr">
        <is>
          <t>MK00220</t>
        </is>
      </c>
      <c r="B1262" s="13" t="inlineStr">
        <is>
          <t>IN</t>
        </is>
      </c>
      <c r="C1262" s="177" t="n">
        <v>46227.41666666666</v>
      </c>
      <c r="D1262" s="51" t="n">
        <v>0.1475925925925926</v>
      </c>
      <c r="E1262" s="13" t="n">
        <v>528000279</v>
      </c>
      <c r="F1262" s="13" t="inlineStr">
        <is>
          <t>Mahdalena Dalfa Riani</t>
        </is>
      </c>
      <c r="G1262" s="13" t="inlineStr">
        <is>
          <t>Produksi</t>
        </is>
      </c>
      <c r="H1262" s="13" t="inlineStr">
        <is>
          <t>Istirahat</t>
        </is>
      </c>
    </row>
    <row r="1263">
      <c r="A1263" s="27" t="inlineStr">
        <is>
          <t>MK00134</t>
        </is>
      </c>
      <c r="B1263" s="13" t="inlineStr">
        <is>
          <t>IN</t>
        </is>
      </c>
      <c r="C1263" s="177" t="n">
        <v>46227.41666666666</v>
      </c>
      <c r="D1263" s="51" t="n">
        <v>0.1477546296296296</v>
      </c>
      <c r="E1263" s="13" t="n">
        <v>528000288</v>
      </c>
      <c r="F1263" s="13" t="inlineStr">
        <is>
          <t>Dede gunawan</t>
        </is>
      </c>
      <c r="G1263" s="13" t="inlineStr">
        <is>
          <t>Produksi</t>
        </is>
      </c>
      <c r="H1263" s="13" t="inlineStr">
        <is>
          <t>Istirahat</t>
        </is>
      </c>
    </row>
    <row r="1264">
      <c r="A1264" s="27" t="inlineStr">
        <is>
          <t>MK00121</t>
        </is>
      </c>
      <c r="B1264" s="13" t="inlineStr">
        <is>
          <t>IN</t>
        </is>
      </c>
      <c r="C1264" s="177" t="n">
        <v>46227.41666666666</v>
      </c>
      <c r="D1264" s="51" t="n">
        <v>0.148125</v>
      </c>
      <c r="E1264" s="13" t="n">
        <v>528000297</v>
      </c>
      <c r="F1264" s="13" t="inlineStr">
        <is>
          <t>Muhamad Budiana</t>
        </is>
      </c>
      <c r="G1264" s="13" t="inlineStr">
        <is>
          <t>Produksi</t>
        </is>
      </c>
      <c r="H1264" s="13" t="inlineStr">
        <is>
          <t>Istirahat</t>
        </is>
      </c>
    </row>
    <row r="1265">
      <c r="A1265" s="27" t="inlineStr">
        <is>
          <t>MK00160</t>
        </is>
      </c>
      <c r="B1265" s="13" t="inlineStr">
        <is>
          <t>IN</t>
        </is>
      </c>
      <c r="C1265" s="177" t="n">
        <v>46227.41666666666</v>
      </c>
      <c r="D1265" s="51" t="n">
        <v>0.1515740740740741</v>
      </c>
      <c r="E1265" s="13" t="n">
        <v>528000323</v>
      </c>
      <c r="F1265" s="13" t="inlineStr">
        <is>
          <t>Dian Hamidah</t>
        </is>
      </c>
      <c r="G1265" s="13" t="inlineStr">
        <is>
          <t>Produksi</t>
        </is>
      </c>
      <c r="H1265" s="13" t="inlineStr">
        <is>
          <t>Istirahat</t>
        </is>
      </c>
    </row>
    <row r="1266">
      <c r="A1266" s="27" t="inlineStr">
        <is>
          <t>MK00136</t>
        </is>
      </c>
      <c r="B1266" s="13" t="inlineStr">
        <is>
          <t>OUT</t>
        </is>
      </c>
      <c r="C1266" s="177" t="n">
        <v>46228.41666666666</v>
      </c>
      <c r="D1266" s="51" t="n">
        <v>0.1015046296296296</v>
      </c>
      <c r="E1266" s="13" t="n">
        <v>528000274</v>
      </c>
      <c r="F1266" s="13" t="inlineStr">
        <is>
          <t>Zepri</t>
        </is>
      </c>
      <c r="G1266" s="13" t="inlineStr">
        <is>
          <t>Produksi</t>
        </is>
      </c>
      <c r="H1266" s="13" t="n"/>
    </row>
    <row r="1267">
      <c r="A1267" s="27" t="inlineStr">
        <is>
          <t>MK00208</t>
        </is>
      </c>
      <c r="B1267" s="13" t="inlineStr">
        <is>
          <t>OUT</t>
        </is>
      </c>
      <c r="C1267" s="177" t="n">
        <v>46228.41666666666</v>
      </c>
      <c r="D1267" s="51" t="n">
        <v>0.4288541666666666</v>
      </c>
      <c r="E1267" s="13" t="n">
        <v>528000358</v>
      </c>
      <c r="F1267" s="13" t="inlineStr">
        <is>
          <t>Lulu Agustin</t>
        </is>
      </c>
      <c r="G1267" s="13" t="inlineStr">
        <is>
          <t>Produksi</t>
        </is>
      </c>
      <c r="H1267" s="13" t="inlineStr">
        <is>
          <t>Istirahat</t>
        </is>
      </c>
    </row>
    <row r="1268">
      <c r="A1268" s="27" t="inlineStr">
        <is>
          <t>MK00154</t>
        </is>
      </c>
      <c r="B1268" s="13" t="inlineStr">
        <is>
          <t>OUT</t>
        </is>
      </c>
      <c r="C1268" s="177" t="n">
        <v>46228.41666666666</v>
      </c>
      <c r="D1268" s="51" t="n">
        <v>0.4333564814814815</v>
      </c>
      <c r="E1268" s="13" t="n">
        <v>528000261</v>
      </c>
      <c r="F1268" s="13" t="inlineStr">
        <is>
          <t>Ergi Ergianto</t>
        </is>
      </c>
      <c r="G1268" s="13" t="inlineStr">
        <is>
          <t>Produksi</t>
        </is>
      </c>
      <c r="H1268" s="13" t="inlineStr">
        <is>
          <t>Istirahat</t>
        </is>
      </c>
    </row>
    <row r="1269">
      <c r="A1269" s="27" t="inlineStr">
        <is>
          <t>MK00208</t>
        </is>
      </c>
      <c r="B1269" s="13" t="inlineStr">
        <is>
          <t>IN</t>
        </is>
      </c>
      <c r="C1269" s="177" t="n">
        <v>46228.41666666666</v>
      </c>
      <c r="D1269" s="51" t="n">
        <v>0.4337037037037037</v>
      </c>
      <c r="E1269" s="13" t="n">
        <v>528000358</v>
      </c>
      <c r="F1269" s="13" t="inlineStr">
        <is>
          <t>Lulu Agustin</t>
        </is>
      </c>
      <c r="G1269" s="13" t="inlineStr">
        <is>
          <t>Produksi</t>
        </is>
      </c>
      <c r="H1269" s="13" t="inlineStr">
        <is>
          <t>Istirahat</t>
        </is>
      </c>
    </row>
    <row r="1270">
      <c r="A1270" s="27" t="inlineStr">
        <is>
          <t>MK00154</t>
        </is>
      </c>
      <c r="B1270" s="13" t="inlineStr">
        <is>
          <t>IN</t>
        </is>
      </c>
      <c r="C1270" s="177" t="n">
        <v>46228.41666666666</v>
      </c>
      <c r="D1270" s="51" t="n">
        <v>0.4338773148148148</v>
      </c>
      <c r="E1270" s="13" t="n">
        <v>528000261</v>
      </c>
      <c r="F1270" s="13" t="inlineStr">
        <is>
          <t>Ergi Ergianto</t>
        </is>
      </c>
      <c r="G1270" s="13" t="inlineStr">
        <is>
          <t>Produksi</t>
        </is>
      </c>
      <c r="H1270" s="13" t="inlineStr">
        <is>
          <t>Istirahat</t>
        </is>
      </c>
    </row>
    <row r="1271">
      <c r="A1271" s="27" t="inlineStr">
        <is>
          <t>MK00202</t>
        </is>
      </c>
      <c r="B1271" s="13" t="inlineStr">
        <is>
          <t>OUT</t>
        </is>
      </c>
      <c r="C1271" s="177" t="n">
        <v>46228.41666666666</v>
      </c>
      <c r="D1271" s="51" t="n">
        <v>0.5371875</v>
      </c>
      <c r="E1271" s="13" t="n">
        <v>528000302</v>
      </c>
      <c r="F1271" s="13" t="inlineStr">
        <is>
          <t>Henkey gumilar</t>
        </is>
      </c>
      <c r="G1271" s="13" t="inlineStr">
        <is>
          <t>Produksi</t>
        </is>
      </c>
      <c r="H1271" s="13" t="n"/>
    </row>
    <row r="1272">
      <c r="A1272" s="27" t="inlineStr">
        <is>
          <t>MK00202</t>
        </is>
      </c>
      <c r="B1272" s="13" t="inlineStr">
        <is>
          <t>IN</t>
        </is>
      </c>
      <c r="C1272" s="177" t="n">
        <v>46228.41666666666</v>
      </c>
      <c r="D1272" s="51" t="n">
        <v>0.5727199074074074</v>
      </c>
      <c r="E1272" s="13" t="n">
        <v>528000302</v>
      </c>
      <c r="F1272" s="13" t="inlineStr">
        <is>
          <t>Henkey gumilar</t>
        </is>
      </c>
      <c r="G1272" s="13" t="inlineStr">
        <is>
          <t>Produksi</t>
        </is>
      </c>
      <c r="H1272" s="13" t="n"/>
    </row>
    <row r="1273">
      <c r="A1273" s="27" t="inlineStr">
        <is>
          <t>MK00202</t>
        </is>
      </c>
      <c r="B1273" s="13" t="inlineStr">
        <is>
          <t>OUT</t>
        </is>
      </c>
      <c r="C1273" s="177" t="n">
        <v>46228.41666666666</v>
      </c>
      <c r="D1273" s="51" t="n">
        <v>0.573287037037037</v>
      </c>
      <c r="E1273" s="13" t="n">
        <v>528000302</v>
      </c>
      <c r="F1273" s="13" t="inlineStr">
        <is>
          <t>Henkey gumilar</t>
        </is>
      </c>
      <c r="G1273" s="13" t="inlineStr">
        <is>
          <t>Produksi</t>
        </is>
      </c>
      <c r="H1273" s="13" t="n"/>
    </row>
    <row r="1274">
      <c r="A1274" s="27" t="inlineStr">
        <is>
          <t>MK000230</t>
        </is>
      </c>
      <c r="B1274" s="13" t="inlineStr">
        <is>
          <t>OUT</t>
        </is>
      </c>
      <c r="C1274" s="177" t="n">
        <v>46228.41666666666</v>
      </c>
      <c r="D1274" s="51" t="n">
        <v>0.5741898148148148</v>
      </c>
      <c r="E1274" s="13" t="n">
        <v>528000298</v>
      </c>
      <c r="F1274" s="13" t="inlineStr">
        <is>
          <t>Desta Cahaya Pratama</t>
        </is>
      </c>
      <c r="G1274" s="13" t="inlineStr">
        <is>
          <t>Produksi</t>
        </is>
      </c>
      <c r="H1274" s="13" t="n"/>
    </row>
    <row r="1275">
      <c r="A1275" s="27" t="inlineStr">
        <is>
          <t>MK00138</t>
        </is>
      </c>
      <c r="B1275" s="13" t="inlineStr">
        <is>
          <t>OUT</t>
        </is>
      </c>
      <c r="C1275" s="177" t="n">
        <v>46229.41666666666</v>
      </c>
      <c r="D1275" s="51" t="n">
        <v>0.07167824074074074</v>
      </c>
      <c r="E1275" s="13" t="n">
        <v>528000241</v>
      </c>
      <c r="F1275" s="13" t="inlineStr">
        <is>
          <t>Balia Nurafif Bilah</t>
        </is>
      </c>
      <c r="G1275" s="13" t="inlineStr">
        <is>
          <t>Produksi</t>
        </is>
      </c>
      <c r="H1275" s="13" t="inlineStr">
        <is>
          <t>Istirahat</t>
        </is>
      </c>
    </row>
    <row r="1276">
      <c r="A1276" s="27" t="inlineStr">
        <is>
          <t>MK00202</t>
        </is>
      </c>
      <c r="B1276" s="13" t="inlineStr">
        <is>
          <t>IN</t>
        </is>
      </c>
      <c r="C1276" s="177" t="n">
        <v>46229.41666666666</v>
      </c>
      <c r="D1276" s="51" t="n">
        <v>0.07791666666666666</v>
      </c>
      <c r="E1276" s="13" t="n">
        <v>528000212</v>
      </c>
      <c r="F1276" s="13" t="inlineStr">
        <is>
          <t>Rizal Fauzi</t>
        </is>
      </c>
      <c r="G1276" s="13" t="inlineStr">
        <is>
          <t>Produksi</t>
        </is>
      </c>
      <c r="H1276" s="13" t="inlineStr">
        <is>
          <t>Istirahat</t>
        </is>
      </c>
    </row>
    <row r="1277">
      <c r="A1277" s="27" t="inlineStr">
        <is>
          <t>MK00202</t>
        </is>
      </c>
      <c r="B1277" s="13" t="inlineStr">
        <is>
          <t>OUT</t>
        </is>
      </c>
      <c r="C1277" s="177" t="n">
        <v>46229.41666666666</v>
      </c>
      <c r="D1277" s="51" t="n">
        <v>0.07843749999999999</v>
      </c>
      <c r="E1277" s="13" t="n">
        <v>528000212</v>
      </c>
      <c r="F1277" s="13" t="inlineStr">
        <is>
          <t>Rizal Fauzi</t>
        </is>
      </c>
      <c r="G1277" s="13" t="inlineStr">
        <is>
          <t>Produksi</t>
        </is>
      </c>
      <c r="H1277" s="13" t="inlineStr">
        <is>
          <t>Istirahat</t>
        </is>
      </c>
    </row>
    <row r="1278">
      <c r="A1278" s="27" t="inlineStr">
        <is>
          <t>MK00208</t>
        </is>
      </c>
      <c r="B1278" s="13" t="inlineStr">
        <is>
          <t>OUT</t>
        </is>
      </c>
      <c r="C1278" s="177" t="n">
        <v>46229.41666666666</v>
      </c>
      <c r="D1278" s="51" t="n">
        <v>0.07894675925925926</v>
      </c>
      <c r="E1278" s="13" t="n">
        <v>528000290</v>
      </c>
      <c r="F1278" s="13" t="inlineStr">
        <is>
          <t>Eval Pranata</t>
        </is>
      </c>
      <c r="G1278" s="13" t="inlineStr">
        <is>
          <t>Produksi</t>
        </is>
      </c>
      <c r="H1278" s="13" t="inlineStr">
        <is>
          <t>Istirahat</t>
        </is>
      </c>
    </row>
    <row r="1279">
      <c r="A1279" s="27" t="inlineStr">
        <is>
          <t>MK00008</t>
        </is>
      </c>
      <c r="B1279" s="13" t="inlineStr">
        <is>
          <t>OUT</t>
        </is>
      </c>
      <c r="C1279" s="177" t="n">
        <v>46229.41666666666</v>
      </c>
      <c r="D1279" s="51" t="n">
        <v>0.09082175925925925</v>
      </c>
      <c r="E1279" s="13" t="n">
        <v>528000339</v>
      </c>
      <c r="F1279" s="13" t="inlineStr">
        <is>
          <t>Muhamad Ripai'i</t>
        </is>
      </c>
      <c r="G1279" s="13" t="inlineStr">
        <is>
          <t>Produksi</t>
        </is>
      </c>
      <c r="H1279" s="13" t="inlineStr">
        <is>
          <t>Istirahat</t>
        </is>
      </c>
    </row>
    <row r="1280">
      <c r="A1280" s="27" t="inlineStr">
        <is>
          <t>MK00112</t>
        </is>
      </c>
      <c r="B1280" s="13" t="inlineStr">
        <is>
          <t>OUT</t>
        </is>
      </c>
      <c r="C1280" s="177" t="n">
        <v>46229.41666666666</v>
      </c>
      <c r="D1280" s="51" t="n">
        <v>0.09200231481481481</v>
      </c>
      <c r="E1280" s="13" t="n">
        <v>528000289</v>
      </c>
      <c r="F1280" s="13" t="inlineStr">
        <is>
          <t>Adit Supriyadi</t>
        </is>
      </c>
      <c r="G1280" s="13" t="inlineStr">
        <is>
          <t>Produksi</t>
        </is>
      </c>
      <c r="H1280" s="13" t="inlineStr">
        <is>
          <t>Istirahat</t>
        </is>
      </c>
    </row>
    <row r="1281">
      <c r="A1281" s="27" t="inlineStr">
        <is>
          <t>MK00138</t>
        </is>
      </c>
      <c r="B1281" s="13" t="inlineStr">
        <is>
          <t>IN</t>
        </is>
      </c>
      <c r="C1281" s="177" t="n">
        <v>46229.41666666666</v>
      </c>
      <c r="D1281" s="51" t="n">
        <v>0.09609953703703704</v>
      </c>
      <c r="E1281" s="13" t="n">
        <v>528000241</v>
      </c>
      <c r="F1281" s="13" t="inlineStr">
        <is>
          <t>Balia Nurafif Bilah</t>
        </is>
      </c>
      <c r="G1281" s="13" t="inlineStr">
        <is>
          <t>Produksi</t>
        </is>
      </c>
      <c r="H1281" s="13" t="inlineStr">
        <is>
          <t>Istirahat</t>
        </is>
      </c>
    </row>
    <row r="1282">
      <c r="A1282" s="27" t="inlineStr">
        <is>
          <t>MK00209</t>
        </is>
      </c>
      <c r="B1282" s="13" t="inlineStr">
        <is>
          <t>OUT</t>
        </is>
      </c>
      <c r="C1282" s="177" t="n">
        <v>46229.41666666666</v>
      </c>
      <c r="D1282" s="51" t="n">
        <v>0.09707175925925926</v>
      </c>
      <c r="E1282" s="13" t="n">
        <v>528000325</v>
      </c>
      <c r="F1282" s="13" t="inlineStr">
        <is>
          <t>Rani Septia Ramadani</t>
        </is>
      </c>
      <c r="G1282" s="13" t="inlineStr">
        <is>
          <t>Produksi</t>
        </is>
      </c>
      <c r="H1282" s="13" t="inlineStr">
        <is>
          <t>Istirahat</t>
        </is>
      </c>
    </row>
    <row r="1283">
      <c r="A1283" s="27" t="inlineStr">
        <is>
          <t>MK00156</t>
        </is>
      </c>
      <c r="B1283" s="13" t="inlineStr">
        <is>
          <t>IN</t>
        </is>
      </c>
      <c r="C1283" s="177" t="n">
        <v>46229.41666666666</v>
      </c>
      <c r="D1283" s="51" t="n">
        <v>0.09744212962962963</v>
      </c>
      <c r="E1283" s="13" t="n">
        <v>528000274</v>
      </c>
      <c r="F1283" s="13" t="inlineStr">
        <is>
          <t>Zepri</t>
        </is>
      </c>
      <c r="G1283" s="13" t="inlineStr">
        <is>
          <t>Produksi</t>
        </is>
      </c>
      <c r="H1283" s="13" t="inlineStr">
        <is>
          <t>Istirahat</t>
        </is>
      </c>
    </row>
    <row r="1284">
      <c r="A1284" s="27" t="inlineStr">
        <is>
          <t>MK00208</t>
        </is>
      </c>
      <c r="B1284" s="13" t="inlineStr">
        <is>
          <t>IN</t>
        </is>
      </c>
      <c r="C1284" s="177" t="n">
        <v>46229.41666666666</v>
      </c>
      <c r="D1284" s="51" t="n">
        <v>0.1024305555555556</v>
      </c>
      <c r="E1284" s="13" t="n">
        <v>528000290</v>
      </c>
      <c r="F1284" s="13" t="inlineStr">
        <is>
          <t>Eval Pranata</t>
        </is>
      </c>
      <c r="G1284" s="13" t="inlineStr">
        <is>
          <t>Produksi</t>
        </is>
      </c>
      <c r="H1284" s="13" t="inlineStr">
        <is>
          <t>Istirahat</t>
        </is>
      </c>
    </row>
    <row r="1285">
      <c r="A1285" s="27" t="inlineStr">
        <is>
          <t>MK00202</t>
        </is>
      </c>
      <c r="B1285" s="13" t="inlineStr">
        <is>
          <t>IN</t>
        </is>
      </c>
      <c r="C1285" s="177" t="n">
        <v>46229.41666666666</v>
      </c>
      <c r="D1285" s="51" t="n">
        <v>0.1063657407407407</v>
      </c>
      <c r="E1285" s="13" t="n">
        <v>528000212</v>
      </c>
      <c r="F1285" s="13" t="inlineStr">
        <is>
          <t>Rizal Fauzi</t>
        </is>
      </c>
      <c r="G1285" s="13" t="inlineStr">
        <is>
          <t>Produksi</t>
        </is>
      </c>
      <c r="H1285" s="13" t="inlineStr">
        <is>
          <t>Istirahat</t>
        </is>
      </c>
    </row>
    <row r="1286">
      <c r="A1286" s="27" t="inlineStr">
        <is>
          <t>MK00181</t>
        </is>
      </c>
      <c r="B1286" s="13" t="inlineStr">
        <is>
          <t>OUT</t>
        </is>
      </c>
      <c r="C1286" s="177" t="n">
        <v>46229.41666666666</v>
      </c>
      <c r="D1286" s="51" t="n">
        <v>0.1080208333333333</v>
      </c>
      <c r="E1286" s="13" t="n">
        <v>528000090</v>
      </c>
      <c r="F1286" s="13" t="inlineStr">
        <is>
          <t>Suganda</t>
        </is>
      </c>
      <c r="G1286" s="13" t="inlineStr">
        <is>
          <t>Produksi</t>
        </is>
      </c>
      <c r="H1286" s="13" t="inlineStr">
        <is>
          <t>Istirahat</t>
        </is>
      </c>
    </row>
    <row r="1287">
      <c r="A1287" s="27" t="inlineStr">
        <is>
          <t>MK00008</t>
        </is>
      </c>
      <c r="B1287" s="13" t="inlineStr">
        <is>
          <t>IN</t>
        </is>
      </c>
      <c r="C1287" s="177" t="n">
        <v>46229.41666666666</v>
      </c>
      <c r="D1287" s="51" t="n">
        <v>0.1144328703703704</v>
      </c>
      <c r="E1287" s="13" t="n">
        <v>528000339</v>
      </c>
      <c r="F1287" s="13" t="inlineStr">
        <is>
          <t>Muhamad Ripai'i</t>
        </is>
      </c>
      <c r="G1287" s="13" t="inlineStr">
        <is>
          <t>Produksi</t>
        </is>
      </c>
      <c r="H1287" s="13" t="inlineStr">
        <is>
          <t>Istirahat</t>
        </is>
      </c>
    </row>
    <row r="1288">
      <c r="A1288" s="27" t="inlineStr">
        <is>
          <t>MK00212</t>
        </is>
      </c>
      <c r="B1288" s="13" t="inlineStr">
        <is>
          <t>OUT</t>
        </is>
      </c>
      <c r="C1288" s="177" t="n">
        <v>46229.41666666666</v>
      </c>
      <c r="D1288" s="51" t="n">
        <v>0.1152430555555556</v>
      </c>
      <c r="E1288" s="13" t="n">
        <v>528000286</v>
      </c>
      <c r="F1288" s="13" t="inlineStr">
        <is>
          <t>Imelda Amelia</t>
        </is>
      </c>
      <c r="G1288" s="13" t="inlineStr">
        <is>
          <t>Produksi</t>
        </is>
      </c>
      <c r="H1288" s="13" t="inlineStr">
        <is>
          <t>Istirahat</t>
        </is>
      </c>
    </row>
    <row r="1289">
      <c r="A1289" s="27" t="inlineStr">
        <is>
          <t>MK00249</t>
        </is>
      </c>
      <c r="B1289" s="13" t="inlineStr">
        <is>
          <t>OUT</t>
        </is>
      </c>
      <c r="C1289" s="177" t="n">
        <v>46229.41666666666</v>
      </c>
      <c r="D1289" s="51" t="n">
        <v>0.115474537037037</v>
      </c>
      <c r="E1289" s="13" t="n">
        <v>528000201</v>
      </c>
      <c r="F1289" s="13" t="inlineStr">
        <is>
          <t>Zahwa Amelia Choerunissa</t>
        </is>
      </c>
      <c r="G1289" s="13" t="inlineStr">
        <is>
          <t>Produksi</t>
        </is>
      </c>
      <c r="H1289" s="13" t="inlineStr">
        <is>
          <t>Istirahat</t>
        </is>
      </c>
    </row>
    <row r="1290">
      <c r="A1290" s="27" t="inlineStr">
        <is>
          <t>MK00209</t>
        </is>
      </c>
      <c r="B1290" s="13" t="inlineStr">
        <is>
          <t>IN</t>
        </is>
      </c>
      <c r="C1290" s="177" t="n">
        <v>46229.41666666666</v>
      </c>
      <c r="D1290" s="51" t="n">
        <v>0.1208912037037037</v>
      </c>
      <c r="E1290" s="13" t="n">
        <v>528000325</v>
      </c>
      <c r="F1290" s="13" t="inlineStr">
        <is>
          <t>Rani Septia Ramadani</t>
        </is>
      </c>
      <c r="G1290" s="13" t="inlineStr">
        <is>
          <t>Produksi</t>
        </is>
      </c>
      <c r="H1290" s="13" t="inlineStr">
        <is>
          <t>Istirahat</t>
        </is>
      </c>
    </row>
    <row r="1291">
      <c r="A1291" s="27" t="inlineStr">
        <is>
          <t>MK00112</t>
        </is>
      </c>
      <c r="B1291" s="13" t="inlineStr">
        <is>
          <t>IN</t>
        </is>
      </c>
      <c r="C1291" s="177" t="n">
        <v>46229.41666666666</v>
      </c>
      <c r="D1291" s="51" t="n">
        <v>0.1211458333333333</v>
      </c>
      <c r="E1291" s="13" t="n">
        <v>528000289</v>
      </c>
      <c r="F1291" s="13" t="inlineStr">
        <is>
          <t>Adit Supriyadi</t>
        </is>
      </c>
      <c r="G1291" s="13" t="inlineStr">
        <is>
          <t>Produksi</t>
        </is>
      </c>
      <c r="H1291" s="13" t="inlineStr">
        <is>
          <t>Istirahat</t>
        </is>
      </c>
    </row>
    <row r="1292">
      <c r="A1292" s="27" t="inlineStr">
        <is>
          <t>MK00156</t>
        </is>
      </c>
      <c r="B1292" s="13" t="inlineStr">
        <is>
          <t>OUT</t>
        </is>
      </c>
      <c r="C1292" s="177" t="n">
        <v>46229.41666666666</v>
      </c>
      <c r="D1292" s="51" t="n">
        <v>0.1213310185185185</v>
      </c>
      <c r="E1292" s="13" t="n">
        <v>528000274</v>
      </c>
      <c r="F1292" s="13" t="inlineStr">
        <is>
          <t>Zepri</t>
        </is>
      </c>
      <c r="G1292" s="13" t="inlineStr">
        <is>
          <t>Produksi</t>
        </is>
      </c>
      <c r="H1292" s="13" t="inlineStr">
        <is>
          <t>Istirahat</t>
        </is>
      </c>
    </row>
    <row r="1293">
      <c r="A1293" s="27" t="inlineStr">
        <is>
          <t>MK00181</t>
        </is>
      </c>
      <c r="B1293" s="13" t="inlineStr">
        <is>
          <t>IN</t>
        </is>
      </c>
      <c r="C1293" s="177" t="n">
        <v>46229.41666666666</v>
      </c>
      <c r="D1293" s="51" t="n">
        <v>0.1325231481481481</v>
      </c>
      <c r="E1293" s="13" t="n">
        <v>528000090</v>
      </c>
      <c r="F1293" s="13" t="inlineStr">
        <is>
          <t>Suganda</t>
        </is>
      </c>
      <c r="G1293" s="13" t="inlineStr">
        <is>
          <t>Produksi</t>
        </is>
      </c>
      <c r="H1293" s="13" t="inlineStr">
        <is>
          <t>Istirahat</t>
        </is>
      </c>
    </row>
    <row r="1294">
      <c r="A1294" s="27" t="inlineStr">
        <is>
          <t>MK00109</t>
        </is>
      </c>
      <c r="B1294" s="13" t="inlineStr">
        <is>
          <t>IN</t>
        </is>
      </c>
      <c r="C1294" s="177" t="n">
        <v>46229.41666666666</v>
      </c>
      <c r="D1294" s="51" t="n">
        <v>0.1326851851851852</v>
      </c>
      <c r="E1294" s="13" t="n">
        <v>528000244</v>
      </c>
      <c r="F1294" s="13" t="inlineStr">
        <is>
          <t>Rodian Rifai</t>
        </is>
      </c>
      <c r="G1294" s="13" t="inlineStr">
        <is>
          <t>Produksi</t>
        </is>
      </c>
      <c r="H1294" s="13" t="inlineStr">
        <is>
          <t>Istirahat</t>
        </is>
      </c>
    </row>
    <row r="1295">
      <c r="A1295" s="27" t="inlineStr">
        <is>
          <t>MK00249</t>
        </is>
      </c>
      <c r="B1295" s="13" t="inlineStr">
        <is>
          <t>IN</t>
        </is>
      </c>
      <c r="C1295" s="177" t="n">
        <v>46229.41666666666</v>
      </c>
      <c r="D1295" s="51" t="n">
        <v>0.1388310185185185</v>
      </c>
      <c r="E1295" s="13" t="n">
        <v>528000201</v>
      </c>
      <c r="F1295" s="13" t="inlineStr">
        <is>
          <t>Zahwa Amelia Choerunissa</t>
        </is>
      </c>
      <c r="G1295" s="13" t="inlineStr">
        <is>
          <t>Produksi</t>
        </is>
      </c>
      <c r="H1295" s="13" t="inlineStr">
        <is>
          <t>Istirahat</t>
        </is>
      </c>
    </row>
    <row r="1296">
      <c r="A1296" s="27" t="inlineStr">
        <is>
          <t>MK00109</t>
        </is>
      </c>
      <c r="B1296" s="13" t="inlineStr">
        <is>
          <t>OUT</t>
        </is>
      </c>
      <c r="C1296" s="177" t="n">
        <v>46229.41666666666</v>
      </c>
      <c r="D1296" s="51" t="n">
        <v>0.1556712962962963</v>
      </c>
      <c r="E1296" s="13" t="n">
        <v>528000244</v>
      </c>
      <c r="F1296" s="13" t="inlineStr">
        <is>
          <t>Rodian Rifai</t>
        </is>
      </c>
      <c r="G1296" s="13" t="inlineStr">
        <is>
          <t>Produksi</t>
        </is>
      </c>
      <c r="H1296" s="13" t="inlineStr">
        <is>
          <t>Istirahat</t>
        </is>
      </c>
    </row>
    <row r="1297">
      <c r="A1297" s="27" t="inlineStr">
        <is>
          <t>MK00185</t>
        </is>
      </c>
      <c r="B1297" s="13" t="inlineStr">
        <is>
          <t>OUT</t>
        </is>
      </c>
      <c r="C1297" s="177" t="n">
        <v>46229.41666666666</v>
      </c>
      <c r="D1297" s="51" t="n">
        <v>0.391724537037037</v>
      </c>
      <c r="E1297" s="13" t="n">
        <v>528000195</v>
      </c>
      <c r="F1297" s="13" t="inlineStr">
        <is>
          <t>Rahma Sariwati</t>
        </is>
      </c>
      <c r="G1297" s="13" t="inlineStr">
        <is>
          <t>Produksi</t>
        </is>
      </c>
      <c r="H1297" s="13" t="inlineStr">
        <is>
          <t>Istirahat</t>
        </is>
      </c>
    </row>
    <row r="1298">
      <c r="A1298" s="27" t="inlineStr">
        <is>
          <t>MK00090</t>
        </is>
      </c>
      <c r="B1298" s="13" t="inlineStr">
        <is>
          <t>OUT</t>
        </is>
      </c>
      <c r="C1298" s="177" t="n">
        <v>46229.41666666666</v>
      </c>
      <c r="D1298" s="51" t="n">
        <v>0.3918865740740741</v>
      </c>
      <c r="E1298" s="13" t="n">
        <v>528000306</v>
      </c>
      <c r="F1298" s="13" t="inlineStr">
        <is>
          <t>Windy Olivia</t>
        </is>
      </c>
      <c r="G1298" s="13" t="inlineStr">
        <is>
          <t>Produksi</t>
        </is>
      </c>
      <c r="H1298" s="13" t="inlineStr">
        <is>
          <t>Istirahat</t>
        </is>
      </c>
    </row>
    <row r="1299">
      <c r="A1299" s="27" t="inlineStr">
        <is>
          <t>MK00136</t>
        </is>
      </c>
      <c r="B1299" s="13" t="inlineStr">
        <is>
          <t>OUT</t>
        </is>
      </c>
      <c r="C1299" s="177" t="n">
        <v>46229.41666666666</v>
      </c>
      <c r="D1299" s="51" t="n">
        <v>0.392037037037037</v>
      </c>
      <c r="E1299" s="13" t="n">
        <v>528000262</v>
      </c>
      <c r="F1299" s="13" t="inlineStr">
        <is>
          <t>Ndari Dwiwanti</t>
        </is>
      </c>
      <c r="G1299" s="13" t="inlineStr">
        <is>
          <t>Produksi</t>
        </is>
      </c>
      <c r="H1299" s="13" t="inlineStr">
        <is>
          <t>Istirahat</t>
        </is>
      </c>
    </row>
    <row r="1300">
      <c r="A1300" s="27" t="inlineStr">
        <is>
          <t>MK00249</t>
        </is>
      </c>
      <c r="B1300" s="13" t="inlineStr">
        <is>
          <t>OUT</t>
        </is>
      </c>
      <c r="C1300" s="177" t="n">
        <v>46229.41666666666</v>
      </c>
      <c r="D1300" s="51" t="n">
        <v>0.4081134259259259</v>
      </c>
      <c r="E1300" s="13" t="n">
        <v>528000340</v>
      </c>
      <c r="F1300" s="13" t="inlineStr">
        <is>
          <t>Muhammad Wildan Adithya</t>
        </is>
      </c>
      <c r="G1300" s="13" t="inlineStr">
        <is>
          <t>Produksi</t>
        </is>
      </c>
      <c r="H1300" s="13" t="inlineStr">
        <is>
          <t>Istirahat</t>
        </is>
      </c>
    </row>
    <row r="1301">
      <c r="A1301" s="27" t="inlineStr">
        <is>
          <t>MK00184</t>
        </is>
      </c>
      <c r="B1301" s="13" t="inlineStr">
        <is>
          <t>OUT</t>
        </is>
      </c>
      <c r="C1301" s="177" t="n">
        <v>46229.41666666666</v>
      </c>
      <c r="D1301" s="51" t="n">
        <v>0.4089236111111111</v>
      </c>
      <c r="E1301" s="13" t="n">
        <v>528000266</v>
      </c>
      <c r="F1301" s="13" t="inlineStr">
        <is>
          <t>M. Syirajatieq</t>
        </is>
      </c>
      <c r="G1301" s="13" t="inlineStr">
        <is>
          <t>Produksi</t>
        </is>
      </c>
      <c r="H1301" s="13" t="inlineStr">
        <is>
          <t>Istirahat</t>
        </is>
      </c>
    </row>
    <row r="1302">
      <c r="A1302" s="27" t="inlineStr">
        <is>
          <t>MK00185</t>
        </is>
      </c>
      <c r="B1302" s="13" t="inlineStr">
        <is>
          <t>IN</t>
        </is>
      </c>
      <c r="C1302" s="177" t="n">
        <v>46229.41666666666</v>
      </c>
      <c r="D1302" s="51" t="n">
        <v>0.4090972222222222</v>
      </c>
      <c r="E1302" s="13" t="n">
        <v>528000195</v>
      </c>
      <c r="F1302" s="13" t="inlineStr">
        <is>
          <t>Rahma Sariwati</t>
        </is>
      </c>
      <c r="G1302" s="13" t="inlineStr">
        <is>
          <t>Produksi</t>
        </is>
      </c>
      <c r="H1302" s="13" t="inlineStr">
        <is>
          <t>Istirahat</t>
        </is>
      </c>
    </row>
    <row r="1303">
      <c r="A1303" s="27" t="inlineStr">
        <is>
          <t>MK00136</t>
        </is>
      </c>
      <c r="B1303" s="13" t="inlineStr">
        <is>
          <t>IN</t>
        </is>
      </c>
      <c r="C1303" s="177" t="n">
        <v>46229.41666666666</v>
      </c>
      <c r="D1303" s="51" t="n">
        <v>0.4094328703703703</v>
      </c>
      <c r="E1303" s="13" t="n">
        <v>528000262</v>
      </c>
      <c r="F1303" s="13" t="inlineStr">
        <is>
          <t>Ndari Dwiwanti</t>
        </is>
      </c>
      <c r="G1303" s="13" t="inlineStr">
        <is>
          <t>Produksi</t>
        </is>
      </c>
      <c r="H1303" s="13" t="inlineStr">
        <is>
          <t>Istirahat</t>
        </is>
      </c>
    </row>
    <row r="1304">
      <c r="A1304" s="27" t="inlineStr">
        <is>
          <t>MK00090</t>
        </is>
      </c>
      <c r="B1304" s="13" t="inlineStr">
        <is>
          <t>IN</t>
        </is>
      </c>
      <c r="C1304" s="177" t="n">
        <v>46229.41666666666</v>
      </c>
      <c r="D1304" s="51" t="n">
        <v>0.4096527777777778</v>
      </c>
      <c r="E1304" s="13" t="n">
        <v>528000306</v>
      </c>
      <c r="F1304" s="13" t="inlineStr">
        <is>
          <t>Windy Olivia</t>
        </is>
      </c>
      <c r="G1304" s="13" t="inlineStr">
        <is>
          <t>Produksi</t>
        </is>
      </c>
      <c r="H1304" s="13" t="inlineStr">
        <is>
          <t>Istirahat</t>
        </is>
      </c>
    </row>
    <row r="1305">
      <c r="A1305" s="27" t="inlineStr">
        <is>
          <t>MK00184</t>
        </is>
      </c>
      <c r="B1305" s="13" t="inlineStr">
        <is>
          <t>OUT</t>
        </is>
      </c>
      <c r="C1305" s="177" t="n">
        <v>46229.41666666666</v>
      </c>
      <c r="D1305" s="51" t="n">
        <v>0.4098958333333333</v>
      </c>
      <c r="E1305" s="13" t="n">
        <v>528000266</v>
      </c>
      <c r="F1305" s="13" t="inlineStr">
        <is>
          <t>M. Syirajatieq</t>
        </is>
      </c>
      <c r="G1305" s="13" t="inlineStr">
        <is>
          <t>Produksi</t>
        </is>
      </c>
      <c r="H1305" s="13" t="inlineStr">
        <is>
          <t>Istirahat</t>
        </is>
      </c>
    </row>
    <row r="1306">
      <c r="A1306" s="27" t="inlineStr">
        <is>
          <t>MK00085</t>
        </is>
      </c>
      <c r="B1306" s="13" t="inlineStr">
        <is>
          <t>OUT</t>
        </is>
      </c>
      <c r="C1306" s="177" t="n">
        <v>46229.41666666666</v>
      </c>
      <c r="D1306" s="51" t="n">
        <v>0.4191319444444445</v>
      </c>
      <c r="E1306" s="13" t="n">
        <v>528000298</v>
      </c>
      <c r="F1306" s="13" t="inlineStr">
        <is>
          <t>Desta Cahaya Pratama</t>
        </is>
      </c>
      <c r="G1306" s="13" t="inlineStr">
        <is>
          <t>Produksi</t>
        </is>
      </c>
      <c r="H1306" s="13" t="inlineStr">
        <is>
          <t>Istirahat</t>
        </is>
      </c>
    </row>
    <row r="1307">
      <c r="A1307" s="27" t="inlineStr">
        <is>
          <t>MK00230</t>
        </is>
      </c>
      <c r="B1307" s="13" t="inlineStr">
        <is>
          <t>OUT</t>
        </is>
      </c>
      <c r="C1307" s="177" t="n">
        <v>46229.41666666666</v>
      </c>
      <c r="D1307" s="51" t="n">
        <v>0.4192939814814815</v>
      </c>
      <c r="E1307" s="13" t="n">
        <v>528000291</v>
      </c>
      <c r="F1307" s="13" t="inlineStr">
        <is>
          <t>Andrian</t>
        </is>
      </c>
      <c r="G1307" s="13" t="inlineStr">
        <is>
          <t>Produksi</t>
        </is>
      </c>
      <c r="H1307" s="13" t="inlineStr">
        <is>
          <t>Istirahat</t>
        </is>
      </c>
    </row>
    <row r="1308">
      <c r="A1308" s="27" t="inlineStr">
        <is>
          <t>MK00210</t>
        </is>
      </c>
      <c r="B1308" s="13" t="inlineStr">
        <is>
          <t>OUT</t>
        </is>
      </c>
      <c r="C1308" s="177" t="n">
        <v>46229.41666666666</v>
      </c>
      <c r="D1308" s="51" t="n">
        <v>0.4281134259259259</v>
      </c>
      <c r="E1308" s="13" t="n">
        <v>528000337</v>
      </c>
      <c r="F1308" s="13" t="inlineStr">
        <is>
          <t>Ahmad Zaldi Firdaus</t>
        </is>
      </c>
      <c r="G1308" s="13" t="inlineStr">
        <is>
          <t>Produksi</t>
        </is>
      </c>
      <c r="H1308" s="13" t="inlineStr">
        <is>
          <t>Istirahat</t>
        </is>
      </c>
    </row>
    <row r="1309">
      <c r="A1309" s="27" t="inlineStr">
        <is>
          <t>MK00249</t>
        </is>
      </c>
      <c r="B1309" s="13" t="inlineStr">
        <is>
          <t>IN</t>
        </is>
      </c>
      <c r="C1309" s="177" t="n">
        <v>46229.41666666666</v>
      </c>
      <c r="D1309" s="51" t="n">
        <v>0.4316087962962963</v>
      </c>
      <c r="E1309" s="13" t="n">
        <v>528000340</v>
      </c>
      <c r="F1309" s="13" t="inlineStr">
        <is>
          <t>Muhammad Wildan Adithya</t>
        </is>
      </c>
      <c r="G1309" s="13" t="inlineStr">
        <is>
          <t>Produksi</t>
        </is>
      </c>
      <c r="H1309" s="13" t="inlineStr">
        <is>
          <t>Istirahat</t>
        </is>
      </c>
    </row>
    <row r="1310">
      <c r="A1310" s="27" t="inlineStr">
        <is>
          <t>MK00192</t>
        </is>
      </c>
      <c r="B1310" s="13" t="inlineStr">
        <is>
          <t>OUT</t>
        </is>
      </c>
      <c r="C1310" s="177" t="n">
        <v>46229.41666666666</v>
      </c>
      <c r="D1310" s="51" t="n">
        <v>0.4346064814814815</v>
      </c>
      <c r="E1310" s="13" t="n">
        <v>528000358</v>
      </c>
      <c r="F1310" s="13" t="inlineStr">
        <is>
          <t>Lulu Agustin</t>
        </is>
      </c>
      <c r="G1310" s="13" t="inlineStr">
        <is>
          <t>Produksi</t>
        </is>
      </c>
      <c r="H1310" s="13" t="inlineStr">
        <is>
          <t>Istirahat</t>
        </is>
      </c>
    </row>
    <row r="1311">
      <c r="A1311" s="27" t="inlineStr">
        <is>
          <t>MK00210</t>
        </is>
      </c>
      <c r="B1311" s="13" t="inlineStr">
        <is>
          <t>IN</t>
        </is>
      </c>
      <c r="C1311" s="177" t="n">
        <v>46229.41666666666</v>
      </c>
      <c r="D1311" s="51" t="n">
        <v>0.4514467592592593</v>
      </c>
      <c r="E1311" s="13" t="n">
        <v>528000337</v>
      </c>
      <c r="F1311" s="13" t="inlineStr">
        <is>
          <t>Ahmad Zaldi Firdaus</t>
        </is>
      </c>
      <c r="G1311" s="13" t="inlineStr">
        <is>
          <t>Produksi</t>
        </is>
      </c>
      <c r="H1311" s="13" t="inlineStr">
        <is>
          <t>Istirahat</t>
        </is>
      </c>
    </row>
    <row r="1312">
      <c r="A1312" s="27" t="inlineStr">
        <is>
          <t>MK00230</t>
        </is>
      </c>
      <c r="B1312" s="13" t="inlineStr">
        <is>
          <t>IN</t>
        </is>
      </c>
      <c r="C1312" s="177" t="n">
        <v>46229.41666666666</v>
      </c>
      <c r="D1312" s="51" t="n">
        <v>0.4518287037037037</v>
      </c>
      <c r="E1312" s="13" t="n">
        <v>528000291</v>
      </c>
      <c r="F1312" s="13" t="inlineStr">
        <is>
          <t>Andrian</t>
        </is>
      </c>
      <c r="G1312" s="13" t="inlineStr">
        <is>
          <t>Produksi</t>
        </is>
      </c>
      <c r="H1312" s="13" t="inlineStr">
        <is>
          <t>Istirahat</t>
        </is>
      </c>
    </row>
    <row r="1313">
      <c r="A1313" s="27" t="inlineStr">
        <is>
          <t>MK00192</t>
        </is>
      </c>
      <c r="B1313" s="13" t="inlineStr">
        <is>
          <t>IN</t>
        </is>
      </c>
      <c r="C1313" s="177" t="n">
        <v>46229.41666666666</v>
      </c>
      <c r="D1313" s="51" t="n">
        <v>0.4582060185185185</v>
      </c>
      <c r="E1313" s="13" t="n">
        <v>528000358</v>
      </c>
      <c r="F1313" s="13" t="inlineStr">
        <is>
          <t>Lulu Agustin</t>
        </is>
      </c>
      <c r="G1313" s="13" t="inlineStr">
        <is>
          <t>Produksi</t>
        </is>
      </c>
      <c r="H1313" s="13" t="inlineStr">
        <is>
          <t>Istirahat</t>
        </is>
      </c>
    </row>
    <row r="1314">
      <c r="A1314" s="27" t="inlineStr">
        <is>
          <t>MK00235</t>
        </is>
      </c>
      <c r="B1314" s="13" t="inlineStr">
        <is>
          <t>OUT</t>
        </is>
      </c>
      <c r="C1314" s="177" t="n">
        <v>46229.41666666666</v>
      </c>
      <c r="D1314" s="51" t="n">
        <v>0.7350578703703704</v>
      </c>
      <c r="E1314" s="13" t="n">
        <v>528000248</v>
      </c>
      <c r="F1314" s="13" t="inlineStr">
        <is>
          <t>Roka Jaya Salka Mulya</t>
        </is>
      </c>
      <c r="G1314" s="13" t="inlineStr">
        <is>
          <t>Produksi</t>
        </is>
      </c>
      <c r="H1314" s="13" t="inlineStr">
        <is>
          <t>Istirahat</t>
        </is>
      </c>
    </row>
    <row r="1315">
      <c r="A1315" s="27" t="inlineStr">
        <is>
          <t>MK00235</t>
        </is>
      </c>
      <c r="B1315" s="13" t="inlineStr">
        <is>
          <t>IN</t>
        </is>
      </c>
      <c r="C1315" s="177" t="n">
        <v>46229.41666666666</v>
      </c>
      <c r="D1315" s="51" t="n">
        <v>0.7547337962962963</v>
      </c>
      <c r="E1315" s="13" t="n">
        <v>528000248</v>
      </c>
      <c r="F1315" s="13" t="inlineStr">
        <is>
          <t>Roka Jaya Salka Mulya</t>
        </is>
      </c>
      <c r="G1315" s="13" t="inlineStr">
        <is>
          <t>Produksi</t>
        </is>
      </c>
      <c r="H1315" s="13" t="inlineStr">
        <is>
          <t>Istirahat</t>
        </is>
      </c>
    </row>
    <row r="1316">
      <c r="A1316" s="27" t="inlineStr">
        <is>
          <t>MK00160</t>
        </is>
      </c>
      <c r="B1316" s="13" t="inlineStr">
        <is>
          <t>IN</t>
        </is>
      </c>
      <c r="C1316" s="177" t="n">
        <v>46229.41666666666</v>
      </c>
      <c r="D1316" s="51" t="n">
        <v>0.7548611111111111</v>
      </c>
      <c r="E1316" s="13" t="n">
        <v>528000324</v>
      </c>
      <c r="F1316" s="13" t="inlineStr">
        <is>
          <t>Sri Yanti</t>
        </is>
      </c>
      <c r="G1316" s="13" t="inlineStr">
        <is>
          <t>Produksi</t>
        </is>
      </c>
      <c r="H1316" s="13" t="inlineStr">
        <is>
          <t>Istirahat</t>
        </is>
      </c>
    </row>
    <row r="1317">
      <c r="A1317" s="27" t="inlineStr">
        <is>
          <t>MK00134</t>
        </is>
      </c>
      <c r="B1317" s="13" t="inlineStr">
        <is>
          <t>OUT</t>
        </is>
      </c>
      <c r="C1317" s="177" t="n">
        <v>46229.41666666666</v>
      </c>
      <c r="D1317" s="51" t="n">
        <v>0.7556481481481482</v>
      </c>
      <c r="E1317" s="13" t="n">
        <v>528000288</v>
      </c>
      <c r="F1317" s="13" t="inlineStr">
        <is>
          <t>Dede gunawan</t>
        </is>
      </c>
      <c r="G1317" s="13" t="inlineStr">
        <is>
          <t>Produksi</t>
        </is>
      </c>
      <c r="H1317" s="13" t="inlineStr">
        <is>
          <t>Istirahat</t>
        </is>
      </c>
    </row>
    <row r="1318">
      <c r="A1318" s="27" t="inlineStr">
        <is>
          <t>MK00134</t>
        </is>
      </c>
      <c r="B1318" s="13" t="inlineStr">
        <is>
          <t>IN</t>
        </is>
      </c>
      <c r="C1318" s="177" t="n">
        <v>46229.41666666666</v>
      </c>
      <c r="D1318" s="51" t="n">
        <v>0.7742013888888889</v>
      </c>
      <c r="E1318" s="13" t="n">
        <v>528000288</v>
      </c>
      <c r="F1318" s="13" t="inlineStr">
        <is>
          <t>Dede gunawan</t>
        </is>
      </c>
      <c r="G1318" s="13" t="inlineStr">
        <is>
          <t>Produksi</t>
        </is>
      </c>
      <c r="H1318" s="13" t="inlineStr">
        <is>
          <t>Istirahat</t>
        </is>
      </c>
    </row>
    <row r="1319">
      <c r="A1319" s="27" t="inlineStr">
        <is>
          <t>MK00154</t>
        </is>
      </c>
      <c r="B1319" s="13" t="inlineStr">
        <is>
          <t>OUT</t>
        </is>
      </c>
      <c r="C1319" s="177" t="n">
        <v>46229.41666666666</v>
      </c>
      <c r="D1319" s="51" t="n">
        <v>0.7787847222222222</v>
      </c>
      <c r="E1319" s="13" t="n">
        <v>528000300</v>
      </c>
      <c r="F1319" s="13" t="inlineStr">
        <is>
          <t>Lia pitaloka</t>
        </is>
      </c>
      <c r="G1319" s="13" t="inlineStr">
        <is>
          <t>Produksi</t>
        </is>
      </c>
      <c r="H1319" s="13" t="inlineStr">
        <is>
          <t>Istirahat</t>
        </is>
      </c>
    </row>
    <row r="1320">
      <c r="A1320" s="27" t="inlineStr">
        <is>
          <t>MK00213</t>
        </is>
      </c>
      <c r="B1320" s="13" t="inlineStr">
        <is>
          <t>OUT</t>
        </is>
      </c>
      <c r="C1320" s="177" t="n">
        <v>46229.41666666666</v>
      </c>
      <c r="D1320" s="51" t="n">
        <v>0.778900462962963</v>
      </c>
      <c r="E1320" s="13" t="n">
        <v>528000279</v>
      </c>
      <c r="F1320" s="13" t="inlineStr">
        <is>
          <t>Mahdalena Dalfa Riani</t>
        </is>
      </c>
      <c r="G1320" s="13" t="inlineStr">
        <is>
          <t>Produksi</t>
        </is>
      </c>
      <c r="H1320" s="13" t="inlineStr">
        <is>
          <t>Istirahat</t>
        </is>
      </c>
    </row>
    <row r="1321">
      <c r="A1321" s="27" t="inlineStr">
        <is>
          <t>MK00121</t>
        </is>
      </c>
      <c r="B1321" s="13" t="inlineStr">
        <is>
          <t>OUT</t>
        </is>
      </c>
      <c r="C1321" s="177" t="n">
        <v>46229.41666666666</v>
      </c>
      <c r="D1321" s="51" t="n">
        <v>0.786863425925926</v>
      </c>
      <c r="E1321" s="13" t="n">
        <v>628000064</v>
      </c>
      <c r="F1321" s="13" t="inlineStr">
        <is>
          <t>Silva Alypia</t>
        </is>
      </c>
      <c r="G1321" s="13" t="inlineStr">
        <is>
          <t>Produksi</t>
        </is>
      </c>
      <c r="H1321" s="13" t="inlineStr">
        <is>
          <t>Istirahat</t>
        </is>
      </c>
    </row>
    <row r="1322">
      <c r="A1322" s="27" t="inlineStr">
        <is>
          <t>MK00217</t>
        </is>
      </c>
      <c r="B1322" s="13" t="inlineStr">
        <is>
          <t>OUT</t>
        </is>
      </c>
      <c r="C1322" s="177" t="n">
        <v>46229.41666666666</v>
      </c>
      <c r="D1322" s="51" t="n">
        <v>0.867175925925926</v>
      </c>
      <c r="E1322" s="13" t="n">
        <v>528000297</v>
      </c>
      <c r="F1322" s="13" t="inlineStr">
        <is>
          <t>Muhamad Budiana</t>
        </is>
      </c>
      <c r="G1322" s="13" t="inlineStr">
        <is>
          <t>Produksi</t>
        </is>
      </c>
      <c r="H1322" s="13" t="n"/>
    </row>
    <row r="1323">
      <c r="A1323" s="27" t="inlineStr">
        <is>
          <t>MK00181</t>
        </is>
      </c>
      <c r="B1323" s="13" t="inlineStr">
        <is>
          <t>OUT</t>
        </is>
      </c>
      <c r="C1323" s="177" t="n">
        <v>46230.41666666666</v>
      </c>
      <c r="D1323" s="51" t="n">
        <v>0.0758912037037037</v>
      </c>
      <c r="E1323" s="13" t="n">
        <v>528000274</v>
      </c>
      <c r="F1323" s="13" t="inlineStr">
        <is>
          <t>Zepri</t>
        </is>
      </c>
      <c r="G1323" s="13" t="inlineStr">
        <is>
          <t>Produksi</t>
        </is>
      </c>
      <c r="H1323" s="13" t="n"/>
    </row>
    <row r="1324">
      <c r="A1324" s="27" t="inlineStr">
        <is>
          <t>MK00112</t>
        </is>
      </c>
      <c r="B1324" s="13" t="inlineStr">
        <is>
          <t>OUT</t>
        </is>
      </c>
      <c r="C1324" s="177" t="n">
        <v>46230.41666666666</v>
      </c>
      <c r="D1324" s="51" t="n">
        <v>0.09416666666666666</v>
      </c>
      <c r="E1324" s="13" t="n">
        <v>528000090</v>
      </c>
      <c r="F1324" s="13" t="inlineStr">
        <is>
          <t>Suganda</t>
        </is>
      </c>
      <c r="G1324" s="13" t="inlineStr">
        <is>
          <t>Produksi</t>
        </is>
      </c>
      <c r="H1324" s="13" t="n"/>
    </row>
    <row r="1325">
      <c r="A1325" s="27" t="inlineStr">
        <is>
          <t>MK00208</t>
        </is>
      </c>
      <c r="B1325" s="13" t="inlineStr">
        <is>
          <t>OUT</t>
        </is>
      </c>
      <c r="C1325" s="177" t="n">
        <v>46230.41666666666</v>
      </c>
      <c r="D1325" s="51" t="n">
        <v>0.09431712962962963</v>
      </c>
      <c r="E1325" s="13" t="n">
        <v>528000241</v>
      </c>
      <c r="F1325" s="13" t="inlineStr">
        <is>
          <t>Balia Nurafif Bilah</t>
        </is>
      </c>
      <c r="G1325" s="13" t="inlineStr">
        <is>
          <t>Produksi</t>
        </is>
      </c>
      <c r="H1325" s="13" t="n"/>
    </row>
    <row r="1326">
      <c r="A1326" s="27" t="inlineStr">
        <is>
          <t>MK00181</t>
        </is>
      </c>
      <c r="B1326" s="13" t="inlineStr">
        <is>
          <t>IN</t>
        </is>
      </c>
      <c r="C1326" s="177" t="n">
        <v>46230.41666666666</v>
      </c>
      <c r="D1326" s="51" t="n">
        <v>0.1011574074074074</v>
      </c>
      <c r="E1326" s="13" t="n">
        <v>528000274</v>
      </c>
      <c r="F1326" s="13" t="inlineStr">
        <is>
          <t>Zepri</t>
        </is>
      </c>
      <c r="G1326" s="13" t="inlineStr">
        <is>
          <t>Produksi</t>
        </is>
      </c>
      <c r="H1326" s="13" t="n"/>
    </row>
    <row r="1327">
      <c r="A1327" s="27" t="inlineStr">
        <is>
          <t>MK00202</t>
        </is>
      </c>
      <c r="B1327" s="13" t="inlineStr">
        <is>
          <t>OUT</t>
        </is>
      </c>
      <c r="C1327" s="177" t="n">
        <v>46230.41666666666</v>
      </c>
      <c r="D1327" s="51" t="n">
        <v>0.1015393518518519</v>
      </c>
      <c r="E1327" s="13" t="n">
        <v>528000201</v>
      </c>
      <c r="F1327" s="13" t="inlineStr">
        <is>
          <t>Zahwa Amelia Choerunissa</t>
        </is>
      </c>
      <c r="G1327" s="13" t="inlineStr">
        <is>
          <t>Produksi</t>
        </is>
      </c>
      <c r="H1327" s="13" t="n"/>
    </row>
    <row r="1328">
      <c r="A1328" s="27" t="inlineStr">
        <is>
          <t>MK00202</t>
        </is>
      </c>
      <c r="B1328" s="13" t="inlineStr">
        <is>
          <t>IN</t>
        </is>
      </c>
      <c r="C1328" s="177" t="n">
        <v>46230.41666666666</v>
      </c>
      <c r="D1328" s="51" t="n">
        <v>0.1017824074074074</v>
      </c>
      <c r="E1328" s="13" t="n">
        <v>528000201</v>
      </c>
      <c r="F1328" s="13" t="inlineStr">
        <is>
          <t>Zahwa Amelia Choerunissa</t>
        </is>
      </c>
      <c r="G1328" s="13" t="inlineStr">
        <is>
          <t>Produksi</t>
        </is>
      </c>
      <c r="H1328" s="13" t="n"/>
    </row>
    <row r="1329">
      <c r="A1329" s="27" t="inlineStr">
        <is>
          <t>MK00208</t>
        </is>
      </c>
      <c r="B1329" s="13" t="inlineStr">
        <is>
          <t>IN</t>
        </is>
      </c>
      <c r="C1329" s="177" t="n">
        <v>46230.41666666666</v>
      </c>
      <c r="D1329" s="51" t="n">
        <v>0.1023611111111111</v>
      </c>
      <c r="E1329" s="13" t="n">
        <v>528000241</v>
      </c>
      <c r="F1329" s="13" t="inlineStr">
        <is>
          <t>Balia Nurafif Bilah</t>
        </is>
      </c>
      <c r="G1329" s="13" t="inlineStr">
        <is>
          <t>Produksi</t>
        </is>
      </c>
      <c r="H1329" s="13" t="n"/>
    </row>
    <row r="1330">
      <c r="A1330" s="27" t="inlineStr">
        <is>
          <t>MK00138</t>
        </is>
      </c>
      <c r="B1330" s="13" t="inlineStr">
        <is>
          <t>OUT</t>
        </is>
      </c>
      <c r="C1330" s="177" t="n">
        <v>46230.41666666666</v>
      </c>
      <c r="D1330" s="51" t="n">
        <v>0.1079282407407407</v>
      </c>
      <c r="E1330" s="13" t="n">
        <v>528000339</v>
      </c>
      <c r="F1330" s="13" t="inlineStr">
        <is>
          <t>Muhamad Ripai'i</t>
        </is>
      </c>
      <c r="G1330" s="13" t="inlineStr">
        <is>
          <t>Produksi</t>
        </is>
      </c>
      <c r="H1330" s="13" t="n"/>
    </row>
    <row r="1331">
      <c r="A1331" s="27" t="inlineStr">
        <is>
          <t>MK00145</t>
        </is>
      </c>
      <c r="B1331" s="13" t="inlineStr">
        <is>
          <t>OUT</t>
        </is>
      </c>
      <c r="C1331" s="177" t="n">
        <v>46230.41666666666</v>
      </c>
      <c r="D1331" s="51" t="n">
        <v>0.1086111111111111</v>
      </c>
      <c r="E1331" s="13" t="n">
        <v>528000289</v>
      </c>
      <c r="F1331" s="13" t="inlineStr">
        <is>
          <t>Adit Supriyadi</t>
        </is>
      </c>
      <c r="G1331" s="13" t="inlineStr">
        <is>
          <t>Produksi</t>
        </is>
      </c>
      <c r="H1331" s="13" t="n"/>
    </row>
    <row r="1332">
      <c r="A1332" s="27" t="inlineStr">
        <is>
          <t>MK00202</t>
        </is>
      </c>
      <c r="B1332" s="13" t="inlineStr">
        <is>
          <t>OUT</t>
        </is>
      </c>
      <c r="C1332" s="177" t="n">
        <v>46230.41666666666</v>
      </c>
      <c r="D1332" s="51" t="n">
        <v>0.1088888888888889</v>
      </c>
      <c r="E1332" s="13" t="n">
        <v>528000201</v>
      </c>
      <c r="F1332" s="13" t="inlineStr">
        <is>
          <t>Zahwa Amelia Choerunissa</t>
        </is>
      </c>
      <c r="G1332" s="13" t="inlineStr">
        <is>
          <t>Produksi</t>
        </is>
      </c>
      <c r="H1332" s="13" t="n"/>
    </row>
    <row r="1333">
      <c r="A1333" s="27" t="inlineStr">
        <is>
          <t>MK00185</t>
        </is>
      </c>
      <c r="B1333" s="13" t="inlineStr">
        <is>
          <t>OUT</t>
        </is>
      </c>
      <c r="C1333" s="177" t="n">
        <v>46230.41666666666</v>
      </c>
      <c r="D1333" s="51" t="n">
        <v>0.1095949074074074</v>
      </c>
      <c r="E1333" s="13" t="n">
        <v>528000286</v>
      </c>
      <c r="F1333" s="13" t="inlineStr">
        <is>
          <t>Imelda Amelia</t>
        </is>
      </c>
      <c r="G1333" s="13" t="inlineStr">
        <is>
          <t>Produksi</t>
        </is>
      </c>
      <c r="H1333" s="13" t="n"/>
    </row>
    <row r="1334">
      <c r="A1334" s="27" t="inlineStr">
        <is>
          <t>MK00208</t>
        </is>
      </c>
      <c r="B1334" s="13" t="inlineStr">
        <is>
          <t>OUT</t>
        </is>
      </c>
      <c r="C1334" s="177" t="n">
        <v>46230.41666666666</v>
      </c>
      <c r="D1334" s="51" t="n">
        <v>0.1219675925925926</v>
      </c>
      <c r="E1334" s="13" t="n">
        <v>528000241</v>
      </c>
      <c r="F1334" s="13" t="inlineStr">
        <is>
          <t>Balia Nurafif Bilah</t>
        </is>
      </c>
      <c r="G1334" s="13" t="inlineStr">
        <is>
          <t>Produksi</t>
        </is>
      </c>
      <c r="H1334" s="13" t="n"/>
    </row>
    <row r="1335">
      <c r="A1335" s="27" t="inlineStr">
        <is>
          <t>MK00208</t>
        </is>
      </c>
      <c r="B1335" s="13" t="inlineStr">
        <is>
          <t>IN</t>
        </is>
      </c>
      <c r="C1335" s="177" t="n">
        <v>46230.41666666666</v>
      </c>
      <c r="D1335" s="51" t="n">
        <v>0.1224421296296296</v>
      </c>
      <c r="E1335" s="13" t="n">
        <v>528000241</v>
      </c>
      <c r="F1335" s="13" t="inlineStr">
        <is>
          <t>Balia Nurafif Bilah</t>
        </is>
      </c>
      <c r="G1335" s="13" t="inlineStr">
        <is>
          <t>Produksi</t>
        </is>
      </c>
      <c r="H1335" s="13" t="n"/>
    </row>
    <row r="1336">
      <c r="A1336" s="27" t="inlineStr">
        <is>
          <t>MK00112</t>
        </is>
      </c>
      <c r="B1336" s="13" t="inlineStr">
        <is>
          <t>IN</t>
        </is>
      </c>
      <c r="C1336" s="177" t="n">
        <v>46230.41666666666</v>
      </c>
      <c r="D1336" s="51" t="n">
        <v>0.1232060185185185</v>
      </c>
      <c r="E1336" s="13" t="n">
        <v>528000090</v>
      </c>
      <c r="F1336" s="13" t="inlineStr">
        <is>
          <t>Suganda</t>
        </is>
      </c>
      <c r="G1336" s="13" t="inlineStr">
        <is>
          <t>Produksi</t>
        </is>
      </c>
      <c r="H1336" s="13" t="n"/>
    </row>
    <row r="1337">
      <c r="A1337" s="27" t="inlineStr">
        <is>
          <t>MK00202</t>
        </is>
      </c>
      <c r="B1337" s="13" t="inlineStr">
        <is>
          <t>IN</t>
        </is>
      </c>
      <c r="C1337" s="177" t="n">
        <v>46230.41666666666</v>
      </c>
      <c r="D1337" s="51" t="n">
        <v>0.1299305555555555</v>
      </c>
      <c r="E1337" s="13" t="n">
        <v>528000201</v>
      </c>
      <c r="F1337" s="13" t="inlineStr">
        <is>
          <t>Zahwa Amelia Choerunissa</t>
        </is>
      </c>
      <c r="G1337" s="13" t="inlineStr">
        <is>
          <t>Produksi</t>
        </is>
      </c>
      <c r="H1337" s="13" t="n"/>
    </row>
    <row r="1338">
      <c r="A1338" s="27" t="inlineStr">
        <is>
          <t>MK00008</t>
        </is>
      </c>
      <c r="B1338" s="13" t="inlineStr">
        <is>
          <t>IN</t>
        </is>
      </c>
      <c r="C1338" s="177" t="n">
        <v>46230.41666666666</v>
      </c>
      <c r="D1338" s="51" t="n">
        <v>0.1304398148148148</v>
      </c>
      <c r="E1338" s="13" t="n">
        <v>528000244</v>
      </c>
      <c r="F1338" s="13" t="inlineStr">
        <is>
          <t>Rodian Rifai</t>
        </is>
      </c>
      <c r="G1338" s="13" t="inlineStr">
        <is>
          <t>Produksi</t>
        </is>
      </c>
      <c r="H1338" s="13" t="n"/>
    </row>
    <row r="1339">
      <c r="A1339" s="27" t="inlineStr">
        <is>
          <t>MK00185</t>
        </is>
      </c>
      <c r="B1339" s="13" t="inlineStr">
        <is>
          <t>IN</t>
        </is>
      </c>
      <c r="C1339" s="177" t="n">
        <v>46230.41666666666</v>
      </c>
      <c r="D1339" s="51" t="n">
        <v>0.1315162037037037</v>
      </c>
      <c r="E1339" s="13" t="n">
        <v>528000286</v>
      </c>
      <c r="F1339" s="13" t="inlineStr">
        <is>
          <t>Imelda Amelia</t>
        </is>
      </c>
      <c r="G1339" s="13" t="inlineStr">
        <is>
          <t>Produksi</t>
        </is>
      </c>
      <c r="H1339" s="13" t="n"/>
    </row>
    <row r="1340">
      <c r="A1340" s="27" t="inlineStr">
        <is>
          <t>MK00145</t>
        </is>
      </c>
      <c r="B1340" s="13" t="inlineStr">
        <is>
          <t>IN</t>
        </is>
      </c>
      <c r="C1340" s="177" t="n">
        <v>46230.41666666666</v>
      </c>
      <c r="D1340" s="51" t="n">
        <v>0.133125</v>
      </c>
      <c r="E1340" s="13" t="n">
        <v>528000289</v>
      </c>
      <c r="F1340" s="13" t="inlineStr">
        <is>
          <t>Adit Supriyadi</t>
        </is>
      </c>
      <c r="G1340" s="13" t="inlineStr">
        <is>
          <t>Produksi</t>
        </is>
      </c>
      <c r="H1340" s="13" t="n"/>
    </row>
    <row r="1341">
      <c r="A1341" s="27" t="inlineStr">
        <is>
          <t>MK00145</t>
        </is>
      </c>
      <c r="B1341" s="13" t="inlineStr">
        <is>
          <t>OUT</t>
        </is>
      </c>
      <c r="C1341" s="177" t="n">
        <v>46230.41666666666</v>
      </c>
      <c r="D1341" s="51" t="n">
        <v>0.1334490740740741</v>
      </c>
      <c r="E1341" s="13" t="n">
        <v>528000289</v>
      </c>
      <c r="F1341" s="13" t="inlineStr">
        <is>
          <t>Adit Supriyadi</t>
        </is>
      </c>
      <c r="G1341" s="13" t="inlineStr">
        <is>
          <t>Produksi</t>
        </is>
      </c>
      <c r="H1341" s="13" t="n"/>
    </row>
    <row r="1342">
      <c r="A1342" s="27" t="inlineStr">
        <is>
          <t>MK00138</t>
        </is>
      </c>
      <c r="B1342" s="13" t="inlineStr">
        <is>
          <t>IN</t>
        </is>
      </c>
      <c r="C1342" s="177" t="n">
        <v>46230.41666666666</v>
      </c>
      <c r="D1342" s="51" t="n">
        <v>0.134837962962963</v>
      </c>
      <c r="E1342" s="13" t="n">
        <v>528000339</v>
      </c>
      <c r="F1342" s="13" t="inlineStr">
        <is>
          <t>Muhamad Ripai'i</t>
        </is>
      </c>
      <c r="G1342" s="13" t="inlineStr">
        <is>
          <t>Produksi</t>
        </is>
      </c>
      <c r="H1342" s="13" t="n"/>
    </row>
    <row r="1343">
      <c r="A1343" s="27" t="inlineStr">
        <is>
          <t>MK00145</t>
        </is>
      </c>
      <c r="B1343" s="13" t="inlineStr">
        <is>
          <t>IN</t>
        </is>
      </c>
      <c r="C1343" s="177" t="n">
        <v>46230.41666666666</v>
      </c>
      <c r="D1343" s="51" t="n">
        <v>0.1377430555555555</v>
      </c>
      <c r="E1343" s="13" t="n">
        <v>528000289</v>
      </c>
      <c r="F1343" s="13" t="inlineStr">
        <is>
          <t>Adit Supriyadi</t>
        </is>
      </c>
      <c r="G1343" s="13" t="inlineStr">
        <is>
          <t>Produksi</t>
        </is>
      </c>
      <c r="H1343" s="13" t="n"/>
    </row>
    <row r="1344">
      <c r="A1344" s="27" t="inlineStr">
        <is>
          <t>MK00008</t>
        </is>
      </c>
      <c r="B1344" s="13" t="inlineStr">
        <is>
          <t>OUT</t>
        </is>
      </c>
      <c r="C1344" s="177" t="n">
        <v>46230.41666666666</v>
      </c>
      <c r="D1344" s="51" t="n">
        <v>0.1540162037037037</v>
      </c>
      <c r="E1344" s="13" t="n">
        <v>528000244</v>
      </c>
      <c r="F1344" s="13" t="inlineStr">
        <is>
          <t>Rodian Rifai</t>
        </is>
      </c>
      <c r="G1344" s="13" t="inlineStr">
        <is>
          <t>Produksi</t>
        </is>
      </c>
      <c r="H1344" s="13" t="n"/>
    </row>
    <row r="1345">
      <c r="A1345" s="27" t="inlineStr">
        <is>
          <t>MK00217</t>
        </is>
      </c>
      <c r="B1345" s="13" t="inlineStr">
        <is>
          <t>OUT</t>
        </is>
      </c>
      <c r="C1345" s="177" t="n">
        <v>46230.41666666666</v>
      </c>
      <c r="D1345" s="51" t="n">
        <v>0.3596643518518519</v>
      </c>
      <c r="E1345" s="13" t="n">
        <v>528000318</v>
      </c>
      <c r="F1345" s="13" t="inlineStr">
        <is>
          <t>Bayu Padli Sepriyana</t>
        </is>
      </c>
      <c r="G1345" s="13" t="inlineStr">
        <is>
          <t>Produksi</t>
        </is>
      </c>
      <c r="H1345" s="13" t="inlineStr">
        <is>
          <t>Istirahat</t>
        </is>
      </c>
    </row>
    <row r="1346">
      <c r="A1346" s="27" t="inlineStr">
        <is>
          <t>MK00218</t>
        </is>
      </c>
      <c r="B1346" s="13" t="inlineStr">
        <is>
          <t>OUT</t>
        </is>
      </c>
      <c r="C1346" s="177" t="n">
        <v>46230.41666666666</v>
      </c>
      <c r="D1346" s="51" t="n">
        <v>0.3935648148148148</v>
      </c>
      <c r="E1346" s="13" t="n">
        <v>528000361</v>
      </c>
      <c r="F1346" s="13" t="inlineStr">
        <is>
          <t>Denada Munggarani</t>
        </is>
      </c>
      <c r="G1346" s="13" t="inlineStr">
        <is>
          <t>Produksi</t>
        </is>
      </c>
      <c r="H1346" s="13" t="inlineStr">
        <is>
          <t>Istirahat</t>
        </is>
      </c>
    </row>
    <row r="1347">
      <c r="A1347" s="27" t="inlineStr">
        <is>
          <t>MK00109</t>
        </is>
      </c>
      <c r="B1347" s="13" t="inlineStr">
        <is>
          <t>OUT</t>
        </is>
      </c>
      <c r="C1347" s="177" t="n">
        <v>46230.41666666666</v>
      </c>
      <c r="D1347" s="51" t="n">
        <v>0.3938310185185185</v>
      </c>
      <c r="E1347" s="13" t="n">
        <v>528000322</v>
      </c>
      <c r="F1347" s="13" t="inlineStr">
        <is>
          <t>Muhamad Aliludin</t>
        </is>
      </c>
      <c r="G1347" s="13" t="inlineStr">
        <is>
          <t>Produksi</t>
        </is>
      </c>
      <c r="H1347" s="13" t="inlineStr">
        <is>
          <t>Istirahat</t>
        </is>
      </c>
    </row>
    <row r="1348">
      <c r="A1348" s="27" t="inlineStr">
        <is>
          <t>MK00184</t>
        </is>
      </c>
      <c r="B1348" s="13" t="inlineStr">
        <is>
          <t>OUT</t>
        </is>
      </c>
      <c r="C1348" s="177" t="n">
        <v>46230.41666666666</v>
      </c>
      <c r="D1348" s="51" t="n">
        <v>0.3941087962962963</v>
      </c>
      <c r="E1348" s="13" t="n">
        <v>528000299</v>
      </c>
      <c r="F1348" s="13" t="inlineStr">
        <is>
          <t>Siti Nurjanah</t>
        </is>
      </c>
      <c r="G1348" s="13" t="inlineStr">
        <is>
          <t>Produksi</t>
        </is>
      </c>
      <c r="H1348" s="13" t="inlineStr">
        <is>
          <t>Istirahat</t>
        </is>
      </c>
    </row>
    <row r="1349">
      <c r="A1349" s="27" t="inlineStr">
        <is>
          <t>MK00090</t>
        </is>
      </c>
      <c r="B1349" s="13" t="inlineStr">
        <is>
          <t>OUT</t>
        </is>
      </c>
      <c r="C1349" s="177" t="n">
        <v>46230.41666666666</v>
      </c>
      <c r="D1349" s="51" t="n">
        <v>0.3948032407407407</v>
      </c>
      <c r="E1349" s="13" t="n">
        <v>528000270</v>
      </c>
      <c r="F1349" s="13" t="inlineStr">
        <is>
          <t>Febri Najmudin</t>
        </is>
      </c>
      <c r="G1349" s="13" t="inlineStr">
        <is>
          <t>Produksi</t>
        </is>
      </c>
      <c r="H1349" s="13" t="inlineStr">
        <is>
          <t>Istirahat</t>
        </is>
      </c>
    </row>
    <row r="1350">
      <c r="A1350" s="27" t="inlineStr">
        <is>
          <t>MK00184</t>
        </is>
      </c>
      <c r="B1350" s="13" t="inlineStr">
        <is>
          <t>IN</t>
        </is>
      </c>
      <c r="C1350" s="177" t="n">
        <v>46230.41666666666</v>
      </c>
      <c r="D1350" s="51" t="n">
        <v>0.4039930555555555</v>
      </c>
      <c r="E1350" s="13" t="n">
        <v>528000299</v>
      </c>
      <c r="F1350" s="13" t="inlineStr">
        <is>
          <t>Siti Nurjanah</t>
        </is>
      </c>
      <c r="G1350" s="13" t="inlineStr">
        <is>
          <t>Produksi</t>
        </is>
      </c>
      <c r="H1350" s="13" t="inlineStr">
        <is>
          <t>Istirahat</t>
        </is>
      </c>
    </row>
    <row r="1351">
      <c r="A1351" s="27" t="inlineStr">
        <is>
          <t>MK00218</t>
        </is>
      </c>
      <c r="B1351" s="13" t="inlineStr">
        <is>
          <t>IN</t>
        </is>
      </c>
      <c r="C1351" s="177" t="n">
        <v>46230.41666666666</v>
      </c>
      <c r="D1351" s="51" t="n">
        <v>0.4044907407407408</v>
      </c>
      <c r="E1351" s="13" t="n">
        <v>528000361</v>
      </c>
      <c r="F1351" s="13" t="inlineStr">
        <is>
          <t>Denada Munggarani</t>
        </is>
      </c>
      <c r="G1351" s="13" t="inlineStr">
        <is>
          <t>Produksi</t>
        </is>
      </c>
      <c r="H1351" s="13" t="inlineStr">
        <is>
          <t>Istirahat</t>
        </is>
      </c>
    </row>
    <row r="1352">
      <c r="A1352" s="27" t="inlineStr">
        <is>
          <t>MK00210</t>
        </is>
      </c>
      <c r="B1352" s="13" t="inlineStr">
        <is>
          <t>OUT</t>
        </is>
      </c>
      <c r="C1352" s="177" t="n">
        <v>46230.41666666666</v>
      </c>
      <c r="D1352" s="51" t="n">
        <v>0.4050115740740741</v>
      </c>
      <c r="E1352" s="13" t="n">
        <v>528000305</v>
      </c>
      <c r="F1352" s="13" t="inlineStr">
        <is>
          <t>Puji Puspita</t>
        </is>
      </c>
      <c r="G1352" s="13" t="inlineStr">
        <is>
          <t>Produksi</t>
        </is>
      </c>
      <c r="H1352" s="13" t="inlineStr">
        <is>
          <t>Istirahat</t>
        </is>
      </c>
    </row>
    <row r="1353">
      <c r="A1353" s="27" t="inlineStr">
        <is>
          <t>MK00109</t>
        </is>
      </c>
      <c r="B1353" s="13" t="inlineStr">
        <is>
          <t>IN</t>
        </is>
      </c>
      <c r="C1353" s="177" t="n">
        <v>46230.41666666666</v>
      </c>
      <c r="D1353" s="51" t="n">
        <v>0.4071875</v>
      </c>
      <c r="E1353" s="13" t="n">
        <v>528000322</v>
      </c>
      <c r="F1353" s="13" t="inlineStr">
        <is>
          <t>Muhamad Aliludin</t>
        </is>
      </c>
      <c r="G1353" s="13" t="inlineStr">
        <is>
          <t>Produksi</t>
        </is>
      </c>
      <c r="H1353" s="13" t="inlineStr">
        <is>
          <t>Istirahat</t>
        </is>
      </c>
    </row>
    <row r="1354">
      <c r="A1354" s="27" t="inlineStr">
        <is>
          <t>MK00154</t>
        </is>
      </c>
      <c r="B1354" s="13" t="inlineStr">
        <is>
          <t>OUT</t>
        </is>
      </c>
      <c r="C1354" s="177" t="n">
        <v>46230.41666666666</v>
      </c>
      <c r="D1354" s="51" t="n">
        <v>0.4317476851851852</v>
      </c>
      <c r="E1354" s="13" t="n">
        <v>528000309</v>
      </c>
      <c r="F1354" s="13" t="inlineStr">
        <is>
          <t>Ilham Ramadhan</t>
        </is>
      </c>
      <c r="G1354" s="13" t="inlineStr">
        <is>
          <t>Produksi</t>
        </is>
      </c>
      <c r="H1354" s="13" t="inlineStr">
        <is>
          <t>Istirahat</t>
        </is>
      </c>
    </row>
    <row r="1355">
      <c r="A1355" s="27" t="inlineStr">
        <is>
          <t>MK00210</t>
        </is>
      </c>
      <c r="B1355" s="13" t="inlineStr">
        <is>
          <t>OUT</t>
        </is>
      </c>
      <c r="C1355" s="177" t="n">
        <v>46230.41666666666</v>
      </c>
      <c r="D1355" s="51" t="n">
        <v>0.4321643518518519</v>
      </c>
      <c r="E1355" s="13" t="n">
        <v>528000305</v>
      </c>
      <c r="F1355" s="13" t="inlineStr">
        <is>
          <t>Puji Puspita</t>
        </is>
      </c>
      <c r="G1355" s="13" t="inlineStr">
        <is>
          <t>Produksi</t>
        </is>
      </c>
      <c r="H1355" s="13" t="inlineStr">
        <is>
          <t>Istirahat</t>
        </is>
      </c>
    </row>
    <row r="1356">
      <c r="A1356" s="27" t="inlineStr">
        <is>
          <t>MK00210</t>
        </is>
      </c>
      <c r="B1356" s="13" t="inlineStr">
        <is>
          <t>IN</t>
        </is>
      </c>
      <c r="C1356" s="177" t="n">
        <v>46230.41666666666</v>
      </c>
      <c r="D1356" s="51" t="n">
        <v>0.4326273148148148</v>
      </c>
      <c r="E1356" s="13" t="n">
        <v>528000305</v>
      </c>
      <c r="F1356" s="13" t="inlineStr">
        <is>
          <t>Puji Puspita</t>
        </is>
      </c>
      <c r="G1356" s="13" t="inlineStr">
        <is>
          <t>Produksi</t>
        </is>
      </c>
      <c r="H1356" s="13" t="inlineStr">
        <is>
          <t>Istirahat</t>
        </is>
      </c>
    </row>
    <row r="1357">
      <c r="A1357" s="27" t="inlineStr">
        <is>
          <t>MK00217</t>
        </is>
      </c>
      <c r="B1357" s="13" t="inlineStr">
        <is>
          <t>IN</t>
        </is>
      </c>
      <c r="C1357" s="177" t="n">
        <v>46230.41666666666</v>
      </c>
      <c r="D1357" s="51" t="n">
        <v>0.4328356481481481</v>
      </c>
      <c r="E1357" s="13" t="n">
        <v>528000318</v>
      </c>
      <c r="F1357" s="13" t="inlineStr">
        <is>
          <t>Bayu Padli Sepriyana</t>
        </is>
      </c>
      <c r="G1357" s="13" t="inlineStr">
        <is>
          <t>Produksi</t>
        </is>
      </c>
      <c r="H1357" s="13" t="inlineStr">
        <is>
          <t>Istirahat</t>
        </is>
      </c>
    </row>
    <row r="1358">
      <c r="A1358" s="27" t="inlineStr">
        <is>
          <t>MK00108</t>
        </is>
      </c>
      <c r="B1358" s="13" t="inlineStr">
        <is>
          <t>IN</t>
        </is>
      </c>
      <c r="C1358" s="177" t="n">
        <v>46230.41666666666</v>
      </c>
      <c r="D1358" s="51" t="n">
        <v>0.4506365740740741</v>
      </c>
      <c r="E1358" s="13" t="n">
        <v>528000298</v>
      </c>
      <c r="F1358" s="13" t="inlineStr">
        <is>
          <t>Desta Cahaya Pratama</t>
        </is>
      </c>
      <c r="G1358" s="13" t="inlineStr">
        <is>
          <t>Produksi</t>
        </is>
      </c>
      <c r="H1358" s="13" t="inlineStr">
        <is>
          <t>Istirahat</t>
        </is>
      </c>
    </row>
    <row r="1359">
      <c r="A1359" s="27" t="inlineStr">
        <is>
          <t>MK00136</t>
        </is>
      </c>
      <c r="B1359" s="13" t="inlineStr">
        <is>
          <t>OUT</t>
        </is>
      </c>
      <c r="C1359" s="177" t="n">
        <v>46230.41666666666</v>
      </c>
      <c r="D1359" s="51" t="n">
        <v>0.7244444444444444</v>
      </c>
      <c r="E1359" s="13" t="n">
        <v>528000248</v>
      </c>
      <c r="F1359" s="13" t="inlineStr">
        <is>
          <t>Roka Jaya Salka Mulya</t>
        </is>
      </c>
      <c r="G1359" s="13" t="inlineStr">
        <is>
          <t>Produksi</t>
        </is>
      </c>
      <c r="H1359" s="13" t="inlineStr">
        <is>
          <t>Istirahat</t>
        </is>
      </c>
    </row>
    <row r="1360">
      <c r="A1360" s="27" t="inlineStr">
        <is>
          <t>MK00160</t>
        </is>
      </c>
      <c r="B1360" s="13" t="inlineStr">
        <is>
          <t>OUT</t>
        </is>
      </c>
      <c r="C1360" s="177" t="n">
        <v>46230.41666666666</v>
      </c>
      <c r="D1360" s="51" t="n">
        <v>0.7377083333333333</v>
      </c>
      <c r="E1360" s="13" t="n">
        <v>528000323</v>
      </c>
      <c r="F1360" s="13" t="inlineStr">
        <is>
          <t>Dian Hamidah</t>
        </is>
      </c>
      <c r="G1360" s="13" t="inlineStr">
        <is>
          <t>Produksi</t>
        </is>
      </c>
      <c r="H1360" s="13" t="inlineStr">
        <is>
          <t>Istirahat</t>
        </is>
      </c>
    </row>
    <row r="1361">
      <c r="A1361" s="27" t="inlineStr">
        <is>
          <t>MK00095</t>
        </is>
      </c>
      <c r="B1361" s="13" t="inlineStr">
        <is>
          <t>OUT</t>
        </is>
      </c>
      <c r="C1361" s="177" t="n">
        <v>46230.41666666666</v>
      </c>
      <c r="D1361" s="51" t="n">
        <v>0.7378935185185185</v>
      </c>
      <c r="E1361" s="13" t="n">
        <v>528000283</v>
      </c>
      <c r="F1361" s="13" t="inlineStr">
        <is>
          <t>Purwanda Sugiri</t>
        </is>
      </c>
      <c r="G1361" s="13" t="inlineStr">
        <is>
          <t>Produksi</t>
        </is>
      </c>
      <c r="H1361" s="13" t="inlineStr">
        <is>
          <t>Istirahat</t>
        </is>
      </c>
    </row>
    <row r="1362">
      <c r="A1362" s="27" t="inlineStr">
        <is>
          <t>MK00082</t>
        </is>
      </c>
      <c r="B1362" s="13" t="inlineStr">
        <is>
          <t>OUT</t>
        </is>
      </c>
      <c r="C1362" s="177" t="n">
        <v>46230.41666666666</v>
      </c>
      <c r="D1362" s="51" t="n">
        <v>0.7456712962962962</v>
      </c>
      <c r="E1362" s="13" t="n">
        <v>528000329</v>
      </c>
      <c r="F1362" s="13" t="inlineStr">
        <is>
          <t>Havid Ilham Firdaus</t>
        </is>
      </c>
      <c r="G1362" s="13" t="inlineStr">
        <is>
          <t>Produksi</t>
        </is>
      </c>
      <c r="H1362" s="13" t="inlineStr">
        <is>
          <t>Istirahat</t>
        </is>
      </c>
    </row>
    <row r="1363">
      <c r="A1363" s="27" t="inlineStr">
        <is>
          <t>MK00235</t>
        </is>
      </c>
      <c r="B1363" s="13" t="inlineStr">
        <is>
          <t>OUT</t>
        </is>
      </c>
      <c r="C1363" s="177" t="n">
        <v>46230.41666666666</v>
      </c>
      <c r="D1363" s="51" t="n">
        <v>0.7459837962962963</v>
      </c>
      <c r="E1363" s="13" t="n">
        <v>528000297</v>
      </c>
      <c r="F1363" s="13" t="inlineStr">
        <is>
          <t>Muhamad Budiana</t>
        </is>
      </c>
      <c r="G1363" s="13" t="inlineStr">
        <is>
          <t>Produksi</t>
        </is>
      </c>
      <c r="H1363" s="13" t="inlineStr">
        <is>
          <t>Istirahat</t>
        </is>
      </c>
    </row>
    <row r="1364">
      <c r="A1364" s="27" t="inlineStr">
        <is>
          <t>MK00230</t>
        </is>
      </c>
      <c r="B1364" s="13" t="inlineStr">
        <is>
          <t>OUT</t>
        </is>
      </c>
      <c r="C1364" s="177" t="n">
        <v>46230.41666666666</v>
      </c>
      <c r="D1364" s="51" t="n">
        <v>0.7577314814814815</v>
      </c>
      <c r="E1364" s="13" t="n">
        <v>528000279</v>
      </c>
      <c r="F1364" s="13" t="inlineStr">
        <is>
          <t>Mahdalena Dalfa Riani</t>
        </is>
      </c>
      <c r="G1364" s="13" t="inlineStr">
        <is>
          <t>Produksi</t>
        </is>
      </c>
      <c r="H1364" s="13" t="inlineStr">
        <is>
          <t>Istirahat</t>
        </is>
      </c>
    </row>
    <row r="1365">
      <c r="A1365" s="27" t="inlineStr">
        <is>
          <t>MK00143</t>
        </is>
      </c>
      <c r="B1365" s="13" t="inlineStr">
        <is>
          <t>OUT</t>
        </is>
      </c>
      <c r="C1365" s="177" t="n">
        <v>46230.41666666666</v>
      </c>
      <c r="D1365" s="51" t="n">
        <v>0.7578935185185185</v>
      </c>
      <c r="E1365" s="13" t="n">
        <v>528000300</v>
      </c>
      <c r="F1365" s="13" t="inlineStr">
        <is>
          <t>Lia pitaloka</t>
        </is>
      </c>
      <c r="G1365" s="13" t="inlineStr">
        <is>
          <t>Produksi</t>
        </is>
      </c>
      <c r="H1365" s="13" t="inlineStr">
        <is>
          <t>Istirahat</t>
        </is>
      </c>
    </row>
    <row r="1366">
      <c r="A1366" s="27" t="inlineStr">
        <is>
          <t>MK00113</t>
        </is>
      </c>
      <c r="B1366" s="13" t="inlineStr">
        <is>
          <t>OUT</t>
        </is>
      </c>
      <c r="C1366" s="177" t="n">
        <v>46230.41666666666</v>
      </c>
      <c r="D1366" s="51" t="n">
        <v>0.7580671296296296</v>
      </c>
      <c r="E1366" s="13" t="n">
        <v>628000091</v>
      </c>
      <c r="F1366" s="13" t="inlineStr">
        <is>
          <t>Devita Handayani</t>
        </is>
      </c>
      <c r="G1366" s="13" t="inlineStr">
        <is>
          <t>Produksi</t>
        </is>
      </c>
      <c r="H1366" s="13" t="inlineStr">
        <is>
          <t>Istirahat</t>
        </is>
      </c>
    </row>
    <row r="1367">
      <c r="A1367" s="27" t="inlineStr">
        <is>
          <t>MK00160</t>
        </is>
      </c>
      <c r="B1367" s="13" t="inlineStr">
        <is>
          <t>IN</t>
        </is>
      </c>
      <c r="C1367" s="177" t="n">
        <v>46230.41666666666</v>
      </c>
      <c r="D1367" s="51" t="n">
        <v>0.758275462962963</v>
      </c>
      <c r="E1367" s="13" t="n">
        <v>528000323</v>
      </c>
      <c r="F1367" s="13" t="inlineStr">
        <is>
          <t>Dian Hamidah</t>
        </is>
      </c>
      <c r="G1367" s="13" t="inlineStr">
        <is>
          <t>Produksi</t>
        </is>
      </c>
      <c r="H1367" s="13" t="inlineStr">
        <is>
          <t>Istirahat</t>
        </is>
      </c>
    </row>
    <row r="1368">
      <c r="A1368" s="27" t="inlineStr">
        <is>
          <t>MK00095</t>
        </is>
      </c>
      <c r="B1368" s="13" t="inlineStr">
        <is>
          <t>IN</t>
        </is>
      </c>
      <c r="C1368" s="177" t="n">
        <v>46230.41666666666</v>
      </c>
      <c r="D1368" s="51" t="n">
        <v>0.7602430555555556</v>
      </c>
      <c r="E1368" s="13" t="n">
        <v>528000283</v>
      </c>
      <c r="F1368" s="13" t="inlineStr">
        <is>
          <t>Purwanda Sugiri</t>
        </is>
      </c>
      <c r="G1368" s="13" t="inlineStr">
        <is>
          <t>Produksi</t>
        </is>
      </c>
      <c r="H1368" s="13" t="inlineStr">
        <is>
          <t>Istirahat</t>
        </is>
      </c>
    </row>
    <row r="1369">
      <c r="A1369" s="27" t="inlineStr">
        <is>
          <t>MK00235</t>
        </is>
      </c>
      <c r="B1369" s="13" t="inlineStr">
        <is>
          <t>IN</t>
        </is>
      </c>
      <c r="C1369" s="177" t="n">
        <v>46230.41666666666</v>
      </c>
      <c r="D1369" s="51" t="n">
        <v>0.7754166666666666</v>
      </c>
      <c r="E1369" s="13" t="n">
        <v>528000297</v>
      </c>
      <c r="F1369" s="13" t="inlineStr">
        <is>
          <t>Muhamad Budiana</t>
        </is>
      </c>
      <c r="G1369" s="13" t="inlineStr">
        <is>
          <t>Produksi</t>
        </is>
      </c>
      <c r="H1369" s="13" t="inlineStr">
        <is>
          <t>Istirahat</t>
        </is>
      </c>
    </row>
    <row r="1370">
      <c r="A1370" s="27" t="inlineStr">
        <is>
          <t>MK00082</t>
        </is>
      </c>
      <c r="B1370" s="13" t="inlineStr">
        <is>
          <t>IN</t>
        </is>
      </c>
      <c r="C1370" s="177" t="n">
        <v>46230.41666666666</v>
      </c>
      <c r="D1370" s="51" t="n">
        <v>0.7758564814814815</v>
      </c>
      <c r="E1370" s="13" t="n">
        <v>528000329</v>
      </c>
      <c r="F1370" s="13" t="inlineStr">
        <is>
          <t>Havid Ilham Firdaus</t>
        </is>
      </c>
      <c r="G1370" s="13" t="inlineStr">
        <is>
          <t>Produksi</t>
        </is>
      </c>
      <c r="H1370" s="13" t="inlineStr">
        <is>
          <t>Istirahat</t>
        </is>
      </c>
    </row>
    <row r="1371">
      <c r="A1371" s="27" t="inlineStr">
        <is>
          <t>MK00113</t>
        </is>
      </c>
      <c r="B1371" s="13" t="inlineStr">
        <is>
          <t>IN</t>
        </is>
      </c>
      <c r="C1371" s="177" t="n">
        <v>46230.41666666666</v>
      </c>
      <c r="D1371" s="51" t="n">
        <v>0.7816898148148148</v>
      </c>
      <c r="E1371" s="13" t="n">
        <v>628000091</v>
      </c>
      <c r="F1371" s="13" t="inlineStr">
        <is>
          <t>Devita Handayani</t>
        </is>
      </c>
      <c r="G1371" s="13" t="inlineStr">
        <is>
          <t>Produksi</t>
        </is>
      </c>
      <c r="H1371" s="13" t="inlineStr">
        <is>
          <t>Istirahat</t>
        </is>
      </c>
    </row>
    <row r="1372">
      <c r="A1372" s="27" t="inlineStr">
        <is>
          <t>MK00143</t>
        </is>
      </c>
      <c r="B1372" s="13" t="inlineStr">
        <is>
          <t>IN</t>
        </is>
      </c>
      <c r="C1372" s="177" t="n">
        <v>46230.41666666666</v>
      </c>
      <c r="D1372" s="51" t="n">
        <v>0.7818287037037037</v>
      </c>
      <c r="E1372" s="13" t="n">
        <v>528000300</v>
      </c>
      <c r="F1372" s="13" t="inlineStr">
        <is>
          <t>Lia pitaloka</t>
        </is>
      </c>
      <c r="G1372" s="13" t="inlineStr">
        <is>
          <t>Produksi</t>
        </is>
      </c>
      <c r="H1372" s="13" t="inlineStr">
        <is>
          <t>Istirahat</t>
        </is>
      </c>
    </row>
    <row r="1373">
      <c r="A1373" s="27" t="inlineStr">
        <is>
          <t>MK00113</t>
        </is>
      </c>
      <c r="B1373" s="13" t="inlineStr">
        <is>
          <t>IN</t>
        </is>
      </c>
      <c r="C1373" s="177" t="n">
        <v>46230.41666666666</v>
      </c>
      <c r="D1373" s="51" t="n">
        <v>0.7851388888888889</v>
      </c>
      <c r="E1373" s="13" t="n">
        <v>628000091</v>
      </c>
      <c r="F1373" s="13" t="inlineStr">
        <is>
          <t>Devita Handayani</t>
        </is>
      </c>
      <c r="G1373" s="13" t="inlineStr">
        <is>
          <t>Produksi</t>
        </is>
      </c>
      <c r="H1373" s="13" t="inlineStr">
        <is>
          <t>Istirahat</t>
        </is>
      </c>
    </row>
    <row r="1374">
      <c r="A1374" s="27" t="inlineStr">
        <is>
          <t>MK00143</t>
        </is>
      </c>
      <c r="B1374" s="13" t="inlineStr">
        <is>
          <t>IN</t>
        </is>
      </c>
      <c r="C1374" s="177" t="n">
        <v>46230.41666666666</v>
      </c>
      <c r="D1374" s="51" t="n">
        <v>0.7853819444444444</v>
      </c>
      <c r="E1374" s="13" t="n">
        <v>528000300</v>
      </c>
      <c r="F1374" s="13" t="inlineStr">
        <is>
          <t>Lia pitaloka</t>
        </is>
      </c>
      <c r="G1374" s="13" t="inlineStr">
        <is>
          <t>Produksi</t>
        </is>
      </c>
      <c r="H1374" s="13" t="inlineStr">
        <is>
          <t>Istirahat</t>
        </is>
      </c>
    </row>
    <row r="1375">
      <c r="A1375" s="27" t="inlineStr">
        <is>
          <t>MK00186</t>
        </is>
      </c>
      <c r="B1375" s="13" t="inlineStr">
        <is>
          <t>IN</t>
        </is>
      </c>
      <c r="C1375" s="177" t="n">
        <v>46230.41666666666</v>
      </c>
      <c r="D1375" s="51" t="n">
        <v>0.7863888888888889</v>
      </c>
      <c r="E1375" s="13" t="n">
        <v>628000064</v>
      </c>
      <c r="F1375" s="13" t="inlineStr">
        <is>
          <t>Silva Alypia</t>
        </is>
      </c>
      <c r="G1375" s="13" t="inlineStr">
        <is>
          <t>Produksi</t>
        </is>
      </c>
      <c r="H1375" s="13" t="inlineStr">
        <is>
          <t>Istirahat</t>
        </is>
      </c>
    </row>
    <row r="1376">
      <c r="A1376" s="27" t="inlineStr">
        <is>
          <t>MK00108</t>
        </is>
      </c>
      <c r="B1376" s="13" t="inlineStr">
        <is>
          <t>OUT</t>
        </is>
      </c>
      <c r="C1376" s="177" t="n">
        <v>46231.41666666666</v>
      </c>
      <c r="D1376" s="51" t="n">
        <v>0.05943287037037037</v>
      </c>
      <c r="E1376" s="13" t="n">
        <v>528000052</v>
      </c>
      <c r="F1376" s="13" t="inlineStr">
        <is>
          <t>Mustopa</t>
        </is>
      </c>
      <c r="G1376" s="13" t="inlineStr">
        <is>
          <t>Produksi</t>
        </is>
      </c>
      <c r="H1376" s="13" t="inlineStr">
        <is>
          <t>Istirahat</t>
        </is>
      </c>
    </row>
    <row r="1377">
      <c r="A1377" s="27" t="inlineStr">
        <is>
          <t>MK00249</t>
        </is>
      </c>
      <c r="B1377" s="13" t="inlineStr">
        <is>
          <t>OUT</t>
        </is>
      </c>
      <c r="C1377" s="177" t="n">
        <v>46231.41666666666</v>
      </c>
      <c r="D1377" s="51" t="n">
        <v>0.0927199074074074</v>
      </c>
      <c r="E1377" s="13" t="n">
        <v>528000290</v>
      </c>
      <c r="F1377" s="13" t="inlineStr">
        <is>
          <t>Eval Pranata</t>
        </is>
      </c>
      <c r="G1377" s="13" t="inlineStr">
        <is>
          <t>Produksi</t>
        </is>
      </c>
      <c r="H1377" s="13" t="inlineStr">
        <is>
          <t>Istirahat</t>
        </is>
      </c>
    </row>
    <row r="1378">
      <c r="A1378" s="27" t="inlineStr">
        <is>
          <t>MK00210</t>
        </is>
      </c>
      <c r="B1378" s="13" t="inlineStr">
        <is>
          <t>OUT</t>
        </is>
      </c>
      <c r="C1378" s="177" t="n">
        <v>46231.41666666666</v>
      </c>
      <c r="D1378" s="51" t="n">
        <v>0.1025694444444444</v>
      </c>
      <c r="E1378" s="13" t="n">
        <v>528000274</v>
      </c>
      <c r="F1378" s="13" t="inlineStr">
        <is>
          <t>Zepri</t>
        </is>
      </c>
      <c r="G1378" s="13" t="inlineStr">
        <is>
          <t>Produksi</t>
        </is>
      </c>
      <c r="H1378" s="13" t="inlineStr">
        <is>
          <t>Istirahat</t>
        </is>
      </c>
    </row>
    <row r="1379">
      <c r="A1379" s="27" t="inlineStr">
        <is>
          <t>MK00218</t>
        </is>
      </c>
      <c r="B1379" s="13" t="inlineStr">
        <is>
          <t>OUT</t>
        </is>
      </c>
      <c r="C1379" s="177" t="n">
        <v>46231.41666666666</v>
      </c>
      <c r="D1379" s="51" t="n">
        <v>0.1052662037037037</v>
      </c>
      <c r="E1379" s="13" t="n">
        <v>528000201</v>
      </c>
      <c r="F1379" s="13" t="inlineStr">
        <is>
          <t>Zahwa Amelia Choerunissa</t>
        </is>
      </c>
      <c r="G1379" s="13" t="inlineStr">
        <is>
          <t>Produksi</t>
        </is>
      </c>
      <c r="H1379" s="13" t="inlineStr">
        <is>
          <t>Istirahat</t>
        </is>
      </c>
    </row>
    <row r="1380">
      <c r="A1380" s="27" t="inlineStr">
        <is>
          <t>MK00208</t>
        </is>
      </c>
      <c r="B1380" s="13" t="inlineStr">
        <is>
          <t>OUT</t>
        </is>
      </c>
      <c r="C1380" s="177" t="n">
        <v>46231.41666666666</v>
      </c>
      <c r="D1380" s="51" t="n">
        <v>0.1057407407407407</v>
      </c>
      <c r="E1380" s="13" t="n">
        <v>528000286</v>
      </c>
      <c r="F1380" s="13" t="inlineStr">
        <is>
          <t>Imelda Amelia</t>
        </is>
      </c>
      <c r="G1380" s="13" t="inlineStr">
        <is>
          <t>Produksi</t>
        </is>
      </c>
      <c r="H1380" s="13" t="inlineStr">
        <is>
          <t>Istirahat</t>
        </is>
      </c>
    </row>
    <row r="1381">
      <c r="A1381" s="27" t="inlineStr">
        <is>
          <t>MK00210</t>
        </is>
      </c>
      <c r="B1381" s="13" t="inlineStr">
        <is>
          <t>IN</t>
        </is>
      </c>
      <c r="C1381" s="177" t="n">
        <v>46231.41666666666</v>
      </c>
      <c r="D1381" s="51" t="n">
        <v>0.1069328703703704</v>
      </c>
      <c r="E1381" s="13" t="n">
        <v>528000274</v>
      </c>
      <c r="F1381" s="13" t="inlineStr">
        <is>
          <t>Zepri</t>
        </is>
      </c>
      <c r="G1381" s="13" t="inlineStr">
        <is>
          <t>Produksi</t>
        </is>
      </c>
      <c r="H1381" s="13" t="inlineStr">
        <is>
          <t>Istirahat</t>
        </is>
      </c>
    </row>
    <row r="1382">
      <c r="A1382" s="27" t="inlineStr">
        <is>
          <t>MK00202</t>
        </is>
      </c>
      <c r="B1382" s="13" t="inlineStr">
        <is>
          <t>OUT</t>
        </is>
      </c>
      <c r="C1382" s="177" t="n">
        <v>46231.41666666666</v>
      </c>
      <c r="D1382" s="51" t="n">
        <v>0.1105555555555556</v>
      </c>
      <c r="E1382" s="13" t="n">
        <v>528000339</v>
      </c>
      <c r="F1382" s="13" t="inlineStr">
        <is>
          <t>Muhamad Ripai'i</t>
        </is>
      </c>
      <c r="G1382" s="13" t="inlineStr">
        <is>
          <t>Produksi</t>
        </is>
      </c>
      <c r="H1382" s="13" t="inlineStr">
        <is>
          <t>Istirahat</t>
        </is>
      </c>
    </row>
    <row r="1383">
      <c r="A1383" s="27" t="inlineStr">
        <is>
          <t>MK00154</t>
        </is>
      </c>
      <c r="B1383" s="13" t="inlineStr">
        <is>
          <t>IN</t>
        </is>
      </c>
      <c r="C1383" s="177" t="n">
        <v>46231.41666666666</v>
      </c>
      <c r="D1383" s="51" t="n">
        <v>0.1112037037037037</v>
      </c>
      <c r="E1383" s="13" t="n">
        <v>528000289</v>
      </c>
      <c r="F1383" s="13" t="inlineStr">
        <is>
          <t>Adit Supriyadi</t>
        </is>
      </c>
      <c r="G1383" s="13" t="inlineStr">
        <is>
          <t>Produksi</t>
        </is>
      </c>
      <c r="H1383" s="13" t="inlineStr">
        <is>
          <t>Istirahat</t>
        </is>
      </c>
    </row>
    <row r="1384">
      <c r="A1384" s="27" t="inlineStr">
        <is>
          <t>MK00154</t>
        </is>
      </c>
      <c r="B1384" s="13" t="inlineStr">
        <is>
          <t>OUT</t>
        </is>
      </c>
      <c r="C1384" s="177" t="n">
        <v>46231.41666666666</v>
      </c>
      <c r="D1384" s="51" t="n">
        <v>0.1114236111111111</v>
      </c>
      <c r="E1384" s="13" t="n">
        <v>528000289</v>
      </c>
      <c r="F1384" s="13" t="inlineStr">
        <is>
          <t>Adit Supriyadi</t>
        </is>
      </c>
      <c r="G1384" s="13" t="inlineStr">
        <is>
          <t>Produksi</t>
        </is>
      </c>
      <c r="H1384" s="13" t="inlineStr">
        <is>
          <t>Istirahat</t>
        </is>
      </c>
    </row>
    <row r="1385">
      <c r="A1385" s="27" t="inlineStr">
        <is>
          <t>MK00088</t>
        </is>
      </c>
      <c r="B1385" s="13" t="inlineStr">
        <is>
          <t>OUT</t>
        </is>
      </c>
      <c r="C1385" s="177" t="n">
        <v>46231.41666666666</v>
      </c>
      <c r="D1385" s="51" t="n">
        <v>0.1133796296296296</v>
      </c>
      <c r="E1385" s="13" t="n">
        <v>528000090</v>
      </c>
      <c r="F1385" s="13" t="inlineStr">
        <is>
          <t>Suganda</t>
        </is>
      </c>
      <c r="G1385" s="13" t="inlineStr">
        <is>
          <t>Produksi</t>
        </is>
      </c>
      <c r="H1385" s="13" t="inlineStr">
        <is>
          <t>Istirahat</t>
        </is>
      </c>
    </row>
    <row r="1386">
      <c r="A1386" s="27" t="inlineStr">
        <is>
          <t>MK00249</t>
        </is>
      </c>
      <c r="B1386" s="13" t="inlineStr">
        <is>
          <t>IN</t>
        </is>
      </c>
      <c r="C1386" s="177" t="n">
        <v>46231.41666666666</v>
      </c>
      <c r="D1386" s="51" t="n">
        <v>0.1139351851851852</v>
      </c>
      <c r="E1386" s="13" t="n">
        <v>528000290</v>
      </c>
      <c r="F1386" s="13" t="inlineStr">
        <is>
          <t>Eval Pranata</t>
        </is>
      </c>
      <c r="G1386" s="13" t="inlineStr">
        <is>
          <t>Produksi</t>
        </is>
      </c>
      <c r="H1386" s="13" t="inlineStr">
        <is>
          <t>Istirahat</t>
        </is>
      </c>
    </row>
    <row r="1387">
      <c r="A1387" s="27" t="inlineStr">
        <is>
          <t>MK00218</t>
        </is>
      </c>
      <c r="B1387" s="13" t="inlineStr">
        <is>
          <t>IN</t>
        </is>
      </c>
      <c r="C1387" s="177" t="n">
        <v>46231.41666666666</v>
      </c>
      <c r="D1387" s="51" t="n">
        <v>0.1261458333333333</v>
      </c>
      <c r="E1387" s="13" t="n">
        <v>528000201</v>
      </c>
      <c r="F1387" s="13" t="inlineStr">
        <is>
          <t>Zahwa Amelia Choerunissa</t>
        </is>
      </c>
      <c r="G1387" s="13" t="inlineStr">
        <is>
          <t>Produksi</t>
        </is>
      </c>
      <c r="H1387" s="13" t="inlineStr">
        <is>
          <t>Istirahat</t>
        </is>
      </c>
    </row>
    <row r="1388">
      <c r="A1388" s="27" t="inlineStr">
        <is>
          <t>MK00208</t>
        </is>
      </c>
      <c r="B1388" s="13" t="inlineStr">
        <is>
          <t>IN</t>
        </is>
      </c>
      <c r="C1388" s="177" t="n">
        <v>46231.41666666666</v>
      </c>
      <c r="D1388" s="51" t="n">
        <v>0.1262847222222222</v>
      </c>
      <c r="E1388" s="13" t="n">
        <v>528000286</v>
      </c>
      <c r="F1388" s="13" t="inlineStr">
        <is>
          <t>Imelda Amelia</t>
        </is>
      </c>
      <c r="G1388" s="13" t="inlineStr">
        <is>
          <t>Produksi</t>
        </is>
      </c>
      <c r="H1388" s="13" t="inlineStr">
        <is>
          <t>Istirahat</t>
        </is>
      </c>
    </row>
    <row r="1389">
      <c r="A1389" s="27" t="inlineStr">
        <is>
          <t>MK00116</t>
        </is>
      </c>
      <c r="B1389" s="13" t="inlineStr">
        <is>
          <t>IN</t>
        </is>
      </c>
      <c r="C1389" s="177" t="n">
        <v>46231.41666666666</v>
      </c>
      <c r="D1389" s="51" t="n">
        <v>0.1315509259259259</v>
      </c>
      <c r="E1389" s="13" t="n">
        <v>528000244</v>
      </c>
      <c r="F1389" s="13" t="inlineStr">
        <is>
          <t>Rodian Rifai</t>
        </is>
      </c>
      <c r="G1389" s="13" t="inlineStr">
        <is>
          <t>Produksi</t>
        </is>
      </c>
      <c r="H1389" s="13" t="inlineStr">
        <is>
          <t>Istirahat</t>
        </is>
      </c>
    </row>
    <row r="1390">
      <c r="A1390" s="27" t="inlineStr">
        <is>
          <t>MK00212</t>
        </is>
      </c>
      <c r="B1390" s="13" t="inlineStr">
        <is>
          <t>IN</t>
        </is>
      </c>
      <c r="C1390" s="177" t="n">
        <v>46231.41666666666</v>
      </c>
      <c r="D1390" s="51" t="n">
        <v>0.1319097222222222</v>
      </c>
      <c r="E1390" s="13" t="n">
        <v>528000212</v>
      </c>
      <c r="F1390" s="13" t="inlineStr">
        <is>
          <t>Rizal Fauzi</t>
        </is>
      </c>
      <c r="G1390" s="13" t="inlineStr">
        <is>
          <t>Produksi</t>
        </is>
      </c>
      <c r="H1390" s="13" t="inlineStr">
        <is>
          <t>Istirahat</t>
        </is>
      </c>
    </row>
    <row r="1391">
      <c r="A1391" s="27" t="inlineStr">
        <is>
          <t>MK00212</t>
        </is>
      </c>
      <c r="B1391" s="13" t="inlineStr">
        <is>
          <t>OUT</t>
        </is>
      </c>
      <c r="C1391" s="177" t="n">
        <v>46231.41666666666</v>
      </c>
      <c r="D1391" s="51" t="n">
        <v>0.1323842592592593</v>
      </c>
      <c r="E1391" s="13" t="n">
        <v>528000212</v>
      </c>
      <c r="F1391" s="13" t="inlineStr">
        <is>
          <t>Rizal Fauzi</t>
        </is>
      </c>
      <c r="G1391" s="13" t="inlineStr">
        <is>
          <t>Produksi</t>
        </is>
      </c>
      <c r="H1391" s="13" t="inlineStr">
        <is>
          <t>Istirahat</t>
        </is>
      </c>
    </row>
    <row r="1392">
      <c r="A1392" s="27" t="inlineStr">
        <is>
          <t>MK00116</t>
        </is>
      </c>
      <c r="B1392" s="13" t="inlineStr">
        <is>
          <t>OUT</t>
        </is>
      </c>
      <c r="C1392" s="177" t="n">
        <v>46231.41666666666</v>
      </c>
      <c r="D1392" s="51" t="n">
        <v>0.1325810185185185</v>
      </c>
      <c r="E1392" s="13" t="n">
        <v>528000244</v>
      </c>
      <c r="F1392" s="13" t="inlineStr">
        <is>
          <t>Rodian Rifai</t>
        </is>
      </c>
      <c r="G1392" s="13" t="inlineStr">
        <is>
          <t>Produksi</t>
        </is>
      </c>
      <c r="H1392" s="13" t="inlineStr">
        <is>
          <t>Istirahat</t>
        </is>
      </c>
    </row>
    <row r="1393">
      <c r="A1393" s="27" t="inlineStr">
        <is>
          <t>MK00154</t>
        </is>
      </c>
      <c r="B1393" s="13" t="inlineStr">
        <is>
          <t>IN</t>
        </is>
      </c>
      <c r="C1393" s="177" t="n">
        <v>46231.41666666666</v>
      </c>
      <c r="D1393" s="51" t="n">
        <v>0.1392592592592592</v>
      </c>
      <c r="E1393" s="13" t="n">
        <v>528000289</v>
      </c>
      <c r="F1393" s="13" t="inlineStr">
        <is>
          <t>Adit Supriyadi</t>
        </is>
      </c>
      <c r="G1393" s="13" t="inlineStr">
        <is>
          <t>Produksi</t>
        </is>
      </c>
      <c r="H1393" s="13" t="inlineStr">
        <is>
          <t>Istirahat</t>
        </is>
      </c>
    </row>
    <row r="1394">
      <c r="A1394" s="27" t="inlineStr">
        <is>
          <t>MK00088</t>
        </is>
      </c>
      <c r="B1394" s="13" t="inlineStr">
        <is>
          <t>IN</t>
        </is>
      </c>
      <c r="C1394" s="177" t="n">
        <v>46231.41666666666</v>
      </c>
      <c r="D1394" s="51" t="n">
        <v>0.139525462962963</v>
      </c>
      <c r="E1394" s="13" t="n">
        <v>528000090</v>
      </c>
      <c r="F1394" s="13" t="inlineStr">
        <is>
          <t>Suganda</t>
        </is>
      </c>
      <c r="G1394" s="13" t="inlineStr">
        <is>
          <t>Produksi</t>
        </is>
      </c>
      <c r="H1394" s="13" t="inlineStr">
        <is>
          <t>Istirahat</t>
        </is>
      </c>
    </row>
    <row r="1395">
      <c r="A1395" s="27" t="inlineStr">
        <is>
          <t>MK00116</t>
        </is>
      </c>
      <c r="B1395" s="13" t="inlineStr">
        <is>
          <t>IN</t>
        </is>
      </c>
      <c r="C1395" s="177" t="n">
        <v>46231.41666666666</v>
      </c>
      <c r="D1395" s="51" t="n">
        <v>0.1561111111111111</v>
      </c>
      <c r="E1395" s="13" t="n">
        <v>528000244</v>
      </c>
      <c r="F1395" s="13" t="inlineStr">
        <is>
          <t>Rodian Rifai</t>
        </is>
      </c>
      <c r="G1395" s="13" t="inlineStr">
        <is>
          <t>Produksi</t>
        </is>
      </c>
      <c r="H1395" s="13" t="inlineStr">
        <is>
          <t>Klinik</t>
        </is>
      </c>
    </row>
    <row r="1396">
      <c r="A1396" s="27" t="inlineStr">
        <is>
          <t>MK00212</t>
        </is>
      </c>
      <c r="B1396" s="13" t="inlineStr">
        <is>
          <t>IN</t>
        </is>
      </c>
      <c r="C1396" s="177" t="n">
        <v>46231.41666666666</v>
      </c>
      <c r="D1396" s="51" t="n">
        <v>0.158912037037037</v>
      </c>
      <c r="E1396" s="13" t="n">
        <v>528000212</v>
      </c>
      <c r="F1396" s="13" t="inlineStr">
        <is>
          <t>Rizal Fauzi</t>
        </is>
      </c>
      <c r="G1396" s="13" t="inlineStr">
        <is>
          <t>Produksi</t>
        </is>
      </c>
      <c r="H1396" s="13" t="inlineStr">
        <is>
          <t>Klinik</t>
        </is>
      </c>
    </row>
    <row r="1397">
      <c r="A1397" s="27" t="inlineStr">
        <is>
          <t>MK00134</t>
        </is>
      </c>
      <c r="B1397" s="13" t="inlineStr">
        <is>
          <t>OUT</t>
        </is>
      </c>
      <c r="C1397" s="177" t="n">
        <v>46231.41666666666</v>
      </c>
      <c r="D1397" s="51" t="n">
        <v>0.7499074074074074</v>
      </c>
      <c r="E1397" s="13" t="n">
        <v>528000288</v>
      </c>
      <c r="F1397" s="13" t="inlineStr">
        <is>
          <t>Dede gunawan</t>
        </is>
      </c>
      <c r="G1397" s="13" t="inlineStr">
        <is>
          <t>Produksi</t>
        </is>
      </c>
      <c r="H1397" s="13" t="inlineStr">
        <is>
          <t>Istirahat</t>
        </is>
      </c>
    </row>
    <row r="1398">
      <c r="A1398" s="27" t="inlineStr">
        <is>
          <t>MK00112</t>
        </is>
      </c>
      <c r="B1398" s="13" t="inlineStr">
        <is>
          <t>IN</t>
        </is>
      </c>
      <c r="C1398" s="177" t="n">
        <v>46231.41666666666</v>
      </c>
      <c r="D1398" s="51" t="n">
        <v>0.8103125</v>
      </c>
      <c r="E1398" s="13" t="n">
        <v>528000248</v>
      </c>
      <c r="F1398" s="13" t="inlineStr">
        <is>
          <t>Roka Jaya Salka Mulya</t>
        </is>
      </c>
      <c r="G1398" s="13" t="inlineStr">
        <is>
          <t>Produksi</t>
        </is>
      </c>
      <c r="H1398" s="13" t="inlineStr">
        <is>
          <t>Istirahat</t>
        </is>
      </c>
    </row>
    <row r="1399">
      <c r="A1399" s="27" t="inlineStr">
        <is>
          <t>MK00112</t>
        </is>
      </c>
      <c r="B1399" s="13" t="inlineStr">
        <is>
          <t>OUT</t>
        </is>
      </c>
      <c r="C1399" s="177" t="n">
        <v>46231.41666666666</v>
      </c>
      <c r="D1399" s="51" t="n">
        <v>0.8104166666666667</v>
      </c>
      <c r="E1399" s="13" t="n">
        <v>528000248</v>
      </c>
      <c r="F1399" s="13" t="inlineStr">
        <is>
          <t>Roka Jaya Salka Mulya</t>
        </is>
      </c>
      <c r="G1399" s="13" t="inlineStr">
        <is>
          <t>Produksi</t>
        </is>
      </c>
      <c r="H1399" s="13" t="inlineStr">
        <is>
          <t>Istirahat</t>
        </is>
      </c>
    </row>
    <row r="1400">
      <c r="A1400" s="27" t="inlineStr">
        <is>
          <t>MK00218</t>
        </is>
      </c>
      <c r="B1400" s="13" t="inlineStr">
        <is>
          <t>IN</t>
        </is>
      </c>
      <c r="C1400" s="177" t="n">
        <v>46231.41666666666</v>
      </c>
      <c r="D1400" s="51" t="n">
        <v>0.8117708333333333</v>
      </c>
      <c r="E1400" s="13" t="n">
        <v>628000064</v>
      </c>
      <c r="F1400" s="13" t="inlineStr">
        <is>
          <t>Silva Alypia</t>
        </is>
      </c>
      <c r="G1400" s="13" t="inlineStr">
        <is>
          <t>Produksi</t>
        </is>
      </c>
      <c r="H1400" s="13" t="inlineStr">
        <is>
          <t>Istirahat</t>
        </is>
      </c>
    </row>
    <row r="1401">
      <c r="A1401" s="27" t="inlineStr">
        <is>
          <t>MK00185</t>
        </is>
      </c>
      <c r="B1401" s="13" t="inlineStr">
        <is>
          <t>IN</t>
        </is>
      </c>
      <c r="C1401" s="177" t="n">
        <v>46231.41666666666</v>
      </c>
      <c r="D1401" s="51" t="n">
        <v>0.8151388888888889</v>
      </c>
      <c r="E1401" s="13" t="n">
        <v>528000297</v>
      </c>
      <c r="F1401" s="13" t="inlineStr">
        <is>
          <t>Muhamad Budiana</t>
        </is>
      </c>
      <c r="G1401" s="13" t="inlineStr">
        <is>
          <t>Produksi</t>
        </is>
      </c>
      <c r="H1401" s="13" t="inlineStr">
        <is>
          <t>Istirahat</t>
        </is>
      </c>
    </row>
    <row r="1402">
      <c r="A1402" s="27" t="inlineStr">
        <is>
          <t>MK00145</t>
        </is>
      </c>
      <c r="B1402" s="13" t="inlineStr">
        <is>
          <t>OUT</t>
        </is>
      </c>
      <c r="C1402" s="177" t="n">
        <v>46232.41666666666</v>
      </c>
      <c r="D1402" s="51" t="n">
        <v>0.04128472222222222</v>
      </c>
      <c r="E1402" s="13" t="n">
        <v>528000306</v>
      </c>
      <c r="F1402" s="13" t="inlineStr">
        <is>
          <t>Windy Olivia</t>
        </is>
      </c>
      <c r="G1402" s="13" t="inlineStr">
        <is>
          <t>Produksi</t>
        </is>
      </c>
      <c r="H1402" s="13" t="inlineStr">
        <is>
          <t>Istirahat</t>
        </is>
      </c>
    </row>
    <row r="1403">
      <c r="A1403" s="27" t="inlineStr">
        <is>
          <t>MK00217</t>
        </is>
      </c>
      <c r="B1403" s="13" t="inlineStr">
        <is>
          <t>OUT</t>
        </is>
      </c>
      <c r="C1403" s="177" t="n">
        <v>46232.41666666666</v>
      </c>
      <c r="D1403" s="51" t="n">
        <v>0.04582175925925926</v>
      </c>
      <c r="E1403" s="13" t="n">
        <v>528000290</v>
      </c>
      <c r="F1403" s="13" t="inlineStr">
        <is>
          <t>Eval Pranata</t>
        </is>
      </c>
      <c r="G1403" s="13" t="inlineStr">
        <is>
          <t>Produksi</t>
        </is>
      </c>
      <c r="H1403" s="13" t="inlineStr">
        <is>
          <t>Istirahat</t>
        </is>
      </c>
    </row>
    <row r="1404">
      <c r="A1404" s="27" t="inlineStr">
        <is>
          <t>MK00210</t>
        </is>
      </c>
      <c r="B1404" s="13" t="inlineStr">
        <is>
          <t>OUT</t>
        </is>
      </c>
      <c r="C1404" s="177" t="n">
        <v>46232.41666666666</v>
      </c>
      <c r="D1404" s="51" t="n">
        <v>0.04753472222222222</v>
      </c>
      <c r="E1404" s="13" t="n">
        <v>528000241</v>
      </c>
      <c r="F1404" s="13" t="inlineStr">
        <is>
          <t>Balia Nurafif Bilah</t>
        </is>
      </c>
      <c r="G1404" s="13" t="inlineStr">
        <is>
          <t>Produksi</t>
        </is>
      </c>
      <c r="H1404" s="13" t="inlineStr">
        <is>
          <t>Istirahat</t>
        </is>
      </c>
    </row>
    <row r="1405">
      <c r="A1405" s="27" t="inlineStr">
        <is>
          <t>MK00145</t>
        </is>
      </c>
      <c r="B1405" s="13" t="inlineStr">
        <is>
          <t>IN</t>
        </is>
      </c>
      <c r="C1405" s="177" t="n">
        <v>46232.41666666666</v>
      </c>
      <c r="D1405" s="51" t="n">
        <v>0.05671296296296297</v>
      </c>
      <c r="E1405" s="13" t="n">
        <v>528000306</v>
      </c>
      <c r="F1405" s="13" t="inlineStr">
        <is>
          <t>Windy Olivia</t>
        </is>
      </c>
      <c r="G1405" s="13" t="inlineStr">
        <is>
          <t>Produksi</t>
        </is>
      </c>
      <c r="H1405" s="13" t="inlineStr">
        <is>
          <t>Istirahat</t>
        </is>
      </c>
    </row>
    <row r="1406">
      <c r="A1406" s="27" t="inlineStr">
        <is>
          <t>MK00217</t>
        </is>
      </c>
      <c r="B1406" s="13" t="inlineStr">
        <is>
          <t>IN</t>
        </is>
      </c>
      <c r="C1406" s="177" t="n">
        <v>46232.41666666666</v>
      </c>
      <c r="D1406" s="51" t="n">
        <v>0.06800925925925926</v>
      </c>
      <c r="E1406" s="13" t="n">
        <v>528000290</v>
      </c>
      <c r="F1406" s="13" t="inlineStr">
        <is>
          <t>Eval Pranata</t>
        </is>
      </c>
      <c r="G1406" s="13" t="inlineStr">
        <is>
          <t>Produksi</t>
        </is>
      </c>
      <c r="H1406" s="13" t="inlineStr">
        <is>
          <t>Istirahat</t>
        </is>
      </c>
    </row>
    <row r="1407">
      <c r="A1407" s="27" t="inlineStr">
        <is>
          <t>MK00210</t>
        </is>
      </c>
      <c r="B1407" s="13" t="inlineStr">
        <is>
          <t>IN</t>
        </is>
      </c>
      <c r="C1407" s="177" t="n">
        <v>46232.41666666666</v>
      </c>
      <c r="D1407" s="51" t="n">
        <v>0.07166666666666667</v>
      </c>
      <c r="E1407" s="13" t="n">
        <v>528000241</v>
      </c>
      <c r="F1407" s="13" t="inlineStr">
        <is>
          <t>Balia Nurafif Bilah</t>
        </is>
      </c>
      <c r="G1407" s="13" t="inlineStr">
        <is>
          <t>Produksi</t>
        </is>
      </c>
      <c r="H1407" s="13" t="inlineStr">
        <is>
          <t>Istirahat</t>
        </is>
      </c>
    </row>
    <row r="1408">
      <c r="A1408" s="27" t="inlineStr">
        <is>
          <t>MK00116</t>
        </is>
      </c>
      <c r="B1408" s="13" t="inlineStr">
        <is>
          <t>IN</t>
        </is>
      </c>
      <c r="C1408" s="177" t="n">
        <v>46232.41666666666</v>
      </c>
      <c r="D1408" s="51" t="n">
        <v>0.1389583333333333</v>
      </c>
      <c r="E1408" s="13" t="n">
        <v>528000274</v>
      </c>
      <c r="F1408" s="13" t="inlineStr">
        <is>
          <t>Zepri</t>
        </is>
      </c>
      <c r="G1408" s="13" t="inlineStr">
        <is>
          <t>Produksi</t>
        </is>
      </c>
      <c r="H1408" s="13" t="inlineStr">
        <is>
          <t>Istirahat</t>
        </is>
      </c>
    </row>
    <row r="1409">
      <c r="A1409" s="27" t="inlineStr">
        <is>
          <t>MK00113</t>
        </is>
      </c>
      <c r="B1409" s="13" t="inlineStr">
        <is>
          <t>IN</t>
        </is>
      </c>
      <c r="C1409" s="177" t="n">
        <v>46232.41666666666</v>
      </c>
      <c r="D1409" s="51" t="n">
        <v>0.1392013888888889</v>
      </c>
      <c r="E1409" s="13" t="n">
        <v>528000090</v>
      </c>
      <c r="F1409" s="13" t="inlineStr">
        <is>
          <t>Suganda</t>
        </is>
      </c>
      <c r="G1409" s="13" t="inlineStr">
        <is>
          <t>Produksi</t>
        </is>
      </c>
      <c r="H1409" s="13" t="inlineStr">
        <is>
          <t>Istirahat</t>
        </is>
      </c>
    </row>
    <row r="1410">
      <c r="A1410" s="27" t="inlineStr">
        <is>
          <t>MK00213</t>
        </is>
      </c>
      <c r="B1410" s="13" t="inlineStr">
        <is>
          <t>IN</t>
        </is>
      </c>
      <c r="C1410" s="177" t="n">
        <v>46232.41666666666</v>
      </c>
      <c r="D1410" s="51" t="n">
        <v>0.1393171296296296</v>
      </c>
      <c r="E1410" s="13" t="n">
        <v>528000339</v>
      </c>
      <c r="F1410" s="13" t="inlineStr">
        <is>
          <t>Muhamad Ripai'i</t>
        </is>
      </c>
      <c r="G1410" s="13" t="inlineStr">
        <is>
          <t>Produksi</t>
        </is>
      </c>
      <c r="H1410" s="13" t="inlineStr">
        <is>
          <t>Istirahat</t>
        </is>
      </c>
    </row>
    <row r="1411">
      <c r="A1411" s="27" t="inlineStr">
        <is>
          <t>MK00249</t>
        </is>
      </c>
      <c r="B1411" s="13" t="inlineStr">
        <is>
          <t>IN</t>
        </is>
      </c>
      <c r="C1411" s="177" t="n">
        <v>46232.41666666666</v>
      </c>
      <c r="D1411" s="51" t="n">
        <v>0.1432523148148148</v>
      </c>
      <c r="E1411" s="13" t="n">
        <v>528000289</v>
      </c>
      <c r="F1411" s="13" t="inlineStr">
        <is>
          <t>Adit Supriyadi</t>
        </is>
      </c>
      <c r="G1411" s="13" t="inlineStr">
        <is>
          <t>Produksi</t>
        </is>
      </c>
      <c r="H1411" s="13" t="inlineStr">
        <is>
          <t>Istirahat</t>
        </is>
      </c>
    </row>
    <row r="1412">
      <c r="A1412" s="27" t="inlineStr">
        <is>
          <t>MK00185</t>
        </is>
      </c>
      <c r="B1412" s="13" t="inlineStr">
        <is>
          <t>OUT</t>
        </is>
      </c>
      <c r="C1412" s="177" t="n">
        <v>46232.41666666666</v>
      </c>
      <c r="D1412" s="51" t="n">
        <v>0.4198263888888889</v>
      </c>
      <c r="E1412" s="13" t="n">
        <v>528000322</v>
      </c>
      <c r="F1412" s="13" t="inlineStr">
        <is>
          <t>Muhamad Aliludin</t>
        </is>
      </c>
      <c r="G1412" s="13" t="inlineStr">
        <is>
          <t>Produksi</t>
        </is>
      </c>
      <c r="H1412" s="13" t="n"/>
    </row>
    <row r="1413">
      <c r="A1413" s="27" t="inlineStr">
        <is>
          <t>MK00202</t>
        </is>
      </c>
      <c r="B1413" s="13" t="inlineStr">
        <is>
          <t>IN</t>
        </is>
      </c>
      <c r="C1413" s="177" t="n">
        <v>46232.41666666666</v>
      </c>
      <c r="D1413" s="51" t="n">
        <v>0.4218287037037037</v>
      </c>
      <c r="E1413" s="13" t="n">
        <v>528000340</v>
      </c>
      <c r="F1413" s="13" t="inlineStr">
        <is>
          <t>Muhammad Wildan Adithya</t>
        </is>
      </c>
      <c r="G1413" s="13" t="inlineStr">
        <is>
          <t>Produksi</t>
        </is>
      </c>
      <c r="H1413" s="13" t="n"/>
    </row>
    <row r="1414">
      <c r="A1414" s="27" t="inlineStr">
        <is>
          <t>MK00220</t>
        </is>
      </c>
      <c r="B1414" s="13" t="inlineStr">
        <is>
          <t>OUT</t>
        </is>
      </c>
      <c r="C1414" s="177" t="n">
        <v>46233.41666666666</v>
      </c>
      <c r="D1414" s="51" t="n">
        <v>0.06929398148148148</v>
      </c>
      <c r="E1414" s="13" t="n">
        <v>528000358</v>
      </c>
      <c r="F1414" s="13" t="inlineStr">
        <is>
          <t>Lulu Agustin</t>
        </is>
      </c>
      <c r="G1414" s="13" t="inlineStr">
        <is>
          <t>Produksi</t>
        </is>
      </c>
      <c r="H1414" s="13" t="inlineStr">
        <is>
          <t>Istirahat</t>
        </is>
      </c>
    </row>
    <row r="1415">
      <c r="A1415" s="27" t="inlineStr">
        <is>
          <t>MK00108</t>
        </is>
      </c>
      <c r="B1415" s="13" t="inlineStr">
        <is>
          <t>OUT</t>
        </is>
      </c>
      <c r="C1415" s="177" t="n">
        <v>46233.41666666666</v>
      </c>
      <c r="D1415" s="51" t="n">
        <v>0.06954861111111112</v>
      </c>
      <c r="E1415" s="13" t="n">
        <v>528000262</v>
      </c>
      <c r="F1415" s="13" t="inlineStr">
        <is>
          <t>Ndari Dwiwanti</t>
        </is>
      </c>
      <c r="G1415" s="13" t="inlineStr">
        <is>
          <t>Produksi</t>
        </is>
      </c>
      <c r="H1415" s="13" t="inlineStr">
        <is>
          <t>Istirahat</t>
        </is>
      </c>
    </row>
    <row r="1416">
      <c r="A1416" s="27" t="inlineStr">
        <is>
          <t>MK00218</t>
        </is>
      </c>
      <c r="B1416" s="13" t="inlineStr">
        <is>
          <t>OUT</t>
        </is>
      </c>
      <c r="C1416" s="177" t="n">
        <v>46233.41666666666</v>
      </c>
      <c r="D1416" s="51" t="n">
        <v>0.0725925925925926</v>
      </c>
      <c r="E1416" s="13" t="n">
        <v>528000261</v>
      </c>
      <c r="F1416" s="13" t="inlineStr">
        <is>
          <t>Ergi Ergianto</t>
        </is>
      </c>
      <c r="G1416" s="13" t="inlineStr">
        <is>
          <t>Produksi</t>
        </is>
      </c>
      <c r="H1416" s="13" t="inlineStr">
        <is>
          <t>Istirahat</t>
        </is>
      </c>
    </row>
    <row r="1417">
      <c r="A1417" s="27" t="inlineStr">
        <is>
          <t>MK00230</t>
        </is>
      </c>
      <c r="B1417" s="13" t="inlineStr">
        <is>
          <t>OUT</t>
        </is>
      </c>
      <c r="C1417" s="177" t="n">
        <v>46233.41666666666</v>
      </c>
      <c r="D1417" s="51" t="n">
        <v>0.07501157407407408</v>
      </c>
      <c r="E1417" s="13" t="n">
        <v>528000306</v>
      </c>
      <c r="F1417" s="13" t="inlineStr">
        <is>
          <t>Windy Olivia</t>
        </is>
      </c>
      <c r="G1417" s="13" t="inlineStr">
        <is>
          <t>Produksi</t>
        </is>
      </c>
      <c r="H1417" s="13" t="inlineStr">
        <is>
          <t>Istirahat</t>
        </is>
      </c>
    </row>
    <row r="1418">
      <c r="A1418" s="27" t="inlineStr">
        <is>
          <t>MK00181</t>
        </is>
      </c>
      <c r="B1418" s="13" t="inlineStr">
        <is>
          <t>OUT</t>
        </is>
      </c>
      <c r="C1418" s="177" t="n">
        <v>46233.41666666666</v>
      </c>
      <c r="D1418" s="51" t="n">
        <v>0.07666666666666666</v>
      </c>
      <c r="E1418" s="13" t="n">
        <v>528000291</v>
      </c>
      <c r="F1418" s="13" t="inlineStr">
        <is>
          <t>Andrian</t>
        </is>
      </c>
      <c r="G1418" s="13" t="inlineStr">
        <is>
          <t>Produksi</t>
        </is>
      </c>
      <c r="H1418" s="13" t="inlineStr">
        <is>
          <t>Istirahat</t>
        </is>
      </c>
    </row>
    <row r="1419">
      <c r="A1419" s="27" t="inlineStr">
        <is>
          <t>MK00220</t>
        </is>
      </c>
      <c r="B1419" s="13" t="inlineStr">
        <is>
          <t>IN</t>
        </is>
      </c>
      <c r="C1419" s="177" t="n">
        <v>46233.41666666666</v>
      </c>
      <c r="D1419" s="51" t="n">
        <v>0.09153935185185186</v>
      </c>
      <c r="E1419" s="13" t="n">
        <v>528000358</v>
      </c>
      <c r="F1419" s="13" t="inlineStr">
        <is>
          <t>Lulu Agustin</t>
        </is>
      </c>
      <c r="G1419" s="13" t="inlineStr">
        <is>
          <t>Produksi</t>
        </is>
      </c>
      <c r="H1419" s="13" t="inlineStr">
        <is>
          <t>Istirahat</t>
        </is>
      </c>
    </row>
    <row r="1420">
      <c r="A1420" s="27" t="inlineStr">
        <is>
          <t>MK00108</t>
        </is>
      </c>
      <c r="B1420" s="13" t="inlineStr">
        <is>
          <t>IN</t>
        </is>
      </c>
      <c r="C1420" s="177" t="n">
        <v>46233.41666666666</v>
      </c>
      <c r="D1420" s="51" t="n">
        <v>0.09185185185185185</v>
      </c>
      <c r="E1420" s="13" t="n">
        <v>528000262</v>
      </c>
      <c r="F1420" s="13" t="inlineStr">
        <is>
          <t>Ndari Dwiwanti</t>
        </is>
      </c>
      <c r="G1420" s="13" t="inlineStr">
        <is>
          <t>Produksi</t>
        </is>
      </c>
      <c r="H1420" s="13" t="inlineStr">
        <is>
          <t>Istirahat</t>
        </is>
      </c>
    </row>
    <row r="1421">
      <c r="A1421" s="27" t="inlineStr">
        <is>
          <t>MK00136</t>
        </is>
      </c>
      <c r="B1421" s="13" t="inlineStr">
        <is>
          <t>IN</t>
        </is>
      </c>
      <c r="C1421" s="177" t="n">
        <v>46233.41666666666</v>
      </c>
      <c r="D1421" s="51" t="n">
        <v>0.09584490740740741</v>
      </c>
      <c r="E1421" s="13" t="n">
        <v>528000328</v>
      </c>
      <c r="F1421" s="13" t="inlineStr">
        <is>
          <t>Nur Anjani</t>
        </is>
      </c>
      <c r="G1421" s="13" t="inlineStr">
        <is>
          <t>Produksi</t>
        </is>
      </c>
      <c r="H1421" s="13" t="inlineStr">
        <is>
          <t>Istirahat</t>
        </is>
      </c>
    </row>
    <row r="1422">
      <c r="A1422" s="27" t="inlineStr">
        <is>
          <t>MK00230</t>
        </is>
      </c>
      <c r="B1422" s="13" t="inlineStr">
        <is>
          <t>IN</t>
        </is>
      </c>
      <c r="C1422" s="177" t="n">
        <v>46233.41666666666</v>
      </c>
      <c r="D1422" s="51" t="n">
        <v>0.09667824074074075</v>
      </c>
      <c r="E1422" s="13" t="n">
        <v>528000306</v>
      </c>
      <c r="F1422" s="13" t="inlineStr">
        <is>
          <t>Windy Olivia</t>
        </is>
      </c>
      <c r="G1422" s="13" t="inlineStr">
        <is>
          <t>Produksi</t>
        </is>
      </c>
      <c r="H1422" s="13" t="inlineStr">
        <is>
          <t>Istirahat</t>
        </is>
      </c>
    </row>
    <row r="1423">
      <c r="A1423" s="27" t="inlineStr">
        <is>
          <t>MK00136</t>
        </is>
      </c>
      <c r="B1423" s="13" t="inlineStr">
        <is>
          <t>OUT</t>
        </is>
      </c>
      <c r="C1423" s="177" t="n">
        <v>46233.41666666666</v>
      </c>
      <c r="D1423" s="51" t="n">
        <v>0.09709490740740741</v>
      </c>
      <c r="E1423" s="13" t="n">
        <v>528000328</v>
      </c>
      <c r="F1423" s="13" t="inlineStr">
        <is>
          <t>Nur Anjani</t>
        </is>
      </c>
      <c r="G1423" s="13" t="inlineStr">
        <is>
          <t>Produksi</t>
        </is>
      </c>
      <c r="H1423" s="13" t="inlineStr">
        <is>
          <t>Istirahat</t>
        </is>
      </c>
    </row>
    <row r="1424">
      <c r="A1424" s="27" t="inlineStr">
        <is>
          <t>MK00088</t>
        </is>
      </c>
      <c r="B1424" s="13" t="inlineStr">
        <is>
          <t>OUT</t>
        </is>
      </c>
      <c r="C1424" s="177" t="n">
        <v>46233.41666666666</v>
      </c>
      <c r="D1424" s="51" t="n">
        <v>0.09726851851851852</v>
      </c>
      <c r="E1424" s="13" t="n">
        <v>528000336</v>
      </c>
      <c r="F1424" s="13" t="inlineStr">
        <is>
          <t>Ali Nurhanafi</t>
        </is>
      </c>
      <c r="G1424" s="13" t="inlineStr">
        <is>
          <t>Produksi</t>
        </is>
      </c>
      <c r="H1424" s="13" t="inlineStr">
        <is>
          <t>Istirahat</t>
        </is>
      </c>
    </row>
    <row r="1425">
      <c r="A1425" s="27" t="inlineStr">
        <is>
          <t>MK00218</t>
        </is>
      </c>
      <c r="B1425" s="13" t="inlineStr">
        <is>
          <t>IN</t>
        </is>
      </c>
      <c r="C1425" s="177" t="n">
        <v>46233.41666666666</v>
      </c>
      <c r="D1425" s="51" t="n">
        <v>0.09767361111111111</v>
      </c>
      <c r="E1425" s="13" t="n">
        <v>528000261</v>
      </c>
      <c r="F1425" s="13" t="inlineStr">
        <is>
          <t>Ergi Ergianto</t>
        </is>
      </c>
      <c r="G1425" s="13" t="inlineStr">
        <is>
          <t>Produksi</t>
        </is>
      </c>
      <c r="H1425" s="13" t="inlineStr">
        <is>
          <t>Istirahat</t>
        </is>
      </c>
    </row>
    <row r="1426">
      <c r="A1426" s="27" t="inlineStr">
        <is>
          <t>MK00181</t>
        </is>
      </c>
      <c r="B1426" s="13" t="inlineStr">
        <is>
          <t>IN</t>
        </is>
      </c>
      <c r="C1426" s="177" t="n">
        <v>46233.41666666666</v>
      </c>
      <c r="D1426" s="51" t="n">
        <v>0.1046759259259259</v>
      </c>
      <c r="E1426" s="13" t="n">
        <v>528000291</v>
      </c>
      <c r="F1426" s="13" t="inlineStr">
        <is>
          <t>Andrian</t>
        </is>
      </c>
      <c r="G1426" s="13" t="inlineStr">
        <is>
          <t>Produksi</t>
        </is>
      </c>
      <c r="H1426" s="13" t="inlineStr">
        <is>
          <t>Istirahat</t>
        </is>
      </c>
    </row>
    <row r="1427">
      <c r="A1427" s="27" t="inlineStr">
        <is>
          <t>MK00136</t>
        </is>
      </c>
      <c r="B1427" s="13" t="inlineStr">
        <is>
          <t>IN</t>
        </is>
      </c>
      <c r="C1427" s="177" t="n">
        <v>46233.41666666666</v>
      </c>
      <c r="D1427" s="51" t="n">
        <v>0.1181481481481482</v>
      </c>
      <c r="E1427" s="13" t="n">
        <v>528000328</v>
      </c>
      <c r="F1427" s="13" t="inlineStr">
        <is>
          <t>Nur Anjani</t>
        </is>
      </c>
      <c r="G1427" s="13" t="inlineStr">
        <is>
          <t>Produksi</t>
        </is>
      </c>
      <c r="H1427" s="13" t="inlineStr">
        <is>
          <t>Istirahat</t>
        </is>
      </c>
    </row>
    <row r="1428">
      <c r="A1428" s="27" t="inlineStr">
        <is>
          <t>MK00088</t>
        </is>
      </c>
      <c r="B1428" s="13" t="inlineStr">
        <is>
          <t>IN</t>
        </is>
      </c>
      <c r="C1428" s="177" t="n">
        <v>46233.41666666666</v>
      </c>
      <c r="D1428" s="51" t="n">
        <v>0.1265277777777778</v>
      </c>
      <c r="E1428" s="13" t="n">
        <v>528000336</v>
      </c>
      <c r="F1428" s="13" t="inlineStr">
        <is>
          <t>Ali Nurhanafi</t>
        </is>
      </c>
      <c r="G1428" s="13" t="inlineStr">
        <is>
          <t>Produksi</t>
        </is>
      </c>
      <c r="H1428" s="13" t="inlineStr">
        <is>
          <t>Istirahat</t>
        </is>
      </c>
    </row>
    <row r="1429">
      <c r="A1429" s="27" t="inlineStr">
        <is>
          <t>MK00202</t>
        </is>
      </c>
      <c r="B1429" s="13" t="inlineStr">
        <is>
          <t>OUT</t>
        </is>
      </c>
      <c r="C1429" s="177" t="n">
        <v>46233.41666666666</v>
      </c>
      <c r="D1429" s="51" t="n">
        <v>0.1300115740740741</v>
      </c>
      <c r="E1429" s="13" t="n">
        <v>528000337</v>
      </c>
      <c r="F1429" s="13" t="inlineStr">
        <is>
          <t>Ahmad Zaldi Firdaus</t>
        </is>
      </c>
      <c r="G1429" s="13" t="inlineStr">
        <is>
          <t>Produksi</t>
        </is>
      </c>
      <c r="H1429" s="13" t="inlineStr">
        <is>
          <t>Istirahat</t>
        </is>
      </c>
    </row>
    <row r="1430">
      <c r="A1430" s="27" t="inlineStr">
        <is>
          <t>MK00202</t>
        </is>
      </c>
      <c r="B1430" s="13" t="inlineStr">
        <is>
          <t>OUT</t>
        </is>
      </c>
      <c r="C1430" s="177" t="n">
        <v>46233.41666666666</v>
      </c>
      <c r="D1430" s="51" t="n">
        <v>0.1309143518518519</v>
      </c>
      <c r="E1430" s="13" t="n">
        <v>528000337</v>
      </c>
      <c r="F1430" s="13" t="inlineStr">
        <is>
          <t>Ahmad Zaldi Firdaus</t>
        </is>
      </c>
      <c r="G1430" s="13" t="inlineStr">
        <is>
          <t>Produksi</t>
        </is>
      </c>
      <c r="H1430" s="13" t="inlineStr">
        <is>
          <t>Istirahat</t>
        </is>
      </c>
    </row>
    <row r="1431">
      <c r="A1431" s="27" t="inlineStr">
        <is>
          <t>MK00210</t>
        </is>
      </c>
      <c r="B1431" s="13" t="inlineStr">
        <is>
          <t>OUT</t>
        </is>
      </c>
      <c r="C1431" s="177" t="n">
        <v>46233.41666666666</v>
      </c>
      <c r="D1431" s="51" t="n">
        <v>0.1396990740740741</v>
      </c>
      <c r="E1431" s="13" t="n">
        <v>528000325</v>
      </c>
      <c r="F1431" s="13" t="inlineStr">
        <is>
          <t>Rani Septia Ramadani</t>
        </is>
      </c>
      <c r="G1431" s="13" t="inlineStr">
        <is>
          <t>Produksi</t>
        </is>
      </c>
      <c r="H1431" s="13" t="inlineStr">
        <is>
          <t>Istirahat</t>
        </is>
      </c>
    </row>
    <row r="1432">
      <c r="A1432" s="27" t="inlineStr">
        <is>
          <t>MK00202</t>
        </is>
      </c>
      <c r="B1432" s="13" t="inlineStr">
        <is>
          <t>IN</t>
        </is>
      </c>
      <c r="C1432" s="177" t="n">
        <v>46233.41666666666</v>
      </c>
      <c r="D1432" s="51" t="n">
        <v>0.1513194444444445</v>
      </c>
      <c r="E1432" s="13" t="n">
        <v>528000337</v>
      </c>
      <c r="F1432" s="13" t="inlineStr">
        <is>
          <t>Ahmad Zaldi Firdaus</t>
        </is>
      </c>
      <c r="G1432" s="13" t="inlineStr">
        <is>
          <t>Produksi</t>
        </is>
      </c>
      <c r="H1432" s="13" t="inlineStr">
        <is>
          <t>Istirahat</t>
        </is>
      </c>
    </row>
    <row r="1433">
      <c r="A1433" s="27" t="inlineStr">
        <is>
          <t>MK00250</t>
        </is>
      </c>
      <c r="B1433" s="13" t="inlineStr">
        <is>
          <t>OUT</t>
        </is>
      </c>
      <c r="C1433" s="177" t="n">
        <v>46233.41666666666</v>
      </c>
      <c r="D1433" s="51" t="n">
        <v>0.3760532407407408</v>
      </c>
      <c r="E1433" s="13" t="n">
        <v>528000305</v>
      </c>
      <c r="F1433" s="13" t="inlineStr">
        <is>
          <t>Puji Puspita</t>
        </is>
      </c>
      <c r="G1433" s="13" t="inlineStr">
        <is>
          <t>Produksi</t>
        </is>
      </c>
      <c r="H1433" s="13" t="inlineStr">
        <is>
          <t>Toilet</t>
        </is>
      </c>
    </row>
    <row r="1434">
      <c r="A1434" s="27" t="inlineStr">
        <is>
          <t>MK00250</t>
        </is>
      </c>
      <c r="B1434" s="13" t="inlineStr">
        <is>
          <t>IN</t>
        </is>
      </c>
      <c r="C1434" s="177" t="n">
        <v>46233.41666666666</v>
      </c>
      <c r="D1434" s="51" t="n">
        <v>0.3785069444444444</v>
      </c>
      <c r="E1434" s="13" t="n">
        <v>528000305</v>
      </c>
      <c r="F1434" s="13" t="inlineStr">
        <is>
          <t>Puji Puspita</t>
        </is>
      </c>
      <c r="G1434" s="13" t="inlineStr">
        <is>
          <t>Produksi</t>
        </is>
      </c>
      <c r="H1434" s="13" t="inlineStr">
        <is>
          <t>Toilet</t>
        </is>
      </c>
    </row>
    <row r="1435">
      <c r="A1435" s="27" t="inlineStr">
        <is>
          <t>MK00250</t>
        </is>
      </c>
      <c r="B1435" s="13" t="inlineStr">
        <is>
          <t>OUT</t>
        </is>
      </c>
      <c r="C1435" s="177" t="n">
        <v>46233.41666666666</v>
      </c>
      <c r="D1435" s="51" t="n">
        <v>0.3797222222222222</v>
      </c>
      <c r="E1435" s="13" t="n">
        <v>528000305</v>
      </c>
      <c r="F1435" s="13" t="inlineStr">
        <is>
          <t>Puji Puspita</t>
        </is>
      </c>
      <c r="G1435" s="13" t="inlineStr">
        <is>
          <t>Produksi</t>
        </is>
      </c>
      <c r="H1435" s="13" t="inlineStr">
        <is>
          <t>Toilet</t>
        </is>
      </c>
    </row>
    <row r="1436">
      <c r="A1436" s="27" t="inlineStr">
        <is>
          <t>MK00213</t>
        </is>
      </c>
      <c r="B1436" s="13" t="inlineStr">
        <is>
          <t>OUT</t>
        </is>
      </c>
      <c r="C1436" s="177" t="n">
        <v>46061</v>
      </c>
      <c r="D1436" s="51" t="n">
        <v>0.4038194444444445</v>
      </c>
      <c r="E1436" s="13" t="n">
        <v>528000279</v>
      </c>
      <c r="F1436" s="13" t="inlineStr">
        <is>
          <t>Mahdalena Dalfa Riani</t>
        </is>
      </c>
      <c r="G1436" s="13" t="inlineStr">
        <is>
          <t>Produksi</t>
        </is>
      </c>
      <c r="H1436" s="13" t="inlineStr">
        <is>
          <t>Istirahat</t>
        </is>
      </c>
    </row>
    <row r="1437">
      <c r="A1437" s="27" t="inlineStr">
        <is>
          <t>MK00136</t>
        </is>
      </c>
      <c r="B1437" s="13" t="inlineStr">
        <is>
          <t>OUT</t>
        </is>
      </c>
      <c r="C1437" s="177" t="n">
        <v>46061</v>
      </c>
      <c r="D1437" s="51" t="n">
        <v>0.4091319444444445</v>
      </c>
      <c r="E1437" s="13" t="n">
        <v>528000334</v>
      </c>
      <c r="F1437" s="13" t="inlineStr">
        <is>
          <t>Naufal Yudhistira</t>
        </is>
      </c>
      <c r="G1437" s="13" t="inlineStr">
        <is>
          <t>Produksi</t>
        </is>
      </c>
      <c r="H1437" s="13" t="inlineStr">
        <is>
          <t>Istirahat</t>
        </is>
      </c>
    </row>
    <row r="1438">
      <c r="A1438" s="27" t="inlineStr">
        <is>
          <t>MK00212</t>
        </is>
      </c>
      <c r="B1438" s="13" t="inlineStr">
        <is>
          <t>OUT</t>
        </is>
      </c>
      <c r="C1438" s="177" t="n">
        <v>46061</v>
      </c>
      <c r="D1438" s="51" t="n">
        <v>0.4141550925925926</v>
      </c>
      <c r="E1438" s="13" t="n">
        <v>528000359</v>
      </c>
      <c r="F1438" s="13" t="inlineStr">
        <is>
          <t>M. Iqbal Maulana. S</t>
        </is>
      </c>
      <c r="G1438" s="13" t="inlineStr">
        <is>
          <t>Produksi</t>
        </is>
      </c>
      <c r="H1438" s="13" t="inlineStr">
        <is>
          <t>Istirahat</t>
        </is>
      </c>
    </row>
    <row r="1439">
      <c r="A1439" s="27" t="inlineStr">
        <is>
          <t>MK00213</t>
        </is>
      </c>
      <c r="B1439" s="13" t="inlineStr">
        <is>
          <t>IN</t>
        </is>
      </c>
      <c r="C1439" s="177" t="n">
        <v>46061</v>
      </c>
      <c r="D1439" s="51" t="n">
        <v>0.4143055555555555</v>
      </c>
      <c r="E1439" s="13" t="n">
        <v>528000279</v>
      </c>
      <c r="F1439" s="13" t="inlineStr">
        <is>
          <t>Mahdalena Dalfa Riani</t>
        </is>
      </c>
      <c r="G1439" s="13" t="inlineStr">
        <is>
          <t>Produksi</t>
        </is>
      </c>
      <c r="H1439" s="13" t="inlineStr">
        <is>
          <t>Istirahat</t>
        </is>
      </c>
    </row>
    <row r="1440">
      <c r="A1440" s="27" t="inlineStr">
        <is>
          <t>MK00209</t>
        </is>
      </c>
      <c r="B1440" s="13" t="inlineStr">
        <is>
          <t>OUT</t>
        </is>
      </c>
      <c r="C1440" s="177" t="n">
        <v>46061</v>
      </c>
      <c r="D1440" s="51" t="n">
        <v>0.4171064814814815</v>
      </c>
      <c r="E1440" s="13" t="n">
        <v>528000300</v>
      </c>
      <c r="F1440" s="13" t="inlineStr">
        <is>
          <t>Lia pitaloka</t>
        </is>
      </c>
      <c r="G1440" s="13" t="inlineStr">
        <is>
          <t>Produksi</t>
        </is>
      </c>
      <c r="H1440" s="13" t="inlineStr">
        <is>
          <t>Istirahat</t>
        </is>
      </c>
    </row>
    <row r="1441">
      <c r="A1441" s="27" t="inlineStr">
        <is>
          <t>MK00212</t>
        </is>
      </c>
      <c r="B1441" s="13" t="inlineStr">
        <is>
          <t>IN</t>
        </is>
      </c>
      <c r="C1441" s="177" t="n">
        <v>46061</v>
      </c>
      <c r="D1441" s="51" t="n">
        <v>0.429849537037037</v>
      </c>
      <c r="E1441" s="13" t="n">
        <v>528000359</v>
      </c>
      <c r="F1441" s="13" t="inlineStr">
        <is>
          <t>M. Iqbal Maulana. S</t>
        </is>
      </c>
      <c r="G1441" s="13" t="inlineStr">
        <is>
          <t>Produksi</t>
        </is>
      </c>
      <c r="H1441" s="13" t="inlineStr">
        <is>
          <t>Istirahat</t>
        </is>
      </c>
    </row>
    <row r="1442">
      <c r="A1442" s="27" t="inlineStr">
        <is>
          <t>MK00202</t>
        </is>
      </c>
      <c r="B1442" s="13" t="inlineStr">
        <is>
          <t>OUT</t>
        </is>
      </c>
      <c r="C1442" s="177" t="n">
        <v>46061</v>
      </c>
      <c r="D1442" s="51" t="n">
        <v>0.4315393518518518</v>
      </c>
      <c r="E1442" s="13" t="n">
        <v>528000248</v>
      </c>
      <c r="F1442" s="13" t="inlineStr">
        <is>
          <t>Roka Jaya Salka Mulya</t>
        </is>
      </c>
      <c r="G1442" s="13" t="inlineStr">
        <is>
          <t>Produksi</t>
        </is>
      </c>
      <c r="H1442" s="13" t="inlineStr">
        <is>
          <t>Istirahat</t>
        </is>
      </c>
    </row>
    <row r="1443">
      <c r="A1443" s="27" t="inlineStr">
        <is>
          <t>MK00136</t>
        </is>
      </c>
      <c r="B1443" s="13" t="inlineStr">
        <is>
          <t>IN</t>
        </is>
      </c>
      <c r="C1443" s="177" t="n">
        <v>46061</v>
      </c>
      <c r="D1443" s="51" t="n">
        <v>0.4379282407407407</v>
      </c>
      <c r="E1443" s="13" t="n">
        <v>528000334</v>
      </c>
      <c r="F1443" s="13" t="inlineStr">
        <is>
          <t>Naufal Yudhistira</t>
        </is>
      </c>
      <c r="G1443" s="13" t="inlineStr">
        <is>
          <t>Produksi</t>
        </is>
      </c>
      <c r="H1443" s="13" t="inlineStr">
        <is>
          <t>Istirahat</t>
        </is>
      </c>
    </row>
    <row r="1444">
      <c r="A1444" s="27" t="inlineStr">
        <is>
          <t>MK00209</t>
        </is>
      </c>
      <c r="B1444" s="13" t="inlineStr">
        <is>
          <t>IN</t>
        </is>
      </c>
      <c r="C1444" s="177" t="n">
        <v>46061</v>
      </c>
      <c r="D1444" s="51" t="n">
        <v>0.4450115740740741</v>
      </c>
      <c r="E1444" s="13" t="n">
        <v>528000300</v>
      </c>
      <c r="F1444" s="13" t="inlineStr">
        <is>
          <t>Lia pitaloka</t>
        </is>
      </c>
      <c r="G1444" s="13" t="inlineStr">
        <is>
          <t>Produksi</t>
        </is>
      </c>
      <c r="H1444" s="13" t="inlineStr">
        <is>
          <t>Istirahat</t>
        </is>
      </c>
    </row>
    <row r="1445">
      <c r="A1445" s="27" t="inlineStr">
        <is>
          <t>MK00145</t>
        </is>
      </c>
      <c r="B1445" s="13" t="inlineStr">
        <is>
          <t>OUT</t>
        </is>
      </c>
      <c r="C1445" s="177" t="n">
        <v>46061</v>
      </c>
      <c r="D1445" s="51" t="n">
        <v>0.4509837962962963</v>
      </c>
      <c r="E1445" s="13" t="n">
        <v>628000064</v>
      </c>
      <c r="F1445" s="13" t="inlineStr">
        <is>
          <t>Silva Alypia</t>
        </is>
      </c>
      <c r="G1445" s="13" t="inlineStr">
        <is>
          <t>Produksi</t>
        </is>
      </c>
      <c r="H1445" s="13" t="inlineStr">
        <is>
          <t>Istirahat</t>
        </is>
      </c>
    </row>
    <row r="1446">
      <c r="A1446" s="27" t="inlineStr">
        <is>
          <t>MK00134</t>
        </is>
      </c>
      <c r="B1446" s="13" t="inlineStr">
        <is>
          <t>IN</t>
        </is>
      </c>
      <c r="C1446" s="177" t="n">
        <v>46061</v>
      </c>
      <c r="D1446" s="51" t="n">
        <v>0.4585185185185185</v>
      </c>
      <c r="E1446" s="13" t="n">
        <v>528000288</v>
      </c>
      <c r="F1446" s="13" t="inlineStr">
        <is>
          <t>Dede gunawan</t>
        </is>
      </c>
      <c r="G1446" s="13" t="inlineStr">
        <is>
          <t>Produksi</t>
        </is>
      </c>
      <c r="H1446" s="13" t="inlineStr">
        <is>
          <t>Istirahat</t>
        </is>
      </c>
    </row>
    <row r="1447">
      <c r="A1447" s="27" t="inlineStr">
        <is>
          <t>MK00202</t>
        </is>
      </c>
      <c r="B1447" s="13" t="inlineStr">
        <is>
          <t>IN</t>
        </is>
      </c>
      <c r="C1447" s="177" t="n">
        <v>46061</v>
      </c>
      <c r="D1447" s="51" t="n">
        <v>0.458738425925926</v>
      </c>
      <c r="E1447" s="13" t="n">
        <v>528000248</v>
      </c>
      <c r="F1447" s="13" t="inlineStr">
        <is>
          <t>Roka Jaya Salka Mulya</t>
        </is>
      </c>
      <c r="G1447" s="13" t="inlineStr">
        <is>
          <t>Produksi</t>
        </is>
      </c>
      <c r="H1447" s="13" t="inlineStr">
        <is>
          <t>Istirahat</t>
        </is>
      </c>
    </row>
    <row r="1448">
      <c r="A1448" s="27" t="inlineStr">
        <is>
          <t>MK00145</t>
        </is>
      </c>
      <c r="B1448" s="13" t="inlineStr">
        <is>
          <t>IN</t>
        </is>
      </c>
      <c r="C1448" s="177" t="n">
        <v>46061</v>
      </c>
      <c r="D1448" s="51" t="n">
        <v>0.4784027777777778</v>
      </c>
      <c r="E1448" s="13" t="n">
        <v>628000064</v>
      </c>
      <c r="F1448" s="13" t="inlineStr">
        <is>
          <t>Silva Alypia</t>
        </is>
      </c>
      <c r="G1448" s="13" t="inlineStr">
        <is>
          <t>Produksi</t>
        </is>
      </c>
      <c r="H1448" s="13" t="inlineStr">
        <is>
          <t>Istirahat</t>
        </is>
      </c>
    </row>
    <row r="1449">
      <c r="A1449" s="27" t="inlineStr">
        <is>
          <t>MK00121</t>
        </is>
      </c>
      <c r="B1449" s="13" t="inlineStr">
        <is>
          <t>OUT</t>
        </is>
      </c>
      <c r="C1449" s="177" t="n">
        <v>46061</v>
      </c>
      <c r="D1449" s="51" t="n">
        <v>0.6930439814814815</v>
      </c>
      <c r="E1449" s="13" t="n">
        <v>528000296</v>
      </c>
      <c r="F1449" s="13" t="inlineStr">
        <is>
          <t>Nurdin</t>
        </is>
      </c>
      <c r="G1449" s="13" t="inlineStr">
        <is>
          <t>Produksi</t>
        </is>
      </c>
      <c r="H1449" s="13" t="inlineStr">
        <is>
          <t>Istirahat</t>
        </is>
      </c>
    </row>
    <row r="1450">
      <c r="A1450" s="27" t="inlineStr">
        <is>
          <t>MK00208</t>
        </is>
      </c>
      <c r="B1450" s="13" t="inlineStr">
        <is>
          <t>OUT</t>
        </is>
      </c>
      <c r="C1450" s="177" t="n">
        <v>46061</v>
      </c>
      <c r="D1450" s="51" t="n">
        <v>0.7386458333333333</v>
      </c>
      <c r="E1450" s="13" t="n">
        <v>528000290</v>
      </c>
      <c r="F1450" s="13" t="inlineStr">
        <is>
          <t>Eval Pranata</t>
        </is>
      </c>
      <c r="G1450" s="13" t="inlineStr">
        <is>
          <t>Produksi</t>
        </is>
      </c>
      <c r="H1450" s="13" t="inlineStr">
        <is>
          <t>Istirahat</t>
        </is>
      </c>
    </row>
    <row r="1451">
      <c r="A1451" s="27" t="inlineStr">
        <is>
          <t>MK00108</t>
        </is>
      </c>
      <c r="B1451" s="13" t="inlineStr">
        <is>
          <t>OUT</t>
        </is>
      </c>
      <c r="C1451" s="177" t="n">
        <v>46061</v>
      </c>
      <c r="D1451" s="51" t="n">
        <v>0.7611111111111111</v>
      </c>
      <c r="E1451" s="13" t="n">
        <v>528000339</v>
      </c>
      <c r="F1451" s="13" t="inlineStr">
        <is>
          <t>Muhamad Ripai'i</t>
        </is>
      </c>
      <c r="G1451" s="13" t="inlineStr">
        <is>
          <t>Produksi</t>
        </is>
      </c>
      <c r="H1451" s="13" t="inlineStr">
        <is>
          <t>Istirahat</t>
        </is>
      </c>
    </row>
    <row r="1452">
      <c r="A1452" s="27" t="inlineStr">
        <is>
          <t>MK00208</t>
        </is>
      </c>
      <c r="B1452" s="13" t="inlineStr">
        <is>
          <t>IN</t>
        </is>
      </c>
      <c r="C1452" s="177" t="n">
        <v>46061</v>
      </c>
      <c r="D1452" s="51" t="n">
        <v>0.7613657407407407</v>
      </c>
      <c r="E1452" s="13" t="n">
        <v>528000290</v>
      </c>
      <c r="F1452" s="13" t="inlineStr">
        <is>
          <t>Eval Pranata</t>
        </is>
      </c>
      <c r="G1452" s="13" t="inlineStr">
        <is>
          <t>Produksi</t>
        </is>
      </c>
      <c r="H1452" s="13" t="inlineStr">
        <is>
          <t>Istirahat</t>
        </is>
      </c>
    </row>
    <row r="1453">
      <c r="A1453" s="27" t="inlineStr">
        <is>
          <t>MK00112</t>
        </is>
      </c>
      <c r="B1453" s="13" t="inlineStr">
        <is>
          <t>OUT</t>
        </is>
      </c>
      <c r="C1453" s="177" t="n">
        <v>46061</v>
      </c>
      <c r="D1453" s="51" t="n">
        <v>0.7650347222222222</v>
      </c>
      <c r="E1453" s="13" t="n">
        <v>528000212</v>
      </c>
      <c r="F1453" s="13" t="inlineStr">
        <is>
          <t>Rizal Fauzi</t>
        </is>
      </c>
      <c r="G1453" s="13" t="inlineStr">
        <is>
          <t>Produksi</t>
        </is>
      </c>
      <c r="H1453" s="13" t="inlineStr">
        <is>
          <t>Istirahat</t>
        </is>
      </c>
    </row>
    <row r="1454">
      <c r="A1454" s="27" t="inlineStr">
        <is>
          <t>MK00181</t>
        </is>
      </c>
      <c r="B1454" s="13" t="inlineStr">
        <is>
          <t>OUT</t>
        </is>
      </c>
      <c r="C1454" s="177" t="n">
        <v>46061</v>
      </c>
      <c r="D1454" s="51" t="n">
        <v>0.7707986111111111</v>
      </c>
      <c r="E1454" s="13" t="n">
        <v>528000286</v>
      </c>
      <c r="F1454" s="13" t="inlineStr">
        <is>
          <t>Imelda Amelia</t>
        </is>
      </c>
      <c r="G1454" s="13" t="inlineStr">
        <is>
          <t>Produksi</t>
        </is>
      </c>
      <c r="H1454" s="13" t="inlineStr">
        <is>
          <t>Istirahat</t>
        </is>
      </c>
    </row>
    <row r="1455">
      <c r="A1455" s="27" t="inlineStr">
        <is>
          <t>MK00217</t>
        </is>
      </c>
      <c r="B1455" s="13" t="inlineStr">
        <is>
          <t>OUT</t>
        </is>
      </c>
      <c r="C1455" s="177" t="n">
        <v>46061</v>
      </c>
      <c r="D1455" s="51" t="n">
        <v>0.7822337962962963</v>
      </c>
      <c r="E1455" s="13" t="n">
        <v>528000274</v>
      </c>
      <c r="F1455" s="13" t="inlineStr">
        <is>
          <t>Zepri</t>
        </is>
      </c>
      <c r="G1455" s="13" t="inlineStr">
        <is>
          <t>Produksi</t>
        </is>
      </c>
      <c r="H1455" s="13" t="inlineStr">
        <is>
          <t>Istirahat</t>
        </is>
      </c>
    </row>
    <row r="1456">
      <c r="A1456" s="27" t="inlineStr">
        <is>
          <t>MK00109</t>
        </is>
      </c>
      <c r="B1456" s="13" t="inlineStr">
        <is>
          <t>OUT</t>
        </is>
      </c>
      <c r="C1456" s="177" t="n">
        <v>46061</v>
      </c>
      <c r="D1456" s="51" t="n">
        <v>0.7823726851851852</v>
      </c>
      <c r="E1456" s="13" t="n">
        <v>528000090</v>
      </c>
      <c r="F1456" s="13" t="inlineStr">
        <is>
          <t>Suganda</t>
        </is>
      </c>
      <c r="G1456" s="13" t="inlineStr">
        <is>
          <t>Produksi</t>
        </is>
      </c>
      <c r="H1456" s="13" t="inlineStr">
        <is>
          <t>Istirahat</t>
        </is>
      </c>
    </row>
    <row r="1457">
      <c r="A1457" s="27" t="inlineStr">
        <is>
          <t>MK00138</t>
        </is>
      </c>
      <c r="B1457" s="13" t="inlineStr">
        <is>
          <t>OUT</t>
        </is>
      </c>
      <c r="C1457" s="177" t="n">
        <v>46061</v>
      </c>
      <c r="D1457" s="51" t="n">
        <v>0.7824884259259259</v>
      </c>
      <c r="E1457" s="13" t="n">
        <v>528000289</v>
      </c>
      <c r="F1457" s="13" t="inlineStr">
        <is>
          <t>Adit Supriyadi</t>
        </is>
      </c>
      <c r="G1457" s="13" t="inlineStr">
        <is>
          <t>Produksi</t>
        </is>
      </c>
      <c r="H1457" s="13" t="inlineStr">
        <is>
          <t>Istirahat</t>
        </is>
      </c>
    </row>
    <row r="1458">
      <c r="A1458" s="27" t="inlineStr">
        <is>
          <t>MK00095</t>
        </is>
      </c>
      <c r="B1458" s="13" t="inlineStr">
        <is>
          <t>OUT</t>
        </is>
      </c>
      <c r="C1458" s="177" t="n">
        <v>46061</v>
      </c>
      <c r="D1458" s="51" t="n">
        <v>0.7853587962962963</v>
      </c>
      <c r="E1458" s="13" t="n">
        <v>528000201</v>
      </c>
      <c r="F1458" s="13" t="inlineStr">
        <is>
          <t>Zahwa Amelia Choerunissa</t>
        </is>
      </c>
      <c r="G1458" s="13" t="inlineStr">
        <is>
          <t>Produksi</t>
        </is>
      </c>
      <c r="H1458" s="13" t="inlineStr">
        <is>
          <t>Istirahat</t>
        </is>
      </c>
    </row>
    <row r="1459">
      <c r="A1459" s="27" t="inlineStr">
        <is>
          <t>MK00181</t>
        </is>
      </c>
      <c r="B1459" s="13" t="inlineStr">
        <is>
          <t>IN</t>
        </is>
      </c>
      <c r="C1459" s="177" t="n">
        <v>46061</v>
      </c>
      <c r="D1459" s="51" t="n">
        <v>0.7927893518518518</v>
      </c>
      <c r="E1459" s="13" t="n">
        <v>528000286</v>
      </c>
      <c r="F1459" s="13" t="inlineStr">
        <is>
          <t>Imelda Amelia</t>
        </is>
      </c>
      <c r="G1459" s="13" t="inlineStr">
        <is>
          <t>Produksi</t>
        </is>
      </c>
      <c r="H1459" s="13" t="inlineStr">
        <is>
          <t>Istirahat</t>
        </is>
      </c>
    </row>
    <row r="1460">
      <c r="A1460" s="27" t="inlineStr">
        <is>
          <t>MK00095</t>
        </is>
      </c>
      <c r="B1460" s="13" t="inlineStr">
        <is>
          <t>IN</t>
        </is>
      </c>
      <c r="C1460" s="177" t="n">
        <v>46061</v>
      </c>
      <c r="D1460" s="51" t="n">
        <v>0.7929166666666667</v>
      </c>
      <c r="E1460" s="13" t="n">
        <v>528000201</v>
      </c>
      <c r="F1460" s="13" t="inlineStr">
        <is>
          <t>Zahwa Amelia Choerunissa</t>
        </is>
      </c>
      <c r="G1460" s="13" t="inlineStr">
        <is>
          <t>Produksi</t>
        </is>
      </c>
      <c r="H1460" s="13" t="inlineStr">
        <is>
          <t>Istirahat</t>
        </is>
      </c>
    </row>
    <row r="1461">
      <c r="A1461" s="27" t="inlineStr">
        <is>
          <t>MK00108</t>
        </is>
      </c>
      <c r="B1461" s="13" t="inlineStr">
        <is>
          <t>IN</t>
        </is>
      </c>
      <c r="C1461" s="177" t="n">
        <v>46061</v>
      </c>
      <c r="D1461" s="51" t="n">
        <v>0.79625</v>
      </c>
      <c r="E1461" s="13" t="n">
        <v>528000339</v>
      </c>
      <c r="F1461" s="13" t="inlineStr">
        <is>
          <t>Muhamad Ripai'i</t>
        </is>
      </c>
      <c r="G1461" s="13" t="inlineStr">
        <is>
          <t>Produksi</t>
        </is>
      </c>
      <c r="H1461" s="13" t="inlineStr">
        <is>
          <t>Istirahat</t>
        </is>
      </c>
    </row>
    <row r="1462">
      <c r="A1462" s="27" t="inlineStr">
        <is>
          <t>MK00202</t>
        </is>
      </c>
      <c r="B1462" s="13" t="inlineStr">
        <is>
          <t>OUT</t>
        </is>
      </c>
      <c r="C1462" s="177" t="n">
        <v>46089</v>
      </c>
      <c r="D1462" s="51" t="n">
        <v>0.2545717592592592</v>
      </c>
      <c r="E1462" s="13" t="n">
        <v>528000261</v>
      </c>
      <c r="F1462" s="13" t="inlineStr">
        <is>
          <t>Ergi Ergianto</t>
        </is>
      </c>
      <c r="G1462" s="13" t="inlineStr">
        <is>
          <t>Produksi</t>
        </is>
      </c>
      <c r="H1462" s="13" t="n"/>
    </row>
    <row r="1463">
      <c r="A1463" s="27" t="inlineStr">
        <is>
          <t>MK00138</t>
        </is>
      </c>
      <c r="B1463" s="13" t="inlineStr">
        <is>
          <t>OUT</t>
        </is>
      </c>
      <c r="C1463" s="99" t="n">
        <v>46089</v>
      </c>
      <c r="D1463" s="51" t="n">
        <v>0.4243171296296296</v>
      </c>
      <c r="E1463" s="13" t="n">
        <v>528000300</v>
      </c>
      <c r="F1463" s="13" t="inlineStr">
        <is>
          <t>Lia pitaloka</t>
        </is>
      </c>
      <c r="G1463" s="13" t="inlineStr">
        <is>
          <t>Produksi</t>
        </is>
      </c>
      <c r="H1463" s="13" t="inlineStr">
        <is>
          <t>Istirahat</t>
        </is>
      </c>
    </row>
    <row r="1464">
      <c r="A1464" s="27" t="inlineStr">
        <is>
          <t>MK00208</t>
        </is>
      </c>
      <c r="B1464" s="13" t="inlineStr">
        <is>
          <t>OUT</t>
        </is>
      </c>
      <c r="C1464" s="99" t="n">
        <v>46089</v>
      </c>
      <c r="D1464" s="51" t="n">
        <v>0.4246296296296296</v>
      </c>
      <c r="E1464" s="13" t="n">
        <v>528000279</v>
      </c>
      <c r="F1464" s="13" t="inlineStr">
        <is>
          <t>Mahdalena Dalfa Riani</t>
        </is>
      </c>
      <c r="G1464" s="13" t="inlineStr">
        <is>
          <t>Produksi</t>
        </is>
      </c>
      <c r="H1464" s="13" t="inlineStr">
        <is>
          <t>Istirahat</t>
        </is>
      </c>
    </row>
    <row r="1465">
      <c r="A1465" s="27" t="inlineStr">
        <is>
          <t>MK00208</t>
        </is>
      </c>
      <c r="B1465" s="13" t="inlineStr">
        <is>
          <t>IN</t>
        </is>
      </c>
      <c r="C1465" s="99" t="n">
        <v>46089</v>
      </c>
      <c r="D1465" s="51" t="n">
        <v>0.45</v>
      </c>
      <c r="E1465" s="13" t="n">
        <v>528000279</v>
      </c>
      <c r="F1465" s="13" t="inlineStr">
        <is>
          <t>Mahdalena Dalfa Riani</t>
        </is>
      </c>
      <c r="G1465" s="13" t="inlineStr">
        <is>
          <t>Produksi</t>
        </is>
      </c>
      <c r="H1465" s="13" t="inlineStr">
        <is>
          <t>Istirahat</t>
        </is>
      </c>
    </row>
    <row r="1466">
      <c r="A1466" s="27" t="inlineStr">
        <is>
          <t>MK00109</t>
        </is>
      </c>
      <c r="B1466" s="13" t="inlineStr">
        <is>
          <t>OUT</t>
        </is>
      </c>
      <c r="C1466" s="99" t="n">
        <v>46089</v>
      </c>
      <c r="D1466" s="51" t="n">
        <v>0.6940972222222223</v>
      </c>
      <c r="E1466" s="13" t="n">
        <v>528000290</v>
      </c>
      <c r="F1466" s="13" t="inlineStr">
        <is>
          <t>Eval Pranata</t>
        </is>
      </c>
      <c r="G1466" s="13" t="inlineStr">
        <is>
          <t>Produksi</t>
        </is>
      </c>
      <c r="H1466" s="13" t="inlineStr">
        <is>
          <t>Istirahat</t>
        </is>
      </c>
    </row>
    <row r="1467">
      <c r="A1467" s="27" t="inlineStr">
        <is>
          <t>MK00217</t>
        </is>
      </c>
      <c r="B1467" s="13" t="inlineStr">
        <is>
          <t>OUT</t>
        </is>
      </c>
      <c r="C1467" s="99" t="n">
        <v>46089</v>
      </c>
      <c r="D1467" s="51" t="n">
        <v>0.7404398148148148</v>
      </c>
      <c r="E1467" s="13" t="n">
        <v>528000241</v>
      </c>
      <c r="F1467" s="13" t="inlineStr">
        <is>
          <t>Balia Nurafif Bilah</t>
        </is>
      </c>
      <c r="G1467" s="13" t="inlineStr">
        <is>
          <t>Produksi</t>
        </is>
      </c>
      <c r="H1467" s="13" t="inlineStr">
        <is>
          <t>Istirahat</t>
        </is>
      </c>
    </row>
    <row r="1468">
      <c r="A1468" s="27" t="inlineStr">
        <is>
          <t>MK00008</t>
        </is>
      </c>
      <c r="B1468" s="13" t="inlineStr">
        <is>
          <t>OUT</t>
        </is>
      </c>
      <c r="C1468" s="99" t="n">
        <v>46089</v>
      </c>
      <c r="D1468" s="51" t="n">
        <v>0.7459143518518518</v>
      </c>
      <c r="E1468" s="13" t="n">
        <v>528000274</v>
      </c>
      <c r="F1468" s="13" t="inlineStr">
        <is>
          <t>Zepri</t>
        </is>
      </c>
      <c r="G1468" s="13" t="inlineStr">
        <is>
          <t>Produksi</t>
        </is>
      </c>
      <c r="H1468" s="13" t="inlineStr">
        <is>
          <t>Istirahat</t>
        </is>
      </c>
    </row>
    <row r="1469">
      <c r="A1469" s="27" t="inlineStr">
        <is>
          <t>MK00156</t>
        </is>
      </c>
      <c r="B1469" s="13" t="inlineStr">
        <is>
          <t>OUT</t>
        </is>
      </c>
      <c r="C1469" s="99" t="n">
        <v>46089</v>
      </c>
      <c r="D1469" s="51" t="n">
        <v>0.7660532407407408</v>
      </c>
      <c r="E1469" s="13" t="n">
        <v>528000212</v>
      </c>
      <c r="F1469" s="13" t="inlineStr">
        <is>
          <t>Rizal Fauzi</t>
        </is>
      </c>
      <c r="G1469" s="13" t="inlineStr">
        <is>
          <t>Produksi</t>
        </is>
      </c>
      <c r="H1469" s="13" t="inlineStr">
        <is>
          <t>Istirahat</t>
        </is>
      </c>
    </row>
    <row r="1470">
      <c r="A1470" s="27" t="inlineStr">
        <is>
          <t>MK00217</t>
        </is>
      </c>
      <c r="B1470" s="13" t="inlineStr">
        <is>
          <t>IN</t>
        </is>
      </c>
      <c r="C1470" s="99" t="n">
        <v>46089</v>
      </c>
      <c r="D1470" s="51" t="n">
        <v>0.7698032407407407</v>
      </c>
      <c r="E1470" s="13" t="n">
        <v>528000241</v>
      </c>
      <c r="F1470" s="13" t="inlineStr">
        <is>
          <t>Balia Nurafif Bilah</t>
        </is>
      </c>
      <c r="G1470" s="13" t="inlineStr">
        <is>
          <t>Produksi</t>
        </is>
      </c>
      <c r="H1470" s="13" t="inlineStr">
        <is>
          <t>Istirahat</t>
        </is>
      </c>
    </row>
    <row r="1471">
      <c r="A1471" s="27" t="inlineStr">
        <is>
          <t>MK00136</t>
        </is>
      </c>
      <c r="B1471" s="13" t="inlineStr">
        <is>
          <t>OUT</t>
        </is>
      </c>
      <c r="C1471" s="99" t="n">
        <v>46089</v>
      </c>
      <c r="D1471" s="51" t="n">
        <v>0.7706597222222222</v>
      </c>
      <c r="E1471" s="13" t="n">
        <v>528000339</v>
      </c>
      <c r="F1471" s="13" t="inlineStr">
        <is>
          <t>Muhamad Ripai'i</t>
        </is>
      </c>
      <c r="G1471" s="13" t="inlineStr">
        <is>
          <t>Produksi</t>
        </is>
      </c>
      <c r="H1471" s="13" t="inlineStr">
        <is>
          <t>Istirahat</t>
        </is>
      </c>
    </row>
    <row r="1472">
      <c r="A1472" s="27" t="inlineStr">
        <is>
          <t>MK00230</t>
        </is>
      </c>
      <c r="B1472" s="13" t="inlineStr">
        <is>
          <t>OUT</t>
        </is>
      </c>
      <c r="C1472" s="99" t="n">
        <v>46089</v>
      </c>
      <c r="D1472" s="51" t="n">
        <v>0.7708101851851852</v>
      </c>
      <c r="E1472" s="13" t="n">
        <v>528000286</v>
      </c>
      <c r="F1472" s="13" t="inlineStr">
        <is>
          <t>Imelda Amelia</t>
        </is>
      </c>
      <c r="G1472" s="13" t="inlineStr">
        <is>
          <t>Produksi</t>
        </is>
      </c>
      <c r="H1472" s="13" t="inlineStr">
        <is>
          <t>Istirahat</t>
        </is>
      </c>
    </row>
    <row r="1473">
      <c r="A1473" s="27" t="inlineStr">
        <is>
          <t>MK00192</t>
        </is>
      </c>
      <c r="B1473" s="13" t="inlineStr">
        <is>
          <t>OUT</t>
        </is>
      </c>
      <c r="C1473" s="99" t="n">
        <v>46089</v>
      </c>
      <c r="D1473" s="51" t="n">
        <v>0.7743055555555556</v>
      </c>
      <c r="E1473" s="13" t="n">
        <v>528000201</v>
      </c>
      <c r="F1473" s="13" t="inlineStr">
        <is>
          <t>Zahwa Amelia Choerunissa</t>
        </is>
      </c>
      <c r="G1473" s="13" t="inlineStr">
        <is>
          <t>Produksi</t>
        </is>
      </c>
      <c r="H1473" s="13" t="inlineStr">
        <is>
          <t>Istirahat</t>
        </is>
      </c>
    </row>
    <row r="1474">
      <c r="A1474" s="27" t="inlineStr">
        <is>
          <t>MK00145</t>
        </is>
      </c>
      <c r="B1474" s="13" t="inlineStr">
        <is>
          <t>OUT</t>
        </is>
      </c>
      <c r="C1474" s="99" t="n">
        <v>46089</v>
      </c>
      <c r="D1474" s="51" t="n">
        <v>0.7749189814814815</v>
      </c>
      <c r="E1474" s="13" t="n">
        <v>528000289</v>
      </c>
      <c r="F1474" s="13" t="inlineStr">
        <is>
          <t>Adit Supriyadi</t>
        </is>
      </c>
      <c r="G1474" s="13" t="inlineStr">
        <is>
          <t>Produksi</t>
        </is>
      </c>
      <c r="H1474" s="13" t="inlineStr">
        <is>
          <t>Istirahat</t>
        </is>
      </c>
    </row>
    <row r="1475">
      <c r="A1475" s="27" t="inlineStr">
        <is>
          <t>MK00008</t>
        </is>
      </c>
      <c r="B1475" s="13" t="inlineStr">
        <is>
          <t>IN</t>
        </is>
      </c>
      <c r="C1475" s="99" t="n">
        <v>46089</v>
      </c>
      <c r="D1475" s="51" t="n">
        <v>0.7756828703703704</v>
      </c>
      <c r="E1475" s="13" t="n">
        <v>528000274</v>
      </c>
      <c r="F1475" s="13" t="inlineStr">
        <is>
          <t>Zepri</t>
        </is>
      </c>
      <c r="G1475" s="13" t="inlineStr">
        <is>
          <t>Produksi</t>
        </is>
      </c>
      <c r="H1475" s="13" t="inlineStr">
        <is>
          <t>Istirahat</t>
        </is>
      </c>
    </row>
    <row r="1476">
      <c r="A1476" s="27" t="inlineStr">
        <is>
          <t>MK00156</t>
        </is>
      </c>
      <c r="B1476" s="13" t="inlineStr">
        <is>
          <t>IN</t>
        </is>
      </c>
      <c r="C1476" s="99" t="n">
        <v>46089</v>
      </c>
      <c r="D1476" s="51" t="n">
        <v>0.7875810185185185</v>
      </c>
      <c r="E1476" s="13" t="n">
        <v>528000212</v>
      </c>
      <c r="F1476" s="13" t="inlineStr">
        <is>
          <t>Rizal Fauzi</t>
        </is>
      </c>
      <c r="G1476" s="13" t="inlineStr">
        <is>
          <t>Produksi</t>
        </is>
      </c>
      <c r="H1476" s="13" t="inlineStr">
        <is>
          <t>Istirahat</t>
        </is>
      </c>
    </row>
    <row r="1477">
      <c r="A1477" s="27" t="inlineStr">
        <is>
          <t>MK00230</t>
        </is>
      </c>
      <c r="B1477" s="13" t="inlineStr">
        <is>
          <t>IN</t>
        </is>
      </c>
      <c r="C1477" s="99" t="n">
        <v>46089</v>
      </c>
      <c r="D1477" s="51" t="n">
        <v>0.7948263888888889</v>
      </c>
      <c r="E1477" s="13" t="n">
        <v>528000286</v>
      </c>
      <c r="F1477" s="13" t="inlineStr">
        <is>
          <t>Imelda Amelia</t>
        </is>
      </c>
      <c r="G1477" s="13" t="inlineStr">
        <is>
          <t>Produksi</t>
        </is>
      </c>
      <c r="H1477" s="13" t="n"/>
    </row>
    <row r="1478">
      <c r="A1478" s="27" t="inlineStr">
        <is>
          <t>MK00250</t>
        </is>
      </c>
      <c r="B1478" s="13" t="inlineStr">
        <is>
          <t>IN</t>
        </is>
      </c>
      <c r="C1478" s="99" t="n">
        <v>46089</v>
      </c>
      <c r="D1478" s="51" t="n">
        <v>0.7951157407407408</v>
      </c>
      <c r="E1478" s="13" t="n">
        <v>528000090</v>
      </c>
      <c r="F1478" s="13" t="inlineStr">
        <is>
          <t>Suganda</t>
        </is>
      </c>
      <c r="G1478" s="13" t="inlineStr">
        <is>
          <t>Produksi</t>
        </is>
      </c>
      <c r="H1478" s="13" t="n"/>
    </row>
    <row r="1479">
      <c r="A1479" s="27" t="inlineStr">
        <is>
          <t>MK00136</t>
        </is>
      </c>
      <c r="B1479" s="13" t="inlineStr">
        <is>
          <t>IN</t>
        </is>
      </c>
      <c r="C1479" s="99" t="n">
        <v>46089</v>
      </c>
      <c r="D1479" s="51" t="n">
        <v>0.7952314814814815</v>
      </c>
      <c r="E1479" s="13" t="n">
        <v>528000339</v>
      </c>
      <c r="F1479" s="13" t="inlineStr">
        <is>
          <t>Muhamad Ripai'i</t>
        </is>
      </c>
      <c r="G1479" s="13" t="inlineStr">
        <is>
          <t>Produksi</t>
        </is>
      </c>
      <c r="H1479" s="13" t="n"/>
    </row>
    <row r="1480">
      <c r="A1480" s="27" t="inlineStr">
        <is>
          <t>MK00192</t>
        </is>
      </c>
      <c r="B1480" s="13" t="inlineStr">
        <is>
          <t>IN</t>
        </is>
      </c>
      <c r="C1480" s="99" t="n">
        <v>46089</v>
      </c>
      <c r="D1480" s="51" t="n">
        <v>0.7957523148148148</v>
      </c>
      <c r="E1480" s="13" t="n">
        <v>528000201</v>
      </c>
      <c r="F1480" s="13" t="inlineStr">
        <is>
          <t>Zahwa Amelia Choerunissa</t>
        </is>
      </c>
      <c r="G1480" s="13" t="inlineStr">
        <is>
          <t>Produksi</t>
        </is>
      </c>
      <c r="H1480" s="13" t="inlineStr">
        <is>
          <t>Istirahat</t>
        </is>
      </c>
    </row>
    <row r="1481">
      <c r="A1481" s="27" t="inlineStr">
        <is>
          <t>MK00088</t>
        </is>
      </c>
      <c r="B1481" s="13" t="inlineStr">
        <is>
          <t>OUT</t>
        </is>
      </c>
      <c r="C1481" s="99" t="n">
        <v>46120</v>
      </c>
      <c r="D1481" s="51" t="n">
        <v>0.09190972222222223</v>
      </c>
      <c r="E1481" s="13" t="n">
        <v>528000262</v>
      </c>
      <c r="F1481" s="13" t="inlineStr">
        <is>
          <t>Ndari Dwiwanti</t>
        </is>
      </c>
      <c r="G1481" s="13" t="inlineStr">
        <is>
          <t>Produksi</t>
        </is>
      </c>
      <c r="H1481" s="13" t="inlineStr">
        <is>
          <t>Istirahat</t>
        </is>
      </c>
    </row>
    <row r="1482">
      <c r="A1482" s="27" t="inlineStr">
        <is>
          <t>MK00181</t>
        </is>
      </c>
      <c r="B1482" s="13" t="inlineStr">
        <is>
          <t>OUT</t>
        </is>
      </c>
      <c r="C1482" s="99" t="n">
        <v>46120</v>
      </c>
      <c r="D1482" s="51" t="n">
        <v>0.09283564814814815</v>
      </c>
      <c r="E1482" s="13" t="n">
        <v>528000323</v>
      </c>
      <c r="F1482" s="13" t="inlineStr">
        <is>
          <t>Dian Hamidah</t>
        </is>
      </c>
      <c r="G1482" s="13" t="inlineStr">
        <is>
          <t>Produksi</t>
        </is>
      </c>
      <c r="H1482" s="13" t="inlineStr">
        <is>
          <t>Istirahat</t>
        </is>
      </c>
    </row>
    <row r="1483">
      <c r="A1483" s="27" t="inlineStr">
        <is>
          <t>MK00235</t>
        </is>
      </c>
      <c r="B1483" s="13" t="inlineStr">
        <is>
          <t>OUT</t>
        </is>
      </c>
      <c r="C1483" s="99" t="n">
        <v>46120</v>
      </c>
      <c r="D1483" s="51" t="n">
        <v>0.09320601851851852</v>
      </c>
      <c r="E1483" s="13" t="n">
        <v>528000358</v>
      </c>
      <c r="F1483" s="13" t="inlineStr">
        <is>
          <t>Lulu Agustin</t>
        </is>
      </c>
      <c r="G1483" s="13" t="inlineStr">
        <is>
          <t>Produksi</t>
        </is>
      </c>
      <c r="H1483" s="13" t="inlineStr">
        <is>
          <t>Istirahat</t>
        </is>
      </c>
    </row>
    <row r="1484">
      <c r="A1484" s="27" t="inlineStr">
        <is>
          <t>MK00209</t>
        </is>
      </c>
      <c r="B1484" s="13" t="inlineStr">
        <is>
          <t>OUT</t>
        </is>
      </c>
      <c r="C1484" s="99" t="n">
        <v>46120</v>
      </c>
      <c r="D1484" s="51" t="n">
        <v>0.09344907407407407</v>
      </c>
      <c r="E1484" s="13" t="n">
        <v>528000337</v>
      </c>
      <c r="F1484" s="13" t="inlineStr">
        <is>
          <t>Ahmad Zaldi Firdaus</t>
        </is>
      </c>
      <c r="G1484" s="13" t="inlineStr">
        <is>
          <t>Produksi</t>
        </is>
      </c>
      <c r="H1484" s="13" t="inlineStr">
        <is>
          <t>Istirahat</t>
        </is>
      </c>
    </row>
    <row r="1485">
      <c r="A1485" s="27" t="inlineStr">
        <is>
          <t>MK00249</t>
        </is>
      </c>
      <c r="B1485" s="13" t="inlineStr">
        <is>
          <t>OUT</t>
        </is>
      </c>
      <c r="C1485" s="99" t="n">
        <v>46120</v>
      </c>
      <c r="D1485" s="51" t="n">
        <v>0.09369212962962963</v>
      </c>
      <c r="E1485" s="13" t="n">
        <v>528000291</v>
      </c>
      <c r="F1485" s="13" t="inlineStr">
        <is>
          <t>Andrian</t>
        </is>
      </c>
      <c r="G1485" s="13" t="inlineStr">
        <is>
          <t>Produksi</t>
        </is>
      </c>
      <c r="H1485" s="13" t="inlineStr">
        <is>
          <t>Istirahat</t>
        </is>
      </c>
    </row>
    <row r="1486">
      <c r="A1486" s="27" t="inlineStr">
        <is>
          <t>MK00185</t>
        </is>
      </c>
      <c r="B1486" s="13" t="inlineStr">
        <is>
          <t>OUT</t>
        </is>
      </c>
      <c r="C1486" s="99" t="n">
        <v>46120</v>
      </c>
      <c r="D1486" s="51" t="n">
        <v>0.09972222222222223</v>
      </c>
      <c r="E1486" s="13" t="n">
        <v>528000336</v>
      </c>
      <c r="F1486" s="13" t="inlineStr">
        <is>
          <t>Ali Nurhanafi</t>
        </is>
      </c>
      <c r="G1486" s="13" t="inlineStr">
        <is>
          <t>Produksi</t>
        </is>
      </c>
      <c r="H1486" s="13" t="inlineStr">
        <is>
          <t>Istirahat</t>
        </is>
      </c>
    </row>
    <row r="1487">
      <c r="A1487" s="27" t="inlineStr">
        <is>
          <t>MK00088</t>
        </is>
      </c>
      <c r="B1487" s="13" t="inlineStr">
        <is>
          <t>IN</t>
        </is>
      </c>
      <c r="C1487" s="99" t="n">
        <v>46120</v>
      </c>
      <c r="D1487" s="51" t="n">
        <v>0.1157638888888889</v>
      </c>
      <c r="E1487" s="13" t="n">
        <v>528000262</v>
      </c>
      <c r="F1487" s="13" t="inlineStr">
        <is>
          <t>Ndari Dwiwanti</t>
        </is>
      </c>
      <c r="G1487" s="13" t="inlineStr">
        <is>
          <t>Produksi</t>
        </is>
      </c>
      <c r="H1487" s="13" t="inlineStr">
        <is>
          <t>Istirahat</t>
        </is>
      </c>
    </row>
    <row r="1488">
      <c r="A1488" s="27" t="inlineStr">
        <is>
          <t>MK00235</t>
        </is>
      </c>
      <c r="B1488" s="13" t="inlineStr">
        <is>
          <t>IN</t>
        </is>
      </c>
      <c r="C1488" s="99" t="n">
        <v>46120</v>
      </c>
      <c r="D1488" s="51" t="n">
        <v>0.116099537037037</v>
      </c>
      <c r="E1488" s="13" t="n">
        <v>528000358</v>
      </c>
      <c r="F1488" s="13" t="inlineStr">
        <is>
          <t>Lulu Agustin</t>
        </is>
      </c>
      <c r="G1488" s="13" t="inlineStr">
        <is>
          <t>Produksi</t>
        </is>
      </c>
      <c r="H1488" s="13" t="inlineStr">
        <is>
          <t>Istirahat</t>
        </is>
      </c>
    </row>
    <row r="1489">
      <c r="A1489" s="27" t="inlineStr">
        <is>
          <t>MK00235</t>
        </is>
      </c>
      <c r="B1489" s="13" t="inlineStr">
        <is>
          <t>OUT</t>
        </is>
      </c>
      <c r="C1489" s="99" t="n">
        <v>46120</v>
      </c>
      <c r="D1489" s="51" t="n">
        <v>0.1163310185185185</v>
      </c>
      <c r="E1489" s="13" t="n">
        <v>528000358</v>
      </c>
      <c r="F1489" s="13" t="inlineStr">
        <is>
          <t>Lulu Agustin</t>
        </is>
      </c>
      <c r="G1489" s="13" t="inlineStr">
        <is>
          <t>Produksi</t>
        </is>
      </c>
      <c r="H1489" s="13" t="inlineStr">
        <is>
          <t>Istirahat</t>
        </is>
      </c>
    </row>
    <row r="1490">
      <c r="A1490" s="27" t="inlineStr">
        <is>
          <t>MK00181</t>
        </is>
      </c>
      <c r="B1490" s="13" t="inlineStr">
        <is>
          <t>IN</t>
        </is>
      </c>
      <c r="C1490" s="99" t="n">
        <v>46120</v>
      </c>
      <c r="D1490" s="51" t="n">
        <v>0.1164930555555556</v>
      </c>
      <c r="E1490" s="13" t="n">
        <v>528000323</v>
      </c>
      <c r="F1490" s="13" t="inlineStr">
        <is>
          <t>Dian Hamidah</t>
        </is>
      </c>
      <c r="G1490" s="13" t="inlineStr">
        <is>
          <t>Produksi</t>
        </is>
      </c>
      <c r="H1490" s="13" t="inlineStr">
        <is>
          <t>Istirahat</t>
        </is>
      </c>
    </row>
    <row r="1491">
      <c r="A1491" s="27" t="inlineStr">
        <is>
          <t>MK00209</t>
        </is>
      </c>
      <c r="B1491" s="13" t="inlineStr">
        <is>
          <t>IN</t>
        </is>
      </c>
      <c r="C1491" s="99" t="n">
        <v>46120</v>
      </c>
      <c r="D1491" s="51" t="n">
        <v>0.1167361111111111</v>
      </c>
      <c r="E1491" s="13" t="n">
        <v>528000337</v>
      </c>
      <c r="F1491" s="13" t="inlineStr">
        <is>
          <t>Ahmad Zaldi Firdaus</t>
        </is>
      </c>
      <c r="G1491" s="13" t="inlineStr">
        <is>
          <t>Produksi</t>
        </is>
      </c>
      <c r="H1491" s="13" t="inlineStr">
        <is>
          <t>Istirahat</t>
        </is>
      </c>
    </row>
    <row r="1492">
      <c r="A1492" s="27" t="inlineStr">
        <is>
          <t>MK00249</t>
        </is>
      </c>
      <c r="B1492" s="13" t="inlineStr">
        <is>
          <t>IN</t>
        </is>
      </c>
      <c r="C1492" s="99" t="n">
        <v>46120</v>
      </c>
      <c r="D1492" s="51" t="n">
        <v>0.1177314814814815</v>
      </c>
      <c r="E1492" s="13" t="n">
        <v>528000291</v>
      </c>
      <c r="F1492" s="13" t="inlineStr">
        <is>
          <t>Andrian</t>
        </is>
      </c>
      <c r="G1492" s="13" t="inlineStr">
        <is>
          <t>Produksi</t>
        </is>
      </c>
      <c r="H1492" s="13" t="inlineStr">
        <is>
          <t>Istirahat</t>
        </is>
      </c>
    </row>
    <row r="1493">
      <c r="A1493" s="27" t="inlineStr">
        <is>
          <t>MK00185</t>
        </is>
      </c>
      <c r="B1493" s="13" t="inlineStr">
        <is>
          <t>IN</t>
        </is>
      </c>
      <c r="C1493" s="99" t="n">
        <v>46120</v>
      </c>
      <c r="D1493" s="51" t="n">
        <v>0.1267592592592593</v>
      </c>
      <c r="E1493" s="13" t="n">
        <v>528000336</v>
      </c>
      <c r="F1493" s="13" t="inlineStr">
        <is>
          <t>Ali Nurhanafi</t>
        </is>
      </c>
      <c r="G1493" s="13" t="inlineStr">
        <is>
          <t>Produksi</t>
        </is>
      </c>
      <c r="H1493" s="13" t="inlineStr">
        <is>
          <t>Istirahat</t>
        </is>
      </c>
    </row>
    <row r="1494">
      <c r="A1494" s="27" t="inlineStr">
        <is>
          <t>MK00235</t>
        </is>
      </c>
      <c r="B1494" s="13" t="inlineStr">
        <is>
          <t>IN</t>
        </is>
      </c>
      <c r="C1494" s="99" t="n">
        <v>46120</v>
      </c>
      <c r="D1494" s="51" t="n">
        <v>0.1273726851851852</v>
      </c>
      <c r="E1494" s="13" t="n">
        <v>528000358</v>
      </c>
      <c r="F1494" s="13" t="inlineStr">
        <is>
          <t>Lulu Agustin</t>
        </is>
      </c>
      <c r="G1494" s="13" t="inlineStr">
        <is>
          <t>Produksi</t>
        </is>
      </c>
      <c r="H1494" s="13" t="inlineStr">
        <is>
          <t>Istirahat</t>
        </is>
      </c>
    </row>
    <row r="1495">
      <c r="A1495" s="27" t="inlineStr">
        <is>
          <t>MK00250</t>
        </is>
      </c>
      <c r="B1495" s="13" t="inlineStr">
        <is>
          <t>OUT</t>
        </is>
      </c>
      <c r="C1495" s="99" t="n">
        <v>46120</v>
      </c>
      <c r="D1495" s="51" t="n">
        <v>0.3849652777777778</v>
      </c>
      <c r="E1495" s="13" t="n">
        <v>528000300</v>
      </c>
      <c r="F1495" s="13" t="inlineStr">
        <is>
          <t>Lia pitaloka</t>
        </is>
      </c>
      <c r="G1495" s="13" t="inlineStr">
        <is>
          <t>Produksi</t>
        </is>
      </c>
      <c r="H1495" s="13" t="inlineStr">
        <is>
          <t>Istirahat</t>
        </is>
      </c>
    </row>
    <row r="1496">
      <c r="A1496" s="27" t="inlineStr">
        <is>
          <t>MK00145</t>
        </is>
      </c>
      <c r="B1496" s="13" t="inlineStr">
        <is>
          <t>IN</t>
        </is>
      </c>
      <c r="C1496" s="99" t="n">
        <v>46120</v>
      </c>
      <c r="D1496" s="51" t="n">
        <v>0.4234375</v>
      </c>
      <c r="E1496" s="13" t="n">
        <v>528000279</v>
      </c>
      <c r="F1496" s="13" t="inlineStr">
        <is>
          <t>Mahdalena Dalfa Riani</t>
        </is>
      </c>
      <c r="G1496" s="13" t="inlineStr">
        <is>
          <t>Produksi</t>
        </is>
      </c>
      <c r="H1496" s="13" t="inlineStr">
        <is>
          <t>Istirahat</t>
        </is>
      </c>
    </row>
    <row r="1497">
      <c r="A1497" s="27" t="inlineStr">
        <is>
          <t>MK00145</t>
        </is>
      </c>
      <c r="B1497" s="13" t="inlineStr">
        <is>
          <t>OUT</t>
        </is>
      </c>
      <c r="C1497" s="99" t="n">
        <v>46120</v>
      </c>
      <c r="D1497" s="51" t="n">
        <v>0.4236458333333333</v>
      </c>
      <c r="E1497" s="13" t="n">
        <v>528000279</v>
      </c>
      <c r="F1497" s="13" t="inlineStr">
        <is>
          <t>Mahdalena Dalfa Riani</t>
        </is>
      </c>
      <c r="G1497" s="13" t="inlineStr">
        <is>
          <t>Produksi</t>
        </is>
      </c>
      <c r="H1497" s="13" t="inlineStr">
        <is>
          <t>Istirahat</t>
        </is>
      </c>
    </row>
    <row r="1498">
      <c r="A1498" s="27" t="inlineStr">
        <is>
          <t>MK00186</t>
        </is>
      </c>
      <c r="B1498" s="13" t="inlineStr">
        <is>
          <t>IN</t>
        </is>
      </c>
      <c r="C1498" s="99" t="n">
        <v>46120</v>
      </c>
      <c r="D1498" s="51" t="n">
        <v>0.8024305555555555</v>
      </c>
      <c r="E1498" s="13" t="n">
        <v>528000289</v>
      </c>
      <c r="F1498" s="13" t="inlineStr">
        <is>
          <t>Adit Supriyadi</t>
        </is>
      </c>
      <c r="G1498" s="13" t="inlineStr">
        <is>
          <t>Produksi</t>
        </is>
      </c>
      <c r="H1498" s="13" t="inlineStr">
        <is>
          <t>Istirahat</t>
        </is>
      </c>
    </row>
    <row r="1499">
      <c r="A1499" s="27" t="inlineStr">
        <is>
          <t>MK00136</t>
        </is>
      </c>
      <c r="B1499" s="13" t="inlineStr">
        <is>
          <t>IN</t>
        </is>
      </c>
      <c r="C1499" s="99" t="n">
        <v>46120</v>
      </c>
      <c r="D1499" s="51" t="n">
        <v>0.8054513888888889</v>
      </c>
      <c r="E1499" s="13" t="n">
        <v>528000201</v>
      </c>
      <c r="F1499" s="13" t="inlineStr">
        <is>
          <t>Zahwa Amelia Choerunissa</t>
        </is>
      </c>
      <c r="G1499" s="13" t="inlineStr">
        <is>
          <t>Produksi</t>
        </is>
      </c>
      <c r="H1499" s="13" t="inlineStr">
        <is>
          <t>Istirahat</t>
        </is>
      </c>
    </row>
    <row r="1500">
      <c r="A1500" s="27" t="inlineStr">
        <is>
          <t>MK00143</t>
        </is>
      </c>
      <c r="B1500" s="13" t="inlineStr">
        <is>
          <t>IN</t>
        </is>
      </c>
      <c r="C1500" s="99" t="n">
        <v>46120</v>
      </c>
      <c r="D1500" s="51" t="n">
        <v>0.8055787037037037</v>
      </c>
      <c r="E1500" s="13" t="n">
        <v>528000286</v>
      </c>
      <c r="F1500" s="13" t="inlineStr">
        <is>
          <t>Imelda Amelia</t>
        </is>
      </c>
      <c r="G1500" s="13" t="inlineStr">
        <is>
          <t>Produksi</t>
        </is>
      </c>
      <c r="H1500" s="13" t="inlineStr">
        <is>
          <t>Istirahat</t>
        </is>
      </c>
    </row>
    <row r="1501">
      <c r="A1501" s="27" t="inlineStr">
        <is>
          <t>MK00212</t>
        </is>
      </c>
      <c r="B1501" s="13" t="inlineStr">
        <is>
          <t>IN</t>
        </is>
      </c>
      <c r="C1501" s="99" t="n">
        <v>46120</v>
      </c>
      <c r="D1501" s="51" t="n">
        <v>0.8108333333333333</v>
      </c>
      <c r="E1501" s="13" t="n">
        <v>528000228</v>
      </c>
      <c r="F1501" s="13" t="inlineStr">
        <is>
          <t>Banyu Resmi Putri</t>
        </is>
      </c>
      <c r="G1501" s="13" t="inlineStr">
        <is>
          <t>Produksi</t>
        </is>
      </c>
      <c r="H1501" s="13" t="inlineStr">
        <is>
          <t>Istirahat</t>
        </is>
      </c>
    </row>
    <row r="1502">
      <c r="A1502" s="27" t="inlineStr">
        <is>
          <t>MK00154</t>
        </is>
      </c>
      <c r="B1502" s="13" t="inlineStr">
        <is>
          <t>IN</t>
        </is>
      </c>
      <c r="C1502" s="99" t="n">
        <v>46120</v>
      </c>
      <c r="D1502" s="51" t="n">
        <v>0.8457638888888889</v>
      </c>
      <c r="E1502" s="13" t="n">
        <v>528000212</v>
      </c>
      <c r="F1502" s="13" t="inlineStr">
        <is>
          <t>Rizal Fauzi</t>
        </is>
      </c>
      <c r="G1502" s="13" t="inlineStr">
        <is>
          <t>Produksi</t>
        </is>
      </c>
      <c r="H1502" s="13" t="inlineStr">
        <is>
          <t>Istirahat</t>
        </is>
      </c>
    </row>
    <row r="1503">
      <c r="A1503" s="27" t="inlineStr">
        <is>
          <t>MK00230</t>
        </is>
      </c>
      <c r="B1503" s="13" t="inlineStr">
        <is>
          <t>OUT</t>
        </is>
      </c>
      <c r="C1503" s="99" t="n">
        <v>46150</v>
      </c>
      <c r="D1503" s="51" t="n">
        <v>0.02517361111111111</v>
      </c>
      <c r="E1503" s="13" t="n">
        <v>528000318</v>
      </c>
      <c r="F1503" s="13" t="inlineStr">
        <is>
          <t>Bayu Padli Sepriyana</t>
        </is>
      </c>
      <c r="G1503" s="13" t="inlineStr">
        <is>
          <t>Produksi</t>
        </is>
      </c>
      <c r="H1503" s="13" t="inlineStr">
        <is>
          <t>Istirahat</t>
        </is>
      </c>
    </row>
    <row r="1504">
      <c r="A1504" s="27" t="inlineStr">
        <is>
          <t>MK00138</t>
        </is>
      </c>
      <c r="B1504" s="13" t="inlineStr">
        <is>
          <t>OUT</t>
        </is>
      </c>
      <c r="C1504" s="99" t="n">
        <v>46150</v>
      </c>
      <c r="D1504" s="51" t="n">
        <v>0.02546296296296296</v>
      </c>
      <c r="E1504" s="13" t="n">
        <v>628000091</v>
      </c>
      <c r="F1504" s="13" t="inlineStr">
        <is>
          <t>Devita Handayani</t>
        </is>
      </c>
      <c r="G1504" s="13" t="inlineStr">
        <is>
          <t>Produksi</t>
        </is>
      </c>
      <c r="H1504" s="13" t="inlineStr">
        <is>
          <t>Istirahat</t>
        </is>
      </c>
    </row>
    <row r="1505">
      <c r="A1505" s="27" t="inlineStr">
        <is>
          <t>MK00112</t>
        </is>
      </c>
      <c r="B1505" s="13" t="inlineStr">
        <is>
          <t>OUT</t>
        </is>
      </c>
      <c r="C1505" s="99" t="n">
        <v>46150</v>
      </c>
      <c r="D1505" s="51" t="n">
        <v>0.738900462962963</v>
      </c>
      <c r="E1505" s="13" t="n">
        <v>528000274</v>
      </c>
      <c r="F1505" s="13" t="inlineStr">
        <is>
          <t>Zepri</t>
        </is>
      </c>
      <c r="G1505" s="13" t="inlineStr">
        <is>
          <t>Produksi</t>
        </is>
      </c>
      <c r="H1505" s="13" t="inlineStr">
        <is>
          <t>Istirahat</t>
        </is>
      </c>
    </row>
    <row r="1506">
      <c r="A1506" s="27" t="inlineStr">
        <is>
          <t>MK00090</t>
        </is>
      </c>
      <c r="B1506" s="13" t="inlineStr">
        <is>
          <t>OUT</t>
        </is>
      </c>
      <c r="C1506" s="99" t="n">
        <v>46150</v>
      </c>
      <c r="D1506" s="51" t="n">
        <v>0.7430787037037037</v>
      </c>
      <c r="E1506" s="13" t="n">
        <v>528000359</v>
      </c>
      <c r="F1506" s="13" t="inlineStr">
        <is>
          <t>M. Iqbal Maulana. S</t>
        </is>
      </c>
      <c r="G1506" s="13" t="inlineStr">
        <is>
          <t>Produksi</t>
        </is>
      </c>
      <c r="H1506" s="13" t="inlineStr">
        <is>
          <t>Istirahat</t>
        </is>
      </c>
    </row>
    <row r="1507">
      <c r="A1507" s="27" t="inlineStr">
        <is>
          <t>MK00082</t>
        </is>
      </c>
      <c r="B1507" s="13" t="inlineStr">
        <is>
          <t>IN</t>
        </is>
      </c>
      <c r="C1507" s="99" t="n">
        <v>46150</v>
      </c>
      <c r="D1507" s="51" t="n">
        <v>0.7445138888888889</v>
      </c>
      <c r="E1507" s="13" t="n">
        <v>528000290</v>
      </c>
      <c r="F1507" s="13" t="inlineStr">
        <is>
          <t>Eval Pranata</t>
        </is>
      </c>
      <c r="G1507" s="13" t="inlineStr">
        <is>
          <t>Produksi</t>
        </is>
      </c>
      <c r="H1507" s="13" t="n"/>
    </row>
    <row r="1508">
      <c r="A1508" s="27" t="inlineStr">
        <is>
          <t>MK00154</t>
        </is>
      </c>
      <c r="B1508" s="13" t="inlineStr">
        <is>
          <t>OUT</t>
        </is>
      </c>
      <c r="C1508" s="99" t="n">
        <v>46181</v>
      </c>
      <c r="D1508" s="51" t="n">
        <v>0.02456018518518518</v>
      </c>
      <c r="E1508" s="13" t="n">
        <v>628000091</v>
      </c>
      <c r="F1508" s="13" t="inlineStr">
        <is>
          <t>Devita Handayani</t>
        </is>
      </c>
      <c r="G1508" s="13" t="inlineStr">
        <is>
          <t>Produksi</t>
        </is>
      </c>
      <c r="H1508" s="13" t="inlineStr">
        <is>
          <t>Istirahat</t>
        </is>
      </c>
    </row>
    <row r="1509">
      <c r="A1509" s="27" t="inlineStr">
        <is>
          <t>MK00220</t>
        </is>
      </c>
      <c r="B1509" s="13" t="inlineStr">
        <is>
          <t>OUT</t>
        </is>
      </c>
      <c r="C1509" s="99" t="n">
        <v>46181</v>
      </c>
      <c r="D1509" s="51" t="n">
        <v>0.02469907407407407</v>
      </c>
      <c r="E1509" s="13" t="n">
        <v>528000318</v>
      </c>
      <c r="F1509" s="13" t="inlineStr">
        <is>
          <t>Bayu Padli Sepriyana</t>
        </is>
      </c>
      <c r="G1509" s="13" t="inlineStr">
        <is>
          <t>Produksi</t>
        </is>
      </c>
      <c r="H1509" s="13" t="inlineStr">
        <is>
          <t>Istirahat</t>
        </is>
      </c>
    </row>
    <row r="1510">
      <c r="A1510" s="27" t="inlineStr">
        <is>
          <t>MK00156</t>
        </is>
      </c>
      <c r="B1510" s="13" t="inlineStr">
        <is>
          <t>OUT</t>
        </is>
      </c>
      <c r="C1510" s="99" t="n">
        <v>46181</v>
      </c>
      <c r="D1510" s="51" t="n">
        <v>0.02658564814814815</v>
      </c>
      <c r="E1510" s="13" t="n">
        <v>528000361</v>
      </c>
      <c r="F1510" s="13" t="inlineStr">
        <is>
          <t>Denada Munggarani</t>
        </is>
      </c>
      <c r="G1510" s="13" t="inlineStr">
        <is>
          <t>Produksi</t>
        </is>
      </c>
      <c r="H1510" s="13" t="inlineStr">
        <is>
          <t>Istirahat</t>
        </is>
      </c>
    </row>
    <row r="1511">
      <c r="A1511" s="27" t="inlineStr">
        <is>
          <t>MK00220</t>
        </is>
      </c>
      <c r="B1511" s="13" t="inlineStr">
        <is>
          <t>IN</t>
        </is>
      </c>
      <c r="C1511" s="99" t="n">
        <v>46181</v>
      </c>
      <c r="D1511" s="51" t="n">
        <v>0.04563657407407407</v>
      </c>
      <c r="E1511" s="13" t="n">
        <v>528000318</v>
      </c>
      <c r="F1511" s="13" t="inlineStr">
        <is>
          <t>Bayu Padli Sepriyana</t>
        </is>
      </c>
      <c r="G1511" s="13" t="inlineStr">
        <is>
          <t>Produksi</t>
        </is>
      </c>
      <c r="H1511" s="13" t="inlineStr">
        <is>
          <t>Istirahat</t>
        </is>
      </c>
    </row>
    <row r="1512">
      <c r="A1512" s="27" t="inlineStr">
        <is>
          <t>MK00154</t>
        </is>
      </c>
      <c r="B1512" s="13" t="inlineStr">
        <is>
          <t>IN</t>
        </is>
      </c>
      <c r="C1512" s="99" t="n">
        <v>46181</v>
      </c>
      <c r="D1512" s="51" t="n">
        <v>0.04584490740740741</v>
      </c>
      <c r="E1512" s="13" t="n">
        <v>628000091</v>
      </c>
      <c r="F1512" s="13" t="inlineStr">
        <is>
          <t>Devita Handayani</t>
        </is>
      </c>
      <c r="G1512" s="13" t="inlineStr">
        <is>
          <t>Produksi</t>
        </is>
      </c>
      <c r="H1512" s="13" t="inlineStr">
        <is>
          <t>Istirahat</t>
        </is>
      </c>
    </row>
    <row r="1513">
      <c r="A1513" s="27" t="inlineStr">
        <is>
          <t>MK00156</t>
        </is>
      </c>
      <c r="B1513" s="13" t="inlineStr">
        <is>
          <t>IN</t>
        </is>
      </c>
      <c r="C1513" s="99" t="n">
        <v>46181</v>
      </c>
      <c r="D1513" s="51" t="n">
        <v>0.04815972222222222</v>
      </c>
      <c r="E1513" s="13" t="n">
        <v>528000361</v>
      </c>
      <c r="F1513" s="13" t="inlineStr">
        <is>
          <t>Denada Munggarani</t>
        </is>
      </c>
      <c r="G1513" s="13" t="inlineStr">
        <is>
          <t>Produksi</t>
        </is>
      </c>
      <c r="H1513" s="13" t="inlineStr">
        <is>
          <t>Istirahat</t>
        </is>
      </c>
    </row>
    <row r="1514">
      <c r="A1514" s="27" t="inlineStr">
        <is>
          <t>MK00192</t>
        </is>
      </c>
      <c r="B1514" s="13" t="inlineStr">
        <is>
          <t>OUT</t>
        </is>
      </c>
      <c r="C1514" s="99" t="n">
        <v>46181</v>
      </c>
      <c r="D1514" s="51" t="n">
        <v>0.05535879629629629</v>
      </c>
      <c r="E1514" s="13" t="n">
        <v>528000298</v>
      </c>
      <c r="F1514" s="13" t="inlineStr">
        <is>
          <t>Desta Cahaya Pratama</t>
        </is>
      </c>
      <c r="G1514" s="13" t="inlineStr">
        <is>
          <t>Produksi</t>
        </is>
      </c>
      <c r="H1514" s="13" t="inlineStr">
        <is>
          <t>Istirahat</t>
        </is>
      </c>
    </row>
    <row r="1515">
      <c r="A1515" s="27" t="inlineStr">
        <is>
          <t>MK00209</t>
        </is>
      </c>
      <c r="B1515" s="13" t="inlineStr">
        <is>
          <t>OUT</t>
        </is>
      </c>
      <c r="C1515" s="99" t="n">
        <v>46181</v>
      </c>
      <c r="D1515" s="51" t="n">
        <v>0.07258101851851852</v>
      </c>
      <c r="E1515" s="13" t="n">
        <v>528000305</v>
      </c>
      <c r="F1515" s="13" t="inlineStr">
        <is>
          <t>Puji Puspita</t>
        </is>
      </c>
      <c r="G1515" s="13" t="inlineStr">
        <is>
          <t>Produksi</t>
        </is>
      </c>
      <c r="H1515" s="13" t="inlineStr">
        <is>
          <t>Istirahat</t>
        </is>
      </c>
    </row>
    <row r="1516">
      <c r="A1516" s="27" t="inlineStr">
        <is>
          <t>MK00192</t>
        </is>
      </c>
      <c r="B1516" s="13" t="inlineStr">
        <is>
          <t>IN</t>
        </is>
      </c>
      <c r="C1516" s="99" t="n">
        <v>46181</v>
      </c>
      <c r="D1516" s="51" t="n">
        <v>0.07693287037037037</v>
      </c>
      <c r="E1516" s="13" t="n">
        <v>528000298</v>
      </c>
      <c r="F1516" s="13" t="inlineStr">
        <is>
          <t>Desta Cahaya Pratama</t>
        </is>
      </c>
      <c r="G1516" s="13" t="inlineStr">
        <is>
          <t>Produksi</t>
        </is>
      </c>
      <c r="H1516" s="13" t="inlineStr">
        <is>
          <t>Istirahat</t>
        </is>
      </c>
    </row>
    <row r="1517">
      <c r="A1517" s="27" t="inlineStr">
        <is>
          <t>MK00108</t>
        </is>
      </c>
      <c r="B1517" s="13" t="inlineStr">
        <is>
          <t>OUT</t>
        </is>
      </c>
      <c r="C1517" s="99" t="n">
        <v>46181</v>
      </c>
      <c r="D1517" s="51" t="n">
        <v>0.08159722222222222</v>
      </c>
      <c r="E1517" s="13" t="n">
        <v>528000313</v>
      </c>
      <c r="F1517" s="13" t="inlineStr">
        <is>
          <t>Muhamad Rifki</t>
        </is>
      </c>
      <c r="G1517" s="13" t="inlineStr">
        <is>
          <t>Produksi</t>
        </is>
      </c>
      <c r="H1517" s="13" t="inlineStr">
        <is>
          <t>Istirahat</t>
        </is>
      </c>
    </row>
    <row r="1518">
      <c r="A1518" s="27" t="inlineStr">
        <is>
          <t>MK00136</t>
        </is>
      </c>
      <c r="B1518" s="13" t="inlineStr">
        <is>
          <t>OUT</t>
        </is>
      </c>
      <c r="C1518" s="99" t="n">
        <v>46181</v>
      </c>
      <c r="D1518" s="51" t="n">
        <v>0.7435300925925926</v>
      </c>
      <c r="E1518" s="13" t="n">
        <v>528000358</v>
      </c>
      <c r="F1518" s="13" t="inlineStr">
        <is>
          <t>Lulu Agustin</t>
        </is>
      </c>
      <c r="G1518" s="13" t="inlineStr">
        <is>
          <t>Produksi</t>
        </is>
      </c>
      <c r="H1518" s="13" t="inlineStr">
        <is>
          <t>Istirahat</t>
        </is>
      </c>
    </row>
    <row r="1519">
      <c r="A1519" s="27" t="inlineStr">
        <is>
          <t>MK00143</t>
        </is>
      </c>
      <c r="B1519" s="13" t="inlineStr">
        <is>
          <t>OUT</t>
        </is>
      </c>
      <c r="C1519" s="99" t="n">
        <v>46181</v>
      </c>
      <c r="D1519" s="51" t="n">
        <v>0.7522337962962963</v>
      </c>
      <c r="E1519" s="13" t="n">
        <v>528000262</v>
      </c>
      <c r="F1519" s="13" t="inlineStr">
        <is>
          <t>Ndari Dwiwanti</t>
        </is>
      </c>
      <c r="G1519" s="13" t="inlineStr">
        <is>
          <t>Produksi</t>
        </is>
      </c>
      <c r="H1519" s="13" t="inlineStr">
        <is>
          <t>Istirahat</t>
        </is>
      </c>
    </row>
    <row r="1520">
      <c r="A1520" s="27" t="inlineStr">
        <is>
          <t>MK00156</t>
        </is>
      </c>
      <c r="B1520" s="13" t="inlineStr">
        <is>
          <t>OUT</t>
        </is>
      </c>
      <c r="C1520" s="99" t="n">
        <v>46181</v>
      </c>
      <c r="D1520" s="51" t="n">
        <v>0.752974537037037</v>
      </c>
      <c r="E1520" s="13" t="n">
        <v>528000291</v>
      </c>
      <c r="F1520" s="13" t="inlineStr">
        <is>
          <t>Andrian</t>
        </is>
      </c>
      <c r="G1520" s="13" t="inlineStr">
        <is>
          <t>Produksi</t>
        </is>
      </c>
      <c r="H1520" s="13" t="inlineStr">
        <is>
          <t>Istirahat</t>
        </is>
      </c>
    </row>
    <row r="1521">
      <c r="A1521" s="27" t="inlineStr">
        <is>
          <t>MK00136</t>
        </is>
      </c>
      <c r="B1521" s="13" t="inlineStr">
        <is>
          <t>IN</t>
        </is>
      </c>
      <c r="C1521" s="99" t="n">
        <v>46181</v>
      </c>
      <c r="D1521" s="51" t="n">
        <v>0.7537615740740741</v>
      </c>
      <c r="E1521" s="13" t="n">
        <v>528000358</v>
      </c>
      <c r="F1521" s="13" t="inlineStr">
        <is>
          <t>Lulu Agustin</t>
        </is>
      </c>
      <c r="G1521" s="13" t="inlineStr">
        <is>
          <t>Produksi</t>
        </is>
      </c>
      <c r="H1521" s="13" t="inlineStr">
        <is>
          <t>Istirahat</t>
        </is>
      </c>
    </row>
    <row r="1522">
      <c r="A1522" s="27" t="inlineStr">
        <is>
          <t>MK00112</t>
        </is>
      </c>
      <c r="B1522" s="13" t="inlineStr">
        <is>
          <t>IN</t>
        </is>
      </c>
      <c r="C1522" s="177" t="n">
        <v>46240.41666666666</v>
      </c>
      <c r="D1522" s="51" t="n">
        <v>0.6095138888888889</v>
      </c>
      <c r="E1522" s="13" t="n">
        <v>528000098</v>
      </c>
      <c r="F1522" s="13" t="inlineStr">
        <is>
          <t>Edi Junaedi</t>
        </is>
      </c>
      <c r="G1522" s="13" t="inlineStr">
        <is>
          <t>WRM</t>
        </is>
      </c>
      <c r="H1522" s="13" t="n"/>
    </row>
    <row r="1523">
      <c r="A1523" s="27" t="inlineStr">
        <is>
          <t>MK00112</t>
        </is>
      </c>
      <c r="B1523" s="13" t="inlineStr">
        <is>
          <t>OUT</t>
        </is>
      </c>
      <c r="C1523" s="177" t="n">
        <v>46240.41666666666</v>
      </c>
      <c r="D1523" s="51" t="n">
        <v>0.6105208333333333</v>
      </c>
      <c r="E1523" s="13" t="n">
        <v>528000098</v>
      </c>
      <c r="F1523" s="13" t="inlineStr">
        <is>
          <t>Edi Junaedi</t>
        </is>
      </c>
      <c r="G1523" s="13" t="inlineStr">
        <is>
          <t>WRM</t>
        </is>
      </c>
      <c r="H1523" s="13" t="inlineStr">
        <is>
          <t>Istirahat</t>
        </is>
      </c>
    </row>
    <row r="1524">
      <c r="A1524" s="27" t="inlineStr">
        <is>
          <t>MK00112</t>
        </is>
      </c>
      <c r="B1524" s="13" t="inlineStr">
        <is>
          <t>IN</t>
        </is>
      </c>
      <c r="C1524" s="177" t="n">
        <v>46240.41666666666</v>
      </c>
      <c r="D1524" s="51" t="n">
        <v>0.6123611111111111</v>
      </c>
      <c r="E1524" s="13" t="n">
        <v>528000098</v>
      </c>
      <c r="F1524" s="13" t="inlineStr">
        <is>
          <t>Edi Junaedi</t>
        </is>
      </c>
      <c r="G1524" s="13" t="inlineStr">
        <is>
          <t>WRM</t>
        </is>
      </c>
      <c r="H1524" s="13" t="n"/>
    </row>
    <row r="1525">
      <c r="A1525" s="27" t="inlineStr">
        <is>
          <t>MK00204</t>
        </is>
      </c>
      <c r="B1525" s="13" t="inlineStr">
        <is>
          <t>OUT</t>
        </is>
      </c>
      <c r="C1525" s="99" t="n">
        <v>46211</v>
      </c>
      <c r="D1525" s="51" t="n">
        <v>0.6656018518518518</v>
      </c>
      <c r="E1525" s="13" t="n">
        <v>528000335</v>
      </c>
      <c r="F1525" s="13" t="inlineStr">
        <is>
          <t>Rizal Saepuloh</t>
        </is>
      </c>
      <c r="G1525" s="13" t="inlineStr">
        <is>
          <t>WRM</t>
        </is>
      </c>
      <c r="H1525" s="13" t="n"/>
    </row>
    <row r="1526">
      <c r="A1526" s="27" t="inlineStr">
        <is>
          <t>MK00204</t>
        </is>
      </c>
      <c r="B1526" s="13" t="inlineStr">
        <is>
          <t>IN</t>
        </is>
      </c>
      <c r="C1526" s="99" t="n">
        <v>46211</v>
      </c>
      <c r="D1526" s="51" t="n">
        <v>0.6660300925925926</v>
      </c>
      <c r="E1526" s="13" t="n">
        <v>528000335</v>
      </c>
      <c r="F1526" s="13" t="inlineStr">
        <is>
          <t>Rizal Saepuloh</t>
        </is>
      </c>
      <c r="G1526" s="13" t="inlineStr">
        <is>
          <t>WRM</t>
        </is>
      </c>
      <c r="H1526" s="13" t="n"/>
    </row>
    <row r="1527">
      <c r="A1527" s="27" t="inlineStr">
        <is>
          <t>MK00221</t>
        </is>
      </c>
      <c r="B1527" s="13" t="inlineStr">
        <is>
          <t>OUT</t>
        </is>
      </c>
      <c r="C1527" s="99" t="n">
        <v>46211</v>
      </c>
      <c r="D1527" s="51" t="n">
        <v>0.6878240740740741</v>
      </c>
      <c r="E1527" s="13" t="n">
        <v>528000144</v>
      </c>
      <c r="F1527" s="13" t="inlineStr">
        <is>
          <t>Jodi Hanafi</t>
        </is>
      </c>
      <c r="G1527" s="13" t="inlineStr">
        <is>
          <t>WRM</t>
        </is>
      </c>
      <c r="H1527" s="13" t="n"/>
    </row>
    <row r="1528">
      <c r="A1528" s="27" t="inlineStr">
        <is>
          <t>MK00221</t>
        </is>
      </c>
      <c r="B1528" s="13" t="inlineStr">
        <is>
          <t>IN</t>
        </is>
      </c>
      <c r="C1528" s="99" t="n">
        <v>46211</v>
      </c>
      <c r="D1528" s="51" t="n">
        <v>0.6882754629629629</v>
      </c>
      <c r="E1528" s="13" t="n">
        <v>528000144</v>
      </c>
      <c r="F1528" s="13" t="inlineStr">
        <is>
          <t>Jodi Hanafi</t>
        </is>
      </c>
      <c r="G1528" s="13" t="inlineStr">
        <is>
          <t>WRM</t>
        </is>
      </c>
      <c r="H1528" s="13" t="n"/>
    </row>
    <row r="1529">
      <c r="A1529" s="27" t="inlineStr">
        <is>
          <t>MK0130</t>
        </is>
      </c>
      <c r="B1529" s="13" t="inlineStr">
        <is>
          <t>IN</t>
        </is>
      </c>
      <c r="C1529" s="99" t="n">
        <v>46211</v>
      </c>
      <c r="D1529" s="51" t="n">
        <v>0.6913773148148148</v>
      </c>
      <c r="E1529" s="13" t="n">
        <v>528000149</v>
      </c>
      <c r="F1529" s="13" t="inlineStr">
        <is>
          <t>Tio Fernanda</t>
        </is>
      </c>
      <c r="G1529" s="13" t="inlineStr">
        <is>
          <t>WRM</t>
        </is>
      </c>
      <c r="H1529" s="13" t="n"/>
    </row>
    <row r="1530">
      <c r="A1530" s="27" t="inlineStr">
        <is>
          <t>MK00213</t>
        </is>
      </c>
      <c r="B1530" s="13" t="inlineStr">
        <is>
          <t>OUT</t>
        </is>
      </c>
      <c r="C1530" s="99" t="n">
        <v>46211</v>
      </c>
      <c r="D1530" s="51" t="n">
        <v>0.7324537037037037</v>
      </c>
      <c r="E1530" s="13" t="n">
        <v>528000195</v>
      </c>
      <c r="F1530" s="13" t="inlineStr">
        <is>
          <t>Rahma Sariwati</t>
        </is>
      </c>
      <c r="G1530" s="13" t="inlineStr">
        <is>
          <t>Produksi</t>
        </is>
      </c>
      <c r="H1530" s="13" t="n"/>
    </row>
    <row r="1531">
      <c r="A1531" s="27" t="inlineStr">
        <is>
          <t>MK00209</t>
        </is>
      </c>
      <c r="B1531" s="13" t="inlineStr">
        <is>
          <t>IN</t>
        </is>
      </c>
      <c r="C1531" s="99" t="n">
        <v>46211</v>
      </c>
      <c r="D1531" s="51" t="n">
        <v>0.7325810185185185</v>
      </c>
      <c r="E1531" s="13" t="n">
        <v>528000262</v>
      </c>
      <c r="F1531" s="13" t="inlineStr">
        <is>
          <t>Ndari Dwiwanti</t>
        </is>
      </c>
      <c r="G1531" s="13" t="inlineStr">
        <is>
          <t>Produksi</t>
        </is>
      </c>
      <c r="H1531" s="13" t="n"/>
    </row>
    <row r="1532">
      <c r="A1532" s="27" t="inlineStr">
        <is>
          <t>MK00108</t>
        </is>
      </c>
      <c r="B1532" s="13" t="inlineStr">
        <is>
          <t>IN</t>
        </is>
      </c>
      <c r="C1532" s="99" t="n">
        <v>46211</v>
      </c>
      <c r="D1532" s="51" t="n">
        <v>0.7359490740740741</v>
      </c>
      <c r="E1532" s="13" t="n">
        <v>528000052</v>
      </c>
      <c r="F1532" s="13" t="inlineStr">
        <is>
          <t>Mustopa</t>
        </is>
      </c>
      <c r="G1532" s="13" t="inlineStr">
        <is>
          <t>Produksi</t>
        </is>
      </c>
      <c r="H1532" s="13" t="n"/>
    </row>
    <row r="1533">
      <c r="A1533" s="27" t="inlineStr">
        <is>
          <t>MK00108</t>
        </is>
      </c>
      <c r="B1533" s="13" t="inlineStr">
        <is>
          <t>OUT</t>
        </is>
      </c>
      <c r="C1533" s="99" t="n">
        <v>46211</v>
      </c>
      <c r="D1533" s="51" t="n">
        <v>0.7578125</v>
      </c>
      <c r="E1533" s="13" t="n">
        <v>528000052</v>
      </c>
      <c r="F1533" s="13" t="inlineStr">
        <is>
          <t>Mustopa</t>
        </is>
      </c>
      <c r="G1533" s="13" t="inlineStr">
        <is>
          <t>Produksi</t>
        </is>
      </c>
      <c r="H1533" s="13" t="n"/>
    </row>
    <row r="1534">
      <c r="A1534" s="27" t="inlineStr">
        <is>
          <t>MK00213</t>
        </is>
      </c>
      <c r="B1534" s="13" t="inlineStr">
        <is>
          <t>IN</t>
        </is>
      </c>
      <c r="C1534" s="99" t="n">
        <v>46211</v>
      </c>
      <c r="D1534" s="51" t="n">
        <v>0.7605555555555555</v>
      </c>
      <c r="E1534" s="13" t="n">
        <v>528000195</v>
      </c>
      <c r="F1534" s="13" t="inlineStr">
        <is>
          <t>Rahma Sariwati</t>
        </is>
      </c>
      <c r="G1534" s="13" t="inlineStr">
        <is>
          <t>Produksi</t>
        </is>
      </c>
      <c r="H1534" s="13" t="n"/>
    </row>
    <row r="1535">
      <c r="A1535" s="27" t="inlineStr">
        <is>
          <t>MK00213</t>
        </is>
      </c>
      <c r="B1535" s="13" t="inlineStr">
        <is>
          <t>OUT</t>
        </is>
      </c>
      <c r="C1535" s="177" t="n">
        <v>46240.41666666666</v>
      </c>
      <c r="D1535" s="51" t="n">
        <v>0.9335763888888889</v>
      </c>
      <c r="E1535" s="13" t="n">
        <v>528000195</v>
      </c>
      <c r="F1535" s="13" t="inlineStr">
        <is>
          <t>Rahma Sariwati</t>
        </is>
      </c>
      <c r="G1535" s="13" t="inlineStr">
        <is>
          <t>Produksi</t>
        </is>
      </c>
      <c r="H1535" s="13" t="inlineStr">
        <is>
          <t>Lainnya</t>
        </is>
      </c>
    </row>
    <row r="1536">
      <c r="A1536" s="27" t="inlineStr">
        <is>
          <t>MK00192</t>
        </is>
      </c>
      <c r="B1536" s="13" t="inlineStr">
        <is>
          <t>IN</t>
        </is>
      </c>
      <c r="C1536" s="177" t="n">
        <v>46241.41666666666</v>
      </c>
      <c r="D1536" s="51" t="n">
        <v>0.2498726851851852</v>
      </c>
      <c r="E1536" s="13" t="n">
        <v>528000273</v>
      </c>
      <c r="F1536" s="13" t="inlineStr">
        <is>
          <t>Asep Mulyana</t>
        </is>
      </c>
      <c r="G1536" s="13" t="inlineStr">
        <is>
          <t>WFG</t>
        </is>
      </c>
      <c r="H1536" s="1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F174"/>
  <sheetViews>
    <sheetView workbookViewId="0">
      <selection activeCell="A1" sqref="A1"/>
    </sheetView>
  </sheetViews>
  <sheetFormatPr baseColWidth="8" defaultColWidth="12.63" defaultRowHeight="15" customHeight="1"/>
  <cols>
    <col width="5.5" customWidth="1" style="169" min="1" max="1"/>
    <col width="9.25" customWidth="1" style="169" min="2" max="2"/>
    <col width="30" customWidth="1" style="169" min="3" max="3"/>
    <col width="12.25" customWidth="1" style="169" min="4" max="4"/>
    <col width="15.13" customWidth="1" style="169" min="5" max="5"/>
    <col width="9.880000000000001" customWidth="1" style="169" min="6" max="6"/>
  </cols>
  <sheetData>
    <row r="1" ht="15.75" customHeight="1" s="169">
      <c r="A1" s="15" t="inlineStr">
        <is>
          <t>NO</t>
        </is>
      </c>
      <c r="B1" s="15" t="inlineStr">
        <is>
          <t>NIK</t>
        </is>
      </c>
      <c r="C1" s="15" t="inlineStr">
        <is>
          <t>NAMA</t>
        </is>
      </c>
      <c r="D1" s="15" t="inlineStr">
        <is>
          <t>DEPARTMENT</t>
        </is>
      </c>
      <c r="E1" s="15" t="inlineStr">
        <is>
          <t>SECTION</t>
        </is>
      </c>
      <c r="F1" s="15" t="inlineStr">
        <is>
          <t>GROUP</t>
        </is>
      </c>
    </row>
    <row r="2" ht="15.75" customHeight="1" s="169">
      <c r="A2" s="15">
        <f>IFERROR(__xludf.DUMMYFUNCTION("QUERY('NON STAFF'!A$2:E1000,""select Col1,Col2,Col3,Col6,Col7,Col10 where Col6='Production'"",0)
"),"#VALUE!")</f>
        <v/>
      </c>
      <c r="B2" s="15" t="n"/>
      <c r="C2" s="52" t="n"/>
      <c r="D2" s="15" t="n"/>
      <c r="E2" s="15" t="n"/>
      <c r="F2" s="15" t="n"/>
    </row>
    <row r="3" ht="15.75" customHeight="1" s="169">
      <c r="A3" s="15" t="n"/>
      <c r="B3" s="15" t="n"/>
      <c r="C3" s="52" t="n"/>
      <c r="D3" s="15" t="n"/>
      <c r="E3" s="15" t="n"/>
      <c r="F3" s="15" t="n"/>
    </row>
    <row r="4" ht="15.75" customHeight="1" s="169">
      <c r="A4" s="15" t="n"/>
      <c r="B4" s="15" t="n"/>
      <c r="C4" s="52" t="n"/>
      <c r="D4" s="15" t="n"/>
      <c r="E4" s="15" t="n"/>
      <c r="F4" s="15" t="n"/>
    </row>
    <row r="5" ht="15.75" customHeight="1" s="169">
      <c r="A5" s="15" t="n"/>
      <c r="B5" s="15" t="n"/>
      <c r="C5" s="52" t="n"/>
      <c r="D5" s="15" t="n"/>
      <c r="E5" s="15" t="n"/>
      <c r="F5" s="15" t="n"/>
    </row>
    <row r="6" ht="15.75" customHeight="1" s="169">
      <c r="A6" s="15" t="n"/>
      <c r="B6" s="15" t="n"/>
      <c r="C6" s="52" t="n"/>
      <c r="D6" s="15" t="n"/>
      <c r="E6" s="15" t="n"/>
      <c r="F6" s="15" t="n"/>
    </row>
    <row r="7" ht="15.75" customHeight="1" s="169">
      <c r="A7" s="15" t="n"/>
      <c r="B7" s="15" t="n"/>
      <c r="C7" s="52" t="n"/>
      <c r="D7" s="15" t="n"/>
      <c r="E7" s="15" t="n"/>
      <c r="F7" s="15" t="n"/>
    </row>
    <row r="8" ht="15.75" customHeight="1" s="169">
      <c r="A8" s="15" t="n"/>
      <c r="B8" s="15" t="n"/>
      <c r="C8" s="52" t="n"/>
      <c r="D8" s="15" t="n"/>
      <c r="E8" s="15" t="n"/>
      <c r="F8" s="15" t="n"/>
    </row>
    <row r="9" ht="15.75" customHeight="1" s="169">
      <c r="A9" s="15" t="n"/>
      <c r="B9" s="15" t="n"/>
      <c r="C9" s="52" t="n"/>
      <c r="D9" s="15" t="n"/>
      <c r="E9" s="15" t="n"/>
      <c r="F9" s="15" t="n"/>
    </row>
    <row r="10" ht="15.75" customHeight="1" s="169">
      <c r="A10" s="15" t="n"/>
      <c r="B10" s="15" t="n"/>
      <c r="C10" s="52" t="n"/>
      <c r="D10" s="15" t="n"/>
      <c r="E10" s="15" t="n"/>
      <c r="F10" s="15" t="n"/>
    </row>
    <row r="11" ht="15.75" customHeight="1" s="169">
      <c r="A11" s="15" t="n"/>
      <c r="B11" s="15" t="n"/>
      <c r="C11" s="52" t="n"/>
      <c r="D11" s="15" t="n"/>
      <c r="E11" s="15" t="n"/>
      <c r="F11" s="15" t="n"/>
    </row>
    <row r="12" ht="15.75" customHeight="1" s="169">
      <c r="A12" s="15" t="n"/>
      <c r="B12" s="15" t="n"/>
      <c r="C12" s="52" t="n"/>
      <c r="D12" s="15" t="n"/>
      <c r="E12" s="15" t="n"/>
      <c r="F12" s="15" t="n"/>
    </row>
    <row r="13" ht="15.75" customHeight="1" s="169">
      <c r="A13" s="15" t="n"/>
      <c r="B13" s="15" t="n"/>
      <c r="C13" s="52" t="n"/>
      <c r="D13" s="15" t="n"/>
      <c r="E13" s="15" t="n"/>
      <c r="F13" s="15" t="n"/>
    </row>
    <row r="14" ht="15.75" customHeight="1" s="169">
      <c r="A14" s="15" t="n"/>
      <c r="B14" s="15" t="n"/>
      <c r="C14" s="52" t="n"/>
      <c r="D14" s="15" t="n"/>
      <c r="E14" s="15" t="n"/>
      <c r="F14" s="15" t="n"/>
    </row>
    <row r="15" ht="15.75" customHeight="1" s="169">
      <c r="A15" s="15" t="n"/>
      <c r="B15" s="15" t="n"/>
      <c r="C15" s="52" t="n"/>
      <c r="D15" s="15" t="n"/>
      <c r="E15" s="15" t="n"/>
      <c r="F15" s="15" t="n"/>
    </row>
    <row r="16" ht="15.75" customHeight="1" s="169">
      <c r="A16" s="15" t="n"/>
      <c r="B16" s="15" t="n"/>
      <c r="C16" s="52" t="n"/>
      <c r="D16" s="15" t="n"/>
      <c r="E16" s="15" t="n"/>
      <c r="F16" s="15" t="n"/>
    </row>
    <row r="17" ht="15.75" customHeight="1" s="169">
      <c r="A17" s="15" t="n"/>
      <c r="B17" s="15" t="n"/>
      <c r="C17" s="52" t="n"/>
      <c r="D17" s="15" t="n"/>
      <c r="E17" s="15" t="n"/>
      <c r="F17" s="15" t="n"/>
    </row>
    <row r="18" ht="15.75" customHeight="1" s="169">
      <c r="A18" s="15" t="n"/>
      <c r="B18" s="15" t="n"/>
      <c r="C18" s="52" t="n"/>
      <c r="D18" s="15" t="n"/>
      <c r="E18" s="15" t="n"/>
      <c r="F18" s="15" t="n"/>
    </row>
    <row r="19" ht="15.75" customHeight="1" s="169">
      <c r="A19" s="15" t="n"/>
      <c r="B19" s="15" t="n"/>
      <c r="C19" s="52" t="n"/>
      <c r="D19" s="15" t="n"/>
      <c r="E19" s="15" t="n"/>
      <c r="F19" s="15" t="n"/>
    </row>
    <row r="20" ht="15.75" customHeight="1" s="169">
      <c r="A20" s="15" t="n"/>
      <c r="B20" s="15" t="n"/>
      <c r="C20" s="52" t="n"/>
      <c r="D20" s="15" t="n"/>
      <c r="E20" s="15" t="n"/>
      <c r="F20" s="15" t="n"/>
    </row>
    <row r="21" ht="15.75" customHeight="1" s="169">
      <c r="A21" s="15" t="n"/>
      <c r="B21" s="15" t="n"/>
      <c r="C21" s="52" t="n"/>
      <c r="D21" s="15" t="n"/>
      <c r="E21" s="15" t="n"/>
      <c r="F21" s="15" t="n"/>
    </row>
    <row r="22" ht="15.75" customHeight="1" s="169">
      <c r="A22" s="15" t="n"/>
      <c r="B22" s="15" t="n"/>
      <c r="C22" s="52" t="n"/>
      <c r="D22" s="15" t="n"/>
      <c r="E22" s="15" t="n"/>
      <c r="F22" s="15" t="n"/>
    </row>
    <row r="23" ht="15.75" customHeight="1" s="169">
      <c r="A23" s="15" t="n"/>
      <c r="B23" s="15" t="n"/>
      <c r="C23" s="52" t="n"/>
      <c r="D23" s="15" t="n"/>
      <c r="E23" s="15" t="n"/>
      <c r="F23" s="15" t="n"/>
    </row>
    <row r="24" ht="15.75" customHeight="1" s="169">
      <c r="A24" s="15" t="n"/>
      <c r="B24" s="15" t="n"/>
      <c r="C24" s="52" t="n"/>
      <c r="D24" s="15" t="n"/>
      <c r="E24" s="15" t="n"/>
      <c r="F24" s="15" t="n"/>
    </row>
    <row r="25" ht="15.75" customHeight="1" s="169">
      <c r="A25" s="15" t="n"/>
      <c r="B25" s="15" t="n"/>
      <c r="C25" s="52" t="n"/>
      <c r="D25" s="15" t="n"/>
      <c r="E25" s="15" t="n"/>
      <c r="F25" s="15" t="n"/>
    </row>
    <row r="26" ht="15.75" customHeight="1" s="169">
      <c r="A26" s="15" t="n"/>
      <c r="B26" s="15" t="n"/>
      <c r="C26" s="52" t="n"/>
      <c r="D26" s="15" t="n"/>
      <c r="E26" s="15" t="n"/>
      <c r="F26" s="15" t="n"/>
    </row>
    <row r="27" ht="15.75" customHeight="1" s="169">
      <c r="A27" s="15" t="n"/>
      <c r="B27" s="15" t="n"/>
      <c r="C27" s="52" t="n"/>
      <c r="D27" s="15" t="n"/>
      <c r="E27" s="15" t="n"/>
      <c r="F27" s="15" t="n"/>
    </row>
    <row r="28" ht="15.75" customHeight="1" s="169">
      <c r="A28" s="15" t="n"/>
      <c r="B28" s="15" t="n"/>
      <c r="C28" s="52" t="n"/>
      <c r="D28" s="15" t="n"/>
      <c r="E28" s="15" t="n"/>
      <c r="F28" s="15" t="n"/>
    </row>
    <row r="29" ht="15.75" customHeight="1" s="169">
      <c r="A29" s="15" t="n"/>
      <c r="B29" s="15" t="n"/>
      <c r="C29" s="52" t="n"/>
      <c r="D29" s="15" t="n"/>
      <c r="E29" s="15" t="n"/>
      <c r="F29" s="15" t="n"/>
    </row>
    <row r="30" ht="15.75" customHeight="1" s="169">
      <c r="A30" s="15" t="n"/>
      <c r="B30" s="15" t="n"/>
      <c r="C30" s="52" t="n"/>
      <c r="D30" s="15" t="n"/>
      <c r="E30" s="15" t="n"/>
      <c r="F30" s="15" t="n"/>
    </row>
    <row r="31" ht="15.75" customHeight="1" s="169">
      <c r="A31" s="15" t="n"/>
      <c r="B31" s="15" t="n"/>
      <c r="C31" s="52" t="n"/>
      <c r="D31" s="15" t="n"/>
      <c r="E31" s="15" t="n"/>
      <c r="F31" s="15" t="n"/>
    </row>
    <row r="32" ht="15.75" customHeight="1" s="169">
      <c r="A32" s="15" t="n"/>
      <c r="B32" s="15" t="n"/>
      <c r="C32" s="52" t="n"/>
      <c r="D32" s="15" t="n"/>
      <c r="E32" s="15" t="n"/>
      <c r="F32" s="15" t="n"/>
    </row>
    <row r="33" ht="15.75" customHeight="1" s="169">
      <c r="A33" s="15" t="n"/>
      <c r="B33" s="15" t="n"/>
      <c r="C33" s="52" t="n"/>
      <c r="D33" s="15" t="n"/>
      <c r="E33" s="15" t="n"/>
      <c r="F33" s="15" t="n"/>
    </row>
    <row r="34" ht="15.75" customHeight="1" s="169">
      <c r="A34" s="15" t="n"/>
      <c r="B34" s="15" t="n"/>
      <c r="C34" s="52" t="n"/>
      <c r="D34" s="15" t="n"/>
      <c r="E34" s="15" t="n"/>
      <c r="F34" s="15" t="n"/>
    </row>
    <row r="35" ht="15.75" customHeight="1" s="169">
      <c r="A35" s="15" t="n"/>
      <c r="B35" s="15" t="n"/>
      <c r="C35" s="52" t="n"/>
      <c r="D35" s="15" t="n"/>
      <c r="E35" s="15" t="n"/>
      <c r="F35" s="15" t="n"/>
    </row>
    <row r="36" ht="15.75" customHeight="1" s="169">
      <c r="A36" s="15" t="n"/>
      <c r="B36" s="15" t="n"/>
      <c r="C36" s="52" t="n"/>
      <c r="D36" s="15" t="n"/>
      <c r="E36" s="15" t="n"/>
      <c r="F36" s="15" t="n"/>
    </row>
    <row r="37" ht="15.75" customHeight="1" s="169">
      <c r="A37" s="15" t="n"/>
      <c r="B37" s="15" t="n"/>
      <c r="C37" s="52" t="n"/>
      <c r="D37" s="15" t="n"/>
      <c r="E37" s="15" t="n"/>
      <c r="F37" s="15" t="n"/>
    </row>
    <row r="38" ht="15.75" customHeight="1" s="169">
      <c r="A38" s="15" t="n"/>
      <c r="B38" s="15" t="n"/>
      <c r="C38" s="52" t="n"/>
      <c r="D38" s="15" t="n"/>
      <c r="E38" s="15" t="n"/>
      <c r="F38" s="15" t="n"/>
    </row>
    <row r="39" ht="15.75" customHeight="1" s="169">
      <c r="A39" s="15" t="n"/>
      <c r="B39" s="15" t="n"/>
      <c r="C39" s="52" t="n"/>
      <c r="D39" s="15" t="n"/>
      <c r="E39" s="15" t="n"/>
      <c r="F39" s="15" t="n"/>
    </row>
    <row r="40" ht="15.75" customHeight="1" s="169">
      <c r="A40" s="15" t="n"/>
      <c r="B40" s="15" t="n"/>
      <c r="C40" s="52" t="n"/>
      <c r="D40" s="15" t="n"/>
      <c r="E40" s="15" t="n"/>
      <c r="F40" s="15" t="n"/>
    </row>
    <row r="41" ht="15.75" customHeight="1" s="169">
      <c r="A41" s="15" t="n"/>
      <c r="B41" s="15" t="n"/>
      <c r="C41" s="52" t="n"/>
      <c r="D41" s="15" t="n"/>
      <c r="E41" s="15" t="n"/>
      <c r="F41" s="15" t="n"/>
    </row>
    <row r="42" ht="15.75" customHeight="1" s="169">
      <c r="A42" s="15" t="n"/>
      <c r="B42" s="15" t="n"/>
      <c r="C42" s="52" t="n"/>
      <c r="D42" s="15" t="n"/>
      <c r="E42" s="15" t="n"/>
      <c r="F42" s="15" t="n"/>
    </row>
    <row r="43" ht="15.75" customHeight="1" s="169">
      <c r="A43" s="15" t="n"/>
      <c r="B43" s="15" t="n"/>
      <c r="C43" s="52" t="n"/>
      <c r="D43" s="15" t="n"/>
      <c r="E43" s="15" t="n"/>
      <c r="F43" s="15" t="n"/>
    </row>
    <row r="44" ht="15.75" customHeight="1" s="169">
      <c r="A44" s="15" t="n"/>
      <c r="B44" s="15" t="n"/>
      <c r="C44" s="52" t="n"/>
      <c r="D44" s="15" t="n"/>
      <c r="E44" s="15" t="n"/>
      <c r="F44" s="15" t="n"/>
    </row>
    <row r="45" ht="15.75" customHeight="1" s="169">
      <c r="A45" s="15" t="n"/>
      <c r="B45" s="15" t="n"/>
      <c r="C45" s="52" t="n"/>
      <c r="D45" s="15" t="n"/>
      <c r="E45" s="15" t="n"/>
      <c r="F45" s="15" t="n"/>
    </row>
    <row r="46" ht="15.75" customHeight="1" s="169">
      <c r="A46" s="15" t="n"/>
      <c r="B46" s="15" t="n"/>
      <c r="C46" s="52" t="n"/>
      <c r="D46" s="15" t="n"/>
      <c r="E46" s="15" t="n"/>
      <c r="F46" s="15" t="n"/>
    </row>
    <row r="47" ht="15.75" customHeight="1" s="169">
      <c r="A47" s="15" t="n"/>
      <c r="B47" s="15" t="n"/>
      <c r="C47" s="52" t="n"/>
      <c r="D47" s="15" t="n"/>
      <c r="E47" s="15" t="n"/>
      <c r="F47" s="15" t="n"/>
    </row>
    <row r="48" ht="15.75" customHeight="1" s="169">
      <c r="A48" s="15" t="n"/>
      <c r="B48" s="15" t="n"/>
      <c r="C48" s="52" t="n"/>
      <c r="D48" s="15" t="n"/>
      <c r="E48" s="15" t="n"/>
      <c r="F48" s="15" t="n"/>
    </row>
    <row r="49" ht="15.75" customHeight="1" s="169">
      <c r="A49" s="15" t="n"/>
      <c r="B49" s="15" t="n"/>
      <c r="C49" s="52" t="n"/>
      <c r="D49" s="15" t="n"/>
      <c r="E49" s="15" t="n"/>
      <c r="F49" s="15" t="n"/>
    </row>
    <row r="50" ht="15.75" customHeight="1" s="169">
      <c r="A50" s="15" t="n"/>
      <c r="B50" s="15" t="n"/>
      <c r="C50" s="52" t="n"/>
      <c r="D50" s="15" t="n"/>
      <c r="E50" s="15" t="n"/>
      <c r="F50" s="15" t="n"/>
    </row>
    <row r="51" ht="15.75" customHeight="1" s="169">
      <c r="A51" s="15" t="n"/>
      <c r="B51" s="15" t="n"/>
      <c r="C51" s="52" t="n"/>
      <c r="D51" s="15" t="n"/>
      <c r="E51" s="15" t="n"/>
      <c r="F51" s="15" t="n"/>
    </row>
    <row r="52" ht="15.75" customHeight="1" s="169">
      <c r="A52" s="15" t="n"/>
      <c r="B52" s="15" t="n"/>
      <c r="C52" s="52" t="n"/>
      <c r="D52" s="15" t="n"/>
      <c r="E52" s="15" t="n"/>
      <c r="F52" s="15" t="n"/>
    </row>
    <row r="53" ht="15.75" customHeight="1" s="169">
      <c r="A53" s="15" t="n"/>
      <c r="B53" s="15" t="n"/>
      <c r="C53" s="52" t="n"/>
      <c r="D53" s="15" t="n"/>
      <c r="E53" s="15" t="n"/>
      <c r="F53" s="15" t="n"/>
    </row>
    <row r="54" ht="15.75" customHeight="1" s="169">
      <c r="A54" s="15" t="n"/>
      <c r="B54" s="15" t="n"/>
      <c r="C54" s="52" t="n"/>
      <c r="D54" s="15" t="n"/>
      <c r="E54" s="15" t="n"/>
      <c r="F54" s="15" t="n"/>
    </row>
    <row r="55" ht="15.75" customHeight="1" s="169">
      <c r="A55" s="15" t="n"/>
      <c r="B55" s="15" t="n"/>
      <c r="C55" s="52" t="n"/>
      <c r="D55" s="15" t="n"/>
      <c r="E55" s="15" t="n"/>
      <c r="F55" s="15" t="n"/>
    </row>
    <row r="56" ht="15.75" customHeight="1" s="169">
      <c r="A56" s="15" t="n"/>
      <c r="B56" s="15" t="n"/>
      <c r="C56" s="52" t="n"/>
      <c r="D56" s="15" t="n"/>
      <c r="E56" s="15" t="n"/>
      <c r="F56" s="15" t="n"/>
    </row>
    <row r="57" ht="15.75" customHeight="1" s="169">
      <c r="A57" s="15" t="n"/>
      <c r="B57" s="15" t="n"/>
      <c r="C57" s="52" t="n"/>
      <c r="D57" s="15" t="n"/>
      <c r="E57" s="15" t="n"/>
      <c r="F57" s="15" t="n"/>
    </row>
    <row r="58" ht="15.75" customHeight="1" s="169">
      <c r="A58" s="15" t="n"/>
      <c r="B58" s="15" t="n"/>
      <c r="C58" s="52" t="n"/>
      <c r="D58" s="15" t="n"/>
      <c r="E58" s="15" t="n"/>
      <c r="F58" s="15" t="n"/>
    </row>
    <row r="59" ht="15.75" customHeight="1" s="169">
      <c r="A59" s="15" t="n"/>
      <c r="B59" s="15" t="n"/>
      <c r="C59" s="52" t="n"/>
      <c r="D59" s="15" t="n"/>
      <c r="E59" s="15" t="n"/>
      <c r="F59" s="15" t="n"/>
    </row>
    <row r="60" ht="15.75" customHeight="1" s="169">
      <c r="A60" s="15" t="n"/>
      <c r="B60" s="15" t="n"/>
      <c r="C60" s="52" t="n"/>
      <c r="D60" s="15" t="n"/>
      <c r="E60" s="15" t="n"/>
      <c r="F60" s="15" t="n"/>
    </row>
    <row r="61" ht="15.75" customHeight="1" s="169">
      <c r="A61" s="15" t="n"/>
      <c r="B61" s="15" t="n"/>
      <c r="C61" s="52" t="n"/>
      <c r="D61" s="15" t="n"/>
      <c r="E61" s="15" t="n"/>
      <c r="F61" s="15" t="n"/>
    </row>
    <row r="62" ht="15.75" customHeight="1" s="169">
      <c r="A62" s="15" t="n"/>
      <c r="B62" s="15" t="n"/>
      <c r="C62" s="52" t="n"/>
      <c r="D62" s="15" t="n"/>
      <c r="E62" s="15" t="n"/>
      <c r="F62" s="15" t="n"/>
    </row>
    <row r="63" ht="15.75" customHeight="1" s="169">
      <c r="A63" s="15" t="n"/>
      <c r="B63" s="15" t="n"/>
      <c r="C63" s="52" t="n"/>
      <c r="D63" s="15" t="n"/>
      <c r="E63" s="15" t="n"/>
      <c r="F63" s="15" t="n"/>
    </row>
    <row r="64" ht="15.75" customHeight="1" s="169">
      <c r="A64" s="15" t="n"/>
      <c r="B64" s="15" t="n"/>
      <c r="C64" s="52" t="n"/>
      <c r="D64" s="15" t="n"/>
      <c r="E64" s="15" t="n"/>
      <c r="F64" s="15" t="n"/>
    </row>
    <row r="65" ht="15.75" customHeight="1" s="169">
      <c r="A65" s="15" t="n"/>
      <c r="B65" s="15" t="n"/>
      <c r="C65" s="52" t="n"/>
      <c r="D65" s="15" t="n"/>
      <c r="E65" s="15" t="n"/>
      <c r="F65" s="15" t="n"/>
    </row>
    <row r="66" ht="15.75" customHeight="1" s="169">
      <c r="A66" s="15" t="n"/>
      <c r="B66" s="15" t="n"/>
      <c r="C66" s="52" t="n"/>
      <c r="D66" s="15" t="n"/>
      <c r="E66" s="15" t="n"/>
      <c r="F66" s="15" t="n"/>
    </row>
    <row r="67" ht="15.75" customHeight="1" s="169">
      <c r="A67" s="15" t="n"/>
      <c r="B67" s="15" t="n"/>
      <c r="C67" s="52" t="n"/>
      <c r="D67" s="15" t="n"/>
      <c r="E67" s="15" t="n"/>
      <c r="F67" s="15" t="n"/>
    </row>
    <row r="68" ht="15.75" customHeight="1" s="169">
      <c r="A68" s="15" t="n"/>
      <c r="B68" s="15" t="n"/>
      <c r="C68" s="52" t="n"/>
      <c r="D68" s="15" t="n"/>
      <c r="E68" s="15" t="n"/>
      <c r="F68" s="15" t="n"/>
    </row>
    <row r="69" ht="15.75" customHeight="1" s="169">
      <c r="A69" s="15" t="n"/>
      <c r="B69" s="15" t="n"/>
      <c r="C69" s="52" t="n"/>
      <c r="D69" s="15" t="n"/>
      <c r="E69" s="15" t="n"/>
      <c r="F69" s="15" t="n"/>
    </row>
    <row r="70" ht="15.75" customHeight="1" s="169">
      <c r="A70" s="15" t="n"/>
      <c r="B70" s="15" t="n"/>
      <c r="C70" s="52" t="n"/>
      <c r="D70" s="15" t="n"/>
      <c r="E70" s="15" t="n"/>
      <c r="F70" s="15" t="n"/>
    </row>
    <row r="71" ht="15.75" customHeight="1" s="169">
      <c r="A71" s="15" t="n"/>
      <c r="B71" s="15" t="n"/>
      <c r="C71" s="52" t="n"/>
      <c r="D71" s="15" t="n"/>
      <c r="E71" s="15" t="n"/>
      <c r="F71" s="15" t="n"/>
    </row>
    <row r="72" ht="15.75" customHeight="1" s="169">
      <c r="A72" s="15" t="n"/>
      <c r="B72" s="15" t="n"/>
      <c r="C72" s="52" t="n"/>
      <c r="D72" s="15" t="n"/>
      <c r="E72" s="15" t="n"/>
      <c r="F72" s="15" t="n"/>
    </row>
    <row r="73" ht="15.75" customHeight="1" s="169">
      <c r="A73" s="15" t="n"/>
      <c r="B73" s="15" t="n"/>
      <c r="C73" s="52" t="n"/>
      <c r="D73" s="15" t="n"/>
      <c r="E73" s="15" t="n"/>
      <c r="F73" s="15" t="n"/>
    </row>
    <row r="74" ht="15.75" customHeight="1" s="169">
      <c r="A74" s="15" t="n"/>
      <c r="B74" s="15" t="n"/>
      <c r="C74" s="52" t="n"/>
      <c r="D74" s="15" t="n"/>
      <c r="E74" s="15" t="n"/>
      <c r="F74" s="15" t="n"/>
    </row>
    <row r="75" ht="15.75" customHeight="1" s="169">
      <c r="A75" s="15" t="n"/>
      <c r="B75" s="15" t="n"/>
      <c r="C75" s="52" t="n"/>
      <c r="D75" s="15" t="n"/>
      <c r="E75" s="15" t="n"/>
      <c r="F75" s="15" t="n"/>
    </row>
    <row r="76" ht="15.75" customHeight="1" s="169">
      <c r="A76" s="15" t="n"/>
      <c r="B76" s="15" t="n"/>
      <c r="C76" s="52" t="n"/>
      <c r="D76" s="15" t="n"/>
      <c r="E76" s="15" t="n"/>
      <c r="F76" s="15" t="n"/>
    </row>
    <row r="77" ht="15.75" customHeight="1" s="169">
      <c r="A77" s="15" t="n"/>
      <c r="B77" s="15" t="n"/>
      <c r="C77" s="52" t="n"/>
      <c r="D77" s="15" t="n"/>
      <c r="E77" s="15" t="n"/>
      <c r="F77" s="15" t="n"/>
    </row>
    <row r="78" ht="15.75" customHeight="1" s="169">
      <c r="A78" s="15" t="n"/>
      <c r="B78" s="15" t="n"/>
      <c r="C78" s="52" t="n"/>
      <c r="D78" s="15" t="n"/>
      <c r="E78" s="15" t="n"/>
      <c r="F78" s="15" t="n"/>
    </row>
    <row r="79" ht="15.75" customHeight="1" s="169">
      <c r="A79" s="15" t="n"/>
      <c r="B79" s="15" t="n"/>
      <c r="C79" s="52" t="n"/>
      <c r="D79" s="15" t="n"/>
      <c r="E79" s="15" t="n"/>
      <c r="F79" s="15" t="n"/>
    </row>
    <row r="80" ht="15.75" customHeight="1" s="169">
      <c r="A80" s="15" t="n"/>
      <c r="B80" s="15" t="n"/>
      <c r="C80" s="52" t="n"/>
      <c r="D80" s="15" t="n"/>
      <c r="E80" s="15" t="n"/>
      <c r="F80" s="15" t="n"/>
    </row>
    <row r="81" ht="15.75" customHeight="1" s="169">
      <c r="A81" s="15" t="n"/>
      <c r="B81" s="15" t="n"/>
      <c r="C81" s="52" t="n"/>
      <c r="D81" s="15" t="n"/>
      <c r="E81" s="15" t="n"/>
      <c r="F81" s="15" t="n"/>
    </row>
    <row r="82" ht="15.75" customHeight="1" s="169">
      <c r="A82" s="15" t="n"/>
      <c r="B82" s="15" t="n"/>
      <c r="C82" s="52" t="n"/>
      <c r="D82" s="15" t="n"/>
      <c r="E82" s="15" t="n"/>
      <c r="F82" s="15" t="n"/>
    </row>
    <row r="83" ht="15.75" customHeight="1" s="169">
      <c r="A83" s="15" t="n"/>
      <c r="B83" s="15" t="n"/>
      <c r="C83" s="52" t="n"/>
      <c r="D83" s="15" t="n"/>
      <c r="E83" s="15" t="n"/>
      <c r="F83" s="15" t="n"/>
    </row>
    <row r="84" ht="15.75" customHeight="1" s="169">
      <c r="A84" s="15" t="n"/>
      <c r="B84" s="15" t="n"/>
      <c r="C84" s="52" t="n"/>
      <c r="D84" s="15" t="n"/>
      <c r="E84" s="15" t="n"/>
      <c r="F84" s="15" t="n"/>
    </row>
    <row r="85" ht="15.75" customHeight="1" s="169">
      <c r="A85" s="15" t="n"/>
      <c r="B85" s="15" t="n"/>
      <c r="C85" s="52" t="n"/>
      <c r="D85" s="15" t="n"/>
      <c r="E85" s="15" t="n"/>
      <c r="F85" s="15" t="n"/>
    </row>
    <row r="86" ht="15.75" customHeight="1" s="169">
      <c r="A86" s="15" t="n"/>
      <c r="B86" s="15" t="n"/>
      <c r="C86" s="52" t="n"/>
      <c r="D86" s="15" t="n"/>
      <c r="E86" s="15" t="n"/>
      <c r="F86" s="15" t="n"/>
    </row>
    <row r="87" ht="15.75" customHeight="1" s="169">
      <c r="A87" s="15" t="n"/>
      <c r="B87" s="15" t="n"/>
      <c r="C87" s="52" t="n"/>
      <c r="D87" s="15" t="n"/>
      <c r="E87" s="15" t="n"/>
      <c r="F87" s="15" t="n"/>
    </row>
    <row r="88" ht="15.75" customHeight="1" s="169">
      <c r="A88" s="15" t="n"/>
      <c r="B88" s="15" t="n"/>
      <c r="C88" s="52" t="n"/>
      <c r="D88" s="15" t="n"/>
      <c r="E88" s="15" t="n"/>
      <c r="F88" s="15" t="n"/>
    </row>
    <row r="89" ht="15.75" customHeight="1" s="169">
      <c r="A89" s="15" t="n"/>
      <c r="B89" s="15" t="n"/>
      <c r="C89" s="52" t="n"/>
      <c r="D89" s="15" t="n"/>
      <c r="E89" s="15" t="n"/>
      <c r="F89" s="15" t="n"/>
    </row>
    <row r="90" ht="15.75" customHeight="1" s="169">
      <c r="A90" s="15" t="n"/>
      <c r="B90" s="15" t="n"/>
      <c r="C90" s="52" t="n"/>
      <c r="D90" s="15" t="n"/>
      <c r="E90" s="15" t="n"/>
      <c r="F90" s="15" t="n"/>
    </row>
    <row r="91" ht="15.75" customHeight="1" s="169">
      <c r="A91" s="15" t="n"/>
      <c r="B91" s="15" t="n"/>
      <c r="C91" s="52" t="n"/>
      <c r="D91" s="15" t="n"/>
      <c r="E91" s="15" t="n"/>
      <c r="F91" s="15" t="n"/>
    </row>
    <row r="92" ht="15.75" customHeight="1" s="169">
      <c r="A92" s="15" t="n"/>
      <c r="B92" s="15" t="n"/>
      <c r="C92" s="52" t="n"/>
      <c r="D92" s="15" t="n"/>
      <c r="E92" s="15" t="n"/>
      <c r="F92" s="15" t="n"/>
    </row>
    <row r="93" ht="15.75" customHeight="1" s="169">
      <c r="A93" s="15" t="n"/>
      <c r="B93" s="15" t="n"/>
      <c r="C93" s="52" t="n"/>
      <c r="D93" s="15" t="n"/>
      <c r="E93" s="15" t="n"/>
      <c r="F93" s="15" t="n"/>
    </row>
    <row r="94" ht="15.75" customHeight="1" s="169">
      <c r="A94" s="15" t="n"/>
      <c r="B94" s="15" t="n"/>
      <c r="C94" s="52" t="n"/>
      <c r="D94" s="15" t="n"/>
      <c r="E94" s="15" t="n"/>
      <c r="F94" s="15" t="n"/>
    </row>
    <row r="95" ht="15.75" customHeight="1" s="169">
      <c r="A95" s="15" t="n"/>
      <c r="B95" s="15" t="n"/>
      <c r="C95" s="52" t="n"/>
      <c r="D95" s="15" t="n"/>
      <c r="E95" s="15" t="n"/>
      <c r="F95" s="15" t="n"/>
    </row>
    <row r="96" ht="15.75" customHeight="1" s="169">
      <c r="A96" s="15" t="n"/>
      <c r="B96" s="15" t="n"/>
      <c r="C96" s="52" t="n"/>
      <c r="D96" s="15" t="n"/>
      <c r="E96" s="15" t="n"/>
      <c r="F96" s="15" t="n"/>
    </row>
    <row r="97" ht="15.75" customHeight="1" s="169">
      <c r="A97" s="15" t="n"/>
      <c r="B97" s="15" t="n"/>
      <c r="C97" s="52" t="n"/>
      <c r="D97" s="15" t="n"/>
      <c r="E97" s="15" t="n"/>
      <c r="F97" s="15" t="n"/>
    </row>
    <row r="98" ht="15.75" customHeight="1" s="169">
      <c r="A98" s="15" t="n"/>
      <c r="B98" s="15" t="n"/>
      <c r="C98" s="52" t="n"/>
      <c r="D98" s="15" t="n"/>
      <c r="E98" s="15" t="n"/>
      <c r="F98" s="15" t="n"/>
    </row>
    <row r="99" ht="15.75" customHeight="1" s="169">
      <c r="A99" s="15" t="n"/>
      <c r="B99" s="15" t="n"/>
      <c r="C99" s="52" t="n"/>
      <c r="D99" s="15" t="n"/>
      <c r="E99" s="15" t="n"/>
      <c r="F99" s="15" t="n"/>
    </row>
    <row r="100" ht="15.75" customHeight="1" s="169">
      <c r="A100" s="15" t="n"/>
      <c r="B100" s="15" t="n"/>
      <c r="C100" s="52" t="n"/>
      <c r="D100" s="15" t="n"/>
      <c r="E100" s="15" t="n"/>
      <c r="F100" s="15" t="n"/>
    </row>
    <row r="101" ht="15.75" customHeight="1" s="169">
      <c r="A101" s="15" t="n"/>
      <c r="B101" s="15" t="n"/>
      <c r="C101" s="52" t="n"/>
      <c r="D101" s="15" t="n"/>
      <c r="E101" s="15" t="n"/>
      <c r="F101" s="15" t="n"/>
    </row>
    <row r="102" ht="15.75" customHeight="1" s="169">
      <c r="A102" s="15" t="n"/>
      <c r="B102" s="15" t="n"/>
      <c r="C102" s="52" t="n"/>
      <c r="D102" s="15" t="n"/>
      <c r="E102" s="15" t="n"/>
      <c r="F102" s="15" t="n"/>
    </row>
    <row r="103" ht="15.75" customHeight="1" s="169">
      <c r="A103" s="15" t="n"/>
      <c r="B103" s="15" t="n"/>
      <c r="C103" s="52" t="n"/>
      <c r="D103" s="15" t="n"/>
      <c r="E103" s="15" t="n"/>
      <c r="F103" s="15" t="n"/>
    </row>
    <row r="104" ht="15.75" customHeight="1" s="169">
      <c r="A104" s="15" t="n"/>
      <c r="B104" s="15" t="n"/>
      <c r="C104" s="52" t="n"/>
      <c r="D104" s="15" t="n"/>
      <c r="E104" s="15" t="n"/>
      <c r="F104" s="15" t="n"/>
    </row>
    <row r="105" ht="15.75" customHeight="1" s="169">
      <c r="A105" s="15" t="n"/>
      <c r="B105" s="15" t="n"/>
      <c r="C105" s="52" t="n"/>
      <c r="D105" s="15" t="n"/>
      <c r="E105" s="15" t="n"/>
      <c r="F105" s="15" t="n"/>
    </row>
    <row r="106" ht="15.75" customHeight="1" s="169">
      <c r="A106" s="15" t="n"/>
      <c r="B106" s="15" t="n"/>
      <c r="C106" s="52" t="n"/>
      <c r="D106" s="15" t="n"/>
      <c r="E106" s="15" t="n"/>
      <c r="F106" s="15" t="n"/>
    </row>
    <row r="107" ht="15.75" customHeight="1" s="169">
      <c r="A107" s="15" t="n"/>
      <c r="B107" s="15" t="n"/>
      <c r="C107" s="52" t="n"/>
      <c r="D107" s="15" t="n"/>
      <c r="E107" s="15" t="n"/>
      <c r="F107" s="15" t="n"/>
    </row>
    <row r="108" ht="15.75" customHeight="1" s="169">
      <c r="A108" s="15" t="n"/>
      <c r="B108" s="15" t="n"/>
      <c r="C108" s="52" t="n"/>
      <c r="D108" s="15" t="n"/>
      <c r="E108" s="15" t="n"/>
      <c r="F108" s="15" t="n"/>
    </row>
    <row r="109" ht="15.75" customHeight="1" s="169">
      <c r="A109" s="15" t="n"/>
      <c r="B109" s="15" t="n"/>
      <c r="C109" s="52" t="n"/>
      <c r="D109" s="15" t="n"/>
      <c r="E109" s="15" t="n"/>
      <c r="F109" s="15" t="n"/>
    </row>
    <row r="110" ht="15.75" customHeight="1" s="169">
      <c r="A110" s="15" t="n"/>
      <c r="B110" s="15" t="n"/>
      <c r="C110" s="52" t="n"/>
      <c r="D110" s="15" t="n"/>
      <c r="E110" s="15" t="n"/>
      <c r="F110" s="15" t="n"/>
    </row>
    <row r="111" ht="15.75" customHeight="1" s="169">
      <c r="A111" s="15" t="n"/>
      <c r="B111" s="15" t="n"/>
      <c r="C111" s="52" t="n"/>
      <c r="D111" s="15" t="n"/>
      <c r="E111" s="15" t="n"/>
      <c r="F111" s="15" t="n"/>
    </row>
    <row r="112" ht="15.75" customHeight="1" s="169">
      <c r="A112" s="15" t="n"/>
      <c r="B112" s="15" t="n"/>
      <c r="C112" s="52" t="n"/>
      <c r="D112" s="15" t="n"/>
      <c r="E112" s="15" t="n"/>
      <c r="F112" s="15" t="n"/>
    </row>
    <row r="113" ht="15.75" customHeight="1" s="169">
      <c r="A113" s="15" t="n"/>
      <c r="B113" s="15" t="n"/>
      <c r="C113" s="52" t="n"/>
      <c r="D113" s="15" t="n"/>
      <c r="E113" s="15" t="n"/>
      <c r="F113" s="15" t="n"/>
    </row>
    <row r="114" ht="15.75" customHeight="1" s="169">
      <c r="A114" s="15" t="n"/>
      <c r="B114" s="15" t="n"/>
      <c r="C114" s="52" t="n"/>
      <c r="D114" s="15" t="n"/>
      <c r="E114" s="15" t="n"/>
      <c r="F114" s="15" t="n"/>
    </row>
    <row r="115" ht="15.75" customHeight="1" s="169">
      <c r="A115" s="15" t="n"/>
      <c r="B115" s="15" t="n"/>
      <c r="C115" s="52" t="n"/>
      <c r="D115" s="15" t="n"/>
      <c r="E115" s="15" t="n"/>
      <c r="F115" s="15" t="n"/>
    </row>
    <row r="116" ht="15.75" customHeight="1" s="169">
      <c r="A116" s="15" t="n"/>
      <c r="B116" s="15" t="n"/>
      <c r="C116" s="52" t="n"/>
      <c r="D116" s="15" t="n"/>
      <c r="E116" s="15" t="n"/>
      <c r="F116" s="15" t="n"/>
    </row>
    <row r="117" ht="15.75" customHeight="1" s="169">
      <c r="A117" s="15" t="n"/>
      <c r="B117" s="15" t="n"/>
      <c r="C117" s="52" t="n"/>
      <c r="D117" s="15" t="n"/>
      <c r="E117" s="15" t="n"/>
      <c r="F117" s="15" t="n"/>
    </row>
    <row r="118" ht="15.75" customHeight="1" s="169">
      <c r="A118" s="15" t="n"/>
      <c r="B118" s="15" t="n"/>
      <c r="C118" s="52" t="n"/>
      <c r="D118" s="15" t="n"/>
      <c r="E118" s="15" t="n"/>
      <c r="F118" s="15" t="n"/>
    </row>
    <row r="119" ht="15.75" customHeight="1" s="169">
      <c r="A119" s="15" t="n"/>
      <c r="B119" s="15" t="n"/>
      <c r="C119" s="52" t="n"/>
      <c r="D119" s="15" t="n"/>
      <c r="E119" s="15" t="n"/>
      <c r="F119" s="15" t="n"/>
    </row>
    <row r="120" ht="15.75" customHeight="1" s="169">
      <c r="A120" s="15" t="n"/>
      <c r="B120" s="15" t="n"/>
      <c r="C120" s="52" t="n"/>
      <c r="D120" s="15" t="n"/>
      <c r="E120" s="15" t="n"/>
      <c r="F120" s="15" t="n"/>
    </row>
    <row r="121" ht="15.75" customHeight="1" s="169">
      <c r="A121" s="15" t="n"/>
      <c r="B121" s="15" t="n"/>
      <c r="C121" s="52" t="n"/>
      <c r="D121" s="15" t="n"/>
      <c r="E121" s="15" t="n"/>
      <c r="F121" s="15" t="n"/>
    </row>
    <row r="122" ht="15.75" customHeight="1" s="169">
      <c r="A122" s="15" t="n"/>
      <c r="B122" s="15" t="n"/>
      <c r="C122" s="52" t="n"/>
      <c r="D122" s="15" t="n"/>
      <c r="E122" s="15" t="n"/>
      <c r="F122" s="15" t="n"/>
    </row>
    <row r="123" ht="15.75" customHeight="1" s="169">
      <c r="A123" s="15" t="n"/>
      <c r="B123" s="15" t="n"/>
      <c r="C123" s="52" t="n"/>
      <c r="D123" s="15" t="n"/>
      <c r="E123" s="15" t="n"/>
      <c r="F123" s="15" t="n"/>
    </row>
    <row r="124" ht="15.75" customHeight="1" s="169">
      <c r="A124" s="15" t="n"/>
      <c r="B124" s="15" t="n"/>
      <c r="C124" s="52" t="n"/>
      <c r="D124" s="15" t="n"/>
      <c r="E124" s="15" t="n"/>
      <c r="F124" s="15" t="n"/>
    </row>
    <row r="125" ht="15.75" customHeight="1" s="169">
      <c r="A125" s="15" t="n"/>
      <c r="B125" s="15" t="n"/>
      <c r="C125" s="52" t="n"/>
      <c r="D125" s="15" t="n"/>
      <c r="E125" s="15" t="n"/>
      <c r="F125" s="15" t="n"/>
    </row>
    <row r="126" ht="15.75" customHeight="1" s="169">
      <c r="A126" s="15" t="n"/>
      <c r="B126" s="15" t="n"/>
      <c r="C126" s="52" t="n"/>
      <c r="D126" s="15" t="n"/>
      <c r="E126" s="15" t="n"/>
      <c r="F126" s="15" t="n"/>
    </row>
    <row r="127" ht="15.75" customHeight="1" s="169">
      <c r="A127" s="15" t="n"/>
      <c r="B127" s="15" t="n"/>
      <c r="C127" s="52" t="n"/>
      <c r="D127" s="15" t="n"/>
      <c r="E127" s="15" t="n"/>
      <c r="F127" s="15" t="n"/>
    </row>
    <row r="128" ht="15.75" customHeight="1" s="169">
      <c r="A128" s="15" t="n"/>
      <c r="B128" s="15" t="n"/>
      <c r="C128" s="52" t="n"/>
      <c r="D128" s="15" t="n"/>
      <c r="E128" s="15" t="n"/>
      <c r="F128" s="15" t="n"/>
    </row>
    <row r="129" ht="15.75" customHeight="1" s="169">
      <c r="A129" s="15" t="n"/>
      <c r="B129" s="15" t="n"/>
      <c r="C129" s="52" t="n"/>
      <c r="D129" s="15" t="n"/>
      <c r="E129" s="15" t="n"/>
      <c r="F129" s="15" t="n"/>
    </row>
    <row r="130" ht="15.75" customHeight="1" s="169">
      <c r="A130" s="15" t="n"/>
      <c r="B130" s="15" t="n"/>
      <c r="C130" s="52" t="n"/>
      <c r="D130" s="15" t="n"/>
      <c r="E130" s="15" t="n"/>
      <c r="F130" s="15" t="n"/>
    </row>
    <row r="131" ht="15.75" customHeight="1" s="169">
      <c r="A131" s="15" t="n"/>
      <c r="B131" s="15" t="n"/>
      <c r="C131" s="52" t="n"/>
      <c r="D131" s="15" t="n"/>
      <c r="E131" s="15" t="n"/>
      <c r="F131" s="15" t="n"/>
    </row>
    <row r="132" ht="15.75" customHeight="1" s="169">
      <c r="A132" s="15" t="n"/>
      <c r="B132" s="15" t="n"/>
      <c r="C132" s="52" t="n"/>
      <c r="D132" s="15" t="n"/>
      <c r="E132" s="15" t="n"/>
      <c r="F132" s="15" t="n"/>
    </row>
    <row r="133" ht="15.75" customHeight="1" s="169">
      <c r="A133" s="15" t="n"/>
      <c r="B133" s="15" t="n"/>
      <c r="C133" s="52" t="n"/>
      <c r="D133" s="15" t="n"/>
      <c r="E133" s="15" t="n"/>
      <c r="F133" s="15" t="n"/>
    </row>
    <row r="134" ht="15.75" customHeight="1" s="169">
      <c r="A134" s="15" t="n"/>
      <c r="B134" s="15" t="n"/>
      <c r="C134" s="52" t="n"/>
      <c r="D134" s="15" t="n"/>
      <c r="E134" s="15" t="n"/>
      <c r="F134" s="15" t="n"/>
    </row>
    <row r="135" ht="15.75" customHeight="1" s="169">
      <c r="A135" s="15" t="n"/>
      <c r="B135" s="15" t="n"/>
      <c r="C135" s="52" t="n"/>
      <c r="D135" s="15" t="n"/>
      <c r="E135" s="15" t="n"/>
      <c r="F135" s="15" t="n"/>
    </row>
    <row r="136" ht="15.75" customHeight="1" s="169">
      <c r="A136" s="15" t="n"/>
      <c r="B136" s="15" t="n"/>
      <c r="C136" s="52" t="n"/>
      <c r="D136" s="15" t="n"/>
      <c r="E136" s="15" t="n"/>
      <c r="F136" s="15" t="n"/>
    </row>
    <row r="137" ht="15.75" customHeight="1" s="169">
      <c r="A137" s="15" t="n"/>
      <c r="B137" s="15" t="n"/>
      <c r="C137" s="52" t="n"/>
      <c r="D137" s="15" t="n"/>
      <c r="E137" s="15" t="n"/>
      <c r="F137" s="15" t="n"/>
    </row>
    <row r="138" ht="15.75" customHeight="1" s="169">
      <c r="A138" s="15" t="n"/>
      <c r="B138" s="15" t="n"/>
      <c r="C138" s="52" t="n"/>
      <c r="D138" s="15" t="n"/>
      <c r="E138" s="15" t="n"/>
      <c r="F138" s="15" t="n"/>
    </row>
    <row r="139" ht="15.75" customHeight="1" s="169">
      <c r="A139" s="15" t="n"/>
      <c r="B139" s="15" t="n"/>
      <c r="C139" s="52" t="n"/>
      <c r="D139" s="15" t="n"/>
      <c r="E139" s="15" t="n"/>
      <c r="F139" s="15" t="n"/>
    </row>
    <row r="140" ht="15.75" customHeight="1" s="169">
      <c r="A140" s="15" t="n"/>
      <c r="B140" s="15" t="n"/>
      <c r="C140" s="52" t="n"/>
      <c r="D140" s="15" t="n"/>
      <c r="E140" s="15" t="n"/>
      <c r="F140" s="15" t="n"/>
    </row>
    <row r="141" ht="15.75" customHeight="1" s="169">
      <c r="A141" s="15" t="n"/>
      <c r="B141" s="15" t="n"/>
      <c r="C141" s="52" t="n"/>
      <c r="D141" s="15" t="n"/>
      <c r="E141" s="15" t="n"/>
      <c r="F141" s="15" t="n"/>
    </row>
    <row r="142" ht="15.75" customHeight="1" s="169">
      <c r="A142" s="15" t="n"/>
      <c r="B142" s="15" t="n"/>
      <c r="C142" s="52" t="n"/>
      <c r="D142" s="15" t="n"/>
      <c r="E142" s="15" t="n"/>
      <c r="F142" s="15" t="n"/>
    </row>
    <row r="143" ht="15.75" customHeight="1" s="169">
      <c r="A143" s="15" t="n"/>
      <c r="B143" s="15" t="n"/>
      <c r="C143" s="52" t="n"/>
      <c r="D143" s="15" t="n"/>
      <c r="E143" s="15" t="n"/>
      <c r="F143" s="15" t="n"/>
    </row>
    <row r="144" ht="15.75" customHeight="1" s="169">
      <c r="A144" s="15" t="n"/>
      <c r="B144" s="15" t="n"/>
      <c r="C144" s="52" t="n"/>
      <c r="D144" s="15" t="n"/>
      <c r="E144" s="15" t="n"/>
      <c r="F144" s="15" t="n"/>
    </row>
    <row r="145" ht="15.75" customHeight="1" s="169">
      <c r="A145" s="15" t="n"/>
      <c r="B145" s="15" t="n"/>
      <c r="C145" s="52" t="n"/>
      <c r="D145" s="15" t="n"/>
      <c r="E145" s="15" t="n"/>
      <c r="F145" s="15" t="n"/>
    </row>
    <row r="146" ht="15.75" customHeight="1" s="169">
      <c r="A146" s="15" t="n"/>
      <c r="B146" s="15" t="n"/>
      <c r="C146" s="52" t="n"/>
      <c r="D146" s="15" t="n"/>
      <c r="E146" s="15" t="n"/>
      <c r="F146" s="15" t="n"/>
    </row>
    <row r="147" ht="15.75" customHeight="1" s="169">
      <c r="A147" s="15" t="n"/>
      <c r="B147" s="15" t="n"/>
      <c r="C147" s="52" t="n"/>
      <c r="D147" s="15" t="n"/>
      <c r="E147" s="15" t="n"/>
      <c r="F147" s="15" t="n"/>
    </row>
    <row r="148" ht="15.75" customHeight="1" s="169">
      <c r="A148" s="15" t="n"/>
      <c r="B148" s="15" t="n"/>
      <c r="C148" s="52" t="n"/>
      <c r="D148" s="15" t="n"/>
      <c r="E148" s="15" t="n"/>
      <c r="F148" s="15" t="n"/>
    </row>
    <row r="149" ht="15.75" customHeight="1" s="169">
      <c r="A149" s="15" t="n"/>
      <c r="B149" s="15" t="n"/>
      <c r="C149" s="52" t="n"/>
      <c r="D149" s="15" t="n"/>
      <c r="E149" s="15" t="n"/>
      <c r="F149" s="15" t="n"/>
    </row>
    <row r="150" ht="15.75" customHeight="1" s="169">
      <c r="A150" s="15" t="n"/>
      <c r="B150" s="15" t="n"/>
      <c r="C150" s="52" t="n"/>
      <c r="D150" s="15" t="n"/>
      <c r="E150" s="15" t="n"/>
      <c r="F150" s="15" t="n"/>
    </row>
    <row r="151" ht="15.75" customHeight="1" s="169">
      <c r="A151" s="15" t="n"/>
      <c r="B151" s="15" t="n"/>
      <c r="C151" s="52" t="n"/>
      <c r="D151" s="15" t="n"/>
      <c r="E151" s="15" t="n"/>
      <c r="F151" s="15" t="n"/>
    </row>
    <row r="152" ht="15.75" customHeight="1" s="169">
      <c r="A152" s="15" t="n"/>
      <c r="B152" s="15" t="n"/>
      <c r="C152" s="52" t="n"/>
      <c r="D152" s="15" t="n"/>
      <c r="E152" s="15" t="n"/>
      <c r="F152" s="15" t="n"/>
    </row>
    <row r="153" ht="15.75" customHeight="1" s="169">
      <c r="A153" s="15" t="n"/>
      <c r="B153" s="15" t="n"/>
      <c r="C153" s="52" t="n"/>
      <c r="D153" s="15" t="n"/>
      <c r="E153" s="15" t="n"/>
      <c r="F153" s="15" t="n"/>
    </row>
    <row r="154" ht="15.75" customHeight="1" s="169">
      <c r="A154" s="15" t="n"/>
      <c r="B154" s="15" t="n"/>
      <c r="C154" s="52" t="n"/>
      <c r="D154" s="15" t="n"/>
      <c r="E154" s="15" t="n"/>
      <c r="F154" s="15" t="n"/>
    </row>
    <row r="155" ht="15.75" customHeight="1" s="169">
      <c r="A155" s="15" t="n"/>
      <c r="B155" s="15" t="n"/>
      <c r="C155" s="52" t="n"/>
      <c r="D155" s="15" t="n"/>
      <c r="E155" s="15" t="n"/>
      <c r="F155" s="15" t="n"/>
    </row>
    <row r="156" ht="15.75" customHeight="1" s="169">
      <c r="A156" s="15" t="n"/>
      <c r="B156" s="15" t="n"/>
      <c r="C156" s="52" t="n"/>
      <c r="D156" s="15" t="n"/>
      <c r="E156" s="15" t="n"/>
      <c r="F156" s="15" t="n"/>
    </row>
    <row r="157" ht="15.75" customHeight="1" s="169">
      <c r="A157" s="15" t="n"/>
      <c r="B157" s="15" t="n"/>
      <c r="C157" s="52" t="n"/>
      <c r="D157" s="15" t="n"/>
      <c r="E157" s="15" t="n"/>
      <c r="F157" s="15" t="n"/>
    </row>
    <row r="158" ht="15.75" customHeight="1" s="169">
      <c r="A158" s="15" t="n"/>
      <c r="B158" s="15" t="n"/>
      <c r="C158" s="52" t="n"/>
      <c r="D158" s="15" t="n"/>
      <c r="E158" s="15" t="n"/>
      <c r="F158" s="15" t="n"/>
    </row>
    <row r="159" ht="15.75" customHeight="1" s="169">
      <c r="A159" s="15" t="n"/>
      <c r="B159" s="15" t="n"/>
      <c r="C159" s="52" t="n"/>
      <c r="D159" s="15" t="n"/>
      <c r="E159" s="15" t="n"/>
      <c r="F159" s="15" t="n"/>
    </row>
    <row r="160" ht="15.75" customHeight="1" s="169">
      <c r="A160" s="15" t="n"/>
      <c r="B160" s="15" t="n"/>
      <c r="C160" s="52" t="n"/>
      <c r="D160" s="15" t="n"/>
      <c r="E160" s="15" t="n"/>
      <c r="F160" s="15" t="n"/>
    </row>
    <row r="161" ht="15.75" customHeight="1" s="169">
      <c r="A161" s="15" t="n"/>
      <c r="B161" s="15" t="n"/>
      <c r="C161" s="52" t="n"/>
      <c r="D161" s="15" t="n"/>
      <c r="E161" s="15" t="n"/>
      <c r="F161" s="15" t="n"/>
    </row>
    <row r="162" ht="15.75" customHeight="1" s="169">
      <c r="A162" s="15" t="n"/>
      <c r="B162" s="15" t="n"/>
      <c r="C162" s="52" t="n"/>
      <c r="D162" s="15" t="n"/>
      <c r="E162" s="15" t="n"/>
      <c r="F162" s="15" t="n"/>
    </row>
    <row r="163" ht="15.75" customHeight="1" s="169">
      <c r="A163" s="15" t="n"/>
      <c r="B163" s="15" t="n"/>
      <c r="C163" s="52" t="n"/>
      <c r="D163" s="15" t="n"/>
      <c r="E163" s="15" t="n"/>
      <c r="F163" s="15" t="n"/>
    </row>
    <row r="164" ht="15.75" customHeight="1" s="169">
      <c r="A164" s="15" t="n"/>
      <c r="B164" s="15" t="n"/>
      <c r="C164" s="52" t="n"/>
      <c r="D164" s="15" t="n"/>
      <c r="E164" s="15" t="n"/>
      <c r="F164" s="15" t="n"/>
    </row>
    <row r="165" ht="15.75" customHeight="1" s="169">
      <c r="A165" s="15" t="n"/>
      <c r="B165" s="15" t="n"/>
      <c r="C165" s="52" t="n"/>
      <c r="D165" s="15" t="n"/>
      <c r="E165" s="15" t="n"/>
      <c r="F165" s="15" t="n"/>
    </row>
    <row r="166" ht="15.75" customHeight="1" s="169">
      <c r="A166" s="15" t="n"/>
      <c r="B166" s="15" t="n"/>
      <c r="C166" s="52" t="n"/>
      <c r="D166" s="15" t="n"/>
      <c r="E166" s="15" t="n"/>
      <c r="F166" s="15" t="n"/>
    </row>
    <row r="167" ht="15.75" customHeight="1" s="169">
      <c r="A167" s="15" t="n"/>
      <c r="B167" s="15" t="n"/>
      <c r="C167" s="52" t="n"/>
      <c r="D167" s="15" t="n"/>
      <c r="E167" s="15" t="n"/>
      <c r="F167" s="15" t="n"/>
    </row>
    <row r="168" ht="15.75" customHeight="1" s="169">
      <c r="A168" s="15" t="n"/>
      <c r="B168" s="15" t="n"/>
      <c r="C168" s="52" t="n"/>
      <c r="D168" s="15" t="n"/>
      <c r="E168" s="15" t="n"/>
      <c r="F168" s="15" t="n"/>
    </row>
    <row r="169" ht="15.75" customHeight="1" s="169">
      <c r="A169" s="15" t="n"/>
      <c r="B169" s="15" t="n"/>
      <c r="C169" s="52" t="n"/>
      <c r="D169" s="15" t="n"/>
      <c r="E169" s="15" t="n"/>
      <c r="F169" s="15" t="n"/>
    </row>
    <row r="170" ht="15.75" customHeight="1" s="169">
      <c r="A170" s="15" t="n"/>
      <c r="B170" s="15" t="n"/>
      <c r="C170" s="52" t="n"/>
      <c r="D170" s="15" t="n"/>
      <c r="E170" s="15" t="n"/>
      <c r="F170" s="15" t="n"/>
    </row>
    <row r="171" ht="15.75" customHeight="1" s="169">
      <c r="A171" s="15" t="n"/>
      <c r="B171" s="15" t="n"/>
      <c r="C171" s="52" t="n"/>
      <c r="D171" s="15" t="n"/>
      <c r="E171" s="15" t="n"/>
      <c r="F171" s="15" t="n"/>
    </row>
    <row r="172" ht="15.75" customHeight="1" s="169">
      <c r="A172" s="15" t="n"/>
      <c r="B172" s="15" t="n"/>
      <c r="C172" s="52" t="n"/>
      <c r="D172" s="15" t="n"/>
      <c r="E172" s="15" t="n"/>
      <c r="F172" s="15" t="n"/>
    </row>
    <row r="173" ht="15.75" customHeight="1" s="169">
      <c r="A173" s="15" t="n"/>
      <c r="B173" s="15" t="n"/>
      <c r="C173" s="52" t="n"/>
      <c r="D173" s="15" t="n"/>
      <c r="E173" s="15" t="n"/>
      <c r="F173" s="15" t="n"/>
    </row>
    <row r="174" ht="15.75" customHeight="1" s="169">
      <c r="A174" s="15" t="n"/>
      <c r="B174" s="15" t="n"/>
      <c r="C174" s="52" t="n"/>
      <c r="D174" s="15" t="n"/>
      <c r="E174" s="15" t="n"/>
      <c r="F174" s="15" t="n"/>
    </row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autoFilter ref="$A$1:$F$1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P11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9" min="1" max="6"/>
  </cols>
  <sheetData>
    <row r="1" ht="15.75" customHeight="1" s="169">
      <c r="A1" s="42" t="inlineStr">
        <is>
          <t>Jumlah Karyawan Department Logistic</t>
        </is>
      </c>
    </row>
    <row r="2" ht="15.75" customHeight="1" s="169">
      <c r="A2" s="53" t="n">
        <v>2024</v>
      </c>
    </row>
    <row r="3" ht="15.75" customHeight="1" s="169">
      <c r="A3" s="15" t="inlineStr">
        <is>
          <t>Section</t>
        </is>
      </c>
      <c r="B3" s="15" t="inlineStr">
        <is>
          <t>January</t>
        </is>
      </c>
      <c r="C3" s="15" t="inlineStr">
        <is>
          <t>February</t>
        </is>
      </c>
      <c r="D3" s="15" t="inlineStr">
        <is>
          <t>March</t>
        </is>
      </c>
      <c r="E3" s="15" t="inlineStr">
        <is>
          <t>April</t>
        </is>
      </c>
      <c r="F3" s="15" t="inlineStr">
        <is>
          <t>May</t>
        </is>
      </c>
      <c r="G3" s="15" t="inlineStr">
        <is>
          <t>June</t>
        </is>
      </c>
      <c r="H3" s="15" t="inlineStr">
        <is>
          <t>July</t>
        </is>
      </c>
      <c r="I3" s="15" t="inlineStr">
        <is>
          <t>August</t>
        </is>
      </c>
      <c r="J3" s="15" t="inlineStr">
        <is>
          <t>September</t>
        </is>
      </c>
      <c r="K3" s="15" t="inlineStr">
        <is>
          <t>October</t>
        </is>
      </c>
      <c r="L3" s="15" t="inlineStr">
        <is>
          <t>November</t>
        </is>
      </c>
      <c r="M3" s="15" t="inlineStr">
        <is>
          <t>December</t>
        </is>
      </c>
      <c r="N3" s="22" t="inlineStr">
        <is>
          <t>HF1</t>
        </is>
      </c>
      <c r="O3" s="22" t="inlineStr">
        <is>
          <t>HF2</t>
        </is>
      </c>
    </row>
    <row r="4" ht="15.75" customHeight="1" s="169">
      <c r="A4" s="28" t="inlineStr">
        <is>
          <t>WFG</t>
        </is>
      </c>
      <c r="B4" s="15" t="n">
        <v>6</v>
      </c>
      <c r="C4" s="15" t="n">
        <v>6</v>
      </c>
      <c r="D4" s="15" t="n">
        <v>7</v>
      </c>
      <c r="E4" s="15" t="n">
        <v>9</v>
      </c>
      <c r="F4" s="15" t="n">
        <v>9</v>
      </c>
      <c r="G4" s="15" t="n">
        <v>11</v>
      </c>
      <c r="H4" s="15" t="n">
        <v>12</v>
      </c>
      <c r="I4" s="15" t="n">
        <v>10</v>
      </c>
      <c r="J4" s="15" t="n">
        <v>10</v>
      </c>
      <c r="K4" s="15" t="n">
        <v>10</v>
      </c>
      <c r="L4" s="15" t="n">
        <v>11</v>
      </c>
      <c r="M4" s="15" t="n">
        <v>11</v>
      </c>
      <c r="N4" s="22">
        <f>SUM(B4:G4)</f>
        <v/>
      </c>
      <c r="O4" s="22">
        <f>SUM(H4:M4)</f>
        <v/>
      </c>
      <c r="P4" s="22">
        <f>O4-N4</f>
        <v/>
      </c>
    </row>
    <row r="5" ht="15.75" customHeight="1" s="169">
      <c r="A5" s="28" t="inlineStr">
        <is>
          <t>WRM</t>
        </is>
      </c>
      <c r="B5" s="15" t="n">
        <v>11</v>
      </c>
      <c r="C5" s="15" t="n">
        <v>11</v>
      </c>
      <c r="D5" s="15" t="n">
        <v>12</v>
      </c>
      <c r="E5" s="15" t="n">
        <v>11</v>
      </c>
      <c r="F5" s="15" t="n">
        <v>11</v>
      </c>
      <c r="G5" s="15" t="n">
        <v>11</v>
      </c>
      <c r="H5" s="15" t="n">
        <v>11</v>
      </c>
      <c r="I5" s="15" t="n">
        <v>12</v>
      </c>
      <c r="J5" s="15" t="n">
        <v>11</v>
      </c>
      <c r="K5" s="15" t="n">
        <v>12</v>
      </c>
      <c r="L5" s="15" t="n">
        <v>10</v>
      </c>
      <c r="M5" s="15" t="n">
        <v>11</v>
      </c>
      <c r="N5" s="22">
        <f>SUM(B5:G5)</f>
        <v/>
      </c>
      <c r="O5" s="22">
        <f>SUM(H5:M5)</f>
        <v/>
      </c>
      <c r="P5" s="22">
        <f>O5-N5</f>
        <v/>
      </c>
    </row>
    <row r="6" ht="15.75" customHeight="1" s="169">
      <c r="A6" s="28" t="inlineStr">
        <is>
          <t>EXPEDISI</t>
        </is>
      </c>
      <c r="B6" s="15" t="n">
        <v>1</v>
      </c>
      <c r="C6" s="15" t="n">
        <v>2</v>
      </c>
      <c r="D6" s="15" t="n">
        <v>3</v>
      </c>
      <c r="E6" s="15" t="n">
        <v>2</v>
      </c>
      <c r="F6" s="15" t="n">
        <v>2</v>
      </c>
      <c r="G6" s="15" t="n">
        <v>1</v>
      </c>
      <c r="H6" s="15" t="n">
        <v>1</v>
      </c>
      <c r="I6" s="15" t="n">
        <v>1</v>
      </c>
      <c r="J6" s="15" t="n">
        <v>1</v>
      </c>
      <c r="K6" s="15" t="n">
        <v>1</v>
      </c>
      <c r="L6" s="15" t="n">
        <v>1</v>
      </c>
      <c r="M6" s="15" t="n">
        <v>1</v>
      </c>
      <c r="N6" s="22">
        <f>SUM(B6:G6)</f>
        <v/>
      </c>
      <c r="O6" s="22">
        <f>SUM(H6:M6)</f>
        <v/>
      </c>
      <c r="P6" s="22">
        <f>O6-N6</f>
        <v/>
      </c>
    </row>
    <row r="7" ht="15.75" customHeight="1" s="169">
      <c r="A7" s="28" t="inlineStr">
        <is>
          <t>TIMBANGAN</t>
        </is>
      </c>
      <c r="B7" s="15" t="n"/>
      <c r="C7" s="15" t="n"/>
      <c r="D7" s="15" t="n"/>
      <c r="E7" s="15" t="n"/>
      <c r="F7" s="15" t="n"/>
      <c r="G7" s="15" t="n">
        <v>1</v>
      </c>
      <c r="H7" s="15" t="n">
        <v>2</v>
      </c>
      <c r="I7" s="15" t="n">
        <v>2</v>
      </c>
      <c r="J7" s="15" t="n">
        <v>2</v>
      </c>
      <c r="K7" s="15" t="n">
        <v>2</v>
      </c>
      <c r="L7" s="15" t="n">
        <v>2</v>
      </c>
      <c r="M7" s="15" t="n">
        <v>2</v>
      </c>
      <c r="N7" s="22">
        <f>SUM(B7:G7)</f>
        <v/>
      </c>
      <c r="O7" s="22">
        <f>SUM(H7:M7)</f>
        <v/>
      </c>
      <c r="P7" s="22">
        <f>O7-N7</f>
        <v/>
      </c>
    </row>
    <row r="8" ht="15.75" customHeight="1" s="169">
      <c r="A8" s="54" t="inlineStr">
        <is>
          <t>TOTAL</t>
        </is>
      </c>
      <c r="B8" s="55">
        <f>SUM(B4:B7)</f>
        <v/>
      </c>
      <c r="C8" s="55">
        <f>SUM(C4:C7)</f>
        <v/>
      </c>
      <c r="D8" s="55">
        <f>SUM(D4:D7)</f>
        <v/>
      </c>
      <c r="E8" s="55">
        <f>SUM(E4:E7)</f>
        <v/>
      </c>
      <c r="F8" s="55">
        <f>SUM(F4:F7)</f>
        <v/>
      </c>
      <c r="G8" s="55">
        <f>SUM(G4:G7)</f>
        <v/>
      </c>
      <c r="H8" s="55">
        <f>SUM(H4:H7)</f>
        <v/>
      </c>
      <c r="I8" s="55">
        <f>SUM(I4:I7)</f>
        <v/>
      </c>
      <c r="J8" s="55">
        <f>SUM(J4:J7)</f>
        <v/>
      </c>
      <c r="K8" s="55">
        <f>SUM(K4:K7)</f>
        <v/>
      </c>
      <c r="L8" s="55">
        <f>SUM(L4:L7)</f>
        <v/>
      </c>
      <c r="M8" s="55">
        <f>SUM(M4:M7)</f>
        <v/>
      </c>
      <c r="N8" s="22">
        <f>SUM(B8:G8)</f>
        <v/>
      </c>
      <c r="O8" s="22">
        <f>SUM(H8:M8)</f>
        <v/>
      </c>
      <c r="P8" s="22">
        <f>O8-N8</f>
        <v/>
      </c>
    </row>
    <row r="9" ht="15.75" customHeight="1" s="169"/>
    <row r="10" ht="15.75" customHeight="1" s="169">
      <c r="A10" s="53" t="n">
        <v>2025</v>
      </c>
    </row>
    <row r="11" ht="15.75" customHeight="1" s="169">
      <c r="A11" s="15" t="inlineStr">
        <is>
          <t>Section</t>
        </is>
      </c>
      <c r="B11" s="15" t="inlineStr">
        <is>
          <t>January</t>
        </is>
      </c>
      <c r="C11" s="15" t="inlineStr">
        <is>
          <t>February</t>
        </is>
      </c>
      <c r="D11" s="15" t="inlineStr">
        <is>
          <t>March</t>
        </is>
      </c>
      <c r="E11" s="15" t="inlineStr">
        <is>
          <t>April</t>
        </is>
      </c>
      <c r="F11" s="15" t="inlineStr">
        <is>
          <t>May</t>
        </is>
      </c>
      <c r="G11" s="15" t="inlineStr">
        <is>
          <t>June</t>
        </is>
      </c>
      <c r="H11" s="15" t="inlineStr">
        <is>
          <t>July</t>
        </is>
      </c>
      <c r="I11" s="15" t="inlineStr">
        <is>
          <t>August</t>
        </is>
      </c>
      <c r="J11" s="15" t="inlineStr">
        <is>
          <t>September</t>
        </is>
      </c>
      <c r="K11" s="15" t="inlineStr">
        <is>
          <t>October</t>
        </is>
      </c>
      <c r="L11" s="15" t="inlineStr">
        <is>
          <t>November</t>
        </is>
      </c>
      <c r="M11" s="15" t="inlineStr">
        <is>
          <t>December</t>
        </is>
      </c>
      <c r="N11" s="22" t="inlineStr">
        <is>
          <t>HF1</t>
        </is>
      </c>
      <c r="O11" s="22" t="inlineStr">
        <is>
          <t>HF2</t>
        </is>
      </c>
    </row>
    <row r="12" ht="15.75" customHeight="1" s="169">
      <c r="A12" s="28" t="inlineStr">
        <is>
          <t>WFG</t>
        </is>
      </c>
      <c r="B12" s="15" t="n">
        <v>12</v>
      </c>
      <c r="C12" s="15" t="n">
        <v>11</v>
      </c>
      <c r="D12" s="15" t="n">
        <v>12</v>
      </c>
      <c r="E12" s="15" t="n">
        <v>11</v>
      </c>
      <c r="F12" s="15" t="n">
        <v>11</v>
      </c>
      <c r="G12" s="15" t="n">
        <v>12</v>
      </c>
      <c r="H12" s="15" t="n">
        <v>13</v>
      </c>
      <c r="I12" s="15" t="n">
        <v>13</v>
      </c>
      <c r="J12" s="15" t="n">
        <v>13</v>
      </c>
      <c r="K12" s="15" t="n">
        <v>14</v>
      </c>
      <c r="L12" s="15" t="n">
        <v>13</v>
      </c>
      <c r="M12" s="15" t="n">
        <v>15</v>
      </c>
      <c r="N12" s="22">
        <f>SUM(B12:G12)</f>
        <v/>
      </c>
      <c r="O12" s="22">
        <f>SUM(H12:M12)</f>
        <v/>
      </c>
      <c r="P12" s="22">
        <f>O12-N12</f>
        <v/>
      </c>
    </row>
    <row r="13" ht="15.75" customHeight="1" s="169">
      <c r="A13" s="28" t="inlineStr">
        <is>
          <t>WRM</t>
        </is>
      </c>
      <c r="B13" s="15" t="n">
        <v>11</v>
      </c>
      <c r="C13" s="15" t="n">
        <v>10</v>
      </c>
      <c r="D13" s="15" t="n">
        <v>9</v>
      </c>
      <c r="E13" s="15" t="n">
        <v>10</v>
      </c>
      <c r="F13" s="15" t="n">
        <v>10</v>
      </c>
      <c r="G13" s="15" t="n">
        <v>10</v>
      </c>
      <c r="H13" s="15" t="n">
        <v>10</v>
      </c>
      <c r="I13" s="15" t="n">
        <v>12</v>
      </c>
      <c r="J13" s="15" t="n">
        <v>11</v>
      </c>
      <c r="K13" s="15" t="n">
        <v>13</v>
      </c>
      <c r="L13" s="15" t="n">
        <v>14</v>
      </c>
      <c r="M13" s="15" t="n">
        <v>13</v>
      </c>
      <c r="N13" s="22">
        <f>SUM(B13:G13)</f>
        <v/>
      </c>
      <c r="O13" s="22">
        <f>SUM(H13:M13)</f>
        <v/>
      </c>
      <c r="P13" s="22">
        <f>O13-N13</f>
        <v/>
      </c>
    </row>
    <row r="14" ht="15.75" customHeight="1" s="169">
      <c r="A14" s="28" t="inlineStr">
        <is>
          <t>EXPEDISI</t>
        </is>
      </c>
      <c r="B14" s="15" t="n">
        <v>1</v>
      </c>
      <c r="C14" s="15" t="n">
        <v>1</v>
      </c>
      <c r="D14" s="15" t="n">
        <v>1</v>
      </c>
      <c r="E14" s="15" t="n">
        <v>1</v>
      </c>
      <c r="F14" s="15" t="n">
        <v>1</v>
      </c>
      <c r="G14" s="15" t="n">
        <v>2</v>
      </c>
      <c r="H14" s="15" t="n">
        <v>2</v>
      </c>
      <c r="I14" s="15" t="n">
        <v>2</v>
      </c>
      <c r="J14" s="15" t="n">
        <v>2</v>
      </c>
      <c r="K14" s="15" t="n">
        <v>3</v>
      </c>
      <c r="L14" s="15" t="n">
        <v>2</v>
      </c>
      <c r="M14" s="15" t="n">
        <v>2</v>
      </c>
      <c r="N14" s="22">
        <f>SUM(B14:G14)</f>
        <v/>
      </c>
      <c r="O14" s="22">
        <f>SUM(H14:M14)</f>
        <v/>
      </c>
      <c r="P14" s="22">
        <f>O14-N14</f>
        <v/>
      </c>
    </row>
    <row r="15" ht="15.75" customHeight="1" s="169">
      <c r="A15" s="28" t="inlineStr">
        <is>
          <t>TIMBANGAN</t>
        </is>
      </c>
      <c r="B15" s="15" t="n">
        <v>2</v>
      </c>
      <c r="C15" s="15" t="n">
        <v>2</v>
      </c>
      <c r="D15" s="15" t="n">
        <v>2</v>
      </c>
      <c r="E15" s="15" t="n">
        <v>2</v>
      </c>
      <c r="F15" s="15" t="n">
        <v>2</v>
      </c>
      <c r="G15" s="15" t="n">
        <v>2</v>
      </c>
      <c r="H15" s="15" t="n">
        <v>3</v>
      </c>
      <c r="I15" s="15" t="n">
        <v>3</v>
      </c>
      <c r="J15" s="15" t="n">
        <v>2</v>
      </c>
      <c r="K15" s="15" t="n">
        <v>2</v>
      </c>
      <c r="L15" s="15" t="n">
        <v>2</v>
      </c>
      <c r="M15" s="15" t="n">
        <v>2</v>
      </c>
      <c r="N15" s="22">
        <f>SUM(B15:G15)</f>
        <v/>
      </c>
      <c r="O15" s="22">
        <f>SUM(H15:M15)</f>
        <v/>
      </c>
      <c r="P15" s="22">
        <f>O15-N15</f>
        <v/>
      </c>
    </row>
    <row r="16" ht="15.75" customHeight="1" s="169">
      <c r="A16" s="28" t="inlineStr">
        <is>
          <t>WSP</t>
        </is>
      </c>
      <c r="B16" s="15" t="n"/>
      <c r="C16" s="15" t="n"/>
      <c r="D16" s="15" t="n"/>
      <c r="E16" s="15" t="n"/>
      <c r="F16" s="15" t="n"/>
      <c r="G16" s="15" t="n"/>
      <c r="H16" s="15" t="n">
        <v>4</v>
      </c>
      <c r="I16" s="15" t="n">
        <v>4</v>
      </c>
      <c r="J16" s="15" t="n">
        <v>4</v>
      </c>
      <c r="K16" s="15" t="n">
        <v>4</v>
      </c>
      <c r="L16" s="15" t="n">
        <v>4</v>
      </c>
      <c r="M16" s="15" t="n">
        <v>4</v>
      </c>
      <c r="N16" s="22">
        <f>SUM(B16:G16)</f>
        <v/>
      </c>
      <c r="O16" s="22">
        <f>SUM(H16:M16)</f>
        <v/>
      </c>
      <c r="P16" s="22">
        <f>O16-N16</f>
        <v/>
      </c>
    </row>
    <row r="17" ht="15.75" customHeight="1" s="169">
      <c r="A17" s="54" t="inlineStr">
        <is>
          <t>TOTAL</t>
        </is>
      </c>
      <c r="B17" s="55">
        <f>SUM(B12:B16)</f>
        <v/>
      </c>
      <c r="C17" s="55">
        <f>SUM(C12:C16)</f>
        <v/>
      </c>
      <c r="D17" s="55">
        <f>SUM(D12:D16)</f>
        <v/>
      </c>
      <c r="E17" s="55">
        <f>SUM(E12:E16)</f>
        <v/>
      </c>
      <c r="F17" s="55">
        <f>SUM(F12:F16)</f>
        <v/>
      </c>
      <c r="G17" s="55">
        <f>SUM(G12:G16)</f>
        <v/>
      </c>
      <c r="H17" s="55">
        <f>SUM(H12:H16)</f>
        <v/>
      </c>
      <c r="I17" s="55">
        <f>SUM(I12:I16)</f>
        <v/>
      </c>
      <c r="J17" s="55">
        <f>SUM(J12:J16)</f>
        <v/>
      </c>
      <c r="K17" s="55">
        <f>SUM(K12:K16)</f>
        <v/>
      </c>
      <c r="L17" s="55">
        <f>SUM(L12:L16)</f>
        <v/>
      </c>
      <c r="M17" s="55">
        <f>SUM(M12:M16)</f>
        <v/>
      </c>
      <c r="N17" s="22">
        <f>SUM(B17:G17)</f>
        <v/>
      </c>
      <c r="O17" s="22">
        <f>SUM(H17:M17)</f>
        <v/>
      </c>
      <c r="P17" s="22">
        <f>O17-N17</f>
        <v/>
      </c>
    </row>
    <row r="18" ht="15.75" customHeight="1" s="169"/>
    <row r="19" ht="15.75" customHeight="1" s="169"/>
    <row r="20" ht="15.75" customHeight="1" s="169">
      <c r="A20" s="53" t="n">
        <v>2026</v>
      </c>
    </row>
    <row r="21" ht="15.75" customHeight="1" s="169">
      <c r="A21" s="15" t="inlineStr">
        <is>
          <t>Section</t>
        </is>
      </c>
      <c r="B21" s="15" t="inlineStr">
        <is>
          <t>January</t>
        </is>
      </c>
      <c r="C21" s="15" t="inlineStr">
        <is>
          <t>February</t>
        </is>
      </c>
      <c r="D21" s="15" t="inlineStr">
        <is>
          <t>March</t>
        </is>
      </c>
      <c r="E21" s="15" t="inlineStr">
        <is>
          <t>April</t>
        </is>
      </c>
      <c r="F21" s="15" t="inlineStr">
        <is>
          <t>May</t>
        </is>
      </c>
      <c r="G21" s="15" t="inlineStr">
        <is>
          <t>June</t>
        </is>
      </c>
      <c r="H21" s="15" t="inlineStr">
        <is>
          <t>July</t>
        </is>
      </c>
      <c r="I21" s="15" t="inlineStr">
        <is>
          <t>August</t>
        </is>
      </c>
      <c r="J21" s="15" t="inlineStr">
        <is>
          <t>September</t>
        </is>
      </c>
      <c r="K21" s="15" t="inlineStr">
        <is>
          <t>October</t>
        </is>
      </c>
      <c r="L21" s="15" t="inlineStr">
        <is>
          <t>November</t>
        </is>
      </c>
      <c r="M21" s="15" t="inlineStr">
        <is>
          <t>December</t>
        </is>
      </c>
    </row>
    <row r="22" ht="15.75" customHeight="1" s="169">
      <c r="A22" s="28" t="inlineStr">
        <is>
          <t>WFG</t>
        </is>
      </c>
      <c r="B22" s="15" t="n">
        <v>17</v>
      </c>
      <c r="C22" s="15" t="n">
        <v>16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 ht="15.75" customHeight="1" s="169">
      <c r="A23" s="28" t="inlineStr">
        <is>
          <t>WRM</t>
        </is>
      </c>
      <c r="B23" s="15" t="n">
        <v>12</v>
      </c>
      <c r="C23" s="15" t="n">
        <v>12</v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 ht="15.75" customHeight="1" s="169">
      <c r="A24" s="28" t="inlineStr">
        <is>
          <t>EXPEDISI</t>
        </is>
      </c>
      <c r="B24" s="15" t="n">
        <v>2</v>
      </c>
      <c r="C24" s="15" t="n">
        <v>2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 ht="15.75" customHeight="1" s="169">
      <c r="A25" s="28" t="inlineStr">
        <is>
          <t>TIMBANGAN</t>
        </is>
      </c>
      <c r="B25" s="15" t="n">
        <v>2</v>
      </c>
      <c r="C25" s="15" t="n">
        <v>3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 ht="15.75" customHeight="1" s="169">
      <c r="A26" s="28" t="inlineStr">
        <is>
          <t>WSP</t>
        </is>
      </c>
      <c r="B26" s="15" t="n">
        <v>4</v>
      </c>
      <c r="C26" s="15" t="n">
        <v>4</v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 ht="15.75" customHeight="1" s="169">
      <c r="A27" s="54" t="inlineStr">
        <is>
          <t>TOTAL</t>
        </is>
      </c>
      <c r="B27" s="55">
        <f>SUM(B22:B26)</f>
        <v/>
      </c>
      <c r="C27" s="55">
        <f>SUM(C22:C26)</f>
        <v/>
      </c>
      <c r="D27" s="55">
        <f>SUM(D22:D26)</f>
        <v/>
      </c>
      <c r="E27" s="55">
        <f>SUM(E22:E26)</f>
        <v/>
      </c>
      <c r="F27" s="55">
        <f>SUM(F22:F26)</f>
        <v/>
      </c>
      <c r="G27" s="55">
        <f>SUM(G22:G26)</f>
        <v/>
      </c>
      <c r="H27" s="55">
        <f>SUM(H22:H26)</f>
        <v/>
      </c>
      <c r="I27" s="55">
        <f>SUM(I22:I26)</f>
        <v/>
      </c>
      <c r="J27" s="55">
        <f>SUM(J22:J26)</f>
        <v/>
      </c>
      <c r="K27" s="55">
        <f>SUM(K22:K26)</f>
        <v/>
      </c>
      <c r="L27" s="55">
        <f>SUM(L22:L26)</f>
        <v/>
      </c>
      <c r="M27" s="55">
        <f>SUM(M22:M26)</f>
        <v/>
      </c>
    </row>
    <row r="28" ht="15.75" customHeight="1" s="169">
      <c r="A28" s="56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</row>
    <row r="29" ht="15.75" customHeight="1" s="169">
      <c r="A29" s="56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</row>
    <row r="30" ht="15.75" customHeight="1" s="169">
      <c r="A30" s="56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</row>
    <row r="31" ht="15.75" customHeight="1" s="169">
      <c r="A31" s="56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</row>
    <row r="32" ht="15.75" customHeight="1" s="169">
      <c r="A32" s="56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</row>
    <row r="33" ht="15.75" customHeight="1" s="169">
      <c r="A33" s="56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</row>
    <row r="34" ht="15.75" customHeight="1" s="169">
      <c r="A34" s="56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</row>
    <row r="35" ht="15.75" customHeight="1" s="169">
      <c r="A35" s="56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</row>
    <row r="36" ht="15.75" customHeight="1" s="169">
      <c r="A36" s="56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</row>
    <row r="37" ht="15.75" customHeight="1" s="169">
      <c r="A37" s="56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</row>
    <row r="38" ht="15.75" customHeight="1" s="169">
      <c r="A38" s="56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</row>
    <row r="39" ht="15.75" customHeight="1" s="169">
      <c r="A39" s="56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</row>
    <row r="40" ht="15.75" customHeight="1" s="169">
      <c r="A40" s="56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</row>
    <row r="41" ht="15.75" customHeight="1" s="169">
      <c r="A41" s="56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</row>
    <row r="42" ht="15.75" customHeight="1" s="169">
      <c r="A42" s="56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</row>
    <row r="43" ht="15.75" customHeight="1" s="169">
      <c r="A43" s="56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</row>
    <row r="44" ht="15.75" customHeight="1" s="169">
      <c r="A44" s="56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</row>
    <row r="45" ht="15.75" customHeight="1" s="169">
      <c r="A45" s="56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</row>
    <row r="46" ht="15.75" customHeight="1" s="169">
      <c r="A46" s="56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</row>
    <row r="47" ht="15.75" customHeight="1" s="169">
      <c r="A47" s="56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</row>
    <row r="48" ht="15.75" customHeight="1" s="169">
      <c r="A48" s="56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</row>
    <row r="49" ht="15.75" customHeight="1" s="169">
      <c r="A49" s="56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</row>
    <row r="50" ht="15.75" customHeight="1" s="169">
      <c r="A50" s="56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</row>
    <row r="51" ht="15.75" customHeight="1" s="169">
      <c r="A51" s="56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</row>
    <row r="52" ht="15.75" customHeight="1" s="169">
      <c r="A52" s="56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</row>
    <row r="53" ht="15.75" customHeight="1" s="169">
      <c r="A53" s="56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</row>
    <row r="54" ht="15.75" customHeight="1" s="169">
      <c r="A54" s="56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</row>
    <row r="55" ht="15.75" customHeight="1" s="169">
      <c r="A55" s="56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</row>
    <row r="56" ht="15.75" customHeight="1" s="169">
      <c r="A56" s="56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</row>
    <row r="57" ht="15.75" customHeight="1" s="169">
      <c r="A57" s="56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</row>
    <row r="58" ht="15.75" customHeight="1" s="169">
      <c r="A58" s="56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</row>
    <row r="59" ht="15.75" customHeight="1" s="169">
      <c r="A59" s="56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</row>
    <row r="60" ht="15.75" customHeight="1" s="169">
      <c r="A60" s="56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</row>
    <row r="61" ht="15.75" customHeight="1" s="169">
      <c r="A61" s="56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</row>
    <row r="62" ht="15.75" customHeight="1" s="169">
      <c r="A62" s="56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</row>
    <row r="63" ht="15.75" customHeight="1" s="169">
      <c r="A63" s="56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</row>
    <row r="64" ht="15.75" customHeight="1" s="169">
      <c r="A64" s="56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</row>
    <row r="65" ht="15.75" customHeight="1" s="169">
      <c r="A65" s="56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</row>
    <row r="66" hidden="1" ht="15.75" customHeight="1" s="169">
      <c r="A66" s="57" t="inlineStr">
        <is>
          <t>WRM 2025</t>
        </is>
      </c>
      <c r="B66" s="55" t="inlineStr">
        <is>
          <t>January</t>
        </is>
      </c>
      <c r="C66" s="55" t="inlineStr">
        <is>
          <t>February</t>
        </is>
      </c>
      <c r="D66" s="55" t="inlineStr">
        <is>
          <t>March</t>
        </is>
      </c>
      <c r="E66" s="55" t="inlineStr">
        <is>
          <t>April</t>
        </is>
      </c>
      <c r="F66" s="55" t="inlineStr">
        <is>
          <t>May</t>
        </is>
      </c>
      <c r="G66" s="55" t="inlineStr">
        <is>
          <t>June</t>
        </is>
      </c>
      <c r="H66" s="55" t="inlineStr">
        <is>
          <t>July</t>
        </is>
      </c>
      <c r="I66" s="55" t="inlineStr">
        <is>
          <t>August</t>
        </is>
      </c>
      <c r="J66" s="55" t="inlineStr">
        <is>
          <t>September</t>
        </is>
      </c>
      <c r="K66" s="55" t="inlineStr">
        <is>
          <t>October</t>
        </is>
      </c>
      <c r="L66" s="55" t="inlineStr">
        <is>
          <t>November</t>
        </is>
      </c>
      <c r="M66" s="55" t="inlineStr">
        <is>
          <t>December</t>
        </is>
      </c>
    </row>
    <row r="67" hidden="1" ht="15.75" customHeight="1" s="169">
      <c r="A67" s="54" t="inlineStr">
        <is>
          <t>Jumlah Orang</t>
        </is>
      </c>
      <c r="B67" s="15" t="n">
        <v>11</v>
      </c>
      <c r="C67" s="15" t="n">
        <v>10</v>
      </c>
      <c r="D67" s="15" t="n">
        <v>9</v>
      </c>
      <c r="E67" s="15" t="n">
        <v>10</v>
      </c>
      <c r="F67" s="15" t="n">
        <v>10</v>
      </c>
      <c r="G67" s="15" t="n">
        <v>10</v>
      </c>
      <c r="H67" s="15" t="n">
        <v>10</v>
      </c>
      <c r="I67" s="15" t="n">
        <v>12</v>
      </c>
      <c r="J67" s="58" t="n">
        <v>12</v>
      </c>
      <c r="K67" s="58" t="n">
        <v>12</v>
      </c>
      <c r="L67" s="58" t="n">
        <v>12</v>
      </c>
      <c r="M67" s="58" t="n">
        <v>12</v>
      </c>
    </row>
    <row r="68" hidden="1" ht="15.75" customHeight="1" s="169">
      <c r="A68" s="54" t="inlineStr">
        <is>
          <t>Total Box</t>
        </is>
      </c>
      <c r="B68" s="59" t="n">
        <v>644953</v>
      </c>
      <c r="C68" s="59" t="n">
        <v>568481</v>
      </c>
      <c r="D68" s="59" t="n">
        <v>631846</v>
      </c>
      <c r="E68" s="59" t="n">
        <v>569922</v>
      </c>
      <c r="F68" s="59" t="n">
        <v>624962</v>
      </c>
      <c r="G68" s="59" t="n">
        <v>656671</v>
      </c>
      <c r="H68" s="59" t="n">
        <v>728771</v>
      </c>
      <c r="I68" s="59" t="n">
        <v>717211</v>
      </c>
      <c r="J68" s="59" t="n">
        <v>246867</v>
      </c>
      <c r="K68" s="59" t="n">
        <v>0</v>
      </c>
      <c r="L68" s="59" t="n">
        <v>0</v>
      </c>
      <c r="M68" s="59" t="n">
        <v>0</v>
      </c>
    </row>
    <row r="69" hidden="1" ht="15.75" customHeight="1" s="169">
      <c r="A69" s="28" t="inlineStr">
        <is>
          <t>Baby (Box)</t>
        </is>
      </c>
      <c r="B69" s="59" t="n">
        <v>644953</v>
      </c>
      <c r="C69" s="59" t="n">
        <v>568481</v>
      </c>
      <c r="D69" s="59" t="n">
        <v>631846</v>
      </c>
      <c r="E69" s="59" t="n">
        <v>569922</v>
      </c>
      <c r="F69" s="59" t="n">
        <v>624962</v>
      </c>
      <c r="G69" s="59" t="n">
        <v>645173</v>
      </c>
      <c r="H69" s="59" t="n">
        <v>644284</v>
      </c>
      <c r="I69" s="59" t="n">
        <v>632555</v>
      </c>
      <c r="J69" s="59" t="n">
        <v>213691</v>
      </c>
      <c r="K69" s="59" t="n">
        <v>0</v>
      </c>
      <c r="L69" s="59" t="n">
        <v>0</v>
      </c>
      <c r="M69" s="59" t="n">
        <v>0</v>
      </c>
    </row>
    <row r="70" hidden="1" ht="15.75" customHeight="1" s="169">
      <c r="A70" s="28" t="inlineStr">
        <is>
          <t>Adult (Box)</t>
        </is>
      </c>
      <c r="B70" s="59" t="n">
        <v>0</v>
      </c>
      <c r="C70" s="59" t="n">
        <v>0</v>
      </c>
      <c r="D70" s="59" t="n">
        <v>0</v>
      </c>
      <c r="E70" s="59" t="n">
        <v>0</v>
      </c>
      <c r="F70" s="59" t="n">
        <v>0</v>
      </c>
      <c r="G70" s="59" t="n">
        <v>11498</v>
      </c>
      <c r="H70" s="59" t="n">
        <v>84487</v>
      </c>
      <c r="I70" s="59" t="n">
        <v>84656</v>
      </c>
      <c r="J70" s="59" t="n">
        <v>33176</v>
      </c>
      <c r="K70" s="59" t="n">
        <v>0</v>
      </c>
      <c r="L70" s="59" t="n">
        <v>0</v>
      </c>
      <c r="M70" s="59" t="n">
        <v>0</v>
      </c>
    </row>
    <row r="71" hidden="1" ht="15.75" customHeight="1" s="169">
      <c r="A71" s="28" t="inlineStr">
        <is>
          <t>Total Pallet</t>
        </is>
      </c>
      <c r="B71" s="59" t="n">
        <v>14985</v>
      </c>
      <c r="C71" s="59" t="n">
        <v>13350</v>
      </c>
      <c r="D71" s="59" t="n">
        <v>13945</v>
      </c>
      <c r="E71" s="59" t="n">
        <v>13588</v>
      </c>
      <c r="F71" s="59" t="n">
        <v>14604</v>
      </c>
      <c r="G71" s="59" t="n">
        <v>15322</v>
      </c>
      <c r="H71" s="59" t="n">
        <v>17583</v>
      </c>
      <c r="I71" s="59" t="n">
        <v>18047</v>
      </c>
      <c r="J71" s="59" t="n">
        <v>6512</v>
      </c>
      <c r="K71" s="59" t="n">
        <v>0</v>
      </c>
      <c r="L71" s="59" t="n">
        <v>0</v>
      </c>
      <c r="M71" s="59" t="n">
        <v>0</v>
      </c>
    </row>
    <row r="72" hidden="1" ht="15.75" customHeight="1" s="169">
      <c r="A72" s="28" t="inlineStr">
        <is>
          <t>Baby (Pallet)</t>
        </is>
      </c>
      <c r="B72" s="59" t="n">
        <v>14985</v>
      </c>
      <c r="C72" s="59" t="n">
        <v>13350</v>
      </c>
      <c r="D72" s="59" t="n">
        <v>13945</v>
      </c>
      <c r="E72" s="59" t="n">
        <v>13588</v>
      </c>
      <c r="F72" s="59" t="n">
        <v>14604</v>
      </c>
      <c r="G72" s="59" t="n">
        <v>14946</v>
      </c>
      <c r="H72" s="59" t="n">
        <v>14740</v>
      </c>
      <c r="I72" s="59" t="n">
        <v>14709</v>
      </c>
      <c r="J72" s="59" t="n">
        <v>5229</v>
      </c>
      <c r="K72" s="59" t="n">
        <v>0</v>
      </c>
      <c r="L72" s="59" t="n">
        <v>0</v>
      </c>
      <c r="M72" s="59" t="n">
        <v>0</v>
      </c>
    </row>
    <row r="73" hidden="1" ht="15.75" customHeight="1" s="169">
      <c r="A73" s="28" t="inlineStr">
        <is>
          <t>Adult (Pallet)</t>
        </is>
      </c>
      <c r="B73" s="59" t="n">
        <v>0</v>
      </c>
      <c r="C73" s="59" t="n">
        <v>0</v>
      </c>
      <c r="D73" s="59" t="n">
        <v>0</v>
      </c>
      <c r="E73" s="59" t="n">
        <v>0</v>
      </c>
      <c r="F73" s="59" t="n">
        <v>0</v>
      </c>
      <c r="G73" s="59" t="n">
        <v>376</v>
      </c>
      <c r="H73" s="59" t="n">
        <v>2844</v>
      </c>
      <c r="I73" s="59" t="n">
        <v>3338</v>
      </c>
      <c r="J73" s="59" t="n">
        <v>1283</v>
      </c>
      <c r="K73" s="59" t="n">
        <v>0</v>
      </c>
      <c r="L73" s="59" t="n">
        <v>0</v>
      </c>
      <c r="M73" s="59" t="n">
        <v>0</v>
      </c>
    </row>
    <row r="74" hidden="1" ht="15.75" customHeight="1" s="169">
      <c r="A74" s="22" t="inlineStr">
        <is>
          <t>Box per man</t>
        </is>
      </c>
      <c r="B74" s="60">
        <f>B68/B67</f>
        <v/>
      </c>
      <c r="C74" s="60">
        <f>C68/C67</f>
        <v/>
      </c>
      <c r="D74" s="60">
        <f>D68/D67</f>
        <v/>
      </c>
      <c r="E74" s="60">
        <f>E68/E67</f>
        <v/>
      </c>
      <c r="F74" s="60">
        <f>F68/F67</f>
        <v/>
      </c>
      <c r="G74" s="60">
        <f>G68/G67</f>
        <v/>
      </c>
      <c r="H74" s="60">
        <f>H68/H67</f>
        <v/>
      </c>
      <c r="I74" s="60">
        <f>I68/I67</f>
        <v/>
      </c>
      <c r="J74" s="60">
        <f>J68/J67</f>
        <v/>
      </c>
      <c r="K74" s="60">
        <f>K68/K67</f>
        <v/>
      </c>
      <c r="L74" s="60">
        <f>L68/L67</f>
        <v/>
      </c>
      <c r="M74" s="60">
        <f>M68/M67</f>
        <v/>
      </c>
    </row>
    <row r="75" hidden="1" ht="15.75" customHeight="1" s="169">
      <c r="A75" s="22" t="inlineStr">
        <is>
          <t>Pallet per man</t>
        </is>
      </c>
      <c r="B75" s="60">
        <f>B71/B67</f>
        <v/>
      </c>
      <c r="C75" s="60">
        <f>C71/C67</f>
        <v/>
      </c>
      <c r="D75" s="60">
        <f>D71/D67</f>
        <v/>
      </c>
      <c r="E75" s="60">
        <f>E71/E67</f>
        <v/>
      </c>
      <c r="F75" s="60">
        <f>F71/F67</f>
        <v/>
      </c>
      <c r="G75" s="60">
        <f>G71/G67</f>
        <v/>
      </c>
      <c r="H75" s="60">
        <f>H71/H67</f>
        <v/>
      </c>
      <c r="I75" s="60">
        <f>I71/I67</f>
        <v/>
      </c>
      <c r="J75" s="60">
        <f>J71/J67</f>
        <v/>
      </c>
      <c r="K75" s="60">
        <f>K71/K67</f>
        <v/>
      </c>
      <c r="L75" s="60">
        <f>L71/L67</f>
        <v/>
      </c>
      <c r="M75" s="60">
        <f>M71/M67</f>
        <v/>
      </c>
    </row>
    <row r="76" hidden="1" ht="15.75" customHeight="1" s="169">
      <c r="A76" s="22" t="n"/>
      <c r="B76" s="22">
        <f>B75/25</f>
        <v/>
      </c>
      <c r="C76" s="22">
        <f>C75/25</f>
        <v/>
      </c>
      <c r="D76" s="22">
        <f>D75/25</f>
        <v/>
      </c>
      <c r="E76" s="22">
        <f>E75/25</f>
        <v/>
      </c>
      <c r="F76" s="22">
        <f>F75/25</f>
        <v/>
      </c>
      <c r="G76" s="22">
        <f>G75/25</f>
        <v/>
      </c>
      <c r="H76" s="22">
        <f>H75/25</f>
        <v/>
      </c>
      <c r="I76" s="22">
        <f>I75/25</f>
        <v/>
      </c>
      <c r="J76" s="22">
        <f>J75/25</f>
        <v/>
      </c>
      <c r="K76" s="22">
        <f>K75/25</f>
        <v/>
      </c>
      <c r="L76" s="22">
        <f>L75/25</f>
        <v/>
      </c>
      <c r="M76" s="22">
        <f>M75/25</f>
        <v/>
      </c>
    </row>
    <row r="77" hidden="1" ht="15.75" customHeight="1" s="169">
      <c r="A77" s="22" t="n"/>
    </row>
    <row r="78" hidden="1" ht="15.75" customHeight="1" s="169">
      <c r="A78" s="57" t="inlineStr">
        <is>
          <t>WFG 2025</t>
        </is>
      </c>
      <c r="B78" s="55" t="inlineStr">
        <is>
          <t>January</t>
        </is>
      </c>
      <c r="C78" s="55" t="inlineStr">
        <is>
          <t>February</t>
        </is>
      </c>
      <c r="D78" s="55" t="inlineStr">
        <is>
          <t>March</t>
        </is>
      </c>
      <c r="E78" s="55" t="inlineStr">
        <is>
          <t>April</t>
        </is>
      </c>
      <c r="F78" s="55" t="inlineStr">
        <is>
          <t>May</t>
        </is>
      </c>
      <c r="G78" s="55" t="inlineStr">
        <is>
          <t>June</t>
        </is>
      </c>
      <c r="H78" s="55" t="inlineStr">
        <is>
          <t>July</t>
        </is>
      </c>
      <c r="I78" s="55" t="inlineStr">
        <is>
          <t>August</t>
        </is>
      </c>
      <c r="J78" s="55" t="inlineStr">
        <is>
          <t>September</t>
        </is>
      </c>
      <c r="K78" s="55" t="inlineStr">
        <is>
          <t>October</t>
        </is>
      </c>
      <c r="L78" s="55" t="inlineStr">
        <is>
          <t>November</t>
        </is>
      </c>
      <c r="M78" s="55" t="inlineStr">
        <is>
          <t>December</t>
        </is>
      </c>
    </row>
    <row r="79" hidden="1" ht="15.75" customHeight="1" s="169">
      <c r="A79" s="54" t="inlineStr">
        <is>
          <t>Jumlah Orang</t>
        </is>
      </c>
      <c r="B79" s="22" t="n">
        <v>12</v>
      </c>
      <c r="C79" s="22" t="n">
        <v>11</v>
      </c>
      <c r="D79" s="22" t="n">
        <v>12</v>
      </c>
      <c r="E79" s="22" t="n">
        <v>11</v>
      </c>
      <c r="F79" s="22" t="n">
        <v>11</v>
      </c>
      <c r="G79" s="22" t="n">
        <v>12</v>
      </c>
      <c r="H79" s="22" t="n">
        <v>13</v>
      </c>
      <c r="I79" s="22" t="n">
        <v>13</v>
      </c>
      <c r="J79" s="22" t="n">
        <v>13</v>
      </c>
      <c r="K79" s="22" t="n">
        <v>13</v>
      </c>
      <c r="L79" s="22" t="n">
        <v>13</v>
      </c>
      <c r="M79" s="22" t="n">
        <v>13</v>
      </c>
    </row>
    <row r="80" hidden="1" ht="15.75" customHeight="1" s="169">
      <c r="A80" s="22" t="inlineStr">
        <is>
          <t>Total Box</t>
        </is>
      </c>
    </row>
    <row r="81" hidden="1" ht="15.75" customHeight="1" s="169">
      <c r="A81" s="22" t="inlineStr">
        <is>
          <t>Baby (Box)</t>
        </is>
      </c>
    </row>
    <row r="82" hidden="1" ht="15.75" customHeight="1" s="169">
      <c r="A82" s="22" t="inlineStr">
        <is>
          <t>Adult (Box)</t>
        </is>
      </c>
    </row>
    <row r="83" hidden="1" ht="15.75" customHeight="1" s="169">
      <c r="A83" s="22" t="inlineStr">
        <is>
          <t>Total Pallet</t>
        </is>
      </c>
    </row>
    <row r="84" hidden="1" ht="15.75" customHeight="1" s="169">
      <c r="A84" s="22" t="inlineStr">
        <is>
          <t>Baby (Pallet)</t>
        </is>
      </c>
    </row>
    <row r="85" hidden="1" ht="15.75" customHeight="1" s="169">
      <c r="A85" s="22" t="inlineStr">
        <is>
          <t>Adult (Pallet)</t>
        </is>
      </c>
    </row>
    <row r="86" hidden="1" ht="15.75" customHeight="1" s="169">
      <c r="A86" s="22" t="inlineStr">
        <is>
          <t>Box per man</t>
        </is>
      </c>
    </row>
    <row r="87" hidden="1" ht="15.75" customHeight="1" s="169">
      <c r="A87" s="22" t="inlineStr">
        <is>
          <t>Pallet per man</t>
        </is>
      </c>
    </row>
    <row r="88" hidden="1" ht="15.75" customHeight="1" s="169">
      <c r="A88" s="22" t="inlineStr">
        <is>
          <t>24-01</t>
        </is>
      </c>
      <c r="B88" s="22">
        <f t="array" ref="B88:B99">TRANSPOSE(B8:M8)</f>
        <v/>
      </c>
    </row>
    <row r="89" hidden="1" ht="15.75" customHeight="1" s="169">
      <c r="A89" s="22" t="inlineStr">
        <is>
          <t>24-02</t>
        </is>
      </c>
      <c r="B89" s="22" t="n">
        <v>19</v>
      </c>
    </row>
    <row r="90" hidden="1" ht="15.75" customHeight="1" s="169">
      <c r="A90" s="22" t="inlineStr">
        <is>
          <t>24-03</t>
        </is>
      </c>
      <c r="B90" s="22" t="n">
        <v>22</v>
      </c>
    </row>
    <row r="91" hidden="1" ht="15.75" customHeight="1" s="169">
      <c r="A91" s="22" t="inlineStr">
        <is>
          <t>24-04</t>
        </is>
      </c>
      <c r="B91" s="22" t="n">
        <v>22</v>
      </c>
    </row>
    <row r="92" hidden="1" ht="15.75" customHeight="1" s="169">
      <c r="A92" s="22" t="inlineStr">
        <is>
          <t>24-05</t>
        </is>
      </c>
      <c r="B92" s="22" t="n">
        <v>22</v>
      </c>
    </row>
    <row r="93" hidden="1" ht="15.75" customHeight="1" s="169">
      <c r="A93" s="22" t="inlineStr">
        <is>
          <t>24-06</t>
        </is>
      </c>
      <c r="B93" s="22" t="n">
        <v>24</v>
      </c>
    </row>
    <row r="94" hidden="1" ht="15.75" customHeight="1" s="169">
      <c r="A94" s="22" t="inlineStr">
        <is>
          <t>24-07</t>
        </is>
      </c>
      <c r="B94" s="22" t="n">
        <v>26</v>
      </c>
    </row>
    <row r="95" hidden="1" ht="15.75" customHeight="1" s="169">
      <c r="A95" s="22" t="inlineStr">
        <is>
          <t>24-08</t>
        </is>
      </c>
      <c r="B95" s="22" t="n">
        <v>25</v>
      </c>
    </row>
    <row r="96" hidden="1" ht="15.75" customHeight="1" s="169">
      <c r="A96" s="22" t="inlineStr">
        <is>
          <t>24-09</t>
        </is>
      </c>
      <c r="B96" s="22" t="n">
        <v>24</v>
      </c>
    </row>
    <row r="97" hidden="1" ht="15.75" customHeight="1" s="169">
      <c r="A97" s="22" t="inlineStr">
        <is>
          <t>24-10</t>
        </is>
      </c>
      <c r="B97" s="22" t="n">
        <v>25</v>
      </c>
    </row>
    <row r="98" hidden="1" ht="15.75" customHeight="1" s="169">
      <c r="A98" s="22" t="inlineStr">
        <is>
          <t>24-11</t>
        </is>
      </c>
      <c r="B98" s="22" t="n">
        <v>24</v>
      </c>
    </row>
    <row r="99" hidden="1" ht="15.75" customHeight="1" s="169">
      <c r="A99" s="22" t="inlineStr">
        <is>
          <t>24-12</t>
        </is>
      </c>
      <c r="B99" s="22" t="n">
        <v>25</v>
      </c>
    </row>
    <row r="100" hidden="1" ht="15.75" customHeight="1" s="169">
      <c r="A100" s="22" t="inlineStr">
        <is>
          <t>25-01</t>
        </is>
      </c>
      <c r="B100" s="22">
        <f t="array" ref="B100:B111">TRANSPOSE(B17:M17)</f>
        <v/>
      </c>
    </row>
    <row r="101" hidden="1" ht="15.75" customHeight="1" s="169">
      <c r="A101" s="22" t="inlineStr">
        <is>
          <t>25-02</t>
        </is>
      </c>
      <c r="B101" s="22" t="n">
        <v>24</v>
      </c>
    </row>
    <row r="102" hidden="1" ht="15.75" customHeight="1" s="169">
      <c r="A102" s="22" t="inlineStr">
        <is>
          <t>25-03</t>
        </is>
      </c>
      <c r="B102" s="22" t="n">
        <v>24</v>
      </c>
    </row>
    <row r="103" hidden="1" ht="15.75" customHeight="1" s="169">
      <c r="A103" s="22" t="inlineStr">
        <is>
          <t>25-04</t>
        </is>
      </c>
      <c r="B103" s="22" t="n">
        <v>24</v>
      </c>
    </row>
    <row r="104" hidden="1" ht="15.75" customHeight="1" s="169">
      <c r="A104" s="22" t="inlineStr">
        <is>
          <t>25-05</t>
        </is>
      </c>
      <c r="B104" s="22" t="n">
        <v>24</v>
      </c>
    </row>
    <row r="105" hidden="1" ht="15.75" customHeight="1" s="169">
      <c r="A105" s="22" t="inlineStr">
        <is>
          <t>25-06</t>
        </is>
      </c>
      <c r="B105" s="22" t="n">
        <v>26</v>
      </c>
    </row>
    <row r="106" hidden="1" ht="15.75" customHeight="1" s="169">
      <c r="A106" s="22" t="inlineStr">
        <is>
          <t>25-07</t>
        </is>
      </c>
      <c r="B106" s="22" t="n">
        <v>32</v>
      </c>
    </row>
    <row r="107" hidden="1" ht="15.75" customHeight="1" s="169">
      <c r="A107" s="22" t="inlineStr">
        <is>
          <t>25-08</t>
        </is>
      </c>
      <c r="B107" s="22" t="n">
        <v>34</v>
      </c>
    </row>
    <row r="108" hidden="1" ht="15.75" customHeight="1" s="169">
      <c r="A108" s="22" t="inlineStr">
        <is>
          <t>25-09</t>
        </is>
      </c>
      <c r="B108" s="22" t="n">
        <v>32</v>
      </c>
    </row>
    <row r="109" hidden="1" ht="15.75" customHeight="1" s="169">
      <c r="A109" s="22" t="inlineStr">
        <is>
          <t>25-10</t>
        </is>
      </c>
      <c r="B109" s="22" t="n">
        <v>36</v>
      </c>
    </row>
    <row r="110" hidden="1" ht="15.75" customHeight="1" s="169">
      <c r="A110" s="22" t="inlineStr">
        <is>
          <t>25-11</t>
        </is>
      </c>
      <c r="B110" s="22" t="n">
        <v>35</v>
      </c>
    </row>
    <row r="111" hidden="1" ht="15.75" customHeight="1" s="169">
      <c r="A111" s="22" t="inlineStr">
        <is>
          <t>25-12</t>
        </is>
      </c>
      <c r="B111" s="22" t="n">
        <v>36</v>
      </c>
    </row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4">
    <mergeCell ref="A20:M20"/>
    <mergeCell ref="A2:M2"/>
    <mergeCell ref="A1:M1"/>
    <mergeCell ref="A10:M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M18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9" min="1" max="6"/>
  </cols>
  <sheetData>
    <row r="1" ht="15.75" customHeight="1" s="169">
      <c r="A1" s="42" t="inlineStr">
        <is>
          <t>Jumlah Karyawan Department PROD</t>
        </is>
      </c>
    </row>
    <row r="2" ht="15.75" customHeight="1" s="169">
      <c r="A2" s="53" t="n">
        <v>2024</v>
      </c>
    </row>
    <row r="3" ht="15.75" customHeight="1" s="169">
      <c r="A3" s="15" t="inlineStr">
        <is>
          <t>Section</t>
        </is>
      </c>
      <c r="B3" s="15" t="inlineStr">
        <is>
          <t>January</t>
        </is>
      </c>
      <c r="C3" s="15" t="inlineStr">
        <is>
          <t>February</t>
        </is>
      </c>
      <c r="D3" s="15" t="inlineStr">
        <is>
          <t>March</t>
        </is>
      </c>
      <c r="E3" s="15" t="inlineStr">
        <is>
          <t>April</t>
        </is>
      </c>
      <c r="F3" s="15" t="inlineStr">
        <is>
          <t>May</t>
        </is>
      </c>
      <c r="G3" s="15" t="inlineStr">
        <is>
          <t>June</t>
        </is>
      </c>
      <c r="H3" s="15" t="inlineStr">
        <is>
          <t>July</t>
        </is>
      </c>
      <c r="I3" s="15" t="inlineStr">
        <is>
          <t>August</t>
        </is>
      </c>
      <c r="J3" s="15" t="inlineStr">
        <is>
          <t>September</t>
        </is>
      </c>
      <c r="K3" s="15" t="inlineStr">
        <is>
          <t>October</t>
        </is>
      </c>
      <c r="L3" s="15" t="inlineStr">
        <is>
          <t>November</t>
        </is>
      </c>
      <c r="M3" s="15" t="inlineStr">
        <is>
          <t>December</t>
        </is>
      </c>
    </row>
    <row r="4" ht="15.75" customHeight="1" s="169">
      <c r="A4" s="28" t="inlineStr">
        <is>
          <t>BHP</t>
        </is>
      </c>
      <c r="B4" s="61" t="n">
        <v>141</v>
      </c>
      <c r="C4" s="61" t="n">
        <v>140</v>
      </c>
      <c r="D4" s="61" t="n">
        <v>140</v>
      </c>
      <c r="E4" s="61" t="n">
        <v>138</v>
      </c>
      <c r="F4" s="61" t="n">
        <v>140</v>
      </c>
      <c r="G4" s="61" t="n">
        <v>141</v>
      </c>
      <c r="H4" s="61" t="n">
        <v>142</v>
      </c>
      <c r="I4" s="61" t="n">
        <v>140</v>
      </c>
      <c r="J4" s="61" t="n">
        <v>141</v>
      </c>
      <c r="K4" s="61" t="n">
        <v>146</v>
      </c>
      <c r="L4" s="61" t="n">
        <v>140</v>
      </c>
      <c r="M4" s="61" t="n">
        <v>139</v>
      </c>
    </row>
    <row r="5" ht="15.75" customHeight="1" s="169">
      <c r="A5" s="28" t="inlineStr">
        <is>
          <t>HPY</t>
        </is>
      </c>
      <c r="B5" s="15" t="n"/>
      <c r="C5" s="15" t="n"/>
      <c r="D5" s="15" t="n"/>
      <c r="E5" s="15" t="n"/>
      <c r="F5" s="15" t="n"/>
      <c r="G5" s="61" t="n"/>
      <c r="H5" s="61" t="n"/>
      <c r="I5" s="61" t="n"/>
      <c r="J5" s="61" t="n"/>
      <c r="K5" s="15" t="n"/>
      <c r="L5" s="15" t="n"/>
      <c r="M5" s="15" t="n"/>
    </row>
    <row r="6" ht="15.75" customHeight="1" s="169">
      <c r="A6" s="54" t="inlineStr">
        <is>
          <t>TOTAL</t>
        </is>
      </c>
      <c r="B6" s="55">
        <f>SUM(B4:B5)</f>
        <v/>
      </c>
      <c r="C6" s="55">
        <f>SUM(C4:C5)</f>
        <v/>
      </c>
      <c r="D6" s="55">
        <f>SUM(D4:D5)</f>
        <v/>
      </c>
      <c r="E6" s="55">
        <f>SUM(E4:E5)</f>
        <v/>
      </c>
      <c r="F6" s="55">
        <f>SUM(F4:F5)</f>
        <v/>
      </c>
      <c r="G6" s="55">
        <f>SUM(G4:G5)</f>
        <v/>
      </c>
      <c r="H6" s="55">
        <f>SUM(H4:H5)</f>
        <v/>
      </c>
      <c r="I6" s="55">
        <f>SUM(I4:I5)</f>
        <v/>
      </c>
      <c r="J6" s="55">
        <f>SUM(J4:J5)</f>
        <v/>
      </c>
      <c r="K6" s="55">
        <f>SUM(K4:K5)</f>
        <v/>
      </c>
      <c r="L6" s="55">
        <f>SUM(L4:L5)</f>
        <v/>
      </c>
      <c r="M6" s="55">
        <f>SUM(M4:M5)</f>
        <v/>
      </c>
    </row>
    <row r="7" ht="15.75" customHeight="1" s="169"/>
    <row r="8" ht="15.75" customHeight="1" s="169">
      <c r="A8" s="53" t="n">
        <v>2025</v>
      </c>
    </row>
    <row r="9" ht="15.75" customHeight="1" s="169">
      <c r="A9" s="15" t="inlineStr">
        <is>
          <t>Section</t>
        </is>
      </c>
      <c r="B9" s="15" t="inlineStr">
        <is>
          <t>January</t>
        </is>
      </c>
      <c r="C9" s="15" t="inlineStr">
        <is>
          <t>February</t>
        </is>
      </c>
      <c r="D9" s="15" t="inlineStr">
        <is>
          <t>March</t>
        </is>
      </c>
      <c r="E9" s="15" t="inlineStr">
        <is>
          <t>April</t>
        </is>
      </c>
      <c r="F9" s="15" t="inlineStr">
        <is>
          <t>May</t>
        </is>
      </c>
      <c r="G9" s="15" t="inlineStr">
        <is>
          <t>June</t>
        </is>
      </c>
      <c r="H9" s="15" t="inlineStr">
        <is>
          <t>July</t>
        </is>
      </c>
      <c r="I9" s="15" t="inlineStr">
        <is>
          <t>August</t>
        </is>
      </c>
      <c r="J9" s="15" t="inlineStr">
        <is>
          <t>September</t>
        </is>
      </c>
      <c r="K9" s="15" t="inlineStr">
        <is>
          <t>October</t>
        </is>
      </c>
      <c r="L9" s="15" t="inlineStr">
        <is>
          <t>November</t>
        </is>
      </c>
      <c r="M9" s="15" t="inlineStr">
        <is>
          <t>December</t>
        </is>
      </c>
    </row>
    <row r="10" ht="15.75" customHeight="1" s="169">
      <c r="A10" s="28" t="inlineStr">
        <is>
          <t>BHP</t>
        </is>
      </c>
      <c r="B10" s="61" t="n">
        <v>139</v>
      </c>
      <c r="C10" s="61" t="n">
        <v>138</v>
      </c>
      <c r="D10" s="61" t="n">
        <v>136</v>
      </c>
      <c r="E10" s="61" t="n">
        <v>139</v>
      </c>
      <c r="F10" s="61" t="n">
        <v>152</v>
      </c>
      <c r="G10" s="61" t="n">
        <v>135</v>
      </c>
      <c r="H10" s="61" t="n">
        <v>139</v>
      </c>
      <c r="I10" s="61" t="n">
        <v>139</v>
      </c>
      <c r="J10" s="61" t="n">
        <v>133</v>
      </c>
      <c r="K10" s="15" t="n">
        <v>137</v>
      </c>
      <c r="L10" s="15" t="n">
        <v>133</v>
      </c>
      <c r="M10" s="15" t="n">
        <v>147</v>
      </c>
    </row>
    <row r="11" ht="15.75" customHeight="1" s="169">
      <c r="A11" s="28" t="inlineStr">
        <is>
          <t>HPY</t>
        </is>
      </c>
      <c r="B11" s="15" t="n"/>
      <c r="C11" s="15" t="n"/>
      <c r="D11" s="15" t="n"/>
      <c r="E11" s="15" t="n"/>
      <c r="F11" s="15" t="n"/>
      <c r="G11" s="61" t="n">
        <v>29</v>
      </c>
      <c r="H11" s="61" t="n">
        <v>34</v>
      </c>
      <c r="I11" s="61" t="n">
        <v>36</v>
      </c>
      <c r="J11" s="61" t="n">
        <v>43</v>
      </c>
      <c r="K11" s="15" t="n">
        <v>43</v>
      </c>
      <c r="L11" s="15" t="n">
        <v>41</v>
      </c>
      <c r="M11" s="15" t="n">
        <v>51</v>
      </c>
    </row>
    <row r="12" ht="15.75" customHeight="1" s="169">
      <c r="A12" s="54" t="inlineStr">
        <is>
          <t>TOTAL</t>
        </is>
      </c>
      <c r="B12" s="55">
        <f>SUM(B10:B11)</f>
        <v/>
      </c>
      <c r="C12" s="55">
        <f>SUM(C10:C11)</f>
        <v/>
      </c>
      <c r="D12" s="55">
        <f>SUM(D10:D11)</f>
        <v/>
      </c>
      <c r="E12" s="55">
        <f>SUM(E10:E11)</f>
        <v/>
      </c>
      <c r="F12" s="55">
        <f>SUM(F10:F11)</f>
        <v/>
      </c>
      <c r="G12" s="55">
        <f>SUM(G10:G11)</f>
        <v/>
      </c>
      <c r="H12" s="55">
        <f>SUM(H10:H11)</f>
        <v/>
      </c>
      <c r="I12" s="55">
        <f>SUM(I10:I11)</f>
        <v/>
      </c>
      <c r="J12" s="55">
        <f>SUM(J10:J11)</f>
        <v/>
      </c>
      <c r="K12" s="55">
        <f>SUM(K10:K11)</f>
        <v/>
      </c>
      <c r="L12" s="55">
        <f>SUM(L10:L11)</f>
        <v/>
      </c>
      <c r="M12" s="55">
        <f>SUM(M10:M11)</f>
        <v/>
      </c>
    </row>
    <row r="13" ht="15.75" customHeight="1" s="169"/>
    <row r="14" ht="15.75" customHeight="1" s="169">
      <c r="A14" s="53" t="n">
        <v>2026</v>
      </c>
    </row>
    <row r="15" ht="15.75" customHeight="1" s="169">
      <c r="A15" s="15" t="inlineStr">
        <is>
          <t>Section</t>
        </is>
      </c>
      <c r="B15" s="15" t="inlineStr">
        <is>
          <t>January</t>
        </is>
      </c>
      <c r="C15" s="15" t="inlineStr">
        <is>
          <t>February</t>
        </is>
      </c>
      <c r="D15" s="15" t="inlineStr">
        <is>
          <t>March</t>
        </is>
      </c>
      <c r="E15" s="15" t="inlineStr">
        <is>
          <t>April</t>
        </is>
      </c>
      <c r="F15" s="15" t="inlineStr">
        <is>
          <t>May</t>
        </is>
      </c>
      <c r="G15" s="15" t="inlineStr">
        <is>
          <t>June</t>
        </is>
      </c>
      <c r="H15" s="15" t="inlineStr">
        <is>
          <t>July</t>
        </is>
      </c>
      <c r="I15" s="15" t="inlineStr">
        <is>
          <t>August</t>
        </is>
      </c>
      <c r="J15" s="15" t="inlineStr">
        <is>
          <t>September</t>
        </is>
      </c>
      <c r="K15" s="15" t="inlineStr">
        <is>
          <t>October</t>
        </is>
      </c>
      <c r="L15" s="15" t="inlineStr">
        <is>
          <t>November</t>
        </is>
      </c>
      <c r="M15" s="15" t="inlineStr">
        <is>
          <t>December</t>
        </is>
      </c>
    </row>
    <row r="16" ht="15.75" customHeight="1" s="169">
      <c r="A16" s="28" t="inlineStr">
        <is>
          <t>BHP</t>
        </is>
      </c>
      <c r="B16" s="61" t="n">
        <v>152</v>
      </c>
      <c r="C16" s="61" t="n">
        <v>191</v>
      </c>
      <c r="D16" s="61" t="n"/>
      <c r="E16" s="61" t="n"/>
      <c r="F16" s="61" t="n"/>
      <c r="G16" s="61" t="n"/>
      <c r="H16" s="61" t="n"/>
      <c r="I16" s="61" t="n"/>
      <c r="J16" s="61" t="n"/>
      <c r="K16" s="15" t="n"/>
      <c r="L16" s="15" t="n"/>
      <c r="M16" s="15" t="n"/>
    </row>
    <row r="17" ht="15.75" customHeight="1" s="169">
      <c r="A17" s="28" t="inlineStr">
        <is>
          <t>HPY</t>
        </is>
      </c>
      <c r="B17" s="15" t="n">
        <v>45</v>
      </c>
      <c r="C17" s="15" t="n">
        <v>45</v>
      </c>
      <c r="D17" s="15" t="n"/>
      <c r="E17" s="15" t="n"/>
      <c r="F17" s="15" t="n"/>
      <c r="G17" s="61" t="n"/>
      <c r="H17" s="61" t="n"/>
      <c r="I17" s="61" t="n"/>
      <c r="J17" s="61" t="n"/>
      <c r="K17" s="15" t="n"/>
      <c r="L17" s="15" t="n"/>
      <c r="M17" s="15" t="n"/>
    </row>
    <row r="18" ht="15.75" customHeight="1" s="169">
      <c r="A18" s="54" t="inlineStr">
        <is>
          <t>TOTAL</t>
        </is>
      </c>
      <c r="B18" s="55">
        <f>SUM(B16:B17)</f>
        <v/>
      </c>
      <c r="C18" s="55">
        <f>SUM(C16:C17)</f>
        <v/>
      </c>
      <c r="D18" s="55">
        <f>SUM(D16:D17)</f>
        <v/>
      </c>
      <c r="E18" s="55">
        <f>SUM(E16:E17)</f>
        <v/>
      </c>
      <c r="F18" s="55">
        <f>SUM(F16:F17)</f>
        <v/>
      </c>
      <c r="G18" s="55">
        <f>SUM(G16:G17)</f>
        <v/>
      </c>
      <c r="H18" s="55">
        <f>SUM(H16:H17)</f>
        <v/>
      </c>
      <c r="I18" s="55">
        <f>SUM(I16:I17)</f>
        <v/>
      </c>
      <c r="J18" s="55">
        <f>SUM(J16:J17)</f>
        <v/>
      </c>
      <c r="K18" s="55">
        <f>SUM(K16:K17)</f>
        <v/>
      </c>
      <c r="L18" s="55">
        <f>SUM(L16:L17)</f>
        <v/>
      </c>
      <c r="M18" s="55">
        <f>SUM(M16:M17)</f>
        <v/>
      </c>
    </row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4">
    <mergeCell ref="A8:M8"/>
    <mergeCell ref="A2:M2"/>
    <mergeCell ref="A14:M14"/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F16"/>
  <sheetViews>
    <sheetView workbookViewId="0">
      <selection activeCell="A1" sqref="A1"/>
    </sheetView>
  </sheetViews>
  <sheetFormatPr baseColWidth="8" defaultColWidth="12.63" defaultRowHeight="15" customHeight="1"/>
  <cols>
    <col width="5.25" customWidth="1" style="169" min="1" max="1"/>
    <col width="9.380000000000001" customWidth="1" style="169" min="2" max="2"/>
    <col width="21" customWidth="1" style="169" min="3" max="3"/>
    <col width="6.63" customWidth="1" style="169" min="4" max="4"/>
    <col width="19.38" customWidth="1" style="169" min="5" max="5"/>
    <col width="18" customWidth="1" style="169" min="6" max="6"/>
  </cols>
  <sheetData>
    <row r="1" ht="15.75" customHeight="1" s="169">
      <c r="A1" s="62" t="inlineStr">
        <is>
          <t>DATA STAFF AKTIF PER DESEMBER 24 - PT DAM</t>
        </is>
      </c>
      <c r="B1" s="63" t="n"/>
      <c r="C1" s="63" t="n"/>
      <c r="D1" s="64" t="n"/>
      <c r="E1" s="63" t="n"/>
      <c r="F1" s="63" t="n"/>
    </row>
    <row r="2" ht="15.75" customHeight="1" s="169">
      <c r="A2" s="63" t="n"/>
      <c r="B2" s="63" t="n"/>
      <c r="C2" s="63" t="n"/>
      <c r="D2" s="64" t="n"/>
      <c r="E2" s="63" t="n"/>
      <c r="F2" s="63" t="n"/>
    </row>
    <row r="3" ht="15.75" customHeight="1" s="169">
      <c r="A3" s="65" t="inlineStr">
        <is>
          <t>NO</t>
        </is>
      </c>
      <c r="B3" s="65" t="inlineStr">
        <is>
          <t>NIK</t>
        </is>
      </c>
      <c r="C3" s="65" t="inlineStr">
        <is>
          <t>Nama</t>
        </is>
      </c>
      <c r="D3" s="65" t="inlineStr">
        <is>
          <t>CC</t>
        </is>
      </c>
      <c r="E3" s="65" t="inlineStr">
        <is>
          <t>Dept</t>
        </is>
      </c>
      <c r="F3" s="65" t="inlineStr">
        <is>
          <t>JABATAN</t>
        </is>
      </c>
    </row>
    <row r="4" ht="15.75" customHeight="1" s="169">
      <c r="A4" s="66" t="n">
        <v>1</v>
      </c>
      <c r="B4" s="67" t="n">
        <v>128000001</v>
      </c>
      <c r="C4" s="68" t="inlineStr">
        <is>
          <t>Iman Nurchaedi S.</t>
        </is>
      </c>
      <c r="D4" s="66" t="n">
        <v>111102</v>
      </c>
      <c r="E4" s="69" t="inlineStr">
        <is>
          <t>Production</t>
        </is>
      </c>
      <c r="F4" s="69" t="inlineStr">
        <is>
          <t>Plant Manager</t>
        </is>
      </c>
    </row>
    <row r="5" ht="15.75" customHeight="1" s="169">
      <c r="A5" s="70" t="n">
        <v>2</v>
      </c>
      <c r="B5" s="71" t="n">
        <v>128000010</v>
      </c>
      <c r="C5" s="72" t="inlineStr">
        <is>
          <t>Dendy Saputra</t>
        </is>
      </c>
      <c r="D5" s="70" t="n">
        <v>111102</v>
      </c>
      <c r="E5" s="73" t="inlineStr">
        <is>
          <t>Production</t>
        </is>
      </c>
      <c r="F5" s="73" t="inlineStr">
        <is>
          <t>Line Leader</t>
        </is>
      </c>
    </row>
    <row r="6" ht="15.75" customHeight="1" s="169">
      <c r="A6" s="70" t="n">
        <v>3</v>
      </c>
      <c r="B6" s="71" t="n">
        <v>128000012</v>
      </c>
      <c r="C6" s="72" t="inlineStr">
        <is>
          <t>Evita</t>
        </is>
      </c>
      <c r="D6" s="70" t="n">
        <v>111102</v>
      </c>
      <c r="E6" s="73" t="inlineStr">
        <is>
          <t>Production</t>
        </is>
      </c>
      <c r="F6" s="73" t="inlineStr">
        <is>
          <t>Production Chief SPV 1</t>
        </is>
      </c>
    </row>
    <row r="7" ht="15.75" customHeight="1" s="169">
      <c r="A7" s="70" t="n">
        <v>4</v>
      </c>
      <c r="B7" s="71" t="n">
        <v>128000022</v>
      </c>
      <c r="C7" s="72" t="inlineStr">
        <is>
          <t>Hendra Setiawan</t>
        </is>
      </c>
      <c r="D7" s="70" t="n">
        <v>111102</v>
      </c>
      <c r="E7" s="73" t="inlineStr">
        <is>
          <t>Production</t>
        </is>
      </c>
      <c r="F7" s="73" t="inlineStr">
        <is>
          <t>Production Engineer</t>
        </is>
      </c>
    </row>
    <row r="8" ht="15.75" customHeight="1" s="169">
      <c r="A8" s="70" t="n">
        <v>5</v>
      </c>
      <c r="B8" s="71" t="n">
        <v>128000029</v>
      </c>
      <c r="C8" s="72" t="inlineStr">
        <is>
          <t>Angga Setyawan</t>
        </is>
      </c>
      <c r="D8" s="70" t="n">
        <v>111102</v>
      </c>
      <c r="E8" s="73" t="inlineStr">
        <is>
          <t>Production</t>
        </is>
      </c>
      <c r="F8" s="73" t="inlineStr">
        <is>
          <t>Shift Leader</t>
        </is>
      </c>
    </row>
    <row r="9" ht="15.75" customHeight="1" s="169">
      <c r="A9" s="70" t="n">
        <v>6</v>
      </c>
      <c r="B9" s="71" t="n">
        <v>128000030</v>
      </c>
      <c r="C9" s="72" t="inlineStr">
        <is>
          <t>Kelik Aji Sambudi</t>
        </is>
      </c>
      <c r="D9" s="70" t="n">
        <v>111102</v>
      </c>
      <c r="E9" s="73" t="inlineStr">
        <is>
          <t>Production</t>
        </is>
      </c>
      <c r="F9" s="73" t="inlineStr">
        <is>
          <t>Shift Leader</t>
        </is>
      </c>
    </row>
    <row r="10" ht="15.75" customHeight="1" s="169">
      <c r="A10" s="70" t="n">
        <v>7</v>
      </c>
      <c r="B10" s="71" t="n">
        <v>128000031</v>
      </c>
      <c r="C10" s="72" t="inlineStr">
        <is>
          <t>Abdu Fuad Arrazy</t>
        </is>
      </c>
      <c r="D10" s="70" t="n">
        <v>111102</v>
      </c>
      <c r="E10" s="73" t="inlineStr">
        <is>
          <t>Production</t>
        </is>
      </c>
      <c r="F10" s="73" t="inlineStr">
        <is>
          <t>Shift Leader</t>
        </is>
      </c>
    </row>
    <row r="11" ht="15.75" customHeight="1" s="169">
      <c r="A11" s="70" t="n">
        <v>8</v>
      </c>
      <c r="B11" s="71" t="n">
        <v>128000039</v>
      </c>
      <c r="C11" s="72" t="inlineStr">
        <is>
          <t>Saka Marga Redi</t>
        </is>
      </c>
      <c r="D11" s="70" t="n">
        <v>111102</v>
      </c>
      <c r="E11" s="73" t="inlineStr">
        <is>
          <t>Production</t>
        </is>
      </c>
      <c r="F11" s="73" t="inlineStr">
        <is>
          <t>Line Leader</t>
        </is>
      </c>
    </row>
    <row r="12" ht="15.75" customHeight="1" s="169">
      <c r="A12" s="70" t="n">
        <v>9</v>
      </c>
      <c r="B12" s="71" t="n">
        <v>128000040</v>
      </c>
      <c r="C12" s="72" t="inlineStr">
        <is>
          <t>Gilang Anugerah Hernanda</t>
        </is>
      </c>
      <c r="D12" s="70" t="n">
        <v>111102</v>
      </c>
      <c r="E12" s="73" t="inlineStr">
        <is>
          <t>Production</t>
        </is>
      </c>
      <c r="F12" s="73" t="inlineStr">
        <is>
          <t>Line Leader</t>
        </is>
      </c>
    </row>
    <row r="13" ht="15.75" customHeight="1" s="169">
      <c r="A13" s="70" t="n">
        <v>10</v>
      </c>
      <c r="B13" s="71" t="n">
        <v>128000041</v>
      </c>
      <c r="C13" s="72" t="inlineStr">
        <is>
          <t>Alief Akbar Rafsanzani</t>
        </is>
      </c>
      <c r="D13" s="70" t="n">
        <v>111102</v>
      </c>
      <c r="E13" s="73" t="inlineStr">
        <is>
          <t>Production</t>
        </is>
      </c>
      <c r="F13" s="73" t="inlineStr">
        <is>
          <t>Shift Leader</t>
        </is>
      </c>
    </row>
    <row r="14" ht="15.75" customHeight="1" s="169">
      <c r="A14" s="70" t="n">
        <v>11</v>
      </c>
      <c r="B14" s="71" t="n">
        <v>128000042</v>
      </c>
      <c r="C14" s="72" t="inlineStr">
        <is>
          <t>Ahmad Afrizal</t>
        </is>
      </c>
      <c r="D14" s="70" t="n">
        <v>111102</v>
      </c>
      <c r="E14" s="73" t="inlineStr">
        <is>
          <t>Production</t>
        </is>
      </c>
      <c r="F14" s="73" t="inlineStr">
        <is>
          <t>Line Leader</t>
        </is>
      </c>
    </row>
    <row r="15" ht="15.75" customHeight="1" s="169">
      <c r="A15" s="70" t="n">
        <v>12</v>
      </c>
      <c r="B15" s="71" t="n">
        <v>128000070</v>
      </c>
      <c r="C15" s="72" t="inlineStr">
        <is>
          <t>Bey Muhammad</t>
        </is>
      </c>
      <c r="D15" s="70" t="n">
        <v>111102</v>
      </c>
      <c r="E15" s="73" t="inlineStr">
        <is>
          <t>Production</t>
        </is>
      </c>
      <c r="F15" s="73" t="inlineStr">
        <is>
          <t>Line Leader</t>
        </is>
      </c>
    </row>
    <row r="16" ht="15.75" customHeight="1" s="169">
      <c r="A16" s="70" t="n">
        <v>13</v>
      </c>
      <c r="B16" s="71" t="n">
        <v>128000071</v>
      </c>
      <c r="C16" s="72" t="inlineStr">
        <is>
          <t>Febri Wira Wijaya</t>
        </is>
      </c>
      <c r="D16" s="70" t="n">
        <v>111102</v>
      </c>
      <c r="E16" s="73" t="inlineStr">
        <is>
          <t>Production</t>
        </is>
      </c>
      <c r="F16" s="73" t="inlineStr">
        <is>
          <t>Line Leader</t>
        </is>
      </c>
    </row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" customHeight="1"/>
  <cols>
    <col width="7.88" customWidth="1" style="169" min="1" max="1"/>
    <col width="9.380000000000001" customWidth="1" style="169" min="2" max="2"/>
    <col width="21.5" customWidth="1" style="169" min="3" max="3"/>
    <col width="6.63" customWidth="1" style="169" min="4" max="4"/>
    <col width="34.75" customWidth="1" style="169" min="5" max="5"/>
    <col width="48" customWidth="1" style="169" min="6" max="6"/>
  </cols>
  <sheetData>
    <row r="1" ht="15.75" customHeight="1" s="169">
      <c r="A1" s="62" t="inlineStr">
        <is>
          <t>DATA STAFF AKTIF PER DESEMBER 24 - PT DAM</t>
        </is>
      </c>
      <c r="B1" s="63" t="n"/>
      <c r="C1" s="63" t="n"/>
      <c r="D1" s="64" t="n"/>
      <c r="E1" s="63" t="n"/>
      <c r="F1" s="63" t="n"/>
    </row>
    <row r="2" ht="15.75" customHeight="1" s="169">
      <c r="A2" s="63" t="n"/>
      <c r="B2" s="63" t="n"/>
      <c r="C2" s="63" t="n"/>
      <c r="D2" s="64" t="n"/>
      <c r="E2" s="63" t="n"/>
      <c r="F2" s="63" t="n"/>
    </row>
    <row r="3" ht="15.75" customHeight="1" s="169">
      <c r="A3" s="65" t="inlineStr">
        <is>
          <t>NO</t>
        </is>
      </c>
      <c r="B3" s="65" t="inlineStr">
        <is>
          <t>NIK</t>
        </is>
      </c>
      <c r="C3" s="65" t="inlineStr">
        <is>
          <t>Nama</t>
        </is>
      </c>
      <c r="D3" s="65" t="inlineStr">
        <is>
          <t>CC</t>
        </is>
      </c>
      <c r="E3" s="65" t="inlineStr">
        <is>
          <t>Dept</t>
        </is>
      </c>
      <c r="F3" s="65" t="inlineStr">
        <is>
          <t>JABATAN</t>
        </is>
      </c>
    </row>
    <row r="4" ht="15.75" customHeight="1" s="169">
      <c r="A4" s="66" t="n">
        <v>1</v>
      </c>
      <c r="B4" s="67" t="n">
        <v>128000003</v>
      </c>
      <c r="C4" s="68" t="inlineStr">
        <is>
          <t>Andre Santosa</t>
        </is>
      </c>
      <c r="D4" s="66" t="n">
        <v>121101</v>
      </c>
      <c r="E4" s="69" t="inlineStr">
        <is>
          <t>Engineering</t>
        </is>
      </c>
      <c r="F4" s="69" t="inlineStr">
        <is>
          <t>Engineering Deputy Manager</t>
        </is>
      </c>
    </row>
    <row r="5" ht="15.75" customHeight="1" s="169">
      <c r="A5" s="70" t="n">
        <v>2</v>
      </c>
      <c r="B5" s="71" t="n">
        <v>128000049</v>
      </c>
      <c r="C5" s="72" t="inlineStr">
        <is>
          <t>Ragil Febriansyah</t>
        </is>
      </c>
      <c r="D5" s="70" t="n">
        <v>331101</v>
      </c>
      <c r="E5" s="73" t="inlineStr">
        <is>
          <t>Engineering</t>
        </is>
      </c>
      <c r="F5" s="74" t="inlineStr">
        <is>
          <t>Staff ITE</t>
        </is>
      </c>
    </row>
    <row r="6" ht="15.75" customHeight="1" s="169">
      <c r="A6" s="70" t="n">
        <v>3</v>
      </c>
      <c r="B6" s="71" t="n">
        <v>128000027</v>
      </c>
      <c r="C6" s="72" t="inlineStr">
        <is>
          <t>Gembong Hagung Harsanto</t>
        </is>
      </c>
      <c r="D6" s="70" t="n">
        <v>121101</v>
      </c>
      <c r="E6" s="73" t="inlineStr">
        <is>
          <t>Engineering</t>
        </is>
      </c>
      <c r="F6" s="74" t="inlineStr">
        <is>
          <t>Engineering Chief Spv 1</t>
        </is>
      </c>
    </row>
    <row r="7" ht="15.75" customHeight="1" s="169">
      <c r="A7" s="70" t="n">
        <v>4</v>
      </c>
      <c r="B7" s="71" t="n">
        <v>128000032</v>
      </c>
      <c r="C7" s="72" t="inlineStr">
        <is>
          <t>Ardi Akbar Rian Saputra</t>
        </is>
      </c>
      <c r="D7" s="70" t="n">
        <v>121101</v>
      </c>
      <c r="E7" s="73" t="inlineStr">
        <is>
          <t>Engineering</t>
        </is>
      </c>
      <c r="F7" s="74" t="inlineStr">
        <is>
          <t>Sr. Staff Machine &amp; Glue Maintenance And Workshop Assembly</t>
        </is>
      </c>
    </row>
    <row r="8" ht="15.75" customHeight="1" s="169">
      <c r="A8" s="70" t="n">
        <v>5</v>
      </c>
      <c r="B8" s="71" t="n">
        <v>128000033</v>
      </c>
      <c r="C8" s="72" t="inlineStr">
        <is>
          <t>Susep Triwibowo</t>
        </is>
      </c>
      <c r="D8" s="70" t="n">
        <v>121101</v>
      </c>
      <c r="E8" s="73" t="inlineStr">
        <is>
          <t>Engineering</t>
        </is>
      </c>
      <c r="F8" s="74" t="inlineStr">
        <is>
          <t>Sr. Staff Machine Maintenance &amp; Utility Shift</t>
        </is>
      </c>
    </row>
    <row r="9" ht="15.75" customHeight="1" s="169">
      <c r="A9" s="70" t="n">
        <v>6</v>
      </c>
      <c r="B9" s="71" t="n">
        <v>128000036</v>
      </c>
      <c r="C9" s="72" t="inlineStr">
        <is>
          <t>Novan Satyawardhana</t>
        </is>
      </c>
      <c r="D9" s="70" t="n">
        <v>121101</v>
      </c>
      <c r="E9" s="73" t="inlineStr">
        <is>
          <t>Engineering</t>
        </is>
      </c>
      <c r="F9" s="74" t="inlineStr">
        <is>
          <t>Sr. Staff Machine Maintenance &amp; Utility Shift</t>
        </is>
      </c>
    </row>
    <row r="10" ht="15.75" customHeight="1" s="169">
      <c r="A10" s="70" t="n">
        <v>7</v>
      </c>
      <c r="B10" s="71" t="n">
        <v>128000057</v>
      </c>
      <c r="C10" s="72" t="inlineStr">
        <is>
          <t>Taufik Hidayatulloh</t>
        </is>
      </c>
      <c r="D10" s="70" t="n">
        <v>121101</v>
      </c>
      <c r="E10" s="73" t="inlineStr">
        <is>
          <t>Engineering</t>
        </is>
      </c>
      <c r="F10" s="74" t="inlineStr">
        <is>
          <t>Staff Utility &amp; Facility Maintenance</t>
        </is>
      </c>
    </row>
    <row r="11" ht="15.75" customHeight="1" s="169">
      <c r="A11" s="70" t="n">
        <v>8</v>
      </c>
      <c r="B11" s="71" t="n">
        <v>128000058</v>
      </c>
      <c r="C11" s="72" t="inlineStr">
        <is>
          <t>Stefanus Suprianto</t>
        </is>
      </c>
      <c r="D11" s="70" t="n">
        <v>121101</v>
      </c>
      <c r="E11" s="73" t="inlineStr">
        <is>
          <t>Engineering</t>
        </is>
      </c>
      <c r="F11" s="75" t="inlineStr">
        <is>
          <t>Staff Maintenance Planner &amp; WSP</t>
        </is>
      </c>
    </row>
    <row r="12" ht="15.75" customHeight="1" s="169">
      <c r="A12" s="70" t="n">
        <v>9</v>
      </c>
      <c r="B12" s="71" t="n">
        <v>128000059</v>
      </c>
      <c r="C12" s="72" t="inlineStr">
        <is>
          <t>Muhamad Maftuh Ihsan</t>
        </is>
      </c>
      <c r="D12" s="70" t="n">
        <v>121101</v>
      </c>
      <c r="E12" s="73" t="inlineStr">
        <is>
          <t>Engineering</t>
        </is>
      </c>
      <c r="F12" s="74" t="inlineStr">
        <is>
          <t>Sr. Staff EHS</t>
        </is>
      </c>
    </row>
    <row r="13" ht="15.75" customHeight="1" s="169">
      <c r="A13" s="70" t="n">
        <v>10</v>
      </c>
      <c r="B13" s="71" t="n">
        <v>128000063</v>
      </c>
      <c r="C13" s="72" t="inlineStr">
        <is>
          <t>Reynaldi Pratama</t>
        </is>
      </c>
      <c r="D13" s="70" t="n">
        <v>121101</v>
      </c>
      <c r="E13" s="73" t="inlineStr">
        <is>
          <t>Engineering</t>
        </is>
      </c>
      <c r="F13" s="74" t="inlineStr">
        <is>
          <t>Sr. Staff Machine Maintenance &amp; Utility Shift</t>
        </is>
      </c>
    </row>
    <row r="14" ht="15.75" customHeight="1" s="169">
      <c r="A14" s="70" t="n">
        <v>11</v>
      </c>
      <c r="B14" s="71" t="n">
        <v>128000064</v>
      </c>
      <c r="C14" s="72" t="inlineStr">
        <is>
          <t>Toni Kurniawan</t>
        </is>
      </c>
      <c r="D14" s="70" t="n">
        <v>121101</v>
      </c>
      <c r="E14" s="73" t="inlineStr">
        <is>
          <t>Engineering</t>
        </is>
      </c>
      <c r="F14" s="74" t="inlineStr">
        <is>
          <t>Staff Machine Maintenance &amp; Utility Shift</t>
        </is>
      </c>
    </row>
    <row r="15" ht="15.75" customHeight="1" s="169">
      <c r="A15" s="70" t="n">
        <v>12</v>
      </c>
      <c r="B15" s="71" t="n">
        <v>128000060</v>
      </c>
      <c r="C15" s="72" t="inlineStr">
        <is>
          <t>Christalia Sarah</t>
        </is>
      </c>
      <c r="D15" s="70" t="n">
        <v>311101</v>
      </c>
      <c r="E15" s="73" t="inlineStr">
        <is>
          <t>Finance &amp; Accounting</t>
        </is>
      </c>
      <c r="F15" s="74" t="inlineStr">
        <is>
          <t>Accounting Officer</t>
        </is>
      </c>
    </row>
    <row r="16" ht="15.75" customHeight="1" s="169">
      <c r="A16" s="70" t="n">
        <v>13</v>
      </c>
      <c r="B16" s="71" t="n">
        <v>128000061</v>
      </c>
      <c r="C16" s="72" t="inlineStr">
        <is>
          <t>Fany</t>
        </is>
      </c>
      <c r="D16" s="70" t="n">
        <v>311101</v>
      </c>
      <c r="E16" s="73" t="inlineStr">
        <is>
          <t>Finance &amp; Accounting</t>
        </is>
      </c>
      <c r="F16" s="74" t="inlineStr">
        <is>
          <t>Sr. Staff Accounting</t>
        </is>
      </c>
    </row>
    <row r="17" ht="15.75" customHeight="1" s="169">
      <c r="A17" s="70" t="n">
        <v>14</v>
      </c>
      <c r="B17" s="71" t="n">
        <v>128000054</v>
      </c>
      <c r="C17" s="72" t="inlineStr">
        <is>
          <t>Nurhaslinda Lubis</t>
        </is>
      </c>
      <c r="D17" s="70" t="n">
        <v>321101</v>
      </c>
      <c r="E17" s="73" t="inlineStr">
        <is>
          <t>HRD &amp; GA</t>
        </is>
      </c>
      <c r="F17" s="74" t="inlineStr">
        <is>
          <t>General Affair Officer</t>
        </is>
      </c>
    </row>
    <row r="18" ht="15.75" customHeight="1" s="169">
      <c r="A18" s="70" t="n">
        <v>15</v>
      </c>
      <c r="B18" s="71" t="n">
        <v>128000020</v>
      </c>
      <c r="C18" s="72" t="inlineStr">
        <is>
          <t>Adeliana Dewi Putri Salihah</t>
        </is>
      </c>
      <c r="D18" s="70" t="n">
        <v>321102</v>
      </c>
      <c r="E18" s="73" t="inlineStr">
        <is>
          <t>HRD &amp; GA</t>
        </is>
      </c>
      <c r="F18" s="74" t="inlineStr">
        <is>
          <t>Sr. Staff Talent Acquisition</t>
        </is>
      </c>
    </row>
    <row r="19" ht="15.75" customHeight="1" s="169">
      <c r="A19" s="70" t="n">
        <v>16</v>
      </c>
      <c r="B19" s="71" t="n">
        <v>128000052</v>
      </c>
      <c r="C19" s="72" t="inlineStr">
        <is>
          <t>Alip Budiono</t>
        </is>
      </c>
      <c r="D19" s="70" t="n">
        <v>321102</v>
      </c>
      <c r="E19" s="73" t="inlineStr">
        <is>
          <t>HRD &amp; GA</t>
        </is>
      </c>
      <c r="F19" s="52" t="inlineStr">
        <is>
          <t>HRD &amp; GA Chief Spv 1</t>
        </is>
      </c>
    </row>
    <row r="20" ht="15.75" customHeight="1" s="169">
      <c r="A20" s="70" t="n">
        <v>17</v>
      </c>
      <c r="B20" s="71" t="n">
        <v>128000056</v>
      </c>
      <c r="C20" s="72" t="inlineStr">
        <is>
          <t>Syahrul Naufal Kurnia</t>
        </is>
      </c>
      <c r="D20" s="70" t="n">
        <v>321102</v>
      </c>
      <c r="E20" s="73" t="inlineStr">
        <is>
          <t>HRD &amp; GA</t>
        </is>
      </c>
      <c r="F20" s="74" t="inlineStr">
        <is>
          <t>Training &amp; Development Officer</t>
        </is>
      </c>
    </row>
    <row r="21" ht="15.75" customHeight="1" s="169">
      <c r="A21" s="70" t="n">
        <v>18</v>
      </c>
      <c r="B21" s="71" t="n">
        <v>128000062</v>
      </c>
      <c r="C21" s="72" t="inlineStr">
        <is>
          <t>Wina Savana Almuharima</t>
        </is>
      </c>
      <c r="D21" s="70" t="n">
        <v>321102</v>
      </c>
      <c r="E21" s="73" t="inlineStr">
        <is>
          <t>HRD &amp; GA</t>
        </is>
      </c>
      <c r="F21" s="74" t="inlineStr">
        <is>
          <t>Sr. Staff Payroll &amp; Time Management</t>
        </is>
      </c>
    </row>
    <row r="22" ht="15.75" customHeight="1" s="169">
      <c r="A22" s="70" t="n">
        <v>19</v>
      </c>
      <c r="B22" s="71" t="n">
        <v>128000067</v>
      </c>
      <c r="C22" s="72" t="inlineStr">
        <is>
          <t>Adi Iswanto</t>
        </is>
      </c>
      <c r="D22" s="70" t="n">
        <v>121113</v>
      </c>
      <c r="E22" s="73" t="inlineStr">
        <is>
          <t>Manufacture Excellence</t>
        </is>
      </c>
      <c r="F22" s="74" t="inlineStr">
        <is>
          <t>Staff Manufacturing Excellence</t>
        </is>
      </c>
    </row>
    <row r="23" ht="15.75" customHeight="1" s="169">
      <c r="A23" s="70" t="n">
        <v>20</v>
      </c>
      <c r="B23" s="71" t="n">
        <v>128000053</v>
      </c>
      <c r="C23" s="72" t="inlineStr">
        <is>
          <t>Sisca Dewi Septiani</t>
        </is>
      </c>
      <c r="D23" s="70" t="n">
        <v>121107</v>
      </c>
      <c r="E23" s="73" t="inlineStr">
        <is>
          <t>PPIC</t>
        </is>
      </c>
      <c r="F23" s="74" t="inlineStr">
        <is>
          <t>PPIC Officer</t>
        </is>
      </c>
    </row>
    <row r="24" ht="15.75" customHeight="1" s="169">
      <c r="A24" s="70" t="n">
        <v>21</v>
      </c>
      <c r="B24" s="71" t="n">
        <v>128000028</v>
      </c>
      <c r="C24" s="72" t="inlineStr">
        <is>
          <t>Lea Cresty Naftaly</t>
        </is>
      </c>
      <c r="D24" s="70" t="n">
        <v>121108</v>
      </c>
      <c r="E24" s="73" t="inlineStr">
        <is>
          <t>Purchasing</t>
        </is>
      </c>
      <c r="F24" s="74" t="inlineStr">
        <is>
          <t>Purchasing Officer</t>
        </is>
      </c>
    </row>
    <row r="25" ht="15.75" customHeight="1" s="169">
      <c r="A25" s="70" t="n">
        <v>22</v>
      </c>
      <c r="B25" s="71" t="n">
        <v>128000017</v>
      </c>
      <c r="C25" s="72" t="inlineStr">
        <is>
          <t>Sandi Iswanto</t>
        </is>
      </c>
      <c r="D25" s="70" t="n">
        <v>121106</v>
      </c>
      <c r="E25" s="73" t="inlineStr">
        <is>
          <t>Quality and Research &amp; Development</t>
        </is>
      </c>
      <c r="F25" s="74" t="inlineStr">
        <is>
          <t>Staff Quality Control Production</t>
        </is>
      </c>
    </row>
    <row r="26" ht="15.75" customHeight="1" s="169">
      <c r="A26" s="70" t="n">
        <v>23</v>
      </c>
      <c r="B26" s="71" t="n">
        <v>128000019</v>
      </c>
      <c r="C26" s="72" t="inlineStr">
        <is>
          <t>Yeni Ferianto</t>
        </is>
      </c>
      <c r="D26" s="70" t="n">
        <v>121106</v>
      </c>
      <c r="E26" s="73" t="inlineStr">
        <is>
          <t>Quality and Research &amp; Development</t>
        </is>
      </c>
      <c r="F26" s="74" t="inlineStr">
        <is>
          <t>Staff Quality Control Production</t>
        </is>
      </c>
    </row>
    <row r="27" ht="15.75" customHeight="1" s="169">
      <c r="A27" s="70" t="n">
        <v>24</v>
      </c>
      <c r="B27" s="71" t="n">
        <v>128000034</v>
      </c>
      <c r="C27" s="72" t="inlineStr">
        <is>
          <t>Antonius Cahyo Novianto</t>
        </is>
      </c>
      <c r="D27" s="70" t="n">
        <v>121106</v>
      </c>
      <c r="E27" s="73" t="inlineStr">
        <is>
          <t>Quality and Research &amp; Development</t>
        </is>
      </c>
      <c r="F27" s="74" t="inlineStr">
        <is>
          <t>Sr. Staff Quality Incoming &amp; Lab</t>
        </is>
      </c>
    </row>
    <row r="28" ht="15.75" customHeight="1" s="169">
      <c r="A28" s="70" t="n">
        <v>25</v>
      </c>
      <c r="B28" s="71" t="n">
        <v>128000037</v>
      </c>
      <c r="C28" s="72" t="inlineStr">
        <is>
          <t>Isma Lestari</t>
        </is>
      </c>
      <c r="D28" s="70" t="n">
        <v>121106</v>
      </c>
      <c r="E28" s="73" t="inlineStr">
        <is>
          <t>Quality and Research &amp; Development</t>
        </is>
      </c>
      <c r="F28" s="74" t="inlineStr">
        <is>
          <t>Staff Quality Control Production</t>
        </is>
      </c>
    </row>
    <row r="29" ht="15.75" customHeight="1" s="169">
      <c r="A29" s="70" t="n">
        <v>26</v>
      </c>
      <c r="B29" s="71" t="n">
        <v>128000043</v>
      </c>
      <c r="C29" s="72" t="inlineStr">
        <is>
          <t>Muhammad Rival Firdaus</t>
        </is>
      </c>
      <c r="D29" s="70" t="n">
        <v>121106</v>
      </c>
      <c r="E29" s="73" t="inlineStr">
        <is>
          <t>Quality and Research &amp; Development</t>
        </is>
      </c>
      <c r="F29" s="74" t="inlineStr">
        <is>
          <t>Staff Quality Control Production</t>
        </is>
      </c>
    </row>
    <row r="30" ht="15.75" customHeight="1" s="169">
      <c r="A30" s="70" t="n">
        <v>27</v>
      </c>
      <c r="B30" s="71" t="n">
        <v>128000066</v>
      </c>
      <c r="C30" s="72" t="inlineStr">
        <is>
          <t>Meirin Catherina</t>
        </is>
      </c>
      <c r="D30" s="70" t="n">
        <v>121106</v>
      </c>
      <c r="E30" s="73" t="inlineStr">
        <is>
          <t>Quality and Research &amp; Development</t>
        </is>
      </c>
      <c r="F30" s="74" t="inlineStr">
        <is>
          <t>QC &amp; RnD Chief Spv 1</t>
        </is>
      </c>
    </row>
    <row r="31" ht="15.75" customHeight="1" s="169">
      <c r="A31" s="70" t="n">
        <v>28</v>
      </c>
      <c r="B31" s="71" t="n">
        <v>128000072</v>
      </c>
      <c r="C31" s="72" t="inlineStr">
        <is>
          <t>Annisa Fadhila</t>
        </is>
      </c>
      <c r="D31" s="70" t="n">
        <v>121106</v>
      </c>
      <c r="E31" s="73" t="inlineStr">
        <is>
          <t>Quality and Research &amp; Development</t>
        </is>
      </c>
      <c r="F31" s="74" t="inlineStr">
        <is>
          <t>Staff Product Development</t>
        </is>
      </c>
    </row>
    <row r="32" ht="15.75" customHeight="1" s="169">
      <c r="A32" s="70" t="n">
        <v>29</v>
      </c>
      <c r="B32" s="71" t="n">
        <v>128000023</v>
      </c>
      <c r="C32" s="72" t="inlineStr">
        <is>
          <t>Iman Muaimin</t>
        </is>
      </c>
      <c r="D32" s="70" t="n">
        <v>211102</v>
      </c>
      <c r="E32" s="73" t="inlineStr">
        <is>
          <t>Logistic</t>
        </is>
      </c>
      <c r="F32" s="74" t="inlineStr">
        <is>
          <t>Sr. Staff Warehouse Raw Material</t>
        </is>
      </c>
    </row>
    <row r="33" ht="15.75" customHeight="1" s="169">
      <c r="A33" s="70" t="n">
        <v>30</v>
      </c>
      <c r="B33" s="71" t="n">
        <v>128000024</v>
      </c>
      <c r="C33" s="72" t="inlineStr">
        <is>
          <t>Taufik Faturochman</t>
        </is>
      </c>
      <c r="D33" s="70" t="n">
        <v>211102</v>
      </c>
      <c r="E33" s="73" t="inlineStr">
        <is>
          <t>Logistic</t>
        </is>
      </c>
      <c r="F33" s="74" t="inlineStr">
        <is>
          <t>Warehouse Supervisor</t>
        </is>
      </c>
    </row>
    <row r="34" ht="15.75" customHeight="1" s="169">
      <c r="A34" s="70" t="n">
        <v>31</v>
      </c>
      <c r="B34" s="71" t="n">
        <v>128000025</v>
      </c>
      <c r="C34" s="72" t="inlineStr">
        <is>
          <t>Andri Wibowo</t>
        </is>
      </c>
      <c r="D34" s="70" t="n">
        <v>211102</v>
      </c>
      <c r="E34" s="73" t="inlineStr">
        <is>
          <t>Logistic</t>
        </is>
      </c>
      <c r="F34" s="52" t="inlineStr">
        <is>
          <t>Logistic Chief Spv 2</t>
        </is>
      </c>
    </row>
    <row r="35" ht="15.75" customHeight="1" s="169">
      <c r="A35" s="70" t="n">
        <v>32</v>
      </c>
      <c r="B35" s="71" t="n">
        <v>128000035</v>
      </c>
      <c r="C35" s="72" t="inlineStr">
        <is>
          <t>Sarino Suprianto</t>
        </is>
      </c>
      <c r="D35" s="70" t="n">
        <v>211102</v>
      </c>
      <c r="E35" s="73" t="inlineStr">
        <is>
          <t>Logistic</t>
        </is>
      </c>
      <c r="F35" s="74" t="inlineStr">
        <is>
          <t>Sr. Staff Ekspedisi &amp; Timbangan</t>
        </is>
      </c>
    </row>
    <row r="36" ht="15.75" customHeight="1" s="169">
      <c r="A36" s="70" t="n">
        <v>33</v>
      </c>
      <c r="B36" s="71" t="n">
        <v>128000065</v>
      </c>
      <c r="C36" s="72" t="inlineStr">
        <is>
          <t>Syaiful Malik</t>
        </is>
      </c>
      <c r="D36" s="70" t="n">
        <v>211102</v>
      </c>
      <c r="E36" s="73" t="inlineStr">
        <is>
          <t>Logistic</t>
        </is>
      </c>
      <c r="F36" s="74" t="inlineStr">
        <is>
          <t>Staff Warehouse Finished Good</t>
        </is>
      </c>
    </row>
    <row r="37" ht="15.75" customHeight="1" s="169">
      <c r="A37" s="70" t="n">
        <v>34</v>
      </c>
      <c r="B37" s="71" t="n">
        <v>128000068</v>
      </c>
      <c r="C37" s="72" t="inlineStr">
        <is>
          <t>Irnando Arkadiantika</t>
        </is>
      </c>
      <c r="D37" s="70" t="n">
        <v>211102</v>
      </c>
      <c r="E37" s="73" t="inlineStr">
        <is>
          <t>Logistic</t>
        </is>
      </c>
      <c r="F37" s="74" t="inlineStr">
        <is>
          <t>Staff Warehouse Finished Good</t>
        </is>
      </c>
    </row>
    <row r="38" ht="15.75" customHeight="1" s="169">
      <c r="A38" s="70" t="n">
        <v>35</v>
      </c>
      <c r="B38" s="71" t="n">
        <v>128000069</v>
      </c>
      <c r="C38" s="72" t="inlineStr">
        <is>
          <t>Khoerul Warisin</t>
        </is>
      </c>
      <c r="D38" s="70" t="n">
        <v>211102</v>
      </c>
      <c r="E38" s="73" t="inlineStr">
        <is>
          <t>Logistic</t>
        </is>
      </c>
      <c r="F38" s="74" t="inlineStr">
        <is>
          <t>Staff Warehouse Finished Good</t>
        </is>
      </c>
    </row>
    <row r="39" ht="15.75" customHeight="1" s="169">
      <c r="A39" s="70" t="n">
        <v>36</v>
      </c>
      <c r="B39" s="71" t="n">
        <v>128000073</v>
      </c>
      <c r="C39" s="72" t="inlineStr">
        <is>
          <t>Rahandi Ardiansyah</t>
        </is>
      </c>
      <c r="D39" s="70" t="n">
        <v>211102</v>
      </c>
      <c r="E39" s="73" t="inlineStr">
        <is>
          <t>Logistic</t>
        </is>
      </c>
      <c r="F39" s="74" t="inlineStr">
        <is>
          <t>Staff Warehouse Finished Good</t>
        </is>
      </c>
    </row>
    <row r="40" ht="15.75" customHeight="1" s="169">
      <c r="A40" s="70" t="n">
        <v>37</v>
      </c>
      <c r="B40" s="71" t="n">
        <v>128000013</v>
      </c>
      <c r="C40" s="72" t="inlineStr">
        <is>
          <t>Aminulloh</t>
        </is>
      </c>
      <c r="D40" s="70" t="n">
        <v>121104</v>
      </c>
      <c r="E40" s="73" t="inlineStr">
        <is>
          <t>Logistic</t>
        </is>
      </c>
      <c r="F40" s="74" t="inlineStr">
        <is>
          <t>Staff Warehouse Sparepart</t>
        </is>
      </c>
    </row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U111"/>
  <sheetViews>
    <sheetView workbookViewId="0">
      <selection activeCell="A1" sqref="A1"/>
    </sheetView>
  </sheetViews>
  <sheetFormatPr baseColWidth="8" defaultColWidth="12.63" defaultRowHeight="15" customHeight="1"/>
  <cols>
    <col width="5.75" customWidth="1" style="169" min="1" max="1"/>
    <col width="17" customWidth="1" style="169" min="2" max="2"/>
    <col width="22.75" customWidth="1" style="169" min="3" max="3"/>
    <col width="9.630000000000001" customWidth="1" style="169" min="4" max="4"/>
    <col width="15.13" customWidth="1" style="169" min="5" max="5"/>
    <col width="14.5" customWidth="1" style="169" min="6" max="6"/>
    <col width="11.13" customWidth="1" style="169" min="7" max="8"/>
    <col width="14" customWidth="1" style="169" min="9" max="9"/>
    <col width="11.13" customWidth="1" style="169" min="10" max="10"/>
    <col width="7" customWidth="1" style="169" min="12" max="12"/>
    <col width="21.75" customWidth="1" style="169" min="14" max="14"/>
    <col width="15.13" customWidth="1" style="169" min="16" max="16"/>
    <col width="14.13" customWidth="1" style="169" min="18" max="20"/>
  </cols>
  <sheetData>
    <row r="1" ht="15.75" customHeight="1" s="169">
      <c r="A1" s="76" t="n"/>
      <c r="B1" s="76" t="inlineStr">
        <is>
          <t>NON STAFF MESIN 1</t>
        </is>
      </c>
      <c r="L1" s="76" t="n"/>
      <c r="M1" s="76" t="inlineStr">
        <is>
          <t>STAFF MESIN 1</t>
        </is>
      </c>
    </row>
    <row r="2" ht="15.75" customHeight="1" s="169">
      <c r="A2" s="77" t="inlineStr">
        <is>
          <t>No</t>
        </is>
      </c>
      <c r="B2" s="77" t="inlineStr">
        <is>
          <t>NIK</t>
        </is>
      </c>
      <c r="C2" s="77" t="inlineStr">
        <is>
          <t>Nama</t>
        </is>
      </c>
      <c r="D2" s="77" t="inlineStr">
        <is>
          <t>Departmen</t>
        </is>
      </c>
      <c r="E2" s="77" t="inlineStr">
        <is>
          <t>Section</t>
        </is>
      </c>
      <c r="F2" s="77" t="inlineStr">
        <is>
          <t>Jabatan</t>
        </is>
      </c>
      <c r="G2" s="77" t="inlineStr">
        <is>
          <t>Jenis Kelamin</t>
        </is>
      </c>
      <c r="H2" s="77" t="inlineStr">
        <is>
          <t>Pendidikan</t>
        </is>
      </c>
      <c r="I2" s="77" t="inlineStr">
        <is>
          <t>BPJS KES</t>
        </is>
      </c>
      <c r="J2" s="77" t="inlineStr">
        <is>
          <t>BPJS TK</t>
        </is>
      </c>
      <c r="L2" s="77" t="inlineStr">
        <is>
          <t>No</t>
        </is>
      </c>
      <c r="M2" s="77" t="inlineStr">
        <is>
          <t>NIK</t>
        </is>
      </c>
      <c r="N2" s="77" t="inlineStr">
        <is>
          <t>Nama</t>
        </is>
      </c>
      <c r="O2" s="77" t="inlineStr">
        <is>
          <t>Departmen</t>
        </is>
      </c>
      <c r="P2" s="77" t="inlineStr">
        <is>
          <t>Section</t>
        </is>
      </c>
      <c r="Q2" s="77" t="inlineStr">
        <is>
          <t>Jabatan</t>
        </is>
      </c>
      <c r="R2" s="77" t="inlineStr">
        <is>
          <t>Jenis Kelamin</t>
        </is>
      </c>
      <c r="S2" s="77" t="inlineStr">
        <is>
          <t>Pendidikan</t>
        </is>
      </c>
      <c r="T2" s="77" t="inlineStr">
        <is>
          <t>BPJS KES</t>
        </is>
      </c>
      <c r="U2" s="77" t="inlineStr">
        <is>
          <t>BPJS TK</t>
        </is>
      </c>
    </row>
    <row r="3" ht="15.75" customHeight="1" s="169">
      <c r="A3" s="61" t="n">
        <v>1</v>
      </c>
      <c r="B3" s="61" t="n">
        <v>328000019</v>
      </c>
      <c r="C3" s="78" t="inlineStr">
        <is>
          <t>Dadang Saputra</t>
        </is>
      </c>
      <c r="D3" s="73" t="inlineStr">
        <is>
          <t>Production</t>
        </is>
      </c>
      <c r="E3" s="73" t="inlineStr">
        <is>
          <t>Production Diapers</t>
        </is>
      </c>
      <c r="F3" s="73" t="inlineStr">
        <is>
          <t>Operator Produksi</t>
        </is>
      </c>
      <c r="G3" s="61">
        <f>VLOOKUP(B3,Sheet5!B:K,10,0)</f>
        <v/>
      </c>
      <c r="H3" s="61">
        <f>VLOOKUP(B3,Sheet5!B:AA,26,0)</f>
        <v/>
      </c>
      <c r="I3" s="73" t="inlineStr">
        <is>
          <t>0000481312416</t>
        </is>
      </c>
      <c r="J3" s="79" t="n">
        <v>23145801447</v>
      </c>
      <c r="K3" s="80" t="n">
        <v>16</v>
      </c>
      <c r="L3" s="81" t="n">
        <v>1</v>
      </c>
      <c r="M3" s="82" t="n">
        <v>128000088</v>
      </c>
      <c r="N3" s="83" t="inlineStr">
        <is>
          <t>Tyas Muhammad Hafizh</t>
        </is>
      </c>
      <c r="O3" s="73" t="inlineStr">
        <is>
          <t>Production</t>
        </is>
      </c>
      <c r="P3" s="73" t="inlineStr">
        <is>
          <t>Production Diapers</t>
        </is>
      </c>
      <c r="Q3" s="28" t="inlineStr">
        <is>
          <t>Line Leader</t>
        </is>
      </c>
      <c r="R3" s="81" t="inlineStr">
        <is>
          <t>L</t>
        </is>
      </c>
      <c r="S3" s="81" t="inlineStr">
        <is>
          <t>S1</t>
        </is>
      </c>
      <c r="T3" s="84" t="inlineStr">
        <is>
          <t>0001620928236</t>
        </is>
      </c>
      <c r="U3" s="85" t="n"/>
    </row>
    <row r="4" ht="15.75" customHeight="1" s="169">
      <c r="A4" s="61" t="n">
        <v>2</v>
      </c>
      <c r="B4" s="61" t="n">
        <v>328000020</v>
      </c>
      <c r="C4" s="78" t="inlineStr">
        <is>
          <t>Agus Gunawan</t>
        </is>
      </c>
      <c r="D4" s="73" t="inlineStr">
        <is>
          <t>Production</t>
        </is>
      </c>
      <c r="E4" s="73" t="inlineStr">
        <is>
          <t>Production Diapers</t>
        </is>
      </c>
      <c r="F4" s="73" t="inlineStr">
        <is>
          <t>Operator Produksi</t>
        </is>
      </c>
      <c r="G4" s="61">
        <f>VLOOKUP(B4,Sheet5!B:K,10,0)</f>
        <v/>
      </c>
      <c r="H4" s="61">
        <f>VLOOKUP(B4,Sheet5!B:AA,26,0)</f>
        <v/>
      </c>
      <c r="I4" s="73" t="inlineStr">
        <is>
          <t>0000481572088</t>
        </is>
      </c>
      <c r="J4" s="79" t="n">
        <v>23145801504</v>
      </c>
      <c r="L4" s="81" t="n">
        <v>2</v>
      </c>
      <c r="M4" s="82" t="n">
        <v>128000090</v>
      </c>
      <c r="N4" s="83" t="inlineStr">
        <is>
          <t>Ryandra Diotama Subagja</t>
        </is>
      </c>
      <c r="O4" s="73" t="inlineStr">
        <is>
          <t>Production</t>
        </is>
      </c>
      <c r="P4" s="73" t="inlineStr">
        <is>
          <t>Production Diapers</t>
        </is>
      </c>
      <c r="Q4" s="28" t="inlineStr">
        <is>
          <t>Line Leader</t>
        </is>
      </c>
      <c r="R4" s="81" t="inlineStr">
        <is>
          <t>L</t>
        </is>
      </c>
      <c r="S4" s="81" t="inlineStr">
        <is>
          <t>D4</t>
        </is>
      </c>
      <c r="T4" s="84" t="inlineStr">
        <is>
          <t>0001538830034</t>
        </is>
      </c>
      <c r="U4" s="85" t="n"/>
    </row>
    <row r="5" ht="15.75" customHeight="1" s="169">
      <c r="A5" s="61" t="n">
        <v>3</v>
      </c>
      <c r="B5" s="61" t="n">
        <v>328000022</v>
      </c>
      <c r="C5" s="78" t="inlineStr">
        <is>
          <t>Azhar Aizad Alfaridzi</t>
        </is>
      </c>
      <c r="D5" s="73" t="inlineStr">
        <is>
          <t>Production</t>
        </is>
      </c>
      <c r="E5" s="73" t="inlineStr">
        <is>
          <t>Production Diapers</t>
        </is>
      </c>
      <c r="F5" s="73" t="inlineStr">
        <is>
          <t>Operator Produksi</t>
        </is>
      </c>
      <c r="G5" s="61">
        <f>VLOOKUP(B5,Sheet5!B:K,10,0)</f>
        <v/>
      </c>
      <c r="H5" s="61">
        <f>VLOOKUP(B5,Sheet5!B:AA,26,0)</f>
        <v/>
      </c>
      <c r="I5" s="73" t="inlineStr">
        <is>
          <t>0001633523084</t>
        </is>
      </c>
      <c r="J5" s="79" t="n">
        <v>23145801652</v>
      </c>
      <c r="L5" s="81" t="n">
        <v>3</v>
      </c>
      <c r="M5" s="82" t="n">
        <v>128000091</v>
      </c>
      <c r="N5" s="83" t="inlineStr">
        <is>
          <t>Dava Raihan Pranoto</t>
        </is>
      </c>
      <c r="O5" s="73" t="inlineStr">
        <is>
          <t>Production</t>
        </is>
      </c>
      <c r="P5" s="73" t="inlineStr">
        <is>
          <t>Production Diapers</t>
        </is>
      </c>
      <c r="Q5" s="28" t="inlineStr">
        <is>
          <t>Line Leader</t>
        </is>
      </c>
      <c r="R5" s="81" t="inlineStr">
        <is>
          <t>L</t>
        </is>
      </c>
      <c r="S5" s="81" t="inlineStr">
        <is>
          <t>D3</t>
        </is>
      </c>
      <c r="T5" s="84" t="inlineStr">
        <is>
          <t>0002263293213</t>
        </is>
      </c>
      <c r="U5" s="85" t="n"/>
    </row>
    <row r="6" ht="15.75" customHeight="1" s="169">
      <c r="A6" s="61" t="n">
        <v>4</v>
      </c>
      <c r="B6" s="61" t="n">
        <v>328000023</v>
      </c>
      <c r="C6" s="78" t="inlineStr">
        <is>
          <t>Kepin Nugraha</t>
        </is>
      </c>
      <c r="D6" s="73" t="inlineStr">
        <is>
          <t>Production</t>
        </is>
      </c>
      <c r="E6" s="73" t="inlineStr">
        <is>
          <t>Production Diapers</t>
        </is>
      </c>
      <c r="F6" s="73" t="inlineStr">
        <is>
          <t>Operator Produksi</t>
        </is>
      </c>
      <c r="G6" s="61">
        <f>VLOOKUP(B6,Sheet5!B:K,10,0)</f>
        <v/>
      </c>
      <c r="H6" s="61">
        <f>VLOOKUP(B6,Sheet5!B:AA,26,0)</f>
        <v/>
      </c>
      <c r="I6" s="73" t="inlineStr">
        <is>
          <t>0002394923444</t>
        </is>
      </c>
      <c r="J6" s="79" t="n">
        <v>23145801710</v>
      </c>
    </row>
    <row r="7" ht="15.75" customHeight="1" s="169">
      <c r="A7" s="61" t="n">
        <v>5</v>
      </c>
      <c r="B7" s="61" t="n">
        <v>328000027</v>
      </c>
      <c r="C7" s="78" t="inlineStr">
        <is>
          <t>Gigin Ginanjar</t>
        </is>
      </c>
      <c r="D7" s="73" t="inlineStr">
        <is>
          <t>Production</t>
        </is>
      </c>
      <c r="E7" s="73" t="inlineStr">
        <is>
          <t>Production Diapers</t>
        </is>
      </c>
      <c r="F7" s="73" t="inlineStr">
        <is>
          <t>Operator Produksi</t>
        </is>
      </c>
      <c r="G7" s="61">
        <f>VLOOKUP(B7,Sheet5!B:K,10,0)</f>
        <v/>
      </c>
      <c r="H7" s="61">
        <f>VLOOKUP(B7,Sheet5!B:AA,26,0)</f>
        <v/>
      </c>
      <c r="I7" s="73" t="inlineStr">
        <is>
          <t>0002441918799</t>
        </is>
      </c>
      <c r="J7" s="79" t="n">
        <v>23145801520</v>
      </c>
    </row>
    <row r="8" ht="15.75" customHeight="1" s="169">
      <c r="A8" s="61" t="n">
        <v>6</v>
      </c>
      <c r="B8" s="61" t="n">
        <v>328000028</v>
      </c>
      <c r="C8" s="78" t="inlineStr">
        <is>
          <t>Tisna Ginanjar</t>
        </is>
      </c>
      <c r="D8" s="73" t="inlineStr">
        <is>
          <t>Production</t>
        </is>
      </c>
      <c r="E8" s="73" t="inlineStr">
        <is>
          <t>Production Diapers</t>
        </is>
      </c>
      <c r="F8" s="73" t="inlineStr">
        <is>
          <t>Operator Produksi</t>
        </is>
      </c>
      <c r="G8" s="61">
        <f>VLOOKUP(B8,Sheet5!B:K,10,0)</f>
        <v/>
      </c>
      <c r="H8" s="61">
        <f>VLOOKUP(B8,Sheet5!B:AA,26,0)</f>
        <v/>
      </c>
      <c r="I8" s="73" t="inlineStr">
        <is>
          <t>0001182631015</t>
        </is>
      </c>
      <c r="J8" s="79" t="n">
        <v>23145801678</v>
      </c>
    </row>
    <row r="9" ht="15.75" customHeight="1" s="169">
      <c r="A9" s="61" t="n">
        <v>7</v>
      </c>
      <c r="B9" s="61" t="n">
        <v>328000036</v>
      </c>
      <c r="C9" s="78" t="inlineStr">
        <is>
          <t>Fesal Fauzan</t>
        </is>
      </c>
      <c r="D9" s="73" t="inlineStr">
        <is>
          <t>Production</t>
        </is>
      </c>
      <c r="E9" s="73" t="inlineStr">
        <is>
          <t>Production Diapers</t>
        </is>
      </c>
      <c r="F9" s="73" t="inlineStr">
        <is>
          <t>Operator Produksi</t>
        </is>
      </c>
      <c r="G9" s="61">
        <f>VLOOKUP(B9,Sheet5!B:K,10,0)</f>
        <v/>
      </c>
      <c r="H9" s="61">
        <f>VLOOKUP(B9,Sheet5!B:AA,26,0)</f>
        <v/>
      </c>
      <c r="I9" s="73" t="inlineStr">
        <is>
          <t>0001523374593</t>
        </is>
      </c>
      <c r="J9" s="79" t="n">
        <v>23145801561</v>
      </c>
    </row>
    <row r="10" ht="15.75" customHeight="1" s="169">
      <c r="A10" s="61" t="n">
        <v>8</v>
      </c>
      <c r="B10" s="61" t="n">
        <v>328000037</v>
      </c>
      <c r="C10" s="78" t="inlineStr">
        <is>
          <t>Kurniadi</t>
        </is>
      </c>
      <c r="D10" s="73" t="inlineStr">
        <is>
          <t>Production</t>
        </is>
      </c>
      <c r="E10" s="73" t="inlineStr">
        <is>
          <t>Production Diapers</t>
        </is>
      </c>
      <c r="F10" s="73" t="inlineStr">
        <is>
          <t>Operator Produksi</t>
        </is>
      </c>
      <c r="G10" s="61">
        <f>VLOOKUP(B10,Sheet5!B:K,10,0)</f>
        <v/>
      </c>
      <c r="H10" s="61">
        <f>VLOOKUP(B10,Sheet5!B:AA,26,0)</f>
        <v/>
      </c>
      <c r="I10" s="73" t="inlineStr">
        <is>
          <t>0002177064821</t>
        </is>
      </c>
      <c r="J10" s="79" t="n">
        <v>23145801439</v>
      </c>
    </row>
    <row r="11" ht="15.75" customHeight="1" s="169">
      <c r="A11" s="61" t="n">
        <v>9</v>
      </c>
      <c r="B11" s="61" t="n">
        <v>328000063</v>
      </c>
      <c r="C11" s="78" t="inlineStr">
        <is>
          <t>Rizki Agung</t>
        </is>
      </c>
      <c r="D11" s="73" t="inlineStr">
        <is>
          <t>Production</t>
        </is>
      </c>
      <c r="E11" s="73" t="inlineStr">
        <is>
          <t>Production Diapers</t>
        </is>
      </c>
      <c r="F11" s="73" t="inlineStr">
        <is>
          <t>Operator Produksi</t>
        </is>
      </c>
      <c r="G11" s="61">
        <f>VLOOKUP(B11,Sheet5!B:K,10,0)</f>
        <v/>
      </c>
      <c r="H11" s="61">
        <f>VLOOKUP(B11,Sheet5!B:AA,26,0)</f>
        <v/>
      </c>
      <c r="I11" s="73" t="inlineStr">
        <is>
          <t>0001185075988</t>
        </is>
      </c>
      <c r="J11" s="79" t="n">
        <v>23165961121</v>
      </c>
    </row>
    <row r="12" ht="15.75" customHeight="1" s="169">
      <c r="A12" s="61" t="n">
        <v>10</v>
      </c>
      <c r="B12" s="61" t="n">
        <v>328000083</v>
      </c>
      <c r="C12" s="78" t="inlineStr">
        <is>
          <t>Aldi Sutrisna</t>
        </is>
      </c>
      <c r="D12" s="73" t="inlineStr">
        <is>
          <t>Production</t>
        </is>
      </c>
      <c r="E12" s="73" t="inlineStr">
        <is>
          <t>Production Diapers</t>
        </is>
      </c>
      <c r="F12" s="73" t="inlineStr">
        <is>
          <t>Operator Produksi</t>
        </is>
      </c>
      <c r="G12" s="61">
        <f>VLOOKUP(B12,Sheet5!B:K,10,0)</f>
        <v/>
      </c>
      <c r="H12" s="61">
        <f>VLOOKUP(B12,Sheet5!B:AA,26,0)</f>
        <v/>
      </c>
      <c r="I12" s="73" t="inlineStr">
        <is>
          <t>0001882085027</t>
        </is>
      </c>
      <c r="J12" s="79" t="n">
        <v>23165960776</v>
      </c>
    </row>
    <row r="13" ht="15.75" customHeight="1" s="169">
      <c r="A13" s="61" t="n">
        <v>11</v>
      </c>
      <c r="B13" s="61" t="n">
        <v>328000134</v>
      </c>
      <c r="C13" s="78" t="inlineStr">
        <is>
          <t>Asep Septiana</t>
        </is>
      </c>
      <c r="D13" s="73" t="inlineStr">
        <is>
          <t>Production</t>
        </is>
      </c>
      <c r="E13" s="73" t="inlineStr">
        <is>
          <t>Production Diapers</t>
        </is>
      </c>
      <c r="F13" s="73" t="inlineStr">
        <is>
          <t>Operator Produksi</t>
        </is>
      </c>
      <c r="G13" s="61">
        <f>VLOOKUP(B13,Sheet5!B:K,10,0)</f>
        <v/>
      </c>
      <c r="H13" s="61">
        <f>VLOOKUP(B13,Sheet5!B:AA,26,0)</f>
        <v/>
      </c>
      <c r="I13" s="73" t="inlineStr">
        <is>
          <t>0001181591021</t>
        </is>
      </c>
      <c r="J13" s="79" t="n">
        <v>23191184151</v>
      </c>
    </row>
    <row r="14" ht="15.75" customHeight="1" s="169">
      <c r="A14" s="61" t="n">
        <v>12</v>
      </c>
      <c r="B14" s="61" t="n">
        <v>328000137</v>
      </c>
      <c r="C14" s="78" t="inlineStr">
        <is>
          <t>Muhammad Aldy Ramadhan</t>
        </is>
      </c>
      <c r="D14" s="73" t="inlineStr">
        <is>
          <t>Production</t>
        </is>
      </c>
      <c r="E14" s="73" t="inlineStr">
        <is>
          <t>Production Diapers</t>
        </is>
      </c>
      <c r="F14" s="73" t="inlineStr">
        <is>
          <t>Operator Produksi</t>
        </is>
      </c>
      <c r="G14" s="61">
        <f>VLOOKUP(B14,Sheet5!B:K,10,0)</f>
        <v/>
      </c>
      <c r="H14" s="61">
        <f>VLOOKUP(B14,Sheet5!B:AA,26,0)</f>
        <v/>
      </c>
      <c r="I14" s="73" t="inlineStr">
        <is>
          <t>0001821988473</t>
        </is>
      </c>
      <c r="J14" s="79" t="n">
        <v>23191184276</v>
      </c>
    </row>
    <row r="15" ht="15.75" customHeight="1" s="169">
      <c r="A15" s="61" t="n">
        <v>13</v>
      </c>
      <c r="B15" s="61" t="n">
        <v>328000178</v>
      </c>
      <c r="C15" s="78" t="inlineStr">
        <is>
          <t>Bambang Artian Herlambang</t>
        </is>
      </c>
      <c r="D15" s="73" t="inlineStr">
        <is>
          <t>Production</t>
        </is>
      </c>
      <c r="E15" s="73" t="inlineStr">
        <is>
          <t>Production Diapers</t>
        </is>
      </c>
      <c r="F15" s="73" t="inlineStr">
        <is>
          <t>Operator Produksi</t>
        </is>
      </c>
      <c r="G15" s="61">
        <f>VLOOKUP(B15,Sheet5!B:K,10,0)</f>
        <v/>
      </c>
      <c r="H15" s="61">
        <f>VLOOKUP(B15,Sheet5!B:AA,26,0)</f>
        <v/>
      </c>
      <c r="I15" s="73" t="inlineStr">
        <is>
          <t>0000480941021</t>
        </is>
      </c>
      <c r="J15" s="79" t="n">
        <v>24003656063</v>
      </c>
    </row>
    <row r="16" ht="15.75" customHeight="1" s="169">
      <c r="A16" s="61" t="n">
        <v>14</v>
      </c>
      <c r="B16" s="61" t="n">
        <v>328000260</v>
      </c>
      <c r="C16" s="78" t="inlineStr">
        <is>
          <t>Ali Ramdhan</t>
        </is>
      </c>
      <c r="D16" s="73" t="inlineStr">
        <is>
          <t>Production</t>
        </is>
      </c>
      <c r="E16" s="73" t="inlineStr">
        <is>
          <t>Production Diapers</t>
        </is>
      </c>
      <c r="F16" s="73" t="inlineStr">
        <is>
          <t>Operator Produksi</t>
        </is>
      </c>
      <c r="G16" s="61">
        <f>VLOOKUP(B16,Sheet5!B:K,10,0)</f>
        <v/>
      </c>
      <c r="H16" s="61">
        <f>VLOOKUP(B16,Sheet5!B:AA,26,0)</f>
        <v/>
      </c>
      <c r="I16" s="73" t="inlineStr">
        <is>
          <t>0002394923657</t>
        </is>
      </c>
      <c r="J16" s="79" t="n">
        <v>24096022694</v>
      </c>
    </row>
    <row r="17" ht="15.75" customHeight="1" s="169">
      <c r="A17" s="61" t="n">
        <v>15</v>
      </c>
      <c r="B17" s="61" t="n">
        <v>328000325</v>
      </c>
      <c r="C17" s="78" t="inlineStr">
        <is>
          <t>Mohamad Aldiawan</t>
        </is>
      </c>
      <c r="D17" s="73" t="inlineStr">
        <is>
          <t>Production</t>
        </is>
      </c>
      <c r="E17" s="73" t="inlineStr">
        <is>
          <t>Production Diapers</t>
        </is>
      </c>
      <c r="F17" s="73" t="inlineStr">
        <is>
          <t>Operator Produksi</t>
        </is>
      </c>
      <c r="G17" s="61">
        <f>VLOOKUP(B17,Sheet5!B:K,10,0)</f>
        <v/>
      </c>
      <c r="H17" s="61">
        <f>VLOOKUP(B17,Sheet5!B:AA,26,0)</f>
        <v/>
      </c>
      <c r="I17" s="73" t="inlineStr">
        <is>
          <t>0001427573024</t>
        </is>
      </c>
      <c r="J17" s="79" t="n">
        <v>25047993123</v>
      </c>
      <c r="M17" s="22" t="inlineStr">
        <is>
          <t>SMA</t>
        </is>
      </c>
      <c r="N17" s="22" t="n">
        <v>76</v>
      </c>
    </row>
    <row r="18" ht="15.75" customHeight="1" s="169">
      <c r="A18" s="61" t="n">
        <v>16</v>
      </c>
      <c r="B18" s="61" t="n">
        <v>328000319</v>
      </c>
      <c r="C18" s="78" t="inlineStr">
        <is>
          <t>Ari Pebrianto</t>
        </is>
      </c>
      <c r="D18" s="73" t="inlineStr">
        <is>
          <t>Production</t>
        </is>
      </c>
      <c r="E18" s="73" t="inlineStr">
        <is>
          <t>Production Diapers</t>
        </is>
      </c>
      <c r="F18" s="73" t="inlineStr">
        <is>
          <t>Operator Produksi</t>
        </is>
      </c>
      <c r="G18" s="61">
        <f>VLOOKUP(B18,Sheet5!B:K,10,0)</f>
        <v/>
      </c>
      <c r="H18" s="61">
        <f>VLOOKUP(B18,Sheet5!B:AA,26,0)</f>
        <v/>
      </c>
      <c r="I18" s="73" t="inlineStr">
        <is>
          <t>0000482051722</t>
        </is>
      </c>
      <c r="J18" s="79" t="n">
        <v>25047993149</v>
      </c>
    </row>
    <row r="19" ht="15.75" customHeight="1" s="169">
      <c r="A19" s="61" t="n">
        <v>17</v>
      </c>
      <c r="B19" s="61" t="n">
        <v>328000041</v>
      </c>
      <c r="C19" s="86" t="inlineStr">
        <is>
          <t>Bunga Adelya</t>
        </is>
      </c>
      <c r="D19" s="73" t="inlineStr">
        <is>
          <t>Production</t>
        </is>
      </c>
      <c r="E19" s="73" t="inlineStr">
        <is>
          <t>Production Diapers</t>
        </is>
      </c>
      <c r="F19" s="73" t="inlineStr">
        <is>
          <t>Packer</t>
        </is>
      </c>
      <c r="G19" s="61">
        <f>VLOOKUP(B19,Sheet5!B:K,10,0)</f>
        <v/>
      </c>
      <c r="H19" s="61">
        <f>VLOOKUP(B19,Sheet5!B:AA,26,0)</f>
        <v/>
      </c>
      <c r="I19" s="73" t="inlineStr">
        <is>
          <t>0001659877817</t>
        </is>
      </c>
      <c r="J19" s="79" t="n">
        <v>23165960602</v>
      </c>
      <c r="K19" s="87" t="n">
        <v>24</v>
      </c>
    </row>
    <row r="20" ht="15.75" customHeight="1" s="169">
      <c r="A20" s="61" t="n">
        <v>18</v>
      </c>
      <c r="B20" s="61" t="n">
        <v>328000042</v>
      </c>
      <c r="C20" s="86" t="inlineStr">
        <is>
          <t>Cindy Amelia</t>
        </is>
      </c>
      <c r="D20" s="73" t="inlineStr">
        <is>
          <t>Production</t>
        </is>
      </c>
      <c r="E20" s="73" t="inlineStr">
        <is>
          <t>Production Diapers</t>
        </is>
      </c>
      <c r="F20" s="73" t="inlineStr">
        <is>
          <t>Packer</t>
        </is>
      </c>
      <c r="G20" s="61">
        <f>VLOOKUP(B20,Sheet5!B:K,10,0)</f>
        <v/>
      </c>
      <c r="H20" s="61">
        <f>VLOOKUP(B20,Sheet5!B:AA,26,0)</f>
        <v/>
      </c>
      <c r="I20" s="73" t="inlineStr">
        <is>
          <t>0002394908763</t>
        </is>
      </c>
      <c r="J20" s="79" t="n">
        <v>23165960909</v>
      </c>
    </row>
    <row r="21" ht="15.75" customHeight="1" s="169">
      <c r="A21" s="61" t="n">
        <v>19</v>
      </c>
      <c r="B21" s="61" t="n">
        <v>328000043</v>
      </c>
      <c r="C21" s="86" t="inlineStr">
        <is>
          <t>Andini Novia Ramadani</t>
        </is>
      </c>
      <c r="D21" s="73" t="inlineStr">
        <is>
          <t>Production</t>
        </is>
      </c>
      <c r="E21" s="73" t="inlineStr">
        <is>
          <t>Production Diapers</t>
        </is>
      </c>
      <c r="F21" s="73" t="inlineStr">
        <is>
          <t>Packer</t>
        </is>
      </c>
      <c r="G21" s="61">
        <f>VLOOKUP(B21,Sheet5!B:K,10,0)</f>
        <v/>
      </c>
      <c r="H21" s="61">
        <f>VLOOKUP(B21,Sheet5!B:AA,26,0)</f>
        <v/>
      </c>
      <c r="I21" s="73" t="inlineStr">
        <is>
          <t>0000481262567</t>
        </is>
      </c>
      <c r="J21" s="79" t="n">
        <v>23165961170</v>
      </c>
    </row>
    <row r="22" ht="15.75" customHeight="1" s="169">
      <c r="A22" s="61" t="n">
        <v>20</v>
      </c>
      <c r="B22" s="61" t="n">
        <v>328000219</v>
      </c>
      <c r="C22" s="86" t="inlineStr">
        <is>
          <t>Windy Meilani</t>
        </is>
      </c>
      <c r="D22" s="73" t="inlineStr">
        <is>
          <t>Production</t>
        </is>
      </c>
      <c r="E22" s="73" t="inlineStr">
        <is>
          <t>Production Diapers</t>
        </is>
      </c>
      <c r="F22" s="73" t="inlineStr">
        <is>
          <t>Packer</t>
        </is>
      </c>
      <c r="G22" s="61">
        <f>VLOOKUP(B22,Sheet5!B:K,10,0)</f>
        <v/>
      </c>
      <c r="H22" s="61">
        <f>VLOOKUP(B22,Sheet5!B:AA,26,0)</f>
        <v/>
      </c>
      <c r="I22" s="73" t="inlineStr">
        <is>
          <t>0001889780433</t>
        </is>
      </c>
      <c r="J22" s="79" t="n">
        <v>24044646016</v>
      </c>
    </row>
    <row r="23" ht="15.75" customHeight="1" s="169">
      <c r="A23" s="61" t="n">
        <v>21</v>
      </c>
      <c r="B23" s="61" t="n">
        <v>328000246</v>
      </c>
      <c r="C23" s="86" t="inlineStr">
        <is>
          <t>Dwi Fitriyani</t>
        </is>
      </c>
      <c r="D23" s="73" t="inlineStr">
        <is>
          <t>Production</t>
        </is>
      </c>
      <c r="E23" s="73" t="inlineStr">
        <is>
          <t>Production Diapers</t>
        </is>
      </c>
      <c r="F23" s="73" t="inlineStr">
        <is>
          <t>Packer</t>
        </is>
      </c>
      <c r="G23" s="61">
        <f>VLOOKUP(B23,Sheet5!B:K,10,0)</f>
        <v/>
      </c>
      <c r="H23" s="61">
        <f>VLOOKUP(B23,Sheet5!B:AA,26,0)</f>
        <v/>
      </c>
      <c r="I23" s="73" t="inlineStr">
        <is>
          <t>0001479043596</t>
        </is>
      </c>
      <c r="J23" s="79" t="n">
        <v>23165960826</v>
      </c>
    </row>
    <row r="24" ht="15.75" customHeight="1" s="169">
      <c r="A24" s="61" t="n">
        <v>22</v>
      </c>
      <c r="B24" s="61" t="n">
        <v>328000266</v>
      </c>
      <c r="C24" s="86" t="inlineStr">
        <is>
          <t>Devi Pebriani</t>
        </is>
      </c>
      <c r="D24" s="73" t="inlineStr">
        <is>
          <t>Production</t>
        </is>
      </c>
      <c r="E24" s="73" t="inlineStr">
        <is>
          <t>Production Diapers</t>
        </is>
      </c>
      <c r="F24" s="73" t="inlineStr">
        <is>
          <t>Packer</t>
        </is>
      </c>
      <c r="G24" s="61">
        <f>VLOOKUP(B24,Sheet5!B:K,10,0)</f>
        <v/>
      </c>
      <c r="H24" s="61">
        <f>VLOOKUP(B24,Sheet5!B:AA,26,0)</f>
        <v/>
      </c>
      <c r="I24" s="73" t="inlineStr">
        <is>
          <t>0001437682386</t>
        </is>
      </c>
      <c r="J24" s="79" t="n">
        <v>24111973616</v>
      </c>
    </row>
    <row r="25" ht="15.75" customHeight="1" s="169">
      <c r="A25" s="61" t="n">
        <v>23</v>
      </c>
      <c r="B25" s="61" t="n">
        <v>328000272</v>
      </c>
      <c r="C25" s="78" t="inlineStr">
        <is>
          <t>Akbar Saepuloh</t>
        </is>
      </c>
      <c r="D25" s="73" t="inlineStr">
        <is>
          <t>Production</t>
        </is>
      </c>
      <c r="E25" s="73" t="inlineStr">
        <is>
          <t>Production Diapers</t>
        </is>
      </c>
      <c r="F25" s="73" t="inlineStr">
        <is>
          <t>Packer</t>
        </is>
      </c>
      <c r="G25" s="61">
        <f>VLOOKUP(B25,Sheet5!B:K,10,0)</f>
        <v/>
      </c>
      <c r="H25" s="61">
        <f>VLOOKUP(B25,Sheet5!B:AA,26,0)</f>
        <v/>
      </c>
      <c r="I25" s="73" t="inlineStr">
        <is>
          <t>0002394923973</t>
        </is>
      </c>
      <c r="J25" s="79" t="n">
        <v>24126527597</v>
      </c>
    </row>
    <row r="26" ht="15.75" customHeight="1" s="169">
      <c r="A26" s="61" t="n">
        <v>24</v>
      </c>
      <c r="B26" s="61" t="n">
        <v>328000289</v>
      </c>
      <c r="C26" s="78" t="inlineStr">
        <is>
          <t>Karya</t>
        </is>
      </c>
      <c r="D26" s="73" t="inlineStr">
        <is>
          <t>Production</t>
        </is>
      </c>
      <c r="E26" s="73" t="inlineStr">
        <is>
          <t>Production Diapers</t>
        </is>
      </c>
      <c r="F26" s="73" t="inlineStr">
        <is>
          <t>Packer</t>
        </is>
      </c>
      <c r="G26" s="61">
        <f>VLOOKUP(B26,Sheet5!B:K,10,0)</f>
        <v/>
      </c>
      <c r="H26" s="61">
        <f>VLOOKUP(B26,Sheet5!B:AA,26,0)</f>
        <v/>
      </c>
      <c r="I26" s="73" t="inlineStr">
        <is>
          <t>0000481647644</t>
        </is>
      </c>
      <c r="J26" s="79" t="n">
        <v>24162489884</v>
      </c>
    </row>
    <row r="27" ht="15.75" customHeight="1" s="169">
      <c r="A27" s="61" t="n">
        <v>25</v>
      </c>
      <c r="B27" s="61" t="n">
        <v>328000296</v>
      </c>
      <c r="C27" s="86" t="inlineStr">
        <is>
          <t>Rahma Indira Azhara</t>
        </is>
      </c>
      <c r="D27" s="73" t="inlineStr">
        <is>
          <t>Production</t>
        </is>
      </c>
      <c r="E27" s="73" t="inlineStr">
        <is>
          <t>Production Diapers</t>
        </is>
      </c>
      <c r="F27" s="73" t="inlineStr">
        <is>
          <t>Packer</t>
        </is>
      </c>
      <c r="G27" s="61">
        <f>VLOOKUP(B27,Sheet5!B:K,10,0)</f>
        <v/>
      </c>
      <c r="H27" s="61">
        <f>VLOOKUP(B27,Sheet5!B:AA,26,0)</f>
        <v/>
      </c>
      <c r="I27" s="73" t="inlineStr">
        <is>
          <t>0001010118734</t>
        </is>
      </c>
      <c r="J27" s="79" t="n">
        <v>24203133095</v>
      </c>
    </row>
    <row r="28" ht="15.75" customHeight="1" s="169">
      <c r="A28" s="61" t="n">
        <v>26</v>
      </c>
      <c r="B28" s="61" t="n">
        <v>328000299</v>
      </c>
      <c r="C28" s="86" t="inlineStr">
        <is>
          <t>Ratu Thyara Reva Kharina</t>
        </is>
      </c>
      <c r="D28" s="73" t="inlineStr">
        <is>
          <t>Production</t>
        </is>
      </c>
      <c r="E28" s="73" t="inlineStr">
        <is>
          <t>Production Diapers</t>
        </is>
      </c>
      <c r="F28" s="73" t="inlineStr">
        <is>
          <t>Packer</t>
        </is>
      </c>
      <c r="G28" s="61">
        <f>VLOOKUP(B28,Sheet5!B:K,10,0)</f>
        <v/>
      </c>
      <c r="H28" s="61">
        <f>VLOOKUP(B28,Sheet5!B:AA,26,0)</f>
        <v/>
      </c>
      <c r="I28" s="73" t="inlineStr">
        <is>
          <t>0003637625387</t>
        </is>
      </c>
      <c r="J28" s="79" t="n">
        <v>25003406532</v>
      </c>
    </row>
    <row r="29" ht="15.75" customHeight="1" s="169">
      <c r="A29" s="61" t="n">
        <v>27</v>
      </c>
      <c r="B29" s="61" t="n">
        <v>328000328</v>
      </c>
      <c r="C29" s="86" t="inlineStr">
        <is>
          <t>Oktavia Eka Damayanti</t>
        </is>
      </c>
      <c r="D29" s="73" t="inlineStr">
        <is>
          <t>Production</t>
        </is>
      </c>
      <c r="E29" s="73" t="inlineStr">
        <is>
          <t>Production Diapers</t>
        </is>
      </c>
      <c r="F29" s="73" t="inlineStr">
        <is>
          <t>Packer</t>
        </is>
      </c>
      <c r="G29" s="61">
        <f>VLOOKUP(B29,Sheet5!B:K,10,0)</f>
        <v/>
      </c>
      <c r="H29" s="61">
        <f>VLOOKUP(B29,Sheet5!B:AA,26,0)</f>
        <v/>
      </c>
      <c r="I29" s="73" t="inlineStr">
        <is>
          <t>0001833654712</t>
        </is>
      </c>
      <c r="J29" s="79" t="n">
        <v>25060609077</v>
      </c>
    </row>
    <row r="30" ht="15.75" customHeight="1" s="169">
      <c r="A30" s="61" t="n">
        <v>28</v>
      </c>
      <c r="B30" s="61" t="n">
        <v>328000342</v>
      </c>
      <c r="C30" s="86" t="inlineStr">
        <is>
          <t>Fitri</t>
        </is>
      </c>
      <c r="D30" s="73" t="inlineStr">
        <is>
          <t>Production</t>
        </is>
      </c>
      <c r="E30" s="73" t="inlineStr">
        <is>
          <t>Production Diapers</t>
        </is>
      </c>
      <c r="F30" s="73" t="inlineStr">
        <is>
          <t>Packer</t>
        </is>
      </c>
      <c r="G30" s="61">
        <f>VLOOKUP(B30,Sheet5!B:K,10,0)</f>
        <v/>
      </c>
      <c r="H30" s="61">
        <f>VLOOKUP(B30,Sheet5!B:AA,26,0)</f>
        <v/>
      </c>
      <c r="I30" s="73" t="inlineStr">
        <is>
          <t>0001661917847</t>
        </is>
      </c>
      <c r="J30" s="79" t="n">
        <v>25060609200</v>
      </c>
    </row>
    <row r="31" ht="15.75" customHeight="1" s="169">
      <c r="A31" s="61" t="n">
        <v>29</v>
      </c>
      <c r="B31" s="61" t="n">
        <v>328000352</v>
      </c>
      <c r="C31" s="86" t="inlineStr">
        <is>
          <t>Yasmin Annisa Alkhoiriyah</t>
        </is>
      </c>
      <c r="D31" s="73" t="inlineStr">
        <is>
          <t>Production</t>
        </is>
      </c>
      <c r="E31" s="73" t="inlineStr">
        <is>
          <t>Production Diapers</t>
        </is>
      </c>
      <c r="F31" s="73" t="inlineStr">
        <is>
          <t>Packer</t>
        </is>
      </c>
      <c r="G31" s="61">
        <f>VLOOKUP(B31,Sheet5!B:K,10,0)</f>
        <v/>
      </c>
      <c r="H31" s="61">
        <f>VLOOKUP(B31,Sheet5!B:AA,26,0)</f>
        <v/>
      </c>
      <c r="I31" s="73" t="inlineStr">
        <is>
          <t>0001314865078</t>
        </is>
      </c>
      <c r="J31" s="79" t="n">
        <v>25060609309</v>
      </c>
    </row>
    <row r="32" ht="15.75" customHeight="1" s="169">
      <c r="A32" s="61" t="n">
        <v>30</v>
      </c>
      <c r="B32" s="61" t="n">
        <v>328000353</v>
      </c>
      <c r="C32" s="86" t="inlineStr">
        <is>
          <t>Yayu Apriyanti</t>
        </is>
      </c>
      <c r="D32" s="73" t="inlineStr">
        <is>
          <t>Production</t>
        </is>
      </c>
      <c r="E32" s="73" t="inlineStr">
        <is>
          <t>Production Diapers</t>
        </is>
      </c>
      <c r="F32" s="73" t="inlineStr">
        <is>
          <t>Packer</t>
        </is>
      </c>
      <c r="G32" s="61">
        <f>VLOOKUP(B32,Sheet5!B:K,10,0)</f>
        <v/>
      </c>
      <c r="H32" s="61">
        <f>VLOOKUP(B32,Sheet5!B:AA,26,0)</f>
        <v/>
      </c>
      <c r="I32" s="73" t="inlineStr">
        <is>
          <t>0001518350578</t>
        </is>
      </c>
      <c r="J32" s="79" t="n">
        <v>25060609317</v>
      </c>
    </row>
    <row r="33" ht="15.75" customHeight="1" s="169">
      <c r="A33" s="61" t="n">
        <v>31</v>
      </c>
      <c r="B33" s="61" t="n">
        <v>328000357</v>
      </c>
      <c r="C33" s="86" t="inlineStr">
        <is>
          <t>Dea Ananda Lestari</t>
        </is>
      </c>
      <c r="D33" s="73" t="inlineStr">
        <is>
          <t>Production</t>
        </is>
      </c>
      <c r="E33" s="73" t="inlineStr">
        <is>
          <t>Production Diapers</t>
        </is>
      </c>
      <c r="F33" s="73" t="inlineStr">
        <is>
          <t>Packer</t>
        </is>
      </c>
      <c r="G33" s="61">
        <f>VLOOKUP(B33,Sheet5!B:K,10,0)</f>
        <v/>
      </c>
      <c r="H33" s="61">
        <f>VLOOKUP(B33,Sheet5!B:AA,26,0)</f>
        <v/>
      </c>
      <c r="I33" s="73" t="inlineStr">
        <is>
          <t>0001663762138</t>
        </is>
      </c>
      <c r="J33" s="79" t="n">
        <v>25079448103</v>
      </c>
    </row>
    <row r="34" ht="15.75" customHeight="1" s="169">
      <c r="A34" s="61" t="n">
        <v>32</v>
      </c>
      <c r="B34" s="61" t="n">
        <v>328000358</v>
      </c>
      <c r="C34" s="78" t="inlineStr">
        <is>
          <t>Kiki Muzaki</t>
        </is>
      </c>
      <c r="D34" s="73" t="inlineStr">
        <is>
          <t>Production</t>
        </is>
      </c>
      <c r="E34" s="73" t="inlineStr">
        <is>
          <t>Production Diapers</t>
        </is>
      </c>
      <c r="F34" s="73" t="inlineStr">
        <is>
          <t>Packer</t>
        </is>
      </c>
      <c r="G34" s="61">
        <f>VLOOKUP(B34,Sheet5!B:K,10,0)</f>
        <v/>
      </c>
      <c r="H34" s="61">
        <f>VLOOKUP(B34,Sheet5!B:AA,26,0)</f>
        <v/>
      </c>
      <c r="I34" s="73" t="inlineStr">
        <is>
          <t>0001902837227</t>
        </is>
      </c>
      <c r="J34" s="79" t="n">
        <v>25079448111</v>
      </c>
    </row>
    <row r="35" ht="15.75" customHeight="1" s="169">
      <c r="A35" s="61" t="n">
        <v>33</v>
      </c>
      <c r="B35" s="61" t="n">
        <v>328000366</v>
      </c>
      <c r="C35" s="86" t="inlineStr">
        <is>
          <t>Diva Nadya</t>
        </is>
      </c>
      <c r="D35" s="73" t="inlineStr">
        <is>
          <t>Production</t>
        </is>
      </c>
      <c r="E35" s="73" t="inlineStr">
        <is>
          <t>Production Diapers</t>
        </is>
      </c>
      <c r="F35" s="73" t="inlineStr">
        <is>
          <t>Packer</t>
        </is>
      </c>
      <c r="G35" s="61">
        <f>VLOOKUP(B35,Sheet5!B:K,10,0)</f>
        <v/>
      </c>
      <c r="H35" s="61">
        <f>VLOOKUP(B35,Sheet5!B:AA,26,0)</f>
        <v/>
      </c>
      <c r="I35" s="73" t="inlineStr">
        <is>
          <t>0001659884962</t>
        </is>
      </c>
      <c r="J35" s="79" t="n">
        <v>25079448319</v>
      </c>
    </row>
    <row r="36" ht="15.75" customHeight="1" s="169">
      <c r="A36" s="61" t="n">
        <v>34</v>
      </c>
      <c r="B36" s="61" t="n">
        <v>328000370</v>
      </c>
      <c r="C36" s="86" t="inlineStr">
        <is>
          <t>Dara Apriyanty</t>
        </is>
      </c>
      <c r="D36" s="73" t="inlineStr">
        <is>
          <t>Production</t>
        </is>
      </c>
      <c r="E36" s="73" t="inlineStr">
        <is>
          <t>Production Diapers</t>
        </is>
      </c>
      <c r="F36" s="73" t="inlineStr">
        <is>
          <t>Packer</t>
        </is>
      </c>
      <c r="G36" s="61">
        <f>VLOOKUP(B36,Sheet5!B:K,10,0)</f>
        <v/>
      </c>
      <c r="H36" s="61">
        <f>VLOOKUP(B36,Sheet5!B:AA,26,0)</f>
        <v/>
      </c>
      <c r="I36" s="73" t="inlineStr">
        <is>
          <t>0002395228149</t>
        </is>
      </c>
      <c r="J36" s="79" t="n">
        <v>25079448178</v>
      </c>
    </row>
    <row r="37" ht="15.75" customHeight="1" s="169">
      <c r="A37" s="61" t="n">
        <v>35</v>
      </c>
      <c r="B37" s="61" t="n">
        <v>328000372</v>
      </c>
      <c r="C37" s="86" t="inlineStr">
        <is>
          <t>Dini Fitriyani</t>
        </is>
      </c>
      <c r="D37" s="73" t="inlineStr">
        <is>
          <t>Production</t>
        </is>
      </c>
      <c r="E37" s="73" t="inlineStr">
        <is>
          <t>Production Diapers</t>
        </is>
      </c>
      <c r="F37" s="73" t="inlineStr">
        <is>
          <t>Packer</t>
        </is>
      </c>
      <c r="G37" s="61">
        <f>VLOOKUP(B37,Sheet5!B:K,10,0)</f>
        <v/>
      </c>
      <c r="H37" s="61">
        <f>VLOOKUP(B37,Sheet5!B:AA,26,0)</f>
        <v/>
      </c>
      <c r="I37" s="73" t="inlineStr">
        <is>
          <t>0001661299874</t>
        </is>
      </c>
      <c r="J37" s="79" t="n">
        <v>25079448194</v>
      </c>
    </row>
    <row r="38" ht="15.75" customHeight="1" s="169">
      <c r="A38" s="61" t="n">
        <v>36</v>
      </c>
      <c r="B38" s="61" t="n">
        <v>328000388</v>
      </c>
      <c r="C38" s="86" t="inlineStr">
        <is>
          <t>Endah Sari</t>
        </is>
      </c>
      <c r="D38" s="73" t="inlineStr">
        <is>
          <t>Production</t>
        </is>
      </c>
      <c r="E38" s="73" t="inlineStr">
        <is>
          <t>Production Diapers</t>
        </is>
      </c>
      <c r="F38" s="73" t="inlineStr">
        <is>
          <t>Packer</t>
        </is>
      </c>
      <c r="G38" s="61">
        <f>VLOOKUP(B38,Sheet5!B:K,10,0)</f>
        <v/>
      </c>
      <c r="H38" s="61">
        <f>VLOOKUP(B38,Sheet5!B:AA,26,0)</f>
        <v/>
      </c>
      <c r="I38" s="73" t="inlineStr">
        <is>
          <t>0002705355865</t>
        </is>
      </c>
      <c r="J38" s="79" t="n">
        <v>25097052309</v>
      </c>
    </row>
    <row r="39" ht="15.75" customHeight="1" s="169">
      <c r="A39" s="61" t="n">
        <v>37</v>
      </c>
      <c r="B39" s="61" t="n">
        <v>328000395</v>
      </c>
      <c r="C39" s="86" t="inlineStr">
        <is>
          <t>Anisa Rahma Aulia</t>
        </is>
      </c>
      <c r="D39" s="73" t="inlineStr">
        <is>
          <t>Production</t>
        </is>
      </c>
      <c r="E39" s="73" t="inlineStr">
        <is>
          <t>Production Diapers</t>
        </is>
      </c>
      <c r="F39" s="73" t="inlineStr">
        <is>
          <t>Packer</t>
        </is>
      </c>
      <c r="G39" s="61">
        <f>VLOOKUP(B39,Sheet5!B:K,10,0)</f>
        <v/>
      </c>
      <c r="H39" s="61">
        <f>VLOOKUP(B39,Sheet5!B:AA,26,0)</f>
        <v/>
      </c>
      <c r="I39" s="73" t="inlineStr">
        <is>
          <t>0003340821273</t>
        </is>
      </c>
      <c r="J39" s="79" t="n">
        <v>25097052267</v>
      </c>
    </row>
    <row r="40" ht="15.75" customHeight="1" s="169">
      <c r="A40" s="61" t="n">
        <v>38</v>
      </c>
      <c r="B40" s="61" t="n">
        <v>328000400</v>
      </c>
      <c r="C40" s="78" t="inlineStr">
        <is>
          <t>M Karsim Septian</t>
        </is>
      </c>
      <c r="D40" s="73" t="inlineStr">
        <is>
          <t>Production</t>
        </is>
      </c>
      <c r="E40" s="73" t="inlineStr">
        <is>
          <t>Production Diapers</t>
        </is>
      </c>
      <c r="F40" s="73" t="inlineStr">
        <is>
          <t>Packer</t>
        </is>
      </c>
      <c r="G40" s="61">
        <f>VLOOKUP(B40,Sheet5!B:K,10,0)</f>
        <v/>
      </c>
      <c r="H40" s="61">
        <f>VLOOKUP(B40,Sheet5!B:AA,26,0)</f>
        <v/>
      </c>
      <c r="I40" s="73" t="inlineStr">
        <is>
          <t>0001861520174</t>
        </is>
      </c>
      <c r="J40" s="88" t="n"/>
    </row>
    <row r="41" ht="15.75" customHeight="1" s="169">
      <c r="A41" s="61" t="n">
        <v>39</v>
      </c>
      <c r="B41" s="61" t="n">
        <v>328000406</v>
      </c>
      <c r="C41" s="86" t="inlineStr">
        <is>
          <t>Firlie Nurfebriany Firmansyah</t>
        </is>
      </c>
      <c r="D41" s="73" t="inlineStr">
        <is>
          <t>Production</t>
        </is>
      </c>
      <c r="E41" s="73" t="inlineStr">
        <is>
          <t>Production Diapers</t>
        </is>
      </c>
      <c r="F41" s="73" t="inlineStr">
        <is>
          <t>Packer</t>
        </is>
      </c>
      <c r="G41" s="61">
        <f>VLOOKUP(B41,Sheet5!B:K,10,0)</f>
        <v/>
      </c>
      <c r="H41" s="61">
        <f>VLOOKUP(B41,Sheet5!B:AA,26,0)</f>
        <v/>
      </c>
      <c r="I41" s="73" t="inlineStr">
        <is>
          <t>0003042186118</t>
        </is>
      </c>
      <c r="J41" s="88" t="n"/>
    </row>
    <row r="42" ht="15.75" customHeight="1" s="169">
      <c r="A42" s="61" t="n">
        <v>40</v>
      </c>
      <c r="B42" s="61" t="n">
        <v>328000417</v>
      </c>
      <c r="C42" s="78" t="inlineStr">
        <is>
          <t>Raja Aditia</t>
        </is>
      </c>
      <c r="D42" s="73" t="inlineStr">
        <is>
          <t>Production</t>
        </is>
      </c>
      <c r="E42" s="73" t="inlineStr">
        <is>
          <t>Production Diapers</t>
        </is>
      </c>
      <c r="F42" s="73" t="inlineStr">
        <is>
          <t>Packer</t>
        </is>
      </c>
      <c r="G42" s="61">
        <f>VLOOKUP(B42,Sheet5!B:K,10,0)</f>
        <v/>
      </c>
      <c r="H42" s="61">
        <f>VLOOKUP(B42,Sheet5!B:AA,26,0)</f>
        <v/>
      </c>
      <c r="I42" s="73" t="inlineStr">
        <is>
          <t>0001876764688</t>
        </is>
      </c>
      <c r="J42" s="88" t="n"/>
    </row>
    <row r="43" ht="15.75" customHeight="1" s="169">
      <c r="A43" s="61" t="n">
        <v>41</v>
      </c>
      <c r="B43" s="61" t="n">
        <v>328000241</v>
      </c>
      <c r="C43" s="73" t="inlineStr">
        <is>
          <t>Jihan Noerhalija</t>
        </is>
      </c>
      <c r="D43" s="73" t="inlineStr">
        <is>
          <t>Quality and Research &amp; Development</t>
        </is>
      </c>
      <c r="E43" s="73" t="inlineStr">
        <is>
          <t>QC - Diapers</t>
        </is>
      </c>
      <c r="F43" s="73">
        <f>VLOOKUP(B43,'NON STAFF'!B:E,7,0)</f>
        <v/>
      </c>
      <c r="G43" s="61">
        <f>VLOOKUP(B43,Sheet5!B:K,10,0)</f>
        <v/>
      </c>
      <c r="H43" s="61">
        <f>VLOOKUP(B43,Sheet5!B:AA,26,0)</f>
        <v/>
      </c>
      <c r="I43" s="73">
        <f>VLOOKUP(B43,Sheet5!AD:AH,5,0)</f>
        <v/>
      </c>
      <c r="J43" s="79">
        <f>VLOOKUP(B43,Sheet5!AD:AG,4,0)</f>
        <v/>
      </c>
    </row>
    <row r="44" ht="15.75" customHeight="1" s="169">
      <c r="A44" s="61" t="n">
        <v>42</v>
      </c>
      <c r="B44" s="61" t="n">
        <v>328000314</v>
      </c>
      <c r="C44" s="73" t="inlineStr">
        <is>
          <t>Lulut Sonia</t>
        </is>
      </c>
      <c r="D44" s="73" t="inlineStr">
        <is>
          <t>Quality and Research &amp; Development</t>
        </is>
      </c>
      <c r="E44" s="73" t="inlineStr">
        <is>
          <t>QC - Diapers</t>
        </is>
      </c>
      <c r="F44" s="73">
        <f>VLOOKUP(B44,'NON STAFF'!B:E,7,0)</f>
        <v/>
      </c>
      <c r="G44" s="61">
        <f>VLOOKUP(B44,Sheet5!B:K,10,0)</f>
        <v/>
      </c>
      <c r="H44" s="61">
        <f>VLOOKUP(B44,Sheet5!B:AA,26,0)</f>
        <v/>
      </c>
      <c r="I44" s="73">
        <f>VLOOKUP(B44,Sheet5!AD:AH,5,0)</f>
        <v/>
      </c>
      <c r="J44" s="79">
        <f>VLOOKUP(B44,Sheet5!AD:AG,4,0)</f>
        <v/>
      </c>
    </row>
    <row r="45" ht="15.75" customHeight="1" s="169">
      <c r="A45" s="61" t="n">
        <v>43</v>
      </c>
      <c r="B45" s="61" t="n">
        <v>328000305</v>
      </c>
      <c r="C45" s="73" t="inlineStr">
        <is>
          <t>Suryani Sihite</t>
        </is>
      </c>
      <c r="D45" s="73" t="inlineStr">
        <is>
          <t>Quality and Research &amp; Development</t>
        </is>
      </c>
      <c r="E45" s="73" t="inlineStr">
        <is>
          <t>QC - Diapers</t>
        </is>
      </c>
      <c r="F45" s="73">
        <f>VLOOKUP(B45,'NON STAFF'!B:E,7,0)</f>
        <v/>
      </c>
      <c r="G45" s="61">
        <f>VLOOKUP(B45,Sheet5!B:K,10,0)</f>
        <v/>
      </c>
      <c r="H45" s="61">
        <f>VLOOKUP(B45,Sheet5!B:AA,26,0)</f>
        <v/>
      </c>
      <c r="I45" s="73">
        <f>VLOOKUP(B45,Sheet5!AD:AH,5,0)</f>
        <v/>
      </c>
      <c r="J45" s="79">
        <f>VLOOKUP(B45,Sheet5!AD:AG,4,0)</f>
        <v/>
      </c>
    </row>
    <row r="46" ht="15.75" customHeight="1" s="169">
      <c r="A46" s="61" t="n">
        <v>44</v>
      </c>
      <c r="B46" s="61" t="n">
        <v>328000106</v>
      </c>
      <c r="C46" s="73" t="inlineStr">
        <is>
          <t>Fany Febryaniwardoyo</t>
        </is>
      </c>
      <c r="D46" s="73" t="inlineStr">
        <is>
          <t>Quality and Research &amp; Development</t>
        </is>
      </c>
      <c r="E46" s="73" t="inlineStr">
        <is>
          <t>QC - Diapers</t>
        </is>
      </c>
      <c r="F46" s="73">
        <f>VLOOKUP(B46,'NON STAFF'!B:E,7,0)</f>
        <v/>
      </c>
      <c r="G46" s="61">
        <f>VLOOKUP(B46,Sheet5!B:K,10,0)</f>
        <v/>
      </c>
      <c r="H46" s="61">
        <f>VLOOKUP(B46,Sheet5!B:AA,26,0)</f>
        <v/>
      </c>
      <c r="I46" s="73">
        <f>VLOOKUP(B46,Sheet5!AD:AH,5,0)</f>
        <v/>
      </c>
      <c r="J46" s="79">
        <f>VLOOKUP(B46,Sheet5!AD:AG,4,0)</f>
        <v/>
      </c>
    </row>
    <row r="47" ht="15.75" customHeight="1" s="169">
      <c r="A47" s="61" t="n">
        <v>45</v>
      </c>
      <c r="B47" s="61" t="n">
        <v>328000151</v>
      </c>
      <c r="C47" s="73" t="inlineStr">
        <is>
          <t>Suci Alfina F</t>
        </is>
      </c>
      <c r="D47" s="73" t="inlineStr">
        <is>
          <t>Quality and Research &amp; Development</t>
        </is>
      </c>
      <c r="E47" s="73" t="inlineStr">
        <is>
          <t>QC - Diapers</t>
        </is>
      </c>
      <c r="F47" s="73">
        <f>VLOOKUP(B47,'NON STAFF'!B:E,7,0)</f>
        <v/>
      </c>
      <c r="G47" s="61">
        <f>VLOOKUP(B47,Sheet5!B:K,10,0)</f>
        <v/>
      </c>
      <c r="H47" s="61">
        <f>VLOOKUP(B47,Sheet5!B:AA,26,0)</f>
        <v/>
      </c>
      <c r="I47" s="73">
        <f>VLOOKUP(B47,Sheet5!AD:AH,5,0)</f>
        <v/>
      </c>
      <c r="J47" s="79">
        <f>VLOOKUP(B47,Sheet5!AD:AG,4,0)</f>
        <v/>
      </c>
    </row>
    <row r="48" ht="15.75" customHeight="1" s="169">
      <c r="A48" s="61" t="n">
        <v>46</v>
      </c>
      <c r="B48" s="61" t="n">
        <v>328000040</v>
      </c>
      <c r="C48" s="73" t="inlineStr">
        <is>
          <t>Asep Kamaludin</t>
        </is>
      </c>
      <c r="D48" s="73" t="inlineStr">
        <is>
          <t>Quality and Research &amp; Development</t>
        </is>
      </c>
      <c r="E48" s="73" t="inlineStr">
        <is>
          <t>QC - Diapers</t>
        </is>
      </c>
      <c r="F48" s="73">
        <f>VLOOKUP(B48,'NON STAFF'!B:E,7,0)</f>
        <v/>
      </c>
      <c r="G48" s="61">
        <f>VLOOKUP(B48,Sheet5!B:K,10,0)</f>
        <v/>
      </c>
      <c r="H48" s="61">
        <f>VLOOKUP(B48,Sheet5!B:AA,26,0)</f>
        <v/>
      </c>
      <c r="I48" s="73">
        <f>VLOOKUP(B48,Sheet5!AD:AH,5,0)</f>
        <v/>
      </c>
      <c r="J48" s="79">
        <f>VLOOKUP(B48,Sheet5!AD:AG,4,0)</f>
        <v/>
      </c>
    </row>
    <row r="49" ht="15.75" customHeight="1" s="169">
      <c r="A49" s="61" t="n">
        <v>47</v>
      </c>
      <c r="B49" s="61" t="n">
        <v>328000066</v>
      </c>
      <c r="C49" s="73" t="inlineStr">
        <is>
          <t>Nadila Naziwa Sopian</t>
        </is>
      </c>
      <c r="D49" s="73" t="inlineStr">
        <is>
          <t>Quality and Research &amp; Development</t>
        </is>
      </c>
      <c r="E49" s="73" t="inlineStr">
        <is>
          <t>QC - Diapers</t>
        </is>
      </c>
      <c r="F49" s="73">
        <f>VLOOKUP(B49,'NON STAFF'!B:E,7,0)</f>
        <v/>
      </c>
      <c r="G49" s="61">
        <f>VLOOKUP(B49,Sheet5!B:K,10,0)</f>
        <v/>
      </c>
      <c r="H49" s="61">
        <f>VLOOKUP(B49,Sheet5!B:AA,26,0)</f>
        <v/>
      </c>
      <c r="I49" s="73">
        <f>VLOOKUP(B49,Sheet5!AD:AH,5,0)</f>
        <v/>
      </c>
      <c r="J49" s="79">
        <f>VLOOKUP(B49,Sheet5!AD:AG,4,0)</f>
        <v/>
      </c>
    </row>
    <row r="50" ht="15.75" customHeight="1" s="169">
      <c r="A50" s="61" t="n">
        <v>48</v>
      </c>
      <c r="B50" s="61" t="n">
        <v>328000068</v>
      </c>
      <c r="C50" s="73" t="inlineStr">
        <is>
          <t>Nadine Riezki Ghefira</t>
        </is>
      </c>
      <c r="D50" s="73" t="inlineStr">
        <is>
          <t>Quality and Research &amp; Development</t>
        </is>
      </c>
      <c r="E50" s="73" t="inlineStr">
        <is>
          <t>QC - Diapers</t>
        </is>
      </c>
      <c r="F50" s="73">
        <f>VLOOKUP(B50,'NON STAFF'!B:E,7,0)</f>
        <v/>
      </c>
      <c r="G50" s="61">
        <f>VLOOKUP(B50,Sheet5!B:K,10,0)</f>
        <v/>
      </c>
      <c r="H50" s="61">
        <f>VLOOKUP(B50,Sheet5!B:AA,26,0)</f>
        <v/>
      </c>
      <c r="I50" s="73">
        <f>VLOOKUP(B50,Sheet5!AD:AH,5,0)</f>
        <v/>
      </c>
      <c r="J50" s="79">
        <f>VLOOKUP(B50,Sheet5!AD:AG,4,0)</f>
        <v/>
      </c>
    </row>
    <row r="51" ht="15.75" customHeight="1" s="169">
      <c r="A51" s="61" t="n">
        <v>49</v>
      </c>
      <c r="B51" s="61" t="n">
        <v>328000039</v>
      </c>
      <c r="C51" s="73" t="inlineStr">
        <is>
          <t>Desty Marliani</t>
        </is>
      </c>
      <c r="D51" s="73" t="inlineStr">
        <is>
          <t>Quality and Research &amp; Development</t>
        </is>
      </c>
      <c r="E51" s="73" t="inlineStr">
        <is>
          <t>QC - Diapers</t>
        </is>
      </c>
      <c r="F51" s="73">
        <f>VLOOKUP(B51,'NON STAFF'!B:E,7,0)</f>
        <v/>
      </c>
      <c r="G51" s="61">
        <f>VLOOKUP(B51,Sheet5!B:K,10,0)</f>
        <v/>
      </c>
      <c r="H51" s="61">
        <f>VLOOKUP(B51,Sheet5!B:AA,26,0)</f>
        <v/>
      </c>
      <c r="I51" s="73">
        <f>VLOOKUP(B51,Sheet5!AD:AH,5,0)</f>
        <v/>
      </c>
      <c r="J51" s="79">
        <f>VLOOKUP(B51,Sheet5!AD:AG,4,0)</f>
        <v/>
      </c>
    </row>
    <row r="52" ht="15.75" customHeight="1" s="169">
      <c r="A52" s="61" t="n">
        <v>50</v>
      </c>
      <c r="B52" s="15" t="n">
        <v>328000011</v>
      </c>
      <c r="C52" s="52" t="inlineStr">
        <is>
          <t>Deni Kusnadi</t>
        </is>
      </c>
      <c r="D52" s="28" t="inlineStr">
        <is>
          <t>Logistic</t>
        </is>
      </c>
      <c r="E52" s="28" t="inlineStr">
        <is>
          <t>Warehouse Sparepart</t>
        </is>
      </c>
      <c r="F52" s="28" t="inlineStr">
        <is>
          <t>Admin WSP</t>
        </is>
      </c>
      <c r="G52" s="61">
        <f>VLOOKUP(B52,Sheet5!B:K,10,0)</f>
        <v/>
      </c>
      <c r="H52" s="61">
        <f>VLOOKUP(B52,Sheet5!B:AA,26,0)</f>
        <v/>
      </c>
      <c r="I52" s="73">
        <f>VLOOKUP(B52,Sheet5!AD:AH,5,0)</f>
        <v/>
      </c>
      <c r="J52" s="79">
        <f>VLOOKUP(B52,Sheet5!AD:AG,4,0)</f>
        <v/>
      </c>
    </row>
    <row r="53" ht="15.75" customHeight="1" s="169">
      <c r="A53" s="61" t="n">
        <v>51</v>
      </c>
      <c r="B53" s="15" t="n">
        <v>328000016</v>
      </c>
      <c r="C53" s="52" t="inlineStr">
        <is>
          <t>Ramdan Abdullah</t>
        </is>
      </c>
      <c r="D53" s="28" t="inlineStr">
        <is>
          <t>Logistic</t>
        </is>
      </c>
      <c r="E53" s="28" t="inlineStr">
        <is>
          <t>Timbangan</t>
        </is>
      </c>
      <c r="F53" s="28" t="inlineStr">
        <is>
          <t>Admin Timbangan</t>
        </is>
      </c>
      <c r="G53" s="61">
        <f>VLOOKUP(B53,Sheet5!B:K,10,0)</f>
        <v/>
      </c>
      <c r="H53" s="61">
        <f>VLOOKUP(B53,Sheet5!B:AA,26,0)</f>
        <v/>
      </c>
      <c r="I53" s="73">
        <f>VLOOKUP(B53,Sheet5!AD:AH,5,0)</f>
        <v/>
      </c>
      <c r="J53" s="79">
        <f>VLOOKUP(B53,Sheet5!AD:AG,4,0)</f>
        <v/>
      </c>
    </row>
    <row r="54" ht="15.75" customHeight="1" s="169">
      <c r="A54" s="61" t="n">
        <v>52</v>
      </c>
      <c r="B54" s="15" t="n">
        <v>328000017</v>
      </c>
      <c r="C54" s="52" t="inlineStr">
        <is>
          <t>Dadi Setiadi</t>
        </is>
      </c>
      <c r="D54" s="28" t="inlineStr">
        <is>
          <t>Logistic</t>
        </is>
      </c>
      <c r="E54" s="28" t="inlineStr">
        <is>
          <t>Warehouse Raw Material</t>
        </is>
      </c>
      <c r="F54" s="28" t="inlineStr">
        <is>
          <t>Operator Forklift</t>
        </is>
      </c>
      <c r="G54" s="61">
        <f>VLOOKUP(B54,Sheet5!B:K,10,0)</f>
        <v/>
      </c>
      <c r="H54" s="61">
        <f>VLOOKUP(B54,Sheet5!B:AA,26,0)</f>
        <v/>
      </c>
      <c r="I54" s="73">
        <f>VLOOKUP(B54,Sheet5!AD:AH,5,0)</f>
        <v/>
      </c>
      <c r="J54" s="79">
        <f>VLOOKUP(B54,Sheet5!AD:AG,4,0)</f>
        <v/>
      </c>
    </row>
    <row r="55" ht="15.75" customHeight="1" s="169">
      <c r="A55" s="61" t="n">
        <v>53</v>
      </c>
      <c r="B55" s="15" t="n">
        <v>328000018</v>
      </c>
      <c r="C55" s="52" t="inlineStr">
        <is>
          <t>Nevany Putri</t>
        </is>
      </c>
      <c r="D55" s="28" t="inlineStr">
        <is>
          <t>Logistic</t>
        </is>
      </c>
      <c r="E55" s="28" t="inlineStr">
        <is>
          <t>Warehouse Raw Material</t>
        </is>
      </c>
      <c r="F55" s="28" t="inlineStr">
        <is>
          <t>Admin WRM</t>
        </is>
      </c>
      <c r="G55" s="61">
        <f>VLOOKUP(B55,Sheet5!B:K,10,0)</f>
        <v/>
      </c>
      <c r="H55" s="61">
        <f>VLOOKUP(B55,Sheet5!B:AA,26,0)</f>
        <v/>
      </c>
      <c r="I55" s="73">
        <f>VLOOKUP(B55,Sheet5!AD:AH,5,0)</f>
        <v/>
      </c>
      <c r="J55" s="79">
        <f>VLOOKUP(B55,Sheet5!AD:AG,4,0)</f>
        <v/>
      </c>
    </row>
    <row r="56" ht="15.75" customHeight="1" s="169">
      <c r="A56" s="61" t="n">
        <v>54</v>
      </c>
      <c r="B56" s="15" t="n">
        <v>328000052</v>
      </c>
      <c r="C56" s="52" t="inlineStr">
        <is>
          <t>Dimas Nugroho</t>
        </is>
      </c>
      <c r="D56" s="28" t="inlineStr">
        <is>
          <t>Logistic</t>
        </is>
      </c>
      <c r="E56" s="28" t="inlineStr">
        <is>
          <t>Warehouse Sparepart</t>
        </is>
      </c>
      <c r="F56" s="28" t="inlineStr">
        <is>
          <t>Admin WSP</t>
        </is>
      </c>
      <c r="G56" s="61">
        <f>VLOOKUP(B56,Sheet5!B:K,10,0)</f>
        <v/>
      </c>
      <c r="H56" s="61">
        <f>VLOOKUP(B56,Sheet5!B:AA,26,0)</f>
        <v/>
      </c>
      <c r="I56" s="73">
        <f>VLOOKUP(B56,Sheet5!AD:AH,5,0)</f>
        <v/>
      </c>
      <c r="J56" s="79">
        <f>VLOOKUP(B56,Sheet5!AD:AG,4,0)</f>
        <v/>
      </c>
    </row>
    <row r="57" ht="15.75" customHeight="1" s="169">
      <c r="A57" s="61" t="n">
        <v>55</v>
      </c>
      <c r="B57" s="15" t="n">
        <v>328000080</v>
      </c>
      <c r="C57" s="52" t="inlineStr">
        <is>
          <t>Ilham Paoji Muharom</t>
        </is>
      </c>
      <c r="D57" s="28" t="inlineStr">
        <is>
          <t>Logistic</t>
        </is>
      </c>
      <c r="E57" s="28" t="inlineStr">
        <is>
          <t>Warehouse Raw Material</t>
        </is>
      </c>
      <c r="F57" s="28" t="inlineStr">
        <is>
          <t>Operator Forklift</t>
        </is>
      </c>
      <c r="G57" s="61">
        <f>VLOOKUP(B57,Sheet5!B:K,10,0)</f>
        <v/>
      </c>
      <c r="H57" s="61">
        <f>VLOOKUP(B57,Sheet5!B:AA,26,0)</f>
        <v/>
      </c>
      <c r="I57" s="73">
        <f>VLOOKUP(B57,Sheet5!AD:AH,5,0)</f>
        <v/>
      </c>
      <c r="J57" s="79">
        <f>VLOOKUP(B57,Sheet5!AD:AG,4,0)</f>
        <v/>
      </c>
    </row>
    <row r="58" ht="15.75" customHeight="1" s="169">
      <c r="A58" s="61" t="n">
        <v>56</v>
      </c>
      <c r="B58" s="15" t="n">
        <v>328000081</v>
      </c>
      <c r="C58" s="52" t="inlineStr">
        <is>
          <t>M. Qori Almahmud</t>
        </is>
      </c>
      <c r="D58" s="28" t="inlineStr">
        <is>
          <t>Logistic</t>
        </is>
      </c>
      <c r="E58" s="28" t="inlineStr">
        <is>
          <t>Warehouse Sparepart</t>
        </is>
      </c>
      <c r="F58" s="28" t="inlineStr">
        <is>
          <t>Admin WSP</t>
        </is>
      </c>
      <c r="G58" s="61">
        <f>VLOOKUP(B58,Sheet5!B:K,10,0)</f>
        <v/>
      </c>
      <c r="H58" s="61">
        <f>VLOOKUP(B58,Sheet5!B:AA,26,0)</f>
        <v/>
      </c>
      <c r="I58" s="73">
        <f>VLOOKUP(B58,Sheet5!AD:AH,5,0)</f>
        <v/>
      </c>
      <c r="J58" s="79">
        <f>VLOOKUP(B58,Sheet5!AD:AG,4,0)</f>
        <v/>
      </c>
    </row>
    <row r="59" ht="15.75" customHeight="1" s="169">
      <c r="A59" s="61" t="n">
        <v>57</v>
      </c>
      <c r="B59" s="15" t="n">
        <v>328000086</v>
      </c>
      <c r="C59" s="52" t="inlineStr">
        <is>
          <t>Aria Permana Zidane</t>
        </is>
      </c>
      <c r="D59" s="28" t="inlineStr">
        <is>
          <t>Logistic</t>
        </is>
      </c>
      <c r="E59" s="28" t="inlineStr">
        <is>
          <t>Warehouse Raw Material</t>
        </is>
      </c>
      <c r="F59" s="28" t="inlineStr">
        <is>
          <t>PIC Area</t>
        </is>
      </c>
      <c r="G59" s="61">
        <f>VLOOKUP(B59,Sheet5!B:K,10,0)</f>
        <v/>
      </c>
      <c r="H59" s="61">
        <f>VLOOKUP(B59,Sheet5!B:AA,26,0)</f>
        <v/>
      </c>
      <c r="I59" s="73">
        <f>VLOOKUP(B59,Sheet5!AD:AH,5,0)</f>
        <v/>
      </c>
      <c r="J59" s="79">
        <f>VLOOKUP(B59,Sheet5!AD:AG,4,0)</f>
        <v/>
      </c>
    </row>
    <row r="60" ht="15.75" customHeight="1" s="169">
      <c r="A60" s="61" t="n">
        <v>58</v>
      </c>
      <c r="B60" s="15" t="n">
        <v>328000097</v>
      </c>
      <c r="C60" s="52" t="inlineStr">
        <is>
          <t>Yogi Rudianto</t>
        </is>
      </c>
      <c r="D60" s="28" t="inlineStr">
        <is>
          <t>Logistic</t>
        </is>
      </c>
      <c r="E60" s="28" t="inlineStr">
        <is>
          <t>Warehouse Raw Material</t>
        </is>
      </c>
      <c r="F60" s="28" t="inlineStr">
        <is>
          <t>Admin WRM</t>
        </is>
      </c>
      <c r="G60" s="61">
        <f>VLOOKUP(B60,Sheet5!B:K,10,0)</f>
        <v/>
      </c>
      <c r="H60" s="61">
        <f>VLOOKUP(B60,Sheet5!B:AA,26,0)</f>
        <v/>
      </c>
      <c r="I60" s="73">
        <f>VLOOKUP(B60,Sheet5!AD:AH,5,0)</f>
        <v/>
      </c>
      <c r="J60" s="79">
        <f>VLOOKUP(B60,Sheet5!AD:AG,4,0)</f>
        <v/>
      </c>
    </row>
    <row r="61" ht="15.75" customHeight="1" s="169">
      <c r="A61" s="61" t="n">
        <v>59</v>
      </c>
      <c r="B61" s="15" t="n">
        <v>328000100</v>
      </c>
      <c r="C61" s="52" t="inlineStr">
        <is>
          <t>Fikrie Abi Hasan</t>
        </is>
      </c>
      <c r="D61" s="28" t="inlineStr">
        <is>
          <t>Logistic</t>
        </is>
      </c>
      <c r="E61" s="28" t="inlineStr">
        <is>
          <t>Warehouse Sparepart</t>
        </is>
      </c>
      <c r="F61" s="28" t="inlineStr">
        <is>
          <t>Admin WSP</t>
        </is>
      </c>
      <c r="G61" s="61">
        <f>VLOOKUP(B61,Sheet5!B:K,10,0)</f>
        <v/>
      </c>
      <c r="H61" s="61">
        <f>VLOOKUP(B61,Sheet5!B:AA,26,0)</f>
        <v/>
      </c>
      <c r="I61" s="73">
        <f>VLOOKUP(B61,Sheet5!AD:AH,5,0)</f>
        <v/>
      </c>
      <c r="J61" s="79">
        <f>VLOOKUP(B61,Sheet5!AD:AG,4,0)</f>
        <v/>
      </c>
    </row>
    <row r="62" ht="15.75" customHeight="1" s="169">
      <c r="A62" s="61" t="n">
        <v>60</v>
      </c>
      <c r="B62" s="15" t="n">
        <v>328000148</v>
      </c>
      <c r="C62" s="52" t="inlineStr">
        <is>
          <t>Muhammad Alfikri</t>
        </is>
      </c>
      <c r="D62" s="28" t="inlineStr">
        <is>
          <t>Logistic</t>
        </is>
      </c>
      <c r="E62" s="28" t="inlineStr">
        <is>
          <t>Warehouse Finish Good</t>
        </is>
      </c>
      <c r="F62" s="28" t="inlineStr">
        <is>
          <t>Checker</t>
        </is>
      </c>
      <c r="G62" s="61">
        <f>VLOOKUP(B62,Sheet5!B:K,10,0)</f>
        <v/>
      </c>
      <c r="H62" s="61">
        <f>VLOOKUP(B62,Sheet5!B:AA,26,0)</f>
        <v/>
      </c>
      <c r="I62" s="73">
        <f>VLOOKUP(B62,Sheet5!AD:AH,5,0)</f>
        <v/>
      </c>
      <c r="J62" s="79">
        <f>VLOOKUP(B62,Sheet5!AD:AG,4,0)</f>
        <v/>
      </c>
    </row>
    <row r="63" ht="15.75" customHeight="1" s="169">
      <c r="A63" s="61" t="n">
        <v>61</v>
      </c>
      <c r="B63" s="15" t="n">
        <v>328000237</v>
      </c>
      <c r="C63" s="52" t="inlineStr">
        <is>
          <t>Muhamad Gaman</t>
        </is>
      </c>
      <c r="D63" s="28" t="inlineStr">
        <is>
          <t>Logistic</t>
        </is>
      </c>
      <c r="E63" s="28" t="inlineStr">
        <is>
          <t>Warehouse Raw Material</t>
        </is>
      </c>
      <c r="F63" s="28" t="inlineStr">
        <is>
          <t>Operator Forklift</t>
        </is>
      </c>
      <c r="G63" s="61">
        <f>VLOOKUP(B63,Sheet5!B:K,10,0)</f>
        <v/>
      </c>
      <c r="H63" s="61">
        <f>VLOOKUP(B63,Sheet5!B:AA,26,0)</f>
        <v/>
      </c>
      <c r="I63" s="73">
        <f>VLOOKUP(B63,Sheet5!AD:AH,5,0)</f>
        <v/>
      </c>
      <c r="J63" s="79">
        <f>VLOOKUP(B63,Sheet5!AD:AG,4,0)</f>
        <v/>
      </c>
    </row>
    <row r="64" ht="15.75" customHeight="1" s="169">
      <c r="A64" s="61" t="n">
        <v>62</v>
      </c>
      <c r="B64" s="15" t="n">
        <v>328000251</v>
      </c>
      <c r="C64" s="52" t="inlineStr">
        <is>
          <t>Dede Saman Nursamsi</t>
        </is>
      </c>
      <c r="D64" s="28" t="inlineStr">
        <is>
          <t>Logistic</t>
        </is>
      </c>
      <c r="E64" s="28" t="inlineStr">
        <is>
          <t>Warehouse Finish Good</t>
        </is>
      </c>
      <c r="F64" s="28" t="inlineStr">
        <is>
          <t>Checker</t>
        </is>
      </c>
      <c r="G64" s="61">
        <f>VLOOKUP(B64,Sheet5!B:K,10,0)</f>
        <v/>
      </c>
      <c r="H64" s="61">
        <f>VLOOKUP(B64,Sheet5!B:AA,26,0)</f>
        <v/>
      </c>
      <c r="I64" s="73">
        <f>VLOOKUP(B64,Sheet5!AD:AH,5,0)</f>
        <v/>
      </c>
      <c r="J64" s="79">
        <f>VLOOKUP(B64,Sheet5!AD:AG,4,0)</f>
        <v/>
      </c>
    </row>
    <row r="65" ht="15.75" customHeight="1" s="169">
      <c r="A65" s="61" t="n">
        <v>63</v>
      </c>
      <c r="B65" s="15" t="n">
        <v>328000254</v>
      </c>
      <c r="C65" s="52" t="inlineStr">
        <is>
          <t>Ari Muhamad Ridwan</t>
        </is>
      </c>
      <c r="D65" s="28" t="inlineStr">
        <is>
          <t>Logistic</t>
        </is>
      </c>
      <c r="E65" s="28" t="inlineStr">
        <is>
          <t>Warehouse Finish Good</t>
        </is>
      </c>
      <c r="F65" s="28" t="inlineStr">
        <is>
          <t>Operator Forklift</t>
        </is>
      </c>
      <c r="G65" s="61">
        <f>VLOOKUP(B65,Sheet5!B:K,10,0)</f>
        <v/>
      </c>
      <c r="H65" s="61">
        <f>VLOOKUP(B65,Sheet5!B:AA,26,0)</f>
        <v/>
      </c>
      <c r="I65" s="73">
        <f>VLOOKUP(B65,Sheet5!AD:AH,5,0)</f>
        <v/>
      </c>
      <c r="J65" s="79">
        <f>VLOOKUP(B65,Sheet5!AD:AG,4,0)</f>
        <v/>
      </c>
    </row>
    <row r="66" ht="15.75" customHeight="1" s="169">
      <c r="A66" s="61" t="n">
        <v>64</v>
      </c>
      <c r="B66" s="15" t="n">
        <v>328000256</v>
      </c>
      <c r="C66" s="52" t="inlineStr">
        <is>
          <t>Miftahus Salam</t>
        </is>
      </c>
      <c r="D66" s="28" t="inlineStr">
        <is>
          <t>Logistic</t>
        </is>
      </c>
      <c r="E66" s="28" t="inlineStr">
        <is>
          <t>Warehouse Raw Material</t>
        </is>
      </c>
      <c r="F66" s="28" t="inlineStr">
        <is>
          <t>Operator Forklift</t>
        </is>
      </c>
      <c r="G66" s="61">
        <f>VLOOKUP(B66,Sheet5!B:K,10,0)</f>
        <v/>
      </c>
      <c r="H66" s="61">
        <f>VLOOKUP(B66,Sheet5!B:AA,26,0)</f>
        <v/>
      </c>
      <c r="I66" s="73">
        <f>VLOOKUP(B66,Sheet5!AD:AH,5,0)</f>
        <v/>
      </c>
      <c r="J66" s="79">
        <f>VLOOKUP(B66,Sheet5!AD:AG,4,0)</f>
        <v/>
      </c>
    </row>
    <row r="67" ht="15.75" customHeight="1" s="169">
      <c r="A67" s="61" t="n">
        <v>65</v>
      </c>
      <c r="B67" s="15" t="n">
        <v>328000257</v>
      </c>
      <c r="C67" s="52" t="inlineStr">
        <is>
          <t>Agung Bagaskara</t>
        </is>
      </c>
      <c r="D67" s="28" t="inlineStr">
        <is>
          <t>Logistic</t>
        </is>
      </c>
      <c r="E67" s="28" t="inlineStr">
        <is>
          <t>Warehouse Finish Good</t>
        </is>
      </c>
      <c r="F67" s="28" t="inlineStr">
        <is>
          <t>Operator Forklift</t>
        </is>
      </c>
      <c r="G67" s="61">
        <f>VLOOKUP(B67,Sheet5!B:K,10,0)</f>
        <v/>
      </c>
      <c r="H67" s="61">
        <f>VLOOKUP(B67,Sheet5!B:AA,26,0)</f>
        <v/>
      </c>
      <c r="I67" s="73">
        <f>VLOOKUP(B67,Sheet5!AD:AH,5,0)</f>
        <v/>
      </c>
      <c r="J67" s="79">
        <f>VLOOKUP(B67,Sheet5!AD:AG,4,0)</f>
        <v/>
      </c>
    </row>
    <row r="68" ht="15.75" customHeight="1" s="169">
      <c r="A68" s="61" t="n">
        <v>66</v>
      </c>
      <c r="B68" s="15" t="n">
        <v>328000259</v>
      </c>
      <c r="C68" s="52" t="inlineStr">
        <is>
          <t>Hendri indriyanto</t>
        </is>
      </c>
      <c r="D68" s="28" t="inlineStr">
        <is>
          <t>Logistic</t>
        </is>
      </c>
      <c r="E68" s="28" t="inlineStr">
        <is>
          <t>Warehouse Finish Good</t>
        </is>
      </c>
      <c r="F68" s="28" t="inlineStr">
        <is>
          <t>Operator Forklift</t>
        </is>
      </c>
      <c r="G68" s="61">
        <f>VLOOKUP(B68,Sheet5!B:K,10,0)</f>
        <v/>
      </c>
      <c r="H68" s="61">
        <f>VLOOKUP(B68,Sheet5!B:AA,26,0)</f>
        <v/>
      </c>
      <c r="I68" s="73">
        <f>VLOOKUP(B68,Sheet5!AD:AH,5,0)</f>
        <v/>
      </c>
      <c r="J68" s="79">
        <f>VLOOKUP(B68,Sheet5!AD:AG,4,0)</f>
        <v/>
      </c>
    </row>
    <row r="69" ht="15.75" customHeight="1" s="169">
      <c r="A69" s="61" t="n">
        <v>67</v>
      </c>
      <c r="B69" s="15" t="n">
        <v>328000261</v>
      </c>
      <c r="C69" s="52" t="inlineStr">
        <is>
          <t>Aranikita Beru Sibiro</t>
        </is>
      </c>
      <c r="D69" s="28" t="inlineStr">
        <is>
          <t>Logistic</t>
        </is>
      </c>
      <c r="E69" s="28" t="inlineStr">
        <is>
          <t>Timbangan</t>
        </is>
      </c>
      <c r="F69" s="28" t="inlineStr">
        <is>
          <t>Admin Timbangan</t>
        </is>
      </c>
      <c r="G69" s="61">
        <f>VLOOKUP(B69,Sheet5!B:K,10,0)</f>
        <v/>
      </c>
      <c r="H69" s="61">
        <f>VLOOKUP(B69,Sheet5!B:AA,26,0)</f>
        <v/>
      </c>
      <c r="I69" s="73">
        <f>VLOOKUP(B69,Sheet5!AD:AH,5,0)</f>
        <v/>
      </c>
      <c r="J69" s="79">
        <f>VLOOKUP(B69,Sheet5!AD:AG,4,0)</f>
        <v/>
      </c>
    </row>
    <row r="70" ht="15.75" customHeight="1" s="169">
      <c r="A70" s="61" t="n">
        <v>68</v>
      </c>
      <c r="B70" s="15" t="n">
        <v>328000262</v>
      </c>
      <c r="C70" s="52" t="inlineStr">
        <is>
          <t>Jujun Junaedi</t>
        </is>
      </c>
      <c r="D70" s="28" t="inlineStr">
        <is>
          <t>Logistic</t>
        </is>
      </c>
      <c r="E70" s="28" t="inlineStr">
        <is>
          <t>Warehouse Finish Good</t>
        </is>
      </c>
      <c r="F70" s="28" t="inlineStr">
        <is>
          <t>Operator Forklift</t>
        </is>
      </c>
      <c r="G70" s="61">
        <f>VLOOKUP(B70,Sheet5!B:K,10,0)</f>
        <v/>
      </c>
      <c r="H70" s="61">
        <f>VLOOKUP(B70,Sheet5!B:AA,26,0)</f>
        <v/>
      </c>
      <c r="I70" s="73">
        <f>VLOOKUP(B70,Sheet5!AD:AH,5,0)</f>
        <v/>
      </c>
      <c r="J70" s="79">
        <f>VLOOKUP(B70,Sheet5!AD:AG,4,0)</f>
        <v/>
      </c>
    </row>
    <row r="71" ht="15.75" customHeight="1" s="169">
      <c r="A71" s="61" t="n">
        <v>69</v>
      </c>
      <c r="B71" s="15" t="n">
        <v>328000263</v>
      </c>
      <c r="C71" s="52" t="inlineStr">
        <is>
          <t>Magie Maghfira</t>
        </is>
      </c>
      <c r="D71" s="28" t="inlineStr">
        <is>
          <t>Logistic</t>
        </is>
      </c>
      <c r="E71" s="28" t="inlineStr">
        <is>
          <t>Warehouse Finish Good</t>
        </is>
      </c>
      <c r="F71" s="28" t="inlineStr">
        <is>
          <t>Admin WFG</t>
        </is>
      </c>
      <c r="G71" s="61">
        <f>VLOOKUP(B71,Sheet5!B:K,10,0)</f>
        <v/>
      </c>
      <c r="H71" s="61">
        <f>VLOOKUP(B71,Sheet5!B:AA,26,0)</f>
        <v/>
      </c>
      <c r="I71" s="73">
        <f>VLOOKUP(B71,Sheet5!AD:AH,5,0)</f>
        <v/>
      </c>
      <c r="J71" s="79">
        <f>VLOOKUP(B71,Sheet5!AD:AG,4,0)</f>
        <v/>
      </c>
    </row>
    <row r="72" ht="15.75" customHeight="1" s="169">
      <c r="A72" s="61" t="n">
        <v>70</v>
      </c>
      <c r="B72" s="15" t="n">
        <v>328000271</v>
      </c>
      <c r="C72" s="52" t="inlineStr">
        <is>
          <t>Nuryana</t>
        </is>
      </c>
      <c r="D72" s="28" t="inlineStr">
        <is>
          <t>Logistic</t>
        </is>
      </c>
      <c r="E72" s="28" t="inlineStr">
        <is>
          <t>Warehouse Raw Material</t>
        </is>
      </c>
      <c r="F72" s="28" t="inlineStr">
        <is>
          <t>Operator Forklift</t>
        </is>
      </c>
      <c r="G72" s="61">
        <f>VLOOKUP(B72,Sheet5!B:K,10,0)</f>
        <v/>
      </c>
      <c r="H72" s="61">
        <f>VLOOKUP(B72,Sheet5!B:AA,26,0)</f>
        <v/>
      </c>
      <c r="I72" s="73">
        <f>VLOOKUP(B72,Sheet5!AD:AH,5,0)</f>
        <v/>
      </c>
      <c r="J72" s="79">
        <f>VLOOKUP(B72,Sheet5!AD:AG,4,0)</f>
        <v/>
      </c>
    </row>
    <row r="73" ht="15.75" customHeight="1" s="169">
      <c r="A73" s="61" t="n">
        <v>71</v>
      </c>
      <c r="B73" s="15" t="n">
        <v>328000301</v>
      </c>
      <c r="C73" s="52" t="inlineStr">
        <is>
          <t>Cindy Permatasari</t>
        </is>
      </c>
      <c r="D73" s="28" t="inlineStr">
        <is>
          <t>Logistic</t>
        </is>
      </c>
      <c r="E73" s="28" t="inlineStr">
        <is>
          <t>Warehouse Raw Material</t>
        </is>
      </c>
      <c r="F73" s="28" t="inlineStr">
        <is>
          <t>Admin WRM</t>
        </is>
      </c>
      <c r="G73" s="61">
        <f>VLOOKUP(B73,Sheet5!B:K,10,0)</f>
        <v/>
      </c>
      <c r="H73" s="61">
        <f>VLOOKUP(B73,Sheet5!B:AA,26,0)</f>
        <v/>
      </c>
      <c r="I73" s="73">
        <f>VLOOKUP(B73,Sheet5!AD:AH,5,0)</f>
        <v/>
      </c>
      <c r="J73" s="79">
        <f>VLOOKUP(B73,Sheet5!AD:AG,4,0)</f>
        <v/>
      </c>
    </row>
    <row r="74" ht="15.75" customHeight="1" s="169">
      <c r="A74" s="61" t="n">
        <v>72</v>
      </c>
      <c r="B74" s="15" t="n">
        <v>328000304</v>
      </c>
      <c r="C74" s="52" t="inlineStr">
        <is>
          <t>Riezal Aulia Dienilhaq</t>
        </is>
      </c>
      <c r="D74" s="28" t="inlineStr">
        <is>
          <t>Logistic</t>
        </is>
      </c>
      <c r="E74" s="28" t="inlineStr">
        <is>
          <t>Warehouse Finish Good</t>
        </is>
      </c>
      <c r="F74" s="28" t="inlineStr">
        <is>
          <t>Admin WFG</t>
        </is>
      </c>
      <c r="G74" s="61">
        <f>VLOOKUP(B74,Sheet5!B:K,10,0)</f>
        <v/>
      </c>
      <c r="H74" s="61">
        <f>VLOOKUP(B74,Sheet5!B:AA,26,0)</f>
        <v/>
      </c>
      <c r="I74" s="73">
        <f>VLOOKUP(B74,Sheet5!AD:AH,5,0)</f>
        <v/>
      </c>
      <c r="J74" s="79">
        <f>VLOOKUP(B74,Sheet5!AD:AG,4,0)</f>
        <v/>
      </c>
    </row>
    <row r="75" ht="15.75" customHeight="1" s="169">
      <c r="A75" s="61" t="n">
        <v>73</v>
      </c>
      <c r="B75" s="15" t="n">
        <v>328000315</v>
      </c>
      <c r="C75" s="52" t="inlineStr">
        <is>
          <t>Fikri Haikal</t>
        </is>
      </c>
      <c r="D75" s="28" t="inlineStr">
        <is>
          <t>Logistic</t>
        </is>
      </c>
      <c r="E75" s="28" t="inlineStr">
        <is>
          <t>Warehouse Finish Good</t>
        </is>
      </c>
      <c r="F75" s="28" t="inlineStr">
        <is>
          <t>Operator Forklift</t>
        </is>
      </c>
      <c r="G75" s="61">
        <f>VLOOKUP(B75,Sheet5!B:K,10,0)</f>
        <v/>
      </c>
      <c r="H75" s="61">
        <f>VLOOKUP(B75,Sheet5!B:AA,26,0)</f>
        <v/>
      </c>
      <c r="I75" s="73">
        <f>VLOOKUP(B75,Sheet5!AD:AH,5,0)</f>
        <v/>
      </c>
      <c r="J75" s="79">
        <f>VLOOKUP(B75,Sheet5!AD:AG,4,0)</f>
        <v/>
      </c>
    </row>
    <row r="76" ht="15.75" customHeight="1" s="169">
      <c r="A76" s="61" t="n">
        <v>74</v>
      </c>
      <c r="B76" s="15" t="n">
        <v>328000339</v>
      </c>
      <c r="C76" s="52" t="inlineStr">
        <is>
          <t>Mohammad Rafi Rustaman</t>
        </is>
      </c>
      <c r="D76" s="28" t="inlineStr">
        <is>
          <t>Logistic</t>
        </is>
      </c>
      <c r="E76" s="28" t="inlineStr">
        <is>
          <t>Warehouse Finish Good</t>
        </is>
      </c>
      <c r="F76" s="28" t="inlineStr">
        <is>
          <t>Checker</t>
        </is>
      </c>
      <c r="G76" s="61">
        <f>VLOOKUP(B76,Sheet5!B:K,10,0)</f>
        <v/>
      </c>
      <c r="H76" s="61">
        <f>VLOOKUP(B76,Sheet5!B:AA,26,0)</f>
        <v/>
      </c>
      <c r="I76" s="73">
        <f>VLOOKUP(B76,Sheet5!AD:AH,5,0)</f>
        <v/>
      </c>
      <c r="J76" s="79">
        <f>VLOOKUP(B76,Sheet5!AD:AG,4,0)</f>
        <v/>
      </c>
    </row>
    <row r="77" ht="15.75" customHeight="1" s="169">
      <c r="A77" s="61" t="n">
        <v>75</v>
      </c>
      <c r="B77" s="15" t="n">
        <v>328000359</v>
      </c>
      <c r="C77" s="52" t="inlineStr">
        <is>
          <t>Firly Meitasari</t>
        </is>
      </c>
      <c r="D77" s="28" t="inlineStr">
        <is>
          <t>Logistic</t>
        </is>
      </c>
      <c r="E77" s="28" t="inlineStr">
        <is>
          <t>Ekspedisi</t>
        </is>
      </c>
      <c r="F77" s="28" t="inlineStr">
        <is>
          <t>Admin Ekspedisi</t>
        </is>
      </c>
      <c r="G77" s="61">
        <f>VLOOKUP(B77,Sheet5!B:K,10,0)</f>
        <v/>
      </c>
      <c r="H77" s="61">
        <f>VLOOKUP(B77,Sheet5!B:AA,26,0)</f>
        <v/>
      </c>
      <c r="I77" s="73">
        <f>VLOOKUP(B77,Sheet5!AD:AH,5,0)</f>
        <v/>
      </c>
      <c r="J77" s="79">
        <f>VLOOKUP(B77,Sheet5!AD:AG,4,0)</f>
        <v/>
      </c>
    </row>
    <row r="78" ht="15.75" customHeight="1" s="169">
      <c r="A78" s="61" t="n">
        <v>76</v>
      </c>
      <c r="B78" s="15" t="n">
        <v>328000378</v>
      </c>
      <c r="C78" s="52" t="inlineStr">
        <is>
          <t>Jauhar Alamanda A. Hilda</t>
        </is>
      </c>
      <c r="D78" s="28" t="inlineStr">
        <is>
          <t>Logistic</t>
        </is>
      </c>
      <c r="E78" s="28" t="inlineStr">
        <is>
          <t>Warehouse Finish Good</t>
        </is>
      </c>
      <c r="F78" s="28" t="inlineStr">
        <is>
          <t>Operator Forklift</t>
        </is>
      </c>
      <c r="G78" s="61">
        <f>VLOOKUP(B78,Sheet5!B:K,10,0)</f>
        <v/>
      </c>
      <c r="H78" s="61">
        <f>VLOOKUP(B78,Sheet5!B:AA,26,0)</f>
        <v/>
      </c>
      <c r="I78" s="73">
        <f>VLOOKUP(B78,Sheet5!AD:AH,5,0)</f>
        <v/>
      </c>
      <c r="J78" s="79">
        <f>VLOOKUP(B78,Sheet5!AD:AG,4,0)</f>
        <v/>
      </c>
    </row>
    <row r="79" ht="15.75" customHeight="1" s="169">
      <c r="A79" s="61" t="n">
        <v>77</v>
      </c>
      <c r="B79" s="15" t="n">
        <v>328000391</v>
      </c>
      <c r="C79" s="52" t="inlineStr">
        <is>
          <t>Rangga Aditya</t>
        </is>
      </c>
      <c r="D79" s="28" t="inlineStr">
        <is>
          <t>Logistic</t>
        </is>
      </c>
      <c r="E79" s="28" t="inlineStr">
        <is>
          <t>Warehouse Finish Good</t>
        </is>
      </c>
      <c r="F79" s="28" t="inlineStr">
        <is>
          <t>Checker</t>
        </is>
      </c>
      <c r="G79" s="61">
        <f>VLOOKUP(B79,Sheet5!B:K,10,0)</f>
        <v/>
      </c>
      <c r="H79" s="61">
        <f>VLOOKUP(B79,Sheet5!B:AA,26,0)</f>
        <v/>
      </c>
      <c r="I79" s="73">
        <f>VLOOKUP(B79,Sheet5!AD:AH,5,0)</f>
        <v/>
      </c>
      <c r="J79" s="79">
        <f>VLOOKUP(B79,Sheet5!AD:AG,4,0)</f>
        <v/>
      </c>
    </row>
    <row r="80" ht="15.75" customHeight="1" s="169">
      <c r="A80" s="61" t="n">
        <v>78</v>
      </c>
      <c r="B80" s="15" t="n">
        <v>328000396</v>
      </c>
      <c r="C80" s="52" t="inlineStr">
        <is>
          <t>M. Zidan Juniar</t>
        </is>
      </c>
      <c r="D80" s="28" t="inlineStr">
        <is>
          <t>Logistic</t>
        </is>
      </c>
      <c r="E80" s="28" t="inlineStr">
        <is>
          <t>Timbangan</t>
        </is>
      </c>
      <c r="F80" s="28" t="inlineStr">
        <is>
          <t>Admin Timbangan</t>
        </is>
      </c>
      <c r="G80" s="61">
        <f>VLOOKUP(B80,Sheet5!B:K,10,0)</f>
        <v/>
      </c>
      <c r="H80" s="61">
        <f>VLOOKUP(B80,Sheet5!B:AA,26,0)</f>
        <v/>
      </c>
      <c r="I80" s="73">
        <f>VLOOKUP(B80,Sheet5!AD:AH,5,0)</f>
        <v/>
      </c>
      <c r="J80" s="79">
        <f>VLOOKUP(B80,Sheet5!AD:AG,4,0)</f>
        <v/>
      </c>
    </row>
    <row r="81" ht="15.75" customHeight="1" s="169">
      <c r="A81" s="61" t="n">
        <v>79</v>
      </c>
      <c r="B81" s="15" t="n">
        <v>328000409</v>
      </c>
      <c r="C81" s="52" t="inlineStr">
        <is>
          <t>Suhendi</t>
        </is>
      </c>
      <c r="D81" s="28" t="inlineStr">
        <is>
          <t>Logistic</t>
        </is>
      </c>
      <c r="E81" s="28" t="inlineStr">
        <is>
          <t>Warehouse Raw Material</t>
        </is>
      </c>
      <c r="F81" s="28" t="inlineStr">
        <is>
          <t>Operator Forklift</t>
        </is>
      </c>
      <c r="G81" s="61">
        <f>VLOOKUP(B81,Sheet5!B:K,10,0)</f>
        <v/>
      </c>
      <c r="H81" s="61">
        <f>VLOOKUP(B81,Sheet5!B:AA,26,0)</f>
        <v/>
      </c>
      <c r="I81" s="73">
        <f>VLOOKUP(B81,Sheet5!AD:AH,5,0)</f>
        <v/>
      </c>
      <c r="J81" s="79">
        <f>VLOOKUP(B81,Sheet5!AD:AG,4,0)</f>
        <v/>
      </c>
    </row>
    <row r="82" ht="15.75" customHeight="1" s="169">
      <c r="A82" s="61" t="n">
        <v>80</v>
      </c>
      <c r="B82" s="15" t="n">
        <v>328000419</v>
      </c>
      <c r="C82" s="52" t="inlineStr">
        <is>
          <t>Cecep Sukma Wijaya</t>
        </is>
      </c>
      <c r="D82" s="28" t="inlineStr">
        <is>
          <t>Logistic</t>
        </is>
      </c>
      <c r="E82" s="28" t="inlineStr">
        <is>
          <t>Warehouse Finish Good</t>
        </is>
      </c>
      <c r="F82" s="28" t="inlineStr">
        <is>
          <t>Operator Forklift</t>
        </is>
      </c>
      <c r="G82" s="61">
        <f>VLOOKUP(B82,Sheet5!B:K,10,0)</f>
        <v/>
      </c>
      <c r="H82" s="61">
        <f>VLOOKUP(B82,Sheet5!B:AA,26,0)</f>
        <v/>
      </c>
      <c r="I82" s="73">
        <f>VLOOKUP(B82,Sheet5!AD:AH,5,0)</f>
        <v/>
      </c>
      <c r="J82" s="79">
        <f>VLOOKUP(B82,Sheet5!AD:AG,4,0)</f>
        <v/>
      </c>
    </row>
    <row r="83" ht="15.75" customHeight="1" s="169">
      <c r="B83" s="89" t="n"/>
      <c r="C83" s="89" t="n"/>
    </row>
    <row r="84" ht="15.75" customHeight="1" s="169">
      <c r="B84" s="89" t="n"/>
      <c r="C84" s="89" t="n"/>
    </row>
    <row r="85" ht="15.75" customHeight="1" s="169">
      <c r="B85" s="89" t="n"/>
      <c r="C85" s="89" t="n"/>
    </row>
    <row r="86" ht="15.75" customHeight="1" s="169">
      <c r="B86" s="89" t="n"/>
      <c r="C86" s="89" t="n"/>
    </row>
    <row r="87" ht="15.75" customHeight="1" s="169">
      <c r="B87" s="89" t="n"/>
      <c r="C87" s="89" t="n"/>
    </row>
    <row r="88" ht="15.75" customHeight="1" s="169"/>
    <row r="89" ht="15.75" customHeight="1" s="169">
      <c r="B89" s="90" t="inlineStr">
        <is>
          <t>Jenis Kelamin</t>
        </is>
      </c>
      <c r="C89" s="90" t="inlineStr">
        <is>
          <t>Total</t>
        </is>
      </c>
    </row>
    <row r="90" ht="15.75" customHeight="1" s="169">
      <c r="B90" s="91" t="inlineStr">
        <is>
          <t>Laki-laki</t>
        </is>
      </c>
      <c r="C90" s="92">
        <f>COUNTIF('Prod Mesin 1'!$G$2:$G$93,"L")</f>
        <v/>
      </c>
    </row>
    <row r="91" ht="15.75" customHeight="1" s="169">
      <c r="B91" s="91" t="inlineStr">
        <is>
          <t>Perempuan</t>
        </is>
      </c>
      <c r="C91" s="92">
        <f>COUNTIF('Prod Mesin 1'!$G$3:$G$94,"P")</f>
        <v/>
      </c>
    </row>
    <row r="92" ht="15.75" customHeight="1" s="169">
      <c r="B92" s="93" t="inlineStr">
        <is>
          <t>Jumlah</t>
        </is>
      </c>
      <c r="C92" s="94">
        <f>SUM(C43:C91)</f>
        <v/>
      </c>
    </row>
    <row r="93" ht="15.75" customHeight="1" s="169"/>
    <row r="94" ht="15.75" customHeight="1" s="169">
      <c r="B94" s="90" t="inlineStr">
        <is>
          <t>Jabatan</t>
        </is>
      </c>
      <c r="C94" s="90" t="inlineStr">
        <is>
          <t>Total</t>
        </is>
      </c>
    </row>
    <row r="95" ht="15.75" customHeight="1" s="169">
      <c r="B95" s="91" t="inlineStr">
        <is>
          <t>Packer</t>
        </is>
      </c>
      <c r="C95" s="92">
        <f>COUNTIF('Prod Mesin 1'!$F$2:$F$100,"Packer")</f>
        <v/>
      </c>
    </row>
    <row r="96" ht="15.75" customHeight="1" s="169">
      <c r="B96" s="91" t="inlineStr">
        <is>
          <t>Operator Production</t>
        </is>
      </c>
      <c r="C96" s="92">
        <f>COUNTIF('Prod Mesin 1'!$F$2:$F$101,"Operator Produksi")</f>
        <v/>
      </c>
    </row>
    <row r="97" ht="19.5" customHeight="1" s="169">
      <c r="B97" s="91" t="inlineStr">
        <is>
          <t xml:space="preserve">QC - Diapers
</t>
        </is>
      </c>
      <c r="C97" s="92">
        <f>COUNTIF('Prod Mesin 1'!$E$2:$E$101,"QC - Diapers")</f>
        <v/>
      </c>
    </row>
    <row r="98" ht="15.75" customHeight="1" s="169">
      <c r="B98" s="91" t="inlineStr">
        <is>
          <t>Logistic</t>
        </is>
      </c>
      <c r="C98" s="92">
        <f>COUNTIF('Prod Mesin 1'!$D$2:$D$101,"Logistic")</f>
        <v/>
      </c>
    </row>
    <row r="99" ht="15.75" customHeight="1" s="169">
      <c r="B99" s="93" t="inlineStr">
        <is>
          <t>Jumlah</t>
        </is>
      </c>
      <c r="C99" s="94">
        <f>SUM(C95:C98)</f>
        <v/>
      </c>
    </row>
    <row r="100" ht="15.75" customHeight="1" s="169"/>
    <row r="101" ht="15.75" customHeight="1" s="169"/>
    <row r="102" ht="15.75" customHeight="1" s="169">
      <c r="B102" s="95" t="inlineStr">
        <is>
          <t>Pendidikan</t>
        </is>
      </c>
      <c r="C102" s="95" t="inlineStr">
        <is>
          <t>Total</t>
        </is>
      </c>
    </row>
    <row r="103" ht="15.75" customHeight="1" s="169">
      <c r="B103" s="96" t="inlineStr">
        <is>
          <t>SMK</t>
        </is>
      </c>
      <c r="C103" s="17">
        <f>COUNTIF('Prod Mesin 1'!$H$2:$H$106,"SMK")</f>
        <v/>
      </c>
    </row>
    <row r="104" ht="15.75" customHeight="1" s="169">
      <c r="B104" s="96" t="inlineStr">
        <is>
          <t>SMA</t>
        </is>
      </c>
      <c r="C104" s="17">
        <f>COUNTIF('Prod Mesin 1'!$H$2:$H$106,"SMA")</f>
        <v/>
      </c>
    </row>
    <row r="105" ht="15.75" customHeight="1" s="169">
      <c r="B105" s="28" t="inlineStr">
        <is>
          <t>D1</t>
        </is>
      </c>
      <c r="C105" s="17">
        <f>COUNTIF('Prod Mesin 1'!$H$2:$H$106,"D1")</f>
        <v/>
      </c>
    </row>
    <row r="106" ht="15.75" customHeight="1" s="169">
      <c r="B106" s="28" t="inlineStr">
        <is>
          <t>D2</t>
        </is>
      </c>
      <c r="C106" s="17">
        <f>COUNTIF('Prod Mesin 1'!$H$2:$H$106,"D2")</f>
        <v/>
      </c>
    </row>
    <row r="107" ht="15.75" customHeight="1" s="169">
      <c r="B107" s="28" t="inlineStr">
        <is>
          <t>D3</t>
        </is>
      </c>
      <c r="C107" s="17">
        <f>COUNTIF('Prod Mesin 1'!$H$2:$H$106,"D3")</f>
        <v/>
      </c>
    </row>
    <row r="108" ht="15.75" customHeight="1" s="169">
      <c r="B108" s="28" t="inlineStr">
        <is>
          <t>D4</t>
        </is>
      </c>
      <c r="C108" s="17">
        <f>COUNTIF('Prod Mesin 1'!$H$2:$H$106,"D4")</f>
        <v/>
      </c>
    </row>
    <row r="109" ht="15.75" customHeight="1" s="169">
      <c r="B109" s="28" t="inlineStr">
        <is>
          <t>S1</t>
        </is>
      </c>
      <c r="C109" s="17">
        <f>COUNTIF('Prod Mesin 1'!$H$2:$H$106,"S1")</f>
        <v/>
      </c>
    </row>
    <row r="110" ht="15.75" customHeight="1" s="169">
      <c r="B110" s="28" t="inlineStr">
        <is>
          <t>S2</t>
        </is>
      </c>
      <c r="C110" s="17">
        <f>COUNTIF('Prod Mesin 1'!$H$2:$H$106,"S2")</f>
        <v/>
      </c>
    </row>
    <row r="111" ht="15.75" customHeight="1" s="169">
      <c r="B111" s="97" t="inlineStr">
        <is>
          <t>Jumlah</t>
        </is>
      </c>
      <c r="C111" s="98">
        <f>SUM(C103:C110)</f>
        <v/>
      </c>
    </row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4">
    <mergeCell ref="K3:K18"/>
    <mergeCell ref="M1:U1"/>
    <mergeCell ref="B1:J1"/>
    <mergeCell ref="K19:K4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M1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9" min="1" max="6"/>
  </cols>
  <sheetData>
    <row r="1" ht="15.75" customHeight="1" s="169">
      <c r="A1" s="42" t="inlineStr">
        <is>
          <t>Jumlah Karyawan Department ENG</t>
        </is>
      </c>
    </row>
    <row r="2" ht="15.75" customHeight="1" s="169">
      <c r="A2" s="53" t="n">
        <v>2024</v>
      </c>
    </row>
    <row r="3" ht="15.75" customHeight="1" s="169">
      <c r="A3" s="15" t="inlineStr">
        <is>
          <t>Section</t>
        </is>
      </c>
      <c r="B3" s="15" t="inlineStr">
        <is>
          <t>January</t>
        </is>
      </c>
      <c r="C3" s="15" t="inlineStr">
        <is>
          <t>February</t>
        </is>
      </c>
      <c r="D3" s="15" t="inlineStr">
        <is>
          <t>March</t>
        </is>
      </c>
      <c r="E3" s="15" t="inlineStr">
        <is>
          <t>April</t>
        </is>
      </c>
      <c r="F3" s="15" t="inlineStr">
        <is>
          <t>May</t>
        </is>
      </c>
      <c r="G3" s="15" t="inlineStr">
        <is>
          <t>June</t>
        </is>
      </c>
      <c r="H3" s="15" t="inlineStr">
        <is>
          <t>July</t>
        </is>
      </c>
      <c r="I3" s="15" t="inlineStr">
        <is>
          <t>August</t>
        </is>
      </c>
      <c r="J3" s="15" t="inlineStr">
        <is>
          <t>September</t>
        </is>
      </c>
      <c r="K3" s="15" t="inlineStr">
        <is>
          <t>October</t>
        </is>
      </c>
      <c r="L3" s="15" t="inlineStr">
        <is>
          <t>November</t>
        </is>
      </c>
      <c r="M3" s="15" t="inlineStr">
        <is>
          <t>December</t>
        </is>
      </c>
    </row>
    <row r="4" ht="15.75" customHeight="1" s="169">
      <c r="A4" s="28" t="inlineStr">
        <is>
          <t>ENG</t>
        </is>
      </c>
      <c r="B4" s="61" t="n">
        <v>13</v>
      </c>
      <c r="C4" s="61" t="n">
        <v>14</v>
      </c>
      <c r="D4" s="61" t="n">
        <v>14</v>
      </c>
      <c r="E4" s="61" t="n">
        <v>14</v>
      </c>
      <c r="F4" s="61" t="n">
        <v>13</v>
      </c>
      <c r="G4" s="61" t="n">
        <v>13</v>
      </c>
      <c r="H4" s="61" t="n">
        <v>14</v>
      </c>
      <c r="I4" s="61" t="n">
        <v>13</v>
      </c>
      <c r="J4" s="61" t="n">
        <v>14</v>
      </c>
      <c r="K4" s="61" t="n">
        <v>14</v>
      </c>
      <c r="L4" s="61" t="n">
        <v>14</v>
      </c>
      <c r="M4" s="61" t="n">
        <v>15</v>
      </c>
    </row>
    <row r="5" ht="15.75" customHeight="1" s="169">
      <c r="A5" s="28" t="inlineStr">
        <is>
          <t>WSP</t>
        </is>
      </c>
      <c r="B5" s="61" t="n">
        <v>4</v>
      </c>
      <c r="C5" s="61" t="n">
        <v>4</v>
      </c>
      <c r="D5" s="61" t="n">
        <v>4</v>
      </c>
      <c r="E5" s="61" t="n">
        <v>4</v>
      </c>
      <c r="F5" s="61" t="n">
        <v>4</v>
      </c>
      <c r="G5" s="61" t="n">
        <v>4</v>
      </c>
      <c r="H5" s="61" t="n">
        <v>4</v>
      </c>
      <c r="I5" s="61" t="n">
        <v>4</v>
      </c>
      <c r="J5" s="61" t="n">
        <v>4</v>
      </c>
      <c r="K5" s="61" t="n">
        <v>4</v>
      </c>
      <c r="L5" s="61" t="n">
        <v>4</v>
      </c>
      <c r="M5" s="61" t="n">
        <v>4</v>
      </c>
    </row>
    <row r="6" ht="15.75" customHeight="1" s="169">
      <c r="A6" s="54" t="inlineStr">
        <is>
          <t>TOTAL</t>
        </is>
      </c>
      <c r="B6" s="55">
        <f>SUM(B4:B5)</f>
        <v/>
      </c>
      <c r="C6" s="55">
        <f>SUM(C4:C5)</f>
        <v/>
      </c>
      <c r="D6" s="55">
        <f>SUM(D4:D5)</f>
        <v/>
      </c>
      <c r="E6" s="55">
        <f>SUM(E4:E5)</f>
        <v/>
      </c>
      <c r="F6" s="55">
        <f>SUM(F4:F5)</f>
        <v/>
      </c>
      <c r="G6" s="55">
        <f>SUM(G4:G5)</f>
        <v/>
      </c>
      <c r="H6" s="55">
        <f>SUM(H4:H5)</f>
        <v/>
      </c>
      <c r="I6" s="55">
        <f>SUM(I4:I5)</f>
        <v/>
      </c>
      <c r="J6" s="55">
        <f>SUM(J4:J5)</f>
        <v/>
      </c>
      <c r="K6" s="55">
        <f>SUM(K4:K5)</f>
        <v/>
      </c>
      <c r="L6" s="55">
        <f>SUM(L4:L5)</f>
        <v/>
      </c>
      <c r="M6" s="55">
        <f>SUM(M4:M5)</f>
        <v/>
      </c>
    </row>
    <row r="7" ht="15.75" customHeight="1" s="169"/>
    <row r="8" ht="15.75" customHeight="1" s="169">
      <c r="A8" s="53" t="n">
        <v>2025</v>
      </c>
    </row>
    <row r="9" ht="15.75" customHeight="1" s="169">
      <c r="A9" s="15" t="inlineStr">
        <is>
          <t>Section</t>
        </is>
      </c>
      <c r="B9" s="15" t="inlineStr">
        <is>
          <t>January</t>
        </is>
      </c>
      <c r="C9" s="15" t="inlineStr">
        <is>
          <t>February</t>
        </is>
      </c>
      <c r="D9" s="15" t="inlineStr">
        <is>
          <t>March</t>
        </is>
      </c>
      <c r="E9" s="15" t="inlineStr">
        <is>
          <t>April</t>
        </is>
      </c>
      <c r="F9" s="15" t="inlineStr">
        <is>
          <t>May</t>
        </is>
      </c>
      <c r="G9" s="15" t="inlineStr">
        <is>
          <t>June</t>
        </is>
      </c>
      <c r="H9" s="15" t="inlineStr">
        <is>
          <t>July</t>
        </is>
      </c>
      <c r="I9" s="15" t="inlineStr">
        <is>
          <t>August</t>
        </is>
      </c>
      <c r="J9" s="15" t="inlineStr">
        <is>
          <t>September</t>
        </is>
      </c>
      <c r="K9" s="15" t="inlineStr">
        <is>
          <t>October</t>
        </is>
      </c>
      <c r="L9" s="15" t="inlineStr">
        <is>
          <t>November</t>
        </is>
      </c>
      <c r="M9" s="15" t="inlineStr">
        <is>
          <t>December</t>
        </is>
      </c>
    </row>
    <row r="10" ht="15.75" customHeight="1" s="169">
      <c r="A10" s="28" t="inlineStr">
        <is>
          <t>ENG</t>
        </is>
      </c>
      <c r="B10" s="61" t="n">
        <v>15</v>
      </c>
      <c r="C10" s="61" t="n">
        <v>14</v>
      </c>
      <c r="D10" s="61" t="n">
        <v>15</v>
      </c>
      <c r="E10" s="61" t="n">
        <v>15</v>
      </c>
      <c r="F10" s="61" t="n">
        <v>19</v>
      </c>
      <c r="G10" s="61" t="n">
        <v>19</v>
      </c>
      <c r="H10" s="61" t="n">
        <v>20</v>
      </c>
      <c r="I10" s="61" t="n">
        <v>20</v>
      </c>
      <c r="J10" s="61" t="n">
        <v>20</v>
      </c>
      <c r="K10" s="15" t="n">
        <v>20</v>
      </c>
      <c r="L10" s="15" t="n">
        <v>23</v>
      </c>
      <c r="M10" s="15" t="n">
        <v>26</v>
      </c>
    </row>
    <row r="11" ht="15.75" customHeight="1" s="169">
      <c r="A11" s="28" t="inlineStr">
        <is>
          <t>WSP</t>
        </is>
      </c>
      <c r="B11" s="61" t="n">
        <v>4</v>
      </c>
      <c r="C11" s="61" t="n">
        <v>4</v>
      </c>
      <c r="D11" s="61" t="n">
        <v>4</v>
      </c>
      <c r="E11" s="61" t="n">
        <v>4</v>
      </c>
      <c r="F11" s="61" t="n">
        <v>4</v>
      </c>
      <c r="G11" s="61" t="n">
        <v>4</v>
      </c>
      <c r="H11" s="61" t="n"/>
      <c r="I11" s="61" t="n"/>
      <c r="J11" s="61" t="n"/>
      <c r="K11" s="61" t="n"/>
      <c r="L11" s="61" t="n"/>
      <c r="M11" s="61" t="n"/>
    </row>
    <row r="12" ht="15.75" customHeight="1" s="169">
      <c r="A12" s="54" t="inlineStr">
        <is>
          <t>TOTAL</t>
        </is>
      </c>
      <c r="B12" s="55">
        <f>SUM(B10:B11)</f>
        <v/>
      </c>
      <c r="C12" s="55">
        <f>SUM(C10:C11)</f>
        <v/>
      </c>
      <c r="D12" s="55">
        <f>SUM(D10:D11)</f>
        <v/>
      </c>
      <c r="E12" s="55">
        <f>SUM(E10:E11)</f>
        <v/>
      </c>
      <c r="F12" s="55">
        <f>SUM(F10:F11)</f>
        <v/>
      </c>
      <c r="G12" s="55">
        <f>SUM(G10:G11)</f>
        <v/>
      </c>
      <c r="H12" s="55">
        <f>SUM(H10:H11)</f>
        <v/>
      </c>
      <c r="I12" s="55">
        <f>SUM(I10:I11)</f>
        <v/>
      </c>
      <c r="J12" s="55">
        <f>SUM(J10:J11)</f>
        <v/>
      </c>
      <c r="K12" s="55">
        <f>SUM(K10:K11)</f>
        <v/>
      </c>
      <c r="L12" s="55">
        <f>SUM(L10:L11)</f>
        <v/>
      </c>
      <c r="M12" s="55">
        <f>SUM(M10:M11)</f>
        <v/>
      </c>
    </row>
    <row r="13" ht="15.75" customHeight="1" s="169"/>
    <row r="14" ht="15.75" customHeight="1" s="169">
      <c r="A14" s="53" t="n">
        <v>2026</v>
      </c>
    </row>
    <row r="15" ht="15.75" customHeight="1" s="169">
      <c r="A15" s="15" t="inlineStr">
        <is>
          <t>Section</t>
        </is>
      </c>
      <c r="B15" s="15" t="inlineStr">
        <is>
          <t>January</t>
        </is>
      </c>
      <c r="C15" s="15" t="inlineStr">
        <is>
          <t>February</t>
        </is>
      </c>
      <c r="D15" s="15" t="inlineStr">
        <is>
          <t>March</t>
        </is>
      </c>
      <c r="E15" s="15" t="inlineStr">
        <is>
          <t>April</t>
        </is>
      </c>
      <c r="F15" s="15" t="inlineStr">
        <is>
          <t>May</t>
        </is>
      </c>
      <c r="G15" s="15" t="inlineStr">
        <is>
          <t>June</t>
        </is>
      </c>
      <c r="H15" s="15" t="inlineStr">
        <is>
          <t>July</t>
        </is>
      </c>
      <c r="I15" s="15" t="inlineStr">
        <is>
          <t>August</t>
        </is>
      </c>
      <c r="J15" s="15" t="inlineStr">
        <is>
          <t>September</t>
        </is>
      </c>
      <c r="K15" s="15" t="inlineStr">
        <is>
          <t>October</t>
        </is>
      </c>
      <c r="L15" s="15" t="inlineStr">
        <is>
          <t>November</t>
        </is>
      </c>
      <c r="M15" s="15" t="inlineStr">
        <is>
          <t>December</t>
        </is>
      </c>
    </row>
    <row r="16" ht="15.75" customHeight="1" s="169">
      <c r="A16" s="28" t="inlineStr">
        <is>
          <t>ENG</t>
        </is>
      </c>
      <c r="B16" s="61" t="n">
        <v>26</v>
      </c>
      <c r="C16" s="61" t="n">
        <v>28</v>
      </c>
      <c r="D16" s="61" t="n"/>
      <c r="E16" s="61" t="n"/>
      <c r="F16" s="61" t="n"/>
      <c r="G16" s="61" t="n"/>
      <c r="H16" s="61" t="n"/>
      <c r="I16" s="61" t="n"/>
      <c r="J16" s="61" t="n"/>
      <c r="K16" s="15" t="n"/>
      <c r="L16" s="15" t="n"/>
      <c r="M16" s="15" t="n"/>
    </row>
    <row r="17" ht="15.75" customHeight="1" s="169">
      <c r="A17" s="54" t="inlineStr">
        <is>
          <t>TOTAL</t>
        </is>
      </c>
      <c r="B17" s="55">
        <f>SUM(B16)</f>
        <v/>
      </c>
      <c r="C17" s="55">
        <f>SUM(C16)</f>
        <v/>
      </c>
      <c r="D17" s="55">
        <f>SUM(D16)</f>
        <v/>
      </c>
      <c r="E17" s="55">
        <f>SUM(E16)</f>
        <v/>
      </c>
      <c r="F17" s="55">
        <f>SUM(F16)</f>
        <v/>
      </c>
      <c r="G17" s="55">
        <f>SUM(G16)</f>
        <v/>
      </c>
      <c r="H17" s="55">
        <f>SUM(H16)</f>
        <v/>
      </c>
      <c r="I17" s="55">
        <f>SUM(I16)</f>
        <v/>
      </c>
      <c r="J17" s="55">
        <f>SUM(J16)</f>
        <v/>
      </c>
      <c r="K17" s="55">
        <f>SUM(K16)</f>
        <v/>
      </c>
      <c r="L17" s="55">
        <f>SUM(L16)</f>
        <v/>
      </c>
      <c r="M17" s="55">
        <f>SUM(M16)</f>
        <v/>
      </c>
    </row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4">
    <mergeCell ref="A8:M8"/>
    <mergeCell ref="A2:M2"/>
    <mergeCell ref="A14:M14"/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M18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9" min="1" max="6"/>
  </cols>
  <sheetData>
    <row r="1" ht="15.75" customHeight="1" s="169">
      <c r="A1" s="42" t="inlineStr">
        <is>
          <t>Jumlah Karyawan Department QC</t>
        </is>
      </c>
    </row>
    <row r="2" ht="15.75" customHeight="1" s="169">
      <c r="A2" s="53" t="n">
        <v>2024</v>
      </c>
    </row>
    <row r="3" ht="15.75" customHeight="1" s="169">
      <c r="A3" s="15" t="inlineStr">
        <is>
          <t>Section</t>
        </is>
      </c>
      <c r="B3" s="15" t="inlineStr">
        <is>
          <t>January</t>
        </is>
      </c>
      <c r="C3" s="15" t="inlineStr">
        <is>
          <t>February</t>
        </is>
      </c>
      <c r="D3" s="15" t="inlineStr">
        <is>
          <t>March</t>
        </is>
      </c>
      <c r="E3" s="15" t="inlineStr">
        <is>
          <t>April</t>
        </is>
      </c>
      <c r="F3" s="15" t="inlineStr">
        <is>
          <t>May</t>
        </is>
      </c>
      <c r="G3" s="15" t="inlineStr">
        <is>
          <t>June</t>
        </is>
      </c>
      <c r="H3" s="15" t="inlineStr">
        <is>
          <t>July</t>
        </is>
      </c>
      <c r="I3" s="15" t="inlineStr">
        <is>
          <t>August</t>
        </is>
      </c>
      <c r="J3" s="15" t="inlineStr">
        <is>
          <t>September</t>
        </is>
      </c>
      <c r="K3" s="15" t="inlineStr">
        <is>
          <t>October</t>
        </is>
      </c>
      <c r="L3" s="15" t="inlineStr">
        <is>
          <t>November</t>
        </is>
      </c>
      <c r="M3" s="15" t="inlineStr">
        <is>
          <t>December</t>
        </is>
      </c>
    </row>
    <row r="4" ht="15.75" customHeight="1" s="169">
      <c r="A4" s="28" t="inlineStr">
        <is>
          <t>BHP</t>
        </is>
      </c>
      <c r="B4" s="79" t="n">
        <v>21</v>
      </c>
      <c r="C4" s="79" t="n">
        <v>21</v>
      </c>
      <c r="D4" s="79" t="n">
        <v>23</v>
      </c>
      <c r="E4" s="79" t="n">
        <v>26</v>
      </c>
      <c r="F4" s="79" t="n">
        <v>26</v>
      </c>
      <c r="G4" s="79" t="n">
        <v>25</v>
      </c>
      <c r="H4" s="61" t="n">
        <v>26</v>
      </c>
      <c r="I4" s="79" t="n">
        <v>25</v>
      </c>
      <c r="J4" s="79" t="n">
        <v>26</v>
      </c>
      <c r="K4" s="79" t="n">
        <v>26</v>
      </c>
      <c r="L4" s="79" t="n">
        <v>25</v>
      </c>
      <c r="M4" s="79" t="n">
        <v>26</v>
      </c>
    </row>
    <row r="5" ht="15.75" customHeight="1" s="169">
      <c r="A5" s="28" t="inlineStr">
        <is>
          <t>HPY</t>
        </is>
      </c>
      <c r="B5" s="61" t="n"/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1" t="n"/>
    </row>
    <row r="6" ht="15.75" customHeight="1" s="169">
      <c r="A6" s="54" t="inlineStr">
        <is>
          <t>TOTAL</t>
        </is>
      </c>
      <c r="B6" s="55">
        <f>SUM(B4:B5)</f>
        <v/>
      </c>
      <c r="C6" s="55">
        <f>SUM(C4:C5)</f>
        <v/>
      </c>
      <c r="D6" s="55">
        <f>SUM(D4:D5)</f>
        <v/>
      </c>
      <c r="E6" s="55">
        <f>SUM(E4:E5)</f>
        <v/>
      </c>
      <c r="F6" s="55">
        <f>SUM(F4:F5)</f>
        <v/>
      </c>
      <c r="G6" s="55">
        <f>SUM(G4:G5)</f>
        <v/>
      </c>
      <c r="H6" s="55">
        <f>SUM(H4:H5)</f>
        <v/>
      </c>
      <c r="I6" s="55">
        <f>SUM(I4:I5)</f>
        <v/>
      </c>
      <c r="J6" s="55">
        <f>SUM(J4:J5)</f>
        <v/>
      </c>
      <c r="K6" s="55">
        <f>SUM(K4:K5)</f>
        <v/>
      </c>
      <c r="L6" s="55">
        <f>SUM(L4:L5)</f>
        <v/>
      </c>
      <c r="M6" s="55">
        <f>SUM(M4:M5)</f>
        <v/>
      </c>
    </row>
    <row r="7" ht="15.75" customHeight="1" s="169"/>
    <row r="8" ht="15.75" customHeight="1" s="169">
      <c r="A8" s="53" t="n">
        <v>2025</v>
      </c>
    </row>
    <row r="9" ht="15.75" customHeight="1" s="169">
      <c r="A9" s="15" t="inlineStr">
        <is>
          <t>Section</t>
        </is>
      </c>
      <c r="B9" s="15" t="inlineStr">
        <is>
          <t>January</t>
        </is>
      </c>
      <c r="C9" s="15" t="inlineStr">
        <is>
          <t>February</t>
        </is>
      </c>
      <c r="D9" s="15" t="inlineStr">
        <is>
          <t>March</t>
        </is>
      </c>
      <c r="E9" s="15" t="inlineStr">
        <is>
          <t>April</t>
        </is>
      </c>
      <c r="F9" s="15" t="inlineStr">
        <is>
          <t>May</t>
        </is>
      </c>
      <c r="G9" s="15" t="inlineStr">
        <is>
          <t>June</t>
        </is>
      </c>
      <c r="H9" s="15" t="inlineStr">
        <is>
          <t>July</t>
        </is>
      </c>
      <c r="I9" s="15" t="inlineStr">
        <is>
          <t>August</t>
        </is>
      </c>
      <c r="J9" s="15" t="inlineStr">
        <is>
          <t>September</t>
        </is>
      </c>
      <c r="K9" s="15" t="inlineStr">
        <is>
          <t>October</t>
        </is>
      </c>
      <c r="L9" s="15" t="inlineStr">
        <is>
          <t>November</t>
        </is>
      </c>
      <c r="M9" s="15" t="inlineStr">
        <is>
          <t>December</t>
        </is>
      </c>
    </row>
    <row r="10" ht="15.75" customHeight="1" s="169">
      <c r="A10" s="28" t="inlineStr">
        <is>
          <t>BHP</t>
        </is>
      </c>
      <c r="B10" s="61" t="n">
        <v>31</v>
      </c>
      <c r="C10" s="61" t="n">
        <v>33</v>
      </c>
      <c r="D10" s="61" t="n">
        <v>34</v>
      </c>
      <c r="E10" s="61" t="n">
        <v>35</v>
      </c>
      <c r="F10" s="61" t="n">
        <v>35</v>
      </c>
      <c r="G10" s="61" t="n">
        <v>35</v>
      </c>
      <c r="H10" s="61" t="n">
        <v>30</v>
      </c>
      <c r="I10" s="61" t="n">
        <v>31</v>
      </c>
      <c r="J10" s="61" t="n">
        <v>33</v>
      </c>
      <c r="K10" s="15" t="n">
        <v>32</v>
      </c>
      <c r="L10" s="15" t="n">
        <v>31</v>
      </c>
      <c r="M10" s="15" t="n">
        <v>33</v>
      </c>
    </row>
    <row r="11" ht="15.75" customHeight="1" s="169">
      <c r="A11" s="28" t="inlineStr">
        <is>
          <t>HPY</t>
        </is>
      </c>
      <c r="B11" s="61" t="n"/>
      <c r="C11" s="61" t="n"/>
      <c r="D11" s="61" t="n"/>
      <c r="E11" s="61" t="n"/>
      <c r="F11" s="61" t="n"/>
      <c r="G11" s="61" t="n"/>
      <c r="H11" s="61" t="n">
        <v>3</v>
      </c>
      <c r="I11" s="61" t="n">
        <v>3</v>
      </c>
      <c r="J11" s="61" t="n">
        <v>3</v>
      </c>
      <c r="K11" s="61" t="n">
        <v>3</v>
      </c>
      <c r="L11" s="61" t="n">
        <v>3</v>
      </c>
      <c r="M11" s="61" t="n">
        <v>4</v>
      </c>
    </row>
    <row r="12" ht="15.75" customHeight="1" s="169">
      <c r="A12" s="54" t="inlineStr">
        <is>
          <t>TOTAL</t>
        </is>
      </c>
      <c r="B12" s="55">
        <f>SUM(B10:B11)</f>
        <v/>
      </c>
      <c r="C12" s="55">
        <f>SUM(C10:C11)</f>
        <v/>
      </c>
      <c r="D12" s="55">
        <f>SUM(D10:D11)</f>
        <v/>
      </c>
      <c r="E12" s="55">
        <f>SUM(E10:E11)</f>
        <v/>
      </c>
      <c r="F12" s="55">
        <f>SUM(F10:F11)</f>
        <v/>
      </c>
      <c r="G12" s="55">
        <f>SUM(G10:G11)</f>
        <v/>
      </c>
      <c r="H12" s="55">
        <f>SUM(H10:H11)</f>
        <v/>
      </c>
      <c r="I12" s="55">
        <f>SUM(I10:I11)</f>
        <v/>
      </c>
      <c r="J12" s="55">
        <f>SUM(J10:J11)</f>
        <v/>
      </c>
      <c r="K12" s="55">
        <f>SUM(K10:K11)</f>
        <v/>
      </c>
      <c r="L12" s="55">
        <f>SUM(L10:L11)</f>
        <v/>
      </c>
      <c r="M12" s="55">
        <f>SUM(M10:M11)</f>
        <v/>
      </c>
    </row>
    <row r="13" ht="15.75" customHeight="1" s="169"/>
    <row r="14" ht="15.75" customHeight="1" s="169">
      <c r="A14" s="53" t="n">
        <v>2026</v>
      </c>
    </row>
    <row r="15" ht="15.75" customHeight="1" s="169">
      <c r="A15" s="15" t="inlineStr">
        <is>
          <t>Section</t>
        </is>
      </c>
      <c r="B15" s="15" t="inlineStr">
        <is>
          <t>January</t>
        </is>
      </c>
      <c r="C15" s="15" t="inlineStr">
        <is>
          <t>February</t>
        </is>
      </c>
      <c r="D15" s="15" t="inlineStr">
        <is>
          <t>March</t>
        </is>
      </c>
      <c r="E15" s="15" t="inlineStr">
        <is>
          <t>April</t>
        </is>
      </c>
      <c r="F15" s="15" t="inlineStr">
        <is>
          <t>May</t>
        </is>
      </c>
      <c r="G15" s="15" t="inlineStr">
        <is>
          <t>June</t>
        </is>
      </c>
      <c r="H15" s="15" t="inlineStr">
        <is>
          <t>July</t>
        </is>
      </c>
      <c r="I15" s="15" t="inlineStr">
        <is>
          <t>August</t>
        </is>
      </c>
      <c r="J15" s="15" t="inlineStr">
        <is>
          <t>September</t>
        </is>
      </c>
      <c r="K15" s="15" t="inlineStr">
        <is>
          <t>October</t>
        </is>
      </c>
      <c r="L15" s="15" t="inlineStr">
        <is>
          <t>November</t>
        </is>
      </c>
      <c r="M15" s="15" t="inlineStr">
        <is>
          <t>December</t>
        </is>
      </c>
    </row>
    <row r="16" ht="15.75" customHeight="1" s="169">
      <c r="A16" s="28" t="inlineStr">
        <is>
          <t>BHP</t>
        </is>
      </c>
      <c r="B16" s="61" t="n">
        <v>44</v>
      </c>
      <c r="C16" s="61" t="n">
        <v>48</v>
      </c>
      <c r="D16" s="61" t="n"/>
      <c r="E16" s="61" t="n"/>
      <c r="F16" s="61" t="n"/>
      <c r="G16" s="61" t="n"/>
      <c r="H16" s="61" t="n"/>
      <c r="I16" s="61" t="n"/>
      <c r="J16" s="61" t="n"/>
      <c r="K16" s="15" t="n"/>
      <c r="L16" s="15" t="n"/>
      <c r="M16" s="15" t="n"/>
    </row>
    <row r="17" ht="15.75" customHeight="1" s="169">
      <c r="A17" s="28" t="inlineStr">
        <is>
          <t>HPY</t>
        </is>
      </c>
      <c r="B17" s="61" t="n">
        <v>4</v>
      </c>
      <c r="C17" s="61" t="n">
        <v>4</v>
      </c>
      <c r="D17" s="61" t="n"/>
      <c r="E17" s="61" t="n"/>
      <c r="F17" s="61" t="n"/>
      <c r="G17" s="61" t="n"/>
      <c r="H17" s="61" t="n">
        <v>3</v>
      </c>
      <c r="I17" s="61" t="n">
        <v>3</v>
      </c>
      <c r="J17" s="61" t="n">
        <v>3</v>
      </c>
      <c r="K17" s="61" t="n"/>
      <c r="L17" s="61" t="n"/>
      <c r="M17" s="61" t="n"/>
    </row>
    <row r="18" ht="15.75" customHeight="1" s="169">
      <c r="A18" s="54" t="inlineStr">
        <is>
          <t>TOTAL</t>
        </is>
      </c>
      <c r="B18" s="55">
        <f>SUM(B16:B17)</f>
        <v/>
      </c>
      <c r="C18" s="55">
        <f>SUM(C16:C17)</f>
        <v/>
      </c>
      <c r="D18" s="55">
        <f>SUM(D16:D17)</f>
        <v/>
      </c>
      <c r="E18" s="55">
        <f>SUM(E16:E17)</f>
        <v/>
      </c>
      <c r="F18" s="55">
        <f>SUM(F16:F17)</f>
        <v/>
      </c>
      <c r="G18" s="55">
        <f>SUM(G16:G17)</f>
        <v/>
      </c>
      <c r="H18" s="55">
        <f>SUM(H16:H17)</f>
        <v/>
      </c>
      <c r="I18" s="55">
        <f>SUM(I16:I17)</f>
        <v/>
      </c>
      <c r="J18" s="55">
        <f>SUM(J16:J17)</f>
        <v/>
      </c>
      <c r="K18" s="55">
        <f>SUM(K16:K17)</f>
        <v/>
      </c>
      <c r="L18" s="55">
        <f>SUM(L16:L17)</f>
        <v/>
      </c>
      <c r="M18" s="55">
        <f>SUM(M16:M17)</f>
        <v/>
      </c>
    </row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4">
    <mergeCell ref="A8:M8"/>
    <mergeCell ref="A2:M2"/>
    <mergeCell ref="A14:M14"/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M12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9" min="1" max="6"/>
  </cols>
  <sheetData>
    <row r="1" ht="15.75" customHeight="1" s="169">
      <c r="A1" s="42" t="inlineStr">
        <is>
          <t>Jumlah Karyawan Department HRGA</t>
        </is>
      </c>
    </row>
    <row r="2" ht="15.75" customHeight="1" s="169"/>
    <row r="3" ht="15.75" customHeight="1" s="169">
      <c r="A3" s="53" t="n">
        <v>2025</v>
      </c>
    </row>
    <row r="4" ht="15.75" customHeight="1" s="169">
      <c r="A4" s="15" t="inlineStr">
        <is>
          <t>Section</t>
        </is>
      </c>
      <c r="B4" s="15" t="inlineStr">
        <is>
          <t>January</t>
        </is>
      </c>
      <c r="C4" s="15" t="inlineStr">
        <is>
          <t>February</t>
        </is>
      </c>
      <c r="D4" s="15" t="inlineStr">
        <is>
          <t>March</t>
        </is>
      </c>
      <c r="E4" s="15" t="inlineStr">
        <is>
          <t>April</t>
        </is>
      </c>
      <c r="F4" s="15" t="inlineStr">
        <is>
          <t>May</t>
        </is>
      </c>
      <c r="G4" s="15" t="inlineStr">
        <is>
          <t>June</t>
        </is>
      </c>
      <c r="H4" s="15" t="inlineStr">
        <is>
          <t>July</t>
        </is>
      </c>
      <c r="I4" s="15" t="inlineStr">
        <is>
          <t>August</t>
        </is>
      </c>
      <c r="J4" s="15" t="inlineStr">
        <is>
          <t>September</t>
        </is>
      </c>
      <c r="K4" s="15" t="inlineStr">
        <is>
          <t>October</t>
        </is>
      </c>
      <c r="L4" s="15" t="inlineStr">
        <is>
          <t>November</t>
        </is>
      </c>
      <c r="M4" s="15" t="inlineStr">
        <is>
          <t>December</t>
        </is>
      </c>
    </row>
    <row r="5" ht="15.75" customHeight="1" s="169">
      <c r="A5" s="28" t="inlineStr">
        <is>
          <t>HRGA</t>
        </is>
      </c>
      <c r="B5" s="61" t="n"/>
      <c r="C5" s="61" t="n"/>
      <c r="D5" s="61" t="n"/>
      <c r="E5" s="61" t="n"/>
      <c r="F5" s="61" t="n"/>
      <c r="G5" s="61" t="n"/>
      <c r="H5" s="61" t="n"/>
      <c r="I5" s="61" t="n"/>
      <c r="J5" s="61" t="n"/>
      <c r="K5" s="15" t="n"/>
      <c r="L5" s="15" t="n"/>
      <c r="M5" s="15" t="n"/>
    </row>
    <row r="6" ht="15.75" customHeight="1" s="169">
      <c r="A6" s="28" t="inlineStr">
        <is>
          <t>HPY</t>
        </is>
      </c>
      <c r="B6" s="61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</row>
    <row r="7" ht="15.75" customHeight="1" s="169">
      <c r="A7" s="54" t="inlineStr">
        <is>
          <t>TOTAL</t>
        </is>
      </c>
      <c r="B7" s="55">
        <f>SUM(B5:B6)</f>
        <v/>
      </c>
      <c r="C7" s="55">
        <f>SUM(C5:C6)</f>
        <v/>
      </c>
      <c r="D7" s="55">
        <f>SUM(D5:D6)</f>
        <v/>
      </c>
      <c r="E7" s="55">
        <f>SUM(E5:E6)</f>
        <v/>
      </c>
      <c r="F7" s="55">
        <f>SUM(F5:F6)</f>
        <v/>
      </c>
      <c r="G7" s="55">
        <f>SUM(G5:G6)</f>
        <v/>
      </c>
      <c r="H7" s="55">
        <f>SUM(H5:H6)</f>
        <v/>
      </c>
      <c r="I7" s="55">
        <f>SUM(I5:I6)</f>
        <v/>
      </c>
      <c r="J7" s="55">
        <f>SUM(J5:J6)</f>
        <v/>
      </c>
      <c r="K7" s="55">
        <f>SUM(K5:K6)</f>
        <v/>
      </c>
      <c r="L7" s="55">
        <f>SUM(L5:L6)</f>
        <v/>
      </c>
      <c r="M7" s="55">
        <f>SUM(M5:M6)</f>
        <v/>
      </c>
    </row>
    <row r="8" ht="15.75" customHeight="1" s="169"/>
    <row r="9" ht="15.75" customHeight="1" s="169">
      <c r="A9" s="53" t="n">
        <v>2026</v>
      </c>
    </row>
    <row r="10" ht="15.75" customHeight="1" s="169">
      <c r="A10" s="15" t="inlineStr">
        <is>
          <t>Section</t>
        </is>
      </c>
      <c r="B10" s="15" t="inlineStr">
        <is>
          <t>January</t>
        </is>
      </c>
      <c r="C10" s="15" t="inlineStr">
        <is>
          <t>February</t>
        </is>
      </c>
      <c r="D10" s="15" t="inlineStr">
        <is>
          <t>March</t>
        </is>
      </c>
      <c r="E10" s="15" t="inlineStr">
        <is>
          <t>April</t>
        </is>
      </c>
      <c r="F10" s="15" t="inlineStr">
        <is>
          <t>May</t>
        </is>
      </c>
      <c r="G10" s="15" t="inlineStr">
        <is>
          <t>June</t>
        </is>
      </c>
      <c r="H10" s="15" t="inlineStr">
        <is>
          <t>July</t>
        </is>
      </c>
      <c r="I10" s="15" t="inlineStr">
        <is>
          <t>August</t>
        </is>
      </c>
      <c r="J10" s="15" t="inlineStr">
        <is>
          <t>September</t>
        </is>
      </c>
      <c r="K10" s="15" t="inlineStr">
        <is>
          <t>October</t>
        </is>
      </c>
      <c r="L10" s="15" t="inlineStr">
        <is>
          <t>November</t>
        </is>
      </c>
      <c r="M10" s="15" t="inlineStr">
        <is>
          <t>December</t>
        </is>
      </c>
    </row>
    <row r="11" ht="15.75" customHeight="1" s="169">
      <c r="A11" s="28" t="inlineStr">
        <is>
          <t>HRGA</t>
        </is>
      </c>
      <c r="B11" s="61" t="n">
        <v>1</v>
      </c>
      <c r="C11" s="61" t="n">
        <v>1</v>
      </c>
      <c r="D11" s="61" t="n"/>
      <c r="E11" s="61" t="n"/>
      <c r="F11" s="61" t="n"/>
      <c r="G11" s="61" t="n">
        <v>1</v>
      </c>
      <c r="H11" s="61" t="n">
        <v>1</v>
      </c>
      <c r="I11" s="61" t="n">
        <v>1</v>
      </c>
      <c r="J11" s="61" t="n">
        <v>1</v>
      </c>
      <c r="K11" s="15" t="n">
        <v>1</v>
      </c>
      <c r="L11" s="15" t="n">
        <v>1</v>
      </c>
      <c r="M11" s="15" t="n">
        <v>1</v>
      </c>
    </row>
    <row r="12" ht="15.75" customHeight="1" s="169">
      <c r="A12" s="54" t="inlineStr">
        <is>
          <t>TOTAL</t>
        </is>
      </c>
      <c r="B12" s="55">
        <f>SUM(B11)</f>
        <v/>
      </c>
      <c r="C12" s="55">
        <f>SUM(C11)</f>
        <v/>
      </c>
      <c r="D12" s="55">
        <f>SUM(D11)</f>
        <v/>
      </c>
      <c r="E12" s="55">
        <f>SUM(E11)</f>
        <v/>
      </c>
      <c r="F12" s="55">
        <f>SUM(F11)</f>
        <v/>
      </c>
      <c r="G12" s="55">
        <f>SUM(G11)</f>
        <v/>
      </c>
      <c r="H12" s="55">
        <f>SUM(H11)</f>
        <v/>
      </c>
      <c r="I12" s="55">
        <f>SUM(I11)</f>
        <v/>
      </c>
      <c r="J12" s="55">
        <f>SUM(J11)</f>
        <v/>
      </c>
      <c r="K12" s="55">
        <f>SUM(K11)</f>
        <v/>
      </c>
      <c r="L12" s="55">
        <f>SUM(L11)</f>
        <v/>
      </c>
      <c r="M12" s="55">
        <f>SUM(M11)</f>
        <v/>
      </c>
    </row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3">
    <mergeCell ref="A3:M3"/>
    <mergeCell ref="A1:M1"/>
    <mergeCell ref="A9:M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J176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9" min="1" max="6"/>
  </cols>
  <sheetData>
    <row r="1" ht="15.75" customHeight="1" s="169">
      <c r="A1" s="28" t="inlineStr">
        <is>
          <t xml:space="preserve"> NIK</t>
        </is>
      </c>
      <c r="B1" s="28" t="inlineStr">
        <is>
          <t xml:space="preserve"> Nama</t>
        </is>
      </c>
      <c r="C1" s="28" t="inlineStr">
        <is>
          <t xml:space="preserve"> Tgl Masuk</t>
        </is>
      </c>
      <c r="D1" s="28" t="inlineStr">
        <is>
          <t xml:space="preserve"> Masa Kerja</t>
        </is>
      </c>
      <c r="E1" s="28" t="inlineStr">
        <is>
          <t xml:space="preserve"> Departmen</t>
        </is>
      </c>
      <c r="F1" s="28" t="inlineStr">
        <is>
          <t xml:space="preserve"> Section</t>
        </is>
      </c>
      <c r="G1" s="28" t="inlineStr">
        <is>
          <t xml:space="preserve"> Jabatan</t>
        </is>
      </c>
      <c r="H1" s="28" t="inlineStr">
        <is>
          <t xml:space="preserve"> Jenis Kelamin</t>
        </is>
      </c>
      <c r="I1" s="28" t="inlineStr">
        <is>
          <t xml:space="preserve"> PWS</t>
        </is>
      </c>
      <c r="J1" s="28" t="inlineStr">
        <is>
          <t xml:space="preserve"> Agama</t>
        </is>
      </c>
    </row>
    <row r="2" ht="15.75" customHeight="1" s="169">
      <c r="A2" s="28" t="n">
        <v>328000001</v>
      </c>
      <c r="B2" s="28" t="inlineStr">
        <is>
          <t>Rio Gustiawan</t>
        </is>
      </c>
      <c r="C2" s="175" t="n">
        <v>45111</v>
      </c>
      <c r="D2" s="28" t="inlineStr">
        <is>
          <t>2 tahun, 2 bulan, 14 hari</t>
        </is>
      </c>
      <c r="E2" s="28" t="inlineStr">
        <is>
          <t>Engineering</t>
        </is>
      </c>
      <c r="F2" s="28" t="inlineStr">
        <is>
          <t>Engineering</t>
        </is>
      </c>
      <c r="G2" s="28" t="inlineStr">
        <is>
          <t>Utility, Electricity &amp; MHE Maintenance</t>
        </is>
      </c>
      <c r="H2" s="28" t="inlineStr">
        <is>
          <t>L</t>
        </is>
      </c>
      <c r="I2" s="28" t="inlineStr">
        <is>
          <t>1ENG4</t>
        </is>
      </c>
      <c r="J2" s="28" t="inlineStr">
        <is>
          <t>ISLAM</t>
        </is>
      </c>
    </row>
    <row r="3" ht="15.75" customHeight="1" s="169">
      <c r="A3" s="28" t="n">
        <v>328000004</v>
      </c>
      <c r="B3" s="28" t="inlineStr">
        <is>
          <t>Dangis Munggaran</t>
        </is>
      </c>
      <c r="C3" s="175" t="n">
        <v>45166</v>
      </c>
      <c r="D3" s="28" t="inlineStr">
        <is>
          <t>2 tahun, 0 bulan, 21 hari</t>
        </is>
      </c>
      <c r="E3" s="28" t="inlineStr">
        <is>
          <t>Engineering</t>
        </is>
      </c>
      <c r="F3" s="28" t="inlineStr">
        <is>
          <t>Engineering</t>
        </is>
      </c>
      <c r="G3" s="28" t="inlineStr">
        <is>
          <t>Mechanical Machine Maintenance</t>
        </is>
      </c>
      <c r="H3" s="28" t="inlineStr">
        <is>
          <t>L</t>
        </is>
      </c>
      <c r="I3" s="28" t="inlineStr">
        <is>
          <t>1ENG2</t>
        </is>
      </c>
      <c r="J3" s="28" t="inlineStr">
        <is>
          <t>ISLAM</t>
        </is>
      </c>
    </row>
    <row r="4" ht="15.75" customHeight="1" s="169">
      <c r="A4" s="28" t="n">
        <v>328000005</v>
      </c>
      <c r="B4" s="28" t="inlineStr">
        <is>
          <t>Irgi Fauzi</t>
        </is>
      </c>
      <c r="C4" s="175" t="n">
        <v>45166</v>
      </c>
      <c r="D4" s="28" t="inlineStr">
        <is>
          <t>2 tahun, 0 bulan, 21 hari</t>
        </is>
      </c>
      <c r="E4" s="28" t="inlineStr">
        <is>
          <t>Engineering</t>
        </is>
      </c>
      <c r="F4" s="28" t="inlineStr">
        <is>
          <t>Engineering</t>
        </is>
      </c>
      <c r="G4" s="28" t="inlineStr">
        <is>
          <t>Machine Maintenance Shift</t>
        </is>
      </c>
      <c r="H4" s="28" t="inlineStr">
        <is>
          <t>L</t>
        </is>
      </c>
      <c r="I4" s="28" t="inlineStr">
        <is>
          <t>4D2</t>
        </is>
      </c>
      <c r="J4" s="28" t="inlineStr">
        <is>
          <t>ISLAM</t>
        </is>
      </c>
    </row>
    <row r="5" ht="15.75" customHeight="1" s="169">
      <c r="A5" s="28" t="n">
        <v>328000006</v>
      </c>
      <c r="B5" s="28" t="inlineStr">
        <is>
          <t>Rizki</t>
        </is>
      </c>
      <c r="C5" s="175" t="n">
        <v>45166</v>
      </c>
      <c r="D5" s="28" t="inlineStr">
        <is>
          <t>2 tahun, 0 bulan, 21 hari</t>
        </is>
      </c>
      <c r="E5" s="28" t="inlineStr">
        <is>
          <t>Engineering</t>
        </is>
      </c>
      <c r="F5" s="28" t="inlineStr">
        <is>
          <t>Engineering</t>
        </is>
      </c>
      <c r="G5" s="28" t="inlineStr">
        <is>
          <t>Ite Maintenance</t>
        </is>
      </c>
      <c r="H5" s="28" t="inlineStr">
        <is>
          <t>L</t>
        </is>
      </c>
      <c r="I5" s="28" t="inlineStr">
        <is>
          <t>1NS1</t>
        </is>
      </c>
      <c r="J5" s="28" t="inlineStr">
        <is>
          <t>ISLAM</t>
        </is>
      </c>
    </row>
    <row r="6" ht="15.75" customHeight="1" s="169">
      <c r="A6" s="28" t="n">
        <v>328000008</v>
      </c>
      <c r="B6" s="28" t="inlineStr">
        <is>
          <t>Ridho Ramdhan Putra</t>
        </is>
      </c>
      <c r="C6" s="175" t="n">
        <v>45166</v>
      </c>
      <c r="D6" s="28" t="inlineStr">
        <is>
          <t>2 tahun, 0 bulan, 21 hari</t>
        </is>
      </c>
      <c r="E6" s="28" t="inlineStr">
        <is>
          <t>Engineering</t>
        </is>
      </c>
      <c r="F6" s="28" t="inlineStr">
        <is>
          <t>Engineering</t>
        </is>
      </c>
      <c r="G6" s="28" t="inlineStr">
        <is>
          <t>Electricity &amp; Supporting Machine Maintenance</t>
        </is>
      </c>
      <c r="H6" s="28" t="inlineStr">
        <is>
          <t>L</t>
        </is>
      </c>
      <c r="I6" s="28" t="inlineStr">
        <is>
          <t>1ENG4</t>
        </is>
      </c>
      <c r="J6" s="28" t="inlineStr">
        <is>
          <t>ISLAM</t>
        </is>
      </c>
    </row>
    <row r="7" ht="15.75" customHeight="1" s="169">
      <c r="A7" s="28" t="n">
        <v>328000009</v>
      </c>
      <c r="B7" s="28" t="inlineStr">
        <is>
          <t>Rezza Febriana</t>
        </is>
      </c>
      <c r="C7" s="175" t="n">
        <v>45166</v>
      </c>
      <c r="D7" s="28" t="inlineStr">
        <is>
          <t>2 tahun, 0 bulan, 21 hari</t>
        </is>
      </c>
      <c r="E7" s="28" t="inlineStr">
        <is>
          <t>Engineering</t>
        </is>
      </c>
      <c r="F7" s="28" t="inlineStr">
        <is>
          <t>Engineering</t>
        </is>
      </c>
      <c r="G7" s="28" t="inlineStr">
        <is>
          <t>Machine Maintenance Shift</t>
        </is>
      </c>
      <c r="H7" s="28" t="inlineStr">
        <is>
          <t>L</t>
        </is>
      </c>
      <c r="I7" s="28" t="inlineStr">
        <is>
          <t>4A2</t>
        </is>
      </c>
      <c r="J7" s="28" t="inlineStr">
        <is>
          <t>ISLAM</t>
        </is>
      </c>
    </row>
    <row r="8" ht="15.75" customHeight="1" s="169">
      <c r="A8" s="28" t="n">
        <v>328000010</v>
      </c>
      <c r="B8" s="28" t="inlineStr">
        <is>
          <t>Diaz Ghery Juniarsyah</t>
        </is>
      </c>
      <c r="C8" s="175" t="n">
        <v>45166</v>
      </c>
      <c r="D8" s="28" t="inlineStr">
        <is>
          <t>2 tahun, 0 bulan, 21 hari</t>
        </is>
      </c>
      <c r="E8" s="28" t="inlineStr">
        <is>
          <t>Engineering</t>
        </is>
      </c>
      <c r="F8" s="28" t="inlineStr">
        <is>
          <t>Engineering</t>
        </is>
      </c>
      <c r="G8" s="28" t="inlineStr">
        <is>
          <t>Machine Maintenance Shift</t>
        </is>
      </c>
      <c r="H8" s="28" t="inlineStr">
        <is>
          <t>L</t>
        </is>
      </c>
      <c r="I8" s="28" t="inlineStr">
        <is>
          <t>4B2</t>
        </is>
      </c>
      <c r="J8" s="28" t="inlineStr">
        <is>
          <t>ISLAM</t>
        </is>
      </c>
    </row>
    <row r="9" ht="15.75" customHeight="1" s="169">
      <c r="A9" s="28" t="n">
        <v>328000011</v>
      </c>
      <c r="B9" s="28" t="inlineStr">
        <is>
          <t>Deni Kusnadi</t>
        </is>
      </c>
      <c r="C9" s="175" t="n">
        <v>45166</v>
      </c>
      <c r="D9" s="28" t="inlineStr">
        <is>
          <t>2 tahun, 0 bulan, 21 hari</t>
        </is>
      </c>
      <c r="E9" s="28" t="inlineStr">
        <is>
          <t>Logistic</t>
        </is>
      </c>
      <c r="F9" s="28" t="inlineStr">
        <is>
          <t>Warehouse Sparepart</t>
        </is>
      </c>
      <c r="G9" s="28" t="inlineStr">
        <is>
          <t>Admin WSP</t>
        </is>
      </c>
      <c r="H9" s="28" t="inlineStr">
        <is>
          <t>L</t>
        </is>
      </c>
      <c r="I9" s="28" t="inlineStr">
        <is>
          <t>4A2</t>
        </is>
      </c>
      <c r="J9" s="28" t="inlineStr">
        <is>
          <t>ISLAM</t>
        </is>
      </c>
    </row>
    <row r="10" ht="15.75" customHeight="1" s="169">
      <c r="A10" s="28" t="n">
        <v>328000013</v>
      </c>
      <c r="B10" s="28" t="inlineStr">
        <is>
          <t>Adil Sugihartono</t>
        </is>
      </c>
      <c r="C10" s="175" t="n">
        <v>45166</v>
      </c>
      <c r="D10" s="28" t="inlineStr">
        <is>
          <t>2 tahun, 0 bulan, 21 hari</t>
        </is>
      </c>
      <c r="E10" s="28" t="inlineStr">
        <is>
          <t>Engineering</t>
        </is>
      </c>
      <c r="F10" s="28" t="inlineStr">
        <is>
          <t>Engineering</t>
        </is>
      </c>
      <c r="G10" s="28" t="inlineStr">
        <is>
          <t>Fabricator</t>
        </is>
      </c>
      <c r="H10" s="28" t="inlineStr">
        <is>
          <t>L</t>
        </is>
      </c>
      <c r="I10" s="28" t="inlineStr">
        <is>
          <t>1ENG3</t>
        </is>
      </c>
      <c r="J10" s="28" t="inlineStr">
        <is>
          <t>ISLAM</t>
        </is>
      </c>
    </row>
    <row r="11" ht="15.75" customHeight="1" s="169">
      <c r="A11" s="28" t="n">
        <v>328000016</v>
      </c>
      <c r="B11" s="28" t="inlineStr">
        <is>
          <t>Ramdan Abdullah</t>
        </is>
      </c>
      <c r="C11" s="175" t="n">
        <v>45180</v>
      </c>
      <c r="D11" s="28" t="inlineStr">
        <is>
          <t>2 tahun, 0 bulan, 7 hari</t>
        </is>
      </c>
      <c r="E11" s="28" t="inlineStr">
        <is>
          <t>Logistic</t>
        </is>
      </c>
      <c r="F11" s="28" t="inlineStr">
        <is>
          <t>Timbangan</t>
        </is>
      </c>
      <c r="G11" s="28" t="inlineStr">
        <is>
          <t>Admin Timbangan</t>
        </is>
      </c>
      <c r="H11" s="28" t="inlineStr">
        <is>
          <t>L</t>
        </is>
      </c>
      <c r="I11" s="28" t="inlineStr">
        <is>
          <t>3D2</t>
        </is>
      </c>
      <c r="J11" s="28" t="inlineStr">
        <is>
          <t>ISLAM</t>
        </is>
      </c>
    </row>
    <row r="12" ht="15.75" customHeight="1" s="169">
      <c r="A12" s="28" t="n">
        <v>328000019</v>
      </c>
      <c r="B12" s="28" t="inlineStr">
        <is>
          <t>Dadang Saputra</t>
        </is>
      </c>
      <c r="C12" s="175" t="n">
        <v>45180</v>
      </c>
      <c r="D12" s="28" t="inlineStr">
        <is>
          <t>2 tahun, 0 bulan, 7 hari</t>
        </is>
      </c>
      <c r="E12" s="28" t="inlineStr">
        <is>
          <t>Production</t>
        </is>
      </c>
      <c r="F12" s="28" t="inlineStr">
        <is>
          <t>Production Diapers</t>
        </is>
      </c>
      <c r="G12" s="28" t="inlineStr">
        <is>
          <t>Operator Produksi</t>
        </is>
      </c>
      <c r="H12" s="28" t="inlineStr">
        <is>
          <t>L</t>
        </is>
      </c>
      <c r="I12" s="28" t="inlineStr">
        <is>
          <t>4B2</t>
        </is>
      </c>
      <c r="J12" s="28" t="inlineStr">
        <is>
          <t>ISLAM</t>
        </is>
      </c>
    </row>
    <row r="13" ht="15.75" customHeight="1" s="169">
      <c r="A13" s="28" t="n">
        <v>328000020</v>
      </c>
      <c r="B13" s="28" t="inlineStr">
        <is>
          <t>Agus Gunawan</t>
        </is>
      </c>
      <c r="C13" s="175" t="n">
        <v>45180</v>
      </c>
      <c r="D13" s="28" t="inlineStr">
        <is>
          <t>2 tahun, 0 bulan, 7 hari</t>
        </is>
      </c>
      <c r="E13" s="28" t="inlineStr">
        <is>
          <t>Production</t>
        </is>
      </c>
      <c r="F13" s="28" t="inlineStr">
        <is>
          <t>Production Diapers</t>
        </is>
      </c>
      <c r="G13" s="28" t="inlineStr">
        <is>
          <t>Operator Produksi</t>
        </is>
      </c>
      <c r="H13" s="28" t="inlineStr">
        <is>
          <t>L</t>
        </is>
      </c>
      <c r="I13" s="28" t="inlineStr">
        <is>
          <t>4A2</t>
        </is>
      </c>
      <c r="J13" s="28" t="inlineStr">
        <is>
          <t>ISLAM</t>
        </is>
      </c>
    </row>
    <row r="14" ht="15.75" customHeight="1" s="169">
      <c r="A14" s="28" t="n">
        <v>328000022</v>
      </c>
      <c r="B14" s="28" t="inlineStr">
        <is>
          <t>Azhar Aizad Alfaridzi</t>
        </is>
      </c>
      <c r="C14" s="175" t="n">
        <v>45180</v>
      </c>
      <c r="D14" s="28" t="inlineStr">
        <is>
          <t>2 tahun, 0 bulan, 7 hari</t>
        </is>
      </c>
      <c r="E14" s="28" t="inlineStr">
        <is>
          <t>Production</t>
        </is>
      </c>
      <c r="F14" s="28" t="inlineStr">
        <is>
          <t>Production Diapers</t>
        </is>
      </c>
      <c r="G14" s="28" t="inlineStr">
        <is>
          <t>Operator Produksi</t>
        </is>
      </c>
      <c r="H14" s="28" t="inlineStr">
        <is>
          <t>L</t>
        </is>
      </c>
      <c r="I14" s="28" t="inlineStr">
        <is>
          <t>4D2</t>
        </is>
      </c>
      <c r="J14" s="28" t="inlineStr">
        <is>
          <t>ISLAM</t>
        </is>
      </c>
    </row>
    <row r="15" ht="15.75" customHeight="1" s="169">
      <c r="A15" s="28" t="n">
        <v>328000023</v>
      </c>
      <c r="B15" s="28" t="inlineStr">
        <is>
          <t>Kepin Nugraha</t>
        </is>
      </c>
      <c r="C15" s="175" t="n">
        <v>45180</v>
      </c>
      <c r="D15" s="28" t="inlineStr">
        <is>
          <t>2 tahun, 0 bulan, 7 hari</t>
        </is>
      </c>
      <c r="E15" s="28" t="inlineStr">
        <is>
          <t>Production</t>
        </is>
      </c>
      <c r="F15" s="28" t="inlineStr">
        <is>
          <t>Production Diapers</t>
        </is>
      </c>
      <c r="G15" s="28" t="inlineStr">
        <is>
          <t>Operator Produksi</t>
        </is>
      </c>
      <c r="H15" s="28" t="inlineStr">
        <is>
          <t>L</t>
        </is>
      </c>
      <c r="I15" s="28" t="inlineStr">
        <is>
          <t>4C2</t>
        </is>
      </c>
      <c r="J15" s="28" t="inlineStr">
        <is>
          <t>ISLAM</t>
        </is>
      </c>
    </row>
    <row r="16" ht="15.75" customHeight="1" s="169">
      <c r="A16" s="28" t="n">
        <v>328000024</v>
      </c>
      <c r="B16" s="28" t="inlineStr">
        <is>
          <t>Arul Meilana</t>
        </is>
      </c>
      <c r="C16" s="175" t="n">
        <v>45027</v>
      </c>
      <c r="D16" s="28" t="inlineStr">
        <is>
          <t>2 tahun, 5 bulan, 7 hari</t>
        </is>
      </c>
      <c r="E16" s="28" t="inlineStr">
        <is>
          <t>Production</t>
        </is>
      </c>
      <c r="F16" s="28" t="inlineStr">
        <is>
          <t>Production Adult</t>
        </is>
      </c>
      <c r="G16" s="28" t="inlineStr">
        <is>
          <t>Operator Produksi</t>
        </is>
      </c>
      <c r="H16" s="28" t="inlineStr">
        <is>
          <t>L</t>
        </is>
      </c>
      <c r="I16" s="28" t="inlineStr">
        <is>
          <t>3GSPRD3B</t>
        </is>
      </c>
      <c r="J16" s="28" t="inlineStr">
        <is>
          <t>ISLAM</t>
        </is>
      </c>
    </row>
    <row r="17" ht="15.75" customHeight="1" s="169">
      <c r="A17" s="28" t="n">
        <v>328000026</v>
      </c>
      <c r="B17" s="28" t="inlineStr">
        <is>
          <t>Dede Wahyudin</t>
        </is>
      </c>
      <c r="C17" s="175" t="n">
        <v>45180</v>
      </c>
      <c r="D17" s="28" t="inlineStr">
        <is>
          <t>2 tahun, 0 bulan, 7 hari</t>
        </is>
      </c>
      <c r="E17" s="28" t="inlineStr">
        <is>
          <t>Production</t>
        </is>
      </c>
      <c r="F17" s="28" t="inlineStr">
        <is>
          <t>Production Adult</t>
        </is>
      </c>
      <c r="G17" s="28" t="inlineStr">
        <is>
          <t>Operator Produksi</t>
        </is>
      </c>
      <c r="H17" s="28" t="inlineStr">
        <is>
          <t>L</t>
        </is>
      </c>
      <c r="I17" s="28" t="inlineStr">
        <is>
          <t>3GSPRD3B</t>
        </is>
      </c>
      <c r="J17" s="28" t="inlineStr">
        <is>
          <t>ISLAM</t>
        </is>
      </c>
    </row>
    <row r="18" ht="15.75" customHeight="1" s="169">
      <c r="A18" s="28" t="n">
        <v>328000027</v>
      </c>
      <c r="B18" s="28" t="inlineStr">
        <is>
          <t>Gigin Ginanjar</t>
        </is>
      </c>
      <c r="C18" s="175" t="n">
        <v>45180</v>
      </c>
      <c r="D18" s="28" t="inlineStr">
        <is>
          <t>2 tahun, 0 bulan, 7 hari</t>
        </is>
      </c>
      <c r="E18" s="28" t="inlineStr">
        <is>
          <t>Production</t>
        </is>
      </c>
      <c r="F18" s="28" t="inlineStr">
        <is>
          <t>Production Diapers</t>
        </is>
      </c>
      <c r="G18" s="28" t="inlineStr">
        <is>
          <t>Operator Produksi</t>
        </is>
      </c>
      <c r="H18" s="28" t="inlineStr">
        <is>
          <t>L</t>
        </is>
      </c>
      <c r="I18" s="28" t="inlineStr">
        <is>
          <t>4B2</t>
        </is>
      </c>
      <c r="J18" s="28" t="inlineStr">
        <is>
          <t>ISLAM</t>
        </is>
      </c>
    </row>
    <row r="19" ht="15.75" customHeight="1" s="169">
      <c r="A19" s="28" t="n">
        <v>328000028</v>
      </c>
      <c r="B19" s="28" t="inlineStr">
        <is>
          <t>Tisna Ginanjar</t>
        </is>
      </c>
      <c r="C19" s="175" t="n">
        <v>45180</v>
      </c>
      <c r="D19" s="28" t="inlineStr">
        <is>
          <t>2 tahun, 0 bulan, 7 hari</t>
        </is>
      </c>
      <c r="E19" s="28" t="inlineStr">
        <is>
          <t>Production</t>
        </is>
      </c>
      <c r="F19" s="28" t="inlineStr">
        <is>
          <t>Production Diapers</t>
        </is>
      </c>
      <c r="G19" s="28" t="inlineStr">
        <is>
          <t>Operator Produksi</t>
        </is>
      </c>
      <c r="H19" s="28" t="inlineStr">
        <is>
          <t>L</t>
        </is>
      </c>
      <c r="I19" s="28" t="inlineStr">
        <is>
          <t>4D2</t>
        </is>
      </c>
      <c r="J19" s="28" t="inlineStr">
        <is>
          <t>ISLAM</t>
        </is>
      </c>
    </row>
    <row r="20" ht="15.75" customHeight="1" s="169">
      <c r="A20" s="28" t="n">
        <v>328000030</v>
      </c>
      <c r="B20" s="28" t="inlineStr">
        <is>
          <t>Dava Putra Yudiansyah</t>
        </is>
      </c>
      <c r="C20" s="175" t="n">
        <v>45180</v>
      </c>
      <c r="D20" s="28" t="inlineStr">
        <is>
          <t>2 tahun, 0 bulan, 7 hari</t>
        </is>
      </c>
      <c r="E20" s="28" t="inlineStr">
        <is>
          <t>Production</t>
        </is>
      </c>
      <c r="F20" s="28" t="inlineStr">
        <is>
          <t>Production Diapers</t>
        </is>
      </c>
      <c r="G20" s="28" t="inlineStr">
        <is>
          <t>Operator Produksi</t>
        </is>
      </c>
      <c r="H20" s="28" t="inlineStr">
        <is>
          <t>L</t>
        </is>
      </c>
      <c r="I20" s="28" t="inlineStr">
        <is>
          <t>4D2</t>
        </is>
      </c>
      <c r="J20" s="28" t="inlineStr">
        <is>
          <t>ISLAM</t>
        </is>
      </c>
    </row>
    <row r="21" ht="15.75" customHeight="1" s="169">
      <c r="A21" s="28" t="n">
        <v>328000032</v>
      </c>
      <c r="B21" s="28" t="inlineStr">
        <is>
          <t>Ruby Subastian</t>
        </is>
      </c>
      <c r="C21" s="175" t="n">
        <v>45180</v>
      </c>
      <c r="D21" s="28" t="inlineStr">
        <is>
          <t>2 tahun, 0 bulan, 7 hari</t>
        </is>
      </c>
      <c r="E21" s="28" t="inlineStr">
        <is>
          <t>Production</t>
        </is>
      </c>
      <c r="F21" s="28" t="inlineStr">
        <is>
          <t>Production Adult</t>
        </is>
      </c>
      <c r="G21" s="28" t="inlineStr">
        <is>
          <t>Operator Produksi</t>
        </is>
      </c>
      <c r="H21" s="28" t="inlineStr">
        <is>
          <t>L</t>
        </is>
      </c>
      <c r="I21" s="28" t="inlineStr">
        <is>
          <t>3GSPRD1G</t>
        </is>
      </c>
      <c r="J21" s="28" t="inlineStr">
        <is>
          <t>ISLAM</t>
        </is>
      </c>
    </row>
    <row r="22" ht="15.75" customHeight="1" s="169">
      <c r="A22" s="28" t="n">
        <v>328000033</v>
      </c>
      <c r="B22" s="28" t="inlineStr">
        <is>
          <t>Hendra</t>
        </is>
      </c>
      <c r="C22" s="175" t="n">
        <v>45180</v>
      </c>
      <c r="D22" s="28" t="inlineStr">
        <is>
          <t>2 tahun, 0 bulan, 7 hari</t>
        </is>
      </c>
      <c r="E22" s="28" t="inlineStr">
        <is>
          <t>Production</t>
        </is>
      </c>
      <c r="F22" s="28" t="inlineStr">
        <is>
          <t>Production Diapers</t>
        </is>
      </c>
      <c r="G22" s="28" t="inlineStr">
        <is>
          <t>Operator Produksi</t>
        </is>
      </c>
      <c r="H22" s="28" t="inlineStr">
        <is>
          <t>L</t>
        </is>
      </c>
      <c r="I22" s="28" t="inlineStr">
        <is>
          <t>4A2</t>
        </is>
      </c>
      <c r="J22" s="28" t="inlineStr">
        <is>
          <t>ISLAM</t>
        </is>
      </c>
    </row>
    <row r="23" ht="15.75" customHeight="1" s="169">
      <c r="A23" s="28" t="n">
        <v>328000036</v>
      </c>
      <c r="B23" s="28" t="inlineStr">
        <is>
          <t>Fesal Fauzan</t>
        </is>
      </c>
      <c r="C23" s="175" t="n">
        <v>45180</v>
      </c>
      <c r="D23" s="28" t="inlineStr">
        <is>
          <t>2 tahun, 0 bulan, 7 hari</t>
        </is>
      </c>
      <c r="E23" s="28" t="inlineStr">
        <is>
          <t>Production</t>
        </is>
      </c>
      <c r="F23" s="28" t="inlineStr">
        <is>
          <t>Production Diapers</t>
        </is>
      </c>
      <c r="G23" s="28" t="inlineStr">
        <is>
          <t>Operator Produksi</t>
        </is>
      </c>
      <c r="H23" s="28" t="inlineStr">
        <is>
          <t>L</t>
        </is>
      </c>
      <c r="I23" s="28" t="inlineStr">
        <is>
          <t>4A2</t>
        </is>
      </c>
      <c r="J23" s="28" t="inlineStr">
        <is>
          <t>ISLAM</t>
        </is>
      </c>
    </row>
    <row r="24" ht="15.75" customHeight="1" s="169">
      <c r="A24" s="28" t="n">
        <v>328000037</v>
      </c>
      <c r="B24" s="28" t="inlineStr">
        <is>
          <t>Kurniadi</t>
        </is>
      </c>
      <c r="C24" s="175" t="n">
        <v>45180</v>
      </c>
      <c r="D24" s="28" t="inlineStr">
        <is>
          <t>2 tahun, 0 bulan, 7 hari</t>
        </is>
      </c>
      <c r="E24" s="28" t="inlineStr">
        <is>
          <t>Production</t>
        </is>
      </c>
      <c r="F24" s="28" t="inlineStr">
        <is>
          <t>Production Diapers</t>
        </is>
      </c>
      <c r="G24" s="28" t="inlineStr">
        <is>
          <t>Operator Produksi</t>
        </is>
      </c>
      <c r="H24" s="28" t="inlineStr">
        <is>
          <t>L</t>
        </is>
      </c>
      <c r="I24" s="28" t="inlineStr">
        <is>
          <t>4A2</t>
        </is>
      </c>
      <c r="J24" s="28" t="inlineStr">
        <is>
          <t>ISLAM</t>
        </is>
      </c>
    </row>
    <row r="25" ht="15.75" customHeight="1" s="169">
      <c r="A25" s="28" t="n">
        <v>328000040</v>
      </c>
      <c r="B25" s="28" t="inlineStr">
        <is>
          <t>Asep Kamaludin</t>
        </is>
      </c>
      <c r="C25" s="175" t="n">
        <v>45191</v>
      </c>
      <c r="D25" s="28" t="inlineStr">
        <is>
          <t>1 tahun, 11 bulan, 27 hari</t>
        </is>
      </c>
      <c r="E25" s="28" t="inlineStr">
        <is>
          <t>Quality and Research &amp; Development</t>
        </is>
      </c>
      <c r="F25" s="28" t="inlineStr">
        <is>
          <t>QC - Diapers</t>
        </is>
      </c>
      <c r="G25" s="28" t="inlineStr">
        <is>
          <t>QC Patrol</t>
        </is>
      </c>
      <c r="H25" s="28" t="inlineStr">
        <is>
          <t>L</t>
        </is>
      </c>
      <c r="I25" s="28" t="inlineStr">
        <is>
          <t>4D2</t>
        </is>
      </c>
      <c r="J25" s="28" t="inlineStr">
        <is>
          <t>ISLAM</t>
        </is>
      </c>
    </row>
    <row r="26" ht="15.75" customHeight="1" s="169">
      <c r="A26" s="28" t="n">
        <v>328000052</v>
      </c>
      <c r="B26" s="28" t="inlineStr">
        <is>
          <t>Dimas Nugroho</t>
        </is>
      </c>
      <c r="C26" s="175" t="n">
        <v>45194</v>
      </c>
      <c r="D26" s="28" t="inlineStr">
        <is>
          <t>1 tahun, 11 bulan, 24 hari</t>
        </is>
      </c>
      <c r="E26" s="28" t="inlineStr">
        <is>
          <t>Logistic</t>
        </is>
      </c>
      <c r="F26" s="28" t="inlineStr">
        <is>
          <t>Warehouse Sparepart</t>
        </is>
      </c>
      <c r="G26" s="28" t="inlineStr">
        <is>
          <t>Admin WSP</t>
        </is>
      </c>
      <c r="H26" s="28" t="inlineStr">
        <is>
          <t>L</t>
        </is>
      </c>
      <c r="I26" s="28" t="inlineStr">
        <is>
          <t>4D2</t>
        </is>
      </c>
      <c r="J26" s="28" t="inlineStr">
        <is>
          <t>ISLAM</t>
        </is>
      </c>
    </row>
    <row r="27" ht="15.75" customHeight="1" s="169">
      <c r="A27" s="28" t="n">
        <v>328000063</v>
      </c>
      <c r="B27" s="28" t="inlineStr">
        <is>
          <t>Rizki Agung</t>
        </is>
      </c>
      <c r="C27" s="175" t="n">
        <v>45198</v>
      </c>
      <c r="D27" s="28" t="inlineStr">
        <is>
          <t>1 tahun, 11 bulan, 20 hari</t>
        </is>
      </c>
      <c r="E27" s="28" t="inlineStr">
        <is>
          <t>Production</t>
        </is>
      </c>
      <c r="F27" s="28" t="inlineStr">
        <is>
          <t>Production Diapers</t>
        </is>
      </c>
      <c r="G27" s="28" t="inlineStr">
        <is>
          <t>Operator Produksi</t>
        </is>
      </c>
      <c r="H27" s="28" t="inlineStr">
        <is>
          <t>L</t>
        </is>
      </c>
      <c r="I27" s="28" t="inlineStr">
        <is>
          <t>4B2</t>
        </is>
      </c>
      <c r="J27" s="28" t="inlineStr">
        <is>
          <t>ISLAM</t>
        </is>
      </c>
    </row>
    <row r="28" ht="15.75" customHeight="1" s="169">
      <c r="A28" s="28" t="n">
        <v>328000067</v>
      </c>
      <c r="B28" s="28" t="inlineStr">
        <is>
          <t>Alip Rangga Alpajrin</t>
        </is>
      </c>
      <c r="C28" s="175" t="n">
        <v>45198</v>
      </c>
      <c r="D28" s="28" t="inlineStr">
        <is>
          <t>1 tahun, 11 bulan, 20 hari</t>
        </is>
      </c>
      <c r="E28" s="28" t="inlineStr">
        <is>
          <t>Production</t>
        </is>
      </c>
      <c r="F28" s="28" t="inlineStr">
        <is>
          <t>Production Diapers</t>
        </is>
      </c>
      <c r="G28" s="28" t="inlineStr">
        <is>
          <t>Admin TSP</t>
        </is>
      </c>
      <c r="H28" s="28" t="inlineStr">
        <is>
          <t>L</t>
        </is>
      </c>
      <c r="I28" s="28" t="inlineStr">
        <is>
          <t>4C2</t>
        </is>
      </c>
      <c r="J28" s="28" t="inlineStr">
        <is>
          <t>ISLAM</t>
        </is>
      </c>
    </row>
    <row r="29" ht="15.75" customHeight="1" s="169">
      <c r="A29" s="28" t="n">
        <v>328000070</v>
      </c>
      <c r="B29" s="28" t="inlineStr">
        <is>
          <t>Bayu Ajie Pangestu</t>
        </is>
      </c>
      <c r="C29" s="175" t="n">
        <v>45198</v>
      </c>
      <c r="D29" s="28" t="inlineStr">
        <is>
          <t>1 tahun, 11 bulan, 20 hari</t>
        </is>
      </c>
      <c r="E29" s="28" t="inlineStr">
        <is>
          <t>Quality and Research &amp; Development</t>
        </is>
      </c>
      <c r="F29" s="28" t="inlineStr">
        <is>
          <t>QC - Diapers</t>
        </is>
      </c>
      <c r="G29" s="28" t="inlineStr">
        <is>
          <t>QC Patrol</t>
        </is>
      </c>
      <c r="H29" s="28" t="inlineStr">
        <is>
          <t>L</t>
        </is>
      </c>
      <c r="I29" s="28" t="inlineStr">
        <is>
          <t>4B2</t>
        </is>
      </c>
      <c r="J29" s="28" t="inlineStr">
        <is>
          <t>ISLAM</t>
        </is>
      </c>
    </row>
    <row r="30" ht="15.75" customHeight="1" s="169">
      <c r="A30" s="28" t="n">
        <v>328000080</v>
      </c>
      <c r="B30" s="28" t="inlineStr">
        <is>
          <t>Ilham Paoji Muharom</t>
        </is>
      </c>
      <c r="C30" s="175" t="n">
        <v>45201</v>
      </c>
      <c r="D30" s="28" t="inlineStr">
        <is>
          <t>1 tahun, 11 bulan, 16 hari</t>
        </is>
      </c>
      <c r="E30" s="28" t="inlineStr">
        <is>
          <t>Logistic</t>
        </is>
      </c>
      <c r="F30" s="28" t="inlineStr">
        <is>
          <t>Warehouse Raw Material</t>
        </is>
      </c>
      <c r="G30" s="28" t="inlineStr">
        <is>
          <t>Operator Forklift</t>
        </is>
      </c>
      <c r="H30" s="28" t="inlineStr">
        <is>
          <t>L</t>
        </is>
      </c>
      <c r="I30" s="28" t="inlineStr">
        <is>
          <t>4D2</t>
        </is>
      </c>
      <c r="J30" s="28" t="inlineStr">
        <is>
          <t>ISLAM</t>
        </is>
      </c>
    </row>
    <row r="31" ht="15.75" customHeight="1" s="169">
      <c r="A31" s="28" t="n">
        <v>328000081</v>
      </c>
      <c r="B31" s="28" t="inlineStr">
        <is>
          <t>M. Qori Almahmud</t>
        </is>
      </c>
      <c r="C31" s="175" t="n">
        <v>45201</v>
      </c>
      <c r="D31" s="28" t="inlineStr">
        <is>
          <t>1 tahun, 11 bulan, 16 hari</t>
        </is>
      </c>
      <c r="E31" s="28" t="inlineStr">
        <is>
          <t>Logistic</t>
        </is>
      </c>
      <c r="F31" s="28" t="inlineStr">
        <is>
          <t>Warehouse Sparepart</t>
        </is>
      </c>
      <c r="G31" s="28" t="inlineStr">
        <is>
          <t>Admin WSP</t>
        </is>
      </c>
      <c r="H31" s="28" t="inlineStr">
        <is>
          <t>L</t>
        </is>
      </c>
      <c r="I31" s="28" t="inlineStr">
        <is>
          <t>4B2</t>
        </is>
      </c>
      <c r="J31" s="28" t="inlineStr">
        <is>
          <t>ISLAM</t>
        </is>
      </c>
    </row>
    <row r="32" ht="15.75" customHeight="1" s="169">
      <c r="A32" s="28" t="n">
        <v>328000083</v>
      </c>
      <c r="B32" s="28" t="inlineStr">
        <is>
          <t>Aldi Sutrisna</t>
        </is>
      </c>
      <c r="C32" s="175" t="n">
        <v>45201</v>
      </c>
      <c r="D32" s="28" t="inlineStr">
        <is>
          <t>1 tahun, 11 bulan, 16 hari</t>
        </is>
      </c>
      <c r="E32" s="28" t="inlineStr">
        <is>
          <t>Production</t>
        </is>
      </c>
      <c r="F32" s="28" t="inlineStr">
        <is>
          <t>Production Diapers</t>
        </is>
      </c>
      <c r="G32" s="28" t="inlineStr">
        <is>
          <t>Operator Produksi</t>
        </is>
      </c>
      <c r="H32" s="28" t="inlineStr">
        <is>
          <t>L</t>
        </is>
      </c>
      <c r="I32" s="28" t="inlineStr">
        <is>
          <t>4C2</t>
        </is>
      </c>
      <c r="J32" s="28" t="inlineStr">
        <is>
          <t>ISLAM</t>
        </is>
      </c>
    </row>
    <row r="33" ht="15.75" customHeight="1" s="169">
      <c r="A33" s="28" t="n">
        <v>328000086</v>
      </c>
      <c r="B33" s="28" t="inlineStr">
        <is>
          <t>Aria Permana Zidane</t>
        </is>
      </c>
      <c r="C33" s="175" t="n">
        <v>45205</v>
      </c>
      <c r="D33" s="28" t="inlineStr">
        <is>
          <t>1 tahun, 11 bulan, 12 hari</t>
        </is>
      </c>
      <c r="E33" s="28" t="inlineStr">
        <is>
          <t>Logistic</t>
        </is>
      </c>
      <c r="F33" s="28" t="inlineStr">
        <is>
          <t>Warehouse Raw Material</t>
        </is>
      </c>
      <c r="G33" s="28" t="inlineStr">
        <is>
          <t>PIC Area</t>
        </is>
      </c>
      <c r="H33" s="28" t="inlineStr">
        <is>
          <t>L</t>
        </is>
      </c>
      <c r="I33" s="28" t="inlineStr">
        <is>
          <t>2LOGB5</t>
        </is>
      </c>
      <c r="J33" s="28" t="inlineStr">
        <is>
          <t>ISLAM</t>
        </is>
      </c>
    </row>
    <row r="34" ht="15.75" customHeight="1" s="169">
      <c r="A34" s="28" t="n">
        <v>328000095</v>
      </c>
      <c r="B34" s="28" t="inlineStr">
        <is>
          <t>Agus Joni</t>
        </is>
      </c>
      <c r="C34" s="175" t="n">
        <v>45205</v>
      </c>
      <c r="D34" s="28" t="inlineStr">
        <is>
          <t>1 tahun, 11 bulan, 12 hari</t>
        </is>
      </c>
      <c r="E34" s="28" t="inlineStr">
        <is>
          <t>Production</t>
        </is>
      </c>
      <c r="F34" s="28" t="inlineStr">
        <is>
          <t>Production Diapers</t>
        </is>
      </c>
      <c r="G34" s="28" t="inlineStr">
        <is>
          <t>Operator Produksi</t>
        </is>
      </c>
      <c r="H34" s="28" t="inlineStr">
        <is>
          <t>L</t>
        </is>
      </c>
      <c r="I34" s="28" t="inlineStr">
        <is>
          <t>4D2</t>
        </is>
      </c>
      <c r="J34" s="28" t="inlineStr">
        <is>
          <t>ISLAM</t>
        </is>
      </c>
    </row>
    <row r="35" ht="15.75" customHeight="1" s="169">
      <c r="A35" s="28" t="n">
        <v>328000097</v>
      </c>
      <c r="B35" s="28" t="inlineStr">
        <is>
          <t>Yogi Rudianto</t>
        </is>
      </c>
      <c r="C35" s="175" t="n">
        <v>45205</v>
      </c>
      <c r="D35" s="28" t="inlineStr">
        <is>
          <t>1 tahun, 11 bulan, 12 hari</t>
        </is>
      </c>
      <c r="E35" s="28" t="inlineStr">
        <is>
          <t>Logistic</t>
        </is>
      </c>
      <c r="F35" s="28" t="inlineStr">
        <is>
          <t>Warehouse Raw Material</t>
        </is>
      </c>
      <c r="G35" s="28" t="inlineStr">
        <is>
          <t>Admin WRM</t>
        </is>
      </c>
      <c r="H35" s="28" t="inlineStr">
        <is>
          <t>L</t>
        </is>
      </c>
      <c r="I35" s="28" t="inlineStr">
        <is>
          <t>2LOGA5</t>
        </is>
      </c>
      <c r="J35" s="28" t="inlineStr">
        <is>
          <t>ISLAM</t>
        </is>
      </c>
    </row>
    <row r="36" ht="15.75" customHeight="1" s="169">
      <c r="A36" s="28" t="n">
        <v>328000100</v>
      </c>
      <c r="B36" s="28" t="inlineStr">
        <is>
          <t>Fikrie Abi Hasan</t>
        </is>
      </c>
      <c r="C36" s="175" t="n">
        <v>45206</v>
      </c>
      <c r="D36" s="28" t="inlineStr">
        <is>
          <t>1 tahun, 11 bulan, 11 hari</t>
        </is>
      </c>
      <c r="E36" s="28" t="inlineStr">
        <is>
          <t>Logistic</t>
        </is>
      </c>
      <c r="F36" s="28" t="inlineStr">
        <is>
          <t>Warehouse Sparepart</t>
        </is>
      </c>
      <c r="G36" s="28" t="inlineStr">
        <is>
          <t>Admin WSP</t>
        </is>
      </c>
      <c r="H36" s="28" t="inlineStr">
        <is>
          <t>L</t>
        </is>
      </c>
      <c r="I36" s="28" t="inlineStr">
        <is>
          <t>4C2</t>
        </is>
      </c>
      <c r="J36" s="28" t="inlineStr">
        <is>
          <t>ISLAM</t>
        </is>
      </c>
    </row>
    <row r="37" ht="15.75" customHeight="1" s="169">
      <c r="A37" s="28" t="n">
        <v>328000108</v>
      </c>
      <c r="B37" s="28" t="inlineStr">
        <is>
          <t>Ahmad Nur Fajar</t>
        </is>
      </c>
      <c r="C37" s="175" t="n">
        <v>45216</v>
      </c>
      <c r="D37" s="28" t="inlineStr">
        <is>
          <t>1 tahun, 11 bulan, 1 hari</t>
        </is>
      </c>
      <c r="E37" s="28" t="inlineStr">
        <is>
          <t>Production</t>
        </is>
      </c>
      <c r="F37" s="28" t="inlineStr">
        <is>
          <t>Production Adult</t>
        </is>
      </c>
      <c r="G37" s="28" t="inlineStr">
        <is>
          <t>Operator Produksi</t>
        </is>
      </c>
      <c r="H37" s="28" t="inlineStr">
        <is>
          <t>L</t>
        </is>
      </c>
      <c r="I37" s="28" t="inlineStr">
        <is>
          <t>3GSPRD2S</t>
        </is>
      </c>
      <c r="J37" s="28" t="inlineStr">
        <is>
          <t>ISLAM</t>
        </is>
      </c>
    </row>
    <row r="38" ht="15.75" customHeight="1" s="169">
      <c r="A38" s="28" t="n">
        <v>328000109</v>
      </c>
      <c r="B38" s="28" t="inlineStr">
        <is>
          <t>Rizky Pradana R</t>
        </is>
      </c>
      <c r="C38" s="175" t="n">
        <v>45216</v>
      </c>
      <c r="D38" s="28" t="inlineStr">
        <is>
          <t>1 tahun, 11 bulan, 1 hari</t>
        </is>
      </c>
      <c r="E38" s="28" t="inlineStr">
        <is>
          <t>Production</t>
        </is>
      </c>
      <c r="F38" s="28" t="inlineStr">
        <is>
          <t>Production Diapers</t>
        </is>
      </c>
      <c r="G38" s="28" t="inlineStr">
        <is>
          <t>Operator Produksi</t>
        </is>
      </c>
      <c r="H38" s="28" t="inlineStr">
        <is>
          <t>L</t>
        </is>
      </c>
      <c r="I38" s="28" t="inlineStr">
        <is>
          <t>4C2</t>
        </is>
      </c>
      <c r="J38" s="28" t="inlineStr">
        <is>
          <t>ISLAM</t>
        </is>
      </c>
    </row>
    <row r="39" ht="15.75" customHeight="1" s="169">
      <c r="A39" s="28" t="n">
        <v>328000110</v>
      </c>
      <c r="B39" s="28" t="inlineStr">
        <is>
          <t>Pratama Wahyu Saputro</t>
        </is>
      </c>
      <c r="C39" s="175" t="n">
        <v>45216</v>
      </c>
      <c r="D39" s="28" t="inlineStr">
        <is>
          <t>1 tahun, 11 bulan, 1 hari</t>
        </is>
      </c>
      <c r="E39" s="28" t="inlineStr">
        <is>
          <t>Production</t>
        </is>
      </c>
      <c r="F39" s="28" t="inlineStr">
        <is>
          <t>Production Diapers</t>
        </is>
      </c>
      <c r="G39" s="28" t="inlineStr">
        <is>
          <t>Operator Produksi</t>
        </is>
      </c>
      <c r="H39" s="28" t="inlineStr">
        <is>
          <t>L</t>
        </is>
      </c>
      <c r="I39" s="28" t="inlineStr">
        <is>
          <t>4A2</t>
        </is>
      </c>
      <c r="J39" s="28" t="inlineStr">
        <is>
          <t>ISLAM</t>
        </is>
      </c>
    </row>
    <row r="40" ht="15.75" customHeight="1" s="169">
      <c r="A40" s="28" t="n">
        <v>328000122</v>
      </c>
      <c r="B40" s="28" t="inlineStr">
        <is>
          <t>Sendi</t>
        </is>
      </c>
      <c r="C40" s="175" t="n">
        <v>45216</v>
      </c>
      <c r="D40" s="28" t="inlineStr">
        <is>
          <t>1 tahun, 11 bulan, 1 hari</t>
        </is>
      </c>
      <c r="E40" s="28" t="inlineStr">
        <is>
          <t>Production</t>
        </is>
      </c>
      <c r="F40" s="28" t="inlineStr">
        <is>
          <t>Production Diapers</t>
        </is>
      </c>
      <c r="G40" s="28" t="inlineStr">
        <is>
          <t>Operator Produksi</t>
        </is>
      </c>
      <c r="H40" s="28" t="inlineStr">
        <is>
          <t>L</t>
        </is>
      </c>
      <c r="I40" s="28" t="inlineStr">
        <is>
          <t>4C2</t>
        </is>
      </c>
      <c r="J40" s="28" t="inlineStr">
        <is>
          <t>ISLAM</t>
        </is>
      </c>
    </row>
    <row r="41" ht="15.75" customHeight="1" s="169">
      <c r="A41" s="28" t="n">
        <v>328000124</v>
      </c>
      <c r="B41" s="28" t="inlineStr">
        <is>
          <t>Muhammad Sugih Nugraha</t>
        </is>
      </c>
      <c r="C41" s="175" t="n">
        <v>45216</v>
      </c>
      <c r="D41" s="28" t="inlineStr">
        <is>
          <t>1 tahun, 11 bulan, 1 hari</t>
        </is>
      </c>
      <c r="E41" s="28" t="inlineStr">
        <is>
          <t>Production</t>
        </is>
      </c>
      <c r="F41" s="28" t="inlineStr">
        <is>
          <t>Production Diapers</t>
        </is>
      </c>
      <c r="G41" s="28" t="inlineStr">
        <is>
          <t>Admin TSP</t>
        </is>
      </c>
      <c r="H41" s="28" t="inlineStr">
        <is>
          <t>L</t>
        </is>
      </c>
      <c r="I41" s="28" t="inlineStr">
        <is>
          <t>4B2</t>
        </is>
      </c>
      <c r="J41" s="28" t="inlineStr">
        <is>
          <t>ISLAM</t>
        </is>
      </c>
    </row>
    <row r="42" ht="15.75" customHeight="1" s="169">
      <c r="A42" s="28" t="n">
        <v>328000129</v>
      </c>
      <c r="B42" s="28" t="inlineStr">
        <is>
          <t>Ahmad Syaefudin Latief</t>
        </is>
      </c>
      <c r="C42" s="175" t="n">
        <v>45219</v>
      </c>
      <c r="D42" s="28" t="inlineStr">
        <is>
          <t>1 tahun, 10 bulan, 29 hari</t>
        </is>
      </c>
      <c r="E42" s="28" t="inlineStr">
        <is>
          <t>Production</t>
        </is>
      </c>
      <c r="F42" s="28" t="inlineStr">
        <is>
          <t>Production Diapers</t>
        </is>
      </c>
      <c r="G42" s="28" t="inlineStr">
        <is>
          <t>Operator Produksi</t>
        </is>
      </c>
      <c r="H42" s="28" t="inlineStr">
        <is>
          <t>L</t>
        </is>
      </c>
      <c r="I42" s="28" t="inlineStr">
        <is>
          <t>4A2</t>
        </is>
      </c>
      <c r="J42" s="28" t="inlineStr">
        <is>
          <t>ISLAM</t>
        </is>
      </c>
    </row>
    <row r="43" ht="15.75" customHeight="1" s="169">
      <c r="A43" s="28" t="n">
        <v>328000130</v>
      </c>
      <c r="B43" s="28" t="inlineStr">
        <is>
          <t>Agil Agustiawan</t>
        </is>
      </c>
      <c r="C43" s="175" t="n">
        <v>45219</v>
      </c>
      <c r="D43" s="28" t="inlineStr">
        <is>
          <t>1 tahun, 10 bulan, 29 hari</t>
        </is>
      </c>
      <c r="E43" s="28" t="inlineStr">
        <is>
          <t>Production</t>
        </is>
      </c>
      <c r="F43" s="28" t="inlineStr">
        <is>
          <t>Production Diapers</t>
        </is>
      </c>
      <c r="G43" s="28" t="inlineStr">
        <is>
          <t>Operator Produksi</t>
        </is>
      </c>
      <c r="H43" s="28" t="inlineStr">
        <is>
          <t>L</t>
        </is>
      </c>
      <c r="I43" s="28" t="inlineStr">
        <is>
          <t>4B2</t>
        </is>
      </c>
      <c r="J43" s="28" t="inlineStr">
        <is>
          <t>ISLAM</t>
        </is>
      </c>
    </row>
    <row r="44" ht="15.75" customHeight="1" s="169">
      <c r="A44" s="28" t="n">
        <v>328000134</v>
      </c>
      <c r="B44" s="28" t="inlineStr">
        <is>
          <t>Asep Septiana</t>
        </is>
      </c>
      <c r="C44" s="175" t="n">
        <v>45227</v>
      </c>
      <c r="D44" s="28" t="inlineStr">
        <is>
          <t>1 tahun, 10 bulan, 21 hari</t>
        </is>
      </c>
      <c r="E44" s="28" t="inlineStr">
        <is>
          <t>Production</t>
        </is>
      </c>
      <c r="F44" s="28" t="inlineStr">
        <is>
          <t>Production Diapers</t>
        </is>
      </c>
      <c r="G44" s="28" t="inlineStr">
        <is>
          <t>Operator Produksi</t>
        </is>
      </c>
      <c r="H44" s="28" t="inlineStr">
        <is>
          <t>L</t>
        </is>
      </c>
      <c r="I44" s="28" t="inlineStr">
        <is>
          <t>4A2</t>
        </is>
      </c>
      <c r="J44" s="28" t="inlineStr">
        <is>
          <t>ISLAM</t>
        </is>
      </c>
    </row>
    <row r="45" ht="15.75" customHeight="1" s="169">
      <c r="A45" s="28" t="n">
        <v>328000135</v>
      </c>
      <c r="B45" s="28" t="inlineStr">
        <is>
          <t>Harry Panca</t>
        </is>
      </c>
      <c r="C45" s="175" t="n">
        <v>45227</v>
      </c>
      <c r="D45" s="28" t="inlineStr">
        <is>
          <t>1 tahun, 10 bulan, 21 hari</t>
        </is>
      </c>
      <c r="E45" s="28" t="inlineStr">
        <is>
          <t>Production</t>
        </is>
      </c>
      <c r="F45" s="28" t="inlineStr">
        <is>
          <t>Production Diapers</t>
        </is>
      </c>
      <c r="G45" s="28" t="inlineStr">
        <is>
          <t>Operator Produksi</t>
        </is>
      </c>
      <c r="H45" s="28" t="inlineStr">
        <is>
          <t>L</t>
        </is>
      </c>
      <c r="I45" s="28" t="inlineStr">
        <is>
          <t>4D2</t>
        </is>
      </c>
      <c r="J45" s="28" t="inlineStr">
        <is>
          <t>ISLAM</t>
        </is>
      </c>
    </row>
    <row r="46" ht="15.75" customHeight="1" s="169">
      <c r="A46" s="28" t="n">
        <v>328000136</v>
      </c>
      <c r="B46" s="28" t="inlineStr">
        <is>
          <t>Syahrifaldi Rama Putra</t>
        </is>
      </c>
      <c r="C46" s="175" t="n">
        <v>45227</v>
      </c>
      <c r="D46" s="28" t="inlineStr">
        <is>
          <t>1 tahun, 10 bulan, 21 hari</t>
        </is>
      </c>
      <c r="E46" s="28" t="inlineStr">
        <is>
          <t>Production</t>
        </is>
      </c>
      <c r="F46" s="28" t="inlineStr">
        <is>
          <t>Production Diapers</t>
        </is>
      </c>
      <c r="G46" s="28" t="inlineStr">
        <is>
          <t>Operator Produksi</t>
        </is>
      </c>
      <c r="H46" s="28" t="inlineStr">
        <is>
          <t>L</t>
        </is>
      </c>
      <c r="I46" s="28" t="inlineStr">
        <is>
          <t>4C2</t>
        </is>
      </c>
      <c r="J46" s="28" t="inlineStr">
        <is>
          <t>ISLAM</t>
        </is>
      </c>
    </row>
    <row r="47" ht="15.75" customHeight="1" s="169">
      <c r="A47" s="28" t="n">
        <v>328000137</v>
      </c>
      <c r="B47" s="28" t="inlineStr">
        <is>
          <t>Muhammad Aldy Ramadhan</t>
        </is>
      </c>
      <c r="C47" s="175" t="n">
        <v>45227</v>
      </c>
      <c r="D47" s="28" t="inlineStr">
        <is>
          <t>1 tahun, 10 bulan, 21 hari</t>
        </is>
      </c>
      <c r="E47" s="28" t="inlineStr">
        <is>
          <t>Production</t>
        </is>
      </c>
      <c r="F47" s="28" t="inlineStr">
        <is>
          <t>Production Diapers</t>
        </is>
      </c>
      <c r="G47" s="28" t="inlineStr">
        <is>
          <t>Operator Produksi</t>
        </is>
      </c>
      <c r="H47" s="28" t="inlineStr">
        <is>
          <t>L</t>
        </is>
      </c>
      <c r="I47" s="28" t="inlineStr">
        <is>
          <t>4C2</t>
        </is>
      </c>
      <c r="J47" s="28" t="inlineStr">
        <is>
          <t>ISLAM</t>
        </is>
      </c>
    </row>
    <row r="48" ht="15.75" customHeight="1" s="169">
      <c r="A48" s="28" t="n">
        <v>328000140</v>
      </c>
      <c r="B48" s="28" t="inlineStr">
        <is>
          <t>Jerry Gunawan</t>
        </is>
      </c>
      <c r="C48" s="175" t="n">
        <v>45227</v>
      </c>
      <c r="D48" s="28" t="inlineStr">
        <is>
          <t>1 tahun, 10 bulan, 21 hari</t>
        </is>
      </c>
      <c r="E48" s="28" t="inlineStr">
        <is>
          <t>Production</t>
        </is>
      </c>
      <c r="F48" s="28" t="inlineStr">
        <is>
          <t>Production Diapers</t>
        </is>
      </c>
      <c r="G48" s="28" t="inlineStr">
        <is>
          <t>Operator Produksi</t>
        </is>
      </c>
      <c r="H48" s="28" t="inlineStr">
        <is>
          <t>L</t>
        </is>
      </c>
      <c r="I48" s="28" t="inlineStr">
        <is>
          <t>4B2</t>
        </is>
      </c>
      <c r="J48" s="28" t="inlineStr">
        <is>
          <t>ISLAM</t>
        </is>
      </c>
    </row>
    <row r="49" ht="15.75" customHeight="1" s="169">
      <c r="A49" s="28" t="n">
        <v>328000147</v>
      </c>
      <c r="B49" s="28" t="inlineStr">
        <is>
          <t>Ahmad Pajri Maulana</t>
        </is>
      </c>
      <c r="C49" s="175" t="n">
        <v>45227</v>
      </c>
      <c r="D49" s="28" t="inlineStr">
        <is>
          <t>1 tahun, 10 bulan, 21 hari</t>
        </is>
      </c>
      <c r="E49" s="28" t="inlineStr">
        <is>
          <t>Production</t>
        </is>
      </c>
      <c r="F49" s="28" t="inlineStr">
        <is>
          <t>Production Adult</t>
        </is>
      </c>
      <c r="G49" s="28" t="inlineStr">
        <is>
          <t>Operator Produksi</t>
        </is>
      </c>
      <c r="H49" s="28" t="inlineStr">
        <is>
          <t>L</t>
        </is>
      </c>
      <c r="I49" s="28" t="inlineStr">
        <is>
          <t>3GSPRD2S</t>
        </is>
      </c>
      <c r="J49" s="28" t="inlineStr">
        <is>
          <t>ISLAM</t>
        </is>
      </c>
    </row>
    <row r="50" ht="15.75" customHeight="1" s="169">
      <c r="A50" s="28" t="n">
        <v>328000149</v>
      </c>
      <c r="B50" s="28" t="inlineStr">
        <is>
          <t>Ira Ridayanti</t>
        </is>
      </c>
      <c r="C50" s="175" t="n">
        <v>45227</v>
      </c>
      <c r="D50" s="28" t="inlineStr">
        <is>
          <t>1 tahun, 10 bulan, 21 hari</t>
        </is>
      </c>
      <c r="E50" s="28" t="inlineStr">
        <is>
          <t>Quality and Research &amp; Development</t>
        </is>
      </c>
      <c r="F50" s="28" t="inlineStr">
        <is>
          <t>QC - Diapers</t>
        </is>
      </c>
      <c r="G50" s="28" t="inlineStr">
        <is>
          <t>QC Produksi</t>
        </is>
      </c>
      <c r="H50" s="28" t="inlineStr">
        <is>
          <t>L</t>
        </is>
      </c>
      <c r="I50" s="28" t="inlineStr">
        <is>
          <t>4A2</t>
        </is>
      </c>
      <c r="J50" s="28" t="inlineStr">
        <is>
          <t>ISLAM</t>
        </is>
      </c>
    </row>
    <row r="51" ht="15.75" customHeight="1" s="169">
      <c r="A51" s="28" t="n">
        <v>328000150</v>
      </c>
      <c r="B51" s="28" t="inlineStr">
        <is>
          <t>Mufti Anam</t>
        </is>
      </c>
      <c r="C51" s="175" t="n">
        <v>45231</v>
      </c>
      <c r="D51" s="28" t="inlineStr">
        <is>
          <t>1 tahun, 10 bulan, 17 hari</t>
        </is>
      </c>
      <c r="E51" s="28" t="inlineStr">
        <is>
          <t>Quality and Research &amp; Development</t>
        </is>
      </c>
      <c r="F51" s="28" t="inlineStr">
        <is>
          <t>QC - Diapers</t>
        </is>
      </c>
      <c r="G51" s="28" t="inlineStr">
        <is>
          <t>QC Patrol</t>
        </is>
      </c>
      <c r="H51" s="28" t="inlineStr">
        <is>
          <t>L</t>
        </is>
      </c>
      <c r="I51" s="28" t="inlineStr">
        <is>
          <t>4C2</t>
        </is>
      </c>
      <c r="J51" s="28" t="inlineStr">
        <is>
          <t>ISLAM</t>
        </is>
      </c>
    </row>
    <row r="52" ht="15.75" customHeight="1" s="169">
      <c r="A52" s="28" t="n">
        <v>328000173</v>
      </c>
      <c r="B52" s="28" t="inlineStr">
        <is>
          <t>Rifqi Fadiilah</t>
        </is>
      </c>
      <c r="C52" s="175" t="n">
        <v>45254</v>
      </c>
      <c r="D52" s="28" t="inlineStr">
        <is>
          <t>1 tahun, 9 bulan, 25 hari</t>
        </is>
      </c>
      <c r="E52" s="28" t="inlineStr">
        <is>
          <t>Production</t>
        </is>
      </c>
      <c r="F52" s="28" t="inlineStr">
        <is>
          <t>Production Diapers</t>
        </is>
      </c>
      <c r="G52" s="28" t="inlineStr">
        <is>
          <t>Operator Produksi</t>
        </is>
      </c>
      <c r="H52" s="28" t="inlineStr">
        <is>
          <t>L</t>
        </is>
      </c>
      <c r="I52" s="28" t="inlineStr">
        <is>
          <t>4D2</t>
        </is>
      </c>
      <c r="J52" s="28" t="inlineStr">
        <is>
          <t>ISLAM</t>
        </is>
      </c>
    </row>
    <row r="53" ht="15.75" customHeight="1" s="169">
      <c r="A53" s="28" t="n">
        <v>328000175</v>
      </c>
      <c r="B53" s="28" t="inlineStr">
        <is>
          <t>Fadilah Ramadhan</t>
        </is>
      </c>
      <c r="C53" s="175" t="n">
        <v>45254</v>
      </c>
      <c r="D53" s="28" t="inlineStr">
        <is>
          <t>1 tahun, 9 bulan, 25 hari</t>
        </is>
      </c>
      <c r="E53" s="28" t="inlineStr">
        <is>
          <t>Production</t>
        </is>
      </c>
      <c r="F53" s="28" t="inlineStr">
        <is>
          <t>Production Adult</t>
        </is>
      </c>
      <c r="G53" s="28" t="inlineStr">
        <is>
          <t>Operator Produksi</t>
        </is>
      </c>
      <c r="H53" s="28" t="inlineStr">
        <is>
          <t>L</t>
        </is>
      </c>
      <c r="I53" s="28" t="inlineStr">
        <is>
          <t>3GSPRD1G</t>
        </is>
      </c>
      <c r="J53" s="28" t="inlineStr">
        <is>
          <t>ISLAM</t>
        </is>
      </c>
    </row>
    <row r="54" ht="15.75" customHeight="1" s="169">
      <c r="A54" s="28" t="n">
        <v>328000178</v>
      </c>
      <c r="B54" s="28" t="inlineStr">
        <is>
          <t>Bambang Artian Herlambang</t>
        </is>
      </c>
      <c r="C54" s="175" t="n">
        <v>45254</v>
      </c>
      <c r="D54" s="28" t="inlineStr">
        <is>
          <t>1 tahun, 9 bulan, 25 hari</t>
        </is>
      </c>
      <c r="E54" s="28" t="inlineStr">
        <is>
          <t>Production</t>
        </is>
      </c>
      <c r="F54" s="28" t="inlineStr">
        <is>
          <t>Production Diapers</t>
        </is>
      </c>
      <c r="G54" s="28" t="inlineStr">
        <is>
          <t>Operator Produksi</t>
        </is>
      </c>
      <c r="H54" s="28" t="inlineStr">
        <is>
          <t>L</t>
        </is>
      </c>
      <c r="I54" s="28" t="inlineStr">
        <is>
          <t>4D2</t>
        </is>
      </c>
      <c r="J54" s="28" t="inlineStr">
        <is>
          <t>ISLAM</t>
        </is>
      </c>
    </row>
    <row r="55" ht="15.75" customHeight="1" s="169">
      <c r="A55" s="28" t="n">
        <v>328000179</v>
      </c>
      <c r="B55" s="28" t="inlineStr">
        <is>
          <t>Muhammad Nofaldi Radhitia</t>
        </is>
      </c>
      <c r="C55" s="175" t="n">
        <v>45254</v>
      </c>
      <c r="D55" s="28" t="inlineStr">
        <is>
          <t>1 tahun, 9 bulan, 25 hari</t>
        </is>
      </c>
      <c r="E55" s="28" t="inlineStr">
        <is>
          <t>Production</t>
        </is>
      </c>
      <c r="F55" s="28" t="inlineStr">
        <is>
          <t>Production Diapers</t>
        </is>
      </c>
      <c r="G55" s="28" t="inlineStr">
        <is>
          <t>Operator Produksi</t>
        </is>
      </c>
      <c r="H55" s="28" t="inlineStr">
        <is>
          <t>L</t>
        </is>
      </c>
      <c r="I55" s="28" t="inlineStr">
        <is>
          <t>4C2</t>
        </is>
      </c>
      <c r="J55" s="28" t="inlineStr">
        <is>
          <t>ISLAM</t>
        </is>
      </c>
    </row>
    <row r="56" ht="15.75" customHeight="1" s="169">
      <c r="A56" s="28" t="n">
        <v>328000180</v>
      </c>
      <c r="B56" s="28" t="inlineStr">
        <is>
          <t>Oktavio Kusuma</t>
        </is>
      </c>
      <c r="C56" s="175" t="n">
        <v>45254</v>
      </c>
      <c r="D56" s="28" t="inlineStr">
        <is>
          <t>1 tahun, 9 bulan, 25 hari</t>
        </is>
      </c>
      <c r="E56" s="28" t="inlineStr">
        <is>
          <t>Production</t>
        </is>
      </c>
      <c r="F56" s="28" t="inlineStr">
        <is>
          <t>Production Diapers</t>
        </is>
      </c>
      <c r="G56" s="28" t="inlineStr">
        <is>
          <t>Operator Produksi</t>
        </is>
      </c>
      <c r="H56" s="28" t="inlineStr">
        <is>
          <t>L</t>
        </is>
      </c>
      <c r="I56" s="28" t="inlineStr">
        <is>
          <t>4A2</t>
        </is>
      </c>
      <c r="J56" s="28" t="inlineStr">
        <is>
          <t>ISLAM</t>
        </is>
      </c>
    </row>
    <row r="57" ht="15.75" customHeight="1" s="169">
      <c r="A57" s="28" t="n">
        <v>328000184</v>
      </c>
      <c r="B57" s="28" t="inlineStr">
        <is>
          <t>Wahyu Ramdani</t>
        </is>
      </c>
      <c r="C57" s="175" t="n">
        <v>45255</v>
      </c>
      <c r="D57" s="28" t="inlineStr">
        <is>
          <t>1 tahun, 9 bulan, 24 hari</t>
        </is>
      </c>
      <c r="E57" s="28" t="inlineStr">
        <is>
          <t>Production</t>
        </is>
      </c>
      <c r="F57" s="28" t="inlineStr">
        <is>
          <t>Production Diapers</t>
        </is>
      </c>
      <c r="G57" s="28" t="inlineStr">
        <is>
          <t>Operator Produksi</t>
        </is>
      </c>
      <c r="H57" s="28" t="inlineStr">
        <is>
          <t>L</t>
        </is>
      </c>
      <c r="I57" s="28" t="inlineStr">
        <is>
          <t>4A2</t>
        </is>
      </c>
      <c r="J57" s="28" t="inlineStr">
        <is>
          <t>ISLAM</t>
        </is>
      </c>
    </row>
    <row r="58" ht="15.75" customHeight="1" s="169">
      <c r="A58" s="28" t="n">
        <v>328000185</v>
      </c>
      <c r="B58" s="28" t="inlineStr">
        <is>
          <t>Fajar Nursyamsi</t>
        </is>
      </c>
      <c r="C58" s="175" t="n">
        <v>45255</v>
      </c>
      <c r="D58" s="28" t="inlineStr">
        <is>
          <t>1 tahun, 9 bulan, 24 hari</t>
        </is>
      </c>
      <c r="E58" s="28" t="inlineStr">
        <is>
          <t>Production</t>
        </is>
      </c>
      <c r="F58" s="28" t="inlineStr">
        <is>
          <t>Production Diapers</t>
        </is>
      </c>
      <c r="G58" s="28" t="inlineStr">
        <is>
          <t>Operator Produksi</t>
        </is>
      </c>
      <c r="H58" s="28" t="inlineStr">
        <is>
          <t>L</t>
        </is>
      </c>
      <c r="I58" s="28" t="inlineStr">
        <is>
          <t>4B2</t>
        </is>
      </c>
      <c r="J58" s="28" t="inlineStr">
        <is>
          <t>ISLAM</t>
        </is>
      </c>
    </row>
    <row r="59" ht="15.75" customHeight="1" s="169">
      <c r="A59" s="28" t="n">
        <v>328000207</v>
      </c>
      <c r="B59" s="28" t="inlineStr">
        <is>
          <t>MUHAMMAD ALVIANSYAH ZULFIKAR</t>
        </is>
      </c>
      <c r="C59" s="175" t="n">
        <v>45278</v>
      </c>
      <c r="D59" s="28" t="inlineStr">
        <is>
          <t>1 tahun, 9 bulan, 0 hari</t>
        </is>
      </c>
      <c r="E59" s="28" t="inlineStr">
        <is>
          <t>Production</t>
        </is>
      </c>
      <c r="F59" s="28" t="inlineStr">
        <is>
          <t>Production Diapers</t>
        </is>
      </c>
      <c r="G59" s="28" t="inlineStr">
        <is>
          <t>Operator Produksi</t>
        </is>
      </c>
      <c r="H59" s="28" t="inlineStr">
        <is>
          <t>L</t>
        </is>
      </c>
      <c r="I59" s="28" t="inlineStr">
        <is>
          <t>4C2</t>
        </is>
      </c>
      <c r="J59" s="28" t="inlineStr">
        <is>
          <t>ISLAM</t>
        </is>
      </c>
    </row>
    <row r="60" ht="15.75" customHeight="1" s="169">
      <c r="A60" s="28" t="n">
        <v>328000216</v>
      </c>
      <c r="B60" s="28" t="inlineStr">
        <is>
          <t>Muhamad Adam Yanuar</t>
        </is>
      </c>
      <c r="C60" s="175" t="n">
        <v>45310</v>
      </c>
      <c r="D60" s="28" t="inlineStr">
        <is>
          <t>1 tahun, 7 bulan, 30 hari</t>
        </is>
      </c>
      <c r="E60" s="28" t="inlineStr">
        <is>
          <t>Engineering</t>
        </is>
      </c>
      <c r="F60" s="28" t="inlineStr">
        <is>
          <t>Engineering</t>
        </is>
      </c>
      <c r="G60" s="28" t="inlineStr">
        <is>
          <t>Admin Planner</t>
        </is>
      </c>
      <c r="H60" s="28" t="inlineStr">
        <is>
          <t>L</t>
        </is>
      </c>
      <c r="I60" s="28" t="inlineStr">
        <is>
          <t>1NS1</t>
        </is>
      </c>
      <c r="J60" s="28" t="inlineStr">
        <is>
          <t>ISLAM</t>
        </is>
      </c>
    </row>
    <row r="61" ht="15.75" customHeight="1" s="169">
      <c r="A61" s="28" t="n">
        <v>328000217</v>
      </c>
      <c r="B61" s="28" t="inlineStr">
        <is>
          <t>BAYU ANDRIANSYAH</t>
        </is>
      </c>
      <c r="C61" s="175" t="n">
        <v>45310</v>
      </c>
      <c r="D61" s="28" t="inlineStr">
        <is>
          <t>1 tahun, 7 bulan, 30 hari</t>
        </is>
      </c>
      <c r="E61" s="28" t="inlineStr">
        <is>
          <t>Production</t>
        </is>
      </c>
      <c r="F61" s="28" t="inlineStr">
        <is>
          <t>Production Diapers</t>
        </is>
      </c>
      <c r="G61" s="28" t="inlineStr">
        <is>
          <t>Operator Produksi</t>
        </is>
      </c>
      <c r="H61" s="28" t="inlineStr">
        <is>
          <t>L</t>
        </is>
      </c>
      <c r="I61" s="28" t="inlineStr">
        <is>
          <t>4B2</t>
        </is>
      </c>
      <c r="J61" s="28" t="inlineStr">
        <is>
          <t>ISLAM</t>
        </is>
      </c>
    </row>
    <row r="62" ht="15.75" customHeight="1" s="169">
      <c r="A62" s="28" t="n">
        <v>328000221</v>
      </c>
      <c r="B62" s="28" t="inlineStr">
        <is>
          <t>Suhendra Putra</t>
        </is>
      </c>
      <c r="C62" s="175" t="n">
        <v>45325</v>
      </c>
      <c r="D62" s="28" t="inlineStr">
        <is>
          <t>1 tahun, 7 bulan, 15 hari</t>
        </is>
      </c>
      <c r="E62" s="28" t="inlineStr">
        <is>
          <t>Production</t>
        </is>
      </c>
      <c r="F62" s="28" t="inlineStr">
        <is>
          <t>Production Adult</t>
        </is>
      </c>
      <c r="G62" s="28" t="inlineStr">
        <is>
          <t>Packer</t>
        </is>
      </c>
      <c r="H62" s="28" t="inlineStr">
        <is>
          <t>L</t>
        </is>
      </c>
      <c r="I62" s="28" t="inlineStr">
        <is>
          <t>3GSPRD2S</t>
        </is>
      </c>
      <c r="J62" s="28" t="inlineStr">
        <is>
          <t>ISLAM</t>
        </is>
      </c>
    </row>
    <row r="63" ht="15.75" customHeight="1" s="169">
      <c r="A63" s="28" t="n">
        <v>328000225</v>
      </c>
      <c r="B63" s="28" t="inlineStr">
        <is>
          <t>Muhamad Rizal</t>
        </is>
      </c>
      <c r="C63" s="175" t="n">
        <v>45343</v>
      </c>
      <c r="D63" s="28" t="inlineStr">
        <is>
          <t>1 tahun, 6 bulan, 28 hari</t>
        </is>
      </c>
      <c r="E63" s="28" t="inlineStr">
        <is>
          <t>Production</t>
        </is>
      </c>
      <c r="F63" s="28" t="inlineStr">
        <is>
          <t>Production Diapers</t>
        </is>
      </c>
      <c r="G63" s="28" t="inlineStr">
        <is>
          <t>Operator Produksi</t>
        </is>
      </c>
      <c r="H63" s="28" t="inlineStr">
        <is>
          <t>L</t>
        </is>
      </c>
      <c r="I63" s="28" t="inlineStr">
        <is>
          <t>4D2</t>
        </is>
      </c>
      <c r="J63" s="28" t="inlineStr">
        <is>
          <t>ISLAM</t>
        </is>
      </c>
    </row>
    <row r="64" ht="15.75" customHeight="1" s="169">
      <c r="A64" s="28" t="n">
        <v>328000226</v>
      </c>
      <c r="B64" s="28" t="inlineStr">
        <is>
          <t>Paisyal Zulfazila Ibrahim</t>
        </is>
      </c>
      <c r="C64" s="175" t="n">
        <v>45346</v>
      </c>
      <c r="D64" s="28" t="inlineStr">
        <is>
          <t>1 tahun, 6 bulan, 25 hari</t>
        </is>
      </c>
      <c r="E64" s="28" t="inlineStr">
        <is>
          <t>Quality and Research &amp; Development</t>
        </is>
      </c>
      <c r="F64" s="28" t="inlineStr">
        <is>
          <t>QC - Diapers</t>
        </is>
      </c>
      <c r="G64" s="28" t="inlineStr">
        <is>
          <t>QC Incoming</t>
        </is>
      </c>
      <c r="H64" s="28" t="inlineStr">
        <is>
          <t>L</t>
        </is>
      </c>
      <c r="I64" s="28" t="inlineStr">
        <is>
          <t>QC22G2S</t>
        </is>
      </c>
      <c r="J64" s="28" t="inlineStr">
        <is>
          <t>ISLAM</t>
        </is>
      </c>
    </row>
    <row r="65" ht="15.75" customHeight="1" s="169">
      <c r="A65" s="28" t="n">
        <v>328000228</v>
      </c>
      <c r="B65" s="28" t="inlineStr">
        <is>
          <t>Juliantoro Sonjaya</t>
        </is>
      </c>
      <c r="C65" s="175" t="n">
        <v>45352</v>
      </c>
      <c r="D65" s="28" t="inlineStr">
        <is>
          <t>1 tahun, 6 bulan, 17 hari</t>
        </is>
      </c>
      <c r="E65" s="28" t="inlineStr">
        <is>
          <t>Production</t>
        </is>
      </c>
      <c r="F65" s="28" t="inlineStr">
        <is>
          <t>Production Diapers</t>
        </is>
      </c>
      <c r="G65" s="28" t="inlineStr">
        <is>
          <t>Operator Produksi</t>
        </is>
      </c>
      <c r="H65" s="28" t="inlineStr">
        <is>
          <t>L</t>
        </is>
      </c>
      <c r="I65" s="28" t="inlineStr">
        <is>
          <t>3GSPRD1G</t>
        </is>
      </c>
      <c r="J65" s="28" t="inlineStr">
        <is>
          <t>ISLAM</t>
        </is>
      </c>
    </row>
    <row r="66" ht="15.75" customHeight="1" s="169">
      <c r="A66" s="28" t="n">
        <v>328000230</v>
      </c>
      <c r="B66" s="28" t="inlineStr">
        <is>
          <t>Muhamad Akbar Fauzan</t>
        </is>
      </c>
      <c r="C66" s="175" t="n">
        <v>45358</v>
      </c>
      <c r="D66" s="28" t="inlineStr">
        <is>
          <t>1 tahun, 6 bulan, 11 hari</t>
        </is>
      </c>
      <c r="E66" s="28" t="inlineStr">
        <is>
          <t>Production</t>
        </is>
      </c>
      <c r="F66" s="28" t="inlineStr">
        <is>
          <t>Production Diapers</t>
        </is>
      </c>
      <c r="G66" s="28" t="inlineStr">
        <is>
          <t>Admin TSP</t>
        </is>
      </c>
      <c r="H66" s="28" t="inlineStr">
        <is>
          <t>L</t>
        </is>
      </c>
      <c r="I66" s="28" t="inlineStr">
        <is>
          <t>4D2</t>
        </is>
      </c>
      <c r="J66" s="28" t="inlineStr">
        <is>
          <t>ISLAM</t>
        </is>
      </c>
    </row>
    <row r="67" ht="15.75" customHeight="1" s="169">
      <c r="A67" s="28" t="n">
        <v>328000231</v>
      </c>
      <c r="B67" s="28" t="inlineStr">
        <is>
          <t>Mara Maulana</t>
        </is>
      </c>
      <c r="C67" s="175" t="n">
        <v>45360</v>
      </c>
      <c r="D67" s="28" t="inlineStr">
        <is>
          <t>1 tahun, 6 bulan, 9 hari</t>
        </is>
      </c>
      <c r="E67" s="28" t="inlineStr">
        <is>
          <t>Production</t>
        </is>
      </c>
      <c r="F67" s="28" t="inlineStr">
        <is>
          <t>Production Diapers</t>
        </is>
      </c>
      <c r="G67" s="28" t="inlineStr">
        <is>
          <t>Packer</t>
        </is>
      </c>
      <c r="H67" s="28" t="inlineStr">
        <is>
          <t>L</t>
        </is>
      </c>
      <c r="I67" s="28" t="inlineStr">
        <is>
          <t>4B2</t>
        </is>
      </c>
      <c r="J67" s="28" t="inlineStr">
        <is>
          <t>ISLAM</t>
        </is>
      </c>
    </row>
    <row r="68" ht="15.75" customHeight="1" s="169">
      <c r="A68" s="28" t="n">
        <v>328000237</v>
      </c>
      <c r="B68" s="28" t="inlineStr">
        <is>
          <t>Muhamad Gaman</t>
        </is>
      </c>
      <c r="C68" s="175" t="n">
        <v>45377</v>
      </c>
      <c r="D68" s="28" t="inlineStr">
        <is>
          <t>1 tahun, 5 bulan, 23 hari</t>
        </is>
      </c>
      <c r="E68" s="28" t="inlineStr">
        <is>
          <t>Logistic</t>
        </is>
      </c>
      <c r="F68" s="28" t="inlineStr">
        <is>
          <t>Warehouse Raw Material</t>
        </is>
      </c>
      <c r="G68" s="28" t="inlineStr">
        <is>
          <t>Operator Forklift</t>
        </is>
      </c>
      <c r="H68" s="28" t="inlineStr">
        <is>
          <t>L</t>
        </is>
      </c>
      <c r="I68" s="28" t="inlineStr">
        <is>
          <t>4A2</t>
        </is>
      </c>
      <c r="J68" s="28" t="inlineStr">
        <is>
          <t>ISLAM</t>
        </is>
      </c>
    </row>
    <row r="69" ht="15.75" customHeight="1" s="169">
      <c r="A69" s="28" t="n">
        <v>328000251</v>
      </c>
      <c r="B69" s="28" t="inlineStr">
        <is>
          <t>Dede Saman Nursamsi</t>
        </is>
      </c>
      <c r="C69" s="175" t="n">
        <v>45423</v>
      </c>
      <c r="D69" s="28" t="inlineStr">
        <is>
          <t>1 tahun, 4 bulan, 7 hari</t>
        </is>
      </c>
      <c r="E69" s="28" t="inlineStr">
        <is>
          <t>Logistic</t>
        </is>
      </c>
      <c r="F69" s="28" t="inlineStr">
        <is>
          <t>Warehouse Finish Good</t>
        </is>
      </c>
      <c r="G69" s="28" t="inlineStr">
        <is>
          <t>Checker</t>
        </is>
      </c>
      <c r="H69" s="28" t="inlineStr">
        <is>
          <t>L</t>
        </is>
      </c>
      <c r="I69" s="28" t="inlineStr">
        <is>
          <t>1NS1LOG</t>
        </is>
      </c>
      <c r="J69" s="28" t="inlineStr">
        <is>
          <t>ISLAM</t>
        </is>
      </c>
    </row>
    <row r="70" ht="15.75" customHeight="1" s="169">
      <c r="A70" s="28" t="n">
        <v>328000253</v>
      </c>
      <c r="B70" s="28" t="inlineStr">
        <is>
          <t>Doni Subhada</t>
        </is>
      </c>
      <c r="C70" s="175" t="n">
        <v>45428</v>
      </c>
      <c r="D70" s="28" t="inlineStr">
        <is>
          <t>1 tahun, 4 bulan, 2 hari</t>
        </is>
      </c>
      <c r="E70" s="28" t="inlineStr">
        <is>
          <t>Production</t>
        </is>
      </c>
      <c r="F70" s="28" t="inlineStr">
        <is>
          <t>Production Diapers</t>
        </is>
      </c>
      <c r="G70" s="28" t="inlineStr">
        <is>
          <t>Operator Produksi</t>
        </is>
      </c>
      <c r="H70" s="28" t="inlineStr">
        <is>
          <t>L</t>
        </is>
      </c>
      <c r="I70" s="28" t="inlineStr">
        <is>
          <t>4B2</t>
        </is>
      </c>
      <c r="J70" s="28" t="inlineStr">
        <is>
          <t>ISLAM</t>
        </is>
      </c>
    </row>
    <row r="71" ht="15.75" customHeight="1" s="169">
      <c r="A71" s="28" t="n">
        <v>328000254</v>
      </c>
      <c r="B71" s="28" t="inlineStr">
        <is>
          <t>Ari Muhamad Ridwan</t>
        </is>
      </c>
      <c r="C71" s="175" t="n">
        <v>45433</v>
      </c>
      <c r="D71" s="28" t="inlineStr">
        <is>
          <t>1 tahun, 3 bulan, 28 hari</t>
        </is>
      </c>
      <c r="E71" s="28" t="inlineStr">
        <is>
          <t>Logistic</t>
        </is>
      </c>
      <c r="F71" s="28" t="inlineStr">
        <is>
          <t>Warehouse Finish Good</t>
        </is>
      </c>
      <c r="G71" s="28" t="inlineStr">
        <is>
          <t>Operator Forklift</t>
        </is>
      </c>
      <c r="H71" s="28" t="inlineStr">
        <is>
          <t>L</t>
        </is>
      </c>
      <c r="I71" s="28" t="inlineStr">
        <is>
          <t>4C2</t>
        </is>
      </c>
      <c r="J71" s="28" t="inlineStr">
        <is>
          <t>ISLAM</t>
        </is>
      </c>
    </row>
    <row r="72" ht="15.75" customHeight="1" s="169">
      <c r="A72" s="28" t="n">
        <v>328000255</v>
      </c>
      <c r="B72" s="28" t="inlineStr">
        <is>
          <t>Fahri</t>
        </is>
      </c>
      <c r="C72" s="175" t="n">
        <v>45442</v>
      </c>
      <c r="D72" s="28" t="inlineStr">
        <is>
          <t>1 tahun, 3 bulan, 19 hari</t>
        </is>
      </c>
      <c r="E72" s="28" t="inlineStr">
        <is>
          <t>Production</t>
        </is>
      </c>
      <c r="F72" s="28" t="inlineStr">
        <is>
          <t>Production Diapers</t>
        </is>
      </c>
      <c r="G72" s="28" t="inlineStr">
        <is>
          <t>Operator Produksi</t>
        </is>
      </c>
      <c r="H72" s="28" t="inlineStr">
        <is>
          <t>L</t>
        </is>
      </c>
      <c r="I72" s="28" t="inlineStr">
        <is>
          <t>4C2</t>
        </is>
      </c>
      <c r="J72" s="28" t="inlineStr">
        <is>
          <t>ISLAM</t>
        </is>
      </c>
    </row>
    <row r="73" ht="15.75" customHeight="1" s="169">
      <c r="A73" s="28" t="n">
        <v>328000256</v>
      </c>
      <c r="B73" s="28" t="inlineStr">
        <is>
          <t>Miftahus Salam</t>
        </is>
      </c>
      <c r="C73" s="175" t="n">
        <v>45439</v>
      </c>
      <c r="D73" s="28" t="inlineStr">
        <is>
          <t>1 tahun, 3 bulan, 22 hari</t>
        </is>
      </c>
      <c r="E73" s="28" t="inlineStr">
        <is>
          <t>Logistic</t>
        </is>
      </c>
      <c r="F73" s="28" t="inlineStr">
        <is>
          <t>Warehouse Raw Material</t>
        </is>
      </c>
      <c r="G73" s="28" t="inlineStr">
        <is>
          <t>Operator Forklift</t>
        </is>
      </c>
      <c r="H73" s="28" t="inlineStr">
        <is>
          <t>L</t>
        </is>
      </c>
      <c r="I73" s="28" t="inlineStr">
        <is>
          <t>4C2</t>
        </is>
      </c>
      <c r="J73" s="28" t="inlineStr">
        <is>
          <t>ISLAM</t>
        </is>
      </c>
    </row>
    <row r="74" ht="15.75" customHeight="1" s="169">
      <c r="A74" s="28" t="n">
        <v>328000257</v>
      </c>
      <c r="B74" s="28" t="inlineStr">
        <is>
          <t>Agung Bagaskara</t>
        </is>
      </c>
      <c r="C74" s="175" t="n">
        <v>45439</v>
      </c>
      <c r="D74" s="28" t="inlineStr">
        <is>
          <t>1 tahun, 3 bulan, 22 hari</t>
        </is>
      </c>
      <c r="E74" s="28" t="inlineStr">
        <is>
          <t>Logistic</t>
        </is>
      </c>
      <c r="F74" s="28" t="inlineStr">
        <is>
          <t>Warehouse Finish Good</t>
        </is>
      </c>
      <c r="G74" s="28" t="inlineStr">
        <is>
          <t>Operator Forklift</t>
        </is>
      </c>
      <c r="H74" s="28" t="inlineStr">
        <is>
          <t>L</t>
        </is>
      </c>
      <c r="I74" s="28" t="inlineStr">
        <is>
          <t>1NS1</t>
        </is>
      </c>
      <c r="J74" s="28" t="inlineStr">
        <is>
          <t>ISLAM</t>
        </is>
      </c>
    </row>
    <row r="75" ht="15.75" customHeight="1" s="169">
      <c r="A75" s="28" t="n">
        <v>328000259</v>
      </c>
      <c r="B75" s="28" t="inlineStr">
        <is>
          <t>Hendri indriyanto</t>
        </is>
      </c>
      <c r="C75" s="175" t="n">
        <v>45439</v>
      </c>
      <c r="D75" s="28" t="inlineStr">
        <is>
          <t>1 tahun, 3 bulan, 22 hari</t>
        </is>
      </c>
      <c r="E75" s="28" t="inlineStr">
        <is>
          <t>Logistic</t>
        </is>
      </c>
      <c r="F75" s="28" t="inlineStr">
        <is>
          <t>Warehouse Finish Good</t>
        </is>
      </c>
      <c r="G75" s="28" t="inlineStr">
        <is>
          <t>Operator Forklift</t>
        </is>
      </c>
      <c r="H75" s="28" t="inlineStr">
        <is>
          <t>L</t>
        </is>
      </c>
      <c r="I75" s="28" t="inlineStr">
        <is>
          <t>4A2</t>
        </is>
      </c>
      <c r="J75" s="28" t="inlineStr">
        <is>
          <t>ISLAM</t>
        </is>
      </c>
    </row>
    <row r="76" ht="15.75" customHeight="1" s="169">
      <c r="A76" s="28" t="n">
        <v>328000260</v>
      </c>
      <c r="B76" s="28" t="inlineStr">
        <is>
          <t>Ali Ramdhan</t>
        </is>
      </c>
      <c r="C76" s="175" t="n">
        <v>45458</v>
      </c>
      <c r="D76" s="28" t="inlineStr">
        <is>
          <t>1 tahun, 3 bulan, 3 hari</t>
        </is>
      </c>
      <c r="E76" s="28" t="inlineStr">
        <is>
          <t>Production</t>
        </is>
      </c>
      <c r="F76" s="28" t="inlineStr">
        <is>
          <t>Production Diapers</t>
        </is>
      </c>
      <c r="G76" s="28" t="inlineStr">
        <is>
          <t>Operator Produksi</t>
        </is>
      </c>
      <c r="H76" s="28" t="inlineStr">
        <is>
          <t>L</t>
        </is>
      </c>
      <c r="I76" s="28" t="inlineStr">
        <is>
          <t>4B2</t>
        </is>
      </c>
      <c r="J76" s="28" t="inlineStr">
        <is>
          <t>ISLAM</t>
        </is>
      </c>
    </row>
    <row r="77" ht="15.75" customHeight="1" s="169">
      <c r="A77" s="28" t="n">
        <v>328000262</v>
      </c>
      <c r="B77" s="28" t="inlineStr">
        <is>
          <t>Jujun Junaedi</t>
        </is>
      </c>
      <c r="C77" s="175" t="n">
        <v>45462</v>
      </c>
      <c r="D77" s="28" t="inlineStr">
        <is>
          <t>1 tahun, 2 bulan, 30 hari</t>
        </is>
      </c>
      <c r="E77" s="28" t="inlineStr">
        <is>
          <t>Logistic</t>
        </is>
      </c>
      <c r="F77" s="28" t="inlineStr">
        <is>
          <t>Warehouse Finish Good</t>
        </is>
      </c>
      <c r="G77" s="28" t="inlineStr">
        <is>
          <t>Operator Forklift</t>
        </is>
      </c>
      <c r="H77" s="28" t="inlineStr">
        <is>
          <t>L</t>
        </is>
      </c>
      <c r="I77" s="28" t="inlineStr">
        <is>
          <t>1NS1</t>
        </is>
      </c>
      <c r="J77" s="28" t="inlineStr">
        <is>
          <t>ISLAM</t>
        </is>
      </c>
    </row>
    <row r="78" ht="15.75" customHeight="1" s="169">
      <c r="A78" s="28" t="n">
        <v>328000263</v>
      </c>
      <c r="B78" s="28" t="inlineStr">
        <is>
          <t>Magie Maghfira</t>
        </is>
      </c>
      <c r="C78" s="175" t="n">
        <v>45467</v>
      </c>
      <c r="D78" s="28" t="inlineStr">
        <is>
          <t>1 tahun, 2 bulan, 25 hari</t>
        </is>
      </c>
      <c r="E78" s="28" t="inlineStr">
        <is>
          <t>Logistic</t>
        </is>
      </c>
      <c r="F78" s="28" t="inlineStr">
        <is>
          <t>Warehouse Finish Good</t>
        </is>
      </c>
      <c r="G78" s="28" t="inlineStr">
        <is>
          <t>Admin WFG</t>
        </is>
      </c>
      <c r="H78" s="28" t="inlineStr">
        <is>
          <t>L</t>
        </is>
      </c>
      <c r="I78" s="28" t="inlineStr">
        <is>
          <t>1NSLOG11</t>
        </is>
      </c>
      <c r="J78" s="28" t="inlineStr">
        <is>
          <t>ISLAM</t>
        </is>
      </c>
    </row>
    <row r="79" ht="15.75" customHeight="1" s="169">
      <c r="A79" s="28" t="n">
        <v>328000265</v>
      </c>
      <c r="B79" s="28" t="inlineStr">
        <is>
          <t>Nelson Mandela</t>
        </is>
      </c>
      <c r="C79" s="175" t="n">
        <v>45479</v>
      </c>
      <c r="D79" s="28" t="inlineStr">
        <is>
          <t>1 tahun, 2 bulan, 12 hari</t>
        </is>
      </c>
      <c r="E79" s="28" t="inlineStr">
        <is>
          <t>Engineering</t>
        </is>
      </c>
      <c r="F79" s="28" t="inlineStr">
        <is>
          <t>Engineering</t>
        </is>
      </c>
      <c r="G79" s="28" t="inlineStr">
        <is>
          <t>Utility, Electricity &amp; MHE Maintenance</t>
        </is>
      </c>
      <c r="H79" s="28" t="inlineStr">
        <is>
          <t>L</t>
        </is>
      </c>
      <c r="I79" s="28" t="inlineStr">
        <is>
          <t>1ENG1</t>
        </is>
      </c>
      <c r="J79" s="28" t="inlineStr">
        <is>
          <t>ISLAM</t>
        </is>
      </c>
    </row>
    <row r="80" ht="15.75" customHeight="1" s="169">
      <c r="A80" s="28" t="n">
        <v>328000271</v>
      </c>
      <c r="B80" s="28" t="inlineStr">
        <is>
          <t>Nuryana</t>
        </is>
      </c>
      <c r="C80" s="175" t="n">
        <v>45491</v>
      </c>
      <c r="D80" s="28" t="inlineStr">
        <is>
          <t>1 tahun, 2 bulan, 0 hari</t>
        </is>
      </c>
      <c r="E80" s="28" t="inlineStr">
        <is>
          <t>Logistic</t>
        </is>
      </c>
      <c r="F80" s="28" t="inlineStr">
        <is>
          <t>Warehouse Raw Material</t>
        </is>
      </c>
      <c r="G80" s="28" t="inlineStr">
        <is>
          <t>Operator Forklift</t>
        </is>
      </c>
      <c r="H80" s="28" t="inlineStr">
        <is>
          <t>L</t>
        </is>
      </c>
      <c r="I80" s="28" t="inlineStr">
        <is>
          <t>1NS1</t>
        </is>
      </c>
      <c r="J80" s="28" t="inlineStr">
        <is>
          <t>ISLAM</t>
        </is>
      </c>
    </row>
    <row r="81" ht="15.75" customHeight="1" s="169">
      <c r="A81" s="28" t="n">
        <v>328000272</v>
      </c>
      <c r="B81" s="28" t="inlineStr">
        <is>
          <t>Akbar Saepuloh</t>
        </is>
      </c>
      <c r="C81" s="175" t="n">
        <v>45496</v>
      </c>
      <c r="D81" s="28" t="inlineStr">
        <is>
          <t>1 tahun, 1 bulan, 26 hari</t>
        </is>
      </c>
      <c r="E81" s="28" t="inlineStr">
        <is>
          <t>Production</t>
        </is>
      </c>
      <c r="F81" s="28" t="inlineStr">
        <is>
          <t>Production Diapers</t>
        </is>
      </c>
      <c r="G81" s="28" t="inlineStr">
        <is>
          <t>Packer</t>
        </is>
      </c>
      <c r="H81" s="28" t="inlineStr">
        <is>
          <t>L</t>
        </is>
      </c>
      <c r="I81" s="28" t="inlineStr">
        <is>
          <t>4D2</t>
        </is>
      </c>
      <c r="J81" s="28" t="inlineStr">
        <is>
          <t>ISLAM</t>
        </is>
      </c>
    </row>
    <row r="82" ht="15.75" customHeight="1" s="169">
      <c r="A82" s="28" t="n">
        <v>328000273</v>
      </c>
      <c r="B82" s="28" t="inlineStr">
        <is>
          <t>Ramdani</t>
        </is>
      </c>
      <c r="C82" s="175" t="n">
        <v>45498</v>
      </c>
      <c r="D82" s="28" t="inlineStr">
        <is>
          <t>1 tahun, 1 bulan, 24 hari</t>
        </is>
      </c>
      <c r="E82" s="28" t="inlineStr">
        <is>
          <t>Production</t>
        </is>
      </c>
      <c r="F82" s="28" t="inlineStr">
        <is>
          <t>Production Diapers</t>
        </is>
      </c>
      <c r="G82" s="28" t="inlineStr">
        <is>
          <t>Packer</t>
        </is>
      </c>
      <c r="H82" s="28" t="inlineStr">
        <is>
          <t>L</t>
        </is>
      </c>
      <c r="I82" s="28" t="inlineStr">
        <is>
          <t>4D2</t>
        </is>
      </c>
      <c r="J82" s="28" t="inlineStr">
        <is>
          <t>ISLAM</t>
        </is>
      </c>
    </row>
    <row r="83" ht="15.75" customHeight="1" s="169">
      <c r="A83" s="28" t="n">
        <v>328000283</v>
      </c>
      <c r="B83" s="28" t="inlineStr">
        <is>
          <t>Taufik Mustopa</t>
        </is>
      </c>
      <c r="C83" s="175" t="n">
        <v>45546</v>
      </c>
      <c r="D83" s="28" t="inlineStr">
        <is>
          <t>1 tahun, 0 bulan, 7 hari</t>
        </is>
      </c>
      <c r="E83" s="28" t="inlineStr">
        <is>
          <t>Engineering</t>
        </is>
      </c>
      <c r="F83" s="28" t="inlineStr">
        <is>
          <t>EHS</t>
        </is>
      </c>
      <c r="G83" s="28" t="inlineStr">
        <is>
          <t>Ehs Support</t>
        </is>
      </c>
      <c r="H83" s="28" t="inlineStr">
        <is>
          <t>L</t>
        </is>
      </c>
      <c r="I83" s="28" t="inlineStr">
        <is>
          <t>1NS1</t>
        </is>
      </c>
      <c r="J83" s="28" t="inlineStr">
        <is>
          <t>ISLAM</t>
        </is>
      </c>
    </row>
    <row r="84" ht="15.75" customHeight="1" s="169">
      <c r="A84" s="28" t="n">
        <v>328000285</v>
      </c>
      <c r="B84" s="28" t="inlineStr">
        <is>
          <t>M. Yoga Pamungkas</t>
        </is>
      </c>
      <c r="C84" s="175" t="n">
        <v>45559</v>
      </c>
      <c r="D84" s="28" t="inlineStr">
        <is>
          <t>0 tahun, 11 bulan, 25 hari</t>
        </is>
      </c>
      <c r="E84" s="28" t="inlineStr">
        <is>
          <t>Production</t>
        </is>
      </c>
      <c r="F84" s="28" t="inlineStr">
        <is>
          <t>Production Adult</t>
        </is>
      </c>
      <c r="G84" s="28" t="inlineStr">
        <is>
          <t>Operator</t>
        </is>
      </c>
      <c r="H84" s="28" t="inlineStr">
        <is>
          <t>L</t>
        </is>
      </c>
      <c r="I84" s="28" t="inlineStr">
        <is>
          <t>3GSPRD2S</t>
        </is>
      </c>
      <c r="J84" s="28" t="inlineStr">
        <is>
          <t>ISLAM</t>
        </is>
      </c>
    </row>
    <row r="85" ht="15.75" customHeight="1" s="169">
      <c r="A85" s="28" t="n">
        <v>328000288</v>
      </c>
      <c r="B85" s="28" t="inlineStr">
        <is>
          <t>Andika Al Aqbar</t>
        </is>
      </c>
      <c r="C85" s="175" t="n">
        <v>45573</v>
      </c>
      <c r="D85" s="28" t="inlineStr">
        <is>
          <t>0 tahun, 11 bulan, 10 hari</t>
        </is>
      </c>
      <c r="E85" s="28" t="inlineStr">
        <is>
          <t>Production</t>
        </is>
      </c>
      <c r="F85" s="28" t="inlineStr">
        <is>
          <t>Production Diapers</t>
        </is>
      </c>
      <c r="G85" s="28" t="inlineStr">
        <is>
          <t>Operator</t>
        </is>
      </c>
      <c r="H85" s="28" t="inlineStr">
        <is>
          <t>L</t>
        </is>
      </c>
      <c r="I85" s="28" t="inlineStr">
        <is>
          <t>4A2</t>
        </is>
      </c>
      <c r="J85" s="28" t="inlineStr">
        <is>
          <t>ISLAM</t>
        </is>
      </c>
    </row>
    <row r="86" ht="15.75" customHeight="1" s="169">
      <c r="A86" s="28" t="n">
        <v>328000289</v>
      </c>
      <c r="B86" s="28" t="inlineStr">
        <is>
          <t>Karya</t>
        </is>
      </c>
      <c r="C86" s="175" t="n">
        <v>45581</v>
      </c>
      <c r="D86" s="28" t="inlineStr">
        <is>
          <t>0 tahun, 11 bulan, 2 hari</t>
        </is>
      </c>
      <c r="E86" s="28" t="inlineStr">
        <is>
          <t>Production</t>
        </is>
      </c>
      <c r="F86" s="28" t="inlineStr">
        <is>
          <t>Production Diapers</t>
        </is>
      </c>
      <c r="G86" s="28" t="inlineStr">
        <is>
          <t>Packer</t>
        </is>
      </c>
      <c r="H86" s="28" t="inlineStr">
        <is>
          <t>L</t>
        </is>
      </c>
      <c r="I86" s="28" t="inlineStr">
        <is>
          <t>4C2</t>
        </is>
      </c>
      <c r="J86" s="28" t="inlineStr">
        <is>
          <t>ISLAM</t>
        </is>
      </c>
    </row>
    <row r="87" ht="15.75" customHeight="1" s="169">
      <c r="A87" s="28" t="n">
        <v>328000294</v>
      </c>
      <c r="B87" s="28" t="inlineStr">
        <is>
          <t>Bambang Irawan</t>
        </is>
      </c>
      <c r="C87" s="175" t="n">
        <v>45588</v>
      </c>
      <c r="D87" s="28" t="inlineStr">
        <is>
          <t>0 tahun, 10 bulan, 26 hari</t>
        </is>
      </c>
      <c r="E87" s="28" t="inlineStr">
        <is>
          <t>Production</t>
        </is>
      </c>
      <c r="F87" s="28" t="inlineStr">
        <is>
          <t>Production Diapers</t>
        </is>
      </c>
      <c r="G87" s="28" t="inlineStr">
        <is>
          <t>Packer</t>
        </is>
      </c>
      <c r="H87" s="28" t="inlineStr">
        <is>
          <t>L</t>
        </is>
      </c>
      <c r="I87" s="28" t="inlineStr">
        <is>
          <t>4D2</t>
        </is>
      </c>
      <c r="J87" s="28" t="inlineStr">
        <is>
          <t>ISLAM</t>
        </is>
      </c>
    </row>
    <row r="88" ht="15.75" customHeight="1" s="169">
      <c r="A88" s="28" t="n">
        <v>328000295</v>
      </c>
      <c r="B88" s="28" t="inlineStr">
        <is>
          <t>Reva Herlambang</t>
        </is>
      </c>
      <c r="C88" s="175" t="n">
        <v>45587</v>
      </c>
      <c r="D88" s="28" t="inlineStr">
        <is>
          <t>0 tahun, 10 bulan, 27 hari</t>
        </is>
      </c>
      <c r="E88" s="28" t="inlineStr">
        <is>
          <t>Production</t>
        </is>
      </c>
      <c r="F88" s="28" t="inlineStr">
        <is>
          <t>Production Diapers</t>
        </is>
      </c>
      <c r="G88" s="28" t="inlineStr">
        <is>
          <t>Admin TSP</t>
        </is>
      </c>
      <c r="H88" s="28" t="inlineStr">
        <is>
          <t>L</t>
        </is>
      </c>
      <c r="I88" s="28" t="inlineStr">
        <is>
          <t>4A2</t>
        </is>
      </c>
      <c r="J88" s="28" t="inlineStr">
        <is>
          <t>ISLAM</t>
        </is>
      </c>
    </row>
    <row r="89" ht="15.75" customHeight="1" s="169">
      <c r="A89" s="28" t="n">
        <v>328000300</v>
      </c>
      <c r="B89" s="28" t="inlineStr">
        <is>
          <t>Ega Anggara</t>
        </is>
      </c>
      <c r="C89" s="175" t="n">
        <v>45628</v>
      </c>
      <c r="D89" s="28" t="inlineStr">
        <is>
          <t>0 tahun, 9 bulan, 16 hari</t>
        </is>
      </c>
      <c r="E89" s="28" t="inlineStr">
        <is>
          <t>Engineering</t>
        </is>
      </c>
      <c r="F89" s="28" t="inlineStr">
        <is>
          <t>Engineering</t>
        </is>
      </c>
      <c r="G89" s="28" t="inlineStr">
        <is>
          <t>Glue Machine Maintenance</t>
        </is>
      </c>
      <c r="H89" s="28" t="inlineStr">
        <is>
          <t>L</t>
        </is>
      </c>
      <c r="I89" s="28" t="inlineStr">
        <is>
          <t>1ENG4</t>
        </is>
      </c>
      <c r="J89" s="28" t="inlineStr">
        <is>
          <t>ISLAM</t>
        </is>
      </c>
    </row>
    <row r="90" ht="15.75" customHeight="1" s="169">
      <c r="A90" s="28" t="n">
        <v>328000304</v>
      </c>
      <c r="B90" s="28" t="inlineStr">
        <is>
          <t>Riezal Aulia Dienilhaq</t>
        </is>
      </c>
      <c r="C90" s="175" t="n">
        <v>45659</v>
      </c>
      <c r="D90" s="28" t="inlineStr">
        <is>
          <t>0 tahun, 8 bulan, 16 hari</t>
        </is>
      </c>
      <c r="E90" s="28" t="inlineStr">
        <is>
          <t>Logistic</t>
        </is>
      </c>
      <c r="F90" s="28" t="inlineStr">
        <is>
          <t>Warehouse Finish Good</t>
        </is>
      </c>
      <c r="G90" s="28" t="inlineStr">
        <is>
          <t>Admin WFG</t>
        </is>
      </c>
      <c r="H90" s="28" t="inlineStr">
        <is>
          <t>L</t>
        </is>
      </c>
      <c r="I90" s="28" t="inlineStr">
        <is>
          <t>1NSLOG10</t>
        </is>
      </c>
      <c r="J90" s="28" t="inlineStr">
        <is>
          <t>ISLAM</t>
        </is>
      </c>
    </row>
    <row r="91" ht="15.75" customHeight="1" s="169">
      <c r="A91" s="28" t="n">
        <v>328000306</v>
      </c>
      <c r="B91" s="28" t="inlineStr">
        <is>
          <t>Aldy Bintang Syahputra</t>
        </is>
      </c>
      <c r="C91" s="175" t="n">
        <v>45670</v>
      </c>
      <c r="D91" s="28" t="inlineStr">
        <is>
          <t>0 tahun, 8 bulan, 5 hari</t>
        </is>
      </c>
      <c r="E91" s="28" t="inlineStr">
        <is>
          <t>Quality and Research &amp; Development</t>
        </is>
      </c>
      <c r="F91" s="28" t="inlineStr">
        <is>
          <t>QC - Diapers</t>
        </is>
      </c>
      <c r="G91" s="28" t="inlineStr">
        <is>
          <t>QC Incoming</t>
        </is>
      </c>
      <c r="H91" s="28" t="inlineStr">
        <is>
          <t>L</t>
        </is>
      </c>
      <c r="I91" s="28" t="inlineStr">
        <is>
          <t>QC12G2S</t>
        </is>
      </c>
      <c r="J91" s="28" t="inlineStr">
        <is>
          <t>ISLAM</t>
        </is>
      </c>
    </row>
    <row r="92" ht="15.75" customHeight="1" s="169">
      <c r="A92" s="28" t="n">
        <v>328000311</v>
      </c>
      <c r="B92" s="28" t="inlineStr">
        <is>
          <t>Aras Ath Thariq</t>
        </is>
      </c>
      <c r="C92" s="175" t="n">
        <v>45674</v>
      </c>
      <c r="D92" s="28" t="inlineStr">
        <is>
          <t>0 tahun, 8 bulan, 1 hari</t>
        </is>
      </c>
      <c r="E92" s="28" t="inlineStr">
        <is>
          <t>Production</t>
        </is>
      </c>
      <c r="F92" s="28" t="inlineStr">
        <is>
          <t>Production Diapers</t>
        </is>
      </c>
      <c r="G92" s="28" t="inlineStr">
        <is>
          <t>Packer</t>
        </is>
      </c>
      <c r="H92" s="28" t="inlineStr">
        <is>
          <t>L</t>
        </is>
      </c>
      <c r="I92" s="28" t="inlineStr">
        <is>
          <t>4C2</t>
        </is>
      </c>
      <c r="J92" s="28" t="inlineStr">
        <is>
          <t>ISLAM</t>
        </is>
      </c>
    </row>
    <row r="93" ht="15.75" customHeight="1" s="169">
      <c r="A93" s="28" t="n">
        <v>328000315</v>
      </c>
      <c r="B93" s="28" t="inlineStr">
        <is>
          <t>Fikri Haikal</t>
        </is>
      </c>
      <c r="C93" s="175" t="n">
        <v>45707</v>
      </c>
      <c r="D93" s="28" t="inlineStr">
        <is>
          <t>0 tahun, 6 bulan, 30 hari</t>
        </is>
      </c>
      <c r="E93" s="28" t="inlineStr">
        <is>
          <t>Logistic</t>
        </is>
      </c>
      <c r="F93" s="28" t="inlineStr">
        <is>
          <t>Warehouse Finish Good</t>
        </is>
      </c>
      <c r="G93" s="28" t="inlineStr">
        <is>
          <t>Operator Forklift</t>
        </is>
      </c>
      <c r="H93" s="28" t="inlineStr">
        <is>
          <t>L</t>
        </is>
      </c>
      <c r="I93" s="28" t="inlineStr">
        <is>
          <t>4D2</t>
        </is>
      </c>
      <c r="J93" s="28" t="inlineStr">
        <is>
          <t>ISLAM</t>
        </is>
      </c>
    </row>
    <row r="94" ht="15.75" customHeight="1" s="169">
      <c r="A94" s="28" t="n">
        <v>328000317</v>
      </c>
      <c r="B94" s="28" t="inlineStr">
        <is>
          <t>Hadiyono</t>
        </is>
      </c>
      <c r="C94" s="175" t="n">
        <v>45714</v>
      </c>
      <c r="D94" s="28" t="inlineStr">
        <is>
          <t>0 tahun, 6 bulan, 23 hari</t>
        </is>
      </c>
      <c r="E94" s="28" t="inlineStr">
        <is>
          <t>Engineering</t>
        </is>
      </c>
      <c r="F94" s="28" t="inlineStr">
        <is>
          <t>Engineering</t>
        </is>
      </c>
      <c r="G94" s="28" t="inlineStr">
        <is>
          <t>Machine Maintenance Shift</t>
        </is>
      </c>
      <c r="H94" s="28" t="inlineStr">
        <is>
          <t>L</t>
        </is>
      </c>
      <c r="I94" s="28" t="inlineStr">
        <is>
          <t>4C2</t>
        </is>
      </c>
      <c r="J94" s="28" t="inlineStr">
        <is>
          <t>ISLAM</t>
        </is>
      </c>
    </row>
    <row r="95" ht="15.75" customHeight="1" s="169">
      <c r="A95" s="28" t="n">
        <v>328000319</v>
      </c>
      <c r="B95" s="28" t="inlineStr">
        <is>
          <t>Ari Pebrianto</t>
        </is>
      </c>
      <c r="C95" s="175" t="n">
        <v>45741</v>
      </c>
      <c r="D95" s="28" t="inlineStr">
        <is>
          <t>0 tahun, 5 bulan, 24 hari</t>
        </is>
      </c>
      <c r="E95" s="28" t="inlineStr">
        <is>
          <t>Production</t>
        </is>
      </c>
      <c r="F95" s="28" t="inlineStr">
        <is>
          <t>Production Diapers</t>
        </is>
      </c>
      <c r="G95" s="28" t="inlineStr">
        <is>
          <t>Operator Produksi</t>
        </is>
      </c>
      <c r="H95" s="28" t="inlineStr">
        <is>
          <t>L</t>
        </is>
      </c>
      <c r="I95" s="28" t="inlineStr">
        <is>
          <t>4D2</t>
        </is>
      </c>
      <c r="J95" s="28" t="inlineStr">
        <is>
          <t>ISLAM</t>
        </is>
      </c>
    </row>
    <row r="96" ht="15.75" customHeight="1" s="169">
      <c r="A96" s="28" t="n">
        <v>328000320</v>
      </c>
      <c r="B96" s="28" t="inlineStr">
        <is>
          <t>Alfazri Samsi Arya Ginandjar</t>
        </is>
      </c>
      <c r="C96" s="175" t="n">
        <v>45744</v>
      </c>
      <c r="D96" s="28" t="inlineStr">
        <is>
          <t>0 tahun, 5 bulan, 21 hari</t>
        </is>
      </c>
      <c r="E96" s="28" t="inlineStr">
        <is>
          <t>Production</t>
        </is>
      </c>
      <c r="F96" s="28" t="inlineStr">
        <is>
          <t>Production Diapers</t>
        </is>
      </c>
      <c r="G96" s="28" t="inlineStr">
        <is>
          <t>Packer</t>
        </is>
      </c>
      <c r="H96" s="28" t="inlineStr">
        <is>
          <t>L</t>
        </is>
      </c>
      <c r="I96" s="28" t="inlineStr">
        <is>
          <t>4A2</t>
        </is>
      </c>
      <c r="J96" s="28" t="inlineStr">
        <is>
          <t>ISLAM</t>
        </is>
      </c>
    </row>
    <row r="97" ht="15.75" customHeight="1" s="169">
      <c r="A97" s="28" t="n">
        <v>328000323</v>
      </c>
      <c r="B97" s="28" t="inlineStr">
        <is>
          <t>Muhammad Bayu Taufan</t>
        </is>
      </c>
      <c r="C97" s="175" t="n">
        <v>45755</v>
      </c>
      <c r="D97" s="28" t="inlineStr">
        <is>
          <t>0 tahun, 5 bulan, 10 hari</t>
        </is>
      </c>
      <c r="E97" s="28" t="inlineStr">
        <is>
          <t>Production</t>
        </is>
      </c>
      <c r="F97" s="28" t="inlineStr">
        <is>
          <t>Production Adult</t>
        </is>
      </c>
      <c r="G97" s="28" t="inlineStr">
        <is>
          <t>Operator Produksi</t>
        </is>
      </c>
      <c r="H97" s="28" t="inlineStr">
        <is>
          <t>L</t>
        </is>
      </c>
      <c r="I97" s="28" t="inlineStr">
        <is>
          <t>3GSPRD3B</t>
        </is>
      </c>
      <c r="J97" s="28" t="inlineStr">
        <is>
          <t>ISLAM</t>
        </is>
      </c>
    </row>
    <row r="98" ht="15.75" customHeight="1" s="169">
      <c r="A98" s="28" t="n">
        <v>328000325</v>
      </c>
      <c r="B98" s="28" t="inlineStr">
        <is>
          <t>Mohamad Aldiawan</t>
        </is>
      </c>
      <c r="C98" s="175" t="n">
        <v>45761</v>
      </c>
      <c r="D98" s="28" t="inlineStr">
        <is>
          <t>0 tahun, 5 bulan, 4 hari</t>
        </is>
      </c>
      <c r="E98" s="28" t="inlineStr">
        <is>
          <t>Production</t>
        </is>
      </c>
      <c r="F98" s="28" t="inlineStr">
        <is>
          <t>Production Diapers</t>
        </is>
      </c>
      <c r="G98" s="28" t="inlineStr">
        <is>
          <t>Operator Produksi</t>
        </is>
      </c>
      <c r="H98" s="28" t="inlineStr">
        <is>
          <t>L</t>
        </is>
      </c>
      <c r="I98" s="28" t="inlineStr">
        <is>
          <t>4C2</t>
        </is>
      </c>
      <c r="J98" s="28" t="inlineStr">
        <is>
          <t>ISLAM</t>
        </is>
      </c>
    </row>
    <row r="99" ht="15.75" customHeight="1" s="169">
      <c r="A99" s="28" t="n">
        <v>328000330</v>
      </c>
      <c r="B99" s="28" t="inlineStr">
        <is>
          <t>Wendika Rizki Kurniawan</t>
        </is>
      </c>
      <c r="C99" s="175" t="n">
        <v>45770</v>
      </c>
      <c r="D99" s="28" t="inlineStr">
        <is>
          <t>0 tahun, 4 bulan, 26 hari</t>
        </is>
      </c>
      <c r="E99" s="28" t="inlineStr">
        <is>
          <t>Engineering</t>
        </is>
      </c>
      <c r="F99" s="28" t="inlineStr">
        <is>
          <t>Engineering</t>
        </is>
      </c>
      <c r="G99" s="28" t="inlineStr">
        <is>
          <t>Machine Maintenance Shift</t>
        </is>
      </c>
      <c r="H99" s="28" t="inlineStr">
        <is>
          <t>L</t>
        </is>
      </c>
      <c r="I99" s="28" t="inlineStr">
        <is>
          <t>3GSENG4</t>
        </is>
      </c>
      <c r="J99" s="28" t="inlineStr">
        <is>
          <t>ISLAM</t>
        </is>
      </c>
    </row>
    <row r="100" ht="15.75" customHeight="1" s="169">
      <c r="A100" s="28" t="n">
        <v>328000332</v>
      </c>
      <c r="B100" s="28" t="inlineStr">
        <is>
          <t>Anin Hernawan</t>
        </is>
      </c>
      <c r="C100" s="175" t="n">
        <v>45771</v>
      </c>
      <c r="D100" s="28" t="inlineStr">
        <is>
          <t>0 tahun, 4 bulan, 25 hari</t>
        </is>
      </c>
      <c r="E100" s="28" t="inlineStr">
        <is>
          <t>Production</t>
        </is>
      </c>
      <c r="F100" s="28" t="inlineStr">
        <is>
          <t>Production Diapers</t>
        </is>
      </c>
      <c r="G100" s="28" t="inlineStr">
        <is>
          <t>Packer</t>
        </is>
      </c>
      <c r="H100" s="28" t="inlineStr">
        <is>
          <t>L</t>
        </is>
      </c>
      <c r="I100" s="28" t="inlineStr">
        <is>
          <t>4B2</t>
        </is>
      </c>
      <c r="J100" s="28" t="inlineStr">
        <is>
          <t>ISLAM</t>
        </is>
      </c>
    </row>
    <row r="101" ht="15.75" customHeight="1" s="169">
      <c r="A101" s="28" t="n">
        <v>328000334</v>
      </c>
      <c r="B101" s="28" t="inlineStr">
        <is>
          <t>Nana Purwanto</t>
        </is>
      </c>
      <c r="C101" s="175" t="n">
        <v>45777</v>
      </c>
      <c r="D101" s="28" t="inlineStr">
        <is>
          <t>0 tahun, 4 bulan, 19 hari</t>
        </is>
      </c>
      <c r="E101" s="28" t="inlineStr">
        <is>
          <t>Production</t>
        </is>
      </c>
      <c r="F101" s="28" t="inlineStr">
        <is>
          <t>Production Diapers</t>
        </is>
      </c>
      <c r="G101" s="28" t="inlineStr">
        <is>
          <t>Packer</t>
        </is>
      </c>
      <c r="H101" s="28" t="inlineStr">
        <is>
          <t>L</t>
        </is>
      </c>
      <c r="I101" s="28" t="inlineStr">
        <is>
          <t>4D2</t>
        </is>
      </c>
      <c r="J101" s="28" t="inlineStr">
        <is>
          <t>ISLAM</t>
        </is>
      </c>
    </row>
    <row r="102" ht="15.75" customHeight="1" s="169">
      <c r="A102" s="28" t="n">
        <v>328000335</v>
      </c>
      <c r="B102" s="28" t="inlineStr">
        <is>
          <t>Muhamad Sandi</t>
        </is>
      </c>
      <c r="C102" s="175" t="n">
        <v>45779</v>
      </c>
      <c r="D102" s="28" t="inlineStr">
        <is>
          <t>0 tahun, 4 bulan, 16 hari</t>
        </is>
      </c>
      <c r="E102" s="28" t="inlineStr">
        <is>
          <t>Production</t>
        </is>
      </c>
      <c r="F102" s="28" t="inlineStr">
        <is>
          <t>Production Diapers</t>
        </is>
      </c>
      <c r="G102" s="28" t="inlineStr">
        <is>
          <t>Operator Produksi</t>
        </is>
      </c>
      <c r="H102" s="28" t="inlineStr">
        <is>
          <t>L</t>
        </is>
      </c>
      <c r="I102" s="28" t="inlineStr">
        <is>
          <t>4B2</t>
        </is>
      </c>
      <c r="J102" s="28" t="inlineStr">
        <is>
          <t>ISLAM</t>
        </is>
      </c>
    </row>
    <row r="103" ht="15.75" customHeight="1" s="169">
      <c r="A103" s="28" t="n">
        <v>328000336</v>
      </c>
      <c r="B103" s="28" t="inlineStr">
        <is>
          <t>Andri Saputra</t>
        </is>
      </c>
      <c r="C103" s="175" t="n">
        <v>45777</v>
      </c>
      <c r="D103" s="28" t="inlineStr">
        <is>
          <t>0 tahun, 4 bulan, 19 hari</t>
        </is>
      </c>
      <c r="E103" s="28" t="inlineStr">
        <is>
          <t>Production</t>
        </is>
      </c>
      <c r="F103" s="28" t="inlineStr">
        <is>
          <t>Production Diapers</t>
        </is>
      </c>
      <c r="G103" s="28" t="inlineStr">
        <is>
          <t>Packer</t>
        </is>
      </c>
      <c r="H103" s="28" t="inlineStr">
        <is>
          <t>L</t>
        </is>
      </c>
      <c r="I103" s="28" t="inlineStr">
        <is>
          <t>4C2</t>
        </is>
      </c>
      <c r="J103" s="28" t="inlineStr">
        <is>
          <t>ISLAM</t>
        </is>
      </c>
    </row>
    <row r="104" ht="15.75" customHeight="1" s="169">
      <c r="A104" s="28" t="n">
        <v>328000339</v>
      </c>
      <c r="B104" s="28" t="inlineStr">
        <is>
          <t>Mohammad Rafi Rustaman</t>
        </is>
      </c>
      <c r="C104" s="175" t="n">
        <v>45777</v>
      </c>
      <c r="D104" s="28" t="inlineStr">
        <is>
          <t>0 tahun, 4 bulan, 19 hari</t>
        </is>
      </c>
      <c r="E104" s="28" t="inlineStr">
        <is>
          <t>Logistic</t>
        </is>
      </c>
      <c r="F104" s="28" t="inlineStr">
        <is>
          <t>Warehouse Finish Good</t>
        </is>
      </c>
      <c r="G104" s="28" t="inlineStr">
        <is>
          <t>Checker</t>
        </is>
      </c>
      <c r="H104" s="28" t="inlineStr">
        <is>
          <t>L</t>
        </is>
      </c>
      <c r="I104" s="28" t="inlineStr">
        <is>
          <t>1NS1LOG</t>
        </is>
      </c>
      <c r="J104" s="28" t="inlineStr">
        <is>
          <t>ISLAM</t>
        </is>
      </c>
    </row>
    <row r="105" ht="15.75" customHeight="1" s="169">
      <c r="A105" s="28" t="n">
        <v>328000340</v>
      </c>
      <c r="B105" s="28" t="inlineStr">
        <is>
          <t>Iyan Supriyanto</t>
        </is>
      </c>
      <c r="C105" s="175" t="n">
        <v>45777</v>
      </c>
      <c r="D105" s="28" t="inlineStr">
        <is>
          <t>0 tahun, 4 bulan, 19 hari</t>
        </is>
      </c>
      <c r="E105" s="28" t="inlineStr">
        <is>
          <t>Engineering</t>
        </is>
      </c>
      <c r="F105" s="28" t="inlineStr">
        <is>
          <t>Engineering</t>
        </is>
      </c>
      <c r="G105" s="28" t="inlineStr">
        <is>
          <t>Machine Maintenance Shift</t>
        </is>
      </c>
      <c r="H105" s="28" t="inlineStr">
        <is>
          <t>L</t>
        </is>
      </c>
      <c r="I105" s="28" t="inlineStr">
        <is>
          <t>1NS1</t>
        </is>
      </c>
      <c r="J105" s="28" t="inlineStr">
        <is>
          <t>ISLAM</t>
        </is>
      </c>
    </row>
    <row r="106" ht="15.75" customHeight="1" s="169">
      <c r="A106" s="28" t="n">
        <v>328000341</v>
      </c>
      <c r="B106" s="28" t="inlineStr">
        <is>
          <t>Riki Septiadi</t>
        </is>
      </c>
      <c r="C106" s="175" t="n">
        <v>45777</v>
      </c>
      <c r="D106" s="28" t="inlineStr">
        <is>
          <t>0 tahun, 4 bulan, 19 hari</t>
        </is>
      </c>
      <c r="E106" s="28" t="inlineStr">
        <is>
          <t>Production</t>
        </is>
      </c>
      <c r="F106" s="28" t="inlineStr">
        <is>
          <t>Production Diapers</t>
        </is>
      </c>
      <c r="G106" s="28" t="inlineStr">
        <is>
          <t>Packer</t>
        </is>
      </c>
      <c r="H106" s="28" t="inlineStr">
        <is>
          <t>L</t>
        </is>
      </c>
      <c r="I106" s="28" t="inlineStr">
        <is>
          <t>4A2</t>
        </is>
      </c>
      <c r="J106" s="28" t="inlineStr">
        <is>
          <t>ISLAM</t>
        </is>
      </c>
    </row>
    <row r="107" ht="15.75" customHeight="1" s="169">
      <c r="A107" s="28" t="n">
        <v>328000344</v>
      </c>
      <c r="B107" s="28" t="inlineStr">
        <is>
          <t>Rizwan Maulana</t>
        </is>
      </c>
      <c r="C107" s="175" t="n">
        <v>45783</v>
      </c>
      <c r="D107" s="28" t="inlineStr">
        <is>
          <t>0 tahun, 4 bulan, 12 hari</t>
        </is>
      </c>
      <c r="E107" s="28" t="inlineStr">
        <is>
          <t>Production</t>
        </is>
      </c>
      <c r="F107" s="28" t="inlineStr">
        <is>
          <t>Production Diapers</t>
        </is>
      </c>
      <c r="G107" s="28" t="inlineStr">
        <is>
          <t>Packer</t>
        </is>
      </c>
      <c r="H107" s="28" t="inlineStr">
        <is>
          <t>L</t>
        </is>
      </c>
      <c r="I107" s="28" t="inlineStr">
        <is>
          <t>4D2</t>
        </is>
      </c>
      <c r="J107" s="28" t="inlineStr">
        <is>
          <t>ISLAM</t>
        </is>
      </c>
    </row>
    <row r="108" ht="15.75" customHeight="1" s="169">
      <c r="A108" s="28" t="n">
        <v>328000346</v>
      </c>
      <c r="B108" s="28" t="inlineStr">
        <is>
          <t>Muhamad Fadilah Faqih</t>
        </is>
      </c>
      <c r="C108" s="175" t="n">
        <v>45783</v>
      </c>
      <c r="D108" s="28" t="inlineStr">
        <is>
          <t>0 tahun, 4 bulan, 12 hari</t>
        </is>
      </c>
      <c r="E108" s="28" t="inlineStr">
        <is>
          <t>Production</t>
        </is>
      </c>
      <c r="F108" s="28" t="inlineStr">
        <is>
          <t>Production Diapers</t>
        </is>
      </c>
      <c r="G108" s="28" t="inlineStr">
        <is>
          <t>Operator Produksi</t>
        </is>
      </c>
      <c r="H108" s="28" t="inlineStr">
        <is>
          <t>L</t>
        </is>
      </c>
      <c r="I108" s="28" t="inlineStr">
        <is>
          <t>4C2</t>
        </is>
      </c>
      <c r="J108" s="28" t="inlineStr">
        <is>
          <t>ISLAM</t>
        </is>
      </c>
    </row>
    <row r="109" ht="15.75" customHeight="1" s="169">
      <c r="A109" s="28" t="n">
        <v>328000349</v>
      </c>
      <c r="B109" s="28" t="inlineStr">
        <is>
          <t>Nanda Agustian</t>
        </is>
      </c>
      <c r="C109" s="175" t="n">
        <v>45784</v>
      </c>
      <c r="D109" s="28" t="inlineStr">
        <is>
          <t>0 tahun, 4 bulan, 11 hari</t>
        </is>
      </c>
      <c r="E109" s="28" t="inlineStr">
        <is>
          <t>Engineering</t>
        </is>
      </c>
      <c r="F109" s="28" t="inlineStr">
        <is>
          <t>Engineering</t>
        </is>
      </c>
      <c r="G109" s="28" t="inlineStr">
        <is>
          <t>Machine Maintenance Shift</t>
        </is>
      </c>
      <c r="H109" s="28" t="inlineStr">
        <is>
          <t>L</t>
        </is>
      </c>
      <c r="I109" s="28" t="inlineStr">
        <is>
          <t>3GSENG3</t>
        </is>
      </c>
      <c r="J109" s="28" t="inlineStr">
        <is>
          <t>ISLAM</t>
        </is>
      </c>
    </row>
    <row r="110" ht="15.75" customHeight="1" s="169">
      <c r="A110" s="28" t="n">
        <v>328000355</v>
      </c>
      <c r="B110" s="28" t="inlineStr">
        <is>
          <t>Irvan Andrian</t>
        </is>
      </c>
      <c r="C110" s="175" t="n">
        <v>45797</v>
      </c>
      <c r="D110" s="28" t="inlineStr">
        <is>
          <t>0 tahun, 3 bulan, 29 hari</t>
        </is>
      </c>
      <c r="E110" s="28" t="inlineStr">
        <is>
          <t>Engineering</t>
        </is>
      </c>
      <c r="F110" s="28" t="inlineStr">
        <is>
          <t>Engineering</t>
        </is>
      </c>
      <c r="G110" s="28" t="inlineStr">
        <is>
          <t>Machine Maintenance Shift</t>
        </is>
      </c>
      <c r="H110" s="28" t="inlineStr">
        <is>
          <t>L</t>
        </is>
      </c>
      <c r="I110" s="28" t="inlineStr">
        <is>
          <t>3GSENG2</t>
        </is>
      </c>
      <c r="J110" s="28" t="inlineStr">
        <is>
          <t>ISLAM</t>
        </is>
      </c>
    </row>
    <row r="111" ht="15.75" customHeight="1" s="169">
      <c r="A111" s="28" t="n">
        <v>328000358</v>
      </c>
      <c r="B111" s="28" t="inlineStr">
        <is>
          <t>Kiki Muzaki</t>
        </is>
      </c>
      <c r="C111" s="175" t="n">
        <v>45803</v>
      </c>
      <c r="D111" s="28" t="inlineStr">
        <is>
          <t>0 tahun, 3 bulan, 23 hari</t>
        </is>
      </c>
      <c r="E111" s="28" t="inlineStr">
        <is>
          <t>Production</t>
        </is>
      </c>
      <c r="F111" s="28" t="inlineStr">
        <is>
          <t>Production Diapers</t>
        </is>
      </c>
      <c r="G111" s="28" t="inlineStr">
        <is>
          <t>Packer</t>
        </is>
      </c>
      <c r="H111" s="28" t="inlineStr">
        <is>
          <t>L</t>
        </is>
      </c>
      <c r="I111" s="28" t="inlineStr">
        <is>
          <t>4A2</t>
        </is>
      </c>
      <c r="J111" s="28" t="inlineStr">
        <is>
          <t>ISLAM</t>
        </is>
      </c>
    </row>
    <row r="112" ht="15.75" customHeight="1" s="169">
      <c r="A112" s="28" t="n">
        <v>328000361</v>
      </c>
      <c r="B112" s="28" t="inlineStr">
        <is>
          <t>Nabil Fathurohman</t>
        </is>
      </c>
      <c r="C112" s="175" t="n">
        <v>45810</v>
      </c>
      <c r="D112" s="28" t="inlineStr">
        <is>
          <t>0 tahun, 3 bulan, 16 hari</t>
        </is>
      </c>
      <c r="E112" s="28" t="inlineStr">
        <is>
          <t>Production</t>
        </is>
      </c>
      <c r="F112" s="28" t="inlineStr">
        <is>
          <t>Production Adult</t>
        </is>
      </c>
      <c r="G112" s="28" t="inlineStr">
        <is>
          <t>Packer</t>
        </is>
      </c>
      <c r="H112" s="28" t="inlineStr">
        <is>
          <t>L</t>
        </is>
      </c>
      <c r="I112" s="28" t="inlineStr">
        <is>
          <t>3GSPRD1G</t>
        </is>
      </c>
      <c r="J112" s="28" t="inlineStr">
        <is>
          <t>ISLAM</t>
        </is>
      </c>
    </row>
    <row r="113" ht="15.75" customHeight="1" s="169">
      <c r="A113" s="28" t="n">
        <v>328000362</v>
      </c>
      <c r="B113" s="28" t="inlineStr">
        <is>
          <t>Iqbal Herman</t>
        </is>
      </c>
      <c r="C113" s="175" t="n">
        <v>45810</v>
      </c>
      <c r="D113" s="28" t="inlineStr">
        <is>
          <t>0 tahun, 3 bulan, 16 hari</t>
        </is>
      </c>
      <c r="E113" s="28" t="inlineStr">
        <is>
          <t>Production</t>
        </is>
      </c>
      <c r="F113" s="28" t="inlineStr">
        <is>
          <t>Production Adult</t>
        </is>
      </c>
      <c r="G113" s="28" t="inlineStr">
        <is>
          <t>Admin TSP</t>
        </is>
      </c>
      <c r="H113" s="28" t="inlineStr">
        <is>
          <t>L</t>
        </is>
      </c>
      <c r="I113" s="28" t="inlineStr">
        <is>
          <t>3GSPRD3B</t>
        </is>
      </c>
      <c r="J113" s="28" t="inlineStr">
        <is>
          <t>ISLAM</t>
        </is>
      </c>
    </row>
    <row r="114" ht="15.75" customHeight="1" s="169">
      <c r="A114" s="28" t="n">
        <v>328000375</v>
      </c>
      <c r="B114" s="28" t="inlineStr">
        <is>
          <t>Adam Hidir Malkan</t>
        </is>
      </c>
      <c r="C114" s="175" t="n">
        <v>45815</v>
      </c>
      <c r="D114" s="28" t="inlineStr">
        <is>
          <t>0 tahun, 3 bulan, 11 hari</t>
        </is>
      </c>
      <c r="E114" s="28" t="inlineStr">
        <is>
          <t>Production</t>
        </is>
      </c>
      <c r="F114" s="28" t="inlineStr">
        <is>
          <t>Production Adult</t>
        </is>
      </c>
      <c r="G114" s="28" t="inlineStr">
        <is>
          <t>Packer</t>
        </is>
      </c>
      <c r="H114" s="28" t="inlineStr">
        <is>
          <t>L</t>
        </is>
      </c>
      <c r="I114" s="28" t="inlineStr">
        <is>
          <t>3GSPRD1G</t>
        </is>
      </c>
      <c r="J114" s="28" t="inlineStr">
        <is>
          <t>ISLAM</t>
        </is>
      </c>
    </row>
    <row r="115" ht="15.75" customHeight="1" s="169">
      <c r="A115" s="28" t="n">
        <v>328000376</v>
      </c>
      <c r="B115" s="28" t="inlineStr">
        <is>
          <t>Hendry Kurniawan</t>
        </is>
      </c>
      <c r="C115" s="175" t="n">
        <v>45817</v>
      </c>
      <c r="D115" s="28" t="inlineStr">
        <is>
          <t>0 tahun, 3 bulan, 9 hari</t>
        </is>
      </c>
      <c r="E115" s="28" t="inlineStr">
        <is>
          <t>Engineering</t>
        </is>
      </c>
      <c r="F115" s="28" t="inlineStr">
        <is>
          <t>Engineering</t>
        </is>
      </c>
      <c r="G115" s="28" t="inlineStr">
        <is>
          <t>Machine Maintenance Shift</t>
        </is>
      </c>
      <c r="H115" s="28" t="inlineStr">
        <is>
          <t>L</t>
        </is>
      </c>
      <c r="I115" s="28" t="inlineStr">
        <is>
          <t>1ENG2</t>
        </is>
      </c>
      <c r="J115" s="28" t="inlineStr">
        <is>
          <t>ISLAM</t>
        </is>
      </c>
    </row>
    <row r="116" ht="15.75" customHeight="1" s="169">
      <c r="A116" s="28" t="n">
        <v>328000378</v>
      </c>
      <c r="B116" s="28" t="inlineStr">
        <is>
          <t>Jauhar Alamanda A. Hilda</t>
        </is>
      </c>
      <c r="C116" s="175" t="n">
        <v>45822</v>
      </c>
      <c r="D116" s="28" t="inlineStr">
        <is>
          <t>0 tahun, 3 bulan, 4 hari</t>
        </is>
      </c>
      <c r="E116" s="28" t="inlineStr">
        <is>
          <t>Logistic</t>
        </is>
      </c>
      <c r="F116" s="28" t="inlineStr">
        <is>
          <t>Warehouse Finish Good</t>
        </is>
      </c>
      <c r="G116" s="28" t="inlineStr">
        <is>
          <t>Operator Forklift</t>
        </is>
      </c>
      <c r="H116" s="28" t="inlineStr">
        <is>
          <t>L</t>
        </is>
      </c>
      <c r="I116" s="28" t="inlineStr">
        <is>
          <t>4B2</t>
        </is>
      </c>
      <c r="J116" s="28" t="inlineStr">
        <is>
          <t>ISLAM</t>
        </is>
      </c>
    </row>
    <row r="117" ht="15.75" customHeight="1" s="169">
      <c r="A117" s="28" t="n">
        <v>328000386</v>
      </c>
      <c r="B117" s="28" t="inlineStr">
        <is>
          <t>Muhammad Hanif Alghifari</t>
        </is>
      </c>
      <c r="C117" s="175" t="n">
        <v>45832</v>
      </c>
      <c r="D117" s="28" t="inlineStr">
        <is>
          <t>0 tahun, 2 bulan, 25 hari</t>
        </is>
      </c>
      <c r="E117" s="28" t="inlineStr">
        <is>
          <t>Production</t>
        </is>
      </c>
      <c r="F117" s="28" t="inlineStr">
        <is>
          <t>Production Diapers</t>
        </is>
      </c>
      <c r="G117" s="28" t="inlineStr">
        <is>
          <t>Packer</t>
        </is>
      </c>
      <c r="H117" s="28" t="inlineStr">
        <is>
          <t>L</t>
        </is>
      </c>
      <c r="I117" s="28" t="inlineStr">
        <is>
          <t>4B2</t>
        </is>
      </c>
      <c r="J117" s="28" t="inlineStr">
        <is>
          <t>ISLAM</t>
        </is>
      </c>
    </row>
    <row r="118" ht="15.75" customHeight="1" s="169">
      <c r="A118" s="28" t="n">
        <v>328000389</v>
      </c>
      <c r="B118" s="28" t="inlineStr">
        <is>
          <t>Dede Arman Maulana</t>
        </is>
      </c>
      <c r="C118" s="175" t="n">
        <v>45832</v>
      </c>
      <c r="D118" s="28" t="inlineStr">
        <is>
          <t>0 tahun, 2 bulan, 25 hari</t>
        </is>
      </c>
      <c r="E118" s="28" t="inlineStr">
        <is>
          <t>Production</t>
        </is>
      </c>
      <c r="F118" s="28" t="inlineStr">
        <is>
          <t>Production Adult</t>
        </is>
      </c>
      <c r="G118" s="28" t="inlineStr">
        <is>
          <t>Admin TSP</t>
        </is>
      </c>
      <c r="H118" s="28" t="inlineStr">
        <is>
          <t>L</t>
        </is>
      </c>
      <c r="I118" s="28" t="inlineStr">
        <is>
          <t>3GSPRD2S</t>
        </is>
      </c>
      <c r="J118" s="28" t="inlineStr">
        <is>
          <t>ISLAM</t>
        </is>
      </c>
    </row>
    <row r="119" ht="15.75" customHeight="1" s="169">
      <c r="A119" s="28" t="n">
        <v>328000391</v>
      </c>
      <c r="B119" s="28" t="inlineStr">
        <is>
          <t>Rangga Aditya</t>
        </is>
      </c>
      <c r="C119" s="175" t="n">
        <v>45836</v>
      </c>
      <c r="D119" s="28" t="inlineStr">
        <is>
          <t>0 tahun, 2 bulan, 21 hari</t>
        </is>
      </c>
      <c r="E119" s="28" t="inlineStr">
        <is>
          <t>Logistic</t>
        </is>
      </c>
      <c r="F119" s="28" t="inlineStr">
        <is>
          <t>Warehouse Finish Good</t>
        </is>
      </c>
      <c r="G119" s="28" t="inlineStr">
        <is>
          <t>Checker</t>
        </is>
      </c>
      <c r="H119" s="28" t="inlineStr">
        <is>
          <t>L</t>
        </is>
      </c>
      <c r="I119" s="28" t="inlineStr">
        <is>
          <t>1NS1LOG</t>
        </is>
      </c>
      <c r="J119" s="28" t="inlineStr">
        <is>
          <t>ISLAM</t>
        </is>
      </c>
    </row>
    <row r="120" ht="15.75" customHeight="1" s="169">
      <c r="A120" s="28" t="n">
        <v>328000396</v>
      </c>
      <c r="B120" s="28" t="inlineStr">
        <is>
          <t>M. Zidan Juniar</t>
        </is>
      </c>
      <c r="C120" s="175" t="n">
        <v>45850</v>
      </c>
      <c r="D120" s="28" t="inlineStr">
        <is>
          <t>0 tahun, 2 bulan, 6 hari</t>
        </is>
      </c>
      <c r="E120" s="28" t="inlineStr">
        <is>
          <t>Logistic</t>
        </is>
      </c>
      <c r="F120" s="28" t="inlineStr">
        <is>
          <t>Timbangan</t>
        </is>
      </c>
      <c r="G120" s="28" t="inlineStr">
        <is>
          <t>Admin Timbangan</t>
        </is>
      </c>
      <c r="H120" s="28" t="inlineStr">
        <is>
          <t>L</t>
        </is>
      </c>
      <c r="I120" s="28" t="inlineStr">
        <is>
          <t>1NS1</t>
        </is>
      </c>
      <c r="J120" s="28" t="inlineStr">
        <is>
          <t>ISLAM</t>
        </is>
      </c>
    </row>
    <row r="121" ht="15.75" customHeight="1" s="169">
      <c r="A121" s="28" t="n">
        <v>328000400</v>
      </c>
      <c r="B121" s="28" t="inlineStr">
        <is>
          <t>M Karsim Septian</t>
        </is>
      </c>
      <c r="C121" s="175" t="n">
        <v>45858</v>
      </c>
      <c r="D121" s="28" t="inlineStr">
        <is>
          <t>0 tahun, 1 bulan, 29 hari</t>
        </is>
      </c>
      <c r="E121" s="28" t="inlineStr">
        <is>
          <t>Production</t>
        </is>
      </c>
      <c r="F121" s="28" t="inlineStr">
        <is>
          <t>Production Diapers</t>
        </is>
      </c>
      <c r="G121" s="28" t="inlineStr">
        <is>
          <t>Packer</t>
        </is>
      </c>
      <c r="H121" s="28" t="inlineStr">
        <is>
          <t>L</t>
        </is>
      </c>
      <c r="I121" s="28" t="inlineStr">
        <is>
          <t>4B2</t>
        </is>
      </c>
      <c r="J121" s="28" t="inlineStr">
        <is>
          <t>ISLAM</t>
        </is>
      </c>
    </row>
    <row r="122" ht="15.75" customHeight="1" s="169">
      <c r="A122" s="28" t="n">
        <v>328000409</v>
      </c>
      <c r="B122" s="28" t="inlineStr">
        <is>
          <t>Suhendi</t>
        </is>
      </c>
      <c r="C122" s="175" t="n">
        <v>45868</v>
      </c>
      <c r="D122" s="28" t="inlineStr">
        <is>
          <t>0 tahun, 1 bulan, 19 hari</t>
        </is>
      </c>
      <c r="E122" s="28" t="inlineStr">
        <is>
          <t>Logistic</t>
        </is>
      </c>
      <c r="F122" s="28" t="inlineStr">
        <is>
          <t>Warehouse Raw Material</t>
        </is>
      </c>
      <c r="G122" s="28" t="inlineStr">
        <is>
          <t>Operator Forklift</t>
        </is>
      </c>
      <c r="H122" s="28" t="inlineStr">
        <is>
          <t>L</t>
        </is>
      </c>
      <c r="I122" s="28" t="inlineStr">
        <is>
          <t>4B2</t>
        </is>
      </c>
      <c r="J122" s="28" t="inlineStr">
        <is>
          <t>ISLAM</t>
        </is>
      </c>
    </row>
    <row r="123" ht="15.75" customHeight="1" s="169">
      <c r="A123" s="28" t="n">
        <v>328000410</v>
      </c>
      <c r="B123" s="28" t="inlineStr">
        <is>
          <t>Kelvin Febriansyah</t>
        </is>
      </c>
      <c r="C123" s="175" t="n">
        <v>45870</v>
      </c>
      <c r="D123" s="28" t="inlineStr">
        <is>
          <t>0 tahun, 1 bulan, 17 hari</t>
        </is>
      </c>
      <c r="E123" s="28" t="inlineStr">
        <is>
          <t>Production</t>
        </is>
      </c>
      <c r="F123" s="28" t="inlineStr">
        <is>
          <t>Production Diapers</t>
        </is>
      </c>
      <c r="G123" s="28" t="inlineStr">
        <is>
          <t>Packer</t>
        </is>
      </c>
      <c r="H123" s="28" t="inlineStr">
        <is>
          <t>L</t>
        </is>
      </c>
      <c r="I123" s="28" t="inlineStr">
        <is>
          <t>4B2</t>
        </is>
      </c>
      <c r="J123" s="28" t="inlineStr">
        <is>
          <t>ISLAM</t>
        </is>
      </c>
    </row>
    <row r="124" ht="15.75" customHeight="1" s="169">
      <c r="A124" s="28" t="n">
        <v>328000416</v>
      </c>
      <c r="B124" s="28" t="inlineStr">
        <is>
          <t>Ahmad Ramdani</t>
        </is>
      </c>
      <c r="C124" s="175" t="n">
        <v>45885</v>
      </c>
      <c r="D124" s="28" t="inlineStr">
        <is>
          <t>0 tahun, 1 bulan, 2 hari</t>
        </is>
      </c>
      <c r="E124" s="28" t="inlineStr">
        <is>
          <t>Production</t>
        </is>
      </c>
      <c r="F124" s="28" t="inlineStr">
        <is>
          <t>Production Diapers</t>
        </is>
      </c>
      <c r="G124" s="28" t="inlineStr">
        <is>
          <t>Packer</t>
        </is>
      </c>
      <c r="H124" s="28" t="inlineStr">
        <is>
          <t>L</t>
        </is>
      </c>
      <c r="I124" s="28" t="inlineStr">
        <is>
          <t>4A2</t>
        </is>
      </c>
      <c r="J124" s="28" t="inlineStr">
        <is>
          <t>ISLAM</t>
        </is>
      </c>
    </row>
    <row r="125" ht="15.75" customHeight="1" s="169">
      <c r="A125" s="28" t="n">
        <v>328000417</v>
      </c>
      <c r="B125" s="28" t="inlineStr">
        <is>
          <t>Raja Aditia</t>
        </is>
      </c>
      <c r="C125" s="175" t="n">
        <v>45885</v>
      </c>
      <c r="D125" s="28" t="inlineStr">
        <is>
          <t>0 tahun, 1 bulan, 2 hari</t>
        </is>
      </c>
      <c r="E125" s="28" t="inlineStr">
        <is>
          <t>Production</t>
        </is>
      </c>
      <c r="F125" s="28" t="inlineStr">
        <is>
          <t>Production Diapers</t>
        </is>
      </c>
      <c r="G125" s="28" t="inlineStr">
        <is>
          <t>Packer</t>
        </is>
      </c>
      <c r="H125" s="28" t="inlineStr">
        <is>
          <t>L</t>
        </is>
      </c>
      <c r="I125" s="28" t="inlineStr">
        <is>
          <t>4D2</t>
        </is>
      </c>
      <c r="J125" s="28" t="inlineStr">
        <is>
          <t>ISLAM</t>
        </is>
      </c>
    </row>
    <row r="126" ht="15.75" customHeight="1" s="169">
      <c r="A126" s="28" t="n">
        <v>328000419</v>
      </c>
      <c r="B126" s="28" t="inlineStr">
        <is>
          <t>Cecep Sukma Wijaya</t>
        </is>
      </c>
      <c r="C126" s="175" t="n">
        <v>45895</v>
      </c>
      <c r="D126" s="28" t="inlineStr">
        <is>
          <t>0 tahun, 0 bulan, 23 hari</t>
        </is>
      </c>
      <c r="E126" s="28" t="inlineStr">
        <is>
          <t>Logistic</t>
        </is>
      </c>
      <c r="F126" s="28" t="inlineStr">
        <is>
          <t>Warehouse Finish Good</t>
        </is>
      </c>
      <c r="G126" s="28" t="inlineStr">
        <is>
          <t>Operator Forklift</t>
        </is>
      </c>
      <c r="H126" s="28" t="inlineStr">
        <is>
          <t>L</t>
        </is>
      </c>
      <c r="I126" s="28" t="inlineStr">
        <is>
          <t>1NS1</t>
        </is>
      </c>
      <c r="J126" s="28" t="inlineStr">
        <is>
          <t>ISLAM</t>
        </is>
      </c>
    </row>
    <row r="127" ht="15.75" customHeight="1" s="169">
      <c r="A127" s="28" t="n">
        <v>328000422</v>
      </c>
      <c r="B127" s="28" t="inlineStr">
        <is>
          <t>Kevin Prakoso</t>
        </is>
      </c>
      <c r="C127" s="175" t="n">
        <v>45902</v>
      </c>
      <c r="D127" s="28" t="inlineStr">
        <is>
          <t>0 tahun, 0 bulan, 16 hari</t>
        </is>
      </c>
      <c r="E127" s="28" t="inlineStr">
        <is>
          <t>Production</t>
        </is>
      </c>
      <c r="F127" s="28" t="inlineStr">
        <is>
          <t>Production Diapers</t>
        </is>
      </c>
      <c r="G127" s="28" t="inlineStr">
        <is>
          <t>Packer</t>
        </is>
      </c>
      <c r="H127" s="28" t="inlineStr">
        <is>
          <t>L</t>
        </is>
      </c>
      <c r="I127" s="28" t="inlineStr">
        <is>
          <t>4C2</t>
        </is>
      </c>
      <c r="J127" s="28" t="inlineStr">
        <is>
          <t>ISLAM</t>
        </is>
      </c>
    </row>
    <row r="128" ht="15.75" customHeight="1" s="169">
      <c r="A128" s="28" t="n">
        <v>328000423</v>
      </c>
      <c r="B128" s="28" t="inlineStr">
        <is>
          <t>Fachmi Chaerul Iman</t>
        </is>
      </c>
      <c r="C128" s="175" t="n">
        <v>45912</v>
      </c>
      <c r="D128" s="28" t="inlineStr">
        <is>
          <t>0 tahun, 0 bulan, 6 hari</t>
        </is>
      </c>
      <c r="E128" s="28" t="inlineStr">
        <is>
          <t>Production</t>
        </is>
      </c>
      <c r="F128" s="28" t="inlineStr">
        <is>
          <t>Production Adult</t>
        </is>
      </c>
      <c r="G128" s="28" t="inlineStr">
        <is>
          <t>Packer</t>
        </is>
      </c>
      <c r="H128" s="28" t="inlineStr">
        <is>
          <t>L</t>
        </is>
      </c>
      <c r="I128" s="28" t="inlineStr">
        <is>
          <t>3GSPRD3B</t>
        </is>
      </c>
      <c r="J128" s="28" t="inlineStr">
        <is>
          <t>ISLAM</t>
        </is>
      </c>
    </row>
    <row r="129" ht="15.75" customHeight="1" s="169">
      <c r="A129" s="28" t="n">
        <v>328000425</v>
      </c>
      <c r="B129" s="28" t="inlineStr">
        <is>
          <t>Priyanto Sandika</t>
        </is>
      </c>
      <c r="C129" s="175" t="n">
        <v>45912</v>
      </c>
      <c r="D129" s="28" t="inlineStr">
        <is>
          <t>0 tahun, 0 bulan, 6 hari</t>
        </is>
      </c>
      <c r="E129" s="28" t="inlineStr">
        <is>
          <t>Production</t>
        </is>
      </c>
      <c r="F129" s="28" t="inlineStr">
        <is>
          <t>Production Adult</t>
        </is>
      </c>
      <c r="G129" s="28" t="inlineStr">
        <is>
          <t>Packer</t>
        </is>
      </c>
      <c r="H129" s="28" t="inlineStr">
        <is>
          <t>L</t>
        </is>
      </c>
      <c r="I129" s="28" t="inlineStr">
        <is>
          <t>3GSPRD3B</t>
        </is>
      </c>
      <c r="J129" s="28" t="inlineStr">
        <is>
          <t>ISLAM</t>
        </is>
      </c>
    </row>
    <row r="130" ht="15.75" customHeight="1" s="169">
      <c r="A130" s="28" t="n">
        <v>328000427</v>
      </c>
      <c r="B130" s="28" t="inlineStr">
        <is>
          <t>Rizky Muhamad Reyhan</t>
        </is>
      </c>
      <c r="C130" s="175" t="n">
        <v>45912</v>
      </c>
      <c r="D130" s="28" t="inlineStr">
        <is>
          <t>0 tahun, 0 bulan, 6 hari</t>
        </is>
      </c>
      <c r="E130" s="28" t="inlineStr">
        <is>
          <t>Production</t>
        </is>
      </c>
      <c r="F130" s="28" t="inlineStr">
        <is>
          <t>Production Adult</t>
        </is>
      </c>
      <c r="G130" s="28" t="inlineStr">
        <is>
          <t>Packer</t>
        </is>
      </c>
      <c r="H130" s="28" t="inlineStr">
        <is>
          <t>L</t>
        </is>
      </c>
      <c r="I130" s="28" t="inlineStr">
        <is>
          <t>3GSPRD2S</t>
        </is>
      </c>
      <c r="J130" s="28" t="inlineStr">
        <is>
          <t>ISLAM</t>
        </is>
      </c>
    </row>
    <row r="131" ht="15.75" customHeight="1" s="169">
      <c r="A131" s="28" t="n">
        <v>328000429</v>
      </c>
      <c r="B131" s="28" t="inlineStr">
        <is>
          <t>Faidah Arrasid</t>
        </is>
      </c>
      <c r="C131" s="175" t="n">
        <v>45916</v>
      </c>
      <c r="D131" s="28" t="inlineStr">
        <is>
          <t>0 tahun, 0 bulan, 2 hari</t>
        </is>
      </c>
      <c r="E131" s="28" t="inlineStr">
        <is>
          <t>Production</t>
        </is>
      </c>
      <c r="F131" s="28" t="inlineStr">
        <is>
          <t>Production Adult</t>
        </is>
      </c>
      <c r="G131" s="28" t="inlineStr">
        <is>
          <t>Packer</t>
        </is>
      </c>
      <c r="H131" s="28" t="inlineStr">
        <is>
          <t>L</t>
        </is>
      </c>
      <c r="I131" s="28" t="inlineStr">
        <is>
          <t>3GSPRD1G</t>
        </is>
      </c>
      <c r="J131" s="28" t="inlineStr">
        <is>
          <t>ISLAM</t>
        </is>
      </c>
    </row>
    <row r="132" ht="15.75" customHeight="1" s="169">
      <c r="A132" s="28" t="n">
        <v>328000431</v>
      </c>
      <c r="B132" s="28" t="inlineStr">
        <is>
          <t>Sahrul Roy Ramadan</t>
        </is>
      </c>
      <c r="C132" s="175" t="n">
        <v>45919</v>
      </c>
      <c r="D132" s="28" t="inlineStr">
        <is>
          <t>#NUM!</t>
        </is>
      </c>
      <c r="E132" s="28" t="inlineStr">
        <is>
          <t>Production</t>
        </is>
      </c>
      <c r="F132" s="28" t="inlineStr">
        <is>
          <t>Production Diapers</t>
        </is>
      </c>
      <c r="G132" s="28" t="inlineStr">
        <is>
          <t>Packer</t>
        </is>
      </c>
      <c r="H132" s="28" t="inlineStr">
        <is>
          <t>L</t>
        </is>
      </c>
      <c r="I132" s="28" t="inlineStr">
        <is>
          <t>4B2</t>
        </is>
      </c>
      <c r="J132" s="28" t="inlineStr">
        <is>
          <t>ISLAM</t>
        </is>
      </c>
    </row>
    <row r="133" ht="15.75" customHeight="1" s="169">
      <c r="A133" s="31" t="n">
        <v>128000001</v>
      </c>
      <c r="B133" s="28" t="inlineStr">
        <is>
          <t>Iman Nurchaedi S.</t>
        </is>
      </c>
      <c r="C133" s="28" t="inlineStr">
        <is>
          <t>Production</t>
        </is>
      </c>
      <c r="H133" s="15" t="inlineStr">
        <is>
          <t>L</t>
        </is>
      </c>
      <c r="I133" s="28" t="inlineStr">
        <is>
          <t>2NSB1</t>
        </is>
      </c>
      <c r="J133" s="28" t="inlineStr">
        <is>
          <t>Islam</t>
        </is>
      </c>
    </row>
    <row r="134" ht="15.75" customHeight="1" s="169">
      <c r="A134" s="31" t="n">
        <v>128000003</v>
      </c>
      <c r="B134" s="28" t="inlineStr">
        <is>
          <t>Andre Santosa</t>
        </is>
      </c>
      <c r="C134" s="28" t="inlineStr">
        <is>
          <t>Engineering</t>
        </is>
      </c>
      <c r="H134" s="15" t="inlineStr">
        <is>
          <t>L</t>
        </is>
      </c>
      <c r="I134" s="28" t="inlineStr">
        <is>
          <t>2NSA1</t>
        </is>
      </c>
      <c r="J134" s="28" t="inlineStr">
        <is>
          <t>Katholik</t>
        </is>
      </c>
    </row>
    <row r="135" ht="15.75" customHeight="1" s="169">
      <c r="A135" s="31" t="n">
        <v>128000010</v>
      </c>
      <c r="B135" s="28" t="inlineStr">
        <is>
          <t>Dendy Saputra</t>
        </is>
      </c>
      <c r="C135" s="28" t="inlineStr">
        <is>
          <t>Production</t>
        </is>
      </c>
      <c r="H135" s="15" t="inlineStr">
        <is>
          <t>L</t>
        </is>
      </c>
      <c r="I135" s="28" t="inlineStr">
        <is>
          <t>4C2</t>
        </is>
      </c>
      <c r="J135" s="28" t="inlineStr">
        <is>
          <t>Islam</t>
        </is>
      </c>
    </row>
    <row r="136" ht="15.75" customHeight="1" s="169">
      <c r="A136" s="31" t="n">
        <v>128000013</v>
      </c>
      <c r="B136" s="28" t="inlineStr">
        <is>
          <t>Aminulloh</t>
        </is>
      </c>
      <c r="C136" s="28" t="inlineStr">
        <is>
          <t>Logistic</t>
        </is>
      </c>
      <c r="H136" s="15" t="inlineStr">
        <is>
          <t>L</t>
        </is>
      </c>
      <c r="I136" s="28" t="inlineStr">
        <is>
          <t>1NS1</t>
        </is>
      </c>
      <c r="J136" s="28" t="inlineStr">
        <is>
          <t>Islam</t>
        </is>
      </c>
    </row>
    <row r="137" ht="15.75" customHeight="1" s="169">
      <c r="A137" s="31" t="n">
        <v>128000017</v>
      </c>
      <c r="B137" s="28" t="inlineStr">
        <is>
          <t>Sandi Iswanto</t>
        </is>
      </c>
      <c r="C137" s="28" t="inlineStr">
        <is>
          <t>Quality and Research &amp; Development</t>
        </is>
      </c>
      <c r="H137" s="15" t="inlineStr">
        <is>
          <t>L</t>
        </is>
      </c>
      <c r="I137" s="28" t="inlineStr">
        <is>
          <t>4A2</t>
        </is>
      </c>
      <c r="J137" s="28" t="inlineStr">
        <is>
          <t>Islam</t>
        </is>
      </c>
    </row>
    <row r="138" ht="15.75" customHeight="1" s="169">
      <c r="A138" s="31" t="n">
        <v>128000019</v>
      </c>
      <c r="B138" s="28" t="inlineStr">
        <is>
          <t>Yeni Ferianto</t>
        </is>
      </c>
      <c r="C138" s="28" t="inlineStr">
        <is>
          <t>Quality and Research &amp; Development</t>
        </is>
      </c>
      <c r="H138" s="15" t="inlineStr">
        <is>
          <t>L</t>
        </is>
      </c>
      <c r="I138" s="28" t="inlineStr">
        <is>
          <t>4D2</t>
        </is>
      </c>
      <c r="J138" s="28" t="inlineStr">
        <is>
          <t>Islam</t>
        </is>
      </c>
    </row>
    <row r="139" ht="15.75" customHeight="1" s="169">
      <c r="A139" s="31" t="n">
        <v>128000022</v>
      </c>
      <c r="B139" s="28" t="inlineStr">
        <is>
          <t>Hendra Setiawan</t>
        </is>
      </c>
      <c r="C139" s="28" t="inlineStr">
        <is>
          <t>Production</t>
        </is>
      </c>
      <c r="H139" s="15" t="inlineStr">
        <is>
          <t>L</t>
        </is>
      </c>
      <c r="I139" s="28" t="inlineStr">
        <is>
          <t>1NS1</t>
        </is>
      </c>
      <c r="J139" s="28" t="inlineStr">
        <is>
          <t>Islam</t>
        </is>
      </c>
    </row>
    <row r="140" ht="15.75" customHeight="1" s="169">
      <c r="A140" s="31" t="n">
        <v>128000023</v>
      </c>
      <c r="B140" s="28" t="inlineStr">
        <is>
          <t>Iman Muaimin</t>
        </is>
      </c>
      <c r="C140" s="28" t="inlineStr">
        <is>
          <t>Logistic</t>
        </is>
      </c>
      <c r="H140" s="15" t="inlineStr">
        <is>
          <t>L</t>
        </is>
      </c>
      <c r="I140" s="28" t="inlineStr">
        <is>
          <t>1NS1</t>
        </is>
      </c>
      <c r="J140" s="28" t="inlineStr">
        <is>
          <t>Islam</t>
        </is>
      </c>
    </row>
    <row r="141" ht="15.75" customHeight="1" s="169">
      <c r="A141" s="31" t="n">
        <v>128000024</v>
      </c>
      <c r="B141" s="28" t="inlineStr">
        <is>
          <t>Taufik Faturochman</t>
        </is>
      </c>
      <c r="C141" s="28" t="inlineStr">
        <is>
          <t>Logistic</t>
        </is>
      </c>
      <c r="H141" s="15" t="inlineStr">
        <is>
          <t>L</t>
        </is>
      </c>
      <c r="I141" s="28" t="inlineStr">
        <is>
          <t>1NS1</t>
        </is>
      </c>
      <c r="J141" s="28" t="inlineStr">
        <is>
          <t>Islam</t>
        </is>
      </c>
    </row>
    <row r="142" ht="15.75" customHeight="1" s="169">
      <c r="A142" s="31" t="n">
        <v>128000027</v>
      </c>
      <c r="B142" s="28" t="inlineStr">
        <is>
          <t>Gembong Hagung Harsanto</t>
        </is>
      </c>
      <c r="C142" s="28" t="inlineStr">
        <is>
          <t>Engineering</t>
        </is>
      </c>
      <c r="H142" s="15" t="inlineStr">
        <is>
          <t>L</t>
        </is>
      </c>
      <c r="I142" s="28" t="inlineStr">
        <is>
          <t>1NS1</t>
        </is>
      </c>
      <c r="J142" s="28" t="inlineStr">
        <is>
          <t>Islam</t>
        </is>
      </c>
    </row>
    <row r="143" ht="15.75" customHeight="1" s="169">
      <c r="A143" s="31" t="n">
        <v>128000029</v>
      </c>
      <c r="B143" s="28" t="inlineStr">
        <is>
          <t>Angga Setyawan</t>
        </is>
      </c>
      <c r="C143" s="28" t="inlineStr">
        <is>
          <t>Production</t>
        </is>
      </c>
      <c r="H143" s="15" t="inlineStr">
        <is>
          <t>L</t>
        </is>
      </c>
      <c r="I143" s="28" t="inlineStr">
        <is>
          <t>4C2</t>
        </is>
      </c>
      <c r="J143" s="28" t="inlineStr">
        <is>
          <t>Islam</t>
        </is>
      </c>
    </row>
    <row r="144" ht="15.75" customHeight="1" s="169">
      <c r="A144" s="31" t="n">
        <v>128000030</v>
      </c>
      <c r="B144" s="28" t="inlineStr">
        <is>
          <t>Kelik Aji Sambudi</t>
        </is>
      </c>
      <c r="C144" s="28" t="inlineStr">
        <is>
          <t>Production</t>
        </is>
      </c>
      <c r="H144" s="15" t="inlineStr">
        <is>
          <t>L</t>
        </is>
      </c>
      <c r="I144" s="28" t="inlineStr">
        <is>
          <t>4B2</t>
        </is>
      </c>
      <c r="J144" s="28" t="inlineStr">
        <is>
          <t>Islam</t>
        </is>
      </c>
    </row>
    <row r="145" ht="15.75" customHeight="1" s="169">
      <c r="A145" s="31" t="n">
        <v>128000031</v>
      </c>
      <c r="B145" s="28" t="inlineStr">
        <is>
          <t>Abdu Fuad Arrazy</t>
        </is>
      </c>
      <c r="C145" s="28" t="inlineStr">
        <is>
          <t>Production</t>
        </is>
      </c>
      <c r="H145" s="15" t="inlineStr">
        <is>
          <t>L</t>
        </is>
      </c>
      <c r="I145" s="28" t="inlineStr">
        <is>
          <t>4A2</t>
        </is>
      </c>
      <c r="J145" s="28" t="inlineStr">
        <is>
          <t>Islam</t>
        </is>
      </c>
    </row>
    <row r="146" ht="15.75" customHeight="1" s="169">
      <c r="A146" s="31" t="n">
        <v>128000032</v>
      </c>
      <c r="B146" s="28" t="inlineStr">
        <is>
          <t>Ardi Akbar Rian Saputra</t>
        </is>
      </c>
      <c r="C146" s="28" t="inlineStr">
        <is>
          <t>Engineering</t>
        </is>
      </c>
      <c r="H146" s="15" t="inlineStr">
        <is>
          <t>L</t>
        </is>
      </c>
      <c r="I146" s="28" t="inlineStr">
        <is>
          <t>1NS1</t>
        </is>
      </c>
      <c r="J146" s="28" t="inlineStr">
        <is>
          <t>Islam</t>
        </is>
      </c>
    </row>
    <row r="147" ht="15.75" customHeight="1" s="169">
      <c r="A147" s="31" t="n">
        <v>128000033</v>
      </c>
      <c r="B147" s="28" t="inlineStr">
        <is>
          <t>Susep Triwibowo</t>
        </is>
      </c>
      <c r="C147" s="28" t="inlineStr">
        <is>
          <t>Engineering</t>
        </is>
      </c>
      <c r="H147" s="15" t="inlineStr">
        <is>
          <t>L</t>
        </is>
      </c>
      <c r="I147" s="28" t="inlineStr">
        <is>
          <t>4D2</t>
        </is>
      </c>
      <c r="J147" s="28" t="inlineStr">
        <is>
          <t>Islam</t>
        </is>
      </c>
    </row>
    <row r="148" ht="15.75" customHeight="1" s="169">
      <c r="A148" s="31" t="n">
        <v>128000034</v>
      </c>
      <c r="B148" s="28" t="inlineStr">
        <is>
          <t>Antonius Cahyo Novianto</t>
        </is>
      </c>
      <c r="C148" s="28" t="inlineStr">
        <is>
          <t>Quality and Research &amp; Development</t>
        </is>
      </c>
      <c r="H148" s="15" t="inlineStr">
        <is>
          <t>L</t>
        </is>
      </c>
      <c r="I148" s="28" t="inlineStr">
        <is>
          <t>1NS1</t>
        </is>
      </c>
      <c r="J148" s="28" t="inlineStr">
        <is>
          <t>Katholik</t>
        </is>
      </c>
    </row>
    <row r="149" ht="15.75" customHeight="1" s="169">
      <c r="A149" s="31" t="n">
        <v>128000035</v>
      </c>
      <c r="B149" s="28" t="inlineStr">
        <is>
          <t>Sarino Suprianto</t>
        </is>
      </c>
      <c r="C149" s="28" t="inlineStr">
        <is>
          <t>Logistic</t>
        </is>
      </c>
      <c r="H149" s="15" t="inlineStr">
        <is>
          <t>L</t>
        </is>
      </c>
      <c r="I149" s="28" t="inlineStr">
        <is>
          <t>1NS1</t>
        </is>
      </c>
      <c r="J149" s="28" t="inlineStr">
        <is>
          <t>Islam</t>
        </is>
      </c>
    </row>
    <row r="150" ht="15.75" customHeight="1" s="169">
      <c r="A150" s="31" t="n">
        <v>128000036</v>
      </c>
      <c r="B150" s="28" t="inlineStr">
        <is>
          <t>Novan Satyawardhana</t>
        </is>
      </c>
      <c r="C150" s="28" t="inlineStr">
        <is>
          <t>Engineering</t>
        </is>
      </c>
      <c r="H150" s="15" t="inlineStr">
        <is>
          <t>L</t>
        </is>
      </c>
      <c r="I150" s="28" t="inlineStr">
        <is>
          <t>4A2</t>
        </is>
      </c>
      <c r="J150" s="28" t="inlineStr">
        <is>
          <t>Islam</t>
        </is>
      </c>
    </row>
    <row r="151" ht="15.75" customHeight="1" s="169">
      <c r="A151" s="31" t="n">
        <v>128000039</v>
      </c>
      <c r="B151" s="28" t="inlineStr">
        <is>
          <t>Saka Marga Redi</t>
        </is>
      </c>
      <c r="C151" s="28" t="inlineStr">
        <is>
          <t>Production</t>
        </is>
      </c>
      <c r="H151" s="15" t="inlineStr">
        <is>
          <t>L</t>
        </is>
      </c>
      <c r="I151" s="28" t="inlineStr">
        <is>
          <t>3GSPRD2</t>
        </is>
      </c>
      <c r="J151" s="28" t="inlineStr">
        <is>
          <t>Islam</t>
        </is>
      </c>
    </row>
    <row r="152" ht="15.75" customHeight="1" s="169">
      <c r="A152" s="31" t="n">
        <v>128000040</v>
      </c>
      <c r="B152" s="28" t="inlineStr">
        <is>
          <t>Gilang Anugerah Hernanda</t>
        </is>
      </c>
      <c r="C152" s="28" t="inlineStr">
        <is>
          <t>Production</t>
        </is>
      </c>
      <c r="H152" s="15" t="inlineStr">
        <is>
          <t>L</t>
        </is>
      </c>
      <c r="I152" s="28" t="inlineStr">
        <is>
          <t>3GSPRD1</t>
        </is>
      </c>
      <c r="J152" s="28" t="inlineStr">
        <is>
          <t>Islam</t>
        </is>
      </c>
    </row>
    <row r="153" ht="15.75" customHeight="1" s="169">
      <c r="A153" s="31" t="n">
        <v>128000041</v>
      </c>
      <c r="B153" s="28" t="inlineStr">
        <is>
          <t>Alief Akbar Rafsanzani</t>
        </is>
      </c>
      <c r="C153" s="28" t="inlineStr">
        <is>
          <t>Production</t>
        </is>
      </c>
      <c r="H153" s="15" t="inlineStr">
        <is>
          <t>L</t>
        </is>
      </c>
      <c r="I153" s="28" t="inlineStr">
        <is>
          <t>4D2</t>
        </is>
      </c>
      <c r="J153" s="28" t="inlineStr">
        <is>
          <t>Islam</t>
        </is>
      </c>
    </row>
    <row r="154" ht="15.75" customHeight="1" s="169">
      <c r="A154" s="31" t="n">
        <v>128000042</v>
      </c>
      <c r="B154" s="28" t="inlineStr">
        <is>
          <t>Ahmad Afrizal</t>
        </is>
      </c>
      <c r="C154" s="28" t="inlineStr">
        <is>
          <t>Production</t>
        </is>
      </c>
      <c r="H154" s="15" t="inlineStr">
        <is>
          <t>L</t>
        </is>
      </c>
      <c r="I154" s="28" t="inlineStr">
        <is>
          <t>4A2</t>
        </is>
      </c>
      <c r="J154" s="28" t="inlineStr">
        <is>
          <t>Islam</t>
        </is>
      </c>
    </row>
    <row r="155" ht="15.75" customHeight="1" s="169">
      <c r="A155" s="31" t="n">
        <v>128000043</v>
      </c>
      <c r="B155" s="28" t="inlineStr">
        <is>
          <t>Muhammad Rival Firdaus</t>
        </is>
      </c>
      <c r="C155" s="28" t="inlineStr">
        <is>
          <t>Quality and Research &amp; Development</t>
        </is>
      </c>
      <c r="H155" s="15" t="inlineStr">
        <is>
          <t>L</t>
        </is>
      </c>
      <c r="I155" s="28" t="inlineStr">
        <is>
          <t>4B2</t>
        </is>
      </c>
      <c r="J155" s="28" t="inlineStr">
        <is>
          <t>Islam</t>
        </is>
      </c>
    </row>
    <row r="156" ht="15.75" customHeight="1" s="169">
      <c r="A156" s="31" t="n">
        <v>128000049</v>
      </c>
      <c r="B156" s="28" t="inlineStr">
        <is>
          <t>Ragil Febriansyah</t>
        </is>
      </c>
      <c r="C156" s="28" t="inlineStr">
        <is>
          <t>Engineering</t>
        </is>
      </c>
      <c r="H156" s="15" t="inlineStr">
        <is>
          <t>L</t>
        </is>
      </c>
      <c r="I156" s="28" t="inlineStr">
        <is>
          <t>1NS1</t>
        </is>
      </c>
      <c r="J156" s="28" t="inlineStr">
        <is>
          <t>Islam</t>
        </is>
      </c>
    </row>
    <row r="157" ht="15.75" customHeight="1" s="169">
      <c r="A157" s="31" t="n">
        <v>128000056</v>
      </c>
      <c r="B157" s="28" t="inlineStr">
        <is>
          <t>Syahrul Naufal Kurnia</t>
        </is>
      </c>
      <c r="C157" s="28" t="inlineStr">
        <is>
          <t>HRD &amp; GA</t>
        </is>
      </c>
      <c r="H157" s="15" t="inlineStr">
        <is>
          <t>L</t>
        </is>
      </c>
      <c r="I157" s="28" t="inlineStr">
        <is>
          <t>1NS1</t>
        </is>
      </c>
      <c r="J157" s="28" t="inlineStr">
        <is>
          <t>Islam</t>
        </is>
      </c>
    </row>
    <row r="158" ht="15.75" customHeight="1" s="169">
      <c r="A158" s="31" t="n">
        <v>128000057</v>
      </c>
      <c r="B158" s="28" t="inlineStr">
        <is>
          <t>Taufik Hidayatulloh</t>
        </is>
      </c>
      <c r="C158" s="28" t="inlineStr">
        <is>
          <t>Engineering</t>
        </is>
      </c>
      <c r="H158" s="15" t="inlineStr">
        <is>
          <t>L</t>
        </is>
      </c>
      <c r="I158" s="28" t="inlineStr">
        <is>
          <t>1NS1</t>
        </is>
      </c>
      <c r="J158" s="28" t="inlineStr">
        <is>
          <t>Islam</t>
        </is>
      </c>
    </row>
    <row r="159" ht="15.75" customHeight="1" s="169">
      <c r="A159" s="31" t="n">
        <v>128000059</v>
      </c>
      <c r="B159" s="28" t="inlineStr">
        <is>
          <t>Muhamad Maftuh Ihsan</t>
        </is>
      </c>
      <c r="C159" s="28" t="inlineStr">
        <is>
          <t>Engineering</t>
        </is>
      </c>
      <c r="H159" s="15" t="inlineStr">
        <is>
          <t>L</t>
        </is>
      </c>
      <c r="I159" s="28" t="inlineStr">
        <is>
          <t>1NS1</t>
        </is>
      </c>
      <c r="J159" s="28" t="inlineStr">
        <is>
          <t>Islam</t>
        </is>
      </c>
    </row>
    <row r="160" ht="15.75" customHeight="1" s="169">
      <c r="A160" s="31" t="n">
        <v>128000063</v>
      </c>
      <c r="B160" s="28" t="inlineStr">
        <is>
          <t>Reynaldi Pratama</t>
        </is>
      </c>
      <c r="C160" s="28" t="inlineStr">
        <is>
          <t>Engineering</t>
        </is>
      </c>
      <c r="H160" s="15" t="inlineStr">
        <is>
          <t>L</t>
        </is>
      </c>
      <c r="I160" s="28" t="inlineStr">
        <is>
          <t>4B2</t>
        </is>
      </c>
      <c r="J160" s="28" t="inlineStr">
        <is>
          <t>Islam</t>
        </is>
      </c>
    </row>
    <row r="161" ht="15.75" customHeight="1" s="169">
      <c r="A161" s="31" t="n">
        <v>128000064</v>
      </c>
      <c r="B161" s="28" t="inlineStr">
        <is>
          <t>Toni Kurniawan</t>
        </is>
      </c>
      <c r="C161" s="28" t="inlineStr">
        <is>
          <t>Engineering</t>
        </is>
      </c>
      <c r="H161" s="15" t="inlineStr">
        <is>
          <t>L</t>
        </is>
      </c>
      <c r="I161" s="28" t="inlineStr">
        <is>
          <t>4C2</t>
        </is>
      </c>
      <c r="J161" s="28" t="inlineStr">
        <is>
          <t>Islam</t>
        </is>
      </c>
    </row>
    <row r="162" ht="15.75" customHeight="1" s="169">
      <c r="A162" s="138" t="n">
        <v>128000067</v>
      </c>
      <c r="B162" s="139" t="inlineStr">
        <is>
          <t>Adi Iswanto</t>
        </is>
      </c>
      <c r="C162" s="139" t="inlineStr">
        <is>
          <t>Manufacture Excellence</t>
        </is>
      </c>
      <c r="H162" s="15" t="inlineStr">
        <is>
          <t>L</t>
        </is>
      </c>
      <c r="I162" s="28" t="inlineStr">
        <is>
          <t>1NS1</t>
        </is>
      </c>
      <c r="J162" s="28" t="inlineStr">
        <is>
          <t>Islam</t>
        </is>
      </c>
    </row>
    <row r="163" ht="15.75" customHeight="1" s="169">
      <c r="A163" s="138" t="n">
        <v>128000068</v>
      </c>
      <c r="B163" s="139" t="inlineStr">
        <is>
          <t>Irnando Arkadiantika</t>
        </is>
      </c>
      <c r="C163" s="139" t="inlineStr">
        <is>
          <t>Logistic</t>
        </is>
      </c>
      <c r="H163" s="15" t="inlineStr">
        <is>
          <t>L</t>
        </is>
      </c>
      <c r="I163" s="28" t="inlineStr">
        <is>
          <t>2LOG2G2S</t>
        </is>
      </c>
      <c r="J163" s="28" t="inlineStr">
        <is>
          <t>Islam</t>
        </is>
      </c>
    </row>
    <row r="164" ht="15.75" customHeight="1" s="169">
      <c r="A164" s="31" t="n">
        <v>128000070</v>
      </c>
      <c r="B164" s="28" t="inlineStr">
        <is>
          <t>Bey Muhammad</t>
        </is>
      </c>
      <c r="C164" s="28" t="inlineStr">
        <is>
          <t>Production</t>
        </is>
      </c>
      <c r="H164" s="15" t="inlineStr">
        <is>
          <t>L</t>
        </is>
      </c>
      <c r="I164" s="28" t="inlineStr">
        <is>
          <t>3GSPRD3</t>
        </is>
      </c>
      <c r="J164" s="28" t="inlineStr">
        <is>
          <t>Islam</t>
        </is>
      </c>
    </row>
    <row r="165" ht="15.75" customHeight="1" s="169">
      <c r="A165" s="140" t="n">
        <v>128000073</v>
      </c>
      <c r="B165" s="141" t="inlineStr">
        <is>
          <t>Rahandi Ardiansyah</t>
        </is>
      </c>
      <c r="C165" s="141" t="inlineStr">
        <is>
          <t>Logistic</t>
        </is>
      </c>
      <c r="H165" s="15" t="inlineStr">
        <is>
          <t>L</t>
        </is>
      </c>
      <c r="I165" s="28" t="inlineStr">
        <is>
          <t>1LOG2G2S</t>
        </is>
      </c>
      <c r="J165" s="28" t="inlineStr">
        <is>
          <t>Islam</t>
        </is>
      </c>
    </row>
    <row r="166" ht="15.75" customHeight="1" s="169">
      <c r="A166" s="31" t="n">
        <v>128000076</v>
      </c>
      <c r="B166" s="28" t="inlineStr">
        <is>
          <t>Asep Prasetyo</t>
        </is>
      </c>
      <c r="C166" s="28" t="inlineStr">
        <is>
          <t>HRD &amp; GA</t>
        </is>
      </c>
      <c r="H166" s="15" t="inlineStr">
        <is>
          <t>L</t>
        </is>
      </c>
      <c r="I166" s="28" t="inlineStr">
        <is>
          <t>1NS1</t>
        </is>
      </c>
      <c r="J166" s="28" t="inlineStr">
        <is>
          <t>Islam</t>
        </is>
      </c>
    </row>
    <row r="167" ht="15.75" customHeight="1" s="169">
      <c r="A167" s="31" t="n">
        <v>128000078</v>
      </c>
      <c r="B167" s="28" t="inlineStr">
        <is>
          <t>Andi Widiawanto</t>
        </is>
      </c>
      <c r="C167" s="28" t="inlineStr">
        <is>
          <t>Logistic</t>
        </is>
      </c>
      <c r="H167" s="15" t="inlineStr">
        <is>
          <t>L</t>
        </is>
      </c>
      <c r="I167" s="28" t="inlineStr">
        <is>
          <t>1NS1</t>
        </is>
      </c>
      <c r="J167" s="28" t="inlineStr">
        <is>
          <t>Islam</t>
        </is>
      </c>
    </row>
    <row r="168" ht="15.75" customHeight="1" s="169">
      <c r="A168" s="31" t="n">
        <v>128000079</v>
      </c>
      <c r="B168" s="28" t="inlineStr">
        <is>
          <t>Rokhimin</t>
        </is>
      </c>
      <c r="C168" s="28" t="inlineStr">
        <is>
          <t>Production</t>
        </is>
      </c>
      <c r="H168" s="15" t="inlineStr">
        <is>
          <t>L</t>
        </is>
      </c>
      <c r="I168" s="28" t="inlineStr">
        <is>
          <t>4D2</t>
        </is>
      </c>
      <c r="J168" s="28" t="inlineStr">
        <is>
          <t>Islam</t>
        </is>
      </c>
    </row>
    <row r="169" ht="15.75" customHeight="1" s="169">
      <c r="A169" s="31" t="n">
        <v>128000082</v>
      </c>
      <c r="B169" s="28" t="inlineStr">
        <is>
          <t>Fathurrahman Himra</t>
        </is>
      </c>
      <c r="C169" s="28" t="inlineStr">
        <is>
          <t>Production</t>
        </is>
      </c>
      <c r="H169" s="15" t="inlineStr">
        <is>
          <t>L</t>
        </is>
      </c>
      <c r="I169" s="28" t="inlineStr">
        <is>
          <t>4B2</t>
        </is>
      </c>
      <c r="J169" s="28" t="inlineStr">
        <is>
          <t>Islam</t>
        </is>
      </c>
    </row>
    <row r="170" ht="15.75" customHeight="1" s="169">
      <c r="A170" s="31" t="n">
        <v>128000086</v>
      </c>
      <c r="B170" s="28" t="inlineStr">
        <is>
          <t>I Wayan Gede Widyantara</t>
        </is>
      </c>
      <c r="C170" s="28" t="inlineStr">
        <is>
          <t>Engineering</t>
        </is>
      </c>
      <c r="H170" s="15" t="inlineStr">
        <is>
          <t>L</t>
        </is>
      </c>
      <c r="I170" s="28" t="inlineStr">
        <is>
          <t>1NS1</t>
        </is>
      </c>
      <c r="J170" s="28" t="inlineStr">
        <is>
          <t>Hindu</t>
        </is>
      </c>
    </row>
    <row r="171" ht="15.75" customHeight="1" s="169">
      <c r="A171" s="31" t="n">
        <v>128000088</v>
      </c>
      <c r="B171" s="28" t="inlineStr">
        <is>
          <t>Tyas Muhammad Hafizh</t>
        </is>
      </c>
      <c r="C171" s="28" t="inlineStr">
        <is>
          <t>Production</t>
        </is>
      </c>
      <c r="H171" s="15" t="inlineStr">
        <is>
          <t>L</t>
        </is>
      </c>
      <c r="I171" s="28" t="inlineStr">
        <is>
          <t>4A2</t>
        </is>
      </c>
      <c r="J171" s="28" t="inlineStr">
        <is>
          <t>Islam</t>
        </is>
      </c>
    </row>
    <row r="172" ht="15.75" customHeight="1" s="169">
      <c r="A172" s="31" t="n">
        <v>128000089</v>
      </c>
      <c r="B172" s="28" t="inlineStr">
        <is>
          <t>Alvin Rizhaldi</t>
        </is>
      </c>
      <c r="C172" s="28" t="inlineStr">
        <is>
          <t>Engineering</t>
        </is>
      </c>
      <c r="H172" s="15" t="inlineStr">
        <is>
          <t>L</t>
        </is>
      </c>
      <c r="I172" s="28" t="inlineStr">
        <is>
          <t>4D2</t>
        </is>
      </c>
      <c r="J172" s="28" t="inlineStr">
        <is>
          <t>Islam</t>
        </is>
      </c>
    </row>
    <row r="173" ht="15.75" customHeight="1" s="169">
      <c r="A173" s="31" t="n">
        <v>128000090</v>
      </c>
      <c r="B173" s="28" t="inlineStr">
        <is>
          <t>Ryandra Diotama Subagja</t>
        </is>
      </c>
      <c r="C173" s="28" t="inlineStr">
        <is>
          <t>Production</t>
        </is>
      </c>
      <c r="H173" s="15" t="inlineStr">
        <is>
          <t>L</t>
        </is>
      </c>
      <c r="I173" s="28" t="inlineStr">
        <is>
          <t>4D2</t>
        </is>
      </c>
      <c r="J173" s="28" t="inlineStr">
        <is>
          <t>Islam</t>
        </is>
      </c>
    </row>
    <row r="174" ht="15.75" customHeight="1" s="169">
      <c r="A174" s="31" t="n">
        <v>128000091</v>
      </c>
      <c r="B174" s="28" t="inlineStr">
        <is>
          <t>Dava Raihan Pranoto</t>
        </is>
      </c>
      <c r="C174" s="28" t="inlineStr">
        <is>
          <t>Production</t>
        </is>
      </c>
      <c r="H174" s="15" t="inlineStr">
        <is>
          <t>L</t>
        </is>
      </c>
      <c r="I174" s="28" t="inlineStr">
        <is>
          <t>4C2</t>
        </is>
      </c>
      <c r="J174" s="28" t="inlineStr">
        <is>
          <t>Islam</t>
        </is>
      </c>
    </row>
    <row r="175" ht="15.75" customHeight="1" s="169">
      <c r="A175" s="31" t="n">
        <v>128000093</v>
      </c>
      <c r="B175" s="28" t="inlineStr">
        <is>
          <t>Muhammad Ilhamdi Akbar</t>
        </is>
      </c>
      <c r="C175" s="28" t="inlineStr">
        <is>
          <t>Engineering</t>
        </is>
      </c>
      <c r="H175" s="15" t="inlineStr">
        <is>
          <t>L</t>
        </is>
      </c>
      <c r="I175" s="28" t="inlineStr">
        <is>
          <t>1NS1</t>
        </is>
      </c>
      <c r="J175" s="28" t="inlineStr">
        <is>
          <t>Islam</t>
        </is>
      </c>
    </row>
    <row r="176" ht="15.75" customHeight="1" s="169">
      <c r="A176" s="31" t="n">
        <v>128000095</v>
      </c>
      <c r="B176" s="28" t="inlineStr">
        <is>
          <t>Ferdiansyah Dwi Pratama</t>
        </is>
      </c>
      <c r="C176" s="28" t="inlineStr">
        <is>
          <t>Engineering</t>
        </is>
      </c>
      <c r="H176" s="15" t="inlineStr">
        <is>
          <t>L</t>
        </is>
      </c>
      <c r="I176" s="28" t="inlineStr">
        <is>
          <t>1NS1</t>
        </is>
      </c>
      <c r="J176" s="28" t="inlineStr">
        <is>
          <t>Islam</t>
        </is>
      </c>
    </row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autoFilter ref="$A$1:$Y$17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169" min="1" max="6"/>
  </cols>
  <sheetData>
    <row r="1" ht="15.75" customHeight="1" s="169"/>
    <row r="2" ht="15.75" customHeight="1" s="169"/>
    <row r="3" ht="15.75" customHeight="1" s="169"/>
    <row r="4" ht="15.75" customHeight="1" s="169"/>
    <row r="5" ht="15.75" customHeight="1" s="169"/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AH26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9" min="1" max="6"/>
  </cols>
  <sheetData>
    <row r="1" ht="15.75" customHeight="1" s="169">
      <c r="A1" s="100" t="inlineStr">
        <is>
          <t>No.</t>
        </is>
      </c>
      <c r="B1" s="100" t="inlineStr">
        <is>
          <t>NIK</t>
        </is>
      </c>
      <c r="C1" s="101" t="inlineStr">
        <is>
          <t>NO KTP</t>
        </is>
      </c>
      <c r="D1" s="100" t="inlineStr">
        <is>
          <t>Nama (sesuai KTP)</t>
        </is>
      </c>
      <c r="E1" s="102" t="n"/>
      <c r="F1" s="103" t="inlineStr">
        <is>
          <t>Sourcing Via</t>
        </is>
      </c>
      <c r="G1" s="178" t="n"/>
      <c r="H1" s="178" t="n"/>
      <c r="I1" s="105" t="n"/>
      <c r="J1" s="100" t="inlineStr">
        <is>
          <t>Usia</t>
        </is>
      </c>
      <c r="K1" s="100" t="inlineStr">
        <is>
          <t>Jenis Kelamin</t>
        </is>
      </c>
      <c r="L1" s="100" t="inlineStr">
        <is>
          <t>Bagian</t>
        </is>
      </c>
      <c r="M1" s="100" t="inlineStr">
        <is>
          <t>Group</t>
        </is>
      </c>
      <c r="N1" s="100" t="inlineStr">
        <is>
          <t>DEPT</t>
        </is>
      </c>
      <c r="O1" s="100" t="inlineStr">
        <is>
          <t>Jabatan</t>
        </is>
      </c>
      <c r="P1" s="100" t="inlineStr">
        <is>
          <t>Harian / Borongan</t>
        </is>
      </c>
      <c r="Q1" s="100" t="inlineStr">
        <is>
          <t>Alamat KTP</t>
        </is>
      </c>
      <c r="R1" s="178" t="n"/>
      <c r="S1" s="178" t="n"/>
      <c r="T1" s="178" t="n"/>
      <c r="U1" s="178" t="n"/>
      <c r="V1" s="178" t="n"/>
      <c r="W1" s="172" t="n"/>
      <c r="X1" s="100" t="inlineStr">
        <is>
          <t>Alamat Domisili</t>
        </is>
      </c>
      <c r="Y1" s="100" t="inlineStr">
        <is>
          <t>No. Telepon/ No. HP</t>
        </is>
      </c>
      <c r="Z1" s="100" t="inlineStr">
        <is>
          <t>Agama</t>
        </is>
      </c>
      <c r="AA1" s="100" t="inlineStr">
        <is>
          <t>Pendidikan</t>
        </is>
      </c>
      <c r="AB1" s="110" t="n"/>
      <c r="AC1" s="179" t="inlineStr">
        <is>
          <t>No.</t>
        </is>
      </c>
      <c r="AD1" s="180" t="inlineStr">
        <is>
          <t>NIK</t>
        </is>
      </c>
      <c r="AE1" s="181" t="inlineStr">
        <is>
          <t>Nama (sesuai KTP)</t>
        </is>
      </c>
      <c r="AF1" s="179" t="inlineStr">
        <is>
          <t>DEPT</t>
        </is>
      </c>
      <c r="AG1" s="182" t="inlineStr">
        <is>
          <t>NO. KPJ</t>
        </is>
      </c>
      <c r="AH1" s="179" t="inlineStr">
        <is>
          <t>NO. BPJS</t>
        </is>
      </c>
    </row>
    <row r="2" ht="15.75" customHeight="1" s="169">
      <c r="A2" s="115" t="n"/>
      <c r="B2" s="115" t="n"/>
      <c r="C2" s="116" t="n"/>
      <c r="D2" s="115" t="n"/>
      <c r="E2" s="100" t="inlineStr">
        <is>
          <t>Tempat</t>
        </is>
      </c>
      <c r="F2" s="117" t="inlineStr">
        <is>
          <t>Join Via</t>
        </is>
      </c>
      <c r="G2" s="117" t="inlineStr">
        <is>
          <t>Referensi</t>
        </is>
      </c>
      <c r="H2" s="118" t="inlineStr">
        <is>
          <t>Notes</t>
        </is>
      </c>
      <c r="I2" s="100" t="inlineStr">
        <is>
          <t>Tanggal</t>
        </is>
      </c>
      <c r="J2" s="115" t="n"/>
      <c r="K2" s="115" t="n"/>
      <c r="L2" s="115" t="n"/>
      <c r="M2" s="115" t="n"/>
      <c r="N2" s="115" t="n"/>
      <c r="O2" s="115" t="n"/>
      <c r="P2" s="115" t="n"/>
      <c r="Q2" s="100" t="inlineStr">
        <is>
          <t>Alamat KTP</t>
        </is>
      </c>
      <c r="R2" s="100" t="inlineStr">
        <is>
          <t>RT</t>
        </is>
      </c>
      <c r="S2" s="100" t="inlineStr">
        <is>
          <t>RW</t>
        </is>
      </c>
      <c r="T2" s="100" t="inlineStr">
        <is>
          <t>Kode Pos</t>
        </is>
      </c>
      <c r="U2" s="100" t="inlineStr">
        <is>
          <t>Kec</t>
        </is>
      </c>
      <c r="V2" s="100" t="inlineStr">
        <is>
          <t>Desa</t>
        </is>
      </c>
      <c r="W2" s="100" t="inlineStr">
        <is>
          <t>Kabupaten</t>
        </is>
      </c>
      <c r="X2" s="115" t="n"/>
      <c r="Y2" s="115" t="n"/>
      <c r="Z2" s="115" t="n"/>
      <c r="AA2" s="115" t="n"/>
      <c r="AB2" s="119" t="n"/>
      <c r="AC2" s="183" t="n"/>
      <c r="AD2" s="184" t="n"/>
      <c r="AE2" s="184" t="n"/>
      <c r="AF2" s="183" t="n"/>
      <c r="AG2" s="183" t="n"/>
      <c r="AH2" s="183" t="n"/>
    </row>
    <row r="3" ht="15.75" customHeight="1" s="169">
      <c r="A3" s="122" t="n">
        <v>1</v>
      </c>
      <c r="B3" s="123" t="n">
        <v>328000001</v>
      </c>
      <c r="C3" s="122" t="inlineStr">
        <is>
          <t>3214031208980001</t>
        </is>
      </c>
      <c r="D3" s="124" t="inlineStr">
        <is>
          <t>RIO GUSTIAWAN</t>
        </is>
      </c>
      <c r="E3" s="122" t="inlineStr">
        <is>
          <t>PURWAKARTA</t>
        </is>
      </c>
      <c r="F3" s="125" t="inlineStr">
        <is>
          <t>LINK</t>
        </is>
      </c>
      <c r="G3" s="96" t="n"/>
      <c r="H3" s="125" t="inlineStr">
        <is>
          <t>PT KMJ</t>
        </is>
      </c>
      <c r="I3" s="127" t="n">
        <v>36019</v>
      </c>
      <c r="J3" s="128">
        <f>DATEDIF(I3, TODAY(), "Y") &amp; " tahun, " &amp; DATEDIF(I3, TODAY(), "YM") &amp; " bulan, " &amp; DATEDIF(I3, TODAY(), "MD") &amp; " hari"
</f>
        <v/>
      </c>
      <c r="K3" s="122" t="inlineStr">
        <is>
          <t>L</t>
        </is>
      </c>
      <c r="L3" s="122" t="inlineStr">
        <is>
          <t>ELEKTRIKAL</t>
        </is>
      </c>
      <c r="M3" s="122">
        <f>VLOOKUP(B3,Sheet21!A:N,14,0)</f>
        <v/>
      </c>
      <c r="N3" s="129" t="inlineStr">
        <is>
          <t>ENG</t>
        </is>
      </c>
      <c r="O3" s="122" t="inlineStr">
        <is>
          <t>Utility, Electricity &amp; MHE Maintenance</t>
        </is>
      </c>
      <c r="P3" s="122" t="inlineStr">
        <is>
          <t>HARIAN</t>
        </is>
      </c>
      <c r="Q3" s="130" t="inlineStr">
        <is>
          <t>JL KP. BATULAYANG, RT/RW: 006/001, KEL:CIKAOBANDUNG, KEC:JATILUHUR, KAB: PURWAKARTA</t>
        </is>
      </c>
      <c r="R3" s="122" t="n">
        <v>6</v>
      </c>
      <c r="S3" s="122" t="n">
        <v>1</v>
      </c>
      <c r="T3" s="122" t="n">
        <v>17425</v>
      </c>
      <c r="U3" s="122" t="inlineStr">
        <is>
          <t>JATILUHUR</t>
        </is>
      </c>
      <c r="V3" s="122" t="inlineStr">
        <is>
          <t>CIKAOBANDUNG</t>
        </is>
      </c>
      <c r="W3" s="122" t="inlineStr">
        <is>
          <t>PURWAKARTA</t>
        </is>
      </c>
      <c r="X3" s="130" t="inlineStr">
        <is>
          <t>JL KP. BATULAYANG, RT/RW: 006/001, KEL:CIKAOBANDUNG, KEC:JATILUHUR, KAB: PURWAKARTA</t>
        </is>
      </c>
      <c r="Y3" s="122" t="n">
        <v>83816355892</v>
      </c>
      <c r="Z3" s="131" t="inlineStr">
        <is>
          <t>ISLAM</t>
        </is>
      </c>
      <c r="AA3" s="122" t="inlineStr">
        <is>
          <t>SMK</t>
        </is>
      </c>
      <c r="AB3" s="132" t="n"/>
      <c r="AC3" s="17" t="n">
        <v>1</v>
      </c>
      <c r="AD3" s="133" t="n">
        <v>328000001</v>
      </c>
      <c r="AE3" s="134" t="inlineStr">
        <is>
          <t>RIO GUSTIAWAN</t>
        </is>
      </c>
      <c r="AF3" s="133" t="inlineStr">
        <is>
          <t>ENGINEERING</t>
        </is>
      </c>
      <c r="AG3" s="135" t="n">
        <v>23108653256</v>
      </c>
      <c r="AH3" s="136" t="n">
        <v>1776133214</v>
      </c>
    </row>
    <row r="4" ht="15.75" customHeight="1" s="169">
      <c r="A4" s="122">
        <f>A3+1</f>
        <v/>
      </c>
      <c r="B4" s="123" t="n">
        <v>328000004</v>
      </c>
      <c r="C4" s="122" t="inlineStr">
        <is>
          <t>3214121203980002</t>
        </is>
      </c>
      <c r="D4" s="124" t="inlineStr">
        <is>
          <t>DANGIS MUNGGARAN</t>
        </is>
      </c>
      <c r="E4" s="122" t="inlineStr">
        <is>
          <t>PURWAKARTA</t>
        </is>
      </c>
      <c r="F4" s="125" t="inlineStr">
        <is>
          <t>SMK 1 PWK</t>
        </is>
      </c>
      <c r="G4" s="96" t="n"/>
      <c r="H4" s="125" t="inlineStr">
        <is>
          <t>SMKN 1 PURWAKARTA</t>
        </is>
      </c>
      <c r="I4" s="127" t="n">
        <v>35866</v>
      </c>
      <c r="J4" s="128">
        <f>DATEDIF(I4, TODAY(), "Y") &amp; " tahun, " &amp; DATEDIF(I4, TODAY(), "YM") &amp; " bulan, " &amp; DATEDIF(I4, TODAY(), "MD") &amp; " hari"
</f>
        <v/>
      </c>
      <c r="K4" s="122" t="inlineStr">
        <is>
          <t>L</t>
        </is>
      </c>
      <c r="L4" s="122" t="inlineStr">
        <is>
          <t>ENGINEERING</t>
        </is>
      </c>
      <c r="M4" s="122">
        <f>VLOOKUP(B4,Sheet21!A:N,14,0)</f>
        <v/>
      </c>
      <c r="N4" s="129" t="inlineStr">
        <is>
          <t>ENG</t>
        </is>
      </c>
      <c r="O4" s="122" t="inlineStr">
        <is>
          <t>Mechanical Machine Maintenance</t>
        </is>
      </c>
      <c r="P4" s="122" t="inlineStr">
        <is>
          <t>HARIAN</t>
        </is>
      </c>
      <c r="Q4" s="130" t="inlineStr">
        <is>
          <t>KP.CISALAK, RT/RW: 016/006, KEL: CILANGKAP, KEC: BABAKANCIKAO, KAB: PURWAKARTA</t>
        </is>
      </c>
      <c r="R4" s="122" t="n">
        <v>16</v>
      </c>
      <c r="S4" s="122" t="n">
        <v>6</v>
      </c>
      <c r="T4" s="137" t="n"/>
      <c r="U4" s="122" t="inlineStr">
        <is>
          <t>BABAKANCIKAO</t>
        </is>
      </c>
      <c r="V4" s="122" t="inlineStr">
        <is>
          <t>CILANGKAP</t>
        </is>
      </c>
      <c r="W4" s="122" t="inlineStr">
        <is>
          <t>PURWAKARTA</t>
        </is>
      </c>
      <c r="X4" s="130" t="inlineStr">
        <is>
          <t>KP.CISALAK, RT/RW: 016/006, KEL: CILANGKAP, KEC: BABAKANCIKAO, KAB: PURWAKARTA</t>
        </is>
      </c>
      <c r="Y4" s="122" t="n">
        <v>81286184053</v>
      </c>
      <c r="Z4" s="131" t="inlineStr">
        <is>
          <t>ISLAM</t>
        </is>
      </c>
      <c r="AA4" s="122" t="inlineStr">
        <is>
          <t>SMK</t>
        </is>
      </c>
      <c r="AB4" s="132" t="n"/>
      <c r="AC4" s="17" t="n">
        <v>2</v>
      </c>
      <c r="AD4" s="133" t="n">
        <v>328000004</v>
      </c>
      <c r="AE4" s="134" t="inlineStr">
        <is>
          <t>DANGIS MUNGGARAN</t>
        </is>
      </c>
      <c r="AF4" s="133" t="inlineStr">
        <is>
          <t>ENGINEERING</t>
        </is>
      </c>
      <c r="AG4" s="135" t="n">
        <v>23145801371</v>
      </c>
      <c r="AH4" s="136" t="n">
        <v>1662733732</v>
      </c>
    </row>
    <row r="5" ht="15.75" customHeight="1" s="169">
      <c r="A5" s="122">
        <f>A4+1</f>
        <v/>
      </c>
      <c r="B5" s="123" t="n">
        <v>328000005</v>
      </c>
      <c r="C5" s="122" t="inlineStr">
        <is>
          <t>3214122203010003</t>
        </is>
      </c>
      <c r="D5" s="124" t="inlineStr">
        <is>
          <t>IRGI FAUZI</t>
        </is>
      </c>
      <c r="E5" s="122" t="inlineStr">
        <is>
          <t>PURWAKARTA</t>
        </is>
      </c>
      <c r="F5" s="125" t="inlineStr">
        <is>
          <t>SMK 1 PWK</t>
        </is>
      </c>
      <c r="G5" s="96" t="n"/>
      <c r="H5" s="125" t="inlineStr">
        <is>
          <t>SMKN 1 PURWAKARTA</t>
        </is>
      </c>
      <c r="I5" s="127" t="n">
        <v>36972</v>
      </c>
      <c r="J5" s="128">
        <f>DATEDIF(I5, TODAY(), "Y") &amp; " tahun, " &amp; DATEDIF(I5, TODAY(), "YM") &amp; " bulan, " &amp; DATEDIF(I5, TODAY(), "MD") &amp; " hari"
</f>
        <v/>
      </c>
      <c r="K5" s="122" t="inlineStr">
        <is>
          <t>L</t>
        </is>
      </c>
      <c r="L5" s="122" t="inlineStr">
        <is>
          <t>ENGINEERING</t>
        </is>
      </c>
      <c r="M5" s="122">
        <f>VLOOKUP(B5,Sheet21!A:N,14,0)</f>
        <v/>
      </c>
      <c r="N5" s="129" t="inlineStr">
        <is>
          <t>ENG</t>
        </is>
      </c>
      <c r="O5" s="122" t="inlineStr">
        <is>
          <t>Machine Maintenance Shift</t>
        </is>
      </c>
      <c r="P5" s="122" t="inlineStr">
        <is>
          <t>HARIAN</t>
        </is>
      </c>
      <c r="Q5" s="130" t="inlineStr">
        <is>
          <t>KP. WARUNG BUAH, RT/RW 015/006, KEL: HEGARMANAH, KEC: BABAKANCIKAO, KAB: PURWAKARTA</t>
        </is>
      </c>
      <c r="R5" s="122" t="n">
        <v>15</v>
      </c>
      <c r="S5" s="122" t="n">
        <v>6</v>
      </c>
      <c r="T5" s="137" t="n"/>
      <c r="U5" s="122" t="inlineStr">
        <is>
          <t>BABAKANCIKAO</t>
        </is>
      </c>
      <c r="V5" s="122" t="inlineStr">
        <is>
          <t>HEGARMANAH</t>
        </is>
      </c>
      <c r="W5" s="122" t="inlineStr">
        <is>
          <t>PURWAKARTA</t>
        </is>
      </c>
      <c r="X5" s="130" t="inlineStr">
        <is>
          <t>KP. WARUNG BUAH, RT/RW 015/006, KEL: HEGARMANAH, KEC: BABAKANCIKAO, KAB: PURWAKARTA</t>
        </is>
      </c>
      <c r="Y5" s="122" t="n">
        <v>8814074650</v>
      </c>
      <c r="Z5" s="131" t="inlineStr">
        <is>
          <t>ISLAM</t>
        </is>
      </c>
      <c r="AA5" s="122" t="inlineStr">
        <is>
          <t>SMK</t>
        </is>
      </c>
      <c r="AB5" s="132" t="n"/>
      <c r="AC5" s="17" t="n">
        <v>3</v>
      </c>
      <c r="AD5" s="133" t="n">
        <v>328000005</v>
      </c>
      <c r="AE5" s="134" t="inlineStr">
        <is>
          <t>IRGI FAUZI</t>
        </is>
      </c>
      <c r="AF5" s="133" t="inlineStr">
        <is>
          <t>ENGINEERING</t>
        </is>
      </c>
      <c r="AG5" s="135" t="n">
        <v>23145801637</v>
      </c>
      <c r="AH5" s="136" t="n">
        <v>1523374604</v>
      </c>
    </row>
    <row r="6" ht="15.75" customHeight="1" s="169">
      <c r="A6" s="122">
        <f>A5+1</f>
        <v/>
      </c>
      <c r="B6" s="123" t="n">
        <v>328000006</v>
      </c>
      <c r="C6" s="122" t="inlineStr">
        <is>
          <t>3214121502010001</t>
        </is>
      </c>
      <c r="D6" s="124" t="inlineStr">
        <is>
          <t>RIZKI</t>
        </is>
      </c>
      <c r="E6" s="122" t="inlineStr">
        <is>
          <t>PURWAKARTA</t>
        </is>
      </c>
      <c r="F6" s="125" t="inlineStr">
        <is>
          <t>SMK 1 PWK</t>
        </is>
      </c>
      <c r="G6" s="96" t="n"/>
      <c r="H6" s="125" t="inlineStr">
        <is>
          <t>SMKN 1 PURWAKARTA</t>
        </is>
      </c>
      <c r="I6" s="127" t="n">
        <v>36937</v>
      </c>
      <c r="J6" s="128">
        <f>DATEDIF(I6, TODAY(), "Y") &amp; " tahun, " &amp; DATEDIF(I6, TODAY(), "YM") &amp; " bulan, " &amp; DATEDIF(I6, TODAY(), "MD") &amp; " hari"
</f>
        <v/>
      </c>
      <c r="K6" s="122" t="inlineStr">
        <is>
          <t>L</t>
        </is>
      </c>
      <c r="L6" s="122" t="inlineStr">
        <is>
          <t>ENGINEERING</t>
        </is>
      </c>
      <c r="M6" s="122">
        <f>VLOOKUP(B6,Sheet21!A:N,14,0)</f>
        <v/>
      </c>
      <c r="N6" s="129" t="inlineStr">
        <is>
          <t>ENG</t>
        </is>
      </c>
      <c r="O6" s="122" t="inlineStr">
        <is>
          <t>Ite Maintenance</t>
        </is>
      </c>
      <c r="P6" s="122" t="inlineStr">
        <is>
          <t>HARIAN</t>
        </is>
      </c>
      <c r="Q6" s="130" t="inlineStr">
        <is>
          <t>KP. WARUNG BUAH, RT/RW 004/002, KEL: HEGARMANAH, KEC: BABAKANCIKAO, KAB: PURWAKARTA</t>
        </is>
      </c>
      <c r="R6" s="122" t="n">
        <v>4</v>
      </c>
      <c r="S6" s="122" t="n">
        <v>2</v>
      </c>
      <c r="T6" s="137" t="n"/>
      <c r="U6" s="122" t="inlineStr">
        <is>
          <t>BABAKANCIKAO</t>
        </is>
      </c>
      <c r="V6" s="122" t="inlineStr">
        <is>
          <t>HEGARMANAH</t>
        </is>
      </c>
      <c r="W6" s="122" t="inlineStr">
        <is>
          <t>PURWAKARTA</t>
        </is>
      </c>
      <c r="X6" s="130" t="inlineStr">
        <is>
          <t>KP. WARUNG BUAH, RT/RW 004/002, KEL: HEGARMANAH, KEC: BABAKANCIKAO, KAB: PURWAKARTA</t>
        </is>
      </c>
      <c r="Y6" s="122" t="n">
        <v>83822668611</v>
      </c>
      <c r="Z6" s="131" t="inlineStr">
        <is>
          <t>ISLAM</t>
        </is>
      </c>
      <c r="AA6" s="122" t="inlineStr">
        <is>
          <t>SMK</t>
        </is>
      </c>
      <c r="AB6" s="132" t="n"/>
      <c r="AC6" s="17" t="n">
        <v>4</v>
      </c>
      <c r="AD6" s="133" t="n">
        <v>328000006</v>
      </c>
      <c r="AE6" s="134" t="inlineStr">
        <is>
          <t>RIZKI</t>
        </is>
      </c>
      <c r="AF6" s="133" t="inlineStr">
        <is>
          <t>ENGINEERING</t>
        </is>
      </c>
      <c r="AG6" s="135" t="n">
        <v>23145801454</v>
      </c>
      <c r="AH6" s="136" t="n">
        <v>2280071349</v>
      </c>
    </row>
    <row r="7" ht="15.75" customHeight="1" s="169">
      <c r="A7" s="122">
        <f>A6+1</f>
        <v/>
      </c>
      <c r="B7" s="123" t="n">
        <v>328000008</v>
      </c>
      <c r="C7" s="122" t="inlineStr">
        <is>
          <t>3214121611020008</t>
        </is>
      </c>
      <c r="D7" s="124" t="inlineStr">
        <is>
          <t>RIDHO RAMDHAN PUTRA</t>
        </is>
      </c>
      <c r="E7" s="122" t="inlineStr">
        <is>
          <t>PURWAKARTA</t>
        </is>
      </c>
      <c r="F7" s="125" t="inlineStr">
        <is>
          <t>SMK 1 PWK</t>
        </is>
      </c>
      <c r="G7" s="96" t="n"/>
      <c r="H7" s="125" t="inlineStr">
        <is>
          <t>SMKN 1 PURWAKARTA</t>
        </is>
      </c>
      <c r="I7" s="127" t="n">
        <v>37576</v>
      </c>
      <c r="J7" s="128">
        <f>DATEDIF(I7, TODAY(), "Y") &amp; " tahun, " &amp; DATEDIF(I7, TODAY(), "YM") &amp; " bulan, " &amp; DATEDIF(I7, TODAY(), "MD") &amp; " hari"
</f>
        <v/>
      </c>
      <c r="K7" s="122" t="inlineStr">
        <is>
          <t>L</t>
        </is>
      </c>
      <c r="L7" s="122" t="inlineStr">
        <is>
          <t>ENGINEERING</t>
        </is>
      </c>
      <c r="M7" s="122">
        <f>VLOOKUP(B7,Sheet21!A:N,14,0)</f>
        <v/>
      </c>
      <c r="N7" s="129" t="inlineStr">
        <is>
          <t>ENG</t>
        </is>
      </c>
      <c r="O7" s="122" t="inlineStr">
        <is>
          <t>Electricity &amp; Supporting Machine Maintenance</t>
        </is>
      </c>
      <c r="P7" s="122" t="inlineStr">
        <is>
          <t>HARIAN</t>
        </is>
      </c>
      <c r="Q7" s="130" t="inlineStr">
        <is>
          <t>KP. WARUNG BUAH, RT/RW 004/002, KEL: HEGARMANAH, KEC: BABAKANCIKAO, KAB: PURWAKARTA</t>
        </is>
      </c>
      <c r="R7" s="122" t="n">
        <v>4</v>
      </c>
      <c r="S7" s="122" t="n">
        <v>2</v>
      </c>
      <c r="T7" s="137" t="n"/>
      <c r="U7" s="122" t="inlineStr">
        <is>
          <t>BABAKANCIKAO</t>
        </is>
      </c>
      <c r="V7" s="122" t="inlineStr">
        <is>
          <t>HEGARMANAH</t>
        </is>
      </c>
      <c r="W7" s="122" t="inlineStr">
        <is>
          <t>PURWAKARTA</t>
        </is>
      </c>
      <c r="X7" s="130" t="inlineStr">
        <is>
          <t>KP. WARUNG BUAH, RT/RW 004/002, KEL: HEGARMANAH, KEC: BABAKANCIKAO, KAB: PURWAKARTA</t>
        </is>
      </c>
      <c r="Y7" s="122" t="n">
        <v>81383171158</v>
      </c>
      <c r="Z7" s="131" t="inlineStr">
        <is>
          <t>ISLAM</t>
        </is>
      </c>
      <c r="AA7" s="122" t="inlineStr">
        <is>
          <t>SMK</t>
        </is>
      </c>
      <c r="AB7" s="132" t="n"/>
      <c r="AC7" s="17" t="n">
        <v>5</v>
      </c>
      <c r="AD7" s="133" t="n">
        <v>328000008</v>
      </c>
      <c r="AE7" s="134" t="inlineStr">
        <is>
          <t>RIDHO RAMDHAN PUTRA</t>
        </is>
      </c>
      <c r="AF7" s="133" t="inlineStr">
        <is>
          <t>ENGINEERING</t>
        </is>
      </c>
      <c r="AG7" s="135" t="n">
        <v>23145801462</v>
      </c>
      <c r="AH7" s="136" t="n">
        <v>2179461857</v>
      </c>
    </row>
    <row r="8" ht="15.75" customHeight="1" s="169">
      <c r="A8" s="122">
        <f>A7+1</f>
        <v/>
      </c>
      <c r="B8" s="123" t="n">
        <v>328000009</v>
      </c>
      <c r="C8" s="122" t="inlineStr">
        <is>
          <t>3214121902010001</t>
        </is>
      </c>
      <c r="D8" s="124" t="inlineStr">
        <is>
          <t>REZZA FEBRIANA</t>
        </is>
      </c>
      <c r="E8" s="122" t="inlineStr">
        <is>
          <t>PURWAKARTA</t>
        </is>
      </c>
      <c r="F8" s="125" t="inlineStr">
        <is>
          <t>SMK 1 PWK</t>
        </is>
      </c>
      <c r="G8" s="96" t="n"/>
      <c r="H8" s="125" t="inlineStr">
        <is>
          <t>SMKN 1 PURWAKARTA</t>
        </is>
      </c>
      <c r="I8" s="127" t="n">
        <v>36941</v>
      </c>
      <c r="J8" s="128">
        <f>DATEDIF(I8, TODAY(), "Y") &amp; " tahun, " &amp; DATEDIF(I8, TODAY(), "YM") &amp; " bulan, " &amp; DATEDIF(I8, TODAY(), "MD") &amp; " hari"
</f>
        <v/>
      </c>
      <c r="K8" s="122" t="inlineStr">
        <is>
          <t>L</t>
        </is>
      </c>
      <c r="L8" s="122" t="inlineStr">
        <is>
          <t>ENGINEERING</t>
        </is>
      </c>
      <c r="M8" s="122">
        <f>VLOOKUP(B8,Sheet21!A:N,14,0)</f>
        <v/>
      </c>
      <c r="N8" s="129" t="inlineStr">
        <is>
          <t>ENG</t>
        </is>
      </c>
      <c r="O8" s="122" t="inlineStr">
        <is>
          <t>Machine Maintenance Shift</t>
        </is>
      </c>
      <c r="P8" s="122" t="inlineStr">
        <is>
          <t>HARIAN</t>
        </is>
      </c>
      <c r="Q8" s="130" t="inlineStr">
        <is>
          <t>KP. WARUNG BUAH, RT/RW 015/006, KEL: HEGARMANAH, KEC: BABAKANCIKAO, KAB: PURWAKARTA</t>
        </is>
      </c>
      <c r="R8" s="122" t="n">
        <v>15</v>
      </c>
      <c r="S8" s="122" t="n">
        <v>6</v>
      </c>
      <c r="T8" s="137" t="n"/>
      <c r="U8" s="122" t="inlineStr">
        <is>
          <t>BABAKANCIKAO</t>
        </is>
      </c>
      <c r="V8" s="122" t="inlineStr">
        <is>
          <t>HEGARMANAH</t>
        </is>
      </c>
      <c r="W8" s="122" t="inlineStr">
        <is>
          <t>PURWAKARTA</t>
        </is>
      </c>
      <c r="X8" s="130" t="inlineStr">
        <is>
          <t>KP. WARUNG BUAH, RT/RW 015/006, KEL: HEGARMANAH, KEC: BABAKANCIKAO, KAB: PURWAKARTA</t>
        </is>
      </c>
      <c r="Y8" s="122" t="n">
        <v>83872982687</v>
      </c>
      <c r="Z8" s="131" t="inlineStr">
        <is>
          <t>ISLAM</t>
        </is>
      </c>
      <c r="AA8" s="122" t="inlineStr">
        <is>
          <t>SMK</t>
        </is>
      </c>
      <c r="AB8" s="132" t="n"/>
      <c r="AC8" s="17" t="n">
        <v>6</v>
      </c>
      <c r="AD8" s="133" t="n">
        <v>328000009</v>
      </c>
      <c r="AE8" s="134" t="inlineStr">
        <is>
          <t>REZZA FEBRIANA</t>
        </is>
      </c>
      <c r="AF8" s="133" t="inlineStr">
        <is>
          <t>ENGINEERING</t>
        </is>
      </c>
      <c r="AG8" s="135" t="n">
        <v>23145801496</v>
      </c>
      <c r="AH8" s="136" t="n">
        <v>1010190587</v>
      </c>
    </row>
    <row r="9" ht="15.75" customHeight="1" s="169">
      <c r="A9" s="122">
        <f>A8+1</f>
        <v/>
      </c>
      <c r="B9" s="123" t="n">
        <v>328000010</v>
      </c>
      <c r="C9" s="122" t="inlineStr">
        <is>
          <t>3214121606000001</t>
        </is>
      </c>
      <c r="D9" s="124" t="inlineStr">
        <is>
          <t>DIAZ GHERY JUNIARSYAH RAHMAN</t>
        </is>
      </c>
      <c r="E9" s="122" t="inlineStr">
        <is>
          <t>PURWAKARTA</t>
        </is>
      </c>
      <c r="F9" s="125" t="inlineStr">
        <is>
          <t>SMK 1 PWK</t>
        </is>
      </c>
      <c r="G9" s="96" t="n"/>
      <c r="H9" s="125" t="inlineStr">
        <is>
          <t>SMKN 1 PURWAKARTA</t>
        </is>
      </c>
      <c r="I9" s="127" t="n">
        <v>36693</v>
      </c>
      <c r="J9" s="128">
        <f>DATEDIF(I9, TODAY(), "Y") &amp; " tahun, " &amp; DATEDIF(I9, TODAY(), "YM") &amp; " bulan, " &amp; DATEDIF(I9, TODAY(), "MD") &amp; " hari"
</f>
        <v/>
      </c>
      <c r="K9" s="122" t="inlineStr">
        <is>
          <t>L</t>
        </is>
      </c>
      <c r="L9" s="122" t="inlineStr">
        <is>
          <t>ENGINEERING</t>
        </is>
      </c>
      <c r="M9" s="122">
        <f>VLOOKUP(B9,Sheet21!A:N,14,0)</f>
        <v/>
      </c>
      <c r="N9" s="129" t="inlineStr">
        <is>
          <t>ENG</t>
        </is>
      </c>
      <c r="O9" s="122" t="inlineStr">
        <is>
          <t>Machine Maintenance Shift</t>
        </is>
      </c>
      <c r="P9" s="122" t="inlineStr">
        <is>
          <t>HARIAN</t>
        </is>
      </c>
      <c r="Q9" s="130" t="inlineStr">
        <is>
          <t>KP. WARUNG BUAH, RT/RW 005/006, KEL: HEGARMANAH, KEC: BABAKANCIKAO, KAB: PURWAKARTA</t>
        </is>
      </c>
      <c r="R9" s="122" t="n">
        <v>5</v>
      </c>
      <c r="S9" s="122" t="n">
        <v>6</v>
      </c>
      <c r="T9" s="137" t="n"/>
      <c r="U9" s="122" t="inlineStr">
        <is>
          <t>BABAKANCIKAO</t>
        </is>
      </c>
      <c r="V9" s="122" t="inlineStr">
        <is>
          <t>HEGARMANAH</t>
        </is>
      </c>
      <c r="W9" s="122" t="inlineStr">
        <is>
          <t>PURWAKARTA</t>
        </is>
      </c>
      <c r="X9" s="130" t="inlineStr">
        <is>
          <t>KP. WARUNG BUAH, RT/RW 005/006, KEL: HEGARMANAH, KEC: BABAKANCIKAO, KAB: PURWAKARTA</t>
        </is>
      </c>
      <c r="Y9" s="122" t="n">
        <v>87827120474</v>
      </c>
      <c r="Z9" s="131" t="inlineStr">
        <is>
          <t>ISLAM</t>
        </is>
      </c>
      <c r="AA9" s="122" t="inlineStr">
        <is>
          <t>SMK</t>
        </is>
      </c>
      <c r="AB9" s="132" t="n"/>
      <c r="AC9" s="17" t="n">
        <v>7</v>
      </c>
      <c r="AD9" s="133" t="n">
        <v>328000010</v>
      </c>
      <c r="AE9" s="134" t="inlineStr">
        <is>
          <t>DIAZ GHERY JUNIARSYAH RAHMAN</t>
        </is>
      </c>
      <c r="AF9" s="133" t="inlineStr">
        <is>
          <t>ENGINEERING</t>
        </is>
      </c>
      <c r="AG9" s="135" t="n">
        <v>23145801546</v>
      </c>
      <c r="AH9" s="136" t="n">
        <v>2394923703</v>
      </c>
    </row>
    <row r="10" ht="15.75" customHeight="1" s="169">
      <c r="A10" s="122">
        <f>A9+1</f>
        <v/>
      </c>
      <c r="B10" s="123" t="n">
        <v>328000011</v>
      </c>
      <c r="C10" s="122" t="inlineStr">
        <is>
          <t>3214120211000002</t>
        </is>
      </c>
      <c r="D10" s="124" t="inlineStr">
        <is>
          <t>DENI KUSNADI</t>
        </is>
      </c>
      <c r="E10" s="122" t="inlineStr">
        <is>
          <t>PURWAKARTA</t>
        </is>
      </c>
      <c r="F10" s="125" t="inlineStr">
        <is>
          <t>SMK 1 PWK</t>
        </is>
      </c>
      <c r="G10" s="96" t="n"/>
      <c r="H10" s="125" t="inlineStr">
        <is>
          <t>SMKN 1 PURWAKARTA</t>
        </is>
      </c>
      <c r="I10" s="127" t="n">
        <v>36832</v>
      </c>
      <c r="J10" s="128">
        <f>DATEDIF(I10, TODAY(), "Y") &amp; " tahun, " &amp; DATEDIF(I10, TODAY(), "YM") &amp; " bulan, " &amp; DATEDIF(I10, TODAY(), "MD") &amp; " hari"
</f>
        <v/>
      </c>
      <c r="K10" s="122" t="inlineStr">
        <is>
          <t>L</t>
        </is>
      </c>
      <c r="L10" s="122" t="inlineStr">
        <is>
          <t>ENGINEERING</t>
        </is>
      </c>
      <c r="M10" s="122">
        <f>VLOOKUP(B10,Sheet21!A:N,14,0)</f>
        <v/>
      </c>
      <c r="N10" s="129" t="inlineStr">
        <is>
          <t>ENG</t>
        </is>
      </c>
      <c r="O10" s="122" t="inlineStr">
        <is>
          <t>Admin WSP</t>
        </is>
      </c>
      <c r="P10" s="122" t="inlineStr">
        <is>
          <t>HARIAN</t>
        </is>
      </c>
      <c r="Q10" s="130" t="inlineStr">
        <is>
          <t>KP. CIKOPAK, RT/RW: 002/001. KEL: MULYAMEKAR, KEC: BABAKANCIKAO, KAB: PURWAKARTA</t>
        </is>
      </c>
      <c r="R10" s="122" t="n">
        <v>2</v>
      </c>
      <c r="S10" s="122" t="n">
        <v>1</v>
      </c>
      <c r="T10" s="137" t="n"/>
      <c r="U10" s="122" t="inlineStr">
        <is>
          <t>BABAKANCIKAO</t>
        </is>
      </c>
      <c r="V10" s="122" t="inlineStr">
        <is>
          <t>MULYAMEKAR</t>
        </is>
      </c>
      <c r="W10" s="122" t="inlineStr">
        <is>
          <t>PURWAKARTA</t>
        </is>
      </c>
      <c r="X10" s="130" t="inlineStr">
        <is>
          <t>KP. CIKOPAK, RT/RW: 002/001. KEL: MULYAMEKAR, KEC: BABAKANCIKAO, KAB: PURWAKARTA</t>
        </is>
      </c>
      <c r="Y10" s="122" t="n">
        <v>8987463583</v>
      </c>
      <c r="Z10" s="131" t="inlineStr">
        <is>
          <t>ISLAM</t>
        </is>
      </c>
      <c r="AA10" s="122" t="inlineStr">
        <is>
          <t>SMK</t>
        </is>
      </c>
      <c r="AB10" s="132" t="n"/>
      <c r="AC10" s="17" t="n">
        <v>8</v>
      </c>
      <c r="AD10" s="133" t="n">
        <v>328000011</v>
      </c>
      <c r="AE10" s="134" t="inlineStr">
        <is>
          <t>DENI KUSNADI</t>
        </is>
      </c>
      <c r="AF10" s="133" t="inlineStr">
        <is>
          <t>LOGISTIC</t>
        </is>
      </c>
      <c r="AG10" s="135" t="n">
        <v>23145801660</v>
      </c>
      <c r="AH10" s="136" t="n">
        <v>1479299005</v>
      </c>
    </row>
    <row r="11" ht="15.75" customHeight="1" s="169">
      <c r="A11" s="122">
        <f>A10+1</f>
        <v/>
      </c>
      <c r="B11" s="123" t="n">
        <v>328000013</v>
      </c>
      <c r="C11" s="122" t="inlineStr">
        <is>
          <t>3214120509990007</t>
        </is>
      </c>
      <c r="D11" s="124" t="inlineStr">
        <is>
          <t>ADIL SUGIHARTONO</t>
        </is>
      </c>
      <c r="E11" s="122" t="inlineStr">
        <is>
          <t>PURWAKARTA</t>
        </is>
      </c>
      <c r="F11" s="125" t="inlineStr">
        <is>
          <t>TKD</t>
        </is>
      </c>
      <c r="G11" s="125" t="inlineStr">
        <is>
          <t xml:space="preserve">Karang Taruna Hegarmanah </t>
        </is>
      </c>
      <c r="H11" s="125" t="inlineStr">
        <is>
          <t>ANAK MANTAN KETUA KARANG TARUNA HEGARMANAH</t>
        </is>
      </c>
      <c r="I11" s="127" t="n">
        <v>36408</v>
      </c>
      <c r="J11" s="128">
        <f>DATEDIF(I11, TODAY(), "Y") &amp; " tahun, " &amp; DATEDIF(I11, TODAY(), "YM") &amp; " bulan, " &amp; DATEDIF(I11, TODAY(), "MD") &amp; " hari"
</f>
        <v/>
      </c>
      <c r="K11" s="122" t="inlineStr">
        <is>
          <t>L</t>
        </is>
      </c>
      <c r="L11" s="122" t="inlineStr">
        <is>
          <t>ENGINEERING</t>
        </is>
      </c>
      <c r="M11" s="122">
        <f>VLOOKUP(B11,Sheet21!A:N,14,0)</f>
        <v/>
      </c>
      <c r="N11" s="129" t="inlineStr">
        <is>
          <t>ENG</t>
        </is>
      </c>
      <c r="O11" s="122" t="inlineStr">
        <is>
          <t>Fabricator</t>
        </is>
      </c>
      <c r="P11" s="122" t="inlineStr">
        <is>
          <t>HARIAN</t>
        </is>
      </c>
      <c r="Q11" s="130" t="inlineStr">
        <is>
          <t>KP. WARUNG BUAH, RT/RW 003/002, KEL: HEGARMANAH, KEC: BABAKANCIKAO, KAB: PURWAKARTA</t>
        </is>
      </c>
      <c r="R11" s="122" t="n">
        <v>3</v>
      </c>
      <c r="S11" s="122" t="n">
        <v>2</v>
      </c>
      <c r="T11" s="137" t="n"/>
      <c r="U11" s="122" t="inlineStr">
        <is>
          <t>BABAKANCIKAO</t>
        </is>
      </c>
      <c r="V11" s="122" t="inlineStr">
        <is>
          <t>HEGARMANAH</t>
        </is>
      </c>
      <c r="W11" s="122" t="inlineStr">
        <is>
          <t>PURWAKARTA</t>
        </is>
      </c>
      <c r="X11" s="130" t="inlineStr">
        <is>
          <t>KP. WARUNG BUAH, RT/RW 003/002, KEL: HEGARMANAH, KEC: BABAKANCIKAO, KAB: PURWAKARTA</t>
        </is>
      </c>
      <c r="Y11" s="122" t="n">
        <v>81994667058</v>
      </c>
      <c r="Z11" s="131" t="inlineStr">
        <is>
          <t>ISLAM</t>
        </is>
      </c>
      <c r="AA11" s="122" t="inlineStr">
        <is>
          <t>SMK</t>
        </is>
      </c>
      <c r="AB11" s="132" t="n"/>
      <c r="AC11" s="17" t="n">
        <v>9</v>
      </c>
      <c r="AD11" s="133" t="n">
        <v>328000013</v>
      </c>
      <c r="AE11" s="134" t="inlineStr">
        <is>
          <t>ADIL SUGIHARTONO</t>
        </is>
      </c>
      <c r="AF11" s="133" t="inlineStr">
        <is>
          <t>ENGINEERING</t>
        </is>
      </c>
      <c r="AG11" s="135" t="n">
        <v>23145801629</v>
      </c>
      <c r="AH11" s="136" t="n">
        <v>2394922779</v>
      </c>
    </row>
    <row r="12" ht="15.75" customHeight="1" s="169">
      <c r="A12" s="122">
        <f>A11+1</f>
        <v/>
      </c>
      <c r="B12" s="123" t="n">
        <v>328000016</v>
      </c>
      <c r="C12" s="122" t="inlineStr">
        <is>
          <t>3214122710990001</t>
        </is>
      </c>
      <c r="D12" s="124" t="inlineStr">
        <is>
          <t>RAMDAN ABDULLAH</t>
        </is>
      </c>
      <c r="E12" s="122" t="inlineStr">
        <is>
          <t>PURWAKARTA</t>
        </is>
      </c>
      <c r="F12" s="125" t="inlineStr">
        <is>
          <t>SMK 1 PWK</t>
        </is>
      </c>
      <c r="G12" s="96" t="n"/>
      <c r="H12" s="125" t="inlineStr">
        <is>
          <t>SMKN 1 PURWAKARTA</t>
        </is>
      </c>
      <c r="I12" s="127" t="n">
        <v>36460</v>
      </c>
      <c r="J12" s="128">
        <f>DATEDIF(I12, TODAY(), "Y") &amp; " tahun, " &amp; DATEDIF(I12, TODAY(), "YM") &amp; " bulan, " &amp; DATEDIF(I12, TODAY(), "MD") &amp; " hari"
</f>
        <v/>
      </c>
      <c r="K12" s="122" t="inlineStr">
        <is>
          <t>L</t>
        </is>
      </c>
      <c r="L12" s="122" t="inlineStr">
        <is>
          <t>ADMIN TIMBANGAN</t>
        </is>
      </c>
      <c r="M12" s="122">
        <f>VLOOKUP(B12,Sheet21!A:N,14,0)</f>
        <v/>
      </c>
      <c r="N12" s="129" t="inlineStr">
        <is>
          <t>LOGISTIK</t>
        </is>
      </c>
      <c r="O12" s="122" t="inlineStr">
        <is>
          <t>Admin Timbangan</t>
        </is>
      </c>
      <c r="P12" s="122" t="inlineStr">
        <is>
          <t>HARIAN</t>
        </is>
      </c>
      <c r="Q12" s="130" t="inlineStr">
        <is>
          <t>KP. PARUNGDADAP,  RT/RW: 002/001, KEL: HEGARMANAH, KEC: BABAKANCIKAO, KAB: PURWAKARTA</t>
        </is>
      </c>
      <c r="R12" s="122" t="n">
        <v>2</v>
      </c>
      <c r="S12" s="122" t="n">
        <v>1</v>
      </c>
      <c r="T12" s="137" t="n"/>
      <c r="U12" s="122" t="inlineStr">
        <is>
          <t>BABAKANCIKAO</t>
        </is>
      </c>
      <c r="V12" s="122" t="inlineStr">
        <is>
          <t>HEGARMANAH</t>
        </is>
      </c>
      <c r="W12" s="122" t="inlineStr">
        <is>
          <t>PURWAKARTA</t>
        </is>
      </c>
      <c r="X12" s="130" t="inlineStr">
        <is>
          <t>KP. PARUNGDADAP,  RT/RW: 002/001, KEL: HEGARMANAH, KEC: BABAKANCIKAO, KAB: PURWAKARTA</t>
        </is>
      </c>
      <c r="Y12" s="122" t="n">
        <v>87821754674</v>
      </c>
      <c r="Z12" s="131" t="inlineStr">
        <is>
          <t>ISLAM</t>
        </is>
      </c>
      <c r="AA12" s="122" t="inlineStr">
        <is>
          <t>SMK</t>
        </is>
      </c>
      <c r="AB12" s="132" t="n"/>
      <c r="AC12" s="17" t="n">
        <v>10</v>
      </c>
      <c r="AD12" s="133" t="n">
        <v>328000016</v>
      </c>
      <c r="AE12" s="134" t="inlineStr">
        <is>
          <t>RAMDAN ABDULLAH</t>
        </is>
      </c>
      <c r="AF12" s="133" t="inlineStr">
        <is>
          <t>LOGISTIC</t>
        </is>
      </c>
      <c r="AG12" s="135" t="n">
        <v>23145801587</v>
      </c>
      <c r="AH12" s="136" t="n">
        <v>1659942033</v>
      </c>
    </row>
    <row r="13" ht="15.75" customHeight="1" s="169">
      <c r="A13" s="122">
        <f>A12+1</f>
        <v/>
      </c>
      <c r="B13" s="123" t="n">
        <v>328000017</v>
      </c>
      <c r="C13" s="122" t="inlineStr">
        <is>
          <t>3214031512970001</t>
        </is>
      </c>
      <c r="D13" s="124" t="inlineStr">
        <is>
          <t>DADI SETIADI</t>
        </is>
      </c>
      <c r="E13" s="122" t="inlineStr">
        <is>
          <t>PURWAKARTA</t>
        </is>
      </c>
      <c r="F13" s="125" t="inlineStr">
        <is>
          <t>LINK</t>
        </is>
      </c>
      <c r="G13" s="96" t="n"/>
      <c r="H13" s="125" t="inlineStr">
        <is>
          <t>PT KMJ</t>
        </is>
      </c>
      <c r="I13" s="127" t="n">
        <v>35779</v>
      </c>
      <c r="J13" s="128">
        <f>DATEDIF(I13, TODAY(), "Y") &amp; " tahun, " &amp; DATEDIF(I13, TODAY(), "YM") &amp; " bulan, " &amp; DATEDIF(I13, TODAY(), "MD") &amp; " hari"
</f>
        <v/>
      </c>
      <c r="K13" s="122" t="inlineStr">
        <is>
          <t>L</t>
        </is>
      </c>
      <c r="L13" s="122" t="inlineStr">
        <is>
          <t>OP FORKLIFT WRM</t>
        </is>
      </c>
      <c r="M13" s="122">
        <f>VLOOKUP(B13,Sheet21!A:N,14,0)</f>
        <v/>
      </c>
      <c r="N13" s="129" t="inlineStr">
        <is>
          <t>LOGISTIK</t>
        </is>
      </c>
      <c r="O13" s="122" t="inlineStr">
        <is>
          <t>Operator Forklift</t>
        </is>
      </c>
      <c r="P13" s="122" t="inlineStr">
        <is>
          <t>HARIAN</t>
        </is>
      </c>
      <c r="Q13" s="130" t="inlineStr">
        <is>
          <t>KP. CILULUNGPANG, RT/RW: 012/003, KEL: JATIMEKAR, KEC JATILUHUR, KAB: PURWAKARTA</t>
        </is>
      </c>
      <c r="R13" s="122" t="n">
        <v>12</v>
      </c>
      <c r="S13" s="122" t="n">
        <v>3</v>
      </c>
      <c r="T13" s="137" t="n"/>
      <c r="U13" s="122" t="inlineStr">
        <is>
          <t>JATILUHUR</t>
        </is>
      </c>
      <c r="V13" s="122" t="inlineStr">
        <is>
          <t>JATILUHUR</t>
        </is>
      </c>
      <c r="W13" s="122" t="inlineStr">
        <is>
          <t>PURWAKARTA</t>
        </is>
      </c>
      <c r="X13" s="130" t="inlineStr">
        <is>
          <t>KP. CILULUNGPANG, RT/RW: 012/003, KEL: JATIMEKAR, KEC JATILUHUR, KAB: PURWAKARTA</t>
        </is>
      </c>
      <c r="Y13" s="122" t="n">
        <v>85860498887</v>
      </c>
      <c r="Z13" s="131" t="inlineStr">
        <is>
          <t>ISLAM</t>
        </is>
      </c>
      <c r="AA13" s="122" t="inlineStr">
        <is>
          <t>SMK</t>
        </is>
      </c>
      <c r="AB13" s="132" t="n"/>
      <c r="AC13" s="17" t="n">
        <v>11</v>
      </c>
      <c r="AD13" s="133" t="n">
        <v>328000017</v>
      </c>
      <c r="AE13" s="134" t="inlineStr">
        <is>
          <t>DADI SETIADI</t>
        </is>
      </c>
      <c r="AF13" s="133" t="inlineStr">
        <is>
          <t>LOGISTIC</t>
        </is>
      </c>
      <c r="AG13" s="135" t="n">
        <v>23145801421</v>
      </c>
      <c r="AH13" s="136" t="n">
        <v>1654456083</v>
      </c>
    </row>
    <row r="14" ht="15.75" customHeight="1" s="169">
      <c r="A14" s="122">
        <f>A13+1</f>
        <v/>
      </c>
      <c r="B14" s="123" t="n">
        <v>328000018</v>
      </c>
      <c r="C14" s="122" t="inlineStr">
        <is>
          <t>3214124208040001</t>
        </is>
      </c>
      <c r="D14" s="124" t="inlineStr">
        <is>
          <t>NEVANY PUTRI</t>
        </is>
      </c>
      <c r="E14" s="122" t="inlineStr">
        <is>
          <t>PURWAKARTA</t>
        </is>
      </c>
      <c r="F14" s="125" t="inlineStr">
        <is>
          <t>SMK 1 PWK</t>
        </is>
      </c>
      <c r="G14" s="96" t="n"/>
      <c r="H14" s="125" t="inlineStr">
        <is>
          <t>SMKN 1 PURWAKARTA</t>
        </is>
      </c>
      <c r="I14" s="127" t="n">
        <v>38201</v>
      </c>
      <c r="J14" s="128">
        <f>DATEDIF(I14, TODAY(), "Y") &amp; " tahun, " &amp; DATEDIF(I14, TODAY(), "YM") &amp; " bulan, " &amp; DATEDIF(I14, TODAY(), "MD") &amp; " hari"
</f>
        <v/>
      </c>
      <c r="K14" s="122" t="inlineStr">
        <is>
          <t>P</t>
        </is>
      </c>
      <c r="L14" s="122" t="inlineStr">
        <is>
          <t>ADMIN WRM</t>
        </is>
      </c>
      <c r="M14" s="122">
        <f>VLOOKUP(B14,Sheet21!A:N,14,0)</f>
        <v/>
      </c>
      <c r="N14" s="129" t="inlineStr">
        <is>
          <t>LOGISTIK</t>
        </is>
      </c>
      <c r="O14" s="122" t="inlineStr">
        <is>
          <t>Admin WRM</t>
        </is>
      </c>
      <c r="P14" s="122" t="inlineStr">
        <is>
          <t>HARIAN</t>
        </is>
      </c>
      <c r="Q14" s="130" t="inlineStr">
        <is>
          <t>KP. HEGARMANAH, RT/RW: 012/005, KEL:HEGARMANAH, KEC: BABAKANCIKAO, KAB: PURWAKARTA</t>
        </is>
      </c>
      <c r="R14" s="122" t="n">
        <v>12</v>
      </c>
      <c r="S14" s="122" t="n">
        <v>5</v>
      </c>
      <c r="T14" s="137" t="n"/>
      <c r="U14" s="122" t="inlineStr">
        <is>
          <t>BABAKANCIKAO</t>
        </is>
      </c>
      <c r="V14" s="122" t="inlineStr">
        <is>
          <t>HEGARMANAH</t>
        </is>
      </c>
      <c r="W14" s="122" t="inlineStr">
        <is>
          <t>PURWAKARTA</t>
        </is>
      </c>
      <c r="X14" s="130" t="inlineStr">
        <is>
          <t>KP. HEGARMANAH, RT/RW: 012/005, KEL:HEGARMANAH, KEC: BABAKANCIKAO, KAB: PURWAKARTA</t>
        </is>
      </c>
      <c r="Y14" s="122" t="n">
        <v>81992210155</v>
      </c>
      <c r="Z14" s="131" t="inlineStr">
        <is>
          <t>ISLAM</t>
        </is>
      </c>
      <c r="AA14" s="122" t="inlineStr">
        <is>
          <t>SMK</t>
        </is>
      </c>
      <c r="AB14" s="132" t="n"/>
      <c r="AC14" s="17" t="n">
        <v>12</v>
      </c>
      <c r="AD14" s="133" t="n">
        <v>328000018</v>
      </c>
      <c r="AE14" s="134" t="inlineStr">
        <is>
          <t>NEVANY PUTRI</t>
        </is>
      </c>
      <c r="AF14" s="133" t="inlineStr">
        <is>
          <t>LOGISTIC</t>
        </is>
      </c>
      <c r="AG14" s="135" t="n">
        <v>23145801645</v>
      </c>
      <c r="AH14" s="136" t="n">
        <v>1189240209</v>
      </c>
    </row>
    <row r="15" ht="15.75" customHeight="1" s="169">
      <c r="A15" s="122">
        <f>A14+1</f>
        <v/>
      </c>
      <c r="B15" s="123" t="n">
        <v>328000019</v>
      </c>
      <c r="C15" s="122" t="inlineStr">
        <is>
          <t>3214121410970002</t>
        </is>
      </c>
      <c r="D15" s="124" t="inlineStr">
        <is>
          <t>DADANG SAPUTRA</t>
        </is>
      </c>
      <c r="E15" s="122" t="inlineStr">
        <is>
          <t>PURWAKARTA</t>
        </is>
      </c>
      <c r="F15" s="125" t="inlineStr">
        <is>
          <t>SMK 1 PWK</t>
        </is>
      </c>
      <c r="G15" s="96" t="n"/>
      <c r="H15" s="125" t="inlineStr">
        <is>
          <t>SMKN 1 PURWAKARTA</t>
        </is>
      </c>
      <c r="I15" s="127" t="n">
        <v>35717</v>
      </c>
      <c r="J15" s="128">
        <f>DATEDIF(I15, TODAY(), "Y") &amp; " tahun, " &amp; DATEDIF(I15, TODAY(), "YM") &amp; " bulan, " &amp; DATEDIF(I15, TODAY(), "MD") &amp; " hari"
</f>
        <v/>
      </c>
      <c r="K15" s="122" t="inlineStr">
        <is>
          <t>L</t>
        </is>
      </c>
      <c r="L15" s="122" t="inlineStr">
        <is>
          <t>OP. PRODUKSI</t>
        </is>
      </c>
      <c r="M15" s="122">
        <f>VLOOKUP(B15,Sheet21!A:N,14,0)</f>
        <v/>
      </c>
      <c r="N15" s="129" t="inlineStr">
        <is>
          <t>PRODUKSI</t>
        </is>
      </c>
      <c r="O15" s="122" t="inlineStr">
        <is>
          <t>Operator Produksi</t>
        </is>
      </c>
      <c r="P15" s="122" t="inlineStr">
        <is>
          <t>HARIAN</t>
        </is>
      </c>
      <c r="Q15" s="130" t="inlineStr">
        <is>
          <t>KP. KARAJAN, RT/RW: 002/001, KEL: BABAKANCIKAO, KEC: BABAKANCIKAO, KAB: PURWAKARTA</t>
        </is>
      </c>
      <c r="R15" s="122" t="n">
        <v>2</v>
      </c>
      <c r="S15" s="122" t="n">
        <v>1</v>
      </c>
      <c r="T15" s="137" t="n"/>
      <c r="U15" s="122" t="inlineStr">
        <is>
          <t>BABAKANCIKAO</t>
        </is>
      </c>
      <c r="V15" s="122" t="inlineStr">
        <is>
          <t>BABAKANCIKAO</t>
        </is>
      </c>
      <c r="W15" s="122" t="inlineStr">
        <is>
          <t>PURWAKARTA</t>
        </is>
      </c>
      <c r="X15" s="130" t="inlineStr">
        <is>
          <t>KP. KARAJAN, RT/RW: 002/001, KEL: BABAKANCIKAO, KEC: BABAKANCIKAO, KAB: PURWAKARTA</t>
        </is>
      </c>
      <c r="Y15" s="122" t="n">
        <v>81394594108</v>
      </c>
      <c r="Z15" s="131" t="inlineStr">
        <is>
          <t>ISLAM</t>
        </is>
      </c>
      <c r="AA15" s="122" t="inlineStr">
        <is>
          <t>SMK</t>
        </is>
      </c>
      <c r="AB15" s="132" t="n"/>
      <c r="AC15" s="17" t="n">
        <v>13</v>
      </c>
      <c r="AD15" s="133" t="n">
        <v>328000019</v>
      </c>
      <c r="AE15" s="134" t="inlineStr">
        <is>
          <t>DADANG SAPUTRA</t>
        </is>
      </c>
      <c r="AF15" s="133" t="inlineStr">
        <is>
          <t>PRODUCTION</t>
        </is>
      </c>
      <c r="AG15" s="135" t="n">
        <v>23145801447</v>
      </c>
      <c r="AH15" s="136" t="n">
        <v>481312416</v>
      </c>
    </row>
    <row r="16" ht="15.75" customHeight="1" s="169">
      <c r="A16" s="122">
        <f>A15+1</f>
        <v/>
      </c>
      <c r="B16" s="123" t="n">
        <v>328000020</v>
      </c>
      <c r="C16" s="122" t="inlineStr">
        <is>
          <t>3214121608030003</t>
        </is>
      </c>
      <c r="D16" s="124" t="inlineStr">
        <is>
          <t>AGUS GUNAWAN</t>
        </is>
      </c>
      <c r="E16" s="122" t="inlineStr">
        <is>
          <t>PURWAKARTA</t>
        </is>
      </c>
      <c r="F16" s="125" t="inlineStr">
        <is>
          <t>LINK</t>
        </is>
      </c>
      <c r="G16" s="96" t="n"/>
      <c r="H16" s="125" t="inlineStr">
        <is>
          <t>PT KMJ</t>
        </is>
      </c>
      <c r="I16" s="127" t="n">
        <v>37849</v>
      </c>
      <c r="J16" s="128">
        <f>DATEDIF(I16, TODAY(), "Y") &amp; " tahun, " &amp; DATEDIF(I16, TODAY(), "YM") &amp; " bulan, " &amp; DATEDIF(I16, TODAY(), "MD") &amp; " hari"
</f>
        <v/>
      </c>
      <c r="K16" s="122" t="inlineStr">
        <is>
          <t>L</t>
        </is>
      </c>
      <c r="L16" s="122" t="inlineStr">
        <is>
          <t>OP. PRODUKSI</t>
        </is>
      </c>
      <c r="M16" s="122">
        <f>VLOOKUP(B16,Sheet21!A:N,14,0)</f>
        <v/>
      </c>
      <c r="N16" s="129" t="inlineStr">
        <is>
          <t>PRODUKSI</t>
        </is>
      </c>
      <c r="O16" s="122" t="inlineStr">
        <is>
          <t>Operator Produksi</t>
        </is>
      </c>
      <c r="P16" s="122" t="inlineStr">
        <is>
          <t>HARIAN</t>
        </is>
      </c>
      <c r="Q16" s="130" t="inlineStr">
        <is>
          <t>KP. GANDASARI, RT/RW: 003/001, KEL: CIGELAM, KEC: BABAKANCIKAO, KAB:PURWAKARTA</t>
        </is>
      </c>
      <c r="R16" s="122" t="n">
        <v>3</v>
      </c>
      <c r="S16" s="122" t="n">
        <v>1</v>
      </c>
      <c r="T16" s="137" t="n"/>
      <c r="U16" s="122" t="inlineStr">
        <is>
          <t>BABAKANCIKAO</t>
        </is>
      </c>
      <c r="V16" s="122" t="inlineStr">
        <is>
          <t>CIGELAM</t>
        </is>
      </c>
      <c r="W16" s="122" t="inlineStr">
        <is>
          <t>PURWAKARTA</t>
        </is>
      </c>
      <c r="X16" s="130" t="inlineStr">
        <is>
          <t>KP. GANDASARI, RT/RW: 003/001, KEL: CIGELAM, KEC: BABAKANCIKAO, KAB:PURWAKARTA</t>
        </is>
      </c>
      <c r="Y16" s="122" t="n">
        <v>82124130479</v>
      </c>
      <c r="Z16" s="131" t="inlineStr">
        <is>
          <t>ISLAM</t>
        </is>
      </c>
      <c r="AA16" s="122" t="inlineStr">
        <is>
          <t>SMK</t>
        </is>
      </c>
      <c r="AB16" s="132" t="n"/>
      <c r="AC16" s="17" t="n">
        <v>14</v>
      </c>
      <c r="AD16" s="133" t="n">
        <v>328000020</v>
      </c>
      <c r="AE16" s="134" t="inlineStr">
        <is>
          <t>AGUS GUNAWAN</t>
        </is>
      </c>
      <c r="AF16" s="133" t="inlineStr">
        <is>
          <t>PRODUCTION</t>
        </is>
      </c>
      <c r="AG16" s="135" t="n">
        <v>23145801504</v>
      </c>
      <c r="AH16" s="136" t="n">
        <v>481572088</v>
      </c>
    </row>
    <row r="17" ht="15.75" customHeight="1" s="169">
      <c r="A17" s="122">
        <f>A16+1</f>
        <v/>
      </c>
      <c r="B17" s="123" t="n">
        <v>328000022</v>
      </c>
      <c r="C17" s="122" t="inlineStr">
        <is>
          <t>3214120606040005</t>
        </is>
      </c>
      <c r="D17" s="124" t="inlineStr">
        <is>
          <t>AZHAR AIZAD ALFARIDZI</t>
        </is>
      </c>
      <c r="E17" s="122" t="inlineStr">
        <is>
          <t>PURWAKARTA</t>
        </is>
      </c>
      <c r="F17" s="125" t="inlineStr">
        <is>
          <t>LINK</t>
        </is>
      </c>
      <c r="G17" s="96" t="n"/>
      <c r="H17" s="125" t="inlineStr">
        <is>
          <t>PT KMJ</t>
        </is>
      </c>
      <c r="I17" s="127" t="n">
        <v>38144</v>
      </c>
      <c r="J17" s="128">
        <f>DATEDIF(I17, TODAY(), "Y") &amp; " tahun, " &amp; DATEDIF(I17, TODAY(), "YM") &amp; " bulan, " &amp; DATEDIF(I17, TODAY(), "MD") &amp; " hari"
</f>
        <v/>
      </c>
      <c r="K17" s="122" t="inlineStr">
        <is>
          <t>L</t>
        </is>
      </c>
      <c r="L17" s="122" t="inlineStr">
        <is>
          <t>OP. PRODUKSI</t>
        </is>
      </c>
      <c r="M17" s="122">
        <f>VLOOKUP(B17,Sheet21!A:N,14,0)</f>
        <v/>
      </c>
      <c r="N17" s="129" t="inlineStr">
        <is>
          <t>PRODUKSI</t>
        </is>
      </c>
      <c r="O17" s="122" t="inlineStr">
        <is>
          <t>Operator Produksi</t>
        </is>
      </c>
      <c r="P17" s="122" t="inlineStr">
        <is>
          <t>HARIAN</t>
        </is>
      </c>
      <c r="Q17" s="130" t="inlineStr">
        <is>
          <t>KP. KRAJAN, RT/RW: 011/003, KEL: MARACANG, KEC: BABAKANCIKAO, KAB: PURWAKARTA</t>
        </is>
      </c>
      <c r="R17" s="122" t="n">
        <v>11</v>
      </c>
      <c r="S17" s="122" t="n">
        <v>3</v>
      </c>
      <c r="T17" s="137" t="n"/>
      <c r="U17" s="122" t="inlineStr">
        <is>
          <t>BABAKANCIKAO</t>
        </is>
      </c>
      <c r="V17" s="122" t="inlineStr">
        <is>
          <t>MARACANG</t>
        </is>
      </c>
      <c r="W17" s="122" t="inlineStr">
        <is>
          <t>PURWAKARTA</t>
        </is>
      </c>
      <c r="X17" s="130" t="inlineStr">
        <is>
          <t>KP. KRAJAN, RT/RW: 011/003, KEL: MARACANG, KEC: BABAKANCIKAO, KAB: PURWAKARTA</t>
        </is>
      </c>
      <c r="Y17" s="122" t="n">
        <v>81389119714</v>
      </c>
      <c r="Z17" s="131" t="inlineStr">
        <is>
          <t>ISLAM</t>
        </is>
      </c>
      <c r="AA17" s="122" t="inlineStr">
        <is>
          <t>SMK</t>
        </is>
      </c>
      <c r="AB17" s="132" t="n"/>
      <c r="AC17" s="17" t="n">
        <v>15</v>
      </c>
      <c r="AD17" s="133" t="n">
        <v>328000022</v>
      </c>
      <c r="AE17" s="134" t="inlineStr">
        <is>
          <t>AZHAR AIZAD ALFARIDZI</t>
        </is>
      </c>
      <c r="AF17" s="133" t="inlineStr">
        <is>
          <t>PRODUCTION</t>
        </is>
      </c>
      <c r="AG17" s="135" t="n">
        <v>23145801652</v>
      </c>
      <c r="AH17" s="136" t="n">
        <v>1633523084</v>
      </c>
    </row>
    <row r="18" ht="15.75" customHeight="1" s="169">
      <c r="A18" s="122">
        <f>A17+1</f>
        <v/>
      </c>
      <c r="B18" s="123" t="n">
        <v>328000023</v>
      </c>
      <c r="C18" s="122" t="inlineStr">
        <is>
          <t>3214120703990001</t>
        </is>
      </c>
      <c r="D18" s="124" t="inlineStr">
        <is>
          <t>KEPIN NUGRAHA</t>
        </is>
      </c>
      <c r="E18" s="122" t="inlineStr">
        <is>
          <t>PURWAKARTA</t>
        </is>
      </c>
      <c r="F18" s="125" t="inlineStr">
        <is>
          <t>LINK</t>
        </is>
      </c>
      <c r="G18" s="96" t="n"/>
      <c r="H18" s="125" t="inlineStr">
        <is>
          <t>PT KMJ</t>
        </is>
      </c>
      <c r="I18" s="127" t="n">
        <v>36226</v>
      </c>
      <c r="J18" s="128">
        <f>DATEDIF(I18, TODAY(), "Y") &amp; " tahun, " &amp; DATEDIF(I18, TODAY(), "YM") &amp; " bulan, " &amp; DATEDIF(I18, TODAY(), "MD") &amp; " hari"
</f>
        <v/>
      </c>
      <c r="K18" s="122" t="inlineStr">
        <is>
          <t>L</t>
        </is>
      </c>
      <c r="L18" s="122" t="inlineStr">
        <is>
          <t>OP. PRODUKSI</t>
        </is>
      </c>
      <c r="M18" s="122">
        <f>VLOOKUP(B18,Sheet21!A:N,14,0)</f>
        <v/>
      </c>
      <c r="N18" s="129" t="inlineStr">
        <is>
          <t>PRODUKSI</t>
        </is>
      </c>
      <c r="O18" s="122" t="inlineStr">
        <is>
          <t>Operator Produksi</t>
        </is>
      </c>
      <c r="P18" s="122" t="inlineStr">
        <is>
          <t>HARIAN</t>
        </is>
      </c>
      <c r="Q18" s="130" t="inlineStr">
        <is>
          <t>KP. HEGARMANAH, RT/RW: 015/005, KEL:HEGARMANAH, KEC: BABAKANCIKAO, KAB: PURWAKARTA</t>
        </is>
      </c>
      <c r="R18" s="122" t="n">
        <v>15</v>
      </c>
      <c r="S18" s="122" t="n">
        <v>5</v>
      </c>
      <c r="T18" s="137" t="n"/>
      <c r="U18" s="122" t="inlineStr">
        <is>
          <t>BABAKANCIKAO</t>
        </is>
      </c>
      <c r="V18" s="122" t="inlineStr">
        <is>
          <t>HEGARMANAH</t>
        </is>
      </c>
      <c r="W18" s="122" t="inlineStr">
        <is>
          <t>PURWAKARTA</t>
        </is>
      </c>
      <c r="X18" s="130" t="inlineStr">
        <is>
          <t>KP. HEGARMANAH, RT/RW: 015/005, KEL:HEGARMANAH, KEC: BABAKANCIKAO, KAB: PURWAKARTA</t>
        </is>
      </c>
      <c r="Y18" s="122" t="n">
        <v>81904860627</v>
      </c>
      <c r="Z18" s="131" t="inlineStr">
        <is>
          <t>ISLAM</t>
        </is>
      </c>
      <c r="AA18" s="122" t="inlineStr">
        <is>
          <t>SMK</t>
        </is>
      </c>
      <c r="AB18" s="132" t="n"/>
      <c r="AC18" s="17" t="n">
        <v>16</v>
      </c>
      <c r="AD18" s="133" t="n">
        <v>328000023</v>
      </c>
      <c r="AE18" s="134" t="inlineStr">
        <is>
          <t>KEPIN NUGRAHA</t>
        </is>
      </c>
      <c r="AF18" s="133" t="inlineStr">
        <is>
          <t>PRODUCTION</t>
        </is>
      </c>
      <c r="AG18" s="135" t="n">
        <v>23145801710</v>
      </c>
      <c r="AH18" s="136" t="n">
        <v>2394923444</v>
      </c>
    </row>
    <row r="19" ht="15.75" customHeight="1" s="169">
      <c r="A19" s="122">
        <f>A18+1</f>
        <v/>
      </c>
      <c r="B19" s="123" t="n">
        <v>328000024</v>
      </c>
      <c r="C19" s="122" t="inlineStr">
        <is>
          <t>3214121205990002</t>
        </is>
      </c>
      <c r="D19" s="124" t="inlineStr">
        <is>
          <t>ARUL MEILANA</t>
        </is>
      </c>
      <c r="E19" s="122" t="inlineStr">
        <is>
          <t>PURWAKARTA</t>
        </is>
      </c>
      <c r="F19" s="125" t="inlineStr">
        <is>
          <t>TKD</t>
        </is>
      </c>
      <c r="G19" s="125" t="inlineStr">
        <is>
          <t>Pak Wahyudin</t>
        </is>
      </c>
      <c r="H19" s="125" t="inlineStr">
        <is>
          <t>ANAKANYA PAK OLAN KARANG TARUNA BABAKANCIKAO</t>
        </is>
      </c>
      <c r="I19" s="127" t="n">
        <v>36292</v>
      </c>
      <c r="J19" s="128">
        <f>DATEDIF(I19, TODAY(), "Y") &amp; " tahun, " &amp; DATEDIF(I19, TODAY(), "YM") &amp; " bulan, " &amp; DATEDIF(I19, TODAY(), "MD") &amp; " hari"
</f>
        <v/>
      </c>
      <c r="K19" s="122" t="inlineStr">
        <is>
          <t>L</t>
        </is>
      </c>
      <c r="L19" s="122" t="inlineStr">
        <is>
          <t>OP. PRODUKSI</t>
        </is>
      </c>
      <c r="M19" s="122">
        <f>VLOOKUP(B19,Sheet21!A:N,14,0)</f>
        <v/>
      </c>
      <c r="N19" s="129" t="inlineStr">
        <is>
          <t>PRODUKSI</t>
        </is>
      </c>
      <c r="O19" s="122" t="inlineStr">
        <is>
          <t>Operator Produksi</t>
        </is>
      </c>
      <c r="P19" s="122" t="inlineStr">
        <is>
          <t>HARIAN</t>
        </is>
      </c>
      <c r="Q19" s="130" t="inlineStr">
        <is>
          <t>KP. KRAJAN, RT/RW: 007/003, KEL: BABAKANCIKAO, KEC: BABAKANCIKAO, KAB: PURWAKARTA</t>
        </is>
      </c>
      <c r="R19" s="122" t="n">
        <v>7</v>
      </c>
      <c r="S19" s="122" t="n">
        <v>3</v>
      </c>
      <c r="T19" s="137" t="n"/>
      <c r="U19" s="122" t="inlineStr">
        <is>
          <t>BABAKANCIKAO</t>
        </is>
      </c>
      <c r="V19" s="122" t="inlineStr">
        <is>
          <t>BABAKANCIKAO</t>
        </is>
      </c>
      <c r="W19" s="122" t="inlineStr">
        <is>
          <t>PURWAKARTA</t>
        </is>
      </c>
      <c r="X19" s="130" t="inlineStr">
        <is>
          <t>KP. KRAJAN, RT/RW: 007/003, KEL: BABAKANCIKAO, KEC: BABAKANCIKAO, KAB: PURWAKARTA</t>
        </is>
      </c>
      <c r="Y19" s="122" t="n">
        <v>85659593830</v>
      </c>
      <c r="Z19" s="131" t="inlineStr">
        <is>
          <t>ISLAM</t>
        </is>
      </c>
      <c r="AA19" s="122" t="inlineStr">
        <is>
          <t>SMK</t>
        </is>
      </c>
      <c r="AB19" s="132" t="n"/>
      <c r="AC19" s="17" t="n">
        <v>17</v>
      </c>
      <c r="AD19" s="133" t="n">
        <v>328000024</v>
      </c>
      <c r="AE19" s="134" t="inlineStr">
        <is>
          <t>ARUL MEILANA</t>
        </is>
      </c>
      <c r="AF19" s="133" t="inlineStr">
        <is>
          <t>PRODUCTION</t>
        </is>
      </c>
      <c r="AG19" s="135" t="n">
        <v>23145801397</v>
      </c>
      <c r="AH19" s="136" t="n">
        <v>1662734698</v>
      </c>
    </row>
    <row r="20" ht="15.75" customHeight="1" s="169">
      <c r="A20" s="122">
        <f>A19+1</f>
        <v/>
      </c>
      <c r="B20" s="123" t="n">
        <v>328000026</v>
      </c>
      <c r="C20" s="122" t="inlineStr">
        <is>
          <t>3214122012970003</t>
        </is>
      </c>
      <c r="D20" s="124" t="inlineStr">
        <is>
          <t>DEDE WAHYUDIN</t>
        </is>
      </c>
      <c r="E20" s="122" t="inlineStr">
        <is>
          <t>PURWAKARTA</t>
        </is>
      </c>
      <c r="F20" s="125" t="inlineStr">
        <is>
          <t>SMK 1 PWK</t>
        </is>
      </c>
      <c r="G20" s="96" t="n"/>
      <c r="H20" s="125" t="inlineStr">
        <is>
          <t>SMKN 1 PURWAKARTA</t>
        </is>
      </c>
      <c r="I20" s="127" t="n">
        <v>35784</v>
      </c>
      <c r="J20" s="128">
        <f>DATEDIF(I20, TODAY(), "Y") &amp; " tahun, " &amp; DATEDIF(I20, TODAY(), "YM") &amp; " bulan, " &amp; DATEDIF(I20, TODAY(), "MD") &amp; " hari"
</f>
        <v/>
      </c>
      <c r="K20" s="122" t="inlineStr">
        <is>
          <t>L</t>
        </is>
      </c>
      <c r="L20" s="122" t="inlineStr">
        <is>
          <t>OP. PRODUKSI</t>
        </is>
      </c>
      <c r="M20" s="122">
        <f>VLOOKUP(B20,Sheet21!A:N,14,0)</f>
        <v/>
      </c>
      <c r="N20" s="129" t="inlineStr">
        <is>
          <t>PRODUKSI</t>
        </is>
      </c>
      <c r="O20" s="122" t="inlineStr">
        <is>
          <t>Operator Produksi</t>
        </is>
      </c>
      <c r="P20" s="122" t="inlineStr">
        <is>
          <t>HARIAN</t>
        </is>
      </c>
      <c r="Q20" s="130" t="inlineStr">
        <is>
          <t>KP. PARUNGDADAP,  RT/RW: 002/001, KEL: HEGARMANAH, KEC: BABAKANCIKAO, KAB: PURWAKARTA</t>
        </is>
      </c>
      <c r="R20" s="122" t="n">
        <v>2</v>
      </c>
      <c r="S20" s="122" t="n">
        <v>1</v>
      </c>
      <c r="T20" s="137" t="n"/>
      <c r="U20" s="122" t="inlineStr">
        <is>
          <t>BABAKANCIKAO</t>
        </is>
      </c>
      <c r="V20" s="122" t="inlineStr">
        <is>
          <t>HEGARMANAH</t>
        </is>
      </c>
      <c r="W20" s="122" t="inlineStr">
        <is>
          <t>PURWAKARTA</t>
        </is>
      </c>
      <c r="X20" s="130" t="inlineStr">
        <is>
          <t>KP. PARUNGDADAP,  RT/RW: 002/001, KEL: HEGARMANAH, KEC: BABAKANCIKAO, KAB: PURWAKARTA</t>
        </is>
      </c>
      <c r="Y20" s="122" t="n">
        <v>87805771388</v>
      </c>
      <c r="Z20" s="131" t="inlineStr">
        <is>
          <t>ISLAM</t>
        </is>
      </c>
      <c r="AA20" s="122" t="inlineStr">
        <is>
          <t>SMK</t>
        </is>
      </c>
      <c r="AB20" s="132" t="n"/>
      <c r="AC20" s="17" t="n">
        <v>18</v>
      </c>
      <c r="AD20" s="133" t="n">
        <v>328000026</v>
      </c>
      <c r="AE20" s="134" t="inlineStr">
        <is>
          <t>DEDE WAHYUDIN</t>
        </is>
      </c>
      <c r="AF20" s="133" t="inlineStr">
        <is>
          <t>PRODUCTION</t>
        </is>
      </c>
      <c r="AG20" s="135" t="n">
        <v>23145801611</v>
      </c>
      <c r="AH20" s="136" t="n">
        <v>1661920367</v>
      </c>
    </row>
    <row r="21" ht="15.75" customHeight="1" s="169">
      <c r="A21" s="122">
        <f>A20+1</f>
        <v/>
      </c>
      <c r="B21" s="123" t="n">
        <v>328000027</v>
      </c>
      <c r="C21" s="122" t="inlineStr">
        <is>
          <t>3214122710000001</t>
        </is>
      </c>
      <c r="D21" s="124" t="inlineStr">
        <is>
          <t>GIGIN GINANJAR</t>
        </is>
      </c>
      <c r="E21" s="122" t="inlineStr">
        <is>
          <t>PURWAKARTA</t>
        </is>
      </c>
      <c r="F21" s="125" t="inlineStr">
        <is>
          <t>LINK</t>
        </is>
      </c>
      <c r="G21" s="96" t="n"/>
      <c r="H21" s="125" t="inlineStr">
        <is>
          <t>PT KMJ</t>
        </is>
      </c>
      <c r="I21" s="127" t="n">
        <v>36826</v>
      </c>
      <c r="J21" s="128">
        <f>DATEDIF(I21, TODAY(), "Y") &amp; " tahun, " &amp; DATEDIF(I21, TODAY(), "YM") &amp; " bulan, " &amp; DATEDIF(I21, TODAY(), "MD") &amp; " hari"
</f>
        <v/>
      </c>
      <c r="K21" s="122" t="inlineStr">
        <is>
          <t>L</t>
        </is>
      </c>
      <c r="L21" s="122" t="inlineStr">
        <is>
          <t>OP. PRODUKSI</t>
        </is>
      </c>
      <c r="M21" s="122">
        <f>VLOOKUP(B21,Sheet21!A:N,14,0)</f>
        <v/>
      </c>
      <c r="N21" s="129" t="inlineStr">
        <is>
          <t>PRODUKSI</t>
        </is>
      </c>
      <c r="O21" s="122" t="inlineStr">
        <is>
          <t>Operator Produksi</t>
        </is>
      </c>
      <c r="P21" s="122" t="inlineStr">
        <is>
          <t>HARIAN</t>
        </is>
      </c>
      <c r="Q21" s="130" t="inlineStr">
        <is>
          <t>KP. HEGARMANAH, RT/RW: 009/004, KEL: HEGARMANAH, KEC: BABAKANCIKAO, KAB: PURWAKARTA</t>
        </is>
      </c>
      <c r="R21" s="122" t="n">
        <v>9</v>
      </c>
      <c r="S21" s="122" t="n">
        <v>4</v>
      </c>
      <c r="T21" s="137" t="n"/>
      <c r="U21" s="122" t="inlineStr">
        <is>
          <t>BABAKANCIKAO</t>
        </is>
      </c>
      <c r="V21" s="122" t="inlineStr">
        <is>
          <t>HEGARMANAH</t>
        </is>
      </c>
      <c r="W21" s="122" t="inlineStr">
        <is>
          <t>PURWAKARTA</t>
        </is>
      </c>
      <c r="X21" s="130" t="inlineStr">
        <is>
          <t>KP. HEGARMANAH, RT/RW: 009/004, KEL: HEGARMANAH, KEC: BABAKANCIKAO, KAB: PURWAKARTA</t>
        </is>
      </c>
      <c r="Y21" s="122" t="n">
        <v>85975256235</v>
      </c>
      <c r="Z21" s="131" t="inlineStr">
        <is>
          <t>ISLAM</t>
        </is>
      </c>
      <c r="AA21" s="122" t="inlineStr">
        <is>
          <t>SMK</t>
        </is>
      </c>
      <c r="AB21" s="132" t="n"/>
      <c r="AC21" s="17" t="n">
        <v>19</v>
      </c>
      <c r="AD21" s="133" t="n">
        <v>328000027</v>
      </c>
      <c r="AE21" s="134" t="inlineStr">
        <is>
          <t>GIGIN GINANJAR</t>
        </is>
      </c>
      <c r="AF21" s="133" t="inlineStr">
        <is>
          <t>PRODUCTION</t>
        </is>
      </c>
      <c r="AG21" s="135" t="n">
        <v>23145801520</v>
      </c>
      <c r="AH21" s="136" t="n">
        <v>2441918799</v>
      </c>
    </row>
    <row r="22" ht="15.75" customHeight="1" s="169">
      <c r="A22" s="122">
        <f>A21+1</f>
        <v/>
      </c>
      <c r="B22" s="123" t="n">
        <v>328000028</v>
      </c>
      <c r="C22" s="122" t="inlineStr">
        <is>
          <t>3214120901980005</t>
        </is>
      </c>
      <c r="D22" s="124" t="inlineStr">
        <is>
          <t>TISNA GINANJAR</t>
        </is>
      </c>
      <c r="E22" s="122" t="inlineStr">
        <is>
          <t>PURWAKARTA</t>
        </is>
      </c>
      <c r="F22" s="125" t="inlineStr">
        <is>
          <t>TKD</t>
        </is>
      </c>
      <c r="G22" s="125" t="inlineStr">
        <is>
          <t xml:space="preserve">Karang Taruna Hegarmanah </t>
        </is>
      </c>
      <c r="H22" s="125" t="inlineStr">
        <is>
          <t>DARI SMK 1 PURWAKARTA</t>
        </is>
      </c>
      <c r="I22" s="127" t="n">
        <v>35804</v>
      </c>
      <c r="J22" s="128">
        <f>DATEDIF(I22, TODAY(), "Y") &amp; " tahun, " &amp; DATEDIF(I22, TODAY(), "YM") &amp; " bulan, " &amp; DATEDIF(I22, TODAY(), "MD") &amp; " hari"
</f>
        <v/>
      </c>
      <c r="K22" s="122" t="inlineStr">
        <is>
          <t>L</t>
        </is>
      </c>
      <c r="L22" s="122" t="inlineStr">
        <is>
          <t>OP. PRODUKSI</t>
        </is>
      </c>
      <c r="M22" s="122">
        <f>VLOOKUP(B22,Sheet21!A:N,14,0)</f>
        <v/>
      </c>
      <c r="N22" s="129" t="inlineStr">
        <is>
          <t>PRODUKSI</t>
        </is>
      </c>
      <c r="O22" s="122" t="inlineStr">
        <is>
          <t>Operator Produksi</t>
        </is>
      </c>
      <c r="P22" s="122" t="inlineStr">
        <is>
          <t>HARIAN</t>
        </is>
      </c>
      <c r="Q22" s="130" t="inlineStr">
        <is>
          <t>KP. WARUNGBUAH, RT/RW: 003/002, KEL: HEGARMANANAH, KEC: BABAKANCIKAO, KAB: PURWAKARTA</t>
        </is>
      </c>
      <c r="R22" s="122" t="n">
        <v>3</v>
      </c>
      <c r="S22" s="122" t="n">
        <v>2</v>
      </c>
      <c r="T22" s="137" t="n"/>
      <c r="U22" s="122" t="inlineStr">
        <is>
          <t>BABAKANCIKAO</t>
        </is>
      </c>
      <c r="V22" s="122" t="inlineStr">
        <is>
          <t>HEGARMANAH</t>
        </is>
      </c>
      <c r="W22" s="122" t="inlineStr">
        <is>
          <t>PURWAKARTA</t>
        </is>
      </c>
      <c r="X22" s="130" t="inlineStr">
        <is>
          <t>KP. WARUNGBUAH, RT/RW: 003/002, KEL: HEGARMANANAH, KEC: BABAKANCIKAO, KAB: PURWAKARTA</t>
        </is>
      </c>
      <c r="Y22" s="122" t="n">
        <v>87848729995</v>
      </c>
      <c r="Z22" s="131" t="inlineStr">
        <is>
          <t>ISLAM</t>
        </is>
      </c>
      <c r="AA22" s="122" t="inlineStr">
        <is>
          <t>SMK</t>
        </is>
      </c>
      <c r="AB22" s="132" t="n"/>
      <c r="AC22" s="17" t="n">
        <v>20</v>
      </c>
      <c r="AD22" s="133" t="n">
        <v>328000028</v>
      </c>
      <c r="AE22" s="134" t="inlineStr">
        <is>
          <t>TISNA GINANJAR</t>
        </is>
      </c>
      <c r="AF22" s="133" t="inlineStr">
        <is>
          <t>PRODUCTION</t>
        </is>
      </c>
      <c r="AG22" s="135" t="n">
        <v>23145801678</v>
      </c>
      <c r="AH22" s="136" t="n">
        <v>1182631015</v>
      </c>
    </row>
    <row r="23" ht="15.75" customHeight="1" s="169">
      <c r="A23" s="122">
        <f>A22+1</f>
        <v/>
      </c>
      <c r="B23" s="123" t="n">
        <v>328000030</v>
      </c>
      <c r="C23" s="122" t="inlineStr">
        <is>
          <t>3214012312040001</t>
        </is>
      </c>
      <c r="D23" s="124" t="inlineStr">
        <is>
          <t>DAVA PUTRA YUDIANSYAH</t>
        </is>
      </c>
      <c r="E23" s="122" t="inlineStr">
        <is>
          <t>PURWAKARTA</t>
        </is>
      </c>
      <c r="F23" s="125" t="inlineStr">
        <is>
          <t>TKD</t>
        </is>
      </c>
      <c r="G23" s="125" t="inlineStr">
        <is>
          <t xml:space="preserve">Kades Hegarmanah </t>
        </is>
      </c>
      <c r="H23" s="125" t="inlineStr">
        <is>
          <t>MENANTU ANGGOTA BPD HEGARMANAH</t>
        </is>
      </c>
      <c r="I23" s="127" t="n">
        <v>38344</v>
      </c>
      <c r="J23" s="128">
        <f>DATEDIF(I23, TODAY(), "Y") &amp; " tahun, " &amp; DATEDIF(I23, TODAY(), "YM") &amp; " bulan, " &amp; DATEDIF(I23, TODAY(), "MD") &amp; " hari"
</f>
        <v/>
      </c>
      <c r="K23" s="122" t="inlineStr">
        <is>
          <t>L</t>
        </is>
      </c>
      <c r="L23" s="122" t="inlineStr">
        <is>
          <t>OP. PRODUKSI</t>
        </is>
      </c>
      <c r="M23" s="122">
        <f>VLOOKUP(B23,Sheet21!A:N,14,0)</f>
        <v/>
      </c>
      <c r="N23" s="129" t="inlineStr">
        <is>
          <t>PRODUKSI</t>
        </is>
      </c>
      <c r="O23" s="122" t="inlineStr">
        <is>
          <t>Operator Produksi</t>
        </is>
      </c>
      <c r="P23" s="122" t="inlineStr">
        <is>
          <t>HARIAN</t>
        </is>
      </c>
      <c r="Q23" s="130" t="inlineStr">
        <is>
          <t>KP. KARANGSARI, RT/RW: 009/002, KEL: CITALANG, KEC: PURWAKARTA, KAB : PURWAKARTA</t>
        </is>
      </c>
      <c r="R23" s="122" t="n">
        <v>9</v>
      </c>
      <c r="S23" s="122" t="n">
        <v>2</v>
      </c>
      <c r="T23" s="137" t="n"/>
      <c r="U23" s="122" t="inlineStr">
        <is>
          <t>PURWAKARTA</t>
        </is>
      </c>
      <c r="V23" s="122" t="inlineStr">
        <is>
          <t>CITALANG</t>
        </is>
      </c>
      <c r="W23" s="122" t="inlineStr">
        <is>
          <t>PURWAKARTA</t>
        </is>
      </c>
      <c r="X23" s="130" t="inlineStr">
        <is>
          <t>KP. KARANGSARI, RT/RW: 009/002, KEL: CITALANG, KEC: PURWAKARTA, KAB : PURWAKARTA</t>
        </is>
      </c>
      <c r="Y23" s="122" t="n">
        <v>81573273756</v>
      </c>
      <c r="Z23" s="131" t="inlineStr">
        <is>
          <t>ISLAM</t>
        </is>
      </c>
      <c r="AA23" s="122" t="inlineStr">
        <is>
          <t>SMK</t>
        </is>
      </c>
      <c r="AB23" s="132" t="n"/>
      <c r="AC23" s="17" t="n">
        <v>21</v>
      </c>
      <c r="AD23" s="133" t="n">
        <v>328000030</v>
      </c>
      <c r="AE23" s="134" t="inlineStr">
        <is>
          <t>DAVA PUTRA YUDIANSYAH</t>
        </is>
      </c>
      <c r="AF23" s="133" t="inlineStr">
        <is>
          <t>PRODUCTION</t>
        </is>
      </c>
      <c r="AG23" s="135" t="n">
        <v>23145801553</v>
      </c>
      <c r="AH23" s="136" t="n">
        <v>3561017027</v>
      </c>
    </row>
    <row r="24" ht="15.75" customHeight="1" s="169">
      <c r="A24" s="122">
        <f>A23+1</f>
        <v/>
      </c>
      <c r="B24" s="123" t="n">
        <v>328000032</v>
      </c>
      <c r="C24" s="122" t="inlineStr">
        <is>
          <t>3214120103010005</t>
        </is>
      </c>
      <c r="D24" s="124" t="inlineStr">
        <is>
          <t>RUBY SUBASTIAN</t>
        </is>
      </c>
      <c r="E24" s="122" t="inlineStr">
        <is>
          <t>PURWAKARTA</t>
        </is>
      </c>
      <c r="F24" s="125" t="inlineStr">
        <is>
          <t>SMK 1 PWK</t>
        </is>
      </c>
      <c r="G24" s="96" t="n"/>
      <c r="H24" s="125" t="inlineStr">
        <is>
          <t>SMKN 1 PURWAKARTA</t>
        </is>
      </c>
      <c r="I24" s="127" t="n">
        <v>36951</v>
      </c>
      <c r="J24" s="128">
        <f>DATEDIF(I24, TODAY(), "Y") &amp; " tahun, " &amp; DATEDIF(I24, TODAY(), "YM") &amp; " bulan, " &amp; DATEDIF(I24, TODAY(), "MD") &amp; " hari"
</f>
        <v/>
      </c>
      <c r="K24" s="122" t="inlineStr">
        <is>
          <t>L</t>
        </is>
      </c>
      <c r="L24" s="122" t="inlineStr">
        <is>
          <t>OP. PRODUKSI</t>
        </is>
      </c>
      <c r="M24" s="122">
        <f>VLOOKUP(B24,Sheet21!A:N,14,0)</f>
        <v/>
      </c>
      <c r="N24" s="129" t="inlineStr">
        <is>
          <t>PRODUKSI</t>
        </is>
      </c>
      <c r="O24" s="122" t="inlineStr">
        <is>
          <t>Operator Produksi</t>
        </is>
      </c>
      <c r="P24" s="122" t="inlineStr">
        <is>
          <t>HARIAN</t>
        </is>
      </c>
      <c r="Q24" s="130" t="inlineStr">
        <is>
          <t>KP.NAGRAK RT/RW: 002/001, KEL: CICADAS, KEC: BABAKANCIKAO, KAB: PURWAKARTA</t>
        </is>
      </c>
      <c r="R24" s="122" t="n">
        <v>2</v>
      </c>
      <c r="S24" s="122" t="n">
        <v>3</v>
      </c>
      <c r="T24" s="137" t="n"/>
      <c r="U24" s="122" t="inlineStr">
        <is>
          <t>BABAKANCIKAO</t>
        </is>
      </c>
      <c r="V24" s="122" t="inlineStr">
        <is>
          <t>CICADAS</t>
        </is>
      </c>
      <c r="W24" s="122" t="inlineStr">
        <is>
          <t>PURWAKARTA</t>
        </is>
      </c>
      <c r="X24" s="130" t="inlineStr">
        <is>
          <t>KP.NAGRAK RT/RW: 002/001, KEL: CICADAS, KEC: BABAKANCIKAO, KAB: PURWAKARTA</t>
        </is>
      </c>
      <c r="Y24" s="122" t="n">
        <v>83128938031</v>
      </c>
      <c r="Z24" s="131" t="inlineStr">
        <is>
          <t>ISLAM</t>
        </is>
      </c>
      <c r="AA24" s="122" t="inlineStr">
        <is>
          <t>SMK</t>
        </is>
      </c>
      <c r="AB24" s="132" t="n"/>
      <c r="AC24" s="17" t="n">
        <v>22</v>
      </c>
      <c r="AD24" s="133" t="n">
        <v>328000032</v>
      </c>
      <c r="AE24" s="134" t="inlineStr">
        <is>
          <t>RUBY SUBASTIAN</t>
        </is>
      </c>
      <c r="AF24" s="133" t="inlineStr">
        <is>
          <t>PRODUCTION</t>
        </is>
      </c>
      <c r="AG24" s="135" t="n">
        <v>23145801603</v>
      </c>
      <c r="AH24" s="136" t="n">
        <v>1523375076</v>
      </c>
    </row>
    <row r="25" ht="15.75" customHeight="1" s="169">
      <c r="A25" s="122">
        <f>A24+1</f>
        <v/>
      </c>
      <c r="B25" s="123" t="n">
        <v>328000033</v>
      </c>
      <c r="C25" s="122" t="inlineStr">
        <is>
          <t>3214120305040002</t>
        </is>
      </c>
      <c r="D25" s="124" t="inlineStr">
        <is>
          <t>HENDRA</t>
        </is>
      </c>
      <c r="E25" s="122" t="inlineStr">
        <is>
          <t>PURWAKARTA</t>
        </is>
      </c>
      <c r="F25" s="125" t="inlineStr">
        <is>
          <t>SMK 1 PWK</t>
        </is>
      </c>
      <c r="G25" s="96" t="n"/>
      <c r="H25" s="125" t="inlineStr">
        <is>
          <t>SMKN 1 PURWAKARTA</t>
        </is>
      </c>
      <c r="I25" s="127" t="n">
        <v>38110</v>
      </c>
      <c r="J25" s="128">
        <f>DATEDIF(I25, TODAY(), "Y") &amp; " tahun, " &amp; DATEDIF(I25, TODAY(), "YM") &amp; " bulan, " &amp; DATEDIF(I25, TODAY(), "MD") &amp; " hari"
</f>
        <v/>
      </c>
      <c r="K25" s="122" t="inlineStr">
        <is>
          <t>L</t>
        </is>
      </c>
      <c r="L25" s="122" t="inlineStr">
        <is>
          <t>OP. PRODUKSI</t>
        </is>
      </c>
      <c r="M25" s="122">
        <f>VLOOKUP(B25,Sheet21!A:N,14,0)</f>
        <v/>
      </c>
      <c r="N25" s="129" t="inlineStr">
        <is>
          <t>PRODUKSI</t>
        </is>
      </c>
      <c r="O25" s="122" t="inlineStr">
        <is>
          <t>Operator Produksi</t>
        </is>
      </c>
      <c r="P25" s="122" t="inlineStr">
        <is>
          <t>HARIAN</t>
        </is>
      </c>
      <c r="Q25" s="130" t="inlineStr">
        <is>
          <t>KP. BAYUR, RT/RW: 006/003, KEL: HEGARMANAH, KEC: BABAKANCIKAO, KAB: PURWAKARTA</t>
        </is>
      </c>
      <c r="R25" s="122" t="n">
        <v>6</v>
      </c>
      <c r="S25" s="122" t="n">
        <v>3</v>
      </c>
      <c r="T25" s="137" t="n"/>
      <c r="U25" s="122" t="inlineStr">
        <is>
          <t>BABAKANCIKAO</t>
        </is>
      </c>
      <c r="V25" s="122" t="inlineStr">
        <is>
          <t>HEGARMANAH</t>
        </is>
      </c>
      <c r="W25" s="122" t="inlineStr">
        <is>
          <t>PURWAKARTA</t>
        </is>
      </c>
      <c r="X25" s="130" t="inlineStr">
        <is>
          <t>KP. BAYUR, RT/RW: 006/003, KEL: HEGARMANAH, KEC: BABAKANCIKAO, KAB: PURWAKARTA</t>
        </is>
      </c>
      <c r="Y25" s="122" t="n">
        <v>83816579615</v>
      </c>
      <c r="Z25" s="131" t="inlineStr">
        <is>
          <t>ISLAM</t>
        </is>
      </c>
      <c r="AA25" s="122" t="inlineStr">
        <is>
          <t>SMK</t>
        </is>
      </c>
      <c r="AB25" s="132" t="n"/>
      <c r="AC25" s="17" t="n">
        <v>23</v>
      </c>
      <c r="AD25" s="133" t="n">
        <v>328000033</v>
      </c>
      <c r="AE25" s="134" t="inlineStr">
        <is>
          <t>HENDRA</t>
        </is>
      </c>
      <c r="AF25" s="133" t="inlineStr">
        <is>
          <t>PRODUCTION</t>
        </is>
      </c>
      <c r="AG25" s="135" t="n">
        <v>23145801405</v>
      </c>
      <c r="AH25" s="136" t="n">
        <v>480652446</v>
      </c>
    </row>
    <row r="26" ht="15.75" customHeight="1" s="169">
      <c r="A26" s="122">
        <f>A25+1</f>
        <v/>
      </c>
      <c r="B26" s="123" t="n">
        <v>328000036</v>
      </c>
      <c r="C26" s="122" t="inlineStr">
        <is>
          <t>3214122203010002</t>
        </is>
      </c>
      <c r="D26" s="124" t="inlineStr">
        <is>
          <t>FESAL FAUZAN</t>
        </is>
      </c>
      <c r="E26" s="122" t="inlineStr">
        <is>
          <t>PURWAKARTA</t>
        </is>
      </c>
      <c r="F26" s="125" t="inlineStr">
        <is>
          <t>SMK 1 PWK</t>
        </is>
      </c>
      <c r="G26" s="96" t="n"/>
      <c r="H26" s="125" t="inlineStr">
        <is>
          <t>SMKN 1 PURWAKARTA</t>
        </is>
      </c>
      <c r="I26" s="127" t="n">
        <v>37156</v>
      </c>
      <c r="J26" s="128">
        <f>DATEDIF(I26, TODAY(), "Y") &amp; " tahun, " &amp; DATEDIF(I26, TODAY(), "YM") &amp; " bulan, " &amp; DATEDIF(I26, TODAY(), "MD") &amp; " hari"
</f>
        <v/>
      </c>
      <c r="K26" s="122" t="inlineStr">
        <is>
          <t>L</t>
        </is>
      </c>
      <c r="L26" s="122" t="inlineStr">
        <is>
          <t>OP. PRODUKSI</t>
        </is>
      </c>
      <c r="M26" s="122">
        <f>VLOOKUP(B26,Sheet21!A:N,14,0)</f>
        <v/>
      </c>
      <c r="N26" s="129" t="inlineStr">
        <is>
          <t>PRODUKSI</t>
        </is>
      </c>
      <c r="O26" s="122" t="inlineStr">
        <is>
          <t>Operator Produksi</t>
        </is>
      </c>
      <c r="P26" s="122" t="inlineStr">
        <is>
          <t>HARIAN</t>
        </is>
      </c>
      <c r="Q26" s="130" t="inlineStr">
        <is>
          <t>KP. WARUNGBUAH, RT/RW: 015/006, KEL: HEGARMANANAH, KEC: BABAKANCIKAO, KAB: PURWAKARTA</t>
        </is>
      </c>
      <c r="R26" s="122" t="n">
        <v>15</v>
      </c>
      <c r="S26" s="122" t="n">
        <v>6</v>
      </c>
      <c r="T26" s="137" t="n"/>
      <c r="U26" s="122" t="inlineStr">
        <is>
          <t>BABAKANCIKAO</t>
        </is>
      </c>
      <c r="V26" s="122" t="inlineStr">
        <is>
          <t>HEGARMANAH</t>
        </is>
      </c>
      <c r="W26" s="122" t="inlineStr">
        <is>
          <t>PURWAKARTA</t>
        </is>
      </c>
      <c r="X26" s="130" t="inlineStr">
        <is>
          <t>KP. WARUNGBUAH, RT/RW: 015/006, KEL: HEGARMANANAH, KEC: BABAKANCIKAO, KAB: PURWAKARTA</t>
        </is>
      </c>
      <c r="Y26" s="122" t="n">
        <v>881023479878</v>
      </c>
      <c r="Z26" s="131" t="inlineStr">
        <is>
          <t>ISLAM</t>
        </is>
      </c>
      <c r="AA26" s="122" t="inlineStr">
        <is>
          <t>SMK</t>
        </is>
      </c>
      <c r="AB26" s="132" t="n"/>
      <c r="AC26" s="17" t="n">
        <v>24</v>
      </c>
      <c r="AD26" s="133" t="n">
        <v>328000036</v>
      </c>
      <c r="AE26" s="134" t="inlineStr">
        <is>
          <t>FESAL FAUZAN</t>
        </is>
      </c>
      <c r="AF26" s="133" t="inlineStr">
        <is>
          <t>PRODUCTION</t>
        </is>
      </c>
      <c r="AG26" s="135" t="n">
        <v>23145801561</v>
      </c>
      <c r="AH26" s="136" t="n">
        <v>1523374593</v>
      </c>
    </row>
    <row r="27" ht="15.75" customHeight="1" s="169">
      <c r="A27" s="122">
        <f>A26+1</f>
        <v/>
      </c>
      <c r="B27" s="123" t="n">
        <v>328000037</v>
      </c>
      <c r="C27" s="122" t="inlineStr">
        <is>
          <t>3214121806050002</t>
        </is>
      </c>
      <c r="D27" s="124" t="inlineStr">
        <is>
          <t>KURNIADI</t>
        </is>
      </c>
      <c r="E27" s="122" t="inlineStr">
        <is>
          <t>PURWAKARTA</t>
        </is>
      </c>
      <c r="F27" s="125" t="inlineStr">
        <is>
          <t>SMK 1 PWK</t>
        </is>
      </c>
      <c r="G27" s="96" t="n"/>
      <c r="H27" s="125" t="inlineStr">
        <is>
          <t>SMKN 1 PURWAKARTA</t>
        </is>
      </c>
      <c r="I27" s="127" t="n">
        <v>38551</v>
      </c>
      <c r="J27" s="128">
        <f>DATEDIF(I27, TODAY(), "Y") &amp; " tahun, " &amp; DATEDIF(I27, TODAY(), "YM") &amp; " bulan, " &amp; DATEDIF(I27, TODAY(), "MD") &amp; " hari"
</f>
        <v/>
      </c>
      <c r="K27" s="122" t="inlineStr">
        <is>
          <t>L</t>
        </is>
      </c>
      <c r="L27" s="122" t="inlineStr">
        <is>
          <t>OP. PRODUKSI</t>
        </is>
      </c>
      <c r="M27" s="122">
        <f>VLOOKUP(B27,Sheet21!A:N,14,0)</f>
        <v/>
      </c>
      <c r="N27" s="129" t="inlineStr">
        <is>
          <t>PRODUKSI</t>
        </is>
      </c>
      <c r="O27" s="122" t="inlineStr">
        <is>
          <t>Operator Produksi</t>
        </is>
      </c>
      <c r="P27" s="122" t="inlineStr">
        <is>
          <t>HARIAN</t>
        </is>
      </c>
      <c r="Q27" s="130" t="inlineStr">
        <is>
          <t>KP. BAYUR, RT/RW: 007/003, KEL: HEGARMANAH, KEC: BABAKANCIKAO, KAB: PURWAKARTA</t>
        </is>
      </c>
      <c r="R27" s="122" t="n">
        <v>7</v>
      </c>
      <c r="S27" s="122" t="n">
        <v>3</v>
      </c>
      <c r="T27" s="137" t="n"/>
      <c r="U27" s="122" t="inlineStr">
        <is>
          <t>BABAKANCIKAO</t>
        </is>
      </c>
      <c r="V27" s="122" t="inlineStr">
        <is>
          <t>HEGARMANAH</t>
        </is>
      </c>
      <c r="W27" s="122" t="inlineStr">
        <is>
          <t>PURWAKARTA</t>
        </is>
      </c>
      <c r="X27" s="130" t="inlineStr">
        <is>
          <t>KP. BAYUR, RT/RW: 007/003, KEL: HEGARMANAH, KEC: BABAKANCIKAO, KAB: PURWAKARTA</t>
        </is>
      </c>
      <c r="Y27" s="122" t="n">
        <v>881022424333</v>
      </c>
      <c r="Z27" s="131" t="inlineStr">
        <is>
          <t>ISLAM</t>
        </is>
      </c>
      <c r="AA27" s="122" t="inlineStr">
        <is>
          <t>SMK</t>
        </is>
      </c>
      <c r="AB27" s="132" t="n"/>
      <c r="AC27" s="17" t="n">
        <v>25</v>
      </c>
      <c r="AD27" s="133" t="n">
        <v>328000037</v>
      </c>
      <c r="AE27" s="134" t="inlineStr">
        <is>
          <t>KURNIADI</t>
        </is>
      </c>
      <c r="AF27" s="133" t="inlineStr">
        <is>
          <t>PRODUCTION</t>
        </is>
      </c>
      <c r="AG27" s="135" t="n">
        <v>23145801439</v>
      </c>
      <c r="AH27" s="136" t="n">
        <v>2177064821</v>
      </c>
    </row>
    <row r="28" ht="15.75" customHeight="1" s="169">
      <c r="A28" s="122">
        <f>A27+1</f>
        <v/>
      </c>
      <c r="B28" s="123" t="n">
        <v>328000038</v>
      </c>
      <c r="C28" s="122" t="inlineStr">
        <is>
          <t>3214124502040001</t>
        </is>
      </c>
      <c r="D28" s="124" t="inlineStr">
        <is>
          <t>MESTHY PEBRIYANTI</t>
        </is>
      </c>
      <c r="E28" s="122" t="inlineStr">
        <is>
          <t>PURWAKARTA</t>
        </is>
      </c>
      <c r="F28" s="125" t="inlineStr">
        <is>
          <t>SMK 1 PWK</t>
        </is>
      </c>
      <c r="G28" s="96" t="n"/>
      <c r="H28" s="125" t="inlineStr">
        <is>
          <t>SMKN 1 PURWAKARTA</t>
        </is>
      </c>
      <c r="I28" s="127" t="n">
        <v>38022</v>
      </c>
      <c r="J28" s="128">
        <f>DATEDIF(I28, TODAY(), "Y") &amp; " tahun, " &amp; DATEDIF(I28, TODAY(), "YM") &amp; " bulan, " &amp; DATEDIF(I28, TODAY(), "MD") &amp; " hari"
</f>
        <v/>
      </c>
      <c r="K28" s="122" t="inlineStr">
        <is>
          <t>P</t>
        </is>
      </c>
      <c r="L28" s="122" t="inlineStr">
        <is>
          <t>QUALITY CONTROL</t>
        </is>
      </c>
      <c r="M28" s="122">
        <f>VLOOKUP(B28,Sheet21!A:N,14,0)</f>
        <v/>
      </c>
      <c r="N28" s="129" t="inlineStr">
        <is>
          <t>QC</t>
        </is>
      </c>
      <c r="O28" s="122" t="inlineStr">
        <is>
          <t>QC Lab</t>
        </is>
      </c>
      <c r="P28" s="122" t="inlineStr">
        <is>
          <t>HARIAN</t>
        </is>
      </c>
      <c r="Q28" s="130" t="inlineStr">
        <is>
          <t>KP. BAYUR, RT/RW: 08/03, DESA HEGARMANAH, KEC. BABAKANCIKAO, KAB. PURWAKARTA</t>
        </is>
      </c>
      <c r="R28" s="122" t="n">
        <v>8</v>
      </c>
      <c r="S28" s="122" t="n">
        <v>3</v>
      </c>
      <c r="T28" s="122" t="n">
        <v>41151</v>
      </c>
      <c r="U28" s="122" t="inlineStr">
        <is>
          <t>BABAKANCIKAO</t>
        </is>
      </c>
      <c r="V28" s="122" t="inlineStr">
        <is>
          <t>HEGARMANAH</t>
        </is>
      </c>
      <c r="W28" s="122" t="inlineStr">
        <is>
          <t>PURWAKARTA</t>
        </is>
      </c>
      <c r="X28" s="130" t="inlineStr">
        <is>
          <t>JL. INDUSTRI, KP. BAYUR, RT/RW.08/03, HEGARMANAH, BABAKANCIKAO, PURWAKARTA</t>
        </is>
      </c>
      <c r="Y28" s="122" t="n">
        <v>81385652728</v>
      </c>
      <c r="Z28" s="131" t="inlineStr">
        <is>
          <t>ISLAM</t>
        </is>
      </c>
      <c r="AA28" s="122" t="inlineStr">
        <is>
          <t>SMK</t>
        </is>
      </c>
      <c r="AB28" s="132" t="n"/>
      <c r="AC28" s="17" t="n">
        <v>26</v>
      </c>
      <c r="AD28" s="133" t="n">
        <v>328000038</v>
      </c>
      <c r="AE28" s="134" t="inlineStr">
        <is>
          <t>MESTHY PEBRIYANTI</t>
        </is>
      </c>
      <c r="AF28" s="133" t="inlineStr">
        <is>
          <t>QUALITY AND RESEARCH &amp; DEVELOPMENT</t>
        </is>
      </c>
      <c r="AG28" s="135" t="n">
        <v>23165960875</v>
      </c>
      <c r="AH28" s="136" t="n">
        <v>2519570823</v>
      </c>
    </row>
    <row r="29" ht="15.75" customHeight="1" s="169">
      <c r="A29" s="122">
        <f>A28+1</f>
        <v/>
      </c>
      <c r="B29" s="123" t="n">
        <v>328000039</v>
      </c>
      <c r="C29" s="122" t="inlineStr">
        <is>
          <t>3216026403000013</t>
        </is>
      </c>
      <c r="D29" s="124" t="inlineStr">
        <is>
          <t>DESTY MARLIANI</t>
        </is>
      </c>
      <c r="E29" s="122" t="inlineStr">
        <is>
          <t>BEKASI</t>
        </is>
      </c>
      <c r="F29" s="125" t="inlineStr">
        <is>
          <t>LINK</t>
        </is>
      </c>
      <c r="G29" s="96" t="n"/>
      <c r="H29" s="125" t="inlineStr">
        <is>
          <t>Ex AMG</t>
        </is>
      </c>
      <c r="I29" s="127" t="n">
        <v>36609</v>
      </c>
      <c r="J29" s="128">
        <f>DATEDIF(I29, TODAY(), "Y") &amp; " tahun, " &amp; DATEDIF(I29, TODAY(), "YM") &amp; " bulan, " &amp; DATEDIF(I29, TODAY(), "MD") &amp; " hari"
</f>
        <v/>
      </c>
      <c r="K29" s="122" t="inlineStr">
        <is>
          <t>P</t>
        </is>
      </c>
      <c r="L29" s="122" t="inlineStr">
        <is>
          <t>QUALITY CONTROL</t>
        </is>
      </c>
      <c r="M29" s="122">
        <f>VLOOKUP(B29,Sheet21!A:N,14,0)</f>
        <v/>
      </c>
      <c r="N29" s="129" t="inlineStr">
        <is>
          <t>QC</t>
        </is>
      </c>
      <c r="O29" s="122" t="inlineStr">
        <is>
          <t>QC Lab</t>
        </is>
      </c>
      <c r="P29" s="122" t="inlineStr">
        <is>
          <t>HARIAN</t>
        </is>
      </c>
      <c r="Q29" s="130" t="inlineStr">
        <is>
          <t>KP JATI, RT/RW: 003/015, KEL: KEBALEN, KEC: BABELAN KAB: BEKASI</t>
        </is>
      </c>
      <c r="R29" s="122" t="n">
        <v>3</v>
      </c>
      <c r="S29" s="122" t="n">
        <v>15</v>
      </c>
      <c r="T29" s="137" t="n"/>
      <c r="U29" s="122" t="inlineStr">
        <is>
          <t>BABELAN</t>
        </is>
      </c>
      <c r="V29" s="122" t="inlineStr">
        <is>
          <t>KEBALEN</t>
        </is>
      </c>
      <c r="W29" s="122" t="inlineStr">
        <is>
          <t>BEKASI</t>
        </is>
      </c>
      <c r="X29" s="130" t="inlineStr">
        <is>
          <t>KP JATI, RT/RW: 003/015, KEL: KEBALEN, KEC: BABELAN KAB: BEKASI</t>
        </is>
      </c>
      <c r="Y29" s="122" t="n">
        <v>895602305411</v>
      </c>
      <c r="Z29" s="131" t="inlineStr">
        <is>
          <t>ISLAM</t>
        </is>
      </c>
      <c r="AA29" s="122" t="inlineStr">
        <is>
          <t>SMA</t>
        </is>
      </c>
      <c r="AB29" s="132" t="n"/>
      <c r="AC29" s="17" t="n">
        <v>27</v>
      </c>
      <c r="AD29" s="133" t="n">
        <v>328000039</v>
      </c>
      <c r="AE29" s="134" t="inlineStr">
        <is>
          <t>DESTY MARLIANI</t>
        </is>
      </c>
      <c r="AF29" s="133" t="inlineStr">
        <is>
          <t>QUALITY AND RESEARCH &amp; DEVELOPMENT</t>
        </is>
      </c>
      <c r="AG29" s="135" t="n">
        <v>23165960677</v>
      </c>
      <c r="AH29" s="136" t="n">
        <v>1011888134</v>
      </c>
    </row>
    <row r="30" ht="15.75" customHeight="1" s="169">
      <c r="A30" s="122">
        <f>A29+1</f>
        <v/>
      </c>
      <c r="B30" s="123" t="n">
        <v>328000040</v>
      </c>
      <c r="C30" s="122" t="inlineStr">
        <is>
          <t>3205252303960001</t>
        </is>
      </c>
      <c r="D30" s="124" t="inlineStr">
        <is>
          <t>ASEP KAMALUDIN</t>
        </is>
      </c>
      <c r="E30" s="122" t="inlineStr">
        <is>
          <t>GARUT</t>
        </is>
      </c>
      <c r="F30" s="125" t="inlineStr">
        <is>
          <t>LINK</t>
        </is>
      </c>
      <c r="G30" s="96" t="n"/>
      <c r="H30" s="125" t="inlineStr">
        <is>
          <t>Ex AMG</t>
        </is>
      </c>
      <c r="I30" s="127" t="n">
        <v>35178</v>
      </c>
      <c r="J30" s="128">
        <f>DATEDIF(I30, TODAY(), "Y") &amp; " tahun, " &amp; DATEDIF(I30, TODAY(), "YM") &amp; " bulan, " &amp; DATEDIF(I30, TODAY(), "MD") &amp; " hari"
</f>
        <v/>
      </c>
      <c r="K30" s="122" t="inlineStr">
        <is>
          <t>L</t>
        </is>
      </c>
      <c r="L30" s="122" t="inlineStr">
        <is>
          <t>QUALITY PATROL</t>
        </is>
      </c>
      <c r="M30" s="122">
        <f>VLOOKUP(B30,Sheet21!A:N,14,0)</f>
        <v/>
      </c>
      <c r="N30" s="129" t="inlineStr">
        <is>
          <t>QC</t>
        </is>
      </c>
      <c r="O30" s="122" t="inlineStr">
        <is>
          <t>QC Patrol</t>
        </is>
      </c>
      <c r="P30" s="122" t="inlineStr">
        <is>
          <t>HARIAN</t>
        </is>
      </c>
      <c r="Q30" s="130" t="inlineStr">
        <is>
          <t>KP. CISANGKAL, RT/RW: 001/003, KEL: CIHURIP, KEC: CISANGKAL, KAB: GARUT</t>
        </is>
      </c>
      <c r="R30" s="122" t="n">
        <v>1</v>
      </c>
      <c r="S30" s="122" t="n">
        <v>3</v>
      </c>
      <c r="T30" s="137" t="n"/>
      <c r="U30" s="122" t="inlineStr">
        <is>
          <t>CISANGKAL</t>
        </is>
      </c>
      <c r="V30" s="122" t="inlineStr">
        <is>
          <t>CIHURIP</t>
        </is>
      </c>
      <c r="W30" s="122" t="inlineStr">
        <is>
          <t>GARUT</t>
        </is>
      </c>
      <c r="X30" s="130" t="inlineStr">
        <is>
          <t>KP. CISANGKAL, RT/RW. 001/003, KEL. CIHURIP, KEL. CISANGKAL, KAB. GARUT</t>
        </is>
      </c>
      <c r="Y30" s="122" t="n">
        <v>81219699174</v>
      </c>
      <c r="Z30" s="131" t="inlineStr">
        <is>
          <t>ISLAM</t>
        </is>
      </c>
      <c r="AA30" s="122" t="inlineStr">
        <is>
          <t>SMK</t>
        </is>
      </c>
      <c r="AB30" s="132" t="n"/>
      <c r="AC30" s="17" t="n">
        <v>28</v>
      </c>
      <c r="AD30" s="133" t="n">
        <v>328000040</v>
      </c>
      <c r="AE30" s="134" t="inlineStr">
        <is>
          <t>ASEP KAMALUDIN</t>
        </is>
      </c>
      <c r="AF30" s="133" t="inlineStr">
        <is>
          <t>QUALITY AND RESEARCH &amp; DEVELOPMENT</t>
        </is>
      </c>
      <c r="AG30" s="135" t="n">
        <v>23165961220</v>
      </c>
      <c r="AH30" s="136" t="n">
        <v>422142884</v>
      </c>
    </row>
    <row r="31" ht="15.75" customHeight="1" s="169">
      <c r="A31" s="122">
        <f>A30+1</f>
        <v/>
      </c>
      <c r="B31" s="123" t="n">
        <v>328000041</v>
      </c>
      <c r="C31" s="122" t="inlineStr">
        <is>
          <t>3214015808040007</t>
        </is>
      </c>
      <c r="D31" s="124" t="inlineStr">
        <is>
          <t>BUNGA ADELIYA</t>
        </is>
      </c>
      <c r="E31" s="122" t="inlineStr">
        <is>
          <t>PURWAKARTA</t>
        </is>
      </c>
      <c r="F31" s="125" t="inlineStr">
        <is>
          <t>TKD</t>
        </is>
      </c>
      <c r="G31" s="125" t="inlineStr">
        <is>
          <t>Pak Wahyudin</t>
        </is>
      </c>
      <c r="H31" s="125" t="inlineStr">
        <is>
          <t>KEPONAKAN PAK WAHYUDIN</t>
        </is>
      </c>
      <c r="I31" s="127" t="n">
        <v>38217</v>
      </c>
      <c r="J31" s="128">
        <f>DATEDIF(I31, TODAY(), "Y") &amp; " tahun, " &amp; DATEDIF(I31, TODAY(), "YM") &amp; " bulan, " &amp; DATEDIF(I31, TODAY(), "MD") &amp; " hari"
</f>
        <v/>
      </c>
      <c r="K31" s="122" t="inlineStr">
        <is>
          <t>P</t>
        </is>
      </c>
      <c r="L31" s="122" t="inlineStr">
        <is>
          <t>PACKER</t>
        </is>
      </c>
      <c r="M31" s="122">
        <f>VLOOKUP(B31,Sheet21!A:N,14,0)</f>
        <v/>
      </c>
      <c r="N31" s="129" t="inlineStr">
        <is>
          <t>PRODUKSI</t>
        </is>
      </c>
      <c r="O31" s="122" t="inlineStr">
        <is>
          <t>Packer</t>
        </is>
      </c>
      <c r="P31" s="122" t="inlineStr">
        <is>
          <t>HARIAN</t>
        </is>
      </c>
      <c r="Q31" s="130" t="inlineStr">
        <is>
          <t>JL.LODAYA KP.BARU, RT/TW: 002/001, KEL: NAGRI TENGAH, KEC: PURWAKARTA, KAB: PURWAKARTA</t>
        </is>
      </c>
      <c r="R31" s="122" t="n">
        <v>2</v>
      </c>
      <c r="S31" s="122" t="n">
        <v>1</v>
      </c>
      <c r="T31" s="122" t="n">
        <v>41115</v>
      </c>
      <c r="U31" s="122" t="inlineStr">
        <is>
          <t>PURWAKARTA</t>
        </is>
      </c>
      <c r="V31" s="122" t="inlineStr">
        <is>
          <t>NAGRI TENGAH</t>
        </is>
      </c>
      <c r="W31" s="122" t="inlineStr">
        <is>
          <t>PURWAKARTA</t>
        </is>
      </c>
      <c r="X31" s="130" t="inlineStr">
        <is>
          <t>JL.LODAYA KP.BARU, RT/TW: 002/001, KEL: NAGRI TENGAH, KEC: PURWAKARTA, KAB: PURWAKARTA</t>
        </is>
      </c>
      <c r="Y31" s="122" t="n">
        <v>8997090942</v>
      </c>
      <c r="Z31" s="131" t="inlineStr">
        <is>
          <t>ISLAM</t>
        </is>
      </c>
      <c r="AA31" s="122" t="inlineStr">
        <is>
          <t>SMA</t>
        </is>
      </c>
      <c r="AB31" s="132" t="n"/>
      <c r="AC31" s="17" t="n">
        <v>29</v>
      </c>
      <c r="AD31" s="133" t="n">
        <v>328000041</v>
      </c>
      <c r="AE31" s="134" t="inlineStr">
        <is>
          <t>BUNGA ADELIYA</t>
        </is>
      </c>
      <c r="AF31" s="133" t="inlineStr">
        <is>
          <t>PRODUCTION</t>
        </is>
      </c>
      <c r="AG31" s="135" t="n">
        <v>23165960602</v>
      </c>
      <c r="AH31" s="136" t="n">
        <v>1659877817</v>
      </c>
    </row>
    <row r="32" ht="15.75" customHeight="1" s="169">
      <c r="A32" s="122">
        <f>A31+1</f>
        <v/>
      </c>
      <c r="B32" s="123" t="n">
        <v>328000042</v>
      </c>
      <c r="C32" s="122" t="inlineStr">
        <is>
          <t>3214126006040001</t>
        </is>
      </c>
      <c r="D32" s="124" t="inlineStr">
        <is>
          <t>CINDY AMELIA</t>
        </is>
      </c>
      <c r="E32" s="122" t="inlineStr">
        <is>
          <t>PURWAKARTA</t>
        </is>
      </c>
      <c r="F32" s="125" t="inlineStr">
        <is>
          <t>SMK 1 PWK</t>
        </is>
      </c>
      <c r="G32" s="96" t="n"/>
      <c r="H32" s="125" t="inlineStr">
        <is>
          <t>SMKN 1 PURWAKARTA</t>
        </is>
      </c>
      <c r="I32" s="127" t="n">
        <v>38158</v>
      </c>
      <c r="J32" s="128">
        <f>DATEDIF(I32, TODAY(), "Y") &amp; " tahun, " &amp; DATEDIF(I32, TODAY(), "YM") &amp; " bulan, " &amp; DATEDIF(I32, TODAY(), "MD") &amp; " hari"
</f>
        <v/>
      </c>
      <c r="K32" s="122" t="inlineStr">
        <is>
          <t>P</t>
        </is>
      </c>
      <c r="L32" s="122" t="inlineStr">
        <is>
          <t>PACKER</t>
        </is>
      </c>
      <c r="M32" s="122">
        <f>VLOOKUP(B32,Sheet21!A:N,14,0)</f>
        <v/>
      </c>
      <c r="N32" s="129" t="inlineStr">
        <is>
          <t>PRODUKSI</t>
        </is>
      </c>
      <c r="O32" s="122" t="inlineStr">
        <is>
          <t>Packer</t>
        </is>
      </c>
      <c r="P32" s="122" t="inlineStr">
        <is>
          <t>HARIAN</t>
        </is>
      </c>
      <c r="Q32" s="130" t="inlineStr">
        <is>
          <t>KP. BAYUR, RT/RW: 006/003, KEL: HEGARMANAH, KEC: BABAKANCIKAO, KAB: PURWAKARTA</t>
        </is>
      </c>
      <c r="R32" s="122" t="n">
        <v>6</v>
      </c>
      <c r="S32" s="122" t="n">
        <v>3</v>
      </c>
      <c r="T32" s="137" t="n"/>
      <c r="U32" s="122" t="inlineStr">
        <is>
          <t>BABAKANCIKAO</t>
        </is>
      </c>
      <c r="V32" s="122" t="inlineStr">
        <is>
          <t>HEGARMANAH</t>
        </is>
      </c>
      <c r="W32" s="122" t="inlineStr">
        <is>
          <t>PURWAKARTA</t>
        </is>
      </c>
      <c r="X32" s="130" t="inlineStr">
        <is>
          <t>KP. BAYUR, RT/RW: 006/003, KEL: HEGARMANAH, KEC: BABAKANCIKAO, KAB: PURWAKARTA</t>
        </is>
      </c>
      <c r="Y32" s="122" t="n">
        <v>89687962574</v>
      </c>
      <c r="Z32" s="131" t="inlineStr">
        <is>
          <t>ISLAM</t>
        </is>
      </c>
      <c r="AA32" s="122" t="inlineStr">
        <is>
          <t>SMK</t>
        </is>
      </c>
      <c r="AB32" s="132" t="n"/>
      <c r="AC32" s="17" t="n">
        <v>30</v>
      </c>
      <c r="AD32" s="133" t="n">
        <v>328000042</v>
      </c>
      <c r="AE32" s="134" t="inlineStr">
        <is>
          <t>CINDY AMELIA</t>
        </is>
      </c>
      <c r="AF32" s="133" t="inlineStr">
        <is>
          <t>PRODUCTION</t>
        </is>
      </c>
      <c r="AG32" s="135" t="n">
        <v>23165960909</v>
      </c>
      <c r="AH32" s="136" t="n">
        <v>2394908763</v>
      </c>
    </row>
    <row r="33" ht="15.75" customHeight="1" s="169">
      <c r="A33" s="122">
        <f>A32+1</f>
        <v/>
      </c>
      <c r="B33" s="123" t="n">
        <v>328000043</v>
      </c>
      <c r="C33" s="122" t="inlineStr">
        <is>
          <t>3214126211020002</t>
        </is>
      </c>
      <c r="D33" s="124" t="inlineStr">
        <is>
          <t>ANDINI NOVIA RAMADANI</t>
        </is>
      </c>
      <c r="E33" s="122" t="inlineStr">
        <is>
          <t>PURWAKARTA</t>
        </is>
      </c>
      <c r="F33" s="125" t="inlineStr">
        <is>
          <t>SMK 1 PWK</t>
        </is>
      </c>
      <c r="G33" s="96" t="n"/>
      <c r="H33" s="125" t="inlineStr">
        <is>
          <t>SMKN 1 PURWAKARTA</t>
        </is>
      </c>
      <c r="I33" s="127" t="n">
        <v>37582</v>
      </c>
      <c r="J33" s="128">
        <f>DATEDIF(I33, TODAY(), "Y") &amp; " tahun, " &amp; DATEDIF(I33, TODAY(), "YM") &amp; " bulan, " &amp; DATEDIF(I33, TODAY(), "MD") &amp; " hari"
</f>
        <v/>
      </c>
      <c r="K33" s="122" t="inlineStr">
        <is>
          <t>P</t>
        </is>
      </c>
      <c r="L33" s="122" t="inlineStr">
        <is>
          <t>PACKER</t>
        </is>
      </c>
      <c r="M33" s="122">
        <f>VLOOKUP(B33,Sheet21!A:N,14,0)</f>
        <v/>
      </c>
      <c r="N33" s="129" t="inlineStr">
        <is>
          <t>PRODUKSI</t>
        </is>
      </c>
      <c r="O33" s="122" t="inlineStr">
        <is>
          <t>Packer</t>
        </is>
      </c>
      <c r="P33" s="122" t="inlineStr">
        <is>
          <t>HARIAN</t>
        </is>
      </c>
      <c r="Q33" s="130" t="inlineStr">
        <is>
          <t>KP. RAWABOLANG, RT/RW:023/007, KEL: MARACANG, KEC: BABKANCIKAO, KAB PURWAKARTA</t>
        </is>
      </c>
      <c r="R33" s="122" t="n">
        <v>23</v>
      </c>
      <c r="S33" s="122" t="n">
        <v>7</v>
      </c>
      <c r="T33" s="122" t="n">
        <v>41151</v>
      </c>
      <c r="U33" s="122" t="inlineStr">
        <is>
          <t>BABAKANCIKAO</t>
        </is>
      </c>
      <c r="V33" s="122" t="inlineStr">
        <is>
          <t>MARACANG</t>
        </is>
      </c>
      <c r="W33" s="122" t="inlineStr">
        <is>
          <t>PURWAKARTA</t>
        </is>
      </c>
      <c r="X33" s="130" t="inlineStr">
        <is>
          <t>KP. RAWABOLANG, RT/RW:023/007, KEL: MARACANG, KEC: BABKANCIKAO, KAB PURWAKARTA</t>
        </is>
      </c>
      <c r="Y33" s="122" t="n">
        <v>89616721122</v>
      </c>
      <c r="Z33" s="131" t="inlineStr">
        <is>
          <t>ISLAM</t>
        </is>
      </c>
      <c r="AA33" s="122" t="inlineStr">
        <is>
          <t>SMK</t>
        </is>
      </c>
      <c r="AB33" s="132" t="n"/>
      <c r="AC33" s="17" t="n">
        <v>31</v>
      </c>
      <c r="AD33" s="133" t="n">
        <v>328000043</v>
      </c>
      <c r="AE33" s="134" t="inlineStr">
        <is>
          <t>ANDINI NOVIA RAMADANI</t>
        </is>
      </c>
      <c r="AF33" s="133" t="inlineStr">
        <is>
          <t>PRODUCTION</t>
        </is>
      </c>
      <c r="AG33" s="135" t="n">
        <v>23165961170</v>
      </c>
      <c r="AH33" s="136" t="n">
        <v>481262567</v>
      </c>
    </row>
    <row r="34" ht="15.75" customHeight="1" s="169">
      <c r="A34" s="122">
        <f>A33+1</f>
        <v/>
      </c>
      <c r="B34" s="123" t="n">
        <v>328000047</v>
      </c>
      <c r="C34" s="122" t="inlineStr">
        <is>
          <t>3275064402020004</t>
        </is>
      </c>
      <c r="D34" s="124" t="inlineStr">
        <is>
          <t>SITI RACHMAH</t>
        </is>
      </c>
      <c r="E34" s="122" t="inlineStr">
        <is>
          <t>BEKASI</t>
        </is>
      </c>
      <c r="F34" s="125" t="inlineStr">
        <is>
          <t>LINK</t>
        </is>
      </c>
      <c r="G34" s="96" t="n"/>
      <c r="H34" s="125" t="inlineStr">
        <is>
          <t>Ex AMG</t>
        </is>
      </c>
      <c r="I34" s="127" t="n">
        <v>37291</v>
      </c>
      <c r="J34" s="128">
        <f>DATEDIF(I34, TODAY(), "Y") &amp; " tahun, " &amp; DATEDIF(I34, TODAY(), "YM") &amp; " bulan, " &amp; DATEDIF(I34, TODAY(), "MD") &amp; " hari"
</f>
        <v/>
      </c>
      <c r="K34" s="122" t="inlineStr">
        <is>
          <t>P</t>
        </is>
      </c>
      <c r="L34" s="122" t="inlineStr">
        <is>
          <t>PACKER</t>
        </is>
      </c>
      <c r="M34" s="122">
        <f>VLOOKUP(B34,Sheet21!A:N,14,0)</f>
        <v/>
      </c>
      <c r="N34" s="129" t="inlineStr">
        <is>
          <t>PRODUKSI</t>
        </is>
      </c>
      <c r="O34" s="122" t="inlineStr">
        <is>
          <t>Packer</t>
        </is>
      </c>
      <c r="P34" s="122" t="inlineStr">
        <is>
          <t>HARIAN</t>
        </is>
      </c>
      <c r="Q34" s="130" t="inlineStr">
        <is>
          <t>KA BAHAGIA, RT/RW : 002/004, KEL : PEJUANG, KEC : MEDAN SATRIA KOTA BEKASI</t>
        </is>
      </c>
      <c r="R34" s="122" t="n">
        <v>2</v>
      </c>
      <c r="S34" s="122" t="n">
        <v>4</v>
      </c>
      <c r="T34" s="137" t="n"/>
      <c r="U34" s="122" t="inlineStr">
        <is>
          <t>MEDAN SATRIA</t>
        </is>
      </c>
      <c r="V34" s="122" t="inlineStr">
        <is>
          <t>PEJUANG</t>
        </is>
      </c>
      <c r="W34" s="122" t="inlineStr">
        <is>
          <t>KOTA BEKASI</t>
        </is>
      </c>
      <c r="X34" s="130" t="inlineStr">
        <is>
          <t>KA BAHAGIA, RT/RW : 002/004, KEL : PEJUANG, KEC : MEDAN SATRIA</t>
        </is>
      </c>
      <c r="Y34" s="122" t="n">
        <v>895323389885</v>
      </c>
      <c r="Z34" s="131" t="inlineStr">
        <is>
          <t>ISLAM</t>
        </is>
      </c>
      <c r="AA34" s="122" t="inlineStr">
        <is>
          <t>SMK</t>
        </is>
      </c>
      <c r="AB34" s="132" t="n"/>
      <c r="AC34" s="17" t="n">
        <v>32</v>
      </c>
      <c r="AD34" s="133" t="n">
        <v>328000047</v>
      </c>
      <c r="AE34" s="134" t="inlineStr">
        <is>
          <t>SITI RACHMAH</t>
        </is>
      </c>
      <c r="AF34" s="133" t="inlineStr">
        <is>
          <t>PRODUCTION</t>
        </is>
      </c>
      <c r="AG34" s="135" t="n">
        <v>23165960768</v>
      </c>
      <c r="AH34" s="136" t="n">
        <v>1622134214</v>
      </c>
    </row>
    <row r="35" ht="15.75" customHeight="1" s="169">
      <c r="A35" s="122">
        <f>A34+1</f>
        <v/>
      </c>
      <c r="B35" s="123" t="n">
        <v>328000049</v>
      </c>
      <c r="C35" s="122" t="inlineStr">
        <is>
          <t>3207106701010001</t>
        </is>
      </c>
      <c r="D35" s="124" t="inlineStr">
        <is>
          <t>SRI HERAWATI</t>
        </is>
      </c>
      <c r="E35" s="122" t="inlineStr">
        <is>
          <t>CIAMIS</t>
        </is>
      </c>
      <c r="F35" s="125" t="inlineStr">
        <is>
          <t>LINK</t>
        </is>
      </c>
      <c r="G35" s="96" t="n"/>
      <c r="H35" s="125" t="inlineStr">
        <is>
          <t>Ex AMG</t>
        </is>
      </c>
      <c r="I35" s="127" t="n">
        <v>36918</v>
      </c>
      <c r="J35" s="128">
        <f>DATEDIF(I35, TODAY(), "Y") &amp; " tahun, " &amp; DATEDIF(I35, TODAY(), "YM") &amp; " bulan, " &amp; DATEDIF(I35, TODAY(), "MD") &amp; " hari"
</f>
        <v/>
      </c>
      <c r="K35" s="122" t="inlineStr">
        <is>
          <t>P</t>
        </is>
      </c>
      <c r="L35" s="122" t="inlineStr">
        <is>
          <t>PACKER</t>
        </is>
      </c>
      <c r="M35" s="122">
        <f>VLOOKUP(B35,Sheet21!A:N,14,0)</f>
        <v/>
      </c>
      <c r="N35" s="129" t="inlineStr">
        <is>
          <t>PRODUKSI</t>
        </is>
      </c>
      <c r="O35" s="122" t="inlineStr">
        <is>
          <t>Packer</t>
        </is>
      </c>
      <c r="P35" s="122" t="inlineStr">
        <is>
          <t>HARIAN</t>
        </is>
      </c>
      <c r="Q35" s="130" t="inlineStr">
        <is>
          <t>DUSUN MANIS, RT/RW: 003/002, KEL: SAGALA HERANG, KEC: PANAWANGAN, KAB: CIAMIS</t>
        </is>
      </c>
      <c r="R35" s="122" t="n">
        <v>3</v>
      </c>
      <c r="S35" s="122" t="n">
        <v>2</v>
      </c>
      <c r="T35" s="137" t="n"/>
      <c r="U35" s="122" t="inlineStr">
        <is>
          <t>PANAWANGAN</t>
        </is>
      </c>
      <c r="V35" s="122" t="inlineStr">
        <is>
          <t>SAGALAHERANG</t>
        </is>
      </c>
      <c r="W35" s="122" t="inlineStr">
        <is>
          <t>CIAMIS</t>
        </is>
      </c>
      <c r="X35" s="130" t="inlineStr">
        <is>
          <t>DUSUN MANIS, RT/RW: 003/002, KEL: SAGALA HERANG, KEC: PANAWANGAN, KAB: CIAMIS</t>
        </is>
      </c>
      <c r="Y35" s="122" t="n">
        <v>83827774899</v>
      </c>
      <c r="Z35" s="131" t="inlineStr">
        <is>
          <t>ISLAM</t>
        </is>
      </c>
      <c r="AA35" s="122" t="inlineStr">
        <is>
          <t>SMK</t>
        </is>
      </c>
      <c r="AB35" s="132" t="n"/>
      <c r="AC35" s="17" t="n">
        <v>33</v>
      </c>
      <c r="AD35" s="133" t="n">
        <v>328000049</v>
      </c>
      <c r="AE35" s="134" t="inlineStr">
        <is>
          <t>SRI HERAWATI</t>
        </is>
      </c>
      <c r="AF35" s="133" t="inlineStr">
        <is>
          <t>PRODUCTION</t>
        </is>
      </c>
      <c r="AG35" s="135" t="n">
        <v>23165960651</v>
      </c>
      <c r="AH35" s="136" t="n">
        <v>1006199875</v>
      </c>
    </row>
    <row r="36" ht="15.75" customHeight="1" s="169">
      <c r="A36" s="122">
        <f>A35+1</f>
        <v/>
      </c>
      <c r="B36" s="123" t="n">
        <v>328000051</v>
      </c>
      <c r="C36" s="122" t="inlineStr">
        <is>
          <t>3303184306020001</t>
        </is>
      </c>
      <c r="D36" s="124" t="inlineStr">
        <is>
          <t>YUNI WULANDARI</t>
        </is>
      </c>
      <c r="E36" s="122" t="inlineStr">
        <is>
          <t>PURBALINGGA</t>
        </is>
      </c>
      <c r="F36" s="125" t="inlineStr">
        <is>
          <t>LINK</t>
        </is>
      </c>
      <c r="G36" s="96" t="n"/>
      <c r="H36" s="125" t="inlineStr">
        <is>
          <t>Ex AMG</t>
        </is>
      </c>
      <c r="I36" s="127" t="n">
        <v>37410</v>
      </c>
      <c r="J36" s="128">
        <f>DATEDIF(I36, TODAY(), "Y") &amp; " tahun, " &amp; DATEDIF(I36, TODAY(), "YM") &amp; " bulan, " &amp; DATEDIF(I36, TODAY(), "MD") &amp; " hari"
</f>
        <v/>
      </c>
      <c r="K36" s="122" t="inlineStr">
        <is>
          <t>P</t>
        </is>
      </c>
      <c r="L36" s="122" t="inlineStr">
        <is>
          <t>PACKER</t>
        </is>
      </c>
      <c r="M36" s="122">
        <f>VLOOKUP(B36,Sheet21!A:N,14,0)</f>
        <v/>
      </c>
      <c r="N36" s="129" t="inlineStr">
        <is>
          <t>PRODUKSI</t>
        </is>
      </c>
      <c r="O36" s="122" t="inlineStr">
        <is>
          <t>Packer</t>
        </is>
      </c>
      <c r="P36" s="122" t="inlineStr">
        <is>
          <t>HARIAN</t>
        </is>
      </c>
      <c r="Q36" s="130" t="inlineStr">
        <is>
          <t>CONDONG, RT/RW: 007/001, KEL: CONDONG, KEC: KERTANEGARA, KAB: PURBALINGGA</t>
        </is>
      </c>
      <c r="R36" s="122" t="n">
        <v>7</v>
      </c>
      <c r="S36" s="122" t="n">
        <v>1</v>
      </c>
      <c r="T36" s="137" t="n"/>
      <c r="U36" s="122" t="inlineStr">
        <is>
          <t>KERTANEGARA</t>
        </is>
      </c>
      <c r="V36" s="122" t="inlineStr">
        <is>
          <t>CONDONG</t>
        </is>
      </c>
      <c r="W36" s="122" t="inlineStr">
        <is>
          <t>PURBALINGGA</t>
        </is>
      </c>
      <c r="X36" s="130" t="inlineStr">
        <is>
          <t>CONDONG, RT/RW: 007/001, KEL: CONDONG, KEC: KERTANEGARA, KAB: PURBALINGGA</t>
        </is>
      </c>
      <c r="Y36" s="122" t="n">
        <v>85647858336</v>
      </c>
      <c r="Z36" s="131" t="inlineStr">
        <is>
          <t>ISLAM</t>
        </is>
      </c>
      <c r="AA36" s="122" t="inlineStr">
        <is>
          <t>SMK</t>
        </is>
      </c>
      <c r="AB36" s="132" t="n"/>
      <c r="AC36" s="17" t="n">
        <v>34</v>
      </c>
      <c r="AD36" s="133" t="n">
        <v>328000051</v>
      </c>
      <c r="AE36" s="134" t="inlineStr">
        <is>
          <t>YUNI WULANDARI</t>
        </is>
      </c>
      <c r="AF36" s="133" t="inlineStr">
        <is>
          <t>PRODUCTION</t>
        </is>
      </c>
      <c r="AG36" s="135" t="n">
        <v>23165960982</v>
      </c>
      <c r="AH36" s="136" t="n">
        <v>1017490768</v>
      </c>
    </row>
    <row r="37" ht="15.75" customHeight="1" s="169">
      <c r="A37" s="122">
        <f>A36+1</f>
        <v/>
      </c>
      <c r="B37" s="123" t="n">
        <v>328000052</v>
      </c>
      <c r="C37" s="122" t="inlineStr">
        <is>
          <t>3214121105980002</t>
        </is>
      </c>
      <c r="D37" s="124" t="inlineStr">
        <is>
          <t>DIMAS NUGROHO</t>
        </is>
      </c>
      <c r="E37" s="122" t="inlineStr">
        <is>
          <t>BEKASI</t>
        </is>
      </c>
      <c r="F37" s="125" t="inlineStr">
        <is>
          <t>TKD</t>
        </is>
      </c>
      <c r="G37" s="125" t="inlineStr">
        <is>
          <t>Pak Wahyudin</t>
        </is>
      </c>
      <c r="H37" s="125" t="inlineStr">
        <is>
          <t>TITIPAN KARANG TARUNA HEGARMANAH</t>
        </is>
      </c>
      <c r="I37" s="127" t="n">
        <v>35926</v>
      </c>
      <c r="J37" s="128">
        <f>DATEDIF(I37, TODAY(), "Y") &amp; " tahun, " &amp; DATEDIF(I37, TODAY(), "YM") &amp; " bulan, " &amp; DATEDIF(I37, TODAY(), "MD") &amp; " hari"
</f>
        <v/>
      </c>
      <c r="K37" s="122" t="inlineStr">
        <is>
          <t>L</t>
        </is>
      </c>
      <c r="L37" s="122" t="inlineStr">
        <is>
          <t>ADMIN WSP</t>
        </is>
      </c>
      <c r="M37" s="122">
        <f>VLOOKUP(B37,Sheet21!A:N,14,0)</f>
        <v/>
      </c>
      <c r="N37" s="129" t="inlineStr">
        <is>
          <t>ENG</t>
        </is>
      </c>
      <c r="O37" s="122" t="inlineStr">
        <is>
          <t>Admin WSP</t>
        </is>
      </c>
      <c r="P37" s="122" t="inlineStr">
        <is>
          <t>HARIAN</t>
        </is>
      </c>
      <c r="Q37" s="130" t="inlineStr">
        <is>
          <t>KP. PARUNG DADAP RT/RW:001/001 DESA HEGARMANAH, KEC. BABAKANCIKAO, KAB. PURWAKARTA</t>
        </is>
      </c>
      <c r="R37" s="122" t="n">
        <v>1</v>
      </c>
      <c r="S37" s="122" t="n">
        <v>1</v>
      </c>
      <c r="T37" s="122" t="n">
        <v>41151</v>
      </c>
      <c r="U37" s="122" t="inlineStr">
        <is>
          <t>BABAKANCIKAO</t>
        </is>
      </c>
      <c r="V37" s="122" t="inlineStr">
        <is>
          <t>HEGARMANAH</t>
        </is>
      </c>
      <c r="W37" s="122" t="inlineStr">
        <is>
          <t>PURWAKARTA</t>
        </is>
      </c>
      <c r="X37" s="130" t="inlineStr">
        <is>
          <t>KP. PARUNG DADAP RT/RW:001/001 DESA HEGARMANAH, KEC. BABAKANCIKAO, KAB. PURWAKARTA</t>
        </is>
      </c>
      <c r="Y37" s="122" t="n">
        <v>89658115353</v>
      </c>
      <c r="Z37" s="131" t="inlineStr">
        <is>
          <t>ISLAM</t>
        </is>
      </c>
      <c r="AA37" s="122" t="inlineStr">
        <is>
          <t>SMK</t>
        </is>
      </c>
      <c r="AB37" s="132" t="n"/>
      <c r="AC37" s="17" t="n">
        <v>35</v>
      </c>
      <c r="AD37" s="133" t="n">
        <v>328000052</v>
      </c>
      <c r="AE37" s="134" t="inlineStr">
        <is>
          <t>DIMAS NUGROHO</t>
        </is>
      </c>
      <c r="AF37" s="133" t="inlineStr">
        <is>
          <t>LOGISTIC</t>
        </is>
      </c>
      <c r="AG37" s="135" t="n">
        <v>23165960883</v>
      </c>
      <c r="AH37" s="136" t="n">
        <v>1883668983</v>
      </c>
    </row>
    <row r="38" ht="15.75" customHeight="1" s="169">
      <c r="A38" s="122">
        <f>A37+1</f>
        <v/>
      </c>
      <c r="B38" s="123" t="n">
        <v>328000053</v>
      </c>
      <c r="C38" s="122" t="inlineStr">
        <is>
          <t>1216064401970002</t>
        </is>
      </c>
      <c r="D38" s="124" t="inlineStr">
        <is>
          <t>VERA PURBA</t>
        </is>
      </c>
      <c r="E38" s="122" t="inlineStr">
        <is>
          <t>TOMUAN NAULI</t>
        </is>
      </c>
      <c r="F38" s="125" t="inlineStr">
        <is>
          <t>LINK</t>
        </is>
      </c>
      <c r="G38" s="96" t="n"/>
      <c r="H38" s="125" t="inlineStr">
        <is>
          <t>Ex AMG</t>
        </is>
      </c>
      <c r="I38" s="127" t="n">
        <v>35434</v>
      </c>
      <c r="J38" s="128">
        <f>DATEDIF(I38, TODAY(), "Y") &amp; " tahun, " &amp; DATEDIF(I38, TODAY(), "YM") &amp; " bulan, " &amp; DATEDIF(I38, TODAY(), "MD") &amp; " hari"
</f>
        <v/>
      </c>
      <c r="K38" s="122" t="inlineStr">
        <is>
          <t>P</t>
        </is>
      </c>
      <c r="L38" s="122" t="inlineStr">
        <is>
          <t>ADM PRODUKSI</t>
        </is>
      </c>
      <c r="M38" s="122">
        <f>VLOOKUP(B38,Sheet21!A:N,14,0)</f>
        <v/>
      </c>
      <c r="N38" s="129" t="inlineStr">
        <is>
          <t>PRODUKSI</t>
        </is>
      </c>
      <c r="O38" s="122" t="inlineStr">
        <is>
          <t>Admin Produksi</t>
        </is>
      </c>
      <c r="P38" s="122" t="inlineStr">
        <is>
          <t>HARIAN</t>
        </is>
      </c>
      <c r="Q38" s="130" t="inlineStr">
        <is>
          <t>PERUM BUMI HEGAR ASIH CIMAUNG JLN. ANGGREK 3 NO:61, RT/RW: 006/008, KEL: CISEUREUH, KEC: PURWAKARTA, KAB: PURWAKARTA</t>
        </is>
      </c>
      <c r="R38" s="122" t="n">
        <v>6</v>
      </c>
      <c r="S38" s="122" t="n">
        <v>8</v>
      </c>
      <c r="T38" s="137" t="n"/>
      <c r="U38" s="122" t="inlineStr">
        <is>
          <t>PURWAKARTA</t>
        </is>
      </c>
      <c r="V38" s="122" t="inlineStr">
        <is>
          <t>CISEUREUH</t>
        </is>
      </c>
      <c r="W38" s="122" t="inlineStr">
        <is>
          <t>PURWAKARTA</t>
        </is>
      </c>
      <c r="X38" s="130" t="inlineStr">
        <is>
          <t>PERUM BUMI HEGAR ASIH CIMAUNG JLN. ANGGREK 3 NO:61, RT/RW: 006/008, KEL: CISEUREUH, KEC: PURWAKARTA, KAB: PURWAKARTA</t>
        </is>
      </c>
      <c r="Y38" s="122" t="n">
        <v>81382137201</v>
      </c>
      <c r="Z38" s="131" t="inlineStr">
        <is>
          <t>KRISTEN</t>
        </is>
      </c>
      <c r="AA38" s="122" t="inlineStr">
        <is>
          <t>S1</t>
        </is>
      </c>
      <c r="AB38" s="132" t="n"/>
      <c r="AC38" s="17" t="n">
        <v>36</v>
      </c>
      <c r="AD38" s="133" t="n">
        <v>328000053</v>
      </c>
      <c r="AE38" s="134" t="inlineStr">
        <is>
          <t>VERA PURBA</t>
        </is>
      </c>
      <c r="AF38" s="133" t="inlineStr">
        <is>
          <t>PRODUCTION</t>
        </is>
      </c>
      <c r="AG38" s="135" t="n">
        <v>23165960693</v>
      </c>
      <c r="AH38" s="136" t="n">
        <v>2940886157</v>
      </c>
    </row>
    <row r="39" ht="15.75" customHeight="1" s="169">
      <c r="A39" s="122">
        <f>A38+1</f>
        <v/>
      </c>
      <c r="B39" s="123" t="n">
        <v>328000054</v>
      </c>
      <c r="C39" s="122" t="inlineStr">
        <is>
          <t>3275067010990013</t>
        </is>
      </c>
      <c r="D39" s="124" t="inlineStr">
        <is>
          <t>CHIKA PITALOKA</t>
        </is>
      </c>
      <c r="E39" s="122" t="inlineStr">
        <is>
          <t>BEKASI</t>
        </is>
      </c>
      <c r="F39" s="125" t="inlineStr">
        <is>
          <t>LINK</t>
        </is>
      </c>
      <c r="G39" s="96" t="n"/>
      <c r="H39" s="125" t="inlineStr">
        <is>
          <t>Ex AMG</t>
        </is>
      </c>
      <c r="I39" s="127" t="n">
        <v>36464</v>
      </c>
      <c r="J39" s="128">
        <f>DATEDIF(I39, TODAY(), "Y") &amp; " tahun, " &amp; DATEDIF(I39, TODAY(), "YM") &amp; " bulan, " &amp; DATEDIF(I39, TODAY(), "MD") &amp; " hari"
</f>
        <v/>
      </c>
      <c r="K39" s="122" t="inlineStr">
        <is>
          <t>P</t>
        </is>
      </c>
      <c r="L39" s="122" t="inlineStr">
        <is>
          <t>PACKER</t>
        </is>
      </c>
      <c r="M39" s="122">
        <f>VLOOKUP(B39,Sheet21!A:N,14,0)</f>
        <v/>
      </c>
      <c r="N39" s="129" t="inlineStr">
        <is>
          <t>PRODUKSI</t>
        </is>
      </c>
      <c r="O39" s="122" t="inlineStr">
        <is>
          <t>Packer</t>
        </is>
      </c>
      <c r="P39" s="122" t="inlineStr">
        <is>
          <t>HARIAN</t>
        </is>
      </c>
      <c r="Q39" s="130" t="inlineStr">
        <is>
          <t>JL HARAPAN INDAH TANAH APIT, RT/RW : 003/009, KEL : MEDAN SATRIA, KEC : MEDAN SATIRA KOTA BEKASI</t>
        </is>
      </c>
      <c r="R39" s="122" t="n">
        <v>3</v>
      </c>
      <c r="S39" s="122" t="n">
        <v>9</v>
      </c>
      <c r="T39" s="137" t="n"/>
      <c r="U39" s="122" t="inlineStr">
        <is>
          <t>MEDAN SATRIA</t>
        </is>
      </c>
      <c r="V39" s="122" t="inlineStr">
        <is>
          <t>MEDAN SATRIA</t>
        </is>
      </c>
      <c r="W39" s="122" t="inlineStr">
        <is>
          <t>KOTA BEKASI</t>
        </is>
      </c>
      <c r="X39" s="130" t="inlineStr">
        <is>
          <t>JL HARAPAN INDAH TANAH APIT, RT/RW : 003/009, KEL : MEDAN SATRIA, KEC : MEDAN SATIRA</t>
        </is>
      </c>
      <c r="Y39" s="122" t="n">
        <v>895332517291</v>
      </c>
      <c r="Z39" s="131" t="inlineStr">
        <is>
          <t>ISLAM</t>
        </is>
      </c>
      <c r="AA39" s="122" t="inlineStr">
        <is>
          <t>SMK</t>
        </is>
      </c>
      <c r="AB39" s="132" t="n"/>
      <c r="AC39" s="17" t="n">
        <v>37</v>
      </c>
      <c r="AD39" s="133" t="n">
        <v>328000054</v>
      </c>
      <c r="AE39" s="134" t="inlineStr">
        <is>
          <t>CHIKA PITALOKA</t>
        </is>
      </c>
      <c r="AF39" s="133" t="inlineStr">
        <is>
          <t>PRODUCTION</t>
        </is>
      </c>
      <c r="AG39" s="135" t="n">
        <v>23165960990</v>
      </c>
      <c r="AH39" s="136" t="n">
        <v>509762092</v>
      </c>
    </row>
    <row r="40" ht="15.75" customHeight="1" s="169">
      <c r="A40" s="122">
        <f>A39+1</f>
        <v/>
      </c>
      <c r="B40" s="123" t="n">
        <v>328000063</v>
      </c>
      <c r="C40" s="122" t="inlineStr">
        <is>
          <t>3214122707030001</t>
        </is>
      </c>
      <c r="D40" s="124" t="inlineStr">
        <is>
          <t>RIZKI AGUNG</t>
        </is>
      </c>
      <c r="E40" s="122" t="inlineStr">
        <is>
          <t>PURWAKARTA</t>
        </is>
      </c>
      <c r="F40" s="125" t="inlineStr">
        <is>
          <t>SMK 1 PWK</t>
        </is>
      </c>
      <c r="G40" s="96" t="n"/>
      <c r="H40" s="125" t="inlineStr">
        <is>
          <t>SMKN 1 PURWAKARTA</t>
        </is>
      </c>
      <c r="I40" s="127" t="n">
        <v>37829</v>
      </c>
      <c r="J40" s="128">
        <f>DATEDIF(I40, TODAY(), "Y") &amp; " tahun, " &amp; DATEDIF(I40, TODAY(), "YM") &amp; " bulan, " &amp; DATEDIF(I40, TODAY(), "MD") &amp; " hari"
</f>
        <v/>
      </c>
      <c r="K40" s="122" t="inlineStr">
        <is>
          <t>L</t>
        </is>
      </c>
      <c r="L40" s="122" t="inlineStr">
        <is>
          <t>PACKER</t>
        </is>
      </c>
      <c r="M40" s="122">
        <f>VLOOKUP(B40,Sheet21!A:N,14,0)</f>
        <v/>
      </c>
      <c r="N40" s="129" t="inlineStr">
        <is>
          <t>PRODUKSI</t>
        </is>
      </c>
      <c r="O40" s="122" t="inlineStr">
        <is>
          <t>Packer</t>
        </is>
      </c>
      <c r="P40" s="122" t="inlineStr">
        <is>
          <t>HARIAN</t>
        </is>
      </c>
      <c r="Q40" s="130" t="inlineStr">
        <is>
          <t>KP. KRAJAN, RT/RW: 002/001, KEL: BABAKANCIKAO, KEC: BABAKANCIKAO, KAB: PURWAKARTA</t>
        </is>
      </c>
      <c r="R40" s="122" t="n">
        <v>2</v>
      </c>
      <c r="S40" s="122" t="n">
        <v>1</v>
      </c>
      <c r="T40" s="122" t="n">
        <v>41151</v>
      </c>
      <c r="U40" s="122" t="inlineStr">
        <is>
          <t>BABAKANCIKAO</t>
        </is>
      </c>
      <c r="V40" s="122" t="inlineStr">
        <is>
          <t>BABAKANCIKAO</t>
        </is>
      </c>
      <c r="W40" s="122" t="inlineStr">
        <is>
          <t>PURWAKARTA</t>
        </is>
      </c>
      <c r="X40" s="130" t="inlineStr">
        <is>
          <t>KP. KRAJAN, RT/RW: 002/001, KEL: BABAKANCIKAO, KEC: BABAKANCIKAO, KAB: PURWAKARTA</t>
        </is>
      </c>
      <c r="Y40" s="122" t="inlineStr">
        <is>
          <t>087731075298/083123448763</t>
        </is>
      </c>
      <c r="Z40" s="131" t="inlineStr">
        <is>
          <t>ISLAM</t>
        </is>
      </c>
      <c r="AA40" s="122" t="inlineStr">
        <is>
          <t>SMK</t>
        </is>
      </c>
      <c r="AB40" s="132" t="n"/>
      <c r="AC40" s="17" t="n">
        <v>38</v>
      </c>
      <c r="AD40" s="133" t="n">
        <v>328000063</v>
      </c>
      <c r="AE40" s="134" t="inlineStr">
        <is>
          <t>RIZKI AGUNG</t>
        </is>
      </c>
      <c r="AF40" s="133" t="inlineStr">
        <is>
          <t>PRODUCTION</t>
        </is>
      </c>
      <c r="AG40" s="135" t="n">
        <v>23165961121</v>
      </c>
      <c r="AH40" s="136" t="n">
        <v>1185075988</v>
      </c>
    </row>
    <row r="41" ht="15.75" customHeight="1" s="169">
      <c r="A41" s="122">
        <f>A40+1</f>
        <v/>
      </c>
      <c r="B41" s="123" t="n">
        <v>328000066</v>
      </c>
      <c r="C41" s="122" t="inlineStr">
        <is>
          <t>3214124509040004</t>
        </is>
      </c>
      <c r="D41" s="124" t="inlineStr">
        <is>
          <t>NADILA NAZIWA SOPIAN</t>
        </is>
      </c>
      <c r="E41" s="122" t="inlineStr">
        <is>
          <t>PURWAKARTA</t>
        </is>
      </c>
      <c r="F41" s="125" t="inlineStr">
        <is>
          <t>SMK 1 PWK</t>
        </is>
      </c>
      <c r="G41" s="96" t="n"/>
      <c r="H41" s="125" t="inlineStr">
        <is>
          <t>SMKN 1 PURWAKARTA</t>
        </is>
      </c>
      <c r="I41" s="127" t="n">
        <v>38235</v>
      </c>
      <c r="J41" s="128">
        <f>DATEDIF(I41, TODAY(), "Y") &amp; " tahun, " &amp; DATEDIF(I41, TODAY(), "YM") &amp; " bulan, " &amp; DATEDIF(I41, TODAY(), "MD") &amp; " hari"
</f>
        <v/>
      </c>
      <c r="K41" s="122" t="inlineStr">
        <is>
          <t>P</t>
        </is>
      </c>
      <c r="L41" s="122" t="inlineStr">
        <is>
          <t>QC LAB</t>
        </is>
      </c>
      <c r="M41" s="122">
        <f>VLOOKUP(B41,Sheet21!A:N,14,0)</f>
        <v/>
      </c>
      <c r="N41" s="129" t="inlineStr">
        <is>
          <t>QC</t>
        </is>
      </c>
      <c r="O41" s="122" t="inlineStr">
        <is>
          <t>QC Lab</t>
        </is>
      </c>
      <c r="P41" s="122" t="inlineStr">
        <is>
          <t>HARIAN</t>
        </is>
      </c>
      <c r="Q41" s="130" t="inlineStr">
        <is>
          <t>KP. HEGARMANAH, RT/RW: 011/004, KEL :HEGARMANAH KEC: BABAKANCIKAO KAB: PURWAKARTA</t>
        </is>
      </c>
      <c r="R41" s="122" t="n">
        <v>11</v>
      </c>
      <c r="S41" s="122" t="n">
        <v>4</v>
      </c>
      <c r="T41" s="122" t="n">
        <v>41151</v>
      </c>
      <c r="U41" s="122" t="inlineStr">
        <is>
          <t>BABAKANCIKAO</t>
        </is>
      </c>
      <c r="V41" s="122" t="inlineStr">
        <is>
          <t>HEGARMANAH</t>
        </is>
      </c>
      <c r="W41" s="122" t="inlineStr">
        <is>
          <t>PURWAKARTA</t>
        </is>
      </c>
      <c r="X41" s="130" t="inlineStr">
        <is>
          <t>KP. HEGARMANAH, RT/RW. 011/004, KEL. HEGARMANAH, KEC. BABAKANCIKAO, KAB. PURWAKARTA</t>
        </is>
      </c>
      <c r="Y41" s="122" t="n">
        <v>83834909006</v>
      </c>
      <c r="Z41" s="131" t="inlineStr">
        <is>
          <t>ISLAM</t>
        </is>
      </c>
      <c r="AA41" s="122" t="inlineStr">
        <is>
          <t>SMK</t>
        </is>
      </c>
      <c r="AB41" s="132" t="n"/>
      <c r="AC41" s="17" t="n">
        <v>39</v>
      </c>
      <c r="AD41" s="133" t="n">
        <v>328000066</v>
      </c>
      <c r="AE41" s="134" t="inlineStr">
        <is>
          <t>NADILA NAZIWA SOPIAN</t>
        </is>
      </c>
      <c r="AF41" s="133" t="inlineStr">
        <is>
          <t>QUALITY AND RESEARCH &amp; DEVELOPMENT</t>
        </is>
      </c>
      <c r="AG41" s="135" t="n">
        <v>23165961014</v>
      </c>
      <c r="AH41" s="136" t="n">
        <v>2961701504</v>
      </c>
    </row>
    <row r="42" ht="15.75" customHeight="1" s="169">
      <c r="A42" s="122">
        <f>A41+1</f>
        <v/>
      </c>
      <c r="B42" s="123" t="n">
        <v>328000067</v>
      </c>
      <c r="C42" s="122" t="inlineStr">
        <is>
          <t>3214012210030013</t>
        </is>
      </c>
      <c r="D42" s="124" t="inlineStr">
        <is>
          <t>ALIP RANGGA ALPAJRIN</t>
        </is>
      </c>
      <c r="E42" s="122" t="inlineStr">
        <is>
          <t>PURWAKARTA</t>
        </is>
      </c>
      <c r="F42" s="125" t="inlineStr">
        <is>
          <t>TKD</t>
        </is>
      </c>
      <c r="G42" s="125" t="inlineStr">
        <is>
          <t>Ormas Lodaya</t>
        </is>
      </c>
      <c r="H42" s="142" t="inlineStr">
        <is>
          <t>KETUA ORMAS LODAYA PAK LILI</t>
        </is>
      </c>
      <c r="I42" s="127" t="n">
        <v>37916</v>
      </c>
      <c r="J42" s="128">
        <f>DATEDIF(I42, TODAY(), "Y") &amp; " tahun, " &amp; DATEDIF(I42, TODAY(), "YM") &amp; " bulan, " &amp; DATEDIF(I42, TODAY(), "MD") &amp; " hari"
</f>
        <v/>
      </c>
      <c r="K42" s="122" t="inlineStr">
        <is>
          <t>L</t>
        </is>
      </c>
      <c r="L42" s="122" t="inlineStr">
        <is>
          <t>ADMIN TSP</t>
        </is>
      </c>
      <c r="M42" s="122">
        <f>VLOOKUP(B42,Sheet21!A:N,14,0)</f>
        <v/>
      </c>
      <c r="N42" s="129" t="inlineStr">
        <is>
          <t>PRODUKSI</t>
        </is>
      </c>
      <c r="O42" s="122" t="inlineStr">
        <is>
          <t>Admin TSP</t>
        </is>
      </c>
      <c r="P42" s="122" t="inlineStr">
        <is>
          <t>Kontrak</t>
        </is>
      </c>
      <c r="Q42" s="130" t="inlineStr">
        <is>
          <t>KP. KARANG SARI, RT/RW: 007/002, KEL:CITALANG KEC:PURWAKARTA, KAB: PURWAKARTA</t>
        </is>
      </c>
      <c r="R42" s="122" t="n">
        <v>7</v>
      </c>
      <c r="S42" s="122" t="n">
        <v>2</v>
      </c>
      <c r="T42" s="122" t="n">
        <v>41151</v>
      </c>
      <c r="U42" s="122" t="inlineStr">
        <is>
          <t>PURWAKARTA</t>
        </is>
      </c>
      <c r="V42" s="122" t="inlineStr">
        <is>
          <t>CITALANG</t>
        </is>
      </c>
      <c r="W42" s="122" t="inlineStr">
        <is>
          <t>PURWAKARTA</t>
        </is>
      </c>
      <c r="X42" s="130" t="inlineStr">
        <is>
          <t>KP. KARANG SARI, RT/RW: 007/002, KEL:CITALANG KEC:PURWAKARTA, KAB: PURWAKARTA</t>
        </is>
      </c>
      <c r="Y42" s="122" t="n">
        <v>81384243923</v>
      </c>
      <c r="Z42" s="131" t="inlineStr">
        <is>
          <t>ISLAM</t>
        </is>
      </c>
      <c r="AA42" s="122" t="inlineStr">
        <is>
          <t>SMK</t>
        </is>
      </c>
      <c r="AB42" s="132" t="n"/>
      <c r="AC42" s="17" t="n">
        <v>40</v>
      </c>
      <c r="AD42" s="133" t="n">
        <v>328000067</v>
      </c>
      <c r="AE42" s="134" t="inlineStr">
        <is>
          <t>ALIP RANGGA ALPAJRIN</t>
        </is>
      </c>
      <c r="AF42" s="133" t="inlineStr">
        <is>
          <t>PRODUCTION</t>
        </is>
      </c>
      <c r="AG42" s="135" t="n">
        <v>23165961188</v>
      </c>
      <c r="AH42" s="136" t="n">
        <v>1432639596</v>
      </c>
    </row>
    <row r="43" ht="15.75" customHeight="1" s="169">
      <c r="A43" s="122">
        <f>A42+1</f>
        <v/>
      </c>
      <c r="B43" s="123" t="n">
        <v>328000068</v>
      </c>
      <c r="C43" s="122" t="inlineStr">
        <is>
          <t>3603284904040005</t>
        </is>
      </c>
      <c r="D43" s="124" t="inlineStr">
        <is>
          <t>NADINE RIEZKI GHEFIRA</t>
        </is>
      </c>
      <c r="E43" s="122" t="inlineStr">
        <is>
          <t>KARAWANG</t>
        </is>
      </c>
      <c r="F43" s="125" t="inlineStr">
        <is>
          <t>LINK</t>
        </is>
      </c>
      <c r="G43" s="96" t="n"/>
      <c r="H43" s="125" t="inlineStr">
        <is>
          <t>PT KMJ</t>
        </is>
      </c>
      <c r="I43" s="127" t="n">
        <v>38086</v>
      </c>
      <c r="J43" s="128">
        <f>DATEDIF(I43, TODAY(), "Y") &amp; " tahun, " &amp; DATEDIF(I43, TODAY(), "YM") &amp; " bulan, " &amp; DATEDIF(I43, TODAY(), "MD") &amp; " hari"
</f>
        <v/>
      </c>
      <c r="K43" s="122" t="inlineStr">
        <is>
          <t>P</t>
        </is>
      </c>
      <c r="L43" s="122" t="inlineStr">
        <is>
          <t>QC LAB</t>
        </is>
      </c>
      <c r="M43" s="122">
        <f>VLOOKUP(B43,Sheet21!A:N,14,0)</f>
        <v/>
      </c>
      <c r="N43" s="129" t="inlineStr">
        <is>
          <t>QC</t>
        </is>
      </c>
      <c r="O43" s="122" t="inlineStr">
        <is>
          <t>QC Lab</t>
        </is>
      </c>
      <c r="P43" s="122" t="inlineStr">
        <is>
          <t>HARIAN</t>
        </is>
      </c>
      <c r="Q43" s="130" t="inlineStr">
        <is>
          <t>KP. KEMBANGKUNING GG. ABAH SALIM NO. 28 RT/RW: 001/004, KEL: KEMBANGKUNING, KEC: JATILUHUR, KAB : PURWAKARTA</t>
        </is>
      </c>
      <c r="R43" s="122" t="n">
        <v>1</v>
      </c>
      <c r="S43" s="122" t="n">
        <v>4</v>
      </c>
      <c r="T43" s="122" t="n">
        <v>41111</v>
      </c>
      <c r="U43" s="122" t="inlineStr">
        <is>
          <t>JATILUHUR</t>
        </is>
      </c>
      <c r="V43" s="122" t="inlineStr">
        <is>
          <t>KEMBANGKUNING</t>
        </is>
      </c>
      <c r="W43" s="122" t="inlineStr">
        <is>
          <t>PURWAKARTA</t>
        </is>
      </c>
      <c r="X43" s="130" t="inlineStr">
        <is>
          <t>KP. KEMBANGKUNING GG. ABAH SALIN NO.28 RT/RW. 001/004, KEL. KEMBANGKUNING, KEC. JATILUHUR, KAB. PURWAKARTA</t>
        </is>
      </c>
      <c r="Y43" s="122" t="n">
        <v>82111185503</v>
      </c>
      <c r="Z43" s="131" t="inlineStr">
        <is>
          <t>ISLAM</t>
        </is>
      </c>
      <c r="AA43" s="122" t="inlineStr">
        <is>
          <t>SMK</t>
        </is>
      </c>
      <c r="AB43" s="132" t="n"/>
      <c r="AC43" s="17" t="n">
        <v>41</v>
      </c>
      <c r="AD43" s="133" t="n">
        <v>328000068</v>
      </c>
      <c r="AE43" s="134" t="inlineStr">
        <is>
          <t>NADINE RIEZKI GHEFIRA</t>
        </is>
      </c>
      <c r="AF43" s="133" t="inlineStr">
        <is>
          <t>QUALITY AND RESEARCH &amp; DEVELOPMENT</t>
        </is>
      </c>
      <c r="AG43" s="135" t="n">
        <v>23165960842</v>
      </c>
      <c r="AH43" s="136" t="n">
        <v>2284272077</v>
      </c>
    </row>
    <row r="44" ht="15.75" customHeight="1" s="169">
      <c r="A44" s="122">
        <f>A43+1</f>
        <v/>
      </c>
      <c r="B44" s="123" t="n">
        <v>328000070</v>
      </c>
      <c r="C44" s="122" t="inlineStr">
        <is>
          <t>3175062204970002</t>
        </is>
      </c>
      <c r="D44" s="124" t="inlineStr">
        <is>
          <t>BAYU AJIE PANGESTU</t>
        </is>
      </c>
      <c r="E44" s="122" t="inlineStr">
        <is>
          <t>JAKARTA</t>
        </is>
      </c>
      <c r="F44" s="125" t="inlineStr">
        <is>
          <t>LINK</t>
        </is>
      </c>
      <c r="G44" s="96" t="n"/>
      <c r="H44" s="125" t="inlineStr">
        <is>
          <t>Ex AMG</t>
        </is>
      </c>
      <c r="I44" s="127" t="n">
        <v>35542</v>
      </c>
      <c r="J44" s="128">
        <f>DATEDIF(I44, TODAY(), "Y") &amp; " tahun, " &amp; DATEDIF(I44, TODAY(), "YM") &amp; " bulan, " &amp; DATEDIF(I44, TODAY(), "MD") &amp; " hari"
</f>
        <v/>
      </c>
      <c r="K44" s="122" t="inlineStr">
        <is>
          <t>L</t>
        </is>
      </c>
      <c r="L44" s="122" t="inlineStr">
        <is>
          <t>QUALITY PATROL</t>
        </is>
      </c>
      <c r="M44" s="122">
        <f>VLOOKUP(B44,Sheet21!A:N,14,0)</f>
        <v/>
      </c>
      <c r="N44" s="129" t="inlineStr">
        <is>
          <t>QC</t>
        </is>
      </c>
      <c r="O44" s="122" t="inlineStr">
        <is>
          <t>QC Patrol</t>
        </is>
      </c>
      <c r="P44" s="122" t="inlineStr">
        <is>
          <t>HARIAN</t>
        </is>
      </c>
      <c r="Q44" s="130" t="inlineStr">
        <is>
          <t>JL.CEMPAKA VI, RT/RW: 009/009, KEL: CAKUNG TIMUR, KEC: CAKUNG, KOTA: JAKARTA TIMUR</t>
        </is>
      </c>
      <c r="R44" s="122" t="n">
        <v>9</v>
      </c>
      <c r="S44" s="122" t="n">
        <v>9</v>
      </c>
      <c r="T44" s="137" t="n"/>
      <c r="U44" s="122" t="inlineStr">
        <is>
          <t>CAKUNG</t>
        </is>
      </c>
      <c r="V44" s="122" t="inlineStr">
        <is>
          <t>CAKUNG TIMUR</t>
        </is>
      </c>
      <c r="W44" s="122" t="inlineStr">
        <is>
          <t>KOTA JAKARTA TIMUR</t>
        </is>
      </c>
      <c r="X44" s="130" t="inlineStr">
        <is>
          <t>JL.CEMPAKA VI, RT/RW: 009/009, KEL: CAKUNG TIMUR, KEC: CAKUNG, KOTA: JAKARTA TIMUR</t>
        </is>
      </c>
      <c r="Y44" s="122" t="n">
        <v>81311382462</v>
      </c>
      <c r="Z44" s="131" t="inlineStr">
        <is>
          <t>ISLAM</t>
        </is>
      </c>
      <c r="AA44" s="122" t="inlineStr">
        <is>
          <t>SMA</t>
        </is>
      </c>
      <c r="AB44" s="132" t="n"/>
      <c r="AC44" s="17" t="n">
        <v>42</v>
      </c>
      <c r="AD44" s="133" t="n">
        <v>328000070</v>
      </c>
      <c r="AE44" s="134" t="inlineStr">
        <is>
          <t>BAYU AJIE PANGESTU</t>
        </is>
      </c>
      <c r="AF44" s="133" t="inlineStr">
        <is>
          <t>QUALITY AND RESEARCH &amp; DEVELOPMENT</t>
        </is>
      </c>
      <c r="AG44" s="135" t="n">
        <v>23165960735</v>
      </c>
      <c r="AH44" s="136" t="n">
        <v>1157293787</v>
      </c>
    </row>
    <row r="45" ht="15.75" customHeight="1" s="169">
      <c r="A45" s="122">
        <f>A44+1</f>
        <v/>
      </c>
      <c r="B45" s="123" t="n">
        <v>328000072</v>
      </c>
      <c r="C45" s="122" t="inlineStr">
        <is>
          <t>3204066906010005</t>
        </is>
      </c>
      <c r="D45" s="124" t="inlineStr">
        <is>
          <t>ANISA FITALOKA</t>
        </is>
      </c>
      <c r="E45" s="122" t="inlineStr">
        <is>
          <t>BANDUNG</t>
        </is>
      </c>
      <c r="F45" s="125" t="inlineStr">
        <is>
          <t>TKD</t>
        </is>
      </c>
      <c r="G45" s="125" t="inlineStr">
        <is>
          <t>Ormas Lodaya</t>
        </is>
      </c>
      <c r="H45" s="142" t="inlineStr">
        <is>
          <t>ANAK KETUA ORMAS LODAYA PAK LILI</t>
        </is>
      </c>
      <c r="I45" s="127" t="n">
        <v>37071</v>
      </c>
      <c r="J45" s="128">
        <f>DATEDIF(I45, TODAY(), "Y") &amp; " tahun, " &amp; DATEDIF(I45, TODAY(), "YM") &amp; " bulan, " &amp; DATEDIF(I45, TODAY(), "MD") &amp; " hari"
</f>
        <v/>
      </c>
      <c r="K45" s="122" t="inlineStr">
        <is>
          <t>P</t>
        </is>
      </c>
      <c r="L45" s="122" t="inlineStr">
        <is>
          <t>ADMIN RF</t>
        </is>
      </c>
      <c r="M45" s="122">
        <f>VLOOKUP(B45,Sheet21!A:N,14,0)</f>
        <v/>
      </c>
      <c r="N45" s="129" t="inlineStr">
        <is>
          <t>PRODUKSI</t>
        </is>
      </c>
      <c r="O45" s="122" t="inlineStr">
        <is>
          <t>Admin RF</t>
        </is>
      </c>
      <c r="P45" s="122" t="inlineStr">
        <is>
          <t>HARIAN</t>
        </is>
      </c>
      <c r="Q45" s="130" t="inlineStr">
        <is>
          <t>AWILIGAR, RT/RW: 007/010, KEL: CIBEUNYING, KEC: CIMENYAN, KAB: PURWAKARTA</t>
        </is>
      </c>
      <c r="R45" s="122" t="n">
        <v>7</v>
      </c>
      <c r="S45" s="122" t="n">
        <v>10</v>
      </c>
      <c r="T45" s="137" t="n"/>
      <c r="U45" s="122" t="inlineStr">
        <is>
          <t>CIMENYAN</t>
        </is>
      </c>
      <c r="V45" s="122" t="inlineStr">
        <is>
          <t>CIBEUNYING</t>
        </is>
      </c>
      <c r="W45" s="122" t="inlineStr">
        <is>
          <t>BANDUNG</t>
        </is>
      </c>
      <c r="X45" s="130" t="inlineStr">
        <is>
          <t>AWILIGAR, RT/RW: 007/010, KEL: CIBEUNYING, KEC: CIMENYAN, KAB: PURWAKARTA</t>
        </is>
      </c>
      <c r="Y45" s="122" t="n">
        <v>83121450691</v>
      </c>
      <c r="Z45" s="131" t="inlineStr">
        <is>
          <t>ISLAM</t>
        </is>
      </c>
      <c r="AA45" s="122" t="inlineStr">
        <is>
          <t>SMA</t>
        </is>
      </c>
      <c r="AB45" s="132" t="n"/>
      <c r="AC45" s="17" t="n">
        <v>43</v>
      </c>
      <c r="AD45" s="133" t="n">
        <v>328000072</v>
      </c>
      <c r="AE45" s="134" t="inlineStr">
        <is>
          <t>ANISA FITALOKA</t>
        </is>
      </c>
      <c r="AF45" s="133" t="inlineStr">
        <is>
          <t>PRODUCTION</t>
        </is>
      </c>
      <c r="AG45" s="135" t="n">
        <v>23165960537</v>
      </c>
      <c r="AH45" s="136" t="n">
        <v>3221828021</v>
      </c>
    </row>
    <row r="46" ht="15.75" customHeight="1" s="169">
      <c r="A46" s="122">
        <f>A45+1</f>
        <v/>
      </c>
      <c r="B46" s="123" t="n">
        <v>328000078</v>
      </c>
      <c r="C46" s="122" t="inlineStr">
        <is>
          <t>3175065805990011</t>
        </is>
      </c>
      <c r="D46" s="124" t="inlineStr">
        <is>
          <t>KRISNA AIDA</t>
        </is>
      </c>
      <c r="E46" s="122" t="inlineStr">
        <is>
          <t>WONOGIRI</t>
        </is>
      </c>
      <c r="F46" s="125" t="inlineStr">
        <is>
          <t>LINK</t>
        </is>
      </c>
      <c r="G46" s="96" t="n"/>
      <c r="H46" s="125" t="inlineStr">
        <is>
          <t>Ex AMG</t>
        </is>
      </c>
      <c r="I46" s="127" t="n">
        <v>36298</v>
      </c>
      <c r="J46" s="128">
        <f>DATEDIF(I46, TODAY(), "Y") &amp; " tahun, " &amp; DATEDIF(I46, TODAY(), "YM") &amp; " bulan, " &amp; DATEDIF(I46, TODAY(), "MD") &amp; " hari"
</f>
        <v/>
      </c>
      <c r="K46" s="122" t="inlineStr">
        <is>
          <t>P</t>
        </is>
      </c>
      <c r="L46" s="122" t="inlineStr">
        <is>
          <t>PACKER</t>
        </is>
      </c>
      <c r="M46" s="122">
        <f>VLOOKUP(B46,Sheet21!A:N,14,0)</f>
        <v/>
      </c>
      <c r="N46" s="129" t="inlineStr">
        <is>
          <t>PRODUKSI</t>
        </is>
      </c>
      <c r="O46" s="122" t="inlineStr">
        <is>
          <t>Packer</t>
        </is>
      </c>
      <c r="P46" s="122" t="inlineStr">
        <is>
          <t>HARIAN</t>
        </is>
      </c>
      <c r="Q46" s="130" t="inlineStr">
        <is>
          <t>KP. BARU, RT/RW : 001/007, KEL : CAKUNG BARAT, KEC : CAKUNG, KOTA: JAKARTA TIMUR</t>
        </is>
      </c>
      <c r="R46" s="122" t="n">
        <v>1</v>
      </c>
      <c r="S46" s="122" t="n">
        <v>7</v>
      </c>
      <c r="T46" s="137" t="n"/>
      <c r="U46" s="122" t="inlineStr">
        <is>
          <t>CAKUNG</t>
        </is>
      </c>
      <c r="V46" s="122" t="inlineStr">
        <is>
          <t>CAKUNG BARAT</t>
        </is>
      </c>
      <c r="W46" s="122" t="inlineStr">
        <is>
          <t>JAKARTA TIMUR</t>
        </is>
      </c>
      <c r="X46" s="130" t="inlineStr">
        <is>
          <t>KP. BARU, RT/RW : 001/007, KEL : CAKUNG BARAT, KEC : CAKUNG, KOTA: JAKARTA TIMUR</t>
        </is>
      </c>
      <c r="Y46" s="122" t="n">
        <v>81584994348</v>
      </c>
      <c r="Z46" s="131" t="inlineStr">
        <is>
          <t>ISLAM</t>
        </is>
      </c>
      <c r="AA46" s="122" t="inlineStr">
        <is>
          <t>SMK</t>
        </is>
      </c>
      <c r="AB46" s="132" t="n"/>
      <c r="AC46" s="17" t="n">
        <v>44</v>
      </c>
      <c r="AD46" s="133" t="n">
        <v>328000078</v>
      </c>
      <c r="AE46" s="134" t="inlineStr">
        <is>
          <t>KRISNA AIDA</t>
        </is>
      </c>
      <c r="AF46" s="133" t="inlineStr">
        <is>
          <t>PRODUCTION</t>
        </is>
      </c>
      <c r="AG46" s="135" t="n">
        <v>23165961196</v>
      </c>
      <c r="AH46" s="136" t="n">
        <v>1739134113</v>
      </c>
    </row>
    <row r="47" ht="15.75" customHeight="1" s="169">
      <c r="A47" s="122">
        <f>A46+1</f>
        <v/>
      </c>
      <c r="B47" s="123" t="n">
        <v>328000080</v>
      </c>
      <c r="C47" s="122" t="inlineStr">
        <is>
          <t>3206180805980001</t>
        </is>
      </c>
      <c r="D47" s="124" t="inlineStr">
        <is>
          <t>ILHAM PAOJI MUHAROM</t>
        </is>
      </c>
      <c r="E47" s="122" t="inlineStr">
        <is>
          <t>TASIK MALAYA</t>
        </is>
      </c>
      <c r="F47" s="125" t="inlineStr">
        <is>
          <t>LINK</t>
        </is>
      </c>
      <c r="G47" s="96" t="n"/>
      <c r="H47" s="125" t="inlineStr">
        <is>
          <t>PT KMJ</t>
        </is>
      </c>
      <c r="I47" s="127" t="n">
        <v>35923</v>
      </c>
      <c r="J47" s="128">
        <f>DATEDIF(I47, TODAY(), "Y") &amp; " tahun, " &amp; DATEDIF(I47, TODAY(), "YM") &amp; " bulan, " &amp; DATEDIF(I47, TODAY(), "MD") &amp; " hari"
</f>
        <v/>
      </c>
      <c r="K47" s="122" t="inlineStr">
        <is>
          <t>L</t>
        </is>
      </c>
      <c r="L47" s="122" t="inlineStr">
        <is>
          <t>OP FORKLIFT WRM</t>
        </is>
      </c>
      <c r="M47" s="122">
        <f>VLOOKUP(B47,Sheet21!A:N,14,0)</f>
        <v/>
      </c>
      <c r="N47" s="129" t="inlineStr">
        <is>
          <t>LOGISTIK</t>
        </is>
      </c>
      <c r="O47" s="122" t="inlineStr">
        <is>
          <t>Operator Forklift</t>
        </is>
      </c>
      <c r="P47" s="122" t="inlineStr">
        <is>
          <t>HARIAN</t>
        </is>
      </c>
      <c r="Q47" s="130" t="inlineStr">
        <is>
          <t>DUSUN BOJONGRAPIH, RT/RW 001/005  KEL: MANDALAHAYU, KECAMATAN: SALOPA KAB: TASIKMALAYA</t>
        </is>
      </c>
      <c r="R47" s="122" t="n">
        <v>1</v>
      </c>
      <c r="S47" s="122" t="n">
        <v>5</v>
      </c>
      <c r="T47" s="137" t="n"/>
      <c r="U47" s="122" t="inlineStr">
        <is>
          <t>SALOPA</t>
        </is>
      </c>
      <c r="V47" s="122" t="inlineStr">
        <is>
          <t>MANDALAYU</t>
        </is>
      </c>
      <c r="W47" s="122" t="inlineStr">
        <is>
          <t>TASIKMALAYA</t>
        </is>
      </c>
      <c r="X47" s="130" t="inlineStr">
        <is>
          <t>DUSUN BOJONGRAPIH, RT/RW 001/005  KEL: MANDALAHAYU, KECAMATAN: SALOPA KAB: TASIKMALAYA</t>
        </is>
      </c>
      <c r="Y47" s="122" t="n">
        <v>83816957498</v>
      </c>
      <c r="Z47" s="131" t="inlineStr">
        <is>
          <t>ISLAM</t>
        </is>
      </c>
      <c r="AA47" s="122" t="inlineStr">
        <is>
          <t>SMK</t>
        </is>
      </c>
      <c r="AB47" s="132" t="n"/>
      <c r="AC47" s="17" t="n">
        <v>45</v>
      </c>
      <c r="AD47" s="133" t="n">
        <v>328000080</v>
      </c>
      <c r="AE47" s="134" t="inlineStr">
        <is>
          <t>ILHAM PAOJI MUHAROM</t>
        </is>
      </c>
      <c r="AF47" s="133" t="inlineStr">
        <is>
          <t>LOGISTIC</t>
        </is>
      </c>
      <c r="AG47" s="135" t="n">
        <v>23165961055</v>
      </c>
      <c r="AH47" s="136" t="n">
        <v>3091176843</v>
      </c>
    </row>
    <row r="48" ht="15.75" customHeight="1" s="169">
      <c r="A48" s="122">
        <f>A47+1</f>
        <v/>
      </c>
      <c r="B48" s="123" t="n">
        <v>328000081</v>
      </c>
      <c r="C48" s="122" t="inlineStr">
        <is>
          <t>3214122001990001</t>
        </is>
      </c>
      <c r="D48" s="124" t="inlineStr">
        <is>
          <t>M QORI ALMAHMUD</t>
        </is>
      </c>
      <c r="E48" s="122" t="inlineStr">
        <is>
          <t>PURWAKARTA</t>
        </is>
      </c>
      <c r="F48" s="125" t="inlineStr">
        <is>
          <t>SMK 1 PWK</t>
        </is>
      </c>
      <c r="G48" s="96" t="n"/>
      <c r="H48" s="125" t="inlineStr">
        <is>
          <t>SMKN 1 PURWAKARTA</t>
        </is>
      </c>
      <c r="I48" s="127" t="n">
        <v>36180</v>
      </c>
      <c r="J48" s="128">
        <f>DATEDIF(I48, TODAY(), "Y") &amp; " tahun, " &amp; DATEDIF(I48, TODAY(), "YM") &amp; " bulan, " &amp; DATEDIF(I48, TODAY(), "MD") &amp; " hari"
</f>
        <v/>
      </c>
      <c r="K48" s="122" t="inlineStr">
        <is>
          <t>L</t>
        </is>
      </c>
      <c r="L48" s="122" t="inlineStr">
        <is>
          <t>ADMIN WSP</t>
        </is>
      </c>
      <c r="M48" s="122">
        <f>VLOOKUP(B48,Sheet21!A:N,14,0)</f>
        <v/>
      </c>
      <c r="N48" s="129" t="inlineStr">
        <is>
          <t>ENG</t>
        </is>
      </c>
      <c r="O48" s="122" t="inlineStr">
        <is>
          <t>Admin WSP</t>
        </is>
      </c>
      <c r="P48" s="122" t="inlineStr">
        <is>
          <t>HARIAN</t>
        </is>
      </c>
      <c r="Q48" s="130" t="inlineStr">
        <is>
          <t>KP KRAJAN, RT/RW: 008/002 KEL: MARACANG, KEC:BABAKANCIKAO PURWAKARTA</t>
        </is>
      </c>
      <c r="R48" s="122" t="n">
        <v>8</v>
      </c>
      <c r="S48" s="122" t="n">
        <v>2</v>
      </c>
      <c r="T48" s="137" t="n"/>
      <c r="U48" s="122" t="inlineStr">
        <is>
          <t>BABAKANCIKAO</t>
        </is>
      </c>
      <c r="V48" s="122" t="inlineStr">
        <is>
          <t>MARACANG</t>
        </is>
      </c>
      <c r="W48" s="122" t="inlineStr">
        <is>
          <t>PURWAKARTA</t>
        </is>
      </c>
      <c r="X48" s="130" t="inlineStr">
        <is>
          <t>KP KRAJAN, RT/RW: 008/002 KEL: MARACANG, KEC:BABAKANCIKAO PURWAKARTA</t>
        </is>
      </c>
      <c r="Y48" s="122" t="n">
        <v>87847442700</v>
      </c>
      <c r="Z48" s="131" t="inlineStr">
        <is>
          <t>ISLAM</t>
        </is>
      </c>
      <c r="AA48" s="122" t="inlineStr">
        <is>
          <t>SMK</t>
        </is>
      </c>
      <c r="AB48" s="132" t="n"/>
      <c r="AC48" s="17" t="n">
        <v>46</v>
      </c>
      <c r="AD48" s="133" t="n">
        <v>328000081</v>
      </c>
      <c r="AE48" s="134" t="inlineStr">
        <is>
          <t>M QORI ALMAHMUD</t>
        </is>
      </c>
      <c r="AF48" s="133" t="inlineStr">
        <is>
          <t>LOGISTIC</t>
        </is>
      </c>
      <c r="AG48" s="135" t="n">
        <v>23165961063</v>
      </c>
      <c r="AH48" s="136" t="n">
        <v>1659885355</v>
      </c>
    </row>
    <row r="49" ht="15.75" customHeight="1" s="169">
      <c r="A49" s="122">
        <f>A48+1</f>
        <v/>
      </c>
      <c r="B49" s="123" t="n">
        <v>328000083</v>
      </c>
      <c r="C49" s="122" t="inlineStr">
        <is>
          <t>3214120101040001</t>
        </is>
      </c>
      <c r="D49" s="124" t="inlineStr">
        <is>
          <t>ALDI SUTRISNA</t>
        </is>
      </c>
      <c r="E49" s="122" t="inlineStr">
        <is>
          <t>PURWAKARTA</t>
        </is>
      </c>
      <c r="F49" s="125" t="inlineStr">
        <is>
          <t>SMK 1 PWK</t>
        </is>
      </c>
      <c r="G49" s="96" t="n"/>
      <c r="H49" s="125" t="inlineStr">
        <is>
          <t>SMKN 1 PURWAKARTA</t>
        </is>
      </c>
      <c r="I49" s="127" t="n">
        <v>37987</v>
      </c>
      <c r="J49" s="128">
        <f>DATEDIF(I49, TODAY(), "Y") &amp; " tahun, " &amp; DATEDIF(I49, TODAY(), "YM") &amp; " bulan, " &amp; DATEDIF(I49, TODAY(), "MD") &amp; " hari"
</f>
        <v/>
      </c>
      <c r="K49" s="122" t="inlineStr">
        <is>
          <t>L</t>
        </is>
      </c>
      <c r="L49" s="122" t="inlineStr">
        <is>
          <t>PACKER</t>
        </is>
      </c>
      <c r="M49" s="122">
        <f>VLOOKUP(B49,Sheet21!A:N,14,0)</f>
        <v/>
      </c>
      <c r="N49" s="129" t="inlineStr">
        <is>
          <t>PRODUKSI</t>
        </is>
      </c>
      <c r="O49" s="122" t="inlineStr">
        <is>
          <t>Packer</t>
        </is>
      </c>
      <c r="P49" s="122" t="inlineStr">
        <is>
          <t>HARIAN</t>
        </is>
      </c>
      <c r="Q49" s="130" t="inlineStr">
        <is>
          <t>KP.KRAJAN RT/RW: 003/002, KEL: BABAKANCIKAO, KEC: BABAKANCIKAO, KAB: PURWAKARTA</t>
        </is>
      </c>
      <c r="R49" s="122" t="n">
        <v>3</v>
      </c>
      <c r="S49" s="122" t="n">
        <v>2</v>
      </c>
      <c r="T49" s="137" t="n"/>
      <c r="U49" s="122" t="inlineStr">
        <is>
          <t>BABAKANCIKAO</t>
        </is>
      </c>
      <c r="V49" s="122" t="inlineStr">
        <is>
          <t>BABAKANCIKAO</t>
        </is>
      </c>
      <c r="W49" s="122" t="inlineStr">
        <is>
          <t>PURWAKARTA</t>
        </is>
      </c>
      <c r="X49" s="130" t="inlineStr">
        <is>
          <t>KP.KRAJAN RT/RW: 003/002, KEL: BABAKANCIKAO, KEC: BABAKANCIKAO, KAB: PURWAKARTA</t>
        </is>
      </c>
      <c r="Y49" s="122" t="n">
        <v>83140939049</v>
      </c>
      <c r="Z49" s="131" t="inlineStr">
        <is>
          <t>ISLAM</t>
        </is>
      </c>
      <c r="AA49" s="122" t="inlineStr">
        <is>
          <t>SMK</t>
        </is>
      </c>
      <c r="AB49" s="132" t="n"/>
      <c r="AC49" s="17" t="n">
        <v>47</v>
      </c>
      <c r="AD49" s="133" t="n">
        <v>328000083</v>
      </c>
      <c r="AE49" s="134" t="inlineStr">
        <is>
          <t>ALDI SUTRISNA</t>
        </is>
      </c>
      <c r="AF49" s="133" t="inlineStr">
        <is>
          <t>PRODUCTION</t>
        </is>
      </c>
      <c r="AG49" s="135" t="n">
        <v>23165960776</v>
      </c>
      <c r="AH49" s="136" t="n">
        <v>1882085027</v>
      </c>
    </row>
    <row r="50" ht="15.75" customHeight="1" s="169">
      <c r="A50" s="122">
        <f>A49+1</f>
        <v/>
      </c>
      <c r="B50" s="123" t="n">
        <v>328000086</v>
      </c>
      <c r="C50" s="122" t="inlineStr">
        <is>
          <t>3214122609040002</t>
        </is>
      </c>
      <c r="D50" s="124" t="inlineStr">
        <is>
          <t>ARIA PERMANA ZIDANE</t>
        </is>
      </c>
      <c r="E50" s="122" t="inlineStr">
        <is>
          <t>PURWAKARTA</t>
        </is>
      </c>
      <c r="F50" s="125" t="inlineStr">
        <is>
          <t>LINK</t>
        </is>
      </c>
      <c r="G50" s="96" t="n"/>
      <c r="H50" s="125" t="inlineStr">
        <is>
          <t>PT KMJ</t>
        </is>
      </c>
      <c r="I50" s="127" t="n">
        <v>38256</v>
      </c>
      <c r="J50" s="128">
        <f>DATEDIF(I50, TODAY(), "Y") &amp; " tahun, " &amp; DATEDIF(I50, TODAY(), "YM") &amp; " bulan, " &amp; DATEDIF(I50, TODAY(), "MD") &amp; " hari"
</f>
        <v/>
      </c>
      <c r="K50" s="122" t="inlineStr">
        <is>
          <t>L</t>
        </is>
      </c>
      <c r="L50" s="122" t="inlineStr">
        <is>
          <t>PIC AREA</t>
        </is>
      </c>
      <c r="M50" s="122">
        <f>VLOOKUP(B50,Sheet21!A:N,14,0)</f>
        <v/>
      </c>
      <c r="N50" s="129" t="inlineStr">
        <is>
          <t>LOGISTIK</t>
        </is>
      </c>
      <c r="O50" s="122" t="inlineStr">
        <is>
          <t>PIC Area</t>
        </is>
      </c>
      <c r="P50" s="122" t="inlineStr">
        <is>
          <t>HARIAN</t>
        </is>
      </c>
      <c r="Q50" s="130" t="inlineStr">
        <is>
          <t>KP. WARUNG BUAH, RT/RW 004/002, KEL: HEGARMANAH, KEC: BABAKANCIKAO, KAB: PURWAKARTA</t>
        </is>
      </c>
      <c r="R50" s="122" t="n">
        <v>4</v>
      </c>
      <c r="S50" s="122" t="n">
        <v>2</v>
      </c>
      <c r="T50" s="137" t="n"/>
      <c r="U50" s="122" t="inlineStr">
        <is>
          <t>BABAKANCIKAO</t>
        </is>
      </c>
      <c r="V50" s="122" t="inlineStr">
        <is>
          <t>HEGARMANAH</t>
        </is>
      </c>
      <c r="W50" s="122" t="inlineStr">
        <is>
          <t>PURWAKARTA</t>
        </is>
      </c>
      <c r="X50" s="130" t="inlineStr">
        <is>
          <t>KP. WARUNG BUAH, RT/RW 004/002, KEL: HEGARMANAH, KEC: BABAKANCIKAO, KAB: PURWAKARTA</t>
        </is>
      </c>
      <c r="Y50" s="122" t="n">
        <v>83130583749</v>
      </c>
      <c r="Z50" s="131" t="inlineStr">
        <is>
          <t>ISLAM</t>
        </is>
      </c>
      <c r="AA50" s="122" t="inlineStr">
        <is>
          <t>SMA</t>
        </is>
      </c>
      <c r="AB50" s="132" t="n"/>
      <c r="AC50" s="17" t="n">
        <v>48</v>
      </c>
      <c r="AD50" s="133" t="n">
        <v>328000086</v>
      </c>
      <c r="AE50" s="134" t="inlineStr">
        <is>
          <t>ARIA PERMANA ZIDANE</t>
        </is>
      </c>
      <c r="AF50" s="133" t="inlineStr">
        <is>
          <t>LOGISTIC</t>
        </is>
      </c>
      <c r="AG50" s="135" t="n">
        <v>23165961030</v>
      </c>
      <c r="AH50" s="136" t="n">
        <v>1661915169</v>
      </c>
    </row>
    <row r="51" ht="15.75" customHeight="1" s="169">
      <c r="A51" s="122">
        <f>A50+1</f>
        <v/>
      </c>
      <c r="B51" s="123" t="n">
        <v>328000088</v>
      </c>
      <c r="C51" s="122" t="inlineStr">
        <is>
          <t>3214014505030002</t>
        </is>
      </c>
      <c r="D51" s="124" t="inlineStr">
        <is>
          <t>MEISY TRESA HANDAYANI</t>
        </is>
      </c>
      <c r="E51" s="122" t="inlineStr">
        <is>
          <t>PURWAKARTA</t>
        </is>
      </c>
      <c r="F51" s="125" t="inlineStr">
        <is>
          <t>TKD</t>
        </is>
      </c>
      <c r="G51" s="96" t="n"/>
      <c r="H51" s="142" t="inlineStr">
        <is>
          <t>SAEPUL KONPAK</t>
        </is>
      </c>
      <c r="I51" s="127" t="n">
        <v>37744</v>
      </c>
      <c r="J51" s="128">
        <f>DATEDIF(I51, TODAY(), "Y") &amp; " tahun, " &amp; DATEDIF(I51, TODAY(), "YM") &amp; " bulan, " &amp; DATEDIF(I51, TODAY(), "MD") &amp; " hari"
</f>
        <v/>
      </c>
      <c r="K51" s="122" t="inlineStr">
        <is>
          <t>P</t>
        </is>
      </c>
      <c r="L51" s="122" t="inlineStr">
        <is>
          <t>ADMIN RF</t>
        </is>
      </c>
      <c r="M51" s="122">
        <f>VLOOKUP(B51,Sheet21!A:N,14,0)</f>
        <v/>
      </c>
      <c r="N51" s="129" t="inlineStr">
        <is>
          <t>PRODUKSI</t>
        </is>
      </c>
      <c r="O51" s="122" t="inlineStr">
        <is>
          <t>Admin RF</t>
        </is>
      </c>
      <c r="P51" s="122" t="inlineStr">
        <is>
          <t>HARIAN</t>
        </is>
      </c>
      <c r="Q51" s="130" t="inlineStr">
        <is>
          <t>KP BOJONG, RT/RW:012/005, KEL: NAGRIKIDUL, KEC: PURWAKARTA, KAB: PURWAKARTA</t>
        </is>
      </c>
      <c r="R51" s="122" t="n">
        <v>12</v>
      </c>
      <c r="S51" s="122" t="n">
        <v>5</v>
      </c>
      <c r="T51" s="137" t="n"/>
      <c r="U51" s="122" t="inlineStr">
        <is>
          <t>PURWAKARTA</t>
        </is>
      </c>
      <c r="V51" s="122" t="inlineStr">
        <is>
          <t>NAGRIKIDUL</t>
        </is>
      </c>
      <c r="W51" s="122" t="inlineStr">
        <is>
          <t>PURWAKARTA</t>
        </is>
      </c>
      <c r="X51" s="130" t="inlineStr">
        <is>
          <t>KP BOJONG, RT/RW:012/005, KEL: NAGRIKIDUL, KEC: PURWAKARTA, KAB: PURWAKARTA</t>
        </is>
      </c>
      <c r="Y51" s="122" t="n">
        <v>89507007257</v>
      </c>
      <c r="Z51" s="131" t="inlineStr">
        <is>
          <t>ISLAM</t>
        </is>
      </c>
      <c r="AA51" s="122" t="inlineStr">
        <is>
          <t>SMK</t>
        </is>
      </c>
      <c r="AB51" s="132" t="n"/>
      <c r="AC51" s="17" t="n">
        <v>49</v>
      </c>
      <c r="AD51" s="133" t="n">
        <v>328000088</v>
      </c>
      <c r="AE51" s="134" t="inlineStr">
        <is>
          <t>MEISY TRESA HANDAYANI</t>
        </is>
      </c>
      <c r="AF51" s="133" t="inlineStr">
        <is>
          <t>PRODUCTION</t>
        </is>
      </c>
      <c r="AG51" s="135" t="n">
        <v>23165961212</v>
      </c>
      <c r="AH51" s="136" t="n">
        <v>1517143364</v>
      </c>
    </row>
    <row r="52" ht="15.75" customHeight="1" s="169">
      <c r="A52" s="122">
        <f>A51+1</f>
        <v/>
      </c>
      <c r="B52" s="123" t="n">
        <v>328000090</v>
      </c>
      <c r="C52" s="122" t="inlineStr">
        <is>
          <t>3275024602980026</t>
        </is>
      </c>
      <c r="D52" s="124" t="inlineStr">
        <is>
          <t>MELIANA FITRI</t>
        </is>
      </c>
      <c r="E52" s="122" t="inlineStr">
        <is>
          <t>TEGAL</t>
        </is>
      </c>
      <c r="F52" s="125" t="inlineStr">
        <is>
          <t>LINK</t>
        </is>
      </c>
      <c r="G52" s="96" t="n"/>
      <c r="H52" s="125" t="inlineStr">
        <is>
          <t>Ex AMG</t>
        </is>
      </c>
      <c r="I52" s="127" t="n">
        <v>35832</v>
      </c>
      <c r="J52" s="128">
        <f>DATEDIF(I52, TODAY(), "Y") &amp; " tahun, " &amp; DATEDIF(I52, TODAY(), "YM") &amp; " bulan, " &amp; DATEDIF(I52, TODAY(), "MD") &amp; " hari"
</f>
        <v/>
      </c>
      <c r="K52" s="122" t="inlineStr">
        <is>
          <t>P</t>
        </is>
      </c>
      <c r="L52" s="122" t="inlineStr">
        <is>
          <t>QUALITY PATROL</t>
        </is>
      </c>
      <c r="M52" s="122">
        <f>VLOOKUP(B52,Sheet21!A:N,14,0)</f>
        <v/>
      </c>
      <c r="N52" s="129" t="inlineStr">
        <is>
          <t>QC</t>
        </is>
      </c>
      <c r="O52" s="122" t="inlineStr">
        <is>
          <t>QC Patrol</t>
        </is>
      </c>
      <c r="P52" s="122" t="inlineStr">
        <is>
          <t>HARIAN</t>
        </is>
      </c>
      <c r="Q52" s="130" t="inlineStr">
        <is>
          <t>JL. TAHIR NO.14, RT/RW: 002/011, KEL: KRANJI, KEC: BEKASI BARAT, KOTA: BEKASI</t>
        </is>
      </c>
      <c r="R52" s="122" t="n">
        <v>2</v>
      </c>
      <c r="S52" s="122" t="n">
        <v>11</v>
      </c>
      <c r="T52" s="137" t="n"/>
      <c r="U52" s="122" t="inlineStr">
        <is>
          <t>BEKASI BARAT</t>
        </is>
      </c>
      <c r="V52" s="122" t="inlineStr">
        <is>
          <t>KRANJI</t>
        </is>
      </c>
      <c r="W52" s="122" t="inlineStr">
        <is>
          <t>KOTA BEKASI</t>
        </is>
      </c>
      <c r="X52" s="130" t="inlineStr">
        <is>
          <t>JL. TAHIR NO.14, RT/RW: 002/011, KEL: KRANJI, KEC: BEKASI BARAT, KOTA: BEKASI</t>
        </is>
      </c>
      <c r="Y52" s="122" t="n">
        <v>89693347398</v>
      </c>
      <c r="Z52" s="131" t="inlineStr">
        <is>
          <t>ISLAM</t>
        </is>
      </c>
      <c r="AA52" s="122" t="inlineStr">
        <is>
          <t>SMK</t>
        </is>
      </c>
      <c r="AB52" s="132" t="n"/>
      <c r="AC52" s="17" t="n">
        <v>50</v>
      </c>
      <c r="AD52" s="133" t="n">
        <v>328000090</v>
      </c>
      <c r="AE52" s="134" t="inlineStr">
        <is>
          <t>MELIANA FITRI</t>
        </is>
      </c>
      <c r="AF52" s="133" t="inlineStr">
        <is>
          <t>QUALITY AND RESEARCH &amp; DEVELOPMENT</t>
        </is>
      </c>
      <c r="AG52" s="135" t="n">
        <v>23165961048</v>
      </c>
      <c r="AH52" s="136" t="n">
        <v>628978858</v>
      </c>
    </row>
    <row r="53" ht="15.75" customHeight="1" s="169">
      <c r="A53" s="122">
        <f>A52+1</f>
        <v/>
      </c>
      <c r="B53" s="123" t="n">
        <v>328000095</v>
      </c>
      <c r="C53" s="122" t="inlineStr">
        <is>
          <t>3214121808990004</t>
        </is>
      </c>
      <c r="D53" s="124" t="inlineStr">
        <is>
          <t>AGUS JONI</t>
        </is>
      </c>
      <c r="E53" s="122" t="inlineStr">
        <is>
          <t>PURWAKARTA</t>
        </is>
      </c>
      <c r="F53" s="125" t="inlineStr">
        <is>
          <t>SMK 1 PWK</t>
        </is>
      </c>
      <c r="G53" s="96" t="n"/>
      <c r="H53" s="125" t="inlineStr">
        <is>
          <t>SMKN 1 PURWAKARTA</t>
        </is>
      </c>
      <c r="I53" s="127" t="n">
        <v>36390</v>
      </c>
      <c r="J53" s="128">
        <f>DATEDIF(I53, TODAY(), "Y") &amp; " tahun, " &amp; DATEDIF(I53, TODAY(), "YM") &amp; " bulan, " &amp; DATEDIF(I53, TODAY(), "MD") &amp; " hari"
</f>
        <v/>
      </c>
      <c r="K53" s="122" t="inlineStr">
        <is>
          <t>L</t>
        </is>
      </c>
      <c r="L53" s="122" t="inlineStr">
        <is>
          <t>PACKER</t>
        </is>
      </c>
      <c r="M53" s="122">
        <f>VLOOKUP(B53,Sheet21!A:N,14,0)</f>
        <v/>
      </c>
      <c r="N53" s="129" t="inlineStr">
        <is>
          <t>PRODUKSI</t>
        </is>
      </c>
      <c r="O53" s="122" t="inlineStr">
        <is>
          <t>Operator Produksi</t>
        </is>
      </c>
      <c r="P53" s="122" t="inlineStr">
        <is>
          <t>HARIAN</t>
        </is>
      </c>
      <c r="Q53" s="130" t="inlineStr">
        <is>
          <t>KP. WARUNG BUAH, RT/RW 005/006, KEL: HEGARMANAH, KEC: BABAKANCIKAO, KAB: PURWAKARTA</t>
        </is>
      </c>
      <c r="R53" s="122" t="n">
        <v>5</v>
      </c>
      <c r="S53" s="122" t="n">
        <v>6</v>
      </c>
      <c r="T53" s="137" t="n"/>
      <c r="U53" s="122" t="inlineStr">
        <is>
          <t>BABAKANCIKAO</t>
        </is>
      </c>
      <c r="V53" s="122" t="inlineStr">
        <is>
          <t>HEGARMANAH</t>
        </is>
      </c>
      <c r="W53" s="122" t="inlineStr">
        <is>
          <t>PURWAKARTA</t>
        </is>
      </c>
      <c r="X53" s="130" t="inlineStr">
        <is>
          <t>KP. WARUNG BUAH, RT/RW 005/006, KEL: HEGARMANAH, KEC: BABAKANCIKAO, KAB: PURWAKARTA</t>
        </is>
      </c>
      <c r="Y53" s="122" t="n">
        <v>85798800713</v>
      </c>
      <c r="Z53" s="131" t="inlineStr">
        <is>
          <t>ISLAM</t>
        </is>
      </c>
      <c r="AA53" s="122" t="inlineStr">
        <is>
          <t>SMK</t>
        </is>
      </c>
      <c r="AB53" s="132" t="n"/>
      <c r="AC53" s="17" t="n">
        <v>51</v>
      </c>
      <c r="AD53" s="133" t="n">
        <v>328000095</v>
      </c>
      <c r="AE53" s="134" t="inlineStr">
        <is>
          <t>AGUS JONI</t>
        </is>
      </c>
      <c r="AF53" s="133" t="inlineStr">
        <is>
          <t>PRODUCTION</t>
        </is>
      </c>
      <c r="AG53" s="135" t="n">
        <v>23165960958</v>
      </c>
      <c r="AH53" s="136" t="n">
        <v>2394494133</v>
      </c>
    </row>
    <row r="54" ht="15.75" customHeight="1" s="169">
      <c r="A54" s="122">
        <f>A53+1</f>
        <v/>
      </c>
      <c r="B54" s="123" t="n">
        <v>328000097</v>
      </c>
      <c r="C54" s="122" t="inlineStr">
        <is>
          <t>3215061610000003</t>
        </is>
      </c>
      <c r="D54" s="124" t="inlineStr">
        <is>
          <t>YOGI RUDIYANTO</t>
        </is>
      </c>
      <c r="E54" s="122" t="inlineStr">
        <is>
          <t>KARAWANG</t>
        </is>
      </c>
      <c r="F54" s="125" t="inlineStr">
        <is>
          <t>LINK</t>
        </is>
      </c>
      <c r="G54" s="96" t="n"/>
      <c r="H54" s="125" t="inlineStr">
        <is>
          <t>PT KMJ</t>
        </is>
      </c>
      <c r="I54" s="127" t="n">
        <v>36815</v>
      </c>
      <c r="J54" s="128">
        <f>DATEDIF(I54, TODAY(), "Y") &amp; " tahun, " &amp; DATEDIF(I54, TODAY(), "YM") &amp; " bulan, " &amp; DATEDIF(I54, TODAY(), "MD") &amp; " hari"
</f>
        <v/>
      </c>
      <c r="K54" s="122" t="inlineStr">
        <is>
          <t>L</t>
        </is>
      </c>
      <c r="L54" s="122" t="inlineStr">
        <is>
          <t>ADMIN WRM</t>
        </is>
      </c>
      <c r="M54" s="122">
        <f>VLOOKUP(B54,Sheet21!A:N,14,0)</f>
        <v/>
      </c>
      <c r="N54" s="129" t="inlineStr">
        <is>
          <t>LOGISTIK</t>
        </is>
      </c>
      <c r="O54" s="122" t="inlineStr">
        <is>
          <t>Admin WRM</t>
        </is>
      </c>
      <c r="P54" s="122" t="inlineStr">
        <is>
          <t>HARIAN</t>
        </is>
      </c>
      <c r="Q54" s="130" t="inlineStr">
        <is>
          <t>DUSUN JATI, RT/RW: 009/006, KEL: RENGASDENGKLOK UTARA, KEC: RENGASDENGKLOK, KAB: KARAWANG</t>
        </is>
      </c>
      <c r="R54" s="122" t="n">
        <v>9</v>
      </c>
      <c r="S54" s="122" t="n">
        <v>6</v>
      </c>
      <c r="T54" s="137" t="n"/>
      <c r="U54" s="122" t="inlineStr">
        <is>
          <t>RENGASDENGKLOK</t>
        </is>
      </c>
      <c r="V54" s="122" t="inlineStr">
        <is>
          <t>RENGAS DENGKLOK UTARA</t>
        </is>
      </c>
      <c r="W54" s="122" t="inlineStr">
        <is>
          <t>KARAWANG</t>
        </is>
      </c>
      <c r="X54" s="130" t="inlineStr">
        <is>
          <t>DUSUN JATI, RT/RW: 009/006, KEL: RENGASDENGKLOK UTARA, KEC: RENGASDENGKLOK, KAB: KARAWANG</t>
        </is>
      </c>
      <c r="Y54" s="122" t="n">
        <v>89510257342</v>
      </c>
      <c r="Z54" s="131" t="inlineStr">
        <is>
          <t>ISLAM</t>
        </is>
      </c>
      <c r="AA54" s="122" t="inlineStr">
        <is>
          <t>SMK</t>
        </is>
      </c>
      <c r="AB54" s="132" t="n"/>
      <c r="AC54" s="17" t="n">
        <v>52</v>
      </c>
      <c r="AD54" s="133" t="n">
        <v>328000097</v>
      </c>
      <c r="AE54" s="134" t="inlineStr">
        <is>
          <t>YOGI RUDIYANTO</t>
        </is>
      </c>
      <c r="AF54" s="133" t="inlineStr">
        <is>
          <t>LOGISTIC</t>
        </is>
      </c>
      <c r="AG54" s="135" t="n">
        <v>23165960586</v>
      </c>
      <c r="AH54" s="136" t="n">
        <v>2394895689</v>
      </c>
    </row>
    <row r="55" ht="15.75" customHeight="1" s="169">
      <c r="A55" s="122">
        <f>A54+1</f>
        <v/>
      </c>
      <c r="B55" s="123" t="n">
        <v>328000100</v>
      </c>
      <c r="C55" s="122" t="inlineStr">
        <is>
          <t>3214131502010002</t>
        </is>
      </c>
      <c r="D55" s="124" t="inlineStr">
        <is>
          <t>FIKRIE ABI HASAN</t>
        </is>
      </c>
      <c r="E55" s="122" t="inlineStr">
        <is>
          <t>PURWAKARTA</t>
        </is>
      </c>
      <c r="F55" s="125" t="inlineStr">
        <is>
          <t>LINK</t>
        </is>
      </c>
      <c r="G55" s="96" t="n"/>
      <c r="H55" s="125" t="inlineStr">
        <is>
          <t>PT KMJ</t>
        </is>
      </c>
      <c r="I55" s="127" t="n">
        <v>37051</v>
      </c>
      <c r="J55" s="128">
        <f>DATEDIF(I55, TODAY(), "Y") &amp; " tahun, " &amp; DATEDIF(I55, TODAY(), "YM") &amp; " bulan, " &amp; DATEDIF(I55, TODAY(), "MD") &amp; " hari"
</f>
        <v/>
      </c>
      <c r="K55" s="122" t="inlineStr">
        <is>
          <t>L</t>
        </is>
      </c>
      <c r="L55" s="122" t="inlineStr">
        <is>
          <t>ADMIN WSP</t>
        </is>
      </c>
      <c r="M55" s="122">
        <f>VLOOKUP(B55,Sheet21!A:N,14,0)</f>
        <v/>
      </c>
      <c r="N55" s="129" t="inlineStr">
        <is>
          <t>ENG</t>
        </is>
      </c>
      <c r="O55" s="122" t="inlineStr">
        <is>
          <t>Admin WSP</t>
        </is>
      </c>
      <c r="P55" s="122" t="inlineStr">
        <is>
          <t>HARIAN</t>
        </is>
      </c>
      <c r="Q55" s="130" t="inlineStr">
        <is>
          <t>KP BUNDER, RT/RW: 0021/007, KEL: CIBENING, KEC: BUNGURSARI, KAB: PURWAKARTA</t>
        </is>
      </c>
      <c r="R55" s="122" t="n">
        <v>21</v>
      </c>
      <c r="S55" s="122" t="n">
        <v>7</v>
      </c>
      <c r="T55" s="137" t="n"/>
      <c r="U55" s="122" t="inlineStr">
        <is>
          <t>BUNGURSARI</t>
        </is>
      </c>
      <c r="V55" s="122" t="inlineStr">
        <is>
          <t>CIBENING</t>
        </is>
      </c>
      <c r="W55" s="122" t="inlineStr">
        <is>
          <t>PURWAKARTA</t>
        </is>
      </c>
      <c r="X55" s="130" t="inlineStr">
        <is>
          <t>KP BUNDER, RT/RW: 0021/007, KEL: CIBENING, KEC: BUNGURSARI, KAB: PURWAKARTA</t>
        </is>
      </c>
      <c r="Y55" s="122" t="n">
        <v>83827160685</v>
      </c>
      <c r="Z55" s="131" t="inlineStr">
        <is>
          <t>ISLAM</t>
        </is>
      </c>
      <c r="AA55" s="122" t="inlineStr">
        <is>
          <t>SMK</t>
        </is>
      </c>
      <c r="AB55" s="132" t="n"/>
      <c r="AC55" s="17" t="n">
        <v>53</v>
      </c>
      <c r="AD55" s="133" t="n">
        <v>328000100</v>
      </c>
      <c r="AE55" s="134" t="inlineStr">
        <is>
          <t>FIKRIE ABI HASAN</t>
        </is>
      </c>
      <c r="AF55" s="133" t="inlineStr">
        <is>
          <t>LOGISTIC</t>
        </is>
      </c>
      <c r="AG55" s="135" t="n">
        <v>23165960792</v>
      </c>
      <c r="AH55" s="136" t="n">
        <v>63379541</v>
      </c>
    </row>
    <row r="56" ht="15.75" customHeight="1" s="169">
      <c r="A56" s="122">
        <f>A55+1</f>
        <v/>
      </c>
      <c r="B56" s="123" t="n">
        <v>328000104</v>
      </c>
      <c r="C56" s="122" t="inlineStr">
        <is>
          <t>3214124104050001</t>
        </is>
      </c>
      <c r="D56" s="124" t="inlineStr">
        <is>
          <t>TASYA APRIANI</t>
        </is>
      </c>
      <c r="E56" s="122" t="inlineStr">
        <is>
          <t>PURWAKARTA</t>
        </is>
      </c>
      <c r="F56" s="125" t="inlineStr">
        <is>
          <t>TKD</t>
        </is>
      </c>
      <c r="G56" s="125" t="inlineStr">
        <is>
          <t>Pak Wahyudin</t>
        </is>
      </c>
      <c r="H56" s="125" t="inlineStr">
        <is>
          <t>ANAKNYA SUPIR PAK WAHYUDIN</t>
        </is>
      </c>
      <c r="I56" s="127" t="n">
        <v>38443</v>
      </c>
      <c r="J56" s="128">
        <f>DATEDIF(I56, TODAY(), "Y") &amp; " tahun, " &amp; DATEDIF(I56, TODAY(), "YM") &amp; " bulan, " &amp; DATEDIF(I56, TODAY(), "MD") &amp; " hari"
</f>
        <v/>
      </c>
      <c r="K56" s="122" t="inlineStr">
        <is>
          <t>P</t>
        </is>
      </c>
      <c r="L56" s="122" t="inlineStr">
        <is>
          <t>PACKER</t>
        </is>
      </c>
      <c r="M56" s="122">
        <f>VLOOKUP(B56,Sheet21!A:N,14,0)</f>
        <v/>
      </c>
      <c r="N56" s="129" t="inlineStr">
        <is>
          <t>PRODUKSI</t>
        </is>
      </c>
      <c r="O56" s="122" t="inlineStr">
        <is>
          <t>Packer</t>
        </is>
      </c>
      <c r="P56" s="122" t="inlineStr">
        <is>
          <t>HARIAN</t>
        </is>
      </c>
      <c r="Q56" s="130" t="inlineStr">
        <is>
          <t>KP.MULYASARI, RT/RW 004/003, DES: CIWARENG, KEC: BABAKANCIKAO KAB: PURWAKARTA</t>
        </is>
      </c>
      <c r="R56" s="122" t="n">
        <v>4</v>
      </c>
      <c r="S56" s="122" t="n">
        <v>3</v>
      </c>
      <c r="T56" s="122" t="n">
        <v>41151</v>
      </c>
      <c r="U56" s="122" t="inlineStr">
        <is>
          <t>BABAKANCIKAO</t>
        </is>
      </c>
      <c r="V56" s="122" t="inlineStr">
        <is>
          <t>CIWARENG</t>
        </is>
      </c>
      <c r="W56" s="122" t="inlineStr">
        <is>
          <t>PURWAKARTA</t>
        </is>
      </c>
      <c r="X56" s="130" t="inlineStr">
        <is>
          <t>KP.MULYASARI, RT/RW 004/003, DES: CIWARENG, KEC: BABAKANCIKAO KAB: PURWAKARTA</t>
        </is>
      </c>
      <c r="Y56" s="122" t="n">
        <v>89665347150</v>
      </c>
      <c r="Z56" s="131" t="inlineStr">
        <is>
          <t>ISLAM</t>
        </is>
      </c>
      <c r="AA56" s="122" t="inlineStr">
        <is>
          <t>SMK</t>
        </is>
      </c>
      <c r="AB56" s="132" t="n"/>
      <c r="AC56" s="17" t="n">
        <v>54</v>
      </c>
      <c r="AD56" s="133" t="n">
        <v>328000104</v>
      </c>
      <c r="AE56" s="134" t="inlineStr">
        <is>
          <t>TASYA APRIANI</t>
        </is>
      </c>
      <c r="AF56" s="133" t="inlineStr">
        <is>
          <t>PRODUCTION</t>
        </is>
      </c>
      <c r="AG56" s="135" t="n">
        <v>23165960750</v>
      </c>
      <c r="AH56" s="136" t="n">
        <v>2394925143</v>
      </c>
    </row>
    <row r="57" ht="15.75" customHeight="1" s="169">
      <c r="A57" s="122">
        <f>A56+1</f>
        <v/>
      </c>
      <c r="B57" s="123" t="n">
        <v>328000106</v>
      </c>
      <c r="C57" s="122" t="inlineStr">
        <is>
          <t>3214126802010003</t>
        </is>
      </c>
      <c r="D57" s="124" t="inlineStr">
        <is>
          <t>FANY FEBRYANI WARDOYO</t>
        </is>
      </c>
      <c r="E57" s="122" t="inlineStr">
        <is>
          <t>PURWAKARTA</t>
        </is>
      </c>
      <c r="F57" s="125" t="inlineStr">
        <is>
          <t>SMK 1 PWK</t>
        </is>
      </c>
      <c r="G57" s="96" t="n"/>
      <c r="H57" s="125" t="inlineStr">
        <is>
          <t>SMKN 1 PURWAKARTA</t>
        </is>
      </c>
      <c r="I57" s="127" t="n">
        <v>36950</v>
      </c>
      <c r="J57" s="128">
        <f>DATEDIF(I57, TODAY(), "Y") &amp; " tahun, " &amp; DATEDIF(I57, TODAY(), "YM") &amp; " bulan, " &amp; DATEDIF(I57, TODAY(), "MD") &amp; " hari"
</f>
        <v/>
      </c>
      <c r="K57" s="122" t="inlineStr">
        <is>
          <t>P</t>
        </is>
      </c>
      <c r="L57" s="122" t="inlineStr">
        <is>
          <t>QUALITY CONTROL</t>
        </is>
      </c>
      <c r="M57" s="122">
        <f>VLOOKUP(B57,Sheet21!A:N,14,0)</f>
        <v/>
      </c>
      <c r="N57" s="129" t="inlineStr">
        <is>
          <t>QC</t>
        </is>
      </c>
      <c r="O57" s="122" t="inlineStr">
        <is>
          <t>QC Produksi</t>
        </is>
      </c>
      <c r="P57" s="122" t="inlineStr">
        <is>
          <t>HARIAN</t>
        </is>
      </c>
      <c r="Q57" s="130" t="inlineStr">
        <is>
          <t>KP. KARAJAN, RT/RW: 007/003, KEL: BABAKAN CIKAO, KEC: BABAKAN CIKAO, KAB: PURWAKARTA</t>
        </is>
      </c>
      <c r="R57" s="122" t="n">
        <v>7</v>
      </c>
      <c r="S57" s="122" t="n">
        <v>3</v>
      </c>
      <c r="T57" s="122" t="n">
        <v>12222</v>
      </c>
      <c r="U57" s="122" t="inlineStr">
        <is>
          <t>BABAKAN CIKAO</t>
        </is>
      </c>
      <c r="V57" s="122" t="inlineStr">
        <is>
          <t>BABAKANCIKAO</t>
        </is>
      </c>
      <c r="W57" s="122" t="inlineStr">
        <is>
          <t>PURWAKARTA</t>
        </is>
      </c>
      <c r="X57" s="130" t="inlineStr">
        <is>
          <t>KP. KARAJAN, RT/RW: 007/003, KEL: BABAKAN CIKAO, KEC: BABAKAN CIKAO, KAB: PURWAKARTA</t>
        </is>
      </c>
      <c r="Y57" s="122" t="n">
        <v>87871385742</v>
      </c>
      <c r="Z57" s="131" t="inlineStr">
        <is>
          <t>ISLAM</t>
        </is>
      </c>
      <c r="AA57" s="122" t="inlineStr">
        <is>
          <t>SMK</t>
        </is>
      </c>
      <c r="AB57" s="132" t="n"/>
      <c r="AC57" s="17" t="n">
        <v>55</v>
      </c>
      <c r="AD57" s="133" t="n">
        <v>328000106</v>
      </c>
      <c r="AE57" s="134" t="inlineStr">
        <is>
          <t>FANY FEBRYANI WARDOYO</t>
        </is>
      </c>
      <c r="AF57" s="133" t="inlineStr">
        <is>
          <t>QUALITY AND RESEARCH &amp; DEVELOPMENT</t>
        </is>
      </c>
      <c r="AG57" s="135" t="n">
        <v>23191184375</v>
      </c>
      <c r="AH57" s="136" t="n">
        <v>2078935389</v>
      </c>
    </row>
    <row r="58" ht="15.75" customHeight="1" s="169">
      <c r="A58" s="122">
        <f>A57+1</f>
        <v/>
      </c>
      <c r="B58" s="123" t="n">
        <v>328000108</v>
      </c>
      <c r="C58" s="122" t="inlineStr">
        <is>
          <t>3214121704020002</t>
        </is>
      </c>
      <c r="D58" s="124" t="inlineStr">
        <is>
          <t xml:space="preserve">AHMAD NUR FAJAR
</t>
        </is>
      </c>
      <c r="E58" s="122" t="inlineStr">
        <is>
          <t>PURWAKARTA</t>
        </is>
      </c>
      <c r="F58" s="125" t="inlineStr">
        <is>
          <t>SMK 1 PWK</t>
        </is>
      </c>
      <c r="G58" s="96" t="n"/>
      <c r="H58" s="125" t="inlineStr">
        <is>
          <t>SMKN 1 PURWAKARTA</t>
        </is>
      </c>
      <c r="I58" s="127" t="n">
        <v>37363</v>
      </c>
      <c r="J58" s="128">
        <f>DATEDIF(I58, TODAY(), "Y") &amp; " tahun, " &amp; DATEDIF(I58, TODAY(), "YM") &amp; " bulan, " &amp; DATEDIF(I58, TODAY(), "MD") &amp; " hari"
</f>
        <v/>
      </c>
      <c r="K58" s="122" t="inlineStr">
        <is>
          <t>L</t>
        </is>
      </c>
      <c r="L58" s="122" t="inlineStr">
        <is>
          <t>OP. PRODUKSI</t>
        </is>
      </c>
      <c r="M58" s="122">
        <f>VLOOKUP(B58,Sheet21!A:N,14,0)</f>
        <v/>
      </c>
      <c r="N58" s="129" t="inlineStr">
        <is>
          <t>PRODUKSI</t>
        </is>
      </c>
      <c r="O58" s="122" t="inlineStr">
        <is>
          <t>Operator Produksi</t>
        </is>
      </c>
      <c r="P58" s="122" t="inlineStr">
        <is>
          <t>HARIAN</t>
        </is>
      </c>
      <c r="Q58" s="130" t="inlineStr">
        <is>
          <t>KP. TABRIK, RT/RW: 010/004, KEL: BABAKANCIKAO, KEC: BABAKANCIKAO, KAB PURWAKARTA</t>
        </is>
      </c>
      <c r="R58" s="122" t="n">
        <v>10</v>
      </c>
      <c r="S58" s="122" t="n">
        <v>4</v>
      </c>
      <c r="T58" s="137" t="n"/>
      <c r="U58" s="122" t="inlineStr">
        <is>
          <t>BABAKANCIKAO</t>
        </is>
      </c>
      <c r="V58" s="122" t="inlineStr">
        <is>
          <t>BABAKANCIKAO</t>
        </is>
      </c>
      <c r="W58" s="122" t="inlineStr">
        <is>
          <t>PURWAKARTA</t>
        </is>
      </c>
      <c r="X58" s="130" t="inlineStr">
        <is>
          <t>KP. TABRIK, RT/RW: 010/004, KEL: BABAKANCIKAO, KEC: BABAKANCIKAO, KAB PURWAKARTA</t>
        </is>
      </c>
      <c r="Y58" s="122" t="n">
        <v>89664457239</v>
      </c>
      <c r="Z58" s="131" t="inlineStr">
        <is>
          <t>ISLAM</t>
        </is>
      </c>
      <c r="AA58" s="122" t="inlineStr">
        <is>
          <t>SMK</t>
        </is>
      </c>
      <c r="AB58" s="132" t="n"/>
      <c r="AC58" s="17" t="n">
        <v>56</v>
      </c>
      <c r="AD58" s="133" t="n">
        <v>328000108</v>
      </c>
      <c r="AE58" s="134" t="inlineStr">
        <is>
          <t>AHMAD NUR FAJAR</t>
        </is>
      </c>
      <c r="AF58" s="133" t="inlineStr">
        <is>
          <t>PRODUCTION</t>
        </is>
      </c>
      <c r="AG58" s="135" t="n">
        <v>23191183930</v>
      </c>
      <c r="AH58" s="136" t="n">
        <v>210287158</v>
      </c>
    </row>
    <row r="59" ht="15.75" customHeight="1" s="169">
      <c r="A59" s="122">
        <f>A58+1</f>
        <v/>
      </c>
      <c r="B59" s="123" t="n">
        <v>328000109</v>
      </c>
      <c r="C59" s="122" t="inlineStr">
        <is>
          <t>3214122302030002</t>
        </is>
      </c>
      <c r="D59" s="124" t="inlineStr">
        <is>
          <t>RIZKY PRADANA R</t>
        </is>
      </c>
      <c r="E59" s="122" t="inlineStr">
        <is>
          <t>PURWAKARTA</t>
        </is>
      </c>
      <c r="F59" s="125" t="inlineStr">
        <is>
          <t>SMK 1 PWK</t>
        </is>
      </c>
      <c r="G59" s="96" t="n"/>
      <c r="H59" s="125" t="inlineStr">
        <is>
          <t>SMKN 1 PURWAKARTA</t>
        </is>
      </c>
      <c r="I59" s="127" t="n">
        <v>37675</v>
      </c>
      <c r="J59" s="128">
        <f>DATEDIF(I59, TODAY(), "Y") &amp; " tahun, " &amp; DATEDIF(I59, TODAY(), "YM") &amp; " bulan, " &amp; DATEDIF(I59, TODAY(), "MD") &amp; " hari"
</f>
        <v/>
      </c>
      <c r="K59" s="122" t="inlineStr">
        <is>
          <t>L</t>
        </is>
      </c>
      <c r="L59" s="122" t="inlineStr">
        <is>
          <t>OP. PRODUKSI</t>
        </is>
      </c>
      <c r="M59" s="122">
        <f>VLOOKUP(B59,Sheet21!A:N,14,0)</f>
        <v/>
      </c>
      <c r="N59" s="129" t="inlineStr">
        <is>
          <t>PRODUKSI</t>
        </is>
      </c>
      <c r="O59" s="122" t="inlineStr">
        <is>
          <t>Operator Produksi</t>
        </is>
      </c>
      <c r="P59" s="122" t="inlineStr">
        <is>
          <t>HARIAN</t>
        </is>
      </c>
      <c r="Q59" s="130" t="inlineStr">
        <is>
          <t>KP. KRAJAN, RT/RW: 006/002, KEL:MARACANG, KEC: BABAKANCIKAO, KAB: PURWAKARTA</t>
        </is>
      </c>
      <c r="R59" s="122" t="n">
        <v>6</v>
      </c>
      <c r="S59" s="122" t="n">
        <v>2</v>
      </c>
      <c r="T59" s="137" t="n"/>
      <c r="U59" s="122" t="inlineStr">
        <is>
          <t>BABAKANCIKAO</t>
        </is>
      </c>
      <c r="V59" s="122" t="inlineStr">
        <is>
          <t>MARACANG</t>
        </is>
      </c>
      <c r="W59" s="122" t="inlineStr">
        <is>
          <t>PURWAKARTA</t>
        </is>
      </c>
      <c r="X59" s="130" t="inlineStr">
        <is>
          <t>KP. KRAJAN, RT/RW: 006/002, KEL:MARACANG, KEC: BABAKANCIKAO, KAB: PURWAKARTA</t>
        </is>
      </c>
      <c r="Y59" s="122" t="n">
        <v>895604309020</v>
      </c>
      <c r="Z59" s="131" t="inlineStr">
        <is>
          <t>ISLAM</t>
        </is>
      </c>
      <c r="AA59" s="122" t="inlineStr">
        <is>
          <t>SMK</t>
        </is>
      </c>
      <c r="AB59" s="132" t="n"/>
      <c r="AC59" s="17" t="n">
        <v>57</v>
      </c>
      <c r="AD59" s="133" t="n">
        <v>328000109</v>
      </c>
      <c r="AE59" s="134" t="inlineStr">
        <is>
          <t>RIZKY PRADANA R</t>
        </is>
      </c>
      <c r="AF59" s="133" t="inlineStr">
        <is>
          <t>PRODUCTION</t>
        </is>
      </c>
      <c r="AG59" s="135" t="n">
        <v>23191183948</v>
      </c>
      <c r="AH59" s="136" t="n">
        <v>1516596647</v>
      </c>
    </row>
    <row r="60" ht="15.75" customHeight="1" s="169">
      <c r="A60" s="122">
        <f>A59+1</f>
        <v/>
      </c>
      <c r="B60" s="123" t="n">
        <v>328000110</v>
      </c>
      <c r="C60" s="122" t="inlineStr">
        <is>
          <t>3214010405000003</t>
        </is>
      </c>
      <c r="D60" s="124" t="inlineStr">
        <is>
          <t>PRATAMA WAHYU SAPUTRO</t>
        </is>
      </c>
      <c r="E60" s="122" t="inlineStr">
        <is>
          <t>PURWAKARTA</t>
        </is>
      </c>
      <c r="F60" s="125" t="inlineStr">
        <is>
          <t>SMK 1 PWK</t>
        </is>
      </c>
      <c r="G60" s="96" t="n"/>
      <c r="H60" s="125" t="inlineStr">
        <is>
          <t>SMKN 1 PURWAKARTA</t>
        </is>
      </c>
      <c r="I60" s="127" t="n">
        <v>37745</v>
      </c>
      <c r="J60" s="128">
        <f>DATEDIF(I60, TODAY(), "Y") &amp; " tahun, " &amp; DATEDIF(I60, TODAY(), "YM") &amp; " bulan, " &amp; DATEDIF(I60, TODAY(), "MD") &amp; " hari"
</f>
        <v/>
      </c>
      <c r="K60" s="122" t="inlineStr">
        <is>
          <t>L</t>
        </is>
      </c>
      <c r="L60" s="122" t="inlineStr">
        <is>
          <t>OP. PRODUKSI</t>
        </is>
      </c>
      <c r="M60" s="122">
        <f>VLOOKUP(B60,Sheet21!A:N,14,0)</f>
        <v/>
      </c>
      <c r="N60" s="129" t="inlineStr">
        <is>
          <t>PRODUKSI</t>
        </is>
      </c>
      <c r="O60" s="122" t="inlineStr">
        <is>
          <t>Operator Produksi</t>
        </is>
      </c>
      <c r="P60" s="122" t="inlineStr">
        <is>
          <t>HARIAN</t>
        </is>
      </c>
      <c r="Q60" s="130" t="inlineStr">
        <is>
          <t>JL PERUMAHAN BUKIT PANORAMA INDAH, RT/RW: 089/012, KEC: PURWAKARTA, KEL: NAGRIKALER, KAB: PURWAKARTA</t>
        </is>
      </c>
      <c r="R60" s="122" t="n">
        <v>89</v>
      </c>
      <c r="S60" s="122" t="n">
        <v>12</v>
      </c>
      <c r="T60" s="137" t="n"/>
      <c r="U60" s="122" t="inlineStr">
        <is>
          <t>PURWAKARTA</t>
        </is>
      </c>
      <c r="V60" s="122" t="inlineStr">
        <is>
          <t>NAGRIKALER</t>
        </is>
      </c>
      <c r="W60" s="122" t="inlineStr">
        <is>
          <t>PURWAKARTA</t>
        </is>
      </c>
      <c r="X60" s="130" t="inlineStr">
        <is>
          <t>JL PERUMAHAN BUKIT PANORAMA INDAH, RT/RW: 089/012, KEC: PURWAKARTA, KEL: NAGRIKALER, KAB: PURWAKARTA</t>
        </is>
      </c>
      <c r="Y60" s="122" t="n">
        <v>85703104824</v>
      </c>
      <c r="Z60" s="131" t="inlineStr">
        <is>
          <t>ISLAM</t>
        </is>
      </c>
      <c r="AA60" s="122" t="inlineStr">
        <is>
          <t>SMK</t>
        </is>
      </c>
      <c r="AB60" s="132" t="n"/>
      <c r="AC60" s="17" t="n">
        <v>58</v>
      </c>
      <c r="AD60" s="133" t="n">
        <v>328000110</v>
      </c>
      <c r="AE60" s="134" t="inlineStr">
        <is>
          <t>PRATAMA WAHYU SAPUTRO</t>
        </is>
      </c>
      <c r="AF60" s="133" t="inlineStr">
        <is>
          <t>PRODUCTION</t>
        </is>
      </c>
      <c r="AG60" s="135" t="n">
        <v>23191184334</v>
      </c>
      <c r="AH60" s="136" t="n">
        <v>1176790195</v>
      </c>
    </row>
    <row r="61" ht="15.75" customHeight="1" s="169">
      <c r="A61" s="122">
        <f>A60+1</f>
        <v/>
      </c>
      <c r="B61" s="123" t="n">
        <v>328000111</v>
      </c>
      <c r="C61" s="122" t="inlineStr">
        <is>
          <t>3216025404990008</t>
        </is>
      </c>
      <c r="D61" s="124" t="inlineStr">
        <is>
          <t>KESLERIA</t>
        </is>
      </c>
      <c r="E61" s="122" t="inlineStr">
        <is>
          <t>MEDAN</t>
        </is>
      </c>
      <c r="F61" s="125" t="inlineStr">
        <is>
          <t>LINK</t>
        </is>
      </c>
      <c r="G61" s="96" t="n"/>
      <c r="H61" s="125" t="inlineStr">
        <is>
          <t>Ex AMG</t>
        </is>
      </c>
      <c r="I61" s="127" t="n">
        <v>36264</v>
      </c>
      <c r="J61" s="128">
        <f>DATEDIF(I61, TODAY(), "Y") &amp; " tahun, " &amp; DATEDIF(I61, TODAY(), "YM") &amp; " bulan, " &amp; DATEDIF(I61, TODAY(), "MD") &amp; " hari"
</f>
        <v/>
      </c>
      <c r="K61" s="122" t="inlineStr">
        <is>
          <t>P</t>
        </is>
      </c>
      <c r="L61" s="122" t="inlineStr">
        <is>
          <t>PACKER</t>
        </is>
      </c>
      <c r="M61" s="122">
        <f>VLOOKUP(B61,Sheet21!A:N,14,0)</f>
        <v/>
      </c>
      <c r="N61" s="129" t="inlineStr">
        <is>
          <t>PRODUKSI</t>
        </is>
      </c>
      <c r="O61" s="122" t="inlineStr">
        <is>
          <t>Packer</t>
        </is>
      </c>
      <c r="P61" s="122" t="inlineStr">
        <is>
          <t>HARIAN</t>
        </is>
      </c>
      <c r="Q61" s="130" t="inlineStr">
        <is>
          <t>BABELAN, RT/RW : 021/002, KEL : BABELAN KOTA, KEC : BABELAN, KAB: BEKASI</t>
        </is>
      </c>
      <c r="R61" s="122" t="n">
        <v>21</v>
      </c>
      <c r="S61" s="122" t="n">
        <v>2</v>
      </c>
      <c r="T61" s="137" t="n"/>
      <c r="U61" s="122" t="inlineStr">
        <is>
          <t>BABELAN</t>
        </is>
      </c>
      <c r="V61" s="122" t="inlineStr">
        <is>
          <t>BABELAN KOTA</t>
        </is>
      </c>
      <c r="W61" s="122" t="inlineStr">
        <is>
          <t>BEKASI</t>
        </is>
      </c>
      <c r="X61" s="130" t="inlineStr">
        <is>
          <t>BABELAN, RT/RW : 021/002, KEL : BABELAN KOTA, KEC : BABELAN, KAB: BEKASI</t>
        </is>
      </c>
      <c r="Y61" s="122" t="n">
        <v>85779809122</v>
      </c>
      <c r="Z61" s="131" t="inlineStr">
        <is>
          <t>KRISTEN</t>
        </is>
      </c>
      <c r="AA61" s="122" t="inlineStr">
        <is>
          <t>SMK</t>
        </is>
      </c>
      <c r="AB61" s="132" t="n"/>
      <c r="AC61" s="17" t="n">
        <v>59</v>
      </c>
      <c r="AD61" s="133" t="n">
        <v>328000111</v>
      </c>
      <c r="AE61" s="134" t="inlineStr">
        <is>
          <t>KESLERIA</t>
        </is>
      </c>
      <c r="AF61" s="133" t="inlineStr">
        <is>
          <t>PRODUCTION</t>
        </is>
      </c>
      <c r="AG61" s="135" t="n">
        <v>23191184300</v>
      </c>
      <c r="AH61" s="136" t="n">
        <v>2141217347</v>
      </c>
    </row>
    <row r="62" ht="15.75" customHeight="1" s="169">
      <c r="A62" s="122">
        <f>A61+1</f>
        <v/>
      </c>
      <c r="B62" s="123" t="n">
        <v>328000112</v>
      </c>
      <c r="C62" s="122" t="inlineStr">
        <is>
          <t>3275065008000011</t>
        </is>
      </c>
      <c r="D62" s="124" t="inlineStr">
        <is>
          <t>FIRDAWATI</t>
        </is>
      </c>
      <c r="E62" s="122" t="inlineStr">
        <is>
          <t>BEKASI</t>
        </is>
      </c>
      <c r="F62" s="125" t="inlineStr">
        <is>
          <t>LINK</t>
        </is>
      </c>
      <c r="G62" s="96" t="n"/>
      <c r="H62" s="125" t="inlineStr">
        <is>
          <t>Ex AMG</t>
        </is>
      </c>
      <c r="I62" s="127" t="n">
        <v>36748</v>
      </c>
      <c r="J62" s="128">
        <f>DATEDIF(I62, TODAY(), "Y") &amp; " tahun, " &amp; DATEDIF(I62, TODAY(), "YM") &amp; " bulan, " &amp; DATEDIF(I62, TODAY(), "MD") &amp; " hari"
</f>
        <v/>
      </c>
      <c r="K62" s="122" t="inlineStr">
        <is>
          <t>P</t>
        </is>
      </c>
      <c r="L62" s="122" t="inlineStr">
        <is>
          <t>PACKER</t>
        </is>
      </c>
      <c r="M62" s="122">
        <f>VLOOKUP(B62,Sheet21!A:N,14,0)</f>
        <v/>
      </c>
      <c r="N62" s="129" t="inlineStr">
        <is>
          <t>PRODUKSI</t>
        </is>
      </c>
      <c r="O62" s="122" t="inlineStr">
        <is>
          <t>Packer</t>
        </is>
      </c>
      <c r="P62" s="122" t="inlineStr">
        <is>
          <t>HARIAN</t>
        </is>
      </c>
      <c r="Q62" s="130" t="inlineStr">
        <is>
          <t>KALIABANG GATET, RT/RW: 006/007, KEL: PEJUANG, KEC: MEDAN SATRIA, KOTA: BEKASI</t>
        </is>
      </c>
      <c r="R62" s="122" t="n">
        <v>6</v>
      </c>
      <c r="S62" s="122" t="n">
        <v>7</v>
      </c>
      <c r="T62" s="137" t="n"/>
      <c r="U62" s="122" t="inlineStr">
        <is>
          <t>MEDAN SATRIA</t>
        </is>
      </c>
      <c r="V62" s="122" t="inlineStr">
        <is>
          <t>PEJUANG</t>
        </is>
      </c>
      <c r="W62" s="122" t="inlineStr">
        <is>
          <t>KOTA BEKASI</t>
        </is>
      </c>
      <c r="X62" s="130" t="inlineStr">
        <is>
          <t>KALIABANG GATET, RT/RW: 006/007, KEL: PEJUANG, KEC: MEDAN SATRIA, KOTA: BEKASI</t>
        </is>
      </c>
      <c r="Y62" s="122" t="n">
        <v>89639415489</v>
      </c>
      <c r="Z62" s="131" t="inlineStr">
        <is>
          <t>ISLAM</t>
        </is>
      </c>
      <c r="AA62" s="122" t="inlineStr">
        <is>
          <t>SMK</t>
        </is>
      </c>
      <c r="AB62" s="132" t="n"/>
      <c r="AC62" s="17" t="n">
        <v>60</v>
      </c>
      <c r="AD62" s="133" t="n">
        <v>328000112</v>
      </c>
      <c r="AE62" s="134" t="inlineStr">
        <is>
          <t>FIRDAWATI</t>
        </is>
      </c>
      <c r="AF62" s="133" t="inlineStr">
        <is>
          <t>PRODUCTION</t>
        </is>
      </c>
      <c r="AG62" s="135" t="n">
        <v>23191183880</v>
      </c>
      <c r="AH62" s="136" t="n">
        <v>510444819</v>
      </c>
    </row>
    <row r="63" ht="15.75" customHeight="1" s="169">
      <c r="A63" s="122">
        <f>A62+1</f>
        <v/>
      </c>
      <c r="B63" s="123" t="n">
        <v>328000115</v>
      </c>
      <c r="C63" s="122" t="inlineStr">
        <is>
          <t>3214125706040002</t>
        </is>
      </c>
      <c r="D63" s="124" t="inlineStr">
        <is>
          <t>SELY RISDIYANI</t>
        </is>
      </c>
      <c r="E63" s="122" t="inlineStr">
        <is>
          <t>PURWAKARTA</t>
        </is>
      </c>
      <c r="F63" s="125" t="inlineStr">
        <is>
          <t>SMK 1 PWK</t>
        </is>
      </c>
      <c r="G63" s="96" t="n"/>
      <c r="H63" s="125" t="inlineStr">
        <is>
          <t>SMKN 1 PURWAKARTA</t>
        </is>
      </c>
      <c r="I63" s="127" t="n">
        <v>38155</v>
      </c>
      <c r="J63" s="128">
        <f>DATEDIF(I63, TODAY(), "Y") &amp; " tahun, " &amp; DATEDIF(I63, TODAY(), "YM") &amp; " bulan, " &amp; DATEDIF(I63, TODAY(), "MD") &amp; " hari"
</f>
        <v/>
      </c>
      <c r="K63" s="122" t="inlineStr">
        <is>
          <t>P</t>
        </is>
      </c>
      <c r="L63" s="122" t="inlineStr">
        <is>
          <t>PACKER</t>
        </is>
      </c>
      <c r="M63" s="122">
        <f>VLOOKUP(B63,Sheet21!A:N,14,0)</f>
        <v/>
      </c>
      <c r="N63" s="129" t="inlineStr">
        <is>
          <t>PRODUKSI</t>
        </is>
      </c>
      <c r="O63" s="122" t="inlineStr">
        <is>
          <t>Packer</t>
        </is>
      </c>
      <c r="P63" s="122" t="inlineStr">
        <is>
          <t>HARIAN</t>
        </is>
      </c>
      <c r="Q63" s="130" t="inlineStr">
        <is>
          <t>KP. WARUNGBUAH RT/RW.04/02 DESA. HEGARMANAH KEC. BABAKANCIKAO KAB. PURWAKARTA</t>
        </is>
      </c>
      <c r="R63" s="122" t="n">
        <v>4</v>
      </c>
      <c r="S63" s="122" t="n">
        <v>2</v>
      </c>
      <c r="T63" s="122" t="n">
        <v>41151</v>
      </c>
      <c r="U63" s="122" t="inlineStr">
        <is>
          <t>BABAKANCIKAO</t>
        </is>
      </c>
      <c r="V63" s="122" t="inlineStr">
        <is>
          <t>HEGARMANAH</t>
        </is>
      </c>
      <c r="W63" s="122" t="inlineStr">
        <is>
          <t>PURWAKARTA</t>
        </is>
      </c>
      <c r="X63" s="130" t="inlineStr">
        <is>
          <t>KP. WARUNGBUAH RT/RW.04/02 DESA. HEGARMANAH KEC.BABAKANCIKAO KAB. PURWAKARTA</t>
        </is>
      </c>
      <c r="Y63" s="122" t="n">
        <v>81572411346</v>
      </c>
      <c r="Z63" s="131" t="inlineStr">
        <is>
          <t>ISLAM</t>
        </is>
      </c>
      <c r="AA63" s="122" t="inlineStr">
        <is>
          <t>SMK</t>
        </is>
      </c>
      <c r="AB63" s="132" t="n"/>
      <c r="AC63" s="17" t="n">
        <v>61</v>
      </c>
      <c r="AD63" s="133" t="n">
        <v>328000115</v>
      </c>
      <c r="AE63" s="134" t="inlineStr">
        <is>
          <t>SELY RISDIYANI</t>
        </is>
      </c>
      <c r="AF63" s="133" t="inlineStr">
        <is>
          <t>PRODUCTION</t>
        </is>
      </c>
      <c r="AG63" s="135" t="n">
        <v>23191183955</v>
      </c>
      <c r="AH63" s="136" t="n">
        <v>2280071351</v>
      </c>
    </row>
    <row r="64" ht="15.75" customHeight="1" s="169">
      <c r="A64" s="122">
        <f>A63+1</f>
        <v/>
      </c>
      <c r="B64" s="123" t="n">
        <v>328000121</v>
      </c>
      <c r="C64" s="122" t="inlineStr">
        <is>
          <t>3214015008980007</t>
        </is>
      </c>
      <c r="D64" s="124" t="inlineStr">
        <is>
          <t xml:space="preserve">DEA NURHAYATI
</t>
        </is>
      </c>
      <c r="E64" s="122" t="inlineStr">
        <is>
          <t>PURWAKARTA</t>
        </is>
      </c>
      <c r="F64" s="125" t="inlineStr">
        <is>
          <t>TKD</t>
        </is>
      </c>
      <c r="G64" s="125" t="inlineStr">
        <is>
          <t>Pak Wahyudin</t>
        </is>
      </c>
      <c r="H64" s="125" t="inlineStr">
        <is>
          <t>KEPONAKAN PAK WAHYUDIN</t>
        </is>
      </c>
      <c r="I64" s="127" t="n">
        <v>36017</v>
      </c>
      <c r="J64" s="128">
        <f>DATEDIF(I64, TODAY(), "Y") &amp; " tahun, " &amp; DATEDIF(I64, TODAY(), "YM") &amp; " bulan, " &amp; DATEDIF(I64, TODAY(), "MD") &amp; " hari"
</f>
        <v/>
      </c>
      <c r="K64" s="122" t="inlineStr">
        <is>
          <t>p</t>
        </is>
      </c>
      <c r="L64" s="122" t="inlineStr">
        <is>
          <t>PACKER</t>
        </is>
      </c>
      <c r="M64" s="122">
        <f>VLOOKUP(B64,Sheet21!A:N,14,0)</f>
        <v/>
      </c>
      <c r="N64" s="129" t="inlineStr">
        <is>
          <t>PRODUKSI</t>
        </is>
      </c>
      <c r="O64" s="122" t="inlineStr">
        <is>
          <t>Packer</t>
        </is>
      </c>
      <c r="P64" s="122" t="inlineStr">
        <is>
          <t>HARIAN</t>
        </is>
      </c>
      <c r="Q64" s="130" t="inlineStr">
        <is>
          <t>GG DAHLIA II, RT/RW: 027/005, KEL: NAGRI TENGAH, KEC: PURWAKARTA, KAB : PURWAKARTA</t>
        </is>
      </c>
      <c r="R64" s="122" t="n">
        <v>27</v>
      </c>
      <c r="S64" s="122" t="n">
        <v>5</v>
      </c>
      <c r="T64" s="137" t="n"/>
      <c r="U64" s="122" t="inlineStr">
        <is>
          <t>PURWAKARTA</t>
        </is>
      </c>
      <c r="V64" s="122" t="inlineStr">
        <is>
          <t>NAGRI TENGAH</t>
        </is>
      </c>
      <c r="W64" s="122" t="inlineStr">
        <is>
          <t>PURWAKARTA</t>
        </is>
      </c>
      <c r="X64" s="130" t="inlineStr">
        <is>
          <t>GG DAHLIA II, RT/RW: 027/005, KEL: NAGRI TENGAH, KEC: PURWAKARTA, KAB : PURWAKARTA</t>
        </is>
      </c>
      <c r="Y64" s="122" t="n">
        <v>8993162360</v>
      </c>
      <c r="Z64" s="131" t="inlineStr">
        <is>
          <t>ISLAM</t>
        </is>
      </c>
      <c r="AA64" s="122" t="inlineStr">
        <is>
          <t>SMK</t>
        </is>
      </c>
      <c r="AB64" s="132" t="n"/>
      <c r="AC64" s="17" t="n">
        <v>62</v>
      </c>
      <c r="AD64" s="133" t="n">
        <v>328000121</v>
      </c>
      <c r="AE64" s="134" t="inlineStr">
        <is>
          <t>DEA NURHAYATI</t>
        </is>
      </c>
      <c r="AF64" s="133" t="inlineStr">
        <is>
          <t>PRODUCTION</t>
        </is>
      </c>
      <c r="AG64" s="135" t="n">
        <v>23191183963</v>
      </c>
      <c r="AH64" s="136" t="n">
        <v>1659877806</v>
      </c>
    </row>
    <row r="65" ht="15.75" customHeight="1" s="169">
      <c r="A65" s="122">
        <f>A64+1</f>
        <v/>
      </c>
      <c r="B65" s="123" t="n">
        <v>328000122</v>
      </c>
      <c r="C65" s="122" t="inlineStr">
        <is>
          <t>3214051106020004</t>
        </is>
      </c>
      <c r="D65" s="124" t="inlineStr">
        <is>
          <t>SENDI</t>
        </is>
      </c>
      <c r="E65" s="122" t="inlineStr">
        <is>
          <t>PURWAKARTA</t>
        </is>
      </c>
      <c r="F65" s="125" t="inlineStr">
        <is>
          <t>TKD</t>
        </is>
      </c>
      <c r="G65" s="125" t="inlineStr">
        <is>
          <t>Pak Wahyudin</t>
        </is>
      </c>
      <c r="H65" s="125" t="inlineStr">
        <is>
          <t>ORMAS</t>
        </is>
      </c>
      <c r="I65" s="127" t="n">
        <v>37370</v>
      </c>
      <c r="J65" s="128">
        <f>DATEDIF(I65, TODAY(), "Y") &amp; " tahun, " &amp; DATEDIF(I65, TODAY(), "YM") &amp; " bulan, " &amp; DATEDIF(I65, TODAY(), "MD") &amp; " hari"
</f>
        <v/>
      </c>
      <c r="K65" s="122" t="inlineStr">
        <is>
          <t>L</t>
        </is>
      </c>
      <c r="L65" s="122" t="inlineStr">
        <is>
          <t>OP. PRODUKSI</t>
        </is>
      </c>
      <c r="M65" s="122">
        <f>VLOOKUP(B65,Sheet21!A:N,14,0)</f>
        <v/>
      </c>
      <c r="N65" s="129" t="inlineStr">
        <is>
          <t>PRODUKSI</t>
        </is>
      </c>
      <c r="O65" s="122" t="inlineStr">
        <is>
          <t>Operator Produksi</t>
        </is>
      </c>
      <c r="P65" s="122" t="inlineStr">
        <is>
          <t>HARIAN</t>
        </is>
      </c>
      <c r="Q65" s="130" t="inlineStr">
        <is>
          <t>KP PALINGGIHAN, RT/RW: 008/004, KEL: PANYINDANGAN, KEC: SUKATANI, KAB: PURWAKARTA</t>
        </is>
      </c>
      <c r="R65" s="122" t="n">
        <v>8</v>
      </c>
      <c r="S65" s="122" t="n">
        <v>4</v>
      </c>
      <c r="T65" s="137" t="n"/>
      <c r="U65" s="122" t="inlineStr">
        <is>
          <t>SUKATANI</t>
        </is>
      </c>
      <c r="V65" s="122" t="inlineStr">
        <is>
          <t>PANYUNDANGAN</t>
        </is>
      </c>
      <c r="W65" s="122" t="inlineStr">
        <is>
          <t>PURWAKARTA</t>
        </is>
      </c>
      <c r="X65" s="130" t="inlineStr">
        <is>
          <t>KP PALINGGIHAN, RT/RW: 008/004, KEL: PANYINDANGAN, KEC: SUKATANI, KAB: PURWAKARTA</t>
        </is>
      </c>
      <c r="Y65" s="122" t="n">
        <v>82114875277</v>
      </c>
      <c r="Z65" s="131" t="inlineStr">
        <is>
          <t>ISLAM</t>
        </is>
      </c>
      <c r="AA65" s="122" t="inlineStr">
        <is>
          <t>SMK</t>
        </is>
      </c>
      <c r="AB65" s="132" t="n"/>
      <c r="AC65" s="17" t="n">
        <v>63</v>
      </c>
      <c r="AD65" s="133" t="n">
        <v>328000122</v>
      </c>
      <c r="AE65" s="134" t="inlineStr">
        <is>
          <t>SENDI</t>
        </is>
      </c>
      <c r="AF65" s="133" t="inlineStr">
        <is>
          <t>PRODUCTION</t>
        </is>
      </c>
      <c r="AG65" s="135" t="n">
        <v>23191183864</v>
      </c>
      <c r="AH65" s="136" t="n">
        <v>3042970569</v>
      </c>
    </row>
    <row r="66" ht="15.75" customHeight="1" s="169">
      <c r="A66" s="122">
        <f>A65+1</f>
        <v/>
      </c>
      <c r="B66" s="123" t="n">
        <v>328000124</v>
      </c>
      <c r="C66" s="122" t="inlineStr">
        <is>
          <t>3214122412970002</t>
        </is>
      </c>
      <c r="D66" s="124" t="inlineStr">
        <is>
          <t>MUHAMMAD SUGIH NUGRAHA</t>
        </is>
      </c>
      <c r="E66" s="122" t="inlineStr">
        <is>
          <t>PURWAKARTA</t>
        </is>
      </c>
      <c r="F66" s="125" t="inlineStr">
        <is>
          <t>SMK 1 PWK</t>
        </is>
      </c>
      <c r="G66" s="96" t="n"/>
      <c r="H66" s="125" t="inlineStr">
        <is>
          <t>SMKN 1 PURWAKARTA</t>
        </is>
      </c>
      <c r="I66" s="127" t="n">
        <v>35788</v>
      </c>
      <c r="J66" s="128">
        <f>DATEDIF(I66, TODAY(), "Y") &amp; " tahun, " &amp; DATEDIF(I66, TODAY(), "YM") &amp; " bulan, " &amp; DATEDIF(I66, TODAY(), "MD") &amp; " hari"
</f>
        <v/>
      </c>
      <c r="K66" s="122" t="inlineStr">
        <is>
          <t>L</t>
        </is>
      </c>
      <c r="L66" s="122" t="inlineStr">
        <is>
          <t>ADMIN TSP</t>
        </is>
      </c>
      <c r="M66" s="122">
        <f>VLOOKUP(B66,Sheet21!A:N,14,0)</f>
        <v/>
      </c>
      <c r="N66" s="129" t="inlineStr">
        <is>
          <t>PRODUKSI</t>
        </is>
      </c>
      <c r="O66" s="122" t="inlineStr">
        <is>
          <t>Admin TSP</t>
        </is>
      </c>
      <c r="P66" s="122" t="inlineStr">
        <is>
          <t>HARIAN</t>
        </is>
      </c>
      <c r="Q66" s="130" t="inlineStr">
        <is>
          <t>KP. KRAJAN, RT/RW: 004/001, KEL:MARACANG, KEC: BABAKANCIKAO, KAB: PURWAKARTA</t>
        </is>
      </c>
      <c r="R66" s="122" t="n">
        <v>4</v>
      </c>
      <c r="S66" s="122" t="n">
        <v>1</v>
      </c>
      <c r="T66" s="137" t="n"/>
      <c r="U66" s="122" t="inlineStr">
        <is>
          <t>BABAKANCIKAO</t>
        </is>
      </c>
      <c r="V66" s="122" t="inlineStr">
        <is>
          <t>MARACANG</t>
        </is>
      </c>
      <c r="W66" s="122" t="inlineStr">
        <is>
          <t>PURWAKARTA</t>
        </is>
      </c>
      <c r="X66" s="130" t="inlineStr">
        <is>
          <t>KP. KRAJAN, RT/RW: 004/001, KEL:MARACANG, KEC: BABAKANCIKAO, KAB: PURWAKARTA</t>
        </is>
      </c>
      <c r="Y66" s="122" t="n">
        <v>81223893416</v>
      </c>
      <c r="Z66" s="131" t="inlineStr">
        <is>
          <t>ISLAM</t>
        </is>
      </c>
      <c r="AA66" s="122" t="inlineStr">
        <is>
          <t>SMK</t>
        </is>
      </c>
      <c r="AB66" s="132" t="n"/>
      <c r="AC66" s="17" t="n">
        <v>64</v>
      </c>
      <c r="AD66" s="133" t="n">
        <v>328000124</v>
      </c>
      <c r="AE66" s="134" t="inlineStr">
        <is>
          <t>MUHAMMAD SUGIH NUGRAHA</t>
        </is>
      </c>
      <c r="AF66" s="133" t="inlineStr">
        <is>
          <t>PRODUCTION</t>
        </is>
      </c>
      <c r="AG66" s="135" t="n">
        <v>23191184318</v>
      </c>
      <c r="AH66" s="136" t="n">
        <v>63419117</v>
      </c>
    </row>
    <row r="67" ht="15.75" customHeight="1" s="169">
      <c r="A67" s="122">
        <f>A66+1</f>
        <v/>
      </c>
      <c r="B67" s="123" t="n">
        <v>328000129</v>
      </c>
      <c r="C67" s="122" t="inlineStr">
        <is>
          <t>3214012707990005</t>
        </is>
      </c>
      <c r="D67" s="124" t="inlineStr">
        <is>
          <t>AHMAD SYAEFUDIN LATIEF</t>
        </is>
      </c>
      <c r="E67" s="122" t="inlineStr">
        <is>
          <t>PURWAKARTA</t>
        </is>
      </c>
      <c r="F67" s="125" t="inlineStr">
        <is>
          <t>LINK</t>
        </is>
      </c>
      <c r="G67" s="96" t="n"/>
      <c r="H67" s="125" t="inlineStr">
        <is>
          <t>PT KMJ</t>
        </is>
      </c>
      <c r="I67" s="127" t="n">
        <v>36368</v>
      </c>
      <c r="J67" s="128">
        <f>DATEDIF(I67, TODAY(), "Y") &amp; " tahun, " &amp; DATEDIF(I67, TODAY(), "YM") &amp; " bulan, " &amp; DATEDIF(I67, TODAY(), "MD") &amp; " hari"
</f>
        <v/>
      </c>
      <c r="K67" s="122" t="inlineStr">
        <is>
          <t>L</t>
        </is>
      </c>
      <c r="L67" s="122" t="inlineStr">
        <is>
          <t>OP. PRODUKSI</t>
        </is>
      </c>
      <c r="M67" s="122">
        <f>VLOOKUP(B67,Sheet21!A:N,14,0)</f>
        <v/>
      </c>
      <c r="N67" s="129" t="inlineStr">
        <is>
          <t>PRODUKSI</t>
        </is>
      </c>
      <c r="O67" s="122" t="inlineStr">
        <is>
          <t>Operator Produksi</t>
        </is>
      </c>
      <c r="P67" s="122" t="inlineStr">
        <is>
          <t>HARIAN</t>
        </is>
      </c>
      <c r="Q67" s="130" t="inlineStr">
        <is>
          <t>KP AWI MEKAR RT/RW: 0011/006, KEL:BUNGURSARI, KEC: BUNGURSARI KAB: PURWAKARTA</t>
        </is>
      </c>
      <c r="R67" s="122" t="n">
        <v>11</v>
      </c>
      <c r="S67" s="122" t="n">
        <v>6</v>
      </c>
      <c r="T67" s="137" t="n"/>
      <c r="U67" s="122" t="inlineStr">
        <is>
          <t>BUNGURSARI</t>
        </is>
      </c>
      <c r="V67" s="122" t="inlineStr">
        <is>
          <t>BUNGURSARI</t>
        </is>
      </c>
      <c r="W67" s="122" t="inlineStr">
        <is>
          <t>PURWAKARTA</t>
        </is>
      </c>
      <c r="X67" s="130" t="inlineStr">
        <is>
          <t>KP AWI MEKAR RT/RW: 0011/006, KEL:BUNGURSARI, KEC: BUNGURSARI KAB: PURWAKARTA</t>
        </is>
      </c>
      <c r="Y67" s="122" t="n">
        <v>895337903471</v>
      </c>
      <c r="Z67" s="131" t="inlineStr">
        <is>
          <t>ISLAM</t>
        </is>
      </c>
      <c r="AA67" s="122" t="inlineStr">
        <is>
          <t>SMK</t>
        </is>
      </c>
      <c r="AB67" s="132" t="n"/>
      <c r="AC67" s="17" t="n">
        <v>65</v>
      </c>
      <c r="AD67" s="133" t="n">
        <v>328000129</v>
      </c>
      <c r="AE67" s="134" t="inlineStr">
        <is>
          <t>AHMAD SYAEFUDIN LATIEF</t>
        </is>
      </c>
      <c r="AF67" s="133" t="inlineStr">
        <is>
          <t>PRODUCTION</t>
        </is>
      </c>
      <c r="AG67" s="135" t="n">
        <v>23191184060</v>
      </c>
      <c r="AH67" s="136" t="n">
        <v>167044487</v>
      </c>
    </row>
    <row r="68" ht="15.75" customHeight="1" s="169">
      <c r="A68" s="122">
        <f>A67+1</f>
        <v/>
      </c>
      <c r="B68" s="123" t="n">
        <v>328000130</v>
      </c>
      <c r="C68" s="122" t="inlineStr">
        <is>
          <t>3214121008000001</t>
        </is>
      </c>
      <c r="D68" s="124" t="inlineStr">
        <is>
          <t>AGIL AGUSTIAWAN</t>
        </is>
      </c>
      <c r="E68" s="122" t="inlineStr">
        <is>
          <t>PURWAKARTA</t>
        </is>
      </c>
      <c r="F68" s="125" t="inlineStr">
        <is>
          <t>SMK 1 PWK</t>
        </is>
      </c>
      <c r="G68" s="96" t="n"/>
      <c r="H68" s="125" t="inlineStr">
        <is>
          <t>SMKN 1 PURWAKARTA</t>
        </is>
      </c>
      <c r="I68" s="127" t="n">
        <v>36748</v>
      </c>
      <c r="J68" s="128">
        <f>DATEDIF(I68, TODAY(), "Y") &amp; " tahun, " &amp; DATEDIF(I68, TODAY(), "YM") &amp; " bulan, " &amp; DATEDIF(I68, TODAY(), "MD") &amp; " hari"
</f>
        <v/>
      </c>
      <c r="K68" s="122" t="inlineStr">
        <is>
          <t>L</t>
        </is>
      </c>
      <c r="L68" s="122" t="inlineStr">
        <is>
          <t>OP. PRODUKSI</t>
        </is>
      </c>
      <c r="M68" s="122">
        <f>VLOOKUP(B68,Sheet21!A:N,14,0)</f>
        <v/>
      </c>
      <c r="N68" s="129" t="inlineStr">
        <is>
          <t>PRODUKSI</t>
        </is>
      </c>
      <c r="O68" s="122" t="inlineStr">
        <is>
          <t>Operator Produksi</t>
        </is>
      </c>
      <c r="P68" s="122" t="inlineStr">
        <is>
          <t>HARIAN</t>
        </is>
      </c>
      <c r="Q68" s="130" t="inlineStr">
        <is>
          <t>KP. CIKADU, RT/RW: 010/004, KEL: KADUMEKAR, KEC: BABAKANCIKAO, KAB: PURWAKARTA</t>
        </is>
      </c>
      <c r="R68" s="122" t="n">
        <v>10</v>
      </c>
      <c r="S68" s="122" t="n">
        <v>4</v>
      </c>
      <c r="T68" s="122" t="n">
        <v>41172</v>
      </c>
      <c r="U68" s="122" t="inlineStr">
        <is>
          <t>BABAKANCIKAO</t>
        </is>
      </c>
      <c r="V68" s="122" t="inlineStr">
        <is>
          <t>KADUMEKAR</t>
        </is>
      </c>
      <c r="W68" s="122" t="inlineStr">
        <is>
          <t>PURWAKARTA</t>
        </is>
      </c>
      <c r="X68" s="130" t="inlineStr">
        <is>
          <t>KP. CIKADU, RT/RW: 010/004, KEL: KADUMEKAR, KEC: BABAKANCIKAO, KAB: PURWAKARTA</t>
        </is>
      </c>
      <c r="Y68" s="122" t="n">
        <v>81220789352</v>
      </c>
      <c r="Z68" s="131" t="inlineStr">
        <is>
          <t>ISLAM</t>
        </is>
      </c>
      <c r="AA68" s="122" t="inlineStr">
        <is>
          <t>SMK</t>
        </is>
      </c>
      <c r="AB68" s="132" t="n"/>
      <c r="AC68" s="17" t="n">
        <v>66</v>
      </c>
      <c r="AD68" s="133" t="n">
        <v>328000130</v>
      </c>
      <c r="AE68" s="134" t="inlineStr">
        <is>
          <t>AGIL AGUSTIAWAN</t>
        </is>
      </c>
      <c r="AF68" s="133" t="inlineStr">
        <is>
          <t>PRODUCTION</t>
        </is>
      </c>
      <c r="AG68" s="135" t="n">
        <v>23191184292</v>
      </c>
      <c r="AH68" s="136" t="n">
        <v>2797177994</v>
      </c>
    </row>
    <row r="69" ht="15.75" customHeight="1" s="169">
      <c r="A69" s="122">
        <f>A68+1</f>
        <v/>
      </c>
      <c r="B69" s="123" t="n">
        <v>328000132</v>
      </c>
      <c r="C69" s="122" t="inlineStr">
        <is>
          <t>3275066602020006</t>
        </is>
      </c>
      <c r="D69" s="124" t="inlineStr">
        <is>
          <t>FIRYAL FITRIYAH ABID SADIAH</t>
        </is>
      </c>
      <c r="E69" s="122" t="inlineStr">
        <is>
          <t>BEKASI</t>
        </is>
      </c>
      <c r="F69" s="125" t="inlineStr">
        <is>
          <t>LINK</t>
        </is>
      </c>
      <c r="G69" s="96" t="n"/>
      <c r="H69" s="125" t="inlineStr">
        <is>
          <t>Ex AMG</t>
        </is>
      </c>
      <c r="I69" s="127" t="n">
        <v>37313</v>
      </c>
      <c r="J69" s="128">
        <f>DATEDIF(I69, TODAY(), "Y") &amp; " tahun, " &amp; DATEDIF(I69, TODAY(), "YM") &amp; " bulan, " &amp; DATEDIF(I69, TODAY(), "MD") &amp; " hari"
</f>
        <v/>
      </c>
      <c r="K69" s="122" t="inlineStr">
        <is>
          <t>P</t>
        </is>
      </c>
      <c r="L69" s="122" t="inlineStr">
        <is>
          <t>QUALITY PATROL</t>
        </is>
      </c>
      <c r="M69" s="122">
        <f>VLOOKUP(B69,Sheet21!A:N,14,0)</f>
        <v/>
      </c>
      <c r="N69" s="129" t="inlineStr">
        <is>
          <t>QC</t>
        </is>
      </c>
      <c r="O69" s="122" t="inlineStr">
        <is>
          <t>QC Patrol</t>
        </is>
      </c>
      <c r="P69" s="122" t="inlineStr">
        <is>
          <t>HARIAN</t>
        </is>
      </c>
      <c r="Q69" s="130" t="inlineStr">
        <is>
          <t>KALIABANG BUNGUR, RT/RW: 003/003, KEL: PEJUANG, KEC: MEDAN SATRIA, KOTA: BEKASI</t>
        </is>
      </c>
      <c r="R69" s="122" t="n">
        <v>3</v>
      </c>
      <c r="S69" s="122" t="n">
        <v>3</v>
      </c>
      <c r="T69" s="137" t="n"/>
      <c r="U69" s="122" t="inlineStr">
        <is>
          <t>MEDAN SATRIA</t>
        </is>
      </c>
      <c r="V69" s="122" t="inlineStr">
        <is>
          <t>PEJUANG</t>
        </is>
      </c>
      <c r="W69" s="122" t="inlineStr">
        <is>
          <t>KOTA BEKASI</t>
        </is>
      </c>
      <c r="X69" s="130" t="inlineStr">
        <is>
          <t>KALIABANG BUNGUR, RT/RW: 003/003, KEL: PEJUANG, KEC: MEDAN SATRIA, KOTA: BEKASI</t>
        </is>
      </c>
      <c r="Y69" s="122" t="n">
        <v>89523641287</v>
      </c>
      <c r="Z69" s="131" t="inlineStr">
        <is>
          <t>ISLAM</t>
        </is>
      </c>
      <c r="AA69" s="122" t="inlineStr">
        <is>
          <t>SMK</t>
        </is>
      </c>
      <c r="AB69" s="132" t="n"/>
      <c r="AC69" s="17" t="n">
        <v>67</v>
      </c>
      <c r="AD69" s="133" t="n">
        <v>328000132</v>
      </c>
      <c r="AE69" s="134" t="inlineStr">
        <is>
          <t>FIRYAL FITRIYAH ABID SADIAH</t>
        </is>
      </c>
      <c r="AF69" s="133" t="inlineStr">
        <is>
          <t>QUALITY AND RESEARCH &amp; DEVELOPMENT</t>
        </is>
      </c>
      <c r="AG69" s="135" t="n">
        <v>23191183807</v>
      </c>
      <c r="AH69" s="136" t="n">
        <v>3049604471</v>
      </c>
    </row>
    <row r="70" ht="15.75" customHeight="1" s="169">
      <c r="A70" s="122">
        <f>A69+1</f>
        <v/>
      </c>
      <c r="B70" s="123" t="n">
        <v>328000133</v>
      </c>
      <c r="C70" s="122" t="inlineStr">
        <is>
          <t>3275056504970028</t>
        </is>
      </c>
      <c r="D70" s="124" t="inlineStr">
        <is>
          <t>AMALIA INDRATAMA</t>
        </is>
      </c>
      <c r="E70" s="122" t="inlineStr">
        <is>
          <t>BEKASI</t>
        </is>
      </c>
      <c r="F70" s="125" t="inlineStr">
        <is>
          <t>LINK</t>
        </is>
      </c>
      <c r="G70" s="96" t="n"/>
      <c r="H70" s="125" t="inlineStr">
        <is>
          <t>Ex AMG</t>
        </is>
      </c>
      <c r="I70" s="127" t="n">
        <v>35545</v>
      </c>
      <c r="J70" s="128">
        <f>DATEDIF(I70, TODAY(), "Y") &amp; " tahun, " &amp; DATEDIF(I70, TODAY(), "YM") &amp; " bulan, " &amp; DATEDIF(I70, TODAY(), "MD") &amp; " hari"
</f>
        <v/>
      </c>
      <c r="K70" s="122" t="inlineStr">
        <is>
          <t>P</t>
        </is>
      </c>
      <c r="L70" s="122" t="inlineStr">
        <is>
          <t>QUALITY PATROL</t>
        </is>
      </c>
      <c r="M70" s="122">
        <f>VLOOKUP(B70,Sheet21!A:N,14,0)</f>
        <v/>
      </c>
      <c r="N70" s="129" t="inlineStr">
        <is>
          <t>QC</t>
        </is>
      </c>
      <c r="O70" s="122" t="inlineStr">
        <is>
          <t>QC Patrol</t>
        </is>
      </c>
      <c r="P70" s="122" t="inlineStr">
        <is>
          <t>HARIAN</t>
        </is>
      </c>
      <c r="Q70" s="130" t="inlineStr">
        <is>
          <t>KP. RAWA PANJANG, RT/RW: 001/005, KEL: SEPANJANG JAYA, KEC: RAWALUMBU, KOTA: BEKASI</t>
        </is>
      </c>
      <c r="R70" s="122" t="n">
        <v>1</v>
      </c>
      <c r="S70" s="122" t="n">
        <v>5</v>
      </c>
      <c r="T70" s="137" t="n"/>
      <c r="U70" s="122" t="inlineStr">
        <is>
          <t>RAWALUMBU</t>
        </is>
      </c>
      <c r="V70" s="122" t="inlineStr">
        <is>
          <t>SEPANJANG JAYA</t>
        </is>
      </c>
      <c r="W70" s="122" t="inlineStr">
        <is>
          <t>KOTA BEKASI</t>
        </is>
      </c>
      <c r="X70" s="130" t="inlineStr">
        <is>
          <t>KP. RAWA PANJANG, RT/RW: 001/005, KEL: SEPANJANG JAYA, KEC: RAWALUMBU, KOTA: BEKASI</t>
        </is>
      </c>
      <c r="Y70" s="122" t="n">
        <v>8998821074</v>
      </c>
      <c r="Z70" s="131" t="inlineStr">
        <is>
          <t>ISLAM</t>
        </is>
      </c>
      <c r="AA70" s="122" t="inlineStr">
        <is>
          <t>SMK</t>
        </is>
      </c>
      <c r="AB70" s="132" t="n"/>
      <c r="AC70" s="17" t="n">
        <v>68</v>
      </c>
      <c r="AD70" s="133" t="n">
        <v>328000133</v>
      </c>
      <c r="AE70" s="134" t="inlineStr">
        <is>
          <t>AMALIA INDRATAMA</t>
        </is>
      </c>
      <c r="AF70" s="133" t="inlineStr">
        <is>
          <t>QUALITY AND RESEARCH &amp; DEVELOPMENT</t>
        </is>
      </c>
      <c r="AG70" s="135" t="n">
        <v>23191184078</v>
      </c>
      <c r="AH70" s="136" t="n">
        <v>2046365368</v>
      </c>
    </row>
    <row r="71" ht="15.75" customHeight="1" s="169">
      <c r="A71" s="122">
        <f>A70+1</f>
        <v/>
      </c>
      <c r="B71" s="123" t="n">
        <v>328000134</v>
      </c>
      <c r="C71" s="122" t="inlineStr">
        <is>
          <t>3214122809990002</t>
        </is>
      </c>
      <c r="D71" s="124" t="inlineStr">
        <is>
          <t>ASEP SEPTIANA</t>
        </is>
      </c>
      <c r="E71" s="122" t="inlineStr">
        <is>
          <t>PURWAKARTA</t>
        </is>
      </c>
      <c r="F71" s="125" t="inlineStr">
        <is>
          <t>SMK 1 PWK</t>
        </is>
      </c>
      <c r="G71" s="96" t="n"/>
      <c r="H71" s="125" t="inlineStr">
        <is>
          <t>SMKN 1 PURWAKARTA</t>
        </is>
      </c>
      <c r="I71" s="127" t="n">
        <v>36431</v>
      </c>
      <c r="J71" s="128">
        <f>DATEDIF(I71, TODAY(), "Y") &amp; " tahun, " &amp; DATEDIF(I71, TODAY(), "YM") &amp; " bulan, " &amp; DATEDIF(I71, TODAY(), "MD") &amp; " hari"
</f>
        <v/>
      </c>
      <c r="K71" s="122" t="inlineStr">
        <is>
          <t>L</t>
        </is>
      </c>
      <c r="L71" s="122" t="inlineStr">
        <is>
          <t>OP. PRODUKSI</t>
        </is>
      </c>
      <c r="M71" s="122">
        <f>VLOOKUP(B71,Sheet21!A:N,14,0)</f>
        <v/>
      </c>
      <c r="N71" s="129" t="inlineStr">
        <is>
          <t>PRODUKSI</t>
        </is>
      </c>
      <c r="O71" s="122" t="inlineStr">
        <is>
          <t>Operator Produksi</t>
        </is>
      </c>
      <c r="P71" s="122" t="inlineStr">
        <is>
          <t>HARIAN</t>
        </is>
      </c>
      <c r="Q71" s="130" t="inlineStr">
        <is>
          <t>KP. KRAJAN, RT/RW: 007/003, KEL: BABAKANCIKAO, KEC: BABAKANCIKAO, KAB: PURWAKARTA</t>
        </is>
      </c>
      <c r="R71" s="122" t="n">
        <v>7</v>
      </c>
      <c r="S71" s="122" t="n">
        <v>3</v>
      </c>
      <c r="T71" s="137" t="n"/>
      <c r="U71" s="122" t="inlineStr">
        <is>
          <t>BABAKANCIKAO</t>
        </is>
      </c>
      <c r="V71" s="122" t="inlineStr">
        <is>
          <t>BABAKANCIKAO</t>
        </is>
      </c>
      <c r="W71" s="122" t="inlineStr">
        <is>
          <t>PURWAKARTA</t>
        </is>
      </c>
      <c r="X71" s="130" t="inlineStr">
        <is>
          <t>KP. KRAJAN, RT/RW: 007/003, KEL: BABAKANCIKAO, KEC: BABAKANCIKAO, KAB: PURWAKARTA</t>
        </is>
      </c>
      <c r="Y71" s="122" t="n">
        <v>881023092005</v>
      </c>
      <c r="Z71" s="131" t="inlineStr">
        <is>
          <t>ISLAM</t>
        </is>
      </c>
      <c r="AA71" s="122" t="inlineStr">
        <is>
          <t>SMK</t>
        </is>
      </c>
      <c r="AB71" s="132" t="n"/>
      <c r="AC71" s="17" t="n">
        <v>69</v>
      </c>
      <c r="AD71" s="133" t="n">
        <v>328000134</v>
      </c>
      <c r="AE71" s="134" t="inlineStr">
        <is>
          <t>ASEP SEPTIANA</t>
        </is>
      </c>
      <c r="AF71" s="133" t="inlineStr">
        <is>
          <t>PRODUCTION</t>
        </is>
      </c>
      <c r="AG71" s="135" t="n">
        <v>23191184151</v>
      </c>
      <c r="AH71" s="136" t="n">
        <v>1181591021</v>
      </c>
    </row>
    <row r="72" ht="15.75" customHeight="1" s="169">
      <c r="A72" s="122">
        <f>A71+1</f>
        <v/>
      </c>
      <c r="B72" s="123" t="n">
        <v>328000135</v>
      </c>
      <c r="C72" s="122" t="inlineStr">
        <is>
          <t>3214122112030001</t>
        </is>
      </c>
      <c r="D72" s="124" t="inlineStr">
        <is>
          <t>HARRY PANCA</t>
        </is>
      </c>
      <c r="E72" s="122" t="inlineStr">
        <is>
          <t>PURWAKARTA</t>
        </is>
      </c>
      <c r="F72" s="125" t="inlineStr">
        <is>
          <t>SMK 1 PWK</t>
        </is>
      </c>
      <c r="G72" s="96" t="n"/>
      <c r="H72" s="125" t="inlineStr">
        <is>
          <t>SMKN 1 PURWAKARTA</t>
        </is>
      </c>
      <c r="I72" s="127" t="n">
        <v>37976</v>
      </c>
      <c r="J72" s="128">
        <f>DATEDIF(I72, TODAY(), "Y") &amp; " tahun, " &amp; DATEDIF(I72, TODAY(), "YM") &amp; " bulan, " &amp; DATEDIF(I72, TODAY(), "MD") &amp; " hari"
</f>
        <v/>
      </c>
      <c r="K72" s="122" t="inlineStr">
        <is>
          <t>L</t>
        </is>
      </c>
      <c r="L72" s="122" t="inlineStr">
        <is>
          <t>OP. PRODUKSI</t>
        </is>
      </c>
      <c r="M72" s="122">
        <f>VLOOKUP(B72,Sheet21!A:N,14,0)</f>
        <v/>
      </c>
      <c r="N72" s="129" t="inlineStr">
        <is>
          <t>PRODUKSI</t>
        </is>
      </c>
      <c r="O72" s="122" t="inlineStr">
        <is>
          <t>Operator Produksi</t>
        </is>
      </c>
      <c r="P72" s="122" t="inlineStr">
        <is>
          <t>HARIAN</t>
        </is>
      </c>
      <c r="Q72" s="130" t="inlineStr">
        <is>
          <t>KP. KRAJAN, RT/RW: 009/003, KEL:MARACANG, KEC: BABAKANCIKAO, KAB: PURWAKARTA</t>
        </is>
      </c>
      <c r="R72" s="122" t="n">
        <v>9</v>
      </c>
      <c r="S72" s="122" t="n">
        <v>3</v>
      </c>
      <c r="T72" s="137" t="n"/>
      <c r="U72" s="122" t="inlineStr">
        <is>
          <t>BABAKANCIKAO</t>
        </is>
      </c>
      <c r="V72" s="122" t="inlineStr">
        <is>
          <t>MARACANG</t>
        </is>
      </c>
      <c r="W72" s="122" t="inlineStr">
        <is>
          <t>PURWAKARTA</t>
        </is>
      </c>
      <c r="X72" s="130" t="inlineStr">
        <is>
          <t>KP. KRAJAN, RT/RW: 009/003, KEL:MARACANG, KEC: BABAKANCIKAO, KAB: PURWAKARTA</t>
        </is>
      </c>
      <c r="Y72" s="122" t="n">
        <v>81282497375</v>
      </c>
      <c r="Z72" s="131" t="inlineStr">
        <is>
          <t>ISLAM</t>
        </is>
      </c>
      <c r="AA72" s="122" t="inlineStr">
        <is>
          <t>SMK</t>
        </is>
      </c>
      <c r="AB72" s="132" t="n"/>
      <c r="AC72" s="17" t="n">
        <v>70</v>
      </c>
      <c r="AD72" s="133" t="n">
        <v>328000135</v>
      </c>
      <c r="AE72" s="134" t="inlineStr">
        <is>
          <t>HARRY PANCA</t>
        </is>
      </c>
      <c r="AF72" s="133" t="inlineStr">
        <is>
          <t>PRODUCTION</t>
        </is>
      </c>
      <c r="AG72" s="135" t="n">
        <v>23191184268</v>
      </c>
      <c r="AH72" s="136" t="n">
        <v>2378967265</v>
      </c>
    </row>
    <row r="73" ht="15.75" customHeight="1" s="169">
      <c r="A73" s="122">
        <f>A72+1</f>
        <v/>
      </c>
      <c r="B73" s="123" t="n">
        <v>328000136</v>
      </c>
      <c r="C73" s="122" t="inlineStr">
        <is>
          <t>3214011612990005</t>
        </is>
      </c>
      <c r="D73" s="124" t="inlineStr">
        <is>
          <t>SYAHRIFALDI RAMA PUTRA</t>
        </is>
      </c>
      <c r="E73" s="122" t="inlineStr">
        <is>
          <t>PURWAKARTA</t>
        </is>
      </c>
      <c r="F73" s="125" t="inlineStr">
        <is>
          <t>LINK</t>
        </is>
      </c>
      <c r="G73" s="96" t="n"/>
      <c r="H73" s="125" t="inlineStr">
        <is>
          <t>Ex AMG</t>
        </is>
      </c>
      <c r="I73" s="127" t="n">
        <v>36510</v>
      </c>
      <c r="J73" s="128">
        <f>DATEDIF(I73, TODAY(), "Y") &amp; " tahun, " &amp; DATEDIF(I73, TODAY(), "YM") &amp; " bulan, " &amp; DATEDIF(I73, TODAY(), "MD") &amp; " hari"
</f>
        <v/>
      </c>
      <c r="K73" s="122" t="inlineStr">
        <is>
          <t>L</t>
        </is>
      </c>
      <c r="L73" s="122" t="inlineStr">
        <is>
          <t>OP. PRODUKSI</t>
        </is>
      </c>
      <c r="M73" s="122">
        <f>VLOOKUP(B73,Sheet21!A:N,14,0)</f>
        <v/>
      </c>
      <c r="N73" s="129" t="inlineStr">
        <is>
          <t>PRODUKSI</t>
        </is>
      </c>
      <c r="O73" s="122" t="inlineStr">
        <is>
          <t>Operator Produksi</t>
        </is>
      </c>
      <c r="P73" s="122" t="inlineStr">
        <is>
          <t>HARIAN</t>
        </is>
      </c>
      <c r="Q73" s="130" t="inlineStr">
        <is>
          <t>PANORAMA BLOK E3 NO 22, RT/RW: 007/013, KEL: NAGRIKALER, KEC: PURWAKARTA, KAB : PURWAKARTA</t>
        </is>
      </c>
      <c r="R73" s="122" t="n">
        <v>7</v>
      </c>
      <c r="S73" s="122" t="n">
        <v>13</v>
      </c>
      <c r="T73" s="137" t="n"/>
      <c r="U73" s="122" t="inlineStr">
        <is>
          <t>PURWAKARTA</t>
        </is>
      </c>
      <c r="V73" s="122" t="inlineStr">
        <is>
          <t>NAGRIKALER</t>
        </is>
      </c>
      <c r="W73" s="122" t="inlineStr">
        <is>
          <t>PURWAKARTA</t>
        </is>
      </c>
      <c r="X73" s="130" t="inlineStr">
        <is>
          <t>PANORAMA BLOK E3 NO 22, RT/RW: 007/013, KEL: NAGRIKALER, KEC: PURWAKARTA, KAB : PURWAKARTA</t>
        </is>
      </c>
      <c r="Y73" s="137" t="n"/>
      <c r="Z73" s="131" t="inlineStr">
        <is>
          <t>ISLAM</t>
        </is>
      </c>
      <c r="AA73" s="122" t="inlineStr">
        <is>
          <t>SMK</t>
        </is>
      </c>
      <c r="AB73" s="132" t="n"/>
      <c r="AC73" s="17" t="n">
        <v>71</v>
      </c>
      <c r="AD73" s="133" t="n">
        <v>328000136</v>
      </c>
      <c r="AE73" s="134" t="inlineStr">
        <is>
          <t>SYAHRIFALDI RAMA PUTRA</t>
        </is>
      </c>
      <c r="AF73" s="133" t="inlineStr">
        <is>
          <t>PRODUCTION</t>
        </is>
      </c>
      <c r="AG73" s="135" t="n">
        <v>23191183989</v>
      </c>
      <c r="AH73" s="136" t="n">
        <v>1610417452</v>
      </c>
    </row>
    <row r="74" ht="15.75" customHeight="1" s="169">
      <c r="A74" s="122">
        <f>A73+1</f>
        <v/>
      </c>
      <c r="B74" s="123" t="n">
        <v>328000137</v>
      </c>
      <c r="C74" s="122" t="inlineStr">
        <is>
          <t>3204281411030004</t>
        </is>
      </c>
      <c r="D74" s="124" t="inlineStr">
        <is>
          <t>MUHAMMAD ALDY RAMADHAN</t>
        </is>
      </c>
      <c r="E74" s="122" t="inlineStr">
        <is>
          <t>KUNINGAN</t>
        </is>
      </c>
      <c r="F74" s="125" t="inlineStr">
        <is>
          <t>TKD</t>
        </is>
      </c>
      <c r="G74" s="125" t="inlineStr">
        <is>
          <t>Pak Wahyudin</t>
        </is>
      </c>
      <c r="H74" s="125" t="inlineStr">
        <is>
          <t>KASATPOL PP KEC. BABAKANCIKAO</t>
        </is>
      </c>
      <c r="I74" s="127" t="n">
        <v>37939</v>
      </c>
      <c r="J74" s="128">
        <f>DATEDIF(I74, TODAY(), "Y") &amp; " tahun, " &amp; DATEDIF(I74, TODAY(), "YM") &amp; " bulan, " &amp; DATEDIF(I74, TODAY(), "MD") &amp; " hari"
</f>
        <v/>
      </c>
      <c r="K74" s="122" t="inlineStr">
        <is>
          <t>L</t>
        </is>
      </c>
      <c r="L74" s="122" t="inlineStr">
        <is>
          <t>OP. PRODUKSI</t>
        </is>
      </c>
      <c r="M74" s="122">
        <f>VLOOKUP(B74,Sheet21!A:N,14,0)</f>
        <v/>
      </c>
      <c r="N74" s="129" t="inlineStr">
        <is>
          <t>PRODUKSI</t>
        </is>
      </c>
      <c r="O74" s="122" t="inlineStr">
        <is>
          <t>Operator Produksi</t>
        </is>
      </c>
      <c r="P74" s="122" t="inlineStr">
        <is>
          <t>HARIAN</t>
        </is>
      </c>
      <c r="Q74" s="130" t="inlineStr">
        <is>
          <t>KP. KRAJAN, RT/RW: 008/002, KEL:MARACANG, KEC: BABAKANCIKAO, KAB: PURWAKARTA</t>
        </is>
      </c>
      <c r="R74" s="122" t="n">
        <v>8</v>
      </c>
      <c r="S74" s="122" t="n">
        <v>2</v>
      </c>
      <c r="T74" s="137" t="n"/>
      <c r="U74" s="122" t="inlineStr">
        <is>
          <t>BABAKANCIKAO</t>
        </is>
      </c>
      <c r="V74" s="122" t="inlineStr">
        <is>
          <t>MARACANG</t>
        </is>
      </c>
      <c r="W74" s="122" t="inlineStr">
        <is>
          <t>PURWAKARTA</t>
        </is>
      </c>
      <c r="X74" s="130" t="inlineStr">
        <is>
          <t>KP. KRAJAN, RT/RW: 008/002, KEL:MARACANG, KEC: BABAKANCIKAO, KAB: PURWAKARTA</t>
        </is>
      </c>
      <c r="Y74" s="122" t="n">
        <v>895604307755</v>
      </c>
      <c r="Z74" s="131" t="inlineStr">
        <is>
          <t>ISLAM</t>
        </is>
      </c>
      <c r="AA74" s="122" t="inlineStr">
        <is>
          <t>SMK</t>
        </is>
      </c>
      <c r="AB74" s="132" t="n"/>
      <c r="AC74" s="17" t="n">
        <v>72</v>
      </c>
      <c r="AD74" s="133" t="n">
        <v>328000137</v>
      </c>
      <c r="AE74" s="134" t="inlineStr">
        <is>
          <t>MUHAMMAD ALDY RAMADHAN</t>
        </is>
      </c>
      <c r="AF74" s="133" t="inlineStr">
        <is>
          <t>PRODUCTION</t>
        </is>
      </c>
      <c r="AG74" s="135" t="n">
        <v>23191184276</v>
      </c>
      <c r="AH74" s="136" t="n">
        <v>1821988473</v>
      </c>
    </row>
    <row r="75" ht="15.75" customHeight="1" s="169">
      <c r="A75" s="122">
        <f>A74+1</f>
        <v/>
      </c>
      <c r="B75" s="123" t="n">
        <v>328000140</v>
      </c>
      <c r="C75" s="122" t="inlineStr">
        <is>
          <t>3214122808980002</t>
        </is>
      </c>
      <c r="D75" s="124" t="inlineStr">
        <is>
          <t>JERY GUNAWAN</t>
        </is>
      </c>
      <c r="E75" s="122" t="inlineStr">
        <is>
          <t>PURWAKARTA</t>
        </is>
      </c>
      <c r="F75" s="125" t="inlineStr">
        <is>
          <t>SMK 1 PWK</t>
        </is>
      </c>
      <c r="G75" s="96" t="n"/>
      <c r="H75" s="125" t="inlineStr">
        <is>
          <t>SMKN 1 PURWAKARTA</t>
        </is>
      </c>
      <c r="I75" s="127" t="n">
        <v>35305</v>
      </c>
      <c r="J75" s="128">
        <f>DATEDIF(I75, TODAY(), "Y") &amp; " tahun, " &amp; DATEDIF(I75, TODAY(), "YM") &amp; " bulan, " &amp; DATEDIF(I75, TODAY(), "MD") &amp; " hari"
</f>
        <v/>
      </c>
      <c r="K75" s="122" t="inlineStr">
        <is>
          <t>L</t>
        </is>
      </c>
      <c r="L75" s="122" t="inlineStr">
        <is>
          <t>OP. PRODUKSI</t>
        </is>
      </c>
      <c r="M75" s="122">
        <f>VLOOKUP(B75,Sheet21!A:N,14,0)</f>
        <v/>
      </c>
      <c r="N75" s="129" t="inlineStr">
        <is>
          <t>PRODUKSI</t>
        </is>
      </c>
      <c r="O75" s="122" t="inlineStr">
        <is>
          <t>Operator Produksi</t>
        </is>
      </c>
      <c r="P75" s="122" t="inlineStr">
        <is>
          <t>HARIAN</t>
        </is>
      </c>
      <c r="Q75" s="130" t="inlineStr">
        <is>
          <t>KP. KRAJAN, RT/RW: 005/003, KEL: BABAKANCIKAO, KEC: BABAKANCIKAO, KAB: PURWAKARTA</t>
        </is>
      </c>
      <c r="R75" s="122" t="n">
        <v>5</v>
      </c>
      <c r="S75" s="122" t="n">
        <v>3</v>
      </c>
      <c r="T75" s="137" t="n"/>
      <c r="U75" s="122" t="inlineStr">
        <is>
          <t>BABAKANCIKAO</t>
        </is>
      </c>
      <c r="V75" s="122" t="inlineStr">
        <is>
          <t>BABAKANCIKAO</t>
        </is>
      </c>
      <c r="W75" s="122" t="inlineStr">
        <is>
          <t>PURWAKARTA</t>
        </is>
      </c>
      <c r="X75" s="130" t="inlineStr">
        <is>
          <t>KP. KRAJAN, RT/RW: 005/003, KEL: BABAKANCIKAO, KEC: BABAKANCIKAO, KAB: PURWAKARTA</t>
        </is>
      </c>
      <c r="Y75" s="122" t="n">
        <v>83862320523</v>
      </c>
      <c r="Z75" s="131" t="inlineStr">
        <is>
          <t>ISLAM</t>
        </is>
      </c>
      <c r="AA75" s="122" t="inlineStr">
        <is>
          <t>SMK</t>
        </is>
      </c>
      <c r="AB75" s="132" t="n"/>
      <c r="AC75" s="17" t="n">
        <v>73</v>
      </c>
      <c r="AD75" s="133" t="n">
        <v>328000140</v>
      </c>
      <c r="AE75" s="134" t="inlineStr">
        <is>
          <t>JERY GUNAWAN</t>
        </is>
      </c>
      <c r="AF75" s="133" t="inlineStr">
        <is>
          <t>PRODUCTION</t>
        </is>
      </c>
      <c r="AG75" s="135" t="n">
        <v>23191184128</v>
      </c>
      <c r="AH75" s="136" t="n">
        <v>1191273579</v>
      </c>
    </row>
    <row r="76" ht="15.75" customHeight="1" s="169">
      <c r="A76" s="122">
        <f>A75+1</f>
        <v/>
      </c>
      <c r="B76" s="123" t="n">
        <v>328000141</v>
      </c>
      <c r="C76" s="122" t="inlineStr">
        <is>
          <t>1605064710980001</t>
        </is>
      </c>
      <c r="D76" s="124" t="inlineStr">
        <is>
          <t>MAIMUNAH</t>
        </is>
      </c>
      <c r="E76" s="122" t="inlineStr">
        <is>
          <t>MUARA KULAM</t>
        </is>
      </c>
      <c r="F76" s="125" t="inlineStr">
        <is>
          <t>LINK</t>
        </is>
      </c>
      <c r="G76" s="96" t="n"/>
      <c r="H76" s="125" t="inlineStr">
        <is>
          <t>Ex AMG</t>
        </is>
      </c>
      <c r="I76" s="127" t="n">
        <v>36075</v>
      </c>
      <c r="J76" s="128">
        <f>DATEDIF(I76, TODAY(), "Y") &amp; " tahun, " &amp; DATEDIF(I76, TODAY(), "YM") &amp; " bulan, " &amp; DATEDIF(I76, TODAY(), "MD") &amp; " hari"
</f>
        <v/>
      </c>
      <c r="K76" s="122" t="inlineStr">
        <is>
          <t>P</t>
        </is>
      </c>
      <c r="L76" s="122" t="inlineStr">
        <is>
          <t>PACKER</t>
        </is>
      </c>
      <c r="M76" s="122">
        <f>VLOOKUP(B76,Sheet21!A:N,14,0)</f>
        <v/>
      </c>
      <c r="N76" s="129" t="inlineStr">
        <is>
          <t>PRODUKSI</t>
        </is>
      </c>
      <c r="O76" s="122" t="inlineStr">
        <is>
          <t>Packer</t>
        </is>
      </c>
      <c r="P76" s="122" t="inlineStr">
        <is>
          <t>HARIAN</t>
        </is>
      </c>
      <c r="Q76" s="130" t="inlineStr">
        <is>
          <t>DESA MUARA KULAM, RT/RW : 006/003, KEL : MUARA KULAM, KEC : ULU RAWAS KAB: MUSI RAWAS UTARA</t>
        </is>
      </c>
      <c r="R76" s="122" t="n">
        <v>6</v>
      </c>
      <c r="S76" s="122" t="n">
        <v>3</v>
      </c>
      <c r="T76" s="137" t="n"/>
      <c r="U76" s="122" t="inlineStr">
        <is>
          <t>ULU RAWAS</t>
        </is>
      </c>
      <c r="V76" s="122" t="inlineStr">
        <is>
          <t>MUARA KULAM</t>
        </is>
      </c>
      <c r="W76" s="122" t="inlineStr">
        <is>
          <t>MUSI RAWAS UTARA</t>
        </is>
      </c>
      <c r="X76" s="130" t="inlineStr">
        <is>
          <t>DESA MUARA KULAM, RT/RW : 006/003, KEL : MUARA KULAM, KEC : ULU RAWAS</t>
        </is>
      </c>
      <c r="Y76" s="122" t="n">
        <v>82177706554</v>
      </c>
      <c r="Z76" s="131" t="inlineStr">
        <is>
          <t>ISLAM</t>
        </is>
      </c>
      <c r="AA76" s="122" t="inlineStr">
        <is>
          <t>SMA</t>
        </is>
      </c>
      <c r="AB76" s="132" t="n"/>
      <c r="AC76" s="17" t="n">
        <v>74</v>
      </c>
      <c r="AD76" s="133" t="n">
        <v>328000141</v>
      </c>
      <c r="AE76" s="134" t="inlineStr">
        <is>
          <t>MAIMUNAH</t>
        </is>
      </c>
      <c r="AF76" s="133" t="inlineStr">
        <is>
          <t>PRODUCTION</t>
        </is>
      </c>
      <c r="AG76" s="135" t="n">
        <v>23191184003</v>
      </c>
      <c r="AH76" s="136" t="n">
        <v>2924663049</v>
      </c>
    </row>
    <row r="77" ht="15.75" customHeight="1" s="169">
      <c r="A77" s="122">
        <f>A76+1</f>
        <v/>
      </c>
      <c r="B77" s="123" t="n">
        <v>328000144</v>
      </c>
      <c r="C77" s="122" t="inlineStr">
        <is>
          <t>3214126401040001</t>
        </is>
      </c>
      <c r="D77" s="124" t="inlineStr">
        <is>
          <t>DAVINA AZAHRA SOPIAN</t>
        </is>
      </c>
      <c r="E77" s="122" t="inlineStr">
        <is>
          <t>PURWAKARTA</t>
        </is>
      </c>
      <c r="F77" s="125" t="inlineStr">
        <is>
          <t>TKD</t>
        </is>
      </c>
      <c r="G77" s="125" t="inlineStr">
        <is>
          <t>Pak Wahyudin</t>
        </is>
      </c>
      <c r="H77" s="125" t="inlineStr">
        <is>
          <t>ANAK RT PAK RAHMAT DADE</t>
        </is>
      </c>
      <c r="I77" s="127" t="n">
        <v>38010</v>
      </c>
      <c r="J77" s="128">
        <f>DATEDIF(I77, TODAY(), "Y") &amp; " tahun, " &amp; DATEDIF(I77, TODAY(), "YM") &amp; " bulan, " &amp; DATEDIF(I77, TODAY(), "MD") &amp; " hari"
</f>
        <v/>
      </c>
      <c r="K77" s="122" t="inlineStr">
        <is>
          <t>P</t>
        </is>
      </c>
      <c r="L77" s="122" t="inlineStr">
        <is>
          <t>PACKER</t>
        </is>
      </c>
      <c r="M77" s="122">
        <f>VLOOKUP(B77,Sheet21!A:N,14,0)</f>
        <v/>
      </c>
      <c r="N77" s="129" t="inlineStr">
        <is>
          <t>PRODUKSI</t>
        </is>
      </c>
      <c r="O77" s="122" t="inlineStr">
        <is>
          <t>Packer</t>
        </is>
      </c>
      <c r="P77" s="122" t="inlineStr">
        <is>
          <t>HARIAN</t>
        </is>
      </c>
      <c r="Q77" s="130" t="inlineStr">
        <is>
          <t>KP. WARUNG BUAH, RT/RW 005/006, KEL: HEGARMANAH, KEC: BABAKANCIKAO, KAB: PURWAKARTA</t>
        </is>
      </c>
      <c r="R77" s="122" t="n">
        <v>5</v>
      </c>
      <c r="S77" s="122" t="n">
        <v>6</v>
      </c>
      <c r="T77" s="137" t="n"/>
      <c r="U77" s="122" t="inlineStr">
        <is>
          <t>BABAKANCIKAO</t>
        </is>
      </c>
      <c r="V77" s="122" t="inlineStr">
        <is>
          <t>HEGARMANAH</t>
        </is>
      </c>
      <c r="W77" s="122" t="inlineStr">
        <is>
          <t>PURWAKARTA</t>
        </is>
      </c>
      <c r="X77" s="130" t="inlineStr">
        <is>
          <t>KP. WARUNG BUAH, RT/RW 005/006, KEL: HEGARMANAH, KEC: BABAKANCIKAO, KAB: PURWAKARTA</t>
        </is>
      </c>
      <c r="Y77" s="122" t="n">
        <v>85871127663</v>
      </c>
      <c r="Z77" s="131" t="inlineStr">
        <is>
          <t>ISLAM</t>
        </is>
      </c>
      <c r="AA77" s="122" t="inlineStr">
        <is>
          <t>SMK</t>
        </is>
      </c>
      <c r="AB77" s="132" t="n"/>
      <c r="AC77" s="17" t="n">
        <v>75</v>
      </c>
      <c r="AD77" s="133" t="n">
        <v>328000144</v>
      </c>
      <c r="AE77" s="134" t="inlineStr">
        <is>
          <t>DAVINA AZAHRA SOPIAN</t>
        </is>
      </c>
      <c r="AF77" s="133" t="inlineStr">
        <is>
          <t>PRODUCTION</t>
        </is>
      </c>
      <c r="AG77" s="135" t="n">
        <v>23191184177</v>
      </c>
      <c r="AH77" s="136" t="n">
        <v>2895267183</v>
      </c>
    </row>
    <row r="78" ht="15.75" customHeight="1" s="169">
      <c r="A78" s="122">
        <f>A77+1</f>
        <v/>
      </c>
      <c r="B78" s="123" t="n">
        <v>328000147</v>
      </c>
      <c r="C78" s="122" t="inlineStr">
        <is>
          <t>3214121006980001</t>
        </is>
      </c>
      <c r="D78" s="124" t="inlineStr">
        <is>
          <t>AHMAD PAJRI MAULANA</t>
        </is>
      </c>
      <c r="E78" s="122" t="inlineStr">
        <is>
          <t>PURWAKARTA</t>
        </is>
      </c>
      <c r="F78" s="125" t="inlineStr">
        <is>
          <t>TKD</t>
        </is>
      </c>
      <c r="G78" s="125" t="inlineStr">
        <is>
          <t>Pak Wahyudin</t>
        </is>
      </c>
      <c r="H78" s="125" t="inlineStr">
        <is>
          <t>ORMAS LODAYA</t>
        </is>
      </c>
      <c r="I78" s="127" t="n">
        <v>35956</v>
      </c>
      <c r="J78" s="128">
        <f>DATEDIF(I78, TODAY(), "Y") &amp; " tahun, " &amp; DATEDIF(I78, TODAY(), "YM") &amp; " bulan, " &amp; DATEDIF(I78, TODAY(), "MD") &amp; " hari"
</f>
        <v/>
      </c>
      <c r="K78" s="122" t="inlineStr">
        <is>
          <t>L</t>
        </is>
      </c>
      <c r="L78" s="122" t="inlineStr">
        <is>
          <t>OP. PRODUKSI</t>
        </is>
      </c>
      <c r="M78" s="122">
        <f>VLOOKUP(B78,Sheet21!A:N,14,0)</f>
        <v/>
      </c>
      <c r="N78" s="129" t="inlineStr">
        <is>
          <t>PRODUKSI</t>
        </is>
      </c>
      <c r="O78" s="122" t="inlineStr">
        <is>
          <t>Operator Produksi</t>
        </is>
      </c>
      <c r="P78" s="122" t="inlineStr">
        <is>
          <t>HARIAN</t>
        </is>
      </c>
      <c r="Q78" s="130" t="inlineStr">
        <is>
          <t>KP ALI HAMDAN,RT/RW: 014/004, KEL: MARACANG, KEC: BABAKANCIKAO, KAB: PURWAKARTA</t>
        </is>
      </c>
      <c r="R78" s="122" t="n">
        <v>14</v>
      </c>
      <c r="S78" s="122" t="n">
        <v>4</v>
      </c>
      <c r="T78" s="137" t="n"/>
      <c r="U78" s="122" t="inlineStr">
        <is>
          <t>BABAKANCIKAO</t>
        </is>
      </c>
      <c r="V78" s="122" t="inlineStr">
        <is>
          <t>MARACANG</t>
        </is>
      </c>
      <c r="W78" s="122" t="inlineStr">
        <is>
          <t>PURWAKARTA</t>
        </is>
      </c>
      <c r="X78" s="130" t="inlineStr">
        <is>
          <t>KP ALI HAMDAN,RT/RW: 014/004, KEL: MARACANG, KEC: BABAKANCIKAO, KAB: PURWAKARTA</t>
        </is>
      </c>
      <c r="Y78" s="122" t="n">
        <v>89682485893</v>
      </c>
      <c r="Z78" s="131" t="inlineStr">
        <is>
          <t>ISLAM</t>
        </is>
      </c>
      <c r="AA78" s="122" t="inlineStr">
        <is>
          <t>SMK</t>
        </is>
      </c>
      <c r="AB78" s="132" t="n"/>
      <c r="AC78" s="17" t="n">
        <v>76</v>
      </c>
      <c r="AD78" s="133" t="n">
        <v>328000147</v>
      </c>
      <c r="AE78" s="134" t="inlineStr">
        <is>
          <t>AHMAD PAJRI MAULANA</t>
        </is>
      </c>
      <c r="AF78" s="133" t="inlineStr">
        <is>
          <t>PRODUCTION</t>
        </is>
      </c>
      <c r="AG78" s="135" t="n">
        <v>23191184110</v>
      </c>
      <c r="AH78" s="136" t="n">
        <v>1659885298</v>
      </c>
    </row>
    <row r="79" ht="15.75" customHeight="1" s="169">
      <c r="A79" s="122">
        <f>A78+1</f>
        <v/>
      </c>
      <c r="B79" s="123" t="n">
        <v>328000148</v>
      </c>
      <c r="C79" s="122" t="inlineStr">
        <is>
          <t>3206314209020002</t>
        </is>
      </c>
      <c r="D79" s="124" t="inlineStr">
        <is>
          <t>IRA RIDAYANTI</t>
        </is>
      </c>
      <c r="E79" s="122" t="inlineStr">
        <is>
          <t>TASIK MALAYA</t>
        </is>
      </c>
      <c r="F79" s="125" t="inlineStr">
        <is>
          <t>TKD</t>
        </is>
      </c>
      <c r="G79" s="125" t="inlineStr">
        <is>
          <t>Pak Wahyudin</t>
        </is>
      </c>
      <c r="H79" s="125" t="inlineStr">
        <is>
          <t>ADIK SEKRETARIS CAMAT BABAKANCIKAO</t>
        </is>
      </c>
      <c r="I79" s="127" t="n">
        <v>37501</v>
      </c>
      <c r="J79" s="128">
        <f>DATEDIF(I79, TODAY(), "Y") &amp; " tahun, " &amp; DATEDIF(I79, TODAY(), "YM") &amp; " bulan, " &amp; DATEDIF(I79, TODAY(), "MD") &amp; " hari"
</f>
        <v/>
      </c>
      <c r="K79" s="122" t="inlineStr">
        <is>
          <t>p</t>
        </is>
      </c>
      <c r="L79" s="122" t="inlineStr">
        <is>
          <t>QC</t>
        </is>
      </c>
      <c r="M79" s="122">
        <f>VLOOKUP(B79,Sheet21!A:N,14,0)</f>
        <v/>
      </c>
      <c r="N79" s="129" t="inlineStr">
        <is>
          <t>QC</t>
        </is>
      </c>
      <c r="O79" s="122" t="inlineStr">
        <is>
          <t>Checker</t>
        </is>
      </c>
      <c r="P79" s="122" t="inlineStr">
        <is>
          <t>HARIAN</t>
        </is>
      </c>
      <c r="Q79" s="130" t="inlineStr">
        <is>
          <t>KP. CILEGON RT/RW: 014/003, KEL: CILEGON, KEC: JATILUHUR, KAB: PURWAKARTA</t>
        </is>
      </c>
      <c r="R79" s="122" t="n">
        <v>14</v>
      </c>
      <c r="S79" s="122" t="n">
        <v>3</v>
      </c>
      <c r="T79" s="137" t="n"/>
      <c r="U79" s="122" t="inlineStr">
        <is>
          <t>JATILUHUR</t>
        </is>
      </c>
      <c r="V79" s="122" t="inlineStr">
        <is>
          <t>CILEGON</t>
        </is>
      </c>
      <c r="W79" s="122" t="inlineStr">
        <is>
          <t>PURWAKARTA</t>
        </is>
      </c>
      <c r="X79" s="130" t="inlineStr">
        <is>
          <t>KP. CILEGON RT/RW: 014/003, KEL: CILEGON, KEC: JATILUHUR, KAB: PURWAKARTA</t>
        </is>
      </c>
      <c r="Y79" s="122" t="n">
        <v>85793676588</v>
      </c>
      <c r="Z79" s="131" t="inlineStr">
        <is>
          <t>ISLAM</t>
        </is>
      </c>
      <c r="AA79" s="122" t="inlineStr">
        <is>
          <t>SMA</t>
        </is>
      </c>
      <c r="AB79" s="132" t="n"/>
      <c r="AC79" s="17" t="n">
        <v>77</v>
      </c>
      <c r="AD79" s="133" t="n">
        <v>328000148</v>
      </c>
      <c r="AE79" s="134" t="inlineStr">
        <is>
          <t>IRA RIDAYANTI</t>
        </is>
      </c>
      <c r="AF79" s="133" t="inlineStr">
        <is>
          <t>LOGISTIC</t>
        </is>
      </c>
      <c r="AG79" s="135" t="n">
        <v>23191184284</v>
      </c>
      <c r="AH79" s="136" t="n">
        <v>435663505</v>
      </c>
    </row>
    <row r="80" ht="15.75" customHeight="1" s="169">
      <c r="A80" s="122">
        <f>A79+1</f>
        <v/>
      </c>
      <c r="B80" s="123" t="n">
        <v>328000149</v>
      </c>
      <c r="C80" s="122" t="inlineStr">
        <is>
          <t>3203011210990003</t>
        </is>
      </c>
      <c r="D80" s="124" t="inlineStr">
        <is>
          <t>MUHAMMAD ALFIKRI</t>
        </is>
      </c>
      <c r="E80" s="122" t="inlineStr">
        <is>
          <t>CIANJUR</t>
        </is>
      </c>
      <c r="F80" s="125" t="inlineStr">
        <is>
          <t>LINK</t>
        </is>
      </c>
      <c r="G80" s="96" t="n"/>
      <c r="H80" s="125" t="inlineStr">
        <is>
          <t>PT KMJ</t>
        </is>
      </c>
      <c r="I80" s="127" t="n">
        <v>36506</v>
      </c>
      <c r="J80" s="128">
        <f>DATEDIF(I80, TODAY(), "Y") &amp; " tahun, " &amp; DATEDIF(I80, TODAY(), "YM") &amp; " bulan, " &amp; DATEDIF(I80, TODAY(), "MD") &amp; " hari"
</f>
        <v/>
      </c>
      <c r="K80" s="122" t="inlineStr">
        <is>
          <t>L</t>
        </is>
      </c>
      <c r="L80" s="122" t="inlineStr">
        <is>
          <t>CHECKER</t>
        </is>
      </c>
      <c r="M80" s="122">
        <f>VLOOKUP(B80,Sheet21!A:N,14,0)</f>
        <v/>
      </c>
      <c r="N80" s="129" t="inlineStr">
        <is>
          <t>LOGISTIK</t>
        </is>
      </c>
      <c r="O80" s="122" t="inlineStr">
        <is>
          <t>QC Produksi</t>
        </is>
      </c>
      <c r="P80" s="122" t="inlineStr">
        <is>
          <t>HARIAN</t>
        </is>
      </c>
      <c r="Q80" s="130" t="inlineStr">
        <is>
          <t>GG NUSA INDAH IV, RT/RW: 004/001, KEL: NAGRI KALER, KEC: PURWAKARTA, KAB: PURWAKARTA</t>
        </is>
      </c>
      <c r="R80" s="122" t="n">
        <v>4</v>
      </c>
      <c r="S80" s="122" t="n">
        <v>1</v>
      </c>
      <c r="T80" s="137" t="n"/>
      <c r="U80" s="122" t="inlineStr">
        <is>
          <t>PURWAKARTA</t>
        </is>
      </c>
      <c r="V80" s="122" t="inlineStr">
        <is>
          <t>NAGRI KALER</t>
        </is>
      </c>
      <c r="W80" s="122" t="inlineStr">
        <is>
          <t>PURWAKARTA</t>
        </is>
      </c>
      <c r="X80" s="130" t="inlineStr">
        <is>
          <t>GG NUSA INDAH IV, RT/RW: 004/001, KEL: NAGRI KALER, KEC: PURWAKARTA, KAB: PURWAKARTA</t>
        </is>
      </c>
      <c r="Y80" s="122" t="n">
        <v>81398404972</v>
      </c>
      <c r="Z80" s="131" t="inlineStr">
        <is>
          <t>ISLAM</t>
        </is>
      </c>
      <c r="AA80" s="122" t="inlineStr">
        <is>
          <t>SMK</t>
        </is>
      </c>
      <c r="AB80" s="132" t="n"/>
      <c r="AC80" s="17" t="n">
        <v>78</v>
      </c>
      <c r="AD80" s="133" t="n">
        <v>328000149</v>
      </c>
      <c r="AE80" s="134" t="inlineStr">
        <is>
          <t>MUHAMMAD ALFIKRI</t>
        </is>
      </c>
      <c r="AF80" s="133" t="inlineStr">
        <is>
          <t>QUALITY AND RESEARCH &amp; DEVELOPMENT</t>
        </is>
      </c>
      <c r="AG80" s="135" t="n">
        <v>23191183831</v>
      </c>
      <c r="AH80" s="136" t="n">
        <v>2508330835</v>
      </c>
    </row>
    <row r="81" ht="15.75" customHeight="1" s="169">
      <c r="A81" s="122">
        <f>A80+1</f>
        <v/>
      </c>
      <c r="B81" s="123" t="n">
        <v>328000150</v>
      </c>
      <c r="C81" s="122" t="inlineStr">
        <is>
          <t>3275040908970011</t>
        </is>
      </c>
      <c r="D81" s="124" t="inlineStr">
        <is>
          <t>MUFTI ANAM</t>
        </is>
      </c>
      <c r="E81" s="122" t="inlineStr">
        <is>
          <t>BEKASI</t>
        </is>
      </c>
      <c r="F81" s="125" t="inlineStr">
        <is>
          <t>LINK</t>
        </is>
      </c>
      <c r="G81" s="96" t="n"/>
      <c r="H81" s="125" t="inlineStr">
        <is>
          <t>Ex AMG</t>
        </is>
      </c>
      <c r="I81" s="127" t="n">
        <v>35651</v>
      </c>
      <c r="J81" s="128">
        <f>DATEDIF(I81, TODAY(), "Y") &amp; " tahun, " &amp; DATEDIF(I81, TODAY(), "YM") &amp; " bulan, " &amp; DATEDIF(I81, TODAY(), "MD") &amp; " hari"
</f>
        <v/>
      </c>
      <c r="K81" s="122" t="inlineStr">
        <is>
          <t>L</t>
        </is>
      </c>
      <c r="L81" s="122" t="inlineStr">
        <is>
          <t>QUALITY PATROL</t>
        </is>
      </c>
      <c r="M81" s="122">
        <f>VLOOKUP(B81,Sheet21!A:N,14,0)</f>
        <v/>
      </c>
      <c r="N81" s="129" t="inlineStr">
        <is>
          <t>QC</t>
        </is>
      </c>
      <c r="O81" s="122" t="inlineStr">
        <is>
          <t>QC Patrol</t>
        </is>
      </c>
      <c r="P81" s="122" t="inlineStr">
        <is>
          <t>HARIAN</t>
        </is>
      </c>
      <c r="Q81" s="130" t="inlineStr">
        <is>
          <t>PANGKALAN BAMBU, RT/RW: 005/001, KEL: MARGA JAYA, KEC: BEKASI SELATAN, KOTA: BEKASI</t>
        </is>
      </c>
      <c r="R81" s="122" t="n">
        <v>5</v>
      </c>
      <c r="S81" s="122" t="n">
        <v>1</v>
      </c>
      <c r="T81" s="137" t="n"/>
      <c r="U81" s="122" t="inlineStr">
        <is>
          <t>BEKASI SELATAN</t>
        </is>
      </c>
      <c r="V81" s="122" t="inlineStr">
        <is>
          <t>MARGA JAYA</t>
        </is>
      </c>
      <c r="W81" s="122" t="inlineStr">
        <is>
          <t>KOTA BEKASI</t>
        </is>
      </c>
      <c r="X81" s="130" t="inlineStr">
        <is>
          <t>PANGKALAN BAMBU, RT/RW: 005/001, KEL: MARGA JAYA, KEC: BEKASI SELATAN, KOTA: BEKASI</t>
        </is>
      </c>
      <c r="Y81" s="122" t="n">
        <v>89624554549</v>
      </c>
      <c r="Z81" s="131" t="inlineStr">
        <is>
          <t>ISLAM</t>
        </is>
      </c>
      <c r="AA81" s="122" t="inlineStr">
        <is>
          <t>SMK</t>
        </is>
      </c>
      <c r="AB81" s="132" t="n"/>
      <c r="AC81" s="17" t="n">
        <v>79</v>
      </c>
      <c r="AD81" s="133" t="n">
        <v>328000150</v>
      </c>
      <c r="AE81" s="134" t="inlineStr">
        <is>
          <t>MUFTI ANAM</t>
        </is>
      </c>
      <c r="AF81" s="133" t="inlineStr">
        <is>
          <t>QUALITY AND RESEARCH &amp; DEVELOPMENT</t>
        </is>
      </c>
      <c r="AG81" s="135" t="n">
        <v>23191184094</v>
      </c>
      <c r="AH81" s="136" t="n">
        <v>509855398</v>
      </c>
    </row>
    <row r="82" ht="15.75" customHeight="1" s="169">
      <c r="A82" s="122">
        <f>A81+1</f>
        <v/>
      </c>
      <c r="B82" s="123" t="n">
        <v>328000151</v>
      </c>
      <c r="C82" s="122" t="inlineStr">
        <is>
          <t>3214125104050002</t>
        </is>
      </c>
      <c r="D82" s="124" t="inlineStr">
        <is>
          <t>SUCI ALFINA F</t>
        </is>
      </c>
      <c r="E82" s="122" t="inlineStr">
        <is>
          <t>PURWAKARTA</t>
        </is>
      </c>
      <c r="F82" s="125" t="inlineStr">
        <is>
          <t>TKD</t>
        </is>
      </c>
      <c r="G82" s="125" t="inlineStr">
        <is>
          <t>Pak Wahyudin</t>
        </is>
      </c>
      <c r="H82" s="125" t="inlineStr">
        <is>
          <t>ANAK RW KP BAYUR</t>
        </is>
      </c>
      <c r="I82" s="127" t="n">
        <v>38453</v>
      </c>
      <c r="J82" s="128">
        <f>DATEDIF(I82, TODAY(), "Y") &amp; " tahun, " &amp; DATEDIF(I82, TODAY(), "YM") &amp; " bulan, " &amp; DATEDIF(I82, TODAY(), "MD") &amp; " hari"
</f>
        <v/>
      </c>
      <c r="K82" s="122" t="inlineStr">
        <is>
          <t>p</t>
        </is>
      </c>
      <c r="L82" s="122" t="inlineStr">
        <is>
          <t>QUALITY CONTROL</t>
        </is>
      </c>
      <c r="M82" s="122">
        <f>VLOOKUP(B82,Sheet21!A:N,14,0)</f>
        <v/>
      </c>
      <c r="N82" s="129" t="inlineStr">
        <is>
          <t>QC</t>
        </is>
      </c>
      <c r="O82" s="122" t="inlineStr">
        <is>
          <t>QC Produksi</t>
        </is>
      </c>
      <c r="P82" s="122" t="inlineStr">
        <is>
          <t>HARIAN</t>
        </is>
      </c>
      <c r="Q82" s="130" t="inlineStr">
        <is>
          <t>KP. BAYUR, RT/RW: 08/03, DESA HEGARMANAH, KEC. BABAKANCIKAO, KAB. PURWAKARTA</t>
        </is>
      </c>
      <c r="R82" s="122" t="n">
        <v>8</v>
      </c>
      <c r="S82" s="122" t="n">
        <v>3</v>
      </c>
      <c r="T82" s="122" t="n">
        <v>41151</v>
      </c>
      <c r="U82" s="122" t="inlineStr">
        <is>
          <t>BABAKANCIKAO</t>
        </is>
      </c>
      <c r="V82" s="122" t="inlineStr">
        <is>
          <t>HEGARMANAH</t>
        </is>
      </c>
      <c r="W82" s="122" t="inlineStr">
        <is>
          <t>PURWAKARTA</t>
        </is>
      </c>
      <c r="X82" s="130" t="inlineStr">
        <is>
          <t>JL. INDUSTRI, KP. BAYUR RT/RW. 008/003, HEGARMANAH, BABAKANCIKAO, PURWAKARTA</t>
        </is>
      </c>
      <c r="Y82" s="122" t="n">
        <v>85861226811</v>
      </c>
      <c r="Z82" s="131" t="inlineStr">
        <is>
          <t>ISLAM</t>
        </is>
      </c>
      <c r="AA82" s="122" t="inlineStr">
        <is>
          <t>SMA</t>
        </is>
      </c>
      <c r="AB82" s="132" t="n"/>
      <c r="AC82" s="17" t="n">
        <v>80</v>
      </c>
      <c r="AD82" s="133" t="n">
        <v>328000151</v>
      </c>
      <c r="AE82" s="134" t="inlineStr">
        <is>
          <t>SUCI ALFINA F</t>
        </is>
      </c>
      <c r="AF82" s="133" t="inlineStr">
        <is>
          <t>QUALITY AND RESEARCH &amp; DEVELOPMENT</t>
        </is>
      </c>
      <c r="AG82" s="135" t="n">
        <v>23191184185</v>
      </c>
      <c r="AH82" s="136" t="n">
        <v>1317936486</v>
      </c>
    </row>
    <row r="83" ht="15.75" customHeight="1" s="169">
      <c r="A83" s="122">
        <f>A82+1</f>
        <v/>
      </c>
      <c r="B83" s="123" t="n">
        <v>328000153</v>
      </c>
      <c r="C83" s="122" t="inlineStr">
        <is>
          <t>3209284205970005</t>
        </is>
      </c>
      <c r="D83" s="124" t="inlineStr">
        <is>
          <t>SUSILAWATI</t>
        </is>
      </c>
      <c r="E83" s="122" t="inlineStr">
        <is>
          <t>CIREBON</t>
        </is>
      </c>
      <c r="F83" s="125" t="inlineStr">
        <is>
          <t>LINK</t>
        </is>
      </c>
      <c r="G83" s="96" t="n"/>
      <c r="H83" s="125" t="inlineStr">
        <is>
          <t>Ex AMG</t>
        </is>
      </c>
      <c r="I83" s="127" t="n">
        <v>35917</v>
      </c>
      <c r="J83" s="128">
        <f>DATEDIF(I83, TODAY(), "Y") &amp; " tahun, " &amp; DATEDIF(I83, TODAY(), "YM") &amp; " bulan, " &amp; DATEDIF(I83, TODAY(), "MD") &amp; " hari"
</f>
        <v/>
      </c>
      <c r="K83" s="122" t="inlineStr">
        <is>
          <t>P</t>
        </is>
      </c>
      <c r="L83" s="122" t="inlineStr">
        <is>
          <t>PACKER</t>
        </is>
      </c>
      <c r="M83" s="122">
        <f>VLOOKUP(B83,Sheet21!A:N,14,0)</f>
        <v/>
      </c>
      <c r="N83" s="129" t="inlineStr">
        <is>
          <t>PRODUKSI</t>
        </is>
      </c>
      <c r="O83" s="122" t="inlineStr">
        <is>
          <t>Packer</t>
        </is>
      </c>
      <c r="P83" s="122" t="inlineStr">
        <is>
          <t>HARIAN</t>
        </is>
      </c>
      <c r="Q83" s="130" t="inlineStr">
        <is>
          <t>DUSUN 02, RT/RW: 013/004, KEL: SIBUBUT, KEC: GEGESIK, KAB: CIREBON</t>
        </is>
      </c>
      <c r="R83" s="122" t="n">
        <v>13</v>
      </c>
      <c r="S83" s="122" t="n">
        <v>4</v>
      </c>
      <c r="T83" s="137" t="n"/>
      <c r="U83" s="122" t="inlineStr">
        <is>
          <t>GEGESIK</t>
        </is>
      </c>
      <c r="V83" s="122" t="inlineStr">
        <is>
          <t>SIBUBUT</t>
        </is>
      </c>
      <c r="W83" s="122" t="inlineStr">
        <is>
          <t>CIREBON</t>
        </is>
      </c>
      <c r="X83" s="130" t="inlineStr">
        <is>
          <t>BOJONG MENTENG, RT/RW: 003/001, RAWA LUMBU, BEKASI</t>
        </is>
      </c>
      <c r="Y83" s="122" t="n">
        <v>83898600509</v>
      </c>
      <c r="Z83" s="131" t="inlineStr">
        <is>
          <t>ISLAM</t>
        </is>
      </c>
      <c r="AA83" s="122" t="inlineStr">
        <is>
          <t>SMK</t>
        </is>
      </c>
      <c r="AB83" s="132" t="n"/>
      <c r="AC83" s="17" t="n">
        <v>81</v>
      </c>
      <c r="AD83" s="133" t="n">
        <v>328000153</v>
      </c>
      <c r="AE83" s="134" t="inlineStr">
        <is>
          <t>SUSILAWATI</t>
        </is>
      </c>
      <c r="AF83" s="133" t="inlineStr">
        <is>
          <t>PRODUCTION</t>
        </is>
      </c>
      <c r="AG83" s="135" t="n">
        <v>23191183872</v>
      </c>
      <c r="AH83" s="136" t="n">
        <v>457906814</v>
      </c>
    </row>
    <row r="84" ht="15.75" customHeight="1" s="169">
      <c r="A84" s="122">
        <f>A83+1</f>
        <v/>
      </c>
      <c r="B84" s="123" t="n">
        <v>328000157</v>
      </c>
      <c r="C84" s="122" t="inlineStr">
        <is>
          <t>3215056808050004</t>
        </is>
      </c>
      <c r="D84" s="124" t="inlineStr">
        <is>
          <t>VIVI NABIYA PUTRI</t>
        </is>
      </c>
      <c r="E84" s="122" t="inlineStr">
        <is>
          <t>KARAWANG</t>
        </is>
      </c>
      <c r="F84" s="125" t="inlineStr">
        <is>
          <t>SMK 1 PWK</t>
        </is>
      </c>
      <c r="G84" s="96" t="n"/>
      <c r="H84" s="125" t="inlineStr">
        <is>
          <t>SMKN 1 PURWAKARTA</t>
        </is>
      </c>
      <c r="I84" s="127" t="n">
        <v>38592</v>
      </c>
      <c r="J84" s="128">
        <f>DATEDIF(I84, TODAY(), "Y") &amp; " tahun, " &amp; DATEDIF(I84, TODAY(), "YM") &amp; " bulan, " &amp; DATEDIF(I84, TODAY(), "MD") &amp; " hari"
</f>
        <v/>
      </c>
      <c r="K84" s="122" t="inlineStr">
        <is>
          <t>p</t>
        </is>
      </c>
      <c r="L84" s="122" t="inlineStr">
        <is>
          <t>PACKER</t>
        </is>
      </c>
      <c r="M84" s="122">
        <f>VLOOKUP(B84,Sheet21!A:N,14,0)</f>
        <v/>
      </c>
      <c r="N84" s="129" t="inlineStr">
        <is>
          <t>PRODUKSI</t>
        </is>
      </c>
      <c r="O84" s="122" t="inlineStr">
        <is>
          <t>Packer</t>
        </is>
      </c>
      <c r="P84" s="122" t="inlineStr">
        <is>
          <t>HARIAN</t>
        </is>
      </c>
      <c r="Q84" s="130" t="inlineStr">
        <is>
          <t>PARUNG KADALI RT/RW 025/006 , KEL: KARANGANYAR, KEC: KLARI, KAB: PURWAKARTA</t>
        </is>
      </c>
      <c r="R84" s="137" t="n"/>
      <c r="S84" s="137" t="n"/>
      <c r="T84" s="137" t="n"/>
      <c r="U84" s="122" t="inlineStr">
        <is>
          <t>KLARI</t>
        </is>
      </c>
      <c r="V84" s="122" t="inlineStr">
        <is>
          <t>KARANGANYAR</t>
        </is>
      </c>
      <c r="W84" s="122" t="inlineStr">
        <is>
          <t>KARAWANG</t>
        </is>
      </c>
      <c r="X84" s="130" t="inlineStr">
        <is>
          <t>PARUNG KADALI RT/RW. 025/006Parung Kadali RT/RW 025/006 , KEL: KARANGANYAR, KEC: KLARI, KAB: PURWAKARTA</t>
        </is>
      </c>
      <c r="Y84" s="122" t="n">
        <v>83821555154</v>
      </c>
      <c r="Z84" s="131" t="inlineStr">
        <is>
          <t>ISLAM</t>
        </is>
      </c>
      <c r="AA84" s="122" t="inlineStr">
        <is>
          <t>SMK</t>
        </is>
      </c>
      <c r="AB84" s="132" t="n"/>
      <c r="AC84" s="17" t="n">
        <v>82</v>
      </c>
      <c r="AD84" s="133" t="n">
        <v>328000157</v>
      </c>
      <c r="AE84" s="134" t="inlineStr">
        <is>
          <t>VIVI NABIYA PUTRI</t>
        </is>
      </c>
      <c r="AF84" s="133" t="inlineStr">
        <is>
          <t>PRODUCTION</t>
        </is>
      </c>
      <c r="AG84" s="135" t="n">
        <v>23191184219</v>
      </c>
      <c r="AH84" s="136" t="n">
        <v>1476680984</v>
      </c>
    </row>
    <row r="85" ht="15.75" customHeight="1" s="169">
      <c r="A85" s="122">
        <f>A84+1</f>
        <v/>
      </c>
      <c r="B85" s="123" t="n">
        <v>328000159</v>
      </c>
      <c r="C85" s="122" t="inlineStr">
        <is>
          <t>3214124511040001</t>
        </is>
      </c>
      <c r="D85" s="124" t="inlineStr">
        <is>
          <t>LINDA NURUL AULIA</t>
        </is>
      </c>
      <c r="E85" s="122" t="inlineStr">
        <is>
          <t>PURWAKARTA</t>
        </is>
      </c>
      <c r="F85" s="125" t="inlineStr">
        <is>
          <t>LINK</t>
        </is>
      </c>
      <c r="G85" s="96" t="n"/>
      <c r="H85" s="125" t="inlineStr">
        <is>
          <t>PT KMJ</t>
        </is>
      </c>
      <c r="I85" s="127" t="n">
        <v>38296</v>
      </c>
      <c r="J85" s="128">
        <f>DATEDIF(I85, TODAY(), "Y") &amp; " tahun, " &amp; DATEDIF(I85, TODAY(), "YM") &amp; " bulan, " &amp; DATEDIF(I85, TODAY(), "MD") &amp; " hari"
</f>
        <v/>
      </c>
      <c r="K85" s="122" t="inlineStr">
        <is>
          <t>p</t>
        </is>
      </c>
      <c r="L85" s="122" t="inlineStr">
        <is>
          <t>QC</t>
        </is>
      </c>
      <c r="M85" s="122">
        <f>VLOOKUP(B85,Sheet21!A:N,14,0)</f>
        <v/>
      </c>
      <c r="N85" s="129" t="inlineStr">
        <is>
          <t>QC</t>
        </is>
      </c>
      <c r="O85" s="122" t="inlineStr">
        <is>
          <t>QC Produksi</t>
        </is>
      </c>
      <c r="P85" s="122" t="inlineStr">
        <is>
          <t>HARIAN</t>
        </is>
      </c>
      <c r="Q85" s="130" t="inlineStr">
        <is>
          <t>KP. TABRIK, RT/RW: 008/004, KEL: BABAKANCIKAO, KEC: BABAKANCIKAO, KAB PURWAKARTA</t>
        </is>
      </c>
      <c r="R85" s="122" t="n">
        <v>8</v>
      </c>
      <c r="S85" s="122" t="n">
        <v>4</v>
      </c>
      <c r="T85" s="137" t="n"/>
      <c r="U85" s="122" t="inlineStr">
        <is>
          <t>BABAKANCIKAO</t>
        </is>
      </c>
      <c r="V85" s="122" t="inlineStr">
        <is>
          <t>BABAKANCIKAO</t>
        </is>
      </c>
      <c r="W85" s="122" t="inlineStr">
        <is>
          <t>PURWAKARTA</t>
        </is>
      </c>
      <c r="X85" s="130" t="inlineStr">
        <is>
          <t>KP. TABRIK, RT/RW: 008/004, KEL: BABAKANCIKAO, KEC: BABAKANCIKAO, KAB PURWAKARTA</t>
        </is>
      </c>
      <c r="Y85" s="122" t="n">
        <v>83817148945</v>
      </c>
      <c r="Z85" s="131" t="inlineStr">
        <is>
          <t>ISLAM</t>
        </is>
      </c>
      <c r="AA85" s="122" t="inlineStr">
        <is>
          <t>SMA</t>
        </is>
      </c>
      <c r="AB85" s="132" t="n"/>
      <c r="AC85" s="17" t="n">
        <v>83</v>
      </c>
      <c r="AD85" s="133" t="n">
        <v>328000159</v>
      </c>
      <c r="AE85" s="134" t="inlineStr">
        <is>
          <t>LINDA NURUL AULIA</t>
        </is>
      </c>
      <c r="AF85" s="133" t="inlineStr">
        <is>
          <t>QUALITY AND RESEARCH &amp; DEVELOPMENT</t>
        </is>
      </c>
      <c r="AG85" s="135" t="n">
        <v>23191183914</v>
      </c>
      <c r="AH85" s="136" t="n">
        <v>2175293395</v>
      </c>
    </row>
    <row r="86" ht="15.75" customHeight="1" s="169">
      <c r="A86" s="122">
        <f>A85+1</f>
        <v/>
      </c>
      <c r="B86" s="123" t="n">
        <v>328000160</v>
      </c>
      <c r="C86" s="122" t="inlineStr">
        <is>
          <t>3214124311020001</t>
        </is>
      </c>
      <c r="D86" s="124" t="inlineStr">
        <is>
          <t>SYAMSI HAIRUNNISA</t>
        </is>
      </c>
      <c r="E86" s="122" t="inlineStr">
        <is>
          <t>PURWAKARTA</t>
        </is>
      </c>
      <c r="F86" s="125" t="inlineStr">
        <is>
          <t>TKD</t>
        </is>
      </c>
      <c r="G86" s="125" t="inlineStr">
        <is>
          <t>Pak Wahyudin</t>
        </is>
      </c>
      <c r="H86" s="125" t="inlineStr">
        <is>
          <t>TETANGGA PAK WAHYUDIN</t>
        </is>
      </c>
      <c r="I86" s="127" t="n">
        <v>37563</v>
      </c>
      <c r="J86" s="128">
        <f>DATEDIF(I86, TODAY(), "Y") &amp; " tahun, " &amp; DATEDIF(I86, TODAY(), "YM") &amp; " bulan, " &amp; DATEDIF(I86, TODAY(), "MD") &amp; " hari"
</f>
        <v/>
      </c>
      <c r="K86" s="122" t="inlineStr">
        <is>
          <t>p</t>
        </is>
      </c>
      <c r="L86" s="122" t="inlineStr">
        <is>
          <t>QUALITY PATROL</t>
        </is>
      </c>
      <c r="M86" s="122">
        <f>VLOOKUP(B86,Sheet21!A:N,14,0)</f>
        <v/>
      </c>
      <c r="N86" s="129" t="inlineStr">
        <is>
          <t>QC</t>
        </is>
      </c>
      <c r="O86" s="122" t="inlineStr">
        <is>
          <t>QC Patrol</t>
        </is>
      </c>
      <c r="P86" s="122" t="inlineStr">
        <is>
          <t>HARIAN</t>
        </is>
      </c>
      <c r="Q86" s="130" t="inlineStr">
        <is>
          <t>KP : PARUNG DADAP, RT/RW : 001/001, DESA : HEGARMANAH, KEC : BABAKAN CIKAO, KAB : PURWAKARTA</t>
        </is>
      </c>
      <c r="R86" s="122" t="n">
        <v>1</v>
      </c>
      <c r="S86" s="122" t="n">
        <v>1</v>
      </c>
      <c r="T86" s="122" t="n">
        <v>41151</v>
      </c>
      <c r="U86" s="122" t="inlineStr">
        <is>
          <t>BABAKANCIKAO</t>
        </is>
      </c>
      <c r="V86" s="122" t="inlineStr">
        <is>
          <t>HEGARMANAH</t>
        </is>
      </c>
      <c r="W86" s="122" t="inlineStr">
        <is>
          <t>PURWAKARTA</t>
        </is>
      </c>
      <c r="X86" s="130" t="inlineStr">
        <is>
          <t>KP.PARUNG DADAP, RT/RW.001/001, DS. HEGARMANAH, KEC. BABAKANCIKAO, KAB.PURWAKARTA</t>
        </is>
      </c>
      <c r="Y86" s="122" t="n">
        <v>83126183506</v>
      </c>
      <c r="Z86" s="131" t="inlineStr">
        <is>
          <t>ISLAM</t>
        </is>
      </c>
      <c r="AA86" s="122" t="inlineStr">
        <is>
          <t>SMA</t>
        </is>
      </c>
      <c r="AB86" s="132" t="n"/>
      <c r="AC86" s="17" t="n">
        <v>84</v>
      </c>
      <c r="AD86" s="133" t="n">
        <v>328000160</v>
      </c>
      <c r="AE86" s="134" t="inlineStr">
        <is>
          <t>SYAMSI HAIRUNNISA</t>
        </is>
      </c>
      <c r="AF86" s="133" t="inlineStr">
        <is>
          <t>QUALITY AND RESEARCH &amp; DEVELOPMENT</t>
        </is>
      </c>
      <c r="AG86" s="135" t="n">
        <v>23191183922</v>
      </c>
      <c r="AH86" s="136" t="n">
        <v>1662731403</v>
      </c>
    </row>
    <row r="87" ht="15.75" customHeight="1" s="169">
      <c r="A87" s="122">
        <f>A86+1</f>
        <v/>
      </c>
      <c r="B87" s="123" t="n">
        <v>328000161</v>
      </c>
      <c r="C87" s="122" t="inlineStr">
        <is>
          <t>1571014411020041</t>
        </is>
      </c>
      <c r="D87" s="124" t="inlineStr">
        <is>
          <t>NURUL NAJAH</t>
        </is>
      </c>
      <c r="E87" s="122" t="inlineStr">
        <is>
          <t>JAMBI</t>
        </is>
      </c>
      <c r="F87" s="125" t="inlineStr">
        <is>
          <t>LINK</t>
        </is>
      </c>
      <c r="G87" s="96" t="n"/>
      <c r="H87" s="125" t="inlineStr">
        <is>
          <t>PT KMJ</t>
        </is>
      </c>
      <c r="I87" s="127" t="n">
        <v>37564</v>
      </c>
      <c r="J87" s="128">
        <f>DATEDIF(I87, TODAY(), "Y") &amp; " tahun, " &amp; DATEDIF(I87, TODAY(), "YM") &amp; " bulan, " &amp; DATEDIF(I87, TODAY(), "MD") &amp; " hari"
</f>
        <v/>
      </c>
      <c r="K87" s="122" t="inlineStr">
        <is>
          <t>p</t>
        </is>
      </c>
      <c r="L87" s="122" t="inlineStr">
        <is>
          <t>QC</t>
        </is>
      </c>
      <c r="M87" s="122">
        <f>VLOOKUP(B87,Sheet21!A:N,14,0)</f>
        <v/>
      </c>
      <c r="N87" s="129" t="inlineStr">
        <is>
          <t>QC</t>
        </is>
      </c>
      <c r="O87" s="122" t="inlineStr">
        <is>
          <t>QC Produksi</t>
        </is>
      </c>
      <c r="P87" s="122" t="inlineStr">
        <is>
          <t>HARIAN</t>
        </is>
      </c>
      <c r="Q87" s="130" t="inlineStr">
        <is>
          <t>PERUM BUMI GANDASARI, RT/RW: 026/007, KEL: CIGELAM, KEC: BABAKANCIKAO, KAB: PURWAKARTA</t>
        </is>
      </c>
      <c r="R87" s="122" t="n">
        <v>26</v>
      </c>
      <c r="S87" s="122" t="n">
        <v>7</v>
      </c>
      <c r="T87" s="137" t="n"/>
      <c r="U87" s="122" t="inlineStr">
        <is>
          <t>BABAKANCIKAO</t>
        </is>
      </c>
      <c r="V87" s="122" t="inlineStr">
        <is>
          <t>CIGELAM</t>
        </is>
      </c>
      <c r="W87" s="122" t="inlineStr">
        <is>
          <t>PURWAKARTA</t>
        </is>
      </c>
      <c r="X87" s="130" t="inlineStr">
        <is>
          <t>PERUM BUMI GANDASARI, RT/RW: 026/007, KEL: CIGELAM, KEC: BABAKANCIKAO, KAB: PURWAKARTA</t>
        </is>
      </c>
      <c r="Y87" s="122" t="n">
        <v>895704166486</v>
      </c>
      <c r="Z87" s="131" t="inlineStr">
        <is>
          <t>ISLAM</t>
        </is>
      </c>
      <c r="AA87" s="122" t="inlineStr">
        <is>
          <t>SMA</t>
        </is>
      </c>
      <c r="AB87" s="132" t="n"/>
      <c r="AC87" s="17" t="n">
        <v>85</v>
      </c>
      <c r="AD87" s="133" t="n">
        <v>328000161</v>
      </c>
      <c r="AE87" s="134" t="inlineStr">
        <is>
          <t>NURUL NAJAH</t>
        </is>
      </c>
      <c r="AF87" s="133" t="inlineStr">
        <is>
          <t>QUALITY AND RESEARCH &amp; DEVELOPMENT</t>
        </is>
      </c>
      <c r="AG87" s="135" t="n">
        <v>23191183823</v>
      </c>
      <c r="AH87" s="136" t="n">
        <v>1428229001</v>
      </c>
    </row>
    <row r="88" ht="15.75" customHeight="1" s="169">
      <c r="A88" s="122">
        <f>A87+1</f>
        <v/>
      </c>
      <c r="B88" s="123" t="n">
        <v>328000163</v>
      </c>
      <c r="C88" s="143" t="inlineStr">
        <is>
          <t>3214014904010010</t>
        </is>
      </c>
      <c r="D88" s="124" t="inlineStr">
        <is>
          <t>LATIFA NUR ALIFIA</t>
        </is>
      </c>
      <c r="E88" s="122" t="inlineStr">
        <is>
          <t>PURWAKARTA</t>
        </is>
      </c>
      <c r="F88" s="125" t="inlineStr">
        <is>
          <t>LINK</t>
        </is>
      </c>
      <c r="G88" s="96" t="n"/>
      <c r="H88" s="125" t="inlineStr">
        <is>
          <t>PT KMJ</t>
        </is>
      </c>
      <c r="I88" s="127" t="n">
        <v>36989</v>
      </c>
      <c r="J88" s="128">
        <f>DATEDIF(I88, TODAY(), "Y") &amp; " tahun, " &amp; DATEDIF(I88, TODAY(), "YM") &amp; " bulan, " &amp; DATEDIF(I88, TODAY(), "MD") &amp; " hari"
</f>
        <v/>
      </c>
      <c r="K88" s="122" t="inlineStr">
        <is>
          <t>P</t>
        </is>
      </c>
      <c r="L88" s="122" t="inlineStr">
        <is>
          <t>QC</t>
        </is>
      </c>
      <c r="M88" s="122">
        <f>VLOOKUP(B88,Sheet21!A:N,14,0)</f>
        <v/>
      </c>
      <c r="N88" s="129" t="inlineStr">
        <is>
          <t>QC</t>
        </is>
      </c>
      <c r="O88" s="122" t="inlineStr">
        <is>
          <t>QC Produksi</t>
        </is>
      </c>
      <c r="P88" s="122" t="inlineStr">
        <is>
          <t>HARIAN</t>
        </is>
      </c>
      <c r="Q88" s="130" t="inlineStr">
        <is>
          <t>KP MEKARSARI RT/RW: 003/002, KEL: CIWARENG, KEC: BABAKANCIKAO, KAB: PURWAKARTA</t>
        </is>
      </c>
      <c r="R88" s="122" t="n">
        <v>3</v>
      </c>
      <c r="S88" s="122" t="n">
        <v>2</v>
      </c>
      <c r="T88" s="137" t="n"/>
      <c r="U88" s="122" t="inlineStr">
        <is>
          <t>BABAKANCIKAO</t>
        </is>
      </c>
      <c r="V88" s="122" t="inlineStr">
        <is>
          <t>CIWARENG</t>
        </is>
      </c>
      <c r="W88" s="122" t="inlineStr">
        <is>
          <t>PURWAKARTA</t>
        </is>
      </c>
      <c r="X88" s="130" t="inlineStr">
        <is>
          <t>KP MEKARSARI RT/RW: 003/002, KEL: CIWARENG, KEC: BABAKANCIKAO, KAB: PURWAKARTA</t>
        </is>
      </c>
      <c r="Y88" s="122" t="n">
        <v>89506550001</v>
      </c>
      <c r="Z88" s="131" t="inlineStr">
        <is>
          <t>ISLAM</t>
        </is>
      </c>
      <c r="AA88" s="122" t="inlineStr">
        <is>
          <t>SMK</t>
        </is>
      </c>
      <c r="AB88" s="132" t="n"/>
      <c r="AC88" s="17" t="n">
        <v>86</v>
      </c>
      <c r="AD88" s="133" t="n">
        <v>328000163</v>
      </c>
      <c r="AE88" s="134" t="inlineStr">
        <is>
          <t>LATIFA NUR ALIFIA</t>
        </is>
      </c>
      <c r="AF88" s="133" t="inlineStr">
        <is>
          <t>QUALITY AND RESEARCH &amp; DEVELOPMENT</t>
        </is>
      </c>
      <c r="AG88" s="135" t="n">
        <v>24003656188</v>
      </c>
      <c r="AH88" s="136" t="n">
        <v>1464669213</v>
      </c>
    </row>
    <row r="89" ht="15.75" customHeight="1" s="169">
      <c r="A89" s="122">
        <f>A88+1</f>
        <v/>
      </c>
      <c r="B89" s="123" t="n">
        <v>328000164</v>
      </c>
      <c r="C89" s="122" t="inlineStr">
        <is>
          <t>3214165210000001</t>
        </is>
      </c>
      <c r="D89" s="124" t="inlineStr">
        <is>
          <t>RANI</t>
        </is>
      </c>
      <c r="E89" s="122" t="inlineStr">
        <is>
          <t>PURWAKARTA</t>
        </is>
      </c>
      <c r="F89" s="125" t="inlineStr">
        <is>
          <t>LINK</t>
        </is>
      </c>
      <c r="G89" s="96" t="n"/>
      <c r="H89" s="125" t="inlineStr">
        <is>
          <t>PT KMJ</t>
        </is>
      </c>
      <c r="I89" s="127" t="n">
        <v>36811</v>
      </c>
      <c r="J89" s="128">
        <f>DATEDIF(I89, TODAY(), "Y") &amp; " tahun, " &amp; DATEDIF(I89, TODAY(), "YM") &amp; " bulan, " &amp; DATEDIF(I89, TODAY(), "MD") &amp; " hari"
</f>
        <v/>
      </c>
      <c r="K89" s="122" t="inlineStr">
        <is>
          <t>P</t>
        </is>
      </c>
      <c r="L89" s="122" t="inlineStr">
        <is>
          <t>QC</t>
        </is>
      </c>
      <c r="M89" s="122">
        <f>VLOOKUP(B89,Sheet21!A:N,14,0)</f>
        <v/>
      </c>
      <c r="N89" s="129" t="inlineStr">
        <is>
          <t>QC</t>
        </is>
      </c>
      <c r="O89" s="122" t="inlineStr">
        <is>
          <t>QC Produksi</t>
        </is>
      </c>
      <c r="P89" s="122" t="inlineStr">
        <is>
          <t>HARIAN</t>
        </is>
      </c>
      <c r="Q89" s="130" t="inlineStr">
        <is>
          <t>KP GENGGERENG RT/RW:005/002 KEL:SALEM, KEC. PONDOKSALEM, KAB: PURWAKARTA</t>
        </is>
      </c>
      <c r="R89" s="122" t="n">
        <v>5</v>
      </c>
      <c r="S89" s="122" t="n">
        <v>2</v>
      </c>
      <c r="T89" s="137" t="n"/>
      <c r="U89" s="122" t="inlineStr">
        <is>
          <t>PONDOK SALEM</t>
        </is>
      </c>
      <c r="V89" s="122" t="inlineStr">
        <is>
          <t>SALEM</t>
        </is>
      </c>
      <c r="W89" s="122" t="inlineStr">
        <is>
          <t>PURWAKARTA</t>
        </is>
      </c>
      <c r="X89" s="130" t="inlineStr">
        <is>
          <t>KP GENGGERENG RT/RW:005/002 KEL:SALEM, KEC. PONDOKSALEM, KAB: PURWAKARTA</t>
        </is>
      </c>
      <c r="Y89" s="122" t="n">
        <v>83836307693</v>
      </c>
      <c r="Z89" s="131" t="inlineStr">
        <is>
          <t>ISLAM</t>
        </is>
      </c>
      <c r="AA89" s="122" t="inlineStr">
        <is>
          <t>SMK</t>
        </is>
      </c>
      <c r="AB89" s="132" t="n"/>
      <c r="AC89" s="17" t="n">
        <v>87</v>
      </c>
      <c r="AD89" s="133" t="n">
        <v>328000164</v>
      </c>
      <c r="AE89" s="134" t="inlineStr">
        <is>
          <t>RANI</t>
        </is>
      </c>
      <c r="AF89" s="133" t="inlineStr">
        <is>
          <t>QUALITY AND RESEARCH &amp; DEVELOPMENT</t>
        </is>
      </c>
      <c r="AG89" s="135" t="n">
        <v>24003656121</v>
      </c>
      <c r="AH89" s="136" t="n">
        <v>480784667</v>
      </c>
    </row>
    <row r="90" ht="15.75" customHeight="1" s="169">
      <c r="A90" s="122">
        <f>A89+1</f>
        <v/>
      </c>
      <c r="B90" s="123" t="n">
        <v>328000173</v>
      </c>
      <c r="C90" s="122" t="inlineStr">
        <is>
          <t>3214121203030004</t>
        </is>
      </c>
      <c r="D90" s="124" t="inlineStr">
        <is>
          <t>RIFQI FADIILAH</t>
        </is>
      </c>
      <c r="E90" s="122" t="inlineStr">
        <is>
          <t>PURWAKARTA</t>
        </is>
      </c>
      <c r="F90" s="125" t="inlineStr">
        <is>
          <t>TKD</t>
        </is>
      </c>
      <c r="G90" s="125" t="inlineStr">
        <is>
          <t>Pak Wahyudin</t>
        </is>
      </c>
      <c r="H90" s="125" t="inlineStr">
        <is>
          <t>TITIPAN KARANG TARUNA HEGARMANAH</t>
        </is>
      </c>
      <c r="I90" s="127" t="n">
        <v>37692</v>
      </c>
      <c r="J90" s="128">
        <f>DATEDIF(I90, TODAY(), "Y") &amp; " tahun, " &amp; DATEDIF(I90, TODAY(), "YM") &amp; " bulan, " &amp; DATEDIF(I90, TODAY(), "MD") &amp; " hari"
</f>
        <v/>
      </c>
      <c r="K90" s="122" t="inlineStr">
        <is>
          <t>L</t>
        </is>
      </c>
      <c r="L90" s="122" t="inlineStr">
        <is>
          <t>OP. PRODUKSI</t>
        </is>
      </c>
      <c r="M90" s="122">
        <f>VLOOKUP(B90,Sheet21!A:N,14,0)</f>
        <v/>
      </c>
      <c r="N90" s="129" t="inlineStr">
        <is>
          <t>PRODUKSI</t>
        </is>
      </c>
      <c r="O90" s="122" t="inlineStr">
        <is>
          <t>Operator Produksi</t>
        </is>
      </c>
      <c r="P90" s="122" t="inlineStr">
        <is>
          <t>HARIAN</t>
        </is>
      </c>
      <c r="Q90" s="130" t="inlineStr">
        <is>
          <t>KP. HEGARMANAH, RT 010/RW 004, KEL: HEGARMANAH, KEC: BABAKANCIKAO, KAB: PURWAKARTA</t>
        </is>
      </c>
      <c r="R90" s="122" t="n">
        <v>10</v>
      </c>
      <c r="S90" s="122" t="n">
        <v>4</v>
      </c>
      <c r="T90" s="122" t="n">
        <v>41151</v>
      </c>
      <c r="U90" s="122" t="inlineStr">
        <is>
          <t>BABAKANCIKAO</t>
        </is>
      </c>
      <c r="V90" s="122" t="inlineStr">
        <is>
          <t>HEGARMANAH</t>
        </is>
      </c>
      <c r="W90" s="122" t="inlineStr">
        <is>
          <t>PURWAKARTA</t>
        </is>
      </c>
      <c r="X90" s="130" t="inlineStr">
        <is>
          <t>KP. HEGARMANAH, RT 010/RW 004, KEL: HEGARMANAH, KEC: BABAKANCIKAO, KAB: PURWAKARTA</t>
        </is>
      </c>
      <c r="Y90" s="122" t="n">
        <v>81293958349</v>
      </c>
      <c r="Z90" s="131" t="inlineStr">
        <is>
          <t>ISLAM</t>
        </is>
      </c>
      <c r="AA90" s="122" t="inlineStr">
        <is>
          <t>SMK</t>
        </is>
      </c>
      <c r="AB90" s="132" t="n"/>
      <c r="AC90" s="17" t="n">
        <v>88</v>
      </c>
      <c r="AD90" s="133" t="n">
        <v>328000173</v>
      </c>
      <c r="AE90" s="134" t="inlineStr">
        <is>
          <t>RIFQI FADIILAH</t>
        </is>
      </c>
      <c r="AF90" s="133" t="inlineStr">
        <is>
          <t>PRODUCTION</t>
        </is>
      </c>
      <c r="AG90" s="135" t="n">
        <v>24003656196</v>
      </c>
      <c r="AH90" s="136" t="n">
        <v>1662733978</v>
      </c>
    </row>
    <row r="91" ht="15.75" customHeight="1" s="169">
      <c r="A91" s="122">
        <f>A90+1</f>
        <v/>
      </c>
      <c r="B91" s="123" t="n">
        <v>328000175</v>
      </c>
      <c r="C91" s="122" t="inlineStr">
        <is>
          <t>3214120812010005</t>
        </is>
      </c>
      <c r="D91" s="124" t="inlineStr">
        <is>
          <t>FADILLAH RAMADHAN</t>
        </is>
      </c>
      <c r="E91" s="122" t="inlineStr">
        <is>
          <t>PURWAKARTA</t>
        </is>
      </c>
      <c r="F91" s="125" t="inlineStr">
        <is>
          <t>TKD</t>
        </is>
      </c>
      <c r="G91" s="125" t="inlineStr">
        <is>
          <t>Pak Wahyudin</t>
        </is>
      </c>
      <c r="H91" s="125" t="inlineStr">
        <is>
          <t>TITIPAN KARANG TARUNA HEGARMANAH</t>
        </is>
      </c>
      <c r="I91" s="127" t="n">
        <v>37233</v>
      </c>
      <c r="J91" s="128">
        <f>DATEDIF(I91, TODAY(), "Y") &amp; " tahun, " &amp; DATEDIF(I91, TODAY(), "YM") &amp; " bulan, " &amp; DATEDIF(I91, TODAY(), "MD") &amp; " hari"
</f>
        <v/>
      </c>
      <c r="K91" s="122" t="inlineStr">
        <is>
          <t>L</t>
        </is>
      </c>
      <c r="L91" s="122" t="inlineStr">
        <is>
          <t>OP. PRODUKSI</t>
        </is>
      </c>
      <c r="M91" s="122">
        <f>VLOOKUP(B91,Sheet21!A:N,14,0)</f>
        <v/>
      </c>
      <c r="N91" s="129" t="inlineStr">
        <is>
          <t>PRODUKSI</t>
        </is>
      </c>
      <c r="O91" s="122" t="inlineStr">
        <is>
          <t>Operator Produksi</t>
        </is>
      </c>
      <c r="P91" s="122" t="inlineStr">
        <is>
          <t>HARIAN</t>
        </is>
      </c>
      <c r="Q91" s="130" t="inlineStr">
        <is>
          <t>KP. WARUNG BUAH, RT/RW 015/006, KEL: HEGARMANAH, KEC: BABAKANCIKAO, KAB: PURWAKARTA</t>
        </is>
      </c>
      <c r="R91" s="122" t="n">
        <v>15</v>
      </c>
      <c r="S91" s="122" t="n">
        <v>6</v>
      </c>
      <c r="T91" s="137" t="n"/>
      <c r="U91" s="122" t="inlineStr">
        <is>
          <t>BABAKANCIKAO</t>
        </is>
      </c>
      <c r="V91" s="122" t="inlineStr">
        <is>
          <t>HEGARMANAH</t>
        </is>
      </c>
      <c r="W91" s="122" t="inlineStr">
        <is>
          <t>PURWAKARTA</t>
        </is>
      </c>
      <c r="X91" s="130" t="inlineStr">
        <is>
          <t>KP. WARUNG BUAH, RT/RW 015/006, KEL: HEGARMANAH, KEC: BABAKANCIKAO, KAB: PURWAKARTA</t>
        </is>
      </c>
      <c r="Y91" s="122" t="n">
        <v>87764837279</v>
      </c>
      <c r="Z91" s="131" t="inlineStr">
        <is>
          <t>ISLAM</t>
        </is>
      </c>
      <c r="AA91" s="122" t="inlineStr">
        <is>
          <t>SMK</t>
        </is>
      </c>
      <c r="AB91" s="132" t="n"/>
      <c r="AC91" s="17" t="n">
        <v>89</v>
      </c>
      <c r="AD91" s="133" t="n">
        <v>328000175</v>
      </c>
      <c r="AE91" s="134" t="inlineStr">
        <is>
          <t>FADILLAH RAMADHAN</t>
        </is>
      </c>
      <c r="AF91" s="133" t="inlineStr">
        <is>
          <t>PRODUCTION</t>
        </is>
      </c>
      <c r="AG91" s="135" t="n">
        <v>24003656253</v>
      </c>
      <c r="AH91" s="136" t="n">
        <v>2325506758</v>
      </c>
    </row>
    <row r="92" ht="15.75" customHeight="1" s="169">
      <c r="A92" s="122">
        <f>A91+1</f>
        <v/>
      </c>
      <c r="B92" s="123" t="n">
        <v>328000178</v>
      </c>
      <c r="C92" s="122" t="inlineStr">
        <is>
          <t>3214011101000005</t>
        </is>
      </c>
      <c r="D92" s="124" t="inlineStr">
        <is>
          <t>BAMBANG ARTIAN HERLAMBANG</t>
        </is>
      </c>
      <c r="E92" s="122" t="inlineStr">
        <is>
          <t>PURWAKARTA</t>
        </is>
      </c>
      <c r="F92" s="125" t="inlineStr">
        <is>
          <t>LINK</t>
        </is>
      </c>
      <c r="G92" s="96" t="n"/>
      <c r="H92" s="125" t="inlineStr">
        <is>
          <t>PT KMJ</t>
        </is>
      </c>
      <c r="I92" s="127" t="n">
        <v>36536</v>
      </c>
      <c r="J92" s="128">
        <f>DATEDIF(I92, TODAY(), "Y") &amp; " tahun, " &amp; DATEDIF(I92, TODAY(), "YM") &amp; " bulan, " &amp; DATEDIF(I92, TODAY(), "MD") &amp; " hari"
</f>
        <v/>
      </c>
      <c r="K92" s="122" t="inlineStr">
        <is>
          <t>L</t>
        </is>
      </c>
      <c r="L92" s="122" t="inlineStr">
        <is>
          <t>OP. PRODUKSI</t>
        </is>
      </c>
      <c r="M92" s="122">
        <f>VLOOKUP(B92,Sheet21!A:N,14,0)</f>
        <v/>
      </c>
      <c r="N92" s="129" t="inlineStr">
        <is>
          <t>PRODUKSI</t>
        </is>
      </c>
      <c r="O92" s="122" t="inlineStr">
        <is>
          <t>Operator Produksi</t>
        </is>
      </c>
      <c r="P92" s="122" t="inlineStr">
        <is>
          <t>HARIAN</t>
        </is>
      </c>
      <c r="Q92" s="130" t="inlineStr">
        <is>
          <t>GANG MAWAR 2 , RT/RW: 061/009, KEL: NAGRI KALER, KEC PURWAKARTA, KAB: PURWAKARTA</t>
        </is>
      </c>
      <c r="R92" s="122" t="n">
        <v>61</v>
      </c>
      <c r="S92" s="122" t="n">
        <v>9</v>
      </c>
      <c r="T92" s="137" t="n"/>
      <c r="U92" s="122" t="inlineStr">
        <is>
          <t>PURWAKARTA</t>
        </is>
      </c>
      <c r="V92" s="122" t="inlineStr">
        <is>
          <t>NAGRI KALER</t>
        </is>
      </c>
      <c r="W92" s="122" t="inlineStr">
        <is>
          <t>PURWAKARTA</t>
        </is>
      </c>
      <c r="X92" s="130" t="inlineStr">
        <is>
          <t>GANG MAWAR 2 , RT/RW: 061/009, KEL: NAGRI KALER, KEC PURWAKARTA, KAB: PURWAKARTA</t>
        </is>
      </c>
      <c r="Y92" s="122" t="n">
        <v>87778799801</v>
      </c>
      <c r="Z92" s="131" t="inlineStr">
        <is>
          <t>ISLAM</t>
        </is>
      </c>
      <c r="AA92" s="122" t="inlineStr">
        <is>
          <t>SMK</t>
        </is>
      </c>
      <c r="AB92" s="132" t="n"/>
      <c r="AC92" s="17" t="n">
        <v>90</v>
      </c>
      <c r="AD92" s="133" t="n">
        <v>328000178</v>
      </c>
      <c r="AE92" s="134" t="inlineStr">
        <is>
          <t>BAMBANG ARTIAN HERLAMBANG</t>
        </is>
      </c>
      <c r="AF92" s="133" t="inlineStr">
        <is>
          <t>PRODUCTION</t>
        </is>
      </c>
      <c r="AG92" s="135" t="n">
        <v>24003656063</v>
      </c>
      <c r="AH92" s="136" t="n">
        <v>480941021</v>
      </c>
    </row>
    <row r="93" ht="15.75" customHeight="1" s="169">
      <c r="A93" s="122">
        <f>A92+1</f>
        <v/>
      </c>
      <c r="B93" s="123" t="n">
        <v>328000179</v>
      </c>
      <c r="C93" s="122" t="inlineStr">
        <is>
          <t>3172020604000005</t>
        </is>
      </c>
      <c r="D93" s="124" t="inlineStr">
        <is>
          <t>MUHAMMAD NOFALDI RADHITIA</t>
        </is>
      </c>
      <c r="E93" s="122" t="inlineStr">
        <is>
          <t>JAKARTA</t>
        </is>
      </c>
      <c r="F93" s="125" t="inlineStr">
        <is>
          <t>LINK</t>
        </is>
      </c>
      <c r="G93" s="96" t="n"/>
      <c r="H93" s="125" t="inlineStr">
        <is>
          <t>Ex AMG</t>
        </is>
      </c>
      <c r="I93" s="127" t="n">
        <v>36622</v>
      </c>
      <c r="J93" s="128">
        <f>DATEDIF(I93, TODAY(), "Y") &amp; " tahun, " &amp; DATEDIF(I93, TODAY(), "YM") &amp; " bulan, " &amp; DATEDIF(I93, TODAY(), "MD") &amp; " hari"
</f>
        <v/>
      </c>
      <c r="K93" s="122" t="inlineStr">
        <is>
          <t>L</t>
        </is>
      </c>
      <c r="L93" s="122" t="inlineStr">
        <is>
          <t>OP. PRODUKSI</t>
        </is>
      </c>
      <c r="M93" s="122">
        <f>VLOOKUP(B93,Sheet21!A:N,14,0)</f>
        <v/>
      </c>
      <c r="N93" s="129" t="inlineStr">
        <is>
          <t>PRODUKSI</t>
        </is>
      </c>
      <c r="O93" s="122" t="inlineStr">
        <is>
          <t>Operator Produksi</t>
        </is>
      </c>
      <c r="P93" s="122" t="inlineStr">
        <is>
          <t>HARIAN</t>
        </is>
      </c>
      <c r="Q93" s="130" t="inlineStr">
        <is>
          <t>JL.PAPANGGO II GG.DEWI SINTA, RT/RW: 002/003, KEL: PAPANGGO, KEC: TANJUNG PRIOK, KOTA: JAKARTA UTARA</t>
        </is>
      </c>
      <c r="R93" s="122" t="n">
        <v>2</v>
      </c>
      <c r="S93" s="122" t="n">
        <v>3</v>
      </c>
      <c r="T93" s="137" t="n"/>
      <c r="U93" s="122" t="inlineStr">
        <is>
          <t>TANJUNG PRIOK</t>
        </is>
      </c>
      <c r="V93" s="122" t="inlineStr">
        <is>
          <t>PAPANGGO</t>
        </is>
      </c>
      <c r="W93" s="122" t="inlineStr">
        <is>
          <t>JAKARTA UTARA</t>
        </is>
      </c>
      <c r="X93" s="130" t="inlineStr">
        <is>
          <t>JL.PAPANGGO II GG.DEWI SINTA, RT/RW: 002/003, KEL: PAPANGGO, KEC: TANJUNG PRIOK, KOTA: JAKARTA UTARA</t>
        </is>
      </c>
      <c r="Y93" s="122" t="n">
        <v>87885100635</v>
      </c>
      <c r="Z93" s="131" t="inlineStr">
        <is>
          <t>ISLAM</t>
        </is>
      </c>
      <c r="AA93" s="122" t="inlineStr">
        <is>
          <t>SMK</t>
        </is>
      </c>
      <c r="AB93" s="132" t="n"/>
      <c r="AC93" s="17" t="n">
        <v>91</v>
      </c>
      <c r="AD93" s="133" t="n">
        <v>328000179</v>
      </c>
      <c r="AE93" s="134" t="inlineStr">
        <is>
          <t>MUHAMMAD NOFALDI RADHITIA</t>
        </is>
      </c>
      <c r="AF93" s="133" t="inlineStr">
        <is>
          <t>PRODUCTION</t>
        </is>
      </c>
      <c r="AG93" s="135" t="n">
        <v>24003656105</v>
      </c>
      <c r="AH93" s="136" t="n">
        <v>2331150669</v>
      </c>
    </row>
    <row r="94" ht="15.75" customHeight="1" s="169">
      <c r="A94" s="122">
        <f>A93+1</f>
        <v/>
      </c>
      <c r="B94" s="123" t="n">
        <v>328000180</v>
      </c>
      <c r="C94" s="122" t="inlineStr">
        <is>
          <t>3275090510970005</t>
        </is>
      </c>
      <c r="D94" s="124" t="inlineStr">
        <is>
          <t>OKTAVIO KUSUMA</t>
        </is>
      </c>
      <c r="E94" s="122" t="inlineStr">
        <is>
          <t>BEKASI</t>
        </is>
      </c>
      <c r="F94" s="125" t="inlineStr">
        <is>
          <t>LINK</t>
        </is>
      </c>
      <c r="G94" s="96" t="n"/>
      <c r="H94" s="125" t="inlineStr">
        <is>
          <t>Ex AMG</t>
        </is>
      </c>
      <c r="I94" s="127" t="n">
        <v>35708</v>
      </c>
      <c r="J94" s="128">
        <f>DATEDIF(I94, TODAY(), "Y") &amp; " tahun, " &amp; DATEDIF(I94, TODAY(), "YM") &amp; " bulan, " &amp; DATEDIF(I94, TODAY(), "MD") &amp; " hari"
</f>
        <v/>
      </c>
      <c r="K94" s="122" t="inlineStr">
        <is>
          <t>L</t>
        </is>
      </c>
      <c r="L94" s="122" t="inlineStr">
        <is>
          <t>OP. PRODUKSI</t>
        </is>
      </c>
      <c r="M94" s="122">
        <f>VLOOKUP(B94,Sheet21!A:N,14,0)</f>
        <v/>
      </c>
      <c r="N94" s="129" t="inlineStr">
        <is>
          <t>PRODUKSI</t>
        </is>
      </c>
      <c r="O94" s="122" t="inlineStr">
        <is>
          <t>Operator Produksi</t>
        </is>
      </c>
      <c r="P94" s="122" t="inlineStr">
        <is>
          <t>HARIAN</t>
        </is>
      </c>
      <c r="Q94" s="130" t="inlineStr">
        <is>
          <t>GG H.MISAN, RT/RW: 008/002, KEL: JATILUHUR, KEC: JATIASIH, KOTA: BEKASI</t>
        </is>
      </c>
      <c r="R94" s="122" t="n">
        <v>8</v>
      </c>
      <c r="S94" s="122" t="n">
        <v>2</v>
      </c>
      <c r="T94" s="137" t="n"/>
      <c r="U94" s="122" t="inlineStr">
        <is>
          <t>JATIASIH</t>
        </is>
      </c>
      <c r="V94" s="122" t="inlineStr">
        <is>
          <t>JATILUHUR</t>
        </is>
      </c>
      <c r="W94" s="122" t="inlineStr">
        <is>
          <t>KOTA BEKASI</t>
        </is>
      </c>
      <c r="X94" s="130" t="inlineStr">
        <is>
          <t>GG H.MISAN, RT/RW: 008/002, KEL: JATILUHUR, KEC: JATIASIH, KOTA: BEKASI</t>
        </is>
      </c>
      <c r="Y94" s="122" t="n">
        <v>81386131245</v>
      </c>
      <c r="Z94" s="131" t="inlineStr">
        <is>
          <t>ISLAM</t>
        </is>
      </c>
      <c r="AA94" s="122" t="inlineStr">
        <is>
          <t>SMK</t>
        </is>
      </c>
      <c r="AB94" s="132" t="n"/>
      <c r="AC94" s="17" t="n">
        <v>92</v>
      </c>
      <c r="AD94" s="133" t="n">
        <v>328000180</v>
      </c>
      <c r="AE94" s="134" t="inlineStr">
        <is>
          <t>OKTAVIO KUSUMA</t>
        </is>
      </c>
      <c r="AF94" s="133" t="inlineStr">
        <is>
          <t>PRODUCTION</t>
        </is>
      </c>
      <c r="AG94" s="135" t="n">
        <v>24003656162</v>
      </c>
      <c r="AH94" s="136" t="n">
        <v>2326999566</v>
      </c>
    </row>
    <row r="95" ht="15.75" customHeight="1" s="169">
      <c r="A95" s="122">
        <f>A94+1</f>
        <v/>
      </c>
      <c r="B95" s="123" t="n">
        <v>328000182</v>
      </c>
      <c r="C95" s="122" t="inlineStr">
        <is>
          <t>3214100908980001</t>
        </is>
      </c>
      <c r="D95" s="124" t="inlineStr">
        <is>
          <t>AGUSTINA</t>
        </is>
      </c>
      <c r="E95" s="122" t="inlineStr">
        <is>
          <t>PURWAKARTA</t>
        </is>
      </c>
      <c r="F95" s="125" t="inlineStr">
        <is>
          <t>LINK</t>
        </is>
      </c>
      <c r="G95" s="96" t="n"/>
      <c r="H95" s="125" t="inlineStr">
        <is>
          <t>PT KMJ</t>
        </is>
      </c>
      <c r="I95" s="127" t="n">
        <v>36016</v>
      </c>
      <c r="J95" s="128">
        <f>DATEDIF(I95, TODAY(), "Y") &amp; " tahun, " &amp; DATEDIF(I95, TODAY(), "YM") &amp; " bulan, " &amp; DATEDIF(I95, TODAY(), "MD") &amp; " hari"
</f>
        <v/>
      </c>
      <c r="K95" s="122" t="inlineStr">
        <is>
          <t>L</t>
        </is>
      </c>
      <c r="L95" s="122" t="inlineStr">
        <is>
          <t>OP. PRODUKSI</t>
        </is>
      </c>
      <c r="M95" s="122">
        <f>VLOOKUP(B95,Sheet21!A:N,14,0)</f>
        <v/>
      </c>
      <c r="N95" s="129" t="inlineStr">
        <is>
          <t>PRODUKSI</t>
        </is>
      </c>
      <c r="O95" s="122" t="inlineStr">
        <is>
          <t>Operator Produksi</t>
        </is>
      </c>
      <c r="P95" s="122" t="inlineStr">
        <is>
          <t>HARIAN</t>
        </is>
      </c>
      <c r="Q95" s="130" t="inlineStr">
        <is>
          <t>KP. KRAJAN, RT/RW: 002/001, KEL: LEBAK ANYAR, KEC: PASAWAHAN, KAB: PURWAKARTA</t>
        </is>
      </c>
      <c r="R95" s="122" t="n">
        <v>2</v>
      </c>
      <c r="S95" s="122" t="n">
        <v>1</v>
      </c>
      <c r="T95" s="137" t="n"/>
      <c r="U95" s="122" t="inlineStr">
        <is>
          <t>PASAWAHAN</t>
        </is>
      </c>
      <c r="V95" s="122" t="inlineStr">
        <is>
          <t>LEBAK ANYARA</t>
        </is>
      </c>
      <c r="W95" s="122" t="inlineStr">
        <is>
          <t>PURWAKARTA</t>
        </is>
      </c>
      <c r="X95" s="130" t="inlineStr">
        <is>
          <t>KP. KRAJAN, RT/RW: 002/001, KEL: LEBAK ANYAR, KEC: PASAWAHAN, KAB: PURWAKARTA</t>
        </is>
      </c>
      <c r="Y95" s="122" t="n">
        <v>83816010479</v>
      </c>
      <c r="Z95" s="131" t="inlineStr">
        <is>
          <t>ISLAM</t>
        </is>
      </c>
      <c r="AA95" s="122" t="inlineStr">
        <is>
          <t>SMK</t>
        </is>
      </c>
      <c r="AB95" s="132" t="n"/>
      <c r="AC95" s="17" t="n">
        <v>93</v>
      </c>
      <c r="AD95" s="144" t="n">
        <v>328000182</v>
      </c>
      <c r="AE95" s="134" t="inlineStr">
        <is>
          <t>AGUSTINA</t>
        </is>
      </c>
      <c r="AF95" s="144" t="inlineStr">
        <is>
          <t>PRODUCTION</t>
        </is>
      </c>
      <c r="AG95" s="135" t="n">
        <v>24003656287</v>
      </c>
      <c r="AH95" s="136" t="n">
        <v>2097935289</v>
      </c>
    </row>
    <row r="96" ht="15.75" customHeight="1" s="169">
      <c r="A96" s="122">
        <f>A95+1</f>
        <v/>
      </c>
      <c r="B96" s="123" t="n">
        <v>328000184</v>
      </c>
      <c r="C96" s="122" t="inlineStr">
        <is>
          <t>3214011411010004</t>
        </is>
      </c>
      <c r="D96" s="124" t="inlineStr">
        <is>
          <t>WAHYU RAMDANI</t>
        </is>
      </c>
      <c r="E96" s="122" t="inlineStr">
        <is>
          <t>PURWAKARTA</t>
        </is>
      </c>
      <c r="F96" s="125" t="inlineStr">
        <is>
          <t>LINK</t>
        </is>
      </c>
      <c r="G96" s="96" t="n"/>
      <c r="H96" s="125" t="inlineStr">
        <is>
          <t>PT KMJ</t>
        </is>
      </c>
      <c r="I96" s="127" t="n">
        <v>37209</v>
      </c>
      <c r="J96" s="128">
        <f>DATEDIF(I96, TODAY(), "Y") &amp; " tahun, " &amp; DATEDIF(I96, TODAY(), "YM") &amp; " bulan, " &amp; DATEDIF(I96, TODAY(), "MD") &amp; " hari"
</f>
        <v/>
      </c>
      <c r="K96" s="122" t="inlineStr">
        <is>
          <t>L</t>
        </is>
      </c>
      <c r="L96" s="122" t="inlineStr">
        <is>
          <t>OP. PRODUKSI</t>
        </is>
      </c>
      <c r="M96" s="122">
        <f>VLOOKUP(B96,Sheet21!A:N,14,0)</f>
        <v/>
      </c>
      <c r="N96" s="129" t="inlineStr">
        <is>
          <t>PRODUKSI</t>
        </is>
      </c>
      <c r="O96" s="122" t="inlineStr">
        <is>
          <t>Operator Produksi</t>
        </is>
      </c>
      <c r="P96" s="122" t="inlineStr">
        <is>
          <t>HARIAN</t>
        </is>
      </c>
      <c r="Q96" s="130" t="inlineStr">
        <is>
          <t>CISEUREUH, RT/RW: 001/007, KEL: CISEUREUH, KEC: CISEUREUH, KAB: PURWAKARTA</t>
        </is>
      </c>
      <c r="R96" s="122" t="n">
        <v>1</v>
      </c>
      <c r="S96" s="122" t="n">
        <v>7</v>
      </c>
      <c r="T96" s="137" t="n"/>
      <c r="U96" s="122" t="inlineStr">
        <is>
          <t>PURWAKARTA</t>
        </is>
      </c>
      <c r="V96" s="122" t="inlineStr">
        <is>
          <t>CISEUREUH</t>
        </is>
      </c>
      <c r="W96" s="122" t="inlineStr">
        <is>
          <t>PURWAKARTA</t>
        </is>
      </c>
      <c r="X96" s="130" t="inlineStr">
        <is>
          <t>CISEUREUH, RT/RW: 001/007, KEL: CISEUREUH, KEC: CISEUREUH, KAB: PURWAKARTA</t>
        </is>
      </c>
      <c r="Y96" s="122" t="n">
        <v>8993166072</v>
      </c>
      <c r="Z96" s="131" t="inlineStr">
        <is>
          <t>ISLAM</t>
        </is>
      </c>
      <c r="AA96" s="122" t="inlineStr">
        <is>
          <t>SMK</t>
        </is>
      </c>
      <c r="AB96" s="132" t="n"/>
      <c r="AC96" s="17" t="n">
        <v>94</v>
      </c>
      <c r="AD96" s="133" t="n">
        <v>328000184</v>
      </c>
      <c r="AE96" s="134" t="inlineStr">
        <is>
          <t>WAHYU RAMDANI</t>
        </is>
      </c>
      <c r="AF96" s="133" t="inlineStr">
        <is>
          <t>PRODUCTION</t>
        </is>
      </c>
      <c r="AG96" s="135" t="n">
        <v>24003656295</v>
      </c>
      <c r="AH96" s="136" t="n">
        <v>197965732</v>
      </c>
    </row>
    <row r="97" ht="15.75" customHeight="1" s="169">
      <c r="A97" s="122">
        <f>A96+1</f>
        <v/>
      </c>
      <c r="B97" s="123" t="n">
        <v>328000185</v>
      </c>
      <c r="C97" s="122" t="inlineStr">
        <is>
          <t>3214120906000001</t>
        </is>
      </c>
      <c r="D97" s="124" t="inlineStr">
        <is>
          <t>FAJAR NURSYAMSI</t>
        </is>
      </c>
      <c r="E97" s="122" t="inlineStr">
        <is>
          <t>PURWAKARTA</t>
        </is>
      </c>
      <c r="F97" s="125" t="inlineStr">
        <is>
          <t>LINK</t>
        </is>
      </c>
      <c r="G97" s="96" t="n"/>
      <c r="H97" s="125" t="inlineStr">
        <is>
          <t>PT KMJ</t>
        </is>
      </c>
      <c r="I97" s="127" t="n">
        <v>36686</v>
      </c>
      <c r="J97" s="128">
        <f>DATEDIF(I97, TODAY(), "Y") &amp; " tahun, " &amp; DATEDIF(I97, TODAY(), "YM") &amp; " bulan, " &amp; DATEDIF(I97, TODAY(), "MD") &amp; " hari"
</f>
        <v/>
      </c>
      <c r="K97" s="122" t="inlineStr">
        <is>
          <t>L</t>
        </is>
      </c>
      <c r="L97" s="122" t="inlineStr">
        <is>
          <t>OP. PRODUKSI</t>
        </is>
      </c>
      <c r="M97" s="122">
        <f>VLOOKUP(B97,Sheet21!A:N,14,0)</f>
        <v/>
      </c>
      <c r="N97" s="129" t="inlineStr">
        <is>
          <t>PRODUKSI</t>
        </is>
      </c>
      <c r="O97" s="122" t="inlineStr">
        <is>
          <t>Operator Produksi</t>
        </is>
      </c>
      <c r="P97" s="122" t="inlineStr">
        <is>
          <t>HARIAN</t>
        </is>
      </c>
      <c r="Q97" s="130" t="inlineStr">
        <is>
          <t>KP. CITRA SARI, RT/RW: 002/004, KEL:CIWARENG, KEC: BABAKANCIKAO, KAB: PURWAKARTA</t>
        </is>
      </c>
      <c r="R97" s="122" t="n">
        <v>2</v>
      </c>
      <c r="S97" s="122" t="n">
        <v>4</v>
      </c>
      <c r="T97" s="137" t="n"/>
      <c r="U97" s="122" t="inlineStr">
        <is>
          <t>BABAKANCIKAO</t>
        </is>
      </c>
      <c r="V97" s="122" t="inlineStr">
        <is>
          <t>CIWARENG</t>
        </is>
      </c>
      <c r="W97" s="122" t="inlineStr">
        <is>
          <t>PURWAKARTA</t>
        </is>
      </c>
      <c r="X97" s="130" t="inlineStr">
        <is>
          <t>KP. CITRA SARI, RT/RW: 002/004, KEL:CIWARENG, KEC: BABAKANCIKAO, KAB: PURWAKARTA</t>
        </is>
      </c>
      <c r="Y97" s="122" t="n">
        <v>85721170764</v>
      </c>
      <c r="Z97" s="131" t="inlineStr">
        <is>
          <t>ISLAM</t>
        </is>
      </c>
      <c r="AA97" s="122" t="inlineStr">
        <is>
          <t>SMK</t>
        </is>
      </c>
      <c r="AB97" s="132" t="n"/>
      <c r="AC97" s="17" t="n">
        <v>95</v>
      </c>
      <c r="AD97" s="133" t="n">
        <v>328000185</v>
      </c>
      <c r="AE97" s="134" t="inlineStr">
        <is>
          <t>FAJAR NURSYAMSI</t>
        </is>
      </c>
      <c r="AF97" s="133" t="inlineStr">
        <is>
          <t>PRODUCTION</t>
        </is>
      </c>
      <c r="AG97" s="135" t="n">
        <v>24003656337</v>
      </c>
      <c r="AH97" s="136" t="n">
        <v>2462529576</v>
      </c>
    </row>
    <row r="98" ht="15.75" customHeight="1" s="169">
      <c r="A98" s="122">
        <f>A97+1</f>
        <v/>
      </c>
      <c r="B98" s="123" t="n">
        <v>328000188</v>
      </c>
      <c r="C98" s="122" t="inlineStr">
        <is>
          <t>3214127005040002</t>
        </is>
      </c>
      <c r="D98" s="124" t="inlineStr">
        <is>
          <t>SINTIA MEILANI</t>
        </is>
      </c>
      <c r="E98" s="122" t="inlineStr">
        <is>
          <t>PURWAKARTA</t>
        </is>
      </c>
      <c r="F98" s="125" t="inlineStr">
        <is>
          <t>TKD</t>
        </is>
      </c>
      <c r="G98" s="125" t="inlineStr">
        <is>
          <t>Ormas LMP</t>
        </is>
      </c>
      <c r="H98" s="125" t="inlineStr">
        <is>
          <t>ANAK KETUA ORMAS LMP PAK JUJUN</t>
        </is>
      </c>
      <c r="I98" s="127" t="n">
        <v>38137</v>
      </c>
      <c r="J98" s="128">
        <f>DATEDIF(I98, TODAY(), "Y") &amp; " tahun, " &amp; DATEDIF(I98, TODAY(), "YM") &amp; " bulan, " &amp; DATEDIF(I98, TODAY(), "MD") &amp; " hari"
</f>
        <v/>
      </c>
      <c r="K98" s="122" t="inlineStr">
        <is>
          <t>p</t>
        </is>
      </c>
      <c r="L98" s="122" t="inlineStr">
        <is>
          <t>PACKER</t>
        </is>
      </c>
      <c r="M98" s="122">
        <f>VLOOKUP(B98,Sheet21!A:N,14,0)</f>
        <v/>
      </c>
      <c r="N98" s="129" t="inlineStr">
        <is>
          <t>PRODUKSI</t>
        </is>
      </c>
      <c r="O98" s="122" t="inlineStr">
        <is>
          <t>Packer</t>
        </is>
      </c>
      <c r="P98" s="122" t="inlineStr">
        <is>
          <t>HARIAN</t>
        </is>
      </c>
      <c r="Q98" s="130" t="inlineStr">
        <is>
          <t>KP. KRAJAN, RT/RW: 002/001, KEL: BABAKANCIKAO, KEC: BABAKANCIKAO, KAB: PURWAKARTA</t>
        </is>
      </c>
      <c r="R98" s="122" t="n">
        <v>2</v>
      </c>
      <c r="S98" s="122" t="n">
        <v>1</v>
      </c>
      <c r="T98" s="122" t="n">
        <v>41151</v>
      </c>
      <c r="U98" s="122" t="inlineStr">
        <is>
          <t>BABAKANCIKAO</t>
        </is>
      </c>
      <c r="V98" s="122" t="inlineStr">
        <is>
          <t>BABAKANCIKAO</t>
        </is>
      </c>
      <c r="W98" s="122" t="inlineStr">
        <is>
          <t>PURWAKARTA</t>
        </is>
      </c>
      <c r="X98" s="130" t="inlineStr">
        <is>
          <t>KP. KRAJAN, RT/RW: 002/001, KEL: BABAKANCIKAO, KEC: BABAKANCIKAO, KAB: PURWAKARTA</t>
        </is>
      </c>
      <c r="Y98" s="122" t="n">
        <v>85724956801</v>
      </c>
      <c r="Z98" s="131" t="inlineStr">
        <is>
          <t>ISLAM</t>
        </is>
      </c>
      <c r="AA98" s="122" t="inlineStr">
        <is>
          <t>SMK</t>
        </is>
      </c>
      <c r="AB98" s="132" t="n"/>
      <c r="AC98" s="17" t="n">
        <v>96</v>
      </c>
      <c r="AD98" s="133" t="n">
        <v>328000188</v>
      </c>
      <c r="AE98" s="134" t="inlineStr">
        <is>
          <t>SINTIA MEILANI</t>
        </is>
      </c>
      <c r="AF98" s="133" t="inlineStr">
        <is>
          <t>PRODUCTION</t>
        </is>
      </c>
      <c r="AG98" s="135" t="n">
        <v>24003656089</v>
      </c>
      <c r="AH98" s="136" t="n">
        <v>2343318399</v>
      </c>
    </row>
    <row r="99" ht="15.75" customHeight="1" s="169">
      <c r="A99" s="122">
        <f>A98+1</f>
        <v/>
      </c>
      <c r="B99" s="123" t="n">
        <v>328000190</v>
      </c>
      <c r="C99" s="122" t="inlineStr">
        <is>
          <t>3214125303040001</t>
        </is>
      </c>
      <c r="D99" s="124" t="inlineStr">
        <is>
          <t>LULUPUN NISA</t>
        </is>
      </c>
      <c r="E99" s="122" t="inlineStr">
        <is>
          <t>PURWAKARTA</t>
        </is>
      </c>
      <c r="F99" s="125" t="inlineStr">
        <is>
          <t>TKD</t>
        </is>
      </c>
      <c r="G99" s="125" t="inlineStr">
        <is>
          <t>Pak Wahyudin</t>
        </is>
      </c>
      <c r="H99" s="125" t="inlineStr">
        <is>
          <t>TITIPAN PAK WAHYUDIN</t>
        </is>
      </c>
      <c r="I99" s="127" t="n">
        <v>38151</v>
      </c>
      <c r="J99" s="128">
        <f>DATEDIF(I99, TODAY(), "Y") &amp; " tahun, " &amp; DATEDIF(I99, TODAY(), "YM") &amp; " bulan, " &amp; DATEDIF(I99, TODAY(), "MD") &amp; " hari"
</f>
        <v/>
      </c>
      <c r="K99" s="122" t="inlineStr">
        <is>
          <t>p</t>
        </is>
      </c>
      <c r="L99" s="122" t="inlineStr">
        <is>
          <t>PACKER</t>
        </is>
      </c>
      <c r="M99" s="122">
        <f>VLOOKUP(B99,Sheet21!A:N,14,0)</f>
        <v/>
      </c>
      <c r="N99" s="129" t="inlineStr">
        <is>
          <t>PRODUKSI</t>
        </is>
      </c>
      <c r="O99" s="122" t="inlineStr">
        <is>
          <t>Packer</t>
        </is>
      </c>
      <c r="P99" s="122" t="inlineStr">
        <is>
          <t>HARIAN</t>
        </is>
      </c>
      <c r="Q99" s="130" t="inlineStr">
        <is>
          <t>KP. CIROYONG, RT/RW: 009/004, KEL: CICADAS, KEC: BABAKANCIKAO, KAB: PURWAKARTA</t>
        </is>
      </c>
      <c r="R99" s="122" t="n">
        <v>9</v>
      </c>
      <c r="S99" s="122" t="n">
        <v>4</v>
      </c>
      <c r="T99" s="137" t="n"/>
      <c r="U99" s="122" t="inlineStr">
        <is>
          <t>BABAKANCIKAO</t>
        </is>
      </c>
      <c r="V99" s="122" t="inlineStr">
        <is>
          <t>CICADAS</t>
        </is>
      </c>
      <c r="W99" s="122" t="inlineStr">
        <is>
          <t>PURWAKARTA</t>
        </is>
      </c>
      <c r="X99" s="130" t="inlineStr">
        <is>
          <t>KP. CIROYONG, RT/RW: 009/004, KEL: CICADAS, KEC: BABAKANCIKAO, KAB: PURWAKARTA</t>
        </is>
      </c>
      <c r="Y99" s="122" t="n">
        <v>85691236061</v>
      </c>
      <c r="Z99" s="131" t="inlineStr">
        <is>
          <t>ISLAM</t>
        </is>
      </c>
      <c r="AA99" s="122" t="inlineStr">
        <is>
          <t>SMK</t>
        </is>
      </c>
      <c r="AB99" s="132" t="n"/>
      <c r="AC99" s="17" t="n">
        <v>97</v>
      </c>
      <c r="AD99" s="133" t="n">
        <v>328000190</v>
      </c>
      <c r="AE99" s="134" t="inlineStr">
        <is>
          <t>LULUPUN NISA</t>
        </is>
      </c>
      <c r="AF99" s="133" t="inlineStr">
        <is>
          <t>PRODUCTION</t>
        </is>
      </c>
      <c r="AG99" s="135" t="n">
        <v>24003656311</v>
      </c>
      <c r="AH99" s="136" t="n">
        <v>2175286421</v>
      </c>
    </row>
    <row r="100" ht="15.75" customHeight="1" s="169">
      <c r="A100" s="122">
        <f>A99+1</f>
        <v/>
      </c>
      <c r="B100" s="123" t="n">
        <v>328000191</v>
      </c>
      <c r="C100" s="122" t="inlineStr">
        <is>
          <t>3214124607020002</t>
        </is>
      </c>
      <c r="D100" s="124" t="inlineStr">
        <is>
          <t>MIRANTI AZAHRA</t>
        </is>
      </c>
      <c r="E100" s="122" t="inlineStr">
        <is>
          <t>PURWAKARTA</t>
        </is>
      </c>
      <c r="F100" s="125" t="inlineStr">
        <is>
          <t>SMK 1 PWK</t>
        </is>
      </c>
      <c r="G100" s="96" t="n"/>
      <c r="H100" s="125" t="inlineStr">
        <is>
          <t>SMKN 1 PURWAKARTA</t>
        </is>
      </c>
      <c r="I100" s="127" t="n">
        <v>37443</v>
      </c>
      <c r="J100" s="128">
        <f>DATEDIF(I100, TODAY(), "Y") &amp; " tahun, " &amp; DATEDIF(I100, TODAY(), "YM") &amp; " bulan, " &amp; DATEDIF(I100, TODAY(), "MD") &amp; " hari"
</f>
        <v/>
      </c>
      <c r="K100" s="122" t="inlineStr">
        <is>
          <t>p</t>
        </is>
      </c>
      <c r="L100" s="122" t="inlineStr">
        <is>
          <t>PACKER</t>
        </is>
      </c>
      <c r="M100" s="122">
        <f>VLOOKUP(B100,Sheet21!A:N,14,0)</f>
        <v/>
      </c>
      <c r="N100" s="129" t="inlineStr">
        <is>
          <t>PRODUKSI</t>
        </is>
      </c>
      <c r="O100" s="122" t="inlineStr">
        <is>
          <t>Packer</t>
        </is>
      </c>
      <c r="P100" s="122" t="inlineStr">
        <is>
          <t>HARIAN</t>
        </is>
      </c>
      <c r="Q100" s="130" t="inlineStr">
        <is>
          <t>PERUM GRIYA MUKTI BLOK H-16, RT/RW: 007/006, KEL: CIWARENG, KEC: BABAKANCIKAO, KAB: PURWAKARTA</t>
        </is>
      </c>
      <c r="R100" s="122" t="n">
        <v>7</v>
      </c>
      <c r="S100" s="122" t="n">
        <v>6</v>
      </c>
      <c r="T100" s="137" t="n"/>
      <c r="U100" s="122" t="inlineStr">
        <is>
          <t>BABAKANCIKAO</t>
        </is>
      </c>
      <c r="V100" s="122" t="inlineStr">
        <is>
          <t>CIWARENG</t>
        </is>
      </c>
      <c r="W100" s="122" t="inlineStr">
        <is>
          <t>PURWAKARTA</t>
        </is>
      </c>
      <c r="X100" s="130" t="inlineStr">
        <is>
          <t>PERUM GRIYA MUKTI BLOK H-16, RT/RW: 007/006, KEL: CIWARENG, KEC: BABAKANCIKAO, KAB: PURWAKARTA</t>
        </is>
      </c>
      <c r="Y100" s="122" t="n">
        <v>88583674672</v>
      </c>
      <c r="Z100" s="131" t="inlineStr">
        <is>
          <t>ISLAM</t>
        </is>
      </c>
      <c r="AA100" s="122" t="inlineStr">
        <is>
          <t>SMK</t>
        </is>
      </c>
      <c r="AB100" s="132" t="n"/>
      <c r="AC100" s="17" t="n">
        <v>98</v>
      </c>
      <c r="AD100" s="133" t="n">
        <v>328000191</v>
      </c>
      <c r="AE100" s="134" t="inlineStr">
        <is>
          <t>MIRANTI AZAHRA</t>
        </is>
      </c>
      <c r="AF100" s="133" t="inlineStr">
        <is>
          <t>PRODUCTION</t>
        </is>
      </c>
      <c r="AG100" s="135" t="n">
        <v>24003656386</v>
      </c>
      <c r="AH100" s="136" t="n">
        <v>1870503445</v>
      </c>
    </row>
    <row r="101" ht="15.75" customHeight="1" s="169">
      <c r="A101" s="122">
        <f>A100+1</f>
        <v/>
      </c>
      <c r="B101" s="123" t="n">
        <v>328000192</v>
      </c>
      <c r="C101" s="122" t="inlineStr">
        <is>
          <t>3214124609010002</t>
        </is>
      </c>
      <c r="D101" s="124" t="inlineStr">
        <is>
          <t>SITI ALMADANIAH</t>
        </is>
      </c>
      <c r="E101" s="122" t="inlineStr">
        <is>
          <t>PURWAKARTA</t>
        </is>
      </c>
      <c r="F101" s="125" t="inlineStr">
        <is>
          <t>TKD</t>
        </is>
      </c>
      <c r="G101" s="125" t="inlineStr">
        <is>
          <t>Pak Wahyudin</t>
        </is>
      </c>
      <c r="H101" s="125" t="inlineStr">
        <is>
          <t>KARANG TARUAN BABAKANCIKAO</t>
        </is>
      </c>
      <c r="I101" s="127" t="n">
        <v>37140</v>
      </c>
      <c r="J101" s="128">
        <f>DATEDIF(I101, TODAY(), "Y") &amp; " tahun, " &amp; DATEDIF(I101, TODAY(), "YM") &amp; " bulan, " &amp; DATEDIF(I101, TODAY(), "MD") &amp; " hari"
</f>
        <v/>
      </c>
      <c r="K101" s="122" t="inlineStr">
        <is>
          <t>p</t>
        </is>
      </c>
      <c r="L101" s="122" t="inlineStr">
        <is>
          <t>PACKER</t>
        </is>
      </c>
      <c r="M101" s="122">
        <f>VLOOKUP(B101,Sheet21!A:N,14,0)</f>
        <v/>
      </c>
      <c r="N101" s="129" t="inlineStr">
        <is>
          <t>PRODUKSI</t>
        </is>
      </c>
      <c r="O101" s="122" t="inlineStr">
        <is>
          <t>Packer</t>
        </is>
      </c>
      <c r="P101" s="122" t="inlineStr">
        <is>
          <t>HARIAN</t>
        </is>
      </c>
      <c r="Q101" s="130" t="inlineStr">
        <is>
          <t>KP. SUKARSARI, RT/RW: 004/001, KEL: CIWARENG, KEC: BABAKANCIKAO, KAB: PURWAKARTA</t>
        </is>
      </c>
      <c r="R101" s="122" t="n">
        <v>4</v>
      </c>
      <c r="S101" s="122" t="n">
        <v>1</v>
      </c>
      <c r="T101" s="137" t="n"/>
      <c r="U101" s="122" t="inlineStr">
        <is>
          <t>BABAKANCIKAO</t>
        </is>
      </c>
      <c r="V101" s="122" t="inlineStr">
        <is>
          <t>CIWARENG</t>
        </is>
      </c>
      <c r="W101" s="122" t="inlineStr">
        <is>
          <t>PURWAKARTA</t>
        </is>
      </c>
      <c r="X101" s="130" t="inlineStr">
        <is>
          <t>KP. SUKARSARI, RT/RW: 004/001, KEL: CIWARENG, KEC: BABAKANCIKAO, KAB: PURWAKARTA</t>
        </is>
      </c>
      <c r="Y101" s="122" t="n">
        <v>89602380243</v>
      </c>
      <c r="Z101" s="131" t="inlineStr">
        <is>
          <t>ISLAM</t>
        </is>
      </c>
      <c r="AA101" s="122" t="inlineStr">
        <is>
          <t>SMK</t>
        </is>
      </c>
      <c r="AB101" s="132" t="n"/>
      <c r="AC101" s="17" t="n">
        <v>99</v>
      </c>
      <c r="AD101" s="133" t="n">
        <v>328000192</v>
      </c>
      <c r="AE101" s="134" t="inlineStr">
        <is>
          <t>SITI ALMADANIAH</t>
        </is>
      </c>
      <c r="AF101" s="133" t="inlineStr">
        <is>
          <t>PRODUCTION</t>
        </is>
      </c>
      <c r="AG101" s="135" t="n">
        <v>24003656394</v>
      </c>
      <c r="AH101" s="136" t="n">
        <v>2393023566</v>
      </c>
    </row>
    <row r="102" ht="15.75" customHeight="1" s="169">
      <c r="A102" s="122">
        <f>A101+1</f>
        <v/>
      </c>
      <c r="B102" s="123" t="n">
        <v>328000196</v>
      </c>
      <c r="C102" s="122" t="inlineStr">
        <is>
          <t>3214124801030001</t>
        </is>
      </c>
      <c r="D102" s="124" t="inlineStr">
        <is>
          <t>TESYA HADIANI SIFA</t>
        </is>
      </c>
      <c r="E102" s="122" t="inlineStr">
        <is>
          <t>PURWAKARTA</t>
        </is>
      </c>
      <c r="F102" s="125" t="inlineStr">
        <is>
          <t>TKD</t>
        </is>
      </c>
      <c r="G102" s="125" t="inlineStr">
        <is>
          <t>Pak Wahyudin</t>
        </is>
      </c>
      <c r="H102" s="125" t="inlineStr">
        <is>
          <t>TITIPAN KARANG TARUNA BABAKANCIKAO</t>
        </is>
      </c>
      <c r="I102" s="127" t="n">
        <v>37629</v>
      </c>
      <c r="J102" s="128">
        <f>DATEDIF(I102, TODAY(), "Y") &amp; " tahun, " &amp; DATEDIF(I102, TODAY(), "YM") &amp; " bulan, " &amp; DATEDIF(I102, TODAY(), "MD") &amp; " hari"
</f>
        <v/>
      </c>
      <c r="K102" s="122" t="inlineStr">
        <is>
          <t>p</t>
        </is>
      </c>
      <c r="L102" s="122" t="inlineStr">
        <is>
          <t>PACKER</t>
        </is>
      </c>
      <c r="M102" s="122">
        <f>VLOOKUP(B102,Sheet21!A:N,14,0)</f>
        <v/>
      </c>
      <c r="N102" s="129" t="inlineStr">
        <is>
          <t>PRODUKSI</t>
        </is>
      </c>
      <c r="O102" s="122" t="inlineStr">
        <is>
          <t>Packer</t>
        </is>
      </c>
      <c r="P102" s="122" t="inlineStr">
        <is>
          <t>HARIAN</t>
        </is>
      </c>
      <c r="Q102" s="130" t="inlineStr">
        <is>
          <t>KP.KRAJAN RT/RW: 003/002, KEL: BABAKANCIKAO, KEC: BABAKANCIKAO, KAB: PURWAKARTA</t>
        </is>
      </c>
      <c r="R102" s="122" t="n">
        <v>3</v>
      </c>
      <c r="S102" s="122" t="n">
        <v>2</v>
      </c>
      <c r="T102" s="137" t="n"/>
      <c r="U102" s="122" t="inlineStr">
        <is>
          <t>BABAKANCIKAO</t>
        </is>
      </c>
      <c r="V102" s="122" t="inlineStr">
        <is>
          <t>BABAKANCIKAO</t>
        </is>
      </c>
      <c r="W102" s="122" t="inlineStr">
        <is>
          <t>PURWAKARTA</t>
        </is>
      </c>
      <c r="X102" s="130" t="inlineStr">
        <is>
          <t>KP.KRAJAN RT/RW: 003/002, KEL: BABAKANCIKAO, KEC: BABAKANCIKAO, KAB: PURWAKARTA</t>
        </is>
      </c>
      <c r="Y102" s="122" t="n">
        <v>83120391991</v>
      </c>
      <c r="Z102" s="131" t="inlineStr">
        <is>
          <t>ISLAM</t>
        </is>
      </c>
      <c r="AA102" s="122" t="inlineStr">
        <is>
          <t>SMK</t>
        </is>
      </c>
      <c r="AB102" s="132" t="n"/>
      <c r="AC102" s="17" t="n">
        <v>100</v>
      </c>
      <c r="AD102" s="133" t="n">
        <v>328000196</v>
      </c>
      <c r="AE102" s="134" t="inlineStr">
        <is>
          <t>TESYA HADIANI SIFA</t>
        </is>
      </c>
      <c r="AF102" s="133" t="inlineStr">
        <is>
          <t>PRODUCTION</t>
        </is>
      </c>
      <c r="AG102" s="135" t="n">
        <v>24003656170</v>
      </c>
      <c r="AH102" s="136" t="n">
        <v>1204267386</v>
      </c>
    </row>
    <row r="103" ht="15.75" customHeight="1" s="169">
      <c r="A103" s="122">
        <f>A102+1</f>
        <v/>
      </c>
      <c r="B103" s="123" t="n">
        <v>328000197</v>
      </c>
      <c r="C103" s="122" t="inlineStr">
        <is>
          <t>3214126706040001</t>
        </is>
      </c>
      <c r="D103" s="124" t="inlineStr">
        <is>
          <t>TINI IRNAWATI</t>
        </is>
      </c>
      <c r="E103" s="122" t="inlineStr">
        <is>
          <t>PURWAKARTA</t>
        </is>
      </c>
      <c r="F103" s="125" t="inlineStr">
        <is>
          <t>TKD</t>
        </is>
      </c>
      <c r="G103" s="96" t="n"/>
      <c r="H103" s="142" t="inlineStr">
        <is>
          <t>PONAKAN PAK HAJI YOYO GMBI</t>
        </is>
      </c>
      <c r="I103" s="127" t="n">
        <v>38165</v>
      </c>
      <c r="J103" s="128">
        <f>DATEDIF(I103, TODAY(), "Y") &amp; " tahun, " &amp; DATEDIF(I103, TODAY(), "YM") &amp; " bulan, " &amp; DATEDIF(I103, TODAY(), "MD") &amp; " hari"
</f>
        <v/>
      </c>
      <c r="K103" s="122" t="inlineStr">
        <is>
          <t>p</t>
        </is>
      </c>
      <c r="L103" s="122" t="inlineStr">
        <is>
          <t>PACKER</t>
        </is>
      </c>
      <c r="M103" s="122">
        <f>VLOOKUP(B103,Sheet21!A:N,14,0)</f>
        <v/>
      </c>
      <c r="N103" s="129" t="inlineStr">
        <is>
          <t>PRODUKSI</t>
        </is>
      </c>
      <c r="O103" s="122" t="inlineStr">
        <is>
          <t>Packer</t>
        </is>
      </c>
      <c r="P103" s="122" t="inlineStr">
        <is>
          <t>HARIAN</t>
        </is>
      </c>
      <c r="Q103" s="130" t="inlineStr">
        <is>
          <t>KP CIKURAY, RT/RW: 003/002, KEL: CILANGKAP, KEC:BABAKANCIKAO, KAB: PURWAKARTA</t>
        </is>
      </c>
      <c r="R103" s="122" t="n">
        <v>3</v>
      </c>
      <c r="S103" s="122" t="n">
        <v>2</v>
      </c>
      <c r="T103" s="137" t="n"/>
      <c r="U103" s="122" t="inlineStr">
        <is>
          <t>BABAKANCIKAO</t>
        </is>
      </c>
      <c r="V103" s="122" t="inlineStr">
        <is>
          <t>CILANGKAP</t>
        </is>
      </c>
      <c r="W103" s="122" t="inlineStr">
        <is>
          <t>PURWAKARTA</t>
        </is>
      </c>
      <c r="X103" s="130" t="inlineStr">
        <is>
          <t>KP CIKURAY, RT/RW: 003/002, KEL: CILANGKAP, KEC:BABAKANCIKAO, KAB: PURWAKARTA</t>
        </is>
      </c>
      <c r="Y103" s="122" t="n">
        <v>85724907536</v>
      </c>
      <c r="Z103" s="131" t="inlineStr">
        <is>
          <t>ISLAM</t>
        </is>
      </c>
      <c r="AA103" s="122" t="inlineStr">
        <is>
          <t>SMK</t>
        </is>
      </c>
      <c r="AB103" s="132" t="n"/>
      <c r="AC103" s="17" t="n">
        <v>101</v>
      </c>
      <c r="AD103" s="133" t="n">
        <v>328000197</v>
      </c>
      <c r="AE103" s="134" t="inlineStr">
        <is>
          <t>TINI IRNAWATI</t>
        </is>
      </c>
      <c r="AF103" s="133" t="inlineStr">
        <is>
          <t>PRODUCTION</t>
        </is>
      </c>
      <c r="AG103" s="135" t="n">
        <v>24003656238</v>
      </c>
      <c r="AH103" s="136" t="n">
        <v>1898795171</v>
      </c>
    </row>
    <row r="104" ht="15.75" customHeight="1" s="169">
      <c r="A104" s="122">
        <f>A103+1</f>
        <v/>
      </c>
      <c r="B104" s="123" t="n">
        <v>328000198</v>
      </c>
      <c r="C104" s="122" t="inlineStr">
        <is>
          <t>3214125211040002</t>
        </is>
      </c>
      <c r="D104" s="124" t="inlineStr">
        <is>
          <t>SRI PUSPITA DEWI</t>
        </is>
      </c>
      <c r="E104" s="122" t="inlineStr">
        <is>
          <t>PURWAKARTA</t>
        </is>
      </c>
      <c r="F104" s="125" t="inlineStr">
        <is>
          <t>TKD</t>
        </is>
      </c>
      <c r="G104" s="125" t="inlineStr">
        <is>
          <t xml:space="preserve">Karang Taruna Hegarmanah </t>
        </is>
      </c>
      <c r="H104" s="125" t="inlineStr">
        <is>
          <t>TITIPAN PAK RT RAHMAT DADE</t>
        </is>
      </c>
      <c r="I104" s="127" t="n">
        <v>37937</v>
      </c>
      <c r="J104" s="128">
        <f>DATEDIF(I104, TODAY(), "Y") &amp; " tahun, " &amp; DATEDIF(I104, TODAY(), "YM") &amp; " bulan, " &amp; DATEDIF(I104, TODAY(), "MD") &amp; " hari"
</f>
        <v/>
      </c>
      <c r="K104" s="122" t="inlineStr">
        <is>
          <t>p</t>
        </is>
      </c>
      <c r="L104" s="122" t="inlineStr">
        <is>
          <t>PACKER</t>
        </is>
      </c>
      <c r="M104" s="122">
        <f>VLOOKUP(B104,Sheet21!A:N,14,0)</f>
        <v/>
      </c>
      <c r="N104" s="129" t="inlineStr">
        <is>
          <t>PRODUKSI</t>
        </is>
      </c>
      <c r="O104" s="122" t="inlineStr">
        <is>
          <t>Packer</t>
        </is>
      </c>
      <c r="P104" s="122" t="inlineStr">
        <is>
          <t>HARIAN</t>
        </is>
      </c>
      <c r="Q104" s="130" t="inlineStr">
        <is>
          <t>KP. PARUNGDADAP,  RT/RW: 001/001, KEL: HEGARMANAH, KEC: BABAKANCIKAO, KAB: PURWAKARTA</t>
        </is>
      </c>
      <c r="R104" s="122" t="n">
        <v>1</v>
      </c>
      <c r="S104" s="122" t="n">
        <v>1</v>
      </c>
      <c r="T104" s="137" t="n"/>
      <c r="U104" s="122" t="inlineStr">
        <is>
          <t>BABAKANCIKAO</t>
        </is>
      </c>
      <c r="V104" s="122" t="inlineStr">
        <is>
          <t>HEGARMANAH</t>
        </is>
      </c>
      <c r="W104" s="122" t="inlineStr">
        <is>
          <t>PURWAKARTA</t>
        </is>
      </c>
      <c r="X104" s="130" t="inlineStr">
        <is>
          <t>KP. PARUNGDADAP,  RT/RW: 001/001, KEL: HEGARMANAH, KEC: BABAKANCIKAO, KAB: PURWAKARTA</t>
        </is>
      </c>
      <c r="Y104" s="122" t="n">
        <v>85723474489</v>
      </c>
      <c r="Z104" s="131" t="inlineStr">
        <is>
          <t>ISLAM</t>
        </is>
      </c>
      <c r="AA104" s="122" t="inlineStr">
        <is>
          <t>SMA</t>
        </is>
      </c>
      <c r="AB104" s="132" t="n"/>
      <c r="AC104" s="17" t="n">
        <v>102</v>
      </c>
      <c r="AD104" s="133" t="n">
        <v>328000198</v>
      </c>
      <c r="AE104" s="134" t="inlineStr">
        <is>
          <t>SRI PUSPITA DEWI</t>
        </is>
      </c>
      <c r="AF104" s="133" t="inlineStr">
        <is>
          <t>PRODUCTION</t>
        </is>
      </c>
      <c r="AG104" s="135" t="n">
        <v>24003656246</v>
      </c>
      <c r="AH104" s="136" t="n">
        <v>2201085066</v>
      </c>
    </row>
    <row r="105" ht="15.75" customHeight="1" s="169">
      <c r="A105" s="122">
        <f>A104+1</f>
        <v/>
      </c>
      <c r="B105" s="123" t="n">
        <v>328000200</v>
      </c>
      <c r="C105" s="122" t="inlineStr">
        <is>
          <t>3214125805040004</t>
        </is>
      </c>
      <c r="D105" s="124" t="inlineStr">
        <is>
          <t>CITRA AMEYLIA</t>
        </is>
      </c>
      <c r="E105" s="122" t="inlineStr">
        <is>
          <t>PURWAKARTA</t>
        </is>
      </c>
      <c r="F105" s="125" t="inlineStr">
        <is>
          <t>TKD</t>
        </is>
      </c>
      <c r="G105" s="125" t="inlineStr">
        <is>
          <t>Pak Wahyudin</t>
        </is>
      </c>
      <c r="H105" s="125" t="inlineStr">
        <is>
          <t>TITIPAN KARANG TARUNA HEGARMANAH</t>
        </is>
      </c>
      <c r="I105" s="127" t="n">
        <v>38125</v>
      </c>
      <c r="J105" s="128">
        <f>DATEDIF(I105, TODAY(), "Y") &amp; " tahun, " &amp; DATEDIF(I105, TODAY(), "YM") &amp; " bulan, " &amp; DATEDIF(I105, TODAY(), "MD") &amp; " hari"
</f>
        <v/>
      </c>
      <c r="K105" s="122" t="inlineStr">
        <is>
          <t>p</t>
        </is>
      </c>
      <c r="L105" s="122" t="inlineStr">
        <is>
          <t>PACKER</t>
        </is>
      </c>
      <c r="M105" s="122">
        <f>VLOOKUP(B105,Sheet21!A:N,14,0)</f>
        <v/>
      </c>
      <c r="N105" s="129" t="inlineStr">
        <is>
          <t>PRODUKSI</t>
        </is>
      </c>
      <c r="O105" s="122" t="inlineStr">
        <is>
          <t>Packer</t>
        </is>
      </c>
      <c r="P105" s="122" t="inlineStr">
        <is>
          <t>HARIAN</t>
        </is>
      </c>
      <c r="Q105" s="130" t="inlineStr">
        <is>
          <t>KP. WARUNG BUAH, RT/RW 015/006, KEL: HEGARMANAH, KEC: BABAKANCIKAO, KAB: PURWAKARTA</t>
        </is>
      </c>
      <c r="R105" s="122" t="n">
        <v>15</v>
      </c>
      <c r="S105" s="122" t="n">
        <v>6</v>
      </c>
      <c r="T105" s="137" t="n"/>
      <c r="U105" s="122" t="inlineStr">
        <is>
          <t>BABAKANCIKAO</t>
        </is>
      </c>
      <c r="V105" s="122" t="inlineStr">
        <is>
          <t>HEGARMANAH</t>
        </is>
      </c>
      <c r="W105" s="122" t="inlineStr">
        <is>
          <t>PURWAKARTA</t>
        </is>
      </c>
      <c r="X105" s="130" t="inlineStr">
        <is>
          <t>KP. WARUNG BUAH, RT/RW 015/006, KEL: HEGARMANAH, KEC: BABAKANCIKAO, KAB: PURWAKARTA</t>
        </is>
      </c>
      <c r="Y105" s="122" t="n">
        <v>83165846362</v>
      </c>
      <c r="Z105" s="131" t="inlineStr">
        <is>
          <t>ISLAM</t>
        </is>
      </c>
      <c r="AA105" s="122" t="inlineStr">
        <is>
          <t>SMK</t>
        </is>
      </c>
      <c r="AB105" s="132" t="n"/>
      <c r="AC105" s="17" t="n">
        <v>103</v>
      </c>
      <c r="AD105" s="133" t="n">
        <v>328000200</v>
      </c>
      <c r="AE105" s="134" t="inlineStr">
        <is>
          <t>CITRA AMEYLIA</t>
        </is>
      </c>
      <c r="AF105" s="133" t="inlineStr">
        <is>
          <t>PRODUCTION</t>
        </is>
      </c>
      <c r="AG105" s="135" t="n">
        <v>24003656402</v>
      </c>
      <c r="AH105" s="136" t="n">
        <v>2455449333</v>
      </c>
    </row>
    <row r="106" ht="15.75" customHeight="1" s="169">
      <c r="A106" s="122">
        <f>A105+1</f>
        <v/>
      </c>
      <c r="B106" s="123" t="n">
        <v>328000201</v>
      </c>
      <c r="C106" s="122" t="inlineStr">
        <is>
          <t>3214014903020002</t>
        </is>
      </c>
      <c r="D106" s="124" t="inlineStr">
        <is>
          <t>SITI ANNISA MAULINA</t>
        </is>
      </c>
      <c r="E106" s="122" t="inlineStr">
        <is>
          <t>PURWAKARTA</t>
        </is>
      </c>
      <c r="F106" s="125" t="inlineStr">
        <is>
          <t>TKD</t>
        </is>
      </c>
      <c r="G106" s="125" t="inlineStr">
        <is>
          <t>Pak Wahyudin</t>
        </is>
      </c>
      <c r="H106" s="125" t="inlineStr">
        <is>
          <t>TITIPAN KARANG TARUNA HEGARMANAH</t>
        </is>
      </c>
      <c r="I106" s="127" t="n">
        <v>37689</v>
      </c>
      <c r="J106" s="128">
        <f>DATEDIF(I106, TODAY(), "Y") &amp; " tahun, " &amp; DATEDIF(I106, TODAY(), "YM") &amp; " bulan, " &amp; DATEDIF(I106, TODAY(), "MD") &amp; " hari"
</f>
        <v/>
      </c>
      <c r="K106" s="122" t="inlineStr">
        <is>
          <t>p</t>
        </is>
      </c>
      <c r="L106" s="122" t="inlineStr">
        <is>
          <t>PACKER</t>
        </is>
      </c>
      <c r="M106" s="122">
        <f>VLOOKUP(B106,Sheet21!A:N,14,0)</f>
        <v/>
      </c>
      <c r="N106" s="129" t="inlineStr">
        <is>
          <t>PRODUKSI</t>
        </is>
      </c>
      <c r="O106" s="122" t="inlineStr">
        <is>
          <t>Packer</t>
        </is>
      </c>
      <c r="P106" s="122" t="inlineStr">
        <is>
          <t>HARIAN</t>
        </is>
      </c>
      <c r="Q106" s="130" t="inlineStr">
        <is>
          <t>JL. SILIWANGI NO 24, RT/RW: 030/005, KEL: NAGRI TENGAH, KEC: PURWAKARTA, KAB: PURWAKARTA</t>
        </is>
      </c>
      <c r="R106" s="122" t="n">
        <v>30</v>
      </c>
      <c r="S106" s="122" t="n">
        <v>5</v>
      </c>
      <c r="T106" s="137" t="n"/>
      <c r="U106" s="122" t="inlineStr">
        <is>
          <t>PURWAKARTA</t>
        </is>
      </c>
      <c r="V106" s="122" t="inlineStr">
        <is>
          <t>NAGRI TENGAH</t>
        </is>
      </c>
      <c r="W106" s="122" t="inlineStr">
        <is>
          <t>PURWAKARTA</t>
        </is>
      </c>
      <c r="X106" s="130" t="inlineStr">
        <is>
          <t>JL. SILIWANGI NO 24, RT/RW: 030/005, KEL: NAGRI TENGAH, KEC: PURWAKARTA, KAB: PURWAKARTA</t>
        </is>
      </c>
      <c r="Y106" s="122" t="n">
        <v>89648277586</v>
      </c>
      <c r="Z106" s="131" t="inlineStr">
        <is>
          <t>ISLAM</t>
        </is>
      </c>
      <c r="AA106" s="122" t="inlineStr">
        <is>
          <t>SMK</t>
        </is>
      </c>
      <c r="AB106" s="132" t="n"/>
      <c r="AC106" s="17" t="n">
        <v>104</v>
      </c>
      <c r="AD106" s="133" t="n">
        <v>328000201</v>
      </c>
      <c r="AE106" s="134" t="inlineStr">
        <is>
          <t>SITI ANNISA MAULINA</t>
        </is>
      </c>
      <c r="AF106" s="133" t="inlineStr">
        <is>
          <t>PRODUCTION</t>
        </is>
      </c>
      <c r="AG106" s="135" t="n">
        <v>24003656048</v>
      </c>
      <c r="AH106" s="136" t="n">
        <v>1640351035</v>
      </c>
    </row>
    <row r="107" ht="15.75" customHeight="1" s="169">
      <c r="A107" s="122">
        <f>A106+1</f>
        <v/>
      </c>
      <c r="B107" s="123" t="n">
        <v>328000207</v>
      </c>
      <c r="C107" s="122" t="inlineStr">
        <is>
          <t>3214012808000004</t>
        </is>
      </c>
      <c r="D107" s="124" t="inlineStr">
        <is>
          <t>MUHAMMAD ALVIANSYAH ZULFIKAR</t>
        </is>
      </c>
      <c r="E107" s="122" t="inlineStr">
        <is>
          <t>PURWAKARTA</t>
        </is>
      </c>
      <c r="F107" s="125" t="inlineStr">
        <is>
          <t>LINK</t>
        </is>
      </c>
      <c r="G107" s="96" t="n"/>
      <c r="H107" s="125" t="inlineStr">
        <is>
          <t>PT KMJ</t>
        </is>
      </c>
      <c r="I107" s="127" t="n">
        <v>36766</v>
      </c>
      <c r="J107" s="128">
        <f>DATEDIF(I107, TODAY(), "Y") &amp; " tahun, " &amp; DATEDIF(I107, TODAY(), "YM") &amp; " bulan, " &amp; DATEDIF(I107, TODAY(), "MD") &amp; " hari"
</f>
        <v/>
      </c>
      <c r="K107" s="122" t="inlineStr">
        <is>
          <t>L</t>
        </is>
      </c>
      <c r="L107" s="122" t="inlineStr">
        <is>
          <t>OP. PRODUKSI</t>
        </is>
      </c>
      <c r="M107" s="122">
        <f>VLOOKUP(B107,Sheet21!A:N,14,0)</f>
        <v/>
      </c>
      <c r="N107" s="129" t="inlineStr">
        <is>
          <t>PRODUKSI</t>
        </is>
      </c>
      <c r="O107" s="122" t="inlineStr">
        <is>
          <t>Operator Produksi</t>
        </is>
      </c>
      <c r="P107" s="122" t="inlineStr">
        <is>
          <t>HARIAN</t>
        </is>
      </c>
      <c r="Q107" s="130" t="inlineStr">
        <is>
          <t>GG. MAWAR I, RT/RW: 062/009, KEL: NAGRIKALER, KEC: PURWAKARTA, KAB : PURWAKARTA</t>
        </is>
      </c>
      <c r="R107" s="122" t="n">
        <v>62</v>
      </c>
      <c r="S107" s="122" t="n">
        <v>9</v>
      </c>
      <c r="T107" s="137" t="n"/>
      <c r="U107" s="122" t="inlineStr">
        <is>
          <t>PURWAKARTA</t>
        </is>
      </c>
      <c r="V107" s="122" t="inlineStr">
        <is>
          <t>NAGRI KALER</t>
        </is>
      </c>
      <c r="W107" s="122" t="inlineStr">
        <is>
          <t>PURWAKARTA</t>
        </is>
      </c>
      <c r="X107" s="130" t="inlineStr">
        <is>
          <t>GG. MAWAR I, RT/RW: 062/009, KEL: NAGRIKALER, KEC: PURWAKARTA, KAB : PURWAKARTA</t>
        </is>
      </c>
      <c r="Y107" s="122" t="n">
        <v>882001349</v>
      </c>
      <c r="Z107" s="131" t="inlineStr">
        <is>
          <t>ISLAM</t>
        </is>
      </c>
      <c r="AA107" s="122" t="inlineStr">
        <is>
          <t>SMK</t>
        </is>
      </c>
      <c r="AB107" s="132" t="n"/>
      <c r="AC107" s="17" t="n">
        <v>105</v>
      </c>
      <c r="AD107" s="133" t="n">
        <v>328000207</v>
      </c>
      <c r="AE107" s="134" t="inlineStr">
        <is>
          <t>MUHAMMAD ALVIANSYAH ZULFIKAR</t>
        </is>
      </c>
      <c r="AF107" s="133" t="inlineStr">
        <is>
          <t>PRODUCTION</t>
        </is>
      </c>
      <c r="AG107" s="135" t="n">
        <v>24018487439</v>
      </c>
      <c r="AH107" s="136" t="n">
        <v>1821406702</v>
      </c>
    </row>
    <row r="108" ht="15.75" customHeight="1" s="169">
      <c r="A108" s="122">
        <f>A107+1</f>
        <v/>
      </c>
      <c r="B108" s="123" t="n">
        <v>328000216</v>
      </c>
      <c r="C108" s="122" t="inlineStr">
        <is>
          <t>3215252201000002</t>
        </is>
      </c>
      <c r="D108" s="124" t="inlineStr">
        <is>
          <t>MUHAMAD ADAM YANUAR</t>
        </is>
      </c>
      <c r="E108" s="122" t="inlineStr">
        <is>
          <t>KARAWANG</t>
        </is>
      </c>
      <c r="F108" s="125" t="inlineStr">
        <is>
          <t>LINK</t>
        </is>
      </c>
      <c r="G108" s="96" t="n"/>
      <c r="H108" s="125" t="inlineStr">
        <is>
          <t>PT KMJ</t>
        </is>
      </c>
      <c r="I108" s="127" t="n">
        <v>36547</v>
      </c>
      <c r="J108" s="128">
        <f>DATEDIF(I108, TODAY(), "Y") &amp; " tahun, " &amp; DATEDIF(I108, TODAY(), "YM") &amp; " bulan, " &amp; DATEDIF(I108, TODAY(), "MD") &amp; " hari"
</f>
        <v/>
      </c>
      <c r="K108" s="122" t="inlineStr">
        <is>
          <t>L</t>
        </is>
      </c>
      <c r="L108" s="122" t="inlineStr">
        <is>
          <t>ADMIN ENGINERING</t>
        </is>
      </c>
      <c r="M108" s="122">
        <f>VLOOKUP(B108,Sheet21!A:N,14,0)</f>
        <v/>
      </c>
      <c r="N108" s="129" t="inlineStr">
        <is>
          <t>ENG</t>
        </is>
      </c>
      <c r="O108" s="122" t="inlineStr">
        <is>
          <t>Admin Planner</t>
        </is>
      </c>
      <c r="P108" s="122" t="inlineStr">
        <is>
          <t>HARIAN</t>
        </is>
      </c>
      <c r="Q108" s="130" t="inlineStr">
        <is>
          <t>SUKASEURI, RT/RW: 001/005, KEL: SARIMULYA, KEC: KOTA BARU KAB : KARAWANG</t>
        </is>
      </c>
      <c r="R108" s="122" t="n">
        <v>1</v>
      </c>
      <c r="S108" s="122" t="n">
        <v>5</v>
      </c>
      <c r="T108" s="137" t="n"/>
      <c r="U108" s="122" t="inlineStr">
        <is>
          <t>KOTA BARU</t>
        </is>
      </c>
      <c r="V108" s="122" t="inlineStr">
        <is>
          <t>SARIMULYA</t>
        </is>
      </c>
      <c r="W108" s="122" t="inlineStr">
        <is>
          <t>KARAWANG</t>
        </is>
      </c>
      <c r="X108" s="130" t="inlineStr">
        <is>
          <t>SUKASEURI, RT/RW: 001/005, KEL: SARIMULYA, KEC: KOTA BARU KAB : KARAWANG</t>
        </is>
      </c>
      <c r="Y108" s="122" t="n">
        <v>8987198099</v>
      </c>
      <c r="Z108" s="131" t="inlineStr">
        <is>
          <t>ISLAM</t>
        </is>
      </c>
      <c r="AA108" s="122" t="inlineStr">
        <is>
          <t>S1</t>
        </is>
      </c>
      <c r="AB108" s="132" t="n"/>
      <c r="AC108" s="17" t="n">
        <v>106</v>
      </c>
      <c r="AD108" s="133" t="n">
        <v>328000216</v>
      </c>
      <c r="AE108" s="134" t="inlineStr">
        <is>
          <t>MUHAMAD ADAM YANUAR</t>
        </is>
      </c>
      <c r="AF108" s="133" t="inlineStr">
        <is>
          <t>ENGINEERING</t>
        </is>
      </c>
      <c r="AG108" s="135" t="n">
        <v>24044645984</v>
      </c>
      <c r="AH108" s="136" t="n">
        <v>1668517132</v>
      </c>
    </row>
    <row r="109" ht="15.75" customHeight="1" s="169">
      <c r="A109" s="122">
        <f>A108+1</f>
        <v/>
      </c>
      <c r="B109" s="123" t="n">
        <v>328000217</v>
      </c>
      <c r="C109" s="122" t="inlineStr">
        <is>
          <t>3215052705020007</t>
        </is>
      </c>
      <c r="D109" s="124" t="inlineStr">
        <is>
          <t>BAYU ANDRIANSYAH</t>
        </is>
      </c>
      <c r="E109" s="122" t="inlineStr">
        <is>
          <t>KARAWANG</t>
        </is>
      </c>
      <c r="F109" s="125" t="inlineStr">
        <is>
          <t>TKD</t>
        </is>
      </c>
      <c r="G109" s="125" t="inlineStr">
        <is>
          <t>H. Misja</t>
        </is>
      </c>
      <c r="H109" s="125" t="inlineStr">
        <is>
          <t>KEPONAKAN HJ MISJAH</t>
        </is>
      </c>
      <c r="I109" s="127" t="n">
        <v>37403</v>
      </c>
      <c r="J109" s="128">
        <f>DATEDIF(I109, TODAY(), "Y") &amp; " tahun, " &amp; DATEDIF(I109, TODAY(), "YM") &amp; " bulan, " &amp; DATEDIF(I109, TODAY(), "MD") &amp; " hari"
</f>
        <v/>
      </c>
      <c r="K109" s="122" t="inlineStr">
        <is>
          <t>L</t>
        </is>
      </c>
      <c r="L109" s="122" t="inlineStr">
        <is>
          <t>OP. PRODUKSI</t>
        </is>
      </c>
      <c r="M109" s="122">
        <f>VLOOKUP(B109,Sheet21!A:N,14,0)</f>
        <v/>
      </c>
      <c r="N109" s="129" t="inlineStr">
        <is>
          <t>PRODUKSI</t>
        </is>
      </c>
      <c r="O109" s="122" t="inlineStr">
        <is>
          <t>Operator Produksi</t>
        </is>
      </c>
      <c r="P109" s="122" t="inlineStr">
        <is>
          <t>HARIAN</t>
        </is>
      </c>
      <c r="Q109" s="130" t="inlineStr">
        <is>
          <t>JL BEDENG, RT/RW: 025/004, KEL: CURUG, KEC: KLARI, KAB: KARAWANG</t>
        </is>
      </c>
      <c r="R109" s="122" t="n">
        <v>25</v>
      </c>
      <c r="S109" s="122" t="n">
        <v>4</v>
      </c>
      <c r="T109" s="137" t="n"/>
      <c r="U109" s="122" t="inlineStr">
        <is>
          <t>KLARI</t>
        </is>
      </c>
      <c r="V109" s="122" t="inlineStr">
        <is>
          <t>CURUG</t>
        </is>
      </c>
      <c r="W109" s="122" t="inlineStr">
        <is>
          <t>KARAWANG</t>
        </is>
      </c>
      <c r="X109" s="130" t="inlineStr">
        <is>
          <t>JL BEDENG, RT/RW: 025/004, KEL: CURUG, KEC: KLARI, KAB: KARAWANG</t>
        </is>
      </c>
      <c r="Y109" s="122" t="n">
        <v>81285011874</v>
      </c>
      <c r="Z109" s="131" t="inlineStr">
        <is>
          <t>ISLAM</t>
        </is>
      </c>
      <c r="AA109" s="122" t="inlineStr">
        <is>
          <t>S1</t>
        </is>
      </c>
      <c r="AB109" s="132" t="n"/>
      <c r="AC109" s="17" t="n">
        <v>107</v>
      </c>
      <c r="AD109" s="133" t="n">
        <v>328000217</v>
      </c>
      <c r="AE109" s="134" t="inlineStr">
        <is>
          <t>BAYU ANDRIANSYAH</t>
        </is>
      </c>
      <c r="AF109" s="133" t="inlineStr">
        <is>
          <t>PRODUCTION</t>
        </is>
      </c>
      <c r="AG109" s="135" t="n">
        <v>24044645992</v>
      </c>
      <c r="AH109" s="136" t="n">
        <v>1467152177</v>
      </c>
    </row>
    <row r="110" ht="15.75" customHeight="1" s="169">
      <c r="A110" s="122">
        <f>A109+1</f>
        <v/>
      </c>
      <c r="B110" s="123" t="n">
        <v>328000219</v>
      </c>
      <c r="C110" s="122" t="inlineStr">
        <is>
          <t>3214126105050002</t>
        </is>
      </c>
      <c r="D110" s="124" t="inlineStr">
        <is>
          <t>WINDY MEILANI</t>
        </is>
      </c>
      <c r="E110" s="122" t="inlineStr">
        <is>
          <t>PURWAKARTA</t>
        </is>
      </c>
      <c r="F110" s="125" t="inlineStr">
        <is>
          <t>SMK 1 PWK</t>
        </is>
      </c>
      <c r="G110" s="96" t="n"/>
      <c r="H110" s="125" t="inlineStr">
        <is>
          <t>SMKN 1 PURWAKARTA</t>
        </is>
      </c>
      <c r="I110" s="127" t="n">
        <v>38493</v>
      </c>
      <c r="J110" s="128">
        <f>DATEDIF(I110, TODAY(), "Y") &amp; " tahun, " &amp; DATEDIF(I110, TODAY(), "YM") &amp; " bulan, " &amp; DATEDIF(I110, TODAY(), "MD") &amp; " hari"
</f>
        <v/>
      </c>
      <c r="K110" s="122" t="inlineStr">
        <is>
          <t>P</t>
        </is>
      </c>
      <c r="L110" s="122" t="inlineStr">
        <is>
          <t>PACKER</t>
        </is>
      </c>
      <c r="M110" s="122">
        <f>VLOOKUP(B110,Sheet21!A:N,14,0)</f>
        <v/>
      </c>
      <c r="N110" s="129" t="inlineStr">
        <is>
          <t>PRODUKSI</t>
        </is>
      </c>
      <c r="O110" s="122" t="inlineStr">
        <is>
          <t>Packer</t>
        </is>
      </c>
      <c r="P110" s="122" t="inlineStr">
        <is>
          <t>HARIAN</t>
        </is>
      </c>
      <c r="Q110" s="130" t="inlineStr">
        <is>
          <t>KP. TABRIK, RT/RW: 009/004, KEL: BABAKANCIKAO, KEC: BABAKANCIKAO, KAB PURWAKARTA</t>
        </is>
      </c>
      <c r="R110" s="122" t="n">
        <v>9</v>
      </c>
      <c r="S110" s="122" t="n">
        <v>4</v>
      </c>
      <c r="T110" s="137" t="n"/>
      <c r="U110" s="122" t="inlineStr">
        <is>
          <t>BABAKANCIKAO</t>
        </is>
      </c>
      <c r="V110" s="122" t="inlineStr">
        <is>
          <t>BABAKANCIKAO</t>
        </is>
      </c>
      <c r="W110" s="122" t="inlineStr">
        <is>
          <t>PURWAKARTA</t>
        </is>
      </c>
      <c r="X110" s="130" t="inlineStr">
        <is>
          <t>KP. TABRIK, RT/RW: 009/004, KEL: BABAKANCIKAO, KEC: BABAKANCIKAO, KAB PURWAKARTA</t>
        </is>
      </c>
      <c r="Y110" s="122" t="n">
        <v>85793466172</v>
      </c>
      <c r="Z110" s="131" t="inlineStr">
        <is>
          <t>ISLAM</t>
        </is>
      </c>
      <c r="AA110" s="122" t="inlineStr">
        <is>
          <t>SMK</t>
        </is>
      </c>
      <c r="AB110" s="132" t="n"/>
      <c r="AC110" s="17" t="n">
        <v>108</v>
      </c>
      <c r="AD110" s="133" t="n">
        <v>328000219</v>
      </c>
      <c r="AE110" s="134" t="inlineStr">
        <is>
          <t>WINDY MEILANI</t>
        </is>
      </c>
      <c r="AF110" s="133" t="inlineStr">
        <is>
          <t>PRODUCTION</t>
        </is>
      </c>
      <c r="AG110" s="135" t="n">
        <v>24044646016</v>
      </c>
      <c r="AH110" s="136" t="n">
        <v>1889780433</v>
      </c>
    </row>
    <row r="111" ht="15.75" customHeight="1" s="169">
      <c r="A111" s="122">
        <f>A110+1</f>
        <v/>
      </c>
      <c r="B111" s="123" t="n">
        <v>328000221</v>
      </c>
      <c r="C111" s="122" t="inlineStr">
        <is>
          <t>3214121205030001</t>
        </is>
      </c>
      <c r="D111" s="124" t="inlineStr">
        <is>
          <t>SUHENDRA PUTRA</t>
        </is>
      </c>
      <c r="E111" s="122" t="inlineStr">
        <is>
          <t>PURWAKARTA</t>
        </is>
      </c>
      <c r="F111" s="125" t="inlineStr">
        <is>
          <t>TKD</t>
        </is>
      </c>
      <c r="G111" s="125" t="inlineStr">
        <is>
          <t>Pak Wahyudin</t>
        </is>
      </c>
      <c r="H111" s="125" t="inlineStr">
        <is>
          <t>TITIPAN KEPONAKAN PAK NANDANG KARANG TARUNA BABAKANCIKAO</t>
        </is>
      </c>
      <c r="I111" s="127" t="n">
        <v>37379</v>
      </c>
      <c r="J111" s="128">
        <f>DATEDIF(I111, TODAY(), "Y") &amp; " tahun, " &amp; DATEDIF(I111, TODAY(), "YM") &amp; " bulan, " &amp; DATEDIF(I111, TODAY(), "MD") &amp; " hari"
</f>
        <v/>
      </c>
      <c r="K111" s="122" t="inlineStr">
        <is>
          <t>L</t>
        </is>
      </c>
      <c r="L111" s="122" t="inlineStr">
        <is>
          <t>PACKER</t>
        </is>
      </c>
      <c r="M111" s="122">
        <f>VLOOKUP(B111,Sheet21!A:N,14,0)</f>
        <v/>
      </c>
      <c r="N111" s="129" t="inlineStr">
        <is>
          <t>PRODUKSI</t>
        </is>
      </c>
      <c r="O111" s="122" t="inlineStr">
        <is>
          <t>Packer</t>
        </is>
      </c>
      <c r="P111" s="122" t="inlineStr">
        <is>
          <t>HARIAN</t>
        </is>
      </c>
      <c r="Q111" s="130" t="inlineStr">
        <is>
          <t>KP. KRAJAN, RT/RW: 004/002, KEL: BABAKANCIKAO, KEC: BABAKANCIKAO, KAB: PURWAKARTA</t>
        </is>
      </c>
      <c r="R111" s="122" t="n">
        <v>4</v>
      </c>
      <c r="S111" s="122" t="n">
        <v>1</v>
      </c>
      <c r="T111" s="137" t="n"/>
      <c r="U111" s="122" t="inlineStr">
        <is>
          <t>BABAKANCIKAO</t>
        </is>
      </c>
      <c r="V111" s="122" t="inlineStr">
        <is>
          <t>BABAKANCIKAO</t>
        </is>
      </c>
      <c r="W111" s="122" t="inlineStr">
        <is>
          <t>PURWAKARTA</t>
        </is>
      </c>
      <c r="X111" s="130" t="inlineStr">
        <is>
          <t>KP. KRAJAN, RT/RW: 004/002, KEL: BABAKANCIKAO, KEC: BABAKANCIKAO, KAB: PURWAKARTA</t>
        </is>
      </c>
      <c r="Y111" s="122" t="n">
        <v>85659663077</v>
      </c>
      <c r="Z111" s="131" t="inlineStr">
        <is>
          <t>ISLAM</t>
        </is>
      </c>
      <c r="AA111" s="122" t="inlineStr">
        <is>
          <t>SMK</t>
        </is>
      </c>
      <c r="AB111" s="132" t="n"/>
      <c r="AC111" s="17" t="n">
        <v>109</v>
      </c>
      <c r="AD111" s="133" t="n">
        <v>328000221</v>
      </c>
      <c r="AE111" s="134" t="inlineStr">
        <is>
          <t>SUHENDRA PUTRA</t>
        </is>
      </c>
      <c r="AF111" s="133" t="inlineStr">
        <is>
          <t>PRODUCTION</t>
        </is>
      </c>
      <c r="AG111" s="135" t="n">
        <v>24044646032</v>
      </c>
      <c r="AH111" s="136" t="n">
        <v>2324906706</v>
      </c>
    </row>
    <row r="112" ht="15.75" customHeight="1" s="169">
      <c r="A112" s="122">
        <f>A111+1</f>
        <v/>
      </c>
      <c r="B112" s="123" t="n">
        <v>328000223</v>
      </c>
      <c r="C112" s="122" t="inlineStr">
        <is>
          <t>3214124703070002</t>
        </is>
      </c>
      <c r="D112" s="124" t="inlineStr">
        <is>
          <t>FITRIANI</t>
        </is>
      </c>
      <c r="E112" s="122" t="inlineStr">
        <is>
          <t>PURWAKARTA</t>
        </is>
      </c>
      <c r="F112" s="125" t="inlineStr">
        <is>
          <t>TKD</t>
        </is>
      </c>
      <c r="G112" s="125" t="inlineStr">
        <is>
          <t>Ormas GMBI</t>
        </is>
      </c>
      <c r="H112" s="125" t="inlineStr">
        <is>
          <t>TITIPAN PAK YOYO</t>
        </is>
      </c>
      <c r="I112" s="127" t="n">
        <v>37950</v>
      </c>
      <c r="J112" s="128">
        <f>DATEDIF(I112, TODAY(), "Y") &amp; " tahun, " &amp; DATEDIF(I112, TODAY(), "YM") &amp; " bulan, " &amp; DATEDIF(I112, TODAY(), "MD") &amp; " hari"
</f>
        <v/>
      </c>
      <c r="K112" s="122" t="inlineStr">
        <is>
          <t>P</t>
        </is>
      </c>
      <c r="L112" s="122" t="inlineStr">
        <is>
          <t>PACKER</t>
        </is>
      </c>
      <c r="M112" s="122">
        <f>VLOOKUP(B112,Sheet21!A:N,14,0)</f>
        <v/>
      </c>
      <c r="N112" s="129" t="inlineStr">
        <is>
          <t>PRODUKSI</t>
        </is>
      </c>
      <c r="O112" s="122" t="inlineStr">
        <is>
          <t>Packer</t>
        </is>
      </c>
      <c r="P112" s="122" t="inlineStr">
        <is>
          <t>HARIAN</t>
        </is>
      </c>
      <c r="Q112" s="130" t="inlineStr">
        <is>
          <t>KP.CISALAK, RT/RW: 007/006, KEL: CILANGKAP, KEC: BABAKANCIKAO, KAB: PURWAKARTA</t>
        </is>
      </c>
      <c r="R112" s="122" t="n">
        <v>7</v>
      </c>
      <c r="S112" s="122" t="n">
        <v>6</v>
      </c>
      <c r="T112" s="137" t="n"/>
      <c r="U112" s="122" t="inlineStr">
        <is>
          <t>BABAKANCIKAO</t>
        </is>
      </c>
      <c r="V112" s="122" t="inlineStr">
        <is>
          <t>CILANGKAP</t>
        </is>
      </c>
      <c r="W112" s="122" t="inlineStr">
        <is>
          <t>PURWAKARTA</t>
        </is>
      </c>
      <c r="X112" s="130" t="inlineStr">
        <is>
          <t>KP.CISALAK, RT/RW: 007/006, KEL: CILANGKAP, KEC: BABAKANCIKAO, KAB: PURWAKARTA</t>
        </is>
      </c>
      <c r="Y112" s="122" t="n">
        <v>83873741103</v>
      </c>
      <c r="Z112" s="131" t="inlineStr">
        <is>
          <t>ISLAM</t>
        </is>
      </c>
      <c r="AA112" s="122" t="inlineStr">
        <is>
          <t>SMK</t>
        </is>
      </c>
      <c r="AB112" s="132" t="n"/>
      <c r="AC112" s="17" t="n">
        <v>110</v>
      </c>
      <c r="AD112" s="133" t="n">
        <v>328000223</v>
      </c>
      <c r="AE112" s="134" t="inlineStr">
        <is>
          <t>FITRIANI</t>
        </is>
      </c>
      <c r="AF112" s="133" t="inlineStr">
        <is>
          <t>PRODUCTION</t>
        </is>
      </c>
      <c r="AG112" s="135" t="n">
        <v>24059193847</v>
      </c>
      <c r="AH112" s="136" t="n">
        <v>2394917921</v>
      </c>
    </row>
    <row r="113" ht="15.75" customHeight="1" s="169">
      <c r="A113" s="122">
        <f>A112+1</f>
        <v/>
      </c>
      <c r="B113" s="123" t="n">
        <v>328000224</v>
      </c>
      <c r="C113" s="122" t="inlineStr">
        <is>
          <t>3214126812010001</t>
        </is>
      </c>
      <c r="D113" s="124" t="inlineStr">
        <is>
          <t>DESSY JUARSIH</t>
        </is>
      </c>
      <c r="E113" s="122" t="inlineStr">
        <is>
          <t>PURWAKARTA</t>
        </is>
      </c>
      <c r="F113" s="125" t="inlineStr">
        <is>
          <t>TKD</t>
        </is>
      </c>
      <c r="G113" s="125" t="inlineStr">
        <is>
          <t>Pak Wahyudin</t>
        </is>
      </c>
      <c r="H113" s="125" t="inlineStr">
        <is>
          <t>KARYAWAN HARIAN</t>
        </is>
      </c>
      <c r="I113" s="127" t="n">
        <v>37253</v>
      </c>
      <c r="J113" s="128">
        <f>DATEDIF(I113, TODAY(), "Y") &amp; " tahun, " &amp; DATEDIF(I113, TODAY(), "YM") &amp; " bulan, " &amp; DATEDIF(I113, TODAY(), "MD") &amp; " hari"
</f>
        <v/>
      </c>
      <c r="K113" s="122" t="inlineStr">
        <is>
          <t>p</t>
        </is>
      </c>
      <c r="L113" s="122" t="inlineStr">
        <is>
          <t>PACKER</t>
        </is>
      </c>
      <c r="M113" s="122">
        <f>VLOOKUP(B113,Sheet21!A:N,14,0)</f>
        <v/>
      </c>
      <c r="N113" s="129" t="inlineStr">
        <is>
          <t>PRODUKSI</t>
        </is>
      </c>
      <c r="O113" s="122" t="inlineStr">
        <is>
          <t>Packer</t>
        </is>
      </c>
      <c r="P113" s="122" t="inlineStr">
        <is>
          <t>HARIAN</t>
        </is>
      </c>
      <c r="Q113" s="130" t="inlineStr">
        <is>
          <t>KP. WARUNG BUAH, RT/RW 015/006, KEL: HEGARMANAH, KEC: BABAKANCIKAO, KAB: PURWAKARTA</t>
        </is>
      </c>
      <c r="R113" s="122" t="n">
        <v>15</v>
      </c>
      <c r="S113" s="122" t="n">
        <v>6</v>
      </c>
      <c r="T113" s="137" t="n"/>
      <c r="U113" s="122" t="inlineStr">
        <is>
          <t>BABAKANCIKAO</t>
        </is>
      </c>
      <c r="V113" s="122" t="inlineStr">
        <is>
          <t>HEGARMANAH</t>
        </is>
      </c>
      <c r="W113" s="122" t="inlineStr">
        <is>
          <t>PURWAKARTA</t>
        </is>
      </c>
      <c r="X113" s="130" t="inlineStr">
        <is>
          <t>KP. WARUNG BUAH, RT/RW 015/006, KEL: HEGARMANAH, KEC: BABAKANCIKAO, KAB: PURWAKARTA</t>
        </is>
      </c>
      <c r="Y113" s="122" t="n">
        <v>83174711860</v>
      </c>
      <c r="Z113" s="131" t="inlineStr">
        <is>
          <t>ISLAM</t>
        </is>
      </c>
      <c r="AA113" s="122" t="inlineStr">
        <is>
          <t>SMK</t>
        </is>
      </c>
      <c r="AB113" s="132" t="n"/>
      <c r="AC113" s="17" t="n">
        <v>111</v>
      </c>
      <c r="AD113" s="133" t="n">
        <v>328000224</v>
      </c>
      <c r="AE113" s="134" t="inlineStr">
        <is>
          <t>DESSY JUARSIH</t>
        </is>
      </c>
      <c r="AF113" s="133" t="inlineStr">
        <is>
          <t>PRODUCTION</t>
        </is>
      </c>
      <c r="AG113" s="135" t="n">
        <v>24059193896</v>
      </c>
      <c r="AH113" s="136" t="n">
        <v>3017235543</v>
      </c>
    </row>
    <row r="114" ht="15.75" customHeight="1" s="169">
      <c r="A114" s="122">
        <f>A113+1</f>
        <v/>
      </c>
      <c r="B114" s="123" t="n">
        <v>328000225</v>
      </c>
      <c r="C114" s="122" t="inlineStr">
        <is>
          <t>3214122606020003</t>
        </is>
      </c>
      <c r="D114" s="124" t="inlineStr">
        <is>
          <t>MUHAMAD RIZAL</t>
        </is>
      </c>
      <c r="E114" s="122" t="inlineStr">
        <is>
          <t>PURWAKARTA</t>
        </is>
      </c>
      <c r="F114" s="125" t="inlineStr">
        <is>
          <t>LINK</t>
        </is>
      </c>
      <c r="G114" s="96" t="n"/>
      <c r="H114" s="125" t="inlineStr">
        <is>
          <t>PT KMJ</t>
        </is>
      </c>
      <c r="I114" s="127" t="n">
        <v>37433</v>
      </c>
      <c r="J114" s="128">
        <f>DATEDIF(I114, TODAY(), "Y") &amp; " tahun, " &amp; DATEDIF(I114, TODAY(), "YM") &amp; " bulan, " &amp; DATEDIF(I114, TODAY(), "MD") &amp; " hari"
</f>
        <v/>
      </c>
      <c r="K114" s="122" t="inlineStr">
        <is>
          <t>L</t>
        </is>
      </c>
      <c r="L114" s="122" t="inlineStr">
        <is>
          <t>OP. PRODUKSI</t>
        </is>
      </c>
      <c r="M114" s="122">
        <f>VLOOKUP(B114,Sheet21!A:N,14,0)</f>
        <v/>
      </c>
      <c r="N114" s="129" t="inlineStr">
        <is>
          <t>PRODUKSI</t>
        </is>
      </c>
      <c r="O114" s="122" t="inlineStr">
        <is>
          <t>Operator Produksi</t>
        </is>
      </c>
      <c r="P114" s="122" t="inlineStr">
        <is>
          <t>HARIAN</t>
        </is>
      </c>
      <c r="Q114" s="130" t="inlineStr">
        <is>
          <t>KP. KRAJAN, RT/RW: 013/004, KEL: MARACANG, KEC: BABAKANCIKAO, KAB: PURWAKARTA</t>
        </is>
      </c>
      <c r="R114" s="122" t="n">
        <v>13</v>
      </c>
      <c r="S114" s="122" t="n">
        <v>4</v>
      </c>
      <c r="T114" s="137" t="n"/>
      <c r="U114" s="122" t="inlineStr">
        <is>
          <t>BABAKANCIKAO</t>
        </is>
      </c>
      <c r="V114" s="122" t="inlineStr">
        <is>
          <t>MARACANG</t>
        </is>
      </c>
      <c r="W114" s="122" t="inlineStr">
        <is>
          <t>PURWAKARTA</t>
        </is>
      </c>
      <c r="X114" s="130" t="inlineStr">
        <is>
          <t>KP. KRAJAN, RT/RW: 013/004, KEL: MARACANG, KEC: BABAKANCIKAO, KAB: PURWAKARTA</t>
        </is>
      </c>
      <c r="Y114" s="122" t="n">
        <v>83101454763</v>
      </c>
      <c r="Z114" s="131" t="inlineStr">
        <is>
          <t>ISLAM</t>
        </is>
      </c>
      <c r="AA114" s="122" t="inlineStr">
        <is>
          <t>SMK</t>
        </is>
      </c>
      <c r="AB114" s="132" t="n"/>
      <c r="AC114" s="17" t="n">
        <v>112</v>
      </c>
      <c r="AD114" s="133" t="n">
        <v>328000225</v>
      </c>
      <c r="AE114" s="134" t="inlineStr">
        <is>
          <t>MUHAMAD RIZAL</t>
        </is>
      </c>
      <c r="AF114" s="133" t="inlineStr">
        <is>
          <t>PRODUCTION</t>
        </is>
      </c>
      <c r="AG114" s="135" t="n">
        <v>24059193839</v>
      </c>
      <c r="AH114" s="136" t="n">
        <v>480624816</v>
      </c>
    </row>
    <row r="115" ht="15.75" customHeight="1" s="169">
      <c r="A115" s="122">
        <f>A114+1</f>
        <v/>
      </c>
      <c r="B115" s="123" t="n">
        <v>328000226</v>
      </c>
      <c r="C115" s="122" t="inlineStr">
        <is>
          <t>3214122411970001</t>
        </is>
      </c>
      <c r="D115" s="124" t="inlineStr">
        <is>
          <t>PAISYAL ZULFAZILA IBRAHIM</t>
        </is>
      </c>
      <c r="E115" s="122" t="inlineStr">
        <is>
          <t>PURWAKARTA</t>
        </is>
      </c>
      <c r="F115" s="125" t="inlineStr">
        <is>
          <t>TKD</t>
        </is>
      </c>
      <c r="G115" s="125" t="inlineStr">
        <is>
          <t>Ormas GMBI</t>
        </is>
      </c>
      <c r="H115" s="125" t="inlineStr">
        <is>
          <t>PONAKAN HJ YOYO GMBI</t>
        </is>
      </c>
      <c r="I115" s="127" t="n">
        <v>35758</v>
      </c>
      <c r="J115" s="128">
        <f>DATEDIF(I115, TODAY(), "Y") &amp; " tahun, " &amp; DATEDIF(I115, TODAY(), "YM") &amp; " bulan, " &amp; DATEDIF(I115, TODAY(), "MD") &amp; " hari"
</f>
        <v/>
      </c>
      <c r="K115" s="122" t="inlineStr">
        <is>
          <t>L</t>
        </is>
      </c>
      <c r="L115" s="122" t="inlineStr">
        <is>
          <t>QC</t>
        </is>
      </c>
      <c r="M115" s="122">
        <f>VLOOKUP(B115,Sheet21!A:N,14,0)</f>
        <v/>
      </c>
      <c r="N115" s="129" t="inlineStr">
        <is>
          <t>QC</t>
        </is>
      </c>
      <c r="O115" s="122" t="inlineStr">
        <is>
          <t>QC Incoming</t>
        </is>
      </c>
      <c r="P115" s="122" t="inlineStr">
        <is>
          <t>HARIAN</t>
        </is>
      </c>
      <c r="Q115" s="130" t="inlineStr">
        <is>
          <t>KP. NAGRAK RT/RW: 003/002, KEL: CICADAS, KEC: BABAKANCIKAO, KAB: PURWAKARTA</t>
        </is>
      </c>
      <c r="R115" s="122" t="n">
        <v>3</v>
      </c>
      <c r="S115" s="122" t="n">
        <v>2</v>
      </c>
      <c r="T115" s="137" t="n"/>
      <c r="U115" s="122" t="inlineStr">
        <is>
          <t>BABAKANCIKAO</t>
        </is>
      </c>
      <c r="V115" s="122" t="inlineStr">
        <is>
          <t>CICADAS</t>
        </is>
      </c>
      <c r="W115" s="122" t="inlineStr">
        <is>
          <t>PURWAKARTA</t>
        </is>
      </c>
      <c r="X115" s="130" t="inlineStr">
        <is>
          <t>KP. NAGRAK RT/RW: 003/002, KEL: CICADAS, KEC: BABAKANCIKAO, KAB: PURWAKARTA</t>
        </is>
      </c>
      <c r="Y115" s="122" t="n">
        <v>81909367072</v>
      </c>
      <c r="Z115" s="131" t="inlineStr">
        <is>
          <t>ISLAM</t>
        </is>
      </c>
      <c r="AA115" s="122" t="inlineStr">
        <is>
          <t>SMK</t>
        </is>
      </c>
      <c r="AB115" s="132" t="n"/>
      <c r="AC115" s="17" t="n">
        <v>113</v>
      </c>
      <c r="AD115" s="133" t="n">
        <v>328000226</v>
      </c>
      <c r="AE115" s="134" t="inlineStr">
        <is>
          <t>PAISYAL ZULFAZILA IBRAHIM</t>
        </is>
      </c>
      <c r="AF115" s="133" t="inlineStr">
        <is>
          <t>QUALITY AND RESEARCH &amp; DEVELOPMENT</t>
        </is>
      </c>
      <c r="AG115" s="135" t="n">
        <v>24059193904</v>
      </c>
      <c r="AH115" s="136" t="n">
        <v>1518336898</v>
      </c>
    </row>
    <row r="116" ht="15.75" customHeight="1" s="169">
      <c r="A116" s="122">
        <f>A115+1</f>
        <v/>
      </c>
      <c r="B116" s="123" t="n">
        <v>328000228</v>
      </c>
      <c r="C116" s="122" t="inlineStr">
        <is>
          <t>3214120807040002</t>
        </is>
      </c>
      <c r="D116" s="124" t="inlineStr">
        <is>
          <t>JULIANTORO SONJAYA</t>
        </is>
      </c>
      <c r="E116" s="122" t="inlineStr">
        <is>
          <t>TASIK MALAYA</t>
        </is>
      </c>
      <c r="F116" s="125" t="inlineStr">
        <is>
          <t>TKD</t>
        </is>
      </c>
      <c r="G116" s="125" t="inlineStr">
        <is>
          <t>PT MOS</t>
        </is>
      </c>
      <c r="H116" s="142" t="inlineStr">
        <is>
          <t>ANAK PAK SUDOMO PT MOS</t>
        </is>
      </c>
      <c r="I116" s="127" t="n">
        <v>38176</v>
      </c>
      <c r="J116" s="128">
        <f>DATEDIF(I116, TODAY(), "Y") &amp; " tahun, " &amp; DATEDIF(I116, TODAY(), "YM") &amp; " bulan, " &amp; DATEDIF(I116, TODAY(), "MD") &amp; " hari"
</f>
        <v/>
      </c>
      <c r="K116" s="122" t="inlineStr">
        <is>
          <t>L</t>
        </is>
      </c>
      <c r="L116" s="122" t="inlineStr">
        <is>
          <t>OP. PRODUKSI</t>
        </is>
      </c>
      <c r="M116" s="122">
        <f>VLOOKUP(B116,Sheet21!A:N,14,0)</f>
        <v/>
      </c>
      <c r="N116" s="129" t="inlineStr">
        <is>
          <t>PRODUKSI</t>
        </is>
      </c>
      <c r="O116" s="122" t="inlineStr">
        <is>
          <t>Operator Produksi</t>
        </is>
      </c>
      <c r="P116" s="122" t="inlineStr">
        <is>
          <t>HARIAN</t>
        </is>
      </c>
      <c r="Q116" s="130" t="inlineStr">
        <is>
          <t>KP. TABRIK 1 RT/RW: 001/012, KEL: BABAKANCIKAO, KAB: PURWAKARTA</t>
        </is>
      </c>
      <c r="R116" s="122" t="n">
        <v>1</v>
      </c>
      <c r="S116" s="122" t="n">
        <v>12</v>
      </c>
      <c r="T116" s="137" t="n"/>
      <c r="U116" s="122" t="inlineStr">
        <is>
          <t>BABAKANCIKAO</t>
        </is>
      </c>
      <c r="V116" s="122" t="inlineStr">
        <is>
          <t>BABAKANCIKAO</t>
        </is>
      </c>
      <c r="W116" s="122" t="inlineStr">
        <is>
          <t>PURWAKARTA</t>
        </is>
      </c>
      <c r="X116" s="130" t="inlineStr">
        <is>
          <t>KP. TABRIK 1 RT/RW: 001/012, KEL: BABAKANCIKAO, KAB: PURWAKARTA</t>
        </is>
      </c>
      <c r="Y116" s="122" t="n">
        <v>8562169624</v>
      </c>
      <c r="Z116" s="131" t="inlineStr">
        <is>
          <t>ISLAM</t>
        </is>
      </c>
      <c r="AA116" s="122" t="inlineStr">
        <is>
          <t>SMK</t>
        </is>
      </c>
      <c r="AB116" s="132" t="n"/>
      <c r="AC116" s="17" t="n">
        <v>114</v>
      </c>
      <c r="AD116" s="133" t="n">
        <v>328000228</v>
      </c>
      <c r="AE116" s="134" t="inlineStr">
        <is>
          <t>JULIANTORO SONJAYA</t>
        </is>
      </c>
      <c r="AF116" s="133" t="inlineStr">
        <is>
          <t>PRODUCTION</t>
        </is>
      </c>
      <c r="AG116" s="135" t="n">
        <v>24059193920</v>
      </c>
      <c r="AH116" s="136" t="n">
        <v>1661920997</v>
      </c>
    </row>
    <row r="117" ht="15.75" customHeight="1" s="169">
      <c r="A117" s="122">
        <f>A116+1</f>
        <v/>
      </c>
      <c r="B117" s="123" t="n">
        <v>328000230</v>
      </c>
      <c r="C117" s="122" t="inlineStr">
        <is>
          <t>3214012404010007</t>
        </is>
      </c>
      <c r="D117" s="124" t="inlineStr">
        <is>
          <t>MUHAMAD AKBAR FAUZAN</t>
        </is>
      </c>
      <c r="E117" s="122" t="inlineStr">
        <is>
          <t>PURWAKARTA</t>
        </is>
      </c>
      <c r="F117" s="125" t="inlineStr">
        <is>
          <t>TKD</t>
        </is>
      </c>
      <c r="G117" s="125" t="inlineStr">
        <is>
          <t>Pak Wahyudin</t>
        </is>
      </c>
      <c r="H117" s="125" t="inlineStr">
        <is>
          <t>TITIPAN KARANG TARUNA HEGARMANAH</t>
        </is>
      </c>
      <c r="I117" s="127" t="n">
        <v>37005</v>
      </c>
      <c r="J117" s="128">
        <f>DATEDIF(I117, TODAY(), "Y") &amp; " tahun, " &amp; DATEDIF(I117, TODAY(), "YM") &amp; " bulan, " &amp; DATEDIF(I117, TODAY(), "MD") &amp; " hari"
</f>
        <v/>
      </c>
      <c r="K117" s="122" t="inlineStr">
        <is>
          <t>L</t>
        </is>
      </c>
      <c r="L117" s="122" t="inlineStr">
        <is>
          <t>ADMIN TSP</t>
        </is>
      </c>
      <c r="M117" s="122">
        <f>VLOOKUP(B117,Sheet21!A:N,14,0)</f>
        <v/>
      </c>
      <c r="N117" s="129" t="inlineStr">
        <is>
          <t>PRODUKSI</t>
        </is>
      </c>
      <c r="O117" s="122" t="inlineStr">
        <is>
          <t>Admin TSP</t>
        </is>
      </c>
      <c r="P117" s="122" t="inlineStr">
        <is>
          <t>HARIAN</t>
        </is>
      </c>
      <c r="Q117" s="130" t="inlineStr">
        <is>
          <t>JL. IBRAHIM SINGADILAGA, RT/RW: 006/001, KEL: NAGRIKALER, KEC: PURWAKARTA, KAB: PURWAKARTA</t>
        </is>
      </c>
      <c r="R117" s="122" t="n">
        <v>6</v>
      </c>
      <c r="S117" s="122" t="n">
        <v>1</v>
      </c>
      <c r="T117" s="137" t="n"/>
      <c r="U117" s="122" t="inlineStr">
        <is>
          <t>PURWAKARTA</t>
        </is>
      </c>
      <c r="V117" s="122" t="inlineStr">
        <is>
          <t>NAGRI KALER</t>
        </is>
      </c>
      <c r="W117" s="122" t="inlineStr">
        <is>
          <t>PURWAKARTA</t>
        </is>
      </c>
      <c r="X117" s="130" t="inlineStr">
        <is>
          <t>JL. IBRAHIM SINGADILAGA, RT/RW: 006/001, KEL: NAGRIKALER, KEC: PURWAKARTA, KAB: PURWAKARTA</t>
        </is>
      </c>
      <c r="Y117" s="122" t="n">
        <v>89530166152</v>
      </c>
      <c r="Z117" s="131" t="inlineStr">
        <is>
          <t>ISLAM</t>
        </is>
      </c>
      <c r="AA117" s="122" t="inlineStr">
        <is>
          <t>SMK</t>
        </is>
      </c>
      <c r="AB117" s="132" t="n"/>
      <c r="AC117" s="17" t="n">
        <v>115</v>
      </c>
      <c r="AD117" s="133" t="n">
        <v>328000230</v>
      </c>
      <c r="AE117" s="134" t="inlineStr">
        <is>
          <t>MUHAMAD AKBAR FAUZAN</t>
        </is>
      </c>
      <c r="AF117" s="133" t="inlineStr">
        <is>
          <t>PRODUCTION</t>
        </is>
      </c>
      <c r="AG117" s="135" t="n">
        <v>24059193912</v>
      </c>
      <c r="AH117" s="136" t="n">
        <v>1516510045</v>
      </c>
    </row>
    <row r="118" ht="15.75" customHeight="1" s="169">
      <c r="A118" s="122">
        <f>A117+1</f>
        <v/>
      </c>
      <c r="B118" s="123" t="n">
        <v>328000231</v>
      </c>
      <c r="C118" s="122" t="inlineStr">
        <is>
          <t>3214122706990003</t>
        </is>
      </c>
      <c r="D118" s="124" t="inlineStr">
        <is>
          <t>MARA MAULANA</t>
        </is>
      </c>
      <c r="E118" s="122" t="inlineStr">
        <is>
          <t>PURWAKARTA</t>
        </is>
      </c>
      <c r="F118" s="125" t="inlineStr">
        <is>
          <t>TKD</t>
        </is>
      </c>
      <c r="G118" s="125" t="inlineStr">
        <is>
          <t>Pak Wahyudin</t>
        </is>
      </c>
      <c r="H118" s="125" t="inlineStr">
        <is>
          <t>TITIPAN KARANG TARUNA HEGARMANAH</t>
        </is>
      </c>
      <c r="I118" s="127" t="n">
        <v>36338</v>
      </c>
      <c r="J118" s="128">
        <f>DATEDIF(I118, TODAY(), "Y") &amp; " tahun, " &amp; DATEDIF(I118, TODAY(), "YM") &amp; " bulan, " &amp; DATEDIF(I118, TODAY(), "MD") &amp; " hari"
</f>
        <v/>
      </c>
      <c r="K118" s="122" t="inlineStr">
        <is>
          <t>L</t>
        </is>
      </c>
      <c r="L118" s="122" t="inlineStr">
        <is>
          <t>PACKER</t>
        </is>
      </c>
      <c r="M118" s="122">
        <f>VLOOKUP(B118,Sheet21!A:N,14,0)</f>
        <v/>
      </c>
      <c r="N118" s="129" t="inlineStr">
        <is>
          <t>PRODUKSI</t>
        </is>
      </c>
      <c r="O118" s="122" t="inlineStr">
        <is>
          <t>Packer</t>
        </is>
      </c>
      <c r="P118" s="122" t="inlineStr">
        <is>
          <t>HARIAN</t>
        </is>
      </c>
      <c r="Q118" s="130" t="inlineStr">
        <is>
          <t>KP HEGARMANAH, RT/RW: 009/004 KEL: HEGARMANAH, KEC: BABAKANCIKAO KAB: PURWAKARTA</t>
        </is>
      </c>
      <c r="R118" s="122" t="n">
        <v>9</v>
      </c>
      <c r="S118" s="122" t="n">
        <v>4</v>
      </c>
      <c r="T118" s="122" t="n">
        <v>41151</v>
      </c>
      <c r="U118" s="122" t="inlineStr">
        <is>
          <t>BABAKANCIKAO</t>
        </is>
      </c>
      <c r="V118" s="122" t="inlineStr">
        <is>
          <t>HEGARMANAH</t>
        </is>
      </c>
      <c r="W118" s="122" t="inlineStr">
        <is>
          <t>PURWAKARTA</t>
        </is>
      </c>
      <c r="X118" s="130" t="inlineStr">
        <is>
          <t>KP HEGARMANAH, RT/RW: 009/004 KEL: HEGARMANAH, KEC: BABAKANCIKAO KAB: PURWAKARTA</t>
        </is>
      </c>
      <c r="Y118" s="122" t="n">
        <v>83141235744</v>
      </c>
      <c r="Z118" s="131" t="inlineStr">
        <is>
          <t>ISLAM</t>
        </is>
      </c>
      <c r="AA118" s="122" t="inlineStr">
        <is>
          <t>SMK</t>
        </is>
      </c>
      <c r="AB118" s="132" t="n"/>
      <c r="AC118" s="17" t="n">
        <v>116</v>
      </c>
      <c r="AD118" s="133" t="n">
        <v>328000231</v>
      </c>
      <c r="AE118" s="134" t="inlineStr">
        <is>
          <t>MARA MAULANA</t>
        </is>
      </c>
      <c r="AF118" s="133" t="inlineStr">
        <is>
          <t>PRODUCTION</t>
        </is>
      </c>
      <c r="AG118" s="135" t="n">
        <v>24059193938</v>
      </c>
      <c r="AH118" s="136" t="n">
        <v>2393023926</v>
      </c>
    </row>
    <row r="119" ht="15.75" customHeight="1" s="169">
      <c r="A119" s="122">
        <f>A118+1</f>
        <v/>
      </c>
      <c r="B119" s="123" t="n">
        <v>328000233</v>
      </c>
      <c r="C119" s="122" t="inlineStr">
        <is>
          <t>3215256607010001</t>
        </is>
      </c>
      <c r="D119" s="124" t="inlineStr">
        <is>
          <t>YULIA NINGSIH</t>
        </is>
      </c>
      <c r="E119" s="122" t="inlineStr">
        <is>
          <t>KARAWANG</t>
        </is>
      </c>
      <c r="F119" s="125" t="inlineStr">
        <is>
          <t>LINK</t>
        </is>
      </c>
      <c r="G119" s="96" t="n"/>
      <c r="H119" s="125" t="inlineStr">
        <is>
          <t>PT KMJ</t>
        </is>
      </c>
      <c r="I119" s="127" t="n">
        <v>37098</v>
      </c>
      <c r="J119" s="128">
        <f>DATEDIF(I119, TODAY(), "Y") &amp; " tahun, " &amp; DATEDIF(I119, TODAY(), "YM") &amp; " bulan, " &amp; DATEDIF(I119, TODAY(), "MD") &amp; " hari"
</f>
        <v/>
      </c>
      <c r="K119" s="122" t="inlineStr">
        <is>
          <t>P</t>
        </is>
      </c>
      <c r="L119" s="122" t="inlineStr">
        <is>
          <t>QC</t>
        </is>
      </c>
      <c r="M119" s="122">
        <f>VLOOKUP(B119,Sheet21!A:N,14,0)</f>
        <v/>
      </c>
      <c r="N119" s="129" t="inlineStr">
        <is>
          <t>QC</t>
        </is>
      </c>
      <c r="O119" s="122" t="inlineStr">
        <is>
          <t>QC Produksi</t>
        </is>
      </c>
      <c r="P119" s="122" t="inlineStr">
        <is>
          <t>HARIAN</t>
        </is>
      </c>
      <c r="Q119" s="130" t="inlineStr">
        <is>
          <t>KP KRAJAN RT/RW: 002/001, KEL : JOMIN TIMUR, KEC: KOTABARU; KAB: KARAWANG</t>
        </is>
      </c>
      <c r="R119" s="122" t="n">
        <v>2</v>
      </c>
      <c r="S119" s="122" t="n">
        <v>1</v>
      </c>
      <c r="T119" s="137" t="n"/>
      <c r="U119" s="122" t="inlineStr">
        <is>
          <t>KOTA BARU</t>
        </is>
      </c>
      <c r="V119" s="122" t="inlineStr">
        <is>
          <t>JOMIN TIMUR</t>
        </is>
      </c>
      <c r="W119" s="122" t="inlineStr">
        <is>
          <t>KARAWANG</t>
        </is>
      </c>
      <c r="X119" s="130" t="inlineStr">
        <is>
          <t>KP KRAJAN RT/RW: 002/001, KEL : JOMIN TIMUR, KEC: KOTABARU; KAB: KARAWANG</t>
        </is>
      </c>
      <c r="Y119" s="122" t="n">
        <v>81527101563</v>
      </c>
      <c r="Z119" s="131" t="inlineStr">
        <is>
          <t>ISLAM</t>
        </is>
      </c>
      <c r="AA119" s="122" t="inlineStr">
        <is>
          <t>SMK</t>
        </is>
      </c>
      <c r="AB119" s="132" t="n"/>
      <c r="AC119" s="17" t="n">
        <v>117</v>
      </c>
      <c r="AD119" s="133" t="n">
        <v>328000233</v>
      </c>
      <c r="AE119" s="134" t="inlineStr">
        <is>
          <t>YULIA NINGSIH</t>
        </is>
      </c>
      <c r="AF119" s="133" t="inlineStr">
        <is>
          <t>QUALITY AND RESEARCH &amp; DEVELOPMENT</t>
        </is>
      </c>
      <c r="AG119" s="135" t="n">
        <v>24059193888</v>
      </c>
      <c r="AH119" s="136" t="n">
        <v>483420161</v>
      </c>
    </row>
    <row r="120" ht="15.75" customHeight="1" s="169">
      <c r="A120" s="122">
        <f>A119+1</f>
        <v/>
      </c>
      <c r="B120" s="123" t="n">
        <v>328000235</v>
      </c>
      <c r="C120" s="122" t="inlineStr">
        <is>
          <t>3275064108010016</t>
        </is>
      </c>
      <c r="D120" s="124" t="inlineStr">
        <is>
          <t>ROSALIA PUTRI</t>
        </is>
      </c>
      <c r="E120" s="122" t="inlineStr">
        <is>
          <t>BEKASI</t>
        </is>
      </c>
      <c r="F120" s="125" t="inlineStr">
        <is>
          <t>LINK</t>
        </is>
      </c>
      <c r="G120" s="96" t="n"/>
      <c r="H120" s="125" t="inlineStr">
        <is>
          <t>PT KMJ</t>
        </is>
      </c>
      <c r="I120" s="127" t="n">
        <v>37104</v>
      </c>
      <c r="J120" s="128">
        <f>DATEDIF(I120, TODAY(), "Y") &amp; " tahun, " &amp; DATEDIF(I120, TODAY(), "YM") &amp; " bulan, " &amp; DATEDIF(I120, TODAY(), "MD") &amp; " hari"
</f>
        <v/>
      </c>
      <c r="K120" s="122" t="inlineStr">
        <is>
          <t>p</t>
        </is>
      </c>
      <c r="L120" s="122" t="inlineStr">
        <is>
          <t>QC</t>
        </is>
      </c>
      <c r="M120" s="122">
        <f>VLOOKUP(B120,Sheet21!A:N,14,0)</f>
        <v/>
      </c>
      <c r="N120" s="129" t="inlineStr">
        <is>
          <t>QC</t>
        </is>
      </c>
      <c r="O120" s="122" t="inlineStr">
        <is>
          <t>QC Produksi</t>
        </is>
      </c>
      <c r="P120" s="122" t="inlineStr">
        <is>
          <t>HARIAN</t>
        </is>
      </c>
      <c r="Q120" s="130" t="inlineStr">
        <is>
          <t>KA BAHAGIA, RT/RW: 002/004, KEC: MEDAN SATRIA, KOTA: BEKASI</t>
        </is>
      </c>
      <c r="R120" s="122" t="n">
        <v>2</v>
      </c>
      <c r="S120" s="122" t="n">
        <v>4</v>
      </c>
      <c r="T120" s="137" t="n"/>
      <c r="U120" s="122" t="inlineStr">
        <is>
          <t>MEDAN SATRIA</t>
        </is>
      </c>
      <c r="V120" s="122" t="inlineStr">
        <is>
          <t>PEJUANG</t>
        </is>
      </c>
      <c r="W120" s="122" t="inlineStr">
        <is>
          <t>BEKASI</t>
        </is>
      </c>
      <c r="X120" s="130" t="inlineStr">
        <is>
          <t>KA BAHAGIA RT/RW. 002/004 KEC. MEDAN SATRIA KOTA BEKASI, JAWA BARAT</t>
        </is>
      </c>
      <c r="Y120" s="122" t="inlineStr">
        <is>
          <t>0896.3713.9733</t>
        </is>
      </c>
      <c r="Z120" s="131" t="inlineStr">
        <is>
          <t>ISLAM</t>
        </is>
      </c>
      <c r="AA120" s="122" t="inlineStr">
        <is>
          <t>SMK</t>
        </is>
      </c>
      <c r="AB120" s="132" t="n"/>
      <c r="AC120" s="17" t="n">
        <v>118</v>
      </c>
      <c r="AD120" s="133" t="n">
        <v>328000235</v>
      </c>
      <c r="AE120" s="134" t="inlineStr">
        <is>
          <t>ROSALIA PUTRI</t>
        </is>
      </c>
      <c r="AF120" s="133" t="inlineStr">
        <is>
          <t>QUALITY AND RESEARCH &amp; DEVELOPMENT</t>
        </is>
      </c>
      <c r="AG120" s="135" t="n">
        <v>24068524552</v>
      </c>
      <c r="AH120" s="136" t="n">
        <v>1276431221</v>
      </c>
    </row>
    <row r="121" ht="15.75" customHeight="1" s="169">
      <c r="A121" s="122">
        <f>A120+1</f>
        <v/>
      </c>
      <c r="B121" s="123" t="n">
        <v>328000237</v>
      </c>
      <c r="C121" s="122" t="inlineStr">
        <is>
          <t>3214132110980001</t>
        </is>
      </c>
      <c r="D121" s="124" t="inlineStr">
        <is>
          <t>MUHAMAD GAMAN</t>
        </is>
      </c>
      <c r="E121" s="122" t="inlineStr">
        <is>
          <t>BANDUNG</t>
        </is>
      </c>
      <c r="F121" s="125" t="inlineStr">
        <is>
          <t>LINK</t>
        </is>
      </c>
      <c r="G121" s="96" t="n"/>
      <c r="H121" s="125" t="inlineStr">
        <is>
          <t>PT KMJ</t>
        </is>
      </c>
      <c r="I121" s="127" t="n">
        <v>35796</v>
      </c>
      <c r="J121" s="128">
        <f>DATEDIF(I121, TODAY(), "Y") &amp; " tahun, " &amp; DATEDIF(I121, TODAY(), "YM") &amp; " bulan, " &amp; DATEDIF(I121, TODAY(), "MD") &amp; " hari"
</f>
        <v/>
      </c>
      <c r="K121" s="122" t="inlineStr">
        <is>
          <t>L</t>
        </is>
      </c>
      <c r="L121" s="122" t="inlineStr">
        <is>
          <t>OP FORKLIFT WRM</t>
        </is>
      </c>
      <c r="M121" s="122">
        <f>VLOOKUP(B121,Sheet21!A:N,14,0)</f>
        <v/>
      </c>
      <c r="N121" s="129" t="inlineStr">
        <is>
          <t>LOGISTIK</t>
        </is>
      </c>
      <c r="O121" s="122" t="inlineStr">
        <is>
          <t>Operator Forklift</t>
        </is>
      </c>
      <c r="P121" s="122" t="inlineStr">
        <is>
          <t>HARIAN</t>
        </is>
      </c>
      <c r="Q121" s="130" t="inlineStr">
        <is>
          <t>GRIYA ASRI BLOK F1 NO 24 , RT/RW: 003/011, KEL: CISEUREUH, KEC: PURWAKARTA, KAB: PURAWAKARTA</t>
        </is>
      </c>
      <c r="R121" s="122" t="n">
        <v>3</v>
      </c>
      <c r="S121" s="122" t="n">
        <v>11</v>
      </c>
      <c r="T121" s="137" t="n"/>
      <c r="U121" s="122" t="inlineStr">
        <is>
          <t>PURWAKARTA</t>
        </is>
      </c>
      <c r="V121" s="122" t="inlineStr">
        <is>
          <t>CISEUREUH</t>
        </is>
      </c>
      <c r="W121" s="122" t="inlineStr">
        <is>
          <t>PURWAKARTA</t>
        </is>
      </c>
      <c r="X121" s="130" t="inlineStr">
        <is>
          <t>GRIYA ASRI BLOK F1 NO 24 , RT/RW: 003/011, KEL: CISEUREUH, KEC: PURWAKARTA, KAB: PURAWAKARTA</t>
        </is>
      </c>
      <c r="Y121" s="122" t="n">
        <v>82258436823</v>
      </c>
      <c r="Z121" s="131" t="inlineStr">
        <is>
          <t>ISLAM</t>
        </is>
      </c>
      <c r="AA121" s="122" t="inlineStr">
        <is>
          <t>SMK</t>
        </is>
      </c>
      <c r="AB121" s="132" t="n"/>
      <c r="AC121" s="17" t="n">
        <v>119</v>
      </c>
      <c r="AD121" s="133" t="n">
        <v>328000237</v>
      </c>
      <c r="AE121" s="134" t="inlineStr">
        <is>
          <t>MUHAMAD GAMAN</t>
        </is>
      </c>
      <c r="AF121" s="133" t="inlineStr">
        <is>
          <t>LOGISTIC</t>
        </is>
      </c>
      <c r="AG121" s="135" t="n">
        <v>24068524560</v>
      </c>
      <c r="AH121" s="136" t="n">
        <v>2198096379</v>
      </c>
    </row>
    <row r="122" ht="15.75" customHeight="1" s="169">
      <c r="A122" s="122">
        <f>A121+1</f>
        <v/>
      </c>
      <c r="B122" s="123" t="n">
        <v>328000240</v>
      </c>
      <c r="C122" s="122" t="inlineStr">
        <is>
          <t>3214126205040002</t>
        </is>
      </c>
      <c r="D122" s="124" t="inlineStr">
        <is>
          <t>RAHAJENG TRI NUGRAENI</t>
        </is>
      </c>
      <c r="E122" s="122" t="inlineStr">
        <is>
          <t>PURWAKARTA</t>
        </is>
      </c>
      <c r="F122" s="125" t="inlineStr">
        <is>
          <t>TKD</t>
        </is>
      </c>
      <c r="G122" s="125" t="inlineStr">
        <is>
          <t>Ormas GMBI</t>
        </is>
      </c>
      <c r="H122" s="125" t="inlineStr">
        <is>
          <t>KETUA ORMAS GMBI PAK HAJI YOYO</t>
        </is>
      </c>
      <c r="I122" s="127" t="n">
        <v>38190</v>
      </c>
      <c r="J122" s="128">
        <f>DATEDIF(I122, TODAY(), "Y") &amp; " tahun, " &amp; DATEDIF(I122, TODAY(), "YM") &amp; " bulan, " &amp; DATEDIF(I122, TODAY(), "MD") &amp; " hari"
</f>
        <v/>
      </c>
      <c r="K122" s="122" t="inlineStr">
        <is>
          <t>P</t>
        </is>
      </c>
      <c r="L122" s="122" t="inlineStr">
        <is>
          <t>PACKER</t>
        </is>
      </c>
      <c r="M122" s="122">
        <f>VLOOKUP(B122,Sheet21!A:N,14,0)</f>
        <v/>
      </c>
      <c r="N122" s="129" t="inlineStr">
        <is>
          <t>PRODUKSI</t>
        </is>
      </c>
      <c r="O122" s="122" t="inlineStr">
        <is>
          <t>Packer</t>
        </is>
      </c>
      <c r="P122" s="122" t="inlineStr">
        <is>
          <t>HARIAN</t>
        </is>
      </c>
      <c r="Q122" s="130" t="inlineStr">
        <is>
          <t>KP.NAGRAK, RT/RW 001/001, KEL:CICADAS KEC: BABAKANCIKAO, KAB: PURWAKARTA</t>
        </is>
      </c>
      <c r="R122" s="122" t="n">
        <v>1</v>
      </c>
      <c r="S122" s="122" t="n">
        <v>1</v>
      </c>
      <c r="T122" s="137" t="n"/>
      <c r="U122" s="122" t="inlineStr">
        <is>
          <t>BABAKANCIKAO</t>
        </is>
      </c>
      <c r="V122" s="122" t="inlineStr">
        <is>
          <t>CICADAS</t>
        </is>
      </c>
      <c r="W122" s="122" t="inlineStr">
        <is>
          <t>PURWAKARTA</t>
        </is>
      </c>
      <c r="X122" s="130" t="inlineStr">
        <is>
          <t>KP.NAGRAK, RT/RW 001/001, KEL:CICADAS KEC: BABAKANCIKAO, KAB: PURWAKARTA</t>
        </is>
      </c>
      <c r="Y122" s="122" t="n">
        <v>85794347431</v>
      </c>
      <c r="Z122" s="131" t="inlineStr">
        <is>
          <t>ISLAM</t>
        </is>
      </c>
      <c r="AA122" s="122" t="inlineStr">
        <is>
          <t>SMK</t>
        </is>
      </c>
      <c r="AB122" s="132" t="n"/>
      <c r="AC122" s="17" t="n">
        <v>120</v>
      </c>
      <c r="AD122" s="133" t="n">
        <v>328000240</v>
      </c>
      <c r="AE122" s="134" t="inlineStr">
        <is>
          <t>RAHAJENG TRI NUGRAENI</t>
        </is>
      </c>
      <c r="AF122" s="133" t="inlineStr">
        <is>
          <t>PRODUCTION</t>
        </is>
      </c>
      <c r="AG122" s="135" t="n">
        <v>24068524537</v>
      </c>
      <c r="AH122" s="136" t="n">
        <v>1776184773</v>
      </c>
    </row>
    <row r="123" ht="15.75" customHeight="1" s="169">
      <c r="A123" s="122">
        <f>A122+1</f>
        <v/>
      </c>
      <c r="B123" s="123" t="n">
        <v>328000241</v>
      </c>
      <c r="C123" s="122" t="inlineStr">
        <is>
          <t>3214066304990001</t>
        </is>
      </c>
      <c r="D123" s="124" t="inlineStr">
        <is>
          <t>JIHAN NOERHALIJA</t>
        </is>
      </c>
      <c r="E123" s="122" t="inlineStr">
        <is>
          <t>PURWAKARTA</t>
        </is>
      </c>
      <c r="F123" s="125" t="inlineStr">
        <is>
          <t>SMK 1 PWK</t>
        </is>
      </c>
      <c r="G123" s="96" t="n"/>
      <c r="H123" s="125" t="inlineStr">
        <is>
          <t>SMKN 1 PURWAKARTA</t>
        </is>
      </c>
      <c r="I123" s="127" t="n">
        <v>36273</v>
      </c>
      <c r="J123" s="128">
        <f>DATEDIF(I123, TODAY(), "Y") &amp; " tahun, " &amp; DATEDIF(I123, TODAY(), "YM") &amp; " bulan, " &amp; DATEDIF(I123, TODAY(), "MD") &amp; " hari"
</f>
        <v/>
      </c>
      <c r="K123" s="122" t="inlineStr">
        <is>
          <t>P</t>
        </is>
      </c>
      <c r="L123" s="122" t="inlineStr">
        <is>
          <t>QC</t>
        </is>
      </c>
      <c r="M123" s="122">
        <f>VLOOKUP(B123,Sheet21!A:N,14,0)</f>
        <v/>
      </c>
      <c r="N123" s="129" t="inlineStr">
        <is>
          <t>QC</t>
        </is>
      </c>
      <c r="O123" s="122" t="inlineStr">
        <is>
          <t>QC Produksi</t>
        </is>
      </c>
      <c r="P123" s="122" t="inlineStr">
        <is>
          <t>HARIAN</t>
        </is>
      </c>
      <c r="Q123" s="130" t="inlineStr">
        <is>
          <t>KP WANGUNSARI, RT/RW: 004/002; KEL: SAWIT, KEC: DARANGDAN, KAB: PURWAKARTA</t>
        </is>
      </c>
      <c r="R123" s="122" t="n">
        <v>4</v>
      </c>
      <c r="S123" s="122" t="n">
        <v>2</v>
      </c>
      <c r="T123" s="137" t="n"/>
      <c r="U123" s="122" t="inlineStr">
        <is>
          <t>DARANGDAN</t>
        </is>
      </c>
      <c r="V123" s="122" t="inlineStr">
        <is>
          <t>SAWIT</t>
        </is>
      </c>
      <c r="W123" s="122" t="inlineStr">
        <is>
          <t>PURWAKARTA</t>
        </is>
      </c>
      <c r="X123" s="130" t="inlineStr">
        <is>
          <t>KP WANGUNSARI, RT/RW: 004/002; KEL: SAWIT, KEC: DARANGDAN, KAB: PURWAKARTA</t>
        </is>
      </c>
      <c r="Y123" s="122" t="n">
        <v>83817792717</v>
      </c>
      <c r="Z123" s="131" t="inlineStr">
        <is>
          <t>ISLAM</t>
        </is>
      </c>
      <c r="AA123" s="122" t="inlineStr">
        <is>
          <t>SMK</t>
        </is>
      </c>
      <c r="AB123" s="132" t="n"/>
      <c r="AC123" s="17" t="n">
        <v>121</v>
      </c>
      <c r="AD123" s="133" t="n">
        <v>328000241</v>
      </c>
      <c r="AE123" s="134" t="inlineStr">
        <is>
          <t>JIHAN NOERHALIJA</t>
        </is>
      </c>
      <c r="AF123" s="133" t="inlineStr">
        <is>
          <t>QUALITY AND RESEARCH &amp; DEVELOPMENT</t>
        </is>
      </c>
      <c r="AG123" s="135" t="n">
        <v>24068524495</v>
      </c>
      <c r="AH123" s="136" t="n">
        <v>1009979752</v>
      </c>
    </row>
    <row r="124" ht="15.75" customHeight="1" s="169">
      <c r="A124" s="122">
        <f>A123+1</f>
        <v/>
      </c>
      <c r="B124" s="123" t="n">
        <v>328000246</v>
      </c>
      <c r="C124" s="122" t="inlineStr">
        <is>
          <t>3175065903940011</t>
        </is>
      </c>
      <c r="D124" s="124" t="inlineStr">
        <is>
          <t>DWI FITRIANI</t>
        </is>
      </c>
      <c r="E124" s="122" t="inlineStr">
        <is>
          <t>JAKARTA</t>
        </is>
      </c>
      <c r="F124" s="125" t="inlineStr">
        <is>
          <t>LINK</t>
        </is>
      </c>
      <c r="G124" s="96" t="n"/>
      <c r="H124" s="125" t="inlineStr">
        <is>
          <t>Ex AMG</t>
        </is>
      </c>
      <c r="I124" s="127" t="n">
        <v>34412</v>
      </c>
      <c r="J124" s="128">
        <f>DATEDIF(I124, TODAY(), "Y") &amp; " tahun, " &amp; DATEDIF(I124, TODAY(), "YM") &amp; " bulan, " &amp; DATEDIF(I124, TODAY(), "MD") &amp; " hari"
</f>
        <v/>
      </c>
      <c r="K124" s="122" t="inlineStr">
        <is>
          <t>P</t>
        </is>
      </c>
      <c r="L124" s="122" t="inlineStr">
        <is>
          <t>PACKER</t>
        </is>
      </c>
      <c r="M124" s="122">
        <f>VLOOKUP(B124,Sheet21!A:N,14,0)</f>
        <v/>
      </c>
      <c r="N124" s="129" t="inlineStr">
        <is>
          <t>PRODUKSI</t>
        </is>
      </c>
      <c r="O124" s="122" t="inlineStr">
        <is>
          <t>Packer</t>
        </is>
      </c>
      <c r="P124" s="122" t="inlineStr">
        <is>
          <t>HARIAN</t>
        </is>
      </c>
      <c r="Q124" s="130" t="inlineStr">
        <is>
          <t>KP: KAYU TINGGI, RT/RW: 009/004, KEL: CAKUNG TIMUR, KEC: CAKUNG, KOTA: JAKARTA TIMUR</t>
        </is>
      </c>
      <c r="R124" s="122" t="n">
        <v>9</v>
      </c>
      <c r="S124" s="122" t="n">
        <v>4</v>
      </c>
      <c r="T124" s="137" t="n"/>
      <c r="U124" s="122" t="inlineStr">
        <is>
          <t>CAKUNG</t>
        </is>
      </c>
      <c r="V124" s="122" t="inlineStr">
        <is>
          <t>CAKUNG TIMUR</t>
        </is>
      </c>
      <c r="W124" s="122" t="inlineStr">
        <is>
          <t>JAKARTA TIMUR</t>
        </is>
      </c>
      <c r="X124" s="130" t="inlineStr">
        <is>
          <t>KP: KAYU TINGGI, RT/RW: 009/004, KEL: CAKUNG TIMUR, KEC: CAKUNG, KOTA: JAKARTA TIMUR</t>
        </is>
      </c>
      <c r="Y124" s="122" t="n">
        <v>89509470323</v>
      </c>
      <c r="Z124" s="131" t="inlineStr">
        <is>
          <t>ISLAM</t>
        </is>
      </c>
      <c r="AA124" s="122" t="inlineStr">
        <is>
          <t>SMK</t>
        </is>
      </c>
      <c r="AB124" s="132" t="n"/>
      <c r="AC124" s="17" t="n">
        <v>122</v>
      </c>
      <c r="AD124" s="133" t="n">
        <v>328000246</v>
      </c>
      <c r="AE124" s="134" t="inlineStr">
        <is>
          <t>DWI FITRIANI</t>
        </is>
      </c>
      <c r="AF124" s="133" t="inlineStr">
        <is>
          <t>PRODUCTION</t>
        </is>
      </c>
      <c r="AG124" s="135" t="n">
        <v>23165960826</v>
      </c>
      <c r="AH124" s="136" t="n">
        <v>1479043596</v>
      </c>
    </row>
    <row r="125" ht="15.75" customHeight="1" s="169">
      <c r="A125" s="122">
        <f>A124+1</f>
        <v/>
      </c>
      <c r="B125" s="123" t="n">
        <v>328000251</v>
      </c>
      <c r="C125" s="122" t="inlineStr">
        <is>
          <t>3206040708980002</t>
        </is>
      </c>
      <c r="D125" s="124" t="inlineStr">
        <is>
          <t>DEDE SAMAN NURSAMSI</t>
        </is>
      </c>
      <c r="E125" s="122" t="inlineStr">
        <is>
          <t>TASIK MALAYA</t>
        </is>
      </c>
      <c r="F125" s="125" t="inlineStr">
        <is>
          <t>LINK</t>
        </is>
      </c>
      <c r="G125" s="96" t="n"/>
      <c r="H125" s="125" t="inlineStr">
        <is>
          <t>PT KMJ</t>
        </is>
      </c>
      <c r="I125" s="127" t="n">
        <v>36045</v>
      </c>
      <c r="J125" s="128">
        <f>DATEDIF(I125, TODAY(), "Y") &amp; " tahun, " &amp; DATEDIF(I125, TODAY(), "YM") &amp; " bulan, " &amp; DATEDIF(I125, TODAY(), "MD") &amp; " hari"
</f>
        <v/>
      </c>
      <c r="K125" s="122" t="inlineStr">
        <is>
          <t>L</t>
        </is>
      </c>
      <c r="L125" s="122" t="inlineStr">
        <is>
          <t>CHECKER</t>
        </is>
      </c>
      <c r="M125" s="122">
        <f>VLOOKUP(B125,Sheet21!A:N,14,0)</f>
        <v/>
      </c>
      <c r="N125" s="129" t="inlineStr">
        <is>
          <t>LOGISTIK</t>
        </is>
      </c>
      <c r="O125" s="122" t="inlineStr">
        <is>
          <t>Checker</t>
        </is>
      </c>
      <c r="P125" s="122" t="inlineStr">
        <is>
          <t>HARIAN</t>
        </is>
      </c>
      <c r="Q125" s="130" t="inlineStr">
        <is>
          <t>KP.PEDES, RT/RW : 001/004, KEL: SUKAMUKTI, KEC: SUKAWENING, KAB :GARUT</t>
        </is>
      </c>
      <c r="R125" s="122" t="n">
        <v>1</v>
      </c>
      <c r="S125" s="122" t="n">
        <v>4</v>
      </c>
      <c r="T125" s="137" t="n"/>
      <c r="U125" s="122" t="inlineStr">
        <is>
          <t>SUKAWENING</t>
        </is>
      </c>
      <c r="V125" s="122" t="inlineStr">
        <is>
          <t>SUKAMUKTI</t>
        </is>
      </c>
      <c r="W125" s="122" t="inlineStr">
        <is>
          <t>GARUT</t>
        </is>
      </c>
      <c r="X125" s="130" t="inlineStr">
        <is>
          <t>KP.PEDES, RT/RW : 001/004, KEL: SUKAMUKTI, KEC: SUKAWENING, KAB :GARUT</t>
        </is>
      </c>
      <c r="Y125" s="122" t="n">
        <v>82193542272</v>
      </c>
      <c r="Z125" s="131" t="inlineStr">
        <is>
          <t>ISLAM</t>
        </is>
      </c>
      <c r="AA125" s="122" t="inlineStr">
        <is>
          <t>SMK</t>
        </is>
      </c>
      <c r="AB125" s="132" t="n"/>
      <c r="AC125" s="17" t="n">
        <v>123</v>
      </c>
      <c r="AD125" s="133" t="n">
        <v>328000251</v>
      </c>
      <c r="AE125" s="134" t="inlineStr">
        <is>
          <t>DEDE SAMAN NURSAMSI</t>
        </is>
      </c>
      <c r="AF125" s="133" t="inlineStr">
        <is>
          <t>LOGISTIC</t>
        </is>
      </c>
      <c r="AG125" s="135" t="n">
        <v>24082243452</v>
      </c>
      <c r="AH125" s="136" t="n">
        <v>2457302951</v>
      </c>
    </row>
    <row r="126" ht="15.75" customHeight="1" s="169">
      <c r="A126" s="122">
        <f>A125+1</f>
        <v/>
      </c>
      <c r="B126" s="123" t="n">
        <v>328000253</v>
      </c>
      <c r="C126" s="122" t="inlineStr">
        <is>
          <t>3214100310980002</t>
        </is>
      </c>
      <c r="D126" s="124" t="inlineStr">
        <is>
          <t>DONI SUBHADA</t>
        </is>
      </c>
      <c r="E126" s="122" t="inlineStr">
        <is>
          <t>PURWAKARTA</t>
        </is>
      </c>
      <c r="F126" s="125" t="inlineStr">
        <is>
          <t>LINK</t>
        </is>
      </c>
      <c r="G126" s="96" t="n"/>
      <c r="H126" s="125" t="inlineStr">
        <is>
          <t>PT KMJ</t>
        </is>
      </c>
      <c r="I126" s="127" t="n">
        <v>36071</v>
      </c>
      <c r="J126" s="128">
        <f>DATEDIF(I126, TODAY(), "Y") &amp; " tahun, " &amp; DATEDIF(I126, TODAY(), "YM") &amp; " bulan, " &amp; DATEDIF(I126, TODAY(), "MD") &amp; " hari"
</f>
        <v/>
      </c>
      <c r="K126" s="122" t="inlineStr">
        <is>
          <t>L</t>
        </is>
      </c>
      <c r="L126" s="122" t="inlineStr">
        <is>
          <t>OP PRODUKSI</t>
        </is>
      </c>
      <c r="M126" s="122">
        <f>VLOOKUP(B126,Sheet21!A:N,14,0)</f>
        <v/>
      </c>
      <c r="N126" s="129" t="inlineStr">
        <is>
          <t>PRODUKSI</t>
        </is>
      </c>
      <c r="O126" s="122" t="inlineStr">
        <is>
          <t>Operator Produksi</t>
        </is>
      </c>
      <c r="P126" s="122" t="inlineStr">
        <is>
          <t>HARIAN</t>
        </is>
      </c>
      <c r="Q126" s="130" t="inlineStr">
        <is>
          <t>KP CIHUNI, RT/RW: 003/002, KEL: CIHUNI, KEC: PASAWAHAN, KAB: PURWAKARTA</t>
        </is>
      </c>
      <c r="R126" s="122" t="n">
        <v>3</v>
      </c>
      <c r="S126" s="122" t="n">
        <v>2</v>
      </c>
      <c r="T126" s="137" t="n"/>
      <c r="U126" s="122" t="inlineStr">
        <is>
          <t>PASAWAHAN</t>
        </is>
      </c>
      <c r="V126" s="122" t="inlineStr">
        <is>
          <t>CIHUNI</t>
        </is>
      </c>
      <c r="W126" s="122" t="inlineStr">
        <is>
          <t>PURWAKARTA</t>
        </is>
      </c>
      <c r="X126" s="130" t="inlineStr">
        <is>
          <t>KP CIHUNI, RT/RW: 003/002, KEL: CIHUNI, KEC: PASAWAHAN, KAB: PURWAKARTA</t>
        </is>
      </c>
      <c r="Y126" s="122" t="n">
        <v>89510254114</v>
      </c>
      <c r="Z126" s="131" t="inlineStr">
        <is>
          <t>ISLAM</t>
        </is>
      </c>
      <c r="AA126" s="122" t="inlineStr">
        <is>
          <t>SMK</t>
        </is>
      </c>
      <c r="AB126" s="132" t="n"/>
      <c r="AC126" s="17" t="n">
        <v>124</v>
      </c>
      <c r="AD126" s="133" t="n">
        <v>328000253</v>
      </c>
      <c r="AE126" s="134" t="inlineStr">
        <is>
          <t>DONI SUBHADA</t>
        </is>
      </c>
      <c r="AF126" s="133" t="inlineStr">
        <is>
          <t>PRODUCTION</t>
        </is>
      </c>
      <c r="AG126" s="135" t="n">
        <v>24082243445</v>
      </c>
      <c r="AH126" s="136" t="n">
        <v>2356942094</v>
      </c>
    </row>
    <row r="127" ht="15.75" customHeight="1" s="169">
      <c r="A127" s="122">
        <f>A126+1</f>
        <v/>
      </c>
      <c r="B127" s="123" t="n">
        <v>328000254</v>
      </c>
      <c r="C127" s="143" t="inlineStr">
        <is>
          <t>3215051201000010</t>
        </is>
      </c>
      <c r="D127" s="124" t="inlineStr">
        <is>
          <t>ARI MUHAMAD RIDWAN</t>
        </is>
      </c>
      <c r="E127" s="122" t="inlineStr">
        <is>
          <t>KARAWANG</t>
        </is>
      </c>
      <c r="F127" s="125" t="inlineStr">
        <is>
          <t>LINK</t>
        </is>
      </c>
      <c r="G127" s="96" t="n"/>
      <c r="H127" s="125" t="inlineStr">
        <is>
          <t>PT KMJ</t>
        </is>
      </c>
      <c r="I127" s="127" t="n">
        <v>36537</v>
      </c>
      <c r="J127" s="128">
        <f>DATEDIF(I127, TODAY(), "Y") &amp; " tahun, " &amp; DATEDIF(I127, TODAY(), "YM") &amp; " bulan, " &amp; DATEDIF(I127, TODAY(), "MD") &amp; " hari"
</f>
        <v/>
      </c>
      <c r="K127" s="122" t="inlineStr">
        <is>
          <t>L</t>
        </is>
      </c>
      <c r="L127" s="122" t="inlineStr">
        <is>
          <t>OP FORKLIFT WRM</t>
        </is>
      </c>
      <c r="M127" s="122">
        <f>VLOOKUP(B127,Sheet21!A:N,14,0)</f>
        <v/>
      </c>
      <c r="N127" s="129" t="inlineStr">
        <is>
          <t>LOGISTIK</t>
        </is>
      </c>
      <c r="O127" s="122" t="inlineStr">
        <is>
          <t>Operator Forklift</t>
        </is>
      </c>
      <c r="P127" s="122" t="inlineStr">
        <is>
          <t>HARIAN</t>
        </is>
      </c>
      <c r="Q127" s="130" t="inlineStr">
        <is>
          <t>DUSUN SERANG, RT/RW: 010/004, KEL: SUMURKONDANG, KEC: KLARI KAB: PURWAKARTA</t>
        </is>
      </c>
      <c r="R127" s="122" t="n">
        <v>10</v>
      </c>
      <c r="S127" s="122" t="n">
        <v>4</v>
      </c>
      <c r="T127" s="137" t="n"/>
      <c r="U127" s="122" t="inlineStr">
        <is>
          <t>KLARI</t>
        </is>
      </c>
      <c r="V127" s="122" t="inlineStr">
        <is>
          <t>SUMURKONDANG</t>
        </is>
      </c>
      <c r="W127" s="122" t="inlineStr">
        <is>
          <t>KARAWANG</t>
        </is>
      </c>
      <c r="X127" s="130" t="inlineStr">
        <is>
          <t>DUSUN SERANG, RT/RW: 010/004, KEL: SUMURKONDANG, KEC: KLARI KAB: PURWAKARTA</t>
        </is>
      </c>
      <c r="Y127" s="122" t="n">
        <v>85959162399</v>
      </c>
      <c r="Z127" s="131" t="inlineStr">
        <is>
          <t>ISLAM</t>
        </is>
      </c>
      <c r="AA127" s="122" t="inlineStr">
        <is>
          <t>SMA</t>
        </is>
      </c>
      <c r="AB127" s="132" t="n"/>
      <c r="AC127" s="17" t="n">
        <v>125</v>
      </c>
      <c r="AD127" s="133" t="n">
        <v>328000254</v>
      </c>
      <c r="AE127" s="134" t="inlineStr">
        <is>
          <t>ARI MUHAMAD RIDWAN</t>
        </is>
      </c>
      <c r="AF127" s="133" t="inlineStr">
        <is>
          <t>LOGISTIC</t>
        </is>
      </c>
      <c r="AG127" s="135" t="n">
        <v>24096022652</v>
      </c>
      <c r="AH127" s="136" t="n">
        <v>3057168317</v>
      </c>
    </row>
    <row r="128" ht="15.75" customHeight="1" s="169">
      <c r="A128" s="122">
        <f>A127+1</f>
        <v/>
      </c>
      <c r="B128" s="123" t="n">
        <v>328000255</v>
      </c>
      <c r="C128" s="122" t="inlineStr">
        <is>
          <t>3214120107050001</t>
        </is>
      </c>
      <c r="D128" s="124" t="inlineStr">
        <is>
          <t>FAHRI</t>
        </is>
      </c>
      <c r="E128" s="122" t="inlineStr">
        <is>
          <t>PURWAKARTA</t>
        </is>
      </c>
      <c r="F128" s="125" t="inlineStr">
        <is>
          <t>TKD</t>
        </is>
      </c>
      <c r="G128" s="125" t="inlineStr">
        <is>
          <t>Pak Wahyudin</t>
        </is>
      </c>
      <c r="H128" s="125" t="inlineStr">
        <is>
          <t>KARYAWAN HARIAN</t>
        </is>
      </c>
      <c r="I128" s="127" t="n">
        <v>38534</v>
      </c>
      <c r="J128" s="128">
        <f>DATEDIF(I128, TODAY(), "Y") &amp; " tahun, " &amp; DATEDIF(I128, TODAY(), "YM") &amp; " bulan, " &amp; DATEDIF(I128, TODAY(), "MD") &amp; " hari"
</f>
        <v/>
      </c>
      <c r="K128" s="122" t="inlineStr">
        <is>
          <t>L</t>
        </is>
      </c>
      <c r="L128" s="122" t="inlineStr">
        <is>
          <t>PACKER</t>
        </is>
      </c>
      <c r="M128" s="122">
        <f>VLOOKUP(B128,Sheet21!A:N,14,0)</f>
        <v/>
      </c>
      <c r="N128" s="129" t="inlineStr">
        <is>
          <t>PRODUKSI</t>
        </is>
      </c>
      <c r="O128" s="122" t="inlineStr">
        <is>
          <t>Packer</t>
        </is>
      </c>
      <c r="P128" s="122" t="inlineStr">
        <is>
          <t>HARIAN</t>
        </is>
      </c>
      <c r="Q128" s="130" t="inlineStr">
        <is>
          <t>KP. HEGARMANAH, RT/RW: 01/004, KEL: HEGARMANAH, KEC: BABAKANCIKAO, KAB: PURWAKARTA</t>
        </is>
      </c>
      <c r="R128" s="122" t="n">
        <v>10</v>
      </c>
      <c r="S128" s="122" t="n">
        <v>4</v>
      </c>
      <c r="T128" s="137" t="n"/>
      <c r="U128" s="122" t="inlineStr">
        <is>
          <t>BABAKANCIKAO</t>
        </is>
      </c>
      <c r="V128" s="122" t="inlineStr">
        <is>
          <t>HEGARMANAH</t>
        </is>
      </c>
      <c r="W128" s="122" t="inlineStr">
        <is>
          <t>PURWAKARTA</t>
        </is>
      </c>
      <c r="X128" s="130" t="inlineStr">
        <is>
          <t>KP. HEGARMANAH, RT/RW: 01/004, KEL: HEGARMANAH, KEC: BABAKANCIKAO, KAB: PURWAKARTA</t>
        </is>
      </c>
      <c r="Y128" s="122" t="n">
        <v>81909876834</v>
      </c>
      <c r="Z128" s="131" t="inlineStr">
        <is>
          <t>ISLAM</t>
        </is>
      </c>
      <c r="AA128" s="122" t="inlineStr">
        <is>
          <t>SMK</t>
        </is>
      </c>
      <c r="AB128" s="132" t="n"/>
      <c r="AC128" s="17" t="n">
        <v>126</v>
      </c>
      <c r="AD128" s="133" t="n">
        <v>328000255</v>
      </c>
      <c r="AE128" s="134" t="inlineStr">
        <is>
          <t>FAHRI</t>
        </is>
      </c>
      <c r="AF128" s="133" t="inlineStr">
        <is>
          <t>PRODUCTION</t>
        </is>
      </c>
      <c r="AG128" s="135" t="n">
        <v>24096022686</v>
      </c>
      <c r="AH128" s="136" t="n">
        <v>2394522955</v>
      </c>
    </row>
    <row r="129" ht="15.75" customHeight="1" s="169">
      <c r="A129" s="122">
        <f>A128+1</f>
        <v/>
      </c>
      <c r="B129" s="123" t="n">
        <v>328000256</v>
      </c>
      <c r="C129" s="122" t="inlineStr">
        <is>
          <t>3172041410970002</t>
        </is>
      </c>
      <c r="D129" s="124" t="inlineStr">
        <is>
          <t>MIFTAHUS SALAM</t>
        </is>
      </c>
      <c r="E129" s="122" t="inlineStr">
        <is>
          <t>TEGAL</t>
        </is>
      </c>
      <c r="F129" s="125" t="inlineStr">
        <is>
          <t>LINK</t>
        </is>
      </c>
      <c r="G129" s="96" t="n"/>
      <c r="H129" s="125" t="inlineStr">
        <is>
          <t>PT KMJ</t>
        </is>
      </c>
      <c r="I129" s="127" t="n">
        <v>35717</v>
      </c>
      <c r="J129" s="128">
        <f>DATEDIF(I129, TODAY(), "Y") &amp; " tahun, " &amp; DATEDIF(I129, TODAY(), "YM") &amp; " bulan, " &amp; DATEDIF(I129, TODAY(), "MD") &amp; " hari"
</f>
        <v/>
      </c>
      <c r="K129" s="122" t="inlineStr">
        <is>
          <t>L</t>
        </is>
      </c>
      <c r="L129" s="122" t="inlineStr">
        <is>
          <t>OP FORKLIFT WRM</t>
        </is>
      </c>
      <c r="M129" s="122">
        <f>VLOOKUP(B129,Sheet21!A:N,14,0)</f>
        <v/>
      </c>
      <c r="N129" s="129" t="inlineStr">
        <is>
          <t>LOGISTIK</t>
        </is>
      </c>
      <c r="O129" s="122" t="inlineStr">
        <is>
          <t>Operator Forklift</t>
        </is>
      </c>
      <c r="P129" s="122" t="inlineStr">
        <is>
          <t>HARIAN</t>
        </is>
      </c>
      <c r="Q129" s="130" t="inlineStr">
        <is>
          <t>KP. BARU,  RT/RW: 009/008,  KEL: CAKUNG BARAT, KEC: CAKUNG, KOTA: JAKARTA TIMUR</t>
        </is>
      </c>
      <c r="R129" s="122" t="n">
        <v>9</v>
      </c>
      <c r="S129" s="122" t="n">
        <v>8</v>
      </c>
      <c r="T129" s="137" t="n"/>
      <c r="U129" s="122" t="inlineStr">
        <is>
          <t>CAKUNG</t>
        </is>
      </c>
      <c r="V129" s="122" t="inlineStr">
        <is>
          <t>CAKUNG BARAT</t>
        </is>
      </c>
      <c r="W129" s="122" t="inlineStr">
        <is>
          <t>JAKARTA TIMUR</t>
        </is>
      </c>
      <c r="X129" s="130" t="inlineStr">
        <is>
          <t>KP. BARU,  RT/RW: 009/008,  KEL: CAKUNG BARAT, KEC: CAKUNG, KOTA: JAKARTA TIMUR</t>
        </is>
      </c>
      <c r="Y129" s="122" t="n">
        <v>88294046214</v>
      </c>
      <c r="Z129" s="131" t="inlineStr">
        <is>
          <t>ISLAM</t>
        </is>
      </c>
      <c r="AA129" s="122" t="inlineStr">
        <is>
          <t>SMK</t>
        </is>
      </c>
      <c r="AB129" s="132" t="n"/>
      <c r="AC129" s="17" t="n">
        <v>127</v>
      </c>
      <c r="AD129" s="133" t="n">
        <v>328000256</v>
      </c>
      <c r="AE129" s="134" t="inlineStr">
        <is>
          <t>MIFTAHUS SALAM</t>
        </is>
      </c>
      <c r="AF129" s="133" t="inlineStr">
        <is>
          <t>LOGISTIC</t>
        </is>
      </c>
      <c r="AG129" s="135" t="n">
        <v>24096022660</v>
      </c>
      <c r="AH129" s="136" t="n">
        <v>2341704958</v>
      </c>
    </row>
    <row r="130" ht="15.75" customHeight="1" s="169">
      <c r="A130" s="122">
        <f>A129+1</f>
        <v/>
      </c>
      <c r="B130" s="123" t="n">
        <v>328000257</v>
      </c>
      <c r="C130" s="122" t="inlineStr">
        <is>
          <t>3215251808980002</t>
        </is>
      </c>
      <c r="D130" s="124" t="inlineStr">
        <is>
          <t>AGUNG BAGASKARA</t>
        </is>
      </c>
      <c r="E130" s="122" t="inlineStr">
        <is>
          <t>SUBANG</t>
        </is>
      </c>
      <c r="F130" s="125" t="inlineStr">
        <is>
          <t>TKD</t>
        </is>
      </c>
      <c r="G130" s="125" t="inlineStr">
        <is>
          <t>Ormas Lodaya</t>
        </is>
      </c>
      <c r="H130" s="125" t="inlineStr">
        <is>
          <t>TITIPAN PAK TIGOR</t>
        </is>
      </c>
      <c r="I130" s="127" t="n">
        <v>36025</v>
      </c>
      <c r="J130" s="128">
        <f>DATEDIF(I130, TODAY(), "Y") &amp; " tahun, " &amp; DATEDIF(I130, TODAY(), "YM") &amp; " bulan, " &amp; DATEDIF(I130, TODAY(), "MD") &amp; " hari"
</f>
        <v/>
      </c>
      <c r="K130" s="122" t="inlineStr">
        <is>
          <t>L</t>
        </is>
      </c>
      <c r="L130" s="122" t="inlineStr">
        <is>
          <t>OP FORKLIFT</t>
        </is>
      </c>
      <c r="M130" s="122">
        <f>VLOOKUP(B130,Sheet21!A:N,14,0)</f>
        <v/>
      </c>
      <c r="N130" s="129" t="inlineStr">
        <is>
          <t>LOGISTIK</t>
        </is>
      </c>
      <c r="O130" s="122" t="inlineStr">
        <is>
          <t>Operator Forklift</t>
        </is>
      </c>
      <c r="P130" s="122" t="inlineStr">
        <is>
          <t>HARIAN</t>
        </is>
      </c>
      <c r="Q130" s="130" t="inlineStr">
        <is>
          <t>KP KALIOYOD DUSUN, RT/RW : 004/003, KEL: WANCIMEKAR, KEC: KOTA BARU, KAB: KARAWANG</t>
        </is>
      </c>
      <c r="R130" s="122" t="n">
        <v>4</v>
      </c>
      <c r="S130" s="122" t="n">
        <v>3</v>
      </c>
      <c r="T130" s="137" t="n"/>
      <c r="U130" s="122" t="inlineStr">
        <is>
          <t>KOTA BARU</t>
        </is>
      </c>
      <c r="V130" s="122" t="inlineStr">
        <is>
          <t>WANCI MEKAR</t>
        </is>
      </c>
      <c r="W130" s="122" t="inlineStr">
        <is>
          <t>KARAWANG</t>
        </is>
      </c>
      <c r="X130" s="130" t="inlineStr">
        <is>
          <t>KP KALIOYOD DUSUN, RT/RW : 004/003, KEL: WANCIMEKAR, KEC: KOTA BARU, KAB: KARAWANG</t>
        </is>
      </c>
      <c r="Y130" s="122" t="n">
        <v>85733269247</v>
      </c>
      <c r="Z130" s="131" t="inlineStr">
        <is>
          <t>ISLAM</t>
        </is>
      </c>
      <c r="AA130" s="122" t="inlineStr">
        <is>
          <t>SMA</t>
        </is>
      </c>
      <c r="AB130" s="132" t="n"/>
      <c r="AC130" s="17" t="n">
        <v>128</v>
      </c>
      <c r="AD130" s="133" t="n">
        <v>328000257</v>
      </c>
      <c r="AE130" s="134" t="inlineStr">
        <is>
          <t>AGUNG BAGASKARA</t>
        </is>
      </c>
      <c r="AF130" s="133" t="inlineStr">
        <is>
          <t>LOGISTIC</t>
        </is>
      </c>
      <c r="AG130" s="135" t="n">
        <v>24096022645</v>
      </c>
      <c r="AH130" s="136" t="n">
        <v>1517121145</v>
      </c>
    </row>
    <row r="131" ht="15.75" customHeight="1" s="169">
      <c r="A131" s="122">
        <f>A130+1</f>
        <v/>
      </c>
      <c r="B131" s="123" t="n">
        <v>328000259</v>
      </c>
      <c r="C131" s="122" t="inlineStr">
        <is>
          <t>3215010702970005</t>
        </is>
      </c>
      <c r="D131" s="124" t="inlineStr">
        <is>
          <t>HENDRI INDRIYANTO</t>
        </is>
      </c>
      <c r="E131" s="122" t="inlineStr">
        <is>
          <t>KARAWANG</t>
        </is>
      </c>
      <c r="F131" s="125" t="inlineStr">
        <is>
          <t>LINK</t>
        </is>
      </c>
      <c r="G131" s="96" t="n"/>
      <c r="H131" s="125" t="inlineStr">
        <is>
          <t>PT KMJ</t>
        </is>
      </c>
      <c r="I131" s="127" t="n">
        <v>35468</v>
      </c>
      <c r="J131" s="128">
        <f>DATEDIF(I131, TODAY(), "Y") &amp; " tahun, " &amp; DATEDIF(I131, TODAY(), "YM") &amp; " bulan, " &amp; DATEDIF(I131, TODAY(), "MD") &amp; " hari"
</f>
        <v/>
      </c>
      <c r="K131" s="122" t="inlineStr">
        <is>
          <t>L</t>
        </is>
      </c>
      <c r="L131" s="122" t="inlineStr">
        <is>
          <t>OP FORKLIFT</t>
        </is>
      </c>
      <c r="M131" s="122">
        <f>VLOOKUP(B131,Sheet21!A:N,14,0)</f>
        <v/>
      </c>
      <c r="N131" s="129" t="inlineStr">
        <is>
          <t>LOGISTIK</t>
        </is>
      </c>
      <c r="O131" s="122" t="inlineStr">
        <is>
          <t>Operator Forklift</t>
        </is>
      </c>
      <c r="P131" s="122" t="inlineStr">
        <is>
          <t>HARIAN</t>
        </is>
      </c>
      <c r="Q131" s="130" t="inlineStr">
        <is>
          <t>KP BUBULAK, RT/RW: 006/008, KEL: TANJUNGPURA, KEC: KARAWANG BARAT, KAB: KARAWANG</t>
        </is>
      </c>
      <c r="R131" s="122" t="n">
        <v>6</v>
      </c>
      <c r="S131" s="122" t="n">
        <v>8</v>
      </c>
      <c r="T131" s="137" t="n"/>
      <c r="U131" s="122" t="inlineStr">
        <is>
          <t>KARAWANG</t>
        </is>
      </c>
      <c r="V131" s="122" t="inlineStr">
        <is>
          <t>TANJUNGPURA</t>
        </is>
      </c>
      <c r="W131" s="122" t="inlineStr">
        <is>
          <t>KARAWANG</t>
        </is>
      </c>
      <c r="X131" s="130" t="inlineStr">
        <is>
          <t>KP BUBULAK, RT/RW: 006/008, KEL: TANJUNGPURA, KEC: KARAWANG BARAT, KAB: KARAWANG</t>
        </is>
      </c>
      <c r="Y131" s="122" t="n">
        <v>87741470930</v>
      </c>
      <c r="Z131" s="131" t="inlineStr">
        <is>
          <t>ISLAM</t>
        </is>
      </c>
      <c r="AA131" s="122" t="inlineStr">
        <is>
          <t>SMA</t>
        </is>
      </c>
      <c r="AB131" s="132" t="n"/>
      <c r="AC131" s="17" t="n">
        <v>129</v>
      </c>
      <c r="AD131" s="133" t="n">
        <v>328000259</v>
      </c>
      <c r="AE131" s="134" t="inlineStr">
        <is>
          <t>HENDRI INDRIYANTO</t>
        </is>
      </c>
      <c r="AF131" s="133" t="inlineStr">
        <is>
          <t>LOGISTIC</t>
        </is>
      </c>
      <c r="AG131" s="135" t="n">
        <v>24096022637</v>
      </c>
      <c r="AH131" s="136" t="n">
        <v>1436823527</v>
      </c>
    </row>
    <row r="132" ht="15.75" customHeight="1" s="169">
      <c r="A132" s="122">
        <f>A131+1</f>
        <v/>
      </c>
      <c r="B132" s="123" t="n">
        <v>328000260</v>
      </c>
      <c r="C132" s="122" t="inlineStr">
        <is>
          <t>3214120111030007</t>
        </is>
      </c>
      <c r="D132" s="124" t="inlineStr">
        <is>
          <t>ALI RAMDHAN</t>
        </is>
      </c>
      <c r="E132" s="122" t="inlineStr">
        <is>
          <t>PURWAKARTA</t>
        </is>
      </c>
      <c r="F132" s="125" t="inlineStr">
        <is>
          <t>TKD</t>
        </is>
      </c>
      <c r="G132" s="125" t="inlineStr">
        <is>
          <t>Pak Wahyudin</t>
        </is>
      </c>
      <c r="H132" s="125" t="inlineStr">
        <is>
          <t>TITIPAN KARANG TARUNA HEGARMANAH</t>
        </is>
      </c>
      <c r="I132" s="127" t="n">
        <v>37926</v>
      </c>
      <c r="J132" s="128">
        <f>DATEDIF(I132, TODAY(), "Y") &amp; " tahun, " &amp; DATEDIF(I132, TODAY(), "YM") &amp; " bulan, " &amp; DATEDIF(I132, TODAY(), "MD") &amp; " hari"
</f>
        <v/>
      </c>
      <c r="K132" s="122" t="inlineStr">
        <is>
          <t>L</t>
        </is>
      </c>
      <c r="L132" s="122" t="inlineStr">
        <is>
          <t>OP PRODUKSI</t>
        </is>
      </c>
      <c r="M132" s="122">
        <f>VLOOKUP(B132,Sheet21!A:N,14,0)</f>
        <v/>
      </c>
      <c r="N132" s="129" t="inlineStr">
        <is>
          <t>PRODUKSI</t>
        </is>
      </c>
      <c r="O132" s="122" t="inlineStr">
        <is>
          <t>Operator Produksi</t>
        </is>
      </c>
      <c r="P132" s="122" t="inlineStr">
        <is>
          <t>HARIAN</t>
        </is>
      </c>
      <c r="Q132" s="130" t="inlineStr">
        <is>
          <t>KP. BAYUR, RT/RW: 006/003, KEL: HEGARMANAH, KEC: BABAKANCIKAO, KAB: PURWAKARTA</t>
        </is>
      </c>
      <c r="R132" s="122" t="n">
        <v>6</v>
      </c>
      <c r="S132" s="122" t="n">
        <v>3</v>
      </c>
      <c r="T132" s="137" t="n"/>
      <c r="U132" s="122" t="inlineStr">
        <is>
          <t>BABAKANCIKAO</t>
        </is>
      </c>
      <c r="V132" s="122" t="inlineStr">
        <is>
          <t>HEGARMANAH</t>
        </is>
      </c>
      <c r="W132" s="122" t="inlineStr">
        <is>
          <t>PURWAKARTA</t>
        </is>
      </c>
      <c r="X132" s="130" t="inlineStr">
        <is>
          <t>KP. BAYUR, RT/RW: 006/003, KEL: HEGARMANAH, KEC: BABAKANCIKAO, KAB: PURWAKARTA</t>
        </is>
      </c>
      <c r="Y132" s="122" t="n">
        <v>85659668618</v>
      </c>
      <c r="Z132" s="131" t="inlineStr">
        <is>
          <t>ISLAM</t>
        </is>
      </c>
      <c r="AA132" s="122" t="inlineStr">
        <is>
          <t>SMA</t>
        </is>
      </c>
      <c r="AB132" s="132" t="n"/>
      <c r="AC132" s="17" t="n">
        <v>130</v>
      </c>
      <c r="AD132" s="133" t="n">
        <v>328000260</v>
      </c>
      <c r="AE132" s="134" t="inlineStr">
        <is>
          <t>ALI RAMDHAN</t>
        </is>
      </c>
      <c r="AF132" s="133" t="inlineStr">
        <is>
          <t>PRODUCTION</t>
        </is>
      </c>
      <c r="AG132" s="135" t="n">
        <v>24096022694</v>
      </c>
      <c r="AH132" s="136" t="n">
        <v>2394923657</v>
      </c>
    </row>
    <row r="133" ht="15.75" customHeight="1" s="169">
      <c r="A133" s="122">
        <f>A132+1</f>
        <v/>
      </c>
      <c r="B133" s="123" t="n">
        <v>328000261</v>
      </c>
      <c r="C133" s="122" t="inlineStr">
        <is>
          <t>3214126110010001</t>
        </is>
      </c>
      <c r="D133" s="124" t="inlineStr">
        <is>
          <t>ARANIKITA BERU SIBIRO</t>
        </is>
      </c>
      <c r="E133" s="122" t="inlineStr">
        <is>
          <t>PURWAKARTA</t>
        </is>
      </c>
      <c r="F133" s="125" t="inlineStr">
        <is>
          <t>TKD</t>
        </is>
      </c>
      <c r="G133" s="125" t="inlineStr">
        <is>
          <t xml:space="preserve">Karang Taruna Hegarmanah </t>
        </is>
      </c>
      <c r="H133" s="125" t="inlineStr">
        <is>
          <t>TITIPAN KARANG TARUNA HEGARMANAH</t>
        </is>
      </c>
      <c r="I133" s="127" t="n">
        <v>37550</v>
      </c>
      <c r="J133" s="128">
        <f>DATEDIF(I133, TODAY(), "Y") &amp; " tahun, " &amp; DATEDIF(I133, TODAY(), "YM") &amp; " bulan, " &amp; DATEDIF(I133, TODAY(), "MD") &amp; " hari"
</f>
        <v/>
      </c>
      <c r="K133" s="122" t="inlineStr">
        <is>
          <t>P</t>
        </is>
      </c>
      <c r="L133" s="122" t="inlineStr">
        <is>
          <t>ADMIN TIMBANGAN</t>
        </is>
      </c>
      <c r="M133" s="122">
        <f>VLOOKUP(B133,Sheet21!A:N,14,0)</f>
        <v/>
      </c>
      <c r="N133" s="129" t="inlineStr">
        <is>
          <t>LOGISTIK</t>
        </is>
      </c>
      <c r="O133" s="122" t="inlineStr">
        <is>
          <t>Admin Timbangan</t>
        </is>
      </c>
      <c r="P133" s="122" t="inlineStr">
        <is>
          <t>HARIAN</t>
        </is>
      </c>
      <c r="Q133" s="130" t="inlineStr">
        <is>
          <t>KP. WARUNG BUAH, RT/RW 003/002, KEL: HEGARMANAH, KEC: BABAKANCIKAO, KAB: PURWAKARTA</t>
        </is>
      </c>
      <c r="R133" s="122" t="n">
        <v>3</v>
      </c>
      <c r="S133" s="122" t="n">
        <v>2</v>
      </c>
      <c r="T133" s="137" t="n"/>
      <c r="U133" s="122" t="inlineStr">
        <is>
          <t>BABAKANCIKAO</t>
        </is>
      </c>
      <c r="V133" s="122" t="inlineStr">
        <is>
          <t>HEGARMANAH</t>
        </is>
      </c>
      <c r="W133" s="122" t="inlineStr">
        <is>
          <t>PURWAKARTA</t>
        </is>
      </c>
      <c r="X133" s="130" t="inlineStr">
        <is>
          <t>KP. WARUNG BUAH, RT/RW 003/002, KEL: HEGARMANAH, KEC: BABAKANCIKAO, KAB: PURWAKARTA</t>
        </is>
      </c>
      <c r="Y133" s="122" t="n">
        <v>81932275307</v>
      </c>
      <c r="Z133" s="131" t="inlineStr">
        <is>
          <t>ISLAM</t>
        </is>
      </c>
      <c r="AA133" s="122" t="inlineStr">
        <is>
          <t>S1</t>
        </is>
      </c>
      <c r="AB133" s="132" t="n"/>
      <c r="AC133" s="17" t="n">
        <v>131</v>
      </c>
      <c r="AD133" s="133" t="n">
        <v>328000261</v>
      </c>
      <c r="AE133" s="134" t="inlineStr">
        <is>
          <t>ARANIKITA BERU SIBIRO</t>
        </is>
      </c>
      <c r="AF133" s="133" t="inlineStr">
        <is>
          <t>LOGISTIC</t>
        </is>
      </c>
      <c r="AG133" s="135" t="n">
        <v>24111973566</v>
      </c>
      <c r="AH133" s="136" t="n">
        <v>1900218396</v>
      </c>
    </row>
    <row r="134" ht="15.75" customHeight="1" s="169">
      <c r="A134" s="122">
        <f>A133+1</f>
        <v/>
      </c>
      <c r="B134" s="123" t="n">
        <v>328000262</v>
      </c>
      <c r="C134" s="122" t="inlineStr">
        <is>
          <t>3214051312020004</t>
        </is>
      </c>
      <c r="D134" s="124" t="inlineStr">
        <is>
          <t>JUJUN JUNAEDI</t>
        </is>
      </c>
      <c r="E134" s="122" t="inlineStr">
        <is>
          <t>PURWAKARTA</t>
        </is>
      </c>
      <c r="F134" s="125" t="inlineStr">
        <is>
          <t>TKD</t>
        </is>
      </c>
      <c r="G134" s="125" t="inlineStr">
        <is>
          <t>Pak Wahyudin</t>
        </is>
      </c>
      <c r="H134" s="125" t="inlineStr">
        <is>
          <t>TITIPAN PAK WAHYUDIN</t>
        </is>
      </c>
      <c r="I134" s="127" t="n">
        <v>37603</v>
      </c>
      <c r="J134" s="128">
        <f>DATEDIF(I134, TODAY(), "Y") &amp; " tahun, " &amp; DATEDIF(I134, TODAY(), "YM") &amp; " bulan, " &amp; DATEDIF(I134, TODAY(), "MD") &amp; " hari"
</f>
        <v/>
      </c>
      <c r="K134" s="122" t="inlineStr">
        <is>
          <t>L</t>
        </is>
      </c>
      <c r="L134" s="122" t="inlineStr">
        <is>
          <t>OP FORKLIFT</t>
        </is>
      </c>
      <c r="M134" s="122">
        <f>VLOOKUP(B134,Sheet21!A:N,14,0)</f>
        <v/>
      </c>
      <c r="N134" s="129" t="inlineStr">
        <is>
          <t>LOGISTIK</t>
        </is>
      </c>
      <c r="O134" s="122" t="inlineStr">
        <is>
          <t>Operator Forklift</t>
        </is>
      </c>
      <c r="P134" s="122" t="inlineStr">
        <is>
          <t>HARIAN</t>
        </is>
      </c>
      <c r="Q134" s="130" t="inlineStr">
        <is>
          <t>KP. JATIJAJAR, RT/RW: 011/003, KEL: SUKATANI, KEC: SUKATANI KAB: PURWAKARTA</t>
        </is>
      </c>
      <c r="R134" s="122" t="n">
        <v>11</v>
      </c>
      <c r="S134" s="122" t="n">
        <v>3</v>
      </c>
      <c r="T134" s="137" t="n"/>
      <c r="U134" s="122" t="inlineStr">
        <is>
          <t>SUKATANI</t>
        </is>
      </c>
      <c r="V134" s="122" t="inlineStr">
        <is>
          <t>SUKATANI</t>
        </is>
      </c>
      <c r="W134" s="122" t="inlineStr">
        <is>
          <t>PURWAKARTA</t>
        </is>
      </c>
      <c r="X134" s="130" t="inlineStr">
        <is>
          <t>KP. JATIJAJAR, RT/RW: 011/003, KEL: SUKATANI, KEC: SUKATANI KAB: PURWAKARTA</t>
        </is>
      </c>
      <c r="Y134" s="122" t="n">
        <v>85624171547</v>
      </c>
      <c r="Z134" s="131" t="inlineStr">
        <is>
          <t>ISLAM</t>
        </is>
      </c>
      <c r="AA134" s="122" t="inlineStr">
        <is>
          <t>SMA</t>
        </is>
      </c>
      <c r="AB134" s="132" t="n"/>
      <c r="AC134" s="17" t="n">
        <v>132</v>
      </c>
      <c r="AD134" s="133" t="n">
        <v>328000262</v>
      </c>
      <c r="AE134" s="134" t="inlineStr">
        <is>
          <t>JUJUN JUNAEDI</t>
        </is>
      </c>
      <c r="AF134" s="133" t="inlineStr">
        <is>
          <t>LOGISTIC</t>
        </is>
      </c>
      <c r="AG134" s="135" t="n">
        <v>24111973574</v>
      </c>
      <c r="AH134" s="136" t="n">
        <v>1882330637</v>
      </c>
    </row>
    <row r="135" ht="15.75" customHeight="1" s="169">
      <c r="A135" s="122">
        <f>A134+1</f>
        <v/>
      </c>
      <c r="B135" s="123" t="n">
        <v>328000263</v>
      </c>
      <c r="C135" s="122" t="inlineStr">
        <is>
          <t>3202300509970006</t>
        </is>
      </c>
      <c r="D135" s="124" t="inlineStr">
        <is>
          <t>MAGIE MAGHFIRA</t>
        </is>
      </c>
      <c r="E135" s="122" t="inlineStr">
        <is>
          <t>CIANJUR</t>
        </is>
      </c>
      <c r="F135" s="125" t="inlineStr">
        <is>
          <t>LINK</t>
        </is>
      </c>
      <c r="G135" s="96" t="n"/>
      <c r="H135" s="125" t="inlineStr">
        <is>
          <t>PT KMJ</t>
        </is>
      </c>
      <c r="I135" s="127" t="n">
        <v>35678</v>
      </c>
      <c r="J135" s="128">
        <f>DATEDIF(I135, TODAY(), "Y") &amp; " tahun, " &amp; DATEDIF(I135, TODAY(), "YM") &amp; " bulan, " &amp; DATEDIF(I135, TODAY(), "MD") &amp; " hari"
</f>
        <v/>
      </c>
      <c r="K135" s="122" t="inlineStr">
        <is>
          <t>L</t>
        </is>
      </c>
      <c r="L135" s="122" t="inlineStr">
        <is>
          <t>ADMIN WFG</t>
        </is>
      </c>
      <c r="M135" s="122">
        <f>VLOOKUP(B135,Sheet21!A:N,14,0)</f>
        <v/>
      </c>
      <c r="N135" s="129" t="inlineStr">
        <is>
          <t>LOGISTIK</t>
        </is>
      </c>
      <c r="O135" s="122" t="inlineStr">
        <is>
          <t>Admin WFG</t>
        </is>
      </c>
      <c r="P135" s="122" t="inlineStr">
        <is>
          <t>HARIAN</t>
        </is>
      </c>
      <c r="Q135" s="130" t="inlineStr">
        <is>
          <t>PERUM KANDARA GRAND BLOCK C1 NO. 03, RT/RW: 003/015, KEL: SUBANGHAYA, KEC: CIKOLE, KAB: SUKABUMI</t>
        </is>
      </c>
      <c r="R135" s="122" t="n">
        <v>3</v>
      </c>
      <c r="S135" s="122" t="n">
        <v>15</v>
      </c>
      <c r="T135" s="137" t="n"/>
      <c r="U135" s="122" t="inlineStr">
        <is>
          <t>CIKOLE</t>
        </is>
      </c>
      <c r="V135" s="122" t="inlineStr">
        <is>
          <t>SUBANGJAYA</t>
        </is>
      </c>
      <c r="W135" s="122" t="inlineStr">
        <is>
          <t>SUKABUMI</t>
        </is>
      </c>
      <c r="X135" s="130" t="inlineStr">
        <is>
          <t>PERUM KANDARA GRAND BLOCK C1 NO. 03, RT/RW: 003/015, KEL: SUBANGHAYA, KEC: CIKOLE, KAB: SUKABUMI</t>
        </is>
      </c>
      <c r="Y135" s="122" t="n">
        <v>85860207975</v>
      </c>
      <c r="Z135" s="131" t="inlineStr">
        <is>
          <t>ISLAM</t>
        </is>
      </c>
      <c r="AA135" s="122" t="inlineStr">
        <is>
          <t>D3</t>
        </is>
      </c>
      <c r="AB135" s="132" t="n"/>
      <c r="AC135" s="17" t="n">
        <v>133</v>
      </c>
      <c r="AD135" s="145" t="n">
        <v>328000263</v>
      </c>
      <c r="AE135" s="134" t="inlineStr">
        <is>
          <t>MAGIE MAGHFIRA</t>
        </is>
      </c>
      <c r="AF135" s="133" t="inlineStr">
        <is>
          <t>LOGISTIC</t>
        </is>
      </c>
      <c r="AG135" s="135" t="n">
        <v>24111973582</v>
      </c>
      <c r="AH135" s="136" t="n">
        <v>61909997</v>
      </c>
    </row>
    <row r="136" ht="15.75" customHeight="1" s="169">
      <c r="A136" s="122">
        <f>A135+1</f>
        <v/>
      </c>
      <c r="B136" s="123" t="n">
        <v>328000265</v>
      </c>
      <c r="C136" s="122" t="inlineStr">
        <is>
          <t>3214012908980003</t>
        </is>
      </c>
      <c r="D136" s="124" t="inlineStr">
        <is>
          <t>NELSON MANDELA</t>
        </is>
      </c>
      <c r="E136" s="122" t="inlineStr">
        <is>
          <t>PURWAKARTA</t>
        </is>
      </c>
      <c r="F136" s="125" t="inlineStr">
        <is>
          <t>LINK</t>
        </is>
      </c>
      <c r="G136" s="96" t="n"/>
      <c r="H136" s="125" t="inlineStr">
        <is>
          <t>PT KMJ</t>
        </is>
      </c>
      <c r="I136" s="127" t="n">
        <v>36036</v>
      </c>
      <c r="J136" s="128">
        <f>DATEDIF(I136, TODAY(), "Y") &amp; " tahun, " &amp; DATEDIF(I136, TODAY(), "YM") &amp; " bulan, " &amp; DATEDIF(I136, TODAY(), "MD") &amp; " hari"
</f>
        <v/>
      </c>
      <c r="K136" s="122" t="inlineStr">
        <is>
          <t>L</t>
        </is>
      </c>
      <c r="L136" s="122" t="inlineStr">
        <is>
          <t>ENGINEERIMG</t>
        </is>
      </c>
      <c r="M136" s="122">
        <f>VLOOKUP(B136,Sheet21!A:N,14,0)</f>
        <v/>
      </c>
      <c r="N136" s="129" t="inlineStr">
        <is>
          <t>ENG</t>
        </is>
      </c>
      <c r="O136" s="122" t="inlineStr">
        <is>
          <t>Utility, Electricity &amp; MHE Maintenance</t>
        </is>
      </c>
      <c r="P136" s="122" t="inlineStr">
        <is>
          <t>HARIAN</t>
        </is>
      </c>
      <c r="Q136" s="130" t="inlineStr">
        <is>
          <t>JL LODAYA KP.BARU, RT/RW: 002/001, KEL: NAGRITENGAH, KEC: PURWAKARTA, KAB: PURWAKARTA</t>
        </is>
      </c>
      <c r="R136" s="122" t="n">
        <v>2</v>
      </c>
      <c r="S136" s="122" t="n">
        <v>1</v>
      </c>
      <c r="T136" s="137" t="n"/>
      <c r="U136" s="122" t="inlineStr">
        <is>
          <t>PURWAKARTA</t>
        </is>
      </c>
      <c r="V136" s="122" t="inlineStr">
        <is>
          <t>NAGRITENGAH</t>
        </is>
      </c>
      <c r="W136" s="122" t="inlineStr">
        <is>
          <t>PURWAKARTA</t>
        </is>
      </c>
      <c r="X136" s="130" t="inlineStr">
        <is>
          <t>JL LODAYA KP.BARU, RT/RW: 002/001, KEL: NAGRITENGAH, KEC: PURWAKARTA, KAB: PURWAKARTA</t>
        </is>
      </c>
      <c r="Y136" s="122" t="n">
        <v>895398418734</v>
      </c>
      <c r="Z136" s="131" t="inlineStr">
        <is>
          <t>ISLAM</t>
        </is>
      </c>
      <c r="AA136" s="122" t="inlineStr">
        <is>
          <t>SMK</t>
        </is>
      </c>
      <c r="AB136" s="132" t="n"/>
      <c r="AC136" s="17" t="n">
        <v>134</v>
      </c>
      <c r="AD136" s="133" t="n">
        <v>328000265</v>
      </c>
      <c r="AE136" s="134" t="inlineStr">
        <is>
          <t>NELSON MANDELA</t>
        </is>
      </c>
      <c r="AF136" s="133" t="inlineStr">
        <is>
          <t>ENGINEERING</t>
        </is>
      </c>
      <c r="AG136" s="135" t="n">
        <v>24111973608</v>
      </c>
      <c r="AH136" s="136" t="n">
        <v>480875804</v>
      </c>
    </row>
    <row r="137" ht="15.75" customHeight="1" s="169">
      <c r="A137" s="122">
        <f>A136+1</f>
        <v/>
      </c>
      <c r="B137" s="123" t="n">
        <v>328000266</v>
      </c>
      <c r="C137" s="122" t="inlineStr">
        <is>
          <t>3214016202030002</t>
        </is>
      </c>
      <c r="D137" s="124" t="inlineStr">
        <is>
          <t>DEVI PEBRIANI</t>
        </is>
      </c>
      <c r="E137" s="122" t="inlineStr">
        <is>
          <t>PURWAKARTA</t>
        </is>
      </c>
      <c r="F137" s="125" t="inlineStr">
        <is>
          <t>TKD</t>
        </is>
      </c>
      <c r="G137" s="125" t="inlineStr">
        <is>
          <t>Danramil Purwakarta</t>
        </is>
      </c>
      <c r="H137" s="125" t="inlineStr">
        <is>
          <t>PAK YANTO BABINSA</t>
        </is>
      </c>
      <c r="I137" s="127" t="n">
        <v>37654</v>
      </c>
      <c r="J137" s="128">
        <f>DATEDIF(I137, TODAY(), "Y") &amp; " tahun, " &amp; DATEDIF(I137, TODAY(), "YM") &amp; " bulan, " &amp; DATEDIF(I137, TODAY(), "MD") &amp; " hari"
</f>
        <v/>
      </c>
      <c r="K137" s="122" t="inlineStr">
        <is>
          <t>p</t>
        </is>
      </c>
      <c r="L137" s="122" t="inlineStr">
        <is>
          <t>PACKER</t>
        </is>
      </c>
      <c r="M137" s="122">
        <f>VLOOKUP(B137,Sheet21!A:N,14,0)</f>
        <v/>
      </c>
      <c r="N137" s="129" t="inlineStr">
        <is>
          <t>PRODUKSI</t>
        </is>
      </c>
      <c r="O137" s="122" t="inlineStr">
        <is>
          <t>Packer</t>
        </is>
      </c>
      <c r="P137" s="122" t="inlineStr">
        <is>
          <t>HARIAN</t>
        </is>
      </c>
      <c r="Q137" s="130" t="inlineStr">
        <is>
          <t>JATIMEKAR, RT/RW: 020/009, KEL: PURWAMEKAR, KEC: PURWAKARTA, KAB : PURWAKARTA</t>
        </is>
      </c>
      <c r="R137" s="122" t="n">
        <v>20</v>
      </c>
      <c r="S137" s="122" t="n">
        <v>9</v>
      </c>
      <c r="T137" s="137" t="n"/>
      <c r="U137" s="122" t="inlineStr">
        <is>
          <t>PURWAKARTA</t>
        </is>
      </c>
      <c r="V137" s="122" t="inlineStr">
        <is>
          <t>PURWAMEKAR</t>
        </is>
      </c>
      <c r="W137" s="122" t="inlineStr">
        <is>
          <t>PURWAKARTA</t>
        </is>
      </c>
      <c r="X137" s="130" t="inlineStr">
        <is>
          <t>JATIMEKAR, RT/RW: 020/009, KEL: PURWAMEKAR, KEC: PURWAKARTA, KAB : PURWAKARTA</t>
        </is>
      </c>
      <c r="Y137" s="122" t="n">
        <v>85728870162</v>
      </c>
      <c r="Z137" s="131" t="inlineStr">
        <is>
          <t>ISLAM</t>
        </is>
      </c>
      <c r="AA137" s="122" t="inlineStr">
        <is>
          <t>SMK</t>
        </is>
      </c>
      <c r="AB137" s="132" t="n"/>
      <c r="AC137" s="17" t="n">
        <v>135</v>
      </c>
      <c r="AD137" s="133" t="n">
        <v>328000266</v>
      </c>
      <c r="AE137" s="134" t="inlineStr">
        <is>
          <t>DEVI PEBRIANI</t>
        </is>
      </c>
      <c r="AF137" s="133" t="inlineStr">
        <is>
          <t>PRODUCTION</t>
        </is>
      </c>
      <c r="AG137" s="135" t="n">
        <v>24111973616</v>
      </c>
      <c r="AH137" s="136" t="n">
        <v>1437682386</v>
      </c>
    </row>
    <row r="138" ht="15.75" customHeight="1" s="169">
      <c r="A138" s="122">
        <f>A137+1</f>
        <v/>
      </c>
      <c r="B138" s="123" t="n">
        <v>328000268</v>
      </c>
      <c r="C138" s="122" t="n">
        <v>321412103040001</v>
      </c>
      <c r="D138" s="124" t="inlineStr">
        <is>
          <t>AI KAMELIA</t>
        </is>
      </c>
      <c r="E138" s="122" t="inlineStr">
        <is>
          <t>PURWAKARTA</t>
        </is>
      </c>
      <c r="F138" s="125" t="inlineStr">
        <is>
          <t>TKD</t>
        </is>
      </c>
      <c r="G138" s="125" t="inlineStr">
        <is>
          <t>H. Misja</t>
        </is>
      </c>
      <c r="H138" s="125" t="inlineStr">
        <is>
          <t>TITIPAN H MISJA</t>
        </is>
      </c>
      <c r="I138" s="127" t="n">
        <v>38067</v>
      </c>
      <c r="J138" s="128">
        <f>DATEDIF(I138, TODAY(), "Y") &amp; " tahun, " &amp; DATEDIF(I138, TODAY(), "YM") &amp; " bulan, " &amp; DATEDIF(I138, TODAY(), "MD") &amp; " hari"
</f>
        <v/>
      </c>
      <c r="K138" s="122" t="inlineStr">
        <is>
          <t>P</t>
        </is>
      </c>
      <c r="L138" s="122" t="inlineStr">
        <is>
          <t>PACKER</t>
        </is>
      </c>
      <c r="M138" s="122">
        <f>VLOOKUP(B138,Sheet21!A:N,14,0)</f>
        <v/>
      </c>
      <c r="N138" s="129" t="inlineStr">
        <is>
          <t>PRODUKSI</t>
        </is>
      </c>
      <c r="O138" s="122" t="inlineStr">
        <is>
          <t>Packer</t>
        </is>
      </c>
      <c r="P138" s="122" t="inlineStr">
        <is>
          <t>HARIAN</t>
        </is>
      </c>
      <c r="Q138" s="130" t="inlineStr">
        <is>
          <t>KP. CIASEM RT/RW 006/003 KEL: CIRADAS, KEC: BABAKANCIKAO, KAB: PURWAKARTA</t>
        </is>
      </c>
      <c r="R138" s="122" t="n">
        <v>6</v>
      </c>
      <c r="S138" s="122" t="n">
        <v>3</v>
      </c>
      <c r="T138" s="137" t="n"/>
      <c r="U138" s="122" t="inlineStr">
        <is>
          <t>BABAKANCIKAO</t>
        </is>
      </c>
      <c r="V138" s="122" t="inlineStr">
        <is>
          <t>CIRADAS</t>
        </is>
      </c>
      <c r="W138" s="122" t="inlineStr">
        <is>
          <t>PURWAKARTA</t>
        </is>
      </c>
      <c r="X138" s="130" t="inlineStr">
        <is>
          <t>KP. CIASEM RT/RW 006/003 KEL: CIRADAS, KEC: BABAKANCIKAO, KAB: PURWAKARTA</t>
        </is>
      </c>
      <c r="Y138" s="122" t="n">
        <v>87829025788</v>
      </c>
      <c r="Z138" s="131" t="inlineStr">
        <is>
          <t>ISLAM</t>
        </is>
      </c>
      <c r="AA138" s="122" t="inlineStr">
        <is>
          <t>SMK</t>
        </is>
      </c>
      <c r="AB138" s="132" t="n"/>
      <c r="AC138" s="17" t="n">
        <v>136</v>
      </c>
      <c r="AD138" s="133" t="n">
        <v>328000268</v>
      </c>
      <c r="AE138" s="134" t="inlineStr">
        <is>
          <t>AI KAMELIA</t>
        </is>
      </c>
      <c r="AF138" s="133" t="inlineStr">
        <is>
          <t>PRODUCTION</t>
        </is>
      </c>
      <c r="AG138" s="135" t="n">
        <v>24111973632</v>
      </c>
      <c r="AH138" s="136" t="n">
        <v>2240312321</v>
      </c>
    </row>
    <row r="139" ht="15.75" customHeight="1" s="169">
      <c r="A139" s="122">
        <f>A138+1</f>
        <v/>
      </c>
      <c r="B139" s="123" t="n">
        <v>328000271</v>
      </c>
      <c r="C139" s="122" t="inlineStr">
        <is>
          <t>3214120612980001</t>
        </is>
      </c>
      <c r="D139" s="124" t="inlineStr">
        <is>
          <t>NURYANA</t>
        </is>
      </c>
      <c r="E139" s="122" t="inlineStr">
        <is>
          <t>PURWAKARTA</t>
        </is>
      </c>
      <c r="F139" s="125" t="inlineStr">
        <is>
          <t>LINK</t>
        </is>
      </c>
      <c r="G139" s="96" t="n"/>
      <c r="H139" s="125" t="inlineStr">
        <is>
          <t>PT KMJ</t>
        </is>
      </c>
      <c r="I139" s="127" t="n">
        <v>36135</v>
      </c>
      <c r="J139" s="128">
        <f>DATEDIF(I139, TODAY(), "Y") &amp; " tahun, " &amp; DATEDIF(I139, TODAY(), "YM") &amp; " bulan, " &amp; DATEDIF(I139, TODAY(), "MD") &amp; " hari"
</f>
        <v/>
      </c>
      <c r="K139" s="122" t="inlineStr">
        <is>
          <t>L</t>
        </is>
      </c>
      <c r="L139" s="122" t="inlineStr">
        <is>
          <t>OP FORKLIFT WRM</t>
        </is>
      </c>
      <c r="M139" s="122">
        <f>VLOOKUP(B139,Sheet21!A:N,14,0)</f>
        <v/>
      </c>
      <c r="N139" s="129" t="inlineStr">
        <is>
          <t>LOGISTIK</t>
        </is>
      </c>
      <c r="O139" s="122" t="inlineStr">
        <is>
          <t>Operator Forklift</t>
        </is>
      </c>
      <c r="P139" s="122" t="inlineStr">
        <is>
          <t>HARIAN</t>
        </is>
      </c>
      <c r="Q139" s="130" t="inlineStr">
        <is>
          <t>KP. NAROGTOG, RT/RW:015/005, KEL: CILANGKAP, KEC: BABAKANCIKAO, KAB: PURWAKARTA</t>
        </is>
      </c>
      <c r="R139" s="122" t="n">
        <v>15</v>
      </c>
      <c r="S139" s="122" t="n">
        <v>5</v>
      </c>
      <c r="T139" s="137" t="n"/>
      <c r="U139" s="122" t="inlineStr">
        <is>
          <t>BABAKANCIKAO</t>
        </is>
      </c>
      <c r="V139" s="122" t="inlineStr">
        <is>
          <t>CILANGKAP</t>
        </is>
      </c>
      <c r="W139" s="122" t="inlineStr">
        <is>
          <t>PURWAKARTA</t>
        </is>
      </c>
      <c r="X139" s="130" t="inlineStr">
        <is>
          <t>KP. NAROGTOG, RT/RW:015/005, KEL: CILANGKAP, KEC: BABAKANCIKAO, KAB: PURWAKARTA</t>
        </is>
      </c>
      <c r="Y139" s="122" t="n">
        <v>89519092172</v>
      </c>
      <c r="Z139" s="131" t="inlineStr">
        <is>
          <t>ISLAM</t>
        </is>
      </c>
      <c r="AA139" s="122" t="inlineStr">
        <is>
          <t>SMK</t>
        </is>
      </c>
      <c r="AB139" s="132" t="n"/>
      <c r="AC139" s="17" t="n">
        <v>137</v>
      </c>
      <c r="AD139" s="133" t="n">
        <v>328000271</v>
      </c>
      <c r="AE139" s="134" t="inlineStr">
        <is>
          <t>NURYANA</t>
        </is>
      </c>
      <c r="AF139" s="133" t="inlineStr">
        <is>
          <t>LOGISTIC</t>
        </is>
      </c>
      <c r="AG139" s="135" t="n">
        <v>24126527647</v>
      </c>
      <c r="AH139" s="136" t="n">
        <v>1659889967</v>
      </c>
    </row>
    <row r="140" ht="15.75" customHeight="1" s="169">
      <c r="A140" s="122">
        <f>A139+1</f>
        <v/>
      </c>
      <c r="B140" s="123" t="n">
        <v>328000272</v>
      </c>
      <c r="C140" s="122" t="inlineStr">
        <is>
          <t>3214120104040002</t>
        </is>
      </c>
      <c r="D140" s="124" t="inlineStr">
        <is>
          <t>AKBAR SAEPULOH</t>
        </is>
      </c>
      <c r="E140" s="122" t="inlineStr">
        <is>
          <t>PURWAKARTA</t>
        </is>
      </c>
      <c r="F140" s="125" t="inlineStr">
        <is>
          <t>TKD</t>
        </is>
      </c>
      <c r="G140" s="125" t="inlineStr">
        <is>
          <t>Pak Wahyudin</t>
        </is>
      </c>
      <c r="H140" s="125" t="inlineStr">
        <is>
          <t>KARYAWAN HARIAN</t>
        </is>
      </c>
      <c r="I140" s="127" t="n">
        <v>38078</v>
      </c>
      <c r="J140" s="128">
        <f>DATEDIF(I140, TODAY(), "Y") &amp; " tahun, " &amp; DATEDIF(I140, TODAY(), "YM") &amp; " bulan, " &amp; DATEDIF(I140, TODAY(), "MD") &amp; " hari"
</f>
        <v/>
      </c>
      <c r="K140" s="122" t="inlineStr">
        <is>
          <t>L</t>
        </is>
      </c>
      <c r="L140" s="122" t="inlineStr">
        <is>
          <t>PACKER</t>
        </is>
      </c>
      <c r="M140" s="122">
        <f>VLOOKUP(B140,Sheet21!A:N,14,0)</f>
        <v/>
      </c>
      <c r="N140" s="129" t="inlineStr">
        <is>
          <t>PRODUKSI</t>
        </is>
      </c>
      <c r="O140" s="122" t="inlineStr">
        <is>
          <t>Packer</t>
        </is>
      </c>
      <c r="P140" s="122" t="inlineStr">
        <is>
          <t>HARIAN</t>
        </is>
      </c>
      <c r="Q140" s="130" t="inlineStr">
        <is>
          <t>KP. WARUNG BUAH, RT/RW 004/002, KEL: HEGARMANAH, KEC: BABAKANCIKAO, KAB: PURWAKARTA</t>
        </is>
      </c>
      <c r="R140" s="122" t="n">
        <v>4</v>
      </c>
      <c r="S140" s="122" t="n">
        <v>2</v>
      </c>
      <c r="T140" s="137" t="n"/>
      <c r="U140" s="122" t="inlineStr">
        <is>
          <t>BABAKANCIKAO</t>
        </is>
      </c>
      <c r="V140" s="122" t="inlineStr">
        <is>
          <t>HEGARMANAH</t>
        </is>
      </c>
      <c r="W140" s="122" t="inlineStr">
        <is>
          <t>PURWAKARTA</t>
        </is>
      </c>
      <c r="X140" s="130" t="inlineStr">
        <is>
          <t>KP. WARUNG BUAH, RT/RW 004/002, KEL: HEGARMANAH, KEC: BABAKANCIKAO, KAB: PURWAKARTA</t>
        </is>
      </c>
      <c r="Y140" s="122" t="n">
        <v>83116900944</v>
      </c>
      <c r="Z140" s="131" t="inlineStr">
        <is>
          <t>ISLAM</t>
        </is>
      </c>
      <c r="AA140" s="122" t="inlineStr">
        <is>
          <t>SMK</t>
        </is>
      </c>
      <c r="AB140" s="132" t="n"/>
      <c r="AC140" s="17" t="n">
        <v>138</v>
      </c>
      <c r="AD140" s="133" t="n">
        <v>328000272</v>
      </c>
      <c r="AE140" s="134" t="inlineStr">
        <is>
          <t>AKBAR SAEPULOH</t>
        </is>
      </c>
      <c r="AF140" s="133" t="inlineStr">
        <is>
          <t>PRODUCTION</t>
        </is>
      </c>
      <c r="AG140" s="135" t="n">
        <v>24126527597</v>
      </c>
      <c r="AH140" s="136" t="n">
        <v>2394923973</v>
      </c>
    </row>
    <row r="141" ht="15.75" customHeight="1" s="169">
      <c r="A141" s="122">
        <f>A140+1</f>
        <v/>
      </c>
      <c r="B141" s="123" t="n">
        <v>328000273</v>
      </c>
      <c r="C141" s="122" t="inlineStr">
        <is>
          <t>3214121912990001</t>
        </is>
      </c>
      <c r="D141" s="124" t="inlineStr">
        <is>
          <t>RAMDANI</t>
        </is>
      </c>
      <c r="E141" s="122" t="inlineStr">
        <is>
          <t>PURWAKARTA</t>
        </is>
      </c>
      <c r="F141" s="125" t="inlineStr">
        <is>
          <t>TKD</t>
        </is>
      </c>
      <c r="G141" s="125" t="inlineStr">
        <is>
          <t xml:space="preserve">Karang Taruna Hegarmanah </t>
        </is>
      </c>
      <c r="H141" s="125" t="inlineStr">
        <is>
          <t>KARYAWAN HARIAN</t>
        </is>
      </c>
      <c r="I141" s="127" t="n">
        <v>36513</v>
      </c>
      <c r="J141" s="128">
        <f>DATEDIF(I141, TODAY(), "Y") &amp; " tahun, " &amp; DATEDIF(I141, TODAY(), "YM") &amp; " bulan, " &amp; DATEDIF(I141, TODAY(), "MD") &amp; " hari"
</f>
        <v/>
      </c>
      <c r="K141" s="122" t="inlineStr">
        <is>
          <t>L</t>
        </is>
      </c>
      <c r="L141" s="122" t="inlineStr">
        <is>
          <t>PACKER</t>
        </is>
      </c>
      <c r="M141" s="122">
        <f>VLOOKUP(B141,Sheet21!A:N,14,0)</f>
        <v/>
      </c>
      <c r="N141" s="129" t="inlineStr">
        <is>
          <t>PRODUKSI</t>
        </is>
      </c>
      <c r="O141" s="122" t="inlineStr">
        <is>
          <t>Packer</t>
        </is>
      </c>
      <c r="P141" s="122" t="inlineStr">
        <is>
          <t>HARIAN</t>
        </is>
      </c>
      <c r="Q141" s="130" t="inlineStr">
        <is>
          <t>KP.NAGRAK RT/RW: 002/001, KEL: CICADAS, KEC: BABAKANCIKAO, KAB: PURWAKARTA</t>
        </is>
      </c>
      <c r="R141" s="122" t="n">
        <v>2</v>
      </c>
      <c r="S141" s="122" t="n">
        <v>3</v>
      </c>
      <c r="T141" s="137" t="n"/>
      <c r="U141" s="122" t="inlineStr">
        <is>
          <t>BABAKANCIKAO</t>
        </is>
      </c>
      <c r="V141" s="122" t="inlineStr">
        <is>
          <t>CICADAS</t>
        </is>
      </c>
      <c r="W141" s="122" t="inlineStr">
        <is>
          <t>PURWAKARTA</t>
        </is>
      </c>
      <c r="X141" s="130" t="inlineStr">
        <is>
          <t>KP.NAGRAK RT/RW: 002/001, KEL: CICADAS, KEC: BABAKANCIKAO, KAB: PURWAKARTA</t>
        </is>
      </c>
      <c r="Y141" s="122" t="n">
        <v>81295615712</v>
      </c>
      <c r="Z141" s="131" t="inlineStr">
        <is>
          <t>ISLAM</t>
        </is>
      </c>
      <c r="AA141" s="122" t="inlineStr">
        <is>
          <t>SMK</t>
        </is>
      </c>
      <c r="AB141" s="132" t="n"/>
      <c r="AC141" s="17" t="n">
        <v>139</v>
      </c>
      <c r="AD141" s="133" t="n">
        <v>328000273</v>
      </c>
      <c r="AE141" s="134" t="inlineStr">
        <is>
          <t>RAMDANI</t>
        </is>
      </c>
      <c r="AF141" s="133" t="inlineStr">
        <is>
          <t>PRODUCTION</t>
        </is>
      </c>
      <c r="AG141" s="135" t="n">
        <v>24126527548</v>
      </c>
      <c r="AH141" s="136" t="n">
        <v>1518336516</v>
      </c>
    </row>
    <row r="142" ht="15.75" customHeight="1" s="169">
      <c r="A142" s="122">
        <f>A141+1</f>
        <v/>
      </c>
      <c r="B142" s="123" t="n">
        <v>328000277</v>
      </c>
      <c r="C142" s="122" t="inlineStr">
        <is>
          <t>3328185104020001</t>
        </is>
      </c>
      <c r="D142" s="124" t="inlineStr">
        <is>
          <t>ERNA SUSNENTI</t>
        </is>
      </c>
      <c r="E142" s="122" t="inlineStr">
        <is>
          <t>TEGAL</t>
        </is>
      </c>
      <c r="F142" s="125" t="inlineStr">
        <is>
          <t>LINK</t>
        </is>
      </c>
      <c r="G142" s="96" t="n"/>
      <c r="H142" s="125" t="inlineStr">
        <is>
          <t>PT KMJ</t>
        </is>
      </c>
      <c r="I142" s="127" t="n">
        <v>37357</v>
      </c>
      <c r="J142" s="128">
        <f>DATEDIF(I142, TODAY(), "Y") &amp; " tahun, " &amp; DATEDIF(I142, TODAY(), "YM") &amp; " bulan, " &amp; DATEDIF(I142, TODAY(), "MD") &amp; " hari"
</f>
        <v/>
      </c>
      <c r="K142" s="122" t="inlineStr">
        <is>
          <t>P</t>
        </is>
      </c>
      <c r="L142" s="122" t="inlineStr">
        <is>
          <t>ADMIN RF</t>
        </is>
      </c>
      <c r="M142" s="122">
        <f>VLOOKUP(B142,Sheet21!A:N,14,0)</f>
        <v/>
      </c>
      <c r="N142" s="129" t="inlineStr">
        <is>
          <t>PRODUKSI</t>
        </is>
      </c>
      <c r="O142" s="122" t="inlineStr">
        <is>
          <t>Admin RF</t>
        </is>
      </c>
      <c r="P142" s="122" t="inlineStr">
        <is>
          <t>HARIAN</t>
        </is>
      </c>
      <c r="Q142" s="130" t="inlineStr">
        <is>
          <t>SINDANG RT/RW: 001/006, KEL: SINDANG, KEC: DUKUHWARU, KAB: TEGAL</t>
        </is>
      </c>
      <c r="R142" s="122" t="n">
        <v>1</v>
      </c>
      <c r="S142" s="122" t="n">
        <v>6</v>
      </c>
      <c r="T142" s="122" t="n">
        <v>52451</v>
      </c>
      <c r="U142" s="122" t="inlineStr">
        <is>
          <t>SINDANG</t>
        </is>
      </c>
      <c r="V142" s="122" t="inlineStr">
        <is>
          <t>SINDANG</t>
        </is>
      </c>
      <c r="W142" s="122" t="inlineStr">
        <is>
          <t>TEGAL</t>
        </is>
      </c>
      <c r="X142" s="130" t="inlineStr">
        <is>
          <t>KP.SUKAJADI RT/RW 001/001, KEL: NAGRI KIDUL, KEC: PURWAKARTA, KAB: PURWAKARTA</t>
        </is>
      </c>
      <c r="Y142" s="122" t="n">
        <v>81953903756</v>
      </c>
      <c r="Z142" s="131" t="inlineStr">
        <is>
          <t>ISLAM</t>
        </is>
      </c>
      <c r="AA142" s="122" t="inlineStr">
        <is>
          <t>SMK</t>
        </is>
      </c>
      <c r="AB142" s="132" t="n"/>
      <c r="AC142" s="17" t="n">
        <v>140</v>
      </c>
      <c r="AD142" s="133" t="n">
        <v>328000277</v>
      </c>
      <c r="AE142" s="134" t="inlineStr">
        <is>
          <t>ERNA SUSNENTI</t>
        </is>
      </c>
      <c r="AF142" s="133" t="inlineStr">
        <is>
          <t>PRODUCTION</t>
        </is>
      </c>
      <c r="AG142" s="135" t="n">
        <v>24126527621</v>
      </c>
      <c r="AH142" s="136" t="n">
        <v>3525783491</v>
      </c>
    </row>
    <row r="143" ht="15.75" customHeight="1" s="169">
      <c r="A143" s="122">
        <f>A142+1</f>
        <v/>
      </c>
      <c r="B143" s="123" t="n">
        <v>328000278</v>
      </c>
      <c r="C143" s="122" t="inlineStr">
        <is>
          <t>3214124106040001</t>
        </is>
      </c>
      <c r="D143" s="124" t="inlineStr">
        <is>
          <t>VERA NATASYA PUTRI</t>
        </is>
      </c>
      <c r="E143" s="122" t="inlineStr">
        <is>
          <t>PURWAKARTA</t>
        </is>
      </c>
      <c r="F143" s="125" t="inlineStr">
        <is>
          <t>TKD</t>
        </is>
      </c>
      <c r="G143" s="125" t="inlineStr">
        <is>
          <t>Ormas LMP</t>
        </is>
      </c>
      <c r="H143" s="125" t="inlineStr">
        <is>
          <t>ANAK KETUA ORMAS LMP PAK JUJUN</t>
        </is>
      </c>
      <c r="I143" s="127" t="n">
        <v>38139</v>
      </c>
      <c r="J143" s="128">
        <f>DATEDIF(I143, TODAY(), "Y") &amp; " tahun, " &amp; DATEDIF(I143, TODAY(), "YM") &amp; " bulan, " &amp; DATEDIF(I143, TODAY(), "MD") &amp; " hari"
</f>
        <v/>
      </c>
      <c r="K143" s="122" t="inlineStr">
        <is>
          <t>P</t>
        </is>
      </c>
      <c r="L143" s="122" t="inlineStr">
        <is>
          <t>PACKER</t>
        </is>
      </c>
      <c r="M143" s="122">
        <f>VLOOKUP(B143,Sheet21!A:N,14,0)</f>
        <v/>
      </c>
      <c r="N143" s="129" t="inlineStr">
        <is>
          <t>PRODUKSI</t>
        </is>
      </c>
      <c r="O143" s="122" t="inlineStr">
        <is>
          <t>Packer</t>
        </is>
      </c>
      <c r="P143" s="122" t="inlineStr">
        <is>
          <t>HARIAN</t>
        </is>
      </c>
      <c r="Q143" s="130" t="inlineStr">
        <is>
          <t>KP. PANODONGAN, RT/RW:003/002, KEL: CILANGKAP, KEC: BABAKANCIKAO, KAB: PURWAKARTA</t>
        </is>
      </c>
      <c r="R143" s="122" t="n">
        <v>3</v>
      </c>
      <c r="S143" s="122" t="n">
        <v>2</v>
      </c>
      <c r="T143" s="122" t="n">
        <v>41151</v>
      </c>
      <c r="U143" s="122" t="inlineStr">
        <is>
          <t>BABAKANCIKAO</t>
        </is>
      </c>
      <c r="V143" s="122" t="inlineStr">
        <is>
          <t>CILANGKAP</t>
        </is>
      </c>
      <c r="W143" s="122" t="inlineStr">
        <is>
          <t>PURWAKARTA</t>
        </is>
      </c>
      <c r="X143" s="130" t="inlineStr">
        <is>
          <t>KP. PANODONGAN, RT/RW:003/002, KEL: CILANGKAP, KEC: BABAKANCIKAO, KAB: PURWAKARTA</t>
        </is>
      </c>
      <c r="Y143" s="122" t="n">
        <v>87744498285</v>
      </c>
      <c r="Z143" s="131" t="inlineStr">
        <is>
          <t>ISLAM</t>
        </is>
      </c>
      <c r="AA143" s="122" t="inlineStr">
        <is>
          <t>SMK</t>
        </is>
      </c>
      <c r="AB143" s="132" t="n"/>
      <c r="AC143" s="17" t="n">
        <v>141</v>
      </c>
      <c r="AD143" s="133" t="n">
        <v>328000278</v>
      </c>
      <c r="AE143" s="134" t="inlineStr">
        <is>
          <t>VERA NATASYA PUTRI</t>
        </is>
      </c>
      <c r="AF143" s="133" t="inlineStr">
        <is>
          <t>PRODUCTION</t>
        </is>
      </c>
      <c r="AG143" s="135" t="n">
        <v>24142574714</v>
      </c>
      <c r="AH143" s="136" t="n">
        <v>1664014544</v>
      </c>
    </row>
    <row r="144" ht="15.75" customHeight="1" s="169">
      <c r="A144" s="122">
        <f>A143+1</f>
        <v/>
      </c>
      <c r="B144" s="123" t="n">
        <v>328000281</v>
      </c>
      <c r="C144" s="122" t="inlineStr">
        <is>
          <t>3215265310990004</t>
        </is>
      </c>
      <c r="D144" s="124" t="inlineStr">
        <is>
          <t>MEGA OCTAVIANTA</t>
        </is>
      </c>
      <c r="E144" s="122" t="inlineStr">
        <is>
          <t>KARAWANG</t>
        </is>
      </c>
      <c r="F144" s="125" t="inlineStr">
        <is>
          <t>TKD</t>
        </is>
      </c>
      <c r="G144" s="125" t="inlineStr">
        <is>
          <t>Disnaker</t>
        </is>
      </c>
      <c r="H144" s="125" t="inlineStr">
        <is>
          <t>TITIPAN DISNAKER</t>
        </is>
      </c>
      <c r="I144" s="127" t="n">
        <v>36447</v>
      </c>
      <c r="J144" s="128">
        <f>DATEDIF(I144, TODAY(), "Y") &amp; " tahun, " &amp; DATEDIF(I144, TODAY(), "YM") &amp; " bulan, " &amp; DATEDIF(I144, TODAY(), "MD") &amp; " hari"
</f>
        <v/>
      </c>
      <c r="K144" s="122" t="inlineStr">
        <is>
          <t>P</t>
        </is>
      </c>
      <c r="L144" s="122" t="inlineStr">
        <is>
          <t>ADMIN RF</t>
        </is>
      </c>
      <c r="M144" s="122">
        <f>VLOOKUP(B144,Sheet21!A:N,14,0)</f>
        <v/>
      </c>
      <c r="N144" s="129" t="inlineStr">
        <is>
          <t>PRODUKSI</t>
        </is>
      </c>
      <c r="O144" s="122" t="inlineStr">
        <is>
          <t>Admin RF</t>
        </is>
      </c>
      <c r="P144" s="122" t="inlineStr">
        <is>
          <t>HARIAN</t>
        </is>
      </c>
      <c r="Q144" s="130" t="inlineStr">
        <is>
          <t>JL. AMARTA PUNDONG RT/RW. 004/003; KEL. PALUMBONSARI; KEC. KARAWANG TIMUR; KAB. KARAWANG</t>
        </is>
      </c>
      <c r="R144" s="122" t="n">
        <v>4</v>
      </c>
      <c r="S144" s="122" t="n">
        <v>3</v>
      </c>
      <c r="T144" s="122" t="n">
        <v>41314</v>
      </c>
      <c r="U144" s="122" t="inlineStr">
        <is>
          <t>KARAWANG TIMUR</t>
        </is>
      </c>
      <c r="V144" s="122" t="inlineStr">
        <is>
          <t>PALUMBONSARI</t>
        </is>
      </c>
      <c r="W144" s="122" t="inlineStr">
        <is>
          <t>KARAWANG</t>
        </is>
      </c>
      <c r="X144" s="130" t="inlineStr">
        <is>
          <t>JL. AMARTA PUNDONG RT/RW. 004/003; KEL. PALUMBONSARI; KEC. KARAWANG TIMUR; KAB. KARAWANG</t>
        </is>
      </c>
      <c r="Y144" s="122" t="n">
        <v>89624324019</v>
      </c>
      <c r="Z144" s="131" t="inlineStr">
        <is>
          <t>KATOLIK</t>
        </is>
      </c>
      <c r="AA144" s="122" t="inlineStr">
        <is>
          <t>S1</t>
        </is>
      </c>
      <c r="AB144" s="132" t="n"/>
      <c r="AC144" s="17" t="n">
        <v>142</v>
      </c>
      <c r="AD144" s="133" t="n">
        <v>328000281</v>
      </c>
      <c r="AE144" s="96" t="inlineStr">
        <is>
          <t>MEGA OCTAVIANTA</t>
        </is>
      </c>
      <c r="AF144" s="133" t="inlineStr">
        <is>
          <t>PRODUCTION</t>
        </is>
      </c>
      <c r="AG144" s="135" t="n">
        <v>24142574722</v>
      </c>
      <c r="AH144" s="136" t="n">
        <v>3136013943</v>
      </c>
    </row>
    <row r="145" ht="15.75" customHeight="1" s="169">
      <c r="A145" s="122">
        <f>A144+1</f>
        <v/>
      </c>
      <c r="B145" s="123" t="n">
        <v>328000283</v>
      </c>
      <c r="C145" s="122" t="inlineStr">
        <is>
          <t>3214121007030003</t>
        </is>
      </c>
      <c r="D145" s="124" t="inlineStr">
        <is>
          <t>TAUFIK MUSTOPA</t>
        </is>
      </c>
      <c r="E145" s="122" t="inlineStr">
        <is>
          <t>PURWAKARTA</t>
        </is>
      </c>
      <c r="F145" s="125" t="inlineStr">
        <is>
          <t>TKD</t>
        </is>
      </c>
      <c r="G145" s="125" t="inlineStr">
        <is>
          <t>Pak Wahyudin</t>
        </is>
      </c>
      <c r="H145" s="125" t="inlineStr">
        <is>
          <t>KARYAWAN HARIAN</t>
        </is>
      </c>
      <c r="I145" s="127" t="n">
        <v>37812</v>
      </c>
      <c r="J145" s="128">
        <f>DATEDIF(I145, TODAY(), "Y") &amp; " tahun, " &amp; DATEDIF(I145, TODAY(), "YM") &amp; " bulan, " &amp; DATEDIF(I145, TODAY(), "MD") &amp; " hari"
</f>
        <v/>
      </c>
      <c r="K145" s="122" t="inlineStr">
        <is>
          <t>L</t>
        </is>
      </c>
      <c r="L145" s="122" t="inlineStr">
        <is>
          <t>EHS SUPPORT</t>
        </is>
      </c>
      <c r="M145" s="122">
        <f>VLOOKUP(B145,Sheet21!A:N,14,0)</f>
        <v/>
      </c>
      <c r="N145" s="129" t="inlineStr">
        <is>
          <t>ENG</t>
        </is>
      </c>
      <c r="O145" s="122" t="inlineStr">
        <is>
          <t>Ehs Support</t>
        </is>
      </c>
      <c r="P145" s="122" t="inlineStr">
        <is>
          <t>HARIAN</t>
        </is>
      </c>
      <c r="Q145" s="130" t="inlineStr">
        <is>
          <t>KP. BAYUR RT/RW.006/003 DESA. HEGARMANAH KEC. BABAKANCIKAO KAB. PURWAKARTA</t>
        </is>
      </c>
      <c r="R145" s="122" t="n">
        <v>6</v>
      </c>
      <c r="S145" s="122" t="n">
        <v>3</v>
      </c>
      <c r="T145" s="122" t="n">
        <v>41151</v>
      </c>
      <c r="U145" s="122" t="inlineStr">
        <is>
          <t>BABAKANCIKAO</t>
        </is>
      </c>
      <c r="V145" s="122" t="inlineStr">
        <is>
          <t>HEGARMANAH</t>
        </is>
      </c>
      <c r="W145" s="122" t="inlineStr">
        <is>
          <t>PURWAKARTA</t>
        </is>
      </c>
      <c r="X145" s="130" t="inlineStr">
        <is>
          <t>KP. BAYUR RT/RW.006/003 DESA. HEGARMANAH KEC. BABAKANCIKAO KAB. PURWAKARTA</t>
        </is>
      </c>
      <c r="Y145" s="122" t="n">
        <v>88211511516</v>
      </c>
      <c r="Z145" s="131" t="inlineStr">
        <is>
          <t>ISLAM</t>
        </is>
      </c>
      <c r="AA145" s="122" t="inlineStr">
        <is>
          <t>SMK</t>
        </is>
      </c>
      <c r="AB145" s="132" t="n"/>
      <c r="AC145" s="17" t="n">
        <v>143</v>
      </c>
      <c r="AD145" s="133" t="n">
        <v>328000283</v>
      </c>
      <c r="AE145" s="134" t="inlineStr">
        <is>
          <t>TAUFIK MUSTOPA</t>
        </is>
      </c>
      <c r="AF145" s="133" t="inlineStr">
        <is>
          <t>ENGINEERING</t>
        </is>
      </c>
      <c r="AG145" s="135" t="n">
        <v>24142574730</v>
      </c>
      <c r="AH145" s="136" t="n">
        <v>2073165197</v>
      </c>
    </row>
    <row r="146" ht="15.75" customHeight="1" s="169">
      <c r="A146" s="122">
        <f>A145+1</f>
        <v/>
      </c>
      <c r="B146" s="123" t="n">
        <v>328000284</v>
      </c>
      <c r="C146" s="122" t="inlineStr">
        <is>
          <t>3214126406050004</t>
        </is>
      </c>
      <c r="D146" s="124" t="inlineStr">
        <is>
          <t>NADIA DITA NELIA</t>
        </is>
      </c>
      <c r="E146" s="122" t="inlineStr">
        <is>
          <t>PURWAKARTA</t>
        </is>
      </c>
      <c r="F146" s="125" t="inlineStr">
        <is>
          <t>TKD</t>
        </is>
      </c>
      <c r="G146" s="125" t="inlineStr">
        <is>
          <t>Ormas NKRI</t>
        </is>
      </c>
      <c r="H146" s="125" t="inlineStr">
        <is>
          <t>KETUKA ORMAS NKRI PAK ARYA</t>
        </is>
      </c>
      <c r="I146" s="127" t="n">
        <v>38527</v>
      </c>
      <c r="J146" s="128">
        <f>DATEDIF(I146, TODAY(), "Y") &amp; " tahun, " &amp; DATEDIF(I146, TODAY(), "YM") &amp; " bulan, " &amp; DATEDIF(I146, TODAY(), "MD") &amp; " hari"
</f>
        <v/>
      </c>
      <c r="K146" s="122" t="inlineStr">
        <is>
          <t>P</t>
        </is>
      </c>
      <c r="L146" s="122" t="inlineStr">
        <is>
          <t>PACKER</t>
        </is>
      </c>
      <c r="M146" s="122">
        <f>VLOOKUP(B146,Sheet21!A:N,14,0)</f>
        <v/>
      </c>
      <c r="N146" s="129" t="inlineStr">
        <is>
          <t>PRODUKSI</t>
        </is>
      </c>
      <c r="O146" s="122" t="inlineStr">
        <is>
          <t>Packer</t>
        </is>
      </c>
      <c r="P146" s="122" t="inlineStr">
        <is>
          <t>HARIAN</t>
        </is>
      </c>
      <c r="Q146" s="130" t="inlineStr">
        <is>
          <t>KP. CIROYOM RT/RW. 010/005 DESA. CICADAS; KEC. BABAKANCIKAO; KAB. PURWAKARTA</t>
        </is>
      </c>
      <c r="R146" s="122" t="n">
        <v>10</v>
      </c>
      <c r="S146" s="122" t="n">
        <v>5</v>
      </c>
      <c r="T146" s="122" t="n">
        <v>41151</v>
      </c>
      <c r="U146" s="122" t="inlineStr">
        <is>
          <t>BABAKANCIKAO</t>
        </is>
      </c>
      <c r="V146" s="122" t="inlineStr">
        <is>
          <t>CICADAS</t>
        </is>
      </c>
      <c r="W146" s="122" t="inlineStr">
        <is>
          <t>PURWAKARTA</t>
        </is>
      </c>
      <c r="X146" s="130" t="inlineStr">
        <is>
          <t>KP. CIROYOM RT/RW. 010/005 DESA. CICADAS; KEC. BABAKANCIKAO; KAB. PURWAKARTA</t>
        </is>
      </c>
      <c r="Y146" s="122" t="n">
        <v>85793467818</v>
      </c>
      <c r="Z146" s="131" t="inlineStr">
        <is>
          <t>ISLAM</t>
        </is>
      </c>
      <c r="AA146" s="122" t="inlineStr">
        <is>
          <t>SMK</t>
        </is>
      </c>
      <c r="AB146" s="132" t="n"/>
      <c r="AC146" s="17" t="n">
        <v>144</v>
      </c>
      <c r="AD146" s="133" t="n">
        <v>328000284</v>
      </c>
      <c r="AE146" s="134" t="inlineStr">
        <is>
          <t>NADIA DITA NELIA</t>
        </is>
      </c>
      <c r="AF146" s="133" t="inlineStr">
        <is>
          <t>PRODUCTION</t>
        </is>
      </c>
      <c r="AG146" s="135" t="n">
        <v>24162489959</v>
      </c>
      <c r="AH146" s="136" t="n">
        <v>1518335943</v>
      </c>
    </row>
    <row r="147" ht="15.75" customHeight="1" s="169">
      <c r="A147" s="122">
        <f>A146+1</f>
        <v/>
      </c>
      <c r="B147" s="123" t="n">
        <v>328000285</v>
      </c>
      <c r="C147" s="122" t="inlineStr">
        <is>
          <t>3214030109050007</t>
        </is>
      </c>
      <c r="D147" s="124" t="inlineStr">
        <is>
          <t>M. YOGA PAMUNGKAS</t>
        </is>
      </c>
      <c r="E147" s="122" t="inlineStr">
        <is>
          <t>PURWAKARTA</t>
        </is>
      </c>
      <c r="F147" s="125" t="inlineStr">
        <is>
          <t>TKD</t>
        </is>
      </c>
      <c r="G147" s="125" t="inlineStr">
        <is>
          <t>Pak Wahyudin</t>
        </is>
      </c>
      <c r="H147" s="125" t="inlineStr">
        <is>
          <t>KARYAWAN HARIAN</t>
        </is>
      </c>
      <c r="I147" s="127" t="n">
        <v>38051</v>
      </c>
      <c r="J147" s="128">
        <f>DATEDIF(I147, TODAY(), "Y") &amp; " tahun, " &amp; DATEDIF(I147, TODAY(), "YM") &amp; " bulan, " &amp; DATEDIF(I147, TODAY(), "MD") &amp; " hari"
</f>
        <v/>
      </c>
      <c r="K147" s="122" t="inlineStr">
        <is>
          <t>L</t>
        </is>
      </c>
      <c r="L147" s="122" t="inlineStr">
        <is>
          <t>PACKER</t>
        </is>
      </c>
      <c r="M147" s="122">
        <f>VLOOKUP(B147,Sheet21!A:N,14,0)</f>
        <v/>
      </c>
      <c r="N147" s="129" t="inlineStr">
        <is>
          <t>PRODUKSI</t>
        </is>
      </c>
      <c r="O147" s="122" t="inlineStr">
        <is>
          <t>Packer</t>
        </is>
      </c>
      <c r="P147" s="122" t="inlineStr">
        <is>
          <t>HARIAN</t>
        </is>
      </c>
      <c r="Q147" s="130" t="inlineStr">
        <is>
          <t>KP. CIGANEA ATAS RT/RW.008/003, DESA. MEKARGALIH; KEC. JATILUHUR; KAB. PURWAKARTA</t>
        </is>
      </c>
      <c r="R147" s="122" t="n">
        <v>8</v>
      </c>
      <c r="S147" s="122" t="n">
        <v>3</v>
      </c>
      <c r="T147" s="122" t="n">
        <v>41161</v>
      </c>
      <c r="U147" s="122" t="inlineStr">
        <is>
          <t>JATILUHUR</t>
        </is>
      </c>
      <c r="V147" s="122" t="inlineStr">
        <is>
          <t>MEKARGALIH</t>
        </is>
      </c>
      <c r="W147" s="122" t="inlineStr">
        <is>
          <t>PURWAKARTA</t>
        </is>
      </c>
      <c r="X147" s="130" t="inlineStr">
        <is>
          <t>KP. CIGANEA ATAS RT/RW.008/003, DESA. MEKARGALIH; KEC. JATILUHUR; KAB. PURWAKARTA</t>
        </is>
      </c>
      <c r="Y147" s="122" t="inlineStr">
        <is>
          <t>081213868049/083829091133</t>
        </is>
      </c>
      <c r="Z147" s="131" t="inlineStr">
        <is>
          <t>ISLAM</t>
        </is>
      </c>
      <c r="AA147" s="122" t="inlineStr">
        <is>
          <t>SMK</t>
        </is>
      </c>
      <c r="AB147" s="132" t="n"/>
      <c r="AC147" s="17" t="n">
        <v>145</v>
      </c>
      <c r="AD147" s="133" t="n">
        <v>328000285</v>
      </c>
      <c r="AE147" s="96" t="inlineStr">
        <is>
          <t>M. YOGA PAMUNGKAS</t>
        </is>
      </c>
      <c r="AF147" s="133" t="inlineStr">
        <is>
          <t>PRODUCTION</t>
        </is>
      </c>
      <c r="AG147" s="135" t="n">
        <v>24162489918</v>
      </c>
      <c r="AH147" s="136" t="n">
        <v>1451373401</v>
      </c>
    </row>
    <row r="148" ht="15.75" customHeight="1" s="169">
      <c r="A148" s="122">
        <f>A147+1</f>
        <v/>
      </c>
      <c r="B148" s="123" t="n">
        <v>328000287</v>
      </c>
      <c r="C148" s="122" t="inlineStr">
        <is>
          <t>3214126312000005</t>
        </is>
      </c>
      <c r="D148" s="124" t="inlineStr">
        <is>
          <t>FIRDA AINUN RAHMANNISA</t>
        </is>
      </c>
      <c r="E148" s="122" t="inlineStr">
        <is>
          <t>PURWAKARTA</t>
        </is>
      </c>
      <c r="F148" s="125" t="inlineStr">
        <is>
          <t>TKD</t>
        </is>
      </c>
      <c r="G148" s="125" t="inlineStr">
        <is>
          <t>H. Misja</t>
        </is>
      </c>
      <c r="H148" s="125" t="inlineStr">
        <is>
          <t>TITIPAN H MISJA</t>
        </is>
      </c>
      <c r="I148" s="127" t="n">
        <v>36883</v>
      </c>
      <c r="J148" s="128">
        <f>DATEDIF(I148, TODAY(), "Y") &amp; " tahun, " &amp; DATEDIF(I148, TODAY(), "YM") &amp; " bulan, " &amp; DATEDIF(I148, TODAY(), "MD") &amp; " hari"
</f>
        <v/>
      </c>
      <c r="K148" s="122" t="inlineStr">
        <is>
          <t>P</t>
        </is>
      </c>
      <c r="L148" s="122" t="inlineStr">
        <is>
          <t>PACKER</t>
        </is>
      </c>
      <c r="M148" s="122">
        <f>VLOOKUP(B148,Sheet21!A:N,14,0)</f>
        <v/>
      </c>
      <c r="N148" s="129" t="inlineStr">
        <is>
          <t>PRODUKSI</t>
        </is>
      </c>
      <c r="O148" s="122" t="inlineStr">
        <is>
          <t>Packer</t>
        </is>
      </c>
      <c r="P148" s="122" t="inlineStr">
        <is>
          <t>HARIAN</t>
        </is>
      </c>
      <c r="Q148" s="130" t="inlineStr">
        <is>
          <t>KP. KRAJAN RT/RW.002/001, DESA. BABAKANCIKAO; KEC. BABAKANCIKAO; KAB. PURWAKARTA</t>
        </is>
      </c>
      <c r="R148" s="122" t="n">
        <v>2</v>
      </c>
      <c r="S148" s="122" t="n">
        <v>1</v>
      </c>
      <c r="T148" s="122" t="n">
        <v>41151</v>
      </c>
      <c r="U148" s="122" t="inlineStr">
        <is>
          <t>BABAKANCIKAO</t>
        </is>
      </c>
      <c r="V148" s="122" t="inlineStr">
        <is>
          <t>BABAKANCIKAO</t>
        </is>
      </c>
      <c r="W148" s="122" t="inlineStr">
        <is>
          <t>PURWAKARTA</t>
        </is>
      </c>
      <c r="X148" s="130" t="inlineStr">
        <is>
          <t>KP. KRAJAN RT/RW.002/001, DESA. BABAKANCIKAO; KEC. BABAKANCIKAO; KAB. PURWAKARTA</t>
        </is>
      </c>
      <c r="Y148" s="122" t="n">
        <v>85934951936</v>
      </c>
      <c r="Z148" s="131" t="inlineStr">
        <is>
          <t>ISLAM</t>
        </is>
      </c>
      <c r="AA148" s="122" t="inlineStr">
        <is>
          <t>S1</t>
        </is>
      </c>
      <c r="AB148" s="132" t="n"/>
      <c r="AC148" s="17" t="n">
        <v>146</v>
      </c>
      <c r="AD148" s="133" t="n">
        <v>328000287</v>
      </c>
      <c r="AE148" s="134" t="inlineStr">
        <is>
          <t>FIRDA AINUN RAHMANNISA</t>
        </is>
      </c>
      <c r="AF148" s="133" t="inlineStr">
        <is>
          <t>ENGINEERING</t>
        </is>
      </c>
      <c r="AG148" s="135" t="n">
        <v>24162489942</v>
      </c>
      <c r="AH148" s="136" t="n">
        <v>1661913742</v>
      </c>
    </row>
    <row r="149" ht="15.75" customHeight="1" s="169">
      <c r="A149" s="122">
        <f>A148+1</f>
        <v/>
      </c>
      <c r="B149" s="123" t="n">
        <v>328000288</v>
      </c>
      <c r="C149" s="122" t="inlineStr">
        <is>
          <t>3214120211050001</t>
        </is>
      </c>
      <c r="D149" s="124" t="inlineStr">
        <is>
          <t>ANDIKA AL AQBAR</t>
        </is>
      </c>
      <c r="E149" s="122" t="inlineStr">
        <is>
          <t>PURWAKARTA</t>
        </is>
      </c>
      <c r="F149" s="125" t="inlineStr">
        <is>
          <t>TKD</t>
        </is>
      </c>
      <c r="G149" s="125" t="inlineStr">
        <is>
          <t>Pak Wahyudin</t>
        </is>
      </c>
      <c r="H149" s="125" t="inlineStr">
        <is>
          <t>KARYAWAN HARIAN</t>
        </is>
      </c>
      <c r="I149" s="127" t="n">
        <v>38658</v>
      </c>
      <c r="J149" s="128">
        <f>DATEDIF(I149, TODAY(), "Y") &amp; " tahun, " &amp; DATEDIF(I149, TODAY(), "YM") &amp; " bulan, " &amp; DATEDIF(I149, TODAY(), "MD") &amp; " hari"
</f>
        <v/>
      </c>
      <c r="K149" s="122" t="inlineStr">
        <is>
          <t>L</t>
        </is>
      </c>
      <c r="L149" s="122" t="inlineStr">
        <is>
          <t>PACKER</t>
        </is>
      </c>
      <c r="M149" s="122">
        <f>VLOOKUP(B149,Sheet21!A:N,14,0)</f>
        <v/>
      </c>
      <c r="N149" s="129" t="inlineStr">
        <is>
          <t>PRODUKSI</t>
        </is>
      </c>
      <c r="O149" s="122" t="inlineStr">
        <is>
          <t>Packer</t>
        </is>
      </c>
      <c r="P149" s="122" t="inlineStr">
        <is>
          <t>HARIAN</t>
        </is>
      </c>
      <c r="Q149" s="130" t="inlineStr">
        <is>
          <t>KP. KRAJAN RT/RW.001/001, DESA. BABAKANCIKAO; KEC. BABAKANCIKAO; KAB. PURWAKARTA</t>
        </is>
      </c>
      <c r="R149" s="122" t="n">
        <v>1</v>
      </c>
      <c r="S149" s="122" t="n">
        <v>1</v>
      </c>
      <c r="T149" s="122" t="n">
        <v>41151</v>
      </c>
      <c r="U149" s="122" t="inlineStr">
        <is>
          <t>BABAKANCIKAO</t>
        </is>
      </c>
      <c r="V149" s="122" t="inlineStr">
        <is>
          <t>BABAKANCIKAO</t>
        </is>
      </c>
      <c r="W149" s="122" t="inlineStr">
        <is>
          <t>PURWAKARTA</t>
        </is>
      </c>
      <c r="X149" s="130" t="inlineStr">
        <is>
          <t>KP. KRAJAN RT/RW.001/001, DESA. BABAKANCIKAO; KEC. BABAKANCIKAO; KAB. PURWAKARTA</t>
        </is>
      </c>
      <c r="Y149" s="122" t="inlineStr">
        <is>
          <t>087794070555/083824654005</t>
        </is>
      </c>
      <c r="Z149" s="131" t="inlineStr">
        <is>
          <t>ISLAM</t>
        </is>
      </c>
      <c r="AA149" s="122" t="inlineStr">
        <is>
          <t>SMK</t>
        </is>
      </c>
      <c r="AB149" s="132" t="n"/>
      <c r="AC149" s="17" t="n">
        <v>147</v>
      </c>
      <c r="AD149" s="133" t="n">
        <v>328000288</v>
      </c>
      <c r="AE149" s="134" t="inlineStr">
        <is>
          <t>ANDIKA AL AQBAR</t>
        </is>
      </c>
      <c r="AF149" s="133" t="inlineStr">
        <is>
          <t>PRODUCTION</t>
        </is>
      </c>
      <c r="AG149" s="135" t="n">
        <v>24162489876</v>
      </c>
      <c r="AH149" s="136" t="n">
        <v>1659891137</v>
      </c>
    </row>
    <row r="150" ht="15.75" customHeight="1" s="169">
      <c r="A150" s="122">
        <f>A149+1</f>
        <v/>
      </c>
      <c r="B150" s="123" t="n">
        <v>328000289</v>
      </c>
      <c r="C150" s="122" t="inlineStr">
        <is>
          <t>3214122404040003</t>
        </is>
      </c>
      <c r="D150" s="124" t="inlineStr">
        <is>
          <t>KARYA</t>
        </is>
      </c>
      <c r="E150" s="122" t="inlineStr">
        <is>
          <t>PURWAKARTA</t>
        </is>
      </c>
      <c r="F150" s="125" t="inlineStr">
        <is>
          <t>TKD</t>
        </is>
      </c>
      <c r="G150" s="125" t="inlineStr">
        <is>
          <t>Pak Wahyudin</t>
        </is>
      </c>
      <c r="H150" s="125" t="inlineStr">
        <is>
          <t>KARYAWAN HARIAN</t>
        </is>
      </c>
      <c r="I150" s="127" t="n">
        <v>38101</v>
      </c>
      <c r="J150" s="128">
        <f>DATEDIF(I150, TODAY(), "Y") &amp; " tahun, " &amp; DATEDIF(I150, TODAY(), "YM") &amp; " bulan, " &amp; DATEDIF(I150, TODAY(), "MD") &amp; " hari"
</f>
        <v/>
      </c>
      <c r="K150" s="122" t="inlineStr">
        <is>
          <t>L</t>
        </is>
      </c>
      <c r="L150" s="122" t="inlineStr">
        <is>
          <t>PACKER</t>
        </is>
      </c>
      <c r="M150" s="122">
        <f>VLOOKUP(B150,Sheet21!A:N,14,0)</f>
        <v/>
      </c>
      <c r="N150" s="129" t="inlineStr">
        <is>
          <t>PRODUKSI</t>
        </is>
      </c>
      <c r="O150" s="122" t="inlineStr">
        <is>
          <t>Packer</t>
        </is>
      </c>
      <c r="P150" s="122" t="inlineStr">
        <is>
          <t>HARIAN</t>
        </is>
      </c>
      <c r="Q150" s="130" t="inlineStr">
        <is>
          <t>KP. WARUNGBUAH RT/RW. 015/006, DESA. HEGARMANAH; KEC. BABAKANCIKAO; KAB. PURWAKARTA</t>
        </is>
      </c>
      <c r="R150" s="122" t="n">
        <v>15</v>
      </c>
      <c r="S150" s="122" t="n">
        <v>6</v>
      </c>
      <c r="T150" s="122" t="n">
        <v>41151</v>
      </c>
      <c r="U150" s="122" t="inlineStr">
        <is>
          <t>BABAKANCIKAO</t>
        </is>
      </c>
      <c r="V150" s="122" t="inlineStr">
        <is>
          <t>HEGARMANAH</t>
        </is>
      </c>
      <c r="W150" s="122" t="inlineStr">
        <is>
          <t>PURWAKARTA</t>
        </is>
      </c>
      <c r="X150" s="130" t="inlineStr">
        <is>
          <t>KP. WARUNGBUAH RT/RW. 015/006, DESA. HEGARMANAH; KEC. BABAKANCIKAO; KAB. PURWAKARTA</t>
        </is>
      </c>
      <c r="Y150" s="122" t="inlineStr">
        <is>
          <t>0855248666/083195597224</t>
        </is>
      </c>
      <c r="Z150" s="131" t="inlineStr">
        <is>
          <t>ISLAM</t>
        </is>
      </c>
      <c r="AA150" s="122" t="inlineStr">
        <is>
          <t>SMK</t>
        </is>
      </c>
      <c r="AB150" s="132" t="n"/>
      <c r="AC150" s="17" t="n">
        <v>148</v>
      </c>
      <c r="AD150" s="133" t="n">
        <v>328000289</v>
      </c>
      <c r="AE150" s="134" t="inlineStr">
        <is>
          <t>KARYA</t>
        </is>
      </c>
      <c r="AF150" s="133" t="inlineStr">
        <is>
          <t>PRODUCTION</t>
        </is>
      </c>
      <c r="AG150" s="135" t="n">
        <v>24162489884</v>
      </c>
      <c r="AH150" s="136" t="n">
        <v>481647644</v>
      </c>
    </row>
    <row r="151" ht="15.75" customHeight="1" s="169">
      <c r="A151" s="122">
        <f>A150+1</f>
        <v/>
      </c>
      <c r="B151" s="123" t="n">
        <v>328000290</v>
      </c>
      <c r="C151" s="122" t="inlineStr">
        <is>
          <t>3214125901060001</t>
        </is>
      </c>
      <c r="D151" s="124" t="inlineStr">
        <is>
          <t>ZALFA SALSABILA</t>
        </is>
      </c>
      <c r="E151" s="122" t="inlineStr">
        <is>
          <t>PURWAKARTA</t>
        </is>
      </c>
      <c r="F151" s="125" t="inlineStr">
        <is>
          <t>TKD</t>
        </is>
      </c>
      <c r="G151" s="125" t="inlineStr">
        <is>
          <t xml:space="preserve">Kades Hegarmanah </t>
        </is>
      </c>
      <c r="H151" s="125" t="inlineStr">
        <is>
          <t>TITIPAN KADES PAK WARMAN</t>
        </is>
      </c>
      <c r="I151" s="127" t="n">
        <v>38736</v>
      </c>
      <c r="J151" s="128">
        <f>DATEDIF(I151, TODAY(), "Y") &amp; " tahun, " &amp; DATEDIF(I151, TODAY(), "YM") &amp; " bulan, " &amp; DATEDIF(I151, TODAY(), "MD") &amp; " hari"
</f>
        <v/>
      </c>
      <c r="K151" s="122" t="inlineStr">
        <is>
          <t>P</t>
        </is>
      </c>
      <c r="L151" s="122" t="inlineStr">
        <is>
          <t>PACKER</t>
        </is>
      </c>
      <c r="M151" s="122">
        <f>VLOOKUP(B151,Sheet21!A:N,14,0)</f>
        <v/>
      </c>
      <c r="N151" s="129" t="inlineStr">
        <is>
          <t>PRODUKSI</t>
        </is>
      </c>
      <c r="O151" s="122" t="inlineStr">
        <is>
          <t>Packer</t>
        </is>
      </c>
      <c r="P151" s="122" t="inlineStr">
        <is>
          <t>HARIAN</t>
        </is>
      </c>
      <c r="Q151" s="130" t="inlineStr">
        <is>
          <t>KP. WARUNG BUAH RT/RW. 004/002, DESA. HEGARMANAH; KEC. BABAKANCIKAO; KAB. PURWAKARTA</t>
        </is>
      </c>
      <c r="R151" s="122" t="n">
        <v>4</v>
      </c>
      <c r="S151" s="122" t="n">
        <v>2</v>
      </c>
      <c r="T151" s="122" t="n">
        <v>41151</v>
      </c>
      <c r="U151" s="122" t="inlineStr">
        <is>
          <t>BABAKANCIKAO</t>
        </is>
      </c>
      <c r="V151" s="122" t="inlineStr">
        <is>
          <t>HEGARMANAH</t>
        </is>
      </c>
      <c r="W151" s="122" t="inlineStr">
        <is>
          <t>PURWAKARTA</t>
        </is>
      </c>
      <c r="X151" s="130" t="inlineStr">
        <is>
          <t>KP. WARUNG BUAH RT/RW. 004/002, DESA. HEGARMANAH; KEC. BABAKANCIKAO; KAB. PURWAKARTA</t>
        </is>
      </c>
      <c r="Y151" s="122" t="n">
        <v>85759124397</v>
      </c>
      <c r="Z151" s="131" t="inlineStr">
        <is>
          <t>ISLAM</t>
        </is>
      </c>
      <c r="AA151" s="122" t="inlineStr">
        <is>
          <t>SMK</t>
        </is>
      </c>
      <c r="AB151" s="132" t="n"/>
      <c r="AC151" s="17" t="n">
        <v>149</v>
      </c>
      <c r="AD151" s="133" t="n">
        <v>328000290</v>
      </c>
      <c r="AE151" s="134" t="inlineStr">
        <is>
          <t>ZALFA SALSABILA</t>
        </is>
      </c>
      <c r="AF151" s="133" t="inlineStr">
        <is>
          <t>PRODUCTION</t>
        </is>
      </c>
      <c r="AG151" s="135" t="n">
        <v>24162489934</v>
      </c>
      <c r="AH151" s="136" t="n">
        <v>1663291449</v>
      </c>
    </row>
    <row r="152" ht="15.75" customHeight="1" s="169">
      <c r="A152" s="122">
        <f>A151+1</f>
        <v/>
      </c>
      <c r="B152" s="123" t="n">
        <v>328000291</v>
      </c>
      <c r="C152" s="122" t="inlineStr">
        <is>
          <t>3214094302030001</t>
        </is>
      </c>
      <c r="D152" s="124" t="inlineStr">
        <is>
          <t>R. ANISA DWI FEBRIANA</t>
        </is>
      </c>
      <c r="E152" s="122" t="inlineStr">
        <is>
          <t>PURWAKARTA</t>
        </is>
      </c>
      <c r="F152" s="125" t="inlineStr">
        <is>
          <t>TKD</t>
        </is>
      </c>
      <c r="G152" s="125" t="inlineStr">
        <is>
          <t>Ormas Lodaya</t>
        </is>
      </c>
      <c r="H152" s="142" t="inlineStr">
        <is>
          <t>KETUA ORMAS LODAYA PAK LILI</t>
        </is>
      </c>
      <c r="I152" s="127" t="n">
        <v>37655</v>
      </c>
      <c r="J152" s="128">
        <f>DATEDIF(I152, TODAY(), "Y") &amp; " tahun, " &amp; DATEDIF(I152, TODAY(), "YM") &amp; " bulan, " &amp; DATEDIF(I152, TODAY(), "MD") &amp; " hari"
</f>
        <v/>
      </c>
      <c r="K152" s="122" t="inlineStr">
        <is>
          <t>P</t>
        </is>
      </c>
      <c r="L152" s="122" t="inlineStr">
        <is>
          <t>PACKER</t>
        </is>
      </c>
      <c r="M152" s="122">
        <f>VLOOKUP(B152,Sheet21!A:N,14,0)</f>
        <v/>
      </c>
      <c r="N152" s="129" t="inlineStr">
        <is>
          <t>PRODUKSI</t>
        </is>
      </c>
      <c r="O152" s="122" t="inlineStr">
        <is>
          <t>Packer</t>
        </is>
      </c>
      <c r="P152" s="122" t="inlineStr">
        <is>
          <t>HARIAN</t>
        </is>
      </c>
      <c r="Q152" s="130" t="inlineStr">
        <is>
          <t>KP. KRAJAN RT/RW. 012/005, DESA. WANAYASA; KEC. WANAYASA; KAB. PURWAKARTA</t>
        </is>
      </c>
      <c r="R152" s="122" t="n">
        <v>12</v>
      </c>
      <c r="S152" s="122" t="n">
        <v>5</v>
      </c>
      <c r="T152" s="137" t="n"/>
      <c r="U152" s="122" t="inlineStr">
        <is>
          <t>WANAYASA</t>
        </is>
      </c>
      <c r="V152" s="122" t="inlineStr">
        <is>
          <t>WANAYASA</t>
        </is>
      </c>
      <c r="W152" s="122" t="inlineStr">
        <is>
          <t>PURWAKARTA</t>
        </is>
      </c>
      <c r="X152" s="130" t="inlineStr">
        <is>
          <t>KP. KRAJAN RT/RW. 012/005, DESA. WANAYASA; KEC. WANAYASA; KAB. PURWAKARTA</t>
        </is>
      </c>
      <c r="Y152" s="122" t="n">
        <v>83820029845</v>
      </c>
      <c r="Z152" s="131" t="inlineStr">
        <is>
          <t>ISLAM</t>
        </is>
      </c>
      <c r="AA152" s="122" t="inlineStr">
        <is>
          <t>SMA</t>
        </is>
      </c>
      <c r="AB152" s="132" t="n"/>
      <c r="AC152" s="17" t="n">
        <v>150</v>
      </c>
      <c r="AD152" s="133" t="n">
        <v>328000291</v>
      </c>
      <c r="AE152" s="96" t="inlineStr">
        <is>
          <t>R. ANISA DWI FEBRIANA</t>
        </is>
      </c>
      <c r="AF152" s="133" t="inlineStr">
        <is>
          <t>PRODUCTION</t>
        </is>
      </c>
      <c r="AG152" s="135" t="n">
        <v>24162489926</v>
      </c>
      <c r="AH152" s="136" t="n">
        <v>2633402632</v>
      </c>
    </row>
    <row r="153" ht="15.75" customHeight="1" s="169">
      <c r="A153" s="122">
        <f>A152+1</f>
        <v/>
      </c>
      <c r="B153" s="123" t="n">
        <v>328000293</v>
      </c>
      <c r="C153" s="122" t="inlineStr">
        <is>
          <t>3214015701040005</t>
        </is>
      </c>
      <c r="D153" s="124" t="inlineStr">
        <is>
          <t>FADHILA UTAMI</t>
        </is>
      </c>
      <c r="E153" s="122" t="inlineStr">
        <is>
          <t>PURWAKARTA</t>
        </is>
      </c>
      <c r="F153" s="125" t="inlineStr">
        <is>
          <t>LINK</t>
        </is>
      </c>
      <c r="G153" s="96" t="n"/>
      <c r="H153" s="125" t="inlineStr">
        <is>
          <t>PT KMJ</t>
        </is>
      </c>
      <c r="I153" s="127" t="n">
        <v>38003</v>
      </c>
      <c r="J153" s="128">
        <f>DATEDIF(I153, TODAY(), "Y") &amp; " tahun, " &amp; DATEDIF(I153, TODAY(), "YM") &amp; " bulan, " &amp; DATEDIF(I153, TODAY(), "MD") &amp; " hari"
</f>
        <v/>
      </c>
      <c r="K153" s="122" t="inlineStr">
        <is>
          <t>P</t>
        </is>
      </c>
      <c r="L153" s="122" t="inlineStr">
        <is>
          <t>PACKER</t>
        </is>
      </c>
      <c r="M153" s="122">
        <f>VLOOKUP(B153,Sheet21!A:N,14,0)</f>
        <v/>
      </c>
      <c r="N153" s="129" t="inlineStr">
        <is>
          <t>PRODUKSI</t>
        </is>
      </c>
      <c r="O153" s="122" t="inlineStr">
        <is>
          <t>Packer</t>
        </is>
      </c>
      <c r="P153" s="122" t="inlineStr">
        <is>
          <t>HARIAN</t>
        </is>
      </c>
      <c r="Q153" s="130" t="inlineStr">
        <is>
          <t>KP. CITALANG RT/RW. 004/001, DESA. CITALANG; KEC. PURWAKARTA; KAB. PURWAKARTA</t>
        </is>
      </c>
      <c r="R153" s="122" t="n">
        <v>4</v>
      </c>
      <c r="S153" s="122" t="n">
        <v>1</v>
      </c>
      <c r="T153" s="137" t="n"/>
      <c r="U153" s="122" t="inlineStr">
        <is>
          <t>PURWAKARTA</t>
        </is>
      </c>
      <c r="V153" s="122" t="inlineStr">
        <is>
          <t>CITALANG</t>
        </is>
      </c>
      <c r="W153" s="122" t="inlineStr">
        <is>
          <t>PURWAKARTA</t>
        </is>
      </c>
      <c r="X153" s="130" t="inlineStr">
        <is>
          <t>KP. CITALANG RT/RW. 004/001, DESA. CITALANG; KEC. PURWAKARTA; KAB. PURWAKARTA</t>
        </is>
      </c>
      <c r="Y153" s="122" t="inlineStr">
        <is>
          <t>081286210377/089604029473</t>
        </is>
      </c>
      <c r="Z153" s="131" t="inlineStr">
        <is>
          <t>ISLAM</t>
        </is>
      </c>
      <c r="AA153" s="122" t="inlineStr">
        <is>
          <t>SMK</t>
        </is>
      </c>
      <c r="AB153" s="132" t="n"/>
      <c r="AC153" s="17" t="n">
        <v>151</v>
      </c>
      <c r="AD153" s="144" t="n">
        <v>328000292</v>
      </c>
      <c r="AE153" s="96" t="inlineStr">
        <is>
          <t>MUHAMAD ROJAK</t>
        </is>
      </c>
      <c r="AF153" s="144" t="inlineStr">
        <is>
          <t>PRODUCTION</t>
        </is>
      </c>
      <c r="AG153" s="135" t="n">
        <v>24162489892</v>
      </c>
      <c r="AH153" s="136" t="n">
        <v>1518347305</v>
      </c>
    </row>
    <row r="154" ht="15.75" customHeight="1" s="169">
      <c r="A154" s="122">
        <f>A153+1</f>
        <v/>
      </c>
      <c r="B154" s="123" t="n">
        <v>328000294</v>
      </c>
      <c r="C154" s="143" t="inlineStr">
        <is>
          <t>3214123007050000</t>
        </is>
      </c>
      <c r="D154" s="124" t="inlineStr">
        <is>
          <t>BAMBANG IRAWAN</t>
        </is>
      </c>
      <c r="E154" s="122" t="inlineStr">
        <is>
          <t>PURWAKARTA</t>
        </is>
      </c>
      <c r="F154" s="125" t="inlineStr">
        <is>
          <t>TKD</t>
        </is>
      </c>
      <c r="G154" s="125" t="inlineStr">
        <is>
          <t xml:space="preserve">Kades Hegarmanah </t>
        </is>
      </c>
      <c r="H154" s="125" t="inlineStr">
        <is>
          <t>TITIPAN KARANG TARUNA HEGARMANAH</t>
        </is>
      </c>
      <c r="I154" s="127" t="n">
        <v>38563</v>
      </c>
      <c r="J154" s="128">
        <f>DATEDIF(I154, TODAY(), "Y") &amp; " tahun, " &amp; DATEDIF(I154, TODAY(), "YM") &amp; " bulan, " &amp; DATEDIF(I154, TODAY(), "MD") &amp; " hari"
</f>
        <v/>
      </c>
      <c r="K154" s="122" t="inlineStr">
        <is>
          <t>L</t>
        </is>
      </c>
      <c r="L154" s="122" t="inlineStr">
        <is>
          <t>CHECKER</t>
        </is>
      </c>
      <c r="M154" s="122">
        <f>VLOOKUP(B154,Sheet21!A:N,14,0)</f>
        <v/>
      </c>
      <c r="N154" s="129" t="inlineStr">
        <is>
          <t>LOGISTIK</t>
        </is>
      </c>
      <c r="O154" s="122" t="inlineStr">
        <is>
          <t>Packer</t>
        </is>
      </c>
      <c r="P154" s="122" t="inlineStr">
        <is>
          <t>HARIAN</t>
        </is>
      </c>
      <c r="Q154" s="130" t="inlineStr">
        <is>
          <t>KP. PARUNGDADDAP RT/RW.001/001, DESA. HEGARMANAH; KEC. BABAKANCIKAO; KAB. PURWAKARTA</t>
        </is>
      </c>
      <c r="R154" s="122" t="n">
        <v>1</v>
      </c>
      <c r="S154" s="122" t="n">
        <v>1</v>
      </c>
      <c r="T154" s="122" t="n">
        <v>41151</v>
      </c>
      <c r="U154" s="122" t="inlineStr">
        <is>
          <t>BABAKANCIKAO</t>
        </is>
      </c>
      <c r="V154" s="122" t="inlineStr">
        <is>
          <t>HEGARMANAH</t>
        </is>
      </c>
      <c r="W154" s="122" t="inlineStr">
        <is>
          <t>PURWAKARTA</t>
        </is>
      </c>
      <c r="X154" s="130" t="inlineStr">
        <is>
          <t>KP. PARUNGDADAP RT/RW. 001/001, DESA. HEGARMANAH; KEC. BABAKANCIKAO; KAB. PURWAKARTA</t>
        </is>
      </c>
      <c r="Y154" s="122" t="inlineStr">
        <is>
          <t>085211305128/085794360730</t>
        </is>
      </c>
      <c r="Z154" s="131" t="inlineStr">
        <is>
          <t>ISLAM</t>
        </is>
      </c>
      <c r="AA154" s="122" t="inlineStr">
        <is>
          <t>SMK</t>
        </is>
      </c>
      <c r="AB154" s="132" t="n"/>
      <c r="AC154" s="17" t="n">
        <v>152</v>
      </c>
      <c r="AD154" s="133" t="n">
        <v>328000293</v>
      </c>
      <c r="AE154" s="96" t="inlineStr">
        <is>
          <t>FADHILA UTAMI</t>
        </is>
      </c>
      <c r="AF154" s="133" t="inlineStr">
        <is>
          <t>PRODUCTION</t>
        </is>
      </c>
      <c r="AG154" s="135" t="n">
        <v>24162489900</v>
      </c>
      <c r="AH154" s="136" t="n">
        <v>1010127824</v>
      </c>
    </row>
    <row r="155" ht="15.75" customHeight="1" s="169">
      <c r="A155" s="122">
        <f>A154+1</f>
        <v/>
      </c>
      <c r="B155" s="123" t="n">
        <v>328000295</v>
      </c>
      <c r="C155" s="122" t="inlineStr">
        <is>
          <t>3214012601010004</t>
        </is>
      </c>
      <c r="D155" s="124" t="inlineStr">
        <is>
          <t>REVA HERLAMBANG</t>
        </is>
      </c>
      <c r="E155" s="122" t="inlineStr">
        <is>
          <t>PURWAKARTA</t>
        </is>
      </c>
      <c r="F155" s="125" t="inlineStr">
        <is>
          <t>TKD</t>
        </is>
      </c>
      <c r="G155" s="125" t="inlineStr">
        <is>
          <t>Pak Wahyudin</t>
        </is>
      </c>
      <c r="H155" s="125" t="inlineStr">
        <is>
          <t>TITIPAN MANTAN KADES HEGARMANAH</t>
        </is>
      </c>
      <c r="I155" s="127" t="n">
        <v>36917</v>
      </c>
      <c r="J155" s="128">
        <f>DATEDIF(I155, TODAY(), "Y") &amp; " tahun, " &amp; DATEDIF(I155, TODAY(), "YM") &amp; " bulan, " &amp; DATEDIF(I155, TODAY(), "MD") &amp; " hari"
</f>
        <v/>
      </c>
      <c r="K155" s="122" t="inlineStr">
        <is>
          <t>L</t>
        </is>
      </c>
      <c r="L155" s="122" t="inlineStr">
        <is>
          <t>ADMIN TSP</t>
        </is>
      </c>
      <c r="M155" s="122">
        <f>VLOOKUP(B155,Sheet21!A:N,14,0)</f>
        <v/>
      </c>
      <c r="N155" s="129" t="inlineStr">
        <is>
          <t>PRODUKSI</t>
        </is>
      </c>
      <c r="O155" s="122" t="inlineStr">
        <is>
          <t>Admin TSP</t>
        </is>
      </c>
      <c r="P155" s="122" t="inlineStr">
        <is>
          <t>HARIAN</t>
        </is>
      </c>
      <c r="Q155" s="130" t="inlineStr">
        <is>
          <t>JL. PURNAWARMAN BARAT RT/RW. 015/003, DESA. SINDANGKASIH; KEC. PURWAKRTA; KAB. PURWAKARTA</t>
        </is>
      </c>
      <c r="R155" s="122" t="n">
        <v>15</v>
      </c>
      <c r="S155" s="122" t="n">
        <v>3</v>
      </c>
      <c r="T155" s="122" t="n">
        <v>41112</v>
      </c>
      <c r="U155" s="122" t="inlineStr">
        <is>
          <t>PURWAKARTA</t>
        </is>
      </c>
      <c r="V155" s="122" t="inlineStr">
        <is>
          <t>SINDANGKASIH</t>
        </is>
      </c>
      <c r="W155" s="122" t="inlineStr">
        <is>
          <t>PURWAKARTA</t>
        </is>
      </c>
      <c r="X155" s="130" t="inlineStr">
        <is>
          <t>JL. PURNAWARMAN BARAT RT/RW. 015/003, DESA. SINDANGKASIH; KEC. PURWAKRTA; KAB. PURWAKARTA</t>
        </is>
      </c>
      <c r="Y155" s="122" t="n">
        <v>85926066114</v>
      </c>
      <c r="Z155" s="131" t="inlineStr">
        <is>
          <t>ISLAM</t>
        </is>
      </c>
      <c r="AA155" s="122" t="inlineStr">
        <is>
          <t>S1</t>
        </is>
      </c>
      <c r="AB155" s="132" t="n"/>
      <c r="AC155" s="17" t="n">
        <v>153</v>
      </c>
      <c r="AD155" s="133" t="n">
        <v>328000294</v>
      </c>
      <c r="AE155" s="134" t="inlineStr">
        <is>
          <t>BAMBANG IRAWAN</t>
        </is>
      </c>
      <c r="AF155" s="133" t="inlineStr">
        <is>
          <t>PRODUCTION</t>
        </is>
      </c>
      <c r="AG155" s="135" t="n">
        <v>24203133129</v>
      </c>
      <c r="AH155" s="136" t="n">
        <v>2394912497</v>
      </c>
    </row>
    <row r="156" ht="15.75" customHeight="1" s="169">
      <c r="A156" s="122">
        <f>A155+1</f>
        <v/>
      </c>
      <c r="B156" s="123" t="n">
        <v>328000296</v>
      </c>
      <c r="C156" s="122" t="inlineStr">
        <is>
          <t>3214015808050001</t>
        </is>
      </c>
      <c r="D156" s="124" t="inlineStr">
        <is>
          <t>RAHMA INDIRA AZHARA</t>
        </is>
      </c>
      <c r="E156" s="122" t="inlineStr">
        <is>
          <t>PURWAKARTA</t>
        </is>
      </c>
      <c r="F156" s="125" t="inlineStr">
        <is>
          <t>TKD</t>
        </is>
      </c>
      <c r="G156" s="125" t="inlineStr">
        <is>
          <t>Ormas Lodaya</t>
        </is>
      </c>
      <c r="H156" s="125" t="inlineStr">
        <is>
          <t>TITIPAN PAK TIGOR</t>
        </is>
      </c>
      <c r="I156" s="127" t="n">
        <v>38582</v>
      </c>
      <c r="J156" s="128">
        <f>DATEDIF(I156, TODAY(), "Y") &amp; " tahun, " &amp; DATEDIF(I156, TODAY(), "YM") &amp; " bulan, " &amp; DATEDIF(I156, TODAY(), "MD") &amp; " hari"
</f>
        <v/>
      </c>
      <c r="K156" s="122" t="inlineStr">
        <is>
          <t>P</t>
        </is>
      </c>
      <c r="L156" s="122" t="inlineStr">
        <is>
          <t>PACKER</t>
        </is>
      </c>
      <c r="M156" s="122">
        <f>VLOOKUP(B156,Sheet21!A:N,14,0)</f>
        <v/>
      </c>
      <c r="N156" s="129" t="inlineStr">
        <is>
          <t>PRODUKSI</t>
        </is>
      </c>
      <c r="O156" s="122" t="inlineStr">
        <is>
          <t>Packer</t>
        </is>
      </c>
      <c r="P156" s="122" t="inlineStr">
        <is>
          <t>HARIAN</t>
        </is>
      </c>
      <c r="Q156" s="130" t="inlineStr">
        <is>
          <t>KP. KRAJAN I RT/RW. 007/003, DESA. TEGALMUNJUL; KEC. PURWAKARTA; KAB. PURWAKARTA</t>
        </is>
      </c>
      <c r="R156" s="122" t="n">
        <v>7</v>
      </c>
      <c r="S156" s="122" t="n">
        <v>3</v>
      </c>
      <c r="T156" s="137" t="n"/>
      <c r="U156" s="122" t="inlineStr">
        <is>
          <t>PURWAKARTA</t>
        </is>
      </c>
      <c r="V156" s="122" t="inlineStr">
        <is>
          <t>TEGALMUNJUL</t>
        </is>
      </c>
      <c r="W156" s="122" t="inlineStr">
        <is>
          <t>PURWAKARTA</t>
        </is>
      </c>
      <c r="X156" s="130" t="inlineStr">
        <is>
          <t>KP. KRAJAN I RT/RW. 007/003, DESA. TEGALMUNJUL; KEC. PURWAKARTA; KAB. PURWAKARTA</t>
        </is>
      </c>
      <c r="Y156" s="122" t="n">
        <v>87791895315</v>
      </c>
      <c r="Z156" s="131" t="inlineStr">
        <is>
          <t>ISLAM</t>
        </is>
      </c>
      <c r="AA156" s="122" t="inlineStr">
        <is>
          <t>SMK</t>
        </is>
      </c>
      <c r="AB156" s="132" t="n"/>
      <c r="AC156" s="17" t="n">
        <v>154</v>
      </c>
      <c r="AD156" s="133" t="n">
        <v>328000295</v>
      </c>
      <c r="AE156" s="96" t="inlineStr">
        <is>
          <t>REVA HERLAMBANG</t>
        </is>
      </c>
      <c r="AF156" s="133" t="inlineStr">
        <is>
          <t>PRODUCTION</t>
        </is>
      </c>
      <c r="AG156" s="135" t="n">
        <v>24203133103</v>
      </c>
      <c r="AH156" s="136" t="n">
        <v>1158969216</v>
      </c>
    </row>
    <row r="157" ht="15.75" customHeight="1" s="169">
      <c r="A157" s="122">
        <f>A156+1</f>
        <v/>
      </c>
      <c r="B157" s="123" t="n">
        <v>328000297</v>
      </c>
      <c r="C157" s="122" t="inlineStr">
        <is>
          <t>3214126512050001</t>
        </is>
      </c>
      <c r="D157" s="124" t="inlineStr">
        <is>
          <t>AMALIATUS SHIDQIA</t>
        </is>
      </c>
      <c r="E157" s="122" t="inlineStr">
        <is>
          <t>PURWAKARTA</t>
        </is>
      </c>
      <c r="F157" s="125" t="inlineStr">
        <is>
          <t>TKD</t>
        </is>
      </c>
      <c r="G157" s="125" t="inlineStr">
        <is>
          <t xml:space="preserve">Karang Taruna Hegarmanah </t>
        </is>
      </c>
      <c r="H157" s="125" t="inlineStr">
        <is>
          <t>TITIPAN KARANG TARUNA HEGARMANAH</t>
        </is>
      </c>
      <c r="I157" s="127" t="n">
        <v>38711</v>
      </c>
      <c r="J157" s="128">
        <f>DATEDIF(I157, TODAY(), "Y") &amp; " tahun, " &amp; DATEDIF(I157, TODAY(), "YM") &amp; " bulan, " &amp; DATEDIF(I157, TODAY(), "MD") &amp; " hari"
</f>
        <v/>
      </c>
      <c r="K157" s="122" t="inlineStr">
        <is>
          <t>P</t>
        </is>
      </c>
      <c r="L157" s="122" t="inlineStr">
        <is>
          <t>PACKER</t>
        </is>
      </c>
      <c r="M157" s="122">
        <f>VLOOKUP(B157,Sheet21!A:N,14,0)</f>
        <v/>
      </c>
      <c r="N157" s="129" t="inlineStr">
        <is>
          <t>PRODUKSI</t>
        </is>
      </c>
      <c r="O157" s="122" t="inlineStr">
        <is>
          <t>Packer</t>
        </is>
      </c>
      <c r="P157" s="122" t="inlineStr">
        <is>
          <t>HARIAN</t>
        </is>
      </c>
      <c r="Q157" s="130" t="inlineStr">
        <is>
          <t>KP. PARUNGDADAP RT/RW.002/001, DESA. HEGARMANAH; KEC. BABAKANCIKAO; KAB. PURWAKARTA</t>
        </is>
      </c>
      <c r="R157" s="122" t="n">
        <v>2</v>
      </c>
      <c r="S157" s="122" t="n">
        <v>1</v>
      </c>
      <c r="T157" s="122" t="n">
        <v>41151</v>
      </c>
      <c r="U157" s="122" t="inlineStr">
        <is>
          <t>BABAKANCIKAO</t>
        </is>
      </c>
      <c r="V157" s="122" t="inlineStr">
        <is>
          <t>HEGARMANAH</t>
        </is>
      </c>
      <c r="W157" s="122" t="inlineStr">
        <is>
          <t>PURWAKARTA</t>
        </is>
      </c>
      <c r="X157" s="130" t="inlineStr">
        <is>
          <t>KP. PARUNGDADAP RT/RW.002/001, DESA. HEGARMANAH; KEC. BABAKANCIKAO; KAB. PURWAKARTA</t>
        </is>
      </c>
      <c r="Y157" s="122" t="n">
        <v>88218783824</v>
      </c>
      <c r="Z157" s="131" t="inlineStr">
        <is>
          <t>ISLAM</t>
        </is>
      </c>
      <c r="AA157" s="122" t="inlineStr">
        <is>
          <t>SMK</t>
        </is>
      </c>
      <c r="AB157" s="132" t="n"/>
      <c r="AC157" s="17" t="n">
        <v>155</v>
      </c>
      <c r="AD157" s="133" t="n">
        <v>328000296</v>
      </c>
      <c r="AE157" s="134" t="inlineStr">
        <is>
          <t>RAHMA INDIRA AZHARA</t>
        </is>
      </c>
      <c r="AF157" s="133" t="inlineStr">
        <is>
          <t>PRODUCTION</t>
        </is>
      </c>
      <c r="AG157" s="135" t="n">
        <v>24203133095</v>
      </c>
      <c r="AH157" s="136" t="n">
        <v>1010118734</v>
      </c>
    </row>
    <row r="158" ht="15.75" customHeight="1" s="169">
      <c r="A158" s="122">
        <f>A157+1</f>
        <v/>
      </c>
      <c r="B158" s="123" t="n">
        <v>328000298</v>
      </c>
      <c r="C158" s="143" t="inlineStr">
        <is>
          <t>3214014910000000</t>
        </is>
      </c>
      <c r="D158" s="124" t="inlineStr">
        <is>
          <t>SILFANNY OKTAVIA WIGUNA</t>
        </is>
      </c>
      <c r="E158" s="122" t="inlineStr">
        <is>
          <t>PURWAKARTA</t>
        </is>
      </c>
      <c r="F158" s="125" t="inlineStr">
        <is>
          <t>TKD</t>
        </is>
      </c>
      <c r="G158" s="125" t="inlineStr">
        <is>
          <t>Polsek Purwakarta</t>
        </is>
      </c>
      <c r="H158" s="125" t="inlineStr">
        <is>
          <t>POLSEK PLERED PAK UNDANG</t>
        </is>
      </c>
      <c r="I158" s="127" t="n">
        <v>36828</v>
      </c>
      <c r="J158" s="128">
        <f>DATEDIF(I158, TODAY(), "Y") &amp; " tahun, " &amp; DATEDIF(I158, TODAY(), "YM") &amp; " bulan, " &amp; DATEDIF(I158, TODAY(), "MD") &amp; " hari"
</f>
        <v/>
      </c>
      <c r="K158" s="122" t="inlineStr">
        <is>
          <t>P</t>
        </is>
      </c>
      <c r="L158" s="122" t="inlineStr">
        <is>
          <t>QC PRODUKSI</t>
        </is>
      </c>
      <c r="M158" s="122">
        <f>VLOOKUP(B158,Sheet21!A:N,14,0)</f>
        <v/>
      </c>
      <c r="N158" s="129" t="inlineStr">
        <is>
          <t>QC</t>
        </is>
      </c>
      <c r="O158" s="122" t="inlineStr">
        <is>
          <t>QC Produksi</t>
        </is>
      </c>
      <c r="P158" s="122" t="inlineStr">
        <is>
          <t>HARIAN</t>
        </is>
      </c>
      <c r="Q158" s="130" t="inlineStr">
        <is>
          <t>BARANANG SIANG RT/RW. 031/005, DESA. SINDANGKASIH; KEC. PURWAKARTA; KAB. PURWAKARTA</t>
        </is>
      </c>
      <c r="R158" s="122" t="n">
        <v>31</v>
      </c>
      <c r="S158" s="122" t="n">
        <v>5</v>
      </c>
      <c r="T158" s="137" t="n"/>
      <c r="U158" s="122" t="inlineStr">
        <is>
          <t>PURWAKARTA</t>
        </is>
      </c>
      <c r="V158" s="122" t="inlineStr">
        <is>
          <t>SINDANGKASIH</t>
        </is>
      </c>
      <c r="W158" s="122" t="inlineStr">
        <is>
          <t>PURWAKARTA</t>
        </is>
      </c>
      <c r="X158" s="130" t="inlineStr">
        <is>
          <t>BARANANG SIANG RT/RW. 031/005, DESA. SINDANGKASIH; KEC. PURWAKARTA; KAB. PURWAKARTA</t>
        </is>
      </c>
      <c r="Y158" s="122" t="n">
        <v>87820194064</v>
      </c>
      <c r="Z158" s="131" t="inlineStr">
        <is>
          <t>ISLAM</t>
        </is>
      </c>
      <c r="AA158" s="122" t="inlineStr">
        <is>
          <t>S1</t>
        </is>
      </c>
      <c r="AB158" s="132" t="n"/>
      <c r="AC158" s="17" t="n">
        <v>156</v>
      </c>
      <c r="AD158" s="133" t="n">
        <v>328000297</v>
      </c>
      <c r="AE158" s="96" t="inlineStr">
        <is>
          <t>AMALIATUS SHIDQIA</t>
        </is>
      </c>
      <c r="AF158" s="133" t="inlineStr">
        <is>
          <t>PRODUCTION</t>
        </is>
      </c>
      <c r="AG158" s="135" t="n">
        <v>24203133111</v>
      </c>
      <c r="AH158" s="136" t="n">
        <v>1661921087</v>
      </c>
    </row>
    <row r="159" ht="15.75" customHeight="1" s="169">
      <c r="A159" s="122">
        <f>A158+1</f>
        <v/>
      </c>
      <c r="B159" s="123" t="n">
        <v>328000299</v>
      </c>
      <c r="C159" s="122" t="inlineStr">
        <is>
          <t>1871055903050002</t>
        </is>
      </c>
      <c r="D159" s="146" t="inlineStr">
        <is>
          <t>RATU THYARA REVA KHARINA</t>
        </is>
      </c>
      <c r="E159" s="147" t="inlineStr">
        <is>
          <t>TANJUNG PINANG</t>
        </is>
      </c>
      <c r="F159" s="125" t="inlineStr">
        <is>
          <t>LINK</t>
        </is>
      </c>
      <c r="G159" s="96" t="n"/>
      <c r="H159" s="125" t="inlineStr">
        <is>
          <t>PT KMJ</t>
        </is>
      </c>
      <c r="I159" s="127" t="n">
        <v>38430</v>
      </c>
      <c r="J159" s="128">
        <f>DATEDIF(I159, TODAY(), "Y") &amp; " tahun, " &amp; DATEDIF(I159, TODAY(), "YM") &amp; " bulan, " &amp; DATEDIF(I159, TODAY(), "MD") &amp; " hari"
</f>
        <v/>
      </c>
      <c r="K159" s="148" t="inlineStr">
        <is>
          <t>P</t>
        </is>
      </c>
      <c r="L159" s="122" t="inlineStr">
        <is>
          <t>PACKER</t>
        </is>
      </c>
      <c r="M159" s="122">
        <f>VLOOKUP(B159,Sheet21!A:N,14,0)</f>
        <v/>
      </c>
      <c r="N159" s="129" t="inlineStr">
        <is>
          <t>PRODUKSI</t>
        </is>
      </c>
      <c r="O159" s="148" t="inlineStr">
        <is>
          <t>Packer</t>
        </is>
      </c>
      <c r="P159" s="148" t="inlineStr">
        <is>
          <t>HARIAN</t>
        </is>
      </c>
      <c r="Q159" s="147" t="inlineStr">
        <is>
          <t>GRAND PANGHEGAR RESIDENCE D3 NO.5 RT/RW. 006/003; DESA. HEGARMANAH; KEC.BABAKANCIKAO; KAB. PURWAKARTA</t>
        </is>
      </c>
      <c r="R159" s="148" t="n">
        <v>6</v>
      </c>
      <c r="S159" s="148" t="n">
        <v>3</v>
      </c>
      <c r="T159" s="148" t="n">
        <v>41151</v>
      </c>
      <c r="U159" s="148" t="inlineStr">
        <is>
          <t>BABAKANCIKAO</t>
        </is>
      </c>
      <c r="V159" s="148" t="inlineStr">
        <is>
          <t>HEGARMANAH</t>
        </is>
      </c>
      <c r="W159" s="148" t="inlineStr">
        <is>
          <t>PURWAKARTA</t>
        </is>
      </c>
      <c r="X159" s="147" t="inlineStr">
        <is>
          <t>GRAND PANGHEGAR RESIDENCE D3 NO.5 RT/RW. 006/003; DESA. HEGARMANAH; KEC.BABAKANCIKAO; KAB. PURWAKARTA</t>
        </is>
      </c>
      <c r="Y159" s="143" t="inlineStr">
        <is>
          <t>083139440494</t>
        </is>
      </c>
      <c r="Z159" s="148" t="inlineStr">
        <is>
          <t>ISLAM</t>
        </is>
      </c>
      <c r="AA159" s="148" t="inlineStr">
        <is>
          <t>SMA</t>
        </is>
      </c>
      <c r="AB159" s="149" t="n"/>
      <c r="AC159" s="17" t="n">
        <v>157</v>
      </c>
      <c r="AD159" s="133" t="n">
        <v>328000298</v>
      </c>
      <c r="AE159" s="96" t="inlineStr">
        <is>
          <t>SILFANNY OKTAVIA WIGUNA</t>
        </is>
      </c>
      <c r="AF159" s="133" t="inlineStr">
        <is>
          <t>QUALITY AND RESEARCH &amp; DEVELOPMENT</t>
        </is>
      </c>
      <c r="AG159" s="135" t="n">
        <v>25003406573</v>
      </c>
      <c r="AH159" s="136" t="n">
        <v>1274479378</v>
      </c>
    </row>
    <row r="160" ht="15.75" customHeight="1" s="169">
      <c r="A160" s="122">
        <f>A159+1</f>
        <v/>
      </c>
      <c r="B160" s="123" t="n">
        <v>328000300</v>
      </c>
      <c r="C160" s="122" t="inlineStr">
        <is>
          <t>3214122403020004</t>
        </is>
      </c>
      <c r="D160" s="146" t="inlineStr">
        <is>
          <t>EGA ANGGARA</t>
        </is>
      </c>
      <c r="E160" s="147" t="inlineStr">
        <is>
          <t>CIREBON</t>
        </is>
      </c>
      <c r="F160" s="125" t="inlineStr">
        <is>
          <t>LINK</t>
        </is>
      </c>
      <c r="G160" s="96" t="n"/>
      <c r="H160" s="125" t="inlineStr">
        <is>
          <t>PT KMJ</t>
        </is>
      </c>
      <c r="I160" s="127" t="n">
        <v>37339</v>
      </c>
      <c r="J160" s="128">
        <f>DATEDIF(I160, TODAY(), "Y") &amp; " tahun, " &amp; DATEDIF(I160, TODAY(), "YM") &amp; " bulan, " &amp; DATEDIF(I160, TODAY(), "MD") &amp; " hari"
</f>
        <v/>
      </c>
      <c r="K160" s="148" t="inlineStr">
        <is>
          <t>L</t>
        </is>
      </c>
      <c r="L160" s="122" t="inlineStr">
        <is>
          <t>ENGINEERING</t>
        </is>
      </c>
      <c r="M160" s="122">
        <f>VLOOKUP(B160,Sheet21!A:N,14,0)</f>
        <v/>
      </c>
      <c r="N160" s="129" t="inlineStr">
        <is>
          <t>ENG</t>
        </is>
      </c>
      <c r="O160" s="122" t="inlineStr">
        <is>
          <t>Glue Machine Maintenance</t>
        </is>
      </c>
      <c r="P160" s="148" t="inlineStr">
        <is>
          <t>HARIAN</t>
        </is>
      </c>
      <c r="Q160" s="147" t="inlineStr">
        <is>
          <t>PERUM CITRA PESONA SUKADANA BLOK C 17; RT/RW.001/002; DESA. SUKADANA; KEC. PABUARAN</t>
        </is>
      </c>
      <c r="R160" s="148" t="n">
        <v>1</v>
      </c>
      <c r="S160" s="148" t="n">
        <v>2</v>
      </c>
      <c r="T160" s="150" t="n"/>
      <c r="U160" s="148" t="inlineStr">
        <is>
          <t>PABUARAN</t>
        </is>
      </c>
      <c r="V160" s="148" t="inlineStr">
        <is>
          <t>SUKADANA</t>
        </is>
      </c>
      <c r="W160" s="148" t="inlineStr">
        <is>
          <t>PURWAKARTA</t>
        </is>
      </c>
      <c r="X160" s="147" t="inlineStr">
        <is>
          <t>PERUM CITRA PESONA SUKADANA BLOK C 17; RT/RW.001/002; DESA. SUKADANA; KEC. PABUARAN</t>
        </is>
      </c>
      <c r="Y160" s="122" t="inlineStr">
        <is>
          <t>085703472078/082210463836</t>
        </is>
      </c>
      <c r="Z160" s="148" t="inlineStr">
        <is>
          <t>ISLAM</t>
        </is>
      </c>
      <c r="AA160" s="148" t="inlineStr">
        <is>
          <t>SMK</t>
        </is>
      </c>
      <c r="AB160" s="149" t="n"/>
      <c r="AC160" s="17" t="n">
        <v>158</v>
      </c>
      <c r="AD160" s="133" t="n">
        <v>328000299</v>
      </c>
      <c r="AE160" s="96" t="inlineStr">
        <is>
          <t>RATU THYARA REVA KHARINA</t>
        </is>
      </c>
      <c r="AF160" s="133" t="inlineStr">
        <is>
          <t>PRODUCTION</t>
        </is>
      </c>
      <c r="AG160" s="135" t="n">
        <v>25003406532</v>
      </c>
      <c r="AH160" s="136" t="n">
        <v>3637625387</v>
      </c>
    </row>
    <row r="161" ht="15.75" customHeight="1" s="169">
      <c r="A161" s="122">
        <f>A160+1</f>
        <v/>
      </c>
      <c r="B161" s="123" t="n">
        <v>328000301</v>
      </c>
      <c r="C161" s="122" t="inlineStr">
        <is>
          <t>3214124401020001</t>
        </is>
      </c>
      <c r="D161" s="146" t="inlineStr">
        <is>
          <t>CINDY PERMATASARI</t>
        </is>
      </c>
      <c r="E161" s="147" t="inlineStr">
        <is>
          <t>PURWAKARTA</t>
        </is>
      </c>
      <c r="F161" s="125" t="inlineStr">
        <is>
          <t>TKD</t>
        </is>
      </c>
      <c r="G161" s="125" t="inlineStr">
        <is>
          <t xml:space="preserve">Karang Taruna Hegarmanah </t>
        </is>
      </c>
      <c r="H161" s="125" t="inlineStr">
        <is>
          <t>TITIPAN KARANG TARUNA HEGARMANAH</t>
        </is>
      </c>
      <c r="I161" s="127" t="n">
        <v>37260</v>
      </c>
      <c r="J161" s="128">
        <f>DATEDIF(I161, TODAY(), "Y") &amp; " tahun, " &amp; DATEDIF(I161, TODAY(), "YM") &amp; " bulan, " &amp; DATEDIF(I161, TODAY(), "MD") &amp; " hari"
</f>
        <v/>
      </c>
      <c r="K161" s="148" t="inlineStr">
        <is>
          <t>P</t>
        </is>
      </c>
      <c r="L161" s="148" t="inlineStr">
        <is>
          <t>ADMIN WRM</t>
        </is>
      </c>
      <c r="M161" s="122">
        <f>VLOOKUP(B161,Sheet21!A:N,14,0)</f>
        <v/>
      </c>
      <c r="N161" s="129" t="inlineStr">
        <is>
          <t>LOGISTIK</t>
        </is>
      </c>
      <c r="O161" s="148" t="inlineStr">
        <is>
          <t>Admin WRM</t>
        </is>
      </c>
      <c r="P161" s="148" t="inlineStr">
        <is>
          <t>HARIAN</t>
        </is>
      </c>
      <c r="Q161" s="147" t="inlineStr">
        <is>
          <t>KP. HEGARMANAH RT/RW.001/004;DESA. HEGARMANAH; KEC.BABAKANCIKAO; KAB. PURWAKARTA</t>
        </is>
      </c>
      <c r="R161" s="148" t="n">
        <v>11</v>
      </c>
      <c r="S161" s="148" t="n">
        <v>4</v>
      </c>
      <c r="T161" s="150" t="n"/>
      <c r="U161" s="148" t="inlineStr">
        <is>
          <t>BABAKANCIKAO</t>
        </is>
      </c>
      <c r="V161" s="148" t="inlineStr">
        <is>
          <t>HEGARMANAH</t>
        </is>
      </c>
      <c r="W161" s="148" t="inlineStr">
        <is>
          <t>PURWAKARTA</t>
        </is>
      </c>
      <c r="X161" s="147" t="inlineStr">
        <is>
          <t>KP. HEGARMANAH RT/RW.001/004;DESA. HEGARMANAH; KEC.BABAKANCIKAO; KAB. PURWAKARTA</t>
        </is>
      </c>
      <c r="Y161" s="143" t="inlineStr">
        <is>
          <t>081293001472</t>
        </is>
      </c>
      <c r="Z161" s="148" t="inlineStr">
        <is>
          <t>ISLAM</t>
        </is>
      </c>
      <c r="AA161" s="148" t="inlineStr">
        <is>
          <t>S1</t>
        </is>
      </c>
      <c r="AB161" s="149" t="n"/>
      <c r="AC161" s="17" t="n">
        <v>159</v>
      </c>
      <c r="AD161" s="133" t="n">
        <v>328000300</v>
      </c>
      <c r="AE161" s="96" t="inlineStr">
        <is>
          <t>EGA ANGGARA</t>
        </is>
      </c>
      <c r="AF161" s="133" t="inlineStr">
        <is>
          <t>ENGINEERING</t>
        </is>
      </c>
      <c r="AG161" s="135" t="n">
        <v>25003406557</v>
      </c>
      <c r="AH161" s="136" t="n">
        <v>2043624172</v>
      </c>
    </row>
    <row r="162" ht="15.75" customHeight="1" s="169">
      <c r="A162" s="122">
        <f>A161+1</f>
        <v/>
      </c>
      <c r="B162" s="123" t="n">
        <v>328000302</v>
      </c>
      <c r="C162" s="122" t="inlineStr">
        <is>
          <t>32141256712050001</t>
        </is>
      </c>
      <c r="D162" s="146" t="inlineStr">
        <is>
          <t>ALFIA NURULLITA</t>
        </is>
      </c>
      <c r="E162" s="147" t="inlineStr">
        <is>
          <t>PURWAKARTA</t>
        </is>
      </c>
      <c r="F162" s="125" t="inlineStr">
        <is>
          <t>TKD</t>
        </is>
      </c>
      <c r="G162" s="125" t="inlineStr">
        <is>
          <t xml:space="preserve">Karang Taruna Hegarmanah </t>
        </is>
      </c>
      <c r="H162" s="125" t="inlineStr">
        <is>
          <t>TITIPAN KARANG TARUNA HEGARMANAH</t>
        </is>
      </c>
      <c r="I162" s="127" t="n">
        <v>38713</v>
      </c>
      <c r="J162" s="128">
        <f>DATEDIF(I162, TODAY(), "Y") &amp; " tahun, " &amp; DATEDIF(I162, TODAY(), "YM") &amp; " bulan, " &amp; DATEDIF(I162, TODAY(), "MD") &amp; " hari"
</f>
        <v/>
      </c>
      <c r="K162" s="148" t="inlineStr">
        <is>
          <t>P</t>
        </is>
      </c>
      <c r="L162" s="148" t="inlineStr">
        <is>
          <t>PACKER</t>
        </is>
      </c>
      <c r="M162" s="122">
        <f>VLOOKUP(B162,Sheet21!A:N,14,0)</f>
        <v/>
      </c>
      <c r="N162" s="129" t="inlineStr">
        <is>
          <t>PRODUKSI</t>
        </is>
      </c>
      <c r="O162" s="122" t="inlineStr">
        <is>
          <t>Packer</t>
        </is>
      </c>
      <c r="P162" s="148" t="inlineStr">
        <is>
          <t>HARIAN</t>
        </is>
      </c>
      <c r="Q162" s="147" t="inlineStr">
        <is>
          <t>KP. WARUNGBUAH RT/RW. 015/006, DESA. HEGARMANAH; KEC. BABAKANCIKAO; KAB. PURWAKARTA</t>
        </is>
      </c>
      <c r="R162" s="148" t="n">
        <v>15</v>
      </c>
      <c r="S162" s="148" t="n">
        <v>6</v>
      </c>
      <c r="T162" s="150" t="n"/>
      <c r="U162" s="148" t="inlineStr">
        <is>
          <t>BABAKANCIKAO</t>
        </is>
      </c>
      <c r="V162" s="148" t="inlineStr">
        <is>
          <t>HEGARMANAH</t>
        </is>
      </c>
      <c r="W162" s="148" t="inlineStr">
        <is>
          <t>PURWAKARTA</t>
        </is>
      </c>
      <c r="X162" s="147" t="inlineStr">
        <is>
          <t>KP. WARUNGBUAH RT/RW. 015/006, DESA. HEGARMANAH; KEC. BABAKANCIKAO; KAB. PURWAKARTA</t>
        </is>
      </c>
      <c r="Y162" s="150" t="n"/>
      <c r="Z162" s="122" t="inlineStr">
        <is>
          <t>ISLAM</t>
        </is>
      </c>
      <c r="AA162" s="148" t="inlineStr">
        <is>
          <t>SMK</t>
        </is>
      </c>
      <c r="AB162" s="149" t="n"/>
      <c r="AC162" s="17" t="n">
        <v>160</v>
      </c>
      <c r="AD162" s="133" t="n">
        <v>328000301</v>
      </c>
      <c r="AE162" s="96" t="inlineStr">
        <is>
          <t>CINDY PERMATASARI</t>
        </is>
      </c>
      <c r="AF162" s="133" t="inlineStr">
        <is>
          <t>LOGISTIC</t>
        </is>
      </c>
      <c r="AG162" s="135" t="n">
        <v>25003406565</v>
      </c>
      <c r="AH162" s="136" t="n">
        <v>2215256264</v>
      </c>
    </row>
    <row r="163" ht="15.75" customHeight="1" s="169">
      <c r="A163" s="122">
        <f>A162+1</f>
        <v/>
      </c>
      <c r="B163" s="123" t="n">
        <v>328000303</v>
      </c>
      <c r="C163" s="122" t="inlineStr">
        <is>
          <t>3203156406040007</t>
        </is>
      </c>
      <c r="D163" s="146" t="inlineStr">
        <is>
          <t>SITI SRI RAHAYU</t>
        </is>
      </c>
      <c r="E163" s="147" t="inlineStr">
        <is>
          <t>CIANJUR</t>
        </is>
      </c>
      <c r="F163" s="125" t="inlineStr">
        <is>
          <t>TKD</t>
        </is>
      </c>
      <c r="G163" s="125" t="inlineStr">
        <is>
          <t>Pak Wahyudin</t>
        </is>
      </c>
      <c r="H163" s="125" t="inlineStr">
        <is>
          <t>TITIPAN PAK WAHYUDIN</t>
        </is>
      </c>
      <c r="I163" s="127" t="n">
        <v>38162</v>
      </c>
      <c r="J163" s="128">
        <f>DATEDIF(I163, TODAY(), "Y") &amp; " tahun, " &amp; DATEDIF(I163, TODAY(), "YM") &amp; " bulan, " &amp; DATEDIF(I163, TODAY(), "MD") &amp; " hari"
</f>
        <v/>
      </c>
      <c r="K163" s="148" t="inlineStr">
        <is>
          <t>P</t>
        </is>
      </c>
      <c r="L163" s="148" t="inlineStr">
        <is>
          <t>PACKER</t>
        </is>
      </c>
      <c r="M163" s="122">
        <f>VLOOKUP(B163,Sheet21!A:N,14,0)</f>
        <v/>
      </c>
      <c r="N163" s="129" t="inlineStr">
        <is>
          <t>PRODUKSI</t>
        </is>
      </c>
      <c r="O163" s="122" t="inlineStr">
        <is>
          <t>Packer</t>
        </is>
      </c>
      <c r="P163" s="148" t="inlineStr">
        <is>
          <t>HARIAN</t>
        </is>
      </c>
      <c r="Q163" s="147" t="inlineStr">
        <is>
          <t>KP. MARGASARI RT/RW. 003/003, DESA. SUKADANA, KEC. CAMPAKA, KAB. CIANJUR</t>
        </is>
      </c>
      <c r="R163" s="148" t="n">
        <v>3</v>
      </c>
      <c r="S163" s="148" t="n">
        <v>3</v>
      </c>
      <c r="T163" s="150" t="n"/>
      <c r="U163" s="148" t="inlineStr">
        <is>
          <t>CAMPAKA</t>
        </is>
      </c>
      <c r="V163" s="148" t="inlineStr">
        <is>
          <t>SUKADANA</t>
        </is>
      </c>
      <c r="W163" s="148" t="inlineStr">
        <is>
          <t>CIANJUR</t>
        </is>
      </c>
      <c r="X163" s="147" t="inlineStr">
        <is>
          <t>KP. MARGASARI RT/RW. 003/003, DESA. SUKADANA, KEC. CAMPAKA, KAB. CIANJUR</t>
        </is>
      </c>
      <c r="Y163" s="151" t="n">
        <v>83101216550</v>
      </c>
      <c r="Z163" s="122" t="inlineStr">
        <is>
          <t>ISLAM</t>
        </is>
      </c>
      <c r="AA163" s="148" t="inlineStr">
        <is>
          <t>SMA</t>
        </is>
      </c>
      <c r="AB163" s="149" t="n"/>
      <c r="AC163" s="17" t="n">
        <v>161</v>
      </c>
      <c r="AD163" s="133" t="n">
        <v>328000302</v>
      </c>
      <c r="AE163" s="96" t="inlineStr">
        <is>
          <t>ALFIA NURULLITA</t>
        </is>
      </c>
      <c r="AF163" s="133" t="inlineStr">
        <is>
          <t>PRODUCTION</t>
        </is>
      </c>
      <c r="AG163" s="135" t="n">
        <v>25003406540</v>
      </c>
      <c r="AH163" s="136" t="n">
        <v>1663265968</v>
      </c>
    </row>
    <row r="164" ht="15.75" customHeight="1" s="169">
      <c r="A164" s="122">
        <f>A163+1</f>
        <v/>
      </c>
      <c r="B164" s="123" t="n">
        <v>328000304</v>
      </c>
      <c r="C164" s="122" t="inlineStr">
        <is>
          <t>3214011704990006</t>
        </is>
      </c>
      <c r="D164" s="146" t="inlineStr">
        <is>
          <t>RIEZAL AULIA DIENILHAQ</t>
        </is>
      </c>
      <c r="E164" s="147" t="inlineStr">
        <is>
          <t>PURWAKARTA</t>
        </is>
      </c>
      <c r="F164" s="125" t="inlineStr">
        <is>
          <t>LINK</t>
        </is>
      </c>
      <c r="G164" s="96" t="n"/>
      <c r="H164" s="125" t="inlineStr">
        <is>
          <t>PT KMJ</t>
        </is>
      </c>
      <c r="I164" s="127" t="n">
        <v>36257</v>
      </c>
      <c r="J164" s="128">
        <f>DATEDIF(I164, TODAY(), "Y") &amp; " tahun, " &amp; DATEDIF(I164, TODAY(), "YM") &amp; " bulan, " &amp; DATEDIF(I164, TODAY(), "MD") &amp; " hari"
</f>
        <v/>
      </c>
      <c r="K164" s="148" t="inlineStr">
        <is>
          <t>L</t>
        </is>
      </c>
      <c r="L164" s="148" t="inlineStr">
        <is>
          <t>ADMIN WFG</t>
        </is>
      </c>
      <c r="M164" s="122">
        <f>VLOOKUP(B164,Sheet21!A:N,14,0)</f>
        <v/>
      </c>
      <c r="N164" s="129" t="inlineStr">
        <is>
          <t>LOGISTIK</t>
        </is>
      </c>
      <c r="O164" s="148" t="inlineStr">
        <is>
          <t>Admin WFG</t>
        </is>
      </c>
      <c r="P164" s="148" t="inlineStr">
        <is>
          <t>HARIAN</t>
        </is>
      </c>
      <c r="Q164" s="147" t="inlineStr">
        <is>
          <t>GG. SEROJA RT/RW. 043/005 DESA. NAGRIKALER, KEC. PURWAKARTA, KAB. PURWAKARTA</t>
        </is>
      </c>
      <c r="R164" s="148" t="n">
        <v>43</v>
      </c>
      <c r="S164" s="148" t="n">
        <v>5</v>
      </c>
      <c r="T164" s="148" t="n">
        <v>41151</v>
      </c>
      <c r="U164" s="148" t="inlineStr">
        <is>
          <t>PURWAKARTA</t>
        </is>
      </c>
      <c r="V164" s="148" t="inlineStr">
        <is>
          <t>NAGRIKALER</t>
        </is>
      </c>
      <c r="W164" s="148" t="inlineStr">
        <is>
          <t>PURWAKARTA</t>
        </is>
      </c>
      <c r="X164" s="147" t="inlineStr">
        <is>
          <t>GG. SEROJA RT/RW. 043/005 DESA. NAGRIKALER, KEC. PURWAKARTA, KAB. PURWAKARTA</t>
        </is>
      </c>
      <c r="Y164" s="150" t="n"/>
      <c r="Z164" s="148" t="inlineStr">
        <is>
          <t>ISLAM</t>
        </is>
      </c>
      <c r="AA164" s="148" t="inlineStr">
        <is>
          <t>D3</t>
        </is>
      </c>
      <c r="AB164" s="149" t="n"/>
      <c r="AC164" s="17" t="n">
        <v>162</v>
      </c>
      <c r="AD164" s="133" t="n">
        <v>328000303</v>
      </c>
      <c r="AE164" s="134" t="inlineStr">
        <is>
          <t>SITI SRI RAHAYU</t>
        </is>
      </c>
      <c r="AF164" s="133" t="inlineStr">
        <is>
          <t>PRODUCTION</t>
        </is>
      </c>
      <c r="AG164" s="135" t="n">
        <v>25014829383</v>
      </c>
      <c r="AH164" s="136" t="n">
        <v>402059294</v>
      </c>
    </row>
    <row r="165" ht="15.75" customHeight="1" s="169">
      <c r="A165" s="122">
        <f>A164+1</f>
        <v/>
      </c>
      <c r="B165" s="123" t="n">
        <v>328000305</v>
      </c>
      <c r="C165" s="122" t="inlineStr">
        <is>
          <t>1216065903030007</t>
        </is>
      </c>
      <c r="D165" s="146" t="inlineStr">
        <is>
          <t>SURYANI SIHITE</t>
        </is>
      </c>
      <c r="E165" s="147" t="inlineStr">
        <is>
          <t>LUMBAN SIHITE II</t>
        </is>
      </c>
      <c r="F165" s="125" t="inlineStr">
        <is>
          <t>LINK</t>
        </is>
      </c>
      <c r="G165" s="96" t="n"/>
      <c r="H165" s="125" t="inlineStr">
        <is>
          <t>PT KMJ</t>
        </is>
      </c>
      <c r="I165" s="127" t="n">
        <v>37699</v>
      </c>
      <c r="J165" s="128">
        <f>DATEDIF(I165, TODAY(), "Y") &amp; " tahun, " &amp; DATEDIF(I165, TODAY(), "YM") &amp; " bulan, " &amp; DATEDIF(I165, TODAY(), "MD") &amp; " hari"
</f>
        <v/>
      </c>
      <c r="K165" s="148" t="inlineStr">
        <is>
          <t>P</t>
        </is>
      </c>
      <c r="L165" s="148" t="inlineStr">
        <is>
          <t>QC PRODUKSI</t>
        </is>
      </c>
      <c r="M165" s="122">
        <f>VLOOKUP(B165,Sheet21!A:N,14,0)</f>
        <v/>
      </c>
      <c r="N165" s="129" t="inlineStr">
        <is>
          <t>PRODUKSI</t>
        </is>
      </c>
      <c r="O165" s="148" t="inlineStr">
        <is>
          <t>QC Produksi</t>
        </is>
      </c>
      <c r="P165" s="148" t="inlineStr">
        <is>
          <t>HARIAN</t>
        </is>
      </c>
      <c r="Q165" s="147" t="inlineStr">
        <is>
          <t>JL. PERUMAHAN ALAM INDAH SELARAS BLOK B2 NO 12 RT/RW. 009/005 DESA. PASIR JENGKOL, KEC. MAJALAYA, KAB. KARAWANG</t>
        </is>
      </c>
      <c r="R165" s="148" t="n">
        <v>12</v>
      </c>
      <c r="S165" s="148" t="n">
        <v>5</v>
      </c>
      <c r="T165" s="150" t="n"/>
      <c r="U165" s="148" t="inlineStr">
        <is>
          <t>MAJALAYA</t>
        </is>
      </c>
      <c r="V165" s="148" t="inlineStr">
        <is>
          <t>PASIR JENGKOL</t>
        </is>
      </c>
      <c r="W165" s="148" t="inlineStr">
        <is>
          <t>KARAWANG</t>
        </is>
      </c>
      <c r="X165" s="147" t="inlineStr">
        <is>
          <t>JL. PERUMAHAN ALAM INDAH SELARAS BLOK B2 NO 12 RT/RW. 009/005 DESA. PASIR JENGKOL, KEC. MAJALAYA, KAB. KARAWANG</t>
        </is>
      </c>
      <c r="Y165" s="150" t="n"/>
      <c r="Z165" s="148" t="inlineStr">
        <is>
          <t>KRISTEN</t>
        </is>
      </c>
      <c r="AA165" s="148" t="inlineStr">
        <is>
          <t>SMA</t>
        </is>
      </c>
      <c r="AB165" s="149" t="n"/>
      <c r="AC165" s="17" t="n">
        <v>163</v>
      </c>
      <c r="AD165" s="133" t="n">
        <v>328000304</v>
      </c>
      <c r="AE165" s="96" t="inlineStr">
        <is>
          <t>RIEZAL AULIA DIENILHAQ</t>
        </is>
      </c>
      <c r="AF165" s="133" t="inlineStr">
        <is>
          <t>LOGISTIC</t>
        </is>
      </c>
      <c r="AG165" s="135" t="n">
        <v>25014829417</v>
      </c>
      <c r="AH165" s="136" t="n">
        <v>1621451608</v>
      </c>
    </row>
    <row r="166" ht="15.75" customHeight="1" s="169">
      <c r="A166" s="122">
        <f>A165+1</f>
        <v/>
      </c>
      <c r="B166" s="123" t="n">
        <v>328000306</v>
      </c>
      <c r="C166" s="122" t="inlineStr">
        <is>
          <t>7324020202020002</t>
        </is>
      </c>
      <c r="D166" s="146" t="inlineStr">
        <is>
          <t>ALDY BINTANG SYAHPUTRA</t>
        </is>
      </c>
      <c r="E166" s="147" t="inlineStr">
        <is>
          <t>SOROWAKO</t>
        </is>
      </c>
      <c r="F166" s="125" t="inlineStr">
        <is>
          <t>LINK</t>
        </is>
      </c>
      <c r="G166" s="96" t="n"/>
      <c r="H166" s="125" t="inlineStr">
        <is>
          <t>PT KMJ</t>
        </is>
      </c>
      <c r="I166" s="127" t="n">
        <v>37288</v>
      </c>
      <c r="J166" s="128">
        <f>DATEDIF(I166, TODAY(), "Y") &amp; " tahun, " &amp; DATEDIF(I166, TODAY(), "YM") &amp; " bulan, " &amp; DATEDIF(I166, TODAY(), "MD") &amp; " hari"
</f>
        <v/>
      </c>
      <c r="K166" s="148" t="inlineStr">
        <is>
          <t>L</t>
        </is>
      </c>
      <c r="L166" s="148" t="inlineStr">
        <is>
          <t>QC INCOMING</t>
        </is>
      </c>
      <c r="M166" s="122">
        <f>VLOOKUP(B166,Sheet21!A:N,14,0)</f>
        <v/>
      </c>
      <c r="N166" s="129" t="inlineStr">
        <is>
          <t>QC</t>
        </is>
      </c>
      <c r="O166" s="148" t="inlineStr">
        <is>
          <t>QC Incoming</t>
        </is>
      </c>
      <c r="P166" s="148" t="inlineStr">
        <is>
          <t>HARIAN</t>
        </is>
      </c>
      <c r="Q166" s="147" t="inlineStr">
        <is>
          <t>GG. BENTENG RT/RW. 009/003 DESA. KERTAJAYA, KEC. PASAWAHAN, KAB. PURWAKARTA</t>
        </is>
      </c>
      <c r="R166" s="148" t="n">
        <v>9</v>
      </c>
      <c r="S166" s="148" t="n">
        <v>3</v>
      </c>
      <c r="T166" s="150" t="n"/>
      <c r="U166" s="148" t="inlineStr">
        <is>
          <t>PASAWAHAN</t>
        </is>
      </c>
      <c r="V166" s="148" t="inlineStr">
        <is>
          <t>KERTAJAYA</t>
        </is>
      </c>
      <c r="W166" s="148" t="inlineStr">
        <is>
          <t>PURWAKARTA</t>
        </is>
      </c>
      <c r="X166" s="147" t="inlineStr">
        <is>
          <t>GG. BENTENG RT/RW. 009/003 DESA. KERTAJAYA, KEC. PASAWAHAN, KAB. PURWAKARTA</t>
        </is>
      </c>
      <c r="Y166" s="150" t="n"/>
      <c r="Z166" s="148" t="inlineStr">
        <is>
          <t>ISLAM</t>
        </is>
      </c>
      <c r="AA166" s="148" t="inlineStr">
        <is>
          <t>SMA</t>
        </is>
      </c>
      <c r="AB166" s="149" t="n"/>
      <c r="AC166" s="17" t="n">
        <v>164</v>
      </c>
      <c r="AD166" s="133" t="n">
        <v>328000305</v>
      </c>
      <c r="AE166" s="134" t="inlineStr">
        <is>
          <t>SURYANI SIHITE</t>
        </is>
      </c>
      <c r="AF166" s="133" t="inlineStr">
        <is>
          <t>QUALITY AND RESEARCH &amp; DEVELOPMENT</t>
        </is>
      </c>
      <c r="AG166" s="135" t="n">
        <v>25014829367</v>
      </c>
      <c r="AH166" s="136" t="n">
        <v>3129564734</v>
      </c>
    </row>
    <row r="167" ht="15.75" customHeight="1" s="169">
      <c r="A167" s="122">
        <f>A166+1</f>
        <v/>
      </c>
      <c r="B167" s="123" t="n">
        <v>328000307</v>
      </c>
      <c r="C167" s="122" t="inlineStr">
        <is>
          <t>3305136610030001</t>
        </is>
      </c>
      <c r="D167" s="146" t="inlineStr">
        <is>
          <t>OKTI NUR INDAHSARI</t>
        </is>
      </c>
      <c r="E167" s="147" t="inlineStr">
        <is>
          <t>KEBUMEN</t>
        </is>
      </c>
      <c r="F167" s="125" t="inlineStr">
        <is>
          <t>TKD</t>
        </is>
      </c>
      <c r="G167" s="125" t="inlineStr">
        <is>
          <t xml:space="preserve">Karang Taruna Hegarmanah </t>
        </is>
      </c>
      <c r="H167" s="125" t="inlineStr">
        <is>
          <t>TITIPAN KARANG TARUNA HEGARMANAH</t>
        </is>
      </c>
      <c r="I167" s="127" t="n">
        <v>37190</v>
      </c>
      <c r="J167" s="128">
        <f>DATEDIF(I167, TODAY(), "Y") &amp; " tahun, " &amp; DATEDIF(I167, TODAY(), "YM") &amp; " bulan, " &amp; DATEDIF(I167, TODAY(), "MD") &amp; " hari"
</f>
        <v/>
      </c>
      <c r="K167" s="148" t="inlineStr">
        <is>
          <t>P</t>
        </is>
      </c>
      <c r="L167" s="148" t="inlineStr">
        <is>
          <t>QC PRODUKSI</t>
        </is>
      </c>
      <c r="M167" s="122">
        <f>VLOOKUP(B167,Sheet21!A:N,14,0)</f>
        <v/>
      </c>
      <c r="N167" s="129" t="inlineStr">
        <is>
          <t>QC</t>
        </is>
      </c>
      <c r="O167" s="148" t="inlineStr">
        <is>
          <t>QC Produksi</t>
        </is>
      </c>
      <c r="P167" s="148" t="inlineStr">
        <is>
          <t>HARIAN</t>
        </is>
      </c>
      <c r="Q167" s="147" t="inlineStr">
        <is>
          <t>JL. DUKUH KARANGWUNGU RT/RW. 011/004 DESA. KARANGPOH, KEC. PEJAGOAN, KAB. KEBUMEN</t>
        </is>
      </c>
      <c r="R167" s="148" t="n">
        <v>39</v>
      </c>
      <c r="S167" s="148" t="n">
        <v>10</v>
      </c>
      <c r="T167" s="150" t="n"/>
      <c r="U167" s="148" t="inlineStr">
        <is>
          <t>BABAKANCIKAO</t>
        </is>
      </c>
      <c r="V167" s="148" t="inlineStr">
        <is>
          <t>MULYAMEKAR</t>
        </is>
      </c>
      <c r="W167" s="148" t="inlineStr">
        <is>
          <t>PURWAKARTA</t>
        </is>
      </c>
      <c r="X167" s="147" t="inlineStr">
        <is>
          <t>JL. PERUM BUKIT SOERYO RESIDENCE BLOK A5 NO.04 RT/RW. 039/010 DESA. MULYAMEKAR, KEC. BABAKANCIKAO, KAB. PURWAKARTA</t>
        </is>
      </c>
      <c r="Y167" s="152" t="inlineStr">
        <is>
          <t>081904381945</t>
        </is>
      </c>
      <c r="Z167" s="148" t="inlineStr">
        <is>
          <t>ISLAM</t>
        </is>
      </c>
      <c r="AA167" s="148" t="inlineStr">
        <is>
          <t>SMA</t>
        </is>
      </c>
      <c r="AB167" s="149" t="n"/>
      <c r="AC167" s="17" t="n">
        <v>165</v>
      </c>
      <c r="AD167" s="133" t="n">
        <v>328000306</v>
      </c>
      <c r="AE167" s="96" t="inlineStr">
        <is>
          <t>ALDY BINTANG SYAHPUTRA</t>
        </is>
      </c>
      <c r="AF167" s="133" t="inlineStr">
        <is>
          <t>QUALITY AND RESEARCH &amp; DEVELOPMENT</t>
        </is>
      </c>
      <c r="AG167" s="135" t="n">
        <v>25014829409</v>
      </c>
      <c r="AH167" s="136" t="n">
        <v>2379281319</v>
      </c>
    </row>
    <row r="168" ht="15.75" customHeight="1" s="169">
      <c r="A168" s="122">
        <f>A167+1</f>
        <v/>
      </c>
      <c r="B168" s="123" t="n">
        <v>328000308</v>
      </c>
      <c r="C168" s="122" t="inlineStr">
        <is>
          <t>3206035003030002</t>
        </is>
      </c>
      <c r="D168" s="146" t="inlineStr">
        <is>
          <t>LIA AULIYA</t>
        </is>
      </c>
      <c r="E168" s="147" t="inlineStr">
        <is>
          <t>TASIK MALAYA</t>
        </is>
      </c>
      <c r="F168" s="125" t="inlineStr">
        <is>
          <t>TKD</t>
        </is>
      </c>
      <c r="G168" s="125" t="inlineStr">
        <is>
          <t xml:space="preserve">Karang Taruna Hegarmanah </t>
        </is>
      </c>
      <c r="H168" s="125" t="inlineStr">
        <is>
          <t>TITIPAN KARANG TARUNA HEGARMANAH</t>
        </is>
      </c>
      <c r="I168" s="127" t="n">
        <v>37631</v>
      </c>
      <c r="J168" s="128">
        <f>DATEDIF(I168, TODAY(), "Y") &amp; " tahun, " &amp; DATEDIF(I168, TODAY(), "YM") &amp; " bulan, " &amp; DATEDIF(I168, TODAY(), "MD") &amp; " hari"
</f>
        <v/>
      </c>
      <c r="K168" s="148" t="inlineStr">
        <is>
          <t>P</t>
        </is>
      </c>
      <c r="L168" s="148" t="inlineStr">
        <is>
          <t>QC LAB</t>
        </is>
      </c>
      <c r="M168" s="122">
        <f>VLOOKUP(B168,Sheet21!A:N,14,0)</f>
        <v/>
      </c>
      <c r="N168" s="129" t="inlineStr">
        <is>
          <t>QC</t>
        </is>
      </c>
      <c r="O168" s="148" t="inlineStr">
        <is>
          <t>QC Lab</t>
        </is>
      </c>
      <c r="P168" s="148" t="inlineStr">
        <is>
          <t>HARIAN</t>
        </is>
      </c>
      <c r="Q168" s="147" t="inlineStr">
        <is>
          <t>KP. CISODONG RT/RW. 001/008 DESA. CIKALONG, KEC. CIKALONG, KAB. TASIKMALAYA</t>
        </is>
      </c>
      <c r="R168" s="148" t="n">
        <v>1</v>
      </c>
      <c r="S168" s="148" t="n">
        <v>8</v>
      </c>
      <c r="T168" s="150" t="n"/>
      <c r="U168" s="148" t="inlineStr">
        <is>
          <t>CIKALONG</t>
        </is>
      </c>
      <c r="V168" s="148" t="inlineStr">
        <is>
          <t>CIKALONG</t>
        </is>
      </c>
      <c r="W168" s="148" t="inlineStr">
        <is>
          <t>TASIKMALAYA</t>
        </is>
      </c>
      <c r="X168" s="147" t="inlineStr">
        <is>
          <t>KP. CISODONG RT/RW. 001/008 DESA. CIKALONG, KEC. CIKALONG, KAB. TASIKMALAYA</t>
        </is>
      </c>
      <c r="Y168" s="148" t="n">
        <v>82293566283</v>
      </c>
      <c r="Z168" s="148" t="inlineStr">
        <is>
          <t>ISLAM</t>
        </is>
      </c>
      <c r="AA168" s="148" t="inlineStr">
        <is>
          <t>SMA</t>
        </is>
      </c>
      <c r="AB168" s="149" t="n"/>
      <c r="AC168" s="17" t="n">
        <v>166</v>
      </c>
      <c r="AD168" s="133" t="n">
        <v>328000307</v>
      </c>
      <c r="AE168" s="96" t="inlineStr">
        <is>
          <t>OKTI NUR INDAHSARI</t>
        </is>
      </c>
      <c r="AF168" s="133" t="inlineStr">
        <is>
          <t>QUALITY AND RESEARCH &amp; DEVELOPMENT</t>
        </is>
      </c>
      <c r="AG168" s="135" t="n">
        <v>25014829359</v>
      </c>
      <c r="AH168" s="136" t="n">
        <v>2875997147</v>
      </c>
    </row>
    <row r="169" ht="15.75" customHeight="1" s="169">
      <c r="A169" s="122">
        <f>A168+1</f>
        <v/>
      </c>
      <c r="B169" s="123" t="n">
        <v>328000311</v>
      </c>
      <c r="C169" s="122" t="inlineStr">
        <is>
          <t>3214122510010002</t>
        </is>
      </c>
      <c r="D169" s="146" t="inlineStr">
        <is>
          <t>ARAS ATH THARIQ</t>
        </is>
      </c>
      <c r="E169" s="147" t="inlineStr">
        <is>
          <t>PURWAKARTA</t>
        </is>
      </c>
      <c r="F169" s="125" t="inlineStr">
        <is>
          <t>TKD</t>
        </is>
      </c>
      <c r="G169" s="125" t="inlineStr">
        <is>
          <t>Pak Wahyudin</t>
        </is>
      </c>
      <c r="H169" s="125" t="inlineStr">
        <is>
          <t>TITIPAN KARANG TARUNA HEGARMANAH</t>
        </is>
      </c>
      <c r="I169" s="127" t="n">
        <v>37189</v>
      </c>
      <c r="J169" s="128">
        <f>DATEDIF(I169, TODAY(), "Y") &amp; " tahun, " &amp; DATEDIF(I169, TODAY(), "YM") &amp; " bulan, " &amp; DATEDIF(I169, TODAY(), "MD") &amp; " hari"
</f>
        <v/>
      </c>
      <c r="K169" s="148" t="inlineStr">
        <is>
          <t>L</t>
        </is>
      </c>
      <c r="L169" s="148" t="inlineStr">
        <is>
          <t>PACKER</t>
        </is>
      </c>
      <c r="M169" s="122">
        <f>VLOOKUP(B169,Sheet21!A:N,14,0)</f>
        <v/>
      </c>
      <c r="N169" s="129" t="inlineStr">
        <is>
          <t>PRODUKSI</t>
        </is>
      </c>
      <c r="O169" s="122" t="inlineStr">
        <is>
          <t>Packer</t>
        </is>
      </c>
      <c r="P169" s="148" t="inlineStr">
        <is>
          <t>HARIAN</t>
        </is>
      </c>
      <c r="Q169" s="147" t="inlineStr">
        <is>
          <t>KP. TABRIK RT/RW. 010/004, DESA. BABAKANCIKAO, KEC. BABAKANCIKAO, KAB. PURWAKARTA</t>
        </is>
      </c>
      <c r="R169" s="151" t="n">
        <v>10</v>
      </c>
      <c r="S169" s="148" t="n">
        <v>4</v>
      </c>
      <c r="T169" s="148" t="n">
        <v>41151</v>
      </c>
      <c r="U169" s="148" t="inlineStr">
        <is>
          <t>BABAKANCIKAO</t>
        </is>
      </c>
      <c r="V169" s="148" t="inlineStr">
        <is>
          <t>BABAKANCIKAO</t>
        </is>
      </c>
      <c r="W169" s="148" t="inlineStr">
        <is>
          <t>PURWAKARTA</t>
        </is>
      </c>
      <c r="X169" s="148" t="inlineStr">
        <is>
          <t>KP. TABRIK RT/RW. 010/004, DESA. BABAKANCIKAO, KEC. BABAKANCIKAO, KAB. PURWAKARTA</t>
        </is>
      </c>
      <c r="Y169" s="151" t="n">
        <v>85863985624</v>
      </c>
      <c r="Z169" s="148" t="inlineStr">
        <is>
          <t>ISLAM</t>
        </is>
      </c>
      <c r="AA169" s="148" t="inlineStr">
        <is>
          <t>SMK</t>
        </is>
      </c>
      <c r="AB169" s="149" t="n"/>
      <c r="AC169" s="17" t="n">
        <v>167</v>
      </c>
      <c r="AD169" s="133" t="n">
        <v>328000308</v>
      </c>
      <c r="AE169" s="134" t="inlineStr">
        <is>
          <t>LIA AULIYA</t>
        </is>
      </c>
      <c r="AF169" s="133" t="inlineStr">
        <is>
          <t>QUALITY AND RESEARCH &amp; DEVELOPMENT</t>
        </is>
      </c>
      <c r="AG169" s="135" t="n">
        <v>25014829342</v>
      </c>
      <c r="AH169" s="136" t="n">
        <v>3504025945</v>
      </c>
    </row>
    <row r="170" ht="15.75" customHeight="1" s="169">
      <c r="A170" s="122">
        <f>A169+1</f>
        <v/>
      </c>
      <c r="B170" s="123" t="n">
        <v>328000312</v>
      </c>
      <c r="C170" s="122" t="inlineStr">
        <is>
          <t>3214124805050002</t>
        </is>
      </c>
      <c r="D170" s="146" t="inlineStr">
        <is>
          <t>DHEA SRI NURASIH</t>
        </is>
      </c>
      <c r="E170" s="147" t="inlineStr">
        <is>
          <t>PURWAKARTA</t>
        </is>
      </c>
      <c r="F170" s="125" t="inlineStr">
        <is>
          <t>TKD</t>
        </is>
      </c>
      <c r="G170" s="125" t="inlineStr">
        <is>
          <t xml:space="preserve">Karang Taruna Hegarmanah </t>
        </is>
      </c>
      <c r="H170" s="125" t="inlineStr">
        <is>
          <t>TITIPAN KARANG TARUNA HEGARMANAH</t>
        </is>
      </c>
      <c r="I170" s="127" t="n">
        <v>38480</v>
      </c>
      <c r="J170" s="128">
        <f>DATEDIF(I170, TODAY(), "Y") &amp; " tahun, " &amp; DATEDIF(I170, TODAY(), "YM") &amp; " bulan, " &amp; DATEDIF(I170, TODAY(), "MD") &amp; " hari"
</f>
        <v/>
      </c>
      <c r="K170" s="148" t="inlineStr">
        <is>
          <t>P</t>
        </is>
      </c>
      <c r="L170" s="148" t="inlineStr">
        <is>
          <t>QC LAB</t>
        </is>
      </c>
      <c r="M170" s="122">
        <f>VLOOKUP(B170,Sheet21!A:N,14,0)</f>
        <v/>
      </c>
      <c r="N170" s="129" t="inlineStr">
        <is>
          <t>QC</t>
        </is>
      </c>
      <c r="O170" s="148" t="inlineStr">
        <is>
          <t>QC Lab</t>
        </is>
      </c>
      <c r="P170" s="148" t="inlineStr">
        <is>
          <t>HARIAN</t>
        </is>
      </c>
      <c r="Q170" s="147" t="inlineStr">
        <is>
          <t>KP. SUKAMULYA RT/RW. 010/004, DESA. CILANGKAP; KEC. BABAKANCIKAO; KAB. PURWAKARTA</t>
        </is>
      </c>
      <c r="R170" s="148" t="n">
        <v>10</v>
      </c>
      <c r="S170" s="148" t="n">
        <v>4</v>
      </c>
      <c r="T170" s="148" t="n">
        <v>41151</v>
      </c>
      <c r="U170" s="148" t="inlineStr">
        <is>
          <t>BABAKANCIKAO</t>
        </is>
      </c>
      <c r="V170" s="148" t="inlineStr">
        <is>
          <t>CILANGKAP</t>
        </is>
      </c>
      <c r="W170" s="148" t="inlineStr">
        <is>
          <t>PURWAKARTA</t>
        </is>
      </c>
      <c r="X170" s="147" t="inlineStr">
        <is>
          <t>KP. SUKAMULYA RT/RW. 010/004, DESA. CILANGKAP; KEC. BABAKANCIKAO; KAB. PURWAKARTA</t>
        </is>
      </c>
      <c r="Y170" s="148" t="inlineStr">
        <is>
          <t>08773398530/085524863310</t>
        </is>
      </c>
      <c r="Z170" s="148" t="inlineStr">
        <is>
          <t>ISLAM</t>
        </is>
      </c>
      <c r="AA170" s="148" t="inlineStr">
        <is>
          <t>SMA</t>
        </is>
      </c>
      <c r="AB170" s="149" t="n"/>
      <c r="AC170" s="17" t="n">
        <v>168</v>
      </c>
      <c r="AD170" s="133" t="n">
        <v>328000311</v>
      </c>
      <c r="AE170" s="153" t="inlineStr">
        <is>
          <t>ARAS ATH THARIQ</t>
        </is>
      </c>
      <c r="AF170" s="133" t="inlineStr">
        <is>
          <t>PRODUCTION</t>
        </is>
      </c>
      <c r="AG170" s="135" t="n">
        <v>25014829391</v>
      </c>
      <c r="AH170" s="136" t="n">
        <v>1659891431</v>
      </c>
    </row>
    <row r="171" ht="15.75" customHeight="1" s="169">
      <c r="A171" s="122">
        <f>A170+1</f>
        <v/>
      </c>
      <c r="B171" s="123" t="n">
        <v>328000313</v>
      </c>
      <c r="C171" s="122" t="inlineStr">
        <is>
          <t>3214036703060002</t>
        </is>
      </c>
      <c r="D171" s="146" t="inlineStr">
        <is>
          <t>SITI NURHASANAH</t>
        </is>
      </c>
      <c r="E171" s="147" t="inlineStr">
        <is>
          <t>PURWAKARTA</t>
        </is>
      </c>
      <c r="F171" s="125" t="inlineStr">
        <is>
          <t>TKD</t>
        </is>
      </c>
      <c r="G171" s="125" t="inlineStr">
        <is>
          <t xml:space="preserve">Karang Taruna Hegarmanah </t>
        </is>
      </c>
      <c r="H171" s="125" t="inlineStr">
        <is>
          <t>TITIPAN KARANG TARUNA HEGARMANAH</t>
        </is>
      </c>
      <c r="I171" s="127" t="n">
        <v>38803</v>
      </c>
      <c r="J171" s="128">
        <f>DATEDIF(I171, TODAY(), "Y") &amp; " tahun, " &amp; DATEDIF(I171, TODAY(), "YM") &amp; " bulan, " &amp; DATEDIF(I171, TODAY(), "MD") &amp; " hari"
</f>
        <v/>
      </c>
      <c r="K171" s="148" t="inlineStr">
        <is>
          <t>P</t>
        </is>
      </c>
      <c r="L171" s="148" t="inlineStr">
        <is>
          <t>QC LAB</t>
        </is>
      </c>
      <c r="M171" s="122">
        <f>VLOOKUP(B171,Sheet21!A:N,14,0)</f>
        <v/>
      </c>
      <c r="N171" s="129" t="inlineStr">
        <is>
          <t>QC</t>
        </is>
      </c>
      <c r="O171" s="148" t="inlineStr">
        <is>
          <t>QC Lab</t>
        </is>
      </c>
      <c r="P171" s="148" t="inlineStr">
        <is>
          <t>HARIAN</t>
        </is>
      </c>
      <c r="Q171" s="147" t="inlineStr">
        <is>
          <t>KP.CIKUYA RT/RW. 004/006, DESA. KEMBANG KUNING; KEC. JATILUHUR; KAB. PURWAKARTA</t>
        </is>
      </c>
      <c r="R171" s="148" t="n">
        <v>4</v>
      </c>
      <c r="S171" s="148" t="n">
        <v>6</v>
      </c>
      <c r="T171" s="148" t="n">
        <v>41152</v>
      </c>
      <c r="U171" s="148" t="inlineStr">
        <is>
          <t>JATILUHUR</t>
        </is>
      </c>
      <c r="V171" s="148" t="inlineStr">
        <is>
          <t>KEMBANG KUNING</t>
        </is>
      </c>
      <c r="W171" s="148" t="inlineStr">
        <is>
          <t>PURWAKARTA</t>
        </is>
      </c>
      <c r="X171" s="147" t="inlineStr">
        <is>
          <t>KP. CIKUYA RT/RW. 004/006, DESA. KEMBANG KUNING; KEC. JATILUHUR; KAB. PURWAKARTA</t>
        </is>
      </c>
      <c r="Y171" s="148" t="n">
        <v>87730268366</v>
      </c>
      <c r="Z171" s="148" t="inlineStr">
        <is>
          <t>ISLAM</t>
        </is>
      </c>
      <c r="AA171" s="148" t="inlineStr">
        <is>
          <t>SMA</t>
        </is>
      </c>
      <c r="AB171" s="149" t="n"/>
      <c r="AC171" s="17" t="n">
        <v>169</v>
      </c>
      <c r="AD171" s="133" t="n">
        <v>328000312</v>
      </c>
      <c r="AE171" s="96" t="inlineStr">
        <is>
          <t>DHEA SRI NURASIH</t>
        </is>
      </c>
      <c r="AF171" s="133" t="inlineStr">
        <is>
          <t>QUALITY AND RESEARCH &amp; DEVELOPMENT</t>
        </is>
      </c>
      <c r="AG171" s="135" t="n">
        <v>25026174851</v>
      </c>
      <c r="AH171" s="136" t="n">
        <v>2961623079</v>
      </c>
    </row>
    <row r="172" ht="15.75" customHeight="1" s="169">
      <c r="A172" s="122">
        <f>A171+1</f>
        <v/>
      </c>
      <c r="B172" s="123" t="n">
        <v>328000314</v>
      </c>
      <c r="C172" s="122" t="inlineStr">
        <is>
          <t>3215055408030006</t>
        </is>
      </c>
      <c r="D172" s="146" t="inlineStr">
        <is>
          <t>LULUT SONIA</t>
        </is>
      </c>
      <c r="E172" s="147" t="inlineStr">
        <is>
          <t>KARAWANG</t>
        </is>
      </c>
      <c r="F172" s="125" t="inlineStr">
        <is>
          <t>TKD</t>
        </is>
      </c>
      <c r="G172" s="125" t="inlineStr">
        <is>
          <t xml:space="preserve">Karang Taruna Hegarmanah </t>
        </is>
      </c>
      <c r="H172" s="125" t="inlineStr">
        <is>
          <t>TITIPAN KARANG TARUNA HEGARMANAH</t>
        </is>
      </c>
      <c r="I172" s="127" t="n">
        <v>37847</v>
      </c>
      <c r="J172" s="128">
        <f>DATEDIF(I172, TODAY(), "Y") &amp; " tahun, " &amp; DATEDIF(I172, TODAY(), "YM") &amp; " bulan, " &amp; DATEDIF(I172, TODAY(), "MD") &amp; " hari"
</f>
        <v/>
      </c>
      <c r="K172" s="148" t="inlineStr">
        <is>
          <t>P</t>
        </is>
      </c>
      <c r="L172" s="148" t="inlineStr">
        <is>
          <t>QC PRODUKSI</t>
        </is>
      </c>
      <c r="M172" s="122">
        <f>VLOOKUP(B172,Sheet21!A:N,14,0)</f>
        <v/>
      </c>
      <c r="N172" s="129" t="inlineStr">
        <is>
          <t>QC</t>
        </is>
      </c>
      <c r="O172" s="148" t="inlineStr">
        <is>
          <t>QC Produksi</t>
        </is>
      </c>
      <c r="P172" s="148" t="inlineStr">
        <is>
          <t>HARIAN</t>
        </is>
      </c>
      <c r="Q172" s="147" t="inlineStr">
        <is>
          <t>DUSUN PASIR WARU RT/RW. 001/001, DESA. KARANG ANYAR; KEC. KLARI; KAB. KARAWANG</t>
        </is>
      </c>
      <c r="R172" s="148" t="n">
        <v>1</v>
      </c>
      <c r="S172" s="148" t="n">
        <v>1</v>
      </c>
      <c r="T172" s="150" t="n"/>
      <c r="U172" s="148" t="inlineStr">
        <is>
          <t>KLARI</t>
        </is>
      </c>
      <c r="V172" s="148" t="inlineStr">
        <is>
          <t>KARANGANYAR</t>
        </is>
      </c>
      <c r="W172" s="148" t="inlineStr">
        <is>
          <t>PURWAKARTA</t>
        </is>
      </c>
      <c r="X172" s="147" t="inlineStr">
        <is>
          <t>DUSUN PASIR WARU RT/RW. 001/001, DESA. KARANG ANYAR; KEC. KLARI; KAB. KARAWANG</t>
        </is>
      </c>
      <c r="Y172" s="148" t="n">
        <v>881024421398</v>
      </c>
      <c r="Z172" s="148" t="inlineStr">
        <is>
          <t>ISLAM</t>
        </is>
      </c>
      <c r="AA172" s="148" t="inlineStr">
        <is>
          <t>SMA</t>
        </is>
      </c>
      <c r="AB172" s="149" t="n"/>
      <c r="AC172" s="17" t="n">
        <v>170</v>
      </c>
      <c r="AD172" s="133" t="n">
        <v>328000313</v>
      </c>
      <c r="AE172" s="96" t="inlineStr">
        <is>
          <t>SITI NURHASANAH</t>
        </is>
      </c>
      <c r="AF172" s="133" t="inlineStr">
        <is>
          <t>QUALITY AND RESEARCH &amp; DEVELOPMENT</t>
        </is>
      </c>
      <c r="AG172" s="135" t="n">
        <v>25026174836</v>
      </c>
      <c r="AH172" s="136" t="n">
        <v>2308560006</v>
      </c>
    </row>
    <row r="173" ht="15.75" customHeight="1" s="169">
      <c r="A173" s="122">
        <f>A172+1</f>
        <v/>
      </c>
      <c r="B173" s="123" t="n">
        <v>328000315</v>
      </c>
      <c r="C173" s="122" t="inlineStr">
        <is>
          <t>3214120410990001</t>
        </is>
      </c>
      <c r="D173" s="146" t="inlineStr">
        <is>
          <t>FIKRI HAIKAL</t>
        </is>
      </c>
      <c r="E173" s="147" t="inlineStr">
        <is>
          <t>KARAWANG</t>
        </is>
      </c>
      <c r="F173" s="125" t="inlineStr">
        <is>
          <t>LINK</t>
        </is>
      </c>
      <c r="G173" s="96" t="n"/>
      <c r="H173" s="125" t="inlineStr">
        <is>
          <t>PT KMJ</t>
        </is>
      </c>
      <c r="I173" s="127" t="n">
        <v>36437</v>
      </c>
      <c r="J173" s="128">
        <f>DATEDIF(I173, TODAY(), "Y") &amp; " tahun, " &amp; DATEDIF(I173, TODAY(), "YM") &amp; " bulan, " &amp; DATEDIF(I173, TODAY(), "MD") &amp; " hari"
</f>
        <v/>
      </c>
      <c r="K173" s="148" t="inlineStr">
        <is>
          <t>L</t>
        </is>
      </c>
      <c r="L173" s="122" t="inlineStr">
        <is>
          <t>OP.FORKLIFT</t>
        </is>
      </c>
      <c r="M173" s="122">
        <f>VLOOKUP(B173,Sheet21!A:N,14,0)</f>
        <v/>
      </c>
      <c r="N173" s="129" t="inlineStr">
        <is>
          <t>LOGISTIK</t>
        </is>
      </c>
      <c r="O173" s="122" t="inlineStr">
        <is>
          <t>Operator Forklift</t>
        </is>
      </c>
      <c r="P173" s="148" t="inlineStr">
        <is>
          <t>HARIAN</t>
        </is>
      </c>
      <c r="Q173" s="147" t="inlineStr">
        <is>
          <t>KP. TABRIK, RT/RW: 010/004, KEL: BABAKANCIKAO, KEC: BABAKANCIKAO, KAB PURWAKARTA</t>
        </is>
      </c>
      <c r="R173" s="151" t="n">
        <v>10</v>
      </c>
      <c r="S173" s="148" t="n">
        <v>4</v>
      </c>
      <c r="T173" s="150" t="n"/>
      <c r="U173" s="148" t="inlineStr">
        <is>
          <t>BABAKANCIKAO</t>
        </is>
      </c>
      <c r="V173" s="148" t="inlineStr">
        <is>
          <t>BABAKANCIKAO</t>
        </is>
      </c>
      <c r="W173" s="148" t="inlineStr">
        <is>
          <t>PURWAKARTA</t>
        </is>
      </c>
      <c r="X173" s="148" t="inlineStr">
        <is>
          <t>KP. TABRIK, RT/RW: 010/004, KEL: BABAKANCIKAO, KEC: BABAKANCIKAO, KAB PURWAKARTA</t>
        </is>
      </c>
      <c r="Y173" s="150" t="n"/>
      <c r="Z173" s="148" t="inlineStr">
        <is>
          <t>ISLAM</t>
        </is>
      </c>
      <c r="AA173" s="148" t="inlineStr">
        <is>
          <t>SMK</t>
        </is>
      </c>
      <c r="AB173" s="149" t="n"/>
      <c r="AC173" s="17" t="n">
        <v>171</v>
      </c>
      <c r="AD173" s="133" t="n">
        <v>328000314</v>
      </c>
      <c r="AE173" s="96" t="inlineStr">
        <is>
          <t>LULUT SONIA</t>
        </is>
      </c>
      <c r="AF173" s="133" t="inlineStr">
        <is>
          <t>QUALITY AND RESEARCH &amp; DEVELOPMENT</t>
        </is>
      </c>
      <c r="AG173" s="135" t="n">
        <v>25026174844</v>
      </c>
      <c r="AH173" s="136" t="n">
        <v>482824236</v>
      </c>
    </row>
    <row r="174" ht="15.75" customHeight="1" s="169">
      <c r="A174" s="122">
        <f>A173+1</f>
        <v/>
      </c>
      <c r="B174" s="123" t="n">
        <v>328000317</v>
      </c>
      <c r="C174" s="122" t="inlineStr">
        <is>
          <t>3326111705960021</t>
        </is>
      </c>
      <c r="D174" s="146" t="inlineStr">
        <is>
          <t>HADIYONO</t>
        </is>
      </c>
      <c r="E174" s="147" t="inlineStr">
        <is>
          <t>PEKALONGAN</t>
        </is>
      </c>
      <c r="F174" s="125" t="inlineStr">
        <is>
          <t>LINK</t>
        </is>
      </c>
      <c r="G174" s="96" t="n"/>
      <c r="H174" s="125" t="inlineStr">
        <is>
          <t>Ex AMG</t>
        </is>
      </c>
      <c r="I174" s="127" t="n">
        <v>35202</v>
      </c>
      <c r="J174" s="128">
        <f>DATEDIF(I174, TODAY(), "Y") &amp; " tahun, " &amp; DATEDIF(I174, TODAY(), "YM") &amp; " bulan, " &amp; DATEDIF(I174, TODAY(), "MD") &amp; " hari"
</f>
        <v/>
      </c>
      <c r="K174" s="148" t="inlineStr">
        <is>
          <t>L</t>
        </is>
      </c>
      <c r="L174" s="148" t="inlineStr">
        <is>
          <t>ENGINEERING</t>
        </is>
      </c>
      <c r="M174" s="122">
        <f>VLOOKUP(B174,Sheet21!A:N,14,0)</f>
        <v/>
      </c>
      <c r="N174" s="129" t="inlineStr">
        <is>
          <t>ENG</t>
        </is>
      </c>
      <c r="O174" s="148" t="inlineStr">
        <is>
          <t>Electrical Maintenance</t>
        </is>
      </c>
      <c r="P174" s="148" t="inlineStr">
        <is>
          <t>HARIAN</t>
        </is>
      </c>
      <c r="Q174" s="147" t="inlineStr">
        <is>
          <t>RANDUMUKTIWAREN RT/RW.019/005, KEL. RANDUMUKTIWAREN, KEC.BOJONG</t>
        </is>
      </c>
      <c r="R174" s="151" t="n">
        <v>19</v>
      </c>
      <c r="S174" s="148" t="n">
        <v>5</v>
      </c>
      <c r="T174" s="150" t="n"/>
      <c r="U174" s="148" t="inlineStr">
        <is>
          <t>BOJONG</t>
        </is>
      </c>
      <c r="V174" s="148" t="inlineStr">
        <is>
          <t>RANDUMUKTIWAREN</t>
        </is>
      </c>
      <c r="W174" s="148" t="inlineStr">
        <is>
          <t>PEKALONGAN</t>
        </is>
      </c>
      <c r="X174" s="148" t="inlineStr">
        <is>
          <t>RANDUMUKTIWAREN RT/RW.019/005, KEL. RANDUMUKTIWAREN, KEC.BOJONG</t>
        </is>
      </c>
      <c r="Y174" s="151" t="n">
        <v>85641403339</v>
      </c>
      <c r="Z174" s="148" t="inlineStr">
        <is>
          <t>ISLAM</t>
        </is>
      </c>
      <c r="AA174" s="148" t="inlineStr">
        <is>
          <t>SMA</t>
        </is>
      </c>
      <c r="AB174" s="149" t="n"/>
      <c r="AC174" s="17" t="n">
        <v>172</v>
      </c>
      <c r="AD174" s="133" t="n">
        <v>328000315</v>
      </c>
      <c r="AE174" s="96" t="inlineStr">
        <is>
          <t>FIKRI HAIKAL</t>
        </is>
      </c>
      <c r="AF174" s="133" t="inlineStr">
        <is>
          <t>LOGISTIC</t>
        </is>
      </c>
      <c r="AG174" s="135" t="n">
        <v>25036800396</v>
      </c>
      <c r="AH174" s="136" t="n">
        <v>1661920593</v>
      </c>
    </row>
    <row r="175" ht="15.75" customHeight="1" s="169">
      <c r="A175" s="122">
        <f>A174+1</f>
        <v/>
      </c>
      <c r="B175" s="123" t="n">
        <v>328000318</v>
      </c>
      <c r="C175" s="122" t="inlineStr">
        <is>
          <t>3214124101000002</t>
        </is>
      </c>
      <c r="D175" s="146" t="inlineStr">
        <is>
          <t>MELIA SALSABILA</t>
        </is>
      </c>
      <c r="E175" s="147" t="inlineStr">
        <is>
          <t>PURWAKARTA</t>
        </is>
      </c>
      <c r="F175" s="125" t="inlineStr">
        <is>
          <t>TKD</t>
        </is>
      </c>
      <c r="G175" s="125" t="inlineStr">
        <is>
          <t>H. Misja</t>
        </is>
      </c>
      <c r="H175" s="125" t="inlineStr">
        <is>
          <t>Titipan H Misja</t>
        </is>
      </c>
      <c r="I175" s="127" t="n">
        <v>36526</v>
      </c>
      <c r="J175" s="128">
        <f>DATEDIF(I175, TODAY(), "Y") &amp; " tahun, " &amp; DATEDIF(I175, TODAY(), "YM") &amp; " bulan, " &amp; DATEDIF(I175, TODAY(), "MD") &amp; " hari"
</f>
        <v/>
      </c>
      <c r="K175" s="148" t="inlineStr">
        <is>
          <t>P</t>
        </is>
      </c>
      <c r="L175" s="148" t="inlineStr">
        <is>
          <t>PACKER</t>
        </is>
      </c>
      <c r="M175" s="122">
        <f>VLOOKUP(B175,Sheet21!A:N,14,0)</f>
        <v/>
      </c>
      <c r="N175" s="129" t="inlineStr">
        <is>
          <t>PRODUKSI</t>
        </is>
      </c>
      <c r="O175" s="17">
        <f>VLOOKUP(B175,'NS AKTIF'!A:F,6,0)</f>
        <v/>
      </c>
      <c r="P175" s="148" t="inlineStr">
        <is>
          <t>HARIAN</t>
        </is>
      </c>
      <c r="Q175" s="147" t="inlineStr">
        <is>
          <t>KP.CIROYOM RT/RW.009/004, KEL. CICADAS, KEC. BABAKANCIKAO, KAB. PURWAKARTA</t>
        </is>
      </c>
      <c r="R175" s="151" t="n">
        <v>9</v>
      </c>
      <c r="S175" s="151" t="n">
        <v>4</v>
      </c>
      <c r="T175" s="150" t="n"/>
      <c r="U175" s="148" t="inlineStr">
        <is>
          <t>BABAKANCIKAO</t>
        </is>
      </c>
      <c r="V175" s="148" t="inlineStr">
        <is>
          <t>CICADAS</t>
        </is>
      </c>
      <c r="W175" s="148" t="inlineStr">
        <is>
          <t>PURWAKARTA</t>
        </is>
      </c>
      <c r="X175" s="148" t="inlineStr">
        <is>
          <t>KP.CIROYOM RT/RW.009/004, KEL. CICADAS, KEC. BABAKANCIKAO, KAB. PURWAKARTA</t>
        </is>
      </c>
      <c r="Y175" s="148" t="n">
        <v>88222849195</v>
      </c>
      <c r="Z175" s="147" t="inlineStr">
        <is>
          <t>ISLAM</t>
        </is>
      </c>
      <c r="AA175" s="122" t="inlineStr">
        <is>
          <t>S1</t>
        </is>
      </c>
      <c r="AB175" s="132" t="n"/>
      <c r="AC175" s="17" t="n">
        <v>173</v>
      </c>
      <c r="AD175" s="133" t="n">
        <v>328000317</v>
      </c>
      <c r="AE175" s="96" t="inlineStr">
        <is>
          <t>HADIYONO</t>
        </is>
      </c>
      <c r="AF175" s="133" t="inlineStr">
        <is>
          <t>ENGINEERING</t>
        </is>
      </c>
      <c r="AG175" s="135" t="n">
        <v>25036800412</v>
      </c>
      <c r="AH175" s="136" t="n">
        <v>1690871894</v>
      </c>
    </row>
    <row r="176" ht="15.75" customHeight="1" s="169">
      <c r="A176" s="122">
        <f>A175+1</f>
        <v/>
      </c>
      <c r="B176" s="123" t="n">
        <v>328000319</v>
      </c>
      <c r="C176" s="122" t="inlineStr">
        <is>
          <t>3214120902000003</t>
        </is>
      </c>
      <c r="D176" s="146" t="inlineStr">
        <is>
          <t>ARI PEBRIANTO</t>
        </is>
      </c>
      <c r="E176" s="147" t="inlineStr">
        <is>
          <t>MAJALENGKA</t>
        </is>
      </c>
      <c r="F176" s="125" t="inlineStr">
        <is>
          <t>TKD</t>
        </is>
      </c>
      <c r="G176" s="125" t="inlineStr">
        <is>
          <t>Ormas Kompak</t>
        </is>
      </c>
      <c r="H176" s="125" t="inlineStr">
        <is>
          <t>TITIPAN KETUA ORMAS KOMPAK PAK SAEPUL</t>
        </is>
      </c>
      <c r="I176" s="127" t="n">
        <v>36565</v>
      </c>
      <c r="J176" s="128">
        <f>DATEDIF(I176, TODAY(), "Y") &amp; " tahun, " &amp; DATEDIF(I176, TODAY(), "YM") &amp; " bulan, " &amp; DATEDIF(I176, TODAY(), "MD") &amp; " hari"
</f>
        <v/>
      </c>
      <c r="K176" s="148" t="inlineStr">
        <is>
          <t>L</t>
        </is>
      </c>
      <c r="L176" s="148" t="inlineStr">
        <is>
          <t>PACKER</t>
        </is>
      </c>
      <c r="M176" s="122">
        <f>VLOOKUP(B176,Sheet21!A:N,14,0)</f>
        <v/>
      </c>
      <c r="N176" s="129" t="inlineStr">
        <is>
          <t>PRODUKSI</t>
        </is>
      </c>
      <c r="O176" s="17">
        <f>VLOOKUP(B176,'NS AKTIF'!A:F,6,0)</f>
        <v/>
      </c>
      <c r="P176" s="148" t="inlineStr">
        <is>
          <t>HARIAN</t>
        </is>
      </c>
      <c r="Q176" s="147" t="inlineStr">
        <is>
          <t>KP.KARAJAN RT/RW.001/001, KEL. BABAKANCIKAO, KEC. BABAKANCIKAO, KAB. PURWAKARTA</t>
        </is>
      </c>
      <c r="R176" s="151" t="n">
        <v>1</v>
      </c>
      <c r="S176" s="151" t="n">
        <v>1</v>
      </c>
      <c r="T176" s="150" t="n"/>
      <c r="U176" s="148" t="inlineStr">
        <is>
          <t>BABAKANCIKAO</t>
        </is>
      </c>
      <c r="V176" s="148" t="inlineStr">
        <is>
          <t>BABAKANCIKAO</t>
        </is>
      </c>
      <c r="W176" s="148" t="inlineStr">
        <is>
          <t>PURWAKARTA</t>
        </is>
      </c>
      <c r="X176" s="148" t="inlineStr">
        <is>
          <t>KP.KARAJAN RT/RW.001/001, KEL. BABAKANCIKAO, KEC. BABAKANCIKAO, KAB. PURWAKARTA</t>
        </is>
      </c>
      <c r="Y176" s="148" t="inlineStr">
        <is>
          <t>082113888328/'082110126913</t>
        </is>
      </c>
      <c r="Z176" s="147" t="inlineStr">
        <is>
          <t>ISLAM</t>
        </is>
      </c>
      <c r="AA176" s="148" t="inlineStr">
        <is>
          <t>SMK</t>
        </is>
      </c>
      <c r="AB176" s="149" t="n"/>
      <c r="AC176" s="17" t="n">
        <v>174</v>
      </c>
      <c r="AD176" s="154" t="n">
        <v>328000318</v>
      </c>
      <c r="AE176" s="96" t="inlineStr">
        <is>
          <t>MELIA SALSABILA</t>
        </is>
      </c>
      <c r="AF176" s="133" t="inlineStr">
        <is>
          <t>HR &amp; GA</t>
        </is>
      </c>
      <c r="AG176" s="135" t="n">
        <v>25047993131</v>
      </c>
      <c r="AH176" s="136" t="n">
        <v>2076025386</v>
      </c>
    </row>
    <row r="177" ht="15.75" customHeight="1" s="169">
      <c r="A177" s="122">
        <f>A176+1</f>
        <v/>
      </c>
      <c r="B177" s="123" t="n">
        <v>328000320</v>
      </c>
      <c r="C177" s="122" t="inlineStr">
        <is>
          <t>3214122407040002</t>
        </is>
      </c>
      <c r="D177" s="146" t="inlineStr">
        <is>
          <t>ALFAZRI SAMSI ARYA GINANDJAR</t>
        </is>
      </c>
      <c r="E177" s="147" t="inlineStr">
        <is>
          <t>PURWAKARTA</t>
        </is>
      </c>
      <c r="F177" s="125" t="inlineStr">
        <is>
          <t>TKD</t>
        </is>
      </c>
      <c r="G177" s="125" t="inlineStr">
        <is>
          <t>Ormas Lodaya</t>
        </is>
      </c>
      <c r="H177" s="142" t="inlineStr">
        <is>
          <t>KETUA ORMAS LODAYA PAK LILI</t>
        </is>
      </c>
      <c r="I177" s="127" t="n">
        <v>38192</v>
      </c>
      <c r="J177" s="128">
        <f>DATEDIF(I177, TODAY(), "Y") &amp; " tahun, " &amp; DATEDIF(I177, TODAY(), "YM") &amp; " bulan, " &amp; DATEDIF(I177, TODAY(), "MD") &amp; " hari"
</f>
        <v/>
      </c>
      <c r="K177" s="148" t="inlineStr">
        <is>
          <t>L</t>
        </is>
      </c>
      <c r="L177" s="148" t="inlineStr">
        <is>
          <t>PACKER</t>
        </is>
      </c>
      <c r="M177" s="122">
        <f>VLOOKUP(B177,Sheet21!A:N,14,0)</f>
        <v/>
      </c>
      <c r="N177" s="129" t="inlineStr">
        <is>
          <t>PRODUKSI</t>
        </is>
      </c>
      <c r="O177" s="17">
        <f>VLOOKUP(B177,'NS AKTIF'!A:F,6,0)</f>
        <v/>
      </c>
      <c r="P177" s="148" t="inlineStr">
        <is>
          <t>HARIAN</t>
        </is>
      </c>
      <c r="Q177" s="147" t="inlineStr">
        <is>
          <t>PERUMAHAN GRIYA MUKTI RT/RW. 005/006, DESA. CIWARENG, KEC. BABAKANCIKAO, KAB. PURWAKARTA</t>
        </is>
      </c>
      <c r="R177" s="151" t="n">
        <v>5</v>
      </c>
      <c r="S177" s="151" t="n">
        <v>6</v>
      </c>
      <c r="T177" s="148" t="n">
        <v>41151</v>
      </c>
      <c r="U177" s="148" t="inlineStr">
        <is>
          <t>BABAKANCIKAO</t>
        </is>
      </c>
      <c r="V177" s="148" t="inlineStr">
        <is>
          <t>CIWARENG</t>
        </is>
      </c>
      <c r="W177" s="148" t="inlineStr">
        <is>
          <t>PURWAKARTA</t>
        </is>
      </c>
      <c r="X177" s="148" t="inlineStr">
        <is>
          <t>PERUMAHAN GRIYA MUKTI RT/RW. 005/006, DESA. CIWARENG, KEC. BABAKANCIKAO, KAB. PURWAKARTA</t>
        </is>
      </c>
      <c r="Y177" s="148" t="n">
        <v>8994506827</v>
      </c>
      <c r="Z177" s="147" t="inlineStr">
        <is>
          <t>ISLAM</t>
        </is>
      </c>
      <c r="AA177" s="148" t="inlineStr">
        <is>
          <t>SMK</t>
        </is>
      </c>
      <c r="AB177" s="149" t="n"/>
      <c r="AC177" s="17" t="n">
        <v>175</v>
      </c>
      <c r="AD177" s="133" t="n">
        <v>328000319</v>
      </c>
      <c r="AE177" s="96" t="inlineStr">
        <is>
          <t>ARI PEBRIANTO</t>
        </is>
      </c>
      <c r="AF177" s="133" t="inlineStr">
        <is>
          <t>PRODUCTION</t>
        </is>
      </c>
      <c r="AG177" s="135" t="n">
        <v>25047993149</v>
      </c>
      <c r="AH177" s="136" t="n">
        <v>482051722</v>
      </c>
    </row>
    <row r="178" ht="15.75" customHeight="1" s="169">
      <c r="A178" s="122">
        <f>A177+1</f>
        <v/>
      </c>
      <c r="B178" s="123" t="n">
        <v>328000323</v>
      </c>
      <c r="C178" s="122" t="inlineStr">
        <is>
          <t>3214122005990004</t>
        </is>
      </c>
      <c r="D178" s="146" t="inlineStr">
        <is>
          <t>MUHAMMAD BAYU TAUFAN</t>
        </is>
      </c>
      <c r="E178" s="147" t="inlineStr">
        <is>
          <t>PURWAKARTA</t>
        </is>
      </c>
      <c r="F178" s="125" t="inlineStr">
        <is>
          <t>TKD</t>
        </is>
      </c>
      <c r="G178" s="125" t="inlineStr">
        <is>
          <t>Kades Maracang</t>
        </is>
      </c>
      <c r="H178" s="125" t="inlineStr">
        <is>
          <t>ANAK KADES MARACANG</t>
        </is>
      </c>
      <c r="I178" s="127" t="n">
        <v>36300</v>
      </c>
      <c r="J178" s="128">
        <f>DATEDIF(I178, TODAY(), "Y") &amp; " tahun, " &amp; DATEDIF(I178, TODAY(), "YM") &amp; " bulan, " &amp; DATEDIF(I178, TODAY(), "MD") &amp; " hari"
</f>
        <v/>
      </c>
      <c r="K178" s="148" t="inlineStr">
        <is>
          <t>L</t>
        </is>
      </c>
      <c r="L178" s="148" t="inlineStr">
        <is>
          <t>OP. PRODUKSI</t>
        </is>
      </c>
      <c r="M178" s="122">
        <f>VLOOKUP(B178,Sheet21!A:N,14,0)</f>
        <v/>
      </c>
      <c r="N178" s="129" t="inlineStr">
        <is>
          <t>PRODUKSI</t>
        </is>
      </c>
      <c r="O178" s="17">
        <f>VLOOKUP(B178,'NS AKTIF'!A:F,6,0)</f>
        <v/>
      </c>
      <c r="P178" s="148" t="inlineStr">
        <is>
          <t>HARIAN</t>
        </is>
      </c>
      <c r="Q178" s="147" t="inlineStr">
        <is>
          <t>KP. KRAJAN RT/RW. 012/003, DESA. MARACANG; KEC. BABAKANCIKAO; KAB. PURWAKARTA</t>
        </is>
      </c>
      <c r="R178" s="151" t="n">
        <v>12</v>
      </c>
      <c r="S178" s="151" t="n">
        <v>3</v>
      </c>
      <c r="T178" s="148" t="n">
        <v>41151</v>
      </c>
      <c r="U178" s="148" t="inlineStr">
        <is>
          <t>BABAKANCIKAO</t>
        </is>
      </c>
      <c r="V178" s="148" t="inlineStr">
        <is>
          <t>MARACANG</t>
        </is>
      </c>
      <c r="W178" s="148" t="inlineStr">
        <is>
          <t>PURWAKARTA</t>
        </is>
      </c>
      <c r="X178" s="148" t="inlineStr">
        <is>
          <t>KP. KRAJAN RT/RW. 012/003, DESA. MARACANG; KEC. BABAKANCIKAO; KAB. PURWAKARTA</t>
        </is>
      </c>
      <c r="Y178" s="148" t="inlineStr">
        <is>
          <t>088291510028/081319253241</t>
        </is>
      </c>
      <c r="Z178" s="147" t="inlineStr">
        <is>
          <t>ISLAM</t>
        </is>
      </c>
      <c r="AA178" s="148" t="inlineStr">
        <is>
          <t>SMK</t>
        </is>
      </c>
      <c r="AB178" s="149" t="n"/>
      <c r="AC178" s="17" t="n">
        <v>176</v>
      </c>
      <c r="AD178" s="133" t="n">
        <v>328000320</v>
      </c>
      <c r="AE178" s="96" t="inlineStr">
        <is>
          <t>ALFAZRI SAMSI ARYA GINANDJAR</t>
        </is>
      </c>
      <c r="AF178" s="133" t="inlineStr">
        <is>
          <t>PRODUCTION</t>
        </is>
      </c>
      <c r="AG178" s="135" t="n">
        <v>25047993081</v>
      </c>
      <c r="AH178" s="136" t="n">
        <v>1832853464</v>
      </c>
    </row>
    <row r="179" ht="15.75" customHeight="1" s="169">
      <c r="A179" s="122">
        <f>A178+1</f>
        <v/>
      </c>
      <c r="B179" s="123" t="n">
        <v>328000324</v>
      </c>
      <c r="C179" s="122" t="inlineStr">
        <is>
          <t>3214035509060002</t>
        </is>
      </c>
      <c r="D179" s="146" t="inlineStr">
        <is>
          <t>ADINDA LAULADIA PUTRI</t>
        </is>
      </c>
      <c r="E179" s="147" t="inlineStr">
        <is>
          <t>PURWAKARTA</t>
        </is>
      </c>
      <c r="F179" s="125" t="inlineStr">
        <is>
          <t>TKD</t>
        </is>
      </c>
      <c r="G179" s="125" t="inlineStr">
        <is>
          <t xml:space="preserve">Karang Taruna Hegarmanah </t>
        </is>
      </c>
      <c r="H179" s="125" t="inlineStr">
        <is>
          <t>TITIPAN KARANG TARUNA HEGARMANAH</t>
        </is>
      </c>
      <c r="I179" s="127" t="n">
        <v>38975</v>
      </c>
      <c r="J179" s="128">
        <f>DATEDIF(I179, TODAY(), "Y") &amp; " tahun, " &amp; DATEDIF(I179, TODAY(), "YM") &amp; " bulan, " &amp; DATEDIF(I179, TODAY(), "MD") &amp; " hari"
</f>
        <v/>
      </c>
      <c r="K179" s="148" t="inlineStr">
        <is>
          <t>P</t>
        </is>
      </c>
      <c r="L179" s="148" t="inlineStr">
        <is>
          <t>QC LAB</t>
        </is>
      </c>
      <c r="M179" s="122">
        <f>VLOOKUP(B179,Sheet21!A:N,14,0)</f>
        <v/>
      </c>
      <c r="N179" s="129" t="inlineStr">
        <is>
          <t>QC</t>
        </is>
      </c>
      <c r="O179" s="17">
        <f>VLOOKUP(B179,'NS AKTIF'!A:F,6,0)</f>
        <v/>
      </c>
      <c r="P179" s="148" t="inlineStr">
        <is>
          <t>HARIAN</t>
        </is>
      </c>
      <c r="Q179" s="147" t="inlineStr">
        <is>
          <t>KP.SASAK BEUSI RT/RW. 020/006; DESA. MEKARGALIH; KEC. JATILUHUR; KAB. PURWAKARTA</t>
        </is>
      </c>
      <c r="R179" s="151" t="n">
        <v>20</v>
      </c>
      <c r="S179" s="151" t="n">
        <v>6</v>
      </c>
      <c r="T179" s="148" t="n">
        <v>41152</v>
      </c>
      <c r="U179" s="148" t="inlineStr">
        <is>
          <t>JATILUHUR</t>
        </is>
      </c>
      <c r="V179" s="148" t="inlineStr">
        <is>
          <t>MEKAKRGALUH</t>
        </is>
      </c>
      <c r="W179" s="148" t="inlineStr">
        <is>
          <t>PURWAKARTA</t>
        </is>
      </c>
      <c r="X179" s="148" t="inlineStr">
        <is>
          <t>KP.SASAK BEUSI RT/RW. 020/006; DESA. MEKARGALIH; KEC. JATILUHUR; KAB. PURWAKARTA</t>
        </is>
      </c>
      <c r="Y179" s="148" t="inlineStr">
        <is>
          <t>085721063684/085794692996</t>
        </is>
      </c>
      <c r="Z179" s="147" t="inlineStr">
        <is>
          <t>ISLAM</t>
        </is>
      </c>
      <c r="AA179" s="148" t="inlineStr">
        <is>
          <t>SMA</t>
        </is>
      </c>
      <c r="AB179" s="149" t="n"/>
      <c r="AC179" s="17" t="n">
        <v>177</v>
      </c>
      <c r="AD179" s="133" t="n">
        <v>328000323</v>
      </c>
      <c r="AE179" s="96" t="inlineStr">
        <is>
          <t>MUHAMMAD BAYU TAUFAN</t>
        </is>
      </c>
      <c r="AF179" s="133" t="inlineStr">
        <is>
          <t>PRODUCTION</t>
        </is>
      </c>
      <c r="AG179" s="135" t="n">
        <v>25047993107</v>
      </c>
      <c r="AH179" s="136" t="n">
        <v>2066964524</v>
      </c>
    </row>
    <row r="180" ht="15.75" customHeight="1" s="169">
      <c r="A180" s="122">
        <f>A179+1</f>
        <v/>
      </c>
      <c r="B180" s="123" t="n">
        <v>328000325</v>
      </c>
      <c r="C180" s="122" t="inlineStr">
        <is>
          <t>3214011908020007</t>
        </is>
      </c>
      <c r="D180" s="146" t="inlineStr">
        <is>
          <t>MOHAMAD ALDIAWAN</t>
        </is>
      </c>
      <c r="E180" s="147" t="inlineStr">
        <is>
          <t>PURWAKARTA</t>
        </is>
      </c>
      <c r="F180" s="125" t="inlineStr">
        <is>
          <t>TKD</t>
        </is>
      </c>
      <c r="G180" s="125" t="inlineStr">
        <is>
          <t>Pak Wahyudin</t>
        </is>
      </c>
      <c r="H180" s="125" t="inlineStr">
        <is>
          <t>DESA BABAKAN CIKAO PAK WAHYUDIN</t>
        </is>
      </c>
      <c r="I180" s="127" t="n">
        <v>37487</v>
      </c>
      <c r="J180" s="128">
        <f>DATEDIF(I180, TODAY(), "Y") &amp; " tahun, " &amp; DATEDIF(I180, TODAY(), "YM") &amp; " bulan, " &amp; DATEDIF(I180, TODAY(), "MD") &amp; " hari"
</f>
        <v/>
      </c>
      <c r="K180" s="148" t="inlineStr">
        <is>
          <t>L</t>
        </is>
      </c>
      <c r="L180" s="148" t="inlineStr">
        <is>
          <t>OP. PRODUKSI</t>
        </is>
      </c>
      <c r="M180" s="122">
        <f>VLOOKUP(B180,Sheet21!A:N,14,0)</f>
        <v/>
      </c>
      <c r="N180" s="129" t="inlineStr">
        <is>
          <t>PRODUKSI</t>
        </is>
      </c>
      <c r="O180" s="17">
        <f>VLOOKUP(B180,'NS AKTIF'!A:F,6,0)</f>
        <v/>
      </c>
      <c r="P180" s="148" t="inlineStr">
        <is>
          <t>HARIAN</t>
        </is>
      </c>
      <c r="Q180" s="147" t="inlineStr">
        <is>
          <t>JL. INDUSTRI NO. KM 4 RT/RW. 13/005; DESA. BABAKANCIKAO; KEC. BABAKANCIKAO; KAB. PURWAKARTA</t>
        </is>
      </c>
      <c r="R180" s="151" t="n">
        <v>13</v>
      </c>
      <c r="S180" s="151" t="n">
        <v>5</v>
      </c>
      <c r="T180" s="148" t="n">
        <v>41115</v>
      </c>
      <c r="U180" s="148" t="inlineStr">
        <is>
          <t>BABAKANCIKAO</t>
        </is>
      </c>
      <c r="V180" s="148" t="inlineStr">
        <is>
          <t>BABAKANCIKAO</t>
        </is>
      </c>
      <c r="W180" s="148" t="inlineStr">
        <is>
          <t>PURWAKARTA</t>
        </is>
      </c>
      <c r="X180" s="148" t="inlineStr">
        <is>
          <t>JL. INDUSTRI NO. KM 4 RT/RW. 13/005; DESA. BABAKANCIKAO; KEC. BABAKANCIKAO; KAB. PURWAKARTA</t>
        </is>
      </c>
      <c r="Y180" s="148" t="n">
        <v>87736814811</v>
      </c>
      <c r="Z180" s="147" t="inlineStr">
        <is>
          <t>ISLAM</t>
        </is>
      </c>
      <c r="AA180" s="148" t="inlineStr">
        <is>
          <t>SMK</t>
        </is>
      </c>
      <c r="AB180" s="149" t="n"/>
      <c r="AC180" s="17" t="n">
        <v>178</v>
      </c>
      <c r="AD180" s="133" t="n">
        <v>328000324</v>
      </c>
      <c r="AE180" s="96" t="inlineStr">
        <is>
          <t>ADINDA LAULADIA PUTRI</t>
        </is>
      </c>
      <c r="AF180" s="133" t="inlineStr">
        <is>
          <t>QUALITY AND RESEARCH &amp; DEVELOPMENT</t>
        </is>
      </c>
      <c r="AG180" s="135" t="n">
        <v>25047993115</v>
      </c>
      <c r="AH180" s="136" t="n">
        <v>3756164231</v>
      </c>
    </row>
    <row r="181" ht="15.75" customHeight="1" s="169">
      <c r="A181" s="122">
        <f>A180+1</f>
        <v/>
      </c>
      <c r="B181" s="123" t="n">
        <v>328000326</v>
      </c>
      <c r="C181" s="122" t="inlineStr">
        <is>
          <t>3214125507010001</t>
        </is>
      </c>
      <c r="D181" s="146" t="inlineStr">
        <is>
          <t>SINTA SELVINA</t>
        </is>
      </c>
      <c r="E181" s="147" t="inlineStr">
        <is>
          <t>PURWAKARTA</t>
        </is>
      </c>
      <c r="F181" s="125" t="inlineStr">
        <is>
          <t>TKD</t>
        </is>
      </c>
      <c r="G181" s="125" t="inlineStr">
        <is>
          <t xml:space="preserve">Kades Hegarmanah </t>
        </is>
      </c>
      <c r="H181" s="125" t="inlineStr">
        <is>
          <t>TITIPAN KADES HEGARMANAH</t>
        </is>
      </c>
      <c r="I181" s="127" t="n">
        <v>37087</v>
      </c>
      <c r="J181" s="128">
        <f>DATEDIF(I181, TODAY(), "Y") &amp; " tahun, " &amp; DATEDIF(I181, TODAY(), "YM") &amp; " bulan, " &amp; DATEDIF(I181, TODAY(), "MD") &amp; " hari"
</f>
        <v/>
      </c>
      <c r="K181" s="148" t="inlineStr">
        <is>
          <t>P</t>
        </is>
      </c>
      <c r="L181" s="148" t="inlineStr">
        <is>
          <t>PACKER</t>
        </is>
      </c>
      <c r="M181" s="122">
        <f>VLOOKUP(B181,Sheet21!A:N,14,0)</f>
        <v/>
      </c>
      <c r="N181" s="129" t="inlineStr">
        <is>
          <t>PRODUKSI</t>
        </is>
      </c>
      <c r="O181" s="17">
        <f>VLOOKUP(B181,'NS AKTIF'!A:F,6,0)</f>
        <v/>
      </c>
      <c r="P181" s="148" t="inlineStr">
        <is>
          <t>HARIAN</t>
        </is>
      </c>
      <c r="Q181" s="147" t="inlineStr">
        <is>
          <t>KP. CIROYOM RT/RW.009/004; DESA.CICADAS;KEC. ABBAKANCIKAO'KAB. PURWAKARTA</t>
        </is>
      </c>
      <c r="R181" s="151" t="n">
        <v>9</v>
      </c>
      <c r="S181" s="151" t="n">
        <v>4</v>
      </c>
      <c r="T181" s="148" t="n">
        <v>41151</v>
      </c>
      <c r="U181" s="148" t="inlineStr">
        <is>
          <t>BABAKANCIKAO</t>
        </is>
      </c>
      <c r="V181" s="148" t="inlineStr">
        <is>
          <t>CICADAS</t>
        </is>
      </c>
      <c r="W181" s="148" t="inlineStr">
        <is>
          <t>PURWAKARTA</t>
        </is>
      </c>
      <c r="X181" s="148" t="inlineStr">
        <is>
          <t>KP. CIROYOM RT/RW.009/004; DESA.CICADAS;KEC. ABBAKANCIKAO'KAB. PURWAKARTA</t>
        </is>
      </c>
      <c r="Y181" s="148" t="n">
        <v>8978591097</v>
      </c>
      <c r="Z181" s="147" t="inlineStr">
        <is>
          <t>ISLAM</t>
        </is>
      </c>
      <c r="AA181" s="148" t="inlineStr">
        <is>
          <t>SMK</t>
        </is>
      </c>
      <c r="AB181" s="149" t="n"/>
      <c r="AC181" s="17" t="n">
        <v>179</v>
      </c>
      <c r="AD181" s="133" t="n">
        <v>328000325</v>
      </c>
      <c r="AE181" s="96" t="inlineStr">
        <is>
          <t>MOHAMAD ALDIAWAN</t>
        </is>
      </c>
      <c r="AF181" s="133" t="inlineStr">
        <is>
          <t>PRODUCTION</t>
        </is>
      </c>
      <c r="AG181" s="135" t="n">
        <v>25047993123</v>
      </c>
      <c r="AH181" s="136" t="n">
        <v>1427573024</v>
      </c>
    </row>
    <row r="182" ht="15.75" customHeight="1" s="169">
      <c r="A182" s="122">
        <f>A181+1</f>
        <v/>
      </c>
      <c r="B182" s="123" t="n">
        <v>328000327</v>
      </c>
      <c r="C182" s="122" t="inlineStr">
        <is>
          <t>3214125705050002</t>
        </is>
      </c>
      <c r="D182" s="146" t="inlineStr">
        <is>
          <t>SYAILA MEISYALUNA</t>
        </is>
      </c>
      <c r="E182" s="147" t="inlineStr">
        <is>
          <t>PURWAKARTA</t>
        </is>
      </c>
      <c r="F182" s="125" t="inlineStr">
        <is>
          <t>TKD</t>
        </is>
      </c>
      <c r="G182" s="125" t="inlineStr">
        <is>
          <t>Pak Wahyudin</t>
        </is>
      </c>
      <c r="H182" s="125" t="inlineStr">
        <is>
          <t>KARYAWAN HARIAN</t>
        </is>
      </c>
      <c r="I182" s="127" t="n">
        <v>38489</v>
      </c>
      <c r="J182" s="128">
        <f>DATEDIF(I182, TODAY(), "Y") &amp; " tahun, " &amp; DATEDIF(I182, TODAY(), "YM") &amp; " bulan, " &amp; DATEDIF(I182, TODAY(), "MD") &amp; " hari"
</f>
        <v/>
      </c>
      <c r="K182" s="148" t="inlineStr">
        <is>
          <t>P</t>
        </is>
      </c>
      <c r="L182" s="148" t="inlineStr">
        <is>
          <t>PACKER</t>
        </is>
      </c>
      <c r="M182" s="122">
        <f>VLOOKUP(B182,Sheet21!A:N,14,0)</f>
        <v/>
      </c>
      <c r="N182" s="129" t="inlineStr">
        <is>
          <t>PRODUKSI</t>
        </is>
      </c>
      <c r="O182" s="17">
        <f>VLOOKUP(B182,'NS AKTIF'!A:F,6,0)</f>
        <v/>
      </c>
      <c r="P182" s="148" t="inlineStr">
        <is>
          <t>HARIAN</t>
        </is>
      </c>
      <c r="Q182" s="147" t="inlineStr">
        <is>
          <t>KP. WARUNG BUAH RT/RW. 015/006; DESA. HEGARMANAH; KEC. BABAKANCIKAO</t>
        </is>
      </c>
      <c r="R182" s="151" t="n">
        <v>15</v>
      </c>
      <c r="S182" s="151" t="n">
        <v>6</v>
      </c>
      <c r="T182" s="148" t="n">
        <v>41151</v>
      </c>
      <c r="U182" s="148" t="inlineStr">
        <is>
          <t>BABAKANCIKAO</t>
        </is>
      </c>
      <c r="V182" s="148" t="inlineStr">
        <is>
          <t>HEGARMANAH</t>
        </is>
      </c>
      <c r="W182" s="148" t="inlineStr">
        <is>
          <t>PURWAKARTA</t>
        </is>
      </c>
      <c r="X182" s="148" t="inlineStr">
        <is>
          <t>KP. WARUNG BUAH RT/RW. 015/006; DESA. HEGARMANAH; KEC. BABAKANCIKAO</t>
        </is>
      </c>
      <c r="Y182" s="148" t="inlineStr">
        <is>
          <t>085722654288/083174711824</t>
        </is>
      </c>
      <c r="Z182" s="147" t="inlineStr">
        <is>
          <t>ISLAM</t>
        </is>
      </c>
      <c r="AA182" s="148" t="inlineStr">
        <is>
          <t>SMK</t>
        </is>
      </c>
      <c r="AB182" s="149" t="n"/>
      <c r="AC182" s="17" t="n">
        <v>180</v>
      </c>
      <c r="AD182" s="133" t="n">
        <v>328000326</v>
      </c>
      <c r="AE182" s="96" t="inlineStr">
        <is>
          <t>SINTA SELVINA</t>
        </is>
      </c>
      <c r="AF182" s="133" t="inlineStr">
        <is>
          <t>PRODUCTION</t>
        </is>
      </c>
      <c r="AG182" s="135" t="n">
        <v>25060609051</v>
      </c>
      <c r="AH182" s="155" t="inlineStr">
        <is>
          <t>0002274683411</t>
        </is>
      </c>
    </row>
    <row r="183" ht="15.75" customHeight="1" s="169">
      <c r="A183" s="122">
        <f>A182+1</f>
        <v/>
      </c>
      <c r="B183" s="123" t="n">
        <v>328000328</v>
      </c>
      <c r="C183" s="122" t="inlineStr">
        <is>
          <t>3301104110050002</t>
        </is>
      </c>
      <c r="D183" s="146" t="inlineStr">
        <is>
          <t>OKTAVIA EKA DAMAYANTI</t>
        </is>
      </c>
      <c r="E183" s="147" t="inlineStr">
        <is>
          <t>CILACAP</t>
        </is>
      </c>
      <c r="F183" s="125" t="inlineStr">
        <is>
          <t>TKD</t>
        </is>
      </c>
      <c r="G183" s="125" t="inlineStr">
        <is>
          <t>Pak Wahyudin</t>
        </is>
      </c>
      <c r="H183" s="125" t="inlineStr">
        <is>
          <t>KARYAWAN HARIAN</t>
        </is>
      </c>
      <c r="I183" s="127" t="n">
        <v>38626</v>
      </c>
      <c r="J183" s="128">
        <f>DATEDIF(I183, TODAY(), "Y") &amp; " tahun, " &amp; DATEDIF(I183, TODAY(), "YM") &amp; " bulan, " &amp; DATEDIF(I183, TODAY(), "MD") &amp; " hari"
</f>
        <v/>
      </c>
      <c r="K183" s="148" t="inlineStr">
        <is>
          <t>P</t>
        </is>
      </c>
      <c r="L183" s="148" t="inlineStr">
        <is>
          <t>PACKER</t>
        </is>
      </c>
      <c r="M183" s="122">
        <f>VLOOKUP(B183,Sheet21!A:N,14,0)</f>
        <v/>
      </c>
      <c r="N183" s="129" t="inlineStr">
        <is>
          <t>PRODUKSI</t>
        </is>
      </c>
      <c r="O183" s="17">
        <f>VLOOKUP(B183,'NS AKTIF'!A:F,6,0)</f>
        <v/>
      </c>
      <c r="P183" s="148" t="inlineStr">
        <is>
          <t>HARIAN</t>
        </is>
      </c>
      <c r="Q183" s="147" t="inlineStr">
        <is>
          <t>KP. PARUNGDADAP RT/RW. 002/001; DESA. HEGARMANAH; KEC. BABAKANCIKAO</t>
        </is>
      </c>
      <c r="R183" s="151" t="n">
        <v>2</v>
      </c>
      <c r="S183" s="151" t="n">
        <v>1</v>
      </c>
      <c r="T183" s="148" t="n">
        <v>41151</v>
      </c>
      <c r="U183" s="148" t="inlineStr">
        <is>
          <t>BABAKANCIKAO</t>
        </is>
      </c>
      <c r="V183" s="148" t="inlineStr">
        <is>
          <t>HEGARMANAH</t>
        </is>
      </c>
      <c r="W183" s="148" t="inlineStr">
        <is>
          <t>PURWAKARTA</t>
        </is>
      </c>
      <c r="X183" s="148" t="inlineStr">
        <is>
          <t>KP. PARUNGDADAP RT/RW. 002/001; DESA. HEGARMANAH; KEC. BABAKANCIKAO</t>
        </is>
      </c>
      <c r="Y183" s="148" t="n">
        <v>82123963621</v>
      </c>
      <c r="Z183" s="147" t="inlineStr">
        <is>
          <t>ISLAM</t>
        </is>
      </c>
      <c r="AA183" s="148" t="inlineStr">
        <is>
          <t>SMA</t>
        </is>
      </c>
      <c r="AB183" s="149" t="n"/>
      <c r="AC183" s="17" t="n">
        <v>181</v>
      </c>
      <c r="AD183" s="133" t="n">
        <v>328000327</v>
      </c>
      <c r="AE183" s="96" t="inlineStr">
        <is>
          <t>SYAILA MEISYALUNA</t>
        </is>
      </c>
      <c r="AF183" s="133" t="inlineStr">
        <is>
          <t>PRODUCTION</t>
        </is>
      </c>
      <c r="AG183" s="135" t="n">
        <v>25060609069</v>
      </c>
      <c r="AH183" s="136" t="n">
        <v>1665707782</v>
      </c>
    </row>
    <row r="184" ht="15.75" customHeight="1" s="169">
      <c r="A184" s="122">
        <f>A183+1</f>
        <v/>
      </c>
      <c r="B184" s="123" t="n">
        <v>328000330</v>
      </c>
      <c r="C184" s="122" t="inlineStr">
        <is>
          <t>3214032811050003</t>
        </is>
      </c>
      <c r="D184" s="146" t="inlineStr">
        <is>
          <t>WENDIKA RIZKI KURNIAWAN</t>
        </is>
      </c>
      <c r="E184" s="147" t="inlineStr">
        <is>
          <t>PURWAKARTA</t>
        </is>
      </c>
      <c r="F184" s="125" t="inlineStr">
        <is>
          <t>TKD</t>
        </is>
      </c>
      <c r="G184" s="125" t="inlineStr">
        <is>
          <t xml:space="preserve">Karang Taruna Hegarmanah </t>
        </is>
      </c>
      <c r="H184" s="125" t="inlineStr">
        <is>
          <t>TITIPAN KARANG TARUNA HEGARMANAH PAK YOGA</t>
        </is>
      </c>
      <c r="I184" s="127" t="n">
        <v>38684</v>
      </c>
      <c r="J184" s="128">
        <f>DATEDIF(I184, TODAY(), "Y") &amp; " tahun, " &amp; DATEDIF(I184, TODAY(), "YM") &amp; " bulan, " &amp; DATEDIF(I184, TODAY(), "MD") &amp; " hari"
</f>
        <v/>
      </c>
      <c r="K184" s="148" t="inlineStr">
        <is>
          <t>L</t>
        </is>
      </c>
      <c r="L184" s="148" t="inlineStr">
        <is>
          <t>MAINTENANCE</t>
        </is>
      </c>
      <c r="M184" s="122">
        <f>VLOOKUP(B184,Sheet21!A:N,14,0)</f>
        <v/>
      </c>
      <c r="N184" s="129" t="inlineStr">
        <is>
          <t>ENG</t>
        </is>
      </c>
      <c r="O184" s="17">
        <f>VLOOKUP(B184,'NS AKTIF'!A:F,6,0)</f>
        <v/>
      </c>
      <c r="P184" s="148" t="inlineStr">
        <is>
          <t>HARIAN</t>
        </is>
      </c>
      <c r="Q184" s="147" t="inlineStr">
        <is>
          <t>JL PERUM BUKIT BERBUNGA BLOK C2 NO 25 RT/RW. 023/010 DESA. MEKARGALIH, KEC. JATILUHUR</t>
        </is>
      </c>
      <c r="R184" s="151" t="n">
        <v>23</v>
      </c>
      <c r="S184" s="151" t="n">
        <v>10</v>
      </c>
      <c r="T184" s="148" t="n">
        <v>41152</v>
      </c>
      <c r="U184" s="148" t="inlineStr">
        <is>
          <t>JATILUHUR</t>
        </is>
      </c>
      <c r="V184" s="148" t="inlineStr">
        <is>
          <t>MEKARGALIH</t>
        </is>
      </c>
      <c r="W184" s="148" t="inlineStr">
        <is>
          <t>PURWAKARTA</t>
        </is>
      </c>
      <c r="X184" s="148" t="inlineStr">
        <is>
          <t>JL PERUM BUKIT BERBUNGA BLOK C2 NO 25 RT/RW. 023/010 DESA. MEKARGALIH, KEC. JATILUHUR</t>
        </is>
      </c>
      <c r="Y184" s="148" t="n">
        <v>82112401039</v>
      </c>
      <c r="Z184" s="147" t="inlineStr">
        <is>
          <t>ISLAM</t>
        </is>
      </c>
      <c r="AA184" s="148" t="inlineStr">
        <is>
          <t>SMA</t>
        </is>
      </c>
      <c r="AB184" s="149" t="n"/>
      <c r="AC184" s="17" t="n">
        <v>182</v>
      </c>
      <c r="AD184" s="133" t="n">
        <v>328000328</v>
      </c>
      <c r="AE184" s="96" t="inlineStr">
        <is>
          <t>OKTAVIA EKA DAMAYANTI</t>
        </is>
      </c>
      <c r="AF184" s="133" t="inlineStr">
        <is>
          <t>PRODUCTION</t>
        </is>
      </c>
      <c r="AG184" s="135" t="n">
        <v>25060609077</v>
      </c>
      <c r="AH184" s="136" t="n">
        <v>1833654712</v>
      </c>
    </row>
    <row r="185" ht="15.75" customHeight="1" s="169">
      <c r="A185" s="122">
        <f>A184+1</f>
        <v/>
      </c>
      <c r="B185" s="123" t="n">
        <v>328000331</v>
      </c>
      <c r="C185" s="122" t="inlineStr">
        <is>
          <t>3204255205060006</t>
        </is>
      </c>
      <c r="D185" s="146" t="inlineStr">
        <is>
          <t>KAMILA AZZAHRA</t>
        </is>
      </c>
      <c r="E185" s="147" t="inlineStr">
        <is>
          <t>BANDUNG</t>
        </is>
      </c>
      <c r="F185" s="125" t="inlineStr">
        <is>
          <t>TKD</t>
        </is>
      </c>
      <c r="G185" s="125" t="inlineStr">
        <is>
          <t xml:space="preserve">Kades Hegarmanah </t>
        </is>
      </c>
      <c r="H185" s="125" t="inlineStr">
        <is>
          <t>KEPONAKAN RT PAK RAHMAT DADE</t>
        </is>
      </c>
      <c r="I185" s="127" t="n">
        <v>38849</v>
      </c>
      <c r="J185" s="128">
        <f>DATEDIF(I185, TODAY(), "Y") &amp; " tahun, " &amp; DATEDIF(I185, TODAY(), "YM") &amp; " bulan, " &amp; DATEDIF(I185, TODAY(), "MD") &amp; " hari"
</f>
        <v/>
      </c>
      <c r="K185" s="148" t="inlineStr">
        <is>
          <t>P</t>
        </is>
      </c>
      <c r="L185" s="148" t="inlineStr">
        <is>
          <t>PACKER</t>
        </is>
      </c>
      <c r="M185" s="122">
        <f>VLOOKUP(B185,Sheet21!A:N,14,0)</f>
        <v/>
      </c>
      <c r="N185" s="129" t="inlineStr">
        <is>
          <t>PRODUKSI</t>
        </is>
      </c>
      <c r="O185" s="17">
        <f>VLOOKUP(B185,'NS AKTIF'!A:F,6,0)</f>
        <v/>
      </c>
      <c r="P185" s="148" t="inlineStr">
        <is>
          <t>HARIAN</t>
        </is>
      </c>
      <c r="Q185" s="147" t="inlineStr">
        <is>
          <t>KP. WARUNGBUAH RT/RW. 003/002, DESA. HEGARMANAH, KEC. BABAKANCIKAO, KAB. PURWAKARTA</t>
        </is>
      </c>
      <c r="R185" s="151" t="n">
        <v>3</v>
      </c>
      <c r="S185" s="151" t="n">
        <v>2</v>
      </c>
      <c r="T185" s="148" t="n">
        <v>41151</v>
      </c>
      <c r="U185" s="148" t="inlineStr">
        <is>
          <t>BABAKANCIKAO</t>
        </is>
      </c>
      <c r="V185" s="148" t="inlineStr">
        <is>
          <t>HEGARMANAH</t>
        </is>
      </c>
      <c r="W185" s="148" t="inlineStr">
        <is>
          <t>PURWAKARTA</t>
        </is>
      </c>
      <c r="X185" s="148" t="inlineStr">
        <is>
          <t>KP. WARUNGBUAH RT/RW. 003/002, DESA. HEGARMANAH, KEC. BABAKANCIKAO, KAB. PURWAKARTA</t>
        </is>
      </c>
      <c r="Y185" s="148" t="n">
        <v>81213570949</v>
      </c>
      <c r="Z185" s="147" t="inlineStr">
        <is>
          <t>ISLAM</t>
        </is>
      </c>
      <c r="AA185" s="148" t="inlineStr">
        <is>
          <t>SMK</t>
        </is>
      </c>
      <c r="AB185" s="149" t="n"/>
      <c r="AC185" s="17" t="n">
        <v>183</v>
      </c>
      <c r="AD185" s="133" t="n">
        <v>328000330</v>
      </c>
      <c r="AE185" s="96" t="inlineStr">
        <is>
          <t>WENDIKA RIZKI KURNIAWAN</t>
        </is>
      </c>
      <c r="AF185" s="133" t="inlineStr">
        <is>
          <t>ENGINEERING</t>
        </is>
      </c>
      <c r="AG185" s="135" t="n">
        <v>25060609093</v>
      </c>
      <c r="AH185" s="136" t="n">
        <v>1202480807</v>
      </c>
    </row>
    <row r="186" ht="15.75" customHeight="1" s="169">
      <c r="A186" s="122">
        <f>A185+1</f>
        <v/>
      </c>
      <c r="B186" s="123" t="n">
        <v>328000332</v>
      </c>
      <c r="C186" s="122" t="inlineStr">
        <is>
          <t>3208060910020002</t>
        </is>
      </c>
      <c r="D186" s="146" t="inlineStr">
        <is>
          <t>ANIN HERMAWAN</t>
        </is>
      </c>
      <c r="E186" s="147" t="inlineStr">
        <is>
          <t>KUNINGAN</t>
        </is>
      </c>
      <c r="F186" s="125" t="inlineStr">
        <is>
          <t>TKD</t>
        </is>
      </c>
      <c r="G186" s="125" t="inlineStr">
        <is>
          <t>Pak Wahyudin</t>
        </is>
      </c>
      <c r="H186" s="125" t="inlineStr">
        <is>
          <t>KEPONAKAN PAK WAHYUDIN</t>
        </is>
      </c>
      <c r="I186" s="127" t="n">
        <v>37538</v>
      </c>
      <c r="J186" s="128">
        <f>DATEDIF(I186, TODAY(), "Y") &amp; " tahun, " &amp; DATEDIF(I186, TODAY(), "YM") &amp; " bulan, " &amp; DATEDIF(I186, TODAY(), "MD") &amp; " hari"
</f>
        <v/>
      </c>
      <c r="K186" s="148" t="inlineStr">
        <is>
          <t>L</t>
        </is>
      </c>
      <c r="L186" s="148" t="inlineStr">
        <is>
          <t>PACKER</t>
        </is>
      </c>
      <c r="M186" s="122">
        <f>VLOOKUP(B186,Sheet21!A:N,14,0)</f>
        <v/>
      </c>
      <c r="N186" s="129" t="inlineStr">
        <is>
          <t>PRODUKSI</t>
        </is>
      </c>
      <c r="O186" s="17">
        <f>VLOOKUP(B186,'NS AKTIF'!A:F,6,0)</f>
        <v/>
      </c>
      <c r="P186" s="148" t="inlineStr">
        <is>
          <t>HARIAN</t>
        </is>
      </c>
      <c r="Q186" s="147" t="inlineStr">
        <is>
          <t>DUSUN KLIWON RT/RW. 004/002; DESA. SINDANGSUKA;KEC. LURAGUNG; KAB. KUNINGAN</t>
        </is>
      </c>
      <c r="R186" s="151" t="n">
        <v>4</v>
      </c>
      <c r="S186" s="151" t="n">
        <v>2</v>
      </c>
      <c r="T186" s="148" t="n">
        <v>45581</v>
      </c>
      <c r="U186" s="148" t="inlineStr">
        <is>
          <t>LURAGUNG</t>
        </is>
      </c>
      <c r="V186" s="148" t="inlineStr">
        <is>
          <t>SINDANGSUKA</t>
        </is>
      </c>
      <c r="W186" s="148" t="inlineStr">
        <is>
          <t>KUNINGAN</t>
        </is>
      </c>
      <c r="X186" s="148" t="inlineStr">
        <is>
          <t>DUSUN KLIWON RT/RW. 004/002; DESA. SINDANGSUKA;KEC. LURAGUNG; KAB. KUNINGAN</t>
        </is>
      </c>
      <c r="Y186" s="148" t="inlineStr">
        <is>
          <t>081525988105/089661754134</t>
        </is>
      </c>
      <c r="Z186" s="147" t="inlineStr">
        <is>
          <t>ISLAM</t>
        </is>
      </c>
      <c r="AA186" s="148" t="inlineStr">
        <is>
          <t>SMK</t>
        </is>
      </c>
      <c r="AB186" s="149" t="n"/>
      <c r="AC186" s="17" t="n">
        <v>184</v>
      </c>
      <c r="AD186" s="133" t="n">
        <v>328000331</v>
      </c>
      <c r="AE186" s="96" t="inlineStr">
        <is>
          <t>KAMILA AZZAHRA</t>
        </is>
      </c>
      <c r="AF186" s="133" t="inlineStr">
        <is>
          <t>PRODUCTION</t>
        </is>
      </c>
      <c r="AG186" s="135" t="n">
        <v>25060609101</v>
      </c>
      <c r="AH186" s="136" t="n">
        <v>1341105197</v>
      </c>
    </row>
    <row r="187" ht="15.75" customHeight="1" s="169">
      <c r="A187" s="122">
        <f>A186+1</f>
        <v/>
      </c>
      <c r="B187" s="123" t="n">
        <v>328000334</v>
      </c>
      <c r="C187" s="122" t="inlineStr">
        <is>
          <t>3214122905010005</t>
        </is>
      </c>
      <c r="D187" s="146" t="inlineStr">
        <is>
          <t>NANA PURWANTO</t>
        </is>
      </c>
      <c r="E187" s="147" t="inlineStr">
        <is>
          <t>PURWAKARTA</t>
        </is>
      </c>
      <c r="F187" s="125" t="inlineStr">
        <is>
          <t>TKD</t>
        </is>
      </c>
      <c r="G187" s="125" t="inlineStr">
        <is>
          <t xml:space="preserve">Karang Taruna Hegarmanah </t>
        </is>
      </c>
      <c r="H187" s="125" t="inlineStr">
        <is>
          <t>TITIPAN KARANG TARUNA HEGARMANAH</t>
        </is>
      </c>
      <c r="I187" s="127" t="n">
        <v>37040</v>
      </c>
      <c r="J187" s="128">
        <f>DATEDIF(I187, TODAY(), "Y") &amp; " tahun, " &amp; DATEDIF(I187, TODAY(), "YM") &amp; " bulan, " &amp; DATEDIF(I187, TODAY(), "MD") &amp; " hari"
</f>
        <v/>
      </c>
      <c r="K187" s="148" t="inlineStr">
        <is>
          <t>L</t>
        </is>
      </c>
      <c r="L187" s="148" t="inlineStr">
        <is>
          <t>Packer</t>
        </is>
      </c>
      <c r="M187" s="122">
        <f>VLOOKUP(B187,Sheet21!A:N,14,0)</f>
        <v/>
      </c>
      <c r="N187" s="129" t="inlineStr">
        <is>
          <t>PRODUKSI</t>
        </is>
      </c>
      <c r="O187" s="17" t="inlineStr">
        <is>
          <t>Packer</t>
        </is>
      </c>
      <c r="P187" s="148" t="inlineStr">
        <is>
          <t>HARIAN</t>
        </is>
      </c>
      <c r="Q187" s="147" t="inlineStr">
        <is>
          <t>KP. BAYUR, RT/RW: 08/03, DESA HEGARMANAH, KEC. BABAKANCIKAO, KAB. PURWAKARTA</t>
        </is>
      </c>
      <c r="R187" s="151" t="n">
        <v>3</v>
      </c>
      <c r="S187" s="151" t="n">
        <v>3</v>
      </c>
      <c r="T187" s="148" t="n">
        <v>41151</v>
      </c>
      <c r="U187" s="148" t="inlineStr">
        <is>
          <t>BABAKANCIKAO</t>
        </is>
      </c>
      <c r="V187" s="148" t="inlineStr">
        <is>
          <t>HEGARMANAH</t>
        </is>
      </c>
      <c r="W187" s="148" t="inlineStr">
        <is>
          <t>PURWAKARTA</t>
        </is>
      </c>
      <c r="X187" s="148" t="inlineStr">
        <is>
          <t>KP. BAYUR, RT/RW: 08/03, DESA HEGARMANAH, KEC. BABAKANCIKAO, KAB. PURWAKARTA</t>
        </is>
      </c>
      <c r="Y187" s="148" t="n">
        <v>85624683851</v>
      </c>
      <c r="Z187" s="147" t="inlineStr">
        <is>
          <t>ISLAM</t>
        </is>
      </c>
      <c r="AA187" s="148" t="inlineStr">
        <is>
          <t>SMK</t>
        </is>
      </c>
      <c r="AB187" s="149" t="n"/>
      <c r="AC187" s="17" t="n">
        <v>185</v>
      </c>
      <c r="AD187" s="133" t="n">
        <v>328000332</v>
      </c>
      <c r="AE187" s="96" t="inlineStr">
        <is>
          <t>ANIN HERMAWAN</t>
        </is>
      </c>
      <c r="AF187" s="133" t="inlineStr">
        <is>
          <t>PRODUCTION</t>
        </is>
      </c>
      <c r="AG187" s="135" t="n">
        <v>25060609119</v>
      </c>
      <c r="AH187" s="136" t="n">
        <v>444410684</v>
      </c>
    </row>
    <row r="188" ht="15.75" customHeight="1" s="169">
      <c r="A188" s="122">
        <f>A187+1</f>
        <v/>
      </c>
      <c r="B188" s="123" t="n">
        <v>328000335</v>
      </c>
      <c r="C188" s="122" t="inlineStr">
        <is>
          <t>3214120411000002</t>
        </is>
      </c>
      <c r="D188" s="146" t="inlineStr">
        <is>
          <t>MUHAMAD SANDI</t>
        </is>
      </c>
      <c r="E188" s="147" t="inlineStr">
        <is>
          <t>PURWAKARTA</t>
        </is>
      </c>
      <c r="F188" s="125" t="inlineStr">
        <is>
          <t>TKD</t>
        </is>
      </c>
      <c r="G188" s="125" t="inlineStr">
        <is>
          <t>H. Misja</t>
        </is>
      </c>
      <c r="H188" s="125" t="inlineStr">
        <is>
          <t>TITIPAN H MISJA</t>
        </is>
      </c>
      <c r="I188" s="127" t="n">
        <v>36838</v>
      </c>
      <c r="J188" s="128">
        <f>DATEDIF(I188, TODAY(), "Y") &amp; " tahun, " &amp; DATEDIF(I188, TODAY(), "YM") &amp; " bulan, " &amp; DATEDIF(I188, TODAY(), "MD") &amp; " hari"
</f>
        <v/>
      </c>
      <c r="K188" s="148" t="inlineStr">
        <is>
          <t>L</t>
        </is>
      </c>
      <c r="L188" s="148" t="inlineStr">
        <is>
          <t>OP. PRODUKSI</t>
        </is>
      </c>
      <c r="M188" s="122">
        <f>VLOOKUP(B188,Sheet21!A:N,14,0)</f>
        <v/>
      </c>
      <c r="N188" s="129" t="inlineStr">
        <is>
          <t>PRODUKSI</t>
        </is>
      </c>
      <c r="O188" s="17" t="inlineStr">
        <is>
          <t>Operator Produksi</t>
        </is>
      </c>
      <c r="P188" s="148" t="inlineStr">
        <is>
          <t>HARIAN</t>
        </is>
      </c>
      <c r="Q188" s="147" t="inlineStr">
        <is>
          <t>KP. KRAJAN, RT/RW: 012/003, KEL:MARACANG, KEC: BABAKANCIKAO, KAB: PURWAKARTA</t>
        </is>
      </c>
      <c r="R188" s="151" t="n">
        <v>12</v>
      </c>
      <c r="S188" s="151" t="n">
        <v>3</v>
      </c>
      <c r="T188" s="150" t="n"/>
      <c r="U188" s="148" t="inlineStr">
        <is>
          <t>BABAKANCIKAO</t>
        </is>
      </c>
      <c r="V188" s="148" t="inlineStr">
        <is>
          <t>MARACANG</t>
        </is>
      </c>
      <c r="W188" s="148" t="inlineStr">
        <is>
          <t>PURWAKARTA</t>
        </is>
      </c>
      <c r="X188" s="148" t="inlineStr">
        <is>
          <t>KP. KRAJAN, RT/RW: 012/003, KEL:MARACANG, KEC: BABAKANCIKAO, KAB: PURWAKARTA</t>
        </is>
      </c>
      <c r="Y188" s="148" t="n">
        <v>85216296946</v>
      </c>
      <c r="Z188" s="147" t="inlineStr">
        <is>
          <t>ISLAM</t>
        </is>
      </c>
      <c r="AA188" s="148" t="inlineStr">
        <is>
          <t>SMK</t>
        </is>
      </c>
      <c r="AB188" s="149" t="n"/>
      <c r="AC188" s="17" t="n">
        <v>186</v>
      </c>
      <c r="AD188" s="133" t="n">
        <v>328000334</v>
      </c>
      <c r="AE188" s="134" t="inlineStr">
        <is>
          <t>NANA PURWANTO</t>
        </is>
      </c>
      <c r="AF188" s="133" t="inlineStr">
        <is>
          <t>PRODUCTION</t>
        </is>
      </c>
      <c r="AG188" s="135" t="n">
        <v>25060609135</v>
      </c>
      <c r="AH188" s="136" t="n">
        <v>3294541405</v>
      </c>
    </row>
    <row r="189" ht="15.75" customHeight="1" s="169">
      <c r="A189" s="122">
        <f>A188+1</f>
        <v/>
      </c>
      <c r="B189" s="123" t="n">
        <v>328000336</v>
      </c>
      <c r="C189" s="122" t="inlineStr">
        <is>
          <t>3214162202050001</t>
        </is>
      </c>
      <c r="D189" s="146" t="inlineStr">
        <is>
          <t>ANDRI SAPUTRA</t>
        </is>
      </c>
      <c r="E189" s="147" t="inlineStr">
        <is>
          <t>PURWAKARTA</t>
        </is>
      </c>
      <c r="F189" s="125" t="inlineStr">
        <is>
          <t>TKD</t>
        </is>
      </c>
      <c r="G189" s="125" t="inlineStr">
        <is>
          <t>H. Misja</t>
        </is>
      </c>
      <c r="H189" s="125" t="inlineStr">
        <is>
          <t>TITIPAN H MISJA</t>
        </is>
      </c>
      <c r="I189" s="127" t="n">
        <v>38405</v>
      </c>
      <c r="J189" s="128">
        <f>DATEDIF(I189, TODAY(), "Y") &amp; " tahun, " &amp; DATEDIF(I189, TODAY(), "YM") &amp; " bulan, " &amp; DATEDIF(I189, TODAY(), "MD") &amp; " hari"
</f>
        <v/>
      </c>
      <c r="K189" s="148" t="inlineStr">
        <is>
          <t>L</t>
        </is>
      </c>
      <c r="L189" s="148" t="inlineStr">
        <is>
          <t>Packer</t>
        </is>
      </c>
      <c r="M189" s="122">
        <f>VLOOKUP(B189,Sheet21!A:N,14,0)</f>
        <v/>
      </c>
      <c r="N189" s="129" t="inlineStr">
        <is>
          <t>PRODUKSI</t>
        </is>
      </c>
      <c r="O189" s="17" t="inlineStr">
        <is>
          <t>Packer</t>
        </is>
      </c>
      <c r="P189" s="148" t="inlineStr">
        <is>
          <t>HARIAN</t>
        </is>
      </c>
      <c r="Q189" s="147" t="inlineStr">
        <is>
          <t>KP KRAJAN, RT/RW:OO3/001, KEL:SITU, KEC:PONDOKSALAM, KAB PURWAKARTA</t>
        </is>
      </c>
      <c r="R189" s="151" t="n">
        <v>3</v>
      </c>
      <c r="S189" s="151" t="n">
        <v>1</v>
      </c>
      <c r="T189" s="150" t="n"/>
      <c r="U189" s="148" t="inlineStr">
        <is>
          <t>PONDOK SALEM</t>
        </is>
      </c>
      <c r="V189" s="148" t="inlineStr">
        <is>
          <t>SITU</t>
        </is>
      </c>
      <c r="W189" s="148" t="inlineStr">
        <is>
          <t>PURWAKARTA</t>
        </is>
      </c>
      <c r="X189" s="148" t="inlineStr">
        <is>
          <t>KP KRAJAN, RT/RW:OO3/001, KEL:SITU, KEC:PONDOKSALAM, KAB PURWAKARTA</t>
        </is>
      </c>
      <c r="Y189" s="148" t="n">
        <v>83821141922</v>
      </c>
      <c r="Z189" s="147" t="inlineStr">
        <is>
          <t>ISLAM</t>
        </is>
      </c>
      <c r="AA189" s="148" t="inlineStr">
        <is>
          <t>SMK</t>
        </is>
      </c>
      <c r="AB189" s="149" t="n"/>
      <c r="AC189" s="17" t="n">
        <v>187</v>
      </c>
      <c r="AD189" s="133" t="n">
        <v>328000335</v>
      </c>
      <c r="AE189" s="134" t="inlineStr">
        <is>
          <t>MUHAMAD SANDI</t>
        </is>
      </c>
      <c r="AF189" s="133" t="inlineStr">
        <is>
          <t>PRODUCTION</t>
        </is>
      </c>
      <c r="AG189" s="135" t="n">
        <v>25060609143</v>
      </c>
      <c r="AH189" s="136" t="n">
        <v>2742047853</v>
      </c>
    </row>
    <row r="190" ht="15.75" customHeight="1" s="169">
      <c r="A190" s="122">
        <f>A189+1</f>
        <v/>
      </c>
      <c r="B190" s="123" t="n">
        <v>328000338</v>
      </c>
      <c r="C190" s="122" t="inlineStr">
        <is>
          <t>3214016608050015</t>
        </is>
      </c>
      <c r="D190" s="146" t="inlineStr">
        <is>
          <t>JIHAN DWI AGUSTINA</t>
        </is>
      </c>
      <c r="E190" s="147" t="inlineStr">
        <is>
          <t>PURWAKARTA</t>
        </is>
      </c>
      <c r="F190" s="125" t="inlineStr">
        <is>
          <t>TKD</t>
        </is>
      </c>
      <c r="G190" s="125" t="inlineStr">
        <is>
          <t xml:space="preserve">Karang Taruna Hegarmanah </t>
        </is>
      </c>
      <c r="H190" s="125" t="inlineStr">
        <is>
          <t>TITIPAN KARANG TARUNA HEGARMANAH</t>
        </is>
      </c>
      <c r="I190" s="127" t="n">
        <v>38590</v>
      </c>
      <c r="J190" s="128">
        <f>DATEDIF(I190, TODAY(), "Y") &amp; " tahun, " &amp; DATEDIF(I190, TODAY(), "YM") &amp; " bulan, " &amp; DATEDIF(I190, TODAY(), "MD") &amp; " hari"
</f>
        <v/>
      </c>
      <c r="K190" s="148" t="inlineStr">
        <is>
          <t>P</t>
        </is>
      </c>
      <c r="L190" s="148" t="inlineStr">
        <is>
          <t>QC PRODUKSI</t>
        </is>
      </c>
      <c r="M190" s="122">
        <f>VLOOKUP(B190,Sheet21!A:N,14,0)</f>
        <v/>
      </c>
      <c r="N190" s="129" t="inlineStr">
        <is>
          <t>QC</t>
        </is>
      </c>
      <c r="O190" s="17" t="inlineStr">
        <is>
          <t>QC Produksi</t>
        </is>
      </c>
      <c r="P190" s="148" t="inlineStr">
        <is>
          <t>HARIAN</t>
        </is>
      </c>
      <c r="Q190" s="147" t="inlineStr">
        <is>
          <t>JL. VETERAN GG. TRITURA, RT/RW:002/001, KEL:CISEUREUH, KEC: PURWAKARTA, KAB: PURWAKARTA</t>
        </is>
      </c>
      <c r="R190" s="151" t="n">
        <v>2</v>
      </c>
      <c r="S190" s="151" t="n">
        <v>1</v>
      </c>
      <c r="T190" s="150" t="n"/>
      <c r="U190" s="148" t="inlineStr">
        <is>
          <t>CISEUREUH</t>
        </is>
      </c>
      <c r="V190" s="148" t="inlineStr">
        <is>
          <t>PURWAKARTA</t>
        </is>
      </c>
      <c r="W190" s="148" t="inlineStr">
        <is>
          <t>PURWAKARTA</t>
        </is>
      </c>
      <c r="X190" s="148" t="inlineStr">
        <is>
          <t>JL. VETERAN GG. TRITURA, RT/RW:002/001, KEL:CISEUREUH, KEC: PURWAKARTA, KAB: PURWAKARTA</t>
        </is>
      </c>
      <c r="Y190" s="148" t="n">
        <v>85603282870</v>
      </c>
      <c r="Z190" s="147" t="inlineStr">
        <is>
          <t>ISLAM</t>
        </is>
      </c>
      <c r="AA190" s="148" t="inlineStr">
        <is>
          <t>SMA</t>
        </is>
      </c>
      <c r="AB190" s="149" t="n"/>
      <c r="AC190" s="17" t="n">
        <v>188</v>
      </c>
      <c r="AD190" s="133" t="n">
        <v>328000336</v>
      </c>
      <c r="AE190" s="134" t="inlineStr">
        <is>
          <t>ANDRI SAPUTRA</t>
        </is>
      </c>
      <c r="AF190" s="133" t="inlineStr">
        <is>
          <t>PRODUCTION</t>
        </is>
      </c>
      <c r="AG190" s="135" t="n">
        <v>25060609150</v>
      </c>
      <c r="AH190" s="136" t="n">
        <v>480781563</v>
      </c>
    </row>
    <row r="191" ht="15.75" customHeight="1" s="169">
      <c r="A191" s="122">
        <f>A190+1</f>
        <v/>
      </c>
      <c r="B191" s="123" t="n">
        <v>328000339</v>
      </c>
      <c r="C191" s="122" t="inlineStr">
        <is>
          <t>3214011306010002</t>
        </is>
      </c>
      <c r="D191" s="146" t="inlineStr">
        <is>
          <t>MOHAMMAD RAFI RUSTAMAN</t>
        </is>
      </c>
      <c r="E191" s="147" t="inlineStr">
        <is>
          <t>PURWAKARTA</t>
        </is>
      </c>
      <c r="F191" s="125" t="inlineStr">
        <is>
          <t>LINK</t>
        </is>
      </c>
      <c r="G191" s="96" t="n"/>
      <c r="H191" s="125" t="inlineStr">
        <is>
          <t>PT KMJ</t>
        </is>
      </c>
      <c r="I191" s="127" t="n">
        <v>37055</v>
      </c>
      <c r="J191" s="128">
        <f>DATEDIF(I191, TODAY(), "Y") &amp; " tahun, " &amp; DATEDIF(I191, TODAY(), "YM") &amp; " bulan, " &amp; DATEDIF(I191, TODAY(), "MD") &amp; " hari"
</f>
        <v/>
      </c>
      <c r="K191" s="148" t="inlineStr">
        <is>
          <t>L</t>
        </is>
      </c>
      <c r="L191" s="148" t="inlineStr">
        <is>
          <t>CHEKER</t>
        </is>
      </c>
      <c r="M191" s="122">
        <f>VLOOKUP(B191,Sheet21!A:N,14,0)</f>
        <v/>
      </c>
      <c r="N191" s="129" t="inlineStr">
        <is>
          <t>LOGISTIK</t>
        </is>
      </c>
      <c r="O191" s="17" t="inlineStr">
        <is>
          <t>Checker</t>
        </is>
      </c>
      <c r="P191" s="148" t="inlineStr">
        <is>
          <t>HARIAN</t>
        </is>
      </c>
      <c r="Q191" s="147" t="inlineStr">
        <is>
          <t>PERUM OESMAN SINGAWINATA,BLOK B2 NO.5, RT/RW: 083/11, KEL: NAGRIKALER, KEC PURWAKARTA, KAB PURWAKARTA</t>
        </is>
      </c>
      <c r="R191" s="151" t="n">
        <v>83</v>
      </c>
      <c r="S191" s="151" t="n">
        <v>11</v>
      </c>
      <c r="T191" s="150" t="n"/>
      <c r="U191" s="148" t="inlineStr">
        <is>
          <t>NAGRI KALER</t>
        </is>
      </c>
      <c r="V191" s="148" t="inlineStr">
        <is>
          <t>PURWAKARTA</t>
        </is>
      </c>
      <c r="W191" s="148" t="inlineStr">
        <is>
          <t>PURWAKARTA</t>
        </is>
      </c>
      <c r="X191" s="148" t="inlineStr">
        <is>
          <t>PERUM OESMAN SINGAWINATA,BLOK B2 NO.5, RT/RW: 083/11, KEL: NAGRIKALER, KEC PURWAKARTA, KAB PURWAKARTA</t>
        </is>
      </c>
      <c r="Y191" s="148" t="n">
        <v>89503853587</v>
      </c>
      <c r="Z191" s="147" t="inlineStr">
        <is>
          <t>ISLAM</t>
        </is>
      </c>
      <c r="AA191" s="148" t="inlineStr">
        <is>
          <t>SMK</t>
        </is>
      </c>
      <c r="AB191" s="149" t="n"/>
      <c r="AC191" s="17" t="n">
        <v>189</v>
      </c>
      <c r="AD191" s="133" t="n">
        <v>328000338</v>
      </c>
      <c r="AE191" s="134" t="inlineStr">
        <is>
          <t>JIHAN DWI AGUSTINA</t>
        </is>
      </c>
      <c r="AF191" s="133" t="inlineStr">
        <is>
          <t>QUALITY AND RESEARCH &amp; DEVELOPMENT</t>
        </is>
      </c>
      <c r="AG191" s="135" t="n">
        <v>25060609168</v>
      </c>
      <c r="AH191" s="136" t="n">
        <v>1659877255</v>
      </c>
    </row>
    <row r="192" ht="15.75" customHeight="1" s="169">
      <c r="A192" s="122">
        <f>A191+1</f>
        <v/>
      </c>
      <c r="B192" s="123" t="n">
        <v>328000340</v>
      </c>
      <c r="C192" s="122" t="inlineStr">
        <is>
          <t>3214131804010003</t>
        </is>
      </c>
      <c r="D192" s="146" t="inlineStr">
        <is>
          <t>IYAN SUPRIYANTO</t>
        </is>
      </c>
      <c r="E192" s="147" t="inlineStr">
        <is>
          <t>PURWAKARTA</t>
        </is>
      </c>
      <c r="F192" s="125" t="inlineStr">
        <is>
          <t>LINK</t>
        </is>
      </c>
      <c r="G192" s="96" t="n"/>
      <c r="H192" s="125" t="inlineStr">
        <is>
          <t>PT KMJ</t>
        </is>
      </c>
      <c r="I192" s="127" t="n">
        <v>36999</v>
      </c>
      <c r="J192" s="128">
        <f>DATEDIF(I192, TODAY(), "Y") &amp; " tahun, " &amp; DATEDIF(I192, TODAY(), "YM") &amp; " bulan, " &amp; DATEDIF(I192, TODAY(), "MD") &amp; " hari"
</f>
        <v/>
      </c>
      <c r="K192" s="148" t="inlineStr">
        <is>
          <t>L</t>
        </is>
      </c>
      <c r="L192" s="148" t="inlineStr">
        <is>
          <t>MAINTENANCE</t>
        </is>
      </c>
      <c r="M192" s="122">
        <f>VLOOKUP(B192,Sheet21!A:N,14,0)</f>
        <v/>
      </c>
      <c r="N192" s="129" t="inlineStr">
        <is>
          <t>ENG</t>
        </is>
      </c>
      <c r="O192" s="17" t="inlineStr">
        <is>
          <t>Maintenance Shift</t>
        </is>
      </c>
      <c r="P192" s="148" t="inlineStr">
        <is>
          <t>HARIAN</t>
        </is>
      </c>
      <c r="Q192" s="147" t="inlineStr">
        <is>
          <t>KP. CIKIARA, RT/RW: 004/002, KEL: WANAKERTA, KEC: BUNGURSARI, KAB: PURWAKARTA</t>
        </is>
      </c>
      <c r="R192" s="151" t="n">
        <v>4</v>
      </c>
      <c r="S192" s="151" t="n">
        <v>2</v>
      </c>
      <c r="T192" s="150" t="n"/>
      <c r="U192" s="148" t="inlineStr">
        <is>
          <t>WANAKERTA</t>
        </is>
      </c>
      <c r="V192" s="148" t="inlineStr">
        <is>
          <t>BUNGURSARI</t>
        </is>
      </c>
      <c r="W192" s="148" t="inlineStr">
        <is>
          <t>PURWAKARTA</t>
        </is>
      </c>
      <c r="X192" s="148" t="inlineStr">
        <is>
          <t>KP. CIKIARA, RT/RW: 004/002, KEL: WANAKERTA, KEC: BUNGURSARI, KAB: PURWAKARTA</t>
        </is>
      </c>
      <c r="Y192" s="148" t="n">
        <v>81299254992</v>
      </c>
      <c r="Z192" s="147" t="inlineStr">
        <is>
          <t>ISLAM</t>
        </is>
      </c>
      <c r="AA192" s="148" t="inlineStr">
        <is>
          <t>SMK</t>
        </is>
      </c>
      <c r="AB192" s="149" t="n"/>
      <c r="AC192" s="17" t="n">
        <v>190</v>
      </c>
      <c r="AD192" s="133" t="n">
        <v>328000339</v>
      </c>
      <c r="AE192" s="134" t="inlineStr">
        <is>
          <t>MOHAMMAD RAFI RUSTAMAN</t>
        </is>
      </c>
      <c r="AF192" s="133" t="inlineStr">
        <is>
          <t>LOGISTIC</t>
        </is>
      </c>
      <c r="AG192" s="135" t="n">
        <v>25060609176</v>
      </c>
      <c r="AH192" s="136" t="n">
        <v>1865838633</v>
      </c>
    </row>
    <row r="193" ht="15.75" customHeight="1" s="169">
      <c r="A193" s="122">
        <f>A192+1</f>
        <v/>
      </c>
      <c r="B193" s="123" t="n">
        <v>328000341</v>
      </c>
      <c r="C193" s="122" t="inlineStr">
        <is>
          <t>3214162509050002</t>
        </is>
      </c>
      <c r="D193" s="146" t="inlineStr">
        <is>
          <t>RIKI SEPTIADI</t>
        </is>
      </c>
      <c r="E193" s="147" t="inlineStr">
        <is>
          <t>PURWAKARTA</t>
        </is>
      </c>
      <c r="F193" s="125" t="inlineStr">
        <is>
          <t>TKD</t>
        </is>
      </c>
      <c r="G193" s="125" t="inlineStr">
        <is>
          <t>H. Misja</t>
        </is>
      </c>
      <c r="H193" s="125" t="inlineStr">
        <is>
          <t>TITIPAN H MISJA</t>
        </is>
      </c>
      <c r="I193" s="127" t="n">
        <v>38620</v>
      </c>
      <c r="J193" s="128">
        <f>DATEDIF(I193, TODAY(), "Y") &amp; " tahun, " &amp; DATEDIF(I193, TODAY(), "YM") &amp; " bulan, " &amp; DATEDIF(I193, TODAY(), "MD") &amp; " hari"
</f>
        <v/>
      </c>
      <c r="K193" s="148" t="inlineStr">
        <is>
          <t>L</t>
        </is>
      </c>
      <c r="L193" s="148" t="inlineStr">
        <is>
          <t>Packer</t>
        </is>
      </c>
      <c r="M193" s="122">
        <f>VLOOKUP(B193,Sheet21!A:N,14,0)</f>
        <v/>
      </c>
      <c r="N193" s="129" t="inlineStr">
        <is>
          <t>PRODUKSI</t>
        </is>
      </c>
      <c r="O193" s="17" t="inlineStr">
        <is>
          <t>Packer</t>
        </is>
      </c>
      <c r="P193" s="148" t="inlineStr">
        <is>
          <t>HARIAN</t>
        </is>
      </c>
      <c r="Q193" s="147" t="inlineStr">
        <is>
          <t>KP. KRAJAN RT/RW. 006/002 KEL. SITU; KEC. PONDOKSALAM; KAB. PURWAKARTA</t>
        </is>
      </c>
      <c r="R193" s="151" t="n">
        <v>6</v>
      </c>
      <c r="S193" s="151" t="n">
        <v>2</v>
      </c>
      <c r="T193" s="148" t="n">
        <v>41118</v>
      </c>
      <c r="U193" s="148" t="inlineStr">
        <is>
          <t>PONDOKSALAM</t>
        </is>
      </c>
      <c r="V193" s="148" t="inlineStr">
        <is>
          <t>SITU</t>
        </is>
      </c>
      <c r="W193" s="148" t="inlineStr">
        <is>
          <t>PURWAKARTA</t>
        </is>
      </c>
      <c r="X193" s="148" t="inlineStr">
        <is>
          <t>KP. KRAJAN RT/RW. 006/002 KEL. SITU; KEC. PONDOKSALAM; KAB. PURWAKARTA</t>
        </is>
      </c>
      <c r="Y193" s="148" t="n">
        <v>83848015907</v>
      </c>
      <c r="Z193" s="147" t="inlineStr">
        <is>
          <t>ISLAM</t>
        </is>
      </c>
      <c r="AA193" s="148" t="inlineStr">
        <is>
          <t>SMK</t>
        </is>
      </c>
      <c r="AB193" s="149" t="n"/>
      <c r="AC193" s="17" t="n">
        <v>191</v>
      </c>
      <c r="AD193" s="133" t="n">
        <v>328000340</v>
      </c>
      <c r="AE193" s="134" t="inlineStr">
        <is>
          <t>IYAN SUPRIYANTO NUGRAHA</t>
        </is>
      </c>
      <c r="AF193" s="133" t="inlineStr">
        <is>
          <t>ENGINEERING</t>
        </is>
      </c>
      <c r="AG193" s="135" t="n">
        <v>25060609184</v>
      </c>
      <c r="AH193" s="136" t="n">
        <v>63329679</v>
      </c>
    </row>
    <row r="194" ht="15.75" customHeight="1" s="169">
      <c r="A194" s="122">
        <f>A193+1</f>
        <v/>
      </c>
      <c r="B194" s="123" t="n">
        <v>328000342</v>
      </c>
      <c r="C194" s="122" t="inlineStr">
        <is>
          <t>3214124506050004</t>
        </is>
      </c>
      <c r="D194" s="146" t="inlineStr">
        <is>
          <t>FITRI</t>
        </is>
      </c>
      <c r="E194" s="147" t="inlineStr">
        <is>
          <t>PURWAKARTA</t>
        </is>
      </c>
      <c r="F194" s="125" t="inlineStr">
        <is>
          <t>TKD</t>
        </is>
      </c>
      <c r="G194" s="125" t="inlineStr">
        <is>
          <t>H. Misja</t>
        </is>
      </c>
      <c r="H194" s="125" t="inlineStr">
        <is>
          <t>TITIPAN H MISJA</t>
        </is>
      </c>
      <c r="I194" s="127" t="n">
        <v>38661</v>
      </c>
      <c r="J194" s="128">
        <f>DATEDIF(I194, TODAY(), "Y") &amp; " tahun, " &amp; DATEDIF(I194, TODAY(), "YM") &amp; " bulan, " &amp; DATEDIF(I194, TODAY(), "MD") &amp; " hari"
</f>
        <v/>
      </c>
      <c r="K194" s="148" t="inlineStr">
        <is>
          <t>P</t>
        </is>
      </c>
      <c r="L194" s="148" t="inlineStr">
        <is>
          <t>Packer</t>
        </is>
      </c>
      <c r="M194" s="122">
        <f>VLOOKUP(B194,Sheet21!A:N,14,0)</f>
        <v/>
      </c>
      <c r="N194" s="129" t="inlineStr">
        <is>
          <t>PRODUKSI</t>
        </is>
      </c>
      <c r="O194" s="17" t="inlineStr">
        <is>
          <t>Packer</t>
        </is>
      </c>
      <c r="P194" s="148" t="inlineStr">
        <is>
          <t>HARIAN</t>
        </is>
      </c>
      <c r="Q194" s="147" t="inlineStr">
        <is>
          <t>KP. KRAJAN RT/RW.005/003; DESA. BABAKANCIKAO; KEC. BABAKANCIKAO; KAB. PURWAKARTA</t>
        </is>
      </c>
      <c r="R194" s="151" t="n">
        <v>5</v>
      </c>
      <c r="S194" s="151" t="n">
        <v>3</v>
      </c>
      <c r="T194" s="148" t="n">
        <v>41151</v>
      </c>
      <c r="U194" s="148" t="inlineStr">
        <is>
          <t>BABAKANCIKAO</t>
        </is>
      </c>
      <c r="V194" s="148" t="inlineStr">
        <is>
          <t>BABAKANCIKAO</t>
        </is>
      </c>
      <c r="W194" s="148" t="inlineStr">
        <is>
          <t>PURWAKARTA</t>
        </is>
      </c>
      <c r="X194" s="148" t="inlineStr">
        <is>
          <t>KP. KRAJAN RT/RW.005/003; DESA. BABAKANCIKAO; KEC. BABAKANCIKAO; KAB. PURWAKARTA</t>
        </is>
      </c>
      <c r="Y194" s="148" t="n">
        <v>85720065583</v>
      </c>
      <c r="Z194" s="147" t="inlineStr">
        <is>
          <t>ISLAM</t>
        </is>
      </c>
      <c r="AA194" s="148" t="inlineStr">
        <is>
          <t>SMK</t>
        </is>
      </c>
      <c r="AB194" s="149" t="n"/>
      <c r="AC194" s="17" t="n">
        <v>192</v>
      </c>
      <c r="AD194" s="133" t="n">
        <v>328000341</v>
      </c>
      <c r="AE194" s="134" t="inlineStr">
        <is>
          <t>RIKI SEPTIADI</t>
        </is>
      </c>
      <c r="AF194" s="133" t="inlineStr">
        <is>
          <t>PRODUCTION</t>
        </is>
      </c>
      <c r="AG194" s="135" t="n">
        <v>25060609192</v>
      </c>
      <c r="AH194" s="136" t="n">
        <v>480949389</v>
      </c>
    </row>
    <row r="195" ht="15.75" customHeight="1" s="169">
      <c r="A195" s="122">
        <f>A194+1</f>
        <v/>
      </c>
      <c r="B195" s="123" t="n">
        <v>328000343</v>
      </c>
      <c r="C195" s="122" t="inlineStr">
        <is>
          <t>3214015710030003</t>
        </is>
      </c>
      <c r="D195" s="146" t="inlineStr">
        <is>
          <t>SYIFA KHOERUN NISA</t>
        </is>
      </c>
      <c r="E195" s="147" t="inlineStr">
        <is>
          <t>PURWAKARTA</t>
        </is>
      </c>
      <c r="F195" s="125" t="inlineStr">
        <is>
          <t>TKD</t>
        </is>
      </c>
      <c r="G195" s="125" t="inlineStr">
        <is>
          <t xml:space="preserve">Karang Taruna Hegarmanah </t>
        </is>
      </c>
      <c r="H195" s="125" t="inlineStr">
        <is>
          <t>TITIPAN KARANG TARUNA HEGARMANAH PAK YOGA</t>
        </is>
      </c>
      <c r="I195" s="127" t="n">
        <v>37911</v>
      </c>
      <c r="J195" s="128">
        <f>DATEDIF(I195, TODAY(), "Y") &amp; " tahun, " &amp; DATEDIF(I195, TODAY(), "YM") &amp; " bulan, " &amp; DATEDIF(I195, TODAY(), "MD") &amp; " hari"
</f>
        <v/>
      </c>
      <c r="K195" s="148" t="inlineStr">
        <is>
          <t>P</t>
        </is>
      </c>
      <c r="L195" s="148" t="inlineStr">
        <is>
          <t>Packer</t>
        </is>
      </c>
      <c r="M195" s="122">
        <f>VLOOKUP(B195,Sheet21!A:N,14,0)</f>
        <v/>
      </c>
      <c r="N195" s="129" t="inlineStr">
        <is>
          <t>PRODUKSI</t>
        </is>
      </c>
      <c r="O195" s="17" t="inlineStr">
        <is>
          <t>Packer</t>
        </is>
      </c>
      <c r="P195" s="148" t="inlineStr">
        <is>
          <t>HARIAN</t>
        </is>
      </c>
      <c r="Q195" s="147" t="inlineStr">
        <is>
          <t>KP. MARGA JAYA RT/RW. 013/011; KEL. MUNJULJAYA; KEC. PURWAKARTA;KAB. JAWA BARAT</t>
        </is>
      </c>
      <c r="R195" s="151" t="n">
        <v>13</v>
      </c>
      <c r="S195" s="151" t="n">
        <v>11</v>
      </c>
      <c r="T195" s="148" t="n">
        <v>41117</v>
      </c>
      <c r="U195" s="148" t="inlineStr">
        <is>
          <t>PURWAKARTA</t>
        </is>
      </c>
      <c r="V195" s="148" t="inlineStr">
        <is>
          <t>MUNJULJAYA</t>
        </is>
      </c>
      <c r="W195" s="148" t="inlineStr">
        <is>
          <t>PURWAKARTA</t>
        </is>
      </c>
      <c r="X195" s="148" t="inlineStr">
        <is>
          <t>KP. MARGA JAYA RT/RW. 013/011; KEL. MUNJULJAYA; KEC. PURWAKARTA;KAB. JAWA BARAT</t>
        </is>
      </c>
      <c r="Y195" s="148" t="inlineStr">
        <is>
          <t>085179540577/085692637269</t>
        </is>
      </c>
      <c r="Z195" s="147" t="inlineStr">
        <is>
          <t>ISLAM</t>
        </is>
      </c>
      <c r="AA195" s="148" t="inlineStr">
        <is>
          <t>SMA</t>
        </is>
      </c>
      <c r="AB195" s="149" t="n"/>
      <c r="AC195" s="17" t="n">
        <v>193</v>
      </c>
      <c r="AD195" s="133" t="n">
        <v>328000342</v>
      </c>
      <c r="AE195" s="134" t="inlineStr">
        <is>
          <t>FITRI</t>
        </is>
      </c>
      <c r="AF195" s="133" t="inlineStr">
        <is>
          <t>PRODUCTION</t>
        </is>
      </c>
      <c r="AG195" s="135" t="n">
        <v>25060609200</v>
      </c>
      <c r="AH195" s="136" t="n">
        <v>1661917847</v>
      </c>
    </row>
    <row r="196" ht="15.75" customHeight="1" s="169">
      <c r="A196" s="122">
        <f>A195+1</f>
        <v/>
      </c>
      <c r="B196" s="123" t="n">
        <v>328000344</v>
      </c>
      <c r="C196" s="122" t="inlineStr">
        <is>
          <t>3214122107040001</t>
        </is>
      </c>
      <c r="D196" s="146" t="inlineStr">
        <is>
          <t>RIZWAN MAULANA</t>
        </is>
      </c>
      <c r="E196" s="147" t="inlineStr">
        <is>
          <t>PURWAKARTA</t>
        </is>
      </c>
      <c r="F196" s="125" t="inlineStr">
        <is>
          <t>TKD</t>
        </is>
      </c>
      <c r="G196" s="125" t="inlineStr">
        <is>
          <t xml:space="preserve">Kades Hegarmanah </t>
        </is>
      </c>
      <c r="H196" s="125" t="inlineStr">
        <is>
          <t>TITIPAN KADES HEGARMANAH KEPONAKAN KADES</t>
        </is>
      </c>
      <c r="I196" s="127" t="n">
        <v>38189</v>
      </c>
      <c r="J196" s="128">
        <f>DATEDIF(I196, TODAY(), "Y") &amp; " tahun, " &amp; DATEDIF(I196, TODAY(), "YM") &amp; " bulan, " &amp; DATEDIF(I196, TODAY(), "MD") &amp; " hari"
</f>
        <v/>
      </c>
      <c r="K196" s="148" t="inlineStr">
        <is>
          <t>L</t>
        </is>
      </c>
      <c r="L196" s="148" t="inlineStr">
        <is>
          <t>Packer</t>
        </is>
      </c>
      <c r="M196" s="122">
        <f>VLOOKUP(B196,Sheet21!A:N,14,0)</f>
        <v/>
      </c>
      <c r="N196" s="129" t="inlineStr">
        <is>
          <t>PRODUKSI</t>
        </is>
      </c>
      <c r="O196" s="17" t="inlineStr">
        <is>
          <t>Packer</t>
        </is>
      </c>
      <c r="P196" s="148" t="inlineStr">
        <is>
          <t>HARIAN</t>
        </is>
      </c>
      <c r="Q196" s="147" t="inlineStr">
        <is>
          <t>KP. CITRASARI RT/RW. 001/004; DESA. CIWARENG; KEC. BABAKANCIKAO; KAB. PURWAKARTA</t>
        </is>
      </c>
      <c r="R196" s="151" t="n">
        <v>1</v>
      </c>
      <c r="S196" s="151" t="n">
        <v>4</v>
      </c>
      <c r="T196" s="148" t="n">
        <v>41151</v>
      </c>
      <c r="U196" s="148" t="inlineStr">
        <is>
          <t>BABAKANCIKAO</t>
        </is>
      </c>
      <c r="V196" s="148" t="inlineStr">
        <is>
          <t>CIWARENG</t>
        </is>
      </c>
      <c r="W196" s="148" t="inlineStr">
        <is>
          <t>PURWAKARTA</t>
        </is>
      </c>
      <c r="X196" s="148" t="inlineStr">
        <is>
          <t>KP. CITRASARI RT/RW. 001/004; DESA. CIWARENG; KEC. BABAKANCIKAO; KAB. PURWAKARTA</t>
        </is>
      </c>
      <c r="Y196" s="148" t="inlineStr">
        <is>
          <t>089684588321/08888250319</t>
        </is>
      </c>
      <c r="Z196" s="147" t="inlineStr">
        <is>
          <t>ISLAM</t>
        </is>
      </c>
      <c r="AA196" s="148" t="inlineStr">
        <is>
          <t>SMK</t>
        </is>
      </c>
      <c r="AB196" s="149" t="n"/>
      <c r="AC196" s="17" t="n">
        <v>194</v>
      </c>
      <c r="AD196" s="133" t="n">
        <v>328000343</v>
      </c>
      <c r="AE196" s="96" t="inlineStr">
        <is>
          <t>SYIFA KHOERUN NISA</t>
        </is>
      </c>
      <c r="AF196" s="133" t="inlineStr">
        <is>
          <t>PRODUCTION</t>
        </is>
      </c>
      <c r="AG196" s="135" t="n">
        <v>25060609218</v>
      </c>
      <c r="AH196" s="136" t="n">
        <v>2457434597</v>
      </c>
    </row>
    <row r="197" ht="15.75" customHeight="1" s="169">
      <c r="A197" s="122">
        <f>A196+1</f>
        <v/>
      </c>
      <c r="B197" s="123" t="n">
        <v>328000346</v>
      </c>
      <c r="C197" s="122" t="inlineStr">
        <is>
          <t>3214010503050002</t>
        </is>
      </c>
      <c r="D197" s="146" t="inlineStr">
        <is>
          <t>MUHAMAD FADILAH FAQIH</t>
        </is>
      </c>
      <c r="E197" s="147" t="inlineStr">
        <is>
          <t>PURWAKARTA</t>
        </is>
      </c>
      <c r="F197" s="125" t="inlineStr">
        <is>
          <t>TKD</t>
        </is>
      </c>
      <c r="G197" s="125" t="inlineStr">
        <is>
          <t xml:space="preserve">Karang Taruna Hegarmanah </t>
        </is>
      </c>
      <c r="H197" s="125" t="inlineStr">
        <is>
          <t>TITIPAN KARANG TARUNA HEGARMANAH</t>
        </is>
      </c>
      <c r="I197" s="127" t="n">
        <v>38416</v>
      </c>
      <c r="J197" s="128">
        <f>DATEDIF(I197, TODAY(), "Y") &amp; " tahun, " &amp; DATEDIF(I197, TODAY(), "YM") &amp; " bulan, " &amp; DATEDIF(I197, TODAY(), "MD") &amp; " hari"
</f>
        <v/>
      </c>
      <c r="K197" s="148" t="inlineStr">
        <is>
          <t>L</t>
        </is>
      </c>
      <c r="L197" s="148" t="inlineStr">
        <is>
          <t>OP. PRODUKSI</t>
        </is>
      </c>
      <c r="M197" s="122">
        <f>VLOOKUP(B197,Sheet21!A:N,14,0)</f>
        <v/>
      </c>
      <c r="N197" s="129" t="inlineStr">
        <is>
          <t>PRODUKSI</t>
        </is>
      </c>
      <c r="O197" s="17" t="inlineStr">
        <is>
          <t>Operator Produksi</t>
        </is>
      </c>
      <c r="P197" s="148" t="inlineStr">
        <is>
          <t>HARIAN</t>
        </is>
      </c>
      <c r="Q197" s="147" t="inlineStr">
        <is>
          <t>JL. KOLONEL RAHMAT RT/RW. 004/004; KEL. TEGAL MUNJUL; KEC. PURWAKARTA; KAB. PURWAKARTA</t>
        </is>
      </c>
      <c r="R197" s="151" t="n">
        <v>4</v>
      </c>
      <c r="S197" s="151" t="n">
        <v>4</v>
      </c>
      <c r="T197" s="148" t="n">
        <v>41116</v>
      </c>
      <c r="U197" s="148" t="inlineStr">
        <is>
          <t>PURWAKARTA</t>
        </is>
      </c>
      <c r="V197" s="148" t="inlineStr">
        <is>
          <t>TEGALMUNJUL</t>
        </is>
      </c>
      <c r="W197" s="148" t="inlineStr">
        <is>
          <t>PURWAKARTA</t>
        </is>
      </c>
      <c r="X197" s="148" t="inlineStr">
        <is>
          <t>JL. KOLONEL RAHMAT RT/RW. 004/004; KEL. TEGAL MUNJUL; KEC. PURWAKARTA; KAB. PURWAKARTA</t>
        </is>
      </c>
      <c r="Y197" s="148" t="inlineStr">
        <is>
          <t>081807109580/083174281898</t>
        </is>
      </c>
      <c r="Z197" s="147" t="inlineStr">
        <is>
          <t>ISLAM</t>
        </is>
      </c>
      <c r="AA197" s="148" t="inlineStr">
        <is>
          <t>SMK</t>
        </is>
      </c>
      <c r="AB197" s="149" t="n"/>
      <c r="AC197" s="17" t="n">
        <v>195</v>
      </c>
      <c r="AD197" s="133" t="n">
        <v>328000344</v>
      </c>
      <c r="AE197" s="96" t="inlineStr">
        <is>
          <t>RIZWAN MAULANA</t>
        </is>
      </c>
      <c r="AF197" s="133" t="inlineStr">
        <is>
          <t>PRODUCTION</t>
        </is>
      </c>
      <c r="AG197" s="135" t="n">
        <v>25060609226</v>
      </c>
      <c r="AH197" s="136" t="n">
        <v>480196179</v>
      </c>
    </row>
    <row r="198" ht="15.75" customHeight="1" s="169">
      <c r="A198" s="122">
        <f>A197+1</f>
        <v/>
      </c>
      <c r="B198" s="123" t="n">
        <v>328000348</v>
      </c>
      <c r="C198" s="122" t="inlineStr">
        <is>
          <t>3214056301020001</t>
        </is>
      </c>
      <c r="D198" s="146" t="inlineStr">
        <is>
          <t>DINI ISNARDIANTI</t>
        </is>
      </c>
      <c r="E198" s="147" t="inlineStr">
        <is>
          <t>PURWAKARTA</t>
        </is>
      </c>
      <c r="F198" s="125" t="inlineStr">
        <is>
          <t>LINK</t>
        </is>
      </c>
      <c r="G198" s="96" t="n"/>
      <c r="H198" s="125" t="inlineStr">
        <is>
          <t>PT KMJ</t>
        </is>
      </c>
      <c r="I198" s="127" t="n">
        <v>37279</v>
      </c>
      <c r="J198" s="128">
        <f>DATEDIF(I198, TODAY(), "Y") &amp; " tahun, " &amp; DATEDIF(I198, TODAY(), "YM") &amp; " bulan, " &amp; DATEDIF(I198, TODAY(), "MD") &amp; " hari"
</f>
        <v/>
      </c>
      <c r="K198" s="148" t="inlineStr">
        <is>
          <t>P</t>
        </is>
      </c>
      <c r="L198" s="148" t="inlineStr">
        <is>
          <t>QC PRODUKSI</t>
        </is>
      </c>
      <c r="M198" s="122">
        <f>VLOOKUP(B198,Sheet21!A:N,14,0)</f>
        <v/>
      </c>
      <c r="N198" s="129" t="inlineStr">
        <is>
          <t>QC</t>
        </is>
      </c>
      <c r="O198" s="17" t="inlineStr">
        <is>
          <t>QC Produksi</t>
        </is>
      </c>
      <c r="P198" s="148" t="inlineStr">
        <is>
          <t>HARIAN</t>
        </is>
      </c>
      <c r="Q198" s="147" t="inlineStr">
        <is>
          <t>KP. MALANGNENGAH RT/RW. 003/001; KEL. MALANGNENNGAH; KEC. SUKATANI;KAB. PURWAKARTA</t>
        </is>
      </c>
      <c r="R198" s="151" t="n">
        <v>3</v>
      </c>
      <c r="S198" s="151" t="n">
        <v>1</v>
      </c>
      <c r="T198" s="148" t="n">
        <v>41167</v>
      </c>
      <c r="U198" s="148" t="inlineStr">
        <is>
          <t>SUKATANI</t>
        </is>
      </c>
      <c r="V198" s="148" t="inlineStr">
        <is>
          <t>MALANGNENGAH</t>
        </is>
      </c>
      <c r="W198" s="148" t="inlineStr">
        <is>
          <t>PURWAKARTA</t>
        </is>
      </c>
      <c r="X198" s="148" t="inlineStr">
        <is>
          <t>KP. MALANGNENGAH RT/RW. 003/001; KEL. MALANGNENNGAH; KEC. SUKATANI;KAB. PURWAKARTA</t>
        </is>
      </c>
      <c r="Y198" s="148" t="inlineStr">
        <is>
          <t>085797432936/087718607761</t>
        </is>
      </c>
      <c r="Z198" s="147" t="inlineStr">
        <is>
          <t>ISLAM</t>
        </is>
      </c>
      <c r="AA198" s="148" t="inlineStr">
        <is>
          <t>SMA</t>
        </is>
      </c>
      <c r="AB198" s="149" t="n"/>
      <c r="AC198" s="17" t="n">
        <v>196</v>
      </c>
      <c r="AD198" s="133" t="n">
        <v>328000346</v>
      </c>
      <c r="AE198" s="134" t="inlineStr">
        <is>
          <t>MUHAMAD FADILLAH FAQIH</t>
        </is>
      </c>
      <c r="AF198" s="133" t="inlineStr">
        <is>
          <t>PRODUCTION</t>
        </is>
      </c>
      <c r="AG198" s="135" t="n">
        <v>25060609242</v>
      </c>
      <c r="AH198" s="136" t="n">
        <v>63161919</v>
      </c>
    </row>
    <row r="199" ht="15.75" customHeight="1" s="169">
      <c r="A199" s="122">
        <f>A198+1</f>
        <v/>
      </c>
      <c r="B199" s="123" t="n">
        <v>328000349</v>
      </c>
      <c r="C199" s="122" t="inlineStr">
        <is>
          <t>3214122008980001</t>
        </is>
      </c>
      <c r="D199" s="146" t="inlineStr">
        <is>
          <t>NANDA AGUSTIAN</t>
        </is>
      </c>
      <c r="E199" s="147" t="inlineStr">
        <is>
          <t>PURWAKARTA</t>
        </is>
      </c>
      <c r="F199" s="125" t="inlineStr">
        <is>
          <t>TKD</t>
        </is>
      </c>
      <c r="G199" s="125" t="inlineStr">
        <is>
          <t xml:space="preserve">Kades Hegarmanah </t>
        </is>
      </c>
      <c r="H199" s="125" t="inlineStr">
        <is>
          <t>TITIPAN KADES HEGARMANAH</t>
        </is>
      </c>
      <c r="I199" s="127" t="n">
        <v>36027</v>
      </c>
      <c r="J199" s="128">
        <f>DATEDIF(I199, TODAY(), "Y") &amp; " tahun, " &amp; DATEDIF(I199, TODAY(), "YM") &amp; " bulan, " &amp; DATEDIF(I199, TODAY(), "MD") &amp; " hari"
</f>
        <v/>
      </c>
      <c r="K199" s="148" t="inlineStr">
        <is>
          <t>L</t>
        </is>
      </c>
      <c r="L199" s="148" t="inlineStr">
        <is>
          <t>MAINTENANCE</t>
        </is>
      </c>
      <c r="M199" s="122">
        <f>VLOOKUP(B199,Sheet21!A:N,14,0)</f>
        <v/>
      </c>
      <c r="N199" s="129" t="inlineStr">
        <is>
          <t>ENG</t>
        </is>
      </c>
      <c r="O199" s="17" t="inlineStr">
        <is>
          <t>Maintenance Shift</t>
        </is>
      </c>
      <c r="P199" s="148" t="inlineStr">
        <is>
          <t>HARIAN</t>
        </is>
      </c>
      <c r="Q199" s="147" t="inlineStr">
        <is>
          <t>KP. CIASEM RT/RW. 006/003; KEL. CICADAS; KEC. BABAKANCIKAO; KAB. PURWAKARTA</t>
        </is>
      </c>
      <c r="R199" s="151" t="n">
        <v>6</v>
      </c>
      <c r="S199" s="151" t="n">
        <v>3</v>
      </c>
      <c r="T199" s="148" t="n">
        <v>41151</v>
      </c>
      <c r="U199" s="148" t="inlineStr">
        <is>
          <t>BABAKANCIKAO</t>
        </is>
      </c>
      <c r="V199" s="148" t="inlineStr">
        <is>
          <t>CICADAS</t>
        </is>
      </c>
      <c r="W199" s="148" t="inlineStr">
        <is>
          <t>PURWAKARTA</t>
        </is>
      </c>
      <c r="X199" s="148" t="inlineStr">
        <is>
          <t>KP. CIASEM RT/RW. 006/003; KEL. CICADAS; KEC. BABAKANCIKAO; KAB. PURWAKARTA</t>
        </is>
      </c>
      <c r="Y199" s="148" t="n">
        <v>85794398026</v>
      </c>
      <c r="Z199" s="147" t="inlineStr">
        <is>
          <t>ISLAM</t>
        </is>
      </c>
      <c r="AA199" s="148" t="inlineStr">
        <is>
          <t>SMK</t>
        </is>
      </c>
      <c r="AB199" s="149" t="n"/>
      <c r="AC199" s="17" t="n">
        <v>197</v>
      </c>
      <c r="AD199" s="133" t="n">
        <v>328000348</v>
      </c>
      <c r="AE199" s="134" t="inlineStr">
        <is>
          <t>DINI ISNARDIANTI</t>
        </is>
      </c>
      <c r="AF199" s="133" t="inlineStr">
        <is>
          <t>QUALITY AND RESEARCH &amp; DEVELOPMENT</t>
        </is>
      </c>
      <c r="AG199" s="135" t="n">
        <v>25060609267</v>
      </c>
      <c r="AH199" s="136" t="n">
        <v>3096853525</v>
      </c>
    </row>
    <row r="200" ht="15.75" customHeight="1" s="169">
      <c r="A200" s="122">
        <f>A199+1</f>
        <v/>
      </c>
      <c r="B200" s="123" t="n">
        <v>328000350</v>
      </c>
      <c r="C200" s="122" t="inlineStr">
        <is>
          <t>3214126304030003</t>
        </is>
      </c>
      <c r="D200" s="146" t="inlineStr">
        <is>
          <t>RINI AFRIDON</t>
        </is>
      </c>
      <c r="E200" s="147" t="inlineStr">
        <is>
          <t>JAKARTA</t>
        </is>
      </c>
      <c r="F200" s="125" t="inlineStr">
        <is>
          <t>TKD</t>
        </is>
      </c>
      <c r="G200" s="125" t="inlineStr">
        <is>
          <t>Ormas GRAB</t>
        </is>
      </c>
      <c r="H200" s="125" t="inlineStr">
        <is>
          <t>TITIPAN H WAWAN</t>
        </is>
      </c>
      <c r="I200" s="127" t="n">
        <v>37734</v>
      </c>
      <c r="J200" s="128">
        <f>DATEDIF(I200, TODAY(), "Y") &amp; " tahun, " &amp; DATEDIF(I200, TODAY(), "YM") &amp; " bulan, " &amp; DATEDIF(I200, TODAY(), "MD") &amp; " hari"
</f>
        <v/>
      </c>
      <c r="K200" s="148" t="inlineStr">
        <is>
          <t>P</t>
        </is>
      </c>
      <c r="L200" s="148" t="inlineStr">
        <is>
          <t>Packer</t>
        </is>
      </c>
      <c r="M200" s="122">
        <f>VLOOKUP(B200,Sheet21!A:N,14,0)</f>
        <v/>
      </c>
      <c r="N200" s="129" t="inlineStr">
        <is>
          <t>PRODUKSI</t>
        </is>
      </c>
      <c r="O200" s="17" t="inlineStr">
        <is>
          <t>Packer</t>
        </is>
      </c>
      <c r="P200" s="148" t="inlineStr">
        <is>
          <t>HARIAN</t>
        </is>
      </c>
      <c r="Q200" s="147" t="inlineStr">
        <is>
          <t>KP. MULYASARI RT/RW. 002/003; DESA. CIWARENG; KEC. BABAKANCIKAO; KAB. PURWAKARTA</t>
        </is>
      </c>
      <c r="R200" s="151" t="n">
        <v>2</v>
      </c>
      <c r="S200" s="151" t="n">
        <v>3</v>
      </c>
      <c r="T200" s="148" t="n">
        <v>41151</v>
      </c>
      <c r="U200" s="148" t="inlineStr">
        <is>
          <t>BABAKANCIKAO</t>
        </is>
      </c>
      <c r="V200" s="148" t="inlineStr">
        <is>
          <t>CIWARENG</t>
        </is>
      </c>
      <c r="W200" s="148" t="inlineStr">
        <is>
          <t>PURWAKARTA</t>
        </is>
      </c>
      <c r="X200" s="148" t="inlineStr">
        <is>
          <t>KP. MULYASARI RT/RW. 002/003; DESA. CIWARENG; KEC. BABAKANCIKAO; KAB. PURWAKARTA</t>
        </is>
      </c>
      <c r="Y200" s="148" t="n">
        <v>87821756440</v>
      </c>
      <c r="Z200" s="147" t="inlineStr">
        <is>
          <t>ISLAM</t>
        </is>
      </c>
      <c r="AA200" s="148" t="inlineStr">
        <is>
          <t>SMA</t>
        </is>
      </c>
      <c r="AB200" s="149" t="n"/>
      <c r="AC200" s="17" t="n">
        <v>198</v>
      </c>
      <c r="AD200" s="133" t="n">
        <v>328000349</v>
      </c>
      <c r="AE200" s="134" t="inlineStr">
        <is>
          <t>NANDA AGUSTIAN</t>
        </is>
      </c>
      <c r="AF200" s="133" t="inlineStr">
        <is>
          <t>ENGINEERING</t>
        </is>
      </c>
      <c r="AG200" s="135" t="n">
        <v>25060609275</v>
      </c>
      <c r="AH200" s="136" t="n">
        <v>2483225458</v>
      </c>
    </row>
    <row r="201" ht="15.75" customHeight="1" s="169">
      <c r="A201" s="122">
        <f>A200+1</f>
        <v/>
      </c>
      <c r="B201" s="123" t="n">
        <v>328000351</v>
      </c>
      <c r="C201" s="122" t="inlineStr">
        <is>
          <t>3214015607050004</t>
        </is>
      </c>
      <c r="D201" s="146" t="inlineStr">
        <is>
          <t>WINDY DESTI NUR ALIFAH</t>
        </is>
      </c>
      <c r="E201" s="147" t="inlineStr">
        <is>
          <t>PURWAKARTA</t>
        </is>
      </c>
      <c r="F201" s="125" t="inlineStr">
        <is>
          <t>TKD</t>
        </is>
      </c>
      <c r="G201" s="125" t="inlineStr">
        <is>
          <t>Ormas Lodaya</t>
        </is>
      </c>
      <c r="H201" s="125" t="inlineStr">
        <is>
          <t>TITIPAN PAK LILI</t>
        </is>
      </c>
      <c r="I201" s="127" t="n">
        <v>38549</v>
      </c>
      <c r="J201" s="128">
        <f>DATEDIF(I201, TODAY(), "Y") &amp; " tahun, " &amp; DATEDIF(I201, TODAY(), "YM") &amp; " bulan, " &amp; DATEDIF(I201, TODAY(), "MD") &amp; " hari"
</f>
        <v/>
      </c>
      <c r="K201" s="148" t="inlineStr">
        <is>
          <t>P</t>
        </is>
      </c>
      <c r="L201" s="148" t="inlineStr">
        <is>
          <t>Packer</t>
        </is>
      </c>
      <c r="M201" s="122">
        <f>VLOOKUP(B201,Sheet21!A:N,14,0)</f>
        <v/>
      </c>
      <c r="N201" s="129" t="inlineStr">
        <is>
          <t>PRODUKSI</t>
        </is>
      </c>
      <c r="O201" s="17" t="inlineStr">
        <is>
          <t>Packer</t>
        </is>
      </c>
      <c r="P201" s="148" t="inlineStr">
        <is>
          <t>HARIAN</t>
        </is>
      </c>
      <c r="Q201" s="147" t="inlineStr">
        <is>
          <t>PERUM CITALANG INDAH BLOK K RT/RW. 023/005; DESA. CITALANG; KEC. PURWAKARTA; KAB. PURWAKARTA</t>
        </is>
      </c>
      <c r="R201" s="151" t="n">
        <v>23</v>
      </c>
      <c r="S201" s="151" t="n">
        <v>5</v>
      </c>
      <c r="T201" s="148" t="n">
        <v>41115</v>
      </c>
      <c r="U201" s="148" t="inlineStr">
        <is>
          <t>PURWAKARTA</t>
        </is>
      </c>
      <c r="V201" s="148" t="inlineStr">
        <is>
          <t>CITALANG</t>
        </is>
      </c>
      <c r="W201" s="148" t="inlineStr">
        <is>
          <t>PURWAKARTA</t>
        </is>
      </c>
      <c r="X201" s="148" t="inlineStr">
        <is>
          <t>PERUM CITALANG INDAH BLOK K RT/RW. 023/005; DESA. CITALANG; KEC. PURWAKARTA; KAB. PURWAKARTA</t>
        </is>
      </c>
      <c r="Y201" s="148" t="n">
        <v>858602979699</v>
      </c>
      <c r="Z201" s="147" t="inlineStr">
        <is>
          <t>ISLAM</t>
        </is>
      </c>
      <c r="AA201" s="148" t="inlineStr">
        <is>
          <t>SMA</t>
        </is>
      </c>
      <c r="AB201" s="149" t="n"/>
      <c r="AC201" s="17" t="n">
        <v>199</v>
      </c>
      <c r="AD201" s="133" t="n">
        <v>328000350</v>
      </c>
      <c r="AE201" s="134" t="inlineStr">
        <is>
          <t>RINI AFRIDON</t>
        </is>
      </c>
      <c r="AF201" s="133" t="inlineStr">
        <is>
          <t>PRODUCTION</t>
        </is>
      </c>
      <c r="AG201" s="135" t="n">
        <v>25060609283</v>
      </c>
      <c r="AH201" s="136" t="n">
        <v>1274401372</v>
      </c>
    </row>
    <row r="202" ht="15.75" customHeight="1" s="169">
      <c r="A202" s="122">
        <f>A201+1</f>
        <v/>
      </c>
      <c r="B202" s="123" t="n">
        <v>328000352</v>
      </c>
      <c r="C202" s="122" t="inlineStr">
        <is>
          <t>3214124109060002</t>
        </is>
      </c>
      <c r="D202" s="146" t="inlineStr">
        <is>
          <t>YASMIN ANNISA ALKHOIRIYAH</t>
        </is>
      </c>
      <c r="E202" s="147" t="inlineStr">
        <is>
          <t>PURWAKARTA</t>
        </is>
      </c>
      <c r="F202" s="125" t="inlineStr">
        <is>
          <t>TKD</t>
        </is>
      </c>
      <c r="G202" s="125" t="inlineStr">
        <is>
          <t xml:space="preserve">Karang Taruna Hegarmanah </t>
        </is>
      </c>
      <c r="H202" s="125" t="inlineStr">
        <is>
          <t>TITIPAN BAHRUDI/YOGA KARANG TARUNA</t>
        </is>
      </c>
      <c r="I202" s="127" t="n">
        <v>38961</v>
      </c>
      <c r="J202" s="128">
        <f>DATEDIF(I202, TODAY(), "Y") &amp; " tahun, " &amp; DATEDIF(I202, TODAY(), "YM") &amp; " bulan, " &amp; DATEDIF(I202, TODAY(), "MD") &amp; " hari"
</f>
        <v/>
      </c>
      <c r="K202" s="148" t="inlineStr">
        <is>
          <t>P</t>
        </is>
      </c>
      <c r="L202" s="148" t="inlineStr">
        <is>
          <t>Packer</t>
        </is>
      </c>
      <c r="M202" s="122">
        <f>VLOOKUP(B202,Sheet21!A:N,14,0)</f>
        <v/>
      </c>
      <c r="N202" s="129" t="inlineStr">
        <is>
          <t>PRODUKSI</t>
        </is>
      </c>
      <c r="O202" s="17" t="inlineStr">
        <is>
          <t>Packer</t>
        </is>
      </c>
      <c r="P202" s="148" t="inlineStr">
        <is>
          <t>HARIAN</t>
        </is>
      </c>
      <c r="Q202" s="147" t="inlineStr">
        <is>
          <t>KP. SUKAMULYA RT/RW. 010/004, DESA. CILANGKAP; KEC. BABAKANCIKAO; KAB. PURWAKARTA</t>
        </is>
      </c>
      <c r="R202" s="151" t="n">
        <v>10</v>
      </c>
      <c r="S202" s="151" t="n">
        <v>4</v>
      </c>
      <c r="T202" s="148" t="n">
        <v>41151</v>
      </c>
      <c r="U202" s="148" t="inlineStr">
        <is>
          <t>BABAKANCIKAO</t>
        </is>
      </c>
      <c r="V202" s="148" t="inlineStr">
        <is>
          <t>CILANGKAP</t>
        </is>
      </c>
      <c r="W202" s="148" t="inlineStr">
        <is>
          <t>PURWAKARTA</t>
        </is>
      </c>
      <c r="X202" s="148" t="inlineStr">
        <is>
          <t>KP. SUKAMULYA RT/RW. 010/004, DESA. CILANGKAP; KEC. BABAKANCIKAO; KAB. PURWAKARTA</t>
        </is>
      </c>
      <c r="Y202" s="148" t="inlineStr">
        <is>
          <t>087735407608/087848261898</t>
        </is>
      </c>
      <c r="Z202" s="147" t="inlineStr">
        <is>
          <t>ISLAM</t>
        </is>
      </c>
      <c r="AA202" s="148" t="inlineStr">
        <is>
          <t>SMK</t>
        </is>
      </c>
      <c r="AB202" s="149" t="n"/>
      <c r="AC202" s="17" t="n">
        <v>200</v>
      </c>
      <c r="AD202" s="133" t="n">
        <v>328000351</v>
      </c>
      <c r="AE202" s="134" t="inlineStr">
        <is>
          <t>WINDY DESTI NUR ALIFAH</t>
        </is>
      </c>
      <c r="AF202" s="133" t="inlineStr">
        <is>
          <t>PRODUCTION</t>
        </is>
      </c>
      <c r="AG202" s="135" t="n">
        <v>25060609291</v>
      </c>
      <c r="AH202" s="136" t="n">
        <v>1664004339</v>
      </c>
    </row>
    <row r="203" ht="15.75" customHeight="1" s="169">
      <c r="A203" s="122">
        <f>A202+1</f>
        <v/>
      </c>
      <c r="B203" s="123" t="n">
        <v>328000353</v>
      </c>
      <c r="C203" s="122" t="inlineStr">
        <is>
          <t>3214125704060002</t>
        </is>
      </c>
      <c r="D203" s="146" t="inlineStr">
        <is>
          <t>YAYU APRIYANTI</t>
        </is>
      </c>
      <c r="E203" s="147" t="inlineStr">
        <is>
          <t>PURWAKARTA</t>
        </is>
      </c>
      <c r="F203" s="125" t="inlineStr">
        <is>
          <t>TKD</t>
        </is>
      </c>
      <c r="G203" s="125" t="inlineStr">
        <is>
          <t>H. Misja</t>
        </is>
      </c>
      <c r="H203" s="125" t="inlineStr">
        <is>
          <t>TITIPAN H MISJA</t>
        </is>
      </c>
      <c r="I203" s="127" t="n">
        <v>38824</v>
      </c>
      <c r="J203" s="128">
        <f>DATEDIF(I203, TODAY(), "Y") &amp; " tahun, " &amp; DATEDIF(I203, TODAY(), "YM") &amp; " bulan, " &amp; DATEDIF(I203, TODAY(), "MD") &amp; " hari"
</f>
        <v/>
      </c>
      <c r="K203" s="148" t="inlineStr">
        <is>
          <t>P</t>
        </is>
      </c>
      <c r="L203" s="148" t="inlineStr">
        <is>
          <t>Packer</t>
        </is>
      </c>
      <c r="M203" s="122">
        <f>VLOOKUP(B203,Sheet21!A:N,14,0)</f>
        <v/>
      </c>
      <c r="N203" s="129" t="inlineStr">
        <is>
          <t>PRODUKSI</t>
        </is>
      </c>
      <c r="O203" s="17" t="inlineStr">
        <is>
          <t>Packer</t>
        </is>
      </c>
      <c r="P203" s="148" t="inlineStr">
        <is>
          <t>HARIAN</t>
        </is>
      </c>
      <c r="Q203" s="147" t="inlineStr">
        <is>
          <t>KP. CIASEM RT/RW. 006/003; KEL. CICADAS; KEC. BABAKANCIKAO; KAB. PURWAKARTA</t>
        </is>
      </c>
      <c r="R203" s="151" t="n">
        <v>6</v>
      </c>
      <c r="S203" s="151" t="n">
        <v>3</v>
      </c>
      <c r="T203" s="150" t="n"/>
      <c r="U203" s="148" t="inlineStr">
        <is>
          <t>BABAKANCIKAO</t>
        </is>
      </c>
      <c r="V203" s="148" t="inlineStr">
        <is>
          <t>CICADAS</t>
        </is>
      </c>
      <c r="W203" s="148" t="inlineStr">
        <is>
          <t>PURWAKARTA</t>
        </is>
      </c>
      <c r="X203" s="148" t="inlineStr">
        <is>
          <t>KP. CIASEM RT/RW. 006/003; KEL. CICADAS; KEC. BABAKANCIKAO; KAB. PURWAKARTA</t>
        </is>
      </c>
      <c r="Y203" s="148" t="inlineStr">
        <is>
          <t>083133604679/087798098052</t>
        </is>
      </c>
      <c r="Z203" s="147" t="inlineStr">
        <is>
          <t>ISLAM</t>
        </is>
      </c>
      <c r="AA203" s="148" t="inlineStr">
        <is>
          <t>SMA</t>
        </is>
      </c>
      <c r="AB203" s="149" t="n"/>
      <c r="AC203" s="17" t="n">
        <v>201</v>
      </c>
      <c r="AD203" s="133" t="n">
        <v>328000352</v>
      </c>
      <c r="AE203" s="134" t="inlineStr">
        <is>
          <t>YASMIN ANNISA ALKHOIRIYAH</t>
        </is>
      </c>
      <c r="AF203" s="133" t="inlineStr">
        <is>
          <t>PRODUCTION</t>
        </is>
      </c>
      <c r="AG203" s="135" t="n">
        <v>25060609309</v>
      </c>
      <c r="AH203" s="136" t="n">
        <v>1314865078</v>
      </c>
    </row>
    <row r="204" ht="15.75" customHeight="1" s="169">
      <c r="A204" s="122">
        <f>A203+1</f>
        <v/>
      </c>
      <c r="B204" s="123" t="n">
        <v>328000354</v>
      </c>
      <c r="C204" s="122" t="inlineStr">
        <is>
          <t>3214125503040001</t>
        </is>
      </c>
      <c r="D204" s="146" t="inlineStr">
        <is>
          <t>INTAN LESTARI</t>
        </is>
      </c>
      <c r="E204" s="147" t="inlineStr">
        <is>
          <t>PURWAKARTA</t>
        </is>
      </c>
      <c r="F204" s="125" t="inlineStr">
        <is>
          <t>TKD</t>
        </is>
      </c>
      <c r="G204" s="125" t="inlineStr">
        <is>
          <t xml:space="preserve">Karang Taruna Hegarmanah </t>
        </is>
      </c>
      <c r="H204" s="125" t="inlineStr">
        <is>
          <t>TITIPAN ADIK PAK YOGA</t>
        </is>
      </c>
      <c r="I204" s="127" t="n">
        <v>38061</v>
      </c>
      <c r="J204" s="128">
        <f>DATEDIF(I204, TODAY(), "Y") &amp; " tahun, " &amp; DATEDIF(I204, TODAY(), "YM") &amp; " bulan, " &amp; DATEDIF(I204, TODAY(), "MD") &amp; " hari"
</f>
        <v/>
      </c>
      <c r="K204" s="148" t="inlineStr">
        <is>
          <t>P</t>
        </is>
      </c>
      <c r="L204" s="148" t="inlineStr">
        <is>
          <t>Packer</t>
        </is>
      </c>
      <c r="M204" s="122">
        <f>VLOOKUP(B204,Sheet21!A:N,14,0)</f>
        <v/>
      </c>
      <c r="N204" s="129" t="inlineStr">
        <is>
          <t>PRODUKSI</t>
        </is>
      </c>
      <c r="O204" s="17" t="inlineStr">
        <is>
          <t>Packer</t>
        </is>
      </c>
      <c r="P204" s="148" t="inlineStr">
        <is>
          <t>HARIAN</t>
        </is>
      </c>
      <c r="Q204" s="147" t="inlineStr">
        <is>
          <t>KP. SAWAH RT/RW. 004/002; KEL; CILANGKAP; KEC. BABAKANCIKAO; KAB. PURWAKARTA</t>
        </is>
      </c>
      <c r="R204" s="151" t="n">
        <v>4</v>
      </c>
      <c r="S204" s="151" t="n">
        <v>2</v>
      </c>
      <c r="T204" s="148" t="n">
        <v>41151</v>
      </c>
      <c r="U204" s="148" t="inlineStr">
        <is>
          <t>BABAKANCIKAO</t>
        </is>
      </c>
      <c r="V204" s="148" t="inlineStr">
        <is>
          <t>CILANGKAP</t>
        </is>
      </c>
      <c r="W204" s="148" t="inlineStr">
        <is>
          <t>PURWAKARTA</t>
        </is>
      </c>
      <c r="X204" s="148" t="inlineStr">
        <is>
          <t>KP. SAWAH RT/RW. 004/002; KEL; CILANGKAP; KEC. BABAKANCIKAO; KAB. PURWAKARTA</t>
        </is>
      </c>
      <c r="Y204" s="148" t="n">
        <v>83135949248</v>
      </c>
      <c r="Z204" s="147" t="inlineStr">
        <is>
          <t>ISLAM</t>
        </is>
      </c>
      <c r="AA204" s="148" t="inlineStr">
        <is>
          <t>SMA</t>
        </is>
      </c>
      <c r="AB204" s="149" t="n"/>
      <c r="AC204" s="17" t="n">
        <v>202</v>
      </c>
      <c r="AD204" s="133" t="n">
        <v>328000353</v>
      </c>
      <c r="AE204" s="134" t="inlineStr">
        <is>
          <t>YAYU APRIYANTI</t>
        </is>
      </c>
      <c r="AF204" s="133" t="inlineStr">
        <is>
          <t>PRODUCTION</t>
        </is>
      </c>
      <c r="AG204" s="135" t="n">
        <v>25060609317</v>
      </c>
      <c r="AH204" s="136" t="n">
        <v>1518350578</v>
      </c>
    </row>
    <row r="205" ht="15.75" customHeight="1" s="169">
      <c r="A205" s="122">
        <f>A204+1</f>
        <v/>
      </c>
      <c r="B205" s="123" t="n">
        <v>328000355</v>
      </c>
      <c r="C205" s="122" t="inlineStr">
        <is>
          <t>3214122605000001</t>
        </is>
      </c>
      <c r="D205" s="146" t="inlineStr">
        <is>
          <t>IRVAN ANDRIAN</t>
        </is>
      </c>
      <c r="E205" s="147" t="inlineStr">
        <is>
          <t>PURWAKARTA</t>
        </is>
      </c>
      <c r="F205" s="125" t="inlineStr">
        <is>
          <t>TKD</t>
        </is>
      </c>
      <c r="G205" s="125" t="inlineStr">
        <is>
          <t>Pak Wahyudin</t>
        </is>
      </c>
      <c r="H205" s="125" t="inlineStr">
        <is>
          <t>KARYAWAN HARIAN</t>
        </is>
      </c>
      <c r="I205" s="127" t="n">
        <v>36672</v>
      </c>
      <c r="J205" s="128">
        <f>DATEDIF(I205, TODAY(), "Y") &amp; " tahun, " &amp; DATEDIF(I205, TODAY(), "YM") &amp; " bulan, " &amp; DATEDIF(I205, TODAY(), "MD") &amp; " hari"
</f>
        <v/>
      </c>
      <c r="K205" s="148" t="inlineStr">
        <is>
          <t>L</t>
        </is>
      </c>
      <c r="L205" s="148" t="inlineStr">
        <is>
          <t>MAINTENANCE</t>
        </is>
      </c>
      <c r="M205" s="122">
        <f>VLOOKUP(B205,Sheet21!A:N,14,0)</f>
        <v/>
      </c>
      <c r="N205" s="129" t="inlineStr">
        <is>
          <t>ENG</t>
        </is>
      </c>
      <c r="O205" s="17" t="inlineStr">
        <is>
          <t>Maintenance Shift</t>
        </is>
      </c>
      <c r="P205" s="148" t="inlineStr">
        <is>
          <t>HARIAN</t>
        </is>
      </c>
      <c r="Q205" s="142" t="inlineStr">
        <is>
          <t>HEGARMANAH RT/RW. 015/006; KEL. HEGARMANAH;KEC.BABAKANCIKAO;KAB. PURWAKARTA</t>
        </is>
      </c>
      <c r="R205" s="150" t="n"/>
      <c r="S205" s="150" t="n"/>
      <c r="T205" s="150" t="n"/>
      <c r="U205" s="150" t="n"/>
      <c r="V205" s="150" t="n"/>
      <c r="W205" s="150" t="n"/>
      <c r="X205" s="150" t="n"/>
      <c r="Y205" s="150" t="n"/>
      <c r="Z205" s="150" t="n"/>
      <c r="AA205" s="148" t="inlineStr">
        <is>
          <t>SMK</t>
        </is>
      </c>
      <c r="AB205" s="149" t="n"/>
      <c r="AC205" s="17" t="n">
        <v>203</v>
      </c>
      <c r="AD205" s="133" t="n">
        <v>328000354</v>
      </c>
      <c r="AE205" s="134" t="inlineStr">
        <is>
          <t>INTAN LESTARI</t>
        </is>
      </c>
      <c r="AF205" s="133" t="inlineStr">
        <is>
          <t>PRODUCTION</t>
        </is>
      </c>
      <c r="AG205" s="135" t="n">
        <v>25079448079</v>
      </c>
      <c r="AH205" s="136" t="n">
        <v>2394920248</v>
      </c>
    </row>
    <row r="206" ht="15.75" customHeight="1" s="169">
      <c r="A206" s="122">
        <f>A205+1</f>
        <v/>
      </c>
      <c r="B206" s="123" t="n">
        <v>328000357</v>
      </c>
      <c r="C206" s="122" t="inlineStr">
        <is>
          <t>3214125612040006</t>
        </is>
      </c>
      <c r="D206" s="146" t="inlineStr">
        <is>
          <t>DEA ANANDA LESTARI</t>
        </is>
      </c>
      <c r="E206" s="147" t="inlineStr">
        <is>
          <t>PURWAKARTA</t>
        </is>
      </c>
      <c r="F206" s="125" t="inlineStr">
        <is>
          <t>TKD</t>
        </is>
      </c>
      <c r="G206" s="125" t="inlineStr">
        <is>
          <t>H. Misja</t>
        </is>
      </c>
      <c r="H206" s="125" t="inlineStr">
        <is>
          <t>TITIPAN H MISJA</t>
        </is>
      </c>
      <c r="I206" s="127" t="n">
        <v>38337</v>
      </c>
      <c r="J206" s="128">
        <f>DATEDIF(I206, TODAY(), "Y") &amp; " tahun, " &amp; DATEDIF(I206, TODAY(), "YM") &amp; " bulan, " &amp; DATEDIF(I206, TODAY(), "MD") &amp; " hari"
</f>
        <v/>
      </c>
      <c r="K206" s="148" t="inlineStr">
        <is>
          <t>P</t>
        </is>
      </c>
      <c r="L206" s="148" t="inlineStr">
        <is>
          <t>PACKER</t>
        </is>
      </c>
      <c r="M206" s="122">
        <f>VLOOKUP(B206,Sheet21!A:N,14,0)</f>
        <v/>
      </c>
      <c r="N206" s="129" t="inlineStr">
        <is>
          <t>PRODUKSI</t>
        </is>
      </c>
      <c r="O206" s="17" t="inlineStr">
        <is>
          <t>Packer</t>
        </is>
      </c>
      <c r="P206" s="148" t="inlineStr">
        <is>
          <t>HARIAN</t>
        </is>
      </c>
      <c r="Q206" s="147" t="inlineStr">
        <is>
          <t>KP. CIASEM RT/RW. 006/003; KEL. CICADAS; KEC. BABAKANCIKAO; KAB. PURWAKARTA</t>
        </is>
      </c>
      <c r="R206" s="151" t="n">
        <v>6</v>
      </c>
      <c r="S206" s="151" t="n">
        <v>3</v>
      </c>
      <c r="T206" s="150" t="n"/>
      <c r="U206" s="148" t="inlineStr">
        <is>
          <t>BABAKANCIKAO</t>
        </is>
      </c>
      <c r="V206" s="148" t="inlineStr">
        <is>
          <t>CICADAS</t>
        </is>
      </c>
      <c r="W206" s="148" t="inlineStr">
        <is>
          <t>PURWAKARTA</t>
        </is>
      </c>
      <c r="X206" s="148" t="inlineStr">
        <is>
          <t>KP. CIASEM RT/RW. 006/003; KEL. CICADAS; KEC. BABAKANCIKAO; KAB. PURWAKARTA</t>
        </is>
      </c>
      <c r="Y206" s="148" t="n">
        <v>88299005933</v>
      </c>
      <c r="Z206" s="147" t="inlineStr">
        <is>
          <t>ISLAM</t>
        </is>
      </c>
      <c r="AA206" s="148" t="inlineStr">
        <is>
          <t>SMK</t>
        </is>
      </c>
      <c r="AB206" s="149" t="n"/>
      <c r="AC206" s="17" t="n">
        <v>204</v>
      </c>
      <c r="AD206" s="133" t="n">
        <v>328000355</v>
      </c>
      <c r="AE206" s="134" t="inlineStr">
        <is>
          <t>IRVAN ANDRIAN</t>
        </is>
      </c>
      <c r="AF206" s="133" t="inlineStr">
        <is>
          <t>ENGINEERING</t>
        </is>
      </c>
      <c r="AG206" s="135" t="n">
        <v>25079448087</v>
      </c>
      <c r="AH206" s="136" t="n">
        <v>1661915204</v>
      </c>
    </row>
    <row r="207" ht="15.75" customHeight="1" s="169">
      <c r="A207" s="122">
        <f>A206+1</f>
        <v/>
      </c>
      <c r="B207" s="123" t="n">
        <v>328000358</v>
      </c>
      <c r="C207" s="122" t="inlineStr">
        <is>
          <t>3214120904050003</t>
        </is>
      </c>
      <c r="D207" s="146" t="inlineStr">
        <is>
          <t>KIKI MUZAKI</t>
        </is>
      </c>
      <c r="E207" s="147" t="inlineStr">
        <is>
          <t>PURWAKARTA</t>
        </is>
      </c>
      <c r="F207" s="125" t="inlineStr">
        <is>
          <t>TKD</t>
        </is>
      </c>
      <c r="G207" s="125" t="inlineStr">
        <is>
          <t>Pak Wahyudin</t>
        </is>
      </c>
      <c r="H207" s="125" t="inlineStr">
        <is>
          <t>TITIPAN PAK WAHYUDIN</t>
        </is>
      </c>
      <c r="I207" s="127" t="n">
        <v>38451</v>
      </c>
      <c r="J207" s="128">
        <f>DATEDIF(I207, TODAY(), "Y") &amp; " tahun, " &amp; DATEDIF(I207, TODAY(), "YM") &amp; " bulan, " &amp; DATEDIF(I207, TODAY(), "MD") &amp; " hari"
</f>
        <v/>
      </c>
      <c r="K207" s="148" t="inlineStr">
        <is>
          <t>L</t>
        </is>
      </c>
      <c r="L207" s="148" t="inlineStr">
        <is>
          <t>PACKER</t>
        </is>
      </c>
      <c r="M207" s="122">
        <f>VLOOKUP(B207,Sheet21!A:N,14,0)</f>
        <v/>
      </c>
      <c r="N207" s="129" t="inlineStr">
        <is>
          <t>PRODUKSI</t>
        </is>
      </c>
      <c r="O207" s="17" t="inlineStr">
        <is>
          <t>Packer</t>
        </is>
      </c>
      <c r="P207" s="148" t="inlineStr">
        <is>
          <t>HARIAN</t>
        </is>
      </c>
      <c r="Q207" s="147" t="inlineStr">
        <is>
          <t>KP. KRAJAN RT/RW. 004/002; KEL. BABAKANCIKAO; KEC. BABAKANCIKAO; KAB. PURWAKARTA</t>
        </is>
      </c>
      <c r="R207" s="151" t="n">
        <v>4</v>
      </c>
      <c r="S207" s="151" t="n">
        <v>2</v>
      </c>
      <c r="T207" s="150" t="n"/>
      <c r="U207" s="148" t="inlineStr">
        <is>
          <t>BABAKANCIKAO</t>
        </is>
      </c>
      <c r="V207" s="148" t="inlineStr">
        <is>
          <t>BABAKANCIKAO</t>
        </is>
      </c>
      <c r="W207" s="148" t="inlineStr">
        <is>
          <t>PURWAKARTA</t>
        </is>
      </c>
      <c r="X207" s="148" t="inlineStr">
        <is>
          <t>KP. KRAJAN RT/RW. 004/002; KEL. BABAKANCIKAO; KEC. BABAKANCIKAO; KAB. PURWAKARTA</t>
        </is>
      </c>
      <c r="Y207" s="148" t="inlineStr">
        <is>
          <t>0819095386/085655441984</t>
        </is>
      </c>
      <c r="Z207" s="147" t="inlineStr">
        <is>
          <t>ISLAM</t>
        </is>
      </c>
      <c r="AA207" s="148" t="inlineStr">
        <is>
          <t>SMK</t>
        </is>
      </c>
      <c r="AB207" s="149" t="n"/>
      <c r="AC207" s="17" t="n">
        <v>205</v>
      </c>
      <c r="AD207" s="133" t="n">
        <v>328000357</v>
      </c>
      <c r="AE207" s="134" t="inlineStr">
        <is>
          <t>DEA ANANDA LESTARI</t>
        </is>
      </c>
      <c r="AF207" s="133" t="inlineStr">
        <is>
          <t>PRODUCTION</t>
        </is>
      </c>
      <c r="AG207" s="135" t="n">
        <v>25079448103</v>
      </c>
      <c r="AH207" s="136" t="n">
        <v>1663762138</v>
      </c>
    </row>
    <row r="208" ht="15.75" customHeight="1" s="169">
      <c r="A208" s="122">
        <f>A207+1</f>
        <v/>
      </c>
      <c r="B208" s="123" t="n">
        <v>328000359</v>
      </c>
      <c r="C208" s="122" t="inlineStr">
        <is>
          <t>3214055805010001</t>
        </is>
      </c>
      <c r="D208" s="146" t="inlineStr">
        <is>
          <t>FIRLY MEITASARI</t>
        </is>
      </c>
      <c r="E208" s="147" t="inlineStr">
        <is>
          <t>PURWAKARTA</t>
        </is>
      </c>
      <c r="F208" s="125" t="inlineStr">
        <is>
          <t>TKD</t>
        </is>
      </c>
      <c r="G208" s="125" t="inlineStr">
        <is>
          <t>Pak Wahyudin</t>
        </is>
      </c>
      <c r="H208" s="125" t="inlineStr">
        <is>
          <t>Perwakilan Desa Babakancikao</t>
        </is>
      </c>
      <c r="I208" s="127" t="n">
        <v>37029</v>
      </c>
      <c r="J208" s="128">
        <f>DATEDIF(I208, TODAY(), "Y") &amp; " tahun, " &amp; DATEDIF(I208, TODAY(), "YM") &amp; " bulan, " &amp; DATEDIF(I208, TODAY(), "MD") &amp; " hari"
</f>
        <v/>
      </c>
      <c r="K208" s="148" t="inlineStr">
        <is>
          <t>P</t>
        </is>
      </c>
      <c r="L208" s="148" t="inlineStr">
        <is>
          <t>ADMIN TIMBANGAN</t>
        </is>
      </c>
      <c r="M208" s="122">
        <f>VLOOKUP(B208,Sheet21!A:N,14,0)</f>
        <v/>
      </c>
      <c r="N208" s="129" t="inlineStr">
        <is>
          <t>LOGISTIK</t>
        </is>
      </c>
      <c r="O208" s="17" t="inlineStr">
        <is>
          <t>Admin Ekspedisi</t>
        </is>
      </c>
      <c r="P208" s="148" t="inlineStr">
        <is>
          <t>HARIAN</t>
        </is>
      </c>
      <c r="Q208" s="147" t="inlineStr">
        <is>
          <t>KP. KANANGA RT/RW. 004/001; KEL. CINAJTUNNG; KEC. SUKATANI; KAB. PURWAKARTA</t>
        </is>
      </c>
      <c r="R208" s="151" t="n">
        <v>4</v>
      </c>
      <c r="S208" s="151" t="n">
        <v>1</v>
      </c>
      <c r="T208" s="148" t="n">
        <v>41167</v>
      </c>
      <c r="U208" s="148" t="inlineStr">
        <is>
          <t>SUKATANI</t>
        </is>
      </c>
      <c r="V208" s="148" t="inlineStr">
        <is>
          <t>CIJANTUNG</t>
        </is>
      </c>
      <c r="W208" s="148" t="inlineStr">
        <is>
          <t>PURWAKARTA</t>
        </is>
      </c>
      <c r="X208" s="148" t="inlineStr">
        <is>
          <t>KP. KANANGA RT/RW. 004/001; KEL. CICADAS; KEC. SUKATANI; KAB. PURWAKARTA</t>
        </is>
      </c>
      <c r="Y208" s="148" t="inlineStr">
        <is>
          <t>083848767705/085797184399</t>
        </is>
      </c>
      <c r="Z208" s="147" t="inlineStr">
        <is>
          <t>ISLAM</t>
        </is>
      </c>
      <c r="AA208" s="148" t="inlineStr">
        <is>
          <t>S1</t>
        </is>
      </c>
      <c r="AB208" s="149" t="n"/>
      <c r="AC208" s="17" t="n">
        <v>206</v>
      </c>
      <c r="AD208" s="133" t="n">
        <v>328000358</v>
      </c>
      <c r="AE208" s="134" t="inlineStr">
        <is>
          <t>KIKI MUZAKI</t>
        </is>
      </c>
      <c r="AF208" s="133" t="inlineStr">
        <is>
          <t>PRODUCTION</t>
        </is>
      </c>
      <c r="AG208" s="135" t="n">
        <v>25079448111</v>
      </c>
      <c r="AH208" s="136" t="n">
        <v>1902837227</v>
      </c>
    </row>
    <row r="209" ht="15.75" customHeight="1" s="169">
      <c r="A209" s="122">
        <f>A208+1</f>
        <v/>
      </c>
      <c r="B209" s="123" t="n">
        <v>328000360</v>
      </c>
      <c r="C209" s="122" t="inlineStr">
        <is>
          <t>3214032604040001</t>
        </is>
      </c>
      <c r="D209" s="146" t="inlineStr">
        <is>
          <t>BURHAN PURNAMA</t>
        </is>
      </c>
      <c r="E209" s="147" t="inlineStr">
        <is>
          <t>PURWAKARTA</t>
        </is>
      </c>
      <c r="F209" s="125" t="inlineStr">
        <is>
          <t>TKD</t>
        </is>
      </c>
      <c r="G209" s="125" t="inlineStr">
        <is>
          <t>Pak Wahyudin</t>
        </is>
      </c>
      <c r="H209" s="96" t="inlineStr">
        <is>
          <t>Titipan Ajudan Pak Asep Melalui Pak Wahyudin TKD</t>
        </is>
      </c>
      <c r="I209" s="127" t="n">
        <v>38103</v>
      </c>
      <c r="J209" s="128">
        <f>DATEDIF(I209, TODAY(), "Y") &amp; " tahun, " &amp; DATEDIF(I209, TODAY(), "YM") &amp; " bulan, " &amp; DATEDIF(I209, TODAY(), "MD") &amp; " hari"
</f>
        <v/>
      </c>
      <c r="K209" s="148" t="inlineStr">
        <is>
          <t>L</t>
        </is>
      </c>
      <c r="L209" s="148" t="inlineStr">
        <is>
          <t>PACKER</t>
        </is>
      </c>
      <c r="M209" s="122">
        <f>VLOOKUP(B209,Sheet21!A:N,14,0)</f>
        <v/>
      </c>
      <c r="N209" s="129" t="inlineStr">
        <is>
          <t>PRODUKSI</t>
        </is>
      </c>
      <c r="O209" s="17" t="inlineStr">
        <is>
          <t>Packer</t>
        </is>
      </c>
      <c r="P209" s="148" t="inlineStr">
        <is>
          <t>HARIAN</t>
        </is>
      </c>
      <c r="Q209" s="147" t="inlineStr">
        <is>
          <t>KP. BUNDER RT/RW. 010/003; KEL. BUNDER;KEC. JATILUHUR; KAB. PURWAKARTA</t>
        </is>
      </c>
      <c r="R209" s="151" t="n">
        <v>10</v>
      </c>
      <c r="S209" s="151" t="n">
        <v>3</v>
      </c>
      <c r="T209" s="148" t="n">
        <v>41161</v>
      </c>
      <c r="U209" s="148" t="inlineStr">
        <is>
          <t>JATILUHUR</t>
        </is>
      </c>
      <c r="V209" s="148" t="inlineStr">
        <is>
          <t>BUNDER</t>
        </is>
      </c>
      <c r="W209" s="148" t="inlineStr">
        <is>
          <t>PURWAKARTA</t>
        </is>
      </c>
      <c r="X209" s="148" t="inlineStr">
        <is>
          <t>KP. BUNDER RT/RW. 010/003; KEL. BUNDER;KEC. JATILUHUR; KAB. PURWAKARTA</t>
        </is>
      </c>
      <c r="Y209" s="148" t="inlineStr">
        <is>
          <t>085942577118/087726551896</t>
        </is>
      </c>
      <c r="Z209" s="147" t="inlineStr">
        <is>
          <t>ISLAM</t>
        </is>
      </c>
      <c r="AA209" s="148" t="inlineStr">
        <is>
          <t>SMA</t>
        </is>
      </c>
      <c r="AB209" s="149" t="n"/>
      <c r="AC209" s="17" t="n">
        <v>207</v>
      </c>
      <c r="AD209" s="133" t="n">
        <v>328000359</v>
      </c>
      <c r="AE209" s="134" t="inlineStr">
        <is>
          <t>FIRLY MEITASARI</t>
        </is>
      </c>
      <c r="AF209" s="133" t="inlineStr">
        <is>
          <t>LOGISTIC</t>
        </is>
      </c>
      <c r="AG209" s="135" t="n">
        <v>25079448129</v>
      </c>
      <c r="AH209" s="136" t="n">
        <v>2219924946</v>
      </c>
    </row>
    <row r="210" ht="15.75" customHeight="1" s="169">
      <c r="A210" s="122">
        <f>A209+1</f>
        <v/>
      </c>
      <c r="B210" s="123" t="n">
        <v>328000361</v>
      </c>
      <c r="C210" s="122" t="inlineStr">
        <is>
          <t>3214122804060002</t>
        </is>
      </c>
      <c r="D210" s="146" t="inlineStr">
        <is>
          <t>NABIL FATHUROHMAN</t>
        </is>
      </c>
      <c r="E210" s="147" t="inlineStr">
        <is>
          <t>PURWAKARTA</t>
        </is>
      </c>
      <c r="F210" s="125" t="inlineStr">
        <is>
          <t>LINK</t>
        </is>
      </c>
      <c r="G210" s="96" t="n"/>
      <c r="H210" s="125" t="inlineStr">
        <is>
          <t>PT KMJ</t>
        </is>
      </c>
      <c r="I210" s="127" t="n">
        <v>38835</v>
      </c>
      <c r="J210" s="128">
        <f>DATEDIF(I210, TODAY(), "Y") &amp; " tahun, " &amp; DATEDIF(I210, TODAY(), "YM") &amp; " bulan, " &amp; DATEDIF(I210, TODAY(), "MD") &amp; " hari"
</f>
        <v/>
      </c>
      <c r="K210" s="148" t="inlineStr">
        <is>
          <t>L</t>
        </is>
      </c>
      <c r="L210" s="148" t="inlineStr">
        <is>
          <t>ADMIN TSP</t>
        </is>
      </c>
      <c r="M210" s="122">
        <f>VLOOKUP(B210,Sheet21!A:N,14,0)</f>
        <v/>
      </c>
      <c r="N210" s="129" t="inlineStr">
        <is>
          <t>PRODUKSI</t>
        </is>
      </c>
      <c r="O210" s="17" t="inlineStr">
        <is>
          <t>Admin TSP</t>
        </is>
      </c>
      <c r="P210" s="148" t="inlineStr">
        <is>
          <t>HARIAN</t>
        </is>
      </c>
      <c r="Q210" s="147" t="inlineStr">
        <is>
          <t>KP. BAKANSARI RT/RW. 003/005; KEL. CIWARENG; KEC. BABAKANCIKAO; KAB. PURWAKARTA</t>
        </is>
      </c>
      <c r="R210" s="151" t="n">
        <v>3</v>
      </c>
      <c r="S210" s="151" t="n">
        <v>5</v>
      </c>
      <c r="T210" s="148" t="n">
        <v>41151</v>
      </c>
      <c r="U210" s="148" t="inlineStr">
        <is>
          <t>BABAKANCIKAO</t>
        </is>
      </c>
      <c r="V210" s="148" t="inlineStr">
        <is>
          <t>CIWARENG</t>
        </is>
      </c>
      <c r="W210" s="148" t="inlineStr">
        <is>
          <t>PURWAKARTA</t>
        </is>
      </c>
      <c r="X210" s="148" t="inlineStr">
        <is>
          <t>KP. BAKANSARI RT/RW. 003/005; KEL. CIWARENG; KEC. BABAKANCIKAO; KAB. PURWAKARTA</t>
        </is>
      </c>
      <c r="Y210" s="148" t="n">
        <v>8990814621</v>
      </c>
      <c r="Z210" s="147" t="inlineStr">
        <is>
          <t>ISLAM</t>
        </is>
      </c>
      <c r="AA210" s="148" t="inlineStr">
        <is>
          <t>SMK</t>
        </is>
      </c>
      <c r="AB210" s="149" t="n"/>
      <c r="AC210" s="17" t="n">
        <v>208</v>
      </c>
      <c r="AD210" s="133" t="n">
        <v>328000360</v>
      </c>
      <c r="AE210" s="134" t="inlineStr">
        <is>
          <t>BURHAN PURNAMA</t>
        </is>
      </c>
      <c r="AF210" s="133" t="inlineStr">
        <is>
          <t>PRODUCTION</t>
        </is>
      </c>
      <c r="AG210" s="135" t="n">
        <v>25079448137</v>
      </c>
      <c r="AH210" s="136" t="n">
        <v>3513273759</v>
      </c>
    </row>
    <row r="211" ht="15.75" customHeight="1" s="169">
      <c r="A211" s="122">
        <f>A210+1</f>
        <v/>
      </c>
      <c r="B211" s="123" t="n">
        <v>328000362</v>
      </c>
      <c r="C211" s="122" t="inlineStr">
        <is>
          <t>3214121812970001</t>
        </is>
      </c>
      <c r="D211" s="146" t="inlineStr">
        <is>
          <t>IQBAL HERMAN</t>
        </is>
      </c>
      <c r="E211" s="147" t="inlineStr">
        <is>
          <t>PURWAKARTA</t>
        </is>
      </c>
      <c r="F211" s="125" t="inlineStr">
        <is>
          <t>TKD</t>
        </is>
      </c>
      <c r="G211" s="125" t="inlineStr">
        <is>
          <t>Ormas Kompak</t>
        </is>
      </c>
      <c r="H211" s="96" t="inlineStr">
        <is>
          <t>Titipan Pak Saepul</t>
        </is>
      </c>
      <c r="I211" s="127" t="n">
        <v>35777</v>
      </c>
      <c r="J211" s="128">
        <f>DATEDIF(I211, TODAY(), "Y") &amp; " tahun, " &amp; DATEDIF(I211, TODAY(), "YM") &amp; " bulan, " &amp; DATEDIF(I211, TODAY(), "MD") &amp; " hari"
</f>
        <v/>
      </c>
      <c r="K211" s="148" t="inlineStr">
        <is>
          <t>L</t>
        </is>
      </c>
      <c r="L211" s="148" t="inlineStr">
        <is>
          <t>ADMIN TSP</t>
        </is>
      </c>
      <c r="M211" s="122">
        <f>VLOOKUP(B211,Sheet21!A:N,14,0)</f>
        <v/>
      </c>
      <c r="N211" s="129" t="inlineStr">
        <is>
          <t>PRODUKSI</t>
        </is>
      </c>
      <c r="O211" s="17" t="inlineStr">
        <is>
          <t>Admin TSP</t>
        </is>
      </c>
      <c r="P211" s="148" t="inlineStr">
        <is>
          <t>HARIAN</t>
        </is>
      </c>
      <c r="Q211" s="147" t="inlineStr">
        <is>
          <t>PERUM GRAND PANGHEGAR BLOK C4 NO. 54 RT/RW. 006/003; KEL. HEGARMANAH; KEC. BABAKANCIKAO; KAB. PURWAKARTA</t>
        </is>
      </c>
      <c r="R211" s="151" t="n">
        <v>6</v>
      </c>
      <c r="S211" s="151" t="n">
        <v>3</v>
      </c>
      <c r="T211" s="150" t="n"/>
      <c r="U211" s="148" t="inlineStr">
        <is>
          <t>BABAKANCIKAO</t>
        </is>
      </c>
      <c r="V211" s="148" t="inlineStr">
        <is>
          <t>HEGARMANAH</t>
        </is>
      </c>
      <c r="W211" s="148" t="inlineStr">
        <is>
          <t>PURWAKARTA</t>
        </is>
      </c>
      <c r="X211" s="148" t="inlineStr">
        <is>
          <t>PERUM GRAND PANGHEGAR RT/RW. 006/003; KEL. HEGARMANAH; KEC. BABAKANCIKAO; KAB. PURWAKARTA</t>
        </is>
      </c>
      <c r="Y211" s="148" t="n">
        <v>85861242429</v>
      </c>
      <c r="Z211" s="147" t="inlineStr">
        <is>
          <t>ISLAM</t>
        </is>
      </c>
      <c r="AA211" s="148" t="inlineStr">
        <is>
          <t>S1</t>
        </is>
      </c>
      <c r="AB211" s="149" t="n"/>
      <c r="AC211" s="17" t="n">
        <v>209</v>
      </c>
      <c r="AD211" s="133" t="n">
        <v>328000361</v>
      </c>
      <c r="AE211" s="134" t="inlineStr">
        <is>
          <t>NABIL FATHUROHMAN</t>
        </is>
      </c>
      <c r="AF211" s="133" t="inlineStr">
        <is>
          <t>PRODUCTION</t>
        </is>
      </c>
      <c r="AG211" s="135" t="n">
        <v>25079448145</v>
      </c>
      <c r="AH211" s="156" t="n"/>
    </row>
    <row r="212" ht="15.75" customHeight="1" s="169">
      <c r="A212" s="122">
        <f>A211+1</f>
        <v/>
      </c>
      <c r="B212" s="123" t="n">
        <v>328000364</v>
      </c>
      <c r="C212" s="122" t="inlineStr">
        <is>
          <t>3214125806010001</t>
        </is>
      </c>
      <c r="D212" s="146" t="inlineStr">
        <is>
          <t>DIANA</t>
        </is>
      </c>
      <c r="E212" s="147" t="inlineStr">
        <is>
          <t>PURWAKARTA</t>
        </is>
      </c>
      <c r="F212" s="125" t="inlineStr">
        <is>
          <t>TKD</t>
        </is>
      </c>
      <c r="G212" s="125" t="inlineStr">
        <is>
          <t>Pak Wahyudin</t>
        </is>
      </c>
      <c r="H212" s="125" t="inlineStr">
        <is>
          <t>Karyawan Harian</t>
        </is>
      </c>
      <c r="I212" s="127" t="n">
        <v>37060</v>
      </c>
      <c r="J212" s="128">
        <f>DATEDIF(I212, TODAY(), "Y") &amp; " tahun, " &amp; DATEDIF(I212, TODAY(), "YM") &amp; " bulan, " &amp; DATEDIF(I212, TODAY(), "MD") &amp; " hari"
</f>
        <v/>
      </c>
      <c r="K212" s="148" t="inlineStr">
        <is>
          <t>P</t>
        </is>
      </c>
      <c r="L212" s="148" t="inlineStr">
        <is>
          <t>PACKER</t>
        </is>
      </c>
      <c r="M212" s="122">
        <f>VLOOKUP(B212,Sheet21!A:N,14,0)</f>
        <v/>
      </c>
      <c r="N212" s="129" t="inlineStr">
        <is>
          <t>PRODUKSI</t>
        </is>
      </c>
      <c r="O212" s="17" t="inlineStr">
        <is>
          <t>Packer</t>
        </is>
      </c>
      <c r="P212" s="148" t="inlineStr">
        <is>
          <t>HARIAN</t>
        </is>
      </c>
      <c r="Q212" s="147" t="inlineStr">
        <is>
          <t>HEGARMANAH RT/RW. 013/005; KEL. HEGARMANAH; KEC. BABAKANCIKAO; KAB. PURWAKARTA</t>
        </is>
      </c>
      <c r="R212" s="151" t="n">
        <v>13</v>
      </c>
      <c r="S212" s="151" t="n">
        <v>5</v>
      </c>
      <c r="T212" s="148" t="n">
        <v>41151</v>
      </c>
      <c r="U212" s="148" t="inlineStr">
        <is>
          <t>BABAKANCIKAO</t>
        </is>
      </c>
      <c r="V212" s="148" t="inlineStr">
        <is>
          <t>HEGARMANAH</t>
        </is>
      </c>
      <c r="W212" s="148" t="inlineStr">
        <is>
          <t>PURWAKARTA</t>
        </is>
      </c>
      <c r="X212" s="148" t="inlineStr">
        <is>
          <t>HEGARMANAH RT/RW. 013/005; KEL. HEGARMANAH; KEC. BABAKANCIKAO; KAB. PURWAKARTA</t>
        </is>
      </c>
      <c r="Y212" s="148" t="inlineStr">
        <is>
          <t>089671480232/088220709913</t>
        </is>
      </c>
      <c r="Z212" s="147" t="inlineStr">
        <is>
          <t>ISLAM</t>
        </is>
      </c>
      <c r="AA212" s="148" t="inlineStr">
        <is>
          <t>SMK</t>
        </is>
      </c>
      <c r="AB212" s="149" t="n"/>
      <c r="AC212" s="17" t="n">
        <v>210</v>
      </c>
      <c r="AD212" s="133" t="n">
        <v>328000362</v>
      </c>
      <c r="AE212" s="134" t="inlineStr">
        <is>
          <t>IQBAL HERMAN</t>
        </is>
      </c>
      <c r="AF212" s="133" t="inlineStr">
        <is>
          <t>PRODUCTION</t>
        </is>
      </c>
      <c r="AG212" s="135" t="n">
        <v>25079448152</v>
      </c>
      <c r="AH212" s="136" t="n">
        <v>1659941043</v>
      </c>
    </row>
    <row r="213" ht="15.75" customHeight="1" s="169">
      <c r="A213" s="122">
        <f>A212+1</f>
        <v/>
      </c>
      <c r="B213" s="123" t="n">
        <v>328000365</v>
      </c>
      <c r="C213" s="122" t="inlineStr">
        <is>
          <t>3215054109040002</t>
        </is>
      </c>
      <c r="D213" s="146" t="inlineStr">
        <is>
          <t>LUSI LUSTIAWATI</t>
        </is>
      </c>
      <c r="E213" s="147" t="inlineStr">
        <is>
          <t>KARAWANG</t>
        </is>
      </c>
      <c r="F213" s="125" t="inlineStr">
        <is>
          <t>TKD</t>
        </is>
      </c>
      <c r="G213" s="125" t="inlineStr">
        <is>
          <t xml:space="preserve">Karang Taruna Hegarmanah </t>
        </is>
      </c>
      <c r="H213" s="125" t="inlineStr">
        <is>
          <t>Titipan Karang Taruna Hegarmanah</t>
        </is>
      </c>
      <c r="I213" s="127" t="n">
        <v>38252</v>
      </c>
      <c r="J213" s="128">
        <f>DATEDIF(I213, TODAY(), "Y") &amp; " tahun, " &amp; DATEDIF(I213, TODAY(), "YM") &amp; " bulan, " &amp; DATEDIF(I213, TODAY(), "MD") &amp; " hari"
</f>
        <v/>
      </c>
      <c r="K213" s="148" t="inlineStr">
        <is>
          <t>P</t>
        </is>
      </c>
      <c r="L213" s="148" t="inlineStr">
        <is>
          <t>PACKER</t>
        </is>
      </c>
      <c r="M213" s="122">
        <f>VLOOKUP(B213,Sheet21!A:N,14,0)</f>
        <v/>
      </c>
      <c r="N213" s="129" t="inlineStr">
        <is>
          <t>PRODUKSI</t>
        </is>
      </c>
      <c r="O213" s="17" t="inlineStr">
        <is>
          <t>Packer</t>
        </is>
      </c>
      <c r="P213" s="148" t="inlineStr">
        <is>
          <t>HARIAN</t>
        </is>
      </c>
      <c r="Q213" s="147" t="inlineStr">
        <is>
          <t>PARUNG KADALI RT/RW/ 028/006; KEL. KARANG ANYAR; KEC. KLARI; KAB. KARAWANG</t>
        </is>
      </c>
      <c r="R213" s="151" t="n">
        <v>28</v>
      </c>
      <c r="S213" s="151" t="n">
        <v>6</v>
      </c>
      <c r="T213" s="150" t="n"/>
      <c r="U213" s="148" t="inlineStr">
        <is>
          <t>KLARI</t>
        </is>
      </c>
      <c r="V213" s="148" t="inlineStr">
        <is>
          <t>KARANGANYAR</t>
        </is>
      </c>
      <c r="W213" s="148" t="inlineStr">
        <is>
          <t>KARAWANG</t>
        </is>
      </c>
      <c r="X213" s="148" t="inlineStr">
        <is>
          <t>PARUNG KADALI RT/RW/ 028/006; KEL. KARANG ANYAR; KEC. KLARI; KAB. KARAWANG</t>
        </is>
      </c>
      <c r="Y213" s="148" t="inlineStr">
        <is>
          <t>081410543540/081317530412</t>
        </is>
      </c>
      <c r="Z213" s="147" t="inlineStr">
        <is>
          <t>ISLAM</t>
        </is>
      </c>
      <c r="AA213" s="148" t="inlineStr">
        <is>
          <t>SMK</t>
        </is>
      </c>
      <c r="AB213" s="149" t="n"/>
      <c r="AC213" s="17" t="n">
        <v>211</v>
      </c>
      <c r="AD213" s="133" t="n">
        <v>328000364</v>
      </c>
      <c r="AE213" s="134" t="inlineStr">
        <is>
          <t>DIANA</t>
        </is>
      </c>
      <c r="AF213" s="133" t="inlineStr">
        <is>
          <t>PRODUCTION</t>
        </is>
      </c>
      <c r="AG213" s="135" t="n">
        <v>25079448293</v>
      </c>
      <c r="AH213" s="136" t="n">
        <v>1436373584</v>
      </c>
    </row>
    <row r="214" ht="15.75" customHeight="1" s="169">
      <c r="A214" s="122">
        <f>A213+1</f>
        <v/>
      </c>
      <c r="B214" s="123" t="n">
        <v>328000366</v>
      </c>
      <c r="C214" s="122" t="inlineStr">
        <is>
          <t>3214124906060001</t>
        </is>
      </c>
      <c r="D214" s="146" t="inlineStr">
        <is>
          <t>DIVA NADYA</t>
        </is>
      </c>
      <c r="E214" s="147" t="inlineStr">
        <is>
          <t>PURWAKARTA</t>
        </is>
      </c>
      <c r="F214" s="125" t="inlineStr">
        <is>
          <t>TKD</t>
        </is>
      </c>
      <c r="G214" s="125" t="inlineStr">
        <is>
          <t>Pak Wahyudin</t>
        </is>
      </c>
      <c r="H214" s="125" t="inlineStr">
        <is>
          <t>Karyawan Harian</t>
        </is>
      </c>
      <c r="I214" s="127" t="n">
        <v>38877</v>
      </c>
      <c r="J214" s="128">
        <f>DATEDIF(I214, TODAY(), "Y") &amp; " tahun, " &amp; DATEDIF(I214, TODAY(), "YM") &amp; " bulan, " &amp; DATEDIF(I214, TODAY(), "MD") &amp; " hari"
</f>
        <v/>
      </c>
      <c r="K214" s="148" t="inlineStr">
        <is>
          <t>P</t>
        </is>
      </c>
      <c r="L214" s="148" t="inlineStr">
        <is>
          <t>PACKER</t>
        </is>
      </c>
      <c r="M214" s="122">
        <f>VLOOKUP(B214,Sheet21!A:N,14,0)</f>
        <v/>
      </c>
      <c r="N214" s="129" t="inlineStr">
        <is>
          <t>PRODUKSI</t>
        </is>
      </c>
      <c r="O214" s="17" t="inlineStr">
        <is>
          <t>Packer</t>
        </is>
      </c>
      <c r="P214" s="148" t="inlineStr">
        <is>
          <t>HARIAN</t>
        </is>
      </c>
      <c r="Q214" s="147" t="inlineStr">
        <is>
          <t>KP. PARUNG DADAP RT/RW.002/001; KEL. HEGARMANAH; KEC. BABAKANCIKAO; KAB. PURWAKARTA</t>
        </is>
      </c>
      <c r="R214" s="151" t="n">
        <v>2</v>
      </c>
      <c r="S214" s="151" t="n">
        <v>1</v>
      </c>
      <c r="T214" s="148" t="n">
        <v>41151</v>
      </c>
      <c r="U214" s="148" t="inlineStr">
        <is>
          <t>BABAKANCIKAO</t>
        </is>
      </c>
      <c r="V214" s="148" t="inlineStr">
        <is>
          <t>HEGARMANAH</t>
        </is>
      </c>
      <c r="W214" s="148" t="inlineStr">
        <is>
          <t>PURWAKARTA</t>
        </is>
      </c>
      <c r="X214" s="148" t="inlineStr">
        <is>
          <t>KP. PARUNG DADAP RT/RW.002/001; KEL. HEGARMANAH; KEC. BABAKANCIKAO; KAB. PURWAKARTA</t>
        </is>
      </c>
      <c r="Y214" s="148" t="n">
        <v>87719603499</v>
      </c>
      <c r="Z214" s="147" t="inlineStr">
        <is>
          <t>ISLAM</t>
        </is>
      </c>
      <c r="AA214" s="148" t="inlineStr">
        <is>
          <t>SMA</t>
        </is>
      </c>
      <c r="AB214" s="149" t="n"/>
      <c r="AC214" s="17" t="n">
        <v>212</v>
      </c>
      <c r="AD214" s="133" t="n">
        <v>328000365</v>
      </c>
      <c r="AE214" s="134" t="inlineStr">
        <is>
          <t>LUSI LUSTIAWATI</t>
        </is>
      </c>
      <c r="AF214" s="133" t="inlineStr">
        <is>
          <t>PRODUCTION</t>
        </is>
      </c>
      <c r="AG214" s="135" t="n">
        <v>25079448301</v>
      </c>
      <c r="AH214" s="136" t="n">
        <v>1742563203</v>
      </c>
    </row>
    <row r="215" ht="15.75" customHeight="1" s="169">
      <c r="A215" s="122">
        <f>A214+1</f>
        <v/>
      </c>
      <c r="B215" s="123" t="n">
        <v>328000367</v>
      </c>
      <c r="C215" s="122" t="inlineStr">
        <is>
          <t>3214126401030001</t>
        </is>
      </c>
      <c r="D215" s="146" t="inlineStr">
        <is>
          <t>SIVA NENI NURANISA</t>
        </is>
      </c>
      <c r="E215" s="147" t="inlineStr">
        <is>
          <t>PURWAKARTA</t>
        </is>
      </c>
      <c r="F215" s="125" t="inlineStr">
        <is>
          <t>TKD</t>
        </is>
      </c>
      <c r="G215" s="125" t="inlineStr">
        <is>
          <t>Ormas Lodaya</t>
        </is>
      </c>
      <c r="H215" s="96" t="inlineStr">
        <is>
          <t>Titipan Ketua Ormas Lodaya Pak Lili</t>
        </is>
      </c>
      <c r="I215" s="127" t="n">
        <v>38010</v>
      </c>
      <c r="J215" s="128">
        <f>DATEDIF(I215, TODAY(), "Y") &amp; " tahun, " &amp; DATEDIF(I215, TODAY(), "YM") &amp; " bulan, " &amp; DATEDIF(I215, TODAY(), "MD") &amp; " hari"
</f>
        <v/>
      </c>
      <c r="K215" s="148" t="inlineStr">
        <is>
          <t>P</t>
        </is>
      </c>
      <c r="L215" s="148" t="inlineStr">
        <is>
          <t>PACKER</t>
        </is>
      </c>
      <c r="M215" s="122">
        <f>VLOOKUP(B215,Sheet21!A:N,14,0)</f>
        <v/>
      </c>
      <c r="N215" s="129" t="inlineStr">
        <is>
          <t>PRODUKSI</t>
        </is>
      </c>
      <c r="O215" s="17" t="inlineStr">
        <is>
          <t>Packer</t>
        </is>
      </c>
      <c r="P215" s="148" t="inlineStr">
        <is>
          <t>HARIAN</t>
        </is>
      </c>
      <c r="Q215" s="147" t="inlineStr">
        <is>
          <t>KP. ALIHAMDAN RT/RW. 016/004; KEL. MARACANG; KEC. BABAKANCIKAO; KAB. PURWAKARTA</t>
        </is>
      </c>
      <c r="R215" s="151" t="n">
        <v>16</v>
      </c>
      <c r="S215" s="151" t="n">
        <v>4</v>
      </c>
      <c r="T215" s="148" t="n">
        <v>41151</v>
      </c>
      <c r="U215" s="148" t="inlineStr">
        <is>
          <t>BABAKANCIKAO</t>
        </is>
      </c>
      <c r="V215" s="148" t="inlineStr">
        <is>
          <t>MARACANG</t>
        </is>
      </c>
      <c r="W215" s="148" t="inlineStr">
        <is>
          <t>PURWAKARTA</t>
        </is>
      </c>
      <c r="X215" s="148" t="inlineStr">
        <is>
          <t>KP. ALIHAMDAN RT/RW. 016/004; KEL. MARACANG; KEC. BABAKANCIKAO; KAB. PURWAKARTA</t>
        </is>
      </c>
      <c r="Y215" s="148" t="inlineStr">
        <is>
          <t>0895324429161/0895324427642</t>
        </is>
      </c>
      <c r="Z215" s="147" t="inlineStr">
        <is>
          <t>ISLAM</t>
        </is>
      </c>
      <c r="AA215" s="148" t="inlineStr">
        <is>
          <t>SMK</t>
        </is>
      </c>
      <c r="AB215" s="149" t="n"/>
      <c r="AC215" s="17" t="n">
        <v>213</v>
      </c>
      <c r="AD215" s="133" t="n">
        <v>328000366</v>
      </c>
      <c r="AE215" s="134" t="inlineStr">
        <is>
          <t>DIVA NADYA</t>
        </is>
      </c>
      <c r="AF215" s="133" t="inlineStr">
        <is>
          <t>PRODUCTION</t>
        </is>
      </c>
      <c r="AG215" s="135" t="n">
        <v>25079448319</v>
      </c>
      <c r="AH215" s="136" t="n">
        <v>1659884962</v>
      </c>
    </row>
    <row r="216" ht="15.75" customHeight="1" s="169">
      <c r="A216" s="122">
        <f>A215+1</f>
        <v/>
      </c>
      <c r="B216" s="123" t="n">
        <v>328000370</v>
      </c>
      <c r="C216" s="122" t="inlineStr">
        <is>
          <t>3214304904060001</t>
        </is>
      </c>
      <c r="D216" s="146" t="inlineStr">
        <is>
          <t>DARA APRIYANTY</t>
        </is>
      </c>
      <c r="E216" s="147" t="inlineStr">
        <is>
          <t>PURWAKARTA</t>
        </is>
      </c>
      <c r="F216" s="125" t="inlineStr">
        <is>
          <t>TKD</t>
        </is>
      </c>
      <c r="G216" s="125" t="inlineStr">
        <is>
          <t xml:space="preserve">Karang Taruna Hegarmanah </t>
        </is>
      </c>
      <c r="H216" s="96" t="inlineStr">
        <is>
          <t xml:space="preserve">Keluarga Pak RT Dade </t>
        </is>
      </c>
      <c r="I216" s="127" t="n">
        <v>36987</v>
      </c>
      <c r="J216" s="128">
        <f>DATEDIF(I216, TODAY(), "Y") &amp; " tahun, " &amp; DATEDIF(I216, TODAY(), "YM") &amp; " bulan, " &amp; DATEDIF(I216, TODAY(), "MD") &amp; " hari"
</f>
        <v/>
      </c>
      <c r="K216" s="148" t="inlineStr">
        <is>
          <t>P</t>
        </is>
      </c>
      <c r="L216" s="148" t="inlineStr">
        <is>
          <t>PACKER</t>
        </is>
      </c>
      <c r="M216" s="122">
        <f>VLOOKUP(B216,Sheet21!A:N,14,0)</f>
        <v/>
      </c>
      <c r="N216" s="129" t="inlineStr">
        <is>
          <t>PRODUKSI</t>
        </is>
      </c>
      <c r="O216" s="17" t="inlineStr">
        <is>
          <t>Packer</t>
        </is>
      </c>
      <c r="P216" s="148" t="inlineStr">
        <is>
          <t>HARIAN</t>
        </is>
      </c>
      <c r="Q216" s="147" t="inlineStr">
        <is>
          <t>KP. KRAJAN RT/RW.007/002; KEL. PARAKANLIMA; KEC. JATILUHUR; KAB. PURWAKARTA</t>
        </is>
      </c>
      <c r="R216" s="151" t="n">
        <v>7</v>
      </c>
      <c r="S216" s="151" t="n">
        <v>2</v>
      </c>
      <c r="T216" s="150" t="n"/>
      <c r="U216" s="148" t="inlineStr">
        <is>
          <t>JATILUHUR</t>
        </is>
      </c>
      <c r="V216" s="148" t="inlineStr">
        <is>
          <t>PARAKANLIMA</t>
        </is>
      </c>
      <c r="W216" s="148" t="inlineStr">
        <is>
          <t>PURWAKARTA</t>
        </is>
      </c>
      <c r="X216" s="148" t="inlineStr">
        <is>
          <t>KP. KRAJAN RT/RW.007/002; KEL. PARAKANLIMA; KEC. JATILUHUR; KAB. PURWAKARTA</t>
        </is>
      </c>
      <c r="Y216" s="148" t="n">
        <v>85758108791</v>
      </c>
      <c r="Z216" s="147" t="inlineStr">
        <is>
          <t>ISLAM</t>
        </is>
      </c>
      <c r="AA216" s="148" t="inlineStr">
        <is>
          <t>SMA</t>
        </is>
      </c>
      <c r="AB216" s="149" t="n"/>
      <c r="AC216" s="17" t="n">
        <v>214</v>
      </c>
      <c r="AD216" s="133" t="n">
        <v>328000367</v>
      </c>
      <c r="AE216" s="134" t="inlineStr">
        <is>
          <t>SIVA NENI NURANISA</t>
        </is>
      </c>
      <c r="AF216" s="133" t="inlineStr">
        <is>
          <t>PRODUCTION</t>
        </is>
      </c>
      <c r="AG216" s="135" t="n">
        <v>25079448327</v>
      </c>
      <c r="AH216" s="136" t="n">
        <v>1902849175</v>
      </c>
    </row>
    <row r="217" ht="15.75" customHeight="1" s="169">
      <c r="A217" s="122">
        <f>A216+1</f>
        <v/>
      </c>
      <c r="B217" s="123" t="n">
        <v>328000371</v>
      </c>
      <c r="C217" s="122" t="inlineStr">
        <is>
          <t>3214125905050001</t>
        </is>
      </c>
      <c r="D217" s="146" t="inlineStr">
        <is>
          <t>ALYA NOOR KAMILA</t>
        </is>
      </c>
      <c r="E217" s="147" t="inlineStr">
        <is>
          <t>PURWAKARTA</t>
        </is>
      </c>
      <c r="F217" s="125" t="inlineStr">
        <is>
          <t>TKD</t>
        </is>
      </c>
      <c r="G217" s="125" t="inlineStr">
        <is>
          <t>H. Misja</t>
        </is>
      </c>
      <c r="H217" s="96" t="inlineStr">
        <is>
          <t>Titipan Pak Haji Misjah</t>
        </is>
      </c>
      <c r="I217" s="127" t="n">
        <v>38846</v>
      </c>
      <c r="J217" s="128">
        <f>DATEDIF(I217, TODAY(), "Y") &amp; " tahun, " &amp; DATEDIF(I217, TODAY(), "YM") &amp; " bulan, " &amp; DATEDIF(I217, TODAY(), "MD") &amp; " hari"
</f>
        <v/>
      </c>
      <c r="K217" s="148" t="inlineStr">
        <is>
          <t>P</t>
        </is>
      </c>
      <c r="L217" s="148" t="inlineStr">
        <is>
          <t>PACKER</t>
        </is>
      </c>
      <c r="M217" s="122">
        <f>VLOOKUP(B217,Sheet21!A:N,14,0)</f>
        <v/>
      </c>
      <c r="N217" s="129" t="inlineStr">
        <is>
          <t>PRODUKSI</t>
        </is>
      </c>
      <c r="O217" s="17" t="inlineStr">
        <is>
          <t>Packer</t>
        </is>
      </c>
      <c r="P217" s="148" t="inlineStr">
        <is>
          <t>HARIAN</t>
        </is>
      </c>
      <c r="Q217" s="147" t="inlineStr">
        <is>
          <t>PERUM GRAHA MARINA D2 NO.2 RT/RW. 027/008; KEL. MARACANG; KEC. BABAKANCIKAO; KAB. PURWAKARTA</t>
        </is>
      </c>
      <c r="R217" s="151" t="n">
        <v>27</v>
      </c>
      <c r="S217" s="151" t="n">
        <v>8</v>
      </c>
      <c r="T217" s="148" t="n">
        <v>41151</v>
      </c>
      <c r="U217" s="148" t="inlineStr">
        <is>
          <t>BABAKANCIKAO</t>
        </is>
      </c>
      <c r="V217" s="148" t="inlineStr">
        <is>
          <t>MARACANG</t>
        </is>
      </c>
      <c r="W217" s="148" t="inlineStr">
        <is>
          <t>PURWAKARTA</t>
        </is>
      </c>
      <c r="X217" s="148" t="inlineStr">
        <is>
          <t>PERUM GRAHA MARINA D2 NO.2 RT/RW. 027/008; KEL. MARACANG; KEC. BABAKANCIKAO; KAB. PURWAKARTA</t>
        </is>
      </c>
      <c r="Y217" s="148" t="n">
        <v>89505968896</v>
      </c>
      <c r="Z217" s="147" t="inlineStr">
        <is>
          <t>ISLAM</t>
        </is>
      </c>
      <c r="AA217" s="148" t="inlineStr">
        <is>
          <t>SMA</t>
        </is>
      </c>
      <c r="AB217" s="149" t="n"/>
      <c r="AC217" s="17" t="n">
        <v>215</v>
      </c>
      <c r="AD217" s="133" t="n">
        <v>328000370</v>
      </c>
      <c r="AE217" s="134" t="inlineStr">
        <is>
          <t>DARA APRIYANTY</t>
        </is>
      </c>
      <c r="AF217" s="133" t="inlineStr">
        <is>
          <t>PRODUCTION</t>
        </is>
      </c>
      <c r="AG217" s="135" t="n">
        <v>25079448178</v>
      </c>
      <c r="AH217" s="136" t="n">
        <v>2395228149</v>
      </c>
    </row>
    <row r="218" ht="15.75" customHeight="1" s="169">
      <c r="A218" s="122">
        <f>A217+1</f>
        <v/>
      </c>
      <c r="B218" s="123" t="n">
        <v>328000372</v>
      </c>
      <c r="C218" s="122" t="inlineStr">
        <is>
          <t>3214126412020001</t>
        </is>
      </c>
      <c r="D218" s="146" t="inlineStr">
        <is>
          <t>DINI FITRIYANI</t>
        </is>
      </c>
      <c r="E218" s="147" t="inlineStr">
        <is>
          <t>PURWAKARTA</t>
        </is>
      </c>
      <c r="F218" s="125" t="inlineStr">
        <is>
          <t>TKD</t>
        </is>
      </c>
      <c r="G218" s="125" t="inlineStr">
        <is>
          <t>Pak Wahyudin</t>
        </is>
      </c>
      <c r="H218" s="96" t="inlineStr">
        <is>
          <t>Lingkungan Pak Wahyudin</t>
        </is>
      </c>
      <c r="I218" s="127" t="n">
        <v>38491</v>
      </c>
      <c r="J218" s="128">
        <f>DATEDIF(I218, TODAY(), "Y") &amp; " tahun, " &amp; DATEDIF(I218, TODAY(), "YM") &amp; " bulan, " &amp; DATEDIF(I218, TODAY(), "MD") &amp; " hari"
</f>
        <v/>
      </c>
      <c r="K218" s="148" t="inlineStr">
        <is>
          <t>P</t>
        </is>
      </c>
      <c r="L218" s="148" t="inlineStr">
        <is>
          <t>PACKER</t>
        </is>
      </c>
      <c r="M218" s="122">
        <f>VLOOKUP(B218,Sheet21!A:N,14,0)</f>
        <v/>
      </c>
      <c r="N218" s="129" t="inlineStr">
        <is>
          <t>PRODUKSI</t>
        </is>
      </c>
      <c r="O218" s="17" t="inlineStr">
        <is>
          <t>Packer</t>
        </is>
      </c>
      <c r="P218" s="148" t="inlineStr">
        <is>
          <t>HARIAN</t>
        </is>
      </c>
      <c r="Q218" s="147" t="inlineStr">
        <is>
          <t>KP. CIKADU RT/RW. 010/004; KEL. KADUMEKAR; KEC. BABAKANCIKAO; KAB. PURWAKARTA</t>
        </is>
      </c>
      <c r="R218" s="151" t="n">
        <v>10</v>
      </c>
      <c r="S218" s="151" t="n">
        <v>4</v>
      </c>
      <c r="T218" s="148" t="n">
        <v>41151</v>
      </c>
      <c r="U218" s="148" t="inlineStr">
        <is>
          <t>BABAKANCIKAO</t>
        </is>
      </c>
      <c r="V218" s="148" t="inlineStr">
        <is>
          <t>KADUMEKAR</t>
        </is>
      </c>
      <c r="W218" s="148" t="inlineStr">
        <is>
          <t>PURWAKARTA</t>
        </is>
      </c>
      <c r="X218" s="148" t="inlineStr">
        <is>
          <t>KP. CIKADU RT/RW. 010/004; KEL. KADUMEKAR; KEC. BABAKANCIKAO; KAB. PURWAKARTA</t>
        </is>
      </c>
      <c r="Y218" s="148" t="inlineStr">
        <is>
          <t>089504274242/089523557221</t>
        </is>
      </c>
      <c r="Z218" s="147" t="inlineStr">
        <is>
          <t>ISLAM</t>
        </is>
      </c>
      <c r="AA218" s="148" t="inlineStr">
        <is>
          <t>SMK</t>
        </is>
      </c>
      <c r="AB218" s="149" t="n"/>
      <c r="AC218" s="17" t="n">
        <v>216</v>
      </c>
      <c r="AD218" s="133" t="n">
        <v>328000371</v>
      </c>
      <c r="AE218" s="134" t="inlineStr">
        <is>
          <t>ALYA NOOR KAMILA HARJA</t>
        </is>
      </c>
      <c r="AF218" s="133" t="inlineStr">
        <is>
          <t>PRODUCTION</t>
        </is>
      </c>
      <c r="AG218" s="135" t="n">
        <v>25079448186</v>
      </c>
      <c r="AH218" s="136" t="n">
        <v>1830183625</v>
      </c>
    </row>
    <row r="219" ht="15.75" customHeight="1" s="169">
      <c r="A219" s="122">
        <f>A218+1</f>
        <v/>
      </c>
      <c r="B219" s="123" t="n">
        <v>328000373</v>
      </c>
      <c r="C219" s="122" t="inlineStr">
        <is>
          <t>3215055406040008</t>
        </is>
      </c>
      <c r="D219" s="146" t="inlineStr">
        <is>
          <t>YUNI SRI WULAN</t>
        </is>
      </c>
      <c r="E219" s="147" t="inlineStr">
        <is>
          <t>KARAWANG</t>
        </is>
      </c>
      <c r="F219" s="125" t="inlineStr">
        <is>
          <t>TKD</t>
        </is>
      </c>
      <c r="G219" s="125" t="inlineStr">
        <is>
          <t xml:space="preserve">Karang Taruna Hegarmanah </t>
        </is>
      </c>
      <c r="H219" s="96" t="inlineStr">
        <is>
          <t>Titipan Karang Taruna Hegarmanah</t>
        </is>
      </c>
      <c r="I219" s="127" t="n">
        <v>37614</v>
      </c>
      <c r="J219" s="128">
        <f>DATEDIF(I219, TODAY(), "Y") &amp; " tahun, " &amp; DATEDIF(I219, TODAY(), "YM") &amp; " bulan, " &amp; DATEDIF(I219, TODAY(), "MD") &amp; " hari"
</f>
        <v/>
      </c>
      <c r="K219" s="148" t="inlineStr">
        <is>
          <t>P</t>
        </is>
      </c>
      <c r="L219" s="148" t="inlineStr">
        <is>
          <t>PACKER</t>
        </is>
      </c>
      <c r="M219" s="122">
        <f>VLOOKUP(B219,Sheet21!A:N,14,0)</f>
        <v/>
      </c>
      <c r="N219" s="129" t="inlineStr">
        <is>
          <t>PRODUKSI</t>
        </is>
      </c>
      <c r="O219" s="17" t="inlineStr">
        <is>
          <t>Packer</t>
        </is>
      </c>
      <c r="P219" s="148" t="inlineStr">
        <is>
          <t>HARIAN</t>
        </is>
      </c>
      <c r="Q219" s="147" t="inlineStr">
        <is>
          <t>DUSUN KRAJAN 2 RT/RW. 021/003; KEL. CURUG; KEC. KLARI; KAB. PURWAKARTA</t>
        </is>
      </c>
      <c r="R219" s="151" t="n">
        <v>21</v>
      </c>
      <c r="S219" s="151" t="n">
        <v>3</v>
      </c>
      <c r="T219" s="148" t="n">
        <v>41371</v>
      </c>
      <c r="U219" s="148" t="inlineStr">
        <is>
          <t>KLARI</t>
        </is>
      </c>
      <c r="V219" s="148" t="inlineStr">
        <is>
          <t>CURUG</t>
        </is>
      </c>
      <c r="W219" s="148" t="inlineStr">
        <is>
          <t>KARAWANG</t>
        </is>
      </c>
      <c r="X219" s="148" t="inlineStr">
        <is>
          <t>DUSUN KRAJAN 2 RT/RW. 021/003; KEL. CURUG; KEC. KLARI; KAB. PURWAKARTA</t>
        </is>
      </c>
      <c r="Y219" s="148" t="n">
        <v>83164445876</v>
      </c>
      <c r="Z219" s="147" t="inlineStr">
        <is>
          <t>ISLAM</t>
        </is>
      </c>
      <c r="AA219" s="148" t="inlineStr">
        <is>
          <t>SMK</t>
        </is>
      </c>
      <c r="AB219" s="149" t="n"/>
      <c r="AC219" s="17" t="n">
        <v>217</v>
      </c>
      <c r="AD219" s="133" t="n">
        <v>328000372</v>
      </c>
      <c r="AE219" s="134" t="inlineStr">
        <is>
          <t>DINI FITRIYANI</t>
        </is>
      </c>
      <c r="AF219" s="133" t="inlineStr">
        <is>
          <t>PRODUCTION</t>
        </is>
      </c>
      <c r="AG219" s="135" t="n">
        <v>25079448194</v>
      </c>
      <c r="AH219" s="136" t="n">
        <v>1661299874</v>
      </c>
    </row>
    <row r="220" ht="15.75" customHeight="1" s="169">
      <c r="A220" s="122">
        <f>A219+1</f>
        <v/>
      </c>
      <c r="B220" s="123" t="n">
        <v>328000374</v>
      </c>
      <c r="C220" s="122" t="inlineStr">
        <is>
          <t>3214126707020001</t>
        </is>
      </c>
      <c r="D220" s="146" t="inlineStr">
        <is>
          <t>RIA JULIANTI</t>
        </is>
      </c>
      <c r="E220" s="147" t="inlineStr">
        <is>
          <t>PURWAKARTA</t>
        </is>
      </c>
      <c r="F220" s="125" t="inlineStr">
        <is>
          <t>TKD</t>
        </is>
      </c>
      <c r="G220" s="125" t="inlineStr">
        <is>
          <t>Pak Wahyudin</t>
        </is>
      </c>
      <c r="H220" s="96" t="inlineStr">
        <is>
          <t>Karyawan Harian</t>
        </is>
      </c>
      <c r="I220" s="127" t="n">
        <v>38152</v>
      </c>
      <c r="J220" s="128">
        <f>DATEDIF(I220, TODAY(), "Y") &amp; " tahun, " &amp; DATEDIF(I220, TODAY(), "YM") &amp; " bulan, " &amp; DATEDIF(I220, TODAY(), "MD") &amp; " hari"
</f>
        <v/>
      </c>
      <c r="K220" s="148" t="inlineStr">
        <is>
          <t>P</t>
        </is>
      </c>
      <c r="L220" s="148" t="inlineStr">
        <is>
          <t>PACKER</t>
        </is>
      </c>
      <c r="M220" s="122">
        <f>VLOOKUP(B220,Sheet21!A:N,14,0)</f>
        <v/>
      </c>
      <c r="N220" s="129" t="inlineStr">
        <is>
          <t>PRODUKSI</t>
        </is>
      </c>
      <c r="O220" s="17" t="inlineStr">
        <is>
          <t>Packer</t>
        </is>
      </c>
      <c r="P220" s="148" t="inlineStr">
        <is>
          <t>HARIAN</t>
        </is>
      </c>
      <c r="Q220" s="147" t="inlineStr">
        <is>
          <t>KP. CIASEM RT/RW. 006/003 ; KEL. CICADAS; KEC. BABAKANCIKAO; KAB. PURWAKARTA</t>
        </is>
      </c>
      <c r="R220" s="151" t="n">
        <v>6</v>
      </c>
      <c r="S220" s="151" t="n">
        <v>3</v>
      </c>
      <c r="T220" s="148" t="n">
        <v>41151</v>
      </c>
      <c r="U220" s="148" t="inlineStr">
        <is>
          <t>BABAKANCIKAO</t>
        </is>
      </c>
      <c r="V220" s="148" t="inlineStr">
        <is>
          <t>CICADAS</t>
        </is>
      </c>
      <c r="W220" s="148" t="inlineStr">
        <is>
          <t>PURWAKARTA</t>
        </is>
      </c>
      <c r="X220" s="148" t="inlineStr">
        <is>
          <t>KP. CIASEM RT/RW. 006/003 ; KEL. CUCADAS; KEC. BABAKANCIKAO; KAB. PURWAKARTA</t>
        </is>
      </c>
      <c r="Y220" s="148" t="inlineStr">
        <is>
          <t>0878799104/089648383942</t>
        </is>
      </c>
      <c r="Z220" s="147" t="inlineStr">
        <is>
          <t>ISLAM</t>
        </is>
      </c>
      <c r="AA220" s="148" t="inlineStr">
        <is>
          <t>SMK</t>
        </is>
      </c>
      <c r="AB220" s="149" t="n"/>
      <c r="AC220" s="17" t="n">
        <v>218</v>
      </c>
      <c r="AD220" s="133" t="n">
        <v>328000373</v>
      </c>
      <c r="AE220" s="134" t="inlineStr">
        <is>
          <t>YUNI SRI WULAN</t>
        </is>
      </c>
      <c r="AF220" s="133" t="inlineStr">
        <is>
          <t>PRODUCTION</t>
        </is>
      </c>
      <c r="AG220" s="135" t="n">
        <v>25079448202</v>
      </c>
      <c r="AH220" s="136" t="n">
        <v>3632133508</v>
      </c>
    </row>
    <row r="221" ht="15.75" customHeight="1" s="169">
      <c r="A221" s="122">
        <f>A220+1</f>
        <v/>
      </c>
      <c r="B221" s="123" t="n">
        <v>328000375</v>
      </c>
      <c r="C221" s="122" t="inlineStr">
        <is>
          <t>3215291506040001</t>
        </is>
      </c>
      <c r="D221" s="146" t="inlineStr">
        <is>
          <t>ADAM HIDIR MALKAN</t>
        </is>
      </c>
      <c r="E221" s="147" t="inlineStr">
        <is>
          <t>KARAWANG</t>
        </is>
      </c>
      <c r="F221" s="125" t="inlineStr">
        <is>
          <t>TKD</t>
        </is>
      </c>
      <c r="G221" s="125" t="inlineStr">
        <is>
          <t>Pak Wahyudin</t>
        </is>
      </c>
      <c r="H221" s="96" t="inlineStr">
        <is>
          <t>Supir Pribadi Bupati</t>
        </is>
      </c>
      <c r="I221" s="127" t="n">
        <v>37464</v>
      </c>
      <c r="J221" s="128">
        <f>DATEDIF(I221, TODAY(), "Y") &amp; " tahun, " &amp; DATEDIF(I221, TODAY(), "YM") &amp; " bulan, " &amp; DATEDIF(I221, TODAY(), "MD") &amp; " hari"
</f>
        <v/>
      </c>
      <c r="K221" s="148" t="inlineStr">
        <is>
          <t>L</t>
        </is>
      </c>
      <c r="L221" s="148" t="inlineStr">
        <is>
          <t>PACKER</t>
        </is>
      </c>
      <c r="M221" s="122">
        <f>VLOOKUP(B221,Sheet21!A:N,14,0)</f>
        <v/>
      </c>
      <c r="N221" s="129" t="inlineStr">
        <is>
          <t>PRODUKSI</t>
        </is>
      </c>
      <c r="O221" s="17" t="inlineStr">
        <is>
          <t>Packer</t>
        </is>
      </c>
      <c r="P221" s="148" t="inlineStr">
        <is>
          <t>HARIAN</t>
        </is>
      </c>
      <c r="Q221" s="147" t="inlineStr">
        <is>
          <t>KP. CENGKONG RT/RW. 002/002; KEL. SUKASARI; KEC. PURWASARI; KAB. KARAWANG</t>
        </is>
      </c>
      <c r="R221" s="151" t="n">
        <v>2</v>
      </c>
      <c r="S221" s="151" t="n">
        <v>2</v>
      </c>
      <c r="T221" s="148" t="n">
        <v>41373</v>
      </c>
      <c r="U221" s="148" t="inlineStr">
        <is>
          <t>PURWASARI</t>
        </is>
      </c>
      <c r="V221" s="148" t="inlineStr">
        <is>
          <t>SUKASARI</t>
        </is>
      </c>
      <c r="W221" s="148" t="inlineStr">
        <is>
          <t>KARAWANG</t>
        </is>
      </c>
      <c r="X221" s="148" t="inlineStr">
        <is>
          <t>KP. CENGKONG RT/RW. 002/002; KEL. SUKASARI; KEC. PURWASARI; KAB. KARAWANG</t>
        </is>
      </c>
      <c r="Y221" s="148" t="n">
        <v>85779620931</v>
      </c>
      <c r="Z221" s="147" t="inlineStr">
        <is>
          <t>ISLAM</t>
        </is>
      </c>
      <c r="AA221" s="148" t="inlineStr">
        <is>
          <t>SMK</t>
        </is>
      </c>
      <c r="AB221" s="149" t="n"/>
      <c r="AC221" s="17" t="n">
        <v>219</v>
      </c>
      <c r="AD221" s="133" t="n">
        <v>328000374</v>
      </c>
      <c r="AE221" s="134" t="inlineStr">
        <is>
          <t>RIA JULIANTI</t>
        </is>
      </c>
      <c r="AF221" s="133" t="inlineStr">
        <is>
          <t>PRODUCTION</t>
        </is>
      </c>
      <c r="AG221" s="135" t="n">
        <v>25079448210</v>
      </c>
      <c r="AH221" s="136" t="n">
        <v>1518350141</v>
      </c>
    </row>
    <row r="222" ht="15.75" customHeight="1" s="169">
      <c r="A222" s="122">
        <f>A221+1</f>
        <v/>
      </c>
      <c r="B222" s="123" t="n">
        <v>328000376</v>
      </c>
      <c r="C222" s="122" t="inlineStr">
        <is>
          <t>3214032809990002</t>
        </is>
      </c>
      <c r="D222" s="146" t="inlineStr">
        <is>
          <t>HENDRY KURNIAWAN</t>
        </is>
      </c>
      <c r="E222" s="147" t="inlineStr">
        <is>
          <t>PURWAKARTA</t>
        </is>
      </c>
      <c r="F222" s="125" t="inlineStr">
        <is>
          <t>TKD</t>
        </is>
      </c>
      <c r="G222" s="125" t="inlineStr">
        <is>
          <t xml:space="preserve">Kades Hegarmanah </t>
        </is>
      </c>
      <c r="H222" s="96" t="inlineStr">
        <is>
          <t>Titipan Pak Yoga Karang Taruna Hegarmanah</t>
        </is>
      </c>
      <c r="I222" s="127" t="n">
        <v>38153</v>
      </c>
      <c r="J222" s="128">
        <f>DATEDIF(I222, TODAY(), "Y") &amp; " tahun, " &amp; DATEDIF(I222, TODAY(), "YM") &amp; " bulan, " &amp; DATEDIF(I222, TODAY(), "MD") &amp; " hari"
</f>
        <v/>
      </c>
      <c r="K222" s="148" t="inlineStr">
        <is>
          <t>L</t>
        </is>
      </c>
      <c r="L222" s="148" t="inlineStr">
        <is>
          <t>MAINTENANCE</t>
        </is>
      </c>
      <c r="M222" s="122">
        <f>VLOOKUP(B222,Sheet21!A:N,14,0)</f>
        <v/>
      </c>
      <c r="N222" s="129" t="inlineStr">
        <is>
          <t>ENG</t>
        </is>
      </c>
      <c r="O222" s="17" t="inlineStr">
        <is>
          <t>Maintenance Shift</t>
        </is>
      </c>
      <c r="P222" s="148" t="inlineStr">
        <is>
          <t>HARIAN</t>
        </is>
      </c>
      <c r="Q222" s="147" t="inlineStr">
        <is>
          <t>KP. SELAEURIH RT/RW. 014/005; KEL. BUNDER; KEC. JATILUHUR; KAB. PURWAKARTA</t>
        </is>
      </c>
      <c r="R222" s="151" t="n">
        <v>14</v>
      </c>
      <c r="S222" s="151" t="n">
        <v>5</v>
      </c>
      <c r="T222" s="148" t="n">
        <v>41152</v>
      </c>
      <c r="U222" s="148" t="inlineStr">
        <is>
          <t>JATILUHUR</t>
        </is>
      </c>
      <c r="V222" s="148" t="inlineStr">
        <is>
          <t>BUNDER</t>
        </is>
      </c>
      <c r="W222" s="148" t="inlineStr">
        <is>
          <t>PURWAKARTA</t>
        </is>
      </c>
      <c r="X222" s="148" t="inlineStr">
        <is>
          <t>KP. SELAEURIH RT/RW. 014/005; KEL. BUNDER; KEC. JATILUHUR; KAB. PURWAKARTA</t>
        </is>
      </c>
      <c r="Y222" s="148" t="n">
        <v>83816215221</v>
      </c>
      <c r="Z222" s="147" t="inlineStr">
        <is>
          <t>ISLAM</t>
        </is>
      </c>
      <c r="AA222" s="148" t="inlineStr">
        <is>
          <t>SMK</t>
        </is>
      </c>
      <c r="AB222" s="149" t="n"/>
      <c r="AC222" s="17" t="n">
        <v>220</v>
      </c>
      <c r="AD222" s="133" t="n">
        <v>328000375</v>
      </c>
      <c r="AE222" s="134" t="inlineStr">
        <is>
          <t>ADAM HIDIR MALKAN</t>
        </is>
      </c>
      <c r="AF222" s="133" t="inlineStr">
        <is>
          <t>PRODUCTION</t>
        </is>
      </c>
      <c r="AG222" s="135" t="n">
        <v>25079448228</v>
      </c>
      <c r="AH222" s="136" t="n">
        <v>483434436</v>
      </c>
    </row>
    <row r="223" ht="15.75" customHeight="1" s="169">
      <c r="A223" s="122">
        <f>A222+1</f>
        <v/>
      </c>
      <c r="B223" s="123" t="n">
        <v>328000377</v>
      </c>
      <c r="C223" s="122" t="inlineStr">
        <is>
          <t>3214124209030001</t>
        </is>
      </c>
      <c r="D223" s="146" t="inlineStr">
        <is>
          <t>INDRI NURAENI</t>
        </is>
      </c>
      <c r="E223" s="147" t="inlineStr">
        <is>
          <t>PURWAKARTA</t>
        </is>
      </c>
      <c r="F223" s="125" t="inlineStr">
        <is>
          <t>TKD</t>
        </is>
      </c>
      <c r="G223" s="125" t="inlineStr">
        <is>
          <t>Pak Wahyudin</t>
        </is>
      </c>
      <c r="H223" s="96" t="inlineStr">
        <is>
          <t>Karyawan Harian</t>
        </is>
      </c>
      <c r="I223" s="127" t="n">
        <v>36431</v>
      </c>
      <c r="J223" s="128">
        <f>DATEDIF(I223, TODAY(), "Y") &amp; " tahun, " &amp; DATEDIF(I223, TODAY(), "YM") &amp; " bulan, " &amp; DATEDIF(I223, TODAY(), "MD") &amp; " hari"
</f>
        <v/>
      </c>
      <c r="K223" s="148" t="inlineStr">
        <is>
          <t>P</t>
        </is>
      </c>
      <c r="L223" s="148" t="inlineStr">
        <is>
          <t>PACKER</t>
        </is>
      </c>
      <c r="M223" s="122">
        <f>VLOOKUP(B223,Sheet21!A:N,14,0)</f>
        <v/>
      </c>
      <c r="N223" s="129" t="inlineStr">
        <is>
          <t>PRODUKSI</t>
        </is>
      </c>
      <c r="O223" s="17" t="inlineStr">
        <is>
          <t>Packer</t>
        </is>
      </c>
      <c r="P223" s="148" t="inlineStr">
        <is>
          <t>HARIAN</t>
        </is>
      </c>
      <c r="Q223" s="147" t="inlineStr">
        <is>
          <t>KP. CIASEM RT/RW. 007/003; KEL. CICADA; KEC. BABAKANCIKAO; KAB. PURWAKARTA</t>
        </is>
      </c>
      <c r="R223" s="151" t="n">
        <v>7</v>
      </c>
      <c r="S223" s="151" t="n">
        <v>3</v>
      </c>
      <c r="T223" s="148" t="n">
        <v>41151</v>
      </c>
      <c r="U223" s="148" t="inlineStr">
        <is>
          <t>BABAKANCIKAO</t>
        </is>
      </c>
      <c r="V223" s="148" t="inlineStr">
        <is>
          <t>CICADAS</t>
        </is>
      </c>
      <c r="W223" s="148" t="inlineStr">
        <is>
          <t>PURWAKARTA</t>
        </is>
      </c>
      <c r="X223" s="148" t="inlineStr">
        <is>
          <t>KP. CIASEM RT/RW. 007/003; KEL. CICADA; KEC. BABAKANCIKAO; KAB. PURWAKARTA</t>
        </is>
      </c>
      <c r="Y223" s="148" t="inlineStr">
        <is>
          <t>081299252322/082125932649</t>
        </is>
      </c>
      <c r="Z223" s="147" t="inlineStr">
        <is>
          <t>ISLAM</t>
        </is>
      </c>
      <c r="AA223" s="148" t="inlineStr">
        <is>
          <t>SMK</t>
        </is>
      </c>
      <c r="AB223" s="149" t="n"/>
      <c r="AC223" s="17" t="n">
        <v>221</v>
      </c>
      <c r="AD223" s="133" t="n">
        <v>328000376</v>
      </c>
      <c r="AE223" s="134" t="inlineStr">
        <is>
          <t>HENDRY KURNIAWAN</t>
        </is>
      </c>
      <c r="AF223" s="133" t="inlineStr">
        <is>
          <t>ENGINEERING</t>
        </is>
      </c>
      <c r="AG223" s="135" t="n">
        <v>25079448236</v>
      </c>
      <c r="AH223" s="136" t="n">
        <v>1436823527</v>
      </c>
    </row>
    <row r="224" ht="15.75" customHeight="1" s="169">
      <c r="A224" s="122">
        <f>A223+1</f>
        <v/>
      </c>
      <c r="B224" s="123" t="n">
        <v>328000378</v>
      </c>
      <c r="C224" s="122" t="inlineStr">
        <is>
          <t>3279010501030002</t>
        </is>
      </c>
      <c r="D224" s="146" t="inlineStr">
        <is>
          <t>JAUHAR ALAMANDA A. HILDA</t>
        </is>
      </c>
      <c r="E224" s="147" t="inlineStr">
        <is>
          <t>CIAMIS</t>
        </is>
      </c>
      <c r="F224" s="125" t="inlineStr">
        <is>
          <t>LINK</t>
        </is>
      </c>
      <c r="G224" s="96" t="n"/>
      <c r="H224" s="96" t="inlineStr">
        <is>
          <t>PT KMJ</t>
        </is>
      </c>
      <c r="I224" s="127" t="n">
        <v>37742</v>
      </c>
      <c r="J224" s="128">
        <f>DATEDIF(I224, TODAY(), "Y") &amp; " tahun, " &amp; DATEDIF(I224, TODAY(), "YM") &amp; " bulan, " &amp; DATEDIF(I224, TODAY(), "MD") &amp; " hari"
</f>
        <v/>
      </c>
      <c r="K224" s="148" t="inlineStr">
        <is>
          <t>L</t>
        </is>
      </c>
      <c r="L224" s="148" t="inlineStr">
        <is>
          <t>OP FORKLIFT WFG</t>
        </is>
      </c>
      <c r="M224" s="122">
        <f>VLOOKUP(B224,Sheet21!A:N,14,0)</f>
        <v/>
      </c>
      <c r="N224" s="129" t="inlineStr">
        <is>
          <t>LOGISTIK</t>
        </is>
      </c>
      <c r="O224" s="17" t="inlineStr">
        <is>
          <t>Operator Forklift</t>
        </is>
      </c>
      <c r="P224" s="148" t="inlineStr">
        <is>
          <t>HARIAN</t>
        </is>
      </c>
      <c r="Q224" s="147" t="inlineStr">
        <is>
          <t>LINGK. SUMANDING WETAN RT/RW. 001/016; KEL. MEKARSARI; KEC. BANJAR; KAB. BANJAR</t>
        </is>
      </c>
      <c r="R224" s="151" t="n">
        <v>1</v>
      </c>
      <c r="S224" s="151" t="n">
        <v>16</v>
      </c>
      <c r="T224" s="148" t="n">
        <v>46321</v>
      </c>
      <c r="U224" s="148" t="inlineStr">
        <is>
          <t>BANJAR</t>
        </is>
      </c>
      <c r="V224" s="148" t="inlineStr">
        <is>
          <t>MEKARSARI</t>
        </is>
      </c>
      <c r="W224" s="148" t="inlineStr">
        <is>
          <t>BANJAR</t>
        </is>
      </c>
      <c r="X224" s="148" t="inlineStr">
        <is>
          <t>LINGK. SUMANDING WETAN RT/RW. 001/016; KEL. MEKARSARI; KEC. BANJAR; KAB. BANJAR</t>
        </is>
      </c>
      <c r="Y224" s="148" t="n">
        <v>8990642944</v>
      </c>
      <c r="Z224" s="147" t="inlineStr">
        <is>
          <t>ISLAM</t>
        </is>
      </c>
      <c r="AA224" s="148" t="inlineStr">
        <is>
          <t>SMK</t>
        </is>
      </c>
      <c r="AB224" s="149" t="n"/>
      <c r="AC224" s="17" t="n">
        <v>222</v>
      </c>
      <c r="AD224" s="133" t="n">
        <v>328000377</v>
      </c>
      <c r="AE224" s="134" t="inlineStr">
        <is>
          <t>INDRI NURAENI</t>
        </is>
      </c>
      <c r="AF224" s="133" t="inlineStr">
        <is>
          <t>PRODUCTION</t>
        </is>
      </c>
      <c r="AG224" s="135" t="n">
        <v>25079448244</v>
      </c>
      <c r="AH224" s="136" t="n">
        <v>481444154</v>
      </c>
    </row>
    <row r="225" ht="15.75" customHeight="1" s="169">
      <c r="A225" s="122">
        <f>A224+1</f>
        <v/>
      </c>
      <c r="B225" s="123" t="n">
        <v>328000379</v>
      </c>
      <c r="C225" s="122" t="inlineStr">
        <is>
          <t>3214015008050001</t>
        </is>
      </c>
      <c r="D225" s="146" t="inlineStr">
        <is>
          <t>REVALINA SISWANTI</t>
        </is>
      </c>
      <c r="E225" s="147" t="inlineStr">
        <is>
          <t>PURWAKARTA</t>
        </is>
      </c>
      <c r="F225" s="125" t="inlineStr">
        <is>
          <t>TKD</t>
        </is>
      </c>
      <c r="G225" s="125" t="inlineStr">
        <is>
          <t>Ormas Lodaya</t>
        </is>
      </c>
      <c r="H225" s="96" t="inlineStr">
        <is>
          <t>Titipan Ketua Ormas Lodaya Pak Lili</t>
        </is>
      </c>
      <c r="I225" s="127" t="n">
        <v>38574</v>
      </c>
      <c r="J225" s="128">
        <f>DATEDIF(I225, TODAY(), "Y") &amp; " tahun, " &amp; DATEDIF(I225, TODAY(), "YM") &amp; " bulan, " &amp; DATEDIF(I225, TODAY(), "MD") &amp; " hari"
</f>
        <v/>
      </c>
      <c r="K225" s="148" t="inlineStr">
        <is>
          <t>P</t>
        </is>
      </c>
      <c r="L225" s="148" t="inlineStr">
        <is>
          <t>PACKER</t>
        </is>
      </c>
      <c r="M225" s="122">
        <f>VLOOKUP(B225,Sheet21!A:N,14,0)</f>
        <v/>
      </c>
      <c r="N225" s="129" t="inlineStr">
        <is>
          <t>PRODUKSI</t>
        </is>
      </c>
      <c r="O225" s="17" t="inlineStr">
        <is>
          <t>Packer</t>
        </is>
      </c>
      <c r="P225" s="148" t="inlineStr">
        <is>
          <t>HARIAN</t>
        </is>
      </c>
      <c r="Q225" s="147" t="inlineStr">
        <is>
          <t>KP. MARGALUYU RT/RW. 015/004; KEL. MUNJULJAYA; KEC. PURWAKARTA; KAB. PURWAKARTA</t>
        </is>
      </c>
      <c r="R225" s="151" t="n">
        <v>15</v>
      </c>
      <c r="S225" s="151" t="n">
        <v>4</v>
      </c>
      <c r="T225" s="148" t="n">
        <v>41117</v>
      </c>
      <c r="U225" s="148" t="inlineStr">
        <is>
          <t>PURWAKARTA</t>
        </is>
      </c>
      <c r="V225" s="148" t="inlineStr">
        <is>
          <t>MUNJULJAYA</t>
        </is>
      </c>
      <c r="W225" s="148" t="inlineStr">
        <is>
          <t>PURWAKARTA</t>
        </is>
      </c>
      <c r="X225" s="148" t="inlineStr">
        <is>
          <t>KP. MARGALUYU RT/RW. 015/004; KEL. MUNJULJAYA; KEC. PURWAKARTA; KAB. PURWAKARTA</t>
        </is>
      </c>
      <c r="Y225" s="148" t="inlineStr">
        <is>
          <t>085211934946/089604402271</t>
        </is>
      </c>
      <c r="Z225" s="147" t="inlineStr">
        <is>
          <t>ISLAM</t>
        </is>
      </c>
      <c r="AA225" s="148" t="inlineStr">
        <is>
          <t>SMK</t>
        </is>
      </c>
      <c r="AB225" s="149" t="n"/>
      <c r="AC225" s="17" t="n">
        <v>223</v>
      </c>
      <c r="AD225" s="133" t="n">
        <v>328000378</v>
      </c>
      <c r="AE225" s="134" t="inlineStr">
        <is>
          <t>JAUHAR ALAMANDA A. HILDA</t>
        </is>
      </c>
      <c r="AF225" s="133" t="inlineStr">
        <is>
          <t>LOGISTIC</t>
        </is>
      </c>
      <c r="AG225" s="135" t="n">
        <v>25079448251</v>
      </c>
      <c r="AH225" s="136" t="n">
        <v>68937816</v>
      </c>
    </row>
    <row r="226" ht="15.75" customHeight="1" s="169">
      <c r="A226" s="122">
        <f>A225+1</f>
        <v/>
      </c>
      <c r="B226" s="123" t="n">
        <v>328000381</v>
      </c>
      <c r="C226" s="122" t="inlineStr">
        <is>
          <t>3214016207070003</t>
        </is>
      </c>
      <c r="D226" s="146" t="inlineStr">
        <is>
          <t>ELVHIRA SATYA PASHA</t>
        </is>
      </c>
      <c r="E226" s="147" t="inlineStr">
        <is>
          <t>PURWAKARTA</t>
        </is>
      </c>
      <c r="F226" s="125" t="inlineStr">
        <is>
          <t>TKD</t>
        </is>
      </c>
      <c r="G226" s="125" t="inlineStr">
        <is>
          <t xml:space="preserve">Karang Taruna Hegarmanah </t>
        </is>
      </c>
      <c r="H226" s="96" t="inlineStr">
        <is>
          <t>TITIPAN KARANG TARUNA HEGARMANAH</t>
        </is>
      </c>
      <c r="I226" s="127" t="n">
        <v>39285</v>
      </c>
      <c r="J226" s="128">
        <f>DATEDIF(I226, TODAY(), "Y") &amp; " tahun, " &amp; DATEDIF(I226, TODAY(), "YM") &amp; " bulan, " &amp; DATEDIF(I226, TODAY(), "MD") &amp; " hari"
</f>
        <v/>
      </c>
      <c r="K226" s="148" t="inlineStr">
        <is>
          <t>P</t>
        </is>
      </c>
      <c r="L226" s="148" t="inlineStr">
        <is>
          <t>PACKER</t>
        </is>
      </c>
      <c r="M226" s="122">
        <f>VLOOKUP(B226,Sheet21!A:N,14,0)</f>
        <v/>
      </c>
      <c r="N226" s="129" t="inlineStr">
        <is>
          <t>PRODUKSI</t>
        </is>
      </c>
      <c r="O226" s="17" t="inlineStr">
        <is>
          <t>Packer</t>
        </is>
      </c>
      <c r="P226" s="148" t="inlineStr">
        <is>
          <t>HARIAN</t>
        </is>
      </c>
      <c r="Q226" s="147" t="inlineStr">
        <is>
          <t>JL. SUKAMULYA RT/RW. 001/006; KEL. CISEREUH; KEC. PURWAKARTA; KAB. PURWAKARTA</t>
        </is>
      </c>
      <c r="R226" s="151" t="n">
        <v>1</v>
      </c>
      <c r="S226" s="151" t="n">
        <v>6</v>
      </c>
      <c r="T226" s="148" t="n">
        <v>41118</v>
      </c>
      <c r="U226" s="148" t="inlineStr">
        <is>
          <t>PURWAKARTA</t>
        </is>
      </c>
      <c r="V226" s="148" t="inlineStr">
        <is>
          <t>CISEREUH</t>
        </is>
      </c>
      <c r="W226" s="148" t="inlineStr">
        <is>
          <t>PURWAKARTA</t>
        </is>
      </c>
      <c r="X226" s="148" t="inlineStr">
        <is>
          <t>JL. SUKAMULYA RT/RW. 001/006; KEL. CISEREUH; KEC. PURWAKARTA; KAB. PURWAKARTA</t>
        </is>
      </c>
      <c r="Y226" s="148" t="inlineStr">
        <is>
          <t>0895102573/083825384221</t>
        </is>
      </c>
      <c r="Z226" s="147" t="inlineStr">
        <is>
          <t>ISLAM</t>
        </is>
      </c>
      <c r="AA226" s="148" t="inlineStr">
        <is>
          <t>SMK</t>
        </is>
      </c>
      <c r="AB226" s="149" t="n"/>
      <c r="AC226" s="17" t="n">
        <v>224</v>
      </c>
      <c r="AD226" s="133" t="n">
        <v>328000379</v>
      </c>
      <c r="AE226" s="134" t="inlineStr">
        <is>
          <t>REVALINA SISWANTI</t>
        </is>
      </c>
      <c r="AF226" s="133" t="inlineStr">
        <is>
          <t>PRODUCTION</t>
        </is>
      </c>
      <c r="AG226" s="135" t="n">
        <v>25097052408</v>
      </c>
      <c r="AH226" s="136" t="n">
        <v>2705157685</v>
      </c>
    </row>
    <row r="227" ht="15.75" customHeight="1" s="169">
      <c r="A227" s="122">
        <f>A226+1</f>
        <v/>
      </c>
      <c r="B227" s="123" t="n">
        <v>328000383</v>
      </c>
      <c r="C227" s="122" t="inlineStr">
        <is>
          <t>3214015508060008</t>
        </is>
      </c>
      <c r="D227" s="146" t="inlineStr">
        <is>
          <t>NAYLA DHEA SAPUTRI</t>
        </is>
      </c>
      <c r="E227" s="147" t="inlineStr">
        <is>
          <t>TASIKMALAYA</t>
        </is>
      </c>
      <c r="F227" s="125" t="inlineStr">
        <is>
          <t>TKD</t>
        </is>
      </c>
      <c r="G227" s="125" t="inlineStr">
        <is>
          <t xml:space="preserve">Karang Taruna Hegarmanah </t>
        </is>
      </c>
      <c r="H227" s="96" t="inlineStr">
        <is>
          <t>TITIPAN KARANG TARUNA HEGARMANAH</t>
        </is>
      </c>
      <c r="I227" s="127" t="n">
        <v>38582</v>
      </c>
      <c r="J227" s="128">
        <f>DATEDIF(I227, TODAY(), "Y") &amp; " tahun, " &amp; DATEDIF(I227, TODAY(), "YM") &amp; " bulan, " &amp; DATEDIF(I227, TODAY(), "MD") &amp; " hari"
</f>
        <v/>
      </c>
      <c r="K227" s="148" t="inlineStr">
        <is>
          <t>P</t>
        </is>
      </c>
      <c r="L227" s="148" t="inlineStr">
        <is>
          <t>PACKER</t>
        </is>
      </c>
      <c r="M227" s="122">
        <f>VLOOKUP(B227,Sheet21!A:N,14,0)</f>
        <v/>
      </c>
      <c r="N227" s="129" t="inlineStr">
        <is>
          <t>PRODUKSI</t>
        </is>
      </c>
      <c r="O227" s="17" t="inlineStr">
        <is>
          <t>Packer</t>
        </is>
      </c>
      <c r="P227" s="148" t="inlineStr">
        <is>
          <t>HARIAN</t>
        </is>
      </c>
      <c r="Q227" s="147" t="inlineStr">
        <is>
          <t>GG. NUSA INDAH 2 RT/RW. 003/001; KEL. NAGRI KALER; KEC. PURWAKARTA; KAB. PURWAKARTA</t>
        </is>
      </c>
      <c r="R227" s="151" t="n">
        <v>3</v>
      </c>
      <c r="S227" s="151" t="n">
        <v>1</v>
      </c>
      <c r="T227" s="148" t="n">
        <v>41115</v>
      </c>
      <c r="U227" s="148" t="inlineStr">
        <is>
          <t>PURWAKARTA</t>
        </is>
      </c>
      <c r="V227" s="148" t="inlineStr">
        <is>
          <t>NAGRI KALER</t>
        </is>
      </c>
      <c r="W227" s="148" t="inlineStr">
        <is>
          <t>PURWAKARTA</t>
        </is>
      </c>
      <c r="X227" s="148" t="inlineStr">
        <is>
          <t>GG. NUSA INDAH 2 RT/RW. 003/001; KEL. NAGRI KALER; KEC. PURWAKARTA; KAB. PURWAKARTA</t>
        </is>
      </c>
      <c r="Y227" s="148" t="inlineStr">
        <is>
          <t>081959393959/081389946828</t>
        </is>
      </c>
      <c r="Z227" s="147" t="inlineStr">
        <is>
          <t>ISLAM</t>
        </is>
      </c>
      <c r="AA227" s="148" t="inlineStr">
        <is>
          <t>SMA</t>
        </is>
      </c>
      <c r="AB227" s="149" t="n"/>
      <c r="AC227" s="17" t="n">
        <v>225</v>
      </c>
      <c r="AD227" s="133" t="n">
        <v>328000381</v>
      </c>
      <c r="AE227" s="134" t="inlineStr">
        <is>
          <t>ELVHIRA SETYA PASHA</t>
        </is>
      </c>
      <c r="AF227" s="133" t="inlineStr">
        <is>
          <t>PRODUCTION</t>
        </is>
      </c>
      <c r="AG227" s="135" t="n">
        <v>25097052317</v>
      </c>
      <c r="AH227" s="136" t="n">
        <v>1288101598</v>
      </c>
    </row>
    <row r="228" ht="15.75" customHeight="1" s="169">
      <c r="A228" s="122">
        <f>A227+1</f>
        <v/>
      </c>
      <c r="B228" s="123" t="n">
        <v>328000384</v>
      </c>
      <c r="C228" s="122" t="inlineStr">
        <is>
          <t>3214125908030004</t>
        </is>
      </c>
      <c r="D228" s="146" t="inlineStr">
        <is>
          <t>ANGGI AULIA</t>
        </is>
      </c>
      <c r="E228" s="147" t="inlineStr">
        <is>
          <t>PURWAKARTA</t>
        </is>
      </c>
      <c r="F228" s="125" t="inlineStr">
        <is>
          <t>TKD</t>
        </is>
      </c>
      <c r="G228" s="125" t="inlineStr">
        <is>
          <t>Pak Wahyudin</t>
        </is>
      </c>
      <c r="H228" s="96" t="inlineStr">
        <is>
          <t>KARYAWAN HARIAN BORONGAN</t>
        </is>
      </c>
      <c r="I228" s="127" t="n">
        <v>37852</v>
      </c>
      <c r="J228" s="128">
        <f>DATEDIF(I228, TODAY(), "Y") &amp; " tahun, " &amp; DATEDIF(I228, TODAY(), "YM") &amp; " bulan, " &amp; DATEDIF(I228, TODAY(), "MD") &amp; " hari"
</f>
        <v/>
      </c>
      <c r="K228" s="148" t="inlineStr">
        <is>
          <t>P</t>
        </is>
      </c>
      <c r="L228" s="148" t="inlineStr">
        <is>
          <t>PACKER</t>
        </is>
      </c>
      <c r="M228" s="122">
        <f>VLOOKUP(B228,Sheet21!A:N,14,0)</f>
        <v/>
      </c>
      <c r="N228" s="129" t="inlineStr">
        <is>
          <t>PRODUKSI</t>
        </is>
      </c>
      <c r="O228" s="17" t="inlineStr">
        <is>
          <t>Packer</t>
        </is>
      </c>
      <c r="P228" s="148" t="inlineStr">
        <is>
          <t>HARIAN</t>
        </is>
      </c>
      <c r="Q228" s="147" t="inlineStr">
        <is>
          <t>MESS PT IBR BLOK G NO 67 RT/RW. 002/001; KEL. CILANGKAP; KEC. BABAKANCIKAO; KAB. PURWAKARTA</t>
        </is>
      </c>
      <c r="R228" s="151" t="n">
        <v>2</v>
      </c>
      <c r="S228" s="151" t="n">
        <v>1</v>
      </c>
      <c r="T228" s="148" t="n">
        <v>41151</v>
      </c>
      <c r="U228" s="148" t="inlineStr">
        <is>
          <t>BABAKANCIKAO</t>
        </is>
      </c>
      <c r="V228" s="148" t="inlineStr">
        <is>
          <t>CILANGKAP</t>
        </is>
      </c>
      <c r="W228" s="148" t="inlineStr">
        <is>
          <t>PURWAKARTA</t>
        </is>
      </c>
      <c r="X228" s="148" t="inlineStr">
        <is>
          <t>MESS PT IBR BLOK G NO 67 RT/RW. 002/001; KEL. CILANGKAP; KEC. BABAKANCIKAO; KAB. PURWAKARTA</t>
        </is>
      </c>
      <c r="Y228" s="148" t="n">
        <v>85703203657</v>
      </c>
      <c r="Z228" s="147" t="inlineStr">
        <is>
          <t>ISLAM</t>
        </is>
      </c>
      <c r="AA228" s="148" t="inlineStr">
        <is>
          <t>SMA</t>
        </is>
      </c>
      <c r="AB228" s="149" t="n"/>
      <c r="AC228" s="17" t="n">
        <v>226</v>
      </c>
      <c r="AD228" s="133" t="n">
        <v>328000383</v>
      </c>
      <c r="AE228" s="134" t="inlineStr">
        <is>
          <t>NAYLA DHEA PUTRI</t>
        </is>
      </c>
      <c r="AF228" s="133" t="inlineStr">
        <is>
          <t>PRODUCTION</t>
        </is>
      </c>
      <c r="AG228" s="135" t="n">
        <v>25097052325</v>
      </c>
      <c r="AH228" s="136" t="n">
        <v>2395495541</v>
      </c>
    </row>
    <row r="229" ht="15.75" customHeight="1" s="169">
      <c r="A229" s="122">
        <f>A228+1</f>
        <v/>
      </c>
      <c r="B229" s="123" t="n">
        <v>328000385</v>
      </c>
      <c r="C229" s="122" t="inlineStr">
        <is>
          <t>3214125709010001</t>
        </is>
      </c>
      <c r="D229" s="146" t="inlineStr">
        <is>
          <t>IKE YULIANTI PUTRI</t>
        </is>
      </c>
      <c r="E229" s="147" t="inlineStr">
        <is>
          <t>PURWAKARTA</t>
        </is>
      </c>
      <c r="F229" s="125" t="inlineStr">
        <is>
          <t>TKD</t>
        </is>
      </c>
      <c r="G229" s="125" t="inlineStr">
        <is>
          <t>Ormas Lodaya</t>
        </is>
      </c>
      <c r="H229" s="96" t="inlineStr">
        <is>
          <t>Titipan Ketua Ormas Lodaya Pak Lili</t>
        </is>
      </c>
      <c r="I229" s="127" t="n">
        <v>37151</v>
      </c>
      <c r="J229" s="128">
        <f>DATEDIF(I229, TODAY(), "Y") &amp; " tahun, " &amp; DATEDIF(I229, TODAY(), "YM") &amp; " bulan, " &amp; DATEDIF(I229, TODAY(), "MD") &amp; " hari"
</f>
        <v/>
      </c>
      <c r="K229" s="148" t="inlineStr">
        <is>
          <t>P</t>
        </is>
      </c>
      <c r="L229" s="148" t="inlineStr">
        <is>
          <t>PACKER</t>
        </is>
      </c>
      <c r="M229" s="122">
        <f>VLOOKUP(B229,Sheet21!A:N,14,0)</f>
        <v/>
      </c>
      <c r="N229" s="129" t="inlineStr">
        <is>
          <t>PRODUKSI</t>
        </is>
      </c>
      <c r="O229" s="17" t="inlineStr">
        <is>
          <t>Packer</t>
        </is>
      </c>
      <c r="P229" s="148" t="inlineStr">
        <is>
          <t>HARIAN</t>
        </is>
      </c>
      <c r="Q229" s="147" t="inlineStr">
        <is>
          <t>KP. TABRIK RT/RW. 013/005; KEL. BABAKANCIKAO; KEC. BABAKANCIKAO; KAB. PURWAKARTA</t>
        </is>
      </c>
      <c r="R229" s="151" t="n">
        <v>13</v>
      </c>
      <c r="S229" s="151" t="n">
        <v>5</v>
      </c>
      <c r="T229" s="148" t="n">
        <v>41151</v>
      </c>
      <c r="U229" s="148" t="inlineStr">
        <is>
          <t>BABAKANCIKAO</t>
        </is>
      </c>
      <c r="V229" s="148" t="inlineStr">
        <is>
          <t>BABAKANCIKAO</t>
        </is>
      </c>
      <c r="W229" s="148" t="inlineStr">
        <is>
          <t>PURWAKARTA</t>
        </is>
      </c>
      <c r="X229" s="148" t="inlineStr">
        <is>
          <t>KP. TABRIK RT/RW. 013/005; KEL. BABAKANCIKAO; KEC. BABAKANCIKAO; KAB. PURWAKARTA</t>
        </is>
      </c>
      <c r="Y229" s="148" t="inlineStr">
        <is>
          <t>085217394478/08981868747</t>
        </is>
      </c>
      <c r="Z229" s="147" t="inlineStr">
        <is>
          <t>ISLAM</t>
        </is>
      </c>
      <c r="AA229" s="148" t="inlineStr">
        <is>
          <t>S1</t>
        </is>
      </c>
      <c r="AB229" s="149" t="n"/>
      <c r="AC229" s="17" t="n">
        <v>227</v>
      </c>
      <c r="AD229" s="133" t="n">
        <v>328000384</v>
      </c>
      <c r="AE229" s="134" t="inlineStr">
        <is>
          <t>ANGGI AULIA</t>
        </is>
      </c>
      <c r="AF229" s="133" t="inlineStr">
        <is>
          <t>PRODUCTION</t>
        </is>
      </c>
      <c r="AG229" s="135" t="n">
        <v>25097052333</v>
      </c>
      <c r="AH229" s="136" t="n">
        <v>1659941886</v>
      </c>
    </row>
    <row r="230" ht="15.75" customHeight="1" s="169">
      <c r="A230" s="122">
        <f>A229+1</f>
        <v/>
      </c>
      <c r="B230" s="123" t="n">
        <v>328000386</v>
      </c>
      <c r="C230" s="122" t="inlineStr">
        <is>
          <t>3214010408030002</t>
        </is>
      </c>
      <c r="D230" s="146" t="inlineStr">
        <is>
          <t>MUHAMMAD HANIF ALGHIFARI</t>
        </is>
      </c>
      <c r="E230" s="147" t="inlineStr">
        <is>
          <t>PURWAKARTA</t>
        </is>
      </c>
      <c r="F230" s="125" t="inlineStr">
        <is>
          <t>TKD</t>
        </is>
      </c>
      <c r="G230" s="125" t="inlineStr">
        <is>
          <t>Pak Wahyudin</t>
        </is>
      </c>
      <c r="H230" s="96" t="inlineStr">
        <is>
          <t>TITIPAN PAK WAHYUDIN</t>
        </is>
      </c>
      <c r="I230" s="127" t="n">
        <v>38203</v>
      </c>
      <c r="J230" s="128">
        <f>DATEDIF(I230, TODAY(), "Y") &amp; " tahun, " &amp; DATEDIF(I230, TODAY(), "YM") &amp; " bulan, " &amp; DATEDIF(I230, TODAY(), "MD") &amp; " hari"
</f>
        <v/>
      </c>
      <c r="K230" s="148" t="inlineStr">
        <is>
          <t>L</t>
        </is>
      </c>
      <c r="L230" s="148" t="inlineStr">
        <is>
          <t>PACKER</t>
        </is>
      </c>
      <c r="M230" s="122">
        <f>VLOOKUP(B230,Sheet21!A:N,14,0)</f>
        <v/>
      </c>
      <c r="N230" s="129" t="inlineStr">
        <is>
          <t>PRODUKSI</t>
        </is>
      </c>
      <c r="O230" s="17" t="inlineStr">
        <is>
          <t>Packer</t>
        </is>
      </c>
      <c r="P230" s="148" t="inlineStr">
        <is>
          <t>HARIAN</t>
        </is>
      </c>
      <c r="Q230" s="147" t="inlineStr">
        <is>
          <t>JL. BASUKI RAHMAT GG WORTELNO 67 A RT/RW. 047/012; KEL. SINDANGKASIH; KEC. PURWAKARTA; KAB. PURWAKARTA</t>
        </is>
      </c>
      <c r="R230" s="151" t="n">
        <v>47</v>
      </c>
      <c r="S230" s="151" t="n">
        <v>12</v>
      </c>
      <c r="T230" s="148" t="n">
        <v>41112</v>
      </c>
      <c r="U230" s="148" t="inlineStr">
        <is>
          <t>PURWAKARTA</t>
        </is>
      </c>
      <c r="V230" s="148" t="inlineStr">
        <is>
          <t>SINDANGKASIH</t>
        </is>
      </c>
      <c r="W230" s="148" t="inlineStr">
        <is>
          <t>PURWAKARTA</t>
        </is>
      </c>
      <c r="X230" s="148" t="inlineStr">
        <is>
          <t>JL. BASUKI RAHMAT GG WORTELNO 67 A RT/RW. 047/012; KEL. SINDANGKASIH; KEC. PURWAKARTA; KAB. PURWAKARTA</t>
        </is>
      </c>
      <c r="Y230" s="148" t="n">
        <v>83840950578</v>
      </c>
      <c r="Z230" s="147" t="inlineStr">
        <is>
          <t>ISLAM</t>
        </is>
      </c>
      <c r="AA230" s="148" t="inlineStr">
        <is>
          <t>SMK</t>
        </is>
      </c>
      <c r="AB230" s="149" t="n"/>
      <c r="AC230" s="17" t="n">
        <v>228</v>
      </c>
      <c r="AD230" s="133" t="n">
        <v>328000385</v>
      </c>
      <c r="AE230" s="134" t="inlineStr">
        <is>
          <t>IKE YULIANTI PUTRI</t>
        </is>
      </c>
      <c r="AF230" s="133" t="inlineStr">
        <is>
          <t>PRODUCTION</t>
        </is>
      </c>
      <c r="AG230" s="135" t="n">
        <v>25097052341</v>
      </c>
      <c r="AH230" s="136" t="n">
        <v>1518317414</v>
      </c>
    </row>
    <row r="231" ht="15.75" customHeight="1" s="169">
      <c r="A231" s="122">
        <f>A230+1</f>
        <v/>
      </c>
      <c r="B231" s="123" t="n">
        <v>328000388</v>
      </c>
      <c r="C231" s="122" t="inlineStr">
        <is>
          <t>3214126909040003</t>
        </is>
      </c>
      <c r="D231" s="146" t="inlineStr">
        <is>
          <t>ENDAH SARI</t>
        </is>
      </c>
      <c r="E231" s="147" t="inlineStr">
        <is>
          <t>PURWAKARTA</t>
        </is>
      </c>
      <c r="F231" s="125" t="inlineStr">
        <is>
          <t>TKD</t>
        </is>
      </c>
      <c r="G231" s="125" t="inlineStr">
        <is>
          <t>Ormas Lodaya</t>
        </is>
      </c>
      <c r="H231" s="96" t="inlineStr">
        <is>
          <t>Titipan Ketua Ormas Lodaya Pak Lili</t>
        </is>
      </c>
      <c r="I231" s="127" t="n">
        <v>38259</v>
      </c>
      <c r="J231" s="128">
        <f>DATEDIF(I231, TODAY(), "Y") &amp; " tahun, " &amp; DATEDIF(I231, TODAY(), "YM") &amp; " bulan, " &amp; DATEDIF(I231, TODAY(), "MD") &amp; " hari"
</f>
        <v/>
      </c>
      <c r="K231" s="148" t="inlineStr">
        <is>
          <t>P</t>
        </is>
      </c>
      <c r="L231" s="148" t="inlineStr">
        <is>
          <t>PACKER</t>
        </is>
      </c>
      <c r="M231" s="122">
        <f>VLOOKUP(B231,Sheet21!A:N,14,0)</f>
        <v/>
      </c>
      <c r="N231" s="129" t="inlineStr">
        <is>
          <t>PRODUKSI</t>
        </is>
      </c>
      <c r="O231" s="17" t="inlineStr">
        <is>
          <t>Packer</t>
        </is>
      </c>
      <c r="P231" s="148" t="inlineStr">
        <is>
          <t>HARIAN</t>
        </is>
      </c>
      <c r="Q231" s="147" t="inlineStr">
        <is>
          <t>KP. BAKANSARI RT/RW. 002/005; KEL. CIWARENG; KEC. BABAKANCIKAO; KAB. PURWAKARTA</t>
        </is>
      </c>
      <c r="R231" s="151" t="n">
        <v>2</v>
      </c>
      <c r="S231" s="151" t="n">
        <v>5</v>
      </c>
      <c r="T231" s="148" t="n">
        <v>41151</v>
      </c>
      <c r="U231" s="148" t="inlineStr">
        <is>
          <t>BABAKANCIKAO</t>
        </is>
      </c>
      <c r="V231" s="148" t="inlineStr">
        <is>
          <t>CIWARENG</t>
        </is>
      </c>
      <c r="W231" s="148" t="inlineStr">
        <is>
          <t>PURWAKARTA</t>
        </is>
      </c>
      <c r="X231" s="148" t="inlineStr">
        <is>
          <t>KP. BAKANSARI RT/RW. 002/005; KEL. CIWARENG; KEC. BABAKANCIKAO; KAB. PURWAKARTA</t>
        </is>
      </c>
      <c r="Y231" s="148" t="inlineStr">
        <is>
          <t>087742342471/089513474224</t>
        </is>
      </c>
      <c r="Z231" s="147" t="inlineStr">
        <is>
          <t>ISLAM</t>
        </is>
      </c>
      <c r="AA231" s="148" t="inlineStr">
        <is>
          <t>SMK</t>
        </is>
      </c>
      <c r="AB231" s="149" t="n"/>
      <c r="AC231" s="17" t="n">
        <v>229</v>
      </c>
      <c r="AD231" s="133" t="n">
        <v>328000386</v>
      </c>
      <c r="AE231" s="134" t="inlineStr">
        <is>
          <t>MUHAMMAD HANIF ALGHIFARI</t>
        </is>
      </c>
      <c r="AF231" s="133" t="inlineStr">
        <is>
          <t>PRODUCTION</t>
        </is>
      </c>
      <c r="AG231" s="135" t="n">
        <v>25097052358</v>
      </c>
      <c r="AH231" s="136" t="n">
        <v>1518343828</v>
      </c>
    </row>
    <row r="232" ht="15.75" customHeight="1" s="169">
      <c r="A232" s="122">
        <f>A231+1</f>
        <v/>
      </c>
      <c r="B232" s="123" t="n">
        <v>328000389</v>
      </c>
      <c r="C232" s="122" t="inlineStr">
        <is>
          <t>3214150805030001</t>
        </is>
      </c>
      <c r="D232" s="146" t="inlineStr">
        <is>
          <t>DEDE ARMAN MAULANA</t>
        </is>
      </c>
      <c r="E232" s="147" t="inlineStr">
        <is>
          <t>PURWAKARTA</t>
        </is>
      </c>
      <c r="F232" s="125" t="inlineStr">
        <is>
          <t>TKD</t>
        </is>
      </c>
      <c r="G232" s="125" t="inlineStr">
        <is>
          <t>Pak Wahyudin</t>
        </is>
      </c>
      <c r="H232" s="96" t="inlineStr">
        <is>
          <t>TITIPAN PAK WAHYUDIN</t>
        </is>
      </c>
      <c r="I232" s="127" t="n">
        <v>37749</v>
      </c>
      <c r="J232" s="128">
        <f>DATEDIF(I232, TODAY(), "Y") &amp; " tahun, " &amp; DATEDIF(I232, TODAY(), "YM") &amp; " bulan, " &amp; DATEDIF(I232, TODAY(), "MD") &amp; " hari"
</f>
        <v/>
      </c>
      <c r="K232" s="148" t="inlineStr">
        <is>
          <t>L</t>
        </is>
      </c>
      <c r="L232" s="148" t="inlineStr">
        <is>
          <t>ADMIN TSP</t>
        </is>
      </c>
      <c r="M232" s="122">
        <f>VLOOKUP(B232,Sheet21!A:N,14,0)</f>
        <v/>
      </c>
      <c r="N232" s="129" t="inlineStr">
        <is>
          <t>PRODUKSI</t>
        </is>
      </c>
      <c r="O232" s="17" t="inlineStr">
        <is>
          <t>TSP</t>
        </is>
      </c>
      <c r="P232" s="148" t="inlineStr">
        <is>
          <t>HARIAN</t>
        </is>
      </c>
      <c r="Q232" s="147" t="inlineStr">
        <is>
          <t>KP. CIPANGARANGAN RT/RW/ 011/007; KEL.KERTAMANAH; KEC. SUKASARI; KAB. PURWAKARTA</t>
        </is>
      </c>
      <c r="R232" s="151" t="n">
        <v>11</v>
      </c>
      <c r="S232" s="151" t="n">
        <v>7</v>
      </c>
      <c r="T232" s="148" t="n">
        <v>41116</v>
      </c>
      <c r="U232" s="148" t="inlineStr">
        <is>
          <t>SUKASARI</t>
        </is>
      </c>
      <c r="V232" s="148" t="inlineStr">
        <is>
          <t>KERTAMANAH</t>
        </is>
      </c>
      <c r="W232" s="148" t="inlineStr">
        <is>
          <t>PURWAKARTA</t>
        </is>
      </c>
      <c r="X232" s="148" t="inlineStr">
        <is>
          <t>KP. CIPANGARANGAN RT/RW/ 011/007; KEL.KERTAMANAH; KEC. SUKASARI; KAB. PURWAKARTA</t>
        </is>
      </c>
      <c r="Y232" s="148" t="n">
        <v>85881276498</v>
      </c>
      <c r="Z232" s="147" t="inlineStr">
        <is>
          <t>ISLAM</t>
        </is>
      </c>
      <c r="AA232" s="148" t="inlineStr">
        <is>
          <t>SMK</t>
        </is>
      </c>
      <c r="AB232" s="149" t="n"/>
      <c r="AC232" s="17" t="n">
        <v>230</v>
      </c>
      <c r="AD232" s="133" t="n">
        <v>328000388</v>
      </c>
      <c r="AE232" s="134" t="inlineStr">
        <is>
          <t>ENDAH SARI</t>
        </is>
      </c>
      <c r="AF232" s="133" t="inlineStr">
        <is>
          <t>PRODUCTION</t>
        </is>
      </c>
      <c r="AG232" s="135" t="n">
        <v>25097052309</v>
      </c>
      <c r="AH232" s="136" t="n">
        <v>2705355865</v>
      </c>
    </row>
    <row r="233" ht="15.75" customHeight="1" s="169">
      <c r="A233" s="122">
        <f>A232+1</f>
        <v/>
      </c>
      <c r="B233" s="123" t="n">
        <v>328000391</v>
      </c>
      <c r="C233" s="122" t="inlineStr">
        <is>
          <t>3214120410020003</t>
        </is>
      </c>
      <c r="D233" s="146" t="inlineStr">
        <is>
          <t>RANGGA ADITYA</t>
        </is>
      </c>
      <c r="E233" s="147" t="inlineStr">
        <is>
          <t>PURWAKARTA</t>
        </is>
      </c>
      <c r="F233" s="125" t="inlineStr">
        <is>
          <t>TKD</t>
        </is>
      </c>
      <c r="G233" s="125" t="inlineStr">
        <is>
          <t>Pak Wahyudin</t>
        </is>
      </c>
      <c r="H233" s="96" t="inlineStr">
        <is>
          <t>TITIPAN PAK WAHYUDIN</t>
        </is>
      </c>
      <c r="I233" s="127" t="n">
        <v>37533</v>
      </c>
      <c r="J233" s="128">
        <f>DATEDIF(I233, TODAY(), "Y") &amp; " tahun, " &amp; DATEDIF(I233, TODAY(), "YM") &amp; " bulan, " &amp; DATEDIF(I233, TODAY(), "MD") &amp; " hari"
</f>
        <v/>
      </c>
      <c r="K233" s="148" t="inlineStr">
        <is>
          <t>L</t>
        </is>
      </c>
      <c r="L233" s="148" t="inlineStr">
        <is>
          <t>CHECKER</t>
        </is>
      </c>
      <c r="M233" s="122">
        <f>VLOOKUP(B233,Sheet21!A:N,14,0)</f>
        <v/>
      </c>
      <c r="N233" s="129" t="inlineStr">
        <is>
          <t>LOGISTIK</t>
        </is>
      </c>
      <c r="O233" s="17" t="inlineStr">
        <is>
          <t>Checker</t>
        </is>
      </c>
      <c r="P233" s="148" t="inlineStr">
        <is>
          <t>HARIAN</t>
        </is>
      </c>
      <c r="Q233" s="147" t="inlineStr">
        <is>
          <t>KP. CITRASARI RT/RW. 002/004; DESA.CIWARENG; KEC. BABAKANCIKAO; KAB. PURWAKARTA</t>
        </is>
      </c>
      <c r="R233" s="151" t="n">
        <v>2</v>
      </c>
      <c r="S233" s="151" t="n">
        <v>4</v>
      </c>
      <c r="T233" s="148" t="n">
        <v>41151</v>
      </c>
      <c r="U233" s="148" t="inlineStr">
        <is>
          <t>BABAKANCIKAO</t>
        </is>
      </c>
      <c r="V233" s="148" t="inlineStr">
        <is>
          <t>CIWARENG</t>
        </is>
      </c>
      <c r="W233" s="148" t="inlineStr">
        <is>
          <t>PURWAKARTA</t>
        </is>
      </c>
      <c r="X233" s="148" t="inlineStr">
        <is>
          <t>KP. CITRASARI RT/RW. 002/004; DESA.CIWARENG; KEC. BABAKANCIKAO; KAB. PURWAKARTA</t>
        </is>
      </c>
      <c r="Y233" s="148" t="n">
        <v>85926250617</v>
      </c>
      <c r="Z233" s="147" t="inlineStr">
        <is>
          <t>ISLAM</t>
        </is>
      </c>
      <c r="AA233" s="148" t="inlineStr">
        <is>
          <t>S1</t>
        </is>
      </c>
      <c r="AB233" s="149" t="n"/>
      <c r="AC233" s="17" t="n">
        <v>231</v>
      </c>
      <c r="AD233" s="133" t="n">
        <v>328000389</v>
      </c>
      <c r="AE233" s="134" t="inlineStr">
        <is>
          <t>DEDE ARMAN MAULANA</t>
        </is>
      </c>
      <c r="AF233" s="133" t="inlineStr">
        <is>
          <t>PRODUCTION</t>
        </is>
      </c>
      <c r="AG233" s="135" t="n">
        <v>25097052275</v>
      </c>
      <c r="AH233" s="136" t="n">
        <v>3259647764</v>
      </c>
    </row>
    <row r="234" ht="15.75" customHeight="1" s="169">
      <c r="A234" s="122">
        <f>A233+1</f>
        <v/>
      </c>
      <c r="B234" s="123" t="n">
        <v>328000393</v>
      </c>
      <c r="C234" s="122" t="inlineStr">
        <is>
          <t>3214067011040002</t>
        </is>
      </c>
      <c r="D234" s="146" t="inlineStr">
        <is>
          <t>INDRI YANI</t>
        </is>
      </c>
      <c r="E234" s="147" t="inlineStr">
        <is>
          <t>PURWAKARTA</t>
        </is>
      </c>
      <c r="F234" s="125" t="inlineStr">
        <is>
          <t>TKD</t>
        </is>
      </c>
      <c r="G234" s="125" t="inlineStr">
        <is>
          <t xml:space="preserve">Kades Hegarmanah </t>
        </is>
      </c>
      <c r="H234" s="96" t="inlineStr">
        <is>
          <t>Titipan Pak Yoga Karang Taruna Hegarmanah</t>
        </is>
      </c>
      <c r="I234" s="127" t="n">
        <v>38321</v>
      </c>
      <c r="J234" s="128">
        <f>DATEDIF(I234, TODAY(), "Y") &amp; " tahun, " &amp; DATEDIF(I234, TODAY(), "YM") &amp; " bulan, " &amp; DATEDIF(I234, TODAY(), "MD") &amp; " hari"
</f>
        <v/>
      </c>
      <c r="K234" s="148" t="inlineStr">
        <is>
          <t>P</t>
        </is>
      </c>
      <c r="L234" s="148" t="inlineStr">
        <is>
          <t>PACKER</t>
        </is>
      </c>
      <c r="M234" s="122">
        <f>VLOOKUP(B234,Sheet21!A:N,14,0)</f>
        <v/>
      </c>
      <c r="N234" s="129" t="inlineStr">
        <is>
          <t>PRODUKSI</t>
        </is>
      </c>
      <c r="O234" s="17" t="inlineStr">
        <is>
          <t>Packer</t>
        </is>
      </c>
      <c r="P234" s="148" t="inlineStr">
        <is>
          <t>HARIAN</t>
        </is>
      </c>
      <c r="Q234" s="147" t="inlineStr">
        <is>
          <t>JL NANGGELENG RT/RW. 007/003; KEL. DEPOK; KEC. DARANGDAN; KAB. PURWAKARTA</t>
        </is>
      </c>
      <c r="R234" s="151" t="n">
        <v>7</v>
      </c>
      <c r="S234" s="151" t="n">
        <v>3</v>
      </c>
      <c r="T234" s="148" t="n">
        <v>41163</v>
      </c>
      <c r="U234" s="148" t="inlineStr">
        <is>
          <t>DARANGDAN</t>
        </is>
      </c>
      <c r="V234" s="148" t="inlineStr">
        <is>
          <t>DEPOK</t>
        </is>
      </c>
      <c r="W234" s="148" t="inlineStr">
        <is>
          <t>PURWAKARTA</t>
        </is>
      </c>
      <c r="X234" s="148" t="inlineStr">
        <is>
          <t>JL NANGGELENG RT/RW. 007/003; KEL. DEPOK; KEC. DARANGDAN; KAB. PURWAKARTA</t>
        </is>
      </c>
      <c r="Y234" s="148" t="n">
        <v>88802273925</v>
      </c>
      <c r="Z234" s="147" t="inlineStr">
        <is>
          <t>ISLAM</t>
        </is>
      </c>
      <c r="AA234" s="148" t="inlineStr">
        <is>
          <t>SMA</t>
        </is>
      </c>
      <c r="AB234" s="149" t="n"/>
      <c r="AC234" s="17" t="n">
        <v>232</v>
      </c>
      <c r="AD234" s="133" t="n">
        <v>328000391</v>
      </c>
      <c r="AE234" s="134" t="inlineStr">
        <is>
          <t>RANGGA ADITYA</t>
        </is>
      </c>
      <c r="AF234" s="133" t="inlineStr">
        <is>
          <t>LOGISTIC</t>
        </is>
      </c>
      <c r="AG234" s="135" t="n">
        <v>25097052283</v>
      </c>
      <c r="AH234" s="136" t="n">
        <v>1662731482</v>
      </c>
    </row>
    <row r="235" ht="15.75" customHeight="1" s="169">
      <c r="A235" s="122">
        <f>A234+1</f>
        <v/>
      </c>
      <c r="B235" s="123" t="n">
        <v>328000395</v>
      </c>
      <c r="C235" s="122" t="inlineStr">
        <is>
          <t>3214034203060003</t>
        </is>
      </c>
      <c r="D235" s="146" t="inlineStr">
        <is>
          <t>ANISA RAHMA AULIA</t>
        </is>
      </c>
      <c r="E235" s="147" t="inlineStr">
        <is>
          <t>PURWAKARTA</t>
        </is>
      </c>
      <c r="F235" s="125" t="inlineStr">
        <is>
          <t>TKD</t>
        </is>
      </c>
      <c r="G235" s="125" t="inlineStr">
        <is>
          <t xml:space="preserve">Karang Taruna Hegarmanah </t>
        </is>
      </c>
      <c r="H235" s="96" t="inlineStr">
        <is>
          <t>TITIPAN PAK RT DADE</t>
        </is>
      </c>
      <c r="I235" s="127" t="n">
        <v>38778</v>
      </c>
      <c r="J235" s="128">
        <f>DATEDIF(I235, TODAY(), "Y") &amp; " tahun, " &amp; DATEDIF(I235, TODAY(), "YM") &amp; " bulan, " &amp; DATEDIF(I235, TODAY(), "MD") &amp; " hari"
</f>
        <v/>
      </c>
      <c r="K235" s="148" t="inlineStr">
        <is>
          <t>P</t>
        </is>
      </c>
      <c r="L235" s="148" t="inlineStr">
        <is>
          <t>PACKER</t>
        </is>
      </c>
      <c r="M235" s="122">
        <f>VLOOKUP(B235,Sheet21!A:N,14,0)</f>
        <v/>
      </c>
      <c r="N235" s="129" t="inlineStr">
        <is>
          <t>PRODUKSI</t>
        </is>
      </c>
      <c r="O235" s="17" t="inlineStr">
        <is>
          <t>Packer</t>
        </is>
      </c>
      <c r="P235" s="148" t="inlineStr">
        <is>
          <t>HARIAN</t>
        </is>
      </c>
      <c r="Q235" s="147" t="inlineStr">
        <is>
          <t>KP. TALI BAJU RT/RW. 003/002; KEL. CIKAO BANDUNG; KEC. JATILUHUR; KAB. PURWAKARTA</t>
        </is>
      </c>
      <c r="R235" s="151" t="n">
        <v>3</v>
      </c>
      <c r="S235" s="151" t="n">
        <v>2</v>
      </c>
      <c r="T235" s="148" t="n">
        <v>41152</v>
      </c>
      <c r="U235" s="148" t="inlineStr">
        <is>
          <t>JATILUHUR</t>
        </is>
      </c>
      <c r="V235" s="148" t="inlineStr">
        <is>
          <t>CIKAO BANDUNG</t>
        </is>
      </c>
      <c r="W235" s="148" t="inlineStr">
        <is>
          <t>PURWAKARTA</t>
        </is>
      </c>
      <c r="X235" s="148" t="inlineStr">
        <is>
          <t>KP. TALI BAJU RT/RW. 003/002; KEL. CIKAO BANDUNG; KEC. JATILUHUR; KAB. PURWAKARTA</t>
        </is>
      </c>
      <c r="Y235" s="148" t="n">
        <v>89503564243</v>
      </c>
      <c r="Z235" s="147" t="inlineStr">
        <is>
          <t>ISLAM</t>
        </is>
      </c>
      <c r="AA235" s="148" t="inlineStr">
        <is>
          <t>SMA</t>
        </is>
      </c>
      <c r="AB235" s="149" t="n"/>
      <c r="AC235" s="17" t="n">
        <v>233</v>
      </c>
      <c r="AD235" s="133" t="n">
        <v>328000393</v>
      </c>
      <c r="AE235" s="134" t="inlineStr">
        <is>
          <t>INDRI YANI</t>
        </is>
      </c>
      <c r="AF235" s="133" t="inlineStr">
        <is>
          <t>PRODUCTION</t>
        </is>
      </c>
      <c r="AG235" s="135" t="n">
        <v>25097052242</v>
      </c>
      <c r="AH235" s="136" t="n">
        <v>1648154305</v>
      </c>
    </row>
    <row r="236" ht="15.75" customHeight="1" s="169">
      <c r="A236" s="122">
        <f>A235+1</f>
        <v/>
      </c>
      <c r="B236" s="123" t="n">
        <v>328000396</v>
      </c>
      <c r="C236" s="122" t="inlineStr">
        <is>
          <t>3214010608990012</t>
        </is>
      </c>
      <c r="D236" s="146" t="inlineStr">
        <is>
          <t>M. ZIDAN JUNIAR</t>
        </is>
      </c>
      <c r="E236" s="147" t="inlineStr">
        <is>
          <t>PURWAKARTA</t>
        </is>
      </c>
      <c r="F236" s="125" t="inlineStr">
        <is>
          <t>TKD</t>
        </is>
      </c>
      <c r="G236" s="125" t="inlineStr">
        <is>
          <t xml:space="preserve">Karang Taruna Hegarmanah </t>
        </is>
      </c>
      <c r="H236" s="96" t="inlineStr">
        <is>
          <t>Titipan Pak Yoga Karang Taruna Hegarmanah</t>
        </is>
      </c>
      <c r="I236" s="127" t="n">
        <v>36378</v>
      </c>
      <c r="J236" s="128">
        <f>DATEDIF(I236, TODAY(), "Y") &amp; " tahun, " &amp; DATEDIF(I236, TODAY(), "YM") &amp; " bulan, " &amp; DATEDIF(I236, TODAY(), "MD") &amp; " hari"
</f>
        <v/>
      </c>
      <c r="K236" s="148" t="inlineStr">
        <is>
          <t>L</t>
        </is>
      </c>
      <c r="L236" s="148" t="inlineStr">
        <is>
          <t>ADMIN TIMBANGAN</t>
        </is>
      </c>
      <c r="M236" s="122">
        <f>VLOOKUP(B236,Sheet21!A:N,14,0)</f>
        <v/>
      </c>
      <c r="N236" s="129" t="inlineStr">
        <is>
          <t>LOGISTIK</t>
        </is>
      </c>
      <c r="O236" s="17" t="inlineStr">
        <is>
          <t>Admin Timbangan</t>
        </is>
      </c>
      <c r="P236" s="148" t="inlineStr">
        <is>
          <t>HARIAN</t>
        </is>
      </c>
      <c r="Q236" s="147" t="inlineStr">
        <is>
          <t>JL VETERAN GG. TRITURA RT/RW. 002/010; KEL. CISEREUH; KEC. PURWAKARTA; KAB. PURWAKARTA</t>
        </is>
      </c>
      <c r="R236" s="151" t="n">
        <v>2</v>
      </c>
      <c r="S236" s="151" t="n">
        <v>10</v>
      </c>
      <c r="T236" s="148" t="n">
        <v>41118</v>
      </c>
      <c r="U236" s="148" t="inlineStr">
        <is>
          <t>PURWAKARTA</t>
        </is>
      </c>
      <c r="V236" s="148" t="inlineStr">
        <is>
          <t>CISEREUH</t>
        </is>
      </c>
      <c r="W236" s="148" t="inlineStr">
        <is>
          <t>PURWAKARTA</t>
        </is>
      </c>
      <c r="X236" s="148" t="inlineStr">
        <is>
          <t>JL VETERAN GG. TRITURA RT/RW. 002/010; KEL. CISEREUH; KEC. PURWAKARTA; KAB. PURWAKARTA</t>
        </is>
      </c>
      <c r="Y236" s="148" t="n">
        <v>89602379017</v>
      </c>
      <c r="Z236" s="147" t="inlineStr">
        <is>
          <t>ISLAM</t>
        </is>
      </c>
      <c r="AA236" s="148" t="inlineStr">
        <is>
          <t>SMK</t>
        </is>
      </c>
      <c r="AB236" s="149" t="n"/>
      <c r="AC236" s="17" t="n">
        <v>234</v>
      </c>
      <c r="AD236" s="133" t="n">
        <v>328000395</v>
      </c>
      <c r="AE236" s="134" t="inlineStr">
        <is>
          <t>ANISA RAHMA AULIA</t>
        </is>
      </c>
      <c r="AF236" s="133" t="inlineStr">
        <is>
          <t>PRODUCTION</t>
        </is>
      </c>
      <c r="AG236" s="135" t="n">
        <v>25097052267</v>
      </c>
      <c r="AH236" s="136" t="n">
        <v>3340821273</v>
      </c>
    </row>
    <row r="237" ht="15.75" customHeight="1" s="169">
      <c r="A237" s="122">
        <f>A236+1</f>
        <v/>
      </c>
      <c r="B237" s="123" t="n">
        <v>328000397</v>
      </c>
      <c r="C237" s="122" t="inlineStr">
        <is>
          <t>3214124711030006</t>
        </is>
      </c>
      <c r="D237" s="146" t="inlineStr">
        <is>
          <t>DEA FUSPITA</t>
        </is>
      </c>
      <c r="E237" s="147" t="inlineStr">
        <is>
          <t>PURWAKARTA</t>
        </is>
      </c>
      <c r="F237" s="125" t="inlineStr">
        <is>
          <t>TKD</t>
        </is>
      </c>
      <c r="G237" s="125" t="inlineStr">
        <is>
          <t xml:space="preserve">Karang Taruna Hegarmanah </t>
        </is>
      </c>
      <c r="H237" s="96" t="inlineStr">
        <is>
          <t>Titipan Lingkungan</t>
        </is>
      </c>
      <c r="I237" s="127" t="n">
        <v>37932</v>
      </c>
      <c r="J237" s="128">
        <f>DATEDIF(I237, TODAY(), "Y") &amp; " tahun, " &amp; DATEDIF(I237, TODAY(), "YM") &amp; " bulan, " &amp; DATEDIF(I237, TODAY(), "MD") &amp; " hari"
</f>
        <v/>
      </c>
      <c r="K237" s="148" t="inlineStr">
        <is>
          <t>P</t>
        </is>
      </c>
      <c r="L237" s="148" t="inlineStr">
        <is>
          <t>PACKER</t>
        </is>
      </c>
      <c r="M237" s="137" t="n"/>
      <c r="N237" s="129" t="inlineStr">
        <is>
          <t>PRODUKSI</t>
        </is>
      </c>
      <c r="O237" s="17" t="inlineStr">
        <is>
          <t>Packer</t>
        </is>
      </c>
      <c r="P237" s="148" t="inlineStr">
        <is>
          <t>HARIAN</t>
        </is>
      </c>
      <c r="Q237" s="147" t="inlineStr">
        <is>
          <t>KP. SUKAMULYA RT/RW.005/002; KEL.CILANGKAP; KEC. BABAKANCIKAO; KAB. PURWAKARTA</t>
        </is>
      </c>
      <c r="R237" s="151" t="n">
        <v>5</v>
      </c>
      <c r="S237" s="151" t="n">
        <v>2</v>
      </c>
      <c r="T237" s="148" t="n">
        <v>41151</v>
      </c>
      <c r="U237" s="148" t="inlineStr">
        <is>
          <t>BABAKANCIKAO</t>
        </is>
      </c>
      <c r="V237" s="148" t="inlineStr">
        <is>
          <t>CILANGKAP</t>
        </is>
      </c>
      <c r="W237" s="148" t="inlineStr">
        <is>
          <t>PURWAKARTA</t>
        </is>
      </c>
      <c r="X237" s="148" t="inlineStr">
        <is>
          <t>KP. SUKAMULYA RT/RW.005/002; KEL.CILANGKAP; KEC. BABAKANCIKAO; KAB. PURWAKARTA</t>
        </is>
      </c>
      <c r="Y237" s="148" t="inlineStr">
        <is>
          <t>081319730964/081212196595</t>
        </is>
      </c>
      <c r="Z237" s="147" t="inlineStr">
        <is>
          <t>ISLAM</t>
        </is>
      </c>
      <c r="AA237" s="148" t="inlineStr">
        <is>
          <t>SMK</t>
        </is>
      </c>
      <c r="AB237" s="149" t="n"/>
      <c r="AC237" s="17" t="n">
        <v>235</v>
      </c>
      <c r="AD237" s="133" t="n">
        <v>328000396</v>
      </c>
      <c r="AE237" s="134" t="inlineStr">
        <is>
          <t>M ZIDAN JUNIAR</t>
        </is>
      </c>
      <c r="AF237" s="133" t="inlineStr">
        <is>
          <t>LOGISTIC</t>
        </is>
      </c>
      <c r="AG237" s="135" t="n">
        <v>25097052200</v>
      </c>
      <c r="AH237" s="136" t="n">
        <v>1659877244</v>
      </c>
    </row>
    <row r="238" ht="15.75" customHeight="1" s="169">
      <c r="A238" s="122">
        <f>A237+1</f>
        <v/>
      </c>
      <c r="B238" s="123" t="n">
        <v>328000398</v>
      </c>
      <c r="C238" s="122" t="inlineStr">
        <is>
          <t>3275032305020021</t>
        </is>
      </c>
      <c r="D238" s="146" t="inlineStr">
        <is>
          <t xml:space="preserve">RACHMAD WAHYUDI </t>
        </is>
      </c>
      <c r="E238" s="147" t="inlineStr">
        <is>
          <t>BEKASI</t>
        </is>
      </c>
      <c r="F238" s="125" t="inlineStr">
        <is>
          <t>LINK</t>
        </is>
      </c>
      <c r="G238" s="96" t="n"/>
      <c r="H238" s="96" t="inlineStr">
        <is>
          <t>PT KMJ</t>
        </is>
      </c>
      <c r="I238" s="127" t="n">
        <v>37399</v>
      </c>
      <c r="J238" s="128">
        <f>DATEDIF(I238, TODAY(), "Y") &amp; " tahun, " &amp; DATEDIF(I238, TODAY(), "YM") &amp; " bulan, " &amp; DATEDIF(I238, TODAY(), "MD") &amp; " hari"
</f>
        <v/>
      </c>
      <c r="K238" s="148" t="inlineStr">
        <is>
          <t>L</t>
        </is>
      </c>
      <c r="L238" s="148" t="inlineStr">
        <is>
          <t>Teknisi</t>
        </is>
      </c>
      <c r="M238" s="137" t="n"/>
      <c r="N238" s="129" t="inlineStr">
        <is>
          <t>ENG</t>
        </is>
      </c>
      <c r="O238" s="17" t="inlineStr">
        <is>
          <t>Teknisi</t>
        </is>
      </c>
      <c r="P238" s="148" t="inlineStr">
        <is>
          <t>HARIAN</t>
        </is>
      </c>
      <c r="Q238" s="147" t="inlineStr">
        <is>
          <t>KP. HARAPAN KITA NO. 120 RT/RW. 009/023; KEL. HARAPAN JAYA; KEC. BEKASI UTARA; KAB. BEKASI</t>
        </is>
      </c>
      <c r="R238" s="151" t="n">
        <v>9</v>
      </c>
      <c r="S238" s="151" t="n">
        <v>23</v>
      </c>
      <c r="T238" s="148" t="n">
        <v>17124</v>
      </c>
      <c r="U238" s="148" t="inlineStr">
        <is>
          <t>BEKASI UTARA</t>
        </is>
      </c>
      <c r="V238" s="148" t="inlineStr">
        <is>
          <t>HARAPAN JAYA</t>
        </is>
      </c>
      <c r="W238" s="148" t="inlineStr">
        <is>
          <t>BEKASI</t>
        </is>
      </c>
      <c r="X238" s="148" t="inlineStr">
        <is>
          <t>KP. HARAPAN KITA NO. 120 RT/RW. 009/023; KEL. HARAPAN JAYA; KEC. BEKASI UTARA; KAB. BEKASI</t>
        </is>
      </c>
      <c r="Y238" s="148" t="inlineStr">
        <is>
          <t>085810500195/085814597986</t>
        </is>
      </c>
      <c r="Z238" s="147" t="inlineStr">
        <is>
          <t>ISLAM</t>
        </is>
      </c>
      <c r="AA238" s="148" t="inlineStr">
        <is>
          <t>SMK</t>
        </is>
      </c>
      <c r="AB238" s="149" t="n"/>
      <c r="AC238" s="17" t="n">
        <v>236</v>
      </c>
      <c r="AD238" s="133" t="n">
        <v>328000397</v>
      </c>
      <c r="AE238" s="134" t="inlineStr">
        <is>
          <t>DEA FUSPITA</t>
        </is>
      </c>
      <c r="AF238" s="133" t="inlineStr">
        <is>
          <t>PRODUCTION</t>
        </is>
      </c>
      <c r="AG238" s="135" t="n">
        <v>25097052218</v>
      </c>
      <c r="AH238" s="136" t="n">
        <v>1790958701</v>
      </c>
    </row>
    <row r="239" ht="15.75" customHeight="1" s="169">
      <c r="A239" s="122">
        <f>A238+1</f>
        <v/>
      </c>
      <c r="B239" s="123" t="n">
        <v>328000399</v>
      </c>
      <c r="C239" s="122" t="inlineStr">
        <is>
          <t>3214126304040006</t>
        </is>
      </c>
      <c r="D239" s="146" t="inlineStr">
        <is>
          <t>FITRI ANDRIANI</t>
        </is>
      </c>
      <c r="E239" s="147" t="inlineStr">
        <is>
          <t>PURWAKARTA</t>
        </is>
      </c>
      <c r="F239" s="125" t="inlineStr">
        <is>
          <t>TKD</t>
        </is>
      </c>
      <c r="G239" s="125" t="inlineStr">
        <is>
          <t>H. Misja</t>
        </is>
      </c>
      <c r="H239" s="96" t="inlineStr">
        <is>
          <t>Titipan Pak Tigor</t>
        </is>
      </c>
      <c r="I239" s="127" t="n">
        <v>38100</v>
      </c>
      <c r="J239" s="128">
        <f>DATEDIF(I239, TODAY(), "Y") &amp; " tahun, " &amp; DATEDIF(I239, TODAY(), "YM") &amp; " bulan, " &amp; DATEDIF(I239, TODAY(), "MD") &amp; " hari"
</f>
        <v/>
      </c>
      <c r="K239" s="148" t="inlineStr">
        <is>
          <t>P</t>
        </is>
      </c>
      <c r="L239" s="148" t="inlineStr">
        <is>
          <t>PACKER</t>
        </is>
      </c>
      <c r="M239" s="137" t="n"/>
      <c r="N239" s="129" t="inlineStr">
        <is>
          <t>PRODUKSI</t>
        </is>
      </c>
      <c r="O239" s="17" t="inlineStr">
        <is>
          <t>Packer</t>
        </is>
      </c>
      <c r="P239" s="148" t="inlineStr">
        <is>
          <t>HARIAN</t>
        </is>
      </c>
      <c r="Q239" s="147" t="inlineStr">
        <is>
          <t>KP. CIASEM RT/RW.007/003; KEL.CICADAS; KEC. BABAKANCIKAO; KAB. PURWAKARTA</t>
        </is>
      </c>
      <c r="R239" s="151" t="n">
        <v>7</v>
      </c>
      <c r="S239" s="151" t="n">
        <v>3</v>
      </c>
      <c r="T239" s="148" t="n">
        <v>41151</v>
      </c>
      <c r="U239" s="148" t="inlineStr">
        <is>
          <t>BABAKANCIKAO</t>
        </is>
      </c>
      <c r="V239" s="148" t="inlineStr">
        <is>
          <t>CICADAS</t>
        </is>
      </c>
      <c r="W239" s="148" t="inlineStr">
        <is>
          <t>PURWAKARTA</t>
        </is>
      </c>
      <c r="X239" s="148" t="inlineStr">
        <is>
          <t>KP. CIASEM RT/RW.007/003; KEL.CICADAS; KEC. BABAKANCIKAO; KAB. PURWAKARTA</t>
        </is>
      </c>
      <c r="Y239" s="148" t="inlineStr">
        <is>
          <t>083139706939/085524702353</t>
        </is>
      </c>
      <c r="Z239" s="147" t="inlineStr">
        <is>
          <t>ISLAM</t>
        </is>
      </c>
      <c r="AA239" s="148" t="inlineStr">
        <is>
          <t>SMK</t>
        </is>
      </c>
      <c r="AB239" s="149" t="n"/>
      <c r="AC239" s="17" t="n">
        <v>237</v>
      </c>
      <c r="AD239" s="133" t="n">
        <v>328000398</v>
      </c>
      <c r="AE239" s="134" t="inlineStr">
        <is>
          <t>RACHMAD WAHYUDI</t>
        </is>
      </c>
      <c r="AF239" s="133" t="inlineStr">
        <is>
          <t>ENGINEERING</t>
        </is>
      </c>
      <c r="AG239" s="135" t="n">
        <v>25097052234</v>
      </c>
      <c r="AH239" s="136" t="n">
        <v>3051160312</v>
      </c>
    </row>
    <row r="240" ht="15.75" customHeight="1" s="169">
      <c r="A240" s="122">
        <f>A239+1</f>
        <v/>
      </c>
      <c r="B240" s="123" t="n">
        <v>328000400</v>
      </c>
      <c r="C240" s="122" t="inlineStr">
        <is>
          <t>3214020509990001</t>
        </is>
      </c>
      <c r="D240" s="146" t="inlineStr">
        <is>
          <t>M KARSIM SEPTIAN</t>
        </is>
      </c>
      <c r="E240" s="147" t="inlineStr">
        <is>
          <t>PURWAKARTA</t>
        </is>
      </c>
      <c r="F240" s="125" t="inlineStr">
        <is>
          <t>TKD</t>
        </is>
      </c>
      <c r="G240" s="125" t="inlineStr">
        <is>
          <t>Ormas GMBI</t>
        </is>
      </c>
      <c r="H240" s="96" t="inlineStr">
        <is>
          <t>Titipan H Yoyo</t>
        </is>
      </c>
      <c r="I240" s="127" t="n">
        <v>36408</v>
      </c>
      <c r="J240" s="128">
        <f>DATEDIF(I240, TODAY(), "Y") &amp; " tahun, " &amp; DATEDIF(I240, TODAY(), "YM") &amp; " bulan, " &amp; DATEDIF(I240, TODAY(), "MD") &amp; " hari"
</f>
        <v/>
      </c>
      <c r="K240" s="148" t="inlineStr">
        <is>
          <t>L</t>
        </is>
      </c>
      <c r="L240" s="148" t="inlineStr">
        <is>
          <t>PACKER</t>
        </is>
      </c>
      <c r="M240" s="137" t="n"/>
      <c r="N240" s="129" t="inlineStr">
        <is>
          <t>PRODUKSI</t>
        </is>
      </c>
      <c r="O240" s="17" t="inlineStr">
        <is>
          <t>Packer</t>
        </is>
      </c>
      <c r="P240" s="148" t="inlineStr">
        <is>
          <t>HARIAN</t>
        </is>
      </c>
      <c r="Q240" s="147" t="inlineStr">
        <is>
          <t>KP. BAYUR RT/RW. 006/003; KEL. HEGARMANAH; KEC. BABAKANCIKAO; KAB. PURWAKARTA</t>
        </is>
      </c>
      <c r="R240" s="151" t="n">
        <v>6</v>
      </c>
      <c r="S240" s="151" t="n">
        <v>3</v>
      </c>
      <c r="T240" s="150" t="n"/>
      <c r="U240" s="148" t="inlineStr">
        <is>
          <t>BABAKANCIKAO</t>
        </is>
      </c>
      <c r="V240" s="148" t="inlineStr">
        <is>
          <t>HEGARMANAH</t>
        </is>
      </c>
      <c r="W240" s="148" t="inlineStr">
        <is>
          <t>PURWAKARTA</t>
        </is>
      </c>
      <c r="X240" s="148" t="inlineStr">
        <is>
          <t>KP. BAYUR RT/RW. 006/003; KEL. HEGARMANAH; KEC. BABAKANCIKAO; KAB. PURWAKARTA</t>
        </is>
      </c>
      <c r="Y240" s="148" t="inlineStr">
        <is>
          <t>081287208024/082258361449</t>
        </is>
      </c>
      <c r="Z240" s="147" t="inlineStr">
        <is>
          <t>ISLAM</t>
        </is>
      </c>
      <c r="AA240" s="148" t="inlineStr">
        <is>
          <t>SMK</t>
        </is>
      </c>
      <c r="AB240" s="149" t="n"/>
      <c r="AC240" s="17" t="n">
        <v>238</v>
      </c>
      <c r="AD240" s="133" t="n">
        <v>328000399</v>
      </c>
      <c r="AE240" s="134" t="inlineStr">
        <is>
          <t>FITRI ANDRIANI</t>
        </is>
      </c>
      <c r="AF240" s="133" t="inlineStr">
        <is>
          <t>PRODUCTION</t>
        </is>
      </c>
      <c r="AG240" s="135" t="n">
        <v>25097052226</v>
      </c>
      <c r="AH240" s="136" t="n">
        <v>2705594602</v>
      </c>
    </row>
    <row r="241" ht="15.75" customHeight="1" s="169">
      <c r="A241" s="122">
        <f>A240+1</f>
        <v/>
      </c>
      <c r="B241" s="123" t="n">
        <v>328000402</v>
      </c>
      <c r="C241" s="122" t="inlineStr">
        <is>
          <t>3214124808050004</t>
        </is>
      </c>
      <c r="D241" s="146" t="inlineStr">
        <is>
          <t xml:space="preserve">HASANAH  </t>
        </is>
      </c>
      <c r="E241" s="147" t="inlineStr">
        <is>
          <t>PURWAKARTA</t>
        </is>
      </c>
      <c r="F241" s="125" t="inlineStr">
        <is>
          <t>TKD</t>
        </is>
      </c>
      <c r="G241" s="125" t="inlineStr">
        <is>
          <t xml:space="preserve">Karang Taruna Hegarmanah </t>
        </is>
      </c>
      <c r="H241" s="96" t="inlineStr">
        <is>
          <t>Titipan Lingkungan</t>
        </is>
      </c>
      <c r="I241" s="127" t="n">
        <v>38572</v>
      </c>
      <c r="J241" s="128">
        <f>DATEDIF(I241, TODAY(), "Y") &amp; " tahun, " &amp; DATEDIF(I241, TODAY(), "YM") &amp; " bulan, " &amp; DATEDIF(I241, TODAY(), "MD") &amp; " hari"
</f>
        <v/>
      </c>
      <c r="K241" s="148" t="inlineStr">
        <is>
          <t>P</t>
        </is>
      </c>
      <c r="L241" s="148" t="inlineStr">
        <is>
          <t>PACKER</t>
        </is>
      </c>
      <c r="M241" s="137" t="n"/>
      <c r="N241" s="129" t="inlineStr">
        <is>
          <t>PRODUKSI</t>
        </is>
      </c>
      <c r="O241" s="17" t="inlineStr">
        <is>
          <t>Packer</t>
        </is>
      </c>
      <c r="P241" s="148" t="inlineStr">
        <is>
          <t>HARIAN</t>
        </is>
      </c>
      <c r="Q241" s="147" t="inlineStr">
        <is>
          <t>KP. SAWAH RT/RW.011/005; KEL. CICADAS; KEC. BABAKANCIKAO; KAB. PURWAKARTA</t>
        </is>
      </c>
      <c r="R241" s="151" t="n">
        <v>1</v>
      </c>
      <c r="S241" s="151" t="n">
        <v>5</v>
      </c>
      <c r="T241" s="148" t="n">
        <v>41151</v>
      </c>
      <c r="U241" s="148" t="inlineStr">
        <is>
          <t>BABAKANCIKAO</t>
        </is>
      </c>
      <c r="V241" s="148" t="inlineStr">
        <is>
          <t>CICADAS</t>
        </is>
      </c>
      <c r="W241" s="148" t="inlineStr">
        <is>
          <t>PURWAKARTA</t>
        </is>
      </c>
      <c r="X241" s="148" t="inlineStr">
        <is>
          <t>KP. SAWAH RT/RW.011/005; KEL. CICADAS; KEC. BABAKANCIKAO; KAB. PURWAKARTA</t>
        </is>
      </c>
      <c r="Y241" s="148" t="n">
        <v>81957076207</v>
      </c>
      <c r="Z241" s="147" t="inlineStr">
        <is>
          <t>ISLAM</t>
        </is>
      </c>
      <c r="AA241" s="148" t="inlineStr">
        <is>
          <t>SMA</t>
        </is>
      </c>
      <c r="AB241" s="149" t="n"/>
      <c r="AC241" s="17" t="n">
        <v>239</v>
      </c>
      <c r="AD241" s="133" t="n">
        <v>328000400</v>
      </c>
      <c r="AE241" s="134" t="inlineStr">
        <is>
          <t>M KARSIM SEPTIAN</t>
        </is>
      </c>
      <c r="AF241" s="133" t="inlineStr">
        <is>
          <t>PRODUCTION</t>
        </is>
      </c>
      <c r="AG241" s="157" t="n"/>
      <c r="AH241" s="136" t="n">
        <v>1861520174</v>
      </c>
    </row>
    <row r="242" ht="15.75" customHeight="1" s="169">
      <c r="A242" s="122">
        <f>A241+1</f>
        <v/>
      </c>
      <c r="B242" s="123" t="n">
        <v>328000403</v>
      </c>
      <c r="C242" s="122" t="inlineStr">
        <is>
          <t>3214125009060004</t>
        </is>
      </c>
      <c r="D242" s="146" t="inlineStr">
        <is>
          <t>FITRI NURAENI</t>
        </is>
      </c>
      <c r="E242" s="147" t="inlineStr">
        <is>
          <t>PURWAKARTA</t>
        </is>
      </c>
      <c r="F242" s="125" t="inlineStr">
        <is>
          <t>TKD</t>
        </is>
      </c>
      <c r="G242" s="125" t="inlineStr">
        <is>
          <t xml:space="preserve">Karang Taruna Hegarmanah </t>
        </is>
      </c>
      <c r="H242" s="96" t="inlineStr">
        <is>
          <t>Titipan Lingkungan</t>
        </is>
      </c>
      <c r="I242" s="127" t="n">
        <v>38970</v>
      </c>
      <c r="J242" s="128">
        <f>DATEDIF(I242, TODAY(), "Y") &amp; " tahun, " &amp; DATEDIF(I242, TODAY(), "YM") &amp; " bulan, " &amp; DATEDIF(I242, TODAY(), "MD") &amp; " hari"
</f>
        <v/>
      </c>
      <c r="K242" s="148" t="inlineStr">
        <is>
          <t>P</t>
        </is>
      </c>
      <c r="L242" s="148" t="inlineStr">
        <is>
          <t>PACKER</t>
        </is>
      </c>
      <c r="M242" s="137" t="n"/>
      <c r="N242" s="129" t="inlineStr">
        <is>
          <t>PRODUKSI</t>
        </is>
      </c>
      <c r="O242" s="17" t="inlineStr">
        <is>
          <t>Packer</t>
        </is>
      </c>
      <c r="P242" s="148" t="inlineStr">
        <is>
          <t>HARIAN</t>
        </is>
      </c>
      <c r="Q242" s="147" t="inlineStr">
        <is>
          <t>KP. WARUNG BUAH RT/RW. 005/006; KEL.HEGARMANAH; KEC. BABAKANCIKAO; KAB. PURWAKARTA</t>
        </is>
      </c>
      <c r="R242" s="151" t="n">
        <v>5</v>
      </c>
      <c r="S242" s="151" t="n">
        <v>6</v>
      </c>
      <c r="T242" s="148" t="n">
        <v>41151</v>
      </c>
      <c r="U242" s="148" t="inlineStr">
        <is>
          <t>BABAKANCIKAO</t>
        </is>
      </c>
      <c r="V242" s="148" t="inlineStr">
        <is>
          <t>HEGARMANAH</t>
        </is>
      </c>
      <c r="W242" s="148" t="inlineStr">
        <is>
          <t>PURWAKARTA</t>
        </is>
      </c>
      <c r="X242" s="148" t="inlineStr">
        <is>
          <t>KP. WARUNG BUAH RT/RW. 005/006; KEL.HEGARMANAH; KEC. BABAKANCIKAO; KAB. PURWAKARTA</t>
        </is>
      </c>
      <c r="Y242" s="148" t="n">
        <v>81572089554</v>
      </c>
      <c r="Z242" s="147" t="inlineStr">
        <is>
          <t>ISLAM</t>
        </is>
      </c>
      <c r="AA242" s="148" t="inlineStr">
        <is>
          <t>SMA</t>
        </is>
      </c>
      <c r="AB242" s="149" t="n"/>
      <c r="AC242" s="17" t="n">
        <v>240</v>
      </c>
      <c r="AD242" s="133" t="n">
        <v>328000402</v>
      </c>
      <c r="AE242" s="134" t="inlineStr">
        <is>
          <t>HASANAH</t>
        </is>
      </c>
      <c r="AF242" s="133" t="inlineStr">
        <is>
          <t>PRODUCTION</t>
        </is>
      </c>
      <c r="AG242" s="157" t="n"/>
      <c r="AH242" s="136" t="n">
        <v>480671458</v>
      </c>
    </row>
    <row r="243" ht="15.75" customHeight="1" s="169">
      <c r="A243" s="122">
        <f>A242+1</f>
        <v/>
      </c>
      <c r="B243" s="123" t="n">
        <v>328000404</v>
      </c>
      <c r="C243" s="122" t="inlineStr">
        <is>
          <t>3214125507040001</t>
        </is>
      </c>
      <c r="D243" s="146" t="inlineStr">
        <is>
          <t>NOVI SAFIRA PUTRI</t>
        </is>
      </c>
      <c r="E243" s="147" t="inlineStr">
        <is>
          <t>PURWAKARTA</t>
        </is>
      </c>
      <c r="F243" s="125" t="inlineStr">
        <is>
          <t>TKD</t>
        </is>
      </c>
      <c r="G243" s="125" t="inlineStr">
        <is>
          <t xml:space="preserve">Karang Taruna Hegarmanah </t>
        </is>
      </c>
      <c r="H243" s="96" t="inlineStr">
        <is>
          <t>Titipan Karang Taruna Hegarmanh</t>
        </is>
      </c>
      <c r="I243" s="127" t="n">
        <v>38183</v>
      </c>
      <c r="J243" s="128">
        <f>DATEDIF(I243, TODAY(), "Y") &amp; " tahun, " &amp; DATEDIF(I243, TODAY(), "YM") &amp; " bulan, " &amp; DATEDIF(I243, TODAY(), "MD") &amp; " hari"
</f>
        <v/>
      </c>
      <c r="K243" s="148" t="inlineStr">
        <is>
          <t>P</t>
        </is>
      </c>
      <c r="L243" s="148" t="inlineStr">
        <is>
          <t>PACKER</t>
        </is>
      </c>
      <c r="M243" s="137" t="n"/>
      <c r="N243" s="129" t="inlineStr">
        <is>
          <t>PRODUKSI</t>
        </is>
      </c>
      <c r="O243" s="17" t="inlineStr">
        <is>
          <t>Packer</t>
        </is>
      </c>
      <c r="P243" s="148" t="inlineStr">
        <is>
          <t>HARIAN</t>
        </is>
      </c>
      <c r="Q243" s="147" t="inlineStr">
        <is>
          <t>JL KOPI KP. BAKANSARI RT/RW. 002/005; KEL. CIWARENG; KEC. BABAKANCIKAO; KAB. PURWAKARTA</t>
        </is>
      </c>
      <c r="R243" s="151" t="n">
        <v>2</v>
      </c>
      <c r="S243" s="151" t="n">
        <v>5</v>
      </c>
      <c r="T243" s="148" t="n">
        <v>41151</v>
      </c>
      <c r="U243" s="148" t="inlineStr">
        <is>
          <t>BABAKANCIKAO</t>
        </is>
      </c>
      <c r="V243" s="148" t="inlineStr">
        <is>
          <t>CIWARENG</t>
        </is>
      </c>
      <c r="W243" s="148" t="inlineStr">
        <is>
          <t>PURWAKARTA</t>
        </is>
      </c>
      <c r="X243" s="148" t="inlineStr">
        <is>
          <t>JL KOPI KP. BAKANSARI RT/RW. 002/005; KEL. CIWARENG; KEC. BABAKANCIKAO; KAB. PURWAKARTA</t>
        </is>
      </c>
      <c r="Y243" s="148" t="inlineStr">
        <is>
          <t>0895335759190/0895702679000</t>
        </is>
      </c>
      <c r="Z243" s="147" t="inlineStr">
        <is>
          <t>ISLAM</t>
        </is>
      </c>
      <c r="AA243" s="148" t="inlineStr">
        <is>
          <t>SMK</t>
        </is>
      </c>
      <c r="AB243" s="149" t="n"/>
      <c r="AC243" s="17" t="n">
        <v>241</v>
      </c>
      <c r="AD243" s="133" t="n">
        <v>328000403</v>
      </c>
      <c r="AE243" s="134" t="inlineStr">
        <is>
          <t>FITRI NURAENI</t>
        </is>
      </c>
      <c r="AF243" s="133" t="inlineStr">
        <is>
          <t>PRODUCTION</t>
        </is>
      </c>
      <c r="AG243" s="157" t="n"/>
      <c r="AH243" s="136" t="n">
        <v>2762668315</v>
      </c>
    </row>
    <row r="244" ht="15.75" customHeight="1" s="169">
      <c r="A244" s="122">
        <f>A243+1</f>
        <v/>
      </c>
      <c r="B244" s="123" t="n">
        <v>328000405</v>
      </c>
      <c r="C244" s="122" t="inlineStr">
        <is>
          <t>3518125806020001</t>
        </is>
      </c>
      <c r="D244" s="146" t="inlineStr">
        <is>
          <t>ANNISA AZI PRASETYANI</t>
        </is>
      </c>
      <c r="E244" s="147" t="inlineStr">
        <is>
          <t>NGANJUK</t>
        </is>
      </c>
      <c r="F244" s="125" t="inlineStr">
        <is>
          <t>TKD</t>
        </is>
      </c>
      <c r="G244" s="125" t="inlineStr">
        <is>
          <t>Pak Wahyudin</t>
        </is>
      </c>
      <c r="H244" s="96" t="inlineStr">
        <is>
          <t>Karyawan Harian</t>
        </is>
      </c>
      <c r="I244" s="127" t="n">
        <v>37425</v>
      </c>
      <c r="J244" s="128">
        <f>DATEDIF(I244, TODAY(), "Y") &amp; " tahun, " &amp; DATEDIF(I244, TODAY(), "YM") &amp; " bulan, " &amp; DATEDIF(I244, TODAY(), "MD") &amp; " hari"
</f>
        <v/>
      </c>
      <c r="K244" s="148" t="inlineStr">
        <is>
          <t>P</t>
        </is>
      </c>
      <c r="L244" s="148" t="inlineStr">
        <is>
          <t>PACKER</t>
        </is>
      </c>
      <c r="M244" s="137" t="n"/>
      <c r="N244" s="129" t="inlineStr">
        <is>
          <t>PRODUKSI</t>
        </is>
      </c>
      <c r="O244" s="17" t="inlineStr">
        <is>
          <t>Packer</t>
        </is>
      </c>
      <c r="P244" s="148" t="inlineStr">
        <is>
          <t>HARIAN</t>
        </is>
      </c>
      <c r="Q244" s="147" t="inlineStr">
        <is>
          <t>KP. HEGARMANAH; RT/RW. 012/002; KEL. HEGARMANAH; KEC. BABAKANCIKAO; KAB. PURWAKARTA</t>
        </is>
      </c>
      <c r="R244" s="151" t="n">
        <v>12</v>
      </c>
      <c r="S244" s="151" t="n">
        <v>2</v>
      </c>
      <c r="T244" s="148" t="n">
        <v>41151</v>
      </c>
      <c r="U244" s="148" t="inlineStr">
        <is>
          <t>BABAKANCIKAO</t>
        </is>
      </c>
      <c r="V244" s="148" t="inlineStr">
        <is>
          <t>HEGARMANAH</t>
        </is>
      </c>
      <c r="W244" s="148" t="inlineStr">
        <is>
          <t>PURWAKARTA</t>
        </is>
      </c>
      <c r="X244" s="148" t="inlineStr">
        <is>
          <t>KP. HEGARMANAH; RT/RW. 012/002; KEL. HEGARMANAH; KEC. BABAKANCIKAO; KAB. PURWAKARTA</t>
        </is>
      </c>
      <c r="Y244" s="148" t="inlineStr">
        <is>
          <t>0895402294287/085797821505</t>
        </is>
      </c>
      <c r="Z244" s="147" t="inlineStr">
        <is>
          <t>ISLAM</t>
        </is>
      </c>
      <c r="AA244" s="148" t="inlineStr">
        <is>
          <t>SMK</t>
        </is>
      </c>
      <c r="AB244" s="149" t="n"/>
      <c r="AC244" s="17" t="n">
        <v>242</v>
      </c>
      <c r="AD244" s="133" t="n">
        <v>328000404</v>
      </c>
      <c r="AE244" s="134" t="inlineStr">
        <is>
          <t>NOVI SAFIRA PUTRI</t>
        </is>
      </c>
      <c r="AF244" s="133" t="inlineStr">
        <is>
          <t>PRODUCTION</t>
        </is>
      </c>
      <c r="AG244" s="157" t="n"/>
      <c r="AH244" s="136" t="n">
        <v>1601654242</v>
      </c>
    </row>
    <row r="245" ht="15.75" customHeight="1" s="169">
      <c r="A245" s="122">
        <f>A244+1</f>
        <v/>
      </c>
      <c r="B245" s="123" t="n">
        <v>328000406</v>
      </c>
      <c r="C245" s="122" t="inlineStr">
        <is>
          <t>3214034103050001</t>
        </is>
      </c>
      <c r="D245" s="146" t="inlineStr">
        <is>
          <t>FIRLIE NURFEBRIANY FIRMANSYAH</t>
        </is>
      </c>
      <c r="E245" s="147" t="inlineStr">
        <is>
          <t>BANDUNG</t>
        </is>
      </c>
      <c r="F245" s="125" t="inlineStr">
        <is>
          <t>TKD</t>
        </is>
      </c>
      <c r="G245" s="125" t="inlineStr">
        <is>
          <t>Ormas Lodaya</t>
        </is>
      </c>
      <c r="H245" s="96" t="inlineStr">
        <is>
          <t>Titipan Pak Tigor</t>
        </is>
      </c>
      <c r="I245" s="127" t="n">
        <v>38412</v>
      </c>
      <c r="J245" s="128">
        <f>DATEDIF(I245, TODAY(), "Y") &amp; " tahun, " &amp; DATEDIF(I245, TODAY(), "YM") &amp; " bulan, " &amp; DATEDIF(I245, TODAY(), "MD") &amp; " hari"
</f>
        <v/>
      </c>
      <c r="K245" s="148" t="inlineStr">
        <is>
          <t>P</t>
        </is>
      </c>
      <c r="L245" s="148" t="inlineStr">
        <is>
          <t>PACKER</t>
        </is>
      </c>
      <c r="M245" s="137" t="n"/>
      <c r="N245" s="129" t="inlineStr">
        <is>
          <t>PRODUKSI</t>
        </is>
      </c>
      <c r="O245" s="17" t="inlineStr">
        <is>
          <t>Packer</t>
        </is>
      </c>
      <c r="P245" s="148" t="inlineStr">
        <is>
          <t>HARIAN</t>
        </is>
      </c>
      <c r="Q245" s="147" t="inlineStr">
        <is>
          <t>KP. PASANGGRAHAN; RT/RW. 005/001; KEL. CILEGONG; KEC. JATILUHUR; KAB. PURWAKARTA</t>
        </is>
      </c>
      <c r="R245" s="151" t="n">
        <v>5</v>
      </c>
      <c r="S245" s="151" t="n">
        <v>1</v>
      </c>
      <c r="T245" s="148" t="n">
        <v>41152</v>
      </c>
      <c r="U245" s="148" t="inlineStr">
        <is>
          <t>JATILUHUR</t>
        </is>
      </c>
      <c r="V245" s="148" t="inlineStr">
        <is>
          <t>CILEGONG</t>
        </is>
      </c>
      <c r="W245" s="148" t="inlineStr">
        <is>
          <t>PURWAKARTA</t>
        </is>
      </c>
      <c r="X245" s="148" t="inlineStr">
        <is>
          <t>KP. PASANGGRAHAN; RT/RW. 005/001; KEL. CILEGONG; KEC. JATILUHUR; KAB. PURWAKARTA</t>
        </is>
      </c>
      <c r="Y245" s="148" t="n">
        <v>83861104156</v>
      </c>
      <c r="Z245" s="147" t="inlineStr">
        <is>
          <t>ISLAM</t>
        </is>
      </c>
      <c r="AA245" s="148" t="inlineStr">
        <is>
          <t>SMA</t>
        </is>
      </c>
      <c r="AB245" s="149" t="n"/>
      <c r="AC245" s="17" t="n">
        <v>243</v>
      </c>
      <c r="AD245" s="133" t="n">
        <v>328000405</v>
      </c>
      <c r="AE245" s="134" t="inlineStr">
        <is>
          <t>ANNISA AZI PRASETYANI</t>
        </is>
      </c>
      <c r="AF245" s="133" t="inlineStr">
        <is>
          <t>PRODUCTION</t>
        </is>
      </c>
      <c r="AG245" s="157" t="n"/>
      <c r="AH245" s="136" t="n">
        <v>2488315037</v>
      </c>
    </row>
    <row r="246" ht="15.75" customHeight="1" s="169">
      <c r="A246" s="122">
        <f>A245+1</f>
        <v/>
      </c>
      <c r="B246" s="123" t="n">
        <v>328000407</v>
      </c>
      <c r="C246" s="122" t="inlineStr">
        <is>
          <t>3214124406070001</t>
        </is>
      </c>
      <c r="D246" s="146" t="inlineStr">
        <is>
          <t>HERMALIANTI RAHAYU</t>
        </is>
      </c>
      <c r="E246" s="147" t="inlineStr">
        <is>
          <t>PURWAKARTA</t>
        </is>
      </c>
      <c r="F246" s="125" t="inlineStr">
        <is>
          <t>TKD</t>
        </is>
      </c>
      <c r="G246" s="125" t="inlineStr">
        <is>
          <t xml:space="preserve">Karang Taruna Hegarmanah </t>
        </is>
      </c>
      <c r="H246" s="96" t="inlineStr">
        <is>
          <t>Titipan Lingkungan</t>
        </is>
      </c>
      <c r="I246" s="127" t="n">
        <v>39240</v>
      </c>
      <c r="J246" s="128">
        <f>DATEDIF(I246, TODAY(), "Y") &amp; " tahun, " &amp; DATEDIF(I246, TODAY(), "YM") &amp; " bulan, " &amp; DATEDIF(I246, TODAY(), "MD") &amp; " hari"
</f>
        <v/>
      </c>
      <c r="K246" s="148" t="inlineStr">
        <is>
          <t>P</t>
        </is>
      </c>
      <c r="L246" s="148" t="inlineStr">
        <is>
          <t>PACKER</t>
        </is>
      </c>
      <c r="M246" s="137" t="n"/>
      <c r="N246" s="129" t="inlineStr">
        <is>
          <t>PRODUKSI</t>
        </is>
      </c>
      <c r="O246" s="17" t="inlineStr">
        <is>
          <t>Packer</t>
        </is>
      </c>
      <c r="P246" s="148" t="inlineStr">
        <is>
          <t>HARIAN</t>
        </is>
      </c>
      <c r="Q246" s="147" t="inlineStr">
        <is>
          <t>KP. PARUNGDADAP RT/RW. 001/001; KEL. HEGARMANAH; KEC. BABAKANCIKAO;KAB. PURWAKARTA</t>
        </is>
      </c>
      <c r="R246" s="151" t="n">
        <v>1</v>
      </c>
      <c r="S246" s="151" t="n">
        <v>1</v>
      </c>
      <c r="T246" s="148" t="n">
        <v>41151</v>
      </c>
      <c r="U246" s="148" t="inlineStr">
        <is>
          <t>BABAKANCIKAO</t>
        </is>
      </c>
      <c r="V246" s="148" t="inlineStr">
        <is>
          <t>HEGARMANAH</t>
        </is>
      </c>
      <c r="W246" s="148" t="inlineStr">
        <is>
          <t>PURWAKARTA</t>
        </is>
      </c>
      <c r="X246" s="148" t="inlineStr">
        <is>
          <t>KP. PARUNGDADAP RT/RW. 001/001; KEL. HEGARMANAH; KEC. BABAKANCIKAO;KAB. PURWAKARTA</t>
        </is>
      </c>
      <c r="Y246" s="148" t="n">
        <v>85721144294</v>
      </c>
      <c r="Z246" s="147" t="inlineStr">
        <is>
          <t>ISLAM</t>
        </is>
      </c>
      <c r="AA246" s="148" t="inlineStr">
        <is>
          <t>SMK</t>
        </is>
      </c>
      <c r="AB246" s="149" t="n"/>
      <c r="AC246" s="17" t="n">
        <v>244</v>
      </c>
      <c r="AD246" s="133" t="n">
        <v>328000406</v>
      </c>
      <c r="AE246" s="134" t="inlineStr">
        <is>
          <t>FIRLIE NURFEBRIANY FIRMANSYAH</t>
        </is>
      </c>
      <c r="AF246" s="133" t="inlineStr">
        <is>
          <t>PRODUCTION</t>
        </is>
      </c>
      <c r="AG246" s="157" t="n"/>
      <c r="AH246" s="158" t="n">
        <v>3042186118</v>
      </c>
    </row>
    <row r="247" ht="15.75" customHeight="1" s="169">
      <c r="A247" s="122">
        <f>A246+1</f>
        <v/>
      </c>
      <c r="B247" s="123" t="n">
        <v>328000409</v>
      </c>
      <c r="C247" s="122" t="inlineStr">
        <is>
          <t>3215061903980002</t>
        </is>
      </c>
      <c r="D247" s="146" t="inlineStr">
        <is>
          <t>SUHENDI</t>
        </is>
      </c>
      <c r="E247" s="147" t="inlineStr">
        <is>
          <t>KARAWANG</t>
        </is>
      </c>
      <c r="F247" s="96" t="n"/>
      <c r="G247" s="96" t="n"/>
      <c r="H247" s="96" t="n"/>
      <c r="I247" s="127" t="n">
        <v>36299</v>
      </c>
      <c r="J247" s="128">
        <f>DATEDIF(I247, TODAY(), "Y") &amp; " tahun, " &amp; DATEDIF(I247, TODAY(), "YM") &amp; " bulan, " &amp; DATEDIF(I247, TODAY(), "MD") &amp; " hari"
</f>
        <v/>
      </c>
      <c r="K247" s="148" t="inlineStr">
        <is>
          <t>L</t>
        </is>
      </c>
      <c r="L247" s="148" t="inlineStr">
        <is>
          <t>OP FORKLIFT WRM</t>
        </is>
      </c>
      <c r="M247" s="137" t="n"/>
      <c r="N247" s="129" t="inlineStr">
        <is>
          <t>LOGISTIK</t>
        </is>
      </c>
      <c r="O247" s="17" t="inlineStr">
        <is>
          <t>Operator Forklift</t>
        </is>
      </c>
      <c r="P247" s="148" t="inlineStr">
        <is>
          <t>HARIAN</t>
        </is>
      </c>
      <c r="Q247" s="147" t="inlineStr">
        <is>
          <t>JL. DUKUH BARAT; RT/RW. 002/001; KEL. DUKUHKARYA; KEC. RENGASDENGKLOK; KAB. KARAWANG</t>
        </is>
      </c>
      <c r="R247" s="151" t="n">
        <v>2</v>
      </c>
      <c r="S247" s="151" t="n">
        <v>1</v>
      </c>
      <c r="T247" s="148" t="n">
        <v>41352</v>
      </c>
      <c r="U247" s="148" t="inlineStr">
        <is>
          <t>RENGASDENGKLOK</t>
        </is>
      </c>
      <c r="V247" s="148" t="inlineStr">
        <is>
          <t>DUKUHKARYA</t>
        </is>
      </c>
      <c r="W247" s="148" t="inlineStr">
        <is>
          <t>KARAWANG</t>
        </is>
      </c>
      <c r="X247" s="148" t="inlineStr">
        <is>
          <t>JL. DUKUH BARAT; RT/RW. 002/001; KEL. DUKUHKARYA; KEC. RENGASDENGKLOK; KAB. KARAWANG</t>
        </is>
      </c>
      <c r="Y247" s="148" t="inlineStr">
        <is>
          <t>085863315187/081513248542</t>
        </is>
      </c>
      <c r="Z247" s="147" t="inlineStr">
        <is>
          <t>ISLAM</t>
        </is>
      </c>
      <c r="AA247" s="148" t="inlineStr">
        <is>
          <t>SMK</t>
        </is>
      </c>
      <c r="AB247" s="149" t="n"/>
      <c r="AC247" s="17" t="n">
        <v>245</v>
      </c>
      <c r="AD247" s="133" t="n">
        <v>328000407</v>
      </c>
      <c r="AE247" s="134" t="inlineStr">
        <is>
          <t>HERMALIANTI RAHAYU</t>
        </is>
      </c>
      <c r="AF247" s="133" t="inlineStr">
        <is>
          <t>PRODUCTION</t>
        </is>
      </c>
      <c r="AG247" s="157" t="n"/>
      <c r="AH247" s="158" t="n">
        <v>1517453368</v>
      </c>
    </row>
    <row r="248" ht="15.75" customHeight="1" s="169">
      <c r="A248" s="122">
        <f>A247+1</f>
        <v/>
      </c>
      <c r="B248" s="123" t="n">
        <v>328000410</v>
      </c>
      <c r="C248" s="122" t="inlineStr">
        <is>
          <t>3214031702070002</t>
        </is>
      </c>
      <c r="D248" s="146" t="inlineStr">
        <is>
          <t>KELVIN FEBRIANSYAH</t>
        </is>
      </c>
      <c r="E248" s="147" t="inlineStr">
        <is>
          <t>PURWAKARTA</t>
        </is>
      </c>
      <c r="F248" s="96" t="n"/>
      <c r="G248" s="96" t="n"/>
      <c r="H248" s="96" t="n"/>
      <c r="I248" s="127" t="n">
        <v>39130</v>
      </c>
      <c r="J248" s="128">
        <f>DATEDIF(I248, TODAY(), "Y") &amp; " tahun, " &amp; DATEDIF(I248, TODAY(), "YM") &amp; " bulan, " &amp; DATEDIF(I248, TODAY(), "MD") &amp; " hari"
</f>
        <v/>
      </c>
      <c r="K248" s="148" t="inlineStr">
        <is>
          <t>L</t>
        </is>
      </c>
      <c r="L248" s="148" t="inlineStr">
        <is>
          <t>PACKER</t>
        </is>
      </c>
      <c r="M248" s="137" t="n"/>
      <c r="N248" s="129" t="inlineStr">
        <is>
          <t>PRODUKSI</t>
        </is>
      </c>
      <c r="O248" s="17" t="inlineStr">
        <is>
          <t>Packer</t>
        </is>
      </c>
      <c r="P248" s="148" t="inlineStr">
        <is>
          <t>HARIAN</t>
        </is>
      </c>
      <c r="Q248" s="147" t="inlineStr">
        <is>
          <t>KP. CIGANEA RT/RW. 003/002; KEL. MEKARGALIH; KEC. JATILUHUR; KAB. PURWAKARTA</t>
        </is>
      </c>
      <c r="R248" s="151" t="n">
        <v>3</v>
      </c>
      <c r="S248" s="151" t="n">
        <v>2</v>
      </c>
      <c r="T248" s="150" t="n"/>
      <c r="U248" s="148" t="inlineStr">
        <is>
          <t>JATILUHUR</t>
        </is>
      </c>
      <c r="V248" s="148" t="inlineStr">
        <is>
          <t>MEKARGALIH</t>
        </is>
      </c>
      <c r="W248" s="148" t="inlineStr">
        <is>
          <t>PURWAKARTA</t>
        </is>
      </c>
      <c r="X248" s="148" t="inlineStr">
        <is>
          <t>KP. CIGANEA RT/RW. 003/002; KEL. MEKARGALIH; KEC. JATILUHUR; KAB. PURWAKARTA</t>
        </is>
      </c>
      <c r="Y248" s="148" t="n">
        <v>87700064423</v>
      </c>
      <c r="Z248" s="147" t="inlineStr">
        <is>
          <t>ISLAM</t>
        </is>
      </c>
      <c r="AA248" s="148" t="inlineStr">
        <is>
          <t>SMA</t>
        </is>
      </c>
      <c r="AB248" s="149" t="n"/>
      <c r="AC248" s="17" t="n">
        <v>246</v>
      </c>
      <c r="AD248" s="133" t="n">
        <v>328000409</v>
      </c>
      <c r="AE248" s="134" t="inlineStr">
        <is>
          <t>SUHENDI</t>
        </is>
      </c>
      <c r="AF248" s="133" t="inlineStr">
        <is>
          <t>LOGISTIC</t>
        </is>
      </c>
      <c r="AG248" s="157" t="n"/>
      <c r="AH248" s="158" t="n">
        <v>487454319</v>
      </c>
    </row>
    <row r="249" ht="15.75" customHeight="1" s="169">
      <c r="A249" s="122">
        <f>A248+1</f>
        <v/>
      </c>
      <c r="B249" s="123" t="n">
        <v>328000411</v>
      </c>
      <c r="C249" s="122" t="inlineStr">
        <is>
          <t>3214125009030001</t>
        </is>
      </c>
      <c r="D249" s="146" t="inlineStr">
        <is>
          <t>PUTRI SEPPIYANTI</t>
        </is>
      </c>
      <c r="E249" s="147" t="inlineStr">
        <is>
          <t>PURWAKARTA</t>
        </is>
      </c>
      <c r="F249" s="96" t="n"/>
      <c r="G249" s="96" t="n"/>
      <c r="H249" s="96" t="n"/>
      <c r="I249" s="127" t="n">
        <v>37874</v>
      </c>
      <c r="J249" s="128">
        <f>DATEDIF(I249, TODAY(), "Y") &amp; " tahun, " &amp; DATEDIF(I249, TODAY(), "YM") &amp; " bulan, " &amp; DATEDIF(I249, TODAY(), "MD") &amp; " hari"
</f>
        <v/>
      </c>
      <c r="K249" s="148" t="inlineStr">
        <is>
          <t>P</t>
        </is>
      </c>
      <c r="L249" s="148" t="inlineStr">
        <is>
          <t>QC PRODUKSI</t>
        </is>
      </c>
      <c r="M249" s="137" t="n"/>
      <c r="N249" s="129" t="inlineStr">
        <is>
          <t>QC</t>
        </is>
      </c>
      <c r="O249" s="17" t="inlineStr">
        <is>
          <t>QC Produksi</t>
        </is>
      </c>
      <c r="P249" s="148" t="inlineStr">
        <is>
          <t>HARIAN</t>
        </is>
      </c>
      <c r="Q249" s="147" t="inlineStr">
        <is>
          <t>KP. CIROYOM RT/RW. 010/005; KEL. CICADAS; KEC. BABAKANCIKAO; KAB. PURWAKARTA</t>
        </is>
      </c>
      <c r="R249" s="151" t="n">
        <v>10</v>
      </c>
      <c r="S249" s="151" t="n">
        <v>5</v>
      </c>
      <c r="T249" s="148" t="n">
        <v>41151</v>
      </c>
      <c r="U249" s="148" t="inlineStr">
        <is>
          <t>BABAKANCIKAO</t>
        </is>
      </c>
      <c r="V249" s="148" t="inlineStr">
        <is>
          <t>CICADAS</t>
        </is>
      </c>
      <c r="W249" s="148" t="inlineStr">
        <is>
          <t>PURWAKARTA</t>
        </is>
      </c>
      <c r="X249" s="148" t="inlineStr">
        <is>
          <t>KP. CIROYOM RT/RW. 010/005; KEL. CICADAS; KEC. BABAKANCIKAO; KAB. PURWAKARTA</t>
        </is>
      </c>
      <c r="Y249" s="148" t="n">
        <v>83894458615</v>
      </c>
      <c r="Z249" s="147" t="inlineStr">
        <is>
          <t>ISLAM</t>
        </is>
      </c>
      <c r="AA249" s="148" t="inlineStr">
        <is>
          <t>SMA</t>
        </is>
      </c>
      <c r="AB249" s="149" t="n"/>
      <c r="AC249" s="17" t="n">
        <v>247</v>
      </c>
      <c r="AD249" s="133" t="n">
        <v>328000410</v>
      </c>
      <c r="AE249" s="134" t="inlineStr">
        <is>
          <t>KELVIN FEBRIANSYAH</t>
        </is>
      </c>
      <c r="AF249" s="133" t="inlineStr">
        <is>
          <t>PRODUCTION</t>
        </is>
      </c>
      <c r="AG249" s="157" t="n"/>
      <c r="AH249" s="158" t="n">
        <v>2449689298</v>
      </c>
    </row>
    <row r="250" ht="15.75" customHeight="1" s="169">
      <c r="A250" s="122">
        <f>A249+1</f>
        <v/>
      </c>
      <c r="B250" s="123" t="n">
        <v>328000412</v>
      </c>
      <c r="C250" s="122" t="inlineStr">
        <is>
          <t>3214126910050002</t>
        </is>
      </c>
      <c r="D250" s="146" t="inlineStr">
        <is>
          <t>SYFA OCTAPIA RAMADANI</t>
        </is>
      </c>
      <c r="E250" s="147" t="inlineStr">
        <is>
          <t>PURWAKARTA</t>
        </is>
      </c>
      <c r="F250" s="96" t="n"/>
      <c r="G250" s="96" t="n"/>
      <c r="H250" s="96" t="n"/>
      <c r="I250" s="127" t="n">
        <v>38654</v>
      </c>
      <c r="J250" s="128">
        <f>DATEDIF(I250, TODAY(), "Y") &amp; " tahun, " &amp; DATEDIF(I250, TODAY(), "YM") &amp; " bulan, " &amp; DATEDIF(I250, TODAY(), "MD") &amp; " hari"
</f>
        <v/>
      </c>
      <c r="K250" s="148" t="inlineStr">
        <is>
          <t>P</t>
        </is>
      </c>
      <c r="L250" s="148" t="inlineStr">
        <is>
          <t>PACKER</t>
        </is>
      </c>
      <c r="M250" s="137" t="n"/>
      <c r="N250" s="129" t="inlineStr">
        <is>
          <t>PRODUKSI</t>
        </is>
      </c>
      <c r="O250" s="17" t="inlineStr">
        <is>
          <t>Packer</t>
        </is>
      </c>
      <c r="P250" s="148" t="inlineStr">
        <is>
          <t>HARIAN</t>
        </is>
      </c>
      <c r="Q250" s="147" t="inlineStr">
        <is>
          <t>KP. HEGARMANAH RT/RW. 013/005; KEL.HEGARMANAH; KEC; BABAKANCIKAO; KAB. PURWAKARTA</t>
        </is>
      </c>
      <c r="R250" s="151" t="n">
        <v>13</v>
      </c>
      <c r="S250" s="151" t="n">
        <v>5</v>
      </c>
      <c r="T250" s="150" t="n"/>
      <c r="U250" s="148" t="inlineStr">
        <is>
          <t>BABAKANCIKAO</t>
        </is>
      </c>
      <c r="V250" s="148" t="inlineStr">
        <is>
          <t>HEGARMANAH</t>
        </is>
      </c>
      <c r="W250" s="148" t="inlineStr">
        <is>
          <t>PURWAKARTA</t>
        </is>
      </c>
      <c r="X250" s="148" t="inlineStr">
        <is>
          <t>KP. HEGARMANAH RT/RW. 013/005; KEL.HEGARMANAH; KEC; BABAKANCIKAO; KAB. PURWAKARTA</t>
        </is>
      </c>
      <c r="Y250" s="152" t="inlineStr">
        <is>
          <t>085720047440</t>
        </is>
      </c>
      <c r="Z250" s="147" t="inlineStr">
        <is>
          <t>ISLAM</t>
        </is>
      </c>
      <c r="AA250" s="148" t="inlineStr">
        <is>
          <t>SMK</t>
        </is>
      </c>
      <c r="AB250" s="149" t="n"/>
      <c r="AC250" s="17" t="n">
        <v>248</v>
      </c>
      <c r="AD250" s="133" t="n">
        <v>328000411</v>
      </c>
      <c r="AE250" s="134" t="inlineStr">
        <is>
          <t>PUTRI SEPPIYANTI</t>
        </is>
      </c>
      <c r="AF250" s="133" t="inlineStr">
        <is>
          <t>QUALITY AND RESEARCH &amp; DEVELOPMENT</t>
        </is>
      </c>
      <c r="AG250" s="157" t="n"/>
      <c r="AH250" s="156" t="n"/>
    </row>
    <row r="251" ht="15.75" customHeight="1" s="169">
      <c r="A251" s="122">
        <f>A250+1</f>
        <v/>
      </c>
      <c r="B251" s="123" t="n">
        <v>328000413</v>
      </c>
      <c r="C251" s="122" t="inlineStr">
        <is>
          <t>3217051309050001</t>
        </is>
      </c>
      <c r="D251" s="146" t="inlineStr">
        <is>
          <t>RICKY SEPTIAN NURDIN</t>
        </is>
      </c>
      <c r="E251" s="147" t="inlineStr">
        <is>
          <t>BANDUNG</t>
        </is>
      </c>
      <c r="F251" s="96" t="n"/>
      <c r="G251" s="96" t="n"/>
      <c r="H251" s="96" t="n"/>
      <c r="I251" s="127" t="n">
        <v>38608</v>
      </c>
      <c r="J251" s="128">
        <f>DATEDIF(I251, TODAY(), "Y") &amp; " tahun, " &amp; DATEDIF(I251, TODAY(), "YM") &amp; " bulan, " &amp; DATEDIF(I251, TODAY(), "MD") &amp; " hari"
</f>
        <v/>
      </c>
      <c r="K251" s="148" t="inlineStr">
        <is>
          <t>P</t>
        </is>
      </c>
      <c r="L251" s="148" t="inlineStr">
        <is>
          <t>PACKER</t>
        </is>
      </c>
      <c r="M251" s="137" t="n"/>
      <c r="N251" s="129" t="inlineStr">
        <is>
          <t>PRODUKSI</t>
        </is>
      </c>
      <c r="O251" s="17" t="inlineStr">
        <is>
          <t>Packer</t>
        </is>
      </c>
      <c r="P251" s="148" t="inlineStr">
        <is>
          <t>HARIAN</t>
        </is>
      </c>
      <c r="Q251" s="147" t="inlineStr">
        <is>
          <t>KP. CISAUHEUN RT/RW. 003/004; KEL. SUKAHAJI; KEC. CIPEUNDEUY; KAB. BANDUNG BARAT</t>
        </is>
      </c>
      <c r="R251" s="151" t="n">
        <v>3</v>
      </c>
      <c r="S251" s="151" t="n">
        <v>4</v>
      </c>
      <c r="T251" s="150" t="n"/>
      <c r="U251" s="148" t="inlineStr">
        <is>
          <t>CIPEUNDEUY</t>
        </is>
      </c>
      <c r="V251" s="148" t="inlineStr">
        <is>
          <t>SUKAHAJI</t>
        </is>
      </c>
      <c r="W251" s="148" t="inlineStr">
        <is>
          <t>BANDUNG BARAT</t>
        </is>
      </c>
      <c r="X251" s="148" t="inlineStr">
        <is>
          <t>KP. CISAUHEUN RT/RW. 003/004; KEL. SUKAHAJI; KEC. CIPEUNDEUY; KAB. BANDUNG BARAT</t>
        </is>
      </c>
      <c r="Y251" s="148" t="n">
        <v>83839361714</v>
      </c>
      <c r="Z251" s="147" t="inlineStr">
        <is>
          <t>ISLAM</t>
        </is>
      </c>
      <c r="AA251" s="148" t="inlineStr">
        <is>
          <t>SMK</t>
        </is>
      </c>
      <c r="AB251" s="149" t="n"/>
      <c r="AC251" s="17" t="n">
        <v>249</v>
      </c>
      <c r="AD251" s="133" t="n">
        <v>328000412</v>
      </c>
      <c r="AE251" s="134" t="inlineStr">
        <is>
          <t>SYFA OCTAPIA RAMADANI</t>
        </is>
      </c>
      <c r="AF251" s="133" t="inlineStr">
        <is>
          <t>PRODUCTION</t>
        </is>
      </c>
      <c r="AG251" s="157" t="n"/>
      <c r="AH251" s="158" t="n">
        <v>1661913887</v>
      </c>
    </row>
    <row r="252" ht="15.75" customHeight="1" s="169">
      <c r="A252" s="122">
        <f>A251+1</f>
        <v/>
      </c>
      <c r="B252" s="123" t="n">
        <v>328000414</v>
      </c>
      <c r="C252" s="122" t="inlineStr">
        <is>
          <t>3214100604020002</t>
        </is>
      </c>
      <c r="D252" s="146" t="inlineStr">
        <is>
          <t>MUHAMAD DIAZ</t>
        </is>
      </c>
      <c r="E252" s="147" t="inlineStr">
        <is>
          <t>PURWAKARTA</t>
        </is>
      </c>
      <c r="F252" s="96" t="n"/>
      <c r="G252" s="96" t="n"/>
      <c r="H252" s="96" t="n"/>
      <c r="I252" s="127" t="n">
        <v>37352</v>
      </c>
      <c r="J252" s="128">
        <f>DATEDIF(I252, TODAY(), "Y") &amp; " tahun, " &amp; DATEDIF(I252, TODAY(), "YM") &amp; " bulan, " &amp; DATEDIF(I252, TODAY(), "MD") &amp; " hari"
</f>
        <v/>
      </c>
      <c r="K252" s="148" t="inlineStr">
        <is>
          <t>L</t>
        </is>
      </c>
      <c r="L252" s="148" t="inlineStr">
        <is>
          <t>OP FORKLIFT WRM</t>
        </is>
      </c>
      <c r="M252" s="137" t="n"/>
      <c r="N252" s="129" t="inlineStr">
        <is>
          <t>LOGISTIK</t>
        </is>
      </c>
      <c r="O252" s="17" t="inlineStr">
        <is>
          <t>Operator Forklift</t>
        </is>
      </c>
      <c r="P252" s="148" t="inlineStr">
        <is>
          <t>HARIAN</t>
        </is>
      </c>
      <c r="Q252" s="147" t="inlineStr">
        <is>
          <t>KP. SAWAH TENGAH RT/RW. 009/005; KEL. PASAWAHAN KIDUL; KEC. PASAWAHAN; KAB.. PURWAKARTA</t>
        </is>
      </c>
      <c r="R252" s="151" t="n">
        <v>9</v>
      </c>
      <c r="S252" s="151" t="n">
        <v>5</v>
      </c>
      <c r="T252" s="150" t="n"/>
      <c r="U252" s="148" t="inlineStr">
        <is>
          <t>PASAWAHAN</t>
        </is>
      </c>
      <c r="V252" s="148" t="inlineStr">
        <is>
          <t>PASAWAHAN KIDUL</t>
        </is>
      </c>
      <c r="W252" s="148" t="inlineStr">
        <is>
          <t>PURWAKARTA</t>
        </is>
      </c>
      <c r="X252" s="148" t="inlineStr">
        <is>
          <t>KP. SAWAH TENGAH RT/RW. 009/005; KEL. PASAWAHAN KIDUL; KEC. PASAWAHAN; KAB.. PURWAKARTA</t>
        </is>
      </c>
      <c r="Y252" s="148" t="n">
        <v>87825392755</v>
      </c>
      <c r="Z252" s="147" t="inlineStr">
        <is>
          <t>ISLAM</t>
        </is>
      </c>
      <c r="AA252" s="148" t="inlineStr">
        <is>
          <t>SMK</t>
        </is>
      </c>
      <c r="AB252" s="149" t="n"/>
      <c r="AC252" s="17" t="n">
        <v>250</v>
      </c>
      <c r="AD252" s="133" t="n">
        <v>328000413</v>
      </c>
      <c r="AE252" s="134" t="inlineStr">
        <is>
          <t>RICKY SEPTIAN NURDIN</t>
        </is>
      </c>
      <c r="AF252" s="133" t="inlineStr">
        <is>
          <t>PRODUCTION</t>
        </is>
      </c>
      <c r="AG252" s="157" t="n"/>
      <c r="AH252" s="158" t="n">
        <v>3429273306</v>
      </c>
    </row>
    <row r="253" ht="15.75" customHeight="1" s="169">
      <c r="A253" s="122">
        <f>A252+1</f>
        <v/>
      </c>
      <c r="B253" s="123" t="n">
        <v>328000416</v>
      </c>
      <c r="C253" s="122" t="inlineStr">
        <is>
          <t>3214122610030001</t>
        </is>
      </c>
      <c r="D253" s="146" t="inlineStr">
        <is>
          <t>AHMAD RAMDANI</t>
        </is>
      </c>
      <c r="E253" s="147" t="inlineStr">
        <is>
          <t>BANDUNG</t>
        </is>
      </c>
      <c r="F253" s="96" t="n"/>
      <c r="G253" s="96" t="n"/>
      <c r="H253" s="96" t="n"/>
      <c r="I253" s="127" t="n">
        <v>37920</v>
      </c>
      <c r="J253" s="128">
        <f>DATEDIF(I253, TODAY(), "Y") &amp; " tahun, " &amp; DATEDIF(I253, TODAY(), "YM") &amp; " bulan, " &amp; DATEDIF(I253, TODAY(), "MD") &amp; " hari"
</f>
        <v/>
      </c>
      <c r="K253" s="148" t="inlineStr">
        <is>
          <t>L</t>
        </is>
      </c>
      <c r="L253" s="148" t="inlineStr">
        <is>
          <t>PACKER</t>
        </is>
      </c>
      <c r="M253" s="137" t="n"/>
      <c r="N253" s="129" t="inlineStr">
        <is>
          <t>PRODUKSI</t>
        </is>
      </c>
      <c r="O253" s="17" t="inlineStr">
        <is>
          <t>Packer</t>
        </is>
      </c>
      <c r="P253" s="148" t="inlineStr">
        <is>
          <t>HARIAN</t>
        </is>
      </c>
      <c r="Q253" s="147" t="inlineStr">
        <is>
          <t>KP. CIASEM RT/RW.007/003; KEL.CICADAS; KEC. BABAKANCIKAO; KAB. PURWAKARTA</t>
        </is>
      </c>
      <c r="R253" s="151" t="n">
        <v>7</v>
      </c>
      <c r="S253" s="151" t="n">
        <v>3</v>
      </c>
      <c r="T253" s="150" t="n"/>
      <c r="U253" s="148" t="inlineStr">
        <is>
          <t>BABAKANCIKAO</t>
        </is>
      </c>
      <c r="V253" s="148" t="inlineStr">
        <is>
          <t>CICADAS</t>
        </is>
      </c>
      <c r="W253" s="148" t="inlineStr">
        <is>
          <t>PURWAKARTA</t>
        </is>
      </c>
      <c r="X253" s="148" t="inlineStr">
        <is>
          <t>KP. CIASEM RT/RW.007/003; KEL.CICADAS; KEC. BABAKANCIKAO; KAB. PURWAKARTA</t>
        </is>
      </c>
      <c r="Y253" s="148" t="n">
        <v>831125751</v>
      </c>
      <c r="Z253" s="147" t="inlineStr">
        <is>
          <t>ISLAM</t>
        </is>
      </c>
      <c r="AA253" s="148" t="inlineStr">
        <is>
          <t>SMK</t>
        </is>
      </c>
      <c r="AB253" s="149" t="n"/>
      <c r="AC253" s="159" t="n">
        <v>251</v>
      </c>
      <c r="AD253" s="160" t="n">
        <v>328000414</v>
      </c>
      <c r="AE253" s="161" t="inlineStr">
        <is>
          <t>MUHAMAD DIAZ</t>
        </is>
      </c>
      <c r="AF253" s="160" t="inlineStr">
        <is>
          <t>LOGISTIC</t>
        </is>
      </c>
      <c r="AG253" s="162" t="n"/>
      <c r="AH253" s="162" t="n"/>
    </row>
    <row r="254" ht="15.75" customHeight="1" s="169">
      <c r="A254" s="122">
        <f>A253+1</f>
        <v/>
      </c>
      <c r="B254" s="123" t="n">
        <v>328000417</v>
      </c>
      <c r="C254" s="122" t="inlineStr">
        <is>
          <t>3214051612030002</t>
        </is>
      </c>
      <c r="D254" s="146" t="inlineStr">
        <is>
          <t>RAJA ADITIA</t>
        </is>
      </c>
      <c r="E254" s="147" t="inlineStr">
        <is>
          <t>PURWAKARTA</t>
        </is>
      </c>
      <c r="F254" s="96" t="n"/>
      <c r="G254" s="96" t="n"/>
      <c r="H254" s="96" t="n"/>
      <c r="I254" s="127" t="n">
        <v>37971</v>
      </c>
      <c r="J254" s="128">
        <f>DATEDIF(I254, TODAY(), "Y") &amp; " tahun, " &amp; DATEDIF(I254, TODAY(), "YM") &amp; " bulan, " &amp; DATEDIF(I254, TODAY(), "MD") &amp; " hari"
</f>
        <v/>
      </c>
      <c r="K254" s="148" t="inlineStr">
        <is>
          <t>L</t>
        </is>
      </c>
      <c r="L254" s="148" t="inlineStr">
        <is>
          <t>PACKER</t>
        </is>
      </c>
      <c r="M254" s="137" t="n"/>
      <c r="N254" s="129" t="inlineStr">
        <is>
          <t>PRODUKSI</t>
        </is>
      </c>
      <c r="O254" s="17" t="inlineStr">
        <is>
          <t>Packer</t>
        </is>
      </c>
      <c r="P254" s="148" t="inlineStr">
        <is>
          <t>HARIAN</t>
        </is>
      </c>
      <c r="Q254" s="147" t="inlineStr">
        <is>
          <t>KP. CITAPEN RT/RW012/004; KEL. SUKAJAYA; KEC.SUKATANI; KAB. PURWAKARTA</t>
        </is>
      </c>
      <c r="R254" s="151" t="n">
        <v>12</v>
      </c>
      <c r="S254" s="151" t="n">
        <v>4</v>
      </c>
      <c r="T254" s="150" t="n"/>
      <c r="U254" s="148" t="inlineStr">
        <is>
          <t>SUKATANI</t>
        </is>
      </c>
      <c r="V254" s="148" t="inlineStr">
        <is>
          <t>SUKAJAYA</t>
        </is>
      </c>
      <c r="W254" s="148" t="inlineStr">
        <is>
          <t>PURWAKARTA</t>
        </is>
      </c>
      <c r="X254" s="148" t="inlineStr">
        <is>
          <t>KP. CITAPEN RT/RW012/004; KEL. SUKAJAYA; KEC.SUKATANI; KAB. PURWAKARTA</t>
        </is>
      </c>
      <c r="Y254" s="148" t="n">
        <v>83816939425</v>
      </c>
      <c r="Z254" s="147" t="inlineStr">
        <is>
          <t>ISLAM</t>
        </is>
      </c>
      <c r="AA254" s="148" t="inlineStr">
        <is>
          <t>SMK</t>
        </is>
      </c>
      <c r="AB254" s="149" t="n"/>
      <c r="AC254" s="159" t="n">
        <v>252</v>
      </c>
      <c r="AD254" s="163" t="n">
        <v>328000415</v>
      </c>
      <c r="AE254" s="161" t="inlineStr">
        <is>
          <t>ANGGI SAPUTRA</t>
        </is>
      </c>
      <c r="AF254" s="163" t="inlineStr">
        <is>
          <t>LOGISTIC</t>
        </is>
      </c>
      <c r="AG254" s="162" t="n"/>
      <c r="AH254" s="162" t="n"/>
    </row>
    <row r="255" ht="15.75" customHeight="1" s="169">
      <c r="A255" s="122">
        <f>A254+1</f>
        <v/>
      </c>
      <c r="B255" s="123" t="n">
        <v>328000418</v>
      </c>
      <c r="C255" s="137" t="n"/>
      <c r="D255" s="146" t="inlineStr">
        <is>
          <t>LIA AGUSTIN</t>
        </is>
      </c>
      <c r="E255" s="150" t="n"/>
      <c r="F255" s="96" t="n"/>
      <c r="G255" s="96" t="n"/>
      <c r="H255" s="96" t="n"/>
      <c r="I255" s="164" t="n"/>
      <c r="J255" s="137" t="n"/>
      <c r="K255" s="148" t="inlineStr">
        <is>
          <t>P</t>
        </is>
      </c>
      <c r="L255" s="148" t="inlineStr">
        <is>
          <t>QC PRODUKSI</t>
        </is>
      </c>
      <c r="M255" s="150" t="n"/>
      <c r="N255" s="129" t="inlineStr">
        <is>
          <t>QC</t>
        </is>
      </c>
      <c r="O255" s="17" t="inlineStr">
        <is>
          <t>QC Produksi</t>
        </is>
      </c>
      <c r="P255" s="150" t="n"/>
      <c r="Q255" s="150" t="n"/>
      <c r="R255" s="150" t="n"/>
      <c r="S255" s="150" t="n"/>
      <c r="T255" s="150" t="n"/>
      <c r="U255" s="150" t="n"/>
      <c r="V255" s="150" t="n"/>
      <c r="W255" s="150" t="n"/>
      <c r="X255" s="150" t="n"/>
      <c r="Y255" s="150" t="n"/>
      <c r="Z255" s="150" t="n"/>
      <c r="AA255" s="148" t="inlineStr">
        <is>
          <t>SMK</t>
        </is>
      </c>
      <c r="AB255" s="165" t="n"/>
      <c r="AC255" s="17" t="n">
        <v>253</v>
      </c>
      <c r="AD255" s="166" t="n">
        <v>328000416</v>
      </c>
      <c r="AE255" s="134" t="inlineStr">
        <is>
          <t>AHMAD RAMDANI</t>
        </is>
      </c>
      <c r="AF255" s="167" t="inlineStr">
        <is>
          <t>PRODUCTION</t>
        </is>
      </c>
      <c r="AG255" s="157" t="n"/>
      <c r="AH255" s="158" t="n">
        <v>2394921429</v>
      </c>
    </row>
    <row r="256" ht="15.75" customHeight="1" s="169">
      <c r="A256" s="122">
        <f>A255+1</f>
        <v/>
      </c>
      <c r="B256" s="123" t="n">
        <v>328000419</v>
      </c>
      <c r="C256" s="137" t="n"/>
      <c r="D256" s="146" t="inlineStr">
        <is>
          <t>CECEP SUKMA WIJAYA</t>
        </is>
      </c>
      <c r="E256" s="150" t="n"/>
      <c r="F256" s="96" t="n"/>
      <c r="G256" s="96" t="n"/>
      <c r="H256" s="96" t="n"/>
      <c r="I256" s="164" t="n"/>
      <c r="J256" s="137" t="n"/>
      <c r="K256" s="148" t="inlineStr">
        <is>
          <t>L</t>
        </is>
      </c>
      <c r="L256" s="148" t="inlineStr">
        <is>
          <t>OP FORKLIFT WFG</t>
        </is>
      </c>
      <c r="M256" s="137" t="n"/>
      <c r="N256" s="129" t="inlineStr">
        <is>
          <t>LOGISTIK</t>
        </is>
      </c>
      <c r="O256" s="17" t="inlineStr">
        <is>
          <t>Operator Forklift</t>
        </is>
      </c>
      <c r="P256" s="150" t="n"/>
      <c r="Q256" s="150" t="n"/>
      <c r="R256" s="150" t="n"/>
      <c r="S256" s="150" t="n"/>
      <c r="T256" s="150" t="n"/>
      <c r="U256" s="150" t="n"/>
      <c r="V256" s="150" t="n"/>
      <c r="W256" s="150" t="n"/>
      <c r="X256" s="150" t="n"/>
      <c r="Y256" s="150" t="n"/>
      <c r="Z256" s="150" t="n"/>
      <c r="AA256" s="148" t="inlineStr">
        <is>
          <t>SMK</t>
        </is>
      </c>
      <c r="AB256" s="165" t="n"/>
      <c r="AC256" s="17" t="n">
        <v>254</v>
      </c>
      <c r="AD256" s="133" t="n">
        <v>328000417</v>
      </c>
      <c r="AE256" s="134" t="inlineStr">
        <is>
          <t>RAJA ADITIA</t>
        </is>
      </c>
      <c r="AF256" s="144" t="inlineStr">
        <is>
          <t>PRODUCTION</t>
        </is>
      </c>
      <c r="AG256" s="157" t="n"/>
      <c r="AH256" s="158" t="n">
        <v>1876764688</v>
      </c>
    </row>
    <row r="257" ht="15.75" customHeight="1" s="169">
      <c r="A257" s="122">
        <f>A256+1</f>
        <v/>
      </c>
      <c r="B257" s="123" t="n">
        <v>328000420</v>
      </c>
      <c r="C257" s="137" t="n"/>
      <c r="D257" s="146" t="inlineStr">
        <is>
          <t>ISNI HANDAYANI</t>
        </is>
      </c>
      <c r="E257" s="150" t="n"/>
      <c r="F257" s="96" t="n"/>
      <c r="G257" s="96" t="n"/>
      <c r="H257" s="96" t="n"/>
      <c r="I257" s="164" t="n"/>
      <c r="J257" s="137" t="n"/>
      <c r="K257" s="148" t="inlineStr">
        <is>
          <t>P</t>
        </is>
      </c>
      <c r="L257" s="148" t="inlineStr">
        <is>
          <t>PACKER</t>
        </is>
      </c>
      <c r="M257" s="150" t="n"/>
      <c r="N257" s="129" t="inlineStr">
        <is>
          <t>PRODUKSI</t>
        </is>
      </c>
      <c r="O257" s="17" t="inlineStr">
        <is>
          <t>Packer</t>
        </is>
      </c>
      <c r="P257" s="150" t="n"/>
      <c r="Q257" s="150" t="n"/>
      <c r="R257" s="150" t="n"/>
      <c r="S257" s="150" t="n"/>
      <c r="T257" s="150" t="n"/>
      <c r="U257" s="150" t="n"/>
      <c r="V257" s="150" t="n"/>
      <c r="W257" s="150" t="n"/>
      <c r="X257" s="150" t="n"/>
      <c r="Y257" s="150" t="n"/>
      <c r="Z257" s="150" t="n"/>
      <c r="AA257" s="148" t="inlineStr">
        <is>
          <t>SMK</t>
        </is>
      </c>
      <c r="AB257" s="165" t="n"/>
      <c r="AC257" s="6">
        <f>AC256+1</f>
        <v/>
      </c>
      <c r="AD257" s="133" t="n">
        <v>328000418</v>
      </c>
      <c r="AE257" s="134" t="inlineStr">
        <is>
          <t>LIA AGUSTIN</t>
        </is>
      </c>
      <c r="AF257" s="144" t="inlineStr">
        <is>
          <t>QUALITY AND RESEARCH &amp; DEVELOPMENT</t>
        </is>
      </c>
      <c r="AG257" s="157" t="n"/>
      <c r="AH257" s="158" t="n">
        <v>2283689259</v>
      </c>
    </row>
    <row r="258" ht="15.75" customHeight="1" s="169">
      <c r="A258" s="122">
        <f>A257+1</f>
        <v/>
      </c>
      <c r="B258" s="123" t="n">
        <v>328000421</v>
      </c>
      <c r="C258" s="137" t="n"/>
      <c r="D258" s="146" t="inlineStr">
        <is>
          <t>DEA AMELIA</t>
        </is>
      </c>
      <c r="E258" s="150" t="n"/>
      <c r="F258" s="96" t="n"/>
      <c r="G258" s="96" t="n"/>
      <c r="H258" s="96" t="n"/>
      <c r="I258" s="164" t="n"/>
      <c r="J258" s="137" t="n"/>
      <c r="K258" s="148" t="inlineStr">
        <is>
          <t>P</t>
        </is>
      </c>
      <c r="L258" s="148" t="inlineStr">
        <is>
          <t>PACKER</t>
        </is>
      </c>
      <c r="M258" s="150" t="n"/>
      <c r="N258" s="129" t="inlineStr">
        <is>
          <t>PRODUKSI</t>
        </is>
      </c>
      <c r="O258" s="17" t="inlineStr">
        <is>
          <t>Packer</t>
        </is>
      </c>
      <c r="P258" s="150" t="n"/>
      <c r="Q258" s="150" t="n"/>
      <c r="R258" s="150" t="n"/>
      <c r="S258" s="150" t="n"/>
      <c r="T258" s="150" t="n"/>
      <c r="U258" s="150" t="n"/>
      <c r="V258" s="150" t="n"/>
      <c r="W258" s="150" t="n"/>
      <c r="X258" s="150" t="n"/>
      <c r="Y258" s="150" t="n"/>
      <c r="Z258" s="150" t="n"/>
      <c r="AA258" s="148" t="inlineStr">
        <is>
          <t>SMK</t>
        </is>
      </c>
      <c r="AB258" s="165" t="n"/>
      <c r="AC258" s="6">
        <f>AC257+1</f>
        <v/>
      </c>
      <c r="AD258" s="133" t="n">
        <v>328000419</v>
      </c>
      <c r="AE258" s="134" t="inlineStr">
        <is>
          <t>CECEP SUKMA WIJAYA</t>
        </is>
      </c>
      <c r="AF258" s="144" t="inlineStr">
        <is>
          <t>LOGISTIC</t>
        </is>
      </c>
      <c r="AG258" s="157" t="n"/>
      <c r="AH258" s="158" t="n">
        <v>509018747</v>
      </c>
    </row>
    <row r="259" ht="15.75" customHeight="1" s="169">
      <c r="A259" s="122">
        <f>A258+1</f>
        <v/>
      </c>
      <c r="B259" s="123" t="n">
        <v>328000422</v>
      </c>
      <c r="C259" s="137" t="n"/>
      <c r="D259" s="146" t="inlineStr">
        <is>
          <t>KEVIN PRAKOSO</t>
        </is>
      </c>
      <c r="E259" s="150" t="n"/>
      <c r="F259" s="96" t="n"/>
      <c r="G259" s="96" t="n"/>
      <c r="H259" s="96" t="n"/>
      <c r="I259" s="164" t="n"/>
      <c r="J259" s="137" t="n"/>
      <c r="K259" s="148" t="inlineStr">
        <is>
          <t>L</t>
        </is>
      </c>
      <c r="L259" s="148" t="inlineStr">
        <is>
          <t>OPERATOR PRODUKSI</t>
        </is>
      </c>
      <c r="M259" s="150" t="n"/>
      <c r="N259" s="129" t="inlineStr">
        <is>
          <t>PRODUKSI</t>
        </is>
      </c>
      <c r="O259" s="17" t="inlineStr">
        <is>
          <t>Operator Produksi</t>
        </is>
      </c>
      <c r="P259" s="150" t="n"/>
      <c r="Q259" s="150" t="n"/>
      <c r="R259" s="150" t="n"/>
      <c r="S259" s="150" t="n"/>
      <c r="T259" s="150" t="n"/>
      <c r="U259" s="150" t="n"/>
      <c r="V259" s="150" t="n"/>
      <c r="W259" s="150" t="n"/>
      <c r="X259" s="150" t="n"/>
      <c r="Y259" s="150" t="n"/>
      <c r="Z259" s="150" t="n"/>
      <c r="AA259" s="148" t="inlineStr">
        <is>
          <t>SMK</t>
        </is>
      </c>
      <c r="AB259" s="165" t="n"/>
      <c r="AC259" s="6">
        <f>AC258+1</f>
        <v/>
      </c>
      <c r="AD259" s="133" t="n">
        <v>328000420</v>
      </c>
      <c r="AE259" s="168" t="inlineStr">
        <is>
          <t>ISNI HANDAYANI</t>
        </is>
      </c>
      <c r="AF259" s="144" t="inlineStr">
        <is>
          <t>PRODUCTION</t>
        </is>
      </c>
      <c r="AG259" s="157" t="n"/>
      <c r="AH259" s="158" t="n">
        <v>1383764332</v>
      </c>
    </row>
    <row r="260" ht="15.75" customHeight="1" s="169">
      <c r="AC260" s="6">
        <f>AC259+1</f>
        <v/>
      </c>
      <c r="AD260" s="133" t="n">
        <v>328000421</v>
      </c>
      <c r="AE260" s="134" t="inlineStr">
        <is>
          <t>DEA AMELIA</t>
        </is>
      </c>
      <c r="AF260" s="144" t="inlineStr">
        <is>
          <t>PRODUCTION</t>
        </is>
      </c>
      <c r="AG260" s="157" t="n"/>
      <c r="AH260" s="156" t="n"/>
    </row>
    <row r="261" ht="15.75" customHeight="1" s="169">
      <c r="AC261" s="6">
        <f>AC260+1</f>
        <v/>
      </c>
      <c r="AD261" s="133" t="n">
        <v>328000422</v>
      </c>
      <c r="AE261" s="168" t="inlineStr">
        <is>
          <t>KEVIN PRAKOSO</t>
        </is>
      </c>
      <c r="AF261" s="144" t="inlineStr">
        <is>
          <t>PRODUCTION</t>
        </is>
      </c>
      <c r="AG261" s="157" t="n"/>
      <c r="AH261" s="156" t="n"/>
    </row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8">
    <mergeCell ref="AF1:AF2"/>
    <mergeCell ref="AD1:AD2"/>
    <mergeCell ref="F1:H1"/>
    <mergeCell ref="Q1:W1"/>
    <mergeCell ref="AC1:AC2"/>
    <mergeCell ref="AG1:AG2"/>
    <mergeCell ref="AE1:AE2"/>
    <mergeCell ref="AH1:AH2"/>
  </mergeCells>
  <dataValidations count="2">
    <dataValidation sqref="G3:G259" showDropDown="0" showInputMessage="0" showErrorMessage="1" allowBlank="1" type="list">
      <formula1>#REF!</formula1>
    </dataValidation>
    <dataValidation sqref="F3:F259" showDropDown="0" showInputMessage="0" showErrorMessage="1" allowBlank="1" type="list">
      <formula1>"TKD,LINK,SMK 1 PWK"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G12"/>
  <sheetViews>
    <sheetView showGridLines="0" workbookViewId="0">
      <selection activeCell="A1" sqref="A1"/>
    </sheetView>
  </sheetViews>
  <sheetFormatPr baseColWidth="8" defaultColWidth="12.63" defaultRowHeight="15" customHeight="1"/>
  <cols>
    <col width="4" customWidth="1" style="169" min="1" max="1"/>
    <col width="34.5" customWidth="1" style="169" min="2" max="2"/>
    <col width="18" customWidth="1" style="169" min="3" max="3"/>
    <col width="15.75" customWidth="1" style="169" min="4" max="4"/>
    <col width="23.38" customWidth="1" style="169" min="5" max="5"/>
    <col width="28.25" customWidth="1" style="169" min="6" max="6"/>
  </cols>
  <sheetData>
    <row r="1" ht="15.75" customHeight="1" s="169">
      <c r="A1" s="106" t="inlineStr">
        <is>
          <t>NO</t>
        </is>
      </c>
      <c r="B1" s="106" t="inlineStr">
        <is>
          <t>DEPARTMENT</t>
        </is>
      </c>
      <c r="C1" s="106" t="inlineStr">
        <is>
          <t>LEVEL MANAGER</t>
        </is>
      </c>
      <c r="D1" s="106" t="inlineStr">
        <is>
          <t>JUMLAH STAFF</t>
        </is>
      </c>
      <c r="E1" s="107" t="inlineStr">
        <is>
          <t>CASUAL (HARIAN/BOR)</t>
        </is>
      </c>
      <c r="F1" s="106" t="inlineStr">
        <is>
          <t>CONTRACTOR (NON STAFF)</t>
        </is>
      </c>
      <c r="G1" s="106" t="inlineStr">
        <is>
          <t>TOTAL S&amp;NS</t>
        </is>
      </c>
    </row>
    <row r="2" ht="15.75" customHeight="1" s="169">
      <c r="A2" s="106" t="n">
        <v>1</v>
      </c>
      <c r="B2" s="109" t="inlineStr">
        <is>
          <t>Management</t>
        </is>
      </c>
      <c r="C2" s="106" t="n">
        <v>7</v>
      </c>
      <c r="D2" s="106" t="n"/>
      <c r="E2" s="107" t="n"/>
      <c r="F2" s="106" t="n"/>
      <c r="G2" s="15" t="n">
        <v>7</v>
      </c>
    </row>
    <row r="3" ht="15.75" customHeight="1" s="169">
      <c r="A3" s="106" t="n">
        <v>2</v>
      </c>
      <c r="B3" s="109" t="inlineStr">
        <is>
          <t>Engineering</t>
        </is>
      </c>
      <c r="C3" s="106" t="n"/>
      <c r="D3" s="106" t="n">
        <v>11</v>
      </c>
      <c r="E3" s="107" t="n">
        <v>2</v>
      </c>
      <c r="F3" s="106" t="n">
        <v>20</v>
      </c>
      <c r="G3" s="15">
        <f>D3+F3</f>
        <v/>
      </c>
    </row>
    <row r="4" ht="15.75" customHeight="1" s="169">
      <c r="A4" s="106" t="n">
        <v>3</v>
      </c>
      <c r="B4" s="109" t="inlineStr">
        <is>
          <t>Production</t>
        </is>
      </c>
      <c r="C4" s="106" t="n"/>
      <c r="D4" s="106" t="n">
        <v>16</v>
      </c>
      <c r="E4" s="107" t="n">
        <v>28</v>
      </c>
      <c r="F4" s="106" t="n">
        <v>166</v>
      </c>
      <c r="G4" s="15">
        <f>D4+F4</f>
        <v/>
      </c>
    </row>
    <row r="5" ht="15.75" customHeight="1" s="169">
      <c r="A5" s="106" t="n">
        <v>4</v>
      </c>
      <c r="B5" s="109" t="inlineStr">
        <is>
          <t>Quality and Research &amp; Development</t>
        </is>
      </c>
      <c r="C5" s="106" t="n"/>
      <c r="D5" s="106" t="n">
        <v>7</v>
      </c>
      <c r="E5" s="107" t="n"/>
      <c r="F5" s="106" t="n">
        <v>34</v>
      </c>
      <c r="G5" s="15">
        <f>D5+F5</f>
        <v/>
      </c>
    </row>
    <row r="6" ht="15.75" customHeight="1" s="169">
      <c r="A6" s="106" t="n">
        <v>5</v>
      </c>
      <c r="B6" s="109" t="inlineStr">
        <is>
          <t>HRD &amp; GA</t>
        </is>
      </c>
      <c r="C6" s="106" t="n"/>
      <c r="D6" s="106" t="n">
        <v>5</v>
      </c>
      <c r="E6" s="107" t="n">
        <v>5</v>
      </c>
      <c r="F6" s="106">
        <f>1+26+11+1+4+1</f>
        <v/>
      </c>
      <c r="G6" s="15">
        <f>D6+F6</f>
        <v/>
      </c>
    </row>
    <row r="7" ht="15.75" customHeight="1" s="169">
      <c r="A7" s="106" t="n">
        <v>6</v>
      </c>
      <c r="B7" s="109" t="inlineStr">
        <is>
          <t>Logistic</t>
        </is>
      </c>
      <c r="C7" s="106" t="n"/>
      <c r="D7" s="106" t="n">
        <v>7</v>
      </c>
      <c r="E7" s="107">
        <f>11+20</f>
        <v/>
      </c>
      <c r="F7" s="106" t="n">
        <v>32</v>
      </c>
      <c r="G7" s="15">
        <f>D7+F7</f>
        <v/>
      </c>
    </row>
    <row r="8" ht="15.75" customHeight="1" s="169">
      <c r="A8" s="106" t="n">
        <v>7</v>
      </c>
      <c r="B8" s="109" t="inlineStr">
        <is>
          <t>Purchasing</t>
        </is>
      </c>
      <c r="C8" s="106" t="n"/>
      <c r="D8" s="106" t="n">
        <v>1</v>
      </c>
      <c r="E8" s="107" t="n"/>
      <c r="F8" s="106" t="n"/>
      <c r="G8" s="15">
        <f>D8+F8</f>
        <v/>
      </c>
    </row>
    <row r="9" ht="15.75" customHeight="1" s="169">
      <c r="A9" s="106" t="n">
        <v>8</v>
      </c>
      <c r="B9" s="109" t="inlineStr">
        <is>
          <t>Finance &amp; Accounting</t>
        </is>
      </c>
      <c r="C9" s="106" t="n"/>
      <c r="D9" s="106" t="n">
        <v>3</v>
      </c>
      <c r="E9" s="107" t="n"/>
      <c r="F9" s="106" t="n"/>
      <c r="G9" s="15">
        <f>D9+F9</f>
        <v/>
      </c>
    </row>
    <row r="10" ht="15.75" customHeight="1" s="169">
      <c r="A10" s="106" t="n">
        <v>9</v>
      </c>
      <c r="B10" s="109" t="inlineStr">
        <is>
          <t>PPIC</t>
        </is>
      </c>
      <c r="C10" s="106" t="n"/>
      <c r="D10" s="106" t="n">
        <v>1</v>
      </c>
      <c r="E10" s="107" t="n"/>
      <c r="F10" s="106" t="n"/>
      <c r="G10" s="15">
        <f>D10+F10</f>
        <v/>
      </c>
    </row>
    <row r="11" ht="15.75" customHeight="1" s="169">
      <c r="A11" s="106" t="n">
        <v>10</v>
      </c>
      <c r="B11" s="109" t="inlineStr">
        <is>
          <t>Manufacture Excellence</t>
        </is>
      </c>
      <c r="C11" s="106" t="n"/>
      <c r="D11" s="106" t="n">
        <v>2</v>
      </c>
      <c r="E11" s="107" t="n"/>
      <c r="F11" s="106" t="n"/>
      <c r="G11" s="15">
        <f>D11+F11</f>
        <v/>
      </c>
    </row>
    <row r="12" ht="15.75" customHeight="1" s="169">
      <c r="A12" s="185" t="inlineStr">
        <is>
          <t>TOTAL</t>
        </is>
      </c>
      <c r="B12" s="178" t="n"/>
      <c r="C12" s="178" t="n"/>
      <c r="D12" s="178" t="n"/>
      <c r="E12" s="178" t="n"/>
      <c r="F12" s="172" t="n"/>
      <c r="G12" s="55">
        <f>SUM(G2:G11)</f>
        <v/>
      </c>
    </row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2026-08-08T02:12:14Z</dcterms:created>
  <dcterms:modified xmlns:dcterms="http://purl.org/dc/terms/" xmlns:xsi="http://www.w3.org/2001/XMLSchema-instance" xsi:type="dcterms:W3CDTF">2026-08-08T02:12:16Z</dcterms:modified>
</cp:coreProperties>
</file>